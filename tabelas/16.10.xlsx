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EÇOS\2026\10-2026\"/>
    </mc:Choice>
  </mc:AlternateContent>
  <xr:revisionPtr revIDLastSave="0" documentId="8_{1F599931-303B-40E5-BCA3-E5B533874694}" xr6:coauthVersionLast="47" xr6:coauthVersionMax="47" xr10:uidLastSave="{00000000-0000-0000-0000-000000000000}"/>
  <bookViews>
    <workbookView xWindow="-110" yWindow="-110" windowWidth="19420" windowHeight="11500" xr2:uid="{67F6AFC4-35E7-44A6-BDF6-3A708B8159A9}"/>
  </bookViews>
  <sheets>
    <sheet name="REV" sheetId="1" r:id="rId1"/>
    <sheet name="ACESSÓRIOS REV" sheetId="2" r:id="rId2"/>
    <sheet name="TRADE IN" sheetId="3" r:id="rId3"/>
    <sheet name="COMPRE E LEVE" sheetId="4" r:id="rId4"/>
    <sheet name="REGRAS" sheetId="5" r:id="rId5"/>
  </sheets>
  <definedNames>
    <definedName name="_xlnm._FilterDatabase" localSheetId="1" hidden="1">'ACESSÓRIOS REV'!$B$7:$AN$119</definedName>
    <definedName name="_xlnm._FilterDatabase" localSheetId="3" hidden="1">'COMPRE E LEVE'!$A$2:$AA$180</definedName>
    <definedName name="_xlnm._FilterDatabase" localSheetId="0" hidden="1">REV!$A$12:$BA$508</definedName>
    <definedName name="_xlnm._FilterDatabase" localSheetId="2" hidden="1">'TRADE IN'!$A$12:$BJ$518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L518" i="3" l="1"/>
  <c r="AK518" i="3"/>
  <c r="AJ518" i="3"/>
  <c r="AI518" i="3"/>
  <c r="AH518" i="3"/>
  <c r="AG518" i="3"/>
  <c r="AF518" i="3"/>
  <c r="AE518" i="3"/>
  <c r="AD518" i="3"/>
  <c r="AC518" i="3"/>
  <c r="AB518" i="3"/>
  <c r="AA518" i="3"/>
  <c r="Z518" i="3"/>
  <c r="Y518" i="3"/>
  <c r="X518" i="3"/>
  <c r="W518" i="3"/>
  <c r="V518" i="3"/>
  <c r="U518" i="3"/>
  <c r="T518" i="3"/>
  <c r="S518" i="3"/>
  <c r="R518" i="3"/>
  <c r="Q518" i="3"/>
  <c r="P518" i="3"/>
  <c r="O518" i="3"/>
  <c r="N518" i="3"/>
  <c r="M518" i="3"/>
  <c r="L518" i="3"/>
  <c r="K518" i="3"/>
  <c r="J518" i="3"/>
  <c r="AL517" i="3"/>
  <c r="AK517" i="3"/>
  <c r="AJ517" i="3"/>
  <c r="AI517" i="3"/>
  <c r="AH517" i="3"/>
  <c r="AG517" i="3"/>
  <c r="AF517" i="3"/>
  <c r="AE517" i="3"/>
  <c r="AD517" i="3"/>
  <c r="AC517" i="3"/>
  <c r="AB517" i="3"/>
  <c r="AA517" i="3"/>
  <c r="Z517" i="3"/>
  <c r="Y517" i="3"/>
  <c r="X517" i="3"/>
  <c r="W517" i="3"/>
  <c r="V517" i="3"/>
  <c r="U517" i="3"/>
  <c r="T517" i="3"/>
  <c r="S517" i="3"/>
  <c r="R517" i="3"/>
  <c r="Q517" i="3"/>
  <c r="P517" i="3"/>
  <c r="O517" i="3"/>
  <c r="N517" i="3"/>
  <c r="M517" i="3"/>
  <c r="L517" i="3"/>
  <c r="K517" i="3"/>
  <c r="J517" i="3"/>
  <c r="AL516" i="3"/>
  <c r="AK516" i="3"/>
  <c r="AJ516" i="3"/>
  <c r="AI516" i="3"/>
  <c r="AH516" i="3"/>
  <c r="AG516" i="3"/>
  <c r="AF516" i="3"/>
  <c r="AE516" i="3"/>
  <c r="AD516" i="3"/>
  <c r="AC516" i="3"/>
  <c r="AB516" i="3"/>
  <c r="AA516" i="3"/>
  <c r="Z516" i="3"/>
  <c r="Y516" i="3"/>
  <c r="X516" i="3"/>
  <c r="W516" i="3"/>
  <c r="V516" i="3"/>
  <c r="U516" i="3"/>
  <c r="T516" i="3"/>
  <c r="S516" i="3"/>
  <c r="R516" i="3"/>
  <c r="Q516" i="3"/>
  <c r="P516" i="3"/>
  <c r="O516" i="3"/>
  <c r="N516" i="3"/>
  <c r="M516" i="3"/>
  <c r="L516" i="3"/>
  <c r="K516" i="3"/>
  <c r="J516" i="3"/>
  <c r="AL515" i="3"/>
  <c r="AK515" i="3"/>
  <c r="AJ515" i="3"/>
  <c r="AI515" i="3"/>
  <c r="AH515" i="3"/>
  <c r="AG515" i="3"/>
  <c r="AF515" i="3"/>
  <c r="AE515" i="3"/>
  <c r="AD515" i="3"/>
  <c r="AC515" i="3"/>
  <c r="AB515" i="3"/>
  <c r="AA515" i="3"/>
  <c r="Z515" i="3"/>
  <c r="Y515" i="3"/>
  <c r="X515" i="3"/>
  <c r="W515" i="3"/>
  <c r="V515" i="3"/>
  <c r="U515" i="3"/>
  <c r="T515" i="3"/>
  <c r="S515" i="3"/>
  <c r="R515" i="3"/>
  <c r="Q515" i="3"/>
  <c r="P515" i="3"/>
  <c r="O515" i="3"/>
  <c r="N515" i="3"/>
  <c r="M515" i="3"/>
  <c r="L515" i="3"/>
  <c r="K515" i="3"/>
  <c r="J515" i="3"/>
  <c r="AL514" i="3"/>
  <c r="AK514" i="3"/>
  <c r="AJ514" i="3"/>
  <c r="AI514" i="3"/>
  <c r="AH514" i="3"/>
  <c r="AG514" i="3"/>
  <c r="AF514" i="3"/>
  <c r="AE514" i="3"/>
  <c r="AD514" i="3"/>
  <c r="AC514" i="3"/>
  <c r="AB514" i="3"/>
  <c r="AA514" i="3"/>
  <c r="Z514" i="3"/>
  <c r="Y514" i="3"/>
  <c r="X514" i="3"/>
  <c r="W514" i="3"/>
  <c r="V514" i="3"/>
  <c r="U514" i="3"/>
  <c r="T514" i="3"/>
  <c r="S514" i="3"/>
  <c r="R514" i="3"/>
  <c r="Q514" i="3"/>
  <c r="P514" i="3"/>
  <c r="O514" i="3"/>
  <c r="N514" i="3"/>
  <c r="M514" i="3"/>
  <c r="L514" i="3"/>
  <c r="K514" i="3"/>
  <c r="J514" i="3"/>
  <c r="AL513" i="3"/>
  <c r="AK513" i="3"/>
  <c r="AJ513" i="3"/>
  <c r="AI513" i="3"/>
  <c r="AH513" i="3"/>
  <c r="AG513" i="3"/>
  <c r="AF513" i="3"/>
  <c r="AE513" i="3"/>
  <c r="AD513" i="3"/>
  <c r="AC513" i="3"/>
  <c r="AB513" i="3"/>
  <c r="AA513" i="3"/>
  <c r="Z513" i="3"/>
  <c r="Y513" i="3"/>
  <c r="X513" i="3"/>
  <c r="W513" i="3"/>
  <c r="V513" i="3"/>
  <c r="U513" i="3"/>
  <c r="T513" i="3"/>
  <c r="S513" i="3"/>
  <c r="R513" i="3"/>
  <c r="Q513" i="3"/>
  <c r="P513" i="3"/>
  <c r="O513" i="3"/>
  <c r="N513" i="3"/>
  <c r="M513" i="3"/>
  <c r="L513" i="3"/>
  <c r="K513" i="3"/>
  <c r="J513" i="3"/>
  <c r="AL512" i="3"/>
  <c r="AK512" i="3"/>
  <c r="AJ512" i="3"/>
  <c r="AI512" i="3"/>
  <c r="AH512" i="3"/>
  <c r="AG512" i="3"/>
  <c r="AF512" i="3"/>
  <c r="AE512" i="3"/>
  <c r="AD512" i="3"/>
  <c r="AC512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AL511" i="3"/>
  <c r="AK511" i="3"/>
  <c r="AJ511" i="3"/>
  <c r="AI511" i="3"/>
  <c r="AH511" i="3"/>
  <c r="AG511" i="3"/>
  <c r="AF511" i="3"/>
  <c r="AE511" i="3"/>
  <c r="AD511" i="3"/>
  <c r="AC511" i="3"/>
  <c r="AB511" i="3"/>
  <c r="AA511" i="3"/>
  <c r="Z511" i="3"/>
  <c r="Y511" i="3"/>
  <c r="X511" i="3"/>
  <c r="W511" i="3"/>
  <c r="V511" i="3"/>
  <c r="U511" i="3"/>
  <c r="T511" i="3"/>
  <c r="S511" i="3"/>
  <c r="R511" i="3"/>
  <c r="Q511" i="3"/>
  <c r="P511" i="3"/>
  <c r="O511" i="3"/>
  <c r="N511" i="3"/>
  <c r="M511" i="3"/>
  <c r="L511" i="3"/>
  <c r="K511" i="3"/>
  <c r="J511" i="3"/>
  <c r="AL510" i="3"/>
  <c r="AK510" i="3"/>
  <c r="AJ510" i="3"/>
  <c r="AI510" i="3"/>
  <c r="AH510" i="3"/>
  <c r="AG510" i="3"/>
  <c r="AF510" i="3"/>
  <c r="AE510" i="3"/>
  <c r="AD510" i="3"/>
  <c r="AC510" i="3"/>
  <c r="AB510" i="3"/>
  <c r="AA510" i="3"/>
  <c r="Z510" i="3"/>
  <c r="Y510" i="3"/>
  <c r="X510" i="3"/>
  <c r="W510" i="3"/>
  <c r="V510" i="3"/>
  <c r="U510" i="3"/>
  <c r="T510" i="3"/>
  <c r="S510" i="3"/>
  <c r="R510" i="3"/>
  <c r="Q510" i="3"/>
  <c r="P510" i="3"/>
  <c r="O510" i="3"/>
  <c r="N510" i="3"/>
  <c r="M510" i="3"/>
  <c r="L510" i="3"/>
  <c r="K510" i="3"/>
  <c r="J510" i="3"/>
  <c r="AL509" i="3"/>
  <c r="AK509" i="3"/>
  <c r="AJ509" i="3"/>
  <c r="AI509" i="3"/>
  <c r="AH509" i="3"/>
  <c r="AG509" i="3"/>
  <c r="AF509" i="3"/>
  <c r="AE509" i="3"/>
  <c r="AD509" i="3"/>
  <c r="AC509" i="3"/>
  <c r="AB509" i="3"/>
  <c r="AA509" i="3"/>
  <c r="Z509" i="3"/>
  <c r="Y509" i="3"/>
  <c r="X509" i="3"/>
  <c r="W509" i="3"/>
  <c r="V509" i="3"/>
  <c r="U509" i="3"/>
  <c r="T509" i="3"/>
  <c r="S509" i="3"/>
  <c r="R509" i="3"/>
  <c r="Q509" i="3"/>
  <c r="P509" i="3"/>
  <c r="O509" i="3"/>
  <c r="N509" i="3"/>
  <c r="M509" i="3"/>
  <c r="L509" i="3"/>
  <c r="K509" i="3"/>
  <c r="J509" i="3"/>
  <c r="AX508" i="3"/>
  <c r="AW508" i="3"/>
  <c r="AL508" i="3"/>
  <c r="AK508" i="3"/>
  <c r="AJ508" i="3"/>
  <c r="AI508" i="3"/>
  <c r="AH508" i="3"/>
  <c r="AG508" i="3"/>
  <c r="AF508" i="3"/>
  <c r="AE508" i="3"/>
  <c r="AD508" i="3"/>
  <c r="AC508" i="3"/>
  <c r="AB508" i="3"/>
  <c r="AA508" i="3"/>
  <c r="Z508" i="3"/>
  <c r="Y508" i="3"/>
  <c r="X508" i="3"/>
  <c r="W508" i="3"/>
  <c r="V508" i="3"/>
  <c r="U508" i="3"/>
  <c r="T508" i="3"/>
  <c r="S508" i="3"/>
  <c r="R508" i="3"/>
  <c r="Q508" i="3"/>
  <c r="P508" i="3"/>
  <c r="O508" i="3"/>
  <c r="N508" i="3"/>
  <c r="M508" i="3"/>
  <c r="L508" i="3"/>
  <c r="K508" i="3"/>
  <c r="J508" i="3"/>
  <c r="AX507" i="3"/>
  <c r="AW507" i="3"/>
  <c r="AL507" i="3"/>
  <c r="AK507" i="3"/>
  <c r="AJ507" i="3"/>
  <c r="AI507" i="3"/>
  <c r="AH507" i="3"/>
  <c r="AG507" i="3"/>
  <c r="AF507" i="3"/>
  <c r="AE507" i="3"/>
  <c r="AD507" i="3"/>
  <c r="AC507" i="3"/>
  <c r="AB507" i="3"/>
  <c r="AA507" i="3"/>
  <c r="Z507" i="3"/>
  <c r="Y507" i="3"/>
  <c r="X507" i="3"/>
  <c r="W507" i="3"/>
  <c r="V507" i="3"/>
  <c r="U507" i="3"/>
  <c r="T507" i="3"/>
  <c r="S507" i="3"/>
  <c r="R507" i="3"/>
  <c r="Q507" i="3"/>
  <c r="P507" i="3"/>
  <c r="O507" i="3"/>
  <c r="N507" i="3"/>
  <c r="M507" i="3"/>
  <c r="L507" i="3"/>
  <c r="K507" i="3"/>
  <c r="J507" i="3"/>
  <c r="AX506" i="3"/>
  <c r="AW506" i="3"/>
  <c r="AL506" i="3"/>
  <c r="AK506" i="3"/>
  <c r="AJ506" i="3"/>
  <c r="AI506" i="3"/>
  <c r="AH506" i="3"/>
  <c r="AG506" i="3"/>
  <c r="AF506" i="3"/>
  <c r="AE506" i="3"/>
  <c r="AD506" i="3"/>
  <c r="AC506" i="3"/>
  <c r="AB506" i="3"/>
  <c r="AA506" i="3"/>
  <c r="Z506" i="3"/>
  <c r="Y506" i="3"/>
  <c r="X506" i="3"/>
  <c r="W506" i="3"/>
  <c r="V506" i="3"/>
  <c r="U506" i="3"/>
  <c r="T506" i="3"/>
  <c r="S506" i="3"/>
  <c r="R506" i="3"/>
  <c r="Q506" i="3"/>
  <c r="P506" i="3"/>
  <c r="O506" i="3"/>
  <c r="N506" i="3"/>
  <c r="M506" i="3"/>
  <c r="L506" i="3"/>
  <c r="K506" i="3"/>
  <c r="J506" i="3"/>
  <c r="AX505" i="3"/>
  <c r="AW505" i="3"/>
  <c r="AL505" i="3"/>
  <c r="AK505" i="3"/>
  <c r="AJ505" i="3"/>
  <c r="AI505" i="3"/>
  <c r="AH505" i="3"/>
  <c r="AG505" i="3"/>
  <c r="AF505" i="3"/>
  <c r="AE505" i="3"/>
  <c r="AD505" i="3"/>
  <c r="AC505" i="3"/>
  <c r="AB505" i="3"/>
  <c r="AA505" i="3"/>
  <c r="Z505" i="3"/>
  <c r="Y505" i="3"/>
  <c r="X505" i="3"/>
  <c r="W505" i="3"/>
  <c r="V505" i="3"/>
  <c r="U505" i="3"/>
  <c r="T505" i="3"/>
  <c r="S505" i="3"/>
  <c r="R505" i="3"/>
  <c r="Q505" i="3"/>
  <c r="P505" i="3"/>
  <c r="O505" i="3"/>
  <c r="N505" i="3"/>
  <c r="M505" i="3"/>
  <c r="L505" i="3"/>
  <c r="K505" i="3"/>
  <c r="J505" i="3"/>
  <c r="AX504" i="3"/>
  <c r="AW504" i="3"/>
  <c r="AL504" i="3"/>
  <c r="AK504" i="3"/>
  <c r="AJ504" i="3"/>
  <c r="AI504" i="3"/>
  <c r="AH504" i="3"/>
  <c r="AG504" i="3"/>
  <c r="AF504" i="3"/>
  <c r="AE504" i="3"/>
  <c r="AD504" i="3"/>
  <c r="AC504" i="3"/>
  <c r="AB504" i="3"/>
  <c r="AA504" i="3"/>
  <c r="Z504" i="3"/>
  <c r="Y504" i="3"/>
  <c r="X504" i="3"/>
  <c r="W504" i="3"/>
  <c r="V504" i="3"/>
  <c r="U504" i="3"/>
  <c r="T504" i="3"/>
  <c r="S504" i="3"/>
  <c r="R504" i="3"/>
  <c r="Q504" i="3"/>
  <c r="P504" i="3"/>
  <c r="O504" i="3"/>
  <c r="N504" i="3"/>
  <c r="M504" i="3"/>
  <c r="L504" i="3"/>
  <c r="K504" i="3"/>
  <c r="J504" i="3"/>
  <c r="AX503" i="3"/>
  <c r="AW503" i="3"/>
  <c r="AL503" i="3"/>
  <c r="AK503" i="3"/>
  <c r="AJ503" i="3"/>
  <c r="AI503" i="3"/>
  <c r="AH503" i="3"/>
  <c r="AG503" i="3"/>
  <c r="AF503" i="3"/>
  <c r="AE503" i="3"/>
  <c r="AD503" i="3"/>
  <c r="AC503" i="3"/>
  <c r="AB503" i="3"/>
  <c r="AA503" i="3"/>
  <c r="Z503" i="3"/>
  <c r="Y503" i="3"/>
  <c r="X503" i="3"/>
  <c r="W503" i="3"/>
  <c r="V503" i="3"/>
  <c r="U503" i="3"/>
  <c r="T503" i="3"/>
  <c r="S503" i="3"/>
  <c r="R503" i="3"/>
  <c r="Q503" i="3"/>
  <c r="P503" i="3"/>
  <c r="O503" i="3"/>
  <c r="N503" i="3"/>
  <c r="M503" i="3"/>
  <c r="L503" i="3"/>
  <c r="K503" i="3"/>
  <c r="J503" i="3"/>
  <c r="AX502" i="3"/>
  <c r="AW502" i="3"/>
  <c r="AL502" i="3"/>
  <c r="AK502" i="3"/>
  <c r="AJ502" i="3"/>
  <c r="AI502" i="3"/>
  <c r="AH502" i="3"/>
  <c r="AG502" i="3"/>
  <c r="AF502" i="3"/>
  <c r="AE502" i="3"/>
  <c r="AD502" i="3"/>
  <c r="AC502" i="3"/>
  <c r="AB502" i="3"/>
  <c r="AA502" i="3"/>
  <c r="Z502" i="3"/>
  <c r="Y502" i="3"/>
  <c r="X502" i="3"/>
  <c r="W502" i="3"/>
  <c r="V502" i="3"/>
  <c r="U502" i="3"/>
  <c r="T502" i="3"/>
  <c r="S502" i="3"/>
  <c r="R502" i="3"/>
  <c r="Q502" i="3"/>
  <c r="P502" i="3"/>
  <c r="O502" i="3"/>
  <c r="N502" i="3"/>
  <c r="M502" i="3"/>
  <c r="L502" i="3"/>
  <c r="K502" i="3"/>
  <c r="J502" i="3"/>
  <c r="AX501" i="3"/>
  <c r="AW501" i="3"/>
  <c r="AL501" i="3"/>
  <c r="AK501" i="3"/>
  <c r="AJ501" i="3"/>
  <c r="AI501" i="3"/>
  <c r="AH501" i="3"/>
  <c r="AG501" i="3"/>
  <c r="AF501" i="3"/>
  <c r="AE501" i="3"/>
  <c r="AD501" i="3"/>
  <c r="AC501" i="3"/>
  <c r="AB501" i="3"/>
  <c r="AA501" i="3"/>
  <c r="Z501" i="3"/>
  <c r="Y501" i="3"/>
  <c r="X501" i="3"/>
  <c r="W501" i="3"/>
  <c r="V501" i="3"/>
  <c r="U501" i="3"/>
  <c r="T501" i="3"/>
  <c r="S501" i="3"/>
  <c r="R501" i="3"/>
  <c r="Q501" i="3"/>
  <c r="P501" i="3"/>
  <c r="O501" i="3"/>
  <c r="N501" i="3"/>
  <c r="M501" i="3"/>
  <c r="L501" i="3"/>
  <c r="K501" i="3"/>
  <c r="J501" i="3"/>
  <c r="AX500" i="3"/>
  <c r="AW500" i="3"/>
  <c r="AL500" i="3"/>
  <c r="AK500" i="3"/>
  <c r="AJ500" i="3"/>
  <c r="AI500" i="3"/>
  <c r="AH500" i="3"/>
  <c r="AG500" i="3"/>
  <c r="AF500" i="3"/>
  <c r="AE500" i="3"/>
  <c r="AD500" i="3"/>
  <c r="AC500" i="3"/>
  <c r="AB500" i="3"/>
  <c r="AA500" i="3"/>
  <c r="Z500" i="3"/>
  <c r="Y500" i="3"/>
  <c r="X500" i="3"/>
  <c r="W500" i="3"/>
  <c r="V500" i="3"/>
  <c r="U500" i="3"/>
  <c r="T500" i="3"/>
  <c r="S500" i="3"/>
  <c r="R500" i="3"/>
  <c r="Q500" i="3"/>
  <c r="P500" i="3"/>
  <c r="O500" i="3"/>
  <c r="N500" i="3"/>
  <c r="M500" i="3"/>
  <c r="L500" i="3"/>
  <c r="K500" i="3"/>
  <c r="J500" i="3"/>
  <c r="AX499" i="3"/>
  <c r="AW499" i="3"/>
  <c r="AL499" i="3"/>
  <c r="AK499" i="3"/>
  <c r="AJ499" i="3"/>
  <c r="AI499" i="3"/>
  <c r="AH499" i="3"/>
  <c r="AG499" i="3"/>
  <c r="AF499" i="3"/>
  <c r="AE499" i="3"/>
  <c r="AD499" i="3"/>
  <c r="AC499" i="3"/>
  <c r="AB499" i="3"/>
  <c r="AA499" i="3"/>
  <c r="Z499" i="3"/>
  <c r="Y499" i="3"/>
  <c r="X499" i="3"/>
  <c r="W499" i="3"/>
  <c r="V499" i="3"/>
  <c r="U499" i="3"/>
  <c r="T499" i="3"/>
  <c r="S499" i="3"/>
  <c r="R499" i="3"/>
  <c r="Q499" i="3"/>
  <c r="P499" i="3"/>
  <c r="O499" i="3"/>
  <c r="N499" i="3"/>
  <c r="M499" i="3"/>
  <c r="L499" i="3"/>
  <c r="K499" i="3"/>
  <c r="J499" i="3"/>
  <c r="AX498" i="3"/>
  <c r="AW498" i="3"/>
  <c r="AA498" i="3"/>
  <c r="Z498" i="3"/>
  <c r="Y498" i="3"/>
  <c r="X498" i="3"/>
  <c r="W498" i="3"/>
  <c r="V498" i="3"/>
  <c r="U498" i="3"/>
  <c r="T498" i="3"/>
  <c r="S498" i="3"/>
  <c r="R498" i="3"/>
  <c r="Q498" i="3"/>
  <c r="P498" i="3"/>
  <c r="O498" i="3"/>
  <c r="N498" i="3"/>
  <c r="M498" i="3"/>
  <c r="L498" i="3"/>
  <c r="K498" i="3"/>
  <c r="J498" i="3"/>
  <c r="AX497" i="3"/>
  <c r="AW497" i="3"/>
  <c r="AA497" i="3"/>
  <c r="Z497" i="3"/>
  <c r="Y497" i="3"/>
  <c r="X497" i="3"/>
  <c r="W497" i="3"/>
  <c r="V497" i="3"/>
  <c r="U497" i="3"/>
  <c r="T497" i="3"/>
  <c r="S497" i="3"/>
  <c r="R497" i="3"/>
  <c r="Q497" i="3"/>
  <c r="P497" i="3"/>
  <c r="O497" i="3"/>
  <c r="N497" i="3"/>
  <c r="M497" i="3"/>
  <c r="L497" i="3"/>
  <c r="K497" i="3"/>
  <c r="J497" i="3"/>
  <c r="AX496" i="3"/>
  <c r="AW496" i="3"/>
  <c r="AA496" i="3"/>
  <c r="Z496" i="3"/>
  <c r="Y496" i="3"/>
  <c r="X496" i="3"/>
  <c r="W496" i="3"/>
  <c r="V496" i="3"/>
  <c r="U496" i="3"/>
  <c r="T496" i="3"/>
  <c r="S496" i="3"/>
  <c r="R496" i="3"/>
  <c r="Q496" i="3"/>
  <c r="P496" i="3"/>
  <c r="O496" i="3"/>
  <c r="N496" i="3"/>
  <c r="M496" i="3"/>
  <c r="L496" i="3"/>
  <c r="K496" i="3"/>
  <c r="J496" i="3"/>
  <c r="AX495" i="3"/>
  <c r="AW495" i="3"/>
  <c r="AA495" i="3"/>
  <c r="Z495" i="3"/>
  <c r="Y495" i="3"/>
  <c r="X495" i="3"/>
  <c r="W495" i="3"/>
  <c r="V495" i="3"/>
  <c r="U495" i="3"/>
  <c r="T495" i="3"/>
  <c r="S495" i="3"/>
  <c r="R495" i="3"/>
  <c r="Q495" i="3"/>
  <c r="P495" i="3"/>
  <c r="O495" i="3"/>
  <c r="N495" i="3"/>
  <c r="M495" i="3"/>
  <c r="L495" i="3"/>
  <c r="K495" i="3"/>
  <c r="J495" i="3"/>
  <c r="AX494" i="3"/>
  <c r="AW494" i="3"/>
  <c r="AA494" i="3"/>
  <c r="Z494" i="3"/>
  <c r="Y494" i="3"/>
  <c r="X494" i="3"/>
  <c r="W494" i="3"/>
  <c r="V494" i="3"/>
  <c r="U494" i="3"/>
  <c r="T494" i="3"/>
  <c r="S494" i="3"/>
  <c r="R494" i="3"/>
  <c r="Q494" i="3"/>
  <c r="P494" i="3"/>
  <c r="O494" i="3"/>
  <c r="N494" i="3"/>
  <c r="M494" i="3"/>
  <c r="L494" i="3"/>
  <c r="K494" i="3"/>
  <c r="J494" i="3"/>
  <c r="AX493" i="3"/>
  <c r="AW493" i="3"/>
  <c r="AA493" i="3"/>
  <c r="Z493" i="3"/>
  <c r="Y493" i="3"/>
  <c r="X493" i="3"/>
  <c r="W493" i="3"/>
  <c r="V493" i="3"/>
  <c r="U493" i="3"/>
  <c r="T493" i="3"/>
  <c r="S493" i="3"/>
  <c r="R493" i="3"/>
  <c r="Q493" i="3"/>
  <c r="P493" i="3"/>
  <c r="O493" i="3"/>
  <c r="N493" i="3"/>
  <c r="M493" i="3"/>
  <c r="L493" i="3"/>
  <c r="K493" i="3"/>
  <c r="J493" i="3"/>
  <c r="AX492" i="3"/>
  <c r="AW492" i="3"/>
  <c r="AA492" i="3"/>
  <c r="Z492" i="3"/>
  <c r="Y492" i="3"/>
  <c r="X492" i="3"/>
  <c r="W492" i="3"/>
  <c r="V492" i="3"/>
  <c r="U492" i="3"/>
  <c r="T492" i="3"/>
  <c r="S492" i="3"/>
  <c r="R492" i="3"/>
  <c r="Q492" i="3"/>
  <c r="P492" i="3"/>
  <c r="O492" i="3"/>
  <c r="N492" i="3"/>
  <c r="M492" i="3"/>
  <c r="L492" i="3"/>
  <c r="K492" i="3"/>
  <c r="J492" i="3"/>
  <c r="AX491" i="3"/>
  <c r="AW491" i="3"/>
  <c r="AA491" i="3"/>
  <c r="Z491" i="3"/>
  <c r="Y491" i="3"/>
  <c r="X491" i="3"/>
  <c r="W491" i="3"/>
  <c r="V491" i="3"/>
  <c r="U491" i="3"/>
  <c r="T491" i="3"/>
  <c r="S491" i="3"/>
  <c r="R491" i="3"/>
  <c r="Q491" i="3"/>
  <c r="P491" i="3"/>
  <c r="O491" i="3"/>
  <c r="N491" i="3"/>
  <c r="M491" i="3"/>
  <c r="L491" i="3"/>
  <c r="K491" i="3"/>
  <c r="J491" i="3"/>
  <c r="AX490" i="3"/>
  <c r="AW490" i="3"/>
  <c r="AA490" i="3"/>
  <c r="Z490" i="3"/>
  <c r="Y490" i="3"/>
  <c r="X490" i="3"/>
  <c r="W490" i="3"/>
  <c r="V490" i="3"/>
  <c r="U490" i="3"/>
  <c r="T490" i="3"/>
  <c r="S490" i="3"/>
  <c r="R490" i="3"/>
  <c r="Q490" i="3"/>
  <c r="P490" i="3"/>
  <c r="O490" i="3"/>
  <c r="N490" i="3"/>
  <c r="M490" i="3"/>
  <c r="L490" i="3"/>
  <c r="K490" i="3"/>
  <c r="J490" i="3"/>
  <c r="AX489" i="3"/>
  <c r="AW489" i="3"/>
  <c r="AA489" i="3"/>
  <c r="Z489" i="3"/>
  <c r="Y489" i="3"/>
  <c r="X489" i="3"/>
  <c r="W489" i="3"/>
  <c r="V489" i="3"/>
  <c r="U489" i="3"/>
  <c r="T489" i="3"/>
  <c r="S489" i="3"/>
  <c r="R489" i="3"/>
  <c r="Q489" i="3"/>
  <c r="P489" i="3"/>
  <c r="O489" i="3"/>
  <c r="N489" i="3"/>
  <c r="M489" i="3"/>
  <c r="L489" i="3"/>
  <c r="K489" i="3"/>
  <c r="J489" i="3"/>
  <c r="AX488" i="3"/>
  <c r="AW488" i="3"/>
  <c r="AA488" i="3"/>
  <c r="Z488" i="3"/>
  <c r="Y488" i="3"/>
  <c r="X488" i="3"/>
  <c r="W488" i="3"/>
  <c r="V488" i="3"/>
  <c r="U488" i="3"/>
  <c r="T488" i="3"/>
  <c r="S488" i="3"/>
  <c r="R488" i="3"/>
  <c r="Q488" i="3"/>
  <c r="P488" i="3"/>
  <c r="O488" i="3"/>
  <c r="N488" i="3"/>
  <c r="M488" i="3"/>
  <c r="L488" i="3"/>
  <c r="K488" i="3"/>
  <c r="J488" i="3"/>
  <c r="AX487" i="3"/>
  <c r="AW487" i="3"/>
  <c r="AA487" i="3"/>
  <c r="Z487" i="3"/>
  <c r="Y487" i="3"/>
  <c r="X487" i="3"/>
  <c r="W487" i="3"/>
  <c r="V487" i="3"/>
  <c r="U487" i="3"/>
  <c r="T487" i="3"/>
  <c r="S487" i="3"/>
  <c r="R487" i="3"/>
  <c r="Q487" i="3"/>
  <c r="P487" i="3"/>
  <c r="O487" i="3"/>
  <c r="N487" i="3"/>
  <c r="M487" i="3"/>
  <c r="L487" i="3"/>
  <c r="K487" i="3"/>
  <c r="J487" i="3"/>
  <c r="AX486" i="3"/>
  <c r="AW486" i="3"/>
  <c r="AA486" i="3"/>
  <c r="Z486" i="3"/>
  <c r="Y486" i="3"/>
  <c r="X486" i="3"/>
  <c r="W486" i="3"/>
  <c r="V486" i="3"/>
  <c r="U486" i="3"/>
  <c r="T486" i="3"/>
  <c r="S486" i="3"/>
  <c r="R486" i="3"/>
  <c r="Q486" i="3"/>
  <c r="P486" i="3"/>
  <c r="O486" i="3"/>
  <c r="N486" i="3"/>
  <c r="M486" i="3"/>
  <c r="L486" i="3"/>
  <c r="K486" i="3"/>
  <c r="J486" i="3"/>
  <c r="AX485" i="3"/>
  <c r="AW485" i="3"/>
  <c r="AA485" i="3"/>
  <c r="Z485" i="3"/>
  <c r="Y485" i="3"/>
  <c r="X485" i="3"/>
  <c r="W485" i="3"/>
  <c r="V485" i="3"/>
  <c r="U485" i="3"/>
  <c r="T485" i="3"/>
  <c r="S485" i="3"/>
  <c r="R485" i="3"/>
  <c r="Q485" i="3"/>
  <c r="P485" i="3"/>
  <c r="O485" i="3"/>
  <c r="N485" i="3"/>
  <c r="M485" i="3"/>
  <c r="L485" i="3"/>
  <c r="K485" i="3"/>
  <c r="J485" i="3"/>
  <c r="AX484" i="3"/>
  <c r="AW484" i="3"/>
  <c r="AA484" i="3"/>
  <c r="Z484" i="3"/>
  <c r="Y484" i="3"/>
  <c r="X484" i="3"/>
  <c r="W484" i="3"/>
  <c r="V484" i="3"/>
  <c r="U484" i="3"/>
  <c r="T484" i="3"/>
  <c r="S484" i="3"/>
  <c r="R484" i="3"/>
  <c r="Q484" i="3"/>
  <c r="P484" i="3"/>
  <c r="O484" i="3"/>
  <c r="N484" i="3"/>
  <c r="M484" i="3"/>
  <c r="L484" i="3"/>
  <c r="K484" i="3"/>
  <c r="J484" i="3"/>
  <c r="AX483" i="3"/>
  <c r="AW483" i="3"/>
  <c r="AA483" i="3"/>
  <c r="Z483" i="3"/>
  <c r="Y483" i="3"/>
  <c r="X483" i="3"/>
  <c r="W483" i="3"/>
  <c r="V483" i="3"/>
  <c r="U483" i="3"/>
  <c r="T483" i="3"/>
  <c r="S483" i="3"/>
  <c r="R483" i="3"/>
  <c r="Q483" i="3"/>
  <c r="P483" i="3"/>
  <c r="O483" i="3"/>
  <c r="N483" i="3"/>
  <c r="M483" i="3"/>
  <c r="L483" i="3"/>
  <c r="K483" i="3"/>
  <c r="J483" i="3"/>
  <c r="AX482" i="3"/>
  <c r="AW482" i="3"/>
  <c r="AA482" i="3"/>
  <c r="Z482" i="3"/>
  <c r="Y482" i="3"/>
  <c r="X482" i="3"/>
  <c r="W482" i="3"/>
  <c r="V482" i="3"/>
  <c r="U482" i="3"/>
  <c r="T482" i="3"/>
  <c r="S482" i="3"/>
  <c r="R482" i="3"/>
  <c r="Q482" i="3"/>
  <c r="P482" i="3"/>
  <c r="O482" i="3"/>
  <c r="N482" i="3"/>
  <c r="M482" i="3"/>
  <c r="L482" i="3"/>
  <c r="K482" i="3"/>
  <c r="J482" i="3"/>
  <c r="AX481" i="3"/>
  <c r="AW481" i="3"/>
  <c r="AA481" i="3"/>
  <c r="Z481" i="3"/>
  <c r="Y481" i="3"/>
  <c r="X481" i="3"/>
  <c r="W481" i="3"/>
  <c r="V481" i="3"/>
  <c r="U481" i="3"/>
  <c r="T481" i="3"/>
  <c r="S481" i="3"/>
  <c r="R481" i="3"/>
  <c r="Q481" i="3"/>
  <c r="P481" i="3"/>
  <c r="O481" i="3"/>
  <c r="N481" i="3"/>
  <c r="M481" i="3"/>
  <c r="L481" i="3"/>
  <c r="K481" i="3"/>
  <c r="J481" i="3"/>
  <c r="AX480" i="3"/>
  <c r="AW480" i="3"/>
  <c r="AA480" i="3"/>
  <c r="Z480" i="3"/>
  <c r="Y480" i="3"/>
  <c r="X480" i="3"/>
  <c r="W480" i="3"/>
  <c r="V480" i="3"/>
  <c r="U480" i="3"/>
  <c r="T480" i="3"/>
  <c r="S480" i="3"/>
  <c r="R480" i="3"/>
  <c r="Q480" i="3"/>
  <c r="P480" i="3"/>
  <c r="O480" i="3"/>
  <c r="N480" i="3"/>
  <c r="M480" i="3"/>
  <c r="L480" i="3"/>
  <c r="K480" i="3"/>
  <c r="J480" i="3"/>
  <c r="AX479" i="3"/>
  <c r="AW479" i="3"/>
  <c r="AA479" i="3"/>
  <c r="Z479" i="3"/>
  <c r="Y479" i="3"/>
  <c r="X479" i="3"/>
  <c r="W479" i="3"/>
  <c r="V479" i="3"/>
  <c r="U479" i="3"/>
  <c r="T479" i="3"/>
  <c r="S479" i="3"/>
  <c r="R479" i="3"/>
  <c r="Q479" i="3"/>
  <c r="P479" i="3"/>
  <c r="O479" i="3"/>
  <c r="N479" i="3"/>
  <c r="M479" i="3"/>
  <c r="L479" i="3"/>
  <c r="K479" i="3"/>
  <c r="J479" i="3"/>
  <c r="AX478" i="3"/>
  <c r="AW478" i="3"/>
  <c r="AA478" i="3"/>
  <c r="Z478" i="3"/>
  <c r="Y478" i="3"/>
  <c r="X478" i="3"/>
  <c r="W478" i="3"/>
  <c r="V478" i="3"/>
  <c r="U478" i="3"/>
  <c r="T478" i="3"/>
  <c r="S478" i="3"/>
  <c r="R478" i="3"/>
  <c r="Q478" i="3"/>
  <c r="P478" i="3"/>
  <c r="O478" i="3"/>
  <c r="N478" i="3"/>
  <c r="M478" i="3"/>
  <c r="L478" i="3"/>
  <c r="K478" i="3"/>
  <c r="J478" i="3"/>
  <c r="AX477" i="3"/>
  <c r="AW477" i="3"/>
  <c r="AA477" i="3"/>
  <c r="Z477" i="3"/>
  <c r="Y477" i="3"/>
  <c r="X477" i="3"/>
  <c r="W477" i="3"/>
  <c r="V477" i="3"/>
  <c r="U477" i="3"/>
  <c r="T477" i="3"/>
  <c r="S477" i="3"/>
  <c r="R477" i="3"/>
  <c r="Q477" i="3"/>
  <c r="P477" i="3"/>
  <c r="O477" i="3"/>
  <c r="N477" i="3"/>
  <c r="M477" i="3"/>
  <c r="L477" i="3"/>
  <c r="K477" i="3"/>
  <c r="J477" i="3"/>
  <c r="AX476" i="3"/>
  <c r="AW476" i="3"/>
  <c r="AA476" i="3"/>
  <c r="Z476" i="3"/>
  <c r="Y476" i="3"/>
  <c r="X476" i="3"/>
  <c r="W476" i="3"/>
  <c r="V476" i="3"/>
  <c r="U476" i="3"/>
  <c r="T476" i="3"/>
  <c r="S476" i="3"/>
  <c r="R476" i="3"/>
  <c r="Q476" i="3"/>
  <c r="P476" i="3"/>
  <c r="O476" i="3"/>
  <c r="N476" i="3"/>
  <c r="M476" i="3"/>
  <c r="L476" i="3"/>
  <c r="K476" i="3"/>
  <c r="J476" i="3"/>
  <c r="AX475" i="3"/>
  <c r="AW475" i="3"/>
  <c r="AA475" i="3"/>
  <c r="Z475" i="3"/>
  <c r="Y475" i="3"/>
  <c r="X475" i="3"/>
  <c r="W475" i="3"/>
  <c r="V475" i="3"/>
  <c r="U475" i="3"/>
  <c r="T475" i="3"/>
  <c r="S475" i="3"/>
  <c r="R475" i="3"/>
  <c r="Q475" i="3"/>
  <c r="P475" i="3"/>
  <c r="O475" i="3"/>
  <c r="N475" i="3"/>
  <c r="M475" i="3"/>
  <c r="L475" i="3"/>
  <c r="K475" i="3"/>
  <c r="J475" i="3"/>
  <c r="AX474" i="3"/>
  <c r="AW474" i="3"/>
  <c r="AA474" i="3"/>
  <c r="Z474" i="3"/>
  <c r="Y474" i="3"/>
  <c r="X474" i="3"/>
  <c r="W474" i="3"/>
  <c r="V474" i="3"/>
  <c r="U474" i="3"/>
  <c r="T474" i="3"/>
  <c r="S474" i="3"/>
  <c r="R474" i="3"/>
  <c r="Q474" i="3"/>
  <c r="P474" i="3"/>
  <c r="O474" i="3"/>
  <c r="N474" i="3"/>
  <c r="M474" i="3"/>
  <c r="L474" i="3"/>
  <c r="K474" i="3"/>
  <c r="J474" i="3"/>
  <c r="AX473" i="3"/>
  <c r="AW473" i="3"/>
  <c r="AA473" i="3"/>
  <c r="Z473" i="3"/>
  <c r="Y473" i="3"/>
  <c r="X473" i="3"/>
  <c r="W473" i="3"/>
  <c r="V473" i="3"/>
  <c r="U473" i="3"/>
  <c r="T473" i="3"/>
  <c r="S473" i="3"/>
  <c r="R473" i="3"/>
  <c r="Q473" i="3"/>
  <c r="P473" i="3"/>
  <c r="O473" i="3"/>
  <c r="N473" i="3"/>
  <c r="M473" i="3"/>
  <c r="L473" i="3"/>
  <c r="K473" i="3"/>
  <c r="J473" i="3"/>
  <c r="AX472" i="3"/>
  <c r="AW472" i="3"/>
  <c r="AA472" i="3"/>
  <c r="Z472" i="3"/>
  <c r="Y472" i="3"/>
  <c r="X472" i="3"/>
  <c r="W472" i="3"/>
  <c r="V472" i="3"/>
  <c r="U472" i="3"/>
  <c r="T472" i="3"/>
  <c r="S472" i="3"/>
  <c r="R472" i="3"/>
  <c r="Q472" i="3"/>
  <c r="P472" i="3"/>
  <c r="O472" i="3"/>
  <c r="N472" i="3"/>
  <c r="M472" i="3"/>
  <c r="L472" i="3"/>
  <c r="K472" i="3"/>
  <c r="J472" i="3"/>
  <c r="AX471" i="3"/>
  <c r="AW471" i="3"/>
  <c r="AA471" i="3"/>
  <c r="Z471" i="3"/>
  <c r="Y471" i="3"/>
  <c r="X471" i="3"/>
  <c r="W471" i="3"/>
  <c r="V471" i="3"/>
  <c r="U471" i="3"/>
  <c r="T471" i="3"/>
  <c r="S471" i="3"/>
  <c r="R471" i="3"/>
  <c r="Q471" i="3"/>
  <c r="P471" i="3"/>
  <c r="O471" i="3"/>
  <c r="N471" i="3"/>
  <c r="M471" i="3"/>
  <c r="L471" i="3"/>
  <c r="K471" i="3"/>
  <c r="J471" i="3"/>
  <c r="AX470" i="3"/>
  <c r="AW470" i="3"/>
  <c r="AA470" i="3"/>
  <c r="Z470" i="3"/>
  <c r="Y470" i="3"/>
  <c r="X470" i="3"/>
  <c r="W470" i="3"/>
  <c r="V470" i="3"/>
  <c r="U470" i="3"/>
  <c r="T470" i="3"/>
  <c r="S470" i="3"/>
  <c r="R470" i="3"/>
  <c r="Q470" i="3"/>
  <c r="P470" i="3"/>
  <c r="O470" i="3"/>
  <c r="N470" i="3"/>
  <c r="M470" i="3"/>
  <c r="L470" i="3"/>
  <c r="K470" i="3"/>
  <c r="J470" i="3"/>
  <c r="AX469" i="3"/>
  <c r="AW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AX468" i="3"/>
  <c r="AW468" i="3"/>
  <c r="AL468" i="3"/>
  <c r="AK468" i="3"/>
  <c r="AJ468" i="3"/>
  <c r="AI468" i="3"/>
  <c r="AH468" i="3"/>
  <c r="AG468" i="3"/>
  <c r="AF468" i="3"/>
  <c r="AE468" i="3"/>
  <c r="AD468" i="3"/>
  <c r="AC468" i="3"/>
  <c r="AB468" i="3"/>
  <c r="AA468" i="3"/>
  <c r="Z468" i="3"/>
  <c r="Y468" i="3"/>
  <c r="X468" i="3"/>
  <c r="W468" i="3"/>
  <c r="V468" i="3"/>
  <c r="U468" i="3"/>
  <c r="T468" i="3"/>
  <c r="S468" i="3"/>
  <c r="R468" i="3"/>
  <c r="Q468" i="3"/>
  <c r="P468" i="3"/>
  <c r="O468" i="3"/>
  <c r="N468" i="3"/>
  <c r="M468" i="3"/>
  <c r="L468" i="3"/>
  <c r="K468" i="3"/>
  <c r="J468" i="3"/>
  <c r="AX467" i="3"/>
  <c r="AW467" i="3"/>
  <c r="AL467" i="3"/>
  <c r="AK467" i="3"/>
  <c r="AJ467" i="3"/>
  <c r="AI467" i="3"/>
  <c r="AH467" i="3"/>
  <c r="AG467" i="3"/>
  <c r="AF467" i="3"/>
  <c r="AE467" i="3"/>
  <c r="AD467" i="3"/>
  <c r="AC467" i="3"/>
  <c r="AB467" i="3"/>
  <c r="AA467" i="3"/>
  <c r="Z467" i="3"/>
  <c r="Y467" i="3"/>
  <c r="X467" i="3"/>
  <c r="W467" i="3"/>
  <c r="V467" i="3"/>
  <c r="U467" i="3"/>
  <c r="T467" i="3"/>
  <c r="S467" i="3"/>
  <c r="R467" i="3"/>
  <c r="Q467" i="3"/>
  <c r="P467" i="3"/>
  <c r="O467" i="3"/>
  <c r="N467" i="3"/>
  <c r="M467" i="3"/>
  <c r="L467" i="3"/>
  <c r="K467" i="3"/>
  <c r="J467" i="3"/>
  <c r="AX466" i="3"/>
  <c r="AW466" i="3"/>
  <c r="AL466" i="3"/>
  <c r="AK466" i="3"/>
  <c r="AJ466" i="3"/>
  <c r="AI466" i="3"/>
  <c r="AH466" i="3"/>
  <c r="AG466" i="3"/>
  <c r="AF466" i="3"/>
  <c r="AE466" i="3"/>
  <c r="AD466" i="3"/>
  <c r="AC466" i="3"/>
  <c r="AB466" i="3"/>
  <c r="AA466" i="3"/>
  <c r="Z466" i="3"/>
  <c r="Y466" i="3"/>
  <c r="X466" i="3"/>
  <c r="W466" i="3"/>
  <c r="V466" i="3"/>
  <c r="U466" i="3"/>
  <c r="T466" i="3"/>
  <c r="S466" i="3"/>
  <c r="R466" i="3"/>
  <c r="Q466" i="3"/>
  <c r="P466" i="3"/>
  <c r="O466" i="3"/>
  <c r="N466" i="3"/>
  <c r="M466" i="3"/>
  <c r="L466" i="3"/>
  <c r="K466" i="3"/>
  <c r="J466" i="3"/>
  <c r="AX465" i="3"/>
  <c r="AW465" i="3"/>
  <c r="AL465" i="3"/>
  <c r="AK465" i="3"/>
  <c r="AJ465" i="3"/>
  <c r="AI465" i="3"/>
  <c r="AH465" i="3"/>
  <c r="AG465" i="3"/>
  <c r="AF465" i="3"/>
  <c r="AE465" i="3"/>
  <c r="AD465" i="3"/>
  <c r="AC465" i="3"/>
  <c r="AB465" i="3"/>
  <c r="AA465" i="3"/>
  <c r="Z465" i="3"/>
  <c r="Y465" i="3"/>
  <c r="X465" i="3"/>
  <c r="W465" i="3"/>
  <c r="V465" i="3"/>
  <c r="U465" i="3"/>
  <c r="T465" i="3"/>
  <c r="S465" i="3"/>
  <c r="R465" i="3"/>
  <c r="Q465" i="3"/>
  <c r="P465" i="3"/>
  <c r="O465" i="3"/>
  <c r="N465" i="3"/>
  <c r="M465" i="3"/>
  <c r="L465" i="3"/>
  <c r="K465" i="3"/>
  <c r="J465" i="3"/>
  <c r="AX464" i="3"/>
  <c r="AW464" i="3"/>
  <c r="AL464" i="3"/>
  <c r="AK464" i="3"/>
  <c r="AJ464" i="3"/>
  <c r="AI464" i="3"/>
  <c r="AH464" i="3"/>
  <c r="AG464" i="3"/>
  <c r="AF464" i="3"/>
  <c r="AE464" i="3"/>
  <c r="AD464" i="3"/>
  <c r="AC464" i="3"/>
  <c r="AB464" i="3"/>
  <c r="AA464" i="3"/>
  <c r="Z464" i="3"/>
  <c r="Y464" i="3"/>
  <c r="X464" i="3"/>
  <c r="W464" i="3"/>
  <c r="V464" i="3"/>
  <c r="U464" i="3"/>
  <c r="T464" i="3"/>
  <c r="S464" i="3"/>
  <c r="R464" i="3"/>
  <c r="Q464" i="3"/>
  <c r="P464" i="3"/>
  <c r="O464" i="3"/>
  <c r="N464" i="3"/>
  <c r="M464" i="3"/>
  <c r="L464" i="3"/>
  <c r="K464" i="3"/>
  <c r="J464" i="3"/>
  <c r="AX463" i="3"/>
  <c r="AW463" i="3"/>
  <c r="AL463" i="3"/>
  <c r="AK463" i="3"/>
  <c r="AJ463" i="3"/>
  <c r="AI463" i="3"/>
  <c r="AH463" i="3"/>
  <c r="AG463" i="3"/>
  <c r="AF463" i="3"/>
  <c r="AE463" i="3"/>
  <c r="AD463" i="3"/>
  <c r="AC463" i="3"/>
  <c r="AB463" i="3"/>
  <c r="AA463" i="3"/>
  <c r="Z463" i="3"/>
  <c r="Y463" i="3"/>
  <c r="X463" i="3"/>
  <c r="W463" i="3"/>
  <c r="V463" i="3"/>
  <c r="U463" i="3"/>
  <c r="T463" i="3"/>
  <c r="S463" i="3"/>
  <c r="R463" i="3"/>
  <c r="Q463" i="3"/>
  <c r="P463" i="3"/>
  <c r="O463" i="3"/>
  <c r="N463" i="3"/>
  <c r="M463" i="3"/>
  <c r="L463" i="3"/>
  <c r="K463" i="3"/>
  <c r="J463" i="3"/>
  <c r="AX462" i="3"/>
  <c r="AW462" i="3"/>
  <c r="AA462" i="3"/>
  <c r="Z462" i="3"/>
  <c r="Y462" i="3"/>
  <c r="X462" i="3"/>
  <c r="W462" i="3"/>
  <c r="V462" i="3"/>
  <c r="U462" i="3"/>
  <c r="T462" i="3"/>
  <c r="S462" i="3"/>
  <c r="R462" i="3"/>
  <c r="Q462" i="3"/>
  <c r="P462" i="3"/>
  <c r="O462" i="3"/>
  <c r="N462" i="3"/>
  <c r="M462" i="3"/>
  <c r="L462" i="3"/>
  <c r="K462" i="3"/>
  <c r="J462" i="3"/>
  <c r="AX461" i="3"/>
  <c r="AW461" i="3"/>
  <c r="AA461" i="3"/>
  <c r="Z461" i="3"/>
  <c r="Y461" i="3"/>
  <c r="X461" i="3"/>
  <c r="W461" i="3"/>
  <c r="V461" i="3"/>
  <c r="U461" i="3"/>
  <c r="T461" i="3"/>
  <c r="S461" i="3"/>
  <c r="R461" i="3"/>
  <c r="Q461" i="3"/>
  <c r="P461" i="3"/>
  <c r="O461" i="3"/>
  <c r="N461" i="3"/>
  <c r="M461" i="3"/>
  <c r="L461" i="3"/>
  <c r="K461" i="3"/>
  <c r="J461" i="3"/>
  <c r="AX460" i="3"/>
  <c r="AW460" i="3"/>
  <c r="AA460" i="3"/>
  <c r="Z460" i="3"/>
  <c r="Y460" i="3"/>
  <c r="X460" i="3"/>
  <c r="W460" i="3"/>
  <c r="V460" i="3"/>
  <c r="U460" i="3"/>
  <c r="T460" i="3"/>
  <c r="S460" i="3"/>
  <c r="R460" i="3"/>
  <c r="Q460" i="3"/>
  <c r="P460" i="3"/>
  <c r="O460" i="3"/>
  <c r="N460" i="3"/>
  <c r="M460" i="3"/>
  <c r="L460" i="3"/>
  <c r="K460" i="3"/>
  <c r="J460" i="3"/>
  <c r="AX459" i="3"/>
  <c r="AW459" i="3"/>
  <c r="AA459" i="3"/>
  <c r="Z459" i="3"/>
  <c r="Y459" i="3"/>
  <c r="X459" i="3"/>
  <c r="W459" i="3"/>
  <c r="V459" i="3"/>
  <c r="U459" i="3"/>
  <c r="T459" i="3"/>
  <c r="S459" i="3"/>
  <c r="R459" i="3"/>
  <c r="Q459" i="3"/>
  <c r="P459" i="3"/>
  <c r="O459" i="3"/>
  <c r="N459" i="3"/>
  <c r="M459" i="3"/>
  <c r="L459" i="3"/>
  <c r="K459" i="3"/>
  <c r="J459" i="3"/>
  <c r="AX458" i="3"/>
  <c r="AW458" i="3"/>
  <c r="AL458" i="3"/>
  <c r="AK458" i="3"/>
  <c r="AJ458" i="3"/>
  <c r="AI458" i="3"/>
  <c r="AH458" i="3"/>
  <c r="AG458" i="3"/>
  <c r="AF458" i="3"/>
  <c r="AE458" i="3"/>
  <c r="AD458" i="3"/>
  <c r="AC458" i="3"/>
  <c r="AB458" i="3"/>
  <c r="AA458" i="3"/>
  <c r="Z458" i="3"/>
  <c r="Y458" i="3"/>
  <c r="X458" i="3"/>
  <c r="W458" i="3"/>
  <c r="V458" i="3"/>
  <c r="U458" i="3"/>
  <c r="T458" i="3"/>
  <c r="S458" i="3"/>
  <c r="R458" i="3"/>
  <c r="Q458" i="3"/>
  <c r="P458" i="3"/>
  <c r="O458" i="3"/>
  <c r="N458" i="3"/>
  <c r="M458" i="3"/>
  <c r="L458" i="3"/>
  <c r="K458" i="3"/>
  <c r="J458" i="3"/>
  <c r="AX457" i="3"/>
  <c r="AW457" i="3"/>
  <c r="AL457" i="3"/>
  <c r="AK457" i="3"/>
  <c r="AJ457" i="3"/>
  <c r="AI457" i="3"/>
  <c r="AH457" i="3"/>
  <c r="AG457" i="3"/>
  <c r="AF457" i="3"/>
  <c r="AE457" i="3"/>
  <c r="AD457" i="3"/>
  <c r="AC457" i="3"/>
  <c r="AB457" i="3"/>
  <c r="AA457" i="3"/>
  <c r="Z457" i="3"/>
  <c r="Y457" i="3"/>
  <c r="X457" i="3"/>
  <c r="W457" i="3"/>
  <c r="V457" i="3"/>
  <c r="U457" i="3"/>
  <c r="T457" i="3"/>
  <c r="S457" i="3"/>
  <c r="R457" i="3"/>
  <c r="Q457" i="3"/>
  <c r="P457" i="3"/>
  <c r="O457" i="3"/>
  <c r="N457" i="3"/>
  <c r="M457" i="3"/>
  <c r="L457" i="3"/>
  <c r="K457" i="3"/>
  <c r="J457" i="3"/>
  <c r="AX456" i="3"/>
  <c r="AW456" i="3"/>
  <c r="AL456" i="3"/>
  <c r="AK456" i="3"/>
  <c r="AJ456" i="3"/>
  <c r="AI456" i="3"/>
  <c r="AH456" i="3"/>
  <c r="AG456" i="3"/>
  <c r="AF456" i="3"/>
  <c r="AE456" i="3"/>
  <c r="AD456" i="3"/>
  <c r="AC456" i="3"/>
  <c r="AB456" i="3"/>
  <c r="AA456" i="3"/>
  <c r="Z456" i="3"/>
  <c r="Y456" i="3"/>
  <c r="X456" i="3"/>
  <c r="W456" i="3"/>
  <c r="V456" i="3"/>
  <c r="U456" i="3"/>
  <c r="T456" i="3"/>
  <c r="S456" i="3"/>
  <c r="R456" i="3"/>
  <c r="Q456" i="3"/>
  <c r="P456" i="3"/>
  <c r="O456" i="3"/>
  <c r="N456" i="3"/>
  <c r="M456" i="3"/>
  <c r="L456" i="3"/>
  <c r="K456" i="3"/>
  <c r="J456" i="3"/>
  <c r="AX455" i="3"/>
  <c r="AW455" i="3"/>
  <c r="AL455" i="3"/>
  <c r="AK455" i="3"/>
  <c r="AJ455" i="3"/>
  <c r="AI455" i="3"/>
  <c r="AH455" i="3"/>
  <c r="AG455" i="3"/>
  <c r="AF455" i="3"/>
  <c r="AE455" i="3"/>
  <c r="AD455" i="3"/>
  <c r="AC455" i="3"/>
  <c r="AB455" i="3"/>
  <c r="AA455" i="3"/>
  <c r="Z455" i="3"/>
  <c r="Y455" i="3"/>
  <c r="X455" i="3"/>
  <c r="W455" i="3"/>
  <c r="V455" i="3"/>
  <c r="U455" i="3"/>
  <c r="T455" i="3"/>
  <c r="S455" i="3"/>
  <c r="R455" i="3"/>
  <c r="Q455" i="3"/>
  <c r="P455" i="3"/>
  <c r="O455" i="3"/>
  <c r="N455" i="3"/>
  <c r="M455" i="3"/>
  <c r="L455" i="3"/>
  <c r="K455" i="3"/>
  <c r="J455" i="3"/>
  <c r="AX454" i="3"/>
  <c r="AW454" i="3"/>
  <c r="AA454" i="3"/>
  <c r="Z454" i="3"/>
  <c r="Y454" i="3"/>
  <c r="X454" i="3"/>
  <c r="W454" i="3"/>
  <c r="V454" i="3"/>
  <c r="U454" i="3"/>
  <c r="T454" i="3"/>
  <c r="S454" i="3"/>
  <c r="R454" i="3"/>
  <c r="Q454" i="3"/>
  <c r="P454" i="3"/>
  <c r="O454" i="3"/>
  <c r="N454" i="3"/>
  <c r="M454" i="3"/>
  <c r="L454" i="3"/>
  <c r="K454" i="3"/>
  <c r="J454" i="3"/>
  <c r="AX453" i="3"/>
  <c r="AW453" i="3"/>
  <c r="AA453" i="3"/>
  <c r="Z453" i="3"/>
  <c r="Y453" i="3"/>
  <c r="X453" i="3"/>
  <c r="W453" i="3"/>
  <c r="V453" i="3"/>
  <c r="U453" i="3"/>
  <c r="T453" i="3"/>
  <c r="S453" i="3"/>
  <c r="R453" i="3"/>
  <c r="Q453" i="3"/>
  <c r="P453" i="3"/>
  <c r="O453" i="3"/>
  <c r="N453" i="3"/>
  <c r="M453" i="3"/>
  <c r="L453" i="3"/>
  <c r="K453" i="3"/>
  <c r="J453" i="3"/>
  <c r="AX452" i="3"/>
  <c r="AW452" i="3"/>
  <c r="AA452" i="3"/>
  <c r="Z452" i="3"/>
  <c r="Y452" i="3"/>
  <c r="X452" i="3"/>
  <c r="W452" i="3"/>
  <c r="V452" i="3"/>
  <c r="U452" i="3"/>
  <c r="T452" i="3"/>
  <c r="S452" i="3"/>
  <c r="R452" i="3"/>
  <c r="Q452" i="3"/>
  <c r="P452" i="3"/>
  <c r="O452" i="3"/>
  <c r="N452" i="3"/>
  <c r="M452" i="3"/>
  <c r="L452" i="3"/>
  <c r="K452" i="3"/>
  <c r="J452" i="3"/>
  <c r="AX451" i="3"/>
  <c r="AW451" i="3"/>
  <c r="AA451" i="3"/>
  <c r="Z451" i="3"/>
  <c r="Y451" i="3"/>
  <c r="X451" i="3"/>
  <c r="W451" i="3"/>
  <c r="V451" i="3"/>
  <c r="U451" i="3"/>
  <c r="T451" i="3"/>
  <c r="S451" i="3"/>
  <c r="R451" i="3"/>
  <c r="Q451" i="3"/>
  <c r="P451" i="3"/>
  <c r="O451" i="3"/>
  <c r="N451" i="3"/>
  <c r="M451" i="3"/>
  <c r="L451" i="3"/>
  <c r="K451" i="3"/>
  <c r="J451" i="3"/>
  <c r="AX450" i="3"/>
  <c r="AW450" i="3"/>
  <c r="AA450" i="3"/>
  <c r="Z450" i="3"/>
  <c r="Y450" i="3"/>
  <c r="X450" i="3"/>
  <c r="W450" i="3"/>
  <c r="V450" i="3"/>
  <c r="U450" i="3"/>
  <c r="T450" i="3"/>
  <c r="S450" i="3"/>
  <c r="R450" i="3"/>
  <c r="Q450" i="3"/>
  <c r="P450" i="3"/>
  <c r="O450" i="3"/>
  <c r="N450" i="3"/>
  <c r="M450" i="3"/>
  <c r="L450" i="3"/>
  <c r="K450" i="3"/>
  <c r="J450" i="3"/>
  <c r="AX449" i="3"/>
  <c r="AW449" i="3"/>
  <c r="AA449" i="3"/>
  <c r="Z449" i="3"/>
  <c r="Y449" i="3"/>
  <c r="X449" i="3"/>
  <c r="W449" i="3"/>
  <c r="V449" i="3"/>
  <c r="U449" i="3"/>
  <c r="T449" i="3"/>
  <c r="S449" i="3"/>
  <c r="R449" i="3"/>
  <c r="Q449" i="3"/>
  <c r="P449" i="3"/>
  <c r="O449" i="3"/>
  <c r="N449" i="3"/>
  <c r="M449" i="3"/>
  <c r="L449" i="3"/>
  <c r="K449" i="3"/>
  <c r="J449" i="3"/>
  <c r="AX448" i="3"/>
  <c r="AW448" i="3"/>
  <c r="AL448" i="3"/>
  <c r="AK448" i="3"/>
  <c r="AJ448" i="3"/>
  <c r="AI448" i="3"/>
  <c r="AH448" i="3"/>
  <c r="AG448" i="3"/>
  <c r="AF448" i="3"/>
  <c r="AE448" i="3"/>
  <c r="AD448" i="3"/>
  <c r="AC448" i="3"/>
  <c r="AB448" i="3"/>
  <c r="AA448" i="3"/>
  <c r="Z448" i="3"/>
  <c r="Y448" i="3"/>
  <c r="X448" i="3"/>
  <c r="W448" i="3"/>
  <c r="V448" i="3"/>
  <c r="U448" i="3"/>
  <c r="T448" i="3"/>
  <c r="S448" i="3"/>
  <c r="R448" i="3"/>
  <c r="Q448" i="3"/>
  <c r="P448" i="3"/>
  <c r="O448" i="3"/>
  <c r="N448" i="3"/>
  <c r="M448" i="3"/>
  <c r="L448" i="3"/>
  <c r="K448" i="3"/>
  <c r="J448" i="3"/>
  <c r="AX447" i="3"/>
  <c r="AW447" i="3"/>
  <c r="AL447" i="3"/>
  <c r="AK447" i="3"/>
  <c r="AJ447" i="3"/>
  <c r="AI447" i="3"/>
  <c r="AH447" i="3"/>
  <c r="AG447" i="3"/>
  <c r="AF447" i="3"/>
  <c r="AE447" i="3"/>
  <c r="AD447" i="3"/>
  <c r="AC447" i="3"/>
  <c r="AB447" i="3"/>
  <c r="AA447" i="3"/>
  <c r="Z447" i="3"/>
  <c r="Y447" i="3"/>
  <c r="X447" i="3"/>
  <c r="W447" i="3"/>
  <c r="V447" i="3"/>
  <c r="U447" i="3"/>
  <c r="T447" i="3"/>
  <c r="S447" i="3"/>
  <c r="R447" i="3"/>
  <c r="Q447" i="3"/>
  <c r="P447" i="3"/>
  <c r="O447" i="3"/>
  <c r="N447" i="3"/>
  <c r="M447" i="3"/>
  <c r="L447" i="3"/>
  <c r="K447" i="3"/>
  <c r="J447" i="3"/>
  <c r="AX446" i="3"/>
  <c r="AW446" i="3"/>
  <c r="AL446" i="3"/>
  <c r="AK446" i="3"/>
  <c r="AJ446" i="3"/>
  <c r="AI446" i="3"/>
  <c r="AH446" i="3"/>
  <c r="AG446" i="3"/>
  <c r="AF446" i="3"/>
  <c r="AE446" i="3"/>
  <c r="AD446" i="3"/>
  <c r="AC446" i="3"/>
  <c r="AB446" i="3"/>
  <c r="AA446" i="3"/>
  <c r="Z446" i="3"/>
  <c r="Y446" i="3"/>
  <c r="X446" i="3"/>
  <c r="W446" i="3"/>
  <c r="V446" i="3"/>
  <c r="U446" i="3"/>
  <c r="T446" i="3"/>
  <c r="S446" i="3"/>
  <c r="R446" i="3"/>
  <c r="Q446" i="3"/>
  <c r="P446" i="3"/>
  <c r="O446" i="3"/>
  <c r="N446" i="3"/>
  <c r="M446" i="3"/>
  <c r="L446" i="3"/>
  <c r="K446" i="3"/>
  <c r="J446" i="3"/>
  <c r="AX445" i="3"/>
  <c r="AW445" i="3"/>
  <c r="AL445" i="3"/>
  <c r="AK445" i="3"/>
  <c r="AJ445" i="3"/>
  <c r="AI445" i="3"/>
  <c r="AH445" i="3"/>
  <c r="AG445" i="3"/>
  <c r="AF445" i="3"/>
  <c r="AE445" i="3"/>
  <c r="AD445" i="3"/>
  <c r="AC445" i="3"/>
  <c r="AB445" i="3"/>
  <c r="AA445" i="3"/>
  <c r="Z445" i="3"/>
  <c r="Y445" i="3"/>
  <c r="X445" i="3"/>
  <c r="W445" i="3"/>
  <c r="V445" i="3"/>
  <c r="U445" i="3"/>
  <c r="T445" i="3"/>
  <c r="S445" i="3"/>
  <c r="R445" i="3"/>
  <c r="Q445" i="3"/>
  <c r="P445" i="3"/>
  <c r="O445" i="3"/>
  <c r="N445" i="3"/>
  <c r="M445" i="3"/>
  <c r="L445" i="3"/>
  <c r="K445" i="3"/>
  <c r="J445" i="3"/>
  <c r="AX444" i="3"/>
  <c r="AW444" i="3"/>
  <c r="AL444" i="3"/>
  <c r="AK444" i="3"/>
  <c r="AJ444" i="3"/>
  <c r="AI444" i="3"/>
  <c r="AH444" i="3"/>
  <c r="AG444" i="3"/>
  <c r="AF444" i="3"/>
  <c r="AE444" i="3"/>
  <c r="AD444" i="3"/>
  <c r="AC444" i="3"/>
  <c r="AB444" i="3"/>
  <c r="AA444" i="3"/>
  <c r="Z444" i="3"/>
  <c r="Y444" i="3"/>
  <c r="X444" i="3"/>
  <c r="W444" i="3"/>
  <c r="V444" i="3"/>
  <c r="U444" i="3"/>
  <c r="T444" i="3"/>
  <c r="S444" i="3"/>
  <c r="R444" i="3"/>
  <c r="Q444" i="3"/>
  <c r="P444" i="3"/>
  <c r="O444" i="3"/>
  <c r="N444" i="3"/>
  <c r="M444" i="3"/>
  <c r="L444" i="3"/>
  <c r="K444" i="3"/>
  <c r="J444" i="3"/>
  <c r="AX443" i="3"/>
  <c r="AW443" i="3"/>
  <c r="AL443" i="3"/>
  <c r="AK443" i="3"/>
  <c r="AJ443" i="3"/>
  <c r="AI443" i="3"/>
  <c r="AH443" i="3"/>
  <c r="AG443" i="3"/>
  <c r="AF443" i="3"/>
  <c r="AE443" i="3"/>
  <c r="AD443" i="3"/>
  <c r="AC443" i="3"/>
  <c r="AB443" i="3"/>
  <c r="AA443" i="3"/>
  <c r="Z443" i="3"/>
  <c r="Y443" i="3"/>
  <c r="X443" i="3"/>
  <c r="W443" i="3"/>
  <c r="V443" i="3"/>
  <c r="U443" i="3"/>
  <c r="T443" i="3"/>
  <c r="S443" i="3"/>
  <c r="R443" i="3"/>
  <c r="Q443" i="3"/>
  <c r="P443" i="3"/>
  <c r="O443" i="3"/>
  <c r="N443" i="3"/>
  <c r="M443" i="3"/>
  <c r="L443" i="3"/>
  <c r="K443" i="3"/>
  <c r="J443" i="3"/>
  <c r="AX442" i="3"/>
  <c r="AW442" i="3"/>
  <c r="AL442" i="3"/>
  <c r="AK442" i="3"/>
  <c r="AJ442" i="3"/>
  <c r="AI442" i="3"/>
  <c r="AH442" i="3"/>
  <c r="AG442" i="3"/>
  <c r="AF442" i="3"/>
  <c r="AE442" i="3"/>
  <c r="AD442" i="3"/>
  <c r="AC442" i="3"/>
  <c r="AB442" i="3"/>
  <c r="AA442" i="3"/>
  <c r="Z442" i="3"/>
  <c r="Y442" i="3"/>
  <c r="X442" i="3"/>
  <c r="W442" i="3"/>
  <c r="V442" i="3"/>
  <c r="U442" i="3"/>
  <c r="T442" i="3"/>
  <c r="S442" i="3"/>
  <c r="R442" i="3"/>
  <c r="Q442" i="3"/>
  <c r="P442" i="3"/>
  <c r="O442" i="3"/>
  <c r="N442" i="3"/>
  <c r="M442" i="3"/>
  <c r="L442" i="3"/>
  <c r="K442" i="3"/>
  <c r="J442" i="3"/>
  <c r="AX441" i="3"/>
  <c r="AW441" i="3"/>
  <c r="AL441" i="3"/>
  <c r="AK441" i="3"/>
  <c r="AJ441" i="3"/>
  <c r="AI441" i="3"/>
  <c r="AH441" i="3"/>
  <c r="AG441" i="3"/>
  <c r="AF441" i="3"/>
  <c r="AE441" i="3"/>
  <c r="AD441" i="3"/>
  <c r="AC441" i="3"/>
  <c r="AB441" i="3"/>
  <c r="AA441" i="3"/>
  <c r="Z441" i="3"/>
  <c r="Y441" i="3"/>
  <c r="X441" i="3"/>
  <c r="W441" i="3"/>
  <c r="V441" i="3"/>
  <c r="U441" i="3"/>
  <c r="T441" i="3"/>
  <c r="S441" i="3"/>
  <c r="R441" i="3"/>
  <c r="Q441" i="3"/>
  <c r="P441" i="3"/>
  <c r="O441" i="3"/>
  <c r="N441" i="3"/>
  <c r="M441" i="3"/>
  <c r="L441" i="3"/>
  <c r="K441" i="3"/>
  <c r="J441" i="3"/>
  <c r="AX440" i="3"/>
  <c r="AW440" i="3"/>
  <c r="AL440" i="3"/>
  <c r="AK440" i="3"/>
  <c r="AJ440" i="3"/>
  <c r="AI440" i="3"/>
  <c r="AH440" i="3"/>
  <c r="AG440" i="3"/>
  <c r="AF440" i="3"/>
  <c r="AE440" i="3"/>
  <c r="AD440" i="3"/>
  <c r="AC440" i="3"/>
  <c r="AB440" i="3"/>
  <c r="AA440" i="3"/>
  <c r="Z440" i="3"/>
  <c r="Y440" i="3"/>
  <c r="X440" i="3"/>
  <c r="W440" i="3"/>
  <c r="V440" i="3"/>
  <c r="U440" i="3"/>
  <c r="T440" i="3"/>
  <c r="S440" i="3"/>
  <c r="R440" i="3"/>
  <c r="Q440" i="3"/>
  <c r="P440" i="3"/>
  <c r="O440" i="3"/>
  <c r="N440" i="3"/>
  <c r="M440" i="3"/>
  <c r="L440" i="3"/>
  <c r="K440" i="3"/>
  <c r="J440" i="3"/>
  <c r="AX439" i="3"/>
  <c r="AW439" i="3"/>
  <c r="AL439" i="3"/>
  <c r="AK439" i="3"/>
  <c r="AJ439" i="3"/>
  <c r="AI439" i="3"/>
  <c r="AH439" i="3"/>
  <c r="AG439" i="3"/>
  <c r="AF439" i="3"/>
  <c r="AE439" i="3"/>
  <c r="AD439" i="3"/>
  <c r="AC439" i="3"/>
  <c r="AB439" i="3"/>
  <c r="AA439" i="3"/>
  <c r="Z439" i="3"/>
  <c r="Y439" i="3"/>
  <c r="X439" i="3"/>
  <c r="W439" i="3"/>
  <c r="V439" i="3"/>
  <c r="U439" i="3"/>
  <c r="T439" i="3"/>
  <c r="S439" i="3"/>
  <c r="R439" i="3"/>
  <c r="Q439" i="3"/>
  <c r="P439" i="3"/>
  <c r="O439" i="3"/>
  <c r="N439" i="3"/>
  <c r="M439" i="3"/>
  <c r="L439" i="3"/>
  <c r="K439" i="3"/>
  <c r="J439" i="3"/>
  <c r="AX438" i="3"/>
  <c r="AW438" i="3"/>
  <c r="AL438" i="3"/>
  <c r="AK438" i="3"/>
  <c r="AJ438" i="3"/>
  <c r="AI438" i="3"/>
  <c r="AH438" i="3"/>
  <c r="AG438" i="3"/>
  <c r="AF438" i="3"/>
  <c r="AE438" i="3"/>
  <c r="AD438" i="3"/>
  <c r="AC438" i="3"/>
  <c r="AB438" i="3"/>
  <c r="AA438" i="3"/>
  <c r="Z438" i="3"/>
  <c r="Y438" i="3"/>
  <c r="X438" i="3"/>
  <c r="W438" i="3"/>
  <c r="V438" i="3"/>
  <c r="U438" i="3"/>
  <c r="T438" i="3"/>
  <c r="S438" i="3"/>
  <c r="R438" i="3"/>
  <c r="Q438" i="3"/>
  <c r="P438" i="3"/>
  <c r="O438" i="3"/>
  <c r="N438" i="3"/>
  <c r="M438" i="3"/>
  <c r="L438" i="3"/>
  <c r="K438" i="3"/>
  <c r="J438" i="3"/>
  <c r="AX437" i="3"/>
  <c r="AW437" i="3"/>
  <c r="AL437" i="3"/>
  <c r="AK437" i="3"/>
  <c r="AJ437" i="3"/>
  <c r="AI437" i="3"/>
  <c r="AH437" i="3"/>
  <c r="AG437" i="3"/>
  <c r="AF437" i="3"/>
  <c r="AE437" i="3"/>
  <c r="AD437" i="3"/>
  <c r="AC437" i="3"/>
  <c r="AB437" i="3"/>
  <c r="AA437" i="3"/>
  <c r="Z437" i="3"/>
  <c r="Y437" i="3"/>
  <c r="X437" i="3"/>
  <c r="W437" i="3"/>
  <c r="V437" i="3"/>
  <c r="U437" i="3"/>
  <c r="T437" i="3"/>
  <c r="S437" i="3"/>
  <c r="R437" i="3"/>
  <c r="Q437" i="3"/>
  <c r="P437" i="3"/>
  <c r="O437" i="3"/>
  <c r="N437" i="3"/>
  <c r="M437" i="3"/>
  <c r="L437" i="3"/>
  <c r="K437" i="3"/>
  <c r="J437" i="3"/>
  <c r="AX436" i="3"/>
  <c r="AW436" i="3"/>
  <c r="AA436" i="3"/>
  <c r="Z436" i="3"/>
  <c r="Y436" i="3"/>
  <c r="X436" i="3"/>
  <c r="W436" i="3"/>
  <c r="V436" i="3"/>
  <c r="U436" i="3"/>
  <c r="T436" i="3"/>
  <c r="S436" i="3"/>
  <c r="R436" i="3"/>
  <c r="Q436" i="3"/>
  <c r="P436" i="3"/>
  <c r="O436" i="3"/>
  <c r="N436" i="3"/>
  <c r="M436" i="3"/>
  <c r="L436" i="3"/>
  <c r="K436" i="3"/>
  <c r="J436" i="3"/>
  <c r="AX435" i="3"/>
  <c r="AW435" i="3"/>
  <c r="AA435" i="3"/>
  <c r="Z435" i="3"/>
  <c r="Y435" i="3"/>
  <c r="X435" i="3"/>
  <c r="W435" i="3"/>
  <c r="V435" i="3"/>
  <c r="U435" i="3"/>
  <c r="T435" i="3"/>
  <c r="S435" i="3"/>
  <c r="R435" i="3"/>
  <c r="Q435" i="3"/>
  <c r="P435" i="3"/>
  <c r="O435" i="3"/>
  <c r="N435" i="3"/>
  <c r="M435" i="3"/>
  <c r="L435" i="3"/>
  <c r="K435" i="3"/>
  <c r="J435" i="3"/>
  <c r="AX434" i="3"/>
  <c r="AW434" i="3"/>
  <c r="AA434" i="3"/>
  <c r="Z434" i="3"/>
  <c r="Y434" i="3"/>
  <c r="X434" i="3"/>
  <c r="W434" i="3"/>
  <c r="V434" i="3"/>
  <c r="U434" i="3"/>
  <c r="T434" i="3"/>
  <c r="S434" i="3"/>
  <c r="R434" i="3"/>
  <c r="Q434" i="3"/>
  <c r="P434" i="3"/>
  <c r="O434" i="3"/>
  <c r="N434" i="3"/>
  <c r="M434" i="3"/>
  <c r="L434" i="3"/>
  <c r="K434" i="3"/>
  <c r="J434" i="3"/>
  <c r="AX433" i="3"/>
  <c r="AW433" i="3"/>
  <c r="AA433" i="3"/>
  <c r="Z433" i="3"/>
  <c r="Y433" i="3"/>
  <c r="X433" i="3"/>
  <c r="W433" i="3"/>
  <c r="V433" i="3"/>
  <c r="U433" i="3"/>
  <c r="T433" i="3"/>
  <c r="S433" i="3"/>
  <c r="R433" i="3"/>
  <c r="Q433" i="3"/>
  <c r="P433" i="3"/>
  <c r="O433" i="3"/>
  <c r="N433" i="3"/>
  <c r="M433" i="3"/>
  <c r="L433" i="3"/>
  <c r="K433" i="3"/>
  <c r="J433" i="3"/>
  <c r="AX432" i="3"/>
  <c r="AW432" i="3"/>
  <c r="AA432" i="3"/>
  <c r="Z432" i="3"/>
  <c r="Y432" i="3"/>
  <c r="X432" i="3"/>
  <c r="W432" i="3"/>
  <c r="V432" i="3"/>
  <c r="U432" i="3"/>
  <c r="T432" i="3"/>
  <c r="S432" i="3"/>
  <c r="R432" i="3"/>
  <c r="Q432" i="3"/>
  <c r="P432" i="3"/>
  <c r="O432" i="3"/>
  <c r="N432" i="3"/>
  <c r="M432" i="3"/>
  <c r="L432" i="3"/>
  <c r="K432" i="3"/>
  <c r="J432" i="3"/>
  <c r="AX431" i="3"/>
  <c r="AW431" i="3"/>
  <c r="AL431" i="3"/>
  <c r="AK431" i="3"/>
  <c r="AJ431" i="3"/>
  <c r="AI431" i="3"/>
  <c r="AH431" i="3"/>
  <c r="AG431" i="3"/>
  <c r="AF431" i="3"/>
  <c r="AE431" i="3"/>
  <c r="AD431" i="3"/>
  <c r="AC431" i="3"/>
  <c r="AB431" i="3"/>
  <c r="AA431" i="3"/>
  <c r="Z431" i="3"/>
  <c r="Y431" i="3"/>
  <c r="X431" i="3"/>
  <c r="W431" i="3"/>
  <c r="V431" i="3"/>
  <c r="U431" i="3"/>
  <c r="T431" i="3"/>
  <c r="S431" i="3"/>
  <c r="R431" i="3"/>
  <c r="Q431" i="3"/>
  <c r="P431" i="3"/>
  <c r="O431" i="3"/>
  <c r="N431" i="3"/>
  <c r="M431" i="3"/>
  <c r="L431" i="3"/>
  <c r="K431" i="3"/>
  <c r="J431" i="3"/>
  <c r="AX430" i="3"/>
  <c r="AW430" i="3"/>
  <c r="AL430" i="3"/>
  <c r="AK430" i="3"/>
  <c r="AJ430" i="3"/>
  <c r="AI430" i="3"/>
  <c r="AH430" i="3"/>
  <c r="AG430" i="3"/>
  <c r="AF430" i="3"/>
  <c r="AE430" i="3"/>
  <c r="AD430" i="3"/>
  <c r="AC430" i="3"/>
  <c r="AB430" i="3"/>
  <c r="AA430" i="3"/>
  <c r="Z430" i="3"/>
  <c r="Y430" i="3"/>
  <c r="X430" i="3"/>
  <c r="W430" i="3"/>
  <c r="V430" i="3"/>
  <c r="U430" i="3"/>
  <c r="T430" i="3"/>
  <c r="S430" i="3"/>
  <c r="R430" i="3"/>
  <c r="Q430" i="3"/>
  <c r="P430" i="3"/>
  <c r="O430" i="3"/>
  <c r="N430" i="3"/>
  <c r="M430" i="3"/>
  <c r="L430" i="3"/>
  <c r="K430" i="3"/>
  <c r="J430" i="3"/>
  <c r="AX429" i="3"/>
  <c r="AW429" i="3"/>
  <c r="AL429" i="3"/>
  <c r="AK429" i="3"/>
  <c r="AJ429" i="3"/>
  <c r="AI429" i="3"/>
  <c r="AH429" i="3"/>
  <c r="AG429" i="3"/>
  <c r="AF429" i="3"/>
  <c r="AE429" i="3"/>
  <c r="AD429" i="3"/>
  <c r="AC429" i="3"/>
  <c r="AB429" i="3"/>
  <c r="AA429" i="3"/>
  <c r="Z429" i="3"/>
  <c r="Y429" i="3"/>
  <c r="X429" i="3"/>
  <c r="W429" i="3"/>
  <c r="V429" i="3"/>
  <c r="U429" i="3"/>
  <c r="T429" i="3"/>
  <c r="S429" i="3"/>
  <c r="R429" i="3"/>
  <c r="Q429" i="3"/>
  <c r="P429" i="3"/>
  <c r="O429" i="3"/>
  <c r="N429" i="3"/>
  <c r="M429" i="3"/>
  <c r="L429" i="3"/>
  <c r="K429" i="3"/>
  <c r="J429" i="3"/>
  <c r="AX428" i="3"/>
  <c r="AW428" i="3"/>
  <c r="AL428" i="3"/>
  <c r="AK428" i="3"/>
  <c r="AJ428" i="3"/>
  <c r="AI428" i="3"/>
  <c r="AH428" i="3"/>
  <c r="AG428" i="3"/>
  <c r="AF428" i="3"/>
  <c r="AE428" i="3"/>
  <c r="AD428" i="3"/>
  <c r="AC428" i="3"/>
  <c r="AB428" i="3"/>
  <c r="AA428" i="3"/>
  <c r="Z428" i="3"/>
  <c r="Y428" i="3"/>
  <c r="X428" i="3"/>
  <c r="W428" i="3"/>
  <c r="V428" i="3"/>
  <c r="U428" i="3"/>
  <c r="T428" i="3"/>
  <c r="S428" i="3"/>
  <c r="R428" i="3"/>
  <c r="Q428" i="3"/>
  <c r="P428" i="3"/>
  <c r="O428" i="3"/>
  <c r="N428" i="3"/>
  <c r="M428" i="3"/>
  <c r="L428" i="3"/>
  <c r="K428" i="3"/>
  <c r="J428" i="3"/>
  <c r="AX427" i="3"/>
  <c r="AW427" i="3"/>
  <c r="AL427" i="3"/>
  <c r="AK427" i="3"/>
  <c r="AJ427" i="3"/>
  <c r="AI427" i="3"/>
  <c r="AH427" i="3"/>
  <c r="AG427" i="3"/>
  <c r="AF427" i="3"/>
  <c r="AE427" i="3"/>
  <c r="AD427" i="3"/>
  <c r="AC427" i="3"/>
  <c r="AB427" i="3"/>
  <c r="AA427" i="3"/>
  <c r="Z427" i="3"/>
  <c r="Y427" i="3"/>
  <c r="X427" i="3"/>
  <c r="W427" i="3"/>
  <c r="V427" i="3"/>
  <c r="U427" i="3"/>
  <c r="T427" i="3"/>
  <c r="S427" i="3"/>
  <c r="R427" i="3"/>
  <c r="Q427" i="3"/>
  <c r="P427" i="3"/>
  <c r="O427" i="3"/>
  <c r="N427" i="3"/>
  <c r="M427" i="3"/>
  <c r="L427" i="3"/>
  <c r="K427" i="3"/>
  <c r="J427" i="3"/>
  <c r="AX426" i="3"/>
  <c r="AW426" i="3"/>
  <c r="AL426" i="3"/>
  <c r="AK426" i="3"/>
  <c r="AJ426" i="3"/>
  <c r="AI426" i="3"/>
  <c r="AH426" i="3"/>
  <c r="AG426" i="3"/>
  <c r="AF426" i="3"/>
  <c r="AE426" i="3"/>
  <c r="AD426" i="3"/>
  <c r="AC426" i="3"/>
  <c r="AB426" i="3"/>
  <c r="AA426" i="3"/>
  <c r="Z426" i="3"/>
  <c r="Y426" i="3"/>
  <c r="X426" i="3"/>
  <c r="W426" i="3"/>
  <c r="V426" i="3"/>
  <c r="U426" i="3"/>
  <c r="T426" i="3"/>
  <c r="S426" i="3"/>
  <c r="R426" i="3"/>
  <c r="Q426" i="3"/>
  <c r="P426" i="3"/>
  <c r="O426" i="3"/>
  <c r="N426" i="3"/>
  <c r="M426" i="3"/>
  <c r="L426" i="3"/>
  <c r="K426" i="3"/>
  <c r="J426" i="3"/>
  <c r="AX425" i="3"/>
  <c r="AW425" i="3"/>
  <c r="AA425" i="3"/>
  <c r="Z425" i="3"/>
  <c r="Y425" i="3"/>
  <c r="X425" i="3"/>
  <c r="W425" i="3"/>
  <c r="V425" i="3"/>
  <c r="U425" i="3"/>
  <c r="T425" i="3"/>
  <c r="S425" i="3"/>
  <c r="R425" i="3"/>
  <c r="Q425" i="3"/>
  <c r="P425" i="3"/>
  <c r="O425" i="3"/>
  <c r="N425" i="3"/>
  <c r="M425" i="3"/>
  <c r="L425" i="3"/>
  <c r="K425" i="3"/>
  <c r="J425" i="3"/>
  <c r="AX424" i="3"/>
  <c r="AW424" i="3"/>
  <c r="AA424" i="3"/>
  <c r="Z424" i="3"/>
  <c r="Y424" i="3"/>
  <c r="X424" i="3"/>
  <c r="W424" i="3"/>
  <c r="V424" i="3"/>
  <c r="U424" i="3"/>
  <c r="T424" i="3"/>
  <c r="S424" i="3"/>
  <c r="R424" i="3"/>
  <c r="Q424" i="3"/>
  <c r="P424" i="3"/>
  <c r="O424" i="3"/>
  <c r="N424" i="3"/>
  <c r="M424" i="3"/>
  <c r="L424" i="3"/>
  <c r="K424" i="3"/>
  <c r="J424" i="3"/>
  <c r="AX423" i="3"/>
  <c r="AW423" i="3"/>
  <c r="AA423" i="3"/>
  <c r="Z423" i="3"/>
  <c r="Y423" i="3"/>
  <c r="X423" i="3"/>
  <c r="W423" i="3"/>
  <c r="V423" i="3"/>
  <c r="U423" i="3"/>
  <c r="T423" i="3"/>
  <c r="S423" i="3"/>
  <c r="R423" i="3"/>
  <c r="Q423" i="3"/>
  <c r="P423" i="3"/>
  <c r="O423" i="3"/>
  <c r="N423" i="3"/>
  <c r="M423" i="3"/>
  <c r="L423" i="3"/>
  <c r="K423" i="3"/>
  <c r="J423" i="3"/>
  <c r="AX422" i="3"/>
  <c r="AW422" i="3"/>
  <c r="AA422" i="3"/>
  <c r="Z422" i="3"/>
  <c r="Y422" i="3"/>
  <c r="X422" i="3"/>
  <c r="W422" i="3"/>
  <c r="V422" i="3"/>
  <c r="U422" i="3"/>
  <c r="T422" i="3"/>
  <c r="S422" i="3"/>
  <c r="R422" i="3"/>
  <c r="Q422" i="3"/>
  <c r="P422" i="3"/>
  <c r="O422" i="3"/>
  <c r="N422" i="3"/>
  <c r="M422" i="3"/>
  <c r="L422" i="3"/>
  <c r="K422" i="3"/>
  <c r="J422" i="3"/>
  <c r="AX421" i="3"/>
  <c r="AW421" i="3"/>
  <c r="AA421" i="3"/>
  <c r="Z421" i="3"/>
  <c r="Y421" i="3"/>
  <c r="X421" i="3"/>
  <c r="W421" i="3"/>
  <c r="V421" i="3"/>
  <c r="U421" i="3"/>
  <c r="T421" i="3"/>
  <c r="S421" i="3"/>
  <c r="R421" i="3"/>
  <c r="Q421" i="3"/>
  <c r="P421" i="3"/>
  <c r="O421" i="3"/>
  <c r="N421" i="3"/>
  <c r="M421" i="3"/>
  <c r="L421" i="3"/>
  <c r="K421" i="3"/>
  <c r="J421" i="3"/>
  <c r="AX420" i="3"/>
  <c r="AW420" i="3"/>
  <c r="AA420" i="3"/>
  <c r="Z420" i="3"/>
  <c r="Y420" i="3"/>
  <c r="X420" i="3"/>
  <c r="W420" i="3"/>
  <c r="V420" i="3"/>
  <c r="U420" i="3"/>
  <c r="T420" i="3"/>
  <c r="S420" i="3"/>
  <c r="R420" i="3"/>
  <c r="Q420" i="3"/>
  <c r="P420" i="3"/>
  <c r="O420" i="3"/>
  <c r="N420" i="3"/>
  <c r="M420" i="3"/>
  <c r="L420" i="3"/>
  <c r="K420" i="3"/>
  <c r="J420" i="3"/>
  <c r="AX419" i="3"/>
  <c r="AW419" i="3"/>
  <c r="AA419" i="3"/>
  <c r="Z419" i="3"/>
  <c r="Y419" i="3"/>
  <c r="X419" i="3"/>
  <c r="W419" i="3"/>
  <c r="V419" i="3"/>
  <c r="U419" i="3"/>
  <c r="T419" i="3"/>
  <c r="S419" i="3"/>
  <c r="R419" i="3"/>
  <c r="Q419" i="3"/>
  <c r="P419" i="3"/>
  <c r="O419" i="3"/>
  <c r="N419" i="3"/>
  <c r="M419" i="3"/>
  <c r="L419" i="3"/>
  <c r="K419" i="3"/>
  <c r="J419" i="3"/>
  <c r="AX418" i="3"/>
  <c r="AW418" i="3"/>
  <c r="AA418" i="3"/>
  <c r="Z418" i="3"/>
  <c r="Y418" i="3"/>
  <c r="X418" i="3"/>
  <c r="W418" i="3"/>
  <c r="V418" i="3"/>
  <c r="U418" i="3"/>
  <c r="T418" i="3"/>
  <c r="S418" i="3"/>
  <c r="R418" i="3"/>
  <c r="Q418" i="3"/>
  <c r="P418" i="3"/>
  <c r="O418" i="3"/>
  <c r="N418" i="3"/>
  <c r="M418" i="3"/>
  <c r="L418" i="3"/>
  <c r="K418" i="3"/>
  <c r="J418" i="3"/>
  <c r="AX417" i="3"/>
  <c r="AW417" i="3"/>
  <c r="AA417" i="3"/>
  <c r="Z417" i="3"/>
  <c r="Y417" i="3"/>
  <c r="X417" i="3"/>
  <c r="W417" i="3"/>
  <c r="V417" i="3"/>
  <c r="U417" i="3"/>
  <c r="T417" i="3"/>
  <c r="S417" i="3"/>
  <c r="R417" i="3"/>
  <c r="Q417" i="3"/>
  <c r="P417" i="3"/>
  <c r="O417" i="3"/>
  <c r="N417" i="3"/>
  <c r="M417" i="3"/>
  <c r="L417" i="3"/>
  <c r="K417" i="3"/>
  <c r="J417" i="3"/>
  <c r="AX416" i="3"/>
  <c r="AW416" i="3"/>
  <c r="AL416" i="3"/>
  <c r="AK416" i="3"/>
  <c r="AJ416" i="3"/>
  <c r="AI416" i="3"/>
  <c r="AH416" i="3"/>
  <c r="AG416" i="3"/>
  <c r="AF416" i="3"/>
  <c r="AE416" i="3"/>
  <c r="AD416" i="3"/>
  <c r="AC416" i="3"/>
  <c r="AB416" i="3"/>
  <c r="AA416" i="3"/>
  <c r="Z416" i="3"/>
  <c r="Y416" i="3"/>
  <c r="X416" i="3"/>
  <c r="W416" i="3"/>
  <c r="V416" i="3"/>
  <c r="U416" i="3"/>
  <c r="T416" i="3"/>
  <c r="S416" i="3"/>
  <c r="R416" i="3"/>
  <c r="Q416" i="3"/>
  <c r="P416" i="3"/>
  <c r="O416" i="3"/>
  <c r="N416" i="3"/>
  <c r="M416" i="3"/>
  <c r="L416" i="3"/>
  <c r="K416" i="3"/>
  <c r="J416" i="3"/>
  <c r="AX415" i="3"/>
  <c r="AW415" i="3"/>
  <c r="AL415" i="3"/>
  <c r="AK415" i="3"/>
  <c r="AJ415" i="3"/>
  <c r="AI415" i="3"/>
  <c r="AH415" i="3"/>
  <c r="AG415" i="3"/>
  <c r="AF415" i="3"/>
  <c r="AE415" i="3"/>
  <c r="AD415" i="3"/>
  <c r="AC415" i="3"/>
  <c r="AB415" i="3"/>
  <c r="AA415" i="3"/>
  <c r="Z415" i="3"/>
  <c r="Y415" i="3"/>
  <c r="X415" i="3"/>
  <c r="W415" i="3"/>
  <c r="V415" i="3"/>
  <c r="U415" i="3"/>
  <c r="T415" i="3"/>
  <c r="S415" i="3"/>
  <c r="R415" i="3"/>
  <c r="Q415" i="3"/>
  <c r="P415" i="3"/>
  <c r="O415" i="3"/>
  <c r="N415" i="3"/>
  <c r="M415" i="3"/>
  <c r="L415" i="3"/>
  <c r="K415" i="3"/>
  <c r="J415" i="3"/>
  <c r="AX414" i="3"/>
  <c r="AW414" i="3"/>
  <c r="AL414" i="3"/>
  <c r="AK414" i="3"/>
  <c r="AJ414" i="3"/>
  <c r="AI414" i="3"/>
  <c r="AH414" i="3"/>
  <c r="AG414" i="3"/>
  <c r="AF414" i="3"/>
  <c r="AE414" i="3"/>
  <c r="AD414" i="3"/>
  <c r="AC414" i="3"/>
  <c r="AB414" i="3"/>
  <c r="AA414" i="3"/>
  <c r="Z414" i="3"/>
  <c r="Y414" i="3"/>
  <c r="X414" i="3"/>
  <c r="W414" i="3"/>
  <c r="V414" i="3"/>
  <c r="U414" i="3"/>
  <c r="T414" i="3"/>
  <c r="S414" i="3"/>
  <c r="R414" i="3"/>
  <c r="Q414" i="3"/>
  <c r="P414" i="3"/>
  <c r="O414" i="3"/>
  <c r="N414" i="3"/>
  <c r="M414" i="3"/>
  <c r="L414" i="3"/>
  <c r="K414" i="3"/>
  <c r="J414" i="3"/>
  <c r="AX413" i="3"/>
  <c r="AW413" i="3"/>
  <c r="AL413" i="3"/>
  <c r="AK413" i="3"/>
  <c r="AJ413" i="3"/>
  <c r="AI413" i="3"/>
  <c r="AH413" i="3"/>
  <c r="AG413" i="3"/>
  <c r="AF413" i="3"/>
  <c r="AE413" i="3"/>
  <c r="AD413" i="3"/>
  <c r="AC413" i="3"/>
  <c r="AB413" i="3"/>
  <c r="AA413" i="3"/>
  <c r="Z413" i="3"/>
  <c r="Y413" i="3"/>
  <c r="X413" i="3"/>
  <c r="W413" i="3"/>
  <c r="V413" i="3"/>
  <c r="U413" i="3"/>
  <c r="T413" i="3"/>
  <c r="S413" i="3"/>
  <c r="R413" i="3"/>
  <c r="Q413" i="3"/>
  <c r="P413" i="3"/>
  <c r="O413" i="3"/>
  <c r="N413" i="3"/>
  <c r="M413" i="3"/>
  <c r="L413" i="3"/>
  <c r="K413" i="3"/>
  <c r="J413" i="3"/>
  <c r="AX412" i="3"/>
  <c r="AW412" i="3"/>
  <c r="AL412" i="3"/>
  <c r="AK412" i="3"/>
  <c r="AJ412" i="3"/>
  <c r="AI412" i="3"/>
  <c r="AH412" i="3"/>
  <c r="AG412" i="3"/>
  <c r="AF412" i="3"/>
  <c r="AE412" i="3"/>
  <c r="AD412" i="3"/>
  <c r="AC412" i="3"/>
  <c r="AB412" i="3"/>
  <c r="AA412" i="3"/>
  <c r="Z412" i="3"/>
  <c r="Y412" i="3"/>
  <c r="X412" i="3"/>
  <c r="W412" i="3"/>
  <c r="V412" i="3"/>
  <c r="U412" i="3"/>
  <c r="T412" i="3"/>
  <c r="S412" i="3"/>
  <c r="R412" i="3"/>
  <c r="Q412" i="3"/>
  <c r="P412" i="3"/>
  <c r="O412" i="3"/>
  <c r="N412" i="3"/>
  <c r="M412" i="3"/>
  <c r="L412" i="3"/>
  <c r="K412" i="3"/>
  <c r="J412" i="3"/>
  <c r="AX411" i="3"/>
  <c r="AW411" i="3"/>
  <c r="AL411" i="3"/>
  <c r="AK411" i="3"/>
  <c r="AJ411" i="3"/>
  <c r="AI411" i="3"/>
  <c r="AH411" i="3"/>
  <c r="AG411" i="3"/>
  <c r="AF411" i="3"/>
  <c r="AE411" i="3"/>
  <c r="AD411" i="3"/>
  <c r="AC411" i="3"/>
  <c r="AB411" i="3"/>
  <c r="AA411" i="3"/>
  <c r="Z411" i="3"/>
  <c r="Y411" i="3"/>
  <c r="X411" i="3"/>
  <c r="W411" i="3"/>
  <c r="V411" i="3"/>
  <c r="U411" i="3"/>
  <c r="T411" i="3"/>
  <c r="S411" i="3"/>
  <c r="R411" i="3"/>
  <c r="Q411" i="3"/>
  <c r="P411" i="3"/>
  <c r="O411" i="3"/>
  <c r="N411" i="3"/>
  <c r="M411" i="3"/>
  <c r="L411" i="3"/>
  <c r="K411" i="3"/>
  <c r="J411" i="3"/>
  <c r="AX410" i="3"/>
  <c r="AW410" i="3"/>
  <c r="AL410" i="3"/>
  <c r="AK410" i="3"/>
  <c r="AJ410" i="3"/>
  <c r="AI410" i="3"/>
  <c r="AH410" i="3"/>
  <c r="AG410" i="3"/>
  <c r="AF410" i="3"/>
  <c r="AE410" i="3"/>
  <c r="AD410" i="3"/>
  <c r="AC410" i="3"/>
  <c r="AB410" i="3"/>
  <c r="AA410" i="3"/>
  <c r="Z410" i="3"/>
  <c r="Y410" i="3"/>
  <c r="X410" i="3"/>
  <c r="W410" i="3"/>
  <c r="V410" i="3"/>
  <c r="U410" i="3"/>
  <c r="T410" i="3"/>
  <c r="S410" i="3"/>
  <c r="R410" i="3"/>
  <c r="Q410" i="3"/>
  <c r="P410" i="3"/>
  <c r="O410" i="3"/>
  <c r="N410" i="3"/>
  <c r="M410" i="3"/>
  <c r="L410" i="3"/>
  <c r="K410" i="3"/>
  <c r="J410" i="3"/>
  <c r="AX409" i="3"/>
  <c r="AW409" i="3"/>
  <c r="AL409" i="3"/>
  <c r="AK409" i="3"/>
  <c r="AJ409" i="3"/>
  <c r="AI409" i="3"/>
  <c r="AH409" i="3"/>
  <c r="AG409" i="3"/>
  <c r="AF409" i="3"/>
  <c r="AE409" i="3"/>
  <c r="AD409" i="3"/>
  <c r="AC40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AX408" i="3"/>
  <c r="AW408" i="3"/>
  <c r="AA408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AX407" i="3"/>
  <c r="AW407" i="3"/>
  <c r="AA407" i="3"/>
  <c r="Z407" i="3"/>
  <c r="Y407" i="3"/>
  <c r="X407" i="3"/>
  <c r="W407" i="3"/>
  <c r="V407" i="3"/>
  <c r="U407" i="3"/>
  <c r="T407" i="3"/>
  <c r="S407" i="3"/>
  <c r="R407" i="3"/>
  <c r="Q407" i="3"/>
  <c r="P407" i="3"/>
  <c r="O407" i="3"/>
  <c r="N407" i="3"/>
  <c r="M407" i="3"/>
  <c r="L407" i="3"/>
  <c r="K407" i="3"/>
  <c r="J407" i="3"/>
  <c r="AX406" i="3"/>
  <c r="AW406" i="3"/>
  <c r="AA406" i="3"/>
  <c r="Z406" i="3"/>
  <c r="Y406" i="3"/>
  <c r="X406" i="3"/>
  <c r="W406" i="3"/>
  <c r="V406" i="3"/>
  <c r="U406" i="3"/>
  <c r="T406" i="3"/>
  <c r="S406" i="3"/>
  <c r="R406" i="3"/>
  <c r="Q406" i="3"/>
  <c r="P406" i="3"/>
  <c r="O406" i="3"/>
  <c r="N406" i="3"/>
  <c r="M406" i="3"/>
  <c r="L406" i="3"/>
  <c r="K406" i="3"/>
  <c r="J406" i="3"/>
  <c r="AX405" i="3"/>
  <c r="AW405" i="3"/>
  <c r="AA405" i="3"/>
  <c r="Z405" i="3"/>
  <c r="Y405" i="3"/>
  <c r="X405" i="3"/>
  <c r="W405" i="3"/>
  <c r="V405" i="3"/>
  <c r="U405" i="3"/>
  <c r="T405" i="3"/>
  <c r="S405" i="3"/>
  <c r="R405" i="3"/>
  <c r="Q405" i="3"/>
  <c r="P405" i="3"/>
  <c r="O405" i="3"/>
  <c r="N405" i="3"/>
  <c r="M405" i="3"/>
  <c r="L405" i="3"/>
  <c r="K405" i="3"/>
  <c r="J405" i="3"/>
  <c r="AX404" i="3"/>
  <c r="AW404" i="3"/>
  <c r="AA404" i="3"/>
  <c r="Z404" i="3"/>
  <c r="Y404" i="3"/>
  <c r="X404" i="3"/>
  <c r="W404" i="3"/>
  <c r="V404" i="3"/>
  <c r="U404" i="3"/>
  <c r="T404" i="3"/>
  <c r="S404" i="3"/>
  <c r="R404" i="3"/>
  <c r="Q404" i="3"/>
  <c r="P404" i="3"/>
  <c r="O404" i="3"/>
  <c r="N404" i="3"/>
  <c r="M404" i="3"/>
  <c r="L404" i="3"/>
  <c r="K404" i="3"/>
  <c r="J404" i="3"/>
  <c r="AX403" i="3"/>
  <c r="AW403" i="3"/>
  <c r="AA403" i="3"/>
  <c r="Z403" i="3"/>
  <c r="Y403" i="3"/>
  <c r="X403" i="3"/>
  <c r="W403" i="3"/>
  <c r="V403" i="3"/>
  <c r="U403" i="3"/>
  <c r="T403" i="3"/>
  <c r="S403" i="3"/>
  <c r="R403" i="3"/>
  <c r="Q403" i="3"/>
  <c r="P403" i="3"/>
  <c r="O403" i="3"/>
  <c r="N403" i="3"/>
  <c r="M403" i="3"/>
  <c r="L403" i="3"/>
  <c r="K403" i="3"/>
  <c r="J403" i="3"/>
  <c r="AX402" i="3"/>
  <c r="AW402" i="3"/>
  <c r="AA402" i="3"/>
  <c r="Z402" i="3"/>
  <c r="Y402" i="3"/>
  <c r="X402" i="3"/>
  <c r="W402" i="3"/>
  <c r="V402" i="3"/>
  <c r="U402" i="3"/>
  <c r="T402" i="3"/>
  <c r="S402" i="3"/>
  <c r="R402" i="3"/>
  <c r="Q402" i="3"/>
  <c r="P402" i="3"/>
  <c r="O402" i="3"/>
  <c r="N402" i="3"/>
  <c r="M402" i="3"/>
  <c r="L402" i="3"/>
  <c r="K402" i="3"/>
  <c r="J402" i="3"/>
  <c r="AX401" i="3"/>
  <c r="AW401" i="3"/>
  <c r="AA401" i="3"/>
  <c r="Z401" i="3"/>
  <c r="Y401" i="3"/>
  <c r="X401" i="3"/>
  <c r="W401" i="3"/>
  <c r="V401" i="3"/>
  <c r="U401" i="3"/>
  <c r="T401" i="3"/>
  <c r="S401" i="3"/>
  <c r="R401" i="3"/>
  <c r="Q401" i="3"/>
  <c r="P401" i="3"/>
  <c r="O401" i="3"/>
  <c r="N401" i="3"/>
  <c r="M401" i="3"/>
  <c r="L401" i="3"/>
  <c r="K401" i="3"/>
  <c r="J401" i="3"/>
  <c r="AX400" i="3"/>
  <c r="AW400" i="3"/>
  <c r="AA400" i="3"/>
  <c r="Z400" i="3"/>
  <c r="Y400" i="3"/>
  <c r="X400" i="3"/>
  <c r="W400" i="3"/>
  <c r="V400" i="3"/>
  <c r="U400" i="3"/>
  <c r="T400" i="3"/>
  <c r="S400" i="3"/>
  <c r="R400" i="3"/>
  <c r="Q400" i="3"/>
  <c r="P400" i="3"/>
  <c r="O400" i="3"/>
  <c r="N400" i="3"/>
  <c r="M400" i="3"/>
  <c r="L400" i="3"/>
  <c r="K400" i="3"/>
  <c r="J400" i="3"/>
  <c r="AX399" i="3"/>
  <c r="AW399" i="3"/>
  <c r="AA399" i="3"/>
  <c r="Z399" i="3"/>
  <c r="Y399" i="3"/>
  <c r="X399" i="3"/>
  <c r="W399" i="3"/>
  <c r="V399" i="3"/>
  <c r="U399" i="3"/>
  <c r="T399" i="3"/>
  <c r="S399" i="3"/>
  <c r="R399" i="3"/>
  <c r="Q399" i="3"/>
  <c r="P399" i="3"/>
  <c r="O399" i="3"/>
  <c r="N399" i="3"/>
  <c r="M399" i="3"/>
  <c r="L399" i="3"/>
  <c r="K399" i="3"/>
  <c r="J399" i="3"/>
  <c r="AX398" i="3"/>
  <c r="AW398" i="3"/>
  <c r="AA398" i="3"/>
  <c r="Z398" i="3"/>
  <c r="Y398" i="3"/>
  <c r="X398" i="3"/>
  <c r="W398" i="3"/>
  <c r="V398" i="3"/>
  <c r="U398" i="3"/>
  <c r="T398" i="3"/>
  <c r="S398" i="3"/>
  <c r="R398" i="3"/>
  <c r="Q398" i="3"/>
  <c r="P398" i="3"/>
  <c r="O398" i="3"/>
  <c r="N398" i="3"/>
  <c r="M398" i="3"/>
  <c r="L398" i="3"/>
  <c r="K398" i="3"/>
  <c r="J398" i="3"/>
  <c r="AX397" i="3"/>
  <c r="AW397" i="3"/>
  <c r="AA397" i="3"/>
  <c r="Z397" i="3"/>
  <c r="Y397" i="3"/>
  <c r="X397" i="3"/>
  <c r="W397" i="3"/>
  <c r="V397" i="3"/>
  <c r="U397" i="3"/>
  <c r="T397" i="3"/>
  <c r="S397" i="3"/>
  <c r="R397" i="3"/>
  <c r="Q397" i="3"/>
  <c r="P397" i="3"/>
  <c r="O397" i="3"/>
  <c r="N397" i="3"/>
  <c r="M397" i="3"/>
  <c r="L397" i="3"/>
  <c r="K397" i="3"/>
  <c r="J397" i="3"/>
  <c r="AX396" i="3"/>
  <c r="AW396" i="3"/>
  <c r="AA396" i="3"/>
  <c r="Z396" i="3"/>
  <c r="Y396" i="3"/>
  <c r="X396" i="3"/>
  <c r="W396" i="3"/>
  <c r="V396" i="3"/>
  <c r="U396" i="3"/>
  <c r="T396" i="3"/>
  <c r="S396" i="3"/>
  <c r="R396" i="3"/>
  <c r="Q396" i="3"/>
  <c r="P396" i="3"/>
  <c r="O396" i="3"/>
  <c r="N396" i="3"/>
  <c r="M396" i="3"/>
  <c r="L396" i="3"/>
  <c r="K396" i="3"/>
  <c r="J396" i="3"/>
  <c r="AX395" i="3"/>
  <c r="AW395" i="3"/>
  <c r="AA395" i="3"/>
  <c r="Z395" i="3"/>
  <c r="Y395" i="3"/>
  <c r="X395" i="3"/>
  <c r="W395" i="3"/>
  <c r="V395" i="3"/>
  <c r="U395" i="3"/>
  <c r="T395" i="3"/>
  <c r="S395" i="3"/>
  <c r="R395" i="3"/>
  <c r="Q395" i="3"/>
  <c r="P395" i="3"/>
  <c r="O395" i="3"/>
  <c r="N395" i="3"/>
  <c r="M395" i="3"/>
  <c r="L395" i="3"/>
  <c r="K395" i="3"/>
  <c r="J395" i="3"/>
  <c r="AX394" i="3"/>
  <c r="AW394" i="3"/>
  <c r="AA394" i="3"/>
  <c r="Z394" i="3"/>
  <c r="Y394" i="3"/>
  <c r="X394" i="3"/>
  <c r="W394" i="3"/>
  <c r="V394" i="3"/>
  <c r="U394" i="3"/>
  <c r="T394" i="3"/>
  <c r="S394" i="3"/>
  <c r="R394" i="3"/>
  <c r="Q394" i="3"/>
  <c r="P394" i="3"/>
  <c r="O394" i="3"/>
  <c r="N394" i="3"/>
  <c r="M394" i="3"/>
  <c r="L394" i="3"/>
  <c r="K394" i="3"/>
  <c r="J394" i="3"/>
  <c r="AX393" i="3"/>
  <c r="AW393" i="3"/>
  <c r="AA393" i="3"/>
  <c r="Z393" i="3"/>
  <c r="Y393" i="3"/>
  <c r="X393" i="3"/>
  <c r="W393" i="3"/>
  <c r="V393" i="3"/>
  <c r="U393" i="3"/>
  <c r="T393" i="3"/>
  <c r="S393" i="3"/>
  <c r="R393" i="3"/>
  <c r="Q393" i="3"/>
  <c r="P393" i="3"/>
  <c r="O393" i="3"/>
  <c r="N393" i="3"/>
  <c r="M393" i="3"/>
  <c r="L393" i="3"/>
  <c r="K393" i="3"/>
  <c r="J393" i="3"/>
  <c r="AX392" i="3"/>
  <c r="AW392" i="3"/>
  <c r="AA392" i="3"/>
  <c r="Z392" i="3"/>
  <c r="Y392" i="3"/>
  <c r="X392" i="3"/>
  <c r="W392" i="3"/>
  <c r="V392" i="3"/>
  <c r="U392" i="3"/>
  <c r="T392" i="3"/>
  <c r="S392" i="3"/>
  <c r="R392" i="3"/>
  <c r="Q392" i="3"/>
  <c r="P392" i="3"/>
  <c r="O392" i="3"/>
  <c r="N392" i="3"/>
  <c r="M392" i="3"/>
  <c r="L392" i="3"/>
  <c r="K392" i="3"/>
  <c r="J392" i="3"/>
  <c r="AX391" i="3"/>
  <c r="AW391" i="3"/>
  <c r="AA391" i="3"/>
  <c r="Z391" i="3"/>
  <c r="Y391" i="3"/>
  <c r="X391" i="3"/>
  <c r="W391" i="3"/>
  <c r="V391" i="3"/>
  <c r="U391" i="3"/>
  <c r="T391" i="3"/>
  <c r="S391" i="3"/>
  <c r="R391" i="3"/>
  <c r="Q391" i="3"/>
  <c r="P391" i="3"/>
  <c r="O391" i="3"/>
  <c r="N391" i="3"/>
  <c r="M391" i="3"/>
  <c r="L391" i="3"/>
  <c r="K391" i="3"/>
  <c r="J391" i="3"/>
  <c r="AX390" i="3"/>
  <c r="AW390" i="3"/>
  <c r="AA390" i="3"/>
  <c r="Z390" i="3"/>
  <c r="Y390" i="3"/>
  <c r="X390" i="3"/>
  <c r="W390" i="3"/>
  <c r="V390" i="3"/>
  <c r="U390" i="3"/>
  <c r="T390" i="3"/>
  <c r="S390" i="3"/>
  <c r="R390" i="3"/>
  <c r="Q390" i="3"/>
  <c r="P390" i="3"/>
  <c r="O390" i="3"/>
  <c r="N390" i="3"/>
  <c r="M390" i="3"/>
  <c r="L390" i="3"/>
  <c r="K390" i="3"/>
  <c r="J390" i="3"/>
  <c r="AX389" i="3"/>
  <c r="AW389" i="3"/>
  <c r="AA389" i="3"/>
  <c r="Z389" i="3"/>
  <c r="Y389" i="3"/>
  <c r="X389" i="3"/>
  <c r="W389" i="3"/>
  <c r="V389" i="3"/>
  <c r="U389" i="3"/>
  <c r="T389" i="3"/>
  <c r="S389" i="3"/>
  <c r="R389" i="3"/>
  <c r="Q389" i="3"/>
  <c r="P389" i="3"/>
  <c r="O389" i="3"/>
  <c r="N389" i="3"/>
  <c r="M389" i="3"/>
  <c r="L389" i="3"/>
  <c r="K389" i="3"/>
  <c r="J389" i="3"/>
  <c r="AX388" i="3"/>
  <c r="AW388" i="3"/>
  <c r="AA388" i="3"/>
  <c r="Z388" i="3"/>
  <c r="Y388" i="3"/>
  <c r="X388" i="3"/>
  <c r="W388" i="3"/>
  <c r="V388" i="3"/>
  <c r="U388" i="3"/>
  <c r="T388" i="3"/>
  <c r="S388" i="3"/>
  <c r="R388" i="3"/>
  <c r="Q388" i="3"/>
  <c r="P388" i="3"/>
  <c r="O388" i="3"/>
  <c r="N388" i="3"/>
  <c r="M388" i="3"/>
  <c r="L388" i="3"/>
  <c r="K388" i="3"/>
  <c r="J388" i="3"/>
  <c r="AX387" i="3"/>
  <c r="AW387" i="3"/>
  <c r="AA387" i="3"/>
  <c r="Z387" i="3"/>
  <c r="Y387" i="3"/>
  <c r="X387" i="3"/>
  <c r="W387" i="3"/>
  <c r="V387" i="3"/>
  <c r="U387" i="3"/>
  <c r="T387" i="3"/>
  <c r="S387" i="3"/>
  <c r="R387" i="3"/>
  <c r="Q387" i="3"/>
  <c r="P387" i="3"/>
  <c r="O387" i="3"/>
  <c r="N387" i="3"/>
  <c r="M387" i="3"/>
  <c r="L387" i="3"/>
  <c r="K387" i="3"/>
  <c r="J387" i="3"/>
  <c r="AX386" i="3"/>
  <c r="AW386" i="3"/>
  <c r="AA386" i="3"/>
  <c r="Z386" i="3"/>
  <c r="Y386" i="3"/>
  <c r="X386" i="3"/>
  <c r="W386" i="3"/>
  <c r="V386" i="3"/>
  <c r="U386" i="3"/>
  <c r="T386" i="3"/>
  <c r="S386" i="3"/>
  <c r="R386" i="3"/>
  <c r="Q386" i="3"/>
  <c r="P386" i="3"/>
  <c r="O386" i="3"/>
  <c r="N386" i="3"/>
  <c r="M386" i="3"/>
  <c r="L386" i="3"/>
  <c r="K386" i="3"/>
  <c r="J386" i="3"/>
  <c r="AX385" i="3"/>
  <c r="AW385" i="3"/>
  <c r="AA385" i="3"/>
  <c r="Z385" i="3"/>
  <c r="Y385" i="3"/>
  <c r="X385" i="3"/>
  <c r="W385" i="3"/>
  <c r="V385" i="3"/>
  <c r="U385" i="3"/>
  <c r="T385" i="3"/>
  <c r="S385" i="3"/>
  <c r="R385" i="3"/>
  <c r="Q385" i="3"/>
  <c r="P385" i="3"/>
  <c r="O385" i="3"/>
  <c r="N385" i="3"/>
  <c r="M385" i="3"/>
  <c r="L385" i="3"/>
  <c r="K385" i="3"/>
  <c r="J385" i="3"/>
  <c r="AX384" i="3"/>
  <c r="AW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AX383" i="3"/>
  <c r="AW383" i="3"/>
  <c r="AA383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AX382" i="3"/>
  <c r="AW382" i="3"/>
  <c r="AA382" i="3"/>
  <c r="Z382" i="3"/>
  <c r="Y382" i="3"/>
  <c r="X382" i="3"/>
  <c r="W382" i="3"/>
  <c r="V382" i="3"/>
  <c r="U382" i="3"/>
  <c r="T382" i="3"/>
  <c r="S382" i="3"/>
  <c r="R382" i="3"/>
  <c r="Q382" i="3"/>
  <c r="P382" i="3"/>
  <c r="O382" i="3"/>
  <c r="N382" i="3"/>
  <c r="M382" i="3"/>
  <c r="L382" i="3"/>
  <c r="K382" i="3"/>
  <c r="J382" i="3"/>
  <c r="AX381" i="3"/>
  <c r="AW381" i="3"/>
  <c r="AA381" i="3"/>
  <c r="Z381" i="3"/>
  <c r="Y381" i="3"/>
  <c r="X381" i="3"/>
  <c r="W381" i="3"/>
  <c r="V381" i="3"/>
  <c r="U381" i="3"/>
  <c r="T381" i="3"/>
  <c r="S381" i="3"/>
  <c r="R381" i="3"/>
  <c r="Q381" i="3"/>
  <c r="P381" i="3"/>
  <c r="O381" i="3"/>
  <c r="N381" i="3"/>
  <c r="M381" i="3"/>
  <c r="L381" i="3"/>
  <c r="K381" i="3"/>
  <c r="J381" i="3"/>
  <c r="AX380" i="3"/>
  <c r="AW380" i="3"/>
  <c r="AA380" i="3"/>
  <c r="Z380" i="3"/>
  <c r="Y380" i="3"/>
  <c r="X380" i="3"/>
  <c r="W380" i="3"/>
  <c r="V380" i="3"/>
  <c r="U380" i="3"/>
  <c r="T380" i="3"/>
  <c r="S380" i="3"/>
  <c r="R380" i="3"/>
  <c r="Q380" i="3"/>
  <c r="P380" i="3"/>
  <c r="O380" i="3"/>
  <c r="N380" i="3"/>
  <c r="M380" i="3"/>
  <c r="L380" i="3"/>
  <c r="K380" i="3"/>
  <c r="J380" i="3"/>
  <c r="AX379" i="3"/>
  <c r="AW379" i="3"/>
  <c r="AA379" i="3"/>
  <c r="Z379" i="3"/>
  <c r="Y379" i="3"/>
  <c r="X379" i="3"/>
  <c r="W379" i="3"/>
  <c r="V379" i="3"/>
  <c r="U379" i="3"/>
  <c r="T379" i="3"/>
  <c r="S379" i="3"/>
  <c r="R379" i="3"/>
  <c r="Q379" i="3"/>
  <c r="P379" i="3"/>
  <c r="O379" i="3"/>
  <c r="N379" i="3"/>
  <c r="M379" i="3"/>
  <c r="L379" i="3"/>
  <c r="K379" i="3"/>
  <c r="J379" i="3"/>
  <c r="AX378" i="3"/>
  <c r="AW378" i="3"/>
  <c r="AA378" i="3"/>
  <c r="Z378" i="3"/>
  <c r="Y378" i="3"/>
  <c r="X378" i="3"/>
  <c r="W378" i="3"/>
  <c r="V378" i="3"/>
  <c r="U378" i="3"/>
  <c r="T378" i="3"/>
  <c r="S378" i="3"/>
  <c r="R378" i="3"/>
  <c r="Q378" i="3"/>
  <c r="P378" i="3"/>
  <c r="O378" i="3"/>
  <c r="N378" i="3"/>
  <c r="M378" i="3"/>
  <c r="L378" i="3"/>
  <c r="K378" i="3"/>
  <c r="J378" i="3"/>
  <c r="AX377" i="3"/>
  <c r="AW377" i="3"/>
  <c r="AA377" i="3"/>
  <c r="Z377" i="3"/>
  <c r="Y377" i="3"/>
  <c r="X377" i="3"/>
  <c r="W377" i="3"/>
  <c r="V377" i="3"/>
  <c r="U377" i="3"/>
  <c r="T377" i="3"/>
  <c r="S377" i="3"/>
  <c r="R377" i="3"/>
  <c r="Q377" i="3"/>
  <c r="P377" i="3"/>
  <c r="O377" i="3"/>
  <c r="N377" i="3"/>
  <c r="M377" i="3"/>
  <c r="L377" i="3"/>
  <c r="K377" i="3"/>
  <c r="J377" i="3"/>
  <c r="AX376" i="3"/>
  <c r="AW376" i="3"/>
  <c r="AA376" i="3"/>
  <c r="Z376" i="3"/>
  <c r="Y376" i="3"/>
  <c r="X376" i="3"/>
  <c r="W376" i="3"/>
  <c r="V376" i="3"/>
  <c r="U376" i="3"/>
  <c r="T376" i="3"/>
  <c r="S376" i="3"/>
  <c r="R376" i="3"/>
  <c r="Q376" i="3"/>
  <c r="P376" i="3"/>
  <c r="O376" i="3"/>
  <c r="N376" i="3"/>
  <c r="M376" i="3"/>
  <c r="L376" i="3"/>
  <c r="K376" i="3"/>
  <c r="J376" i="3"/>
  <c r="AX375" i="3"/>
  <c r="AW375" i="3"/>
  <c r="AA375" i="3"/>
  <c r="Z375" i="3"/>
  <c r="Y375" i="3"/>
  <c r="X375" i="3"/>
  <c r="W375" i="3"/>
  <c r="V375" i="3"/>
  <c r="U375" i="3"/>
  <c r="T375" i="3"/>
  <c r="S375" i="3"/>
  <c r="R375" i="3"/>
  <c r="Q375" i="3"/>
  <c r="P375" i="3"/>
  <c r="O375" i="3"/>
  <c r="N375" i="3"/>
  <c r="M375" i="3"/>
  <c r="L375" i="3"/>
  <c r="K375" i="3"/>
  <c r="J375" i="3"/>
  <c r="AX374" i="3"/>
  <c r="AW374" i="3"/>
  <c r="AA374" i="3"/>
  <c r="Z374" i="3"/>
  <c r="Y374" i="3"/>
  <c r="X374" i="3"/>
  <c r="W374" i="3"/>
  <c r="V374" i="3"/>
  <c r="U374" i="3"/>
  <c r="T374" i="3"/>
  <c r="S374" i="3"/>
  <c r="R374" i="3"/>
  <c r="Q374" i="3"/>
  <c r="P374" i="3"/>
  <c r="O374" i="3"/>
  <c r="N374" i="3"/>
  <c r="M374" i="3"/>
  <c r="L374" i="3"/>
  <c r="K374" i="3"/>
  <c r="J374" i="3"/>
  <c r="AX373" i="3"/>
  <c r="AW373" i="3"/>
  <c r="AA373" i="3"/>
  <c r="Z373" i="3"/>
  <c r="Y373" i="3"/>
  <c r="X373" i="3"/>
  <c r="W373" i="3"/>
  <c r="V373" i="3"/>
  <c r="U373" i="3"/>
  <c r="T373" i="3"/>
  <c r="S373" i="3"/>
  <c r="R373" i="3"/>
  <c r="Q373" i="3"/>
  <c r="P373" i="3"/>
  <c r="O373" i="3"/>
  <c r="N373" i="3"/>
  <c r="M373" i="3"/>
  <c r="L373" i="3"/>
  <c r="K373" i="3"/>
  <c r="J373" i="3"/>
  <c r="AX372" i="3"/>
  <c r="AW372" i="3"/>
  <c r="AA372" i="3"/>
  <c r="Z372" i="3"/>
  <c r="Y372" i="3"/>
  <c r="X372" i="3"/>
  <c r="W372" i="3"/>
  <c r="V372" i="3"/>
  <c r="U372" i="3"/>
  <c r="T372" i="3"/>
  <c r="S372" i="3"/>
  <c r="R372" i="3"/>
  <c r="Q372" i="3"/>
  <c r="P372" i="3"/>
  <c r="O372" i="3"/>
  <c r="N372" i="3"/>
  <c r="M372" i="3"/>
  <c r="L372" i="3"/>
  <c r="K372" i="3"/>
  <c r="J372" i="3"/>
  <c r="AX371" i="3"/>
  <c r="AW371" i="3"/>
  <c r="AA371" i="3"/>
  <c r="Z371" i="3"/>
  <c r="Y371" i="3"/>
  <c r="X371" i="3"/>
  <c r="W371" i="3"/>
  <c r="V371" i="3"/>
  <c r="U371" i="3"/>
  <c r="T371" i="3"/>
  <c r="S371" i="3"/>
  <c r="R371" i="3"/>
  <c r="Q371" i="3"/>
  <c r="P371" i="3"/>
  <c r="O371" i="3"/>
  <c r="N371" i="3"/>
  <c r="M371" i="3"/>
  <c r="L371" i="3"/>
  <c r="K371" i="3"/>
  <c r="J371" i="3"/>
  <c r="AX370" i="3"/>
  <c r="AW370" i="3"/>
  <c r="AA370" i="3"/>
  <c r="Z370" i="3"/>
  <c r="Y370" i="3"/>
  <c r="X370" i="3"/>
  <c r="W370" i="3"/>
  <c r="V370" i="3"/>
  <c r="U370" i="3"/>
  <c r="T370" i="3"/>
  <c r="S370" i="3"/>
  <c r="R370" i="3"/>
  <c r="Q370" i="3"/>
  <c r="P370" i="3"/>
  <c r="O370" i="3"/>
  <c r="N370" i="3"/>
  <c r="M370" i="3"/>
  <c r="L370" i="3"/>
  <c r="K370" i="3"/>
  <c r="J370" i="3"/>
  <c r="AX369" i="3"/>
  <c r="AW369" i="3"/>
  <c r="AA369" i="3"/>
  <c r="Z369" i="3"/>
  <c r="Y369" i="3"/>
  <c r="X369" i="3"/>
  <c r="W369" i="3"/>
  <c r="V369" i="3"/>
  <c r="U369" i="3"/>
  <c r="T369" i="3"/>
  <c r="S369" i="3"/>
  <c r="R369" i="3"/>
  <c r="Q369" i="3"/>
  <c r="P369" i="3"/>
  <c r="O369" i="3"/>
  <c r="N369" i="3"/>
  <c r="M369" i="3"/>
  <c r="L369" i="3"/>
  <c r="K369" i="3"/>
  <c r="J369" i="3"/>
  <c r="AX368" i="3"/>
  <c r="AW368" i="3"/>
  <c r="AA368" i="3"/>
  <c r="Z368" i="3"/>
  <c r="Y368" i="3"/>
  <c r="X368" i="3"/>
  <c r="W368" i="3"/>
  <c r="V368" i="3"/>
  <c r="U368" i="3"/>
  <c r="T368" i="3"/>
  <c r="S368" i="3"/>
  <c r="R368" i="3"/>
  <c r="Q368" i="3"/>
  <c r="P368" i="3"/>
  <c r="O368" i="3"/>
  <c r="N368" i="3"/>
  <c r="M368" i="3"/>
  <c r="L368" i="3"/>
  <c r="K368" i="3"/>
  <c r="J368" i="3"/>
  <c r="AX367" i="3"/>
  <c r="AW367" i="3"/>
  <c r="AA367" i="3"/>
  <c r="Z367" i="3"/>
  <c r="Y367" i="3"/>
  <c r="X367" i="3"/>
  <c r="W367" i="3"/>
  <c r="V367" i="3"/>
  <c r="U367" i="3"/>
  <c r="T367" i="3"/>
  <c r="S367" i="3"/>
  <c r="R367" i="3"/>
  <c r="Q367" i="3"/>
  <c r="P367" i="3"/>
  <c r="O367" i="3"/>
  <c r="N367" i="3"/>
  <c r="M367" i="3"/>
  <c r="L367" i="3"/>
  <c r="K367" i="3"/>
  <c r="J367" i="3"/>
  <c r="AX366" i="3"/>
  <c r="AW366" i="3"/>
  <c r="AA366" i="3"/>
  <c r="Z366" i="3"/>
  <c r="Y366" i="3"/>
  <c r="X366" i="3"/>
  <c r="W366" i="3"/>
  <c r="V366" i="3"/>
  <c r="U366" i="3"/>
  <c r="T366" i="3"/>
  <c r="S366" i="3"/>
  <c r="R366" i="3"/>
  <c r="Q366" i="3"/>
  <c r="P366" i="3"/>
  <c r="O366" i="3"/>
  <c r="N366" i="3"/>
  <c r="M366" i="3"/>
  <c r="L366" i="3"/>
  <c r="K366" i="3"/>
  <c r="J366" i="3"/>
  <c r="AX365" i="3"/>
  <c r="AW365" i="3"/>
  <c r="AA365" i="3"/>
  <c r="Z365" i="3"/>
  <c r="Y365" i="3"/>
  <c r="X365" i="3"/>
  <c r="W365" i="3"/>
  <c r="V365" i="3"/>
  <c r="U365" i="3"/>
  <c r="T365" i="3"/>
  <c r="S365" i="3"/>
  <c r="R365" i="3"/>
  <c r="Q365" i="3"/>
  <c r="P365" i="3"/>
  <c r="O365" i="3"/>
  <c r="N365" i="3"/>
  <c r="M365" i="3"/>
  <c r="L365" i="3"/>
  <c r="K365" i="3"/>
  <c r="J365" i="3"/>
  <c r="AX364" i="3"/>
  <c r="AW364" i="3"/>
  <c r="AA364" i="3"/>
  <c r="Z364" i="3"/>
  <c r="Y364" i="3"/>
  <c r="X364" i="3"/>
  <c r="W364" i="3"/>
  <c r="V364" i="3"/>
  <c r="U364" i="3"/>
  <c r="T364" i="3"/>
  <c r="S364" i="3"/>
  <c r="R364" i="3"/>
  <c r="Q364" i="3"/>
  <c r="P364" i="3"/>
  <c r="O364" i="3"/>
  <c r="N364" i="3"/>
  <c r="M364" i="3"/>
  <c r="L364" i="3"/>
  <c r="K364" i="3"/>
  <c r="J364" i="3"/>
  <c r="AX363" i="3"/>
  <c r="AW363" i="3"/>
  <c r="AA363" i="3"/>
  <c r="Z363" i="3"/>
  <c r="Y363" i="3"/>
  <c r="X363" i="3"/>
  <c r="W363" i="3"/>
  <c r="V363" i="3"/>
  <c r="U363" i="3"/>
  <c r="T363" i="3"/>
  <c r="S363" i="3"/>
  <c r="R363" i="3"/>
  <c r="Q363" i="3"/>
  <c r="P363" i="3"/>
  <c r="O363" i="3"/>
  <c r="N363" i="3"/>
  <c r="M363" i="3"/>
  <c r="L363" i="3"/>
  <c r="K363" i="3"/>
  <c r="J363" i="3"/>
  <c r="AX362" i="3"/>
  <c r="AW362" i="3"/>
  <c r="AA362" i="3"/>
  <c r="Z362" i="3"/>
  <c r="Y362" i="3"/>
  <c r="X362" i="3"/>
  <c r="W362" i="3"/>
  <c r="V362" i="3"/>
  <c r="U362" i="3"/>
  <c r="T362" i="3"/>
  <c r="S362" i="3"/>
  <c r="R362" i="3"/>
  <c r="Q362" i="3"/>
  <c r="P362" i="3"/>
  <c r="O362" i="3"/>
  <c r="N362" i="3"/>
  <c r="M362" i="3"/>
  <c r="L362" i="3"/>
  <c r="K362" i="3"/>
  <c r="J362" i="3"/>
  <c r="AX361" i="3"/>
  <c r="AW361" i="3"/>
  <c r="AA361" i="3"/>
  <c r="Z361" i="3"/>
  <c r="Y361" i="3"/>
  <c r="X361" i="3"/>
  <c r="W361" i="3"/>
  <c r="V361" i="3"/>
  <c r="U361" i="3"/>
  <c r="T361" i="3"/>
  <c r="S361" i="3"/>
  <c r="R361" i="3"/>
  <c r="Q361" i="3"/>
  <c r="P361" i="3"/>
  <c r="O361" i="3"/>
  <c r="N361" i="3"/>
  <c r="M361" i="3"/>
  <c r="L361" i="3"/>
  <c r="K361" i="3"/>
  <c r="J361" i="3"/>
  <c r="AX360" i="3"/>
  <c r="AW360" i="3"/>
  <c r="AA360" i="3"/>
  <c r="Z360" i="3"/>
  <c r="Y360" i="3"/>
  <c r="X360" i="3"/>
  <c r="W360" i="3"/>
  <c r="V360" i="3"/>
  <c r="U360" i="3"/>
  <c r="T360" i="3"/>
  <c r="S360" i="3"/>
  <c r="R360" i="3"/>
  <c r="Q360" i="3"/>
  <c r="P360" i="3"/>
  <c r="O360" i="3"/>
  <c r="N360" i="3"/>
  <c r="M360" i="3"/>
  <c r="L360" i="3"/>
  <c r="K360" i="3"/>
  <c r="J360" i="3"/>
  <c r="AX359" i="3"/>
  <c r="AW359" i="3"/>
  <c r="AA359" i="3"/>
  <c r="Z359" i="3"/>
  <c r="Y359" i="3"/>
  <c r="X359" i="3"/>
  <c r="W359" i="3"/>
  <c r="V359" i="3"/>
  <c r="U359" i="3"/>
  <c r="T359" i="3"/>
  <c r="S359" i="3"/>
  <c r="R359" i="3"/>
  <c r="Q359" i="3"/>
  <c r="P359" i="3"/>
  <c r="O359" i="3"/>
  <c r="N359" i="3"/>
  <c r="M359" i="3"/>
  <c r="L359" i="3"/>
  <c r="K359" i="3"/>
  <c r="J359" i="3"/>
  <c r="AX358" i="3"/>
  <c r="AW358" i="3"/>
  <c r="AA358" i="3"/>
  <c r="Z358" i="3"/>
  <c r="Y358" i="3"/>
  <c r="X358" i="3"/>
  <c r="W358" i="3"/>
  <c r="V358" i="3"/>
  <c r="U358" i="3"/>
  <c r="T358" i="3"/>
  <c r="S358" i="3"/>
  <c r="R358" i="3"/>
  <c r="Q358" i="3"/>
  <c r="P358" i="3"/>
  <c r="O358" i="3"/>
  <c r="N358" i="3"/>
  <c r="M358" i="3"/>
  <c r="L358" i="3"/>
  <c r="K358" i="3"/>
  <c r="J358" i="3"/>
  <c r="AX357" i="3"/>
  <c r="AW357" i="3"/>
  <c r="AA357" i="3"/>
  <c r="Z357" i="3"/>
  <c r="Y357" i="3"/>
  <c r="X357" i="3"/>
  <c r="W357" i="3"/>
  <c r="V357" i="3"/>
  <c r="U357" i="3"/>
  <c r="T357" i="3"/>
  <c r="S357" i="3"/>
  <c r="R357" i="3"/>
  <c r="Q357" i="3"/>
  <c r="P357" i="3"/>
  <c r="O357" i="3"/>
  <c r="N357" i="3"/>
  <c r="M357" i="3"/>
  <c r="L357" i="3"/>
  <c r="K357" i="3"/>
  <c r="J357" i="3"/>
  <c r="AX356" i="3"/>
  <c r="AW356" i="3"/>
  <c r="AA356" i="3"/>
  <c r="Z356" i="3"/>
  <c r="Y356" i="3"/>
  <c r="X356" i="3"/>
  <c r="W356" i="3"/>
  <c r="V356" i="3"/>
  <c r="U356" i="3"/>
  <c r="T356" i="3"/>
  <c r="S356" i="3"/>
  <c r="R356" i="3"/>
  <c r="Q356" i="3"/>
  <c r="P356" i="3"/>
  <c r="O356" i="3"/>
  <c r="N356" i="3"/>
  <c r="M356" i="3"/>
  <c r="L356" i="3"/>
  <c r="K356" i="3"/>
  <c r="J356" i="3"/>
  <c r="AX355" i="3"/>
  <c r="AW355" i="3"/>
  <c r="AA355" i="3"/>
  <c r="Z355" i="3"/>
  <c r="Y355" i="3"/>
  <c r="X355" i="3"/>
  <c r="W355" i="3"/>
  <c r="V355" i="3"/>
  <c r="U355" i="3"/>
  <c r="T355" i="3"/>
  <c r="S355" i="3"/>
  <c r="R355" i="3"/>
  <c r="Q355" i="3"/>
  <c r="P355" i="3"/>
  <c r="O355" i="3"/>
  <c r="N355" i="3"/>
  <c r="M355" i="3"/>
  <c r="L355" i="3"/>
  <c r="K355" i="3"/>
  <c r="J355" i="3"/>
  <c r="AX354" i="3"/>
  <c r="AW354" i="3"/>
  <c r="AA354" i="3"/>
  <c r="Z354" i="3"/>
  <c r="Y354" i="3"/>
  <c r="X354" i="3"/>
  <c r="W354" i="3"/>
  <c r="V354" i="3"/>
  <c r="U354" i="3"/>
  <c r="T354" i="3"/>
  <c r="S354" i="3"/>
  <c r="R354" i="3"/>
  <c r="Q354" i="3"/>
  <c r="P354" i="3"/>
  <c r="O354" i="3"/>
  <c r="N354" i="3"/>
  <c r="M354" i="3"/>
  <c r="L354" i="3"/>
  <c r="K354" i="3"/>
  <c r="J354" i="3"/>
  <c r="AX353" i="3"/>
  <c r="AW353" i="3"/>
  <c r="AA353" i="3"/>
  <c r="Z353" i="3"/>
  <c r="Y353" i="3"/>
  <c r="X353" i="3"/>
  <c r="W353" i="3"/>
  <c r="V353" i="3"/>
  <c r="U353" i="3"/>
  <c r="T353" i="3"/>
  <c r="S353" i="3"/>
  <c r="R353" i="3"/>
  <c r="Q353" i="3"/>
  <c r="P353" i="3"/>
  <c r="O353" i="3"/>
  <c r="N353" i="3"/>
  <c r="M353" i="3"/>
  <c r="L353" i="3"/>
  <c r="K353" i="3"/>
  <c r="J353" i="3"/>
  <c r="AX352" i="3"/>
  <c r="AW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AX351" i="3"/>
  <c r="AW351" i="3"/>
  <c r="AA351" i="3"/>
  <c r="Z351" i="3"/>
  <c r="Y351" i="3"/>
  <c r="X351" i="3"/>
  <c r="W351" i="3"/>
  <c r="V351" i="3"/>
  <c r="U351" i="3"/>
  <c r="T351" i="3"/>
  <c r="S351" i="3"/>
  <c r="R351" i="3"/>
  <c r="Q351" i="3"/>
  <c r="P351" i="3"/>
  <c r="O351" i="3"/>
  <c r="N351" i="3"/>
  <c r="M351" i="3"/>
  <c r="L351" i="3"/>
  <c r="K351" i="3"/>
  <c r="J351" i="3"/>
  <c r="AX350" i="3"/>
  <c r="AW350" i="3"/>
  <c r="AA350" i="3"/>
  <c r="Z350" i="3"/>
  <c r="Y350" i="3"/>
  <c r="X350" i="3"/>
  <c r="W350" i="3"/>
  <c r="V350" i="3"/>
  <c r="U350" i="3"/>
  <c r="T350" i="3"/>
  <c r="S350" i="3"/>
  <c r="R350" i="3"/>
  <c r="Q350" i="3"/>
  <c r="P350" i="3"/>
  <c r="O350" i="3"/>
  <c r="N350" i="3"/>
  <c r="M350" i="3"/>
  <c r="L350" i="3"/>
  <c r="K350" i="3"/>
  <c r="J350" i="3"/>
  <c r="AX349" i="3"/>
  <c r="AW349" i="3"/>
  <c r="AA349" i="3"/>
  <c r="Z349" i="3"/>
  <c r="Y349" i="3"/>
  <c r="X349" i="3"/>
  <c r="W349" i="3"/>
  <c r="V349" i="3"/>
  <c r="U349" i="3"/>
  <c r="T349" i="3"/>
  <c r="S349" i="3"/>
  <c r="R349" i="3"/>
  <c r="Q349" i="3"/>
  <c r="P349" i="3"/>
  <c r="O349" i="3"/>
  <c r="N349" i="3"/>
  <c r="M349" i="3"/>
  <c r="L349" i="3"/>
  <c r="K349" i="3"/>
  <c r="J349" i="3"/>
  <c r="AX348" i="3"/>
  <c r="AW348" i="3"/>
  <c r="AA348" i="3"/>
  <c r="Z348" i="3"/>
  <c r="Y348" i="3"/>
  <c r="X348" i="3"/>
  <c r="W348" i="3"/>
  <c r="V348" i="3"/>
  <c r="U348" i="3"/>
  <c r="T348" i="3"/>
  <c r="S348" i="3"/>
  <c r="R348" i="3"/>
  <c r="Q348" i="3"/>
  <c r="P348" i="3"/>
  <c r="O348" i="3"/>
  <c r="N348" i="3"/>
  <c r="M348" i="3"/>
  <c r="L348" i="3"/>
  <c r="K348" i="3"/>
  <c r="J348" i="3"/>
  <c r="AX347" i="3"/>
  <c r="AW347" i="3"/>
  <c r="AA347" i="3"/>
  <c r="Z347" i="3"/>
  <c r="Y347" i="3"/>
  <c r="X347" i="3"/>
  <c r="W347" i="3"/>
  <c r="V347" i="3"/>
  <c r="U347" i="3"/>
  <c r="T347" i="3"/>
  <c r="S347" i="3"/>
  <c r="R347" i="3"/>
  <c r="Q347" i="3"/>
  <c r="P347" i="3"/>
  <c r="O347" i="3"/>
  <c r="N347" i="3"/>
  <c r="M347" i="3"/>
  <c r="L347" i="3"/>
  <c r="K347" i="3"/>
  <c r="J347" i="3"/>
  <c r="AX346" i="3"/>
  <c r="AW346" i="3"/>
  <c r="AA346" i="3"/>
  <c r="Z346" i="3"/>
  <c r="Y346" i="3"/>
  <c r="X346" i="3"/>
  <c r="W346" i="3"/>
  <c r="V346" i="3"/>
  <c r="U346" i="3"/>
  <c r="T346" i="3"/>
  <c r="S346" i="3"/>
  <c r="R346" i="3"/>
  <c r="Q346" i="3"/>
  <c r="P346" i="3"/>
  <c r="O346" i="3"/>
  <c r="N346" i="3"/>
  <c r="M346" i="3"/>
  <c r="L346" i="3"/>
  <c r="K346" i="3"/>
  <c r="J346" i="3"/>
  <c r="AX345" i="3"/>
  <c r="AW345" i="3"/>
  <c r="AA345" i="3"/>
  <c r="Z345" i="3"/>
  <c r="Y345" i="3"/>
  <c r="X345" i="3"/>
  <c r="W345" i="3"/>
  <c r="V345" i="3"/>
  <c r="U345" i="3"/>
  <c r="T345" i="3"/>
  <c r="S345" i="3"/>
  <c r="R345" i="3"/>
  <c r="Q345" i="3"/>
  <c r="P345" i="3"/>
  <c r="O345" i="3"/>
  <c r="N345" i="3"/>
  <c r="M345" i="3"/>
  <c r="L345" i="3"/>
  <c r="K345" i="3"/>
  <c r="J345" i="3"/>
  <c r="AX344" i="3"/>
  <c r="AW344" i="3"/>
  <c r="AA344" i="3"/>
  <c r="Z344" i="3"/>
  <c r="Y344" i="3"/>
  <c r="X344" i="3"/>
  <c r="W344" i="3"/>
  <c r="V344" i="3"/>
  <c r="U344" i="3"/>
  <c r="T344" i="3"/>
  <c r="S344" i="3"/>
  <c r="R344" i="3"/>
  <c r="Q344" i="3"/>
  <c r="P344" i="3"/>
  <c r="O344" i="3"/>
  <c r="N344" i="3"/>
  <c r="M344" i="3"/>
  <c r="L344" i="3"/>
  <c r="K344" i="3"/>
  <c r="J344" i="3"/>
  <c r="AX343" i="3"/>
  <c r="AW343" i="3"/>
  <c r="AA343" i="3"/>
  <c r="Z343" i="3"/>
  <c r="Y343" i="3"/>
  <c r="X343" i="3"/>
  <c r="W343" i="3"/>
  <c r="V343" i="3"/>
  <c r="U343" i="3"/>
  <c r="T343" i="3"/>
  <c r="S343" i="3"/>
  <c r="R343" i="3"/>
  <c r="Q343" i="3"/>
  <c r="P343" i="3"/>
  <c r="O343" i="3"/>
  <c r="N343" i="3"/>
  <c r="M343" i="3"/>
  <c r="L343" i="3"/>
  <c r="K343" i="3"/>
  <c r="J343" i="3"/>
  <c r="AX342" i="3"/>
  <c r="AW342" i="3"/>
  <c r="AA342" i="3"/>
  <c r="Z342" i="3"/>
  <c r="Y342" i="3"/>
  <c r="X342" i="3"/>
  <c r="W342" i="3"/>
  <c r="V342" i="3"/>
  <c r="U342" i="3"/>
  <c r="T342" i="3"/>
  <c r="S342" i="3"/>
  <c r="R342" i="3"/>
  <c r="Q342" i="3"/>
  <c r="P342" i="3"/>
  <c r="O342" i="3"/>
  <c r="N342" i="3"/>
  <c r="M342" i="3"/>
  <c r="L342" i="3"/>
  <c r="K342" i="3"/>
  <c r="J342" i="3"/>
  <c r="AX341" i="3"/>
  <c r="AW341" i="3"/>
  <c r="AA341" i="3"/>
  <c r="Z341" i="3"/>
  <c r="Y341" i="3"/>
  <c r="X341" i="3"/>
  <c r="W341" i="3"/>
  <c r="V341" i="3"/>
  <c r="U341" i="3"/>
  <c r="T341" i="3"/>
  <c r="S341" i="3"/>
  <c r="R341" i="3"/>
  <c r="Q341" i="3"/>
  <c r="P341" i="3"/>
  <c r="O341" i="3"/>
  <c r="N341" i="3"/>
  <c r="M341" i="3"/>
  <c r="L341" i="3"/>
  <c r="K341" i="3"/>
  <c r="J341" i="3"/>
  <c r="AX340" i="3"/>
  <c r="AW340" i="3"/>
  <c r="AA340" i="3"/>
  <c r="Z340" i="3"/>
  <c r="Y340" i="3"/>
  <c r="X340" i="3"/>
  <c r="W340" i="3"/>
  <c r="V340" i="3"/>
  <c r="U340" i="3"/>
  <c r="T340" i="3"/>
  <c r="S340" i="3"/>
  <c r="R340" i="3"/>
  <c r="Q340" i="3"/>
  <c r="P340" i="3"/>
  <c r="O340" i="3"/>
  <c r="N340" i="3"/>
  <c r="M340" i="3"/>
  <c r="L340" i="3"/>
  <c r="K340" i="3"/>
  <c r="J340" i="3"/>
  <c r="AX339" i="3"/>
  <c r="AW339" i="3"/>
  <c r="AA339" i="3"/>
  <c r="Z339" i="3"/>
  <c r="Y339" i="3"/>
  <c r="X339" i="3"/>
  <c r="W339" i="3"/>
  <c r="V339" i="3"/>
  <c r="U339" i="3"/>
  <c r="T339" i="3"/>
  <c r="S339" i="3"/>
  <c r="R339" i="3"/>
  <c r="Q339" i="3"/>
  <c r="P339" i="3"/>
  <c r="O339" i="3"/>
  <c r="N339" i="3"/>
  <c r="M339" i="3"/>
  <c r="L339" i="3"/>
  <c r="K339" i="3"/>
  <c r="J339" i="3"/>
  <c r="AX338" i="3"/>
  <c r="AW338" i="3"/>
  <c r="AL338" i="3"/>
  <c r="AK338" i="3"/>
  <c r="AJ338" i="3"/>
  <c r="AI338" i="3"/>
  <c r="AH338" i="3"/>
  <c r="AG338" i="3"/>
  <c r="AF338" i="3"/>
  <c r="AE338" i="3"/>
  <c r="AD338" i="3"/>
  <c r="AC338" i="3"/>
  <c r="AB338" i="3"/>
  <c r="AA338" i="3"/>
  <c r="Z338" i="3"/>
  <c r="Y338" i="3"/>
  <c r="X338" i="3"/>
  <c r="W338" i="3"/>
  <c r="V338" i="3"/>
  <c r="U338" i="3"/>
  <c r="T338" i="3"/>
  <c r="S338" i="3"/>
  <c r="R338" i="3"/>
  <c r="Q338" i="3"/>
  <c r="P338" i="3"/>
  <c r="O338" i="3"/>
  <c r="N338" i="3"/>
  <c r="M338" i="3"/>
  <c r="L338" i="3"/>
  <c r="K338" i="3"/>
  <c r="J338" i="3"/>
  <c r="AX337" i="3"/>
  <c r="AW337" i="3"/>
  <c r="AL337" i="3"/>
  <c r="AK337" i="3"/>
  <c r="AJ337" i="3"/>
  <c r="AI337" i="3"/>
  <c r="AH337" i="3"/>
  <c r="AG337" i="3"/>
  <c r="AF337" i="3"/>
  <c r="AE337" i="3"/>
  <c r="AD337" i="3"/>
  <c r="AC337" i="3"/>
  <c r="AB337" i="3"/>
  <c r="AA337" i="3"/>
  <c r="Z337" i="3"/>
  <c r="Y337" i="3"/>
  <c r="X337" i="3"/>
  <c r="W337" i="3"/>
  <c r="V337" i="3"/>
  <c r="U337" i="3"/>
  <c r="T337" i="3"/>
  <c r="S337" i="3"/>
  <c r="R337" i="3"/>
  <c r="Q337" i="3"/>
  <c r="P337" i="3"/>
  <c r="O337" i="3"/>
  <c r="N337" i="3"/>
  <c r="M337" i="3"/>
  <c r="L337" i="3"/>
  <c r="K337" i="3"/>
  <c r="J337" i="3"/>
  <c r="AX336" i="3"/>
  <c r="AW336" i="3"/>
  <c r="AL336" i="3"/>
  <c r="AK336" i="3"/>
  <c r="AJ336" i="3"/>
  <c r="AI336" i="3"/>
  <c r="AH336" i="3"/>
  <c r="AG336" i="3"/>
  <c r="AF336" i="3"/>
  <c r="AE336" i="3"/>
  <c r="AD336" i="3"/>
  <c r="AC336" i="3"/>
  <c r="AB336" i="3"/>
  <c r="AA336" i="3"/>
  <c r="Z336" i="3"/>
  <c r="Y336" i="3"/>
  <c r="X336" i="3"/>
  <c r="W336" i="3"/>
  <c r="V336" i="3"/>
  <c r="U336" i="3"/>
  <c r="T336" i="3"/>
  <c r="S336" i="3"/>
  <c r="R336" i="3"/>
  <c r="Q336" i="3"/>
  <c r="P336" i="3"/>
  <c r="O336" i="3"/>
  <c r="N336" i="3"/>
  <c r="M336" i="3"/>
  <c r="L336" i="3"/>
  <c r="K336" i="3"/>
  <c r="J336" i="3"/>
  <c r="AX335" i="3"/>
  <c r="AW335" i="3"/>
  <c r="AL335" i="3"/>
  <c r="AK335" i="3"/>
  <c r="AJ335" i="3"/>
  <c r="AI335" i="3"/>
  <c r="AH335" i="3"/>
  <c r="AG335" i="3"/>
  <c r="AF335" i="3"/>
  <c r="AE335" i="3"/>
  <c r="AD335" i="3"/>
  <c r="AC335" i="3"/>
  <c r="AB335" i="3"/>
  <c r="AA335" i="3"/>
  <c r="Z335" i="3"/>
  <c r="Y335" i="3"/>
  <c r="X335" i="3"/>
  <c r="W335" i="3"/>
  <c r="V335" i="3"/>
  <c r="U335" i="3"/>
  <c r="T335" i="3"/>
  <c r="S335" i="3"/>
  <c r="R335" i="3"/>
  <c r="Q335" i="3"/>
  <c r="P335" i="3"/>
  <c r="O335" i="3"/>
  <c r="N335" i="3"/>
  <c r="M335" i="3"/>
  <c r="L335" i="3"/>
  <c r="K335" i="3"/>
  <c r="J335" i="3"/>
  <c r="AX334" i="3"/>
  <c r="AW334" i="3"/>
  <c r="AL334" i="3"/>
  <c r="AK334" i="3"/>
  <c r="AJ334" i="3"/>
  <c r="AI334" i="3"/>
  <c r="AH334" i="3"/>
  <c r="AG334" i="3"/>
  <c r="AF334" i="3"/>
  <c r="AE334" i="3"/>
  <c r="AD334" i="3"/>
  <c r="AC334" i="3"/>
  <c r="AB334" i="3"/>
  <c r="AA334" i="3"/>
  <c r="Z334" i="3"/>
  <c r="Y334" i="3"/>
  <c r="X334" i="3"/>
  <c r="W334" i="3"/>
  <c r="V334" i="3"/>
  <c r="U334" i="3"/>
  <c r="T334" i="3"/>
  <c r="S334" i="3"/>
  <c r="R334" i="3"/>
  <c r="Q334" i="3"/>
  <c r="P334" i="3"/>
  <c r="O334" i="3"/>
  <c r="N334" i="3"/>
  <c r="M334" i="3"/>
  <c r="L334" i="3"/>
  <c r="K334" i="3"/>
  <c r="J334" i="3"/>
  <c r="AX333" i="3"/>
  <c r="AW333" i="3"/>
  <c r="AL333" i="3"/>
  <c r="AK333" i="3"/>
  <c r="AJ333" i="3"/>
  <c r="AI333" i="3"/>
  <c r="AH333" i="3"/>
  <c r="AG333" i="3"/>
  <c r="AF333" i="3"/>
  <c r="AE333" i="3"/>
  <c r="AD333" i="3"/>
  <c r="AC333" i="3"/>
  <c r="AB333" i="3"/>
  <c r="AA333" i="3"/>
  <c r="Z333" i="3"/>
  <c r="Y333" i="3"/>
  <c r="X333" i="3"/>
  <c r="W333" i="3"/>
  <c r="V333" i="3"/>
  <c r="U333" i="3"/>
  <c r="T333" i="3"/>
  <c r="S333" i="3"/>
  <c r="R333" i="3"/>
  <c r="Q333" i="3"/>
  <c r="P333" i="3"/>
  <c r="O333" i="3"/>
  <c r="N333" i="3"/>
  <c r="M333" i="3"/>
  <c r="L333" i="3"/>
  <c r="K333" i="3"/>
  <c r="J333" i="3"/>
  <c r="AX332" i="3"/>
  <c r="AW332" i="3"/>
  <c r="AL332" i="3"/>
  <c r="AK332" i="3"/>
  <c r="AJ332" i="3"/>
  <c r="AI332" i="3"/>
  <c r="AH332" i="3"/>
  <c r="AG332" i="3"/>
  <c r="AF332" i="3"/>
  <c r="AE332" i="3"/>
  <c r="AD332" i="3"/>
  <c r="AC332" i="3"/>
  <c r="AB332" i="3"/>
  <c r="AA332" i="3"/>
  <c r="Z332" i="3"/>
  <c r="Y332" i="3"/>
  <c r="X332" i="3"/>
  <c r="W332" i="3"/>
  <c r="V332" i="3"/>
  <c r="U332" i="3"/>
  <c r="T332" i="3"/>
  <c r="S332" i="3"/>
  <c r="R332" i="3"/>
  <c r="Q332" i="3"/>
  <c r="P332" i="3"/>
  <c r="O332" i="3"/>
  <c r="N332" i="3"/>
  <c r="M332" i="3"/>
  <c r="L332" i="3"/>
  <c r="K332" i="3"/>
  <c r="J332" i="3"/>
  <c r="AX331" i="3"/>
  <c r="AW331" i="3"/>
  <c r="AL331" i="3"/>
  <c r="AK331" i="3"/>
  <c r="AJ331" i="3"/>
  <c r="AI331" i="3"/>
  <c r="AH331" i="3"/>
  <c r="AG331" i="3"/>
  <c r="AF331" i="3"/>
  <c r="AE331" i="3"/>
  <c r="AD331" i="3"/>
  <c r="AC331" i="3"/>
  <c r="AB331" i="3"/>
  <c r="AA331" i="3"/>
  <c r="Z331" i="3"/>
  <c r="Y331" i="3"/>
  <c r="X331" i="3"/>
  <c r="W331" i="3"/>
  <c r="V331" i="3"/>
  <c r="U331" i="3"/>
  <c r="T331" i="3"/>
  <c r="S331" i="3"/>
  <c r="R331" i="3"/>
  <c r="Q331" i="3"/>
  <c r="P331" i="3"/>
  <c r="O331" i="3"/>
  <c r="N331" i="3"/>
  <c r="M331" i="3"/>
  <c r="L331" i="3"/>
  <c r="K331" i="3"/>
  <c r="J331" i="3"/>
  <c r="AX330" i="3"/>
  <c r="AW330" i="3"/>
  <c r="AL330" i="3"/>
  <c r="AK330" i="3"/>
  <c r="AJ330" i="3"/>
  <c r="AI330" i="3"/>
  <c r="AH330" i="3"/>
  <c r="AG330" i="3"/>
  <c r="AF330" i="3"/>
  <c r="AE330" i="3"/>
  <c r="AD330" i="3"/>
  <c r="AC330" i="3"/>
  <c r="AB330" i="3"/>
  <c r="AA330" i="3"/>
  <c r="Z330" i="3"/>
  <c r="Y330" i="3"/>
  <c r="X330" i="3"/>
  <c r="W330" i="3"/>
  <c r="V330" i="3"/>
  <c r="U330" i="3"/>
  <c r="T330" i="3"/>
  <c r="S330" i="3"/>
  <c r="R330" i="3"/>
  <c r="Q330" i="3"/>
  <c r="P330" i="3"/>
  <c r="O330" i="3"/>
  <c r="N330" i="3"/>
  <c r="M330" i="3"/>
  <c r="L330" i="3"/>
  <c r="K330" i="3"/>
  <c r="J330" i="3"/>
  <c r="AX329" i="3"/>
  <c r="AW329" i="3"/>
  <c r="AL329" i="3"/>
  <c r="AK329" i="3"/>
  <c r="AJ329" i="3"/>
  <c r="AI329" i="3"/>
  <c r="AH329" i="3"/>
  <c r="AG329" i="3"/>
  <c r="AF329" i="3"/>
  <c r="AE329" i="3"/>
  <c r="AD329" i="3"/>
  <c r="AC329" i="3"/>
  <c r="AB329" i="3"/>
  <c r="AA329" i="3"/>
  <c r="Z329" i="3"/>
  <c r="Y329" i="3"/>
  <c r="X329" i="3"/>
  <c r="W329" i="3"/>
  <c r="V329" i="3"/>
  <c r="U329" i="3"/>
  <c r="T329" i="3"/>
  <c r="S329" i="3"/>
  <c r="R329" i="3"/>
  <c r="Q329" i="3"/>
  <c r="P329" i="3"/>
  <c r="O329" i="3"/>
  <c r="N329" i="3"/>
  <c r="M329" i="3"/>
  <c r="L329" i="3"/>
  <c r="K329" i="3"/>
  <c r="J329" i="3"/>
  <c r="AX328" i="3"/>
  <c r="AW328" i="3"/>
  <c r="AL328" i="3"/>
  <c r="AK328" i="3"/>
  <c r="AJ328" i="3"/>
  <c r="AI328" i="3"/>
  <c r="AH328" i="3"/>
  <c r="AG328" i="3"/>
  <c r="AF328" i="3"/>
  <c r="AE328" i="3"/>
  <c r="AD328" i="3"/>
  <c r="AC328" i="3"/>
  <c r="AB328" i="3"/>
  <c r="AA328" i="3"/>
  <c r="Z328" i="3"/>
  <c r="Y328" i="3"/>
  <c r="X328" i="3"/>
  <c r="W328" i="3"/>
  <c r="V328" i="3"/>
  <c r="U328" i="3"/>
  <c r="T328" i="3"/>
  <c r="S328" i="3"/>
  <c r="R328" i="3"/>
  <c r="Q328" i="3"/>
  <c r="P328" i="3"/>
  <c r="O328" i="3"/>
  <c r="N328" i="3"/>
  <c r="M328" i="3"/>
  <c r="L328" i="3"/>
  <c r="K328" i="3"/>
  <c r="J328" i="3"/>
  <c r="AX327" i="3"/>
  <c r="AW327" i="3"/>
  <c r="AL327" i="3"/>
  <c r="AK327" i="3"/>
  <c r="AJ327" i="3"/>
  <c r="AI327" i="3"/>
  <c r="AH327" i="3"/>
  <c r="AG327" i="3"/>
  <c r="AF327" i="3"/>
  <c r="AE327" i="3"/>
  <c r="AD327" i="3"/>
  <c r="AC327" i="3"/>
  <c r="AB327" i="3"/>
  <c r="AA327" i="3"/>
  <c r="Z327" i="3"/>
  <c r="Y327" i="3"/>
  <c r="X327" i="3"/>
  <c r="W327" i="3"/>
  <c r="V327" i="3"/>
  <c r="U327" i="3"/>
  <c r="T327" i="3"/>
  <c r="S327" i="3"/>
  <c r="R327" i="3"/>
  <c r="Q327" i="3"/>
  <c r="P327" i="3"/>
  <c r="O327" i="3"/>
  <c r="N327" i="3"/>
  <c r="M327" i="3"/>
  <c r="L327" i="3"/>
  <c r="K327" i="3"/>
  <c r="J327" i="3"/>
  <c r="AX326" i="3"/>
  <c r="AW326" i="3"/>
  <c r="AA326" i="3"/>
  <c r="Z326" i="3"/>
  <c r="Y326" i="3"/>
  <c r="X326" i="3"/>
  <c r="W326" i="3"/>
  <c r="V326" i="3"/>
  <c r="U326" i="3"/>
  <c r="T326" i="3"/>
  <c r="S326" i="3"/>
  <c r="R326" i="3"/>
  <c r="Q326" i="3"/>
  <c r="P326" i="3"/>
  <c r="O326" i="3"/>
  <c r="N326" i="3"/>
  <c r="M326" i="3"/>
  <c r="L326" i="3"/>
  <c r="K326" i="3"/>
  <c r="J326" i="3"/>
  <c r="AX325" i="3"/>
  <c r="AW325" i="3"/>
  <c r="AA325" i="3"/>
  <c r="Z325" i="3"/>
  <c r="Y325" i="3"/>
  <c r="X325" i="3"/>
  <c r="W325" i="3"/>
  <c r="V325" i="3"/>
  <c r="U325" i="3"/>
  <c r="T325" i="3"/>
  <c r="S325" i="3"/>
  <c r="R325" i="3"/>
  <c r="Q325" i="3"/>
  <c r="P325" i="3"/>
  <c r="O325" i="3"/>
  <c r="N325" i="3"/>
  <c r="M325" i="3"/>
  <c r="L325" i="3"/>
  <c r="K325" i="3"/>
  <c r="J325" i="3"/>
  <c r="AX324" i="3"/>
  <c r="AW324" i="3"/>
  <c r="AA324" i="3"/>
  <c r="Z324" i="3"/>
  <c r="Y324" i="3"/>
  <c r="X324" i="3"/>
  <c r="W324" i="3"/>
  <c r="V324" i="3"/>
  <c r="U324" i="3"/>
  <c r="T324" i="3"/>
  <c r="S324" i="3"/>
  <c r="R324" i="3"/>
  <c r="Q324" i="3"/>
  <c r="P324" i="3"/>
  <c r="O324" i="3"/>
  <c r="N324" i="3"/>
  <c r="M324" i="3"/>
  <c r="L324" i="3"/>
  <c r="K324" i="3"/>
  <c r="J324" i="3"/>
  <c r="AX323" i="3"/>
  <c r="AW323" i="3"/>
  <c r="AA323" i="3"/>
  <c r="Z323" i="3"/>
  <c r="Y323" i="3"/>
  <c r="X323" i="3"/>
  <c r="W323" i="3"/>
  <c r="V323" i="3"/>
  <c r="U323" i="3"/>
  <c r="T323" i="3"/>
  <c r="S323" i="3"/>
  <c r="R323" i="3"/>
  <c r="Q323" i="3"/>
  <c r="P323" i="3"/>
  <c r="O323" i="3"/>
  <c r="N323" i="3"/>
  <c r="M323" i="3"/>
  <c r="L323" i="3"/>
  <c r="K323" i="3"/>
  <c r="J323" i="3"/>
  <c r="AX322" i="3"/>
  <c r="AW322" i="3"/>
  <c r="AA322" i="3"/>
  <c r="Z322" i="3"/>
  <c r="Y322" i="3"/>
  <c r="X322" i="3"/>
  <c r="W322" i="3"/>
  <c r="V322" i="3"/>
  <c r="U322" i="3"/>
  <c r="T322" i="3"/>
  <c r="S322" i="3"/>
  <c r="R322" i="3"/>
  <c r="Q322" i="3"/>
  <c r="P322" i="3"/>
  <c r="O322" i="3"/>
  <c r="N322" i="3"/>
  <c r="M322" i="3"/>
  <c r="L322" i="3"/>
  <c r="K322" i="3"/>
  <c r="J322" i="3"/>
  <c r="AX321" i="3"/>
  <c r="AW321" i="3"/>
  <c r="AA321" i="3"/>
  <c r="Z321" i="3"/>
  <c r="Y321" i="3"/>
  <c r="X321" i="3"/>
  <c r="W321" i="3"/>
  <c r="V321" i="3"/>
  <c r="U321" i="3"/>
  <c r="T321" i="3"/>
  <c r="S321" i="3"/>
  <c r="R321" i="3"/>
  <c r="Q321" i="3"/>
  <c r="P321" i="3"/>
  <c r="O321" i="3"/>
  <c r="N321" i="3"/>
  <c r="M321" i="3"/>
  <c r="L321" i="3"/>
  <c r="K321" i="3"/>
  <c r="J321" i="3"/>
  <c r="AX320" i="3"/>
  <c r="AW320" i="3"/>
  <c r="AA320" i="3"/>
  <c r="Z320" i="3"/>
  <c r="Y320" i="3"/>
  <c r="X320" i="3"/>
  <c r="W320" i="3"/>
  <c r="V320" i="3"/>
  <c r="U320" i="3"/>
  <c r="T320" i="3"/>
  <c r="S320" i="3"/>
  <c r="R320" i="3"/>
  <c r="Q320" i="3"/>
  <c r="P320" i="3"/>
  <c r="O320" i="3"/>
  <c r="N320" i="3"/>
  <c r="M320" i="3"/>
  <c r="L320" i="3"/>
  <c r="K320" i="3"/>
  <c r="J320" i="3"/>
  <c r="AX319" i="3"/>
  <c r="AW319" i="3"/>
  <c r="AA319" i="3"/>
  <c r="Z319" i="3"/>
  <c r="Y319" i="3"/>
  <c r="X319" i="3"/>
  <c r="W319" i="3"/>
  <c r="V319" i="3"/>
  <c r="U319" i="3"/>
  <c r="T319" i="3"/>
  <c r="S319" i="3"/>
  <c r="R319" i="3"/>
  <c r="Q319" i="3"/>
  <c r="P319" i="3"/>
  <c r="O319" i="3"/>
  <c r="N319" i="3"/>
  <c r="M319" i="3"/>
  <c r="L319" i="3"/>
  <c r="K319" i="3"/>
  <c r="J319" i="3"/>
  <c r="AX318" i="3"/>
  <c r="AW318" i="3"/>
  <c r="AA318" i="3"/>
  <c r="Z318" i="3"/>
  <c r="Y318" i="3"/>
  <c r="X318" i="3"/>
  <c r="W318" i="3"/>
  <c r="V318" i="3"/>
  <c r="U318" i="3"/>
  <c r="T318" i="3"/>
  <c r="S318" i="3"/>
  <c r="R318" i="3"/>
  <c r="Q318" i="3"/>
  <c r="P318" i="3"/>
  <c r="O318" i="3"/>
  <c r="N318" i="3"/>
  <c r="M318" i="3"/>
  <c r="L318" i="3"/>
  <c r="K318" i="3"/>
  <c r="J318" i="3"/>
  <c r="AX317" i="3"/>
  <c r="AW317" i="3"/>
  <c r="AA317" i="3"/>
  <c r="Z317" i="3"/>
  <c r="Y317" i="3"/>
  <c r="X317" i="3"/>
  <c r="W317" i="3"/>
  <c r="V317" i="3"/>
  <c r="U317" i="3"/>
  <c r="T317" i="3"/>
  <c r="S317" i="3"/>
  <c r="R317" i="3"/>
  <c r="Q317" i="3"/>
  <c r="P317" i="3"/>
  <c r="O317" i="3"/>
  <c r="N317" i="3"/>
  <c r="M317" i="3"/>
  <c r="L317" i="3"/>
  <c r="K317" i="3"/>
  <c r="J317" i="3"/>
  <c r="AX316" i="3"/>
  <c r="AW316" i="3"/>
  <c r="AA316" i="3"/>
  <c r="Z316" i="3"/>
  <c r="Y316" i="3"/>
  <c r="X316" i="3"/>
  <c r="W316" i="3"/>
  <c r="V316" i="3"/>
  <c r="U316" i="3"/>
  <c r="T316" i="3"/>
  <c r="S316" i="3"/>
  <c r="R316" i="3"/>
  <c r="Q316" i="3"/>
  <c r="P316" i="3"/>
  <c r="O316" i="3"/>
  <c r="N316" i="3"/>
  <c r="M316" i="3"/>
  <c r="L316" i="3"/>
  <c r="K316" i="3"/>
  <c r="J316" i="3"/>
  <c r="AX315" i="3"/>
  <c r="AW315" i="3"/>
  <c r="AA315" i="3"/>
  <c r="Z315" i="3"/>
  <c r="Y315" i="3"/>
  <c r="X315" i="3"/>
  <c r="W315" i="3"/>
  <c r="V315" i="3"/>
  <c r="U315" i="3"/>
  <c r="T315" i="3"/>
  <c r="S315" i="3"/>
  <c r="R315" i="3"/>
  <c r="Q315" i="3"/>
  <c r="P315" i="3"/>
  <c r="O315" i="3"/>
  <c r="N315" i="3"/>
  <c r="M315" i="3"/>
  <c r="L315" i="3"/>
  <c r="K315" i="3"/>
  <c r="J315" i="3"/>
  <c r="AX314" i="3"/>
  <c r="AW314" i="3"/>
  <c r="AL314" i="3"/>
  <c r="AK314" i="3"/>
  <c r="AJ314" i="3"/>
  <c r="AI314" i="3"/>
  <c r="AH314" i="3"/>
  <c r="AG314" i="3"/>
  <c r="AF314" i="3"/>
  <c r="AE314" i="3"/>
  <c r="AD314" i="3"/>
  <c r="AC314" i="3"/>
  <c r="AB314" i="3"/>
  <c r="AA314" i="3"/>
  <c r="Z314" i="3"/>
  <c r="Y314" i="3"/>
  <c r="X314" i="3"/>
  <c r="W314" i="3"/>
  <c r="V314" i="3"/>
  <c r="U314" i="3"/>
  <c r="T314" i="3"/>
  <c r="S314" i="3"/>
  <c r="R314" i="3"/>
  <c r="Q314" i="3"/>
  <c r="P314" i="3"/>
  <c r="O314" i="3"/>
  <c r="N314" i="3"/>
  <c r="M314" i="3"/>
  <c r="L314" i="3"/>
  <c r="K314" i="3"/>
  <c r="J314" i="3"/>
  <c r="AX313" i="3"/>
  <c r="AW313" i="3"/>
  <c r="AL313" i="3"/>
  <c r="AK313" i="3"/>
  <c r="AJ313" i="3"/>
  <c r="AI313" i="3"/>
  <c r="AH313" i="3"/>
  <c r="AG313" i="3"/>
  <c r="AF313" i="3"/>
  <c r="AE313" i="3"/>
  <c r="AD313" i="3"/>
  <c r="AC313" i="3"/>
  <c r="AB313" i="3"/>
  <c r="AA313" i="3"/>
  <c r="Z313" i="3"/>
  <c r="Y313" i="3"/>
  <c r="X313" i="3"/>
  <c r="W313" i="3"/>
  <c r="V313" i="3"/>
  <c r="U313" i="3"/>
  <c r="T313" i="3"/>
  <c r="S313" i="3"/>
  <c r="R313" i="3"/>
  <c r="Q313" i="3"/>
  <c r="P313" i="3"/>
  <c r="O313" i="3"/>
  <c r="N313" i="3"/>
  <c r="M313" i="3"/>
  <c r="L313" i="3"/>
  <c r="K313" i="3"/>
  <c r="J313" i="3"/>
  <c r="AX312" i="3"/>
  <c r="AW312" i="3"/>
  <c r="AL312" i="3"/>
  <c r="AK312" i="3"/>
  <c r="AJ312" i="3"/>
  <c r="AI312" i="3"/>
  <c r="AH312" i="3"/>
  <c r="AG312" i="3"/>
  <c r="AF312" i="3"/>
  <c r="AE312" i="3"/>
  <c r="AD312" i="3"/>
  <c r="AC312" i="3"/>
  <c r="AB312" i="3"/>
  <c r="AA312" i="3"/>
  <c r="Z312" i="3"/>
  <c r="Y312" i="3"/>
  <c r="X312" i="3"/>
  <c r="W312" i="3"/>
  <c r="V312" i="3"/>
  <c r="U312" i="3"/>
  <c r="T312" i="3"/>
  <c r="S312" i="3"/>
  <c r="R312" i="3"/>
  <c r="Q312" i="3"/>
  <c r="P312" i="3"/>
  <c r="O312" i="3"/>
  <c r="N312" i="3"/>
  <c r="M312" i="3"/>
  <c r="L312" i="3"/>
  <c r="K312" i="3"/>
  <c r="J312" i="3"/>
  <c r="AX311" i="3"/>
  <c r="AW311" i="3"/>
  <c r="AL311" i="3"/>
  <c r="AK311" i="3"/>
  <c r="AJ311" i="3"/>
  <c r="AI311" i="3"/>
  <c r="AH311" i="3"/>
  <c r="AG311" i="3"/>
  <c r="AF311" i="3"/>
  <c r="AE311" i="3"/>
  <c r="AD311" i="3"/>
  <c r="AC311" i="3"/>
  <c r="AB311" i="3"/>
  <c r="AA311" i="3"/>
  <c r="Z311" i="3"/>
  <c r="Y311" i="3"/>
  <c r="X311" i="3"/>
  <c r="W311" i="3"/>
  <c r="V311" i="3"/>
  <c r="U311" i="3"/>
  <c r="T311" i="3"/>
  <c r="S311" i="3"/>
  <c r="R311" i="3"/>
  <c r="Q311" i="3"/>
  <c r="P311" i="3"/>
  <c r="O311" i="3"/>
  <c r="N311" i="3"/>
  <c r="M311" i="3"/>
  <c r="L311" i="3"/>
  <c r="K311" i="3"/>
  <c r="J311" i="3"/>
  <c r="AX310" i="3"/>
  <c r="AW310" i="3"/>
  <c r="AL310" i="3"/>
  <c r="AK310" i="3"/>
  <c r="AJ310" i="3"/>
  <c r="AI310" i="3"/>
  <c r="AH310" i="3"/>
  <c r="AG310" i="3"/>
  <c r="AF310" i="3"/>
  <c r="AE310" i="3"/>
  <c r="AD310" i="3"/>
  <c r="AC310" i="3"/>
  <c r="AB310" i="3"/>
  <c r="AA310" i="3"/>
  <c r="Z310" i="3"/>
  <c r="Y310" i="3"/>
  <c r="X310" i="3"/>
  <c r="W310" i="3"/>
  <c r="V310" i="3"/>
  <c r="U310" i="3"/>
  <c r="T310" i="3"/>
  <c r="S310" i="3"/>
  <c r="R310" i="3"/>
  <c r="Q310" i="3"/>
  <c r="P310" i="3"/>
  <c r="O310" i="3"/>
  <c r="N310" i="3"/>
  <c r="M310" i="3"/>
  <c r="L310" i="3"/>
  <c r="K310" i="3"/>
  <c r="J310" i="3"/>
  <c r="AX309" i="3"/>
  <c r="AW309" i="3"/>
  <c r="AL309" i="3"/>
  <c r="AK309" i="3"/>
  <c r="AJ309" i="3"/>
  <c r="AI309" i="3"/>
  <c r="AH309" i="3"/>
  <c r="AG309" i="3"/>
  <c r="AF309" i="3"/>
  <c r="AE309" i="3"/>
  <c r="AD309" i="3"/>
  <c r="AC309" i="3"/>
  <c r="AB309" i="3"/>
  <c r="AA309" i="3"/>
  <c r="Z309" i="3"/>
  <c r="Y309" i="3"/>
  <c r="X309" i="3"/>
  <c r="W309" i="3"/>
  <c r="V309" i="3"/>
  <c r="U309" i="3"/>
  <c r="T309" i="3"/>
  <c r="S309" i="3"/>
  <c r="R309" i="3"/>
  <c r="Q309" i="3"/>
  <c r="P309" i="3"/>
  <c r="O309" i="3"/>
  <c r="N309" i="3"/>
  <c r="M309" i="3"/>
  <c r="L309" i="3"/>
  <c r="K309" i="3"/>
  <c r="J309" i="3"/>
  <c r="AX308" i="3"/>
  <c r="AW308" i="3"/>
  <c r="AA308" i="3"/>
  <c r="Z308" i="3"/>
  <c r="Y308" i="3"/>
  <c r="X308" i="3"/>
  <c r="W308" i="3"/>
  <c r="V308" i="3"/>
  <c r="U308" i="3"/>
  <c r="T308" i="3"/>
  <c r="S308" i="3"/>
  <c r="R308" i="3"/>
  <c r="Q308" i="3"/>
  <c r="P308" i="3"/>
  <c r="O308" i="3"/>
  <c r="N308" i="3"/>
  <c r="M308" i="3"/>
  <c r="L308" i="3"/>
  <c r="K308" i="3"/>
  <c r="J308" i="3"/>
  <c r="AX307" i="3"/>
  <c r="AW307" i="3"/>
  <c r="AA307" i="3"/>
  <c r="Z307" i="3"/>
  <c r="Y307" i="3"/>
  <c r="X307" i="3"/>
  <c r="W307" i="3"/>
  <c r="V307" i="3"/>
  <c r="U307" i="3"/>
  <c r="T307" i="3"/>
  <c r="S307" i="3"/>
  <c r="R307" i="3"/>
  <c r="Q307" i="3"/>
  <c r="P307" i="3"/>
  <c r="O307" i="3"/>
  <c r="N307" i="3"/>
  <c r="M307" i="3"/>
  <c r="L307" i="3"/>
  <c r="K307" i="3"/>
  <c r="J307" i="3"/>
  <c r="AX306" i="3"/>
  <c r="AW306" i="3"/>
  <c r="AA306" i="3"/>
  <c r="Z306" i="3"/>
  <c r="Y306" i="3"/>
  <c r="X306" i="3"/>
  <c r="W306" i="3"/>
  <c r="V306" i="3"/>
  <c r="U306" i="3"/>
  <c r="T306" i="3"/>
  <c r="S306" i="3"/>
  <c r="R306" i="3"/>
  <c r="Q306" i="3"/>
  <c r="P306" i="3"/>
  <c r="O306" i="3"/>
  <c r="N306" i="3"/>
  <c r="M306" i="3"/>
  <c r="L306" i="3"/>
  <c r="K306" i="3"/>
  <c r="J306" i="3"/>
  <c r="AX305" i="3"/>
  <c r="AW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AX304" i="3"/>
  <c r="AW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AX303" i="3"/>
  <c r="AW303" i="3"/>
  <c r="AA303" i="3"/>
  <c r="Z303" i="3"/>
  <c r="Y303" i="3"/>
  <c r="X303" i="3"/>
  <c r="W303" i="3"/>
  <c r="V303" i="3"/>
  <c r="U303" i="3"/>
  <c r="T303" i="3"/>
  <c r="S303" i="3"/>
  <c r="R303" i="3"/>
  <c r="Q303" i="3"/>
  <c r="P303" i="3"/>
  <c r="O303" i="3"/>
  <c r="N303" i="3"/>
  <c r="M303" i="3"/>
  <c r="L303" i="3"/>
  <c r="K303" i="3"/>
  <c r="J303" i="3"/>
  <c r="AX302" i="3"/>
  <c r="AW302" i="3"/>
  <c r="AA302" i="3"/>
  <c r="Z302" i="3"/>
  <c r="Y302" i="3"/>
  <c r="X302" i="3"/>
  <c r="W302" i="3"/>
  <c r="V302" i="3"/>
  <c r="U302" i="3"/>
  <c r="T302" i="3"/>
  <c r="S302" i="3"/>
  <c r="R302" i="3"/>
  <c r="Q302" i="3"/>
  <c r="P302" i="3"/>
  <c r="O302" i="3"/>
  <c r="N302" i="3"/>
  <c r="M302" i="3"/>
  <c r="L302" i="3"/>
  <c r="K302" i="3"/>
  <c r="J302" i="3"/>
  <c r="AX301" i="3"/>
  <c r="AW301" i="3"/>
  <c r="AA301" i="3"/>
  <c r="Z301" i="3"/>
  <c r="Y301" i="3"/>
  <c r="X301" i="3"/>
  <c r="W301" i="3"/>
  <c r="V301" i="3"/>
  <c r="U301" i="3"/>
  <c r="T301" i="3"/>
  <c r="S301" i="3"/>
  <c r="R301" i="3"/>
  <c r="Q301" i="3"/>
  <c r="P301" i="3"/>
  <c r="O301" i="3"/>
  <c r="N301" i="3"/>
  <c r="M301" i="3"/>
  <c r="L301" i="3"/>
  <c r="K301" i="3"/>
  <c r="J301" i="3"/>
  <c r="AX300" i="3"/>
  <c r="AW300" i="3"/>
  <c r="AA300" i="3"/>
  <c r="Z300" i="3"/>
  <c r="Y300" i="3"/>
  <c r="X300" i="3"/>
  <c r="W300" i="3"/>
  <c r="V300" i="3"/>
  <c r="U300" i="3"/>
  <c r="T300" i="3"/>
  <c r="S300" i="3"/>
  <c r="R300" i="3"/>
  <c r="Q300" i="3"/>
  <c r="P300" i="3"/>
  <c r="O300" i="3"/>
  <c r="N300" i="3"/>
  <c r="M300" i="3"/>
  <c r="L300" i="3"/>
  <c r="K300" i="3"/>
  <c r="J300" i="3"/>
  <c r="AX299" i="3"/>
  <c r="AW299" i="3"/>
  <c r="AA299" i="3"/>
  <c r="Z299" i="3"/>
  <c r="Y299" i="3"/>
  <c r="X299" i="3"/>
  <c r="W299" i="3"/>
  <c r="V299" i="3"/>
  <c r="U299" i="3"/>
  <c r="T299" i="3"/>
  <c r="S299" i="3"/>
  <c r="R299" i="3"/>
  <c r="Q299" i="3"/>
  <c r="P299" i="3"/>
  <c r="O299" i="3"/>
  <c r="N299" i="3"/>
  <c r="M299" i="3"/>
  <c r="L299" i="3"/>
  <c r="K299" i="3"/>
  <c r="J299" i="3"/>
  <c r="AX298" i="3"/>
  <c r="AW298" i="3"/>
  <c r="AA298" i="3"/>
  <c r="Z298" i="3"/>
  <c r="Y298" i="3"/>
  <c r="X298" i="3"/>
  <c r="W298" i="3"/>
  <c r="V298" i="3"/>
  <c r="U298" i="3"/>
  <c r="T298" i="3"/>
  <c r="S298" i="3"/>
  <c r="R298" i="3"/>
  <c r="Q298" i="3"/>
  <c r="P298" i="3"/>
  <c r="O298" i="3"/>
  <c r="N298" i="3"/>
  <c r="M298" i="3"/>
  <c r="L298" i="3"/>
  <c r="K298" i="3"/>
  <c r="J298" i="3"/>
  <c r="AX297" i="3"/>
  <c r="AW297" i="3"/>
  <c r="AA297" i="3"/>
  <c r="Z297" i="3"/>
  <c r="Y297" i="3"/>
  <c r="X297" i="3"/>
  <c r="W297" i="3"/>
  <c r="V297" i="3"/>
  <c r="U297" i="3"/>
  <c r="T297" i="3"/>
  <c r="S297" i="3"/>
  <c r="R297" i="3"/>
  <c r="Q297" i="3"/>
  <c r="P297" i="3"/>
  <c r="O297" i="3"/>
  <c r="N297" i="3"/>
  <c r="M297" i="3"/>
  <c r="L297" i="3"/>
  <c r="K297" i="3"/>
  <c r="J297" i="3"/>
  <c r="AX296" i="3"/>
  <c r="AW296" i="3"/>
  <c r="AA296" i="3"/>
  <c r="Z296" i="3"/>
  <c r="Y296" i="3"/>
  <c r="X296" i="3"/>
  <c r="W296" i="3"/>
  <c r="V296" i="3"/>
  <c r="U296" i="3"/>
  <c r="T296" i="3"/>
  <c r="S296" i="3"/>
  <c r="R296" i="3"/>
  <c r="Q296" i="3"/>
  <c r="P296" i="3"/>
  <c r="O296" i="3"/>
  <c r="N296" i="3"/>
  <c r="M296" i="3"/>
  <c r="L296" i="3"/>
  <c r="K296" i="3"/>
  <c r="J296" i="3"/>
  <c r="AX295" i="3"/>
  <c r="AW295" i="3"/>
  <c r="AA295" i="3"/>
  <c r="Z295" i="3"/>
  <c r="Y295" i="3"/>
  <c r="X295" i="3"/>
  <c r="W295" i="3"/>
  <c r="V295" i="3"/>
  <c r="U295" i="3"/>
  <c r="T295" i="3"/>
  <c r="S295" i="3"/>
  <c r="R295" i="3"/>
  <c r="Q295" i="3"/>
  <c r="P295" i="3"/>
  <c r="O295" i="3"/>
  <c r="N295" i="3"/>
  <c r="M295" i="3"/>
  <c r="L295" i="3"/>
  <c r="K295" i="3"/>
  <c r="J295" i="3"/>
  <c r="AX294" i="3"/>
  <c r="AW294" i="3"/>
  <c r="AA294" i="3"/>
  <c r="Z294" i="3"/>
  <c r="Y294" i="3"/>
  <c r="X294" i="3"/>
  <c r="W294" i="3"/>
  <c r="V294" i="3"/>
  <c r="U294" i="3"/>
  <c r="T294" i="3"/>
  <c r="S294" i="3"/>
  <c r="R294" i="3"/>
  <c r="Q294" i="3"/>
  <c r="P294" i="3"/>
  <c r="O294" i="3"/>
  <c r="N294" i="3"/>
  <c r="M294" i="3"/>
  <c r="L294" i="3"/>
  <c r="K294" i="3"/>
  <c r="J294" i="3"/>
  <c r="AX293" i="3"/>
  <c r="AW293" i="3"/>
  <c r="AA293" i="3"/>
  <c r="Z293" i="3"/>
  <c r="Y293" i="3"/>
  <c r="X293" i="3"/>
  <c r="W293" i="3"/>
  <c r="V293" i="3"/>
  <c r="U293" i="3"/>
  <c r="T293" i="3"/>
  <c r="S293" i="3"/>
  <c r="R293" i="3"/>
  <c r="Q293" i="3"/>
  <c r="P293" i="3"/>
  <c r="O293" i="3"/>
  <c r="N293" i="3"/>
  <c r="M293" i="3"/>
  <c r="L293" i="3"/>
  <c r="K293" i="3"/>
  <c r="J293" i="3"/>
  <c r="AX292" i="3"/>
  <c r="AW292" i="3"/>
  <c r="AA292" i="3"/>
  <c r="Z292" i="3"/>
  <c r="Y292" i="3"/>
  <c r="X292" i="3"/>
  <c r="W292" i="3"/>
  <c r="V292" i="3"/>
  <c r="U292" i="3"/>
  <c r="T292" i="3"/>
  <c r="S292" i="3"/>
  <c r="R292" i="3"/>
  <c r="Q292" i="3"/>
  <c r="P292" i="3"/>
  <c r="O292" i="3"/>
  <c r="N292" i="3"/>
  <c r="M292" i="3"/>
  <c r="L292" i="3"/>
  <c r="K292" i="3"/>
  <c r="J292" i="3"/>
  <c r="AX291" i="3"/>
  <c r="AW291" i="3"/>
  <c r="AA291" i="3"/>
  <c r="Z291" i="3"/>
  <c r="Y291" i="3"/>
  <c r="X291" i="3"/>
  <c r="W291" i="3"/>
  <c r="V291" i="3"/>
  <c r="U291" i="3"/>
  <c r="T291" i="3"/>
  <c r="S291" i="3"/>
  <c r="R291" i="3"/>
  <c r="Q291" i="3"/>
  <c r="P291" i="3"/>
  <c r="O291" i="3"/>
  <c r="N291" i="3"/>
  <c r="M291" i="3"/>
  <c r="L291" i="3"/>
  <c r="K291" i="3"/>
  <c r="J291" i="3"/>
  <c r="AX290" i="3"/>
  <c r="AW290" i="3"/>
  <c r="AA290" i="3"/>
  <c r="Z290" i="3"/>
  <c r="Y290" i="3"/>
  <c r="X290" i="3"/>
  <c r="W290" i="3"/>
  <c r="V290" i="3"/>
  <c r="U290" i="3"/>
  <c r="T290" i="3"/>
  <c r="S290" i="3"/>
  <c r="R290" i="3"/>
  <c r="Q290" i="3"/>
  <c r="P290" i="3"/>
  <c r="O290" i="3"/>
  <c r="N290" i="3"/>
  <c r="M290" i="3"/>
  <c r="L290" i="3"/>
  <c r="K290" i="3"/>
  <c r="J290" i="3"/>
  <c r="AX289" i="3"/>
  <c r="AW289" i="3"/>
  <c r="AA289" i="3"/>
  <c r="Z289" i="3"/>
  <c r="Y289" i="3"/>
  <c r="X289" i="3"/>
  <c r="W289" i="3"/>
  <c r="V289" i="3"/>
  <c r="U289" i="3"/>
  <c r="T289" i="3"/>
  <c r="S289" i="3"/>
  <c r="R289" i="3"/>
  <c r="Q289" i="3"/>
  <c r="P289" i="3"/>
  <c r="O289" i="3"/>
  <c r="N289" i="3"/>
  <c r="M289" i="3"/>
  <c r="L289" i="3"/>
  <c r="K289" i="3"/>
  <c r="J289" i="3"/>
  <c r="AX288" i="3"/>
  <c r="AW288" i="3"/>
  <c r="AA288" i="3"/>
  <c r="Z288" i="3"/>
  <c r="Y288" i="3"/>
  <c r="X288" i="3"/>
  <c r="W288" i="3"/>
  <c r="V288" i="3"/>
  <c r="U288" i="3"/>
  <c r="T288" i="3"/>
  <c r="S288" i="3"/>
  <c r="R288" i="3"/>
  <c r="Q288" i="3"/>
  <c r="P288" i="3"/>
  <c r="O288" i="3"/>
  <c r="N288" i="3"/>
  <c r="M288" i="3"/>
  <c r="L288" i="3"/>
  <c r="K288" i="3"/>
  <c r="J288" i="3"/>
  <c r="AX287" i="3"/>
  <c r="AW287" i="3"/>
  <c r="AA287" i="3"/>
  <c r="Z287" i="3"/>
  <c r="Y287" i="3"/>
  <c r="X287" i="3"/>
  <c r="W287" i="3"/>
  <c r="V287" i="3"/>
  <c r="U287" i="3"/>
  <c r="T287" i="3"/>
  <c r="S287" i="3"/>
  <c r="R287" i="3"/>
  <c r="Q287" i="3"/>
  <c r="P287" i="3"/>
  <c r="O287" i="3"/>
  <c r="N287" i="3"/>
  <c r="M287" i="3"/>
  <c r="L287" i="3"/>
  <c r="K287" i="3"/>
  <c r="J287" i="3"/>
  <c r="AX286" i="3"/>
  <c r="AW286" i="3"/>
  <c r="AA286" i="3"/>
  <c r="Z286" i="3"/>
  <c r="Y286" i="3"/>
  <c r="X286" i="3"/>
  <c r="W286" i="3"/>
  <c r="V286" i="3"/>
  <c r="U286" i="3"/>
  <c r="T286" i="3"/>
  <c r="S286" i="3"/>
  <c r="R286" i="3"/>
  <c r="Q286" i="3"/>
  <c r="P286" i="3"/>
  <c r="O286" i="3"/>
  <c r="N286" i="3"/>
  <c r="M286" i="3"/>
  <c r="L286" i="3"/>
  <c r="K286" i="3"/>
  <c r="J286" i="3"/>
  <c r="AX285" i="3"/>
  <c r="AW285" i="3"/>
  <c r="AA285" i="3"/>
  <c r="Z285" i="3"/>
  <c r="Y285" i="3"/>
  <c r="X285" i="3"/>
  <c r="W285" i="3"/>
  <c r="V285" i="3"/>
  <c r="U285" i="3"/>
  <c r="T285" i="3"/>
  <c r="S285" i="3"/>
  <c r="R285" i="3"/>
  <c r="Q285" i="3"/>
  <c r="P285" i="3"/>
  <c r="O285" i="3"/>
  <c r="N285" i="3"/>
  <c r="M285" i="3"/>
  <c r="L285" i="3"/>
  <c r="K285" i="3"/>
  <c r="J285" i="3"/>
  <c r="AX284" i="3"/>
  <c r="AW284" i="3"/>
  <c r="AA284" i="3"/>
  <c r="Z284" i="3"/>
  <c r="Y284" i="3"/>
  <c r="X284" i="3"/>
  <c r="W284" i="3"/>
  <c r="V284" i="3"/>
  <c r="U284" i="3"/>
  <c r="T284" i="3"/>
  <c r="S284" i="3"/>
  <c r="R284" i="3"/>
  <c r="Q284" i="3"/>
  <c r="P284" i="3"/>
  <c r="O284" i="3"/>
  <c r="N284" i="3"/>
  <c r="M284" i="3"/>
  <c r="L284" i="3"/>
  <c r="K284" i="3"/>
  <c r="J284" i="3"/>
  <c r="AX283" i="3"/>
  <c r="AW283" i="3"/>
  <c r="AA283" i="3"/>
  <c r="Z283" i="3"/>
  <c r="Y283" i="3"/>
  <c r="X283" i="3"/>
  <c r="W283" i="3"/>
  <c r="V283" i="3"/>
  <c r="U283" i="3"/>
  <c r="T283" i="3"/>
  <c r="S283" i="3"/>
  <c r="R283" i="3"/>
  <c r="Q283" i="3"/>
  <c r="P283" i="3"/>
  <c r="O283" i="3"/>
  <c r="N283" i="3"/>
  <c r="M283" i="3"/>
  <c r="L283" i="3"/>
  <c r="K283" i="3"/>
  <c r="J283" i="3"/>
  <c r="AX282" i="3"/>
  <c r="AW282" i="3"/>
  <c r="AA282" i="3"/>
  <c r="Z282" i="3"/>
  <c r="Y282" i="3"/>
  <c r="X282" i="3"/>
  <c r="W282" i="3"/>
  <c r="V282" i="3"/>
  <c r="U282" i="3"/>
  <c r="T282" i="3"/>
  <c r="S282" i="3"/>
  <c r="R282" i="3"/>
  <c r="Q282" i="3"/>
  <c r="P282" i="3"/>
  <c r="O282" i="3"/>
  <c r="N282" i="3"/>
  <c r="M282" i="3"/>
  <c r="L282" i="3"/>
  <c r="K282" i="3"/>
  <c r="J282" i="3"/>
  <c r="AX281" i="3"/>
  <c r="AW281" i="3"/>
  <c r="AA281" i="3"/>
  <c r="Z281" i="3"/>
  <c r="Y281" i="3"/>
  <c r="X281" i="3"/>
  <c r="W281" i="3"/>
  <c r="V281" i="3"/>
  <c r="U281" i="3"/>
  <c r="T281" i="3"/>
  <c r="S281" i="3"/>
  <c r="R281" i="3"/>
  <c r="Q281" i="3"/>
  <c r="P281" i="3"/>
  <c r="O281" i="3"/>
  <c r="N281" i="3"/>
  <c r="M281" i="3"/>
  <c r="L281" i="3"/>
  <c r="K281" i="3"/>
  <c r="J281" i="3"/>
  <c r="AX280" i="3"/>
  <c r="AW280" i="3"/>
  <c r="AA280" i="3"/>
  <c r="Z280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AX279" i="3"/>
  <c r="AW279" i="3"/>
  <c r="AA279" i="3"/>
  <c r="Z279" i="3"/>
  <c r="Y279" i="3"/>
  <c r="X279" i="3"/>
  <c r="W279" i="3"/>
  <c r="V279" i="3"/>
  <c r="U279" i="3"/>
  <c r="T279" i="3"/>
  <c r="S279" i="3"/>
  <c r="R279" i="3"/>
  <c r="Q279" i="3"/>
  <c r="P279" i="3"/>
  <c r="O279" i="3"/>
  <c r="N279" i="3"/>
  <c r="M279" i="3"/>
  <c r="L279" i="3"/>
  <c r="K279" i="3"/>
  <c r="J279" i="3"/>
  <c r="AX278" i="3"/>
  <c r="AW278" i="3"/>
  <c r="AA278" i="3"/>
  <c r="Z278" i="3"/>
  <c r="Y278" i="3"/>
  <c r="X278" i="3"/>
  <c r="W278" i="3"/>
  <c r="V278" i="3"/>
  <c r="U278" i="3"/>
  <c r="T278" i="3"/>
  <c r="S278" i="3"/>
  <c r="R278" i="3"/>
  <c r="Q278" i="3"/>
  <c r="P278" i="3"/>
  <c r="O278" i="3"/>
  <c r="N278" i="3"/>
  <c r="M278" i="3"/>
  <c r="L278" i="3"/>
  <c r="K278" i="3"/>
  <c r="J278" i="3"/>
  <c r="AX277" i="3"/>
  <c r="AW277" i="3"/>
  <c r="AA277" i="3"/>
  <c r="Z277" i="3"/>
  <c r="Y277" i="3"/>
  <c r="X277" i="3"/>
  <c r="W277" i="3"/>
  <c r="V277" i="3"/>
  <c r="U277" i="3"/>
  <c r="T277" i="3"/>
  <c r="S277" i="3"/>
  <c r="R277" i="3"/>
  <c r="Q277" i="3"/>
  <c r="P277" i="3"/>
  <c r="O277" i="3"/>
  <c r="N277" i="3"/>
  <c r="M277" i="3"/>
  <c r="L277" i="3"/>
  <c r="K277" i="3"/>
  <c r="J277" i="3"/>
  <c r="AX276" i="3"/>
  <c r="AW276" i="3"/>
  <c r="AA276" i="3"/>
  <c r="Z276" i="3"/>
  <c r="Y276" i="3"/>
  <c r="X276" i="3"/>
  <c r="W276" i="3"/>
  <c r="V276" i="3"/>
  <c r="U276" i="3"/>
  <c r="T276" i="3"/>
  <c r="S276" i="3"/>
  <c r="R276" i="3"/>
  <c r="Q276" i="3"/>
  <c r="P276" i="3"/>
  <c r="O276" i="3"/>
  <c r="N276" i="3"/>
  <c r="M276" i="3"/>
  <c r="L276" i="3"/>
  <c r="K276" i="3"/>
  <c r="J276" i="3"/>
  <c r="AX275" i="3"/>
  <c r="AW275" i="3"/>
  <c r="AA275" i="3"/>
  <c r="Z275" i="3"/>
  <c r="Y275" i="3"/>
  <c r="X275" i="3"/>
  <c r="W275" i="3"/>
  <c r="V275" i="3"/>
  <c r="U275" i="3"/>
  <c r="T275" i="3"/>
  <c r="S275" i="3"/>
  <c r="R275" i="3"/>
  <c r="Q275" i="3"/>
  <c r="P275" i="3"/>
  <c r="O275" i="3"/>
  <c r="N275" i="3"/>
  <c r="M275" i="3"/>
  <c r="L275" i="3"/>
  <c r="K275" i="3"/>
  <c r="J275" i="3"/>
  <c r="AX274" i="3"/>
  <c r="AW274" i="3"/>
  <c r="AA274" i="3"/>
  <c r="Z274" i="3"/>
  <c r="Y274" i="3"/>
  <c r="X274" i="3"/>
  <c r="W274" i="3"/>
  <c r="V274" i="3"/>
  <c r="U274" i="3"/>
  <c r="T274" i="3"/>
  <c r="S274" i="3"/>
  <c r="R274" i="3"/>
  <c r="Q274" i="3"/>
  <c r="P274" i="3"/>
  <c r="O274" i="3"/>
  <c r="N274" i="3"/>
  <c r="M274" i="3"/>
  <c r="L274" i="3"/>
  <c r="K274" i="3"/>
  <c r="J274" i="3"/>
  <c r="AX273" i="3"/>
  <c r="AW273" i="3"/>
  <c r="AA273" i="3"/>
  <c r="Z273" i="3"/>
  <c r="Y273" i="3"/>
  <c r="X273" i="3"/>
  <c r="W273" i="3"/>
  <c r="V273" i="3"/>
  <c r="U273" i="3"/>
  <c r="T273" i="3"/>
  <c r="S273" i="3"/>
  <c r="R273" i="3"/>
  <c r="Q273" i="3"/>
  <c r="P273" i="3"/>
  <c r="O273" i="3"/>
  <c r="N273" i="3"/>
  <c r="M273" i="3"/>
  <c r="L273" i="3"/>
  <c r="K273" i="3"/>
  <c r="J273" i="3"/>
  <c r="AX272" i="3"/>
  <c r="AW272" i="3"/>
  <c r="AA272" i="3"/>
  <c r="Z272" i="3"/>
  <c r="Y272" i="3"/>
  <c r="X272" i="3"/>
  <c r="W272" i="3"/>
  <c r="V272" i="3"/>
  <c r="U272" i="3"/>
  <c r="T272" i="3"/>
  <c r="S272" i="3"/>
  <c r="R272" i="3"/>
  <c r="Q272" i="3"/>
  <c r="P272" i="3"/>
  <c r="O272" i="3"/>
  <c r="N272" i="3"/>
  <c r="M272" i="3"/>
  <c r="L272" i="3"/>
  <c r="K272" i="3"/>
  <c r="J272" i="3"/>
  <c r="AX271" i="3"/>
  <c r="AW271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O271" i="3"/>
  <c r="N271" i="3"/>
  <c r="M271" i="3"/>
  <c r="L271" i="3"/>
  <c r="K271" i="3"/>
  <c r="J271" i="3"/>
  <c r="AX270" i="3"/>
  <c r="AW270" i="3"/>
  <c r="AA270" i="3"/>
  <c r="Z270" i="3"/>
  <c r="Y270" i="3"/>
  <c r="X270" i="3"/>
  <c r="W270" i="3"/>
  <c r="V270" i="3"/>
  <c r="U270" i="3"/>
  <c r="T270" i="3"/>
  <c r="S270" i="3"/>
  <c r="R270" i="3"/>
  <c r="Q270" i="3"/>
  <c r="P270" i="3"/>
  <c r="O270" i="3"/>
  <c r="N270" i="3"/>
  <c r="M270" i="3"/>
  <c r="L270" i="3"/>
  <c r="K270" i="3"/>
  <c r="J270" i="3"/>
  <c r="AX269" i="3"/>
  <c r="AW269" i="3"/>
  <c r="AA269" i="3"/>
  <c r="Z269" i="3"/>
  <c r="Y269" i="3"/>
  <c r="X269" i="3"/>
  <c r="W269" i="3"/>
  <c r="V269" i="3"/>
  <c r="U269" i="3"/>
  <c r="T269" i="3"/>
  <c r="S269" i="3"/>
  <c r="R269" i="3"/>
  <c r="Q269" i="3"/>
  <c r="P269" i="3"/>
  <c r="O269" i="3"/>
  <c r="N269" i="3"/>
  <c r="M269" i="3"/>
  <c r="L269" i="3"/>
  <c r="K269" i="3"/>
  <c r="J269" i="3"/>
  <c r="AX268" i="3"/>
  <c r="AW268" i="3"/>
  <c r="AA268" i="3"/>
  <c r="Z268" i="3"/>
  <c r="Y268" i="3"/>
  <c r="X268" i="3"/>
  <c r="W268" i="3"/>
  <c r="V268" i="3"/>
  <c r="U268" i="3"/>
  <c r="T268" i="3"/>
  <c r="S268" i="3"/>
  <c r="R268" i="3"/>
  <c r="Q268" i="3"/>
  <c r="P268" i="3"/>
  <c r="O268" i="3"/>
  <c r="N268" i="3"/>
  <c r="M268" i="3"/>
  <c r="L268" i="3"/>
  <c r="K268" i="3"/>
  <c r="J268" i="3"/>
  <c r="AX267" i="3"/>
  <c r="AW267" i="3"/>
  <c r="AA267" i="3"/>
  <c r="Z267" i="3"/>
  <c r="Y267" i="3"/>
  <c r="X267" i="3"/>
  <c r="W267" i="3"/>
  <c r="V267" i="3"/>
  <c r="U267" i="3"/>
  <c r="T267" i="3"/>
  <c r="S267" i="3"/>
  <c r="R267" i="3"/>
  <c r="Q267" i="3"/>
  <c r="P267" i="3"/>
  <c r="O267" i="3"/>
  <c r="N267" i="3"/>
  <c r="M267" i="3"/>
  <c r="L267" i="3"/>
  <c r="K267" i="3"/>
  <c r="J267" i="3"/>
  <c r="AX266" i="3"/>
  <c r="AW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AX265" i="3"/>
  <c r="AW265" i="3"/>
  <c r="AA265" i="3"/>
  <c r="Z265" i="3"/>
  <c r="Y265" i="3"/>
  <c r="X265" i="3"/>
  <c r="W265" i="3"/>
  <c r="V265" i="3"/>
  <c r="U265" i="3"/>
  <c r="T265" i="3"/>
  <c r="S265" i="3"/>
  <c r="R265" i="3"/>
  <c r="Q265" i="3"/>
  <c r="P265" i="3"/>
  <c r="O265" i="3"/>
  <c r="N265" i="3"/>
  <c r="M265" i="3"/>
  <c r="L265" i="3"/>
  <c r="K265" i="3"/>
  <c r="J265" i="3"/>
  <c r="AX264" i="3"/>
  <c r="AW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AX263" i="3"/>
  <c r="AW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AX262" i="3"/>
  <c r="AW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AX261" i="3"/>
  <c r="AW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AX260" i="3"/>
  <c r="AW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AX259" i="3"/>
  <c r="AW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AX258" i="3"/>
  <c r="AW258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AX257" i="3"/>
  <c r="AW257" i="3"/>
  <c r="AA257" i="3"/>
  <c r="Z257" i="3"/>
  <c r="Y257" i="3"/>
  <c r="X257" i="3"/>
  <c r="W257" i="3"/>
  <c r="V257" i="3"/>
  <c r="U257" i="3"/>
  <c r="T257" i="3"/>
  <c r="S257" i="3"/>
  <c r="R257" i="3"/>
  <c r="Q257" i="3"/>
  <c r="P257" i="3"/>
  <c r="O257" i="3"/>
  <c r="N257" i="3"/>
  <c r="M257" i="3"/>
  <c r="L257" i="3"/>
  <c r="K257" i="3"/>
  <c r="J257" i="3"/>
  <c r="AX256" i="3"/>
  <c r="AW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AX255" i="3"/>
  <c r="AW255" i="3"/>
  <c r="AA255" i="3"/>
  <c r="Z255" i="3"/>
  <c r="Y255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AX254" i="3"/>
  <c r="AW254" i="3"/>
  <c r="AA254" i="3"/>
  <c r="Z254" i="3"/>
  <c r="Y254" i="3"/>
  <c r="X254" i="3"/>
  <c r="W254" i="3"/>
  <c r="V254" i="3"/>
  <c r="U254" i="3"/>
  <c r="T254" i="3"/>
  <c r="S254" i="3"/>
  <c r="R254" i="3"/>
  <c r="Q254" i="3"/>
  <c r="P254" i="3"/>
  <c r="O254" i="3"/>
  <c r="N254" i="3"/>
  <c r="M254" i="3"/>
  <c r="L254" i="3"/>
  <c r="K254" i="3"/>
  <c r="J254" i="3"/>
  <c r="AX253" i="3"/>
  <c r="AW253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AX252" i="3"/>
  <c r="AW252" i="3"/>
  <c r="AA252" i="3"/>
  <c r="Z252" i="3"/>
  <c r="Y252" i="3"/>
  <c r="X252" i="3"/>
  <c r="W252" i="3"/>
  <c r="V252" i="3"/>
  <c r="U252" i="3"/>
  <c r="T252" i="3"/>
  <c r="S252" i="3"/>
  <c r="R252" i="3"/>
  <c r="Q252" i="3"/>
  <c r="P252" i="3"/>
  <c r="O252" i="3"/>
  <c r="N252" i="3"/>
  <c r="M252" i="3"/>
  <c r="L252" i="3"/>
  <c r="K252" i="3"/>
  <c r="J252" i="3"/>
  <c r="AX251" i="3"/>
  <c r="AW251" i="3"/>
  <c r="AA251" i="3"/>
  <c r="Z251" i="3"/>
  <c r="Y251" i="3"/>
  <c r="X251" i="3"/>
  <c r="W251" i="3"/>
  <c r="V251" i="3"/>
  <c r="U251" i="3"/>
  <c r="T251" i="3"/>
  <c r="S251" i="3"/>
  <c r="R251" i="3"/>
  <c r="Q251" i="3"/>
  <c r="P251" i="3"/>
  <c r="O251" i="3"/>
  <c r="N251" i="3"/>
  <c r="M251" i="3"/>
  <c r="L251" i="3"/>
  <c r="K251" i="3"/>
  <c r="J251" i="3"/>
  <c r="AX250" i="3"/>
  <c r="AW250" i="3"/>
  <c r="AA250" i="3"/>
  <c r="Z250" i="3"/>
  <c r="Y250" i="3"/>
  <c r="X250" i="3"/>
  <c r="W250" i="3"/>
  <c r="V250" i="3"/>
  <c r="U250" i="3"/>
  <c r="T250" i="3"/>
  <c r="S250" i="3"/>
  <c r="R250" i="3"/>
  <c r="Q250" i="3"/>
  <c r="P250" i="3"/>
  <c r="O250" i="3"/>
  <c r="N250" i="3"/>
  <c r="M250" i="3"/>
  <c r="L250" i="3"/>
  <c r="K250" i="3"/>
  <c r="J250" i="3"/>
  <c r="AX249" i="3"/>
  <c r="AW249" i="3"/>
  <c r="AA249" i="3"/>
  <c r="Z249" i="3"/>
  <c r="Y249" i="3"/>
  <c r="X249" i="3"/>
  <c r="W249" i="3"/>
  <c r="V249" i="3"/>
  <c r="U249" i="3"/>
  <c r="T249" i="3"/>
  <c r="S249" i="3"/>
  <c r="R249" i="3"/>
  <c r="Q249" i="3"/>
  <c r="P249" i="3"/>
  <c r="O249" i="3"/>
  <c r="N249" i="3"/>
  <c r="M249" i="3"/>
  <c r="L249" i="3"/>
  <c r="K249" i="3"/>
  <c r="J249" i="3"/>
  <c r="AX248" i="3"/>
  <c r="AW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AX247" i="3"/>
  <c r="AW247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AX246" i="3"/>
  <c r="AW246" i="3"/>
  <c r="AA246" i="3"/>
  <c r="Z246" i="3"/>
  <c r="Y246" i="3"/>
  <c r="X246" i="3"/>
  <c r="W246" i="3"/>
  <c r="V246" i="3"/>
  <c r="U246" i="3"/>
  <c r="T246" i="3"/>
  <c r="S246" i="3"/>
  <c r="R246" i="3"/>
  <c r="Q246" i="3"/>
  <c r="P246" i="3"/>
  <c r="O246" i="3"/>
  <c r="N246" i="3"/>
  <c r="M246" i="3"/>
  <c r="L246" i="3"/>
  <c r="K246" i="3"/>
  <c r="J246" i="3"/>
  <c r="AX245" i="3"/>
  <c r="AW245" i="3"/>
  <c r="AA245" i="3"/>
  <c r="Z245" i="3"/>
  <c r="Y245" i="3"/>
  <c r="X245" i="3"/>
  <c r="W245" i="3"/>
  <c r="V245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AX244" i="3"/>
  <c r="AW244" i="3"/>
  <c r="AA244" i="3"/>
  <c r="Z244" i="3"/>
  <c r="Y244" i="3"/>
  <c r="X244" i="3"/>
  <c r="W244" i="3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AX243" i="3"/>
  <c r="AW243" i="3"/>
  <c r="AA243" i="3"/>
  <c r="Z243" i="3"/>
  <c r="Y243" i="3"/>
  <c r="X243" i="3"/>
  <c r="W243" i="3"/>
  <c r="V243" i="3"/>
  <c r="U243" i="3"/>
  <c r="T243" i="3"/>
  <c r="S243" i="3"/>
  <c r="R243" i="3"/>
  <c r="Q243" i="3"/>
  <c r="P243" i="3"/>
  <c r="O243" i="3"/>
  <c r="N243" i="3"/>
  <c r="M243" i="3"/>
  <c r="L243" i="3"/>
  <c r="K243" i="3"/>
  <c r="J243" i="3"/>
  <c r="AX242" i="3"/>
  <c r="AW242" i="3"/>
  <c r="AA242" i="3"/>
  <c r="Z242" i="3"/>
  <c r="Y242" i="3"/>
  <c r="X242" i="3"/>
  <c r="W242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AX241" i="3"/>
  <c r="AW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AX240" i="3"/>
  <c r="AW240" i="3"/>
  <c r="AL240" i="3"/>
  <c r="AK240" i="3"/>
  <c r="AJ240" i="3"/>
  <c r="AI240" i="3"/>
  <c r="AH240" i="3"/>
  <c r="AG240" i="3"/>
  <c r="AF240" i="3"/>
  <c r="AE240" i="3"/>
  <c r="AD240" i="3"/>
  <c r="AC240" i="3"/>
  <c r="AB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AX239" i="3"/>
  <c r="AW239" i="3"/>
  <c r="AL239" i="3"/>
  <c r="AK239" i="3"/>
  <c r="AJ239" i="3"/>
  <c r="AI239" i="3"/>
  <c r="AH239" i="3"/>
  <c r="AG239" i="3"/>
  <c r="AF239" i="3"/>
  <c r="AE239" i="3"/>
  <c r="AD239" i="3"/>
  <c r="AC239" i="3"/>
  <c r="AB239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AX238" i="3"/>
  <c r="AW238" i="3"/>
  <c r="AL238" i="3"/>
  <c r="AK238" i="3"/>
  <c r="AJ238" i="3"/>
  <c r="AI238" i="3"/>
  <c r="AH238" i="3"/>
  <c r="AG238" i="3"/>
  <c r="AF238" i="3"/>
  <c r="AE238" i="3"/>
  <c r="AD238" i="3"/>
  <c r="AC238" i="3"/>
  <c r="AB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AX237" i="3"/>
  <c r="AW237" i="3"/>
  <c r="AL237" i="3"/>
  <c r="AK237" i="3"/>
  <c r="AJ237" i="3"/>
  <c r="AI237" i="3"/>
  <c r="AH237" i="3"/>
  <c r="AG237" i="3"/>
  <c r="AF237" i="3"/>
  <c r="AE237" i="3"/>
  <c r="AD237" i="3"/>
  <c r="AC237" i="3"/>
  <c r="AB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AX236" i="3"/>
  <c r="AW236" i="3"/>
  <c r="AL236" i="3"/>
  <c r="AK236" i="3"/>
  <c r="AJ236" i="3"/>
  <c r="AI236" i="3"/>
  <c r="AH236" i="3"/>
  <c r="AG236" i="3"/>
  <c r="AF236" i="3"/>
  <c r="AE236" i="3"/>
  <c r="AD236" i="3"/>
  <c r="AC236" i="3"/>
  <c r="AB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AX235" i="3"/>
  <c r="AW235" i="3"/>
  <c r="AL235" i="3"/>
  <c r="AK235" i="3"/>
  <c r="AJ235" i="3"/>
  <c r="AI235" i="3"/>
  <c r="AH235" i="3"/>
  <c r="AG235" i="3"/>
  <c r="AF235" i="3"/>
  <c r="AE235" i="3"/>
  <c r="AD235" i="3"/>
  <c r="AC235" i="3"/>
  <c r="AB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AX234" i="3"/>
  <c r="AW234" i="3"/>
  <c r="AA234" i="3"/>
  <c r="Z234" i="3"/>
  <c r="Y234" i="3"/>
  <c r="X234" i="3"/>
  <c r="W234" i="3"/>
  <c r="V234" i="3"/>
  <c r="U234" i="3"/>
  <c r="T234" i="3"/>
  <c r="S234" i="3"/>
  <c r="R234" i="3"/>
  <c r="Q234" i="3"/>
  <c r="P234" i="3"/>
  <c r="O234" i="3"/>
  <c r="N234" i="3"/>
  <c r="M234" i="3"/>
  <c r="L234" i="3"/>
  <c r="K234" i="3"/>
  <c r="J234" i="3"/>
  <c r="AX233" i="3"/>
  <c r="AW233" i="3"/>
  <c r="AA233" i="3"/>
  <c r="Z233" i="3"/>
  <c r="Y233" i="3"/>
  <c r="X233" i="3"/>
  <c r="W233" i="3"/>
  <c r="V233" i="3"/>
  <c r="U233" i="3"/>
  <c r="T233" i="3"/>
  <c r="S233" i="3"/>
  <c r="R233" i="3"/>
  <c r="Q233" i="3"/>
  <c r="P233" i="3"/>
  <c r="O233" i="3"/>
  <c r="N233" i="3"/>
  <c r="M233" i="3"/>
  <c r="L233" i="3"/>
  <c r="K233" i="3"/>
  <c r="J233" i="3"/>
  <c r="AX232" i="3"/>
  <c r="AW232" i="3"/>
  <c r="AA232" i="3"/>
  <c r="Z232" i="3"/>
  <c r="Y232" i="3"/>
  <c r="X232" i="3"/>
  <c r="W232" i="3"/>
  <c r="V232" i="3"/>
  <c r="U232" i="3"/>
  <c r="T232" i="3"/>
  <c r="S232" i="3"/>
  <c r="R232" i="3"/>
  <c r="Q232" i="3"/>
  <c r="P232" i="3"/>
  <c r="O232" i="3"/>
  <c r="N232" i="3"/>
  <c r="M232" i="3"/>
  <c r="L232" i="3"/>
  <c r="K232" i="3"/>
  <c r="J232" i="3"/>
  <c r="AX231" i="3"/>
  <c r="AW231" i="3"/>
  <c r="AA231" i="3"/>
  <c r="Z231" i="3"/>
  <c r="Y231" i="3"/>
  <c r="X231" i="3"/>
  <c r="W231" i="3"/>
  <c r="V231" i="3"/>
  <c r="U231" i="3"/>
  <c r="T231" i="3"/>
  <c r="S231" i="3"/>
  <c r="R231" i="3"/>
  <c r="Q231" i="3"/>
  <c r="P231" i="3"/>
  <c r="O231" i="3"/>
  <c r="N231" i="3"/>
  <c r="M231" i="3"/>
  <c r="L231" i="3"/>
  <c r="K231" i="3"/>
  <c r="J231" i="3"/>
  <c r="AX230" i="3"/>
  <c r="AW230" i="3"/>
  <c r="AA230" i="3"/>
  <c r="Z230" i="3"/>
  <c r="Y230" i="3"/>
  <c r="X230" i="3"/>
  <c r="W230" i="3"/>
  <c r="V230" i="3"/>
  <c r="U230" i="3"/>
  <c r="T230" i="3"/>
  <c r="S230" i="3"/>
  <c r="R230" i="3"/>
  <c r="Q230" i="3"/>
  <c r="P230" i="3"/>
  <c r="O230" i="3"/>
  <c r="N230" i="3"/>
  <c r="M230" i="3"/>
  <c r="L230" i="3"/>
  <c r="K230" i="3"/>
  <c r="J230" i="3"/>
  <c r="AX229" i="3"/>
  <c r="AW229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AX228" i="3"/>
  <c r="AW228" i="3"/>
  <c r="AA228" i="3"/>
  <c r="Z228" i="3"/>
  <c r="Y228" i="3"/>
  <c r="X228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AX227" i="3"/>
  <c r="AW227" i="3"/>
  <c r="AA227" i="3"/>
  <c r="Z227" i="3"/>
  <c r="Y227" i="3"/>
  <c r="X227" i="3"/>
  <c r="W227" i="3"/>
  <c r="V227" i="3"/>
  <c r="U227" i="3"/>
  <c r="T227" i="3"/>
  <c r="S227" i="3"/>
  <c r="R227" i="3"/>
  <c r="Q227" i="3"/>
  <c r="P227" i="3"/>
  <c r="O227" i="3"/>
  <c r="N227" i="3"/>
  <c r="M227" i="3"/>
  <c r="L227" i="3"/>
  <c r="K227" i="3"/>
  <c r="J227" i="3"/>
  <c r="AX226" i="3"/>
  <c r="AW226" i="3"/>
  <c r="AA226" i="3"/>
  <c r="Z226" i="3"/>
  <c r="Y226" i="3"/>
  <c r="X226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AX225" i="3"/>
  <c r="AW225" i="3"/>
  <c r="AA225" i="3"/>
  <c r="Z225" i="3"/>
  <c r="Y225" i="3"/>
  <c r="X225" i="3"/>
  <c r="W225" i="3"/>
  <c r="V225" i="3"/>
  <c r="U225" i="3"/>
  <c r="T225" i="3"/>
  <c r="S225" i="3"/>
  <c r="R225" i="3"/>
  <c r="Q225" i="3"/>
  <c r="P225" i="3"/>
  <c r="O225" i="3"/>
  <c r="N225" i="3"/>
  <c r="M225" i="3"/>
  <c r="L225" i="3"/>
  <c r="K225" i="3"/>
  <c r="J225" i="3"/>
  <c r="AX224" i="3"/>
  <c r="AW224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AX223" i="3"/>
  <c r="AW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AX222" i="3"/>
  <c r="AW222" i="3"/>
  <c r="AA222" i="3"/>
  <c r="Z222" i="3"/>
  <c r="Y222" i="3"/>
  <c r="X222" i="3"/>
  <c r="W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AX221" i="3"/>
  <c r="AW221" i="3"/>
  <c r="AA221" i="3"/>
  <c r="Z221" i="3"/>
  <c r="Y221" i="3"/>
  <c r="X221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AX220" i="3"/>
  <c r="AW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AX219" i="3"/>
  <c r="AW219" i="3"/>
  <c r="AA219" i="3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AX218" i="3"/>
  <c r="AW218" i="3"/>
  <c r="AA218" i="3"/>
  <c r="Z218" i="3"/>
  <c r="Y218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AX217" i="3"/>
  <c r="AW217" i="3"/>
  <c r="AA217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AX216" i="3"/>
  <c r="AW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AX215" i="3"/>
  <c r="AW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AX214" i="3"/>
  <c r="AW214" i="3"/>
  <c r="AA214" i="3"/>
  <c r="Z214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AX213" i="3"/>
  <c r="AW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AX212" i="3"/>
  <c r="AW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AX211" i="3"/>
  <c r="AW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AX210" i="3"/>
  <c r="AW210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AX209" i="3"/>
  <c r="AW209" i="3"/>
  <c r="AA209" i="3"/>
  <c r="Z209" i="3"/>
  <c r="Y209" i="3"/>
  <c r="X209" i="3"/>
  <c r="W209" i="3"/>
  <c r="V209" i="3"/>
  <c r="U209" i="3"/>
  <c r="T209" i="3"/>
  <c r="S209" i="3"/>
  <c r="R209" i="3"/>
  <c r="Q209" i="3"/>
  <c r="P209" i="3"/>
  <c r="O209" i="3"/>
  <c r="N209" i="3"/>
  <c r="M209" i="3"/>
  <c r="L209" i="3"/>
  <c r="K209" i="3"/>
  <c r="J209" i="3"/>
  <c r="AX208" i="3"/>
  <c r="AW208" i="3"/>
  <c r="AA208" i="3"/>
  <c r="Z208" i="3"/>
  <c r="Y208" i="3"/>
  <c r="X208" i="3"/>
  <c r="W208" i="3"/>
  <c r="V208" i="3"/>
  <c r="U208" i="3"/>
  <c r="T208" i="3"/>
  <c r="S208" i="3"/>
  <c r="R208" i="3"/>
  <c r="Q208" i="3"/>
  <c r="P208" i="3"/>
  <c r="O208" i="3"/>
  <c r="N208" i="3"/>
  <c r="M208" i="3"/>
  <c r="L208" i="3"/>
  <c r="K208" i="3"/>
  <c r="J208" i="3"/>
  <c r="AX207" i="3"/>
  <c r="AW207" i="3"/>
  <c r="AA207" i="3"/>
  <c r="Z207" i="3"/>
  <c r="Y207" i="3"/>
  <c r="X207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AX206" i="3"/>
  <c r="AW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AX205" i="3"/>
  <c r="AW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AX204" i="3"/>
  <c r="AW204" i="3"/>
  <c r="AA204" i="3"/>
  <c r="Z204" i="3"/>
  <c r="Y204" i="3"/>
  <c r="X204" i="3"/>
  <c r="W204" i="3"/>
  <c r="V204" i="3"/>
  <c r="U204" i="3"/>
  <c r="T204" i="3"/>
  <c r="S204" i="3"/>
  <c r="R204" i="3"/>
  <c r="Q204" i="3"/>
  <c r="P204" i="3"/>
  <c r="O204" i="3"/>
  <c r="N204" i="3"/>
  <c r="M204" i="3"/>
  <c r="L204" i="3"/>
  <c r="K204" i="3"/>
  <c r="J204" i="3"/>
  <c r="AX203" i="3"/>
  <c r="AW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AX202" i="3"/>
  <c r="AW202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AX201" i="3"/>
  <c r="AW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L201" i="3"/>
  <c r="K201" i="3"/>
  <c r="J201" i="3"/>
  <c r="AX200" i="3"/>
  <c r="AW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AX199" i="3"/>
  <c r="AW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AX198" i="3"/>
  <c r="AW198" i="3"/>
  <c r="AL198" i="3"/>
  <c r="AK198" i="3"/>
  <c r="AJ198" i="3"/>
  <c r="AI198" i="3"/>
  <c r="AH198" i="3"/>
  <c r="AG198" i="3"/>
  <c r="AF198" i="3"/>
  <c r="AE198" i="3"/>
  <c r="AD198" i="3"/>
  <c r="AC198" i="3"/>
  <c r="AB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AX197" i="3"/>
  <c r="AW197" i="3"/>
  <c r="AL197" i="3"/>
  <c r="AK197" i="3"/>
  <c r="AJ197" i="3"/>
  <c r="AI197" i="3"/>
  <c r="AH197" i="3"/>
  <c r="AG197" i="3"/>
  <c r="AF197" i="3"/>
  <c r="AE197" i="3"/>
  <c r="AD197" i="3"/>
  <c r="AC197" i="3"/>
  <c r="AB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AX196" i="3"/>
  <c r="AW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AX195" i="3"/>
  <c r="AW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AX194" i="3"/>
  <c r="AW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AX193" i="3"/>
  <c r="AW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AX192" i="3"/>
  <c r="AW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AX191" i="3"/>
  <c r="AW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AX190" i="3"/>
  <c r="AW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AX189" i="3"/>
  <c r="AW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AX188" i="3"/>
  <c r="AW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AX187" i="3"/>
  <c r="AW187" i="3"/>
  <c r="AL187" i="3"/>
  <c r="AK187" i="3"/>
  <c r="AJ187" i="3"/>
  <c r="AI187" i="3"/>
  <c r="AH187" i="3"/>
  <c r="AG187" i="3"/>
  <c r="AF187" i="3"/>
  <c r="AE187" i="3"/>
  <c r="AD187" i="3"/>
  <c r="AC187" i="3"/>
  <c r="AB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AX186" i="3"/>
  <c r="AW186" i="3"/>
  <c r="AL186" i="3"/>
  <c r="AK186" i="3"/>
  <c r="AJ186" i="3"/>
  <c r="AI186" i="3"/>
  <c r="AH186" i="3"/>
  <c r="AG186" i="3"/>
  <c r="AF186" i="3"/>
  <c r="AE186" i="3"/>
  <c r="AD186" i="3"/>
  <c r="AC186" i="3"/>
  <c r="AB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AX185" i="3"/>
  <c r="AW185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AX184" i="3"/>
  <c r="AW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AX183" i="3"/>
  <c r="AW183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AX182" i="3"/>
  <c r="AW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AX181" i="3"/>
  <c r="AW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AX180" i="3"/>
  <c r="AW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AX179" i="3"/>
  <c r="AW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AX178" i="3"/>
  <c r="AW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AX177" i="3"/>
  <c r="AW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AX176" i="3"/>
  <c r="AW176" i="3"/>
  <c r="AL176" i="3"/>
  <c r="AK176" i="3"/>
  <c r="AJ176" i="3"/>
  <c r="AI176" i="3"/>
  <c r="AH176" i="3"/>
  <c r="AG176" i="3"/>
  <c r="AF176" i="3"/>
  <c r="AE176" i="3"/>
  <c r="AD176" i="3"/>
  <c r="AC176" i="3"/>
  <c r="AB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AX175" i="3"/>
  <c r="AW175" i="3"/>
  <c r="AL175" i="3"/>
  <c r="AK175" i="3"/>
  <c r="AJ175" i="3"/>
  <c r="AI175" i="3"/>
  <c r="AH175" i="3"/>
  <c r="AG175" i="3"/>
  <c r="AF175" i="3"/>
  <c r="AE175" i="3"/>
  <c r="AD175" i="3"/>
  <c r="AC175" i="3"/>
  <c r="AB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AX174" i="3"/>
  <c r="AW174" i="3"/>
  <c r="AL174" i="3"/>
  <c r="AK174" i="3"/>
  <c r="AJ174" i="3"/>
  <c r="AI174" i="3"/>
  <c r="AH174" i="3"/>
  <c r="AG174" i="3"/>
  <c r="AF174" i="3"/>
  <c r="AE174" i="3"/>
  <c r="AD174" i="3"/>
  <c r="AC174" i="3"/>
  <c r="AB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AX173" i="3"/>
  <c r="AW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AX172" i="3"/>
  <c r="AW172" i="3"/>
  <c r="AL172" i="3"/>
  <c r="AK172" i="3"/>
  <c r="AJ172" i="3"/>
  <c r="AI172" i="3"/>
  <c r="AH172" i="3"/>
  <c r="AG172" i="3"/>
  <c r="AF172" i="3"/>
  <c r="AE172" i="3"/>
  <c r="AD172" i="3"/>
  <c r="AC172" i="3"/>
  <c r="AB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AX171" i="3"/>
  <c r="AW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AX170" i="3"/>
  <c r="AW170" i="3"/>
  <c r="AL170" i="3"/>
  <c r="AK170" i="3"/>
  <c r="AJ170" i="3"/>
  <c r="AI170" i="3"/>
  <c r="AH170" i="3"/>
  <c r="AG170" i="3"/>
  <c r="AF170" i="3"/>
  <c r="AE170" i="3"/>
  <c r="AD170" i="3"/>
  <c r="AC170" i="3"/>
  <c r="AB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AX169" i="3"/>
  <c r="AW169" i="3"/>
  <c r="AL169" i="3"/>
  <c r="AK169" i="3"/>
  <c r="AJ169" i="3"/>
  <c r="AI169" i="3"/>
  <c r="AH169" i="3"/>
  <c r="AG169" i="3"/>
  <c r="AF169" i="3"/>
  <c r="AE169" i="3"/>
  <c r="AD169" i="3"/>
  <c r="AC169" i="3"/>
  <c r="AB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AX168" i="3"/>
  <c r="AW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AX167" i="3"/>
  <c r="AW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AX166" i="3"/>
  <c r="AW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AX165" i="3"/>
  <c r="AW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AX164" i="3"/>
  <c r="AW164" i="3"/>
  <c r="AA164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AX163" i="3"/>
  <c r="AW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AX162" i="3"/>
  <c r="AW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AX161" i="3"/>
  <c r="AW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AX160" i="3"/>
  <c r="AW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AX159" i="3"/>
  <c r="AW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AX158" i="3"/>
  <c r="AW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AX157" i="3"/>
  <c r="AW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AX156" i="3"/>
  <c r="AW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AX155" i="3"/>
  <c r="AW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AX154" i="3"/>
  <c r="AW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AX153" i="3"/>
  <c r="AW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AX152" i="3"/>
  <c r="AW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AX151" i="3"/>
  <c r="AW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AX150" i="3"/>
  <c r="AW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AX149" i="3"/>
  <c r="AW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AX148" i="3"/>
  <c r="AW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AX147" i="3"/>
  <c r="AW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AX146" i="3"/>
  <c r="AW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AX145" i="3"/>
  <c r="AW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AX144" i="3"/>
  <c r="AW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AX143" i="3"/>
  <c r="AW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AX142" i="3"/>
  <c r="AW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AX141" i="3"/>
  <c r="AW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AX140" i="3"/>
  <c r="AW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AX139" i="3"/>
  <c r="AW139" i="3"/>
  <c r="AL139" i="3"/>
  <c r="AK139" i="3"/>
  <c r="AJ139" i="3"/>
  <c r="AI139" i="3"/>
  <c r="AH139" i="3"/>
  <c r="AG139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AX138" i="3"/>
  <c r="AW138" i="3"/>
  <c r="AL138" i="3"/>
  <c r="AK138" i="3"/>
  <c r="AJ138" i="3"/>
  <c r="AI138" i="3"/>
  <c r="AH138" i="3"/>
  <c r="AG138" i="3"/>
  <c r="AF138" i="3"/>
  <c r="AE138" i="3"/>
  <c r="AD138" i="3"/>
  <c r="AC138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AX137" i="3"/>
  <c r="AW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AX136" i="3"/>
  <c r="AW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AX135" i="3"/>
  <c r="AW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AX134" i="3"/>
  <c r="AW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AX133" i="3"/>
  <c r="AW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AX132" i="3"/>
  <c r="AW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AX131" i="3"/>
  <c r="AW131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AX130" i="3"/>
  <c r="AW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AX129" i="3"/>
  <c r="AW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AX128" i="3"/>
  <c r="AW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AX127" i="3"/>
  <c r="AW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AX126" i="3"/>
  <c r="AW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AX125" i="3"/>
  <c r="AW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AX124" i="3"/>
  <c r="AW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AX123" i="3"/>
  <c r="AW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AX122" i="3"/>
  <c r="AW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AX121" i="3"/>
  <c r="AW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AX120" i="3"/>
  <c r="AW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AX119" i="3"/>
  <c r="AW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AX118" i="3"/>
  <c r="AW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AX117" i="3"/>
  <c r="AW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AX116" i="3"/>
  <c r="AW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AX115" i="3"/>
  <c r="AW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AX114" i="3"/>
  <c r="AW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AX113" i="3"/>
  <c r="AW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AX112" i="3"/>
  <c r="AW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AX111" i="3"/>
  <c r="AW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AX110" i="3"/>
  <c r="AW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AX109" i="3"/>
  <c r="AW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AX108" i="3"/>
  <c r="AW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AX107" i="3"/>
  <c r="AW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AX106" i="3"/>
  <c r="AW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AX105" i="3"/>
  <c r="AW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AX104" i="3"/>
  <c r="AW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AX103" i="3"/>
  <c r="AW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AX102" i="3"/>
  <c r="AW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AX101" i="3"/>
  <c r="AW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AX100" i="3"/>
  <c r="AW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AX99" i="3"/>
  <c r="AW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AX98" i="3"/>
  <c r="AW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AX97" i="3"/>
  <c r="AW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AX96" i="3"/>
  <c r="AW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AX95" i="3"/>
  <c r="AW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AX94" i="3"/>
  <c r="AW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AX93" i="3"/>
  <c r="AW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AX92" i="3"/>
  <c r="AW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AX91" i="3"/>
  <c r="AW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AX90" i="3"/>
  <c r="AW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AX89" i="3"/>
  <c r="AW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AX88" i="3"/>
  <c r="AW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AX87" i="3"/>
  <c r="AW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AX86" i="3"/>
  <c r="AW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AX85" i="3"/>
  <c r="AW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AX84" i="3"/>
  <c r="AW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AX83" i="3"/>
  <c r="AW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AX82" i="3"/>
  <c r="AW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AX81" i="3"/>
  <c r="AW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AX80" i="3"/>
  <c r="AW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AX79" i="3"/>
  <c r="AW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AX78" i="3"/>
  <c r="AW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AX77" i="3"/>
  <c r="AW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AX76" i="3"/>
  <c r="AW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AX75" i="3"/>
  <c r="AW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AX74" i="3"/>
  <c r="AW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AX73" i="3"/>
  <c r="AW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AX72" i="3"/>
  <c r="AW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AX71" i="3"/>
  <c r="AW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AX70" i="3"/>
  <c r="AW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AX69" i="3"/>
  <c r="AW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AX68" i="3"/>
  <c r="AW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AX67" i="3"/>
  <c r="AW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AX66" i="3"/>
  <c r="AW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AX65" i="3"/>
  <c r="AW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AX64" i="3"/>
  <c r="AW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AX63" i="3"/>
  <c r="AW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AX62" i="3"/>
  <c r="AW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AX61" i="3"/>
  <c r="AW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AX60" i="3"/>
  <c r="AW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AX59" i="3"/>
  <c r="AW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AX58" i="3"/>
  <c r="AW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AX57" i="3"/>
  <c r="AW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AX56" i="3"/>
  <c r="AW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AX55" i="3"/>
  <c r="AW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AX54" i="3"/>
  <c r="AW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AX53" i="3"/>
  <c r="AW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AX52" i="3"/>
  <c r="AW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AX51" i="3"/>
  <c r="AW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AX50" i="3"/>
  <c r="AW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AX49" i="3"/>
  <c r="AW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AX48" i="3"/>
  <c r="AW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AX47" i="3"/>
  <c r="AW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AX46" i="3"/>
  <c r="AW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AX45" i="3"/>
  <c r="AW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AX44" i="3"/>
  <c r="AW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AX43" i="3"/>
  <c r="AW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AX42" i="3"/>
  <c r="AW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AX41" i="3"/>
  <c r="AW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AX40" i="3"/>
  <c r="AW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AX39" i="3"/>
  <c r="AW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AX38" i="3"/>
  <c r="AW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AX37" i="3"/>
  <c r="AW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AX36" i="3"/>
  <c r="AW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AX35" i="3"/>
  <c r="AW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AX34" i="3"/>
  <c r="AW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AX33" i="3"/>
  <c r="AW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AX32" i="3"/>
  <c r="AW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AX31" i="3"/>
  <c r="AW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AX30" i="3"/>
  <c r="AW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AX29" i="3"/>
  <c r="AW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AX28" i="3"/>
  <c r="AW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AX27" i="3"/>
  <c r="AW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AX26" i="3"/>
  <c r="AW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AX25" i="3"/>
  <c r="AW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AX24" i="3"/>
  <c r="AW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AX23" i="3"/>
  <c r="AW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AX22" i="3"/>
  <c r="AW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AX21" i="3"/>
  <c r="AW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AX20" i="3"/>
  <c r="AW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AX19" i="3"/>
  <c r="AW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AX18" i="3"/>
  <c r="AW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AX17" i="3"/>
  <c r="AW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AX16" i="3"/>
  <c r="AW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AX15" i="3"/>
  <c r="AW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AX14" i="3"/>
  <c r="AW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AX13" i="3"/>
  <c r="AW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D11" i="3"/>
  <c r="D6" i="2"/>
  <c r="BA498" i="1"/>
  <c r="AZ498" i="1"/>
  <c r="AY498" i="1"/>
  <c r="BA497" i="1"/>
  <c r="AZ497" i="1"/>
  <c r="AY497" i="1"/>
  <c r="BA496" i="1"/>
  <c r="AZ496" i="1"/>
  <c r="AY496" i="1"/>
  <c r="BA495" i="1"/>
  <c r="AZ495" i="1"/>
  <c r="AY495" i="1"/>
  <c r="BA494" i="1"/>
  <c r="AZ494" i="1"/>
  <c r="AY494" i="1"/>
  <c r="BA493" i="1"/>
  <c r="AZ493" i="1"/>
  <c r="AY493" i="1"/>
  <c r="BA492" i="1"/>
  <c r="AZ492" i="1"/>
  <c r="AY492" i="1"/>
  <c r="BA491" i="1"/>
  <c r="AZ491" i="1"/>
  <c r="AY491" i="1"/>
  <c r="BA490" i="1"/>
  <c r="AZ490" i="1"/>
  <c r="AY490" i="1"/>
  <c r="BA489" i="1"/>
  <c r="AZ489" i="1"/>
  <c r="AY489" i="1"/>
  <c r="BA488" i="1"/>
  <c r="AZ488" i="1"/>
  <c r="AY488" i="1"/>
  <c r="BA487" i="1"/>
  <c r="AZ487" i="1"/>
  <c r="AY487" i="1"/>
  <c r="BA486" i="1"/>
  <c r="AZ486" i="1"/>
  <c r="AY486" i="1"/>
  <c r="BA485" i="1"/>
  <c r="AZ485" i="1"/>
  <c r="AY485" i="1"/>
  <c r="BA484" i="1"/>
  <c r="AZ484" i="1"/>
  <c r="AY484" i="1"/>
  <c r="BA483" i="1"/>
  <c r="AZ483" i="1"/>
  <c r="AY483" i="1"/>
  <c r="BA482" i="1"/>
  <c r="AZ482" i="1"/>
  <c r="AY482" i="1"/>
  <c r="BA481" i="1"/>
  <c r="AZ481" i="1"/>
  <c r="AY481" i="1"/>
  <c r="BA480" i="1"/>
  <c r="AZ480" i="1"/>
  <c r="AY480" i="1"/>
  <c r="BA479" i="1"/>
  <c r="AZ479" i="1"/>
  <c r="AY479" i="1"/>
  <c r="BA478" i="1"/>
  <c r="AZ478" i="1"/>
  <c r="AY478" i="1"/>
  <c r="BA477" i="1"/>
  <c r="AZ477" i="1"/>
  <c r="AY477" i="1"/>
  <c r="BA476" i="1"/>
  <c r="AZ476" i="1"/>
  <c r="AY476" i="1"/>
  <c r="BA475" i="1"/>
  <c r="AZ475" i="1"/>
  <c r="AY475" i="1"/>
  <c r="BA474" i="1"/>
  <c r="AZ474" i="1"/>
  <c r="AY474" i="1"/>
  <c r="BA473" i="1"/>
  <c r="AZ473" i="1"/>
  <c r="AY473" i="1"/>
  <c r="BA472" i="1"/>
  <c r="AZ472" i="1"/>
  <c r="AY472" i="1"/>
  <c r="BA471" i="1"/>
  <c r="AZ471" i="1"/>
  <c r="AY471" i="1"/>
  <c r="BA470" i="1"/>
  <c r="AZ470" i="1"/>
  <c r="AY470" i="1"/>
  <c r="BA469" i="1"/>
  <c r="AZ469" i="1"/>
  <c r="AY469" i="1"/>
  <c r="BA468" i="1"/>
  <c r="AZ468" i="1"/>
  <c r="AY468" i="1"/>
  <c r="BA467" i="1"/>
  <c r="AZ467" i="1"/>
  <c r="AY467" i="1"/>
  <c r="BA466" i="1"/>
  <c r="AZ466" i="1"/>
  <c r="AY466" i="1"/>
  <c r="BA465" i="1"/>
  <c r="AZ465" i="1"/>
  <c r="AY465" i="1"/>
  <c r="BA464" i="1"/>
  <c r="AZ464" i="1"/>
  <c r="AY464" i="1"/>
  <c r="BA463" i="1"/>
  <c r="AZ463" i="1"/>
  <c r="AY463" i="1"/>
  <c r="BA462" i="1"/>
  <c r="AZ462" i="1"/>
  <c r="AY462" i="1"/>
  <c r="BA461" i="1"/>
  <c r="AZ461" i="1"/>
  <c r="AY461" i="1"/>
  <c r="BA460" i="1"/>
  <c r="AZ460" i="1"/>
  <c r="AY460" i="1"/>
  <c r="BA459" i="1"/>
  <c r="AZ459" i="1"/>
  <c r="AY459" i="1"/>
  <c r="BA458" i="1"/>
  <c r="AZ458" i="1"/>
  <c r="AY458" i="1"/>
  <c r="BA457" i="1"/>
  <c r="AZ457" i="1"/>
  <c r="AY457" i="1"/>
  <c r="BA456" i="1"/>
  <c r="AZ456" i="1"/>
  <c r="AY456" i="1"/>
  <c r="BA455" i="1"/>
  <c r="AZ455" i="1"/>
  <c r="AY455" i="1"/>
  <c r="BA454" i="1"/>
  <c r="AZ454" i="1"/>
  <c r="AY454" i="1"/>
  <c r="BA453" i="1"/>
  <c r="AZ453" i="1"/>
  <c r="AY453" i="1"/>
  <c r="BA452" i="1"/>
  <c r="AZ452" i="1"/>
  <c r="AY452" i="1"/>
  <c r="BA451" i="1"/>
  <c r="AZ451" i="1"/>
  <c r="AY451" i="1"/>
  <c r="BA450" i="1"/>
  <c r="AZ450" i="1"/>
  <c r="AY450" i="1"/>
  <c r="BA449" i="1"/>
  <c r="AZ449" i="1"/>
  <c r="AY449" i="1"/>
  <c r="BA448" i="1"/>
  <c r="AZ448" i="1"/>
  <c r="AY448" i="1"/>
  <c r="BA447" i="1"/>
  <c r="AZ447" i="1"/>
  <c r="AY447" i="1"/>
  <c r="BA446" i="1"/>
  <c r="AZ446" i="1"/>
  <c r="AY446" i="1"/>
  <c r="BA445" i="1"/>
  <c r="AZ445" i="1"/>
  <c r="AY445" i="1"/>
  <c r="BA444" i="1"/>
  <c r="AZ444" i="1"/>
  <c r="AY444" i="1"/>
  <c r="BA443" i="1"/>
  <c r="AZ443" i="1"/>
  <c r="AY443" i="1"/>
  <c r="BA442" i="1"/>
  <c r="AZ442" i="1"/>
  <c r="AY442" i="1"/>
  <c r="BA441" i="1"/>
  <c r="AZ441" i="1"/>
  <c r="AY441" i="1"/>
  <c r="BA440" i="1"/>
  <c r="AZ440" i="1"/>
  <c r="AY440" i="1"/>
  <c r="BA439" i="1"/>
  <c r="AZ439" i="1"/>
  <c r="AY439" i="1"/>
  <c r="BA438" i="1"/>
  <c r="AZ438" i="1"/>
  <c r="AY438" i="1"/>
  <c r="BA437" i="1"/>
  <c r="AZ437" i="1"/>
  <c r="AY437" i="1"/>
  <c r="BA436" i="1"/>
  <c r="AZ436" i="1"/>
  <c r="AY436" i="1"/>
  <c r="BA435" i="1"/>
  <c r="AZ435" i="1"/>
  <c r="AY435" i="1"/>
  <c r="BA434" i="1"/>
  <c r="AZ434" i="1"/>
  <c r="AY434" i="1"/>
  <c r="BA433" i="1"/>
  <c r="AZ433" i="1"/>
  <c r="AY433" i="1"/>
  <c r="BA432" i="1"/>
  <c r="AZ432" i="1"/>
  <c r="AY432" i="1"/>
  <c r="BA431" i="1"/>
  <c r="AZ431" i="1"/>
  <c r="AY431" i="1"/>
  <c r="BA430" i="1"/>
  <c r="AZ430" i="1"/>
  <c r="AY430" i="1"/>
  <c r="BA429" i="1"/>
  <c r="AZ429" i="1"/>
  <c r="AY429" i="1"/>
  <c r="BA428" i="1"/>
  <c r="AZ428" i="1"/>
  <c r="AY428" i="1"/>
  <c r="BA427" i="1"/>
  <c r="AZ427" i="1"/>
  <c r="AY427" i="1"/>
  <c r="BA426" i="1"/>
  <c r="AZ426" i="1"/>
  <c r="AY426" i="1"/>
  <c r="BA425" i="1"/>
  <c r="AZ425" i="1"/>
  <c r="AY425" i="1"/>
  <c r="BA424" i="1"/>
  <c r="AZ424" i="1"/>
  <c r="AY424" i="1"/>
  <c r="BA423" i="1"/>
  <c r="AZ423" i="1"/>
  <c r="AY423" i="1"/>
  <c r="BA422" i="1"/>
  <c r="AZ422" i="1"/>
  <c r="AY422" i="1"/>
  <c r="BA421" i="1"/>
  <c r="AZ421" i="1"/>
  <c r="AY421" i="1"/>
  <c r="BA420" i="1"/>
  <c r="AZ420" i="1"/>
  <c r="AY420" i="1"/>
  <c r="BA419" i="1"/>
  <c r="AZ419" i="1"/>
  <c r="AY419" i="1"/>
  <c r="BA418" i="1"/>
  <c r="AZ418" i="1"/>
  <c r="AY418" i="1"/>
  <c r="BA417" i="1"/>
  <c r="AZ417" i="1"/>
  <c r="AY417" i="1"/>
  <c r="BA416" i="1"/>
  <c r="AZ416" i="1"/>
  <c r="AY416" i="1"/>
  <c r="BA415" i="1"/>
  <c r="AZ415" i="1"/>
  <c r="AY415" i="1"/>
  <c r="BA414" i="1"/>
  <c r="AZ414" i="1"/>
  <c r="AY414" i="1"/>
  <c r="BA413" i="1"/>
  <c r="AZ413" i="1"/>
  <c r="AY413" i="1"/>
  <c r="BA412" i="1"/>
  <c r="AZ412" i="1"/>
  <c r="AY412" i="1"/>
  <c r="BA411" i="1"/>
  <c r="AZ411" i="1"/>
  <c r="AY411" i="1"/>
  <c r="BA410" i="1"/>
  <c r="AZ410" i="1"/>
  <c r="AY410" i="1"/>
  <c r="BA409" i="1"/>
  <c r="AZ409" i="1"/>
  <c r="AY409" i="1"/>
  <c r="BA408" i="1"/>
  <c r="AZ408" i="1"/>
  <c r="AY408" i="1"/>
  <c r="BA407" i="1"/>
  <c r="AZ407" i="1"/>
  <c r="AY407" i="1"/>
  <c r="BA406" i="1"/>
  <c r="AZ406" i="1"/>
  <c r="AY406" i="1"/>
  <c r="BA405" i="1"/>
  <c r="AZ405" i="1"/>
  <c r="AY405" i="1"/>
  <c r="BA404" i="1"/>
  <c r="AZ404" i="1"/>
  <c r="AY404" i="1"/>
  <c r="BA403" i="1"/>
  <c r="AZ403" i="1"/>
  <c r="AY403" i="1"/>
  <c r="BA402" i="1"/>
  <c r="AZ402" i="1"/>
  <c r="AY402" i="1"/>
  <c r="BA401" i="1"/>
  <c r="AZ401" i="1"/>
  <c r="AY401" i="1"/>
  <c r="BA400" i="1"/>
  <c r="AZ400" i="1"/>
  <c r="AY400" i="1"/>
  <c r="BA399" i="1"/>
  <c r="AZ399" i="1"/>
  <c r="AY399" i="1"/>
  <c r="BA398" i="1"/>
  <c r="AZ398" i="1"/>
  <c r="AY398" i="1"/>
  <c r="BA397" i="1"/>
  <c r="AZ397" i="1"/>
  <c r="AY397" i="1"/>
  <c r="BA396" i="1"/>
  <c r="AZ396" i="1"/>
  <c r="AY396" i="1"/>
  <c r="BA395" i="1"/>
  <c r="AZ395" i="1"/>
  <c r="AY395" i="1"/>
  <c r="BA394" i="1"/>
  <c r="AZ394" i="1"/>
  <c r="AY394" i="1"/>
  <c r="BA393" i="1"/>
  <c r="AZ393" i="1"/>
  <c r="AY393" i="1"/>
  <c r="BA392" i="1"/>
  <c r="AZ392" i="1"/>
  <c r="AY392" i="1"/>
  <c r="BA391" i="1"/>
  <c r="AZ391" i="1"/>
  <c r="AY391" i="1"/>
  <c r="BA390" i="1"/>
  <c r="AZ390" i="1"/>
  <c r="AY390" i="1"/>
  <c r="BA389" i="1"/>
  <c r="AZ389" i="1"/>
  <c r="AY389" i="1"/>
  <c r="BA388" i="1"/>
  <c r="AZ388" i="1"/>
  <c r="AY388" i="1"/>
  <c r="BA387" i="1"/>
  <c r="AZ387" i="1"/>
  <c r="AY387" i="1"/>
  <c r="BA386" i="1"/>
  <c r="AZ386" i="1"/>
  <c r="AY386" i="1"/>
  <c r="BA385" i="1"/>
  <c r="AZ385" i="1"/>
  <c r="AY385" i="1"/>
  <c r="BA384" i="1"/>
  <c r="AZ384" i="1"/>
  <c r="AY384" i="1"/>
  <c r="BA383" i="1"/>
  <c r="AZ383" i="1"/>
  <c r="AY383" i="1"/>
  <c r="BA382" i="1"/>
  <c r="AZ382" i="1"/>
  <c r="AY382" i="1"/>
  <c r="BA381" i="1"/>
  <c r="AZ381" i="1"/>
  <c r="AY381" i="1"/>
  <c r="BA380" i="1"/>
  <c r="AZ380" i="1"/>
  <c r="AY380" i="1"/>
  <c r="BA379" i="1"/>
  <c r="AZ379" i="1"/>
  <c r="AY379" i="1"/>
  <c r="BA378" i="1"/>
  <c r="AZ378" i="1"/>
  <c r="AY378" i="1"/>
  <c r="BA377" i="1"/>
  <c r="AZ377" i="1"/>
  <c r="AY377" i="1"/>
  <c r="BA376" i="1"/>
  <c r="AZ376" i="1"/>
  <c r="AY376" i="1"/>
  <c r="BA375" i="1"/>
  <c r="AZ375" i="1"/>
  <c r="AY375" i="1"/>
  <c r="BA374" i="1"/>
  <c r="AZ374" i="1"/>
  <c r="AY374" i="1"/>
  <c r="BA373" i="1"/>
  <c r="AZ373" i="1"/>
  <c r="AY373" i="1"/>
  <c r="BA372" i="1"/>
  <c r="AZ372" i="1"/>
  <c r="AY372" i="1"/>
  <c r="P372" i="1"/>
  <c r="O372" i="1"/>
  <c r="BA371" i="1"/>
  <c r="AZ371" i="1"/>
  <c r="AY371" i="1"/>
  <c r="P371" i="1"/>
  <c r="O371" i="1"/>
  <c r="BA370" i="1"/>
  <c r="AZ370" i="1"/>
  <c r="AY370" i="1"/>
  <c r="P370" i="1"/>
  <c r="O370" i="1"/>
  <c r="BA369" i="1"/>
  <c r="AZ369" i="1"/>
  <c r="AY369" i="1"/>
  <c r="BA368" i="1"/>
  <c r="AZ368" i="1"/>
  <c r="AY368" i="1"/>
  <c r="BA367" i="1"/>
  <c r="AZ367" i="1"/>
  <c r="AY367" i="1"/>
  <c r="BA366" i="1"/>
  <c r="AZ366" i="1"/>
  <c r="AY366" i="1"/>
  <c r="BA365" i="1"/>
  <c r="AZ365" i="1"/>
  <c r="AY365" i="1"/>
  <c r="BA364" i="1"/>
  <c r="AZ364" i="1"/>
  <c r="AY364" i="1"/>
  <c r="BA363" i="1"/>
  <c r="AZ363" i="1"/>
  <c r="AY363" i="1"/>
  <c r="BA362" i="1"/>
  <c r="AZ362" i="1"/>
  <c r="AY362" i="1"/>
  <c r="BA361" i="1"/>
  <c r="AZ361" i="1"/>
  <c r="AY361" i="1"/>
  <c r="BA360" i="1"/>
  <c r="AZ360" i="1"/>
  <c r="AY360" i="1"/>
  <c r="BA359" i="1"/>
  <c r="AZ359" i="1"/>
  <c r="AY359" i="1"/>
  <c r="BA358" i="1"/>
  <c r="AZ358" i="1"/>
  <c r="AY358" i="1"/>
  <c r="BA357" i="1"/>
  <c r="AZ357" i="1"/>
  <c r="AY357" i="1"/>
  <c r="BA356" i="1"/>
  <c r="AZ356" i="1"/>
  <c r="AY356" i="1"/>
  <c r="BA355" i="1"/>
  <c r="AZ355" i="1"/>
  <c r="AY355" i="1"/>
  <c r="BA354" i="1"/>
  <c r="AZ354" i="1"/>
  <c r="AY354" i="1"/>
  <c r="BA353" i="1"/>
  <c r="AZ353" i="1"/>
  <c r="AY353" i="1"/>
  <c r="BA352" i="1"/>
  <c r="AZ352" i="1"/>
  <c r="AY352" i="1"/>
  <c r="BA351" i="1"/>
  <c r="AZ351" i="1"/>
  <c r="AY351" i="1"/>
  <c r="BA350" i="1"/>
  <c r="AZ350" i="1"/>
  <c r="AY350" i="1"/>
  <c r="BA349" i="1"/>
  <c r="AZ349" i="1"/>
  <c r="AY349" i="1"/>
  <c r="BA348" i="1"/>
  <c r="AZ348" i="1"/>
  <c r="AY348" i="1"/>
  <c r="BA347" i="1"/>
  <c r="AZ347" i="1"/>
  <c r="AY347" i="1"/>
  <c r="BA346" i="1"/>
  <c r="AZ346" i="1"/>
  <c r="AY346" i="1"/>
  <c r="BA345" i="1"/>
  <c r="AZ345" i="1"/>
  <c r="AY345" i="1"/>
  <c r="BA344" i="1"/>
  <c r="AZ344" i="1"/>
  <c r="AY344" i="1"/>
  <c r="BA343" i="1"/>
  <c r="AZ343" i="1"/>
  <c r="AY343" i="1"/>
  <c r="BA342" i="1"/>
  <c r="AZ342" i="1"/>
  <c r="AY342" i="1"/>
  <c r="BA341" i="1"/>
  <c r="AZ341" i="1"/>
  <c r="AY341" i="1"/>
  <c r="BA340" i="1"/>
  <c r="AZ340" i="1"/>
  <c r="AY340" i="1"/>
  <c r="BA339" i="1"/>
  <c r="AZ339" i="1"/>
  <c r="AY339" i="1"/>
  <c r="Q339" i="1"/>
  <c r="P339" i="1"/>
  <c r="O339" i="1"/>
  <c r="L339" i="1"/>
  <c r="K339" i="1"/>
  <c r="J339" i="1"/>
  <c r="BA338" i="1"/>
  <c r="AZ338" i="1"/>
  <c r="AY338" i="1"/>
  <c r="BA337" i="1"/>
  <c r="AZ337" i="1"/>
  <c r="AY337" i="1"/>
  <c r="BA336" i="1"/>
  <c r="AZ336" i="1"/>
  <c r="AY336" i="1"/>
  <c r="BA335" i="1"/>
  <c r="AZ335" i="1"/>
  <c r="AY335" i="1"/>
  <c r="BA334" i="1"/>
  <c r="AZ334" i="1"/>
  <c r="AY334" i="1"/>
  <c r="BA333" i="1"/>
  <c r="AZ333" i="1"/>
  <c r="AY333" i="1"/>
  <c r="BA332" i="1"/>
  <c r="AZ332" i="1"/>
  <c r="AY332" i="1"/>
  <c r="BA331" i="1"/>
  <c r="AZ331" i="1"/>
  <c r="AY331" i="1"/>
  <c r="BA330" i="1"/>
  <c r="AZ330" i="1"/>
  <c r="AY330" i="1"/>
  <c r="BA329" i="1"/>
  <c r="AZ329" i="1"/>
  <c r="AY329" i="1"/>
  <c r="BA328" i="1"/>
  <c r="AZ328" i="1"/>
  <c r="AY328" i="1"/>
  <c r="BA327" i="1"/>
  <c r="AZ327" i="1"/>
  <c r="AY327" i="1"/>
  <c r="BA326" i="1"/>
  <c r="AZ326" i="1"/>
  <c r="AY326" i="1"/>
  <c r="BA325" i="1"/>
  <c r="AZ325" i="1"/>
  <c r="AY325" i="1"/>
  <c r="BA324" i="1"/>
  <c r="AZ324" i="1"/>
  <c r="AY324" i="1"/>
  <c r="BA323" i="1"/>
  <c r="AZ323" i="1"/>
  <c r="AY323" i="1"/>
  <c r="BA322" i="1"/>
  <c r="AZ322" i="1"/>
  <c r="AY322" i="1"/>
  <c r="BA321" i="1"/>
  <c r="AZ321" i="1"/>
  <c r="AY321" i="1"/>
  <c r="Q321" i="1"/>
  <c r="P321" i="1"/>
  <c r="O321" i="1"/>
  <c r="L321" i="1"/>
  <c r="K321" i="1"/>
  <c r="J321" i="1"/>
  <c r="BA320" i="1"/>
  <c r="AZ320" i="1"/>
  <c r="AY320" i="1"/>
  <c r="Q320" i="1"/>
  <c r="P320" i="1"/>
  <c r="O320" i="1"/>
  <c r="L320" i="1"/>
  <c r="K320" i="1"/>
  <c r="J320" i="1"/>
  <c r="BA319" i="1"/>
  <c r="AZ319" i="1"/>
  <c r="AY319" i="1"/>
  <c r="Q319" i="1"/>
  <c r="P319" i="1"/>
  <c r="O319" i="1"/>
  <c r="L319" i="1"/>
  <c r="K319" i="1"/>
  <c r="J319" i="1"/>
  <c r="BA318" i="1"/>
  <c r="AZ318" i="1"/>
  <c r="AY318" i="1"/>
  <c r="Q318" i="1"/>
  <c r="P318" i="1"/>
  <c r="O318" i="1"/>
  <c r="L318" i="1"/>
  <c r="K318" i="1"/>
  <c r="J318" i="1"/>
  <c r="BA317" i="1"/>
  <c r="AZ317" i="1"/>
  <c r="AY317" i="1"/>
  <c r="Q317" i="1"/>
  <c r="P317" i="1"/>
  <c r="O317" i="1"/>
  <c r="L317" i="1"/>
  <c r="K317" i="1"/>
  <c r="J317" i="1"/>
  <c r="BA316" i="1"/>
  <c r="AZ316" i="1"/>
  <c r="AY316" i="1"/>
  <c r="Q316" i="1"/>
  <c r="P316" i="1"/>
  <c r="O316" i="1"/>
  <c r="L316" i="1"/>
  <c r="K316" i="1"/>
  <c r="J316" i="1"/>
  <c r="BA315" i="1"/>
  <c r="AZ315" i="1"/>
  <c r="AY315" i="1"/>
  <c r="Q315" i="1"/>
  <c r="P315" i="1"/>
  <c r="O315" i="1"/>
  <c r="L315" i="1"/>
  <c r="K315" i="1"/>
  <c r="J315" i="1"/>
  <c r="BA314" i="1"/>
  <c r="AZ314" i="1"/>
  <c r="AY314" i="1"/>
  <c r="BA313" i="1"/>
  <c r="AZ313" i="1"/>
  <c r="AY313" i="1"/>
  <c r="BA312" i="1"/>
  <c r="AZ312" i="1"/>
  <c r="AY312" i="1"/>
  <c r="BA311" i="1"/>
  <c r="AZ311" i="1"/>
  <c r="AY311" i="1"/>
  <c r="BA310" i="1"/>
  <c r="AZ310" i="1"/>
  <c r="AY310" i="1"/>
  <c r="BA309" i="1"/>
  <c r="AZ309" i="1"/>
  <c r="AY309" i="1"/>
  <c r="BA308" i="1"/>
  <c r="AZ308" i="1"/>
  <c r="AY308" i="1"/>
  <c r="BA307" i="1"/>
  <c r="AZ307" i="1"/>
  <c r="AY307" i="1"/>
  <c r="BA306" i="1"/>
  <c r="AZ306" i="1"/>
  <c r="AY306" i="1"/>
  <c r="BA305" i="1"/>
  <c r="AZ305" i="1"/>
  <c r="AY305" i="1"/>
  <c r="BA304" i="1"/>
  <c r="AZ304" i="1"/>
  <c r="AY304" i="1"/>
  <c r="BA303" i="1"/>
  <c r="AZ303" i="1"/>
  <c r="AY303" i="1"/>
  <c r="BA302" i="1"/>
  <c r="AZ302" i="1"/>
  <c r="AY302" i="1"/>
  <c r="BA301" i="1"/>
  <c r="AZ301" i="1"/>
  <c r="AY301" i="1"/>
  <c r="BA300" i="1"/>
  <c r="AZ300" i="1"/>
  <c r="AY300" i="1"/>
  <c r="BA299" i="1"/>
  <c r="AZ299" i="1"/>
  <c r="AY299" i="1"/>
  <c r="BA298" i="1"/>
  <c r="AZ298" i="1"/>
  <c r="AY298" i="1"/>
  <c r="BA297" i="1"/>
  <c r="AZ297" i="1"/>
  <c r="AY297" i="1"/>
  <c r="BA296" i="1"/>
  <c r="AZ296" i="1"/>
  <c r="AY296" i="1"/>
  <c r="Q296" i="1"/>
  <c r="P296" i="1"/>
  <c r="O296" i="1"/>
  <c r="L296" i="1"/>
  <c r="K296" i="1"/>
  <c r="J296" i="1"/>
  <c r="BA295" i="1"/>
  <c r="AZ295" i="1"/>
  <c r="AY295" i="1"/>
  <c r="Q295" i="1"/>
  <c r="P295" i="1"/>
  <c r="O295" i="1"/>
  <c r="L295" i="1"/>
  <c r="K295" i="1"/>
  <c r="J295" i="1"/>
  <c r="BA294" i="1"/>
  <c r="AZ294" i="1"/>
  <c r="AY294" i="1"/>
  <c r="Q294" i="1"/>
  <c r="P294" i="1"/>
  <c r="O294" i="1"/>
  <c r="L294" i="1"/>
  <c r="K294" i="1"/>
  <c r="J294" i="1"/>
  <c r="BA293" i="1"/>
  <c r="AZ293" i="1"/>
  <c r="AY293" i="1"/>
  <c r="Q293" i="1"/>
  <c r="P293" i="1"/>
  <c r="O293" i="1"/>
  <c r="L293" i="1"/>
  <c r="K293" i="1"/>
  <c r="J293" i="1"/>
  <c r="BA292" i="1"/>
  <c r="AZ292" i="1"/>
  <c r="AY292" i="1"/>
  <c r="BA291" i="1"/>
  <c r="AZ291" i="1"/>
  <c r="AY291" i="1"/>
  <c r="BA290" i="1"/>
  <c r="AZ290" i="1"/>
  <c r="AY290" i="1"/>
  <c r="BA289" i="1"/>
  <c r="AZ289" i="1"/>
  <c r="AY289" i="1"/>
  <c r="BA288" i="1"/>
  <c r="AZ288" i="1"/>
  <c r="AY288" i="1"/>
  <c r="Q288" i="1"/>
  <c r="P288" i="1"/>
  <c r="O288" i="1"/>
  <c r="L288" i="1"/>
  <c r="K288" i="1"/>
  <c r="J288" i="1"/>
  <c r="BA287" i="1"/>
  <c r="AZ287" i="1"/>
  <c r="AY287" i="1"/>
  <c r="BA286" i="1"/>
  <c r="AZ286" i="1"/>
  <c r="AY286" i="1"/>
  <c r="BA285" i="1"/>
  <c r="AZ285" i="1"/>
  <c r="AY285" i="1"/>
  <c r="BA284" i="1"/>
  <c r="AZ284" i="1"/>
  <c r="AY284" i="1"/>
  <c r="BA283" i="1"/>
  <c r="AZ283" i="1"/>
  <c r="AY283" i="1"/>
  <c r="BA282" i="1"/>
  <c r="AZ282" i="1"/>
  <c r="AY282" i="1"/>
  <c r="BA281" i="1"/>
  <c r="AZ281" i="1"/>
  <c r="AY281" i="1"/>
  <c r="BA280" i="1"/>
  <c r="AZ280" i="1"/>
  <c r="AY280" i="1"/>
  <c r="BA279" i="1"/>
  <c r="AZ279" i="1"/>
  <c r="AY279" i="1"/>
  <c r="BA278" i="1"/>
  <c r="AZ278" i="1"/>
  <c r="AY278" i="1"/>
  <c r="BA277" i="1"/>
  <c r="AZ277" i="1"/>
  <c r="AY277" i="1"/>
  <c r="BA276" i="1"/>
  <c r="AZ276" i="1"/>
  <c r="AY276" i="1"/>
  <c r="BA275" i="1"/>
  <c r="AZ275" i="1"/>
  <c r="AY275" i="1"/>
  <c r="BA274" i="1"/>
  <c r="AZ274" i="1"/>
  <c r="AY274" i="1"/>
  <c r="BA273" i="1"/>
  <c r="AZ273" i="1"/>
  <c r="AY273" i="1"/>
  <c r="BA272" i="1"/>
  <c r="AZ272" i="1"/>
  <c r="AY272" i="1"/>
  <c r="BA271" i="1"/>
  <c r="AZ271" i="1"/>
  <c r="AY271" i="1"/>
  <c r="BA270" i="1"/>
  <c r="AZ270" i="1"/>
  <c r="AY270" i="1"/>
  <c r="BA269" i="1"/>
  <c r="AZ269" i="1"/>
  <c r="AY269" i="1"/>
  <c r="BA268" i="1"/>
  <c r="AZ268" i="1"/>
  <c r="AY268" i="1"/>
  <c r="BA267" i="1"/>
  <c r="AZ267" i="1"/>
  <c r="AY267" i="1"/>
  <c r="BA266" i="1"/>
  <c r="AZ266" i="1"/>
  <c r="AY266" i="1"/>
  <c r="BA265" i="1"/>
  <c r="AZ265" i="1"/>
  <c r="AY265" i="1"/>
  <c r="BA264" i="1"/>
  <c r="AZ264" i="1"/>
  <c r="AY264" i="1"/>
  <c r="BA263" i="1"/>
  <c r="AZ263" i="1"/>
  <c r="AY263" i="1"/>
  <c r="BA262" i="1"/>
  <c r="AZ262" i="1"/>
  <c r="AY262" i="1"/>
  <c r="BA261" i="1"/>
  <c r="AZ261" i="1"/>
  <c r="AY261" i="1"/>
  <c r="BA260" i="1"/>
  <c r="AZ260" i="1"/>
  <c r="AY260" i="1"/>
  <c r="BA259" i="1"/>
  <c r="AZ259" i="1"/>
  <c r="AY259" i="1"/>
  <c r="BA258" i="1"/>
  <c r="AZ258" i="1"/>
  <c r="AY258" i="1"/>
  <c r="BA257" i="1"/>
  <c r="AZ257" i="1"/>
  <c r="AY257" i="1"/>
  <c r="BA256" i="1"/>
  <c r="AZ256" i="1"/>
  <c r="AY256" i="1"/>
  <c r="BA255" i="1"/>
  <c r="AZ255" i="1"/>
  <c r="AY255" i="1"/>
  <c r="BA254" i="1"/>
  <c r="AZ254" i="1"/>
  <c r="AY254" i="1"/>
  <c r="BA253" i="1"/>
  <c r="AZ253" i="1"/>
  <c r="AY253" i="1"/>
  <c r="Q253" i="1"/>
  <c r="P253" i="1"/>
  <c r="O253" i="1"/>
  <c r="L253" i="1"/>
  <c r="K253" i="1"/>
  <c r="J253" i="1"/>
  <c r="BA252" i="1"/>
  <c r="AZ252" i="1"/>
  <c r="AY252" i="1"/>
  <c r="Q252" i="1"/>
  <c r="P252" i="1"/>
  <c r="O252" i="1"/>
  <c r="L252" i="1"/>
  <c r="K252" i="1"/>
  <c r="J252" i="1"/>
  <c r="BA251" i="1"/>
  <c r="AZ251" i="1"/>
  <c r="AY251" i="1"/>
  <c r="Q251" i="1"/>
  <c r="P251" i="1"/>
  <c r="O251" i="1"/>
  <c r="L251" i="1"/>
  <c r="K251" i="1"/>
  <c r="J251" i="1"/>
  <c r="BA250" i="1"/>
  <c r="AZ250" i="1"/>
  <c r="AY250" i="1"/>
  <c r="Q250" i="1"/>
  <c r="P250" i="1"/>
  <c r="O250" i="1"/>
  <c r="L250" i="1"/>
  <c r="K250" i="1"/>
  <c r="J250" i="1"/>
  <c r="BA249" i="1"/>
  <c r="AZ249" i="1"/>
  <c r="AY249" i="1"/>
  <c r="BA248" i="1"/>
  <c r="AZ248" i="1"/>
  <c r="AY248" i="1"/>
  <c r="BA247" i="1"/>
  <c r="AZ247" i="1"/>
  <c r="AY247" i="1"/>
  <c r="BA246" i="1"/>
  <c r="AZ246" i="1"/>
  <c r="AY246" i="1"/>
  <c r="Q246" i="1"/>
  <c r="P246" i="1"/>
  <c r="O246" i="1"/>
  <c r="L246" i="1"/>
  <c r="K246" i="1"/>
  <c r="J246" i="1"/>
  <c r="BA245" i="1"/>
  <c r="AZ245" i="1"/>
  <c r="AY245" i="1"/>
  <c r="Q245" i="1"/>
  <c r="P245" i="1"/>
  <c r="O245" i="1"/>
  <c r="L245" i="1"/>
  <c r="K245" i="1"/>
  <c r="J245" i="1"/>
  <c r="BA244" i="1"/>
  <c r="AZ244" i="1"/>
  <c r="AY244" i="1"/>
  <c r="BA243" i="1"/>
  <c r="AZ243" i="1"/>
  <c r="AY243" i="1"/>
  <c r="BA242" i="1"/>
  <c r="AZ242" i="1"/>
  <c r="AY242" i="1"/>
  <c r="BA241" i="1"/>
  <c r="AZ241" i="1"/>
  <c r="AY241" i="1"/>
  <c r="BA240" i="1"/>
  <c r="AZ240" i="1"/>
  <c r="AY240" i="1"/>
  <c r="BA239" i="1"/>
  <c r="AZ239" i="1"/>
  <c r="AY239" i="1"/>
  <c r="BA238" i="1"/>
  <c r="AZ238" i="1"/>
  <c r="AY238" i="1"/>
  <c r="BA237" i="1"/>
  <c r="AZ237" i="1"/>
  <c r="AY237" i="1"/>
  <c r="BA236" i="1"/>
  <c r="AZ236" i="1"/>
  <c r="AY236" i="1"/>
  <c r="BA235" i="1"/>
  <c r="AZ235" i="1"/>
  <c r="AY235" i="1"/>
  <c r="BA234" i="1"/>
  <c r="AZ234" i="1"/>
  <c r="AY234" i="1"/>
  <c r="BA233" i="1"/>
  <c r="AZ233" i="1"/>
  <c r="AY233" i="1"/>
  <c r="BA232" i="1"/>
  <c r="AZ232" i="1"/>
  <c r="AY232" i="1"/>
  <c r="BA231" i="1"/>
  <c r="AZ231" i="1"/>
  <c r="AY231" i="1"/>
  <c r="BA230" i="1"/>
  <c r="AZ230" i="1"/>
  <c r="AY230" i="1"/>
  <c r="BA229" i="1"/>
  <c r="AZ229" i="1"/>
  <c r="AY229" i="1"/>
  <c r="BA228" i="1"/>
  <c r="AZ228" i="1"/>
  <c r="AY228" i="1"/>
  <c r="Q228" i="1"/>
  <c r="P228" i="1"/>
  <c r="O228" i="1"/>
  <c r="L228" i="1"/>
  <c r="K228" i="1"/>
  <c r="J228" i="1"/>
  <c r="BA227" i="1"/>
  <c r="AZ227" i="1"/>
  <c r="AY227" i="1"/>
  <c r="Q227" i="1"/>
  <c r="P227" i="1"/>
  <c r="O227" i="1"/>
  <c r="L227" i="1"/>
  <c r="K227" i="1"/>
  <c r="J227" i="1"/>
  <c r="BA226" i="1"/>
  <c r="AZ226" i="1"/>
  <c r="AY226" i="1"/>
  <c r="BA225" i="1"/>
  <c r="AZ225" i="1"/>
  <c r="AY225" i="1"/>
  <c r="BA224" i="1"/>
  <c r="AZ224" i="1"/>
  <c r="AY224" i="1"/>
  <c r="BA223" i="1"/>
  <c r="AZ223" i="1"/>
  <c r="AY223" i="1"/>
  <c r="Q223" i="1"/>
  <c r="P223" i="1"/>
  <c r="O223" i="1"/>
  <c r="L223" i="1"/>
  <c r="K223" i="1"/>
  <c r="J223" i="1"/>
  <c r="BA222" i="1"/>
  <c r="AZ222" i="1"/>
  <c r="AY222" i="1"/>
  <c r="BA221" i="1"/>
  <c r="AZ221" i="1"/>
  <c r="AY221" i="1"/>
  <c r="Q221" i="1"/>
  <c r="P221" i="1"/>
  <c r="O221" i="1"/>
  <c r="L221" i="1"/>
  <c r="K221" i="1"/>
  <c r="J221" i="1"/>
  <c r="BA220" i="1"/>
  <c r="AZ220" i="1"/>
  <c r="AY220" i="1"/>
  <c r="Q220" i="1"/>
  <c r="P220" i="1"/>
  <c r="O220" i="1"/>
  <c r="L220" i="1"/>
  <c r="K220" i="1"/>
  <c r="J220" i="1"/>
  <c r="BA219" i="1"/>
  <c r="AZ219" i="1"/>
  <c r="AY219" i="1"/>
  <c r="BA218" i="1"/>
  <c r="AZ218" i="1"/>
  <c r="AY218" i="1"/>
  <c r="BA217" i="1"/>
  <c r="AZ217" i="1"/>
  <c r="AY217" i="1"/>
  <c r="BA216" i="1"/>
  <c r="AZ216" i="1"/>
  <c r="AY216" i="1"/>
  <c r="BA215" i="1"/>
  <c r="AZ215" i="1"/>
  <c r="AY215" i="1"/>
  <c r="BA214" i="1"/>
  <c r="AZ214" i="1"/>
  <c r="AY214" i="1"/>
  <c r="BA213" i="1"/>
  <c r="AZ213" i="1"/>
  <c r="AY213" i="1"/>
  <c r="BA212" i="1"/>
  <c r="AZ212" i="1"/>
  <c r="AY212" i="1"/>
  <c r="BA211" i="1"/>
  <c r="AZ211" i="1"/>
  <c r="AY211" i="1"/>
  <c r="BA210" i="1"/>
  <c r="AZ210" i="1"/>
  <c r="AY210" i="1"/>
  <c r="BA209" i="1"/>
  <c r="AZ209" i="1"/>
  <c r="AY209" i="1"/>
  <c r="BA208" i="1"/>
  <c r="AZ208" i="1"/>
  <c r="AY208" i="1"/>
  <c r="BA207" i="1"/>
  <c r="AZ207" i="1"/>
  <c r="AY207" i="1"/>
  <c r="BA206" i="1"/>
  <c r="AZ206" i="1"/>
  <c r="AY206" i="1"/>
  <c r="BA205" i="1"/>
  <c r="AZ205" i="1"/>
  <c r="AY205" i="1"/>
  <c r="BA204" i="1"/>
  <c r="AZ204" i="1"/>
  <c r="AY204" i="1"/>
  <c r="Q204" i="1"/>
  <c r="P204" i="1"/>
  <c r="O204" i="1"/>
  <c r="L204" i="1"/>
  <c r="K204" i="1"/>
  <c r="J204" i="1"/>
  <c r="BA203" i="1"/>
  <c r="AZ203" i="1"/>
  <c r="AY203" i="1"/>
  <c r="BA202" i="1"/>
  <c r="AZ202" i="1"/>
  <c r="AY202" i="1"/>
  <c r="BA201" i="1"/>
  <c r="AZ201" i="1"/>
  <c r="AY201" i="1"/>
  <c r="BA200" i="1"/>
  <c r="AZ200" i="1"/>
  <c r="AY200" i="1"/>
  <c r="BA199" i="1"/>
  <c r="AZ199" i="1"/>
  <c r="AY199" i="1"/>
  <c r="BA198" i="1"/>
  <c r="AZ198" i="1"/>
  <c r="AY198" i="1"/>
  <c r="BA197" i="1"/>
  <c r="AZ197" i="1"/>
  <c r="AY197" i="1"/>
  <c r="BA196" i="1"/>
  <c r="AZ196" i="1"/>
  <c r="AY196" i="1"/>
  <c r="BA195" i="1"/>
  <c r="AZ195" i="1"/>
  <c r="AY195" i="1"/>
  <c r="BA194" i="1"/>
  <c r="AZ194" i="1"/>
  <c r="AY194" i="1"/>
  <c r="BA193" i="1"/>
  <c r="AZ193" i="1"/>
  <c r="AY193" i="1"/>
  <c r="BA192" i="1"/>
  <c r="AZ192" i="1"/>
  <c r="AY192" i="1"/>
  <c r="BA191" i="1"/>
  <c r="AZ191" i="1"/>
  <c r="AY191" i="1"/>
  <c r="BA190" i="1"/>
  <c r="AZ190" i="1"/>
  <c r="AY190" i="1"/>
  <c r="BA189" i="1"/>
  <c r="AZ189" i="1"/>
  <c r="AY189" i="1"/>
  <c r="BA188" i="1"/>
  <c r="AZ188" i="1"/>
  <c r="AY188" i="1"/>
  <c r="BA187" i="1"/>
  <c r="AZ187" i="1"/>
  <c r="AY187" i="1"/>
  <c r="BA186" i="1"/>
  <c r="AZ186" i="1"/>
  <c r="AY186" i="1"/>
  <c r="BA185" i="1"/>
  <c r="AZ185" i="1"/>
  <c r="AY185" i="1"/>
  <c r="BA184" i="1"/>
  <c r="AZ184" i="1"/>
  <c r="AY184" i="1"/>
  <c r="BA183" i="1"/>
  <c r="AZ183" i="1"/>
  <c r="AY183" i="1"/>
  <c r="BA182" i="1"/>
  <c r="AZ182" i="1"/>
  <c r="AY182" i="1"/>
  <c r="BA181" i="1"/>
  <c r="AZ181" i="1"/>
  <c r="AY181" i="1"/>
  <c r="O181" i="1"/>
  <c r="L181" i="1"/>
  <c r="K181" i="1"/>
  <c r="J181" i="1"/>
  <c r="BA180" i="1"/>
  <c r="AZ180" i="1"/>
  <c r="AY180" i="1"/>
  <c r="P180" i="1"/>
  <c r="O180" i="1"/>
  <c r="L180" i="1"/>
  <c r="K180" i="1"/>
  <c r="J180" i="1"/>
  <c r="BA179" i="1"/>
  <c r="AZ179" i="1"/>
  <c r="AY179" i="1"/>
  <c r="Q179" i="1"/>
  <c r="P179" i="1"/>
  <c r="O179" i="1"/>
  <c r="L179" i="1"/>
  <c r="K179" i="1"/>
  <c r="J179" i="1"/>
  <c r="BA178" i="1"/>
  <c r="AZ178" i="1"/>
  <c r="AY178" i="1"/>
  <c r="Q178" i="1"/>
  <c r="P178" i="1"/>
  <c r="O178" i="1"/>
  <c r="L178" i="1"/>
  <c r="K178" i="1"/>
  <c r="J178" i="1"/>
  <c r="BA177" i="1"/>
  <c r="AZ177" i="1"/>
  <c r="AY177" i="1"/>
  <c r="BA176" i="1"/>
  <c r="AZ176" i="1"/>
  <c r="AY176" i="1"/>
  <c r="BA175" i="1"/>
  <c r="AZ175" i="1"/>
  <c r="AY175" i="1"/>
  <c r="BA174" i="1"/>
  <c r="AZ174" i="1"/>
  <c r="AY174" i="1"/>
  <c r="BA173" i="1"/>
  <c r="AZ173" i="1"/>
  <c r="AY173" i="1"/>
  <c r="BA172" i="1"/>
  <c r="AZ172" i="1"/>
  <c r="AY172" i="1"/>
  <c r="BA171" i="1"/>
  <c r="AZ171" i="1"/>
  <c r="AY171" i="1"/>
  <c r="BA170" i="1"/>
  <c r="AZ170" i="1"/>
  <c r="AY170" i="1"/>
  <c r="BA169" i="1"/>
  <c r="AZ169" i="1"/>
  <c r="AY169" i="1"/>
  <c r="BA168" i="1"/>
  <c r="AZ168" i="1"/>
  <c r="AY168" i="1"/>
  <c r="BA167" i="1"/>
  <c r="AZ167" i="1"/>
  <c r="AY167" i="1"/>
  <c r="BA166" i="1"/>
  <c r="AZ166" i="1"/>
  <c r="AY166" i="1"/>
  <c r="BA165" i="1"/>
  <c r="AZ165" i="1"/>
  <c r="AY165" i="1"/>
  <c r="BA164" i="1"/>
  <c r="AZ164" i="1"/>
  <c r="AY164" i="1"/>
  <c r="BA163" i="1"/>
  <c r="AZ163" i="1"/>
  <c r="AY163" i="1"/>
  <c r="BA162" i="1"/>
  <c r="AZ162" i="1"/>
  <c r="AY162" i="1"/>
  <c r="BA161" i="1"/>
  <c r="AZ161" i="1"/>
  <c r="AY161" i="1"/>
  <c r="BA160" i="1"/>
  <c r="AZ160" i="1"/>
  <c r="AY160" i="1"/>
  <c r="BA159" i="1"/>
  <c r="AZ159" i="1"/>
  <c r="AY159" i="1"/>
  <c r="Q159" i="1"/>
  <c r="P159" i="1"/>
  <c r="O159" i="1"/>
  <c r="L159" i="1"/>
  <c r="K159" i="1"/>
  <c r="J159" i="1"/>
  <c r="BA158" i="1"/>
  <c r="AZ158" i="1"/>
  <c r="AY158" i="1"/>
  <c r="BA157" i="1"/>
  <c r="AZ157" i="1"/>
  <c r="AY157" i="1"/>
  <c r="Q157" i="1"/>
  <c r="P157" i="1"/>
  <c r="O157" i="1"/>
  <c r="L157" i="1"/>
  <c r="K157" i="1"/>
  <c r="J157" i="1"/>
  <c r="BA156" i="1"/>
  <c r="AZ156" i="1"/>
  <c r="AY156" i="1"/>
  <c r="BA155" i="1"/>
  <c r="AZ155" i="1"/>
  <c r="AY155" i="1"/>
  <c r="BA154" i="1"/>
  <c r="AZ154" i="1"/>
  <c r="AY154" i="1"/>
  <c r="BA153" i="1"/>
  <c r="AZ153" i="1"/>
  <c r="AY153" i="1"/>
  <c r="BA152" i="1"/>
  <c r="AZ152" i="1"/>
  <c r="AY152" i="1"/>
  <c r="BA151" i="1"/>
  <c r="AZ151" i="1"/>
  <c r="AY151" i="1"/>
  <c r="BA150" i="1"/>
  <c r="AZ150" i="1"/>
  <c r="AY150" i="1"/>
  <c r="BA149" i="1"/>
  <c r="AZ149" i="1"/>
  <c r="AY149" i="1"/>
  <c r="BA148" i="1"/>
  <c r="AZ148" i="1"/>
  <c r="AY148" i="1"/>
  <c r="BA147" i="1"/>
  <c r="AZ147" i="1"/>
  <c r="AY147" i="1"/>
  <c r="BA146" i="1"/>
  <c r="AZ146" i="1"/>
  <c r="AY146" i="1"/>
  <c r="BA145" i="1"/>
  <c r="AZ145" i="1"/>
  <c r="AY145" i="1"/>
  <c r="BA144" i="1"/>
  <c r="AZ144" i="1"/>
  <c r="AY144" i="1"/>
  <c r="BA143" i="1"/>
  <c r="AZ143" i="1"/>
  <c r="AY143" i="1"/>
  <c r="BA142" i="1"/>
  <c r="AZ142" i="1"/>
  <c r="AY142" i="1"/>
  <c r="BA141" i="1"/>
  <c r="AZ141" i="1"/>
  <c r="AY141" i="1"/>
  <c r="BA140" i="1"/>
  <c r="AZ140" i="1"/>
  <c r="AY140" i="1"/>
  <c r="BA139" i="1"/>
  <c r="AZ139" i="1"/>
  <c r="AY139" i="1"/>
  <c r="BA138" i="1"/>
  <c r="AZ138" i="1"/>
  <c r="AY138" i="1"/>
  <c r="BA137" i="1"/>
  <c r="AZ137" i="1"/>
  <c r="AY137" i="1"/>
  <c r="BA136" i="1"/>
  <c r="AZ136" i="1"/>
  <c r="AY136" i="1"/>
  <c r="BA135" i="1"/>
  <c r="AZ135" i="1"/>
  <c r="AY135" i="1"/>
  <c r="BA134" i="1"/>
  <c r="AZ134" i="1"/>
  <c r="AY134" i="1"/>
  <c r="BA133" i="1"/>
  <c r="AZ133" i="1"/>
  <c r="AY133" i="1"/>
  <c r="BA132" i="1"/>
  <c r="AZ132" i="1"/>
  <c r="AY132" i="1"/>
  <c r="BA131" i="1"/>
  <c r="AZ131" i="1"/>
  <c r="AY131" i="1"/>
  <c r="BA130" i="1"/>
  <c r="AZ130" i="1"/>
  <c r="AY130" i="1"/>
  <c r="BA129" i="1"/>
  <c r="AZ129" i="1"/>
  <c r="AY129" i="1"/>
  <c r="BA128" i="1"/>
  <c r="AZ128" i="1"/>
  <c r="AY128" i="1"/>
  <c r="BA127" i="1"/>
  <c r="AZ127" i="1"/>
  <c r="AY127" i="1"/>
  <c r="BA126" i="1"/>
  <c r="AZ126" i="1"/>
  <c r="AY126" i="1"/>
  <c r="BA125" i="1"/>
  <c r="AZ125" i="1"/>
  <c r="AY125" i="1"/>
  <c r="BA124" i="1"/>
  <c r="AZ124" i="1"/>
  <c r="AY124" i="1"/>
  <c r="BA123" i="1"/>
  <c r="AZ123" i="1"/>
  <c r="AY123" i="1"/>
  <c r="BA122" i="1"/>
  <c r="AZ122" i="1"/>
  <c r="AY122" i="1"/>
  <c r="BA121" i="1"/>
  <c r="AZ121" i="1"/>
  <c r="AY121" i="1"/>
  <c r="BA120" i="1"/>
  <c r="AZ120" i="1"/>
  <c r="AY120" i="1"/>
  <c r="BA119" i="1"/>
  <c r="AZ119" i="1"/>
  <c r="AY119" i="1"/>
  <c r="BA118" i="1"/>
  <c r="AZ118" i="1"/>
  <c r="AY118" i="1"/>
  <c r="BA117" i="1"/>
  <c r="AZ117" i="1"/>
  <c r="AY117" i="1"/>
  <c r="BA116" i="1"/>
  <c r="AZ116" i="1"/>
  <c r="AY116" i="1"/>
  <c r="BA115" i="1"/>
  <c r="AZ115" i="1"/>
  <c r="AY115" i="1"/>
  <c r="BA114" i="1"/>
  <c r="AZ114" i="1"/>
  <c r="AY114" i="1"/>
  <c r="BA113" i="1"/>
  <c r="AZ113" i="1"/>
  <c r="AY113" i="1"/>
  <c r="BA112" i="1"/>
  <c r="AZ112" i="1"/>
  <c r="AY112" i="1"/>
  <c r="BA111" i="1"/>
  <c r="AZ111" i="1"/>
  <c r="AY111" i="1"/>
  <c r="BA110" i="1"/>
  <c r="AZ110" i="1"/>
  <c r="AY110" i="1"/>
  <c r="BA109" i="1"/>
  <c r="AZ109" i="1"/>
  <c r="AY109" i="1"/>
  <c r="BA108" i="1"/>
  <c r="AZ108" i="1"/>
  <c r="AY108" i="1"/>
  <c r="BA107" i="1"/>
  <c r="AZ107" i="1"/>
  <c r="AY107" i="1"/>
  <c r="BA106" i="1"/>
  <c r="AZ106" i="1"/>
  <c r="AY106" i="1"/>
  <c r="BA105" i="1"/>
  <c r="AZ105" i="1"/>
  <c r="AY105" i="1"/>
  <c r="BA104" i="1"/>
  <c r="AZ104" i="1"/>
  <c r="AY104" i="1"/>
  <c r="BA103" i="1"/>
  <c r="AZ103" i="1"/>
  <c r="AY103" i="1"/>
  <c r="BA102" i="1"/>
  <c r="AZ102" i="1"/>
  <c r="AY102" i="1"/>
  <c r="BA101" i="1"/>
  <c r="AZ101" i="1"/>
  <c r="AY101" i="1"/>
  <c r="BA100" i="1"/>
  <c r="AZ100" i="1"/>
  <c r="AY100" i="1"/>
  <c r="BA99" i="1"/>
  <c r="AZ99" i="1"/>
  <c r="AY99" i="1"/>
  <c r="BA98" i="1"/>
  <c r="AZ98" i="1"/>
  <c r="AY98" i="1"/>
  <c r="BA97" i="1"/>
  <c r="AZ97" i="1"/>
  <c r="AY97" i="1"/>
  <c r="BA96" i="1"/>
  <c r="AZ96" i="1"/>
  <c r="AY96" i="1"/>
  <c r="BA95" i="1"/>
  <c r="AZ95" i="1"/>
  <c r="AY95" i="1"/>
  <c r="BA94" i="1"/>
  <c r="AZ94" i="1"/>
  <c r="AY94" i="1"/>
  <c r="BA93" i="1"/>
  <c r="AZ93" i="1"/>
  <c r="AY93" i="1"/>
  <c r="BA92" i="1"/>
  <c r="AZ92" i="1"/>
  <c r="AY92" i="1"/>
  <c r="BA91" i="1"/>
  <c r="AZ91" i="1"/>
  <c r="AY91" i="1"/>
  <c r="BA90" i="1"/>
  <c r="AZ90" i="1"/>
  <c r="AY90" i="1"/>
  <c r="BA89" i="1"/>
  <c r="AZ89" i="1"/>
  <c r="AY89" i="1"/>
  <c r="BA88" i="1"/>
  <c r="AZ88" i="1"/>
  <c r="AY88" i="1"/>
  <c r="BA87" i="1"/>
  <c r="AZ87" i="1"/>
  <c r="AY87" i="1"/>
  <c r="BA86" i="1"/>
  <c r="AZ86" i="1"/>
  <c r="AY86" i="1"/>
  <c r="BA85" i="1"/>
  <c r="AZ85" i="1"/>
  <c r="AY85" i="1"/>
  <c r="BA84" i="1"/>
  <c r="AZ84" i="1"/>
  <c r="AY84" i="1"/>
  <c r="BA83" i="1"/>
  <c r="AZ83" i="1"/>
  <c r="AY83" i="1"/>
  <c r="BA82" i="1"/>
  <c r="AZ82" i="1"/>
  <c r="AY82" i="1"/>
  <c r="BA81" i="1"/>
  <c r="AZ81" i="1"/>
  <c r="AY81" i="1"/>
  <c r="BA80" i="1"/>
  <c r="AZ80" i="1"/>
  <c r="AY80" i="1"/>
  <c r="BA79" i="1"/>
  <c r="AZ79" i="1"/>
  <c r="AY79" i="1"/>
  <c r="BA78" i="1"/>
  <c r="AZ78" i="1"/>
  <c r="AY78" i="1"/>
  <c r="BA77" i="1"/>
  <c r="AZ77" i="1"/>
  <c r="AY77" i="1"/>
  <c r="BA76" i="1"/>
  <c r="AZ76" i="1"/>
  <c r="AY76" i="1"/>
  <c r="BA75" i="1"/>
  <c r="AZ75" i="1"/>
  <c r="AY75" i="1"/>
  <c r="BA74" i="1"/>
  <c r="AZ74" i="1"/>
  <c r="AY74" i="1"/>
  <c r="BA73" i="1"/>
  <c r="AZ73" i="1"/>
  <c r="AY73" i="1"/>
  <c r="BA72" i="1"/>
  <c r="AZ72" i="1"/>
  <c r="AY72" i="1"/>
  <c r="BA71" i="1"/>
  <c r="AZ71" i="1"/>
  <c r="AY71" i="1"/>
  <c r="BA70" i="1"/>
  <c r="AZ70" i="1"/>
  <c r="AY70" i="1"/>
  <c r="BA69" i="1"/>
  <c r="AZ69" i="1"/>
  <c r="AY69" i="1"/>
  <c r="BA68" i="1"/>
  <c r="AZ68" i="1"/>
  <c r="AY68" i="1"/>
  <c r="BA67" i="1"/>
  <c r="AZ67" i="1"/>
  <c r="AY67" i="1"/>
  <c r="BA66" i="1"/>
  <c r="AZ66" i="1"/>
  <c r="AY66" i="1"/>
  <c r="BA65" i="1"/>
  <c r="AZ65" i="1"/>
  <c r="AY65" i="1"/>
  <c r="BA64" i="1"/>
  <c r="AZ64" i="1"/>
  <c r="AY64" i="1"/>
  <c r="BA63" i="1"/>
  <c r="AZ63" i="1"/>
  <c r="AY63" i="1"/>
  <c r="BA62" i="1"/>
  <c r="AZ62" i="1"/>
  <c r="AY62" i="1"/>
  <c r="BA61" i="1"/>
  <c r="AZ61" i="1"/>
  <c r="AY61" i="1"/>
  <c r="BA60" i="1"/>
  <c r="AZ60" i="1"/>
  <c r="AY60" i="1"/>
  <c r="BA59" i="1"/>
  <c r="AZ59" i="1"/>
  <c r="AY59" i="1"/>
  <c r="BA58" i="1"/>
  <c r="AZ58" i="1"/>
  <c r="AY58" i="1"/>
  <c r="BA57" i="1"/>
  <c r="AZ57" i="1"/>
  <c r="AY57" i="1"/>
  <c r="BA56" i="1"/>
  <c r="AZ56" i="1"/>
  <c r="AY56" i="1"/>
  <c r="BA55" i="1"/>
  <c r="AZ55" i="1"/>
  <c r="AY55" i="1"/>
  <c r="BA54" i="1"/>
  <c r="AZ54" i="1"/>
  <c r="AY54" i="1"/>
  <c r="BA53" i="1"/>
  <c r="AZ53" i="1"/>
  <c r="AY53" i="1"/>
  <c r="BA52" i="1"/>
  <c r="AZ52" i="1"/>
  <c r="AY52" i="1"/>
  <c r="BA51" i="1"/>
  <c r="AZ51" i="1"/>
  <c r="AY51" i="1"/>
  <c r="BA50" i="1"/>
  <c r="AZ50" i="1"/>
  <c r="AY50" i="1"/>
  <c r="BA49" i="1"/>
  <c r="AZ49" i="1"/>
  <c r="AY49" i="1"/>
  <c r="BA48" i="1"/>
  <c r="AZ48" i="1"/>
  <c r="AY48" i="1"/>
  <c r="BA47" i="1"/>
  <c r="AZ47" i="1"/>
  <c r="AY47" i="1"/>
  <c r="BA46" i="1"/>
  <c r="AZ46" i="1"/>
  <c r="AY46" i="1"/>
  <c r="BA45" i="1"/>
  <c r="AZ45" i="1"/>
  <c r="AY45" i="1"/>
  <c r="BA44" i="1"/>
  <c r="AZ44" i="1"/>
  <c r="AY44" i="1"/>
  <c r="BA43" i="1"/>
  <c r="AZ43" i="1"/>
  <c r="AY43" i="1"/>
  <c r="BA42" i="1"/>
  <c r="AZ42" i="1"/>
  <c r="AY42" i="1"/>
  <c r="BA41" i="1"/>
  <c r="AZ41" i="1"/>
  <c r="AY41" i="1"/>
  <c r="BA40" i="1"/>
  <c r="AZ40" i="1"/>
  <c r="AY40" i="1"/>
  <c r="BA39" i="1"/>
  <c r="AZ39" i="1"/>
  <c r="AY39" i="1"/>
  <c r="BA38" i="1"/>
  <c r="AZ38" i="1"/>
  <c r="AY38" i="1"/>
  <c r="BA37" i="1"/>
  <c r="AZ37" i="1"/>
  <c r="AY37" i="1"/>
  <c r="BA36" i="1"/>
  <c r="AZ36" i="1"/>
  <c r="AY36" i="1"/>
  <c r="BA35" i="1"/>
  <c r="AZ35" i="1"/>
  <c r="AY35" i="1"/>
  <c r="BA34" i="1"/>
  <c r="AZ34" i="1"/>
  <c r="AY34" i="1"/>
  <c r="BA33" i="1"/>
  <c r="AZ33" i="1"/>
  <c r="AY33" i="1"/>
  <c r="BA32" i="1"/>
  <c r="AZ32" i="1"/>
  <c r="AY32" i="1"/>
  <c r="BA31" i="1"/>
  <c r="AZ31" i="1"/>
  <c r="AY31" i="1"/>
  <c r="BA30" i="1"/>
  <c r="AZ30" i="1"/>
  <c r="AY30" i="1"/>
  <c r="BA29" i="1"/>
  <c r="AZ29" i="1"/>
  <c r="AY29" i="1"/>
  <c r="BA28" i="1"/>
  <c r="AZ28" i="1"/>
  <c r="AY28" i="1"/>
  <c r="BA27" i="1"/>
  <c r="AZ27" i="1"/>
  <c r="AY27" i="1"/>
  <c r="BA26" i="1"/>
  <c r="AZ26" i="1"/>
  <c r="AY26" i="1"/>
  <c r="BA25" i="1"/>
  <c r="AZ25" i="1"/>
  <c r="AY25" i="1"/>
  <c r="BA24" i="1"/>
  <c r="AZ24" i="1"/>
  <c r="AY24" i="1"/>
  <c r="BA23" i="1"/>
  <c r="AZ23" i="1"/>
  <c r="AY23" i="1"/>
  <c r="BA22" i="1"/>
  <c r="AZ22" i="1"/>
  <c r="AY22" i="1"/>
  <c r="BA21" i="1"/>
  <c r="AZ21" i="1"/>
  <c r="AY21" i="1"/>
  <c r="BA20" i="1"/>
  <c r="AZ20" i="1"/>
  <c r="AY20" i="1"/>
  <c r="BA19" i="1"/>
  <c r="AZ19" i="1"/>
  <c r="AY19" i="1"/>
  <c r="BA18" i="1"/>
  <c r="AZ18" i="1"/>
  <c r="AY18" i="1"/>
  <c r="BA17" i="1"/>
  <c r="AZ17" i="1"/>
  <c r="AY17" i="1"/>
  <c r="BA16" i="1"/>
  <c r="AZ16" i="1"/>
  <c r="AY16" i="1"/>
  <c r="BA15" i="1"/>
  <c r="AZ15" i="1"/>
  <c r="AY15" i="1"/>
  <c r="BA14" i="1"/>
  <c r="AZ14" i="1"/>
  <c r="AY14" i="1"/>
  <c r="BA13" i="1"/>
  <c r="AZ13" i="1"/>
  <c r="AY13" i="1"/>
</calcChain>
</file>

<file path=xl/sharedStrings.xml><?xml version="1.0" encoding="utf-8"?>
<sst xmlns="http://schemas.openxmlformats.org/spreadsheetml/2006/main" count="6615" uniqueCount="1037">
  <si>
    <t>OFERTAS  VÁLIDAS APENAS PARA PLANOS CONSUMER</t>
  </si>
  <si>
    <t>Inclusão de Preços</t>
  </si>
  <si>
    <t>Alteração de Preços</t>
  </si>
  <si>
    <t>Preços Elegíveis a Price Back</t>
  </si>
  <si>
    <t>Preços Elegíveis a Price Oferta</t>
  </si>
  <si>
    <t>CANAL:</t>
  </si>
  <si>
    <t xml:space="preserve">REVENDAS </t>
  </si>
  <si>
    <t>DATA INÍCIO:</t>
  </si>
  <si>
    <t>COM FIDELIZAÇÃO - GROSS / MIGRAÇÃO / UPGRADE / PORTABILIDADE / BASE SEM MOVIMENTAÇÃO</t>
  </si>
  <si>
    <t>TIM FIXO</t>
  </si>
  <si>
    <t>TIM CASA</t>
  </si>
  <si>
    <t>Regra Reembolso Pós Fidelizado</t>
  </si>
  <si>
    <t>CATEGORIA
MKT</t>
  </si>
  <si>
    <t>CÓDIGO</t>
  </si>
  <si>
    <t>DESCRIÇÃO COMERCIAL</t>
  </si>
  <si>
    <t>DESCRIÇÃO SAP</t>
  </si>
  <si>
    <t>PRÉ</t>
  </si>
  <si>
    <t>PREÇO BASE FATURAMENTO RETAIL</t>
  </si>
  <si>
    <t>CONTROLE NÃO FIDELIZADO - TODOS
(Fatura / Express)</t>
  </si>
  <si>
    <t>PÓS PAGO NÃO FIDELIZADO - VIDE ABA DE REGRAS</t>
  </si>
  <si>
    <t xml:space="preserve">TIM CONTROLE </t>
  </si>
  <si>
    <t>TIM CONTROLE PLUS</t>
  </si>
  <si>
    <t>TIM CONTROLE PREMIUM</t>
  </si>
  <si>
    <t>TIM CONTROLE SMART</t>
  </si>
  <si>
    <t xml:space="preserve">TIM CONTROLE REDES SOCIAIS </t>
  </si>
  <si>
    <t>TIM BLACK</t>
  </si>
  <si>
    <t>TIM BLACK PLUS</t>
  </si>
  <si>
    <t>TIM BLACK PREMIUM</t>
  </si>
  <si>
    <t>TIM BLACK A (15GB)</t>
  </si>
  <si>
    <t>TIM BLACK B (20GB)</t>
  </si>
  <si>
    <t>TIM BLACK C (25GB)</t>
  </si>
  <si>
    <t>TIM BLACK C ULTRA</t>
  </si>
  <si>
    <t>TIM BLACK FAMÍLIA</t>
  </si>
  <si>
    <t>TIM BLACK FAMÍLIA A ONE</t>
  </si>
  <si>
    <t>TIM BLACK FAMÍLIA PLUS</t>
  </si>
  <si>
    <t>TIM BLACK FAMÍLIA PREMIUM</t>
  </si>
  <si>
    <t>TIM BLACK FAMÍLIA C ONE</t>
  </si>
  <si>
    <t>TIM BLACK FAMÍLIA VIP</t>
  </si>
  <si>
    <t>TIM Fibra 400M 24</t>
  </si>
  <si>
    <t>TIM Fibra 500M 24 - 2</t>
  </si>
  <si>
    <t>TIM Fibra 600M 24 - 2</t>
  </si>
  <si>
    <t>TIM Fibra 600M P 24 - 2</t>
  </si>
  <si>
    <t>TIM Fibra 600M M 24 - 2</t>
  </si>
  <si>
    <t>TIM Ultrafibra 800M YT26</t>
  </si>
  <si>
    <t>TIM Fibra 600M GP 25</t>
  </si>
  <si>
    <t>TIM Fibra 1GB 24</t>
  </si>
  <si>
    <t>TIM Fibra 1GB P 24</t>
  </si>
  <si>
    <t>TIM Fibra 1GB M 24</t>
  </si>
  <si>
    <t>TIM Fibra 2GB 24</t>
  </si>
  <si>
    <t xml:space="preserve">TIM FIXO LOCAL TOTAL PLUS (Plano Fidelizado) </t>
  </si>
  <si>
    <t>TIM FIXO BRASIL TOTAL PLUS (Plano Fidelizado)</t>
  </si>
  <si>
    <t>TIM FIXO TOTAL LDI PLUS (Plano Fidelizado)</t>
  </si>
  <si>
    <t>TIM LIVE INTERNET 30GB (sem fidelização)</t>
  </si>
  <si>
    <t>TIM LIVE INTERNET 50GB (sem fidelização)</t>
  </si>
  <si>
    <t>TIM LIVE INTERNET 80GB (sem fidelização)</t>
  </si>
  <si>
    <t xml:space="preserve">TIM LIVE INTERNET 30GB PLUS </t>
  </si>
  <si>
    <t xml:space="preserve">TIM LIVE INTERNET 50GB PLUS </t>
  </si>
  <si>
    <t>TIM LIVE INTERNET 80GB PLUS</t>
  </si>
  <si>
    <t>DATA FIM DA OFERTA</t>
  </si>
  <si>
    <t>TECNOLOGIA</t>
  </si>
  <si>
    <t>Seguro Completo (valor mensal)</t>
  </si>
  <si>
    <t>Roubo e Furto  (valor mensal)</t>
  </si>
  <si>
    <t>Quebra e danos  (valor mensal)</t>
  </si>
  <si>
    <t>Price Oferta</t>
  </si>
  <si>
    <t>21X</t>
  </si>
  <si>
    <t>APPLE IPHONE 12 64GB</t>
  </si>
  <si>
    <t>APPLE IPHONE 12 64GB-PRETO NAC</t>
  </si>
  <si>
    <t>03.11.2026</t>
  </si>
  <si>
    <t>5G</t>
  </si>
  <si>
    <t>APPLE IPHONE 12 64GB-BRANCO NAC</t>
  </si>
  <si>
    <t>APPLE IPHONE 12 128GB</t>
  </si>
  <si>
    <t>APPLE IPHONE 12 128GB-PRETO NAC</t>
  </si>
  <si>
    <t>APPLE IPHONE 13 128GB</t>
  </si>
  <si>
    <t>APPLE IPHONE 13 128GB-PRETO NAC</t>
  </si>
  <si>
    <t>APPLE IPHONE 13 256GB</t>
  </si>
  <si>
    <t>APPLE IPHONE 13 256GB-PRETO</t>
  </si>
  <si>
    <t>APPLE IPHONE 13 256GB-AZUL NAC</t>
  </si>
  <si>
    <t>APPLE IPHONE 13 256GB-PRETO NAC</t>
  </si>
  <si>
    <t>APPLE IPHONE 13 256GB-VERMELHO NAC</t>
  </si>
  <si>
    <t>APPLE IPHONE 14 128GB</t>
  </si>
  <si>
    <t>APPLE IPHONE 14 128GB-PRETO</t>
  </si>
  <si>
    <t>APPLE IPHONE 14 128GB-PRETO NAC</t>
  </si>
  <si>
    <t>APPLE IPHONE 14 256GB</t>
  </si>
  <si>
    <t>APPLE IPHONE 14 256GB-BRANCO</t>
  </si>
  <si>
    <t>APPLE IPHONE 14 256GB-PRETO</t>
  </si>
  <si>
    <t>APPLE IPHONE 14 256GB-PRETO NAC</t>
  </si>
  <si>
    <t>APPLE IPHONE 14 256GB-BRANCO NAC</t>
  </si>
  <si>
    <t>APPLE IPHONE 14 PLUS 256GB</t>
  </si>
  <si>
    <t>APPLE IPHONE 14 PLUS 256GB-BRANCO</t>
  </si>
  <si>
    <t>APPLE IPHONE 14 PLUS 256GB-PRETO</t>
  </si>
  <si>
    <t>APPLE IPHONE 14 PLUS 256GB-PRETO NAC</t>
  </si>
  <si>
    <t>APPLE IPHONE 14 PRO MAX 256GB</t>
  </si>
  <si>
    <t>APPLE IPHONE 14 PRO MAX 256GB-GRAFITE</t>
  </si>
  <si>
    <t>APPLE IPHONE 14 PRO 256GB</t>
  </si>
  <si>
    <t>APPLE IPHONE 14 PRO 256GB-GRAFITE</t>
  </si>
  <si>
    <t>APPLE IPHONE 14 PRO 256GB-DOURADO</t>
  </si>
  <si>
    <t>APPLE IPHONE 15 128GB</t>
  </si>
  <si>
    <t>APPLE IPHONE 15 128GB-PRETO</t>
  </si>
  <si>
    <t>APPLE IPHONE 15 128GB-ROSA</t>
  </si>
  <si>
    <t>APPLE IPHONE 15 128GB-VERDE</t>
  </si>
  <si>
    <t>APPLE IPHONE 15 128GB-AMARELO</t>
  </si>
  <si>
    <t>APPLE IPHONE 15 256GB</t>
  </si>
  <si>
    <t>APPLE IPHONE 15 256GB-PRETO</t>
  </si>
  <si>
    <t>APPLE IPHONE 15 256GB-AZUL</t>
  </si>
  <si>
    <t>APPLE IPHONE 15 256GB-PRETO NAC</t>
  </si>
  <si>
    <t>APPLE IPHONE 15 256GB-ROSA NAC</t>
  </si>
  <si>
    <t>APPLE IPHONE 15 256GB-AZUL NAC</t>
  </si>
  <si>
    <t>APPLE IPHONE 15 512GB</t>
  </si>
  <si>
    <t>APPLE IPHONE 15 512GB-PRETO</t>
  </si>
  <si>
    <t>APPLE IPHONE 15 512GB-PRETO NAC</t>
  </si>
  <si>
    <t>APPLE IPHONE 15 PLUS 256GB</t>
  </si>
  <si>
    <t>APPLE IPHONE 15 PLUS 256GB-PRETO</t>
  </si>
  <si>
    <t>APPLE IPHONE 15 PRO 128GB</t>
  </si>
  <si>
    <t>APPLE IPHONE 15 PRO 128GB-PRETO</t>
  </si>
  <si>
    <t>APPLE IPHONE 15 PRO 128GB-BRANCO</t>
  </si>
  <si>
    <t>APPLE IPHONE 15 PRO 128GB-AZUL</t>
  </si>
  <si>
    <t>APPLE IPHONE 15 PRO 128GB-TITANIO</t>
  </si>
  <si>
    <t>APPLE IPHONE 15 PRO 256GB</t>
  </si>
  <si>
    <t>APPLE IPHONE 15 PRO 256GB-PRETO</t>
  </si>
  <si>
    <t>APPLE IPHONE 15 PRO 256GB-BRANCO</t>
  </si>
  <si>
    <t>APPLE IPHONE 15 PRO 256GB-AZUL</t>
  </si>
  <si>
    <t>APPLE IPHONE 15 PRO 256GB-TITANIO</t>
  </si>
  <si>
    <t>APPLE IPHONE 15 PRO MAX 256GB</t>
  </si>
  <si>
    <t>APPLE IPHONE 15 PRO MAX 256GB-PRETO</t>
  </si>
  <si>
    <t>APPLE IPHONE 15 PRO MAX 256GB-AZUL</t>
  </si>
  <si>
    <t>APPLE IPHONE 15 PRO MAX 256GB-TITANIO</t>
  </si>
  <si>
    <t>APPLE IPHONE 15 PRO MAX 512GB</t>
  </si>
  <si>
    <t>APPLE IPHONE 15 PRO MAX 512GB-PRETO</t>
  </si>
  <si>
    <t>APPLE IPHONE 15 PRO MAX 512GB-AZUL</t>
  </si>
  <si>
    <t>APPLE IPHONE 15 PRO MAX 512GB-TITANIO</t>
  </si>
  <si>
    <t>APPLE IPHONE 16 128GB</t>
  </si>
  <si>
    <t>APPLE IPHONE 16 128GB-AZUL NAC</t>
  </si>
  <si>
    <t>APPLE IPHONE 16 128GB-PRETO</t>
  </si>
  <si>
    <t>APPLE IPHONE 16 128GB-PRETO NAC</t>
  </si>
  <si>
    <t>APPLE IPHONE 16 128GB-BRANCO NAC</t>
  </si>
  <si>
    <t>APPLE IPHONE 16 128GB-VERDE NAC</t>
  </si>
  <si>
    <t>APPLE IPHONE 16 256GB</t>
  </si>
  <si>
    <t>APPLE IPHONE 16 256GB-BRANCO</t>
  </si>
  <si>
    <t>APPLE IPHONE 16 256GB-PRETO</t>
  </si>
  <si>
    <t>APPLE IPHONE 16 256GB-ROSA NAC</t>
  </si>
  <si>
    <t>APPLE IPHONE 16 256GB-PRETO NAC</t>
  </si>
  <si>
    <t>APPLE IPHONE 16 256GB-BRANCO NAC</t>
  </si>
  <si>
    <t>APPLE IPHONE 16 256GB-AZUL NAC</t>
  </si>
  <si>
    <t>APPLE IPHONE 16 PRO 128GB</t>
  </si>
  <si>
    <t>APPLE IPHONE 16 PRO 128GB-BRANCO</t>
  </si>
  <si>
    <t>APPLE IPHONE 16 PRO 128GB-DESERTO</t>
  </si>
  <si>
    <t>APPLE IPHONE 16 PRO 128GB-PRETO</t>
  </si>
  <si>
    <t>APPLE IPHONE 16 PRO 128GB-TITANIO</t>
  </si>
  <si>
    <t>APPLE IPHONE 16 PRO 256GB</t>
  </si>
  <si>
    <t>APPLE IPHONE 16 PRO 256GB-BRANCO</t>
  </si>
  <si>
    <t>APPLE IPHONE 16 PRO 256GB-DESERTO</t>
  </si>
  <si>
    <t>APPLE IPHONE 16 PRO 256GB-PRETO</t>
  </si>
  <si>
    <t>APPLE IPHONE 16 PRO 256GB-TITANIO</t>
  </si>
  <si>
    <t>APPLE IPHONE 16 PRO 512GB</t>
  </si>
  <si>
    <t>APPLE IPHONE 16 PRO 512GB-PRETO</t>
  </si>
  <si>
    <t>APPLE IPHONE 16 PRO MAX 256GB</t>
  </si>
  <si>
    <t>APPLE IPHONE 16 PRO MAX 256GB-BRANCO</t>
  </si>
  <si>
    <t>APPLE IPHONE 16 PRO MAX 256GB-DESERTO</t>
  </si>
  <si>
    <t>APPLE IPHONE 16 PRO MAX 256GB-PRETO</t>
  </si>
  <si>
    <t>APPLE IPHONE 16 PRO MAX 256GB-TITANIO</t>
  </si>
  <si>
    <t>APPLE IPHONE 16 PRO MAX 512GB</t>
  </si>
  <si>
    <t>APPLE IPHONE 16 PRO MAX 512GB-DESERTO</t>
  </si>
  <si>
    <t>APPLE IPHONE 16 PRO MAX 512GB-PRETO</t>
  </si>
  <si>
    <t>APPLE IPHONE 16 PRO MAX 512GB-TITANIO</t>
  </si>
  <si>
    <t>APPLE IPHONE 16E 256GB</t>
  </si>
  <si>
    <t>APPLE IPHONE 16E 256GB-PRETO NAC</t>
  </si>
  <si>
    <t>APPLE IPHONE 16E 256GB-BRANCO NAC</t>
  </si>
  <si>
    <t>APPLE IPHONE 17 256GB</t>
  </si>
  <si>
    <t>APPLE IPHONE 17 256GB-LAVANDA</t>
  </si>
  <si>
    <t>APPLE IPHONE 17 256GB-LAVANDA NAC</t>
  </si>
  <si>
    <t>APPLE IPHONE 17 256GB-AZUL NEVOA</t>
  </si>
  <si>
    <t>APPLE IPHONE 17 256GB-AZUL NEVOA NAC</t>
  </si>
  <si>
    <t>APPLE IPHONE 17 256GB-PRETO</t>
  </si>
  <si>
    <t>APPLE IPHONE 17 256GB-PRETO NAC</t>
  </si>
  <si>
    <t>APPLE IPHONE 17 256GB-BRANCO</t>
  </si>
  <si>
    <t>APPLE IPHONE 17 256GB-BRANCO NAC</t>
  </si>
  <si>
    <t>APPLE IPHONE 17 256GB-SALVIA</t>
  </si>
  <si>
    <t>APPLE IPHONE 17 256GB-SALVIA NAC</t>
  </si>
  <si>
    <t>APPLE IPHONE 17 512GB</t>
  </si>
  <si>
    <t>APPLE IPHONE 17 512GB-BRANCO</t>
  </si>
  <si>
    <t>APPLE IPHONE 17 512GB-PRETO</t>
  </si>
  <si>
    <t>APPLE IPHONE AIR 256GB</t>
  </si>
  <si>
    <t>APPLE IPHONE AIR 256GB-PRETO</t>
  </si>
  <si>
    <t>APPLE IPHONE AIR 256GB-BRANCO</t>
  </si>
  <si>
    <t>APPLE IPHONE AIR 256GB-AZUL CEU</t>
  </si>
  <si>
    <t>APPLE IPHONE AIR 256GB-DOURADO</t>
  </si>
  <si>
    <t>APPLE IPHONE AIR 512GB</t>
  </si>
  <si>
    <t>APPLE IPHONE AIR 512GB-BRANCO</t>
  </si>
  <si>
    <t>APPLE IPHONE AIR 512GB-DOURADO</t>
  </si>
  <si>
    <t>APPLE IPHONE AIR 512GB-PRETO</t>
  </si>
  <si>
    <t>APPLE IPHONE AIR 512GB-AZUL CEU</t>
  </si>
  <si>
    <t>APPLE IPHONE 17 PRO 256GB</t>
  </si>
  <si>
    <t>APPLE IPHONE 17 PRO 256GB-AZUL INTENSO</t>
  </si>
  <si>
    <t>APPLE IPHONE 17 PRO 256GB-LARANJA COSMIC</t>
  </si>
  <si>
    <t>APPLE IPHONE 17 PRO 256GB-PRATEADO</t>
  </si>
  <si>
    <t>APPLE IPHONE 17 PRO 512GB</t>
  </si>
  <si>
    <t>APPLE IPHONE 17 PRO 512GB-AZUL INTENSO</t>
  </si>
  <si>
    <t>APPLE IPHONE 17 PRO 512GB-LARANJA COSMIC</t>
  </si>
  <si>
    <t>APPLE IPHONE 17 PRO 512GB-PRATEADO</t>
  </si>
  <si>
    <t>APPLE IPHONE 17 PRO MAX 256GB</t>
  </si>
  <si>
    <t>APPLE IPHONE 17 PRO MAX 256GB- AZUL INTE</t>
  </si>
  <si>
    <t>APPLE IPHONE 17 PRO MAX 256GB-PRATEADO</t>
  </si>
  <si>
    <t>APPLE IPHONE 17 PRO MAX 256GB-LARANJA CO</t>
  </si>
  <si>
    <t>APPLE IPHONE 17 PRO MAX 512GB</t>
  </si>
  <si>
    <t>APPLE IPHONE 17 PRO MAX 512GB-LARANJA CO</t>
  </si>
  <si>
    <t>APPLE IPHONE 17 PRO MAX 512GB-AZUL INTEN</t>
  </si>
  <si>
    <t>APPLE IPHONE 17 PRO MAX 512GB-PRATEADO</t>
  </si>
  <si>
    <t>APPLE IPHONE 17E 256GB</t>
  </si>
  <si>
    <t>APPLE IPHONE 17E 256GB-BRANCO</t>
  </si>
  <si>
    <t>APPLE IPHONE 17E 256GB-PRETO</t>
  </si>
  <si>
    <t>APPLE IPHONE 17E 256GB-ROSA PALIDO</t>
  </si>
  <si>
    <t>APPLE IPHONE 17E 256GB-BRANCO NAC</t>
  </si>
  <si>
    <t>APPLE IPHONE 17E 256GB-PRETO NAC</t>
  </si>
  <si>
    <t>APPLE IPHONE 17E 256GB-ROSA PALIDO NAC</t>
  </si>
  <si>
    <t>APPLE IPHONE 18 PRO 256GB</t>
  </si>
  <si>
    <t>APPLE IPHONE 18 PRO 256GB-PRETO</t>
  </si>
  <si>
    <t>APPLE IPHONE 18 PRO 256GB-BORDO</t>
  </si>
  <si>
    <t>APPLE IPHONE 18 PRO 256GB-GLACIAL</t>
  </si>
  <si>
    <t>APPLE IPHONE 18 PRO 512GB</t>
  </si>
  <si>
    <t>APPLE IPHONE 18 PRO 512GB-PRETO</t>
  </si>
  <si>
    <t>APPLE IPHONE 18 PRO 512GB-BORDO</t>
  </si>
  <si>
    <t>APPLE IPHONE 18 PRO 512GB-GLACIAL</t>
  </si>
  <si>
    <t>APPLE IPHONE 18 PRO MAX 256GB</t>
  </si>
  <si>
    <t>APPLE IPHONE 18 PRO MAX 256GB-PRETO</t>
  </si>
  <si>
    <t>APPLE IPHONE 18 PRO MAX 256GB-PRATEADO</t>
  </si>
  <si>
    <t>APPLE IPHONE 18 PRO MAX 256GB-BORDO</t>
  </si>
  <si>
    <t>APPLE IPHONE 18 PRO MAX 256GB-GLACIAL</t>
  </si>
  <si>
    <t>APPLE IPHONE 18 PRO MAX 512GB</t>
  </si>
  <si>
    <t>APPLE IPHONE 18 PRO MAX 512GB-PRETO</t>
  </si>
  <si>
    <t>APPLE IPHONE 18 PRO MAX 512GB-PRATEADO</t>
  </si>
  <si>
    <t>APPLE IPHONE 18 PRO MAX 512GB-BORDO</t>
  </si>
  <si>
    <t>APPLE IPHONE 18 PRO MAX 512GB-GLACIAL</t>
  </si>
  <si>
    <t>JOVI V50 512GB</t>
  </si>
  <si>
    <t>JOVI V50 512GB-VERMELHO</t>
  </si>
  <si>
    <t>JOVI V50 512GB-PRETO</t>
  </si>
  <si>
    <t>JOVI V50 LITE 256GB</t>
  </si>
  <si>
    <t>JOVI V50 LITE 256GB-OURO</t>
  </si>
  <si>
    <t>JOVI V50 LITE 256GB-PRETO</t>
  </si>
  <si>
    <t>JOVI V70 5G 512GB</t>
  </si>
  <si>
    <t>JOVI V70 5G 512GB-AZUL SAFIRA</t>
  </si>
  <si>
    <t>JOVI V70 5G 512GB-LILAS BOREAL</t>
  </si>
  <si>
    <t>ADM</t>
  </si>
  <si>
    <t>JOVI Y21 5G 256GB</t>
  </si>
  <si>
    <t>JOVI Y21 5G 256GB-AZUL</t>
  </si>
  <si>
    <t>JOVI Y21 5G 256GB-DOURADO</t>
  </si>
  <si>
    <t>JOVI Y21E 4G 4RAM 128GB</t>
  </si>
  <si>
    <t>JOVI Y21E 4G 4RAM 128GB-AZUL</t>
  </si>
  <si>
    <t>4G</t>
  </si>
  <si>
    <t>JOVI Y21E 4G 4RAM 128GB-DOURADO</t>
  </si>
  <si>
    <t>JOVI Y29S 5G 256GB</t>
  </si>
  <si>
    <t>JOVI Y29S 5G 256GB-PRETO</t>
  </si>
  <si>
    <t>JOVI Y31 4G 8RAM 256GB</t>
  </si>
  <si>
    <t>JOVI Y31 4G 8RAM 256GB-BRANCO</t>
  </si>
  <si>
    <t>JOVI Y31 4G 8RAM 256GB-PRETO</t>
  </si>
  <si>
    <t>JOVI X300 FE 5G 256GB</t>
  </si>
  <si>
    <t>JOVI X300 FE 5G 256GB-PRETO</t>
  </si>
  <si>
    <t>JOVI X300 FE 5G 256GB-LILAS</t>
  </si>
  <si>
    <t>JOVI X300 ULTRA 5G 512GB</t>
  </si>
  <si>
    <t>JOVI X300 ULTRA 5G 512GB-PRETO</t>
  </si>
  <si>
    <t>JOVI X300 ULTRA 5G 512GB-VERDE</t>
  </si>
  <si>
    <t>MOTOROLA MOTO E13 64GB</t>
  </si>
  <si>
    <t>MOTOROLA MOTO E13 64GB-GRAFITE</t>
  </si>
  <si>
    <t>MOTOROLA EDGE 30 NEO 5G</t>
  </si>
  <si>
    <t>MOTOROLA EDGE 30 NEO 5G-PRETO</t>
  </si>
  <si>
    <t>MOTOROLA EDGE 30 PRO</t>
  </si>
  <si>
    <t>MOTOROLA EDGE 30 PRO-AZUL</t>
  </si>
  <si>
    <t>MOTOROLA EDGE 40</t>
  </si>
  <si>
    <t>MOTOROLA EDGE 40-PRETO</t>
  </si>
  <si>
    <t>MOTOROLA EDGE 40-MAGENTA</t>
  </si>
  <si>
    <t>MOTOROLA EDGE 40 NEO</t>
  </si>
  <si>
    <t>MOTOROLA EDGE 40 NEO-PRETO</t>
  </si>
  <si>
    <t>MOTOROLA EDGE 40 NEO-PEACH FUZZ</t>
  </si>
  <si>
    <t>MOTOROLA EDGE 50 256GB</t>
  </si>
  <si>
    <t>MOTOROLA EDGE 50 256GB-CINZA</t>
  </si>
  <si>
    <t>MOTOROLA EDGE 50 256GB-VERDE</t>
  </si>
  <si>
    <t>MOTOROLA EDGE 50 256GB-PEACH FUZZ</t>
  </si>
  <si>
    <t>MOTOROLA EDGE 50 FUSION 256GB</t>
  </si>
  <si>
    <t>MOTOROLA EDGE 50 FUSION 256GB-AZUL MARIN</t>
  </si>
  <si>
    <t>MOTOROLA EDGE 50 FUSION 256GB-AZUL CLARO</t>
  </si>
  <si>
    <t>MOTOROLA EDGE 60 FUSION 256GB</t>
  </si>
  <si>
    <t>MOTOROLA EDGE 60 FUSION 256GB-CINZA</t>
  </si>
  <si>
    <t>MOTOROLA EDGE 60 FUSION 256GB-ROSA</t>
  </si>
  <si>
    <t>MOTOROLA EDGE 60 NEO 512GB</t>
  </si>
  <si>
    <t>MOTOROLA EDGE 60 NEO 512GB-CINZA</t>
  </si>
  <si>
    <t>MOTOROLA EDGE 60 NEO 512GB-LATTE</t>
  </si>
  <si>
    <t>MOTOROLA EDGE 60 PRO 512GB</t>
  </si>
  <si>
    <t>MOTOROLA EDGE 60 PRO 512GB-CINZA</t>
  </si>
  <si>
    <t>MOTOROLA EDGE 70 512GB</t>
  </si>
  <si>
    <t>MOTOROLA EDGE 70 512GB-GRAFITE</t>
  </si>
  <si>
    <t>MOTOROLA EDGE 70 512GB-VERDE</t>
  </si>
  <si>
    <t>MOTO EDGE 70 FUSION 256GB 12GB</t>
  </si>
  <si>
    <t>MOTO EDGE 70 FUSION 256GB 12GB-GRAFITE</t>
  </si>
  <si>
    <t>MOTO EDGE 70 BY SWAROVSK 512GB</t>
  </si>
  <si>
    <t>MOTO EDGE 70 BY SWAROVSK 512GB-BRANCO</t>
  </si>
  <si>
    <t>MOTOROLA MOTO E40</t>
  </si>
  <si>
    <t>MOTOROLA MOTO E40-GRAFITE</t>
  </si>
  <si>
    <t>MOTOROLA MOTO E40-ROSE</t>
  </si>
  <si>
    <t>MOTOROLA MOTO G04</t>
  </si>
  <si>
    <t>MOTOROLA MOTO G04-GRAFITE</t>
  </si>
  <si>
    <t>MOTOROLA MOTO G04S 128GB</t>
  </si>
  <si>
    <t>MOTOROLA MOTO G04S 128GB-GRAFITE</t>
  </si>
  <si>
    <t>MOTOROLA MOTO G05 128GB</t>
  </si>
  <si>
    <t>MOTOROLA MOTO G05 128GB-CINZA</t>
  </si>
  <si>
    <t>MOTOROLA MOTO G06 4G 128GB</t>
  </si>
  <si>
    <t>MOTOROLA MOTO G06 4G 128GB-AZUL MARINHO</t>
  </si>
  <si>
    <t>MOTOROLA MOTO G34 5G</t>
  </si>
  <si>
    <t>MOTOROLA MOTO G34 5G-PRETO</t>
  </si>
  <si>
    <t>MOTOROLA MOTO G34 5G-AZUL</t>
  </si>
  <si>
    <t>MOTOROLA MOTO G35 5G 128GB</t>
  </si>
  <si>
    <t>MOTOROLA MOTO G35 5G 128GB-CINZA</t>
  </si>
  <si>
    <t>MOTOROLA MOTO G35 5G 128GB-VERDE</t>
  </si>
  <si>
    <t>MOTOROLA MOTO G35 5G 256GB</t>
  </si>
  <si>
    <t>MOTOROLA MOTO G35 5G 256GB-CINZA</t>
  </si>
  <si>
    <t>MOTOROLA MOTO G35 5G 256GB-CORAL</t>
  </si>
  <si>
    <t>MOTOROLA MOTO G37 5G 4RAM 128GB</t>
  </si>
  <si>
    <t>MOTOROLA MOTO G37 5G 4RAM 128GB-GRAFITE</t>
  </si>
  <si>
    <t>MOTOROLA MOTO G37 5G 4RAM 128GB-AZUL NAU</t>
  </si>
  <si>
    <t>MOTOROLA MOTO G47 5G 128GB</t>
  </si>
  <si>
    <t>MOTOROLA MOTO G47 5G 128GB-AZUL NAUTICO</t>
  </si>
  <si>
    <t>MOTOROLA MOTO G47 5G 128GB-GRAFITE</t>
  </si>
  <si>
    <t>MOTOROLA MOTO G53 5G</t>
  </si>
  <si>
    <t>MOTOROLA MOTO G53 5G-GRAFITE</t>
  </si>
  <si>
    <t>MOTOROLA MOTO G53 5G-PRATA</t>
  </si>
  <si>
    <t>MOTOROLA MOTO G54 5G 256GB</t>
  </si>
  <si>
    <t>MOTOROLA MOTO G54 5G 256GB-AZUL</t>
  </si>
  <si>
    <t>MOTOROLA MOTO G56 5G 256GB</t>
  </si>
  <si>
    <t>MOTOROLA MOTO G56 5G 256GB-CINZA</t>
  </si>
  <si>
    <t>MOTOROLA MOTO G56 5G 256GB-GRAFITE</t>
  </si>
  <si>
    <t>MOTOROLA MOTO G67 5G 256GB</t>
  </si>
  <si>
    <t>MOTOROLA MOTO G67 5G 256GB-CHUMBO</t>
  </si>
  <si>
    <t>MOTOROLA MOTO G67 5G 256GB-VERDE CLARO</t>
  </si>
  <si>
    <t>MOTOROLA MOTO G75 5G 256GB</t>
  </si>
  <si>
    <t>MOTOROLA MOTO G75 5G 256GB-PRETO</t>
  </si>
  <si>
    <t>MOTOROLA MOTO G75 5G 256GB-CINZA</t>
  </si>
  <si>
    <t>MOTOROLA MOTO G75 5G 256GB-AZUL</t>
  </si>
  <si>
    <t>MOTOROLA MOTO G82 5G</t>
  </si>
  <si>
    <t>MOTOROLA MOTO G82 5G-PRETO</t>
  </si>
  <si>
    <t>MOTOROLA MOTO G86 5G 512GB</t>
  </si>
  <si>
    <t>MOTOROLA MOTO G86 5G 512GB-VERDE ESCURO</t>
  </si>
  <si>
    <t>MOTOROLA MOTO G86 5G 512GB-LILAS</t>
  </si>
  <si>
    <t>MOTOROLA G86 5G 512GB-12GB-VERDE ESCURO</t>
  </si>
  <si>
    <t>MOTOROLA G86 5G 512GB-12GB-LILAS</t>
  </si>
  <si>
    <t>MOTOROLA MOTO G MAX 5G 256GB</t>
  </si>
  <si>
    <t>MOTOROLA G MAX 5G 256GB-GRAFITE</t>
  </si>
  <si>
    <t>MOTOROLA G MAX 5G 256GB-AZUL CLARO</t>
  </si>
  <si>
    <t>MOTOROLA RAZR 40</t>
  </si>
  <si>
    <t>MOTOROLA RAZR 40-VERDE</t>
  </si>
  <si>
    <t>MOTOROLA RAZR 40-VANILLA</t>
  </si>
  <si>
    <t>MOTOROLA RAZR 40 ULTRA</t>
  </si>
  <si>
    <t>MOTOROLA RAZR 40 ULTRA-PRETO</t>
  </si>
  <si>
    <t>MOTOROLA RAZR 50 ULTRA 512GB</t>
  </si>
  <si>
    <t>MOTOROLA RAZR 50 ULTRA 512GB-AZUL MARIN</t>
  </si>
  <si>
    <t>MOTOROLA RAZR 60 ULTRA 1TB</t>
  </si>
  <si>
    <t>MOTOROLA RAZR 60 ULTRA 1TB-VERDE</t>
  </si>
  <si>
    <t>MOTOROLA RAZR 70 ULTRA 512GB</t>
  </si>
  <si>
    <t>MOTOROLA RAZR 70 ULTRA 512GB-ROXO</t>
  </si>
  <si>
    <t>MOTOROLA RAZR 70 ULTRA 512GB-MADEIRA</t>
  </si>
  <si>
    <t>MOTOROLA RAZR FOLD 1TB</t>
  </si>
  <si>
    <t>MOTOROLA RAZR FOLD 1TB-PRETO</t>
  </si>
  <si>
    <t>MOTOROLA SIGNATURE 512GB</t>
  </si>
  <si>
    <t>MOTOROLA SIGNATURE 512GB-PRETO</t>
  </si>
  <si>
    <t>NOKIA 5.4</t>
  </si>
  <si>
    <t>NOKIA 5.4-AZUL</t>
  </si>
  <si>
    <t>NOKIA C01 PLUS</t>
  </si>
  <si>
    <t>NOKIA C01 PLUS-AZUL</t>
  </si>
  <si>
    <t>OPPO A6X 5G 256GB</t>
  </si>
  <si>
    <t>OPPO A6X 5G 256GB-PURPURA</t>
  </si>
  <si>
    <t>SAMSUNG GALAXY A02</t>
  </si>
  <si>
    <t>SAMSUNG GALAXY A02-PRETO</t>
  </si>
  <si>
    <t>SAMSUNG GALAXY A03 CORE</t>
  </si>
  <si>
    <t>SAMSUNG GALAXY A03 CORE-PRETO ONIX AM</t>
  </si>
  <si>
    <t>SAMSUNG GALAXY A03 CORE-COBRE</t>
  </si>
  <si>
    <t>SAMSUNG GALAXY A03 CORE-PRETO ONIX</t>
  </si>
  <si>
    <t>SAMSUNG GALAXY A03S</t>
  </si>
  <si>
    <t>SAMSUNG GALAXY A03S-PRETO AM</t>
  </si>
  <si>
    <t>SAMSUNG GALAXY A03S-AZUL AM</t>
  </si>
  <si>
    <t>SAMSUNG GALAXY A05</t>
  </si>
  <si>
    <t>SAMSUNG GALAXY A05-PRETO</t>
  </si>
  <si>
    <t>SAMSUNG GALAXY A05-PRETO AM</t>
  </si>
  <si>
    <t>SAMSUNG GALAXY A05S</t>
  </si>
  <si>
    <t>SAMSUNG GALAXY A05S-PRETO</t>
  </si>
  <si>
    <t>SAMSUNG GALAXY A05S-PRETO AM</t>
  </si>
  <si>
    <t>SAMSUNG GALAXY A06 128GB</t>
  </si>
  <si>
    <t>SAMSUNG GALAXY A06 128GB-AZUL ESCURO</t>
  </si>
  <si>
    <t>SAMSUNG GALAXY A06 128GB-AZUL ESCURO AM</t>
  </si>
  <si>
    <t>SAMSUNG GALAXY A06 5G 128GB</t>
  </si>
  <si>
    <t>SAMSUNG GALAXY A06 5G 128GB-PRETO</t>
  </si>
  <si>
    <t>SAMSUNG GALAXY A06 5G 128GB-PRETO AM</t>
  </si>
  <si>
    <t>SAMSUNG GALAXY A06 5G 128GB-CINZA</t>
  </si>
  <si>
    <t>SAMSUNG GALAXY A06 5G 128GB-CINZA AM</t>
  </si>
  <si>
    <t>SAMSUNG GALAXY A07 4G 128GB</t>
  </si>
  <si>
    <t>SAMSUNG GALAXY A07 4G 128GB-PRETO AM</t>
  </si>
  <si>
    <t>SAMSUNG GALAXY A07 4G 128GB SP-PRETO</t>
  </si>
  <si>
    <t>SAMSUNG GALAXY A07 4G 256GB</t>
  </si>
  <si>
    <t>SAMSUNG GALAXY A07 4G 256GB-PRETO</t>
  </si>
  <si>
    <t>SAMSUNG GALAXY A07 4G 256GB-PRETO AM</t>
  </si>
  <si>
    <t>SAMSUNG GALAXY A07 4G 256GB SP-PRETO</t>
  </si>
  <si>
    <t>SAMSUNG GALAXY A07 5G 128GB</t>
  </si>
  <si>
    <t>SAMSUNG GALAXY A07 5G 128GB-PRETO</t>
  </si>
  <si>
    <t>SAMSUNG GALAXY A13 128GB</t>
  </si>
  <si>
    <t>SAMSUNG GALAXY A13 128GB-PRETO AM</t>
  </si>
  <si>
    <t>SAMSUNG GALAXY A13 128GB-BRANCO AM</t>
  </si>
  <si>
    <t>SAMSUNG GALAXY A14 5G</t>
  </si>
  <si>
    <t>SAMSUNG GALAXY A14 5G-PRETO</t>
  </si>
  <si>
    <t>SAMSUNG GALAXY A14 5G-PRETO AM</t>
  </si>
  <si>
    <t>SAMSUNG GALAXY A14 5G-PRATA AM</t>
  </si>
  <si>
    <t>SAMSUNG GALAXY A14 5G 64GB</t>
  </si>
  <si>
    <t>SAMSUNG GALAXY A14 5G 64GB-PRETO</t>
  </si>
  <si>
    <t>SAMSUNG GALAXY A14 5G 64GB-PRETO AM</t>
  </si>
  <si>
    <t>SAMSUNG GALAXY A14 5G 64GB-PRATA</t>
  </si>
  <si>
    <t>SAMSUNG GALAXY A14 5G 64GB-PRATA AM</t>
  </si>
  <si>
    <t>SAMSUNG GALAXY A15 5G 128GB</t>
  </si>
  <si>
    <t>SAMSUNG GALAXY A15 5G 128GB-AZUL ESCURO</t>
  </si>
  <si>
    <t>SAMSUNG GALAXY A15 5G 128GB-AZUL ESC AM</t>
  </si>
  <si>
    <t>SAMSUNG GALAXY A15 5G 128GB-AZUL CLARO</t>
  </si>
  <si>
    <t>SAMSUNG GALAXY A15 5G 256GB</t>
  </si>
  <si>
    <t>SAMSUNG GALAXY A15 5G 256GB-AZUL CLARO</t>
  </si>
  <si>
    <t>SAMSUNG GALAXY A15 5G 256GB-AZUL CLA AM</t>
  </si>
  <si>
    <t>SAMSUNG GALAXY A15 5G 256GB-AZUL ESCURO</t>
  </si>
  <si>
    <t>SAMSUNG GALAXY A15 5G 256GB-AZUL ESC AM</t>
  </si>
  <si>
    <t>SAMSUNG GALAXY A16 5G 128GB</t>
  </si>
  <si>
    <t>SAMSUNG GALAXY A16 5G 128GB-CINZA</t>
  </si>
  <si>
    <t>SAMSUNG GALAXY A16 5G 128GB-CINZA AM</t>
  </si>
  <si>
    <t>SAMSUNG GALAXY A16 5G 128GB-AZUL ESCURO</t>
  </si>
  <si>
    <t>SAMSUNG GALAXY A16 5G 128GB-AZUL ESC AM</t>
  </si>
  <si>
    <t>SAMSUNG GALAXY A16 5G 128GB EE-AZUL ESC</t>
  </si>
  <si>
    <t>SAMSUNG GALAXY A16 5G 128GB EE-AZ ESC AM</t>
  </si>
  <si>
    <t>SAMSUNG GALAXY A16 5G 256GB</t>
  </si>
  <si>
    <t>SAMSUNG GALAXY A16 5G 256GB-CINZA</t>
  </si>
  <si>
    <t>SAMSUNG GALAXY A16 5G 256GB-CINZA AM</t>
  </si>
  <si>
    <t>SAMSUNG GALAXY A16 5G 256GB-AZUL ESCURO</t>
  </si>
  <si>
    <t>SAMSUNG GALAXY A16 5G 256GB-AZUL ESC AM</t>
  </si>
  <si>
    <t>SAMSUNG GALAXY A17 4G 128GB</t>
  </si>
  <si>
    <t>SAMSUNG GALAXY A17 4G 128GB-CINZA</t>
  </si>
  <si>
    <t>SAMSUNG GALAXY A17 4G 128GB-CINZA AM</t>
  </si>
  <si>
    <t>SAMSUNG GALAXY A17 4G 128GB-PRETO</t>
  </si>
  <si>
    <t>SAMSUNG GALAXY A17 4G 128GB-PRETO AM</t>
  </si>
  <si>
    <t>SAMSUNG GALAXY A17 5G 128GB</t>
  </si>
  <si>
    <t>SAMSUNG GALAXY A17 5G 128GB-AZUL</t>
  </si>
  <si>
    <t>SAMSUNG GALAXY A17 5G 128GB-PRETO</t>
  </si>
  <si>
    <t>SAMSUNG GALAXY A17 5G 128GB-AZUL AM</t>
  </si>
  <si>
    <t>SAMSUNG GALAXY A17 5G 128GB-PRETO AM</t>
  </si>
  <si>
    <t>SAMSUNG GALAXY A17 5G 128GB-CINZA AM</t>
  </si>
  <si>
    <t>SAMSUNG GALAXY A17 5G 128GB-CINZA</t>
  </si>
  <si>
    <t>SAMSUNG GALAXY A17 5G 128GB EE-PRETO AM</t>
  </si>
  <si>
    <t>SAMSUNG GALAXY A17 5G 128GB EE-PRETO</t>
  </si>
  <si>
    <t>SAMSUNG GALAXY A17 5G 256GB</t>
  </si>
  <si>
    <t>SAMSUNG GALAXY A17 5G 256GB-AZUL</t>
  </si>
  <si>
    <t>SAMSUNG GALAXY A17 5G 256GB-PRETO</t>
  </si>
  <si>
    <t>SAMSUNG GALAXY A17 5G 256GB-AZUL AM</t>
  </si>
  <si>
    <t>SAMSUNG GALAXY A17 5G 256GB-PRETO AM</t>
  </si>
  <si>
    <t>SAMSUNG GALAXY A17 5G 256GB-CINZA AM</t>
  </si>
  <si>
    <t>SAMSUNG GALAXY A22 5G</t>
  </si>
  <si>
    <t>SAMSUNG GALAXY A22 5G-BRANCO AM</t>
  </si>
  <si>
    <t>SAMSUNG GALAXY A23 5G</t>
  </si>
  <si>
    <t>SAMSUNG GALAXY A23 5G-PRETO</t>
  </si>
  <si>
    <t>SAMSUNG GALAXY A23 5G-PRETO AM</t>
  </si>
  <si>
    <t>SAMSUNG GALAXY A25 5G</t>
  </si>
  <si>
    <t>SAMSUNG GALAXY A25 5G-AZUL ESCURO</t>
  </si>
  <si>
    <t>SAMSUNG GALAXY A25 5G-AZUL ESCURO AM</t>
  </si>
  <si>
    <t>SAMSUNG GALAXY A32 5G</t>
  </si>
  <si>
    <t>SAMSUNG GALAXY A32 5G-PRETO</t>
  </si>
  <si>
    <t>SAMSUNG GALAXY A34 5G</t>
  </si>
  <si>
    <t>SAMSUNG GALAXY A34 5G-PRETO</t>
  </si>
  <si>
    <t>SAMSUNG GALAXY A34 5G-PRETO AM</t>
  </si>
  <si>
    <t>SAMSUNG GALAXY A34 5G EE 128GB-PRETO AM</t>
  </si>
  <si>
    <t>SAMSUNG GALAXY A35 5G 256GB</t>
  </si>
  <si>
    <t>SAMSUNG GALAXY A35 5G 256GB-AZUL ESC</t>
  </si>
  <si>
    <t>SAMSUNG GALAXY A35 5G 256GB-AZUL ESC AM</t>
  </si>
  <si>
    <t>SAMSUNG GALAXY A35 5G 256GB-AZUL CLARO</t>
  </si>
  <si>
    <t>SAMSUNG GALAXY A35 5G 256GB EE-AZ ESC AM</t>
  </si>
  <si>
    <t>SAMSUNG GALAXY A35 5G 256GB-AZUL CLA AM</t>
  </si>
  <si>
    <t>SAMSUNG GALAXY A35 5G 256GB EE-AZUL ESC</t>
  </si>
  <si>
    <t>SAMSUNG GALAXY A36 5G 256GB</t>
  </si>
  <si>
    <t>SAMSUNG GALAXY A36 5G 256GB-PRETO</t>
  </si>
  <si>
    <t>SAMSUNG GALAXY A36 5G 256GB-PRETO AM</t>
  </si>
  <si>
    <t>SAMSUNG GALAXY A36 5G 256GB-BRANCO</t>
  </si>
  <si>
    <t>SAMSUNG GALAXY A36 5G 256GB-BRANCO AM</t>
  </si>
  <si>
    <t>SAMSUNG GALAXY A36 5G 256GB EE-PRETO</t>
  </si>
  <si>
    <t>SAMSUNG GALAXY A36 5G 256GB EE-PRETO AM</t>
  </si>
  <si>
    <t>SAMSUNG GALAXY A37 5G 256GB</t>
  </si>
  <si>
    <t>SAMSUNG GALAXY A37 5G 256GB-PRETO</t>
  </si>
  <si>
    <t>SAMSUNG GALAXY A37 5G 256GB-PRETO AM</t>
  </si>
  <si>
    <t>SAMSUNG GALAXY A37 5G 256GB EE-PRETO</t>
  </si>
  <si>
    <t>SAMSUNG GALAXY A37 5G 256GB EE-PRETO AM</t>
  </si>
  <si>
    <t>SAMSUNG GALAXY A37 5G 256GB-VERDE</t>
  </si>
  <si>
    <t>SAMSUNG GALAXY A37 5G 256GB-VERDE AM</t>
  </si>
  <si>
    <t>SAMSUNG GALAXY A52S 5G</t>
  </si>
  <si>
    <t>SAMSUNG GALAXY A52S 5G-PRETO</t>
  </si>
  <si>
    <t>SAMSUNG GALAXY A52S 5G-BRANCO</t>
  </si>
  <si>
    <t>SAMSUNG GALAXY A52S 5G N-PRETO</t>
  </si>
  <si>
    <t>SAMSUNG GALAXY A54 5G 256GB</t>
  </si>
  <si>
    <t>SAMSUNG GALAXY A54 5G 256GB-PRETO AM</t>
  </si>
  <si>
    <t>SAMSUNG GALAXY A54 5G 256GB-BRANCO AM</t>
  </si>
  <si>
    <t>SAMSUNG GALAXY A54 5G 256GB-VERDE AM</t>
  </si>
  <si>
    <t>SAMSUNG GALAXY A54 5G EE 256GB-PRETO AM</t>
  </si>
  <si>
    <t>SAMSUNG GALAXY A55 5G 256GB</t>
  </si>
  <si>
    <t>SAMSUNG GALAXY A55 5G 256GB-AZUL CLARO</t>
  </si>
  <si>
    <t>SAMSUNG GALAXY A55 5G 256GB-AZUL CLA AM</t>
  </si>
  <si>
    <t>SAMSUNG GALAXY A55 5G 256GB-AZUL ESC</t>
  </si>
  <si>
    <t>SAMSUNG GALAXY A55 5G 256GB-AZUL ESC AM</t>
  </si>
  <si>
    <t>SAMSUNG GALAXY A55 5G 256GB EE-AZUL ESC</t>
  </si>
  <si>
    <t>SAMSUNG GALAXY A56 5G 256GB</t>
  </si>
  <si>
    <t>SAMSUNG GALAXY A56 5G 256GB-PRETO</t>
  </si>
  <si>
    <t>SAMSUNG GALAXY A56 5G 256GB-PRETO AM</t>
  </si>
  <si>
    <t>SAMSUNG GALAXY A56 5G 256GB EE-PRETO AM</t>
  </si>
  <si>
    <t>SAMSUNG GALAXY A56 5G 256GB-CINZA</t>
  </si>
  <si>
    <t>SAMSUNG GALAXY A56 5G 256GB-CINZA AM</t>
  </si>
  <si>
    <t>SAMSUNG GALAXY A56 5G 256GB EE-PRETO</t>
  </si>
  <si>
    <t>SAMSUNG GALAXY A57 5G 256GB</t>
  </si>
  <si>
    <t>SAMSUNG GALAXY A57 5G 256GB-AZUL ESCURO</t>
  </si>
  <si>
    <t>SAMSUNG GALAXY A57 5G 256GB-AZUL ES AM</t>
  </si>
  <si>
    <t>SAMSUNG GALAXY A57 5G 256GB-CINZA</t>
  </si>
  <si>
    <t>SAMSUNG GALAXY A57 5G 256GB-CINZA AM</t>
  </si>
  <si>
    <t>SAMSUNG GALAXY A57 5G 256GB EE-CINZA</t>
  </si>
  <si>
    <t>SAMSUNG GALAXY A57 5G 256GB EE-CINZA AM</t>
  </si>
  <si>
    <t>Samsung Galaxy Note 3</t>
  </si>
  <si>
    <t>Samsung Galaxy Note 3-Preto</t>
  </si>
  <si>
    <t>SAMSUNG GALAXY S21 FE 256GB</t>
  </si>
  <si>
    <t>SAMSUNG GALAXY S21 FE 256GB-PRETO</t>
  </si>
  <si>
    <t>SAMSUNG GALAXY S21 FE 256GB C.KIT-PRE AM</t>
  </si>
  <si>
    <t>SAMSUNG GALAXY S21 FE 256GB C.KIT-PRETO</t>
  </si>
  <si>
    <t>SAMSUNG GALAXY S22</t>
  </si>
  <si>
    <t>SAMSUNG GALAXY S22-BRANCO AM</t>
  </si>
  <si>
    <t>SAMSUNG GALAXY S22-PRETO AM</t>
  </si>
  <si>
    <t>SAMSUNG GALAXY S22-ROSE AM</t>
  </si>
  <si>
    <t>SAMSUNG GALAXY S22-VIOLETA</t>
  </si>
  <si>
    <t>SAMSUNG GALAXY S22 256GB</t>
  </si>
  <si>
    <t>SAMSUNG GALAXY S22 256GB-PRETO</t>
  </si>
  <si>
    <t>SAMSUNG GALAXY S22 256GB-PRETO AM</t>
  </si>
  <si>
    <t>SAMSUNG GALAXY S22 256GB C.KIT-BRANCO AM</t>
  </si>
  <si>
    <t>SAMSUNG GALAXY S22 256GB C.KIT-PRETO</t>
  </si>
  <si>
    <t>SAMSUNG GALAXY S22 PLUS</t>
  </si>
  <si>
    <t>SAMSUNG GALAXY S22 PLUS-PRETO AM</t>
  </si>
  <si>
    <t>SAMSUNG GALAXY S22 PLUS-ROSE AM</t>
  </si>
  <si>
    <t>SAMSUNG GALAXY S23</t>
  </si>
  <si>
    <t>SAMSUNG GALAXY S23-CREME AM</t>
  </si>
  <si>
    <t>SAMSUNG GALAXY S23-PRETO</t>
  </si>
  <si>
    <t>SAMSUNG GALAXY S23-PRETO AM</t>
  </si>
  <si>
    <t>SAMSUNG GALAXY S23-VERDE AM</t>
  </si>
  <si>
    <t>SAMSUNG GALAXY S23 PLUS</t>
  </si>
  <si>
    <t>SAMSUNG GALAXY S23 PLUS-CREME</t>
  </si>
  <si>
    <t>SAMSUNG GALAXY S23 PLUS-CREME AM</t>
  </si>
  <si>
    <t>SAMSUNG GALAXY S23 PLUS-PRETO</t>
  </si>
  <si>
    <t>SAMSUNG GALAXY S23 PLUS-PRETO AM</t>
  </si>
  <si>
    <t>SAMSUNG GALAXY S23 PLUS-VERDE AM</t>
  </si>
  <si>
    <t>SAMSUNG GALAXY S23 PLUS 512GB</t>
  </si>
  <si>
    <t>SAMSUNG GALAXY S23 PLUS 512GB-CREME</t>
  </si>
  <si>
    <t>SAMSUNG GALAXY S23 PLUS 512GB-CREME AM</t>
  </si>
  <si>
    <t>SAMSUNG GALAXY S23 PLUS 512GB-PRETO</t>
  </si>
  <si>
    <t>SAMSUNG GALAXY S23 PLUS 512GB-PRETO AM</t>
  </si>
  <si>
    <t>SAMSUNG GALAXY S23 PLUS 512GB-VERDE</t>
  </si>
  <si>
    <t>SAMSUNG GALAXY S23 PLUS 512GB-VERDE AM</t>
  </si>
  <si>
    <t>SAMSUNG GALAXY S23 PLUS 512GB-VIOLETA</t>
  </si>
  <si>
    <t>SAMSUNG GALAXY S23 PLUS 512GB-VIOLETA AM</t>
  </si>
  <si>
    <t>SAMSUNG GALAXY S23 FE 256GB</t>
  </si>
  <si>
    <t>SAMSUNG GALAXY S23 FE 256GB-CREME</t>
  </si>
  <si>
    <t>SAMSUNG GALAXY S23 FE 256GB-GRAFITE</t>
  </si>
  <si>
    <t>SAMSUNG GALAXY S23 FE 256GB-GRAFITE AM</t>
  </si>
  <si>
    <t>SAMSUNG GALAXY S24 128GB</t>
  </si>
  <si>
    <t>SAMSUNG GALAXY S24 128GB-CINZA</t>
  </si>
  <si>
    <t>SAMSUNG GALAXY S24 128GB-CINZA AM</t>
  </si>
  <si>
    <t>SAMSUNG GALAXY S24 128GB-CREME</t>
  </si>
  <si>
    <t>SAMSUNG GALAXY S24 128GB-CREME AM</t>
  </si>
  <si>
    <t>SAMSUNG GALAXY S24 128GB-PRETO</t>
  </si>
  <si>
    <t>SAMSUNG GALAXY S24 128GB-PRETO AM</t>
  </si>
  <si>
    <t>SAMSUNG GALAXY S24 128GB-VIOLETA AM</t>
  </si>
  <si>
    <t>SAMSUNG GALAXY S24 256GB</t>
  </si>
  <si>
    <t>SAMSUNG GALAXY S24 256GB-CINZA</t>
  </si>
  <si>
    <t>SAMSUNG GALAXY S24 256GB-CINZA AM</t>
  </si>
  <si>
    <t>SAMSUNG GALAXY S24 256GB-CREME</t>
  </si>
  <si>
    <t>SAMSUNG GALAXY S24 256GB-CREME AM</t>
  </si>
  <si>
    <t>SAMSUNG GALAXY S24 256GB-PRETO</t>
  </si>
  <si>
    <t>SAMSUNG GALAXY S24 256GB-PRETO AM</t>
  </si>
  <si>
    <t>SAMSUNG GALAXY S24 PLUS 256GB</t>
  </si>
  <si>
    <t>SAMSUNG GALAXY S24 PLUS 256GB-PRETO</t>
  </si>
  <si>
    <t>SAMSUNG GALAXY S24 PLUS 256GB-CREME</t>
  </si>
  <si>
    <t>SAMSUNG GALAXY S24 PLUS 256GB-CREME AM</t>
  </si>
  <si>
    <t>SAMSUNG GALAXY S24 PLUS 256GB-PRETO AM</t>
  </si>
  <si>
    <t>SAMSUNG GALAXY S24 PLUS 256GB-CINZA AM</t>
  </si>
  <si>
    <t>SAMSUNG GALAXY S24 PLUS 256GB-CINZA</t>
  </si>
  <si>
    <t>SAMSUNG GALAXY S24 PLUS 256GB-VIOLETA</t>
  </si>
  <si>
    <t>SAMSUNG GALAXY S24 PLUS 256GB-VIOLETA AM</t>
  </si>
  <si>
    <t>SAMSUNG GALAXY S24 PLUS 512GB</t>
  </si>
  <si>
    <t>SAMSUNG GALAXY S24 PLUS 512GB-CINZA</t>
  </si>
  <si>
    <t>SAMSUNG GALAXY S24 PLUS 512GB-CINZA AM</t>
  </si>
  <si>
    <t>SAMSUNG GALAXY S24 PLUS 512GB-CREME</t>
  </si>
  <si>
    <t>SAMSUNG GALAXY S24 PLUS 512GB-PRETO</t>
  </si>
  <si>
    <t>SAMSUNG GALAXY S24 PLUS 512GB-PRETO AM</t>
  </si>
  <si>
    <t>SAMSUNG GALAXY S24 ULTRA 256GB</t>
  </si>
  <si>
    <t>SAMSUNG GALAXY S24 ULTRA 256GB-CINZA</t>
  </si>
  <si>
    <t>SAMSUNG GALAXY S24 ULTRA 256GB-CINZA AM</t>
  </si>
  <si>
    <t>SAMSUNG GALAXY S24 ULTRA 256GB-PRETO</t>
  </si>
  <si>
    <t>SAMSUNG GALAXY S24 ULTRA 256GB-PRETO AM</t>
  </si>
  <si>
    <t>SAMSUNG GALAXY S24 FE 256GB</t>
  </si>
  <si>
    <t>SAMSUNG GALAXY S24 FE 256GB-CINZA</t>
  </si>
  <si>
    <t>SAMSUNG GALAXY S24 FE 256GB-CINZA AM</t>
  </si>
  <si>
    <t>SAMSUNG GALAXY S24 FE 256GB-GRAFITE</t>
  </si>
  <si>
    <t>SAMSUNG GALAXY S24 FE 256GB-GRAFITE AM</t>
  </si>
  <si>
    <t>SAMSUNG GALAXY S24 FE 256GB EE-GRAFIT AM</t>
  </si>
  <si>
    <t>SAMSUNG GALAXY S24 FE 256GB EE-GRAFITE</t>
  </si>
  <si>
    <t>SAMSUNG GALAXY S25 256GB</t>
  </si>
  <si>
    <t>SAMSUNG GALAXY S25 256GB-AZUL</t>
  </si>
  <si>
    <t>SAMSUNG GALAXY S25 256GB-AZUL MARINHO</t>
  </si>
  <si>
    <t>SAMSUNG GALAXY S25 256GB-VERDE</t>
  </si>
  <si>
    <t>SAMSUNG GALAXY S25 256GB-PRATA</t>
  </si>
  <si>
    <t>SAMSUNG GALAXY S25 256GB-VERDE AM</t>
  </si>
  <si>
    <t>SAMSUNG GALAXY S25 256GB-AZUL MARINHO AM</t>
  </si>
  <si>
    <t>SAMSUNG GALAXY S25 256GB-PRATA AM</t>
  </si>
  <si>
    <t>SAMSUNG GALAXY S25 256GB-AZUL AM</t>
  </si>
  <si>
    <t>SAMSUNG GALAXY S25 PLUS 256GB</t>
  </si>
  <si>
    <t>SAMSUNG GALAXY S25 PLUS 256GB-AZ MARINHO</t>
  </si>
  <si>
    <t>SAMSUNG GALAXY S25 PLUS 256GB-AZUL</t>
  </si>
  <si>
    <t>SAMSUNG GALAXY S25 PLUS 256GB-PRATA</t>
  </si>
  <si>
    <t>SAMSUNG GALAXY S25 PLUS 256GB-AZ MAR AM</t>
  </si>
  <si>
    <t>SAMSUNG GALAXY S25 PLUS 256GB-PRATA AM</t>
  </si>
  <si>
    <t>SAMSUNG GALAXY S25 PLUS 256GB-AZUL AM</t>
  </si>
  <si>
    <t>SAMSUNG GALAXY S25 PLUS 512GB</t>
  </si>
  <si>
    <t>SAMSUNG GALAXY S25 PLUS 512GB-AZ MAR AM</t>
  </si>
  <si>
    <t>SAMSUNG GALAXY S25 PLUS 512GB-AZUL AM</t>
  </si>
  <si>
    <t>SAMSUNG GALAXY S25 PLUS 512GB-PRATA AM</t>
  </si>
  <si>
    <t>SAMSUNG GALAXY S25 ULTRA 256GB</t>
  </si>
  <si>
    <t>SAMSUNG GALAXY S25 ULTRA 256GB-AZUL</t>
  </si>
  <si>
    <t>SAMSUNG GALAXY S25 ULTRA 256GB-CINZA</t>
  </si>
  <si>
    <t>SAMSUNG GALAXY S25 ULTRA 256GB-PRETO</t>
  </si>
  <si>
    <t>SAMSUNG GALAXY S25 ULTRA 256GB-AZUL AM</t>
  </si>
  <si>
    <t>SAMSUNG GALAXY S25 ULTRA 256GB-CINZA AM</t>
  </si>
  <si>
    <t>SAMSUNG GALAXY S25 ULTRA 256GB-PRETO AM</t>
  </si>
  <si>
    <t>SAMSUNG GALAXY S25 ULTRA 512GB</t>
  </si>
  <si>
    <t>SAMSUNG GALAXY S25 ULTRA 512GB-PRETO</t>
  </si>
  <si>
    <t>SAMSUNG GALAXY S25 ULTRA 512GB-PRETO AM</t>
  </si>
  <si>
    <t>SAMSUNG GALAXY S25 EDGE 512GB</t>
  </si>
  <si>
    <t>SAMSUNG GALAXY S25 EDGE 512GB-PRETO</t>
  </si>
  <si>
    <t>SAMSUNG GALAXY S25 FE 128GB</t>
  </si>
  <si>
    <t>SAMSUNG GALAXY S25 FE 128GB-PRETO</t>
  </si>
  <si>
    <t>SAMSUNG GALAXY S25 FE 128GB-PRETO AM</t>
  </si>
  <si>
    <t>SAMSUNG GALAXY S25 FE 256GB</t>
  </si>
  <si>
    <t>SAMSUNG GALAXY S25 FE 256GB-AZUL MARINHO</t>
  </si>
  <si>
    <t>SAMSUNG GALAXY S25 FE 256GB-PRETO</t>
  </si>
  <si>
    <t>SAMSUNG GALAXY S25 FE 256GB-AZUL MAR. AM</t>
  </si>
  <si>
    <t>SAMSUNG GALAXY S25 FE 256GB-PRETO AM</t>
  </si>
  <si>
    <t>SAMSUNG GALAXY S25 FE 256GB-AZUL AM</t>
  </si>
  <si>
    <t>SAMSUNG GALAXY S25 FE 256GB-AZUL</t>
  </si>
  <si>
    <t>SAMSUNG GALAXY S26 256GB</t>
  </si>
  <si>
    <t>SAMSUNG GALAXY S26 256GB-BRANCO AM</t>
  </si>
  <si>
    <t>SAMSUNG GALAXY S26 256GB-BRANCO</t>
  </si>
  <si>
    <t>SAMSUNG GALAXY S26 256GB-PRETO AM</t>
  </si>
  <si>
    <t>SAMSUNG GALAXY S26 256GB-PRETO</t>
  </si>
  <si>
    <t>SAMSUNG GALAXY S26 256GB-VIOLETA AM</t>
  </si>
  <si>
    <t>SAMSUNG GALAXY S26 256GB-VIOLETA</t>
  </si>
  <si>
    <t>SAMSUNG GALAXY S26 512GB</t>
  </si>
  <si>
    <t>SAMSUNG GALAXY S26 512GB-PRETO AM</t>
  </si>
  <si>
    <t>SAMSUNG GALAXY S26 512GB-PRETO</t>
  </si>
  <si>
    <t>SAMSUNG GALAXY S26 512GB-VIOLETA AM</t>
  </si>
  <si>
    <t>SAMSUNG GALAXY S26 512GB-VIOLETA</t>
  </si>
  <si>
    <t>SAMSUNG GALAXY S26 512GB-BRANCO AM</t>
  </si>
  <si>
    <t>SAMSUNG GALAXY S26 512GB-BRANCO</t>
  </si>
  <si>
    <t>SAMSUNG GALAXY S26 PLUS 256GB</t>
  </si>
  <si>
    <t>SAMSUNG GALAXY S26 PLUS 256GB-PRETO</t>
  </si>
  <si>
    <t>SAMSUNG GALAXY S26 PLUS 256GB-PRETO AM</t>
  </si>
  <si>
    <t>SAMSUNG GALAXY S26 PLUS 256GB-VIOLETA</t>
  </si>
  <si>
    <t>SAMSUNG GALAXY S26 PLUS 256GB-VIOLETA AM</t>
  </si>
  <si>
    <t>SAMSUNG GALAXY S26 PLUS 512GB</t>
  </si>
  <si>
    <t>SAMSUNG GALAXY S26 PLUS 512GB-PRETO AM</t>
  </si>
  <si>
    <t>SAMSUNG GALAXY S26 PLUS 512GB-PRETO</t>
  </si>
  <si>
    <t>SAMSUNG GALAXY S26 PLUS 512GB-VIOLETA AM</t>
  </si>
  <si>
    <t>SAMSUNG GALAXY S26 PLUS 512GB-VIOLETA</t>
  </si>
  <si>
    <t>SAMSUNG GALAXY S26 ULTRA 256GB</t>
  </si>
  <si>
    <t>SAMSUNG GALAXY S26 ULTRA 256GB-BRANCO</t>
  </si>
  <si>
    <t>SAMSUNG GALAXY S26 ULTRA 256GB-BRANCO AM</t>
  </si>
  <si>
    <t>SAMSUNG GALAXY S26 ULTRA 256GB-PRETO</t>
  </si>
  <si>
    <t>SAMSUNG GALAXY S26 ULTRA 256GB-VIOLETA</t>
  </si>
  <si>
    <t>SAMSUNG GALAXY S26 ULTRA 256GB-VIOLET AM</t>
  </si>
  <si>
    <t>SAMSUNG GALAXY S26 ULTRA 256GB-PRETO AM</t>
  </si>
  <si>
    <t>SAMSUNG GALAXY S26 ULTRA 512GB</t>
  </si>
  <si>
    <t>SAMSUNG GALAXY S26 ULTRA 512GB-BRANCO AM</t>
  </si>
  <si>
    <t>SAMSUNG GALAXY S26 ULTRA 512GB-BRANCO</t>
  </si>
  <si>
    <t>SAMSUNG GALAXY S26 ULTRA 512GB-PRETO AM</t>
  </si>
  <si>
    <t>SAMSUNG GALAXY S26 ULTRA 512GB-PRETO</t>
  </si>
  <si>
    <t>SAMSUNG GALAXY S26 ULTRA 512GB-VIOLET AM</t>
  </si>
  <si>
    <t>SAMSUNG GALAXY S26 ULTRA 512GB-VIOLETA</t>
  </si>
  <si>
    <t>SAMSUNG GALAXY S26 FE 256GB</t>
  </si>
  <si>
    <t>SAMSUNG GALAXY S26 FE 256GB-GRAFITE</t>
  </si>
  <si>
    <t>SAMSUNG GALAXY S26 FE 256GB-GRAFITE AM</t>
  </si>
  <si>
    <t>SAMSUNG GALAXY S26 FE 256GB-VERDE CL</t>
  </si>
  <si>
    <t>SAMSUNG GALAXY S26 FE 256GB-VERDE CL AM</t>
  </si>
  <si>
    <t>SAMSUNG GALAXY Z FLIP6 256GB</t>
  </si>
  <si>
    <t>SAMSUNG GALAXY Z FLIP6 256GB-CINZA</t>
  </si>
  <si>
    <t>SAMSUNG GALAXY Z FLIP6 256GB-AZUL</t>
  </si>
  <si>
    <t>SAMSUNG GALAXY Z FLIP7 256GB</t>
  </si>
  <si>
    <t>SAMSUNG GALAXY Z FLIP7 256GB-AZUL</t>
  </si>
  <si>
    <t>SAMSUNG GALAXY Z FLIP7 512GB</t>
  </si>
  <si>
    <t>SAMSUNG GALAXY Z FLIP7 512GB-AZUL</t>
  </si>
  <si>
    <t>SAMSUNG GALAXY Z FLIP7 FE 256GB</t>
  </si>
  <si>
    <t>SAMSUNG GALAXY Z FLIP7 FE 256GB-PRETO</t>
  </si>
  <si>
    <t>SAMSUNG GALAXY Z FLIP8 5G 256GB</t>
  </si>
  <si>
    <t>SAMSUNG GALAXY Z FLIP8 5G 256GB-PRETO</t>
  </si>
  <si>
    <t>SAMSUNG GALAXY Z FLIP8 5G 256GB-ROSA</t>
  </si>
  <si>
    <t>SAMSUNG GALAXY Z FLIP8 5G 512GB</t>
  </si>
  <si>
    <t>SAMSUNG GALAXY Z FLIP8 5G 512GB-PRETO</t>
  </si>
  <si>
    <t>SAMSUNG GALAXY Z FLIP8 5G 512GB-ROSA</t>
  </si>
  <si>
    <t>SAMSUNG GALAXY Z FOLD6 512GB</t>
  </si>
  <si>
    <t>SAMSUNG GALAXY Z FOLD6 512GB-CINZA</t>
  </si>
  <si>
    <t>SAMSUNG GALAXY Z FOLD7 512GB</t>
  </si>
  <si>
    <t>SAMSUNG GALAXY Z FOLD7 512GB-PRETO</t>
  </si>
  <si>
    <t>SAMSUNG GALAXY Z FOLD7 1TB</t>
  </si>
  <si>
    <t>SAMSUNG GALAXY Z FOLD7 1TB-PRETO</t>
  </si>
  <si>
    <t>SAMSUNG GALAXY Z FOLD8 256GB</t>
  </si>
  <si>
    <t>SAMSUNG GALAXY Z FOLD8 256GB-LAVANDA</t>
  </si>
  <si>
    <t>SAMSUNG GALAXY Z FOLD8 256GB-PRETO</t>
  </si>
  <si>
    <t>SAMSUNG GALAXY Z FOLD8 512GB</t>
  </si>
  <si>
    <t>SAMSUNG GALAXY Z FOLD8 512GB-LAVANDA</t>
  </si>
  <si>
    <t>SAMSUNG GALAXY Z FOLD8 512GB-PRETO</t>
  </si>
  <si>
    <t>SAMSUNG GALAXY Z FOLD8 ULTRA 256GB</t>
  </si>
  <si>
    <t>SAMSUNG GALAXY Z FOLD8 ULTRA 256GB-PRETO</t>
  </si>
  <si>
    <t>SAMSUNG GALAXY Z FOLD8 ULTRA 256GB-ROXO</t>
  </si>
  <si>
    <t>SAMSUNG GALAXY Z FOLD8 ULTRA 512GB</t>
  </si>
  <si>
    <t>SAMSUNG GALAXY Z FOLD8 ULTRA 512GB-PRETO</t>
  </si>
  <si>
    <t>SAMSUNG GALAXY Z FOLD8 ULTRA 512GB-ROXO</t>
  </si>
  <si>
    <t>MULTILASER VITA 3G</t>
  </si>
  <si>
    <t>MULTILASER VITA 3G-PRETO</t>
  </si>
  <si>
    <t>3G</t>
  </si>
  <si>
    <t>POSITIVO P36</t>
  </si>
  <si>
    <t>POSITIVO P36-PRETO</t>
  </si>
  <si>
    <t>AP. FIXO MULTILASER RE504</t>
  </si>
  <si>
    <t>AP. FIXO MULTILASER RE504-PRETO</t>
  </si>
  <si>
    <t>MODEM WIFI ZTE MF79S 4G</t>
  </si>
  <si>
    <t>MODEM WIFI ZTE MF79S 4G-BRANCO</t>
  </si>
  <si>
    <t>ROTEADOR CPE ZTE MF283 4G</t>
  </si>
  <si>
    <t>ROTEADOR CPE WTTX ZTE MF253V</t>
  </si>
  <si>
    <t>ROTEADOR WTTX AMERINODE</t>
  </si>
  <si>
    <t>ROTEADOR WTTX WNC WLD71T5B</t>
  </si>
  <si>
    <t>TROPICO CPE INDOOR VLT-I-5</t>
  </si>
  <si>
    <t>FASTLINK VL718</t>
  </si>
  <si>
    <t>TABELA DE PREÇOS - ACESSÓRIOS</t>
  </si>
  <si>
    <t>Inclusão de Preço</t>
  </si>
  <si>
    <t>Alteração de Preço</t>
  </si>
  <si>
    <t>SMARTHOME</t>
  </si>
  <si>
    <t>BALANCA INTELIGENTE GEONAV</t>
  </si>
  <si>
    <t>BALANCA INTELIGENTE GEONAV-BRANCO</t>
  </si>
  <si>
    <t>31.12.9999</t>
  </si>
  <si>
    <t>GAMER</t>
  </si>
  <si>
    <t>BASE DE CARREGAMENTO SONY DUALSENSE</t>
  </si>
  <si>
    <t>BASE DE CARREGAMENTO SONY DUALSENSE-BRAN</t>
  </si>
  <si>
    <t>MUSICA</t>
  </si>
  <si>
    <t>CAIXA DE SOM BT JBL CHARGE 5</t>
  </si>
  <si>
    <t>CAIXA DE SOM BT JBL CHARGE 5-PRETO</t>
  </si>
  <si>
    <t>CAIXA DE SOM BT JBL CHARGE 6</t>
  </si>
  <si>
    <t>CAIXA DE SOM BT JBL CHARGE 6-AZUL</t>
  </si>
  <si>
    <t>CAIXA DE SOM BT JBL FLIP 6</t>
  </si>
  <si>
    <t>CAIXA DE SOM BT JBL FLIP 6-PRETO</t>
  </si>
  <si>
    <t>MÚSICA</t>
  </si>
  <si>
    <t>CAIXA DE SOM BT JBL FLIP 7</t>
  </si>
  <si>
    <t>CAIXA DE SOM BT JBL FLIP 7-PRETO</t>
  </si>
  <si>
    <t>CAIXA DE SOM BT JBL GO4</t>
  </si>
  <si>
    <t>CAIXA DE SOM BT JBL GO4-PRETO</t>
  </si>
  <si>
    <t>INFOTECH</t>
  </si>
  <si>
    <t>CAIXA DE SOM BT JBL GO5</t>
  </si>
  <si>
    <t>CAIXA DE SOM BT JBL GO5-PRETO</t>
  </si>
  <si>
    <t>CAIXA DE SOM JBL BOOMBOX 3</t>
  </si>
  <si>
    <t>CAIXA DE SOM JBL BOOMBOX 3-PRETO</t>
  </si>
  <si>
    <t>CAIXA DE SOM JBL BOOMBOX 3-PRETO AM</t>
  </si>
  <si>
    <t>CAIXA DE SOM</t>
  </si>
  <si>
    <t>CAIXA DE SOM JBL BOOMBOX 4</t>
  </si>
  <si>
    <t>CAIXA DE SOM JBL BOOMBOX 4-PRETO</t>
  </si>
  <si>
    <t>CAIXA DE SOM JBL BOOMBOX 4-PRETO AM</t>
  </si>
  <si>
    <t>CAIXA DE SOM JBL CLIP 5</t>
  </si>
  <si>
    <t>CAIXA DE SOM JBL CLIP 5-PRETO</t>
  </si>
  <si>
    <t>CAIXA DE SOM JBL ENCORE ESSENTIAL</t>
  </si>
  <si>
    <t>CAIXA DE SOM JBL ENCORE ESSENTIAL-PRE AM</t>
  </si>
  <si>
    <t>CAIXA DE SOM JBL ENCORE ESSENTIAL-PRETO</t>
  </si>
  <si>
    <t>CAIXA DE SOM JBL ENCORE ESSENTIAL 2</t>
  </si>
  <si>
    <t>CAIXA DE SOM JBL ENCORE ESSENTIAL 2-PRET</t>
  </si>
  <si>
    <t>CAIXA DE SOM JBL ENCORE 2 2MIC</t>
  </si>
  <si>
    <t>CAIXA DE SOM JBL ENCORE 2 2MIC-PRETO AM</t>
  </si>
  <si>
    <t>CAIXA JBL ENCORE ESSENTIAL 2</t>
  </si>
  <si>
    <t>CAIXA JBL ENCORE ESSENTIAL 2-PRETO AM</t>
  </si>
  <si>
    <t>CAIXA DE SOM JBL GO ESSENTIAL 2</t>
  </si>
  <si>
    <t>CAIXA DE SOM JBL GO ESSENTIAL 2-PRETO</t>
  </si>
  <si>
    <t>CAIXA DE SOM JBL GRIP 16W</t>
  </si>
  <si>
    <t>CAIXA DE SOM JBL GRIP 16W-PRETO</t>
  </si>
  <si>
    <t>CAIXA DE SOM JBL XTREME 4</t>
  </si>
  <si>
    <t>BASICO</t>
  </si>
  <si>
    <t>CAPA CLEAR GALAXY S24</t>
  </si>
  <si>
    <t>CAPA CLEAR GALAXY S24-TRANSPARENTE</t>
  </si>
  <si>
    <t>CAPA CLEAR GALAXY S24 PLUS</t>
  </si>
  <si>
    <t>CAPA CLEAR GALAXY S24 PLUS-TRANSPARENTE</t>
  </si>
  <si>
    <t>CAPA CLEAR GALAXY S24 ULTRA</t>
  </si>
  <si>
    <t>CAPA CLEAR GALAXY S24 ULTRA-TRANSPARENTE</t>
  </si>
  <si>
    <t>CAPA PROTECTIC COVER GALAXY S23 FE</t>
  </si>
  <si>
    <t>CAPA PROTECTIC COVER GALAXY S23 FE-TRANS</t>
  </si>
  <si>
    <t>CARREGADOR APPLE USB-C 20W</t>
  </si>
  <si>
    <t>CARREGADOR APPLE USB-C 20W-BRANCO</t>
  </si>
  <si>
    <t>CARREGADOR</t>
  </si>
  <si>
    <t>CARREGADOR APPLE USB-C 20W 2024</t>
  </si>
  <si>
    <t xml:space="preserve">CARREGADOR APPLE USB-C 20W 2024-BRANCO </t>
  </si>
  <si>
    <t>GAMES</t>
  </si>
  <si>
    <t>CONTROLE PS5 DUALSENSE 2026</t>
  </si>
  <si>
    <t>CONTROLE PS5 DUALSENSE 2026-BRANCO</t>
  </si>
  <si>
    <t>CONTROLE PS5 DUALSENSE 2026-AZUL</t>
  </si>
  <si>
    <t>CONTROLE PS5 DUALSENSE 2026-PRETO</t>
  </si>
  <si>
    <t>CONTROLE PS5 DUALSENSE 2026-CAMUFLADO</t>
  </si>
  <si>
    <t>CONTROLE SEM FIO PS5 DUALSENSE</t>
  </si>
  <si>
    <t>CONTROLE SEM FIO PS5 DUALSENSE-BRANCO</t>
  </si>
  <si>
    <t>CONTROLE SEM FIO PS5 DUALSENSE-PRETO</t>
  </si>
  <si>
    <t>CONTROLE SEM FIO PS5 DUALSENSE-CAMUFLADO</t>
  </si>
  <si>
    <t>CONTROLE SEM FIO PS5 DUALSENSE CHROMA INDIGO</t>
  </si>
  <si>
    <t>CONTROLE SEM FIO PS5 DUALSENSE-INDIGO</t>
  </si>
  <si>
    <t>CONTROLE SEM FIO XBOX SERIES</t>
  </si>
  <si>
    <t>CONTROLE SEM FIO XBOX SERIES-BRANCO</t>
  </si>
  <si>
    <t>GADGETS</t>
  </si>
  <si>
    <t>ESTABILIZADOR DJI OSMO MOBILE SE</t>
  </si>
  <si>
    <t>ESTABILIZADOR DJI OSMO MOBILE SE-CINZA</t>
  </si>
  <si>
    <t>FILME INSTAX MINI 10 FOTOS</t>
  </si>
  <si>
    <t>FILME INSTAX MINI 10 FOTOS-BRANCO</t>
  </si>
  <si>
    <t>FILME INSTAX MINI 20 FOTOS</t>
  </si>
  <si>
    <t>FILME INSTAX MINI 20 FOTOS-BRANCO</t>
  </si>
  <si>
    <t>FONE DE OUVIDO</t>
  </si>
  <si>
    <t>FONE APPLE EARPODS</t>
  </si>
  <si>
    <t>FONE APPLE EARPODS-BRANCO</t>
  </si>
  <si>
    <t>FONE APPLE EARPODS USBC</t>
  </si>
  <si>
    <t xml:space="preserve">FONE APPLE EARPODS USBC-BRANCO </t>
  </si>
  <si>
    <t>FONE APPLE EARPODS USBC 2024</t>
  </si>
  <si>
    <t>FONE APPLE EARPODS USBC 2024-BRANCO</t>
  </si>
  <si>
    <t>FONE COM FIO GEONAV USB-C</t>
  </si>
  <si>
    <t xml:space="preserve">FONE COM FIO GEONAV USB-C-CINZA </t>
  </si>
  <si>
    <t>FONE JBL TUNE 110</t>
  </si>
  <si>
    <t>FONE JBL TUNE 110-PRETO</t>
  </si>
  <si>
    <t>FONE JBL TUNE 125BT</t>
  </si>
  <si>
    <t>FONE JBL TUNE 125BT-PRETO</t>
  </si>
  <si>
    <t>FONE SAMSUNG GALAXY BUDS FE</t>
  </si>
  <si>
    <t>FONE SAMSUNG GALAXY BUDS FE-GRAFITE</t>
  </si>
  <si>
    <t>FONE TWS GALAXY BUDS 3 2024</t>
  </si>
  <si>
    <t>FONE TWS GALAXY BUDS 3 2024-BRANCO</t>
  </si>
  <si>
    <t>FONE TWS GALAXY BUDS 3 2024-CINZA</t>
  </si>
  <si>
    <t>FONE TWS GALAXY BUDS 3 FE</t>
  </si>
  <si>
    <t>FONE TWS GALAXY BUDS 3 FE-PRETO</t>
  </si>
  <si>
    <t>FONE TWS GALAXY BUDS 3 PRO 2024</t>
  </si>
  <si>
    <t>FONE TWS GALAXY BUDS 3 PRO 2024-CINZA</t>
  </si>
  <si>
    <t>FONE TWS GALAXY BUDS 4</t>
  </si>
  <si>
    <t>FONE TWS GALAXY BUDS 4-PRETO</t>
  </si>
  <si>
    <t>FONE TWS GALAXY BUDS 4 PRO</t>
  </si>
  <si>
    <t>FONE TWS GALAXY BUDS 4 PRO-PRETO</t>
  </si>
  <si>
    <t>FONE TWS GALAXY BUDS CORE</t>
  </si>
  <si>
    <t>FONE TWS GALAXY BUDS CORE-PRETO</t>
  </si>
  <si>
    <t>FONE TWS GALAXY BUDS CORE-BRANCO</t>
  </si>
  <si>
    <t>FONE TWS GALAXY BUDS FE 2024</t>
  </si>
  <si>
    <t>FONE TWS GALAXY BUDS FE 2024-GRAFITE</t>
  </si>
  <si>
    <t>FONE TWS JBL SENSE LITE</t>
  </si>
  <si>
    <t>FONE TWS JBL SENSE LITE-PRETO</t>
  </si>
  <si>
    <t>FONE TWS JBL WAVE BEAM 2</t>
  </si>
  <si>
    <t>FONE TWS JBL WAVE BEAM 2-PRETO</t>
  </si>
  <si>
    <t>FONE TWS JBL WAVE BUDS 2</t>
  </si>
  <si>
    <t>FONE TWS JBL WAVE BUDS 2-PRETO</t>
  </si>
  <si>
    <t>FONE TWS MOTO BUDS</t>
  </si>
  <si>
    <t>FONE TWS MOTO BUDS-AZUL ESCURO</t>
  </si>
  <si>
    <t>FONE TWS MOTO BUDS-AZUL CLARO</t>
  </si>
  <si>
    <t>FONE TWS MOTO BUDS 65 2024</t>
  </si>
  <si>
    <t>FONE TWS MOTO BUDS 65 2024-PRETO</t>
  </si>
  <si>
    <t>FONE TWS SAMSUNG GALAXY BUDS 3</t>
  </si>
  <si>
    <t>FONE TWS SAMSUNG GALAXY BUDS 3-BRANCO</t>
  </si>
  <si>
    <t>FONE TWS SAMSUNG GALAXY BUDS 3-CINZA</t>
  </si>
  <si>
    <t>FONE USB-C JBL 310C</t>
  </si>
  <si>
    <t>FONE USB-C JBL 310C-PRETO</t>
  </si>
  <si>
    <t>GALAXY BOOK4 I3 8GB 256GB</t>
  </si>
  <si>
    <t>GALAXY BOOK4 I3 8GB 256GB-GRAFITE</t>
  </si>
  <si>
    <t>HEADPHONE BT JBL TUNE 520</t>
  </si>
  <si>
    <t>HEADPHONE BT JBL TUNE 520-PRETO</t>
  </si>
  <si>
    <t>HEADPHONE BT JBL TUNE 530</t>
  </si>
  <si>
    <t>HEADPHONE BT JBL TUNE 530-PRETO</t>
  </si>
  <si>
    <t>HEADPHONE BT JBL TUNE 720</t>
  </si>
  <si>
    <t xml:space="preserve">HEADPHONE BT JBL TUNE 720-PRETO </t>
  </si>
  <si>
    <t>HEADPHONE BT JBL TUNE 730</t>
  </si>
  <si>
    <t>HEADPHONE BT JBL TUNE 730-PRETO</t>
  </si>
  <si>
    <t>HEADSET RAZER BLACKSHARK V2</t>
  </si>
  <si>
    <t>HEADSET RAZER BLACKSHARK V2-PRETO</t>
  </si>
  <si>
    <t>HEADSET SEM FIO SONY PULSE 3D</t>
  </si>
  <si>
    <t>HEADSET SEM FIO SONY PULSE 3D-BRANCO</t>
  </si>
  <si>
    <t>FOTOGRAFIA</t>
  </si>
  <si>
    <t>IMPRESSORA INSTAX MINI LINK 2</t>
  </si>
  <si>
    <t>IMPRESSORA INSTAX MINI LINK 2-BRANCO</t>
  </si>
  <si>
    <t>IMPRESSORA INSTAX MINI LINK 2 2024</t>
  </si>
  <si>
    <t>IMPRESSORA INSTAX MINI LINK 2 2024-BRANC</t>
  </si>
  <si>
    <t>CAPA</t>
  </si>
  <si>
    <t>KIT PROTECAO DEVIA IPHONE 18 PRO</t>
  </si>
  <si>
    <t>KIT PROTECAO DEVIA IPHONE 18 PRO-TRANSP</t>
  </si>
  <si>
    <t>KIT PROTECAO DEVIA IPHONE 18 PRO MAX</t>
  </si>
  <si>
    <t>KIT PROTECAO DEVIA IPHONE 18 PRO MAX-TRA</t>
  </si>
  <si>
    <t>LUMINARIA INTELIGENTE GEONAV</t>
  </si>
  <si>
    <t>LUMINARIA INTELIGENTE GEONAV-BRANCO</t>
  </si>
  <si>
    <t>MICROSOFT XBOX SERIES S 512GB</t>
  </si>
  <si>
    <t>MICROSOFT XBOX SERIES S 512GB-BRANCO</t>
  </si>
  <si>
    <t>OCULOS BT JBL SOUNDGEAR</t>
  </si>
  <si>
    <t>OCULOS BT JBL SOUNDGEAR-PEROLA</t>
  </si>
  <si>
    <t>OCULOS BT JBL SOUNDGEAR-ONIX</t>
  </si>
  <si>
    <t>POSITIVO VISION C15 4GB 128GB</t>
  </si>
  <si>
    <t>POSITIVO VISION C15 4GB 128GB-CINZA</t>
  </si>
  <si>
    <t>PS5 SLIM DIGI ASTRO BOT E GT7 2025</t>
  </si>
  <si>
    <t>PS5 SLIM DIGI ASTRO BOT E GT7 2025-BRANC</t>
  </si>
  <si>
    <t>PS5 SLIM DIGITAL 1TB 2 JOGOS</t>
  </si>
  <si>
    <t>PS5 SLIM DIGITAL 1TB 2 JOGOS-BRANCO</t>
  </si>
  <si>
    <t>PS5 SLIM DIGITAL 1TB 2 JOGOS 2025</t>
  </si>
  <si>
    <t>PS5 SLIM DIGITAL 1TB 2 JOGOS 2025-BRANCO</t>
  </si>
  <si>
    <t>PS5 SLIM DIGITAL ASTRO BOT E GT7</t>
  </si>
  <si>
    <t>PS5 SLIM DIGITAL ASTRO BOT E GT7-BRANCO</t>
  </si>
  <si>
    <t>PS5 SLIM DISK 1TB 2 JOGOS</t>
  </si>
  <si>
    <t>PS5 SLIM DISK 1TB 2 JOGOS-BRANCO</t>
  </si>
  <si>
    <t>PS5 SLIM DISK 1TB 2 JOGOS 2025</t>
  </si>
  <si>
    <t>PS5 SLIM DISK 1TB 2 JOGOS 2025-BRANCO</t>
  </si>
  <si>
    <t>PS5 SLIM DISK ASTRO BOT E GT7</t>
  </si>
  <si>
    <t>PS5 SLIM DISK ASTRO BOT E GT7-BRANCO</t>
  </si>
  <si>
    <t>PS5 SLIM DISK ASTRO BOT E GT7 2025</t>
  </si>
  <si>
    <t>PS5 SLIM DISK ASTRO BOT E GT7 2025-BRANC</t>
  </si>
  <si>
    <t>ROBÔ ASPIRADOR POSITIVO WI-FI</t>
  </si>
  <si>
    <t>SAMSUNG GALAXY FIT3</t>
  </si>
  <si>
    <t>SAMSUNG GALAXY FIT3-ROSE</t>
  </si>
  <si>
    <t>SAMSUNG GALAXY FIT3-GRAFITE</t>
  </si>
  <si>
    <t>SAMSUNG GALAXY FIT3 2025</t>
  </si>
  <si>
    <t>SAMSUNG GALAXY FIT3 2025-GRAFITE</t>
  </si>
  <si>
    <t>SAMSUNG GALAXY FIT3 2025-ROSE</t>
  </si>
  <si>
    <t>SAMSUNG GALAXY SMARTTAG 2</t>
  </si>
  <si>
    <t>TRACKER SAMSUNG GALAXY SMARTTAG 2-PRETO</t>
  </si>
  <si>
    <t>SAMSUNG GALAXY SMARTTAG 2-BRANCO </t>
  </si>
  <si>
    <t>SAMSUNG GALAXY SMARTTAG 2-PRETO</t>
  </si>
  <si>
    <t>SAMSUNG WATCH 7 BT 40MM</t>
  </si>
  <si>
    <t>SAMSUNG WATCH 7 BT 40MM-CREME</t>
  </si>
  <si>
    <t>SAMSUNG WATCH 7 BT 40MM-VERDE</t>
  </si>
  <si>
    <t>SAMSUNG WATCH 7 BT 44MM</t>
  </si>
  <si>
    <t>SAMSUNG WATCH 7 BT 44MM-VERDE</t>
  </si>
  <si>
    <t>SAMSUNG WATCH 7 BT 44MM-PRATA</t>
  </si>
  <si>
    <t>SAMSUNG WATCH 8 BT 40MM</t>
  </si>
  <si>
    <t>SAMSUNG WATCH 8 BT 40MM-GRAFITE</t>
  </si>
  <si>
    <t>SAMSUNG WATCH 8 BT 44MM</t>
  </si>
  <si>
    <t>SAMSUNG WATCH 8 BT 44MM-GRAFITE</t>
  </si>
  <si>
    <t>SAMSUNG WATCH 9 BT 40MM</t>
  </si>
  <si>
    <t>SAMSUNG WATCH 9 BT 44MM</t>
  </si>
  <si>
    <t>SENSOR DE MOVIMENTO GEONAV</t>
  </si>
  <si>
    <t>SENSOR DE MOVIMENTO GEONAV-BRANCO</t>
  </si>
  <si>
    <t>SMART CAMERA FULL HD GEONAV</t>
  </si>
  <si>
    <t>SMART CAMERA FULL HD GEONAV-BRANCO</t>
  </si>
  <si>
    <t>TECLADO RAZER CYNOSA LITE</t>
  </si>
  <si>
    <t>TECLADO RAZER CYNOSA LITE-PRETO</t>
  </si>
  <si>
    <t>TV SAMSUNG 50 CRYSTAL UHD U8600F</t>
  </si>
  <si>
    <t>TV SAMSUNG 50 CRYSTAL UHD U8600F-PRETA</t>
  </si>
  <si>
    <t>TV SAMSUNG VISION AI 50 QLED 2025</t>
  </si>
  <si>
    <t>TV SAMSUNG VISION AI 50 QLED 2025-PRETO</t>
  </si>
  <si>
    <t>TV SAMSUNG 50 MINI LED 4K UN50M75H</t>
  </si>
  <si>
    <t>TV SAMSUNG 50 MINI LED 4K UN50M75H-PRETO</t>
  </si>
  <si>
    <t>TV SAMSUNG 65 MINI LED 4K UN65M75H</t>
  </si>
  <si>
    <t>TV SAMSUNG 65 MINI LED 4K UN65M75H-PRETO</t>
  </si>
  <si>
    <t>ROTEADOR CPE 5G ZTE G5TS</t>
  </si>
  <si>
    <t>BOOST TRADE IN</t>
  </si>
  <si>
    <t>SMARTPHONES ELEGÍVEIS AO COMPRE E LEVE</t>
  </si>
  <si>
    <t>RELACIONAMENTO SMARTPHONES X PRODUTO &gt;&gt; (PRODUTOS USADOS NO COMPRE E LEVE)</t>
  </si>
  <si>
    <t>DE&gt;&gt;PARA: (TM X DESCRIÇÃO DOS PRODUTOS)</t>
  </si>
  <si>
    <t>CÓDIGO OFERTA</t>
  </si>
  <si>
    <t>TM SMART.</t>
  </si>
  <si>
    <t>DATA INÍCIO</t>
  </si>
  <si>
    <t>DATA FIM</t>
  </si>
  <si>
    <t>TM PROD. 1</t>
  </si>
  <si>
    <t>TM PROD. 2</t>
  </si>
  <si>
    <t>TM PROD. 3</t>
  </si>
  <si>
    <t>TM PROD. 4</t>
  </si>
  <si>
    <t>TM PROD. 5</t>
  </si>
  <si>
    <t>TM PROD. 6</t>
  </si>
  <si>
    <t>TM PROD. 7</t>
  </si>
  <si>
    <t>TM PROD. 8</t>
  </si>
  <si>
    <t>TM PROD. 9</t>
  </si>
  <si>
    <t>TM PROD. 10</t>
  </si>
  <si>
    <t>TM PROD. 11</t>
  </si>
  <si>
    <t>TM PROD. 12</t>
  </si>
  <si>
    <t>TM PROD. 13</t>
  </si>
  <si>
    <t>TM PROD. 14</t>
  </si>
  <si>
    <t>TM PROD. 15</t>
  </si>
  <si>
    <t>PREÇO AÇÃO COMPRE E LEVE</t>
  </si>
  <si>
    <t>085</t>
  </si>
  <si>
    <t>FONE TWS GALAXY BUDS 3 CORE</t>
  </si>
  <si>
    <t>FONE TWS GALAXY BUDS 3 CORE-PRETO</t>
  </si>
  <si>
    <t>FONE TWS GALAXY BUDS 3 CORE-BRANCO</t>
  </si>
  <si>
    <t>SAMSUNG GALAXY FIT3 2025-PRATA</t>
  </si>
  <si>
    <t>SAMSUNG WATCH 9 BT 40MM-PRETO</t>
  </si>
  <si>
    <t>SAMSUNG WATCH 9 BT 44MM-PRETO</t>
  </si>
  <si>
    <t>065</t>
  </si>
  <si>
    <t>086</t>
  </si>
  <si>
    <t>067</t>
  </si>
  <si>
    <t>087</t>
  </si>
  <si>
    <t>068</t>
  </si>
  <si>
    <t>082</t>
  </si>
  <si>
    <t>088</t>
  </si>
  <si>
    <t>FIDELIZAÇÃO DE APARELHO</t>
  </si>
  <si>
    <r>
      <t xml:space="preserve">Fidelização para </t>
    </r>
    <r>
      <rPr>
        <b/>
        <u/>
        <sz val="12"/>
        <color rgb="FF000000"/>
        <rFont val="TIM Sans"/>
      </rPr>
      <t>Novos Clientes</t>
    </r>
    <r>
      <rPr>
        <sz val="12"/>
        <color rgb="FF000000"/>
        <rFont val="TIM Sans"/>
      </rPr>
      <t xml:space="preserve"> (Gross ou Portabilidade) - A partir do </t>
    </r>
    <r>
      <rPr>
        <b/>
        <sz val="12"/>
        <color rgb="FF000000"/>
        <rFont val="TIM Sans"/>
      </rPr>
      <t>TIM Black A (15GB)</t>
    </r>
  </si>
  <si>
    <r>
      <t xml:space="preserve">Clientes da Base </t>
    </r>
    <r>
      <rPr>
        <u/>
        <sz val="12"/>
        <color rgb="FFFF0000"/>
        <rFont val="TIM Sans"/>
      </rPr>
      <t xml:space="preserve">a partir do </t>
    </r>
    <r>
      <rPr>
        <b/>
        <u/>
        <sz val="12"/>
        <color rgb="FFFF0000"/>
        <rFont val="TIM Sans"/>
      </rPr>
      <t>TIM Black A (15GB)</t>
    </r>
    <r>
      <rPr>
        <sz val="12"/>
        <color rgb="FFFF0000"/>
        <rFont val="TIM Sans"/>
      </rPr>
      <t xml:space="preserve"> estão elegíveis a fidelização de aparelho sem necessidade de upgrade/migração</t>
    </r>
  </si>
  <si>
    <r>
      <t xml:space="preserve">Demais Clientes da </t>
    </r>
    <r>
      <rPr>
        <b/>
        <sz val="12"/>
        <color rgb="FF000000"/>
        <rFont val="TIM Sans"/>
      </rPr>
      <t>Base TIM</t>
    </r>
    <r>
      <rPr>
        <sz val="12"/>
        <color rgb="FF000000"/>
        <rFont val="TIM Sans"/>
      </rPr>
      <t xml:space="preserve"> mediante </t>
    </r>
    <r>
      <rPr>
        <b/>
        <sz val="12"/>
        <color rgb="FF000000"/>
        <rFont val="TIM Sans"/>
      </rPr>
      <t>UPGRADE/MIGRAÇÃO</t>
    </r>
    <r>
      <rPr>
        <sz val="12"/>
        <color rgb="FF000000"/>
        <rFont val="TIM Sans"/>
      </rPr>
      <t xml:space="preserve"> de Plano de acordo com a Tabela abaixo:</t>
    </r>
  </si>
  <si>
    <t>PLANOS INDIVIDUAIS</t>
  </si>
  <si>
    <t>ELEGIBILIDADE A PARTIR DE 24/07/2020</t>
  </si>
  <si>
    <t>DE:</t>
  </si>
  <si>
    <t>PARA:</t>
  </si>
  <si>
    <t>18.08.2026</t>
  </si>
  <si>
    <t>Pré, Controle e Controle Express</t>
  </si>
  <si>
    <r>
      <t xml:space="preserve">TIM </t>
    </r>
    <r>
      <rPr>
        <b/>
        <sz val="10"/>
        <color rgb="FF0070C0"/>
        <rFont val="TIM Sans"/>
      </rPr>
      <t>Black A (15GB)</t>
    </r>
    <r>
      <rPr>
        <sz val="10"/>
        <color rgb="FF000000"/>
        <rFont val="TIM Sans"/>
      </rPr>
      <t xml:space="preserve"> ou Superior</t>
    </r>
  </si>
  <si>
    <t>Liberty Express +40 (R$79,9)</t>
  </si>
  <si>
    <t>Liberty Express +120 (R$99)</t>
  </si>
  <si>
    <t>Tim Pós A / Tim Pós A Express (3GB)</t>
  </si>
  <si>
    <t>TIM Pós B Promo</t>
  </si>
  <si>
    <t>TIM Pós B Express</t>
  </si>
  <si>
    <t>Liberty TOP</t>
  </si>
  <si>
    <r>
      <t xml:space="preserve">TIM </t>
    </r>
    <r>
      <rPr>
        <b/>
        <sz val="10"/>
        <color rgb="FF00B050"/>
        <rFont val="TIM Sans"/>
      </rPr>
      <t>Black B (20GB)</t>
    </r>
    <r>
      <rPr>
        <sz val="10"/>
        <color rgb="FF000000"/>
        <rFont val="TIM Sans"/>
      </rPr>
      <t xml:space="preserve"> ou Superior</t>
    </r>
  </si>
  <si>
    <t>Liberty 0</t>
  </si>
  <si>
    <t>Liberty +50</t>
  </si>
  <si>
    <t>Liberty +100</t>
  </si>
  <si>
    <t>Liberty +200</t>
  </si>
  <si>
    <t>Liberty +400</t>
  </si>
  <si>
    <r>
      <t xml:space="preserve">TIM </t>
    </r>
    <r>
      <rPr>
        <b/>
        <sz val="10"/>
        <color rgb="FFE26B0A"/>
        <rFont val="TIM Sans"/>
      </rPr>
      <t>Black Família A (30GB)</t>
    </r>
    <r>
      <rPr>
        <sz val="10"/>
        <color rgb="FF000000"/>
        <rFont val="TIM Sans"/>
      </rPr>
      <t xml:space="preserve"> ou Superior</t>
    </r>
  </si>
  <si>
    <t>Liberty +800</t>
  </si>
  <si>
    <r>
      <t>TIM</t>
    </r>
    <r>
      <rPr>
        <sz val="10"/>
        <color rgb="FF60497A"/>
        <rFont val="TIM Sans"/>
      </rPr>
      <t xml:space="preserve"> </t>
    </r>
    <r>
      <rPr>
        <b/>
        <sz val="10"/>
        <color rgb="FF60497A"/>
        <rFont val="TIM Sans"/>
      </rPr>
      <t>Black Família B (30GB)</t>
    </r>
    <r>
      <rPr>
        <sz val="10"/>
        <color rgb="FF60497A"/>
        <rFont val="TIM Sans"/>
      </rPr>
      <t xml:space="preserve"> </t>
    </r>
    <r>
      <rPr>
        <sz val="10"/>
        <color rgb="FF000000"/>
        <rFont val="TIM Sans"/>
      </rPr>
      <t>ou Superior</t>
    </r>
  </si>
  <si>
    <t>Básico e Infinity 0 a 160</t>
  </si>
  <si>
    <t>Infinity 300 e 600</t>
  </si>
  <si>
    <t>Infinity 1000</t>
  </si>
  <si>
    <t>TIM PÓS B (9GB)</t>
  </si>
  <si>
    <t>TIM PÓS B (9GB) ou Superior</t>
  </si>
  <si>
    <t>TIM PÓS SOCIAL (10GB)</t>
  </si>
  <si>
    <t>TIM PÓS SOCIAL (10GB) ou Superior</t>
  </si>
  <si>
    <t>TIM PÓS C (12GB)</t>
  </si>
  <si>
    <t>TIM PÓS C (12GB) ou Superior</t>
  </si>
  <si>
    <t>PLANOS FAMÍLIA</t>
  </si>
  <si>
    <t>ELEGIBILIDADE A PARTIR DE 01/06/2019</t>
  </si>
  <si>
    <t>OBS: O plano TIM Black Família Dependente só será elegível às migrações de Lock In de planos. Apenas o Titular dos planos será elegível às migrações com Lock In de Plano + Aparelho e de Lock In de Aparelho.</t>
  </si>
  <si>
    <t>ELEGIBILIDADE A PARTIR DE 23/03/2022</t>
  </si>
  <si>
    <t>Migração clientes da base planos antigos para o novo portfólio TIM Black Individual</t>
  </si>
  <si>
    <t>TIM PÓS B GIGA (9GB)</t>
  </si>
  <si>
    <r>
      <rPr>
        <b/>
        <sz val="10"/>
        <color theme="4"/>
        <rFont val="TIM Sans"/>
      </rPr>
      <t>TIM Black A</t>
    </r>
    <r>
      <rPr>
        <sz val="10"/>
        <color rgb="FF000000"/>
        <rFont val="TIM Sans"/>
      </rPr>
      <t xml:space="preserve"> ou Superior</t>
    </r>
  </si>
  <si>
    <t>TIM PÓS SOCIAL GIGA (10GB)</t>
  </si>
  <si>
    <r>
      <rPr>
        <b/>
        <sz val="10"/>
        <color theme="4"/>
        <rFont val="TIM Sans"/>
      </rPr>
      <t>TIM Black B</t>
    </r>
    <r>
      <rPr>
        <sz val="10"/>
        <color rgb="FF000000"/>
        <rFont val="TIM Sans"/>
      </rPr>
      <t xml:space="preserve"> ou Superior</t>
    </r>
  </si>
  <si>
    <t>TIM PÓS C GIGA (12GB)</t>
  </si>
  <si>
    <r>
      <rPr>
        <b/>
        <sz val="10"/>
        <color theme="4"/>
        <rFont val="TIM Sans"/>
      </rPr>
      <t>TIM Black C</t>
    </r>
    <r>
      <rPr>
        <sz val="10"/>
        <color rgb="FF000000"/>
        <rFont val="TIM Sans"/>
      </rPr>
      <t xml:space="preserve"> ou Superior</t>
    </r>
  </si>
  <si>
    <t>OFERTA PHYGITAL VÁLIDA PARA OS PLANOS REDES SOCIAIS E SMART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</si>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</sst>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/mm/yy;@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367BCE"/>
      <name val="Arial"/>
      <family val="2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1"/>
      <color rgb="FFEEF3F8"/>
      <name val="Calibri"/>
      <family val="2"/>
      <scheme val="minor"/>
    </font>
    <font>
      <b/>
      <sz val="12"/>
      <color indexed="9"/>
      <name val="Arial"/>
      <family val="2"/>
    </font>
    <font>
      <b/>
      <sz val="12"/>
      <color indexed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1"/>
      <name val="Arial"/>
      <family val="2"/>
    </font>
    <font>
      <sz val="10"/>
      <color theme="1"/>
      <name val="TIM Sans"/>
    </font>
    <font>
      <sz val="11"/>
      <color rgb="FF000000"/>
      <name val="Calibri"/>
      <family val="2"/>
    </font>
    <font>
      <sz val="10"/>
      <color theme="1"/>
      <name val="Times New Roman"/>
      <family val="1"/>
    </font>
    <font>
      <b/>
      <sz val="12"/>
      <color rgb="FFFFFFFF"/>
      <name val="TIM Sans"/>
    </font>
    <font>
      <sz val="12"/>
      <color rgb="FF000000"/>
      <name val="TIM Sans"/>
    </font>
    <font>
      <b/>
      <u/>
      <sz val="12"/>
      <color rgb="FF000000"/>
      <name val="TIM Sans"/>
    </font>
    <font>
      <b/>
      <sz val="12"/>
      <color rgb="FF000000"/>
      <name val="TIM Sans"/>
    </font>
    <font>
      <sz val="12"/>
      <color rgb="FFFF0000"/>
      <name val="TIM Sans"/>
    </font>
    <font>
      <u/>
      <sz val="12"/>
      <color rgb="FFFF0000"/>
      <name val="TIM Sans"/>
    </font>
    <font>
      <b/>
      <u/>
      <sz val="12"/>
      <color rgb="FFFF0000"/>
      <name val="TIM Sans"/>
    </font>
    <font>
      <b/>
      <sz val="10"/>
      <color rgb="FF000000"/>
      <name val="TIM Sans"/>
    </font>
    <font>
      <b/>
      <sz val="10"/>
      <color rgb="FF002060"/>
      <name val="TIM Sans"/>
    </font>
    <font>
      <sz val="10"/>
      <color rgb="FF000000"/>
      <name val="TIM Sans"/>
    </font>
    <font>
      <b/>
      <sz val="10"/>
      <color rgb="FF0070C0"/>
      <name val="TIM Sans"/>
    </font>
    <font>
      <b/>
      <sz val="10"/>
      <color rgb="FF00B050"/>
      <name val="TIM Sans"/>
    </font>
    <font>
      <b/>
      <sz val="10"/>
      <color rgb="FFE26B0A"/>
      <name val="TIM Sans"/>
    </font>
    <font>
      <sz val="10"/>
      <color rgb="FF60497A"/>
      <name val="TIM Sans"/>
    </font>
    <font>
      <b/>
      <sz val="10"/>
      <color rgb="FF60497A"/>
      <name val="TIM Sans"/>
    </font>
    <font>
      <b/>
      <sz val="10"/>
      <color theme="4"/>
      <name val="TIM Sans"/>
    </font>
    <font>
      <b/>
      <sz val="12"/>
      <color theme="1"/>
      <name val="Aptos"/>
      <family val="2"/>
    </font>
    <font>
      <sz val="11"/>
      <color rgb="FF156082"/>
      <name val="Aptos"/>
      <family val="2"/>
    </font>
  </fonts>
  <fills count="2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409D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D9D9D9"/>
      </left>
      <right style="medium">
        <color rgb="FFBFBFBF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F2F2F2"/>
      </right>
      <top/>
      <bottom style="medium">
        <color rgb="FFF2F2F2"/>
      </bottom>
      <diagonal/>
    </border>
    <border>
      <left/>
      <right style="medium">
        <color rgb="FFD9D9D9"/>
      </right>
      <top/>
      <bottom style="medium">
        <color rgb="FFF2F2F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203">
    <xf numFmtId="0" fontId="0" fillId="0" borderId="0" xfId="0"/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3" fontId="0" fillId="0" borderId="0" xfId="0" applyNumberFormat="1"/>
    <xf numFmtId="3" fontId="0" fillId="0" borderId="0" xfId="0" applyNumberFormat="1" applyAlignment="1">
      <alignment vertical="top" wrapText="1"/>
    </xf>
    <xf numFmtId="0" fontId="7" fillId="2" borderId="0" xfId="3" applyFont="1" applyFill="1"/>
    <xf numFmtId="0" fontId="8" fillId="0" borderId="0" xfId="3" applyFont="1"/>
    <xf numFmtId="0" fontId="9" fillId="3" borderId="0" xfId="3" applyFont="1" applyFill="1"/>
    <xf numFmtId="43" fontId="0" fillId="0" borderId="0" xfId="1" applyFont="1"/>
    <xf numFmtId="3" fontId="0" fillId="0" borderId="0" xfId="0" applyNumberFormat="1" applyAlignment="1">
      <alignment horizontal="center"/>
    </xf>
    <xf numFmtId="0" fontId="10" fillId="0" borderId="0" xfId="0" applyFont="1"/>
    <xf numFmtId="0" fontId="11" fillId="0" borderId="0" xfId="0" applyFont="1"/>
    <xf numFmtId="2" fontId="0" fillId="0" borderId="0" xfId="0" applyNumberFormat="1" applyAlignment="1">
      <alignment vertical="top" wrapText="1"/>
    </xf>
    <xf numFmtId="0" fontId="12" fillId="0" borderId="0" xfId="0" applyFont="1" applyAlignment="1">
      <alignment vertical="center"/>
    </xf>
    <xf numFmtId="4" fontId="0" fillId="0" borderId="0" xfId="0" applyNumberFormat="1" applyAlignment="1">
      <alignment vertical="top" wrapText="1"/>
    </xf>
    <xf numFmtId="0" fontId="13" fillId="0" borderId="0" xfId="0" applyFont="1" applyAlignment="1">
      <alignment horizontal="left"/>
    </xf>
    <xf numFmtId="0" fontId="14" fillId="0" borderId="0" xfId="3" applyFont="1"/>
    <xf numFmtId="0" fontId="5" fillId="0" borderId="0" xfId="3" applyFont="1"/>
    <xf numFmtId="0" fontId="15" fillId="0" borderId="0" xfId="0" applyFont="1"/>
    <xf numFmtId="3" fontId="16" fillId="0" borderId="0" xfId="0" applyNumberFormat="1" applyFont="1" applyAlignment="1">
      <alignment horizontal="left"/>
    </xf>
    <xf numFmtId="14" fontId="3" fillId="4" borderId="0" xfId="0" applyNumberFormat="1" applyFont="1" applyFill="1"/>
    <xf numFmtId="0" fontId="15" fillId="0" borderId="0" xfId="0" applyFont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5" fillId="7" borderId="3" xfId="0" applyFont="1" applyFill="1" applyBorder="1" applyAlignment="1">
      <alignment horizontal="center"/>
    </xf>
    <xf numFmtId="0" fontId="15" fillId="7" borderId="4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10" fontId="19" fillId="0" borderId="0" xfId="2" applyNumberFormat="1" applyFont="1"/>
    <xf numFmtId="0" fontId="8" fillId="0" borderId="5" xfId="3" applyFont="1" applyBorder="1" applyAlignment="1">
      <alignment horizontal="center" vertical="center" wrapText="1"/>
    </xf>
    <xf numFmtId="0" fontId="8" fillId="9" borderId="6" xfId="3" applyFont="1" applyFill="1" applyBorder="1" applyAlignment="1">
      <alignment horizontal="center" vertical="center" wrapText="1"/>
    </xf>
    <xf numFmtId="0" fontId="18" fillId="10" borderId="7" xfId="3" applyFont="1" applyFill="1" applyBorder="1" applyAlignment="1">
      <alignment horizontal="center" vertical="center" wrapText="1"/>
    </xf>
    <xf numFmtId="0" fontId="20" fillId="11" borderId="7" xfId="3" applyFont="1" applyFill="1" applyBorder="1" applyAlignment="1">
      <alignment horizontal="center" vertical="center" wrapText="1"/>
    </xf>
    <xf numFmtId="0" fontId="15" fillId="12" borderId="7" xfId="3" applyFont="1" applyFill="1" applyBorder="1" applyAlignment="1">
      <alignment horizontal="center" vertical="center" wrapText="1"/>
    </xf>
    <xf numFmtId="0" fontId="15" fillId="12" borderId="5" xfId="3" applyFont="1" applyFill="1" applyBorder="1" applyAlignment="1">
      <alignment horizontal="center" vertical="center" wrapText="1"/>
    </xf>
    <xf numFmtId="0" fontId="17" fillId="13" borderId="8" xfId="3" applyFont="1" applyFill="1" applyBorder="1" applyAlignment="1">
      <alignment horizontal="center" vertical="center" wrapText="1"/>
    </xf>
    <xf numFmtId="0" fontId="20" fillId="14" borderId="8" xfId="3" applyFont="1" applyFill="1" applyBorder="1" applyAlignment="1">
      <alignment horizontal="center" vertical="center" wrapText="1"/>
    </xf>
    <xf numFmtId="0" fontId="20" fillId="15" borderId="8" xfId="3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7" borderId="8" xfId="3" applyFont="1" applyFill="1" applyBorder="1" applyAlignment="1">
      <alignment horizontal="center" vertical="center" wrapText="1"/>
    </xf>
    <xf numFmtId="0" fontId="15" fillId="7" borderId="0" xfId="3" applyFont="1" applyFill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20" fillId="0" borderId="0" xfId="3" applyFont="1" applyAlignment="1">
      <alignment horizontal="center" vertical="center" wrapText="1"/>
    </xf>
    <xf numFmtId="49" fontId="20" fillId="11" borderId="10" xfId="3" applyNumberFormat="1" applyFont="1" applyFill="1" applyBorder="1" applyAlignment="1">
      <alignment horizontal="center" vertical="center" wrapText="1"/>
    </xf>
    <xf numFmtId="49" fontId="20" fillId="11" borderId="11" xfId="3" applyNumberFormat="1" applyFont="1" applyFill="1" applyBorder="1" applyAlignment="1">
      <alignment horizontal="center" vertical="center" wrapText="1"/>
    </xf>
    <xf numFmtId="49" fontId="18" fillId="16" borderId="5" xfId="3" applyNumberFormat="1" applyFont="1" applyFill="1" applyBorder="1" applyAlignment="1">
      <alignment horizontal="center" vertical="center" wrapText="1"/>
    </xf>
    <xf numFmtId="0" fontId="18" fillId="0" borderId="12" xfId="3" applyFont="1" applyBorder="1" applyAlignment="1">
      <alignment vertical="center"/>
    </xf>
    <xf numFmtId="0" fontId="21" fillId="0" borderId="12" xfId="3" applyFont="1" applyBorder="1" applyAlignment="1">
      <alignment horizontal="center" vertical="center"/>
    </xf>
    <xf numFmtId="0" fontId="7" fillId="0" borderId="13" xfId="3" applyFont="1" applyBorder="1"/>
    <xf numFmtId="49" fontId="7" fillId="0" borderId="14" xfId="3" applyNumberFormat="1" applyFont="1" applyBorder="1"/>
    <xf numFmtId="3" fontId="7" fillId="0" borderId="13" xfId="3" applyNumberFormat="1" applyFont="1" applyBorder="1" applyAlignment="1">
      <alignment horizontal="center"/>
    </xf>
    <xf numFmtId="3" fontId="7" fillId="0" borderId="12" xfId="3" applyNumberFormat="1" applyFont="1" applyBorder="1" applyAlignment="1">
      <alignment horizontal="center"/>
    </xf>
    <xf numFmtId="3" fontId="7" fillId="0" borderId="0" xfId="3" applyNumberFormat="1" applyFont="1" applyAlignment="1">
      <alignment horizontal="center"/>
    </xf>
    <xf numFmtId="14" fontId="7" fillId="0" borderId="15" xfId="3" applyNumberFormat="1" applyFont="1" applyBorder="1" applyAlignment="1">
      <alignment horizontal="right"/>
    </xf>
    <xf numFmtId="0" fontId="22" fillId="0" borderId="16" xfId="0" applyFont="1" applyBorder="1" applyAlignment="1">
      <alignment horizontal="center"/>
    </xf>
    <xf numFmtId="43" fontId="0" fillId="0" borderId="12" xfId="1" applyFont="1" applyBorder="1"/>
    <xf numFmtId="43" fontId="0" fillId="0" borderId="17" xfId="1" applyFont="1" applyBorder="1"/>
    <xf numFmtId="43" fontId="0" fillId="0" borderId="12" xfId="1" applyFont="1" applyFill="1" applyBorder="1"/>
    <xf numFmtId="43" fontId="0" fillId="0" borderId="17" xfId="1" applyFont="1" applyFill="1" applyBorder="1"/>
    <xf numFmtId="0" fontId="17" fillId="0" borderId="12" xfId="3" applyFont="1" applyBorder="1" applyAlignment="1">
      <alignment vertical="center"/>
    </xf>
    <xf numFmtId="0" fontId="7" fillId="0" borderId="14" xfId="3" applyFont="1" applyBorder="1"/>
    <xf numFmtId="49" fontId="7" fillId="0" borderId="18" xfId="3" applyNumberFormat="1" applyFont="1" applyBorder="1"/>
    <xf numFmtId="0" fontId="7" fillId="17" borderId="13" xfId="3" applyFont="1" applyFill="1" applyBorder="1"/>
    <xf numFmtId="0" fontId="7" fillId="0" borderId="18" xfId="3" applyFont="1" applyBorder="1"/>
    <xf numFmtId="0" fontId="7" fillId="0" borderId="13" xfId="3" applyFont="1" applyBorder="1" applyAlignment="1">
      <alignment horizontal="left" indent="1"/>
    </xf>
    <xf numFmtId="49" fontId="7" fillId="0" borderId="12" xfId="3" applyNumberFormat="1" applyFont="1" applyBorder="1"/>
    <xf numFmtId="0" fontId="7" fillId="0" borderId="19" xfId="3" applyFont="1" applyBorder="1"/>
    <xf numFmtId="0" fontId="7" fillId="0" borderId="12" xfId="3" applyFont="1" applyBorder="1"/>
    <xf numFmtId="0" fontId="7" fillId="0" borderId="15" xfId="3" applyFont="1" applyBorder="1"/>
    <xf numFmtId="0" fontId="7" fillId="10" borderId="15" xfId="3" applyFont="1" applyFill="1" applyBorder="1"/>
    <xf numFmtId="3" fontId="7" fillId="10" borderId="12" xfId="3" applyNumberFormat="1" applyFont="1" applyFill="1" applyBorder="1" applyAlignment="1">
      <alignment horizontal="center"/>
    </xf>
    <xf numFmtId="0" fontId="7" fillId="0" borderId="20" xfId="3" applyFont="1" applyBorder="1"/>
    <xf numFmtId="0" fontId="7" fillId="0" borderId="21" xfId="3" applyFont="1" applyBorder="1"/>
    <xf numFmtId="3" fontId="7" fillId="0" borderId="20" xfId="3" applyNumberFormat="1" applyFont="1" applyBorder="1" applyAlignment="1">
      <alignment horizontal="center"/>
    </xf>
    <xf numFmtId="14" fontId="7" fillId="0" borderId="21" xfId="3" applyNumberFormat="1" applyFont="1" applyBorder="1" applyAlignment="1">
      <alignment horizontal="right"/>
    </xf>
    <xf numFmtId="0" fontId="22" fillId="0" borderId="22" xfId="0" applyFont="1" applyBorder="1" applyAlignment="1">
      <alignment horizontal="center"/>
    </xf>
    <xf numFmtId="43" fontId="0" fillId="0" borderId="20" xfId="1" applyFont="1" applyBorder="1"/>
    <xf numFmtId="43" fontId="0" fillId="0" borderId="23" xfId="1" applyFont="1" applyBorder="1"/>
    <xf numFmtId="0" fontId="17" fillId="0" borderId="13" xfId="3" applyFont="1" applyBorder="1" applyAlignment="1">
      <alignment vertical="center"/>
    </xf>
    <xf numFmtId="0" fontId="21" fillId="0" borderId="13" xfId="3" applyFont="1" applyBorder="1" applyAlignment="1">
      <alignment horizontal="center" vertical="center"/>
    </xf>
    <xf numFmtId="3" fontId="7" fillId="0" borderId="14" xfId="3" applyNumberFormat="1" applyFont="1" applyBorder="1" applyAlignment="1">
      <alignment horizontal="center"/>
    </xf>
    <xf numFmtId="3" fontId="22" fillId="0" borderId="13" xfId="0" applyNumberFormat="1" applyFont="1" applyBorder="1" applyAlignment="1">
      <alignment horizontal="center"/>
    </xf>
    <xf numFmtId="3" fontId="7" fillId="0" borderId="19" xfId="3" applyNumberFormat="1" applyFont="1" applyBorder="1" applyAlignment="1">
      <alignment horizontal="center"/>
    </xf>
    <xf numFmtId="14" fontId="7" fillId="0" borderId="14" xfId="3" applyNumberFormat="1" applyFont="1" applyBorder="1" applyAlignment="1">
      <alignment horizontal="right"/>
    </xf>
    <xf numFmtId="0" fontId="22" fillId="0" borderId="24" xfId="0" applyFont="1" applyBorder="1" applyAlignment="1">
      <alignment horizontal="center"/>
    </xf>
    <xf numFmtId="3" fontId="22" fillId="0" borderId="12" xfId="0" applyNumberFormat="1" applyFont="1" applyBorder="1" applyAlignment="1">
      <alignment horizontal="center"/>
    </xf>
    <xf numFmtId="0" fontId="17" fillId="0" borderId="20" xfId="3" applyFont="1" applyBorder="1" applyAlignment="1">
      <alignment vertical="center"/>
    </xf>
    <xf numFmtId="0" fontId="21" fillId="0" borderId="20" xfId="3" applyFont="1" applyBorder="1" applyAlignment="1">
      <alignment horizontal="center" vertical="center"/>
    </xf>
    <xf numFmtId="49" fontId="7" fillId="0" borderId="21" xfId="3" applyNumberFormat="1" applyFont="1" applyBorder="1"/>
    <xf numFmtId="3" fontId="7" fillId="0" borderId="21" xfId="3" applyNumberFormat="1" applyFont="1" applyBorder="1" applyAlignment="1">
      <alignment horizontal="right"/>
    </xf>
    <xf numFmtId="0" fontId="22" fillId="0" borderId="25" xfId="0" applyFont="1" applyBorder="1" applyAlignment="1">
      <alignment horizontal="center"/>
    </xf>
    <xf numFmtId="49" fontId="7" fillId="0" borderId="13" xfId="3" applyNumberFormat="1" applyFont="1" applyBorder="1"/>
    <xf numFmtId="3" fontId="7" fillId="0" borderId="13" xfId="1" applyNumberFormat="1" applyFont="1" applyFill="1" applyBorder="1" applyAlignment="1">
      <alignment horizontal="center"/>
    </xf>
    <xf numFmtId="43" fontId="7" fillId="0" borderId="13" xfId="1" applyFont="1" applyFill="1" applyBorder="1" applyAlignment="1">
      <alignment horizontal="center"/>
    </xf>
    <xf numFmtId="0" fontId="7" fillId="0" borderId="23" xfId="3" applyFont="1" applyBorder="1"/>
    <xf numFmtId="3" fontId="7" fillId="0" borderId="20" xfId="1" applyNumberFormat="1" applyFont="1" applyFill="1" applyBorder="1" applyAlignment="1">
      <alignment horizontal="center"/>
    </xf>
    <xf numFmtId="43" fontId="7" fillId="0" borderId="20" xfId="1" applyFont="1" applyFill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7" fillId="0" borderId="0" xfId="3" applyFont="1"/>
    <xf numFmtId="0" fontId="17" fillId="0" borderId="0" xfId="0" applyFont="1"/>
    <xf numFmtId="0" fontId="0" fillId="18" borderId="0" xfId="0" applyFill="1"/>
    <xf numFmtId="0" fontId="0" fillId="10" borderId="0" xfId="0" applyFill="1"/>
    <xf numFmtId="0" fontId="17" fillId="6" borderId="4" xfId="0" applyFont="1" applyFill="1" applyBorder="1" applyAlignment="1">
      <alignment horizontal="center"/>
    </xf>
    <xf numFmtId="0" fontId="18" fillId="0" borderId="5" xfId="3" applyFont="1" applyBorder="1" applyAlignment="1">
      <alignment horizontal="center" vertical="center" wrapText="1"/>
    </xf>
    <xf numFmtId="0" fontId="18" fillId="0" borderId="27" xfId="3" applyFont="1" applyBorder="1" applyAlignment="1">
      <alignment horizontal="center" vertical="center" wrapText="1"/>
    </xf>
    <xf numFmtId="0" fontId="18" fillId="0" borderId="6" xfId="3" applyFont="1" applyBorder="1" applyAlignment="1">
      <alignment horizontal="center" vertical="center" wrapText="1"/>
    </xf>
    <xf numFmtId="0" fontId="17" fillId="13" borderId="7" xfId="3" applyFont="1" applyFill="1" applyBorder="1" applyAlignment="1">
      <alignment horizontal="center" vertical="center" wrapText="1"/>
    </xf>
    <xf numFmtId="0" fontId="17" fillId="13" borderId="5" xfId="3" applyFont="1" applyFill="1" applyBorder="1" applyAlignment="1">
      <alignment horizontal="center" vertical="center" wrapText="1"/>
    </xf>
    <xf numFmtId="0" fontId="20" fillId="14" borderId="7" xfId="3" applyFont="1" applyFill="1" applyBorder="1" applyAlignment="1">
      <alignment horizontal="center" vertical="center" wrapText="1"/>
    </xf>
    <xf numFmtId="49" fontId="20" fillId="11" borderId="28" xfId="3" applyNumberFormat="1" applyFont="1" applyFill="1" applyBorder="1" applyAlignment="1">
      <alignment horizontal="center" vertical="center" wrapText="1"/>
    </xf>
    <xf numFmtId="0" fontId="18" fillId="0" borderId="0" xfId="3" applyFont="1" applyAlignment="1">
      <alignment horizontal="center" vertical="center" wrapText="1"/>
    </xf>
    <xf numFmtId="0" fontId="22" fillId="0" borderId="29" xfId="0" applyFont="1" applyBorder="1"/>
    <xf numFmtId="0" fontId="7" fillId="0" borderId="29" xfId="0" applyFont="1" applyBorder="1" applyAlignment="1">
      <alignment horizontal="right" vertical="center"/>
    </xf>
    <xf numFmtId="0" fontId="7" fillId="0" borderId="29" xfId="0" applyFont="1" applyBorder="1" applyAlignment="1">
      <alignment horizontal="left" vertical="center"/>
    </xf>
    <xf numFmtId="164" fontId="23" fillId="0" borderId="29" xfId="1" applyNumberFormat="1" applyFont="1" applyFill="1" applyBorder="1" applyAlignment="1">
      <alignment horizontal="center" vertical="center"/>
    </xf>
    <xf numFmtId="164" fontId="7" fillId="0" borderId="29" xfId="1" applyNumberFormat="1" applyFont="1" applyFill="1" applyBorder="1" applyAlignment="1">
      <alignment vertical="center"/>
    </xf>
    <xf numFmtId="164" fontId="7" fillId="0" borderId="29" xfId="1" applyNumberFormat="1" applyFont="1" applyFill="1" applyBorder="1" applyAlignment="1">
      <alignment horizontal="center" vertical="center"/>
    </xf>
    <xf numFmtId="14" fontId="7" fillId="0" borderId="29" xfId="3" applyNumberFormat="1" applyFont="1" applyBorder="1"/>
    <xf numFmtId="0" fontId="22" fillId="0" borderId="29" xfId="0" applyFont="1" applyBorder="1" applyAlignment="1">
      <alignment horizontal="left" vertical="center"/>
    </xf>
    <xf numFmtId="0" fontId="7" fillId="0" borderId="29" xfId="0" applyFont="1" applyBorder="1"/>
    <xf numFmtId="164" fontId="22" fillId="0" borderId="29" xfId="1" applyNumberFormat="1" applyFont="1" applyFill="1" applyBorder="1"/>
    <xf numFmtId="0" fontId="22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right" vertical="center"/>
    </xf>
    <xf numFmtId="0" fontId="22" fillId="0" borderId="4" xfId="0" applyFont="1" applyBorder="1"/>
    <xf numFmtId="164" fontId="23" fillId="0" borderId="4" xfId="1" applyNumberFormat="1" applyFont="1" applyFill="1" applyBorder="1" applyAlignment="1">
      <alignment horizontal="center" vertical="center"/>
    </xf>
    <xf numFmtId="164" fontId="7" fillId="0" borderId="4" xfId="1" applyNumberFormat="1" applyFont="1" applyFill="1" applyBorder="1" applyAlignment="1">
      <alignment vertical="center"/>
    </xf>
    <xf numFmtId="164" fontId="22" fillId="0" borderId="4" xfId="1" applyNumberFormat="1" applyFont="1" applyFill="1" applyBorder="1"/>
    <xf numFmtId="0" fontId="7" fillId="0" borderId="4" xfId="0" applyFont="1" applyBorder="1" applyAlignment="1">
      <alignment horizontal="left" vertical="center"/>
    </xf>
    <xf numFmtId="164" fontId="7" fillId="0" borderId="4" xfId="1" applyNumberFormat="1" applyFont="1" applyFill="1" applyBorder="1" applyAlignment="1">
      <alignment horizontal="center" vertical="center"/>
    </xf>
    <xf numFmtId="164" fontId="22" fillId="0" borderId="0" xfId="1" applyNumberFormat="1" applyFont="1" applyFill="1" applyBorder="1"/>
    <xf numFmtId="0" fontId="22" fillId="19" borderId="4" xfId="0" applyFont="1" applyFill="1" applyBorder="1"/>
    <xf numFmtId="164" fontId="7" fillId="0" borderId="4" xfId="1" applyNumberFormat="1" applyFont="1" applyFill="1" applyBorder="1"/>
    <xf numFmtId="164" fontId="7" fillId="0" borderId="29" xfId="1" applyNumberFormat="1" applyFont="1" applyFill="1" applyBorder="1"/>
    <xf numFmtId="0" fontId="22" fillId="0" borderId="4" xfId="0" applyFont="1" applyBorder="1" applyAlignment="1">
      <alignment horizontal="right"/>
    </xf>
    <xf numFmtId="164" fontId="7" fillId="0" borderId="0" xfId="1" applyNumberFormat="1" applyFont="1" applyFill="1" applyBorder="1" applyAlignment="1">
      <alignment vertical="center"/>
    </xf>
    <xf numFmtId="0" fontId="22" fillId="19" borderId="4" xfId="0" applyFont="1" applyFill="1" applyBorder="1" applyAlignment="1">
      <alignment horizontal="left" vertical="center"/>
    </xf>
    <xf numFmtId="3" fontId="7" fillId="0" borderId="4" xfId="3" applyNumberFormat="1" applyFont="1" applyBorder="1" applyAlignment="1">
      <alignment horizontal="right"/>
    </xf>
    <xf numFmtId="0" fontId="22" fillId="0" borderId="4" xfId="0" applyFont="1" applyBorder="1" applyAlignment="1">
      <alignment vertical="center"/>
    </xf>
    <xf numFmtId="164" fontId="6" fillId="0" borderId="0" xfId="1" applyNumberFormat="1" applyFont="1" applyFill="1" applyBorder="1" applyAlignment="1">
      <alignment horizontal="center" vertical="center"/>
    </xf>
    <xf numFmtId="0" fontId="22" fillId="20" borderId="4" xfId="0" applyFont="1" applyFill="1" applyBorder="1"/>
    <xf numFmtId="0" fontId="0" fillId="0" borderId="4" xfId="0" applyBorder="1"/>
    <xf numFmtId="49" fontId="20" fillId="11" borderId="30" xfId="3" applyNumberFormat="1" applyFont="1" applyFill="1" applyBorder="1" applyAlignment="1">
      <alignment horizontal="center" vertical="center" wrapText="1"/>
    </xf>
    <xf numFmtId="0" fontId="22" fillId="0" borderId="12" xfId="0" applyFont="1" applyBorder="1" applyAlignment="1">
      <alignment horizontal="center"/>
    </xf>
    <xf numFmtId="49" fontId="7" fillId="18" borderId="14" xfId="3" applyNumberFormat="1" applyFont="1" applyFill="1" applyBorder="1"/>
    <xf numFmtId="3" fontId="7" fillId="18" borderId="13" xfId="3" applyNumberFormat="1" applyFont="1" applyFill="1" applyBorder="1" applyAlignment="1">
      <alignment horizontal="center"/>
    </xf>
    <xf numFmtId="3" fontId="7" fillId="0" borderId="31" xfId="3" applyNumberFormat="1" applyFont="1" applyBorder="1" applyAlignment="1">
      <alignment horizontal="center"/>
    </xf>
    <xf numFmtId="0" fontId="18" fillId="0" borderId="20" xfId="3" applyFont="1" applyBorder="1" applyAlignment="1">
      <alignment vertical="center"/>
    </xf>
    <xf numFmtId="14" fontId="7" fillId="0" borderId="20" xfId="3" applyNumberFormat="1" applyFont="1" applyBorder="1" applyAlignment="1">
      <alignment horizontal="right"/>
    </xf>
    <xf numFmtId="0" fontId="22" fillId="0" borderId="20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3" fontId="7" fillId="0" borderId="14" xfId="3" applyNumberFormat="1" applyFont="1" applyBorder="1" applyAlignment="1">
      <alignment horizontal="right"/>
    </xf>
    <xf numFmtId="3" fontId="7" fillId="0" borderId="15" xfId="3" applyNumberFormat="1" applyFont="1" applyBorder="1" applyAlignment="1">
      <alignment horizontal="right"/>
    </xf>
    <xf numFmtId="0" fontId="0" fillId="0" borderId="32" xfId="0" applyBorder="1"/>
    <xf numFmtId="164" fontId="7" fillId="0" borderId="1" xfId="1" applyNumberFormat="1" applyFont="1" applyFill="1" applyBorder="1"/>
    <xf numFmtId="3" fontId="7" fillId="0" borderId="4" xfId="3" applyNumberFormat="1" applyFont="1" applyBorder="1" applyAlignment="1">
      <alignment horizontal="center"/>
    </xf>
    <xf numFmtId="0" fontId="0" fillId="0" borderId="29" xfId="0" applyBorder="1"/>
    <xf numFmtId="14" fontId="7" fillId="0" borderId="4" xfId="3" applyNumberFormat="1" applyFont="1" applyBorder="1"/>
    <xf numFmtId="164" fontId="23" fillId="0" borderId="1" xfId="1" applyNumberFormat="1" applyFont="1" applyFill="1" applyBorder="1" applyAlignment="1">
      <alignment horizontal="center" vertical="center"/>
    </xf>
    <xf numFmtId="164" fontId="0" fillId="0" borderId="0" xfId="0" applyNumberFormat="1"/>
    <xf numFmtId="0" fontId="2" fillId="21" borderId="0" xfId="0" applyFont="1" applyFill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21" borderId="2" xfId="0" applyFont="1" applyFill="1" applyBorder="1" applyAlignment="1">
      <alignment horizontal="center" vertical="center"/>
    </xf>
    <xf numFmtId="0" fontId="2" fillId="21" borderId="3" xfId="0" applyFont="1" applyFill="1" applyBorder="1" applyAlignment="1">
      <alignment horizontal="center" vertical="center"/>
    </xf>
    <xf numFmtId="0" fontId="4" fillId="22" borderId="29" xfId="0" applyFont="1" applyFill="1" applyBorder="1" applyAlignment="1">
      <alignment horizontal="center"/>
    </xf>
    <xf numFmtId="14" fontId="4" fillId="22" borderId="29" xfId="0" applyNumberFormat="1" applyFont="1" applyFill="1" applyBorder="1" applyAlignment="1">
      <alignment horizontal="center"/>
    </xf>
    <xf numFmtId="0" fontId="4" fillId="22" borderId="4" xfId="0" applyFont="1" applyFill="1" applyBorder="1" applyAlignment="1">
      <alignment horizontal="center"/>
    </xf>
    <xf numFmtId="49" fontId="10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/>
    <xf numFmtId="165" fontId="10" fillId="0" borderId="4" xfId="0" applyNumberFormat="1" applyFont="1" applyBorder="1" applyAlignment="1">
      <alignment horizontal="center"/>
    </xf>
    <xf numFmtId="0" fontId="10" fillId="0" borderId="4" xfId="1" applyNumberFormat="1" applyFont="1" applyFill="1" applyBorder="1" applyAlignment="1">
      <alignment horizontal="center"/>
    </xf>
    <xf numFmtId="164" fontId="10" fillId="0" borderId="4" xfId="1" applyNumberFormat="1" applyFont="1" applyFill="1" applyBorder="1" applyAlignment="1">
      <alignment horizontal="center"/>
    </xf>
    <xf numFmtId="43" fontId="0" fillId="0" borderId="4" xfId="1" applyFont="1" applyFill="1" applyBorder="1" applyAlignment="1" applyProtection="1">
      <alignment horizontal="center"/>
      <protection locked="0"/>
    </xf>
    <xf numFmtId="43" fontId="10" fillId="0" borderId="4" xfId="1" applyFont="1" applyFill="1" applyBorder="1"/>
    <xf numFmtId="0" fontId="24" fillId="0" borderId="4" xfId="0" applyFont="1" applyBorder="1" applyAlignment="1">
      <alignment horizontal="right" vertical="center"/>
    </xf>
    <xf numFmtId="49" fontId="10" fillId="0" borderId="29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43" fontId="0" fillId="0" borderId="4" xfId="1" applyFont="1" applyFill="1" applyBorder="1" applyAlignment="1">
      <alignment horizontal="center"/>
    </xf>
    <xf numFmtId="0" fontId="0" fillId="0" borderId="0" xfId="0" applyAlignment="1">
      <alignment vertical="center"/>
    </xf>
    <xf numFmtId="0" fontId="25" fillId="0" borderId="0" xfId="0" applyFont="1"/>
    <xf numFmtId="0" fontId="26" fillId="0" borderId="0" xfId="0" applyFont="1" applyAlignment="1">
      <alignment vertical="center"/>
    </xf>
    <xf numFmtId="0" fontId="27" fillId="0" borderId="0" xfId="0" applyFont="1"/>
    <xf numFmtId="0" fontId="27" fillId="0" borderId="0" xfId="0" applyFont="1"/>
    <xf numFmtId="0" fontId="28" fillId="23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5" fillId="10" borderId="0" xfId="0" applyFont="1" applyFill="1" applyAlignment="1">
      <alignment vertical="center"/>
    </xf>
    <xf numFmtId="0" fontId="36" fillId="0" borderId="33" xfId="0" applyFont="1" applyBorder="1" applyAlignment="1">
      <alignment horizontal="center" vertical="center"/>
    </xf>
    <xf numFmtId="0" fontId="36" fillId="0" borderId="34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37" fillId="0" borderId="35" xfId="0" applyFont="1" applyBorder="1" applyAlignment="1">
      <alignment vertical="center"/>
    </xf>
    <xf numFmtId="0" fontId="37" fillId="0" borderId="36" xfId="0" applyFont="1" applyBorder="1" applyAlignment="1">
      <alignment horizontal="center" vertical="center"/>
    </xf>
    <xf numFmtId="0" fontId="25" fillId="20" borderId="0" xfId="0" applyFont="1" applyFill="1"/>
    <xf numFmtId="0" fontId="37" fillId="0" borderId="0" xfId="0" applyFont="1" applyAlignment="1">
      <alignment vertical="center" wrapText="1"/>
    </xf>
    <xf numFmtId="0" fontId="25" fillId="10" borderId="0" xfId="0" applyFont="1" applyFill="1"/>
    <xf numFmtId="0" fontId="35" fillId="0" borderId="0" xfId="0" applyFont="1" applyAlignment="1">
      <alignment vertical="center"/>
    </xf>
    <xf numFmtId="0" fontId="44" fillId="10" borderId="0" xfId="0" applyFont="1" applyFill="1" applyAlignment="1">
      <alignment vertical="center"/>
    </xf>
    <xf numFmtId="0" fontId="45" fillId="0" borderId="0" xfId="0" applyFont="1" applyAlignment="1">
      <alignment horizontal="left" vertical="center" indent="4"/>
    </xf>
  </cellXfs>
  <cellStyles count="4">
    <cellStyle name="Comma" xfId="1" builtinId="3"/>
    <cellStyle name="Normal" xfId="0" builtinId="0"/>
    <cellStyle name="Normal_Preços Setembro XXX.09.2008 2 2" xfId="3" xr:uid="{92B8DEE0-C24D-4FAD-BE59-11E0D1D4770A}"/>
    <cellStyle name="Percent" xfId="2" builtinId="5"/>
  </cellStyles>
  <dxfs count="63"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rgb="FFFF0000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4.9989318521683403E-2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color rgb="FF9C6500"/>
      </font>
      <fill>
        <patternFill>
          <bgColor rgb="FFFFEB9C"/>
        </patternFill>
      </fill>
    </dxf>
    <dxf>
      <font>
        <color theme="0" tint="-4.9989318521683403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361951</xdr:colOff>
      <xdr:row>0</xdr:row>
      <xdr:rowOff>0</xdr:rowOff>
    </xdr:from>
    <xdr:to>
      <xdr:col>6</xdr:col>
      <xdr:colOff>76201</xdr:colOff>
      <xdr:row>0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DA0503C-6EEC-4993-A0BB-ABFDA3804766}"/>
            </a:ext>
          </a:extLst>
        </xdr:cNvPr>
        <xdr:cNvSpPr/>
      </xdr:nvSpPr>
      <xdr:spPr>
        <a:xfrm>
          <a:off x="361951" y="0"/>
          <a:ext cx="11601450" cy="0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0</xdr:row>
      <xdr:rowOff>0</xdr:rowOff>
    </xdr:from>
    <xdr:to>
      <xdr:col>4</xdr:col>
      <xdr:colOff>1435100</xdr:colOff>
      <xdr:row>0</xdr:row>
      <xdr:rowOff>0</xdr:rowOff>
    </xdr:to>
    <xdr:pic>
      <xdr:nvPicPr>
        <xdr:cNvPr id="3" name="Imagem 9">
          <a:extLst>
            <a:ext uri="{FF2B5EF4-FFF2-40B4-BE49-F238E27FC236}">
              <a16:creationId xmlns:a16="http://schemas.microsoft.com/office/drawing/2014/main" id="{47486C37-9303-4229-A722-9A9C7A1B4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0"/>
          <a:ext cx="9188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361951</xdr:colOff>
      <xdr:row>3</xdr:row>
      <xdr:rowOff>25400</xdr:rowOff>
    </xdr:from>
    <xdr:to>
      <xdr:col>6</xdr:col>
      <xdr:colOff>76201</xdr:colOff>
      <xdr:row>59</xdr:row>
      <xdr:rowOff>9524</xdr:rowOff>
    </xdr:to>
    <xdr:sp macro="" textlink="">
      <xdr:nvSpPr>
        <xdr:cNvPr id="4" name="Rectangle 5">
          <a:extLst>
            <a:ext uri="{FF2B5EF4-FFF2-40B4-BE49-F238E27FC236}">
              <a16:creationId xmlns:a16="http://schemas.microsoft.com/office/drawing/2014/main" id="{9BB7F565-C6CC-4531-88F2-FC0A3C8FE7F9}"/>
            </a:ext>
          </a:extLst>
        </xdr:cNvPr>
        <xdr:cNvSpPr/>
      </xdr:nvSpPr>
      <xdr:spPr>
        <a:xfrm>
          <a:off x="361951" y="552450"/>
          <a:ext cx="11601450" cy="10671174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177800</xdr:colOff>
      <xdr:row>59</xdr:row>
      <xdr:rowOff>25399</xdr:rowOff>
    </xdr:from>
    <xdr:to>
      <xdr:col>6</xdr:col>
      <xdr:colOff>323850</xdr:colOff>
      <xdr:row>78</xdr:row>
      <xdr:rowOff>61600</xdr:rowOff>
    </xdr:to>
    <xdr:pic>
      <xdr:nvPicPr>
        <xdr:cNvPr id="5" name="Imagem 9">
          <a:extLst>
            <a:ext uri="{FF2B5EF4-FFF2-40B4-BE49-F238E27FC236}">
              <a16:creationId xmlns:a16="http://schemas.microsoft.com/office/drawing/2014/main" id="{BA71A7BB-8665-4E8D-B198-9604FE8A4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" y="11239499"/>
          <a:ext cx="12033250" cy="3052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349250</xdr:colOff>
      <xdr:row>78</xdr:row>
      <xdr:rowOff>0</xdr:rowOff>
    </xdr:from>
    <xdr:to>
      <xdr:col>6</xdr:col>
      <xdr:colOff>63500</xdr:colOff>
      <xdr:row>87</xdr:row>
      <xdr:rowOff>73024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4325D7F-E04B-47D2-82B6-FF5D74D9F136}"/>
            </a:ext>
          </a:extLst>
        </xdr:cNvPr>
        <xdr:cNvSpPr/>
      </xdr:nvSpPr>
      <xdr:spPr>
        <a:xfrm>
          <a:off x="349250" y="14230350"/>
          <a:ext cx="11601450" cy="1666874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</a:t>
          </a:r>
        </a:p>
      </xdr:txBody>
    </xdr:sp>
    <xdr:clientData/>
  </xdr:twoCellAnchor>
  <xdr:twoCellAnchor>
    <xdr:from>
      <xdr:col>0</xdr:col>
      <xdr:colOff>355600</xdr:colOff>
      <xdr:row>88</xdr:row>
      <xdr:rowOff>63500</xdr:rowOff>
    </xdr:from>
    <xdr:to>
      <xdr:col>6</xdr:col>
      <xdr:colOff>63500</xdr:colOff>
      <xdr:row>91</xdr:row>
      <xdr:rowOff>76200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253877E-1062-49B0-BA42-753CCCC6D1BB}"/>
            </a:ext>
          </a:extLst>
        </xdr:cNvPr>
        <xdr:cNvSpPr/>
      </xdr:nvSpPr>
      <xdr:spPr>
        <a:xfrm>
          <a:off x="355600" y="16046450"/>
          <a:ext cx="11595100" cy="558800"/>
        </a:xfrm>
        <a:prstGeom prst="rect">
          <a:avLst/>
        </a:prstGeom>
        <a:noFill/>
        <a:ln w="12700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D5986-4E91-4B63-B176-14D51411F25B}">
  <dimension ref="A1:BA511"/>
  <sheetViews>
    <sheetView showGridLines="0" tabSelected="1" zoomScale="80" zoomScaleNormal="80" workbookViewId="0">
      <pane xSplit="4" ySplit="12" topLeftCell="E489" activePane="bottomRight" state="frozen"/>
      <selection activeCell="G493" sqref="G493:AA494"/>
      <selection pane="topRight" activeCell="G493" sqref="G493:AA494"/>
      <selection pane="bottomLeft" activeCell="G493" sqref="G493:AA494"/>
      <selection pane="bottomRight" activeCell="G493" sqref="G493:AA494"/>
    </sheetView>
  </sheetViews>
  <sheetFormatPr defaultColWidth="9.1796875" defaultRowHeight="14.5"/>
  <cols>
    <col min="1" max="1" width="16.1796875" customWidth="1"/>
    <col min="2" max="2" width="15.36328125" customWidth="1"/>
    <col min="3" max="3" width="11.81640625" customWidth="1"/>
    <col min="4" max="4" width="54.1796875" bestFit="1" customWidth="1"/>
    <col min="5" max="5" width="60.1796875" bestFit="1" customWidth="1"/>
    <col min="6" max="6" width="11.7265625" customWidth="1"/>
    <col min="7" max="7" width="17.81640625" customWidth="1"/>
    <col min="8" max="8" width="22.7265625" customWidth="1"/>
    <col min="9" max="9" width="24.54296875" customWidth="1"/>
    <col min="10" max="14" width="17.81640625" customWidth="1"/>
    <col min="15" max="21" width="13.7265625" customWidth="1"/>
    <col min="22" max="38" width="16.1796875" customWidth="1"/>
    <col min="39" max="40" width="17.54296875" customWidth="1"/>
    <col min="41" max="44" width="16.26953125" customWidth="1"/>
    <col min="45" max="47" width="17.453125" customWidth="1"/>
    <col min="48" max="48" width="3.1796875" customWidth="1"/>
    <col min="49" max="49" width="16.7265625" customWidth="1"/>
    <col min="50" max="50" width="15.36328125" customWidth="1"/>
    <col min="51" max="51" width="10.81640625" customWidth="1"/>
  </cols>
  <sheetData>
    <row r="1" spans="1:53" ht="18.5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53">
      <c r="G2" s="3"/>
      <c r="H2" s="3"/>
      <c r="I2" s="3"/>
      <c r="J2" s="3"/>
      <c r="K2" s="3"/>
      <c r="L2" s="3"/>
      <c r="M2" s="3"/>
      <c r="N2" s="3"/>
    </row>
    <row r="3" spans="1:53">
      <c r="F3" s="4"/>
      <c r="G3" s="3"/>
      <c r="H3" s="5"/>
      <c r="I3" s="3"/>
      <c r="J3" s="3"/>
      <c r="K3" s="3"/>
      <c r="L3" s="3"/>
      <c r="M3" s="3"/>
      <c r="N3" s="3"/>
    </row>
    <row r="4" spans="1:53" ht="15.5">
      <c r="A4" s="6"/>
      <c r="B4" s="7" t="s">
        <v>1</v>
      </c>
      <c r="C4" s="7"/>
      <c r="F4" s="4"/>
      <c r="G4" s="3"/>
      <c r="H4" s="3"/>
      <c r="I4" s="3"/>
      <c r="J4" s="3"/>
      <c r="K4" s="3"/>
      <c r="L4" s="3"/>
      <c r="M4" s="3"/>
      <c r="N4" s="3"/>
    </row>
    <row r="5" spans="1:53">
      <c r="A5" s="8"/>
      <c r="B5" s="7" t="s">
        <v>2</v>
      </c>
      <c r="C5" s="7"/>
      <c r="F5" s="9"/>
      <c r="G5" s="3"/>
      <c r="H5" s="3"/>
      <c r="I5" s="3"/>
      <c r="J5" s="3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53">
      <c r="B6" s="11"/>
      <c r="C6" s="7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</row>
    <row r="7" spans="1:53">
      <c r="A7" s="12" t="s">
        <v>3</v>
      </c>
      <c r="F7" s="3"/>
      <c r="G7" s="3"/>
      <c r="H7" s="13"/>
      <c r="I7" s="13"/>
      <c r="J7" s="3"/>
      <c r="K7" s="3"/>
      <c r="L7" s="3"/>
      <c r="M7" s="3"/>
      <c r="N7" s="3"/>
    </row>
    <row r="8" spans="1:53">
      <c r="A8" s="14" t="s">
        <v>4</v>
      </c>
      <c r="F8" s="3"/>
      <c r="G8" s="15"/>
      <c r="H8" s="3"/>
      <c r="I8" s="3"/>
      <c r="J8" s="3"/>
      <c r="K8" s="3"/>
      <c r="L8" s="3"/>
      <c r="M8" s="3"/>
      <c r="N8" s="3"/>
      <c r="W8" s="4"/>
    </row>
    <row r="9" spans="1:53">
      <c r="A9" t="s">
        <v>5</v>
      </c>
      <c r="B9" t="s">
        <v>6</v>
      </c>
      <c r="F9" s="3"/>
      <c r="G9" s="3"/>
      <c r="H9" s="15"/>
      <c r="I9" s="3"/>
      <c r="J9" s="3"/>
      <c r="K9" s="3"/>
      <c r="L9" s="3"/>
      <c r="M9" s="3"/>
      <c r="N9" s="3"/>
    </row>
    <row r="10" spans="1:53" ht="18.5">
      <c r="B10" s="16"/>
      <c r="C10" s="17"/>
      <c r="D10" s="18"/>
      <c r="E10" s="17"/>
      <c r="F10" s="3"/>
      <c r="G10" s="3"/>
      <c r="H10" s="5"/>
      <c r="I10" s="3"/>
      <c r="J10" s="3"/>
      <c r="K10" s="3"/>
      <c r="L10" s="3"/>
      <c r="M10" s="3"/>
      <c r="N10" s="3"/>
      <c r="O10" s="19"/>
      <c r="P10" s="19"/>
      <c r="Q10" s="19"/>
      <c r="R10" s="19"/>
      <c r="S10" s="19"/>
      <c r="T10" s="20"/>
      <c r="U10" s="20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53" ht="16" thickBot="1">
      <c r="C11" t="s">
        <v>7</v>
      </c>
      <c r="D11" s="21">
        <v>46311</v>
      </c>
      <c r="H11" s="22"/>
      <c r="I11" s="22"/>
      <c r="J11" s="23" t="s">
        <v>8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5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7" t="s">
        <v>9</v>
      </c>
      <c r="AN11" s="28"/>
      <c r="AO11" s="28"/>
      <c r="AP11" s="29" t="s">
        <v>10</v>
      </c>
      <c r="AQ11" s="30"/>
      <c r="AR11" s="30"/>
      <c r="AS11" s="30"/>
      <c r="AT11" s="30"/>
      <c r="AU11" s="31"/>
      <c r="AV11" s="32"/>
      <c r="AY11" s="33">
        <v>2.0199999999999999E-2</v>
      </c>
      <c r="AZ11" s="33">
        <v>1.8200000000000001E-2</v>
      </c>
      <c r="BA11" s="33">
        <v>1.03E-2</v>
      </c>
    </row>
    <row r="12" spans="1:53" ht="78" thickBot="1">
      <c r="A12" s="34" t="s">
        <v>11</v>
      </c>
      <c r="B12" s="34" t="s">
        <v>12</v>
      </c>
      <c r="C12" s="34" t="s">
        <v>13</v>
      </c>
      <c r="D12" s="34" t="s">
        <v>14</v>
      </c>
      <c r="E12" s="35" t="s">
        <v>15</v>
      </c>
      <c r="F12" s="36" t="s">
        <v>16</v>
      </c>
      <c r="G12" s="37" t="s">
        <v>17</v>
      </c>
      <c r="H12" s="38" t="s">
        <v>18</v>
      </c>
      <c r="I12" s="39" t="s">
        <v>19</v>
      </c>
      <c r="J12" s="40" t="s">
        <v>20</v>
      </c>
      <c r="K12" s="40" t="s">
        <v>21</v>
      </c>
      <c r="L12" s="40" t="s">
        <v>22</v>
      </c>
      <c r="M12" s="40" t="s">
        <v>23</v>
      </c>
      <c r="N12" s="40" t="s">
        <v>24</v>
      </c>
      <c r="O12" s="41" t="s">
        <v>25</v>
      </c>
      <c r="P12" s="41" t="s">
        <v>26</v>
      </c>
      <c r="Q12" s="41" t="s">
        <v>27</v>
      </c>
      <c r="R12" s="41" t="s">
        <v>28</v>
      </c>
      <c r="S12" s="41" t="s">
        <v>29</v>
      </c>
      <c r="T12" s="41" t="s">
        <v>30</v>
      </c>
      <c r="U12" s="41" t="s">
        <v>31</v>
      </c>
      <c r="V12" s="42" t="s">
        <v>32</v>
      </c>
      <c r="W12" s="42" t="s">
        <v>33</v>
      </c>
      <c r="X12" s="42" t="s">
        <v>34</v>
      </c>
      <c r="Y12" s="42" t="s">
        <v>35</v>
      </c>
      <c r="Z12" s="42" t="s">
        <v>36</v>
      </c>
      <c r="AA12" s="42" t="s">
        <v>37</v>
      </c>
      <c r="AB12" s="43" t="s">
        <v>38</v>
      </c>
      <c r="AC12" s="43" t="s">
        <v>39</v>
      </c>
      <c r="AD12" s="43" t="s">
        <v>40</v>
      </c>
      <c r="AE12" s="43" t="s">
        <v>41</v>
      </c>
      <c r="AF12" s="43" t="s">
        <v>42</v>
      </c>
      <c r="AG12" s="43" t="s">
        <v>43</v>
      </c>
      <c r="AH12" s="43" t="s">
        <v>44</v>
      </c>
      <c r="AI12" s="43" t="s">
        <v>45</v>
      </c>
      <c r="AJ12" s="43" t="s">
        <v>46</v>
      </c>
      <c r="AK12" s="43" t="s">
        <v>47</v>
      </c>
      <c r="AL12" s="43" t="s">
        <v>48</v>
      </c>
      <c r="AM12" s="44" t="s">
        <v>49</v>
      </c>
      <c r="AN12" s="44" t="s">
        <v>50</v>
      </c>
      <c r="AO12" s="45" t="s">
        <v>51</v>
      </c>
      <c r="AP12" s="46" t="s">
        <v>52</v>
      </c>
      <c r="AQ12" s="46" t="s">
        <v>53</v>
      </c>
      <c r="AR12" s="46" t="s">
        <v>54</v>
      </c>
      <c r="AS12" s="46" t="s">
        <v>55</v>
      </c>
      <c r="AT12" s="46" t="s">
        <v>56</v>
      </c>
      <c r="AU12" s="46" t="s">
        <v>57</v>
      </c>
      <c r="AV12" s="47"/>
      <c r="AW12" s="48" t="s">
        <v>58</v>
      </c>
      <c r="AX12" s="49" t="s">
        <v>59</v>
      </c>
      <c r="AY12" s="50" t="s">
        <v>60</v>
      </c>
      <c r="AZ12" s="50" t="s">
        <v>61</v>
      </c>
      <c r="BA12" s="50" t="s">
        <v>62</v>
      </c>
    </row>
    <row r="13" spans="1:53" ht="22.5" customHeight="1">
      <c r="A13" s="51" t="s">
        <v>63</v>
      </c>
      <c r="B13" s="52" t="s">
        <v>64</v>
      </c>
      <c r="C13" s="53">
        <v>4014380</v>
      </c>
      <c r="D13" s="54" t="s">
        <v>65</v>
      </c>
      <c r="E13" s="54" t="s">
        <v>66</v>
      </c>
      <c r="F13" s="55">
        <v>6499</v>
      </c>
      <c r="G13" s="55">
        <v>2599</v>
      </c>
      <c r="H13" s="56">
        <v>999</v>
      </c>
      <c r="I13" s="56">
        <v>999</v>
      </c>
      <c r="J13" s="56">
        <v>999</v>
      </c>
      <c r="K13" s="56">
        <v>999</v>
      </c>
      <c r="L13" s="56">
        <v>999</v>
      </c>
      <c r="M13" s="56">
        <v>999</v>
      </c>
      <c r="N13" s="56">
        <v>999</v>
      </c>
      <c r="O13" s="56">
        <v>999</v>
      </c>
      <c r="P13" s="56">
        <v>999</v>
      </c>
      <c r="Q13" s="56">
        <v>999</v>
      </c>
      <c r="R13" s="56">
        <v>999</v>
      </c>
      <c r="S13" s="56">
        <v>999</v>
      </c>
      <c r="T13" s="56">
        <v>999</v>
      </c>
      <c r="U13" s="56">
        <v>999</v>
      </c>
      <c r="V13" s="56">
        <v>999</v>
      </c>
      <c r="W13" s="56">
        <v>999</v>
      </c>
      <c r="X13" s="56">
        <v>999</v>
      </c>
      <c r="Y13" s="56">
        <v>999</v>
      </c>
      <c r="Z13" s="56">
        <v>999</v>
      </c>
      <c r="AA13" s="56">
        <v>999</v>
      </c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7"/>
      <c r="AW13" s="58" t="s">
        <v>67</v>
      </c>
      <c r="AX13" s="59" t="s">
        <v>68</v>
      </c>
      <c r="AY13" s="60">
        <f>$H13*AY$11</f>
        <v>20.1798</v>
      </c>
      <c r="AZ13" s="60">
        <f>($H13*AZ$11)</f>
        <v>18.181800000000003</v>
      </c>
      <c r="BA13" s="60">
        <f>$H13*BA$11</f>
        <v>10.2897</v>
      </c>
    </row>
    <row r="14" spans="1:53" ht="22.5" customHeight="1">
      <c r="A14" s="51" t="s">
        <v>63</v>
      </c>
      <c r="B14" s="52" t="s">
        <v>64</v>
      </c>
      <c r="C14" s="53">
        <v>4014382</v>
      </c>
      <c r="D14" s="54" t="s">
        <v>65</v>
      </c>
      <c r="E14" s="54" t="s">
        <v>69</v>
      </c>
      <c r="F14" s="55">
        <v>6499</v>
      </c>
      <c r="G14" s="55">
        <v>2599</v>
      </c>
      <c r="H14" s="56">
        <v>999</v>
      </c>
      <c r="I14" s="56">
        <v>999</v>
      </c>
      <c r="J14" s="56">
        <v>999</v>
      </c>
      <c r="K14" s="56">
        <v>999</v>
      </c>
      <c r="L14" s="56">
        <v>999</v>
      </c>
      <c r="M14" s="56">
        <v>999</v>
      </c>
      <c r="N14" s="56">
        <v>999</v>
      </c>
      <c r="O14" s="56">
        <v>999</v>
      </c>
      <c r="P14" s="56">
        <v>999</v>
      </c>
      <c r="Q14" s="56">
        <v>999</v>
      </c>
      <c r="R14" s="56">
        <v>999</v>
      </c>
      <c r="S14" s="56">
        <v>999</v>
      </c>
      <c r="T14" s="56">
        <v>999</v>
      </c>
      <c r="U14" s="56">
        <v>999</v>
      </c>
      <c r="V14" s="56">
        <v>999</v>
      </c>
      <c r="W14" s="56">
        <v>999</v>
      </c>
      <c r="X14" s="56">
        <v>999</v>
      </c>
      <c r="Y14" s="56">
        <v>999</v>
      </c>
      <c r="Z14" s="56">
        <v>999</v>
      </c>
      <c r="AA14" s="56">
        <v>999</v>
      </c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7"/>
      <c r="AW14" s="58" t="s">
        <v>67</v>
      </c>
      <c r="AX14" s="59" t="s">
        <v>68</v>
      </c>
      <c r="AY14" s="60">
        <f t="shared" ref="AY14:AY77" si="0">$H14*AY$11</f>
        <v>20.1798</v>
      </c>
      <c r="AZ14" s="60">
        <f t="shared" ref="AZ14:AZ77" si="1">($H14*AZ$11)</f>
        <v>18.181800000000003</v>
      </c>
      <c r="BA14" s="60">
        <f t="shared" ref="BA14:BA77" si="2">$H14*BA$11</f>
        <v>10.2897</v>
      </c>
    </row>
    <row r="15" spans="1:53" ht="22.5" customHeight="1">
      <c r="A15" s="51" t="s">
        <v>63</v>
      </c>
      <c r="B15" s="52" t="s">
        <v>64</v>
      </c>
      <c r="C15" s="53">
        <v>4014391</v>
      </c>
      <c r="D15" s="54" t="s">
        <v>70</v>
      </c>
      <c r="E15" s="54" t="s">
        <v>71</v>
      </c>
      <c r="F15" s="55">
        <v>4499</v>
      </c>
      <c r="G15" s="55">
        <v>2299</v>
      </c>
      <c r="H15" s="56">
        <v>999</v>
      </c>
      <c r="I15" s="56">
        <v>999</v>
      </c>
      <c r="J15" s="56">
        <v>999</v>
      </c>
      <c r="K15" s="56">
        <v>999</v>
      </c>
      <c r="L15" s="56">
        <v>999</v>
      </c>
      <c r="M15" s="56">
        <v>999</v>
      </c>
      <c r="N15" s="56">
        <v>999</v>
      </c>
      <c r="O15" s="56">
        <v>999</v>
      </c>
      <c r="P15" s="56">
        <v>999</v>
      </c>
      <c r="Q15" s="56">
        <v>999</v>
      </c>
      <c r="R15" s="56">
        <v>999</v>
      </c>
      <c r="S15" s="56">
        <v>999</v>
      </c>
      <c r="T15" s="56">
        <v>999</v>
      </c>
      <c r="U15" s="56">
        <v>999</v>
      </c>
      <c r="V15" s="56">
        <v>999</v>
      </c>
      <c r="W15" s="56">
        <v>999</v>
      </c>
      <c r="X15" s="56">
        <v>999</v>
      </c>
      <c r="Y15" s="56">
        <v>999</v>
      </c>
      <c r="Z15" s="56">
        <v>999</v>
      </c>
      <c r="AA15" s="56">
        <v>999</v>
      </c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7"/>
      <c r="AW15" s="58" t="s">
        <v>67</v>
      </c>
      <c r="AX15" s="59" t="s">
        <v>68</v>
      </c>
      <c r="AY15" s="60">
        <f t="shared" si="0"/>
        <v>20.1798</v>
      </c>
      <c r="AZ15" s="60">
        <f t="shared" si="1"/>
        <v>18.181800000000003</v>
      </c>
      <c r="BA15" s="61">
        <f t="shared" si="2"/>
        <v>10.2897</v>
      </c>
    </row>
    <row r="16" spans="1:53" ht="22.5" customHeight="1">
      <c r="A16" s="51" t="s">
        <v>63</v>
      </c>
      <c r="B16" s="52" t="s">
        <v>64</v>
      </c>
      <c r="C16" s="53">
        <v>4014723</v>
      </c>
      <c r="D16" s="54" t="s">
        <v>72</v>
      </c>
      <c r="E16" s="54" t="s">
        <v>73</v>
      </c>
      <c r="F16" s="55">
        <v>6099</v>
      </c>
      <c r="G16" s="55">
        <v>3199</v>
      </c>
      <c r="H16" s="56">
        <v>4499</v>
      </c>
      <c r="I16" s="56">
        <v>4499</v>
      </c>
      <c r="J16" s="55">
        <v>3599</v>
      </c>
      <c r="K16" s="55">
        <v>3499</v>
      </c>
      <c r="L16" s="55">
        <v>3499</v>
      </c>
      <c r="M16" s="55">
        <v>3599</v>
      </c>
      <c r="N16" s="55">
        <v>3499</v>
      </c>
      <c r="O16" s="56">
        <v>3099</v>
      </c>
      <c r="P16" s="56">
        <v>2999</v>
      </c>
      <c r="Q16" s="56">
        <v>2499</v>
      </c>
      <c r="R16" s="56">
        <v>3099</v>
      </c>
      <c r="S16" s="56">
        <v>2999</v>
      </c>
      <c r="T16" s="56">
        <v>2499</v>
      </c>
      <c r="U16" s="56">
        <v>2499</v>
      </c>
      <c r="V16" s="56">
        <v>2499</v>
      </c>
      <c r="W16" s="56">
        <v>2499</v>
      </c>
      <c r="X16" s="56">
        <v>2299</v>
      </c>
      <c r="Y16" s="56">
        <v>1999</v>
      </c>
      <c r="Z16" s="56">
        <v>1999</v>
      </c>
      <c r="AA16" s="56">
        <v>1999</v>
      </c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7"/>
      <c r="AW16" s="58" t="s">
        <v>67</v>
      </c>
      <c r="AX16" s="59" t="s">
        <v>68</v>
      </c>
      <c r="AY16" s="60">
        <f t="shared" si="0"/>
        <v>90.879800000000003</v>
      </c>
      <c r="AZ16" s="60">
        <f t="shared" si="1"/>
        <v>81.881799999999998</v>
      </c>
      <c r="BA16" s="61">
        <f t="shared" si="2"/>
        <v>46.339700000000001</v>
      </c>
    </row>
    <row r="17" spans="1:53" ht="22.5" customHeight="1">
      <c r="A17" s="51" t="s">
        <v>63</v>
      </c>
      <c r="B17" s="52" t="s">
        <v>64</v>
      </c>
      <c r="C17" s="53">
        <v>4014594</v>
      </c>
      <c r="D17" s="54" t="s">
        <v>74</v>
      </c>
      <c r="E17" s="54" t="s">
        <v>75</v>
      </c>
      <c r="F17" s="55">
        <v>6299</v>
      </c>
      <c r="G17" s="55">
        <v>2799</v>
      </c>
      <c r="H17" s="56">
        <v>3899</v>
      </c>
      <c r="I17" s="56">
        <v>3899</v>
      </c>
      <c r="J17" s="55">
        <v>3799</v>
      </c>
      <c r="K17" s="55">
        <v>3799</v>
      </c>
      <c r="L17" s="55">
        <v>3799</v>
      </c>
      <c r="M17" s="55">
        <v>3799</v>
      </c>
      <c r="N17" s="55">
        <v>3799</v>
      </c>
      <c r="O17" s="56">
        <v>3599</v>
      </c>
      <c r="P17" s="56">
        <v>3499</v>
      </c>
      <c r="Q17" s="56">
        <v>2999</v>
      </c>
      <c r="R17" s="56">
        <v>3599</v>
      </c>
      <c r="S17" s="56">
        <v>3499</v>
      </c>
      <c r="T17" s="56">
        <v>2999</v>
      </c>
      <c r="U17" s="56">
        <v>2999</v>
      </c>
      <c r="V17" s="56">
        <v>2999</v>
      </c>
      <c r="W17" s="56">
        <v>2999</v>
      </c>
      <c r="X17" s="56">
        <v>2799</v>
      </c>
      <c r="Y17" s="56">
        <v>2499</v>
      </c>
      <c r="Z17" s="56">
        <v>2499</v>
      </c>
      <c r="AA17" s="56">
        <v>2499</v>
      </c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7"/>
      <c r="AW17" s="58" t="s">
        <v>67</v>
      </c>
      <c r="AX17" s="59" t="s">
        <v>68</v>
      </c>
      <c r="AY17" s="60">
        <f t="shared" si="0"/>
        <v>78.759799999999998</v>
      </c>
      <c r="AZ17" s="60">
        <f t="shared" si="1"/>
        <v>70.961799999999997</v>
      </c>
      <c r="BA17" s="61">
        <f t="shared" si="2"/>
        <v>40.159700000000001</v>
      </c>
    </row>
    <row r="18" spans="1:53" ht="22.5" customHeight="1">
      <c r="A18" s="51" t="s">
        <v>63</v>
      </c>
      <c r="B18" s="52" t="s">
        <v>64</v>
      </c>
      <c r="C18" s="53">
        <v>4014837</v>
      </c>
      <c r="D18" s="54" t="s">
        <v>74</v>
      </c>
      <c r="E18" s="54" t="s">
        <v>76</v>
      </c>
      <c r="F18" s="55">
        <v>6299</v>
      </c>
      <c r="G18" s="55">
        <v>2799</v>
      </c>
      <c r="H18" s="56">
        <v>3899</v>
      </c>
      <c r="I18" s="56">
        <v>3899</v>
      </c>
      <c r="J18" s="55">
        <v>3799</v>
      </c>
      <c r="K18" s="55">
        <v>3799</v>
      </c>
      <c r="L18" s="55">
        <v>3799</v>
      </c>
      <c r="M18" s="55">
        <v>3799</v>
      </c>
      <c r="N18" s="55">
        <v>3799</v>
      </c>
      <c r="O18" s="56">
        <v>3599</v>
      </c>
      <c r="P18" s="56">
        <v>3499</v>
      </c>
      <c r="Q18" s="56">
        <v>2999</v>
      </c>
      <c r="R18" s="56">
        <v>3599</v>
      </c>
      <c r="S18" s="56">
        <v>3499</v>
      </c>
      <c r="T18" s="56">
        <v>2999</v>
      </c>
      <c r="U18" s="56">
        <v>2999</v>
      </c>
      <c r="V18" s="56">
        <v>2999</v>
      </c>
      <c r="W18" s="56">
        <v>2999</v>
      </c>
      <c r="X18" s="56">
        <v>2799</v>
      </c>
      <c r="Y18" s="56">
        <v>2499</v>
      </c>
      <c r="Z18" s="56">
        <v>2499</v>
      </c>
      <c r="AA18" s="56">
        <v>2499</v>
      </c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7"/>
      <c r="AW18" s="58" t="s">
        <v>67</v>
      </c>
      <c r="AX18" s="59" t="s">
        <v>68</v>
      </c>
      <c r="AY18" s="60">
        <f t="shared" si="0"/>
        <v>78.759799999999998</v>
      </c>
      <c r="AZ18" s="60">
        <f t="shared" si="1"/>
        <v>70.961799999999997</v>
      </c>
      <c r="BA18" s="61">
        <f t="shared" si="2"/>
        <v>40.159700000000001</v>
      </c>
    </row>
    <row r="19" spans="1:53" ht="22.5" customHeight="1">
      <c r="A19" s="51" t="s">
        <v>63</v>
      </c>
      <c r="B19" s="52" t="s">
        <v>64</v>
      </c>
      <c r="C19" s="53">
        <v>4014833</v>
      </c>
      <c r="D19" s="54" t="s">
        <v>74</v>
      </c>
      <c r="E19" s="54" t="s">
        <v>77</v>
      </c>
      <c r="F19" s="55">
        <v>6299</v>
      </c>
      <c r="G19" s="55">
        <v>2799</v>
      </c>
      <c r="H19" s="56">
        <v>3899</v>
      </c>
      <c r="I19" s="56">
        <v>3899</v>
      </c>
      <c r="J19" s="55">
        <v>3799</v>
      </c>
      <c r="K19" s="55">
        <v>3799</v>
      </c>
      <c r="L19" s="55">
        <v>3799</v>
      </c>
      <c r="M19" s="55">
        <v>3799</v>
      </c>
      <c r="N19" s="55">
        <v>3799</v>
      </c>
      <c r="O19" s="56">
        <v>3599</v>
      </c>
      <c r="P19" s="56">
        <v>3499</v>
      </c>
      <c r="Q19" s="56">
        <v>2999</v>
      </c>
      <c r="R19" s="56">
        <v>3599</v>
      </c>
      <c r="S19" s="56">
        <v>3499</v>
      </c>
      <c r="T19" s="56">
        <v>2999</v>
      </c>
      <c r="U19" s="56">
        <v>2999</v>
      </c>
      <c r="V19" s="56">
        <v>2999</v>
      </c>
      <c r="W19" s="56">
        <v>2999</v>
      </c>
      <c r="X19" s="56">
        <v>2799</v>
      </c>
      <c r="Y19" s="56">
        <v>2499</v>
      </c>
      <c r="Z19" s="56">
        <v>2499</v>
      </c>
      <c r="AA19" s="56">
        <v>2499</v>
      </c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7"/>
      <c r="AW19" s="58" t="s">
        <v>67</v>
      </c>
      <c r="AX19" s="59" t="s">
        <v>68</v>
      </c>
      <c r="AY19" s="60">
        <f t="shared" si="0"/>
        <v>78.759799999999998</v>
      </c>
      <c r="AZ19" s="60">
        <f t="shared" si="1"/>
        <v>70.961799999999997</v>
      </c>
      <c r="BA19" s="61">
        <f t="shared" si="2"/>
        <v>40.159700000000001</v>
      </c>
    </row>
    <row r="20" spans="1:53" ht="22.5" customHeight="1">
      <c r="A20" s="51" t="s">
        <v>63</v>
      </c>
      <c r="B20" s="52" t="s">
        <v>64</v>
      </c>
      <c r="C20" s="53">
        <v>4014836</v>
      </c>
      <c r="D20" s="54" t="s">
        <v>74</v>
      </c>
      <c r="E20" s="54" t="s">
        <v>78</v>
      </c>
      <c r="F20" s="55">
        <v>6299</v>
      </c>
      <c r="G20" s="55">
        <v>2799</v>
      </c>
      <c r="H20" s="56">
        <v>3899</v>
      </c>
      <c r="I20" s="56">
        <v>3899</v>
      </c>
      <c r="J20" s="55">
        <v>3799</v>
      </c>
      <c r="K20" s="55">
        <v>3799</v>
      </c>
      <c r="L20" s="55">
        <v>3799</v>
      </c>
      <c r="M20" s="55">
        <v>3799</v>
      </c>
      <c r="N20" s="55">
        <v>3799</v>
      </c>
      <c r="O20" s="56">
        <v>3599</v>
      </c>
      <c r="P20" s="56">
        <v>3499</v>
      </c>
      <c r="Q20" s="56">
        <v>2999</v>
      </c>
      <c r="R20" s="56">
        <v>3599</v>
      </c>
      <c r="S20" s="56">
        <v>3499</v>
      </c>
      <c r="T20" s="56">
        <v>2999</v>
      </c>
      <c r="U20" s="56">
        <v>2999</v>
      </c>
      <c r="V20" s="56">
        <v>2999</v>
      </c>
      <c r="W20" s="56">
        <v>2999</v>
      </c>
      <c r="X20" s="56">
        <v>2799</v>
      </c>
      <c r="Y20" s="56">
        <v>2499</v>
      </c>
      <c r="Z20" s="56">
        <v>2499</v>
      </c>
      <c r="AA20" s="56">
        <v>2499</v>
      </c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7"/>
      <c r="AW20" s="58" t="s">
        <v>67</v>
      </c>
      <c r="AX20" s="59" t="s">
        <v>68</v>
      </c>
      <c r="AY20" s="60">
        <f t="shared" si="0"/>
        <v>78.759799999999998</v>
      </c>
      <c r="AZ20" s="60">
        <f t="shared" si="1"/>
        <v>70.961799999999997</v>
      </c>
      <c r="BA20" s="61">
        <f t="shared" si="2"/>
        <v>40.159700000000001</v>
      </c>
    </row>
    <row r="21" spans="1:53" ht="22.5" customHeight="1">
      <c r="A21" s="51" t="s">
        <v>63</v>
      </c>
      <c r="B21" s="52" t="s">
        <v>64</v>
      </c>
      <c r="C21" s="53">
        <v>4015185</v>
      </c>
      <c r="D21" s="54" t="s">
        <v>79</v>
      </c>
      <c r="E21" s="54" t="s">
        <v>80</v>
      </c>
      <c r="F21" s="55">
        <v>7299</v>
      </c>
      <c r="G21" s="55">
        <v>3899</v>
      </c>
      <c r="H21" s="56">
        <v>5299</v>
      </c>
      <c r="I21" s="56">
        <v>5299</v>
      </c>
      <c r="J21" s="55">
        <v>4199</v>
      </c>
      <c r="K21" s="55">
        <v>4199</v>
      </c>
      <c r="L21" s="55">
        <v>4199</v>
      </c>
      <c r="M21" s="55">
        <v>4199</v>
      </c>
      <c r="N21" s="55">
        <v>4199</v>
      </c>
      <c r="O21" s="56">
        <v>3899</v>
      </c>
      <c r="P21" s="56">
        <v>3799</v>
      </c>
      <c r="Q21" s="56">
        <v>3099</v>
      </c>
      <c r="R21" s="56">
        <v>3899</v>
      </c>
      <c r="S21" s="56">
        <v>3799</v>
      </c>
      <c r="T21" s="56">
        <v>3099</v>
      </c>
      <c r="U21" s="56">
        <v>3099</v>
      </c>
      <c r="V21" s="56">
        <v>3099</v>
      </c>
      <c r="W21" s="56">
        <v>3099</v>
      </c>
      <c r="X21" s="56">
        <v>2999</v>
      </c>
      <c r="Y21" s="56">
        <v>2499</v>
      </c>
      <c r="Z21" s="56">
        <v>2499</v>
      </c>
      <c r="AA21" s="56">
        <v>2499</v>
      </c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7"/>
      <c r="AW21" s="58" t="s">
        <v>67</v>
      </c>
      <c r="AX21" s="59" t="s">
        <v>68</v>
      </c>
      <c r="AY21" s="60">
        <f t="shared" si="0"/>
        <v>107.0398</v>
      </c>
      <c r="AZ21" s="60">
        <f t="shared" si="1"/>
        <v>96.441800000000001</v>
      </c>
      <c r="BA21" s="61">
        <f t="shared" si="2"/>
        <v>54.579700000000003</v>
      </c>
    </row>
    <row r="22" spans="1:53" ht="22.5" customHeight="1">
      <c r="A22" s="51" t="s">
        <v>63</v>
      </c>
      <c r="B22" s="52" t="s">
        <v>64</v>
      </c>
      <c r="C22" s="53">
        <v>4015262</v>
      </c>
      <c r="D22" s="54" t="s">
        <v>79</v>
      </c>
      <c r="E22" s="54" t="s">
        <v>81</v>
      </c>
      <c r="F22" s="55">
        <v>7299</v>
      </c>
      <c r="G22" s="55">
        <v>3899</v>
      </c>
      <c r="H22" s="56">
        <v>5299</v>
      </c>
      <c r="I22" s="56">
        <v>5299</v>
      </c>
      <c r="J22" s="55">
        <v>4199</v>
      </c>
      <c r="K22" s="55">
        <v>4199</v>
      </c>
      <c r="L22" s="55">
        <v>4199</v>
      </c>
      <c r="M22" s="55">
        <v>4199</v>
      </c>
      <c r="N22" s="55">
        <v>4199</v>
      </c>
      <c r="O22" s="56">
        <v>3899</v>
      </c>
      <c r="P22" s="56">
        <v>3799</v>
      </c>
      <c r="Q22" s="56">
        <v>3099</v>
      </c>
      <c r="R22" s="56">
        <v>3899</v>
      </c>
      <c r="S22" s="56">
        <v>3799</v>
      </c>
      <c r="T22" s="56">
        <v>3099</v>
      </c>
      <c r="U22" s="56">
        <v>3099</v>
      </c>
      <c r="V22" s="56">
        <v>3099</v>
      </c>
      <c r="W22" s="56">
        <v>3099</v>
      </c>
      <c r="X22" s="56">
        <v>2999</v>
      </c>
      <c r="Y22" s="56">
        <v>2499</v>
      </c>
      <c r="Z22" s="56">
        <v>2499</v>
      </c>
      <c r="AA22" s="56">
        <v>2499</v>
      </c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7"/>
      <c r="AW22" s="58" t="s">
        <v>67</v>
      </c>
      <c r="AX22" s="59" t="s">
        <v>68</v>
      </c>
      <c r="AY22" s="60">
        <f t="shared" si="0"/>
        <v>107.0398</v>
      </c>
      <c r="AZ22" s="60">
        <f t="shared" si="1"/>
        <v>96.441800000000001</v>
      </c>
      <c r="BA22" s="61">
        <f t="shared" si="2"/>
        <v>54.579700000000003</v>
      </c>
    </row>
    <row r="23" spans="1:53" ht="22.5" customHeight="1">
      <c r="A23" s="51" t="s">
        <v>63</v>
      </c>
      <c r="B23" s="52" t="s">
        <v>64</v>
      </c>
      <c r="C23" s="53">
        <v>4015180</v>
      </c>
      <c r="D23" s="54" t="s">
        <v>82</v>
      </c>
      <c r="E23" s="54" t="s">
        <v>83</v>
      </c>
      <c r="F23" s="55">
        <v>7799</v>
      </c>
      <c r="G23" s="55">
        <v>2899</v>
      </c>
      <c r="H23" s="56">
        <v>4399</v>
      </c>
      <c r="I23" s="56">
        <v>4399</v>
      </c>
      <c r="J23" s="55">
        <v>4399</v>
      </c>
      <c r="K23" s="55">
        <v>4399</v>
      </c>
      <c r="L23" s="55">
        <v>4399</v>
      </c>
      <c r="M23" s="55">
        <v>4399</v>
      </c>
      <c r="N23" s="55">
        <v>4399</v>
      </c>
      <c r="O23" s="56">
        <v>4299</v>
      </c>
      <c r="P23" s="56">
        <v>4199</v>
      </c>
      <c r="Q23" s="56">
        <v>3499</v>
      </c>
      <c r="R23" s="56">
        <v>4299</v>
      </c>
      <c r="S23" s="56">
        <v>4199</v>
      </c>
      <c r="T23" s="56">
        <v>3499</v>
      </c>
      <c r="U23" s="56">
        <v>3499</v>
      </c>
      <c r="V23" s="56">
        <v>3499</v>
      </c>
      <c r="W23" s="56">
        <v>3499</v>
      </c>
      <c r="X23" s="56">
        <v>3399</v>
      </c>
      <c r="Y23" s="56">
        <v>2499</v>
      </c>
      <c r="Z23" s="56">
        <v>2499</v>
      </c>
      <c r="AA23" s="56">
        <v>2449</v>
      </c>
      <c r="AB23" s="55">
        <v>4399</v>
      </c>
      <c r="AC23" s="55">
        <v>4399</v>
      </c>
      <c r="AD23" s="55">
        <v>4399</v>
      </c>
      <c r="AE23" s="55">
        <v>4199</v>
      </c>
      <c r="AF23" s="55">
        <v>4199</v>
      </c>
      <c r="AG23" s="55">
        <v>4199</v>
      </c>
      <c r="AH23" s="55">
        <v>4199</v>
      </c>
      <c r="AI23" s="55">
        <v>3499</v>
      </c>
      <c r="AJ23" s="55">
        <v>3499</v>
      </c>
      <c r="AK23" s="55">
        <v>3499</v>
      </c>
      <c r="AL23" s="55">
        <v>2499</v>
      </c>
      <c r="AM23" s="55"/>
      <c r="AN23" s="55"/>
      <c r="AO23" s="55"/>
      <c r="AP23" s="55"/>
      <c r="AQ23" s="55"/>
      <c r="AR23" s="55"/>
      <c r="AS23" s="55"/>
      <c r="AT23" s="55"/>
      <c r="AU23" s="55"/>
      <c r="AV23" s="57"/>
      <c r="AW23" s="58" t="s">
        <v>67</v>
      </c>
      <c r="AX23" s="59" t="s">
        <v>68</v>
      </c>
      <c r="AY23" s="60">
        <f t="shared" si="0"/>
        <v>88.859799999999993</v>
      </c>
      <c r="AZ23" s="60">
        <f t="shared" si="1"/>
        <v>80.061800000000005</v>
      </c>
      <c r="BA23" s="61">
        <f t="shared" si="2"/>
        <v>45.309699999999999</v>
      </c>
    </row>
    <row r="24" spans="1:53" ht="22.5" customHeight="1">
      <c r="A24" s="51" t="s">
        <v>63</v>
      </c>
      <c r="B24" s="52" t="s">
        <v>64</v>
      </c>
      <c r="C24" s="53">
        <v>4015186</v>
      </c>
      <c r="D24" s="54" t="s">
        <v>82</v>
      </c>
      <c r="E24" s="54" t="s">
        <v>84</v>
      </c>
      <c r="F24" s="55">
        <v>7799</v>
      </c>
      <c r="G24" s="55">
        <v>2899</v>
      </c>
      <c r="H24" s="56">
        <v>4399</v>
      </c>
      <c r="I24" s="56">
        <v>4399</v>
      </c>
      <c r="J24" s="55">
        <v>4399</v>
      </c>
      <c r="K24" s="55">
        <v>4399</v>
      </c>
      <c r="L24" s="55">
        <v>4399</v>
      </c>
      <c r="M24" s="55">
        <v>4399</v>
      </c>
      <c r="N24" s="55">
        <v>4399</v>
      </c>
      <c r="O24" s="56">
        <v>4299</v>
      </c>
      <c r="P24" s="56">
        <v>4199</v>
      </c>
      <c r="Q24" s="56">
        <v>3499</v>
      </c>
      <c r="R24" s="56">
        <v>4299</v>
      </c>
      <c r="S24" s="56">
        <v>4199</v>
      </c>
      <c r="T24" s="56">
        <v>3499</v>
      </c>
      <c r="U24" s="56">
        <v>3499</v>
      </c>
      <c r="V24" s="56">
        <v>3499</v>
      </c>
      <c r="W24" s="56">
        <v>3499</v>
      </c>
      <c r="X24" s="56">
        <v>3399</v>
      </c>
      <c r="Y24" s="56">
        <v>2499</v>
      </c>
      <c r="Z24" s="56">
        <v>2499</v>
      </c>
      <c r="AA24" s="56">
        <v>2449</v>
      </c>
      <c r="AB24" s="55">
        <v>4399</v>
      </c>
      <c r="AC24" s="55">
        <v>4399</v>
      </c>
      <c r="AD24" s="55">
        <v>4399</v>
      </c>
      <c r="AE24" s="55">
        <v>4199</v>
      </c>
      <c r="AF24" s="55">
        <v>4199</v>
      </c>
      <c r="AG24" s="55">
        <v>4199</v>
      </c>
      <c r="AH24" s="55">
        <v>4199</v>
      </c>
      <c r="AI24" s="55">
        <v>3499</v>
      </c>
      <c r="AJ24" s="55">
        <v>3499</v>
      </c>
      <c r="AK24" s="55">
        <v>3499</v>
      </c>
      <c r="AL24" s="55">
        <v>2499</v>
      </c>
      <c r="AM24" s="55"/>
      <c r="AN24" s="55"/>
      <c r="AO24" s="55"/>
      <c r="AP24" s="55"/>
      <c r="AQ24" s="55"/>
      <c r="AR24" s="55"/>
      <c r="AS24" s="55"/>
      <c r="AT24" s="55"/>
      <c r="AU24" s="55"/>
      <c r="AV24" s="57"/>
      <c r="AW24" s="58" t="s">
        <v>67</v>
      </c>
      <c r="AX24" s="59" t="s">
        <v>68</v>
      </c>
      <c r="AY24" s="60">
        <f t="shared" si="0"/>
        <v>88.859799999999993</v>
      </c>
      <c r="AZ24" s="60">
        <f t="shared" si="1"/>
        <v>80.061800000000005</v>
      </c>
      <c r="BA24" s="61">
        <f t="shared" si="2"/>
        <v>45.309699999999999</v>
      </c>
    </row>
    <row r="25" spans="1:53" ht="22.5" customHeight="1">
      <c r="A25" s="51" t="s">
        <v>63</v>
      </c>
      <c r="B25" s="52" t="s">
        <v>64</v>
      </c>
      <c r="C25" s="53">
        <v>4015267</v>
      </c>
      <c r="D25" s="54" t="s">
        <v>82</v>
      </c>
      <c r="E25" s="54" t="s">
        <v>85</v>
      </c>
      <c r="F25" s="55">
        <v>7799</v>
      </c>
      <c r="G25" s="55">
        <v>2899</v>
      </c>
      <c r="H25" s="56">
        <v>4399</v>
      </c>
      <c r="I25" s="56">
        <v>4399</v>
      </c>
      <c r="J25" s="55">
        <v>4399</v>
      </c>
      <c r="K25" s="55">
        <v>4399</v>
      </c>
      <c r="L25" s="55">
        <v>4399</v>
      </c>
      <c r="M25" s="55">
        <v>4399</v>
      </c>
      <c r="N25" s="55">
        <v>4399</v>
      </c>
      <c r="O25" s="56">
        <v>4299</v>
      </c>
      <c r="P25" s="56">
        <v>4199</v>
      </c>
      <c r="Q25" s="56">
        <v>3499</v>
      </c>
      <c r="R25" s="56">
        <v>4299</v>
      </c>
      <c r="S25" s="56">
        <v>4199</v>
      </c>
      <c r="T25" s="56">
        <v>3499</v>
      </c>
      <c r="U25" s="56">
        <v>3499</v>
      </c>
      <c r="V25" s="56">
        <v>3499</v>
      </c>
      <c r="W25" s="56">
        <v>3499</v>
      </c>
      <c r="X25" s="56">
        <v>3399</v>
      </c>
      <c r="Y25" s="56">
        <v>2499</v>
      </c>
      <c r="Z25" s="56">
        <v>2499</v>
      </c>
      <c r="AA25" s="56">
        <v>2449</v>
      </c>
      <c r="AB25" s="55">
        <v>4399</v>
      </c>
      <c r="AC25" s="55">
        <v>4399</v>
      </c>
      <c r="AD25" s="55">
        <v>4399</v>
      </c>
      <c r="AE25" s="55">
        <v>4199</v>
      </c>
      <c r="AF25" s="55">
        <v>4199</v>
      </c>
      <c r="AG25" s="55">
        <v>4199</v>
      </c>
      <c r="AH25" s="55">
        <v>4199</v>
      </c>
      <c r="AI25" s="55">
        <v>3499</v>
      </c>
      <c r="AJ25" s="55">
        <v>3499</v>
      </c>
      <c r="AK25" s="55">
        <v>3499</v>
      </c>
      <c r="AL25" s="55">
        <v>2499</v>
      </c>
      <c r="AM25" s="55"/>
      <c r="AN25" s="55"/>
      <c r="AO25" s="55"/>
      <c r="AP25" s="55"/>
      <c r="AQ25" s="55"/>
      <c r="AR25" s="55"/>
      <c r="AS25" s="55"/>
      <c r="AT25" s="55"/>
      <c r="AU25" s="55"/>
      <c r="AV25" s="57"/>
      <c r="AW25" s="58" t="s">
        <v>67</v>
      </c>
      <c r="AX25" s="59" t="s">
        <v>68</v>
      </c>
      <c r="AY25" s="60">
        <f t="shared" si="0"/>
        <v>88.859799999999993</v>
      </c>
      <c r="AZ25" s="60">
        <f t="shared" si="1"/>
        <v>80.061800000000005</v>
      </c>
      <c r="BA25" s="61">
        <f t="shared" si="2"/>
        <v>45.309699999999999</v>
      </c>
    </row>
    <row r="26" spans="1:53" ht="22.5" customHeight="1">
      <c r="A26" s="51" t="s">
        <v>63</v>
      </c>
      <c r="B26" s="52" t="s">
        <v>64</v>
      </c>
      <c r="C26" s="53">
        <v>4015268</v>
      </c>
      <c r="D26" s="54" t="s">
        <v>82</v>
      </c>
      <c r="E26" s="54" t="s">
        <v>86</v>
      </c>
      <c r="F26" s="55">
        <v>7799</v>
      </c>
      <c r="G26" s="55">
        <v>2899</v>
      </c>
      <c r="H26" s="56">
        <v>4399</v>
      </c>
      <c r="I26" s="56">
        <v>4399</v>
      </c>
      <c r="J26" s="55">
        <v>4399</v>
      </c>
      <c r="K26" s="55">
        <v>4399</v>
      </c>
      <c r="L26" s="55">
        <v>4399</v>
      </c>
      <c r="M26" s="55">
        <v>4399</v>
      </c>
      <c r="N26" s="55">
        <v>4399</v>
      </c>
      <c r="O26" s="56">
        <v>4299</v>
      </c>
      <c r="P26" s="56">
        <v>4199</v>
      </c>
      <c r="Q26" s="56">
        <v>3499</v>
      </c>
      <c r="R26" s="56">
        <v>4299</v>
      </c>
      <c r="S26" s="56">
        <v>4199</v>
      </c>
      <c r="T26" s="56">
        <v>3499</v>
      </c>
      <c r="U26" s="56">
        <v>3499</v>
      </c>
      <c r="V26" s="56">
        <v>3499</v>
      </c>
      <c r="W26" s="56">
        <v>3499</v>
      </c>
      <c r="X26" s="56">
        <v>3399</v>
      </c>
      <c r="Y26" s="56">
        <v>2499</v>
      </c>
      <c r="Z26" s="56">
        <v>2499</v>
      </c>
      <c r="AA26" s="56">
        <v>2449</v>
      </c>
      <c r="AB26" s="55">
        <v>4399</v>
      </c>
      <c r="AC26" s="55">
        <v>4399</v>
      </c>
      <c r="AD26" s="55">
        <v>4399</v>
      </c>
      <c r="AE26" s="55">
        <v>4199</v>
      </c>
      <c r="AF26" s="55">
        <v>4199</v>
      </c>
      <c r="AG26" s="55">
        <v>4199</v>
      </c>
      <c r="AH26" s="55">
        <v>4199</v>
      </c>
      <c r="AI26" s="55">
        <v>3499</v>
      </c>
      <c r="AJ26" s="55">
        <v>3499</v>
      </c>
      <c r="AK26" s="55">
        <v>3499</v>
      </c>
      <c r="AL26" s="55">
        <v>2499</v>
      </c>
      <c r="AM26" s="55"/>
      <c r="AN26" s="55"/>
      <c r="AO26" s="55"/>
      <c r="AP26" s="55"/>
      <c r="AQ26" s="55"/>
      <c r="AR26" s="55"/>
      <c r="AS26" s="55"/>
      <c r="AT26" s="55"/>
      <c r="AU26" s="55"/>
      <c r="AV26" s="57"/>
      <c r="AW26" s="58" t="s">
        <v>67</v>
      </c>
      <c r="AX26" s="59" t="s">
        <v>68</v>
      </c>
      <c r="AY26" s="60">
        <f t="shared" si="0"/>
        <v>88.859799999999993</v>
      </c>
      <c r="AZ26" s="60">
        <f t="shared" si="1"/>
        <v>80.061800000000005</v>
      </c>
      <c r="BA26" s="61">
        <f t="shared" si="2"/>
        <v>45.309699999999999</v>
      </c>
    </row>
    <row r="27" spans="1:53" ht="22.5" customHeight="1">
      <c r="A27" s="51" t="s">
        <v>63</v>
      </c>
      <c r="B27" s="52" t="s">
        <v>64</v>
      </c>
      <c r="C27" s="53">
        <v>4015179</v>
      </c>
      <c r="D27" s="54" t="s">
        <v>87</v>
      </c>
      <c r="E27" s="54" t="s">
        <v>88</v>
      </c>
      <c r="F27" s="55">
        <v>7299</v>
      </c>
      <c r="G27" s="55">
        <v>3899</v>
      </c>
      <c r="H27" s="56">
        <v>4599</v>
      </c>
      <c r="I27" s="56">
        <v>4599</v>
      </c>
      <c r="J27" s="55">
        <v>4499</v>
      </c>
      <c r="K27" s="55">
        <v>4499</v>
      </c>
      <c r="L27" s="55">
        <v>4499</v>
      </c>
      <c r="M27" s="55">
        <v>4499</v>
      </c>
      <c r="N27" s="55">
        <v>4499</v>
      </c>
      <c r="O27" s="56">
        <v>4399</v>
      </c>
      <c r="P27" s="56">
        <v>4299</v>
      </c>
      <c r="Q27" s="56">
        <v>3499</v>
      </c>
      <c r="R27" s="56">
        <v>4399</v>
      </c>
      <c r="S27" s="56">
        <v>4299</v>
      </c>
      <c r="T27" s="56">
        <v>3499</v>
      </c>
      <c r="U27" s="56">
        <v>3499</v>
      </c>
      <c r="V27" s="56">
        <v>3499</v>
      </c>
      <c r="W27" s="56">
        <v>3499</v>
      </c>
      <c r="X27" s="56">
        <v>3399</v>
      </c>
      <c r="Y27" s="56">
        <v>2899</v>
      </c>
      <c r="Z27" s="56">
        <v>2899</v>
      </c>
      <c r="AA27" s="56">
        <v>2899</v>
      </c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7"/>
      <c r="AW27" s="58" t="s">
        <v>67</v>
      </c>
      <c r="AX27" s="59" t="s">
        <v>68</v>
      </c>
      <c r="AY27" s="60">
        <f t="shared" si="0"/>
        <v>92.899799999999999</v>
      </c>
      <c r="AZ27" s="60">
        <f t="shared" si="1"/>
        <v>83.701800000000006</v>
      </c>
      <c r="BA27" s="61">
        <f t="shared" si="2"/>
        <v>47.369700000000002</v>
      </c>
    </row>
    <row r="28" spans="1:53" ht="22.5" customHeight="1">
      <c r="A28" s="51" t="s">
        <v>63</v>
      </c>
      <c r="B28" s="52" t="s">
        <v>64</v>
      </c>
      <c r="C28" s="53">
        <v>4015187</v>
      </c>
      <c r="D28" s="54" t="s">
        <v>87</v>
      </c>
      <c r="E28" s="54" t="s">
        <v>89</v>
      </c>
      <c r="F28" s="55">
        <v>7299</v>
      </c>
      <c r="G28" s="55">
        <v>3899</v>
      </c>
      <c r="H28" s="56">
        <v>4599</v>
      </c>
      <c r="I28" s="56">
        <v>4599</v>
      </c>
      <c r="J28" s="55">
        <v>4499</v>
      </c>
      <c r="K28" s="55">
        <v>4499</v>
      </c>
      <c r="L28" s="55">
        <v>4499</v>
      </c>
      <c r="M28" s="55">
        <v>4499</v>
      </c>
      <c r="N28" s="55">
        <v>4499</v>
      </c>
      <c r="O28" s="56">
        <v>4399</v>
      </c>
      <c r="P28" s="56">
        <v>4299</v>
      </c>
      <c r="Q28" s="56">
        <v>3499</v>
      </c>
      <c r="R28" s="56">
        <v>4399</v>
      </c>
      <c r="S28" s="56">
        <v>4299</v>
      </c>
      <c r="T28" s="56">
        <v>3499</v>
      </c>
      <c r="U28" s="56">
        <v>3499</v>
      </c>
      <c r="V28" s="56">
        <v>3499</v>
      </c>
      <c r="W28" s="56">
        <v>3499</v>
      </c>
      <c r="X28" s="56">
        <v>3399</v>
      </c>
      <c r="Y28" s="56">
        <v>2899</v>
      </c>
      <c r="Z28" s="56">
        <v>2899</v>
      </c>
      <c r="AA28" s="56">
        <v>2899</v>
      </c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7"/>
      <c r="AW28" s="58" t="s">
        <v>67</v>
      </c>
      <c r="AX28" s="59" t="s">
        <v>68</v>
      </c>
      <c r="AY28" s="60">
        <f t="shared" si="0"/>
        <v>92.899799999999999</v>
      </c>
      <c r="AZ28" s="60">
        <f t="shared" si="1"/>
        <v>83.701800000000006</v>
      </c>
      <c r="BA28" s="61">
        <f t="shared" si="2"/>
        <v>47.369700000000002</v>
      </c>
    </row>
    <row r="29" spans="1:53" ht="22.5" customHeight="1">
      <c r="A29" s="51" t="s">
        <v>63</v>
      </c>
      <c r="B29" s="52" t="s">
        <v>64</v>
      </c>
      <c r="C29" s="53">
        <v>4015711</v>
      </c>
      <c r="D29" s="54" t="s">
        <v>87</v>
      </c>
      <c r="E29" s="54" t="s">
        <v>90</v>
      </c>
      <c r="F29" s="55">
        <v>7299</v>
      </c>
      <c r="G29" s="55">
        <v>3899</v>
      </c>
      <c r="H29" s="56">
        <v>4599</v>
      </c>
      <c r="I29" s="56">
        <v>4599</v>
      </c>
      <c r="J29" s="55">
        <v>4499</v>
      </c>
      <c r="K29" s="55">
        <v>4499</v>
      </c>
      <c r="L29" s="55">
        <v>4499</v>
      </c>
      <c r="M29" s="55">
        <v>4499</v>
      </c>
      <c r="N29" s="55">
        <v>4499</v>
      </c>
      <c r="O29" s="56">
        <v>4399</v>
      </c>
      <c r="P29" s="56">
        <v>4299</v>
      </c>
      <c r="Q29" s="56">
        <v>3499</v>
      </c>
      <c r="R29" s="56">
        <v>4399</v>
      </c>
      <c r="S29" s="56">
        <v>4299</v>
      </c>
      <c r="T29" s="56">
        <v>3499</v>
      </c>
      <c r="U29" s="56">
        <v>3499</v>
      </c>
      <c r="V29" s="56">
        <v>3499</v>
      </c>
      <c r="W29" s="56">
        <v>3499</v>
      </c>
      <c r="X29" s="56">
        <v>3399</v>
      </c>
      <c r="Y29" s="56">
        <v>2899</v>
      </c>
      <c r="Z29" s="56">
        <v>2899</v>
      </c>
      <c r="AA29" s="56">
        <v>2899</v>
      </c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7"/>
      <c r="AW29" s="58" t="s">
        <v>67</v>
      </c>
      <c r="AX29" s="59" t="s">
        <v>68</v>
      </c>
      <c r="AY29" s="60">
        <f t="shared" si="0"/>
        <v>92.899799999999999</v>
      </c>
      <c r="AZ29" s="60">
        <f t="shared" si="1"/>
        <v>83.701800000000006</v>
      </c>
      <c r="BA29" s="61">
        <f t="shared" si="2"/>
        <v>47.369700000000002</v>
      </c>
    </row>
    <row r="30" spans="1:53" ht="22.5" customHeight="1">
      <c r="A30" s="51" t="s">
        <v>63</v>
      </c>
      <c r="B30" s="52" t="s">
        <v>64</v>
      </c>
      <c r="C30" s="53">
        <v>4015162</v>
      </c>
      <c r="D30" s="54" t="s">
        <v>91</v>
      </c>
      <c r="E30" s="54" t="s">
        <v>92</v>
      </c>
      <c r="F30" s="55">
        <v>11499</v>
      </c>
      <c r="G30" s="55">
        <v>6899</v>
      </c>
      <c r="H30" s="56">
        <v>7999</v>
      </c>
      <c r="I30" s="56">
        <v>7999</v>
      </c>
      <c r="J30" s="55">
        <v>6399</v>
      </c>
      <c r="K30" s="55">
        <v>6399</v>
      </c>
      <c r="L30" s="55">
        <v>6399</v>
      </c>
      <c r="M30" s="55">
        <v>6399</v>
      </c>
      <c r="N30" s="55">
        <v>6399</v>
      </c>
      <c r="O30" s="56">
        <v>6299</v>
      </c>
      <c r="P30" s="56">
        <v>6199</v>
      </c>
      <c r="Q30" s="56">
        <v>5999</v>
      </c>
      <c r="R30" s="56">
        <v>6299</v>
      </c>
      <c r="S30" s="56">
        <v>6199</v>
      </c>
      <c r="T30" s="56">
        <v>5999</v>
      </c>
      <c r="U30" s="56">
        <v>5999</v>
      </c>
      <c r="V30" s="56">
        <v>5999</v>
      </c>
      <c r="W30" s="56">
        <v>5999</v>
      </c>
      <c r="X30" s="56">
        <v>5899</v>
      </c>
      <c r="Y30" s="56">
        <v>5499</v>
      </c>
      <c r="Z30" s="56">
        <v>5499</v>
      </c>
      <c r="AA30" s="56">
        <v>5499</v>
      </c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7"/>
      <c r="AW30" s="58" t="s">
        <v>67</v>
      </c>
      <c r="AX30" s="59" t="s">
        <v>68</v>
      </c>
      <c r="AY30" s="60">
        <f t="shared" si="0"/>
        <v>161.57980000000001</v>
      </c>
      <c r="AZ30" s="60">
        <f t="shared" si="1"/>
        <v>145.58180000000002</v>
      </c>
      <c r="BA30" s="61">
        <f t="shared" si="2"/>
        <v>82.389700000000005</v>
      </c>
    </row>
    <row r="31" spans="1:53" ht="22.5" customHeight="1">
      <c r="A31" s="51" t="s">
        <v>63</v>
      </c>
      <c r="B31" s="52" t="s">
        <v>64</v>
      </c>
      <c r="C31" s="53">
        <v>4015112</v>
      </c>
      <c r="D31" s="54" t="s">
        <v>93</v>
      </c>
      <c r="E31" s="54" t="s">
        <v>94</v>
      </c>
      <c r="F31" s="55">
        <v>10499</v>
      </c>
      <c r="G31" s="55">
        <v>5899</v>
      </c>
      <c r="H31" s="56">
        <v>6999</v>
      </c>
      <c r="I31" s="56">
        <v>6999</v>
      </c>
      <c r="J31" s="55">
        <v>5899</v>
      </c>
      <c r="K31" s="55">
        <v>5899</v>
      </c>
      <c r="L31" s="55">
        <v>5899</v>
      </c>
      <c r="M31" s="55">
        <v>5899</v>
      </c>
      <c r="N31" s="55">
        <v>5899</v>
      </c>
      <c r="O31" s="56">
        <v>5799</v>
      </c>
      <c r="P31" s="56">
        <v>5699</v>
      </c>
      <c r="Q31" s="56">
        <v>5499</v>
      </c>
      <c r="R31" s="56">
        <v>5799</v>
      </c>
      <c r="S31" s="56">
        <v>5699</v>
      </c>
      <c r="T31" s="56">
        <v>5499</v>
      </c>
      <c r="U31" s="56">
        <v>5499</v>
      </c>
      <c r="V31" s="56">
        <v>5499</v>
      </c>
      <c r="W31" s="56">
        <v>5499</v>
      </c>
      <c r="X31" s="56">
        <v>5399</v>
      </c>
      <c r="Y31" s="56">
        <v>4999</v>
      </c>
      <c r="Z31" s="56">
        <v>4999</v>
      </c>
      <c r="AA31" s="56">
        <v>4999</v>
      </c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7"/>
      <c r="AW31" s="58" t="s">
        <v>67</v>
      </c>
      <c r="AX31" s="59" t="s">
        <v>68</v>
      </c>
      <c r="AY31" s="60">
        <f t="shared" si="0"/>
        <v>141.37979999999999</v>
      </c>
      <c r="AZ31" s="60">
        <f t="shared" si="1"/>
        <v>127.38180000000001</v>
      </c>
      <c r="BA31" s="61">
        <f t="shared" si="2"/>
        <v>72.089700000000008</v>
      </c>
    </row>
    <row r="32" spans="1:53" ht="22.5" customHeight="1">
      <c r="A32" s="51" t="s">
        <v>63</v>
      </c>
      <c r="B32" s="52" t="s">
        <v>64</v>
      </c>
      <c r="C32" s="53">
        <v>4015116</v>
      </c>
      <c r="D32" s="54" t="s">
        <v>93</v>
      </c>
      <c r="E32" s="54" t="s">
        <v>95</v>
      </c>
      <c r="F32" s="55">
        <v>10499</v>
      </c>
      <c r="G32" s="55">
        <v>5899</v>
      </c>
      <c r="H32" s="56">
        <v>6999</v>
      </c>
      <c r="I32" s="56">
        <v>6999</v>
      </c>
      <c r="J32" s="55">
        <v>5899</v>
      </c>
      <c r="K32" s="55">
        <v>5899</v>
      </c>
      <c r="L32" s="55">
        <v>5899</v>
      </c>
      <c r="M32" s="55">
        <v>5899</v>
      </c>
      <c r="N32" s="55">
        <v>5899</v>
      </c>
      <c r="O32" s="56">
        <v>5799</v>
      </c>
      <c r="P32" s="56">
        <v>5699</v>
      </c>
      <c r="Q32" s="56">
        <v>5499</v>
      </c>
      <c r="R32" s="56">
        <v>5799</v>
      </c>
      <c r="S32" s="56">
        <v>5699</v>
      </c>
      <c r="T32" s="56">
        <v>5499</v>
      </c>
      <c r="U32" s="56">
        <v>5499</v>
      </c>
      <c r="V32" s="56">
        <v>5499</v>
      </c>
      <c r="W32" s="56">
        <v>5499</v>
      </c>
      <c r="X32" s="56">
        <v>5399</v>
      </c>
      <c r="Y32" s="56">
        <v>4999</v>
      </c>
      <c r="Z32" s="56">
        <v>4999</v>
      </c>
      <c r="AA32" s="56">
        <v>4999</v>
      </c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7"/>
      <c r="AW32" s="58" t="s">
        <v>67</v>
      </c>
      <c r="AX32" s="59" t="s">
        <v>68</v>
      </c>
      <c r="AY32" s="60">
        <f t="shared" si="0"/>
        <v>141.37979999999999</v>
      </c>
      <c r="AZ32" s="60">
        <f t="shared" si="1"/>
        <v>127.38180000000001</v>
      </c>
      <c r="BA32" s="61">
        <f t="shared" si="2"/>
        <v>72.089700000000008</v>
      </c>
    </row>
    <row r="33" spans="1:53" ht="22.5" customHeight="1">
      <c r="A33" s="51" t="s">
        <v>63</v>
      </c>
      <c r="B33" s="52" t="s">
        <v>64</v>
      </c>
      <c r="C33" s="53">
        <v>4015742</v>
      </c>
      <c r="D33" s="54" t="s">
        <v>96</v>
      </c>
      <c r="E33" s="54" t="s">
        <v>97</v>
      </c>
      <c r="F33" s="55">
        <v>7299</v>
      </c>
      <c r="G33" s="55">
        <v>5399</v>
      </c>
      <c r="H33" s="56">
        <v>5699</v>
      </c>
      <c r="I33" s="56">
        <v>5699</v>
      </c>
      <c r="J33" s="55">
        <v>4999</v>
      </c>
      <c r="K33" s="55">
        <v>4899</v>
      </c>
      <c r="L33" s="55">
        <v>4899</v>
      </c>
      <c r="M33" s="55">
        <v>4999</v>
      </c>
      <c r="N33" s="55">
        <v>4899</v>
      </c>
      <c r="O33" s="56">
        <v>4799</v>
      </c>
      <c r="P33" s="56">
        <v>4699</v>
      </c>
      <c r="Q33" s="56">
        <v>4499</v>
      </c>
      <c r="R33" s="56">
        <v>4799</v>
      </c>
      <c r="S33" s="56">
        <v>4699</v>
      </c>
      <c r="T33" s="56">
        <v>4499</v>
      </c>
      <c r="U33" s="56">
        <v>4399</v>
      </c>
      <c r="V33" s="56">
        <v>4399</v>
      </c>
      <c r="W33" s="56">
        <v>4299</v>
      </c>
      <c r="X33" s="56">
        <v>4199</v>
      </c>
      <c r="Y33" s="56">
        <v>3499</v>
      </c>
      <c r="Z33" s="56">
        <v>3499</v>
      </c>
      <c r="AA33" s="56">
        <v>3499</v>
      </c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7"/>
      <c r="AW33" s="58" t="s">
        <v>67</v>
      </c>
      <c r="AX33" s="59" t="s">
        <v>68</v>
      </c>
      <c r="AY33" s="60">
        <f t="shared" si="0"/>
        <v>115.1198</v>
      </c>
      <c r="AZ33" s="60">
        <f t="shared" si="1"/>
        <v>103.7218</v>
      </c>
      <c r="BA33" s="61">
        <f t="shared" si="2"/>
        <v>58.6997</v>
      </c>
    </row>
    <row r="34" spans="1:53" ht="22.5" customHeight="1">
      <c r="A34" s="51" t="s">
        <v>63</v>
      </c>
      <c r="B34" s="52" t="s">
        <v>64</v>
      </c>
      <c r="C34" s="53">
        <v>4015725</v>
      </c>
      <c r="D34" s="54" t="s">
        <v>96</v>
      </c>
      <c r="E34" s="54" t="s">
        <v>98</v>
      </c>
      <c r="F34" s="55">
        <v>7299</v>
      </c>
      <c r="G34" s="55">
        <v>5399</v>
      </c>
      <c r="H34" s="56">
        <v>5699</v>
      </c>
      <c r="I34" s="56">
        <v>5699</v>
      </c>
      <c r="J34" s="55">
        <v>4999</v>
      </c>
      <c r="K34" s="55">
        <v>4899</v>
      </c>
      <c r="L34" s="55">
        <v>4899</v>
      </c>
      <c r="M34" s="55">
        <v>4999</v>
      </c>
      <c r="N34" s="55">
        <v>4899</v>
      </c>
      <c r="O34" s="56">
        <v>4799</v>
      </c>
      <c r="P34" s="56">
        <v>4699</v>
      </c>
      <c r="Q34" s="56">
        <v>4499</v>
      </c>
      <c r="R34" s="56">
        <v>4799</v>
      </c>
      <c r="S34" s="56">
        <v>4699</v>
      </c>
      <c r="T34" s="56">
        <v>4499</v>
      </c>
      <c r="U34" s="56">
        <v>4399</v>
      </c>
      <c r="V34" s="56">
        <v>4399</v>
      </c>
      <c r="W34" s="56">
        <v>4299</v>
      </c>
      <c r="X34" s="56">
        <v>4199</v>
      </c>
      <c r="Y34" s="56">
        <v>3499</v>
      </c>
      <c r="Z34" s="56">
        <v>3499</v>
      </c>
      <c r="AA34" s="56">
        <v>3499</v>
      </c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7"/>
      <c r="AW34" s="58" t="s">
        <v>67</v>
      </c>
      <c r="AX34" s="59" t="s">
        <v>68</v>
      </c>
      <c r="AY34" s="60">
        <f t="shared" si="0"/>
        <v>115.1198</v>
      </c>
      <c r="AZ34" s="60">
        <f t="shared" si="1"/>
        <v>103.7218</v>
      </c>
      <c r="BA34" s="61">
        <f t="shared" si="2"/>
        <v>58.6997</v>
      </c>
    </row>
    <row r="35" spans="1:53" ht="22.5" customHeight="1">
      <c r="A35" s="51" t="s">
        <v>63</v>
      </c>
      <c r="B35" s="52" t="s">
        <v>64</v>
      </c>
      <c r="C35" s="53">
        <v>4015794</v>
      </c>
      <c r="D35" s="54" t="s">
        <v>96</v>
      </c>
      <c r="E35" s="54" t="s">
        <v>99</v>
      </c>
      <c r="F35" s="55">
        <v>7299</v>
      </c>
      <c r="G35" s="55">
        <v>5399</v>
      </c>
      <c r="H35" s="56">
        <v>5699</v>
      </c>
      <c r="I35" s="56">
        <v>5699</v>
      </c>
      <c r="J35" s="55">
        <v>4999</v>
      </c>
      <c r="K35" s="55">
        <v>4899</v>
      </c>
      <c r="L35" s="55">
        <v>4899</v>
      </c>
      <c r="M35" s="55">
        <v>4999</v>
      </c>
      <c r="N35" s="55">
        <v>4899</v>
      </c>
      <c r="O35" s="56">
        <v>4799</v>
      </c>
      <c r="P35" s="56">
        <v>4699</v>
      </c>
      <c r="Q35" s="56">
        <v>4499</v>
      </c>
      <c r="R35" s="56">
        <v>4799</v>
      </c>
      <c r="S35" s="56">
        <v>4699</v>
      </c>
      <c r="T35" s="56">
        <v>4499</v>
      </c>
      <c r="U35" s="56">
        <v>4399</v>
      </c>
      <c r="V35" s="56">
        <v>4399</v>
      </c>
      <c r="W35" s="56">
        <v>4299</v>
      </c>
      <c r="X35" s="56">
        <v>4199</v>
      </c>
      <c r="Y35" s="56">
        <v>3499</v>
      </c>
      <c r="Z35" s="56">
        <v>3499</v>
      </c>
      <c r="AA35" s="56">
        <v>3499</v>
      </c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7"/>
      <c r="AW35" s="58" t="s">
        <v>67</v>
      </c>
      <c r="AX35" s="59" t="s">
        <v>68</v>
      </c>
      <c r="AY35" s="60">
        <f t="shared" si="0"/>
        <v>115.1198</v>
      </c>
      <c r="AZ35" s="60">
        <f t="shared" si="1"/>
        <v>103.7218</v>
      </c>
      <c r="BA35" s="61">
        <f t="shared" si="2"/>
        <v>58.6997</v>
      </c>
    </row>
    <row r="36" spans="1:53" ht="22.5" customHeight="1">
      <c r="A36" s="51" t="s">
        <v>63</v>
      </c>
      <c r="B36" s="52" t="s">
        <v>64</v>
      </c>
      <c r="C36" s="53">
        <v>4015808</v>
      </c>
      <c r="D36" s="54" t="s">
        <v>96</v>
      </c>
      <c r="E36" s="54" t="s">
        <v>100</v>
      </c>
      <c r="F36" s="55">
        <v>7299</v>
      </c>
      <c r="G36" s="55">
        <v>5399</v>
      </c>
      <c r="H36" s="56">
        <v>5699</v>
      </c>
      <c r="I36" s="56">
        <v>5699</v>
      </c>
      <c r="J36" s="55">
        <v>4999</v>
      </c>
      <c r="K36" s="55">
        <v>4899</v>
      </c>
      <c r="L36" s="55">
        <v>4899</v>
      </c>
      <c r="M36" s="55">
        <v>4999</v>
      </c>
      <c r="N36" s="55">
        <v>4899</v>
      </c>
      <c r="O36" s="56">
        <v>4799</v>
      </c>
      <c r="P36" s="56">
        <v>4699</v>
      </c>
      <c r="Q36" s="56">
        <v>4499</v>
      </c>
      <c r="R36" s="56">
        <v>4799</v>
      </c>
      <c r="S36" s="56">
        <v>4699</v>
      </c>
      <c r="T36" s="56">
        <v>4499</v>
      </c>
      <c r="U36" s="56">
        <v>4399</v>
      </c>
      <c r="V36" s="56">
        <v>4399</v>
      </c>
      <c r="W36" s="56">
        <v>4299</v>
      </c>
      <c r="X36" s="56">
        <v>4199</v>
      </c>
      <c r="Y36" s="56">
        <v>3499</v>
      </c>
      <c r="Z36" s="56">
        <v>3499</v>
      </c>
      <c r="AA36" s="56">
        <v>3499</v>
      </c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7"/>
      <c r="AW36" s="58" t="s">
        <v>67</v>
      </c>
      <c r="AX36" s="59" t="s">
        <v>68</v>
      </c>
      <c r="AY36" s="60">
        <f t="shared" si="0"/>
        <v>115.1198</v>
      </c>
      <c r="AZ36" s="60">
        <f t="shared" si="1"/>
        <v>103.7218</v>
      </c>
      <c r="BA36" s="61">
        <f t="shared" si="2"/>
        <v>58.6997</v>
      </c>
    </row>
    <row r="37" spans="1:53" ht="22.5" customHeight="1">
      <c r="A37" s="51" t="s">
        <v>63</v>
      </c>
      <c r="B37" s="52" t="s">
        <v>64</v>
      </c>
      <c r="C37" s="53">
        <v>4015743</v>
      </c>
      <c r="D37" s="54" t="s">
        <v>101</v>
      </c>
      <c r="E37" s="54" t="s">
        <v>102</v>
      </c>
      <c r="F37" s="55">
        <v>8099</v>
      </c>
      <c r="G37" s="55">
        <v>3899</v>
      </c>
      <c r="H37" s="56">
        <v>5199</v>
      </c>
      <c r="I37" s="56">
        <v>5199</v>
      </c>
      <c r="J37" s="55">
        <v>5099</v>
      </c>
      <c r="K37" s="55">
        <v>5099</v>
      </c>
      <c r="L37" s="55">
        <v>5099</v>
      </c>
      <c r="M37" s="55">
        <v>5099</v>
      </c>
      <c r="N37" s="55">
        <v>5099</v>
      </c>
      <c r="O37" s="56">
        <v>4999</v>
      </c>
      <c r="P37" s="56">
        <v>4899</v>
      </c>
      <c r="Q37" s="56">
        <v>3999</v>
      </c>
      <c r="R37" s="56">
        <v>4999</v>
      </c>
      <c r="S37" s="56">
        <v>4899</v>
      </c>
      <c r="T37" s="56">
        <v>3999</v>
      </c>
      <c r="U37" s="56">
        <v>3999</v>
      </c>
      <c r="V37" s="56">
        <v>3999</v>
      </c>
      <c r="W37" s="56">
        <v>3999</v>
      </c>
      <c r="X37" s="56">
        <v>3899</v>
      </c>
      <c r="Y37" s="56">
        <v>3699</v>
      </c>
      <c r="Z37" s="56">
        <v>3699</v>
      </c>
      <c r="AA37" s="56">
        <v>3649</v>
      </c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7"/>
      <c r="AW37" s="58" t="s">
        <v>67</v>
      </c>
      <c r="AX37" s="59" t="s">
        <v>68</v>
      </c>
      <c r="AY37" s="60">
        <f t="shared" si="0"/>
        <v>105.01979999999999</v>
      </c>
      <c r="AZ37" s="60">
        <f t="shared" si="1"/>
        <v>94.621800000000007</v>
      </c>
      <c r="BA37" s="61">
        <f t="shared" si="2"/>
        <v>53.549700000000001</v>
      </c>
    </row>
    <row r="38" spans="1:53" ht="22.5" customHeight="1">
      <c r="A38" s="51" t="s">
        <v>63</v>
      </c>
      <c r="B38" s="52" t="s">
        <v>64</v>
      </c>
      <c r="C38" s="53">
        <v>4015770</v>
      </c>
      <c r="D38" s="54" t="s">
        <v>101</v>
      </c>
      <c r="E38" s="54" t="s">
        <v>103</v>
      </c>
      <c r="F38" s="55">
        <v>8099</v>
      </c>
      <c r="G38" s="55">
        <v>3899</v>
      </c>
      <c r="H38" s="56">
        <v>5199</v>
      </c>
      <c r="I38" s="56">
        <v>5199</v>
      </c>
      <c r="J38" s="55">
        <v>5099</v>
      </c>
      <c r="K38" s="55">
        <v>5099</v>
      </c>
      <c r="L38" s="55">
        <v>5099</v>
      </c>
      <c r="M38" s="55">
        <v>5099</v>
      </c>
      <c r="N38" s="55">
        <v>5099</v>
      </c>
      <c r="O38" s="56">
        <v>4999</v>
      </c>
      <c r="P38" s="56">
        <v>4899</v>
      </c>
      <c r="Q38" s="56">
        <v>3999</v>
      </c>
      <c r="R38" s="56">
        <v>4999</v>
      </c>
      <c r="S38" s="56">
        <v>4899</v>
      </c>
      <c r="T38" s="56">
        <v>3999</v>
      </c>
      <c r="U38" s="56">
        <v>3999</v>
      </c>
      <c r="V38" s="56">
        <v>3999</v>
      </c>
      <c r="W38" s="56">
        <v>3999</v>
      </c>
      <c r="X38" s="56">
        <v>3899</v>
      </c>
      <c r="Y38" s="56">
        <v>3699</v>
      </c>
      <c r="Z38" s="56">
        <v>3699</v>
      </c>
      <c r="AA38" s="56">
        <v>3649</v>
      </c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7"/>
      <c r="AW38" s="58" t="s">
        <v>67</v>
      </c>
      <c r="AX38" s="59" t="s">
        <v>68</v>
      </c>
      <c r="AY38" s="60">
        <f t="shared" si="0"/>
        <v>105.01979999999999</v>
      </c>
      <c r="AZ38" s="60">
        <f t="shared" si="1"/>
        <v>94.621800000000007</v>
      </c>
      <c r="BA38" s="61">
        <f t="shared" si="2"/>
        <v>53.549700000000001</v>
      </c>
    </row>
    <row r="39" spans="1:53" ht="22.5" customHeight="1">
      <c r="A39" s="51" t="s">
        <v>63</v>
      </c>
      <c r="B39" s="52" t="s">
        <v>64</v>
      </c>
      <c r="C39" s="53">
        <v>4015960</v>
      </c>
      <c r="D39" s="54" t="s">
        <v>101</v>
      </c>
      <c r="E39" s="54" t="s">
        <v>104</v>
      </c>
      <c r="F39" s="55">
        <v>8099</v>
      </c>
      <c r="G39" s="55">
        <v>3899</v>
      </c>
      <c r="H39" s="56">
        <v>5199</v>
      </c>
      <c r="I39" s="56">
        <v>5199</v>
      </c>
      <c r="J39" s="55">
        <v>5099</v>
      </c>
      <c r="K39" s="55">
        <v>5099</v>
      </c>
      <c r="L39" s="55">
        <v>5099</v>
      </c>
      <c r="M39" s="55">
        <v>5099</v>
      </c>
      <c r="N39" s="55">
        <v>5099</v>
      </c>
      <c r="O39" s="56">
        <v>4999</v>
      </c>
      <c r="P39" s="56">
        <v>4899</v>
      </c>
      <c r="Q39" s="56">
        <v>3999</v>
      </c>
      <c r="R39" s="56">
        <v>4999</v>
      </c>
      <c r="S39" s="56">
        <v>4899</v>
      </c>
      <c r="T39" s="56">
        <v>3999</v>
      </c>
      <c r="U39" s="56">
        <v>3999</v>
      </c>
      <c r="V39" s="56">
        <v>3999</v>
      </c>
      <c r="W39" s="56">
        <v>3999</v>
      </c>
      <c r="X39" s="56">
        <v>3899</v>
      </c>
      <c r="Y39" s="56">
        <v>3699</v>
      </c>
      <c r="Z39" s="56">
        <v>3699</v>
      </c>
      <c r="AA39" s="56">
        <v>3649</v>
      </c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7"/>
      <c r="AW39" s="58" t="s">
        <v>67</v>
      </c>
      <c r="AX39" s="59" t="s">
        <v>68</v>
      </c>
      <c r="AY39" s="60">
        <f t="shared" si="0"/>
        <v>105.01979999999999</v>
      </c>
      <c r="AZ39" s="60">
        <f t="shared" si="1"/>
        <v>94.621800000000007</v>
      </c>
      <c r="BA39" s="61">
        <f t="shared" si="2"/>
        <v>53.549700000000001</v>
      </c>
    </row>
    <row r="40" spans="1:53" ht="22.5" customHeight="1">
      <c r="A40" s="51" t="s">
        <v>63</v>
      </c>
      <c r="B40" s="52" t="s">
        <v>64</v>
      </c>
      <c r="C40" s="53">
        <v>4015961</v>
      </c>
      <c r="D40" s="54" t="s">
        <v>101</v>
      </c>
      <c r="E40" s="54" t="s">
        <v>105</v>
      </c>
      <c r="F40" s="55">
        <v>8099</v>
      </c>
      <c r="G40" s="55">
        <v>3899</v>
      </c>
      <c r="H40" s="56">
        <v>5199</v>
      </c>
      <c r="I40" s="56">
        <v>5199</v>
      </c>
      <c r="J40" s="55">
        <v>5099</v>
      </c>
      <c r="K40" s="55">
        <v>5099</v>
      </c>
      <c r="L40" s="55">
        <v>5099</v>
      </c>
      <c r="M40" s="55">
        <v>5099</v>
      </c>
      <c r="N40" s="55">
        <v>5099</v>
      </c>
      <c r="O40" s="56">
        <v>4999</v>
      </c>
      <c r="P40" s="56">
        <v>4899</v>
      </c>
      <c r="Q40" s="56">
        <v>3999</v>
      </c>
      <c r="R40" s="56">
        <v>4999</v>
      </c>
      <c r="S40" s="56">
        <v>4899</v>
      </c>
      <c r="T40" s="56">
        <v>3999</v>
      </c>
      <c r="U40" s="56">
        <v>3999</v>
      </c>
      <c r="V40" s="56">
        <v>3999</v>
      </c>
      <c r="W40" s="56">
        <v>3999</v>
      </c>
      <c r="X40" s="56">
        <v>3899</v>
      </c>
      <c r="Y40" s="56">
        <v>3699</v>
      </c>
      <c r="Z40" s="56">
        <v>3699</v>
      </c>
      <c r="AA40" s="56">
        <v>3649</v>
      </c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7"/>
      <c r="AW40" s="58" t="s">
        <v>67</v>
      </c>
      <c r="AX40" s="59" t="s">
        <v>68</v>
      </c>
      <c r="AY40" s="60">
        <f t="shared" si="0"/>
        <v>105.01979999999999</v>
      </c>
      <c r="AZ40" s="60">
        <f t="shared" si="1"/>
        <v>94.621800000000007</v>
      </c>
      <c r="BA40" s="61">
        <f t="shared" si="2"/>
        <v>53.549700000000001</v>
      </c>
    </row>
    <row r="41" spans="1:53" ht="22.5" customHeight="1">
      <c r="A41" s="51" t="s">
        <v>63</v>
      </c>
      <c r="B41" s="52" t="s">
        <v>64</v>
      </c>
      <c r="C41" s="53">
        <v>4015963</v>
      </c>
      <c r="D41" s="54" t="s">
        <v>101</v>
      </c>
      <c r="E41" s="54" t="s">
        <v>106</v>
      </c>
      <c r="F41" s="55">
        <v>8099</v>
      </c>
      <c r="G41" s="55">
        <v>3899</v>
      </c>
      <c r="H41" s="56">
        <v>5199</v>
      </c>
      <c r="I41" s="56">
        <v>5199</v>
      </c>
      <c r="J41" s="55">
        <v>5099</v>
      </c>
      <c r="K41" s="55">
        <v>5099</v>
      </c>
      <c r="L41" s="55">
        <v>5099</v>
      </c>
      <c r="M41" s="55">
        <v>5099</v>
      </c>
      <c r="N41" s="55">
        <v>5099</v>
      </c>
      <c r="O41" s="56">
        <v>4999</v>
      </c>
      <c r="P41" s="56">
        <v>4899</v>
      </c>
      <c r="Q41" s="56">
        <v>3999</v>
      </c>
      <c r="R41" s="56">
        <v>4999</v>
      </c>
      <c r="S41" s="56">
        <v>4899</v>
      </c>
      <c r="T41" s="56">
        <v>3999</v>
      </c>
      <c r="U41" s="56">
        <v>3999</v>
      </c>
      <c r="V41" s="56">
        <v>3999</v>
      </c>
      <c r="W41" s="56">
        <v>3999</v>
      </c>
      <c r="X41" s="56">
        <v>3899</v>
      </c>
      <c r="Y41" s="56">
        <v>3699</v>
      </c>
      <c r="Z41" s="56">
        <v>3699</v>
      </c>
      <c r="AA41" s="56">
        <v>3649</v>
      </c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7"/>
      <c r="AW41" s="58" t="s">
        <v>67</v>
      </c>
      <c r="AX41" s="59" t="s">
        <v>68</v>
      </c>
      <c r="AY41" s="60">
        <f t="shared" si="0"/>
        <v>105.01979999999999</v>
      </c>
      <c r="AZ41" s="60">
        <f t="shared" si="1"/>
        <v>94.621800000000007</v>
      </c>
      <c r="BA41" s="61">
        <f t="shared" si="2"/>
        <v>53.549700000000001</v>
      </c>
    </row>
    <row r="42" spans="1:53" ht="22.5" customHeight="1">
      <c r="A42" s="51" t="s">
        <v>63</v>
      </c>
      <c r="B42" s="52" t="s">
        <v>64</v>
      </c>
      <c r="C42" s="53">
        <v>4015744</v>
      </c>
      <c r="D42" s="54" t="s">
        <v>107</v>
      </c>
      <c r="E42" s="54" t="s">
        <v>108</v>
      </c>
      <c r="F42" s="55">
        <v>9599</v>
      </c>
      <c r="G42" s="55">
        <v>7899</v>
      </c>
      <c r="H42" s="56">
        <v>7499</v>
      </c>
      <c r="I42" s="56">
        <v>7499</v>
      </c>
      <c r="J42" s="55">
        <v>5599</v>
      </c>
      <c r="K42" s="55">
        <v>5599</v>
      </c>
      <c r="L42" s="55">
        <v>5499</v>
      </c>
      <c r="M42" s="55">
        <v>5599</v>
      </c>
      <c r="N42" s="55">
        <v>5599</v>
      </c>
      <c r="O42" s="56">
        <v>5499</v>
      </c>
      <c r="P42" s="56">
        <v>5399</v>
      </c>
      <c r="Q42" s="56">
        <v>5199</v>
      </c>
      <c r="R42" s="56">
        <v>5499</v>
      </c>
      <c r="S42" s="56">
        <v>5399</v>
      </c>
      <c r="T42" s="56">
        <v>5199</v>
      </c>
      <c r="U42" s="56">
        <v>5099</v>
      </c>
      <c r="V42" s="56">
        <v>5099</v>
      </c>
      <c r="W42" s="56">
        <v>5099</v>
      </c>
      <c r="X42" s="56">
        <v>4999</v>
      </c>
      <c r="Y42" s="56">
        <v>4599</v>
      </c>
      <c r="Z42" s="56">
        <v>4599</v>
      </c>
      <c r="AA42" s="56">
        <v>4549</v>
      </c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7"/>
      <c r="AW42" s="58" t="s">
        <v>67</v>
      </c>
      <c r="AX42" s="59" t="s">
        <v>68</v>
      </c>
      <c r="AY42" s="60">
        <f t="shared" si="0"/>
        <v>151.47979999999998</v>
      </c>
      <c r="AZ42" s="60">
        <f t="shared" si="1"/>
        <v>136.48179999999999</v>
      </c>
      <c r="BA42" s="61">
        <f t="shared" si="2"/>
        <v>77.239699999999999</v>
      </c>
    </row>
    <row r="43" spans="1:53" ht="22.5" customHeight="1">
      <c r="A43" s="51" t="s">
        <v>63</v>
      </c>
      <c r="B43" s="52" t="s">
        <v>64</v>
      </c>
      <c r="C43" s="53">
        <v>4015965</v>
      </c>
      <c r="D43" s="54" t="s">
        <v>107</v>
      </c>
      <c r="E43" s="54" t="s">
        <v>109</v>
      </c>
      <c r="F43" s="55">
        <v>9599</v>
      </c>
      <c r="G43" s="55">
        <v>7899</v>
      </c>
      <c r="H43" s="56">
        <v>7499</v>
      </c>
      <c r="I43" s="56">
        <v>7499</v>
      </c>
      <c r="J43" s="55">
        <v>5599</v>
      </c>
      <c r="K43" s="55">
        <v>5599</v>
      </c>
      <c r="L43" s="55">
        <v>5499</v>
      </c>
      <c r="M43" s="55">
        <v>5599</v>
      </c>
      <c r="N43" s="55">
        <v>5599</v>
      </c>
      <c r="O43" s="56">
        <v>5499</v>
      </c>
      <c r="P43" s="56">
        <v>5399</v>
      </c>
      <c r="Q43" s="56">
        <v>5199</v>
      </c>
      <c r="R43" s="56">
        <v>5499</v>
      </c>
      <c r="S43" s="56">
        <v>5399</v>
      </c>
      <c r="T43" s="56">
        <v>5199</v>
      </c>
      <c r="U43" s="56">
        <v>5099</v>
      </c>
      <c r="V43" s="56">
        <v>5099</v>
      </c>
      <c r="W43" s="56">
        <v>5099</v>
      </c>
      <c r="X43" s="56">
        <v>4999</v>
      </c>
      <c r="Y43" s="56">
        <v>4599</v>
      </c>
      <c r="Z43" s="56">
        <v>4599</v>
      </c>
      <c r="AA43" s="56">
        <v>4549</v>
      </c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7"/>
      <c r="AW43" s="58" t="s">
        <v>67</v>
      </c>
      <c r="AX43" s="59" t="s">
        <v>68</v>
      </c>
      <c r="AY43" s="60">
        <f t="shared" si="0"/>
        <v>151.47979999999998</v>
      </c>
      <c r="AZ43" s="60">
        <f t="shared" si="1"/>
        <v>136.48179999999999</v>
      </c>
      <c r="BA43" s="61">
        <f t="shared" si="2"/>
        <v>77.239699999999999</v>
      </c>
    </row>
    <row r="44" spans="1:53" ht="22.5" customHeight="1">
      <c r="A44" s="51" t="s">
        <v>63</v>
      </c>
      <c r="B44" s="52" t="s">
        <v>64</v>
      </c>
      <c r="C44" s="53">
        <v>4015746</v>
      </c>
      <c r="D44" s="54" t="s">
        <v>110</v>
      </c>
      <c r="E44" s="54" t="s">
        <v>111</v>
      </c>
      <c r="F44" s="55">
        <v>9099</v>
      </c>
      <c r="G44" s="55">
        <v>6099</v>
      </c>
      <c r="H44" s="56">
        <v>6999</v>
      </c>
      <c r="I44" s="56">
        <v>6999</v>
      </c>
      <c r="J44" s="55">
        <v>5899</v>
      </c>
      <c r="K44" s="55">
        <v>5899</v>
      </c>
      <c r="L44" s="55">
        <v>5899</v>
      </c>
      <c r="M44" s="55">
        <v>5899</v>
      </c>
      <c r="N44" s="55">
        <v>5899</v>
      </c>
      <c r="O44" s="56">
        <v>5799</v>
      </c>
      <c r="P44" s="56">
        <v>5699</v>
      </c>
      <c r="Q44" s="56">
        <v>5499</v>
      </c>
      <c r="R44" s="56">
        <v>5799</v>
      </c>
      <c r="S44" s="56">
        <v>5699</v>
      </c>
      <c r="T44" s="56">
        <v>5499</v>
      </c>
      <c r="U44" s="56">
        <v>5499</v>
      </c>
      <c r="V44" s="56">
        <v>5499</v>
      </c>
      <c r="W44" s="56">
        <v>5499</v>
      </c>
      <c r="X44" s="56">
        <v>5399</v>
      </c>
      <c r="Y44" s="56">
        <v>4999</v>
      </c>
      <c r="Z44" s="56">
        <v>4999</v>
      </c>
      <c r="AA44" s="56">
        <v>4999</v>
      </c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7"/>
      <c r="AW44" s="58" t="s">
        <v>67</v>
      </c>
      <c r="AX44" s="59" t="s">
        <v>68</v>
      </c>
      <c r="AY44" s="60">
        <f t="shared" si="0"/>
        <v>141.37979999999999</v>
      </c>
      <c r="AZ44" s="60">
        <f t="shared" si="1"/>
        <v>127.38180000000001</v>
      </c>
      <c r="BA44" s="61">
        <f t="shared" si="2"/>
        <v>72.089700000000008</v>
      </c>
    </row>
    <row r="45" spans="1:53" ht="22.5" customHeight="1">
      <c r="A45" s="51" t="s">
        <v>63</v>
      </c>
      <c r="B45" s="52" t="s">
        <v>64</v>
      </c>
      <c r="C45" s="53">
        <v>4015748</v>
      </c>
      <c r="D45" s="54" t="s">
        <v>112</v>
      </c>
      <c r="E45" s="54" t="s">
        <v>113</v>
      </c>
      <c r="F45" s="55">
        <v>9299</v>
      </c>
      <c r="G45" s="55">
        <v>6399</v>
      </c>
      <c r="H45" s="56">
        <v>7099</v>
      </c>
      <c r="I45" s="56">
        <v>7099</v>
      </c>
      <c r="J45" s="55">
        <v>6399</v>
      </c>
      <c r="K45" s="55">
        <v>6399</v>
      </c>
      <c r="L45" s="55">
        <v>6399</v>
      </c>
      <c r="M45" s="55">
        <v>6399</v>
      </c>
      <c r="N45" s="55">
        <v>6399</v>
      </c>
      <c r="O45" s="55">
        <v>6299</v>
      </c>
      <c r="P45" s="56">
        <v>6199</v>
      </c>
      <c r="Q45" s="56">
        <v>5999</v>
      </c>
      <c r="R45" s="55">
        <v>6299</v>
      </c>
      <c r="S45" s="55">
        <v>6199</v>
      </c>
      <c r="T45" s="56">
        <v>5999</v>
      </c>
      <c r="U45" s="56">
        <v>5999</v>
      </c>
      <c r="V45" s="56">
        <v>5999</v>
      </c>
      <c r="W45" s="56">
        <v>5999</v>
      </c>
      <c r="X45" s="56">
        <v>5899</v>
      </c>
      <c r="Y45" s="56">
        <v>5499</v>
      </c>
      <c r="Z45" s="56">
        <v>5499</v>
      </c>
      <c r="AA45" s="56">
        <v>5499</v>
      </c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7"/>
      <c r="AW45" s="58" t="s">
        <v>67</v>
      </c>
      <c r="AX45" s="59" t="s">
        <v>68</v>
      </c>
      <c r="AY45" s="60">
        <f t="shared" si="0"/>
        <v>143.3998</v>
      </c>
      <c r="AZ45" s="60">
        <f t="shared" si="1"/>
        <v>129.20180000000002</v>
      </c>
      <c r="BA45" s="61">
        <f t="shared" si="2"/>
        <v>73.119699999999995</v>
      </c>
    </row>
    <row r="46" spans="1:53" ht="22.5" customHeight="1">
      <c r="A46" s="51" t="s">
        <v>63</v>
      </c>
      <c r="B46" s="52" t="s">
        <v>64</v>
      </c>
      <c r="C46" s="53">
        <v>4015796</v>
      </c>
      <c r="D46" s="54" t="s">
        <v>112</v>
      </c>
      <c r="E46" s="54" t="s">
        <v>114</v>
      </c>
      <c r="F46" s="55">
        <v>9299</v>
      </c>
      <c r="G46" s="55">
        <v>6399</v>
      </c>
      <c r="H46" s="56">
        <v>7099</v>
      </c>
      <c r="I46" s="56">
        <v>7099</v>
      </c>
      <c r="J46" s="55">
        <v>6399</v>
      </c>
      <c r="K46" s="55">
        <v>6399</v>
      </c>
      <c r="L46" s="55">
        <v>6399</v>
      </c>
      <c r="M46" s="55">
        <v>6399</v>
      </c>
      <c r="N46" s="55">
        <v>6399</v>
      </c>
      <c r="O46" s="55">
        <v>6299</v>
      </c>
      <c r="P46" s="56">
        <v>6199</v>
      </c>
      <c r="Q46" s="56">
        <v>5999</v>
      </c>
      <c r="R46" s="55">
        <v>6299</v>
      </c>
      <c r="S46" s="55">
        <v>6199</v>
      </c>
      <c r="T46" s="56">
        <v>5999</v>
      </c>
      <c r="U46" s="56">
        <v>5999</v>
      </c>
      <c r="V46" s="56">
        <v>5999</v>
      </c>
      <c r="W46" s="56">
        <v>5999</v>
      </c>
      <c r="X46" s="56">
        <v>5899</v>
      </c>
      <c r="Y46" s="56">
        <v>5499</v>
      </c>
      <c r="Z46" s="56">
        <v>5499</v>
      </c>
      <c r="AA46" s="56">
        <v>5499</v>
      </c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7"/>
      <c r="AW46" s="58" t="s">
        <v>67</v>
      </c>
      <c r="AX46" s="59" t="s">
        <v>68</v>
      </c>
      <c r="AY46" s="60">
        <f t="shared" si="0"/>
        <v>143.3998</v>
      </c>
      <c r="AZ46" s="60">
        <f t="shared" si="1"/>
        <v>129.20180000000002</v>
      </c>
      <c r="BA46" s="61">
        <f t="shared" si="2"/>
        <v>73.119699999999995</v>
      </c>
    </row>
    <row r="47" spans="1:53" ht="22.5" customHeight="1">
      <c r="A47" s="51" t="s">
        <v>63</v>
      </c>
      <c r="B47" s="52" t="s">
        <v>64</v>
      </c>
      <c r="C47" s="53">
        <v>4015767</v>
      </c>
      <c r="D47" s="54" t="s">
        <v>112</v>
      </c>
      <c r="E47" s="54" t="s">
        <v>115</v>
      </c>
      <c r="F47" s="55">
        <v>9299</v>
      </c>
      <c r="G47" s="55">
        <v>6399</v>
      </c>
      <c r="H47" s="56">
        <v>7099</v>
      </c>
      <c r="I47" s="56">
        <v>7099</v>
      </c>
      <c r="J47" s="55">
        <v>6399</v>
      </c>
      <c r="K47" s="55">
        <v>6399</v>
      </c>
      <c r="L47" s="55">
        <v>6399</v>
      </c>
      <c r="M47" s="55">
        <v>6399</v>
      </c>
      <c r="N47" s="55">
        <v>6399</v>
      </c>
      <c r="O47" s="55">
        <v>6299</v>
      </c>
      <c r="P47" s="56">
        <v>6199</v>
      </c>
      <c r="Q47" s="56">
        <v>5999</v>
      </c>
      <c r="R47" s="55">
        <v>6299</v>
      </c>
      <c r="S47" s="55">
        <v>6199</v>
      </c>
      <c r="T47" s="56">
        <v>5999</v>
      </c>
      <c r="U47" s="56">
        <v>5999</v>
      </c>
      <c r="V47" s="56">
        <v>5999</v>
      </c>
      <c r="W47" s="56">
        <v>5999</v>
      </c>
      <c r="X47" s="56">
        <v>5899</v>
      </c>
      <c r="Y47" s="56">
        <v>5499</v>
      </c>
      <c r="Z47" s="56">
        <v>5499</v>
      </c>
      <c r="AA47" s="56">
        <v>5499</v>
      </c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7"/>
      <c r="AW47" s="58" t="s">
        <v>67</v>
      </c>
      <c r="AX47" s="59" t="s">
        <v>68</v>
      </c>
      <c r="AY47" s="60">
        <f t="shared" si="0"/>
        <v>143.3998</v>
      </c>
      <c r="AZ47" s="60">
        <f t="shared" si="1"/>
        <v>129.20180000000002</v>
      </c>
      <c r="BA47" s="61">
        <f t="shared" si="2"/>
        <v>73.119699999999995</v>
      </c>
    </row>
    <row r="48" spans="1:53" ht="22.5" customHeight="1">
      <c r="A48" s="51" t="s">
        <v>63</v>
      </c>
      <c r="B48" s="52" t="s">
        <v>64</v>
      </c>
      <c r="C48" s="53">
        <v>4015782</v>
      </c>
      <c r="D48" s="54" t="s">
        <v>112</v>
      </c>
      <c r="E48" s="54" t="s">
        <v>116</v>
      </c>
      <c r="F48" s="55">
        <v>9299</v>
      </c>
      <c r="G48" s="55">
        <v>6399</v>
      </c>
      <c r="H48" s="56">
        <v>7099</v>
      </c>
      <c r="I48" s="56">
        <v>7099</v>
      </c>
      <c r="J48" s="55">
        <v>6399</v>
      </c>
      <c r="K48" s="55">
        <v>6399</v>
      </c>
      <c r="L48" s="55">
        <v>6399</v>
      </c>
      <c r="M48" s="55">
        <v>6399</v>
      </c>
      <c r="N48" s="55">
        <v>6399</v>
      </c>
      <c r="O48" s="55">
        <v>6299</v>
      </c>
      <c r="P48" s="56">
        <v>6199</v>
      </c>
      <c r="Q48" s="56">
        <v>5999</v>
      </c>
      <c r="R48" s="55">
        <v>6299</v>
      </c>
      <c r="S48" s="55">
        <v>6199</v>
      </c>
      <c r="T48" s="56">
        <v>5999</v>
      </c>
      <c r="U48" s="56">
        <v>5999</v>
      </c>
      <c r="V48" s="56">
        <v>5999</v>
      </c>
      <c r="W48" s="56">
        <v>5999</v>
      </c>
      <c r="X48" s="56">
        <v>5899</v>
      </c>
      <c r="Y48" s="56">
        <v>5499</v>
      </c>
      <c r="Z48" s="56">
        <v>5499</v>
      </c>
      <c r="AA48" s="56">
        <v>5499</v>
      </c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7"/>
      <c r="AW48" s="58" t="s">
        <v>67</v>
      </c>
      <c r="AX48" s="59" t="s">
        <v>68</v>
      </c>
      <c r="AY48" s="60">
        <f t="shared" si="0"/>
        <v>143.3998</v>
      </c>
      <c r="AZ48" s="60">
        <f t="shared" si="1"/>
        <v>129.20180000000002</v>
      </c>
      <c r="BA48" s="61">
        <f t="shared" si="2"/>
        <v>73.119699999999995</v>
      </c>
    </row>
    <row r="49" spans="1:53" ht="22.5" customHeight="1">
      <c r="A49" s="51" t="s">
        <v>63</v>
      </c>
      <c r="B49" s="52" t="s">
        <v>64</v>
      </c>
      <c r="C49" s="53">
        <v>4015749</v>
      </c>
      <c r="D49" s="54" t="s">
        <v>117</v>
      </c>
      <c r="E49" s="54" t="s">
        <v>118</v>
      </c>
      <c r="F49" s="55">
        <v>10099</v>
      </c>
      <c r="G49" s="55">
        <v>7999</v>
      </c>
      <c r="H49" s="56">
        <v>7799</v>
      </c>
      <c r="I49" s="56">
        <v>7799</v>
      </c>
      <c r="J49" s="55">
        <v>6899</v>
      </c>
      <c r="K49" s="55">
        <v>6899</v>
      </c>
      <c r="L49" s="55">
        <v>6899</v>
      </c>
      <c r="M49" s="55">
        <v>6899</v>
      </c>
      <c r="N49" s="55">
        <v>6899</v>
      </c>
      <c r="O49" s="55">
        <v>6799</v>
      </c>
      <c r="P49" s="56">
        <v>6699</v>
      </c>
      <c r="Q49" s="56">
        <v>6499</v>
      </c>
      <c r="R49" s="55">
        <v>6799</v>
      </c>
      <c r="S49" s="55">
        <v>6699</v>
      </c>
      <c r="T49" s="56">
        <v>6499</v>
      </c>
      <c r="U49" s="56">
        <v>6499</v>
      </c>
      <c r="V49" s="56">
        <v>6499</v>
      </c>
      <c r="W49" s="56">
        <v>6499</v>
      </c>
      <c r="X49" s="56">
        <v>6399</v>
      </c>
      <c r="Y49" s="56">
        <v>5999</v>
      </c>
      <c r="Z49" s="56">
        <v>5999</v>
      </c>
      <c r="AA49" s="56">
        <v>5999</v>
      </c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7"/>
      <c r="AW49" s="58" t="s">
        <v>67</v>
      </c>
      <c r="AX49" s="59" t="s">
        <v>68</v>
      </c>
      <c r="AY49" s="60">
        <f t="shared" si="0"/>
        <v>157.53979999999999</v>
      </c>
      <c r="AZ49" s="60">
        <f t="shared" si="1"/>
        <v>141.9418</v>
      </c>
      <c r="BA49" s="61">
        <f t="shared" si="2"/>
        <v>80.329700000000003</v>
      </c>
    </row>
    <row r="50" spans="1:53" ht="22.5" customHeight="1">
      <c r="A50" s="51" t="s">
        <v>63</v>
      </c>
      <c r="B50" s="52" t="s">
        <v>64</v>
      </c>
      <c r="C50" s="53">
        <v>4015797</v>
      </c>
      <c r="D50" s="54" t="s">
        <v>117</v>
      </c>
      <c r="E50" s="54" t="s">
        <v>119</v>
      </c>
      <c r="F50" s="55">
        <v>10099</v>
      </c>
      <c r="G50" s="55">
        <v>7999</v>
      </c>
      <c r="H50" s="56">
        <v>7799</v>
      </c>
      <c r="I50" s="56">
        <v>7799</v>
      </c>
      <c r="J50" s="55">
        <v>6899</v>
      </c>
      <c r="K50" s="55">
        <v>6899</v>
      </c>
      <c r="L50" s="55">
        <v>6899</v>
      </c>
      <c r="M50" s="55">
        <v>6899</v>
      </c>
      <c r="N50" s="55">
        <v>6899</v>
      </c>
      <c r="O50" s="55">
        <v>6799</v>
      </c>
      <c r="P50" s="56">
        <v>6699</v>
      </c>
      <c r="Q50" s="56">
        <v>6499</v>
      </c>
      <c r="R50" s="55">
        <v>6799</v>
      </c>
      <c r="S50" s="55">
        <v>6699</v>
      </c>
      <c r="T50" s="56">
        <v>6499</v>
      </c>
      <c r="U50" s="56">
        <v>6499</v>
      </c>
      <c r="V50" s="56">
        <v>6499</v>
      </c>
      <c r="W50" s="56">
        <v>6499</v>
      </c>
      <c r="X50" s="56">
        <v>6399</v>
      </c>
      <c r="Y50" s="56">
        <v>5999</v>
      </c>
      <c r="Z50" s="56">
        <v>5999</v>
      </c>
      <c r="AA50" s="56">
        <v>5999</v>
      </c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7"/>
      <c r="AW50" s="58" t="s">
        <v>67</v>
      </c>
      <c r="AX50" s="59" t="s">
        <v>68</v>
      </c>
      <c r="AY50" s="60">
        <f t="shared" si="0"/>
        <v>157.53979999999999</v>
      </c>
      <c r="AZ50" s="60">
        <f t="shared" si="1"/>
        <v>141.9418</v>
      </c>
      <c r="BA50" s="61">
        <f t="shared" si="2"/>
        <v>80.329700000000003</v>
      </c>
    </row>
    <row r="51" spans="1:53" ht="22.5" customHeight="1">
      <c r="A51" s="51" t="s">
        <v>63</v>
      </c>
      <c r="B51" s="52" t="s">
        <v>64</v>
      </c>
      <c r="C51" s="53">
        <v>4015769</v>
      </c>
      <c r="D51" s="54" t="s">
        <v>117</v>
      </c>
      <c r="E51" s="54" t="s">
        <v>120</v>
      </c>
      <c r="F51" s="55">
        <v>10099</v>
      </c>
      <c r="G51" s="55">
        <v>7999</v>
      </c>
      <c r="H51" s="56">
        <v>7799</v>
      </c>
      <c r="I51" s="56">
        <v>7799</v>
      </c>
      <c r="J51" s="55">
        <v>6899</v>
      </c>
      <c r="K51" s="55">
        <v>6899</v>
      </c>
      <c r="L51" s="55">
        <v>6899</v>
      </c>
      <c r="M51" s="55">
        <v>6899</v>
      </c>
      <c r="N51" s="55">
        <v>6899</v>
      </c>
      <c r="O51" s="55">
        <v>6799</v>
      </c>
      <c r="P51" s="56">
        <v>6699</v>
      </c>
      <c r="Q51" s="56">
        <v>6499</v>
      </c>
      <c r="R51" s="55">
        <v>6799</v>
      </c>
      <c r="S51" s="55">
        <v>6699</v>
      </c>
      <c r="T51" s="56">
        <v>6499</v>
      </c>
      <c r="U51" s="56">
        <v>6499</v>
      </c>
      <c r="V51" s="56">
        <v>6499</v>
      </c>
      <c r="W51" s="56">
        <v>6499</v>
      </c>
      <c r="X51" s="56">
        <v>6399</v>
      </c>
      <c r="Y51" s="56">
        <v>5999</v>
      </c>
      <c r="Z51" s="56">
        <v>5999</v>
      </c>
      <c r="AA51" s="56">
        <v>5999</v>
      </c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7"/>
      <c r="AW51" s="58" t="s">
        <v>67</v>
      </c>
      <c r="AX51" s="59" t="s">
        <v>68</v>
      </c>
      <c r="AY51" s="60">
        <f t="shared" si="0"/>
        <v>157.53979999999999</v>
      </c>
      <c r="AZ51" s="60">
        <f t="shared" si="1"/>
        <v>141.9418</v>
      </c>
      <c r="BA51" s="61">
        <f t="shared" si="2"/>
        <v>80.329700000000003</v>
      </c>
    </row>
    <row r="52" spans="1:53" ht="22.5" customHeight="1">
      <c r="A52" s="51" t="s">
        <v>63</v>
      </c>
      <c r="B52" s="52" t="s">
        <v>64</v>
      </c>
      <c r="C52" s="53">
        <v>4015784</v>
      </c>
      <c r="D52" s="54" t="s">
        <v>117</v>
      </c>
      <c r="E52" s="54" t="s">
        <v>121</v>
      </c>
      <c r="F52" s="55">
        <v>10099</v>
      </c>
      <c r="G52" s="55">
        <v>7999</v>
      </c>
      <c r="H52" s="56">
        <v>7799</v>
      </c>
      <c r="I52" s="56">
        <v>7799</v>
      </c>
      <c r="J52" s="55">
        <v>6899</v>
      </c>
      <c r="K52" s="55">
        <v>6899</v>
      </c>
      <c r="L52" s="55">
        <v>6899</v>
      </c>
      <c r="M52" s="55">
        <v>6899</v>
      </c>
      <c r="N52" s="55">
        <v>6899</v>
      </c>
      <c r="O52" s="55">
        <v>6799</v>
      </c>
      <c r="P52" s="56">
        <v>6699</v>
      </c>
      <c r="Q52" s="56">
        <v>6499</v>
      </c>
      <c r="R52" s="55">
        <v>6799</v>
      </c>
      <c r="S52" s="55">
        <v>6699</v>
      </c>
      <c r="T52" s="56">
        <v>6499</v>
      </c>
      <c r="U52" s="56">
        <v>6499</v>
      </c>
      <c r="V52" s="56">
        <v>6499</v>
      </c>
      <c r="W52" s="56">
        <v>6499</v>
      </c>
      <c r="X52" s="56">
        <v>6399</v>
      </c>
      <c r="Y52" s="56">
        <v>5999</v>
      </c>
      <c r="Z52" s="56">
        <v>5999</v>
      </c>
      <c r="AA52" s="56">
        <v>5999</v>
      </c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7"/>
      <c r="AW52" s="58" t="s">
        <v>67</v>
      </c>
      <c r="AX52" s="59" t="s">
        <v>68</v>
      </c>
      <c r="AY52" s="60">
        <f t="shared" si="0"/>
        <v>157.53979999999999</v>
      </c>
      <c r="AZ52" s="60">
        <f t="shared" si="1"/>
        <v>141.9418</v>
      </c>
      <c r="BA52" s="61">
        <f t="shared" si="2"/>
        <v>80.329700000000003</v>
      </c>
    </row>
    <row r="53" spans="1:53" ht="22.5" customHeight="1">
      <c r="A53" s="51" t="s">
        <v>63</v>
      </c>
      <c r="B53" s="52" t="s">
        <v>64</v>
      </c>
      <c r="C53" s="53">
        <v>4015762</v>
      </c>
      <c r="D53" s="54" t="s">
        <v>122</v>
      </c>
      <c r="E53" s="54" t="s">
        <v>123</v>
      </c>
      <c r="F53" s="55">
        <v>10999</v>
      </c>
      <c r="G53" s="55">
        <v>7899</v>
      </c>
      <c r="H53" s="56">
        <v>7499</v>
      </c>
      <c r="I53" s="56">
        <v>7499</v>
      </c>
      <c r="J53" s="55">
        <v>7399</v>
      </c>
      <c r="K53" s="55">
        <v>7399</v>
      </c>
      <c r="L53" s="55">
        <v>7399</v>
      </c>
      <c r="M53" s="55">
        <v>7399</v>
      </c>
      <c r="N53" s="55">
        <v>7399</v>
      </c>
      <c r="O53" s="55">
        <v>7299</v>
      </c>
      <c r="P53" s="56">
        <v>7199</v>
      </c>
      <c r="Q53" s="56">
        <v>6999</v>
      </c>
      <c r="R53" s="55">
        <v>7299</v>
      </c>
      <c r="S53" s="55">
        <v>7199</v>
      </c>
      <c r="T53" s="56">
        <v>6999</v>
      </c>
      <c r="U53" s="56">
        <v>6999</v>
      </c>
      <c r="V53" s="56">
        <v>6999</v>
      </c>
      <c r="W53" s="56">
        <v>6999</v>
      </c>
      <c r="X53" s="56">
        <v>6899</v>
      </c>
      <c r="Y53" s="56">
        <v>6499</v>
      </c>
      <c r="Z53" s="56">
        <v>6499</v>
      </c>
      <c r="AA53" s="56">
        <v>6499</v>
      </c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7"/>
      <c r="AW53" s="58" t="s">
        <v>67</v>
      </c>
      <c r="AX53" s="59" t="s">
        <v>68</v>
      </c>
      <c r="AY53" s="60">
        <f t="shared" si="0"/>
        <v>151.47979999999998</v>
      </c>
      <c r="AZ53" s="60">
        <f t="shared" si="1"/>
        <v>136.48179999999999</v>
      </c>
      <c r="BA53" s="61">
        <f t="shared" si="2"/>
        <v>77.239699999999999</v>
      </c>
    </row>
    <row r="54" spans="1:53" ht="22.5" customHeight="1">
      <c r="A54" s="51" t="s">
        <v>63</v>
      </c>
      <c r="B54" s="52" t="s">
        <v>64</v>
      </c>
      <c r="C54" s="53">
        <v>4015774</v>
      </c>
      <c r="D54" s="54" t="s">
        <v>122</v>
      </c>
      <c r="E54" s="54" t="s">
        <v>124</v>
      </c>
      <c r="F54" s="55">
        <v>10999</v>
      </c>
      <c r="G54" s="55">
        <v>7899</v>
      </c>
      <c r="H54" s="56">
        <v>7499</v>
      </c>
      <c r="I54" s="56">
        <v>7499</v>
      </c>
      <c r="J54" s="55">
        <v>7399</v>
      </c>
      <c r="K54" s="55">
        <v>7399</v>
      </c>
      <c r="L54" s="55">
        <v>7399</v>
      </c>
      <c r="M54" s="55">
        <v>7399</v>
      </c>
      <c r="N54" s="55">
        <v>7399</v>
      </c>
      <c r="O54" s="55">
        <v>7299</v>
      </c>
      <c r="P54" s="56">
        <v>7199</v>
      </c>
      <c r="Q54" s="56">
        <v>6999</v>
      </c>
      <c r="R54" s="55">
        <v>7299</v>
      </c>
      <c r="S54" s="55">
        <v>7199</v>
      </c>
      <c r="T54" s="56">
        <v>6999</v>
      </c>
      <c r="U54" s="56">
        <v>6999</v>
      </c>
      <c r="V54" s="56">
        <v>6999</v>
      </c>
      <c r="W54" s="56">
        <v>6999</v>
      </c>
      <c r="X54" s="56">
        <v>6899</v>
      </c>
      <c r="Y54" s="56">
        <v>6499</v>
      </c>
      <c r="Z54" s="56">
        <v>6499</v>
      </c>
      <c r="AA54" s="56">
        <v>6499</v>
      </c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7"/>
      <c r="AW54" s="58" t="s">
        <v>67</v>
      </c>
      <c r="AX54" s="59" t="s">
        <v>68</v>
      </c>
      <c r="AY54" s="60">
        <f t="shared" si="0"/>
        <v>151.47979999999998</v>
      </c>
      <c r="AZ54" s="60">
        <f t="shared" si="1"/>
        <v>136.48179999999999</v>
      </c>
      <c r="BA54" s="61">
        <f t="shared" si="2"/>
        <v>77.239699999999999</v>
      </c>
    </row>
    <row r="55" spans="1:53" ht="22.5" customHeight="1">
      <c r="A55" s="51" t="s">
        <v>63</v>
      </c>
      <c r="B55" s="52" t="s">
        <v>64</v>
      </c>
      <c r="C55" s="53">
        <v>4015788</v>
      </c>
      <c r="D55" s="54" t="s">
        <v>122</v>
      </c>
      <c r="E55" s="54" t="s">
        <v>125</v>
      </c>
      <c r="F55" s="55">
        <v>10999</v>
      </c>
      <c r="G55" s="55">
        <v>7899</v>
      </c>
      <c r="H55" s="56">
        <v>7499</v>
      </c>
      <c r="I55" s="56">
        <v>7499</v>
      </c>
      <c r="J55" s="55">
        <v>7399</v>
      </c>
      <c r="K55" s="55">
        <v>7399</v>
      </c>
      <c r="L55" s="55">
        <v>7399</v>
      </c>
      <c r="M55" s="55">
        <v>7399</v>
      </c>
      <c r="N55" s="55">
        <v>7399</v>
      </c>
      <c r="O55" s="55">
        <v>7299</v>
      </c>
      <c r="P55" s="56">
        <v>7199</v>
      </c>
      <c r="Q55" s="56">
        <v>6999</v>
      </c>
      <c r="R55" s="55">
        <v>7299</v>
      </c>
      <c r="S55" s="55">
        <v>7199</v>
      </c>
      <c r="T55" s="56">
        <v>6999</v>
      </c>
      <c r="U55" s="56">
        <v>6999</v>
      </c>
      <c r="V55" s="56">
        <v>6999</v>
      </c>
      <c r="W55" s="56">
        <v>6999</v>
      </c>
      <c r="X55" s="56">
        <v>6899</v>
      </c>
      <c r="Y55" s="56">
        <v>6499</v>
      </c>
      <c r="Z55" s="56">
        <v>6499</v>
      </c>
      <c r="AA55" s="56">
        <v>6499</v>
      </c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7"/>
      <c r="AW55" s="58" t="s">
        <v>67</v>
      </c>
      <c r="AX55" s="59" t="s">
        <v>68</v>
      </c>
      <c r="AY55" s="60">
        <f t="shared" si="0"/>
        <v>151.47979999999998</v>
      </c>
      <c r="AZ55" s="60">
        <f t="shared" si="1"/>
        <v>136.48179999999999</v>
      </c>
      <c r="BA55" s="61">
        <f t="shared" si="2"/>
        <v>77.239699999999999</v>
      </c>
    </row>
    <row r="56" spans="1:53" ht="22.5" customHeight="1">
      <c r="A56" s="51" t="s">
        <v>63</v>
      </c>
      <c r="B56" s="52" t="s">
        <v>64</v>
      </c>
      <c r="C56" s="53">
        <v>4015763</v>
      </c>
      <c r="D56" s="54" t="s">
        <v>126</v>
      </c>
      <c r="E56" s="54" t="s">
        <v>127</v>
      </c>
      <c r="F56" s="55">
        <v>12499</v>
      </c>
      <c r="G56" s="55">
        <v>9999</v>
      </c>
      <c r="H56" s="56">
        <v>7999</v>
      </c>
      <c r="I56" s="56">
        <v>7999</v>
      </c>
      <c r="J56" s="55">
        <v>7899</v>
      </c>
      <c r="K56" s="55">
        <v>7899</v>
      </c>
      <c r="L56" s="55">
        <v>7899</v>
      </c>
      <c r="M56" s="55">
        <v>7899</v>
      </c>
      <c r="N56" s="55">
        <v>7899</v>
      </c>
      <c r="O56" s="55">
        <v>7799</v>
      </c>
      <c r="P56" s="56">
        <v>7699</v>
      </c>
      <c r="Q56" s="56">
        <v>7499</v>
      </c>
      <c r="R56" s="55">
        <v>7799</v>
      </c>
      <c r="S56" s="55">
        <v>7699</v>
      </c>
      <c r="T56" s="56">
        <v>7499</v>
      </c>
      <c r="U56" s="56">
        <v>7499</v>
      </c>
      <c r="V56" s="56">
        <v>7499</v>
      </c>
      <c r="W56" s="56">
        <v>7499</v>
      </c>
      <c r="X56" s="56">
        <v>7399</v>
      </c>
      <c r="Y56" s="56">
        <v>6999</v>
      </c>
      <c r="Z56" s="56">
        <v>6999</v>
      </c>
      <c r="AA56" s="56">
        <v>6999</v>
      </c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7"/>
      <c r="AW56" s="58" t="s">
        <v>67</v>
      </c>
      <c r="AX56" s="59" t="s">
        <v>68</v>
      </c>
      <c r="AY56" s="60">
        <f t="shared" si="0"/>
        <v>161.57980000000001</v>
      </c>
      <c r="AZ56" s="60">
        <f t="shared" si="1"/>
        <v>145.58180000000002</v>
      </c>
      <c r="BA56" s="61">
        <f t="shared" si="2"/>
        <v>82.389700000000005</v>
      </c>
    </row>
    <row r="57" spans="1:53" ht="22.5" customHeight="1">
      <c r="A57" s="51" t="s">
        <v>63</v>
      </c>
      <c r="B57" s="52" t="s">
        <v>64</v>
      </c>
      <c r="C57" s="53">
        <v>4015779</v>
      </c>
      <c r="D57" s="54" t="s">
        <v>126</v>
      </c>
      <c r="E57" s="54" t="s">
        <v>128</v>
      </c>
      <c r="F57" s="55">
        <v>12499</v>
      </c>
      <c r="G57" s="55">
        <v>9999</v>
      </c>
      <c r="H57" s="56">
        <v>7999</v>
      </c>
      <c r="I57" s="56">
        <v>7999</v>
      </c>
      <c r="J57" s="55">
        <v>7899</v>
      </c>
      <c r="K57" s="55">
        <v>7899</v>
      </c>
      <c r="L57" s="55">
        <v>7899</v>
      </c>
      <c r="M57" s="55">
        <v>7899</v>
      </c>
      <c r="N57" s="55">
        <v>7899</v>
      </c>
      <c r="O57" s="55">
        <v>7799</v>
      </c>
      <c r="P57" s="56">
        <v>7699</v>
      </c>
      <c r="Q57" s="56">
        <v>7499</v>
      </c>
      <c r="R57" s="55">
        <v>7799</v>
      </c>
      <c r="S57" s="55">
        <v>7699</v>
      </c>
      <c r="T57" s="56">
        <v>7499</v>
      </c>
      <c r="U57" s="56">
        <v>7499</v>
      </c>
      <c r="V57" s="56">
        <v>7499</v>
      </c>
      <c r="W57" s="56">
        <v>7499</v>
      </c>
      <c r="X57" s="56">
        <v>7399</v>
      </c>
      <c r="Y57" s="56">
        <v>6999</v>
      </c>
      <c r="Z57" s="56">
        <v>6999</v>
      </c>
      <c r="AA57" s="56">
        <v>6999</v>
      </c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7"/>
      <c r="AW57" s="58" t="s">
        <v>67</v>
      </c>
      <c r="AX57" s="59" t="s">
        <v>68</v>
      </c>
      <c r="AY57" s="60">
        <f t="shared" si="0"/>
        <v>161.57980000000001</v>
      </c>
      <c r="AZ57" s="60">
        <f t="shared" si="1"/>
        <v>145.58180000000002</v>
      </c>
      <c r="BA57" s="61">
        <f t="shared" si="2"/>
        <v>82.389700000000005</v>
      </c>
    </row>
    <row r="58" spans="1:53" ht="22.5" customHeight="1">
      <c r="A58" s="51" t="s">
        <v>63</v>
      </c>
      <c r="B58" s="52" t="s">
        <v>64</v>
      </c>
      <c r="C58" s="53">
        <v>4015793</v>
      </c>
      <c r="D58" s="54" t="s">
        <v>126</v>
      </c>
      <c r="E58" s="54" t="s">
        <v>129</v>
      </c>
      <c r="F58" s="55">
        <v>12499</v>
      </c>
      <c r="G58" s="55">
        <v>9999</v>
      </c>
      <c r="H58" s="56">
        <v>7999</v>
      </c>
      <c r="I58" s="56">
        <v>7999</v>
      </c>
      <c r="J58" s="55">
        <v>7899</v>
      </c>
      <c r="K58" s="55">
        <v>7899</v>
      </c>
      <c r="L58" s="55">
        <v>7899</v>
      </c>
      <c r="M58" s="55">
        <v>7899</v>
      </c>
      <c r="N58" s="55">
        <v>7899</v>
      </c>
      <c r="O58" s="55">
        <v>7799</v>
      </c>
      <c r="P58" s="56">
        <v>7699</v>
      </c>
      <c r="Q58" s="56">
        <v>7499</v>
      </c>
      <c r="R58" s="55">
        <v>7799</v>
      </c>
      <c r="S58" s="55">
        <v>7699</v>
      </c>
      <c r="T58" s="56">
        <v>7499</v>
      </c>
      <c r="U58" s="56">
        <v>7499</v>
      </c>
      <c r="V58" s="56">
        <v>7499</v>
      </c>
      <c r="W58" s="56">
        <v>7499</v>
      </c>
      <c r="X58" s="56">
        <v>7399</v>
      </c>
      <c r="Y58" s="56">
        <v>6999</v>
      </c>
      <c r="Z58" s="56">
        <v>6999</v>
      </c>
      <c r="AA58" s="56">
        <v>6999</v>
      </c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7"/>
      <c r="AW58" s="58" t="s">
        <v>67</v>
      </c>
      <c r="AX58" s="59" t="s">
        <v>68</v>
      </c>
      <c r="AY58" s="60">
        <f t="shared" si="0"/>
        <v>161.57980000000001</v>
      </c>
      <c r="AZ58" s="60">
        <f t="shared" si="1"/>
        <v>145.58180000000002</v>
      </c>
      <c r="BA58" s="61">
        <f t="shared" si="2"/>
        <v>82.389700000000005</v>
      </c>
    </row>
    <row r="59" spans="1:53" ht="22.5" customHeight="1">
      <c r="A59" s="51" t="s">
        <v>63</v>
      </c>
      <c r="B59" s="52" t="s">
        <v>64</v>
      </c>
      <c r="C59" s="53">
        <v>4016678</v>
      </c>
      <c r="D59" s="54" t="s">
        <v>130</v>
      </c>
      <c r="E59" s="54" t="s">
        <v>131</v>
      </c>
      <c r="F59" s="55">
        <v>7799</v>
      </c>
      <c r="G59" s="55">
        <v>6099</v>
      </c>
      <c r="H59" s="56">
        <v>5999</v>
      </c>
      <c r="I59" s="56">
        <v>5999</v>
      </c>
      <c r="J59" s="55">
        <v>5799</v>
      </c>
      <c r="K59" s="55">
        <v>5799</v>
      </c>
      <c r="L59" s="55">
        <v>5799</v>
      </c>
      <c r="M59" s="55">
        <v>5799</v>
      </c>
      <c r="N59" s="55">
        <v>5799</v>
      </c>
      <c r="O59" s="55">
        <v>5299</v>
      </c>
      <c r="P59" s="56">
        <v>5199</v>
      </c>
      <c r="Q59" s="56">
        <v>4999</v>
      </c>
      <c r="R59" s="55">
        <v>5299</v>
      </c>
      <c r="S59" s="55">
        <v>5199</v>
      </c>
      <c r="T59" s="56">
        <v>4999</v>
      </c>
      <c r="U59" s="56">
        <v>4999</v>
      </c>
      <c r="V59" s="56">
        <v>4999</v>
      </c>
      <c r="W59" s="56">
        <v>4999</v>
      </c>
      <c r="X59" s="56">
        <v>4899</v>
      </c>
      <c r="Y59" s="56">
        <v>3999</v>
      </c>
      <c r="Z59" s="56">
        <v>3999</v>
      </c>
      <c r="AA59" s="56">
        <v>3999</v>
      </c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7"/>
      <c r="AW59" s="58" t="s">
        <v>67</v>
      </c>
      <c r="AX59" s="59" t="s">
        <v>68</v>
      </c>
      <c r="AY59" s="60">
        <f t="shared" si="0"/>
        <v>121.1798</v>
      </c>
      <c r="AZ59" s="60">
        <f t="shared" si="1"/>
        <v>109.18180000000001</v>
      </c>
      <c r="BA59" s="61">
        <f t="shared" si="2"/>
        <v>61.789700000000003</v>
      </c>
    </row>
    <row r="60" spans="1:53" ht="22.5" customHeight="1">
      <c r="A60" s="51" t="s">
        <v>63</v>
      </c>
      <c r="B60" s="52" t="s">
        <v>64</v>
      </c>
      <c r="C60" s="53">
        <v>4016486</v>
      </c>
      <c r="D60" s="54" t="s">
        <v>130</v>
      </c>
      <c r="E60" s="54" t="s">
        <v>132</v>
      </c>
      <c r="F60" s="55">
        <v>7799</v>
      </c>
      <c r="G60" s="55">
        <v>6099</v>
      </c>
      <c r="H60" s="56">
        <v>5999</v>
      </c>
      <c r="I60" s="56">
        <v>5999</v>
      </c>
      <c r="J60" s="55">
        <v>5799</v>
      </c>
      <c r="K60" s="55">
        <v>5799</v>
      </c>
      <c r="L60" s="55">
        <v>5799</v>
      </c>
      <c r="M60" s="55">
        <v>5799</v>
      </c>
      <c r="N60" s="55">
        <v>5799</v>
      </c>
      <c r="O60" s="55">
        <v>5299</v>
      </c>
      <c r="P60" s="56">
        <v>5199</v>
      </c>
      <c r="Q60" s="56">
        <v>4999</v>
      </c>
      <c r="R60" s="55">
        <v>5299</v>
      </c>
      <c r="S60" s="55">
        <v>5199</v>
      </c>
      <c r="T60" s="56">
        <v>4999</v>
      </c>
      <c r="U60" s="56">
        <v>4999</v>
      </c>
      <c r="V60" s="56">
        <v>4999</v>
      </c>
      <c r="W60" s="56">
        <v>4999</v>
      </c>
      <c r="X60" s="56">
        <v>4899</v>
      </c>
      <c r="Y60" s="56">
        <v>3999</v>
      </c>
      <c r="Z60" s="56">
        <v>3999</v>
      </c>
      <c r="AA60" s="56">
        <v>3999</v>
      </c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7"/>
      <c r="AW60" s="58" t="s">
        <v>67</v>
      </c>
      <c r="AX60" s="59" t="s">
        <v>68</v>
      </c>
      <c r="AY60" s="60">
        <f t="shared" si="0"/>
        <v>121.1798</v>
      </c>
      <c r="AZ60" s="60">
        <f t="shared" si="1"/>
        <v>109.18180000000001</v>
      </c>
      <c r="BA60" s="61">
        <f t="shared" si="2"/>
        <v>61.789700000000003</v>
      </c>
    </row>
    <row r="61" spans="1:53" ht="22.5" customHeight="1">
      <c r="A61" s="51" t="s">
        <v>63</v>
      </c>
      <c r="B61" s="52" t="s">
        <v>64</v>
      </c>
      <c r="C61" s="53">
        <v>4016599</v>
      </c>
      <c r="D61" s="54" t="s">
        <v>130</v>
      </c>
      <c r="E61" s="54" t="s">
        <v>133</v>
      </c>
      <c r="F61" s="55">
        <v>7799</v>
      </c>
      <c r="G61" s="55">
        <v>6099</v>
      </c>
      <c r="H61" s="56">
        <v>5999</v>
      </c>
      <c r="I61" s="56">
        <v>5999</v>
      </c>
      <c r="J61" s="55">
        <v>5799</v>
      </c>
      <c r="K61" s="55">
        <v>5799</v>
      </c>
      <c r="L61" s="55">
        <v>5799</v>
      </c>
      <c r="M61" s="55">
        <v>5799</v>
      </c>
      <c r="N61" s="55">
        <v>5799</v>
      </c>
      <c r="O61" s="55">
        <v>5299</v>
      </c>
      <c r="P61" s="56">
        <v>5199</v>
      </c>
      <c r="Q61" s="56">
        <v>4999</v>
      </c>
      <c r="R61" s="55">
        <v>5299</v>
      </c>
      <c r="S61" s="55">
        <v>5199</v>
      </c>
      <c r="T61" s="56">
        <v>4999</v>
      </c>
      <c r="U61" s="56">
        <v>4999</v>
      </c>
      <c r="V61" s="56">
        <v>4999</v>
      </c>
      <c r="W61" s="56">
        <v>4999</v>
      </c>
      <c r="X61" s="56">
        <v>4899</v>
      </c>
      <c r="Y61" s="56">
        <v>3999</v>
      </c>
      <c r="Z61" s="56">
        <v>3999</v>
      </c>
      <c r="AA61" s="56">
        <v>3999</v>
      </c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7"/>
      <c r="AW61" s="58" t="s">
        <v>67</v>
      </c>
      <c r="AX61" s="59" t="s">
        <v>68</v>
      </c>
      <c r="AY61" s="60">
        <f t="shared" si="0"/>
        <v>121.1798</v>
      </c>
      <c r="AZ61" s="60">
        <f t="shared" si="1"/>
        <v>109.18180000000001</v>
      </c>
      <c r="BA61" s="61">
        <f t="shared" si="2"/>
        <v>61.789700000000003</v>
      </c>
    </row>
    <row r="62" spans="1:53" ht="22.5" customHeight="1">
      <c r="A62" s="51" t="s">
        <v>63</v>
      </c>
      <c r="B62" s="52" t="s">
        <v>64</v>
      </c>
      <c r="C62" s="53">
        <v>4016672</v>
      </c>
      <c r="D62" s="54" t="s">
        <v>130</v>
      </c>
      <c r="E62" s="54" t="s">
        <v>134</v>
      </c>
      <c r="F62" s="55">
        <v>7799</v>
      </c>
      <c r="G62" s="55">
        <v>6099</v>
      </c>
      <c r="H62" s="56">
        <v>5999</v>
      </c>
      <c r="I62" s="56">
        <v>5999</v>
      </c>
      <c r="J62" s="55">
        <v>5799</v>
      </c>
      <c r="K62" s="55">
        <v>5799</v>
      </c>
      <c r="L62" s="55">
        <v>5799</v>
      </c>
      <c r="M62" s="55">
        <v>5799</v>
      </c>
      <c r="N62" s="55">
        <v>5799</v>
      </c>
      <c r="O62" s="55">
        <v>5299</v>
      </c>
      <c r="P62" s="56">
        <v>5199</v>
      </c>
      <c r="Q62" s="56">
        <v>4999</v>
      </c>
      <c r="R62" s="55">
        <v>5299</v>
      </c>
      <c r="S62" s="55">
        <v>5199</v>
      </c>
      <c r="T62" s="56">
        <v>4999</v>
      </c>
      <c r="U62" s="56">
        <v>4999</v>
      </c>
      <c r="V62" s="56">
        <v>4999</v>
      </c>
      <c r="W62" s="56">
        <v>4999</v>
      </c>
      <c r="X62" s="56">
        <v>4899</v>
      </c>
      <c r="Y62" s="56">
        <v>3999</v>
      </c>
      <c r="Z62" s="56">
        <v>3999</v>
      </c>
      <c r="AA62" s="56">
        <v>3999</v>
      </c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7"/>
      <c r="AW62" s="58" t="s">
        <v>67</v>
      </c>
      <c r="AX62" s="59" t="s">
        <v>68</v>
      </c>
      <c r="AY62" s="60">
        <f t="shared" si="0"/>
        <v>121.1798</v>
      </c>
      <c r="AZ62" s="60">
        <f t="shared" si="1"/>
        <v>109.18180000000001</v>
      </c>
      <c r="BA62" s="61">
        <f t="shared" si="2"/>
        <v>61.789700000000003</v>
      </c>
    </row>
    <row r="63" spans="1:53" ht="22.5" customHeight="1">
      <c r="A63" s="51" t="s">
        <v>63</v>
      </c>
      <c r="B63" s="52" t="s">
        <v>64</v>
      </c>
      <c r="C63" s="53">
        <v>4016682</v>
      </c>
      <c r="D63" s="54" t="s">
        <v>130</v>
      </c>
      <c r="E63" s="54" t="s">
        <v>135</v>
      </c>
      <c r="F63" s="55">
        <v>7799</v>
      </c>
      <c r="G63" s="55">
        <v>6099</v>
      </c>
      <c r="H63" s="56">
        <v>5999</v>
      </c>
      <c r="I63" s="56">
        <v>5999</v>
      </c>
      <c r="J63" s="55">
        <v>5799</v>
      </c>
      <c r="K63" s="55">
        <v>5799</v>
      </c>
      <c r="L63" s="55">
        <v>5799</v>
      </c>
      <c r="M63" s="55">
        <v>5799</v>
      </c>
      <c r="N63" s="55">
        <v>5799</v>
      </c>
      <c r="O63" s="55">
        <v>5299</v>
      </c>
      <c r="P63" s="56">
        <v>5199</v>
      </c>
      <c r="Q63" s="56">
        <v>4999</v>
      </c>
      <c r="R63" s="55">
        <v>5299</v>
      </c>
      <c r="S63" s="55">
        <v>5199</v>
      </c>
      <c r="T63" s="56">
        <v>4999</v>
      </c>
      <c r="U63" s="56">
        <v>4999</v>
      </c>
      <c r="V63" s="56">
        <v>4999</v>
      </c>
      <c r="W63" s="56">
        <v>4999</v>
      </c>
      <c r="X63" s="56">
        <v>4899</v>
      </c>
      <c r="Y63" s="56">
        <v>3999</v>
      </c>
      <c r="Z63" s="56">
        <v>3999</v>
      </c>
      <c r="AA63" s="56">
        <v>3999</v>
      </c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7"/>
      <c r="AW63" s="58" t="s">
        <v>67</v>
      </c>
      <c r="AX63" s="59" t="s">
        <v>68</v>
      </c>
      <c r="AY63" s="60">
        <f t="shared" si="0"/>
        <v>121.1798</v>
      </c>
      <c r="AZ63" s="60">
        <f t="shared" si="1"/>
        <v>109.18180000000001</v>
      </c>
      <c r="BA63" s="61">
        <f t="shared" si="2"/>
        <v>61.789700000000003</v>
      </c>
    </row>
    <row r="64" spans="1:53" ht="22.5" customHeight="1">
      <c r="A64" s="51" t="s">
        <v>63</v>
      </c>
      <c r="B64" s="52" t="s">
        <v>64</v>
      </c>
      <c r="C64" s="53">
        <v>4016560</v>
      </c>
      <c r="D64" s="54" t="s">
        <v>136</v>
      </c>
      <c r="E64" s="54" t="s">
        <v>137</v>
      </c>
      <c r="F64" s="55">
        <v>8599</v>
      </c>
      <c r="G64" s="55">
        <v>4699</v>
      </c>
      <c r="H64" s="56">
        <v>5799</v>
      </c>
      <c r="I64" s="56">
        <v>5799</v>
      </c>
      <c r="J64" s="55">
        <v>5699</v>
      </c>
      <c r="K64" s="55">
        <v>5699</v>
      </c>
      <c r="L64" s="55">
        <v>5699</v>
      </c>
      <c r="M64" s="55">
        <v>5699</v>
      </c>
      <c r="N64" s="55">
        <v>5699</v>
      </c>
      <c r="O64" s="55">
        <v>5599</v>
      </c>
      <c r="P64" s="56">
        <v>5499</v>
      </c>
      <c r="Q64" s="56">
        <v>4799</v>
      </c>
      <c r="R64" s="55">
        <v>5599</v>
      </c>
      <c r="S64" s="55">
        <v>5499</v>
      </c>
      <c r="T64" s="56">
        <v>4799</v>
      </c>
      <c r="U64" s="56">
        <v>4799</v>
      </c>
      <c r="V64" s="56">
        <v>4799</v>
      </c>
      <c r="W64" s="56">
        <v>4799</v>
      </c>
      <c r="X64" s="56">
        <v>4699</v>
      </c>
      <c r="Y64" s="56">
        <v>4299</v>
      </c>
      <c r="Z64" s="56">
        <v>4299</v>
      </c>
      <c r="AA64" s="56">
        <v>4249</v>
      </c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7"/>
      <c r="AW64" s="58" t="s">
        <v>67</v>
      </c>
      <c r="AX64" s="59" t="s">
        <v>68</v>
      </c>
      <c r="AY64" s="60">
        <f t="shared" si="0"/>
        <v>117.13979999999999</v>
      </c>
      <c r="AZ64" s="60">
        <f t="shared" si="1"/>
        <v>105.54180000000001</v>
      </c>
      <c r="BA64" s="61">
        <f t="shared" si="2"/>
        <v>59.729700000000001</v>
      </c>
    </row>
    <row r="65" spans="1:53" ht="22.5" customHeight="1">
      <c r="A65" s="51" t="s">
        <v>63</v>
      </c>
      <c r="B65" s="52" t="s">
        <v>64</v>
      </c>
      <c r="C65" s="53">
        <v>4016565</v>
      </c>
      <c r="D65" s="54" t="s">
        <v>136</v>
      </c>
      <c r="E65" s="54" t="s">
        <v>138</v>
      </c>
      <c r="F65" s="55">
        <v>8599</v>
      </c>
      <c r="G65" s="55">
        <v>4699</v>
      </c>
      <c r="H65" s="56">
        <v>5799</v>
      </c>
      <c r="I65" s="56">
        <v>5799</v>
      </c>
      <c r="J65" s="55">
        <v>5699</v>
      </c>
      <c r="K65" s="55">
        <v>5699</v>
      </c>
      <c r="L65" s="55">
        <v>5699</v>
      </c>
      <c r="M65" s="55">
        <v>5699</v>
      </c>
      <c r="N65" s="55">
        <v>5699</v>
      </c>
      <c r="O65" s="55">
        <v>5599</v>
      </c>
      <c r="P65" s="56">
        <v>5499</v>
      </c>
      <c r="Q65" s="56">
        <v>4799</v>
      </c>
      <c r="R65" s="55">
        <v>5599</v>
      </c>
      <c r="S65" s="55">
        <v>5499</v>
      </c>
      <c r="T65" s="56">
        <v>4799</v>
      </c>
      <c r="U65" s="56">
        <v>4799</v>
      </c>
      <c r="V65" s="56">
        <v>4799</v>
      </c>
      <c r="W65" s="56">
        <v>4799</v>
      </c>
      <c r="X65" s="56">
        <v>4699</v>
      </c>
      <c r="Y65" s="56">
        <v>4299</v>
      </c>
      <c r="Z65" s="56">
        <v>4299</v>
      </c>
      <c r="AA65" s="56">
        <v>4249</v>
      </c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7"/>
      <c r="AW65" s="58" t="s">
        <v>67</v>
      </c>
      <c r="AX65" s="59" t="s">
        <v>68</v>
      </c>
      <c r="AY65" s="60">
        <f t="shared" si="0"/>
        <v>117.13979999999999</v>
      </c>
      <c r="AZ65" s="60">
        <f t="shared" si="1"/>
        <v>105.54180000000001</v>
      </c>
      <c r="BA65" s="61">
        <f t="shared" si="2"/>
        <v>59.729700000000001</v>
      </c>
    </row>
    <row r="66" spans="1:53" ht="22.5" customHeight="1">
      <c r="A66" s="51" t="s">
        <v>63</v>
      </c>
      <c r="B66" s="52" t="s">
        <v>64</v>
      </c>
      <c r="C66" s="53">
        <v>4016675</v>
      </c>
      <c r="D66" s="54" t="s">
        <v>136</v>
      </c>
      <c r="E66" s="54" t="s">
        <v>139</v>
      </c>
      <c r="F66" s="55">
        <v>8599</v>
      </c>
      <c r="G66" s="55">
        <v>4699</v>
      </c>
      <c r="H66" s="56">
        <v>5799</v>
      </c>
      <c r="I66" s="56">
        <v>5799</v>
      </c>
      <c r="J66" s="55">
        <v>5699</v>
      </c>
      <c r="K66" s="55">
        <v>5699</v>
      </c>
      <c r="L66" s="55">
        <v>5699</v>
      </c>
      <c r="M66" s="55">
        <v>5699</v>
      </c>
      <c r="N66" s="55">
        <v>5699</v>
      </c>
      <c r="O66" s="55">
        <v>5599</v>
      </c>
      <c r="P66" s="56">
        <v>5499</v>
      </c>
      <c r="Q66" s="56">
        <v>4799</v>
      </c>
      <c r="R66" s="55">
        <v>5599</v>
      </c>
      <c r="S66" s="55">
        <v>5499</v>
      </c>
      <c r="T66" s="56">
        <v>4799</v>
      </c>
      <c r="U66" s="56">
        <v>4799</v>
      </c>
      <c r="V66" s="56">
        <v>4799</v>
      </c>
      <c r="W66" s="56">
        <v>4799</v>
      </c>
      <c r="X66" s="56">
        <v>4699</v>
      </c>
      <c r="Y66" s="56">
        <v>4299</v>
      </c>
      <c r="Z66" s="56">
        <v>4299</v>
      </c>
      <c r="AA66" s="56">
        <v>4249</v>
      </c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7"/>
      <c r="AW66" s="58" t="s">
        <v>67</v>
      </c>
      <c r="AX66" s="59" t="s">
        <v>68</v>
      </c>
      <c r="AY66" s="60">
        <f t="shared" si="0"/>
        <v>117.13979999999999</v>
      </c>
      <c r="AZ66" s="60">
        <f t="shared" si="1"/>
        <v>105.54180000000001</v>
      </c>
      <c r="BA66" s="61">
        <f t="shared" si="2"/>
        <v>59.729700000000001</v>
      </c>
    </row>
    <row r="67" spans="1:53" ht="22.5" customHeight="1">
      <c r="A67" s="51" t="s">
        <v>63</v>
      </c>
      <c r="B67" s="52" t="s">
        <v>64</v>
      </c>
      <c r="C67" s="53">
        <v>4016670</v>
      </c>
      <c r="D67" s="54" t="s">
        <v>136</v>
      </c>
      <c r="E67" s="54" t="s">
        <v>140</v>
      </c>
      <c r="F67" s="55">
        <v>8599</v>
      </c>
      <c r="G67" s="55">
        <v>4699</v>
      </c>
      <c r="H67" s="56">
        <v>5799</v>
      </c>
      <c r="I67" s="56">
        <v>5799</v>
      </c>
      <c r="J67" s="55">
        <v>5699</v>
      </c>
      <c r="K67" s="55">
        <v>5699</v>
      </c>
      <c r="L67" s="55">
        <v>5699</v>
      </c>
      <c r="M67" s="55">
        <v>5699</v>
      </c>
      <c r="N67" s="55">
        <v>5699</v>
      </c>
      <c r="O67" s="55">
        <v>5599</v>
      </c>
      <c r="P67" s="56">
        <v>5499</v>
      </c>
      <c r="Q67" s="56">
        <v>4799</v>
      </c>
      <c r="R67" s="55">
        <v>5599</v>
      </c>
      <c r="S67" s="55">
        <v>5499</v>
      </c>
      <c r="T67" s="56">
        <v>4799</v>
      </c>
      <c r="U67" s="56">
        <v>4799</v>
      </c>
      <c r="V67" s="56">
        <v>4799</v>
      </c>
      <c r="W67" s="56">
        <v>4799</v>
      </c>
      <c r="X67" s="56">
        <v>4699</v>
      </c>
      <c r="Y67" s="56">
        <v>4299</v>
      </c>
      <c r="Z67" s="56">
        <v>4299</v>
      </c>
      <c r="AA67" s="56">
        <v>4249</v>
      </c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7"/>
      <c r="AW67" s="58" t="s">
        <v>67</v>
      </c>
      <c r="AX67" s="59" t="s">
        <v>68</v>
      </c>
      <c r="AY67" s="60">
        <f t="shared" si="0"/>
        <v>117.13979999999999</v>
      </c>
      <c r="AZ67" s="60">
        <f t="shared" si="1"/>
        <v>105.54180000000001</v>
      </c>
      <c r="BA67" s="61">
        <f t="shared" si="2"/>
        <v>59.729700000000001</v>
      </c>
    </row>
    <row r="68" spans="1:53" ht="22.5" customHeight="1">
      <c r="A68" s="51" t="s">
        <v>63</v>
      </c>
      <c r="B68" s="52" t="s">
        <v>64</v>
      </c>
      <c r="C68" s="53">
        <v>4016673</v>
      </c>
      <c r="D68" s="54" t="s">
        <v>136</v>
      </c>
      <c r="E68" s="54" t="s">
        <v>141</v>
      </c>
      <c r="F68" s="55">
        <v>8599</v>
      </c>
      <c r="G68" s="55">
        <v>4699</v>
      </c>
      <c r="H68" s="56">
        <v>5799</v>
      </c>
      <c r="I68" s="56">
        <v>5799</v>
      </c>
      <c r="J68" s="55">
        <v>5699</v>
      </c>
      <c r="K68" s="55">
        <v>5699</v>
      </c>
      <c r="L68" s="55">
        <v>5699</v>
      </c>
      <c r="M68" s="55">
        <v>5699</v>
      </c>
      <c r="N68" s="55">
        <v>5699</v>
      </c>
      <c r="O68" s="55">
        <v>5599</v>
      </c>
      <c r="P68" s="56">
        <v>5499</v>
      </c>
      <c r="Q68" s="56">
        <v>4799</v>
      </c>
      <c r="R68" s="55">
        <v>5599</v>
      </c>
      <c r="S68" s="55">
        <v>5499</v>
      </c>
      <c r="T68" s="56">
        <v>4799</v>
      </c>
      <c r="U68" s="56">
        <v>4799</v>
      </c>
      <c r="V68" s="56">
        <v>4799</v>
      </c>
      <c r="W68" s="56">
        <v>4799</v>
      </c>
      <c r="X68" s="56">
        <v>4699</v>
      </c>
      <c r="Y68" s="56">
        <v>4299</v>
      </c>
      <c r="Z68" s="56">
        <v>4299</v>
      </c>
      <c r="AA68" s="56">
        <v>4249</v>
      </c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7"/>
      <c r="AW68" s="58" t="s">
        <v>67</v>
      </c>
      <c r="AX68" s="59" t="s">
        <v>68</v>
      </c>
      <c r="AY68" s="60">
        <f t="shared" si="0"/>
        <v>117.13979999999999</v>
      </c>
      <c r="AZ68" s="60">
        <f t="shared" si="1"/>
        <v>105.54180000000001</v>
      </c>
      <c r="BA68" s="61">
        <f t="shared" si="2"/>
        <v>59.729700000000001</v>
      </c>
    </row>
    <row r="69" spans="1:53" ht="22.5" customHeight="1">
      <c r="A69" s="51" t="s">
        <v>63</v>
      </c>
      <c r="B69" s="52" t="s">
        <v>64</v>
      </c>
      <c r="C69" s="53">
        <v>4016679</v>
      </c>
      <c r="D69" s="54" t="s">
        <v>136</v>
      </c>
      <c r="E69" s="54" t="s">
        <v>142</v>
      </c>
      <c r="F69" s="55">
        <v>8599</v>
      </c>
      <c r="G69" s="55">
        <v>4699</v>
      </c>
      <c r="H69" s="56">
        <v>5799</v>
      </c>
      <c r="I69" s="56">
        <v>5799</v>
      </c>
      <c r="J69" s="55">
        <v>5699</v>
      </c>
      <c r="K69" s="55">
        <v>5699</v>
      </c>
      <c r="L69" s="55">
        <v>5699</v>
      </c>
      <c r="M69" s="55">
        <v>5699</v>
      </c>
      <c r="N69" s="55">
        <v>5699</v>
      </c>
      <c r="O69" s="55">
        <v>5599</v>
      </c>
      <c r="P69" s="56">
        <v>5499</v>
      </c>
      <c r="Q69" s="56">
        <v>4799</v>
      </c>
      <c r="R69" s="55">
        <v>5599</v>
      </c>
      <c r="S69" s="55">
        <v>5499</v>
      </c>
      <c r="T69" s="56">
        <v>4799</v>
      </c>
      <c r="U69" s="56">
        <v>4799</v>
      </c>
      <c r="V69" s="56">
        <v>4799</v>
      </c>
      <c r="W69" s="56">
        <v>4799</v>
      </c>
      <c r="X69" s="56">
        <v>4699</v>
      </c>
      <c r="Y69" s="56">
        <v>4299</v>
      </c>
      <c r="Z69" s="56">
        <v>4299</v>
      </c>
      <c r="AA69" s="56">
        <v>4249</v>
      </c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7"/>
      <c r="AW69" s="58" t="s">
        <v>67</v>
      </c>
      <c r="AX69" s="59" t="s">
        <v>68</v>
      </c>
      <c r="AY69" s="60">
        <f t="shared" si="0"/>
        <v>117.13979999999999</v>
      </c>
      <c r="AZ69" s="60">
        <f t="shared" si="1"/>
        <v>105.54180000000001</v>
      </c>
      <c r="BA69" s="61">
        <f t="shared" si="2"/>
        <v>59.729700000000001</v>
      </c>
    </row>
    <row r="70" spans="1:53" ht="22.5" customHeight="1">
      <c r="A70" s="51" t="s">
        <v>63</v>
      </c>
      <c r="B70" s="52" t="s">
        <v>64</v>
      </c>
      <c r="C70" s="53">
        <v>4016594</v>
      </c>
      <c r="D70" s="54" t="s">
        <v>143</v>
      </c>
      <c r="E70" s="54" t="s">
        <v>144</v>
      </c>
      <c r="F70" s="55">
        <v>10499</v>
      </c>
      <c r="G70" s="55">
        <v>7699</v>
      </c>
      <c r="H70" s="56">
        <v>9099</v>
      </c>
      <c r="I70" s="56">
        <v>9099</v>
      </c>
      <c r="J70" s="55">
        <v>8999</v>
      </c>
      <c r="K70" s="55">
        <v>8999</v>
      </c>
      <c r="L70" s="55">
        <v>8999</v>
      </c>
      <c r="M70" s="55">
        <v>8999</v>
      </c>
      <c r="N70" s="55">
        <v>8999</v>
      </c>
      <c r="O70" s="55">
        <v>8899</v>
      </c>
      <c r="P70" s="56">
        <v>8799</v>
      </c>
      <c r="Q70" s="56">
        <v>7999</v>
      </c>
      <c r="R70" s="55">
        <v>8899</v>
      </c>
      <c r="S70" s="55">
        <v>8799</v>
      </c>
      <c r="T70" s="56">
        <v>7999</v>
      </c>
      <c r="U70" s="56">
        <v>7999</v>
      </c>
      <c r="V70" s="56">
        <v>7699</v>
      </c>
      <c r="W70" s="56">
        <v>7699</v>
      </c>
      <c r="X70" s="56">
        <v>7699</v>
      </c>
      <c r="Y70" s="56">
        <v>7499</v>
      </c>
      <c r="Z70" s="56">
        <v>7499</v>
      </c>
      <c r="AA70" s="56">
        <v>7499</v>
      </c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7"/>
      <c r="AW70" s="58" t="s">
        <v>67</v>
      </c>
      <c r="AX70" s="59" t="s">
        <v>68</v>
      </c>
      <c r="AY70" s="60">
        <f t="shared" si="0"/>
        <v>183.7998</v>
      </c>
      <c r="AZ70" s="60">
        <f t="shared" si="1"/>
        <v>165.6018</v>
      </c>
      <c r="BA70" s="61">
        <f t="shared" si="2"/>
        <v>93.719700000000003</v>
      </c>
    </row>
    <row r="71" spans="1:53" ht="22.5" customHeight="1">
      <c r="A71" s="51" t="s">
        <v>63</v>
      </c>
      <c r="B71" s="52" t="s">
        <v>64</v>
      </c>
      <c r="C71" s="53">
        <v>4016593</v>
      </c>
      <c r="D71" s="54" t="s">
        <v>143</v>
      </c>
      <c r="E71" s="54" t="s">
        <v>145</v>
      </c>
      <c r="F71" s="55">
        <v>10499</v>
      </c>
      <c r="G71" s="55">
        <v>7699</v>
      </c>
      <c r="H71" s="56">
        <v>9099</v>
      </c>
      <c r="I71" s="56">
        <v>9099</v>
      </c>
      <c r="J71" s="55">
        <v>8999</v>
      </c>
      <c r="K71" s="55">
        <v>8999</v>
      </c>
      <c r="L71" s="55">
        <v>8999</v>
      </c>
      <c r="M71" s="55">
        <v>8999</v>
      </c>
      <c r="N71" s="55">
        <v>8999</v>
      </c>
      <c r="O71" s="55">
        <v>8899</v>
      </c>
      <c r="P71" s="56">
        <v>8799</v>
      </c>
      <c r="Q71" s="56">
        <v>7999</v>
      </c>
      <c r="R71" s="55">
        <v>8899</v>
      </c>
      <c r="S71" s="55">
        <v>8799</v>
      </c>
      <c r="T71" s="56">
        <v>7999</v>
      </c>
      <c r="U71" s="56">
        <v>7999</v>
      </c>
      <c r="V71" s="56">
        <v>7699</v>
      </c>
      <c r="W71" s="56">
        <v>7699</v>
      </c>
      <c r="X71" s="56">
        <v>7699</v>
      </c>
      <c r="Y71" s="56">
        <v>7499</v>
      </c>
      <c r="Z71" s="56">
        <v>7499</v>
      </c>
      <c r="AA71" s="56">
        <v>7499</v>
      </c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7"/>
      <c r="AW71" s="58" t="s">
        <v>67</v>
      </c>
      <c r="AX71" s="59" t="s">
        <v>68</v>
      </c>
      <c r="AY71" s="60">
        <f t="shared" si="0"/>
        <v>183.7998</v>
      </c>
      <c r="AZ71" s="60">
        <f t="shared" si="1"/>
        <v>165.6018</v>
      </c>
      <c r="BA71" s="61">
        <f t="shared" si="2"/>
        <v>93.719700000000003</v>
      </c>
    </row>
    <row r="72" spans="1:53" ht="22.5" customHeight="1">
      <c r="A72" s="51" t="s">
        <v>63</v>
      </c>
      <c r="B72" s="52" t="s">
        <v>64</v>
      </c>
      <c r="C72" s="53">
        <v>4016592</v>
      </c>
      <c r="D72" s="54" t="s">
        <v>143</v>
      </c>
      <c r="E72" s="54" t="s">
        <v>146</v>
      </c>
      <c r="F72" s="55">
        <v>10499</v>
      </c>
      <c r="G72" s="55">
        <v>7699</v>
      </c>
      <c r="H72" s="56">
        <v>9099</v>
      </c>
      <c r="I72" s="56">
        <v>9099</v>
      </c>
      <c r="J72" s="55">
        <v>8999</v>
      </c>
      <c r="K72" s="55">
        <v>8999</v>
      </c>
      <c r="L72" s="55">
        <v>8999</v>
      </c>
      <c r="M72" s="55">
        <v>8999</v>
      </c>
      <c r="N72" s="55">
        <v>8999</v>
      </c>
      <c r="O72" s="55">
        <v>8899</v>
      </c>
      <c r="P72" s="56">
        <v>8799</v>
      </c>
      <c r="Q72" s="56">
        <v>7999</v>
      </c>
      <c r="R72" s="55">
        <v>8899</v>
      </c>
      <c r="S72" s="55">
        <v>8799</v>
      </c>
      <c r="T72" s="56">
        <v>7999</v>
      </c>
      <c r="U72" s="56">
        <v>7999</v>
      </c>
      <c r="V72" s="56">
        <v>7699</v>
      </c>
      <c r="W72" s="56">
        <v>7699</v>
      </c>
      <c r="X72" s="56">
        <v>7699</v>
      </c>
      <c r="Y72" s="56">
        <v>7499</v>
      </c>
      <c r="Z72" s="56">
        <v>7499</v>
      </c>
      <c r="AA72" s="56">
        <v>7499</v>
      </c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7"/>
      <c r="AW72" s="58" t="s">
        <v>67</v>
      </c>
      <c r="AX72" s="59" t="s">
        <v>68</v>
      </c>
      <c r="AY72" s="60">
        <f t="shared" si="0"/>
        <v>183.7998</v>
      </c>
      <c r="AZ72" s="60">
        <f t="shared" si="1"/>
        <v>165.6018</v>
      </c>
      <c r="BA72" s="61">
        <f t="shared" si="2"/>
        <v>93.719700000000003</v>
      </c>
    </row>
    <row r="73" spans="1:53" ht="22.5" customHeight="1">
      <c r="A73" s="51" t="s">
        <v>63</v>
      </c>
      <c r="B73" s="52" t="s">
        <v>64</v>
      </c>
      <c r="C73" s="53">
        <v>4016591</v>
      </c>
      <c r="D73" s="54" t="s">
        <v>143</v>
      </c>
      <c r="E73" s="54" t="s">
        <v>147</v>
      </c>
      <c r="F73" s="55">
        <v>10499</v>
      </c>
      <c r="G73" s="55">
        <v>7699</v>
      </c>
      <c r="H73" s="56">
        <v>9099</v>
      </c>
      <c r="I73" s="56">
        <v>9099</v>
      </c>
      <c r="J73" s="55">
        <v>8999</v>
      </c>
      <c r="K73" s="55">
        <v>8999</v>
      </c>
      <c r="L73" s="55">
        <v>8999</v>
      </c>
      <c r="M73" s="55">
        <v>8999</v>
      </c>
      <c r="N73" s="55">
        <v>8999</v>
      </c>
      <c r="O73" s="55">
        <v>8899</v>
      </c>
      <c r="P73" s="56">
        <v>8799</v>
      </c>
      <c r="Q73" s="56">
        <v>7999</v>
      </c>
      <c r="R73" s="55">
        <v>8899</v>
      </c>
      <c r="S73" s="55">
        <v>8799</v>
      </c>
      <c r="T73" s="56">
        <v>7999</v>
      </c>
      <c r="U73" s="56">
        <v>7999</v>
      </c>
      <c r="V73" s="56">
        <v>7699</v>
      </c>
      <c r="W73" s="56">
        <v>7699</v>
      </c>
      <c r="X73" s="56">
        <v>7699</v>
      </c>
      <c r="Y73" s="56">
        <v>7499</v>
      </c>
      <c r="Z73" s="56">
        <v>7499</v>
      </c>
      <c r="AA73" s="56">
        <v>7499</v>
      </c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7"/>
      <c r="AW73" s="58" t="s">
        <v>67</v>
      </c>
      <c r="AX73" s="59" t="s">
        <v>68</v>
      </c>
      <c r="AY73" s="60">
        <f t="shared" si="0"/>
        <v>183.7998</v>
      </c>
      <c r="AZ73" s="60">
        <f t="shared" si="1"/>
        <v>165.6018</v>
      </c>
      <c r="BA73" s="61">
        <f t="shared" si="2"/>
        <v>93.719700000000003</v>
      </c>
    </row>
    <row r="74" spans="1:53" ht="22.5" customHeight="1">
      <c r="A74" s="51" t="s">
        <v>63</v>
      </c>
      <c r="B74" s="52" t="s">
        <v>64</v>
      </c>
      <c r="C74" s="53">
        <v>4016595</v>
      </c>
      <c r="D74" s="54" t="s">
        <v>148</v>
      </c>
      <c r="E74" s="54" t="s">
        <v>149</v>
      </c>
      <c r="F74" s="55">
        <v>11299</v>
      </c>
      <c r="G74" s="55">
        <v>8399</v>
      </c>
      <c r="H74" s="56">
        <v>9799</v>
      </c>
      <c r="I74" s="56">
        <v>9799</v>
      </c>
      <c r="J74" s="55">
        <v>9699</v>
      </c>
      <c r="K74" s="55">
        <v>9699</v>
      </c>
      <c r="L74" s="55">
        <v>9699</v>
      </c>
      <c r="M74" s="55">
        <v>9699</v>
      </c>
      <c r="N74" s="55">
        <v>9699</v>
      </c>
      <c r="O74" s="55">
        <v>9599</v>
      </c>
      <c r="P74" s="56">
        <v>9499</v>
      </c>
      <c r="Q74" s="56">
        <v>8699</v>
      </c>
      <c r="R74" s="55">
        <v>9599</v>
      </c>
      <c r="S74" s="55">
        <v>9499</v>
      </c>
      <c r="T74" s="56">
        <v>8699</v>
      </c>
      <c r="U74" s="56">
        <v>8699</v>
      </c>
      <c r="V74" s="56">
        <v>8399</v>
      </c>
      <c r="W74" s="56">
        <v>8399</v>
      </c>
      <c r="X74" s="56">
        <v>8399</v>
      </c>
      <c r="Y74" s="56">
        <v>8199</v>
      </c>
      <c r="Z74" s="56">
        <v>8199</v>
      </c>
      <c r="AA74" s="56">
        <v>8199</v>
      </c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7"/>
      <c r="AW74" s="58" t="s">
        <v>67</v>
      </c>
      <c r="AX74" s="59" t="s">
        <v>68</v>
      </c>
      <c r="AY74" s="60">
        <f t="shared" si="0"/>
        <v>197.93979999999999</v>
      </c>
      <c r="AZ74" s="60">
        <f t="shared" si="1"/>
        <v>178.34180000000001</v>
      </c>
      <c r="BA74" s="61">
        <f t="shared" si="2"/>
        <v>100.9297</v>
      </c>
    </row>
    <row r="75" spans="1:53" ht="22.5" customHeight="1">
      <c r="A75" s="51" t="s">
        <v>63</v>
      </c>
      <c r="B75" s="52" t="s">
        <v>64</v>
      </c>
      <c r="C75" s="53">
        <v>4016596</v>
      </c>
      <c r="D75" s="54" t="s">
        <v>148</v>
      </c>
      <c r="E75" s="54" t="s">
        <v>150</v>
      </c>
      <c r="F75" s="55">
        <v>11299</v>
      </c>
      <c r="G75" s="55">
        <v>8399</v>
      </c>
      <c r="H75" s="56">
        <v>9799</v>
      </c>
      <c r="I75" s="56">
        <v>9799</v>
      </c>
      <c r="J75" s="55">
        <v>9699</v>
      </c>
      <c r="K75" s="55">
        <v>9699</v>
      </c>
      <c r="L75" s="55">
        <v>9699</v>
      </c>
      <c r="M75" s="55">
        <v>9699</v>
      </c>
      <c r="N75" s="55">
        <v>9699</v>
      </c>
      <c r="O75" s="55">
        <v>9599</v>
      </c>
      <c r="P75" s="56">
        <v>9499</v>
      </c>
      <c r="Q75" s="56">
        <v>8699</v>
      </c>
      <c r="R75" s="55">
        <v>9599</v>
      </c>
      <c r="S75" s="55">
        <v>9499</v>
      </c>
      <c r="T75" s="56">
        <v>8699</v>
      </c>
      <c r="U75" s="56">
        <v>8699</v>
      </c>
      <c r="V75" s="56">
        <v>8399</v>
      </c>
      <c r="W75" s="56">
        <v>8399</v>
      </c>
      <c r="X75" s="56">
        <v>8399</v>
      </c>
      <c r="Y75" s="56">
        <v>8199</v>
      </c>
      <c r="Z75" s="56">
        <v>8199</v>
      </c>
      <c r="AA75" s="56">
        <v>8199</v>
      </c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7"/>
      <c r="AW75" s="58" t="s">
        <v>67</v>
      </c>
      <c r="AX75" s="59" t="s">
        <v>68</v>
      </c>
      <c r="AY75" s="60">
        <f t="shared" si="0"/>
        <v>197.93979999999999</v>
      </c>
      <c r="AZ75" s="60">
        <f t="shared" si="1"/>
        <v>178.34180000000001</v>
      </c>
      <c r="BA75" s="61">
        <f t="shared" si="2"/>
        <v>100.9297</v>
      </c>
    </row>
    <row r="76" spans="1:53" ht="22.5" customHeight="1">
      <c r="A76" s="51" t="s">
        <v>63</v>
      </c>
      <c r="B76" s="52" t="s">
        <v>64</v>
      </c>
      <c r="C76" s="53">
        <v>4016508</v>
      </c>
      <c r="D76" s="54" t="s">
        <v>148</v>
      </c>
      <c r="E76" s="54" t="s">
        <v>151</v>
      </c>
      <c r="F76" s="55">
        <v>11299</v>
      </c>
      <c r="G76" s="55">
        <v>8399</v>
      </c>
      <c r="H76" s="56">
        <v>9799</v>
      </c>
      <c r="I76" s="56">
        <v>9799</v>
      </c>
      <c r="J76" s="55">
        <v>9699</v>
      </c>
      <c r="K76" s="55">
        <v>9699</v>
      </c>
      <c r="L76" s="55">
        <v>9699</v>
      </c>
      <c r="M76" s="55">
        <v>9699</v>
      </c>
      <c r="N76" s="55">
        <v>9699</v>
      </c>
      <c r="O76" s="55">
        <v>9599</v>
      </c>
      <c r="P76" s="56">
        <v>9499</v>
      </c>
      <c r="Q76" s="56">
        <v>8699</v>
      </c>
      <c r="R76" s="55">
        <v>9599</v>
      </c>
      <c r="S76" s="55">
        <v>9499</v>
      </c>
      <c r="T76" s="56">
        <v>8699</v>
      </c>
      <c r="U76" s="56">
        <v>8699</v>
      </c>
      <c r="V76" s="56">
        <v>8399</v>
      </c>
      <c r="W76" s="56">
        <v>8399</v>
      </c>
      <c r="X76" s="56">
        <v>8399</v>
      </c>
      <c r="Y76" s="56">
        <v>8199</v>
      </c>
      <c r="Z76" s="56">
        <v>8199</v>
      </c>
      <c r="AA76" s="56">
        <v>8199</v>
      </c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7"/>
      <c r="AW76" s="58" t="s">
        <v>67</v>
      </c>
      <c r="AX76" s="59" t="s">
        <v>68</v>
      </c>
      <c r="AY76" s="60">
        <f t="shared" si="0"/>
        <v>197.93979999999999</v>
      </c>
      <c r="AZ76" s="60">
        <f t="shared" si="1"/>
        <v>178.34180000000001</v>
      </c>
      <c r="BA76" s="61">
        <f t="shared" si="2"/>
        <v>100.9297</v>
      </c>
    </row>
    <row r="77" spans="1:53" ht="22.5" customHeight="1">
      <c r="A77" s="51" t="s">
        <v>63</v>
      </c>
      <c r="B77" s="52" t="s">
        <v>64</v>
      </c>
      <c r="C77" s="53">
        <v>4016507</v>
      </c>
      <c r="D77" s="54" t="s">
        <v>148</v>
      </c>
      <c r="E77" s="54" t="s">
        <v>152</v>
      </c>
      <c r="F77" s="55">
        <v>11299</v>
      </c>
      <c r="G77" s="55">
        <v>8399</v>
      </c>
      <c r="H77" s="56">
        <v>9799</v>
      </c>
      <c r="I77" s="56">
        <v>9799</v>
      </c>
      <c r="J77" s="55">
        <v>9699</v>
      </c>
      <c r="K77" s="55">
        <v>9699</v>
      </c>
      <c r="L77" s="55">
        <v>9699</v>
      </c>
      <c r="M77" s="55">
        <v>9699</v>
      </c>
      <c r="N77" s="55">
        <v>9699</v>
      </c>
      <c r="O77" s="55">
        <v>9599</v>
      </c>
      <c r="P77" s="56">
        <v>9499</v>
      </c>
      <c r="Q77" s="56">
        <v>8699</v>
      </c>
      <c r="R77" s="55">
        <v>9599</v>
      </c>
      <c r="S77" s="55">
        <v>9499</v>
      </c>
      <c r="T77" s="56">
        <v>8699</v>
      </c>
      <c r="U77" s="56">
        <v>8699</v>
      </c>
      <c r="V77" s="56">
        <v>8399</v>
      </c>
      <c r="W77" s="56">
        <v>8399</v>
      </c>
      <c r="X77" s="56">
        <v>8399</v>
      </c>
      <c r="Y77" s="56">
        <v>8199</v>
      </c>
      <c r="Z77" s="56">
        <v>8199</v>
      </c>
      <c r="AA77" s="56">
        <v>8199</v>
      </c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7"/>
      <c r="AW77" s="58" t="s">
        <v>67</v>
      </c>
      <c r="AX77" s="59" t="s">
        <v>68</v>
      </c>
      <c r="AY77" s="60">
        <f t="shared" si="0"/>
        <v>197.93979999999999</v>
      </c>
      <c r="AZ77" s="60">
        <f t="shared" si="1"/>
        <v>178.34180000000001</v>
      </c>
      <c r="BA77" s="61">
        <f t="shared" si="2"/>
        <v>100.9297</v>
      </c>
    </row>
    <row r="78" spans="1:53" ht="22.5" customHeight="1">
      <c r="A78" s="51" t="s">
        <v>63</v>
      </c>
      <c r="B78" s="52" t="s">
        <v>64</v>
      </c>
      <c r="C78" s="53">
        <v>4016598</v>
      </c>
      <c r="D78" s="54" t="s">
        <v>153</v>
      </c>
      <c r="E78" s="54" t="s">
        <v>154</v>
      </c>
      <c r="F78" s="55">
        <v>12799</v>
      </c>
      <c r="G78" s="55">
        <v>9699</v>
      </c>
      <c r="H78" s="56">
        <v>11799</v>
      </c>
      <c r="I78" s="56">
        <v>11799</v>
      </c>
      <c r="J78" s="55">
        <v>11799</v>
      </c>
      <c r="K78" s="55">
        <v>11799</v>
      </c>
      <c r="L78" s="55">
        <v>11799</v>
      </c>
      <c r="M78" s="55">
        <v>11799</v>
      </c>
      <c r="N78" s="55">
        <v>11799</v>
      </c>
      <c r="O78" s="55">
        <v>11699</v>
      </c>
      <c r="P78" s="56">
        <v>11599</v>
      </c>
      <c r="Q78" s="56">
        <v>10799</v>
      </c>
      <c r="R78" s="55">
        <v>11699</v>
      </c>
      <c r="S78" s="55">
        <v>11599</v>
      </c>
      <c r="T78" s="56">
        <v>10799</v>
      </c>
      <c r="U78" s="56">
        <v>10799</v>
      </c>
      <c r="V78" s="56">
        <v>10799</v>
      </c>
      <c r="W78" s="56">
        <v>10699</v>
      </c>
      <c r="X78" s="56">
        <v>10699</v>
      </c>
      <c r="Y78" s="56">
        <v>9699</v>
      </c>
      <c r="Z78" s="56">
        <v>9599</v>
      </c>
      <c r="AA78" s="56">
        <v>9599</v>
      </c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7"/>
      <c r="AW78" s="58" t="s">
        <v>67</v>
      </c>
      <c r="AX78" s="59" t="s">
        <v>68</v>
      </c>
      <c r="AY78" s="60">
        <f t="shared" ref="AY78:AY164" si="3">$H78*AY$11</f>
        <v>238.3398</v>
      </c>
      <c r="AZ78" s="60">
        <f t="shared" ref="AZ78:AZ164" si="4">($H78*AZ$11)</f>
        <v>214.74180000000001</v>
      </c>
      <c r="BA78" s="61">
        <f t="shared" ref="BA78:BA164" si="5">$H78*BA$11</f>
        <v>121.52970000000001</v>
      </c>
    </row>
    <row r="79" spans="1:53" ht="22.5" customHeight="1">
      <c r="A79" s="51" t="s">
        <v>63</v>
      </c>
      <c r="B79" s="52" t="s">
        <v>64</v>
      </c>
      <c r="C79" s="53">
        <v>4016606</v>
      </c>
      <c r="D79" s="54" t="s">
        <v>155</v>
      </c>
      <c r="E79" s="54" t="s">
        <v>156</v>
      </c>
      <c r="F79" s="55">
        <v>12499</v>
      </c>
      <c r="G79" s="55">
        <v>9599</v>
      </c>
      <c r="H79" s="56">
        <v>10999</v>
      </c>
      <c r="I79" s="56">
        <v>10999</v>
      </c>
      <c r="J79" s="55">
        <v>10899</v>
      </c>
      <c r="K79" s="55">
        <v>10899</v>
      </c>
      <c r="L79" s="55">
        <v>10899</v>
      </c>
      <c r="M79" s="55">
        <v>10899</v>
      </c>
      <c r="N79" s="55">
        <v>10899</v>
      </c>
      <c r="O79" s="55">
        <v>10599</v>
      </c>
      <c r="P79" s="56">
        <v>10499</v>
      </c>
      <c r="Q79" s="56">
        <v>9799</v>
      </c>
      <c r="R79" s="55">
        <v>10599</v>
      </c>
      <c r="S79" s="55">
        <v>10499</v>
      </c>
      <c r="T79" s="56">
        <v>9799</v>
      </c>
      <c r="U79" s="56">
        <v>9799</v>
      </c>
      <c r="V79" s="56">
        <v>9799</v>
      </c>
      <c r="W79" s="56">
        <v>9799</v>
      </c>
      <c r="X79" s="56">
        <v>9599</v>
      </c>
      <c r="Y79" s="56">
        <v>8999</v>
      </c>
      <c r="Z79" s="56">
        <v>8999</v>
      </c>
      <c r="AA79" s="56">
        <v>8999</v>
      </c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7"/>
      <c r="AW79" s="58" t="s">
        <v>67</v>
      </c>
      <c r="AX79" s="59" t="s">
        <v>68</v>
      </c>
      <c r="AY79" s="60">
        <f t="shared" si="3"/>
        <v>222.1798</v>
      </c>
      <c r="AZ79" s="60">
        <f t="shared" si="4"/>
        <v>200.18180000000001</v>
      </c>
      <c r="BA79" s="61">
        <f t="shared" si="5"/>
        <v>113.2897</v>
      </c>
    </row>
    <row r="80" spans="1:53" ht="22.5" customHeight="1">
      <c r="A80" s="51" t="s">
        <v>63</v>
      </c>
      <c r="B80" s="52" t="s">
        <v>64</v>
      </c>
      <c r="C80" s="53">
        <v>4016618</v>
      </c>
      <c r="D80" s="54" t="s">
        <v>155</v>
      </c>
      <c r="E80" s="54" t="s">
        <v>157</v>
      </c>
      <c r="F80" s="55">
        <v>12499</v>
      </c>
      <c r="G80" s="55">
        <v>9599</v>
      </c>
      <c r="H80" s="56">
        <v>10999</v>
      </c>
      <c r="I80" s="56">
        <v>10999</v>
      </c>
      <c r="J80" s="55">
        <v>10899</v>
      </c>
      <c r="K80" s="55">
        <v>10899</v>
      </c>
      <c r="L80" s="55">
        <v>10899</v>
      </c>
      <c r="M80" s="55">
        <v>10899</v>
      </c>
      <c r="N80" s="55">
        <v>10899</v>
      </c>
      <c r="O80" s="55">
        <v>10599</v>
      </c>
      <c r="P80" s="56">
        <v>10499</v>
      </c>
      <c r="Q80" s="56">
        <v>9799</v>
      </c>
      <c r="R80" s="55">
        <v>10599</v>
      </c>
      <c r="S80" s="55">
        <v>10499</v>
      </c>
      <c r="T80" s="56">
        <v>9799</v>
      </c>
      <c r="U80" s="56">
        <v>9799</v>
      </c>
      <c r="V80" s="56">
        <v>9799</v>
      </c>
      <c r="W80" s="56">
        <v>9799</v>
      </c>
      <c r="X80" s="56">
        <v>9599</v>
      </c>
      <c r="Y80" s="56">
        <v>8999</v>
      </c>
      <c r="Z80" s="56">
        <v>8999</v>
      </c>
      <c r="AA80" s="56">
        <v>8999</v>
      </c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7"/>
      <c r="AW80" s="58" t="s">
        <v>67</v>
      </c>
      <c r="AX80" s="59" t="s">
        <v>68</v>
      </c>
      <c r="AY80" s="60">
        <f t="shared" si="3"/>
        <v>222.1798</v>
      </c>
      <c r="AZ80" s="60">
        <f t="shared" si="4"/>
        <v>200.18180000000001</v>
      </c>
      <c r="BA80" s="61">
        <f t="shared" si="5"/>
        <v>113.2897</v>
      </c>
    </row>
    <row r="81" spans="1:53" ht="22.5" customHeight="1">
      <c r="A81" s="51" t="s">
        <v>63</v>
      </c>
      <c r="B81" s="52" t="s">
        <v>64</v>
      </c>
      <c r="C81" s="53">
        <v>4016617</v>
      </c>
      <c r="D81" s="54" t="s">
        <v>155</v>
      </c>
      <c r="E81" s="54" t="s">
        <v>158</v>
      </c>
      <c r="F81" s="55">
        <v>12499</v>
      </c>
      <c r="G81" s="55">
        <v>9599</v>
      </c>
      <c r="H81" s="56">
        <v>10999</v>
      </c>
      <c r="I81" s="56">
        <v>10999</v>
      </c>
      <c r="J81" s="55">
        <v>10899</v>
      </c>
      <c r="K81" s="55">
        <v>10899</v>
      </c>
      <c r="L81" s="55">
        <v>10899</v>
      </c>
      <c r="M81" s="55">
        <v>10899</v>
      </c>
      <c r="N81" s="55">
        <v>10899</v>
      </c>
      <c r="O81" s="55">
        <v>10599</v>
      </c>
      <c r="P81" s="56">
        <v>10499</v>
      </c>
      <c r="Q81" s="56">
        <v>9799</v>
      </c>
      <c r="R81" s="55">
        <v>10599</v>
      </c>
      <c r="S81" s="55">
        <v>10499</v>
      </c>
      <c r="T81" s="56">
        <v>9799</v>
      </c>
      <c r="U81" s="56">
        <v>9799</v>
      </c>
      <c r="V81" s="56">
        <v>9799</v>
      </c>
      <c r="W81" s="56">
        <v>9799</v>
      </c>
      <c r="X81" s="56">
        <v>9599</v>
      </c>
      <c r="Y81" s="56">
        <v>8999</v>
      </c>
      <c r="Z81" s="56">
        <v>8999</v>
      </c>
      <c r="AA81" s="56">
        <v>8999</v>
      </c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7"/>
      <c r="AW81" s="58" t="s">
        <v>67</v>
      </c>
      <c r="AX81" s="59" t="s">
        <v>68</v>
      </c>
      <c r="AY81" s="60">
        <f t="shared" si="3"/>
        <v>222.1798</v>
      </c>
      <c r="AZ81" s="60">
        <f t="shared" si="4"/>
        <v>200.18180000000001</v>
      </c>
      <c r="BA81" s="61">
        <f t="shared" si="5"/>
        <v>113.2897</v>
      </c>
    </row>
    <row r="82" spans="1:53" ht="22.5" customHeight="1">
      <c r="A82" s="51" t="s">
        <v>63</v>
      </c>
      <c r="B82" s="52" t="s">
        <v>64</v>
      </c>
      <c r="C82" s="53">
        <v>4016605</v>
      </c>
      <c r="D82" s="54" t="s">
        <v>155</v>
      </c>
      <c r="E82" s="54" t="s">
        <v>159</v>
      </c>
      <c r="F82" s="55">
        <v>12499</v>
      </c>
      <c r="G82" s="55">
        <v>9599</v>
      </c>
      <c r="H82" s="56">
        <v>10999</v>
      </c>
      <c r="I82" s="56">
        <v>10999</v>
      </c>
      <c r="J82" s="55">
        <v>10899</v>
      </c>
      <c r="K82" s="55">
        <v>10899</v>
      </c>
      <c r="L82" s="55">
        <v>10899</v>
      </c>
      <c r="M82" s="55">
        <v>10899</v>
      </c>
      <c r="N82" s="55">
        <v>10899</v>
      </c>
      <c r="O82" s="55">
        <v>10599</v>
      </c>
      <c r="P82" s="56">
        <v>10499</v>
      </c>
      <c r="Q82" s="56">
        <v>9799</v>
      </c>
      <c r="R82" s="55">
        <v>10599</v>
      </c>
      <c r="S82" s="55">
        <v>10499</v>
      </c>
      <c r="T82" s="56">
        <v>9799</v>
      </c>
      <c r="U82" s="56">
        <v>9799</v>
      </c>
      <c r="V82" s="56">
        <v>9799</v>
      </c>
      <c r="W82" s="56">
        <v>9799</v>
      </c>
      <c r="X82" s="56">
        <v>9599</v>
      </c>
      <c r="Y82" s="56">
        <v>8999</v>
      </c>
      <c r="Z82" s="56">
        <v>8999</v>
      </c>
      <c r="AA82" s="56">
        <v>8999</v>
      </c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7"/>
      <c r="AW82" s="58" t="s">
        <v>67</v>
      </c>
      <c r="AX82" s="59" t="s">
        <v>68</v>
      </c>
      <c r="AY82" s="60">
        <f t="shared" si="3"/>
        <v>222.1798</v>
      </c>
      <c r="AZ82" s="60">
        <f t="shared" si="4"/>
        <v>200.18180000000001</v>
      </c>
      <c r="BA82" s="61">
        <f t="shared" si="5"/>
        <v>113.2897</v>
      </c>
    </row>
    <row r="83" spans="1:53" ht="22.5" customHeight="1">
      <c r="A83" s="51" t="s">
        <v>63</v>
      </c>
      <c r="B83" s="52" t="s">
        <v>64</v>
      </c>
      <c r="C83" s="53">
        <v>4016613</v>
      </c>
      <c r="D83" s="54" t="s">
        <v>160</v>
      </c>
      <c r="E83" s="54" t="s">
        <v>161</v>
      </c>
      <c r="F83" s="55">
        <v>13999</v>
      </c>
      <c r="G83" s="55">
        <v>10799</v>
      </c>
      <c r="H83" s="56">
        <v>12099</v>
      </c>
      <c r="I83" s="56">
        <v>12099</v>
      </c>
      <c r="J83" s="55">
        <v>11999</v>
      </c>
      <c r="K83" s="55">
        <v>11999</v>
      </c>
      <c r="L83" s="55">
        <v>11999</v>
      </c>
      <c r="M83" s="55">
        <v>11999</v>
      </c>
      <c r="N83" s="55">
        <v>11999</v>
      </c>
      <c r="O83" s="55">
        <v>11699</v>
      </c>
      <c r="P83" s="56">
        <v>11599</v>
      </c>
      <c r="Q83" s="56">
        <v>10999</v>
      </c>
      <c r="R83" s="55">
        <v>11699</v>
      </c>
      <c r="S83" s="55">
        <v>11599</v>
      </c>
      <c r="T83" s="56">
        <v>10999</v>
      </c>
      <c r="U83" s="56">
        <v>10999</v>
      </c>
      <c r="V83" s="56">
        <v>10999</v>
      </c>
      <c r="W83" s="56">
        <v>10999</v>
      </c>
      <c r="X83" s="56">
        <v>10799</v>
      </c>
      <c r="Y83" s="56">
        <v>10299</v>
      </c>
      <c r="Z83" s="56">
        <v>10299</v>
      </c>
      <c r="AA83" s="56">
        <v>10299</v>
      </c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7"/>
      <c r="AW83" s="58" t="s">
        <v>67</v>
      </c>
      <c r="AX83" s="59" t="s">
        <v>68</v>
      </c>
      <c r="AY83" s="60">
        <f t="shared" si="3"/>
        <v>244.3998</v>
      </c>
      <c r="AZ83" s="60">
        <f t="shared" si="4"/>
        <v>220.20180000000002</v>
      </c>
      <c r="BA83" s="61">
        <f t="shared" si="5"/>
        <v>124.61969999999999</v>
      </c>
    </row>
    <row r="84" spans="1:53" ht="22.5" customHeight="1">
      <c r="A84" s="51" t="s">
        <v>63</v>
      </c>
      <c r="B84" s="52" t="s">
        <v>64</v>
      </c>
      <c r="C84" s="53">
        <v>4016619</v>
      </c>
      <c r="D84" s="54" t="s">
        <v>160</v>
      </c>
      <c r="E84" s="54" t="s">
        <v>162</v>
      </c>
      <c r="F84" s="55">
        <v>13999</v>
      </c>
      <c r="G84" s="55">
        <v>10799</v>
      </c>
      <c r="H84" s="56">
        <v>12099</v>
      </c>
      <c r="I84" s="56">
        <v>12099</v>
      </c>
      <c r="J84" s="55">
        <v>11999</v>
      </c>
      <c r="K84" s="55">
        <v>11999</v>
      </c>
      <c r="L84" s="55">
        <v>11999</v>
      </c>
      <c r="M84" s="55">
        <v>11999</v>
      </c>
      <c r="N84" s="55">
        <v>11999</v>
      </c>
      <c r="O84" s="55">
        <v>11699</v>
      </c>
      <c r="P84" s="56">
        <v>11599</v>
      </c>
      <c r="Q84" s="56">
        <v>10999</v>
      </c>
      <c r="R84" s="55">
        <v>11699</v>
      </c>
      <c r="S84" s="55">
        <v>11599</v>
      </c>
      <c r="T84" s="56">
        <v>10999</v>
      </c>
      <c r="U84" s="56">
        <v>10999</v>
      </c>
      <c r="V84" s="56">
        <v>10999</v>
      </c>
      <c r="W84" s="56">
        <v>10999</v>
      </c>
      <c r="X84" s="56">
        <v>10799</v>
      </c>
      <c r="Y84" s="56">
        <v>10299</v>
      </c>
      <c r="Z84" s="56">
        <v>10299</v>
      </c>
      <c r="AA84" s="56">
        <v>10299</v>
      </c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7"/>
      <c r="AW84" s="58" t="s">
        <v>67</v>
      </c>
      <c r="AX84" s="59" t="s">
        <v>68</v>
      </c>
      <c r="AY84" s="60">
        <f t="shared" si="3"/>
        <v>244.3998</v>
      </c>
      <c r="AZ84" s="60">
        <f t="shared" si="4"/>
        <v>220.20180000000002</v>
      </c>
      <c r="BA84" s="61">
        <f t="shared" si="5"/>
        <v>124.61969999999999</v>
      </c>
    </row>
    <row r="85" spans="1:53" ht="22.5" customHeight="1">
      <c r="A85" s="51" t="s">
        <v>63</v>
      </c>
      <c r="B85" s="52" t="s">
        <v>64</v>
      </c>
      <c r="C85" s="53">
        <v>4016609</v>
      </c>
      <c r="D85" s="54" t="s">
        <v>160</v>
      </c>
      <c r="E85" s="54" t="s">
        <v>163</v>
      </c>
      <c r="F85" s="55">
        <v>13999</v>
      </c>
      <c r="G85" s="55">
        <v>10799</v>
      </c>
      <c r="H85" s="56">
        <v>12099</v>
      </c>
      <c r="I85" s="56">
        <v>12099</v>
      </c>
      <c r="J85" s="55">
        <v>11999</v>
      </c>
      <c r="K85" s="55">
        <v>11999</v>
      </c>
      <c r="L85" s="55">
        <v>11999</v>
      </c>
      <c r="M85" s="55">
        <v>11999</v>
      </c>
      <c r="N85" s="55">
        <v>11999</v>
      </c>
      <c r="O85" s="55">
        <v>11699</v>
      </c>
      <c r="P85" s="56">
        <v>11599</v>
      </c>
      <c r="Q85" s="56">
        <v>10999</v>
      </c>
      <c r="R85" s="55">
        <v>11699</v>
      </c>
      <c r="S85" s="55">
        <v>11599</v>
      </c>
      <c r="T85" s="56">
        <v>10999</v>
      </c>
      <c r="U85" s="56">
        <v>10999</v>
      </c>
      <c r="V85" s="56">
        <v>10999</v>
      </c>
      <c r="W85" s="56">
        <v>10999</v>
      </c>
      <c r="X85" s="56">
        <v>10799</v>
      </c>
      <c r="Y85" s="56">
        <v>10299</v>
      </c>
      <c r="Z85" s="56">
        <v>10299</v>
      </c>
      <c r="AA85" s="56">
        <v>10299</v>
      </c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7"/>
      <c r="AW85" s="58" t="s">
        <v>67</v>
      </c>
      <c r="AX85" s="59" t="s">
        <v>68</v>
      </c>
      <c r="AY85" s="60">
        <f t="shared" si="3"/>
        <v>244.3998</v>
      </c>
      <c r="AZ85" s="60">
        <f t="shared" si="4"/>
        <v>220.20180000000002</v>
      </c>
      <c r="BA85" s="61">
        <f t="shared" si="5"/>
        <v>124.61969999999999</v>
      </c>
    </row>
    <row r="86" spans="1:53" ht="22.5" customHeight="1">
      <c r="A86" s="51" t="s">
        <v>63</v>
      </c>
      <c r="B86" s="52" t="s">
        <v>64</v>
      </c>
      <c r="C86" s="53">
        <v>4016916</v>
      </c>
      <c r="D86" s="54" t="s">
        <v>164</v>
      </c>
      <c r="E86" s="54" t="s">
        <v>165</v>
      </c>
      <c r="F86" s="55">
        <v>6599</v>
      </c>
      <c r="G86" s="55">
        <v>2299</v>
      </c>
      <c r="H86" s="56">
        <v>4799</v>
      </c>
      <c r="I86" s="56">
        <v>4799</v>
      </c>
      <c r="J86" s="55">
        <v>4799</v>
      </c>
      <c r="K86" s="55">
        <v>4799</v>
      </c>
      <c r="L86" s="55">
        <v>4799</v>
      </c>
      <c r="M86" s="55">
        <v>4799</v>
      </c>
      <c r="N86" s="55">
        <v>4799</v>
      </c>
      <c r="O86" s="55">
        <v>4699</v>
      </c>
      <c r="P86" s="56">
        <v>4599</v>
      </c>
      <c r="Q86" s="56">
        <v>3599</v>
      </c>
      <c r="R86" s="55">
        <v>4699</v>
      </c>
      <c r="S86" s="55">
        <v>4599</v>
      </c>
      <c r="T86" s="56">
        <v>3599</v>
      </c>
      <c r="U86" s="56">
        <v>3599</v>
      </c>
      <c r="V86" s="56">
        <v>3599</v>
      </c>
      <c r="W86" s="56">
        <v>3599</v>
      </c>
      <c r="X86" s="56">
        <v>3499</v>
      </c>
      <c r="Y86" s="56">
        <v>2799</v>
      </c>
      <c r="Z86" s="56">
        <v>2799</v>
      </c>
      <c r="AA86" s="56">
        <v>2749</v>
      </c>
      <c r="AB86" s="55">
        <v>4799</v>
      </c>
      <c r="AC86" s="55">
        <v>4799</v>
      </c>
      <c r="AD86" s="55">
        <v>4799</v>
      </c>
      <c r="AE86" s="55">
        <v>4699</v>
      </c>
      <c r="AF86" s="55">
        <v>4599</v>
      </c>
      <c r="AG86" s="55">
        <v>4599</v>
      </c>
      <c r="AH86" s="55">
        <v>3599</v>
      </c>
      <c r="AI86" s="55">
        <v>3599</v>
      </c>
      <c r="AJ86" s="55">
        <v>3599</v>
      </c>
      <c r="AK86" s="55">
        <v>3599</v>
      </c>
      <c r="AL86" s="55">
        <v>2799</v>
      </c>
      <c r="AM86" s="55"/>
      <c r="AN86" s="55"/>
      <c r="AO86" s="55"/>
      <c r="AP86" s="55"/>
      <c r="AQ86" s="55"/>
      <c r="AR86" s="55"/>
      <c r="AS86" s="55"/>
      <c r="AT86" s="55"/>
      <c r="AU86" s="55"/>
      <c r="AV86" s="57"/>
      <c r="AW86" s="58" t="s">
        <v>67</v>
      </c>
      <c r="AX86" s="59" t="s">
        <v>68</v>
      </c>
      <c r="AY86" s="62">
        <f t="shared" si="3"/>
        <v>96.939799999999991</v>
      </c>
      <c r="AZ86" s="62">
        <f t="shared" si="4"/>
        <v>87.341800000000006</v>
      </c>
      <c r="BA86" s="63">
        <f t="shared" si="5"/>
        <v>49.429700000000004</v>
      </c>
    </row>
    <row r="87" spans="1:53" ht="22.5" customHeight="1">
      <c r="A87" s="51" t="s">
        <v>63</v>
      </c>
      <c r="B87" s="52" t="s">
        <v>64</v>
      </c>
      <c r="C87" s="53">
        <v>4016917</v>
      </c>
      <c r="D87" s="54" t="s">
        <v>164</v>
      </c>
      <c r="E87" s="54" t="s">
        <v>166</v>
      </c>
      <c r="F87" s="55">
        <v>6599</v>
      </c>
      <c r="G87" s="55">
        <v>2299</v>
      </c>
      <c r="H87" s="56">
        <v>4799</v>
      </c>
      <c r="I87" s="56">
        <v>4799</v>
      </c>
      <c r="J87" s="55">
        <v>4799</v>
      </c>
      <c r="K87" s="55">
        <v>4799</v>
      </c>
      <c r="L87" s="55">
        <v>4799</v>
      </c>
      <c r="M87" s="55">
        <v>4799</v>
      </c>
      <c r="N87" s="55">
        <v>4799</v>
      </c>
      <c r="O87" s="55">
        <v>4699</v>
      </c>
      <c r="P87" s="56">
        <v>4599</v>
      </c>
      <c r="Q87" s="56">
        <v>3599</v>
      </c>
      <c r="R87" s="55">
        <v>4699</v>
      </c>
      <c r="S87" s="55">
        <v>4599</v>
      </c>
      <c r="T87" s="56">
        <v>3599</v>
      </c>
      <c r="U87" s="56">
        <v>3599</v>
      </c>
      <c r="V87" s="56">
        <v>3599</v>
      </c>
      <c r="W87" s="56">
        <v>3599</v>
      </c>
      <c r="X87" s="56">
        <v>3499</v>
      </c>
      <c r="Y87" s="56">
        <v>2799</v>
      </c>
      <c r="Z87" s="56">
        <v>2799</v>
      </c>
      <c r="AA87" s="56">
        <v>2749</v>
      </c>
      <c r="AB87" s="55">
        <v>4799</v>
      </c>
      <c r="AC87" s="55">
        <v>4799</v>
      </c>
      <c r="AD87" s="55">
        <v>4799</v>
      </c>
      <c r="AE87" s="55">
        <v>4699</v>
      </c>
      <c r="AF87" s="55">
        <v>4599</v>
      </c>
      <c r="AG87" s="55">
        <v>4599</v>
      </c>
      <c r="AH87" s="55">
        <v>3599</v>
      </c>
      <c r="AI87" s="55">
        <v>3599</v>
      </c>
      <c r="AJ87" s="55">
        <v>3599</v>
      </c>
      <c r="AK87" s="55">
        <v>3599</v>
      </c>
      <c r="AL87" s="55">
        <v>2799</v>
      </c>
      <c r="AM87" s="55"/>
      <c r="AN87" s="55"/>
      <c r="AO87" s="55"/>
      <c r="AP87" s="55"/>
      <c r="AQ87" s="55"/>
      <c r="AR87" s="55"/>
      <c r="AS87" s="55"/>
      <c r="AT87" s="55"/>
      <c r="AU87" s="55"/>
      <c r="AV87" s="57"/>
      <c r="AW87" s="58" t="s">
        <v>67</v>
      </c>
      <c r="AX87" s="59" t="s">
        <v>68</v>
      </c>
      <c r="AY87" s="62">
        <f t="shared" si="3"/>
        <v>96.939799999999991</v>
      </c>
      <c r="AZ87" s="62">
        <f t="shared" si="4"/>
        <v>87.341800000000006</v>
      </c>
      <c r="BA87" s="63">
        <f t="shared" si="5"/>
        <v>49.429700000000004</v>
      </c>
    </row>
    <row r="88" spans="1:53" ht="22.5" customHeight="1">
      <c r="A88" s="51" t="s">
        <v>63</v>
      </c>
      <c r="B88" s="52" t="s">
        <v>64</v>
      </c>
      <c r="C88" s="53">
        <v>4017449</v>
      </c>
      <c r="D88" s="54" t="s">
        <v>167</v>
      </c>
      <c r="E88" s="54" t="s">
        <v>168</v>
      </c>
      <c r="F88" s="55">
        <v>7999</v>
      </c>
      <c r="G88" s="55">
        <v>5399</v>
      </c>
      <c r="H88" s="56">
        <v>6499</v>
      </c>
      <c r="I88" s="56">
        <v>6499</v>
      </c>
      <c r="J88" s="55">
        <v>6399</v>
      </c>
      <c r="K88" s="55">
        <v>6399</v>
      </c>
      <c r="L88" s="55">
        <v>6399</v>
      </c>
      <c r="M88" s="55">
        <v>6399</v>
      </c>
      <c r="N88" s="55">
        <v>6399</v>
      </c>
      <c r="O88" s="55">
        <v>6299</v>
      </c>
      <c r="P88" s="56">
        <v>6199</v>
      </c>
      <c r="Q88" s="56">
        <v>5499</v>
      </c>
      <c r="R88" s="55">
        <v>6299</v>
      </c>
      <c r="S88" s="55">
        <v>6199</v>
      </c>
      <c r="T88" s="56">
        <v>5499</v>
      </c>
      <c r="U88" s="56">
        <v>5499</v>
      </c>
      <c r="V88" s="56">
        <v>5499</v>
      </c>
      <c r="W88" s="56">
        <v>5499</v>
      </c>
      <c r="X88" s="56">
        <v>5399</v>
      </c>
      <c r="Y88" s="56">
        <v>4999</v>
      </c>
      <c r="Z88" s="56">
        <v>4999</v>
      </c>
      <c r="AA88" s="56">
        <v>4949</v>
      </c>
      <c r="AB88" s="55">
        <v>6399</v>
      </c>
      <c r="AC88" s="55">
        <v>6399</v>
      </c>
      <c r="AD88" s="55">
        <v>6399</v>
      </c>
      <c r="AE88" s="55">
        <v>6299</v>
      </c>
      <c r="AF88" s="55">
        <v>6199</v>
      </c>
      <c r="AG88" s="55">
        <v>6199</v>
      </c>
      <c r="AH88" s="55">
        <v>5499</v>
      </c>
      <c r="AI88" s="55">
        <v>5499</v>
      </c>
      <c r="AJ88" s="55">
        <v>5499</v>
      </c>
      <c r="AK88" s="55">
        <v>5499</v>
      </c>
      <c r="AL88" s="55">
        <v>4999</v>
      </c>
      <c r="AM88" s="55"/>
      <c r="AN88" s="55"/>
      <c r="AO88" s="55"/>
      <c r="AP88" s="55"/>
      <c r="AQ88" s="55"/>
      <c r="AR88" s="55"/>
      <c r="AS88" s="55"/>
      <c r="AT88" s="55"/>
      <c r="AU88" s="55"/>
      <c r="AV88" s="57"/>
      <c r="AW88" s="58" t="s">
        <v>67</v>
      </c>
      <c r="AX88" s="59" t="s">
        <v>68</v>
      </c>
      <c r="AY88" s="60">
        <f t="shared" si="3"/>
        <v>131.27979999999999</v>
      </c>
      <c r="AZ88" s="60">
        <f t="shared" si="4"/>
        <v>118.2818</v>
      </c>
      <c r="BA88" s="61">
        <f t="shared" si="5"/>
        <v>66.939700000000002</v>
      </c>
    </row>
    <row r="89" spans="1:53" ht="22.5" customHeight="1">
      <c r="A89" s="51" t="s">
        <v>63</v>
      </c>
      <c r="B89" s="52" t="s">
        <v>64</v>
      </c>
      <c r="C89" s="53">
        <v>4017897</v>
      </c>
      <c r="D89" s="54" t="s">
        <v>167</v>
      </c>
      <c r="E89" s="54" t="s">
        <v>169</v>
      </c>
      <c r="F89" s="55">
        <v>7999</v>
      </c>
      <c r="G89" s="55">
        <v>5399</v>
      </c>
      <c r="H89" s="56">
        <v>6499</v>
      </c>
      <c r="I89" s="56">
        <v>6499</v>
      </c>
      <c r="J89" s="55">
        <v>6399</v>
      </c>
      <c r="K89" s="55">
        <v>6399</v>
      </c>
      <c r="L89" s="55">
        <v>6399</v>
      </c>
      <c r="M89" s="55">
        <v>6399</v>
      </c>
      <c r="N89" s="55">
        <v>6399</v>
      </c>
      <c r="O89" s="55">
        <v>6299</v>
      </c>
      <c r="P89" s="56">
        <v>6199</v>
      </c>
      <c r="Q89" s="56">
        <v>5499</v>
      </c>
      <c r="R89" s="55">
        <v>6299</v>
      </c>
      <c r="S89" s="55">
        <v>6199</v>
      </c>
      <c r="T89" s="56">
        <v>5499</v>
      </c>
      <c r="U89" s="56">
        <v>5499</v>
      </c>
      <c r="V89" s="56">
        <v>5499</v>
      </c>
      <c r="W89" s="56">
        <v>5499</v>
      </c>
      <c r="X89" s="56">
        <v>5399</v>
      </c>
      <c r="Y89" s="56">
        <v>4999</v>
      </c>
      <c r="Z89" s="56">
        <v>4999</v>
      </c>
      <c r="AA89" s="56">
        <v>4949</v>
      </c>
      <c r="AB89" s="55">
        <v>6399</v>
      </c>
      <c r="AC89" s="55">
        <v>6399</v>
      </c>
      <c r="AD89" s="55">
        <v>6399</v>
      </c>
      <c r="AE89" s="55">
        <v>6299</v>
      </c>
      <c r="AF89" s="55">
        <v>6199</v>
      </c>
      <c r="AG89" s="55">
        <v>6199</v>
      </c>
      <c r="AH89" s="55">
        <v>5499</v>
      </c>
      <c r="AI89" s="55">
        <v>5499</v>
      </c>
      <c r="AJ89" s="55">
        <v>5499</v>
      </c>
      <c r="AK89" s="55">
        <v>5499</v>
      </c>
      <c r="AL89" s="55">
        <v>4999</v>
      </c>
      <c r="AM89" s="55"/>
      <c r="AN89" s="55"/>
      <c r="AO89" s="55"/>
      <c r="AP89" s="55"/>
      <c r="AQ89" s="55"/>
      <c r="AR89" s="55"/>
      <c r="AS89" s="55"/>
      <c r="AT89" s="55"/>
      <c r="AU89" s="55"/>
      <c r="AV89" s="57"/>
      <c r="AW89" s="58" t="s">
        <v>67</v>
      </c>
      <c r="AX89" s="59" t="s">
        <v>68</v>
      </c>
      <c r="AY89" s="60">
        <f t="shared" si="3"/>
        <v>131.27979999999999</v>
      </c>
      <c r="AZ89" s="60">
        <f t="shared" si="4"/>
        <v>118.2818</v>
      </c>
      <c r="BA89" s="61">
        <f t="shared" si="5"/>
        <v>66.939700000000002</v>
      </c>
    </row>
    <row r="90" spans="1:53" ht="22.5" customHeight="1">
      <c r="A90" s="51" t="s">
        <v>63</v>
      </c>
      <c r="B90" s="52" t="s">
        <v>64</v>
      </c>
      <c r="C90" s="53">
        <v>4017480</v>
      </c>
      <c r="D90" s="54" t="s">
        <v>167</v>
      </c>
      <c r="E90" s="54" t="s">
        <v>170</v>
      </c>
      <c r="F90" s="55">
        <v>7999</v>
      </c>
      <c r="G90" s="55">
        <v>5399</v>
      </c>
      <c r="H90" s="56">
        <v>6499</v>
      </c>
      <c r="I90" s="56">
        <v>6499</v>
      </c>
      <c r="J90" s="55">
        <v>6399</v>
      </c>
      <c r="K90" s="55">
        <v>6399</v>
      </c>
      <c r="L90" s="55">
        <v>6399</v>
      </c>
      <c r="M90" s="55">
        <v>6399</v>
      </c>
      <c r="N90" s="55">
        <v>6399</v>
      </c>
      <c r="O90" s="55">
        <v>6299</v>
      </c>
      <c r="P90" s="56">
        <v>6199</v>
      </c>
      <c r="Q90" s="56">
        <v>5499</v>
      </c>
      <c r="R90" s="55">
        <v>6299</v>
      </c>
      <c r="S90" s="55">
        <v>6199</v>
      </c>
      <c r="T90" s="56">
        <v>5499</v>
      </c>
      <c r="U90" s="56">
        <v>5499</v>
      </c>
      <c r="V90" s="56">
        <v>5499</v>
      </c>
      <c r="W90" s="56">
        <v>5499</v>
      </c>
      <c r="X90" s="56">
        <v>5399</v>
      </c>
      <c r="Y90" s="56">
        <v>4999</v>
      </c>
      <c r="Z90" s="56">
        <v>4999</v>
      </c>
      <c r="AA90" s="56">
        <v>4949</v>
      </c>
      <c r="AB90" s="55">
        <v>6399</v>
      </c>
      <c r="AC90" s="55">
        <v>6399</v>
      </c>
      <c r="AD90" s="55">
        <v>6399</v>
      </c>
      <c r="AE90" s="55">
        <v>6299</v>
      </c>
      <c r="AF90" s="55">
        <v>6199</v>
      </c>
      <c r="AG90" s="55">
        <v>6199</v>
      </c>
      <c r="AH90" s="55">
        <v>5499</v>
      </c>
      <c r="AI90" s="55">
        <v>5499</v>
      </c>
      <c r="AJ90" s="55">
        <v>5499</v>
      </c>
      <c r="AK90" s="55">
        <v>5499</v>
      </c>
      <c r="AL90" s="55">
        <v>4999</v>
      </c>
      <c r="AM90" s="55"/>
      <c r="AN90" s="55"/>
      <c r="AO90" s="55"/>
      <c r="AP90" s="55"/>
      <c r="AQ90" s="55"/>
      <c r="AR90" s="55"/>
      <c r="AS90" s="55"/>
      <c r="AT90" s="55"/>
      <c r="AU90" s="55"/>
      <c r="AV90" s="57"/>
      <c r="AW90" s="58" t="s">
        <v>67</v>
      </c>
      <c r="AX90" s="59" t="s">
        <v>68</v>
      </c>
      <c r="AY90" s="60">
        <f t="shared" si="3"/>
        <v>131.27979999999999</v>
      </c>
      <c r="AZ90" s="60">
        <f t="shared" si="4"/>
        <v>118.2818</v>
      </c>
      <c r="BA90" s="61">
        <f t="shared" si="5"/>
        <v>66.939700000000002</v>
      </c>
    </row>
    <row r="91" spans="1:53" ht="22.5" customHeight="1">
      <c r="A91" s="51" t="s">
        <v>63</v>
      </c>
      <c r="B91" s="52" t="s">
        <v>64</v>
      </c>
      <c r="C91" s="53">
        <v>4017894</v>
      </c>
      <c r="D91" s="54" t="s">
        <v>167</v>
      </c>
      <c r="E91" s="54" t="s">
        <v>171</v>
      </c>
      <c r="F91" s="55">
        <v>7999</v>
      </c>
      <c r="G91" s="55">
        <v>5399</v>
      </c>
      <c r="H91" s="56">
        <v>6499</v>
      </c>
      <c r="I91" s="56">
        <v>6499</v>
      </c>
      <c r="J91" s="55">
        <v>6399</v>
      </c>
      <c r="K91" s="55">
        <v>6399</v>
      </c>
      <c r="L91" s="55">
        <v>6399</v>
      </c>
      <c r="M91" s="55">
        <v>6399</v>
      </c>
      <c r="N91" s="55">
        <v>6399</v>
      </c>
      <c r="O91" s="55">
        <v>6299</v>
      </c>
      <c r="P91" s="56">
        <v>6199</v>
      </c>
      <c r="Q91" s="56">
        <v>5499</v>
      </c>
      <c r="R91" s="55">
        <v>6299</v>
      </c>
      <c r="S91" s="55">
        <v>6199</v>
      </c>
      <c r="T91" s="56">
        <v>5499</v>
      </c>
      <c r="U91" s="56">
        <v>5499</v>
      </c>
      <c r="V91" s="56">
        <v>5499</v>
      </c>
      <c r="W91" s="56">
        <v>5499</v>
      </c>
      <c r="X91" s="56">
        <v>5399</v>
      </c>
      <c r="Y91" s="56">
        <v>4999</v>
      </c>
      <c r="Z91" s="56">
        <v>4999</v>
      </c>
      <c r="AA91" s="56">
        <v>4949</v>
      </c>
      <c r="AB91" s="55">
        <v>6399</v>
      </c>
      <c r="AC91" s="55">
        <v>6399</v>
      </c>
      <c r="AD91" s="55">
        <v>6399</v>
      </c>
      <c r="AE91" s="55">
        <v>6299</v>
      </c>
      <c r="AF91" s="55">
        <v>6199</v>
      </c>
      <c r="AG91" s="55">
        <v>6199</v>
      </c>
      <c r="AH91" s="55">
        <v>5499</v>
      </c>
      <c r="AI91" s="55">
        <v>5499</v>
      </c>
      <c r="AJ91" s="55">
        <v>5499</v>
      </c>
      <c r="AK91" s="55">
        <v>5499</v>
      </c>
      <c r="AL91" s="55">
        <v>4999</v>
      </c>
      <c r="AM91" s="55"/>
      <c r="AN91" s="55"/>
      <c r="AO91" s="55"/>
      <c r="AP91" s="55"/>
      <c r="AQ91" s="55"/>
      <c r="AR91" s="55"/>
      <c r="AS91" s="55"/>
      <c r="AT91" s="55"/>
      <c r="AU91" s="55"/>
      <c r="AV91" s="57"/>
      <c r="AW91" s="58" t="s">
        <v>67</v>
      </c>
      <c r="AX91" s="59" t="s">
        <v>68</v>
      </c>
      <c r="AY91" s="60">
        <f t="shared" si="3"/>
        <v>131.27979999999999</v>
      </c>
      <c r="AZ91" s="60">
        <f t="shared" si="4"/>
        <v>118.2818</v>
      </c>
      <c r="BA91" s="61">
        <f t="shared" si="5"/>
        <v>66.939700000000002</v>
      </c>
    </row>
    <row r="92" spans="1:53" ht="22.5" customHeight="1">
      <c r="A92" s="51" t="s">
        <v>63</v>
      </c>
      <c r="B92" s="52" t="s">
        <v>64</v>
      </c>
      <c r="C92" s="53">
        <v>4017485</v>
      </c>
      <c r="D92" s="54" t="s">
        <v>167</v>
      </c>
      <c r="E92" s="54" t="s">
        <v>172</v>
      </c>
      <c r="F92" s="55">
        <v>7999</v>
      </c>
      <c r="G92" s="55">
        <v>5399</v>
      </c>
      <c r="H92" s="56">
        <v>6499</v>
      </c>
      <c r="I92" s="56">
        <v>6499</v>
      </c>
      <c r="J92" s="55">
        <v>6399</v>
      </c>
      <c r="K92" s="55">
        <v>6399</v>
      </c>
      <c r="L92" s="55">
        <v>6399</v>
      </c>
      <c r="M92" s="55">
        <v>6399</v>
      </c>
      <c r="N92" s="55">
        <v>6399</v>
      </c>
      <c r="O92" s="55">
        <v>6299</v>
      </c>
      <c r="P92" s="56">
        <v>6199</v>
      </c>
      <c r="Q92" s="56">
        <v>5499</v>
      </c>
      <c r="R92" s="55">
        <v>6299</v>
      </c>
      <c r="S92" s="55">
        <v>6199</v>
      </c>
      <c r="T92" s="56">
        <v>5499</v>
      </c>
      <c r="U92" s="56">
        <v>5499</v>
      </c>
      <c r="V92" s="56">
        <v>5499</v>
      </c>
      <c r="W92" s="56">
        <v>5499</v>
      </c>
      <c r="X92" s="56">
        <v>5399</v>
      </c>
      <c r="Y92" s="56">
        <v>4999</v>
      </c>
      <c r="Z92" s="56">
        <v>4999</v>
      </c>
      <c r="AA92" s="56">
        <v>4949</v>
      </c>
      <c r="AB92" s="55">
        <v>6399</v>
      </c>
      <c r="AC92" s="55">
        <v>6399</v>
      </c>
      <c r="AD92" s="55">
        <v>6399</v>
      </c>
      <c r="AE92" s="55">
        <v>6299</v>
      </c>
      <c r="AF92" s="55">
        <v>6199</v>
      </c>
      <c r="AG92" s="55">
        <v>6199</v>
      </c>
      <c r="AH92" s="55">
        <v>5499</v>
      </c>
      <c r="AI92" s="55">
        <v>5499</v>
      </c>
      <c r="AJ92" s="55">
        <v>5499</v>
      </c>
      <c r="AK92" s="55">
        <v>5499</v>
      </c>
      <c r="AL92" s="55">
        <v>4999</v>
      </c>
      <c r="AM92" s="55"/>
      <c r="AN92" s="55"/>
      <c r="AO92" s="55"/>
      <c r="AP92" s="55"/>
      <c r="AQ92" s="55"/>
      <c r="AR92" s="55"/>
      <c r="AS92" s="55"/>
      <c r="AT92" s="55"/>
      <c r="AU92" s="55"/>
      <c r="AV92" s="57"/>
      <c r="AW92" s="58" t="s">
        <v>67</v>
      </c>
      <c r="AX92" s="59" t="s">
        <v>68</v>
      </c>
      <c r="AY92" s="60">
        <f t="shared" si="3"/>
        <v>131.27979999999999</v>
      </c>
      <c r="AZ92" s="60">
        <f t="shared" si="4"/>
        <v>118.2818</v>
      </c>
      <c r="BA92" s="61">
        <f t="shared" si="5"/>
        <v>66.939700000000002</v>
      </c>
    </row>
    <row r="93" spans="1:53" ht="22.5" customHeight="1">
      <c r="A93" s="51" t="s">
        <v>63</v>
      </c>
      <c r="B93" s="52" t="s">
        <v>64</v>
      </c>
      <c r="C93" s="53">
        <v>4017890</v>
      </c>
      <c r="D93" s="54" t="s">
        <v>167</v>
      </c>
      <c r="E93" s="54" t="s">
        <v>173</v>
      </c>
      <c r="F93" s="55">
        <v>7999</v>
      </c>
      <c r="G93" s="55">
        <v>5399</v>
      </c>
      <c r="H93" s="56">
        <v>6499</v>
      </c>
      <c r="I93" s="56">
        <v>6499</v>
      </c>
      <c r="J93" s="55">
        <v>6399</v>
      </c>
      <c r="K93" s="55">
        <v>6399</v>
      </c>
      <c r="L93" s="55">
        <v>6399</v>
      </c>
      <c r="M93" s="55">
        <v>6399</v>
      </c>
      <c r="N93" s="55">
        <v>6399</v>
      </c>
      <c r="O93" s="55">
        <v>6299</v>
      </c>
      <c r="P93" s="56">
        <v>6199</v>
      </c>
      <c r="Q93" s="56">
        <v>5499</v>
      </c>
      <c r="R93" s="55">
        <v>6299</v>
      </c>
      <c r="S93" s="55">
        <v>6199</v>
      </c>
      <c r="T93" s="56">
        <v>5499</v>
      </c>
      <c r="U93" s="56">
        <v>5499</v>
      </c>
      <c r="V93" s="56">
        <v>5499</v>
      </c>
      <c r="W93" s="56">
        <v>5499</v>
      </c>
      <c r="X93" s="56">
        <v>5399</v>
      </c>
      <c r="Y93" s="56">
        <v>4999</v>
      </c>
      <c r="Z93" s="56">
        <v>4999</v>
      </c>
      <c r="AA93" s="56">
        <v>4949</v>
      </c>
      <c r="AB93" s="55">
        <v>6399</v>
      </c>
      <c r="AC93" s="55">
        <v>6399</v>
      </c>
      <c r="AD93" s="55">
        <v>6399</v>
      </c>
      <c r="AE93" s="55">
        <v>6299</v>
      </c>
      <c r="AF93" s="55">
        <v>6199</v>
      </c>
      <c r="AG93" s="55">
        <v>6199</v>
      </c>
      <c r="AH93" s="55">
        <v>5499</v>
      </c>
      <c r="AI93" s="55">
        <v>5499</v>
      </c>
      <c r="AJ93" s="55">
        <v>5499</v>
      </c>
      <c r="AK93" s="55">
        <v>5499</v>
      </c>
      <c r="AL93" s="55">
        <v>4999</v>
      </c>
      <c r="AM93" s="55"/>
      <c r="AN93" s="55"/>
      <c r="AO93" s="55"/>
      <c r="AP93" s="55"/>
      <c r="AQ93" s="55"/>
      <c r="AR93" s="55"/>
      <c r="AS93" s="55"/>
      <c r="AT93" s="55"/>
      <c r="AU93" s="55"/>
      <c r="AV93" s="57"/>
      <c r="AW93" s="58" t="s">
        <v>67</v>
      </c>
      <c r="AX93" s="59" t="s">
        <v>68</v>
      </c>
      <c r="AY93" s="60">
        <f t="shared" si="3"/>
        <v>131.27979999999999</v>
      </c>
      <c r="AZ93" s="60">
        <f t="shared" si="4"/>
        <v>118.2818</v>
      </c>
      <c r="BA93" s="61">
        <f t="shared" si="5"/>
        <v>66.939700000000002</v>
      </c>
    </row>
    <row r="94" spans="1:53" ht="22.5" customHeight="1">
      <c r="A94" s="51" t="s">
        <v>63</v>
      </c>
      <c r="B94" s="52" t="s">
        <v>64</v>
      </c>
      <c r="C94" s="53">
        <v>4017486</v>
      </c>
      <c r="D94" s="54" t="s">
        <v>167</v>
      </c>
      <c r="E94" s="54" t="s">
        <v>174</v>
      </c>
      <c r="F94" s="55">
        <v>7999</v>
      </c>
      <c r="G94" s="55">
        <v>5399</v>
      </c>
      <c r="H94" s="56">
        <v>6499</v>
      </c>
      <c r="I94" s="56">
        <v>6499</v>
      </c>
      <c r="J94" s="55">
        <v>6399</v>
      </c>
      <c r="K94" s="55">
        <v>6399</v>
      </c>
      <c r="L94" s="55">
        <v>6399</v>
      </c>
      <c r="M94" s="55">
        <v>6399</v>
      </c>
      <c r="N94" s="55">
        <v>6399</v>
      </c>
      <c r="O94" s="55">
        <v>6299</v>
      </c>
      <c r="P94" s="56">
        <v>6199</v>
      </c>
      <c r="Q94" s="56">
        <v>5499</v>
      </c>
      <c r="R94" s="55">
        <v>6299</v>
      </c>
      <c r="S94" s="55">
        <v>6199</v>
      </c>
      <c r="T94" s="56">
        <v>5499</v>
      </c>
      <c r="U94" s="56">
        <v>5499</v>
      </c>
      <c r="V94" s="56">
        <v>5499</v>
      </c>
      <c r="W94" s="56">
        <v>5499</v>
      </c>
      <c r="X94" s="56">
        <v>5399</v>
      </c>
      <c r="Y94" s="56">
        <v>4999</v>
      </c>
      <c r="Z94" s="56">
        <v>4999</v>
      </c>
      <c r="AA94" s="56">
        <v>4949</v>
      </c>
      <c r="AB94" s="55">
        <v>6399</v>
      </c>
      <c r="AC94" s="55">
        <v>6399</v>
      </c>
      <c r="AD94" s="55">
        <v>6399</v>
      </c>
      <c r="AE94" s="55">
        <v>6299</v>
      </c>
      <c r="AF94" s="55">
        <v>6199</v>
      </c>
      <c r="AG94" s="55">
        <v>6199</v>
      </c>
      <c r="AH94" s="55">
        <v>5499</v>
      </c>
      <c r="AI94" s="55">
        <v>5499</v>
      </c>
      <c r="AJ94" s="55">
        <v>5499</v>
      </c>
      <c r="AK94" s="55">
        <v>5499</v>
      </c>
      <c r="AL94" s="55">
        <v>4999</v>
      </c>
      <c r="AM94" s="55"/>
      <c r="AN94" s="55"/>
      <c r="AO94" s="55"/>
      <c r="AP94" s="55"/>
      <c r="AQ94" s="55"/>
      <c r="AR94" s="55"/>
      <c r="AS94" s="55"/>
      <c r="AT94" s="55"/>
      <c r="AU94" s="55"/>
      <c r="AV94" s="57"/>
      <c r="AW94" s="58" t="s">
        <v>67</v>
      </c>
      <c r="AX94" s="59" t="s">
        <v>68</v>
      </c>
      <c r="AY94" s="60">
        <f t="shared" si="3"/>
        <v>131.27979999999999</v>
      </c>
      <c r="AZ94" s="60">
        <f t="shared" si="4"/>
        <v>118.2818</v>
      </c>
      <c r="BA94" s="61">
        <f t="shared" si="5"/>
        <v>66.939700000000002</v>
      </c>
    </row>
    <row r="95" spans="1:53" ht="22.5" customHeight="1">
      <c r="A95" s="51" t="s">
        <v>63</v>
      </c>
      <c r="B95" s="52" t="s">
        <v>64</v>
      </c>
      <c r="C95" s="53">
        <v>4017892</v>
      </c>
      <c r="D95" s="54" t="s">
        <v>167</v>
      </c>
      <c r="E95" s="54" t="s">
        <v>175</v>
      </c>
      <c r="F95" s="55">
        <v>7999</v>
      </c>
      <c r="G95" s="55">
        <v>5399</v>
      </c>
      <c r="H95" s="56">
        <v>6499</v>
      </c>
      <c r="I95" s="56">
        <v>6499</v>
      </c>
      <c r="J95" s="55">
        <v>6399</v>
      </c>
      <c r="K95" s="55">
        <v>6399</v>
      </c>
      <c r="L95" s="55">
        <v>6399</v>
      </c>
      <c r="M95" s="55">
        <v>6399</v>
      </c>
      <c r="N95" s="55">
        <v>6399</v>
      </c>
      <c r="O95" s="55">
        <v>6299</v>
      </c>
      <c r="P95" s="56">
        <v>6199</v>
      </c>
      <c r="Q95" s="56">
        <v>5499</v>
      </c>
      <c r="R95" s="55">
        <v>6299</v>
      </c>
      <c r="S95" s="55">
        <v>6199</v>
      </c>
      <c r="T95" s="56">
        <v>5499</v>
      </c>
      <c r="U95" s="56">
        <v>5499</v>
      </c>
      <c r="V95" s="56">
        <v>5499</v>
      </c>
      <c r="W95" s="56">
        <v>5499</v>
      </c>
      <c r="X95" s="56">
        <v>5399</v>
      </c>
      <c r="Y95" s="56">
        <v>4999</v>
      </c>
      <c r="Z95" s="56">
        <v>4999</v>
      </c>
      <c r="AA95" s="56">
        <v>4949</v>
      </c>
      <c r="AB95" s="55">
        <v>6399</v>
      </c>
      <c r="AC95" s="55">
        <v>6399</v>
      </c>
      <c r="AD95" s="55">
        <v>6399</v>
      </c>
      <c r="AE95" s="55">
        <v>6299</v>
      </c>
      <c r="AF95" s="55">
        <v>6199</v>
      </c>
      <c r="AG95" s="55">
        <v>6199</v>
      </c>
      <c r="AH95" s="55">
        <v>5499</v>
      </c>
      <c r="AI95" s="55">
        <v>5499</v>
      </c>
      <c r="AJ95" s="55">
        <v>5499</v>
      </c>
      <c r="AK95" s="55">
        <v>5499</v>
      </c>
      <c r="AL95" s="55">
        <v>4999</v>
      </c>
      <c r="AM95" s="55"/>
      <c r="AN95" s="55"/>
      <c r="AO95" s="55"/>
      <c r="AP95" s="55"/>
      <c r="AQ95" s="55"/>
      <c r="AR95" s="55"/>
      <c r="AS95" s="55"/>
      <c r="AT95" s="55"/>
      <c r="AU95" s="55"/>
      <c r="AV95" s="57"/>
      <c r="AW95" s="58" t="s">
        <v>67</v>
      </c>
      <c r="AX95" s="59" t="s">
        <v>68</v>
      </c>
      <c r="AY95" s="60">
        <f t="shared" si="3"/>
        <v>131.27979999999999</v>
      </c>
      <c r="AZ95" s="60">
        <f t="shared" si="4"/>
        <v>118.2818</v>
      </c>
      <c r="BA95" s="61">
        <f t="shared" si="5"/>
        <v>66.939700000000002</v>
      </c>
    </row>
    <row r="96" spans="1:53" ht="22.5" customHeight="1">
      <c r="A96" s="51" t="s">
        <v>63</v>
      </c>
      <c r="B96" s="52" t="s">
        <v>64</v>
      </c>
      <c r="C96" s="53">
        <v>4017483</v>
      </c>
      <c r="D96" s="54" t="s">
        <v>167</v>
      </c>
      <c r="E96" s="54" t="s">
        <v>176</v>
      </c>
      <c r="F96" s="55">
        <v>7999</v>
      </c>
      <c r="G96" s="55">
        <v>5399</v>
      </c>
      <c r="H96" s="56">
        <v>6499</v>
      </c>
      <c r="I96" s="56">
        <v>6499</v>
      </c>
      <c r="J96" s="55">
        <v>6399</v>
      </c>
      <c r="K96" s="55">
        <v>6399</v>
      </c>
      <c r="L96" s="55">
        <v>6399</v>
      </c>
      <c r="M96" s="55">
        <v>6399</v>
      </c>
      <c r="N96" s="55">
        <v>6399</v>
      </c>
      <c r="O96" s="55">
        <v>6299</v>
      </c>
      <c r="P96" s="56">
        <v>6199</v>
      </c>
      <c r="Q96" s="56">
        <v>5499</v>
      </c>
      <c r="R96" s="55">
        <v>6299</v>
      </c>
      <c r="S96" s="55">
        <v>6199</v>
      </c>
      <c r="T96" s="56">
        <v>5499</v>
      </c>
      <c r="U96" s="56">
        <v>5499</v>
      </c>
      <c r="V96" s="56">
        <v>5499</v>
      </c>
      <c r="W96" s="56">
        <v>5499</v>
      </c>
      <c r="X96" s="56">
        <v>5399</v>
      </c>
      <c r="Y96" s="56">
        <v>4999</v>
      </c>
      <c r="Z96" s="56">
        <v>4999</v>
      </c>
      <c r="AA96" s="56">
        <v>4949</v>
      </c>
      <c r="AB96" s="55">
        <v>6399</v>
      </c>
      <c r="AC96" s="55">
        <v>6399</v>
      </c>
      <c r="AD96" s="55">
        <v>6399</v>
      </c>
      <c r="AE96" s="55">
        <v>6299</v>
      </c>
      <c r="AF96" s="55">
        <v>6199</v>
      </c>
      <c r="AG96" s="55">
        <v>6199</v>
      </c>
      <c r="AH96" s="55">
        <v>5499</v>
      </c>
      <c r="AI96" s="55">
        <v>5499</v>
      </c>
      <c r="AJ96" s="55">
        <v>5499</v>
      </c>
      <c r="AK96" s="55">
        <v>5499</v>
      </c>
      <c r="AL96" s="55">
        <v>4999</v>
      </c>
      <c r="AM96" s="55"/>
      <c r="AN96" s="55"/>
      <c r="AO96" s="55"/>
      <c r="AP96" s="55"/>
      <c r="AQ96" s="55"/>
      <c r="AR96" s="55"/>
      <c r="AS96" s="55"/>
      <c r="AT96" s="55"/>
      <c r="AU96" s="55"/>
      <c r="AV96" s="57"/>
      <c r="AW96" s="58" t="s">
        <v>67</v>
      </c>
      <c r="AX96" s="59" t="s">
        <v>68</v>
      </c>
      <c r="AY96" s="60">
        <f t="shared" si="3"/>
        <v>131.27979999999999</v>
      </c>
      <c r="AZ96" s="60">
        <f t="shared" si="4"/>
        <v>118.2818</v>
      </c>
      <c r="BA96" s="61">
        <f t="shared" si="5"/>
        <v>66.939700000000002</v>
      </c>
    </row>
    <row r="97" spans="1:53" ht="22.5" customHeight="1">
      <c r="A97" s="51" t="s">
        <v>63</v>
      </c>
      <c r="B97" s="52" t="s">
        <v>64</v>
      </c>
      <c r="C97" s="53">
        <v>4017899</v>
      </c>
      <c r="D97" s="54" t="s">
        <v>167</v>
      </c>
      <c r="E97" s="54" t="s">
        <v>177</v>
      </c>
      <c r="F97" s="55">
        <v>7999</v>
      </c>
      <c r="G97" s="55">
        <v>5399</v>
      </c>
      <c r="H97" s="56">
        <v>6499</v>
      </c>
      <c r="I97" s="56">
        <v>6499</v>
      </c>
      <c r="J97" s="55">
        <v>6399</v>
      </c>
      <c r="K97" s="55">
        <v>6399</v>
      </c>
      <c r="L97" s="55">
        <v>6399</v>
      </c>
      <c r="M97" s="55">
        <v>6399</v>
      </c>
      <c r="N97" s="55">
        <v>6399</v>
      </c>
      <c r="O97" s="55">
        <v>6299</v>
      </c>
      <c r="P97" s="56">
        <v>6199</v>
      </c>
      <c r="Q97" s="56">
        <v>5499</v>
      </c>
      <c r="R97" s="55">
        <v>6299</v>
      </c>
      <c r="S97" s="55">
        <v>6199</v>
      </c>
      <c r="T97" s="56">
        <v>5499</v>
      </c>
      <c r="U97" s="56">
        <v>5499</v>
      </c>
      <c r="V97" s="56">
        <v>5499</v>
      </c>
      <c r="W97" s="56">
        <v>5499</v>
      </c>
      <c r="X97" s="56">
        <v>5399</v>
      </c>
      <c r="Y97" s="56">
        <v>4999</v>
      </c>
      <c r="Z97" s="56">
        <v>4999</v>
      </c>
      <c r="AA97" s="56">
        <v>4949</v>
      </c>
      <c r="AB97" s="55">
        <v>6399</v>
      </c>
      <c r="AC97" s="55">
        <v>6399</v>
      </c>
      <c r="AD97" s="55">
        <v>6399</v>
      </c>
      <c r="AE97" s="55">
        <v>6299</v>
      </c>
      <c r="AF97" s="55">
        <v>6199</v>
      </c>
      <c r="AG97" s="55">
        <v>6199</v>
      </c>
      <c r="AH97" s="55">
        <v>5499</v>
      </c>
      <c r="AI97" s="55">
        <v>5499</v>
      </c>
      <c r="AJ97" s="55">
        <v>5499</v>
      </c>
      <c r="AK97" s="55">
        <v>5499</v>
      </c>
      <c r="AL97" s="55">
        <v>4999</v>
      </c>
      <c r="AM97" s="55"/>
      <c r="AN97" s="55"/>
      <c r="AO97" s="55"/>
      <c r="AP97" s="55"/>
      <c r="AQ97" s="55"/>
      <c r="AR97" s="55"/>
      <c r="AS97" s="55"/>
      <c r="AT97" s="55"/>
      <c r="AU97" s="55"/>
      <c r="AV97" s="57"/>
      <c r="AW97" s="58" t="s">
        <v>67</v>
      </c>
      <c r="AX97" s="59" t="s">
        <v>68</v>
      </c>
      <c r="AY97" s="60">
        <f t="shared" si="3"/>
        <v>131.27979999999999</v>
      </c>
      <c r="AZ97" s="60">
        <f t="shared" si="4"/>
        <v>118.2818</v>
      </c>
      <c r="BA97" s="61">
        <f t="shared" si="5"/>
        <v>66.939700000000002</v>
      </c>
    </row>
    <row r="98" spans="1:53" ht="22.5" customHeight="1">
      <c r="A98" s="51" t="s">
        <v>63</v>
      </c>
      <c r="B98" s="52" t="s">
        <v>64</v>
      </c>
      <c r="C98" s="53">
        <v>4017484</v>
      </c>
      <c r="D98" s="54" t="s">
        <v>178</v>
      </c>
      <c r="E98" s="54" t="s">
        <v>179</v>
      </c>
      <c r="F98" s="55">
        <v>9499</v>
      </c>
      <c r="G98" s="55">
        <v>7699</v>
      </c>
      <c r="H98" s="56">
        <v>8199</v>
      </c>
      <c r="I98" s="56">
        <v>8199</v>
      </c>
      <c r="J98" s="55">
        <v>8099</v>
      </c>
      <c r="K98" s="55">
        <v>8099</v>
      </c>
      <c r="L98" s="55">
        <v>8099</v>
      </c>
      <c r="M98" s="55">
        <v>8099</v>
      </c>
      <c r="N98" s="55">
        <v>8099</v>
      </c>
      <c r="O98" s="55">
        <v>7999</v>
      </c>
      <c r="P98" s="56">
        <v>7899</v>
      </c>
      <c r="Q98" s="56">
        <v>7799</v>
      </c>
      <c r="R98" s="55">
        <v>7999</v>
      </c>
      <c r="S98" s="55">
        <v>7899</v>
      </c>
      <c r="T98" s="56">
        <v>7799</v>
      </c>
      <c r="U98" s="56">
        <v>7799</v>
      </c>
      <c r="V98" s="56">
        <v>7799</v>
      </c>
      <c r="W98" s="56">
        <v>7799</v>
      </c>
      <c r="X98" s="56">
        <v>7699</v>
      </c>
      <c r="Y98" s="56">
        <v>7499</v>
      </c>
      <c r="Z98" s="56">
        <v>7499</v>
      </c>
      <c r="AA98" s="56">
        <v>7499</v>
      </c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7"/>
      <c r="AW98" s="58" t="s">
        <v>67</v>
      </c>
      <c r="AX98" s="59" t="s">
        <v>68</v>
      </c>
      <c r="AY98" s="60">
        <f t="shared" si="3"/>
        <v>165.6198</v>
      </c>
      <c r="AZ98" s="60">
        <f t="shared" si="4"/>
        <v>149.2218</v>
      </c>
      <c r="BA98" s="61">
        <f t="shared" si="5"/>
        <v>84.449700000000007</v>
      </c>
    </row>
    <row r="99" spans="1:53" ht="22.5" customHeight="1">
      <c r="A99" s="51" t="s">
        <v>63</v>
      </c>
      <c r="B99" s="52" t="s">
        <v>64</v>
      </c>
      <c r="C99" s="53">
        <v>4017506</v>
      </c>
      <c r="D99" s="54" t="s">
        <v>178</v>
      </c>
      <c r="E99" s="54" t="s">
        <v>180</v>
      </c>
      <c r="F99" s="55">
        <v>9499</v>
      </c>
      <c r="G99" s="55">
        <v>7699</v>
      </c>
      <c r="H99" s="56">
        <v>8199</v>
      </c>
      <c r="I99" s="56">
        <v>8199</v>
      </c>
      <c r="J99" s="55">
        <v>8099</v>
      </c>
      <c r="K99" s="55">
        <v>8099</v>
      </c>
      <c r="L99" s="55">
        <v>8099</v>
      </c>
      <c r="M99" s="55">
        <v>8099</v>
      </c>
      <c r="N99" s="55">
        <v>8099</v>
      </c>
      <c r="O99" s="55">
        <v>7999</v>
      </c>
      <c r="P99" s="56">
        <v>7899</v>
      </c>
      <c r="Q99" s="56">
        <v>7799</v>
      </c>
      <c r="R99" s="55">
        <v>7999</v>
      </c>
      <c r="S99" s="55">
        <v>7899</v>
      </c>
      <c r="T99" s="56">
        <v>7799</v>
      </c>
      <c r="U99" s="56">
        <v>7799</v>
      </c>
      <c r="V99" s="56">
        <v>7799</v>
      </c>
      <c r="W99" s="56">
        <v>7799</v>
      </c>
      <c r="X99" s="56">
        <v>7699</v>
      </c>
      <c r="Y99" s="56">
        <v>7499</v>
      </c>
      <c r="Z99" s="56">
        <v>7499</v>
      </c>
      <c r="AA99" s="56">
        <v>7499</v>
      </c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7"/>
      <c r="AW99" s="58" t="s">
        <v>67</v>
      </c>
      <c r="AX99" s="59" t="s">
        <v>68</v>
      </c>
      <c r="AY99" s="60">
        <f t="shared" si="3"/>
        <v>165.6198</v>
      </c>
      <c r="AZ99" s="60">
        <f t="shared" si="4"/>
        <v>149.2218</v>
      </c>
      <c r="BA99" s="61">
        <f t="shared" si="5"/>
        <v>84.449700000000007</v>
      </c>
    </row>
    <row r="100" spans="1:53" ht="22.5" customHeight="1">
      <c r="A100" s="51" t="s">
        <v>63</v>
      </c>
      <c r="B100" s="52" t="s">
        <v>64</v>
      </c>
      <c r="C100" s="53">
        <v>4017497</v>
      </c>
      <c r="D100" s="54" t="s">
        <v>181</v>
      </c>
      <c r="E100" s="54" t="s">
        <v>182</v>
      </c>
      <c r="F100" s="55">
        <v>10499</v>
      </c>
      <c r="G100" s="55">
        <v>7299</v>
      </c>
      <c r="H100" s="56">
        <v>7799</v>
      </c>
      <c r="I100" s="56">
        <v>7799</v>
      </c>
      <c r="J100" s="55">
        <v>7699</v>
      </c>
      <c r="K100" s="55">
        <v>7699</v>
      </c>
      <c r="L100" s="55">
        <v>7699</v>
      </c>
      <c r="M100" s="55">
        <v>7699</v>
      </c>
      <c r="N100" s="55">
        <v>7699</v>
      </c>
      <c r="O100" s="55">
        <v>7599</v>
      </c>
      <c r="P100" s="56">
        <v>7499</v>
      </c>
      <c r="Q100" s="56">
        <v>7399</v>
      </c>
      <c r="R100" s="55">
        <v>7599</v>
      </c>
      <c r="S100" s="55">
        <v>7499</v>
      </c>
      <c r="T100" s="56">
        <v>7399</v>
      </c>
      <c r="U100" s="56">
        <v>7399</v>
      </c>
      <c r="V100" s="56">
        <v>7399</v>
      </c>
      <c r="W100" s="56">
        <v>7399</v>
      </c>
      <c r="X100" s="56">
        <v>7299</v>
      </c>
      <c r="Y100" s="56">
        <v>6499</v>
      </c>
      <c r="Z100" s="56">
        <v>6499</v>
      </c>
      <c r="AA100" s="56">
        <v>5499</v>
      </c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7"/>
      <c r="AW100" s="58" t="s">
        <v>67</v>
      </c>
      <c r="AX100" s="59" t="s">
        <v>68</v>
      </c>
      <c r="AY100" s="60">
        <f t="shared" si="3"/>
        <v>157.53979999999999</v>
      </c>
      <c r="AZ100" s="60">
        <f t="shared" si="4"/>
        <v>141.9418</v>
      </c>
      <c r="BA100" s="61">
        <f t="shared" si="5"/>
        <v>80.329700000000003</v>
      </c>
    </row>
    <row r="101" spans="1:53" ht="22.5" customHeight="1">
      <c r="A101" s="51" t="s">
        <v>63</v>
      </c>
      <c r="B101" s="52" t="s">
        <v>64</v>
      </c>
      <c r="C101" s="53">
        <v>4017498</v>
      </c>
      <c r="D101" s="54" t="s">
        <v>181</v>
      </c>
      <c r="E101" s="54" t="s">
        <v>183</v>
      </c>
      <c r="F101" s="55">
        <v>10499</v>
      </c>
      <c r="G101" s="55">
        <v>7299</v>
      </c>
      <c r="H101" s="56">
        <v>7799</v>
      </c>
      <c r="I101" s="56">
        <v>7799</v>
      </c>
      <c r="J101" s="55">
        <v>7699</v>
      </c>
      <c r="K101" s="55">
        <v>7699</v>
      </c>
      <c r="L101" s="55">
        <v>7699</v>
      </c>
      <c r="M101" s="55">
        <v>7699</v>
      </c>
      <c r="N101" s="55">
        <v>7699</v>
      </c>
      <c r="O101" s="55">
        <v>7599</v>
      </c>
      <c r="P101" s="56">
        <v>7499</v>
      </c>
      <c r="Q101" s="56">
        <v>7399</v>
      </c>
      <c r="R101" s="55">
        <v>7599</v>
      </c>
      <c r="S101" s="55">
        <v>7499</v>
      </c>
      <c r="T101" s="56">
        <v>7399</v>
      </c>
      <c r="U101" s="56">
        <v>7399</v>
      </c>
      <c r="V101" s="56">
        <v>7399</v>
      </c>
      <c r="W101" s="56">
        <v>7399</v>
      </c>
      <c r="X101" s="56">
        <v>7299</v>
      </c>
      <c r="Y101" s="56">
        <v>6499</v>
      </c>
      <c r="Z101" s="56">
        <v>6499</v>
      </c>
      <c r="AA101" s="56">
        <v>5499</v>
      </c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7"/>
      <c r="AW101" s="58" t="s">
        <v>67</v>
      </c>
      <c r="AX101" s="59" t="s">
        <v>68</v>
      </c>
      <c r="AY101" s="60">
        <f t="shared" si="3"/>
        <v>157.53979999999999</v>
      </c>
      <c r="AZ101" s="60">
        <f t="shared" si="4"/>
        <v>141.9418</v>
      </c>
      <c r="BA101" s="61">
        <f t="shared" si="5"/>
        <v>80.329700000000003</v>
      </c>
    </row>
    <row r="102" spans="1:53" ht="22.5" customHeight="1">
      <c r="A102" s="51" t="s">
        <v>63</v>
      </c>
      <c r="B102" s="52" t="s">
        <v>64</v>
      </c>
      <c r="C102" s="53">
        <v>4017499</v>
      </c>
      <c r="D102" s="54" t="s">
        <v>181</v>
      </c>
      <c r="E102" s="54" t="s">
        <v>184</v>
      </c>
      <c r="F102" s="55">
        <v>10499</v>
      </c>
      <c r="G102" s="55">
        <v>7299</v>
      </c>
      <c r="H102" s="56">
        <v>7799</v>
      </c>
      <c r="I102" s="56">
        <v>7799</v>
      </c>
      <c r="J102" s="55">
        <v>7699</v>
      </c>
      <c r="K102" s="55">
        <v>7699</v>
      </c>
      <c r="L102" s="55">
        <v>7699</v>
      </c>
      <c r="M102" s="55">
        <v>7699</v>
      </c>
      <c r="N102" s="55">
        <v>7699</v>
      </c>
      <c r="O102" s="55">
        <v>7599</v>
      </c>
      <c r="P102" s="56">
        <v>7499</v>
      </c>
      <c r="Q102" s="56">
        <v>7399</v>
      </c>
      <c r="R102" s="55">
        <v>7599</v>
      </c>
      <c r="S102" s="55">
        <v>7499</v>
      </c>
      <c r="T102" s="56">
        <v>7399</v>
      </c>
      <c r="U102" s="56">
        <v>7399</v>
      </c>
      <c r="V102" s="56">
        <v>7399</v>
      </c>
      <c r="W102" s="56">
        <v>7399</v>
      </c>
      <c r="X102" s="56">
        <v>7299</v>
      </c>
      <c r="Y102" s="56">
        <v>6499</v>
      </c>
      <c r="Z102" s="56">
        <v>6499</v>
      </c>
      <c r="AA102" s="56">
        <v>5499</v>
      </c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7"/>
      <c r="AW102" s="58" t="s">
        <v>67</v>
      </c>
      <c r="AX102" s="59" t="s">
        <v>68</v>
      </c>
      <c r="AY102" s="60">
        <f t="shared" si="3"/>
        <v>157.53979999999999</v>
      </c>
      <c r="AZ102" s="60">
        <f t="shared" si="4"/>
        <v>141.9418</v>
      </c>
      <c r="BA102" s="61">
        <f t="shared" si="5"/>
        <v>80.329700000000003</v>
      </c>
    </row>
    <row r="103" spans="1:53" ht="22.5" customHeight="1">
      <c r="A103" s="51" t="s">
        <v>63</v>
      </c>
      <c r="B103" s="52" t="s">
        <v>64</v>
      </c>
      <c r="C103" s="53">
        <v>4017521</v>
      </c>
      <c r="D103" s="54" t="s">
        <v>181</v>
      </c>
      <c r="E103" s="54" t="s">
        <v>185</v>
      </c>
      <c r="F103" s="55">
        <v>10499</v>
      </c>
      <c r="G103" s="55">
        <v>7299</v>
      </c>
      <c r="H103" s="56">
        <v>7799</v>
      </c>
      <c r="I103" s="56">
        <v>7799</v>
      </c>
      <c r="J103" s="55">
        <v>7699</v>
      </c>
      <c r="K103" s="55">
        <v>7699</v>
      </c>
      <c r="L103" s="55">
        <v>7699</v>
      </c>
      <c r="M103" s="55">
        <v>7699</v>
      </c>
      <c r="N103" s="55">
        <v>7699</v>
      </c>
      <c r="O103" s="55">
        <v>7599</v>
      </c>
      <c r="P103" s="56">
        <v>7499</v>
      </c>
      <c r="Q103" s="56">
        <v>7399</v>
      </c>
      <c r="R103" s="55">
        <v>7599</v>
      </c>
      <c r="S103" s="55">
        <v>7499</v>
      </c>
      <c r="T103" s="56">
        <v>7399</v>
      </c>
      <c r="U103" s="56">
        <v>7399</v>
      </c>
      <c r="V103" s="56">
        <v>7399</v>
      </c>
      <c r="W103" s="56">
        <v>7399</v>
      </c>
      <c r="X103" s="56">
        <v>7299</v>
      </c>
      <c r="Y103" s="56">
        <v>6499</v>
      </c>
      <c r="Z103" s="56">
        <v>6499</v>
      </c>
      <c r="AA103" s="56">
        <v>5499</v>
      </c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7"/>
      <c r="AW103" s="58" t="s">
        <v>67</v>
      </c>
      <c r="AX103" s="59" t="s">
        <v>68</v>
      </c>
      <c r="AY103" s="60">
        <f t="shared" si="3"/>
        <v>157.53979999999999</v>
      </c>
      <c r="AZ103" s="60">
        <f t="shared" si="4"/>
        <v>141.9418</v>
      </c>
      <c r="BA103" s="61">
        <f t="shared" si="5"/>
        <v>80.329700000000003</v>
      </c>
    </row>
    <row r="104" spans="1:53" ht="22.5" customHeight="1">
      <c r="A104" s="51" t="s">
        <v>63</v>
      </c>
      <c r="B104" s="52" t="s">
        <v>64</v>
      </c>
      <c r="C104" s="53">
        <v>4017496</v>
      </c>
      <c r="D104" s="54" t="s">
        <v>186</v>
      </c>
      <c r="E104" s="54" t="s">
        <v>187</v>
      </c>
      <c r="F104" s="56">
        <v>11999</v>
      </c>
      <c r="G104" s="56">
        <v>8399</v>
      </c>
      <c r="H104" s="56">
        <v>9099</v>
      </c>
      <c r="I104" s="56">
        <v>9099</v>
      </c>
      <c r="J104" s="56">
        <v>8999</v>
      </c>
      <c r="K104" s="56">
        <v>8999</v>
      </c>
      <c r="L104" s="56">
        <v>8999</v>
      </c>
      <c r="M104" s="56">
        <v>8999</v>
      </c>
      <c r="N104" s="56">
        <v>8999</v>
      </c>
      <c r="O104" s="56">
        <v>8899</v>
      </c>
      <c r="P104" s="56">
        <v>8799</v>
      </c>
      <c r="Q104" s="56">
        <v>8499</v>
      </c>
      <c r="R104" s="56">
        <v>8899</v>
      </c>
      <c r="S104" s="56">
        <v>8799</v>
      </c>
      <c r="T104" s="56">
        <v>8499</v>
      </c>
      <c r="U104" s="56">
        <v>8499</v>
      </c>
      <c r="V104" s="56">
        <v>8499</v>
      </c>
      <c r="W104" s="56">
        <v>8499</v>
      </c>
      <c r="X104" s="56">
        <v>8399</v>
      </c>
      <c r="Y104" s="56">
        <v>7799</v>
      </c>
      <c r="Z104" s="56">
        <v>7799</v>
      </c>
      <c r="AA104" s="56">
        <v>6799</v>
      </c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7"/>
      <c r="AW104" s="58" t="s">
        <v>67</v>
      </c>
      <c r="AX104" s="59" t="s">
        <v>68</v>
      </c>
      <c r="AY104" s="60">
        <f t="shared" si="3"/>
        <v>183.7998</v>
      </c>
      <c r="AZ104" s="60">
        <f t="shared" si="4"/>
        <v>165.6018</v>
      </c>
      <c r="BA104" s="61">
        <f t="shared" si="5"/>
        <v>93.719700000000003</v>
      </c>
    </row>
    <row r="105" spans="1:53" ht="22.5" customHeight="1">
      <c r="A105" s="51" t="s">
        <v>63</v>
      </c>
      <c r="B105" s="52" t="s">
        <v>64</v>
      </c>
      <c r="C105" s="53">
        <v>4017519</v>
      </c>
      <c r="D105" s="54" t="s">
        <v>186</v>
      </c>
      <c r="E105" s="54" t="s">
        <v>188</v>
      </c>
      <c r="F105" s="56">
        <v>11999</v>
      </c>
      <c r="G105" s="56">
        <v>8399</v>
      </c>
      <c r="H105" s="56">
        <v>9099</v>
      </c>
      <c r="I105" s="56">
        <v>9099</v>
      </c>
      <c r="J105" s="56">
        <v>8999</v>
      </c>
      <c r="K105" s="56">
        <v>8999</v>
      </c>
      <c r="L105" s="56">
        <v>8999</v>
      </c>
      <c r="M105" s="56">
        <v>8999</v>
      </c>
      <c r="N105" s="56">
        <v>8999</v>
      </c>
      <c r="O105" s="56">
        <v>8899</v>
      </c>
      <c r="P105" s="56">
        <v>8799</v>
      </c>
      <c r="Q105" s="56">
        <v>8499</v>
      </c>
      <c r="R105" s="56">
        <v>8899</v>
      </c>
      <c r="S105" s="56">
        <v>8799</v>
      </c>
      <c r="T105" s="56">
        <v>8499</v>
      </c>
      <c r="U105" s="56">
        <v>8499</v>
      </c>
      <c r="V105" s="56">
        <v>8499</v>
      </c>
      <c r="W105" s="56">
        <v>8499</v>
      </c>
      <c r="X105" s="56">
        <v>8399</v>
      </c>
      <c r="Y105" s="56">
        <v>7799</v>
      </c>
      <c r="Z105" s="56">
        <v>7799</v>
      </c>
      <c r="AA105" s="56">
        <v>6799</v>
      </c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7"/>
      <c r="AW105" s="58" t="s">
        <v>67</v>
      </c>
      <c r="AX105" s="59" t="s">
        <v>68</v>
      </c>
      <c r="AY105" s="60">
        <f t="shared" si="3"/>
        <v>183.7998</v>
      </c>
      <c r="AZ105" s="60">
        <f t="shared" si="4"/>
        <v>165.6018</v>
      </c>
      <c r="BA105" s="61">
        <f t="shared" si="5"/>
        <v>93.719700000000003</v>
      </c>
    </row>
    <row r="106" spans="1:53" ht="22.5" customHeight="1">
      <c r="A106" s="51" t="s">
        <v>63</v>
      </c>
      <c r="B106" s="52" t="s">
        <v>64</v>
      </c>
      <c r="C106" s="53">
        <v>4017525</v>
      </c>
      <c r="D106" s="54" t="s">
        <v>186</v>
      </c>
      <c r="E106" s="54" t="s">
        <v>189</v>
      </c>
      <c r="F106" s="56">
        <v>11999</v>
      </c>
      <c r="G106" s="56">
        <v>8399</v>
      </c>
      <c r="H106" s="56">
        <v>9099</v>
      </c>
      <c r="I106" s="56">
        <v>9099</v>
      </c>
      <c r="J106" s="56">
        <v>8999</v>
      </c>
      <c r="K106" s="56">
        <v>8999</v>
      </c>
      <c r="L106" s="56">
        <v>8999</v>
      </c>
      <c r="M106" s="56">
        <v>8999</v>
      </c>
      <c r="N106" s="56">
        <v>8999</v>
      </c>
      <c r="O106" s="56">
        <v>8899</v>
      </c>
      <c r="P106" s="56">
        <v>8799</v>
      </c>
      <c r="Q106" s="56">
        <v>8499</v>
      </c>
      <c r="R106" s="56">
        <v>8899</v>
      </c>
      <c r="S106" s="56">
        <v>8799</v>
      </c>
      <c r="T106" s="56">
        <v>8499</v>
      </c>
      <c r="U106" s="56">
        <v>8499</v>
      </c>
      <c r="V106" s="56">
        <v>8499</v>
      </c>
      <c r="W106" s="56">
        <v>8499</v>
      </c>
      <c r="X106" s="56">
        <v>8399</v>
      </c>
      <c r="Y106" s="56">
        <v>7799</v>
      </c>
      <c r="Z106" s="56">
        <v>7799</v>
      </c>
      <c r="AA106" s="56">
        <v>6799</v>
      </c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7"/>
      <c r="AW106" s="58" t="s">
        <v>67</v>
      </c>
      <c r="AX106" s="59" t="s">
        <v>68</v>
      </c>
      <c r="AY106" s="60">
        <f t="shared" si="3"/>
        <v>183.7998</v>
      </c>
      <c r="AZ106" s="60">
        <f t="shared" si="4"/>
        <v>165.6018</v>
      </c>
      <c r="BA106" s="61">
        <f t="shared" si="5"/>
        <v>93.719700000000003</v>
      </c>
    </row>
    <row r="107" spans="1:53" ht="22.5" customHeight="1">
      <c r="A107" s="51" t="s">
        <v>63</v>
      </c>
      <c r="B107" s="52" t="s">
        <v>64</v>
      </c>
      <c r="C107" s="53">
        <v>4017518</v>
      </c>
      <c r="D107" s="54" t="s">
        <v>186</v>
      </c>
      <c r="E107" s="54" t="s">
        <v>190</v>
      </c>
      <c r="F107" s="56">
        <v>11999</v>
      </c>
      <c r="G107" s="56">
        <v>8399</v>
      </c>
      <c r="H107" s="56">
        <v>9099</v>
      </c>
      <c r="I107" s="56">
        <v>9099</v>
      </c>
      <c r="J107" s="56">
        <v>8999</v>
      </c>
      <c r="K107" s="56">
        <v>8999</v>
      </c>
      <c r="L107" s="56">
        <v>8999</v>
      </c>
      <c r="M107" s="56">
        <v>8999</v>
      </c>
      <c r="N107" s="56">
        <v>8999</v>
      </c>
      <c r="O107" s="56">
        <v>8899</v>
      </c>
      <c r="P107" s="56">
        <v>8799</v>
      </c>
      <c r="Q107" s="56">
        <v>8499</v>
      </c>
      <c r="R107" s="56">
        <v>8899</v>
      </c>
      <c r="S107" s="56">
        <v>8799</v>
      </c>
      <c r="T107" s="56">
        <v>8499</v>
      </c>
      <c r="U107" s="56">
        <v>8499</v>
      </c>
      <c r="V107" s="56">
        <v>8499</v>
      </c>
      <c r="W107" s="56">
        <v>8499</v>
      </c>
      <c r="X107" s="56">
        <v>8399</v>
      </c>
      <c r="Y107" s="56">
        <v>7799</v>
      </c>
      <c r="Z107" s="56">
        <v>7799</v>
      </c>
      <c r="AA107" s="56">
        <v>6799</v>
      </c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7"/>
      <c r="AW107" s="58" t="s">
        <v>67</v>
      </c>
      <c r="AX107" s="59" t="s">
        <v>68</v>
      </c>
      <c r="AY107" s="60">
        <f t="shared" si="3"/>
        <v>183.7998</v>
      </c>
      <c r="AZ107" s="60">
        <f t="shared" si="4"/>
        <v>165.6018</v>
      </c>
      <c r="BA107" s="61">
        <f t="shared" si="5"/>
        <v>93.719700000000003</v>
      </c>
    </row>
    <row r="108" spans="1:53" ht="22.5" customHeight="1">
      <c r="A108" s="51" t="s">
        <v>63</v>
      </c>
      <c r="B108" s="52" t="s">
        <v>64</v>
      </c>
      <c r="C108" s="53">
        <v>4017487</v>
      </c>
      <c r="D108" s="54" t="s">
        <v>191</v>
      </c>
      <c r="E108" s="54" t="s">
        <v>192</v>
      </c>
      <c r="F108" s="55">
        <v>11499</v>
      </c>
      <c r="G108" s="55">
        <v>8799</v>
      </c>
      <c r="H108" s="56">
        <v>10799</v>
      </c>
      <c r="I108" s="56">
        <v>10799</v>
      </c>
      <c r="J108" s="55">
        <v>10799</v>
      </c>
      <c r="K108" s="55">
        <v>10799</v>
      </c>
      <c r="L108" s="55">
        <v>10799</v>
      </c>
      <c r="M108" s="55">
        <v>10799</v>
      </c>
      <c r="N108" s="55">
        <v>10799</v>
      </c>
      <c r="O108" s="55">
        <v>10699</v>
      </c>
      <c r="P108" s="56">
        <v>10599</v>
      </c>
      <c r="Q108" s="56">
        <v>9799</v>
      </c>
      <c r="R108" s="55">
        <v>10699</v>
      </c>
      <c r="S108" s="55">
        <v>10599</v>
      </c>
      <c r="T108" s="56">
        <v>9799</v>
      </c>
      <c r="U108" s="56">
        <v>9799</v>
      </c>
      <c r="V108" s="56">
        <v>9799</v>
      </c>
      <c r="W108" s="56">
        <v>9699</v>
      </c>
      <c r="X108" s="56">
        <v>9699</v>
      </c>
      <c r="Y108" s="56">
        <v>8799</v>
      </c>
      <c r="Z108" s="56">
        <v>8799</v>
      </c>
      <c r="AA108" s="56">
        <v>8799</v>
      </c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7"/>
      <c r="AW108" s="58" t="s">
        <v>67</v>
      </c>
      <c r="AX108" s="59" t="s">
        <v>68</v>
      </c>
      <c r="AY108" s="60">
        <f t="shared" si="3"/>
        <v>218.13979999999998</v>
      </c>
      <c r="AZ108" s="60">
        <f t="shared" si="4"/>
        <v>196.54180000000002</v>
      </c>
      <c r="BA108" s="61">
        <f t="shared" si="5"/>
        <v>111.22970000000001</v>
      </c>
    </row>
    <row r="109" spans="1:53" ht="22.5" customHeight="1">
      <c r="A109" s="51" t="s">
        <v>63</v>
      </c>
      <c r="B109" s="52" t="s">
        <v>64</v>
      </c>
      <c r="C109" s="53">
        <v>4017510</v>
      </c>
      <c r="D109" s="54" t="s">
        <v>191</v>
      </c>
      <c r="E109" s="54" t="s">
        <v>193</v>
      </c>
      <c r="F109" s="55">
        <v>11499</v>
      </c>
      <c r="G109" s="55">
        <v>8799</v>
      </c>
      <c r="H109" s="56">
        <v>10799</v>
      </c>
      <c r="I109" s="56">
        <v>10799</v>
      </c>
      <c r="J109" s="55">
        <v>10799</v>
      </c>
      <c r="K109" s="55">
        <v>10799</v>
      </c>
      <c r="L109" s="55">
        <v>10799</v>
      </c>
      <c r="M109" s="55">
        <v>10799</v>
      </c>
      <c r="N109" s="55">
        <v>10799</v>
      </c>
      <c r="O109" s="55">
        <v>10699</v>
      </c>
      <c r="P109" s="56">
        <v>10599</v>
      </c>
      <c r="Q109" s="56">
        <v>9799</v>
      </c>
      <c r="R109" s="55">
        <v>10699</v>
      </c>
      <c r="S109" s="55">
        <v>10599</v>
      </c>
      <c r="T109" s="56">
        <v>9799</v>
      </c>
      <c r="U109" s="56">
        <v>9799</v>
      </c>
      <c r="V109" s="56">
        <v>9799</v>
      </c>
      <c r="W109" s="56">
        <v>9699</v>
      </c>
      <c r="X109" s="56">
        <v>9699</v>
      </c>
      <c r="Y109" s="56">
        <v>8799</v>
      </c>
      <c r="Z109" s="56">
        <v>8799</v>
      </c>
      <c r="AA109" s="56">
        <v>8799</v>
      </c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7"/>
      <c r="AW109" s="58" t="s">
        <v>67</v>
      </c>
      <c r="AX109" s="59" t="s">
        <v>68</v>
      </c>
      <c r="AY109" s="60">
        <f t="shared" si="3"/>
        <v>218.13979999999998</v>
      </c>
      <c r="AZ109" s="60">
        <f t="shared" si="4"/>
        <v>196.54180000000002</v>
      </c>
      <c r="BA109" s="61">
        <f t="shared" si="5"/>
        <v>111.22970000000001</v>
      </c>
    </row>
    <row r="110" spans="1:53" ht="22.5" customHeight="1">
      <c r="A110" s="51" t="s">
        <v>63</v>
      </c>
      <c r="B110" s="52" t="s">
        <v>64</v>
      </c>
      <c r="C110" s="53">
        <v>4017513</v>
      </c>
      <c r="D110" s="54" t="s">
        <v>191</v>
      </c>
      <c r="E110" s="54" t="s">
        <v>194</v>
      </c>
      <c r="F110" s="55">
        <v>11499</v>
      </c>
      <c r="G110" s="55">
        <v>8799</v>
      </c>
      <c r="H110" s="56">
        <v>10799</v>
      </c>
      <c r="I110" s="56">
        <v>10799</v>
      </c>
      <c r="J110" s="55">
        <v>10799</v>
      </c>
      <c r="K110" s="55">
        <v>10799</v>
      </c>
      <c r="L110" s="55">
        <v>10799</v>
      </c>
      <c r="M110" s="55">
        <v>10799</v>
      </c>
      <c r="N110" s="55">
        <v>10799</v>
      </c>
      <c r="O110" s="55">
        <v>10699</v>
      </c>
      <c r="P110" s="56">
        <v>10599</v>
      </c>
      <c r="Q110" s="56">
        <v>9799</v>
      </c>
      <c r="R110" s="55">
        <v>10699</v>
      </c>
      <c r="S110" s="55">
        <v>10599</v>
      </c>
      <c r="T110" s="56">
        <v>9799</v>
      </c>
      <c r="U110" s="56">
        <v>9799</v>
      </c>
      <c r="V110" s="56">
        <v>9799</v>
      </c>
      <c r="W110" s="56">
        <v>9699</v>
      </c>
      <c r="X110" s="56">
        <v>9699</v>
      </c>
      <c r="Y110" s="56">
        <v>8799</v>
      </c>
      <c r="Z110" s="56">
        <v>8799</v>
      </c>
      <c r="AA110" s="56">
        <v>8799</v>
      </c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7"/>
      <c r="AW110" s="58" t="s">
        <v>67</v>
      </c>
      <c r="AX110" s="59" t="s">
        <v>68</v>
      </c>
      <c r="AY110" s="60">
        <f t="shared" si="3"/>
        <v>218.13979999999998</v>
      </c>
      <c r="AZ110" s="60">
        <f t="shared" si="4"/>
        <v>196.54180000000002</v>
      </c>
      <c r="BA110" s="61">
        <f t="shared" si="5"/>
        <v>111.22970000000001</v>
      </c>
    </row>
    <row r="111" spans="1:53" ht="22.5" customHeight="1">
      <c r="A111" s="51" t="s">
        <v>63</v>
      </c>
      <c r="B111" s="52" t="s">
        <v>64</v>
      </c>
      <c r="C111" s="53">
        <v>4017488</v>
      </c>
      <c r="D111" s="54" t="s">
        <v>195</v>
      </c>
      <c r="E111" s="54" t="s">
        <v>196</v>
      </c>
      <c r="F111" s="55">
        <v>12999</v>
      </c>
      <c r="G111" s="55">
        <v>9999</v>
      </c>
      <c r="H111" s="56">
        <v>12199</v>
      </c>
      <c r="I111" s="56">
        <v>12199</v>
      </c>
      <c r="J111" s="55">
        <v>12199</v>
      </c>
      <c r="K111" s="55">
        <v>12199</v>
      </c>
      <c r="L111" s="55">
        <v>12199</v>
      </c>
      <c r="M111" s="55">
        <v>12199</v>
      </c>
      <c r="N111" s="55">
        <v>12199</v>
      </c>
      <c r="O111" s="55">
        <v>12099</v>
      </c>
      <c r="P111" s="56">
        <v>11999</v>
      </c>
      <c r="Q111" s="56">
        <v>11199</v>
      </c>
      <c r="R111" s="55">
        <v>12099</v>
      </c>
      <c r="S111" s="55">
        <v>11999</v>
      </c>
      <c r="T111" s="56">
        <v>11199</v>
      </c>
      <c r="U111" s="56">
        <v>11199</v>
      </c>
      <c r="V111" s="56">
        <v>11199</v>
      </c>
      <c r="W111" s="56">
        <v>11099</v>
      </c>
      <c r="X111" s="56">
        <v>11099</v>
      </c>
      <c r="Y111" s="56">
        <v>9999</v>
      </c>
      <c r="Z111" s="56">
        <v>9999</v>
      </c>
      <c r="AA111" s="56">
        <v>9899</v>
      </c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7"/>
      <c r="AW111" s="58" t="s">
        <v>67</v>
      </c>
      <c r="AX111" s="59" t="s">
        <v>68</v>
      </c>
      <c r="AY111" s="60">
        <f t="shared" si="3"/>
        <v>246.41979999999998</v>
      </c>
      <c r="AZ111" s="60">
        <f t="shared" si="4"/>
        <v>222.02180000000001</v>
      </c>
      <c r="BA111" s="61">
        <f t="shared" si="5"/>
        <v>125.6497</v>
      </c>
    </row>
    <row r="112" spans="1:53" ht="22.5" customHeight="1">
      <c r="A112" s="51" t="s">
        <v>63</v>
      </c>
      <c r="B112" s="52" t="s">
        <v>64</v>
      </c>
      <c r="C112" s="53">
        <v>4017508</v>
      </c>
      <c r="D112" s="54" t="s">
        <v>195</v>
      </c>
      <c r="E112" s="54" t="s">
        <v>197</v>
      </c>
      <c r="F112" s="55">
        <v>12999</v>
      </c>
      <c r="G112" s="55">
        <v>9999</v>
      </c>
      <c r="H112" s="56">
        <v>12199</v>
      </c>
      <c r="I112" s="56">
        <v>12199</v>
      </c>
      <c r="J112" s="55">
        <v>12199</v>
      </c>
      <c r="K112" s="55">
        <v>12199</v>
      </c>
      <c r="L112" s="55">
        <v>12199</v>
      </c>
      <c r="M112" s="55">
        <v>12199</v>
      </c>
      <c r="N112" s="55">
        <v>12199</v>
      </c>
      <c r="O112" s="55">
        <v>12099</v>
      </c>
      <c r="P112" s="56">
        <v>11999</v>
      </c>
      <c r="Q112" s="56">
        <v>11199</v>
      </c>
      <c r="R112" s="55">
        <v>12099</v>
      </c>
      <c r="S112" s="55">
        <v>11999</v>
      </c>
      <c r="T112" s="56">
        <v>11199</v>
      </c>
      <c r="U112" s="56">
        <v>11199</v>
      </c>
      <c r="V112" s="56">
        <v>11199</v>
      </c>
      <c r="W112" s="56">
        <v>11099</v>
      </c>
      <c r="X112" s="56">
        <v>11099</v>
      </c>
      <c r="Y112" s="56">
        <v>9999</v>
      </c>
      <c r="Z112" s="56">
        <v>9999</v>
      </c>
      <c r="AA112" s="56">
        <v>9899</v>
      </c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7"/>
      <c r="AW112" s="58" t="s">
        <v>67</v>
      </c>
      <c r="AX112" s="59" t="s">
        <v>68</v>
      </c>
      <c r="AY112" s="60">
        <f t="shared" si="3"/>
        <v>246.41979999999998</v>
      </c>
      <c r="AZ112" s="60">
        <f t="shared" si="4"/>
        <v>222.02180000000001</v>
      </c>
      <c r="BA112" s="61">
        <f t="shared" si="5"/>
        <v>125.6497</v>
      </c>
    </row>
    <row r="113" spans="1:53" ht="22.5" customHeight="1">
      <c r="A113" s="51" t="s">
        <v>63</v>
      </c>
      <c r="B113" s="52" t="s">
        <v>64</v>
      </c>
      <c r="C113" s="53">
        <v>4017489</v>
      </c>
      <c r="D113" s="54" t="s">
        <v>195</v>
      </c>
      <c r="E113" s="54" t="s">
        <v>198</v>
      </c>
      <c r="F113" s="55">
        <v>12999</v>
      </c>
      <c r="G113" s="55">
        <v>9999</v>
      </c>
      <c r="H113" s="56">
        <v>12199</v>
      </c>
      <c r="I113" s="56">
        <v>12199</v>
      </c>
      <c r="J113" s="55">
        <v>12199</v>
      </c>
      <c r="K113" s="55">
        <v>12199</v>
      </c>
      <c r="L113" s="55">
        <v>12199</v>
      </c>
      <c r="M113" s="55">
        <v>12199</v>
      </c>
      <c r="N113" s="55">
        <v>12199</v>
      </c>
      <c r="O113" s="55">
        <v>12099</v>
      </c>
      <c r="P113" s="56">
        <v>11999</v>
      </c>
      <c r="Q113" s="56">
        <v>11199</v>
      </c>
      <c r="R113" s="55">
        <v>12099</v>
      </c>
      <c r="S113" s="55">
        <v>11999</v>
      </c>
      <c r="T113" s="56">
        <v>11199</v>
      </c>
      <c r="U113" s="56">
        <v>11199</v>
      </c>
      <c r="V113" s="56">
        <v>11199</v>
      </c>
      <c r="W113" s="56">
        <v>11099</v>
      </c>
      <c r="X113" s="56">
        <v>11099</v>
      </c>
      <c r="Y113" s="56">
        <v>9999</v>
      </c>
      <c r="Z113" s="56">
        <v>9999</v>
      </c>
      <c r="AA113" s="56">
        <v>9899</v>
      </c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7"/>
      <c r="AW113" s="58" t="s">
        <v>67</v>
      </c>
      <c r="AX113" s="59" t="s">
        <v>68</v>
      </c>
      <c r="AY113" s="60">
        <f t="shared" si="3"/>
        <v>246.41979999999998</v>
      </c>
      <c r="AZ113" s="60">
        <f t="shared" si="4"/>
        <v>222.02180000000001</v>
      </c>
      <c r="BA113" s="61">
        <f t="shared" si="5"/>
        <v>125.6497</v>
      </c>
    </row>
    <row r="114" spans="1:53" ht="22.5" customHeight="1">
      <c r="A114" s="51" t="s">
        <v>63</v>
      </c>
      <c r="B114" s="52" t="s">
        <v>64</v>
      </c>
      <c r="C114" s="53">
        <v>4017493</v>
      </c>
      <c r="D114" s="54" t="s">
        <v>199</v>
      </c>
      <c r="E114" s="54" t="s">
        <v>200</v>
      </c>
      <c r="F114" s="55">
        <v>12499</v>
      </c>
      <c r="G114" s="55">
        <v>9799</v>
      </c>
      <c r="H114" s="56">
        <v>11699</v>
      </c>
      <c r="I114" s="56">
        <v>11699</v>
      </c>
      <c r="J114" s="55">
        <v>11699</v>
      </c>
      <c r="K114" s="55">
        <v>11699</v>
      </c>
      <c r="L114" s="55">
        <v>11699</v>
      </c>
      <c r="M114" s="55">
        <v>11699</v>
      </c>
      <c r="N114" s="55">
        <v>11699</v>
      </c>
      <c r="O114" s="55">
        <v>11599</v>
      </c>
      <c r="P114" s="56">
        <v>11499</v>
      </c>
      <c r="Q114" s="56">
        <v>10699</v>
      </c>
      <c r="R114" s="55">
        <v>11599</v>
      </c>
      <c r="S114" s="55">
        <v>11499</v>
      </c>
      <c r="T114" s="56">
        <v>10699</v>
      </c>
      <c r="U114" s="56">
        <v>10699</v>
      </c>
      <c r="V114" s="56">
        <v>10699</v>
      </c>
      <c r="W114" s="56">
        <v>10599</v>
      </c>
      <c r="X114" s="56">
        <v>10599</v>
      </c>
      <c r="Y114" s="56">
        <v>9799</v>
      </c>
      <c r="Z114" s="56">
        <v>9799</v>
      </c>
      <c r="AA114" s="56">
        <v>9799</v>
      </c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7"/>
      <c r="AW114" s="58" t="s">
        <v>67</v>
      </c>
      <c r="AX114" s="59" t="s">
        <v>68</v>
      </c>
      <c r="AY114" s="60">
        <f t="shared" si="3"/>
        <v>236.31979999999999</v>
      </c>
      <c r="AZ114" s="60">
        <f t="shared" si="4"/>
        <v>212.92180000000002</v>
      </c>
      <c r="BA114" s="61">
        <f t="shared" si="5"/>
        <v>120.4997</v>
      </c>
    </row>
    <row r="115" spans="1:53" ht="22.5" customHeight="1">
      <c r="A115" s="51" t="s">
        <v>63</v>
      </c>
      <c r="B115" s="52" t="s">
        <v>64</v>
      </c>
      <c r="C115" s="53">
        <v>4017494</v>
      </c>
      <c r="D115" s="54" t="s">
        <v>199</v>
      </c>
      <c r="E115" s="54" t="s">
        <v>201</v>
      </c>
      <c r="F115" s="55">
        <v>12499</v>
      </c>
      <c r="G115" s="55">
        <v>9799</v>
      </c>
      <c r="H115" s="56">
        <v>11699</v>
      </c>
      <c r="I115" s="56">
        <v>11699</v>
      </c>
      <c r="J115" s="55">
        <v>11699</v>
      </c>
      <c r="K115" s="55">
        <v>11699</v>
      </c>
      <c r="L115" s="55">
        <v>11699</v>
      </c>
      <c r="M115" s="55">
        <v>11699</v>
      </c>
      <c r="N115" s="55">
        <v>11699</v>
      </c>
      <c r="O115" s="55">
        <v>11599</v>
      </c>
      <c r="P115" s="56">
        <v>11499</v>
      </c>
      <c r="Q115" s="56">
        <v>10699</v>
      </c>
      <c r="R115" s="55">
        <v>11599</v>
      </c>
      <c r="S115" s="55">
        <v>11499</v>
      </c>
      <c r="T115" s="56">
        <v>10699</v>
      </c>
      <c r="U115" s="56">
        <v>10699</v>
      </c>
      <c r="V115" s="56">
        <v>10699</v>
      </c>
      <c r="W115" s="56">
        <v>10599</v>
      </c>
      <c r="X115" s="56">
        <v>10599</v>
      </c>
      <c r="Y115" s="56">
        <v>9799</v>
      </c>
      <c r="Z115" s="56">
        <v>9799</v>
      </c>
      <c r="AA115" s="56">
        <v>9799</v>
      </c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7"/>
      <c r="AW115" s="58" t="s">
        <v>67</v>
      </c>
      <c r="AX115" s="59" t="s">
        <v>68</v>
      </c>
      <c r="AY115" s="60">
        <f t="shared" si="3"/>
        <v>236.31979999999999</v>
      </c>
      <c r="AZ115" s="60">
        <f t="shared" si="4"/>
        <v>212.92180000000002</v>
      </c>
      <c r="BA115" s="61">
        <f t="shared" si="5"/>
        <v>120.4997</v>
      </c>
    </row>
    <row r="116" spans="1:53" ht="22.5" customHeight="1">
      <c r="A116" s="51" t="s">
        <v>63</v>
      </c>
      <c r="B116" s="52" t="s">
        <v>64</v>
      </c>
      <c r="C116" s="53">
        <v>4017514</v>
      </c>
      <c r="D116" s="54" t="s">
        <v>199</v>
      </c>
      <c r="E116" s="54" t="s">
        <v>202</v>
      </c>
      <c r="F116" s="55">
        <v>12499</v>
      </c>
      <c r="G116" s="55">
        <v>9799</v>
      </c>
      <c r="H116" s="56">
        <v>11699</v>
      </c>
      <c r="I116" s="56">
        <v>11699</v>
      </c>
      <c r="J116" s="55">
        <v>11699</v>
      </c>
      <c r="K116" s="55">
        <v>11699</v>
      </c>
      <c r="L116" s="55">
        <v>11699</v>
      </c>
      <c r="M116" s="55">
        <v>11699</v>
      </c>
      <c r="N116" s="55">
        <v>11699</v>
      </c>
      <c r="O116" s="55">
        <v>11599</v>
      </c>
      <c r="P116" s="56">
        <v>11499</v>
      </c>
      <c r="Q116" s="56">
        <v>10699</v>
      </c>
      <c r="R116" s="55">
        <v>11599</v>
      </c>
      <c r="S116" s="55">
        <v>11499</v>
      </c>
      <c r="T116" s="56">
        <v>10699</v>
      </c>
      <c r="U116" s="56">
        <v>10699</v>
      </c>
      <c r="V116" s="56">
        <v>10699</v>
      </c>
      <c r="W116" s="56">
        <v>10599</v>
      </c>
      <c r="X116" s="56">
        <v>10599</v>
      </c>
      <c r="Y116" s="56">
        <v>9799</v>
      </c>
      <c r="Z116" s="56">
        <v>9799</v>
      </c>
      <c r="AA116" s="56">
        <v>9799</v>
      </c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7"/>
      <c r="AW116" s="58" t="s">
        <v>67</v>
      </c>
      <c r="AX116" s="59" t="s">
        <v>68</v>
      </c>
      <c r="AY116" s="60">
        <f t="shared" si="3"/>
        <v>236.31979999999999</v>
      </c>
      <c r="AZ116" s="60">
        <f t="shared" si="4"/>
        <v>212.92180000000002</v>
      </c>
      <c r="BA116" s="61">
        <f t="shared" si="5"/>
        <v>120.4997</v>
      </c>
    </row>
    <row r="117" spans="1:53" ht="22.5" customHeight="1">
      <c r="A117" s="51" t="s">
        <v>63</v>
      </c>
      <c r="B117" s="52" t="s">
        <v>64</v>
      </c>
      <c r="C117" s="53">
        <v>4017503</v>
      </c>
      <c r="D117" s="54" t="s">
        <v>203</v>
      </c>
      <c r="E117" s="54" t="s">
        <v>204</v>
      </c>
      <c r="F117" s="55">
        <v>13999</v>
      </c>
      <c r="G117" s="55">
        <v>10999</v>
      </c>
      <c r="H117" s="56">
        <v>13099</v>
      </c>
      <c r="I117" s="56">
        <v>13099</v>
      </c>
      <c r="J117" s="55">
        <v>13099</v>
      </c>
      <c r="K117" s="55">
        <v>13099</v>
      </c>
      <c r="L117" s="55">
        <v>13099</v>
      </c>
      <c r="M117" s="55">
        <v>13099</v>
      </c>
      <c r="N117" s="55">
        <v>13099</v>
      </c>
      <c r="O117" s="55">
        <v>12999</v>
      </c>
      <c r="P117" s="56">
        <v>12899</v>
      </c>
      <c r="Q117" s="56">
        <v>12099</v>
      </c>
      <c r="R117" s="55">
        <v>12999</v>
      </c>
      <c r="S117" s="55">
        <v>12899</v>
      </c>
      <c r="T117" s="56">
        <v>12099</v>
      </c>
      <c r="U117" s="56">
        <v>12099</v>
      </c>
      <c r="V117" s="56">
        <v>12099</v>
      </c>
      <c r="W117" s="56">
        <v>11999</v>
      </c>
      <c r="X117" s="56">
        <v>11999</v>
      </c>
      <c r="Y117" s="56">
        <v>10999</v>
      </c>
      <c r="Z117" s="56">
        <v>10999</v>
      </c>
      <c r="AA117" s="56">
        <v>10899</v>
      </c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7"/>
      <c r="AW117" s="58" t="s">
        <v>67</v>
      </c>
      <c r="AX117" s="59" t="s">
        <v>68</v>
      </c>
      <c r="AY117" s="60">
        <f t="shared" si="3"/>
        <v>264.59980000000002</v>
      </c>
      <c r="AZ117" s="60">
        <f t="shared" si="4"/>
        <v>238.40180000000001</v>
      </c>
      <c r="BA117" s="61">
        <f t="shared" si="5"/>
        <v>134.91970000000001</v>
      </c>
    </row>
    <row r="118" spans="1:53" ht="22.5" customHeight="1">
      <c r="A118" s="51" t="s">
        <v>63</v>
      </c>
      <c r="B118" s="52" t="s">
        <v>64</v>
      </c>
      <c r="C118" s="53">
        <v>4017520</v>
      </c>
      <c r="D118" s="54" t="s">
        <v>203</v>
      </c>
      <c r="E118" s="54" t="s">
        <v>205</v>
      </c>
      <c r="F118" s="55">
        <v>13999</v>
      </c>
      <c r="G118" s="55">
        <v>10999</v>
      </c>
      <c r="H118" s="56">
        <v>13099</v>
      </c>
      <c r="I118" s="56">
        <v>13099</v>
      </c>
      <c r="J118" s="55">
        <v>13099</v>
      </c>
      <c r="K118" s="55">
        <v>13099</v>
      </c>
      <c r="L118" s="55">
        <v>13099</v>
      </c>
      <c r="M118" s="55">
        <v>13099</v>
      </c>
      <c r="N118" s="55">
        <v>13099</v>
      </c>
      <c r="O118" s="55">
        <v>12999</v>
      </c>
      <c r="P118" s="56">
        <v>12899</v>
      </c>
      <c r="Q118" s="56">
        <v>12099</v>
      </c>
      <c r="R118" s="55">
        <v>12999</v>
      </c>
      <c r="S118" s="55">
        <v>12899</v>
      </c>
      <c r="T118" s="56">
        <v>12099</v>
      </c>
      <c r="U118" s="56">
        <v>12099</v>
      </c>
      <c r="V118" s="56">
        <v>12099</v>
      </c>
      <c r="W118" s="56">
        <v>11999</v>
      </c>
      <c r="X118" s="56">
        <v>11999</v>
      </c>
      <c r="Y118" s="56">
        <v>10999</v>
      </c>
      <c r="Z118" s="56">
        <v>10999</v>
      </c>
      <c r="AA118" s="56">
        <v>10899</v>
      </c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7"/>
      <c r="AW118" s="58" t="s">
        <v>67</v>
      </c>
      <c r="AX118" s="59" t="s">
        <v>68</v>
      </c>
      <c r="AY118" s="60">
        <f t="shared" si="3"/>
        <v>264.59980000000002</v>
      </c>
      <c r="AZ118" s="60">
        <f t="shared" si="4"/>
        <v>238.40180000000001</v>
      </c>
      <c r="BA118" s="61">
        <f t="shared" si="5"/>
        <v>134.91970000000001</v>
      </c>
    </row>
    <row r="119" spans="1:53" ht="22.5" customHeight="1">
      <c r="A119" s="51" t="s">
        <v>63</v>
      </c>
      <c r="B119" s="52" t="s">
        <v>64</v>
      </c>
      <c r="C119" s="53">
        <v>4017522</v>
      </c>
      <c r="D119" s="54" t="s">
        <v>203</v>
      </c>
      <c r="E119" s="54" t="s">
        <v>206</v>
      </c>
      <c r="F119" s="55">
        <v>13999</v>
      </c>
      <c r="G119" s="55">
        <v>10999</v>
      </c>
      <c r="H119" s="56">
        <v>13099</v>
      </c>
      <c r="I119" s="56">
        <v>13099</v>
      </c>
      <c r="J119" s="55">
        <v>13099</v>
      </c>
      <c r="K119" s="55">
        <v>13099</v>
      </c>
      <c r="L119" s="55">
        <v>13099</v>
      </c>
      <c r="M119" s="55">
        <v>13099</v>
      </c>
      <c r="N119" s="55">
        <v>13099</v>
      </c>
      <c r="O119" s="55">
        <v>12999</v>
      </c>
      <c r="P119" s="56">
        <v>12899</v>
      </c>
      <c r="Q119" s="56">
        <v>12099</v>
      </c>
      <c r="R119" s="55">
        <v>12999</v>
      </c>
      <c r="S119" s="55">
        <v>12899</v>
      </c>
      <c r="T119" s="56">
        <v>12099</v>
      </c>
      <c r="U119" s="56">
        <v>12099</v>
      </c>
      <c r="V119" s="56">
        <v>12099</v>
      </c>
      <c r="W119" s="56">
        <v>11999</v>
      </c>
      <c r="X119" s="56">
        <v>11999</v>
      </c>
      <c r="Y119" s="56">
        <v>10999</v>
      </c>
      <c r="Z119" s="56">
        <v>10999</v>
      </c>
      <c r="AA119" s="56">
        <v>10899</v>
      </c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7"/>
      <c r="AW119" s="58" t="s">
        <v>67</v>
      </c>
      <c r="AX119" s="59" t="s">
        <v>68</v>
      </c>
      <c r="AY119" s="60">
        <f t="shared" si="3"/>
        <v>264.59980000000002</v>
      </c>
      <c r="AZ119" s="60">
        <f t="shared" si="4"/>
        <v>238.40180000000001</v>
      </c>
      <c r="BA119" s="61">
        <f t="shared" si="5"/>
        <v>134.91970000000001</v>
      </c>
    </row>
    <row r="120" spans="1:53" ht="22.5" customHeight="1">
      <c r="A120" s="51" t="s">
        <v>63</v>
      </c>
      <c r="B120" s="52" t="s">
        <v>64</v>
      </c>
      <c r="C120" s="53">
        <v>4017845</v>
      </c>
      <c r="D120" s="54" t="s">
        <v>207</v>
      </c>
      <c r="E120" s="54" t="s">
        <v>208</v>
      </c>
      <c r="F120" s="55">
        <v>5799</v>
      </c>
      <c r="G120" s="55">
        <v>3099</v>
      </c>
      <c r="H120" s="56">
        <v>5199</v>
      </c>
      <c r="I120" s="56">
        <v>5199</v>
      </c>
      <c r="J120" s="55">
        <v>5099</v>
      </c>
      <c r="K120" s="55">
        <v>5099</v>
      </c>
      <c r="L120" s="55">
        <v>5099</v>
      </c>
      <c r="M120" s="55">
        <v>5099</v>
      </c>
      <c r="N120" s="55">
        <v>5099</v>
      </c>
      <c r="O120" s="55">
        <v>4999</v>
      </c>
      <c r="P120" s="56">
        <v>4899</v>
      </c>
      <c r="Q120" s="56">
        <v>4499</v>
      </c>
      <c r="R120" s="55">
        <v>4999</v>
      </c>
      <c r="S120" s="55">
        <v>4899</v>
      </c>
      <c r="T120" s="56">
        <v>4499</v>
      </c>
      <c r="U120" s="56">
        <v>4499</v>
      </c>
      <c r="V120" s="56">
        <v>4499</v>
      </c>
      <c r="W120" s="56">
        <v>4499</v>
      </c>
      <c r="X120" s="56">
        <v>4399</v>
      </c>
      <c r="Y120" s="56">
        <v>3799</v>
      </c>
      <c r="Z120" s="56">
        <v>3799</v>
      </c>
      <c r="AA120" s="56">
        <v>3749</v>
      </c>
      <c r="AB120" s="55">
        <v>5099</v>
      </c>
      <c r="AC120" s="55">
        <v>5099</v>
      </c>
      <c r="AD120" s="55">
        <v>5099</v>
      </c>
      <c r="AE120" s="55">
        <v>4999</v>
      </c>
      <c r="AF120" s="55">
        <v>4899</v>
      </c>
      <c r="AG120" s="55">
        <v>4899</v>
      </c>
      <c r="AH120" s="55">
        <v>4499</v>
      </c>
      <c r="AI120" s="55">
        <v>4499</v>
      </c>
      <c r="AJ120" s="55">
        <v>4499</v>
      </c>
      <c r="AK120" s="55">
        <v>4499</v>
      </c>
      <c r="AL120" s="55">
        <v>3799</v>
      </c>
      <c r="AM120" s="55"/>
      <c r="AN120" s="55"/>
      <c r="AO120" s="55"/>
      <c r="AP120" s="55"/>
      <c r="AQ120" s="55"/>
      <c r="AR120" s="55"/>
      <c r="AS120" s="55"/>
      <c r="AT120" s="55"/>
      <c r="AU120" s="55"/>
      <c r="AV120" s="57"/>
      <c r="AW120" s="58" t="s">
        <v>67</v>
      </c>
      <c r="AX120" s="59" t="s">
        <v>68</v>
      </c>
      <c r="AY120" s="62">
        <f t="shared" si="3"/>
        <v>105.01979999999999</v>
      </c>
      <c r="AZ120" s="62">
        <f t="shared" si="4"/>
        <v>94.621800000000007</v>
      </c>
      <c r="BA120" s="63">
        <f t="shared" si="5"/>
        <v>53.549700000000001</v>
      </c>
    </row>
    <row r="121" spans="1:53" ht="22.5" customHeight="1">
      <c r="A121" s="51" t="s">
        <v>63</v>
      </c>
      <c r="B121" s="52" t="s">
        <v>64</v>
      </c>
      <c r="C121" s="53">
        <v>4017841</v>
      </c>
      <c r="D121" s="54" t="s">
        <v>207</v>
      </c>
      <c r="E121" s="54" t="s">
        <v>209</v>
      </c>
      <c r="F121" s="55">
        <v>5799</v>
      </c>
      <c r="G121" s="55">
        <v>3099</v>
      </c>
      <c r="H121" s="56">
        <v>5199</v>
      </c>
      <c r="I121" s="56">
        <v>5199</v>
      </c>
      <c r="J121" s="55">
        <v>5099</v>
      </c>
      <c r="K121" s="55">
        <v>5099</v>
      </c>
      <c r="L121" s="55">
        <v>5099</v>
      </c>
      <c r="M121" s="55">
        <v>5099</v>
      </c>
      <c r="N121" s="55">
        <v>5099</v>
      </c>
      <c r="O121" s="55">
        <v>4999</v>
      </c>
      <c r="P121" s="56">
        <v>4899</v>
      </c>
      <c r="Q121" s="56">
        <v>4499</v>
      </c>
      <c r="R121" s="55">
        <v>4999</v>
      </c>
      <c r="S121" s="55">
        <v>4899</v>
      </c>
      <c r="T121" s="56">
        <v>4499</v>
      </c>
      <c r="U121" s="56">
        <v>4499</v>
      </c>
      <c r="V121" s="56">
        <v>4499</v>
      </c>
      <c r="W121" s="56">
        <v>4499</v>
      </c>
      <c r="X121" s="56">
        <v>4399</v>
      </c>
      <c r="Y121" s="56">
        <v>3799</v>
      </c>
      <c r="Z121" s="56">
        <v>3799</v>
      </c>
      <c r="AA121" s="56">
        <v>3749</v>
      </c>
      <c r="AB121" s="55">
        <v>5099</v>
      </c>
      <c r="AC121" s="55">
        <v>5099</v>
      </c>
      <c r="AD121" s="55">
        <v>5099</v>
      </c>
      <c r="AE121" s="55">
        <v>4999</v>
      </c>
      <c r="AF121" s="55">
        <v>4899</v>
      </c>
      <c r="AG121" s="55">
        <v>4899</v>
      </c>
      <c r="AH121" s="55">
        <v>4499</v>
      </c>
      <c r="AI121" s="55">
        <v>4499</v>
      </c>
      <c r="AJ121" s="55">
        <v>4499</v>
      </c>
      <c r="AK121" s="55">
        <v>4499</v>
      </c>
      <c r="AL121" s="55">
        <v>3799</v>
      </c>
      <c r="AM121" s="55"/>
      <c r="AN121" s="55"/>
      <c r="AO121" s="55"/>
      <c r="AP121" s="55"/>
      <c r="AQ121" s="55"/>
      <c r="AR121" s="55"/>
      <c r="AS121" s="55"/>
      <c r="AT121" s="55"/>
      <c r="AU121" s="55"/>
      <c r="AV121" s="57"/>
      <c r="AW121" s="58" t="s">
        <v>67</v>
      </c>
      <c r="AX121" s="59" t="s">
        <v>68</v>
      </c>
      <c r="AY121" s="62">
        <f t="shared" si="3"/>
        <v>105.01979999999999</v>
      </c>
      <c r="AZ121" s="62">
        <f t="shared" si="4"/>
        <v>94.621800000000007</v>
      </c>
      <c r="BA121" s="63">
        <f t="shared" si="5"/>
        <v>53.549700000000001</v>
      </c>
    </row>
    <row r="122" spans="1:53" ht="22.5" customHeight="1">
      <c r="A122" s="51" t="s">
        <v>63</v>
      </c>
      <c r="B122" s="52" t="s">
        <v>64</v>
      </c>
      <c r="C122" s="53">
        <v>4017846</v>
      </c>
      <c r="D122" s="54" t="s">
        <v>207</v>
      </c>
      <c r="E122" s="54" t="s">
        <v>210</v>
      </c>
      <c r="F122" s="55">
        <v>5799</v>
      </c>
      <c r="G122" s="55">
        <v>3099</v>
      </c>
      <c r="H122" s="56">
        <v>5199</v>
      </c>
      <c r="I122" s="56">
        <v>5199</v>
      </c>
      <c r="J122" s="55">
        <v>5099</v>
      </c>
      <c r="K122" s="55">
        <v>5099</v>
      </c>
      <c r="L122" s="55">
        <v>5099</v>
      </c>
      <c r="M122" s="55">
        <v>5099</v>
      </c>
      <c r="N122" s="55">
        <v>5099</v>
      </c>
      <c r="O122" s="55">
        <v>4999</v>
      </c>
      <c r="P122" s="56">
        <v>4899</v>
      </c>
      <c r="Q122" s="56">
        <v>4499</v>
      </c>
      <c r="R122" s="55">
        <v>4999</v>
      </c>
      <c r="S122" s="55">
        <v>4899</v>
      </c>
      <c r="T122" s="56">
        <v>4499</v>
      </c>
      <c r="U122" s="56">
        <v>4499</v>
      </c>
      <c r="V122" s="56">
        <v>4499</v>
      </c>
      <c r="W122" s="56">
        <v>4499</v>
      </c>
      <c r="X122" s="56">
        <v>4399</v>
      </c>
      <c r="Y122" s="56">
        <v>3799</v>
      </c>
      <c r="Z122" s="56">
        <v>3799</v>
      </c>
      <c r="AA122" s="56">
        <v>3749</v>
      </c>
      <c r="AB122" s="55">
        <v>5099</v>
      </c>
      <c r="AC122" s="55">
        <v>5099</v>
      </c>
      <c r="AD122" s="55">
        <v>5099</v>
      </c>
      <c r="AE122" s="55">
        <v>4999</v>
      </c>
      <c r="AF122" s="55">
        <v>4899</v>
      </c>
      <c r="AG122" s="55">
        <v>4899</v>
      </c>
      <c r="AH122" s="55">
        <v>4499</v>
      </c>
      <c r="AI122" s="55">
        <v>4499</v>
      </c>
      <c r="AJ122" s="55">
        <v>4499</v>
      </c>
      <c r="AK122" s="55">
        <v>4499</v>
      </c>
      <c r="AL122" s="55">
        <v>3799</v>
      </c>
      <c r="AM122" s="55"/>
      <c r="AN122" s="55"/>
      <c r="AO122" s="55"/>
      <c r="AP122" s="55"/>
      <c r="AQ122" s="55"/>
      <c r="AR122" s="55"/>
      <c r="AS122" s="55"/>
      <c r="AT122" s="55"/>
      <c r="AU122" s="55"/>
      <c r="AV122" s="57"/>
      <c r="AW122" s="58" t="s">
        <v>67</v>
      </c>
      <c r="AX122" s="59" t="s">
        <v>68</v>
      </c>
      <c r="AY122" s="62">
        <f t="shared" si="3"/>
        <v>105.01979999999999</v>
      </c>
      <c r="AZ122" s="62">
        <f t="shared" si="4"/>
        <v>94.621800000000007</v>
      </c>
      <c r="BA122" s="63">
        <f t="shared" si="5"/>
        <v>53.549700000000001</v>
      </c>
    </row>
    <row r="123" spans="1:53" ht="22.5" customHeight="1">
      <c r="A123" s="51" t="s">
        <v>63</v>
      </c>
      <c r="B123" s="52" t="s">
        <v>64</v>
      </c>
      <c r="C123" s="53">
        <v>4017981</v>
      </c>
      <c r="D123" s="54" t="s">
        <v>207</v>
      </c>
      <c r="E123" s="54" t="s">
        <v>211</v>
      </c>
      <c r="F123" s="55">
        <v>5799</v>
      </c>
      <c r="G123" s="55">
        <v>3099</v>
      </c>
      <c r="H123" s="56">
        <v>5199</v>
      </c>
      <c r="I123" s="56">
        <v>5199</v>
      </c>
      <c r="J123" s="55">
        <v>5099</v>
      </c>
      <c r="K123" s="55">
        <v>5099</v>
      </c>
      <c r="L123" s="55">
        <v>5099</v>
      </c>
      <c r="M123" s="55">
        <v>5099</v>
      </c>
      <c r="N123" s="55">
        <v>5099</v>
      </c>
      <c r="O123" s="55">
        <v>4999</v>
      </c>
      <c r="P123" s="56">
        <v>4899</v>
      </c>
      <c r="Q123" s="56">
        <v>4499</v>
      </c>
      <c r="R123" s="55">
        <v>4999</v>
      </c>
      <c r="S123" s="55">
        <v>4899</v>
      </c>
      <c r="T123" s="56">
        <v>4499</v>
      </c>
      <c r="U123" s="56">
        <v>4499</v>
      </c>
      <c r="V123" s="56">
        <v>4499</v>
      </c>
      <c r="W123" s="56">
        <v>4499</v>
      </c>
      <c r="X123" s="56">
        <v>4399</v>
      </c>
      <c r="Y123" s="56">
        <v>3799</v>
      </c>
      <c r="Z123" s="56">
        <v>3799</v>
      </c>
      <c r="AA123" s="56">
        <v>3749</v>
      </c>
      <c r="AB123" s="55">
        <v>5099</v>
      </c>
      <c r="AC123" s="55">
        <v>5099</v>
      </c>
      <c r="AD123" s="55">
        <v>5099</v>
      </c>
      <c r="AE123" s="55">
        <v>4999</v>
      </c>
      <c r="AF123" s="55">
        <v>4899</v>
      </c>
      <c r="AG123" s="55">
        <v>4899</v>
      </c>
      <c r="AH123" s="55">
        <v>4499</v>
      </c>
      <c r="AI123" s="55">
        <v>4499</v>
      </c>
      <c r="AJ123" s="55">
        <v>4499</v>
      </c>
      <c r="AK123" s="55">
        <v>4499</v>
      </c>
      <c r="AL123" s="55">
        <v>3799</v>
      </c>
      <c r="AM123" s="55"/>
      <c r="AN123" s="55"/>
      <c r="AO123" s="55"/>
      <c r="AP123" s="55"/>
      <c r="AQ123" s="55"/>
      <c r="AR123" s="55"/>
      <c r="AS123" s="55"/>
      <c r="AT123" s="55"/>
      <c r="AU123" s="55"/>
      <c r="AV123" s="57"/>
      <c r="AW123" s="58" t="s">
        <v>67</v>
      </c>
      <c r="AX123" s="59" t="s">
        <v>68</v>
      </c>
      <c r="AY123" s="62">
        <f t="shared" si="3"/>
        <v>105.01979999999999</v>
      </c>
      <c r="AZ123" s="62">
        <f t="shared" si="4"/>
        <v>94.621800000000007</v>
      </c>
      <c r="BA123" s="63">
        <f t="shared" si="5"/>
        <v>53.549700000000001</v>
      </c>
    </row>
    <row r="124" spans="1:53" ht="22.5" customHeight="1">
      <c r="A124" s="51" t="s">
        <v>63</v>
      </c>
      <c r="B124" s="52" t="s">
        <v>64</v>
      </c>
      <c r="C124" s="53">
        <v>4017980</v>
      </c>
      <c r="D124" s="54" t="s">
        <v>207</v>
      </c>
      <c r="E124" s="54" t="s">
        <v>212</v>
      </c>
      <c r="F124" s="55">
        <v>5799</v>
      </c>
      <c r="G124" s="55">
        <v>3099</v>
      </c>
      <c r="H124" s="56">
        <v>5199</v>
      </c>
      <c r="I124" s="56">
        <v>5199</v>
      </c>
      <c r="J124" s="55">
        <v>5099</v>
      </c>
      <c r="K124" s="55">
        <v>5099</v>
      </c>
      <c r="L124" s="55">
        <v>5099</v>
      </c>
      <c r="M124" s="55">
        <v>5099</v>
      </c>
      <c r="N124" s="55">
        <v>5099</v>
      </c>
      <c r="O124" s="55">
        <v>4999</v>
      </c>
      <c r="P124" s="56">
        <v>4899</v>
      </c>
      <c r="Q124" s="56">
        <v>4499</v>
      </c>
      <c r="R124" s="55">
        <v>4999</v>
      </c>
      <c r="S124" s="55">
        <v>4899</v>
      </c>
      <c r="T124" s="56">
        <v>4499</v>
      </c>
      <c r="U124" s="56">
        <v>4499</v>
      </c>
      <c r="V124" s="56">
        <v>4499</v>
      </c>
      <c r="W124" s="56">
        <v>4499</v>
      </c>
      <c r="X124" s="56">
        <v>4399</v>
      </c>
      <c r="Y124" s="56">
        <v>3799</v>
      </c>
      <c r="Z124" s="56">
        <v>3799</v>
      </c>
      <c r="AA124" s="56">
        <v>3749</v>
      </c>
      <c r="AB124" s="55">
        <v>5099</v>
      </c>
      <c r="AC124" s="55">
        <v>5099</v>
      </c>
      <c r="AD124" s="55">
        <v>5099</v>
      </c>
      <c r="AE124" s="55">
        <v>4999</v>
      </c>
      <c r="AF124" s="55">
        <v>4899</v>
      </c>
      <c r="AG124" s="55">
        <v>4899</v>
      </c>
      <c r="AH124" s="55">
        <v>4499</v>
      </c>
      <c r="AI124" s="55">
        <v>4499</v>
      </c>
      <c r="AJ124" s="55">
        <v>4499</v>
      </c>
      <c r="AK124" s="55">
        <v>4499</v>
      </c>
      <c r="AL124" s="55">
        <v>3799</v>
      </c>
      <c r="AM124" s="55"/>
      <c r="AN124" s="55"/>
      <c r="AO124" s="55"/>
      <c r="AP124" s="55"/>
      <c r="AQ124" s="55"/>
      <c r="AR124" s="55"/>
      <c r="AS124" s="55"/>
      <c r="AT124" s="55"/>
      <c r="AU124" s="55"/>
      <c r="AV124" s="57"/>
      <c r="AW124" s="58" t="s">
        <v>67</v>
      </c>
      <c r="AX124" s="59" t="s">
        <v>68</v>
      </c>
      <c r="AY124" s="62">
        <f t="shared" si="3"/>
        <v>105.01979999999999</v>
      </c>
      <c r="AZ124" s="62">
        <f t="shared" si="4"/>
        <v>94.621800000000007</v>
      </c>
      <c r="BA124" s="63">
        <f t="shared" si="5"/>
        <v>53.549700000000001</v>
      </c>
    </row>
    <row r="125" spans="1:53" ht="22.5" customHeight="1">
      <c r="A125" s="51" t="s">
        <v>63</v>
      </c>
      <c r="B125" s="52" t="s">
        <v>64</v>
      </c>
      <c r="C125" s="53">
        <v>4017985</v>
      </c>
      <c r="D125" s="54" t="s">
        <v>207</v>
      </c>
      <c r="E125" s="54" t="s">
        <v>213</v>
      </c>
      <c r="F125" s="55">
        <v>5799</v>
      </c>
      <c r="G125" s="55">
        <v>3099</v>
      </c>
      <c r="H125" s="56">
        <v>5199</v>
      </c>
      <c r="I125" s="56">
        <v>5199</v>
      </c>
      <c r="J125" s="55">
        <v>5099</v>
      </c>
      <c r="K125" s="55">
        <v>5099</v>
      </c>
      <c r="L125" s="55">
        <v>5099</v>
      </c>
      <c r="M125" s="55">
        <v>5099</v>
      </c>
      <c r="N125" s="55">
        <v>5099</v>
      </c>
      <c r="O125" s="55">
        <v>4999</v>
      </c>
      <c r="P125" s="56">
        <v>4899</v>
      </c>
      <c r="Q125" s="56">
        <v>4499</v>
      </c>
      <c r="R125" s="55">
        <v>4999</v>
      </c>
      <c r="S125" s="55">
        <v>4899</v>
      </c>
      <c r="T125" s="56">
        <v>4499</v>
      </c>
      <c r="U125" s="56">
        <v>4499</v>
      </c>
      <c r="V125" s="56">
        <v>4499</v>
      </c>
      <c r="W125" s="56">
        <v>4499</v>
      </c>
      <c r="X125" s="56">
        <v>4399</v>
      </c>
      <c r="Y125" s="56">
        <v>3799</v>
      </c>
      <c r="Z125" s="56">
        <v>3799</v>
      </c>
      <c r="AA125" s="56">
        <v>3749</v>
      </c>
      <c r="AB125" s="55">
        <v>5099</v>
      </c>
      <c r="AC125" s="55">
        <v>5099</v>
      </c>
      <c r="AD125" s="55">
        <v>5099</v>
      </c>
      <c r="AE125" s="55">
        <v>4999</v>
      </c>
      <c r="AF125" s="55">
        <v>4899</v>
      </c>
      <c r="AG125" s="55">
        <v>4899</v>
      </c>
      <c r="AH125" s="55">
        <v>4499</v>
      </c>
      <c r="AI125" s="55">
        <v>4499</v>
      </c>
      <c r="AJ125" s="55">
        <v>4499</v>
      </c>
      <c r="AK125" s="55">
        <v>4499</v>
      </c>
      <c r="AL125" s="55">
        <v>3799</v>
      </c>
      <c r="AM125" s="55"/>
      <c r="AN125" s="55"/>
      <c r="AO125" s="55"/>
      <c r="AP125" s="55"/>
      <c r="AQ125" s="55"/>
      <c r="AR125" s="55"/>
      <c r="AS125" s="55"/>
      <c r="AT125" s="55"/>
      <c r="AU125" s="55"/>
      <c r="AV125" s="57"/>
      <c r="AW125" s="58" t="s">
        <v>67</v>
      </c>
      <c r="AX125" s="59" t="s">
        <v>68</v>
      </c>
      <c r="AY125" s="62">
        <f t="shared" si="3"/>
        <v>105.01979999999999</v>
      </c>
      <c r="AZ125" s="62">
        <f t="shared" si="4"/>
        <v>94.621800000000007</v>
      </c>
      <c r="BA125" s="63">
        <f t="shared" si="5"/>
        <v>53.549700000000001</v>
      </c>
    </row>
    <row r="126" spans="1:53" ht="22.5" customHeight="1">
      <c r="A126" s="51" t="s">
        <v>63</v>
      </c>
      <c r="B126" s="52" t="s">
        <v>64</v>
      </c>
      <c r="C126" s="53">
        <v>4018280</v>
      </c>
      <c r="D126" s="54" t="s">
        <v>214</v>
      </c>
      <c r="E126" s="54" t="s">
        <v>215</v>
      </c>
      <c r="F126" s="55">
        <v>11999</v>
      </c>
      <c r="G126" s="55">
        <v>9899</v>
      </c>
      <c r="H126" s="56">
        <v>10999</v>
      </c>
      <c r="I126" s="56">
        <v>10999</v>
      </c>
      <c r="J126" s="55">
        <v>10899</v>
      </c>
      <c r="K126" s="55">
        <v>10899</v>
      </c>
      <c r="L126" s="55">
        <v>10899</v>
      </c>
      <c r="M126" s="55">
        <v>10899</v>
      </c>
      <c r="N126" s="55">
        <v>10899</v>
      </c>
      <c r="O126" s="55">
        <v>10799</v>
      </c>
      <c r="P126" s="56">
        <v>10699</v>
      </c>
      <c r="Q126" s="56">
        <v>9999</v>
      </c>
      <c r="R126" s="55">
        <v>10799</v>
      </c>
      <c r="S126" s="55">
        <v>10699</v>
      </c>
      <c r="T126" s="56">
        <v>9999</v>
      </c>
      <c r="U126" s="56">
        <v>9999</v>
      </c>
      <c r="V126" s="56">
        <v>9999</v>
      </c>
      <c r="W126" s="56">
        <v>9999</v>
      </c>
      <c r="X126" s="56">
        <v>9899</v>
      </c>
      <c r="Y126" s="56">
        <v>9499</v>
      </c>
      <c r="Z126" s="56">
        <v>9499</v>
      </c>
      <c r="AA126" s="56">
        <v>9299</v>
      </c>
      <c r="AB126" s="55">
        <v>10899</v>
      </c>
      <c r="AC126" s="55">
        <v>10899</v>
      </c>
      <c r="AD126" s="55">
        <v>10899</v>
      </c>
      <c r="AE126" s="55">
        <v>10899</v>
      </c>
      <c r="AF126" s="55">
        <v>10799</v>
      </c>
      <c r="AG126" s="55">
        <v>10699</v>
      </c>
      <c r="AH126" s="55">
        <v>9999</v>
      </c>
      <c r="AI126" s="55">
        <v>9999</v>
      </c>
      <c r="AJ126" s="55">
        <v>9999</v>
      </c>
      <c r="AK126" s="55">
        <v>9999</v>
      </c>
      <c r="AL126" s="55">
        <v>9499</v>
      </c>
      <c r="AM126" s="55"/>
      <c r="AN126" s="55"/>
      <c r="AO126" s="55"/>
      <c r="AP126" s="55"/>
      <c r="AQ126" s="55"/>
      <c r="AR126" s="55"/>
      <c r="AS126" s="55"/>
      <c r="AT126" s="55"/>
      <c r="AU126" s="55"/>
      <c r="AV126" s="57"/>
      <c r="AW126" s="58" t="s">
        <v>67</v>
      </c>
      <c r="AX126" s="59" t="s">
        <v>68</v>
      </c>
      <c r="AY126" s="62">
        <f t="shared" si="3"/>
        <v>222.1798</v>
      </c>
      <c r="AZ126" s="62">
        <f t="shared" si="4"/>
        <v>200.18180000000001</v>
      </c>
      <c r="BA126" s="63">
        <f t="shared" si="5"/>
        <v>113.2897</v>
      </c>
    </row>
    <row r="127" spans="1:53" ht="22.5" customHeight="1">
      <c r="A127" s="51" t="s">
        <v>63</v>
      </c>
      <c r="B127" s="52" t="s">
        <v>64</v>
      </c>
      <c r="C127" s="53">
        <v>4018283</v>
      </c>
      <c r="D127" s="54" t="s">
        <v>214</v>
      </c>
      <c r="E127" s="54" t="s">
        <v>216</v>
      </c>
      <c r="F127" s="55">
        <v>11999</v>
      </c>
      <c r="G127" s="55">
        <v>9899</v>
      </c>
      <c r="H127" s="56">
        <v>10999</v>
      </c>
      <c r="I127" s="56">
        <v>10999</v>
      </c>
      <c r="J127" s="55">
        <v>10899</v>
      </c>
      <c r="K127" s="55">
        <v>10899</v>
      </c>
      <c r="L127" s="55">
        <v>10899</v>
      </c>
      <c r="M127" s="55">
        <v>10899</v>
      </c>
      <c r="N127" s="55">
        <v>10899</v>
      </c>
      <c r="O127" s="55">
        <v>10799</v>
      </c>
      <c r="P127" s="56">
        <v>10699</v>
      </c>
      <c r="Q127" s="56">
        <v>9999</v>
      </c>
      <c r="R127" s="55">
        <v>10799</v>
      </c>
      <c r="S127" s="55">
        <v>10699</v>
      </c>
      <c r="T127" s="56">
        <v>9999</v>
      </c>
      <c r="U127" s="56">
        <v>9999</v>
      </c>
      <c r="V127" s="56">
        <v>9999</v>
      </c>
      <c r="W127" s="56">
        <v>9999</v>
      </c>
      <c r="X127" s="56">
        <v>9899</v>
      </c>
      <c r="Y127" s="56">
        <v>9499</v>
      </c>
      <c r="Z127" s="56">
        <v>9499</v>
      </c>
      <c r="AA127" s="56">
        <v>9299</v>
      </c>
      <c r="AB127" s="55">
        <v>10899</v>
      </c>
      <c r="AC127" s="55">
        <v>10899</v>
      </c>
      <c r="AD127" s="55">
        <v>10899</v>
      </c>
      <c r="AE127" s="55">
        <v>10899</v>
      </c>
      <c r="AF127" s="55">
        <v>10799</v>
      </c>
      <c r="AG127" s="55">
        <v>10699</v>
      </c>
      <c r="AH127" s="55">
        <v>9999</v>
      </c>
      <c r="AI127" s="55">
        <v>9999</v>
      </c>
      <c r="AJ127" s="55">
        <v>9999</v>
      </c>
      <c r="AK127" s="55">
        <v>9999</v>
      </c>
      <c r="AL127" s="55">
        <v>9499</v>
      </c>
      <c r="AM127" s="55"/>
      <c r="AN127" s="55"/>
      <c r="AO127" s="55"/>
      <c r="AP127" s="55"/>
      <c r="AQ127" s="55"/>
      <c r="AR127" s="55"/>
      <c r="AS127" s="55"/>
      <c r="AT127" s="55"/>
      <c r="AU127" s="55"/>
      <c r="AV127" s="57"/>
      <c r="AW127" s="58" t="s">
        <v>67</v>
      </c>
      <c r="AX127" s="59" t="s">
        <v>68</v>
      </c>
      <c r="AY127" s="62">
        <f t="shared" si="3"/>
        <v>222.1798</v>
      </c>
      <c r="AZ127" s="62">
        <f t="shared" si="4"/>
        <v>200.18180000000001</v>
      </c>
      <c r="BA127" s="63">
        <f t="shared" si="5"/>
        <v>113.2897</v>
      </c>
    </row>
    <row r="128" spans="1:53" ht="22.5" customHeight="1">
      <c r="A128" s="51" t="s">
        <v>63</v>
      </c>
      <c r="B128" s="52" t="s">
        <v>64</v>
      </c>
      <c r="C128" s="53">
        <v>4018301</v>
      </c>
      <c r="D128" s="54" t="s">
        <v>214</v>
      </c>
      <c r="E128" s="54" t="s">
        <v>217</v>
      </c>
      <c r="F128" s="55">
        <v>11999</v>
      </c>
      <c r="G128" s="55">
        <v>9899</v>
      </c>
      <c r="H128" s="56">
        <v>10999</v>
      </c>
      <c r="I128" s="56">
        <v>10999</v>
      </c>
      <c r="J128" s="55">
        <v>10899</v>
      </c>
      <c r="K128" s="55">
        <v>10899</v>
      </c>
      <c r="L128" s="55">
        <v>10899</v>
      </c>
      <c r="M128" s="55">
        <v>10899</v>
      </c>
      <c r="N128" s="55">
        <v>10899</v>
      </c>
      <c r="O128" s="55">
        <v>10799</v>
      </c>
      <c r="P128" s="56">
        <v>10699</v>
      </c>
      <c r="Q128" s="56">
        <v>9999</v>
      </c>
      <c r="R128" s="55">
        <v>10799</v>
      </c>
      <c r="S128" s="55">
        <v>10699</v>
      </c>
      <c r="T128" s="56">
        <v>9999</v>
      </c>
      <c r="U128" s="56">
        <v>9999</v>
      </c>
      <c r="V128" s="56">
        <v>9999</v>
      </c>
      <c r="W128" s="56">
        <v>9999</v>
      </c>
      <c r="X128" s="56">
        <v>9899</v>
      </c>
      <c r="Y128" s="56">
        <v>9499</v>
      </c>
      <c r="Z128" s="56">
        <v>9499</v>
      </c>
      <c r="AA128" s="56">
        <v>9299</v>
      </c>
      <c r="AB128" s="55">
        <v>10899</v>
      </c>
      <c r="AC128" s="55">
        <v>10899</v>
      </c>
      <c r="AD128" s="55">
        <v>10899</v>
      </c>
      <c r="AE128" s="55">
        <v>10899</v>
      </c>
      <c r="AF128" s="55">
        <v>10799</v>
      </c>
      <c r="AG128" s="55">
        <v>10699</v>
      </c>
      <c r="AH128" s="55">
        <v>9999</v>
      </c>
      <c r="AI128" s="55">
        <v>9999</v>
      </c>
      <c r="AJ128" s="55">
        <v>9999</v>
      </c>
      <c r="AK128" s="55">
        <v>9999</v>
      </c>
      <c r="AL128" s="55">
        <v>9499</v>
      </c>
      <c r="AM128" s="55"/>
      <c r="AN128" s="55"/>
      <c r="AO128" s="55"/>
      <c r="AP128" s="55"/>
      <c r="AQ128" s="55"/>
      <c r="AR128" s="55"/>
      <c r="AS128" s="55"/>
      <c r="AT128" s="55"/>
      <c r="AU128" s="55"/>
      <c r="AV128" s="57"/>
      <c r="AW128" s="58" t="s">
        <v>67</v>
      </c>
      <c r="AX128" s="59" t="s">
        <v>68</v>
      </c>
      <c r="AY128" s="62">
        <f t="shared" si="3"/>
        <v>222.1798</v>
      </c>
      <c r="AZ128" s="62">
        <f t="shared" si="4"/>
        <v>200.18180000000001</v>
      </c>
      <c r="BA128" s="63">
        <f t="shared" si="5"/>
        <v>113.2897</v>
      </c>
    </row>
    <row r="129" spans="1:53" ht="22.5" customHeight="1">
      <c r="A129" s="51" t="s">
        <v>63</v>
      </c>
      <c r="B129" s="52" t="s">
        <v>64</v>
      </c>
      <c r="C129" s="53">
        <v>4018282</v>
      </c>
      <c r="D129" s="54" t="s">
        <v>218</v>
      </c>
      <c r="E129" s="54" t="s">
        <v>219</v>
      </c>
      <c r="F129" s="55">
        <v>13499</v>
      </c>
      <c r="G129" s="55">
        <v>11299</v>
      </c>
      <c r="H129" s="56">
        <v>12399</v>
      </c>
      <c r="I129" s="56">
        <v>12399</v>
      </c>
      <c r="J129" s="55">
        <v>12299</v>
      </c>
      <c r="K129" s="55">
        <v>12299</v>
      </c>
      <c r="L129" s="55">
        <v>12299</v>
      </c>
      <c r="M129" s="55">
        <v>12299</v>
      </c>
      <c r="N129" s="55">
        <v>12299</v>
      </c>
      <c r="O129" s="55">
        <v>12199</v>
      </c>
      <c r="P129" s="56">
        <v>12099</v>
      </c>
      <c r="Q129" s="56">
        <v>11399</v>
      </c>
      <c r="R129" s="55">
        <v>12199</v>
      </c>
      <c r="S129" s="55">
        <v>12099</v>
      </c>
      <c r="T129" s="56">
        <v>11399</v>
      </c>
      <c r="U129" s="56">
        <v>11399</v>
      </c>
      <c r="V129" s="56">
        <v>11399</v>
      </c>
      <c r="W129" s="56">
        <v>11399</v>
      </c>
      <c r="X129" s="56">
        <v>11299</v>
      </c>
      <c r="Y129" s="56">
        <v>10799</v>
      </c>
      <c r="Z129" s="56">
        <v>10799</v>
      </c>
      <c r="AA129" s="56">
        <v>10499</v>
      </c>
      <c r="AB129" s="55">
        <v>12299</v>
      </c>
      <c r="AC129" s="55">
        <v>12299</v>
      </c>
      <c r="AD129" s="55">
        <v>12299</v>
      </c>
      <c r="AE129" s="55">
        <v>12299</v>
      </c>
      <c r="AF129" s="55">
        <v>12199</v>
      </c>
      <c r="AG129" s="55">
        <v>12099</v>
      </c>
      <c r="AH129" s="55">
        <v>11399</v>
      </c>
      <c r="AI129" s="55">
        <v>11399</v>
      </c>
      <c r="AJ129" s="55">
        <v>11399</v>
      </c>
      <c r="AK129" s="55">
        <v>11399</v>
      </c>
      <c r="AL129" s="55">
        <v>10799</v>
      </c>
      <c r="AM129" s="55"/>
      <c r="AN129" s="55"/>
      <c r="AO129" s="55"/>
      <c r="AP129" s="55"/>
      <c r="AQ129" s="55"/>
      <c r="AR129" s="55"/>
      <c r="AS129" s="55"/>
      <c r="AT129" s="55"/>
      <c r="AU129" s="55"/>
      <c r="AV129" s="57"/>
      <c r="AW129" s="58" t="s">
        <v>67</v>
      </c>
      <c r="AX129" s="59" t="s">
        <v>68</v>
      </c>
      <c r="AY129" s="62">
        <f t="shared" si="3"/>
        <v>250.4598</v>
      </c>
      <c r="AZ129" s="62">
        <f t="shared" si="4"/>
        <v>225.6618</v>
      </c>
      <c r="BA129" s="63">
        <f t="shared" si="5"/>
        <v>127.7097</v>
      </c>
    </row>
    <row r="130" spans="1:53" ht="22.5" customHeight="1">
      <c r="A130" s="51" t="s">
        <v>63</v>
      </c>
      <c r="B130" s="52" t="s">
        <v>64</v>
      </c>
      <c r="C130" s="53">
        <v>4018281</v>
      </c>
      <c r="D130" s="54" t="s">
        <v>218</v>
      </c>
      <c r="E130" s="54" t="s">
        <v>220</v>
      </c>
      <c r="F130" s="55">
        <v>13499</v>
      </c>
      <c r="G130" s="55">
        <v>11299</v>
      </c>
      <c r="H130" s="56">
        <v>12399</v>
      </c>
      <c r="I130" s="56">
        <v>12399</v>
      </c>
      <c r="J130" s="55">
        <v>12299</v>
      </c>
      <c r="K130" s="55">
        <v>12299</v>
      </c>
      <c r="L130" s="55">
        <v>12299</v>
      </c>
      <c r="M130" s="55">
        <v>12299</v>
      </c>
      <c r="N130" s="55">
        <v>12299</v>
      </c>
      <c r="O130" s="55">
        <v>12199</v>
      </c>
      <c r="P130" s="56">
        <v>12099</v>
      </c>
      <c r="Q130" s="56">
        <v>11399</v>
      </c>
      <c r="R130" s="55">
        <v>12199</v>
      </c>
      <c r="S130" s="55">
        <v>12099</v>
      </c>
      <c r="T130" s="56">
        <v>11399</v>
      </c>
      <c r="U130" s="56">
        <v>11399</v>
      </c>
      <c r="V130" s="56">
        <v>11399</v>
      </c>
      <c r="W130" s="56">
        <v>11399</v>
      </c>
      <c r="X130" s="56">
        <v>11299</v>
      </c>
      <c r="Y130" s="56">
        <v>10799</v>
      </c>
      <c r="Z130" s="56">
        <v>10799</v>
      </c>
      <c r="AA130" s="56">
        <v>10499</v>
      </c>
      <c r="AB130" s="55">
        <v>12299</v>
      </c>
      <c r="AC130" s="55">
        <v>12299</v>
      </c>
      <c r="AD130" s="55">
        <v>12299</v>
      </c>
      <c r="AE130" s="55">
        <v>12299</v>
      </c>
      <c r="AF130" s="55">
        <v>12199</v>
      </c>
      <c r="AG130" s="55">
        <v>12099</v>
      </c>
      <c r="AH130" s="55">
        <v>11399</v>
      </c>
      <c r="AI130" s="55">
        <v>11399</v>
      </c>
      <c r="AJ130" s="55">
        <v>11399</v>
      </c>
      <c r="AK130" s="55">
        <v>11399</v>
      </c>
      <c r="AL130" s="55">
        <v>10799</v>
      </c>
      <c r="AM130" s="55"/>
      <c r="AN130" s="55"/>
      <c r="AO130" s="55"/>
      <c r="AP130" s="55"/>
      <c r="AQ130" s="55"/>
      <c r="AR130" s="55"/>
      <c r="AS130" s="55"/>
      <c r="AT130" s="55"/>
      <c r="AU130" s="55"/>
      <c r="AV130" s="57"/>
      <c r="AW130" s="58" t="s">
        <v>67</v>
      </c>
      <c r="AX130" s="59" t="s">
        <v>68</v>
      </c>
      <c r="AY130" s="62">
        <f t="shared" si="3"/>
        <v>250.4598</v>
      </c>
      <c r="AZ130" s="62">
        <f t="shared" si="4"/>
        <v>225.6618</v>
      </c>
      <c r="BA130" s="63">
        <f t="shared" si="5"/>
        <v>127.7097</v>
      </c>
    </row>
    <row r="131" spans="1:53" ht="22.5" customHeight="1">
      <c r="A131" s="51" t="s">
        <v>63</v>
      </c>
      <c r="B131" s="52" t="s">
        <v>64</v>
      </c>
      <c r="C131" s="53">
        <v>4018300</v>
      </c>
      <c r="D131" s="54" t="s">
        <v>218</v>
      </c>
      <c r="E131" s="54" t="s">
        <v>221</v>
      </c>
      <c r="F131" s="55">
        <v>13499</v>
      </c>
      <c r="G131" s="55">
        <v>11299</v>
      </c>
      <c r="H131" s="56">
        <v>12399</v>
      </c>
      <c r="I131" s="56">
        <v>12399</v>
      </c>
      <c r="J131" s="55">
        <v>12299</v>
      </c>
      <c r="K131" s="55">
        <v>12299</v>
      </c>
      <c r="L131" s="55">
        <v>12299</v>
      </c>
      <c r="M131" s="55">
        <v>12299</v>
      </c>
      <c r="N131" s="55">
        <v>12299</v>
      </c>
      <c r="O131" s="55">
        <v>12199</v>
      </c>
      <c r="P131" s="56">
        <v>12099</v>
      </c>
      <c r="Q131" s="56">
        <v>11399</v>
      </c>
      <c r="R131" s="55">
        <v>12199</v>
      </c>
      <c r="S131" s="55">
        <v>12099</v>
      </c>
      <c r="T131" s="56">
        <v>11399</v>
      </c>
      <c r="U131" s="56">
        <v>11399</v>
      </c>
      <c r="V131" s="56">
        <v>11399</v>
      </c>
      <c r="W131" s="56">
        <v>11399</v>
      </c>
      <c r="X131" s="56">
        <v>11299</v>
      </c>
      <c r="Y131" s="56">
        <v>10799</v>
      </c>
      <c r="Z131" s="56">
        <v>10799</v>
      </c>
      <c r="AA131" s="56">
        <v>10499</v>
      </c>
      <c r="AB131" s="55">
        <v>12299</v>
      </c>
      <c r="AC131" s="55">
        <v>12299</v>
      </c>
      <c r="AD131" s="55">
        <v>12299</v>
      </c>
      <c r="AE131" s="55">
        <v>12299</v>
      </c>
      <c r="AF131" s="55">
        <v>12199</v>
      </c>
      <c r="AG131" s="55">
        <v>12099</v>
      </c>
      <c r="AH131" s="55">
        <v>11399</v>
      </c>
      <c r="AI131" s="55">
        <v>11399</v>
      </c>
      <c r="AJ131" s="55">
        <v>11399</v>
      </c>
      <c r="AK131" s="55">
        <v>11399</v>
      </c>
      <c r="AL131" s="55">
        <v>10799</v>
      </c>
      <c r="AM131" s="55"/>
      <c r="AN131" s="55"/>
      <c r="AO131" s="55"/>
      <c r="AP131" s="55"/>
      <c r="AQ131" s="55"/>
      <c r="AR131" s="55"/>
      <c r="AS131" s="55"/>
      <c r="AT131" s="55"/>
      <c r="AU131" s="55"/>
      <c r="AV131" s="57"/>
      <c r="AW131" s="58" t="s">
        <v>67</v>
      </c>
      <c r="AX131" s="59" t="s">
        <v>68</v>
      </c>
      <c r="AY131" s="62">
        <f t="shared" si="3"/>
        <v>250.4598</v>
      </c>
      <c r="AZ131" s="62">
        <f t="shared" si="4"/>
        <v>225.6618</v>
      </c>
      <c r="BA131" s="63">
        <f t="shared" si="5"/>
        <v>127.7097</v>
      </c>
    </row>
    <row r="132" spans="1:53" ht="22.5" customHeight="1">
      <c r="A132" s="51" t="s">
        <v>63</v>
      </c>
      <c r="B132" s="52" t="s">
        <v>64</v>
      </c>
      <c r="C132" s="53">
        <v>4018289</v>
      </c>
      <c r="D132" s="54" t="s">
        <v>222</v>
      </c>
      <c r="E132" s="54" t="s">
        <v>223</v>
      </c>
      <c r="F132" s="55">
        <v>12999</v>
      </c>
      <c r="G132" s="55">
        <v>10899</v>
      </c>
      <c r="H132" s="56">
        <v>11999</v>
      </c>
      <c r="I132" s="56">
        <v>11999</v>
      </c>
      <c r="J132" s="55">
        <v>11899</v>
      </c>
      <c r="K132" s="55">
        <v>11899</v>
      </c>
      <c r="L132" s="55">
        <v>11899</v>
      </c>
      <c r="M132" s="55">
        <v>11899</v>
      </c>
      <c r="N132" s="55">
        <v>11899</v>
      </c>
      <c r="O132" s="55">
        <v>11799</v>
      </c>
      <c r="P132" s="56">
        <v>11699</v>
      </c>
      <c r="Q132" s="56">
        <v>10999</v>
      </c>
      <c r="R132" s="55">
        <v>11799</v>
      </c>
      <c r="S132" s="55">
        <v>11699</v>
      </c>
      <c r="T132" s="56">
        <v>10999</v>
      </c>
      <c r="U132" s="56">
        <v>10999</v>
      </c>
      <c r="V132" s="56">
        <v>10999</v>
      </c>
      <c r="W132" s="56">
        <v>10999</v>
      </c>
      <c r="X132" s="56">
        <v>10899</v>
      </c>
      <c r="Y132" s="56">
        <v>10499</v>
      </c>
      <c r="Z132" s="56">
        <v>10499</v>
      </c>
      <c r="AA132" s="56">
        <v>10299</v>
      </c>
      <c r="AB132" s="55">
        <v>11899</v>
      </c>
      <c r="AC132" s="55">
        <v>11899</v>
      </c>
      <c r="AD132" s="55">
        <v>11899</v>
      </c>
      <c r="AE132" s="55">
        <v>11899</v>
      </c>
      <c r="AF132" s="55">
        <v>11799</v>
      </c>
      <c r="AG132" s="55">
        <v>11699</v>
      </c>
      <c r="AH132" s="55">
        <v>10999</v>
      </c>
      <c r="AI132" s="55">
        <v>10999</v>
      </c>
      <c r="AJ132" s="55">
        <v>10999</v>
      </c>
      <c r="AK132" s="55">
        <v>10999</v>
      </c>
      <c r="AL132" s="55">
        <v>10499</v>
      </c>
      <c r="AM132" s="55"/>
      <c r="AN132" s="55"/>
      <c r="AO132" s="55"/>
      <c r="AP132" s="55"/>
      <c r="AQ132" s="55"/>
      <c r="AR132" s="55"/>
      <c r="AS132" s="55"/>
      <c r="AT132" s="55"/>
      <c r="AU132" s="55"/>
      <c r="AV132" s="57"/>
      <c r="AW132" s="58" t="s">
        <v>67</v>
      </c>
      <c r="AX132" s="59" t="s">
        <v>68</v>
      </c>
      <c r="AY132" s="62">
        <f t="shared" si="3"/>
        <v>242.37979999999999</v>
      </c>
      <c r="AZ132" s="62">
        <f t="shared" si="4"/>
        <v>218.3818</v>
      </c>
      <c r="BA132" s="63">
        <f t="shared" si="5"/>
        <v>123.58970000000001</v>
      </c>
    </row>
    <row r="133" spans="1:53" ht="22.5" customHeight="1">
      <c r="A133" s="51" t="s">
        <v>63</v>
      </c>
      <c r="B133" s="52" t="s">
        <v>64</v>
      </c>
      <c r="C133" s="53">
        <v>4018307</v>
      </c>
      <c r="D133" s="54" t="s">
        <v>222</v>
      </c>
      <c r="E133" s="54" t="s">
        <v>224</v>
      </c>
      <c r="F133" s="55">
        <v>12999</v>
      </c>
      <c r="G133" s="55">
        <v>10899</v>
      </c>
      <c r="H133" s="56">
        <v>11999</v>
      </c>
      <c r="I133" s="56">
        <v>11999</v>
      </c>
      <c r="J133" s="55">
        <v>11899</v>
      </c>
      <c r="K133" s="55">
        <v>11899</v>
      </c>
      <c r="L133" s="55">
        <v>11899</v>
      </c>
      <c r="M133" s="55">
        <v>11899</v>
      </c>
      <c r="N133" s="55">
        <v>11899</v>
      </c>
      <c r="O133" s="55">
        <v>11799</v>
      </c>
      <c r="P133" s="56">
        <v>11699</v>
      </c>
      <c r="Q133" s="56">
        <v>10999</v>
      </c>
      <c r="R133" s="55">
        <v>11799</v>
      </c>
      <c r="S133" s="55">
        <v>11699</v>
      </c>
      <c r="T133" s="56">
        <v>10999</v>
      </c>
      <c r="U133" s="56">
        <v>10999</v>
      </c>
      <c r="V133" s="56">
        <v>10999</v>
      </c>
      <c r="W133" s="56">
        <v>10999</v>
      </c>
      <c r="X133" s="56">
        <v>10899</v>
      </c>
      <c r="Y133" s="56">
        <v>10499</v>
      </c>
      <c r="Z133" s="56">
        <v>10499</v>
      </c>
      <c r="AA133" s="56">
        <v>10299</v>
      </c>
      <c r="AB133" s="55">
        <v>11899</v>
      </c>
      <c r="AC133" s="55">
        <v>11899</v>
      </c>
      <c r="AD133" s="55">
        <v>11899</v>
      </c>
      <c r="AE133" s="55">
        <v>11899</v>
      </c>
      <c r="AF133" s="55">
        <v>11799</v>
      </c>
      <c r="AG133" s="55">
        <v>11699</v>
      </c>
      <c r="AH133" s="55">
        <v>10999</v>
      </c>
      <c r="AI133" s="55">
        <v>10999</v>
      </c>
      <c r="AJ133" s="55">
        <v>10999</v>
      </c>
      <c r="AK133" s="55">
        <v>10999</v>
      </c>
      <c r="AL133" s="55">
        <v>10499</v>
      </c>
      <c r="AM133" s="55"/>
      <c r="AN133" s="55"/>
      <c r="AO133" s="55"/>
      <c r="AP133" s="55"/>
      <c r="AQ133" s="55"/>
      <c r="AR133" s="55"/>
      <c r="AS133" s="55"/>
      <c r="AT133" s="55"/>
      <c r="AU133" s="55"/>
      <c r="AV133" s="57"/>
      <c r="AW133" s="58" t="s">
        <v>67</v>
      </c>
      <c r="AX133" s="59" t="s">
        <v>68</v>
      </c>
      <c r="AY133" s="62">
        <f t="shared" si="3"/>
        <v>242.37979999999999</v>
      </c>
      <c r="AZ133" s="62">
        <f t="shared" si="4"/>
        <v>218.3818</v>
      </c>
      <c r="BA133" s="63">
        <f t="shared" si="5"/>
        <v>123.58970000000001</v>
      </c>
    </row>
    <row r="134" spans="1:53" ht="22.5" customHeight="1">
      <c r="A134" s="51" t="s">
        <v>63</v>
      </c>
      <c r="B134" s="52" t="s">
        <v>64</v>
      </c>
      <c r="C134" s="53">
        <v>4018288</v>
      </c>
      <c r="D134" s="54" t="s">
        <v>222</v>
      </c>
      <c r="E134" s="54" t="s">
        <v>225</v>
      </c>
      <c r="F134" s="55">
        <v>12999</v>
      </c>
      <c r="G134" s="55">
        <v>10899</v>
      </c>
      <c r="H134" s="56">
        <v>11999</v>
      </c>
      <c r="I134" s="56">
        <v>11999</v>
      </c>
      <c r="J134" s="55">
        <v>11899</v>
      </c>
      <c r="K134" s="55">
        <v>11899</v>
      </c>
      <c r="L134" s="55">
        <v>11899</v>
      </c>
      <c r="M134" s="55">
        <v>11899</v>
      </c>
      <c r="N134" s="55">
        <v>11899</v>
      </c>
      <c r="O134" s="55">
        <v>11799</v>
      </c>
      <c r="P134" s="56">
        <v>11699</v>
      </c>
      <c r="Q134" s="56">
        <v>10999</v>
      </c>
      <c r="R134" s="55">
        <v>11799</v>
      </c>
      <c r="S134" s="55">
        <v>11699</v>
      </c>
      <c r="T134" s="56">
        <v>10999</v>
      </c>
      <c r="U134" s="56">
        <v>10999</v>
      </c>
      <c r="V134" s="56">
        <v>10999</v>
      </c>
      <c r="W134" s="56">
        <v>10999</v>
      </c>
      <c r="X134" s="56">
        <v>10899</v>
      </c>
      <c r="Y134" s="56">
        <v>10499</v>
      </c>
      <c r="Z134" s="56">
        <v>10499</v>
      </c>
      <c r="AA134" s="56">
        <v>10299</v>
      </c>
      <c r="AB134" s="55">
        <v>11899</v>
      </c>
      <c r="AC134" s="55">
        <v>11899</v>
      </c>
      <c r="AD134" s="55">
        <v>11899</v>
      </c>
      <c r="AE134" s="55">
        <v>11899</v>
      </c>
      <c r="AF134" s="55">
        <v>11799</v>
      </c>
      <c r="AG134" s="55">
        <v>11699</v>
      </c>
      <c r="AH134" s="55">
        <v>10999</v>
      </c>
      <c r="AI134" s="55">
        <v>10999</v>
      </c>
      <c r="AJ134" s="55">
        <v>10999</v>
      </c>
      <c r="AK134" s="55">
        <v>10999</v>
      </c>
      <c r="AL134" s="55">
        <v>10499</v>
      </c>
      <c r="AM134" s="55"/>
      <c r="AN134" s="55"/>
      <c r="AO134" s="55"/>
      <c r="AP134" s="55"/>
      <c r="AQ134" s="55"/>
      <c r="AR134" s="55"/>
      <c r="AS134" s="55"/>
      <c r="AT134" s="55"/>
      <c r="AU134" s="55"/>
      <c r="AV134" s="57"/>
      <c r="AW134" s="58" t="s">
        <v>67</v>
      </c>
      <c r="AX134" s="59" t="s">
        <v>68</v>
      </c>
      <c r="AY134" s="62">
        <f t="shared" si="3"/>
        <v>242.37979999999999</v>
      </c>
      <c r="AZ134" s="62">
        <f t="shared" si="4"/>
        <v>218.3818</v>
      </c>
      <c r="BA134" s="63">
        <f t="shared" si="5"/>
        <v>123.58970000000001</v>
      </c>
    </row>
    <row r="135" spans="1:53" ht="22.5" customHeight="1">
      <c r="A135" s="51" t="s">
        <v>63</v>
      </c>
      <c r="B135" s="52" t="s">
        <v>64</v>
      </c>
      <c r="C135" s="53">
        <v>4018306</v>
      </c>
      <c r="D135" s="54" t="s">
        <v>222</v>
      </c>
      <c r="E135" s="54" t="s">
        <v>226</v>
      </c>
      <c r="F135" s="55">
        <v>12999</v>
      </c>
      <c r="G135" s="55">
        <v>10899</v>
      </c>
      <c r="H135" s="56">
        <v>11999</v>
      </c>
      <c r="I135" s="56">
        <v>11999</v>
      </c>
      <c r="J135" s="55">
        <v>11899</v>
      </c>
      <c r="K135" s="55">
        <v>11899</v>
      </c>
      <c r="L135" s="55">
        <v>11899</v>
      </c>
      <c r="M135" s="55">
        <v>11899</v>
      </c>
      <c r="N135" s="55">
        <v>11899</v>
      </c>
      <c r="O135" s="55">
        <v>11799</v>
      </c>
      <c r="P135" s="56">
        <v>11699</v>
      </c>
      <c r="Q135" s="56">
        <v>10999</v>
      </c>
      <c r="R135" s="55">
        <v>11799</v>
      </c>
      <c r="S135" s="55">
        <v>11699</v>
      </c>
      <c r="T135" s="56">
        <v>10999</v>
      </c>
      <c r="U135" s="56">
        <v>10999</v>
      </c>
      <c r="V135" s="56">
        <v>10999</v>
      </c>
      <c r="W135" s="56">
        <v>10999</v>
      </c>
      <c r="X135" s="56">
        <v>10899</v>
      </c>
      <c r="Y135" s="56">
        <v>10499</v>
      </c>
      <c r="Z135" s="56">
        <v>10499</v>
      </c>
      <c r="AA135" s="56">
        <v>10299</v>
      </c>
      <c r="AB135" s="55">
        <v>11899</v>
      </c>
      <c r="AC135" s="55">
        <v>11899</v>
      </c>
      <c r="AD135" s="55">
        <v>11899</v>
      </c>
      <c r="AE135" s="55">
        <v>11899</v>
      </c>
      <c r="AF135" s="55">
        <v>11799</v>
      </c>
      <c r="AG135" s="55">
        <v>11699</v>
      </c>
      <c r="AH135" s="55">
        <v>10999</v>
      </c>
      <c r="AI135" s="55">
        <v>10999</v>
      </c>
      <c r="AJ135" s="55">
        <v>10999</v>
      </c>
      <c r="AK135" s="55">
        <v>10999</v>
      </c>
      <c r="AL135" s="55">
        <v>10499</v>
      </c>
      <c r="AM135" s="55"/>
      <c r="AN135" s="55"/>
      <c r="AO135" s="55"/>
      <c r="AP135" s="55"/>
      <c r="AQ135" s="55"/>
      <c r="AR135" s="55"/>
      <c r="AS135" s="55"/>
      <c r="AT135" s="55"/>
      <c r="AU135" s="55"/>
      <c r="AV135" s="57"/>
      <c r="AW135" s="58" t="s">
        <v>67</v>
      </c>
      <c r="AX135" s="59" t="s">
        <v>68</v>
      </c>
      <c r="AY135" s="62">
        <f t="shared" si="3"/>
        <v>242.37979999999999</v>
      </c>
      <c r="AZ135" s="62">
        <f t="shared" si="4"/>
        <v>218.3818</v>
      </c>
      <c r="BA135" s="63">
        <f t="shared" si="5"/>
        <v>123.58970000000001</v>
      </c>
    </row>
    <row r="136" spans="1:53" ht="22.5" customHeight="1">
      <c r="A136" s="51" t="s">
        <v>63</v>
      </c>
      <c r="B136" s="52" t="s">
        <v>64</v>
      </c>
      <c r="C136" s="53">
        <v>4018290</v>
      </c>
      <c r="D136" s="54" t="s">
        <v>227</v>
      </c>
      <c r="E136" s="54" t="s">
        <v>228</v>
      </c>
      <c r="F136" s="55">
        <v>14499</v>
      </c>
      <c r="G136" s="55">
        <v>12299</v>
      </c>
      <c r="H136" s="56">
        <v>13399</v>
      </c>
      <c r="I136" s="56">
        <v>13399</v>
      </c>
      <c r="J136" s="55">
        <v>13299</v>
      </c>
      <c r="K136" s="55">
        <v>13299</v>
      </c>
      <c r="L136" s="55">
        <v>13299</v>
      </c>
      <c r="M136" s="55">
        <v>13299</v>
      </c>
      <c r="N136" s="55">
        <v>13299</v>
      </c>
      <c r="O136" s="55">
        <v>13199</v>
      </c>
      <c r="P136" s="56">
        <v>13099</v>
      </c>
      <c r="Q136" s="56">
        <v>12399</v>
      </c>
      <c r="R136" s="55">
        <v>13199</v>
      </c>
      <c r="S136" s="55">
        <v>13099</v>
      </c>
      <c r="T136" s="56">
        <v>12399</v>
      </c>
      <c r="U136" s="56">
        <v>12399</v>
      </c>
      <c r="V136" s="56">
        <v>12399</v>
      </c>
      <c r="W136" s="56">
        <v>12399</v>
      </c>
      <c r="X136" s="56">
        <v>12299</v>
      </c>
      <c r="Y136" s="56">
        <v>11699</v>
      </c>
      <c r="Z136" s="56">
        <v>11699</v>
      </c>
      <c r="AA136" s="56">
        <v>11499</v>
      </c>
      <c r="AB136" s="55">
        <v>13299</v>
      </c>
      <c r="AC136" s="55">
        <v>13299</v>
      </c>
      <c r="AD136" s="55">
        <v>13299</v>
      </c>
      <c r="AE136" s="55">
        <v>13299</v>
      </c>
      <c r="AF136" s="55">
        <v>13199</v>
      </c>
      <c r="AG136" s="55">
        <v>13099</v>
      </c>
      <c r="AH136" s="55">
        <v>12399</v>
      </c>
      <c r="AI136" s="55">
        <v>12399</v>
      </c>
      <c r="AJ136" s="55">
        <v>12399</v>
      </c>
      <c r="AK136" s="55">
        <v>12399</v>
      </c>
      <c r="AL136" s="55">
        <v>11699</v>
      </c>
      <c r="AM136" s="55"/>
      <c r="AN136" s="55"/>
      <c r="AO136" s="55"/>
      <c r="AP136" s="55"/>
      <c r="AQ136" s="55"/>
      <c r="AR136" s="55"/>
      <c r="AS136" s="55"/>
      <c r="AT136" s="55"/>
      <c r="AU136" s="55"/>
      <c r="AV136" s="57"/>
      <c r="AW136" s="58" t="s">
        <v>67</v>
      </c>
      <c r="AX136" s="59" t="s">
        <v>68</v>
      </c>
      <c r="AY136" s="62">
        <f t="shared" si="3"/>
        <v>270.65979999999996</v>
      </c>
      <c r="AZ136" s="62">
        <f t="shared" si="4"/>
        <v>243.86180000000002</v>
      </c>
      <c r="BA136" s="63">
        <f t="shared" si="5"/>
        <v>138.00970000000001</v>
      </c>
    </row>
    <row r="137" spans="1:53" ht="22.5" customHeight="1">
      <c r="A137" s="51" t="s">
        <v>63</v>
      </c>
      <c r="B137" s="52" t="s">
        <v>64</v>
      </c>
      <c r="C137" s="53">
        <v>4018308</v>
      </c>
      <c r="D137" s="54" t="s">
        <v>227</v>
      </c>
      <c r="E137" s="54" t="s">
        <v>229</v>
      </c>
      <c r="F137" s="55">
        <v>14499</v>
      </c>
      <c r="G137" s="55">
        <v>12299</v>
      </c>
      <c r="H137" s="56">
        <v>13399</v>
      </c>
      <c r="I137" s="56">
        <v>13399</v>
      </c>
      <c r="J137" s="55">
        <v>13299</v>
      </c>
      <c r="K137" s="55">
        <v>13299</v>
      </c>
      <c r="L137" s="55">
        <v>13299</v>
      </c>
      <c r="M137" s="55">
        <v>13299</v>
      </c>
      <c r="N137" s="55">
        <v>13299</v>
      </c>
      <c r="O137" s="55">
        <v>13199</v>
      </c>
      <c r="P137" s="56">
        <v>13099</v>
      </c>
      <c r="Q137" s="56">
        <v>12399</v>
      </c>
      <c r="R137" s="55">
        <v>13199</v>
      </c>
      <c r="S137" s="55">
        <v>13099</v>
      </c>
      <c r="T137" s="56">
        <v>12399</v>
      </c>
      <c r="U137" s="56">
        <v>12399</v>
      </c>
      <c r="V137" s="56">
        <v>12399</v>
      </c>
      <c r="W137" s="56">
        <v>12399</v>
      </c>
      <c r="X137" s="56">
        <v>12299</v>
      </c>
      <c r="Y137" s="56">
        <v>11699</v>
      </c>
      <c r="Z137" s="56">
        <v>11699</v>
      </c>
      <c r="AA137" s="56">
        <v>11499</v>
      </c>
      <c r="AB137" s="55">
        <v>13299</v>
      </c>
      <c r="AC137" s="55">
        <v>13299</v>
      </c>
      <c r="AD137" s="55">
        <v>13299</v>
      </c>
      <c r="AE137" s="55">
        <v>13299</v>
      </c>
      <c r="AF137" s="55">
        <v>13199</v>
      </c>
      <c r="AG137" s="55">
        <v>13099</v>
      </c>
      <c r="AH137" s="55">
        <v>12399</v>
      </c>
      <c r="AI137" s="55">
        <v>12399</v>
      </c>
      <c r="AJ137" s="55">
        <v>12399</v>
      </c>
      <c r="AK137" s="55">
        <v>12399</v>
      </c>
      <c r="AL137" s="55">
        <v>11699</v>
      </c>
      <c r="AM137" s="55"/>
      <c r="AN137" s="55"/>
      <c r="AO137" s="55"/>
      <c r="AP137" s="55"/>
      <c r="AQ137" s="55"/>
      <c r="AR137" s="55"/>
      <c r="AS137" s="55"/>
      <c r="AT137" s="55"/>
      <c r="AU137" s="55"/>
      <c r="AV137" s="57"/>
      <c r="AW137" s="58" t="s">
        <v>67</v>
      </c>
      <c r="AX137" s="59" t="s">
        <v>68</v>
      </c>
      <c r="AY137" s="62">
        <f t="shared" si="3"/>
        <v>270.65979999999996</v>
      </c>
      <c r="AZ137" s="62">
        <f t="shared" si="4"/>
        <v>243.86180000000002</v>
      </c>
      <c r="BA137" s="63">
        <f t="shared" si="5"/>
        <v>138.00970000000001</v>
      </c>
    </row>
    <row r="138" spans="1:53" ht="22.5" customHeight="1">
      <c r="A138" s="51" t="s">
        <v>63</v>
      </c>
      <c r="B138" s="52" t="s">
        <v>64</v>
      </c>
      <c r="C138" s="53">
        <v>4018291</v>
      </c>
      <c r="D138" s="54" t="s">
        <v>227</v>
      </c>
      <c r="E138" s="54" t="s">
        <v>230</v>
      </c>
      <c r="F138" s="55">
        <v>14499</v>
      </c>
      <c r="G138" s="55">
        <v>12299</v>
      </c>
      <c r="H138" s="56">
        <v>13399</v>
      </c>
      <c r="I138" s="56">
        <v>13399</v>
      </c>
      <c r="J138" s="55">
        <v>13299</v>
      </c>
      <c r="K138" s="55">
        <v>13299</v>
      </c>
      <c r="L138" s="55">
        <v>13299</v>
      </c>
      <c r="M138" s="55">
        <v>13299</v>
      </c>
      <c r="N138" s="55">
        <v>13299</v>
      </c>
      <c r="O138" s="55">
        <v>13199</v>
      </c>
      <c r="P138" s="56">
        <v>13099</v>
      </c>
      <c r="Q138" s="56">
        <v>12399</v>
      </c>
      <c r="R138" s="55">
        <v>13199</v>
      </c>
      <c r="S138" s="55">
        <v>13099</v>
      </c>
      <c r="T138" s="56">
        <v>12399</v>
      </c>
      <c r="U138" s="56">
        <v>12399</v>
      </c>
      <c r="V138" s="56">
        <v>12399</v>
      </c>
      <c r="W138" s="56">
        <v>12399</v>
      </c>
      <c r="X138" s="56">
        <v>12299</v>
      </c>
      <c r="Y138" s="56">
        <v>11699</v>
      </c>
      <c r="Z138" s="56">
        <v>11699</v>
      </c>
      <c r="AA138" s="56">
        <v>11499</v>
      </c>
      <c r="AB138" s="55">
        <v>13299</v>
      </c>
      <c r="AC138" s="55">
        <v>13299</v>
      </c>
      <c r="AD138" s="55">
        <v>13299</v>
      </c>
      <c r="AE138" s="55">
        <v>13299</v>
      </c>
      <c r="AF138" s="55">
        <v>13199</v>
      </c>
      <c r="AG138" s="55">
        <v>13099</v>
      </c>
      <c r="AH138" s="55">
        <v>12399</v>
      </c>
      <c r="AI138" s="55">
        <v>12399</v>
      </c>
      <c r="AJ138" s="55">
        <v>12399</v>
      </c>
      <c r="AK138" s="55">
        <v>12399</v>
      </c>
      <c r="AL138" s="55">
        <v>11699</v>
      </c>
      <c r="AM138" s="55"/>
      <c r="AN138" s="55"/>
      <c r="AO138" s="55"/>
      <c r="AP138" s="55"/>
      <c r="AQ138" s="55"/>
      <c r="AR138" s="55"/>
      <c r="AS138" s="55"/>
      <c r="AT138" s="55"/>
      <c r="AU138" s="55"/>
      <c r="AV138" s="57"/>
      <c r="AW138" s="58" t="s">
        <v>67</v>
      </c>
      <c r="AX138" s="59" t="s">
        <v>68</v>
      </c>
      <c r="AY138" s="62">
        <f t="shared" si="3"/>
        <v>270.65979999999996</v>
      </c>
      <c r="AZ138" s="62">
        <f t="shared" si="4"/>
        <v>243.86180000000002</v>
      </c>
      <c r="BA138" s="63">
        <f t="shared" si="5"/>
        <v>138.00970000000001</v>
      </c>
    </row>
    <row r="139" spans="1:53" ht="22.5" customHeight="1">
      <c r="A139" s="51" t="s">
        <v>63</v>
      </c>
      <c r="B139" s="52" t="s">
        <v>64</v>
      </c>
      <c r="C139" s="53">
        <v>4018309</v>
      </c>
      <c r="D139" s="54" t="s">
        <v>227</v>
      </c>
      <c r="E139" s="54" t="s">
        <v>231</v>
      </c>
      <c r="F139" s="55">
        <v>14499</v>
      </c>
      <c r="G139" s="55">
        <v>12299</v>
      </c>
      <c r="H139" s="56">
        <v>13399</v>
      </c>
      <c r="I139" s="56">
        <v>13399</v>
      </c>
      <c r="J139" s="55">
        <v>13299</v>
      </c>
      <c r="K139" s="55">
        <v>13299</v>
      </c>
      <c r="L139" s="55">
        <v>13299</v>
      </c>
      <c r="M139" s="55">
        <v>13299</v>
      </c>
      <c r="N139" s="55">
        <v>13299</v>
      </c>
      <c r="O139" s="55">
        <v>13199</v>
      </c>
      <c r="P139" s="56">
        <v>13099</v>
      </c>
      <c r="Q139" s="56">
        <v>12399</v>
      </c>
      <c r="R139" s="55">
        <v>13199</v>
      </c>
      <c r="S139" s="55">
        <v>13099</v>
      </c>
      <c r="T139" s="56">
        <v>12399</v>
      </c>
      <c r="U139" s="56">
        <v>12399</v>
      </c>
      <c r="V139" s="56">
        <v>12399</v>
      </c>
      <c r="W139" s="56">
        <v>12399</v>
      </c>
      <c r="X139" s="56">
        <v>12299</v>
      </c>
      <c r="Y139" s="56">
        <v>11699</v>
      </c>
      <c r="Z139" s="56">
        <v>11699</v>
      </c>
      <c r="AA139" s="56">
        <v>11499</v>
      </c>
      <c r="AB139" s="55">
        <v>13299</v>
      </c>
      <c r="AC139" s="55">
        <v>13299</v>
      </c>
      <c r="AD139" s="55">
        <v>13299</v>
      </c>
      <c r="AE139" s="55">
        <v>13299</v>
      </c>
      <c r="AF139" s="55">
        <v>13199</v>
      </c>
      <c r="AG139" s="55">
        <v>13099</v>
      </c>
      <c r="AH139" s="55">
        <v>12399</v>
      </c>
      <c r="AI139" s="55">
        <v>12399</v>
      </c>
      <c r="AJ139" s="55">
        <v>12399</v>
      </c>
      <c r="AK139" s="55">
        <v>12399</v>
      </c>
      <c r="AL139" s="55">
        <v>11699</v>
      </c>
      <c r="AM139" s="55"/>
      <c r="AN139" s="55"/>
      <c r="AO139" s="55"/>
      <c r="AP139" s="55"/>
      <c r="AQ139" s="55"/>
      <c r="AR139" s="55"/>
      <c r="AS139" s="55"/>
      <c r="AT139" s="55"/>
      <c r="AU139" s="55"/>
      <c r="AV139" s="57"/>
      <c r="AW139" s="58" t="s">
        <v>67</v>
      </c>
      <c r="AX139" s="59" t="s">
        <v>68</v>
      </c>
      <c r="AY139" s="62">
        <f t="shared" si="3"/>
        <v>270.65979999999996</v>
      </c>
      <c r="AZ139" s="62">
        <f t="shared" si="4"/>
        <v>243.86180000000002</v>
      </c>
      <c r="BA139" s="63">
        <f t="shared" si="5"/>
        <v>138.00970000000001</v>
      </c>
    </row>
    <row r="140" spans="1:53" ht="22.5" customHeight="1">
      <c r="A140" s="51" t="s">
        <v>63</v>
      </c>
      <c r="B140" s="52" t="s">
        <v>64</v>
      </c>
      <c r="C140" s="53">
        <v>4017020</v>
      </c>
      <c r="D140" s="54" t="s">
        <v>232</v>
      </c>
      <c r="E140" s="54" t="s">
        <v>233</v>
      </c>
      <c r="F140" s="55">
        <v>4999</v>
      </c>
      <c r="G140" s="55">
        <v>2399</v>
      </c>
      <c r="H140" s="56">
        <v>3399</v>
      </c>
      <c r="I140" s="56">
        <v>3399</v>
      </c>
      <c r="J140" s="56">
        <v>2499</v>
      </c>
      <c r="K140" s="56">
        <v>2299</v>
      </c>
      <c r="L140" s="56">
        <v>2299</v>
      </c>
      <c r="M140" s="56">
        <v>2499</v>
      </c>
      <c r="N140" s="56">
        <v>2299</v>
      </c>
      <c r="O140" s="56">
        <v>2199</v>
      </c>
      <c r="P140" s="56">
        <v>2099</v>
      </c>
      <c r="Q140" s="56">
        <v>1799</v>
      </c>
      <c r="R140" s="56">
        <v>2199</v>
      </c>
      <c r="S140" s="56">
        <v>2099</v>
      </c>
      <c r="T140" s="56">
        <v>1799</v>
      </c>
      <c r="U140" s="56">
        <v>1799</v>
      </c>
      <c r="V140" s="56">
        <v>1799</v>
      </c>
      <c r="W140" s="56">
        <v>1799</v>
      </c>
      <c r="X140" s="56">
        <v>1699</v>
      </c>
      <c r="Y140" s="56">
        <v>1299</v>
      </c>
      <c r="Z140" s="56">
        <v>1299</v>
      </c>
      <c r="AA140" s="56">
        <v>1299</v>
      </c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7"/>
      <c r="AW140" s="58" t="s">
        <v>67</v>
      </c>
      <c r="AX140" s="59" t="s">
        <v>68</v>
      </c>
      <c r="AY140" s="60">
        <f t="shared" si="3"/>
        <v>68.659800000000004</v>
      </c>
      <c r="AZ140" s="60">
        <f t="shared" si="4"/>
        <v>61.861800000000002</v>
      </c>
      <c r="BA140" s="61">
        <f t="shared" si="5"/>
        <v>35.009700000000002</v>
      </c>
    </row>
    <row r="141" spans="1:53" ht="22.5" customHeight="1">
      <c r="A141" s="51" t="s">
        <v>63</v>
      </c>
      <c r="B141" s="52" t="s">
        <v>64</v>
      </c>
      <c r="C141" s="53">
        <v>4017022</v>
      </c>
      <c r="D141" s="54" t="s">
        <v>232</v>
      </c>
      <c r="E141" s="54" t="s">
        <v>234</v>
      </c>
      <c r="F141" s="55">
        <v>4999</v>
      </c>
      <c r="G141" s="55">
        <v>2399</v>
      </c>
      <c r="H141" s="56">
        <v>3399</v>
      </c>
      <c r="I141" s="56">
        <v>3399</v>
      </c>
      <c r="J141" s="56">
        <v>2499</v>
      </c>
      <c r="K141" s="56">
        <v>2299</v>
      </c>
      <c r="L141" s="56">
        <v>2299</v>
      </c>
      <c r="M141" s="56">
        <v>2499</v>
      </c>
      <c r="N141" s="56">
        <v>2299</v>
      </c>
      <c r="O141" s="56">
        <v>2199</v>
      </c>
      <c r="P141" s="56">
        <v>2099</v>
      </c>
      <c r="Q141" s="56">
        <v>1799</v>
      </c>
      <c r="R141" s="56">
        <v>2199</v>
      </c>
      <c r="S141" s="56">
        <v>2099</v>
      </c>
      <c r="T141" s="56">
        <v>1799</v>
      </c>
      <c r="U141" s="56">
        <v>1799</v>
      </c>
      <c r="V141" s="56">
        <v>1799</v>
      </c>
      <c r="W141" s="56">
        <v>1799</v>
      </c>
      <c r="X141" s="56">
        <v>1699</v>
      </c>
      <c r="Y141" s="56">
        <v>1299</v>
      </c>
      <c r="Z141" s="56">
        <v>1299</v>
      </c>
      <c r="AA141" s="56">
        <v>1299</v>
      </c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7"/>
      <c r="AW141" s="58" t="s">
        <v>67</v>
      </c>
      <c r="AX141" s="59" t="s">
        <v>68</v>
      </c>
      <c r="AY141" s="60">
        <f t="shared" si="3"/>
        <v>68.659800000000004</v>
      </c>
      <c r="AZ141" s="60">
        <f t="shared" si="4"/>
        <v>61.861800000000002</v>
      </c>
      <c r="BA141" s="61">
        <f t="shared" si="5"/>
        <v>35.009700000000002</v>
      </c>
    </row>
    <row r="142" spans="1:53" ht="22.5" customHeight="1">
      <c r="A142" s="51" t="s">
        <v>63</v>
      </c>
      <c r="B142" s="52" t="s">
        <v>64</v>
      </c>
      <c r="C142" s="53">
        <v>4017045</v>
      </c>
      <c r="D142" s="54" t="s">
        <v>235</v>
      </c>
      <c r="E142" s="54" t="s">
        <v>236</v>
      </c>
      <c r="F142" s="55">
        <v>3199</v>
      </c>
      <c r="G142" s="56">
        <v>999</v>
      </c>
      <c r="H142" s="56">
        <v>1919</v>
      </c>
      <c r="I142" s="56">
        <v>1919</v>
      </c>
      <c r="J142" s="56">
        <v>1499</v>
      </c>
      <c r="K142" s="56">
        <v>1499</v>
      </c>
      <c r="L142" s="56">
        <v>1499</v>
      </c>
      <c r="M142" s="56">
        <v>1499</v>
      </c>
      <c r="N142" s="56">
        <v>1499</v>
      </c>
      <c r="O142" s="56">
        <v>1449</v>
      </c>
      <c r="P142" s="56">
        <v>1399</v>
      </c>
      <c r="Q142" s="56">
        <v>799</v>
      </c>
      <c r="R142" s="56">
        <v>1449</v>
      </c>
      <c r="S142" s="56">
        <v>1399</v>
      </c>
      <c r="T142" s="56">
        <v>799</v>
      </c>
      <c r="U142" s="56">
        <v>799</v>
      </c>
      <c r="V142" s="56">
        <v>799</v>
      </c>
      <c r="W142" s="56">
        <v>799</v>
      </c>
      <c r="X142" s="56">
        <v>799</v>
      </c>
      <c r="Y142" s="56">
        <v>699</v>
      </c>
      <c r="Z142" s="56">
        <v>699</v>
      </c>
      <c r="AA142" s="56">
        <v>699</v>
      </c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7"/>
      <c r="AW142" s="58" t="s">
        <v>67</v>
      </c>
      <c r="AX142" s="59" t="s">
        <v>68</v>
      </c>
      <c r="AY142" s="60">
        <f t="shared" si="3"/>
        <v>38.763799999999996</v>
      </c>
      <c r="AZ142" s="60">
        <f t="shared" si="4"/>
        <v>34.925800000000002</v>
      </c>
      <c r="BA142" s="61">
        <f t="shared" si="5"/>
        <v>19.765699999999999</v>
      </c>
    </row>
    <row r="143" spans="1:53" ht="22.5" customHeight="1">
      <c r="A143" s="51" t="s">
        <v>63</v>
      </c>
      <c r="B143" s="52" t="s">
        <v>64</v>
      </c>
      <c r="C143" s="53">
        <v>4017047</v>
      </c>
      <c r="D143" s="54" t="s">
        <v>235</v>
      </c>
      <c r="E143" s="54" t="s">
        <v>237</v>
      </c>
      <c r="F143" s="55">
        <v>3199</v>
      </c>
      <c r="G143" s="56">
        <v>999</v>
      </c>
      <c r="H143" s="56">
        <v>1919</v>
      </c>
      <c r="I143" s="56">
        <v>1919</v>
      </c>
      <c r="J143" s="56">
        <v>1499</v>
      </c>
      <c r="K143" s="56">
        <v>1499</v>
      </c>
      <c r="L143" s="56">
        <v>1499</v>
      </c>
      <c r="M143" s="56">
        <v>1499</v>
      </c>
      <c r="N143" s="56">
        <v>1499</v>
      </c>
      <c r="O143" s="56">
        <v>1449</v>
      </c>
      <c r="P143" s="56">
        <v>1399</v>
      </c>
      <c r="Q143" s="56">
        <v>799</v>
      </c>
      <c r="R143" s="56">
        <v>1449</v>
      </c>
      <c r="S143" s="56">
        <v>1399</v>
      </c>
      <c r="T143" s="56">
        <v>799</v>
      </c>
      <c r="U143" s="56">
        <v>799</v>
      </c>
      <c r="V143" s="56">
        <v>799</v>
      </c>
      <c r="W143" s="56">
        <v>799</v>
      </c>
      <c r="X143" s="56">
        <v>799</v>
      </c>
      <c r="Y143" s="56">
        <v>699</v>
      </c>
      <c r="Z143" s="56">
        <v>699</v>
      </c>
      <c r="AA143" s="56">
        <v>699</v>
      </c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7"/>
      <c r="AW143" s="58" t="s">
        <v>67</v>
      </c>
      <c r="AX143" s="59" t="s">
        <v>68</v>
      </c>
      <c r="AY143" s="60">
        <f t="shared" si="3"/>
        <v>38.763799999999996</v>
      </c>
      <c r="AZ143" s="60">
        <f t="shared" si="4"/>
        <v>34.925800000000002</v>
      </c>
      <c r="BA143" s="61">
        <f t="shared" si="5"/>
        <v>19.765699999999999</v>
      </c>
    </row>
    <row r="144" spans="1:53" ht="22.5" customHeight="1">
      <c r="A144" s="51" t="s">
        <v>63</v>
      </c>
      <c r="B144" s="52" t="s">
        <v>64</v>
      </c>
      <c r="C144" s="53">
        <v>4017758</v>
      </c>
      <c r="D144" s="54" t="s">
        <v>238</v>
      </c>
      <c r="E144" s="54" t="s">
        <v>239</v>
      </c>
      <c r="F144" s="55">
        <v>3999</v>
      </c>
      <c r="G144" s="55">
        <v>1999</v>
      </c>
      <c r="H144" s="55">
        <v>2799</v>
      </c>
      <c r="I144" s="55">
        <v>2799</v>
      </c>
      <c r="J144" s="55">
        <v>2699</v>
      </c>
      <c r="K144" s="55">
        <v>2699</v>
      </c>
      <c r="L144" s="55">
        <v>2699</v>
      </c>
      <c r="M144" s="55">
        <v>2699</v>
      </c>
      <c r="N144" s="55">
        <v>2699</v>
      </c>
      <c r="O144" s="55">
        <v>2599</v>
      </c>
      <c r="P144" s="55">
        <v>2499</v>
      </c>
      <c r="Q144" s="55">
        <v>1999</v>
      </c>
      <c r="R144" s="55">
        <v>2599</v>
      </c>
      <c r="S144" s="55">
        <v>2499</v>
      </c>
      <c r="T144" s="55">
        <v>1999</v>
      </c>
      <c r="U144" s="55">
        <v>1999</v>
      </c>
      <c r="V144" s="55">
        <v>1999</v>
      </c>
      <c r="W144" s="55">
        <v>1999</v>
      </c>
      <c r="X144" s="55">
        <v>1899</v>
      </c>
      <c r="Y144" s="55">
        <v>1499</v>
      </c>
      <c r="Z144" s="55">
        <v>1499</v>
      </c>
      <c r="AA144" s="55">
        <v>1399</v>
      </c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7"/>
      <c r="AW144" s="58" t="s">
        <v>67</v>
      </c>
      <c r="AX144" s="59" t="s">
        <v>68</v>
      </c>
      <c r="AY144" s="62">
        <f t="shared" si="3"/>
        <v>56.5398</v>
      </c>
      <c r="AZ144" s="62">
        <f t="shared" si="4"/>
        <v>50.941800000000001</v>
      </c>
      <c r="BA144" s="63">
        <f t="shared" si="5"/>
        <v>28.829699999999999</v>
      </c>
    </row>
    <row r="145" spans="1:53" ht="22.5" customHeight="1">
      <c r="A145" s="51" t="s">
        <v>63</v>
      </c>
      <c r="B145" s="52" t="s">
        <v>64</v>
      </c>
      <c r="C145" s="53">
        <v>4017773</v>
      </c>
      <c r="D145" s="54" t="s">
        <v>238</v>
      </c>
      <c r="E145" s="54" t="s">
        <v>240</v>
      </c>
      <c r="F145" s="55">
        <v>3999</v>
      </c>
      <c r="G145" s="55">
        <v>1999</v>
      </c>
      <c r="H145" s="55">
        <v>2799</v>
      </c>
      <c r="I145" s="55">
        <v>2799</v>
      </c>
      <c r="J145" s="55">
        <v>2699</v>
      </c>
      <c r="K145" s="55">
        <v>2699</v>
      </c>
      <c r="L145" s="55">
        <v>2699</v>
      </c>
      <c r="M145" s="55">
        <v>2699</v>
      </c>
      <c r="N145" s="55">
        <v>2699</v>
      </c>
      <c r="O145" s="55">
        <v>2599</v>
      </c>
      <c r="P145" s="55">
        <v>2499</v>
      </c>
      <c r="Q145" s="55">
        <v>1999</v>
      </c>
      <c r="R145" s="55">
        <v>2599</v>
      </c>
      <c r="S145" s="55">
        <v>2499</v>
      </c>
      <c r="T145" s="55">
        <v>1999</v>
      </c>
      <c r="U145" s="55">
        <v>1999</v>
      </c>
      <c r="V145" s="55">
        <v>1999</v>
      </c>
      <c r="W145" s="55">
        <v>1999</v>
      </c>
      <c r="X145" s="55">
        <v>1899</v>
      </c>
      <c r="Y145" s="55">
        <v>1499</v>
      </c>
      <c r="Z145" s="55">
        <v>1499</v>
      </c>
      <c r="AA145" s="55">
        <v>1399</v>
      </c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7"/>
      <c r="AW145" s="58" t="s">
        <v>67</v>
      </c>
      <c r="AX145" s="59" t="s">
        <v>68</v>
      </c>
      <c r="AY145" s="62">
        <f t="shared" si="3"/>
        <v>56.5398</v>
      </c>
      <c r="AZ145" s="62">
        <f t="shared" si="4"/>
        <v>50.941800000000001</v>
      </c>
      <c r="BA145" s="63">
        <f t="shared" si="5"/>
        <v>28.829699999999999</v>
      </c>
    </row>
    <row r="146" spans="1:53" ht="22.5" customHeight="1">
      <c r="A146" s="64" t="s">
        <v>241</v>
      </c>
      <c r="B146" s="52" t="s">
        <v>64</v>
      </c>
      <c r="C146" s="53">
        <v>4017737</v>
      </c>
      <c r="D146" s="54" t="s">
        <v>242</v>
      </c>
      <c r="E146" s="54" t="s">
        <v>243</v>
      </c>
      <c r="F146" s="55">
        <v>2299</v>
      </c>
      <c r="G146" s="55">
        <v>1599</v>
      </c>
      <c r="H146" s="55">
        <v>1599</v>
      </c>
      <c r="I146" s="55">
        <v>1599</v>
      </c>
      <c r="J146" s="55">
        <v>1399</v>
      </c>
      <c r="K146" s="55">
        <v>1399</v>
      </c>
      <c r="L146" s="55">
        <v>1399</v>
      </c>
      <c r="M146" s="55">
        <v>1399</v>
      </c>
      <c r="N146" s="55">
        <v>1399</v>
      </c>
      <c r="O146" s="55">
        <v>1299</v>
      </c>
      <c r="P146" s="55">
        <v>1249</v>
      </c>
      <c r="Q146" s="55">
        <v>1199</v>
      </c>
      <c r="R146" s="55">
        <v>1299</v>
      </c>
      <c r="S146" s="55">
        <v>1249</v>
      </c>
      <c r="T146" s="55">
        <v>1199</v>
      </c>
      <c r="U146" s="55">
        <v>1199</v>
      </c>
      <c r="V146" s="55">
        <v>1199</v>
      </c>
      <c r="W146" s="55">
        <v>1199</v>
      </c>
      <c r="X146" s="55">
        <v>1199</v>
      </c>
      <c r="Y146" s="55">
        <v>1199</v>
      </c>
      <c r="Z146" s="55">
        <v>1199</v>
      </c>
      <c r="AA146" s="55">
        <v>1199</v>
      </c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7"/>
      <c r="AW146" s="58" t="s">
        <v>67</v>
      </c>
      <c r="AX146" s="59" t="s">
        <v>68</v>
      </c>
      <c r="AY146" s="60">
        <f t="shared" si="3"/>
        <v>32.299799999999998</v>
      </c>
      <c r="AZ146" s="60">
        <f t="shared" si="4"/>
        <v>29.101800000000001</v>
      </c>
      <c r="BA146" s="61">
        <f t="shared" si="5"/>
        <v>16.4697</v>
      </c>
    </row>
    <row r="147" spans="1:53" ht="22.5" customHeight="1">
      <c r="A147" s="64" t="s">
        <v>241</v>
      </c>
      <c r="B147" s="52" t="s">
        <v>64</v>
      </c>
      <c r="C147" s="53">
        <v>4017770</v>
      </c>
      <c r="D147" s="54" t="s">
        <v>242</v>
      </c>
      <c r="E147" s="54" t="s">
        <v>244</v>
      </c>
      <c r="F147" s="55">
        <v>2299</v>
      </c>
      <c r="G147" s="55">
        <v>1599</v>
      </c>
      <c r="H147" s="55">
        <v>1599</v>
      </c>
      <c r="I147" s="55">
        <v>1599</v>
      </c>
      <c r="J147" s="55">
        <v>1399</v>
      </c>
      <c r="K147" s="55">
        <v>1399</v>
      </c>
      <c r="L147" s="55">
        <v>1399</v>
      </c>
      <c r="M147" s="55">
        <v>1399</v>
      </c>
      <c r="N147" s="55">
        <v>1399</v>
      </c>
      <c r="O147" s="55">
        <v>1299</v>
      </c>
      <c r="P147" s="55">
        <v>1249</v>
      </c>
      <c r="Q147" s="55">
        <v>1199</v>
      </c>
      <c r="R147" s="55">
        <v>1299</v>
      </c>
      <c r="S147" s="55">
        <v>1249</v>
      </c>
      <c r="T147" s="55">
        <v>1199</v>
      </c>
      <c r="U147" s="55">
        <v>1199</v>
      </c>
      <c r="V147" s="55">
        <v>1199</v>
      </c>
      <c r="W147" s="55">
        <v>1199</v>
      </c>
      <c r="X147" s="55">
        <v>1199</v>
      </c>
      <c r="Y147" s="55">
        <v>1199</v>
      </c>
      <c r="Z147" s="55">
        <v>1199</v>
      </c>
      <c r="AA147" s="55">
        <v>1199</v>
      </c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7"/>
      <c r="AW147" s="58" t="s">
        <v>67</v>
      </c>
      <c r="AX147" s="59" t="s">
        <v>68</v>
      </c>
      <c r="AY147" s="60">
        <f t="shared" si="3"/>
        <v>32.299799999999998</v>
      </c>
      <c r="AZ147" s="60">
        <f t="shared" si="4"/>
        <v>29.101800000000001</v>
      </c>
      <c r="BA147" s="61">
        <f t="shared" si="5"/>
        <v>16.4697</v>
      </c>
    </row>
    <row r="148" spans="1:53" ht="22.5" customHeight="1">
      <c r="A148" s="64" t="s">
        <v>241</v>
      </c>
      <c r="B148" s="52" t="s">
        <v>64</v>
      </c>
      <c r="C148" s="53">
        <v>4018220</v>
      </c>
      <c r="D148" s="54" t="s">
        <v>245</v>
      </c>
      <c r="E148" s="54" t="s">
        <v>246</v>
      </c>
      <c r="F148" s="55">
        <v>1699</v>
      </c>
      <c r="G148" s="55">
        <v>1149</v>
      </c>
      <c r="H148" s="55">
        <v>1149</v>
      </c>
      <c r="I148" s="55">
        <v>1149</v>
      </c>
      <c r="J148" s="55">
        <v>999</v>
      </c>
      <c r="K148" s="55">
        <v>999</v>
      </c>
      <c r="L148" s="55">
        <v>999</v>
      </c>
      <c r="M148" s="55">
        <v>999</v>
      </c>
      <c r="N148" s="55">
        <v>999</v>
      </c>
      <c r="O148" s="55">
        <v>899</v>
      </c>
      <c r="P148" s="55">
        <v>899</v>
      </c>
      <c r="Q148" s="55">
        <v>799</v>
      </c>
      <c r="R148" s="55">
        <v>899</v>
      </c>
      <c r="S148" s="55">
        <v>899</v>
      </c>
      <c r="T148" s="55">
        <v>799</v>
      </c>
      <c r="U148" s="55">
        <v>799</v>
      </c>
      <c r="V148" s="55">
        <v>799</v>
      </c>
      <c r="W148" s="55">
        <v>799</v>
      </c>
      <c r="X148" s="55">
        <v>799</v>
      </c>
      <c r="Y148" s="55">
        <v>799</v>
      </c>
      <c r="Z148" s="55">
        <v>799</v>
      </c>
      <c r="AA148" s="55">
        <v>799</v>
      </c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7"/>
      <c r="AW148" s="58" t="s">
        <v>67</v>
      </c>
      <c r="AX148" s="59" t="s">
        <v>247</v>
      </c>
      <c r="AY148" s="62">
        <f t="shared" si="3"/>
        <v>23.209799999999998</v>
      </c>
      <c r="AZ148" s="62">
        <f t="shared" si="4"/>
        <v>20.911799999999999</v>
      </c>
      <c r="BA148" s="63">
        <f t="shared" si="5"/>
        <v>11.8347</v>
      </c>
    </row>
    <row r="149" spans="1:53" ht="22.5" customHeight="1">
      <c r="A149" s="64" t="s">
        <v>241</v>
      </c>
      <c r="B149" s="52" t="s">
        <v>64</v>
      </c>
      <c r="C149" s="53">
        <v>4018221</v>
      </c>
      <c r="D149" s="54" t="s">
        <v>245</v>
      </c>
      <c r="E149" s="54" t="s">
        <v>248</v>
      </c>
      <c r="F149" s="55">
        <v>1699</v>
      </c>
      <c r="G149" s="55">
        <v>1149</v>
      </c>
      <c r="H149" s="55">
        <v>1149</v>
      </c>
      <c r="I149" s="55">
        <v>1149</v>
      </c>
      <c r="J149" s="55">
        <v>999</v>
      </c>
      <c r="K149" s="55">
        <v>999</v>
      </c>
      <c r="L149" s="55">
        <v>999</v>
      </c>
      <c r="M149" s="55">
        <v>999</v>
      </c>
      <c r="N149" s="55">
        <v>999</v>
      </c>
      <c r="O149" s="55">
        <v>899</v>
      </c>
      <c r="P149" s="55">
        <v>899</v>
      </c>
      <c r="Q149" s="55">
        <v>799</v>
      </c>
      <c r="R149" s="55">
        <v>899</v>
      </c>
      <c r="S149" s="55">
        <v>899</v>
      </c>
      <c r="T149" s="55">
        <v>799</v>
      </c>
      <c r="U149" s="55">
        <v>799</v>
      </c>
      <c r="V149" s="55">
        <v>799</v>
      </c>
      <c r="W149" s="55">
        <v>799</v>
      </c>
      <c r="X149" s="55">
        <v>799</v>
      </c>
      <c r="Y149" s="55">
        <v>799</v>
      </c>
      <c r="Z149" s="55">
        <v>799</v>
      </c>
      <c r="AA149" s="55">
        <v>799</v>
      </c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7"/>
      <c r="AW149" s="58" t="s">
        <v>67</v>
      </c>
      <c r="AX149" s="59" t="s">
        <v>247</v>
      </c>
      <c r="AY149" s="62">
        <f t="shared" si="3"/>
        <v>23.209799999999998</v>
      </c>
      <c r="AZ149" s="62">
        <f t="shared" si="4"/>
        <v>20.911799999999999</v>
      </c>
      <c r="BA149" s="63">
        <f t="shared" si="5"/>
        <v>11.8347</v>
      </c>
    </row>
    <row r="150" spans="1:53" ht="22.5" customHeight="1">
      <c r="A150" s="64" t="s">
        <v>241</v>
      </c>
      <c r="B150" s="52" t="s">
        <v>64</v>
      </c>
      <c r="C150" s="53">
        <v>4017200</v>
      </c>
      <c r="D150" s="54" t="s">
        <v>249</v>
      </c>
      <c r="E150" s="54" t="s">
        <v>250</v>
      </c>
      <c r="F150" s="55">
        <v>2099</v>
      </c>
      <c r="G150" s="55">
        <v>1419</v>
      </c>
      <c r="H150" s="55">
        <v>1419</v>
      </c>
      <c r="I150" s="55">
        <v>1419</v>
      </c>
      <c r="J150" s="55">
        <v>1299</v>
      </c>
      <c r="K150" s="55">
        <v>999</v>
      </c>
      <c r="L150" s="55">
        <v>999</v>
      </c>
      <c r="M150" s="55">
        <v>1299</v>
      </c>
      <c r="N150" s="55">
        <v>999</v>
      </c>
      <c r="O150" s="55">
        <v>999</v>
      </c>
      <c r="P150" s="55">
        <v>999</v>
      </c>
      <c r="Q150" s="55">
        <v>899</v>
      </c>
      <c r="R150" s="55">
        <v>999</v>
      </c>
      <c r="S150" s="55">
        <v>999</v>
      </c>
      <c r="T150" s="55">
        <v>899</v>
      </c>
      <c r="U150" s="55">
        <v>899</v>
      </c>
      <c r="V150" s="55">
        <v>899</v>
      </c>
      <c r="W150" s="55">
        <v>899</v>
      </c>
      <c r="X150" s="55">
        <v>899</v>
      </c>
      <c r="Y150" s="55">
        <v>899</v>
      </c>
      <c r="Z150" s="55">
        <v>899</v>
      </c>
      <c r="AA150" s="55">
        <v>899</v>
      </c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7"/>
      <c r="AW150" s="58" t="s">
        <v>67</v>
      </c>
      <c r="AX150" s="59" t="s">
        <v>68</v>
      </c>
      <c r="AY150" s="62">
        <f t="shared" si="3"/>
        <v>28.663799999999998</v>
      </c>
      <c r="AZ150" s="62">
        <f t="shared" si="4"/>
        <v>25.825800000000001</v>
      </c>
      <c r="BA150" s="63">
        <f t="shared" si="5"/>
        <v>14.6157</v>
      </c>
    </row>
    <row r="151" spans="1:53" ht="22.5" customHeight="1">
      <c r="A151" s="64" t="s">
        <v>241</v>
      </c>
      <c r="B151" s="52" t="s">
        <v>64</v>
      </c>
      <c r="C151" s="53">
        <v>4018137</v>
      </c>
      <c r="D151" s="54" t="s">
        <v>251</v>
      </c>
      <c r="E151" s="54" t="s">
        <v>252</v>
      </c>
      <c r="F151" s="55">
        <v>2799</v>
      </c>
      <c r="G151" s="55">
        <v>1999</v>
      </c>
      <c r="H151" s="55">
        <v>1999</v>
      </c>
      <c r="I151" s="55">
        <v>1999</v>
      </c>
      <c r="J151" s="55">
        <v>1899</v>
      </c>
      <c r="K151" s="55">
        <v>1899</v>
      </c>
      <c r="L151" s="55">
        <v>1899</v>
      </c>
      <c r="M151" s="55">
        <v>1899</v>
      </c>
      <c r="N151" s="55">
        <v>1899</v>
      </c>
      <c r="O151" s="55">
        <v>1799</v>
      </c>
      <c r="P151" s="55">
        <v>1699</v>
      </c>
      <c r="Q151" s="55">
        <v>1499</v>
      </c>
      <c r="R151" s="55">
        <v>1799</v>
      </c>
      <c r="S151" s="55">
        <v>1699</v>
      </c>
      <c r="T151" s="55">
        <v>1499</v>
      </c>
      <c r="U151" s="55">
        <v>1499</v>
      </c>
      <c r="V151" s="55">
        <v>1499</v>
      </c>
      <c r="W151" s="55">
        <v>1499</v>
      </c>
      <c r="X151" s="55">
        <v>1399</v>
      </c>
      <c r="Y151" s="55">
        <v>1299</v>
      </c>
      <c r="Z151" s="55">
        <v>1299</v>
      </c>
      <c r="AA151" s="55">
        <v>1299</v>
      </c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7"/>
      <c r="AW151" s="58" t="s">
        <v>67</v>
      </c>
      <c r="AX151" s="59" t="s">
        <v>247</v>
      </c>
      <c r="AY151" s="62">
        <f t="shared" si="3"/>
        <v>40.379799999999996</v>
      </c>
      <c r="AZ151" s="62">
        <f t="shared" si="4"/>
        <v>36.381799999999998</v>
      </c>
      <c r="BA151" s="63">
        <f t="shared" si="5"/>
        <v>20.589700000000001</v>
      </c>
    </row>
    <row r="152" spans="1:53" ht="22.5" customHeight="1">
      <c r="A152" s="64" t="s">
        <v>241</v>
      </c>
      <c r="B152" s="52" t="s">
        <v>64</v>
      </c>
      <c r="C152" s="53">
        <v>4018139</v>
      </c>
      <c r="D152" s="54" t="s">
        <v>251</v>
      </c>
      <c r="E152" s="54" t="s">
        <v>253</v>
      </c>
      <c r="F152" s="55">
        <v>2799</v>
      </c>
      <c r="G152" s="55">
        <v>1999</v>
      </c>
      <c r="H152" s="55">
        <v>1999</v>
      </c>
      <c r="I152" s="55">
        <v>1999</v>
      </c>
      <c r="J152" s="55">
        <v>1899</v>
      </c>
      <c r="K152" s="55">
        <v>1899</v>
      </c>
      <c r="L152" s="55">
        <v>1899</v>
      </c>
      <c r="M152" s="55">
        <v>1899</v>
      </c>
      <c r="N152" s="55">
        <v>1899</v>
      </c>
      <c r="O152" s="55">
        <v>1799</v>
      </c>
      <c r="P152" s="55">
        <v>1699</v>
      </c>
      <c r="Q152" s="55">
        <v>1499</v>
      </c>
      <c r="R152" s="55">
        <v>1799</v>
      </c>
      <c r="S152" s="55">
        <v>1699</v>
      </c>
      <c r="T152" s="55">
        <v>1499</v>
      </c>
      <c r="U152" s="55">
        <v>1499</v>
      </c>
      <c r="V152" s="55">
        <v>1499</v>
      </c>
      <c r="W152" s="55">
        <v>1499</v>
      </c>
      <c r="X152" s="55">
        <v>1399</v>
      </c>
      <c r="Y152" s="55">
        <v>1299</v>
      </c>
      <c r="Z152" s="55">
        <v>1299</v>
      </c>
      <c r="AA152" s="55">
        <v>1299</v>
      </c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7"/>
      <c r="AW152" s="58" t="s">
        <v>67</v>
      </c>
      <c r="AX152" s="59" t="s">
        <v>247</v>
      </c>
      <c r="AY152" s="62">
        <f t="shared" si="3"/>
        <v>40.379799999999996</v>
      </c>
      <c r="AZ152" s="62">
        <f t="shared" si="4"/>
        <v>36.381799999999998</v>
      </c>
      <c r="BA152" s="63">
        <f t="shared" si="5"/>
        <v>20.589700000000001</v>
      </c>
    </row>
    <row r="153" spans="1:53" ht="22.5" customHeight="1">
      <c r="A153" s="51" t="s">
        <v>63</v>
      </c>
      <c r="B153" s="52" t="s">
        <v>64</v>
      </c>
      <c r="C153" s="53">
        <v>4018015</v>
      </c>
      <c r="D153" s="54" t="s">
        <v>254</v>
      </c>
      <c r="E153" s="54" t="s">
        <v>255</v>
      </c>
      <c r="F153" s="55">
        <v>7999</v>
      </c>
      <c r="G153" s="55">
        <v>4899</v>
      </c>
      <c r="H153" s="55">
        <v>5499</v>
      </c>
      <c r="I153" s="55">
        <v>5499</v>
      </c>
      <c r="J153" s="55">
        <v>5399</v>
      </c>
      <c r="K153" s="55">
        <v>5399</v>
      </c>
      <c r="L153" s="55">
        <v>5399</v>
      </c>
      <c r="M153" s="55">
        <v>5399</v>
      </c>
      <c r="N153" s="55">
        <v>5399</v>
      </c>
      <c r="O153" s="55">
        <v>5299</v>
      </c>
      <c r="P153" s="55">
        <v>5199</v>
      </c>
      <c r="Q153" s="55">
        <v>4999</v>
      </c>
      <c r="R153" s="55">
        <v>5299</v>
      </c>
      <c r="S153" s="55">
        <v>5199</v>
      </c>
      <c r="T153" s="55">
        <v>4999</v>
      </c>
      <c r="U153" s="55">
        <v>4999</v>
      </c>
      <c r="V153" s="55">
        <v>4999</v>
      </c>
      <c r="W153" s="55">
        <v>4999</v>
      </c>
      <c r="X153" s="55">
        <v>4899</v>
      </c>
      <c r="Y153" s="55">
        <v>4399</v>
      </c>
      <c r="Z153" s="55">
        <v>4399</v>
      </c>
      <c r="AA153" s="55">
        <v>4299</v>
      </c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7"/>
      <c r="AW153" s="58" t="s">
        <v>67</v>
      </c>
      <c r="AX153" s="59" t="s">
        <v>68</v>
      </c>
      <c r="AY153" s="62">
        <f t="shared" si="3"/>
        <v>111.07979999999999</v>
      </c>
      <c r="AZ153" s="62">
        <f t="shared" si="4"/>
        <v>100.0818</v>
      </c>
      <c r="BA153" s="63">
        <f t="shared" si="5"/>
        <v>56.639699999999998</v>
      </c>
    </row>
    <row r="154" spans="1:53" ht="22.5" customHeight="1">
      <c r="A154" s="51" t="s">
        <v>63</v>
      </c>
      <c r="B154" s="52" t="s">
        <v>64</v>
      </c>
      <c r="C154" s="53">
        <v>4018017</v>
      </c>
      <c r="D154" s="54" t="s">
        <v>254</v>
      </c>
      <c r="E154" s="54" t="s">
        <v>256</v>
      </c>
      <c r="F154" s="55">
        <v>7999</v>
      </c>
      <c r="G154" s="55">
        <v>4899</v>
      </c>
      <c r="H154" s="55">
        <v>5499</v>
      </c>
      <c r="I154" s="55">
        <v>5499</v>
      </c>
      <c r="J154" s="55">
        <v>5399</v>
      </c>
      <c r="K154" s="55">
        <v>5399</v>
      </c>
      <c r="L154" s="55">
        <v>5399</v>
      </c>
      <c r="M154" s="55">
        <v>5399</v>
      </c>
      <c r="N154" s="55">
        <v>5399</v>
      </c>
      <c r="O154" s="55">
        <v>5299</v>
      </c>
      <c r="P154" s="55">
        <v>5199</v>
      </c>
      <c r="Q154" s="55">
        <v>4999</v>
      </c>
      <c r="R154" s="55">
        <v>5299</v>
      </c>
      <c r="S154" s="55">
        <v>5199</v>
      </c>
      <c r="T154" s="55">
        <v>4999</v>
      </c>
      <c r="U154" s="55">
        <v>4999</v>
      </c>
      <c r="V154" s="55">
        <v>4999</v>
      </c>
      <c r="W154" s="55">
        <v>4999</v>
      </c>
      <c r="X154" s="55">
        <v>4899</v>
      </c>
      <c r="Y154" s="55">
        <v>4399</v>
      </c>
      <c r="Z154" s="55">
        <v>4399</v>
      </c>
      <c r="AA154" s="55">
        <v>4299</v>
      </c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7"/>
      <c r="AW154" s="58" t="s">
        <v>67</v>
      </c>
      <c r="AX154" s="59" t="s">
        <v>68</v>
      </c>
      <c r="AY154" s="62">
        <f t="shared" si="3"/>
        <v>111.07979999999999</v>
      </c>
      <c r="AZ154" s="62">
        <f t="shared" si="4"/>
        <v>100.0818</v>
      </c>
      <c r="BA154" s="63">
        <f t="shared" si="5"/>
        <v>56.639699999999998</v>
      </c>
    </row>
    <row r="155" spans="1:53" ht="22.5" customHeight="1">
      <c r="A155" s="51" t="s">
        <v>63</v>
      </c>
      <c r="B155" s="52" t="s">
        <v>64</v>
      </c>
      <c r="C155" s="53">
        <v>4018013</v>
      </c>
      <c r="D155" s="54" t="s">
        <v>257</v>
      </c>
      <c r="E155" s="54" t="s">
        <v>258</v>
      </c>
      <c r="F155" s="55">
        <v>19999</v>
      </c>
      <c r="G155" s="55">
        <v>14199</v>
      </c>
      <c r="H155" s="55">
        <v>14899</v>
      </c>
      <c r="I155" s="55">
        <v>14899</v>
      </c>
      <c r="J155" s="55">
        <v>14799</v>
      </c>
      <c r="K155" s="55">
        <v>14799</v>
      </c>
      <c r="L155" s="55">
        <v>14799</v>
      </c>
      <c r="M155" s="55">
        <v>14799</v>
      </c>
      <c r="N155" s="55">
        <v>14799</v>
      </c>
      <c r="O155" s="55">
        <v>14599</v>
      </c>
      <c r="P155" s="55">
        <v>14499</v>
      </c>
      <c r="Q155" s="55">
        <v>14299</v>
      </c>
      <c r="R155" s="55">
        <v>14599</v>
      </c>
      <c r="S155" s="55">
        <v>14499</v>
      </c>
      <c r="T155" s="55">
        <v>14299</v>
      </c>
      <c r="U155" s="55">
        <v>14299</v>
      </c>
      <c r="V155" s="55">
        <v>14299</v>
      </c>
      <c r="W155" s="55">
        <v>14299</v>
      </c>
      <c r="X155" s="55">
        <v>14199</v>
      </c>
      <c r="Y155" s="55">
        <v>13699</v>
      </c>
      <c r="Z155" s="55">
        <v>13699</v>
      </c>
      <c r="AA155" s="55">
        <v>13499</v>
      </c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7"/>
      <c r="AW155" s="58" t="s">
        <v>67</v>
      </c>
      <c r="AX155" s="59" t="s">
        <v>68</v>
      </c>
      <c r="AY155" s="62">
        <f t="shared" si="3"/>
        <v>300.95979999999997</v>
      </c>
      <c r="AZ155" s="62">
        <f t="shared" si="4"/>
        <v>271.16180000000003</v>
      </c>
      <c r="BA155" s="63">
        <f t="shared" si="5"/>
        <v>153.4597</v>
      </c>
    </row>
    <row r="156" spans="1:53" ht="22.5" customHeight="1">
      <c r="A156" s="51" t="s">
        <v>63</v>
      </c>
      <c r="B156" s="52" t="s">
        <v>64</v>
      </c>
      <c r="C156" s="53">
        <v>4018016</v>
      </c>
      <c r="D156" s="54" t="s">
        <v>257</v>
      </c>
      <c r="E156" s="54" t="s">
        <v>259</v>
      </c>
      <c r="F156" s="55">
        <v>19999</v>
      </c>
      <c r="G156" s="55">
        <v>14199</v>
      </c>
      <c r="H156" s="55">
        <v>14899</v>
      </c>
      <c r="I156" s="55">
        <v>14899</v>
      </c>
      <c r="J156" s="55">
        <v>14799</v>
      </c>
      <c r="K156" s="55">
        <v>14799</v>
      </c>
      <c r="L156" s="55">
        <v>14799</v>
      </c>
      <c r="M156" s="55">
        <v>14799</v>
      </c>
      <c r="N156" s="55">
        <v>14799</v>
      </c>
      <c r="O156" s="55">
        <v>14599</v>
      </c>
      <c r="P156" s="55">
        <v>14499</v>
      </c>
      <c r="Q156" s="55">
        <v>14299</v>
      </c>
      <c r="R156" s="55">
        <v>14599</v>
      </c>
      <c r="S156" s="55">
        <v>14499</v>
      </c>
      <c r="T156" s="55">
        <v>14299</v>
      </c>
      <c r="U156" s="55">
        <v>14299</v>
      </c>
      <c r="V156" s="55">
        <v>14299</v>
      </c>
      <c r="W156" s="55">
        <v>14299</v>
      </c>
      <c r="X156" s="55">
        <v>14199</v>
      </c>
      <c r="Y156" s="55">
        <v>13699</v>
      </c>
      <c r="Z156" s="55">
        <v>13699</v>
      </c>
      <c r="AA156" s="55">
        <v>13499</v>
      </c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7"/>
      <c r="AW156" s="58" t="s">
        <v>67</v>
      </c>
      <c r="AX156" s="59" t="s">
        <v>68</v>
      </c>
      <c r="AY156" s="62">
        <f t="shared" si="3"/>
        <v>300.95979999999997</v>
      </c>
      <c r="AZ156" s="62">
        <f t="shared" si="4"/>
        <v>271.16180000000003</v>
      </c>
      <c r="BA156" s="63">
        <f t="shared" si="5"/>
        <v>153.4597</v>
      </c>
    </row>
    <row r="157" spans="1:53" ht="23" customHeight="1">
      <c r="A157" s="64" t="s">
        <v>241</v>
      </c>
      <c r="B157" s="52" t="s">
        <v>64</v>
      </c>
      <c r="C157" s="53">
        <v>4015390</v>
      </c>
      <c r="D157" s="65" t="s">
        <v>260</v>
      </c>
      <c r="E157" s="65" t="s">
        <v>261</v>
      </c>
      <c r="F157" s="55">
        <v>799</v>
      </c>
      <c r="G157" s="55">
        <v>549</v>
      </c>
      <c r="H157" s="55">
        <v>549</v>
      </c>
      <c r="I157" s="55">
        <v>549</v>
      </c>
      <c r="J157" s="55">
        <f t="shared" ref="J157:J181" si="6">M157</f>
        <v>449</v>
      </c>
      <c r="K157" s="55">
        <f t="shared" ref="K157:L181" si="7">M157</f>
        <v>449</v>
      </c>
      <c r="L157" s="55">
        <f t="shared" si="7"/>
        <v>449</v>
      </c>
      <c r="M157" s="55">
        <v>449</v>
      </c>
      <c r="N157" s="55">
        <v>449</v>
      </c>
      <c r="O157" s="55">
        <f t="shared" ref="O157:Q157" si="8">R157</f>
        <v>399</v>
      </c>
      <c r="P157" s="56">
        <f t="shared" si="8"/>
        <v>349</v>
      </c>
      <c r="Q157" s="56">
        <f t="shared" si="8"/>
        <v>299</v>
      </c>
      <c r="R157" s="55">
        <v>399</v>
      </c>
      <c r="S157" s="55">
        <v>349</v>
      </c>
      <c r="T157" s="55">
        <v>299</v>
      </c>
      <c r="U157" s="55">
        <v>299</v>
      </c>
      <c r="V157" s="55">
        <v>299</v>
      </c>
      <c r="W157" s="55">
        <v>299</v>
      </c>
      <c r="X157" s="55">
        <v>299</v>
      </c>
      <c r="Y157" s="55">
        <v>299</v>
      </c>
      <c r="Z157" s="55">
        <v>299</v>
      </c>
      <c r="AA157" s="55">
        <v>299</v>
      </c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7"/>
      <c r="AW157" s="58" t="s">
        <v>67</v>
      </c>
      <c r="AX157" s="59" t="s">
        <v>247</v>
      </c>
      <c r="AY157" s="62">
        <f t="shared" si="3"/>
        <v>11.0898</v>
      </c>
      <c r="AZ157" s="62">
        <f t="shared" si="4"/>
        <v>9.9918000000000013</v>
      </c>
      <c r="BA157" s="63">
        <f t="shared" si="5"/>
        <v>5.6547000000000001</v>
      </c>
    </row>
    <row r="158" spans="1:53" ht="22.5" customHeight="1">
      <c r="A158" s="51" t="s">
        <v>63</v>
      </c>
      <c r="B158" s="52" t="s">
        <v>64</v>
      </c>
      <c r="C158" s="53">
        <v>4015070</v>
      </c>
      <c r="D158" s="65" t="s">
        <v>262</v>
      </c>
      <c r="E158" s="65" t="s">
        <v>263</v>
      </c>
      <c r="F158" s="55">
        <v>3499</v>
      </c>
      <c r="G158" s="55">
        <v>799</v>
      </c>
      <c r="H158" s="55">
        <v>1099</v>
      </c>
      <c r="I158" s="55">
        <v>1099</v>
      </c>
      <c r="J158" s="55">
        <v>899</v>
      </c>
      <c r="K158" s="55">
        <v>799</v>
      </c>
      <c r="L158" s="55">
        <v>799</v>
      </c>
      <c r="M158" s="55">
        <v>899</v>
      </c>
      <c r="N158" s="55">
        <v>899</v>
      </c>
      <c r="O158" s="55">
        <v>749</v>
      </c>
      <c r="P158" s="56">
        <v>749</v>
      </c>
      <c r="Q158" s="56">
        <v>749</v>
      </c>
      <c r="R158" s="55">
        <v>749</v>
      </c>
      <c r="S158" s="55">
        <v>749</v>
      </c>
      <c r="T158" s="55">
        <v>749</v>
      </c>
      <c r="U158" s="55">
        <v>749</v>
      </c>
      <c r="V158" s="55">
        <v>749</v>
      </c>
      <c r="W158" s="55">
        <v>749</v>
      </c>
      <c r="X158" s="55">
        <v>749</v>
      </c>
      <c r="Y158" s="55">
        <v>749</v>
      </c>
      <c r="Z158" s="55">
        <v>749</v>
      </c>
      <c r="AA158" s="55">
        <v>749</v>
      </c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7"/>
      <c r="AW158" s="58" t="s">
        <v>67</v>
      </c>
      <c r="AX158" s="59" t="s">
        <v>68</v>
      </c>
      <c r="AY158" s="62">
        <f t="shared" si="3"/>
        <v>22.1998</v>
      </c>
      <c r="AZ158" s="62">
        <f t="shared" si="4"/>
        <v>20.001799999999999</v>
      </c>
      <c r="BA158" s="63">
        <f t="shared" si="5"/>
        <v>11.319700000000001</v>
      </c>
    </row>
    <row r="159" spans="1:53" ht="22.5" customHeight="1">
      <c r="A159" s="51" t="s">
        <v>63</v>
      </c>
      <c r="B159" s="52" t="s">
        <v>64</v>
      </c>
      <c r="C159" s="53">
        <v>4014800</v>
      </c>
      <c r="D159" s="65" t="s">
        <v>264</v>
      </c>
      <c r="E159" s="65" t="s">
        <v>265</v>
      </c>
      <c r="F159" s="55">
        <v>6499</v>
      </c>
      <c r="G159" s="55">
        <v>1399</v>
      </c>
      <c r="H159" s="55">
        <v>2499</v>
      </c>
      <c r="I159" s="55">
        <v>2499</v>
      </c>
      <c r="J159" s="55">
        <f t="shared" si="6"/>
        <v>2299</v>
      </c>
      <c r="K159" s="55">
        <f t="shared" si="7"/>
        <v>2299</v>
      </c>
      <c r="L159" s="55">
        <f t="shared" si="7"/>
        <v>2299</v>
      </c>
      <c r="M159" s="55">
        <v>2299</v>
      </c>
      <c r="N159" s="55">
        <v>2299</v>
      </c>
      <c r="O159" s="55">
        <f t="shared" ref="O159:Q159" si="9">R159</f>
        <v>1899</v>
      </c>
      <c r="P159" s="56">
        <f t="shared" si="9"/>
        <v>1799</v>
      </c>
      <c r="Q159" s="56">
        <f t="shared" si="9"/>
        <v>1499</v>
      </c>
      <c r="R159" s="55">
        <v>1899</v>
      </c>
      <c r="S159" s="55">
        <v>1799</v>
      </c>
      <c r="T159" s="55">
        <v>1499</v>
      </c>
      <c r="U159" s="55">
        <v>1499</v>
      </c>
      <c r="V159" s="55">
        <v>1499</v>
      </c>
      <c r="W159" s="55">
        <v>1499</v>
      </c>
      <c r="X159" s="55">
        <v>1399</v>
      </c>
      <c r="Y159" s="55">
        <v>999</v>
      </c>
      <c r="Z159" s="55">
        <v>999</v>
      </c>
      <c r="AA159" s="55">
        <v>949</v>
      </c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7"/>
      <c r="AW159" s="58" t="s">
        <v>67</v>
      </c>
      <c r="AX159" s="59" t="s">
        <v>68</v>
      </c>
      <c r="AY159" s="62">
        <f t="shared" si="3"/>
        <v>50.479799999999997</v>
      </c>
      <c r="AZ159" s="62">
        <f t="shared" si="4"/>
        <v>45.4818</v>
      </c>
      <c r="BA159" s="63">
        <f t="shared" si="5"/>
        <v>25.739699999999999</v>
      </c>
    </row>
    <row r="160" spans="1:53" ht="22.5" customHeight="1">
      <c r="A160" s="51" t="s">
        <v>63</v>
      </c>
      <c r="B160" s="52" t="s">
        <v>64</v>
      </c>
      <c r="C160" s="53">
        <v>4015553</v>
      </c>
      <c r="D160" s="65" t="s">
        <v>266</v>
      </c>
      <c r="E160" s="65" t="s">
        <v>267</v>
      </c>
      <c r="F160" s="55">
        <v>3699</v>
      </c>
      <c r="G160" s="55">
        <v>1279</v>
      </c>
      <c r="H160" s="55">
        <v>2299</v>
      </c>
      <c r="I160" s="55">
        <v>2299</v>
      </c>
      <c r="J160" s="55">
        <v>1599</v>
      </c>
      <c r="K160" s="55">
        <v>1499</v>
      </c>
      <c r="L160" s="55">
        <v>1499</v>
      </c>
      <c r="M160" s="55">
        <v>1599</v>
      </c>
      <c r="N160" s="55">
        <v>1599</v>
      </c>
      <c r="O160" s="55">
        <v>1399</v>
      </c>
      <c r="P160" s="56">
        <v>1299</v>
      </c>
      <c r="Q160" s="56">
        <v>1099</v>
      </c>
      <c r="R160" s="55">
        <v>1399</v>
      </c>
      <c r="S160" s="55">
        <v>1299</v>
      </c>
      <c r="T160" s="55">
        <v>1099</v>
      </c>
      <c r="U160" s="55">
        <v>1099</v>
      </c>
      <c r="V160" s="55">
        <v>1099</v>
      </c>
      <c r="W160" s="55">
        <v>1099</v>
      </c>
      <c r="X160" s="55">
        <v>999</v>
      </c>
      <c r="Y160" s="55">
        <v>899</v>
      </c>
      <c r="Z160" s="55">
        <v>899</v>
      </c>
      <c r="AA160" s="55">
        <v>899</v>
      </c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7"/>
      <c r="AW160" s="58" t="s">
        <v>67</v>
      </c>
      <c r="AX160" s="59" t="s">
        <v>68</v>
      </c>
      <c r="AY160" s="62">
        <f t="shared" si="3"/>
        <v>46.439799999999998</v>
      </c>
      <c r="AZ160" s="62">
        <f t="shared" si="4"/>
        <v>41.841799999999999</v>
      </c>
      <c r="BA160" s="63">
        <f t="shared" si="5"/>
        <v>23.6797</v>
      </c>
    </row>
    <row r="161" spans="1:53" ht="22.5" customHeight="1">
      <c r="A161" s="51" t="s">
        <v>63</v>
      </c>
      <c r="B161" s="52" t="s">
        <v>64</v>
      </c>
      <c r="C161" s="53">
        <v>4015555</v>
      </c>
      <c r="D161" s="65" t="s">
        <v>266</v>
      </c>
      <c r="E161" s="65" t="s">
        <v>268</v>
      </c>
      <c r="F161" s="55">
        <v>3699</v>
      </c>
      <c r="G161" s="55">
        <v>1279</v>
      </c>
      <c r="H161" s="55">
        <v>2299</v>
      </c>
      <c r="I161" s="55">
        <v>2299</v>
      </c>
      <c r="J161" s="55">
        <v>1599</v>
      </c>
      <c r="K161" s="55">
        <v>1499</v>
      </c>
      <c r="L161" s="55">
        <v>1499</v>
      </c>
      <c r="M161" s="55">
        <v>1599</v>
      </c>
      <c r="N161" s="55">
        <v>1599</v>
      </c>
      <c r="O161" s="55">
        <v>1399</v>
      </c>
      <c r="P161" s="56">
        <v>1299</v>
      </c>
      <c r="Q161" s="56">
        <v>1099</v>
      </c>
      <c r="R161" s="55">
        <v>1399</v>
      </c>
      <c r="S161" s="55">
        <v>1299</v>
      </c>
      <c r="T161" s="55">
        <v>1099</v>
      </c>
      <c r="U161" s="55">
        <v>1099</v>
      </c>
      <c r="V161" s="55">
        <v>1099</v>
      </c>
      <c r="W161" s="55">
        <v>1099</v>
      </c>
      <c r="X161" s="55">
        <v>999</v>
      </c>
      <c r="Y161" s="55">
        <v>899</v>
      </c>
      <c r="Z161" s="55">
        <v>899</v>
      </c>
      <c r="AA161" s="55">
        <v>899</v>
      </c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7"/>
      <c r="AW161" s="58" t="s">
        <v>67</v>
      </c>
      <c r="AX161" s="59" t="s">
        <v>68</v>
      </c>
      <c r="AY161" s="62">
        <f t="shared" si="3"/>
        <v>46.439799999999998</v>
      </c>
      <c r="AZ161" s="62">
        <f t="shared" si="4"/>
        <v>41.841799999999999</v>
      </c>
      <c r="BA161" s="63">
        <f t="shared" si="5"/>
        <v>23.6797</v>
      </c>
    </row>
    <row r="162" spans="1:53" ht="22.5" customHeight="1">
      <c r="A162" s="51" t="s">
        <v>63</v>
      </c>
      <c r="B162" s="52" t="s">
        <v>64</v>
      </c>
      <c r="C162" s="53">
        <v>4015692</v>
      </c>
      <c r="D162" s="65" t="s">
        <v>269</v>
      </c>
      <c r="E162" s="65" t="s">
        <v>270</v>
      </c>
      <c r="F162" s="55">
        <v>2999</v>
      </c>
      <c r="G162" s="55">
        <v>1099</v>
      </c>
      <c r="H162" s="55">
        <v>2099</v>
      </c>
      <c r="I162" s="55">
        <v>2099</v>
      </c>
      <c r="J162" s="55">
        <v>1499</v>
      </c>
      <c r="K162" s="55">
        <v>1399</v>
      </c>
      <c r="L162" s="55">
        <v>1399</v>
      </c>
      <c r="M162" s="55">
        <v>1499</v>
      </c>
      <c r="N162" s="55">
        <v>1499</v>
      </c>
      <c r="O162" s="55">
        <v>1299</v>
      </c>
      <c r="P162" s="56">
        <v>1199</v>
      </c>
      <c r="Q162" s="56">
        <v>1099</v>
      </c>
      <c r="R162" s="55">
        <v>1299</v>
      </c>
      <c r="S162" s="55">
        <v>1199</v>
      </c>
      <c r="T162" s="55">
        <v>1099</v>
      </c>
      <c r="U162" s="55">
        <v>1099</v>
      </c>
      <c r="V162" s="55">
        <v>1099</v>
      </c>
      <c r="W162" s="55">
        <v>1099</v>
      </c>
      <c r="X162" s="55">
        <v>999</v>
      </c>
      <c r="Y162" s="55">
        <v>899</v>
      </c>
      <c r="Z162" s="55">
        <v>899</v>
      </c>
      <c r="AA162" s="55">
        <v>899</v>
      </c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7"/>
      <c r="AW162" s="58" t="s">
        <v>67</v>
      </c>
      <c r="AX162" s="59" t="s">
        <v>68</v>
      </c>
      <c r="AY162" s="62">
        <f t="shared" si="3"/>
        <v>42.399799999999999</v>
      </c>
      <c r="AZ162" s="62">
        <f t="shared" si="4"/>
        <v>38.201799999999999</v>
      </c>
      <c r="BA162" s="63">
        <f t="shared" si="5"/>
        <v>21.619700000000002</v>
      </c>
    </row>
    <row r="163" spans="1:53" ht="22.5" customHeight="1">
      <c r="A163" s="51" t="s">
        <v>63</v>
      </c>
      <c r="B163" s="52" t="s">
        <v>64</v>
      </c>
      <c r="C163" s="53">
        <v>4016016</v>
      </c>
      <c r="D163" s="65" t="s">
        <v>269</v>
      </c>
      <c r="E163" s="65" t="s">
        <v>271</v>
      </c>
      <c r="F163" s="55">
        <v>2999</v>
      </c>
      <c r="G163" s="55">
        <v>1099</v>
      </c>
      <c r="H163" s="55">
        <v>2099</v>
      </c>
      <c r="I163" s="55">
        <v>2099</v>
      </c>
      <c r="J163" s="55">
        <v>1499</v>
      </c>
      <c r="K163" s="55">
        <v>1399</v>
      </c>
      <c r="L163" s="55">
        <v>1399</v>
      </c>
      <c r="M163" s="55">
        <v>1499</v>
      </c>
      <c r="N163" s="55">
        <v>1499</v>
      </c>
      <c r="O163" s="55">
        <v>1299</v>
      </c>
      <c r="P163" s="56">
        <v>1199</v>
      </c>
      <c r="Q163" s="56">
        <v>1099</v>
      </c>
      <c r="R163" s="55">
        <v>1299</v>
      </c>
      <c r="S163" s="55">
        <v>1199</v>
      </c>
      <c r="T163" s="55">
        <v>1099</v>
      </c>
      <c r="U163" s="55">
        <v>1099</v>
      </c>
      <c r="V163" s="55">
        <v>1099</v>
      </c>
      <c r="W163" s="55">
        <v>1099</v>
      </c>
      <c r="X163" s="55">
        <v>999</v>
      </c>
      <c r="Y163" s="55">
        <v>899</v>
      </c>
      <c r="Z163" s="55">
        <v>899</v>
      </c>
      <c r="AA163" s="55">
        <v>899</v>
      </c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7"/>
      <c r="AW163" s="58" t="s">
        <v>67</v>
      </c>
      <c r="AX163" s="59" t="s">
        <v>68</v>
      </c>
      <c r="AY163" s="62">
        <f t="shared" si="3"/>
        <v>42.399799999999999</v>
      </c>
      <c r="AZ163" s="62">
        <f t="shared" si="4"/>
        <v>38.201799999999999</v>
      </c>
      <c r="BA163" s="63">
        <f t="shared" si="5"/>
        <v>21.619700000000002</v>
      </c>
    </row>
    <row r="164" spans="1:53" ht="22.5" customHeight="1">
      <c r="A164" s="51" t="s">
        <v>63</v>
      </c>
      <c r="B164" s="52" t="s">
        <v>64</v>
      </c>
      <c r="C164" s="53">
        <v>4016501</v>
      </c>
      <c r="D164" s="65" t="s">
        <v>272</v>
      </c>
      <c r="E164" s="65" t="s">
        <v>273</v>
      </c>
      <c r="F164" s="55">
        <v>3299</v>
      </c>
      <c r="G164" s="55">
        <v>1399</v>
      </c>
      <c r="H164" s="55">
        <v>1999</v>
      </c>
      <c r="I164" s="55">
        <v>1999</v>
      </c>
      <c r="J164" s="55">
        <v>1799</v>
      </c>
      <c r="K164" s="55">
        <v>1799</v>
      </c>
      <c r="L164" s="55">
        <v>1799</v>
      </c>
      <c r="M164" s="55">
        <v>1799</v>
      </c>
      <c r="N164" s="55">
        <v>1799</v>
      </c>
      <c r="O164" s="55">
        <v>1699</v>
      </c>
      <c r="P164" s="56">
        <v>1599</v>
      </c>
      <c r="Q164" s="56">
        <v>599</v>
      </c>
      <c r="R164" s="55">
        <v>1699</v>
      </c>
      <c r="S164" s="55">
        <v>1599</v>
      </c>
      <c r="T164" s="55">
        <v>599</v>
      </c>
      <c r="U164" s="55">
        <v>599</v>
      </c>
      <c r="V164" s="55">
        <v>599</v>
      </c>
      <c r="W164" s="55">
        <v>599</v>
      </c>
      <c r="X164" s="55">
        <v>599</v>
      </c>
      <c r="Y164" s="55">
        <v>599</v>
      </c>
      <c r="Z164" s="55">
        <v>599</v>
      </c>
      <c r="AA164" s="55">
        <v>599</v>
      </c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7"/>
      <c r="AW164" s="58" t="s">
        <v>67</v>
      </c>
      <c r="AX164" s="59" t="s">
        <v>68</v>
      </c>
      <c r="AY164" s="62">
        <f t="shared" si="3"/>
        <v>40.379799999999996</v>
      </c>
      <c r="AZ164" s="62">
        <f t="shared" si="4"/>
        <v>36.381799999999998</v>
      </c>
      <c r="BA164" s="63">
        <f t="shared" si="5"/>
        <v>20.589700000000001</v>
      </c>
    </row>
    <row r="165" spans="1:53" ht="22.5" customHeight="1">
      <c r="A165" s="51" t="s">
        <v>63</v>
      </c>
      <c r="B165" s="52" t="s">
        <v>64</v>
      </c>
      <c r="C165" s="53">
        <v>4016503</v>
      </c>
      <c r="D165" s="65" t="s">
        <v>272</v>
      </c>
      <c r="E165" s="65" t="s">
        <v>274</v>
      </c>
      <c r="F165" s="55">
        <v>3299</v>
      </c>
      <c r="G165" s="55">
        <v>1399</v>
      </c>
      <c r="H165" s="55">
        <v>1999</v>
      </c>
      <c r="I165" s="55">
        <v>1999</v>
      </c>
      <c r="J165" s="55">
        <v>1799</v>
      </c>
      <c r="K165" s="55">
        <v>1799</v>
      </c>
      <c r="L165" s="55">
        <v>1799</v>
      </c>
      <c r="M165" s="55">
        <v>1799</v>
      </c>
      <c r="N165" s="55">
        <v>1799</v>
      </c>
      <c r="O165" s="55">
        <v>1699</v>
      </c>
      <c r="P165" s="56">
        <v>1599</v>
      </c>
      <c r="Q165" s="56">
        <v>599</v>
      </c>
      <c r="R165" s="55">
        <v>1699</v>
      </c>
      <c r="S165" s="55">
        <v>1599</v>
      </c>
      <c r="T165" s="55">
        <v>599</v>
      </c>
      <c r="U165" s="55">
        <v>599</v>
      </c>
      <c r="V165" s="55">
        <v>599</v>
      </c>
      <c r="W165" s="55">
        <v>599</v>
      </c>
      <c r="X165" s="55">
        <v>599</v>
      </c>
      <c r="Y165" s="55">
        <v>599</v>
      </c>
      <c r="Z165" s="55">
        <v>599</v>
      </c>
      <c r="AA165" s="55">
        <v>599</v>
      </c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7"/>
      <c r="AW165" s="58" t="s">
        <v>67</v>
      </c>
      <c r="AX165" s="59" t="s">
        <v>68</v>
      </c>
      <c r="AY165" s="62">
        <f t="shared" ref="AY165:AY232" si="10">$H165*AY$11</f>
        <v>40.379799999999996</v>
      </c>
      <c r="AZ165" s="62">
        <f t="shared" ref="AZ165:AZ232" si="11">($H165*AZ$11)</f>
        <v>36.381799999999998</v>
      </c>
      <c r="BA165" s="63">
        <f t="shared" ref="BA165:BA232" si="12">$H165*BA$11</f>
        <v>20.589700000000001</v>
      </c>
    </row>
    <row r="166" spans="1:53" ht="22.5" customHeight="1">
      <c r="A166" s="51" t="s">
        <v>63</v>
      </c>
      <c r="B166" s="52" t="s">
        <v>64</v>
      </c>
      <c r="C166" s="53">
        <v>4016505</v>
      </c>
      <c r="D166" s="65" t="s">
        <v>272</v>
      </c>
      <c r="E166" s="65" t="s">
        <v>275</v>
      </c>
      <c r="F166" s="55">
        <v>3299</v>
      </c>
      <c r="G166" s="55">
        <v>1399</v>
      </c>
      <c r="H166" s="55">
        <v>1999</v>
      </c>
      <c r="I166" s="55">
        <v>1999</v>
      </c>
      <c r="J166" s="55">
        <v>1799</v>
      </c>
      <c r="K166" s="55">
        <v>1799</v>
      </c>
      <c r="L166" s="55">
        <v>1799</v>
      </c>
      <c r="M166" s="55">
        <v>1799</v>
      </c>
      <c r="N166" s="55">
        <v>1799</v>
      </c>
      <c r="O166" s="55">
        <v>1699</v>
      </c>
      <c r="P166" s="56">
        <v>1599</v>
      </c>
      <c r="Q166" s="56">
        <v>599</v>
      </c>
      <c r="R166" s="55">
        <v>1699</v>
      </c>
      <c r="S166" s="55">
        <v>1599</v>
      </c>
      <c r="T166" s="55">
        <v>599</v>
      </c>
      <c r="U166" s="55">
        <v>599</v>
      </c>
      <c r="V166" s="55">
        <v>599</v>
      </c>
      <c r="W166" s="55">
        <v>599</v>
      </c>
      <c r="X166" s="55">
        <v>599</v>
      </c>
      <c r="Y166" s="55">
        <v>599</v>
      </c>
      <c r="Z166" s="55">
        <v>599</v>
      </c>
      <c r="AA166" s="55">
        <v>599</v>
      </c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7"/>
      <c r="AW166" s="58" t="s">
        <v>67</v>
      </c>
      <c r="AX166" s="59" t="s">
        <v>68</v>
      </c>
      <c r="AY166" s="62">
        <f t="shared" si="10"/>
        <v>40.379799999999996</v>
      </c>
      <c r="AZ166" s="62">
        <f t="shared" si="11"/>
        <v>36.381799999999998</v>
      </c>
      <c r="BA166" s="63">
        <f t="shared" si="12"/>
        <v>20.589700000000001</v>
      </c>
    </row>
    <row r="167" spans="1:53" ht="22" customHeight="1">
      <c r="A167" s="51" t="s">
        <v>63</v>
      </c>
      <c r="B167" s="52" t="s">
        <v>64</v>
      </c>
      <c r="C167" s="53">
        <v>4016284</v>
      </c>
      <c r="D167" s="65" t="s">
        <v>276</v>
      </c>
      <c r="E167" s="65" t="s">
        <v>277</v>
      </c>
      <c r="F167" s="55">
        <v>2999</v>
      </c>
      <c r="G167" s="55">
        <v>1199</v>
      </c>
      <c r="H167" s="55">
        <v>2299</v>
      </c>
      <c r="I167" s="55">
        <v>2299</v>
      </c>
      <c r="J167" s="55">
        <v>1799</v>
      </c>
      <c r="K167" s="55">
        <v>1799</v>
      </c>
      <c r="L167" s="55">
        <v>1799</v>
      </c>
      <c r="M167" s="55">
        <v>1799</v>
      </c>
      <c r="N167" s="55">
        <v>1799</v>
      </c>
      <c r="O167" s="55">
        <v>1699</v>
      </c>
      <c r="P167" s="56">
        <v>1649</v>
      </c>
      <c r="Q167" s="56">
        <v>1299</v>
      </c>
      <c r="R167" s="55">
        <v>1699</v>
      </c>
      <c r="S167" s="55">
        <v>1649</v>
      </c>
      <c r="T167" s="55">
        <v>1299</v>
      </c>
      <c r="U167" s="55">
        <v>1299</v>
      </c>
      <c r="V167" s="55">
        <v>1299</v>
      </c>
      <c r="W167" s="55">
        <v>1299</v>
      </c>
      <c r="X167" s="55">
        <v>1199</v>
      </c>
      <c r="Y167" s="55">
        <v>1199</v>
      </c>
      <c r="Z167" s="55">
        <v>1199</v>
      </c>
      <c r="AA167" s="55">
        <v>1199</v>
      </c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7"/>
      <c r="AW167" s="58" t="s">
        <v>67</v>
      </c>
      <c r="AX167" s="59" t="s">
        <v>68</v>
      </c>
      <c r="AY167" s="62">
        <f t="shared" si="10"/>
        <v>46.439799999999998</v>
      </c>
      <c r="AZ167" s="62">
        <f t="shared" si="11"/>
        <v>41.841799999999999</v>
      </c>
      <c r="BA167" s="63">
        <f t="shared" si="12"/>
        <v>23.6797</v>
      </c>
    </row>
    <row r="168" spans="1:53" ht="22" customHeight="1">
      <c r="A168" s="51" t="s">
        <v>63</v>
      </c>
      <c r="B168" s="52" t="s">
        <v>64</v>
      </c>
      <c r="C168" s="53">
        <v>4016285</v>
      </c>
      <c r="D168" s="65" t="s">
        <v>276</v>
      </c>
      <c r="E168" s="65" t="s">
        <v>278</v>
      </c>
      <c r="F168" s="55">
        <v>2999</v>
      </c>
      <c r="G168" s="55">
        <v>1199</v>
      </c>
      <c r="H168" s="55">
        <v>2299</v>
      </c>
      <c r="I168" s="55">
        <v>2299</v>
      </c>
      <c r="J168" s="55">
        <v>1799</v>
      </c>
      <c r="K168" s="55">
        <v>1799</v>
      </c>
      <c r="L168" s="55">
        <v>1799</v>
      </c>
      <c r="M168" s="55">
        <v>1799</v>
      </c>
      <c r="N168" s="55">
        <v>1799</v>
      </c>
      <c r="O168" s="55">
        <v>1699</v>
      </c>
      <c r="P168" s="56">
        <v>1649</v>
      </c>
      <c r="Q168" s="56">
        <v>1299</v>
      </c>
      <c r="R168" s="55">
        <v>1699</v>
      </c>
      <c r="S168" s="55">
        <v>1649</v>
      </c>
      <c r="T168" s="55">
        <v>1299</v>
      </c>
      <c r="U168" s="55">
        <v>1299</v>
      </c>
      <c r="V168" s="55">
        <v>1299</v>
      </c>
      <c r="W168" s="55">
        <v>1299</v>
      </c>
      <c r="X168" s="55">
        <v>1199</v>
      </c>
      <c r="Y168" s="55">
        <v>1199</v>
      </c>
      <c r="Z168" s="55">
        <v>1199</v>
      </c>
      <c r="AA168" s="55">
        <v>1199</v>
      </c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7"/>
      <c r="AW168" s="58" t="s">
        <v>67</v>
      </c>
      <c r="AX168" s="59" t="s">
        <v>68</v>
      </c>
      <c r="AY168" s="62">
        <f t="shared" si="10"/>
        <v>46.439799999999998</v>
      </c>
      <c r="AZ168" s="62">
        <f t="shared" si="11"/>
        <v>41.841799999999999</v>
      </c>
      <c r="BA168" s="63">
        <f t="shared" si="12"/>
        <v>23.6797</v>
      </c>
    </row>
    <row r="169" spans="1:53" ht="22" customHeight="1">
      <c r="A169" s="51" t="s">
        <v>63</v>
      </c>
      <c r="B169" s="52" t="s">
        <v>64</v>
      </c>
      <c r="C169" s="53">
        <v>4016922</v>
      </c>
      <c r="D169" s="65" t="s">
        <v>279</v>
      </c>
      <c r="E169" s="65" t="s">
        <v>280</v>
      </c>
      <c r="F169" s="55">
        <v>2999</v>
      </c>
      <c r="G169" s="56">
        <v>1499</v>
      </c>
      <c r="H169" s="56">
        <v>2199</v>
      </c>
      <c r="I169" s="56">
        <v>2199</v>
      </c>
      <c r="J169" s="56">
        <v>1999</v>
      </c>
      <c r="K169" s="56">
        <v>1999</v>
      </c>
      <c r="L169" s="56">
        <v>1999</v>
      </c>
      <c r="M169" s="56">
        <v>1999</v>
      </c>
      <c r="N169" s="56">
        <v>1999</v>
      </c>
      <c r="O169" s="56">
        <v>1899</v>
      </c>
      <c r="P169" s="56">
        <v>1799</v>
      </c>
      <c r="Q169" s="56">
        <v>799</v>
      </c>
      <c r="R169" s="56">
        <v>1899</v>
      </c>
      <c r="S169" s="56">
        <v>1799</v>
      </c>
      <c r="T169" s="56">
        <v>799</v>
      </c>
      <c r="U169" s="56">
        <v>799</v>
      </c>
      <c r="V169" s="56">
        <v>799</v>
      </c>
      <c r="W169" s="56">
        <v>799</v>
      </c>
      <c r="X169" s="56">
        <v>799</v>
      </c>
      <c r="Y169" s="56">
        <v>799</v>
      </c>
      <c r="Z169" s="56">
        <v>799</v>
      </c>
      <c r="AA169" s="56">
        <v>799</v>
      </c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7"/>
      <c r="AW169" s="58" t="s">
        <v>67</v>
      </c>
      <c r="AX169" s="59" t="s">
        <v>68</v>
      </c>
      <c r="AY169" s="62">
        <f t="shared" si="10"/>
        <v>44.419799999999995</v>
      </c>
      <c r="AZ169" s="62">
        <f t="shared" si="11"/>
        <v>40.021799999999999</v>
      </c>
      <c r="BA169" s="63">
        <f t="shared" si="12"/>
        <v>22.649699999999999</v>
      </c>
    </row>
    <row r="170" spans="1:53" ht="22" customHeight="1">
      <c r="A170" s="51" t="s">
        <v>63</v>
      </c>
      <c r="B170" s="52" t="s">
        <v>64</v>
      </c>
      <c r="C170" s="53">
        <v>4016923</v>
      </c>
      <c r="D170" s="65" t="s">
        <v>279</v>
      </c>
      <c r="E170" s="65" t="s">
        <v>281</v>
      </c>
      <c r="F170" s="55">
        <v>2999</v>
      </c>
      <c r="G170" s="56">
        <v>1499</v>
      </c>
      <c r="H170" s="56">
        <v>2199</v>
      </c>
      <c r="I170" s="56">
        <v>2199</v>
      </c>
      <c r="J170" s="56">
        <v>1999</v>
      </c>
      <c r="K170" s="56">
        <v>1999</v>
      </c>
      <c r="L170" s="56">
        <v>1999</v>
      </c>
      <c r="M170" s="56">
        <v>1999</v>
      </c>
      <c r="N170" s="56">
        <v>1999</v>
      </c>
      <c r="O170" s="56">
        <v>1899</v>
      </c>
      <c r="P170" s="56">
        <v>1799</v>
      </c>
      <c r="Q170" s="56">
        <v>799</v>
      </c>
      <c r="R170" s="56">
        <v>1899</v>
      </c>
      <c r="S170" s="56">
        <v>1799</v>
      </c>
      <c r="T170" s="56">
        <v>799</v>
      </c>
      <c r="U170" s="56">
        <v>799</v>
      </c>
      <c r="V170" s="56">
        <v>799</v>
      </c>
      <c r="W170" s="56">
        <v>799</v>
      </c>
      <c r="X170" s="56">
        <v>799</v>
      </c>
      <c r="Y170" s="56">
        <v>799</v>
      </c>
      <c r="Z170" s="56">
        <v>799</v>
      </c>
      <c r="AA170" s="56">
        <v>799</v>
      </c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7"/>
      <c r="AW170" s="58" t="s">
        <v>67</v>
      </c>
      <c r="AX170" s="59" t="s">
        <v>68</v>
      </c>
      <c r="AY170" s="62">
        <f t="shared" si="10"/>
        <v>44.419799999999995</v>
      </c>
      <c r="AZ170" s="62">
        <f t="shared" si="11"/>
        <v>40.021799999999999</v>
      </c>
      <c r="BA170" s="63">
        <f t="shared" si="12"/>
        <v>22.649699999999999</v>
      </c>
    </row>
    <row r="171" spans="1:53" ht="22" customHeight="1">
      <c r="A171" s="51" t="s">
        <v>63</v>
      </c>
      <c r="B171" s="52" t="s">
        <v>64</v>
      </c>
      <c r="C171" s="53">
        <v>4017420</v>
      </c>
      <c r="D171" s="65" t="s">
        <v>282</v>
      </c>
      <c r="E171" s="65" t="s">
        <v>283</v>
      </c>
      <c r="F171" s="55">
        <v>3999</v>
      </c>
      <c r="G171" s="55">
        <v>2399</v>
      </c>
      <c r="H171" s="55">
        <v>3499</v>
      </c>
      <c r="I171" s="55">
        <v>3499</v>
      </c>
      <c r="J171" s="55">
        <v>3399</v>
      </c>
      <c r="K171" s="55">
        <v>3399</v>
      </c>
      <c r="L171" s="55">
        <v>3399</v>
      </c>
      <c r="M171" s="55">
        <v>3399</v>
      </c>
      <c r="N171" s="55">
        <v>3399</v>
      </c>
      <c r="O171" s="55">
        <v>3299</v>
      </c>
      <c r="P171" s="56">
        <v>3199</v>
      </c>
      <c r="Q171" s="56">
        <v>2499</v>
      </c>
      <c r="R171" s="55">
        <v>3299</v>
      </c>
      <c r="S171" s="55">
        <v>3199</v>
      </c>
      <c r="T171" s="55">
        <v>2499</v>
      </c>
      <c r="U171" s="55">
        <v>2499</v>
      </c>
      <c r="V171" s="55">
        <v>2499</v>
      </c>
      <c r="W171" s="55">
        <v>2499</v>
      </c>
      <c r="X171" s="55">
        <v>2399</v>
      </c>
      <c r="Y171" s="55">
        <v>1799</v>
      </c>
      <c r="Z171" s="55">
        <v>1799</v>
      </c>
      <c r="AA171" s="55">
        <v>1499</v>
      </c>
      <c r="AB171" s="55">
        <v>3399</v>
      </c>
      <c r="AC171" s="55">
        <v>3399</v>
      </c>
      <c r="AD171" s="55">
        <v>3399</v>
      </c>
      <c r="AE171" s="55">
        <v>3399</v>
      </c>
      <c r="AF171" s="55">
        <v>3299</v>
      </c>
      <c r="AG171" s="55">
        <v>3199</v>
      </c>
      <c r="AH171" s="55">
        <v>2499</v>
      </c>
      <c r="AI171" s="55">
        <v>2499</v>
      </c>
      <c r="AJ171" s="55">
        <v>2499</v>
      </c>
      <c r="AK171" s="55">
        <v>2499</v>
      </c>
      <c r="AL171" s="55">
        <v>1799</v>
      </c>
      <c r="AM171" s="55"/>
      <c r="AN171" s="55"/>
      <c r="AO171" s="55"/>
      <c r="AP171" s="55"/>
      <c r="AQ171" s="55"/>
      <c r="AR171" s="55"/>
      <c r="AS171" s="55"/>
      <c r="AT171" s="55"/>
      <c r="AU171" s="55"/>
      <c r="AV171" s="57"/>
      <c r="AW171" s="58" t="s">
        <v>67</v>
      </c>
      <c r="AX171" s="59" t="s">
        <v>68</v>
      </c>
      <c r="AY171" s="62">
        <f t="shared" si="10"/>
        <v>70.6798</v>
      </c>
      <c r="AZ171" s="62">
        <f t="shared" si="11"/>
        <v>63.681800000000003</v>
      </c>
      <c r="BA171" s="63">
        <f t="shared" si="12"/>
        <v>36.039700000000003</v>
      </c>
    </row>
    <row r="172" spans="1:53" ht="22" customHeight="1">
      <c r="A172" s="51" t="s">
        <v>63</v>
      </c>
      <c r="B172" s="52" t="s">
        <v>64</v>
      </c>
      <c r="C172" s="53">
        <v>4017415</v>
      </c>
      <c r="D172" s="65" t="s">
        <v>282</v>
      </c>
      <c r="E172" s="65" t="s">
        <v>284</v>
      </c>
      <c r="F172" s="55">
        <v>3999</v>
      </c>
      <c r="G172" s="55">
        <v>2399</v>
      </c>
      <c r="H172" s="55">
        <v>3499</v>
      </c>
      <c r="I172" s="55">
        <v>3499</v>
      </c>
      <c r="J172" s="55">
        <v>3399</v>
      </c>
      <c r="K172" s="55">
        <v>3399</v>
      </c>
      <c r="L172" s="55">
        <v>3399</v>
      </c>
      <c r="M172" s="55">
        <v>3399</v>
      </c>
      <c r="N172" s="55">
        <v>3399</v>
      </c>
      <c r="O172" s="55">
        <v>3299</v>
      </c>
      <c r="P172" s="56">
        <v>3199</v>
      </c>
      <c r="Q172" s="56">
        <v>2499</v>
      </c>
      <c r="R172" s="55">
        <v>3299</v>
      </c>
      <c r="S172" s="55">
        <v>3199</v>
      </c>
      <c r="T172" s="55">
        <v>2499</v>
      </c>
      <c r="U172" s="55">
        <v>2499</v>
      </c>
      <c r="V172" s="55">
        <v>2499</v>
      </c>
      <c r="W172" s="55">
        <v>2499</v>
      </c>
      <c r="X172" s="55">
        <v>2399</v>
      </c>
      <c r="Y172" s="55">
        <v>1799</v>
      </c>
      <c r="Z172" s="55">
        <v>1799</v>
      </c>
      <c r="AA172" s="55">
        <v>1499</v>
      </c>
      <c r="AB172" s="55">
        <v>3399</v>
      </c>
      <c r="AC172" s="55">
        <v>3399</v>
      </c>
      <c r="AD172" s="55">
        <v>3399</v>
      </c>
      <c r="AE172" s="55">
        <v>3399</v>
      </c>
      <c r="AF172" s="55">
        <v>3299</v>
      </c>
      <c r="AG172" s="55">
        <v>3199</v>
      </c>
      <c r="AH172" s="55">
        <v>2499</v>
      </c>
      <c r="AI172" s="55">
        <v>2499</v>
      </c>
      <c r="AJ172" s="55">
        <v>2499</v>
      </c>
      <c r="AK172" s="55">
        <v>2499</v>
      </c>
      <c r="AL172" s="55">
        <v>1799</v>
      </c>
      <c r="AM172" s="55"/>
      <c r="AN172" s="55"/>
      <c r="AO172" s="55"/>
      <c r="AP172" s="55"/>
      <c r="AQ172" s="55"/>
      <c r="AR172" s="55"/>
      <c r="AS172" s="55"/>
      <c r="AT172" s="55"/>
      <c r="AU172" s="55"/>
      <c r="AV172" s="57"/>
      <c r="AW172" s="58" t="s">
        <v>67</v>
      </c>
      <c r="AX172" s="59" t="s">
        <v>68</v>
      </c>
      <c r="AY172" s="62">
        <f t="shared" si="10"/>
        <v>70.6798</v>
      </c>
      <c r="AZ172" s="62">
        <f t="shared" si="11"/>
        <v>63.681800000000003</v>
      </c>
      <c r="BA172" s="63">
        <f t="shared" si="12"/>
        <v>36.039700000000003</v>
      </c>
    </row>
    <row r="173" spans="1:53" ht="22" customHeight="1">
      <c r="A173" s="51" t="s">
        <v>63</v>
      </c>
      <c r="B173" s="52" t="s">
        <v>64</v>
      </c>
      <c r="C173" s="53">
        <v>4017041</v>
      </c>
      <c r="D173" s="65" t="s">
        <v>285</v>
      </c>
      <c r="E173" s="65" t="s">
        <v>286</v>
      </c>
      <c r="F173" s="55">
        <v>4999</v>
      </c>
      <c r="G173" s="55">
        <v>2599</v>
      </c>
      <c r="H173" s="55">
        <v>3759</v>
      </c>
      <c r="I173" s="55">
        <v>3759</v>
      </c>
      <c r="J173" s="55">
        <v>2999</v>
      </c>
      <c r="K173" s="55">
        <v>2999</v>
      </c>
      <c r="L173" s="55">
        <v>2999</v>
      </c>
      <c r="M173" s="55">
        <v>2999</v>
      </c>
      <c r="N173" s="55">
        <v>2999</v>
      </c>
      <c r="O173" s="55">
        <v>2899</v>
      </c>
      <c r="P173" s="56">
        <v>2799</v>
      </c>
      <c r="Q173" s="56">
        <v>1499</v>
      </c>
      <c r="R173" s="55">
        <v>2899</v>
      </c>
      <c r="S173" s="55">
        <v>2799</v>
      </c>
      <c r="T173" s="55">
        <v>1499</v>
      </c>
      <c r="U173" s="55">
        <v>1499</v>
      </c>
      <c r="V173" s="55">
        <v>1499</v>
      </c>
      <c r="W173" s="55">
        <v>1499</v>
      </c>
      <c r="X173" s="55">
        <v>1499</v>
      </c>
      <c r="Y173" s="55">
        <v>1499</v>
      </c>
      <c r="Z173" s="55">
        <v>1499</v>
      </c>
      <c r="AA173" s="55">
        <v>1499</v>
      </c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7"/>
      <c r="AW173" s="58" t="s">
        <v>67</v>
      </c>
      <c r="AX173" s="59" t="s">
        <v>68</v>
      </c>
      <c r="AY173" s="60">
        <f t="shared" si="10"/>
        <v>75.931799999999996</v>
      </c>
      <c r="AZ173" s="60">
        <f t="shared" si="11"/>
        <v>68.413800000000009</v>
      </c>
      <c r="BA173" s="61">
        <f t="shared" si="12"/>
        <v>38.717700000000001</v>
      </c>
    </row>
    <row r="174" spans="1:53" ht="22" customHeight="1">
      <c r="A174" s="51" t="s">
        <v>63</v>
      </c>
      <c r="B174" s="52" t="s">
        <v>64</v>
      </c>
      <c r="C174" s="53">
        <v>4017646</v>
      </c>
      <c r="D174" s="65" t="s">
        <v>287</v>
      </c>
      <c r="E174" s="65" t="s">
        <v>288</v>
      </c>
      <c r="F174" s="55">
        <v>4999</v>
      </c>
      <c r="G174" s="55">
        <v>3399</v>
      </c>
      <c r="H174" s="55">
        <v>4999</v>
      </c>
      <c r="I174" s="55">
        <v>4999</v>
      </c>
      <c r="J174" s="55">
        <v>4899</v>
      </c>
      <c r="K174" s="55">
        <v>4899</v>
      </c>
      <c r="L174" s="55">
        <v>4899</v>
      </c>
      <c r="M174" s="55">
        <v>4899</v>
      </c>
      <c r="N174" s="55">
        <v>4899</v>
      </c>
      <c r="O174" s="55">
        <v>4799</v>
      </c>
      <c r="P174" s="56">
        <v>4699</v>
      </c>
      <c r="Q174" s="56">
        <v>3499</v>
      </c>
      <c r="R174" s="55">
        <v>4799</v>
      </c>
      <c r="S174" s="55">
        <v>4699</v>
      </c>
      <c r="T174" s="55">
        <v>3499</v>
      </c>
      <c r="U174" s="55">
        <v>3499</v>
      </c>
      <c r="V174" s="55">
        <v>3499</v>
      </c>
      <c r="W174" s="55">
        <v>3499</v>
      </c>
      <c r="X174" s="55">
        <v>3399</v>
      </c>
      <c r="Y174" s="55">
        <v>1999</v>
      </c>
      <c r="Z174" s="55">
        <v>1999</v>
      </c>
      <c r="AA174" s="55">
        <v>1799</v>
      </c>
      <c r="AB174" s="55">
        <v>4899</v>
      </c>
      <c r="AC174" s="55">
        <v>4899</v>
      </c>
      <c r="AD174" s="55">
        <v>4899</v>
      </c>
      <c r="AE174" s="55">
        <v>4899</v>
      </c>
      <c r="AF174" s="55">
        <v>4799</v>
      </c>
      <c r="AG174" s="55">
        <v>4699</v>
      </c>
      <c r="AH174" s="55">
        <v>3499</v>
      </c>
      <c r="AI174" s="55">
        <v>3499</v>
      </c>
      <c r="AJ174" s="55">
        <v>3499</v>
      </c>
      <c r="AK174" s="55">
        <v>3499</v>
      </c>
      <c r="AL174" s="55">
        <v>1999</v>
      </c>
      <c r="AM174" s="55"/>
      <c r="AN174" s="55"/>
      <c r="AO174" s="55"/>
      <c r="AP174" s="55"/>
      <c r="AQ174" s="55"/>
      <c r="AR174" s="55"/>
      <c r="AS174" s="55"/>
      <c r="AT174" s="55"/>
      <c r="AU174" s="55"/>
      <c r="AV174" s="57"/>
      <c r="AW174" s="58" t="s">
        <v>67</v>
      </c>
      <c r="AX174" s="59" t="s">
        <v>68</v>
      </c>
      <c r="AY174" s="62">
        <f t="shared" si="10"/>
        <v>100.9798</v>
      </c>
      <c r="AZ174" s="62">
        <f t="shared" si="11"/>
        <v>90.981800000000007</v>
      </c>
      <c r="BA174" s="63">
        <f t="shared" si="12"/>
        <v>51.489699999999999</v>
      </c>
    </row>
    <row r="175" spans="1:53" ht="22" customHeight="1">
      <c r="A175" s="51" t="s">
        <v>63</v>
      </c>
      <c r="B175" s="52" t="s">
        <v>64</v>
      </c>
      <c r="C175" s="53">
        <v>4017644</v>
      </c>
      <c r="D175" s="65" t="s">
        <v>287</v>
      </c>
      <c r="E175" s="65" t="s">
        <v>289</v>
      </c>
      <c r="F175" s="55">
        <v>4999</v>
      </c>
      <c r="G175" s="55">
        <v>3399</v>
      </c>
      <c r="H175" s="55">
        <v>4999</v>
      </c>
      <c r="I175" s="55">
        <v>4999</v>
      </c>
      <c r="J175" s="55">
        <v>4899</v>
      </c>
      <c r="K175" s="55">
        <v>4899</v>
      </c>
      <c r="L175" s="55">
        <v>4899</v>
      </c>
      <c r="M175" s="55">
        <v>4899</v>
      </c>
      <c r="N175" s="55">
        <v>4899</v>
      </c>
      <c r="O175" s="55">
        <v>4799</v>
      </c>
      <c r="P175" s="56">
        <v>4699</v>
      </c>
      <c r="Q175" s="56">
        <v>3499</v>
      </c>
      <c r="R175" s="55">
        <v>4799</v>
      </c>
      <c r="S175" s="55">
        <v>4699</v>
      </c>
      <c r="T175" s="55">
        <v>3499</v>
      </c>
      <c r="U175" s="55">
        <v>3499</v>
      </c>
      <c r="V175" s="55">
        <v>3499</v>
      </c>
      <c r="W175" s="55">
        <v>3499</v>
      </c>
      <c r="X175" s="55">
        <v>3399</v>
      </c>
      <c r="Y175" s="55">
        <v>1999</v>
      </c>
      <c r="Z175" s="55">
        <v>1999</v>
      </c>
      <c r="AA175" s="55">
        <v>1799</v>
      </c>
      <c r="AB175" s="55">
        <v>4899</v>
      </c>
      <c r="AC175" s="55">
        <v>4899</v>
      </c>
      <c r="AD175" s="55">
        <v>4899</v>
      </c>
      <c r="AE175" s="55">
        <v>4899</v>
      </c>
      <c r="AF175" s="55">
        <v>4799</v>
      </c>
      <c r="AG175" s="55">
        <v>4699</v>
      </c>
      <c r="AH175" s="55">
        <v>3499</v>
      </c>
      <c r="AI175" s="55">
        <v>3499</v>
      </c>
      <c r="AJ175" s="55">
        <v>3499</v>
      </c>
      <c r="AK175" s="55">
        <v>3499</v>
      </c>
      <c r="AL175" s="55">
        <v>1999</v>
      </c>
      <c r="AM175" s="55"/>
      <c r="AN175" s="55"/>
      <c r="AO175" s="55"/>
      <c r="AP175" s="55"/>
      <c r="AQ175" s="55"/>
      <c r="AR175" s="55"/>
      <c r="AS175" s="55"/>
      <c r="AT175" s="55"/>
      <c r="AU175" s="55"/>
      <c r="AV175" s="57"/>
      <c r="AW175" s="58" t="s">
        <v>67</v>
      </c>
      <c r="AX175" s="59" t="s">
        <v>68</v>
      </c>
      <c r="AY175" s="62">
        <f t="shared" si="10"/>
        <v>100.9798</v>
      </c>
      <c r="AZ175" s="62">
        <f t="shared" si="11"/>
        <v>90.981800000000007</v>
      </c>
      <c r="BA175" s="63">
        <f t="shared" si="12"/>
        <v>51.489699999999999</v>
      </c>
    </row>
    <row r="176" spans="1:53" ht="22" customHeight="1">
      <c r="A176" s="51" t="s">
        <v>63</v>
      </c>
      <c r="B176" s="52" t="s">
        <v>64</v>
      </c>
      <c r="C176" s="53">
        <v>4018070</v>
      </c>
      <c r="D176" s="65" t="s">
        <v>290</v>
      </c>
      <c r="E176" s="65" t="s">
        <v>291</v>
      </c>
      <c r="F176" s="55">
        <v>3799</v>
      </c>
      <c r="G176" s="55">
        <v>2199</v>
      </c>
      <c r="H176" s="55">
        <v>2799</v>
      </c>
      <c r="I176" s="55">
        <v>2799</v>
      </c>
      <c r="J176" s="55">
        <v>2699</v>
      </c>
      <c r="K176" s="55">
        <v>2699</v>
      </c>
      <c r="L176" s="55">
        <v>2699</v>
      </c>
      <c r="M176" s="55">
        <v>2699</v>
      </c>
      <c r="N176" s="55">
        <v>2699</v>
      </c>
      <c r="O176" s="55">
        <v>2599</v>
      </c>
      <c r="P176" s="56">
        <v>2499</v>
      </c>
      <c r="Q176" s="56">
        <v>2299</v>
      </c>
      <c r="R176" s="55">
        <v>2599</v>
      </c>
      <c r="S176" s="55">
        <v>2499</v>
      </c>
      <c r="T176" s="55">
        <v>2299</v>
      </c>
      <c r="U176" s="55">
        <v>2299</v>
      </c>
      <c r="V176" s="55">
        <v>2299</v>
      </c>
      <c r="W176" s="55">
        <v>2299</v>
      </c>
      <c r="X176" s="55">
        <v>2199</v>
      </c>
      <c r="Y176" s="55">
        <v>1699</v>
      </c>
      <c r="Z176" s="55">
        <v>1699</v>
      </c>
      <c r="AA176" s="55">
        <v>1499</v>
      </c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7"/>
      <c r="AW176" s="58" t="s">
        <v>67</v>
      </c>
      <c r="AX176" s="59" t="s">
        <v>68</v>
      </c>
      <c r="AY176" s="62">
        <f t="shared" si="10"/>
        <v>56.5398</v>
      </c>
      <c r="AZ176" s="62">
        <f t="shared" si="11"/>
        <v>50.941800000000001</v>
      </c>
      <c r="BA176" s="63">
        <f t="shared" si="12"/>
        <v>28.829699999999999</v>
      </c>
    </row>
    <row r="177" spans="1:53" ht="22" customHeight="1">
      <c r="A177" s="51" t="s">
        <v>63</v>
      </c>
      <c r="B177" s="52" t="s">
        <v>64</v>
      </c>
      <c r="C177" s="53">
        <v>4017666</v>
      </c>
      <c r="D177" s="65" t="s">
        <v>292</v>
      </c>
      <c r="E177" s="65" t="s">
        <v>293</v>
      </c>
      <c r="F177" s="55">
        <v>5999</v>
      </c>
      <c r="G177" s="55">
        <v>3399</v>
      </c>
      <c r="H177" s="55">
        <v>4999</v>
      </c>
      <c r="I177" s="55">
        <v>4999</v>
      </c>
      <c r="J177" s="55">
        <v>4899</v>
      </c>
      <c r="K177" s="55">
        <v>4899</v>
      </c>
      <c r="L177" s="55">
        <v>4899</v>
      </c>
      <c r="M177" s="55">
        <v>4899</v>
      </c>
      <c r="N177" s="55">
        <v>4899</v>
      </c>
      <c r="O177" s="55">
        <v>4799</v>
      </c>
      <c r="P177" s="56">
        <v>4699</v>
      </c>
      <c r="Q177" s="56">
        <v>3499</v>
      </c>
      <c r="R177" s="55">
        <v>4799</v>
      </c>
      <c r="S177" s="55">
        <v>4699</v>
      </c>
      <c r="T177" s="55">
        <v>3499</v>
      </c>
      <c r="U177" s="55">
        <v>3499</v>
      </c>
      <c r="V177" s="55">
        <v>3499</v>
      </c>
      <c r="W177" s="55">
        <v>3499</v>
      </c>
      <c r="X177" s="55">
        <v>3399</v>
      </c>
      <c r="Y177" s="55">
        <v>1999</v>
      </c>
      <c r="Z177" s="55">
        <v>1999</v>
      </c>
      <c r="AA177" s="55">
        <v>1799</v>
      </c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7"/>
      <c r="AW177" s="58" t="s">
        <v>67</v>
      </c>
      <c r="AX177" s="59" t="s">
        <v>68</v>
      </c>
      <c r="AY177" s="62">
        <f t="shared" si="10"/>
        <v>100.9798</v>
      </c>
      <c r="AZ177" s="62">
        <f t="shared" si="11"/>
        <v>90.981800000000007</v>
      </c>
      <c r="BA177" s="63">
        <f t="shared" si="12"/>
        <v>51.489699999999999</v>
      </c>
    </row>
    <row r="178" spans="1:53" ht="22.5" customHeight="1">
      <c r="A178" s="64" t="s">
        <v>241</v>
      </c>
      <c r="B178" s="52" t="s">
        <v>64</v>
      </c>
      <c r="C178" s="53">
        <v>4014667</v>
      </c>
      <c r="D178" s="65" t="s">
        <v>294</v>
      </c>
      <c r="E178" s="65" t="s">
        <v>295</v>
      </c>
      <c r="F178" s="55">
        <v>899</v>
      </c>
      <c r="G178" s="55">
        <v>499</v>
      </c>
      <c r="H178" s="55">
        <v>499</v>
      </c>
      <c r="I178" s="55">
        <v>499</v>
      </c>
      <c r="J178" s="55">
        <f t="shared" si="6"/>
        <v>399</v>
      </c>
      <c r="K178" s="55">
        <f t="shared" si="7"/>
        <v>399</v>
      </c>
      <c r="L178" s="55">
        <f t="shared" si="7"/>
        <v>399</v>
      </c>
      <c r="M178" s="55">
        <v>399</v>
      </c>
      <c r="N178" s="55">
        <v>399</v>
      </c>
      <c r="O178" s="55">
        <f t="shared" ref="O178:Q181" si="13">R178</f>
        <v>349</v>
      </c>
      <c r="P178" s="56">
        <f t="shared" si="13"/>
        <v>299</v>
      </c>
      <c r="Q178" s="56">
        <f t="shared" si="13"/>
        <v>299</v>
      </c>
      <c r="R178" s="55">
        <v>349</v>
      </c>
      <c r="S178" s="55">
        <v>299</v>
      </c>
      <c r="T178" s="55">
        <v>299</v>
      </c>
      <c r="U178" s="55">
        <v>299</v>
      </c>
      <c r="V178" s="55">
        <v>299</v>
      </c>
      <c r="W178" s="55">
        <v>299</v>
      </c>
      <c r="X178" s="55">
        <v>299</v>
      </c>
      <c r="Y178" s="55">
        <v>299</v>
      </c>
      <c r="Z178" s="55">
        <v>299</v>
      </c>
      <c r="AA178" s="55">
        <v>299</v>
      </c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7"/>
      <c r="AW178" s="58" t="s">
        <v>67</v>
      </c>
      <c r="AX178" s="59" t="s">
        <v>247</v>
      </c>
      <c r="AY178" s="60">
        <f t="shared" si="10"/>
        <v>10.079799999999999</v>
      </c>
      <c r="AZ178" s="60">
        <f t="shared" si="11"/>
        <v>9.0818000000000012</v>
      </c>
      <c r="BA178" s="61">
        <f t="shared" si="12"/>
        <v>5.1397000000000004</v>
      </c>
    </row>
    <row r="179" spans="1:53" ht="22.5" customHeight="1">
      <c r="A179" s="64" t="s">
        <v>241</v>
      </c>
      <c r="B179" s="52" t="s">
        <v>64</v>
      </c>
      <c r="C179" s="53">
        <v>4014668</v>
      </c>
      <c r="D179" s="65" t="s">
        <v>294</v>
      </c>
      <c r="E179" s="65" t="s">
        <v>296</v>
      </c>
      <c r="F179" s="55">
        <v>899</v>
      </c>
      <c r="G179" s="55">
        <v>499</v>
      </c>
      <c r="H179" s="55">
        <v>499</v>
      </c>
      <c r="I179" s="55">
        <v>499</v>
      </c>
      <c r="J179" s="55">
        <f t="shared" si="6"/>
        <v>399</v>
      </c>
      <c r="K179" s="55">
        <f t="shared" si="7"/>
        <v>399</v>
      </c>
      <c r="L179" s="55">
        <f t="shared" si="7"/>
        <v>399</v>
      </c>
      <c r="M179" s="55">
        <v>399</v>
      </c>
      <c r="N179" s="55">
        <v>399</v>
      </c>
      <c r="O179" s="55">
        <f t="shared" si="13"/>
        <v>349</v>
      </c>
      <c r="P179" s="56">
        <f t="shared" si="13"/>
        <v>299</v>
      </c>
      <c r="Q179" s="56">
        <f t="shared" si="13"/>
        <v>299</v>
      </c>
      <c r="R179" s="55">
        <v>349</v>
      </c>
      <c r="S179" s="55">
        <v>299</v>
      </c>
      <c r="T179" s="55">
        <v>299</v>
      </c>
      <c r="U179" s="55">
        <v>299</v>
      </c>
      <c r="V179" s="55">
        <v>299</v>
      </c>
      <c r="W179" s="55">
        <v>299</v>
      </c>
      <c r="X179" s="55">
        <v>299</v>
      </c>
      <c r="Y179" s="55">
        <v>299</v>
      </c>
      <c r="Z179" s="55">
        <v>299</v>
      </c>
      <c r="AA179" s="55">
        <v>299</v>
      </c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7"/>
      <c r="AW179" s="58" t="s">
        <v>67</v>
      </c>
      <c r="AX179" s="59" t="s">
        <v>247</v>
      </c>
      <c r="AY179" s="60">
        <f t="shared" si="10"/>
        <v>10.079799999999999</v>
      </c>
      <c r="AZ179" s="60">
        <f t="shared" si="11"/>
        <v>9.0818000000000012</v>
      </c>
      <c r="BA179" s="61">
        <f t="shared" si="12"/>
        <v>5.1397000000000004</v>
      </c>
    </row>
    <row r="180" spans="1:53" ht="22.5" customHeight="1">
      <c r="A180" s="64" t="s">
        <v>241</v>
      </c>
      <c r="B180" s="52" t="s">
        <v>64</v>
      </c>
      <c r="C180" s="53">
        <v>4016017</v>
      </c>
      <c r="D180" s="54" t="s">
        <v>297</v>
      </c>
      <c r="E180" s="54" t="s">
        <v>298</v>
      </c>
      <c r="F180" s="55">
        <v>899</v>
      </c>
      <c r="G180" s="55">
        <v>799</v>
      </c>
      <c r="H180" s="55">
        <v>799</v>
      </c>
      <c r="I180" s="55">
        <v>799</v>
      </c>
      <c r="J180" s="55">
        <f t="shared" si="6"/>
        <v>699</v>
      </c>
      <c r="K180" s="55">
        <f t="shared" si="7"/>
        <v>699</v>
      </c>
      <c r="L180" s="55">
        <f t="shared" si="7"/>
        <v>699</v>
      </c>
      <c r="M180" s="55">
        <v>699</v>
      </c>
      <c r="N180" s="55">
        <v>699</v>
      </c>
      <c r="O180" s="55">
        <f t="shared" si="13"/>
        <v>649</v>
      </c>
      <c r="P180" s="56">
        <f t="shared" si="13"/>
        <v>599</v>
      </c>
      <c r="Q180" s="56">
        <v>599</v>
      </c>
      <c r="R180" s="55">
        <v>649</v>
      </c>
      <c r="S180" s="55">
        <v>599</v>
      </c>
      <c r="T180" s="55">
        <v>599</v>
      </c>
      <c r="U180" s="55">
        <v>599</v>
      </c>
      <c r="V180" s="55">
        <v>599</v>
      </c>
      <c r="W180" s="55">
        <v>599</v>
      </c>
      <c r="X180" s="55">
        <v>599</v>
      </c>
      <c r="Y180" s="55">
        <v>599</v>
      </c>
      <c r="Z180" s="55">
        <v>599</v>
      </c>
      <c r="AA180" s="55">
        <v>599</v>
      </c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7"/>
      <c r="AW180" s="58" t="s">
        <v>67</v>
      </c>
      <c r="AX180" s="59" t="s">
        <v>247</v>
      </c>
      <c r="AY180" s="60">
        <f t="shared" si="10"/>
        <v>16.139800000000001</v>
      </c>
      <c r="AZ180" s="60">
        <f t="shared" si="11"/>
        <v>14.5418</v>
      </c>
      <c r="BA180" s="61">
        <f t="shared" si="12"/>
        <v>8.2296999999999993</v>
      </c>
    </row>
    <row r="181" spans="1:53" ht="22.5" customHeight="1">
      <c r="A181" s="64" t="s">
        <v>241</v>
      </c>
      <c r="B181" s="52" t="s">
        <v>64</v>
      </c>
      <c r="C181" s="53">
        <v>4016281</v>
      </c>
      <c r="D181" s="54" t="s">
        <v>299</v>
      </c>
      <c r="E181" s="54" t="s">
        <v>300</v>
      </c>
      <c r="F181" s="55">
        <v>899</v>
      </c>
      <c r="G181" s="55">
        <v>799</v>
      </c>
      <c r="H181" s="55">
        <v>799</v>
      </c>
      <c r="I181" s="55">
        <v>799</v>
      </c>
      <c r="J181" s="55">
        <f t="shared" si="6"/>
        <v>699</v>
      </c>
      <c r="K181" s="55">
        <f t="shared" si="7"/>
        <v>699</v>
      </c>
      <c r="L181" s="55">
        <f t="shared" si="7"/>
        <v>699</v>
      </c>
      <c r="M181" s="55">
        <v>699</v>
      </c>
      <c r="N181" s="55">
        <v>699</v>
      </c>
      <c r="O181" s="55">
        <f t="shared" si="13"/>
        <v>649</v>
      </c>
      <c r="P181" s="56">
        <v>649</v>
      </c>
      <c r="Q181" s="56">
        <v>649</v>
      </c>
      <c r="R181" s="55">
        <v>649</v>
      </c>
      <c r="S181" s="55">
        <v>649</v>
      </c>
      <c r="T181" s="55">
        <v>649</v>
      </c>
      <c r="U181" s="55">
        <v>649</v>
      </c>
      <c r="V181" s="55">
        <v>649</v>
      </c>
      <c r="W181" s="55">
        <v>649</v>
      </c>
      <c r="X181" s="55">
        <v>649</v>
      </c>
      <c r="Y181" s="55">
        <v>649</v>
      </c>
      <c r="Z181" s="55">
        <v>649</v>
      </c>
      <c r="AA181" s="55">
        <v>649</v>
      </c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7"/>
      <c r="AW181" s="58" t="s">
        <v>67</v>
      </c>
      <c r="AX181" s="59" t="s">
        <v>247</v>
      </c>
      <c r="AY181" s="60">
        <f t="shared" si="10"/>
        <v>16.139800000000001</v>
      </c>
      <c r="AZ181" s="60">
        <f t="shared" si="11"/>
        <v>14.5418</v>
      </c>
      <c r="BA181" s="61">
        <f t="shared" si="12"/>
        <v>8.2296999999999993</v>
      </c>
    </row>
    <row r="182" spans="1:53" ht="22.5" customHeight="1">
      <c r="A182" s="64" t="s">
        <v>241</v>
      </c>
      <c r="B182" s="52" t="s">
        <v>64</v>
      </c>
      <c r="C182" s="53">
        <v>4016801</v>
      </c>
      <c r="D182" s="66" t="s">
        <v>301</v>
      </c>
      <c r="E182" s="66" t="s">
        <v>302</v>
      </c>
      <c r="F182" s="55">
        <v>1099</v>
      </c>
      <c r="G182" s="55">
        <v>699</v>
      </c>
      <c r="H182" s="55">
        <v>699</v>
      </c>
      <c r="I182" s="55">
        <v>699</v>
      </c>
      <c r="J182" s="55">
        <v>599</v>
      </c>
      <c r="K182" s="55">
        <v>499</v>
      </c>
      <c r="L182" s="55">
        <v>499</v>
      </c>
      <c r="M182" s="55">
        <v>599</v>
      </c>
      <c r="N182" s="55">
        <v>499</v>
      </c>
      <c r="O182" s="55">
        <v>499</v>
      </c>
      <c r="P182" s="56">
        <v>499</v>
      </c>
      <c r="Q182" s="56">
        <v>499</v>
      </c>
      <c r="R182" s="55">
        <v>499</v>
      </c>
      <c r="S182" s="55">
        <v>499</v>
      </c>
      <c r="T182" s="55">
        <v>499</v>
      </c>
      <c r="U182" s="55">
        <v>499</v>
      </c>
      <c r="V182" s="55">
        <v>499</v>
      </c>
      <c r="W182" s="55">
        <v>499</v>
      </c>
      <c r="X182" s="55">
        <v>499</v>
      </c>
      <c r="Y182" s="55">
        <v>499</v>
      </c>
      <c r="Z182" s="55">
        <v>499</v>
      </c>
      <c r="AA182" s="55">
        <v>499</v>
      </c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7"/>
      <c r="AW182" s="58" t="s">
        <v>67</v>
      </c>
      <c r="AX182" s="59" t="s">
        <v>247</v>
      </c>
      <c r="AY182" s="60">
        <f t="shared" si="10"/>
        <v>14.1198</v>
      </c>
      <c r="AZ182" s="60">
        <f t="shared" si="11"/>
        <v>12.7218</v>
      </c>
      <c r="BA182" s="61">
        <f t="shared" si="12"/>
        <v>7.1997</v>
      </c>
    </row>
    <row r="183" spans="1:53" ht="22.5" customHeight="1">
      <c r="A183" s="64" t="s">
        <v>241</v>
      </c>
      <c r="B183" s="52" t="s">
        <v>64</v>
      </c>
      <c r="C183" s="53">
        <v>4017405</v>
      </c>
      <c r="D183" s="66" t="s">
        <v>303</v>
      </c>
      <c r="E183" s="66" t="s">
        <v>304</v>
      </c>
      <c r="F183" s="56">
        <v>1399</v>
      </c>
      <c r="G183" s="56">
        <v>1099</v>
      </c>
      <c r="H183" s="56">
        <v>1099</v>
      </c>
      <c r="I183" s="56">
        <v>1099</v>
      </c>
      <c r="J183" s="56">
        <v>999</v>
      </c>
      <c r="K183" s="56">
        <v>899</v>
      </c>
      <c r="L183" s="56">
        <v>899</v>
      </c>
      <c r="M183" s="56">
        <v>999</v>
      </c>
      <c r="N183" s="56">
        <v>899</v>
      </c>
      <c r="O183" s="56">
        <v>849</v>
      </c>
      <c r="P183" s="56">
        <v>849</v>
      </c>
      <c r="Q183" s="56">
        <v>799</v>
      </c>
      <c r="R183" s="56">
        <v>849</v>
      </c>
      <c r="S183" s="56">
        <v>849</v>
      </c>
      <c r="T183" s="56">
        <v>799</v>
      </c>
      <c r="U183" s="56">
        <v>799</v>
      </c>
      <c r="V183" s="56">
        <v>799</v>
      </c>
      <c r="W183" s="56">
        <v>799</v>
      </c>
      <c r="X183" s="56">
        <v>699</v>
      </c>
      <c r="Y183" s="56">
        <v>599</v>
      </c>
      <c r="Z183" s="56">
        <v>599</v>
      </c>
      <c r="AA183" s="56">
        <v>599</v>
      </c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7"/>
      <c r="AW183" s="58" t="s">
        <v>67</v>
      </c>
      <c r="AX183" s="59" t="s">
        <v>247</v>
      </c>
      <c r="AY183" s="62">
        <f t="shared" si="10"/>
        <v>22.1998</v>
      </c>
      <c r="AZ183" s="62">
        <f t="shared" si="11"/>
        <v>20.001799999999999</v>
      </c>
      <c r="BA183" s="63">
        <f t="shared" si="12"/>
        <v>11.319700000000001</v>
      </c>
    </row>
    <row r="184" spans="1:53" ht="21.75" customHeight="1">
      <c r="A184" s="64" t="s">
        <v>241</v>
      </c>
      <c r="B184" s="52" t="s">
        <v>64</v>
      </c>
      <c r="C184" s="53">
        <v>4015983</v>
      </c>
      <c r="D184" s="65" t="s">
        <v>305</v>
      </c>
      <c r="E184" s="65" t="s">
        <v>306</v>
      </c>
      <c r="F184" s="55">
        <v>1299</v>
      </c>
      <c r="G184" s="55">
        <v>899</v>
      </c>
      <c r="H184" s="55">
        <v>899</v>
      </c>
      <c r="I184" s="55">
        <v>899</v>
      </c>
      <c r="J184" s="55">
        <v>799</v>
      </c>
      <c r="K184" s="55">
        <v>799</v>
      </c>
      <c r="L184" s="55">
        <v>799</v>
      </c>
      <c r="M184" s="55">
        <v>799</v>
      </c>
      <c r="N184" s="55">
        <v>799</v>
      </c>
      <c r="O184" s="55">
        <v>749</v>
      </c>
      <c r="P184" s="56">
        <v>749</v>
      </c>
      <c r="Q184" s="56">
        <v>749</v>
      </c>
      <c r="R184" s="55">
        <v>749</v>
      </c>
      <c r="S184" s="55">
        <v>749</v>
      </c>
      <c r="T184" s="55">
        <v>749</v>
      </c>
      <c r="U184" s="55">
        <v>749</v>
      </c>
      <c r="V184" s="55">
        <v>749</v>
      </c>
      <c r="W184" s="55">
        <v>749</v>
      </c>
      <c r="X184" s="55">
        <v>749</v>
      </c>
      <c r="Y184" s="55">
        <v>749</v>
      </c>
      <c r="Z184" s="55">
        <v>749</v>
      </c>
      <c r="AA184" s="55">
        <v>749</v>
      </c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7"/>
      <c r="AW184" s="58" t="s">
        <v>67</v>
      </c>
      <c r="AX184" s="59" t="s">
        <v>68</v>
      </c>
      <c r="AY184" s="60">
        <f t="shared" si="10"/>
        <v>18.159800000000001</v>
      </c>
      <c r="AZ184" s="60">
        <f t="shared" si="11"/>
        <v>16.361800000000002</v>
      </c>
      <c r="BA184" s="61">
        <f t="shared" si="12"/>
        <v>9.2597000000000005</v>
      </c>
    </row>
    <row r="185" spans="1:53" ht="21.75" customHeight="1">
      <c r="A185" s="64" t="s">
        <v>241</v>
      </c>
      <c r="B185" s="52" t="s">
        <v>64</v>
      </c>
      <c r="C185" s="53">
        <v>4015985</v>
      </c>
      <c r="D185" s="65" t="s">
        <v>305</v>
      </c>
      <c r="E185" s="65" t="s">
        <v>307</v>
      </c>
      <c r="F185" s="55">
        <v>1299</v>
      </c>
      <c r="G185" s="55">
        <v>899</v>
      </c>
      <c r="H185" s="55">
        <v>899</v>
      </c>
      <c r="I185" s="55">
        <v>899</v>
      </c>
      <c r="J185" s="55">
        <v>799</v>
      </c>
      <c r="K185" s="55">
        <v>799</v>
      </c>
      <c r="L185" s="55">
        <v>799</v>
      </c>
      <c r="M185" s="55">
        <v>799</v>
      </c>
      <c r="N185" s="55">
        <v>799</v>
      </c>
      <c r="O185" s="55">
        <v>749</v>
      </c>
      <c r="P185" s="56">
        <v>749</v>
      </c>
      <c r="Q185" s="56">
        <v>749</v>
      </c>
      <c r="R185" s="55">
        <v>749</v>
      </c>
      <c r="S185" s="55">
        <v>749</v>
      </c>
      <c r="T185" s="55">
        <v>749</v>
      </c>
      <c r="U185" s="55">
        <v>749</v>
      </c>
      <c r="V185" s="55">
        <v>749</v>
      </c>
      <c r="W185" s="55">
        <v>749</v>
      </c>
      <c r="X185" s="55">
        <v>749</v>
      </c>
      <c r="Y185" s="55">
        <v>749</v>
      </c>
      <c r="Z185" s="55">
        <v>749</v>
      </c>
      <c r="AA185" s="55">
        <v>749</v>
      </c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7"/>
      <c r="AW185" s="58" t="s">
        <v>67</v>
      </c>
      <c r="AX185" s="59" t="s">
        <v>68</v>
      </c>
      <c r="AY185" s="60">
        <f t="shared" si="10"/>
        <v>18.159800000000001</v>
      </c>
      <c r="AZ185" s="60">
        <f t="shared" si="11"/>
        <v>16.361800000000002</v>
      </c>
      <c r="BA185" s="61">
        <f t="shared" si="12"/>
        <v>9.2597000000000005</v>
      </c>
    </row>
    <row r="186" spans="1:53" ht="21.75" customHeight="1">
      <c r="A186" s="64" t="s">
        <v>241</v>
      </c>
      <c r="B186" s="52" t="s">
        <v>64</v>
      </c>
      <c r="C186" s="53">
        <v>4016578</v>
      </c>
      <c r="D186" s="65" t="s">
        <v>308</v>
      </c>
      <c r="E186" s="65" t="s">
        <v>309</v>
      </c>
      <c r="F186" s="55">
        <v>1499</v>
      </c>
      <c r="G186" s="55">
        <v>1099</v>
      </c>
      <c r="H186" s="55">
        <v>1099</v>
      </c>
      <c r="I186" s="55">
        <v>1099</v>
      </c>
      <c r="J186" s="55">
        <v>999</v>
      </c>
      <c r="K186" s="55">
        <v>899</v>
      </c>
      <c r="L186" s="55">
        <v>899</v>
      </c>
      <c r="M186" s="55">
        <v>999</v>
      </c>
      <c r="N186" s="55">
        <v>899</v>
      </c>
      <c r="O186" s="55">
        <v>849</v>
      </c>
      <c r="P186" s="56">
        <v>849</v>
      </c>
      <c r="Q186" s="56">
        <v>849</v>
      </c>
      <c r="R186" s="55">
        <v>849</v>
      </c>
      <c r="S186" s="55">
        <v>849</v>
      </c>
      <c r="T186" s="55">
        <v>849</v>
      </c>
      <c r="U186" s="55">
        <v>849</v>
      </c>
      <c r="V186" s="55">
        <v>849</v>
      </c>
      <c r="W186" s="55">
        <v>849</v>
      </c>
      <c r="X186" s="55">
        <v>849</v>
      </c>
      <c r="Y186" s="55">
        <v>849</v>
      </c>
      <c r="Z186" s="55">
        <v>849</v>
      </c>
      <c r="AA186" s="55">
        <v>849</v>
      </c>
      <c r="AB186" s="55">
        <v>899</v>
      </c>
      <c r="AC186" s="55">
        <v>899</v>
      </c>
      <c r="AD186" s="55">
        <v>899</v>
      </c>
      <c r="AE186" s="55">
        <v>849</v>
      </c>
      <c r="AF186" s="55">
        <v>849</v>
      </c>
      <c r="AG186" s="55">
        <v>849</v>
      </c>
      <c r="AH186" s="55">
        <v>849</v>
      </c>
      <c r="AI186" s="55">
        <v>849</v>
      </c>
      <c r="AJ186" s="55">
        <v>849</v>
      </c>
      <c r="AK186" s="55">
        <v>849</v>
      </c>
      <c r="AL186" s="55">
        <v>849</v>
      </c>
      <c r="AM186" s="55"/>
      <c r="AN186" s="55"/>
      <c r="AO186" s="55"/>
      <c r="AP186" s="55"/>
      <c r="AQ186" s="55"/>
      <c r="AR186" s="55"/>
      <c r="AS186" s="55"/>
      <c r="AT186" s="55"/>
      <c r="AU186" s="55"/>
      <c r="AV186" s="57"/>
      <c r="AW186" s="58" t="s">
        <v>67</v>
      </c>
      <c r="AX186" s="59" t="s">
        <v>68</v>
      </c>
      <c r="AY186" s="60">
        <f t="shared" si="10"/>
        <v>22.1998</v>
      </c>
      <c r="AZ186" s="60">
        <f t="shared" si="11"/>
        <v>20.001799999999999</v>
      </c>
      <c r="BA186" s="61">
        <f t="shared" si="12"/>
        <v>11.319700000000001</v>
      </c>
    </row>
    <row r="187" spans="1:53" ht="21.75" customHeight="1">
      <c r="A187" s="64" t="s">
        <v>241</v>
      </c>
      <c r="B187" s="52" t="s">
        <v>64</v>
      </c>
      <c r="C187" s="53">
        <v>4016661</v>
      </c>
      <c r="D187" s="65" t="s">
        <v>308</v>
      </c>
      <c r="E187" s="65" t="s">
        <v>310</v>
      </c>
      <c r="F187" s="55">
        <v>1499</v>
      </c>
      <c r="G187" s="55">
        <v>1099</v>
      </c>
      <c r="H187" s="55">
        <v>1099</v>
      </c>
      <c r="I187" s="55">
        <v>1099</v>
      </c>
      <c r="J187" s="55">
        <v>999</v>
      </c>
      <c r="K187" s="55">
        <v>899</v>
      </c>
      <c r="L187" s="55">
        <v>899</v>
      </c>
      <c r="M187" s="55">
        <v>999</v>
      </c>
      <c r="N187" s="55">
        <v>899</v>
      </c>
      <c r="O187" s="55">
        <v>849</v>
      </c>
      <c r="P187" s="56">
        <v>849</v>
      </c>
      <c r="Q187" s="56">
        <v>849</v>
      </c>
      <c r="R187" s="55">
        <v>849</v>
      </c>
      <c r="S187" s="55">
        <v>849</v>
      </c>
      <c r="T187" s="55">
        <v>849</v>
      </c>
      <c r="U187" s="55">
        <v>849</v>
      </c>
      <c r="V187" s="55">
        <v>849</v>
      </c>
      <c r="W187" s="55">
        <v>849</v>
      </c>
      <c r="X187" s="55">
        <v>849</v>
      </c>
      <c r="Y187" s="55">
        <v>849</v>
      </c>
      <c r="Z187" s="55">
        <v>849</v>
      </c>
      <c r="AA187" s="55">
        <v>849</v>
      </c>
      <c r="AB187" s="55">
        <v>899</v>
      </c>
      <c r="AC187" s="55">
        <v>899</v>
      </c>
      <c r="AD187" s="55">
        <v>899</v>
      </c>
      <c r="AE187" s="55">
        <v>849</v>
      </c>
      <c r="AF187" s="55">
        <v>849</v>
      </c>
      <c r="AG187" s="55">
        <v>849</v>
      </c>
      <c r="AH187" s="55">
        <v>849</v>
      </c>
      <c r="AI187" s="55">
        <v>849</v>
      </c>
      <c r="AJ187" s="55">
        <v>849</v>
      </c>
      <c r="AK187" s="55">
        <v>849</v>
      </c>
      <c r="AL187" s="55">
        <v>849</v>
      </c>
      <c r="AM187" s="55"/>
      <c r="AN187" s="55"/>
      <c r="AO187" s="55"/>
      <c r="AP187" s="55"/>
      <c r="AQ187" s="55"/>
      <c r="AR187" s="55"/>
      <c r="AS187" s="55"/>
      <c r="AT187" s="55"/>
      <c r="AU187" s="55"/>
      <c r="AV187" s="57"/>
      <c r="AW187" s="58" t="s">
        <v>67</v>
      </c>
      <c r="AX187" s="59" t="s">
        <v>68</v>
      </c>
      <c r="AY187" s="60">
        <f t="shared" si="10"/>
        <v>22.1998</v>
      </c>
      <c r="AZ187" s="60">
        <f t="shared" si="11"/>
        <v>20.001799999999999</v>
      </c>
      <c r="BA187" s="61">
        <f t="shared" si="12"/>
        <v>11.319700000000001</v>
      </c>
    </row>
    <row r="188" spans="1:53" ht="21.75" customHeight="1">
      <c r="A188" s="64" t="s">
        <v>241</v>
      </c>
      <c r="B188" s="52" t="s">
        <v>64</v>
      </c>
      <c r="C188" s="53">
        <v>4016660</v>
      </c>
      <c r="D188" s="65" t="s">
        <v>311</v>
      </c>
      <c r="E188" s="65" t="s">
        <v>312</v>
      </c>
      <c r="F188" s="55">
        <v>1699</v>
      </c>
      <c r="G188" s="55">
        <v>1399</v>
      </c>
      <c r="H188" s="55">
        <v>1399</v>
      </c>
      <c r="I188" s="55">
        <v>1399</v>
      </c>
      <c r="J188" s="55">
        <v>1299</v>
      </c>
      <c r="K188" s="55">
        <v>1299</v>
      </c>
      <c r="L188" s="55">
        <v>1299</v>
      </c>
      <c r="M188" s="55">
        <v>1299</v>
      </c>
      <c r="N188" s="55">
        <v>1299</v>
      </c>
      <c r="O188" s="55">
        <v>1249</v>
      </c>
      <c r="P188" s="56">
        <v>1199</v>
      </c>
      <c r="Q188" s="56">
        <v>999</v>
      </c>
      <c r="R188" s="55">
        <v>1249</v>
      </c>
      <c r="S188" s="55">
        <v>1199</v>
      </c>
      <c r="T188" s="55">
        <v>999</v>
      </c>
      <c r="U188" s="55">
        <v>999</v>
      </c>
      <c r="V188" s="55">
        <v>999</v>
      </c>
      <c r="W188" s="55">
        <v>999</v>
      </c>
      <c r="X188" s="55">
        <v>999</v>
      </c>
      <c r="Y188" s="55">
        <v>999</v>
      </c>
      <c r="Z188" s="55">
        <v>999</v>
      </c>
      <c r="AA188" s="55">
        <v>999</v>
      </c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7"/>
      <c r="AW188" s="58" t="s">
        <v>67</v>
      </c>
      <c r="AX188" s="59" t="s">
        <v>68</v>
      </c>
      <c r="AY188" s="60">
        <f t="shared" si="10"/>
        <v>28.259799999999998</v>
      </c>
      <c r="AZ188" s="60">
        <f t="shared" si="11"/>
        <v>25.4618</v>
      </c>
      <c r="BA188" s="61">
        <f t="shared" si="12"/>
        <v>14.409700000000001</v>
      </c>
    </row>
    <row r="189" spans="1:53" ht="21.75" customHeight="1">
      <c r="A189" s="64" t="s">
        <v>241</v>
      </c>
      <c r="B189" s="52" t="s">
        <v>64</v>
      </c>
      <c r="C189" s="53">
        <v>4016663</v>
      </c>
      <c r="D189" s="65" t="s">
        <v>311</v>
      </c>
      <c r="E189" s="65" t="s">
        <v>313</v>
      </c>
      <c r="F189" s="55">
        <v>1699</v>
      </c>
      <c r="G189" s="55">
        <v>1399</v>
      </c>
      <c r="H189" s="55">
        <v>1399</v>
      </c>
      <c r="I189" s="55">
        <v>1399</v>
      </c>
      <c r="J189" s="55">
        <v>1299</v>
      </c>
      <c r="K189" s="55">
        <v>1299</v>
      </c>
      <c r="L189" s="55">
        <v>1299</v>
      </c>
      <c r="M189" s="55">
        <v>1299</v>
      </c>
      <c r="N189" s="55">
        <v>1299</v>
      </c>
      <c r="O189" s="55">
        <v>1249</v>
      </c>
      <c r="P189" s="56">
        <v>1199</v>
      </c>
      <c r="Q189" s="56">
        <v>999</v>
      </c>
      <c r="R189" s="55">
        <v>1249</v>
      </c>
      <c r="S189" s="55">
        <v>1199</v>
      </c>
      <c r="T189" s="55">
        <v>999</v>
      </c>
      <c r="U189" s="55">
        <v>999</v>
      </c>
      <c r="V189" s="55">
        <v>999</v>
      </c>
      <c r="W189" s="55">
        <v>999</v>
      </c>
      <c r="X189" s="55">
        <v>999</v>
      </c>
      <c r="Y189" s="55">
        <v>999</v>
      </c>
      <c r="Z189" s="55">
        <v>999</v>
      </c>
      <c r="AA189" s="55">
        <v>999</v>
      </c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7"/>
      <c r="AW189" s="58" t="s">
        <v>67</v>
      </c>
      <c r="AX189" s="59" t="s">
        <v>68</v>
      </c>
      <c r="AY189" s="60">
        <f t="shared" si="10"/>
        <v>28.259799999999998</v>
      </c>
      <c r="AZ189" s="60">
        <f t="shared" si="11"/>
        <v>25.4618</v>
      </c>
      <c r="BA189" s="61">
        <f t="shared" si="12"/>
        <v>14.409700000000001</v>
      </c>
    </row>
    <row r="190" spans="1:53" ht="21.75" customHeight="1">
      <c r="A190" s="64" t="s">
        <v>241</v>
      </c>
      <c r="B190" s="52" t="s">
        <v>64</v>
      </c>
      <c r="C190" s="53">
        <v>4018194</v>
      </c>
      <c r="D190" s="65" t="s">
        <v>314</v>
      </c>
      <c r="E190" s="65" t="s">
        <v>315</v>
      </c>
      <c r="F190" s="55">
        <v>1799</v>
      </c>
      <c r="G190" s="55">
        <v>1399</v>
      </c>
      <c r="H190" s="55">
        <v>1399</v>
      </c>
      <c r="I190" s="55">
        <v>1399</v>
      </c>
      <c r="J190" s="55">
        <v>1299</v>
      </c>
      <c r="K190" s="55">
        <v>1199</v>
      </c>
      <c r="L190" s="55">
        <v>1199</v>
      </c>
      <c r="M190" s="55">
        <v>1299</v>
      </c>
      <c r="N190" s="55">
        <v>1199</v>
      </c>
      <c r="O190" s="55">
        <v>1099</v>
      </c>
      <c r="P190" s="55">
        <v>1049</v>
      </c>
      <c r="Q190" s="55">
        <v>999</v>
      </c>
      <c r="R190" s="55">
        <v>1099</v>
      </c>
      <c r="S190" s="55">
        <v>1049</v>
      </c>
      <c r="T190" s="55">
        <v>999</v>
      </c>
      <c r="U190" s="55">
        <v>999</v>
      </c>
      <c r="V190" s="55">
        <v>999</v>
      </c>
      <c r="W190" s="55">
        <v>999</v>
      </c>
      <c r="X190" s="55">
        <v>949</v>
      </c>
      <c r="Y190" s="55">
        <v>899</v>
      </c>
      <c r="Z190" s="55">
        <v>899</v>
      </c>
      <c r="AA190" s="55">
        <v>899</v>
      </c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7"/>
      <c r="AW190" s="58" t="s">
        <v>67</v>
      </c>
      <c r="AX190" s="59" t="s">
        <v>68</v>
      </c>
      <c r="AY190" s="62">
        <f t="shared" si="10"/>
        <v>28.259799999999998</v>
      </c>
      <c r="AZ190" s="62">
        <f t="shared" si="11"/>
        <v>25.4618</v>
      </c>
      <c r="BA190" s="63">
        <f t="shared" si="12"/>
        <v>14.409700000000001</v>
      </c>
    </row>
    <row r="191" spans="1:53" ht="21.75" customHeight="1">
      <c r="A191" s="64" t="s">
        <v>241</v>
      </c>
      <c r="B191" s="52" t="s">
        <v>64</v>
      </c>
      <c r="C191" s="53">
        <v>4018196</v>
      </c>
      <c r="D191" s="65" t="s">
        <v>314</v>
      </c>
      <c r="E191" s="65" t="s">
        <v>316</v>
      </c>
      <c r="F191" s="55">
        <v>1799</v>
      </c>
      <c r="G191" s="55">
        <v>1399</v>
      </c>
      <c r="H191" s="55">
        <v>1399</v>
      </c>
      <c r="I191" s="55">
        <v>1399</v>
      </c>
      <c r="J191" s="55">
        <v>1299</v>
      </c>
      <c r="K191" s="55">
        <v>1199</v>
      </c>
      <c r="L191" s="55">
        <v>1199</v>
      </c>
      <c r="M191" s="55">
        <v>1299</v>
      </c>
      <c r="N191" s="55">
        <v>1199</v>
      </c>
      <c r="O191" s="55">
        <v>1099</v>
      </c>
      <c r="P191" s="55">
        <v>1049</v>
      </c>
      <c r="Q191" s="55">
        <v>999</v>
      </c>
      <c r="R191" s="55">
        <v>1099</v>
      </c>
      <c r="S191" s="55">
        <v>1049</v>
      </c>
      <c r="T191" s="55">
        <v>999</v>
      </c>
      <c r="U191" s="55">
        <v>999</v>
      </c>
      <c r="V191" s="55">
        <v>999</v>
      </c>
      <c r="W191" s="55">
        <v>999</v>
      </c>
      <c r="X191" s="55">
        <v>949</v>
      </c>
      <c r="Y191" s="55">
        <v>899</v>
      </c>
      <c r="Z191" s="55">
        <v>899</v>
      </c>
      <c r="AA191" s="55">
        <v>899</v>
      </c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7"/>
      <c r="AW191" s="58" t="s">
        <v>67</v>
      </c>
      <c r="AX191" s="59" t="s">
        <v>68</v>
      </c>
      <c r="AY191" s="62">
        <f t="shared" si="10"/>
        <v>28.259799999999998</v>
      </c>
      <c r="AZ191" s="62">
        <f t="shared" si="11"/>
        <v>25.4618</v>
      </c>
      <c r="BA191" s="63">
        <f t="shared" si="12"/>
        <v>14.409700000000001</v>
      </c>
    </row>
    <row r="192" spans="1:53" ht="21.75" customHeight="1">
      <c r="A192" s="64" t="s">
        <v>241</v>
      </c>
      <c r="B192" s="52" t="s">
        <v>64</v>
      </c>
      <c r="C192" s="53">
        <v>4017967</v>
      </c>
      <c r="D192" s="65" t="s">
        <v>317</v>
      </c>
      <c r="E192" s="65" t="s">
        <v>318</v>
      </c>
      <c r="F192" s="55">
        <v>1999</v>
      </c>
      <c r="G192" s="55">
        <v>1499</v>
      </c>
      <c r="H192" s="55">
        <v>1499</v>
      </c>
      <c r="I192" s="55">
        <v>1499</v>
      </c>
      <c r="J192" s="55">
        <v>1399</v>
      </c>
      <c r="K192" s="55">
        <v>1299</v>
      </c>
      <c r="L192" s="55">
        <v>1299</v>
      </c>
      <c r="M192" s="55">
        <v>1399</v>
      </c>
      <c r="N192" s="55">
        <v>1299</v>
      </c>
      <c r="O192" s="55">
        <v>1199</v>
      </c>
      <c r="P192" s="55">
        <v>1149</v>
      </c>
      <c r="Q192" s="55">
        <v>1099</v>
      </c>
      <c r="R192" s="55">
        <v>1199</v>
      </c>
      <c r="S192" s="55">
        <v>1149</v>
      </c>
      <c r="T192" s="55">
        <v>1099</v>
      </c>
      <c r="U192" s="55">
        <v>1099</v>
      </c>
      <c r="V192" s="55">
        <v>1099</v>
      </c>
      <c r="W192" s="55">
        <v>1099</v>
      </c>
      <c r="X192" s="55">
        <v>1049</v>
      </c>
      <c r="Y192" s="55">
        <v>999</v>
      </c>
      <c r="Z192" s="55">
        <v>999</v>
      </c>
      <c r="AA192" s="55">
        <v>999</v>
      </c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7"/>
      <c r="AW192" s="58" t="s">
        <v>67</v>
      </c>
      <c r="AX192" s="59" t="s">
        <v>68</v>
      </c>
      <c r="AY192" s="62">
        <f t="shared" si="10"/>
        <v>30.279799999999998</v>
      </c>
      <c r="AZ192" s="62">
        <f t="shared" si="11"/>
        <v>27.2818</v>
      </c>
      <c r="BA192" s="63">
        <f t="shared" si="12"/>
        <v>15.4397</v>
      </c>
    </row>
    <row r="193" spans="1:53" ht="21.75" customHeight="1">
      <c r="A193" s="64" t="s">
        <v>241</v>
      </c>
      <c r="B193" s="52" t="s">
        <v>64</v>
      </c>
      <c r="C193" s="53">
        <v>4017963</v>
      </c>
      <c r="D193" s="65" t="s">
        <v>317</v>
      </c>
      <c r="E193" s="65" t="s">
        <v>319</v>
      </c>
      <c r="F193" s="55">
        <v>1999</v>
      </c>
      <c r="G193" s="55">
        <v>1499</v>
      </c>
      <c r="H193" s="55">
        <v>1499</v>
      </c>
      <c r="I193" s="55">
        <v>1499</v>
      </c>
      <c r="J193" s="55">
        <v>1399</v>
      </c>
      <c r="K193" s="55">
        <v>1299</v>
      </c>
      <c r="L193" s="55">
        <v>1299</v>
      </c>
      <c r="M193" s="55">
        <v>1399</v>
      </c>
      <c r="N193" s="55">
        <v>1299</v>
      </c>
      <c r="O193" s="55">
        <v>1199</v>
      </c>
      <c r="P193" s="55">
        <v>1149</v>
      </c>
      <c r="Q193" s="55">
        <v>1099</v>
      </c>
      <c r="R193" s="55">
        <v>1199</v>
      </c>
      <c r="S193" s="55">
        <v>1149</v>
      </c>
      <c r="T193" s="55">
        <v>1099</v>
      </c>
      <c r="U193" s="55">
        <v>1099</v>
      </c>
      <c r="V193" s="55">
        <v>1099</v>
      </c>
      <c r="W193" s="55">
        <v>1099</v>
      </c>
      <c r="X193" s="55">
        <v>1049</v>
      </c>
      <c r="Y193" s="55">
        <v>999</v>
      </c>
      <c r="Z193" s="55">
        <v>999</v>
      </c>
      <c r="AA193" s="55">
        <v>999</v>
      </c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7"/>
      <c r="AW193" s="58" t="s">
        <v>67</v>
      </c>
      <c r="AX193" s="59" t="s">
        <v>68</v>
      </c>
      <c r="AY193" s="62">
        <f t="shared" si="10"/>
        <v>30.279799999999998</v>
      </c>
      <c r="AZ193" s="62">
        <f t="shared" si="11"/>
        <v>27.2818</v>
      </c>
      <c r="BA193" s="63">
        <f t="shared" si="12"/>
        <v>15.4397</v>
      </c>
    </row>
    <row r="194" spans="1:53" ht="21.75" customHeight="1">
      <c r="A194" s="64" t="s">
        <v>241</v>
      </c>
      <c r="B194" s="52" t="s">
        <v>64</v>
      </c>
      <c r="C194" s="53">
        <v>4015328</v>
      </c>
      <c r="D194" s="65" t="s">
        <v>320</v>
      </c>
      <c r="E194" s="65" t="s">
        <v>321</v>
      </c>
      <c r="F194" s="55">
        <v>956</v>
      </c>
      <c r="G194" s="55">
        <v>756</v>
      </c>
      <c r="H194" s="55">
        <v>956</v>
      </c>
      <c r="I194" s="55">
        <v>956</v>
      </c>
      <c r="J194" s="55">
        <v>529</v>
      </c>
      <c r="K194" s="55">
        <v>529</v>
      </c>
      <c r="L194" s="55">
        <v>529</v>
      </c>
      <c r="M194" s="55">
        <v>529</v>
      </c>
      <c r="N194" s="55">
        <v>529</v>
      </c>
      <c r="O194" s="55">
        <v>529</v>
      </c>
      <c r="P194" s="55">
        <v>529</v>
      </c>
      <c r="Q194" s="55">
        <v>529</v>
      </c>
      <c r="R194" s="55">
        <v>529</v>
      </c>
      <c r="S194" s="55">
        <v>529</v>
      </c>
      <c r="T194" s="55">
        <v>529</v>
      </c>
      <c r="U194" s="55">
        <v>529</v>
      </c>
      <c r="V194" s="55">
        <v>529</v>
      </c>
      <c r="W194" s="55">
        <v>529</v>
      </c>
      <c r="X194" s="55">
        <v>529</v>
      </c>
      <c r="Y194" s="55">
        <v>529</v>
      </c>
      <c r="Z194" s="55">
        <v>529</v>
      </c>
      <c r="AA194" s="55">
        <v>529</v>
      </c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7"/>
      <c r="AW194" s="58" t="s">
        <v>67</v>
      </c>
      <c r="AX194" s="59" t="s">
        <v>68</v>
      </c>
      <c r="AY194" s="60">
        <f t="shared" si="10"/>
        <v>19.311199999999999</v>
      </c>
      <c r="AZ194" s="60">
        <f t="shared" si="11"/>
        <v>17.3992</v>
      </c>
      <c r="BA194" s="61">
        <f t="shared" si="12"/>
        <v>9.8468</v>
      </c>
    </row>
    <row r="195" spans="1:53" ht="21.75" customHeight="1">
      <c r="A195" s="64" t="s">
        <v>241</v>
      </c>
      <c r="B195" s="52" t="s">
        <v>64</v>
      </c>
      <c r="C195" s="53">
        <v>4015336</v>
      </c>
      <c r="D195" s="65" t="s">
        <v>320</v>
      </c>
      <c r="E195" s="65" t="s">
        <v>322</v>
      </c>
      <c r="F195" s="55">
        <v>956</v>
      </c>
      <c r="G195" s="55">
        <v>756</v>
      </c>
      <c r="H195" s="55">
        <v>956</v>
      </c>
      <c r="I195" s="55">
        <v>956</v>
      </c>
      <c r="J195" s="55">
        <v>529</v>
      </c>
      <c r="K195" s="55">
        <v>529</v>
      </c>
      <c r="L195" s="55">
        <v>529</v>
      </c>
      <c r="M195" s="55">
        <v>529</v>
      </c>
      <c r="N195" s="55">
        <v>529</v>
      </c>
      <c r="O195" s="55">
        <v>529</v>
      </c>
      <c r="P195" s="55">
        <v>529</v>
      </c>
      <c r="Q195" s="55">
        <v>529</v>
      </c>
      <c r="R195" s="55">
        <v>529</v>
      </c>
      <c r="S195" s="55">
        <v>529</v>
      </c>
      <c r="T195" s="55">
        <v>529</v>
      </c>
      <c r="U195" s="55">
        <v>529</v>
      </c>
      <c r="V195" s="55">
        <v>529</v>
      </c>
      <c r="W195" s="55">
        <v>529</v>
      </c>
      <c r="X195" s="55">
        <v>529</v>
      </c>
      <c r="Y195" s="55">
        <v>529</v>
      </c>
      <c r="Z195" s="55">
        <v>529</v>
      </c>
      <c r="AA195" s="55">
        <v>529</v>
      </c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7"/>
      <c r="AW195" s="58" t="s">
        <v>67</v>
      </c>
      <c r="AX195" s="59" t="s">
        <v>68</v>
      </c>
      <c r="AY195" s="60">
        <f t="shared" si="10"/>
        <v>19.311199999999999</v>
      </c>
      <c r="AZ195" s="60">
        <f t="shared" si="11"/>
        <v>17.3992</v>
      </c>
      <c r="BA195" s="61">
        <f t="shared" si="12"/>
        <v>9.8468</v>
      </c>
    </row>
    <row r="196" spans="1:53" ht="21.75" customHeight="1">
      <c r="A196" s="64" t="s">
        <v>241</v>
      </c>
      <c r="B196" s="52" t="s">
        <v>64</v>
      </c>
      <c r="C196" s="53">
        <v>4015989</v>
      </c>
      <c r="D196" s="65" t="s">
        <v>323</v>
      </c>
      <c r="E196" s="65" t="s">
        <v>324</v>
      </c>
      <c r="F196" s="55">
        <v>1699</v>
      </c>
      <c r="G196" s="55">
        <v>1399</v>
      </c>
      <c r="H196" s="55">
        <v>1399</v>
      </c>
      <c r="I196" s="55">
        <v>1399</v>
      </c>
      <c r="J196" s="55">
        <v>1199</v>
      </c>
      <c r="K196" s="55">
        <v>1199</v>
      </c>
      <c r="L196" s="55">
        <v>1199</v>
      </c>
      <c r="M196" s="55">
        <v>1199</v>
      </c>
      <c r="N196" s="55">
        <v>1199</v>
      </c>
      <c r="O196" s="55">
        <v>1099</v>
      </c>
      <c r="P196" s="56">
        <v>1049</v>
      </c>
      <c r="Q196" s="56">
        <v>899</v>
      </c>
      <c r="R196" s="55">
        <v>1099</v>
      </c>
      <c r="S196" s="55">
        <v>1049</v>
      </c>
      <c r="T196" s="55">
        <v>899</v>
      </c>
      <c r="U196" s="55">
        <v>899</v>
      </c>
      <c r="V196" s="55">
        <v>899</v>
      </c>
      <c r="W196" s="55">
        <v>899</v>
      </c>
      <c r="X196" s="55">
        <v>849</v>
      </c>
      <c r="Y196" s="55">
        <v>829</v>
      </c>
      <c r="Z196" s="55">
        <v>829</v>
      </c>
      <c r="AA196" s="55">
        <v>819</v>
      </c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7"/>
      <c r="AW196" s="58" t="s">
        <v>67</v>
      </c>
      <c r="AX196" s="59" t="s">
        <v>68</v>
      </c>
      <c r="AY196" s="60">
        <f t="shared" si="10"/>
        <v>28.259799999999998</v>
      </c>
      <c r="AZ196" s="60">
        <f t="shared" si="11"/>
        <v>25.4618</v>
      </c>
      <c r="BA196" s="61">
        <f t="shared" si="12"/>
        <v>14.409700000000001</v>
      </c>
    </row>
    <row r="197" spans="1:53" ht="21.75" customHeight="1">
      <c r="A197" s="64" t="s">
        <v>241</v>
      </c>
      <c r="B197" s="52" t="s">
        <v>64</v>
      </c>
      <c r="C197" s="53">
        <v>4017123</v>
      </c>
      <c r="D197" s="65" t="s">
        <v>325</v>
      </c>
      <c r="E197" s="65" t="s">
        <v>326</v>
      </c>
      <c r="F197" s="55">
        <v>1999</v>
      </c>
      <c r="G197" s="55">
        <v>1999</v>
      </c>
      <c r="H197" s="55">
        <v>1999</v>
      </c>
      <c r="I197" s="55">
        <v>1999</v>
      </c>
      <c r="J197" s="55">
        <v>1899</v>
      </c>
      <c r="K197" s="55">
        <v>1899</v>
      </c>
      <c r="L197" s="55">
        <v>1899</v>
      </c>
      <c r="M197" s="55">
        <v>1899</v>
      </c>
      <c r="N197" s="55">
        <v>1899</v>
      </c>
      <c r="O197" s="55">
        <v>1799</v>
      </c>
      <c r="P197" s="56">
        <v>1699</v>
      </c>
      <c r="Q197" s="56">
        <v>1499</v>
      </c>
      <c r="R197" s="55">
        <v>1799</v>
      </c>
      <c r="S197" s="55">
        <v>1699</v>
      </c>
      <c r="T197" s="55">
        <v>1499</v>
      </c>
      <c r="U197" s="55">
        <v>1499</v>
      </c>
      <c r="V197" s="55">
        <v>1499</v>
      </c>
      <c r="W197" s="55">
        <v>1499</v>
      </c>
      <c r="X197" s="55">
        <v>1399</v>
      </c>
      <c r="Y197" s="55">
        <v>999</v>
      </c>
      <c r="Z197" s="55">
        <v>999</v>
      </c>
      <c r="AA197" s="55">
        <v>999</v>
      </c>
      <c r="AB197" s="55">
        <v>1899</v>
      </c>
      <c r="AC197" s="55">
        <v>1899</v>
      </c>
      <c r="AD197" s="55">
        <v>1899</v>
      </c>
      <c r="AE197" s="55">
        <v>1799</v>
      </c>
      <c r="AF197" s="55">
        <v>1699</v>
      </c>
      <c r="AG197" s="55">
        <v>1699</v>
      </c>
      <c r="AH197" s="55">
        <v>1499</v>
      </c>
      <c r="AI197" s="55">
        <v>1499</v>
      </c>
      <c r="AJ197" s="55">
        <v>1499</v>
      </c>
      <c r="AK197" s="55">
        <v>1499</v>
      </c>
      <c r="AL197" s="55">
        <v>999</v>
      </c>
      <c r="AM197" s="55"/>
      <c r="AN197" s="55"/>
      <c r="AO197" s="55"/>
      <c r="AP197" s="55"/>
      <c r="AQ197" s="55"/>
      <c r="AR197" s="55"/>
      <c r="AS197" s="55"/>
      <c r="AT197" s="55"/>
      <c r="AU197" s="55"/>
      <c r="AV197" s="57"/>
      <c r="AW197" s="58" t="s">
        <v>67</v>
      </c>
      <c r="AX197" s="59" t="s">
        <v>68</v>
      </c>
      <c r="AY197" s="60">
        <f t="shared" si="10"/>
        <v>40.379799999999996</v>
      </c>
      <c r="AZ197" s="60">
        <f t="shared" si="11"/>
        <v>36.381799999999998</v>
      </c>
      <c r="BA197" s="61">
        <f t="shared" si="12"/>
        <v>20.589700000000001</v>
      </c>
    </row>
    <row r="198" spans="1:53" ht="21.75" customHeight="1">
      <c r="A198" s="64" t="s">
        <v>241</v>
      </c>
      <c r="B198" s="52" t="s">
        <v>64</v>
      </c>
      <c r="C198" s="53">
        <v>4017120</v>
      </c>
      <c r="D198" s="65" t="s">
        <v>325</v>
      </c>
      <c r="E198" s="65" t="s">
        <v>327</v>
      </c>
      <c r="F198" s="55">
        <v>1999</v>
      </c>
      <c r="G198" s="55">
        <v>1999</v>
      </c>
      <c r="H198" s="55">
        <v>1999</v>
      </c>
      <c r="I198" s="55">
        <v>1999</v>
      </c>
      <c r="J198" s="55">
        <v>1899</v>
      </c>
      <c r="K198" s="55">
        <v>1899</v>
      </c>
      <c r="L198" s="55">
        <v>1899</v>
      </c>
      <c r="M198" s="55">
        <v>1899</v>
      </c>
      <c r="N198" s="55">
        <v>1899</v>
      </c>
      <c r="O198" s="55">
        <v>1799</v>
      </c>
      <c r="P198" s="56">
        <v>1699</v>
      </c>
      <c r="Q198" s="56">
        <v>1499</v>
      </c>
      <c r="R198" s="55">
        <v>1799</v>
      </c>
      <c r="S198" s="55">
        <v>1699</v>
      </c>
      <c r="T198" s="55">
        <v>1499</v>
      </c>
      <c r="U198" s="55">
        <v>1499</v>
      </c>
      <c r="V198" s="55">
        <v>1499</v>
      </c>
      <c r="W198" s="55">
        <v>1499</v>
      </c>
      <c r="X198" s="55">
        <v>1399</v>
      </c>
      <c r="Y198" s="55">
        <v>999</v>
      </c>
      <c r="Z198" s="55">
        <v>999</v>
      </c>
      <c r="AA198" s="55">
        <v>999</v>
      </c>
      <c r="AB198" s="55">
        <v>1899</v>
      </c>
      <c r="AC198" s="55">
        <v>1899</v>
      </c>
      <c r="AD198" s="55">
        <v>1899</v>
      </c>
      <c r="AE198" s="55">
        <v>1799</v>
      </c>
      <c r="AF198" s="55">
        <v>1699</v>
      </c>
      <c r="AG198" s="55">
        <v>1699</v>
      </c>
      <c r="AH198" s="55">
        <v>1499</v>
      </c>
      <c r="AI198" s="55">
        <v>1499</v>
      </c>
      <c r="AJ198" s="55">
        <v>1499</v>
      </c>
      <c r="AK198" s="55">
        <v>1499</v>
      </c>
      <c r="AL198" s="55">
        <v>999</v>
      </c>
      <c r="AM198" s="55"/>
      <c r="AN198" s="55"/>
      <c r="AO198" s="55"/>
      <c r="AP198" s="55"/>
      <c r="AQ198" s="55"/>
      <c r="AR198" s="55"/>
      <c r="AS198" s="55"/>
      <c r="AT198" s="55"/>
      <c r="AU198" s="55"/>
      <c r="AV198" s="57"/>
      <c r="AW198" s="58" t="s">
        <v>67</v>
      </c>
      <c r="AX198" s="59" t="s">
        <v>68</v>
      </c>
      <c r="AY198" s="60">
        <f t="shared" si="10"/>
        <v>40.379799999999996</v>
      </c>
      <c r="AZ198" s="60">
        <f t="shared" si="11"/>
        <v>36.381799999999998</v>
      </c>
      <c r="BA198" s="61">
        <f t="shared" si="12"/>
        <v>20.589700000000001</v>
      </c>
    </row>
    <row r="199" spans="1:53" ht="21.75" customHeight="1">
      <c r="A199" s="64" t="s">
        <v>241</v>
      </c>
      <c r="B199" s="52" t="s">
        <v>64</v>
      </c>
      <c r="C199" s="53">
        <v>4017684</v>
      </c>
      <c r="D199" s="65" t="s">
        <v>328</v>
      </c>
      <c r="E199" s="65" t="s">
        <v>329</v>
      </c>
      <c r="F199" s="55">
        <v>2199</v>
      </c>
      <c r="G199" s="55">
        <v>2199</v>
      </c>
      <c r="H199" s="55">
        <v>2199</v>
      </c>
      <c r="I199" s="55">
        <v>2199</v>
      </c>
      <c r="J199" s="55">
        <v>2099</v>
      </c>
      <c r="K199" s="55">
        <v>1599</v>
      </c>
      <c r="L199" s="55">
        <v>1599</v>
      </c>
      <c r="M199" s="55">
        <v>2099</v>
      </c>
      <c r="N199" s="55">
        <v>1599</v>
      </c>
      <c r="O199" s="55">
        <v>1499</v>
      </c>
      <c r="P199" s="56">
        <v>1449</v>
      </c>
      <c r="Q199" s="56">
        <v>1399</v>
      </c>
      <c r="R199" s="55">
        <v>1499</v>
      </c>
      <c r="S199" s="55">
        <v>1449</v>
      </c>
      <c r="T199" s="55">
        <v>1399</v>
      </c>
      <c r="U199" s="55">
        <v>1399</v>
      </c>
      <c r="V199" s="55">
        <v>1399</v>
      </c>
      <c r="W199" s="55">
        <v>1399</v>
      </c>
      <c r="X199" s="55">
        <v>1299</v>
      </c>
      <c r="Y199" s="55">
        <v>1199</v>
      </c>
      <c r="Z199" s="55">
        <v>1199</v>
      </c>
      <c r="AA199" s="55">
        <v>1199</v>
      </c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7"/>
      <c r="AW199" s="58" t="s">
        <v>67</v>
      </c>
      <c r="AX199" s="59" t="s">
        <v>68</v>
      </c>
      <c r="AY199" s="60">
        <f t="shared" si="10"/>
        <v>44.419799999999995</v>
      </c>
      <c r="AZ199" s="60">
        <f t="shared" si="11"/>
        <v>40.021799999999999</v>
      </c>
      <c r="BA199" s="61">
        <f t="shared" si="12"/>
        <v>22.649699999999999</v>
      </c>
    </row>
    <row r="200" spans="1:53" ht="21.75" customHeight="1">
      <c r="A200" s="64" t="s">
        <v>241</v>
      </c>
      <c r="B200" s="52" t="s">
        <v>64</v>
      </c>
      <c r="C200" s="53">
        <v>4017687</v>
      </c>
      <c r="D200" s="65" t="s">
        <v>328</v>
      </c>
      <c r="E200" s="65" t="s">
        <v>330</v>
      </c>
      <c r="F200" s="55">
        <v>2199</v>
      </c>
      <c r="G200" s="55">
        <v>2199</v>
      </c>
      <c r="H200" s="55">
        <v>2199</v>
      </c>
      <c r="I200" s="55">
        <v>2199</v>
      </c>
      <c r="J200" s="55">
        <v>2099</v>
      </c>
      <c r="K200" s="55">
        <v>1599</v>
      </c>
      <c r="L200" s="55">
        <v>1599</v>
      </c>
      <c r="M200" s="55">
        <v>2099</v>
      </c>
      <c r="N200" s="55">
        <v>1599</v>
      </c>
      <c r="O200" s="55">
        <v>1499</v>
      </c>
      <c r="P200" s="56">
        <v>1449</v>
      </c>
      <c r="Q200" s="56">
        <v>1399</v>
      </c>
      <c r="R200" s="55">
        <v>1499</v>
      </c>
      <c r="S200" s="55">
        <v>1449</v>
      </c>
      <c r="T200" s="55">
        <v>1399</v>
      </c>
      <c r="U200" s="55">
        <v>1399</v>
      </c>
      <c r="V200" s="55">
        <v>1399</v>
      </c>
      <c r="W200" s="55">
        <v>1399</v>
      </c>
      <c r="X200" s="55">
        <v>1299</v>
      </c>
      <c r="Y200" s="55">
        <v>1199</v>
      </c>
      <c r="Z200" s="55">
        <v>1199</v>
      </c>
      <c r="AA200" s="55">
        <v>1199</v>
      </c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7"/>
      <c r="AW200" s="58" t="s">
        <v>67</v>
      </c>
      <c r="AX200" s="59" t="s">
        <v>68</v>
      </c>
      <c r="AY200" s="60">
        <f t="shared" si="10"/>
        <v>44.419799999999995</v>
      </c>
      <c r="AZ200" s="60">
        <f t="shared" si="11"/>
        <v>40.021799999999999</v>
      </c>
      <c r="BA200" s="61">
        <f t="shared" si="12"/>
        <v>22.649699999999999</v>
      </c>
    </row>
    <row r="201" spans="1:53" ht="22" customHeight="1">
      <c r="A201" s="64" t="s">
        <v>241</v>
      </c>
      <c r="B201" s="52" t="s">
        <v>64</v>
      </c>
      <c r="C201" s="53">
        <v>4016652</v>
      </c>
      <c r="D201" s="65" t="s">
        <v>331</v>
      </c>
      <c r="E201" s="65" t="s">
        <v>332</v>
      </c>
      <c r="F201" s="55">
        <v>2299</v>
      </c>
      <c r="G201" s="55">
        <v>1799</v>
      </c>
      <c r="H201" s="55">
        <v>1799</v>
      </c>
      <c r="I201" s="55">
        <v>1799</v>
      </c>
      <c r="J201" s="55">
        <v>1699</v>
      </c>
      <c r="K201" s="55">
        <v>1699</v>
      </c>
      <c r="L201" s="55">
        <v>1699</v>
      </c>
      <c r="M201" s="55">
        <v>1699</v>
      </c>
      <c r="N201" s="55">
        <v>1699</v>
      </c>
      <c r="O201" s="55">
        <v>1599</v>
      </c>
      <c r="P201" s="56">
        <v>1499</v>
      </c>
      <c r="Q201" s="56">
        <v>999</v>
      </c>
      <c r="R201" s="55">
        <v>1599</v>
      </c>
      <c r="S201" s="55">
        <v>1499</v>
      </c>
      <c r="T201" s="55">
        <v>999</v>
      </c>
      <c r="U201" s="55">
        <v>999</v>
      </c>
      <c r="V201" s="55">
        <v>999</v>
      </c>
      <c r="W201" s="55">
        <v>999</v>
      </c>
      <c r="X201" s="55">
        <v>999</v>
      </c>
      <c r="Y201" s="55">
        <v>899</v>
      </c>
      <c r="Z201" s="55">
        <v>899</v>
      </c>
      <c r="AA201" s="55">
        <v>899</v>
      </c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7"/>
      <c r="AW201" s="58" t="s">
        <v>67</v>
      </c>
      <c r="AX201" s="59" t="s">
        <v>68</v>
      </c>
      <c r="AY201" s="60">
        <f t="shared" si="10"/>
        <v>36.339799999999997</v>
      </c>
      <c r="AZ201" s="60">
        <f t="shared" si="11"/>
        <v>32.741800000000005</v>
      </c>
      <c r="BA201" s="61">
        <f t="shared" si="12"/>
        <v>18.529700000000002</v>
      </c>
    </row>
    <row r="202" spans="1:53" ht="22" customHeight="1">
      <c r="A202" s="64" t="s">
        <v>241</v>
      </c>
      <c r="B202" s="52" t="s">
        <v>64</v>
      </c>
      <c r="C202" s="53">
        <v>4016654</v>
      </c>
      <c r="D202" s="65" t="s">
        <v>331</v>
      </c>
      <c r="E202" s="65" t="s">
        <v>333</v>
      </c>
      <c r="F202" s="55">
        <v>2299</v>
      </c>
      <c r="G202" s="55">
        <v>1799</v>
      </c>
      <c r="H202" s="55">
        <v>1799</v>
      </c>
      <c r="I202" s="55">
        <v>1799</v>
      </c>
      <c r="J202" s="55">
        <v>1699</v>
      </c>
      <c r="K202" s="55">
        <v>1699</v>
      </c>
      <c r="L202" s="55">
        <v>1699</v>
      </c>
      <c r="M202" s="55">
        <v>1699</v>
      </c>
      <c r="N202" s="55">
        <v>1699</v>
      </c>
      <c r="O202" s="55">
        <v>1599</v>
      </c>
      <c r="P202" s="56">
        <v>1499</v>
      </c>
      <c r="Q202" s="56">
        <v>999</v>
      </c>
      <c r="R202" s="55">
        <v>1599</v>
      </c>
      <c r="S202" s="55">
        <v>1499</v>
      </c>
      <c r="T202" s="55">
        <v>999</v>
      </c>
      <c r="U202" s="55">
        <v>999</v>
      </c>
      <c r="V202" s="55">
        <v>999</v>
      </c>
      <c r="W202" s="55">
        <v>999</v>
      </c>
      <c r="X202" s="55">
        <v>999</v>
      </c>
      <c r="Y202" s="55">
        <v>899</v>
      </c>
      <c r="Z202" s="55">
        <v>899</v>
      </c>
      <c r="AA202" s="55">
        <v>899</v>
      </c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7"/>
      <c r="AW202" s="58" t="s">
        <v>67</v>
      </c>
      <c r="AX202" s="59" t="s">
        <v>68</v>
      </c>
      <c r="AY202" s="60">
        <f t="shared" si="10"/>
        <v>36.339799999999997</v>
      </c>
      <c r="AZ202" s="60">
        <f t="shared" si="11"/>
        <v>32.741800000000005</v>
      </c>
      <c r="BA202" s="61">
        <f t="shared" si="12"/>
        <v>18.529700000000002</v>
      </c>
    </row>
    <row r="203" spans="1:53" ht="22" customHeight="1">
      <c r="A203" s="64" t="s">
        <v>241</v>
      </c>
      <c r="B203" s="52" t="s">
        <v>64</v>
      </c>
      <c r="C203" s="67">
        <v>4016655</v>
      </c>
      <c r="D203" s="65" t="s">
        <v>331</v>
      </c>
      <c r="E203" s="65" t="s">
        <v>334</v>
      </c>
      <c r="F203" s="55">
        <v>2299</v>
      </c>
      <c r="G203" s="55">
        <v>1799</v>
      </c>
      <c r="H203" s="55">
        <v>1799</v>
      </c>
      <c r="I203" s="55">
        <v>1799</v>
      </c>
      <c r="J203" s="55">
        <v>1699</v>
      </c>
      <c r="K203" s="55">
        <v>1699</v>
      </c>
      <c r="L203" s="55">
        <v>1699</v>
      </c>
      <c r="M203" s="55">
        <v>1699</v>
      </c>
      <c r="N203" s="55">
        <v>1699</v>
      </c>
      <c r="O203" s="55">
        <v>1599</v>
      </c>
      <c r="P203" s="56">
        <v>1499</v>
      </c>
      <c r="Q203" s="56">
        <v>999</v>
      </c>
      <c r="R203" s="55">
        <v>1599</v>
      </c>
      <c r="S203" s="55">
        <v>1499</v>
      </c>
      <c r="T203" s="55">
        <v>999</v>
      </c>
      <c r="U203" s="55">
        <v>999</v>
      </c>
      <c r="V203" s="55">
        <v>999</v>
      </c>
      <c r="W203" s="55">
        <v>999</v>
      </c>
      <c r="X203" s="55">
        <v>999</v>
      </c>
      <c r="Y203" s="55">
        <v>899</v>
      </c>
      <c r="Z203" s="55">
        <v>899</v>
      </c>
      <c r="AA203" s="55">
        <v>899</v>
      </c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7"/>
      <c r="AW203" s="58" t="s">
        <v>67</v>
      </c>
      <c r="AX203" s="59" t="s">
        <v>68</v>
      </c>
      <c r="AY203" s="60">
        <f t="shared" si="10"/>
        <v>36.339799999999997</v>
      </c>
      <c r="AZ203" s="60">
        <f t="shared" si="11"/>
        <v>32.741800000000005</v>
      </c>
      <c r="BA203" s="61">
        <f t="shared" si="12"/>
        <v>18.529700000000002</v>
      </c>
    </row>
    <row r="204" spans="1:53" ht="22" customHeight="1">
      <c r="A204" s="64" t="s">
        <v>241</v>
      </c>
      <c r="B204" s="52" t="s">
        <v>64</v>
      </c>
      <c r="C204" s="53">
        <v>4014955</v>
      </c>
      <c r="D204" s="65" t="s">
        <v>335</v>
      </c>
      <c r="E204" s="65" t="s">
        <v>336</v>
      </c>
      <c r="F204" s="55">
        <v>999</v>
      </c>
      <c r="G204" s="55">
        <v>799</v>
      </c>
      <c r="H204" s="55">
        <v>799</v>
      </c>
      <c r="I204" s="55">
        <v>799</v>
      </c>
      <c r="J204" s="55">
        <f t="shared" ref="J204:J223" si="14">M204</f>
        <v>699</v>
      </c>
      <c r="K204" s="55">
        <f t="shared" ref="K204:L223" si="15">M204</f>
        <v>699</v>
      </c>
      <c r="L204" s="55">
        <f t="shared" si="15"/>
        <v>699</v>
      </c>
      <c r="M204" s="55">
        <v>699</v>
      </c>
      <c r="N204" s="55">
        <v>699</v>
      </c>
      <c r="O204" s="55">
        <f t="shared" ref="O204:Q221" si="16">R204</f>
        <v>649</v>
      </c>
      <c r="P204" s="56">
        <f t="shared" si="16"/>
        <v>599</v>
      </c>
      <c r="Q204" s="56">
        <f t="shared" si="16"/>
        <v>549</v>
      </c>
      <c r="R204" s="55">
        <v>649</v>
      </c>
      <c r="S204" s="55">
        <v>599</v>
      </c>
      <c r="T204" s="55">
        <v>549</v>
      </c>
      <c r="U204" s="55">
        <v>549</v>
      </c>
      <c r="V204" s="55">
        <v>549</v>
      </c>
      <c r="W204" s="55">
        <v>549</v>
      </c>
      <c r="X204" s="55">
        <v>549</v>
      </c>
      <c r="Y204" s="55">
        <v>549</v>
      </c>
      <c r="Z204" s="55">
        <v>549</v>
      </c>
      <c r="AA204" s="55">
        <v>549</v>
      </c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7"/>
      <c r="AW204" s="58" t="s">
        <v>67</v>
      </c>
      <c r="AX204" s="59" t="s">
        <v>68</v>
      </c>
      <c r="AY204" s="60">
        <f t="shared" si="10"/>
        <v>16.139800000000001</v>
      </c>
      <c r="AZ204" s="60">
        <f t="shared" si="11"/>
        <v>14.5418</v>
      </c>
      <c r="BA204" s="61">
        <f t="shared" si="12"/>
        <v>8.2296999999999993</v>
      </c>
    </row>
    <row r="205" spans="1:53" ht="22" customHeight="1">
      <c r="A205" s="64" t="s">
        <v>241</v>
      </c>
      <c r="B205" s="52" t="s">
        <v>64</v>
      </c>
      <c r="C205" s="53">
        <v>4017126</v>
      </c>
      <c r="D205" s="65" t="s">
        <v>337</v>
      </c>
      <c r="E205" s="65" t="s">
        <v>338</v>
      </c>
      <c r="F205" s="55">
        <v>2799</v>
      </c>
      <c r="G205" s="55">
        <v>2399</v>
      </c>
      <c r="H205" s="55">
        <v>2549</v>
      </c>
      <c r="I205" s="55">
        <v>2549</v>
      </c>
      <c r="J205" s="55">
        <v>2499</v>
      </c>
      <c r="K205" s="55">
        <v>2499</v>
      </c>
      <c r="L205" s="55">
        <v>2499</v>
      </c>
      <c r="M205" s="55">
        <v>2499</v>
      </c>
      <c r="N205" s="55">
        <v>2499</v>
      </c>
      <c r="O205" s="55">
        <v>2399</v>
      </c>
      <c r="P205" s="56">
        <v>2299</v>
      </c>
      <c r="Q205" s="56">
        <v>1799</v>
      </c>
      <c r="R205" s="55">
        <v>2399</v>
      </c>
      <c r="S205" s="55">
        <v>2299</v>
      </c>
      <c r="T205" s="55">
        <v>1799</v>
      </c>
      <c r="U205" s="55">
        <v>1799</v>
      </c>
      <c r="V205" s="55">
        <v>1799</v>
      </c>
      <c r="W205" s="55">
        <v>1799</v>
      </c>
      <c r="X205" s="55">
        <v>1349</v>
      </c>
      <c r="Y205" s="55">
        <v>1099</v>
      </c>
      <c r="Z205" s="55">
        <v>1099</v>
      </c>
      <c r="AA205" s="55">
        <v>1099</v>
      </c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7"/>
      <c r="AW205" s="58" t="s">
        <v>67</v>
      </c>
      <c r="AX205" s="59" t="s">
        <v>68</v>
      </c>
      <c r="AY205" s="60">
        <f t="shared" si="10"/>
        <v>51.489799999999995</v>
      </c>
      <c r="AZ205" s="60">
        <f t="shared" si="11"/>
        <v>46.391800000000003</v>
      </c>
      <c r="BA205" s="61">
        <f t="shared" si="12"/>
        <v>26.2547</v>
      </c>
    </row>
    <row r="206" spans="1:53" ht="22" customHeight="1">
      <c r="A206" s="64" t="s">
        <v>241</v>
      </c>
      <c r="B206" s="52" t="s">
        <v>64</v>
      </c>
      <c r="C206" s="53">
        <v>4017127</v>
      </c>
      <c r="D206" s="65" t="s">
        <v>337</v>
      </c>
      <c r="E206" s="65" t="s">
        <v>339</v>
      </c>
      <c r="F206" s="55">
        <v>2799</v>
      </c>
      <c r="G206" s="55">
        <v>2399</v>
      </c>
      <c r="H206" s="55">
        <v>2549</v>
      </c>
      <c r="I206" s="55">
        <v>2549</v>
      </c>
      <c r="J206" s="55">
        <v>2499</v>
      </c>
      <c r="K206" s="55">
        <v>2499</v>
      </c>
      <c r="L206" s="55">
        <v>2499</v>
      </c>
      <c r="M206" s="55">
        <v>2499</v>
      </c>
      <c r="N206" s="55">
        <v>2499</v>
      </c>
      <c r="O206" s="55">
        <v>2399</v>
      </c>
      <c r="P206" s="56">
        <v>2299</v>
      </c>
      <c r="Q206" s="56">
        <v>1799</v>
      </c>
      <c r="R206" s="55">
        <v>2399</v>
      </c>
      <c r="S206" s="55">
        <v>2299</v>
      </c>
      <c r="T206" s="55">
        <v>1799</v>
      </c>
      <c r="U206" s="55">
        <v>1799</v>
      </c>
      <c r="V206" s="55">
        <v>1799</v>
      </c>
      <c r="W206" s="55">
        <v>1799</v>
      </c>
      <c r="X206" s="55">
        <v>1349</v>
      </c>
      <c r="Y206" s="55">
        <v>1099</v>
      </c>
      <c r="Z206" s="55">
        <v>1099</v>
      </c>
      <c r="AA206" s="55">
        <v>1099</v>
      </c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7"/>
      <c r="AW206" s="58" t="s">
        <v>67</v>
      </c>
      <c r="AX206" s="59" t="s">
        <v>68</v>
      </c>
      <c r="AY206" s="60">
        <f t="shared" si="10"/>
        <v>51.489799999999995</v>
      </c>
      <c r="AZ206" s="60">
        <f t="shared" si="11"/>
        <v>46.391800000000003</v>
      </c>
      <c r="BA206" s="61">
        <f t="shared" si="12"/>
        <v>26.2547</v>
      </c>
    </row>
    <row r="207" spans="1:53" ht="22" customHeight="1">
      <c r="A207" s="64" t="s">
        <v>241</v>
      </c>
      <c r="B207" s="52" t="s">
        <v>64</v>
      </c>
      <c r="C207" s="53">
        <v>4017672</v>
      </c>
      <c r="D207" s="65" t="s">
        <v>337</v>
      </c>
      <c r="E207" s="65" t="s">
        <v>340</v>
      </c>
      <c r="F207" s="55">
        <v>2799</v>
      </c>
      <c r="G207" s="55">
        <v>2399</v>
      </c>
      <c r="H207" s="55">
        <v>2549</v>
      </c>
      <c r="I207" s="55">
        <v>2549</v>
      </c>
      <c r="J207" s="55">
        <v>2499</v>
      </c>
      <c r="K207" s="55">
        <v>2499</v>
      </c>
      <c r="L207" s="55">
        <v>2499</v>
      </c>
      <c r="M207" s="55">
        <v>2499</v>
      </c>
      <c r="N207" s="55">
        <v>2499</v>
      </c>
      <c r="O207" s="55">
        <v>2399</v>
      </c>
      <c r="P207" s="56">
        <v>2299</v>
      </c>
      <c r="Q207" s="56">
        <v>1799</v>
      </c>
      <c r="R207" s="55">
        <v>2399</v>
      </c>
      <c r="S207" s="55">
        <v>2299</v>
      </c>
      <c r="T207" s="55">
        <v>1799</v>
      </c>
      <c r="U207" s="55">
        <v>1799</v>
      </c>
      <c r="V207" s="55">
        <v>1799</v>
      </c>
      <c r="W207" s="55">
        <v>1799</v>
      </c>
      <c r="X207" s="55">
        <v>1349</v>
      </c>
      <c r="Y207" s="55">
        <v>1099</v>
      </c>
      <c r="Z207" s="55">
        <v>1099</v>
      </c>
      <c r="AA207" s="55">
        <v>1099</v>
      </c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7"/>
      <c r="AW207" s="58" t="s">
        <v>67</v>
      </c>
      <c r="AX207" s="59" t="s">
        <v>68</v>
      </c>
      <c r="AY207" s="60">
        <f t="shared" si="10"/>
        <v>51.489799999999995</v>
      </c>
      <c r="AZ207" s="60">
        <f t="shared" si="11"/>
        <v>46.391800000000003</v>
      </c>
      <c r="BA207" s="61">
        <f t="shared" si="12"/>
        <v>26.2547</v>
      </c>
    </row>
    <row r="208" spans="1:53" ht="22" customHeight="1">
      <c r="A208" s="64" t="s">
        <v>241</v>
      </c>
      <c r="B208" s="52" t="s">
        <v>64</v>
      </c>
      <c r="C208" s="53">
        <v>4017673</v>
      </c>
      <c r="D208" s="65" t="s">
        <v>337</v>
      </c>
      <c r="E208" s="65" t="s">
        <v>341</v>
      </c>
      <c r="F208" s="55">
        <v>2799</v>
      </c>
      <c r="G208" s="55">
        <v>2399</v>
      </c>
      <c r="H208" s="55">
        <v>2549</v>
      </c>
      <c r="I208" s="55">
        <v>2549</v>
      </c>
      <c r="J208" s="55">
        <v>2499</v>
      </c>
      <c r="K208" s="55">
        <v>2499</v>
      </c>
      <c r="L208" s="55">
        <v>2499</v>
      </c>
      <c r="M208" s="55">
        <v>2499</v>
      </c>
      <c r="N208" s="55">
        <v>2499</v>
      </c>
      <c r="O208" s="55">
        <v>2399</v>
      </c>
      <c r="P208" s="56">
        <v>2299</v>
      </c>
      <c r="Q208" s="56">
        <v>1799</v>
      </c>
      <c r="R208" s="55">
        <v>2399</v>
      </c>
      <c r="S208" s="55">
        <v>2299</v>
      </c>
      <c r="T208" s="55">
        <v>1799</v>
      </c>
      <c r="U208" s="55">
        <v>1799</v>
      </c>
      <c r="V208" s="55">
        <v>1799</v>
      </c>
      <c r="W208" s="55">
        <v>1799</v>
      </c>
      <c r="X208" s="55">
        <v>1349</v>
      </c>
      <c r="Y208" s="55">
        <v>1099</v>
      </c>
      <c r="Z208" s="55">
        <v>1099</v>
      </c>
      <c r="AA208" s="55">
        <v>1099</v>
      </c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7"/>
      <c r="AW208" s="58" t="s">
        <v>67</v>
      </c>
      <c r="AX208" s="59" t="s">
        <v>68</v>
      </c>
      <c r="AY208" s="60">
        <f t="shared" si="10"/>
        <v>51.489799999999995</v>
      </c>
      <c r="AZ208" s="60">
        <f t="shared" si="11"/>
        <v>46.391800000000003</v>
      </c>
      <c r="BA208" s="61">
        <f t="shared" si="12"/>
        <v>26.2547</v>
      </c>
    </row>
    <row r="209" spans="1:53" ht="22" customHeight="1">
      <c r="A209" s="64" t="s">
        <v>241</v>
      </c>
      <c r="B209" s="52" t="s">
        <v>64</v>
      </c>
      <c r="C209" s="53">
        <v>4017964</v>
      </c>
      <c r="D209" s="65" t="s">
        <v>342</v>
      </c>
      <c r="E209" s="65" t="s">
        <v>343</v>
      </c>
      <c r="F209" s="55">
        <v>2999</v>
      </c>
      <c r="G209" s="55">
        <v>2599</v>
      </c>
      <c r="H209" s="55">
        <v>2599</v>
      </c>
      <c r="I209" s="55">
        <v>2599</v>
      </c>
      <c r="J209" s="55">
        <v>2499</v>
      </c>
      <c r="K209" s="55">
        <v>2499</v>
      </c>
      <c r="L209" s="55">
        <v>2499</v>
      </c>
      <c r="M209" s="55">
        <v>2499</v>
      </c>
      <c r="N209" s="55">
        <v>2499</v>
      </c>
      <c r="O209" s="55">
        <v>2399</v>
      </c>
      <c r="P209" s="56">
        <v>2299</v>
      </c>
      <c r="Q209" s="56">
        <v>1499</v>
      </c>
      <c r="R209" s="55">
        <v>2399</v>
      </c>
      <c r="S209" s="55">
        <v>2299</v>
      </c>
      <c r="T209" s="56">
        <v>1499</v>
      </c>
      <c r="U209" s="56">
        <v>1499</v>
      </c>
      <c r="V209" s="56">
        <v>1499</v>
      </c>
      <c r="W209" s="56">
        <v>1499</v>
      </c>
      <c r="X209" s="55">
        <v>1399</v>
      </c>
      <c r="Y209" s="55">
        <v>1299</v>
      </c>
      <c r="Z209" s="55">
        <v>1299</v>
      </c>
      <c r="AA209" s="55">
        <v>1299</v>
      </c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7"/>
      <c r="AW209" s="58" t="s">
        <v>67</v>
      </c>
      <c r="AX209" s="59" t="s">
        <v>68</v>
      </c>
      <c r="AY209" s="62">
        <f t="shared" si="10"/>
        <v>52.4998</v>
      </c>
      <c r="AZ209" s="62">
        <f t="shared" si="11"/>
        <v>47.3018</v>
      </c>
      <c r="BA209" s="63">
        <f t="shared" si="12"/>
        <v>26.7697</v>
      </c>
    </row>
    <row r="210" spans="1:53" ht="22" customHeight="1">
      <c r="A210" s="64" t="s">
        <v>241</v>
      </c>
      <c r="B210" s="52" t="s">
        <v>64</v>
      </c>
      <c r="C210" s="53">
        <v>4017966</v>
      </c>
      <c r="D210" s="65" t="s">
        <v>342</v>
      </c>
      <c r="E210" s="65" t="s">
        <v>344</v>
      </c>
      <c r="F210" s="55">
        <v>2999</v>
      </c>
      <c r="G210" s="55">
        <v>2599</v>
      </c>
      <c r="H210" s="55">
        <v>2599</v>
      </c>
      <c r="I210" s="55">
        <v>2599</v>
      </c>
      <c r="J210" s="55">
        <v>2499</v>
      </c>
      <c r="K210" s="55">
        <v>2499</v>
      </c>
      <c r="L210" s="55">
        <v>2499</v>
      </c>
      <c r="M210" s="55">
        <v>2499</v>
      </c>
      <c r="N210" s="55">
        <v>2499</v>
      </c>
      <c r="O210" s="55">
        <v>2399</v>
      </c>
      <c r="P210" s="56">
        <v>2299</v>
      </c>
      <c r="Q210" s="56">
        <v>1499</v>
      </c>
      <c r="R210" s="55">
        <v>2399</v>
      </c>
      <c r="S210" s="55">
        <v>2299</v>
      </c>
      <c r="T210" s="56">
        <v>1499</v>
      </c>
      <c r="U210" s="56">
        <v>1499</v>
      </c>
      <c r="V210" s="56">
        <v>1499</v>
      </c>
      <c r="W210" s="56">
        <v>1499</v>
      </c>
      <c r="X210" s="55">
        <v>1399</v>
      </c>
      <c r="Y210" s="55">
        <v>1299</v>
      </c>
      <c r="Z210" s="55">
        <v>1299</v>
      </c>
      <c r="AA210" s="55">
        <v>1299</v>
      </c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7"/>
      <c r="AW210" s="58" t="s">
        <v>67</v>
      </c>
      <c r="AX210" s="59" t="s">
        <v>68</v>
      </c>
      <c r="AY210" s="62">
        <f t="shared" si="10"/>
        <v>52.4998</v>
      </c>
      <c r="AZ210" s="62">
        <f t="shared" si="11"/>
        <v>47.3018</v>
      </c>
      <c r="BA210" s="63">
        <f t="shared" si="12"/>
        <v>26.7697</v>
      </c>
    </row>
    <row r="211" spans="1:53" ht="22.5" customHeight="1">
      <c r="A211" s="51" t="s">
        <v>63</v>
      </c>
      <c r="B211" s="52" t="s">
        <v>64</v>
      </c>
      <c r="C211" s="53">
        <v>4015582</v>
      </c>
      <c r="D211" s="65" t="s">
        <v>345</v>
      </c>
      <c r="E211" s="65" t="s">
        <v>346</v>
      </c>
      <c r="F211" s="55">
        <v>5499</v>
      </c>
      <c r="G211" s="55">
        <v>1899</v>
      </c>
      <c r="H211" s="55">
        <v>2799</v>
      </c>
      <c r="I211" s="55">
        <v>2799</v>
      </c>
      <c r="J211" s="55">
        <v>2499</v>
      </c>
      <c r="K211" s="55">
        <v>2399</v>
      </c>
      <c r="L211" s="55">
        <v>2399</v>
      </c>
      <c r="M211" s="55">
        <v>2499</v>
      </c>
      <c r="N211" s="55">
        <v>2499</v>
      </c>
      <c r="O211" s="55">
        <v>2299</v>
      </c>
      <c r="P211" s="56">
        <v>2199</v>
      </c>
      <c r="Q211" s="56">
        <v>1699</v>
      </c>
      <c r="R211" s="55">
        <v>2299</v>
      </c>
      <c r="S211" s="55">
        <v>2199</v>
      </c>
      <c r="T211" s="55">
        <v>1699</v>
      </c>
      <c r="U211" s="55">
        <v>1699</v>
      </c>
      <c r="V211" s="55">
        <v>1699</v>
      </c>
      <c r="W211" s="55">
        <v>1699</v>
      </c>
      <c r="X211" s="55">
        <v>1599</v>
      </c>
      <c r="Y211" s="55">
        <v>1399</v>
      </c>
      <c r="Z211" s="55">
        <v>1399</v>
      </c>
      <c r="AA211" s="55">
        <v>1399</v>
      </c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7"/>
      <c r="AW211" s="58" t="s">
        <v>67</v>
      </c>
      <c r="AX211" s="59" t="s">
        <v>68</v>
      </c>
      <c r="AY211" s="60">
        <f t="shared" si="10"/>
        <v>56.5398</v>
      </c>
      <c r="AZ211" s="60">
        <f t="shared" si="11"/>
        <v>50.941800000000001</v>
      </c>
      <c r="BA211" s="61">
        <f t="shared" si="12"/>
        <v>28.829699999999999</v>
      </c>
    </row>
    <row r="212" spans="1:53" ht="22.5" customHeight="1">
      <c r="A212" s="51" t="s">
        <v>63</v>
      </c>
      <c r="B212" s="52" t="s">
        <v>64</v>
      </c>
      <c r="C212" s="53">
        <v>4015584</v>
      </c>
      <c r="D212" s="65" t="s">
        <v>345</v>
      </c>
      <c r="E212" s="65" t="s">
        <v>347</v>
      </c>
      <c r="F212" s="55">
        <v>5499</v>
      </c>
      <c r="G212" s="55">
        <v>1899</v>
      </c>
      <c r="H212" s="55">
        <v>2799</v>
      </c>
      <c r="I212" s="55">
        <v>2799</v>
      </c>
      <c r="J212" s="55">
        <v>2499</v>
      </c>
      <c r="K212" s="55">
        <v>2399</v>
      </c>
      <c r="L212" s="55">
        <v>2399</v>
      </c>
      <c r="M212" s="55">
        <v>2499</v>
      </c>
      <c r="N212" s="55">
        <v>2499</v>
      </c>
      <c r="O212" s="55">
        <v>2299</v>
      </c>
      <c r="P212" s="56">
        <v>2199</v>
      </c>
      <c r="Q212" s="56">
        <v>1699</v>
      </c>
      <c r="R212" s="55">
        <v>2299</v>
      </c>
      <c r="S212" s="55">
        <v>2199</v>
      </c>
      <c r="T212" s="55">
        <v>1699</v>
      </c>
      <c r="U212" s="55">
        <v>1699</v>
      </c>
      <c r="V212" s="55">
        <v>1699</v>
      </c>
      <c r="W212" s="55">
        <v>1699</v>
      </c>
      <c r="X212" s="55">
        <v>1599</v>
      </c>
      <c r="Y212" s="55">
        <v>1399</v>
      </c>
      <c r="Z212" s="55">
        <v>1399</v>
      </c>
      <c r="AA212" s="55">
        <v>1399</v>
      </c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7"/>
      <c r="AW212" s="58" t="s">
        <v>67</v>
      </c>
      <c r="AX212" s="59" t="s">
        <v>68</v>
      </c>
      <c r="AY212" s="60">
        <f t="shared" si="10"/>
        <v>56.5398</v>
      </c>
      <c r="AZ212" s="60">
        <f t="shared" si="11"/>
        <v>50.941800000000001</v>
      </c>
      <c r="BA212" s="61">
        <f t="shared" si="12"/>
        <v>28.829699999999999</v>
      </c>
    </row>
    <row r="213" spans="1:53" ht="22.5" customHeight="1">
      <c r="A213" s="51" t="s">
        <v>63</v>
      </c>
      <c r="B213" s="52" t="s">
        <v>64</v>
      </c>
      <c r="C213" s="53">
        <v>4015556</v>
      </c>
      <c r="D213" s="65" t="s">
        <v>348</v>
      </c>
      <c r="E213" s="65" t="s">
        <v>349</v>
      </c>
      <c r="F213" s="55">
        <v>7999</v>
      </c>
      <c r="G213" s="55">
        <v>3399</v>
      </c>
      <c r="H213" s="55">
        <v>4299</v>
      </c>
      <c r="I213" s="55">
        <v>4299</v>
      </c>
      <c r="J213" s="55">
        <v>3099</v>
      </c>
      <c r="K213" s="55">
        <v>2999</v>
      </c>
      <c r="L213" s="55">
        <v>2999</v>
      </c>
      <c r="M213" s="55">
        <v>3099</v>
      </c>
      <c r="N213" s="55">
        <v>3099</v>
      </c>
      <c r="O213" s="55">
        <v>2899</v>
      </c>
      <c r="P213" s="56">
        <v>2799</v>
      </c>
      <c r="Q213" s="56">
        <v>2599</v>
      </c>
      <c r="R213" s="55">
        <v>2899</v>
      </c>
      <c r="S213" s="55">
        <v>2799</v>
      </c>
      <c r="T213" s="55">
        <v>2599</v>
      </c>
      <c r="U213" s="55">
        <v>2599</v>
      </c>
      <c r="V213" s="55">
        <v>2599</v>
      </c>
      <c r="W213" s="55">
        <v>2599</v>
      </c>
      <c r="X213" s="55">
        <v>2499</v>
      </c>
      <c r="Y213" s="55">
        <v>2399</v>
      </c>
      <c r="Z213" s="55">
        <v>2399</v>
      </c>
      <c r="AA213" s="55">
        <v>2399</v>
      </c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7"/>
      <c r="AW213" s="58" t="s">
        <v>67</v>
      </c>
      <c r="AX213" s="59" t="s">
        <v>68</v>
      </c>
      <c r="AY213" s="60">
        <f t="shared" si="10"/>
        <v>86.839799999999997</v>
      </c>
      <c r="AZ213" s="60">
        <f t="shared" si="11"/>
        <v>78.241799999999998</v>
      </c>
      <c r="BA213" s="61">
        <f t="shared" si="12"/>
        <v>44.279699999999998</v>
      </c>
    </row>
    <row r="214" spans="1:53" ht="22.5" customHeight="1">
      <c r="A214" s="51" t="s">
        <v>63</v>
      </c>
      <c r="B214" s="52" t="s">
        <v>64</v>
      </c>
      <c r="C214" s="53">
        <v>4016294</v>
      </c>
      <c r="D214" s="65" t="s">
        <v>350</v>
      </c>
      <c r="E214" s="65" t="s">
        <v>351</v>
      </c>
      <c r="F214" s="55">
        <v>7999</v>
      </c>
      <c r="G214" s="55">
        <v>3299</v>
      </c>
      <c r="H214" s="55">
        <v>5069</v>
      </c>
      <c r="I214" s="55">
        <v>5069</v>
      </c>
      <c r="J214" s="55">
        <v>4999</v>
      </c>
      <c r="K214" s="55">
        <v>4999</v>
      </c>
      <c r="L214" s="55">
        <v>4999</v>
      </c>
      <c r="M214" s="55">
        <v>4999</v>
      </c>
      <c r="N214" s="55">
        <v>4999</v>
      </c>
      <c r="O214" s="55">
        <v>4899</v>
      </c>
      <c r="P214" s="56">
        <v>4799</v>
      </c>
      <c r="Q214" s="56">
        <v>3599</v>
      </c>
      <c r="R214" s="55">
        <v>4899</v>
      </c>
      <c r="S214" s="55">
        <v>4799</v>
      </c>
      <c r="T214" s="55">
        <v>3599</v>
      </c>
      <c r="U214" s="55">
        <v>3599</v>
      </c>
      <c r="V214" s="55">
        <v>3599</v>
      </c>
      <c r="W214" s="55">
        <v>3599</v>
      </c>
      <c r="X214" s="55">
        <v>3299</v>
      </c>
      <c r="Y214" s="55">
        <v>1999</v>
      </c>
      <c r="Z214" s="55">
        <v>1999</v>
      </c>
      <c r="AA214" s="55">
        <v>1999</v>
      </c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7"/>
      <c r="AW214" s="58" t="s">
        <v>67</v>
      </c>
      <c r="AX214" s="59" t="s">
        <v>68</v>
      </c>
      <c r="AY214" s="60">
        <f t="shared" si="10"/>
        <v>102.3938</v>
      </c>
      <c r="AZ214" s="60">
        <f t="shared" si="11"/>
        <v>92.255800000000008</v>
      </c>
      <c r="BA214" s="61">
        <f t="shared" si="12"/>
        <v>52.210700000000003</v>
      </c>
    </row>
    <row r="215" spans="1:53" ht="22.5" customHeight="1">
      <c r="A215" s="51" t="s">
        <v>63</v>
      </c>
      <c r="B215" s="52" t="s">
        <v>64</v>
      </c>
      <c r="C215" s="53">
        <v>4016925</v>
      </c>
      <c r="D215" s="65" t="s">
        <v>352</v>
      </c>
      <c r="E215" s="65" t="s">
        <v>353</v>
      </c>
      <c r="F215" s="55">
        <v>9999</v>
      </c>
      <c r="G215" s="55">
        <v>6299</v>
      </c>
      <c r="H215" s="55">
        <v>6779</v>
      </c>
      <c r="I215" s="55">
        <v>6779</v>
      </c>
      <c r="J215" s="55">
        <v>6699</v>
      </c>
      <c r="K215" s="55">
        <v>6699</v>
      </c>
      <c r="L215" s="55">
        <v>6699</v>
      </c>
      <c r="M215" s="55">
        <v>6699</v>
      </c>
      <c r="N215" s="55">
        <v>6699</v>
      </c>
      <c r="O215" s="55">
        <v>6599</v>
      </c>
      <c r="P215" s="56">
        <v>6499</v>
      </c>
      <c r="Q215" s="56">
        <v>6399</v>
      </c>
      <c r="R215" s="55">
        <v>6599</v>
      </c>
      <c r="S215" s="55">
        <v>6499</v>
      </c>
      <c r="T215" s="55">
        <v>6399</v>
      </c>
      <c r="U215" s="55">
        <v>6399</v>
      </c>
      <c r="V215" s="55">
        <v>6399</v>
      </c>
      <c r="W215" s="55">
        <v>6399</v>
      </c>
      <c r="X215" s="55">
        <v>6299</v>
      </c>
      <c r="Y215" s="55">
        <v>4999</v>
      </c>
      <c r="Z215" s="55">
        <v>4999</v>
      </c>
      <c r="AA215" s="55">
        <v>4999</v>
      </c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7"/>
      <c r="AW215" s="58" t="s">
        <v>67</v>
      </c>
      <c r="AX215" s="59" t="s">
        <v>68</v>
      </c>
      <c r="AY215" s="60">
        <f t="shared" si="10"/>
        <v>136.9358</v>
      </c>
      <c r="AZ215" s="60">
        <f t="shared" si="11"/>
        <v>123.37780000000001</v>
      </c>
      <c r="BA215" s="61">
        <f t="shared" si="12"/>
        <v>69.823700000000002</v>
      </c>
    </row>
    <row r="216" spans="1:53" ht="22.5" customHeight="1">
      <c r="A216" s="51" t="s">
        <v>63</v>
      </c>
      <c r="B216" s="52" t="s">
        <v>64</v>
      </c>
      <c r="C216" s="53">
        <v>4017990</v>
      </c>
      <c r="D216" s="65" t="s">
        <v>354</v>
      </c>
      <c r="E216" s="65" t="s">
        <v>355</v>
      </c>
      <c r="F216" s="55">
        <v>11999</v>
      </c>
      <c r="G216" s="55">
        <v>6399</v>
      </c>
      <c r="H216" s="55">
        <v>10899</v>
      </c>
      <c r="I216" s="55">
        <v>10899</v>
      </c>
      <c r="J216" s="55">
        <v>10799</v>
      </c>
      <c r="K216" s="55">
        <v>10799</v>
      </c>
      <c r="L216" s="55">
        <v>10799</v>
      </c>
      <c r="M216" s="55">
        <v>10799</v>
      </c>
      <c r="N216" s="55">
        <v>10799</v>
      </c>
      <c r="O216" s="55">
        <v>10699</v>
      </c>
      <c r="P216" s="56">
        <v>10599</v>
      </c>
      <c r="Q216" s="56">
        <v>6499</v>
      </c>
      <c r="R216" s="55">
        <v>10699</v>
      </c>
      <c r="S216" s="55">
        <v>10599</v>
      </c>
      <c r="T216" s="55">
        <v>6499</v>
      </c>
      <c r="U216" s="55">
        <v>6499</v>
      </c>
      <c r="V216" s="55">
        <v>6499</v>
      </c>
      <c r="W216" s="55">
        <v>6499</v>
      </c>
      <c r="X216" s="55">
        <v>6399</v>
      </c>
      <c r="Y216" s="55">
        <v>5999</v>
      </c>
      <c r="Z216" s="55">
        <v>5999</v>
      </c>
      <c r="AA216" s="55">
        <v>5799</v>
      </c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7"/>
      <c r="AW216" s="58" t="s">
        <v>67</v>
      </c>
      <c r="AX216" s="59" t="s">
        <v>68</v>
      </c>
      <c r="AY216" s="62">
        <f t="shared" si="10"/>
        <v>220.15979999999999</v>
      </c>
      <c r="AZ216" s="62">
        <f t="shared" si="11"/>
        <v>198.36180000000002</v>
      </c>
      <c r="BA216" s="63">
        <f t="shared" si="12"/>
        <v>112.2597</v>
      </c>
    </row>
    <row r="217" spans="1:53" ht="22.5" customHeight="1">
      <c r="A217" s="51" t="s">
        <v>63</v>
      </c>
      <c r="B217" s="52" t="s">
        <v>64</v>
      </c>
      <c r="C217" s="53">
        <v>4017991</v>
      </c>
      <c r="D217" s="65" t="s">
        <v>354</v>
      </c>
      <c r="E217" s="65" t="s">
        <v>356</v>
      </c>
      <c r="F217" s="55">
        <v>11999</v>
      </c>
      <c r="G217" s="55">
        <v>6399</v>
      </c>
      <c r="H217" s="55">
        <v>10899</v>
      </c>
      <c r="I217" s="55">
        <v>10899</v>
      </c>
      <c r="J217" s="55">
        <v>10799</v>
      </c>
      <c r="K217" s="55">
        <v>10799</v>
      </c>
      <c r="L217" s="55">
        <v>10799</v>
      </c>
      <c r="M217" s="55">
        <v>10799</v>
      </c>
      <c r="N217" s="55">
        <v>10799</v>
      </c>
      <c r="O217" s="55">
        <v>10699</v>
      </c>
      <c r="P217" s="56">
        <v>10599</v>
      </c>
      <c r="Q217" s="56">
        <v>6499</v>
      </c>
      <c r="R217" s="55">
        <v>10699</v>
      </c>
      <c r="S217" s="55">
        <v>10599</v>
      </c>
      <c r="T217" s="55">
        <v>6499</v>
      </c>
      <c r="U217" s="55">
        <v>6499</v>
      </c>
      <c r="V217" s="55">
        <v>6499</v>
      </c>
      <c r="W217" s="55">
        <v>6499</v>
      </c>
      <c r="X217" s="55">
        <v>6399</v>
      </c>
      <c r="Y217" s="55">
        <v>5999</v>
      </c>
      <c r="Z217" s="55">
        <v>5999</v>
      </c>
      <c r="AA217" s="55">
        <v>5799</v>
      </c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7"/>
      <c r="AW217" s="58" t="s">
        <v>67</v>
      </c>
      <c r="AX217" s="59" t="s">
        <v>68</v>
      </c>
      <c r="AY217" s="62">
        <f t="shared" si="10"/>
        <v>220.15979999999999</v>
      </c>
      <c r="AZ217" s="62">
        <f t="shared" si="11"/>
        <v>198.36180000000002</v>
      </c>
      <c r="BA217" s="63">
        <f t="shared" si="12"/>
        <v>112.2597</v>
      </c>
    </row>
    <row r="218" spans="1:53" ht="22.5" customHeight="1">
      <c r="A218" s="51" t="s">
        <v>63</v>
      </c>
      <c r="B218" s="52" t="s">
        <v>64</v>
      </c>
      <c r="C218" s="53">
        <v>4017960</v>
      </c>
      <c r="D218" s="65" t="s">
        <v>357</v>
      </c>
      <c r="E218" s="65" t="s">
        <v>358</v>
      </c>
      <c r="F218" s="55">
        <v>15999</v>
      </c>
      <c r="G218" s="55">
        <v>7899</v>
      </c>
      <c r="H218" s="55">
        <v>13999</v>
      </c>
      <c r="I218" s="55">
        <v>13999</v>
      </c>
      <c r="J218" s="55">
        <v>13799</v>
      </c>
      <c r="K218" s="55">
        <v>13799</v>
      </c>
      <c r="L218" s="55">
        <v>13799</v>
      </c>
      <c r="M218" s="55">
        <v>13799</v>
      </c>
      <c r="N218" s="55">
        <v>13799</v>
      </c>
      <c r="O218" s="55">
        <v>13699</v>
      </c>
      <c r="P218" s="56">
        <v>13599</v>
      </c>
      <c r="Q218" s="56">
        <v>7999</v>
      </c>
      <c r="R218" s="55">
        <v>13699</v>
      </c>
      <c r="S218" s="55">
        <v>13599</v>
      </c>
      <c r="T218" s="55">
        <v>7999</v>
      </c>
      <c r="U218" s="55">
        <v>7999</v>
      </c>
      <c r="V218" s="55">
        <v>7999</v>
      </c>
      <c r="W218" s="55">
        <v>7999</v>
      </c>
      <c r="X218" s="55">
        <v>7899</v>
      </c>
      <c r="Y218" s="55">
        <v>7499</v>
      </c>
      <c r="Z218" s="55">
        <v>7499</v>
      </c>
      <c r="AA218" s="55">
        <v>7299</v>
      </c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7"/>
      <c r="AW218" s="58" t="s">
        <v>67</v>
      </c>
      <c r="AX218" s="59" t="s">
        <v>68</v>
      </c>
      <c r="AY218" s="62">
        <f t="shared" si="10"/>
        <v>282.77979999999997</v>
      </c>
      <c r="AZ218" s="62">
        <f t="shared" si="11"/>
        <v>254.7818</v>
      </c>
      <c r="BA218" s="63">
        <f t="shared" si="12"/>
        <v>144.18969999999999</v>
      </c>
    </row>
    <row r="219" spans="1:53" ht="22.5" customHeight="1">
      <c r="A219" s="51" t="s">
        <v>63</v>
      </c>
      <c r="B219" s="52" t="s">
        <v>64</v>
      </c>
      <c r="C219" s="53">
        <v>4017738</v>
      </c>
      <c r="D219" s="65" t="s">
        <v>359</v>
      </c>
      <c r="E219" s="65" t="s">
        <v>360</v>
      </c>
      <c r="F219" s="55">
        <v>8999</v>
      </c>
      <c r="G219" s="55">
        <v>5899</v>
      </c>
      <c r="H219" s="55">
        <v>6699</v>
      </c>
      <c r="I219" s="55">
        <v>6699</v>
      </c>
      <c r="J219" s="55">
        <v>6599</v>
      </c>
      <c r="K219" s="55">
        <v>6599</v>
      </c>
      <c r="L219" s="55">
        <v>6599</v>
      </c>
      <c r="M219" s="55">
        <v>6599</v>
      </c>
      <c r="N219" s="55">
        <v>6599</v>
      </c>
      <c r="O219" s="55">
        <v>6499</v>
      </c>
      <c r="P219" s="56">
        <v>6399</v>
      </c>
      <c r="Q219" s="56">
        <v>5999</v>
      </c>
      <c r="R219" s="55">
        <v>6499</v>
      </c>
      <c r="S219" s="55">
        <v>6399</v>
      </c>
      <c r="T219" s="55">
        <v>5999</v>
      </c>
      <c r="U219" s="55">
        <v>5999</v>
      </c>
      <c r="V219" s="55">
        <v>5999</v>
      </c>
      <c r="W219" s="55">
        <v>5999</v>
      </c>
      <c r="X219" s="55">
        <v>5899</v>
      </c>
      <c r="Y219" s="55">
        <v>5199</v>
      </c>
      <c r="Z219" s="55">
        <v>5199</v>
      </c>
      <c r="AA219" s="55">
        <v>4999</v>
      </c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7"/>
      <c r="AW219" s="58" t="s">
        <v>67</v>
      </c>
      <c r="AX219" s="59" t="s">
        <v>68</v>
      </c>
      <c r="AY219" s="62">
        <f t="shared" si="10"/>
        <v>135.31979999999999</v>
      </c>
      <c r="AZ219" s="62">
        <f t="shared" si="11"/>
        <v>121.9218</v>
      </c>
      <c r="BA219" s="63">
        <f t="shared" si="12"/>
        <v>68.999700000000004</v>
      </c>
    </row>
    <row r="220" spans="1:53" ht="22.5" customHeight="1">
      <c r="A220" s="64" t="s">
        <v>241</v>
      </c>
      <c r="B220" s="52" t="s">
        <v>64</v>
      </c>
      <c r="C220" s="53">
        <v>4014215</v>
      </c>
      <c r="D220" s="65" t="s">
        <v>361</v>
      </c>
      <c r="E220" s="65" t="s">
        <v>362</v>
      </c>
      <c r="F220" s="55">
        <v>499</v>
      </c>
      <c r="G220" s="55">
        <v>399</v>
      </c>
      <c r="H220" s="55">
        <v>399</v>
      </c>
      <c r="I220" s="55">
        <v>399</v>
      </c>
      <c r="J220" s="55">
        <f t="shared" si="14"/>
        <v>299</v>
      </c>
      <c r="K220" s="55">
        <f t="shared" si="15"/>
        <v>299</v>
      </c>
      <c r="L220" s="55">
        <f t="shared" si="15"/>
        <v>299</v>
      </c>
      <c r="M220" s="55">
        <v>299</v>
      </c>
      <c r="N220" s="55">
        <v>299</v>
      </c>
      <c r="O220" s="55">
        <f t="shared" si="16"/>
        <v>299</v>
      </c>
      <c r="P220" s="56">
        <f t="shared" si="16"/>
        <v>299</v>
      </c>
      <c r="Q220" s="56">
        <f t="shared" si="16"/>
        <v>299</v>
      </c>
      <c r="R220" s="55">
        <v>299</v>
      </c>
      <c r="S220" s="55">
        <v>299</v>
      </c>
      <c r="T220" s="55">
        <v>299</v>
      </c>
      <c r="U220" s="55">
        <v>299</v>
      </c>
      <c r="V220" s="55">
        <v>299</v>
      </c>
      <c r="W220" s="55">
        <v>299</v>
      </c>
      <c r="X220" s="55">
        <v>299</v>
      </c>
      <c r="Y220" s="55">
        <v>299</v>
      </c>
      <c r="Z220" s="55">
        <v>299</v>
      </c>
      <c r="AA220" s="55">
        <v>299</v>
      </c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7"/>
      <c r="AW220" s="58" t="s">
        <v>67</v>
      </c>
      <c r="AX220" s="59" t="s">
        <v>247</v>
      </c>
      <c r="AY220" s="60">
        <f t="shared" si="10"/>
        <v>8.0597999999999992</v>
      </c>
      <c r="AZ220" s="60">
        <f t="shared" si="11"/>
        <v>7.2618</v>
      </c>
      <c r="BA220" s="61">
        <f t="shared" si="12"/>
        <v>4.1097000000000001</v>
      </c>
    </row>
    <row r="221" spans="1:53" ht="22.5" customHeight="1">
      <c r="A221" s="64" t="s">
        <v>241</v>
      </c>
      <c r="B221" s="52" t="s">
        <v>64</v>
      </c>
      <c r="C221" s="53">
        <v>4014569</v>
      </c>
      <c r="D221" s="65" t="s">
        <v>363</v>
      </c>
      <c r="E221" s="65" t="s">
        <v>364</v>
      </c>
      <c r="F221" s="55">
        <v>299</v>
      </c>
      <c r="G221" s="55">
        <v>199</v>
      </c>
      <c r="H221" s="55">
        <v>199</v>
      </c>
      <c r="I221" s="55">
        <v>199</v>
      </c>
      <c r="J221" s="55">
        <f t="shared" si="14"/>
        <v>199</v>
      </c>
      <c r="K221" s="55">
        <f t="shared" si="15"/>
        <v>199</v>
      </c>
      <c r="L221" s="55">
        <f t="shared" si="15"/>
        <v>199</v>
      </c>
      <c r="M221" s="55">
        <v>199</v>
      </c>
      <c r="N221" s="55">
        <v>199</v>
      </c>
      <c r="O221" s="55">
        <f t="shared" si="16"/>
        <v>199</v>
      </c>
      <c r="P221" s="56">
        <f t="shared" si="16"/>
        <v>199</v>
      </c>
      <c r="Q221" s="56">
        <f t="shared" si="16"/>
        <v>199</v>
      </c>
      <c r="R221" s="55">
        <v>199</v>
      </c>
      <c r="S221" s="55">
        <v>199</v>
      </c>
      <c r="T221" s="55">
        <v>199</v>
      </c>
      <c r="U221" s="55">
        <v>199</v>
      </c>
      <c r="V221" s="55">
        <v>199</v>
      </c>
      <c r="W221" s="55">
        <v>199</v>
      </c>
      <c r="X221" s="55">
        <v>199</v>
      </c>
      <c r="Y221" s="55">
        <v>199</v>
      </c>
      <c r="Z221" s="55">
        <v>199</v>
      </c>
      <c r="AA221" s="55">
        <v>199</v>
      </c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7"/>
      <c r="AW221" s="58" t="s">
        <v>67</v>
      </c>
      <c r="AX221" s="59" t="s">
        <v>247</v>
      </c>
      <c r="AY221" s="60">
        <f t="shared" si="10"/>
        <v>4.0198</v>
      </c>
      <c r="AZ221" s="60">
        <f t="shared" si="11"/>
        <v>3.6218000000000004</v>
      </c>
      <c r="BA221" s="61">
        <f t="shared" si="12"/>
        <v>2.0497000000000001</v>
      </c>
    </row>
    <row r="222" spans="1:53" ht="22.5" customHeight="1">
      <c r="A222" s="64" t="s">
        <v>241</v>
      </c>
      <c r="B222" s="52" t="s">
        <v>64</v>
      </c>
      <c r="C222" s="53">
        <v>4017883</v>
      </c>
      <c r="D222" s="65" t="s">
        <v>365</v>
      </c>
      <c r="E222" s="65" t="s">
        <v>366</v>
      </c>
      <c r="F222" s="55">
        <v>1899</v>
      </c>
      <c r="G222" s="55">
        <v>1499</v>
      </c>
      <c r="H222" s="55">
        <v>1499</v>
      </c>
      <c r="I222" s="55">
        <v>1499</v>
      </c>
      <c r="J222" s="55">
        <v>1399</v>
      </c>
      <c r="K222" s="55">
        <v>1399</v>
      </c>
      <c r="L222" s="55">
        <v>1399</v>
      </c>
      <c r="M222" s="55">
        <v>1399</v>
      </c>
      <c r="N222" s="55">
        <v>1399</v>
      </c>
      <c r="O222" s="55">
        <v>1299</v>
      </c>
      <c r="P222" s="56">
        <v>1199</v>
      </c>
      <c r="Q222" s="56">
        <v>899</v>
      </c>
      <c r="R222" s="55">
        <v>1299</v>
      </c>
      <c r="S222" s="55">
        <v>1199</v>
      </c>
      <c r="T222" s="55">
        <v>899</v>
      </c>
      <c r="U222" s="55">
        <v>899</v>
      </c>
      <c r="V222" s="55">
        <v>899</v>
      </c>
      <c r="W222" s="55">
        <v>899</v>
      </c>
      <c r="X222" s="55">
        <v>799</v>
      </c>
      <c r="Y222" s="55">
        <v>699</v>
      </c>
      <c r="Z222" s="55">
        <v>699</v>
      </c>
      <c r="AA222" s="55">
        <v>699</v>
      </c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7"/>
      <c r="AW222" s="58" t="s">
        <v>67</v>
      </c>
      <c r="AX222" s="59" t="s">
        <v>68</v>
      </c>
      <c r="AY222" s="62">
        <f t="shared" si="10"/>
        <v>30.279799999999998</v>
      </c>
      <c r="AZ222" s="62">
        <f t="shared" si="11"/>
        <v>27.2818</v>
      </c>
      <c r="BA222" s="63">
        <f t="shared" si="12"/>
        <v>15.4397</v>
      </c>
    </row>
    <row r="223" spans="1:53" ht="22.5" customHeight="1">
      <c r="A223" s="64" t="s">
        <v>241</v>
      </c>
      <c r="B223" s="52" t="s">
        <v>64</v>
      </c>
      <c r="C223" s="53">
        <v>4014160</v>
      </c>
      <c r="D223" s="53" t="s">
        <v>367</v>
      </c>
      <c r="E223" s="68" t="s">
        <v>368</v>
      </c>
      <c r="F223" s="55">
        <v>159</v>
      </c>
      <c r="G223" s="55">
        <v>149</v>
      </c>
      <c r="H223" s="55">
        <v>149</v>
      </c>
      <c r="I223" s="55">
        <v>149</v>
      </c>
      <c r="J223" s="55">
        <f t="shared" si="14"/>
        <v>149</v>
      </c>
      <c r="K223" s="55">
        <f t="shared" si="15"/>
        <v>149</v>
      </c>
      <c r="L223" s="55">
        <f t="shared" si="15"/>
        <v>149</v>
      </c>
      <c r="M223" s="55">
        <v>149</v>
      </c>
      <c r="N223" s="55">
        <v>149</v>
      </c>
      <c r="O223" s="55">
        <f t="shared" ref="O223:Q228" si="17">R223</f>
        <v>149</v>
      </c>
      <c r="P223" s="56">
        <f t="shared" si="17"/>
        <v>149</v>
      </c>
      <c r="Q223" s="56">
        <f t="shared" si="17"/>
        <v>149</v>
      </c>
      <c r="R223" s="55">
        <v>149</v>
      </c>
      <c r="S223" s="55">
        <v>149</v>
      </c>
      <c r="T223" s="55">
        <v>149</v>
      </c>
      <c r="U223" s="55">
        <v>149</v>
      </c>
      <c r="V223" s="55">
        <v>149</v>
      </c>
      <c r="W223" s="55">
        <v>149</v>
      </c>
      <c r="X223" s="55">
        <v>149</v>
      </c>
      <c r="Y223" s="55">
        <v>149</v>
      </c>
      <c r="Z223" s="55">
        <v>149</v>
      </c>
      <c r="AA223" s="55">
        <v>149</v>
      </c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7"/>
      <c r="AW223" s="58" t="s">
        <v>67</v>
      </c>
      <c r="AX223" s="59" t="s">
        <v>247</v>
      </c>
      <c r="AY223" s="60">
        <f t="shared" si="10"/>
        <v>3.0097999999999998</v>
      </c>
      <c r="AZ223" s="60">
        <f t="shared" si="11"/>
        <v>2.7118000000000002</v>
      </c>
      <c r="BA223" s="61">
        <f t="shared" si="12"/>
        <v>1.5347</v>
      </c>
    </row>
    <row r="224" spans="1:53" ht="22.5" customHeight="1">
      <c r="A224" s="64" t="s">
        <v>241</v>
      </c>
      <c r="B224" s="52" t="s">
        <v>64</v>
      </c>
      <c r="C224" s="53">
        <v>4015002</v>
      </c>
      <c r="D224" s="53" t="s">
        <v>369</v>
      </c>
      <c r="E224" s="68" t="s">
        <v>370</v>
      </c>
      <c r="F224" s="55">
        <v>699</v>
      </c>
      <c r="G224" s="55">
        <v>499</v>
      </c>
      <c r="H224" s="55">
        <v>699</v>
      </c>
      <c r="I224" s="55">
        <v>699</v>
      </c>
      <c r="J224" s="55">
        <v>349</v>
      </c>
      <c r="K224" s="55">
        <v>349</v>
      </c>
      <c r="L224" s="55">
        <v>349</v>
      </c>
      <c r="M224" s="55">
        <v>349</v>
      </c>
      <c r="N224" s="55">
        <v>349</v>
      </c>
      <c r="O224" s="55">
        <v>349</v>
      </c>
      <c r="P224" s="55">
        <v>349</v>
      </c>
      <c r="Q224" s="55">
        <v>349</v>
      </c>
      <c r="R224" s="55">
        <v>349</v>
      </c>
      <c r="S224" s="55">
        <v>349</v>
      </c>
      <c r="T224" s="55">
        <v>349</v>
      </c>
      <c r="U224" s="55">
        <v>349</v>
      </c>
      <c r="V224" s="55">
        <v>349</v>
      </c>
      <c r="W224" s="55">
        <v>349</v>
      </c>
      <c r="X224" s="55">
        <v>349</v>
      </c>
      <c r="Y224" s="55">
        <v>349</v>
      </c>
      <c r="Z224" s="55">
        <v>349</v>
      </c>
      <c r="AA224" s="55">
        <v>349</v>
      </c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7"/>
      <c r="AW224" s="58" t="s">
        <v>67</v>
      </c>
      <c r="AX224" s="59" t="s">
        <v>247</v>
      </c>
      <c r="AY224" s="60">
        <f t="shared" si="10"/>
        <v>14.1198</v>
      </c>
      <c r="AZ224" s="60">
        <f t="shared" si="11"/>
        <v>12.7218</v>
      </c>
      <c r="BA224" s="61">
        <f t="shared" si="12"/>
        <v>7.1997</v>
      </c>
    </row>
    <row r="225" spans="1:53" ht="22.5" customHeight="1">
      <c r="A225" s="64" t="s">
        <v>241</v>
      </c>
      <c r="B225" s="52" t="s">
        <v>64</v>
      </c>
      <c r="C225" s="53">
        <v>4015007</v>
      </c>
      <c r="D225" s="53" t="s">
        <v>369</v>
      </c>
      <c r="E225" s="68" t="s">
        <v>371</v>
      </c>
      <c r="F225" s="55">
        <v>699</v>
      </c>
      <c r="G225" s="55">
        <v>499</v>
      </c>
      <c r="H225" s="55">
        <v>699</v>
      </c>
      <c r="I225" s="55">
        <v>699</v>
      </c>
      <c r="J225" s="55">
        <v>349</v>
      </c>
      <c r="K225" s="55">
        <v>349</v>
      </c>
      <c r="L225" s="55">
        <v>349</v>
      </c>
      <c r="M225" s="55">
        <v>349</v>
      </c>
      <c r="N225" s="55">
        <v>349</v>
      </c>
      <c r="O225" s="55">
        <v>349</v>
      </c>
      <c r="P225" s="55">
        <v>349</v>
      </c>
      <c r="Q225" s="55">
        <v>349</v>
      </c>
      <c r="R225" s="55">
        <v>349</v>
      </c>
      <c r="S225" s="55">
        <v>349</v>
      </c>
      <c r="T225" s="55">
        <v>349</v>
      </c>
      <c r="U225" s="55">
        <v>349</v>
      </c>
      <c r="V225" s="55">
        <v>349</v>
      </c>
      <c r="W225" s="55">
        <v>349</v>
      </c>
      <c r="X225" s="55">
        <v>349</v>
      </c>
      <c r="Y225" s="55">
        <v>349</v>
      </c>
      <c r="Z225" s="55">
        <v>349</v>
      </c>
      <c r="AA225" s="55">
        <v>349</v>
      </c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7"/>
      <c r="AW225" s="58" t="s">
        <v>67</v>
      </c>
      <c r="AX225" s="59" t="s">
        <v>247</v>
      </c>
      <c r="AY225" s="60">
        <f t="shared" si="10"/>
        <v>14.1198</v>
      </c>
      <c r="AZ225" s="60">
        <f t="shared" si="11"/>
        <v>12.7218</v>
      </c>
      <c r="BA225" s="61">
        <f t="shared" si="12"/>
        <v>7.1997</v>
      </c>
    </row>
    <row r="226" spans="1:53" ht="22.5" customHeight="1">
      <c r="A226" s="64" t="s">
        <v>241</v>
      </c>
      <c r="B226" s="52" t="s">
        <v>64</v>
      </c>
      <c r="C226" s="53">
        <v>4015000</v>
      </c>
      <c r="D226" s="53" t="s">
        <v>369</v>
      </c>
      <c r="E226" s="65" t="s">
        <v>372</v>
      </c>
      <c r="F226" s="55">
        <v>699</v>
      </c>
      <c r="G226" s="55">
        <v>499</v>
      </c>
      <c r="H226" s="55">
        <v>699</v>
      </c>
      <c r="I226" s="55">
        <v>699</v>
      </c>
      <c r="J226" s="55">
        <v>349</v>
      </c>
      <c r="K226" s="55">
        <v>349</v>
      </c>
      <c r="L226" s="55">
        <v>349</v>
      </c>
      <c r="M226" s="55">
        <v>349</v>
      </c>
      <c r="N226" s="55">
        <v>349</v>
      </c>
      <c r="O226" s="55">
        <v>349</v>
      </c>
      <c r="P226" s="55">
        <v>349</v>
      </c>
      <c r="Q226" s="55">
        <v>349</v>
      </c>
      <c r="R226" s="55">
        <v>349</v>
      </c>
      <c r="S226" s="55">
        <v>349</v>
      </c>
      <c r="T226" s="55">
        <v>349</v>
      </c>
      <c r="U226" s="55">
        <v>349</v>
      </c>
      <c r="V226" s="55">
        <v>349</v>
      </c>
      <c r="W226" s="55">
        <v>349</v>
      </c>
      <c r="X226" s="55">
        <v>349</v>
      </c>
      <c r="Y226" s="55">
        <v>349</v>
      </c>
      <c r="Z226" s="55">
        <v>349</v>
      </c>
      <c r="AA226" s="55">
        <v>349</v>
      </c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7"/>
      <c r="AW226" s="58" t="s">
        <v>67</v>
      </c>
      <c r="AX226" s="59" t="s">
        <v>247</v>
      </c>
      <c r="AY226" s="60">
        <f t="shared" si="10"/>
        <v>14.1198</v>
      </c>
      <c r="AZ226" s="60">
        <f t="shared" si="11"/>
        <v>12.7218</v>
      </c>
      <c r="BA226" s="61">
        <f t="shared" si="12"/>
        <v>7.1997</v>
      </c>
    </row>
    <row r="227" spans="1:53" ht="22.5" customHeight="1">
      <c r="A227" s="64" t="s">
        <v>241</v>
      </c>
      <c r="B227" s="52" t="s">
        <v>64</v>
      </c>
      <c r="C227" s="53">
        <v>4014434</v>
      </c>
      <c r="D227" s="65" t="s">
        <v>373</v>
      </c>
      <c r="E227" s="65" t="s">
        <v>374</v>
      </c>
      <c r="F227" s="55">
        <v>499</v>
      </c>
      <c r="G227" s="55">
        <v>349</v>
      </c>
      <c r="H227" s="55">
        <v>499</v>
      </c>
      <c r="I227" s="55">
        <v>499</v>
      </c>
      <c r="J227" s="55">
        <f t="shared" ref="J227:J253" si="18">M227</f>
        <v>399</v>
      </c>
      <c r="K227" s="55">
        <f t="shared" ref="K227:L253" si="19">M227</f>
        <v>399</v>
      </c>
      <c r="L227" s="55">
        <f t="shared" si="19"/>
        <v>399</v>
      </c>
      <c r="M227" s="55">
        <v>399</v>
      </c>
      <c r="N227" s="55">
        <v>399</v>
      </c>
      <c r="O227" s="55">
        <f t="shared" si="17"/>
        <v>349</v>
      </c>
      <c r="P227" s="56">
        <f t="shared" si="17"/>
        <v>349</v>
      </c>
      <c r="Q227" s="56">
        <f t="shared" si="17"/>
        <v>349</v>
      </c>
      <c r="R227" s="55">
        <v>349</v>
      </c>
      <c r="S227" s="55">
        <v>349</v>
      </c>
      <c r="T227" s="55">
        <v>349</v>
      </c>
      <c r="U227" s="55">
        <v>349</v>
      </c>
      <c r="V227" s="55">
        <v>349</v>
      </c>
      <c r="W227" s="55">
        <v>349</v>
      </c>
      <c r="X227" s="55">
        <v>349</v>
      </c>
      <c r="Y227" s="55">
        <v>349</v>
      </c>
      <c r="Z227" s="55">
        <v>349</v>
      </c>
      <c r="AA227" s="55">
        <v>349</v>
      </c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7"/>
      <c r="AW227" s="58" t="s">
        <v>67</v>
      </c>
      <c r="AX227" s="59" t="s">
        <v>247</v>
      </c>
      <c r="AY227" s="60">
        <f t="shared" si="10"/>
        <v>10.079799999999999</v>
      </c>
      <c r="AZ227" s="60">
        <f t="shared" si="11"/>
        <v>9.0818000000000012</v>
      </c>
      <c r="BA227" s="61">
        <f t="shared" si="12"/>
        <v>5.1397000000000004</v>
      </c>
    </row>
    <row r="228" spans="1:53" ht="22.5" customHeight="1">
      <c r="A228" s="64" t="s">
        <v>241</v>
      </c>
      <c r="B228" s="52" t="s">
        <v>64</v>
      </c>
      <c r="C228" s="53">
        <v>4014440</v>
      </c>
      <c r="D228" s="65" t="s">
        <v>373</v>
      </c>
      <c r="E228" s="65" t="s">
        <v>375</v>
      </c>
      <c r="F228" s="55">
        <v>499</v>
      </c>
      <c r="G228" s="55">
        <v>349</v>
      </c>
      <c r="H228" s="55">
        <v>499</v>
      </c>
      <c r="I228" s="55">
        <v>499</v>
      </c>
      <c r="J228" s="55">
        <f t="shared" si="18"/>
        <v>399</v>
      </c>
      <c r="K228" s="55">
        <f t="shared" si="19"/>
        <v>399</v>
      </c>
      <c r="L228" s="55">
        <f t="shared" si="19"/>
        <v>399</v>
      </c>
      <c r="M228" s="55">
        <v>399</v>
      </c>
      <c r="N228" s="55">
        <v>399</v>
      </c>
      <c r="O228" s="55">
        <f t="shared" si="17"/>
        <v>349</v>
      </c>
      <c r="P228" s="56">
        <f t="shared" si="17"/>
        <v>349</v>
      </c>
      <c r="Q228" s="56">
        <f t="shared" si="17"/>
        <v>349</v>
      </c>
      <c r="R228" s="55">
        <v>349</v>
      </c>
      <c r="S228" s="55">
        <v>349</v>
      </c>
      <c r="T228" s="55">
        <v>349</v>
      </c>
      <c r="U228" s="55">
        <v>349</v>
      </c>
      <c r="V228" s="55">
        <v>349</v>
      </c>
      <c r="W228" s="55">
        <v>349</v>
      </c>
      <c r="X228" s="55">
        <v>349</v>
      </c>
      <c r="Y228" s="55">
        <v>349</v>
      </c>
      <c r="Z228" s="55">
        <v>349</v>
      </c>
      <c r="AA228" s="55">
        <v>349</v>
      </c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7"/>
      <c r="AW228" s="58" t="s">
        <v>67</v>
      </c>
      <c r="AX228" s="59" t="s">
        <v>247</v>
      </c>
      <c r="AY228" s="60">
        <f t="shared" si="10"/>
        <v>10.079799999999999</v>
      </c>
      <c r="AZ228" s="60">
        <f t="shared" si="11"/>
        <v>9.0818000000000012</v>
      </c>
      <c r="BA228" s="61">
        <f t="shared" si="12"/>
        <v>5.1397000000000004</v>
      </c>
    </row>
    <row r="229" spans="1:53" ht="22.5" customHeight="1">
      <c r="A229" s="64" t="s">
        <v>241</v>
      </c>
      <c r="B229" s="52" t="s">
        <v>64</v>
      </c>
      <c r="C229" s="53">
        <v>4015992</v>
      </c>
      <c r="D229" s="65" t="s">
        <v>376</v>
      </c>
      <c r="E229" s="65" t="s">
        <v>377</v>
      </c>
      <c r="F229" s="55">
        <v>641</v>
      </c>
      <c r="G229" s="55">
        <v>441</v>
      </c>
      <c r="H229" s="55">
        <v>641</v>
      </c>
      <c r="I229" s="55">
        <v>641</v>
      </c>
      <c r="J229" s="55">
        <v>309</v>
      </c>
      <c r="K229" s="55">
        <v>309</v>
      </c>
      <c r="L229" s="55">
        <v>309</v>
      </c>
      <c r="M229" s="55">
        <v>309</v>
      </c>
      <c r="N229" s="55">
        <v>309</v>
      </c>
      <c r="O229" s="55">
        <v>309</v>
      </c>
      <c r="P229" s="55">
        <v>309</v>
      </c>
      <c r="Q229" s="55">
        <v>309</v>
      </c>
      <c r="R229" s="55">
        <v>309</v>
      </c>
      <c r="S229" s="55">
        <v>309</v>
      </c>
      <c r="T229" s="55">
        <v>309</v>
      </c>
      <c r="U229" s="55">
        <v>309</v>
      </c>
      <c r="V229" s="55">
        <v>309</v>
      </c>
      <c r="W229" s="55">
        <v>309</v>
      </c>
      <c r="X229" s="55">
        <v>309</v>
      </c>
      <c r="Y229" s="55">
        <v>309</v>
      </c>
      <c r="Z229" s="55">
        <v>309</v>
      </c>
      <c r="AA229" s="55">
        <v>309</v>
      </c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7"/>
      <c r="AW229" s="58" t="s">
        <v>67</v>
      </c>
      <c r="AX229" s="59" t="s">
        <v>247</v>
      </c>
      <c r="AY229" s="60">
        <f t="shared" si="10"/>
        <v>12.9482</v>
      </c>
      <c r="AZ229" s="60">
        <f t="shared" si="11"/>
        <v>11.6662</v>
      </c>
      <c r="BA229" s="61">
        <f t="shared" si="12"/>
        <v>6.6023000000000005</v>
      </c>
    </row>
    <row r="230" spans="1:53" ht="22.5" customHeight="1">
      <c r="A230" s="64" t="s">
        <v>241</v>
      </c>
      <c r="B230" s="52" t="s">
        <v>64</v>
      </c>
      <c r="C230" s="53">
        <v>4015995</v>
      </c>
      <c r="D230" s="65" t="s">
        <v>376</v>
      </c>
      <c r="E230" s="65" t="s">
        <v>378</v>
      </c>
      <c r="F230" s="55">
        <v>641</v>
      </c>
      <c r="G230" s="55">
        <v>441</v>
      </c>
      <c r="H230" s="55">
        <v>641</v>
      </c>
      <c r="I230" s="55">
        <v>641</v>
      </c>
      <c r="J230" s="55">
        <v>309</v>
      </c>
      <c r="K230" s="55">
        <v>309</v>
      </c>
      <c r="L230" s="55">
        <v>309</v>
      </c>
      <c r="M230" s="55">
        <v>309</v>
      </c>
      <c r="N230" s="55">
        <v>309</v>
      </c>
      <c r="O230" s="55">
        <v>309</v>
      </c>
      <c r="P230" s="55">
        <v>309</v>
      </c>
      <c r="Q230" s="55">
        <v>309</v>
      </c>
      <c r="R230" s="55">
        <v>309</v>
      </c>
      <c r="S230" s="55">
        <v>309</v>
      </c>
      <c r="T230" s="55">
        <v>309</v>
      </c>
      <c r="U230" s="55">
        <v>309</v>
      </c>
      <c r="V230" s="55">
        <v>309</v>
      </c>
      <c r="W230" s="55">
        <v>309</v>
      </c>
      <c r="X230" s="55">
        <v>309</v>
      </c>
      <c r="Y230" s="55">
        <v>309</v>
      </c>
      <c r="Z230" s="55">
        <v>309</v>
      </c>
      <c r="AA230" s="55">
        <v>309</v>
      </c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7"/>
      <c r="AW230" s="58" t="s">
        <v>67</v>
      </c>
      <c r="AX230" s="59" t="s">
        <v>247</v>
      </c>
      <c r="AY230" s="60">
        <f t="shared" si="10"/>
        <v>12.9482</v>
      </c>
      <c r="AZ230" s="60">
        <f t="shared" si="11"/>
        <v>11.6662</v>
      </c>
      <c r="BA230" s="61">
        <f t="shared" si="12"/>
        <v>6.6023000000000005</v>
      </c>
    </row>
    <row r="231" spans="1:53" ht="22.5" customHeight="1">
      <c r="A231" s="64" t="s">
        <v>241</v>
      </c>
      <c r="B231" s="52" t="s">
        <v>64</v>
      </c>
      <c r="C231" s="53">
        <v>4016000</v>
      </c>
      <c r="D231" s="65" t="s">
        <v>379</v>
      </c>
      <c r="E231" s="65" t="s">
        <v>380</v>
      </c>
      <c r="F231" s="55">
        <v>999</v>
      </c>
      <c r="G231" s="55">
        <v>899</v>
      </c>
      <c r="H231" s="55">
        <v>899</v>
      </c>
      <c r="I231" s="55">
        <v>899</v>
      </c>
      <c r="J231" s="55">
        <v>799</v>
      </c>
      <c r="K231" s="55">
        <v>799</v>
      </c>
      <c r="L231" s="55">
        <v>799</v>
      </c>
      <c r="M231" s="55">
        <v>799</v>
      </c>
      <c r="N231" s="55">
        <v>799</v>
      </c>
      <c r="O231" s="55">
        <v>749</v>
      </c>
      <c r="P231" s="56">
        <v>749</v>
      </c>
      <c r="Q231" s="56">
        <v>749</v>
      </c>
      <c r="R231" s="55">
        <v>749</v>
      </c>
      <c r="S231" s="55">
        <v>749</v>
      </c>
      <c r="T231" s="55">
        <v>749</v>
      </c>
      <c r="U231" s="55">
        <v>749</v>
      </c>
      <c r="V231" s="55">
        <v>749</v>
      </c>
      <c r="W231" s="55">
        <v>749</v>
      </c>
      <c r="X231" s="55">
        <v>749</v>
      </c>
      <c r="Y231" s="55">
        <v>749</v>
      </c>
      <c r="Z231" s="55">
        <v>749</v>
      </c>
      <c r="AA231" s="55">
        <v>749</v>
      </c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7"/>
      <c r="AW231" s="58" t="s">
        <v>67</v>
      </c>
      <c r="AX231" s="59" t="s">
        <v>247</v>
      </c>
      <c r="AY231" s="60">
        <f t="shared" si="10"/>
        <v>18.159800000000001</v>
      </c>
      <c r="AZ231" s="60">
        <f t="shared" si="11"/>
        <v>16.361800000000002</v>
      </c>
      <c r="BA231" s="61">
        <f t="shared" si="12"/>
        <v>9.2597000000000005</v>
      </c>
    </row>
    <row r="232" spans="1:53" ht="22.5" customHeight="1">
      <c r="A232" s="64" t="s">
        <v>241</v>
      </c>
      <c r="B232" s="52" t="s">
        <v>64</v>
      </c>
      <c r="C232" s="53">
        <v>4016003</v>
      </c>
      <c r="D232" s="65" t="s">
        <v>379</v>
      </c>
      <c r="E232" s="65" t="s">
        <v>381</v>
      </c>
      <c r="F232" s="55">
        <v>999</v>
      </c>
      <c r="G232" s="55">
        <v>899</v>
      </c>
      <c r="H232" s="55">
        <v>899</v>
      </c>
      <c r="I232" s="55">
        <v>899</v>
      </c>
      <c r="J232" s="55">
        <v>799</v>
      </c>
      <c r="K232" s="55">
        <v>799</v>
      </c>
      <c r="L232" s="55">
        <v>799</v>
      </c>
      <c r="M232" s="55">
        <v>799</v>
      </c>
      <c r="N232" s="55">
        <v>799</v>
      </c>
      <c r="O232" s="55">
        <v>749</v>
      </c>
      <c r="P232" s="56">
        <v>749</v>
      </c>
      <c r="Q232" s="56">
        <v>749</v>
      </c>
      <c r="R232" s="55">
        <v>749</v>
      </c>
      <c r="S232" s="55">
        <v>749</v>
      </c>
      <c r="T232" s="55">
        <v>749</v>
      </c>
      <c r="U232" s="55">
        <v>749</v>
      </c>
      <c r="V232" s="55">
        <v>749</v>
      </c>
      <c r="W232" s="55">
        <v>749</v>
      </c>
      <c r="X232" s="55">
        <v>749</v>
      </c>
      <c r="Y232" s="55">
        <v>749</v>
      </c>
      <c r="Z232" s="55">
        <v>749</v>
      </c>
      <c r="AA232" s="55">
        <v>749</v>
      </c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7"/>
      <c r="AW232" s="58" t="s">
        <v>67</v>
      </c>
      <c r="AX232" s="59" t="s">
        <v>247</v>
      </c>
      <c r="AY232" s="60">
        <f t="shared" si="10"/>
        <v>18.159800000000001</v>
      </c>
      <c r="AZ232" s="60">
        <f t="shared" si="11"/>
        <v>16.361800000000002</v>
      </c>
      <c r="BA232" s="61">
        <f t="shared" si="12"/>
        <v>9.2597000000000005</v>
      </c>
    </row>
    <row r="233" spans="1:53" ht="22.5" customHeight="1">
      <c r="A233" s="64" t="s">
        <v>241</v>
      </c>
      <c r="B233" s="52" t="s">
        <v>64</v>
      </c>
      <c r="C233" s="53">
        <v>4016641</v>
      </c>
      <c r="D233" s="65" t="s">
        <v>382</v>
      </c>
      <c r="E233" s="65" t="s">
        <v>383</v>
      </c>
      <c r="F233" s="55">
        <v>899</v>
      </c>
      <c r="G233" s="55">
        <v>899</v>
      </c>
      <c r="H233" s="55">
        <v>899</v>
      </c>
      <c r="I233" s="55">
        <v>899</v>
      </c>
      <c r="J233" s="55">
        <v>799</v>
      </c>
      <c r="K233" s="55">
        <v>799</v>
      </c>
      <c r="L233" s="55">
        <v>799</v>
      </c>
      <c r="M233" s="55">
        <v>799</v>
      </c>
      <c r="N233" s="55">
        <v>799</v>
      </c>
      <c r="O233" s="55">
        <v>699</v>
      </c>
      <c r="P233" s="56">
        <v>699</v>
      </c>
      <c r="Q233" s="55">
        <v>699</v>
      </c>
      <c r="R233" s="55">
        <v>699</v>
      </c>
      <c r="S233" s="55">
        <v>699</v>
      </c>
      <c r="T233" s="55">
        <v>699</v>
      </c>
      <c r="U233" s="55">
        <v>699</v>
      </c>
      <c r="V233" s="55">
        <v>699</v>
      </c>
      <c r="W233" s="55">
        <v>699</v>
      </c>
      <c r="X233" s="55">
        <v>699</v>
      </c>
      <c r="Y233" s="55">
        <v>699</v>
      </c>
      <c r="Z233" s="55">
        <v>699</v>
      </c>
      <c r="AA233" s="55">
        <v>699</v>
      </c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7"/>
      <c r="AW233" s="58" t="s">
        <v>67</v>
      </c>
      <c r="AX233" s="59" t="s">
        <v>247</v>
      </c>
      <c r="AY233" s="60">
        <f t="shared" ref="AY233:AY296" si="20">$H233*AY$11</f>
        <v>18.159800000000001</v>
      </c>
      <c r="AZ233" s="60">
        <f t="shared" ref="AZ233:AZ296" si="21">($H233*AZ$11)</f>
        <v>16.361800000000002</v>
      </c>
      <c r="BA233" s="61">
        <f t="shared" ref="BA233:BA296" si="22">$H233*BA$11</f>
        <v>9.2597000000000005</v>
      </c>
    </row>
    <row r="234" spans="1:53" ht="22.5" customHeight="1">
      <c r="A234" s="64" t="s">
        <v>241</v>
      </c>
      <c r="B234" s="52" t="s">
        <v>64</v>
      </c>
      <c r="C234" s="53">
        <v>4016642</v>
      </c>
      <c r="D234" s="65" t="s">
        <v>382</v>
      </c>
      <c r="E234" s="65" t="s">
        <v>384</v>
      </c>
      <c r="F234" s="55">
        <v>899</v>
      </c>
      <c r="G234" s="55">
        <v>899</v>
      </c>
      <c r="H234" s="55">
        <v>899</v>
      </c>
      <c r="I234" s="55">
        <v>899</v>
      </c>
      <c r="J234" s="55">
        <v>799</v>
      </c>
      <c r="K234" s="55">
        <v>799</v>
      </c>
      <c r="L234" s="55">
        <v>799</v>
      </c>
      <c r="M234" s="55">
        <v>799</v>
      </c>
      <c r="N234" s="55">
        <v>799</v>
      </c>
      <c r="O234" s="55">
        <v>699</v>
      </c>
      <c r="P234" s="56">
        <v>699</v>
      </c>
      <c r="Q234" s="55">
        <v>699</v>
      </c>
      <c r="R234" s="55">
        <v>699</v>
      </c>
      <c r="S234" s="55">
        <v>699</v>
      </c>
      <c r="T234" s="55">
        <v>699</v>
      </c>
      <c r="U234" s="55">
        <v>699</v>
      </c>
      <c r="V234" s="55">
        <v>699</v>
      </c>
      <c r="W234" s="55">
        <v>699</v>
      </c>
      <c r="X234" s="55">
        <v>699</v>
      </c>
      <c r="Y234" s="55">
        <v>699</v>
      </c>
      <c r="Z234" s="55">
        <v>699</v>
      </c>
      <c r="AA234" s="55">
        <v>699</v>
      </c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7"/>
      <c r="AW234" s="58" t="s">
        <v>67</v>
      </c>
      <c r="AX234" s="59" t="s">
        <v>247</v>
      </c>
      <c r="AY234" s="60">
        <f t="shared" si="20"/>
        <v>18.159800000000001</v>
      </c>
      <c r="AZ234" s="60">
        <f t="shared" si="21"/>
        <v>16.361800000000002</v>
      </c>
      <c r="BA234" s="61">
        <f t="shared" si="22"/>
        <v>9.2597000000000005</v>
      </c>
    </row>
    <row r="235" spans="1:53" ht="22.5" customHeight="1">
      <c r="A235" s="64" t="s">
        <v>241</v>
      </c>
      <c r="B235" s="52" t="s">
        <v>64</v>
      </c>
      <c r="C235" s="53">
        <v>4016976</v>
      </c>
      <c r="D235" s="65" t="s">
        <v>385</v>
      </c>
      <c r="E235" s="65" t="s">
        <v>386</v>
      </c>
      <c r="F235" s="55">
        <v>1099</v>
      </c>
      <c r="G235" s="55">
        <v>829</v>
      </c>
      <c r="H235" s="55">
        <v>829</v>
      </c>
      <c r="I235" s="55">
        <v>829</v>
      </c>
      <c r="J235" s="55">
        <v>799</v>
      </c>
      <c r="K235" s="55">
        <v>699</v>
      </c>
      <c r="L235" s="55">
        <v>699</v>
      </c>
      <c r="M235" s="55">
        <v>799</v>
      </c>
      <c r="N235" s="55">
        <v>699</v>
      </c>
      <c r="O235" s="55">
        <v>699</v>
      </c>
      <c r="P235" s="56">
        <v>699</v>
      </c>
      <c r="Q235" s="55">
        <v>699</v>
      </c>
      <c r="R235" s="55">
        <v>699</v>
      </c>
      <c r="S235" s="55">
        <v>699</v>
      </c>
      <c r="T235" s="55">
        <v>699</v>
      </c>
      <c r="U235" s="55">
        <v>699</v>
      </c>
      <c r="V235" s="55">
        <v>699</v>
      </c>
      <c r="W235" s="55">
        <v>699</v>
      </c>
      <c r="X235" s="55">
        <v>699</v>
      </c>
      <c r="Y235" s="55">
        <v>699</v>
      </c>
      <c r="Z235" s="55">
        <v>699</v>
      </c>
      <c r="AA235" s="55">
        <v>699</v>
      </c>
      <c r="AB235" s="55">
        <v>799</v>
      </c>
      <c r="AC235" s="55">
        <v>799</v>
      </c>
      <c r="AD235" s="55">
        <v>799</v>
      </c>
      <c r="AE235" s="55">
        <v>799</v>
      </c>
      <c r="AF235" s="55">
        <v>699</v>
      </c>
      <c r="AG235" s="55">
        <v>699</v>
      </c>
      <c r="AH235" s="55">
        <v>699</v>
      </c>
      <c r="AI235" s="55">
        <v>699</v>
      </c>
      <c r="AJ235" s="55">
        <v>699</v>
      </c>
      <c r="AK235" s="55">
        <v>699</v>
      </c>
      <c r="AL235" s="55">
        <v>699</v>
      </c>
      <c r="AM235" s="55"/>
      <c r="AN235" s="55"/>
      <c r="AO235" s="55"/>
      <c r="AP235" s="55"/>
      <c r="AQ235" s="55"/>
      <c r="AR235" s="55"/>
      <c r="AS235" s="55"/>
      <c r="AT235" s="55"/>
      <c r="AU235" s="55"/>
      <c r="AV235" s="57"/>
      <c r="AW235" s="58" t="s">
        <v>67</v>
      </c>
      <c r="AX235" s="59" t="s">
        <v>68</v>
      </c>
      <c r="AY235" s="60">
        <f t="shared" si="20"/>
        <v>16.745799999999999</v>
      </c>
      <c r="AZ235" s="60">
        <f t="shared" si="21"/>
        <v>15.087800000000001</v>
      </c>
      <c r="BA235" s="61">
        <f t="shared" si="22"/>
        <v>8.5387000000000004</v>
      </c>
    </row>
    <row r="236" spans="1:53" ht="22.5" customHeight="1">
      <c r="A236" s="64" t="s">
        <v>241</v>
      </c>
      <c r="B236" s="52" t="s">
        <v>64</v>
      </c>
      <c r="C236" s="53">
        <v>4016987</v>
      </c>
      <c r="D236" s="65" t="s">
        <v>385</v>
      </c>
      <c r="E236" s="65" t="s">
        <v>387</v>
      </c>
      <c r="F236" s="55">
        <v>1099</v>
      </c>
      <c r="G236" s="55">
        <v>829</v>
      </c>
      <c r="H236" s="55">
        <v>829</v>
      </c>
      <c r="I236" s="55">
        <v>829</v>
      </c>
      <c r="J236" s="55">
        <v>799</v>
      </c>
      <c r="K236" s="55">
        <v>699</v>
      </c>
      <c r="L236" s="55">
        <v>699</v>
      </c>
      <c r="M236" s="55">
        <v>799</v>
      </c>
      <c r="N236" s="55">
        <v>699</v>
      </c>
      <c r="O236" s="55">
        <v>699</v>
      </c>
      <c r="P236" s="56">
        <v>699</v>
      </c>
      <c r="Q236" s="55">
        <v>699</v>
      </c>
      <c r="R236" s="55">
        <v>699</v>
      </c>
      <c r="S236" s="55">
        <v>699</v>
      </c>
      <c r="T236" s="55">
        <v>699</v>
      </c>
      <c r="U236" s="55">
        <v>699</v>
      </c>
      <c r="V236" s="55">
        <v>699</v>
      </c>
      <c r="W236" s="55">
        <v>699</v>
      </c>
      <c r="X236" s="55">
        <v>699</v>
      </c>
      <c r="Y236" s="55">
        <v>699</v>
      </c>
      <c r="Z236" s="55">
        <v>699</v>
      </c>
      <c r="AA236" s="55">
        <v>699</v>
      </c>
      <c r="AB236" s="55">
        <v>799</v>
      </c>
      <c r="AC236" s="55">
        <v>799</v>
      </c>
      <c r="AD236" s="55">
        <v>799</v>
      </c>
      <c r="AE236" s="55">
        <v>799</v>
      </c>
      <c r="AF236" s="55">
        <v>699</v>
      </c>
      <c r="AG236" s="55">
        <v>699</v>
      </c>
      <c r="AH236" s="55">
        <v>699</v>
      </c>
      <c r="AI236" s="55">
        <v>699</v>
      </c>
      <c r="AJ236" s="55">
        <v>699</v>
      </c>
      <c r="AK236" s="55">
        <v>699</v>
      </c>
      <c r="AL236" s="55">
        <v>699</v>
      </c>
      <c r="AM236" s="55"/>
      <c r="AN236" s="55"/>
      <c r="AO236" s="55"/>
      <c r="AP236" s="55"/>
      <c r="AQ236" s="55"/>
      <c r="AR236" s="55"/>
      <c r="AS236" s="55"/>
      <c r="AT236" s="55"/>
      <c r="AU236" s="55"/>
      <c r="AV236" s="57"/>
      <c r="AW236" s="58" t="s">
        <v>67</v>
      </c>
      <c r="AX236" s="59" t="s">
        <v>68</v>
      </c>
      <c r="AY236" s="60">
        <f t="shared" si="20"/>
        <v>16.745799999999999</v>
      </c>
      <c r="AZ236" s="60">
        <f t="shared" si="21"/>
        <v>15.087800000000001</v>
      </c>
      <c r="BA236" s="61">
        <f t="shared" si="22"/>
        <v>8.5387000000000004</v>
      </c>
    </row>
    <row r="237" spans="1:53" ht="22.5" customHeight="1">
      <c r="A237" s="64" t="s">
        <v>241</v>
      </c>
      <c r="B237" s="52" t="s">
        <v>64</v>
      </c>
      <c r="C237" s="53">
        <v>4016981</v>
      </c>
      <c r="D237" s="65" t="s">
        <v>385</v>
      </c>
      <c r="E237" s="65" t="s">
        <v>388</v>
      </c>
      <c r="F237" s="55">
        <v>1099</v>
      </c>
      <c r="G237" s="55">
        <v>829</v>
      </c>
      <c r="H237" s="55">
        <v>829</v>
      </c>
      <c r="I237" s="55">
        <v>829</v>
      </c>
      <c r="J237" s="55">
        <v>799</v>
      </c>
      <c r="K237" s="55">
        <v>699</v>
      </c>
      <c r="L237" s="55">
        <v>699</v>
      </c>
      <c r="M237" s="55">
        <v>799</v>
      </c>
      <c r="N237" s="55">
        <v>699</v>
      </c>
      <c r="O237" s="55">
        <v>699</v>
      </c>
      <c r="P237" s="56">
        <v>699</v>
      </c>
      <c r="Q237" s="55">
        <v>699</v>
      </c>
      <c r="R237" s="55">
        <v>699</v>
      </c>
      <c r="S237" s="55">
        <v>699</v>
      </c>
      <c r="T237" s="55">
        <v>699</v>
      </c>
      <c r="U237" s="55">
        <v>699</v>
      </c>
      <c r="V237" s="55">
        <v>699</v>
      </c>
      <c r="W237" s="55">
        <v>699</v>
      </c>
      <c r="X237" s="55">
        <v>699</v>
      </c>
      <c r="Y237" s="55">
        <v>699</v>
      </c>
      <c r="Z237" s="55">
        <v>699</v>
      </c>
      <c r="AA237" s="55">
        <v>699</v>
      </c>
      <c r="AB237" s="55">
        <v>799</v>
      </c>
      <c r="AC237" s="55">
        <v>799</v>
      </c>
      <c r="AD237" s="55">
        <v>799</v>
      </c>
      <c r="AE237" s="55">
        <v>799</v>
      </c>
      <c r="AF237" s="55">
        <v>699</v>
      </c>
      <c r="AG237" s="55">
        <v>699</v>
      </c>
      <c r="AH237" s="55">
        <v>699</v>
      </c>
      <c r="AI237" s="55">
        <v>699</v>
      </c>
      <c r="AJ237" s="55">
        <v>699</v>
      </c>
      <c r="AK237" s="55">
        <v>699</v>
      </c>
      <c r="AL237" s="55">
        <v>699</v>
      </c>
      <c r="AM237" s="55"/>
      <c r="AN237" s="55"/>
      <c r="AO237" s="55"/>
      <c r="AP237" s="55"/>
      <c r="AQ237" s="55"/>
      <c r="AR237" s="55"/>
      <c r="AS237" s="55"/>
      <c r="AT237" s="55"/>
      <c r="AU237" s="55"/>
      <c r="AV237" s="57"/>
      <c r="AW237" s="58" t="s">
        <v>67</v>
      </c>
      <c r="AX237" s="59" t="s">
        <v>68</v>
      </c>
      <c r="AY237" s="60">
        <f t="shared" si="20"/>
        <v>16.745799999999999</v>
      </c>
      <c r="AZ237" s="60">
        <f t="shared" si="21"/>
        <v>15.087800000000001</v>
      </c>
      <c r="BA237" s="61">
        <f t="shared" si="22"/>
        <v>8.5387000000000004</v>
      </c>
    </row>
    <row r="238" spans="1:53" ht="22.5" customHeight="1">
      <c r="A238" s="64" t="s">
        <v>241</v>
      </c>
      <c r="B238" s="52" t="s">
        <v>64</v>
      </c>
      <c r="C238" s="53">
        <v>4016995</v>
      </c>
      <c r="D238" s="65" t="s">
        <v>385</v>
      </c>
      <c r="E238" s="65" t="s">
        <v>389</v>
      </c>
      <c r="F238" s="55">
        <v>1099</v>
      </c>
      <c r="G238" s="55">
        <v>829</v>
      </c>
      <c r="H238" s="55">
        <v>829</v>
      </c>
      <c r="I238" s="55">
        <v>829</v>
      </c>
      <c r="J238" s="55">
        <v>799</v>
      </c>
      <c r="K238" s="55">
        <v>699</v>
      </c>
      <c r="L238" s="55">
        <v>699</v>
      </c>
      <c r="M238" s="55">
        <v>799</v>
      </c>
      <c r="N238" s="55">
        <v>699</v>
      </c>
      <c r="O238" s="55">
        <v>699</v>
      </c>
      <c r="P238" s="56">
        <v>699</v>
      </c>
      <c r="Q238" s="55">
        <v>699</v>
      </c>
      <c r="R238" s="55">
        <v>699</v>
      </c>
      <c r="S238" s="55">
        <v>699</v>
      </c>
      <c r="T238" s="55">
        <v>699</v>
      </c>
      <c r="U238" s="55">
        <v>699</v>
      </c>
      <c r="V238" s="55">
        <v>699</v>
      </c>
      <c r="W238" s="55">
        <v>699</v>
      </c>
      <c r="X238" s="55">
        <v>699</v>
      </c>
      <c r="Y238" s="55">
        <v>699</v>
      </c>
      <c r="Z238" s="55">
        <v>699</v>
      </c>
      <c r="AA238" s="55">
        <v>699</v>
      </c>
      <c r="AB238" s="55">
        <v>799</v>
      </c>
      <c r="AC238" s="55">
        <v>799</v>
      </c>
      <c r="AD238" s="55">
        <v>799</v>
      </c>
      <c r="AE238" s="55">
        <v>799</v>
      </c>
      <c r="AF238" s="55">
        <v>699</v>
      </c>
      <c r="AG238" s="55">
        <v>699</v>
      </c>
      <c r="AH238" s="55">
        <v>699</v>
      </c>
      <c r="AI238" s="55">
        <v>699</v>
      </c>
      <c r="AJ238" s="55">
        <v>699</v>
      </c>
      <c r="AK238" s="55">
        <v>699</v>
      </c>
      <c r="AL238" s="55">
        <v>699</v>
      </c>
      <c r="AM238" s="55"/>
      <c r="AN238" s="55"/>
      <c r="AO238" s="55"/>
      <c r="AP238" s="55"/>
      <c r="AQ238" s="55"/>
      <c r="AR238" s="55"/>
      <c r="AS238" s="55"/>
      <c r="AT238" s="55"/>
      <c r="AU238" s="55"/>
      <c r="AV238" s="57"/>
      <c r="AW238" s="58" t="s">
        <v>67</v>
      </c>
      <c r="AX238" s="59" t="s">
        <v>68</v>
      </c>
      <c r="AY238" s="60">
        <f t="shared" si="20"/>
        <v>16.745799999999999</v>
      </c>
      <c r="AZ238" s="60">
        <f t="shared" si="21"/>
        <v>15.087800000000001</v>
      </c>
      <c r="BA238" s="61">
        <f t="shared" si="22"/>
        <v>8.5387000000000004</v>
      </c>
    </row>
    <row r="239" spans="1:53" ht="22.5" customHeight="1">
      <c r="A239" s="64" t="s">
        <v>241</v>
      </c>
      <c r="B239" s="52" t="s">
        <v>64</v>
      </c>
      <c r="C239" s="69">
        <v>4017375</v>
      </c>
      <c r="D239" s="65" t="s">
        <v>390</v>
      </c>
      <c r="E239" s="65" t="s">
        <v>391</v>
      </c>
      <c r="F239" s="55">
        <v>1049</v>
      </c>
      <c r="G239" s="55">
        <v>849</v>
      </c>
      <c r="H239" s="55">
        <v>969</v>
      </c>
      <c r="I239" s="55">
        <v>969</v>
      </c>
      <c r="J239" s="55">
        <v>899</v>
      </c>
      <c r="K239" s="55">
        <v>799</v>
      </c>
      <c r="L239" s="55">
        <v>799</v>
      </c>
      <c r="M239" s="55">
        <v>899</v>
      </c>
      <c r="N239" s="55">
        <v>799</v>
      </c>
      <c r="O239" s="55">
        <v>749</v>
      </c>
      <c r="P239" s="56">
        <v>749</v>
      </c>
      <c r="Q239" s="55">
        <v>699</v>
      </c>
      <c r="R239" s="55">
        <v>749</v>
      </c>
      <c r="S239" s="55">
        <v>749</v>
      </c>
      <c r="T239" s="55">
        <v>699</v>
      </c>
      <c r="U239" s="55">
        <v>699</v>
      </c>
      <c r="V239" s="55">
        <v>699</v>
      </c>
      <c r="W239" s="55">
        <v>699</v>
      </c>
      <c r="X239" s="55">
        <v>699</v>
      </c>
      <c r="Y239" s="55">
        <v>699</v>
      </c>
      <c r="Z239" s="55">
        <v>699</v>
      </c>
      <c r="AA239" s="55">
        <v>699</v>
      </c>
      <c r="AB239" s="55">
        <v>799</v>
      </c>
      <c r="AC239" s="55">
        <v>799</v>
      </c>
      <c r="AD239" s="55">
        <v>799</v>
      </c>
      <c r="AE239" s="55">
        <v>749</v>
      </c>
      <c r="AF239" s="55">
        <v>749</v>
      </c>
      <c r="AG239" s="55">
        <v>749</v>
      </c>
      <c r="AH239" s="55">
        <v>699</v>
      </c>
      <c r="AI239" s="55">
        <v>699</v>
      </c>
      <c r="AJ239" s="55">
        <v>699</v>
      </c>
      <c r="AK239" s="55">
        <v>699</v>
      </c>
      <c r="AL239" s="55">
        <v>699</v>
      </c>
      <c r="AM239" s="55"/>
      <c r="AN239" s="55"/>
      <c r="AO239" s="55"/>
      <c r="AP239" s="55"/>
      <c r="AQ239" s="55"/>
      <c r="AR239" s="55"/>
      <c r="AS239" s="55"/>
      <c r="AT239" s="55"/>
      <c r="AU239" s="55"/>
      <c r="AV239" s="57"/>
      <c r="AW239" s="58" t="s">
        <v>67</v>
      </c>
      <c r="AX239" s="59" t="s">
        <v>68</v>
      </c>
      <c r="AY239" s="60">
        <f t="shared" si="20"/>
        <v>19.573799999999999</v>
      </c>
      <c r="AZ239" s="60">
        <f t="shared" si="21"/>
        <v>17.6358</v>
      </c>
      <c r="BA239" s="61">
        <f t="shared" si="22"/>
        <v>9.9807000000000006</v>
      </c>
    </row>
    <row r="240" spans="1:53" ht="22.5" customHeight="1">
      <c r="A240" s="64" t="s">
        <v>241</v>
      </c>
      <c r="B240" s="52" t="s">
        <v>64</v>
      </c>
      <c r="C240" s="69">
        <v>4017537</v>
      </c>
      <c r="D240" s="65" t="s">
        <v>390</v>
      </c>
      <c r="E240" s="65" t="s">
        <v>392</v>
      </c>
      <c r="F240" s="55">
        <v>1049</v>
      </c>
      <c r="G240" s="55">
        <v>849</v>
      </c>
      <c r="H240" s="55">
        <v>969</v>
      </c>
      <c r="I240" s="55">
        <v>969</v>
      </c>
      <c r="J240" s="55">
        <v>899</v>
      </c>
      <c r="K240" s="55">
        <v>799</v>
      </c>
      <c r="L240" s="55">
        <v>799</v>
      </c>
      <c r="M240" s="55">
        <v>899</v>
      </c>
      <c r="N240" s="55">
        <v>799</v>
      </c>
      <c r="O240" s="55">
        <v>749</v>
      </c>
      <c r="P240" s="56">
        <v>749</v>
      </c>
      <c r="Q240" s="55">
        <v>699</v>
      </c>
      <c r="R240" s="55">
        <v>749</v>
      </c>
      <c r="S240" s="55">
        <v>749</v>
      </c>
      <c r="T240" s="55">
        <v>699</v>
      </c>
      <c r="U240" s="55">
        <v>699</v>
      </c>
      <c r="V240" s="55">
        <v>699</v>
      </c>
      <c r="W240" s="55">
        <v>699</v>
      </c>
      <c r="X240" s="55">
        <v>699</v>
      </c>
      <c r="Y240" s="55">
        <v>699</v>
      </c>
      <c r="Z240" s="55">
        <v>699</v>
      </c>
      <c r="AA240" s="55">
        <v>699</v>
      </c>
      <c r="AB240" s="55">
        <v>799</v>
      </c>
      <c r="AC240" s="55">
        <v>799</v>
      </c>
      <c r="AD240" s="55">
        <v>799</v>
      </c>
      <c r="AE240" s="55">
        <v>749</v>
      </c>
      <c r="AF240" s="55">
        <v>749</v>
      </c>
      <c r="AG240" s="55">
        <v>749</v>
      </c>
      <c r="AH240" s="55">
        <v>699</v>
      </c>
      <c r="AI240" s="55">
        <v>699</v>
      </c>
      <c r="AJ240" s="55">
        <v>699</v>
      </c>
      <c r="AK240" s="55">
        <v>699</v>
      </c>
      <c r="AL240" s="55">
        <v>699</v>
      </c>
      <c r="AM240" s="55"/>
      <c r="AN240" s="55"/>
      <c r="AO240" s="55"/>
      <c r="AP240" s="55"/>
      <c r="AQ240" s="55"/>
      <c r="AR240" s="55"/>
      <c r="AS240" s="55"/>
      <c r="AT240" s="55"/>
      <c r="AU240" s="55"/>
      <c r="AV240" s="57"/>
      <c r="AW240" s="58" t="s">
        <v>67</v>
      </c>
      <c r="AX240" s="59" t="s">
        <v>68</v>
      </c>
      <c r="AY240" s="60">
        <f t="shared" si="20"/>
        <v>19.573799999999999</v>
      </c>
      <c r="AZ240" s="60">
        <f t="shared" si="21"/>
        <v>17.6358</v>
      </c>
      <c r="BA240" s="61">
        <f t="shared" si="22"/>
        <v>9.9807000000000006</v>
      </c>
    </row>
    <row r="241" spans="1:53" ht="22.5" customHeight="1">
      <c r="A241" s="64" t="s">
        <v>241</v>
      </c>
      <c r="B241" s="52" t="s">
        <v>64</v>
      </c>
      <c r="C241" s="53">
        <v>4017541</v>
      </c>
      <c r="D241" s="65" t="s">
        <v>393</v>
      </c>
      <c r="E241" s="65" t="s">
        <v>394</v>
      </c>
      <c r="F241" s="55">
        <v>1599</v>
      </c>
      <c r="G241" s="55">
        <v>1249</v>
      </c>
      <c r="H241" s="55">
        <v>1249</v>
      </c>
      <c r="I241" s="55">
        <v>1249</v>
      </c>
      <c r="J241" s="55">
        <v>1099</v>
      </c>
      <c r="K241" s="55">
        <v>1049</v>
      </c>
      <c r="L241" s="55">
        <v>1049</v>
      </c>
      <c r="M241" s="55">
        <v>1099</v>
      </c>
      <c r="N241" s="55">
        <v>1049</v>
      </c>
      <c r="O241" s="55">
        <v>999</v>
      </c>
      <c r="P241" s="56">
        <v>999</v>
      </c>
      <c r="Q241" s="55">
        <v>999</v>
      </c>
      <c r="R241" s="55">
        <v>999</v>
      </c>
      <c r="S241" s="55">
        <v>999</v>
      </c>
      <c r="T241" s="55">
        <v>999</v>
      </c>
      <c r="U241" s="55">
        <v>999</v>
      </c>
      <c r="V241" s="55">
        <v>999</v>
      </c>
      <c r="W241" s="55">
        <v>999</v>
      </c>
      <c r="X241" s="55">
        <v>999</v>
      </c>
      <c r="Y241" s="55">
        <v>999</v>
      </c>
      <c r="Z241" s="55">
        <v>999</v>
      </c>
      <c r="AA241" s="55">
        <v>999</v>
      </c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7"/>
      <c r="AW241" s="58" t="s">
        <v>67</v>
      </c>
      <c r="AX241" s="59" t="s">
        <v>247</v>
      </c>
      <c r="AY241" s="62">
        <f t="shared" si="20"/>
        <v>25.229799999999997</v>
      </c>
      <c r="AZ241" s="62">
        <f t="shared" si="21"/>
        <v>22.7318</v>
      </c>
      <c r="BA241" s="63">
        <f t="shared" si="22"/>
        <v>12.864700000000001</v>
      </c>
    </row>
    <row r="242" spans="1:53" ht="22.5" customHeight="1">
      <c r="A242" s="64" t="s">
        <v>241</v>
      </c>
      <c r="B242" s="52" t="s">
        <v>64</v>
      </c>
      <c r="C242" s="53">
        <v>4017544</v>
      </c>
      <c r="D242" s="65" t="s">
        <v>393</v>
      </c>
      <c r="E242" s="65" t="s">
        <v>395</v>
      </c>
      <c r="F242" s="55">
        <v>1599</v>
      </c>
      <c r="G242" s="55">
        <v>1249</v>
      </c>
      <c r="H242" s="55">
        <v>1249</v>
      </c>
      <c r="I242" s="55">
        <v>1249</v>
      </c>
      <c r="J242" s="55">
        <v>1099</v>
      </c>
      <c r="K242" s="55">
        <v>1049</v>
      </c>
      <c r="L242" s="55">
        <v>1049</v>
      </c>
      <c r="M242" s="55">
        <v>1099</v>
      </c>
      <c r="N242" s="55">
        <v>1049</v>
      </c>
      <c r="O242" s="55">
        <v>999</v>
      </c>
      <c r="P242" s="56">
        <v>999</v>
      </c>
      <c r="Q242" s="55">
        <v>999</v>
      </c>
      <c r="R242" s="55">
        <v>999</v>
      </c>
      <c r="S242" s="55">
        <v>999</v>
      </c>
      <c r="T242" s="55">
        <v>999</v>
      </c>
      <c r="U242" s="55">
        <v>999</v>
      </c>
      <c r="V242" s="55">
        <v>999</v>
      </c>
      <c r="W242" s="55">
        <v>999</v>
      </c>
      <c r="X242" s="55">
        <v>999</v>
      </c>
      <c r="Y242" s="55">
        <v>999</v>
      </c>
      <c r="Z242" s="55">
        <v>999</v>
      </c>
      <c r="AA242" s="55">
        <v>999</v>
      </c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7"/>
      <c r="AW242" s="58" t="s">
        <v>67</v>
      </c>
      <c r="AX242" s="59" t="s">
        <v>247</v>
      </c>
      <c r="AY242" s="62">
        <f t="shared" si="20"/>
        <v>25.229799999999997</v>
      </c>
      <c r="AZ242" s="62">
        <f t="shared" si="21"/>
        <v>22.7318</v>
      </c>
      <c r="BA242" s="63">
        <f t="shared" si="22"/>
        <v>12.864700000000001</v>
      </c>
    </row>
    <row r="243" spans="1:53" ht="22.5" customHeight="1">
      <c r="A243" s="64" t="s">
        <v>241</v>
      </c>
      <c r="B243" s="52" t="s">
        <v>64</v>
      </c>
      <c r="C243" s="53">
        <v>4017566</v>
      </c>
      <c r="D243" s="65" t="s">
        <v>393</v>
      </c>
      <c r="E243" s="65" t="s">
        <v>396</v>
      </c>
      <c r="F243" s="55">
        <v>1599</v>
      </c>
      <c r="G243" s="55">
        <v>1249</v>
      </c>
      <c r="H243" s="55">
        <v>1249</v>
      </c>
      <c r="I243" s="55">
        <v>1249</v>
      </c>
      <c r="J243" s="55">
        <v>1099</v>
      </c>
      <c r="K243" s="55">
        <v>1049</v>
      </c>
      <c r="L243" s="55">
        <v>1049</v>
      </c>
      <c r="M243" s="55">
        <v>1099</v>
      </c>
      <c r="N243" s="55">
        <v>1049</v>
      </c>
      <c r="O243" s="55">
        <v>999</v>
      </c>
      <c r="P243" s="56">
        <v>999</v>
      </c>
      <c r="Q243" s="55">
        <v>999</v>
      </c>
      <c r="R243" s="55">
        <v>999</v>
      </c>
      <c r="S243" s="55">
        <v>999</v>
      </c>
      <c r="T243" s="55">
        <v>999</v>
      </c>
      <c r="U243" s="55">
        <v>999</v>
      </c>
      <c r="V243" s="55">
        <v>999</v>
      </c>
      <c r="W243" s="55">
        <v>999</v>
      </c>
      <c r="X243" s="55">
        <v>999</v>
      </c>
      <c r="Y243" s="55">
        <v>999</v>
      </c>
      <c r="Z243" s="55">
        <v>999</v>
      </c>
      <c r="AA243" s="55">
        <v>999</v>
      </c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7"/>
      <c r="AW243" s="58" t="s">
        <v>67</v>
      </c>
      <c r="AX243" s="59" t="s">
        <v>247</v>
      </c>
      <c r="AY243" s="62">
        <f t="shared" si="20"/>
        <v>25.229799999999997</v>
      </c>
      <c r="AZ243" s="62">
        <f t="shared" si="21"/>
        <v>22.7318</v>
      </c>
      <c r="BA243" s="63">
        <f t="shared" si="22"/>
        <v>12.864700000000001</v>
      </c>
    </row>
    <row r="244" spans="1:53" ht="22.5" customHeight="1">
      <c r="A244" s="64" t="s">
        <v>241</v>
      </c>
      <c r="B244" s="52" t="s">
        <v>64</v>
      </c>
      <c r="C244" s="53">
        <v>4018003</v>
      </c>
      <c r="D244" s="65" t="s">
        <v>397</v>
      </c>
      <c r="E244" s="65" t="s">
        <v>398</v>
      </c>
      <c r="F244" s="55">
        <v>1399</v>
      </c>
      <c r="G244" s="55">
        <v>1199</v>
      </c>
      <c r="H244" s="55">
        <v>1199</v>
      </c>
      <c r="I244" s="55">
        <v>1199</v>
      </c>
      <c r="J244" s="55">
        <v>1099</v>
      </c>
      <c r="K244" s="55">
        <v>999</v>
      </c>
      <c r="L244" s="55">
        <v>999</v>
      </c>
      <c r="M244" s="55">
        <v>1099</v>
      </c>
      <c r="N244" s="55">
        <v>999</v>
      </c>
      <c r="O244" s="55">
        <v>949</v>
      </c>
      <c r="P244" s="56">
        <v>899</v>
      </c>
      <c r="Q244" s="55">
        <v>849</v>
      </c>
      <c r="R244" s="55">
        <v>949</v>
      </c>
      <c r="S244" s="55">
        <v>899</v>
      </c>
      <c r="T244" s="55">
        <v>849</v>
      </c>
      <c r="U244" s="55">
        <v>849</v>
      </c>
      <c r="V244" s="55">
        <v>849</v>
      </c>
      <c r="W244" s="55">
        <v>849</v>
      </c>
      <c r="X244" s="55">
        <v>849</v>
      </c>
      <c r="Y244" s="55">
        <v>799</v>
      </c>
      <c r="Z244" s="55">
        <v>799</v>
      </c>
      <c r="AA244" s="55">
        <v>799</v>
      </c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7"/>
      <c r="AW244" s="58" t="s">
        <v>67</v>
      </c>
      <c r="AX244" s="59" t="s">
        <v>68</v>
      </c>
      <c r="AY244" s="62">
        <f t="shared" si="20"/>
        <v>24.219799999999999</v>
      </c>
      <c r="AZ244" s="62">
        <f t="shared" si="21"/>
        <v>21.8218</v>
      </c>
      <c r="BA244" s="63">
        <f t="shared" si="22"/>
        <v>12.3497</v>
      </c>
    </row>
    <row r="245" spans="1:53" ht="22.5" customHeight="1">
      <c r="A245" s="64" t="s">
        <v>241</v>
      </c>
      <c r="B245" s="52" t="s">
        <v>64</v>
      </c>
      <c r="C245" s="53">
        <v>4014848</v>
      </c>
      <c r="D245" s="65" t="s">
        <v>399</v>
      </c>
      <c r="E245" s="65" t="s">
        <v>400</v>
      </c>
      <c r="F245" s="55">
        <v>699</v>
      </c>
      <c r="G245" s="55">
        <v>599</v>
      </c>
      <c r="H245" s="55">
        <v>599</v>
      </c>
      <c r="I245" s="55">
        <v>599</v>
      </c>
      <c r="J245" s="55">
        <f t="shared" si="18"/>
        <v>499</v>
      </c>
      <c r="K245" s="55">
        <f t="shared" si="19"/>
        <v>499</v>
      </c>
      <c r="L245" s="55">
        <f t="shared" si="19"/>
        <v>499</v>
      </c>
      <c r="M245" s="55">
        <v>499</v>
      </c>
      <c r="N245" s="55">
        <v>499</v>
      </c>
      <c r="O245" s="55">
        <f t="shared" ref="O245:Q288" si="23">R245</f>
        <v>449</v>
      </c>
      <c r="P245" s="56">
        <f t="shared" si="23"/>
        <v>449</v>
      </c>
      <c r="Q245" s="56">
        <f t="shared" si="23"/>
        <v>399</v>
      </c>
      <c r="R245" s="55">
        <v>449</v>
      </c>
      <c r="S245" s="55">
        <v>449</v>
      </c>
      <c r="T245" s="55">
        <v>399</v>
      </c>
      <c r="U245" s="55">
        <v>399</v>
      </c>
      <c r="V245" s="55">
        <v>399</v>
      </c>
      <c r="W245" s="55">
        <v>399</v>
      </c>
      <c r="X245" s="55">
        <v>399</v>
      </c>
      <c r="Y245" s="55">
        <v>399</v>
      </c>
      <c r="Z245" s="55">
        <v>399</v>
      </c>
      <c r="AA245" s="55">
        <v>399</v>
      </c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7"/>
      <c r="AW245" s="58" t="s">
        <v>67</v>
      </c>
      <c r="AX245" s="59" t="s">
        <v>247</v>
      </c>
      <c r="AY245" s="60">
        <f t="shared" si="20"/>
        <v>12.0998</v>
      </c>
      <c r="AZ245" s="60">
        <f t="shared" si="21"/>
        <v>10.9018</v>
      </c>
      <c r="BA245" s="61">
        <f t="shared" si="22"/>
        <v>6.1696999999999997</v>
      </c>
    </row>
    <row r="246" spans="1:53" ht="22.5" customHeight="1">
      <c r="A246" s="64" t="s">
        <v>241</v>
      </c>
      <c r="B246" s="52" t="s">
        <v>64</v>
      </c>
      <c r="C246" s="53">
        <v>4014844</v>
      </c>
      <c r="D246" s="65" t="s">
        <v>399</v>
      </c>
      <c r="E246" s="65" t="s">
        <v>401</v>
      </c>
      <c r="F246" s="55">
        <v>699</v>
      </c>
      <c r="G246" s="55">
        <v>599</v>
      </c>
      <c r="H246" s="55">
        <v>599</v>
      </c>
      <c r="I246" s="55">
        <v>599</v>
      </c>
      <c r="J246" s="55">
        <f t="shared" si="18"/>
        <v>499</v>
      </c>
      <c r="K246" s="55">
        <f t="shared" si="19"/>
        <v>499</v>
      </c>
      <c r="L246" s="55">
        <f t="shared" si="19"/>
        <v>499</v>
      </c>
      <c r="M246" s="55">
        <v>499</v>
      </c>
      <c r="N246" s="55">
        <v>499</v>
      </c>
      <c r="O246" s="55">
        <f t="shared" si="23"/>
        <v>449</v>
      </c>
      <c r="P246" s="56">
        <f t="shared" si="23"/>
        <v>449</v>
      </c>
      <c r="Q246" s="56">
        <f t="shared" si="23"/>
        <v>399</v>
      </c>
      <c r="R246" s="55">
        <v>449</v>
      </c>
      <c r="S246" s="55">
        <v>449</v>
      </c>
      <c r="T246" s="55">
        <v>399</v>
      </c>
      <c r="U246" s="55">
        <v>399</v>
      </c>
      <c r="V246" s="55">
        <v>399</v>
      </c>
      <c r="W246" s="55">
        <v>399</v>
      </c>
      <c r="X246" s="55">
        <v>399</v>
      </c>
      <c r="Y246" s="55">
        <v>399</v>
      </c>
      <c r="Z246" s="55">
        <v>399</v>
      </c>
      <c r="AA246" s="55">
        <v>399</v>
      </c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7"/>
      <c r="AW246" s="58" t="s">
        <v>67</v>
      </c>
      <c r="AX246" s="59" t="s">
        <v>247</v>
      </c>
      <c r="AY246" s="60">
        <f t="shared" si="20"/>
        <v>12.0998</v>
      </c>
      <c r="AZ246" s="60">
        <f t="shared" si="21"/>
        <v>10.9018</v>
      </c>
      <c r="BA246" s="61">
        <f t="shared" si="22"/>
        <v>6.1696999999999997</v>
      </c>
    </row>
    <row r="247" spans="1:53" ht="22.5" customHeight="1">
      <c r="A247" s="64" t="s">
        <v>241</v>
      </c>
      <c r="B247" s="52" t="s">
        <v>64</v>
      </c>
      <c r="C247" s="53">
        <v>4015256</v>
      </c>
      <c r="D247" s="65" t="s">
        <v>402</v>
      </c>
      <c r="E247" s="65" t="s">
        <v>403</v>
      </c>
      <c r="F247" s="55">
        <v>1056</v>
      </c>
      <c r="G247" s="55">
        <v>856</v>
      </c>
      <c r="H247" s="55">
        <v>1056</v>
      </c>
      <c r="I247" s="55">
        <v>1056</v>
      </c>
      <c r="J247" s="55">
        <v>599</v>
      </c>
      <c r="K247" s="55">
        <v>599</v>
      </c>
      <c r="L247" s="55">
        <v>599</v>
      </c>
      <c r="M247" s="55">
        <v>599</v>
      </c>
      <c r="N247" s="55">
        <v>599</v>
      </c>
      <c r="O247" s="55">
        <v>599</v>
      </c>
      <c r="P247" s="55">
        <v>599</v>
      </c>
      <c r="Q247" s="55">
        <v>599</v>
      </c>
      <c r="R247" s="55">
        <v>599</v>
      </c>
      <c r="S247" s="55">
        <v>599</v>
      </c>
      <c r="T247" s="55">
        <v>599</v>
      </c>
      <c r="U247" s="55">
        <v>599</v>
      </c>
      <c r="V247" s="55">
        <v>599</v>
      </c>
      <c r="W247" s="55">
        <v>599</v>
      </c>
      <c r="X247" s="55">
        <v>599</v>
      </c>
      <c r="Y247" s="55">
        <v>599</v>
      </c>
      <c r="Z247" s="55">
        <v>599</v>
      </c>
      <c r="AA247" s="55">
        <v>599</v>
      </c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7"/>
      <c r="AW247" s="58" t="s">
        <v>67</v>
      </c>
      <c r="AX247" s="59" t="s">
        <v>68</v>
      </c>
      <c r="AY247" s="60">
        <f t="shared" si="20"/>
        <v>21.331199999999999</v>
      </c>
      <c r="AZ247" s="60">
        <f t="shared" si="21"/>
        <v>19.219200000000001</v>
      </c>
      <c r="BA247" s="61">
        <f t="shared" si="22"/>
        <v>10.876799999999999</v>
      </c>
    </row>
    <row r="248" spans="1:53" ht="22.5" customHeight="1">
      <c r="A248" s="64" t="s">
        <v>241</v>
      </c>
      <c r="B248" s="52" t="s">
        <v>64</v>
      </c>
      <c r="C248" s="53">
        <v>4015257</v>
      </c>
      <c r="D248" s="65" t="s">
        <v>402</v>
      </c>
      <c r="E248" s="65" t="s">
        <v>404</v>
      </c>
      <c r="F248" s="55">
        <v>1056</v>
      </c>
      <c r="G248" s="55">
        <v>856</v>
      </c>
      <c r="H248" s="55">
        <v>1056</v>
      </c>
      <c r="I248" s="55">
        <v>1056</v>
      </c>
      <c r="J248" s="55">
        <v>599</v>
      </c>
      <c r="K248" s="55">
        <v>599</v>
      </c>
      <c r="L248" s="55">
        <v>599</v>
      </c>
      <c r="M248" s="55">
        <v>599</v>
      </c>
      <c r="N248" s="55">
        <v>599</v>
      </c>
      <c r="O248" s="55">
        <v>599</v>
      </c>
      <c r="P248" s="55">
        <v>599</v>
      </c>
      <c r="Q248" s="55">
        <v>599</v>
      </c>
      <c r="R248" s="55">
        <v>599</v>
      </c>
      <c r="S248" s="55">
        <v>599</v>
      </c>
      <c r="T248" s="55">
        <v>599</v>
      </c>
      <c r="U248" s="55">
        <v>599</v>
      </c>
      <c r="V248" s="55">
        <v>599</v>
      </c>
      <c r="W248" s="55">
        <v>599</v>
      </c>
      <c r="X248" s="55">
        <v>599</v>
      </c>
      <c r="Y248" s="55">
        <v>599</v>
      </c>
      <c r="Z248" s="55">
        <v>599</v>
      </c>
      <c r="AA248" s="55">
        <v>599</v>
      </c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7"/>
      <c r="AW248" s="58" t="s">
        <v>67</v>
      </c>
      <c r="AX248" s="59" t="s">
        <v>68</v>
      </c>
      <c r="AY248" s="60">
        <f t="shared" si="20"/>
        <v>21.331199999999999</v>
      </c>
      <c r="AZ248" s="60">
        <f t="shared" si="21"/>
        <v>19.219200000000001</v>
      </c>
      <c r="BA248" s="61">
        <f t="shared" si="22"/>
        <v>10.876799999999999</v>
      </c>
    </row>
    <row r="249" spans="1:53" ht="22.5" customHeight="1">
      <c r="A249" s="64" t="s">
        <v>241</v>
      </c>
      <c r="B249" s="52" t="s">
        <v>64</v>
      </c>
      <c r="C249" s="53">
        <v>4015259</v>
      </c>
      <c r="D249" s="65" t="s">
        <v>402</v>
      </c>
      <c r="E249" s="65" t="s">
        <v>405</v>
      </c>
      <c r="F249" s="55">
        <v>1056</v>
      </c>
      <c r="G249" s="55">
        <v>856</v>
      </c>
      <c r="H249" s="55">
        <v>1056</v>
      </c>
      <c r="I249" s="55">
        <v>1056</v>
      </c>
      <c r="J249" s="55">
        <v>599</v>
      </c>
      <c r="K249" s="55">
        <v>599</v>
      </c>
      <c r="L249" s="55">
        <v>599</v>
      </c>
      <c r="M249" s="55">
        <v>599</v>
      </c>
      <c r="N249" s="55">
        <v>599</v>
      </c>
      <c r="O249" s="55">
        <v>599</v>
      </c>
      <c r="P249" s="55">
        <v>599</v>
      </c>
      <c r="Q249" s="55">
        <v>599</v>
      </c>
      <c r="R249" s="55">
        <v>599</v>
      </c>
      <c r="S249" s="55">
        <v>599</v>
      </c>
      <c r="T249" s="55">
        <v>599</v>
      </c>
      <c r="U249" s="55">
        <v>599</v>
      </c>
      <c r="V249" s="55">
        <v>599</v>
      </c>
      <c r="W249" s="55">
        <v>599</v>
      </c>
      <c r="X249" s="55">
        <v>599</v>
      </c>
      <c r="Y249" s="55">
        <v>599</v>
      </c>
      <c r="Z249" s="55">
        <v>599</v>
      </c>
      <c r="AA249" s="55">
        <v>599</v>
      </c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7"/>
      <c r="AW249" s="58" t="s">
        <v>67</v>
      </c>
      <c r="AX249" s="59" t="s">
        <v>68</v>
      </c>
      <c r="AY249" s="60">
        <f t="shared" si="20"/>
        <v>21.331199999999999</v>
      </c>
      <c r="AZ249" s="60">
        <f t="shared" si="21"/>
        <v>19.219200000000001</v>
      </c>
      <c r="BA249" s="61">
        <f t="shared" si="22"/>
        <v>10.876799999999999</v>
      </c>
    </row>
    <row r="250" spans="1:53" ht="22" customHeight="1">
      <c r="A250" s="64" t="s">
        <v>241</v>
      </c>
      <c r="B250" s="52" t="s">
        <v>64</v>
      </c>
      <c r="C250" s="53">
        <v>4015563</v>
      </c>
      <c r="D250" s="65" t="s">
        <v>406</v>
      </c>
      <c r="E250" s="65" t="s">
        <v>407</v>
      </c>
      <c r="F250" s="55">
        <v>999</v>
      </c>
      <c r="G250" s="55">
        <v>699</v>
      </c>
      <c r="H250" s="55">
        <v>699</v>
      </c>
      <c r="I250" s="55">
        <v>699</v>
      </c>
      <c r="J250" s="55">
        <f t="shared" si="18"/>
        <v>599</v>
      </c>
      <c r="K250" s="55">
        <f t="shared" si="19"/>
        <v>599</v>
      </c>
      <c r="L250" s="55">
        <f t="shared" si="19"/>
        <v>599</v>
      </c>
      <c r="M250" s="55">
        <v>599</v>
      </c>
      <c r="N250" s="55">
        <v>599</v>
      </c>
      <c r="O250" s="55">
        <f t="shared" si="23"/>
        <v>549</v>
      </c>
      <c r="P250" s="56">
        <f t="shared" si="23"/>
        <v>549</v>
      </c>
      <c r="Q250" s="56">
        <f t="shared" si="23"/>
        <v>499</v>
      </c>
      <c r="R250" s="55">
        <v>549</v>
      </c>
      <c r="S250" s="55">
        <v>549</v>
      </c>
      <c r="T250" s="55">
        <v>499</v>
      </c>
      <c r="U250" s="55">
        <v>499</v>
      </c>
      <c r="V250" s="55">
        <v>499</v>
      </c>
      <c r="W250" s="55">
        <v>499</v>
      </c>
      <c r="X250" s="55">
        <v>499</v>
      </c>
      <c r="Y250" s="55">
        <v>499</v>
      </c>
      <c r="Z250" s="55">
        <v>499</v>
      </c>
      <c r="AA250" s="55">
        <v>499</v>
      </c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7"/>
      <c r="AW250" s="58" t="s">
        <v>67</v>
      </c>
      <c r="AX250" s="59" t="s">
        <v>68</v>
      </c>
      <c r="AY250" s="60">
        <f t="shared" si="20"/>
        <v>14.1198</v>
      </c>
      <c r="AZ250" s="60">
        <f t="shared" si="21"/>
        <v>12.7218</v>
      </c>
      <c r="BA250" s="61">
        <f t="shared" si="22"/>
        <v>7.1997</v>
      </c>
    </row>
    <row r="251" spans="1:53" ht="22.5" customHeight="1">
      <c r="A251" s="64" t="s">
        <v>241</v>
      </c>
      <c r="B251" s="52" t="s">
        <v>64</v>
      </c>
      <c r="C251" s="53">
        <v>4015565</v>
      </c>
      <c r="D251" s="65" t="s">
        <v>406</v>
      </c>
      <c r="E251" s="65" t="s">
        <v>408</v>
      </c>
      <c r="F251" s="55">
        <v>999</v>
      </c>
      <c r="G251" s="55">
        <v>699</v>
      </c>
      <c r="H251" s="55">
        <v>699</v>
      </c>
      <c r="I251" s="55">
        <v>699</v>
      </c>
      <c r="J251" s="55">
        <f t="shared" si="18"/>
        <v>599</v>
      </c>
      <c r="K251" s="55">
        <f t="shared" si="19"/>
        <v>599</v>
      </c>
      <c r="L251" s="55">
        <f t="shared" si="19"/>
        <v>599</v>
      </c>
      <c r="M251" s="55">
        <v>599</v>
      </c>
      <c r="N251" s="55">
        <v>599</v>
      </c>
      <c r="O251" s="55">
        <f t="shared" si="23"/>
        <v>549</v>
      </c>
      <c r="P251" s="56">
        <f t="shared" si="23"/>
        <v>549</v>
      </c>
      <c r="Q251" s="56">
        <f t="shared" si="23"/>
        <v>499</v>
      </c>
      <c r="R251" s="55">
        <v>549</v>
      </c>
      <c r="S251" s="55">
        <v>549</v>
      </c>
      <c r="T251" s="55">
        <v>499</v>
      </c>
      <c r="U251" s="55">
        <v>499</v>
      </c>
      <c r="V251" s="55">
        <v>499</v>
      </c>
      <c r="W251" s="55">
        <v>499</v>
      </c>
      <c r="X251" s="55">
        <v>499</v>
      </c>
      <c r="Y251" s="55">
        <v>499</v>
      </c>
      <c r="Z251" s="55">
        <v>499</v>
      </c>
      <c r="AA251" s="55">
        <v>499</v>
      </c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7"/>
      <c r="AW251" s="58" t="s">
        <v>67</v>
      </c>
      <c r="AX251" s="59" t="s">
        <v>68</v>
      </c>
      <c r="AY251" s="60">
        <f t="shared" si="20"/>
        <v>14.1198</v>
      </c>
      <c r="AZ251" s="60">
        <f t="shared" si="21"/>
        <v>12.7218</v>
      </c>
      <c r="BA251" s="61">
        <f t="shared" si="22"/>
        <v>7.1997</v>
      </c>
    </row>
    <row r="252" spans="1:53" ht="22.5" customHeight="1">
      <c r="A252" s="64" t="s">
        <v>241</v>
      </c>
      <c r="B252" s="52" t="s">
        <v>64</v>
      </c>
      <c r="C252" s="53">
        <v>4015567</v>
      </c>
      <c r="D252" s="65" t="s">
        <v>406</v>
      </c>
      <c r="E252" s="65" t="s">
        <v>409</v>
      </c>
      <c r="F252" s="55">
        <v>999</v>
      </c>
      <c r="G252" s="55">
        <v>699</v>
      </c>
      <c r="H252" s="55">
        <v>699</v>
      </c>
      <c r="I252" s="55">
        <v>699</v>
      </c>
      <c r="J252" s="55">
        <f t="shared" si="18"/>
        <v>599</v>
      </c>
      <c r="K252" s="55">
        <f t="shared" si="19"/>
        <v>599</v>
      </c>
      <c r="L252" s="55">
        <f t="shared" si="19"/>
        <v>599</v>
      </c>
      <c r="M252" s="55">
        <v>599</v>
      </c>
      <c r="N252" s="55">
        <v>599</v>
      </c>
      <c r="O252" s="55">
        <f t="shared" si="23"/>
        <v>549</v>
      </c>
      <c r="P252" s="56">
        <f t="shared" si="23"/>
        <v>549</v>
      </c>
      <c r="Q252" s="56">
        <f t="shared" si="23"/>
        <v>499</v>
      </c>
      <c r="R252" s="55">
        <v>549</v>
      </c>
      <c r="S252" s="55">
        <v>549</v>
      </c>
      <c r="T252" s="55">
        <v>499</v>
      </c>
      <c r="U252" s="55">
        <v>499</v>
      </c>
      <c r="V252" s="55">
        <v>499</v>
      </c>
      <c r="W252" s="55">
        <v>499</v>
      </c>
      <c r="X252" s="55">
        <v>499</v>
      </c>
      <c r="Y252" s="55">
        <v>499</v>
      </c>
      <c r="Z252" s="55">
        <v>499</v>
      </c>
      <c r="AA252" s="55">
        <v>499</v>
      </c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7"/>
      <c r="AW252" s="58" t="s">
        <v>67</v>
      </c>
      <c r="AX252" s="59" t="s">
        <v>68</v>
      </c>
      <c r="AY252" s="60">
        <f t="shared" si="20"/>
        <v>14.1198</v>
      </c>
      <c r="AZ252" s="60">
        <f t="shared" si="21"/>
        <v>12.7218</v>
      </c>
      <c r="BA252" s="61">
        <f t="shared" si="22"/>
        <v>7.1997</v>
      </c>
    </row>
    <row r="253" spans="1:53" ht="22.5" customHeight="1">
      <c r="A253" s="64" t="s">
        <v>241</v>
      </c>
      <c r="B253" s="52" t="s">
        <v>64</v>
      </c>
      <c r="C253" s="53">
        <v>4015569</v>
      </c>
      <c r="D253" s="65" t="s">
        <v>406</v>
      </c>
      <c r="E253" s="65" t="s">
        <v>410</v>
      </c>
      <c r="F253" s="55">
        <v>999</v>
      </c>
      <c r="G253" s="55">
        <v>699</v>
      </c>
      <c r="H253" s="55">
        <v>699</v>
      </c>
      <c r="I253" s="55">
        <v>699</v>
      </c>
      <c r="J253" s="55">
        <f t="shared" si="18"/>
        <v>599</v>
      </c>
      <c r="K253" s="55">
        <f t="shared" si="19"/>
        <v>599</v>
      </c>
      <c r="L253" s="55">
        <f t="shared" si="19"/>
        <v>599</v>
      </c>
      <c r="M253" s="55">
        <v>599</v>
      </c>
      <c r="N253" s="55">
        <v>599</v>
      </c>
      <c r="O253" s="55">
        <f t="shared" si="23"/>
        <v>549</v>
      </c>
      <c r="P253" s="56">
        <f t="shared" si="23"/>
        <v>549</v>
      </c>
      <c r="Q253" s="56">
        <f t="shared" si="23"/>
        <v>499</v>
      </c>
      <c r="R253" s="55">
        <v>549</v>
      </c>
      <c r="S253" s="55">
        <v>549</v>
      </c>
      <c r="T253" s="55">
        <v>499</v>
      </c>
      <c r="U253" s="55">
        <v>499</v>
      </c>
      <c r="V253" s="55">
        <v>499</v>
      </c>
      <c r="W253" s="55">
        <v>499</v>
      </c>
      <c r="X253" s="55">
        <v>499</v>
      </c>
      <c r="Y253" s="55">
        <v>499</v>
      </c>
      <c r="Z253" s="55">
        <v>499</v>
      </c>
      <c r="AA253" s="55">
        <v>499</v>
      </c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7"/>
      <c r="AW253" s="58" t="s">
        <v>67</v>
      </c>
      <c r="AX253" s="59" t="s">
        <v>68</v>
      </c>
      <c r="AY253" s="60">
        <f t="shared" si="20"/>
        <v>14.1198</v>
      </c>
      <c r="AZ253" s="60">
        <f t="shared" si="21"/>
        <v>12.7218</v>
      </c>
      <c r="BA253" s="61">
        <f t="shared" si="22"/>
        <v>7.1997</v>
      </c>
    </row>
    <row r="254" spans="1:53" ht="22.5" customHeight="1">
      <c r="A254" s="64" t="s">
        <v>241</v>
      </c>
      <c r="B254" s="52" t="s">
        <v>64</v>
      </c>
      <c r="C254" s="53">
        <v>4016078</v>
      </c>
      <c r="D254" s="65" t="s">
        <v>411</v>
      </c>
      <c r="E254" s="65" t="s">
        <v>412</v>
      </c>
      <c r="F254" s="55">
        <v>927</v>
      </c>
      <c r="G254" s="55">
        <v>727</v>
      </c>
      <c r="H254" s="55">
        <v>927</v>
      </c>
      <c r="I254" s="55">
        <v>927</v>
      </c>
      <c r="J254" s="55">
        <v>509</v>
      </c>
      <c r="K254" s="55">
        <v>509</v>
      </c>
      <c r="L254" s="55">
        <v>509</v>
      </c>
      <c r="M254" s="55">
        <v>509</v>
      </c>
      <c r="N254" s="55">
        <v>509</v>
      </c>
      <c r="O254" s="55">
        <v>509</v>
      </c>
      <c r="P254" s="55">
        <v>509</v>
      </c>
      <c r="Q254" s="55">
        <v>509</v>
      </c>
      <c r="R254" s="55">
        <v>509</v>
      </c>
      <c r="S254" s="55">
        <v>509</v>
      </c>
      <c r="T254" s="55">
        <v>509</v>
      </c>
      <c r="U254" s="55">
        <v>509</v>
      </c>
      <c r="V254" s="55">
        <v>509</v>
      </c>
      <c r="W254" s="55">
        <v>509</v>
      </c>
      <c r="X254" s="55">
        <v>509</v>
      </c>
      <c r="Y254" s="55">
        <v>509</v>
      </c>
      <c r="Z254" s="55">
        <v>509</v>
      </c>
      <c r="AA254" s="55">
        <v>509</v>
      </c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7"/>
      <c r="AW254" s="58" t="s">
        <v>67</v>
      </c>
      <c r="AX254" s="59" t="s">
        <v>68</v>
      </c>
      <c r="AY254" s="60">
        <f t="shared" si="20"/>
        <v>18.7254</v>
      </c>
      <c r="AZ254" s="60">
        <f t="shared" si="21"/>
        <v>16.871400000000001</v>
      </c>
      <c r="BA254" s="61">
        <f t="shared" si="22"/>
        <v>9.5480999999999998</v>
      </c>
    </row>
    <row r="255" spans="1:53" ht="22.5" customHeight="1">
      <c r="A255" s="64" t="s">
        <v>241</v>
      </c>
      <c r="B255" s="52" t="s">
        <v>64</v>
      </c>
      <c r="C255" s="53">
        <v>4016081</v>
      </c>
      <c r="D255" s="65" t="s">
        <v>411</v>
      </c>
      <c r="E255" s="65" t="s">
        <v>413</v>
      </c>
      <c r="F255" s="55">
        <v>927</v>
      </c>
      <c r="G255" s="55">
        <v>727</v>
      </c>
      <c r="H255" s="55">
        <v>927</v>
      </c>
      <c r="I255" s="55">
        <v>927</v>
      </c>
      <c r="J255" s="55">
        <v>509</v>
      </c>
      <c r="K255" s="55">
        <v>509</v>
      </c>
      <c r="L255" s="55">
        <v>509</v>
      </c>
      <c r="M255" s="55">
        <v>509</v>
      </c>
      <c r="N255" s="55">
        <v>509</v>
      </c>
      <c r="O255" s="55">
        <v>509</v>
      </c>
      <c r="P255" s="55">
        <v>509</v>
      </c>
      <c r="Q255" s="55">
        <v>509</v>
      </c>
      <c r="R255" s="55">
        <v>509</v>
      </c>
      <c r="S255" s="55">
        <v>509</v>
      </c>
      <c r="T255" s="55">
        <v>509</v>
      </c>
      <c r="U255" s="55">
        <v>509</v>
      </c>
      <c r="V255" s="55">
        <v>509</v>
      </c>
      <c r="W255" s="55">
        <v>509</v>
      </c>
      <c r="X255" s="55">
        <v>509</v>
      </c>
      <c r="Y255" s="55">
        <v>509</v>
      </c>
      <c r="Z255" s="55">
        <v>509</v>
      </c>
      <c r="AA255" s="55">
        <v>509</v>
      </c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7"/>
      <c r="AW255" s="58" t="s">
        <v>67</v>
      </c>
      <c r="AX255" s="59" t="s">
        <v>68</v>
      </c>
      <c r="AY255" s="60">
        <f t="shared" si="20"/>
        <v>18.7254</v>
      </c>
      <c r="AZ255" s="60">
        <f t="shared" si="21"/>
        <v>16.871400000000001</v>
      </c>
      <c r="BA255" s="61">
        <f t="shared" si="22"/>
        <v>9.5480999999999998</v>
      </c>
    </row>
    <row r="256" spans="1:53" ht="22.5" customHeight="1">
      <c r="A256" s="64" t="s">
        <v>241</v>
      </c>
      <c r="B256" s="52" t="s">
        <v>64</v>
      </c>
      <c r="C256" s="53">
        <v>4016080</v>
      </c>
      <c r="D256" s="65" t="s">
        <v>411</v>
      </c>
      <c r="E256" s="65" t="s">
        <v>414</v>
      </c>
      <c r="F256" s="55">
        <v>927</v>
      </c>
      <c r="G256" s="55">
        <v>727</v>
      </c>
      <c r="H256" s="55">
        <v>927</v>
      </c>
      <c r="I256" s="55">
        <v>927</v>
      </c>
      <c r="J256" s="55">
        <v>509</v>
      </c>
      <c r="K256" s="55">
        <v>509</v>
      </c>
      <c r="L256" s="55">
        <v>509</v>
      </c>
      <c r="M256" s="55">
        <v>509</v>
      </c>
      <c r="N256" s="55">
        <v>509</v>
      </c>
      <c r="O256" s="55">
        <v>509</v>
      </c>
      <c r="P256" s="55">
        <v>509</v>
      </c>
      <c r="Q256" s="55">
        <v>509</v>
      </c>
      <c r="R256" s="55">
        <v>509</v>
      </c>
      <c r="S256" s="55">
        <v>509</v>
      </c>
      <c r="T256" s="55">
        <v>509</v>
      </c>
      <c r="U256" s="55">
        <v>509</v>
      </c>
      <c r="V256" s="55">
        <v>509</v>
      </c>
      <c r="W256" s="55">
        <v>509</v>
      </c>
      <c r="X256" s="55">
        <v>509</v>
      </c>
      <c r="Y256" s="55">
        <v>509</v>
      </c>
      <c r="Z256" s="55">
        <v>509</v>
      </c>
      <c r="AA256" s="55">
        <v>509</v>
      </c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7"/>
      <c r="AW256" s="58" t="s">
        <v>67</v>
      </c>
      <c r="AX256" s="59" t="s">
        <v>68</v>
      </c>
      <c r="AY256" s="60">
        <f t="shared" si="20"/>
        <v>18.7254</v>
      </c>
      <c r="AZ256" s="60">
        <f t="shared" si="21"/>
        <v>16.871400000000001</v>
      </c>
      <c r="BA256" s="61">
        <f t="shared" si="22"/>
        <v>9.5480999999999998</v>
      </c>
    </row>
    <row r="257" spans="1:53" ht="22.5" customHeight="1">
      <c r="A257" s="64" t="s">
        <v>241</v>
      </c>
      <c r="B257" s="52" t="s">
        <v>64</v>
      </c>
      <c r="C257" s="53">
        <v>4016086</v>
      </c>
      <c r="D257" s="65" t="s">
        <v>415</v>
      </c>
      <c r="E257" s="65" t="s">
        <v>416</v>
      </c>
      <c r="F257" s="55">
        <v>1041</v>
      </c>
      <c r="G257" s="55">
        <v>841</v>
      </c>
      <c r="H257" s="55">
        <v>1041</v>
      </c>
      <c r="I257" s="55">
        <v>1041</v>
      </c>
      <c r="J257" s="55">
        <v>589</v>
      </c>
      <c r="K257" s="55">
        <v>589</v>
      </c>
      <c r="L257" s="55">
        <v>589</v>
      </c>
      <c r="M257" s="55">
        <v>589</v>
      </c>
      <c r="N257" s="55">
        <v>589</v>
      </c>
      <c r="O257" s="55">
        <v>589</v>
      </c>
      <c r="P257" s="55">
        <v>589</v>
      </c>
      <c r="Q257" s="55">
        <v>589</v>
      </c>
      <c r="R257" s="55">
        <v>589</v>
      </c>
      <c r="S257" s="55">
        <v>589</v>
      </c>
      <c r="T257" s="55">
        <v>589</v>
      </c>
      <c r="U257" s="55">
        <v>589</v>
      </c>
      <c r="V257" s="55">
        <v>589</v>
      </c>
      <c r="W257" s="55">
        <v>589</v>
      </c>
      <c r="X257" s="55">
        <v>589</v>
      </c>
      <c r="Y257" s="55">
        <v>589</v>
      </c>
      <c r="Z257" s="55">
        <v>589</v>
      </c>
      <c r="AA257" s="55">
        <v>589</v>
      </c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7"/>
      <c r="AW257" s="58" t="s">
        <v>67</v>
      </c>
      <c r="AX257" s="59" t="s">
        <v>68</v>
      </c>
      <c r="AY257" s="60">
        <f t="shared" si="20"/>
        <v>21.028199999999998</v>
      </c>
      <c r="AZ257" s="60">
        <f t="shared" si="21"/>
        <v>18.946200000000001</v>
      </c>
      <c r="BA257" s="61">
        <f t="shared" si="22"/>
        <v>10.722300000000001</v>
      </c>
    </row>
    <row r="258" spans="1:53" ht="22.5" customHeight="1">
      <c r="A258" s="64" t="s">
        <v>241</v>
      </c>
      <c r="B258" s="52" t="s">
        <v>64</v>
      </c>
      <c r="C258" s="53">
        <v>4016089</v>
      </c>
      <c r="D258" s="65" t="s">
        <v>415</v>
      </c>
      <c r="E258" s="65" t="s">
        <v>417</v>
      </c>
      <c r="F258" s="55">
        <v>1041</v>
      </c>
      <c r="G258" s="55">
        <v>841</v>
      </c>
      <c r="H258" s="55">
        <v>1041</v>
      </c>
      <c r="I258" s="55">
        <v>1041</v>
      </c>
      <c r="J258" s="55">
        <v>589</v>
      </c>
      <c r="K258" s="55">
        <v>589</v>
      </c>
      <c r="L258" s="55">
        <v>589</v>
      </c>
      <c r="M258" s="55">
        <v>589</v>
      </c>
      <c r="N258" s="55">
        <v>589</v>
      </c>
      <c r="O258" s="55">
        <v>589</v>
      </c>
      <c r="P258" s="55">
        <v>589</v>
      </c>
      <c r="Q258" s="55">
        <v>589</v>
      </c>
      <c r="R258" s="55">
        <v>589</v>
      </c>
      <c r="S258" s="55">
        <v>589</v>
      </c>
      <c r="T258" s="55">
        <v>589</v>
      </c>
      <c r="U258" s="55">
        <v>589</v>
      </c>
      <c r="V258" s="55">
        <v>589</v>
      </c>
      <c r="W258" s="55">
        <v>589</v>
      </c>
      <c r="X258" s="55">
        <v>589</v>
      </c>
      <c r="Y258" s="55">
        <v>589</v>
      </c>
      <c r="Z258" s="55">
        <v>589</v>
      </c>
      <c r="AA258" s="55">
        <v>589</v>
      </c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7"/>
      <c r="AW258" s="58" t="s">
        <v>67</v>
      </c>
      <c r="AX258" s="59" t="s">
        <v>68</v>
      </c>
      <c r="AY258" s="60">
        <f t="shared" si="20"/>
        <v>21.028199999999998</v>
      </c>
      <c r="AZ258" s="60">
        <f t="shared" si="21"/>
        <v>18.946200000000001</v>
      </c>
      <c r="BA258" s="61">
        <f t="shared" si="22"/>
        <v>10.722300000000001</v>
      </c>
    </row>
    <row r="259" spans="1:53" ht="22.5" customHeight="1">
      <c r="A259" s="64" t="s">
        <v>241</v>
      </c>
      <c r="B259" s="52" t="s">
        <v>64</v>
      </c>
      <c r="C259" s="53">
        <v>4016084</v>
      </c>
      <c r="D259" s="65" t="s">
        <v>415</v>
      </c>
      <c r="E259" s="65" t="s">
        <v>418</v>
      </c>
      <c r="F259" s="55">
        <v>1041</v>
      </c>
      <c r="G259" s="55">
        <v>841</v>
      </c>
      <c r="H259" s="55">
        <v>1041</v>
      </c>
      <c r="I259" s="55">
        <v>1041</v>
      </c>
      <c r="J259" s="55">
        <v>589</v>
      </c>
      <c r="K259" s="55">
        <v>589</v>
      </c>
      <c r="L259" s="55">
        <v>589</v>
      </c>
      <c r="M259" s="55">
        <v>589</v>
      </c>
      <c r="N259" s="55">
        <v>589</v>
      </c>
      <c r="O259" s="55">
        <v>589</v>
      </c>
      <c r="P259" s="55">
        <v>589</v>
      </c>
      <c r="Q259" s="55">
        <v>589</v>
      </c>
      <c r="R259" s="55">
        <v>589</v>
      </c>
      <c r="S259" s="55">
        <v>589</v>
      </c>
      <c r="T259" s="55">
        <v>589</v>
      </c>
      <c r="U259" s="55">
        <v>589</v>
      </c>
      <c r="V259" s="55">
        <v>589</v>
      </c>
      <c r="W259" s="55">
        <v>589</v>
      </c>
      <c r="X259" s="55">
        <v>589</v>
      </c>
      <c r="Y259" s="55">
        <v>589</v>
      </c>
      <c r="Z259" s="55">
        <v>589</v>
      </c>
      <c r="AA259" s="55">
        <v>589</v>
      </c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7"/>
      <c r="AW259" s="58" t="s">
        <v>67</v>
      </c>
      <c r="AX259" s="59" t="s">
        <v>68</v>
      </c>
      <c r="AY259" s="60">
        <f t="shared" si="20"/>
        <v>21.028199999999998</v>
      </c>
      <c r="AZ259" s="60">
        <f t="shared" si="21"/>
        <v>18.946200000000001</v>
      </c>
      <c r="BA259" s="61">
        <f t="shared" si="22"/>
        <v>10.722300000000001</v>
      </c>
    </row>
    <row r="260" spans="1:53" ht="22.5" customHeight="1">
      <c r="A260" s="64" t="s">
        <v>241</v>
      </c>
      <c r="B260" s="52" t="s">
        <v>64</v>
      </c>
      <c r="C260" s="53">
        <v>4016087</v>
      </c>
      <c r="D260" s="65" t="s">
        <v>415</v>
      </c>
      <c r="E260" s="65" t="s">
        <v>419</v>
      </c>
      <c r="F260" s="55">
        <v>1041</v>
      </c>
      <c r="G260" s="55">
        <v>841</v>
      </c>
      <c r="H260" s="55">
        <v>1041</v>
      </c>
      <c r="I260" s="55">
        <v>1041</v>
      </c>
      <c r="J260" s="55">
        <v>589</v>
      </c>
      <c r="K260" s="55">
        <v>589</v>
      </c>
      <c r="L260" s="55">
        <v>589</v>
      </c>
      <c r="M260" s="55">
        <v>589</v>
      </c>
      <c r="N260" s="55">
        <v>589</v>
      </c>
      <c r="O260" s="55">
        <v>589</v>
      </c>
      <c r="P260" s="55">
        <v>589</v>
      </c>
      <c r="Q260" s="55">
        <v>589</v>
      </c>
      <c r="R260" s="55">
        <v>589</v>
      </c>
      <c r="S260" s="55">
        <v>589</v>
      </c>
      <c r="T260" s="55">
        <v>589</v>
      </c>
      <c r="U260" s="55">
        <v>589</v>
      </c>
      <c r="V260" s="55">
        <v>589</v>
      </c>
      <c r="W260" s="55">
        <v>589</v>
      </c>
      <c r="X260" s="55">
        <v>589</v>
      </c>
      <c r="Y260" s="55">
        <v>589</v>
      </c>
      <c r="Z260" s="55">
        <v>589</v>
      </c>
      <c r="AA260" s="55">
        <v>589</v>
      </c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7"/>
      <c r="AW260" s="58" t="s">
        <v>67</v>
      </c>
      <c r="AX260" s="59" t="s">
        <v>68</v>
      </c>
      <c r="AY260" s="60">
        <f t="shared" si="20"/>
        <v>21.028199999999998</v>
      </c>
      <c r="AZ260" s="60">
        <f t="shared" si="21"/>
        <v>18.946200000000001</v>
      </c>
      <c r="BA260" s="61">
        <f t="shared" si="22"/>
        <v>10.722300000000001</v>
      </c>
    </row>
    <row r="261" spans="1:53" ht="22.5" customHeight="1">
      <c r="A261" s="64" t="s">
        <v>241</v>
      </c>
      <c r="B261" s="52" t="s">
        <v>64</v>
      </c>
      <c r="C261" s="53">
        <v>4016668</v>
      </c>
      <c r="D261" s="65" t="s">
        <v>420</v>
      </c>
      <c r="E261" s="65" t="s">
        <v>421</v>
      </c>
      <c r="F261" s="55">
        <v>1599</v>
      </c>
      <c r="G261" s="56">
        <v>1099</v>
      </c>
      <c r="H261" s="56">
        <v>1099</v>
      </c>
      <c r="I261" s="56">
        <v>1099</v>
      </c>
      <c r="J261" s="56">
        <v>899</v>
      </c>
      <c r="K261" s="56">
        <v>799</v>
      </c>
      <c r="L261" s="56">
        <v>799</v>
      </c>
      <c r="M261" s="56">
        <v>899</v>
      </c>
      <c r="N261" s="56">
        <v>799</v>
      </c>
      <c r="O261" s="56">
        <v>749</v>
      </c>
      <c r="P261" s="56">
        <v>749</v>
      </c>
      <c r="Q261" s="56">
        <v>699</v>
      </c>
      <c r="R261" s="56">
        <v>749</v>
      </c>
      <c r="S261" s="56">
        <v>749</v>
      </c>
      <c r="T261" s="56">
        <v>699</v>
      </c>
      <c r="U261" s="56">
        <v>699</v>
      </c>
      <c r="V261" s="56">
        <v>699</v>
      </c>
      <c r="W261" s="56">
        <v>699</v>
      </c>
      <c r="X261" s="56">
        <v>699</v>
      </c>
      <c r="Y261" s="56">
        <v>699</v>
      </c>
      <c r="Z261" s="56">
        <v>699</v>
      </c>
      <c r="AA261" s="56">
        <v>699</v>
      </c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7"/>
      <c r="AW261" s="58" t="s">
        <v>67</v>
      </c>
      <c r="AX261" s="59" t="s">
        <v>68</v>
      </c>
      <c r="AY261" s="60">
        <f t="shared" si="20"/>
        <v>22.1998</v>
      </c>
      <c r="AZ261" s="60">
        <f t="shared" si="21"/>
        <v>20.001799999999999</v>
      </c>
      <c r="BA261" s="61">
        <f t="shared" si="22"/>
        <v>11.319700000000001</v>
      </c>
    </row>
    <row r="262" spans="1:53" ht="22.5" customHeight="1">
      <c r="A262" s="64" t="s">
        <v>241</v>
      </c>
      <c r="B262" s="52" t="s">
        <v>64</v>
      </c>
      <c r="C262" s="53">
        <v>4016714</v>
      </c>
      <c r="D262" s="65" t="s">
        <v>420</v>
      </c>
      <c r="E262" s="65" t="s">
        <v>422</v>
      </c>
      <c r="F262" s="55">
        <v>1599</v>
      </c>
      <c r="G262" s="56">
        <v>1099</v>
      </c>
      <c r="H262" s="56">
        <v>1099</v>
      </c>
      <c r="I262" s="56">
        <v>1099</v>
      </c>
      <c r="J262" s="56">
        <v>899</v>
      </c>
      <c r="K262" s="56">
        <v>799</v>
      </c>
      <c r="L262" s="56">
        <v>799</v>
      </c>
      <c r="M262" s="56">
        <v>899</v>
      </c>
      <c r="N262" s="56">
        <v>799</v>
      </c>
      <c r="O262" s="56">
        <v>749</v>
      </c>
      <c r="P262" s="56">
        <v>749</v>
      </c>
      <c r="Q262" s="56">
        <v>699</v>
      </c>
      <c r="R262" s="56">
        <v>749</v>
      </c>
      <c r="S262" s="56">
        <v>749</v>
      </c>
      <c r="T262" s="56">
        <v>699</v>
      </c>
      <c r="U262" s="56">
        <v>699</v>
      </c>
      <c r="V262" s="56">
        <v>699</v>
      </c>
      <c r="W262" s="56">
        <v>699</v>
      </c>
      <c r="X262" s="56">
        <v>699</v>
      </c>
      <c r="Y262" s="56">
        <v>699</v>
      </c>
      <c r="Z262" s="56">
        <v>699</v>
      </c>
      <c r="AA262" s="56">
        <v>699</v>
      </c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7"/>
      <c r="AW262" s="58" t="s">
        <v>67</v>
      </c>
      <c r="AX262" s="59" t="s">
        <v>68</v>
      </c>
      <c r="AY262" s="60">
        <f t="shared" si="20"/>
        <v>22.1998</v>
      </c>
      <c r="AZ262" s="60">
        <f t="shared" si="21"/>
        <v>20.001799999999999</v>
      </c>
      <c r="BA262" s="61">
        <f t="shared" si="22"/>
        <v>11.319700000000001</v>
      </c>
    </row>
    <row r="263" spans="1:53" ht="22.5" customHeight="1">
      <c r="A263" s="64" t="s">
        <v>241</v>
      </c>
      <c r="B263" s="52" t="s">
        <v>64</v>
      </c>
      <c r="C263" s="53">
        <v>4016710</v>
      </c>
      <c r="D263" s="65" t="s">
        <v>420</v>
      </c>
      <c r="E263" s="65" t="s">
        <v>423</v>
      </c>
      <c r="F263" s="55">
        <v>1599</v>
      </c>
      <c r="G263" s="56">
        <v>1099</v>
      </c>
      <c r="H263" s="56">
        <v>1099</v>
      </c>
      <c r="I263" s="56">
        <v>1099</v>
      </c>
      <c r="J263" s="56">
        <v>899</v>
      </c>
      <c r="K263" s="56">
        <v>799</v>
      </c>
      <c r="L263" s="56">
        <v>799</v>
      </c>
      <c r="M263" s="56">
        <v>899</v>
      </c>
      <c r="N263" s="56">
        <v>799</v>
      </c>
      <c r="O263" s="56">
        <v>749</v>
      </c>
      <c r="P263" s="56">
        <v>749</v>
      </c>
      <c r="Q263" s="56">
        <v>699</v>
      </c>
      <c r="R263" s="56">
        <v>749</v>
      </c>
      <c r="S263" s="56">
        <v>749</v>
      </c>
      <c r="T263" s="56">
        <v>699</v>
      </c>
      <c r="U263" s="56">
        <v>699</v>
      </c>
      <c r="V263" s="56">
        <v>699</v>
      </c>
      <c r="W263" s="56">
        <v>699</v>
      </c>
      <c r="X263" s="56">
        <v>699</v>
      </c>
      <c r="Y263" s="56">
        <v>699</v>
      </c>
      <c r="Z263" s="56">
        <v>699</v>
      </c>
      <c r="AA263" s="56">
        <v>699</v>
      </c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7"/>
      <c r="AW263" s="58" t="s">
        <v>67</v>
      </c>
      <c r="AX263" s="59" t="s">
        <v>68</v>
      </c>
      <c r="AY263" s="60">
        <f t="shared" si="20"/>
        <v>22.1998</v>
      </c>
      <c r="AZ263" s="60">
        <f t="shared" si="21"/>
        <v>20.001799999999999</v>
      </c>
      <c r="BA263" s="61">
        <f t="shared" si="22"/>
        <v>11.319700000000001</v>
      </c>
    </row>
    <row r="264" spans="1:53" ht="22.5" customHeight="1">
      <c r="A264" s="64" t="s">
        <v>241</v>
      </c>
      <c r="B264" s="52" t="s">
        <v>64</v>
      </c>
      <c r="C264" s="53">
        <v>4016716</v>
      </c>
      <c r="D264" s="65" t="s">
        <v>420</v>
      </c>
      <c r="E264" s="65" t="s">
        <v>424</v>
      </c>
      <c r="F264" s="55">
        <v>1599</v>
      </c>
      <c r="G264" s="56">
        <v>1099</v>
      </c>
      <c r="H264" s="56">
        <v>1099</v>
      </c>
      <c r="I264" s="56">
        <v>1099</v>
      </c>
      <c r="J264" s="56">
        <v>899</v>
      </c>
      <c r="K264" s="56">
        <v>799</v>
      </c>
      <c r="L264" s="56">
        <v>799</v>
      </c>
      <c r="M264" s="56">
        <v>899</v>
      </c>
      <c r="N264" s="56">
        <v>799</v>
      </c>
      <c r="O264" s="56">
        <v>749</v>
      </c>
      <c r="P264" s="56">
        <v>749</v>
      </c>
      <c r="Q264" s="56">
        <v>699</v>
      </c>
      <c r="R264" s="56">
        <v>749</v>
      </c>
      <c r="S264" s="56">
        <v>749</v>
      </c>
      <c r="T264" s="56">
        <v>699</v>
      </c>
      <c r="U264" s="56">
        <v>699</v>
      </c>
      <c r="V264" s="56">
        <v>699</v>
      </c>
      <c r="W264" s="56">
        <v>699</v>
      </c>
      <c r="X264" s="56">
        <v>699</v>
      </c>
      <c r="Y264" s="56">
        <v>699</v>
      </c>
      <c r="Z264" s="56">
        <v>699</v>
      </c>
      <c r="AA264" s="56">
        <v>699</v>
      </c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7"/>
      <c r="AW264" s="58" t="s">
        <v>67</v>
      </c>
      <c r="AX264" s="59" t="s">
        <v>68</v>
      </c>
      <c r="AY264" s="60">
        <f t="shared" si="20"/>
        <v>22.1998</v>
      </c>
      <c r="AZ264" s="60">
        <f t="shared" si="21"/>
        <v>20.001799999999999</v>
      </c>
      <c r="BA264" s="61">
        <f t="shared" si="22"/>
        <v>11.319700000000001</v>
      </c>
    </row>
    <row r="265" spans="1:53" ht="22.5" customHeight="1">
      <c r="A265" s="64" t="s">
        <v>241</v>
      </c>
      <c r="B265" s="52" t="s">
        <v>64</v>
      </c>
      <c r="C265" s="53">
        <v>4016753</v>
      </c>
      <c r="D265" s="65" t="s">
        <v>420</v>
      </c>
      <c r="E265" s="65" t="s">
        <v>425</v>
      </c>
      <c r="F265" s="55">
        <v>1599</v>
      </c>
      <c r="G265" s="56">
        <v>1099</v>
      </c>
      <c r="H265" s="56">
        <v>1099</v>
      </c>
      <c r="I265" s="56">
        <v>1099</v>
      </c>
      <c r="J265" s="56">
        <v>899</v>
      </c>
      <c r="K265" s="56">
        <v>799</v>
      </c>
      <c r="L265" s="56">
        <v>799</v>
      </c>
      <c r="M265" s="56">
        <v>899</v>
      </c>
      <c r="N265" s="56">
        <v>799</v>
      </c>
      <c r="O265" s="56">
        <v>749</v>
      </c>
      <c r="P265" s="56">
        <v>749</v>
      </c>
      <c r="Q265" s="56">
        <v>699</v>
      </c>
      <c r="R265" s="56">
        <v>749</v>
      </c>
      <c r="S265" s="56">
        <v>749</v>
      </c>
      <c r="T265" s="56">
        <v>699</v>
      </c>
      <c r="U265" s="56">
        <v>699</v>
      </c>
      <c r="V265" s="56">
        <v>699</v>
      </c>
      <c r="W265" s="56">
        <v>699</v>
      </c>
      <c r="X265" s="56">
        <v>699</v>
      </c>
      <c r="Y265" s="56">
        <v>699</v>
      </c>
      <c r="Z265" s="56">
        <v>699</v>
      </c>
      <c r="AA265" s="56">
        <v>699</v>
      </c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7"/>
      <c r="AW265" s="58" t="s">
        <v>67</v>
      </c>
      <c r="AX265" s="59" t="s">
        <v>68</v>
      </c>
      <c r="AY265" s="60">
        <f t="shared" si="20"/>
        <v>22.1998</v>
      </c>
      <c r="AZ265" s="60">
        <f t="shared" si="21"/>
        <v>20.001799999999999</v>
      </c>
      <c r="BA265" s="61">
        <f t="shared" si="22"/>
        <v>11.319700000000001</v>
      </c>
    </row>
    <row r="266" spans="1:53" ht="22.5" customHeight="1">
      <c r="A266" s="64" t="s">
        <v>241</v>
      </c>
      <c r="B266" s="52" t="s">
        <v>64</v>
      </c>
      <c r="C266" s="53">
        <v>4016762</v>
      </c>
      <c r="D266" s="65" t="s">
        <v>420</v>
      </c>
      <c r="E266" s="65" t="s">
        <v>426</v>
      </c>
      <c r="F266" s="55">
        <v>1599</v>
      </c>
      <c r="G266" s="56">
        <v>1099</v>
      </c>
      <c r="H266" s="56">
        <v>1099</v>
      </c>
      <c r="I266" s="56">
        <v>1099</v>
      </c>
      <c r="J266" s="56">
        <v>899</v>
      </c>
      <c r="K266" s="56">
        <v>799</v>
      </c>
      <c r="L266" s="56">
        <v>799</v>
      </c>
      <c r="M266" s="56">
        <v>899</v>
      </c>
      <c r="N266" s="56">
        <v>799</v>
      </c>
      <c r="O266" s="56">
        <v>749</v>
      </c>
      <c r="P266" s="56">
        <v>749</v>
      </c>
      <c r="Q266" s="56">
        <v>699</v>
      </c>
      <c r="R266" s="56">
        <v>749</v>
      </c>
      <c r="S266" s="56">
        <v>749</v>
      </c>
      <c r="T266" s="56">
        <v>699</v>
      </c>
      <c r="U266" s="56">
        <v>699</v>
      </c>
      <c r="V266" s="56">
        <v>699</v>
      </c>
      <c r="W266" s="56">
        <v>699</v>
      </c>
      <c r="X266" s="56">
        <v>699</v>
      </c>
      <c r="Y266" s="56">
        <v>699</v>
      </c>
      <c r="Z266" s="56">
        <v>699</v>
      </c>
      <c r="AA266" s="56">
        <v>699</v>
      </c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7"/>
      <c r="AW266" s="58" t="s">
        <v>67</v>
      </c>
      <c r="AX266" s="59" t="s">
        <v>68</v>
      </c>
      <c r="AY266" s="60">
        <f t="shared" si="20"/>
        <v>22.1998</v>
      </c>
      <c r="AZ266" s="60">
        <f t="shared" si="21"/>
        <v>20.001799999999999</v>
      </c>
      <c r="BA266" s="61">
        <f t="shared" si="22"/>
        <v>11.319700000000001</v>
      </c>
    </row>
    <row r="267" spans="1:53" ht="22.5" customHeight="1">
      <c r="A267" s="64" t="s">
        <v>241</v>
      </c>
      <c r="B267" s="52" t="s">
        <v>64</v>
      </c>
      <c r="C267" s="53">
        <v>4016667</v>
      </c>
      <c r="D267" s="65" t="s">
        <v>427</v>
      </c>
      <c r="E267" s="65" t="s">
        <v>428</v>
      </c>
      <c r="F267" s="55">
        <v>1899</v>
      </c>
      <c r="G267" s="56">
        <v>1499</v>
      </c>
      <c r="H267" s="56">
        <v>1499</v>
      </c>
      <c r="I267" s="56">
        <v>1499</v>
      </c>
      <c r="J267" s="56">
        <v>1099</v>
      </c>
      <c r="K267" s="56">
        <v>1099</v>
      </c>
      <c r="L267" s="56">
        <v>1099</v>
      </c>
      <c r="M267" s="56">
        <v>1099</v>
      </c>
      <c r="N267" s="56">
        <v>1099</v>
      </c>
      <c r="O267" s="56">
        <v>999</v>
      </c>
      <c r="P267" s="56">
        <v>999</v>
      </c>
      <c r="Q267" s="56">
        <v>999</v>
      </c>
      <c r="R267" s="56">
        <v>999</v>
      </c>
      <c r="S267" s="56">
        <v>999</v>
      </c>
      <c r="T267" s="56">
        <v>999</v>
      </c>
      <c r="U267" s="56">
        <v>999</v>
      </c>
      <c r="V267" s="56">
        <v>999</v>
      </c>
      <c r="W267" s="56">
        <v>999</v>
      </c>
      <c r="X267" s="56">
        <v>999</v>
      </c>
      <c r="Y267" s="56">
        <v>999</v>
      </c>
      <c r="Z267" s="56">
        <v>999</v>
      </c>
      <c r="AA267" s="56">
        <v>999</v>
      </c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7"/>
      <c r="AW267" s="58" t="s">
        <v>67</v>
      </c>
      <c r="AX267" s="59" t="s">
        <v>68</v>
      </c>
      <c r="AY267" s="60">
        <f t="shared" si="20"/>
        <v>30.279799999999998</v>
      </c>
      <c r="AZ267" s="60">
        <f t="shared" si="21"/>
        <v>27.2818</v>
      </c>
      <c r="BA267" s="61">
        <f t="shared" si="22"/>
        <v>15.4397</v>
      </c>
    </row>
    <row r="268" spans="1:53" ht="22.5" customHeight="1">
      <c r="A268" s="64" t="s">
        <v>241</v>
      </c>
      <c r="B268" s="52" t="s">
        <v>64</v>
      </c>
      <c r="C268" s="53">
        <v>4016713</v>
      </c>
      <c r="D268" s="65" t="s">
        <v>427</v>
      </c>
      <c r="E268" s="65" t="s">
        <v>429</v>
      </c>
      <c r="F268" s="55">
        <v>1899</v>
      </c>
      <c r="G268" s="56">
        <v>1499</v>
      </c>
      <c r="H268" s="56">
        <v>1499</v>
      </c>
      <c r="I268" s="56">
        <v>1499</v>
      </c>
      <c r="J268" s="56">
        <v>1099</v>
      </c>
      <c r="K268" s="56">
        <v>1099</v>
      </c>
      <c r="L268" s="56">
        <v>1099</v>
      </c>
      <c r="M268" s="56">
        <v>1099</v>
      </c>
      <c r="N268" s="56">
        <v>1099</v>
      </c>
      <c r="O268" s="56">
        <v>999</v>
      </c>
      <c r="P268" s="56">
        <v>999</v>
      </c>
      <c r="Q268" s="56">
        <v>999</v>
      </c>
      <c r="R268" s="56">
        <v>999</v>
      </c>
      <c r="S268" s="56">
        <v>999</v>
      </c>
      <c r="T268" s="56">
        <v>999</v>
      </c>
      <c r="U268" s="56">
        <v>999</v>
      </c>
      <c r="V268" s="56">
        <v>999</v>
      </c>
      <c r="W268" s="56">
        <v>999</v>
      </c>
      <c r="X268" s="56">
        <v>999</v>
      </c>
      <c r="Y268" s="56">
        <v>999</v>
      </c>
      <c r="Z268" s="56">
        <v>999</v>
      </c>
      <c r="AA268" s="56">
        <v>999</v>
      </c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7"/>
      <c r="AW268" s="58" t="s">
        <v>67</v>
      </c>
      <c r="AX268" s="59" t="s">
        <v>68</v>
      </c>
      <c r="AY268" s="60">
        <f t="shared" si="20"/>
        <v>30.279799999999998</v>
      </c>
      <c r="AZ268" s="60">
        <f t="shared" si="21"/>
        <v>27.2818</v>
      </c>
      <c r="BA268" s="61">
        <f t="shared" si="22"/>
        <v>15.4397</v>
      </c>
    </row>
    <row r="269" spans="1:53" ht="22.5" customHeight="1">
      <c r="A269" s="64" t="s">
        <v>241</v>
      </c>
      <c r="B269" s="52" t="s">
        <v>64</v>
      </c>
      <c r="C269" s="53">
        <v>4016669</v>
      </c>
      <c r="D269" s="65" t="s">
        <v>427</v>
      </c>
      <c r="E269" s="65" t="s">
        <v>430</v>
      </c>
      <c r="F269" s="55">
        <v>1899</v>
      </c>
      <c r="G269" s="56">
        <v>1499</v>
      </c>
      <c r="H269" s="56">
        <v>1499</v>
      </c>
      <c r="I269" s="56">
        <v>1499</v>
      </c>
      <c r="J269" s="56">
        <v>1099</v>
      </c>
      <c r="K269" s="56">
        <v>1099</v>
      </c>
      <c r="L269" s="56">
        <v>1099</v>
      </c>
      <c r="M269" s="56">
        <v>1099</v>
      </c>
      <c r="N269" s="56">
        <v>1099</v>
      </c>
      <c r="O269" s="56">
        <v>999</v>
      </c>
      <c r="P269" s="56">
        <v>999</v>
      </c>
      <c r="Q269" s="56">
        <v>999</v>
      </c>
      <c r="R269" s="56">
        <v>999</v>
      </c>
      <c r="S269" s="56">
        <v>999</v>
      </c>
      <c r="T269" s="56">
        <v>999</v>
      </c>
      <c r="U269" s="56">
        <v>999</v>
      </c>
      <c r="V269" s="56">
        <v>999</v>
      </c>
      <c r="W269" s="56">
        <v>999</v>
      </c>
      <c r="X269" s="56">
        <v>999</v>
      </c>
      <c r="Y269" s="56">
        <v>999</v>
      </c>
      <c r="Z269" s="56">
        <v>999</v>
      </c>
      <c r="AA269" s="56">
        <v>999</v>
      </c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7"/>
      <c r="AW269" s="58" t="s">
        <v>67</v>
      </c>
      <c r="AX269" s="59" t="s">
        <v>68</v>
      </c>
      <c r="AY269" s="60">
        <f t="shared" si="20"/>
        <v>30.279799999999998</v>
      </c>
      <c r="AZ269" s="60">
        <f t="shared" si="21"/>
        <v>27.2818</v>
      </c>
      <c r="BA269" s="61">
        <f t="shared" si="22"/>
        <v>15.4397</v>
      </c>
    </row>
    <row r="270" spans="1:53" ht="22.5" customHeight="1">
      <c r="A270" s="64" t="s">
        <v>241</v>
      </c>
      <c r="B270" s="52" t="s">
        <v>64</v>
      </c>
      <c r="C270" s="53">
        <v>4016715</v>
      </c>
      <c r="D270" s="65" t="s">
        <v>427</v>
      </c>
      <c r="E270" s="65" t="s">
        <v>431</v>
      </c>
      <c r="F270" s="55">
        <v>1899</v>
      </c>
      <c r="G270" s="56">
        <v>1499</v>
      </c>
      <c r="H270" s="56">
        <v>1499</v>
      </c>
      <c r="I270" s="56">
        <v>1499</v>
      </c>
      <c r="J270" s="56">
        <v>1099</v>
      </c>
      <c r="K270" s="56">
        <v>1099</v>
      </c>
      <c r="L270" s="56">
        <v>1099</v>
      </c>
      <c r="M270" s="56">
        <v>1099</v>
      </c>
      <c r="N270" s="56">
        <v>1099</v>
      </c>
      <c r="O270" s="56">
        <v>999</v>
      </c>
      <c r="P270" s="56">
        <v>999</v>
      </c>
      <c r="Q270" s="56">
        <v>999</v>
      </c>
      <c r="R270" s="56">
        <v>999</v>
      </c>
      <c r="S270" s="56">
        <v>999</v>
      </c>
      <c r="T270" s="56">
        <v>999</v>
      </c>
      <c r="U270" s="56">
        <v>999</v>
      </c>
      <c r="V270" s="56">
        <v>999</v>
      </c>
      <c r="W270" s="56">
        <v>999</v>
      </c>
      <c r="X270" s="56">
        <v>999</v>
      </c>
      <c r="Y270" s="56">
        <v>999</v>
      </c>
      <c r="Z270" s="56">
        <v>999</v>
      </c>
      <c r="AA270" s="56">
        <v>999</v>
      </c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7"/>
      <c r="AW270" s="58" t="s">
        <v>67</v>
      </c>
      <c r="AX270" s="59" t="s">
        <v>68</v>
      </c>
      <c r="AY270" s="60">
        <f t="shared" si="20"/>
        <v>30.279799999999998</v>
      </c>
      <c r="AZ270" s="60">
        <f t="shared" si="21"/>
        <v>27.2818</v>
      </c>
      <c r="BA270" s="61">
        <f t="shared" si="22"/>
        <v>15.4397</v>
      </c>
    </row>
    <row r="271" spans="1:53" ht="22.5" customHeight="1">
      <c r="A271" s="64" t="s">
        <v>241</v>
      </c>
      <c r="B271" s="52" t="s">
        <v>64</v>
      </c>
      <c r="C271" s="53">
        <v>4017357</v>
      </c>
      <c r="D271" s="65" t="s">
        <v>432</v>
      </c>
      <c r="E271" s="65" t="s">
        <v>433</v>
      </c>
      <c r="F271" s="55">
        <v>1399</v>
      </c>
      <c r="G271" s="55">
        <v>1299</v>
      </c>
      <c r="H271" s="55">
        <v>1299</v>
      </c>
      <c r="I271" s="55">
        <v>1299</v>
      </c>
      <c r="J271" s="55">
        <v>1199</v>
      </c>
      <c r="K271" s="55">
        <v>1099</v>
      </c>
      <c r="L271" s="55">
        <v>1099</v>
      </c>
      <c r="M271" s="55">
        <v>1199</v>
      </c>
      <c r="N271" s="55">
        <v>1099</v>
      </c>
      <c r="O271" s="55">
        <v>1049</v>
      </c>
      <c r="P271" s="56">
        <v>999</v>
      </c>
      <c r="Q271" s="56">
        <v>999</v>
      </c>
      <c r="R271" s="55">
        <v>999</v>
      </c>
      <c r="S271" s="55">
        <v>999</v>
      </c>
      <c r="T271" s="55">
        <v>999</v>
      </c>
      <c r="U271" s="55">
        <v>999</v>
      </c>
      <c r="V271" s="55">
        <v>999</v>
      </c>
      <c r="W271" s="55">
        <v>999</v>
      </c>
      <c r="X271" s="55">
        <v>999</v>
      </c>
      <c r="Y271" s="55">
        <v>899</v>
      </c>
      <c r="Z271" s="55">
        <v>899</v>
      </c>
      <c r="AA271" s="55">
        <v>899</v>
      </c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7"/>
      <c r="AW271" s="58" t="s">
        <v>67</v>
      </c>
      <c r="AX271" s="59" t="s">
        <v>247</v>
      </c>
      <c r="AY271" s="62">
        <f t="shared" si="20"/>
        <v>26.239799999999999</v>
      </c>
      <c r="AZ271" s="62">
        <f t="shared" si="21"/>
        <v>23.6418</v>
      </c>
      <c r="BA271" s="63">
        <f t="shared" si="22"/>
        <v>13.3797</v>
      </c>
    </row>
    <row r="272" spans="1:53" ht="22.5" customHeight="1">
      <c r="A272" s="64" t="s">
        <v>241</v>
      </c>
      <c r="B272" s="52" t="s">
        <v>64</v>
      </c>
      <c r="C272" s="53">
        <v>4017377</v>
      </c>
      <c r="D272" s="65" t="s">
        <v>432</v>
      </c>
      <c r="E272" s="65" t="s">
        <v>434</v>
      </c>
      <c r="F272" s="55">
        <v>1399</v>
      </c>
      <c r="G272" s="55">
        <v>1299</v>
      </c>
      <c r="H272" s="55">
        <v>1299</v>
      </c>
      <c r="I272" s="55">
        <v>1299</v>
      </c>
      <c r="J272" s="55">
        <v>1199</v>
      </c>
      <c r="K272" s="55">
        <v>1099</v>
      </c>
      <c r="L272" s="55">
        <v>1099</v>
      </c>
      <c r="M272" s="55">
        <v>1199</v>
      </c>
      <c r="N272" s="55">
        <v>1099</v>
      </c>
      <c r="O272" s="55">
        <v>1049</v>
      </c>
      <c r="P272" s="56">
        <v>999</v>
      </c>
      <c r="Q272" s="56">
        <v>999</v>
      </c>
      <c r="R272" s="55">
        <v>999</v>
      </c>
      <c r="S272" s="55">
        <v>999</v>
      </c>
      <c r="T272" s="55">
        <v>999</v>
      </c>
      <c r="U272" s="55">
        <v>999</v>
      </c>
      <c r="V272" s="55">
        <v>999</v>
      </c>
      <c r="W272" s="55">
        <v>999</v>
      </c>
      <c r="X272" s="55">
        <v>999</v>
      </c>
      <c r="Y272" s="55">
        <v>899</v>
      </c>
      <c r="Z272" s="55">
        <v>899</v>
      </c>
      <c r="AA272" s="55">
        <v>899</v>
      </c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7"/>
      <c r="AW272" s="58" t="s">
        <v>67</v>
      </c>
      <c r="AX272" s="59" t="s">
        <v>247</v>
      </c>
      <c r="AY272" s="62">
        <f t="shared" si="20"/>
        <v>26.239799999999999</v>
      </c>
      <c r="AZ272" s="62">
        <f t="shared" si="21"/>
        <v>23.6418</v>
      </c>
      <c r="BA272" s="63">
        <f t="shared" si="22"/>
        <v>13.3797</v>
      </c>
    </row>
    <row r="273" spans="1:53" ht="22.5" customHeight="1">
      <c r="A273" s="64" t="s">
        <v>241</v>
      </c>
      <c r="B273" s="52" t="s">
        <v>64</v>
      </c>
      <c r="C273" s="53">
        <v>4017363</v>
      </c>
      <c r="D273" s="65" t="s">
        <v>432</v>
      </c>
      <c r="E273" s="65" t="s">
        <v>435</v>
      </c>
      <c r="F273" s="55">
        <v>1399</v>
      </c>
      <c r="G273" s="55">
        <v>1299</v>
      </c>
      <c r="H273" s="55">
        <v>1299</v>
      </c>
      <c r="I273" s="55">
        <v>1299</v>
      </c>
      <c r="J273" s="55">
        <v>1199</v>
      </c>
      <c r="K273" s="55">
        <v>1099</v>
      </c>
      <c r="L273" s="55">
        <v>1099</v>
      </c>
      <c r="M273" s="55">
        <v>1199</v>
      </c>
      <c r="N273" s="55">
        <v>1099</v>
      </c>
      <c r="O273" s="55">
        <v>1049</v>
      </c>
      <c r="P273" s="56">
        <v>999</v>
      </c>
      <c r="Q273" s="56">
        <v>999</v>
      </c>
      <c r="R273" s="55">
        <v>999</v>
      </c>
      <c r="S273" s="55">
        <v>999</v>
      </c>
      <c r="T273" s="55">
        <v>999</v>
      </c>
      <c r="U273" s="55">
        <v>999</v>
      </c>
      <c r="V273" s="55">
        <v>999</v>
      </c>
      <c r="W273" s="55">
        <v>999</v>
      </c>
      <c r="X273" s="55">
        <v>999</v>
      </c>
      <c r="Y273" s="55">
        <v>899</v>
      </c>
      <c r="Z273" s="55">
        <v>899</v>
      </c>
      <c r="AA273" s="55">
        <v>899</v>
      </c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7"/>
      <c r="AW273" s="58" t="s">
        <v>67</v>
      </c>
      <c r="AX273" s="59" t="s">
        <v>247</v>
      </c>
      <c r="AY273" s="62">
        <f t="shared" si="20"/>
        <v>26.239799999999999</v>
      </c>
      <c r="AZ273" s="62">
        <f t="shared" si="21"/>
        <v>23.6418</v>
      </c>
      <c r="BA273" s="63">
        <f t="shared" si="22"/>
        <v>13.3797</v>
      </c>
    </row>
    <row r="274" spans="1:53" ht="22.5" customHeight="1">
      <c r="A274" s="64" t="s">
        <v>241</v>
      </c>
      <c r="B274" s="52" t="s">
        <v>64</v>
      </c>
      <c r="C274" s="53">
        <v>4017383</v>
      </c>
      <c r="D274" s="65" t="s">
        <v>432</v>
      </c>
      <c r="E274" s="65" t="s">
        <v>436</v>
      </c>
      <c r="F274" s="55">
        <v>1399</v>
      </c>
      <c r="G274" s="55">
        <v>1299</v>
      </c>
      <c r="H274" s="55">
        <v>1299</v>
      </c>
      <c r="I274" s="55">
        <v>1299</v>
      </c>
      <c r="J274" s="55">
        <v>1199</v>
      </c>
      <c r="K274" s="55">
        <v>1099</v>
      </c>
      <c r="L274" s="55">
        <v>1099</v>
      </c>
      <c r="M274" s="55">
        <v>1199</v>
      </c>
      <c r="N274" s="55">
        <v>1099</v>
      </c>
      <c r="O274" s="55">
        <v>1049</v>
      </c>
      <c r="P274" s="56">
        <v>999</v>
      </c>
      <c r="Q274" s="56">
        <v>999</v>
      </c>
      <c r="R274" s="55">
        <v>999</v>
      </c>
      <c r="S274" s="55">
        <v>999</v>
      </c>
      <c r="T274" s="55">
        <v>999</v>
      </c>
      <c r="U274" s="55">
        <v>999</v>
      </c>
      <c r="V274" s="55">
        <v>999</v>
      </c>
      <c r="W274" s="55">
        <v>999</v>
      </c>
      <c r="X274" s="55">
        <v>999</v>
      </c>
      <c r="Y274" s="55">
        <v>899</v>
      </c>
      <c r="Z274" s="55">
        <v>899</v>
      </c>
      <c r="AA274" s="55">
        <v>899</v>
      </c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7"/>
      <c r="AW274" s="58" t="s">
        <v>67</v>
      </c>
      <c r="AX274" s="59" t="s">
        <v>247</v>
      </c>
      <c r="AY274" s="62">
        <f t="shared" si="20"/>
        <v>26.239799999999999</v>
      </c>
      <c r="AZ274" s="62">
        <f t="shared" si="21"/>
        <v>23.6418</v>
      </c>
      <c r="BA274" s="63">
        <f t="shared" si="22"/>
        <v>13.3797</v>
      </c>
    </row>
    <row r="275" spans="1:53" ht="22.5" customHeight="1">
      <c r="A275" s="64" t="s">
        <v>241</v>
      </c>
      <c r="B275" s="52" t="s">
        <v>64</v>
      </c>
      <c r="C275" s="53">
        <v>4017358</v>
      </c>
      <c r="D275" s="65" t="s">
        <v>437</v>
      </c>
      <c r="E275" s="65" t="s">
        <v>438</v>
      </c>
      <c r="F275" s="55">
        <v>1699</v>
      </c>
      <c r="G275" s="55">
        <v>1299</v>
      </c>
      <c r="H275" s="55">
        <v>1299</v>
      </c>
      <c r="I275" s="55">
        <v>1299</v>
      </c>
      <c r="J275" s="55">
        <v>1199</v>
      </c>
      <c r="K275" s="55">
        <v>1149</v>
      </c>
      <c r="L275" s="55">
        <v>1149</v>
      </c>
      <c r="M275" s="55">
        <v>1199</v>
      </c>
      <c r="N275" s="55">
        <v>1149</v>
      </c>
      <c r="O275" s="55">
        <v>1099</v>
      </c>
      <c r="P275" s="56">
        <v>1049</v>
      </c>
      <c r="Q275" s="56">
        <v>999</v>
      </c>
      <c r="R275" s="55">
        <v>1099</v>
      </c>
      <c r="S275" s="56">
        <v>1049</v>
      </c>
      <c r="T275" s="55">
        <v>999</v>
      </c>
      <c r="U275" s="55">
        <v>999</v>
      </c>
      <c r="V275" s="55">
        <v>999</v>
      </c>
      <c r="W275" s="55">
        <v>999</v>
      </c>
      <c r="X275" s="55">
        <v>999</v>
      </c>
      <c r="Y275" s="55">
        <v>899</v>
      </c>
      <c r="Z275" s="55">
        <v>899</v>
      </c>
      <c r="AA275" s="55">
        <v>899</v>
      </c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7"/>
      <c r="AW275" s="58" t="s">
        <v>67</v>
      </c>
      <c r="AX275" s="59" t="s">
        <v>68</v>
      </c>
      <c r="AY275" s="62">
        <f t="shared" si="20"/>
        <v>26.239799999999999</v>
      </c>
      <c r="AZ275" s="62">
        <f t="shared" si="21"/>
        <v>23.6418</v>
      </c>
      <c r="BA275" s="63">
        <f t="shared" si="22"/>
        <v>13.3797</v>
      </c>
    </row>
    <row r="276" spans="1:53" ht="22.5" customHeight="1">
      <c r="A276" s="64" t="s">
        <v>241</v>
      </c>
      <c r="B276" s="52" t="s">
        <v>64</v>
      </c>
      <c r="C276" s="53">
        <v>4017365</v>
      </c>
      <c r="D276" s="65" t="s">
        <v>437</v>
      </c>
      <c r="E276" s="65" t="s">
        <v>439</v>
      </c>
      <c r="F276" s="55">
        <v>1699</v>
      </c>
      <c r="G276" s="55">
        <v>1299</v>
      </c>
      <c r="H276" s="55">
        <v>1299</v>
      </c>
      <c r="I276" s="55">
        <v>1299</v>
      </c>
      <c r="J276" s="55">
        <v>1199</v>
      </c>
      <c r="K276" s="55">
        <v>1149</v>
      </c>
      <c r="L276" s="55">
        <v>1149</v>
      </c>
      <c r="M276" s="55">
        <v>1199</v>
      </c>
      <c r="N276" s="55">
        <v>1149</v>
      </c>
      <c r="O276" s="55">
        <v>1099</v>
      </c>
      <c r="P276" s="56">
        <v>1049</v>
      </c>
      <c r="Q276" s="56">
        <v>999</v>
      </c>
      <c r="R276" s="55">
        <v>1099</v>
      </c>
      <c r="S276" s="56">
        <v>1049</v>
      </c>
      <c r="T276" s="55">
        <v>999</v>
      </c>
      <c r="U276" s="55">
        <v>999</v>
      </c>
      <c r="V276" s="55">
        <v>999</v>
      </c>
      <c r="W276" s="55">
        <v>999</v>
      </c>
      <c r="X276" s="55">
        <v>999</v>
      </c>
      <c r="Y276" s="55">
        <v>899</v>
      </c>
      <c r="Z276" s="55">
        <v>899</v>
      </c>
      <c r="AA276" s="55">
        <v>899</v>
      </c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7"/>
      <c r="AW276" s="58" t="s">
        <v>67</v>
      </c>
      <c r="AX276" s="59" t="s">
        <v>68</v>
      </c>
      <c r="AY276" s="62">
        <f t="shared" si="20"/>
        <v>26.239799999999999</v>
      </c>
      <c r="AZ276" s="62">
        <f t="shared" si="21"/>
        <v>23.6418</v>
      </c>
      <c r="BA276" s="63">
        <f t="shared" si="22"/>
        <v>13.3797</v>
      </c>
    </row>
    <row r="277" spans="1:53" ht="22.5" customHeight="1">
      <c r="A277" s="64" t="s">
        <v>241</v>
      </c>
      <c r="B277" s="52" t="s">
        <v>64</v>
      </c>
      <c r="C277" s="53">
        <v>4017378</v>
      </c>
      <c r="D277" s="65" t="s">
        <v>437</v>
      </c>
      <c r="E277" s="65" t="s">
        <v>440</v>
      </c>
      <c r="F277" s="55">
        <v>1699</v>
      </c>
      <c r="G277" s="55">
        <v>1299</v>
      </c>
      <c r="H277" s="55">
        <v>1299</v>
      </c>
      <c r="I277" s="55">
        <v>1299</v>
      </c>
      <c r="J277" s="55">
        <v>1199</v>
      </c>
      <c r="K277" s="55">
        <v>1149</v>
      </c>
      <c r="L277" s="55">
        <v>1149</v>
      </c>
      <c r="M277" s="55">
        <v>1199</v>
      </c>
      <c r="N277" s="55">
        <v>1149</v>
      </c>
      <c r="O277" s="55">
        <v>1099</v>
      </c>
      <c r="P277" s="56">
        <v>1049</v>
      </c>
      <c r="Q277" s="56">
        <v>999</v>
      </c>
      <c r="R277" s="55">
        <v>1099</v>
      </c>
      <c r="S277" s="56">
        <v>1049</v>
      </c>
      <c r="T277" s="55">
        <v>999</v>
      </c>
      <c r="U277" s="55">
        <v>999</v>
      </c>
      <c r="V277" s="55">
        <v>999</v>
      </c>
      <c r="W277" s="55">
        <v>999</v>
      </c>
      <c r="X277" s="55">
        <v>999</v>
      </c>
      <c r="Y277" s="55">
        <v>899</v>
      </c>
      <c r="Z277" s="55">
        <v>899</v>
      </c>
      <c r="AA277" s="55">
        <v>899</v>
      </c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7"/>
      <c r="AW277" s="58" t="s">
        <v>67</v>
      </c>
      <c r="AX277" s="59" t="s">
        <v>68</v>
      </c>
      <c r="AY277" s="62">
        <f t="shared" si="20"/>
        <v>26.239799999999999</v>
      </c>
      <c r="AZ277" s="62">
        <f t="shared" si="21"/>
        <v>23.6418</v>
      </c>
      <c r="BA277" s="63">
        <f t="shared" si="22"/>
        <v>13.3797</v>
      </c>
    </row>
    <row r="278" spans="1:53" ht="22.5" customHeight="1">
      <c r="A278" s="64" t="s">
        <v>241</v>
      </c>
      <c r="B278" s="52" t="s">
        <v>64</v>
      </c>
      <c r="C278" s="53">
        <v>4017384</v>
      </c>
      <c r="D278" s="65" t="s">
        <v>437</v>
      </c>
      <c r="E278" s="65" t="s">
        <v>441</v>
      </c>
      <c r="F278" s="55">
        <v>1699</v>
      </c>
      <c r="G278" s="55">
        <v>1299</v>
      </c>
      <c r="H278" s="55">
        <v>1299</v>
      </c>
      <c r="I278" s="55">
        <v>1299</v>
      </c>
      <c r="J278" s="55">
        <v>1199</v>
      </c>
      <c r="K278" s="55">
        <v>1149</v>
      </c>
      <c r="L278" s="55">
        <v>1149</v>
      </c>
      <c r="M278" s="55">
        <v>1199</v>
      </c>
      <c r="N278" s="55">
        <v>1149</v>
      </c>
      <c r="O278" s="55">
        <v>1099</v>
      </c>
      <c r="P278" s="56">
        <v>1049</v>
      </c>
      <c r="Q278" s="56">
        <v>999</v>
      </c>
      <c r="R278" s="55">
        <v>1099</v>
      </c>
      <c r="S278" s="56">
        <v>1049</v>
      </c>
      <c r="T278" s="55">
        <v>999</v>
      </c>
      <c r="U278" s="55">
        <v>999</v>
      </c>
      <c r="V278" s="55">
        <v>999</v>
      </c>
      <c r="W278" s="55">
        <v>999</v>
      </c>
      <c r="X278" s="55">
        <v>999</v>
      </c>
      <c r="Y278" s="55">
        <v>899</v>
      </c>
      <c r="Z278" s="55">
        <v>899</v>
      </c>
      <c r="AA278" s="55">
        <v>899</v>
      </c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7"/>
      <c r="AW278" s="58" t="s">
        <v>67</v>
      </c>
      <c r="AX278" s="59" t="s">
        <v>68</v>
      </c>
      <c r="AY278" s="62">
        <f t="shared" si="20"/>
        <v>26.239799999999999</v>
      </c>
      <c r="AZ278" s="62">
        <f t="shared" si="21"/>
        <v>23.6418</v>
      </c>
      <c r="BA278" s="63">
        <f t="shared" si="22"/>
        <v>13.3797</v>
      </c>
    </row>
    <row r="279" spans="1:53" ht="22.5" customHeight="1">
      <c r="A279" s="64" t="s">
        <v>241</v>
      </c>
      <c r="B279" s="52" t="s">
        <v>64</v>
      </c>
      <c r="C279" s="53">
        <v>4017371</v>
      </c>
      <c r="D279" s="65" t="s">
        <v>437</v>
      </c>
      <c r="E279" s="65" t="s">
        <v>442</v>
      </c>
      <c r="F279" s="55">
        <v>1699</v>
      </c>
      <c r="G279" s="55">
        <v>1299</v>
      </c>
      <c r="H279" s="55">
        <v>1299</v>
      </c>
      <c r="I279" s="55">
        <v>1299</v>
      </c>
      <c r="J279" s="55">
        <v>1199</v>
      </c>
      <c r="K279" s="55">
        <v>1149</v>
      </c>
      <c r="L279" s="55">
        <v>1149</v>
      </c>
      <c r="M279" s="55">
        <v>1199</v>
      </c>
      <c r="N279" s="55">
        <v>1149</v>
      </c>
      <c r="O279" s="55">
        <v>1099</v>
      </c>
      <c r="P279" s="56">
        <v>1049</v>
      </c>
      <c r="Q279" s="56">
        <v>999</v>
      </c>
      <c r="R279" s="55">
        <v>1099</v>
      </c>
      <c r="S279" s="56">
        <v>1049</v>
      </c>
      <c r="T279" s="55">
        <v>999</v>
      </c>
      <c r="U279" s="55">
        <v>999</v>
      </c>
      <c r="V279" s="55">
        <v>999</v>
      </c>
      <c r="W279" s="55">
        <v>999</v>
      </c>
      <c r="X279" s="55">
        <v>999</v>
      </c>
      <c r="Y279" s="55">
        <v>899</v>
      </c>
      <c r="Z279" s="55">
        <v>899</v>
      </c>
      <c r="AA279" s="55">
        <v>899</v>
      </c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7"/>
      <c r="AW279" s="58" t="s">
        <v>67</v>
      </c>
      <c r="AX279" s="59" t="s">
        <v>68</v>
      </c>
      <c r="AY279" s="62">
        <f t="shared" si="20"/>
        <v>26.239799999999999</v>
      </c>
      <c r="AZ279" s="62">
        <f t="shared" si="21"/>
        <v>23.6418</v>
      </c>
      <c r="BA279" s="63">
        <f t="shared" si="22"/>
        <v>13.3797</v>
      </c>
    </row>
    <row r="280" spans="1:53" ht="22.5" customHeight="1">
      <c r="A280" s="64" t="s">
        <v>241</v>
      </c>
      <c r="B280" s="52" t="s">
        <v>64</v>
      </c>
      <c r="C280" s="53">
        <v>4017350</v>
      </c>
      <c r="D280" s="65" t="s">
        <v>437</v>
      </c>
      <c r="E280" s="65" t="s">
        <v>443</v>
      </c>
      <c r="F280" s="55">
        <v>1699</v>
      </c>
      <c r="G280" s="55">
        <v>1299</v>
      </c>
      <c r="H280" s="55">
        <v>1299</v>
      </c>
      <c r="I280" s="55">
        <v>1299</v>
      </c>
      <c r="J280" s="55">
        <v>1199</v>
      </c>
      <c r="K280" s="55">
        <v>1149</v>
      </c>
      <c r="L280" s="55">
        <v>1149</v>
      </c>
      <c r="M280" s="55">
        <v>1199</v>
      </c>
      <c r="N280" s="55">
        <v>1149</v>
      </c>
      <c r="O280" s="55">
        <v>1099</v>
      </c>
      <c r="P280" s="56">
        <v>1049</v>
      </c>
      <c r="Q280" s="56">
        <v>999</v>
      </c>
      <c r="R280" s="55">
        <v>1099</v>
      </c>
      <c r="S280" s="56">
        <v>1049</v>
      </c>
      <c r="T280" s="55">
        <v>999</v>
      </c>
      <c r="U280" s="55">
        <v>999</v>
      </c>
      <c r="V280" s="55">
        <v>999</v>
      </c>
      <c r="W280" s="55">
        <v>999</v>
      </c>
      <c r="X280" s="55">
        <v>999</v>
      </c>
      <c r="Y280" s="55">
        <v>899</v>
      </c>
      <c r="Z280" s="55">
        <v>899</v>
      </c>
      <c r="AA280" s="55">
        <v>899</v>
      </c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7"/>
      <c r="AW280" s="58" t="s">
        <v>67</v>
      </c>
      <c r="AX280" s="59" t="s">
        <v>68</v>
      </c>
      <c r="AY280" s="62">
        <f t="shared" si="20"/>
        <v>26.239799999999999</v>
      </c>
      <c r="AZ280" s="62">
        <f t="shared" si="21"/>
        <v>23.6418</v>
      </c>
      <c r="BA280" s="63">
        <f t="shared" si="22"/>
        <v>13.3797</v>
      </c>
    </row>
    <row r="281" spans="1:53" ht="22.5" customHeight="1">
      <c r="A281" s="64" t="s">
        <v>241</v>
      </c>
      <c r="B281" s="52" t="s">
        <v>64</v>
      </c>
      <c r="C281" s="53">
        <v>4017360</v>
      </c>
      <c r="D281" s="65" t="s">
        <v>437</v>
      </c>
      <c r="E281" s="65" t="s">
        <v>444</v>
      </c>
      <c r="F281" s="55">
        <v>1699</v>
      </c>
      <c r="G281" s="55">
        <v>1299</v>
      </c>
      <c r="H281" s="55">
        <v>1299</v>
      </c>
      <c r="I281" s="55">
        <v>1299</v>
      </c>
      <c r="J281" s="55">
        <v>1199</v>
      </c>
      <c r="K281" s="55">
        <v>1149</v>
      </c>
      <c r="L281" s="55">
        <v>1149</v>
      </c>
      <c r="M281" s="55">
        <v>1199</v>
      </c>
      <c r="N281" s="55">
        <v>1149</v>
      </c>
      <c r="O281" s="55">
        <v>1099</v>
      </c>
      <c r="P281" s="56">
        <v>1049</v>
      </c>
      <c r="Q281" s="56">
        <v>999</v>
      </c>
      <c r="R281" s="55">
        <v>1099</v>
      </c>
      <c r="S281" s="56">
        <v>1049</v>
      </c>
      <c r="T281" s="55">
        <v>999</v>
      </c>
      <c r="U281" s="55">
        <v>999</v>
      </c>
      <c r="V281" s="55">
        <v>999</v>
      </c>
      <c r="W281" s="55">
        <v>999</v>
      </c>
      <c r="X281" s="55">
        <v>999</v>
      </c>
      <c r="Y281" s="55">
        <v>899</v>
      </c>
      <c r="Z281" s="55">
        <v>899</v>
      </c>
      <c r="AA281" s="55">
        <v>899</v>
      </c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7"/>
      <c r="AW281" s="58" t="s">
        <v>67</v>
      </c>
      <c r="AX281" s="59" t="s">
        <v>68</v>
      </c>
      <c r="AY281" s="62">
        <f t="shared" si="20"/>
        <v>26.239799999999999</v>
      </c>
      <c r="AZ281" s="62">
        <f t="shared" si="21"/>
        <v>23.6418</v>
      </c>
      <c r="BA281" s="63">
        <f t="shared" si="22"/>
        <v>13.3797</v>
      </c>
    </row>
    <row r="282" spans="1:53" ht="22.5" customHeight="1">
      <c r="A282" s="64" t="s">
        <v>241</v>
      </c>
      <c r="B282" s="52" t="s">
        <v>64</v>
      </c>
      <c r="C282" s="53">
        <v>4017352</v>
      </c>
      <c r="D282" s="65" t="s">
        <v>437</v>
      </c>
      <c r="E282" s="65" t="s">
        <v>445</v>
      </c>
      <c r="F282" s="55">
        <v>1699</v>
      </c>
      <c r="G282" s="55">
        <v>1299</v>
      </c>
      <c r="H282" s="55">
        <v>1299</v>
      </c>
      <c r="I282" s="55">
        <v>1299</v>
      </c>
      <c r="J282" s="55">
        <v>1199</v>
      </c>
      <c r="K282" s="55">
        <v>1149</v>
      </c>
      <c r="L282" s="55">
        <v>1149</v>
      </c>
      <c r="M282" s="55">
        <v>1199</v>
      </c>
      <c r="N282" s="55">
        <v>1149</v>
      </c>
      <c r="O282" s="55">
        <v>1099</v>
      </c>
      <c r="P282" s="56">
        <v>1049</v>
      </c>
      <c r="Q282" s="56">
        <v>999</v>
      </c>
      <c r="R282" s="55">
        <v>1099</v>
      </c>
      <c r="S282" s="56">
        <v>1049</v>
      </c>
      <c r="T282" s="55">
        <v>999</v>
      </c>
      <c r="U282" s="55">
        <v>999</v>
      </c>
      <c r="V282" s="55">
        <v>999</v>
      </c>
      <c r="W282" s="55">
        <v>999</v>
      </c>
      <c r="X282" s="55">
        <v>999</v>
      </c>
      <c r="Y282" s="55">
        <v>899</v>
      </c>
      <c r="Z282" s="55">
        <v>899</v>
      </c>
      <c r="AA282" s="55">
        <v>899</v>
      </c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7"/>
      <c r="AW282" s="58" t="s">
        <v>67</v>
      </c>
      <c r="AX282" s="59" t="s">
        <v>68</v>
      </c>
      <c r="AY282" s="62">
        <f t="shared" si="20"/>
        <v>26.239799999999999</v>
      </c>
      <c r="AZ282" s="62">
        <f t="shared" si="21"/>
        <v>23.6418</v>
      </c>
      <c r="BA282" s="63">
        <f t="shared" si="22"/>
        <v>13.3797</v>
      </c>
    </row>
    <row r="283" spans="1:53" ht="22.5" customHeight="1">
      <c r="A283" s="64" t="s">
        <v>241</v>
      </c>
      <c r="B283" s="52" t="s">
        <v>64</v>
      </c>
      <c r="C283" s="53">
        <v>4017359</v>
      </c>
      <c r="D283" s="65" t="s">
        <v>446</v>
      </c>
      <c r="E283" s="65" t="s">
        <v>447</v>
      </c>
      <c r="F283" s="55">
        <v>1849</v>
      </c>
      <c r="G283" s="55">
        <v>1599</v>
      </c>
      <c r="H283" s="55">
        <v>1599</v>
      </c>
      <c r="I283" s="55">
        <v>1599</v>
      </c>
      <c r="J283" s="55">
        <v>1499</v>
      </c>
      <c r="K283" s="55">
        <v>1499</v>
      </c>
      <c r="L283" s="55">
        <v>1499</v>
      </c>
      <c r="M283" s="55">
        <v>1499</v>
      </c>
      <c r="N283" s="55">
        <v>1499</v>
      </c>
      <c r="O283" s="55">
        <v>1349</v>
      </c>
      <c r="P283" s="56">
        <v>1349</v>
      </c>
      <c r="Q283" s="56">
        <v>1299</v>
      </c>
      <c r="R283" s="55">
        <v>1349</v>
      </c>
      <c r="S283" s="55">
        <v>1349</v>
      </c>
      <c r="T283" s="55">
        <v>1299</v>
      </c>
      <c r="U283" s="55">
        <v>1299</v>
      </c>
      <c r="V283" s="55">
        <v>1299</v>
      </c>
      <c r="W283" s="55">
        <v>1299</v>
      </c>
      <c r="X283" s="55">
        <v>1199</v>
      </c>
      <c r="Y283" s="55">
        <v>1099</v>
      </c>
      <c r="Z283" s="55">
        <v>1099</v>
      </c>
      <c r="AA283" s="55">
        <v>1099</v>
      </c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7"/>
      <c r="AW283" s="58" t="s">
        <v>67</v>
      </c>
      <c r="AX283" s="59" t="s">
        <v>68</v>
      </c>
      <c r="AY283" s="62">
        <f t="shared" si="20"/>
        <v>32.299799999999998</v>
      </c>
      <c r="AZ283" s="62">
        <f t="shared" si="21"/>
        <v>29.101800000000001</v>
      </c>
      <c r="BA283" s="63">
        <f t="shared" si="22"/>
        <v>16.4697</v>
      </c>
    </row>
    <row r="284" spans="1:53" ht="22.5" customHeight="1">
      <c r="A284" s="64" t="s">
        <v>241</v>
      </c>
      <c r="B284" s="52" t="s">
        <v>64</v>
      </c>
      <c r="C284" s="53">
        <v>4017366</v>
      </c>
      <c r="D284" s="65" t="s">
        <v>446</v>
      </c>
      <c r="E284" s="65" t="s">
        <v>448</v>
      </c>
      <c r="F284" s="55">
        <v>1849</v>
      </c>
      <c r="G284" s="55">
        <v>1599</v>
      </c>
      <c r="H284" s="55">
        <v>1599</v>
      </c>
      <c r="I284" s="55">
        <v>1599</v>
      </c>
      <c r="J284" s="55">
        <v>1499</v>
      </c>
      <c r="K284" s="55">
        <v>1499</v>
      </c>
      <c r="L284" s="55">
        <v>1499</v>
      </c>
      <c r="M284" s="55">
        <v>1499</v>
      </c>
      <c r="N284" s="55">
        <v>1499</v>
      </c>
      <c r="O284" s="55">
        <v>1349</v>
      </c>
      <c r="P284" s="56">
        <v>1349</v>
      </c>
      <c r="Q284" s="56">
        <v>1299</v>
      </c>
      <c r="R284" s="55">
        <v>1349</v>
      </c>
      <c r="S284" s="55">
        <v>1349</v>
      </c>
      <c r="T284" s="55">
        <v>1299</v>
      </c>
      <c r="U284" s="55">
        <v>1299</v>
      </c>
      <c r="V284" s="55">
        <v>1299</v>
      </c>
      <c r="W284" s="55">
        <v>1299</v>
      </c>
      <c r="X284" s="55">
        <v>1199</v>
      </c>
      <c r="Y284" s="55">
        <v>1099</v>
      </c>
      <c r="Z284" s="55">
        <v>1099</v>
      </c>
      <c r="AA284" s="55">
        <v>1099</v>
      </c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7"/>
      <c r="AW284" s="58" t="s">
        <v>67</v>
      </c>
      <c r="AX284" s="59" t="s">
        <v>68</v>
      </c>
      <c r="AY284" s="62">
        <f t="shared" si="20"/>
        <v>32.299799999999998</v>
      </c>
      <c r="AZ284" s="62">
        <f t="shared" si="21"/>
        <v>29.101800000000001</v>
      </c>
      <c r="BA284" s="63">
        <f t="shared" si="22"/>
        <v>16.4697</v>
      </c>
    </row>
    <row r="285" spans="1:53" ht="22.5" customHeight="1">
      <c r="A285" s="64" t="s">
        <v>241</v>
      </c>
      <c r="B285" s="52" t="s">
        <v>64</v>
      </c>
      <c r="C285" s="53">
        <v>4017379</v>
      </c>
      <c r="D285" s="65" t="s">
        <v>446</v>
      </c>
      <c r="E285" s="65" t="s">
        <v>449</v>
      </c>
      <c r="F285" s="55">
        <v>1849</v>
      </c>
      <c r="G285" s="55">
        <v>1599</v>
      </c>
      <c r="H285" s="55">
        <v>1599</v>
      </c>
      <c r="I285" s="55">
        <v>1599</v>
      </c>
      <c r="J285" s="55">
        <v>1499</v>
      </c>
      <c r="K285" s="55">
        <v>1499</v>
      </c>
      <c r="L285" s="55">
        <v>1499</v>
      </c>
      <c r="M285" s="55">
        <v>1499</v>
      </c>
      <c r="N285" s="55">
        <v>1499</v>
      </c>
      <c r="O285" s="55">
        <v>1349</v>
      </c>
      <c r="P285" s="56">
        <v>1349</v>
      </c>
      <c r="Q285" s="56">
        <v>1299</v>
      </c>
      <c r="R285" s="55">
        <v>1349</v>
      </c>
      <c r="S285" s="55">
        <v>1349</v>
      </c>
      <c r="T285" s="55">
        <v>1299</v>
      </c>
      <c r="U285" s="55">
        <v>1299</v>
      </c>
      <c r="V285" s="55">
        <v>1299</v>
      </c>
      <c r="W285" s="55">
        <v>1299</v>
      </c>
      <c r="X285" s="55">
        <v>1199</v>
      </c>
      <c r="Y285" s="55">
        <v>1099</v>
      </c>
      <c r="Z285" s="55">
        <v>1099</v>
      </c>
      <c r="AA285" s="55">
        <v>1099</v>
      </c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7"/>
      <c r="AW285" s="58" t="s">
        <v>67</v>
      </c>
      <c r="AX285" s="59" t="s">
        <v>68</v>
      </c>
      <c r="AY285" s="62">
        <f t="shared" si="20"/>
        <v>32.299799999999998</v>
      </c>
      <c r="AZ285" s="62">
        <f t="shared" si="21"/>
        <v>29.101800000000001</v>
      </c>
      <c r="BA285" s="63">
        <f t="shared" si="22"/>
        <v>16.4697</v>
      </c>
    </row>
    <row r="286" spans="1:53" ht="22.5" customHeight="1">
      <c r="A286" s="64" t="s">
        <v>241</v>
      </c>
      <c r="B286" s="52" t="s">
        <v>64</v>
      </c>
      <c r="C286" s="53">
        <v>4017385</v>
      </c>
      <c r="D286" s="65" t="s">
        <v>446</v>
      </c>
      <c r="E286" s="65" t="s">
        <v>450</v>
      </c>
      <c r="F286" s="55">
        <v>1849</v>
      </c>
      <c r="G286" s="55">
        <v>1599</v>
      </c>
      <c r="H286" s="55">
        <v>1599</v>
      </c>
      <c r="I286" s="55">
        <v>1599</v>
      </c>
      <c r="J286" s="55">
        <v>1499</v>
      </c>
      <c r="K286" s="55">
        <v>1499</v>
      </c>
      <c r="L286" s="55">
        <v>1499</v>
      </c>
      <c r="M286" s="55">
        <v>1499</v>
      </c>
      <c r="N286" s="55">
        <v>1499</v>
      </c>
      <c r="O286" s="55">
        <v>1349</v>
      </c>
      <c r="P286" s="56">
        <v>1349</v>
      </c>
      <c r="Q286" s="56">
        <v>1299</v>
      </c>
      <c r="R286" s="55">
        <v>1349</v>
      </c>
      <c r="S286" s="55">
        <v>1349</v>
      </c>
      <c r="T286" s="55">
        <v>1299</v>
      </c>
      <c r="U286" s="55">
        <v>1299</v>
      </c>
      <c r="V286" s="55">
        <v>1299</v>
      </c>
      <c r="W286" s="55">
        <v>1299</v>
      </c>
      <c r="X286" s="55">
        <v>1199</v>
      </c>
      <c r="Y286" s="55">
        <v>1099</v>
      </c>
      <c r="Z286" s="55">
        <v>1099</v>
      </c>
      <c r="AA286" s="55">
        <v>1099</v>
      </c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7"/>
      <c r="AW286" s="58" t="s">
        <v>67</v>
      </c>
      <c r="AX286" s="59" t="s">
        <v>68</v>
      </c>
      <c r="AY286" s="62">
        <f t="shared" si="20"/>
        <v>32.299799999999998</v>
      </c>
      <c r="AZ286" s="62">
        <f t="shared" si="21"/>
        <v>29.101800000000001</v>
      </c>
      <c r="BA286" s="63">
        <f t="shared" si="22"/>
        <v>16.4697</v>
      </c>
    </row>
    <row r="287" spans="1:53" ht="22.5" customHeight="1">
      <c r="A287" s="64" t="s">
        <v>241</v>
      </c>
      <c r="B287" s="52" t="s">
        <v>64</v>
      </c>
      <c r="C287" s="53">
        <v>4017372</v>
      </c>
      <c r="D287" s="65" t="s">
        <v>446</v>
      </c>
      <c r="E287" s="65" t="s">
        <v>451</v>
      </c>
      <c r="F287" s="55">
        <v>1849</v>
      </c>
      <c r="G287" s="55">
        <v>1599</v>
      </c>
      <c r="H287" s="55">
        <v>1599</v>
      </c>
      <c r="I287" s="55">
        <v>1599</v>
      </c>
      <c r="J287" s="55">
        <v>1499</v>
      </c>
      <c r="K287" s="55">
        <v>1499</v>
      </c>
      <c r="L287" s="55">
        <v>1499</v>
      </c>
      <c r="M287" s="55">
        <v>1499</v>
      </c>
      <c r="N287" s="55">
        <v>1499</v>
      </c>
      <c r="O287" s="55">
        <v>1349</v>
      </c>
      <c r="P287" s="56">
        <v>1349</v>
      </c>
      <c r="Q287" s="56">
        <v>1299</v>
      </c>
      <c r="R287" s="55">
        <v>1349</v>
      </c>
      <c r="S287" s="55">
        <v>1349</v>
      </c>
      <c r="T287" s="55">
        <v>1299</v>
      </c>
      <c r="U287" s="55">
        <v>1299</v>
      </c>
      <c r="V287" s="55">
        <v>1299</v>
      </c>
      <c r="W287" s="55">
        <v>1299</v>
      </c>
      <c r="X287" s="55">
        <v>1199</v>
      </c>
      <c r="Y287" s="55">
        <v>1099</v>
      </c>
      <c r="Z287" s="55">
        <v>1099</v>
      </c>
      <c r="AA287" s="55">
        <v>1099</v>
      </c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7"/>
      <c r="AW287" s="58" t="s">
        <v>67</v>
      </c>
      <c r="AX287" s="59" t="s">
        <v>68</v>
      </c>
      <c r="AY287" s="62">
        <f t="shared" si="20"/>
        <v>32.299799999999998</v>
      </c>
      <c r="AZ287" s="62">
        <f t="shared" si="21"/>
        <v>29.101800000000001</v>
      </c>
      <c r="BA287" s="63">
        <f t="shared" si="22"/>
        <v>16.4697</v>
      </c>
    </row>
    <row r="288" spans="1:53" ht="22.5" customHeight="1">
      <c r="A288" s="64" t="s">
        <v>241</v>
      </c>
      <c r="B288" s="52" t="s">
        <v>64</v>
      </c>
      <c r="C288" s="53">
        <v>4014679</v>
      </c>
      <c r="D288" s="65" t="s">
        <v>452</v>
      </c>
      <c r="E288" s="65" t="s">
        <v>453</v>
      </c>
      <c r="F288" s="55">
        <v>799</v>
      </c>
      <c r="G288" s="55">
        <v>599</v>
      </c>
      <c r="H288" s="55">
        <v>599</v>
      </c>
      <c r="I288" s="55">
        <v>599</v>
      </c>
      <c r="J288" s="55">
        <f t="shared" ref="J288:J321" si="24">M288</f>
        <v>499</v>
      </c>
      <c r="K288" s="55">
        <f t="shared" ref="K288:L296" si="25">M288</f>
        <v>499</v>
      </c>
      <c r="L288" s="55">
        <f t="shared" si="25"/>
        <v>499</v>
      </c>
      <c r="M288" s="55">
        <v>499</v>
      </c>
      <c r="N288" s="55">
        <v>499</v>
      </c>
      <c r="O288" s="55">
        <f t="shared" si="23"/>
        <v>449</v>
      </c>
      <c r="P288" s="56">
        <f t="shared" si="23"/>
        <v>449</v>
      </c>
      <c r="Q288" s="56">
        <f t="shared" si="23"/>
        <v>449</v>
      </c>
      <c r="R288" s="55">
        <v>449</v>
      </c>
      <c r="S288" s="55">
        <v>449</v>
      </c>
      <c r="T288" s="55">
        <v>449</v>
      </c>
      <c r="U288" s="55">
        <v>449</v>
      </c>
      <c r="V288" s="55">
        <v>449</v>
      </c>
      <c r="W288" s="55">
        <v>449</v>
      </c>
      <c r="X288" s="55">
        <v>449</v>
      </c>
      <c r="Y288" s="55">
        <v>449</v>
      </c>
      <c r="Z288" s="55">
        <v>449</v>
      </c>
      <c r="AA288" s="55">
        <v>449</v>
      </c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7"/>
      <c r="AW288" s="58" t="s">
        <v>67</v>
      </c>
      <c r="AX288" s="59" t="s">
        <v>68</v>
      </c>
      <c r="AY288" s="60">
        <f t="shared" si="20"/>
        <v>12.0998</v>
      </c>
      <c r="AZ288" s="60">
        <f t="shared" si="21"/>
        <v>10.9018</v>
      </c>
      <c r="BA288" s="61">
        <f t="shared" si="22"/>
        <v>6.1696999999999997</v>
      </c>
    </row>
    <row r="289" spans="1:53" ht="22.5" customHeight="1">
      <c r="A289" s="64" t="s">
        <v>241</v>
      </c>
      <c r="B289" s="52" t="s">
        <v>64</v>
      </c>
      <c r="C289" s="53">
        <v>4015250</v>
      </c>
      <c r="D289" s="65" t="s">
        <v>454</v>
      </c>
      <c r="E289" s="65" t="s">
        <v>455</v>
      </c>
      <c r="F289" s="55">
        <v>1299</v>
      </c>
      <c r="G289" s="55">
        <v>1099</v>
      </c>
      <c r="H289" s="55">
        <v>1299</v>
      </c>
      <c r="I289" s="55">
        <v>1299</v>
      </c>
      <c r="J289" s="55">
        <v>769</v>
      </c>
      <c r="K289" s="55">
        <v>769</v>
      </c>
      <c r="L289" s="55">
        <v>769</v>
      </c>
      <c r="M289" s="55">
        <v>769</v>
      </c>
      <c r="N289" s="55">
        <v>769</v>
      </c>
      <c r="O289" s="55">
        <v>769</v>
      </c>
      <c r="P289" s="55">
        <v>769</v>
      </c>
      <c r="Q289" s="55">
        <v>769</v>
      </c>
      <c r="R289" s="55">
        <v>769</v>
      </c>
      <c r="S289" s="55">
        <v>769</v>
      </c>
      <c r="T289" s="55">
        <v>769</v>
      </c>
      <c r="U289" s="55">
        <v>769</v>
      </c>
      <c r="V289" s="55">
        <v>769</v>
      </c>
      <c r="W289" s="55">
        <v>769</v>
      </c>
      <c r="X289" s="55">
        <v>769</v>
      </c>
      <c r="Y289" s="55">
        <v>769</v>
      </c>
      <c r="Z289" s="55">
        <v>769</v>
      </c>
      <c r="AA289" s="55">
        <v>769</v>
      </c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7"/>
      <c r="AW289" s="58" t="s">
        <v>67</v>
      </c>
      <c r="AX289" s="59" t="s">
        <v>68</v>
      </c>
      <c r="AY289" s="60">
        <f t="shared" si="20"/>
        <v>26.239799999999999</v>
      </c>
      <c r="AZ289" s="60">
        <f t="shared" si="21"/>
        <v>23.6418</v>
      </c>
      <c r="BA289" s="61">
        <f t="shared" si="22"/>
        <v>13.3797</v>
      </c>
    </row>
    <row r="290" spans="1:53" ht="22.5" customHeight="1">
      <c r="A290" s="64" t="s">
        <v>241</v>
      </c>
      <c r="B290" s="52" t="s">
        <v>64</v>
      </c>
      <c r="C290" s="53">
        <v>4015251</v>
      </c>
      <c r="D290" s="65" t="s">
        <v>454</v>
      </c>
      <c r="E290" s="65" t="s">
        <v>456</v>
      </c>
      <c r="F290" s="55">
        <v>1299</v>
      </c>
      <c r="G290" s="55">
        <v>1099</v>
      </c>
      <c r="H290" s="55">
        <v>1299</v>
      </c>
      <c r="I290" s="55">
        <v>1299</v>
      </c>
      <c r="J290" s="55">
        <v>769</v>
      </c>
      <c r="K290" s="55">
        <v>769</v>
      </c>
      <c r="L290" s="55">
        <v>769</v>
      </c>
      <c r="M290" s="55">
        <v>769</v>
      </c>
      <c r="N290" s="55">
        <v>769</v>
      </c>
      <c r="O290" s="55">
        <v>769</v>
      </c>
      <c r="P290" s="55">
        <v>769</v>
      </c>
      <c r="Q290" s="55">
        <v>769</v>
      </c>
      <c r="R290" s="55">
        <v>769</v>
      </c>
      <c r="S290" s="55">
        <v>769</v>
      </c>
      <c r="T290" s="55">
        <v>769</v>
      </c>
      <c r="U290" s="55">
        <v>769</v>
      </c>
      <c r="V290" s="55">
        <v>769</v>
      </c>
      <c r="W290" s="55">
        <v>769</v>
      </c>
      <c r="X290" s="55">
        <v>769</v>
      </c>
      <c r="Y290" s="55">
        <v>769</v>
      </c>
      <c r="Z290" s="55">
        <v>769</v>
      </c>
      <c r="AA290" s="55">
        <v>769</v>
      </c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7"/>
      <c r="AW290" s="58" t="s">
        <v>67</v>
      </c>
      <c r="AX290" s="59" t="s">
        <v>68</v>
      </c>
      <c r="AY290" s="60">
        <f t="shared" si="20"/>
        <v>26.239799999999999</v>
      </c>
      <c r="AZ290" s="60">
        <f t="shared" si="21"/>
        <v>23.6418</v>
      </c>
      <c r="BA290" s="61">
        <f t="shared" si="22"/>
        <v>13.3797</v>
      </c>
    </row>
    <row r="291" spans="1:53" ht="22.5" customHeight="1">
      <c r="A291" s="64" t="s">
        <v>241</v>
      </c>
      <c r="B291" s="52" t="s">
        <v>64</v>
      </c>
      <c r="C291" s="53">
        <v>4016092</v>
      </c>
      <c r="D291" s="65" t="s">
        <v>457</v>
      </c>
      <c r="E291" s="65" t="s">
        <v>458</v>
      </c>
      <c r="F291" s="55">
        <v>1199</v>
      </c>
      <c r="G291" s="55">
        <v>999</v>
      </c>
      <c r="H291" s="55">
        <v>1199</v>
      </c>
      <c r="I291" s="55">
        <v>1199</v>
      </c>
      <c r="J291" s="55">
        <v>699</v>
      </c>
      <c r="K291" s="55">
        <v>699</v>
      </c>
      <c r="L291" s="55">
        <v>699</v>
      </c>
      <c r="M291" s="55">
        <v>699</v>
      </c>
      <c r="N291" s="55">
        <v>699</v>
      </c>
      <c r="O291" s="55">
        <v>699</v>
      </c>
      <c r="P291" s="55">
        <v>699</v>
      </c>
      <c r="Q291" s="55">
        <v>699</v>
      </c>
      <c r="R291" s="55">
        <v>699</v>
      </c>
      <c r="S291" s="55">
        <v>699</v>
      </c>
      <c r="T291" s="55">
        <v>699</v>
      </c>
      <c r="U291" s="55">
        <v>699</v>
      </c>
      <c r="V291" s="55">
        <v>699</v>
      </c>
      <c r="W291" s="55">
        <v>699</v>
      </c>
      <c r="X291" s="55">
        <v>699</v>
      </c>
      <c r="Y291" s="55">
        <v>699</v>
      </c>
      <c r="Z291" s="55">
        <v>699</v>
      </c>
      <c r="AA291" s="55">
        <v>699</v>
      </c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7"/>
      <c r="AW291" s="58" t="s">
        <v>67</v>
      </c>
      <c r="AX291" s="59" t="s">
        <v>68</v>
      </c>
      <c r="AY291" s="60">
        <f t="shared" si="20"/>
        <v>24.219799999999999</v>
      </c>
      <c r="AZ291" s="60">
        <f t="shared" si="21"/>
        <v>21.8218</v>
      </c>
      <c r="BA291" s="61">
        <f t="shared" si="22"/>
        <v>12.3497</v>
      </c>
    </row>
    <row r="292" spans="1:53" ht="22.5" customHeight="1">
      <c r="A292" s="64" t="s">
        <v>241</v>
      </c>
      <c r="B292" s="52" t="s">
        <v>64</v>
      </c>
      <c r="C292" s="53">
        <v>4016095</v>
      </c>
      <c r="D292" s="65" t="s">
        <v>457</v>
      </c>
      <c r="E292" s="65" t="s">
        <v>459</v>
      </c>
      <c r="F292" s="55">
        <v>1199</v>
      </c>
      <c r="G292" s="55">
        <v>999</v>
      </c>
      <c r="H292" s="55">
        <v>1199</v>
      </c>
      <c r="I292" s="55">
        <v>1199</v>
      </c>
      <c r="J292" s="55">
        <v>699</v>
      </c>
      <c r="K292" s="55">
        <v>699</v>
      </c>
      <c r="L292" s="55">
        <v>699</v>
      </c>
      <c r="M292" s="55">
        <v>699</v>
      </c>
      <c r="N292" s="55">
        <v>699</v>
      </c>
      <c r="O292" s="55">
        <v>699</v>
      </c>
      <c r="P292" s="55">
        <v>699</v>
      </c>
      <c r="Q292" s="55">
        <v>699</v>
      </c>
      <c r="R292" s="55">
        <v>699</v>
      </c>
      <c r="S292" s="55">
        <v>699</v>
      </c>
      <c r="T292" s="55">
        <v>699</v>
      </c>
      <c r="U292" s="55">
        <v>699</v>
      </c>
      <c r="V292" s="55">
        <v>699</v>
      </c>
      <c r="W292" s="55">
        <v>699</v>
      </c>
      <c r="X292" s="55">
        <v>699</v>
      </c>
      <c r="Y292" s="55">
        <v>699</v>
      </c>
      <c r="Z292" s="55">
        <v>699</v>
      </c>
      <c r="AA292" s="55">
        <v>699</v>
      </c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7"/>
      <c r="AW292" s="58" t="s">
        <v>67</v>
      </c>
      <c r="AX292" s="59" t="s">
        <v>68</v>
      </c>
      <c r="AY292" s="60">
        <f t="shared" si="20"/>
        <v>24.219799999999999</v>
      </c>
      <c r="AZ292" s="60">
        <f t="shared" si="21"/>
        <v>21.8218</v>
      </c>
      <c r="BA292" s="61">
        <f t="shared" si="22"/>
        <v>12.3497</v>
      </c>
    </row>
    <row r="293" spans="1:53" ht="22.5" customHeight="1">
      <c r="A293" s="64" t="s">
        <v>241</v>
      </c>
      <c r="B293" s="52" t="s">
        <v>64</v>
      </c>
      <c r="C293" s="53">
        <v>4014161</v>
      </c>
      <c r="D293" s="65" t="s">
        <v>460</v>
      </c>
      <c r="E293" s="65" t="s">
        <v>461</v>
      </c>
      <c r="F293" s="55">
        <v>2699</v>
      </c>
      <c r="G293" s="55">
        <v>699</v>
      </c>
      <c r="H293" s="55">
        <v>699</v>
      </c>
      <c r="I293" s="55">
        <v>699</v>
      </c>
      <c r="J293" s="55">
        <f t="shared" si="24"/>
        <v>599</v>
      </c>
      <c r="K293" s="55">
        <f t="shared" si="25"/>
        <v>599</v>
      </c>
      <c r="L293" s="55">
        <f t="shared" si="25"/>
        <v>599</v>
      </c>
      <c r="M293" s="55">
        <v>599</v>
      </c>
      <c r="N293" s="55">
        <v>599</v>
      </c>
      <c r="O293" s="55">
        <f t="shared" ref="O293:Q317" si="26">R293</f>
        <v>549</v>
      </c>
      <c r="P293" s="56">
        <f t="shared" si="26"/>
        <v>499</v>
      </c>
      <c r="Q293" s="56">
        <f t="shared" si="26"/>
        <v>399</v>
      </c>
      <c r="R293" s="55">
        <v>549</v>
      </c>
      <c r="S293" s="55">
        <v>499</v>
      </c>
      <c r="T293" s="55">
        <v>399</v>
      </c>
      <c r="U293" s="55">
        <v>399</v>
      </c>
      <c r="V293" s="55">
        <v>399</v>
      </c>
      <c r="W293" s="55">
        <v>399</v>
      </c>
      <c r="X293" s="55">
        <v>399</v>
      </c>
      <c r="Y293" s="55">
        <v>399</v>
      </c>
      <c r="Z293" s="55">
        <v>399</v>
      </c>
      <c r="AA293" s="55">
        <v>399</v>
      </c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7"/>
      <c r="AW293" s="58" t="s">
        <v>67</v>
      </c>
      <c r="AX293" s="59" t="s">
        <v>68</v>
      </c>
      <c r="AY293" s="60">
        <f t="shared" si="20"/>
        <v>14.1198</v>
      </c>
      <c r="AZ293" s="60">
        <f t="shared" si="21"/>
        <v>12.7218</v>
      </c>
      <c r="BA293" s="61">
        <f t="shared" si="22"/>
        <v>7.1997</v>
      </c>
    </row>
    <row r="294" spans="1:53" ht="22.5" customHeight="1">
      <c r="A294" s="64" t="s">
        <v>241</v>
      </c>
      <c r="B294" s="52" t="s">
        <v>64</v>
      </c>
      <c r="C294" s="53">
        <v>4015441</v>
      </c>
      <c r="D294" s="65" t="s">
        <v>462</v>
      </c>
      <c r="E294" s="65" t="s">
        <v>463</v>
      </c>
      <c r="F294" s="55">
        <v>1599</v>
      </c>
      <c r="G294" s="55">
        <v>1299</v>
      </c>
      <c r="H294" s="55">
        <v>1299</v>
      </c>
      <c r="I294" s="55">
        <v>1299</v>
      </c>
      <c r="J294" s="55">
        <f t="shared" si="24"/>
        <v>999</v>
      </c>
      <c r="K294" s="55">
        <f t="shared" si="25"/>
        <v>999</v>
      </c>
      <c r="L294" s="55">
        <f t="shared" si="25"/>
        <v>999</v>
      </c>
      <c r="M294" s="55">
        <v>999</v>
      </c>
      <c r="N294" s="55">
        <v>999</v>
      </c>
      <c r="O294" s="55">
        <f t="shared" si="26"/>
        <v>899</v>
      </c>
      <c r="P294" s="56">
        <f t="shared" si="26"/>
        <v>799</v>
      </c>
      <c r="Q294" s="56">
        <f t="shared" si="26"/>
        <v>699</v>
      </c>
      <c r="R294" s="55">
        <v>899</v>
      </c>
      <c r="S294" s="55">
        <v>799</v>
      </c>
      <c r="T294" s="55">
        <v>699</v>
      </c>
      <c r="U294" s="55">
        <v>699</v>
      </c>
      <c r="V294" s="55">
        <v>699</v>
      </c>
      <c r="W294" s="55">
        <v>699</v>
      </c>
      <c r="X294" s="55">
        <v>649</v>
      </c>
      <c r="Y294" s="55">
        <v>599</v>
      </c>
      <c r="Z294" s="55">
        <v>599</v>
      </c>
      <c r="AA294" s="55">
        <v>579</v>
      </c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7"/>
      <c r="AW294" s="58" t="s">
        <v>67</v>
      </c>
      <c r="AX294" s="59" t="s">
        <v>68</v>
      </c>
      <c r="AY294" s="60">
        <f t="shared" si="20"/>
        <v>26.239799999999999</v>
      </c>
      <c r="AZ294" s="60">
        <f t="shared" si="21"/>
        <v>23.6418</v>
      </c>
      <c r="BA294" s="61">
        <f t="shared" si="22"/>
        <v>13.3797</v>
      </c>
    </row>
    <row r="295" spans="1:53" ht="22.5" customHeight="1">
      <c r="A295" s="64" t="s">
        <v>241</v>
      </c>
      <c r="B295" s="52" t="s">
        <v>64</v>
      </c>
      <c r="C295" s="53">
        <v>4015447</v>
      </c>
      <c r="D295" s="65" t="s">
        <v>462</v>
      </c>
      <c r="E295" s="65" t="s">
        <v>464</v>
      </c>
      <c r="F295" s="55">
        <v>1599</v>
      </c>
      <c r="G295" s="55">
        <v>1299</v>
      </c>
      <c r="H295" s="55">
        <v>1299</v>
      </c>
      <c r="I295" s="55">
        <v>1299</v>
      </c>
      <c r="J295" s="55">
        <f t="shared" si="24"/>
        <v>999</v>
      </c>
      <c r="K295" s="55">
        <f t="shared" si="25"/>
        <v>999</v>
      </c>
      <c r="L295" s="55">
        <f t="shared" si="25"/>
        <v>999</v>
      </c>
      <c r="M295" s="55">
        <v>999</v>
      </c>
      <c r="N295" s="55">
        <v>999</v>
      </c>
      <c r="O295" s="55">
        <f t="shared" si="26"/>
        <v>899</v>
      </c>
      <c r="P295" s="56">
        <f t="shared" si="26"/>
        <v>799</v>
      </c>
      <c r="Q295" s="56">
        <f t="shared" si="26"/>
        <v>699</v>
      </c>
      <c r="R295" s="55">
        <v>899</v>
      </c>
      <c r="S295" s="55">
        <v>799</v>
      </c>
      <c r="T295" s="55">
        <v>699</v>
      </c>
      <c r="U295" s="55">
        <v>699</v>
      </c>
      <c r="V295" s="55">
        <v>699</v>
      </c>
      <c r="W295" s="55">
        <v>699</v>
      </c>
      <c r="X295" s="55">
        <v>649</v>
      </c>
      <c r="Y295" s="55">
        <v>599</v>
      </c>
      <c r="Z295" s="55">
        <v>599</v>
      </c>
      <c r="AA295" s="55">
        <v>579</v>
      </c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7"/>
      <c r="AW295" s="58" t="s">
        <v>67</v>
      </c>
      <c r="AX295" s="59" t="s">
        <v>68</v>
      </c>
      <c r="AY295" s="60">
        <f t="shared" si="20"/>
        <v>26.239799999999999</v>
      </c>
      <c r="AZ295" s="60">
        <f t="shared" si="21"/>
        <v>23.6418</v>
      </c>
      <c r="BA295" s="61">
        <f t="shared" si="22"/>
        <v>13.3797</v>
      </c>
    </row>
    <row r="296" spans="1:53" ht="22.5" customHeight="1">
      <c r="A296" s="64" t="s">
        <v>241</v>
      </c>
      <c r="B296" s="52" t="s">
        <v>64</v>
      </c>
      <c r="C296" s="53">
        <v>4015915</v>
      </c>
      <c r="D296" s="65" t="s">
        <v>462</v>
      </c>
      <c r="E296" s="65" t="s">
        <v>465</v>
      </c>
      <c r="F296" s="55">
        <v>1599</v>
      </c>
      <c r="G296" s="55">
        <v>1299</v>
      </c>
      <c r="H296" s="55">
        <v>1299</v>
      </c>
      <c r="I296" s="55">
        <v>1299</v>
      </c>
      <c r="J296" s="55">
        <f t="shared" si="24"/>
        <v>999</v>
      </c>
      <c r="K296" s="55">
        <f t="shared" si="25"/>
        <v>999</v>
      </c>
      <c r="L296" s="55">
        <f t="shared" si="25"/>
        <v>999</v>
      </c>
      <c r="M296" s="55">
        <v>999</v>
      </c>
      <c r="N296" s="55">
        <v>999</v>
      </c>
      <c r="O296" s="55">
        <f t="shared" si="26"/>
        <v>899</v>
      </c>
      <c r="P296" s="56">
        <f t="shared" si="26"/>
        <v>799</v>
      </c>
      <c r="Q296" s="56">
        <f t="shared" si="26"/>
        <v>699</v>
      </c>
      <c r="R296" s="55">
        <v>899</v>
      </c>
      <c r="S296" s="55">
        <v>799</v>
      </c>
      <c r="T296" s="55">
        <v>699</v>
      </c>
      <c r="U296" s="55">
        <v>699</v>
      </c>
      <c r="V296" s="55">
        <v>699</v>
      </c>
      <c r="W296" s="55">
        <v>699</v>
      </c>
      <c r="X296" s="55">
        <v>649</v>
      </c>
      <c r="Y296" s="55">
        <v>599</v>
      </c>
      <c r="Z296" s="55">
        <v>599</v>
      </c>
      <c r="AA296" s="55">
        <v>579</v>
      </c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7"/>
      <c r="AW296" s="58" t="s">
        <v>67</v>
      </c>
      <c r="AX296" s="59" t="s">
        <v>68</v>
      </c>
      <c r="AY296" s="60">
        <f t="shared" si="20"/>
        <v>26.239799999999999</v>
      </c>
      <c r="AZ296" s="60">
        <f t="shared" si="21"/>
        <v>23.6418</v>
      </c>
      <c r="BA296" s="61">
        <f t="shared" si="22"/>
        <v>13.3797</v>
      </c>
    </row>
    <row r="297" spans="1:53" ht="22.5" customHeight="1">
      <c r="A297" s="64" t="s">
        <v>241</v>
      </c>
      <c r="B297" s="52" t="s">
        <v>64</v>
      </c>
      <c r="C297" s="53">
        <v>4015935</v>
      </c>
      <c r="D297" s="65" t="s">
        <v>466</v>
      </c>
      <c r="E297" s="65" t="s">
        <v>467</v>
      </c>
      <c r="F297" s="55">
        <v>2999</v>
      </c>
      <c r="G297" s="55">
        <v>1649</v>
      </c>
      <c r="H297" s="55">
        <v>1649</v>
      </c>
      <c r="I297" s="55">
        <v>1649</v>
      </c>
      <c r="J297" s="55">
        <v>1599</v>
      </c>
      <c r="K297" s="55">
        <v>1499</v>
      </c>
      <c r="L297" s="55">
        <v>1499</v>
      </c>
      <c r="M297" s="55">
        <v>1599</v>
      </c>
      <c r="N297" s="55">
        <v>1499</v>
      </c>
      <c r="O297" s="55">
        <v>1399</v>
      </c>
      <c r="P297" s="56">
        <v>1299</v>
      </c>
      <c r="Q297" s="56">
        <v>999</v>
      </c>
      <c r="R297" s="55">
        <v>1399</v>
      </c>
      <c r="S297" s="55">
        <v>1299</v>
      </c>
      <c r="T297" s="55">
        <v>999</v>
      </c>
      <c r="U297" s="55">
        <v>999</v>
      </c>
      <c r="V297" s="55">
        <v>999</v>
      </c>
      <c r="W297" s="55">
        <v>999</v>
      </c>
      <c r="X297" s="55">
        <v>999</v>
      </c>
      <c r="Y297" s="55">
        <v>999</v>
      </c>
      <c r="Z297" s="55">
        <v>999</v>
      </c>
      <c r="AA297" s="55">
        <v>999</v>
      </c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7"/>
      <c r="AW297" s="58" t="s">
        <v>67</v>
      </c>
      <c r="AX297" s="59" t="s">
        <v>68</v>
      </c>
      <c r="AY297" s="60">
        <f t="shared" ref="AY297:AY360" si="27">$H297*AY$11</f>
        <v>33.309799999999996</v>
      </c>
      <c r="AZ297" s="60">
        <f t="shared" ref="AZ297:AZ360" si="28">($H297*AZ$11)</f>
        <v>30.011800000000001</v>
      </c>
      <c r="BA297" s="61">
        <f t="shared" ref="BA297:BA360" si="29">$H297*BA$11</f>
        <v>16.9847</v>
      </c>
    </row>
    <row r="298" spans="1:53" ht="22.5" customHeight="1">
      <c r="A298" s="64" t="s">
        <v>241</v>
      </c>
      <c r="B298" s="52" t="s">
        <v>64</v>
      </c>
      <c r="C298" s="53">
        <v>4016155</v>
      </c>
      <c r="D298" s="65" t="s">
        <v>466</v>
      </c>
      <c r="E298" s="65" t="s">
        <v>468</v>
      </c>
      <c r="F298" s="55">
        <v>2999</v>
      </c>
      <c r="G298" s="55">
        <v>1649</v>
      </c>
      <c r="H298" s="55">
        <v>1649</v>
      </c>
      <c r="I298" s="55">
        <v>1649</v>
      </c>
      <c r="J298" s="55">
        <v>1599</v>
      </c>
      <c r="K298" s="55">
        <v>1499</v>
      </c>
      <c r="L298" s="55">
        <v>1499</v>
      </c>
      <c r="M298" s="55">
        <v>1599</v>
      </c>
      <c r="N298" s="55">
        <v>1499</v>
      </c>
      <c r="O298" s="55">
        <v>1399</v>
      </c>
      <c r="P298" s="56">
        <v>1299</v>
      </c>
      <c r="Q298" s="56">
        <v>999</v>
      </c>
      <c r="R298" s="55">
        <v>1399</v>
      </c>
      <c r="S298" s="55">
        <v>1299</v>
      </c>
      <c r="T298" s="55">
        <v>999</v>
      </c>
      <c r="U298" s="55">
        <v>999</v>
      </c>
      <c r="V298" s="55">
        <v>999</v>
      </c>
      <c r="W298" s="55">
        <v>999</v>
      </c>
      <c r="X298" s="55">
        <v>999</v>
      </c>
      <c r="Y298" s="55">
        <v>999</v>
      </c>
      <c r="Z298" s="55">
        <v>999</v>
      </c>
      <c r="AA298" s="55">
        <v>999</v>
      </c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7"/>
      <c r="AW298" s="58" t="s">
        <v>67</v>
      </c>
      <c r="AX298" s="59" t="s">
        <v>68</v>
      </c>
      <c r="AY298" s="60">
        <f t="shared" si="27"/>
        <v>33.309799999999996</v>
      </c>
      <c r="AZ298" s="60">
        <f t="shared" si="28"/>
        <v>30.011800000000001</v>
      </c>
      <c r="BA298" s="61">
        <f t="shared" si="29"/>
        <v>16.9847</v>
      </c>
    </row>
    <row r="299" spans="1:53" ht="22.5" customHeight="1">
      <c r="A299" s="64" t="s">
        <v>241</v>
      </c>
      <c r="B299" s="52" t="s">
        <v>64</v>
      </c>
      <c r="C299" s="53">
        <v>4015939</v>
      </c>
      <c r="D299" s="65" t="s">
        <v>466</v>
      </c>
      <c r="E299" s="65" t="s">
        <v>469</v>
      </c>
      <c r="F299" s="55">
        <v>2999</v>
      </c>
      <c r="G299" s="55">
        <v>1649</v>
      </c>
      <c r="H299" s="55">
        <v>1649</v>
      </c>
      <c r="I299" s="55">
        <v>1649</v>
      </c>
      <c r="J299" s="55">
        <v>1599</v>
      </c>
      <c r="K299" s="55">
        <v>1499</v>
      </c>
      <c r="L299" s="55">
        <v>1499</v>
      </c>
      <c r="M299" s="55">
        <v>1599</v>
      </c>
      <c r="N299" s="55">
        <v>1499</v>
      </c>
      <c r="O299" s="55">
        <v>1399</v>
      </c>
      <c r="P299" s="56">
        <v>1299</v>
      </c>
      <c r="Q299" s="56">
        <v>999</v>
      </c>
      <c r="R299" s="55">
        <v>1399</v>
      </c>
      <c r="S299" s="55">
        <v>1299</v>
      </c>
      <c r="T299" s="55">
        <v>999</v>
      </c>
      <c r="U299" s="55">
        <v>999</v>
      </c>
      <c r="V299" s="55">
        <v>999</v>
      </c>
      <c r="W299" s="55">
        <v>999</v>
      </c>
      <c r="X299" s="55">
        <v>999</v>
      </c>
      <c r="Y299" s="55">
        <v>999</v>
      </c>
      <c r="Z299" s="55">
        <v>999</v>
      </c>
      <c r="AA299" s="55">
        <v>999</v>
      </c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7"/>
      <c r="AW299" s="58" t="s">
        <v>67</v>
      </c>
      <c r="AX299" s="59" t="s">
        <v>68</v>
      </c>
      <c r="AY299" s="60">
        <f t="shared" si="27"/>
        <v>33.309799999999996</v>
      </c>
      <c r="AZ299" s="60">
        <f t="shared" si="28"/>
        <v>30.011800000000001</v>
      </c>
      <c r="BA299" s="61">
        <f t="shared" si="29"/>
        <v>16.9847</v>
      </c>
    </row>
    <row r="300" spans="1:53" ht="22.5" customHeight="1">
      <c r="A300" s="64" t="s">
        <v>241</v>
      </c>
      <c r="B300" s="52" t="s">
        <v>64</v>
      </c>
      <c r="C300" s="53">
        <v>4016152</v>
      </c>
      <c r="D300" s="65" t="s">
        <v>466</v>
      </c>
      <c r="E300" s="65" t="s">
        <v>470</v>
      </c>
      <c r="F300" s="55">
        <v>2999</v>
      </c>
      <c r="G300" s="55">
        <v>1649</v>
      </c>
      <c r="H300" s="55">
        <v>1649</v>
      </c>
      <c r="I300" s="55">
        <v>1649</v>
      </c>
      <c r="J300" s="55">
        <v>1599</v>
      </c>
      <c r="K300" s="55">
        <v>1499</v>
      </c>
      <c r="L300" s="55">
        <v>1499</v>
      </c>
      <c r="M300" s="55">
        <v>1599</v>
      </c>
      <c r="N300" s="55">
        <v>1499</v>
      </c>
      <c r="O300" s="55">
        <v>1399</v>
      </c>
      <c r="P300" s="56">
        <v>1299</v>
      </c>
      <c r="Q300" s="56">
        <v>999</v>
      </c>
      <c r="R300" s="55">
        <v>1399</v>
      </c>
      <c r="S300" s="55">
        <v>1299</v>
      </c>
      <c r="T300" s="55">
        <v>999</v>
      </c>
      <c r="U300" s="55">
        <v>999</v>
      </c>
      <c r="V300" s="55">
        <v>999</v>
      </c>
      <c r="W300" s="55">
        <v>999</v>
      </c>
      <c r="X300" s="55">
        <v>999</v>
      </c>
      <c r="Y300" s="55">
        <v>999</v>
      </c>
      <c r="Z300" s="55">
        <v>999</v>
      </c>
      <c r="AA300" s="55">
        <v>999</v>
      </c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7"/>
      <c r="AW300" s="58" t="s">
        <v>67</v>
      </c>
      <c r="AX300" s="59" t="s">
        <v>68</v>
      </c>
      <c r="AY300" s="60">
        <f t="shared" si="27"/>
        <v>33.309799999999996</v>
      </c>
      <c r="AZ300" s="60">
        <f t="shared" si="28"/>
        <v>30.011800000000001</v>
      </c>
      <c r="BA300" s="61">
        <f t="shared" si="29"/>
        <v>16.9847</v>
      </c>
    </row>
    <row r="301" spans="1:53" ht="22.5" customHeight="1">
      <c r="A301" s="64" t="s">
        <v>241</v>
      </c>
      <c r="B301" s="52" t="s">
        <v>64</v>
      </c>
      <c r="C301" s="53">
        <v>4016159</v>
      </c>
      <c r="D301" s="65" t="s">
        <v>466</v>
      </c>
      <c r="E301" s="65" t="s">
        <v>471</v>
      </c>
      <c r="F301" s="55">
        <v>2999</v>
      </c>
      <c r="G301" s="55">
        <v>1649</v>
      </c>
      <c r="H301" s="55">
        <v>1649</v>
      </c>
      <c r="I301" s="55">
        <v>1649</v>
      </c>
      <c r="J301" s="55">
        <v>1599</v>
      </c>
      <c r="K301" s="55">
        <v>1499</v>
      </c>
      <c r="L301" s="55">
        <v>1499</v>
      </c>
      <c r="M301" s="55">
        <v>1599</v>
      </c>
      <c r="N301" s="55">
        <v>1499</v>
      </c>
      <c r="O301" s="55">
        <v>1399</v>
      </c>
      <c r="P301" s="56">
        <v>1299</v>
      </c>
      <c r="Q301" s="56">
        <v>999</v>
      </c>
      <c r="R301" s="55">
        <v>1399</v>
      </c>
      <c r="S301" s="55">
        <v>1299</v>
      </c>
      <c r="T301" s="55">
        <v>999</v>
      </c>
      <c r="U301" s="55">
        <v>999</v>
      </c>
      <c r="V301" s="55">
        <v>999</v>
      </c>
      <c r="W301" s="55">
        <v>999</v>
      </c>
      <c r="X301" s="55">
        <v>999</v>
      </c>
      <c r="Y301" s="55">
        <v>999</v>
      </c>
      <c r="Z301" s="55">
        <v>999</v>
      </c>
      <c r="AA301" s="55">
        <v>999</v>
      </c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7"/>
      <c r="AW301" s="58" t="s">
        <v>67</v>
      </c>
      <c r="AX301" s="59" t="s">
        <v>68</v>
      </c>
      <c r="AY301" s="60">
        <f t="shared" si="27"/>
        <v>33.309799999999996</v>
      </c>
      <c r="AZ301" s="60">
        <f t="shared" si="28"/>
        <v>30.011800000000001</v>
      </c>
      <c r="BA301" s="61">
        <f t="shared" si="29"/>
        <v>16.9847</v>
      </c>
    </row>
    <row r="302" spans="1:53" ht="22.5" customHeight="1">
      <c r="A302" s="64" t="s">
        <v>241</v>
      </c>
      <c r="B302" s="52" t="s">
        <v>64</v>
      </c>
      <c r="C302" s="53">
        <v>4016147</v>
      </c>
      <c r="D302" s="65" t="s">
        <v>466</v>
      </c>
      <c r="E302" s="65" t="s">
        <v>472</v>
      </c>
      <c r="F302" s="55">
        <v>2999</v>
      </c>
      <c r="G302" s="55">
        <v>1649</v>
      </c>
      <c r="H302" s="55">
        <v>1649</v>
      </c>
      <c r="I302" s="55">
        <v>1649</v>
      </c>
      <c r="J302" s="55">
        <v>1599</v>
      </c>
      <c r="K302" s="55">
        <v>1499</v>
      </c>
      <c r="L302" s="55">
        <v>1499</v>
      </c>
      <c r="M302" s="55">
        <v>1599</v>
      </c>
      <c r="N302" s="55">
        <v>1499</v>
      </c>
      <c r="O302" s="55">
        <v>1399</v>
      </c>
      <c r="P302" s="56">
        <v>1299</v>
      </c>
      <c r="Q302" s="56">
        <v>999</v>
      </c>
      <c r="R302" s="55">
        <v>1399</v>
      </c>
      <c r="S302" s="55">
        <v>1299</v>
      </c>
      <c r="T302" s="55">
        <v>999</v>
      </c>
      <c r="U302" s="55">
        <v>999</v>
      </c>
      <c r="V302" s="55">
        <v>999</v>
      </c>
      <c r="W302" s="55">
        <v>999</v>
      </c>
      <c r="X302" s="55">
        <v>999</v>
      </c>
      <c r="Y302" s="55">
        <v>999</v>
      </c>
      <c r="Z302" s="55">
        <v>999</v>
      </c>
      <c r="AA302" s="55">
        <v>999</v>
      </c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7"/>
      <c r="AW302" s="58" t="s">
        <v>67</v>
      </c>
      <c r="AX302" s="59" t="s">
        <v>68</v>
      </c>
      <c r="AY302" s="60">
        <f t="shared" si="27"/>
        <v>33.309799999999996</v>
      </c>
      <c r="AZ302" s="60">
        <f t="shared" si="28"/>
        <v>30.011800000000001</v>
      </c>
      <c r="BA302" s="61">
        <f t="shared" si="29"/>
        <v>16.9847</v>
      </c>
    </row>
    <row r="303" spans="1:53" ht="22.5" customHeight="1">
      <c r="A303" s="64" t="s">
        <v>241</v>
      </c>
      <c r="B303" s="52" t="s">
        <v>64</v>
      </c>
      <c r="C303" s="53">
        <v>4016974</v>
      </c>
      <c r="D303" s="65" t="s">
        <v>473</v>
      </c>
      <c r="E303" s="65" t="s">
        <v>474</v>
      </c>
      <c r="F303" s="55">
        <v>3099</v>
      </c>
      <c r="G303" s="56">
        <v>1849</v>
      </c>
      <c r="H303" s="56">
        <v>1849</v>
      </c>
      <c r="I303" s="56">
        <v>1849</v>
      </c>
      <c r="J303" s="56">
        <v>1799</v>
      </c>
      <c r="K303" s="56">
        <v>1599</v>
      </c>
      <c r="L303" s="56">
        <v>1599</v>
      </c>
      <c r="M303" s="56">
        <v>1799</v>
      </c>
      <c r="N303" s="56">
        <v>1599</v>
      </c>
      <c r="O303" s="56">
        <v>1549</v>
      </c>
      <c r="P303" s="56">
        <v>1499</v>
      </c>
      <c r="Q303" s="56">
        <v>1299</v>
      </c>
      <c r="R303" s="56">
        <v>1549</v>
      </c>
      <c r="S303" s="56">
        <v>1499</v>
      </c>
      <c r="T303" s="56">
        <v>1299</v>
      </c>
      <c r="U303" s="56">
        <v>1299</v>
      </c>
      <c r="V303" s="56">
        <v>1299</v>
      </c>
      <c r="W303" s="56">
        <v>1299</v>
      </c>
      <c r="X303" s="56">
        <v>1299</v>
      </c>
      <c r="Y303" s="56">
        <v>1299</v>
      </c>
      <c r="Z303" s="56">
        <v>1299</v>
      </c>
      <c r="AA303" s="56">
        <v>1299</v>
      </c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7"/>
      <c r="AW303" s="58" t="s">
        <v>67</v>
      </c>
      <c r="AX303" s="59" t="s">
        <v>68</v>
      </c>
      <c r="AY303" s="60">
        <f t="shared" si="27"/>
        <v>37.349800000000002</v>
      </c>
      <c r="AZ303" s="60">
        <f t="shared" si="28"/>
        <v>33.651800000000001</v>
      </c>
      <c r="BA303" s="61">
        <f t="shared" si="29"/>
        <v>19.044699999999999</v>
      </c>
    </row>
    <row r="304" spans="1:53" ht="22.5" customHeight="1">
      <c r="A304" s="64" t="s">
        <v>241</v>
      </c>
      <c r="B304" s="52" t="s">
        <v>64</v>
      </c>
      <c r="C304" s="53">
        <v>4016989</v>
      </c>
      <c r="D304" s="65" t="s">
        <v>473</v>
      </c>
      <c r="E304" s="65" t="s">
        <v>475</v>
      </c>
      <c r="F304" s="55">
        <v>3099</v>
      </c>
      <c r="G304" s="56">
        <v>1849</v>
      </c>
      <c r="H304" s="56">
        <v>1849</v>
      </c>
      <c r="I304" s="56">
        <v>1849</v>
      </c>
      <c r="J304" s="56">
        <v>1799</v>
      </c>
      <c r="K304" s="56">
        <v>1599</v>
      </c>
      <c r="L304" s="56">
        <v>1599</v>
      </c>
      <c r="M304" s="56">
        <v>1799</v>
      </c>
      <c r="N304" s="56">
        <v>1599</v>
      </c>
      <c r="O304" s="56">
        <v>1549</v>
      </c>
      <c r="P304" s="56">
        <v>1499</v>
      </c>
      <c r="Q304" s="56">
        <v>1299</v>
      </c>
      <c r="R304" s="56">
        <v>1549</v>
      </c>
      <c r="S304" s="56">
        <v>1499</v>
      </c>
      <c r="T304" s="56">
        <v>1299</v>
      </c>
      <c r="U304" s="56">
        <v>1299</v>
      </c>
      <c r="V304" s="56">
        <v>1299</v>
      </c>
      <c r="W304" s="56">
        <v>1299</v>
      </c>
      <c r="X304" s="56">
        <v>1299</v>
      </c>
      <c r="Y304" s="56">
        <v>1299</v>
      </c>
      <c r="Z304" s="56">
        <v>1299</v>
      </c>
      <c r="AA304" s="56">
        <v>1299</v>
      </c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7"/>
      <c r="AW304" s="58" t="s">
        <v>67</v>
      </c>
      <c r="AX304" s="59" t="s">
        <v>68</v>
      </c>
      <c r="AY304" s="60">
        <f t="shared" si="27"/>
        <v>37.349800000000002</v>
      </c>
      <c r="AZ304" s="60">
        <f t="shared" si="28"/>
        <v>33.651800000000001</v>
      </c>
      <c r="BA304" s="61">
        <f t="shared" si="29"/>
        <v>19.044699999999999</v>
      </c>
    </row>
    <row r="305" spans="1:53" ht="22.5" customHeight="1">
      <c r="A305" s="64" t="s">
        <v>241</v>
      </c>
      <c r="B305" s="52" t="s">
        <v>64</v>
      </c>
      <c r="C305" s="53">
        <v>4016978</v>
      </c>
      <c r="D305" s="65" t="s">
        <v>473</v>
      </c>
      <c r="E305" s="65" t="s">
        <v>476</v>
      </c>
      <c r="F305" s="55">
        <v>3099</v>
      </c>
      <c r="G305" s="56">
        <v>1849</v>
      </c>
      <c r="H305" s="56">
        <v>1849</v>
      </c>
      <c r="I305" s="56">
        <v>1849</v>
      </c>
      <c r="J305" s="56">
        <v>1799</v>
      </c>
      <c r="K305" s="56">
        <v>1599</v>
      </c>
      <c r="L305" s="56">
        <v>1599</v>
      </c>
      <c r="M305" s="56">
        <v>1799</v>
      </c>
      <c r="N305" s="56">
        <v>1599</v>
      </c>
      <c r="O305" s="56">
        <v>1549</v>
      </c>
      <c r="P305" s="56">
        <v>1499</v>
      </c>
      <c r="Q305" s="56">
        <v>1299</v>
      </c>
      <c r="R305" s="56">
        <v>1549</v>
      </c>
      <c r="S305" s="56">
        <v>1499</v>
      </c>
      <c r="T305" s="56">
        <v>1299</v>
      </c>
      <c r="U305" s="56">
        <v>1299</v>
      </c>
      <c r="V305" s="56">
        <v>1299</v>
      </c>
      <c r="W305" s="56">
        <v>1299</v>
      </c>
      <c r="X305" s="56">
        <v>1299</v>
      </c>
      <c r="Y305" s="56">
        <v>1299</v>
      </c>
      <c r="Z305" s="56">
        <v>1299</v>
      </c>
      <c r="AA305" s="56">
        <v>1299</v>
      </c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7"/>
      <c r="AW305" s="58" t="s">
        <v>67</v>
      </c>
      <c r="AX305" s="59" t="s">
        <v>68</v>
      </c>
      <c r="AY305" s="60">
        <f t="shared" si="27"/>
        <v>37.349800000000002</v>
      </c>
      <c r="AZ305" s="60">
        <f t="shared" si="28"/>
        <v>33.651800000000001</v>
      </c>
      <c r="BA305" s="61">
        <f t="shared" si="29"/>
        <v>19.044699999999999</v>
      </c>
    </row>
    <row r="306" spans="1:53" ht="22.5" customHeight="1">
      <c r="A306" s="64" t="s">
        <v>241</v>
      </c>
      <c r="B306" s="52" t="s">
        <v>64</v>
      </c>
      <c r="C306" s="53">
        <v>4016994</v>
      </c>
      <c r="D306" s="65" t="s">
        <v>473</v>
      </c>
      <c r="E306" s="65" t="s">
        <v>477</v>
      </c>
      <c r="F306" s="55">
        <v>3099</v>
      </c>
      <c r="G306" s="56">
        <v>1849</v>
      </c>
      <c r="H306" s="56">
        <v>1849</v>
      </c>
      <c r="I306" s="56">
        <v>1849</v>
      </c>
      <c r="J306" s="56">
        <v>1799</v>
      </c>
      <c r="K306" s="56">
        <v>1599</v>
      </c>
      <c r="L306" s="56">
        <v>1599</v>
      </c>
      <c r="M306" s="56">
        <v>1799</v>
      </c>
      <c r="N306" s="56">
        <v>1599</v>
      </c>
      <c r="O306" s="56">
        <v>1549</v>
      </c>
      <c r="P306" s="56">
        <v>1499</v>
      </c>
      <c r="Q306" s="56">
        <v>1299</v>
      </c>
      <c r="R306" s="56">
        <v>1549</v>
      </c>
      <c r="S306" s="56">
        <v>1499</v>
      </c>
      <c r="T306" s="56">
        <v>1299</v>
      </c>
      <c r="U306" s="56">
        <v>1299</v>
      </c>
      <c r="V306" s="56">
        <v>1299</v>
      </c>
      <c r="W306" s="56">
        <v>1299</v>
      </c>
      <c r="X306" s="56">
        <v>1299</v>
      </c>
      <c r="Y306" s="56">
        <v>1299</v>
      </c>
      <c r="Z306" s="56">
        <v>1299</v>
      </c>
      <c r="AA306" s="56">
        <v>1299</v>
      </c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7"/>
      <c r="AW306" s="58" t="s">
        <v>67</v>
      </c>
      <c r="AX306" s="59" t="s">
        <v>68</v>
      </c>
      <c r="AY306" s="60">
        <f t="shared" si="27"/>
        <v>37.349800000000002</v>
      </c>
      <c r="AZ306" s="60">
        <f t="shared" si="28"/>
        <v>33.651800000000001</v>
      </c>
      <c r="BA306" s="61">
        <f t="shared" si="29"/>
        <v>19.044699999999999</v>
      </c>
    </row>
    <row r="307" spans="1:53" ht="22.5" customHeight="1">
      <c r="A307" s="64" t="s">
        <v>241</v>
      </c>
      <c r="B307" s="52" t="s">
        <v>64</v>
      </c>
      <c r="C307" s="53">
        <v>4017060</v>
      </c>
      <c r="D307" s="65" t="s">
        <v>473</v>
      </c>
      <c r="E307" s="65" t="s">
        <v>478</v>
      </c>
      <c r="F307" s="55">
        <v>3099</v>
      </c>
      <c r="G307" s="56">
        <v>1849</v>
      </c>
      <c r="H307" s="56">
        <v>1849</v>
      </c>
      <c r="I307" s="56">
        <v>1849</v>
      </c>
      <c r="J307" s="56">
        <v>1799</v>
      </c>
      <c r="K307" s="56">
        <v>1599</v>
      </c>
      <c r="L307" s="56">
        <v>1599</v>
      </c>
      <c r="M307" s="56">
        <v>1799</v>
      </c>
      <c r="N307" s="56">
        <v>1599</v>
      </c>
      <c r="O307" s="56">
        <v>1549</v>
      </c>
      <c r="P307" s="56">
        <v>1499</v>
      </c>
      <c r="Q307" s="56">
        <v>1299</v>
      </c>
      <c r="R307" s="56">
        <v>1549</v>
      </c>
      <c r="S307" s="56">
        <v>1499</v>
      </c>
      <c r="T307" s="56">
        <v>1299</v>
      </c>
      <c r="U307" s="56">
        <v>1299</v>
      </c>
      <c r="V307" s="56">
        <v>1299</v>
      </c>
      <c r="W307" s="56">
        <v>1299</v>
      </c>
      <c r="X307" s="56">
        <v>1299</v>
      </c>
      <c r="Y307" s="56">
        <v>1299</v>
      </c>
      <c r="Z307" s="56">
        <v>1299</v>
      </c>
      <c r="AA307" s="56">
        <v>1299</v>
      </c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7"/>
      <c r="AW307" s="58" t="s">
        <v>67</v>
      </c>
      <c r="AX307" s="59" t="s">
        <v>68</v>
      </c>
      <c r="AY307" s="60">
        <f t="shared" si="27"/>
        <v>37.349800000000002</v>
      </c>
      <c r="AZ307" s="60">
        <f t="shared" si="28"/>
        <v>33.651800000000001</v>
      </c>
      <c r="BA307" s="61">
        <f t="shared" si="29"/>
        <v>19.044699999999999</v>
      </c>
    </row>
    <row r="308" spans="1:53" ht="22.5" customHeight="1">
      <c r="A308" s="64" t="s">
        <v>241</v>
      </c>
      <c r="B308" s="52" t="s">
        <v>64</v>
      </c>
      <c r="C308" s="53">
        <v>4017063</v>
      </c>
      <c r="D308" s="65" t="s">
        <v>473</v>
      </c>
      <c r="E308" s="65" t="s">
        <v>479</v>
      </c>
      <c r="F308" s="55">
        <v>3099</v>
      </c>
      <c r="G308" s="56">
        <v>1849</v>
      </c>
      <c r="H308" s="56">
        <v>1849</v>
      </c>
      <c r="I308" s="56">
        <v>1849</v>
      </c>
      <c r="J308" s="56">
        <v>1799</v>
      </c>
      <c r="K308" s="56">
        <v>1599</v>
      </c>
      <c r="L308" s="56">
        <v>1599</v>
      </c>
      <c r="M308" s="56">
        <v>1799</v>
      </c>
      <c r="N308" s="56">
        <v>1599</v>
      </c>
      <c r="O308" s="56">
        <v>1549</v>
      </c>
      <c r="P308" s="56">
        <v>1499</v>
      </c>
      <c r="Q308" s="56">
        <v>1299</v>
      </c>
      <c r="R308" s="56">
        <v>1549</v>
      </c>
      <c r="S308" s="56">
        <v>1499</v>
      </c>
      <c r="T308" s="56">
        <v>1299</v>
      </c>
      <c r="U308" s="56">
        <v>1299</v>
      </c>
      <c r="V308" s="56">
        <v>1299</v>
      </c>
      <c r="W308" s="56">
        <v>1299</v>
      </c>
      <c r="X308" s="56">
        <v>1299</v>
      </c>
      <c r="Y308" s="56">
        <v>1299</v>
      </c>
      <c r="Z308" s="56">
        <v>1299</v>
      </c>
      <c r="AA308" s="56">
        <v>1299</v>
      </c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7"/>
      <c r="AW308" s="58" t="s">
        <v>67</v>
      </c>
      <c r="AX308" s="59" t="s">
        <v>68</v>
      </c>
      <c r="AY308" s="60">
        <f t="shared" si="27"/>
        <v>37.349800000000002</v>
      </c>
      <c r="AZ308" s="60">
        <f t="shared" si="28"/>
        <v>33.651800000000001</v>
      </c>
      <c r="BA308" s="61">
        <f t="shared" si="29"/>
        <v>19.044699999999999</v>
      </c>
    </row>
    <row r="309" spans="1:53" ht="22.5" customHeight="1">
      <c r="A309" s="64" t="s">
        <v>241</v>
      </c>
      <c r="B309" s="52" t="s">
        <v>64</v>
      </c>
      <c r="C309" s="53">
        <v>4017856</v>
      </c>
      <c r="D309" s="65" t="s">
        <v>480</v>
      </c>
      <c r="E309" s="65" t="s">
        <v>481</v>
      </c>
      <c r="F309" s="55">
        <v>3599</v>
      </c>
      <c r="G309" s="55">
        <v>2199</v>
      </c>
      <c r="H309" s="55">
        <v>2199</v>
      </c>
      <c r="I309" s="55">
        <v>2199</v>
      </c>
      <c r="J309" s="55">
        <v>2099</v>
      </c>
      <c r="K309" s="55">
        <v>2099</v>
      </c>
      <c r="L309" s="55">
        <v>2099</v>
      </c>
      <c r="M309" s="55">
        <v>2099</v>
      </c>
      <c r="N309" s="55">
        <v>2099</v>
      </c>
      <c r="O309" s="55">
        <v>2049</v>
      </c>
      <c r="P309" s="56">
        <v>1999</v>
      </c>
      <c r="Q309" s="56">
        <v>1499</v>
      </c>
      <c r="R309" s="55">
        <v>2049</v>
      </c>
      <c r="S309" s="55">
        <v>1999</v>
      </c>
      <c r="T309" s="55">
        <v>1499</v>
      </c>
      <c r="U309" s="55">
        <v>1499</v>
      </c>
      <c r="V309" s="55">
        <v>1499</v>
      </c>
      <c r="W309" s="55">
        <v>1499</v>
      </c>
      <c r="X309" s="55">
        <v>1399</v>
      </c>
      <c r="Y309" s="55">
        <v>1399</v>
      </c>
      <c r="Z309" s="55">
        <v>1399</v>
      </c>
      <c r="AA309" s="55">
        <v>1399</v>
      </c>
      <c r="AB309" s="55">
        <v>2099</v>
      </c>
      <c r="AC309" s="55">
        <v>2099</v>
      </c>
      <c r="AD309" s="55">
        <v>2099</v>
      </c>
      <c r="AE309" s="55">
        <v>2099</v>
      </c>
      <c r="AF309" s="55">
        <v>2049</v>
      </c>
      <c r="AG309" s="55">
        <v>1999</v>
      </c>
      <c r="AH309" s="55">
        <v>1499</v>
      </c>
      <c r="AI309" s="55">
        <v>1499</v>
      </c>
      <c r="AJ309" s="55">
        <v>1499</v>
      </c>
      <c r="AK309" s="55">
        <v>1499</v>
      </c>
      <c r="AL309" s="55">
        <v>1399</v>
      </c>
      <c r="AM309" s="55"/>
      <c r="AN309" s="55"/>
      <c r="AO309" s="55"/>
      <c r="AP309" s="55"/>
      <c r="AQ309" s="55"/>
      <c r="AR309" s="55"/>
      <c r="AS309" s="55"/>
      <c r="AT309" s="55"/>
      <c r="AU309" s="55"/>
      <c r="AV309" s="57"/>
      <c r="AW309" s="58" t="s">
        <v>67</v>
      </c>
      <c r="AX309" s="59" t="s">
        <v>68</v>
      </c>
      <c r="AY309" s="62">
        <f t="shared" si="27"/>
        <v>44.419799999999995</v>
      </c>
      <c r="AZ309" s="62">
        <f t="shared" si="28"/>
        <v>40.021799999999999</v>
      </c>
      <c r="BA309" s="63">
        <f t="shared" si="29"/>
        <v>22.649699999999999</v>
      </c>
    </row>
    <row r="310" spans="1:53" ht="22.5" customHeight="1">
      <c r="A310" s="64" t="s">
        <v>241</v>
      </c>
      <c r="B310" s="52" t="s">
        <v>64</v>
      </c>
      <c r="C310" s="53">
        <v>4017873</v>
      </c>
      <c r="D310" s="65" t="s">
        <v>480</v>
      </c>
      <c r="E310" s="65" t="s">
        <v>482</v>
      </c>
      <c r="F310" s="55">
        <v>3599</v>
      </c>
      <c r="G310" s="55">
        <v>2199</v>
      </c>
      <c r="H310" s="55">
        <v>2199</v>
      </c>
      <c r="I310" s="55">
        <v>2199</v>
      </c>
      <c r="J310" s="55">
        <v>2099</v>
      </c>
      <c r="K310" s="55">
        <v>2099</v>
      </c>
      <c r="L310" s="55">
        <v>2099</v>
      </c>
      <c r="M310" s="55">
        <v>2099</v>
      </c>
      <c r="N310" s="55">
        <v>2099</v>
      </c>
      <c r="O310" s="55">
        <v>2049</v>
      </c>
      <c r="P310" s="56">
        <v>1999</v>
      </c>
      <c r="Q310" s="56">
        <v>1499</v>
      </c>
      <c r="R310" s="55">
        <v>2049</v>
      </c>
      <c r="S310" s="55">
        <v>1999</v>
      </c>
      <c r="T310" s="55">
        <v>1499</v>
      </c>
      <c r="U310" s="55">
        <v>1499</v>
      </c>
      <c r="V310" s="55">
        <v>1499</v>
      </c>
      <c r="W310" s="55">
        <v>1499</v>
      </c>
      <c r="X310" s="55">
        <v>1399</v>
      </c>
      <c r="Y310" s="55">
        <v>1399</v>
      </c>
      <c r="Z310" s="55">
        <v>1399</v>
      </c>
      <c r="AA310" s="55">
        <v>1399</v>
      </c>
      <c r="AB310" s="55">
        <v>2099</v>
      </c>
      <c r="AC310" s="55">
        <v>2099</v>
      </c>
      <c r="AD310" s="55">
        <v>2099</v>
      </c>
      <c r="AE310" s="55">
        <v>2099</v>
      </c>
      <c r="AF310" s="55">
        <v>2049</v>
      </c>
      <c r="AG310" s="55">
        <v>1999</v>
      </c>
      <c r="AH310" s="55">
        <v>1499</v>
      </c>
      <c r="AI310" s="55">
        <v>1499</v>
      </c>
      <c r="AJ310" s="55">
        <v>1499</v>
      </c>
      <c r="AK310" s="55">
        <v>1499</v>
      </c>
      <c r="AL310" s="55">
        <v>1399</v>
      </c>
      <c r="AM310" s="55"/>
      <c r="AN310" s="55"/>
      <c r="AO310" s="55"/>
      <c r="AP310" s="55"/>
      <c r="AQ310" s="55"/>
      <c r="AR310" s="55"/>
      <c r="AS310" s="55"/>
      <c r="AT310" s="55"/>
      <c r="AU310" s="55"/>
      <c r="AV310" s="57"/>
      <c r="AW310" s="58" t="s">
        <v>67</v>
      </c>
      <c r="AX310" s="59" t="s">
        <v>68</v>
      </c>
      <c r="AY310" s="62">
        <f t="shared" si="27"/>
        <v>44.419799999999995</v>
      </c>
      <c r="AZ310" s="62">
        <f t="shared" si="28"/>
        <v>40.021799999999999</v>
      </c>
      <c r="BA310" s="63">
        <f t="shared" si="29"/>
        <v>22.649699999999999</v>
      </c>
    </row>
    <row r="311" spans="1:53" ht="22.5" customHeight="1">
      <c r="A311" s="64" t="s">
        <v>241</v>
      </c>
      <c r="B311" s="52" t="s">
        <v>64</v>
      </c>
      <c r="C311" s="53">
        <v>4017838</v>
      </c>
      <c r="D311" s="65" t="s">
        <v>480</v>
      </c>
      <c r="E311" s="65" t="s">
        <v>483</v>
      </c>
      <c r="F311" s="55">
        <v>3599</v>
      </c>
      <c r="G311" s="55">
        <v>2199</v>
      </c>
      <c r="H311" s="55">
        <v>2199</v>
      </c>
      <c r="I311" s="55">
        <v>2199</v>
      </c>
      <c r="J311" s="55">
        <v>2099</v>
      </c>
      <c r="K311" s="55">
        <v>2099</v>
      </c>
      <c r="L311" s="55">
        <v>2099</v>
      </c>
      <c r="M311" s="55">
        <v>2099</v>
      </c>
      <c r="N311" s="55">
        <v>2099</v>
      </c>
      <c r="O311" s="55">
        <v>2049</v>
      </c>
      <c r="P311" s="56">
        <v>1999</v>
      </c>
      <c r="Q311" s="56">
        <v>1499</v>
      </c>
      <c r="R311" s="55">
        <v>2049</v>
      </c>
      <c r="S311" s="55">
        <v>1999</v>
      </c>
      <c r="T311" s="55">
        <v>1499</v>
      </c>
      <c r="U311" s="55">
        <v>1499</v>
      </c>
      <c r="V311" s="55">
        <v>1499</v>
      </c>
      <c r="W311" s="55">
        <v>1499</v>
      </c>
      <c r="X311" s="55">
        <v>1399</v>
      </c>
      <c r="Y311" s="55">
        <v>1399</v>
      </c>
      <c r="Z311" s="55">
        <v>1399</v>
      </c>
      <c r="AA311" s="55">
        <v>1399</v>
      </c>
      <c r="AB311" s="55">
        <v>2099</v>
      </c>
      <c r="AC311" s="55">
        <v>2099</v>
      </c>
      <c r="AD311" s="55">
        <v>2099</v>
      </c>
      <c r="AE311" s="55">
        <v>2099</v>
      </c>
      <c r="AF311" s="55">
        <v>2049</v>
      </c>
      <c r="AG311" s="55">
        <v>1999</v>
      </c>
      <c r="AH311" s="55">
        <v>1499</v>
      </c>
      <c r="AI311" s="55">
        <v>1499</v>
      </c>
      <c r="AJ311" s="55">
        <v>1499</v>
      </c>
      <c r="AK311" s="55">
        <v>1499</v>
      </c>
      <c r="AL311" s="55">
        <v>1399</v>
      </c>
      <c r="AM311" s="55"/>
      <c r="AN311" s="55"/>
      <c r="AO311" s="55"/>
      <c r="AP311" s="55"/>
      <c r="AQ311" s="55"/>
      <c r="AR311" s="55"/>
      <c r="AS311" s="55"/>
      <c r="AT311" s="55"/>
      <c r="AU311" s="55"/>
      <c r="AV311" s="57"/>
      <c r="AW311" s="58" t="s">
        <v>67</v>
      </c>
      <c r="AX311" s="59" t="s">
        <v>68</v>
      </c>
      <c r="AY311" s="62">
        <f t="shared" si="27"/>
        <v>44.419799999999995</v>
      </c>
      <c r="AZ311" s="62">
        <f t="shared" si="28"/>
        <v>40.021799999999999</v>
      </c>
      <c r="BA311" s="63">
        <f t="shared" si="29"/>
        <v>22.649699999999999</v>
      </c>
    </row>
    <row r="312" spans="1:53" ht="22.5" customHeight="1">
      <c r="A312" s="64" t="s">
        <v>241</v>
      </c>
      <c r="B312" s="52" t="s">
        <v>64</v>
      </c>
      <c r="C312" s="53">
        <v>4017854</v>
      </c>
      <c r="D312" s="65" t="s">
        <v>480</v>
      </c>
      <c r="E312" s="65" t="s">
        <v>484</v>
      </c>
      <c r="F312" s="55">
        <v>3599</v>
      </c>
      <c r="G312" s="55">
        <v>2199</v>
      </c>
      <c r="H312" s="55">
        <v>2199</v>
      </c>
      <c r="I312" s="55">
        <v>2199</v>
      </c>
      <c r="J312" s="55">
        <v>2099</v>
      </c>
      <c r="K312" s="55">
        <v>2099</v>
      </c>
      <c r="L312" s="55">
        <v>2099</v>
      </c>
      <c r="M312" s="55">
        <v>2099</v>
      </c>
      <c r="N312" s="55">
        <v>2099</v>
      </c>
      <c r="O312" s="55">
        <v>2049</v>
      </c>
      <c r="P312" s="56">
        <v>1999</v>
      </c>
      <c r="Q312" s="56">
        <v>1499</v>
      </c>
      <c r="R312" s="55">
        <v>2049</v>
      </c>
      <c r="S312" s="55">
        <v>1999</v>
      </c>
      <c r="T312" s="55">
        <v>1499</v>
      </c>
      <c r="U312" s="55">
        <v>1499</v>
      </c>
      <c r="V312" s="55">
        <v>1499</v>
      </c>
      <c r="W312" s="55">
        <v>1499</v>
      </c>
      <c r="X312" s="55">
        <v>1399</v>
      </c>
      <c r="Y312" s="55">
        <v>1399</v>
      </c>
      <c r="Z312" s="55">
        <v>1399</v>
      </c>
      <c r="AA312" s="55">
        <v>1399</v>
      </c>
      <c r="AB312" s="55">
        <v>2099</v>
      </c>
      <c r="AC312" s="55">
        <v>2099</v>
      </c>
      <c r="AD312" s="55">
        <v>2099</v>
      </c>
      <c r="AE312" s="55">
        <v>2099</v>
      </c>
      <c r="AF312" s="55">
        <v>2049</v>
      </c>
      <c r="AG312" s="55">
        <v>1999</v>
      </c>
      <c r="AH312" s="55">
        <v>1499</v>
      </c>
      <c r="AI312" s="55">
        <v>1499</v>
      </c>
      <c r="AJ312" s="55">
        <v>1499</v>
      </c>
      <c r="AK312" s="55">
        <v>1499</v>
      </c>
      <c r="AL312" s="55">
        <v>1399</v>
      </c>
      <c r="AM312" s="55"/>
      <c r="AN312" s="55"/>
      <c r="AO312" s="55"/>
      <c r="AP312" s="55"/>
      <c r="AQ312" s="55"/>
      <c r="AR312" s="55"/>
      <c r="AS312" s="55"/>
      <c r="AT312" s="55"/>
      <c r="AU312" s="55"/>
      <c r="AV312" s="57"/>
      <c r="AW312" s="58" t="s">
        <v>67</v>
      </c>
      <c r="AX312" s="59" t="s">
        <v>68</v>
      </c>
      <c r="AY312" s="62">
        <f t="shared" si="27"/>
        <v>44.419799999999995</v>
      </c>
      <c r="AZ312" s="62">
        <f t="shared" si="28"/>
        <v>40.021799999999999</v>
      </c>
      <c r="BA312" s="63">
        <f t="shared" si="29"/>
        <v>22.649699999999999</v>
      </c>
    </row>
    <row r="313" spans="1:53" ht="22.5" customHeight="1">
      <c r="A313" s="64" t="s">
        <v>241</v>
      </c>
      <c r="B313" s="52" t="s">
        <v>64</v>
      </c>
      <c r="C313" s="53">
        <v>4017850</v>
      </c>
      <c r="D313" s="65" t="s">
        <v>480</v>
      </c>
      <c r="E313" s="65" t="s">
        <v>485</v>
      </c>
      <c r="F313" s="55">
        <v>3599</v>
      </c>
      <c r="G313" s="55">
        <v>2199</v>
      </c>
      <c r="H313" s="55">
        <v>2199</v>
      </c>
      <c r="I313" s="55">
        <v>2199</v>
      </c>
      <c r="J313" s="55">
        <v>2099</v>
      </c>
      <c r="K313" s="55">
        <v>2099</v>
      </c>
      <c r="L313" s="55">
        <v>2099</v>
      </c>
      <c r="M313" s="55">
        <v>2099</v>
      </c>
      <c r="N313" s="55">
        <v>2099</v>
      </c>
      <c r="O313" s="55">
        <v>2049</v>
      </c>
      <c r="P313" s="56">
        <v>1999</v>
      </c>
      <c r="Q313" s="56">
        <v>1499</v>
      </c>
      <c r="R313" s="55">
        <v>2049</v>
      </c>
      <c r="S313" s="55">
        <v>1999</v>
      </c>
      <c r="T313" s="55">
        <v>1499</v>
      </c>
      <c r="U313" s="55">
        <v>1499</v>
      </c>
      <c r="V313" s="55">
        <v>1499</v>
      </c>
      <c r="W313" s="55">
        <v>1499</v>
      </c>
      <c r="X313" s="55">
        <v>1399</v>
      </c>
      <c r="Y313" s="55">
        <v>1399</v>
      </c>
      <c r="Z313" s="55">
        <v>1399</v>
      </c>
      <c r="AA313" s="55">
        <v>1399</v>
      </c>
      <c r="AB313" s="55">
        <v>2099</v>
      </c>
      <c r="AC313" s="55">
        <v>2099</v>
      </c>
      <c r="AD313" s="55">
        <v>2099</v>
      </c>
      <c r="AE313" s="55">
        <v>2099</v>
      </c>
      <c r="AF313" s="55">
        <v>2049</v>
      </c>
      <c r="AG313" s="55">
        <v>1999</v>
      </c>
      <c r="AH313" s="55">
        <v>1499</v>
      </c>
      <c r="AI313" s="55">
        <v>1499</v>
      </c>
      <c r="AJ313" s="55">
        <v>1499</v>
      </c>
      <c r="AK313" s="55">
        <v>1499</v>
      </c>
      <c r="AL313" s="55">
        <v>1399</v>
      </c>
      <c r="AM313" s="55"/>
      <c r="AN313" s="55"/>
      <c r="AO313" s="55"/>
      <c r="AP313" s="55"/>
      <c r="AQ313" s="55"/>
      <c r="AR313" s="55"/>
      <c r="AS313" s="55"/>
      <c r="AT313" s="55"/>
      <c r="AU313" s="55"/>
      <c r="AV313" s="57"/>
      <c r="AW313" s="58" t="s">
        <v>67</v>
      </c>
      <c r="AX313" s="59" t="s">
        <v>68</v>
      </c>
      <c r="AY313" s="62">
        <f t="shared" si="27"/>
        <v>44.419799999999995</v>
      </c>
      <c r="AZ313" s="62">
        <f t="shared" si="28"/>
        <v>40.021799999999999</v>
      </c>
      <c r="BA313" s="63">
        <f t="shared" si="29"/>
        <v>22.649699999999999</v>
      </c>
    </row>
    <row r="314" spans="1:53" ht="22.5" customHeight="1">
      <c r="A314" s="64" t="s">
        <v>241</v>
      </c>
      <c r="B314" s="52" t="s">
        <v>64</v>
      </c>
      <c r="C314" s="53">
        <v>4017869</v>
      </c>
      <c r="D314" s="65" t="s">
        <v>480</v>
      </c>
      <c r="E314" s="65" t="s">
        <v>486</v>
      </c>
      <c r="F314" s="55">
        <v>3599</v>
      </c>
      <c r="G314" s="55">
        <v>2199</v>
      </c>
      <c r="H314" s="55">
        <v>2199</v>
      </c>
      <c r="I314" s="55">
        <v>2199</v>
      </c>
      <c r="J314" s="55">
        <v>2099</v>
      </c>
      <c r="K314" s="55">
        <v>2099</v>
      </c>
      <c r="L314" s="55">
        <v>2099</v>
      </c>
      <c r="M314" s="55">
        <v>2099</v>
      </c>
      <c r="N314" s="55">
        <v>2099</v>
      </c>
      <c r="O314" s="55">
        <v>2049</v>
      </c>
      <c r="P314" s="56">
        <v>1999</v>
      </c>
      <c r="Q314" s="56">
        <v>1499</v>
      </c>
      <c r="R314" s="55">
        <v>2049</v>
      </c>
      <c r="S314" s="55">
        <v>1999</v>
      </c>
      <c r="T314" s="55">
        <v>1499</v>
      </c>
      <c r="U314" s="55">
        <v>1499</v>
      </c>
      <c r="V314" s="55">
        <v>1499</v>
      </c>
      <c r="W314" s="55">
        <v>1499</v>
      </c>
      <c r="X314" s="55">
        <v>1399</v>
      </c>
      <c r="Y314" s="55">
        <v>1399</v>
      </c>
      <c r="Z314" s="55">
        <v>1399</v>
      </c>
      <c r="AA314" s="55">
        <v>1399</v>
      </c>
      <c r="AB314" s="55">
        <v>2099</v>
      </c>
      <c r="AC314" s="55">
        <v>2099</v>
      </c>
      <c r="AD314" s="55">
        <v>2099</v>
      </c>
      <c r="AE314" s="55">
        <v>2099</v>
      </c>
      <c r="AF314" s="55">
        <v>2049</v>
      </c>
      <c r="AG314" s="55">
        <v>1999</v>
      </c>
      <c r="AH314" s="55">
        <v>1499</v>
      </c>
      <c r="AI314" s="55">
        <v>1499</v>
      </c>
      <c r="AJ314" s="55">
        <v>1499</v>
      </c>
      <c r="AK314" s="55">
        <v>1499</v>
      </c>
      <c r="AL314" s="55">
        <v>1399</v>
      </c>
      <c r="AM314" s="55"/>
      <c r="AN314" s="55"/>
      <c r="AO314" s="55"/>
      <c r="AP314" s="55"/>
      <c r="AQ314" s="55"/>
      <c r="AR314" s="55"/>
      <c r="AS314" s="55"/>
      <c r="AT314" s="55"/>
      <c r="AU314" s="55"/>
      <c r="AV314" s="57"/>
      <c r="AW314" s="58" t="s">
        <v>67</v>
      </c>
      <c r="AX314" s="59" t="s">
        <v>68</v>
      </c>
      <c r="AY314" s="62">
        <f t="shared" si="27"/>
        <v>44.419799999999995</v>
      </c>
      <c r="AZ314" s="62">
        <f t="shared" si="28"/>
        <v>40.021799999999999</v>
      </c>
      <c r="BA314" s="63">
        <f t="shared" si="29"/>
        <v>22.649699999999999</v>
      </c>
    </row>
    <row r="315" spans="1:53" ht="22.5" customHeight="1">
      <c r="A315" s="64" t="s">
        <v>241</v>
      </c>
      <c r="B315" s="52" t="s">
        <v>64</v>
      </c>
      <c r="C315" s="53">
        <v>4014478</v>
      </c>
      <c r="D315" s="65" t="s">
        <v>487</v>
      </c>
      <c r="E315" s="65" t="s">
        <v>488</v>
      </c>
      <c r="F315" s="55">
        <v>899</v>
      </c>
      <c r="G315" s="55">
        <v>599</v>
      </c>
      <c r="H315" s="55">
        <v>599</v>
      </c>
      <c r="I315" s="55">
        <v>599</v>
      </c>
      <c r="J315" s="55">
        <f t="shared" si="24"/>
        <v>499</v>
      </c>
      <c r="K315" s="55">
        <f t="shared" ref="K315:L342" si="30">M315</f>
        <v>499</v>
      </c>
      <c r="L315" s="55">
        <f t="shared" si="30"/>
        <v>499</v>
      </c>
      <c r="M315" s="55">
        <v>499</v>
      </c>
      <c r="N315" s="55">
        <v>499</v>
      </c>
      <c r="O315" s="55">
        <f t="shared" si="26"/>
        <v>449</v>
      </c>
      <c r="P315" s="56">
        <f t="shared" si="26"/>
        <v>449</v>
      </c>
      <c r="Q315" s="56">
        <f t="shared" si="26"/>
        <v>449</v>
      </c>
      <c r="R315" s="55">
        <v>449</v>
      </c>
      <c r="S315" s="55">
        <v>449</v>
      </c>
      <c r="T315" s="55">
        <v>449</v>
      </c>
      <c r="U315" s="55">
        <v>449</v>
      </c>
      <c r="V315" s="55">
        <v>449</v>
      </c>
      <c r="W315" s="55">
        <v>449</v>
      </c>
      <c r="X315" s="55">
        <v>449</v>
      </c>
      <c r="Y315" s="55">
        <v>449</v>
      </c>
      <c r="Z315" s="55">
        <v>449</v>
      </c>
      <c r="AA315" s="55">
        <v>449</v>
      </c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7"/>
      <c r="AW315" s="58" t="s">
        <v>67</v>
      </c>
      <c r="AX315" s="59" t="s">
        <v>68</v>
      </c>
      <c r="AY315" s="60">
        <f t="shared" si="27"/>
        <v>12.0998</v>
      </c>
      <c r="AZ315" s="60">
        <f t="shared" si="28"/>
        <v>10.9018</v>
      </c>
      <c r="BA315" s="61">
        <f t="shared" si="29"/>
        <v>6.1696999999999997</v>
      </c>
    </row>
    <row r="316" spans="1:53" ht="22.5" customHeight="1">
      <c r="A316" s="64" t="s">
        <v>241</v>
      </c>
      <c r="B316" s="52" t="s">
        <v>64</v>
      </c>
      <c r="C316" s="53">
        <v>4014480</v>
      </c>
      <c r="D316" s="65" t="s">
        <v>487</v>
      </c>
      <c r="E316" s="65" t="s">
        <v>489</v>
      </c>
      <c r="F316" s="55">
        <v>899</v>
      </c>
      <c r="G316" s="55">
        <v>599</v>
      </c>
      <c r="H316" s="55">
        <v>599</v>
      </c>
      <c r="I316" s="55">
        <v>599</v>
      </c>
      <c r="J316" s="55">
        <f t="shared" si="24"/>
        <v>499</v>
      </c>
      <c r="K316" s="55">
        <f t="shared" si="30"/>
        <v>499</v>
      </c>
      <c r="L316" s="55">
        <f t="shared" si="30"/>
        <v>499</v>
      </c>
      <c r="M316" s="55">
        <v>499</v>
      </c>
      <c r="N316" s="55">
        <v>499</v>
      </c>
      <c r="O316" s="55">
        <f t="shared" si="26"/>
        <v>449</v>
      </c>
      <c r="P316" s="56">
        <f t="shared" si="26"/>
        <v>449</v>
      </c>
      <c r="Q316" s="56">
        <f t="shared" si="26"/>
        <v>449</v>
      </c>
      <c r="R316" s="55">
        <v>449</v>
      </c>
      <c r="S316" s="55">
        <v>449</v>
      </c>
      <c r="T316" s="55">
        <v>449</v>
      </c>
      <c r="U316" s="55">
        <v>449</v>
      </c>
      <c r="V316" s="55">
        <v>449</v>
      </c>
      <c r="W316" s="55">
        <v>449</v>
      </c>
      <c r="X316" s="55">
        <v>449</v>
      </c>
      <c r="Y316" s="55">
        <v>449</v>
      </c>
      <c r="Z316" s="55">
        <v>449</v>
      </c>
      <c r="AA316" s="55">
        <v>449</v>
      </c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AV316" s="57"/>
      <c r="AW316" s="58" t="s">
        <v>67</v>
      </c>
      <c r="AX316" s="59" t="s">
        <v>68</v>
      </c>
      <c r="AY316" s="60">
        <f t="shared" si="27"/>
        <v>12.0998</v>
      </c>
      <c r="AZ316" s="60">
        <f t="shared" si="28"/>
        <v>10.9018</v>
      </c>
      <c r="BA316" s="61">
        <f t="shared" si="29"/>
        <v>6.1696999999999997</v>
      </c>
    </row>
    <row r="317" spans="1:53" ht="22.5" customHeight="1">
      <c r="A317" s="64" t="s">
        <v>241</v>
      </c>
      <c r="B317" s="52" t="s">
        <v>64</v>
      </c>
      <c r="C317" s="53">
        <v>4014519</v>
      </c>
      <c r="D317" s="65" t="s">
        <v>487</v>
      </c>
      <c r="E317" s="65" t="s">
        <v>490</v>
      </c>
      <c r="F317" s="55">
        <v>899</v>
      </c>
      <c r="G317" s="55">
        <v>599</v>
      </c>
      <c r="H317" s="55">
        <v>599</v>
      </c>
      <c r="I317" s="55">
        <v>599</v>
      </c>
      <c r="J317" s="55">
        <f t="shared" si="24"/>
        <v>499</v>
      </c>
      <c r="K317" s="55">
        <f t="shared" si="30"/>
        <v>499</v>
      </c>
      <c r="L317" s="55">
        <f t="shared" si="30"/>
        <v>499</v>
      </c>
      <c r="M317" s="55">
        <v>499</v>
      </c>
      <c r="N317" s="55">
        <v>499</v>
      </c>
      <c r="O317" s="55">
        <f t="shared" si="26"/>
        <v>449</v>
      </c>
      <c r="P317" s="56">
        <f t="shared" si="26"/>
        <v>449</v>
      </c>
      <c r="Q317" s="56">
        <f t="shared" si="26"/>
        <v>449</v>
      </c>
      <c r="R317" s="55">
        <v>449</v>
      </c>
      <c r="S317" s="55">
        <v>449</v>
      </c>
      <c r="T317" s="55">
        <v>449</v>
      </c>
      <c r="U317" s="55">
        <v>449</v>
      </c>
      <c r="V317" s="55">
        <v>449</v>
      </c>
      <c r="W317" s="55">
        <v>449</v>
      </c>
      <c r="X317" s="55">
        <v>449</v>
      </c>
      <c r="Y317" s="55">
        <v>449</v>
      </c>
      <c r="Z317" s="55">
        <v>449</v>
      </c>
      <c r="AA317" s="55">
        <v>449</v>
      </c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7"/>
      <c r="AW317" s="58" t="s">
        <v>67</v>
      </c>
      <c r="AX317" s="59" t="s">
        <v>68</v>
      </c>
      <c r="AY317" s="60">
        <f t="shared" si="27"/>
        <v>12.0998</v>
      </c>
      <c r="AZ317" s="60">
        <f t="shared" si="28"/>
        <v>10.9018</v>
      </c>
      <c r="BA317" s="61">
        <f t="shared" si="29"/>
        <v>6.1696999999999997</v>
      </c>
    </row>
    <row r="318" spans="1:53" ht="22.5" customHeight="1">
      <c r="A318" s="64" t="s">
        <v>241</v>
      </c>
      <c r="B318" s="52" t="s">
        <v>64</v>
      </c>
      <c r="C318" s="53">
        <v>4015472</v>
      </c>
      <c r="D318" s="65" t="s">
        <v>491</v>
      </c>
      <c r="E318" s="65" t="s">
        <v>492</v>
      </c>
      <c r="F318" s="55">
        <v>3199</v>
      </c>
      <c r="G318" s="55">
        <v>1899</v>
      </c>
      <c r="H318" s="55">
        <v>1899</v>
      </c>
      <c r="I318" s="55">
        <v>1899</v>
      </c>
      <c r="J318" s="55">
        <f t="shared" si="24"/>
        <v>1699</v>
      </c>
      <c r="K318" s="55">
        <f t="shared" si="30"/>
        <v>1699</v>
      </c>
      <c r="L318" s="55">
        <f t="shared" si="30"/>
        <v>1699</v>
      </c>
      <c r="M318" s="55">
        <v>1699</v>
      </c>
      <c r="N318" s="55">
        <v>1699</v>
      </c>
      <c r="O318" s="55">
        <f t="shared" ref="O318:Q321" si="31">R318</f>
        <v>1649</v>
      </c>
      <c r="P318" s="56">
        <f t="shared" si="31"/>
        <v>1499</v>
      </c>
      <c r="Q318" s="56">
        <f t="shared" si="31"/>
        <v>1299</v>
      </c>
      <c r="R318" s="55">
        <v>1649</v>
      </c>
      <c r="S318" s="55">
        <v>1499</v>
      </c>
      <c r="T318" s="55">
        <v>1299</v>
      </c>
      <c r="U318" s="55">
        <v>1299</v>
      </c>
      <c r="V318" s="55">
        <v>1299</v>
      </c>
      <c r="W318" s="55">
        <v>1299</v>
      </c>
      <c r="X318" s="55">
        <v>1199</v>
      </c>
      <c r="Y318" s="55">
        <v>999</v>
      </c>
      <c r="Z318" s="55">
        <v>999</v>
      </c>
      <c r="AA318" s="55">
        <v>949</v>
      </c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7"/>
      <c r="AW318" s="58" t="s">
        <v>67</v>
      </c>
      <c r="AX318" s="59" t="s">
        <v>68</v>
      </c>
      <c r="AY318" s="60">
        <f t="shared" si="27"/>
        <v>38.3598</v>
      </c>
      <c r="AZ318" s="60">
        <f t="shared" si="28"/>
        <v>34.561800000000005</v>
      </c>
      <c r="BA318" s="61">
        <f t="shared" si="29"/>
        <v>19.559699999999999</v>
      </c>
    </row>
    <row r="319" spans="1:53" ht="22.5" customHeight="1">
      <c r="A319" s="64" t="s">
        <v>241</v>
      </c>
      <c r="B319" s="52" t="s">
        <v>64</v>
      </c>
      <c r="C319" s="53">
        <v>4015478</v>
      </c>
      <c r="D319" s="65" t="s">
        <v>491</v>
      </c>
      <c r="E319" s="65" t="s">
        <v>493</v>
      </c>
      <c r="F319" s="55">
        <v>3199</v>
      </c>
      <c r="G319" s="55">
        <v>1899</v>
      </c>
      <c r="H319" s="55">
        <v>1899</v>
      </c>
      <c r="I319" s="55">
        <v>1899</v>
      </c>
      <c r="J319" s="55">
        <f t="shared" si="24"/>
        <v>1699</v>
      </c>
      <c r="K319" s="55">
        <f t="shared" si="30"/>
        <v>1699</v>
      </c>
      <c r="L319" s="55">
        <f t="shared" si="30"/>
        <v>1699</v>
      </c>
      <c r="M319" s="55">
        <v>1699</v>
      </c>
      <c r="N319" s="55">
        <v>1699</v>
      </c>
      <c r="O319" s="55">
        <f t="shared" si="31"/>
        <v>1649</v>
      </c>
      <c r="P319" s="56">
        <f t="shared" si="31"/>
        <v>1499</v>
      </c>
      <c r="Q319" s="56">
        <f t="shared" si="31"/>
        <v>1299</v>
      </c>
      <c r="R319" s="55">
        <v>1649</v>
      </c>
      <c r="S319" s="55">
        <v>1499</v>
      </c>
      <c r="T319" s="55">
        <v>1299</v>
      </c>
      <c r="U319" s="55">
        <v>1299</v>
      </c>
      <c r="V319" s="55">
        <v>1299</v>
      </c>
      <c r="W319" s="55">
        <v>1299</v>
      </c>
      <c r="X319" s="55">
        <v>1199</v>
      </c>
      <c r="Y319" s="55">
        <v>999</v>
      </c>
      <c r="Z319" s="55">
        <v>999</v>
      </c>
      <c r="AA319" s="55">
        <v>949</v>
      </c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7"/>
      <c r="AW319" s="58" t="s">
        <v>67</v>
      </c>
      <c r="AX319" s="59" t="s">
        <v>68</v>
      </c>
      <c r="AY319" s="60">
        <f t="shared" si="27"/>
        <v>38.3598</v>
      </c>
      <c r="AZ319" s="60">
        <f t="shared" si="28"/>
        <v>34.561800000000005</v>
      </c>
      <c r="BA319" s="61">
        <f t="shared" si="29"/>
        <v>19.559699999999999</v>
      </c>
    </row>
    <row r="320" spans="1:53" ht="22.5" customHeight="1">
      <c r="A320" s="64" t="s">
        <v>241</v>
      </c>
      <c r="B320" s="52" t="s">
        <v>64</v>
      </c>
      <c r="C320" s="53">
        <v>4015481</v>
      </c>
      <c r="D320" s="65" t="s">
        <v>491</v>
      </c>
      <c r="E320" s="65" t="s">
        <v>494</v>
      </c>
      <c r="F320" s="55">
        <v>3199</v>
      </c>
      <c r="G320" s="55">
        <v>1899</v>
      </c>
      <c r="H320" s="55">
        <v>1899</v>
      </c>
      <c r="I320" s="55">
        <v>1899</v>
      </c>
      <c r="J320" s="55">
        <f t="shared" si="24"/>
        <v>1699</v>
      </c>
      <c r="K320" s="55">
        <f t="shared" si="30"/>
        <v>1699</v>
      </c>
      <c r="L320" s="55">
        <f t="shared" si="30"/>
        <v>1699</v>
      </c>
      <c r="M320" s="55">
        <v>1699</v>
      </c>
      <c r="N320" s="55">
        <v>1699</v>
      </c>
      <c r="O320" s="55">
        <f t="shared" si="31"/>
        <v>1649</v>
      </c>
      <c r="P320" s="56">
        <f t="shared" si="31"/>
        <v>1499</v>
      </c>
      <c r="Q320" s="56">
        <f t="shared" si="31"/>
        <v>1299</v>
      </c>
      <c r="R320" s="55">
        <v>1649</v>
      </c>
      <c r="S320" s="55">
        <v>1499</v>
      </c>
      <c r="T320" s="55">
        <v>1299</v>
      </c>
      <c r="U320" s="55">
        <v>1299</v>
      </c>
      <c r="V320" s="55">
        <v>1299</v>
      </c>
      <c r="W320" s="55">
        <v>1299</v>
      </c>
      <c r="X320" s="55">
        <v>1199</v>
      </c>
      <c r="Y320" s="55">
        <v>999</v>
      </c>
      <c r="Z320" s="55">
        <v>999</v>
      </c>
      <c r="AA320" s="55">
        <v>949</v>
      </c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7"/>
      <c r="AW320" s="58" t="s">
        <v>67</v>
      </c>
      <c r="AX320" s="59" t="s">
        <v>68</v>
      </c>
      <c r="AY320" s="60">
        <f t="shared" si="27"/>
        <v>38.3598</v>
      </c>
      <c r="AZ320" s="60">
        <f t="shared" si="28"/>
        <v>34.561800000000005</v>
      </c>
      <c r="BA320" s="61">
        <f t="shared" si="29"/>
        <v>19.559699999999999</v>
      </c>
    </row>
    <row r="321" spans="1:53" ht="22.5" customHeight="1">
      <c r="A321" s="64" t="s">
        <v>241</v>
      </c>
      <c r="B321" s="52" t="s">
        <v>64</v>
      </c>
      <c r="C321" s="53">
        <v>4015914</v>
      </c>
      <c r="D321" s="65" t="s">
        <v>491</v>
      </c>
      <c r="E321" s="65" t="s">
        <v>495</v>
      </c>
      <c r="F321" s="55">
        <v>3199</v>
      </c>
      <c r="G321" s="55">
        <v>1899</v>
      </c>
      <c r="H321" s="55">
        <v>1899</v>
      </c>
      <c r="I321" s="55">
        <v>1899</v>
      </c>
      <c r="J321" s="55">
        <f t="shared" si="24"/>
        <v>1699</v>
      </c>
      <c r="K321" s="55">
        <f t="shared" si="30"/>
        <v>1699</v>
      </c>
      <c r="L321" s="55">
        <f t="shared" si="30"/>
        <v>1699</v>
      </c>
      <c r="M321" s="55">
        <v>1699</v>
      </c>
      <c r="N321" s="55">
        <v>1699</v>
      </c>
      <c r="O321" s="55">
        <f t="shared" si="31"/>
        <v>1649</v>
      </c>
      <c r="P321" s="56">
        <f t="shared" si="31"/>
        <v>1499</v>
      </c>
      <c r="Q321" s="56">
        <f t="shared" si="31"/>
        <v>1299</v>
      </c>
      <c r="R321" s="55">
        <v>1649</v>
      </c>
      <c r="S321" s="55">
        <v>1499</v>
      </c>
      <c r="T321" s="55">
        <v>1299</v>
      </c>
      <c r="U321" s="55">
        <v>1299</v>
      </c>
      <c r="V321" s="55">
        <v>1299</v>
      </c>
      <c r="W321" s="55">
        <v>1299</v>
      </c>
      <c r="X321" s="55">
        <v>1199</v>
      </c>
      <c r="Y321" s="55">
        <v>999</v>
      </c>
      <c r="Z321" s="55">
        <v>999</v>
      </c>
      <c r="AA321" s="55">
        <v>949</v>
      </c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7"/>
      <c r="AW321" s="58" t="s">
        <v>67</v>
      </c>
      <c r="AX321" s="59" t="s">
        <v>68</v>
      </c>
      <c r="AY321" s="60">
        <f t="shared" si="27"/>
        <v>38.3598</v>
      </c>
      <c r="AZ321" s="60">
        <f t="shared" si="28"/>
        <v>34.561800000000005</v>
      </c>
      <c r="BA321" s="61">
        <f t="shared" si="29"/>
        <v>19.559699999999999</v>
      </c>
    </row>
    <row r="322" spans="1:53" ht="22.5" customHeight="1">
      <c r="A322" s="64" t="s">
        <v>241</v>
      </c>
      <c r="B322" s="52" t="s">
        <v>64</v>
      </c>
      <c r="C322" s="53">
        <v>4015938</v>
      </c>
      <c r="D322" s="65" t="s">
        <v>496</v>
      </c>
      <c r="E322" s="65" t="s">
        <v>497</v>
      </c>
      <c r="F322" s="55">
        <v>3499</v>
      </c>
      <c r="G322" s="55">
        <v>1999</v>
      </c>
      <c r="H322" s="55">
        <v>1999</v>
      </c>
      <c r="I322" s="55">
        <v>1999</v>
      </c>
      <c r="J322" s="55">
        <v>1899</v>
      </c>
      <c r="K322" s="55">
        <v>1799</v>
      </c>
      <c r="L322" s="55">
        <v>1799</v>
      </c>
      <c r="M322" s="55">
        <v>1899</v>
      </c>
      <c r="N322" s="55">
        <v>1799</v>
      </c>
      <c r="O322" s="55">
        <v>1749</v>
      </c>
      <c r="P322" s="56">
        <v>1699</v>
      </c>
      <c r="Q322" s="56">
        <v>1299</v>
      </c>
      <c r="R322" s="55">
        <v>1749</v>
      </c>
      <c r="S322" s="55">
        <v>1699</v>
      </c>
      <c r="T322" s="55">
        <v>1299</v>
      </c>
      <c r="U322" s="55">
        <v>1299</v>
      </c>
      <c r="V322" s="55">
        <v>1299</v>
      </c>
      <c r="W322" s="55">
        <v>1299</v>
      </c>
      <c r="X322" s="55">
        <v>1299</v>
      </c>
      <c r="Y322" s="55">
        <v>1199</v>
      </c>
      <c r="Z322" s="55">
        <v>1199</v>
      </c>
      <c r="AA322" s="55">
        <v>1199</v>
      </c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7"/>
      <c r="AW322" s="58" t="s">
        <v>67</v>
      </c>
      <c r="AX322" s="59" t="s">
        <v>68</v>
      </c>
      <c r="AY322" s="60">
        <f t="shared" si="27"/>
        <v>40.379799999999996</v>
      </c>
      <c r="AZ322" s="60">
        <f t="shared" si="28"/>
        <v>36.381799999999998</v>
      </c>
      <c r="BA322" s="61">
        <f t="shared" si="29"/>
        <v>20.589700000000001</v>
      </c>
    </row>
    <row r="323" spans="1:53" ht="22.5" customHeight="1">
      <c r="A323" s="64" t="s">
        <v>241</v>
      </c>
      <c r="B323" s="52" t="s">
        <v>64</v>
      </c>
      <c r="C323" s="53">
        <v>4016161</v>
      </c>
      <c r="D323" s="65" t="s">
        <v>496</v>
      </c>
      <c r="E323" s="65" t="s">
        <v>498</v>
      </c>
      <c r="F323" s="55">
        <v>3499</v>
      </c>
      <c r="G323" s="55">
        <v>1999</v>
      </c>
      <c r="H323" s="55">
        <v>1999</v>
      </c>
      <c r="I323" s="55">
        <v>1999</v>
      </c>
      <c r="J323" s="55">
        <v>1899</v>
      </c>
      <c r="K323" s="55">
        <v>1799</v>
      </c>
      <c r="L323" s="55">
        <v>1799</v>
      </c>
      <c r="M323" s="55">
        <v>1899</v>
      </c>
      <c r="N323" s="55">
        <v>1799</v>
      </c>
      <c r="O323" s="55">
        <v>1749</v>
      </c>
      <c r="P323" s="56">
        <v>1699</v>
      </c>
      <c r="Q323" s="56">
        <v>1299</v>
      </c>
      <c r="R323" s="55">
        <v>1749</v>
      </c>
      <c r="S323" s="55">
        <v>1699</v>
      </c>
      <c r="T323" s="55">
        <v>1299</v>
      </c>
      <c r="U323" s="55">
        <v>1299</v>
      </c>
      <c r="V323" s="55">
        <v>1299</v>
      </c>
      <c r="W323" s="55">
        <v>1299</v>
      </c>
      <c r="X323" s="55">
        <v>1299</v>
      </c>
      <c r="Y323" s="55">
        <v>1199</v>
      </c>
      <c r="Z323" s="55">
        <v>1199</v>
      </c>
      <c r="AA323" s="55">
        <v>1199</v>
      </c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7"/>
      <c r="AW323" s="58" t="s">
        <v>67</v>
      </c>
      <c r="AX323" s="59" t="s">
        <v>68</v>
      </c>
      <c r="AY323" s="60">
        <f t="shared" si="27"/>
        <v>40.379799999999996</v>
      </c>
      <c r="AZ323" s="60">
        <f t="shared" si="28"/>
        <v>36.381799999999998</v>
      </c>
      <c r="BA323" s="61">
        <f t="shared" si="29"/>
        <v>20.589700000000001</v>
      </c>
    </row>
    <row r="324" spans="1:53" ht="22.5" customHeight="1">
      <c r="A324" s="64" t="s">
        <v>241</v>
      </c>
      <c r="B324" s="52" t="s">
        <v>64</v>
      </c>
      <c r="C324" s="53">
        <v>4015933</v>
      </c>
      <c r="D324" s="65" t="s">
        <v>496</v>
      </c>
      <c r="E324" s="65" t="s">
        <v>499</v>
      </c>
      <c r="F324" s="55">
        <v>3499</v>
      </c>
      <c r="G324" s="55">
        <v>1999</v>
      </c>
      <c r="H324" s="55">
        <v>1999</v>
      </c>
      <c r="I324" s="55">
        <v>1999</v>
      </c>
      <c r="J324" s="55">
        <v>1899</v>
      </c>
      <c r="K324" s="55">
        <v>1799</v>
      </c>
      <c r="L324" s="55">
        <v>1799</v>
      </c>
      <c r="M324" s="55">
        <v>1899</v>
      </c>
      <c r="N324" s="55">
        <v>1799</v>
      </c>
      <c r="O324" s="55">
        <v>1749</v>
      </c>
      <c r="P324" s="56">
        <v>1699</v>
      </c>
      <c r="Q324" s="56">
        <v>1299</v>
      </c>
      <c r="R324" s="55">
        <v>1749</v>
      </c>
      <c r="S324" s="55">
        <v>1699</v>
      </c>
      <c r="T324" s="55">
        <v>1299</v>
      </c>
      <c r="U324" s="55">
        <v>1299</v>
      </c>
      <c r="V324" s="55">
        <v>1299</v>
      </c>
      <c r="W324" s="55">
        <v>1299</v>
      </c>
      <c r="X324" s="55">
        <v>1299</v>
      </c>
      <c r="Y324" s="55">
        <v>1199</v>
      </c>
      <c r="Z324" s="55">
        <v>1199</v>
      </c>
      <c r="AA324" s="55">
        <v>1199</v>
      </c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7"/>
      <c r="AW324" s="58" t="s">
        <v>67</v>
      </c>
      <c r="AX324" s="59" t="s">
        <v>68</v>
      </c>
      <c r="AY324" s="60">
        <f t="shared" si="27"/>
        <v>40.379799999999996</v>
      </c>
      <c r="AZ324" s="60">
        <f t="shared" si="28"/>
        <v>36.381799999999998</v>
      </c>
      <c r="BA324" s="61">
        <f t="shared" si="29"/>
        <v>20.589700000000001</v>
      </c>
    </row>
    <row r="325" spans="1:53" ht="22.5" customHeight="1">
      <c r="A325" s="64" t="s">
        <v>241</v>
      </c>
      <c r="B325" s="52" t="s">
        <v>64</v>
      </c>
      <c r="C325" s="53">
        <v>4016156</v>
      </c>
      <c r="D325" s="65" t="s">
        <v>496</v>
      </c>
      <c r="E325" s="65" t="s">
        <v>500</v>
      </c>
      <c r="F325" s="55">
        <v>3499</v>
      </c>
      <c r="G325" s="55">
        <v>1999</v>
      </c>
      <c r="H325" s="55">
        <v>1999</v>
      </c>
      <c r="I325" s="55">
        <v>1999</v>
      </c>
      <c r="J325" s="55">
        <v>1899</v>
      </c>
      <c r="K325" s="55">
        <v>1799</v>
      </c>
      <c r="L325" s="55">
        <v>1799</v>
      </c>
      <c r="M325" s="55">
        <v>1899</v>
      </c>
      <c r="N325" s="55">
        <v>1799</v>
      </c>
      <c r="O325" s="55">
        <v>1749</v>
      </c>
      <c r="P325" s="56">
        <v>1699</v>
      </c>
      <c r="Q325" s="56">
        <v>1299</v>
      </c>
      <c r="R325" s="55">
        <v>1749</v>
      </c>
      <c r="S325" s="55">
        <v>1699</v>
      </c>
      <c r="T325" s="55">
        <v>1299</v>
      </c>
      <c r="U325" s="55">
        <v>1299</v>
      </c>
      <c r="V325" s="55">
        <v>1299</v>
      </c>
      <c r="W325" s="55">
        <v>1299</v>
      </c>
      <c r="X325" s="55">
        <v>1299</v>
      </c>
      <c r="Y325" s="55">
        <v>1199</v>
      </c>
      <c r="Z325" s="55">
        <v>1199</v>
      </c>
      <c r="AA325" s="55">
        <v>1199</v>
      </c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7"/>
      <c r="AW325" s="58" t="s">
        <v>67</v>
      </c>
      <c r="AX325" s="59" t="s">
        <v>68</v>
      </c>
      <c r="AY325" s="60">
        <f t="shared" si="27"/>
        <v>40.379799999999996</v>
      </c>
      <c r="AZ325" s="60">
        <f t="shared" si="28"/>
        <v>36.381799999999998</v>
      </c>
      <c r="BA325" s="61">
        <f t="shared" si="29"/>
        <v>20.589700000000001</v>
      </c>
    </row>
    <row r="326" spans="1:53" ht="22.5" customHeight="1">
      <c r="A326" s="64" t="s">
        <v>241</v>
      </c>
      <c r="B326" s="52" t="s">
        <v>64</v>
      </c>
      <c r="C326" s="53">
        <v>4016157</v>
      </c>
      <c r="D326" s="65" t="s">
        <v>496</v>
      </c>
      <c r="E326" s="65" t="s">
        <v>501</v>
      </c>
      <c r="F326" s="55">
        <v>3499</v>
      </c>
      <c r="G326" s="55">
        <v>1999</v>
      </c>
      <c r="H326" s="55">
        <v>1999</v>
      </c>
      <c r="I326" s="55">
        <v>1999</v>
      </c>
      <c r="J326" s="55">
        <v>1899</v>
      </c>
      <c r="K326" s="55">
        <v>1799</v>
      </c>
      <c r="L326" s="55">
        <v>1799</v>
      </c>
      <c r="M326" s="55">
        <v>1899</v>
      </c>
      <c r="N326" s="55">
        <v>1799</v>
      </c>
      <c r="O326" s="55">
        <v>1749</v>
      </c>
      <c r="P326" s="56">
        <v>1699</v>
      </c>
      <c r="Q326" s="56">
        <v>1299</v>
      </c>
      <c r="R326" s="55">
        <v>1749</v>
      </c>
      <c r="S326" s="55">
        <v>1699</v>
      </c>
      <c r="T326" s="55">
        <v>1299</v>
      </c>
      <c r="U326" s="55">
        <v>1299</v>
      </c>
      <c r="V326" s="55">
        <v>1299</v>
      </c>
      <c r="W326" s="55">
        <v>1299</v>
      </c>
      <c r="X326" s="55">
        <v>1299</v>
      </c>
      <c r="Y326" s="55">
        <v>1199</v>
      </c>
      <c r="Z326" s="55">
        <v>1199</v>
      </c>
      <c r="AA326" s="55">
        <v>1199</v>
      </c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7"/>
      <c r="AW326" s="58" t="s">
        <v>67</v>
      </c>
      <c r="AX326" s="59" t="s">
        <v>68</v>
      </c>
      <c r="AY326" s="60">
        <f t="shared" si="27"/>
        <v>40.379799999999996</v>
      </c>
      <c r="AZ326" s="60">
        <f t="shared" si="28"/>
        <v>36.381799999999998</v>
      </c>
      <c r="BA326" s="61">
        <f t="shared" si="29"/>
        <v>20.589700000000001</v>
      </c>
    </row>
    <row r="327" spans="1:53" ht="22.5" customHeight="1">
      <c r="A327" s="64" t="s">
        <v>241</v>
      </c>
      <c r="B327" s="52" t="s">
        <v>64</v>
      </c>
      <c r="C327" s="53">
        <v>4016985</v>
      </c>
      <c r="D327" s="65" t="s">
        <v>502</v>
      </c>
      <c r="E327" s="65" t="s">
        <v>503</v>
      </c>
      <c r="F327" s="55">
        <v>3599</v>
      </c>
      <c r="G327" s="56">
        <v>2669</v>
      </c>
      <c r="H327" s="56">
        <v>2669</v>
      </c>
      <c r="I327" s="56">
        <v>2669</v>
      </c>
      <c r="J327" s="56">
        <v>2599</v>
      </c>
      <c r="K327" s="56">
        <v>1899</v>
      </c>
      <c r="L327" s="56">
        <v>1899</v>
      </c>
      <c r="M327" s="56">
        <v>2599</v>
      </c>
      <c r="N327" s="56">
        <v>1899</v>
      </c>
      <c r="O327" s="56">
        <v>1599</v>
      </c>
      <c r="P327" s="56">
        <v>1499</v>
      </c>
      <c r="Q327" s="56">
        <v>1499</v>
      </c>
      <c r="R327" s="56">
        <v>1799</v>
      </c>
      <c r="S327" s="56">
        <v>1499</v>
      </c>
      <c r="T327" s="56">
        <v>1499</v>
      </c>
      <c r="U327" s="56">
        <v>1499</v>
      </c>
      <c r="V327" s="56">
        <v>1499</v>
      </c>
      <c r="W327" s="56">
        <v>1499</v>
      </c>
      <c r="X327" s="56">
        <v>1399</v>
      </c>
      <c r="Y327" s="56">
        <v>1399</v>
      </c>
      <c r="Z327" s="56">
        <v>1399</v>
      </c>
      <c r="AA327" s="56">
        <v>1399</v>
      </c>
      <c r="AB327" s="55">
        <v>1899</v>
      </c>
      <c r="AC327" s="55">
        <v>1899</v>
      </c>
      <c r="AD327" s="55">
        <v>1899</v>
      </c>
      <c r="AE327" s="55">
        <v>1799</v>
      </c>
      <c r="AF327" s="55">
        <v>1499</v>
      </c>
      <c r="AG327" s="55">
        <v>1499</v>
      </c>
      <c r="AH327" s="55">
        <v>1499</v>
      </c>
      <c r="AI327" s="55">
        <v>1499</v>
      </c>
      <c r="AJ327" s="55">
        <v>1499</v>
      </c>
      <c r="AK327" s="55">
        <v>1499</v>
      </c>
      <c r="AL327" s="55">
        <v>1399</v>
      </c>
      <c r="AM327" s="55"/>
      <c r="AN327" s="55"/>
      <c r="AO327" s="55"/>
      <c r="AP327" s="55"/>
      <c r="AQ327" s="55"/>
      <c r="AR327" s="55"/>
      <c r="AS327" s="55"/>
      <c r="AT327" s="55"/>
      <c r="AU327" s="55"/>
      <c r="AV327" s="57"/>
      <c r="AW327" s="58" t="s">
        <v>67</v>
      </c>
      <c r="AX327" s="59" t="s">
        <v>68</v>
      </c>
      <c r="AY327" s="60">
        <f t="shared" si="27"/>
        <v>53.913799999999995</v>
      </c>
      <c r="AZ327" s="60">
        <f t="shared" si="28"/>
        <v>48.575800000000001</v>
      </c>
      <c r="BA327" s="61">
        <f t="shared" si="29"/>
        <v>27.4907</v>
      </c>
    </row>
    <row r="328" spans="1:53" ht="22.5" customHeight="1">
      <c r="A328" s="64" t="s">
        <v>241</v>
      </c>
      <c r="B328" s="52" t="s">
        <v>64</v>
      </c>
      <c r="C328" s="53">
        <v>4016999</v>
      </c>
      <c r="D328" s="65" t="s">
        <v>502</v>
      </c>
      <c r="E328" s="65" t="s">
        <v>504</v>
      </c>
      <c r="F328" s="55">
        <v>3599</v>
      </c>
      <c r="G328" s="56">
        <v>2669</v>
      </c>
      <c r="H328" s="56">
        <v>2669</v>
      </c>
      <c r="I328" s="56">
        <v>2669</v>
      </c>
      <c r="J328" s="56">
        <v>2599</v>
      </c>
      <c r="K328" s="56">
        <v>1899</v>
      </c>
      <c r="L328" s="56">
        <v>1899</v>
      </c>
      <c r="M328" s="56">
        <v>2599</v>
      </c>
      <c r="N328" s="56">
        <v>1899</v>
      </c>
      <c r="O328" s="56">
        <v>1599</v>
      </c>
      <c r="P328" s="56">
        <v>1499</v>
      </c>
      <c r="Q328" s="56">
        <v>1499</v>
      </c>
      <c r="R328" s="56">
        <v>1799</v>
      </c>
      <c r="S328" s="56">
        <v>1499</v>
      </c>
      <c r="T328" s="56">
        <v>1499</v>
      </c>
      <c r="U328" s="56">
        <v>1499</v>
      </c>
      <c r="V328" s="56">
        <v>1499</v>
      </c>
      <c r="W328" s="56">
        <v>1499</v>
      </c>
      <c r="X328" s="56">
        <v>1399</v>
      </c>
      <c r="Y328" s="56">
        <v>1399</v>
      </c>
      <c r="Z328" s="56">
        <v>1399</v>
      </c>
      <c r="AA328" s="56">
        <v>1399</v>
      </c>
      <c r="AB328" s="55">
        <v>1899</v>
      </c>
      <c r="AC328" s="55">
        <v>1899</v>
      </c>
      <c r="AD328" s="55">
        <v>1899</v>
      </c>
      <c r="AE328" s="55">
        <v>1799</v>
      </c>
      <c r="AF328" s="55">
        <v>1499</v>
      </c>
      <c r="AG328" s="55">
        <v>1499</v>
      </c>
      <c r="AH328" s="55">
        <v>1499</v>
      </c>
      <c r="AI328" s="55">
        <v>1499</v>
      </c>
      <c r="AJ328" s="55">
        <v>1499</v>
      </c>
      <c r="AK328" s="55">
        <v>1499</v>
      </c>
      <c r="AL328" s="55">
        <v>1399</v>
      </c>
      <c r="AM328" s="55"/>
      <c r="AN328" s="55"/>
      <c r="AO328" s="55"/>
      <c r="AP328" s="55"/>
      <c r="AQ328" s="55"/>
      <c r="AR328" s="55"/>
      <c r="AS328" s="55"/>
      <c r="AT328" s="55"/>
      <c r="AU328" s="55"/>
      <c r="AV328" s="57"/>
      <c r="AW328" s="58" t="s">
        <v>67</v>
      </c>
      <c r="AX328" s="59" t="s">
        <v>68</v>
      </c>
      <c r="AY328" s="60">
        <f t="shared" si="27"/>
        <v>53.913799999999995</v>
      </c>
      <c r="AZ328" s="60">
        <f t="shared" si="28"/>
        <v>48.575800000000001</v>
      </c>
      <c r="BA328" s="61">
        <f t="shared" si="29"/>
        <v>27.4907</v>
      </c>
    </row>
    <row r="329" spans="1:53" ht="22.5" customHeight="1">
      <c r="A329" s="64" t="s">
        <v>241</v>
      </c>
      <c r="B329" s="52" t="s">
        <v>64</v>
      </c>
      <c r="C329" s="53">
        <v>4017065</v>
      </c>
      <c r="D329" s="65" t="s">
        <v>502</v>
      </c>
      <c r="E329" s="65" t="s">
        <v>505</v>
      </c>
      <c r="F329" s="55">
        <v>3599</v>
      </c>
      <c r="G329" s="56">
        <v>2669</v>
      </c>
      <c r="H329" s="56">
        <v>2669</v>
      </c>
      <c r="I329" s="56">
        <v>2669</v>
      </c>
      <c r="J329" s="56">
        <v>2599</v>
      </c>
      <c r="K329" s="56">
        <v>1899</v>
      </c>
      <c r="L329" s="56">
        <v>1899</v>
      </c>
      <c r="M329" s="56">
        <v>2599</v>
      </c>
      <c r="N329" s="56">
        <v>1899</v>
      </c>
      <c r="O329" s="56">
        <v>1599</v>
      </c>
      <c r="P329" s="56">
        <v>1499</v>
      </c>
      <c r="Q329" s="56">
        <v>1499</v>
      </c>
      <c r="R329" s="56">
        <v>1799</v>
      </c>
      <c r="S329" s="56">
        <v>1499</v>
      </c>
      <c r="T329" s="56">
        <v>1499</v>
      </c>
      <c r="U329" s="56">
        <v>1499</v>
      </c>
      <c r="V329" s="56">
        <v>1499</v>
      </c>
      <c r="W329" s="56">
        <v>1499</v>
      </c>
      <c r="X329" s="56">
        <v>1399</v>
      </c>
      <c r="Y329" s="56">
        <v>1399</v>
      </c>
      <c r="Z329" s="56">
        <v>1399</v>
      </c>
      <c r="AA329" s="56">
        <v>1399</v>
      </c>
      <c r="AB329" s="55">
        <v>1899</v>
      </c>
      <c r="AC329" s="55">
        <v>1899</v>
      </c>
      <c r="AD329" s="55">
        <v>1899</v>
      </c>
      <c r="AE329" s="55">
        <v>1799</v>
      </c>
      <c r="AF329" s="55">
        <v>1499</v>
      </c>
      <c r="AG329" s="55">
        <v>1499</v>
      </c>
      <c r="AH329" s="55">
        <v>1499</v>
      </c>
      <c r="AI329" s="55">
        <v>1499</v>
      </c>
      <c r="AJ329" s="55">
        <v>1499</v>
      </c>
      <c r="AK329" s="55">
        <v>1499</v>
      </c>
      <c r="AL329" s="55">
        <v>1399</v>
      </c>
      <c r="AM329" s="55"/>
      <c r="AN329" s="55"/>
      <c r="AO329" s="55"/>
      <c r="AP329" s="55"/>
      <c r="AQ329" s="55"/>
      <c r="AR329" s="55"/>
      <c r="AS329" s="55"/>
      <c r="AT329" s="55"/>
      <c r="AU329" s="55"/>
      <c r="AV329" s="57"/>
      <c r="AW329" s="58" t="s">
        <v>67</v>
      </c>
      <c r="AX329" s="59" t="s">
        <v>68</v>
      </c>
      <c r="AY329" s="60">
        <f t="shared" si="27"/>
        <v>53.913799999999995</v>
      </c>
      <c r="AZ329" s="60">
        <f t="shared" si="28"/>
        <v>48.575800000000001</v>
      </c>
      <c r="BA329" s="61">
        <f t="shared" si="29"/>
        <v>27.4907</v>
      </c>
    </row>
    <row r="330" spans="1:53" ht="22.5" customHeight="1">
      <c r="A330" s="64" t="s">
        <v>241</v>
      </c>
      <c r="B330" s="52" t="s">
        <v>64</v>
      </c>
      <c r="C330" s="53">
        <v>4016977</v>
      </c>
      <c r="D330" s="65" t="s">
        <v>502</v>
      </c>
      <c r="E330" s="65" t="s">
        <v>506</v>
      </c>
      <c r="F330" s="55">
        <v>3599</v>
      </c>
      <c r="G330" s="56">
        <v>2669</v>
      </c>
      <c r="H330" s="56">
        <v>2669</v>
      </c>
      <c r="I330" s="56">
        <v>2669</v>
      </c>
      <c r="J330" s="56">
        <v>2599</v>
      </c>
      <c r="K330" s="56">
        <v>1899</v>
      </c>
      <c r="L330" s="56">
        <v>1899</v>
      </c>
      <c r="M330" s="56">
        <v>2599</v>
      </c>
      <c r="N330" s="56">
        <v>1899</v>
      </c>
      <c r="O330" s="56">
        <v>1599</v>
      </c>
      <c r="P330" s="56">
        <v>1499</v>
      </c>
      <c r="Q330" s="56">
        <v>1499</v>
      </c>
      <c r="R330" s="56">
        <v>1799</v>
      </c>
      <c r="S330" s="56">
        <v>1499</v>
      </c>
      <c r="T330" s="56">
        <v>1499</v>
      </c>
      <c r="U330" s="56">
        <v>1499</v>
      </c>
      <c r="V330" s="56">
        <v>1499</v>
      </c>
      <c r="W330" s="56">
        <v>1499</v>
      </c>
      <c r="X330" s="56">
        <v>1399</v>
      </c>
      <c r="Y330" s="56">
        <v>1399</v>
      </c>
      <c r="Z330" s="56">
        <v>1399</v>
      </c>
      <c r="AA330" s="56">
        <v>1399</v>
      </c>
      <c r="AB330" s="55">
        <v>1899</v>
      </c>
      <c r="AC330" s="55">
        <v>1899</v>
      </c>
      <c r="AD330" s="55">
        <v>1899</v>
      </c>
      <c r="AE330" s="55">
        <v>1799</v>
      </c>
      <c r="AF330" s="55">
        <v>1499</v>
      </c>
      <c r="AG330" s="55">
        <v>1499</v>
      </c>
      <c r="AH330" s="55">
        <v>1499</v>
      </c>
      <c r="AI330" s="55">
        <v>1499</v>
      </c>
      <c r="AJ330" s="55">
        <v>1499</v>
      </c>
      <c r="AK330" s="55">
        <v>1499</v>
      </c>
      <c r="AL330" s="55">
        <v>1399</v>
      </c>
      <c r="AM330" s="55"/>
      <c r="AN330" s="55"/>
      <c r="AO330" s="55"/>
      <c r="AP330" s="55"/>
      <c r="AQ330" s="55"/>
      <c r="AR330" s="55"/>
      <c r="AS330" s="55"/>
      <c r="AT330" s="55"/>
      <c r="AU330" s="55"/>
      <c r="AV330" s="57"/>
      <c r="AW330" s="58" t="s">
        <v>67</v>
      </c>
      <c r="AX330" s="59" t="s">
        <v>68</v>
      </c>
      <c r="AY330" s="60">
        <f t="shared" si="27"/>
        <v>53.913799999999995</v>
      </c>
      <c r="AZ330" s="60">
        <f t="shared" si="28"/>
        <v>48.575800000000001</v>
      </c>
      <c r="BA330" s="61">
        <f t="shared" si="29"/>
        <v>27.4907</v>
      </c>
    </row>
    <row r="331" spans="1:53" ht="22.5" customHeight="1">
      <c r="A331" s="64" t="s">
        <v>241</v>
      </c>
      <c r="B331" s="52" t="s">
        <v>64</v>
      </c>
      <c r="C331" s="53">
        <v>4016993</v>
      </c>
      <c r="D331" s="65" t="s">
        <v>502</v>
      </c>
      <c r="E331" s="65" t="s">
        <v>507</v>
      </c>
      <c r="F331" s="55">
        <v>3599</v>
      </c>
      <c r="G331" s="56">
        <v>2669</v>
      </c>
      <c r="H331" s="56">
        <v>2669</v>
      </c>
      <c r="I331" s="56">
        <v>2669</v>
      </c>
      <c r="J331" s="56">
        <v>2599</v>
      </c>
      <c r="K331" s="56">
        <v>1899</v>
      </c>
      <c r="L331" s="56">
        <v>1899</v>
      </c>
      <c r="M331" s="56">
        <v>2599</v>
      </c>
      <c r="N331" s="56">
        <v>1899</v>
      </c>
      <c r="O331" s="56">
        <v>1599</v>
      </c>
      <c r="P331" s="56">
        <v>1499</v>
      </c>
      <c r="Q331" s="56">
        <v>1499</v>
      </c>
      <c r="R331" s="56">
        <v>1799</v>
      </c>
      <c r="S331" s="56">
        <v>1499</v>
      </c>
      <c r="T331" s="56">
        <v>1499</v>
      </c>
      <c r="U331" s="56">
        <v>1499</v>
      </c>
      <c r="V331" s="56">
        <v>1499</v>
      </c>
      <c r="W331" s="56">
        <v>1499</v>
      </c>
      <c r="X331" s="56">
        <v>1399</v>
      </c>
      <c r="Y331" s="56">
        <v>1399</v>
      </c>
      <c r="Z331" s="56">
        <v>1399</v>
      </c>
      <c r="AA331" s="56">
        <v>1399</v>
      </c>
      <c r="AB331" s="55">
        <v>1899</v>
      </c>
      <c r="AC331" s="55">
        <v>1899</v>
      </c>
      <c r="AD331" s="55">
        <v>1899</v>
      </c>
      <c r="AE331" s="55">
        <v>1799</v>
      </c>
      <c r="AF331" s="55">
        <v>1499</v>
      </c>
      <c r="AG331" s="55">
        <v>1499</v>
      </c>
      <c r="AH331" s="55">
        <v>1499</v>
      </c>
      <c r="AI331" s="55">
        <v>1499</v>
      </c>
      <c r="AJ331" s="55">
        <v>1499</v>
      </c>
      <c r="AK331" s="55">
        <v>1499</v>
      </c>
      <c r="AL331" s="55">
        <v>1399</v>
      </c>
      <c r="AM331" s="55"/>
      <c r="AN331" s="55"/>
      <c r="AO331" s="55"/>
      <c r="AP331" s="55"/>
      <c r="AQ331" s="55"/>
      <c r="AR331" s="55"/>
      <c r="AS331" s="55"/>
      <c r="AT331" s="55"/>
      <c r="AU331" s="55"/>
      <c r="AV331" s="57"/>
      <c r="AW331" s="58" t="s">
        <v>67</v>
      </c>
      <c r="AX331" s="59" t="s">
        <v>68</v>
      </c>
      <c r="AY331" s="60">
        <f t="shared" si="27"/>
        <v>53.913799999999995</v>
      </c>
      <c r="AZ331" s="60">
        <f t="shared" si="28"/>
        <v>48.575800000000001</v>
      </c>
      <c r="BA331" s="61">
        <f t="shared" si="29"/>
        <v>27.4907</v>
      </c>
    </row>
    <row r="332" spans="1:53" ht="22.5" customHeight="1">
      <c r="A332" s="64" t="s">
        <v>241</v>
      </c>
      <c r="B332" s="52" t="s">
        <v>64</v>
      </c>
      <c r="C332" s="53">
        <v>4017064</v>
      </c>
      <c r="D332" s="65" t="s">
        <v>502</v>
      </c>
      <c r="E332" s="65" t="s">
        <v>508</v>
      </c>
      <c r="F332" s="55">
        <v>3599</v>
      </c>
      <c r="G332" s="56">
        <v>2669</v>
      </c>
      <c r="H332" s="56">
        <v>2669</v>
      </c>
      <c r="I332" s="56">
        <v>2669</v>
      </c>
      <c r="J332" s="56">
        <v>2599</v>
      </c>
      <c r="K332" s="56">
        <v>1899</v>
      </c>
      <c r="L332" s="56">
        <v>1899</v>
      </c>
      <c r="M332" s="56">
        <v>2599</v>
      </c>
      <c r="N332" s="56">
        <v>1899</v>
      </c>
      <c r="O332" s="56">
        <v>1599</v>
      </c>
      <c r="P332" s="56">
        <v>1499</v>
      </c>
      <c r="Q332" s="56">
        <v>1499</v>
      </c>
      <c r="R332" s="56">
        <v>1799</v>
      </c>
      <c r="S332" s="56">
        <v>1499</v>
      </c>
      <c r="T332" s="56">
        <v>1499</v>
      </c>
      <c r="U332" s="56">
        <v>1499</v>
      </c>
      <c r="V332" s="56">
        <v>1499</v>
      </c>
      <c r="W332" s="56">
        <v>1499</v>
      </c>
      <c r="X332" s="56">
        <v>1399</v>
      </c>
      <c r="Y332" s="56">
        <v>1399</v>
      </c>
      <c r="Z332" s="56">
        <v>1399</v>
      </c>
      <c r="AA332" s="56">
        <v>1399</v>
      </c>
      <c r="AB332" s="55">
        <v>1899</v>
      </c>
      <c r="AC332" s="55">
        <v>1899</v>
      </c>
      <c r="AD332" s="55">
        <v>1899</v>
      </c>
      <c r="AE332" s="55">
        <v>1799</v>
      </c>
      <c r="AF332" s="55">
        <v>1499</v>
      </c>
      <c r="AG332" s="55">
        <v>1499</v>
      </c>
      <c r="AH332" s="55">
        <v>1499</v>
      </c>
      <c r="AI332" s="55">
        <v>1499</v>
      </c>
      <c r="AJ332" s="55">
        <v>1499</v>
      </c>
      <c r="AK332" s="55">
        <v>1499</v>
      </c>
      <c r="AL332" s="55">
        <v>1399</v>
      </c>
      <c r="AM332" s="55"/>
      <c r="AN332" s="55"/>
      <c r="AO332" s="55"/>
      <c r="AP332" s="55"/>
      <c r="AQ332" s="55"/>
      <c r="AR332" s="55"/>
      <c r="AS332" s="55"/>
      <c r="AT332" s="55"/>
      <c r="AU332" s="55"/>
      <c r="AV332" s="57"/>
      <c r="AW332" s="58" t="s">
        <v>67</v>
      </c>
      <c r="AX332" s="59" t="s">
        <v>68</v>
      </c>
      <c r="AY332" s="60">
        <f t="shared" si="27"/>
        <v>53.913799999999995</v>
      </c>
      <c r="AZ332" s="60">
        <f t="shared" si="28"/>
        <v>48.575800000000001</v>
      </c>
      <c r="BA332" s="61">
        <f t="shared" si="29"/>
        <v>27.4907</v>
      </c>
    </row>
    <row r="333" spans="1:53" ht="22.5" customHeight="1">
      <c r="A333" s="64" t="s">
        <v>241</v>
      </c>
      <c r="B333" s="52" t="s">
        <v>64</v>
      </c>
      <c r="C333" s="53">
        <v>4017855</v>
      </c>
      <c r="D333" s="65" t="s">
        <v>509</v>
      </c>
      <c r="E333" s="65" t="s">
        <v>510</v>
      </c>
      <c r="F333" s="55">
        <v>3999</v>
      </c>
      <c r="G333" s="55">
        <v>2799</v>
      </c>
      <c r="H333" s="56">
        <v>2799</v>
      </c>
      <c r="I333" s="56">
        <v>2799</v>
      </c>
      <c r="J333" s="56">
        <v>2699</v>
      </c>
      <c r="K333" s="56">
        <v>2699</v>
      </c>
      <c r="L333" s="56">
        <v>2699</v>
      </c>
      <c r="M333" s="56">
        <v>2699</v>
      </c>
      <c r="N333" s="56">
        <v>2699</v>
      </c>
      <c r="O333" s="55">
        <v>2649</v>
      </c>
      <c r="P333" s="56">
        <v>2599</v>
      </c>
      <c r="Q333" s="56">
        <v>1999</v>
      </c>
      <c r="R333" s="55">
        <v>2649</v>
      </c>
      <c r="S333" s="55">
        <v>2599</v>
      </c>
      <c r="T333" s="55">
        <v>1999</v>
      </c>
      <c r="U333" s="55">
        <v>1999</v>
      </c>
      <c r="V333" s="55">
        <v>1999</v>
      </c>
      <c r="W333" s="55">
        <v>1999</v>
      </c>
      <c r="X333" s="55">
        <v>1899</v>
      </c>
      <c r="Y333" s="55">
        <v>1899</v>
      </c>
      <c r="Z333" s="55">
        <v>1899</v>
      </c>
      <c r="AA333" s="55">
        <v>1899</v>
      </c>
      <c r="AB333" s="55">
        <v>2699</v>
      </c>
      <c r="AC333" s="55">
        <v>2699</v>
      </c>
      <c r="AD333" s="55">
        <v>2699</v>
      </c>
      <c r="AE333" s="55">
        <v>2699</v>
      </c>
      <c r="AF333" s="55">
        <v>2649</v>
      </c>
      <c r="AG333" s="55">
        <v>2599</v>
      </c>
      <c r="AH333" s="55">
        <v>1999</v>
      </c>
      <c r="AI333" s="55">
        <v>1999</v>
      </c>
      <c r="AJ333" s="55">
        <v>1999</v>
      </c>
      <c r="AK333" s="55">
        <v>1999</v>
      </c>
      <c r="AL333" s="55">
        <v>1899</v>
      </c>
      <c r="AM333" s="55"/>
      <c r="AN333" s="55"/>
      <c r="AO333" s="55"/>
      <c r="AP333" s="55"/>
      <c r="AQ333" s="55"/>
      <c r="AR333" s="55"/>
      <c r="AS333" s="55"/>
      <c r="AT333" s="55"/>
      <c r="AU333" s="55"/>
      <c r="AV333" s="57"/>
      <c r="AW333" s="58" t="s">
        <v>67</v>
      </c>
      <c r="AX333" s="59" t="s">
        <v>68</v>
      </c>
      <c r="AY333" s="62">
        <f t="shared" si="27"/>
        <v>56.5398</v>
      </c>
      <c r="AZ333" s="62">
        <f t="shared" si="28"/>
        <v>50.941800000000001</v>
      </c>
      <c r="BA333" s="63">
        <f t="shared" si="29"/>
        <v>28.829699999999999</v>
      </c>
    </row>
    <row r="334" spans="1:53" ht="22.5" customHeight="1">
      <c r="A334" s="64" t="s">
        <v>241</v>
      </c>
      <c r="B334" s="52" t="s">
        <v>64</v>
      </c>
      <c r="C334" s="53">
        <v>4017872</v>
      </c>
      <c r="D334" s="65" t="s">
        <v>509</v>
      </c>
      <c r="E334" s="65" t="s">
        <v>511</v>
      </c>
      <c r="F334" s="55">
        <v>3999</v>
      </c>
      <c r="G334" s="55">
        <v>2799</v>
      </c>
      <c r="H334" s="56">
        <v>2799</v>
      </c>
      <c r="I334" s="56">
        <v>2799</v>
      </c>
      <c r="J334" s="56">
        <v>2699</v>
      </c>
      <c r="K334" s="56">
        <v>2699</v>
      </c>
      <c r="L334" s="56">
        <v>2699</v>
      </c>
      <c r="M334" s="56">
        <v>2699</v>
      </c>
      <c r="N334" s="56">
        <v>2699</v>
      </c>
      <c r="O334" s="55">
        <v>2649</v>
      </c>
      <c r="P334" s="56">
        <v>2599</v>
      </c>
      <c r="Q334" s="56">
        <v>1999</v>
      </c>
      <c r="R334" s="55">
        <v>2649</v>
      </c>
      <c r="S334" s="55">
        <v>2599</v>
      </c>
      <c r="T334" s="55">
        <v>1999</v>
      </c>
      <c r="U334" s="55">
        <v>1999</v>
      </c>
      <c r="V334" s="55">
        <v>1999</v>
      </c>
      <c r="W334" s="55">
        <v>1999</v>
      </c>
      <c r="X334" s="55">
        <v>1899</v>
      </c>
      <c r="Y334" s="55">
        <v>1899</v>
      </c>
      <c r="Z334" s="55">
        <v>1899</v>
      </c>
      <c r="AA334" s="55">
        <v>1899</v>
      </c>
      <c r="AB334" s="55">
        <v>2699</v>
      </c>
      <c r="AC334" s="55">
        <v>2699</v>
      </c>
      <c r="AD334" s="55">
        <v>2699</v>
      </c>
      <c r="AE334" s="55">
        <v>2699</v>
      </c>
      <c r="AF334" s="55">
        <v>2649</v>
      </c>
      <c r="AG334" s="55">
        <v>2599</v>
      </c>
      <c r="AH334" s="55">
        <v>1999</v>
      </c>
      <c r="AI334" s="55">
        <v>1999</v>
      </c>
      <c r="AJ334" s="55">
        <v>1999</v>
      </c>
      <c r="AK334" s="55">
        <v>1999</v>
      </c>
      <c r="AL334" s="55">
        <v>1899</v>
      </c>
      <c r="AM334" s="55"/>
      <c r="AN334" s="55"/>
      <c r="AO334" s="55"/>
      <c r="AP334" s="55"/>
      <c r="AQ334" s="55"/>
      <c r="AR334" s="55"/>
      <c r="AS334" s="55"/>
      <c r="AT334" s="55"/>
      <c r="AU334" s="55"/>
      <c r="AV334" s="57"/>
      <c r="AW334" s="58" t="s">
        <v>67</v>
      </c>
      <c r="AX334" s="59" t="s">
        <v>68</v>
      </c>
      <c r="AY334" s="62">
        <f t="shared" si="27"/>
        <v>56.5398</v>
      </c>
      <c r="AZ334" s="62">
        <f t="shared" si="28"/>
        <v>50.941800000000001</v>
      </c>
      <c r="BA334" s="63">
        <f t="shared" si="29"/>
        <v>28.829699999999999</v>
      </c>
    </row>
    <row r="335" spans="1:53" ht="22.5" customHeight="1">
      <c r="A335" s="64" t="s">
        <v>241</v>
      </c>
      <c r="B335" s="52" t="s">
        <v>64</v>
      </c>
      <c r="C335" s="53">
        <v>4017860</v>
      </c>
      <c r="D335" s="65" t="s">
        <v>509</v>
      </c>
      <c r="E335" s="65" t="s">
        <v>512</v>
      </c>
      <c r="F335" s="55">
        <v>3999</v>
      </c>
      <c r="G335" s="55">
        <v>2799</v>
      </c>
      <c r="H335" s="56">
        <v>2799</v>
      </c>
      <c r="I335" s="56">
        <v>2799</v>
      </c>
      <c r="J335" s="56">
        <v>2699</v>
      </c>
      <c r="K335" s="56">
        <v>2699</v>
      </c>
      <c r="L335" s="56">
        <v>2699</v>
      </c>
      <c r="M335" s="56">
        <v>2699</v>
      </c>
      <c r="N335" s="56">
        <v>2699</v>
      </c>
      <c r="O335" s="55">
        <v>2649</v>
      </c>
      <c r="P335" s="56">
        <v>2599</v>
      </c>
      <c r="Q335" s="56">
        <v>1999</v>
      </c>
      <c r="R335" s="55">
        <v>2649</v>
      </c>
      <c r="S335" s="55">
        <v>2599</v>
      </c>
      <c r="T335" s="55">
        <v>1999</v>
      </c>
      <c r="U335" s="55">
        <v>1999</v>
      </c>
      <c r="V335" s="55">
        <v>1999</v>
      </c>
      <c r="W335" s="55">
        <v>1999</v>
      </c>
      <c r="X335" s="55">
        <v>1899</v>
      </c>
      <c r="Y335" s="55">
        <v>1899</v>
      </c>
      <c r="Z335" s="55">
        <v>1899</v>
      </c>
      <c r="AA335" s="55">
        <v>1899</v>
      </c>
      <c r="AB335" s="55">
        <v>2699</v>
      </c>
      <c r="AC335" s="55">
        <v>2699</v>
      </c>
      <c r="AD335" s="55">
        <v>2699</v>
      </c>
      <c r="AE335" s="55">
        <v>2699</v>
      </c>
      <c r="AF335" s="55">
        <v>2649</v>
      </c>
      <c r="AG335" s="55">
        <v>2599</v>
      </c>
      <c r="AH335" s="55">
        <v>1999</v>
      </c>
      <c r="AI335" s="55">
        <v>1999</v>
      </c>
      <c r="AJ335" s="55">
        <v>1999</v>
      </c>
      <c r="AK335" s="55">
        <v>1999</v>
      </c>
      <c r="AL335" s="55">
        <v>1899</v>
      </c>
      <c r="AM335" s="55"/>
      <c r="AN335" s="55"/>
      <c r="AO335" s="55"/>
      <c r="AP335" s="55"/>
      <c r="AQ335" s="55"/>
      <c r="AR335" s="55"/>
      <c r="AS335" s="55"/>
      <c r="AT335" s="55"/>
      <c r="AU335" s="55"/>
      <c r="AV335" s="57"/>
      <c r="AW335" s="58" t="s">
        <v>67</v>
      </c>
      <c r="AX335" s="59" t="s">
        <v>68</v>
      </c>
      <c r="AY335" s="62">
        <f t="shared" si="27"/>
        <v>56.5398</v>
      </c>
      <c r="AZ335" s="62">
        <f t="shared" si="28"/>
        <v>50.941800000000001</v>
      </c>
      <c r="BA335" s="63">
        <f t="shared" si="29"/>
        <v>28.829699999999999</v>
      </c>
    </row>
    <row r="336" spans="1:53" ht="22.5" customHeight="1">
      <c r="A336" s="64" t="s">
        <v>241</v>
      </c>
      <c r="B336" s="52" t="s">
        <v>64</v>
      </c>
      <c r="C336" s="53">
        <v>4017876</v>
      </c>
      <c r="D336" s="65" t="s">
        <v>509</v>
      </c>
      <c r="E336" s="65" t="s">
        <v>513</v>
      </c>
      <c r="F336" s="55">
        <v>3999</v>
      </c>
      <c r="G336" s="55">
        <v>2799</v>
      </c>
      <c r="H336" s="56">
        <v>2799</v>
      </c>
      <c r="I336" s="56">
        <v>2799</v>
      </c>
      <c r="J336" s="56">
        <v>2699</v>
      </c>
      <c r="K336" s="56">
        <v>2699</v>
      </c>
      <c r="L336" s="56">
        <v>2699</v>
      </c>
      <c r="M336" s="56">
        <v>2699</v>
      </c>
      <c r="N336" s="56">
        <v>2699</v>
      </c>
      <c r="O336" s="55">
        <v>2649</v>
      </c>
      <c r="P336" s="56">
        <v>2599</v>
      </c>
      <c r="Q336" s="56">
        <v>1999</v>
      </c>
      <c r="R336" s="55">
        <v>2649</v>
      </c>
      <c r="S336" s="55">
        <v>2599</v>
      </c>
      <c r="T336" s="55">
        <v>1999</v>
      </c>
      <c r="U336" s="55">
        <v>1999</v>
      </c>
      <c r="V336" s="55">
        <v>1999</v>
      </c>
      <c r="W336" s="55">
        <v>1999</v>
      </c>
      <c r="X336" s="55">
        <v>1899</v>
      </c>
      <c r="Y336" s="55">
        <v>1899</v>
      </c>
      <c r="Z336" s="55">
        <v>1899</v>
      </c>
      <c r="AA336" s="55">
        <v>1899</v>
      </c>
      <c r="AB336" s="55">
        <v>2699</v>
      </c>
      <c r="AC336" s="55">
        <v>2699</v>
      </c>
      <c r="AD336" s="55">
        <v>2699</v>
      </c>
      <c r="AE336" s="55">
        <v>2699</v>
      </c>
      <c r="AF336" s="55">
        <v>2649</v>
      </c>
      <c r="AG336" s="55">
        <v>2599</v>
      </c>
      <c r="AH336" s="55">
        <v>1999</v>
      </c>
      <c r="AI336" s="55">
        <v>1999</v>
      </c>
      <c r="AJ336" s="55">
        <v>1999</v>
      </c>
      <c r="AK336" s="55">
        <v>1999</v>
      </c>
      <c r="AL336" s="55">
        <v>1899</v>
      </c>
      <c r="AM336" s="55"/>
      <c r="AN336" s="55"/>
      <c r="AO336" s="55"/>
      <c r="AP336" s="55"/>
      <c r="AQ336" s="55"/>
      <c r="AR336" s="55"/>
      <c r="AS336" s="55"/>
      <c r="AT336" s="55"/>
      <c r="AU336" s="55"/>
      <c r="AV336" s="57"/>
      <c r="AW336" s="58" t="s">
        <v>67</v>
      </c>
      <c r="AX336" s="59" t="s">
        <v>68</v>
      </c>
      <c r="AY336" s="62">
        <f t="shared" si="27"/>
        <v>56.5398</v>
      </c>
      <c r="AZ336" s="62">
        <f t="shared" si="28"/>
        <v>50.941800000000001</v>
      </c>
      <c r="BA336" s="63">
        <f t="shared" si="29"/>
        <v>28.829699999999999</v>
      </c>
    </row>
    <row r="337" spans="1:53" ht="22.5" customHeight="1">
      <c r="A337" s="64" t="s">
        <v>241</v>
      </c>
      <c r="B337" s="52" t="s">
        <v>64</v>
      </c>
      <c r="C337" s="53">
        <v>4017852</v>
      </c>
      <c r="D337" s="65" t="s">
        <v>509</v>
      </c>
      <c r="E337" s="65" t="s">
        <v>514</v>
      </c>
      <c r="F337" s="55">
        <v>3999</v>
      </c>
      <c r="G337" s="55">
        <v>2799</v>
      </c>
      <c r="H337" s="56">
        <v>2799</v>
      </c>
      <c r="I337" s="56">
        <v>2799</v>
      </c>
      <c r="J337" s="56">
        <v>2699</v>
      </c>
      <c r="K337" s="56">
        <v>2699</v>
      </c>
      <c r="L337" s="56">
        <v>2699</v>
      </c>
      <c r="M337" s="56">
        <v>2699</v>
      </c>
      <c r="N337" s="56">
        <v>2699</v>
      </c>
      <c r="O337" s="55">
        <v>2649</v>
      </c>
      <c r="P337" s="56">
        <v>2599</v>
      </c>
      <c r="Q337" s="56">
        <v>1999</v>
      </c>
      <c r="R337" s="55">
        <v>2649</v>
      </c>
      <c r="S337" s="55">
        <v>2599</v>
      </c>
      <c r="T337" s="55">
        <v>1999</v>
      </c>
      <c r="U337" s="55">
        <v>1999</v>
      </c>
      <c r="V337" s="55">
        <v>1999</v>
      </c>
      <c r="W337" s="55">
        <v>1999</v>
      </c>
      <c r="X337" s="55">
        <v>1899</v>
      </c>
      <c r="Y337" s="55">
        <v>1899</v>
      </c>
      <c r="Z337" s="55">
        <v>1899</v>
      </c>
      <c r="AA337" s="55">
        <v>1899</v>
      </c>
      <c r="AB337" s="55">
        <v>2699</v>
      </c>
      <c r="AC337" s="55">
        <v>2699</v>
      </c>
      <c r="AD337" s="55">
        <v>2699</v>
      </c>
      <c r="AE337" s="55">
        <v>2699</v>
      </c>
      <c r="AF337" s="55">
        <v>2649</v>
      </c>
      <c r="AG337" s="55">
        <v>2599</v>
      </c>
      <c r="AH337" s="55">
        <v>1999</v>
      </c>
      <c r="AI337" s="55">
        <v>1999</v>
      </c>
      <c r="AJ337" s="55">
        <v>1999</v>
      </c>
      <c r="AK337" s="55">
        <v>1999</v>
      </c>
      <c r="AL337" s="55">
        <v>1899</v>
      </c>
      <c r="AM337" s="55"/>
      <c r="AN337" s="55"/>
      <c r="AO337" s="55"/>
      <c r="AP337" s="55"/>
      <c r="AQ337" s="55"/>
      <c r="AR337" s="55"/>
      <c r="AS337" s="55"/>
      <c r="AT337" s="55"/>
      <c r="AU337" s="55"/>
      <c r="AV337" s="57"/>
      <c r="AW337" s="58" t="s">
        <v>67</v>
      </c>
      <c r="AX337" s="59" t="s">
        <v>68</v>
      </c>
      <c r="AY337" s="62">
        <f t="shared" si="27"/>
        <v>56.5398</v>
      </c>
      <c r="AZ337" s="62">
        <f t="shared" si="28"/>
        <v>50.941800000000001</v>
      </c>
      <c r="BA337" s="63">
        <f t="shared" si="29"/>
        <v>28.829699999999999</v>
      </c>
    </row>
    <row r="338" spans="1:53" ht="22.5" customHeight="1">
      <c r="A338" s="64" t="s">
        <v>241</v>
      </c>
      <c r="B338" s="52" t="s">
        <v>64</v>
      </c>
      <c r="C338" s="53">
        <v>4017857</v>
      </c>
      <c r="D338" s="65" t="s">
        <v>509</v>
      </c>
      <c r="E338" s="65" t="s">
        <v>515</v>
      </c>
      <c r="F338" s="55">
        <v>3999</v>
      </c>
      <c r="G338" s="55">
        <v>2799</v>
      </c>
      <c r="H338" s="56">
        <v>2799</v>
      </c>
      <c r="I338" s="56">
        <v>2799</v>
      </c>
      <c r="J338" s="56">
        <v>2699</v>
      </c>
      <c r="K338" s="56">
        <v>2699</v>
      </c>
      <c r="L338" s="56">
        <v>2699</v>
      </c>
      <c r="M338" s="56">
        <v>2699</v>
      </c>
      <c r="N338" s="56">
        <v>2699</v>
      </c>
      <c r="O338" s="55">
        <v>2649</v>
      </c>
      <c r="P338" s="56">
        <v>2599</v>
      </c>
      <c r="Q338" s="56">
        <v>1999</v>
      </c>
      <c r="R338" s="55">
        <v>2649</v>
      </c>
      <c r="S338" s="55">
        <v>2599</v>
      </c>
      <c r="T338" s="55">
        <v>1999</v>
      </c>
      <c r="U338" s="55">
        <v>1999</v>
      </c>
      <c r="V338" s="55">
        <v>1999</v>
      </c>
      <c r="W338" s="55">
        <v>1999</v>
      </c>
      <c r="X338" s="55">
        <v>1899</v>
      </c>
      <c r="Y338" s="55">
        <v>1899</v>
      </c>
      <c r="Z338" s="55">
        <v>1899</v>
      </c>
      <c r="AA338" s="55">
        <v>1899</v>
      </c>
      <c r="AB338" s="55">
        <v>2699</v>
      </c>
      <c r="AC338" s="55">
        <v>2699</v>
      </c>
      <c r="AD338" s="55">
        <v>2699</v>
      </c>
      <c r="AE338" s="55">
        <v>2699</v>
      </c>
      <c r="AF338" s="55">
        <v>2649</v>
      </c>
      <c r="AG338" s="55">
        <v>2599</v>
      </c>
      <c r="AH338" s="55">
        <v>1999</v>
      </c>
      <c r="AI338" s="55">
        <v>1999</v>
      </c>
      <c r="AJ338" s="55">
        <v>1999</v>
      </c>
      <c r="AK338" s="55">
        <v>1999</v>
      </c>
      <c r="AL338" s="55">
        <v>1899</v>
      </c>
      <c r="AM338" s="55"/>
      <c r="AN338" s="55"/>
      <c r="AO338" s="55"/>
      <c r="AP338" s="55"/>
      <c r="AQ338" s="55"/>
      <c r="AR338" s="55"/>
      <c r="AS338" s="55"/>
      <c r="AT338" s="55"/>
      <c r="AU338" s="55"/>
      <c r="AV338" s="57"/>
      <c r="AW338" s="58" t="s">
        <v>67</v>
      </c>
      <c r="AX338" s="59" t="s">
        <v>68</v>
      </c>
      <c r="AY338" s="62">
        <f t="shared" si="27"/>
        <v>56.5398</v>
      </c>
      <c r="AZ338" s="62">
        <f t="shared" si="28"/>
        <v>50.941800000000001</v>
      </c>
      <c r="BA338" s="63">
        <f t="shared" si="29"/>
        <v>28.829699999999999</v>
      </c>
    </row>
    <row r="339" spans="1:53" ht="22.5" customHeight="1">
      <c r="A339" s="64" t="s">
        <v>241</v>
      </c>
      <c r="B339" s="52" t="s">
        <v>64</v>
      </c>
      <c r="C339" s="53">
        <v>4008625</v>
      </c>
      <c r="D339" s="70" t="s">
        <v>516</v>
      </c>
      <c r="E339" s="71" t="s">
        <v>517</v>
      </c>
      <c r="F339" s="55">
        <v>1099</v>
      </c>
      <c r="G339" s="55">
        <v>799</v>
      </c>
      <c r="H339" s="56">
        <v>799</v>
      </c>
      <c r="I339" s="56">
        <v>799</v>
      </c>
      <c r="J339" s="56">
        <f t="shared" ref="J339" si="32">M339</f>
        <v>799</v>
      </c>
      <c r="K339" s="56">
        <f t="shared" ref="K339:L339" si="33">M339</f>
        <v>799</v>
      </c>
      <c r="L339" s="56">
        <f t="shared" si="33"/>
        <v>799</v>
      </c>
      <c r="M339" s="56">
        <v>799</v>
      </c>
      <c r="N339" s="56">
        <v>799</v>
      </c>
      <c r="O339" s="55">
        <f t="shared" ref="O339:Q339" si="34">R339</f>
        <v>699</v>
      </c>
      <c r="P339" s="56">
        <f t="shared" si="34"/>
        <v>579</v>
      </c>
      <c r="Q339" s="56">
        <f t="shared" si="34"/>
        <v>449</v>
      </c>
      <c r="R339" s="55">
        <v>699</v>
      </c>
      <c r="S339" s="55">
        <v>579</v>
      </c>
      <c r="T339" s="55">
        <v>449</v>
      </c>
      <c r="U339" s="55">
        <v>449</v>
      </c>
      <c r="V339" s="55">
        <v>449</v>
      </c>
      <c r="W339" s="55">
        <v>449</v>
      </c>
      <c r="X339" s="55">
        <v>399</v>
      </c>
      <c r="Y339" s="55">
        <v>349</v>
      </c>
      <c r="Z339" s="55">
        <v>349</v>
      </c>
      <c r="AA339" s="55">
        <v>309</v>
      </c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7"/>
      <c r="AW339" s="58" t="s">
        <v>67</v>
      </c>
      <c r="AX339" s="59" t="s">
        <v>247</v>
      </c>
      <c r="AY339" s="60">
        <f t="shared" si="27"/>
        <v>16.139800000000001</v>
      </c>
      <c r="AZ339" s="60">
        <f t="shared" si="28"/>
        <v>14.5418</v>
      </c>
      <c r="BA339" s="61">
        <f t="shared" si="29"/>
        <v>8.2296999999999993</v>
      </c>
    </row>
    <row r="340" spans="1:53" ht="22.5" customHeight="1">
      <c r="A340" s="51" t="s">
        <v>63</v>
      </c>
      <c r="B340" s="52" t="s">
        <v>64</v>
      </c>
      <c r="C340" s="53">
        <v>4015427</v>
      </c>
      <c r="D340" s="65" t="s">
        <v>518</v>
      </c>
      <c r="E340" s="65" t="s">
        <v>519</v>
      </c>
      <c r="F340" s="55">
        <v>2227</v>
      </c>
      <c r="G340" s="55">
        <v>2027</v>
      </c>
      <c r="H340" s="55">
        <v>2227</v>
      </c>
      <c r="I340" s="55">
        <v>2227</v>
      </c>
      <c r="J340" s="55">
        <v>1419</v>
      </c>
      <c r="K340" s="55">
        <v>1419</v>
      </c>
      <c r="L340" s="55">
        <v>1419</v>
      </c>
      <c r="M340" s="55">
        <v>1419</v>
      </c>
      <c r="N340" s="55">
        <v>1419</v>
      </c>
      <c r="O340" s="55">
        <v>1419</v>
      </c>
      <c r="P340" s="55">
        <v>1419</v>
      </c>
      <c r="Q340" s="55">
        <v>1419</v>
      </c>
      <c r="R340" s="55">
        <v>1419</v>
      </c>
      <c r="S340" s="55">
        <v>1419</v>
      </c>
      <c r="T340" s="55">
        <v>1419</v>
      </c>
      <c r="U340" s="55">
        <v>1419</v>
      </c>
      <c r="V340" s="55">
        <v>1419</v>
      </c>
      <c r="W340" s="55">
        <v>1419</v>
      </c>
      <c r="X340" s="55">
        <v>1419</v>
      </c>
      <c r="Y340" s="55">
        <v>1419</v>
      </c>
      <c r="Z340" s="55">
        <v>1419</v>
      </c>
      <c r="AA340" s="55">
        <v>1419</v>
      </c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7"/>
      <c r="AW340" s="58" t="s">
        <v>67</v>
      </c>
      <c r="AX340" s="59" t="s">
        <v>68</v>
      </c>
      <c r="AY340" s="60">
        <f t="shared" si="27"/>
        <v>44.985399999999998</v>
      </c>
      <c r="AZ340" s="60">
        <f t="shared" si="28"/>
        <v>40.531400000000005</v>
      </c>
      <c r="BA340" s="61">
        <f t="shared" si="29"/>
        <v>22.938099999999999</v>
      </c>
    </row>
    <row r="341" spans="1:53" ht="22.5" customHeight="1">
      <c r="A341" s="51" t="s">
        <v>63</v>
      </c>
      <c r="B341" s="52" t="s">
        <v>64</v>
      </c>
      <c r="C341" s="53">
        <v>4015449</v>
      </c>
      <c r="D341" s="65" t="s">
        <v>518</v>
      </c>
      <c r="E341" s="65" t="s">
        <v>520</v>
      </c>
      <c r="F341" s="55">
        <v>2227</v>
      </c>
      <c r="G341" s="55">
        <v>2027</v>
      </c>
      <c r="H341" s="55">
        <v>2227</v>
      </c>
      <c r="I341" s="55">
        <v>2227</v>
      </c>
      <c r="J341" s="55">
        <v>1419</v>
      </c>
      <c r="K341" s="55">
        <v>1419</v>
      </c>
      <c r="L341" s="55">
        <v>1419</v>
      </c>
      <c r="M341" s="55">
        <v>1419</v>
      </c>
      <c r="N341" s="55">
        <v>1419</v>
      </c>
      <c r="O341" s="55">
        <v>1419</v>
      </c>
      <c r="P341" s="55">
        <v>1419</v>
      </c>
      <c r="Q341" s="55">
        <v>1419</v>
      </c>
      <c r="R341" s="55">
        <v>1419</v>
      </c>
      <c r="S341" s="55">
        <v>1419</v>
      </c>
      <c r="T341" s="55">
        <v>1419</v>
      </c>
      <c r="U341" s="55">
        <v>1419</v>
      </c>
      <c r="V341" s="55">
        <v>1419</v>
      </c>
      <c r="W341" s="55">
        <v>1419</v>
      </c>
      <c r="X341" s="55">
        <v>1419</v>
      </c>
      <c r="Y341" s="55">
        <v>1419</v>
      </c>
      <c r="Z341" s="55">
        <v>1419</v>
      </c>
      <c r="AA341" s="55">
        <v>1419</v>
      </c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7"/>
      <c r="AW341" s="58" t="s">
        <v>67</v>
      </c>
      <c r="AX341" s="59" t="s">
        <v>68</v>
      </c>
      <c r="AY341" s="60">
        <f t="shared" si="27"/>
        <v>44.985399999999998</v>
      </c>
      <c r="AZ341" s="60">
        <f t="shared" si="28"/>
        <v>40.531400000000005</v>
      </c>
      <c r="BA341" s="61">
        <f t="shared" si="29"/>
        <v>22.938099999999999</v>
      </c>
    </row>
    <row r="342" spans="1:53" ht="22.5" customHeight="1">
      <c r="A342" s="51" t="s">
        <v>63</v>
      </c>
      <c r="B342" s="52" t="s">
        <v>64</v>
      </c>
      <c r="C342" s="53">
        <v>4015443</v>
      </c>
      <c r="D342" s="65" t="s">
        <v>518</v>
      </c>
      <c r="E342" s="65" t="s">
        <v>521</v>
      </c>
      <c r="F342" s="55">
        <v>2227</v>
      </c>
      <c r="G342" s="55">
        <v>2027</v>
      </c>
      <c r="H342" s="55">
        <v>2227</v>
      </c>
      <c r="I342" s="55">
        <v>2227</v>
      </c>
      <c r="J342" s="55">
        <v>1419</v>
      </c>
      <c r="K342" s="55">
        <v>1419</v>
      </c>
      <c r="L342" s="55">
        <v>1419</v>
      </c>
      <c r="M342" s="55">
        <v>1419</v>
      </c>
      <c r="N342" s="55">
        <v>1419</v>
      </c>
      <c r="O342" s="55">
        <v>1419</v>
      </c>
      <c r="P342" s="55">
        <v>1419</v>
      </c>
      <c r="Q342" s="55">
        <v>1419</v>
      </c>
      <c r="R342" s="55">
        <v>1419</v>
      </c>
      <c r="S342" s="55">
        <v>1419</v>
      </c>
      <c r="T342" s="55">
        <v>1419</v>
      </c>
      <c r="U342" s="55">
        <v>1419</v>
      </c>
      <c r="V342" s="55">
        <v>1419</v>
      </c>
      <c r="W342" s="55">
        <v>1419</v>
      </c>
      <c r="X342" s="55">
        <v>1419</v>
      </c>
      <c r="Y342" s="55">
        <v>1419</v>
      </c>
      <c r="Z342" s="55">
        <v>1419</v>
      </c>
      <c r="AA342" s="55">
        <v>1419</v>
      </c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7"/>
      <c r="AW342" s="58" t="s">
        <v>67</v>
      </c>
      <c r="AX342" s="59" t="s">
        <v>68</v>
      </c>
      <c r="AY342" s="60">
        <f t="shared" si="27"/>
        <v>44.985399999999998</v>
      </c>
      <c r="AZ342" s="60">
        <f t="shared" si="28"/>
        <v>40.531400000000005</v>
      </c>
      <c r="BA342" s="61">
        <f t="shared" si="29"/>
        <v>22.938099999999999</v>
      </c>
    </row>
    <row r="343" spans="1:53" ht="22.5" customHeight="1">
      <c r="A343" s="51" t="s">
        <v>63</v>
      </c>
      <c r="B343" s="52" t="s">
        <v>64</v>
      </c>
      <c r="C343" s="53">
        <v>4014767</v>
      </c>
      <c r="D343" s="65" t="s">
        <v>522</v>
      </c>
      <c r="E343" s="65" t="s">
        <v>523</v>
      </c>
      <c r="F343" s="55">
        <v>2999</v>
      </c>
      <c r="G343" s="55">
        <v>1299</v>
      </c>
      <c r="H343" s="55">
        <v>2399</v>
      </c>
      <c r="I343" s="55">
        <v>2399</v>
      </c>
      <c r="J343" s="55">
        <v>749</v>
      </c>
      <c r="K343" s="55">
        <v>749</v>
      </c>
      <c r="L343" s="55">
        <v>749</v>
      </c>
      <c r="M343" s="55">
        <v>749</v>
      </c>
      <c r="N343" s="55">
        <v>749</v>
      </c>
      <c r="O343" s="55">
        <v>749</v>
      </c>
      <c r="P343" s="56">
        <v>749</v>
      </c>
      <c r="Q343" s="56">
        <v>749</v>
      </c>
      <c r="R343" s="55">
        <v>749</v>
      </c>
      <c r="S343" s="55">
        <v>749</v>
      </c>
      <c r="T343" s="55">
        <v>749</v>
      </c>
      <c r="U343" s="55">
        <v>749</v>
      </c>
      <c r="V343" s="55">
        <v>749</v>
      </c>
      <c r="W343" s="55">
        <v>749</v>
      </c>
      <c r="X343" s="55">
        <v>749</v>
      </c>
      <c r="Y343" s="55">
        <v>749</v>
      </c>
      <c r="Z343" s="55">
        <v>749</v>
      </c>
      <c r="AA343" s="55">
        <v>749</v>
      </c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7"/>
      <c r="AW343" s="58" t="s">
        <v>67</v>
      </c>
      <c r="AX343" s="59" t="s">
        <v>68</v>
      </c>
      <c r="AY343" s="60">
        <f t="shared" si="27"/>
        <v>48.459800000000001</v>
      </c>
      <c r="AZ343" s="60">
        <f t="shared" si="28"/>
        <v>43.661799999999999</v>
      </c>
      <c r="BA343" s="61">
        <f t="shared" si="29"/>
        <v>24.709700000000002</v>
      </c>
    </row>
    <row r="344" spans="1:53" ht="22.5" customHeight="1">
      <c r="A344" s="51" t="s">
        <v>63</v>
      </c>
      <c r="B344" s="52" t="s">
        <v>64</v>
      </c>
      <c r="C344" s="53">
        <v>4014758</v>
      </c>
      <c r="D344" s="65" t="s">
        <v>522</v>
      </c>
      <c r="E344" s="65" t="s">
        <v>524</v>
      </c>
      <c r="F344" s="55">
        <v>2999</v>
      </c>
      <c r="G344" s="55">
        <v>1299</v>
      </c>
      <c r="H344" s="55">
        <v>2399</v>
      </c>
      <c r="I344" s="55">
        <v>2399</v>
      </c>
      <c r="J344" s="55">
        <v>749</v>
      </c>
      <c r="K344" s="55">
        <v>749</v>
      </c>
      <c r="L344" s="55">
        <v>749</v>
      </c>
      <c r="M344" s="55">
        <v>749</v>
      </c>
      <c r="N344" s="55">
        <v>749</v>
      </c>
      <c r="O344" s="55">
        <v>749</v>
      </c>
      <c r="P344" s="56">
        <v>749</v>
      </c>
      <c r="Q344" s="56">
        <v>749</v>
      </c>
      <c r="R344" s="55">
        <v>749</v>
      </c>
      <c r="S344" s="55">
        <v>749</v>
      </c>
      <c r="T344" s="55">
        <v>749</v>
      </c>
      <c r="U344" s="55">
        <v>749</v>
      </c>
      <c r="V344" s="55">
        <v>749</v>
      </c>
      <c r="W344" s="55">
        <v>749</v>
      </c>
      <c r="X344" s="55">
        <v>749</v>
      </c>
      <c r="Y344" s="55">
        <v>749</v>
      </c>
      <c r="Z344" s="55">
        <v>749</v>
      </c>
      <c r="AA344" s="55">
        <v>749</v>
      </c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7"/>
      <c r="AW344" s="58" t="s">
        <v>67</v>
      </c>
      <c r="AX344" s="59" t="s">
        <v>68</v>
      </c>
      <c r="AY344" s="60">
        <f t="shared" si="27"/>
        <v>48.459800000000001</v>
      </c>
      <c r="AZ344" s="60">
        <f t="shared" si="28"/>
        <v>43.661799999999999</v>
      </c>
      <c r="BA344" s="61">
        <f t="shared" si="29"/>
        <v>24.709700000000002</v>
      </c>
    </row>
    <row r="345" spans="1:53" ht="22.5" customHeight="1">
      <c r="A345" s="51" t="s">
        <v>63</v>
      </c>
      <c r="B345" s="52" t="s">
        <v>64</v>
      </c>
      <c r="C345" s="53">
        <v>4014764</v>
      </c>
      <c r="D345" s="65" t="s">
        <v>522</v>
      </c>
      <c r="E345" s="65" t="s">
        <v>525</v>
      </c>
      <c r="F345" s="55">
        <v>2999</v>
      </c>
      <c r="G345" s="55">
        <v>1299</v>
      </c>
      <c r="H345" s="55">
        <v>2399</v>
      </c>
      <c r="I345" s="55">
        <v>2399</v>
      </c>
      <c r="J345" s="55">
        <v>749</v>
      </c>
      <c r="K345" s="55">
        <v>749</v>
      </c>
      <c r="L345" s="55">
        <v>749</v>
      </c>
      <c r="M345" s="55">
        <v>749</v>
      </c>
      <c r="N345" s="55">
        <v>749</v>
      </c>
      <c r="O345" s="55">
        <v>749</v>
      </c>
      <c r="P345" s="56">
        <v>749</v>
      </c>
      <c r="Q345" s="56">
        <v>749</v>
      </c>
      <c r="R345" s="55">
        <v>749</v>
      </c>
      <c r="S345" s="55">
        <v>749</v>
      </c>
      <c r="T345" s="55">
        <v>749</v>
      </c>
      <c r="U345" s="55">
        <v>749</v>
      </c>
      <c r="V345" s="55">
        <v>749</v>
      </c>
      <c r="W345" s="55">
        <v>749</v>
      </c>
      <c r="X345" s="55">
        <v>749</v>
      </c>
      <c r="Y345" s="55">
        <v>749</v>
      </c>
      <c r="Z345" s="55">
        <v>749</v>
      </c>
      <c r="AA345" s="55">
        <v>749</v>
      </c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7"/>
      <c r="AW345" s="58" t="s">
        <v>67</v>
      </c>
      <c r="AX345" s="59" t="s">
        <v>68</v>
      </c>
      <c r="AY345" s="60">
        <f t="shared" si="27"/>
        <v>48.459800000000001</v>
      </c>
      <c r="AZ345" s="60">
        <f t="shared" si="28"/>
        <v>43.661799999999999</v>
      </c>
      <c r="BA345" s="61">
        <f t="shared" si="29"/>
        <v>24.709700000000002</v>
      </c>
    </row>
    <row r="346" spans="1:53" ht="22.5" customHeight="1">
      <c r="A346" s="51" t="s">
        <v>63</v>
      </c>
      <c r="B346" s="52" t="s">
        <v>64</v>
      </c>
      <c r="C346" s="53">
        <v>4014985</v>
      </c>
      <c r="D346" s="65" t="s">
        <v>522</v>
      </c>
      <c r="E346" s="65" t="s">
        <v>526</v>
      </c>
      <c r="F346" s="55">
        <v>2999</v>
      </c>
      <c r="G346" s="55">
        <v>1299</v>
      </c>
      <c r="H346" s="55">
        <v>2399</v>
      </c>
      <c r="I346" s="55">
        <v>2399</v>
      </c>
      <c r="J346" s="55">
        <v>749</v>
      </c>
      <c r="K346" s="55">
        <v>749</v>
      </c>
      <c r="L346" s="55">
        <v>749</v>
      </c>
      <c r="M346" s="55">
        <v>749</v>
      </c>
      <c r="N346" s="55">
        <v>749</v>
      </c>
      <c r="O346" s="55">
        <v>749</v>
      </c>
      <c r="P346" s="56">
        <v>749</v>
      </c>
      <c r="Q346" s="56">
        <v>749</v>
      </c>
      <c r="R346" s="55">
        <v>749</v>
      </c>
      <c r="S346" s="55">
        <v>749</v>
      </c>
      <c r="T346" s="55">
        <v>749</v>
      </c>
      <c r="U346" s="55">
        <v>749</v>
      </c>
      <c r="V346" s="55">
        <v>749</v>
      </c>
      <c r="W346" s="55">
        <v>749</v>
      </c>
      <c r="X346" s="55">
        <v>749</v>
      </c>
      <c r="Y346" s="55">
        <v>749</v>
      </c>
      <c r="Z346" s="55">
        <v>749</v>
      </c>
      <c r="AA346" s="55">
        <v>749</v>
      </c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7"/>
      <c r="AW346" s="58" t="s">
        <v>67</v>
      </c>
      <c r="AX346" s="59" t="s">
        <v>68</v>
      </c>
      <c r="AY346" s="60">
        <f t="shared" si="27"/>
        <v>48.459800000000001</v>
      </c>
      <c r="AZ346" s="60">
        <f t="shared" si="28"/>
        <v>43.661799999999999</v>
      </c>
      <c r="BA346" s="61">
        <f t="shared" si="29"/>
        <v>24.709700000000002</v>
      </c>
    </row>
    <row r="347" spans="1:53" ht="22.5" customHeight="1">
      <c r="A347" s="51" t="s">
        <v>63</v>
      </c>
      <c r="B347" s="52" t="s">
        <v>64</v>
      </c>
      <c r="C347" s="53">
        <v>4014742</v>
      </c>
      <c r="D347" s="65" t="s">
        <v>527</v>
      </c>
      <c r="E347" s="65" t="s">
        <v>528</v>
      </c>
      <c r="F347" s="55">
        <v>2199</v>
      </c>
      <c r="G347" s="55">
        <v>1099</v>
      </c>
      <c r="H347" s="55">
        <v>2199</v>
      </c>
      <c r="I347" s="55">
        <v>2199</v>
      </c>
      <c r="J347" s="55">
        <v>799</v>
      </c>
      <c r="K347" s="55">
        <v>799</v>
      </c>
      <c r="L347" s="55">
        <v>799</v>
      </c>
      <c r="M347" s="55">
        <v>799</v>
      </c>
      <c r="N347" s="55">
        <v>799</v>
      </c>
      <c r="O347" s="55">
        <v>799</v>
      </c>
      <c r="P347" s="56">
        <v>799</v>
      </c>
      <c r="Q347" s="56">
        <v>799</v>
      </c>
      <c r="R347" s="55">
        <v>799</v>
      </c>
      <c r="S347" s="55">
        <v>799</v>
      </c>
      <c r="T347" s="55">
        <v>799</v>
      </c>
      <c r="U347" s="55">
        <v>799</v>
      </c>
      <c r="V347" s="55">
        <v>799</v>
      </c>
      <c r="W347" s="55">
        <v>799</v>
      </c>
      <c r="X347" s="55">
        <v>799</v>
      </c>
      <c r="Y347" s="55">
        <v>799</v>
      </c>
      <c r="Z347" s="55">
        <v>799</v>
      </c>
      <c r="AA347" s="55">
        <v>799</v>
      </c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7"/>
      <c r="AW347" s="58" t="s">
        <v>67</v>
      </c>
      <c r="AX347" s="59" t="s">
        <v>68</v>
      </c>
      <c r="AY347" s="60">
        <f t="shared" si="27"/>
        <v>44.419799999999995</v>
      </c>
      <c r="AZ347" s="60">
        <f t="shared" si="28"/>
        <v>40.021799999999999</v>
      </c>
      <c r="BA347" s="61">
        <f t="shared" si="29"/>
        <v>22.649699999999999</v>
      </c>
    </row>
    <row r="348" spans="1:53" ht="22.5" customHeight="1">
      <c r="A348" s="51" t="s">
        <v>63</v>
      </c>
      <c r="B348" s="52" t="s">
        <v>64</v>
      </c>
      <c r="C348" s="53">
        <v>4014708</v>
      </c>
      <c r="D348" s="65" t="s">
        <v>527</v>
      </c>
      <c r="E348" s="65" t="s">
        <v>529</v>
      </c>
      <c r="F348" s="55">
        <v>2199</v>
      </c>
      <c r="G348" s="55">
        <v>1099</v>
      </c>
      <c r="H348" s="55">
        <v>2199</v>
      </c>
      <c r="I348" s="55">
        <v>2199</v>
      </c>
      <c r="J348" s="55">
        <v>799</v>
      </c>
      <c r="K348" s="55">
        <v>799</v>
      </c>
      <c r="L348" s="55">
        <v>799</v>
      </c>
      <c r="M348" s="55">
        <v>799</v>
      </c>
      <c r="N348" s="55">
        <v>799</v>
      </c>
      <c r="O348" s="55">
        <v>799</v>
      </c>
      <c r="P348" s="56">
        <v>799</v>
      </c>
      <c r="Q348" s="56">
        <v>799</v>
      </c>
      <c r="R348" s="55">
        <v>799</v>
      </c>
      <c r="S348" s="55">
        <v>799</v>
      </c>
      <c r="T348" s="55">
        <v>799</v>
      </c>
      <c r="U348" s="55">
        <v>799</v>
      </c>
      <c r="V348" s="55">
        <v>799</v>
      </c>
      <c r="W348" s="55">
        <v>799</v>
      </c>
      <c r="X348" s="55">
        <v>799</v>
      </c>
      <c r="Y348" s="55">
        <v>799</v>
      </c>
      <c r="Z348" s="55">
        <v>799</v>
      </c>
      <c r="AA348" s="55">
        <v>799</v>
      </c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7"/>
      <c r="AW348" s="58" t="s">
        <v>67</v>
      </c>
      <c r="AX348" s="59" t="s">
        <v>68</v>
      </c>
      <c r="AY348" s="60">
        <f t="shared" si="27"/>
        <v>44.419799999999995</v>
      </c>
      <c r="AZ348" s="60">
        <f t="shared" si="28"/>
        <v>40.021799999999999</v>
      </c>
      <c r="BA348" s="61">
        <f t="shared" si="29"/>
        <v>22.649699999999999</v>
      </c>
    </row>
    <row r="349" spans="1:53" ht="22.5" customHeight="1">
      <c r="A349" s="51" t="s">
        <v>63</v>
      </c>
      <c r="B349" s="52" t="s">
        <v>64</v>
      </c>
      <c r="C349" s="53">
        <v>4015523</v>
      </c>
      <c r="D349" s="65" t="s">
        <v>527</v>
      </c>
      <c r="E349" s="65" t="s">
        <v>530</v>
      </c>
      <c r="F349" s="55">
        <v>2199</v>
      </c>
      <c r="G349" s="55">
        <v>1099</v>
      </c>
      <c r="H349" s="55">
        <v>2199</v>
      </c>
      <c r="I349" s="55">
        <v>2199</v>
      </c>
      <c r="J349" s="55">
        <v>799</v>
      </c>
      <c r="K349" s="55">
        <v>799</v>
      </c>
      <c r="L349" s="55">
        <v>799</v>
      </c>
      <c r="M349" s="55">
        <v>799</v>
      </c>
      <c r="N349" s="55">
        <v>799</v>
      </c>
      <c r="O349" s="55">
        <v>799</v>
      </c>
      <c r="P349" s="56">
        <v>799</v>
      </c>
      <c r="Q349" s="56">
        <v>799</v>
      </c>
      <c r="R349" s="55">
        <v>799</v>
      </c>
      <c r="S349" s="55">
        <v>799</v>
      </c>
      <c r="T349" s="55">
        <v>799</v>
      </c>
      <c r="U349" s="55">
        <v>799</v>
      </c>
      <c r="V349" s="55">
        <v>799</v>
      </c>
      <c r="W349" s="55">
        <v>799</v>
      </c>
      <c r="X349" s="55">
        <v>799</v>
      </c>
      <c r="Y349" s="55">
        <v>799</v>
      </c>
      <c r="Z349" s="55">
        <v>799</v>
      </c>
      <c r="AA349" s="55">
        <v>799</v>
      </c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7"/>
      <c r="AW349" s="58" t="s">
        <v>67</v>
      </c>
      <c r="AX349" s="59" t="s">
        <v>68</v>
      </c>
      <c r="AY349" s="60">
        <f t="shared" si="27"/>
        <v>44.419799999999995</v>
      </c>
      <c r="AZ349" s="60">
        <f t="shared" si="28"/>
        <v>40.021799999999999</v>
      </c>
      <c r="BA349" s="61">
        <f t="shared" si="29"/>
        <v>22.649699999999999</v>
      </c>
    </row>
    <row r="350" spans="1:53" ht="22.5" customHeight="1">
      <c r="A350" s="51" t="s">
        <v>63</v>
      </c>
      <c r="B350" s="52" t="s">
        <v>64</v>
      </c>
      <c r="C350" s="53">
        <v>4015520</v>
      </c>
      <c r="D350" s="65" t="s">
        <v>527</v>
      </c>
      <c r="E350" s="65" t="s">
        <v>531</v>
      </c>
      <c r="F350" s="55">
        <v>2199</v>
      </c>
      <c r="G350" s="55">
        <v>1099</v>
      </c>
      <c r="H350" s="55">
        <v>2199</v>
      </c>
      <c r="I350" s="55">
        <v>2199</v>
      </c>
      <c r="J350" s="55">
        <v>799</v>
      </c>
      <c r="K350" s="55">
        <v>799</v>
      </c>
      <c r="L350" s="55">
        <v>799</v>
      </c>
      <c r="M350" s="55">
        <v>799</v>
      </c>
      <c r="N350" s="55">
        <v>799</v>
      </c>
      <c r="O350" s="55">
        <v>799</v>
      </c>
      <c r="P350" s="56">
        <v>799</v>
      </c>
      <c r="Q350" s="56">
        <v>799</v>
      </c>
      <c r="R350" s="55">
        <v>799</v>
      </c>
      <c r="S350" s="55">
        <v>799</v>
      </c>
      <c r="T350" s="55">
        <v>799</v>
      </c>
      <c r="U350" s="55">
        <v>799</v>
      </c>
      <c r="V350" s="55">
        <v>799</v>
      </c>
      <c r="W350" s="55">
        <v>799</v>
      </c>
      <c r="X350" s="55">
        <v>799</v>
      </c>
      <c r="Y350" s="55">
        <v>799</v>
      </c>
      <c r="Z350" s="55">
        <v>799</v>
      </c>
      <c r="AA350" s="55">
        <v>799</v>
      </c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7"/>
      <c r="AW350" s="58" t="s">
        <v>67</v>
      </c>
      <c r="AX350" s="59" t="s">
        <v>68</v>
      </c>
      <c r="AY350" s="60">
        <f t="shared" si="27"/>
        <v>44.419799999999995</v>
      </c>
      <c r="AZ350" s="60">
        <f t="shared" si="28"/>
        <v>40.021799999999999</v>
      </c>
      <c r="BA350" s="61">
        <f t="shared" si="29"/>
        <v>22.649699999999999</v>
      </c>
    </row>
    <row r="351" spans="1:53" ht="22.5" customHeight="1">
      <c r="A351" s="51" t="s">
        <v>63</v>
      </c>
      <c r="B351" s="52" t="s">
        <v>64</v>
      </c>
      <c r="C351" s="53">
        <v>4014707</v>
      </c>
      <c r="D351" s="65" t="s">
        <v>532</v>
      </c>
      <c r="E351" s="65" t="s">
        <v>533</v>
      </c>
      <c r="F351" s="55">
        <v>6999</v>
      </c>
      <c r="G351" s="55">
        <v>1899</v>
      </c>
      <c r="H351" s="55">
        <v>3499</v>
      </c>
      <c r="I351" s="55">
        <v>3499</v>
      </c>
      <c r="J351" s="55">
        <v>1199</v>
      </c>
      <c r="K351" s="55">
        <v>1199</v>
      </c>
      <c r="L351" s="55">
        <v>1199</v>
      </c>
      <c r="M351" s="55">
        <v>1199</v>
      </c>
      <c r="N351" s="55">
        <v>1199</v>
      </c>
      <c r="O351" s="55">
        <v>1199</v>
      </c>
      <c r="P351" s="56">
        <v>1199</v>
      </c>
      <c r="Q351" s="56">
        <v>1099</v>
      </c>
      <c r="R351" s="55">
        <v>1199</v>
      </c>
      <c r="S351" s="55">
        <v>1199</v>
      </c>
      <c r="T351" s="55">
        <v>1099</v>
      </c>
      <c r="U351" s="55">
        <v>1099</v>
      </c>
      <c r="V351" s="55">
        <v>1099</v>
      </c>
      <c r="W351" s="55">
        <v>1099</v>
      </c>
      <c r="X351" s="55">
        <v>1099</v>
      </c>
      <c r="Y351" s="55">
        <v>1099</v>
      </c>
      <c r="Z351" s="55">
        <v>1099</v>
      </c>
      <c r="AA351" s="55">
        <v>1099</v>
      </c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7"/>
      <c r="AW351" s="58" t="s">
        <v>67</v>
      </c>
      <c r="AX351" s="59" t="s">
        <v>68</v>
      </c>
      <c r="AY351" s="60">
        <f t="shared" si="27"/>
        <v>70.6798</v>
      </c>
      <c r="AZ351" s="60">
        <f t="shared" si="28"/>
        <v>63.681800000000003</v>
      </c>
      <c r="BA351" s="61">
        <f t="shared" si="29"/>
        <v>36.039700000000003</v>
      </c>
    </row>
    <row r="352" spans="1:53" ht="22.5" customHeight="1">
      <c r="A352" s="51" t="s">
        <v>63</v>
      </c>
      <c r="B352" s="52" t="s">
        <v>64</v>
      </c>
      <c r="C352" s="53">
        <v>4014734</v>
      </c>
      <c r="D352" s="65" t="s">
        <v>532</v>
      </c>
      <c r="E352" s="65" t="s">
        <v>534</v>
      </c>
      <c r="F352" s="55">
        <v>6999</v>
      </c>
      <c r="G352" s="55">
        <v>1899</v>
      </c>
      <c r="H352" s="55">
        <v>3499</v>
      </c>
      <c r="I352" s="55">
        <v>3499</v>
      </c>
      <c r="J352" s="55">
        <v>1199</v>
      </c>
      <c r="K352" s="55">
        <v>1199</v>
      </c>
      <c r="L352" s="55">
        <v>1199</v>
      </c>
      <c r="M352" s="55">
        <v>1199</v>
      </c>
      <c r="N352" s="55">
        <v>1199</v>
      </c>
      <c r="O352" s="55">
        <v>1199</v>
      </c>
      <c r="P352" s="56">
        <v>1199</v>
      </c>
      <c r="Q352" s="56">
        <v>1099</v>
      </c>
      <c r="R352" s="55">
        <v>1199</v>
      </c>
      <c r="S352" s="55">
        <v>1199</v>
      </c>
      <c r="T352" s="55">
        <v>1099</v>
      </c>
      <c r="U352" s="55">
        <v>1099</v>
      </c>
      <c r="V352" s="55">
        <v>1099</v>
      </c>
      <c r="W352" s="55">
        <v>1099</v>
      </c>
      <c r="X352" s="55">
        <v>1099</v>
      </c>
      <c r="Y352" s="55">
        <v>1099</v>
      </c>
      <c r="Z352" s="55">
        <v>1099</v>
      </c>
      <c r="AA352" s="55">
        <v>1099</v>
      </c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7"/>
      <c r="AW352" s="58" t="s">
        <v>67</v>
      </c>
      <c r="AX352" s="59" t="s">
        <v>68</v>
      </c>
      <c r="AY352" s="60">
        <f t="shared" si="27"/>
        <v>70.6798</v>
      </c>
      <c r="AZ352" s="60">
        <f t="shared" si="28"/>
        <v>63.681800000000003</v>
      </c>
      <c r="BA352" s="61">
        <f t="shared" si="29"/>
        <v>36.039700000000003</v>
      </c>
    </row>
    <row r="353" spans="1:53" ht="22.5" customHeight="1">
      <c r="A353" s="51" t="s">
        <v>63</v>
      </c>
      <c r="B353" s="52" t="s">
        <v>64</v>
      </c>
      <c r="C353" s="53">
        <v>4015319</v>
      </c>
      <c r="D353" s="65" t="s">
        <v>535</v>
      </c>
      <c r="E353" s="65" t="s">
        <v>536</v>
      </c>
      <c r="F353" s="55">
        <v>5499</v>
      </c>
      <c r="G353" s="55">
        <v>2399</v>
      </c>
      <c r="H353" s="55">
        <v>3899</v>
      </c>
      <c r="I353" s="55">
        <v>3899</v>
      </c>
      <c r="J353" s="55">
        <v>2899</v>
      </c>
      <c r="K353" s="55">
        <v>2799</v>
      </c>
      <c r="L353" s="55">
        <v>2799</v>
      </c>
      <c r="M353" s="55">
        <v>2899</v>
      </c>
      <c r="N353" s="55">
        <v>2899</v>
      </c>
      <c r="O353" s="55">
        <v>2599</v>
      </c>
      <c r="P353" s="56">
        <v>2399</v>
      </c>
      <c r="Q353" s="56">
        <v>1599</v>
      </c>
      <c r="R353" s="55">
        <v>2599</v>
      </c>
      <c r="S353" s="55">
        <v>2399</v>
      </c>
      <c r="T353" s="55">
        <v>1599</v>
      </c>
      <c r="U353" s="55">
        <v>1599</v>
      </c>
      <c r="V353" s="55">
        <v>1599</v>
      </c>
      <c r="W353" s="55">
        <v>1599</v>
      </c>
      <c r="X353" s="55">
        <v>1499</v>
      </c>
      <c r="Y353" s="55">
        <v>1299</v>
      </c>
      <c r="Z353" s="55">
        <v>1299</v>
      </c>
      <c r="AA353" s="55">
        <v>1299</v>
      </c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7"/>
      <c r="AW353" s="58" t="s">
        <v>67</v>
      </c>
      <c r="AX353" s="59" t="s">
        <v>68</v>
      </c>
      <c r="AY353" s="60">
        <f t="shared" si="27"/>
        <v>78.759799999999998</v>
      </c>
      <c r="AZ353" s="60">
        <f t="shared" si="28"/>
        <v>70.961799999999997</v>
      </c>
      <c r="BA353" s="61">
        <f t="shared" si="29"/>
        <v>40.159700000000001</v>
      </c>
    </row>
    <row r="354" spans="1:53" ht="22.5" customHeight="1">
      <c r="A354" s="51" t="s">
        <v>63</v>
      </c>
      <c r="B354" s="52" t="s">
        <v>64</v>
      </c>
      <c r="C354" s="53">
        <v>4015280</v>
      </c>
      <c r="D354" s="65" t="s">
        <v>535</v>
      </c>
      <c r="E354" s="65" t="s">
        <v>537</v>
      </c>
      <c r="F354" s="55">
        <v>5499</v>
      </c>
      <c r="G354" s="55">
        <v>2399</v>
      </c>
      <c r="H354" s="55">
        <v>3899</v>
      </c>
      <c r="I354" s="55">
        <v>3899</v>
      </c>
      <c r="J354" s="55">
        <v>2899</v>
      </c>
      <c r="K354" s="55">
        <v>2799</v>
      </c>
      <c r="L354" s="55">
        <v>2799</v>
      </c>
      <c r="M354" s="55">
        <v>2899</v>
      </c>
      <c r="N354" s="55">
        <v>2899</v>
      </c>
      <c r="O354" s="55">
        <v>2599</v>
      </c>
      <c r="P354" s="56">
        <v>2399</v>
      </c>
      <c r="Q354" s="56">
        <v>1599</v>
      </c>
      <c r="R354" s="55">
        <v>2599</v>
      </c>
      <c r="S354" s="55">
        <v>2399</v>
      </c>
      <c r="T354" s="55">
        <v>1599</v>
      </c>
      <c r="U354" s="55">
        <v>1599</v>
      </c>
      <c r="V354" s="55">
        <v>1599</v>
      </c>
      <c r="W354" s="55">
        <v>1599</v>
      </c>
      <c r="X354" s="55">
        <v>1499</v>
      </c>
      <c r="Y354" s="55">
        <v>1299</v>
      </c>
      <c r="Z354" s="55">
        <v>1299</v>
      </c>
      <c r="AA354" s="55">
        <v>1299</v>
      </c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7"/>
      <c r="AW354" s="58" t="s">
        <v>67</v>
      </c>
      <c r="AX354" s="59" t="s">
        <v>68</v>
      </c>
      <c r="AY354" s="60">
        <f t="shared" si="27"/>
        <v>78.759799999999998</v>
      </c>
      <c r="AZ354" s="60">
        <f t="shared" si="28"/>
        <v>70.961799999999997</v>
      </c>
      <c r="BA354" s="61">
        <f t="shared" si="29"/>
        <v>40.159700000000001</v>
      </c>
    </row>
    <row r="355" spans="1:53" ht="22.5" customHeight="1">
      <c r="A355" s="51" t="s">
        <v>63</v>
      </c>
      <c r="B355" s="52" t="s">
        <v>64</v>
      </c>
      <c r="C355" s="53">
        <v>4015312</v>
      </c>
      <c r="D355" s="65" t="s">
        <v>535</v>
      </c>
      <c r="E355" s="65" t="s">
        <v>538</v>
      </c>
      <c r="F355" s="55">
        <v>5499</v>
      </c>
      <c r="G355" s="55">
        <v>2399</v>
      </c>
      <c r="H355" s="55">
        <v>3899</v>
      </c>
      <c r="I355" s="55">
        <v>3899</v>
      </c>
      <c r="J355" s="55">
        <v>2899</v>
      </c>
      <c r="K355" s="55">
        <v>2799</v>
      </c>
      <c r="L355" s="55">
        <v>2799</v>
      </c>
      <c r="M355" s="55">
        <v>2899</v>
      </c>
      <c r="N355" s="55">
        <v>2899</v>
      </c>
      <c r="O355" s="55">
        <v>2599</v>
      </c>
      <c r="P355" s="56">
        <v>2399</v>
      </c>
      <c r="Q355" s="56">
        <v>1599</v>
      </c>
      <c r="R355" s="55">
        <v>2599</v>
      </c>
      <c r="S355" s="55">
        <v>2399</v>
      </c>
      <c r="T355" s="55">
        <v>1599</v>
      </c>
      <c r="U355" s="55">
        <v>1599</v>
      </c>
      <c r="V355" s="55">
        <v>1599</v>
      </c>
      <c r="W355" s="55">
        <v>1599</v>
      </c>
      <c r="X355" s="55">
        <v>1499</v>
      </c>
      <c r="Y355" s="55">
        <v>1299</v>
      </c>
      <c r="Z355" s="55">
        <v>1299</v>
      </c>
      <c r="AA355" s="55">
        <v>1299</v>
      </c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7"/>
      <c r="AW355" s="58" t="s">
        <v>67</v>
      </c>
      <c r="AX355" s="59" t="s">
        <v>68</v>
      </c>
      <c r="AY355" s="60">
        <f t="shared" si="27"/>
        <v>78.759799999999998</v>
      </c>
      <c r="AZ355" s="60">
        <f t="shared" si="28"/>
        <v>70.961799999999997</v>
      </c>
      <c r="BA355" s="61">
        <f t="shared" si="29"/>
        <v>40.159700000000001</v>
      </c>
    </row>
    <row r="356" spans="1:53" ht="22.5" customHeight="1">
      <c r="A356" s="51" t="s">
        <v>63</v>
      </c>
      <c r="B356" s="52" t="s">
        <v>64</v>
      </c>
      <c r="C356" s="53">
        <v>4015327</v>
      </c>
      <c r="D356" s="65" t="s">
        <v>535</v>
      </c>
      <c r="E356" s="65" t="s">
        <v>539</v>
      </c>
      <c r="F356" s="55">
        <v>5499</v>
      </c>
      <c r="G356" s="55">
        <v>2399</v>
      </c>
      <c r="H356" s="55">
        <v>3899</v>
      </c>
      <c r="I356" s="55">
        <v>3899</v>
      </c>
      <c r="J356" s="55">
        <v>2899</v>
      </c>
      <c r="K356" s="55">
        <v>2799</v>
      </c>
      <c r="L356" s="55">
        <v>2799</v>
      </c>
      <c r="M356" s="55">
        <v>2899</v>
      </c>
      <c r="N356" s="55">
        <v>2899</v>
      </c>
      <c r="O356" s="55">
        <v>2599</v>
      </c>
      <c r="P356" s="56">
        <v>2399</v>
      </c>
      <c r="Q356" s="56">
        <v>1599</v>
      </c>
      <c r="R356" s="55">
        <v>2599</v>
      </c>
      <c r="S356" s="55">
        <v>2399</v>
      </c>
      <c r="T356" s="55">
        <v>1599</v>
      </c>
      <c r="U356" s="55">
        <v>1599</v>
      </c>
      <c r="V356" s="55">
        <v>1599</v>
      </c>
      <c r="W356" s="55">
        <v>1599</v>
      </c>
      <c r="X356" s="55">
        <v>1499</v>
      </c>
      <c r="Y356" s="55">
        <v>1299</v>
      </c>
      <c r="Z356" s="55">
        <v>1299</v>
      </c>
      <c r="AA356" s="55">
        <v>1299</v>
      </c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7"/>
      <c r="AW356" s="58" t="s">
        <v>67</v>
      </c>
      <c r="AX356" s="59" t="s">
        <v>68</v>
      </c>
      <c r="AY356" s="60">
        <f t="shared" si="27"/>
        <v>78.759799999999998</v>
      </c>
      <c r="AZ356" s="60">
        <f t="shared" si="28"/>
        <v>70.961799999999997</v>
      </c>
      <c r="BA356" s="61">
        <f t="shared" si="29"/>
        <v>40.159700000000001</v>
      </c>
    </row>
    <row r="357" spans="1:53" ht="22.5" customHeight="1">
      <c r="A357" s="51" t="s">
        <v>63</v>
      </c>
      <c r="B357" s="52" t="s">
        <v>64</v>
      </c>
      <c r="C357" s="53">
        <v>4015291</v>
      </c>
      <c r="D357" s="65" t="s">
        <v>540</v>
      </c>
      <c r="E357" s="65" t="s">
        <v>541</v>
      </c>
      <c r="F357" s="55">
        <v>6499</v>
      </c>
      <c r="G357" s="55">
        <v>3399</v>
      </c>
      <c r="H357" s="55">
        <v>4999</v>
      </c>
      <c r="I357" s="55">
        <v>4999</v>
      </c>
      <c r="J357" s="55">
        <v>4099</v>
      </c>
      <c r="K357" s="55">
        <v>3999</v>
      </c>
      <c r="L357" s="55">
        <v>3999</v>
      </c>
      <c r="M357" s="55">
        <v>4099</v>
      </c>
      <c r="N357" s="55">
        <v>4099</v>
      </c>
      <c r="O357" s="55">
        <v>3899</v>
      </c>
      <c r="P357" s="56">
        <v>3799</v>
      </c>
      <c r="Q357" s="56">
        <v>3399</v>
      </c>
      <c r="R357" s="55">
        <v>3899</v>
      </c>
      <c r="S357" s="55">
        <v>3799</v>
      </c>
      <c r="T357" s="55">
        <v>3399</v>
      </c>
      <c r="U357" s="55">
        <v>3399</v>
      </c>
      <c r="V357" s="55">
        <v>3399</v>
      </c>
      <c r="W357" s="55">
        <v>3399</v>
      </c>
      <c r="X357" s="55">
        <v>3299</v>
      </c>
      <c r="Y357" s="55">
        <v>2899</v>
      </c>
      <c r="Z357" s="55">
        <v>2899</v>
      </c>
      <c r="AA357" s="55">
        <v>2899</v>
      </c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7"/>
      <c r="AW357" s="58" t="s">
        <v>67</v>
      </c>
      <c r="AX357" s="59" t="s">
        <v>68</v>
      </c>
      <c r="AY357" s="60">
        <f t="shared" si="27"/>
        <v>100.9798</v>
      </c>
      <c r="AZ357" s="60">
        <f t="shared" si="28"/>
        <v>90.981800000000007</v>
      </c>
      <c r="BA357" s="61">
        <f t="shared" si="29"/>
        <v>51.489699999999999</v>
      </c>
    </row>
    <row r="358" spans="1:53" ht="22.5" customHeight="1">
      <c r="A358" s="51" t="s">
        <v>63</v>
      </c>
      <c r="B358" s="52" t="s">
        <v>64</v>
      </c>
      <c r="C358" s="53">
        <v>4015322</v>
      </c>
      <c r="D358" s="65" t="s">
        <v>540</v>
      </c>
      <c r="E358" s="65" t="s">
        <v>542</v>
      </c>
      <c r="F358" s="55">
        <v>6499</v>
      </c>
      <c r="G358" s="55">
        <v>3399</v>
      </c>
      <c r="H358" s="55">
        <v>4999</v>
      </c>
      <c r="I358" s="55">
        <v>4999</v>
      </c>
      <c r="J358" s="55">
        <v>4099</v>
      </c>
      <c r="K358" s="55">
        <v>3999</v>
      </c>
      <c r="L358" s="55">
        <v>3999</v>
      </c>
      <c r="M358" s="55">
        <v>4099</v>
      </c>
      <c r="N358" s="55">
        <v>4099</v>
      </c>
      <c r="O358" s="55">
        <v>3899</v>
      </c>
      <c r="P358" s="56">
        <v>3799</v>
      </c>
      <c r="Q358" s="56">
        <v>3399</v>
      </c>
      <c r="R358" s="55">
        <v>3899</v>
      </c>
      <c r="S358" s="55">
        <v>3799</v>
      </c>
      <c r="T358" s="55">
        <v>3399</v>
      </c>
      <c r="U358" s="55">
        <v>3399</v>
      </c>
      <c r="V358" s="55">
        <v>3399</v>
      </c>
      <c r="W358" s="55">
        <v>3399</v>
      </c>
      <c r="X358" s="55">
        <v>3299</v>
      </c>
      <c r="Y358" s="55">
        <v>2899</v>
      </c>
      <c r="Z358" s="55">
        <v>2899</v>
      </c>
      <c r="AA358" s="55">
        <v>2899</v>
      </c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7"/>
      <c r="AW358" s="58" t="s">
        <v>67</v>
      </c>
      <c r="AX358" s="59" t="s">
        <v>68</v>
      </c>
      <c r="AY358" s="60">
        <f t="shared" si="27"/>
        <v>100.9798</v>
      </c>
      <c r="AZ358" s="60">
        <f t="shared" si="28"/>
        <v>90.981800000000007</v>
      </c>
      <c r="BA358" s="61">
        <f t="shared" si="29"/>
        <v>51.489699999999999</v>
      </c>
    </row>
    <row r="359" spans="1:53" ht="22.5" customHeight="1">
      <c r="A359" s="51" t="s">
        <v>63</v>
      </c>
      <c r="B359" s="52" t="s">
        <v>64</v>
      </c>
      <c r="C359" s="53">
        <v>4015282</v>
      </c>
      <c r="D359" s="65" t="s">
        <v>540</v>
      </c>
      <c r="E359" s="65" t="s">
        <v>543</v>
      </c>
      <c r="F359" s="55">
        <v>6499</v>
      </c>
      <c r="G359" s="55">
        <v>3399</v>
      </c>
      <c r="H359" s="55">
        <v>4999</v>
      </c>
      <c r="I359" s="55">
        <v>4999</v>
      </c>
      <c r="J359" s="55">
        <v>4099</v>
      </c>
      <c r="K359" s="55">
        <v>3999</v>
      </c>
      <c r="L359" s="55">
        <v>3999</v>
      </c>
      <c r="M359" s="55">
        <v>4099</v>
      </c>
      <c r="N359" s="55">
        <v>4099</v>
      </c>
      <c r="O359" s="55">
        <v>3899</v>
      </c>
      <c r="P359" s="56">
        <v>3799</v>
      </c>
      <c r="Q359" s="56">
        <v>3399</v>
      </c>
      <c r="R359" s="55">
        <v>3899</v>
      </c>
      <c r="S359" s="55">
        <v>3799</v>
      </c>
      <c r="T359" s="55">
        <v>3399</v>
      </c>
      <c r="U359" s="55">
        <v>3399</v>
      </c>
      <c r="V359" s="55">
        <v>3399</v>
      </c>
      <c r="W359" s="55">
        <v>3399</v>
      </c>
      <c r="X359" s="55">
        <v>3299</v>
      </c>
      <c r="Y359" s="55">
        <v>2899</v>
      </c>
      <c r="Z359" s="55">
        <v>2899</v>
      </c>
      <c r="AA359" s="55">
        <v>2899</v>
      </c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7"/>
      <c r="AW359" s="58" t="s">
        <v>67</v>
      </c>
      <c r="AX359" s="59" t="s">
        <v>68</v>
      </c>
      <c r="AY359" s="60">
        <f t="shared" si="27"/>
        <v>100.9798</v>
      </c>
      <c r="AZ359" s="60">
        <f t="shared" si="28"/>
        <v>90.981800000000007</v>
      </c>
      <c r="BA359" s="61">
        <f t="shared" si="29"/>
        <v>51.489699999999999</v>
      </c>
    </row>
    <row r="360" spans="1:53" ht="22.5" customHeight="1">
      <c r="A360" s="51" t="s">
        <v>63</v>
      </c>
      <c r="B360" s="52" t="s">
        <v>64</v>
      </c>
      <c r="C360" s="53">
        <v>4015314</v>
      </c>
      <c r="D360" s="65" t="s">
        <v>540</v>
      </c>
      <c r="E360" s="65" t="s">
        <v>544</v>
      </c>
      <c r="F360" s="55">
        <v>6499</v>
      </c>
      <c r="G360" s="55">
        <v>3399</v>
      </c>
      <c r="H360" s="55">
        <v>4999</v>
      </c>
      <c r="I360" s="55">
        <v>4999</v>
      </c>
      <c r="J360" s="55">
        <v>4099</v>
      </c>
      <c r="K360" s="55">
        <v>3999</v>
      </c>
      <c r="L360" s="55">
        <v>3999</v>
      </c>
      <c r="M360" s="55">
        <v>4099</v>
      </c>
      <c r="N360" s="55">
        <v>4099</v>
      </c>
      <c r="O360" s="55">
        <v>3899</v>
      </c>
      <c r="P360" s="56">
        <v>3799</v>
      </c>
      <c r="Q360" s="56">
        <v>3399</v>
      </c>
      <c r="R360" s="55">
        <v>3899</v>
      </c>
      <c r="S360" s="55">
        <v>3799</v>
      </c>
      <c r="T360" s="55">
        <v>3399</v>
      </c>
      <c r="U360" s="55">
        <v>3399</v>
      </c>
      <c r="V360" s="55">
        <v>3399</v>
      </c>
      <c r="W360" s="55">
        <v>3399</v>
      </c>
      <c r="X360" s="55">
        <v>3299</v>
      </c>
      <c r="Y360" s="55">
        <v>2899</v>
      </c>
      <c r="Z360" s="55">
        <v>2899</v>
      </c>
      <c r="AA360" s="55">
        <v>2899</v>
      </c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7"/>
      <c r="AW360" s="58" t="s">
        <v>67</v>
      </c>
      <c r="AX360" s="59" t="s">
        <v>68</v>
      </c>
      <c r="AY360" s="60">
        <f t="shared" si="27"/>
        <v>100.9798</v>
      </c>
      <c r="AZ360" s="60">
        <f t="shared" si="28"/>
        <v>90.981800000000007</v>
      </c>
      <c r="BA360" s="61">
        <f t="shared" si="29"/>
        <v>51.489699999999999</v>
      </c>
    </row>
    <row r="361" spans="1:53" ht="22.5" customHeight="1">
      <c r="A361" s="51" t="s">
        <v>63</v>
      </c>
      <c r="B361" s="52" t="s">
        <v>64</v>
      </c>
      <c r="C361" s="53">
        <v>4015330</v>
      </c>
      <c r="D361" s="65" t="s">
        <v>540</v>
      </c>
      <c r="E361" s="65" t="s">
        <v>545</v>
      </c>
      <c r="F361" s="55">
        <v>6499</v>
      </c>
      <c r="G361" s="55">
        <v>3399</v>
      </c>
      <c r="H361" s="55">
        <v>4999</v>
      </c>
      <c r="I361" s="55">
        <v>4999</v>
      </c>
      <c r="J361" s="55">
        <v>4099</v>
      </c>
      <c r="K361" s="55">
        <v>3999</v>
      </c>
      <c r="L361" s="55">
        <v>3999</v>
      </c>
      <c r="M361" s="55">
        <v>4099</v>
      </c>
      <c r="N361" s="55">
        <v>4099</v>
      </c>
      <c r="O361" s="55">
        <v>3899</v>
      </c>
      <c r="P361" s="56">
        <v>3799</v>
      </c>
      <c r="Q361" s="56">
        <v>3399</v>
      </c>
      <c r="R361" s="55">
        <v>3899</v>
      </c>
      <c r="S361" s="55">
        <v>3799</v>
      </c>
      <c r="T361" s="55">
        <v>3399</v>
      </c>
      <c r="U361" s="55">
        <v>3399</v>
      </c>
      <c r="V361" s="55">
        <v>3399</v>
      </c>
      <c r="W361" s="55">
        <v>3399</v>
      </c>
      <c r="X361" s="55">
        <v>3299</v>
      </c>
      <c r="Y361" s="55">
        <v>2899</v>
      </c>
      <c r="Z361" s="55">
        <v>2899</v>
      </c>
      <c r="AA361" s="55">
        <v>2899</v>
      </c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7"/>
      <c r="AW361" s="58" t="s">
        <v>67</v>
      </c>
      <c r="AX361" s="59" t="s">
        <v>68</v>
      </c>
      <c r="AY361" s="60">
        <f t="shared" ref="AY361:AY424" si="35">$H361*AY$11</f>
        <v>100.9798</v>
      </c>
      <c r="AZ361" s="60">
        <f t="shared" ref="AZ361:AZ424" si="36">($H361*AZ$11)</f>
        <v>90.981800000000007</v>
      </c>
      <c r="BA361" s="61">
        <f t="shared" ref="BA361:BA424" si="37">$H361*BA$11</f>
        <v>51.489699999999999</v>
      </c>
    </row>
    <row r="362" spans="1:53" ht="22.5" customHeight="1">
      <c r="A362" s="51" t="s">
        <v>63</v>
      </c>
      <c r="B362" s="52" t="s">
        <v>64</v>
      </c>
      <c r="C362" s="53">
        <v>4015290</v>
      </c>
      <c r="D362" s="65" t="s">
        <v>546</v>
      </c>
      <c r="E362" s="65" t="s">
        <v>547</v>
      </c>
      <c r="F362" s="55">
        <v>7499</v>
      </c>
      <c r="G362" s="55">
        <v>4399</v>
      </c>
      <c r="H362" s="55">
        <v>5999</v>
      </c>
      <c r="I362" s="55">
        <v>5999</v>
      </c>
      <c r="J362" s="55">
        <v>4999</v>
      </c>
      <c r="K362" s="55">
        <v>4899</v>
      </c>
      <c r="L362" s="55">
        <v>4899</v>
      </c>
      <c r="M362" s="55">
        <v>4999</v>
      </c>
      <c r="N362" s="55">
        <v>4999</v>
      </c>
      <c r="O362" s="55">
        <v>4799</v>
      </c>
      <c r="P362" s="56">
        <v>4699</v>
      </c>
      <c r="Q362" s="56">
        <v>3799</v>
      </c>
      <c r="R362" s="55">
        <v>4799</v>
      </c>
      <c r="S362" s="55">
        <v>4699</v>
      </c>
      <c r="T362" s="55">
        <v>3799</v>
      </c>
      <c r="U362" s="55">
        <v>3799</v>
      </c>
      <c r="V362" s="55">
        <v>3799</v>
      </c>
      <c r="W362" s="55">
        <v>3799</v>
      </c>
      <c r="X362" s="55">
        <v>3699</v>
      </c>
      <c r="Y362" s="55">
        <v>3499</v>
      </c>
      <c r="Z362" s="55">
        <v>3499</v>
      </c>
      <c r="AA362" s="55">
        <v>3499</v>
      </c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7"/>
      <c r="AW362" s="58" t="s">
        <v>67</v>
      </c>
      <c r="AX362" s="59" t="s">
        <v>68</v>
      </c>
      <c r="AY362" s="60">
        <f t="shared" si="35"/>
        <v>121.1798</v>
      </c>
      <c r="AZ362" s="60">
        <f t="shared" si="36"/>
        <v>109.18180000000001</v>
      </c>
      <c r="BA362" s="61">
        <f t="shared" si="37"/>
        <v>61.789700000000003</v>
      </c>
    </row>
    <row r="363" spans="1:53" ht="22.5" customHeight="1">
      <c r="A363" s="51" t="s">
        <v>63</v>
      </c>
      <c r="B363" s="52" t="s">
        <v>64</v>
      </c>
      <c r="C363" s="53">
        <v>4015321</v>
      </c>
      <c r="D363" s="65" t="s">
        <v>546</v>
      </c>
      <c r="E363" s="65" t="s">
        <v>548</v>
      </c>
      <c r="F363" s="55">
        <v>7499</v>
      </c>
      <c r="G363" s="55">
        <v>4399</v>
      </c>
      <c r="H363" s="55">
        <v>5999</v>
      </c>
      <c r="I363" s="55">
        <v>5999</v>
      </c>
      <c r="J363" s="55">
        <v>4999</v>
      </c>
      <c r="K363" s="55">
        <v>4899</v>
      </c>
      <c r="L363" s="55">
        <v>4899</v>
      </c>
      <c r="M363" s="55">
        <v>4999</v>
      </c>
      <c r="N363" s="55">
        <v>4999</v>
      </c>
      <c r="O363" s="55">
        <v>4799</v>
      </c>
      <c r="P363" s="56">
        <v>4699</v>
      </c>
      <c r="Q363" s="56">
        <v>3799</v>
      </c>
      <c r="R363" s="55">
        <v>4799</v>
      </c>
      <c r="S363" s="55">
        <v>4699</v>
      </c>
      <c r="T363" s="55">
        <v>3799</v>
      </c>
      <c r="U363" s="55">
        <v>3799</v>
      </c>
      <c r="V363" s="55">
        <v>3799</v>
      </c>
      <c r="W363" s="55">
        <v>3799</v>
      </c>
      <c r="X363" s="55">
        <v>3699</v>
      </c>
      <c r="Y363" s="55">
        <v>3499</v>
      </c>
      <c r="Z363" s="55">
        <v>3499</v>
      </c>
      <c r="AA363" s="55">
        <v>3499</v>
      </c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7"/>
      <c r="AW363" s="58" t="s">
        <v>67</v>
      </c>
      <c r="AX363" s="59" t="s">
        <v>68</v>
      </c>
      <c r="AY363" s="60">
        <f t="shared" si="35"/>
        <v>121.1798</v>
      </c>
      <c r="AZ363" s="60">
        <f t="shared" si="36"/>
        <v>109.18180000000001</v>
      </c>
      <c r="BA363" s="61">
        <f t="shared" si="37"/>
        <v>61.789700000000003</v>
      </c>
    </row>
    <row r="364" spans="1:53" ht="22.5" customHeight="1">
      <c r="A364" s="51" t="s">
        <v>63</v>
      </c>
      <c r="B364" s="52" t="s">
        <v>64</v>
      </c>
      <c r="C364" s="53">
        <v>4015283</v>
      </c>
      <c r="D364" s="65" t="s">
        <v>546</v>
      </c>
      <c r="E364" s="65" t="s">
        <v>549</v>
      </c>
      <c r="F364" s="55">
        <v>7499</v>
      </c>
      <c r="G364" s="55">
        <v>4399</v>
      </c>
      <c r="H364" s="55">
        <v>5999</v>
      </c>
      <c r="I364" s="55">
        <v>5999</v>
      </c>
      <c r="J364" s="55">
        <v>4999</v>
      </c>
      <c r="K364" s="55">
        <v>4899</v>
      </c>
      <c r="L364" s="55">
        <v>4899</v>
      </c>
      <c r="M364" s="55">
        <v>4999</v>
      </c>
      <c r="N364" s="55">
        <v>4999</v>
      </c>
      <c r="O364" s="55">
        <v>4799</v>
      </c>
      <c r="P364" s="56">
        <v>4699</v>
      </c>
      <c r="Q364" s="56">
        <v>3799</v>
      </c>
      <c r="R364" s="55">
        <v>4799</v>
      </c>
      <c r="S364" s="55">
        <v>4699</v>
      </c>
      <c r="T364" s="55">
        <v>3799</v>
      </c>
      <c r="U364" s="55">
        <v>3799</v>
      </c>
      <c r="V364" s="55">
        <v>3799</v>
      </c>
      <c r="W364" s="55">
        <v>3799</v>
      </c>
      <c r="X364" s="55">
        <v>3699</v>
      </c>
      <c r="Y364" s="55">
        <v>3499</v>
      </c>
      <c r="Z364" s="55">
        <v>3499</v>
      </c>
      <c r="AA364" s="55">
        <v>3499</v>
      </c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7"/>
      <c r="AW364" s="58" t="s">
        <v>67</v>
      </c>
      <c r="AX364" s="59" t="s">
        <v>68</v>
      </c>
      <c r="AY364" s="60">
        <f t="shared" si="35"/>
        <v>121.1798</v>
      </c>
      <c r="AZ364" s="60">
        <f t="shared" si="36"/>
        <v>109.18180000000001</v>
      </c>
      <c r="BA364" s="61">
        <f t="shared" si="37"/>
        <v>61.789700000000003</v>
      </c>
    </row>
    <row r="365" spans="1:53" ht="22.5" customHeight="1">
      <c r="A365" s="51" t="s">
        <v>63</v>
      </c>
      <c r="B365" s="52" t="s">
        <v>64</v>
      </c>
      <c r="C365" s="53">
        <v>4015313</v>
      </c>
      <c r="D365" s="65" t="s">
        <v>546</v>
      </c>
      <c r="E365" s="65" t="s">
        <v>550</v>
      </c>
      <c r="F365" s="55">
        <v>7499</v>
      </c>
      <c r="G365" s="55">
        <v>4399</v>
      </c>
      <c r="H365" s="55">
        <v>5999</v>
      </c>
      <c r="I365" s="55">
        <v>5999</v>
      </c>
      <c r="J365" s="55">
        <v>4999</v>
      </c>
      <c r="K365" s="55">
        <v>4899</v>
      </c>
      <c r="L365" s="55">
        <v>4899</v>
      </c>
      <c r="M365" s="55">
        <v>4999</v>
      </c>
      <c r="N365" s="55">
        <v>4999</v>
      </c>
      <c r="O365" s="55">
        <v>4799</v>
      </c>
      <c r="P365" s="56">
        <v>4699</v>
      </c>
      <c r="Q365" s="56">
        <v>3799</v>
      </c>
      <c r="R365" s="55">
        <v>4799</v>
      </c>
      <c r="S365" s="55">
        <v>4699</v>
      </c>
      <c r="T365" s="55">
        <v>3799</v>
      </c>
      <c r="U365" s="55">
        <v>3799</v>
      </c>
      <c r="V365" s="55">
        <v>3799</v>
      </c>
      <c r="W365" s="55">
        <v>3799</v>
      </c>
      <c r="X365" s="55">
        <v>3699</v>
      </c>
      <c r="Y365" s="55">
        <v>3499</v>
      </c>
      <c r="Z365" s="55">
        <v>3499</v>
      </c>
      <c r="AA365" s="55">
        <v>3499</v>
      </c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7"/>
      <c r="AW365" s="58" t="s">
        <v>67</v>
      </c>
      <c r="AX365" s="59" t="s">
        <v>68</v>
      </c>
      <c r="AY365" s="60">
        <f t="shared" si="35"/>
        <v>121.1798</v>
      </c>
      <c r="AZ365" s="60">
        <f t="shared" si="36"/>
        <v>109.18180000000001</v>
      </c>
      <c r="BA365" s="61">
        <f t="shared" si="37"/>
        <v>61.789700000000003</v>
      </c>
    </row>
    <row r="366" spans="1:53" ht="22.5" customHeight="1">
      <c r="A366" s="51" t="s">
        <v>63</v>
      </c>
      <c r="B366" s="52" t="s">
        <v>64</v>
      </c>
      <c r="C366" s="53">
        <v>4015297</v>
      </c>
      <c r="D366" s="65" t="s">
        <v>546</v>
      </c>
      <c r="E366" s="65" t="s">
        <v>551</v>
      </c>
      <c r="F366" s="55">
        <v>7499</v>
      </c>
      <c r="G366" s="55">
        <v>4399</v>
      </c>
      <c r="H366" s="55">
        <v>5999</v>
      </c>
      <c r="I366" s="55">
        <v>5999</v>
      </c>
      <c r="J366" s="55">
        <v>4999</v>
      </c>
      <c r="K366" s="55">
        <v>4899</v>
      </c>
      <c r="L366" s="55">
        <v>4899</v>
      </c>
      <c r="M366" s="55">
        <v>4999</v>
      </c>
      <c r="N366" s="55">
        <v>4999</v>
      </c>
      <c r="O366" s="55">
        <v>4799</v>
      </c>
      <c r="P366" s="56">
        <v>4699</v>
      </c>
      <c r="Q366" s="56">
        <v>3799</v>
      </c>
      <c r="R366" s="55">
        <v>4799</v>
      </c>
      <c r="S366" s="55">
        <v>4699</v>
      </c>
      <c r="T366" s="55">
        <v>3799</v>
      </c>
      <c r="U366" s="55">
        <v>3799</v>
      </c>
      <c r="V366" s="55">
        <v>3799</v>
      </c>
      <c r="W366" s="55">
        <v>3799</v>
      </c>
      <c r="X366" s="55">
        <v>3699</v>
      </c>
      <c r="Y366" s="55">
        <v>3499</v>
      </c>
      <c r="Z366" s="55">
        <v>3499</v>
      </c>
      <c r="AA366" s="55">
        <v>3499</v>
      </c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7"/>
      <c r="AW366" s="58" t="s">
        <v>67</v>
      </c>
      <c r="AX366" s="59" t="s">
        <v>68</v>
      </c>
      <c r="AY366" s="60">
        <f t="shared" si="35"/>
        <v>121.1798</v>
      </c>
      <c r="AZ366" s="60">
        <f t="shared" si="36"/>
        <v>109.18180000000001</v>
      </c>
      <c r="BA366" s="61">
        <f t="shared" si="37"/>
        <v>61.789700000000003</v>
      </c>
    </row>
    <row r="367" spans="1:53" ht="22.5" customHeight="1">
      <c r="A367" s="51" t="s">
        <v>63</v>
      </c>
      <c r="B367" s="52" t="s">
        <v>64</v>
      </c>
      <c r="C367" s="53">
        <v>4015329</v>
      </c>
      <c r="D367" s="65" t="s">
        <v>546</v>
      </c>
      <c r="E367" s="65" t="s">
        <v>552</v>
      </c>
      <c r="F367" s="55">
        <v>7499</v>
      </c>
      <c r="G367" s="55">
        <v>4399</v>
      </c>
      <c r="H367" s="55">
        <v>5999</v>
      </c>
      <c r="I367" s="55">
        <v>5999</v>
      </c>
      <c r="J367" s="55">
        <v>4999</v>
      </c>
      <c r="K367" s="55">
        <v>4899</v>
      </c>
      <c r="L367" s="55">
        <v>4899</v>
      </c>
      <c r="M367" s="55">
        <v>4999</v>
      </c>
      <c r="N367" s="55">
        <v>4999</v>
      </c>
      <c r="O367" s="55">
        <v>4799</v>
      </c>
      <c r="P367" s="56">
        <v>4699</v>
      </c>
      <c r="Q367" s="56">
        <v>3799</v>
      </c>
      <c r="R367" s="55">
        <v>4799</v>
      </c>
      <c r="S367" s="55">
        <v>4699</v>
      </c>
      <c r="T367" s="55">
        <v>3799</v>
      </c>
      <c r="U367" s="55">
        <v>3799</v>
      </c>
      <c r="V367" s="55">
        <v>3799</v>
      </c>
      <c r="W367" s="55">
        <v>3799</v>
      </c>
      <c r="X367" s="55">
        <v>3699</v>
      </c>
      <c r="Y367" s="55">
        <v>3499</v>
      </c>
      <c r="Z367" s="55">
        <v>3499</v>
      </c>
      <c r="AA367" s="55">
        <v>3499</v>
      </c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7"/>
      <c r="AW367" s="58" t="s">
        <v>67</v>
      </c>
      <c r="AX367" s="59" t="s">
        <v>68</v>
      </c>
      <c r="AY367" s="60">
        <f t="shared" si="35"/>
        <v>121.1798</v>
      </c>
      <c r="AZ367" s="60">
        <f t="shared" si="36"/>
        <v>109.18180000000001</v>
      </c>
      <c r="BA367" s="61">
        <f t="shared" si="37"/>
        <v>61.789700000000003</v>
      </c>
    </row>
    <row r="368" spans="1:53" ht="22.5" customHeight="1">
      <c r="A368" s="51" t="s">
        <v>63</v>
      </c>
      <c r="B368" s="52" t="s">
        <v>64</v>
      </c>
      <c r="C368" s="53">
        <v>4015305</v>
      </c>
      <c r="D368" s="65" t="s">
        <v>546</v>
      </c>
      <c r="E368" s="65" t="s">
        <v>553</v>
      </c>
      <c r="F368" s="55">
        <v>7499</v>
      </c>
      <c r="G368" s="55">
        <v>4399</v>
      </c>
      <c r="H368" s="55">
        <v>5999</v>
      </c>
      <c r="I368" s="55">
        <v>5999</v>
      </c>
      <c r="J368" s="55">
        <v>4999</v>
      </c>
      <c r="K368" s="55">
        <v>4899</v>
      </c>
      <c r="L368" s="55">
        <v>4899</v>
      </c>
      <c r="M368" s="55">
        <v>4999</v>
      </c>
      <c r="N368" s="55">
        <v>4999</v>
      </c>
      <c r="O368" s="55">
        <v>4799</v>
      </c>
      <c r="P368" s="56">
        <v>4699</v>
      </c>
      <c r="Q368" s="56">
        <v>3799</v>
      </c>
      <c r="R368" s="55">
        <v>4799</v>
      </c>
      <c r="S368" s="55">
        <v>4699</v>
      </c>
      <c r="T368" s="55">
        <v>3799</v>
      </c>
      <c r="U368" s="55">
        <v>3799</v>
      </c>
      <c r="V368" s="55">
        <v>3799</v>
      </c>
      <c r="W368" s="55">
        <v>3799</v>
      </c>
      <c r="X368" s="55">
        <v>3699</v>
      </c>
      <c r="Y368" s="55">
        <v>3499</v>
      </c>
      <c r="Z368" s="55">
        <v>3499</v>
      </c>
      <c r="AA368" s="55">
        <v>3499</v>
      </c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7"/>
      <c r="AW368" s="58" t="s">
        <v>67</v>
      </c>
      <c r="AX368" s="59" t="s">
        <v>68</v>
      </c>
      <c r="AY368" s="60">
        <f t="shared" si="35"/>
        <v>121.1798</v>
      </c>
      <c r="AZ368" s="60">
        <f t="shared" si="36"/>
        <v>109.18180000000001</v>
      </c>
      <c r="BA368" s="61">
        <f t="shared" si="37"/>
        <v>61.789700000000003</v>
      </c>
    </row>
    <row r="369" spans="1:53" ht="22.5" customHeight="1">
      <c r="A369" s="51" t="s">
        <v>63</v>
      </c>
      <c r="B369" s="52" t="s">
        <v>64</v>
      </c>
      <c r="C369" s="53">
        <v>4015337</v>
      </c>
      <c r="D369" s="65" t="s">
        <v>546</v>
      </c>
      <c r="E369" s="65" t="s">
        <v>554</v>
      </c>
      <c r="F369" s="55">
        <v>7499</v>
      </c>
      <c r="G369" s="55">
        <v>4399</v>
      </c>
      <c r="H369" s="55">
        <v>5999</v>
      </c>
      <c r="I369" s="55">
        <v>5999</v>
      </c>
      <c r="J369" s="55">
        <v>4999</v>
      </c>
      <c r="K369" s="55">
        <v>4899</v>
      </c>
      <c r="L369" s="55">
        <v>4899</v>
      </c>
      <c r="M369" s="55">
        <v>4999</v>
      </c>
      <c r="N369" s="55">
        <v>4999</v>
      </c>
      <c r="O369" s="55">
        <v>4799</v>
      </c>
      <c r="P369" s="56">
        <v>4699</v>
      </c>
      <c r="Q369" s="56">
        <v>3799</v>
      </c>
      <c r="R369" s="55">
        <v>4799</v>
      </c>
      <c r="S369" s="55">
        <v>4699</v>
      </c>
      <c r="T369" s="55">
        <v>3799</v>
      </c>
      <c r="U369" s="55">
        <v>3799</v>
      </c>
      <c r="V369" s="55">
        <v>3799</v>
      </c>
      <c r="W369" s="55">
        <v>3799</v>
      </c>
      <c r="X369" s="55">
        <v>3699</v>
      </c>
      <c r="Y369" s="55">
        <v>3499</v>
      </c>
      <c r="Z369" s="55">
        <v>3499</v>
      </c>
      <c r="AA369" s="55">
        <v>3499</v>
      </c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7"/>
      <c r="AW369" s="58" t="s">
        <v>67</v>
      </c>
      <c r="AX369" s="59" t="s">
        <v>68</v>
      </c>
      <c r="AY369" s="60">
        <f t="shared" si="35"/>
        <v>121.1798</v>
      </c>
      <c r="AZ369" s="60">
        <f t="shared" si="36"/>
        <v>109.18180000000001</v>
      </c>
      <c r="BA369" s="61">
        <f t="shared" si="37"/>
        <v>61.789700000000003</v>
      </c>
    </row>
    <row r="370" spans="1:53" ht="22.5" customHeight="1">
      <c r="A370" s="51" t="s">
        <v>63</v>
      </c>
      <c r="B370" s="52" t="s">
        <v>64</v>
      </c>
      <c r="C370" s="53">
        <v>4015663</v>
      </c>
      <c r="D370" s="65" t="s">
        <v>555</v>
      </c>
      <c r="E370" s="65" t="s">
        <v>556</v>
      </c>
      <c r="F370" s="55">
        <v>4499</v>
      </c>
      <c r="G370" s="55">
        <v>1699</v>
      </c>
      <c r="H370" s="55">
        <v>2999</v>
      </c>
      <c r="I370" s="55">
        <v>2999</v>
      </c>
      <c r="J370" s="55">
        <v>2799</v>
      </c>
      <c r="K370" s="55">
        <v>2699</v>
      </c>
      <c r="L370" s="55">
        <v>2699</v>
      </c>
      <c r="M370" s="55">
        <v>2799</v>
      </c>
      <c r="N370" s="55">
        <v>2799</v>
      </c>
      <c r="O370" s="55">
        <f t="shared" ref="O370:P372" si="38">R370</f>
        <v>2499</v>
      </c>
      <c r="P370" s="56">
        <f t="shared" si="38"/>
        <v>2299</v>
      </c>
      <c r="Q370" s="56">
        <v>1499</v>
      </c>
      <c r="R370" s="55">
        <v>2499</v>
      </c>
      <c r="S370" s="55">
        <v>2299</v>
      </c>
      <c r="T370" s="55">
        <v>1499</v>
      </c>
      <c r="U370" s="55">
        <v>1499</v>
      </c>
      <c r="V370" s="55">
        <v>1499</v>
      </c>
      <c r="W370" s="55">
        <v>1499</v>
      </c>
      <c r="X370" s="55">
        <v>1399</v>
      </c>
      <c r="Y370" s="55">
        <v>1199</v>
      </c>
      <c r="Z370" s="55">
        <v>1199</v>
      </c>
      <c r="AA370" s="55">
        <v>1199</v>
      </c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7"/>
      <c r="AW370" s="58" t="s">
        <v>67</v>
      </c>
      <c r="AX370" s="59" t="s">
        <v>68</v>
      </c>
      <c r="AY370" s="60">
        <f t="shared" si="35"/>
        <v>60.579799999999999</v>
      </c>
      <c r="AZ370" s="60">
        <f t="shared" si="36"/>
        <v>54.581800000000001</v>
      </c>
      <c r="BA370" s="61">
        <f t="shared" si="37"/>
        <v>30.889700000000001</v>
      </c>
    </row>
    <row r="371" spans="1:53" ht="22.5" customHeight="1">
      <c r="A371" s="51" t="s">
        <v>63</v>
      </c>
      <c r="B371" s="52" t="s">
        <v>64</v>
      </c>
      <c r="C371" s="53">
        <v>4015665</v>
      </c>
      <c r="D371" s="65" t="s">
        <v>555</v>
      </c>
      <c r="E371" s="65" t="s">
        <v>557</v>
      </c>
      <c r="F371" s="55">
        <v>4499</v>
      </c>
      <c r="G371" s="55">
        <v>1699</v>
      </c>
      <c r="H371" s="55">
        <v>2999</v>
      </c>
      <c r="I371" s="55">
        <v>2999</v>
      </c>
      <c r="J371" s="55">
        <v>2799</v>
      </c>
      <c r="K371" s="55">
        <v>2699</v>
      </c>
      <c r="L371" s="55">
        <v>2699</v>
      </c>
      <c r="M371" s="55">
        <v>2799</v>
      </c>
      <c r="N371" s="55">
        <v>2799</v>
      </c>
      <c r="O371" s="55">
        <f t="shared" si="38"/>
        <v>2499</v>
      </c>
      <c r="P371" s="56">
        <f t="shared" si="38"/>
        <v>2299</v>
      </c>
      <c r="Q371" s="56">
        <v>1499</v>
      </c>
      <c r="R371" s="55">
        <v>2499</v>
      </c>
      <c r="S371" s="55">
        <v>2299</v>
      </c>
      <c r="T371" s="55">
        <v>1499</v>
      </c>
      <c r="U371" s="55">
        <v>1499</v>
      </c>
      <c r="V371" s="55">
        <v>1499</v>
      </c>
      <c r="W371" s="55">
        <v>1499</v>
      </c>
      <c r="X371" s="55">
        <v>1399</v>
      </c>
      <c r="Y371" s="55">
        <v>1199</v>
      </c>
      <c r="Z371" s="55">
        <v>1199</v>
      </c>
      <c r="AA371" s="55">
        <v>1199</v>
      </c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7"/>
      <c r="AW371" s="58" t="s">
        <v>67</v>
      </c>
      <c r="AX371" s="59" t="s">
        <v>68</v>
      </c>
      <c r="AY371" s="60">
        <f t="shared" si="35"/>
        <v>60.579799999999999</v>
      </c>
      <c r="AZ371" s="60">
        <f t="shared" si="36"/>
        <v>54.581800000000001</v>
      </c>
      <c r="BA371" s="61">
        <f t="shared" si="37"/>
        <v>30.889700000000001</v>
      </c>
    </row>
    <row r="372" spans="1:53" ht="22.5" customHeight="1">
      <c r="A372" s="51" t="s">
        <v>63</v>
      </c>
      <c r="B372" s="52" t="s">
        <v>64</v>
      </c>
      <c r="C372" s="53">
        <v>4015666</v>
      </c>
      <c r="D372" s="65" t="s">
        <v>555</v>
      </c>
      <c r="E372" s="65" t="s">
        <v>558</v>
      </c>
      <c r="F372" s="55">
        <v>4499</v>
      </c>
      <c r="G372" s="55">
        <v>1699</v>
      </c>
      <c r="H372" s="55">
        <v>2999</v>
      </c>
      <c r="I372" s="55">
        <v>2999</v>
      </c>
      <c r="J372" s="55">
        <v>2799</v>
      </c>
      <c r="K372" s="55">
        <v>2699</v>
      </c>
      <c r="L372" s="55">
        <v>2699</v>
      </c>
      <c r="M372" s="55">
        <v>2799</v>
      </c>
      <c r="N372" s="55">
        <v>2799</v>
      </c>
      <c r="O372" s="55">
        <f t="shared" si="38"/>
        <v>2499</v>
      </c>
      <c r="P372" s="56">
        <f t="shared" si="38"/>
        <v>2299</v>
      </c>
      <c r="Q372" s="56">
        <v>1499</v>
      </c>
      <c r="R372" s="55">
        <v>2499</v>
      </c>
      <c r="S372" s="55">
        <v>2299</v>
      </c>
      <c r="T372" s="55">
        <v>1499</v>
      </c>
      <c r="U372" s="55">
        <v>1499</v>
      </c>
      <c r="V372" s="55">
        <v>1499</v>
      </c>
      <c r="W372" s="55">
        <v>1499</v>
      </c>
      <c r="X372" s="55">
        <v>1399</v>
      </c>
      <c r="Y372" s="55">
        <v>1199</v>
      </c>
      <c r="Z372" s="55">
        <v>1199</v>
      </c>
      <c r="AA372" s="55">
        <v>1199</v>
      </c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7"/>
      <c r="AW372" s="58" t="s">
        <v>67</v>
      </c>
      <c r="AX372" s="59" t="s">
        <v>68</v>
      </c>
      <c r="AY372" s="60">
        <f t="shared" si="35"/>
        <v>60.579799999999999</v>
      </c>
      <c r="AZ372" s="60">
        <f t="shared" si="36"/>
        <v>54.581800000000001</v>
      </c>
      <c r="BA372" s="61">
        <f t="shared" si="37"/>
        <v>30.889700000000001</v>
      </c>
    </row>
    <row r="373" spans="1:53" ht="22.5" customHeight="1">
      <c r="A373" s="51" t="s">
        <v>63</v>
      </c>
      <c r="B373" s="52" t="s">
        <v>64</v>
      </c>
      <c r="C373" s="53">
        <v>4016031</v>
      </c>
      <c r="D373" s="65" t="s">
        <v>559</v>
      </c>
      <c r="E373" s="65" t="s">
        <v>560</v>
      </c>
      <c r="F373" s="55">
        <v>5999</v>
      </c>
      <c r="G373" s="55">
        <v>1399</v>
      </c>
      <c r="H373" s="55">
        <v>1599</v>
      </c>
      <c r="I373" s="55">
        <v>1599</v>
      </c>
      <c r="J373" s="55">
        <v>999</v>
      </c>
      <c r="K373" s="55">
        <v>999</v>
      </c>
      <c r="L373" s="55">
        <v>999</v>
      </c>
      <c r="M373" s="55">
        <v>999</v>
      </c>
      <c r="N373" s="55">
        <v>999</v>
      </c>
      <c r="O373" s="55">
        <v>999</v>
      </c>
      <c r="P373" s="56">
        <v>999</v>
      </c>
      <c r="Q373" s="56">
        <v>999</v>
      </c>
      <c r="R373" s="56">
        <v>999</v>
      </c>
      <c r="S373" s="56">
        <v>999</v>
      </c>
      <c r="T373" s="55">
        <v>999</v>
      </c>
      <c r="U373" s="55">
        <v>999</v>
      </c>
      <c r="V373" s="55">
        <v>999</v>
      </c>
      <c r="W373" s="55">
        <v>999</v>
      </c>
      <c r="X373" s="55">
        <v>999</v>
      </c>
      <c r="Y373" s="55">
        <v>999</v>
      </c>
      <c r="Z373" s="55">
        <v>999</v>
      </c>
      <c r="AA373" s="55">
        <v>999</v>
      </c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7"/>
      <c r="AW373" s="58" t="s">
        <v>67</v>
      </c>
      <c r="AX373" s="59" t="s">
        <v>68</v>
      </c>
      <c r="AY373" s="60">
        <f t="shared" si="35"/>
        <v>32.299799999999998</v>
      </c>
      <c r="AZ373" s="60">
        <f t="shared" si="36"/>
        <v>29.101800000000001</v>
      </c>
      <c r="BA373" s="61">
        <f t="shared" si="37"/>
        <v>16.4697</v>
      </c>
    </row>
    <row r="374" spans="1:53" ht="22.5" customHeight="1">
      <c r="A374" s="51" t="s">
        <v>63</v>
      </c>
      <c r="B374" s="52" t="s">
        <v>64</v>
      </c>
      <c r="C374" s="53">
        <v>4016063</v>
      </c>
      <c r="D374" s="65" t="s">
        <v>559</v>
      </c>
      <c r="E374" s="65" t="s">
        <v>561</v>
      </c>
      <c r="F374" s="55">
        <v>5999</v>
      </c>
      <c r="G374" s="55">
        <v>1399</v>
      </c>
      <c r="H374" s="55">
        <v>1599</v>
      </c>
      <c r="I374" s="55">
        <v>1599</v>
      </c>
      <c r="J374" s="55">
        <v>999</v>
      </c>
      <c r="K374" s="55">
        <v>999</v>
      </c>
      <c r="L374" s="55">
        <v>999</v>
      </c>
      <c r="M374" s="55">
        <v>999</v>
      </c>
      <c r="N374" s="55">
        <v>999</v>
      </c>
      <c r="O374" s="55">
        <v>999</v>
      </c>
      <c r="P374" s="56">
        <v>999</v>
      </c>
      <c r="Q374" s="56">
        <v>999</v>
      </c>
      <c r="R374" s="56">
        <v>999</v>
      </c>
      <c r="S374" s="56">
        <v>999</v>
      </c>
      <c r="T374" s="55">
        <v>999</v>
      </c>
      <c r="U374" s="55">
        <v>999</v>
      </c>
      <c r="V374" s="55">
        <v>999</v>
      </c>
      <c r="W374" s="55">
        <v>999</v>
      </c>
      <c r="X374" s="55">
        <v>999</v>
      </c>
      <c r="Y374" s="55">
        <v>999</v>
      </c>
      <c r="Z374" s="55">
        <v>999</v>
      </c>
      <c r="AA374" s="55">
        <v>999</v>
      </c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7"/>
      <c r="AW374" s="58" t="s">
        <v>67</v>
      </c>
      <c r="AX374" s="59" t="s">
        <v>68</v>
      </c>
      <c r="AY374" s="60">
        <f t="shared" si="35"/>
        <v>32.299799999999998</v>
      </c>
      <c r="AZ374" s="60">
        <f t="shared" si="36"/>
        <v>29.101800000000001</v>
      </c>
      <c r="BA374" s="61">
        <f t="shared" si="37"/>
        <v>16.4697</v>
      </c>
    </row>
    <row r="375" spans="1:53" ht="22.5" customHeight="1">
      <c r="A375" s="51" t="s">
        <v>63</v>
      </c>
      <c r="B375" s="52" t="s">
        <v>64</v>
      </c>
      <c r="C375" s="53">
        <v>4015884</v>
      </c>
      <c r="D375" s="65" t="s">
        <v>559</v>
      </c>
      <c r="E375" s="65" t="s">
        <v>562</v>
      </c>
      <c r="F375" s="55">
        <v>5999</v>
      </c>
      <c r="G375" s="55">
        <v>1399</v>
      </c>
      <c r="H375" s="55">
        <v>1599</v>
      </c>
      <c r="I375" s="55">
        <v>1599</v>
      </c>
      <c r="J375" s="55">
        <v>999</v>
      </c>
      <c r="K375" s="55">
        <v>999</v>
      </c>
      <c r="L375" s="55">
        <v>999</v>
      </c>
      <c r="M375" s="55">
        <v>999</v>
      </c>
      <c r="N375" s="55">
        <v>999</v>
      </c>
      <c r="O375" s="55">
        <v>999</v>
      </c>
      <c r="P375" s="56">
        <v>999</v>
      </c>
      <c r="Q375" s="56">
        <v>999</v>
      </c>
      <c r="R375" s="56">
        <v>999</v>
      </c>
      <c r="S375" s="56">
        <v>999</v>
      </c>
      <c r="T375" s="55">
        <v>999</v>
      </c>
      <c r="U375" s="55">
        <v>999</v>
      </c>
      <c r="V375" s="55">
        <v>999</v>
      </c>
      <c r="W375" s="55">
        <v>999</v>
      </c>
      <c r="X375" s="55">
        <v>999</v>
      </c>
      <c r="Y375" s="55">
        <v>999</v>
      </c>
      <c r="Z375" s="55">
        <v>999</v>
      </c>
      <c r="AA375" s="55">
        <v>999</v>
      </c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7"/>
      <c r="AW375" s="58" t="s">
        <v>67</v>
      </c>
      <c r="AX375" s="59" t="s">
        <v>68</v>
      </c>
      <c r="AY375" s="60">
        <f t="shared" si="35"/>
        <v>32.299799999999998</v>
      </c>
      <c r="AZ375" s="60">
        <f t="shared" si="36"/>
        <v>29.101800000000001</v>
      </c>
      <c r="BA375" s="61">
        <f t="shared" si="37"/>
        <v>16.4697</v>
      </c>
    </row>
    <row r="376" spans="1:53" ht="22.5" customHeight="1">
      <c r="A376" s="51" t="s">
        <v>63</v>
      </c>
      <c r="B376" s="52" t="s">
        <v>64</v>
      </c>
      <c r="C376" s="53">
        <v>4016047</v>
      </c>
      <c r="D376" s="65" t="s">
        <v>559</v>
      </c>
      <c r="E376" s="65" t="s">
        <v>563</v>
      </c>
      <c r="F376" s="55">
        <v>5999</v>
      </c>
      <c r="G376" s="55">
        <v>1399</v>
      </c>
      <c r="H376" s="55">
        <v>1599</v>
      </c>
      <c r="I376" s="55">
        <v>1599</v>
      </c>
      <c r="J376" s="55">
        <v>999</v>
      </c>
      <c r="K376" s="55">
        <v>999</v>
      </c>
      <c r="L376" s="55">
        <v>999</v>
      </c>
      <c r="M376" s="55">
        <v>999</v>
      </c>
      <c r="N376" s="55">
        <v>999</v>
      </c>
      <c r="O376" s="55">
        <v>999</v>
      </c>
      <c r="P376" s="56">
        <v>999</v>
      </c>
      <c r="Q376" s="56">
        <v>999</v>
      </c>
      <c r="R376" s="56">
        <v>999</v>
      </c>
      <c r="S376" s="56">
        <v>999</v>
      </c>
      <c r="T376" s="55">
        <v>999</v>
      </c>
      <c r="U376" s="55">
        <v>999</v>
      </c>
      <c r="V376" s="55">
        <v>999</v>
      </c>
      <c r="W376" s="55">
        <v>999</v>
      </c>
      <c r="X376" s="55">
        <v>999</v>
      </c>
      <c r="Y376" s="55">
        <v>999</v>
      </c>
      <c r="Z376" s="55">
        <v>999</v>
      </c>
      <c r="AA376" s="55">
        <v>999</v>
      </c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7"/>
      <c r="AW376" s="58" t="s">
        <v>67</v>
      </c>
      <c r="AX376" s="59" t="s">
        <v>68</v>
      </c>
      <c r="AY376" s="60">
        <f t="shared" si="35"/>
        <v>32.299799999999998</v>
      </c>
      <c r="AZ376" s="60">
        <f t="shared" si="36"/>
        <v>29.101800000000001</v>
      </c>
      <c r="BA376" s="61">
        <f t="shared" si="37"/>
        <v>16.4697</v>
      </c>
    </row>
    <row r="377" spans="1:53" ht="22.5" customHeight="1">
      <c r="A377" s="51" t="s">
        <v>63</v>
      </c>
      <c r="B377" s="52" t="s">
        <v>64</v>
      </c>
      <c r="C377" s="53">
        <v>4016039</v>
      </c>
      <c r="D377" s="65" t="s">
        <v>559</v>
      </c>
      <c r="E377" s="65" t="s">
        <v>564</v>
      </c>
      <c r="F377" s="55">
        <v>5999</v>
      </c>
      <c r="G377" s="55">
        <v>1399</v>
      </c>
      <c r="H377" s="55">
        <v>1599</v>
      </c>
      <c r="I377" s="55">
        <v>1599</v>
      </c>
      <c r="J377" s="55">
        <v>999</v>
      </c>
      <c r="K377" s="55">
        <v>999</v>
      </c>
      <c r="L377" s="55">
        <v>999</v>
      </c>
      <c r="M377" s="55">
        <v>999</v>
      </c>
      <c r="N377" s="55">
        <v>999</v>
      </c>
      <c r="O377" s="55">
        <v>999</v>
      </c>
      <c r="P377" s="56">
        <v>999</v>
      </c>
      <c r="Q377" s="56">
        <v>999</v>
      </c>
      <c r="R377" s="56">
        <v>999</v>
      </c>
      <c r="S377" s="56">
        <v>999</v>
      </c>
      <c r="T377" s="55">
        <v>999</v>
      </c>
      <c r="U377" s="55">
        <v>999</v>
      </c>
      <c r="V377" s="55">
        <v>999</v>
      </c>
      <c r="W377" s="55">
        <v>999</v>
      </c>
      <c r="X377" s="55">
        <v>999</v>
      </c>
      <c r="Y377" s="55">
        <v>999</v>
      </c>
      <c r="Z377" s="55">
        <v>999</v>
      </c>
      <c r="AA377" s="55">
        <v>999</v>
      </c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7"/>
      <c r="AW377" s="58" t="s">
        <v>67</v>
      </c>
      <c r="AX377" s="59" t="s">
        <v>68</v>
      </c>
      <c r="AY377" s="60">
        <f t="shared" si="35"/>
        <v>32.299799999999998</v>
      </c>
      <c r="AZ377" s="60">
        <f t="shared" si="36"/>
        <v>29.101800000000001</v>
      </c>
      <c r="BA377" s="61">
        <f t="shared" si="37"/>
        <v>16.4697</v>
      </c>
    </row>
    <row r="378" spans="1:53" ht="22.5" customHeight="1">
      <c r="A378" s="51" t="s">
        <v>63</v>
      </c>
      <c r="B378" s="52" t="s">
        <v>64</v>
      </c>
      <c r="C378" s="53">
        <v>4016071</v>
      </c>
      <c r="D378" s="65" t="s">
        <v>559</v>
      </c>
      <c r="E378" s="65" t="s">
        <v>565</v>
      </c>
      <c r="F378" s="55">
        <v>5999</v>
      </c>
      <c r="G378" s="55">
        <v>1399</v>
      </c>
      <c r="H378" s="55">
        <v>1599</v>
      </c>
      <c r="I378" s="55">
        <v>1599</v>
      </c>
      <c r="J378" s="55">
        <v>999</v>
      </c>
      <c r="K378" s="55">
        <v>999</v>
      </c>
      <c r="L378" s="55">
        <v>999</v>
      </c>
      <c r="M378" s="55">
        <v>999</v>
      </c>
      <c r="N378" s="55">
        <v>999</v>
      </c>
      <c r="O378" s="55">
        <v>999</v>
      </c>
      <c r="P378" s="56">
        <v>999</v>
      </c>
      <c r="Q378" s="56">
        <v>999</v>
      </c>
      <c r="R378" s="56">
        <v>999</v>
      </c>
      <c r="S378" s="56">
        <v>999</v>
      </c>
      <c r="T378" s="55">
        <v>999</v>
      </c>
      <c r="U378" s="55">
        <v>999</v>
      </c>
      <c r="V378" s="55">
        <v>999</v>
      </c>
      <c r="W378" s="55">
        <v>999</v>
      </c>
      <c r="X378" s="55">
        <v>999</v>
      </c>
      <c r="Y378" s="55">
        <v>999</v>
      </c>
      <c r="Z378" s="55">
        <v>999</v>
      </c>
      <c r="AA378" s="55">
        <v>999</v>
      </c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7"/>
      <c r="AW378" s="58" t="s">
        <v>67</v>
      </c>
      <c r="AX378" s="59" t="s">
        <v>68</v>
      </c>
      <c r="AY378" s="60">
        <f t="shared" si="35"/>
        <v>32.299799999999998</v>
      </c>
      <c r="AZ378" s="60">
        <f t="shared" si="36"/>
        <v>29.101800000000001</v>
      </c>
      <c r="BA378" s="61">
        <f t="shared" si="37"/>
        <v>16.4697</v>
      </c>
    </row>
    <row r="379" spans="1:53" ht="22.5" customHeight="1">
      <c r="A379" s="51" t="s">
        <v>63</v>
      </c>
      <c r="B379" s="52" t="s">
        <v>64</v>
      </c>
      <c r="C379" s="53">
        <v>4016055</v>
      </c>
      <c r="D379" s="65" t="s">
        <v>559</v>
      </c>
      <c r="E379" s="65" t="s">
        <v>566</v>
      </c>
      <c r="F379" s="55">
        <v>5999</v>
      </c>
      <c r="G379" s="55">
        <v>1399</v>
      </c>
      <c r="H379" s="55">
        <v>1599</v>
      </c>
      <c r="I379" s="55">
        <v>1599</v>
      </c>
      <c r="J379" s="55">
        <v>999</v>
      </c>
      <c r="K379" s="55">
        <v>999</v>
      </c>
      <c r="L379" s="55">
        <v>999</v>
      </c>
      <c r="M379" s="55">
        <v>999</v>
      </c>
      <c r="N379" s="55">
        <v>999</v>
      </c>
      <c r="O379" s="55">
        <v>999</v>
      </c>
      <c r="P379" s="56">
        <v>999</v>
      </c>
      <c r="Q379" s="56">
        <v>999</v>
      </c>
      <c r="R379" s="56">
        <v>999</v>
      </c>
      <c r="S379" s="56">
        <v>999</v>
      </c>
      <c r="T379" s="55">
        <v>999</v>
      </c>
      <c r="U379" s="55">
        <v>999</v>
      </c>
      <c r="V379" s="55">
        <v>999</v>
      </c>
      <c r="W379" s="55">
        <v>999</v>
      </c>
      <c r="X379" s="55">
        <v>999</v>
      </c>
      <c r="Y379" s="55">
        <v>999</v>
      </c>
      <c r="Z379" s="55">
        <v>999</v>
      </c>
      <c r="AA379" s="55">
        <v>999</v>
      </c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7"/>
      <c r="AW379" s="58" t="s">
        <v>67</v>
      </c>
      <c r="AX379" s="59" t="s">
        <v>68</v>
      </c>
      <c r="AY379" s="60">
        <f t="shared" si="35"/>
        <v>32.299799999999998</v>
      </c>
      <c r="AZ379" s="60">
        <f t="shared" si="36"/>
        <v>29.101800000000001</v>
      </c>
      <c r="BA379" s="61">
        <f t="shared" si="37"/>
        <v>16.4697</v>
      </c>
    </row>
    <row r="380" spans="1:53" ht="22.5" customHeight="1">
      <c r="A380" s="51" t="s">
        <v>63</v>
      </c>
      <c r="B380" s="52" t="s">
        <v>64</v>
      </c>
      <c r="C380" s="53">
        <v>4016034</v>
      </c>
      <c r="D380" s="65" t="s">
        <v>567</v>
      </c>
      <c r="E380" s="65" t="s">
        <v>568</v>
      </c>
      <c r="F380" s="55">
        <v>6499</v>
      </c>
      <c r="G380" s="55">
        <v>1699</v>
      </c>
      <c r="H380" s="55">
        <v>1599</v>
      </c>
      <c r="I380" s="55">
        <v>1599</v>
      </c>
      <c r="J380" s="55">
        <v>999</v>
      </c>
      <c r="K380" s="55">
        <v>999</v>
      </c>
      <c r="L380" s="55">
        <v>999</v>
      </c>
      <c r="M380" s="55">
        <v>999</v>
      </c>
      <c r="N380" s="55">
        <v>999</v>
      </c>
      <c r="O380" s="55">
        <v>999</v>
      </c>
      <c r="P380" s="56">
        <v>999</v>
      </c>
      <c r="Q380" s="56">
        <v>999</v>
      </c>
      <c r="R380" s="55">
        <v>999</v>
      </c>
      <c r="S380" s="55">
        <v>999</v>
      </c>
      <c r="T380" s="55">
        <v>999</v>
      </c>
      <c r="U380" s="55">
        <v>999</v>
      </c>
      <c r="V380" s="55">
        <v>999</v>
      </c>
      <c r="W380" s="55">
        <v>999</v>
      </c>
      <c r="X380" s="55">
        <v>999</v>
      </c>
      <c r="Y380" s="55">
        <v>999</v>
      </c>
      <c r="Z380" s="55">
        <v>999</v>
      </c>
      <c r="AA380" s="55">
        <v>999</v>
      </c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7"/>
      <c r="AW380" s="58" t="s">
        <v>67</v>
      </c>
      <c r="AX380" s="59" t="s">
        <v>68</v>
      </c>
      <c r="AY380" s="60">
        <f t="shared" si="35"/>
        <v>32.299799999999998</v>
      </c>
      <c r="AZ380" s="60">
        <f t="shared" si="36"/>
        <v>29.101800000000001</v>
      </c>
      <c r="BA380" s="61">
        <f t="shared" si="37"/>
        <v>16.4697</v>
      </c>
    </row>
    <row r="381" spans="1:53" ht="22.5" customHeight="1">
      <c r="A381" s="51" t="s">
        <v>63</v>
      </c>
      <c r="B381" s="52" t="s">
        <v>64</v>
      </c>
      <c r="C381" s="53">
        <v>4016066</v>
      </c>
      <c r="D381" s="65" t="s">
        <v>567</v>
      </c>
      <c r="E381" s="65" t="s">
        <v>569</v>
      </c>
      <c r="F381" s="55">
        <v>6499</v>
      </c>
      <c r="G381" s="55">
        <v>1699</v>
      </c>
      <c r="H381" s="55">
        <v>1599</v>
      </c>
      <c r="I381" s="55">
        <v>1599</v>
      </c>
      <c r="J381" s="55">
        <v>999</v>
      </c>
      <c r="K381" s="55">
        <v>999</v>
      </c>
      <c r="L381" s="55">
        <v>999</v>
      </c>
      <c r="M381" s="55">
        <v>999</v>
      </c>
      <c r="N381" s="55">
        <v>999</v>
      </c>
      <c r="O381" s="55">
        <v>999</v>
      </c>
      <c r="P381" s="56">
        <v>999</v>
      </c>
      <c r="Q381" s="56">
        <v>999</v>
      </c>
      <c r="R381" s="55">
        <v>999</v>
      </c>
      <c r="S381" s="55">
        <v>999</v>
      </c>
      <c r="T381" s="55">
        <v>999</v>
      </c>
      <c r="U381" s="55">
        <v>999</v>
      </c>
      <c r="V381" s="55">
        <v>999</v>
      </c>
      <c r="W381" s="55">
        <v>999</v>
      </c>
      <c r="X381" s="55">
        <v>999</v>
      </c>
      <c r="Y381" s="55">
        <v>999</v>
      </c>
      <c r="Z381" s="55">
        <v>999</v>
      </c>
      <c r="AA381" s="55">
        <v>999</v>
      </c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7"/>
      <c r="AW381" s="58" t="s">
        <v>67</v>
      </c>
      <c r="AX381" s="59" t="s">
        <v>68</v>
      </c>
      <c r="AY381" s="60">
        <f t="shared" si="35"/>
        <v>32.299799999999998</v>
      </c>
      <c r="AZ381" s="60">
        <f t="shared" si="36"/>
        <v>29.101800000000001</v>
      </c>
      <c r="BA381" s="61">
        <f t="shared" si="37"/>
        <v>16.4697</v>
      </c>
    </row>
    <row r="382" spans="1:53" ht="22.5" customHeight="1">
      <c r="A382" s="51" t="s">
        <v>63</v>
      </c>
      <c r="B382" s="52" t="s">
        <v>64</v>
      </c>
      <c r="C382" s="53">
        <v>4016020</v>
      </c>
      <c r="D382" s="65" t="s">
        <v>567</v>
      </c>
      <c r="E382" s="65" t="s">
        <v>570</v>
      </c>
      <c r="F382" s="55">
        <v>6499</v>
      </c>
      <c r="G382" s="55">
        <v>1699</v>
      </c>
      <c r="H382" s="55">
        <v>1599</v>
      </c>
      <c r="I382" s="55">
        <v>1599</v>
      </c>
      <c r="J382" s="55">
        <v>999</v>
      </c>
      <c r="K382" s="55">
        <v>999</v>
      </c>
      <c r="L382" s="55">
        <v>999</v>
      </c>
      <c r="M382" s="55">
        <v>999</v>
      </c>
      <c r="N382" s="55">
        <v>999</v>
      </c>
      <c r="O382" s="55">
        <v>999</v>
      </c>
      <c r="P382" s="56">
        <v>999</v>
      </c>
      <c r="Q382" s="56">
        <v>999</v>
      </c>
      <c r="R382" s="55">
        <v>999</v>
      </c>
      <c r="S382" s="55">
        <v>999</v>
      </c>
      <c r="T382" s="55">
        <v>999</v>
      </c>
      <c r="U382" s="55">
        <v>999</v>
      </c>
      <c r="V382" s="55">
        <v>999</v>
      </c>
      <c r="W382" s="55">
        <v>999</v>
      </c>
      <c r="X382" s="55">
        <v>999</v>
      </c>
      <c r="Y382" s="55">
        <v>999</v>
      </c>
      <c r="Z382" s="55">
        <v>999</v>
      </c>
      <c r="AA382" s="55">
        <v>999</v>
      </c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7"/>
      <c r="AW382" s="58" t="s">
        <v>67</v>
      </c>
      <c r="AX382" s="59" t="s">
        <v>68</v>
      </c>
      <c r="AY382" s="60">
        <f t="shared" si="35"/>
        <v>32.299799999999998</v>
      </c>
      <c r="AZ382" s="60">
        <f t="shared" si="36"/>
        <v>29.101800000000001</v>
      </c>
      <c r="BA382" s="61">
        <f t="shared" si="37"/>
        <v>16.4697</v>
      </c>
    </row>
    <row r="383" spans="1:53" ht="22.5" customHeight="1">
      <c r="A383" s="51" t="s">
        <v>63</v>
      </c>
      <c r="B383" s="52" t="s">
        <v>64</v>
      </c>
      <c r="C383" s="53">
        <v>4016048</v>
      </c>
      <c r="D383" s="65" t="s">
        <v>567</v>
      </c>
      <c r="E383" s="65" t="s">
        <v>571</v>
      </c>
      <c r="F383" s="55">
        <v>6499</v>
      </c>
      <c r="G383" s="55">
        <v>1699</v>
      </c>
      <c r="H383" s="55">
        <v>1599</v>
      </c>
      <c r="I383" s="55">
        <v>1599</v>
      </c>
      <c r="J383" s="55">
        <v>999</v>
      </c>
      <c r="K383" s="55">
        <v>999</v>
      </c>
      <c r="L383" s="55">
        <v>999</v>
      </c>
      <c r="M383" s="55">
        <v>999</v>
      </c>
      <c r="N383" s="55">
        <v>999</v>
      </c>
      <c r="O383" s="55">
        <v>999</v>
      </c>
      <c r="P383" s="56">
        <v>999</v>
      </c>
      <c r="Q383" s="56">
        <v>999</v>
      </c>
      <c r="R383" s="55">
        <v>999</v>
      </c>
      <c r="S383" s="55">
        <v>999</v>
      </c>
      <c r="T383" s="55">
        <v>999</v>
      </c>
      <c r="U383" s="55">
        <v>999</v>
      </c>
      <c r="V383" s="55">
        <v>999</v>
      </c>
      <c r="W383" s="55">
        <v>999</v>
      </c>
      <c r="X383" s="55">
        <v>999</v>
      </c>
      <c r="Y383" s="55">
        <v>999</v>
      </c>
      <c r="Z383" s="55">
        <v>999</v>
      </c>
      <c r="AA383" s="55">
        <v>999</v>
      </c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7"/>
      <c r="AW383" s="58" t="s">
        <v>67</v>
      </c>
      <c r="AX383" s="59" t="s">
        <v>68</v>
      </c>
      <c r="AY383" s="60">
        <f t="shared" si="35"/>
        <v>32.299799999999998</v>
      </c>
      <c r="AZ383" s="60">
        <f t="shared" si="36"/>
        <v>29.101800000000001</v>
      </c>
      <c r="BA383" s="61">
        <f t="shared" si="37"/>
        <v>16.4697</v>
      </c>
    </row>
    <row r="384" spans="1:53" ht="22.5" customHeight="1">
      <c r="A384" s="51" t="s">
        <v>63</v>
      </c>
      <c r="B384" s="52" t="s">
        <v>64</v>
      </c>
      <c r="C384" s="53">
        <v>4016042</v>
      </c>
      <c r="D384" s="65" t="s">
        <v>567</v>
      </c>
      <c r="E384" s="65" t="s">
        <v>572</v>
      </c>
      <c r="F384" s="55">
        <v>6499</v>
      </c>
      <c r="G384" s="55">
        <v>1699</v>
      </c>
      <c r="H384" s="55">
        <v>1599</v>
      </c>
      <c r="I384" s="55">
        <v>1599</v>
      </c>
      <c r="J384" s="55">
        <v>999</v>
      </c>
      <c r="K384" s="55">
        <v>999</v>
      </c>
      <c r="L384" s="55">
        <v>999</v>
      </c>
      <c r="M384" s="55">
        <v>999</v>
      </c>
      <c r="N384" s="55">
        <v>999</v>
      </c>
      <c r="O384" s="55">
        <v>999</v>
      </c>
      <c r="P384" s="56">
        <v>999</v>
      </c>
      <c r="Q384" s="56">
        <v>999</v>
      </c>
      <c r="R384" s="55">
        <v>999</v>
      </c>
      <c r="S384" s="55">
        <v>999</v>
      </c>
      <c r="T384" s="55">
        <v>999</v>
      </c>
      <c r="U384" s="55">
        <v>999</v>
      </c>
      <c r="V384" s="55">
        <v>999</v>
      </c>
      <c r="W384" s="55">
        <v>999</v>
      </c>
      <c r="X384" s="55">
        <v>999</v>
      </c>
      <c r="Y384" s="55">
        <v>999</v>
      </c>
      <c r="Z384" s="55">
        <v>999</v>
      </c>
      <c r="AA384" s="55">
        <v>999</v>
      </c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7"/>
      <c r="AW384" s="58" t="s">
        <v>67</v>
      </c>
      <c r="AX384" s="59" t="s">
        <v>68</v>
      </c>
      <c r="AY384" s="60">
        <f t="shared" si="35"/>
        <v>32.299799999999998</v>
      </c>
      <c r="AZ384" s="60">
        <f t="shared" si="36"/>
        <v>29.101800000000001</v>
      </c>
      <c r="BA384" s="61">
        <f t="shared" si="37"/>
        <v>16.4697</v>
      </c>
    </row>
    <row r="385" spans="1:53" ht="22.5" customHeight="1">
      <c r="A385" s="51" t="s">
        <v>63</v>
      </c>
      <c r="B385" s="52" t="s">
        <v>64</v>
      </c>
      <c r="C385" s="53">
        <v>4016076</v>
      </c>
      <c r="D385" s="65" t="s">
        <v>567</v>
      </c>
      <c r="E385" s="65" t="s">
        <v>573</v>
      </c>
      <c r="F385" s="55">
        <v>6499</v>
      </c>
      <c r="G385" s="55">
        <v>1699</v>
      </c>
      <c r="H385" s="55">
        <v>1599</v>
      </c>
      <c r="I385" s="55">
        <v>1599</v>
      </c>
      <c r="J385" s="55">
        <v>999</v>
      </c>
      <c r="K385" s="55">
        <v>999</v>
      </c>
      <c r="L385" s="55">
        <v>999</v>
      </c>
      <c r="M385" s="55">
        <v>999</v>
      </c>
      <c r="N385" s="55">
        <v>999</v>
      </c>
      <c r="O385" s="55">
        <v>999</v>
      </c>
      <c r="P385" s="56">
        <v>999</v>
      </c>
      <c r="Q385" s="56">
        <v>999</v>
      </c>
      <c r="R385" s="55">
        <v>999</v>
      </c>
      <c r="S385" s="55">
        <v>999</v>
      </c>
      <c r="T385" s="55">
        <v>999</v>
      </c>
      <c r="U385" s="55">
        <v>999</v>
      </c>
      <c r="V385" s="55">
        <v>999</v>
      </c>
      <c r="W385" s="55">
        <v>999</v>
      </c>
      <c r="X385" s="55">
        <v>999</v>
      </c>
      <c r="Y385" s="55">
        <v>999</v>
      </c>
      <c r="Z385" s="55">
        <v>999</v>
      </c>
      <c r="AA385" s="55">
        <v>999</v>
      </c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7"/>
      <c r="AW385" s="58" t="s">
        <v>67</v>
      </c>
      <c r="AX385" s="59" t="s">
        <v>68</v>
      </c>
      <c r="AY385" s="60">
        <f t="shared" si="35"/>
        <v>32.299799999999998</v>
      </c>
      <c r="AZ385" s="60">
        <f t="shared" si="36"/>
        <v>29.101800000000001</v>
      </c>
      <c r="BA385" s="61">
        <f t="shared" si="37"/>
        <v>16.4697</v>
      </c>
    </row>
    <row r="386" spans="1:53" ht="22.5" customHeight="1">
      <c r="A386" s="51" t="s">
        <v>63</v>
      </c>
      <c r="B386" s="52" t="s">
        <v>64</v>
      </c>
      <c r="C386" s="53">
        <v>4016040</v>
      </c>
      <c r="D386" s="65" t="s">
        <v>574</v>
      </c>
      <c r="E386" s="65" t="s">
        <v>575</v>
      </c>
      <c r="F386" s="55">
        <v>6999</v>
      </c>
      <c r="G386" s="55">
        <v>2899</v>
      </c>
      <c r="H386" s="55">
        <v>1999</v>
      </c>
      <c r="I386" s="55">
        <v>1999</v>
      </c>
      <c r="J386" s="55">
        <v>1499</v>
      </c>
      <c r="K386" s="55">
        <v>1499</v>
      </c>
      <c r="L386" s="55">
        <v>1499</v>
      </c>
      <c r="M386" s="55">
        <v>1499</v>
      </c>
      <c r="N386" s="55">
        <v>1499</v>
      </c>
      <c r="O386" s="55">
        <v>1499</v>
      </c>
      <c r="P386" s="56">
        <v>1499</v>
      </c>
      <c r="Q386" s="56">
        <v>1499</v>
      </c>
      <c r="R386" s="55">
        <v>1499</v>
      </c>
      <c r="S386" s="55">
        <v>1499</v>
      </c>
      <c r="T386" s="55">
        <v>1499</v>
      </c>
      <c r="U386" s="55">
        <v>1499</v>
      </c>
      <c r="V386" s="55">
        <v>1499</v>
      </c>
      <c r="W386" s="55">
        <v>1499</v>
      </c>
      <c r="X386" s="55">
        <v>1499</v>
      </c>
      <c r="Y386" s="55">
        <v>1499</v>
      </c>
      <c r="Z386" s="55">
        <v>1499</v>
      </c>
      <c r="AA386" s="55">
        <v>1499</v>
      </c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7"/>
      <c r="AW386" s="58" t="s">
        <v>67</v>
      </c>
      <c r="AX386" s="59" t="s">
        <v>68</v>
      </c>
      <c r="AY386" s="60">
        <f t="shared" si="35"/>
        <v>40.379799999999996</v>
      </c>
      <c r="AZ386" s="60">
        <f t="shared" si="36"/>
        <v>36.381799999999998</v>
      </c>
      <c r="BA386" s="61">
        <f t="shared" si="37"/>
        <v>20.589700000000001</v>
      </c>
    </row>
    <row r="387" spans="1:53" ht="22.5" customHeight="1">
      <c r="A387" s="51" t="s">
        <v>63</v>
      </c>
      <c r="B387" s="52" t="s">
        <v>64</v>
      </c>
      <c r="C387" s="53">
        <v>4015889</v>
      </c>
      <c r="D387" s="65" t="s">
        <v>574</v>
      </c>
      <c r="E387" s="65" t="s">
        <v>576</v>
      </c>
      <c r="F387" s="55">
        <v>6999</v>
      </c>
      <c r="G387" s="55">
        <v>2899</v>
      </c>
      <c r="H387" s="55">
        <v>1999</v>
      </c>
      <c r="I387" s="55">
        <v>1999</v>
      </c>
      <c r="J387" s="55">
        <v>1499</v>
      </c>
      <c r="K387" s="55">
        <v>1499</v>
      </c>
      <c r="L387" s="55">
        <v>1499</v>
      </c>
      <c r="M387" s="55">
        <v>1499</v>
      </c>
      <c r="N387" s="55">
        <v>1499</v>
      </c>
      <c r="O387" s="55">
        <v>1499</v>
      </c>
      <c r="P387" s="56">
        <v>1499</v>
      </c>
      <c r="Q387" s="56">
        <v>1499</v>
      </c>
      <c r="R387" s="55">
        <v>1499</v>
      </c>
      <c r="S387" s="55">
        <v>1499</v>
      </c>
      <c r="T387" s="55">
        <v>1499</v>
      </c>
      <c r="U387" s="55">
        <v>1499</v>
      </c>
      <c r="V387" s="55">
        <v>1499</v>
      </c>
      <c r="W387" s="55">
        <v>1499</v>
      </c>
      <c r="X387" s="55">
        <v>1499</v>
      </c>
      <c r="Y387" s="55">
        <v>1499</v>
      </c>
      <c r="Z387" s="55">
        <v>1499</v>
      </c>
      <c r="AA387" s="55">
        <v>1499</v>
      </c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7"/>
      <c r="AW387" s="58" t="s">
        <v>67</v>
      </c>
      <c r="AX387" s="59" t="s">
        <v>68</v>
      </c>
      <c r="AY387" s="60">
        <f t="shared" si="35"/>
        <v>40.379799999999996</v>
      </c>
      <c r="AZ387" s="60">
        <f t="shared" si="36"/>
        <v>36.381799999999998</v>
      </c>
      <c r="BA387" s="61">
        <f t="shared" si="37"/>
        <v>20.589700000000001</v>
      </c>
    </row>
    <row r="388" spans="1:53" ht="22.5" customHeight="1">
      <c r="A388" s="51" t="s">
        <v>63</v>
      </c>
      <c r="B388" s="52" t="s">
        <v>64</v>
      </c>
      <c r="C388" s="53">
        <v>4016049</v>
      </c>
      <c r="D388" s="65" t="s">
        <v>574</v>
      </c>
      <c r="E388" s="65" t="s">
        <v>577</v>
      </c>
      <c r="F388" s="55">
        <v>6999</v>
      </c>
      <c r="G388" s="55">
        <v>2899</v>
      </c>
      <c r="H388" s="55">
        <v>1999</v>
      </c>
      <c r="I388" s="55">
        <v>1999</v>
      </c>
      <c r="J388" s="55">
        <v>1499</v>
      </c>
      <c r="K388" s="55">
        <v>1499</v>
      </c>
      <c r="L388" s="55">
        <v>1499</v>
      </c>
      <c r="M388" s="55">
        <v>1499</v>
      </c>
      <c r="N388" s="55">
        <v>1499</v>
      </c>
      <c r="O388" s="55">
        <v>1499</v>
      </c>
      <c r="P388" s="56">
        <v>1499</v>
      </c>
      <c r="Q388" s="56">
        <v>1499</v>
      </c>
      <c r="R388" s="55">
        <v>1499</v>
      </c>
      <c r="S388" s="55">
        <v>1499</v>
      </c>
      <c r="T388" s="55">
        <v>1499</v>
      </c>
      <c r="U388" s="55">
        <v>1499</v>
      </c>
      <c r="V388" s="55">
        <v>1499</v>
      </c>
      <c r="W388" s="55">
        <v>1499</v>
      </c>
      <c r="X388" s="55">
        <v>1499</v>
      </c>
      <c r="Y388" s="55">
        <v>1499</v>
      </c>
      <c r="Z388" s="55">
        <v>1499</v>
      </c>
      <c r="AA388" s="55">
        <v>1499</v>
      </c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7"/>
      <c r="AW388" s="58" t="s">
        <v>67</v>
      </c>
      <c r="AX388" s="59" t="s">
        <v>68</v>
      </c>
      <c r="AY388" s="60">
        <f t="shared" si="35"/>
        <v>40.379799999999996</v>
      </c>
      <c r="AZ388" s="60">
        <f t="shared" si="36"/>
        <v>36.381799999999998</v>
      </c>
      <c r="BA388" s="61">
        <f t="shared" si="37"/>
        <v>20.589700000000001</v>
      </c>
    </row>
    <row r="389" spans="1:53" ht="22.5" customHeight="1">
      <c r="A389" s="51" t="s">
        <v>63</v>
      </c>
      <c r="B389" s="52" t="s">
        <v>64</v>
      </c>
      <c r="C389" s="53">
        <v>4016072</v>
      </c>
      <c r="D389" s="65" t="s">
        <v>574</v>
      </c>
      <c r="E389" s="65" t="s">
        <v>578</v>
      </c>
      <c r="F389" s="55">
        <v>6999</v>
      </c>
      <c r="G389" s="55">
        <v>2899</v>
      </c>
      <c r="H389" s="55">
        <v>1999</v>
      </c>
      <c r="I389" s="55">
        <v>1999</v>
      </c>
      <c r="J389" s="55">
        <v>1499</v>
      </c>
      <c r="K389" s="55">
        <v>1499</v>
      </c>
      <c r="L389" s="55">
        <v>1499</v>
      </c>
      <c r="M389" s="55">
        <v>1499</v>
      </c>
      <c r="N389" s="55">
        <v>1499</v>
      </c>
      <c r="O389" s="55">
        <v>1499</v>
      </c>
      <c r="P389" s="56">
        <v>1499</v>
      </c>
      <c r="Q389" s="56">
        <v>1499</v>
      </c>
      <c r="R389" s="55">
        <v>1499</v>
      </c>
      <c r="S389" s="55">
        <v>1499</v>
      </c>
      <c r="T389" s="55">
        <v>1499</v>
      </c>
      <c r="U389" s="55">
        <v>1499</v>
      </c>
      <c r="V389" s="55">
        <v>1499</v>
      </c>
      <c r="W389" s="55">
        <v>1499</v>
      </c>
      <c r="X389" s="55">
        <v>1499</v>
      </c>
      <c r="Y389" s="55">
        <v>1499</v>
      </c>
      <c r="Z389" s="55">
        <v>1499</v>
      </c>
      <c r="AA389" s="55">
        <v>1499</v>
      </c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7"/>
      <c r="AW389" s="58" t="s">
        <v>67</v>
      </c>
      <c r="AX389" s="59" t="s">
        <v>68</v>
      </c>
      <c r="AY389" s="60">
        <f t="shared" si="35"/>
        <v>40.379799999999996</v>
      </c>
      <c r="AZ389" s="60">
        <f t="shared" si="36"/>
        <v>36.381799999999998</v>
      </c>
      <c r="BA389" s="61">
        <f t="shared" si="37"/>
        <v>20.589700000000001</v>
      </c>
    </row>
    <row r="390" spans="1:53" ht="22.5" customHeight="1">
      <c r="A390" s="51" t="s">
        <v>63</v>
      </c>
      <c r="B390" s="52" t="s">
        <v>64</v>
      </c>
      <c r="C390" s="53">
        <v>4016064</v>
      </c>
      <c r="D390" s="65" t="s">
        <v>574</v>
      </c>
      <c r="E390" s="65" t="s">
        <v>579</v>
      </c>
      <c r="F390" s="55">
        <v>6999</v>
      </c>
      <c r="G390" s="55">
        <v>2899</v>
      </c>
      <c r="H390" s="55">
        <v>1999</v>
      </c>
      <c r="I390" s="55">
        <v>1999</v>
      </c>
      <c r="J390" s="55">
        <v>1499</v>
      </c>
      <c r="K390" s="55">
        <v>1499</v>
      </c>
      <c r="L390" s="55">
        <v>1499</v>
      </c>
      <c r="M390" s="55">
        <v>1499</v>
      </c>
      <c r="N390" s="55">
        <v>1499</v>
      </c>
      <c r="O390" s="55">
        <v>1499</v>
      </c>
      <c r="P390" s="56">
        <v>1499</v>
      </c>
      <c r="Q390" s="56">
        <v>1499</v>
      </c>
      <c r="R390" s="55">
        <v>1499</v>
      </c>
      <c r="S390" s="55">
        <v>1499</v>
      </c>
      <c r="T390" s="55">
        <v>1499</v>
      </c>
      <c r="U390" s="55">
        <v>1499</v>
      </c>
      <c r="V390" s="55">
        <v>1499</v>
      </c>
      <c r="W390" s="55">
        <v>1499</v>
      </c>
      <c r="X390" s="55">
        <v>1499</v>
      </c>
      <c r="Y390" s="55">
        <v>1499</v>
      </c>
      <c r="Z390" s="55">
        <v>1499</v>
      </c>
      <c r="AA390" s="55">
        <v>1499</v>
      </c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7"/>
      <c r="AW390" s="58" t="s">
        <v>67</v>
      </c>
      <c r="AX390" s="59" t="s">
        <v>68</v>
      </c>
      <c r="AY390" s="60">
        <f t="shared" si="35"/>
        <v>40.379799999999996</v>
      </c>
      <c r="AZ390" s="60">
        <f t="shared" si="36"/>
        <v>36.381799999999998</v>
      </c>
      <c r="BA390" s="61">
        <f t="shared" si="37"/>
        <v>20.589700000000001</v>
      </c>
    </row>
    <row r="391" spans="1:53" ht="22.5" customHeight="1">
      <c r="A391" s="51" t="s">
        <v>63</v>
      </c>
      <c r="B391" s="52" t="s">
        <v>64</v>
      </c>
      <c r="C391" s="53">
        <v>4016033</v>
      </c>
      <c r="D391" s="65" t="s">
        <v>574</v>
      </c>
      <c r="E391" s="65" t="s">
        <v>580</v>
      </c>
      <c r="F391" s="55">
        <v>6999</v>
      </c>
      <c r="G391" s="55">
        <v>2899</v>
      </c>
      <c r="H391" s="55">
        <v>1999</v>
      </c>
      <c r="I391" s="55">
        <v>1999</v>
      </c>
      <c r="J391" s="55">
        <v>1499</v>
      </c>
      <c r="K391" s="55">
        <v>1499</v>
      </c>
      <c r="L391" s="55">
        <v>1499</v>
      </c>
      <c r="M391" s="55">
        <v>1499</v>
      </c>
      <c r="N391" s="55">
        <v>1499</v>
      </c>
      <c r="O391" s="55">
        <v>1499</v>
      </c>
      <c r="P391" s="56">
        <v>1499</v>
      </c>
      <c r="Q391" s="56">
        <v>1499</v>
      </c>
      <c r="R391" s="55">
        <v>1499</v>
      </c>
      <c r="S391" s="55">
        <v>1499</v>
      </c>
      <c r="T391" s="55">
        <v>1499</v>
      </c>
      <c r="U391" s="55">
        <v>1499</v>
      </c>
      <c r="V391" s="55">
        <v>1499</v>
      </c>
      <c r="W391" s="55">
        <v>1499</v>
      </c>
      <c r="X391" s="55">
        <v>1499</v>
      </c>
      <c r="Y391" s="55">
        <v>1499</v>
      </c>
      <c r="Z391" s="55">
        <v>1499</v>
      </c>
      <c r="AA391" s="55">
        <v>1499</v>
      </c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7"/>
      <c r="AW391" s="58" t="s">
        <v>67</v>
      </c>
      <c r="AX391" s="59" t="s">
        <v>68</v>
      </c>
      <c r="AY391" s="60">
        <f t="shared" si="35"/>
        <v>40.379799999999996</v>
      </c>
      <c r="AZ391" s="60">
        <f t="shared" si="36"/>
        <v>36.381799999999998</v>
      </c>
      <c r="BA391" s="61">
        <f t="shared" si="37"/>
        <v>20.589700000000001</v>
      </c>
    </row>
    <row r="392" spans="1:53" ht="22.5" customHeight="1">
      <c r="A392" s="51" t="s">
        <v>63</v>
      </c>
      <c r="B392" s="52" t="s">
        <v>64</v>
      </c>
      <c r="C392" s="53">
        <v>4016026</v>
      </c>
      <c r="D392" s="65" t="s">
        <v>574</v>
      </c>
      <c r="E392" s="65" t="s">
        <v>581</v>
      </c>
      <c r="F392" s="55">
        <v>6999</v>
      </c>
      <c r="G392" s="55">
        <v>2899</v>
      </c>
      <c r="H392" s="55">
        <v>1999</v>
      </c>
      <c r="I392" s="55">
        <v>1999</v>
      </c>
      <c r="J392" s="55">
        <v>1499</v>
      </c>
      <c r="K392" s="55">
        <v>1499</v>
      </c>
      <c r="L392" s="55">
        <v>1499</v>
      </c>
      <c r="M392" s="55">
        <v>1499</v>
      </c>
      <c r="N392" s="55">
        <v>1499</v>
      </c>
      <c r="O392" s="55">
        <v>1499</v>
      </c>
      <c r="P392" s="56">
        <v>1499</v>
      </c>
      <c r="Q392" s="56">
        <v>1499</v>
      </c>
      <c r="R392" s="55">
        <v>1499</v>
      </c>
      <c r="S392" s="55">
        <v>1499</v>
      </c>
      <c r="T392" s="55">
        <v>1499</v>
      </c>
      <c r="U392" s="55">
        <v>1499</v>
      </c>
      <c r="V392" s="55">
        <v>1499</v>
      </c>
      <c r="W392" s="55">
        <v>1499</v>
      </c>
      <c r="X392" s="55">
        <v>1499</v>
      </c>
      <c r="Y392" s="55">
        <v>1499</v>
      </c>
      <c r="Z392" s="55">
        <v>1499</v>
      </c>
      <c r="AA392" s="55">
        <v>1499</v>
      </c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7"/>
      <c r="AW392" s="58" t="s">
        <v>67</v>
      </c>
      <c r="AX392" s="59" t="s">
        <v>68</v>
      </c>
      <c r="AY392" s="60">
        <f t="shared" si="35"/>
        <v>40.379799999999996</v>
      </c>
      <c r="AZ392" s="60">
        <f t="shared" si="36"/>
        <v>36.381799999999998</v>
      </c>
      <c r="BA392" s="61">
        <f t="shared" si="37"/>
        <v>20.589700000000001</v>
      </c>
    </row>
    <row r="393" spans="1:53" ht="22.5" customHeight="1">
      <c r="A393" s="51" t="s">
        <v>63</v>
      </c>
      <c r="B393" s="52" t="s">
        <v>64</v>
      </c>
      <c r="C393" s="53">
        <v>4016056</v>
      </c>
      <c r="D393" s="65" t="s">
        <v>574</v>
      </c>
      <c r="E393" s="65" t="s">
        <v>582</v>
      </c>
      <c r="F393" s="55">
        <v>6999</v>
      </c>
      <c r="G393" s="55">
        <v>2899</v>
      </c>
      <c r="H393" s="55">
        <v>1999</v>
      </c>
      <c r="I393" s="55">
        <v>1999</v>
      </c>
      <c r="J393" s="55">
        <v>1499</v>
      </c>
      <c r="K393" s="55">
        <v>1499</v>
      </c>
      <c r="L393" s="55">
        <v>1499</v>
      </c>
      <c r="M393" s="55">
        <v>1499</v>
      </c>
      <c r="N393" s="55">
        <v>1499</v>
      </c>
      <c r="O393" s="55">
        <v>1499</v>
      </c>
      <c r="P393" s="56">
        <v>1499</v>
      </c>
      <c r="Q393" s="56">
        <v>1499</v>
      </c>
      <c r="R393" s="55">
        <v>1499</v>
      </c>
      <c r="S393" s="55">
        <v>1499</v>
      </c>
      <c r="T393" s="55">
        <v>1499</v>
      </c>
      <c r="U393" s="55">
        <v>1499</v>
      </c>
      <c r="V393" s="55">
        <v>1499</v>
      </c>
      <c r="W393" s="55">
        <v>1499</v>
      </c>
      <c r="X393" s="55">
        <v>1499</v>
      </c>
      <c r="Y393" s="55">
        <v>1499</v>
      </c>
      <c r="Z393" s="55">
        <v>1499</v>
      </c>
      <c r="AA393" s="55">
        <v>1499</v>
      </c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7"/>
      <c r="AW393" s="58" t="s">
        <v>67</v>
      </c>
      <c r="AX393" s="59" t="s">
        <v>68</v>
      </c>
      <c r="AY393" s="60">
        <f t="shared" si="35"/>
        <v>40.379799999999996</v>
      </c>
      <c r="AZ393" s="60">
        <f t="shared" si="36"/>
        <v>36.381799999999998</v>
      </c>
      <c r="BA393" s="61">
        <f t="shared" si="37"/>
        <v>20.589700000000001</v>
      </c>
    </row>
    <row r="394" spans="1:53" ht="22.5" customHeight="1">
      <c r="A394" s="51" t="s">
        <v>63</v>
      </c>
      <c r="B394" s="52" t="s">
        <v>64</v>
      </c>
      <c r="C394" s="53">
        <v>4016036</v>
      </c>
      <c r="D394" s="65" t="s">
        <v>583</v>
      </c>
      <c r="E394" s="65" t="s">
        <v>584</v>
      </c>
      <c r="F394" s="55">
        <v>7999</v>
      </c>
      <c r="G394" s="55">
        <v>4499</v>
      </c>
      <c r="H394" s="55">
        <v>1999</v>
      </c>
      <c r="I394" s="55">
        <v>1999</v>
      </c>
      <c r="J394" s="55">
        <v>1499</v>
      </c>
      <c r="K394" s="55">
        <v>1499</v>
      </c>
      <c r="L394" s="55">
        <v>1499</v>
      </c>
      <c r="M394" s="55">
        <v>1499</v>
      </c>
      <c r="N394" s="55">
        <v>1499</v>
      </c>
      <c r="O394" s="55">
        <v>1499</v>
      </c>
      <c r="P394" s="56">
        <v>1499</v>
      </c>
      <c r="Q394" s="56">
        <v>1499</v>
      </c>
      <c r="R394" s="55">
        <v>1499</v>
      </c>
      <c r="S394" s="55">
        <v>1499</v>
      </c>
      <c r="T394" s="55">
        <v>1499</v>
      </c>
      <c r="U394" s="55">
        <v>1499</v>
      </c>
      <c r="V394" s="55">
        <v>1499</v>
      </c>
      <c r="W394" s="55">
        <v>1499</v>
      </c>
      <c r="X394" s="55">
        <v>1499</v>
      </c>
      <c r="Y394" s="55">
        <v>1499</v>
      </c>
      <c r="Z394" s="55">
        <v>1499</v>
      </c>
      <c r="AA394" s="55">
        <v>1499</v>
      </c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7"/>
      <c r="AW394" s="58" t="s">
        <v>67</v>
      </c>
      <c r="AX394" s="59" t="s">
        <v>68</v>
      </c>
      <c r="AY394" s="60">
        <f t="shared" si="35"/>
        <v>40.379799999999996</v>
      </c>
      <c r="AZ394" s="60">
        <f t="shared" si="36"/>
        <v>36.381799999999998</v>
      </c>
      <c r="BA394" s="61">
        <f t="shared" si="37"/>
        <v>20.589700000000001</v>
      </c>
    </row>
    <row r="395" spans="1:53" ht="22.5" customHeight="1">
      <c r="A395" s="51" t="s">
        <v>63</v>
      </c>
      <c r="B395" s="52" t="s">
        <v>64</v>
      </c>
      <c r="C395" s="53">
        <v>4016068</v>
      </c>
      <c r="D395" s="65" t="s">
        <v>583</v>
      </c>
      <c r="E395" s="65" t="s">
        <v>585</v>
      </c>
      <c r="F395" s="55">
        <v>7999</v>
      </c>
      <c r="G395" s="55">
        <v>4499</v>
      </c>
      <c r="H395" s="55">
        <v>1999</v>
      </c>
      <c r="I395" s="55">
        <v>1999</v>
      </c>
      <c r="J395" s="55">
        <v>1499</v>
      </c>
      <c r="K395" s="55">
        <v>1499</v>
      </c>
      <c r="L395" s="55">
        <v>1499</v>
      </c>
      <c r="M395" s="55">
        <v>1499</v>
      </c>
      <c r="N395" s="55">
        <v>1499</v>
      </c>
      <c r="O395" s="55">
        <v>1499</v>
      </c>
      <c r="P395" s="56">
        <v>1499</v>
      </c>
      <c r="Q395" s="56">
        <v>1499</v>
      </c>
      <c r="R395" s="55">
        <v>1499</v>
      </c>
      <c r="S395" s="55">
        <v>1499</v>
      </c>
      <c r="T395" s="55">
        <v>1499</v>
      </c>
      <c r="U395" s="55">
        <v>1499</v>
      </c>
      <c r="V395" s="55">
        <v>1499</v>
      </c>
      <c r="W395" s="55">
        <v>1499</v>
      </c>
      <c r="X395" s="55">
        <v>1499</v>
      </c>
      <c r="Y395" s="55">
        <v>1499</v>
      </c>
      <c r="Z395" s="55">
        <v>1499</v>
      </c>
      <c r="AA395" s="55">
        <v>1499</v>
      </c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7"/>
      <c r="AW395" s="58" t="s">
        <v>67</v>
      </c>
      <c r="AX395" s="59" t="s">
        <v>68</v>
      </c>
      <c r="AY395" s="60">
        <f t="shared" si="35"/>
        <v>40.379799999999996</v>
      </c>
      <c r="AZ395" s="60">
        <f t="shared" si="36"/>
        <v>36.381799999999998</v>
      </c>
      <c r="BA395" s="61">
        <f t="shared" si="37"/>
        <v>20.589700000000001</v>
      </c>
    </row>
    <row r="396" spans="1:53" ht="22.5" customHeight="1">
      <c r="A396" s="51" t="s">
        <v>63</v>
      </c>
      <c r="B396" s="52" t="s">
        <v>64</v>
      </c>
      <c r="C396" s="53">
        <v>4015888</v>
      </c>
      <c r="D396" s="65" t="s">
        <v>583</v>
      </c>
      <c r="E396" s="65" t="s">
        <v>586</v>
      </c>
      <c r="F396" s="55">
        <v>7999</v>
      </c>
      <c r="G396" s="55">
        <v>4499</v>
      </c>
      <c r="H396" s="55">
        <v>1999</v>
      </c>
      <c r="I396" s="55">
        <v>1999</v>
      </c>
      <c r="J396" s="55">
        <v>1499</v>
      </c>
      <c r="K396" s="55">
        <v>1499</v>
      </c>
      <c r="L396" s="55">
        <v>1499</v>
      </c>
      <c r="M396" s="55">
        <v>1499</v>
      </c>
      <c r="N396" s="55">
        <v>1499</v>
      </c>
      <c r="O396" s="55">
        <v>1499</v>
      </c>
      <c r="P396" s="56">
        <v>1499</v>
      </c>
      <c r="Q396" s="56">
        <v>1499</v>
      </c>
      <c r="R396" s="55">
        <v>1499</v>
      </c>
      <c r="S396" s="55">
        <v>1499</v>
      </c>
      <c r="T396" s="55">
        <v>1499</v>
      </c>
      <c r="U396" s="55">
        <v>1499</v>
      </c>
      <c r="V396" s="55">
        <v>1499</v>
      </c>
      <c r="W396" s="55">
        <v>1499</v>
      </c>
      <c r="X396" s="55">
        <v>1499</v>
      </c>
      <c r="Y396" s="55">
        <v>1499</v>
      </c>
      <c r="Z396" s="55">
        <v>1499</v>
      </c>
      <c r="AA396" s="55">
        <v>1499</v>
      </c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7"/>
      <c r="AW396" s="58" t="s">
        <v>67</v>
      </c>
      <c r="AX396" s="59" t="s">
        <v>68</v>
      </c>
      <c r="AY396" s="60">
        <f t="shared" si="35"/>
        <v>40.379799999999996</v>
      </c>
      <c r="AZ396" s="60">
        <f t="shared" si="36"/>
        <v>36.381799999999998</v>
      </c>
      <c r="BA396" s="61">
        <f t="shared" si="37"/>
        <v>20.589700000000001</v>
      </c>
    </row>
    <row r="397" spans="1:53" ht="22.5" customHeight="1">
      <c r="A397" s="51" t="s">
        <v>63</v>
      </c>
      <c r="B397" s="52" t="s">
        <v>64</v>
      </c>
      <c r="C397" s="53">
        <v>4016044</v>
      </c>
      <c r="D397" s="65" t="s">
        <v>583</v>
      </c>
      <c r="E397" s="65" t="s">
        <v>587</v>
      </c>
      <c r="F397" s="55">
        <v>7999</v>
      </c>
      <c r="G397" s="55">
        <v>4499</v>
      </c>
      <c r="H397" s="55">
        <v>1999</v>
      </c>
      <c r="I397" s="55">
        <v>1999</v>
      </c>
      <c r="J397" s="55">
        <v>1499</v>
      </c>
      <c r="K397" s="55">
        <v>1499</v>
      </c>
      <c r="L397" s="55">
        <v>1499</v>
      </c>
      <c r="M397" s="55">
        <v>1499</v>
      </c>
      <c r="N397" s="55">
        <v>1499</v>
      </c>
      <c r="O397" s="55">
        <v>1499</v>
      </c>
      <c r="P397" s="56">
        <v>1499</v>
      </c>
      <c r="Q397" s="56">
        <v>1499</v>
      </c>
      <c r="R397" s="55">
        <v>1499</v>
      </c>
      <c r="S397" s="55">
        <v>1499</v>
      </c>
      <c r="T397" s="55">
        <v>1499</v>
      </c>
      <c r="U397" s="55">
        <v>1499</v>
      </c>
      <c r="V397" s="55">
        <v>1499</v>
      </c>
      <c r="W397" s="55">
        <v>1499</v>
      </c>
      <c r="X397" s="55">
        <v>1499</v>
      </c>
      <c r="Y397" s="55">
        <v>1499</v>
      </c>
      <c r="Z397" s="55">
        <v>1499</v>
      </c>
      <c r="AA397" s="55">
        <v>1499</v>
      </c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7"/>
      <c r="AW397" s="58" t="s">
        <v>67</v>
      </c>
      <c r="AX397" s="59" t="s">
        <v>68</v>
      </c>
      <c r="AY397" s="60">
        <f t="shared" si="35"/>
        <v>40.379799999999996</v>
      </c>
      <c r="AZ397" s="60">
        <f t="shared" si="36"/>
        <v>36.381799999999998</v>
      </c>
      <c r="BA397" s="61">
        <f t="shared" si="37"/>
        <v>20.589700000000001</v>
      </c>
    </row>
    <row r="398" spans="1:53" ht="22.5" customHeight="1">
      <c r="A398" s="51" t="s">
        <v>63</v>
      </c>
      <c r="B398" s="52" t="s">
        <v>64</v>
      </c>
      <c r="C398" s="53">
        <v>4016074</v>
      </c>
      <c r="D398" s="65" t="s">
        <v>583</v>
      </c>
      <c r="E398" s="65" t="s">
        <v>588</v>
      </c>
      <c r="F398" s="55">
        <v>7999</v>
      </c>
      <c r="G398" s="55">
        <v>4499</v>
      </c>
      <c r="H398" s="55">
        <v>1999</v>
      </c>
      <c r="I398" s="55">
        <v>1999</v>
      </c>
      <c r="J398" s="55">
        <v>1499</v>
      </c>
      <c r="K398" s="55">
        <v>1499</v>
      </c>
      <c r="L398" s="55">
        <v>1499</v>
      </c>
      <c r="M398" s="55">
        <v>1499</v>
      </c>
      <c r="N398" s="55">
        <v>1499</v>
      </c>
      <c r="O398" s="55">
        <v>1499</v>
      </c>
      <c r="P398" s="56">
        <v>1499</v>
      </c>
      <c r="Q398" s="56">
        <v>1499</v>
      </c>
      <c r="R398" s="55">
        <v>1499</v>
      </c>
      <c r="S398" s="55">
        <v>1499</v>
      </c>
      <c r="T398" s="55">
        <v>1499</v>
      </c>
      <c r="U398" s="55">
        <v>1499</v>
      </c>
      <c r="V398" s="55">
        <v>1499</v>
      </c>
      <c r="W398" s="55">
        <v>1499</v>
      </c>
      <c r="X398" s="55">
        <v>1499</v>
      </c>
      <c r="Y398" s="55">
        <v>1499</v>
      </c>
      <c r="Z398" s="55">
        <v>1499</v>
      </c>
      <c r="AA398" s="55">
        <v>1499</v>
      </c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7"/>
      <c r="AW398" s="58" t="s">
        <v>67</v>
      </c>
      <c r="AX398" s="59" t="s">
        <v>68</v>
      </c>
      <c r="AY398" s="60">
        <f t="shared" si="35"/>
        <v>40.379799999999996</v>
      </c>
      <c r="AZ398" s="60">
        <f t="shared" si="36"/>
        <v>36.381799999999998</v>
      </c>
      <c r="BA398" s="61">
        <f t="shared" si="37"/>
        <v>20.589700000000001</v>
      </c>
    </row>
    <row r="399" spans="1:53" ht="22.5" customHeight="1">
      <c r="A399" s="51" t="s">
        <v>63</v>
      </c>
      <c r="B399" s="52" t="s">
        <v>64</v>
      </c>
      <c r="C399" s="53">
        <v>4016032</v>
      </c>
      <c r="D399" s="65" t="s">
        <v>589</v>
      </c>
      <c r="E399" s="65" t="s">
        <v>590</v>
      </c>
      <c r="F399" s="55">
        <v>9999</v>
      </c>
      <c r="G399" s="55">
        <v>5399</v>
      </c>
      <c r="H399" s="55">
        <v>2399</v>
      </c>
      <c r="I399" s="55">
        <v>2399</v>
      </c>
      <c r="J399" s="55">
        <v>1999</v>
      </c>
      <c r="K399" s="55">
        <v>1999</v>
      </c>
      <c r="L399" s="55">
        <v>1999</v>
      </c>
      <c r="M399" s="55">
        <v>1999</v>
      </c>
      <c r="N399" s="55">
        <v>1999</v>
      </c>
      <c r="O399" s="55">
        <v>1999</v>
      </c>
      <c r="P399" s="56">
        <v>1999</v>
      </c>
      <c r="Q399" s="56">
        <v>1999</v>
      </c>
      <c r="R399" s="55">
        <v>1999</v>
      </c>
      <c r="S399" s="55">
        <v>1999</v>
      </c>
      <c r="T399" s="55">
        <v>1999</v>
      </c>
      <c r="U399" s="55">
        <v>1999</v>
      </c>
      <c r="V399" s="55">
        <v>1999</v>
      </c>
      <c r="W399" s="55">
        <v>1999</v>
      </c>
      <c r="X399" s="55">
        <v>1999</v>
      </c>
      <c r="Y399" s="55">
        <v>1999</v>
      </c>
      <c r="Z399" s="55">
        <v>1999</v>
      </c>
      <c r="AA399" s="55">
        <v>1999</v>
      </c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7"/>
      <c r="AW399" s="58" t="s">
        <v>67</v>
      </c>
      <c r="AX399" s="59" t="s">
        <v>68</v>
      </c>
      <c r="AY399" s="60">
        <f t="shared" si="35"/>
        <v>48.459800000000001</v>
      </c>
      <c r="AZ399" s="60">
        <f t="shared" si="36"/>
        <v>43.661799999999999</v>
      </c>
      <c r="BA399" s="61">
        <f t="shared" si="37"/>
        <v>24.709700000000002</v>
      </c>
    </row>
    <row r="400" spans="1:53" ht="22.5" customHeight="1">
      <c r="A400" s="51" t="s">
        <v>63</v>
      </c>
      <c r="B400" s="52" t="s">
        <v>64</v>
      </c>
      <c r="C400" s="53">
        <v>4016065</v>
      </c>
      <c r="D400" s="65" t="s">
        <v>589</v>
      </c>
      <c r="E400" s="65" t="s">
        <v>591</v>
      </c>
      <c r="F400" s="55">
        <v>9999</v>
      </c>
      <c r="G400" s="55">
        <v>5399</v>
      </c>
      <c r="H400" s="55">
        <v>2399</v>
      </c>
      <c r="I400" s="55">
        <v>2399</v>
      </c>
      <c r="J400" s="55">
        <v>1999</v>
      </c>
      <c r="K400" s="55">
        <v>1999</v>
      </c>
      <c r="L400" s="55">
        <v>1999</v>
      </c>
      <c r="M400" s="55">
        <v>1999</v>
      </c>
      <c r="N400" s="55">
        <v>1999</v>
      </c>
      <c r="O400" s="55">
        <v>1999</v>
      </c>
      <c r="P400" s="56">
        <v>1999</v>
      </c>
      <c r="Q400" s="56">
        <v>1999</v>
      </c>
      <c r="R400" s="55">
        <v>1999</v>
      </c>
      <c r="S400" s="55">
        <v>1999</v>
      </c>
      <c r="T400" s="55">
        <v>1999</v>
      </c>
      <c r="U400" s="55">
        <v>1999</v>
      </c>
      <c r="V400" s="55">
        <v>1999</v>
      </c>
      <c r="W400" s="55">
        <v>1999</v>
      </c>
      <c r="X400" s="55">
        <v>1999</v>
      </c>
      <c r="Y400" s="55">
        <v>1999</v>
      </c>
      <c r="Z400" s="55">
        <v>1999</v>
      </c>
      <c r="AA400" s="55">
        <v>1999</v>
      </c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7"/>
      <c r="AW400" s="58" t="s">
        <v>67</v>
      </c>
      <c r="AX400" s="59" t="s">
        <v>68</v>
      </c>
      <c r="AY400" s="60">
        <f t="shared" si="35"/>
        <v>48.459800000000001</v>
      </c>
      <c r="AZ400" s="60">
        <f t="shared" si="36"/>
        <v>43.661799999999999</v>
      </c>
      <c r="BA400" s="61">
        <f t="shared" si="37"/>
        <v>24.709700000000002</v>
      </c>
    </row>
    <row r="401" spans="1:53" ht="22.5" customHeight="1">
      <c r="A401" s="51" t="s">
        <v>63</v>
      </c>
      <c r="B401" s="52" t="s">
        <v>64</v>
      </c>
      <c r="C401" s="53">
        <v>4016041</v>
      </c>
      <c r="D401" s="65" t="s">
        <v>589</v>
      </c>
      <c r="E401" s="65" t="s">
        <v>592</v>
      </c>
      <c r="F401" s="55">
        <v>9999</v>
      </c>
      <c r="G401" s="55">
        <v>5399</v>
      </c>
      <c r="H401" s="55">
        <v>2399</v>
      </c>
      <c r="I401" s="55">
        <v>2399</v>
      </c>
      <c r="J401" s="55">
        <v>1999</v>
      </c>
      <c r="K401" s="55">
        <v>1999</v>
      </c>
      <c r="L401" s="55">
        <v>1999</v>
      </c>
      <c r="M401" s="55">
        <v>1999</v>
      </c>
      <c r="N401" s="55">
        <v>1999</v>
      </c>
      <c r="O401" s="55">
        <v>1999</v>
      </c>
      <c r="P401" s="56">
        <v>1999</v>
      </c>
      <c r="Q401" s="56">
        <v>1999</v>
      </c>
      <c r="R401" s="55">
        <v>1999</v>
      </c>
      <c r="S401" s="55">
        <v>1999</v>
      </c>
      <c r="T401" s="55">
        <v>1999</v>
      </c>
      <c r="U401" s="55">
        <v>1999</v>
      </c>
      <c r="V401" s="55">
        <v>1999</v>
      </c>
      <c r="W401" s="55">
        <v>1999</v>
      </c>
      <c r="X401" s="55">
        <v>1999</v>
      </c>
      <c r="Y401" s="55">
        <v>1999</v>
      </c>
      <c r="Z401" s="55">
        <v>1999</v>
      </c>
      <c r="AA401" s="55">
        <v>1999</v>
      </c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7"/>
      <c r="AW401" s="58" t="s">
        <v>67</v>
      </c>
      <c r="AX401" s="59" t="s">
        <v>68</v>
      </c>
      <c r="AY401" s="60">
        <f t="shared" si="35"/>
        <v>48.459800000000001</v>
      </c>
      <c r="AZ401" s="60">
        <f t="shared" si="36"/>
        <v>43.661799999999999</v>
      </c>
      <c r="BA401" s="61">
        <f t="shared" si="37"/>
        <v>24.709700000000002</v>
      </c>
    </row>
    <row r="402" spans="1:53" ht="22.5" customHeight="1">
      <c r="A402" s="51" t="s">
        <v>63</v>
      </c>
      <c r="B402" s="52" t="s">
        <v>64</v>
      </c>
      <c r="C402" s="53">
        <v>4016073</v>
      </c>
      <c r="D402" s="65" t="s">
        <v>589</v>
      </c>
      <c r="E402" s="65" t="s">
        <v>593</v>
      </c>
      <c r="F402" s="55">
        <v>9999</v>
      </c>
      <c r="G402" s="55">
        <v>5399</v>
      </c>
      <c r="H402" s="55">
        <v>2399</v>
      </c>
      <c r="I402" s="55">
        <v>2399</v>
      </c>
      <c r="J402" s="55">
        <v>1999</v>
      </c>
      <c r="K402" s="55">
        <v>1999</v>
      </c>
      <c r="L402" s="55">
        <v>1999</v>
      </c>
      <c r="M402" s="55">
        <v>1999</v>
      </c>
      <c r="N402" s="55">
        <v>1999</v>
      </c>
      <c r="O402" s="55">
        <v>1999</v>
      </c>
      <c r="P402" s="56">
        <v>1999</v>
      </c>
      <c r="Q402" s="56">
        <v>1999</v>
      </c>
      <c r="R402" s="55">
        <v>1999</v>
      </c>
      <c r="S402" s="55">
        <v>1999</v>
      </c>
      <c r="T402" s="55">
        <v>1999</v>
      </c>
      <c r="U402" s="55">
        <v>1999</v>
      </c>
      <c r="V402" s="55">
        <v>1999</v>
      </c>
      <c r="W402" s="55">
        <v>1999</v>
      </c>
      <c r="X402" s="55">
        <v>1999</v>
      </c>
      <c r="Y402" s="55">
        <v>1999</v>
      </c>
      <c r="Z402" s="55">
        <v>1999</v>
      </c>
      <c r="AA402" s="55">
        <v>1999</v>
      </c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7"/>
      <c r="AW402" s="58" t="s">
        <v>67</v>
      </c>
      <c r="AX402" s="59" t="s">
        <v>68</v>
      </c>
      <c r="AY402" s="60">
        <f t="shared" si="35"/>
        <v>48.459800000000001</v>
      </c>
      <c r="AZ402" s="60">
        <f t="shared" si="36"/>
        <v>43.661799999999999</v>
      </c>
      <c r="BA402" s="61">
        <f t="shared" si="37"/>
        <v>24.709700000000002</v>
      </c>
    </row>
    <row r="403" spans="1:53" ht="22.5" customHeight="1">
      <c r="A403" s="51" t="s">
        <v>63</v>
      </c>
      <c r="B403" s="52" t="s">
        <v>64</v>
      </c>
      <c r="C403" s="53">
        <v>4016554</v>
      </c>
      <c r="D403" s="65" t="s">
        <v>594</v>
      </c>
      <c r="E403" s="65" t="s">
        <v>595</v>
      </c>
      <c r="F403" s="55">
        <v>5099</v>
      </c>
      <c r="G403" s="55">
        <v>1399</v>
      </c>
      <c r="H403" s="55">
        <v>999</v>
      </c>
      <c r="I403" s="55">
        <v>999</v>
      </c>
      <c r="J403" s="55">
        <v>799</v>
      </c>
      <c r="K403" s="55">
        <v>799</v>
      </c>
      <c r="L403" s="55">
        <v>799</v>
      </c>
      <c r="M403" s="55">
        <v>799</v>
      </c>
      <c r="N403" s="55">
        <v>799</v>
      </c>
      <c r="O403" s="55">
        <v>799</v>
      </c>
      <c r="P403" s="56">
        <v>799</v>
      </c>
      <c r="Q403" s="56">
        <v>799</v>
      </c>
      <c r="R403" s="55">
        <v>799</v>
      </c>
      <c r="S403" s="55">
        <v>799</v>
      </c>
      <c r="T403" s="55">
        <v>799</v>
      </c>
      <c r="U403" s="55">
        <v>799</v>
      </c>
      <c r="V403" s="55">
        <v>799</v>
      </c>
      <c r="W403" s="55">
        <v>799</v>
      </c>
      <c r="X403" s="55">
        <v>799</v>
      </c>
      <c r="Y403" s="55">
        <v>799</v>
      </c>
      <c r="Z403" s="55">
        <v>799</v>
      </c>
      <c r="AA403" s="55">
        <v>799</v>
      </c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7"/>
      <c r="AW403" s="58" t="s">
        <v>67</v>
      </c>
      <c r="AX403" s="59" t="s">
        <v>68</v>
      </c>
      <c r="AY403" s="60">
        <f t="shared" si="35"/>
        <v>20.1798</v>
      </c>
      <c r="AZ403" s="60">
        <f t="shared" si="36"/>
        <v>18.181800000000003</v>
      </c>
      <c r="BA403" s="61">
        <f t="shared" si="37"/>
        <v>10.2897</v>
      </c>
    </row>
    <row r="404" spans="1:53" ht="22.5" customHeight="1">
      <c r="A404" s="51" t="s">
        <v>63</v>
      </c>
      <c r="B404" s="52" t="s">
        <v>64</v>
      </c>
      <c r="C404" s="53">
        <v>4016558</v>
      </c>
      <c r="D404" s="65" t="s">
        <v>594</v>
      </c>
      <c r="E404" s="65" t="s">
        <v>596</v>
      </c>
      <c r="F404" s="55">
        <v>5099</v>
      </c>
      <c r="G404" s="55">
        <v>1399</v>
      </c>
      <c r="H404" s="55">
        <v>999</v>
      </c>
      <c r="I404" s="55">
        <v>999</v>
      </c>
      <c r="J404" s="55">
        <v>799</v>
      </c>
      <c r="K404" s="55">
        <v>799</v>
      </c>
      <c r="L404" s="55">
        <v>799</v>
      </c>
      <c r="M404" s="55">
        <v>799</v>
      </c>
      <c r="N404" s="55">
        <v>799</v>
      </c>
      <c r="O404" s="55">
        <v>799</v>
      </c>
      <c r="P404" s="56">
        <v>799</v>
      </c>
      <c r="Q404" s="56">
        <v>799</v>
      </c>
      <c r="R404" s="55">
        <v>799</v>
      </c>
      <c r="S404" s="55">
        <v>799</v>
      </c>
      <c r="T404" s="55">
        <v>799</v>
      </c>
      <c r="U404" s="55">
        <v>799</v>
      </c>
      <c r="V404" s="55">
        <v>799</v>
      </c>
      <c r="W404" s="55">
        <v>799</v>
      </c>
      <c r="X404" s="55">
        <v>799</v>
      </c>
      <c r="Y404" s="55">
        <v>799</v>
      </c>
      <c r="Z404" s="55">
        <v>799</v>
      </c>
      <c r="AA404" s="55">
        <v>799</v>
      </c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7"/>
      <c r="AW404" s="58" t="s">
        <v>67</v>
      </c>
      <c r="AX404" s="59" t="s">
        <v>68</v>
      </c>
      <c r="AY404" s="60">
        <f t="shared" si="35"/>
        <v>20.1798</v>
      </c>
      <c r="AZ404" s="60">
        <f t="shared" si="36"/>
        <v>18.181800000000003</v>
      </c>
      <c r="BA404" s="61">
        <f t="shared" si="37"/>
        <v>10.2897</v>
      </c>
    </row>
    <row r="405" spans="1:53" ht="22.5" customHeight="1">
      <c r="A405" s="51" t="s">
        <v>63</v>
      </c>
      <c r="B405" s="52" t="s">
        <v>64</v>
      </c>
      <c r="C405" s="53">
        <v>4016555</v>
      </c>
      <c r="D405" s="65" t="s">
        <v>594</v>
      </c>
      <c r="E405" s="65" t="s">
        <v>597</v>
      </c>
      <c r="F405" s="55">
        <v>5099</v>
      </c>
      <c r="G405" s="55">
        <v>1399</v>
      </c>
      <c r="H405" s="55">
        <v>999</v>
      </c>
      <c r="I405" s="55">
        <v>999</v>
      </c>
      <c r="J405" s="55">
        <v>799</v>
      </c>
      <c r="K405" s="55">
        <v>799</v>
      </c>
      <c r="L405" s="55">
        <v>799</v>
      </c>
      <c r="M405" s="55">
        <v>799</v>
      </c>
      <c r="N405" s="55">
        <v>799</v>
      </c>
      <c r="O405" s="55">
        <v>799</v>
      </c>
      <c r="P405" s="56">
        <v>799</v>
      </c>
      <c r="Q405" s="56">
        <v>799</v>
      </c>
      <c r="R405" s="55">
        <v>799</v>
      </c>
      <c r="S405" s="55">
        <v>799</v>
      </c>
      <c r="T405" s="55">
        <v>799</v>
      </c>
      <c r="U405" s="55">
        <v>799</v>
      </c>
      <c r="V405" s="55">
        <v>799</v>
      </c>
      <c r="W405" s="55">
        <v>799</v>
      </c>
      <c r="X405" s="55">
        <v>799</v>
      </c>
      <c r="Y405" s="55">
        <v>799</v>
      </c>
      <c r="Z405" s="55">
        <v>799</v>
      </c>
      <c r="AA405" s="55">
        <v>799</v>
      </c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7"/>
      <c r="AW405" s="58" t="s">
        <v>67</v>
      </c>
      <c r="AX405" s="59" t="s">
        <v>68</v>
      </c>
      <c r="AY405" s="60">
        <f t="shared" si="35"/>
        <v>20.1798</v>
      </c>
      <c r="AZ405" s="60">
        <f t="shared" si="36"/>
        <v>18.181800000000003</v>
      </c>
      <c r="BA405" s="61">
        <f t="shared" si="37"/>
        <v>10.2897</v>
      </c>
    </row>
    <row r="406" spans="1:53" ht="22.5" customHeight="1">
      <c r="A406" s="51" t="s">
        <v>63</v>
      </c>
      <c r="B406" s="52" t="s">
        <v>64</v>
      </c>
      <c r="C406" s="53">
        <v>4016559</v>
      </c>
      <c r="D406" s="65" t="s">
        <v>594</v>
      </c>
      <c r="E406" s="65" t="s">
        <v>598</v>
      </c>
      <c r="F406" s="55">
        <v>5099</v>
      </c>
      <c r="G406" s="55">
        <v>1399</v>
      </c>
      <c r="H406" s="55">
        <v>999</v>
      </c>
      <c r="I406" s="55">
        <v>999</v>
      </c>
      <c r="J406" s="55">
        <v>799</v>
      </c>
      <c r="K406" s="55">
        <v>799</v>
      </c>
      <c r="L406" s="55">
        <v>799</v>
      </c>
      <c r="M406" s="55">
        <v>799</v>
      </c>
      <c r="N406" s="55">
        <v>799</v>
      </c>
      <c r="O406" s="55">
        <v>799</v>
      </c>
      <c r="P406" s="56">
        <v>799</v>
      </c>
      <c r="Q406" s="56">
        <v>799</v>
      </c>
      <c r="R406" s="55">
        <v>799</v>
      </c>
      <c r="S406" s="55">
        <v>799</v>
      </c>
      <c r="T406" s="55">
        <v>799</v>
      </c>
      <c r="U406" s="55">
        <v>799</v>
      </c>
      <c r="V406" s="55">
        <v>799</v>
      </c>
      <c r="W406" s="55">
        <v>799</v>
      </c>
      <c r="X406" s="55">
        <v>799</v>
      </c>
      <c r="Y406" s="55">
        <v>799</v>
      </c>
      <c r="Z406" s="55">
        <v>799</v>
      </c>
      <c r="AA406" s="55">
        <v>799</v>
      </c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7"/>
      <c r="AW406" s="58" t="s">
        <v>67</v>
      </c>
      <c r="AX406" s="59" t="s">
        <v>68</v>
      </c>
      <c r="AY406" s="60">
        <f t="shared" si="35"/>
        <v>20.1798</v>
      </c>
      <c r="AZ406" s="60">
        <f t="shared" si="36"/>
        <v>18.181800000000003</v>
      </c>
      <c r="BA406" s="61">
        <f t="shared" si="37"/>
        <v>10.2897</v>
      </c>
    </row>
    <row r="407" spans="1:53" ht="22.5" customHeight="1">
      <c r="A407" s="51" t="s">
        <v>63</v>
      </c>
      <c r="B407" s="52" t="s">
        <v>64</v>
      </c>
      <c r="C407" s="53">
        <v>4016552</v>
      </c>
      <c r="D407" s="65" t="s">
        <v>594</v>
      </c>
      <c r="E407" s="65" t="s">
        <v>599</v>
      </c>
      <c r="F407" s="55">
        <v>5099</v>
      </c>
      <c r="G407" s="55">
        <v>1399</v>
      </c>
      <c r="H407" s="55">
        <v>999</v>
      </c>
      <c r="I407" s="55">
        <v>999</v>
      </c>
      <c r="J407" s="55">
        <v>799</v>
      </c>
      <c r="K407" s="55">
        <v>799</v>
      </c>
      <c r="L407" s="55">
        <v>799</v>
      </c>
      <c r="M407" s="55">
        <v>799</v>
      </c>
      <c r="N407" s="55">
        <v>799</v>
      </c>
      <c r="O407" s="55">
        <v>799</v>
      </c>
      <c r="P407" s="56">
        <v>799</v>
      </c>
      <c r="Q407" s="56">
        <v>799</v>
      </c>
      <c r="R407" s="55">
        <v>799</v>
      </c>
      <c r="S407" s="55">
        <v>799</v>
      </c>
      <c r="T407" s="55">
        <v>799</v>
      </c>
      <c r="U407" s="55">
        <v>799</v>
      </c>
      <c r="V407" s="55">
        <v>799</v>
      </c>
      <c r="W407" s="55">
        <v>799</v>
      </c>
      <c r="X407" s="55">
        <v>799</v>
      </c>
      <c r="Y407" s="55">
        <v>799</v>
      </c>
      <c r="Z407" s="55">
        <v>799</v>
      </c>
      <c r="AA407" s="55">
        <v>799</v>
      </c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7"/>
      <c r="AW407" s="58" t="s">
        <v>67</v>
      </c>
      <c r="AX407" s="59" t="s">
        <v>68</v>
      </c>
      <c r="AY407" s="60">
        <f t="shared" si="35"/>
        <v>20.1798</v>
      </c>
      <c r="AZ407" s="60">
        <f t="shared" si="36"/>
        <v>18.181800000000003</v>
      </c>
      <c r="BA407" s="61">
        <f t="shared" si="37"/>
        <v>10.2897</v>
      </c>
    </row>
    <row r="408" spans="1:53" ht="22.5" customHeight="1">
      <c r="A408" s="51" t="s">
        <v>63</v>
      </c>
      <c r="B408" s="52" t="s">
        <v>64</v>
      </c>
      <c r="C408" s="53">
        <v>4016551</v>
      </c>
      <c r="D408" s="65" t="s">
        <v>594</v>
      </c>
      <c r="E408" s="65" t="s">
        <v>600</v>
      </c>
      <c r="F408" s="55">
        <v>5099</v>
      </c>
      <c r="G408" s="55">
        <v>1399</v>
      </c>
      <c r="H408" s="55">
        <v>999</v>
      </c>
      <c r="I408" s="55">
        <v>999</v>
      </c>
      <c r="J408" s="55">
        <v>799</v>
      </c>
      <c r="K408" s="55">
        <v>799</v>
      </c>
      <c r="L408" s="55">
        <v>799</v>
      </c>
      <c r="M408" s="55">
        <v>799</v>
      </c>
      <c r="N408" s="55">
        <v>799</v>
      </c>
      <c r="O408" s="55">
        <v>799</v>
      </c>
      <c r="P408" s="56">
        <v>799</v>
      </c>
      <c r="Q408" s="56">
        <v>799</v>
      </c>
      <c r="R408" s="55">
        <v>799</v>
      </c>
      <c r="S408" s="55">
        <v>799</v>
      </c>
      <c r="T408" s="55">
        <v>799</v>
      </c>
      <c r="U408" s="55">
        <v>799</v>
      </c>
      <c r="V408" s="55">
        <v>799</v>
      </c>
      <c r="W408" s="55">
        <v>799</v>
      </c>
      <c r="X408" s="55">
        <v>799</v>
      </c>
      <c r="Y408" s="55">
        <v>799</v>
      </c>
      <c r="Z408" s="55">
        <v>799</v>
      </c>
      <c r="AA408" s="55">
        <v>799</v>
      </c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7"/>
      <c r="AW408" s="58" t="s">
        <v>67</v>
      </c>
      <c r="AX408" s="59" t="s">
        <v>68</v>
      </c>
      <c r="AY408" s="60">
        <f t="shared" si="35"/>
        <v>20.1798</v>
      </c>
      <c r="AZ408" s="60">
        <f t="shared" si="36"/>
        <v>18.181800000000003</v>
      </c>
      <c r="BA408" s="61">
        <f t="shared" si="37"/>
        <v>10.2897</v>
      </c>
    </row>
    <row r="409" spans="1:53" ht="22.5" customHeight="1">
      <c r="A409" s="51" t="s">
        <v>63</v>
      </c>
      <c r="B409" s="52" t="s">
        <v>64</v>
      </c>
      <c r="C409" s="53">
        <v>4016839</v>
      </c>
      <c r="D409" s="65" t="s">
        <v>601</v>
      </c>
      <c r="E409" s="65" t="s">
        <v>602</v>
      </c>
      <c r="F409" s="55">
        <v>6499</v>
      </c>
      <c r="G409" s="55">
        <v>3899</v>
      </c>
      <c r="H409" s="55">
        <v>4669</v>
      </c>
      <c r="I409" s="55">
        <v>4669</v>
      </c>
      <c r="J409" s="55">
        <v>4499</v>
      </c>
      <c r="K409" s="55">
        <v>4499</v>
      </c>
      <c r="L409" s="55">
        <v>4499</v>
      </c>
      <c r="M409" s="55">
        <v>4499</v>
      </c>
      <c r="N409" s="55">
        <v>4499</v>
      </c>
      <c r="O409" s="55">
        <v>4399</v>
      </c>
      <c r="P409" s="56">
        <v>4299</v>
      </c>
      <c r="Q409" s="56">
        <v>3299</v>
      </c>
      <c r="R409" s="55">
        <v>4399</v>
      </c>
      <c r="S409" s="55">
        <v>4299</v>
      </c>
      <c r="T409" s="55">
        <v>3299</v>
      </c>
      <c r="U409" s="55">
        <v>3299</v>
      </c>
      <c r="V409" s="55">
        <v>3299</v>
      </c>
      <c r="W409" s="55">
        <v>3299</v>
      </c>
      <c r="X409" s="55">
        <v>3199</v>
      </c>
      <c r="Y409" s="55">
        <v>2799</v>
      </c>
      <c r="Z409" s="55">
        <v>2799</v>
      </c>
      <c r="AA409" s="55">
        <v>2599</v>
      </c>
      <c r="AB409" s="55">
        <v>4499</v>
      </c>
      <c r="AC409" s="55">
        <v>4499</v>
      </c>
      <c r="AD409" s="55">
        <v>4499</v>
      </c>
      <c r="AE409" s="55">
        <v>4399</v>
      </c>
      <c r="AF409" s="55">
        <v>4299</v>
      </c>
      <c r="AG409" s="55">
        <v>4299</v>
      </c>
      <c r="AH409" s="55">
        <v>3299</v>
      </c>
      <c r="AI409" s="55">
        <v>3299</v>
      </c>
      <c r="AJ409" s="55">
        <v>3299</v>
      </c>
      <c r="AK409" s="55">
        <v>3299</v>
      </c>
      <c r="AL409" s="55">
        <v>2799</v>
      </c>
      <c r="AM409" s="55"/>
      <c r="AN409" s="55"/>
      <c r="AO409" s="55"/>
      <c r="AP409" s="55"/>
      <c r="AQ409" s="55"/>
      <c r="AR409" s="55"/>
      <c r="AS409" s="55"/>
      <c r="AT409" s="55"/>
      <c r="AU409" s="55"/>
      <c r="AV409" s="57"/>
      <c r="AW409" s="58" t="s">
        <v>67</v>
      </c>
      <c r="AX409" s="59" t="s">
        <v>68</v>
      </c>
      <c r="AY409" s="60">
        <f t="shared" si="35"/>
        <v>94.313800000000001</v>
      </c>
      <c r="AZ409" s="60">
        <f t="shared" si="36"/>
        <v>84.975800000000007</v>
      </c>
      <c r="BA409" s="61">
        <f t="shared" si="37"/>
        <v>48.090699999999998</v>
      </c>
    </row>
    <row r="410" spans="1:53" ht="22.5" customHeight="1">
      <c r="A410" s="51" t="s">
        <v>63</v>
      </c>
      <c r="B410" s="52" t="s">
        <v>64</v>
      </c>
      <c r="C410" s="53">
        <v>4016872</v>
      </c>
      <c r="D410" s="65" t="s">
        <v>601</v>
      </c>
      <c r="E410" s="65" t="s">
        <v>603</v>
      </c>
      <c r="F410" s="55">
        <v>6499</v>
      </c>
      <c r="G410" s="55">
        <v>3899</v>
      </c>
      <c r="H410" s="55">
        <v>4669</v>
      </c>
      <c r="I410" s="55">
        <v>4669</v>
      </c>
      <c r="J410" s="55">
        <v>4499</v>
      </c>
      <c r="K410" s="55">
        <v>4499</v>
      </c>
      <c r="L410" s="55">
        <v>4499</v>
      </c>
      <c r="M410" s="55">
        <v>4499</v>
      </c>
      <c r="N410" s="55">
        <v>4499</v>
      </c>
      <c r="O410" s="55">
        <v>4399</v>
      </c>
      <c r="P410" s="56">
        <v>4299</v>
      </c>
      <c r="Q410" s="56">
        <v>3299</v>
      </c>
      <c r="R410" s="55">
        <v>4399</v>
      </c>
      <c r="S410" s="55">
        <v>4299</v>
      </c>
      <c r="T410" s="55">
        <v>3299</v>
      </c>
      <c r="U410" s="55">
        <v>3299</v>
      </c>
      <c r="V410" s="55">
        <v>3299</v>
      </c>
      <c r="W410" s="55">
        <v>3299</v>
      </c>
      <c r="X410" s="55">
        <v>3199</v>
      </c>
      <c r="Y410" s="55">
        <v>2799</v>
      </c>
      <c r="Z410" s="55">
        <v>2799</v>
      </c>
      <c r="AA410" s="55">
        <v>2599</v>
      </c>
      <c r="AB410" s="55">
        <v>4499</v>
      </c>
      <c r="AC410" s="55">
        <v>4499</v>
      </c>
      <c r="AD410" s="55">
        <v>4499</v>
      </c>
      <c r="AE410" s="55">
        <v>4399</v>
      </c>
      <c r="AF410" s="55">
        <v>4299</v>
      </c>
      <c r="AG410" s="55">
        <v>4299</v>
      </c>
      <c r="AH410" s="55">
        <v>3299</v>
      </c>
      <c r="AI410" s="55">
        <v>3299</v>
      </c>
      <c r="AJ410" s="55">
        <v>3299</v>
      </c>
      <c r="AK410" s="55">
        <v>3299</v>
      </c>
      <c r="AL410" s="55">
        <v>2799</v>
      </c>
      <c r="AM410" s="55"/>
      <c r="AN410" s="55"/>
      <c r="AO410" s="55"/>
      <c r="AP410" s="55"/>
      <c r="AQ410" s="55"/>
      <c r="AR410" s="55"/>
      <c r="AS410" s="55"/>
      <c r="AT410" s="55"/>
      <c r="AU410" s="55"/>
      <c r="AV410" s="57"/>
      <c r="AW410" s="58" t="s">
        <v>67</v>
      </c>
      <c r="AX410" s="59" t="s">
        <v>68</v>
      </c>
      <c r="AY410" s="60">
        <f t="shared" si="35"/>
        <v>94.313800000000001</v>
      </c>
      <c r="AZ410" s="60">
        <f t="shared" si="36"/>
        <v>84.975800000000007</v>
      </c>
      <c r="BA410" s="61">
        <f t="shared" si="37"/>
        <v>48.090699999999998</v>
      </c>
    </row>
    <row r="411" spans="1:53" ht="22.5" customHeight="1">
      <c r="A411" s="51" t="s">
        <v>63</v>
      </c>
      <c r="B411" s="52" t="s">
        <v>64</v>
      </c>
      <c r="C411" s="53">
        <v>4016858</v>
      </c>
      <c r="D411" s="65" t="s">
        <v>601</v>
      </c>
      <c r="E411" s="65" t="s">
        <v>604</v>
      </c>
      <c r="F411" s="55">
        <v>6499</v>
      </c>
      <c r="G411" s="55">
        <v>3899</v>
      </c>
      <c r="H411" s="55">
        <v>4669</v>
      </c>
      <c r="I411" s="55">
        <v>4669</v>
      </c>
      <c r="J411" s="55">
        <v>4499</v>
      </c>
      <c r="K411" s="55">
        <v>4499</v>
      </c>
      <c r="L411" s="55">
        <v>4499</v>
      </c>
      <c r="M411" s="55">
        <v>4499</v>
      </c>
      <c r="N411" s="55">
        <v>4499</v>
      </c>
      <c r="O411" s="55">
        <v>4399</v>
      </c>
      <c r="P411" s="56">
        <v>4299</v>
      </c>
      <c r="Q411" s="56">
        <v>3299</v>
      </c>
      <c r="R411" s="55">
        <v>4399</v>
      </c>
      <c r="S411" s="55">
        <v>4299</v>
      </c>
      <c r="T411" s="55">
        <v>3299</v>
      </c>
      <c r="U411" s="55">
        <v>3299</v>
      </c>
      <c r="V411" s="55">
        <v>3299</v>
      </c>
      <c r="W411" s="55">
        <v>3299</v>
      </c>
      <c r="X411" s="55">
        <v>3199</v>
      </c>
      <c r="Y411" s="55">
        <v>2799</v>
      </c>
      <c r="Z411" s="55">
        <v>2799</v>
      </c>
      <c r="AA411" s="55">
        <v>2599</v>
      </c>
      <c r="AB411" s="55">
        <v>4499</v>
      </c>
      <c r="AC411" s="55">
        <v>4499</v>
      </c>
      <c r="AD411" s="55">
        <v>4499</v>
      </c>
      <c r="AE411" s="55">
        <v>4399</v>
      </c>
      <c r="AF411" s="55">
        <v>4299</v>
      </c>
      <c r="AG411" s="55">
        <v>4299</v>
      </c>
      <c r="AH411" s="55">
        <v>3299</v>
      </c>
      <c r="AI411" s="55">
        <v>3299</v>
      </c>
      <c r="AJ411" s="55">
        <v>3299</v>
      </c>
      <c r="AK411" s="55">
        <v>3299</v>
      </c>
      <c r="AL411" s="55">
        <v>2799</v>
      </c>
      <c r="AM411" s="55"/>
      <c r="AN411" s="55"/>
      <c r="AO411" s="55"/>
      <c r="AP411" s="55"/>
      <c r="AQ411" s="55"/>
      <c r="AR411" s="55"/>
      <c r="AS411" s="55"/>
      <c r="AT411" s="55"/>
      <c r="AU411" s="55"/>
      <c r="AV411" s="57"/>
      <c r="AW411" s="58" t="s">
        <v>67</v>
      </c>
      <c r="AX411" s="59" t="s">
        <v>68</v>
      </c>
      <c r="AY411" s="60">
        <f t="shared" si="35"/>
        <v>94.313800000000001</v>
      </c>
      <c r="AZ411" s="60">
        <f t="shared" si="36"/>
        <v>84.975800000000007</v>
      </c>
      <c r="BA411" s="61">
        <f t="shared" si="37"/>
        <v>48.090699999999998</v>
      </c>
    </row>
    <row r="412" spans="1:53" ht="22.5" customHeight="1">
      <c r="A412" s="51" t="s">
        <v>63</v>
      </c>
      <c r="B412" s="52" t="s">
        <v>64</v>
      </c>
      <c r="C412" s="53">
        <v>4016863</v>
      </c>
      <c r="D412" s="65" t="s">
        <v>601</v>
      </c>
      <c r="E412" s="65" t="s">
        <v>605</v>
      </c>
      <c r="F412" s="55">
        <v>6499</v>
      </c>
      <c r="G412" s="55">
        <v>3899</v>
      </c>
      <c r="H412" s="55">
        <v>4669</v>
      </c>
      <c r="I412" s="55">
        <v>4669</v>
      </c>
      <c r="J412" s="55">
        <v>4499</v>
      </c>
      <c r="K412" s="55">
        <v>4499</v>
      </c>
      <c r="L412" s="55">
        <v>4499</v>
      </c>
      <c r="M412" s="55">
        <v>4499</v>
      </c>
      <c r="N412" s="55">
        <v>4499</v>
      </c>
      <c r="O412" s="55">
        <v>4399</v>
      </c>
      <c r="P412" s="56">
        <v>4299</v>
      </c>
      <c r="Q412" s="56">
        <v>3299</v>
      </c>
      <c r="R412" s="55">
        <v>4399</v>
      </c>
      <c r="S412" s="55">
        <v>4299</v>
      </c>
      <c r="T412" s="55">
        <v>3299</v>
      </c>
      <c r="U412" s="55">
        <v>3299</v>
      </c>
      <c r="V412" s="55">
        <v>3299</v>
      </c>
      <c r="W412" s="55">
        <v>3299</v>
      </c>
      <c r="X412" s="55">
        <v>3199</v>
      </c>
      <c r="Y412" s="55">
        <v>2799</v>
      </c>
      <c r="Z412" s="55">
        <v>2799</v>
      </c>
      <c r="AA412" s="55">
        <v>2599</v>
      </c>
      <c r="AB412" s="55">
        <v>4499</v>
      </c>
      <c r="AC412" s="55">
        <v>4499</v>
      </c>
      <c r="AD412" s="55">
        <v>4499</v>
      </c>
      <c r="AE412" s="55">
        <v>4399</v>
      </c>
      <c r="AF412" s="55">
        <v>4299</v>
      </c>
      <c r="AG412" s="55">
        <v>4299</v>
      </c>
      <c r="AH412" s="55">
        <v>3299</v>
      </c>
      <c r="AI412" s="55">
        <v>3299</v>
      </c>
      <c r="AJ412" s="55">
        <v>3299</v>
      </c>
      <c r="AK412" s="55">
        <v>3299</v>
      </c>
      <c r="AL412" s="55">
        <v>2799</v>
      </c>
      <c r="AM412" s="55"/>
      <c r="AN412" s="55"/>
      <c r="AO412" s="55"/>
      <c r="AP412" s="55"/>
      <c r="AQ412" s="55"/>
      <c r="AR412" s="55"/>
      <c r="AS412" s="55"/>
      <c r="AT412" s="55"/>
      <c r="AU412" s="55"/>
      <c r="AV412" s="57"/>
      <c r="AW412" s="58" t="s">
        <v>67</v>
      </c>
      <c r="AX412" s="59" t="s">
        <v>68</v>
      </c>
      <c r="AY412" s="60">
        <f t="shared" si="35"/>
        <v>94.313800000000001</v>
      </c>
      <c r="AZ412" s="60">
        <f t="shared" si="36"/>
        <v>84.975800000000007</v>
      </c>
      <c r="BA412" s="61">
        <f t="shared" si="37"/>
        <v>48.090699999999998</v>
      </c>
    </row>
    <row r="413" spans="1:53" ht="22.5" customHeight="1">
      <c r="A413" s="51" t="s">
        <v>63</v>
      </c>
      <c r="B413" s="52" t="s">
        <v>64</v>
      </c>
      <c r="C413" s="53">
        <v>4016886</v>
      </c>
      <c r="D413" s="65" t="s">
        <v>601</v>
      </c>
      <c r="E413" s="65" t="s">
        <v>606</v>
      </c>
      <c r="F413" s="55">
        <v>6499</v>
      </c>
      <c r="G413" s="55">
        <v>3899</v>
      </c>
      <c r="H413" s="55">
        <v>4669</v>
      </c>
      <c r="I413" s="55">
        <v>4669</v>
      </c>
      <c r="J413" s="55">
        <v>4499</v>
      </c>
      <c r="K413" s="55">
        <v>4499</v>
      </c>
      <c r="L413" s="55">
        <v>4499</v>
      </c>
      <c r="M413" s="55">
        <v>4499</v>
      </c>
      <c r="N413" s="55">
        <v>4499</v>
      </c>
      <c r="O413" s="55">
        <v>4399</v>
      </c>
      <c r="P413" s="56">
        <v>4299</v>
      </c>
      <c r="Q413" s="56">
        <v>3299</v>
      </c>
      <c r="R413" s="55">
        <v>4399</v>
      </c>
      <c r="S413" s="55">
        <v>4299</v>
      </c>
      <c r="T413" s="55">
        <v>3299</v>
      </c>
      <c r="U413" s="55">
        <v>3299</v>
      </c>
      <c r="V413" s="55">
        <v>3299</v>
      </c>
      <c r="W413" s="55">
        <v>3299</v>
      </c>
      <c r="X413" s="55">
        <v>3199</v>
      </c>
      <c r="Y413" s="55">
        <v>2799</v>
      </c>
      <c r="Z413" s="55">
        <v>2799</v>
      </c>
      <c r="AA413" s="55">
        <v>2599</v>
      </c>
      <c r="AB413" s="55">
        <v>4499</v>
      </c>
      <c r="AC413" s="55">
        <v>4499</v>
      </c>
      <c r="AD413" s="55">
        <v>4499</v>
      </c>
      <c r="AE413" s="55">
        <v>4399</v>
      </c>
      <c r="AF413" s="55">
        <v>4299</v>
      </c>
      <c r="AG413" s="55">
        <v>4299</v>
      </c>
      <c r="AH413" s="55">
        <v>3299</v>
      </c>
      <c r="AI413" s="55">
        <v>3299</v>
      </c>
      <c r="AJ413" s="55">
        <v>3299</v>
      </c>
      <c r="AK413" s="55">
        <v>3299</v>
      </c>
      <c r="AL413" s="55">
        <v>2799</v>
      </c>
      <c r="AM413" s="55"/>
      <c r="AN413" s="55"/>
      <c r="AO413" s="55"/>
      <c r="AP413" s="55"/>
      <c r="AQ413" s="55"/>
      <c r="AR413" s="55"/>
      <c r="AS413" s="55"/>
      <c r="AT413" s="55"/>
      <c r="AU413" s="55"/>
      <c r="AV413" s="57"/>
      <c r="AW413" s="58" t="s">
        <v>67</v>
      </c>
      <c r="AX413" s="59" t="s">
        <v>68</v>
      </c>
      <c r="AY413" s="60">
        <f t="shared" si="35"/>
        <v>94.313800000000001</v>
      </c>
      <c r="AZ413" s="60">
        <f t="shared" si="36"/>
        <v>84.975800000000007</v>
      </c>
      <c r="BA413" s="61">
        <f t="shared" si="37"/>
        <v>48.090699999999998</v>
      </c>
    </row>
    <row r="414" spans="1:53" ht="22.5" customHeight="1">
      <c r="A414" s="51" t="s">
        <v>63</v>
      </c>
      <c r="B414" s="52" t="s">
        <v>64</v>
      </c>
      <c r="C414" s="53">
        <v>4016901</v>
      </c>
      <c r="D414" s="65" t="s">
        <v>601</v>
      </c>
      <c r="E414" s="65" t="s">
        <v>607</v>
      </c>
      <c r="F414" s="55">
        <v>6499</v>
      </c>
      <c r="G414" s="55">
        <v>3899</v>
      </c>
      <c r="H414" s="55">
        <v>4669</v>
      </c>
      <c r="I414" s="55">
        <v>4669</v>
      </c>
      <c r="J414" s="55">
        <v>4499</v>
      </c>
      <c r="K414" s="55">
        <v>4499</v>
      </c>
      <c r="L414" s="55">
        <v>4499</v>
      </c>
      <c r="M414" s="55">
        <v>4499</v>
      </c>
      <c r="N414" s="55">
        <v>4499</v>
      </c>
      <c r="O414" s="55">
        <v>4399</v>
      </c>
      <c r="P414" s="56">
        <v>4299</v>
      </c>
      <c r="Q414" s="56">
        <v>3299</v>
      </c>
      <c r="R414" s="55">
        <v>4399</v>
      </c>
      <c r="S414" s="55">
        <v>4299</v>
      </c>
      <c r="T414" s="55">
        <v>3299</v>
      </c>
      <c r="U414" s="55">
        <v>3299</v>
      </c>
      <c r="V414" s="55">
        <v>3299</v>
      </c>
      <c r="W414" s="55">
        <v>3299</v>
      </c>
      <c r="X414" s="55">
        <v>3199</v>
      </c>
      <c r="Y414" s="55">
        <v>2799</v>
      </c>
      <c r="Z414" s="55">
        <v>2799</v>
      </c>
      <c r="AA414" s="55">
        <v>2599</v>
      </c>
      <c r="AB414" s="55">
        <v>4499</v>
      </c>
      <c r="AC414" s="55">
        <v>4499</v>
      </c>
      <c r="AD414" s="55">
        <v>4499</v>
      </c>
      <c r="AE414" s="55">
        <v>4399</v>
      </c>
      <c r="AF414" s="55">
        <v>4299</v>
      </c>
      <c r="AG414" s="55">
        <v>4299</v>
      </c>
      <c r="AH414" s="55">
        <v>3299</v>
      </c>
      <c r="AI414" s="55">
        <v>3299</v>
      </c>
      <c r="AJ414" s="55">
        <v>3299</v>
      </c>
      <c r="AK414" s="55">
        <v>3299</v>
      </c>
      <c r="AL414" s="55">
        <v>2799</v>
      </c>
      <c r="AM414" s="55"/>
      <c r="AN414" s="55"/>
      <c r="AO414" s="55"/>
      <c r="AP414" s="55"/>
      <c r="AQ414" s="55"/>
      <c r="AR414" s="55"/>
      <c r="AS414" s="55"/>
      <c r="AT414" s="55"/>
      <c r="AU414" s="55"/>
      <c r="AV414" s="57"/>
      <c r="AW414" s="58" t="s">
        <v>67</v>
      </c>
      <c r="AX414" s="59" t="s">
        <v>68</v>
      </c>
      <c r="AY414" s="60">
        <f t="shared" si="35"/>
        <v>94.313800000000001</v>
      </c>
      <c r="AZ414" s="60">
        <f t="shared" si="36"/>
        <v>84.975800000000007</v>
      </c>
      <c r="BA414" s="61">
        <f t="shared" si="37"/>
        <v>48.090699999999998</v>
      </c>
    </row>
    <row r="415" spans="1:53" ht="22.5" customHeight="1">
      <c r="A415" s="51" t="s">
        <v>63</v>
      </c>
      <c r="B415" s="52" t="s">
        <v>64</v>
      </c>
      <c r="C415" s="53">
        <v>4016895</v>
      </c>
      <c r="D415" s="65" t="s">
        <v>601</v>
      </c>
      <c r="E415" s="65" t="s">
        <v>608</v>
      </c>
      <c r="F415" s="55">
        <v>6499</v>
      </c>
      <c r="G415" s="55">
        <v>3899</v>
      </c>
      <c r="H415" s="55">
        <v>4669</v>
      </c>
      <c r="I415" s="55">
        <v>4669</v>
      </c>
      <c r="J415" s="55">
        <v>4499</v>
      </c>
      <c r="K415" s="55">
        <v>4499</v>
      </c>
      <c r="L415" s="55">
        <v>4499</v>
      </c>
      <c r="M415" s="55">
        <v>4499</v>
      </c>
      <c r="N415" s="55">
        <v>4499</v>
      </c>
      <c r="O415" s="55">
        <v>4399</v>
      </c>
      <c r="P415" s="56">
        <v>4299</v>
      </c>
      <c r="Q415" s="56">
        <v>3299</v>
      </c>
      <c r="R415" s="55">
        <v>4399</v>
      </c>
      <c r="S415" s="55">
        <v>4299</v>
      </c>
      <c r="T415" s="55">
        <v>3299</v>
      </c>
      <c r="U415" s="55">
        <v>3299</v>
      </c>
      <c r="V415" s="55">
        <v>3299</v>
      </c>
      <c r="W415" s="55">
        <v>3299</v>
      </c>
      <c r="X415" s="55">
        <v>3199</v>
      </c>
      <c r="Y415" s="55">
        <v>2799</v>
      </c>
      <c r="Z415" s="55">
        <v>2799</v>
      </c>
      <c r="AA415" s="55">
        <v>2599</v>
      </c>
      <c r="AB415" s="55">
        <v>4499</v>
      </c>
      <c r="AC415" s="55">
        <v>4499</v>
      </c>
      <c r="AD415" s="55">
        <v>4499</v>
      </c>
      <c r="AE415" s="55">
        <v>4399</v>
      </c>
      <c r="AF415" s="55">
        <v>4299</v>
      </c>
      <c r="AG415" s="55">
        <v>4299</v>
      </c>
      <c r="AH415" s="55">
        <v>3299</v>
      </c>
      <c r="AI415" s="55">
        <v>3299</v>
      </c>
      <c r="AJ415" s="55">
        <v>3299</v>
      </c>
      <c r="AK415" s="55">
        <v>3299</v>
      </c>
      <c r="AL415" s="55">
        <v>2799</v>
      </c>
      <c r="AM415" s="55"/>
      <c r="AN415" s="55"/>
      <c r="AO415" s="55"/>
      <c r="AP415" s="55"/>
      <c r="AQ415" s="55"/>
      <c r="AR415" s="55"/>
      <c r="AS415" s="55"/>
      <c r="AT415" s="55"/>
      <c r="AU415" s="55"/>
      <c r="AV415" s="57"/>
      <c r="AW415" s="58" t="s">
        <v>67</v>
      </c>
      <c r="AX415" s="59" t="s">
        <v>68</v>
      </c>
      <c r="AY415" s="60">
        <f t="shared" si="35"/>
        <v>94.313800000000001</v>
      </c>
      <c r="AZ415" s="60">
        <f t="shared" si="36"/>
        <v>84.975800000000007</v>
      </c>
      <c r="BA415" s="61">
        <f t="shared" si="37"/>
        <v>48.090699999999998</v>
      </c>
    </row>
    <row r="416" spans="1:53" ht="22.5" customHeight="1">
      <c r="A416" s="51" t="s">
        <v>63</v>
      </c>
      <c r="B416" s="52" t="s">
        <v>64</v>
      </c>
      <c r="C416" s="53">
        <v>4016880</v>
      </c>
      <c r="D416" s="65" t="s">
        <v>601</v>
      </c>
      <c r="E416" s="65" t="s">
        <v>609</v>
      </c>
      <c r="F416" s="55">
        <v>6499</v>
      </c>
      <c r="G416" s="55">
        <v>3899</v>
      </c>
      <c r="H416" s="55">
        <v>4669</v>
      </c>
      <c r="I416" s="55">
        <v>4669</v>
      </c>
      <c r="J416" s="55">
        <v>4499</v>
      </c>
      <c r="K416" s="55">
        <v>4499</v>
      </c>
      <c r="L416" s="55">
        <v>4499</v>
      </c>
      <c r="M416" s="55">
        <v>4499</v>
      </c>
      <c r="N416" s="55">
        <v>4499</v>
      </c>
      <c r="O416" s="55">
        <v>4399</v>
      </c>
      <c r="P416" s="56">
        <v>4299</v>
      </c>
      <c r="Q416" s="56">
        <v>3299</v>
      </c>
      <c r="R416" s="55">
        <v>4399</v>
      </c>
      <c r="S416" s="55">
        <v>4299</v>
      </c>
      <c r="T416" s="55">
        <v>3299</v>
      </c>
      <c r="U416" s="55">
        <v>3299</v>
      </c>
      <c r="V416" s="55">
        <v>3299</v>
      </c>
      <c r="W416" s="55">
        <v>3299</v>
      </c>
      <c r="X416" s="55">
        <v>3199</v>
      </c>
      <c r="Y416" s="55">
        <v>2799</v>
      </c>
      <c r="Z416" s="55">
        <v>2799</v>
      </c>
      <c r="AA416" s="55">
        <v>2599</v>
      </c>
      <c r="AB416" s="55">
        <v>4499</v>
      </c>
      <c r="AC416" s="55">
        <v>4499</v>
      </c>
      <c r="AD416" s="55">
        <v>4499</v>
      </c>
      <c r="AE416" s="55">
        <v>4399</v>
      </c>
      <c r="AF416" s="55">
        <v>4299</v>
      </c>
      <c r="AG416" s="55">
        <v>4299</v>
      </c>
      <c r="AH416" s="55">
        <v>3299</v>
      </c>
      <c r="AI416" s="55">
        <v>3299</v>
      </c>
      <c r="AJ416" s="55">
        <v>3299</v>
      </c>
      <c r="AK416" s="55">
        <v>3299</v>
      </c>
      <c r="AL416" s="55">
        <v>2799</v>
      </c>
      <c r="AM416" s="55"/>
      <c r="AN416" s="55"/>
      <c r="AO416" s="55"/>
      <c r="AP416" s="55"/>
      <c r="AQ416" s="55"/>
      <c r="AR416" s="55"/>
      <c r="AS416" s="55"/>
      <c r="AT416" s="55"/>
      <c r="AU416" s="55"/>
      <c r="AV416" s="57"/>
      <c r="AW416" s="58" t="s">
        <v>67</v>
      </c>
      <c r="AX416" s="59" t="s">
        <v>68</v>
      </c>
      <c r="AY416" s="60">
        <f t="shared" si="35"/>
        <v>94.313800000000001</v>
      </c>
      <c r="AZ416" s="60">
        <f t="shared" si="36"/>
        <v>84.975800000000007</v>
      </c>
      <c r="BA416" s="61">
        <f t="shared" si="37"/>
        <v>48.090699999999998</v>
      </c>
    </row>
    <row r="417" spans="1:53" ht="22.5" customHeight="1">
      <c r="A417" s="51" t="s">
        <v>63</v>
      </c>
      <c r="B417" s="52" t="s">
        <v>64</v>
      </c>
      <c r="C417" s="53">
        <v>4016871</v>
      </c>
      <c r="D417" s="65" t="s">
        <v>610</v>
      </c>
      <c r="E417" s="65" t="s">
        <v>611</v>
      </c>
      <c r="F417" s="55">
        <v>8499</v>
      </c>
      <c r="G417" s="55">
        <v>4899</v>
      </c>
      <c r="H417" s="55">
        <v>5699</v>
      </c>
      <c r="I417" s="55">
        <v>5699</v>
      </c>
      <c r="J417" s="55">
        <v>5599</v>
      </c>
      <c r="K417" s="55">
        <v>5599</v>
      </c>
      <c r="L417" s="55">
        <v>5599</v>
      </c>
      <c r="M417" s="55">
        <v>5599</v>
      </c>
      <c r="N417" s="55">
        <v>5599</v>
      </c>
      <c r="O417" s="55">
        <v>5499</v>
      </c>
      <c r="P417" s="56">
        <v>5399</v>
      </c>
      <c r="Q417" s="56">
        <v>4799</v>
      </c>
      <c r="R417" s="55">
        <v>5499</v>
      </c>
      <c r="S417" s="55">
        <v>5399</v>
      </c>
      <c r="T417" s="55">
        <v>4799</v>
      </c>
      <c r="U417" s="55">
        <v>4799</v>
      </c>
      <c r="V417" s="55">
        <v>4799</v>
      </c>
      <c r="W417" s="55">
        <v>4799</v>
      </c>
      <c r="X417" s="55">
        <v>4699</v>
      </c>
      <c r="Y417" s="55">
        <v>3999</v>
      </c>
      <c r="Z417" s="55">
        <v>3999</v>
      </c>
      <c r="AA417" s="55">
        <v>3799</v>
      </c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7"/>
      <c r="AW417" s="58" t="s">
        <v>67</v>
      </c>
      <c r="AX417" s="59" t="s">
        <v>68</v>
      </c>
      <c r="AY417" s="60">
        <f t="shared" si="35"/>
        <v>115.1198</v>
      </c>
      <c r="AZ417" s="60">
        <f t="shared" si="36"/>
        <v>103.7218</v>
      </c>
      <c r="BA417" s="61">
        <f t="shared" si="37"/>
        <v>58.6997</v>
      </c>
    </row>
    <row r="418" spans="1:53" ht="22.5" customHeight="1">
      <c r="A418" s="51" t="s">
        <v>63</v>
      </c>
      <c r="B418" s="52" t="s">
        <v>64</v>
      </c>
      <c r="C418" s="53">
        <v>4016851</v>
      </c>
      <c r="D418" s="65" t="s">
        <v>610</v>
      </c>
      <c r="E418" s="65" t="s">
        <v>612</v>
      </c>
      <c r="F418" s="55">
        <v>8499</v>
      </c>
      <c r="G418" s="55">
        <v>4899</v>
      </c>
      <c r="H418" s="55">
        <v>5699</v>
      </c>
      <c r="I418" s="55">
        <v>5699</v>
      </c>
      <c r="J418" s="55">
        <v>5599</v>
      </c>
      <c r="K418" s="55">
        <v>5599</v>
      </c>
      <c r="L418" s="55">
        <v>5599</v>
      </c>
      <c r="M418" s="55">
        <v>5599</v>
      </c>
      <c r="N418" s="55">
        <v>5599</v>
      </c>
      <c r="O418" s="55">
        <v>5499</v>
      </c>
      <c r="P418" s="56">
        <v>5399</v>
      </c>
      <c r="Q418" s="56">
        <v>4799</v>
      </c>
      <c r="R418" s="55">
        <v>5499</v>
      </c>
      <c r="S418" s="55">
        <v>5399</v>
      </c>
      <c r="T418" s="55">
        <v>4799</v>
      </c>
      <c r="U418" s="55">
        <v>4799</v>
      </c>
      <c r="V418" s="55">
        <v>4799</v>
      </c>
      <c r="W418" s="55">
        <v>4799</v>
      </c>
      <c r="X418" s="55">
        <v>4699</v>
      </c>
      <c r="Y418" s="55">
        <v>3999</v>
      </c>
      <c r="Z418" s="55">
        <v>3999</v>
      </c>
      <c r="AA418" s="55">
        <v>3799</v>
      </c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7"/>
      <c r="AW418" s="58" t="s">
        <v>67</v>
      </c>
      <c r="AX418" s="59" t="s">
        <v>68</v>
      </c>
      <c r="AY418" s="60">
        <f t="shared" si="35"/>
        <v>115.1198</v>
      </c>
      <c r="AZ418" s="60">
        <f t="shared" si="36"/>
        <v>103.7218</v>
      </c>
      <c r="BA418" s="61">
        <f t="shared" si="37"/>
        <v>58.6997</v>
      </c>
    </row>
    <row r="419" spans="1:53" ht="22.5" customHeight="1">
      <c r="A419" s="51" t="s">
        <v>63</v>
      </c>
      <c r="B419" s="52" t="s">
        <v>64</v>
      </c>
      <c r="C419" s="53">
        <v>4016864</v>
      </c>
      <c r="D419" s="65" t="s">
        <v>610</v>
      </c>
      <c r="E419" s="65" t="s">
        <v>613</v>
      </c>
      <c r="F419" s="55">
        <v>8499</v>
      </c>
      <c r="G419" s="55">
        <v>4899</v>
      </c>
      <c r="H419" s="55">
        <v>5699</v>
      </c>
      <c r="I419" s="55">
        <v>5699</v>
      </c>
      <c r="J419" s="55">
        <v>5599</v>
      </c>
      <c r="K419" s="55">
        <v>5599</v>
      </c>
      <c r="L419" s="55">
        <v>5599</v>
      </c>
      <c r="M419" s="55">
        <v>5599</v>
      </c>
      <c r="N419" s="55">
        <v>5599</v>
      </c>
      <c r="O419" s="55">
        <v>5499</v>
      </c>
      <c r="P419" s="56">
        <v>5399</v>
      </c>
      <c r="Q419" s="56">
        <v>4799</v>
      </c>
      <c r="R419" s="55">
        <v>5499</v>
      </c>
      <c r="S419" s="55">
        <v>5399</v>
      </c>
      <c r="T419" s="55">
        <v>4799</v>
      </c>
      <c r="U419" s="55">
        <v>4799</v>
      </c>
      <c r="V419" s="55">
        <v>4799</v>
      </c>
      <c r="W419" s="55">
        <v>4799</v>
      </c>
      <c r="X419" s="55">
        <v>4699</v>
      </c>
      <c r="Y419" s="55">
        <v>3999</v>
      </c>
      <c r="Z419" s="55">
        <v>3999</v>
      </c>
      <c r="AA419" s="55">
        <v>3799</v>
      </c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  <c r="AS419" s="55"/>
      <c r="AT419" s="55"/>
      <c r="AU419" s="55"/>
      <c r="AV419" s="57"/>
      <c r="AW419" s="58" t="s">
        <v>67</v>
      </c>
      <c r="AX419" s="59" t="s">
        <v>68</v>
      </c>
      <c r="AY419" s="60">
        <f t="shared" si="35"/>
        <v>115.1198</v>
      </c>
      <c r="AZ419" s="60">
        <f t="shared" si="36"/>
        <v>103.7218</v>
      </c>
      <c r="BA419" s="61">
        <f t="shared" si="37"/>
        <v>58.6997</v>
      </c>
    </row>
    <row r="420" spans="1:53" ht="22.5" customHeight="1">
      <c r="A420" s="51" t="s">
        <v>63</v>
      </c>
      <c r="B420" s="52" t="s">
        <v>64</v>
      </c>
      <c r="C420" s="53">
        <v>4016900</v>
      </c>
      <c r="D420" s="65" t="s">
        <v>610</v>
      </c>
      <c r="E420" s="65" t="s">
        <v>614</v>
      </c>
      <c r="F420" s="55">
        <v>8499</v>
      </c>
      <c r="G420" s="55">
        <v>4899</v>
      </c>
      <c r="H420" s="55">
        <v>5699</v>
      </c>
      <c r="I420" s="55">
        <v>5699</v>
      </c>
      <c r="J420" s="55">
        <v>5599</v>
      </c>
      <c r="K420" s="55">
        <v>5599</v>
      </c>
      <c r="L420" s="55">
        <v>5599</v>
      </c>
      <c r="M420" s="55">
        <v>5599</v>
      </c>
      <c r="N420" s="55">
        <v>5599</v>
      </c>
      <c r="O420" s="55">
        <v>5499</v>
      </c>
      <c r="P420" s="56">
        <v>5399</v>
      </c>
      <c r="Q420" s="56">
        <v>4799</v>
      </c>
      <c r="R420" s="55">
        <v>5499</v>
      </c>
      <c r="S420" s="55">
        <v>5399</v>
      </c>
      <c r="T420" s="55">
        <v>4799</v>
      </c>
      <c r="U420" s="55">
        <v>4799</v>
      </c>
      <c r="V420" s="55">
        <v>4799</v>
      </c>
      <c r="W420" s="55">
        <v>4799</v>
      </c>
      <c r="X420" s="55">
        <v>4699</v>
      </c>
      <c r="Y420" s="55">
        <v>3999</v>
      </c>
      <c r="Z420" s="55">
        <v>3999</v>
      </c>
      <c r="AA420" s="55">
        <v>3799</v>
      </c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  <c r="AS420" s="55"/>
      <c r="AT420" s="55"/>
      <c r="AU420" s="55"/>
      <c r="AV420" s="57"/>
      <c r="AW420" s="58" t="s">
        <v>67</v>
      </c>
      <c r="AX420" s="59" t="s">
        <v>68</v>
      </c>
      <c r="AY420" s="60">
        <f t="shared" si="35"/>
        <v>115.1198</v>
      </c>
      <c r="AZ420" s="60">
        <f t="shared" si="36"/>
        <v>103.7218</v>
      </c>
      <c r="BA420" s="61">
        <f t="shared" si="37"/>
        <v>58.6997</v>
      </c>
    </row>
    <row r="421" spans="1:53" ht="22.5" customHeight="1">
      <c r="A421" s="51" t="s">
        <v>63</v>
      </c>
      <c r="B421" s="52" t="s">
        <v>64</v>
      </c>
      <c r="C421" s="53">
        <v>4016893</v>
      </c>
      <c r="D421" s="65" t="s">
        <v>610</v>
      </c>
      <c r="E421" s="65" t="s">
        <v>615</v>
      </c>
      <c r="F421" s="55">
        <v>8499</v>
      </c>
      <c r="G421" s="55">
        <v>4899</v>
      </c>
      <c r="H421" s="55">
        <v>5699</v>
      </c>
      <c r="I421" s="55">
        <v>5699</v>
      </c>
      <c r="J421" s="55">
        <v>5599</v>
      </c>
      <c r="K421" s="55">
        <v>5599</v>
      </c>
      <c r="L421" s="55">
        <v>5599</v>
      </c>
      <c r="M421" s="55">
        <v>5599</v>
      </c>
      <c r="N421" s="55">
        <v>5599</v>
      </c>
      <c r="O421" s="55">
        <v>5499</v>
      </c>
      <c r="P421" s="56">
        <v>5399</v>
      </c>
      <c r="Q421" s="56">
        <v>4799</v>
      </c>
      <c r="R421" s="55">
        <v>5499</v>
      </c>
      <c r="S421" s="55">
        <v>5399</v>
      </c>
      <c r="T421" s="55">
        <v>4799</v>
      </c>
      <c r="U421" s="55">
        <v>4799</v>
      </c>
      <c r="V421" s="55">
        <v>4799</v>
      </c>
      <c r="W421" s="55">
        <v>4799</v>
      </c>
      <c r="X421" s="55">
        <v>4699</v>
      </c>
      <c r="Y421" s="55">
        <v>3999</v>
      </c>
      <c r="Z421" s="55">
        <v>3999</v>
      </c>
      <c r="AA421" s="55">
        <v>3799</v>
      </c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7"/>
      <c r="AW421" s="58" t="s">
        <v>67</v>
      </c>
      <c r="AX421" s="59" t="s">
        <v>68</v>
      </c>
      <c r="AY421" s="60">
        <f t="shared" si="35"/>
        <v>115.1198</v>
      </c>
      <c r="AZ421" s="60">
        <f t="shared" si="36"/>
        <v>103.7218</v>
      </c>
      <c r="BA421" s="61">
        <f t="shared" si="37"/>
        <v>58.6997</v>
      </c>
    </row>
    <row r="422" spans="1:53" ht="22.5" customHeight="1">
      <c r="A422" s="51" t="s">
        <v>63</v>
      </c>
      <c r="B422" s="52" t="s">
        <v>64</v>
      </c>
      <c r="C422" s="53">
        <v>4016879</v>
      </c>
      <c r="D422" s="65" t="s">
        <v>610</v>
      </c>
      <c r="E422" s="65" t="s">
        <v>616</v>
      </c>
      <c r="F422" s="55">
        <v>8499</v>
      </c>
      <c r="G422" s="55">
        <v>4899</v>
      </c>
      <c r="H422" s="55">
        <v>5699</v>
      </c>
      <c r="I422" s="55">
        <v>5699</v>
      </c>
      <c r="J422" s="55">
        <v>5599</v>
      </c>
      <c r="K422" s="55">
        <v>5599</v>
      </c>
      <c r="L422" s="55">
        <v>5599</v>
      </c>
      <c r="M422" s="55">
        <v>5599</v>
      </c>
      <c r="N422" s="55">
        <v>5599</v>
      </c>
      <c r="O422" s="55">
        <v>5499</v>
      </c>
      <c r="P422" s="56">
        <v>5399</v>
      </c>
      <c r="Q422" s="56">
        <v>4799</v>
      </c>
      <c r="R422" s="55">
        <v>5499</v>
      </c>
      <c r="S422" s="55">
        <v>5399</v>
      </c>
      <c r="T422" s="55">
        <v>4799</v>
      </c>
      <c r="U422" s="55">
        <v>4799</v>
      </c>
      <c r="V422" s="55">
        <v>4799</v>
      </c>
      <c r="W422" s="55">
        <v>4799</v>
      </c>
      <c r="X422" s="55">
        <v>4699</v>
      </c>
      <c r="Y422" s="55">
        <v>3999</v>
      </c>
      <c r="Z422" s="55">
        <v>3999</v>
      </c>
      <c r="AA422" s="55">
        <v>3799</v>
      </c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7"/>
      <c r="AW422" s="58" t="s">
        <v>67</v>
      </c>
      <c r="AX422" s="59" t="s">
        <v>68</v>
      </c>
      <c r="AY422" s="60">
        <f t="shared" si="35"/>
        <v>115.1198</v>
      </c>
      <c r="AZ422" s="60">
        <f t="shared" si="36"/>
        <v>103.7218</v>
      </c>
      <c r="BA422" s="61">
        <f t="shared" si="37"/>
        <v>58.6997</v>
      </c>
    </row>
    <row r="423" spans="1:53" ht="22.5" customHeight="1">
      <c r="A423" s="51" t="s">
        <v>63</v>
      </c>
      <c r="B423" s="52" t="s">
        <v>64</v>
      </c>
      <c r="C423" s="53">
        <v>4016902</v>
      </c>
      <c r="D423" s="65" t="s">
        <v>617</v>
      </c>
      <c r="E423" s="65" t="s">
        <v>618</v>
      </c>
      <c r="F423" s="55">
        <v>9499</v>
      </c>
      <c r="G423" s="55">
        <v>5499</v>
      </c>
      <c r="H423" s="55">
        <v>6399</v>
      </c>
      <c r="I423" s="55">
        <v>6399</v>
      </c>
      <c r="J423" s="55">
        <v>6299</v>
      </c>
      <c r="K423" s="55">
        <v>6299</v>
      </c>
      <c r="L423" s="55">
        <v>6299</v>
      </c>
      <c r="M423" s="55">
        <v>6299</v>
      </c>
      <c r="N423" s="55">
        <v>6299</v>
      </c>
      <c r="O423" s="55">
        <v>6199</v>
      </c>
      <c r="P423" s="56">
        <v>6099</v>
      </c>
      <c r="Q423" s="56">
        <v>5799</v>
      </c>
      <c r="R423" s="55">
        <v>6199</v>
      </c>
      <c r="S423" s="55">
        <v>6099</v>
      </c>
      <c r="T423" s="55">
        <v>5799</v>
      </c>
      <c r="U423" s="55">
        <v>5799</v>
      </c>
      <c r="V423" s="55">
        <v>5799</v>
      </c>
      <c r="W423" s="55">
        <v>5799</v>
      </c>
      <c r="X423" s="55">
        <v>5499</v>
      </c>
      <c r="Y423" s="55">
        <v>4999</v>
      </c>
      <c r="Z423" s="55">
        <v>4999</v>
      </c>
      <c r="AA423" s="55">
        <v>4999</v>
      </c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7"/>
      <c r="AW423" s="58" t="s">
        <v>67</v>
      </c>
      <c r="AX423" s="59" t="s">
        <v>68</v>
      </c>
      <c r="AY423" s="60">
        <f t="shared" si="35"/>
        <v>129.25979999999998</v>
      </c>
      <c r="AZ423" s="60">
        <f t="shared" si="36"/>
        <v>116.46180000000001</v>
      </c>
      <c r="BA423" s="61">
        <f t="shared" si="37"/>
        <v>65.909700000000001</v>
      </c>
    </row>
    <row r="424" spans="1:53" ht="22.5" customHeight="1">
      <c r="A424" s="51" t="s">
        <v>63</v>
      </c>
      <c r="B424" s="52" t="s">
        <v>64</v>
      </c>
      <c r="C424" s="53">
        <v>4016881</v>
      </c>
      <c r="D424" s="65" t="s">
        <v>617</v>
      </c>
      <c r="E424" s="65" t="s">
        <v>619</v>
      </c>
      <c r="F424" s="55">
        <v>9499</v>
      </c>
      <c r="G424" s="55">
        <v>5499</v>
      </c>
      <c r="H424" s="55">
        <v>6399</v>
      </c>
      <c r="I424" s="55">
        <v>6399</v>
      </c>
      <c r="J424" s="55">
        <v>6299</v>
      </c>
      <c r="K424" s="55">
        <v>6299</v>
      </c>
      <c r="L424" s="55">
        <v>6299</v>
      </c>
      <c r="M424" s="55">
        <v>6299</v>
      </c>
      <c r="N424" s="55">
        <v>6299</v>
      </c>
      <c r="O424" s="55">
        <v>6199</v>
      </c>
      <c r="P424" s="56">
        <v>6099</v>
      </c>
      <c r="Q424" s="56">
        <v>5799</v>
      </c>
      <c r="R424" s="55">
        <v>6199</v>
      </c>
      <c r="S424" s="55">
        <v>6099</v>
      </c>
      <c r="T424" s="55">
        <v>5799</v>
      </c>
      <c r="U424" s="55">
        <v>5799</v>
      </c>
      <c r="V424" s="55">
        <v>5799</v>
      </c>
      <c r="W424" s="55">
        <v>5799</v>
      </c>
      <c r="X424" s="55">
        <v>5499</v>
      </c>
      <c r="Y424" s="55">
        <v>4999</v>
      </c>
      <c r="Z424" s="55">
        <v>4999</v>
      </c>
      <c r="AA424" s="55">
        <v>4999</v>
      </c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7"/>
      <c r="AW424" s="58" t="s">
        <v>67</v>
      </c>
      <c r="AX424" s="59" t="s">
        <v>68</v>
      </c>
      <c r="AY424" s="60">
        <f t="shared" si="35"/>
        <v>129.25979999999998</v>
      </c>
      <c r="AZ424" s="60">
        <f t="shared" si="36"/>
        <v>116.46180000000001</v>
      </c>
      <c r="BA424" s="61">
        <f t="shared" si="37"/>
        <v>65.909700000000001</v>
      </c>
    </row>
    <row r="425" spans="1:53" ht="22.5" customHeight="1">
      <c r="A425" s="51" t="s">
        <v>63</v>
      </c>
      <c r="B425" s="52" t="s">
        <v>64</v>
      </c>
      <c r="C425" s="53">
        <v>4016894</v>
      </c>
      <c r="D425" s="65" t="s">
        <v>617</v>
      </c>
      <c r="E425" s="65" t="s">
        <v>620</v>
      </c>
      <c r="F425" s="55">
        <v>9499</v>
      </c>
      <c r="G425" s="55">
        <v>5499</v>
      </c>
      <c r="H425" s="55">
        <v>6399</v>
      </c>
      <c r="I425" s="55">
        <v>6399</v>
      </c>
      <c r="J425" s="55">
        <v>6299</v>
      </c>
      <c r="K425" s="55">
        <v>6299</v>
      </c>
      <c r="L425" s="55">
        <v>6299</v>
      </c>
      <c r="M425" s="55">
        <v>6299</v>
      </c>
      <c r="N425" s="55">
        <v>6299</v>
      </c>
      <c r="O425" s="55">
        <v>6199</v>
      </c>
      <c r="P425" s="56">
        <v>6099</v>
      </c>
      <c r="Q425" s="56">
        <v>5799</v>
      </c>
      <c r="R425" s="55">
        <v>6199</v>
      </c>
      <c r="S425" s="55">
        <v>6099</v>
      </c>
      <c r="T425" s="55">
        <v>5799</v>
      </c>
      <c r="U425" s="55">
        <v>5799</v>
      </c>
      <c r="V425" s="55">
        <v>5799</v>
      </c>
      <c r="W425" s="55">
        <v>5799</v>
      </c>
      <c r="X425" s="55">
        <v>5499</v>
      </c>
      <c r="Y425" s="55">
        <v>4999</v>
      </c>
      <c r="Z425" s="55">
        <v>4999</v>
      </c>
      <c r="AA425" s="55">
        <v>4999</v>
      </c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7"/>
      <c r="AW425" s="58" t="s">
        <v>67</v>
      </c>
      <c r="AX425" s="59" t="s">
        <v>68</v>
      </c>
      <c r="AY425" s="60">
        <f t="shared" ref="AY425:AY492" si="39">$H425*AY$11</f>
        <v>129.25979999999998</v>
      </c>
      <c r="AZ425" s="60">
        <f t="shared" ref="AZ425:AZ492" si="40">($H425*AZ$11)</f>
        <v>116.46180000000001</v>
      </c>
      <c r="BA425" s="61">
        <f t="shared" ref="BA425:BA492" si="41">$H425*BA$11</f>
        <v>65.909700000000001</v>
      </c>
    </row>
    <row r="426" spans="1:53" ht="22.5" customHeight="1">
      <c r="A426" s="51" t="s">
        <v>63</v>
      </c>
      <c r="B426" s="52" t="s">
        <v>64</v>
      </c>
      <c r="C426" s="53">
        <v>4016875</v>
      </c>
      <c r="D426" s="65" t="s">
        <v>621</v>
      </c>
      <c r="E426" s="65" t="s">
        <v>622</v>
      </c>
      <c r="F426" s="55">
        <v>11499</v>
      </c>
      <c r="G426" s="56">
        <v>4999</v>
      </c>
      <c r="H426" s="56">
        <v>7499</v>
      </c>
      <c r="I426" s="56">
        <v>7499</v>
      </c>
      <c r="J426" s="56">
        <v>6999</v>
      </c>
      <c r="K426" s="56">
        <v>6999</v>
      </c>
      <c r="L426" s="56">
        <v>6999</v>
      </c>
      <c r="M426" s="56">
        <v>6999</v>
      </c>
      <c r="N426" s="56">
        <v>6999</v>
      </c>
      <c r="O426" s="56">
        <v>6899</v>
      </c>
      <c r="P426" s="56">
        <v>6799</v>
      </c>
      <c r="Q426" s="56">
        <v>5299</v>
      </c>
      <c r="R426" s="56">
        <v>6899</v>
      </c>
      <c r="S426" s="56">
        <v>6799</v>
      </c>
      <c r="T426" s="56">
        <v>5299</v>
      </c>
      <c r="U426" s="56">
        <v>5299</v>
      </c>
      <c r="V426" s="56">
        <v>5299</v>
      </c>
      <c r="W426" s="56">
        <v>5299</v>
      </c>
      <c r="X426" s="56">
        <v>5199</v>
      </c>
      <c r="Y426" s="56">
        <v>4499</v>
      </c>
      <c r="Z426" s="56">
        <v>4499</v>
      </c>
      <c r="AA426" s="56">
        <v>4299</v>
      </c>
      <c r="AB426" s="55">
        <v>6999</v>
      </c>
      <c r="AC426" s="55">
        <v>6999</v>
      </c>
      <c r="AD426" s="55">
        <v>6999</v>
      </c>
      <c r="AE426" s="55">
        <v>6999</v>
      </c>
      <c r="AF426" s="55">
        <v>6899</v>
      </c>
      <c r="AG426" s="55">
        <v>6799</v>
      </c>
      <c r="AH426" s="55">
        <v>5299</v>
      </c>
      <c r="AI426" s="55">
        <v>5299</v>
      </c>
      <c r="AJ426" s="55">
        <v>5299</v>
      </c>
      <c r="AK426" s="55">
        <v>5299</v>
      </c>
      <c r="AL426" s="55">
        <v>4499</v>
      </c>
      <c r="AM426" s="55"/>
      <c r="AN426" s="55"/>
      <c r="AO426" s="55"/>
      <c r="AP426" s="55"/>
      <c r="AQ426" s="55"/>
      <c r="AR426" s="55"/>
      <c r="AS426" s="55"/>
      <c r="AT426" s="55"/>
      <c r="AU426" s="55"/>
      <c r="AV426" s="57"/>
      <c r="AW426" s="58" t="s">
        <v>67</v>
      </c>
      <c r="AX426" s="59" t="s">
        <v>68</v>
      </c>
      <c r="AY426" s="62">
        <f t="shared" si="39"/>
        <v>151.47979999999998</v>
      </c>
      <c r="AZ426" s="62">
        <f t="shared" si="40"/>
        <v>136.48179999999999</v>
      </c>
      <c r="BA426" s="63">
        <f t="shared" si="41"/>
        <v>77.239699999999999</v>
      </c>
    </row>
    <row r="427" spans="1:53" ht="22.5" customHeight="1">
      <c r="A427" s="51" t="s">
        <v>63</v>
      </c>
      <c r="B427" s="52" t="s">
        <v>64</v>
      </c>
      <c r="C427" s="53">
        <v>4016859</v>
      </c>
      <c r="D427" s="65" t="s">
        <v>621</v>
      </c>
      <c r="E427" s="65" t="s">
        <v>623</v>
      </c>
      <c r="F427" s="55">
        <v>11499</v>
      </c>
      <c r="G427" s="56">
        <v>4999</v>
      </c>
      <c r="H427" s="56">
        <v>7499</v>
      </c>
      <c r="I427" s="56">
        <v>7499</v>
      </c>
      <c r="J427" s="56">
        <v>6999</v>
      </c>
      <c r="K427" s="56">
        <v>6999</v>
      </c>
      <c r="L427" s="56">
        <v>6999</v>
      </c>
      <c r="M427" s="56">
        <v>6999</v>
      </c>
      <c r="N427" s="56">
        <v>6999</v>
      </c>
      <c r="O427" s="56">
        <v>6899</v>
      </c>
      <c r="P427" s="56">
        <v>6799</v>
      </c>
      <c r="Q427" s="56">
        <v>5299</v>
      </c>
      <c r="R427" s="56">
        <v>6899</v>
      </c>
      <c r="S427" s="56">
        <v>6799</v>
      </c>
      <c r="T427" s="56">
        <v>5299</v>
      </c>
      <c r="U427" s="56">
        <v>5299</v>
      </c>
      <c r="V427" s="56">
        <v>5299</v>
      </c>
      <c r="W427" s="56">
        <v>5299</v>
      </c>
      <c r="X427" s="56">
        <v>5199</v>
      </c>
      <c r="Y427" s="56">
        <v>4499</v>
      </c>
      <c r="Z427" s="56">
        <v>4499</v>
      </c>
      <c r="AA427" s="56">
        <v>4299</v>
      </c>
      <c r="AB427" s="55">
        <v>6999</v>
      </c>
      <c r="AC427" s="55">
        <v>6999</v>
      </c>
      <c r="AD427" s="55">
        <v>6999</v>
      </c>
      <c r="AE427" s="55">
        <v>6999</v>
      </c>
      <c r="AF427" s="55">
        <v>6899</v>
      </c>
      <c r="AG427" s="55">
        <v>6799</v>
      </c>
      <c r="AH427" s="55">
        <v>5299</v>
      </c>
      <c r="AI427" s="55">
        <v>5299</v>
      </c>
      <c r="AJ427" s="55">
        <v>5299</v>
      </c>
      <c r="AK427" s="55">
        <v>5299</v>
      </c>
      <c r="AL427" s="55">
        <v>4499</v>
      </c>
      <c r="AM427" s="55"/>
      <c r="AN427" s="55"/>
      <c r="AO427" s="55"/>
      <c r="AP427" s="55"/>
      <c r="AQ427" s="55"/>
      <c r="AR427" s="55"/>
      <c r="AS427" s="55"/>
      <c r="AT427" s="55"/>
      <c r="AU427" s="55"/>
      <c r="AV427" s="57"/>
      <c r="AW427" s="58" t="s">
        <v>67</v>
      </c>
      <c r="AX427" s="59" t="s">
        <v>68</v>
      </c>
      <c r="AY427" s="62">
        <f t="shared" si="39"/>
        <v>151.47979999999998</v>
      </c>
      <c r="AZ427" s="62">
        <f t="shared" si="40"/>
        <v>136.48179999999999</v>
      </c>
      <c r="BA427" s="63">
        <f t="shared" si="41"/>
        <v>77.239699999999999</v>
      </c>
    </row>
    <row r="428" spans="1:53" ht="22.5" customHeight="1">
      <c r="A428" s="51" t="s">
        <v>63</v>
      </c>
      <c r="B428" s="52" t="s">
        <v>64</v>
      </c>
      <c r="C428" s="53">
        <v>4016852</v>
      </c>
      <c r="D428" s="65" t="s">
        <v>621</v>
      </c>
      <c r="E428" s="65" t="s">
        <v>624</v>
      </c>
      <c r="F428" s="55">
        <v>11499</v>
      </c>
      <c r="G428" s="56">
        <v>4999</v>
      </c>
      <c r="H428" s="56">
        <v>7499</v>
      </c>
      <c r="I428" s="56">
        <v>7499</v>
      </c>
      <c r="J428" s="56">
        <v>6999</v>
      </c>
      <c r="K428" s="56">
        <v>6999</v>
      </c>
      <c r="L428" s="56">
        <v>6999</v>
      </c>
      <c r="M428" s="56">
        <v>6999</v>
      </c>
      <c r="N428" s="56">
        <v>6999</v>
      </c>
      <c r="O428" s="56">
        <v>6899</v>
      </c>
      <c r="P428" s="56">
        <v>6799</v>
      </c>
      <c r="Q428" s="56">
        <v>5299</v>
      </c>
      <c r="R428" s="56">
        <v>6899</v>
      </c>
      <c r="S428" s="56">
        <v>6799</v>
      </c>
      <c r="T428" s="56">
        <v>5299</v>
      </c>
      <c r="U428" s="56">
        <v>5299</v>
      </c>
      <c r="V428" s="56">
        <v>5299</v>
      </c>
      <c r="W428" s="56">
        <v>5299</v>
      </c>
      <c r="X428" s="56">
        <v>5199</v>
      </c>
      <c r="Y428" s="56">
        <v>4499</v>
      </c>
      <c r="Z428" s="56">
        <v>4499</v>
      </c>
      <c r="AA428" s="56">
        <v>4299</v>
      </c>
      <c r="AB428" s="55">
        <v>6999</v>
      </c>
      <c r="AC428" s="55">
        <v>6999</v>
      </c>
      <c r="AD428" s="55">
        <v>6999</v>
      </c>
      <c r="AE428" s="55">
        <v>6999</v>
      </c>
      <c r="AF428" s="55">
        <v>6899</v>
      </c>
      <c r="AG428" s="55">
        <v>6799</v>
      </c>
      <c r="AH428" s="55">
        <v>5299</v>
      </c>
      <c r="AI428" s="55">
        <v>5299</v>
      </c>
      <c r="AJ428" s="55">
        <v>5299</v>
      </c>
      <c r="AK428" s="55">
        <v>5299</v>
      </c>
      <c r="AL428" s="55">
        <v>4499</v>
      </c>
      <c r="AM428" s="55"/>
      <c r="AN428" s="55"/>
      <c r="AO428" s="55"/>
      <c r="AP428" s="55"/>
      <c r="AQ428" s="55"/>
      <c r="AR428" s="55"/>
      <c r="AS428" s="55"/>
      <c r="AT428" s="55"/>
      <c r="AU428" s="55"/>
      <c r="AV428" s="57"/>
      <c r="AW428" s="58" t="s">
        <v>67</v>
      </c>
      <c r="AX428" s="59" t="s">
        <v>68</v>
      </c>
      <c r="AY428" s="62">
        <f t="shared" si="39"/>
        <v>151.47979999999998</v>
      </c>
      <c r="AZ428" s="62">
        <f t="shared" si="40"/>
        <v>136.48179999999999</v>
      </c>
      <c r="BA428" s="63">
        <f t="shared" si="41"/>
        <v>77.239699999999999</v>
      </c>
    </row>
    <row r="429" spans="1:53" ht="22.5" customHeight="1">
      <c r="A429" s="51" t="s">
        <v>63</v>
      </c>
      <c r="B429" s="52" t="s">
        <v>64</v>
      </c>
      <c r="C429" s="53">
        <v>4016905</v>
      </c>
      <c r="D429" s="65" t="s">
        <v>621</v>
      </c>
      <c r="E429" s="65" t="s">
        <v>625</v>
      </c>
      <c r="F429" s="55">
        <v>11499</v>
      </c>
      <c r="G429" s="56">
        <v>4999</v>
      </c>
      <c r="H429" s="56">
        <v>7499</v>
      </c>
      <c r="I429" s="56">
        <v>7499</v>
      </c>
      <c r="J429" s="56">
        <v>6999</v>
      </c>
      <c r="K429" s="56">
        <v>6999</v>
      </c>
      <c r="L429" s="56">
        <v>6999</v>
      </c>
      <c r="M429" s="56">
        <v>6999</v>
      </c>
      <c r="N429" s="56">
        <v>6999</v>
      </c>
      <c r="O429" s="56">
        <v>6899</v>
      </c>
      <c r="P429" s="56">
        <v>6799</v>
      </c>
      <c r="Q429" s="56">
        <v>5299</v>
      </c>
      <c r="R429" s="56">
        <v>6899</v>
      </c>
      <c r="S429" s="56">
        <v>6799</v>
      </c>
      <c r="T429" s="56">
        <v>5299</v>
      </c>
      <c r="U429" s="56">
        <v>5299</v>
      </c>
      <c r="V429" s="56">
        <v>5299</v>
      </c>
      <c r="W429" s="56">
        <v>5299</v>
      </c>
      <c r="X429" s="56">
        <v>5199</v>
      </c>
      <c r="Y429" s="56">
        <v>4499</v>
      </c>
      <c r="Z429" s="56">
        <v>4499</v>
      </c>
      <c r="AA429" s="56">
        <v>4299</v>
      </c>
      <c r="AB429" s="55">
        <v>6999</v>
      </c>
      <c r="AC429" s="55">
        <v>6999</v>
      </c>
      <c r="AD429" s="55">
        <v>6999</v>
      </c>
      <c r="AE429" s="55">
        <v>6999</v>
      </c>
      <c r="AF429" s="55">
        <v>6899</v>
      </c>
      <c r="AG429" s="55">
        <v>6799</v>
      </c>
      <c r="AH429" s="55">
        <v>5299</v>
      </c>
      <c r="AI429" s="55">
        <v>5299</v>
      </c>
      <c r="AJ429" s="55">
        <v>5299</v>
      </c>
      <c r="AK429" s="55">
        <v>5299</v>
      </c>
      <c r="AL429" s="55">
        <v>4499</v>
      </c>
      <c r="AM429" s="55"/>
      <c r="AN429" s="55"/>
      <c r="AO429" s="55"/>
      <c r="AP429" s="55"/>
      <c r="AQ429" s="55"/>
      <c r="AR429" s="55"/>
      <c r="AS429" s="55"/>
      <c r="AT429" s="55"/>
      <c r="AU429" s="55"/>
      <c r="AV429" s="57"/>
      <c r="AW429" s="58" t="s">
        <v>67</v>
      </c>
      <c r="AX429" s="59" t="s">
        <v>68</v>
      </c>
      <c r="AY429" s="62">
        <f t="shared" si="39"/>
        <v>151.47979999999998</v>
      </c>
      <c r="AZ429" s="62">
        <f t="shared" si="40"/>
        <v>136.48179999999999</v>
      </c>
      <c r="BA429" s="63">
        <f t="shared" si="41"/>
        <v>77.239699999999999</v>
      </c>
    </row>
    <row r="430" spans="1:53" ht="22.5" customHeight="1">
      <c r="A430" s="51" t="s">
        <v>63</v>
      </c>
      <c r="B430" s="52" t="s">
        <v>64</v>
      </c>
      <c r="C430" s="53">
        <v>4016890</v>
      </c>
      <c r="D430" s="65" t="s">
        <v>621</v>
      </c>
      <c r="E430" s="65" t="s">
        <v>626</v>
      </c>
      <c r="F430" s="55">
        <v>11499</v>
      </c>
      <c r="G430" s="56">
        <v>4999</v>
      </c>
      <c r="H430" s="56">
        <v>7499</v>
      </c>
      <c r="I430" s="56">
        <v>7499</v>
      </c>
      <c r="J430" s="56">
        <v>6999</v>
      </c>
      <c r="K430" s="56">
        <v>6999</v>
      </c>
      <c r="L430" s="56">
        <v>6999</v>
      </c>
      <c r="M430" s="56">
        <v>6999</v>
      </c>
      <c r="N430" s="56">
        <v>6999</v>
      </c>
      <c r="O430" s="56">
        <v>6899</v>
      </c>
      <c r="P430" s="56">
        <v>6799</v>
      </c>
      <c r="Q430" s="56">
        <v>5299</v>
      </c>
      <c r="R430" s="56">
        <v>6899</v>
      </c>
      <c r="S430" s="56">
        <v>6799</v>
      </c>
      <c r="T430" s="56">
        <v>5299</v>
      </c>
      <c r="U430" s="56">
        <v>5299</v>
      </c>
      <c r="V430" s="56">
        <v>5299</v>
      </c>
      <c r="W430" s="56">
        <v>5299</v>
      </c>
      <c r="X430" s="56">
        <v>5199</v>
      </c>
      <c r="Y430" s="56">
        <v>4499</v>
      </c>
      <c r="Z430" s="56">
        <v>4499</v>
      </c>
      <c r="AA430" s="56">
        <v>4299</v>
      </c>
      <c r="AB430" s="55">
        <v>6999</v>
      </c>
      <c r="AC430" s="55">
        <v>6999</v>
      </c>
      <c r="AD430" s="55">
        <v>6999</v>
      </c>
      <c r="AE430" s="55">
        <v>6999</v>
      </c>
      <c r="AF430" s="55">
        <v>6899</v>
      </c>
      <c r="AG430" s="55">
        <v>6799</v>
      </c>
      <c r="AH430" s="55">
        <v>5299</v>
      </c>
      <c r="AI430" s="55">
        <v>5299</v>
      </c>
      <c r="AJ430" s="55">
        <v>5299</v>
      </c>
      <c r="AK430" s="55">
        <v>5299</v>
      </c>
      <c r="AL430" s="55">
        <v>4499</v>
      </c>
      <c r="AM430" s="55"/>
      <c r="AN430" s="55"/>
      <c r="AO430" s="55"/>
      <c r="AP430" s="55"/>
      <c r="AQ430" s="55"/>
      <c r="AR430" s="55"/>
      <c r="AS430" s="55"/>
      <c r="AT430" s="55"/>
      <c r="AU430" s="55"/>
      <c r="AV430" s="57"/>
      <c r="AW430" s="58" t="s">
        <v>67</v>
      </c>
      <c r="AX430" s="59" t="s">
        <v>68</v>
      </c>
      <c r="AY430" s="62">
        <f t="shared" si="39"/>
        <v>151.47979999999998</v>
      </c>
      <c r="AZ430" s="62">
        <f t="shared" si="40"/>
        <v>136.48179999999999</v>
      </c>
      <c r="BA430" s="63">
        <f t="shared" si="41"/>
        <v>77.239699999999999</v>
      </c>
    </row>
    <row r="431" spans="1:53" ht="22.5" customHeight="1">
      <c r="A431" s="51" t="s">
        <v>63</v>
      </c>
      <c r="B431" s="52" t="s">
        <v>64</v>
      </c>
      <c r="C431" s="53">
        <v>4016883</v>
      </c>
      <c r="D431" s="65" t="s">
        <v>621</v>
      </c>
      <c r="E431" s="65" t="s">
        <v>627</v>
      </c>
      <c r="F431" s="55">
        <v>11499</v>
      </c>
      <c r="G431" s="56">
        <v>4999</v>
      </c>
      <c r="H431" s="56">
        <v>7499</v>
      </c>
      <c r="I431" s="56">
        <v>7499</v>
      </c>
      <c r="J431" s="56">
        <v>6999</v>
      </c>
      <c r="K431" s="56">
        <v>6999</v>
      </c>
      <c r="L431" s="56">
        <v>6999</v>
      </c>
      <c r="M431" s="56">
        <v>6999</v>
      </c>
      <c r="N431" s="56">
        <v>6999</v>
      </c>
      <c r="O431" s="56">
        <v>6899</v>
      </c>
      <c r="P431" s="56">
        <v>6799</v>
      </c>
      <c r="Q431" s="56">
        <v>5299</v>
      </c>
      <c r="R431" s="56">
        <v>6899</v>
      </c>
      <c r="S431" s="56">
        <v>6799</v>
      </c>
      <c r="T431" s="56">
        <v>5299</v>
      </c>
      <c r="U431" s="56">
        <v>5299</v>
      </c>
      <c r="V431" s="56">
        <v>5299</v>
      </c>
      <c r="W431" s="56">
        <v>5299</v>
      </c>
      <c r="X431" s="56">
        <v>5199</v>
      </c>
      <c r="Y431" s="56">
        <v>4499</v>
      </c>
      <c r="Z431" s="56">
        <v>4499</v>
      </c>
      <c r="AA431" s="56">
        <v>4299</v>
      </c>
      <c r="AB431" s="55">
        <v>6999</v>
      </c>
      <c r="AC431" s="55">
        <v>6999</v>
      </c>
      <c r="AD431" s="55">
        <v>6999</v>
      </c>
      <c r="AE431" s="55">
        <v>6999</v>
      </c>
      <c r="AF431" s="55">
        <v>6899</v>
      </c>
      <c r="AG431" s="55">
        <v>6799</v>
      </c>
      <c r="AH431" s="55">
        <v>5299</v>
      </c>
      <c r="AI431" s="55">
        <v>5299</v>
      </c>
      <c r="AJ431" s="55">
        <v>5299</v>
      </c>
      <c r="AK431" s="55">
        <v>5299</v>
      </c>
      <c r="AL431" s="55">
        <v>4499</v>
      </c>
      <c r="AM431" s="55"/>
      <c r="AN431" s="55"/>
      <c r="AO431" s="55"/>
      <c r="AP431" s="55"/>
      <c r="AQ431" s="55"/>
      <c r="AR431" s="55"/>
      <c r="AS431" s="55"/>
      <c r="AT431" s="55"/>
      <c r="AU431" s="55"/>
      <c r="AV431" s="57"/>
      <c r="AW431" s="58" t="s">
        <v>67</v>
      </c>
      <c r="AX431" s="59" t="s">
        <v>68</v>
      </c>
      <c r="AY431" s="62">
        <f t="shared" si="39"/>
        <v>151.47979999999998</v>
      </c>
      <c r="AZ431" s="62">
        <f t="shared" si="40"/>
        <v>136.48179999999999</v>
      </c>
      <c r="BA431" s="63">
        <f t="shared" si="41"/>
        <v>77.239699999999999</v>
      </c>
    </row>
    <row r="432" spans="1:53" ht="22.5" customHeight="1">
      <c r="A432" s="51" t="s">
        <v>63</v>
      </c>
      <c r="B432" s="52" t="s">
        <v>64</v>
      </c>
      <c r="C432" s="53">
        <v>4016853</v>
      </c>
      <c r="D432" s="65" t="s">
        <v>628</v>
      </c>
      <c r="E432" s="65" t="s">
        <v>629</v>
      </c>
      <c r="F432" s="55">
        <v>11499</v>
      </c>
      <c r="G432" s="56">
        <v>6799</v>
      </c>
      <c r="H432" s="56">
        <v>7499</v>
      </c>
      <c r="I432" s="56">
        <v>7499</v>
      </c>
      <c r="J432" s="56">
        <v>7399</v>
      </c>
      <c r="K432" s="56">
        <v>7399</v>
      </c>
      <c r="L432" s="56">
        <v>7399</v>
      </c>
      <c r="M432" s="56">
        <v>7399</v>
      </c>
      <c r="N432" s="56">
        <v>7399</v>
      </c>
      <c r="O432" s="56">
        <v>7349</v>
      </c>
      <c r="P432" s="56">
        <v>7299</v>
      </c>
      <c r="Q432" s="56">
        <v>6899</v>
      </c>
      <c r="R432" s="56">
        <v>7349</v>
      </c>
      <c r="S432" s="56">
        <v>7299</v>
      </c>
      <c r="T432" s="56">
        <v>6899</v>
      </c>
      <c r="U432" s="56">
        <v>6899</v>
      </c>
      <c r="V432" s="56">
        <v>6899</v>
      </c>
      <c r="W432" s="56">
        <v>6899</v>
      </c>
      <c r="X432" s="56">
        <v>6799</v>
      </c>
      <c r="Y432" s="56">
        <v>5799</v>
      </c>
      <c r="Z432" s="56">
        <v>5799</v>
      </c>
      <c r="AA432" s="56">
        <v>5799</v>
      </c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7"/>
      <c r="AW432" s="58" t="s">
        <v>67</v>
      </c>
      <c r="AX432" s="59" t="s">
        <v>68</v>
      </c>
      <c r="AY432" s="60">
        <f t="shared" si="39"/>
        <v>151.47979999999998</v>
      </c>
      <c r="AZ432" s="60">
        <f t="shared" si="40"/>
        <v>136.48179999999999</v>
      </c>
      <c r="BA432" s="61">
        <f t="shared" si="41"/>
        <v>77.239699999999999</v>
      </c>
    </row>
    <row r="433" spans="1:53" ht="22.5" customHeight="1">
      <c r="A433" s="51" t="s">
        <v>63</v>
      </c>
      <c r="B433" s="52" t="s">
        <v>64</v>
      </c>
      <c r="C433" s="53">
        <v>4016884</v>
      </c>
      <c r="D433" s="65" t="s">
        <v>628</v>
      </c>
      <c r="E433" s="65" t="s">
        <v>630</v>
      </c>
      <c r="F433" s="55">
        <v>11499</v>
      </c>
      <c r="G433" s="56">
        <v>6799</v>
      </c>
      <c r="H433" s="56">
        <v>7499</v>
      </c>
      <c r="I433" s="56">
        <v>7499</v>
      </c>
      <c r="J433" s="56">
        <v>7399</v>
      </c>
      <c r="K433" s="56">
        <v>7399</v>
      </c>
      <c r="L433" s="56">
        <v>7399</v>
      </c>
      <c r="M433" s="56">
        <v>7399</v>
      </c>
      <c r="N433" s="56">
        <v>7399</v>
      </c>
      <c r="O433" s="56">
        <v>7349</v>
      </c>
      <c r="P433" s="56">
        <v>7299</v>
      </c>
      <c r="Q433" s="56">
        <v>6899</v>
      </c>
      <c r="R433" s="56">
        <v>7349</v>
      </c>
      <c r="S433" s="56">
        <v>7299</v>
      </c>
      <c r="T433" s="56">
        <v>6899</v>
      </c>
      <c r="U433" s="56">
        <v>6899</v>
      </c>
      <c r="V433" s="56">
        <v>6899</v>
      </c>
      <c r="W433" s="56">
        <v>6899</v>
      </c>
      <c r="X433" s="56">
        <v>6799</v>
      </c>
      <c r="Y433" s="56">
        <v>5799</v>
      </c>
      <c r="Z433" s="56">
        <v>5799</v>
      </c>
      <c r="AA433" s="56">
        <v>5799</v>
      </c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7"/>
      <c r="AW433" s="58" t="s">
        <v>67</v>
      </c>
      <c r="AX433" s="59" t="s">
        <v>68</v>
      </c>
      <c r="AY433" s="60">
        <f t="shared" si="39"/>
        <v>151.47979999999998</v>
      </c>
      <c r="AZ433" s="60">
        <f t="shared" si="40"/>
        <v>136.48179999999999</v>
      </c>
      <c r="BA433" s="61">
        <f t="shared" si="41"/>
        <v>77.239699999999999</v>
      </c>
    </row>
    <row r="434" spans="1:53" ht="22.5" customHeight="1">
      <c r="A434" s="51" t="s">
        <v>63</v>
      </c>
      <c r="B434" s="52" t="s">
        <v>64</v>
      </c>
      <c r="C434" s="53">
        <v>4016724</v>
      </c>
      <c r="D434" s="65" t="s">
        <v>631</v>
      </c>
      <c r="E434" s="65" t="s">
        <v>632</v>
      </c>
      <c r="F434" s="55">
        <v>8499</v>
      </c>
      <c r="G434" s="55">
        <v>5399</v>
      </c>
      <c r="H434" s="55">
        <v>6499</v>
      </c>
      <c r="I434" s="55">
        <v>6499</v>
      </c>
      <c r="J434" s="55">
        <v>6399</v>
      </c>
      <c r="K434" s="55">
        <v>6399</v>
      </c>
      <c r="L434" s="55">
        <v>6399</v>
      </c>
      <c r="M434" s="55">
        <v>6399</v>
      </c>
      <c r="N434" s="55">
        <v>6399</v>
      </c>
      <c r="O434" s="55">
        <v>6299</v>
      </c>
      <c r="P434" s="56">
        <v>6199</v>
      </c>
      <c r="Q434" s="56">
        <v>5299</v>
      </c>
      <c r="R434" s="55">
        <v>6299</v>
      </c>
      <c r="S434" s="55">
        <v>6199</v>
      </c>
      <c r="T434" s="55">
        <v>5299</v>
      </c>
      <c r="U434" s="55">
        <v>5299</v>
      </c>
      <c r="V434" s="55">
        <v>5299</v>
      </c>
      <c r="W434" s="55">
        <v>5299</v>
      </c>
      <c r="X434" s="55">
        <v>5199</v>
      </c>
      <c r="Y434" s="55">
        <v>4299</v>
      </c>
      <c r="Z434" s="55">
        <v>4299</v>
      </c>
      <c r="AA434" s="55">
        <v>4299</v>
      </c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7"/>
      <c r="AW434" s="58" t="s">
        <v>67</v>
      </c>
      <c r="AX434" s="59" t="s">
        <v>68</v>
      </c>
      <c r="AY434" s="60">
        <f t="shared" si="39"/>
        <v>131.27979999999999</v>
      </c>
      <c r="AZ434" s="60">
        <f t="shared" si="40"/>
        <v>118.2818</v>
      </c>
      <c r="BA434" s="61">
        <f t="shared" si="41"/>
        <v>66.939700000000002</v>
      </c>
    </row>
    <row r="435" spans="1:53" ht="22.5" customHeight="1">
      <c r="A435" s="51" t="s">
        <v>63</v>
      </c>
      <c r="B435" s="52" t="s">
        <v>64</v>
      </c>
      <c r="C435" s="53">
        <v>4017407</v>
      </c>
      <c r="D435" s="65" t="s">
        <v>633</v>
      </c>
      <c r="E435" s="65" t="s">
        <v>634</v>
      </c>
      <c r="F435" s="55">
        <v>4499</v>
      </c>
      <c r="G435" s="55">
        <v>2299</v>
      </c>
      <c r="H435" s="55">
        <v>3299</v>
      </c>
      <c r="I435" s="55">
        <v>3299</v>
      </c>
      <c r="J435" s="55">
        <v>3199</v>
      </c>
      <c r="K435" s="55">
        <v>3199</v>
      </c>
      <c r="L435" s="55">
        <v>3199</v>
      </c>
      <c r="M435" s="55">
        <v>3199</v>
      </c>
      <c r="N435" s="55">
        <v>3199</v>
      </c>
      <c r="O435" s="55">
        <v>3099</v>
      </c>
      <c r="P435" s="56">
        <v>3049</v>
      </c>
      <c r="Q435" s="56">
        <v>1799</v>
      </c>
      <c r="R435" s="55">
        <v>3099</v>
      </c>
      <c r="S435" s="55">
        <v>3049</v>
      </c>
      <c r="T435" s="55">
        <v>1799</v>
      </c>
      <c r="U435" s="55">
        <v>1799</v>
      </c>
      <c r="V435" s="55">
        <v>1799</v>
      </c>
      <c r="W435" s="55">
        <v>1799</v>
      </c>
      <c r="X435" s="55">
        <v>1749</v>
      </c>
      <c r="Y435" s="55">
        <v>1699</v>
      </c>
      <c r="Z435" s="55">
        <v>1699</v>
      </c>
      <c r="AA435" s="55">
        <v>1499</v>
      </c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7"/>
      <c r="AW435" s="58" t="s">
        <v>67</v>
      </c>
      <c r="AX435" s="59" t="s">
        <v>68</v>
      </c>
      <c r="AY435" s="62">
        <f t="shared" si="39"/>
        <v>66.639799999999994</v>
      </c>
      <c r="AZ435" s="62">
        <f t="shared" si="40"/>
        <v>60.041800000000002</v>
      </c>
      <c r="BA435" s="63">
        <f t="shared" si="41"/>
        <v>33.979700000000001</v>
      </c>
    </row>
    <row r="436" spans="1:53" ht="22.5" customHeight="1">
      <c r="A436" s="51" t="s">
        <v>63</v>
      </c>
      <c r="B436" s="52" t="s">
        <v>64</v>
      </c>
      <c r="C436" s="53">
        <v>4017422</v>
      </c>
      <c r="D436" s="65" t="s">
        <v>633</v>
      </c>
      <c r="E436" s="65" t="s">
        <v>635</v>
      </c>
      <c r="F436" s="55">
        <v>4499</v>
      </c>
      <c r="G436" s="55">
        <v>2299</v>
      </c>
      <c r="H436" s="55">
        <v>3299</v>
      </c>
      <c r="I436" s="55">
        <v>3299</v>
      </c>
      <c r="J436" s="55">
        <v>3199</v>
      </c>
      <c r="K436" s="55">
        <v>3199</v>
      </c>
      <c r="L436" s="55">
        <v>3199</v>
      </c>
      <c r="M436" s="55">
        <v>3199</v>
      </c>
      <c r="N436" s="55">
        <v>3199</v>
      </c>
      <c r="O436" s="55">
        <v>3099</v>
      </c>
      <c r="P436" s="56">
        <v>3049</v>
      </c>
      <c r="Q436" s="56">
        <v>1799</v>
      </c>
      <c r="R436" s="55">
        <v>3099</v>
      </c>
      <c r="S436" s="55">
        <v>3049</v>
      </c>
      <c r="T436" s="55">
        <v>1799</v>
      </c>
      <c r="U436" s="55">
        <v>1799</v>
      </c>
      <c r="V436" s="55">
        <v>1799</v>
      </c>
      <c r="W436" s="55">
        <v>1799</v>
      </c>
      <c r="X436" s="55">
        <v>1749</v>
      </c>
      <c r="Y436" s="55">
        <v>1699</v>
      </c>
      <c r="Z436" s="55">
        <v>1699</v>
      </c>
      <c r="AA436" s="55">
        <v>1499</v>
      </c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7"/>
      <c r="AW436" s="58" t="s">
        <v>67</v>
      </c>
      <c r="AX436" s="59" t="s">
        <v>68</v>
      </c>
      <c r="AY436" s="62">
        <f t="shared" si="39"/>
        <v>66.639799999999994</v>
      </c>
      <c r="AZ436" s="62">
        <f t="shared" si="40"/>
        <v>60.041800000000002</v>
      </c>
      <c r="BA436" s="63">
        <f t="shared" si="41"/>
        <v>33.979700000000001</v>
      </c>
    </row>
    <row r="437" spans="1:53" ht="22.5" customHeight="1">
      <c r="A437" s="51" t="s">
        <v>63</v>
      </c>
      <c r="B437" s="52" t="s">
        <v>64</v>
      </c>
      <c r="C437" s="53">
        <v>4017391</v>
      </c>
      <c r="D437" s="65" t="s">
        <v>636</v>
      </c>
      <c r="E437" s="65" t="s">
        <v>637</v>
      </c>
      <c r="F437" s="55">
        <v>5699</v>
      </c>
      <c r="G437" s="55">
        <v>2399</v>
      </c>
      <c r="H437" s="55">
        <v>3899</v>
      </c>
      <c r="I437" s="55">
        <v>3899</v>
      </c>
      <c r="J437" s="55">
        <v>3799</v>
      </c>
      <c r="K437" s="55">
        <v>3799</v>
      </c>
      <c r="L437" s="55">
        <v>3799</v>
      </c>
      <c r="M437" s="55">
        <v>3799</v>
      </c>
      <c r="N437" s="55">
        <v>3799</v>
      </c>
      <c r="O437" s="55">
        <v>3699</v>
      </c>
      <c r="P437" s="56">
        <v>3599</v>
      </c>
      <c r="Q437" s="56">
        <v>2499</v>
      </c>
      <c r="R437" s="55">
        <v>3699</v>
      </c>
      <c r="S437" s="55">
        <v>3599</v>
      </c>
      <c r="T437" s="55">
        <v>2499</v>
      </c>
      <c r="U437" s="55">
        <v>2499</v>
      </c>
      <c r="V437" s="55">
        <v>2499</v>
      </c>
      <c r="W437" s="55">
        <v>2499</v>
      </c>
      <c r="X437" s="55">
        <v>2399</v>
      </c>
      <c r="Y437" s="55">
        <v>2199</v>
      </c>
      <c r="Z437" s="55">
        <v>2199</v>
      </c>
      <c r="AA437" s="55">
        <v>1999</v>
      </c>
      <c r="AB437" s="55">
        <v>3799</v>
      </c>
      <c r="AC437" s="55">
        <v>3799</v>
      </c>
      <c r="AD437" s="55">
        <v>3799</v>
      </c>
      <c r="AE437" s="55">
        <v>3799</v>
      </c>
      <c r="AF437" s="55">
        <v>3699</v>
      </c>
      <c r="AG437" s="55">
        <v>3599</v>
      </c>
      <c r="AH437" s="55">
        <v>2499</v>
      </c>
      <c r="AI437" s="55">
        <v>2499</v>
      </c>
      <c r="AJ437" s="55">
        <v>2499</v>
      </c>
      <c r="AK437" s="55">
        <v>2499</v>
      </c>
      <c r="AL437" s="55">
        <v>2199</v>
      </c>
      <c r="AM437" s="55"/>
      <c r="AN437" s="55"/>
      <c r="AO437" s="55"/>
      <c r="AP437" s="55"/>
      <c r="AQ437" s="55"/>
      <c r="AR437" s="55"/>
      <c r="AS437" s="55"/>
      <c r="AT437" s="55"/>
      <c r="AU437" s="55"/>
      <c r="AV437" s="57"/>
      <c r="AW437" s="58" t="s">
        <v>67</v>
      </c>
      <c r="AX437" s="59" t="s">
        <v>68</v>
      </c>
      <c r="AY437" s="62">
        <f t="shared" si="39"/>
        <v>78.759799999999998</v>
      </c>
      <c r="AZ437" s="62">
        <f t="shared" si="40"/>
        <v>70.961799999999997</v>
      </c>
      <c r="BA437" s="63">
        <f t="shared" si="41"/>
        <v>40.159700000000001</v>
      </c>
    </row>
    <row r="438" spans="1:53" ht="22.5" customHeight="1">
      <c r="A438" s="51" t="s">
        <v>63</v>
      </c>
      <c r="B438" s="52" t="s">
        <v>64</v>
      </c>
      <c r="C438" s="53">
        <v>4017406</v>
      </c>
      <c r="D438" s="65" t="s">
        <v>636</v>
      </c>
      <c r="E438" s="65" t="s">
        <v>638</v>
      </c>
      <c r="F438" s="55">
        <v>5699</v>
      </c>
      <c r="G438" s="55">
        <v>2399</v>
      </c>
      <c r="H438" s="55">
        <v>3899</v>
      </c>
      <c r="I438" s="55">
        <v>3899</v>
      </c>
      <c r="J438" s="55">
        <v>3799</v>
      </c>
      <c r="K438" s="55">
        <v>3799</v>
      </c>
      <c r="L438" s="55">
        <v>3799</v>
      </c>
      <c r="M438" s="55">
        <v>3799</v>
      </c>
      <c r="N438" s="55">
        <v>3799</v>
      </c>
      <c r="O438" s="55">
        <v>3699</v>
      </c>
      <c r="P438" s="56">
        <v>3599</v>
      </c>
      <c r="Q438" s="56">
        <v>2499</v>
      </c>
      <c r="R438" s="55">
        <v>3699</v>
      </c>
      <c r="S438" s="55">
        <v>3599</v>
      </c>
      <c r="T438" s="55">
        <v>2499</v>
      </c>
      <c r="U438" s="55">
        <v>2499</v>
      </c>
      <c r="V438" s="55">
        <v>2499</v>
      </c>
      <c r="W438" s="55">
        <v>2499</v>
      </c>
      <c r="X438" s="55">
        <v>2399</v>
      </c>
      <c r="Y438" s="55">
        <v>2199</v>
      </c>
      <c r="Z438" s="55">
        <v>2199</v>
      </c>
      <c r="AA438" s="55">
        <v>1999</v>
      </c>
      <c r="AB438" s="55">
        <v>3799</v>
      </c>
      <c r="AC438" s="55">
        <v>3799</v>
      </c>
      <c r="AD438" s="55">
        <v>3799</v>
      </c>
      <c r="AE438" s="55">
        <v>3799</v>
      </c>
      <c r="AF438" s="55">
        <v>3699</v>
      </c>
      <c r="AG438" s="55">
        <v>3599</v>
      </c>
      <c r="AH438" s="55">
        <v>2499</v>
      </c>
      <c r="AI438" s="55">
        <v>2499</v>
      </c>
      <c r="AJ438" s="55">
        <v>2499</v>
      </c>
      <c r="AK438" s="55">
        <v>2499</v>
      </c>
      <c r="AL438" s="55">
        <v>2199</v>
      </c>
      <c r="AM438" s="55"/>
      <c r="AN438" s="55"/>
      <c r="AO438" s="55"/>
      <c r="AP438" s="55"/>
      <c r="AQ438" s="55"/>
      <c r="AR438" s="55"/>
      <c r="AS438" s="55"/>
      <c r="AT438" s="55"/>
      <c r="AU438" s="55"/>
      <c r="AV438" s="57"/>
      <c r="AW438" s="58" t="s">
        <v>67</v>
      </c>
      <c r="AX438" s="59" t="s">
        <v>68</v>
      </c>
      <c r="AY438" s="62">
        <f t="shared" si="39"/>
        <v>78.759799999999998</v>
      </c>
      <c r="AZ438" s="62">
        <f t="shared" si="40"/>
        <v>70.961799999999997</v>
      </c>
      <c r="BA438" s="63">
        <f t="shared" si="41"/>
        <v>40.159700000000001</v>
      </c>
    </row>
    <row r="439" spans="1:53" ht="22.5" customHeight="1">
      <c r="A439" s="51" t="s">
        <v>63</v>
      </c>
      <c r="B439" s="52" t="s">
        <v>64</v>
      </c>
      <c r="C439" s="53">
        <v>4017411</v>
      </c>
      <c r="D439" s="65" t="s">
        <v>636</v>
      </c>
      <c r="E439" s="65" t="s">
        <v>639</v>
      </c>
      <c r="F439" s="55">
        <v>5699</v>
      </c>
      <c r="G439" s="55">
        <v>2399</v>
      </c>
      <c r="H439" s="55">
        <v>3899</v>
      </c>
      <c r="I439" s="55">
        <v>3899</v>
      </c>
      <c r="J439" s="55">
        <v>3799</v>
      </c>
      <c r="K439" s="55">
        <v>3799</v>
      </c>
      <c r="L439" s="55">
        <v>3799</v>
      </c>
      <c r="M439" s="55">
        <v>3799</v>
      </c>
      <c r="N439" s="55">
        <v>3799</v>
      </c>
      <c r="O439" s="55">
        <v>3699</v>
      </c>
      <c r="P439" s="56">
        <v>3599</v>
      </c>
      <c r="Q439" s="56">
        <v>2499</v>
      </c>
      <c r="R439" s="55">
        <v>3699</v>
      </c>
      <c r="S439" s="55">
        <v>3599</v>
      </c>
      <c r="T439" s="55">
        <v>2499</v>
      </c>
      <c r="U439" s="55">
        <v>2499</v>
      </c>
      <c r="V439" s="55">
        <v>2499</v>
      </c>
      <c r="W439" s="55">
        <v>2499</v>
      </c>
      <c r="X439" s="55">
        <v>2399</v>
      </c>
      <c r="Y439" s="55">
        <v>2199</v>
      </c>
      <c r="Z439" s="55">
        <v>2199</v>
      </c>
      <c r="AA439" s="55">
        <v>1999</v>
      </c>
      <c r="AB439" s="55">
        <v>3799</v>
      </c>
      <c r="AC439" s="55">
        <v>3799</v>
      </c>
      <c r="AD439" s="55">
        <v>3799</v>
      </c>
      <c r="AE439" s="55">
        <v>3799</v>
      </c>
      <c r="AF439" s="55">
        <v>3699</v>
      </c>
      <c r="AG439" s="55">
        <v>3599</v>
      </c>
      <c r="AH439" s="55">
        <v>2499</v>
      </c>
      <c r="AI439" s="55">
        <v>2499</v>
      </c>
      <c r="AJ439" s="55">
        <v>2499</v>
      </c>
      <c r="AK439" s="55">
        <v>2499</v>
      </c>
      <c r="AL439" s="55">
        <v>2199</v>
      </c>
      <c r="AM439" s="55"/>
      <c r="AN439" s="55"/>
      <c r="AO439" s="55"/>
      <c r="AP439" s="55"/>
      <c r="AQ439" s="55"/>
      <c r="AR439" s="55"/>
      <c r="AS439" s="55"/>
      <c r="AT439" s="55"/>
      <c r="AU439" s="55"/>
      <c r="AV439" s="57"/>
      <c r="AW439" s="58" t="s">
        <v>67</v>
      </c>
      <c r="AX439" s="59" t="s">
        <v>68</v>
      </c>
      <c r="AY439" s="62">
        <f t="shared" si="39"/>
        <v>78.759799999999998</v>
      </c>
      <c r="AZ439" s="62">
        <f t="shared" si="40"/>
        <v>70.961799999999997</v>
      </c>
      <c r="BA439" s="63">
        <f t="shared" si="41"/>
        <v>40.159700000000001</v>
      </c>
    </row>
    <row r="440" spans="1:53" ht="22.5" customHeight="1">
      <c r="A440" s="51" t="s">
        <v>63</v>
      </c>
      <c r="B440" s="52" t="s">
        <v>64</v>
      </c>
      <c r="C440" s="53">
        <v>4017421</v>
      </c>
      <c r="D440" s="65" t="s">
        <v>636</v>
      </c>
      <c r="E440" s="65" t="s">
        <v>640</v>
      </c>
      <c r="F440" s="55">
        <v>5699</v>
      </c>
      <c r="G440" s="55">
        <v>2399</v>
      </c>
      <c r="H440" s="55">
        <v>3899</v>
      </c>
      <c r="I440" s="55">
        <v>3899</v>
      </c>
      <c r="J440" s="55">
        <v>3799</v>
      </c>
      <c r="K440" s="55">
        <v>3799</v>
      </c>
      <c r="L440" s="55">
        <v>3799</v>
      </c>
      <c r="M440" s="55">
        <v>3799</v>
      </c>
      <c r="N440" s="55">
        <v>3799</v>
      </c>
      <c r="O440" s="55">
        <v>3699</v>
      </c>
      <c r="P440" s="56">
        <v>3599</v>
      </c>
      <c r="Q440" s="56">
        <v>2499</v>
      </c>
      <c r="R440" s="55">
        <v>3699</v>
      </c>
      <c r="S440" s="55">
        <v>3599</v>
      </c>
      <c r="T440" s="55">
        <v>2499</v>
      </c>
      <c r="U440" s="55">
        <v>2499</v>
      </c>
      <c r="V440" s="55">
        <v>2499</v>
      </c>
      <c r="W440" s="55">
        <v>2499</v>
      </c>
      <c r="X440" s="55">
        <v>2399</v>
      </c>
      <c r="Y440" s="55">
        <v>2199</v>
      </c>
      <c r="Z440" s="55">
        <v>2199</v>
      </c>
      <c r="AA440" s="55">
        <v>1999</v>
      </c>
      <c r="AB440" s="55">
        <v>3799</v>
      </c>
      <c r="AC440" s="55">
        <v>3799</v>
      </c>
      <c r="AD440" s="55">
        <v>3799</v>
      </c>
      <c r="AE440" s="55">
        <v>3799</v>
      </c>
      <c r="AF440" s="55">
        <v>3699</v>
      </c>
      <c r="AG440" s="55">
        <v>3599</v>
      </c>
      <c r="AH440" s="55">
        <v>2499</v>
      </c>
      <c r="AI440" s="55">
        <v>2499</v>
      </c>
      <c r="AJ440" s="55">
        <v>2499</v>
      </c>
      <c r="AK440" s="55">
        <v>2499</v>
      </c>
      <c r="AL440" s="55">
        <v>2199</v>
      </c>
      <c r="AM440" s="55"/>
      <c r="AN440" s="55"/>
      <c r="AO440" s="55"/>
      <c r="AP440" s="55"/>
      <c r="AQ440" s="55"/>
      <c r="AR440" s="55"/>
      <c r="AS440" s="55"/>
      <c r="AT440" s="55"/>
      <c r="AU440" s="55"/>
      <c r="AV440" s="57"/>
      <c r="AW440" s="58" t="s">
        <v>67</v>
      </c>
      <c r="AX440" s="59" t="s">
        <v>68</v>
      </c>
      <c r="AY440" s="62">
        <f t="shared" si="39"/>
        <v>78.759799999999998</v>
      </c>
      <c r="AZ440" s="62">
        <f t="shared" si="40"/>
        <v>70.961799999999997</v>
      </c>
      <c r="BA440" s="63">
        <f t="shared" si="41"/>
        <v>40.159700000000001</v>
      </c>
    </row>
    <row r="441" spans="1:53" ht="22.5" customHeight="1">
      <c r="A441" s="51" t="s">
        <v>63</v>
      </c>
      <c r="B441" s="52" t="s">
        <v>64</v>
      </c>
      <c r="C441" s="53">
        <v>4017416</v>
      </c>
      <c r="D441" s="65" t="s">
        <v>636</v>
      </c>
      <c r="E441" s="65" t="s">
        <v>641</v>
      </c>
      <c r="F441" s="55">
        <v>5699</v>
      </c>
      <c r="G441" s="55">
        <v>2399</v>
      </c>
      <c r="H441" s="55">
        <v>3899</v>
      </c>
      <c r="I441" s="55">
        <v>3899</v>
      </c>
      <c r="J441" s="55">
        <v>3799</v>
      </c>
      <c r="K441" s="55">
        <v>3799</v>
      </c>
      <c r="L441" s="55">
        <v>3799</v>
      </c>
      <c r="M441" s="55">
        <v>3799</v>
      </c>
      <c r="N441" s="55">
        <v>3799</v>
      </c>
      <c r="O441" s="55">
        <v>3699</v>
      </c>
      <c r="P441" s="56">
        <v>3599</v>
      </c>
      <c r="Q441" s="56">
        <v>2499</v>
      </c>
      <c r="R441" s="55">
        <v>3699</v>
      </c>
      <c r="S441" s="55">
        <v>3599</v>
      </c>
      <c r="T441" s="55">
        <v>2499</v>
      </c>
      <c r="U441" s="55">
        <v>2499</v>
      </c>
      <c r="V441" s="55">
        <v>2499</v>
      </c>
      <c r="W441" s="55">
        <v>2499</v>
      </c>
      <c r="X441" s="55">
        <v>2399</v>
      </c>
      <c r="Y441" s="55">
        <v>2199</v>
      </c>
      <c r="Z441" s="55">
        <v>2199</v>
      </c>
      <c r="AA441" s="55">
        <v>1999</v>
      </c>
      <c r="AB441" s="55">
        <v>3799</v>
      </c>
      <c r="AC441" s="55">
        <v>3799</v>
      </c>
      <c r="AD441" s="55">
        <v>3799</v>
      </c>
      <c r="AE441" s="55">
        <v>3799</v>
      </c>
      <c r="AF441" s="55">
        <v>3699</v>
      </c>
      <c r="AG441" s="55">
        <v>3599</v>
      </c>
      <c r="AH441" s="55">
        <v>2499</v>
      </c>
      <c r="AI441" s="55">
        <v>2499</v>
      </c>
      <c r="AJ441" s="55">
        <v>2499</v>
      </c>
      <c r="AK441" s="55">
        <v>2499</v>
      </c>
      <c r="AL441" s="55">
        <v>2199</v>
      </c>
      <c r="AM441" s="55"/>
      <c r="AN441" s="55"/>
      <c r="AO441" s="55"/>
      <c r="AP441" s="55"/>
      <c r="AQ441" s="55"/>
      <c r="AR441" s="55"/>
      <c r="AS441" s="55"/>
      <c r="AT441" s="55"/>
      <c r="AU441" s="55"/>
      <c r="AV441" s="57"/>
      <c r="AW441" s="58" t="s">
        <v>67</v>
      </c>
      <c r="AX441" s="59" t="s">
        <v>68</v>
      </c>
      <c r="AY441" s="62">
        <f t="shared" si="39"/>
        <v>78.759799999999998</v>
      </c>
      <c r="AZ441" s="62">
        <f t="shared" si="40"/>
        <v>70.961799999999997</v>
      </c>
      <c r="BA441" s="63">
        <f t="shared" si="41"/>
        <v>40.159700000000001</v>
      </c>
    </row>
    <row r="442" spans="1:53" ht="22.5" customHeight="1">
      <c r="A442" s="51" t="s">
        <v>63</v>
      </c>
      <c r="B442" s="52" t="s">
        <v>64</v>
      </c>
      <c r="C442" s="53">
        <v>4017400</v>
      </c>
      <c r="D442" s="65" t="s">
        <v>636</v>
      </c>
      <c r="E442" s="65" t="s">
        <v>642</v>
      </c>
      <c r="F442" s="55">
        <v>5699</v>
      </c>
      <c r="G442" s="55">
        <v>2399</v>
      </c>
      <c r="H442" s="55">
        <v>3899</v>
      </c>
      <c r="I442" s="55">
        <v>3899</v>
      </c>
      <c r="J442" s="55">
        <v>3799</v>
      </c>
      <c r="K442" s="55">
        <v>3799</v>
      </c>
      <c r="L442" s="55">
        <v>3799</v>
      </c>
      <c r="M442" s="55">
        <v>3799</v>
      </c>
      <c r="N442" s="55">
        <v>3799</v>
      </c>
      <c r="O442" s="55">
        <v>3699</v>
      </c>
      <c r="P442" s="56">
        <v>3599</v>
      </c>
      <c r="Q442" s="56">
        <v>2499</v>
      </c>
      <c r="R442" s="55">
        <v>3699</v>
      </c>
      <c r="S442" s="55">
        <v>3599</v>
      </c>
      <c r="T442" s="55">
        <v>2499</v>
      </c>
      <c r="U442" s="55">
        <v>2499</v>
      </c>
      <c r="V442" s="55">
        <v>2499</v>
      </c>
      <c r="W442" s="55">
        <v>2499</v>
      </c>
      <c r="X442" s="55">
        <v>2399</v>
      </c>
      <c r="Y442" s="55">
        <v>2199</v>
      </c>
      <c r="Z442" s="55">
        <v>2199</v>
      </c>
      <c r="AA442" s="55">
        <v>1999</v>
      </c>
      <c r="AB442" s="55">
        <v>3799</v>
      </c>
      <c r="AC442" s="55">
        <v>3799</v>
      </c>
      <c r="AD442" s="55">
        <v>3799</v>
      </c>
      <c r="AE442" s="55">
        <v>3799</v>
      </c>
      <c r="AF442" s="55">
        <v>3699</v>
      </c>
      <c r="AG442" s="55">
        <v>3599</v>
      </c>
      <c r="AH442" s="55">
        <v>2499</v>
      </c>
      <c r="AI442" s="55">
        <v>2499</v>
      </c>
      <c r="AJ442" s="55">
        <v>2499</v>
      </c>
      <c r="AK442" s="55">
        <v>2499</v>
      </c>
      <c r="AL442" s="55">
        <v>2199</v>
      </c>
      <c r="AM442" s="55"/>
      <c r="AN442" s="55"/>
      <c r="AO442" s="55"/>
      <c r="AP442" s="55"/>
      <c r="AQ442" s="55"/>
      <c r="AR442" s="55"/>
      <c r="AS442" s="55"/>
      <c r="AT442" s="55"/>
      <c r="AU442" s="55"/>
      <c r="AV442" s="57"/>
      <c r="AW442" s="58" t="s">
        <v>67</v>
      </c>
      <c r="AX442" s="59" t="s">
        <v>68</v>
      </c>
      <c r="AY442" s="62">
        <f t="shared" si="39"/>
        <v>78.759799999999998</v>
      </c>
      <c r="AZ442" s="62">
        <f t="shared" si="40"/>
        <v>70.961799999999997</v>
      </c>
      <c r="BA442" s="63">
        <f t="shared" si="41"/>
        <v>40.159700000000001</v>
      </c>
    </row>
    <row r="443" spans="1:53" ht="22.5" customHeight="1">
      <c r="A443" s="51" t="s">
        <v>63</v>
      </c>
      <c r="B443" s="52" t="s">
        <v>64</v>
      </c>
      <c r="C443" s="53">
        <v>4017678</v>
      </c>
      <c r="D443" s="65" t="s">
        <v>643</v>
      </c>
      <c r="E443" s="65" t="s">
        <v>644</v>
      </c>
      <c r="F443" s="55">
        <v>7499</v>
      </c>
      <c r="G443" s="55">
        <v>4699</v>
      </c>
      <c r="H443" s="55">
        <v>5499</v>
      </c>
      <c r="I443" s="55">
        <v>5499</v>
      </c>
      <c r="J443" s="55">
        <v>5199</v>
      </c>
      <c r="K443" s="55">
        <v>5199</v>
      </c>
      <c r="L443" s="55">
        <v>5199</v>
      </c>
      <c r="M443" s="55">
        <v>5199</v>
      </c>
      <c r="N443" s="55">
        <v>5199</v>
      </c>
      <c r="O443" s="55">
        <v>5099</v>
      </c>
      <c r="P443" s="56">
        <v>5049</v>
      </c>
      <c r="Q443" s="56">
        <v>4799</v>
      </c>
      <c r="R443" s="55">
        <v>5099</v>
      </c>
      <c r="S443" s="55">
        <v>5049</v>
      </c>
      <c r="T443" s="55">
        <v>4799</v>
      </c>
      <c r="U443" s="55">
        <v>4799</v>
      </c>
      <c r="V443" s="55">
        <v>4799</v>
      </c>
      <c r="W443" s="55">
        <v>4799</v>
      </c>
      <c r="X443" s="55">
        <v>4699</v>
      </c>
      <c r="Y443" s="55">
        <v>3699</v>
      </c>
      <c r="Z443" s="55">
        <v>3699</v>
      </c>
      <c r="AA443" s="55">
        <v>3499</v>
      </c>
      <c r="AB443" s="55">
        <v>5199</v>
      </c>
      <c r="AC443" s="55">
        <v>5199</v>
      </c>
      <c r="AD443" s="55">
        <v>5199</v>
      </c>
      <c r="AE443" s="55">
        <v>5199</v>
      </c>
      <c r="AF443" s="55">
        <v>5099</v>
      </c>
      <c r="AG443" s="55">
        <v>5049</v>
      </c>
      <c r="AH443" s="55">
        <v>4799</v>
      </c>
      <c r="AI443" s="55">
        <v>4799</v>
      </c>
      <c r="AJ443" s="55">
        <v>4799</v>
      </c>
      <c r="AK443" s="55">
        <v>4799</v>
      </c>
      <c r="AL443" s="55">
        <v>3699</v>
      </c>
      <c r="AM443" s="55"/>
      <c r="AN443" s="55"/>
      <c r="AO443" s="55"/>
      <c r="AP443" s="55"/>
      <c r="AQ443" s="55"/>
      <c r="AR443" s="55"/>
      <c r="AS443" s="55"/>
      <c r="AT443" s="55"/>
      <c r="AU443" s="55"/>
      <c r="AV443" s="57"/>
      <c r="AW443" s="58" t="s">
        <v>67</v>
      </c>
      <c r="AX443" s="59" t="s">
        <v>68</v>
      </c>
      <c r="AY443" s="60">
        <f t="shared" si="39"/>
        <v>111.07979999999999</v>
      </c>
      <c r="AZ443" s="60">
        <f t="shared" si="40"/>
        <v>100.0818</v>
      </c>
      <c r="BA443" s="61">
        <f t="shared" si="41"/>
        <v>56.639699999999998</v>
      </c>
    </row>
    <row r="444" spans="1:53" ht="22.5" customHeight="1">
      <c r="A444" s="51" t="s">
        <v>63</v>
      </c>
      <c r="B444" s="52" t="s">
        <v>64</v>
      </c>
      <c r="C444" s="53">
        <v>4017679</v>
      </c>
      <c r="D444" s="65" t="s">
        <v>643</v>
      </c>
      <c r="E444" s="65" t="s">
        <v>645</v>
      </c>
      <c r="F444" s="55">
        <v>7499</v>
      </c>
      <c r="G444" s="55">
        <v>4699</v>
      </c>
      <c r="H444" s="55">
        <v>5499</v>
      </c>
      <c r="I444" s="55">
        <v>5499</v>
      </c>
      <c r="J444" s="55">
        <v>5199</v>
      </c>
      <c r="K444" s="55">
        <v>5199</v>
      </c>
      <c r="L444" s="55">
        <v>5199</v>
      </c>
      <c r="M444" s="55">
        <v>5199</v>
      </c>
      <c r="N444" s="55">
        <v>5199</v>
      </c>
      <c r="O444" s="55">
        <v>5099</v>
      </c>
      <c r="P444" s="56">
        <v>5049</v>
      </c>
      <c r="Q444" s="56">
        <v>4799</v>
      </c>
      <c r="R444" s="55">
        <v>5099</v>
      </c>
      <c r="S444" s="55">
        <v>5049</v>
      </c>
      <c r="T444" s="55">
        <v>4799</v>
      </c>
      <c r="U444" s="55">
        <v>4799</v>
      </c>
      <c r="V444" s="55">
        <v>4799</v>
      </c>
      <c r="W444" s="55">
        <v>4799</v>
      </c>
      <c r="X444" s="55">
        <v>4699</v>
      </c>
      <c r="Y444" s="55">
        <v>3699</v>
      </c>
      <c r="Z444" s="55">
        <v>3699</v>
      </c>
      <c r="AA444" s="55">
        <v>3499</v>
      </c>
      <c r="AB444" s="55">
        <v>5199</v>
      </c>
      <c r="AC444" s="55">
        <v>5199</v>
      </c>
      <c r="AD444" s="55">
        <v>5199</v>
      </c>
      <c r="AE444" s="55">
        <v>5199</v>
      </c>
      <c r="AF444" s="55">
        <v>5099</v>
      </c>
      <c r="AG444" s="55">
        <v>5049</v>
      </c>
      <c r="AH444" s="55">
        <v>4799</v>
      </c>
      <c r="AI444" s="55">
        <v>4799</v>
      </c>
      <c r="AJ444" s="55">
        <v>4799</v>
      </c>
      <c r="AK444" s="55">
        <v>4799</v>
      </c>
      <c r="AL444" s="55">
        <v>3699</v>
      </c>
      <c r="AM444" s="55"/>
      <c r="AN444" s="55"/>
      <c r="AO444" s="55"/>
      <c r="AP444" s="55"/>
      <c r="AQ444" s="55"/>
      <c r="AR444" s="55"/>
      <c r="AS444" s="55"/>
      <c r="AT444" s="55"/>
      <c r="AU444" s="55"/>
      <c r="AV444" s="57"/>
      <c r="AW444" s="58" t="s">
        <v>67</v>
      </c>
      <c r="AX444" s="59" t="s">
        <v>68</v>
      </c>
      <c r="AY444" s="60">
        <f t="shared" si="39"/>
        <v>111.07979999999999</v>
      </c>
      <c r="AZ444" s="60">
        <f t="shared" si="40"/>
        <v>100.0818</v>
      </c>
      <c r="BA444" s="61">
        <f t="shared" si="41"/>
        <v>56.639699999999998</v>
      </c>
    </row>
    <row r="445" spans="1:53" ht="22.5" customHeight="1">
      <c r="A445" s="51" t="s">
        <v>63</v>
      </c>
      <c r="B445" s="52" t="s">
        <v>64</v>
      </c>
      <c r="C445" s="53">
        <v>4017750</v>
      </c>
      <c r="D445" s="65" t="s">
        <v>643</v>
      </c>
      <c r="E445" s="65" t="s">
        <v>646</v>
      </c>
      <c r="F445" s="55">
        <v>7499</v>
      </c>
      <c r="G445" s="55">
        <v>4699</v>
      </c>
      <c r="H445" s="55">
        <v>5499</v>
      </c>
      <c r="I445" s="55">
        <v>5499</v>
      </c>
      <c r="J445" s="55">
        <v>5199</v>
      </c>
      <c r="K445" s="55">
        <v>5199</v>
      </c>
      <c r="L445" s="55">
        <v>5199</v>
      </c>
      <c r="M445" s="55">
        <v>5199</v>
      </c>
      <c r="N445" s="55">
        <v>5199</v>
      </c>
      <c r="O445" s="55">
        <v>5099</v>
      </c>
      <c r="P445" s="56">
        <v>5049</v>
      </c>
      <c r="Q445" s="56">
        <v>4799</v>
      </c>
      <c r="R445" s="55">
        <v>5099</v>
      </c>
      <c r="S445" s="55">
        <v>5049</v>
      </c>
      <c r="T445" s="55">
        <v>4799</v>
      </c>
      <c r="U445" s="55">
        <v>4799</v>
      </c>
      <c r="V445" s="55">
        <v>4799</v>
      </c>
      <c r="W445" s="55">
        <v>4799</v>
      </c>
      <c r="X445" s="55">
        <v>4699</v>
      </c>
      <c r="Y445" s="55">
        <v>3699</v>
      </c>
      <c r="Z445" s="55">
        <v>3699</v>
      </c>
      <c r="AA445" s="55">
        <v>3499</v>
      </c>
      <c r="AB445" s="55">
        <v>5199</v>
      </c>
      <c r="AC445" s="55">
        <v>5199</v>
      </c>
      <c r="AD445" s="55">
        <v>5199</v>
      </c>
      <c r="AE445" s="55">
        <v>5199</v>
      </c>
      <c r="AF445" s="55">
        <v>5099</v>
      </c>
      <c r="AG445" s="55">
        <v>5049</v>
      </c>
      <c r="AH445" s="55">
        <v>4799</v>
      </c>
      <c r="AI445" s="55">
        <v>4799</v>
      </c>
      <c r="AJ445" s="55">
        <v>4799</v>
      </c>
      <c r="AK445" s="55">
        <v>4799</v>
      </c>
      <c r="AL445" s="55">
        <v>3699</v>
      </c>
      <c r="AM445" s="55"/>
      <c r="AN445" s="55"/>
      <c r="AO445" s="55"/>
      <c r="AP445" s="55"/>
      <c r="AQ445" s="55"/>
      <c r="AR445" s="55"/>
      <c r="AS445" s="55"/>
      <c r="AT445" s="55"/>
      <c r="AU445" s="55"/>
      <c r="AV445" s="57"/>
      <c r="AW445" s="58" t="s">
        <v>67</v>
      </c>
      <c r="AX445" s="59" t="s">
        <v>68</v>
      </c>
      <c r="AY445" s="60">
        <f t="shared" si="39"/>
        <v>111.07979999999999</v>
      </c>
      <c r="AZ445" s="60">
        <f t="shared" si="40"/>
        <v>100.0818</v>
      </c>
      <c r="BA445" s="61">
        <f t="shared" si="41"/>
        <v>56.639699999999998</v>
      </c>
    </row>
    <row r="446" spans="1:53" ht="22.5" customHeight="1">
      <c r="A446" s="51" t="s">
        <v>63</v>
      </c>
      <c r="B446" s="52" t="s">
        <v>64</v>
      </c>
      <c r="C446" s="53">
        <v>4017751</v>
      </c>
      <c r="D446" s="65" t="s">
        <v>643</v>
      </c>
      <c r="E446" s="65" t="s">
        <v>647</v>
      </c>
      <c r="F446" s="55">
        <v>7499</v>
      </c>
      <c r="G446" s="55">
        <v>4699</v>
      </c>
      <c r="H446" s="55">
        <v>5499</v>
      </c>
      <c r="I446" s="55">
        <v>5499</v>
      </c>
      <c r="J446" s="55">
        <v>5199</v>
      </c>
      <c r="K446" s="55">
        <v>5199</v>
      </c>
      <c r="L446" s="55">
        <v>5199</v>
      </c>
      <c r="M446" s="55">
        <v>5199</v>
      </c>
      <c r="N446" s="55">
        <v>5199</v>
      </c>
      <c r="O446" s="55">
        <v>5099</v>
      </c>
      <c r="P446" s="56">
        <v>5049</v>
      </c>
      <c r="Q446" s="56">
        <v>4799</v>
      </c>
      <c r="R446" s="55">
        <v>5099</v>
      </c>
      <c r="S446" s="55">
        <v>5049</v>
      </c>
      <c r="T446" s="55">
        <v>4799</v>
      </c>
      <c r="U446" s="55">
        <v>4799</v>
      </c>
      <c r="V446" s="55">
        <v>4799</v>
      </c>
      <c r="W446" s="55">
        <v>4799</v>
      </c>
      <c r="X446" s="55">
        <v>4699</v>
      </c>
      <c r="Y446" s="55">
        <v>3699</v>
      </c>
      <c r="Z446" s="55">
        <v>3699</v>
      </c>
      <c r="AA446" s="55">
        <v>3499</v>
      </c>
      <c r="AB446" s="55">
        <v>5199</v>
      </c>
      <c r="AC446" s="55">
        <v>5199</v>
      </c>
      <c r="AD446" s="55">
        <v>5199</v>
      </c>
      <c r="AE446" s="55">
        <v>5199</v>
      </c>
      <c r="AF446" s="55">
        <v>5099</v>
      </c>
      <c r="AG446" s="55">
        <v>5049</v>
      </c>
      <c r="AH446" s="55">
        <v>4799</v>
      </c>
      <c r="AI446" s="55">
        <v>4799</v>
      </c>
      <c r="AJ446" s="55">
        <v>4799</v>
      </c>
      <c r="AK446" s="55">
        <v>4799</v>
      </c>
      <c r="AL446" s="55">
        <v>3699</v>
      </c>
      <c r="AM446" s="55"/>
      <c r="AN446" s="55"/>
      <c r="AO446" s="55"/>
      <c r="AP446" s="55"/>
      <c r="AQ446" s="55"/>
      <c r="AR446" s="55"/>
      <c r="AS446" s="55"/>
      <c r="AT446" s="55"/>
      <c r="AU446" s="55"/>
      <c r="AV446" s="57"/>
      <c r="AW446" s="58" t="s">
        <v>67</v>
      </c>
      <c r="AX446" s="59" t="s">
        <v>68</v>
      </c>
      <c r="AY446" s="60">
        <f t="shared" si="39"/>
        <v>111.07979999999999</v>
      </c>
      <c r="AZ446" s="60">
        <f t="shared" si="40"/>
        <v>100.0818</v>
      </c>
      <c r="BA446" s="61">
        <f t="shared" si="41"/>
        <v>56.639699999999998</v>
      </c>
    </row>
    <row r="447" spans="1:53" ht="22.5" customHeight="1">
      <c r="A447" s="51" t="s">
        <v>63</v>
      </c>
      <c r="B447" s="52" t="s">
        <v>64</v>
      </c>
      <c r="C447" s="53">
        <v>4017756</v>
      </c>
      <c r="D447" s="65" t="s">
        <v>643</v>
      </c>
      <c r="E447" s="65" t="s">
        <v>648</v>
      </c>
      <c r="F447" s="55">
        <v>7499</v>
      </c>
      <c r="G447" s="55">
        <v>4699</v>
      </c>
      <c r="H447" s="55">
        <v>5499</v>
      </c>
      <c r="I447" s="55">
        <v>5499</v>
      </c>
      <c r="J447" s="55">
        <v>5199</v>
      </c>
      <c r="K447" s="55">
        <v>5199</v>
      </c>
      <c r="L447" s="55">
        <v>5199</v>
      </c>
      <c r="M447" s="55">
        <v>5199</v>
      </c>
      <c r="N447" s="55">
        <v>5199</v>
      </c>
      <c r="O447" s="55">
        <v>5099</v>
      </c>
      <c r="P447" s="56">
        <v>5049</v>
      </c>
      <c r="Q447" s="56">
        <v>4799</v>
      </c>
      <c r="R447" s="55">
        <v>5099</v>
      </c>
      <c r="S447" s="55">
        <v>5049</v>
      </c>
      <c r="T447" s="55">
        <v>4799</v>
      </c>
      <c r="U447" s="55">
        <v>4799</v>
      </c>
      <c r="V447" s="55">
        <v>4799</v>
      </c>
      <c r="W447" s="55">
        <v>4799</v>
      </c>
      <c r="X447" s="55">
        <v>4699</v>
      </c>
      <c r="Y447" s="55">
        <v>3699</v>
      </c>
      <c r="Z447" s="55">
        <v>3699</v>
      </c>
      <c r="AA447" s="55">
        <v>3499</v>
      </c>
      <c r="AB447" s="55">
        <v>5199</v>
      </c>
      <c r="AC447" s="55">
        <v>5199</v>
      </c>
      <c r="AD447" s="55">
        <v>5199</v>
      </c>
      <c r="AE447" s="55">
        <v>5199</v>
      </c>
      <c r="AF447" s="55">
        <v>5099</v>
      </c>
      <c r="AG447" s="55">
        <v>5049</v>
      </c>
      <c r="AH447" s="55">
        <v>4799</v>
      </c>
      <c r="AI447" s="55">
        <v>4799</v>
      </c>
      <c r="AJ447" s="55">
        <v>4799</v>
      </c>
      <c r="AK447" s="55">
        <v>4799</v>
      </c>
      <c r="AL447" s="55">
        <v>3699</v>
      </c>
      <c r="AM447" s="55"/>
      <c r="AN447" s="55"/>
      <c r="AO447" s="55"/>
      <c r="AP447" s="55"/>
      <c r="AQ447" s="55"/>
      <c r="AR447" s="55"/>
      <c r="AS447" s="55"/>
      <c r="AT447" s="55"/>
      <c r="AU447" s="55"/>
      <c r="AV447" s="57"/>
      <c r="AW447" s="58" t="s">
        <v>67</v>
      </c>
      <c r="AX447" s="59" t="s">
        <v>68</v>
      </c>
      <c r="AY447" s="60">
        <f t="shared" si="39"/>
        <v>111.07979999999999</v>
      </c>
      <c r="AZ447" s="60">
        <f t="shared" si="40"/>
        <v>100.0818</v>
      </c>
      <c r="BA447" s="61">
        <f t="shared" si="41"/>
        <v>56.639699999999998</v>
      </c>
    </row>
    <row r="448" spans="1:53" ht="22.5" customHeight="1">
      <c r="A448" s="51" t="s">
        <v>63</v>
      </c>
      <c r="B448" s="52" t="s">
        <v>64</v>
      </c>
      <c r="C448" s="53">
        <v>4017757</v>
      </c>
      <c r="D448" s="65" t="s">
        <v>643</v>
      </c>
      <c r="E448" s="65" t="s">
        <v>649</v>
      </c>
      <c r="F448" s="55">
        <v>7499</v>
      </c>
      <c r="G448" s="55">
        <v>4699</v>
      </c>
      <c r="H448" s="55">
        <v>5499</v>
      </c>
      <c r="I448" s="55">
        <v>5499</v>
      </c>
      <c r="J448" s="55">
        <v>5199</v>
      </c>
      <c r="K448" s="55">
        <v>5199</v>
      </c>
      <c r="L448" s="55">
        <v>5199</v>
      </c>
      <c r="M448" s="55">
        <v>5199</v>
      </c>
      <c r="N448" s="55">
        <v>5199</v>
      </c>
      <c r="O448" s="55">
        <v>5099</v>
      </c>
      <c r="P448" s="56">
        <v>5049</v>
      </c>
      <c r="Q448" s="56">
        <v>4799</v>
      </c>
      <c r="R448" s="55">
        <v>5099</v>
      </c>
      <c r="S448" s="55">
        <v>5049</v>
      </c>
      <c r="T448" s="55">
        <v>4799</v>
      </c>
      <c r="U448" s="55">
        <v>4799</v>
      </c>
      <c r="V448" s="55">
        <v>4799</v>
      </c>
      <c r="W448" s="55">
        <v>4799</v>
      </c>
      <c r="X448" s="55">
        <v>4699</v>
      </c>
      <c r="Y448" s="55">
        <v>3699</v>
      </c>
      <c r="Z448" s="55">
        <v>3699</v>
      </c>
      <c r="AA448" s="55">
        <v>3499</v>
      </c>
      <c r="AB448" s="55">
        <v>5199</v>
      </c>
      <c r="AC448" s="55">
        <v>5199</v>
      </c>
      <c r="AD448" s="55">
        <v>5199</v>
      </c>
      <c r="AE448" s="55">
        <v>5199</v>
      </c>
      <c r="AF448" s="55">
        <v>5099</v>
      </c>
      <c r="AG448" s="55">
        <v>5049</v>
      </c>
      <c r="AH448" s="55">
        <v>4799</v>
      </c>
      <c r="AI448" s="55">
        <v>4799</v>
      </c>
      <c r="AJ448" s="55">
        <v>4799</v>
      </c>
      <c r="AK448" s="55">
        <v>4799</v>
      </c>
      <c r="AL448" s="55">
        <v>3699</v>
      </c>
      <c r="AM448" s="55"/>
      <c r="AN448" s="55"/>
      <c r="AO448" s="55"/>
      <c r="AP448" s="55"/>
      <c r="AQ448" s="55"/>
      <c r="AR448" s="55"/>
      <c r="AS448" s="55"/>
      <c r="AT448" s="55"/>
      <c r="AU448" s="55"/>
      <c r="AV448" s="57"/>
      <c r="AW448" s="58" t="s">
        <v>67</v>
      </c>
      <c r="AX448" s="59" t="s">
        <v>68</v>
      </c>
      <c r="AY448" s="60">
        <f t="shared" si="39"/>
        <v>111.07979999999999</v>
      </c>
      <c r="AZ448" s="60">
        <f t="shared" si="40"/>
        <v>100.0818</v>
      </c>
      <c r="BA448" s="61">
        <f t="shared" si="41"/>
        <v>56.639699999999998</v>
      </c>
    </row>
    <row r="449" spans="1:53" ht="22.5" customHeight="1">
      <c r="A449" s="51" t="s">
        <v>63</v>
      </c>
      <c r="B449" s="52" t="s">
        <v>64</v>
      </c>
      <c r="C449" s="53">
        <v>4017746</v>
      </c>
      <c r="D449" s="65" t="s">
        <v>650</v>
      </c>
      <c r="E449" s="65" t="s">
        <v>651</v>
      </c>
      <c r="F449" s="55">
        <v>9099</v>
      </c>
      <c r="G449" s="55">
        <v>4499</v>
      </c>
      <c r="H449" s="55">
        <v>7199</v>
      </c>
      <c r="I449" s="55">
        <v>7199</v>
      </c>
      <c r="J449" s="55">
        <v>7099</v>
      </c>
      <c r="K449" s="55">
        <v>7099</v>
      </c>
      <c r="L449" s="55">
        <v>7099</v>
      </c>
      <c r="M449" s="55">
        <v>7099</v>
      </c>
      <c r="N449" s="55">
        <v>7099</v>
      </c>
      <c r="O449" s="55">
        <v>6999</v>
      </c>
      <c r="P449" s="56">
        <v>6899</v>
      </c>
      <c r="Q449" s="56">
        <v>6499</v>
      </c>
      <c r="R449" s="55">
        <v>6999</v>
      </c>
      <c r="S449" s="55">
        <v>6899</v>
      </c>
      <c r="T449" s="55">
        <v>6499</v>
      </c>
      <c r="U449" s="55">
        <v>6499</v>
      </c>
      <c r="V449" s="55">
        <v>6499</v>
      </c>
      <c r="W449" s="55">
        <v>6499</v>
      </c>
      <c r="X449" s="55">
        <v>6399</v>
      </c>
      <c r="Y449" s="55">
        <v>4799</v>
      </c>
      <c r="Z449" s="55">
        <v>4799</v>
      </c>
      <c r="AA449" s="55">
        <v>4699</v>
      </c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7"/>
      <c r="AW449" s="58" t="s">
        <v>67</v>
      </c>
      <c r="AX449" s="59" t="s">
        <v>68</v>
      </c>
      <c r="AY449" s="60">
        <f t="shared" si="39"/>
        <v>145.41979999999998</v>
      </c>
      <c r="AZ449" s="60">
        <f t="shared" si="40"/>
        <v>131.02180000000001</v>
      </c>
      <c r="BA449" s="61">
        <f t="shared" si="41"/>
        <v>74.149699999999996</v>
      </c>
    </row>
    <row r="450" spans="1:53" ht="22.5" customHeight="1">
      <c r="A450" s="51" t="s">
        <v>63</v>
      </c>
      <c r="B450" s="52" t="s">
        <v>64</v>
      </c>
      <c r="C450" s="53">
        <v>4017748</v>
      </c>
      <c r="D450" s="65" t="s">
        <v>650</v>
      </c>
      <c r="E450" s="65" t="s">
        <v>652</v>
      </c>
      <c r="F450" s="55">
        <v>9099</v>
      </c>
      <c r="G450" s="55">
        <v>4499</v>
      </c>
      <c r="H450" s="55">
        <v>7199</v>
      </c>
      <c r="I450" s="55">
        <v>7199</v>
      </c>
      <c r="J450" s="55">
        <v>7099</v>
      </c>
      <c r="K450" s="55">
        <v>7099</v>
      </c>
      <c r="L450" s="55">
        <v>7099</v>
      </c>
      <c r="M450" s="55">
        <v>7099</v>
      </c>
      <c r="N450" s="55">
        <v>7099</v>
      </c>
      <c r="O450" s="55">
        <v>6999</v>
      </c>
      <c r="P450" s="56">
        <v>6899</v>
      </c>
      <c r="Q450" s="56">
        <v>6499</v>
      </c>
      <c r="R450" s="55">
        <v>6999</v>
      </c>
      <c r="S450" s="55">
        <v>6899</v>
      </c>
      <c r="T450" s="55">
        <v>6499</v>
      </c>
      <c r="U450" s="55">
        <v>6499</v>
      </c>
      <c r="V450" s="55">
        <v>6499</v>
      </c>
      <c r="W450" s="55">
        <v>6499</v>
      </c>
      <c r="X450" s="55">
        <v>6399</v>
      </c>
      <c r="Y450" s="55">
        <v>4799</v>
      </c>
      <c r="Z450" s="55">
        <v>4799</v>
      </c>
      <c r="AA450" s="55">
        <v>4699</v>
      </c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7"/>
      <c r="AW450" s="58" t="s">
        <v>67</v>
      </c>
      <c r="AX450" s="59" t="s">
        <v>68</v>
      </c>
      <c r="AY450" s="60">
        <f t="shared" si="39"/>
        <v>145.41979999999998</v>
      </c>
      <c r="AZ450" s="60">
        <f t="shared" si="40"/>
        <v>131.02180000000001</v>
      </c>
      <c r="BA450" s="61">
        <f t="shared" si="41"/>
        <v>74.149699999999996</v>
      </c>
    </row>
    <row r="451" spans="1:53" ht="22.5" customHeight="1">
      <c r="A451" s="51" t="s">
        <v>63</v>
      </c>
      <c r="B451" s="52" t="s">
        <v>64</v>
      </c>
      <c r="C451" s="53">
        <v>4017752</v>
      </c>
      <c r="D451" s="65" t="s">
        <v>650</v>
      </c>
      <c r="E451" s="65" t="s">
        <v>653</v>
      </c>
      <c r="F451" s="55">
        <v>9099</v>
      </c>
      <c r="G451" s="55">
        <v>4499</v>
      </c>
      <c r="H451" s="55">
        <v>7199</v>
      </c>
      <c r="I451" s="55">
        <v>7199</v>
      </c>
      <c r="J451" s="55">
        <v>7099</v>
      </c>
      <c r="K451" s="55">
        <v>7099</v>
      </c>
      <c r="L451" s="55">
        <v>7099</v>
      </c>
      <c r="M451" s="55">
        <v>7099</v>
      </c>
      <c r="N451" s="55">
        <v>7099</v>
      </c>
      <c r="O451" s="55">
        <v>6999</v>
      </c>
      <c r="P451" s="56">
        <v>6899</v>
      </c>
      <c r="Q451" s="56">
        <v>6499</v>
      </c>
      <c r="R451" s="55">
        <v>6999</v>
      </c>
      <c r="S451" s="55">
        <v>6899</v>
      </c>
      <c r="T451" s="55">
        <v>6499</v>
      </c>
      <c r="U451" s="55">
        <v>6499</v>
      </c>
      <c r="V451" s="55">
        <v>6499</v>
      </c>
      <c r="W451" s="55">
        <v>6499</v>
      </c>
      <c r="X451" s="55">
        <v>6399</v>
      </c>
      <c r="Y451" s="55">
        <v>4799</v>
      </c>
      <c r="Z451" s="55">
        <v>4799</v>
      </c>
      <c r="AA451" s="55">
        <v>4699</v>
      </c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7"/>
      <c r="AW451" s="58" t="s">
        <v>67</v>
      </c>
      <c r="AX451" s="59" t="s">
        <v>68</v>
      </c>
      <c r="AY451" s="60">
        <f t="shared" si="39"/>
        <v>145.41979999999998</v>
      </c>
      <c r="AZ451" s="60">
        <f t="shared" si="40"/>
        <v>131.02180000000001</v>
      </c>
      <c r="BA451" s="61">
        <f t="shared" si="41"/>
        <v>74.149699999999996</v>
      </c>
    </row>
    <row r="452" spans="1:53" ht="22.5" customHeight="1">
      <c r="A452" s="51" t="s">
        <v>63</v>
      </c>
      <c r="B452" s="52" t="s">
        <v>64</v>
      </c>
      <c r="C452" s="53">
        <v>4017754</v>
      </c>
      <c r="D452" s="65" t="s">
        <v>650</v>
      </c>
      <c r="E452" s="65" t="s">
        <v>654</v>
      </c>
      <c r="F452" s="55">
        <v>9099</v>
      </c>
      <c r="G452" s="55">
        <v>4499</v>
      </c>
      <c r="H452" s="55">
        <v>7199</v>
      </c>
      <c r="I452" s="55">
        <v>7199</v>
      </c>
      <c r="J452" s="55">
        <v>7099</v>
      </c>
      <c r="K452" s="55">
        <v>7099</v>
      </c>
      <c r="L452" s="55">
        <v>7099</v>
      </c>
      <c r="M452" s="55">
        <v>7099</v>
      </c>
      <c r="N452" s="55">
        <v>7099</v>
      </c>
      <c r="O452" s="55">
        <v>6999</v>
      </c>
      <c r="P452" s="56">
        <v>6899</v>
      </c>
      <c r="Q452" s="56">
        <v>6499</v>
      </c>
      <c r="R452" s="55">
        <v>6999</v>
      </c>
      <c r="S452" s="55">
        <v>6899</v>
      </c>
      <c r="T452" s="55">
        <v>6499</v>
      </c>
      <c r="U452" s="55">
        <v>6499</v>
      </c>
      <c r="V452" s="55">
        <v>6499</v>
      </c>
      <c r="W452" s="55">
        <v>6499</v>
      </c>
      <c r="X452" s="55">
        <v>6399</v>
      </c>
      <c r="Y452" s="55">
        <v>4799</v>
      </c>
      <c r="Z452" s="55">
        <v>4799</v>
      </c>
      <c r="AA452" s="55">
        <v>4699</v>
      </c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7"/>
      <c r="AW452" s="58" t="s">
        <v>67</v>
      </c>
      <c r="AX452" s="59" t="s">
        <v>68</v>
      </c>
      <c r="AY452" s="60">
        <f t="shared" si="39"/>
        <v>145.41979999999998</v>
      </c>
      <c r="AZ452" s="60">
        <f t="shared" si="40"/>
        <v>131.02180000000001</v>
      </c>
      <c r="BA452" s="61">
        <f t="shared" si="41"/>
        <v>74.149699999999996</v>
      </c>
    </row>
    <row r="453" spans="1:53" ht="22.5" customHeight="1">
      <c r="A453" s="51" t="s">
        <v>63</v>
      </c>
      <c r="B453" s="52" t="s">
        <v>64</v>
      </c>
      <c r="C453" s="53">
        <v>4017675</v>
      </c>
      <c r="D453" s="65" t="s">
        <v>650</v>
      </c>
      <c r="E453" s="65" t="s">
        <v>655</v>
      </c>
      <c r="F453" s="55">
        <v>9099</v>
      </c>
      <c r="G453" s="55">
        <v>4499</v>
      </c>
      <c r="H453" s="55">
        <v>7199</v>
      </c>
      <c r="I453" s="55">
        <v>7199</v>
      </c>
      <c r="J453" s="55">
        <v>7099</v>
      </c>
      <c r="K453" s="55">
        <v>7099</v>
      </c>
      <c r="L453" s="55">
        <v>7099</v>
      </c>
      <c r="M453" s="55">
        <v>7099</v>
      </c>
      <c r="N453" s="55">
        <v>7099</v>
      </c>
      <c r="O453" s="55">
        <v>6999</v>
      </c>
      <c r="P453" s="56">
        <v>6899</v>
      </c>
      <c r="Q453" s="56">
        <v>6499</v>
      </c>
      <c r="R453" s="55">
        <v>6999</v>
      </c>
      <c r="S453" s="55">
        <v>6899</v>
      </c>
      <c r="T453" s="55">
        <v>6499</v>
      </c>
      <c r="U453" s="55">
        <v>6499</v>
      </c>
      <c r="V453" s="55">
        <v>6499</v>
      </c>
      <c r="W453" s="55">
        <v>6499</v>
      </c>
      <c r="X453" s="55">
        <v>6399</v>
      </c>
      <c r="Y453" s="55">
        <v>4799</v>
      </c>
      <c r="Z453" s="55">
        <v>4799</v>
      </c>
      <c r="AA453" s="55">
        <v>4699</v>
      </c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7"/>
      <c r="AW453" s="58" t="s">
        <v>67</v>
      </c>
      <c r="AX453" s="59" t="s">
        <v>68</v>
      </c>
      <c r="AY453" s="60">
        <f t="shared" si="39"/>
        <v>145.41979999999998</v>
      </c>
      <c r="AZ453" s="60">
        <f t="shared" si="40"/>
        <v>131.02180000000001</v>
      </c>
      <c r="BA453" s="61">
        <f t="shared" si="41"/>
        <v>74.149699999999996</v>
      </c>
    </row>
    <row r="454" spans="1:53" ht="22.5" customHeight="1">
      <c r="A454" s="51" t="s">
        <v>63</v>
      </c>
      <c r="B454" s="52" t="s">
        <v>64</v>
      </c>
      <c r="C454" s="53">
        <v>4017676</v>
      </c>
      <c r="D454" s="65" t="s">
        <v>650</v>
      </c>
      <c r="E454" s="65" t="s">
        <v>656</v>
      </c>
      <c r="F454" s="55">
        <v>9099</v>
      </c>
      <c r="G454" s="55">
        <v>4499</v>
      </c>
      <c r="H454" s="55">
        <v>7199</v>
      </c>
      <c r="I454" s="55">
        <v>7199</v>
      </c>
      <c r="J454" s="55">
        <v>7099</v>
      </c>
      <c r="K454" s="55">
        <v>7099</v>
      </c>
      <c r="L454" s="55">
        <v>7099</v>
      </c>
      <c r="M454" s="55">
        <v>7099</v>
      </c>
      <c r="N454" s="55">
        <v>7099</v>
      </c>
      <c r="O454" s="55">
        <v>6999</v>
      </c>
      <c r="P454" s="56">
        <v>6899</v>
      </c>
      <c r="Q454" s="56">
        <v>6499</v>
      </c>
      <c r="R454" s="55">
        <v>6999</v>
      </c>
      <c r="S454" s="55">
        <v>6899</v>
      </c>
      <c r="T454" s="55">
        <v>6499</v>
      </c>
      <c r="U454" s="55">
        <v>6499</v>
      </c>
      <c r="V454" s="55">
        <v>6499</v>
      </c>
      <c r="W454" s="55">
        <v>6499</v>
      </c>
      <c r="X454" s="55">
        <v>6399</v>
      </c>
      <c r="Y454" s="55">
        <v>4799</v>
      </c>
      <c r="Z454" s="55">
        <v>4799</v>
      </c>
      <c r="AA454" s="55">
        <v>4699</v>
      </c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7"/>
      <c r="AW454" s="58" t="s">
        <v>67</v>
      </c>
      <c r="AX454" s="59" t="s">
        <v>68</v>
      </c>
      <c r="AY454" s="60">
        <f t="shared" si="39"/>
        <v>145.41979999999998</v>
      </c>
      <c r="AZ454" s="60">
        <f t="shared" si="40"/>
        <v>131.02180000000001</v>
      </c>
      <c r="BA454" s="61">
        <f t="shared" si="41"/>
        <v>74.149699999999996</v>
      </c>
    </row>
    <row r="455" spans="1:53" ht="22.5" customHeight="1">
      <c r="A455" s="51" t="s">
        <v>63</v>
      </c>
      <c r="B455" s="52" t="s">
        <v>64</v>
      </c>
      <c r="C455" s="53">
        <v>4017762</v>
      </c>
      <c r="D455" s="65" t="s">
        <v>657</v>
      </c>
      <c r="E455" s="65" t="s">
        <v>658</v>
      </c>
      <c r="F455" s="55">
        <v>9199</v>
      </c>
      <c r="G455" s="55">
        <v>4999</v>
      </c>
      <c r="H455" s="55">
        <v>7699</v>
      </c>
      <c r="I455" s="55">
        <v>7699</v>
      </c>
      <c r="J455" s="55">
        <v>6199</v>
      </c>
      <c r="K455" s="55">
        <v>6199</v>
      </c>
      <c r="L455" s="55">
        <v>6199</v>
      </c>
      <c r="M455" s="55">
        <v>6199</v>
      </c>
      <c r="N455" s="55">
        <v>6199</v>
      </c>
      <c r="O455" s="55">
        <v>6099</v>
      </c>
      <c r="P455" s="56">
        <v>5999</v>
      </c>
      <c r="Q455" s="56">
        <v>5599</v>
      </c>
      <c r="R455" s="55">
        <v>6099</v>
      </c>
      <c r="S455" s="55">
        <v>5999</v>
      </c>
      <c r="T455" s="55">
        <v>5599</v>
      </c>
      <c r="U455" s="55">
        <v>5599</v>
      </c>
      <c r="V455" s="55">
        <v>5599</v>
      </c>
      <c r="W455" s="55">
        <v>5599</v>
      </c>
      <c r="X455" s="55">
        <v>5499</v>
      </c>
      <c r="Y455" s="55">
        <v>4799</v>
      </c>
      <c r="Z455" s="55">
        <v>4799</v>
      </c>
      <c r="AA455" s="55">
        <v>4599</v>
      </c>
      <c r="AB455" s="55">
        <v>6199</v>
      </c>
      <c r="AC455" s="55">
        <v>6199</v>
      </c>
      <c r="AD455" s="55">
        <v>6199</v>
      </c>
      <c r="AE455" s="55">
        <v>6099</v>
      </c>
      <c r="AF455" s="55">
        <v>5999</v>
      </c>
      <c r="AG455" s="55">
        <v>5999</v>
      </c>
      <c r="AH455" s="55">
        <v>5599</v>
      </c>
      <c r="AI455" s="55">
        <v>5599</v>
      </c>
      <c r="AJ455" s="55">
        <v>5599</v>
      </c>
      <c r="AK455" s="55">
        <v>5599</v>
      </c>
      <c r="AL455" s="55">
        <v>4799</v>
      </c>
      <c r="AM455" s="55"/>
      <c r="AN455" s="55"/>
      <c r="AO455" s="55"/>
      <c r="AP455" s="55"/>
      <c r="AQ455" s="55"/>
      <c r="AR455" s="55"/>
      <c r="AS455" s="55"/>
      <c r="AT455" s="55"/>
      <c r="AU455" s="55"/>
      <c r="AV455" s="57"/>
      <c r="AW455" s="58" t="s">
        <v>67</v>
      </c>
      <c r="AX455" s="59" t="s">
        <v>68</v>
      </c>
      <c r="AY455" s="60">
        <f t="shared" si="39"/>
        <v>155.5198</v>
      </c>
      <c r="AZ455" s="60">
        <f t="shared" si="40"/>
        <v>140.12180000000001</v>
      </c>
      <c r="BA455" s="61">
        <f t="shared" si="41"/>
        <v>79.299700000000001</v>
      </c>
    </row>
    <row r="456" spans="1:53" ht="22.5" customHeight="1">
      <c r="A456" s="51" t="s">
        <v>63</v>
      </c>
      <c r="B456" s="52" t="s">
        <v>64</v>
      </c>
      <c r="C456" s="53">
        <v>4017763</v>
      </c>
      <c r="D456" s="65" t="s">
        <v>657</v>
      </c>
      <c r="E456" s="65" t="s">
        <v>659</v>
      </c>
      <c r="F456" s="55">
        <v>9199</v>
      </c>
      <c r="G456" s="55">
        <v>4999</v>
      </c>
      <c r="H456" s="55">
        <v>7699</v>
      </c>
      <c r="I456" s="55">
        <v>7699</v>
      </c>
      <c r="J456" s="55">
        <v>6199</v>
      </c>
      <c r="K456" s="55">
        <v>6199</v>
      </c>
      <c r="L456" s="55">
        <v>6199</v>
      </c>
      <c r="M456" s="55">
        <v>6199</v>
      </c>
      <c r="N456" s="55">
        <v>6199</v>
      </c>
      <c r="O456" s="55">
        <v>6099</v>
      </c>
      <c r="P456" s="56">
        <v>5999</v>
      </c>
      <c r="Q456" s="56">
        <v>5599</v>
      </c>
      <c r="R456" s="55">
        <v>6099</v>
      </c>
      <c r="S456" s="55">
        <v>5999</v>
      </c>
      <c r="T456" s="55">
        <v>5599</v>
      </c>
      <c r="U456" s="55">
        <v>5599</v>
      </c>
      <c r="V456" s="55">
        <v>5599</v>
      </c>
      <c r="W456" s="55">
        <v>5599</v>
      </c>
      <c r="X456" s="55">
        <v>5499</v>
      </c>
      <c r="Y456" s="55">
        <v>4799</v>
      </c>
      <c r="Z456" s="55">
        <v>4799</v>
      </c>
      <c r="AA456" s="55">
        <v>4599</v>
      </c>
      <c r="AB456" s="55">
        <v>6199</v>
      </c>
      <c r="AC456" s="55">
        <v>6199</v>
      </c>
      <c r="AD456" s="55">
        <v>6199</v>
      </c>
      <c r="AE456" s="55">
        <v>6099</v>
      </c>
      <c r="AF456" s="55">
        <v>5999</v>
      </c>
      <c r="AG456" s="55">
        <v>5999</v>
      </c>
      <c r="AH456" s="55">
        <v>5599</v>
      </c>
      <c r="AI456" s="55">
        <v>5599</v>
      </c>
      <c r="AJ456" s="55">
        <v>5599</v>
      </c>
      <c r="AK456" s="55">
        <v>5599</v>
      </c>
      <c r="AL456" s="55">
        <v>4799</v>
      </c>
      <c r="AM456" s="55"/>
      <c r="AN456" s="55"/>
      <c r="AO456" s="55"/>
      <c r="AP456" s="55"/>
      <c r="AQ456" s="55"/>
      <c r="AR456" s="55"/>
      <c r="AS456" s="55"/>
      <c r="AT456" s="55"/>
      <c r="AU456" s="55"/>
      <c r="AV456" s="57"/>
      <c r="AW456" s="58" t="s">
        <v>67</v>
      </c>
      <c r="AX456" s="59" t="s">
        <v>68</v>
      </c>
      <c r="AY456" s="60">
        <f t="shared" si="39"/>
        <v>155.5198</v>
      </c>
      <c r="AZ456" s="60">
        <f t="shared" si="40"/>
        <v>140.12180000000001</v>
      </c>
      <c r="BA456" s="61">
        <f t="shared" si="41"/>
        <v>79.299700000000001</v>
      </c>
    </row>
    <row r="457" spans="1:53" ht="22.5" customHeight="1">
      <c r="A457" s="51" t="s">
        <v>63</v>
      </c>
      <c r="B457" s="52" t="s">
        <v>64</v>
      </c>
      <c r="C457" s="53">
        <v>4017766</v>
      </c>
      <c r="D457" s="65" t="s">
        <v>657</v>
      </c>
      <c r="E457" s="65" t="s">
        <v>660</v>
      </c>
      <c r="F457" s="55">
        <v>9199</v>
      </c>
      <c r="G457" s="55">
        <v>4999</v>
      </c>
      <c r="H457" s="55">
        <v>7699</v>
      </c>
      <c r="I457" s="55">
        <v>7699</v>
      </c>
      <c r="J457" s="55">
        <v>6199</v>
      </c>
      <c r="K457" s="55">
        <v>6199</v>
      </c>
      <c r="L457" s="55">
        <v>6199</v>
      </c>
      <c r="M457" s="55">
        <v>6199</v>
      </c>
      <c r="N457" s="55">
        <v>6199</v>
      </c>
      <c r="O457" s="55">
        <v>6099</v>
      </c>
      <c r="P457" s="56">
        <v>5999</v>
      </c>
      <c r="Q457" s="56">
        <v>5599</v>
      </c>
      <c r="R457" s="55">
        <v>6099</v>
      </c>
      <c r="S457" s="55">
        <v>5999</v>
      </c>
      <c r="T457" s="55">
        <v>5599</v>
      </c>
      <c r="U457" s="55">
        <v>5599</v>
      </c>
      <c r="V457" s="55">
        <v>5599</v>
      </c>
      <c r="W457" s="55">
        <v>5599</v>
      </c>
      <c r="X457" s="55">
        <v>5499</v>
      </c>
      <c r="Y457" s="55">
        <v>4799</v>
      </c>
      <c r="Z457" s="55">
        <v>4799</v>
      </c>
      <c r="AA457" s="55">
        <v>4599</v>
      </c>
      <c r="AB457" s="55">
        <v>6199</v>
      </c>
      <c r="AC457" s="55">
        <v>6199</v>
      </c>
      <c r="AD457" s="55">
        <v>6199</v>
      </c>
      <c r="AE457" s="55">
        <v>6099</v>
      </c>
      <c r="AF457" s="55">
        <v>5999</v>
      </c>
      <c r="AG457" s="55">
        <v>5999</v>
      </c>
      <c r="AH457" s="55">
        <v>5599</v>
      </c>
      <c r="AI457" s="55">
        <v>5599</v>
      </c>
      <c r="AJ457" s="55">
        <v>5599</v>
      </c>
      <c r="AK457" s="55">
        <v>5599</v>
      </c>
      <c r="AL457" s="55">
        <v>4799</v>
      </c>
      <c r="AM457" s="55"/>
      <c r="AN457" s="55"/>
      <c r="AO457" s="55"/>
      <c r="AP457" s="55"/>
      <c r="AQ457" s="55"/>
      <c r="AR457" s="55"/>
      <c r="AS457" s="55"/>
      <c r="AT457" s="55"/>
      <c r="AU457" s="55"/>
      <c r="AV457" s="57"/>
      <c r="AW457" s="58" t="s">
        <v>67</v>
      </c>
      <c r="AX457" s="59" t="s">
        <v>68</v>
      </c>
      <c r="AY457" s="60">
        <f t="shared" si="39"/>
        <v>155.5198</v>
      </c>
      <c r="AZ457" s="60">
        <f t="shared" si="40"/>
        <v>140.12180000000001</v>
      </c>
      <c r="BA457" s="61">
        <f t="shared" si="41"/>
        <v>79.299700000000001</v>
      </c>
    </row>
    <row r="458" spans="1:53" ht="22.5" customHeight="1">
      <c r="A458" s="51" t="s">
        <v>63</v>
      </c>
      <c r="B458" s="52" t="s">
        <v>64</v>
      </c>
      <c r="C458" s="53">
        <v>4017769</v>
      </c>
      <c r="D458" s="65" t="s">
        <v>657</v>
      </c>
      <c r="E458" s="65" t="s">
        <v>661</v>
      </c>
      <c r="F458" s="55">
        <v>9199</v>
      </c>
      <c r="G458" s="55">
        <v>4999</v>
      </c>
      <c r="H458" s="55">
        <v>7699</v>
      </c>
      <c r="I458" s="55">
        <v>7699</v>
      </c>
      <c r="J458" s="55">
        <v>6199</v>
      </c>
      <c r="K458" s="55">
        <v>6199</v>
      </c>
      <c r="L458" s="55">
        <v>6199</v>
      </c>
      <c r="M458" s="55">
        <v>6199</v>
      </c>
      <c r="N458" s="55">
        <v>6199</v>
      </c>
      <c r="O458" s="55">
        <v>6099</v>
      </c>
      <c r="P458" s="56">
        <v>5999</v>
      </c>
      <c r="Q458" s="56">
        <v>5599</v>
      </c>
      <c r="R458" s="55">
        <v>6099</v>
      </c>
      <c r="S458" s="55">
        <v>5999</v>
      </c>
      <c r="T458" s="55">
        <v>5599</v>
      </c>
      <c r="U458" s="55">
        <v>5599</v>
      </c>
      <c r="V458" s="55">
        <v>5599</v>
      </c>
      <c r="W458" s="55">
        <v>5599</v>
      </c>
      <c r="X458" s="55">
        <v>5499</v>
      </c>
      <c r="Y458" s="55">
        <v>4799</v>
      </c>
      <c r="Z458" s="55">
        <v>4799</v>
      </c>
      <c r="AA458" s="55">
        <v>4599</v>
      </c>
      <c r="AB458" s="55">
        <v>6199</v>
      </c>
      <c r="AC458" s="55">
        <v>6199</v>
      </c>
      <c r="AD458" s="55">
        <v>6199</v>
      </c>
      <c r="AE458" s="55">
        <v>6099</v>
      </c>
      <c r="AF458" s="55">
        <v>5999</v>
      </c>
      <c r="AG458" s="55">
        <v>5999</v>
      </c>
      <c r="AH458" s="55">
        <v>5599</v>
      </c>
      <c r="AI458" s="55">
        <v>5599</v>
      </c>
      <c r="AJ458" s="55">
        <v>5599</v>
      </c>
      <c r="AK458" s="55">
        <v>5599</v>
      </c>
      <c r="AL458" s="55">
        <v>4799</v>
      </c>
      <c r="AM458" s="55"/>
      <c r="AN458" s="55"/>
      <c r="AO458" s="55"/>
      <c r="AP458" s="55"/>
      <c r="AQ458" s="55"/>
      <c r="AR458" s="55"/>
      <c r="AS458" s="55"/>
      <c r="AT458" s="55"/>
      <c r="AU458" s="55"/>
      <c r="AV458" s="57"/>
      <c r="AW458" s="58" t="s">
        <v>67</v>
      </c>
      <c r="AX458" s="59" t="s">
        <v>68</v>
      </c>
      <c r="AY458" s="60">
        <f t="shared" si="39"/>
        <v>155.5198</v>
      </c>
      <c r="AZ458" s="60">
        <f t="shared" si="40"/>
        <v>140.12180000000001</v>
      </c>
      <c r="BA458" s="61">
        <f t="shared" si="41"/>
        <v>79.299700000000001</v>
      </c>
    </row>
    <row r="459" spans="1:53" ht="22.5" customHeight="1">
      <c r="A459" s="51" t="s">
        <v>63</v>
      </c>
      <c r="B459" s="52" t="s">
        <v>64</v>
      </c>
      <c r="C459" s="53">
        <v>4017764</v>
      </c>
      <c r="D459" s="65" t="s">
        <v>662</v>
      </c>
      <c r="E459" s="65" t="s">
        <v>663</v>
      </c>
      <c r="F459" s="55">
        <v>10799</v>
      </c>
      <c r="G459" s="55">
        <v>5499</v>
      </c>
      <c r="H459" s="55">
        <v>8199</v>
      </c>
      <c r="I459" s="55">
        <v>8199</v>
      </c>
      <c r="J459" s="55">
        <v>6999</v>
      </c>
      <c r="K459" s="55">
        <v>6999</v>
      </c>
      <c r="L459" s="55">
        <v>6999</v>
      </c>
      <c r="M459" s="55">
        <v>6999</v>
      </c>
      <c r="N459" s="55">
        <v>6999</v>
      </c>
      <c r="O459" s="55">
        <v>6899</v>
      </c>
      <c r="P459" s="56">
        <v>6799</v>
      </c>
      <c r="Q459" s="56">
        <v>6499</v>
      </c>
      <c r="R459" s="55">
        <v>6899</v>
      </c>
      <c r="S459" s="55">
        <v>6799</v>
      </c>
      <c r="T459" s="55">
        <v>6499</v>
      </c>
      <c r="U459" s="55">
        <v>6499</v>
      </c>
      <c r="V459" s="55">
        <v>6499</v>
      </c>
      <c r="W459" s="55">
        <v>6499</v>
      </c>
      <c r="X459" s="55">
        <v>6399</v>
      </c>
      <c r="Y459" s="55">
        <v>5499</v>
      </c>
      <c r="Z459" s="55">
        <v>5499</v>
      </c>
      <c r="AA459" s="55">
        <v>5299</v>
      </c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7"/>
      <c r="AW459" s="58" t="s">
        <v>67</v>
      </c>
      <c r="AX459" s="59" t="s">
        <v>68</v>
      </c>
      <c r="AY459" s="60">
        <f t="shared" si="39"/>
        <v>165.6198</v>
      </c>
      <c r="AZ459" s="60">
        <f t="shared" si="40"/>
        <v>149.2218</v>
      </c>
      <c r="BA459" s="61">
        <f t="shared" si="41"/>
        <v>84.449700000000007</v>
      </c>
    </row>
    <row r="460" spans="1:53" ht="22.5" customHeight="1">
      <c r="A460" s="51" t="s">
        <v>63</v>
      </c>
      <c r="B460" s="52" t="s">
        <v>64</v>
      </c>
      <c r="C460" s="53">
        <v>4017765</v>
      </c>
      <c r="D460" s="65" t="s">
        <v>662</v>
      </c>
      <c r="E460" s="65" t="s">
        <v>664</v>
      </c>
      <c r="F460" s="55">
        <v>10799</v>
      </c>
      <c r="G460" s="55">
        <v>5499</v>
      </c>
      <c r="H460" s="55">
        <v>8199</v>
      </c>
      <c r="I460" s="55">
        <v>8199</v>
      </c>
      <c r="J460" s="55">
        <v>6999</v>
      </c>
      <c r="K460" s="55">
        <v>6999</v>
      </c>
      <c r="L460" s="55">
        <v>6999</v>
      </c>
      <c r="M460" s="55">
        <v>6999</v>
      </c>
      <c r="N460" s="55">
        <v>6999</v>
      </c>
      <c r="O460" s="55">
        <v>6899</v>
      </c>
      <c r="P460" s="56">
        <v>6799</v>
      </c>
      <c r="Q460" s="56">
        <v>6499</v>
      </c>
      <c r="R460" s="55">
        <v>6899</v>
      </c>
      <c r="S460" s="55">
        <v>6799</v>
      </c>
      <c r="T460" s="55">
        <v>6499</v>
      </c>
      <c r="U460" s="55">
        <v>6499</v>
      </c>
      <c r="V460" s="55">
        <v>6499</v>
      </c>
      <c r="W460" s="55">
        <v>6499</v>
      </c>
      <c r="X460" s="55">
        <v>6399</v>
      </c>
      <c r="Y460" s="55">
        <v>5499</v>
      </c>
      <c r="Z460" s="55">
        <v>5499</v>
      </c>
      <c r="AA460" s="55">
        <v>5299</v>
      </c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7"/>
      <c r="AW460" s="58" t="s">
        <v>67</v>
      </c>
      <c r="AX460" s="59" t="s">
        <v>68</v>
      </c>
      <c r="AY460" s="60">
        <f t="shared" si="39"/>
        <v>165.6198</v>
      </c>
      <c r="AZ460" s="60">
        <f t="shared" si="40"/>
        <v>149.2218</v>
      </c>
      <c r="BA460" s="61">
        <f t="shared" si="41"/>
        <v>84.449700000000007</v>
      </c>
    </row>
    <row r="461" spans="1:53" ht="22.5" customHeight="1">
      <c r="A461" s="51" t="s">
        <v>63</v>
      </c>
      <c r="B461" s="52" t="s">
        <v>64</v>
      </c>
      <c r="C461" s="53">
        <v>4017767</v>
      </c>
      <c r="D461" s="65" t="s">
        <v>662</v>
      </c>
      <c r="E461" s="65" t="s">
        <v>665</v>
      </c>
      <c r="F461" s="55">
        <v>10799</v>
      </c>
      <c r="G461" s="55">
        <v>5499</v>
      </c>
      <c r="H461" s="55">
        <v>8199</v>
      </c>
      <c r="I461" s="55">
        <v>8199</v>
      </c>
      <c r="J461" s="55">
        <v>6999</v>
      </c>
      <c r="K461" s="55">
        <v>6999</v>
      </c>
      <c r="L461" s="55">
        <v>6999</v>
      </c>
      <c r="M461" s="55">
        <v>6999</v>
      </c>
      <c r="N461" s="55">
        <v>6999</v>
      </c>
      <c r="O461" s="55">
        <v>6899</v>
      </c>
      <c r="P461" s="56">
        <v>6799</v>
      </c>
      <c r="Q461" s="56">
        <v>6499</v>
      </c>
      <c r="R461" s="55">
        <v>6899</v>
      </c>
      <c r="S461" s="55">
        <v>6799</v>
      </c>
      <c r="T461" s="55">
        <v>6499</v>
      </c>
      <c r="U461" s="55">
        <v>6499</v>
      </c>
      <c r="V461" s="55">
        <v>6499</v>
      </c>
      <c r="W461" s="55">
        <v>6499</v>
      </c>
      <c r="X461" s="55">
        <v>6399</v>
      </c>
      <c r="Y461" s="55">
        <v>5499</v>
      </c>
      <c r="Z461" s="55">
        <v>5499</v>
      </c>
      <c r="AA461" s="55">
        <v>5299</v>
      </c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7"/>
      <c r="AW461" s="58" t="s">
        <v>67</v>
      </c>
      <c r="AX461" s="59" t="s">
        <v>68</v>
      </c>
      <c r="AY461" s="60">
        <f t="shared" si="39"/>
        <v>165.6198</v>
      </c>
      <c r="AZ461" s="60">
        <f t="shared" si="40"/>
        <v>149.2218</v>
      </c>
      <c r="BA461" s="61">
        <f t="shared" si="41"/>
        <v>84.449700000000007</v>
      </c>
    </row>
    <row r="462" spans="1:53" ht="22.5" customHeight="1">
      <c r="A462" s="51" t="s">
        <v>63</v>
      </c>
      <c r="B462" s="52" t="s">
        <v>64</v>
      </c>
      <c r="C462" s="53">
        <v>4017768</v>
      </c>
      <c r="D462" s="65" t="s">
        <v>662</v>
      </c>
      <c r="E462" s="65" t="s">
        <v>666</v>
      </c>
      <c r="F462" s="55">
        <v>10799</v>
      </c>
      <c r="G462" s="55">
        <v>5499</v>
      </c>
      <c r="H462" s="55">
        <v>8199</v>
      </c>
      <c r="I462" s="55">
        <v>8199</v>
      </c>
      <c r="J462" s="55">
        <v>6999</v>
      </c>
      <c r="K462" s="55">
        <v>6999</v>
      </c>
      <c r="L462" s="55">
        <v>6999</v>
      </c>
      <c r="M462" s="55">
        <v>6999</v>
      </c>
      <c r="N462" s="55">
        <v>6999</v>
      </c>
      <c r="O462" s="55">
        <v>6899</v>
      </c>
      <c r="P462" s="56">
        <v>6799</v>
      </c>
      <c r="Q462" s="56">
        <v>6499</v>
      </c>
      <c r="R462" s="55">
        <v>6899</v>
      </c>
      <c r="S462" s="55">
        <v>6799</v>
      </c>
      <c r="T462" s="55">
        <v>6499</v>
      </c>
      <c r="U462" s="55">
        <v>6499</v>
      </c>
      <c r="V462" s="55">
        <v>6499</v>
      </c>
      <c r="W462" s="55">
        <v>6499</v>
      </c>
      <c r="X462" s="55">
        <v>6399</v>
      </c>
      <c r="Y462" s="55">
        <v>5499</v>
      </c>
      <c r="Z462" s="55">
        <v>5499</v>
      </c>
      <c r="AA462" s="55">
        <v>5299</v>
      </c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7"/>
      <c r="AW462" s="58" t="s">
        <v>67</v>
      </c>
      <c r="AX462" s="59" t="s">
        <v>68</v>
      </c>
      <c r="AY462" s="60">
        <f t="shared" si="39"/>
        <v>165.6198</v>
      </c>
      <c r="AZ462" s="60">
        <f t="shared" si="40"/>
        <v>149.2218</v>
      </c>
      <c r="BA462" s="61">
        <f t="shared" si="41"/>
        <v>84.449700000000007</v>
      </c>
    </row>
    <row r="463" spans="1:53" ht="22.5" customHeight="1">
      <c r="A463" s="51" t="s">
        <v>63</v>
      </c>
      <c r="B463" s="52" t="s">
        <v>64</v>
      </c>
      <c r="C463" s="53">
        <v>4017614</v>
      </c>
      <c r="D463" s="65" t="s">
        <v>667</v>
      </c>
      <c r="E463" s="65" t="s">
        <v>668</v>
      </c>
      <c r="F463" s="55">
        <v>11499</v>
      </c>
      <c r="G463" s="55">
        <v>6899</v>
      </c>
      <c r="H463" s="55">
        <v>8099</v>
      </c>
      <c r="I463" s="55">
        <v>8099</v>
      </c>
      <c r="J463" s="55">
        <v>7999</v>
      </c>
      <c r="K463" s="55">
        <v>7999</v>
      </c>
      <c r="L463" s="55">
        <v>7999</v>
      </c>
      <c r="M463" s="55">
        <v>7999</v>
      </c>
      <c r="N463" s="55">
        <v>7999</v>
      </c>
      <c r="O463" s="55">
        <v>7799</v>
      </c>
      <c r="P463" s="56">
        <v>7699</v>
      </c>
      <c r="Q463" s="56">
        <v>6999</v>
      </c>
      <c r="R463" s="55">
        <v>7799</v>
      </c>
      <c r="S463" s="55">
        <v>7699</v>
      </c>
      <c r="T463" s="55">
        <v>6999</v>
      </c>
      <c r="U463" s="55">
        <v>6999</v>
      </c>
      <c r="V463" s="55">
        <v>6999</v>
      </c>
      <c r="W463" s="55">
        <v>6999</v>
      </c>
      <c r="X463" s="55">
        <v>6899</v>
      </c>
      <c r="Y463" s="55">
        <v>6199</v>
      </c>
      <c r="Z463" s="55">
        <v>6199</v>
      </c>
      <c r="AA463" s="55">
        <v>5999</v>
      </c>
      <c r="AB463" s="55">
        <v>7999</v>
      </c>
      <c r="AC463" s="55">
        <v>7999</v>
      </c>
      <c r="AD463" s="55">
        <v>7999</v>
      </c>
      <c r="AE463" s="55">
        <v>7999</v>
      </c>
      <c r="AF463" s="55">
        <v>7799</v>
      </c>
      <c r="AG463" s="55">
        <v>7699</v>
      </c>
      <c r="AH463" s="55">
        <v>6999</v>
      </c>
      <c r="AI463" s="55">
        <v>6999</v>
      </c>
      <c r="AJ463" s="55">
        <v>6999</v>
      </c>
      <c r="AK463" s="55">
        <v>6999</v>
      </c>
      <c r="AL463" s="55">
        <v>6199</v>
      </c>
      <c r="AM463" s="55"/>
      <c r="AN463" s="55"/>
      <c r="AO463" s="55"/>
      <c r="AP463" s="55"/>
      <c r="AQ463" s="55"/>
      <c r="AR463" s="55"/>
      <c r="AS463" s="55"/>
      <c r="AT463" s="55"/>
      <c r="AU463" s="55"/>
      <c r="AV463" s="57"/>
      <c r="AW463" s="58" t="s">
        <v>67</v>
      </c>
      <c r="AX463" s="59" t="s">
        <v>68</v>
      </c>
      <c r="AY463" s="60">
        <f t="shared" si="39"/>
        <v>163.59979999999999</v>
      </c>
      <c r="AZ463" s="60">
        <f t="shared" si="40"/>
        <v>147.40180000000001</v>
      </c>
      <c r="BA463" s="61">
        <f t="shared" si="41"/>
        <v>83.419700000000006</v>
      </c>
    </row>
    <row r="464" spans="1:53" ht="22.5" customHeight="1">
      <c r="A464" s="51" t="s">
        <v>63</v>
      </c>
      <c r="B464" s="52" t="s">
        <v>64</v>
      </c>
      <c r="C464" s="53">
        <v>4017616</v>
      </c>
      <c r="D464" s="65" t="s">
        <v>667</v>
      </c>
      <c r="E464" s="65" t="s">
        <v>669</v>
      </c>
      <c r="F464" s="55">
        <v>11499</v>
      </c>
      <c r="G464" s="55">
        <v>6899</v>
      </c>
      <c r="H464" s="55">
        <v>8099</v>
      </c>
      <c r="I464" s="55">
        <v>8099</v>
      </c>
      <c r="J464" s="55">
        <v>7999</v>
      </c>
      <c r="K464" s="55">
        <v>7999</v>
      </c>
      <c r="L464" s="55">
        <v>7999</v>
      </c>
      <c r="M464" s="55">
        <v>7999</v>
      </c>
      <c r="N464" s="55">
        <v>7999</v>
      </c>
      <c r="O464" s="55">
        <v>7799</v>
      </c>
      <c r="P464" s="56">
        <v>7699</v>
      </c>
      <c r="Q464" s="56">
        <v>6999</v>
      </c>
      <c r="R464" s="55">
        <v>7799</v>
      </c>
      <c r="S464" s="55">
        <v>7699</v>
      </c>
      <c r="T464" s="55">
        <v>6999</v>
      </c>
      <c r="U464" s="55">
        <v>6999</v>
      </c>
      <c r="V464" s="55">
        <v>6999</v>
      </c>
      <c r="W464" s="55">
        <v>6999</v>
      </c>
      <c r="X464" s="55">
        <v>6899</v>
      </c>
      <c r="Y464" s="55">
        <v>6199</v>
      </c>
      <c r="Z464" s="55">
        <v>6199</v>
      </c>
      <c r="AA464" s="55">
        <v>5999</v>
      </c>
      <c r="AB464" s="55">
        <v>7999</v>
      </c>
      <c r="AC464" s="55">
        <v>7999</v>
      </c>
      <c r="AD464" s="55">
        <v>7999</v>
      </c>
      <c r="AE464" s="55">
        <v>7999</v>
      </c>
      <c r="AF464" s="55">
        <v>7799</v>
      </c>
      <c r="AG464" s="55">
        <v>7699</v>
      </c>
      <c r="AH464" s="55">
        <v>6999</v>
      </c>
      <c r="AI464" s="55">
        <v>6999</v>
      </c>
      <c r="AJ464" s="55">
        <v>6999</v>
      </c>
      <c r="AK464" s="55">
        <v>6999</v>
      </c>
      <c r="AL464" s="55">
        <v>6199</v>
      </c>
      <c r="AM464" s="55"/>
      <c r="AN464" s="55"/>
      <c r="AO464" s="55"/>
      <c r="AP464" s="55"/>
      <c r="AQ464" s="55"/>
      <c r="AR464" s="55"/>
      <c r="AS464" s="55"/>
      <c r="AT464" s="55"/>
      <c r="AU464" s="55"/>
      <c r="AV464" s="57"/>
      <c r="AW464" s="58" t="s">
        <v>67</v>
      </c>
      <c r="AX464" s="59" t="s">
        <v>68</v>
      </c>
      <c r="AY464" s="60">
        <f t="shared" si="39"/>
        <v>163.59979999999999</v>
      </c>
      <c r="AZ464" s="60">
        <f t="shared" si="40"/>
        <v>147.40180000000001</v>
      </c>
      <c r="BA464" s="61">
        <f t="shared" si="41"/>
        <v>83.419700000000006</v>
      </c>
    </row>
    <row r="465" spans="1:53" ht="22.5" customHeight="1">
      <c r="A465" s="51" t="s">
        <v>63</v>
      </c>
      <c r="B465" s="52" t="s">
        <v>64</v>
      </c>
      <c r="C465" s="53">
        <v>4017725</v>
      </c>
      <c r="D465" s="65" t="s">
        <v>667</v>
      </c>
      <c r="E465" s="65" t="s">
        <v>670</v>
      </c>
      <c r="F465" s="55">
        <v>11499</v>
      </c>
      <c r="G465" s="55">
        <v>6899</v>
      </c>
      <c r="H465" s="55">
        <v>8099</v>
      </c>
      <c r="I465" s="55">
        <v>8099</v>
      </c>
      <c r="J465" s="55">
        <v>7999</v>
      </c>
      <c r="K465" s="55">
        <v>7999</v>
      </c>
      <c r="L465" s="55">
        <v>7999</v>
      </c>
      <c r="M465" s="55">
        <v>7999</v>
      </c>
      <c r="N465" s="55">
        <v>7999</v>
      </c>
      <c r="O465" s="55">
        <v>7799</v>
      </c>
      <c r="P465" s="56">
        <v>7699</v>
      </c>
      <c r="Q465" s="56">
        <v>6999</v>
      </c>
      <c r="R465" s="55">
        <v>7799</v>
      </c>
      <c r="S465" s="55">
        <v>7699</v>
      </c>
      <c r="T465" s="55">
        <v>6999</v>
      </c>
      <c r="U465" s="55">
        <v>6999</v>
      </c>
      <c r="V465" s="55">
        <v>6999</v>
      </c>
      <c r="W465" s="55">
        <v>6999</v>
      </c>
      <c r="X465" s="55">
        <v>6899</v>
      </c>
      <c r="Y465" s="55">
        <v>6199</v>
      </c>
      <c r="Z465" s="55">
        <v>6199</v>
      </c>
      <c r="AA465" s="55">
        <v>5999</v>
      </c>
      <c r="AB465" s="55">
        <v>7999</v>
      </c>
      <c r="AC465" s="55">
        <v>7999</v>
      </c>
      <c r="AD465" s="55">
        <v>7999</v>
      </c>
      <c r="AE465" s="55">
        <v>7999</v>
      </c>
      <c r="AF465" s="55">
        <v>7799</v>
      </c>
      <c r="AG465" s="55">
        <v>7699</v>
      </c>
      <c r="AH465" s="55">
        <v>6999</v>
      </c>
      <c r="AI465" s="55">
        <v>6999</v>
      </c>
      <c r="AJ465" s="55">
        <v>6999</v>
      </c>
      <c r="AK465" s="55">
        <v>6999</v>
      </c>
      <c r="AL465" s="55">
        <v>6199</v>
      </c>
      <c r="AM465" s="55"/>
      <c r="AN465" s="55"/>
      <c r="AO465" s="55"/>
      <c r="AP465" s="55"/>
      <c r="AQ465" s="55"/>
      <c r="AR465" s="55"/>
      <c r="AS465" s="55"/>
      <c r="AT465" s="55"/>
      <c r="AU465" s="55"/>
      <c r="AV465" s="57"/>
      <c r="AW465" s="58" t="s">
        <v>67</v>
      </c>
      <c r="AX465" s="59" t="s">
        <v>68</v>
      </c>
      <c r="AY465" s="60">
        <f t="shared" si="39"/>
        <v>163.59979999999999</v>
      </c>
      <c r="AZ465" s="60">
        <f t="shared" si="40"/>
        <v>147.40180000000001</v>
      </c>
      <c r="BA465" s="61">
        <f t="shared" si="41"/>
        <v>83.419700000000006</v>
      </c>
    </row>
    <row r="466" spans="1:53" ht="22.5" customHeight="1">
      <c r="A466" s="51" t="s">
        <v>63</v>
      </c>
      <c r="B466" s="52" t="s">
        <v>64</v>
      </c>
      <c r="C466" s="53">
        <v>4017731</v>
      </c>
      <c r="D466" s="65" t="s">
        <v>667</v>
      </c>
      <c r="E466" s="65" t="s">
        <v>671</v>
      </c>
      <c r="F466" s="55">
        <v>11499</v>
      </c>
      <c r="G466" s="55">
        <v>6899</v>
      </c>
      <c r="H466" s="55">
        <v>8099</v>
      </c>
      <c r="I466" s="55">
        <v>8099</v>
      </c>
      <c r="J466" s="55">
        <v>7999</v>
      </c>
      <c r="K466" s="55">
        <v>7999</v>
      </c>
      <c r="L466" s="55">
        <v>7999</v>
      </c>
      <c r="M466" s="55">
        <v>7999</v>
      </c>
      <c r="N466" s="55">
        <v>7999</v>
      </c>
      <c r="O466" s="55">
        <v>7799</v>
      </c>
      <c r="P466" s="56">
        <v>7699</v>
      </c>
      <c r="Q466" s="56">
        <v>6999</v>
      </c>
      <c r="R466" s="55">
        <v>7799</v>
      </c>
      <c r="S466" s="55">
        <v>7699</v>
      </c>
      <c r="T466" s="55">
        <v>6999</v>
      </c>
      <c r="U466" s="55">
        <v>6999</v>
      </c>
      <c r="V466" s="55">
        <v>6999</v>
      </c>
      <c r="W466" s="55">
        <v>6999</v>
      </c>
      <c r="X466" s="55">
        <v>6899</v>
      </c>
      <c r="Y466" s="55">
        <v>6199</v>
      </c>
      <c r="Z466" s="55">
        <v>6199</v>
      </c>
      <c r="AA466" s="55">
        <v>5999</v>
      </c>
      <c r="AB466" s="55">
        <v>7999</v>
      </c>
      <c r="AC466" s="55">
        <v>7999</v>
      </c>
      <c r="AD466" s="55">
        <v>7999</v>
      </c>
      <c r="AE466" s="55">
        <v>7999</v>
      </c>
      <c r="AF466" s="55">
        <v>7799</v>
      </c>
      <c r="AG466" s="55">
        <v>7699</v>
      </c>
      <c r="AH466" s="55">
        <v>6999</v>
      </c>
      <c r="AI466" s="55">
        <v>6999</v>
      </c>
      <c r="AJ466" s="55">
        <v>6999</v>
      </c>
      <c r="AK466" s="55">
        <v>6999</v>
      </c>
      <c r="AL466" s="55">
        <v>6199</v>
      </c>
      <c r="AM466" s="55"/>
      <c r="AN466" s="55"/>
      <c r="AO466" s="55"/>
      <c r="AP466" s="55"/>
      <c r="AQ466" s="55"/>
      <c r="AR466" s="55"/>
      <c r="AS466" s="55"/>
      <c r="AT466" s="55"/>
      <c r="AU466" s="55"/>
      <c r="AV466" s="57"/>
      <c r="AW466" s="58" t="s">
        <v>67</v>
      </c>
      <c r="AX466" s="59" t="s">
        <v>68</v>
      </c>
      <c r="AY466" s="60">
        <f t="shared" si="39"/>
        <v>163.59979999999999</v>
      </c>
      <c r="AZ466" s="60">
        <f t="shared" si="40"/>
        <v>147.40180000000001</v>
      </c>
      <c r="BA466" s="61">
        <f t="shared" si="41"/>
        <v>83.419700000000006</v>
      </c>
    </row>
    <row r="467" spans="1:53" ht="22.5" customHeight="1">
      <c r="A467" s="51" t="s">
        <v>63</v>
      </c>
      <c r="B467" s="52" t="s">
        <v>64</v>
      </c>
      <c r="C467" s="53">
        <v>4017734</v>
      </c>
      <c r="D467" s="65" t="s">
        <v>667</v>
      </c>
      <c r="E467" s="65" t="s">
        <v>672</v>
      </c>
      <c r="F467" s="55">
        <v>11499</v>
      </c>
      <c r="G467" s="55">
        <v>6899</v>
      </c>
      <c r="H467" s="55">
        <v>8099</v>
      </c>
      <c r="I467" s="55">
        <v>8099</v>
      </c>
      <c r="J467" s="55">
        <v>7999</v>
      </c>
      <c r="K467" s="55">
        <v>7999</v>
      </c>
      <c r="L467" s="55">
        <v>7999</v>
      </c>
      <c r="M467" s="55">
        <v>7999</v>
      </c>
      <c r="N467" s="55">
        <v>7999</v>
      </c>
      <c r="O467" s="55">
        <v>7799</v>
      </c>
      <c r="P467" s="56">
        <v>7699</v>
      </c>
      <c r="Q467" s="56">
        <v>6999</v>
      </c>
      <c r="R467" s="55">
        <v>7799</v>
      </c>
      <c r="S467" s="55">
        <v>7699</v>
      </c>
      <c r="T467" s="55">
        <v>6999</v>
      </c>
      <c r="U467" s="55">
        <v>6999</v>
      </c>
      <c r="V467" s="55">
        <v>6999</v>
      </c>
      <c r="W467" s="55">
        <v>6999</v>
      </c>
      <c r="X467" s="55">
        <v>6899</v>
      </c>
      <c r="Y467" s="55">
        <v>6199</v>
      </c>
      <c r="Z467" s="55">
        <v>6199</v>
      </c>
      <c r="AA467" s="55">
        <v>5999</v>
      </c>
      <c r="AB467" s="55">
        <v>7999</v>
      </c>
      <c r="AC467" s="55">
        <v>7999</v>
      </c>
      <c r="AD467" s="55">
        <v>7999</v>
      </c>
      <c r="AE467" s="55">
        <v>7999</v>
      </c>
      <c r="AF467" s="55">
        <v>7799</v>
      </c>
      <c r="AG467" s="55">
        <v>7699</v>
      </c>
      <c r="AH467" s="55">
        <v>6999</v>
      </c>
      <c r="AI467" s="55">
        <v>6999</v>
      </c>
      <c r="AJ467" s="55">
        <v>6999</v>
      </c>
      <c r="AK467" s="55">
        <v>6999</v>
      </c>
      <c r="AL467" s="55">
        <v>6199</v>
      </c>
      <c r="AM467" s="55"/>
      <c r="AN467" s="55"/>
      <c r="AO467" s="55"/>
      <c r="AP467" s="55"/>
      <c r="AQ467" s="55"/>
      <c r="AR467" s="55"/>
      <c r="AS467" s="55"/>
      <c r="AT467" s="55"/>
      <c r="AU467" s="55"/>
      <c r="AV467" s="57"/>
      <c r="AW467" s="58" t="s">
        <v>67</v>
      </c>
      <c r="AX467" s="59" t="s">
        <v>68</v>
      </c>
      <c r="AY467" s="60">
        <f t="shared" si="39"/>
        <v>163.59979999999999</v>
      </c>
      <c r="AZ467" s="60">
        <f t="shared" si="40"/>
        <v>147.40180000000001</v>
      </c>
      <c r="BA467" s="61">
        <f t="shared" si="41"/>
        <v>83.419700000000006</v>
      </c>
    </row>
    <row r="468" spans="1:53" ht="22.5" customHeight="1">
      <c r="A468" s="51" t="s">
        <v>63</v>
      </c>
      <c r="B468" s="52" t="s">
        <v>64</v>
      </c>
      <c r="C468" s="53">
        <v>4017728</v>
      </c>
      <c r="D468" s="65" t="s">
        <v>667</v>
      </c>
      <c r="E468" s="65" t="s">
        <v>673</v>
      </c>
      <c r="F468" s="55">
        <v>11499</v>
      </c>
      <c r="G468" s="55">
        <v>6899</v>
      </c>
      <c r="H468" s="55">
        <v>8099</v>
      </c>
      <c r="I468" s="55">
        <v>8099</v>
      </c>
      <c r="J468" s="55">
        <v>7999</v>
      </c>
      <c r="K468" s="55">
        <v>7999</v>
      </c>
      <c r="L468" s="55">
        <v>7999</v>
      </c>
      <c r="M468" s="55">
        <v>7999</v>
      </c>
      <c r="N468" s="55">
        <v>7999</v>
      </c>
      <c r="O468" s="55">
        <v>7799</v>
      </c>
      <c r="P468" s="56">
        <v>7699</v>
      </c>
      <c r="Q468" s="56">
        <v>6999</v>
      </c>
      <c r="R468" s="55">
        <v>7799</v>
      </c>
      <c r="S468" s="55">
        <v>7699</v>
      </c>
      <c r="T468" s="55">
        <v>6999</v>
      </c>
      <c r="U468" s="55">
        <v>6999</v>
      </c>
      <c r="V468" s="55">
        <v>6999</v>
      </c>
      <c r="W468" s="55">
        <v>6999</v>
      </c>
      <c r="X468" s="55">
        <v>6899</v>
      </c>
      <c r="Y468" s="55">
        <v>6199</v>
      </c>
      <c r="Z468" s="55">
        <v>6199</v>
      </c>
      <c r="AA468" s="55">
        <v>5999</v>
      </c>
      <c r="AB468" s="55">
        <v>7999</v>
      </c>
      <c r="AC468" s="55">
        <v>7999</v>
      </c>
      <c r="AD468" s="55">
        <v>7999</v>
      </c>
      <c r="AE468" s="55">
        <v>7999</v>
      </c>
      <c r="AF468" s="55">
        <v>7799</v>
      </c>
      <c r="AG468" s="55">
        <v>7699</v>
      </c>
      <c r="AH468" s="55">
        <v>6999</v>
      </c>
      <c r="AI468" s="55">
        <v>6999</v>
      </c>
      <c r="AJ468" s="55">
        <v>6999</v>
      </c>
      <c r="AK468" s="55">
        <v>6999</v>
      </c>
      <c r="AL468" s="55">
        <v>6199</v>
      </c>
      <c r="AM468" s="55"/>
      <c r="AN468" s="55"/>
      <c r="AO468" s="55"/>
      <c r="AP468" s="55"/>
      <c r="AQ468" s="55"/>
      <c r="AR468" s="55"/>
      <c r="AS468" s="55"/>
      <c r="AT468" s="55"/>
      <c r="AU468" s="55"/>
      <c r="AV468" s="57"/>
      <c r="AW468" s="58" t="s">
        <v>67</v>
      </c>
      <c r="AX468" s="59" t="s">
        <v>68</v>
      </c>
      <c r="AY468" s="60">
        <f t="shared" si="39"/>
        <v>163.59979999999999</v>
      </c>
      <c r="AZ468" s="60">
        <f t="shared" si="40"/>
        <v>147.40180000000001</v>
      </c>
      <c r="BA468" s="61">
        <f t="shared" si="41"/>
        <v>83.419700000000006</v>
      </c>
    </row>
    <row r="469" spans="1:53" ht="22.5" customHeight="1">
      <c r="A469" s="51" t="s">
        <v>63</v>
      </c>
      <c r="B469" s="52" t="s">
        <v>64</v>
      </c>
      <c r="C469" s="53">
        <v>4017611</v>
      </c>
      <c r="D469" s="65" t="s">
        <v>674</v>
      </c>
      <c r="E469" s="65" t="s">
        <v>675</v>
      </c>
      <c r="F469" s="55">
        <v>13099</v>
      </c>
      <c r="G469" s="55">
        <v>6499</v>
      </c>
      <c r="H469" s="55">
        <v>9799</v>
      </c>
      <c r="I469" s="55">
        <v>9799</v>
      </c>
      <c r="J469" s="55">
        <v>9499</v>
      </c>
      <c r="K469" s="55">
        <v>9499</v>
      </c>
      <c r="L469" s="55">
        <v>9499</v>
      </c>
      <c r="M469" s="55">
        <v>9499</v>
      </c>
      <c r="N469" s="55">
        <v>9499</v>
      </c>
      <c r="O469" s="55">
        <v>9399</v>
      </c>
      <c r="P469" s="56">
        <v>9299</v>
      </c>
      <c r="Q469" s="56">
        <v>8799</v>
      </c>
      <c r="R469" s="55">
        <v>9399</v>
      </c>
      <c r="S469" s="55">
        <v>9299</v>
      </c>
      <c r="T469" s="55">
        <v>8799</v>
      </c>
      <c r="U469" s="55">
        <v>8799</v>
      </c>
      <c r="V469" s="55">
        <v>8799</v>
      </c>
      <c r="W469" s="55">
        <v>8799</v>
      </c>
      <c r="X469" s="55">
        <v>8699</v>
      </c>
      <c r="Y469" s="55">
        <v>7199</v>
      </c>
      <c r="Z469" s="55">
        <v>7199</v>
      </c>
      <c r="AA469" s="55">
        <v>6999</v>
      </c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7"/>
      <c r="AW469" s="58" t="s">
        <v>67</v>
      </c>
      <c r="AX469" s="59" t="s">
        <v>68</v>
      </c>
      <c r="AY469" s="60">
        <f t="shared" si="39"/>
        <v>197.93979999999999</v>
      </c>
      <c r="AZ469" s="60">
        <f t="shared" si="40"/>
        <v>178.34180000000001</v>
      </c>
      <c r="BA469" s="61">
        <f t="shared" si="41"/>
        <v>100.9297</v>
      </c>
    </row>
    <row r="470" spans="1:53" ht="22.5" customHeight="1">
      <c r="A470" s="51" t="s">
        <v>63</v>
      </c>
      <c r="B470" s="52" t="s">
        <v>64</v>
      </c>
      <c r="C470" s="53">
        <v>4017613</v>
      </c>
      <c r="D470" s="65" t="s">
        <v>674</v>
      </c>
      <c r="E470" s="65" t="s">
        <v>676</v>
      </c>
      <c r="F470" s="55">
        <v>13099</v>
      </c>
      <c r="G470" s="55">
        <v>6499</v>
      </c>
      <c r="H470" s="55">
        <v>9799</v>
      </c>
      <c r="I470" s="55">
        <v>9799</v>
      </c>
      <c r="J470" s="55">
        <v>9499</v>
      </c>
      <c r="K470" s="55">
        <v>9499</v>
      </c>
      <c r="L470" s="55">
        <v>9499</v>
      </c>
      <c r="M470" s="55">
        <v>9499</v>
      </c>
      <c r="N470" s="55">
        <v>9499</v>
      </c>
      <c r="O470" s="55">
        <v>9399</v>
      </c>
      <c r="P470" s="56">
        <v>9299</v>
      </c>
      <c r="Q470" s="56">
        <v>8799</v>
      </c>
      <c r="R470" s="55">
        <v>9399</v>
      </c>
      <c r="S470" s="55">
        <v>9299</v>
      </c>
      <c r="T470" s="55">
        <v>8799</v>
      </c>
      <c r="U470" s="55">
        <v>8799</v>
      </c>
      <c r="V470" s="55">
        <v>8799</v>
      </c>
      <c r="W470" s="55">
        <v>8799</v>
      </c>
      <c r="X470" s="55">
        <v>8699</v>
      </c>
      <c r="Y470" s="55">
        <v>7199</v>
      </c>
      <c r="Z470" s="55">
        <v>7199</v>
      </c>
      <c r="AA470" s="55">
        <v>6999</v>
      </c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  <c r="AV470" s="57"/>
      <c r="AW470" s="58" t="s">
        <v>67</v>
      </c>
      <c r="AX470" s="59" t="s">
        <v>68</v>
      </c>
      <c r="AY470" s="60">
        <f t="shared" si="39"/>
        <v>197.93979999999999</v>
      </c>
      <c r="AZ470" s="60">
        <f t="shared" si="40"/>
        <v>178.34180000000001</v>
      </c>
      <c r="BA470" s="61">
        <f t="shared" si="41"/>
        <v>100.9297</v>
      </c>
    </row>
    <row r="471" spans="1:53" ht="22.5" customHeight="1">
      <c r="A471" s="51" t="s">
        <v>63</v>
      </c>
      <c r="B471" s="52" t="s">
        <v>64</v>
      </c>
      <c r="C471" s="53">
        <v>4017723</v>
      </c>
      <c r="D471" s="65" t="s">
        <v>674</v>
      </c>
      <c r="E471" s="65" t="s">
        <v>677</v>
      </c>
      <c r="F471" s="55">
        <v>13099</v>
      </c>
      <c r="G471" s="55">
        <v>6499</v>
      </c>
      <c r="H471" s="55">
        <v>9799</v>
      </c>
      <c r="I471" s="55">
        <v>9799</v>
      </c>
      <c r="J471" s="55">
        <v>9499</v>
      </c>
      <c r="K471" s="55">
        <v>9499</v>
      </c>
      <c r="L471" s="55">
        <v>9499</v>
      </c>
      <c r="M471" s="55">
        <v>9499</v>
      </c>
      <c r="N471" s="55">
        <v>9499</v>
      </c>
      <c r="O471" s="55">
        <v>9399</v>
      </c>
      <c r="P471" s="56">
        <v>9299</v>
      </c>
      <c r="Q471" s="56">
        <v>8799</v>
      </c>
      <c r="R471" s="55">
        <v>9399</v>
      </c>
      <c r="S471" s="55">
        <v>9299</v>
      </c>
      <c r="T471" s="55">
        <v>8799</v>
      </c>
      <c r="U471" s="55">
        <v>8799</v>
      </c>
      <c r="V471" s="55">
        <v>8799</v>
      </c>
      <c r="W471" s="55">
        <v>8799</v>
      </c>
      <c r="X471" s="55">
        <v>8699</v>
      </c>
      <c r="Y471" s="55">
        <v>7199</v>
      </c>
      <c r="Z471" s="55">
        <v>7199</v>
      </c>
      <c r="AA471" s="55">
        <v>6999</v>
      </c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  <c r="AV471" s="57"/>
      <c r="AW471" s="58" t="s">
        <v>67</v>
      </c>
      <c r="AX471" s="59" t="s">
        <v>68</v>
      </c>
      <c r="AY471" s="60">
        <f t="shared" si="39"/>
        <v>197.93979999999999</v>
      </c>
      <c r="AZ471" s="60">
        <f t="shared" si="40"/>
        <v>178.34180000000001</v>
      </c>
      <c r="BA471" s="61">
        <f t="shared" si="41"/>
        <v>100.9297</v>
      </c>
    </row>
    <row r="472" spans="1:53" ht="22.5" customHeight="1">
      <c r="A472" s="51" t="s">
        <v>63</v>
      </c>
      <c r="B472" s="52" t="s">
        <v>64</v>
      </c>
      <c r="C472" s="53">
        <v>4017726</v>
      </c>
      <c r="D472" s="65" t="s">
        <v>674</v>
      </c>
      <c r="E472" s="65" t="s">
        <v>678</v>
      </c>
      <c r="F472" s="55">
        <v>13099</v>
      </c>
      <c r="G472" s="55">
        <v>6499</v>
      </c>
      <c r="H472" s="55">
        <v>9799</v>
      </c>
      <c r="I472" s="55">
        <v>9799</v>
      </c>
      <c r="J472" s="55">
        <v>9499</v>
      </c>
      <c r="K472" s="55">
        <v>9499</v>
      </c>
      <c r="L472" s="55">
        <v>9499</v>
      </c>
      <c r="M472" s="55">
        <v>9499</v>
      </c>
      <c r="N472" s="55">
        <v>9499</v>
      </c>
      <c r="O472" s="55">
        <v>9399</v>
      </c>
      <c r="P472" s="56">
        <v>9299</v>
      </c>
      <c r="Q472" s="56">
        <v>8799</v>
      </c>
      <c r="R472" s="55">
        <v>9399</v>
      </c>
      <c r="S472" s="55">
        <v>9299</v>
      </c>
      <c r="T472" s="55">
        <v>8799</v>
      </c>
      <c r="U472" s="55">
        <v>8799</v>
      </c>
      <c r="V472" s="55">
        <v>8799</v>
      </c>
      <c r="W472" s="55">
        <v>8799</v>
      </c>
      <c r="X472" s="55">
        <v>8699</v>
      </c>
      <c r="Y472" s="55">
        <v>7199</v>
      </c>
      <c r="Z472" s="55">
        <v>7199</v>
      </c>
      <c r="AA472" s="55">
        <v>6999</v>
      </c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  <c r="AV472" s="57"/>
      <c r="AW472" s="58" t="s">
        <v>67</v>
      </c>
      <c r="AX472" s="59" t="s">
        <v>68</v>
      </c>
      <c r="AY472" s="60">
        <f t="shared" si="39"/>
        <v>197.93979999999999</v>
      </c>
      <c r="AZ472" s="60">
        <f t="shared" si="40"/>
        <v>178.34180000000001</v>
      </c>
      <c r="BA472" s="61">
        <f t="shared" si="41"/>
        <v>100.9297</v>
      </c>
    </row>
    <row r="473" spans="1:53" ht="22.5" customHeight="1">
      <c r="A473" s="51" t="s">
        <v>63</v>
      </c>
      <c r="B473" s="52" t="s">
        <v>64</v>
      </c>
      <c r="C473" s="53">
        <v>4017730</v>
      </c>
      <c r="D473" s="65" t="s">
        <v>674</v>
      </c>
      <c r="E473" s="65" t="s">
        <v>679</v>
      </c>
      <c r="F473" s="55">
        <v>13099</v>
      </c>
      <c r="G473" s="55">
        <v>6499</v>
      </c>
      <c r="H473" s="55">
        <v>9799</v>
      </c>
      <c r="I473" s="55">
        <v>9799</v>
      </c>
      <c r="J473" s="55">
        <v>9499</v>
      </c>
      <c r="K473" s="55">
        <v>9499</v>
      </c>
      <c r="L473" s="55">
        <v>9499</v>
      </c>
      <c r="M473" s="55">
        <v>9499</v>
      </c>
      <c r="N473" s="55">
        <v>9499</v>
      </c>
      <c r="O473" s="55">
        <v>9399</v>
      </c>
      <c r="P473" s="56">
        <v>9299</v>
      </c>
      <c r="Q473" s="56">
        <v>8799</v>
      </c>
      <c r="R473" s="55">
        <v>9399</v>
      </c>
      <c r="S473" s="55">
        <v>9299</v>
      </c>
      <c r="T473" s="55">
        <v>8799</v>
      </c>
      <c r="U473" s="55">
        <v>8799</v>
      </c>
      <c r="V473" s="55">
        <v>8799</v>
      </c>
      <c r="W473" s="55">
        <v>8799</v>
      </c>
      <c r="X473" s="55">
        <v>8699</v>
      </c>
      <c r="Y473" s="55">
        <v>7199</v>
      </c>
      <c r="Z473" s="55">
        <v>7199</v>
      </c>
      <c r="AA473" s="55">
        <v>6999</v>
      </c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7"/>
      <c r="AW473" s="58" t="s">
        <v>67</v>
      </c>
      <c r="AX473" s="59" t="s">
        <v>68</v>
      </c>
      <c r="AY473" s="60">
        <f t="shared" si="39"/>
        <v>197.93979999999999</v>
      </c>
      <c r="AZ473" s="60">
        <f t="shared" si="40"/>
        <v>178.34180000000001</v>
      </c>
      <c r="BA473" s="61">
        <f t="shared" si="41"/>
        <v>100.9297</v>
      </c>
    </row>
    <row r="474" spans="1:53" ht="22.5" customHeight="1">
      <c r="A474" s="51" t="s">
        <v>63</v>
      </c>
      <c r="B474" s="52" t="s">
        <v>64</v>
      </c>
      <c r="C474" s="53">
        <v>4017732</v>
      </c>
      <c r="D474" s="65" t="s">
        <v>674</v>
      </c>
      <c r="E474" s="65" t="s">
        <v>680</v>
      </c>
      <c r="F474" s="55">
        <v>13099</v>
      </c>
      <c r="G474" s="55">
        <v>6499</v>
      </c>
      <c r="H474" s="55">
        <v>9799</v>
      </c>
      <c r="I474" s="55">
        <v>9799</v>
      </c>
      <c r="J474" s="55">
        <v>9499</v>
      </c>
      <c r="K474" s="55">
        <v>9499</v>
      </c>
      <c r="L474" s="55">
        <v>9499</v>
      </c>
      <c r="M474" s="55">
        <v>9499</v>
      </c>
      <c r="N474" s="55">
        <v>9499</v>
      </c>
      <c r="O474" s="55">
        <v>9399</v>
      </c>
      <c r="P474" s="56">
        <v>9299</v>
      </c>
      <c r="Q474" s="56">
        <v>8799</v>
      </c>
      <c r="R474" s="55">
        <v>9399</v>
      </c>
      <c r="S474" s="55">
        <v>9299</v>
      </c>
      <c r="T474" s="55">
        <v>8799</v>
      </c>
      <c r="U474" s="55">
        <v>8799</v>
      </c>
      <c r="V474" s="55">
        <v>8799</v>
      </c>
      <c r="W474" s="55">
        <v>8799</v>
      </c>
      <c r="X474" s="55">
        <v>8699</v>
      </c>
      <c r="Y474" s="55">
        <v>7199</v>
      </c>
      <c r="Z474" s="55">
        <v>7199</v>
      </c>
      <c r="AA474" s="55">
        <v>6999</v>
      </c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7"/>
      <c r="AW474" s="58" t="s">
        <v>67</v>
      </c>
      <c r="AX474" s="59" t="s">
        <v>68</v>
      </c>
      <c r="AY474" s="60">
        <f t="shared" si="39"/>
        <v>197.93979999999999</v>
      </c>
      <c r="AZ474" s="60">
        <f t="shared" si="40"/>
        <v>178.34180000000001</v>
      </c>
      <c r="BA474" s="61">
        <f t="shared" si="41"/>
        <v>100.9297</v>
      </c>
    </row>
    <row r="475" spans="1:53" ht="22.5" customHeight="1">
      <c r="A475" s="51" t="s">
        <v>63</v>
      </c>
      <c r="B475" s="52" t="s">
        <v>64</v>
      </c>
      <c r="C475" s="53">
        <v>4018263</v>
      </c>
      <c r="D475" s="65" t="s">
        <v>681</v>
      </c>
      <c r="E475" s="65" t="s">
        <v>682</v>
      </c>
      <c r="F475" s="55">
        <v>6299</v>
      </c>
      <c r="G475" s="55">
        <v>1999</v>
      </c>
      <c r="H475" s="55">
        <v>4699</v>
      </c>
      <c r="I475" s="55">
        <v>4699</v>
      </c>
      <c r="J475" s="55">
        <v>4599</v>
      </c>
      <c r="K475" s="55">
        <v>4599</v>
      </c>
      <c r="L475" s="55">
        <v>4599</v>
      </c>
      <c r="M475" s="55">
        <v>4599</v>
      </c>
      <c r="N475" s="55">
        <v>4599</v>
      </c>
      <c r="O475" s="55">
        <v>4499</v>
      </c>
      <c r="P475" s="56">
        <v>4299</v>
      </c>
      <c r="Q475" s="56">
        <v>3999</v>
      </c>
      <c r="R475" s="55">
        <v>4499</v>
      </c>
      <c r="S475" s="55">
        <v>4299</v>
      </c>
      <c r="T475" s="55">
        <v>3999</v>
      </c>
      <c r="U475" s="55">
        <v>3999</v>
      </c>
      <c r="V475" s="55">
        <v>3999</v>
      </c>
      <c r="W475" s="55">
        <v>3999</v>
      </c>
      <c r="X475" s="55">
        <v>3899</v>
      </c>
      <c r="Y475" s="55">
        <v>2999</v>
      </c>
      <c r="Z475" s="55">
        <v>2999</v>
      </c>
      <c r="AA475" s="55">
        <v>2899</v>
      </c>
      <c r="AB475" s="55">
        <v>4599</v>
      </c>
      <c r="AC475" s="55">
        <v>4599</v>
      </c>
      <c r="AD475" s="55">
        <v>4599</v>
      </c>
      <c r="AE475" s="55">
        <v>4599</v>
      </c>
      <c r="AF475" s="55">
        <v>4499</v>
      </c>
      <c r="AG475" s="55">
        <v>4299</v>
      </c>
      <c r="AH475" s="55">
        <v>3999</v>
      </c>
      <c r="AI475" s="55">
        <v>3999</v>
      </c>
      <c r="AJ475" s="55">
        <v>3999</v>
      </c>
      <c r="AK475" s="55">
        <v>3999</v>
      </c>
      <c r="AL475" s="55">
        <v>2999</v>
      </c>
      <c r="AM475" s="55"/>
      <c r="AN475" s="55"/>
      <c r="AO475" s="55"/>
      <c r="AP475" s="55"/>
      <c r="AQ475" s="55"/>
      <c r="AR475" s="55"/>
      <c r="AS475" s="55"/>
      <c r="AT475" s="55"/>
      <c r="AU475" s="55"/>
      <c r="AV475" s="57"/>
      <c r="AW475" s="58" t="s">
        <v>67</v>
      </c>
      <c r="AX475" s="59" t="s">
        <v>68</v>
      </c>
      <c r="AY475" s="62">
        <f t="shared" si="39"/>
        <v>94.919799999999995</v>
      </c>
      <c r="AZ475" s="62">
        <f t="shared" si="40"/>
        <v>85.521799999999999</v>
      </c>
      <c r="BA475" s="63">
        <f t="shared" si="41"/>
        <v>48.399700000000003</v>
      </c>
    </row>
    <row r="476" spans="1:53" ht="22.5" customHeight="1">
      <c r="A476" s="51" t="s">
        <v>63</v>
      </c>
      <c r="B476" s="52" t="s">
        <v>64</v>
      </c>
      <c r="C476" s="53">
        <v>4018256</v>
      </c>
      <c r="D476" s="65" t="s">
        <v>681</v>
      </c>
      <c r="E476" s="65" t="s">
        <v>683</v>
      </c>
      <c r="F476" s="55">
        <v>6299</v>
      </c>
      <c r="G476" s="55">
        <v>1999</v>
      </c>
      <c r="H476" s="55">
        <v>4699</v>
      </c>
      <c r="I476" s="55">
        <v>4699</v>
      </c>
      <c r="J476" s="55">
        <v>4599</v>
      </c>
      <c r="K476" s="55">
        <v>4599</v>
      </c>
      <c r="L476" s="55">
        <v>4599</v>
      </c>
      <c r="M476" s="55">
        <v>4599</v>
      </c>
      <c r="N476" s="55">
        <v>4599</v>
      </c>
      <c r="O476" s="55">
        <v>4499</v>
      </c>
      <c r="P476" s="56">
        <v>4299</v>
      </c>
      <c r="Q476" s="56">
        <v>3999</v>
      </c>
      <c r="R476" s="55">
        <v>4499</v>
      </c>
      <c r="S476" s="55">
        <v>4299</v>
      </c>
      <c r="T476" s="55">
        <v>3999</v>
      </c>
      <c r="U476" s="55">
        <v>3999</v>
      </c>
      <c r="V476" s="55">
        <v>3999</v>
      </c>
      <c r="W476" s="55">
        <v>3999</v>
      </c>
      <c r="X476" s="55">
        <v>3899</v>
      </c>
      <c r="Y476" s="55">
        <v>2999</v>
      </c>
      <c r="Z476" s="55">
        <v>2999</v>
      </c>
      <c r="AA476" s="55">
        <v>2899</v>
      </c>
      <c r="AB476" s="55">
        <v>4599</v>
      </c>
      <c r="AC476" s="55">
        <v>4599</v>
      </c>
      <c r="AD476" s="55">
        <v>4599</v>
      </c>
      <c r="AE476" s="55">
        <v>4599</v>
      </c>
      <c r="AF476" s="55">
        <v>4499</v>
      </c>
      <c r="AG476" s="55">
        <v>4299</v>
      </c>
      <c r="AH476" s="55">
        <v>3999</v>
      </c>
      <c r="AI476" s="55">
        <v>3999</v>
      </c>
      <c r="AJ476" s="55">
        <v>3999</v>
      </c>
      <c r="AK476" s="55">
        <v>3999</v>
      </c>
      <c r="AL476" s="55">
        <v>2999</v>
      </c>
      <c r="AM476" s="55"/>
      <c r="AN476" s="55"/>
      <c r="AO476" s="55"/>
      <c r="AP476" s="55"/>
      <c r="AQ476" s="55"/>
      <c r="AR476" s="55"/>
      <c r="AS476" s="55"/>
      <c r="AT476" s="55"/>
      <c r="AU476" s="55"/>
      <c r="AV476" s="57"/>
      <c r="AW476" s="58" t="s">
        <v>67</v>
      </c>
      <c r="AX476" s="59" t="s">
        <v>68</v>
      </c>
      <c r="AY476" s="62">
        <f t="shared" si="39"/>
        <v>94.919799999999995</v>
      </c>
      <c r="AZ476" s="62">
        <f t="shared" si="40"/>
        <v>85.521799999999999</v>
      </c>
      <c r="BA476" s="63">
        <f t="shared" si="41"/>
        <v>48.399700000000003</v>
      </c>
    </row>
    <row r="477" spans="1:53" ht="22.5" customHeight="1">
      <c r="A477" s="51" t="s">
        <v>63</v>
      </c>
      <c r="B477" s="52" t="s">
        <v>64</v>
      </c>
      <c r="C477" s="53">
        <v>4018264</v>
      </c>
      <c r="D477" s="65" t="s">
        <v>681</v>
      </c>
      <c r="E477" s="65" t="s">
        <v>684</v>
      </c>
      <c r="F477" s="55">
        <v>6299</v>
      </c>
      <c r="G477" s="55">
        <v>1999</v>
      </c>
      <c r="H477" s="55">
        <v>4699</v>
      </c>
      <c r="I477" s="55">
        <v>4699</v>
      </c>
      <c r="J477" s="55">
        <v>4599</v>
      </c>
      <c r="K477" s="55">
        <v>4599</v>
      </c>
      <c r="L477" s="55">
        <v>4599</v>
      </c>
      <c r="M477" s="55">
        <v>4599</v>
      </c>
      <c r="N477" s="55">
        <v>4599</v>
      </c>
      <c r="O477" s="55">
        <v>4499</v>
      </c>
      <c r="P477" s="56">
        <v>4299</v>
      </c>
      <c r="Q477" s="56">
        <v>3999</v>
      </c>
      <c r="R477" s="55">
        <v>4499</v>
      </c>
      <c r="S477" s="55">
        <v>4299</v>
      </c>
      <c r="T477" s="55">
        <v>3999</v>
      </c>
      <c r="U477" s="55">
        <v>3999</v>
      </c>
      <c r="V477" s="55">
        <v>3999</v>
      </c>
      <c r="W477" s="55">
        <v>3999</v>
      </c>
      <c r="X477" s="55">
        <v>3899</v>
      </c>
      <c r="Y477" s="55">
        <v>2999</v>
      </c>
      <c r="Z477" s="55">
        <v>2999</v>
      </c>
      <c r="AA477" s="55">
        <v>2899</v>
      </c>
      <c r="AB477" s="55">
        <v>4599</v>
      </c>
      <c r="AC477" s="55">
        <v>4599</v>
      </c>
      <c r="AD477" s="55">
        <v>4599</v>
      </c>
      <c r="AE477" s="55">
        <v>4599</v>
      </c>
      <c r="AF477" s="55">
        <v>4499</v>
      </c>
      <c r="AG477" s="55">
        <v>4299</v>
      </c>
      <c r="AH477" s="55">
        <v>3999</v>
      </c>
      <c r="AI477" s="55">
        <v>3999</v>
      </c>
      <c r="AJ477" s="55">
        <v>3999</v>
      </c>
      <c r="AK477" s="55">
        <v>3999</v>
      </c>
      <c r="AL477" s="55">
        <v>2999</v>
      </c>
      <c r="AM477" s="55"/>
      <c r="AN477" s="55"/>
      <c r="AO477" s="55"/>
      <c r="AP477" s="55"/>
      <c r="AQ477" s="55"/>
      <c r="AR477" s="55"/>
      <c r="AS477" s="55"/>
      <c r="AT477" s="55"/>
      <c r="AU477" s="55"/>
      <c r="AV477" s="57"/>
      <c r="AW477" s="58" t="s">
        <v>67</v>
      </c>
      <c r="AX477" s="59" t="s">
        <v>68</v>
      </c>
      <c r="AY477" s="62">
        <f t="shared" si="39"/>
        <v>94.919799999999995</v>
      </c>
      <c r="AZ477" s="62">
        <f t="shared" si="40"/>
        <v>85.521799999999999</v>
      </c>
      <c r="BA477" s="63">
        <f t="shared" si="41"/>
        <v>48.399700000000003</v>
      </c>
    </row>
    <row r="478" spans="1:53" ht="22.5" customHeight="1">
      <c r="A478" s="51" t="s">
        <v>63</v>
      </c>
      <c r="B478" s="52" t="s">
        <v>64</v>
      </c>
      <c r="C478" s="53">
        <v>4018257</v>
      </c>
      <c r="D478" s="65" t="s">
        <v>681</v>
      </c>
      <c r="E478" s="65" t="s">
        <v>685</v>
      </c>
      <c r="F478" s="55">
        <v>6299</v>
      </c>
      <c r="G478" s="55">
        <v>1999</v>
      </c>
      <c r="H478" s="55">
        <v>4699</v>
      </c>
      <c r="I478" s="55">
        <v>4699</v>
      </c>
      <c r="J478" s="55">
        <v>4599</v>
      </c>
      <c r="K478" s="55">
        <v>4599</v>
      </c>
      <c r="L478" s="55">
        <v>4599</v>
      </c>
      <c r="M478" s="55">
        <v>4599</v>
      </c>
      <c r="N478" s="55">
        <v>4599</v>
      </c>
      <c r="O478" s="55">
        <v>4499</v>
      </c>
      <c r="P478" s="56">
        <v>4299</v>
      </c>
      <c r="Q478" s="56">
        <v>3999</v>
      </c>
      <c r="R478" s="55">
        <v>4499</v>
      </c>
      <c r="S478" s="55">
        <v>4299</v>
      </c>
      <c r="T478" s="55">
        <v>3999</v>
      </c>
      <c r="U478" s="55">
        <v>3999</v>
      </c>
      <c r="V478" s="55">
        <v>3999</v>
      </c>
      <c r="W478" s="55">
        <v>3999</v>
      </c>
      <c r="X478" s="55">
        <v>3899</v>
      </c>
      <c r="Y478" s="55">
        <v>2999</v>
      </c>
      <c r="Z478" s="55">
        <v>2999</v>
      </c>
      <c r="AA478" s="55">
        <v>2899</v>
      </c>
      <c r="AB478" s="55">
        <v>4599</v>
      </c>
      <c r="AC478" s="55">
        <v>4599</v>
      </c>
      <c r="AD478" s="55">
        <v>4599</v>
      </c>
      <c r="AE478" s="55">
        <v>4599</v>
      </c>
      <c r="AF478" s="55">
        <v>4499</v>
      </c>
      <c r="AG478" s="55">
        <v>4299</v>
      </c>
      <c r="AH478" s="55">
        <v>3999</v>
      </c>
      <c r="AI478" s="55">
        <v>3999</v>
      </c>
      <c r="AJ478" s="55">
        <v>3999</v>
      </c>
      <c r="AK478" s="55">
        <v>3999</v>
      </c>
      <c r="AL478" s="55">
        <v>2999</v>
      </c>
      <c r="AM478" s="55"/>
      <c r="AN478" s="55"/>
      <c r="AO478" s="55"/>
      <c r="AP478" s="55"/>
      <c r="AQ478" s="55"/>
      <c r="AR478" s="55"/>
      <c r="AS478" s="55"/>
      <c r="AT478" s="55"/>
      <c r="AU478" s="55"/>
      <c r="AV478" s="57"/>
      <c r="AW478" s="58" t="s">
        <v>67</v>
      </c>
      <c r="AX478" s="59" t="s">
        <v>68</v>
      </c>
      <c r="AY478" s="62">
        <f t="shared" si="39"/>
        <v>94.919799999999995</v>
      </c>
      <c r="AZ478" s="62">
        <f t="shared" si="40"/>
        <v>85.521799999999999</v>
      </c>
      <c r="BA478" s="63">
        <f t="shared" si="41"/>
        <v>48.399700000000003</v>
      </c>
    </row>
    <row r="479" spans="1:53" ht="22.5" customHeight="1">
      <c r="A479" s="51" t="s">
        <v>63</v>
      </c>
      <c r="B479" s="52" t="s">
        <v>64</v>
      </c>
      <c r="C479" s="53">
        <v>4016325</v>
      </c>
      <c r="D479" s="65" t="s">
        <v>686</v>
      </c>
      <c r="E479" s="65" t="s">
        <v>687</v>
      </c>
      <c r="F479" s="55">
        <v>7999</v>
      </c>
      <c r="G479" s="55">
        <v>3399</v>
      </c>
      <c r="H479" s="55">
        <v>3999</v>
      </c>
      <c r="I479" s="55">
        <v>3999</v>
      </c>
      <c r="J479" s="55">
        <v>3899</v>
      </c>
      <c r="K479" s="55">
        <v>3899</v>
      </c>
      <c r="L479" s="55">
        <v>3899</v>
      </c>
      <c r="M479" s="55">
        <v>3899</v>
      </c>
      <c r="N479" s="55">
        <v>3899</v>
      </c>
      <c r="O479" s="55">
        <v>3799</v>
      </c>
      <c r="P479" s="56">
        <v>3699</v>
      </c>
      <c r="Q479" s="56">
        <v>3499</v>
      </c>
      <c r="R479" s="55">
        <v>3799</v>
      </c>
      <c r="S479" s="55">
        <v>3699</v>
      </c>
      <c r="T479" s="55">
        <v>3499</v>
      </c>
      <c r="U479" s="55">
        <v>3499</v>
      </c>
      <c r="V479" s="55">
        <v>3499</v>
      </c>
      <c r="W479" s="55">
        <v>3499</v>
      </c>
      <c r="X479" s="55">
        <v>3399</v>
      </c>
      <c r="Y479" s="55">
        <v>2999</v>
      </c>
      <c r="Z479" s="55">
        <v>2999</v>
      </c>
      <c r="AA479" s="55">
        <v>2999</v>
      </c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  <c r="AS479" s="55"/>
      <c r="AT479" s="55"/>
      <c r="AU479" s="55"/>
      <c r="AV479" s="57"/>
      <c r="AW479" s="58" t="s">
        <v>67</v>
      </c>
      <c r="AX479" s="59" t="s">
        <v>68</v>
      </c>
      <c r="AY479" s="60">
        <f t="shared" si="39"/>
        <v>80.779799999999994</v>
      </c>
      <c r="AZ479" s="60">
        <f t="shared" si="40"/>
        <v>72.781800000000004</v>
      </c>
      <c r="BA479" s="61">
        <f t="shared" si="41"/>
        <v>41.189700000000002</v>
      </c>
    </row>
    <row r="480" spans="1:53" ht="22.5" customHeight="1">
      <c r="A480" s="51" t="s">
        <v>63</v>
      </c>
      <c r="B480" s="52" t="s">
        <v>64</v>
      </c>
      <c r="C480" s="53">
        <v>4016327</v>
      </c>
      <c r="D480" s="65" t="s">
        <v>686</v>
      </c>
      <c r="E480" s="65" t="s">
        <v>688</v>
      </c>
      <c r="F480" s="55">
        <v>7999</v>
      </c>
      <c r="G480" s="55">
        <v>3399</v>
      </c>
      <c r="H480" s="55">
        <v>3999</v>
      </c>
      <c r="I480" s="55">
        <v>3999</v>
      </c>
      <c r="J480" s="55">
        <v>3899</v>
      </c>
      <c r="K480" s="55">
        <v>3899</v>
      </c>
      <c r="L480" s="55">
        <v>3899</v>
      </c>
      <c r="M480" s="55">
        <v>3899</v>
      </c>
      <c r="N480" s="55">
        <v>3899</v>
      </c>
      <c r="O480" s="55">
        <v>3799</v>
      </c>
      <c r="P480" s="56">
        <v>3699</v>
      </c>
      <c r="Q480" s="56">
        <v>3499</v>
      </c>
      <c r="R480" s="55">
        <v>3799</v>
      </c>
      <c r="S480" s="55">
        <v>3699</v>
      </c>
      <c r="T480" s="55">
        <v>3499</v>
      </c>
      <c r="U480" s="55">
        <v>3499</v>
      </c>
      <c r="V480" s="55">
        <v>3499</v>
      </c>
      <c r="W480" s="55">
        <v>3499</v>
      </c>
      <c r="X480" s="55">
        <v>3399</v>
      </c>
      <c r="Y480" s="55">
        <v>2999</v>
      </c>
      <c r="Z480" s="55">
        <v>2999</v>
      </c>
      <c r="AA480" s="55">
        <v>2999</v>
      </c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7"/>
      <c r="AW480" s="58" t="s">
        <v>67</v>
      </c>
      <c r="AX480" s="59" t="s">
        <v>68</v>
      </c>
      <c r="AY480" s="60">
        <f t="shared" si="39"/>
        <v>80.779799999999994</v>
      </c>
      <c r="AZ480" s="60">
        <f t="shared" si="40"/>
        <v>72.781800000000004</v>
      </c>
      <c r="BA480" s="61">
        <f t="shared" si="41"/>
        <v>41.189700000000002</v>
      </c>
    </row>
    <row r="481" spans="1:53" ht="22.5" customHeight="1">
      <c r="A481" s="51" t="s">
        <v>63</v>
      </c>
      <c r="B481" s="52" t="s">
        <v>64</v>
      </c>
      <c r="C481" s="53">
        <v>4017179</v>
      </c>
      <c r="D481" s="65" t="s">
        <v>689</v>
      </c>
      <c r="E481" s="65" t="s">
        <v>690</v>
      </c>
      <c r="F481" s="55">
        <v>8499</v>
      </c>
      <c r="G481" s="55">
        <v>6099</v>
      </c>
      <c r="H481" s="55">
        <v>6799</v>
      </c>
      <c r="I481" s="55">
        <v>6799</v>
      </c>
      <c r="J481" s="55">
        <v>6699</v>
      </c>
      <c r="K481" s="55">
        <v>6699</v>
      </c>
      <c r="L481" s="55">
        <v>6699</v>
      </c>
      <c r="M481" s="55">
        <v>6699</v>
      </c>
      <c r="N481" s="55">
        <v>6699</v>
      </c>
      <c r="O481" s="55">
        <v>6599</v>
      </c>
      <c r="P481" s="56">
        <v>6499</v>
      </c>
      <c r="Q481" s="56">
        <v>6199</v>
      </c>
      <c r="R481" s="55">
        <v>6599</v>
      </c>
      <c r="S481" s="55">
        <v>6499</v>
      </c>
      <c r="T481" s="55">
        <v>6199</v>
      </c>
      <c r="U481" s="55">
        <v>6199</v>
      </c>
      <c r="V481" s="55">
        <v>6199</v>
      </c>
      <c r="W481" s="55">
        <v>6199</v>
      </c>
      <c r="X481" s="55">
        <v>6099</v>
      </c>
      <c r="Y481" s="55">
        <v>3999</v>
      </c>
      <c r="Z481" s="55">
        <v>3999</v>
      </c>
      <c r="AA481" s="55">
        <v>3999</v>
      </c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7"/>
      <c r="AW481" s="58" t="s">
        <v>67</v>
      </c>
      <c r="AX481" s="59" t="s">
        <v>68</v>
      </c>
      <c r="AY481" s="60">
        <f t="shared" si="39"/>
        <v>137.3398</v>
      </c>
      <c r="AZ481" s="60">
        <f t="shared" si="40"/>
        <v>123.74180000000001</v>
      </c>
      <c r="BA481" s="61">
        <f t="shared" si="41"/>
        <v>70.029700000000005</v>
      </c>
    </row>
    <row r="482" spans="1:53" ht="22.5" customHeight="1">
      <c r="A482" s="51" t="s">
        <v>63</v>
      </c>
      <c r="B482" s="52" t="s">
        <v>64</v>
      </c>
      <c r="C482" s="53">
        <v>4017187</v>
      </c>
      <c r="D482" s="65" t="s">
        <v>691</v>
      </c>
      <c r="E482" s="65" t="s">
        <v>692</v>
      </c>
      <c r="F482" s="55">
        <v>9499</v>
      </c>
      <c r="G482" s="55">
        <v>6299</v>
      </c>
      <c r="H482" s="55">
        <v>6999</v>
      </c>
      <c r="I482" s="55">
        <v>6999</v>
      </c>
      <c r="J482" s="55">
        <v>6899</v>
      </c>
      <c r="K482" s="55">
        <v>6899</v>
      </c>
      <c r="L482" s="55">
        <v>6899</v>
      </c>
      <c r="M482" s="55">
        <v>6899</v>
      </c>
      <c r="N482" s="55">
        <v>6899</v>
      </c>
      <c r="O482" s="55">
        <v>6799</v>
      </c>
      <c r="P482" s="56">
        <v>6699</v>
      </c>
      <c r="Q482" s="56">
        <v>6399</v>
      </c>
      <c r="R482" s="55">
        <v>6799</v>
      </c>
      <c r="S482" s="55">
        <v>6699</v>
      </c>
      <c r="T482" s="55">
        <v>6399</v>
      </c>
      <c r="U482" s="55">
        <v>6399</v>
      </c>
      <c r="V482" s="55">
        <v>6399</v>
      </c>
      <c r="W482" s="55">
        <v>6399</v>
      </c>
      <c r="X482" s="55">
        <v>6299</v>
      </c>
      <c r="Y482" s="55">
        <v>4699</v>
      </c>
      <c r="Z482" s="55">
        <v>4699</v>
      </c>
      <c r="AA482" s="55">
        <v>4649</v>
      </c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AV482" s="57"/>
      <c r="AW482" s="58" t="s">
        <v>67</v>
      </c>
      <c r="AX482" s="59" t="s">
        <v>68</v>
      </c>
      <c r="AY482" s="60">
        <f t="shared" si="39"/>
        <v>141.37979999999999</v>
      </c>
      <c r="AZ482" s="60">
        <f t="shared" si="40"/>
        <v>127.38180000000001</v>
      </c>
      <c r="BA482" s="61">
        <f t="shared" si="41"/>
        <v>72.089700000000008</v>
      </c>
    </row>
    <row r="483" spans="1:53" ht="22.5" customHeight="1">
      <c r="A483" s="51" t="s">
        <v>63</v>
      </c>
      <c r="B483" s="52" t="s">
        <v>64</v>
      </c>
      <c r="C483" s="53">
        <v>4017183</v>
      </c>
      <c r="D483" s="65" t="s">
        <v>693</v>
      </c>
      <c r="E483" s="65" t="s">
        <v>694</v>
      </c>
      <c r="F483" s="55">
        <v>7399</v>
      </c>
      <c r="G483" s="55">
        <v>3899</v>
      </c>
      <c r="H483" s="55">
        <v>4449</v>
      </c>
      <c r="I483" s="55">
        <v>4449</v>
      </c>
      <c r="J483" s="55">
        <v>4399</v>
      </c>
      <c r="K483" s="55">
        <v>4399</v>
      </c>
      <c r="L483" s="55">
        <v>4399</v>
      </c>
      <c r="M483" s="55">
        <v>4399</v>
      </c>
      <c r="N483" s="55">
        <v>4399</v>
      </c>
      <c r="O483" s="55">
        <v>4299</v>
      </c>
      <c r="P483" s="56">
        <v>4199</v>
      </c>
      <c r="Q483" s="56">
        <v>3999</v>
      </c>
      <c r="R483" s="55">
        <v>4299</v>
      </c>
      <c r="S483" s="55">
        <v>4199</v>
      </c>
      <c r="T483" s="55">
        <v>3999</v>
      </c>
      <c r="U483" s="55">
        <v>3999</v>
      </c>
      <c r="V483" s="55">
        <v>3999</v>
      </c>
      <c r="W483" s="55">
        <v>3999</v>
      </c>
      <c r="X483" s="55">
        <v>3899</v>
      </c>
      <c r="Y483" s="55">
        <v>2399</v>
      </c>
      <c r="Z483" s="55">
        <v>2399</v>
      </c>
      <c r="AA483" s="55">
        <v>2399</v>
      </c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AV483" s="57"/>
      <c r="AW483" s="58" t="s">
        <v>67</v>
      </c>
      <c r="AX483" s="59" t="s">
        <v>68</v>
      </c>
      <c r="AY483" s="60">
        <f t="shared" si="39"/>
        <v>89.869799999999998</v>
      </c>
      <c r="AZ483" s="60">
        <f t="shared" si="40"/>
        <v>80.971800000000002</v>
      </c>
      <c r="BA483" s="61">
        <f t="shared" si="41"/>
        <v>45.8247</v>
      </c>
    </row>
    <row r="484" spans="1:53" ht="22.5" customHeight="1">
      <c r="A484" s="51" t="s">
        <v>63</v>
      </c>
      <c r="B484" s="52" t="s">
        <v>64</v>
      </c>
      <c r="C484" s="53">
        <v>4018080</v>
      </c>
      <c r="D484" s="65" t="s">
        <v>695</v>
      </c>
      <c r="E484" s="65" t="s">
        <v>696</v>
      </c>
      <c r="F484" s="55">
        <v>9199</v>
      </c>
      <c r="G484" s="55">
        <v>6899</v>
      </c>
      <c r="H484" s="55">
        <v>7599</v>
      </c>
      <c r="I484" s="55">
        <v>7599</v>
      </c>
      <c r="J484" s="55">
        <v>7499</v>
      </c>
      <c r="K484" s="55">
        <v>7499</v>
      </c>
      <c r="L484" s="55">
        <v>7499</v>
      </c>
      <c r="M484" s="55">
        <v>7499</v>
      </c>
      <c r="N484" s="55">
        <v>7499</v>
      </c>
      <c r="O484" s="55">
        <v>7399</v>
      </c>
      <c r="P484" s="56">
        <v>7299</v>
      </c>
      <c r="Q484" s="56">
        <v>6999</v>
      </c>
      <c r="R484" s="55">
        <v>7399</v>
      </c>
      <c r="S484" s="55">
        <v>7299</v>
      </c>
      <c r="T484" s="55">
        <v>6999</v>
      </c>
      <c r="U484" s="55">
        <v>6999</v>
      </c>
      <c r="V484" s="55">
        <v>6999</v>
      </c>
      <c r="W484" s="55">
        <v>6999</v>
      </c>
      <c r="X484" s="55">
        <v>6899</v>
      </c>
      <c r="Y484" s="55">
        <v>5199</v>
      </c>
      <c r="Z484" s="55">
        <v>5199</v>
      </c>
      <c r="AA484" s="55">
        <v>4999</v>
      </c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  <c r="AV484" s="57"/>
      <c r="AW484" s="58" t="s">
        <v>67</v>
      </c>
      <c r="AX484" s="59" t="s">
        <v>68</v>
      </c>
      <c r="AY484" s="60">
        <f t="shared" si="39"/>
        <v>153.49979999999999</v>
      </c>
      <c r="AZ484" s="60">
        <f t="shared" si="40"/>
        <v>138.30180000000001</v>
      </c>
      <c r="BA484" s="61">
        <f t="shared" si="41"/>
        <v>78.2697</v>
      </c>
    </row>
    <row r="485" spans="1:53" ht="22.5" customHeight="1">
      <c r="A485" s="51" t="s">
        <v>63</v>
      </c>
      <c r="B485" s="52" t="s">
        <v>64</v>
      </c>
      <c r="C485" s="53">
        <v>4018086</v>
      </c>
      <c r="D485" s="65" t="s">
        <v>695</v>
      </c>
      <c r="E485" s="65" t="s">
        <v>697</v>
      </c>
      <c r="F485" s="55">
        <v>9199</v>
      </c>
      <c r="G485" s="55">
        <v>6899</v>
      </c>
      <c r="H485" s="55">
        <v>7599</v>
      </c>
      <c r="I485" s="55">
        <v>7599</v>
      </c>
      <c r="J485" s="55">
        <v>7499</v>
      </c>
      <c r="K485" s="55">
        <v>7499</v>
      </c>
      <c r="L485" s="55">
        <v>7499</v>
      </c>
      <c r="M485" s="55">
        <v>7499</v>
      </c>
      <c r="N485" s="55">
        <v>7499</v>
      </c>
      <c r="O485" s="55">
        <v>7399</v>
      </c>
      <c r="P485" s="56">
        <v>7299</v>
      </c>
      <c r="Q485" s="56">
        <v>6999</v>
      </c>
      <c r="R485" s="55">
        <v>7399</v>
      </c>
      <c r="S485" s="55">
        <v>7299</v>
      </c>
      <c r="T485" s="55">
        <v>6999</v>
      </c>
      <c r="U485" s="55">
        <v>6999</v>
      </c>
      <c r="V485" s="55">
        <v>6999</v>
      </c>
      <c r="W485" s="55">
        <v>6999</v>
      </c>
      <c r="X485" s="55">
        <v>6899</v>
      </c>
      <c r="Y485" s="55">
        <v>5199</v>
      </c>
      <c r="Z485" s="55">
        <v>5199</v>
      </c>
      <c r="AA485" s="55">
        <v>4999</v>
      </c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  <c r="AV485" s="57"/>
      <c r="AW485" s="58" t="s">
        <v>67</v>
      </c>
      <c r="AX485" s="59" t="s">
        <v>68</v>
      </c>
      <c r="AY485" s="60">
        <f t="shared" si="39"/>
        <v>153.49979999999999</v>
      </c>
      <c r="AZ485" s="60">
        <f t="shared" si="40"/>
        <v>138.30180000000001</v>
      </c>
      <c r="BA485" s="61">
        <f t="shared" si="41"/>
        <v>78.2697</v>
      </c>
    </row>
    <row r="486" spans="1:53" ht="22.5" customHeight="1">
      <c r="A486" s="51" t="s">
        <v>63</v>
      </c>
      <c r="B486" s="52" t="s">
        <v>64</v>
      </c>
      <c r="C486" s="53">
        <v>4018097</v>
      </c>
      <c r="D486" s="65" t="s">
        <v>698</v>
      </c>
      <c r="E486" s="65" t="s">
        <v>699</v>
      </c>
      <c r="F486" s="55">
        <v>10799</v>
      </c>
      <c r="G486" s="55">
        <v>7399</v>
      </c>
      <c r="H486" s="55">
        <v>8199</v>
      </c>
      <c r="I486" s="55">
        <v>8199</v>
      </c>
      <c r="J486" s="55">
        <v>7999</v>
      </c>
      <c r="K486" s="55">
        <v>7999</v>
      </c>
      <c r="L486" s="55">
        <v>7999</v>
      </c>
      <c r="M486" s="55">
        <v>7999</v>
      </c>
      <c r="N486" s="55">
        <v>7999</v>
      </c>
      <c r="O486" s="55">
        <v>7899</v>
      </c>
      <c r="P486" s="56">
        <v>7799</v>
      </c>
      <c r="Q486" s="56">
        <v>7499</v>
      </c>
      <c r="R486" s="55">
        <v>7899</v>
      </c>
      <c r="S486" s="55">
        <v>7799</v>
      </c>
      <c r="T486" s="55">
        <v>7499</v>
      </c>
      <c r="U486" s="55">
        <v>7499</v>
      </c>
      <c r="V486" s="55">
        <v>7499</v>
      </c>
      <c r="W486" s="55">
        <v>7499</v>
      </c>
      <c r="X486" s="55">
        <v>7399</v>
      </c>
      <c r="Y486" s="55">
        <v>5699</v>
      </c>
      <c r="Z486" s="55">
        <v>5699</v>
      </c>
      <c r="AA486" s="55">
        <v>5499</v>
      </c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7"/>
      <c r="AW486" s="58" t="s">
        <v>67</v>
      </c>
      <c r="AX486" s="59" t="s">
        <v>68</v>
      </c>
      <c r="AY486" s="60">
        <f t="shared" si="39"/>
        <v>165.6198</v>
      </c>
      <c r="AZ486" s="60">
        <f t="shared" si="40"/>
        <v>149.2218</v>
      </c>
      <c r="BA486" s="61">
        <f t="shared" si="41"/>
        <v>84.449700000000007</v>
      </c>
    </row>
    <row r="487" spans="1:53" ht="22.5" customHeight="1">
      <c r="A487" s="51" t="s">
        <v>63</v>
      </c>
      <c r="B487" s="52" t="s">
        <v>64</v>
      </c>
      <c r="C487" s="53">
        <v>4018101</v>
      </c>
      <c r="D487" s="65" t="s">
        <v>698</v>
      </c>
      <c r="E487" s="65" t="s">
        <v>700</v>
      </c>
      <c r="F487" s="55">
        <v>10799</v>
      </c>
      <c r="G487" s="55">
        <v>7399</v>
      </c>
      <c r="H487" s="55">
        <v>8199</v>
      </c>
      <c r="I487" s="55">
        <v>8199</v>
      </c>
      <c r="J487" s="55">
        <v>7999</v>
      </c>
      <c r="K487" s="55">
        <v>7999</v>
      </c>
      <c r="L487" s="55">
        <v>7999</v>
      </c>
      <c r="M487" s="55">
        <v>7999</v>
      </c>
      <c r="N487" s="55">
        <v>7999</v>
      </c>
      <c r="O487" s="55">
        <v>7899</v>
      </c>
      <c r="P487" s="56">
        <v>7799</v>
      </c>
      <c r="Q487" s="56">
        <v>7499</v>
      </c>
      <c r="R487" s="55">
        <v>7899</v>
      </c>
      <c r="S487" s="55">
        <v>7799</v>
      </c>
      <c r="T487" s="55">
        <v>7499</v>
      </c>
      <c r="U487" s="55">
        <v>7499</v>
      </c>
      <c r="V487" s="55">
        <v>7499</v>
      </c>
      <c r="W487" s="55">
        <v>7499</v>
      </c>
      <c r="X487" s="55">
        <v>7399</v>
      </c>
      <c r="Y487" s="55">
        <v>5699</v>
      </c>
      <c r="Z487" s="55">
        <v>5699</v>
      </c>
      <c r="AA487" s="55">
        <v>5499</v>
      </c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  <c r="AV487" s="57"/>
      <c r="AW487" s="58" t="s">
        <v>67</v>
      </c>
      <c r="AX487" s="59" t="s">
        <v>68</v>
      </c>
      <c r="AY487" s="60">
        <f t="shared" si="39"/>
        <v>165.6198</v>
      </c>
      <c r="AZ487" s="60">
        <f t="shared" si="40"/>
        <v>149.2218</v>
      </c>
      <c r="BA487" s="61">
        <f t="shared" si="41"/>
        <v>84.449700000000007</v>
      </c>
    </row>
    <row r="488" spans="1:53" ht="22.5" customHeight="1">
      <c r="A488" s="51" t="s">
        <v>63</v>
      </c>
      <c r="B488" s="52" t="s">
        <v>64</v>
      </c>
      <c r="C488" s="53">
        <v>4016326</v>
      </c>
      <c r="D488" s="65" t="s">
        <v>701</v>
      </c>
      <c r="E488" s="65" t="s">
        <v>702</v>
      </c>
      <c r="F488" s="55">
        <v>13799</v>
      </c>
      <c r="G488" s="55">
        <v>6699</v>
      </c>
      <c r="H488" s="55">
        <v>7399</v>
      </c>
      <c r="I488" s="55">
        <v>7399</v>
      </c>
      <c r="J488" s="55">
        <v>7299</v>
      </c>
      <c r="K488" s="55">
        <v>7299</v>
      </c>
      <c r="L488" s="55">
        <v>7299</v>
      </c>
      <c r="M488" s="55">
        <v>7299</v>
      </c>
      <c r="N488" s="55">
        <v>7299</v>
      </c>
      <c r="O488" s="55">
        <v>7199</v>
      </c>
      <c r="P488" s="56">
        <v>7099</v>
      </c>
      <c r="Q488" s="56">
        <v>6799</v>
      </c>
      <c r="R488" s="55">
        <v>7199</v>
      </c>
      <c r="S488" s="55">
        <v>7099</v>
      </c>
      <c r="T488" s="55">
        <v>6799</v>
      </c>
      <c r="U488" s="55">
        <v>6799</v>
      </c>
      <c r="V488" s="55">
        <v>6799</v>
      </c>
      <c r="W488" s="55">
        <v>6799</v>
      </c>
      <c r="X488" s="55">
        <v>6699</v>
      </c>
      <c r="Y488" s="55">
        <v>4999</v>
      </c>
      <c r="Z488" s="55">
        <v>4999</v>
      </c>
      <c r="AA488" s="55">
        <v>4999</v>
      </c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7"/>
      <c r="AW488" s="58" t="s">
        <v>67</v>
      </c>
      <c r="AX488" s="59" t="s">
        <v>68</v>
      </c>
      <c r="AY488" s="60">
        <f t="shared" si="39"/>
        <v>149.4598</v>
      </c>
      <c r="AZ488" s="60">
        <f t="shared" si="40"/>
        <v>134.6618</v>
      </c>
      <c r="BA488" s="61">
        <f t="shared" si="41"/>
        <v>76.209699999999998</v>
      </c>
    </row>
    <row r="489" spans="1:53" ht="22.5" customHeight="1">
      <c r="A489" s="51" t="s">
        <v>63</v>
      </c>
      <c r="B489" s="52" t="s">
        <v>64</v>
      </c>
      <c r="C489" s="72">
        <v>4017186</v>
      </c>
      <c r="D489" s="73" t="s">
        <v>703</v>
      </c>
      <c r="E489" s="73" t="s">
        <v>704</v>
      </c>
      <c r="F489" s="56">
        <v>14799</v>
      </c>
      <c r="G489" s="56">
        <v>9449</v>
      </c>
      <c r="H489" s="56">
        <v>9899</v>
      </c>
      <c r="I489" s="56">
        <v>9899</v>
      </c>
      <c r="J489" s="56">
        <v>9799</v>
      </c>
      <c r="K489" s="56">
        <v>9799</v>
      </c>
      <c r="L489" s="56">
        <v>9799</v>
      </c>
      <c r="M489" s="56">
        <v>9799</v>
      </c>
      <c r="N489" s="56">
        <v>9799</v>
      </c>
      <c r="O489" s="56">
        <v>9749</v>
      </c>
      <c r="P489" s="56">
        <v>9699</v>
      </c>
      <c r="Q489" s="56">
        <v>9499</v>
      </c>
      <c r="R489" s="56">
        <v>9749</v>
      </c>
      <c r="S489" s="56">
        <v>9699</v>
      </c>
      <c r="T489" s="56">
        <v>9499</v>
      </c>
      <c r="U489" s="56">
        <v>9499</v>
      </c>
      <c r="V489" s="56">
        <v>9499</v>
      </c>
      <c r="W489" s="56">
        <v>9499</v>
      </c>
      <c r="X489" s="56">
        <v>9449</v>
      </c>
      <c r="Y489" s="56">
        <v>6999</v>
      </c>
      <c r="Z489" s="56">
        <v>6999</v>
      </c>
      <c r="AA489" s="56">
        <v>6999</v>
      </c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7"/>
      <c r="AW489" s="58" t="s">
        <v>67</v>
      </c>
      <c r="AX489" s="59" t="s">
        <v>68</v>
      </c>
      <c r="AY489" s="60">
        <f t="shared" si="39"/>
        <v>199.9598</v>
      </c>
      <c r="AZ489" s="60">
        <f t="shared" si="40"/>
        <v>180.1618</v>
      </c>
      <c r="BA489" s="61">
        <f t="shared" si="41"/>
        <v>101.9597</v>
      </c>
    </row>
    <row r="490" spans="1:53" ht="22.5" customHeight="1">
      <c r="A490" s="51" t="s">
        <v>63</v>
      </c>
      <c r="B490" s="52" t="s">
        <v>64</v>
      </c>
      <c r="C490" s="72">
        <v>4017191</v>
      </c>
      <c r="D490" s="73" t="s">
        <v>705</v>
      </c>
      <c r="E490" s="73" t="s">
        <v>706</v>
      </c>
      <c r="F490" s="56">
        <v>15799</v>
      </c>
      <c r="G490" s="56">
        <v>9449</v>
      </c>
      <c r="H490" s="56">
        <v>9899</v>
      </c>
      <c r="I490" s="56">
        <v>9899</v>
      </c>
      <c r="J490" s="56">
        <v>9799</v>
      </c>
      <c r="K490" s="56">
        <v>9799</v>
      </c>
      <c r="L490" s="56">
        <v>9799</v>
      </c>
      <c r="M490" s="56">
        <v>9799</v>
      </c>
      <c r="N490" s="56">
        <v>9799</v>
      </c>
      <c r="O490" s="56">
        <v>9749</v>
      </c>
      <c r="P490" s="56">
        <v>9699</v>
      </c>
      <c r="Q490" s="56">
        <v>9499</v>
      </c>
      <c r="R490" s="56">
        <v>9749</v>
      </c>
      <c r="S490" s="56">
        <v>9699</v>
      </c>
      <c r="T490" s="56">
        <v>9499</v>
      </c>
      <c r="U490" s="56">
        <v>9499</v>
      </c>
      <c r="V490" s="56">
        <v>9499</v>
      </c>
      <c r="W490" s="56">
        <v>9499</v>
      </c>
      <c r="X490" s="56">
        <v>9449</v>
      </c>
      <c r="Y490" s="56">
        <v>8499</v>
      </c>
      <c r="Z490" s="56">
        <v>8499</v>
      </c>
      <c r="AA490" s="56">
        <v>8449</v>
      </c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7"/>
      <c r="AW490" s="58" t="s">
        <v>67</v>
      </c>
      <c r="AX490" s="59" t="s">
        <v>68</v>
      </c>
      <c r="AY490" s="60">
        <f t="shared" si="39"/>
        <v>199.9598</v>
      </c>
      <c r="AZ490" s="60">
        <f t="shared" si="40"/>
        <v>180.1618</v>
      </c>
      <c r="BA490" s="61">
        <f t="shared" si="41"/>
        <v>101.9597</v>
      </c>
    </row>
    <row r="491" spans="1:53" ht="22.5" customHeight="1">
      <c r="A491" s="51" t="s">
        <v>63</v>
      </c>
      <c r="B491" s="52" t="s">
        <v>64</v>
      </c>
      <c r="C491" s="72">
        <v>4018085</v>
      </c>
      <c r="D491" s="74" t="s">
        <v>707</v>
      </c>
      <c r="E491" s="73" t="s">
        <v>708</v>
      </c>
      <c r="F491" s="56">
        <v>12599</v>
      </c>
      <c r="G491" s="75">
        <v>8699</v>
      </c>
      <c r="H491" s="75">
        <v>9399</v>
      </c>
      <c r="I491" s="75">
        <v>9399</v>
      </c>
      <c r="J491" s="75">
        <v>9299</v>
      </c>
      <c r="K491" s="75">
        <v>9299</v>
      </c>
      <c r="L491" s="75">
        <v>9299</v>
      </c>
      <c r="M491" s="75">
        <v>9299</v>
      </c>
      <c r="N491" s="75">
        <v>9299</v>
      </c>
      <c r="O491" s="75">
        <v>9199</v>
      </c>
      <c r="P491" s="75">
        <v>9099</v>
      </c>
      <c r="Q491" s="75">
        <v>8799</v>
      </c>
      <c r="R491" s="75">
        <v>9199</v>
      </c>
      <c r="S491" s="75">
        <v>9099</v>
      </c>
      <c r="T491" s="75">
        <v>8799</v>
      </c>
      <c r="U491" s="75">
        <v>8799</v>
      </c>
      <c r="V491" s="75">
        <v>8799</v>
      </c>
      <c r="W491" s="75">
        <v>8799</v>
      </c>
      <c r="X491" s="75">
        <v>8699</v>
      </c>
      <c r="Y491" s="75">
        <v>6699</v>
      </c>
      <c r="Z491" s="75">
        <v>6699</v>
      </c>
      <c r="AA491" s="75">
        <v>6499</v>
      </c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7"/>
      <c r="AW491" s="58" t="s">
        <v>67</v>
      </c>
      <c r="AX491" s="59" t="s">
        <v>68</v>
      </c>
      <c r="AY491" s="60">
        <f t="shared" si="39"/>
        <v>189.85979999999998</v>
      </c>
      <c r="AZ491" s="60">
        <f t="shared" si="40"/>
        <v>171.06180000000001</v>
      </c>
      <c r="BA491" s="61">
        <f t="shared" si="41"/>
        <v>96.809700000000007</v>
      </c>
    </row>
    <row r="492" spans="1:53" ht="22.5" customHeight="1">
      <c r="A492" s="51" t="s">
        <v>63</v>
      </c>
      <c r="B492" s="52" t="s">
        <v>64</v>
      </c>
      <c r="C492" s="72">
        <v>4018049</v>
      </c>
      <c r="D492" s="74" t="s">
        <v>707</v>
      </c>
      <c r="E492" s="73" t="s">
        <v>709</v>
      </c>
      <c r="F492" s="56">
        <v>12599</v>
      </c>
      <c r="G492" s="75">
        <v>8699</v>
      </c>
      <c r="H492" s="75">
        <v>9399</v>
      </c>
      <c r="I492" s="75">
        <v>9399</v>
      </c>
      <c r="J492" s="75">
        <v>9299</v>
      </c>
      <c r="K492" s="75">
        <v>9299</v>
      </c>
      <c r="L492" s="75">
        <v>9299</v>
      </c>
      <c r="M492" s="75">
        <v>9299</v>
      </c>
      <c r="N492" s="75">
        <v>9299</v>
      </c>
      <c r="O492" s="75">
        <v>9199</v>
      </c>
      <c r="P492" s="75">
        <v>9099</v>
      </c>
      <c r="Q492" s="75">
        <v>8799</v>
      </c>
      <c r="R492" s="75">
        <v>9199</v>
      </c>
      <c r="S492" s="75">
        <v>9099</v>
      </c>
      <c r="T492" s="75">
        <v>8799</v>
      </c>
      <c r="U492" s="75">
        <v>8799</v>
      </c>
      <c r="V492" s="75">
        <v>8799</v>
      </c>
      <c r="W492" s="75">
        <v>8799</v>
      </c>
      <c r="X492" s="75">
        <v>8699</v>
      </c>
      <c r="Y492" s="75">
        <v>6699</v>
      </c>
      <c r="Z492" s="75">
        <v>6699</v>
      </c>
      <c r="AA492" s="75">
        <v>6499</v>
      </c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7"/>
      <c r="AW492" s="58" t="s">
        <v>67</v>
      </c>
      <c r="AX492" s="59" t="s">
        <v>68</v>
      </c>
      <c r="AY492" s="60">
        <f t="shared" si="39"/>
        <v>189.85979999999998</v>
      </c>
      <c r="AZ492" s="60">
        <f t="shared" si="40"/>
        <v>171.06180000000001</v>
      </c>
      <c r="BA492" s="61">
        <f t="shared" si="41"/>
        <v>96.809700000000007</v>
      </c>
    </row>
    <row r="493" spans="1:53" ht="22.5" customHeight="1">
      <c r="A493" s="51" t="s">
        <v>63</v>
      </c>
      <c r="B493" s="52" t="s">
        <v>64</v>
      </c>
      <c r="C493" s="72">
        <v>4018100</v>
      </c>
      <c r="D493" s="74" t="s">
        <v>710</v>
      </c>
      <c r="E493" s="73" t="s">
        <v>711</v>
      </c>
      <c r="F493" s="56">
        <v>14199</v>
      </c>
      <c r="G493" s="75">
        <v>9199</v>
      </c>
      <c r="H493" s="75">
        <v>10499</v>
      </c>
      <c r="I493" s="75">
        <v>10499</v>
      </c>
      <c r="J493" s="75">
        <v>10399</v>
      </c>
      <c r="K493" s="75">
        <v>10399</v>
      </c>
      <c r="L493" s="75">
        <v>10399</v>
      </c>
      <c r="M493" s="75">
        <v>10399</v>
      </c>
      <c r="N493" s="75">
        <v>10399</v>
      </c>
      <c r="O493" s="75">
        <v>10299</v>
      </c>
      <c r="P493" s="75">
        <v>10199</v>
      </c>
      <c r="Q493" s="75">
        <v>9299</v>
      </c>
      <c r="R493" s="75">
        <v>10299</v>
      </c>
      <c r="S493" s="75">
        <v>10199</v>
      </c>
      <c r="T493" s="75">
        <v>9299</v>
      </c>
      <c r="U493" s="75">
        <v>9299</v>
      </c>
      <c r="V493" s="75">
        <v>9299</v>
      </c>
      <c r="W493" s="75">
        <v>9299</v>
      </c>
      <c r="X493" s="75">
        <v>9199</v>
      </c>
      <c r="Y493" s="75">
        <v>7299</v>
      </c>
      <c r="Z493" s="75">
        <v>7299</v>
      </c>
      <c r="AA493" s="75">
        <v>7099</v>
      </c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7"/>
      <c r="AW493" s="58" t="s">
        <v>67</v>
      </c>
      <c r="AX493" s="59" t="s">
        <v>68</v>
      </c>
      <c r="AY493" s="60">
        <f t="shared" ref="AY493:AY498" si="42">$H493*AY$11</f>
        <v>212.07980000000001</v>
      </c>
      <c r="AZ493" s="60">
        <f t="shared" ref="AZ493:AZ498" si="43">($H493*AZ$11)</f>
        <v>191.08180000000002</v>
      </c>
      <c r="BA493" s="61">
        <f t="shared" ref="BA493:BA498" si="44">$H493*BA$11</f>
        <v>108.1397</v>
      </c>
    </row>
    <row r="494" spans="1:53" ht="22.5" customHeight="1">
      <c r="A494" s="51" t="s">
        <v>63</v>
      </c>
      <c r="B494" s="52" t="s">
        <v>64</v>
      </c>
      <c r="C494" s="72">
        <v>4018096</v>
      </c>
      <c r="D494" s="74" t="s">
        <v>710</v>
      </c>
      <c r="E494" s="73" t="s">
        <v>712</v>
      </c>
      <c r="F494" s="56">
        <v>14199</v>
      </c>
      <c r="G494" s="75">
        <v>9199</v>
      </c>
      <c r="H494" s="75">
        <v>10499</v>
      </c>
      <c r="I494" s="75">
        <v>10499</v>
      </c>
      <c r="J494" s="75">
        <v>10399</v>
      </c>
      <c r="K494" s="75">
        <v>10399</v>
      </c>
      <c r="L494" s="75">
        <v>10399</v>
      </c>
      <c r="M494" s="75">
        <v>10399</v>
      </c>
      <c r="N494" s="75">
        <v>10399</v>
      </c>
      <c r="O494" s="75">
        <v>10299</v>
      </c>
      <c r="P494" s="75">
        <v>10199</v>
      </c>
      <c r="Q494" s="75">
        <v>9299</v>
      </c>
      <c r="R494" s="75">
        <v>10299</v>
      </c>
      <c r="S494" s="75">
        <v>10199</v>
      </c>
      <c r="T494" s="75">
        <v>9299</v>
      </c>
      <c r="U494" s="75">
        <v>9299</v>
      </c>
      <c r="V494" s="75">
        <v>9299</v>
      </c>
      <c r="W494" s="75">
        <v>9299</v>
      </c>
      <c r="X494" s="75">
        <v>9199</v>
      </c>
      <c r="Y494" s="75">
        <v>7299</v>
      </c>
      <c r="Z494" s="75">
        <v>7299</v>
      </c>
      <c r="AA494" s="75">
        <v>7099</v>
      </c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7"/>
      <c r="AW494" s="58" t="s">
        <v>67</v>
      </c>
      <c r="AX494" s="59" t="s">
        <v>68</v>
      </c>
      <c r="AY494" s="60">
        <f t="shared" si="42"/>
        <v>212.07980000000001</v>
      </c>
      <c r="AZ494" s="60">
        <f t="shared" si="43"/>
        <v>191.08180000000002</v>
      </c>
      <c r="BA494" s="61">
        <f t="shared" si="44"/>
        <v>108.1397</v>
      </c>
    </row>
    <row r="495" spans="1:53" ht="22.5" customHeight="1">
      <c r="A495" s="51" t="s">
        <v>63</v>
      </c>
      <c r="B495" s="52" t="s">
        <v>64</v>
      </c>
      <c r="C495" s="72">
        <v>4018047</v>
      </c>
      <c r="D495" s="73" t="s">
        <v>713</v>
      </c>
      <c r="E495" s="73" t="s">
        <v>714</v>
      </c>
      <c r="F495" s="56">
        <v>14599</v>
      </c>
      <c r="G495" s="56">
        <v>10399</v>
      </c>
      <c r="H495" s="56">
        <v>11399</v>
      </c>
      <c r="I495" s="56">
        <v>11399</v>
      </c>
      <c r="J495" s="56">
        <v>11299</v>
      </c>
      <c r="K495" s="56">
        <v>11299</v>
      </c>
      <c r="L495" s="56">
        <v>11299</v>
      </c>
      <c r="M495" s="56">
        <v>11299</v>
      </c>
      <c r="N495" s="56">
        <v>11299</v>
      </c>
      <c r="O495" s="56">
        <v>11199</v>
      </c>
      <c r="P495" s="56">
        <v>10999</v>
      </c>
      <c r="Q495" s="56">
        <v>10699</v>
      </c>
      <c r="R495" s="56">
        <v>11199</v>
      </c>
      <c r="S495" s="56">
        <v>10999</v>
      </c>
      <c r="T495" s="56">
        <v>10699</v>
      </c>
      <c r="U495" s="56">
        <v>10699</v>
      </c>
      <c r="V495" s="56">
        <v>10699</v>
      </c>
      <c r="W495" s="56">
        <v>10699</v>
      </c>
      <c r="X495" s="56">
        <v>10399</v>
      </c>
      <c r="Y495" s="56">
        <v>8099</v>
      </c>
      <c r="Z495" s="56">
        <v>8099</v>
      </c>
      <c r="AA495" s="56">
        <v>7899</v>
      </c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7"/>
      <c r="AW495" s="58" t="s">
        <v>67</v>
      </c>
      <c r="AX495" s="59" t="s">
        <v>68</v>
      </c>
      <c r="AY495" s="60">
        <f t="shared" si="42"/>
        <v>230.25979999999998</v>
      </c>
      <c r="AZ495" s="60">
        <f t="shared" si="43"/>
        <v>207.46180000000001</v>
      </c>
      <c r="BA495" s="61">
        <f t="shared" si="44"/>
        <v>117.4097</v>
      </c>
    </row>
    <row r="496" spans="1:53" ht="22.5" customHeight="1">
      <c r="A496" s="51" t="s">
        <v>63</v>
      </c>
      <c r="B496" s="52" t="s">
        <v>64</v>
      </c>
      <c r="C496" s="72">
        <v>4018082</v>
      </c>
      <c r="D496" s="73" t="s">
        <v>713</v>
      </c>
      <c r="E496" s="73" t="s">
        <v>715</v>
      </c>
      <c r="F496" s="56">
        <v>14599</v>
      </c>
      <c r="G496" s="56">
        <v>10399</v>
      </c>
      <c r="H496" s="56">
        <v>11399</v>
      </c>
      <c r="I496" s="56">
        <v>11399</v>
      </c>
      <c r="J496" s="56">
        <v>11299</v>
      </c>
      <c r="K496" s="56">
        <v>11299</v>
      </c>
      <c r="L496" s="56">
        <v>11299</v>
      </c>
      <c r="M496" s="56">
        <v>11299</v>
      </c>
      <c r="N496" s="56">
        <v>11299</v>
      </c>
      <c r="O496" s="56">
        <v>11199</v>
      </c>
      <c r="P496" s="56">
        <v>10999</v>
      </c>
      <c r="Q496" s="56">
        <v>10699</v>
      </c>
      <c r="R496" s="56">
        <v>11199</v>
      </c>
      <c r="S496" s="56">
        <v>10999</v>
      </c>
      <c r="T496" s="56">
        <v>10699</v>
      </c>
      <c r="U496" s="56">
        <v>10699</v>
      </c>
      <c r="V496" s="56">
        <v>10699</v>
      </c>
      <c r="W496" s="56">
        <v>10699</v>
      </c>
      <c r="X496" s="56">
        <v>10399</v>
      </c>
      <c r="Y496" s="56">
        <v>8099</v>
      </c>
      <c r="Z496" s="56">
        <v>8099</v>
      </c>
      <c r="AA496" s="56">
        <v>7899</v>
      </c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7"/>
      <c r="AW496" s="58" t="s">
        <v>67</v>
      </c>
      <c r="AX496" s="59" t="s">
        <v>68</v>
      </c>
      <c r="AY496" s="60">
        <f t="shared" si="42"/>
        <v>230.25979999999998</v>
      </c>
      <c r="AZ496" s="60">
        <f t="shared" si="43"/>
        <v>207.46180000000001</v>
      </c>
      <c r="BA496" s="61">
        <f t="shared" si="44"/>
        <v>117.4097</v>
      </c>
    </row>
    <row r="497" spans="1:53" ht="22.5" customHeight="1">
      <c r="A497" s="51" t="s">
        <v>63</v>
      </c>
      <c r="B497" s="52" t="s">
        <v>64</v>
      </c>
      <c r="C497" s="72">
        <v>4018094</v>
      </c>
      <c r="D497" s="73" t="s">
        <v>716</v>
      </c>
      <c r="E497" s="73" t="s">
        <v>717</v>
      </c>
      <c r="F497" s="56">
        <v>16199</v>
      </c>
      <c r="G497" s="56">
        <v>10999</v>
      </c>
      <c r="H497" s="56">
        <v>11999</v>
      </c>
      <c r="I497" s="56">
        <v>11999</v>
      </c>
      <c r="J497" s="56">
        <v>11699</v>
      </c>
      <c r="K497" s="56">
        <v>11699</v>
      </c>
      <c r="L497" s="56">
        <v>11699</v>
      </c>
      <c r="M497" s="56">
        <v>11699</v>
      </c>
      <c r="N497" s="56">
        <v>11699</v>
      </c>
      <c r="O497" s="56">
        <v>11599</v>
      </c>
      <c r="P497" s="56">
        <v>11399</v>
      </c>
      <c r="Q497" s="56">
        <v>11099</v>
      </c>
      <c r="R497" s="56">
        <v>11599</v>
      </c>
      <c r="S497" s="56">
        <v>11399</v>
      </c>
      <c r="T497" s="56">
        <v>11099</v>
      </c>
      <c r="U497" s="56">
        <v>11099</v>
      </c>
      <c r="V497" s="56">
        <v>11099</v>
      </c>
      <c r="W497" s="56">
        <v>11099</v>
      </c>
      <c r="X497" s="56">
        <v>10999</v>
      </c>
      <c r="Y497" s="56">
        <v>8499</v>
      </c>
      <c r="Z497" s="56">
        <v>8499</v>
      </c>
      <c r="AA497" s="56">
        <v>8299</v>
      </c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7"/>
      <c r="AW497" s="58" t="s">
        <v>67</v>
      </c>
      <c r="AX497" s="59" t="s">
        <v>68</v>
      </c>
      <c r="AY497" s="60">
        <f t="shared" si="42"/>
        <v>242.37979999999999</v>
      </c>
      <c r="AZ497" s="60">
        <f t="shared" si="43"/>
        <v>218.3818</v>
      </c>
      <c r="BA497" s="61">
        <f t="shared" si="44"/>
        <v>123.58970000000001</v>
      </c>
    </row>
    <row r="498" spans="1:53" ht="22.5" customHeight="1" thickBot="1">
      <c r="A498" s="51" t="s">
        <v>63</v>
      </c>
      <c r="B498" s="52" t="s">
        <v>64</v>
      </c>
      <c r="C498" s="76">
        <v>4018098</v>
      </c>
      <c r="D498" s="77" t="s">
        <v>716</v>
      </c>
      <c r="E498" s="77" t="s">
        <v>718</v>
      </c>
      <c r="F498" s="78">
        <v>16199</v>
      </c>
      <c r="G498" s="78">
        <v>10999</v>
      </c>
      <c r="H498" s="78">
        <v>11999</v>
      </c>
      <c r="I498" s="78">
        <v>11999</v>
      </c>
      <c r="J498" s="78">
        <v>11699</v>
      </c>
      <c r="K498" s="78">
        <v>11699</v>
      </c>
      <c r="L498" s="78">
        <v>11699</v>
      </c>
      <c r="M498" s="78">
        <v>11699</v>
      </c>
      <c r="N498" s="78">
        <v>11699</v>
      </c>
      <c r="O498" s="78">
        <v>11599</v>
      </c>
      <c r="P498" s="78">
        <v>11399</v>
      </c>
      <c r="Q498" s="78">
        <v>11099</v>
      </c>
      <c r="R498" s="78">
        <v>11599</v>
      </c>
      <c r="S498" s="78">
        <v>11399</v>
      </c>
      <c r="T498" s="78">
        <v>11099</v>
      </c>
      <c r="U498" s="78">
        <v>11099</v>
      </c>
      <c r="V498" s="78">
        <v>11099</v>
      </c>
      <c r="W498" s="78">
        <v>11099</v>
      </c>
      <c r="X498" s="78">
        <v>10999</v>
      </c>
      <c r="Y498" s="78">
        <v>8499</v>
      </c>
      <c r="Z498" s="78">
        <v>8499</v>
      </c>
      <c r="AA498" s="78">
        <v>8299</v>
      </c>
      <c r="AB498" s="78"/>
      <c r="AC498" s="78"/>
      <c r="AD498" s="78"/>
      <c r="AE498" s="78"/>
      <c r="AF498" s="78"/>
      <c r="AG498" s="78"/>
      <c r="AH498" s="78"/>
      <c r="AI498" s="78"/>
      <c r="AJ498" s="78"/>
      <c r="AK498" s="78"/>
      <c r="AL498" s="78"/>
      <c r="AM498" s="78"/>
      <c r="AN498" s="78"/>
      <c r="AO498" s="78"/>
      <c r="AP498" s="78"/>
      <c r="AQ498" s="78"/>
      <c r="AR498" s="78"/>
      <c r="AS498" s="78"/>
      <c r="AT498" s="78"/>
      <c r="AU498" s="78"/>
      <c r="AV498" s="57"/>
      <c r="AW498" s="79" t="s">
        <v>67</v>
      </c>
      <c r="AX498" s="80" t="s">
        <v>68</v>
      </c>
      <c r="AY498" s="81">
        <f t="shared" si="42"/>
        <v>242.37979999999999</v>
      </c>
      <c r="AZ498" s="81">
        <f t="shared" si="43"/>
        <v>218.3818</v>
      </c>
      <c r="BA498" s="82">
        <f t="shared" si="44"/>
        <v>123.58970000000001</v>
      </c>
    </row>
    <row r="499" spans="1:53" ht="22.5" customHeight="1">
      <c r="A499" s="83" t="s">
        <v>241</v>
      </c>
      <c r="B499" s="84" t="s">
        <v>64</v>
      </c>
      <c r="C499" s="53">
        <v>4013638</v>
      </c>
      <c r="D499" s="65" t="s">
        <v>719</v>
      </c>
      <c r="E499" s="65" t="s">
        <v>720</v>
      </c>
      <c r="F499" s="85">
        <v>341</v>
      </c>
      <c r="G499" s="86">
        <v>141</v>
      </c>
      <c r="H499" s="87">
        <v>341</v>
      </c>
      <c r="I499" s="55">
        <v>341</v>
      </c>
      <c r="J499" s="55">
        <v>99</v>
      </c>
      <c r="K499" s="55">
        <v>99</v>
      </c>
      <c r="L499" s="55">
        <v>99</v>
      </c>
      <c r="M499" s="55">
        <v>99</v>
      </c>
      <c r="N499" s="55">
        <v>99</v>
      </c>
      <c r="O499" s="55">
        <v>99</v>
      </c>
      <c r="P499" s="55">
        <v>99</v>
      </c>
      <c r="Q499" s="55">
        <v>99</v>
      </c>
      <c r="R499" s="55">
        <v>99</v>
      </c>
      <c r="S499" s="55">
        <v>99</v>
      </c>
      <c r="T499" s="55">
        <v>99</v>
      </c>
      <c r="U499" s="55">
        <v>99</v>
      </c>
      <c r="V499" s="55">
        <v>99</v>
      </c>
      <c r="W499" s="55">
        <v>99</v>
      </c>
      <c r="X499" s="55">
        <v>99</v>
      </c>
      <c r="Y499" s="55">
        <v>99</v>
      </c>
      <c r="Z499" s="55">
        <v>99</v>
      </c>
      <c r="AA499" s="55">
        <v>99</v>
      </c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>
        <v>199</v>
      </c>
      <c r="AN499" s="55">
        <v>159</v>
      </c>
      <c r="AO499" s="55">
        <v>129</v>
      </c>
      <c r="AP499" s="55"/>
      <c r="AQ499" s="55"/>
      <c r="AR499" s="55"/>
      <c r="AS499" s="55"/>
      <c r="AT499" s="55"/>
      <c r="AU499" s="55"/>
      <c r="AW499" s="88" t="s">
        <v>67</v>
      </c>
      <c r="AX499" s="89" t="s">
        <v>721</v>
      </c>
    </row>
    <row r="500" spans="1:53" ht="22.5" customHeight="1">
      <c r="A500" s="64" t="s">
        <v>241</v>
      </c>
      <c r="B500" s="52" t="s">
        <v>64</v>
      </c>
      <c r="C500" s="72">
        <v>4013131</v>
      </c>
      <c r="D500" s="73" t="s">
        <v>722</v>
      </c>
      <c r="E500" s="73" t="s">
        <v>723</v>
      </c>
      <c r="F500" s="85">
        <v>349</v>
      </c>
      <c r="G500" s="90">
        <v>299</v>
      </c>
      <c r="H500" s="87">
        <v>299</v>
      </c>
      <c r="I500" s="55">
        <v>299</v>
      </c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>
        <v>199</v>
      </c>
      <c r="AN500" s="55">
        <v>159</v>
      </c>
      <c r="AO500" s="55">
        <v>129</v>
      </c>
      <c r="AP500" s="55"/>
      <c r="AQ500" s="55"/>
      <c r="AR500" s="55"/>
      <c r="AS500" s="55"/>
      <c r="AT500" s="55"/>
      <c r="AU500" s="55"/>
      <c r="AW500" s="58" t="s">
        <v>67</v>
      </c>
      <c r="AX500" s="59" t="s">
        <v>721</v>
      </c>
    </row>
    <row r="501" spans="1:53" ht="22.5" customHeight="1">
      <c r="A501" s="64" t="s">
        <v>241</v>
      </c>
      <c r="B501" s="52" t="s">
        <v>64</v>
      </c>
      <c r="C501" s="72">
        <v>4013033</v>
      </c>
      <c r="D501" s="73" t="s">
        <v>724</v>
      </c>
      <c r="E501" s="73" t="s">
        <v>725</v>
      </c>
      <c r="F501" s="85">
        <v>299</v>
      </c>
      <c r="G501" s="86">
        <v>299</v>
      </c>
      <c r="H501" s="87">
        <v>299</v>
      </c>
      <c r="I501" s="55">
        <v>299</v>
      </c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>
        <v>199</v>
      </c>
      <c r="AN501" s="55">
        <v>159</v>
      </c>
      <c r="AO501" s="55">
        <v>129</v>
      </c>
      <c r="AP501" s="55"/>
      <c r="AQ501" s="55"/>
      <c r="AR501" s="55"/>
      <c r="AS501" s="55"/>
      <c r="AT501" s="55"/>
      <c r="AU501" s="55"/>
      <c r="AW501" s="58" t="s">
        <v>67</v>
      </c>
      <c r="AX501" s="59" t="s">
        <v>247</v>
      </c>
    </row>
    <row r="502" spans="1:53" ht="22.5" customHeight="1" thickBot="1">
      <c r="A502" s="91" t="s">
        <v>241</v>
      </c>
      <c r="B502" s="92" t="s">
        <v>64</v>
      </c>
      <c r="C502" s="76">
        <v>4011551</v>
      </c>
      <c r="D502" s="93" t="s">
        <v>726</v>
      </c>
      <c r="E502" s="77" t="s">
        <v>727</v>
      </c>
      <c r="F502" s="78">
        <v>329</v>
      </c>
      <c r="G502" s="78">
        <v>329</v>
      </c>
      <c r="H502" s="78">
        <v>329</v>
      </c>
      <c r="I502" s="78">
        <v>329</v>
      </c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  <c r="AI502" s="78"/>
      <c r="AJ502" s="78"/>
      <c r="AK502" s="78"/>
      <c r="AL502" s="78"/>
      <c r="AM502" s="78"/>
      <c r="AN502" s="78"/>
      <c r="AO502" s="78"/>
      <c r="AP502" s="78"/>
      <c r="AQ502" s="78"/>
      <c r="AR502" s="78"/>
      <c r="AS502" s="78"/>
      <c r="AT502" s="78"/>
      <c r="AU502" s="78"/>
      <c r="AW502" s="94" t="s">
        <v>67</v>
      </c>
      <c r="AX502" s="95" t="s">
        <v>247</v>
      </c>
    </row>
    <row r="503" spans="1:53" ht="23" customHeight="1">
      <c r="A503" s="64" t="s">
        <v>241</v>
      </c>
      <c r="B503" s="52" t="s">
        <v>64</v>
      </c>
      <c r="C503" s="65">
        <v>4011550</v>
      </c>
      <c r="D503" s="96" t="s">
        <v>728</v>
      </c>
      <c r="E503" s="65" t="s">
        <v>728</v>
      </c>
      <c r="F503" s="55">
        <v>575</v>
      </c>
      <c r="G503" s="55">
        <v>299</v>
      </c>
      <c r="H503" s="55">
        <v>575</v>
      </c>
      <c r="I503" s="55">
        <v>575</v>
      </c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  <c r="AP503" s="55">
        <v>575</v>
      </c>
      <c r="AQ503" s="55">
        <v>575</v>
      </c>
      <c r="AR503" s="55">
        <v>575</v>
      </c>
      <c r="AS503" s="97">
        <v>199</v>
      </c>
      <c r="AT503" s="97">
        <v>159</v>
      </c>
      <c r="AU503" s="98">
        <v>99.9</v>
      </c>
      <c r="AW503" s="58" t="s">
        <v>67</v>
      </c>
      <c r="AX503" s="59" t="s">
        <v>247</v>
      </c>
    </row>
    <row r="504" spans="1:53" ht="23" customHeight="1">
      <c r="A504" s="64" t="s">
        <v>241</v>
      </c>
      <c r="B504" s="52" t="s">
        <v>64</v>
      </c>
      <c r="C504" s="72">
        <v>4012041</v>
      </c>
      <c r="D504" s="71" t="s">
        <v>729</v>
      </c>
      <c r="E504" s="65" t="s">
        <v>729</v>
      </c>
      <c r="F504" s="55">
        <v>575</v>
      </c>
      <c r="G504" s="55">
        <v>299</v>
      </c>
      <c r="H504" s="55">
        <v>575</v>
      </c>
      <c r="I504" s="55">
        <v>575</v>
      </c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  <c r="AP504" s="55">
        <v>575</v>
      </c>
      <c r="AQ504" s="55">
        <v>575</v>
      </c>
      <c r="AR504" s="55">
        <v>575</v>
      </c>
      <c r="AS504" s="97">
        <v>199</v>
      </c>
      <c r="AT504" s="97">
        <v>159</v>
      </c>
      <c r="AU504" s="98">
        <v>99.9</v>
      </c>
      <c r="AW504" s="58" t="s">
        <v>67</v>
      </c>
      <c r="AX504" s="59" t="s">
        <v>247</v>
      </c>
    </row>
    <row r="505" spans="1:53" ht="23" customHeight="1">
      <c r="A505" s="64" t="s">
        <v>241</v>
      </c>
      <c r="B505" s="52" t="s">
        <v>64</v>
      </c>
      <c r="C505" s="53">
        <v>4012242</v>
      </c>
      <c r="D505" s="71" t="s">
        <v>730</v>
      </c>
      <c r="E505" s="65" t="s">
        <v>730</v>
      </c>
      <c r="F505" s="55">
        <v>575</v>
      </c>
      <c r="G505" s="55">
        <v>299</v>
      </c>
      <c r="H505" s="55">
        <v>575</v>
      </c>
      <c r="I505" s="55">
        <v>575</v>
      </c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>
        <v>575</v>
      </c>
      <c r="AQ505" s="55">
        <v>575</v>
      </c>
      <c r="AR505" s="55">
        <v>575</v>
      </c>
      <c r="AS505" s="97">
        <v>199</v>
      </c>
      <c r="AT505" s="97">
        <v>159</v>
      </c>
      <c r="AU505" s="98">
        <v>99.9</v>
      </c>
      <c r="AW505" s="58" t="s">
        <v>67</v>
      </c>
      <c r="AX505" s="59" t="s">
        <v>247</v>
      </c>
    </row>
    <row r="506" spans="1:53" ht="23" customHeight="1">
      <c r="A506" s="64" t="s">
        <v>241</v>
      </c>
      <c r="B506" s="52" t="s">
        <v>64</v>
      </c>
      <c r="C506" s="53">
        <v>4012590</v>
      </c>
      <c r="D506" s="71" t="s">
        <v>731</v>
      </c>
      <c r="E506" s="65" t="s">
        <v>731</v>
      </c>
      <c r="F506" s="55">
        <v>575</v>
      </c>
      <c r="G506" s="55">
        <v>299</v>
      </c>
      <c r="H506" s="55">
        <v>575</v>
      </c>
      <c r="I506" s="55">
        <v>575</v>
      </c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  <c r="AP506" s="55">
        <v>575</v>
      </c>
      <c r="AQ506" s="55">
        <v>575</v>
      </c>
      <c r="AR506" s="55">
        <v>575</v>
      </c>
      <c r="AS506" s="97">
        <v>199</v>
      </c>
      <c r="AT506" s="97">
        <v>159</v>
      </c>
      <c r="AU506" s="98">
        <v>99.9</v>
      </c>
      <c r="AW506" s="58" t="s">
        <v>67</v>
      </c>
      <c r="AX506" s="59" t="s">
        <v>247</v>
      </c>
    </row>
    <row r="507" spans="1:53" ht="23" customHeight="1">
      <c r="A507" s="64" t="s">
        <v>241</v>
      </c>
      <c r="B507" s="52" t="s">
        <v>64</v>
      </c>
      <c r="C507" s="53">
        <v>4012681</v>
      </c>
      <c r="D507" s="71" t="s">
        <v>732</v>
      </c>
      <c r="E507" s="65" t="s">
        <v>732</v>
      </c>
      <c r="F507" s="55">
        <v>575</v>
      </c>
      <c r="G507" s="55">
        <v>299</v>
      </c>
      <c r="H507" s="55">
        <v>575</v>
      </c>
      <c r="I507" s="55">
        <v>575</v>
      </c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  <c r="AP507" s="55">
        <v>575</v>
      </c>
      <c r="AQ507" s="55">
        <v>575</v>
      </c>
      <c r="AR507" s="55">
        <v>575</v>
      </c>
      <c r="AS507" s="97">
        <v>199</v>
      </c>
      <c r="AT507" s="97">
        <v>159</v>
      </c>
      <c r="AU507" s="98">
        <v>99.9</v>
      </c>
      <c r="AW507" s="58" t="s">
        <v>67</v>
      </c>
      <c r="AX507" s="59" t="s">
        <v>247</v>
      </c>
    </row>
    <row r="508" spans="1:53" ht="23" customHeight="1" thickBot="1">
      <c r="A508" s="91" t="s">
        <v>241</v>
      </c>
      <c r="B508" s="92" t="s">
        <v>64</v>
      </c>
      <c r="C508" s="76">
        <v>4012680</v>
      </c>
      <c r="D508" s="99" t="s">
        <v>733</v>
      </c>
      <c r="E508" s="77" t="s">
        <v>733</v>
      </c>
      <c r="F508" s="78">
        <v>575</v>
      </c>
      <c r="G508" s="78">
        <v>299</v>
      </c>
      <c r="H508" s="78">
        <v>575</v>
      </c>
      <c r="I508" s="78">
        <v>575</v>
      </c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  <c r="AH508" s="78"/>
      <c r="AI508" s="78"/>
      <c r="AJ508" s="78"/>
      <c r="AK508" s="78"/>
      <c r="AL508" s="78"/>
      <c r="AM508" s="78"/>
      <c r="AN508" s="78"/>
      <c r="AO508" s="78"/>
      <c r="AP508" s="78">
        <v>575</v>
      </c>
      <c r="AQ508" s="78">
        <v>575</v>
      </c>
      <c r="AR508" s="78">
        <v>575</v>
      </c>
      <c r="AS508" s="100">
        <v>199</v>
      </c>
      <c r="AT508" s="100">
        <v>159</v>
      </c>
      <c r="AU508" s="101">
        <v>99.9</v>
      </c>
      <c r="AW508" s="79" t="s">
        <v>67</v>
      </c>
      <c r="AX508" s="102" t="s">
        <v>247</v>
      </c>
    </row>
    <row r="511" spans="1:53" ht="15.5">
      <c r="C511" s="103"/>
      <c r="E511" s="103"/>
      <c r="G511" s="103"/>
      <c r="I511" s="103"/>
      <c r="K511" s="103"/>
      <c r="M511" s="103"/>
      <c r="O511" s="103"/>
      <c r="Q511" s="103"/>
      <c r="S511" s="103"/>
      <c r="U511" s="103"/>
      <c r="W511" s="103"/>
      <c r="Y511" s="103"/>
      <c r="AA511" s="103"/>
      <c r="AC511" s="103"/>
      <c r="AE511" s="103"/>
      <c r="AG511" s="103"/>
      <c r="AI511" s="103"/>
      <c r="AK511" s="103"/>
      <c r="AM511" s="103"/>
      <c r="AO511" s="103"/>
      <c r="AQ511" s="103"/>
      <c r="AS511" s="103"/>
      <c r="AU511" s="103"/>
      <c r="AW511" s="103"/>
    </row>
  </sheetData>
  <autoFilter ref="A12:BA508" xr:uid="{00000000-0001-0000-0000-000000000000}"/>
  <mergeCells count="5">
    <mergeCell ref="H11:I11"/>
    <mergeCell ref="J11:AA11"/>
    <mergeCell ref="AB11:AL11"/>
    <mergeCell ref="AM11:AO11"/>
    <mergeCell ref="AP11:AU11"/>
  </mergeCells>
  <conditionalFormatting sqref="G502">
    <cfRule type="cellIs" dxfId="62" priority="32" operator="equal">
      <formula>0</formula>
    </cfRule>
    <cfRule type="cellIs" dxfId="61" priority="33" operator="lessThan">
      <formula>F502</formula>
    </cfRule>
  </conditionalFormatting>
  <conditionalFormatting sqref="H13:O14 R340:AL342 H347:I350">
    <cfRule type="cellIs" dxfId="60" priority="27" operator="equal">
      <formula>$G13</formula>
    </cfRule>
    <cfRule type="cellIs" dxfId="59" priority="28" operator="lessThan">
      <formula>$G13</formula>
    </cfRule>
  </conditionalFormatting>
  <conditionalFormatting sqref="H150:I156 J158:O166 H211:O219 P233:P244 H13:AL149 P245:Q339">
    <cfRule type="cellIs" dxfId="58" priority="30" operator="greaterThan">
      <formula>$G13</formula>
    </cfRule>
  </conditionalFormatting>
  <conditionalFormatting sqref="H150:I156 J158:O166 H211:O219 R211:AL219 P233:P244 J340:AE342 H343:AE442 H13:AL149 R158:AL166 P245:Q339 H443:AL448 AF340:AL442">
    <cfRule type="cellIs" dxfId="57" priority="26" operator="lessThan">
      <formula>$G13</formula>
    </cfRule>
  </conditionalFormatting>
  <conditionalFormatting sqref="H449:AL498">
    <cfRule type="cellIs" dxfId="56" priority="13" operator="equal">
      <formula>$G449</formula>
    </cfRule>
    <cfRule type="cellIs" dxfId="55" priority="14" operator="lessThan">
      <formula>$G449</formula>
    </cfRule>
    <cfRule type="cellIs" dxfId="54" priority="15" operator="greaterThan">
      <formula>$G449</formula>
    </cfRule>
  </conditionalFormatting>
  <conditionalFormatting sqref="J245:N247 F499:F501 H293:I314 J293:N338">
    <cfRule type="expression" dxfId="53" priority="31" stopIfTrue="1">
      <formula>#REF!&lt;&gt;#REF!</formula>
    </cfRule>
  </conditionalFormatting>
  <conditionalFormatting sqref="J250:N254 J257:N287">
    <cfRule type="expression" dxfId="52" priority="24" stopIfTrue="1">
      <formula>#REF!&lt;&gt;#REF!</formula>
    </cfRule>
  </conditionalFormatting>
  <conditionalFormatting sqref="J340:AE342 R211:AL219 R158:AL166 H432:AL448 AF340:AL431 H343:AE431">
    <cfRule type="cellIs" dxfId="51" priority="29" operator="greaterThan">
      <formula>$G158</formula>
    </cfRule>
  </conditionalFormatting>
  <conditionalFormatting sqref="J247:AL249 J254:AL260 F503:G508">
    <cfRule type="expression" dxfId="50" priority="23" stopIfTrue="1">
      <formula>#REF!&lt;&gt;#REF!</formula>
    </cfRule>
  </conditionalFormatting>
  <conditionalFormatting sqref="P157:Q232">
    <cfRule type="cellIs" dxfId="49" priority="17" operator="equal">
      <formula>$G157</formula>
    </cfRule>
    <cfRule type="cellIs" dxfId="48" priority="18" operator="lessThan">
      <formula>$G157</formula>
    </cfRule>
    <cfRule type="cellIs" dxfId="47" priority="19" operator="greaterThan">
      <formula>$G157</formula>
    </cfRule>
  </conditionalFormatting>
  <conditionalFormatting sqref="H150:I156 J158:O166 H211:O219 R211:AL219 P233:P244 J340:AE342 H13:AL149 R158:AL166 P245:Q339 H432:AL448 AF340:AL431 H343:AE431">
    <cfRule type="cellIs" dxfId="46" priority="25" operator="equal">
      <formula>$G13</formula>
    </cfRule>
  </conditionalFormatting>
  <conditionalFormatting sqref="R267:S270">
    <cfRule type="cellIs" dxfId="45" priority="7" operator="equal">
      <formula>$G267</formula>
    </cfRule>
    <cfRule type="cellIs" dxfId="44" priority="8" operator="lessThan">
      <formula>$G267</formula>
    </cfRule>
    <cfRule type="cellIs" dxfId="43" priority="9" operator="greaterThan">
      <formula>$G267</formula>
    </cfRule>
  </conditionalFormatting>
  <conditionalFormatting sqref="R183:AA183">
    <cfRule type="cellIs" dxfId="42" priority="20" operator="equal">
      <formula>$G183</formula>
    </cfRule>
    <cfRule type="cellIs" dxfId="41" priority="21" operator="lessThan">
      <formula>$G183</formula>
    </cfRule>
    <cfRule type="cellIs" dxfId="40" priority="22" operator="greaterThan">
      <formula>$G183</formula>
    </cfRule>
  </conditionalFormatting>
  <conditionalFormatting sqref="S261:S266">
    <cfRule type="cellIs" dxfId="39" priority="10" operator="equal">
      <formula>$G261</formula>
    </cfRule>
    <cfRule type="cellIs" dxfId="38" priority="11" operator="lessThan">
      <formula>$G261</formula>
    </cfRule>
    <cfRule type="cellIs" dxfId="37" priority="12" operator="greaterThan">
      <formula>$G261</formula>
    </cfRule>
  </conditionalFormatting>
  <conditionalFormatting sqref="S275:S282">
    <cfRule type="cellIs" dxfId="36" priority="1" operator="equal">
      <formula>$G275</formula>
    </cfRule>
    <cfRule type="cellIs" dxfId="35" priority="2" operator="lessThan">
      <formula>$G275</formula>
    </cfRule>
    <cfRule type="cellIs" dxfId="34" priority="3" operator="greaterThan">
      <formula>$G275</formula>
    </cfRule>
  </conditionalFormatting>
  <conditionalFormatting sqref="T209:W210">
    <cfRule type="cellIs" dxfId="33" priority="4" operator="equal">
      <formula>$G209</formula>
    </cfRule>
    <cfRule type="cellIs" dxfId="32" priority="5" operator="lessThan">
      <formula>$G209</formula>
    </cfRule>
    <cfRule type="cellIs" dxfId="31" priority="6" operator="greaterThan">
      <formula>$G209</formula>
    </cfRule>
  </conditionalFormatting>
  <conditionalFormatting sqref="AV340:AV498">
    <cfRule type="expression" dxfId="30" priority="16" stopIfTrue="1">
      <formula>#REF!&lt;&gt;#REF!</formula>
    </cfRule>
  </conditionalFormatting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F60D7-324B-4771-A32B-0300DC21E545}">
  <dimension ref="B1:AN619"/>
  <sheetViews>
    <sheetView showGridLines="0" zoomScale="84" zoomScaleNormal="80" workbookViewId="0">
      <pane xSplit="4" ySplit="7" topLeftCell="E75" activePane="bottomRight" state="frozen"/>
      <selection activeCell="G493" sqref="G493:AA494"/>
      <selection pane="topRight" activeCell="G493" sqref="G493:AA494"/>
      <selection pane="bottomLeft" activeCell="G493" sqref="G493:AA494"/>
      <selection pane="bottomRight" activeCell="G493" sqref="G493:AA494"/>
    </sheetView>
  </sheetViews>
  <sheetFormatPr defaultRowHeight="14.5"/>
  <cols>
    <col min="1" max="1" width="0.7265625" customWidth="1"/>
    <col min="2" max="2" width="19.7265625" bestFit="1" customWidth="1"/>
    <col min="3" max="3" width="16.90625" bestFit="1" customWidth="1"/>
    <col min="4" max="4" width="60.36328125" bestFit="1" customWidth="1"/>
    <col min="5" max="5" width="50.54296875" customWidth="1"/>
    <col min="6" max="6" width="14.453125" bestFit="1" customWidth="1"/>
    <col min="7" max="7" width="17.90625" customWidth="1"/>
    <col min="8" max="8" width="15" customWidth="1"/>
    <col min="9" max="12" width="15.6328125" customWidth="1"/>
    <col min="13" max="13" width="13.54296875" customWidth="1"/>
    <col min="14" max="17" width="13.6328125" customWidth="1"/>
    <col min="22" max="22" width="13.6328125" customWidth="1"/>
    <col min="23" max="23" width="13.36328125" customWidth="1"/>
    <col min="24" max="24" width="12.81640625" customWidth="1"/>
    <col min="25" max="25" width="12" customWidth="1"/>
    <col min="26" max="26" width="12.1796875" customWidth="1"/>
    <col min="27" max="28" width="11.90625" customWidth="1"/>
    <col min="29" max="29" width="13.26953125" customWidth="1"/>
    <col min="30" max="30" width="13.1796875" customWidth="1"/>
    <col min="31" max="32" width="15" customWidth="1"/>
    <col min="33" max="33" width="15.1796875" customWidth="1"/>
    <col min="34" max="38" width="11.90625" customWidth="1"/>
    <col min="39" max="39" width="13.54296875" bestFit="1" customWidth="1"/>
    <col min="40" max="40" width="11.36328125" customWidth="1"/>
  </cols>
  <sheetData>
    <row r="1" spans="2:40" ht="15.5">
      <c r="B1" s="104" t="s">
        <v>734</v>
      </c>
    </row>
    <row r="3" spans="2:40">
      <c r="B3" t="s">
        <v>5</v>
      </c>
      <c r="C3" t="s">
        <v>6</v>
      </c>
    </row>
    <row r="4" spans="2:40">
      <c r="B4" s="105" t="s">
        <v>735</v>
      </c>
    </row>
    <row r="5" spans="2:40">
      <c r="B5" s="106" t="s">
        <v>736</v>
      </c>
    </row>
    <row r="6" spans="2:40" ht="16" thickBot="1">
      <c r="C6" t="s">
        <v>7</v>
      </c>
      <c r="D6" s="21">
        <f>REV!D11</f>
        <v>46311</v>
      </c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</row>
    <row r="7" spans="2:40" ht="93.5" thickBot="1">
      <c r="B7" s="108" t="s">
        <v>12</v>
      </c>
      <c r="C7" s="108" t="s">
        <v>13</v>
      </c>
      <c r="D7" s="109" t="s">
        <v>14</v>
      </c>
      <c r="E7" s="110" t="s">
        <v>15</v>
      </c>
      <c r="F7" s="36" t="s">
        <v>16</v>
      </c>
      <c r="G7" s="37" t="s">
        <v>17</v>
      </c>
      <c r="H7" s="38" t="s">
        <v>18</v>
      </c>
      <c r="I7" s="39" t="s">
        <v>19</v>
      </c>
      <c r="J7" s="40" t="s">
        <v>20</v>
      </c>
      <c r="K7" s="40" t="s">
        <v>21</v>
      </c>
      <c r="L7" s="40" t="s">
        <v>22</v>
      </c>
      <c r="M7" s="111" t="s">
        <v>23</v>
      </c>
      <c r="N7" s="112" t="s">
        <v>24</v>
      </c>
      <c r="O7" s="41" t="s">
        <v>25</v>
      </c>
      <c r="P7" s="41" t="s">
        <v>26</v>
      </c>
      <c r="Q7" s="41" t="s">
        <v>27</v>
      </c>
      <c r="R7" s="113" t="s">
        <v>28</v>
      </c>
      <c r="S7" s="113" t="s">
        <v>29</v>
      </c>
      <c r="T7" s="113" t="s">
        <v>30</v>
      </c>
      <c r="U7" s="113" t="s">
        <v>31</v>
      </c>
      <c r="V7" s="42" t="s">
        <v>32</v>
      </c>
      <c r="W7" s="42" t="s">
        <v>33</v>
      </c>
      <c r="X7" s="42" t="s">
        <v>34</v>
      </c>
      <c r="Y7" s="42" t="s">
        <v>35</v>
      </c>
      <c r="Z7" s="42" t="s">
        <v>36</v>
      </c>
      <c r="AA7" s="42" t="s">
        <v>37</v>
      </c>
      <c r="AB7" s="43" t="s">
        <v>38</v>
      </c>
      <c r="AC7" s="43" t="s">
        <v>39</v>
      </c>
      <c r="AD7" s="43" t="s">
        <v>40</v>
      </c>
      <c r="AE7" s="43" t="s">
        <v>41</v>
      </c>
      <c r="AF7" s="43" t="s">
        <v>42</v>
      </c>
      <c r="AG7" s="43" t="s">
        <v>43</v>
      </c>
      <c r="AH7" s="43" t="s">
        <v>44</v>
      </c>
      <c r="AI7" s="43" t="s">
        <v>45</v>
      </c>
      <c r="AJ7" s="43" t="s">
        <v>46</v>
      </c>
      <c r="AK7" s="43" t="s">
        <v>47</v>
      </c>
      <c r="AL7" s="43" t="s">
        <v>48</v>
      </c>
      <c r="AM7" s="114" t="s">
        <v>58</v>
      </c>
      <c r="AN7" s="115"/>
    </row>
    <row r="8" spans="2:40" ht="15.5">
      <c r="B8" s="116" t="s">
        <v>737</v>
      </c>
      <c r="C8" s="117">
        <v>4014927</v>
      </c>
      <c r="D8" s="118" t="s">
        <v>738</v>
      </c>
      <c r="E8" s="118" t="s">
        <v>739</v>
      </c>
      <c r="F8" s="119">
        <v>199</v>
      </c>
      <c r="G8" s="119">
        <v>199</v>
      </c>
      <c r="H8" s="119"/>
      <c r="I8" s="119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1"/>
      <c r="W8" s="121"/>
      <c r="X8" s="121"/>
      <c r="Y8" s="121"/>
      <c r="Z8" s="121"/>
      <c r="AA8" s="121"/>
      <c r="AB8" s="121">
        <v>169</v>
      </c>
      <c r="AC8" s="121">
        <v>169</v>
      </c>
      <c r="AD8" s="121">
        <v>169</v>
      </c>
      <c r="AE8" s="121">
        <v>169</v>
      </c>
      <c r="AF8" s="121">
        <v>169</v>
      </c>
      <c r="AG8" s="121">
        <v>169</v>
      </c>
      <c r="AH8" s="121">
        <v>169</v>
      </c>
      <c r="AI8" s="121">
        <v>169</v>
      </c>
      <c r="AJ8" s="121">
        <v>169</v>
      </c>
      <c r="AK8" s="121">
        <v>169</v>
      </c>
      <c r="AL8" s="121">
        <v>169</v>
      </c>
      <c r="AM8" s="122" t="s">
        <v>740</v>
      </c>
    </row>
    <row r="9" spans="2:40" ht="15.5">
      <c r="B9" s="116" t="s">
        <v>741</v>
      </c>
      <c r="C9" s="117">
        <v>4016500</v>
      </c>
      <c r="D9" s="118" t="s">
        <v>742</v>
      </c>
      <c r="E9" s="118" t="s">
        <v>743</v>
      </c>
      <c r="F9" s="119">
        <v>199</v>
      </c>
      <c r="G9" s="119">
        <v>199</v>
      </c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1"/>
      <c r="Z9" s="121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2" t="s">
        <v>740</v>
      </c>
    </row>
    <row r="10" spans="2:40" ht="15.5">
      <c r="B10" s="123" t="s">
        <v>744</v>
      </c>
      <c r="C10" s="117">
        <v>4014444</v>
      </c>
      <c r="D10" s="124" t="s">
        <v>745</v>
      </c>
      <c r="E10" s="118" t="s">
        <v>746</v>
      </c>
      <c r="F10" s="121">
        <v>799</v>
      </c>
      <c r="G10" s="121">
        <v>799</v>
      </c>
      <c r="H10" s="120">
        <v>799</v>
      </c>
      <c r="I10" s="120">
        <v>799</v>
      </c>
      <c r="J10" s="120">
        <v>749</v>
      </c>
      <c r="K10" s="120">
        <v>749</v>
      </c>
      <c r="L10" s="120">
        <v>749</v>
      </c>
      <c r="M10" s="125">
        <v>749</v>
      </c>
      <c r="N10" s="125">
        <v>749</v>
      </c>
      <c r="O10" s="120">
        <v>699</v>
      </c>
      <c r="P10" s="120">
        <v>599</v>
      </c>
      <c r="Q10" s="120">
        <v>449</v>
      </c>
      <c r="R10" s="125">
        <v>699</v>
      </c>
      <c r="S10" s="125">
        <v>599</v>
      </c>
      <c r="T10" s="125">
        <v>449</v>
      </c>
      <c r="U10" s="125">
        <v>449</v>
      </c>
      <c r="V10" s="125">
        <v>449</v>
      </c>
      <c r="W10" s="125">
        <v>449</v>
      </c>
      <c r="X10" s="125">
        <v>449</v>
      </c>
      <c r="Y10" s="125">
        <v>449</v>
      </c>
      <c r="Z10" s="125">
        <v>449</v>
      </c>
      <c r="AA10" s="125">
        <v>449</v>
      </c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2" t="s">
        <v>740</v>
      </c>
    </row>
    <row r="11" spans="2:40" ht="15.5">
      <c r="B11" s="123" t="s">
        <v>744</v>
      </c>
      <c r="C11" s="117">
        <v>4017142</v>
      </c>
      <c r="D11" s="124" t="s">
        <v>747</v>
      </c>
      <c r="E11" s="118" t="s">
        <v>748</v>
      </c>
      <c r="F11" s="121">
        <v>999</v>
      </c>
      <c r="G11" s="121">
        <v>999</v>
      </c>
      <c r="H11" s="120">
        <v>999</v>
      </c>
      <c r="I11" s="120">
        <v>999</v>
      </c>
      <c r="J11" s="120">
        <v>949</v>
      </c>
      <c r="K11" s="120">
        <v>949</v>
      </c>
      <c r="L11" s="120">
        <v>949</v>
      </c>
      <c r="M11" s="125">
        <v>949</v>
      </c>
      <c r="N11" s="125">
        <v>949</v>
      </c>
      <c r="O11" s="120">
        <v>899</v>
      </c>
      <c r="P11" s="120">
        <v>799</v>
      </c>
      <c r="Q11" s="120">
        <v>599</v>
      </c>
      <c r="R11" s="125">
        <v>899</v>
      </c>
      <c r="S11" s="125">
        <v>799</v>
      </c>
      <c r="T11" s="125">
        <v>599</v>
      </c>
      <c r="U11" s="125">
        <v>599</v>
      </c>
      <c r="V11" s="125">
        <v>599</v>
      </c>
      <c r="W11" s="125">
        <v>599</v>
      </c>
      <c r="X11" s="125">
        <v>549</v>
      </c>
      <c r="Y11" s="125">
        <v>549</v>
      </c>
      <c r="Z11" s="125">
        <v>549</v>
      </c>
      <c r="AA11" s="125">
        <v>549</v>
      </c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2" t="s">
        <v>740</v>
      </c>
    </row>
    <row r="12" spans="2:40" ht="15.5">
      <c r="B12" s="123" t="s">
        <v>744</v>
      </c>
      <c r="C12" s="117">
        <v>4014958</v>
      </c>
      <c r="D12" s="116" t="s">
        <v>749</v>
      </c>
      <c r="E12" s="118" t="s">
        <v>750</v>
      </c>
      <c r="F12" s="119">
        <v>299</v>
      </c>
      <c r="G12" s="119">
        <v>399</v>
      </c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2" t="s">
        <v>740</v>
      </c>
    </row>
    <row r="13" spans="2:40" ht="15.5">
      <c r="B13" s="123" t="s">
        <v>751</v>
      </c>
      <c r="C13" s="117">
        <v>4017062</v>
      </c>
      <c r="D13" s="124" t="s">
        <v>752</v>
      </c>
      <c r="E13" s="118" t="s">
        <v>753</v>
      </c>
      <c r="F13" s="121">
        <v>899</v>
      </c>
      <c r="G13" s="121">
        <v>899</v>
      </c>
      <c r="H13" s="121">
        <v>899</v>
      </c>
      <c r="I13" s="121">
        <v>899</v>
      </c>
      <c r="J13" s="120">
        <v>849</v>
      </c>
      <c r="K13" s="120">
        <v>849</v>
      </c>
      <c r="L13" s="121">
        <v>849</v>
      </c>
      <c r="M13" s="125">
        <v>849</v>
      </c>
      <c r="N13" s="125">
        <v>849</v>
      </c>
      <c r="O13" s="121">
        <v>799</v>
      </c>
      <c r="P13" s="121">
        <v>699</v>
      </c>
      <c r="Q13" s="120">
        <v>499</v>
      </c>
      <c r="R13" s="121">
        <v>799</v>
      </c>
      <c r="S13" s="121">
        <v>699</v>
      </c>
      <c r="T13" s="120">
        <v>499</v>
      </c>
      <c r="U13" s="120">
        <v>499</v>
      </c>
      <c r="V13" s="120">
        <v>499</v>
      </c>
      <c r="W13" s="120">
        <v>499</v>
      </c>
      <c r="X13" s="120">
        <v>499</v>
      </c>
      <c r="Y13" s="120">
        <v>499</v>
      </c>
      <c r="Z13" s="120">
        <v>499</v>
      </c>
      <c r="AA13" s="120">
        <v>499</v>
      </c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2" t="s">
        <v>740</v>
      </c>
    </row>
    <row r="14" spans="2:40" ht="15.5">
      <c r="B14" s="123" t="s">
        <v>744</v>
      </c>
      <c r="C14" s="117">
        <v>4016330</v>
      </c>
      <c r="D14" s="116" t="s">
        <v>754</v>
      </c>
      <c r="E14" s="118" t="s">
        <v>755</v>
      </c>
      <c r="F14" s="119">
        <v>199</v>
      </c>
      <c r="G14" s="119">
        <v>199</v>
      </c>
      <c r="H14" s="119">
        <v>199</v>
      </c>
      <c r="I14" s="119">
        <v>199</v>
      </c>
      <c r="J14" s="120">
        <v>149</v>
      </c>
      <c r="K14" s="120">
        <v>149</v>
      </c>
      <c r="L14" s="119">
        <v>149</v>
      </c>
      <c r="M14" s="120">
        <v>149</v>
      </c>
      <c r="N14" s="120">
        <v>149</v>
      </c>
      <c r="O14" s="119">
        <v>149</v>
      </c>
      <c r="P14" s="119">
        <v>149</v>
      </c>
      <c r="Q14" s="120">
        <v>149</v>
      </c>
      <c r="R14" s="119">
        <v>149</v>
      </c>
      <c r="S14" s="119">
        <v>149</v>
      </c>
      <c r="T14" s="120">
        <v>149</v>
      </c>
      <c r="U14" s="120">
        <v>149</v>
      </c>
      <c r="V14" s="120">
        <v>149</v>
      </c>
      <c r="W14" s="120">
        <v>149</v>
      </c>
      <c r="X14" s="120">
        <v>149</v>
      </c>
      <c r="Y14" s="120">
        <v>149</v>
      </c>
      <c r="Z14" s="120">
        <v>149</v>
      </c>
      <c r="AA14" s="120">
        <v>149</v>
      </c>
      <c r="AB14" s="120">
        <v>149</v>
      </c>
      <c r="AC14" s="120">
        <v>149</v>
      </c>
      <c r="AD14" s="120">
        <v>149</v>
      </c>
      <c r="AE14" s="120">
        <v>149</v>
      </c>
      <c r="AF14" s="120">
        <v>149</v>
      </c>
      <c r="AG14" s="120">
        <v>149</v>
      </c>
      <c r="AH14" s="120">
        <v>149</v>
      </c>
      <c r="AI14" s="120">
        <v>149</v>
      </c>
      <c r="AJ14" s="120">
        <v>149</v>
      </c>
      <c r="AK14" s="120">
        <v>149</v>
      </c>
      <c r="AL14" s="120">
        <v>149</v>
      </c>
      <c r="AM14" s="122" t="s">
        <v>740</v>
      </c>
    </row>
    <row r="15" spans="2:40" ht="15.5">
      <c r="B15" s="123" t="s">
        <v>756</v>
      </c>
      <c r="C15" s="117">
        <v>4018060</v>
      </c>
      <c r="D15" s="116" t="s">
        <v>757</v>
      </c>
      <c r="E15" s="118" t="s">
        <v>758</v>
      </c>
      <c r="F15" s="119">
        <v>359</v>
      </c>
      <c r="G15" s="119">
        <v>299</v>
      </c>
      <c r="H15" s="119">
        <v>359</v>
      </c>
      <c r="I15" s="119">
        <v>359</v>
      </c>
      <c r="J15" s="120">
        <v>199</v>
      </c>
      <c r="K15" s="120">
        <v>199</v>
      </c>
      <c r="L15" s="120">
        <v>199</v>
      </c>
      <c r="M15" s="120">
        <v>199</v>
      </c>
      <c r="N15" s="120">
        <v>199</v>
      </c>
      <c r="O15" s="119">
        <v>199</v>
      </c>
      <c r="P15" s="119">
        <v>199</v>
      </c>
      <c r="Q15" s="120">
        <v>99</v>
      </c>
      <c r="R15" s="119">
        <v>199</v>
      </c>
      <c r="S15" s="119">
        <v>199</v>
      </c>
      <c r="T15" s="120">
        <v>99</v>
      </c>
      <c r="U15" s="120">
        <v>99</v>
      </c>
      <c r="V15" s="120">
        <v>99</v>
      </c>
      <c r="W15" s="120">
        <v>99</v>
      </c>
      <c r="X15" s="120">
        <v>99</v>
      </c>
      <c r="Y15" s="120">
        <v>99</v>
      </c>
      <c r="Z15" s="120">
        <v>99</v>
      </c>
      <c r="AA15" s="120">
        <v>99</v>
      </c>
      <c r="AB15" s="120">
        <v>199</v>
      </c>
      <c r="AC15" s="120">
        <v>199</v>
      </c>
      <c r="AD15" s="120">
        <v>199</v>
      </c>
      <c r="AE15" s="120">
        <v>199</v>
      </c>
      <c r="AF15" s="120">
        <v>199</v>
      </c>
      <c r="AG15" s="120">
        <v>199</v>
      </c>
      <c r="AH15" s="120">
        <v>199</v>
      </c>
      <c r="AI15" s="120">
        <v>99</v>
      </c>
      <c r="AJ15" s="120">
        <v>99</v>
      </c>
      <c r="AK15" s="120">
        <v>99</v>
      </c>
      <c r="AL15" s="120">
        <v>99</v>
      </c>
      <c r="AM15" s="122" t="s">
        <v>740</v>
      </c>
    </row>
    <row r="16" spans="2:40" ht="15.5">
      <c r="B16" s="126" t="s">
        <v>744</v>
      </c>
      <c r="C16" s="127">
        <v>4015270</v>
      </c>
      <c r="D16" s="128" t="s">
        <v>759</v>
      </c>
      <c r="E16" s="118" t="s">
        <v>760</v>
      </c>
      <c r="F16" s="129">
        <v>1999</v>
      </c>
      <c r="G16" s="129">
        <v>1999</v>
      </c>
      <c r="H16" s="130">
        <v>1999</v>
      </c>
      <c r="I16" s="130">
        <v>1999</v>
      </c>
      <c r="J16" s="130">
        <v>1949</v>
      </c>
      <c r="K16" s="130">
        <v>1949</v>
      </c>
      <c r="L16" s="130">
        <v>1949</v>
      </c>
      <c r="M16" s="131">
        <v>1949</v>
      </c>
      <c r="N16" s="131">
        <v>1949</v>
      </c>
      <c r="O16" s="130">
        <v>1899</v>
      </c>
      <c r="P16" s="130">
        <v>1799</v>
      </c>
      <c r="Q16" s="130">
        <v>1599</v>
      </c>
      <c r="R16" s="131">
        <v>1899</v>
      </c>
      <c r="S16" s="131">
        <v>1799</v>
      </c>
      <c r="T16" s="131">
        <v>1599</v>
      </c>
      <c r="U16" s="131">
        <v>1599</v>
      </c>
      <c r="V16" s="131">
        <v>1599</v>
      </c>
      <c r="W16" s="131">
        <v>1599</v>
      </c>
      <c r="X16" s="131">
        <v>1499</v>
      </c>
      <c r="Y16" s="131">
        <v>1199</v>
      </c>
      <c r="Z16" s="131">
        <v>1199</v>
      </c>
      <c r="AA16" s="131">
        <v>1149</v>
      </c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22" t="s">
        <v>740</v>
      </c>
    </row>
    <row r="17" spans="2:40" ht="15.5">
      <c r="B17" s="126" t="s">
        <v>744</v>
      </c>
      <c r="C17" s="127">
        <v>4015688</v>
      </c>
      <c r="D17" s="128" t="s">
        <v>759</v>
      </c>
      <c r="E17" s="118" t="s">
        <v>761</v>
      </c>
      <c r="F17" s="129">
        <v>1999</v>
      </c>
      <c r="G17" s="129">
        <v>1999</v>
      </c>
      <c r="H17" s="130">
        <v>1999</v>
      </c>
      <c r="I17" s="130">
        <v>1999</v>
      </c>
      <c r="J17" s="130">
        <v>1949</v>
      </c>
      <c r="K17" s="130">
        <v>1949</v>
      </c>
      <c r="L17" s="130">
        <v>1949</v>
      </c>
      <c r="M17" s="131">
        <v>1949</v>
      </c>
      <c r="N17" s="131">
        <v>1949</v>
      </c>
      <c r="O17" s="130">
        <v>1899</v>
      </c>
      <c r="P17" s="130">
        <v>1799</v>
      </c>
      <c r="Q17" s="130">
        <v>1599</v>
      </c>
      <c r="R17" s="131">
        <v>1899</v>
      </c>
      <c r="S17" s="131">
        <v>1799</v>
      </c>
      <c r="T17" s="131">
        <v>1599</v>
      </c>
      <c r="U17" s="131">
        <v>1599</v>
      </c>
      <c r="V17" s="131">
        <v>1599</v>
      </c>
      <c r="W17" s="131">
        <v>1599</v>
      </c>
      <c r="X17" s="131">
        <v>1499</v>
      </c>
      <c r="Y17" s="131">
        <v>1199</v>
      </c>
      <c r="Z17" s="131">
        <v>1199</v>
      </c>
      <c r="AA17" s="131">
        <v>1149</v>
      </c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1"/>
      <c r="AM17" s="122" t="s">
        <v>740</v>
      </c>
    </row>
    <row r="18" spans="2:40" ht="15.5">
      <c r="B18" s="126" t="s">
        <v>762</v>
      </c>
      <c r="C18" s="127">
        <v>4017260</v>
      </c>
      <c r="D18" s="128" t="s">
        <v>763</v>
      </c>
      <c r="E18" s="118" t="s">
        <v>764</v>
      </c>
      <c r="F18" s="129">
        <v>2599</v>
      </c>
      <c r="G18" s="129">
        <v>1999</v>
      </c>
      <c r="H18" s="130">
        <v>2599</v>
      </c>
      <c r="I18" s="130">
        <v>2599</v>
      </c>
      <c r="J18" s="120">
        <v>2549</v>
      </c>
      <c r="K18" s="120">
        <v>2549</v>
      </c>
      <c r="L18" s="120">
        <v>2549</v>
      </c>
      <c r="M18" s="131">
        <v>2549</v>
      </c>
      <c r="N18" s="131">
        <v>2549</v>
      </c>
      <c r="O18" s="120">
        <v>2499</v>
      </c>
      <c r="P18" s="120">
        <v>2399</v>
      </c>
      <c r="Q18" s="120">
        <v>2199</v>
      </c>
      <c r="R18" s="131">
        <v>2499</v>
      </c>
      <c r="S18" s="131">
        <v>2399</v>
      </c>
      <c r="T18" s="131">
        <v>2199</v>
      </c>
      <c r="U18" s="131">
        <v>2199</v>
      </c>
      <c r="V18" s="131">
        <v>2199</v>
      </c>
      <c r="W18" s="131">
        <v>2199</v>
      </c>
      <c r="X18" s="131">
        <v>2099</v>
      </c>
      <c r="Y18" s="131">
        <v>1799</v>
      </c>
      <c r="Z18" s="131">
        <v>1799</v>
      </c>
      <c r="AA18" s="131">
        <v>1749</v>
      </c>
      <c r="AB18" s="131">
        <v>2549</v>
      </c>
      <c r="AC18" s="131">
        <v>2549</v>
      </c>
      <c r="AD18" s="131">
        <v>2549</v>
      </c>
      <c r="AE18" s="131">
        <v>2549</v>
      </c>
      <c r="AF18" s="131">
        <v>2499</v>
      </c>
      <c r="AG18" s="131">
        <v>2499</v>
      </c>
      <c r="AH18" s="131">
        <v>2499</v>
      </c>
      <c r="AI18" s="131">
        <v>2199</v>
      </c>
      <c r="AJ18" s="131">
        <v>2199</v>
      </c>
      <c r="AK18" s="131">
        <v>2199</v>
      </c>
      <c r="AL18" s="131">
        <v>1799</v>
      </c>
      <c r="AM18" s="122" t="s">
        <v>740</v>
      </c>
    </row>
    <row r="19" spans="2:40" ht="15.5">
      <c r="B19" s="126" t="s">
        <v>762</v>
      </c>
      <c r="C19" s="127">
        <v>4018025</v>
      </c>
      <c r="D19" s="128" t="s">
        <v>763</v>
      </c>
      <c r="E19" s="118" t="s">
        <v>765</v>
      </c>
      <c r="F19" s="129">
        <v>2599</v>
      </c>
      <c r="G19" s="129">
        <v>1999</v>
      </c>
      <c r="H19" s="130">
        <v>2599</v>
      </c>
      <c r="I19" s="130">
        <v>2599</v>
      </c>
      <c r="J19" s="120">
        <v>2549</v>
      </c>
      <c r="K19" s="120">
        <v>2549</v>
      </c>
      <c r="L19" s="120">
        <v>2549</v>
      </c>
      <c r="M19" s="131">
        <v>2549</v>
      </c>
      <c r="N19" s="131">
        <v>2549</v>
      </c>
      <c r="O19" s="120">
        <v>2499</v>
      </c>
      <c r="P19" s="120">
        <v>2399</v>
      </c>
      <c r="Q19" s="120">
        <v>2199</v>
      </c>
      <c r="R19" s="131">
        <v>2499</v>
      </c>
      <c r="S19" s="131">
        <v>2399</v>
      </c>
      <c r="T19" s="131">
        <v>2199</v>
      </c>
      <c r="U19" s="131">
        <v>2199</v>
      </c>
      <c r="V19" s="131">
        <v>2199</v>
      </c>
      <c r="W19" s="131">
        <v>2199</v>
      </c>
      <c r="X19" s="131">
        <v>2099</v>
      </c>
      <c r="Y19" s="131">
        <v>1799</v>
      </c>
      <c r="Z19" s="131">
        <v>1799</v>
      </c>
      <c r="AA19" s="131">
        <v>1749</v>
      </c>
      <c r="AB19" s="131">
        <v>2549</v>
      </c>
      <c r="AC19" s="131">
        <v>2549</v>
      </c>
      <c r="AD19" s="131">
        <v>2549</v>
      </c>
      <c r="AE19" s="131">
        <v>2549</v>
      </c>
      <c r="AF19" s="131">
        <v>2499</v>
      </c>
      <c r="AG19" s="131">
        <v>2499</v>
      </c>
      <c r="AH19" s="131">
        <v>2499</v>
      </c>
      <c r="AI19" s="131">
        <v>2199</v>
      </c>
      <c r="AJ19" s="131">
        <v>2199</v>
      </c>
      <c r="AK19" s="131">
        <v>2199</v>
      </c>
      <c r="AL19" s="131">
        <v>1799</v>
      </c>
      <c r="AM19" s="122" t="s">
        <v>740</v>
      </c>
    </row>
    <row r="20" spans="2:40" ht="15.5">
      <c r="B20" s="128" t="s">
        <v>751</v>
      </c>
      <c r="C20" s="127">
        <v>4016358</v>
      </c>
      <c r="D20" s="132" t="s">
        <v>766</v>
      </c>
      <c r="E20" s="118" t="s">
        <v>767</v>
      </c>
      <c r="F20" s="129">
        <v>399</v>
      </c>
      <c r="G20" s="129">
        <v>399</v>
      </c>
      <c r="H20" s="129">
        <v>399</v>
      </c>
      <c r="I20" s="129">
        <v>399</v>
      </c>
      <c r="J20" s="120">
        <v>349</v>
      </c>
      <c r="K20" s="120">
        <v>349</v>
      </c>
      <c r="L20" s="129">
        <v>349</v>
      </c>
      <c r="M20" s="130">
        <v>349</v>
      </c>
      <c r="N20" s="130">
        <v>349</v>
      </c>
      <c r="O20" s="129">
        <v>299</v>
      </c>
      <c r="P20" s="129">
        <v>299</v>
      </c>
      <c r="Q20" s="120">
        <v>299</v>
      </c>
      <c r="R20" s="129">
        <v>299</v>
      </c>
      <c r="S20" s="129">
        <v>299</v>
      </c>
      <c r="T20" s="130">
        <v>299</v>
      </c>
      <c r="U20" s="130">
        <v>299</v>
      </c>
      <c r="V20" s="130">
        <v>299</v>
      </c>
      <c r="W20" s="130">
        <v>299</v>
      </c>
      <c r="X20" s="130">
        <v>299</v>
      </c>
      <c r="Y20" s="133">
        <v>299</v>
      </c>
      <c r="Z20" s="133">
        <v>299</v>
      </c>
      <c r="AA20" s="130">
        <v>299</v>
      </c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22" t="s">
        <v>740</v>
      </c>
    </row>
    <row r="21" spans="2:40" ht="15.5">
      <c r="B21" s="126" t="s">
        <v>744</v>
      </c>
      <c r="C21" s="127">
        <v>4016341</v>
      </c>
      <c r="D21" s="128" t="s">
        <v>768</v>
      </c>
      <c r="E21" s="118" t="s">
        <v>769</v>
      </c>
      <c r="F21" s="129">
        <v>1199</v>
      </c>
      <c r="G21" s="129">
        <v>1199</v>
      </c>
      <c r="H21" s="130"/>
      <c r="I21" s="130"/>
      <c r="J21" s="120"/>
      <c r="K21" s="120"/>
      <c r="L21" s="120"/>
      <c r="M21" s="131"/>
      <c r="N21" s="131"/>
      <c r="O21" s="120"/>
      <c r="P21" s="120"/>
      <c r="Q21" s="120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22" t="s">
        <v>740</v>
      </c>
    </row>
    <row r="22" spans="2:40" ht="15.5">
      <c r="B22" s="126" t="s">
        <v>744</v>
      </c>
      <c r="C22" s="127">
        <v>4015273</v>
      </c>
      <c r="D22" s="128" t="s">
        <v>768</v>
      </c>
      <c r="E22" s="118" t="s">
        <v>770</v>
      </c>
      <c r="F22" s="129">
        <v>1199</v>
      </c>
      <c r="G22" s="129">
        <v>1199</v>
      </c>
      <c r="H22" s="130"/>
      <c r="I22" s="130"/>
      <c r="J22" s="120"/>
      <c r="K22" s="120"/>
      <c r="L22" s="120"/>
      <c r="M22" s="131"/>
      <c r="N22" s="131"/>
      <c r="O22" s="120"/>
      <c r="P22" s="120"/>
      <c r="Q22" s="120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  <c r="AK22" s="131"/>
      <c r="AL22" s="131"/>
      <c r="AM22" s="122" t="s">
        <v>740</v>
      </c>
    </row>
    <row r="23" spans="2:40" ht="15.5">
      <c r="B23" s="126" t="s">
        <v>744</v>
      </c>
      <c r="C23" s="127">
        <v>4017250</v>
      </c>
      <c r="D23" s="128" t="s">
        <v>771</v>
      </c>
      <c r="E23" s="118" t="s">
        <v>772</v>
      </c>
      <c r="F23" s="129">
        <v>1499</v>
      </c>
      <c r="G23" s="129">
        <v>999</v>
      </c>
      <c r="H23" s="130">
        <v>1499</v>
      </c>
      <c r="I23" s="130">
        <v>1499</v>
      </c>
      <c r="J23" s="120">
        <v>1449</v>
      </c>
      <c r="K23" s="120">
        <v>1449</v>
      </c>
      <c r="L23" s="120">
        <v>1449</v>
      </c>
      <c r="M23" s="131">
        <v>1449</v>
      </c>
      <c r="N23" s="131">
        <v>1449</v>
      </c>
      <c r="O23" s="120">
        <v>1399</v>
      </c>
      <c r="P23" s="120">
        <v>1299</v>
      </c>
      <c r="Q23" s="120">
        <v>999</v>
      </c>
      <c r="R23" s="131">
        <v>1399</v>
      </c>
      <c r="S23" s="131">
        <v>1299</v>
      </c>
      <c r="T23" s="131">
        <v>1099</v>
      </c>
      <c r="U23" s="131">
        <v>1099</v>
      </c>
      <c r="V23" s="131">
        <v>999</v>
      </c>
      <c r="W23" s="131">
        <v>999</v>
      </c>
      <c r="X23" s="131">
        <v>999</v>
      </c>
      <c r="Y23" s="131">
        <v>899</v>
      </c>
      <c r="Z23" s="131">
        <v>899</v>
      </c>
      <c r="AA23" s="131">
        <v>899</v>
      </c>
      <c r="AB23" s="131">
        <v>1449</v>
      </c>
      <c r="AC23" s="131">
        <v>1449</v>
      </c>
      <c r="AD23" s="131">
        <v>1449</v>
      </c>
      <c r="AE23" s="131">
        <v>1399</v>
      </c>
      <c r="AF23" s="131">
        <v>1399</v>
      </c>
      <c r="AG23" s="131">
        <v>1399</v>
      </c>
      <c r="AH23" s="131">
        <v>1399</v>
      </c>
      <c r="AI23" s="131">
        <v>999</v>
      </c>
      <c r="AJ23" s="131">
        <v>999</v>
      </c>
      <c r="AK23" s="131">
        <v>999</v>
      </c>
      <c r="AL23" s="131">
        <v>899</v>
      </c>
      <c r="AM23" s="122" t="s">
        <v>740</v>
      </c>
    </row>
    <row r="24" spans="2:40" ht="15.5">
      <c r="B24" s="126" t="s">
        <v>762</v>
      </c>
      <c r="C24" s="127">
        <v>4017944</v>
      </c>
      <c r="D24" s="128" t="s">
        <v>773</v>
      </c>
      <c r="E24" s="118" t="s">
        <v>774</v>
      </c>
      <c r="F24" s="129">
        <v>2699</v>
      </c>
      <c r="G24" s="129">
        <v>1899</v>
      </c>
      <c r="H24" s="130">
        <v>2699</v>
      </c>
      <c r="I24" s="130">
        <v>2699</v>
      </c>
      <c r="J24" s="120">
        <v>2649</v>
      </c>
      <c r="K24" s="120">
        <v>2649</v>
      </c>
      <c r="L24" s="120">
        <v>2649</v>
      </c>
      <c r="M24" s="131">
        <v>2649</v>
      </c>
      <c r="N24" s="131">
        <v>2649</v>
      </c>
      <c r="O24" s="120">
        <v>2599</v>
      </c>
      <c r="P24" s="120">
        <v>2499</v>
      </c>
      <c r="Q24" s="120">
        <v>2299</v>
      </c>
      <c r="R24" s="131">
        <v>2599</v>
      </c>
      <c r="S24" s="131">
        <v>2499</v>
      </c>
      <c r="T24" s="131">
        <v>2299</v>
      </c>
      <c r="U24" s="131">
        <v>2299</v>
      </c>
      <c r="V24" s="131">
        <v>2299</v>
      </c>
      <c r="W24" s="131">
        <v>2299</v>
      </c>
      <c r="X24" s="131">
        <v>2199</v>
      </c>
      <c r="Y24" s="131">
        <v>1899</v>
      </c>
      <c r="Z24" s="131">
        <v>1899</v>
      </c>
      <c r="AA24" s="131">
        <v>1849</v>
      </c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22" t="s">
        <v>740</v>
      </c>
    </row>
    <row r="25" spans="2:40" ht="15.5">
      <c r="B25" s="126" t="s">
        <v>762</v>
      </c>
      <c r="C25" s="127">
        <v>4018027</v>
      </c>
      <c r="D25" s="128" t="s">
        <v>775</v>
      </c>
      <c r="E25" s="118" t="s">
        <v>776</v>
      </c>
      <c r="F25" s="129">
        <v>1699</v>
      </c>
      <c r="G25" s="129">
        <v>899</v>
      </c>
      <c r="H25" s="130">
        <v>1699</v>
      </c>
      <c r="I25" s="130">
        <v>1699</v>
      </c>
      <c r="J25" s="120">
        <v>1649</v>
      </c>
      <c r="K25" s="120">
        <v>1649</v>
      </c>
      <c r="L25" s="120">
        <v>1649</v>
      </c>
      <c r="M25" s="131">
        <v>1649</v>
      </c>
      <c r="N25" s="131">
        <v>1649</v>
      </c>
      <c r="O25" s="120">
        <v>1599</v>
      </c>
      <c r="P25" s="120">
        <v>1499</v>
      </c>
      <c r="Q25" s="120">
        <v>1299</v>
      </c>
      <c r="R25" s="131">
        <v>1599</v>
      </c>
      <c r="S25" s="131">
        <v>1499</v>
      </c>
      <c r="T25" s="131">
        <v>1299</v>
      </c>
      <c r="U25" s="131">
        <v>1299</v>
      </c>
      <c r="V25" s="131">
        <v>1299</v>
      </c>
      <c r="W25" s="131">
        <v>1299</v>
      </c>
      <c r="X25" s="131">
        <v>1199</v>
      </c>
      <c r="Y25" s="131">
        <v>899</v>
      </c>
      <c r="Z25" s="131">
        <v>899</v>
      </c>
      <c r="AA25" s="131">
        <v>899</v>
      </c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22" t="s">
        <v>740</v>
      </c>
    </row>
    <row r="26" spans="2:40" ht="15.5">
      <c r="B26" s="126" t="s">
        <v>762</v>
      </c>
      <c r="C26" s="127">
        <v>4017581</v>
      </c>
      <c r="D26" s="128" t="s">
        <v>777</v>
      </c>
      <c r="E26" s="118" t="s">
        <v>778</v>
      </c>
      <c r="F26" s="129">
        <v>219</v>
      </c>
      <c r="G26" s="129">
        <v>219</v>
      </c>
      <c r="H26" s="129"/>
      <c r="I26" s="129"/>
      <c r="J26" s="120"/>
      <c r="K26" s="120"/>
      <c r="L26" s="120"/>
      <c r="M26" s="130"/>
      <c r="N26" s="130"/>
      <c r="O26" s="120"/>
      <c r="P26" s="120"/>
      <c r="Q26" s="120"/>
      <c r="R26" s="130"/>
      <c r="S26" s="130"/>
      <c r="T26" s="130"/>
      <c r="U26" s="130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22" t="s">
        <v>740</v>
      </c>
    </row>
    <row r="27" spans="2:40" ht="15.5">
      <c r="B27" s="128" t="s">
        <v>751</v>
      </c>
      <c r="C27" s="127">
        <v>4017638</v>
      </c>
      <c r="D27" s="132" t="s">
        <v>779</v>
      </c>
      <c r="E27" s="118" t="s">
        <v>780</v>
      </c>
      <c r="F27" s="129">
        <v>549</v>
      </c>
      <c r="G27" s="129">
        <v>549</v>
      </c>
      <c r="H27" s="129">
        <v>549</v>
      </c>
      <c r="I27" s="129">
        <v>549</v>
      </c>
      <c r="J27" s="120">
        <v>499</v>
      </c>
      <c r="K27" s="120">
        <v>499</v>
      </c>
      <c r="L27" s="129">
        <v>499</v>
      </c>
      <c r="M27" s="130">
        <v>499</v>
      </c>
      <c r="N27" s="130">
        <v>499</v>
      </c>
      <c r="O27" s="129">
        <v>449</v>
      </c>
      <c r="P27" s="129">
        <v>399</v>
      </c>
      <c r="Q27" s="120">
        <v>399</v>
      </c>
      <c r="R27" s="129">
        <v>449</v>
      </c>
      <c r="S27" s="129">
        <v>399</v>
      </c>
      <c r="T27" s="130">
        <v>399</v>
      </c>
      <c r="U27" s="130">
        <v>399</v>
      </c>
      <c r="V27" s="130">
        <v>399</v>
      </c>
      <c r="W27" s="130">
        <v>399</v>
      </c>
      <c r="X27" s="130">
        <v>399</v>
      </c>
      <c r="Y27" s="133">
        <v>399</v>
      </c>
      <c r="Z27" s="133">
        <v>399</v>
      </c>
      <c r="AA27" s="130">
        <v>399</v>
      </c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  <c r="AL27" s="130"/>
      <c r="AM27" s="122" t="s">
        <v>740</v>
      </c>
    </row>
    <row r="28" spans="2:40" ht="15.5">
      <c r="B28" s="126" t="s">
        <v>744</v>
      </c>
      <c r="C28" s="127">
        <v>4016351</v>
      </c>
      <c r="D28" s="128" t="s">
        <v>781</v>
      </c>
      <c r="E28" s="132" t="s">
        <v>781</v>
      </c>
      <c r="F28" s="129">
        <v>799</v>
      </c>
      <c r="G28" s="129">
        <v>999</v>
      </c>
      <c r="H28" s="130">
        <v>799</v>
      </c>
      <c r="I28" s="130">
        <v>799</v>
      </c>
      <c r="J28" s="120">
        <v>749</v>
      </c>
      <c r="K28" s="120">
        <v>749</v>
      </c>
      <c r="L28" s="120">
        <v>749</v>
      </c>
      <c r="M28" s="131">
        <v>749</v>
      </c>
      <c r="N28" s="131">
        <v>749</v>
      </c>
      <c r="O28" s="120">
        <v>699</v>
      </c>
      <c r="P28" s="120">
        <v>599</v>
      </c>
      <c r="Q28" s="120">
        <v>449</v>
      </c>
      <c r="R28" s="131">
        <v>699</v>
      </c>
      <c r="S28" s="131">
        <v>599</v>
      </c>
      <c r="T28" s="131">
        <v>449</v>
      </c>
      <c r="U28" s="131">
        <v>449</v>
      </c>
      <c r="V28" s="131">
        <v>449</v>
      </c>
      <c r="W28" s="131">
        <v>449</v>
      </c>
      <c r="X28" s="131">
        <v>449</v>
      </c>
      <c r="Y28" s="131">
        <v>449</v>
      </c>
      <c r="Z28" s="131">
        <v>449</v>
      </c>
      <c r="AA28" s="131">
        <v>449</v>
      </c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22" t="s">
        <v>740</v>
      </c>
    </row>
    <row r="29" spans="2:40" ht="15.5">
      <c r="B29" s="128" t="s">
        <v>782</v>
      </c>
      <c r="C29" s="127">
        <v>4016004</v>
      </c>
      <c r="D29" s="132" t="s">
        <v>783</v>
      </c>
      <c r="E29" s="118" t="s">
        <v>784</v>
      </c>
      <c r="F29" s="129">
        <v>129</v>
      </c>
      <c r="G29" s="129">
        <v>129</v>
      </c>
      <c r="H29" s="130"/>
      <c r="I29" s="130"/>
      <c r="J29" s="120"/>
      <c r="K29" s="120"/>
      <c r="L29" s="120"/>
      <c r="M29" s="130"/>
      <c r="N29" s="130"/>
      <c r="O29" s="120"/>
      <c r="P29" s="120"/>
      <c r="Q29" s="12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22" t="s">
        <v>740</v>
      </c>
    </row>
    <row r="30" spans="2:40" ht="15.5">
      <c r="B30" s="128" t="s">
        <v>782</v>
      </c>
      <c r="C30" s="127">
        <v>4016005</v>
      </c>
      <c r="D30" s="132" t="s">
        <v>785</v>
      </c>
      <c r="E30" s="118" t="s">
        <v>786</v>
      </c>
      <c r="F30" s="129">
        <v>129</v>
      </c>
      <c r="G30" s="129">
        <v>129</v>
      </c>
      <c r="H30" s="130"/>
      <c r="I30" s="130"/>
      <c r="J30" s="120"/>
      <c r="K30" s="120"/>
      <c r="L30" s="120"/>
      <c r="M30" s="130"/>
      <c r="N30" s="130"/>
      <c r="O30" s="120"/>
      <c r="P30" s="120"/>
      <c r="Q30" s="12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22" t="s">
        <v>740</v>
      </c>
    </row>
    <row r="31" spans="2:40" ht="15.5">
      <c r="B31" s="128" t="s">
        <v>782</v>
      </c>
      <c r="C31" s="127">
        <v>4016006</v>
      </c>
      <c r="D31" s="132" t="s">
        <v>787</v>
      </c>
      <c r="E31" s="118" t="s">
        <v>788</v>
      </c>
      <c r="F31" s="129">
        <v>129</v>
      </c>
      <c r="G31" s="129">
        <v>129</v>
      </c>
      <c r="H31" s="130"/>
      <c r="I31" s="130"/>
      <c r="J31" s="120"/>
      <c r="K31" s="120"/>
      <c r="L31" s="120"/>
      <c r="M31" s="130"/>
      <c r="N31" s="130"/>
      <c r="O31" s="120"/>
      <c r="P31" s="120"/>
      <c r="Q31" s="12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22" t="s">
        <v>740</v>
      </c>
      <c r="AN31" s="134"/>
    </row>
    <row r="32" spans="2:40" ht="15.5">
      <c r="B32" s="128" t="s">
        <v>782</v>
      </c>
      <c r="C32" s="127">
        <v>4015729</v>
      </c>
      <c r="D32" s="132" t="s">
        <v>789</v>
      </c>
      <c r="E32" s="118" t="s">
        <v>790</v>
      </c>
      <c r="F32" s="129">
        <v>10</v>
      </c>
      <c r="G32" s="129">
        <v>10</v>
      </c>
      <c r="H32" s="130"/>
      <c r="I32" s="130"/>
      <c r="J32" s="120"/>
      <c r="K32" s="120"/>
      <c r="L32" s="120"/>
      <c r="M32" s="130"/>
      <c r="N32" s="130"/>
      <c r="O32" s="120"/>
      <c r="P32" s="120"/>
      <c r="Q32" s="12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22" t="s">
        <v>740</v>
      </c>
      <c r="AN32" s="134"/>
    </row>
    <row r="33" spans="2:40" ht="15.5">
      <c r="B33" s="135" t="s">
        <v>782</v>
      </c>
      <c r="C33" s="127">
        <v>4013975</v>
      </c>
      <c r="D33" s="132" t="s">
        <v>791</v>
      </c>
      <c r="E33" s="118" t="s">
        <v>792</v>
      </c>
      <c r="F33" s="129">
        <v>219</v>
      </c>
      <c r="G33" s="129">
        <v>219</v>
      </c>
      <c r="H33" s="130"/>
      <c r="I33" s="130"/>
      <c r="J33" s="130"/>
      <c r="K33" s="130"/>
      <c r="L33" s="130"/>
      <c r="M33" s="130"/>
      <c r="N33" s="130"/>
      <c r="O33" s="130"/>
      <c r="P33" s="120"/>
      <c r="Q33" s="12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22" t="s">
        <v>740</v>
      </c>
      <c r="AN33" s="134"/>
    </row>
    <row r="34" spans="2:40" ht="15.5">
      <c r="B34" s="128" t="s">
        <v>793</v>
      </c>
      <c r="C34" s="127">
        <v>4016254</v>
      </c>
      <c r="D34" s="132" t="s">
        <v>794</v>
      </c>
      <c r="E34" s="118" t="s">
        <v>795</v>
      </c>
      <c r="F34" s="129">
        <v>219</v>
      </c>
      <c r="G34" s="129">
        <v>219</v>
      </c>
      <c r="H34" s="130"/>
      <c r="I34" s="130"/>
      <c r="J34" s="130"/>
      <c r="K34" s="130"/>
      <c r="L34" s="130"/>
      <c r="M34" s="130"/>
      <c r="N34" s="130"/>
      <c r="O34" s="130"/>
      <c r="P34" s="120"/>
      <c r="Q34" s="12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22" t="s">
        <v>740</v>
      </c>
      <c r="AN34" s="134"/>
    </row>
    <row r="35" spans="2:40" ht="15.5">
      <c r="B35" s="128" t="s">
        <v>796</v>
      </c>
      <c r="C35" s="127">
        <v>4018040</v>
      </c>
      <c r="D35" s="132" t="s">
        <v>797</v>
      </c>
      <c r="E35" s="118" t="s">
        <v>798</v>
      </c>
      <c r="F35" s="136">
        <v>499</v>
      </c>
      <c r="G35" s="136">
        <v>399</v>
      </c>
      <c r="H35" s="136">
        <v>499</v>
      </c>
      <c r="I35" s="136">
        <v>499</v>
      </c>
      <c r="J35" s="136">
        <v>399</v>
      </c>
      <c r="K35" s="136">
        <v>399</v>
      </c>
      <c r="L35" s="136">
        <v>399</v>
      </c>
      <c r="M35" s="136">
        <v>399</v>
      </c>
      <c r="N35" s="136">
        <v>399</v>
      </c>
      <c r="O35" s="136">
        <v>349</v>
      </c>
      <c r="P35" s="137">
        <v>249</v>
      </c>
      <c r="Q35" s="137">
        <v>249</v>
      </c>
      <c r="R35" s="136">
        <v>349</v>
      </c>
      <c r="S35" s="136">
        <v>249</v>
      </c>
      <c r="T35" s="136">
        <v>249</v>
      </c>
      <c r="U35" s="136">
        <v>249</v>
      </c>
      <c r="V35" s="136">
        <v>249</v>
      </c>
      <c r="W35" s="136">
        <v>249</v>
      </c>
      <c r="X35" s="136">
        <v>249</v>
      </c>
      <c r="Y35" s="136">
        <v>249</v>
      </c>
      <c r="Z35" s="136">
        <v>249</v>
      </c>
      <c r="AA35" s="136">
        <v>249</v>
      </c>
      <c r="AB35" s="136">
        <v>399</v>
      </c>
      <c r="AC35" s="136">
        <v>399</v>
      </c>
      <c r="AD35" s="136">
        <v>399</v>
      </c>
      <c r="AE35" s="136">
        <v>399</v>
      </c>
      <c r="AF35" s="136">
        <v>299</v>
      </c>
      <c r="AG35" s="136">
        <v>299</v>
      </c>
      <c r="AH35" s="136">
        <v>299</v>
      </c>
      <c r="AI35" s="136">
        <v>249</v>
      </c>
      <c r="AJ35" s="136">
        <v>249</v>
      </c>
      <c r="AK35" s="136">
        <v>249</v>
      </c>
      <c r="AL35" s="136">
        <v>249</v>
      </c>
      <c r="AM35" s="122" t="s">
        <v>740</v>
      </c>
      <c r="AN35" s="134"/>
    </row>
    <row r="36" spans="2:40" ht="15.5">
      <c r="B36" s="128" t="s">
        <v>796</v>
      </c>
      <c r="C36" s="127">
        <v>4017939</v>
      </c>
      <c r="D36" s="132" t="s">
        <v>797</v>
      </c>
      <c r="E36" s="118" t="s">
        <v>799</v>
      </c>
      <c r="F36" s="136">
        <v>499</v>
      </c>
      <c r="G36" s="136">
        <v>399</v>
      </c>
      <c r="H36" s="136">
        <v>499</v>
      </c>
      <c r="I36" s="136">
        <v>499</v>
      </c>
      <c r="J36" s="136">
        <v>399</v>
      </c>
      <c r="K36" s="136">
        <v>399</v>
      </c>
      <c r="L36" s="136">
        <v>399</v>
      </c>
      <c r="M36" s="136">
        <v>399</v>
      </c>
      <c r="N36" s="136">
        <v>399</v>
      </c>
      <c r="O36" s="136">
        <v>349</v>
      </c>
      <c r="P36" s="137">
        <v>249</v>
      </c>
      <c r="Q36" s="137">
        <v>249</v>
      </c>
      <c r="R36" s="136">
        <v>349</v>
      </c>
      <c r="S36" s="136">
        <v>249</v>
      </c>
      <c r="T36" s="136">
        <v>249</v>
      </c>
      <c r="U36" s="136">
        <v>249</v>
      </c>
      <c r="V36" s="136">
        <v>249</v>
      </c>
      <c r="W36" s="136">
        <v>249</v>
      </c>
      <c r="X36" s="136">
        <v>249</v>
      </c>
      <c r="Y36" s="136">
        <v>249</v>
      </c>
      <c r="Z36" s="136">
        <v>249</v>
      </c>
      <c r="AA36" s="136">
        <v>249</v>
      </c>
      <c r="AB36" s="136">
        <v>399</v>
      </c>
      <c r="AC36" s="136">
        <v>399</v>
      </c>
      <c r="AD36" s="136">
        <v>399</v>
      </c>
      <c r="AE36" s="136">
        <v>399</v>
      </c>
      <c r="AF36" s="136">
        <v>299</v>
      </c>
      <c r="AG36" s="136">
        <v>299</v>
      </c>
      <c r="AH36" s="136">
        <v>299</v>
      </c>
      <c r="AI36" s="136">
        <v>249</v>
      </c>
      <c r="AJ36" s="136">
        <v>249</v>
      </c>
      <c r="AK36" s="136">
        <v>249</v>
      </c>
      <c r="AL36" s="136">
        <v>249</v>
      </c>
      <c r="AM36" s="122" t="s">
        <v>740</v>
      </c>
      <c r="AN36" s="134"/>
    </row>
    <row r="37" spans="2:40" ht="15.5">
      <c r="B37" s="128" t="s">
        <v>741</v>
      </c>
      <c r="C37" s="127">
        <v>4017938</v>
      </c>
      <c r="D37" s="132" t="s">
        <v>797</v>
      </c>
      <c r="E37" s="118" t="s">
        <v>800</v>
      </c>
      <c r="F37" s="136">
        <v>499</v>
      </c>
      <c r="G37" s="136">
        <v>399</v>
      </c>
      <c r="H37" s="136">
        <v>499</v>
      </c>
      <c r="I37" s="136">
        <v>499</v>
      </c>
      <c r="J37" s="136">
        <v>399</v>
      </c>
      <c r="K37" s="136">
        <v>399</v>
      </c>
      <c r="L37" s="136">
        <v>399</v>
      </c>
      <c r="M37" s="136">
        <v>399</v>
      </c>
      <c r="N37" s="136">
        <v>399</v>
      </c>
      <c r="O37" s="136">
        <v>349</v>
      </c>
      <c r="P37" s="137">
        <v>249</v>
      </c>
      <c r="Q37" s="137">
        <v>249</v>
      </c>
      <c r="R37" s="136">
        <v>349</v>
      </c>
      <c r="S37" s="136">
        <v>249</v>
      </c>
      <c r="T37" s="136">
        <v>249</v>
      </c>
      <c r="U37" s="136">
        <v>249</v>
      </c>
      <c r="V37" s="136">
        <v>249</v>
      </c>
      <c r="W37" s="136">
        <v>249</v>
      </c>
      <c r="X37" s="136">
        <v>249</v>
      </c>
      <c r="Y37" s="136">
        <v>249</v>
      </c>
      <c r="Z37" s="136">
        <v>249</v>
      </c>
      <c r="AA37" s="136">
        <v>249</v>
      </c>
      <c r="AB37" s="136">
        <v>399</v>
      </c>
      <c r="AC37" s="136">
        <v>399</v>
      </c>
      <c r="AD37" s="136">
        <v>399</v>
      </c>
      <c r="AE37" s="136">
        <v>399</v>
      </c>
      <c r="AF37" s="136">
        <v>299</v>
      </c>
      <c r="AG37" s="136">
        <v>299</v>
      </c>
      <c r="AH37" s="136">
        <v>299</v>
      </c>
      <c r="AI37" s="136">
        <v>249</v>
      </c>
      <c r="AJ37" s="136">
        <v>249</v>
      </c>
      <c r="AK37" s="136">
        <v>249</v>
      </c>
      <c r="AL37" s="136">
        <v>249</v>
      </c>
      <c r="AM37" s="122" t="s">
        <v>740</v>
      </c>
      <c r="AN37" s="134"/>
    </row>
    <row r="38" spans="2:40" ht="15.5">
      <c r="B38" s="128" t="s">
        <v>741</v>
      </c>
      <c r="C38" s="127">
        <v>4018041</v>
      </c>
      <c r="D38" s="132" t="s">
        <v>797</v>
      </c>
      <c r="E38" s="118" t="s">
        <v>801</v>
      </c>
      <c r="F38" s="136">
        <v>499</v>
      </c>
      <c r="G38" s="136">
        <v>399</v>
      </c>
      <c r="H38" s="136">
        <v>499</v>
      </c>
      <c r="I38" s="136">
        <v>499</v>
      </c>
      <c r="J38" s="136">
        <v>399</v>
      </c>
      <c r="K38" s="136">
        <v>399</v>
      </c>
      <c r="L38" s="136">
        <v>399</v>
      </c>
      <c r="M38" s="136">
        <v>399</v>
      </c>
      <c r="N38" s="136">
        <v>399</v>
      </c>
      <c r="O38" s="136">
        <v>349</v>
      </c>
      <c r="P38" s="137">
        <v>249</v>
      </c>
      <c r="Q38" s="137">
        <v>249</v>
      </c>
      <c r="R38" s="136">
        <v>349</v>
      </c>
      <c r="S38" s="136">
        <v>249</v>
      </c>
      <c r="T38" s="136">
        <v>249</v>
      </c>
      <c r="U38" s="136">
        <v>249</v>
      </c>
      <c r="V38" s="136">
        <v>249</v>
      </c>
      <c r="W38" s="136">
        <v>249</v>
      </c>
      <c r="X38" s="136">
        <v>249</v>
      </c>
      <c r="Y38" s="136">
        <v>249</v>
      </c>
      <c r="Z38" s="136">
        <v>249</v>
      </c>
      <c r="AA38" s="136">
        <v>249</v>
      </c>
      <c r="AB38" s="136">
        <v>399</v>
      </c>
      <c r="AC38" s="136">
        <v>399</v>
      </c>
      <c r="AD38" s="136">
        <v>399</v>
      </c>
      <c r="AE38" s="136">
        <v>399</v>
      </c>
      <c r="AF38" s="136">
        <v>299</v>
      </c>
      <c r="AG38" s="136">
        <v>299</v>
      </c>
      <c r="AH38" s="136">
        <v>299</v>
      </c>
      <c r="AI38" s="136">
        <v>249</v>
      </c>
      <c r="AJ38" s="136">
        <v>249</v>
      </c>
      <c r="AK38" s="136">
        <v>249</v>
      </c>
      <c r="AL38" s="136">
        <v>249</v>
      </c>
      <c r="AM38" s="122" t="s">
        <v>740</v>
      </c>
      <c r="AN38" s="134"/>
    </row>
    <row r="39" spans="2:40" ht="15.5">
      <c r="B39" s="128" t="s">
        <v>741</v>
      </c>
      <c r="C39" s="127">
        <v>4016340</v>
      </c>
      <c r="D39" s="132" t="s">
        <v>802</v>
      </c>
      <c r="E39" s="118" t="s">
        <v>803</v>
      </c>
      <c r="F39" s="136">
        <v>499</v>
      </c>
      <c r="G39" s="136">
        <v>399</v>
      </c>
      <c r="H39" s="136">
        <v>499</v>
      </c>
      <c r="I39" s="136">
        <v>499</v>
      </c>
      <c r="J39" s="136">
        <v>399</v>
      </c>
      <c r="K39" s="136">
        <v>399</v>
      </c>
      <c r="L39" s="136">
        <v>399</v>
      </c>
      <c r="M39" s="136">
        <v>399</v>
      </c>
      <c r="N39" s="136">
        <v>399</v>
      </c>
      <c r="O39" s="136">
        <v>349</v>
      </c>
      <c r="P39" s="137">
        <v>249</v>
      </c>
      <c r="Q39" s="137">
        <v>249</v>
      </c>
      <c r="R39" s="136">
        <v>349</v>
      </c>
      <c r="S39" s="136">
        <v>249</v>
      </c>
      <c r="T39" s="136">
        <v>249</v>
      </c>
      <c r="U39" s="136">
        <v>249</v>
      </c>
      <c r="V39" s="136">
        <v>249</v>
      </c>
      <c r="W39" s="136">
        <v>249</v>
      </c>
      <c r="X39" s="136">
        <v>249</v>
      </c>
      <c r="Y39" s="136">
        <v>249</v>
      </c>
      <c r="Z39" s="136">
        <v>249</v>
      </c>
      <c r="AA39" s="136">
        <v>249</v>
      </c>
      <c r="AB39" s="136">
        <v>399</v>
      </c>
      <c r="AC39" s="136">
        <v>399</v>
      </c>
      <c r="AD39" s="136">
        <v>399</v>
      </c>
      <c r="AE39" s="136">
        <v>399</v>
      </c>
      <c r="AF39" s="136">
        <v>299</v>
      </c>
      <c r="AG39" s="136">
        <v>299</v>
      </c>
      <c r="AH39" s="136">
        <v>299</v>
      </c>
      <c r="AI39" s="136">
        <v>249</v>
      </c>
      <c r="AJ39" s="136">
        <v>249</v>
      </c>
      <c r="AK39" s="136">
        <v>249</v>
      </c>
      <c r="AL39" s="136">
        <v>249</v>
      </c>
      <c r="AM39" s="122" t="s">
        <v>740</v>
      </c>
      <c r="AN39" s="134"/>
    </row>
    <row r="40" spans="2:40" ht="15.5">
      <c r="B40" s="128" t="s">
        <v>741</v>
      </c>
      <c r="C40" s="127">
        <v>4016494</v>
      </c>
      <c r="D40" s="132" t="s">
        <v>802</v>
      </c>
      <c r="E40" s="118" t="s">
        <v>804</v>
      </c>
      <c r="F40" s="136">
        <v>499</v>
      </c>
      <c r="G40" s="136">
        <v>399</v>
      </c>
      <c r="H40" s="136">
        <v>499</v>
      </c>
      <c r="I40" s="136">
        <v>499</v>
      </c>
      <c r="J40" s="136">
        <v>399</v>
      </c>
      <c r="K40" s="136">
        <v>399</v>
      </c>
      <c r="L40" s="136">
        <v>399</v>
      </c>
      <c r="M40" s="136">
        <v>399</v>
      </c>
      <c r="N40" s="136">
        <v>399</v>
      </c>
      <c r="O40" s="136">
        <v>349</v>
      </c>
      <c r="P40" s="137">
        <v>249</v>
      </c>
      <c r="Q40" s="137">
        <v>249</v>
      </c>
      <c r="R40" s="136">
        <v>349</v>
      </c>
      <c r="S40" s="136">
        <v>249</v>
      </c>
      <c r="T40" s="136">
        <v>249</v>
      </c>
      <c r="U40" s="136">
        <v>249</v>
      </c>
      <c r="V40" s="136">
        <v>249</v>
      </c>
      <c r="W40" s="136">
        <v>249</v>
      </c>
      <c r="X40" s="136">
        <v>249</v>
      </c>
      <c r="Y40" s="136">
        <v>249</v>
      </c>
      <c r="Z40" s="136">
        <v>249</v>
      </c>
      <c r="AA40" s="136">
        <v>249</v>
      </c>
      <c r="AB40" s="136">
        <v>399</v>
      </c>
      <c r="AC40" s="136">
        <v>399</v>
      </c>
      <c r="AD40" s="136">
        <v>399</v>
      </c>
      <c r="AE40" s="136">
        <v>399</v>
      </c>
      <c r="AF40" s="136">
        <v>299</v>
      </c>
      <c r="AG40" s="136">
        <v>299</v>
      </c>
      <c r="AH40" s="136">
        <v>299</v>
      </c>
      <c r="AI40" s="136">
        <v>249</v>
      </c>
      <c r="AJ40" s="136">
        <v>249</v>
      </c>
      <c r="AK40" s="136">
        <v>249</v>
      </c>
      <c r="AL40" s="136">
        <v>249</v>
      </c>
      <c r="AM40" s="122" t="s">
        <v>740</v>
      </c>
      <c r="AN40" s="134"/>
    </row>
    <row r="41" spans="2:40" ht="15.5">
      <c r="B41" s="128" t="s">
        <v>741</v>
      </c>
      <c r="C41" s="127">
        <v>4017140</v>
      </c>
      <c r="D41" s="132" t="s">
        <v>802</v>
      </c>
      <c r="E41" s="118" t="s">
        <v>805</v>
      </c>
      <c r="F41" s="136">
        <v>499</v>
      </c>
      <c r="G41" s="136">
        <v>399</v>
      </c>
      <c r="H41" s="136">
        <v>499</v>
      </c>
      <c r="I41" s="136">
        <v>499</v>
      </c>
      <c r="J41" s="136">
        <v>399</v>
      </c>
      <c r="K41" s="136">
        <v>399</v>
      </c>
      <c r="L41" s="136">
        <v>399</v>
      </c>
      <c r="M41" s="136">
        <v>399</v>
      </c>
      <c r="N41" s="136">
        <v>399</v>
      </c>
      <c r="O41" s="136">
        <v>349</v>
      </c>
      <c r="P41" s="137">
        <v>249</v>
      </c>
      <c r="Q41" s="137">
        <v>249</v>
      </c>
      <c r="R41" s="136">
        <v>349</v>
      </c>
      <c r="S41" s="136">
        <v>249</v>
      </c>
      <c r="T41" s="136">
        <v>249</v>
      </c>
      <c r="U41" s="136">
        <v>249</v>
      </c>
      <c r="V41" s="136">
        <v>249</v>
      </c>
      <c r="W41" s="136">
        <v>249</v>
      </c>
      <c r="X41" s="136">
        <v>249</v>
      </c>
      <c r="Y41" s="136">
        <v>249</v>
      </c>
      <c r="Z41" s="136">
        <v>249</v>
      </c>
      <c r="AA41" s="136">
        <v>249</v>
      </c>
      <c r="AB41" s="136">
        <v>399</v>
      </c>
      <c r="AC41" s="136">
        <v>399</v>
      </c>
      <c r="AD41" s="136">
        <v>399</v>
      </c>
      <c r="AE41" s="136">
        <v>399</v>
      </c>
      <c r="AF41" s="136">
        <v>299</v>
      </c>
      <c r="AG41" s="136">
        <v>299</v>
      </c>
      <c r="AH41" s="136">
        <v>299</v>
      </c>
      <c r="AI41" s="136">
        <v>249</v>
      </c>
      <c r="AJ41" s="136">
        <v>249</v>
      </c>
      <c r="AK41" s="136">
        <v>249</v>
      </c>
      <c r="AL41" s="136">
        <v>249</v>
      </c>
      <c r="AM41" s="122" t="s">
        <v>740</v>
      </c>
    </row>
    <row r="42" spans="2:40" ht="15.5">
      <c r="B42" s="128" t="s">
        <v>796</v>
      </c>
      <c r="C42" s="127">
        <v>4016959</v>
      </c>
      <c r="D42" s="132" t="s">
        <v>806</v>
      </c>
      <c r="E42" s="118" t="s">
        <v>807</v>
      </c>
      <c r="F42" s="136">
        <v>499</v>
      </c>
      <c r="G42" s="136">
        <v>399</v>
      </c>
      <c r="H42" s="136">
        <v>499</v>
      </c>
      <c r="I42" s="136">
        <v>499</v>
      </c>
      <c r="J42" s="136">
        <v>399</v>
      </c>
      <c r="K42" s="136">
        <v>399</v>
      </c>
      <c r="L42" s="136">
        <v>399</v>
      </c>
      <c r="M42" s="136">
        <v>399</v>
      </c>
      <c r="N42" s="136">
        <v>399</v>
      </c>
      <c r="O42" s="136">
        <v>349</v>
      </c>
      <c r="P42" s="137">
        <v>249</v>
      </c>
      <c r="Q42" s="137">
        <v>249</v>
      </c>
      <c r="R42" s="136">
        <v>349</v>
      </c>
      <c r="S42" s="136">
        <v>249</v>
      </c>
      <c r="T42" s="136">
        <v>249</v>
      </c>
      <c r="U42" s="136">
        <v>249</v>
      </c>
      <c r="V42" s="136">
        <v>249</v>
      </c>
      <c r="W42" s="136">
        <v>249</v>
      </c>
      <c r="X42" s="136">
        <v>249</v>
      </c>
      <c r="Y42" s="136">
        <v>249</v>
      </c>
      <c r="Z42" s="136">
        <v>249</v>
      </c>
      <c r="AA42" s="136">
        <v>249</v>
      </c>
      <c r="AB42" s="136">
        <v>399</v>
      </c>
      <c r="AC42" s="136">
        <v>399</v>
      </c>
      <c r="AD42" s="136">
        <v>399</v>
      </c>
      <c r="AE42" s="136">
        <v>399</v>
      </c>
      <c r="AF42" s="136">
        <v>299</v>
      </c>
      <c r="AG42" s="136">
        <v>299</v>
      </c>
      <c r="AH42" s="136">
        <v>299</v>
      </c>
      <c r="AI42" s="136">
        <v>249</v>
      </c>
      <c r="AJ42" s="136">
        <v>249</v>
      </c>
      <c r="AK42" s="136">
        <v>249</v>
      </c>
      <c r="AL42" s="136">
        <v>249</v>
      </c>
      <c r="AM42" s="122" t="s">
        <v>740</v>
      </c>
    </row>
    <row r="43" spans="2:40" ht="15.5">
      <c r="B43" s="128" t="s">
        <v>741</v>
      </c>
      <c r="C43" s="138">
        <v>4015506</v>
      </c>
      <c r="D43" s="128" t="s">
        <v>808</v>
      </c>
      <c r="E43" s="118" t="s">
        <v>809</v>
      </c>
      <c r="F43" s="129">
        <v>299</v>
      </c>
      <c r="G43" s="129">
        <v>299</v>
      </c>
      <c r="H43" s="130">
        <v>299</v>
      </c>
      <c r="I43" s="130">
        <v>299</v>
      </c>
      <c r="J43" s="120">
        <v>249</v>
      </c>
      <c r="K43" s="120">
        <v>249</v>
      </c>
      <c r="L43" s="120">
        <v>249</v>
      </c>
      <c r="M43" s="130">
        <v>249</v>
      </c>
      <c r="N43" s="130">
        <v>249</v>
      </c>
      <c r="O43" s="120">
        <v>199</v>
      </c>
      <c r="P43" s="120">
        <v>199</v>
      </c>
      <c r="Q43" s="120">
        <v>199</v>
      </c>
      <c r="R43" s="130">
        <v>199</v>
      </c>
      <c r="S43" s="130">
        <v>199</v>
      </c>
      <c r="T43" s="130">
        <v>199</v>
      </c>
      <c r="U43" s="130">
        <v>199</v>
      </c>
      <c r="V43" s="130">
        <v>199</v>
      </c>
      <c r="W43" s="130">
        <v>199</v>
      </c>
      <c r="X43" s="130">
        <v>199</v>
      </c>
      <c r="Y43" s="133">
        <v>199</v>
      </c>
      <c r="Z43" s="133">
        <v>199</v>
      </c>
      <c r="AA43" s="130">
        <v>199</v>
      </c>
      <c r="AB43" s="130"/>
      <c r="AC43" s="130"/>
      <c r="AD43" s="130"/>
      <c r="AE43" s="130"/>
      <c r="AF43" s="130"/>
      <c r="AG43" s="130"/>
      <c r="AH43" s="130"/>
      <c r="AI43" s="130"/>
      <c r="AJ43" s="130"/>
      <c r="AK43" s="130"/>
      <c r="AL43" s="130"/>
      <c r="AM43" s="122" t="s">
        <v>740</v>
      </c>
    </row>
    <row r="44" spans="2:40" ht="15.5">
      <c r="B44" s="128" t="s">
        <v>810</v>
      </c>
      <c r="C44" s="127">
        <v>4015637</v>
      </c>
      <c r="D44" s="132" t="s">
        <v>811</v>
      </c>
      <c r="E44" s="118" t="s">
        <v>812</v>
      </c>
      <c r="F44" s="129">
        <v>999</v>
      </c>
      <c r="G44" s="129">
        <v>999</v>
      </c>
      <c r="H44" s="130">
        <v>999</v>
      </c>
      <c r="I44" s="130">
        <v>999</v>
      </c>
      <c r="J44" s="130">
        <v>949</v>
      </c>
      <c r="K44" s="130">
        <v>949</v>
      </c>
      <c r="L44" s="130">
        <v>949</v>
      </c>
      <c r="M44" s="130">
        <v>949</v>
      </c>
      <c r="N44" s="130">
        <v>949</v>
      </c>
      <c r="O44" s="130">
        <v>899</v>
      </c>
      <c r="P44" s="130">
        <v>799</v>
      </c>
      <c r="Q44" s="130">
        <v>599</v>
      </c>
      <c r="R44" s="133">
        <v>899</v>
      </c>
      <c r="S44" s="133">
        <v>799</v>
      </c>
      <c r="T44" s="130">
        <v>599</v>
      </c>
      <c r="U44" s="130">
        <v>599</v>
      </c>
      <c r="V44" s="133">
        <v>599</v>
      </c>
      <c r="W44" s="133">
        <v>599</v>
      </c>
      <c r="X44" s="133">
        <v>549</v>
      </c>
      <c r="Y44" s="133">
        <v>549</v>
      </c>
      <c r="Z44" s="133">
        <v>549</v>
      </c>
      <c r="AA44" s="133">
        <v>549</v>
      </c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22" t="s">
        <v>740</v>
      </c>
      <c r="AN44" s="139"/>
    </row>
    <row r="45" spans="2:40" ht="15.5">
      <c r="B45" s="135" t="s">
        <v>810</v>
      </c>
      <c r="C45" s="127">
        <v>4015591</v>
      </c>
      <c r="D45" s="132" t="s">
        <v>813</v>
      </c>
      <c r="E45" s="118" t="s">
        <v>814</v>
      </c>
      <c r="F45" s="129">
        <v>49</v>
      </c>
      <c r="G45" s="129">
        <v>49</v>
      </c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  <c r="AL45" s="130"/>
      <c r="AM45" s="122" t="s">
        <v>740</v>
      </c>
      <c r="AN45" s="139"/>
    </row>
    <row r="46" spans="2:40" ht="15.5">
      <c r="B46" s="140" t="s">
        <v>810</v>
      </c>
      <c r="C46" s="138">
        <v>4015592</v>
      </c>
      <c r="D46" s="128" t="s">
        <v>815</v>
      </c>
      <c r="E46" s="118" t="s">
        <v>816</v>
      </c>
      <c r="F46" s="129">
        <v>89</v>
      </c>
      <c r="G46" s="129">
        <v>89</v>
      </c>
      <c r="H46" s="130"/>
      <c r="I46" s="130"/>
      <c r="J46" s="130"/>
      <c r="K46" s="130"/>
      <c r="L46" s="130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22" t="s">
        <v>740</v>
      </c>
      <c r="AN46" s="139"/>
    </row>
    <row r="47" spans="2:40" ht="15.5">
      <c r="B47" s="128" t="s">
        <v>817</v>
      </c>
      <c r="C47" s="138">
        <v>4013141</v>
      </c>
      <c r="D47" s="128" t="s">
        <v>818</v>
      </c>
      <c r="E47" s="118" t="s">
        <v>819</v>
      </c>
      <c r="F47" s="129">
        <v>199</v>
      </c>
      <c r="G47" s="129">
        <v>199</v>
      </c>
      <c r="H47" s="130"/>
      <c r="I47" s="130"/>
      <c r="J47" s="130"/>
      <c r="K47" s="130"/>
      <c r="L47" s="130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22" t="s">
        <v>740</v>
      </c>
      <c r="AN47" s="139"/>
    </row>
    <row r="48" spans="2:40" ht="15.5">
      <c r="B48" s="128" t="s">
        <v>817</v>
      </c>
      <c r="C48" s="138">
        <v>4015880</v>
      </c>
      <c r="D48" s="128" t="s">
        <v>820</v>
      </c>
      <c r="E48" s="118" t="s">
        <v>821</v>
      </c>
      <c r="F48" s="129">
        <v>199</v>
      </c>
      <c r="G48" s="129">
        <v>199</v>
      </c>
      <c r="H48" s="130"/>
      <c r="I48" s="130"/>
      <c r="J48" s="120"/>
      <c r="K48" s="120"/>
      <c r="L48" s="120"/>
      <c r="M48" s="131"/>
      <c r="N48" s="131"/>
      <c r="O48" s="125"/>
      <c r="P48" s="125"/>
      <c r="Q48" s="125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22" t="s">
        <v>740</v>
      </c>
      <c r="AN48" s="139"/>
    </row>
    <row r="49" spans="2:40" ht="15.5">
      <c r="B49" s="128" t="s">
        <v>817</v>
      </c>
      <c r="C49" s="138">
        <v>4016971</v>
      </c>
      <c r="D49" s="128" t="s">
        <v>822</v>
      </c>
      <c r="E49" s="118" t="s">
        <v>823</v>
      </c>
      <c r="F49" s="129">
        <v>199</v>
      </c>
      <c r="G49" s="129">
        <v>199</v>
      </c>
      <c r="H49" s="130"/>
      <c r="I49" s="130"/>
      <c r="J49" s="120"/>
      <c r="K49" s="120"/>
      <c r="L49" s="120"/>
      <c r="M49" s="131"/>
      <c r="N49" s="131"/>
      <c r="O49" s="125"/>
      <c r="P49" s="125"/>
      <c r="Q49" s="125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22" t="s">
        <v>740</v>
      </c>
      <c r="AN49" s="139"/>
    </row>
    <row r="50" spans="2:40" ht="15.5">
      <c r="B50" s="128" t="s">
        <v>817</v>
      </c>
      <c r="C50" s="138">
        <v>4016096</v>
      </c>
      <c r="D50" s="128" t="s">
        <v>824</v>
      </c>
      <c r="E50" s="118" t="s">
        <v>825</v>
      </c>
      <c r="F50" s="129">
        <v>49</v>
      </c>
      <c r="G50" s="129">
        <v>99</v>
      </c>
      <c r="H50" s="130"/>
      <c r="I50" s="130"/>
      <c r="J50" s="120"/>
      <c r="K50" s="120"/>
      <c r="L50" s="120"/>
      <c r="M50" s="131"/>
      <c r="N50" s="131"/>
      <c r="O50" s="125"/>
      <c r="P50" s="125"/>
      <c r="Q50" s="125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  <c r="AK50" s="131"/>
      <c r="AL50" s="131"/>
      <c r="AM50" s="122" t="s">
        <v>740</v>
      </c>
      <c r="AN50" s="139"/>
    </row>
    <row r="51" spans="2:40" ht="15.5">
      <c r="B51" s="128" t="s">
        <v>817</v>
      </c>
      <c r="C51" s="127">
        <v>4013617</v>
      </c>
      <c r="D51" s="128" t="s">
        <v>826</v>
      </c>
      <c r="E51" s="118" t="s">
        <v>827</v>
      </c>
      <c r="F51" s="129">
        <v>99</v>
      </c>
      <c r="G51" s="129">
        <v>99</v>
      </c>
      <c r="H51" s="129">
        <v>99</v>
      </c>
      <c r="I51" s="129">
        <v>99</v>
      </c>
      <c r="J51" s="120">
        <v>99</v>
      </c>
      <c r="K51" s="120">
        <v>99</v>
      </c>
      <c r="L51" s="129">
        <v>99</v>
      </c>
      <c r="M51" s="131">
        <v>99</v>
      </c>
      <c r="N51" s="131">
        <v>99</v>
      </c>
      <c r="O51" s="129">
        <v>99</v>
      </c>
      <c r="P51" s="129">
        <v>99</v>
      </c>
      <c r="Q51" s="125">
        <v>99</v>
      </c>
      <c r="R51" s="129">
        <v>99</v>
      </c>
      <c r="S51" s="129">
        <v>99</v>
      </c>
      <c r="T51" s="131">
        <v>99</v>
      </c>
      <c r="U51" s="131">
        <v>99</v>
      </c>
      <c r="V51" s="131">
        <v>99</v>
      </c>
      <c r="W51" s="131">
        <v>99</v>
      </c>
      <c r="X51" s="131">
        <v>99</v>
      </c>
      <c r="Y51" s="131">
        <v>99</v>
      </c>
      <c r="Z51" s="131">
        <v>99</v>
      </c>
      <c r="AA51" s="131">
        <v>99</v>
      </c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1"/>
      <c r="AM51" s="122" t="s">
        <v>740</v>
      </c>
    </row>
    <row r="52" spans="2:40" ht="15.5">
      <c r="B52" s="128" t="s">
        <v>817</v>
      </c>
      <c r="C52" s="127">
        <v>4014261</v>
      </c>
      <c r="D52" s="128" t="s">
        <v>828</v>
      </c>
      <c r="E52" s="118" t="s">
        <v>829</v>
      </c>
      <c r="F52" s="129">
        <v>149</v>
      </c>
      <c r="G52" s="129">
        <v>149</v>
      </c>
      <c r="H52" s="130"/>
      <c r="I52" s="130"/>
      <c r="J52" s="130"/>
      <c r="K52" s="130"/>
      <c r="L52" s="130"/>
      <c r="M52" s="131"/>
      <c r="N52" s="131"/>
      <c r="O52" s="131"/>
      <c r="P52" s="125"/>
      <c r="Q52" s="125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22" t="s">
        <v>740</v>
      </c>
    </row>
    <row r="53" spans="2:40" ht="15.5">
      <c r="B53" s="128" t="s">
        <v>817</v>
      </c>
      <c r="C53" s="127">
        <v>4015696</v>
      </c>
      <c r="D53" s="132" t="s">
        <v>830</v>
      </c>
      <c r="E53" s="118" t="s">
        <v>831</v>
      </c>
      <c r="F53" s="129">
        <v>199</v>
      </c>
      <c r="G53" s="129">
        <v>199</v>
      </c>
      <c r="H53" s="130">
        <v>199</v>
      </c>
      <c r="I53" s="130">
        <v>199</v>
      </c>
      <c r="J53" s="130">
        <v>149</v>
      </c>
      <c r="K53" s="130">
        <v>149</v>
      </c>
      <c r="L53" s="130">
        <v>149</v>
      </c>
      <c r="M53" s="130">
        <v>149</v>
      </c>
      <c r="N53" s="130">
        <v>149</v>
      </c>
      <c r="O53" s="130">
        <v>99</v>
      </c>
      <c r="P53" s="120">
        <v>99</v>
      </c>
      <c r="Q53" s="120">
        <v>99</v>
      </c>
      <c r="R53" s="133">
        <v>99</v>
      </c>
      <c r="S53" s="133">
        <v>99</v>
      </c>
      <c r="T53" s="130">
        <v>99</v>
      </c>
      <c r="U53" s="130">
        <v>99</v>
      </c>
      <c r="V53" s="133">
        <v>99</v>
      </c>
      <c r="W53" s="133">
        <v>99</v>
      </c>
      <c r="X53" s="133">
        <v>99</v>
      </c>
      <c r="Y53" s="133">
        <v>99</v>
      </c>
      <c r="Z53" s="133">
        <v>99</v>
      </c>
      <c r="AA53" s="133">
        <v>99</v>
      </c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22" t="s">
        <v>740</v>
      </c>
    </row>
    <row r="54" spans="2:40" ht="15.5">
      <c r="B54" s="128" t="s">
        <v>817</v>
      </c>
      <c r="C54" s="127">
        <v>4016533</v>
      </c>
      <c r="D54" s="132" t="s">
        <v>832</v>
      </c>
      <c r="E54" s="118" t="s">
        <v>833</v>
      </c>
      <c r="F54" s="129">
        <v>599</v>
      </c>
      <c r="G54" s="129">
        <v>799</v>
      </c>
      <c r="H54" s="130">
        <v>599</v>
      </c>
      <c r="I54" s="130">
        <v>599</v>
      </c>
      <c r="J54" s="120">
        <v>549</v>
      </c>
      <c r="K54" s="120">
        <v>549</v>
      </c>
      <c r="L54" s="120">
        <v>549</v>
      </c>
      <c r="M54" s="130">
        <v>549</v>
      </c>
      <c r="N54" s="130">
        <v>549</v>
      </c>
      <c r="O54" s="120">
        <v>499</v>
      </c>
      <c r="P54" s="120">
        <v>399</v>
      </c>
      <c r="Q54" s="120">
        <v>349</v>
      </c>
      <c r="R54" s="133">
        <v>499</v>
      </c>
      <c r="S54" s="133">
        <v>399</v>
      </c>
      <c r="T54" s="130">
        <v>349</v>
      </c>
      <c r="U54" s="130">
        <v>349</v>
      </c>
      <c r="V54" s="133">
        <v>349</v>
      </c>
      <c r="W54" s="133">
        <v>349</v>
      </c>
      <c r="X54" s="133">
        <v>349</v>
      </c>
      <c r="Y54" s="133">
        <v>349</v>
      </c>
      <c r="Z54" s="133">
        <v>349</v>
      </c>
      <c r="AA54" s="133">
        <v>349</v>
      </c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  <c r="AM54" s="122" t="s">
        <v>740</v>
      </c>
    </row>
    <row r="55" spans="2:40" ht="15.5">
      <c r="B55" s="128" t="s">
        <v>817</v>
      </c>
      <c r="C55" s="127">
        <v>4016531</v>
      </c>
      <c r="D55" s="132" t="s">
        <v>832</v>
      </c>
      <c r="E55" s="118" t="s">
        <v>834</v>
      </c>
      <c r="F55" s="129">
        <v>599</v>
      </c>
      <c r="G55" s="129">
        <v>799</v>
      </c>
      <c r="H55" s="130">
        <v>599</v>
      </c>
      <c r="I55" s="130">
        <v>599</v>
      </c>
      <c r="J55" s="120">
        <v>549</v>
      </c>
      <c r="K55" s="120">
        <v>549</v>
      </c>
      <c r="L55" s="120">
        <v>549</v>
      </c>
      <c r="M55" s="130">
        <v>549</v>
      </c>
      <c r="N55" s="130">
        <v>549</v>
      </c>
      <c r="O55" s="120">
        <v>499</v>
      </c>
      <c r="P55" s="120">
        <v>399</v>
      </c>
      <c r="Q55" s="120">
        <v>349</v>
      </c>
      <c r="R55" s="133">
        <v>499</v>
      </c>
      <c r="S55" s="133">
        <v>399</v>
      </c>
      <c r="T55" s="130">
        <v>349</v>
      </c>
      <c r="U55" s="130">
        <v>349</v>
      </c>
      <c r="V55" s="133">
        <v>349</v>
      </c>
      <c r="W55" s="133">
        <v>349</v>
      </c>
      <c r="X55" s="133">
        <v>349</v>
      </c>
      <c r="Y55" s="133">
        <v>349</v>
      </c>
      <c r="Z55" s="133">
        <v>349</v>
      </c>
      <c r="AA55" s="133">
        <v>349</v>
      </c>
      <c r="AB55" s="133"/>
      <c r="AC55" s="133"/>
      <c r="AD55" s="133"/>
      <c r="AE55" s="133"/>
      <c r="AF55" s="133"/>
      <c r="AG55" s="133"/>
      <c r="AH55" s="133"/>
      <c r="AI55" s="133"/>
      <c r="AJ55" s="133"/>
      <c r="AK55" s="133"/>
      <c r="AL55" s="133"/>
      <c r="AM55" s="122" t="s">
        <v>740</v>
      </c>
    </row>
    <row r="56" spans="2:40" ht="15.5">
      <c r="B56" s="128" t="s">
        <v>817</v>
      </c>
      <c r="C56" s="127">
        <v>4017404</v>
      </c>
      <c r="D56" s="132" t="s">
        <v>835</v>
      </c>
      <c r="E56" s="118" t="s">
        <v>836</v>
      </c>
      <c r="F56" s="129">
        <v>1099</v>
      </c>
      <c r="G56" s="129">
        <v>1099</v>
      </c>
      <c r="H56" s="130">
        <v>1099</v>
      </c>
      <c r="I56" s="130">
        <v>1099</v>
      </c>
      <c r="J56" s="120">
        <v>1049</v>
      </c>
      <c r="K56" s="120">
        <v>1049</v>
      </c>
      <c r="L56" s="120">
        <v>1049</v>
      </c>
      <c r="M56" s="130">
        <v>1049</v>
      </c>
      <c r="N56" s="130">
        <v>1049</v>
      </c>
      <c r="O56" s="120">
        <v>999</v>
      </c>
      <c r="P56" s="120">
        <v>899</v>
      </c>
      <c r="Q56" s="120">
        <v>699</v>
      </c>
      <c r="R56" s="130">
        <v>999</v>
      </c>
      <c r="S56" s="130">
        <v>899</v>
      </c>
      <c r="T56" s="130">
        <v>699</v>
      </c>
      <c r="U56" s="130">
        <v>699</v>
      </c>
      <c r="V56" s="130">
        <v>699</v>
      </c>
      <c r="W56" s="130">
        <v>699</v>
      </c>
      <c r="X56" s="130">
        <v>599</v>
      </c>
      <c r="Y56" s="133">
        <v>599</v>
      </c>
      <c r="Z56" s="133">
        <v>599</v>
      </c>
      <c r="AA56" s="130">
        <v>599</v>
      </c>
      <c r="AB56" s="130"/>
      <c r="AC56" s="130"/>
      <c r="AD56" s="130"/>
      <c r="AE56" s="130"/>
      <c r="AF56" s="130"/>
      <c r="AG56" s="130"/>
      <c r="AH56" s="130"/>
      <c r="AI56" s="130"/>
      <c r="AJ56" s="130"/>
      <c r="AK56" s="130"/>
      <c r="AL56" s="130"/>
      <c r="AM56" s="122" t="s">
        <v>740</v>
      </c>
    </row>
    <row r="57" spans="2:40" ht="15.5">
      <c r="B57" s="128" t="s">
        <v>817</v>
      </c>
      <c r="C57" s="127">
        <v>4016537</v>
      </c>
      <c r="D57" s="132" t="s">
        <v>837</v>
      </c>
      <c r="E57" s="118" t="s">
        <v>838</v>
      </c>
      <c r="F57" s="129">
        <v>1199</v>
      </c>
      <c r="G57" s="129">
        <v>1199</v>
      </c>
      <c r="H57" s="130">
        <v>1199</v>
      </c>
      <c r="I57" s="130">
        <v>1199</v>
      </c>
      <c r="J57" s="130">
        <v>1149</v>
      </c>
      <c r="K57" s="130">
        <v>1149</v>
      </c>
      <c r="L57" s="130">
        <v>1149</v>
      </c>
      <c r="M57" s="130">
        <v>1149</v>
      </c>
      <c r="N57" s="130">
        <v>1149</v>
      </c>
      <c r="O57" s="130">
        <v>1099</v>
      </c>
      <c r="P57" s="130">
        <v>999</v>
      </c>
      <c r="Q57" s="130">
        <v>799</v>
      </c>
      <c r="R57" s="130">
        <v>1099</v>
      </c>
      <c r="S57" s="130">
        <v>999</v>
      </c>
      <c r="T57" s="130">
        <v>799</v>
      </c>
      <c r="U57" s="130">
        <v>799</v>
      </c>
      <c r="V57" s="130">
        <v>799</v>
      </c>
      <c r="W57" s="130">
        <v>799</v>
      </c>
      <c r="X57" s="130">
        <v>799</v>
      </c>
      <c r="Y57" s="133">
        <v>799</v>
      </c>
      <c r="Z57" s="133">
        <v>799</v>
      </c>
      <c r="AA57" s="130">
        <v>799</v>
      </c>
      <c r="AB57" s="130"/>
      <c r="AC57" s="130"/>
      <c r="AD57" s="130"/>
      <c r="AE57" s="130"/>
      <c r="AF57" s="130"/>
      <c r="AG57" s="130"/>
      <c r="AH57" s="130"/>
      <c r="AI57" s="130"/>
      <c r="AJ57" s="130"/>
      <c r="AK57" s="130"/>
      <c r="AL57" s="130"/>
      <c r="AM57" s="122" t="s">
        <v>740</v>
      </c>
    </row>
    <row r="58" spans="2:40" ht="15.5">
      <c r="B58" s="128" t="s">
        <v>817</v>
      </c>
      <c r="C58" s="127">
        <v>4017785</v>
      </c>
      <c r="D58" s="132" t="s">
        <v>839</v>
      </c>
      <c r="E58" s="118" t="s">
        <v>840</v>
      </c>
      <c r="F58" s="129">
        <v>1399</v>
      </c>
      <c r="G58" s="129">
        <v>1399</v>
      </c>
      <c r="H58" s="130">
        <v>1399</v>
      </c>
      <c r="I58" s="130">
        <v>1399</v>
      </c>
      <c r="J58" s="130">
        <v>1349</v>
      </c>
      <c r="K58" s="130">
        <v>1349</v>
      </c>
      <c r="L58" s="130">
        <v>1349</v>
      </c>
      <c r="M58" s="130">
        <v>1349</v>
      </c>
      <c r="N58" s="130">
        <v>1349</v>
      </c>
      <c r="O58" s="130">
        <v>1299</v>
      </c>
      <c r="P58" s="130">
        <v>1199</v>
      </c>
      <c r="Q58" s="130">
        <v>999</v>
      </c>
      <c r="R58" s="133">
        <v>1299</v>
      </c>
      <c r="S58" s="133">
        <v>1199</v>
      </c>
      <c r="T58" s="130">
        <v>999</v>
      </c>
      <c r="U58" s="130">
        <v>999</v>
      </c>
      <c r="V58" s="133">
        <v>999</v>
      </c>
      <c r="W58" s="133">
        <v>999</v>
      </c>
      <c r="X58" s="133">
        <v>899</v>
      </c>
      <c r="Y58" s="133">
        <v>749</v>
      </c>
      <c r="Z58" s="133">
        <v>749</v>
      </c>
      <c r="AA58" s="133">
        <v>749</v>
      </c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22" t="s">
        <v>740</v>
      </c>
    </row>
    <row r="59" spans="2:40" ht="15.5">
      <c r="B59" s="128" t="s">
        <v>817</v>
      </c>
      <c r="C59" s="127">
        <v>4017780</v>
      </c>
      <c r="D59" s="132" t="s">
        <v>841</v>
      </c>
      <c r="E59" s="118" t="s">
        <v>842</v>
      </c>
      <c r="F59" s="129">
        <v>1699</v>
      </c>
      <c r="G59" s="129">
        <v>1699</v>
      </c>
      <c r="H59" s="130">
        <v>1699</v>
      </c>
      <c r="I59" s="130">
        <v>1699</v>
      </c>
      <c r="J59" s="130">
        <v>1649</v>
      </c>
      <c r="K59" s="130">
        <v>1649</v>
      </c>
      <c r="L59" s="130">
        <v>1649</v>
      </c>
      <c r="M59" s="130">
        <v>1649</v>
      </c>
      <c r="N59" s="130">
        <v>1649</v>
      </c>
      <c r="O59" s="130">
        <v>1599</v>
      </c>
      <c r="P59" s="130">
        <v>1499</v>
      </c>
      <c r="Q59" s="130">
        <v>1299</v>
      </c>
      <c r="R59" s="133">
        <v>1599</v>
      </c>
      <c r="S59" s="133">
        <v>1499</v>
      </c>
      <c r="T59" s="130">
        <v>1299</v>
      </c>
      <c r="U59" s="130">
        <v>1299</v>
      </c>
      <c r="V59" s="133">
        <v>1299</v>
      </c>
      <c r="W59" s="133">
        <v>1299</v>
      </c>
      <c r="X59" s="133">
        <v>1199</v>
      </c>
      <c r="Y59" s="133">
        <v>899</v>
      </c>
      <c r="Z59" s="133">
        <v>899</v>
      </c>
      <c r="AA59" s="133">
        <v>899</v>
      </c>
      <c r="AB59" s="141"/>
      <c r="AC59" s="141"/>
      <c r="AD59" s="141"/>
      <c r="AE59" s="141"/>
      <c r="AF59" s="141"/>
      <c r="AG59" s="141"/>
      <c r="AH59" s="141"/>
      <c r="AI59" s="141"/>
      <c r="AJ59" s="141"/>
      <c r="AK59" s="141"/>
      <c r="AL59" s="141"/>
      <c r="AM59" s="122" t="s">
        <v>740</v>
      </c>
    </row>
    <row r="60" spans="2:40" ht="15.5">
      <c r="B60" s="128" t="s">
        <v>817</v>
      </c>
      <c r="C60" s="127">
        <v>4017339</v>
      </c>
      <c r="D60" s="132" t="s">
        <v>843</v>
      </c>
      <c r="E60" s="118" t="s">
        <v>844</v>
      </c>
      <c r="F60" s="131">
        <v>299</v>
      </c>
      <c r="G60" s="131">
        <v>299</v>
      </c>
      <c r="H60" s="131">
        <v>299</v>
      </c>
      <c r="I60" s="131">
        <v>299</v>
      </c>
      <c r="J60" s="131">
        <v>249</v>
      </c>
      <c r="K60" s="131">
        <v>249</v>
      </c>
      <c r="L60" s="131">
        <v>249</v>
      </c>
      <c r="M60" s="131">
        <v>249</v>
      </c>
      <c r="N60" s="131">
        <v>249</v>
      </c>
      <c r="O60" s="131">
        <v>199</v>
      </c>
      <c r="P60" s="131">
        <v>199</v>
      </c>
      <c r="Q60" s="131">
        <v>199</v>
      </c>
      <c r="R60" s="131">
        <v>199</v>
      </c>
      <c r="S60" s="131">
        <v>199</v>
      </c>
      <c r="T60" s="131">
        <v>199</v>
      </c>
      <c r="U60" s="131">
        <v>199</v>
      </c>
      <c r="V60" s="131">
        <v>199</v>
      </c>
      <c r="W60" s="131">
        <v>199</v>
      </c>
      <c r="X60" s="131">
        <v>199</v>
      </c>
      <c r="Y60" s="131">
        <v>199</v>
      </c>
      <c r="Z60" s="131">
        <v>199</v>
      </c>
      <c r="AA60" s="131">
        <v>199</v>
      </c>
      <c r="AB60" s="130"/>
      <c r="AC60" s="130"/>
      <c r="AD60" s="130"/>
      <c r="AE60" s="130"/>
      <c r="AF60" s="130"/>
      <c r="AG60" s="130"/>
      <c r="AH60" s="130"/>
      <c r="AI60" s="130"/>
      <c r="AJ60" s="130"/>
      <c r="AK60" s="130"/>
      <c r="AL60" s="130"/>
      <c r="AM60" s="122" t="s">
        <v>740</v>
      </c>
    </row>
    <row r="61" spans="2:40" ht="15.5">
      <c r="B61" s="128" t="s">
        <v>817</v>
      </c>
      <c r="C61" s="127">
        <v>4017398</v>
      </c>
      <c r="D61" s="132" t="s">
        <v>843</v>
      </c>
      <c r="E61" s="132" t="s">
        <v>845</v>
      </c>
      <c r="F61" s="131">
        <v>299</v>
      </c>
      <c r="G61" s="131">
        <v>299</v>
      </c>
      <c r="H61" s="131">
        <v>299</v>
      </c>
      <c r="I61" s="131">
        <v>299</v>
      </c>
      <c r="J61" s="131">
        <v>249</v>
      </c>
      <c r="K61" s="131">
        <v>249</v>
      </c>
      <c r="L61" s="131">
        <v>249</v>
      </c>
      <c r="M61" s="131">
        <v>249</v>
      </c>
      <c r="N61" s="131">
        <v>249</v>
      </c>
      <c r="O61" s="131">
        <v>199</v>
      </c>
      <c r="P61" s="131">
        <v>199</v>
      </c>
      <c r="Q61" s="131">
        <v>199</v>
      </c>
      <c r="R61" s="131">
        <v>199</v>
      </c>
      <c r="S61" s="131">
        <v>199</v>
      </c>
      <c r="T61" s="131">
        <v>199</v>
      </c>
      <c r="U61" s="131">
        <v>199</v>
      </c>
      <c r="V61" s="131">
        <v>199</v>
      </c>
      <c r="W61" s="131">
        <v>199</v>
      </c>
      <c r="X61" s="131">
        <v>199</v>
      </c>
      <c r="Y61" s="131">
        <v>199</v>
      </c>
      <c r="Z61" s="131">
        <v>199</v>
      </c>
      <c r="AA61" s="131">
        <v>199</v>
      </c>
      <c r="AB61" s="130"/>
      <c r="AC61" s="130"/>
      <c r="AD61" s="130"/>
      <c r="AE61" s="130"/>
      <c r="AF61" s="130"/>
      <c r="AG61" s="130"/>
      <c r="AH61" s="130"/>
      <c r="AI61" s="130"/>
      <c r="AJ61" s="130"/>
      <c r="AK61" s="130"/>
      <c r="AL61" s="130"/>
      <c r="AM61" s="122" t="s">
        <v>740</v>
      </c>
    </row>
    <row r="62" spans="2:40" ht="15.5">
      <c r="B62" s="128" t="s">
        <v>817</v>
      </c>
      <c r="C62" s="127">
        <v>4016523</v>
      </c>
      <c r="D62" s="132" t="s">
        <v>846</v>
      </c>
      <c r="E62" s="118" t="s">
        <v>847</v>
      </c>
      <c r="F62" s="129">
        <v>199</v>
      </c>
      <c r="G62" s="129">
        <v>199</v>
      </c>
      <c r="H62" s="130">
        <v>199</v>
      </c>
      <c r="I62" s="130">
        <v>199</v>
      </c>
      <c r="J62" s="120">
        <v>149</v>
      </c>
      <c r="K62" s="120">
        <v>149</v>
      </c>
      <c r="L62" s="120">
        <v>149</v>
      </c>
      <c r="M62" s="130">
        <v>149</v>
      </c>
      <c r="N62" s="130">
        <v>149</v>
      </c>
      <c r="O62" s="120">
        <v>99</v>
      </c>
      <c r="P62" s="120">
        <v>99</v>
      </c>
      <c r="Q62" s="120">
        <v>99</v>
      </c>
      <c r="R62" s="133">
        <v>99</v>
      </c>
      <c r="S62" s="133">
        <v>99</v>
      </c>
      <c r="T62" s="130">
        <v>99</v>
      </c>
      <c r="U62" s="130">
        <v>99</v>
      </c>
      <c r="V62" s="133">
        <v>99</v>
      </c>
      <c r="W62" s="133">
        <v>99</v>
      </c>
      <c r="X62" s="133">
        <v>99</v>
      </c>
      <c r="Y62" s="133">
        <v>99</v>
      </c>
      <c r="Z62" s="133">
        <v>99</v>
      </c>
      <c r="AA62" s="133">
        <v>99</v>
      </c>
      <c r="AB62" s="141"/>
      <c r="AC62" s="141"/>
      <c r="AD62" s="141"/>
      <c r="AE62" s="141"/>
      <c r="AF62" s="141"/>
      <c r="AG62" s="141"/>
      <c r="AH62" s="141"/>
      <c r="AI62" s="141"/>
      <c r="AJ62" s="141"/>
      <c r="AK62" s="141"/>
      <c r="AL62" s="141"/>
      <c r="AM62" s="122" t="s">
        <v>740</v>
      </c>
    </row>
    <row r="63" spans="2:40" ht="15" customHeight="1">
      <c r="B63" s="128" t="s">
        <v>817</v>
      </c>
      <c r="C63" s="127">
        <v>4017661</v>
      </c>
      <c r="D63" s="132" t="s">
        <v>848</v>
      </c>
      <c r="E63" s="118" t="s">
        <v>849</v>
      </c>
      <c r="F63" s="129">
        <v>499</v>
      </c>
      <c r="G63" s="129">
        <v>499</v>
      </c>
      <c r="H63" s="129">
        <v>499</v>
      </c>
      <c r="I63" s="129">
        <v>499</v>
      </c>
      <c r="J63" s="130">
        <v>449</v>
      </c>
      <c r="K63" s="130">
        <v>449</v>
      </c>
      <c r="L63" s="130">
        <v>449</v>
      </c>
      <c r="M63" s="130">
        <v>449</v>
      </c>
      <c r="N63" s="130">
        <v>449</v>
      </c>
      <c r="O63" s="130">
        <v>399</v>
      </c>
      <c r="P63" s="130">
        <v>299</v>
      </c>
      <c r="Q63" s="130">
        <v>299</v>
      </c>
      <c r="R63" s="130">
        <v>399</v>
      </c>
      <c r="S63" s="130">
        <v>299</v>
      </c>
      <c r="T63" s="130">
        <v>299</v>
      </c>
      <c r="U63" s="130">
        <v>299</v>
      </c>
      <c r="V63" s="130">
        <v>299</v>
      </c>
      <c r="W63" s="130">
        <v>299</v>
      </c>
      <c r="X63" s="130">
        <v>299</v>
      </c>
      <c r="Y63" s="133">
        <v>299</v>
      </c>
      <c r="Z63" s="133">
        <v>299</v>
      </c>
      <c r="AA63" s="130">
        <v>299</v>
      </c>
      <c r="AB63" s="130"/>
      <c r="AC63" s="130"/>
      <c r="AD63" s="130"/>
      <c r="AE63" s="130"/>
      <c r="AF63" s="130"/>
      <c r="AG63" s="130"/>
      <c r="AH63" s="130"/>
      <c r="AI63" s="130"/>
      <c r="AJ63" s="130"/>
      <c r="AK63" s="130"/>
      <c r="AL63" s="130"/>
      <c r="AM63" s="122" t="s">
        <v>740</v>
      </c>
    </row>
    <row r="64" spans="2:40" ht="15.5">
      <c r="B64" s="128" t="s">
        <v>817</v>
      </c>
      <c r="C64" s="127">
        <v>4016484</v>
      </c>
      <c r="D64" s="132" t="s">
        <v>850</v>
      </c>
      <c r="E64" s="118" t="s">
        <v>851</v>
      </c>
      <c r="F64" s="129">
        <v>299</v>
      </c>
      <c r="G64" s="129">
        <v>299</v>
      </c>
      <c r="H64" s="129">
        <v>299</v>
      </c>
      <c r="I64" s="129">
        <v>299</v>
      </c>
      <c r="J64" s="130">
        <v>249</v>
      </c>
      <c r="K64" s="130">
        <v>249</v>
      </c>
      <c r="L64" s="130">
        <v>249</v>
      </c>
      <c r="M64" s="130">
        <v>249</v>
      </c>
      <c r="N64" s="130">
        <v>249</v>
      </c>
      <c r="O64" s="130">
        <v>199</v>
      </c>
      <c r="P64" s="130">
        <v>199</v>
      </c>
      <c r="Q64" s="130">
        <v>199</v>
      </c>
      <c r="R64" s="130">
        <v>199</v>
      </c>
      <c r="S64" s="130">
        <v>199</v>
      </c>
      <c r="T64" s="130">
        <v>199</v>
      </c>
      <c r="U64" s="130">
        <v>199</v>
      </c>
      <c r="V64" s="130">
        <v>199</v>
      </c>
      <c r="W64" s="130">
        <v>199</v>
      </c>
      <c r="X64" s="130">
        <v>199</v>
      </c>
      <c r="Y64" s="133">
        <v>199</v>
      </c>
      <c r="Z64" s="133">
        <v>199</v>
      </c>
      <c r="AA64" s="130">
        <v>199</v>
      </c>
      <c r="AB64" s="130"/>
      <c r="AC64" s="130"/>
      <c r="AD64" s="130"/>
      <c r="AE64" s="130"/>
      <c r="AF64" s="130"/>
      <c r="AG64" s="130"/>
      <c r="AH64" s="130"/>
      <c r="AI64" s="130"/>
      <c r="AJ64" s="130"/>
      <c r="AK64" s="130"/>
      <c r="AL64" s="130"/>
      <c r="AM64" s="122" t="s">
        <v>740</v>
      </c>
    </row>
    <row r="65" spans="2:39" ht="15.5">
      <c r="B65" s="128" t="s">
        <v>817</v>
      </c>
      <c r="C65" s="127">
        <v>4016483</v>
      </c>
      <c r="D65" s="132" t="s">
        <v>852</v>
      </c>
      <c r="E65" s="118" t="s">
        <v>853</v>
      </c>
      <c r="F65" s="129">
        <v>299</v>
      </c>
      <c r="G65" s="129">
        <v>299</v>
      </c>
      <c r="H65" s="129">
        <v>299</v>
      </c>
      <c r="I65" s="129">
        <v>299</v>
      </c>
      <c r="J65" s="130">
        <v>199</v>
      </c>
      <c r="K65" s="130">
        <v>199</v>
      </c>
      <c r="L65" s="129">
        <v>199</v>
      </c>
      <c r="M65" s="130">
        <v>199</v>
      </c>
      <c r="N65" s="130">
        <v>199</v>
      </c>
      <c r="O65" s="129">
        <v>199</v>
      </c>
      <c r="P65" s="129">
        <v>199</v>
      </c>
      <c r="Q65" s="130">
        <v>199</v>
      </c>
      <c r="R65" s="129">
        <v>199</v>
      </c>
      <c r="S65" s="129">
        <v>199</v>
      </c>
      <c r="T65" s="130">
        <v>199</v>
      </c>
      <c r="U65" s="130">
        <v>199</v>
      </c>
      <c r="V65" s="130">
        <v>199</v>
      </c>
      <c r="W65" s="130">
        <v>199</v>
      </c>
      <c r="X65" s="130">
        <v>199</v>
      </c>
      <c r="Y65" s="133">
        <v>199</v>
      </c>
      <c r="Z65" s="133">
        <v>199</v>
      </c>
      <c r="AA65" s="130">
        <v>199</v>
      </c>
      <c r="AB65" s="130">
        <v>199</v>
      </c>
      <c r="AC65" s="130">
        <v>199</v>
      </c>
      <c r="AD65" s="130">
        <v>199</v>
      </c>
      <c r="AE65" s="130">
        <v>199</v>
      </c>
      <c r="AF65" s="130">
        <v>199</v>
      </c>
      <c r="AG65" s="130">
        <v>199</v>
      </c>
      <c r="AH65" s="130">
        <v>199</v>
      </c>
      <c r="AI65" s="130">
        <v>199</v>
      </c>
      <c r="AJ65" s="130">
        <v>199</v>
      </c>
      <c r="AK65" s="130">
        <v>199</v>
      </c>
      <c r="AL65" s="130">
        <v>199</v>
      </c>
      <c r="AM65" s="122" t="s">
        <v>740</v>
      </c>
    </row>
    <row r="66" spans="2:39" ht="15.5">
      <c r="B66" s="128" t="s">
        <v>817</v>
      </c>
      <c r="C66" s="127">
        <v>4016310</v>
      </c>
      <c r="D66" s="132" t="s">
        <v>854</v>
      </c>
      <c r="E66" s="118" t="s">
        <v>855</v>
      </c>
      <c r="F66" s="129">
        <v>399</v>
      </c>
      <c r="G66" s="129">
        <v>399</v>
      </c>
      <c r="H66" s="130">
        <v>399</v>
      </c>
      <c r="I66" s="130">
        <v>399</v>
      </c>
      <c r="J66" s="130">
        <v>349</v>
      </c>
      <c r="K66" s="130">
        <v>349</v>
      </c>
      <c r="L66" s="130">
        <v>349</v>
      </c>
      <c r="M66" s="130">
        <v>349</v>
      </c>
      <c r="N66" s="130">
        <v>349</v>
      </c>
      <c r="O66" s="130">
        <v>299</v>
      </c>
      <c r="P66" s="130">
        <v>299</v>
      </c>
      <c r="Q66" s="130">
        <v>249</v>
      </c>
      <c r="R66" s="133">
        <v>299</v>
      </c>
      <c r="S66" s="133">
        <v>249</v>
      </c>
      <c r="T66" s="130">
        <v>249</v>
      </c>
      <c r="U66" s="130">
        <v>249</v>
      </c>
      <c r="V66" s="133">
        <v>249</v>
      </c>
      <c r="W66" s="133">
        <v>249</v>
      </c>
      <c r="X66" s="133">
        <v>249</v>
      </c>
      <c r="Y66" s="133">
        <v>249</v>
      </c>
      <c r="Z66" s="133">
        <v>249</v>
      </c>
      <c r="AA66" s="133">
        <v>249</v>
      </c>
      <c r="AB66" s="133"/>
      <c r="AC66" s="133"/>
      <c r="AD66" s="133"/>
      <c r="AE66" s="133"/>
      <c r="AF66" s="133"/>
      <c r="AG66" s="133"/>
      <c r="AH66" s="133"/>
      <c r="AI66" s="133"/>
      <c r="AJ66" s="133"/>
      <c r="AK66" s="133"/>
      <c r="AL66" s="133"/>
      <c r="AM66" s="122" t="s">
        <v>740</v>
      </c>
    </row>
    <row r="67" spans="2:39" ht="15.5">
      <c r="B67" s="128" t="s">
        <v>817</v>
      </c>
      <c r="C67" s="127">
        <v>4016311</v>
      </c>
      <c r="D67" s="132" t="s">
        <v>854</v>
      </c>
      <c r="E67" s="118" t="s">
        <v>856</v>
      </c>
      <c r="F67" s="129">
        <v>399</v>
      </c>
      <c r="G67" s="129">
        <v>399</v>
      </c>
      <c r="H67" s="130">
        <v>399</v>
      </c>
      <c r="I67" s="130">
        <v>399</v>
      </c>
      <c r="J67" s="130">
        <v>349</v>
      </c>
      <c r="K67" s="130">
        <v>349</v>
      </c>
      <c r="L67" s="130">
        <v>349</v>
      </c>
      <c r="M67" s="130">
        <v>349</v>
      </c>
      <c r="N67" s="130">
        <v>349</v>
      </c>
      <c r="O67" s="130">
        <v>299</v>
      </c>
      <c r="P67" s="130">
        <v>299</v>
      </c>
      <c r="Q67" s="130">
        <v>249</v>
      </c>
      <c r="R67" s="133">
        <v>299</v>
      </c>
      <c r="S67" s="133">
        <v>249</v>
      </c>
      <c r="T67" s="130">
        <v>249</v>
      </c>
      <c r="U67" s="130">
        <v>249</v>
      </c>
      <c r="V67" s="133">
        <v>249</v>
      </c>
      <c r="W67" s="133">
        <v>249</v>
      </c>
      <c r="X67" s="133">
        <v>249</v>
      </c>
      <c r="Y67" s="133">
        <v>249</v>
      </c>
      <c r="Z67" s="133">
        <v>249</v>
      </c>
      <c r="AA67" s="133">
        <v>249</v>
      </c>
      <c r="AB67" s="133"/>
      <c r="AC67" s="133"/>
      <c r="AD67" s="133"/>
      <c r="AE67" s="133"/>
      <c r="AF67" s="133"/>
      <c r="AG67" s="133"/>
      <c r="AH67" s="133"/>
      <c r="AI67" s="133"/>
      <c r="AJ67" s="133"/>
      <c r="AK67" s="133"/>
      <c r="AL67" s="133"/>
      <c r="AM67" s="122" t="s">
        <v>740</v>
      </c>
    </row>
    <row r="68" spans="2:39" ht="15.5">
      <c r="B68" s="128" t="s">
        <v>744</v>
      </c>
      <c r="C68" s="127">
        <v>4016544</v>
      </c>
      <c r="D68" s="132" t="s">
        <v>857</v>
      </c>
      <c r="E68" s="118" t="s">
        <v>858</v>
      </c>
      <c r="F68" s="131">
        <v>199</v>
      </c>
      <c r="G68" s="131">
        <v>199</v>
      </c>
      <c r="H68" s="131">
        <v>199</v>
      </c>
      <c r="I68" s="131">
        <v>199</v>
      </c>
      <c r="J68" s="131">
        <v>99</v>
      </c>
      <c r="K68" s="131">
        <v>99</v>
      </c>
      <c r="L68" s="131">
        <v>99</v>
      </c>
      <c r="M68" s="131">
        <v>99</v>
      </c>
      <c r="N68" s="131">
        <v>99</v>
      </c>
      <c r="O68" s="131">
        <v>99</v>
      </c>
      <c r="P68" s="131">
        <v>99</v>
      </c>
      <c r="Q68" s="131">
        <v>99</v>
      </c>
      <c r="R68" s="131">
        <v>99</v>
      </c>
      <c r="S68" s="131">
        <v>99</v>
      </c>
      <c r="T68" s="131">
        <v>99</v>
      </c>
      <c r="U68" s="131">
        <v>99</v>
      </c>
      <c r="V68" s="131">
        <v>99</v>
      </c>
      <c r="W68" s="131">
        <v>99</v>
      </c>
      <c r="X68" s="131">
        <v>99</v>
      </c>
      <c r="Y68" s="131">
        <v>99</v>
      </c>
      <c r="Z68" s="131">
        <v>99</v>
      </c>
      <c r="AA68" s="131">
        <v>99</v>
      </c>
      <c r="AB68" s="133"/>
      <c r="AC68" s="133"/>
      <c r="AD68" s="133"/>
      <c r="AE68" s="133"/>
      <c r="AF68" s="133"/>
      <c r="AG68" s="133"/>
      <c r="AH68" s="133"/>
      <c r="AI68" s="133"/>
      <c r="AJ68" s="133"/>
      <c r="AK68" s="133"/>
      <c r="AL68" s="133"/>
      <c r="AM68" s="122" t="s">
        <v>740</v>
      </c>
    </row>
    <row r="69" spans="2:39" ht="15.5">
      <c r="B69" s="128" t="s">
        <v>810</v>
      </c>
      <c r="C69" s="127">
        <v>4016406</v>
      </c>
      <c r="D69" s="132" t="s">
        <v>859</v>
      </c>
      <c r="E69" s="118" t="s">
        <v>860</v>
      </c>
      <c r="F69" s="129">
        <v>599</v>
      </c>
      <c r="G69" s="129">
        <v>799</v>
      </c>
      <c r="H69" s="130">
        <v>599</v>
      </c>
      <c r="I69" s="130">
        <v>599</v>
      </c>
      <c r="J69" s="120">
        <v>549</v>
      </c>
      <c r="K69" s="120">
        <v>549</v>
      </c>
      <c r="L69" s="120">
        <v>549</v>
      </c>
      <c r="M69" s="130">
        <v>549</v>
      </c>
      <c r="N69" s="130">
        <v>549</v>
      </c>
      <c r="O69" s="120">
        <v>499</v>
      </c>
      <c r="P69" s="120">
        <v>399</v>
      </c>
      <c r="Q69" s="120">
        <v>349</v>
      </c>
      <c r="R69" s="130">
        <v>499</v>
      </c>
      <c r="S69" s="130">
        <v>399</v>
      </c>
      <c r="T69" s="130">
        <v>349</v>
      </c>
      <c r="U69" s="130">
        <v>349</v>
      </c>
      <c r="V69" s="130">
        <v>349</v>
      </c>
      <c r="W69" s="130">
        <v>349</v>
      </c>
      <c r="X69" s="130">
        <v>349</v>
      </c>
      <c r="Y69" s="133">
        <v>349</v>
      </c>
      <c r="Z69" s="133">
        <v>349</v>
      </c>
      <c r="AA69" s="130">
        <v>349</v>
      </c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  <c r="AM69" s="122" t="s">
        <v>740</v>
      </c>
    </row>
    <row r="70" spans="2:39" ht="15.5">
      <c r="B70" s="128" t="s">
        <v>810</v>
      </c>
      <c r="C70" s="127">
        <v>4016403</v>
      </c>
      <c r="D70" s="132" t="s">
        <v>859</v>
      </c>
      <c r="E70" s="118" t="s">
        <v>861</v>
      </c>
      <c r="F70" s="129">
        <v>599</v>
      </c>
      <c r="G70" s="129">
        <v>799</v>
      </c>
      <c r="H70" s="130">
        <v>599</v>
      </c>
      <c r="I70" s="130">
        <v>599</v>
      </c>
      <c r="J70" s="120">
        <v>549</v>
      </c>
      <c r="K70" s="120">
        <v>549</v>
      </c>
      <c r="L70" s="120">
        <v>549</v>
      </c>
      <c r="M70" s="130">
        <v>549</v>
      </c>
      <c r="N70" s="130">
        <v>549</v>
      </c>
      <c r="O70" s="120">
        <v>499</v>
      </c>
      <c r="P70" s="120">
        <v>399</v>
      </c>
      <c r="Q70" s="120">
        <v>349</v>
      </c>
      <c r="R70" s="130">
        <v>499</v>
      </c>
      <c r="S70" s="130">
        <v>399</v>
      </c>
      <c r="T70" s="130">
        <v>349</v>
      </c>
      <c r="U70" s="130">
        <v>349</v>
      </c>
      <c r="V70" s="130">
        <v>349</v>
      </c>
      <c r="W70" s="130">
        <v>349</v>
      </c>
      <c r="X70" s="130">
        <v>349</v>
      </c>
      <c r="Y70" s="133">
        <v>349</v>
      </c>
      <c r="Z70" s="133">
        <v>349</v>
      </c>
      <c r="AA70" s="130">
        <v>349</v>
      </c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  <c r="AL70" s="130"/>
      <c r="AM70" s="122" t="s">
        <v>740</v>
      </c>
    </row>
    <row r="71" spans="2:39" ht="15.5">
      <c r="B71" s="128" t="s">
        <v>817</v>
      </c>
      <c r="C71" s="127">
        <v>4016367</v>
      </c>
      <c r="D71" s="132" t="s">
        <v>862</v>
      </c>
      <c r="E71" s="118" t="s">
        <v>863</v>
      </c>
      <c r="F71" s="130">
        <v>129</v>
      </c>
      <c r="G71" s="129">
        <v>129</v>
      </c>
      <c r="H71" s="129">
        <v>129</v>
      </c>
      <c r="I71" s="129">
        <v>129</v>
      </c>
      <c r="J71" s="120">
        <v>99</v>
      </c>
      <c r="K71" s="120">
        <v>99</v>
      </c>
      <c r="L71" s="129">
        <v>99</v>
      </c>
      <c r="M71" s="130">
        <v>99</v>
      </c>
      <c r="N71" s="130">
        <v>99</v>
      </c>
      <c r="O71" s="120">
        <v>99</v>
      </c>
      <c r="P71" s="120">
        <v>99</v>
      </c>
      <c r="Q71" s="120">
        <v>99</v>
      </c>
      <c r="R71" s="121">
        <v>99</v>
      </c>
      <c r="S71" s="133">
        <v>99</v>
      </c>
      <c r="T71" s="130">
        <v>99</v>
      </c>
      <c r="U71" s="130">
        <v>99</v>
      </c>
      <c r="V71" s="133">
        <v>99</v>
      </c>
      <c r="W71" s="133">
        <v>99</v>
      </c>
      <c r="X71" s="133">
        <v>99</v>
      </c>
      <c r="Y71" s="133">
        <v>99</v>
      </c>
      <c r="Z71" s="133">
        <v>99</v>
      </c>
      <c r="AA71" s="133">
        <v>99</v>
      </c>
      <c r="AB71" s="133"/>
      <c r="AC71" s="133"/>
      <c r="AD71" s="133"/>
      <c r="AE71" s="133"/>
      <c r="AF71" s="133"/>
      <c r="AG71" s="133"/>
      <c r="AH71" s="133"/>
      <c r="AI71" s="133"/>
      <c r="AJ71" s="133"/>
      <c r="AK71" s="133"/>
      <c r="AL71" s="133"/>
      <c r="AM71" s="122" t="s">
        <v>740</v>
      </c>
    </row>
    <row r="72" spans="2:39" ht="15.5">
      <c r="B72" s="128" t="s">
        <v>756</v>
      </c>
      <c r="C72" s="127">
        <v>4016410</v>
      </c>
      <c r="D72" s="132" t="s">
        <v>864</v>
      </c>
      <c r="E72" s="118" t="s">
        <v>865</v>
      </c>
      <c r="F72" s="129">
        <v>2999</v>
      </c>
      <c r="G72" s="129">
        <v>2199</v>
      </c>
      <c r="H72" s="130">
        <v>2999</v>
      </c>
      <c r="I72" s="130">
        <v>2999</v>
      </c>
      <c r="J72" s="120">
        <v>2949</v>
      </c>
      <c r="K72" s="120">
        <v>2949</v>
      </c>
      <c r="L72" s="120">
        <v>2949</v>
      </c>
      <c r="M72" s="130">
        <v>2949</v>
      </c>
      <c r="N72" s="130">
        <v>2949</v>
      </c>
      <c r="O72" s="120">
        <v>2899</v>
      </c>
      <c r="P72" s="120">
        <v>2799</v>
      </c>
      <c r="Q72" s="120">
        <v>2599</v>
      </c>
      <c r="R72" s="130">
        <v>2899</v>
      </c>
      <c r="S72" s="130">
        <v>2799</v>
      </c>
      <c r="T72" s="120">
        <v>2599</v>
      </c>
      <c r="U72" s="130">
        <v>2599</v>
      </c>
      <c r="V72" s="130">
        <v>2599</v>
      </c>
      <c r="W72" s="130">
        <v>2599</v>
      </c>
      <c r="X72" s="130">
        <v>2499</v>
      </c>
      <c r="Y72" s="133">
        <v>2199</v>
      </c>
      <c r="Z72" s="133">
        <v>2199</v>
      </c>
      <c r="AA72" s="133">
        <v>2149</v>
      </c>
      <c r="AB72" s="133"/>
      <c r="AC72" s="133"/>
      <c r="AD72" s="133"/>
      <c r="AE72" s="133"/>
      <c r="AF72" s="133"/>
      <c r="AG72" s="133"/>
      <c r="AH72" s="133"/>
      <c r="AI72" s="133"/>
      <c r="AJ72" s="133"/>
      <c r="AK72" s="133"/>
      <c r="AL72" s="133"/>
      <c r="AM72" s="122" t="s">
        <v>740</v>
      </c>
    </row>
    <row r="73" spans="2:39" ht="15.5">
      <c r="B73" s="126" t="s">
        <v>744</v>
      </c>
      <c r="C73" s="127">
        <v>4015498</v>
      </c>
      <c r="D73" s="128" t="s">
        <v>866</v>
      </c>
      <c r="E73" s="118" t="s">
        <v>867</v>
      </c>
      <c r="F73" s="129">
        <v>149</v>
      </c>
      <c r="G73" s="129">
        <v>199</v>
      </c>
      <c r="H73" s="130">
        <v>0</v>
      </c>
      <c r="I73" s="130">
        <v>0</v>
      </c>
      <c r="J73" s="120">
        <v>0</v>
      </c>
      <c r="K73" s="120">
        <v>0</v>
      </c>
      <c r="L73" s="120">
        <v>0</v>
      </c>
      <c r="M73" s="131">
        <v>0</v>
      </c>
      <c r="N73" s="131">
        <v>0</v>
      </c>
      <c r="O73" s="120">
        <v>0</v>
      </c>
      <c r="P73" s="120">
        <v>0</v>
      </c>
      <c r="Q73" s="120">
        <v>0</v>
      </c>
      <c r="R73" s="131">
        <v>0</v>
      </c>
      <c r="S73" s="131">
        <v>0</v>
      </c>
      <c r="T73" s="131">
        <v>0</v>
      </c>
      <c r="U73" s="131">
        <v>0</v>
      </c>
      <c r="V73" s="131">
        <v>0</v>
      </c>
      <c r="W73" s="131">
        <v>0</v>
      </c>
      <c r="X73" s="131">
        <v>0</v>
      </c>
      <c r="Y73" s="131">
        <v>0</v>
      </c>
      <c r="Z73" s="131">
        <v>0</v>
      </c>
      <c r="AA73" s="131">
        <v>0</v>
      </c>
      <c r="AB73" s="131"/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  <c r="AM73" s="122" t="s">
        <v>740</v>
      </c>
    </row>
    <row r="74" spans="2:39" ht="15.5">
      <c r="B74" s="128" t="s">
        <v>817</v>
      </c>
      <c r="C74" s="127">
        <v>4017807</v>
      </c>
      <c r="D74" s="132" t="s">
        <v>868</v>
      </c>
      <c r="E74" s="118" t="s">
        <v>869</v>
      </c>
      <c r="F74" s="129">
        <v>219</v>
      </c>
      <c r="G74" s="129">
        <v>219</v>
      </c>
      <c r="H74" s="129">
        <v>219</v>
      </c>
      <c r="I74" s="129">
        <v>219</v>
      </c>
      <c r="J74" s="120">
        <v>149</v>
      </c>
      <c r="K74" s="120">
        <v>149</v>
      </c>
      <c r="L74" s="129">
        <v>149</v>
      </c>
      <c r="M74" s="130">
        <v>149</v>
      </c>
      <c r="N74" s="130">
        <v>149</v>
      </c>
      <c r="O74" s="129">
        <v>149</v>
      </c>
      <c r="P74" s="129">
        <v>149</v>
      </c>
      <c r="Q74" s="120">
        <v>149</v>
      </c>
      <c r="R74" s="130">
        <v>149</v>
      </c>
      <c r="S74" s="130">
        <v>149</v>
      </c>
      <c r="T74" s="130">
        <v>149</v>
      </c>
      <c r="U74" s="130">
        <v>149</v>
      </c>
      <c r="V74" s="130">
        <v>149</v>
      </c>
      <c r="W74" s="130">
        <v>149</v>
      </c>
      <c r="X74" s="130">
        <v>149</v>
      </c>
      <c r="Y74" s="133">
        <v>149</v>
      </c>
      <c r="Z74" s="133">
        <v>149</v>
      </c>
      <c r="AA74" s="130">
        <v>149</v>
      </c>
      <c r="AB74" s="130">
        <v>149</v>
      </c>
      <c r="AC74" s="130">
        <v>149</v>
      </c>
      <c r="AD74" s="130">
        <v>149</v>
      </c>
      <c r="AE74" s="130">
        <v>149</v>
      </c>
      <c r="AF74" s="130">
        <v>149</v>
      </c>
      <c r="AG74" s="130">
        <v>149</v>
      </c>
      <c r="AH74" s="130">
        <v>149</v>
      </c>
      <c r="AI74" s="130">
        <v>149</v>
      </c>
      <c r="AJ74" s="130">
        <v>149</v>
      </c>
      <c r="AK74" s="130">
        <v>149</v>
      </c>
      <c r="AL74" s="130">
        <v>149</v>
      </c>
      <c r="AM74" s="122" t="s">
        <v>740</v>
      </c>
    </row>
    <row r="75" spans="2:39" ht="15.5">
      <c r="B75" s="126" t="s">
        <v>744</v>
      </c>
      <c r="C75" s="127">
        <v>4016014</v>
      </c>
      <c r="D75" s="128" t="s">
        <v>870</v>
      </c>
      <c r="E75" s="118" t="s">
        <v>871</v>
      </c>
      <c r="F75" s="129">
        <v>399</v>
      </c>
      <c r="G75" s="129">
        <v>399</v>
      </c>
      <c r="H75" s="130">
        <v>399</v>
      </c>
      <c r="I75" s="130">
        <v>399</v>
      </c>
      <c r="J75" s="120">
        <v>349</v>
      </c>
      <c r="K75" s="120">
        <v>349</v>
      </c>
      <c r="L75" s="120">
        <v>349</v>
      </c>
      <c r="M75" s="131">
        <v>349</v>
      </c>
      <c r="N75" s="131">
        <v>349</v>
      </c>
      <c r="O75" s="120">
        <v>299</v>
      </c>
      <c r="P75" s="120">
        <v>299</v>
      </c>
      <c r="Q75" s="120">
        <v>249</v>
      </c>
      <c r="R75" s="131">
        <v>299</v>
      </c>
      <c r="S75" s="131">
        <v>249</v>
      </c>
      <c r="T75" s="131">
        <v>249</v>
      </c>
      <c r="U75" s="131">
        <v>249</v>
      </c>
      <c r="V75" s="131">
        <v>249</v>
      </c>
      <c r="W75" s="131">
        <v>249</v>
      </c>
      <c r="X75" s="131">
        <v>249</v>
      </c>
      <c r="Y75" s="131">
        <v>249</v>
      </c>
      <c r="Z75" s="131">
        <v>249</v>
      </c>
      <c r="AA75" s="131">
        <v>249</v>
      </c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22" t="s">
        <v>740</v>
      </c>
    </row>
    <row r="76" spans="2:39" ht="15.5">
      <c r="B76" s="128" t="s">
        <v>817</v>
      </c>
      <c r="C76" s="127">
        <v>4017808</v>
      </c>
      <c r="D76" s="132" t="s">
        <v>872</v>
      </c>
      <c r="E76" s="118" t="s">
        <v>873</v>
      </c>
      <c r="F76" s="129">
        <v>399</v>
      </c>
      <c r="G76" s="129">
        <v>399</v>
      </c>
      <c r="H76" s="129">
        <v>399</v>
      </c>
      <c r="I76" s="129">
        <v>399</v>
      </c>
      <c r="J76" s="130">
        <v>349</v>
      </c>
      <c r="K76" s="130">
        <v>349</v>
      </c>
      <c r="L76" s="129">
        <v>349</v>
      </c>
      <c r="M76" s="130">
        <v>349</v>
      </c>
      <c r="N76" s="130">
        <v>349</v>
      </c>
      <c r="O76" s="129">
        <v>299</v>
      </c>
      <c r="P76" s="129">
        <v>249</v>
      </c>
      <c r="Q76" s="130">
        <v>249</v>
      </c>
      <c r="R76" s="129">
        <v>299</v>
      </c>
      <c r="S76" s="129">
        <v>249</v>
      </c>
      <c r="T76" s="130">
        <v>249</v>
      </c>
      <c r="U76" s="130">
        <v>249</v>
      </c>
      <c r="V76" s="130">
        <v>249</v>
      </c>
      <c r="W76" s="130">
        <v>249</v>
      </c>
      <c r="X76" s="130">
        <v>249</v>
      </c>
      <c r="Y76" s="133">
        <v>249</v>
      </c>
      <c r="Z76" s="133">
        <v>249</v>
      </c>
      <c r="AA76" s="130">
        <v>249</v>
      </c>
      <c r="AB76" s="130"/>
      <c r="AC76" s="130"/>
      <c r="AD76" s="130"/>
      <c r="AE76" s="130"/>
      <c r="AF76" s="130"/>
      <c r="AG76" s="130"/>
      <c r="AH76" s="130"/>
      <c r="AI76" s="130"/>
      <c r="AJ76" s="130"/>
      <c r="AK76" s="130"/>
      <c r="AL76" s="130"/>
      <c r="AM76" s="122" t="s">
        <v>740</v>
      </c>
    </row>
    <row r="77" spans="2:39" ht="15.5">
      <c r="B77" s="126" t="s">
        <v>741</v>
      </c>
      <c r="C77" s="127">
        <v>4016400</v>
      </c>
      <c r="D77" s="142" t="s">
        <v>874</v>
      </c>
      <c r="E77" s="118" t="s">
        <v>875</v>
      </c>
      <c r="F77" s="129">
        <v>299</v>
      </c>
      <c r="G77" s="129">
        <v>299</v>
      </c>
      <c r="H77" s="130">
        <v>299</v>
      </c>
      <c r="I77" s="130">
        <v>299</v>
      </c>
      <c r="J77" s="120">
        <v>249</v>
      </c>
      <c r="K77" s="120">
        <v>249</v>
      </c>
      <c r="L77" s="120">
        <v>249</v>
      </c>
      <c r="M77" s="125">
        <v>249</v>
      </c>
      <c r="N77" s="125">
        <v>249</v>
      </c>
      <c r="O77" s="120">
        <v>199</v>
      </c>
      <c r="P77" s="120">
        <v>199</v>
      </c>
      <c r="Q77" s="120">
        <v>199</v>
      </c>
      <c r="R77" s="125">
        <v>199</v>
      </c>
      <c r="S77" s="125">
        <v>199</v>
      </c>
      <c r="T77" s="125">
        <v>199</v>
      </c>
      <c r="U77" s="125">
        <v>199</v>
      </c>
      <c r="V77" s="125">
        <v>199</v>
      </c>
      <c r="W77" s="125">
        <v>199</v>
      </c>
      <c r="X77" s="125">
        <v>199</v>
      </c>
      <c r="Y77" s="125">
        <v>199</v>
      </c>
      <c r="Z77" s="125">
        <v>199</v>
      </c>
      <c r="AA77" s="125">
        <v>199</v>
      </c>
      <c r="AB77" s="125"/>
      <c r="AC77" s="125"/>
      <c r="AD77" s="125"/>
      <c r="AE77" s="125"/>
      <c r="AF77" s="125"/>
      <c r="AG77" s="125"/>
      <c r="AH77" s="125"/>
      <c r="AI77" s="125"/>
      <c r="AJ77" s="125"/>
      <c r="AK77" s="125"/>
      <c r="AL77" s="125"/>
      <c r="AM77" s="122" t="s">
        <v>740</v>
      </c>
    </row>
    <row r="78" spans="2:39" ht="15.5">
      <c r="B78" s="128" t="s">
        <v>741</v>
      </c>
      <c r="C78" s="127">
        <v>4016502</v>
      </c>
      <c r="D78" s="132" t="s">
        <v>876</v>
      </c>
      <c r="E78" s="118" t="s">
        <v>877</v>
      </c>
      <c r="F78" s="129">
        <v>599</v>
      </c>
      <c r="G78" s="129">
        <v>599</v>
      </c>
      <c r="H78" s="130">
        <v>599</v>
      </c>
      <c r="I78" s="130">
        <v>599</v>
      </c>
      <c r="J78" s="120">
        <v>549</v>
      </c>
      <c r="K78" s="120">
        <v>549</v>
      </c>
      <c r="L78" s="120">
        <v>549</v>
      </c>
      <c r="M78" s="120">
        <v>549</v>
      </c>
      <c r="N78" s="120">
        <v>549</v>
      </c>
      <c r="O78" s="120">
        <v>499</v>
      </c>
      <c r="P78" s="120">
        <v>399</v>
      </c>
      <c r="Q78" s="120">
        <v>349</v>
      </c>
      <c r="R78" s="120">
        <v>499</v>
      </c>
      <c r="S78" s="120">
        <v>399</v>
      </c>
      <c r="T78" s="120">
        <v>349</v>
      </c>
      <c r="U78" s="120">
        <v>349</v>
      </c>
      <c r="V78" s="120">
        <v>349</v>
      </c>
      <c r="W78" s="120">
        <v>349</v>
      </c>
      <c r="X78" s="120">
        <v>349</v>
      </c>
      <c r="Y78" s="121">
        <v>349</v>
      </c>
      <c r="Z78" s="121">
        <v>349</v>
      </c>
      <c r="AA78" s="120">
        <v>349</v>
      </c>
      <c r="AB78" s="120"/>
      <c r="AC78" s="120"/>
      <c r="AD78" s="120"/>
      <c r="AE78" s="120"/>
      <c r="AF78" s="120"/>
      <c r="AG78" s="120"/>
      <c r="AH78" s="120"/>
      <c r="AI78" s="120"/>
      <c r="AJ78" s="120"/>
      <c r="AK78" s="120"/>
      <c r="AL78" s="120"/>
      <c r="AM78" s="122" t="s">
        <v>740</v>
      </c>
    </row>
    <row r="79" spans="2:39" ht="15.5">
      <c r="B79" s="126" t="s">
        <v>878</v>
      </c>
      <c r="C79" s="138">
        <v>4015538</v>
      </c>
      <c r="D79" s="128" t="s">
        <v>879</v>
      </c>
      <c r="E79" s="118" t="s">
        <v>880</v>
      </c>
      <c r="F79" s="129">
        <v>699</v>
      </c>
      <c r="G79" s="129">
        <v>699</v>
      </c>
      <c r="H79" s="130">
        <v>699</v>
      </c>
      <c r="I79" s="130">
        <v>699</v>
      </c>
      <c r="J79" s="120">
        <v>649</v>
      </c>
      <c r="K79" s="120">
        <v>649</v>
      </c>
      <c r="L79" s="120">
        <v>649</v>
      </c>
      <c r="M79" s="131">
        <v>649</v>
      </c>
      <c r="N79" s="131">
        <v>649</v>
      </c>
      <c r="O79" s="120">
        <v>599</v>
      </c>
      <c r="P79" s="120">
        <v>599</v>
      </c>
      <c r="Q79" s="120">
        <v>399</v>
      </c>
      <c r="R79" s="131">
        <v>599</v>
      </c>
      <c r="S79" s="131">
        <v>499</v>
      </c>
      <c r="T79" s="131">
        <v>399</v>
      </c>
      <c r="U79" s="131">
        <v>399</v>
      </c>
      <c r="V79" s="131">
        <v>399</v>
      </c>
      <c r="W79" s="131">
        <v>399</v>
      </c>
      <c r="X79" s="131">
        <v>399</v>
      </c>
      <c r="Y79" s="131">
        <v>399</v>
      </c>
      <c r="Z79" s="131">
        <v>399</v>
      </c>
      <c r="AA79" s="131">
        <v>399</v>
      </c>
      <c r="AB79" s="131"/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  <c r="AM79" s="122" t="s">
        <v>740</v>
      </c>
    </row>
    <row r="80" spans="2:39" ht="15.5">
      <c r="B80" s="126" t="s">
        <v>878</v>
      </c>
      <c r="C80" s="127">
        <v>4016434</v>
      </c>
      <c r="D80" s="132" t="s">
        <v>881</v>
      </c>
      <c r="E80" s="118" t="s">
        <v>882</v>
      </c>
      <c r="F80" s="129">
        <v>699</v>
      </c>
      <c r="G80" s="129">
        <v>699</v>
      </c>
      <c r="H80" s="130">
        <v>699</v>
      </c>
      <c r="I80" s="130">
        <v>699</v>
      </c>
      <c r="J80" s="120">
        <v>649</v>
      </c>
      <c r="K80" s="120">
        <v>649</v>
      </c>
      <c r="L80" s="120">
        <v>649</v>
      </c>
      <c r="M80" s="131">
        <v>649</v>
      </c>
      <c r="N80" s="131">
        <v>649</v>
      </c>
      <c r="O80" s="120">
        <v>599</v>
      </c>
      <c r="P80" s="120">
        <v>599</v>
      </c>
      <c r="Q80" s="120">
        <v>399</v>
      </c>
      <c r="R80" s="131">
        <v>599</v>
      </c>
      <c r="S80" s="131">
        <v>499</v>
      </c>
      <c r="T80" s="131">
        <v>399</v>
      </c>
      <c r="U80" s="131">
        <v>399</v>
      </c>
      <c r="V80" s="131">
        <v>399</v>
      </c>
      <c r="W80" s="131">
        <v>399</v>
      </c>
      <c r="X80" s="131">
        <v>399</v>
      </c>
      <c r="Y80" s="131">
        <v>399</v>
      </c>
      <c r="Z80" s="131">
        <v>399</v>
      </c>
      <c r="AA80" s="131">
        <v>399</v>
      </c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22" t="s">
        <v>740</v>
      </c>
    </row>
    <row r="81" spans="2:40" ht="15.5">
      <c r="B81" s="126" t="s">
        <v>883</v>
      </c>
      <c r="C81" s="127">
        <v>4018205</v>
      </c>
      <c r="D81" s="132" t="s">
        <v>884</v>
      </c>
      <c r="E81" s="118" t="s">
        <v>885</v>
      </c>
      <c r="F81" s="129">
        <v>299</v>
      </c>
      <c r="G81" s="129">
        <v>299</v>
      </c>
      <c r="H81" s="130"/>
      <c r="I81" s="130"/>
      <c r="J81" s="120"/>
      <c r="K81" s="120"/>
      <c r="L81" s="120"/>
      <c r="M81" s="131"/>
      <c r="N81" s="131"/>
      <c r="O81" s="120"/>
      <c r="P81" s="120"/>
      <c r="Q81" s="120"/>
      <c r="R81" s="131"/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22" t="s">
        <v>740</v>
      </c>
    </row>
    <row r="82" spans="2:40" ht="15.5">
      <c r="B82" s="128" t="s">
        <v>810</v>
      </c>
      <c r="C82" s="127">
        <v>4018208</v>
      </c>
      <c r="D82" s="132" t="s">
        <v>886</v>
      </c>
      <c r="E82" s="132" t="s">
        <v>887</v>
      </c>
      <c r="F82" s="129">
        <v>399</v>
      </c>
      <c r="G82" s="129">
        <v>399</v>
      </c>
      <c r="H82" s="130"/>
      <c r="I82" s="130"/>
      <c r="J82" s="120"/>
      <c r="K82" s="120"/>
      <c r="L82" s="120"/>
      <c r="M82" s="131"/>
      <c r="N82" s="131"/>
      <c r="O82" s="120"/>
      <c r="P82" s="120"/>
      <c r="Q82" s="120"/>
      <c r="R82" s="131"/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31"/>
      <c r="AH82" s="131"/>
      <c r="AI82" s="131"/>
      <c r="AJ82" s="131"/>
      <c r="AK82" s="131"/>
      <c r="AL82" s="131"/>
      <c r="AM82" s="122" t="s">
        <v>740</v>
      </c>
    </row>
    <row r="83" spans="2:40" ht="15.5">
      <c r="B83" s="126" t="s">
        <v>737</v>
      </c>
      <c r="C83" s="138">
        <v>4014960</v>
      </c>
      <c r="D83" s="128" t="s">
        <v>888</v>
      </c>
      <c r="E83" s="118" t="s">
        <v>889</v>
      </c>
      <c r="F83" s="129">
        <v>299</v>
      </c>
      <c r="G83" s="129">
        <v>299</v>
      </c>
      <c r="H83" s="130"/>
      <c r="I83" s="130"/>
      <c r="J83" s="120"/>
      <c r="K83" s="120"/>
      <c r="L83" s="120"/>
      <c r="M83" s="131"/>
      <c r="N83" s="131"/>
      <c r="O83" s="120"/>
      <c r="P83" s="120"/>
      <c r="Q83" s="120"/>
      <c r="R83" s="131"/>
      <c r="S83" s="131"/>
      <c r="T83" s="131"/>
      <c r="U83" s="131"/>
      <c r="V83" s="131"/>
      <c r="W83" s="131"/>
      <c r="X83" s="131"/>
      <c r="Y83" s="131"/>
      <c r="Z83" s="131"/>
      <c r="AA83" s="131"/>
      <c r="AB83" s="131">
        <v>289</v>
      </c>
      <c r="AC83" s="131">
        <v>289</v>
      </c>
      <c r="AD83" s="131">
        <v>289</v>
      </c>
      <c r="AE83" s="131">
        <v>289</v>
      </c>
      <c r="AF83" s="131">
        <v>289</v>
      </c>
      <c r="AG83" s="131">
        <v>289</v>
      </c>
      <c r="AH83" s="131">
        <v>289</v>
      </c>
      <c r="AI83" s="131">
        <v>289</v>
      </c>
      <c r="AJ83" s="131">
        <v>289</v>
      </c>
      <c r="AK83" s="131">
        <v>289</v>
      </c>
      <c r="AL83" s="131">
        <v>289</v>
      </c>
      <c r="AM83" s="122" t="s">
        <v>740</v>
      </c>
    </row>
    <row r="84" spans="2:40" ht="15.5">
      <c r="B84" s="128" t="s">
        <v>741</v>
      </c>
      <c r="C84" s="127">
        <v>4015580</v>
      </c>
      <c r="D84" s="132" t="s">
        <v>890</v>
      </c>
      <c r="E84" s="118" t="s">
        <v>891</v>
      </c>
      <c r="F84" s="129">
        <v>2499</v>
      </c>
      <c r="G84" s="129">
        <v>2499</v>
      </c>
      <c r="H84" s="130">
        <v>2499</v>
      </c>
      <c r="I84" s="130">
        <v>2499</v>
      </c>
      <c r="J84" s="120">
        <v>2449</v>
      </c>
      <c r="K84" s="120">
        <v>2449</v>
      </c>
      <c r="L84" s="120">
        <v>2449</v>
      </c>
      <c r="M84" s="130">
        <v>2449</v>
      </c>
      <c r="N84" s="130">
        <v>2449</v>
      </c>
      <c r="O84" s="120">
        <v>2399</v>
      </c>
      <c r="P84" s="120">
        <v>2399</v>
      </c>
      <c r="Q84" s="120">
        <v>2099</v>
      </c>
      <c r="R84" s="130">
        <v>2399</v>
      </c>
      <c r="S84" s="130">
        <v>2299</v>
      </c>
      <c r="T84" s="130">
        <v>2099</v>
      </c>
      <c r="U84" s="130">
        <v>2099</v>
      </c>
      <c r="V84" s="130">
        <v>2099</v>
      </c>
      <c r="W84" s="130">
        <v>2099</v>
      </c>
      <c r="X84" s="130">
        <v>1999</v>
      </c>
      <c r="Y84" s="133">
        <v>1699</v>
      </c>
      <c r="Z84" s="133">
        <v>1699</v>
      </c>
      <c r="AA84" s="130">
        <v>1649</v>
      </c>
      <c r="AB84" s="130"/>
      <c r="AC84" s="130"/>
      <c r="AD84" s="130"/>
      <c r="AE84" s="130"/>
      <c r="AF84" s="130"/>
      <c r="AG84" s="130"/>
      <c r="AH84" s="130"/>
      <c r="AI84" s="130"/>
      <c r="AJ84" s="130"/>
      <c r="AK84" s="130"/>
      <c r="AL84" s="130"/>
      <c r="AM84" s="122" t="s">
        <v>740</v>
      </c>
    </row>
    <row r="85" spans="2:40" ht="15.5">
      <c r="B85" s="126" t="s">
        <v>810</v>
      </c>
      <c r="C85" s="127">
        <v>4016307</v>
      </c>
      <c r="D85" s="132" t="s">
        <v>892</v>
      </c>
      <c r="E85" s="118" t="s">
        <v>893</v>
      </c>
      <c r="F85" s="129">
        <v>699</v>
      </c>
      <c r="G85" s="129">
        <v>699</v>
      </c>
      <c r="H85" s="129">
        <v>699</v>
      </c>
      <c r="I85" s="129">
        <v>699</v>
      </c>
      <c r="J85" s="120">
        <v>649</v>
      </c>
      <c r="K85" s="120">
        <v>649</v>
      </c>
      <c r="L85" s="120">
        <v>649</v>
      </c>
      <c r="M85" s="130">
        <v>649</v>
      </c>
      <c r="N85" s="130">
        <v>649</v>
      </c>
      <c r="O85" s="120">
        <v>599</v>
      </c>
      <c r="P85" s="120">
        <v>599</v>
      </c>
      <c r="Q85" s="120">
        <v>399</v>
      </c>
      <c r="R85" s="131">
        <v>599</v>
      </c>
      <c r="S85" s="131">
        <v>499</v>
      </c>
      <c r="T85" s="131">
        <v>399</v>
      </c>
      <c r="U85" s="131">
        <v>399</v>
      </c>
      <c r="V85" s="131">
        <v>399</v>
      </c>
      <c r="W85" s="131">
        <v>399</v>
      </c>
      <c r="X85" s="131">
        <v>399</v>
      </c>
      <c r="Y85" s="131">
        <v>399</v>
      </c>
      <c r="Z85" s="131">
        <v>399</v>
      </c>
      <c r="AA85" s="131">
        <v>399</v>
      </c>
      <c r="AB85" s="133"/>
      <c r="AC85" s="133"/>
      <c r="AD85" s="133"/>
      <c r="AE85" s="133"/>
      <c r="AF85" s="133"/>
      <c r="AG85" s="133"/>
      <c r="AH85" s="133"/>
      <c r="AI85" s="133"/>
      <c r="AJ85" s="133"/>
      <c r="AK85" s="133"/>
      <c r="AL85" s="133"/>
      <c r="AM85" s="122" t="s">
        <v>740</v>
      </c>
    </row>
    <row r="86" spans="2:40" ht="15.5">
      <c r="B86" s="126" t="s">
        <v>810</v>
      </c>
      <c r="C86" s="138">
        <v>4016308</v>
      </c>
      <c r="D86" s="128" t="s">
        <v>892</v>
      </c>
      <c r="E86" s="118" t="s">
        <v>894</v>
      </c>
      <c r="F86" s="129">
        <v>699</v>
      </c>
      <c r="G86" s="129">
        <v>699</v>
      </c>
      <c r="H86" s="130">
        <v>699</v>
      </c>
      <c r="I86" s="130">
        <v>699</v>
      </c>
      <c r="J86" s="120">
        <v>649</v>
      </c>
      <c r="K86" s="120">
        <v>649</v>
      </c>
      <c r="L86" s="120">
        <v>649</v>
      </c>
      <c r="M86" s="131">
        <v>649</v>
      </c>
      <c r="N86" s="131">
        <v>649</v>
      </c>
      <c r="O86" s="120">
        <v>599</v>
      </c>
      <c r="P86" s="120">
        <v>599</v>
      </c>
      <c r="Q86" s="120">
        <v>399</v>
      </c>
      <c r="R86" s="131">
        <v>599</v>
      </c>
      <c r="S86" s="131">
        <v>499</v>
      </c>
      <c r="T86" s="131">
        <v>399</v>
      </c>
      <c r="U86" s="131">
        <v>399</v>
      </c>
      <c r="V86" s="131">
        <v>399</v>
      </c>
      <c r="W86" s="131">
        <v>399</v>
      </c>
      <c r="X86" s="131">
        <v>399</v>
      </c>
      <c r="Y86" s="131">
        <v>399</v>
      </c>
      <c r="Z86" s="131">
        <v>399</v>
      </c>
      <c r="AA86" s="131">
        <v>399</v>
      </c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22" t="s">
        <v>740</v>
      </c>
    </row>
    <row r="87" spans="2:40" ht="15.5">
      <c r="B87" s="126" t="s">
        <v>756</v>
      </c>
      <c r="C87" s="127">
        <v>4016180</v>
      </c>
      <c r="D87" s="128" t="s">
        <v>895</v>
      </c>
      <c r="E87" s="118" t="s">
        <v>896</v>
      </c>
      <c r="F87" s="129">
        <v>999</v>
      </c>
      <c r="G87" s="129">
        <v>999</v>
      </c>
      <c r="H87" s="130">
        <v>999</v>
      </c>
      <c r="I87" s="130">
        <v>999</v>
      </c>
      <c r="J87" s="130">
        <v>949</v>
      </c>
      <c r="K87" s="130">
        <v>949</v>
      </c>
      <c r="L87" s="130">
        <v>949</v>
      </c>
      <c r="M87" s="131">
        <v>949</v>
      </c>
      <c r="N87" s="131">
        <v>949</v>
      </c>
      <c r="O87" s="130">
        <v>899</v>
      </c>
      <c r="P87" s="130">
        <v>799</v>
      </c>
      <c r="Q87" s="120">
        <v>599</v>
      </c>
      <c r="R87" s="131">
        <v>899</v>
      </c>
      <c r="S87" s="131">
        <v>799</v>
      </c>
      <c r="T87" s="130">
        <v>599</v>
      </c>
      <c r="U87" s="131">
        <v>599</v>
      </c>
      <c r="V87" s="131">
        <v>599</v>
      </c>
      <c r="W87" s="131">
        <v>599</v>
      </c>
      <c r="X87" s="131">
        <v>549</v>
      </c>
      <c r="Y87" s="131">
        <v>549</v>
      </c>
      <c r="Z87" s="131">
        <v>549</v>
      </c>
      <c r="AA87" s="131">
        <v>549</v>
      </c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22" t="s">
        <v>740</v>
      </c>
    </row>
    <row r="88" spans="2:40" ht="15.5">
      <c r="B88" s="128" t="s">
        <v>796</v>
      </c>
      <c r="C88" s="127">
        <v>4017353</v>
      </c>
      <c r="D88" s="132" t="s">
        <v>897</v>
      </c>
      <c r="E88" s="118" t="s">
        <v>898</v>
      </c>
      <c r="F88" s="136">
        <v>4599</v>
      </c>
      <c r="G88" s="136">
        <v>2999</v>
      </c>
      <c r="H88" s="136">
        <v>4599</v>
      </c>
      <c r="I88" s="136">
        <v>4599</v>
      </c>
      <c r="J88" s="136">
        <v>4549</v>
      </c>
      <c r="K88" s="136">
        <v>4549</v>
      </c>
      <c r="L88" s="136">
        <v>4549</v>
      </c>
      <c r="M88" s="136">
        <v>4549</v>
      </c>
      <c r="N88" s="136">
        <v>4549</v>
      </c>
      <c r="O88" s="136">
        <v>4499</v>
      </c>
      <c r="P88" s="136">
        <v>4399</v>
      </c>
      <c r="Q88" s="137">
        <v>4199</v>
      </c>
      <c r="R88" s="136">
        <v>4499</v>
      </c>
      <c r="S88" s="136">
        <v>4399</v>
      </c>
      <c r="T88" s="136">
        <v>4199</v>
      </c>
      <c r="U88" s="136">
        <v>4199</v>
      </c>
      <c r="V88" s="136">
        <v>4199</v>
      </c>
      <c r="W88" s="136">
        <v>4199</v>
      </c>
      <c r="X88" s="136">
        <v>4099</v>
      </c>
      <c r="Y88" s="136">
        <v>3599</v>
      </c>
      <c r="Z88" s="136">
        <v>3599</v>
      </c>
      <c r="AA88" s="136">
        <v>3599</v>
      </c>
      <c r="AB88" s="136">
        <v>4549</v>
      </c>
      <c r="AC88" s="136">
        <v>4549</v>
      </c>
      <c r="AD88" s="136">
        <v>4549</v>
      </c>
      <c r="AE88" s="136">
        <v>4499</v>
      </c>
      <c r="AF88" s="136">
        <v>4499</v>
      </c>
      <c r="AG88" s="136">
        <v>4499</v>
      </c>
      <c r="AH88" s="136">
        <v>4499</v>
      </c>
      <c r="AI88" s="136">
        <v>4199</v>
      </c>
      <c r="AJ88" s="136">
        <v>4199</v>
      </c>
      <c r="AK88" s="136">
        <v>4199</v>
      </c>
      <c r="AL88" s="136">
        <v>3599</v>
      </c>
      <c r="AM88" s="122" t="s">
        <v>740</v>
      </c>
    </row>
    <row r="89" spans="2:40" ht="15.5">
      <c r="B89" s="128" t="s">
        <v>741</v>
      </c>
      <c r="C89" s="127">
        <v>4016511</v>
      </c>
      <c r="D89" s="132" t="s">
        <v>899</v>
      </c>
      <c r="E89" s="118" t="s">
        <v>900</v>
      </c>
      <c r="F89" s="136">
        <v>4599</v>
      </c>
      <c r="G89" s="136">
        <v>2999</v>
      </c>
      <c r="H89" s="136">
        <v>4599</v>
      </c>
      <c r="I89" s="136">
        <v>4599</v>
      </c>
      <c r="J89" s="136">
        <v>4549</v>
      </c>
      <c r="K89" s="136">
        <v>4549</v>
      </c>
      <c r="L89" s="136">
        <v>4549</v>
      </c>
      <c r="M89" s="136">
        <v>4549</v>
      </c>
      <c r="N89" s="136">
        <v>4549</v>
      </c>
      <c r="O89" s="136">
        <v>4499</v>
      </c>
      <c r="P89" s="136">
        <v>4399</v>
      </c>
      <c r="Q89" s="136">
        <v>4199</v>
      </c>
      <c r="R89" s="136">
        <v>4499</v>
      </c>
      <c r="S89" s="136">
        <v>4399</v>
      </c>
      <c r="T89" s="136">
        <v>4199</v>
      </c>
      <c r="U89" s="136">
        <v>4199</v>
      </c>
      <c r="V89" s="136">
        <v>4199</v>
      </c>
      <c r="W89" s="136">
        <v>4199</v>
      </c>
      <c r="X89" s="136">
        <v>4099</v>
      </c>
      <c r="Y89" s="136">
        <v>3599</v>
      </c>
      <c r="Z89" s="136">
        <v>3599</v>
      </c>
      <c r="AA89" s="136">
        <v>3599</v>
      </c>
      <c r="AB89" s="136">
        <v>4549</v>
      </c>
      <c r="AC89" s="136">
        <v>4549</v>
      </c>
      <c r="AD89" s="136">
        <v>4549</v>
      </c>
      <c r="AE89" s="136">
        <v>4499</v>
      </c>
      <c r="AF89" s="136">
        <v>4499</v>
      </c>
      <c r="AG89" s="136">
        <v>4499</v>
      </c>
      <c r="AH89" s="136">
        <v>4499</v>
      </c>
      <c r="AI89" s="136">
        <v>4199</v>
      </c>
      <c r="AJ89" s="136">
        <v>4199</v>
      </c>
      <c r="AK89" s="136">
        <v>4199</v>
      </c>
      <c r="AL89" s="136">
        <v>3599</v>
      </c>
      <c r="AM89" s="122" t="s">
        <v>740</v>
      </c>
    </row>
    <row r="90" spans="2:40" ht="15.5">
      <c r="B90" s="128" t="s">
        <v>741</v>
      </c>
      <c r="C90" s="127">
        <v>4016960</v>
      </c>
      <c r="D90" s="132" t="s">
        <v>901</v>
      </c>
      <c r="E90" s="118" t="s">
        <v>902</v>
      </c>
      <c r="F90" s="136">
        <v>4599</v>
      </c>
      <c r="G90" s="136">
        <v>2999</v>
      </c>
      <c r="H90" s="136">
        <v>4599</v>
      </c>
      <c r="I90" s="136">
        <v>4599</v>
      </c>
      <c r="J90" s="136">
        <v>4549</v>
      </c>
      <c r="K90" s="136">
        <v>4549</v>
      </c>
      <c r="L90" s="136">
        <v>4549</v>
      </c>
      <c r="M90" s="136">
        <v>4549</v>
      </c>
      <c r="N90" s="136">
        <v>4549</v>
      </c>
      <c r="O90" s="136">
        <v>4499</v>
      </c>
      <c r="P90" s="136">
        <v>4399</v>
      </c>
      <c r="Q90" s="136">
        <v>4199</v>
      </c>
      <c r="R90" s="136">
        <v>4499</v>
      </c>
      <c r="S90" s="136">
        <v>4399</v>
      </c>
      <c r="T90" s="136">
        <v>4199</v>
      </c>
      <c r="U90" s="136">
        <v>4199</v>
      </c>
      <c r="V90" s="136">
        <v>4199</v>
      </c>
      <c r="W90" s="136">
        <v>4199</v>
      </c>
      <c r="X90" s="136">
        <v>4099</v>
      </c>
      <c r="Y90" s="136">
        <v>3599</v>
      </c>
      <c r="Z90" s="136">
        <v>3599</v>
      </c>
      <c r="AA90" s="136">
        <v>3599</v>
      </c>
      <c r="AB90" s="136">
        <v>4549</v>
      </c>
      <c r="AC90" s="136">
        <v>4549</v>
      </c>
      <c r="AD90" s="136">
        <v>4549</v>
      </c>
      <c r="AE90" s="136">
        <v>4499</v>
      </c>
      <c r="AF90" s="136">
        <v>4499</v>
      </c>
      <c r="AG90" s="136">
        <v>4499</v>
      </c>
      <c r="AH90" s="136">
        <v>4499</v>
      </c>
      <c r="AI90" s="136">
        <v>4199</v>
      </c>
      <c r="AJ90" s="136">
        <v>4199</v>
      </c>
      <c r="AK90" s="136">
        <v>4199</v>
      </c>
      <c r="AL90" s="136">
        <v>3599</v>
      </c>
      <c r="AM90" s="122" t="s">
        <v>740</v>
      </c>
    </row>
    <row r="91" spans="2:40" ht="15.5">
      <c r="B91" s="128" t="s">
        <v>741</v>
      </c>
      <c r="C91" s="127">
        <v>4017129</v>
      </c>
      <c r="D91" s="132" t="s">
        <v>903</v>
      </c>
      <c r="E91" s="118" t="s">
        <v>904</v>
      </c>
      <c r="F91" s="136">
        <v>4599</v>
      </c>
      <c r="G91" s="136">
        <v>2999</v>
      </c>
      <c r="H91" s="136">
        <v>4599</v>
      </c>
      <c r="I91" s="136">
        <v>4599</v>
      </c>
      <c r="J91" s="136">
        <v>4549</v>
      </c>
      <c r="K91" s="136">
        <v>4549</v>
      </c>
      <c r="L91" s="136">
        <v>4549</v>
      </c>
      <c r="M91" s="136">
        <v>4549</v>
      </c>
      <c r="N91" s="136">
        <v>4549</v>
      </c>
      <c r="O91" s="136">
        <v>4499</v>
      </c>
      <c r="P91" s="136">
        <v>4399</v>
      </c>
      <c r="Q91" s="136">
        <v>4199</v>
      </c>
      <c r="R91" s="136">
        <v>4499</v>
      </c>
      <c r="S91" s="136">
        <v>4399</v>
      </c>
      <c r="T91" s="136">
        <v>4199</v>
      </c>
      <c r="U91" s="136">
        <v>4199</v>
      </c>
      <c r="V91" s="136">
        <v>4199</v>
      </c>
      <c r="W91" s="136">
        <v>4199</v>
      </c>
      <c r="X91" s="136">
        <v>4099</v>
      </c>
      <c r="Y91" s="136">
        <v>3599</v>
      </c>
      <c r="Z91" s="136">
        <v>3599</v>
      </c>
      <c r="AA91" s="136">
        <v>3599</v>
      </c>
      <c r="AB91" s="136">
        <v>4549</v>
      </c>
      <c r="AC91" s="136">
        <v>4549</v>
      </c>
      <c r="AD91" s="136">
        <v>4549</v>
      </c>
      <c r="AE91" s="136">
        <v>4499</v>
      </c>
      <c r="AF91" s="136">
        <v>4499</v>
      </c>
      <c r="AG91" s="136">
        <v>4499</v>
      </c>
      <c r="AH91" s="136">
        <v>4499</v>
      </c>
      <c r="AI91" s="136">
        <v>4199</v>
      </c>
      <c r="AJ91" s="136">
        <v>4199</v>
      </c>
      <c r="AK91" s="136">
        <v>4199</v>
      </c>
      <c r="AL91" s="136">
        <v>3599</v>
      </c>
      <c r="AM91" s="122" t="s">
        <v>740</v>
      </c>
    </row>
    <row r="92" spans="2:40" ht="15.5">
      <c r="B92" s="128" t="s">
        <v>741</v>
      </c>
      <c r="C92" s="127">
        <v>4016309</v>
      </c>
      <c r="D92" s="132" t="s">
        <v>905</v>
      </c>
      <c r="E92" s="118" t="s">
        <v>906</v>
      </c>
      <c r="F92" s="136">
        <v>5099</v>
      </c>
      <c r="G92" s="136">
        <v>3999</v>
      </c>
      <c r="H92" s="136">
        <v>5099</v>
      </c>
      <c r="I92" s="136">
        <v>5099</v>
      </c>
      <c r="J92" s="137">
        <v>5049</v>
      </c>
      <c r="K92" s="137">
        <v>5049</v>
      </c>
      <c r="L92" s="137">
        <v>5049</v>
      </c>
      <c r="M92" s="136">
        <v>5049</v>
      </c>
      <c r="N92" s="136">
        <v>5049</v>
      </c>
      <c r="O92" s="137">
        <v>4999</v>
      </c>
      <c r="P92" s="137">
        <v>4899</v>
      </c>
      <c r="Q92" s="137">
        <v>4699</v>
      </c>
      <c r="R92" s="136">
        <v>4999</v>
      </c>
      <c r="S92" s="136">
        <v>4899</v>
      </c>
      <c r="T92" s="136">
        <v>4699</v>
      </c>
      <c r="U92" s="136">
        <v>4699</v>
      </c>
      <c r="V92" s="136">
        <v>4699</v>
      </c>
      <c r="W92" s="136">
        <v>4699</v>
      </c>
      <c r="X92" s="136">
        <v>4599</v>
      </c>
      <c r="Y92" s="136">
        <v>3999</v>
      </c>
      <c r="Z92" s="136">
        <v>3999</v>
      </c>
      <c r="AA92" s="136">
        <v>3999</v>
      </c>
      <c r="AB92" s="136">
        <v>5049</v>
      </c>
      <c r="AC92" s="136">
        <v>5049</v>
      </c>
      <c r="AD92" s="136">
        <v>5049</v>
      </c>
      <c r="AE92" s="136">
        <v>4999</v>
      </c>
      <c r="AF92" s="136">
        <v>4999</v>
      </c>
      <c r="AG92" s="136">
        <v>4999</v>
      </c>
      <c r="AH92" s="136">
        <v>4999</v>
      </c>
      <c r="AI92" s="136">
        <v>4699</v>
      </c>
      <c r="AJ92" s="136">
        <v>4699</v>
      </c>
      <c r="AK92" s="136">
        <v>4699</v>
      </c>
      <c r="AL92" s="136">
        <v>3999</v>
      </c>
      <c r="AM92" s="122" t="s">
        <v>740</v>
      </c>
    </row>
    <row r="93" spans="2:40" ht="15.5">
      <c r="B93" s="128" t="s">
        <v>796</v>
      </c>
      <c r="C93" s="127">
        <v>4016958</v>
      </c>
      <c r="D93" s="132" t="s">
        <v>907</v>
      </c>
      <c r="E93" s="118" t="s">
        <v>908</v>
      </c>
      <c r="F93" s="136">
        <v>5099</v>
      </c>
      <c r="G93" s="136">
        <v>3999</v>
      </c>
      <c r="H93" s="136">
        <v>5099</v>
      </c>
      <c r="I93" s="136">
        <v>5099</v>
      </c>
      <c r="J93" s="137">
        <v>5049</v>
      </c>
      <c r="K93" s="137">
        <v>5049</v>
      </c>
      <c r="L93" s="137">
        <v>5049</v>
      </c>
      <c r="M93" s="136">
        <v>5049</v>
      </c>
      <c r="N93" s="136">
        <v>5049</v>
      </c>
      <c r="O93" s="137">
        <v>4999</v>
      </c>
      <c r="P93" s="137">
        <v>4899</v>
      </c>
      <c r="Q93" s="137">
        <v>4699</v>
      </c>
      <c r="R93" s="136">
        <v>4999</v>
      </c>
      <c r="S93" s="136">
        <v>4899</v>
      </c>
      <c r="T93" s="136">
        <v>4699</v>
      </c>
      <c r="U93" s="136">
        <v>4699</v>
      </c>
      <c r="V93" s="136">
        <v>4699</v>
      </c>
      <c r="W93" s="136">
        <v>4699</v>
      </c>
      <c r="X93" s="136">
        <v>4599</v>
      </c>
      <c r="Y93" s="136">
        <v>3999</v>
      </c>
      <c r="Z93" s="136">
        <v>3999</v>
      </c>
      <c r="AA93" s="136">
        <v>3999</v>
      </c>
      <c r="AB93" s="136">
        <v>5049</v>
      </c>
      <c r="AC93" s="136">
        <v>5049</v>
      </c>
      <c r="AD93" s="136">
        <v>5049</v>
      </c>
      <c r="AE93" s="136">
        <v>4999</v>
      </c>
      <c r="AF93" s="136">
        <v>4999</v>
      </c>
      <c r="AG93" s="136">
        <v>4999</v>
      </c>
      <c r="AH93" s="136">
        <v>4999</v>
      </c>
      <c r="AI93" s="136">
        <v>4699</v>
      </c>
      <c r="AJ93" s="136">
        <v>4699</v>
      </c>
      <c r="AK93" s="136">
        <v>4699</v>
      </c>
      <c r="AL93" s="136">
        <v>3999</v>
      </c>
      <c r="AM93" s="122" t="s">
        <v>740</v>
      </c>
    </row>
    <row r="94" spans="2:40" ht="15.5">
      <c r="B94" s="128" t="s">
        <v>741</v>
      </c>
      <c r="C94" s="127">
        <v>4017128</v>
      </c>
      <c r="D94" s="132" t="s">
        <v>909</v>
      </c>
      <c r="E94" s="118" t="s">
        <v>910</v>
      </c>
      <c r="F94" s="136">
        <v>5099</v>
      </c>
      <c r="G94" s="136">
        <v>3999</v>
      </c>
      <c r="H94" s="136">
        <v>5099</v>
      </c>
      <c r="I94" s="136">
        <v>5099</v>
      </c>
      <c r="J94" s="137">
        <v>5049</v>
      </c>
      <c r="K94" s="137">
        <v>5049</v>
      </c>
      <c r="L94" s="137">
        <v>5049</v>
      </c>
      <c r="M94" s="136">
        <v>5049</v>
      </c>
      <c r="N94" s="136">
        <v>5049</v>
      </c>
      <c r="O94" s="137">
        <v>4999</v>
      </c>
      <c r="P94" s="137">
        <v>4899</v>
      </c>
      <c r="Q94" s="137">
        <v>4699</v>
      </c>
      <c r="R94" s="136">
        <v>4999</v>
      </c>
      <c r="S94" s="136">
        <v>4899</v>
      </c>
      <c r="T94" s="136">
        <v>4699</v>
      </c>
      <c r="U94" s="136">
        <v>4699</v>
      </c>
      <c r="V94" s="136">
        <v>4699</v>
      </c>
      <c r="W94" s="136">
        <v>4699</v>
      </c>
      <c r="X94" s="136">
        <v>4599</v>
      </c>
      <c r="Y94" s="136">
        <v>3999</v>
      </c>
      <c r="Z94" s="136">
        <v>3999</v>
      </c>
      <c r="AA94" s="136">
        <v>3999</v>
      </c>
      <c r="AB94" s="136">
        <v>5049</v>
      </c>
      <c r="AC94" s="136">
        <v>5049</v>
      </c>
      <c r="AD94" s="136">
        <v>5049</v>
      </c>
      <c r="AE94" s="136">
        <v>4999</v>
      </c>
      <c r="AF94" s="136">
        <v>4999</v>
      </c>
      <c r="AG94" s="136">
        <v>4999</v>
      </c>
      <c r="AH94" s="136">
        <v>4999</v>
      </c>
      <c r="AI94" s="136">
        <v>4699</v>
      </c>
      <c r="AJ94" s="136">
        <v>4699</v>
      </c>
      <c r="AK94" s="136">
        <v>4699</v>
      </c>
      <c r="AL94" s="136">
        <v>3999</v>
      </c>
      <c r="AM94" s="122" t="s">
        <v>740</v>
      </c>
      <c r="AN94" s="143"/>
    </row>
    <row r="95" spans="2:40" ht="15.5">
      <c r="B95" s="128" t="s">
        <v>796</v>
      </c>
      <c r="C95" s="127">
        <v>4017326</v>
      </c>
      <c r="D95" s="132" t="s">
        <v>911</v>
      </c>
      <c r="E95" s="118" t="s">
        <v>912</v>
      </c>
      <c r="F95" s="136">
        <v>5099</v>
      </c>
      <c r="G95" s="136">
        <v>3999</v>
      </c>
      <c r="H95" s="136">
        <v>5099</v>
      </c>
      <c r="I95" s="136">
        <v>5099</v>
      </c>
      <c r="J95" s="137">
        <v>5049</v>
      </c>
      <c r="K95" s="137">
        <v>5049</v>
      </c>
      <c r="L95" s="137">
        <v>5049</v>
      </c>
      <c r="M95" s="136">
        <v>5049</v>
      </c>
      <c r="N95" s="136">
        <v>5049</v>
      </c>
      <c r="O95" s="137">
        <v>4999</v>
      </c>
      <c r="P95" s="137">
        <v>4899</v>
      </c>
      <c r="Q95" s="137">
        <v>4699</v>
      </c>
      <c r="R95" s="136">
        <v>4999</v>
      </c>
      <c r="S95" s="136">
        <v>4899</v>
      </c>
      <c r="T95" s="136">
        <v>4699</v>
      </c>
      <c r="U95" s="136">
        <v>4699</v>
      </c>
      <c r="V95" s="136">
        <v>4699</v>
      </c>
      <c r="W95" s="136">
        <v>4699</v>
      </c>
      <c r="X95" s="136">
        <v>4599</v>
      </c>
      <c r="Y95" s="136">
        <v>3999</v>
      </c>
      <c r="Z95" s="136">
        <v>3999</v>
      </c>
      <c r="AA95" s="136">
        <v>3999</v>
      </c>
      <c r="AB95" s="136">
        <v>5049</v>
      </c>
      <c r="AC95" s="136">
        <v>5049</v>
      </c>
      <c r="AD95" s="136">
        <v>5049</v>
      </c>
      <c r="AE95" s="136">
        <v>4999</v>
      </c>
      <c r="AF95" s="136">
        <v>4999</v>
      </c>
      <c r="AG95" s="136">
        <v>4999</v>
      </c>
      <c r="AH95" s="136">
        <v>4999</v>
      </c>
      <c r="AI95" s="136">
        <v>4699</v>
      </c>
      <c r="AJ95" s="136">
        <v>4699</v>
      </c>
      <c r="AK95" s="136">
        <v>4699</v>
      </c>
      <c r="AL95" s="136">
        <v>3999</v>
      </c>
      <c r="AM95" s="122" t="s">
        <v>740</v>
      </c>
      <c r="AN95" s="143"/>
    </row>
    <row r="96" spans="2:40" ht="15.5">
      <c r="B96" s="126" t="s">
        <v>737</v>
      </c>
      <c r="C96" s="127">
        <v>4016298</v>
      </c>
      <c r="D96" s="128" t="s">
        <v>913</v>
      </c>
      <c r="E96" s="118" t="s">
        <v>913</v>
      </c>
      <c r="F96" s="129">
        <v>649</v>
      </c>
      <c r="G96" s="129">
        <v>649</v>
      </c>
      <c r="H96" s="130">
        <v>649</v>
      </c>
      <c r="I96" s="130">
        <v>649</v>
      </c>
      <c r="J96" s="120">
        <v>599</v>
      </c>
      <c r="K96" s="120">
        <v>599</v>
      </c>
      <c r="L96" s="120">
        <v>599</v>
      </c>
      <c r="M96" s="131">
        <v>599</v>
      </c>
      <c r="N96" s="131">
        <v>599</v>
      </c>
      <c r="O96" s="120">
        <v>549</v>
      </c>
      <c r="P96" s="120">
        <v>449</v>
      </c>
      <c r="Q96" s="120">
        <v>349</v>
      </c>
      <c r="R96" s="131">
        <v>549</v>
      </c>
      <c r="S96" s="131">
        <v>449</v>
      </c>
      <c r="T96" s="131">
        <v>349</v>
      </c>
      <c r="U96" s="131">
        <v>349</v>
      </c>
      <c r="V96" s="131">
        <v>349</v>
      </c>
      <c r="W96" s="131">
        <v>349</v>
      </c>
      <c r="X96" s="131">
        <v>349</v>
      </c>
      <c r="Y96" s="131">
        <v>349</v>
      </c>
      <c r="Z96" s="131">
        <v>349</v>
      </c>
      <c r="AA96" s="131">
        <v>349</v>
      </c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22" t="s">
        <v>740</v>
      </c>
      <c r="AN96" s="143"/>
    </row>
    <row r="97" spans="2:40" ht="15.5">
      <c r="B97" s="126" t="s">
        <v>810</v>
      </c>
      <c r="C97" s="127">
        <v>4015924</v>
      </c>
      <c r="D97" s="128" t="s">
        <v>914</v>
      </c>
      <c r="E97" s="118" t="s">
        <v>915</v>
      </c>
      <c r="F97" s="129">
        <v>299</v>
      </c>
      <c r="G97" s="129">
        <v>399</v>
      </c>
      <c r="H97" s="130">
        <v>299</v>
      </c>
      <c r="I97" s="130">
        <v>299</v>
      </c>
      <c r="J97" s="120">
        <v>249</v>
      </c>
      <c r="K97" s="120">
        <v>249</v>
      </c>
      <c r="L97" s="120">
        <v>249</v>
      </c>
      <c r="M97" s="131">
        <v>249</v>
      </c>
      <c r="N97" s="131">
        <v>249</v>
      </c>
      <c r="O97" s="120">
        <v>199</v>
      </c>
      <c r="P97" s="120">
        <v>199</v>
      </c>
      <c r="Q97" s="120">
        <v>199</v>
      </c>
      <c r="R97" s="131">
        <v>199</v>
      </c>
      <c r="S97" s="131">
        <v>199</v>
      </c>
      <c r="T97" s="131">
        <v>199</v>
      </c>
      <c r="U97" s="131">
        <v>199</v>
      </c>
      <c r="V97" s="131">
        <v>199</v>
      </c>
      <c r="W97" s="131">
        <v>199</v>
      </c>
      <c r="X97" s="131">
        <v>199</v>
      </c>
      <c r="Y97" s="131">
        <v>199</v>
      </c>
      <c r="Z97" s="131">
        <v>199</v>
      </c>
      <c r="AA97" s="131">
        <v>199</v>
      </c>
      <c r="AB97" s="131">
        <v>249</v>
      </c>
      <c r="AC97" s="131">
        <v>249</v>
      </c>
      <c r="AD97" s="131">
        <v>249</v>
      </c>
      <c r="AE97" s="131">
        <v>199</v>
      </c>
      <c r="AF97" s="131">
        <v>199</v>
      </c>
      <c r="AG97" s="131">
        <v>199</v>
      </c>
      <c r="AH97" s="131">
        <v>199</v>
      </c>
      <c r="AI97" s="131">
        <v>199</v>
      </c>
      <c r="AJ97" s="131">
        <v>199</v>
      </c>
      <c r="AK97" s="131">
        <v>199</v>
      </c>
      <c r="AL97" s="131">
        <v>199</v>
      </c>
      <c r="AM97" s="122" t="s">
        <v>740</v>
      </c>
      <c r="AN97" s="143"/>
    </row>
    <row r="98" spans="2:40" ht="15.5">
      <c r="B98" s="126" t="s">
        <v>810</v>
      </c>
      <c r="C98" s="127">
        <v>4015922</v>
      </c>
      <c r="D98" s="128" t="s">
        <v>914</v>
      </c>
      <c r="E98" s="118" t="s">
        <v>916</v>
      </c>
      <c r="F98" s="129">
        <v>299</v>
      </c>
      <c r="G98" s="129">
        <v>399</v>
      </c>
      <c r="H98" s="130">
        <v>299</v>
      </c>
      <c r="I98" s="130">
        <v>299</v>
      </c>
      <c r="J98" s="120">
        <v>249</v>
      </c>
      <c r="K98" s="120">
        <v>249</v>
      </c>
      <c r="L98" s="120">
        <v>249</v>
      </c>
      <c r="M98" s="125">
        <v>249</v>
      </c>
      <c r="N98" s="125">
        <v>249</v>
      </c>
      <c r="O98" s="120">
        <v>199</v>
      </c>
      <c r="P98" s="120">
        <v>199</v>
      </c>
      <c r="Q98" s="120">
        <v>199</v>
      </c>
      <c r="R98" s="131">
        <v>199</v>
      </c>
      <c r="S98" s="131">
        <v>199</v>
      </c>
      <c r="T98" s="131">
        <v>199</v>
      </c>
      <c r="U98" s="131">
        <v>199</v>
      </c>
      <c r="V98" s="131">
        <v>199</v>
      </c>
      <c r="W98" s="131">
        <v>199</v>
      </c>
      <c r="X98" s="131">
        <v>199</v>
      </c>
      <c r="Y98" s="131">
        <v>199</v>
      </c>
      <c r="Z98" s="131">
        <v>199</v>
      </c>
      <c r="AA98" s="131">
        <v>199</v>
      </c>
      <c r="AB98" s="131">
        <v>249</v>
      </c>
      <c r="AC98" s="131">
        <v>249</v>
      </c>
      <c r="AD98" s="131">
        <v>249</v>
      </c>
      <c r="AE98" s="131">
        <v>199</v>
      </c>
      <c r="AF98" s="131">
        <v>199</v>
      </c>
      <c r="AG98" s="131">
        <v>199</v>
      </c>
      <c r="AH98" s="131">
        <v>199</v>
      </c>
      <c r="AI98" s="131">
        <v>199</v>
      </c>
      <c r="AJ98" s="131">
        <v>199</v>
      </c>
      <c r="AK98" s="131">
        <v>199</v>
      </c>
      <c r="AL98" s="131">
        <v>199</v>
      </c>
      <c r="AM98" s="122" t="s">
        <v>740</v>
      </c>
      <c r="AN98" s="143"/>
    </row>
    <row r="99" spans="2:40" ht="15.5">
      <c r="B99" s="126" t="s">
        <v>810</v>
      </c>
      <c r="C99" s="127">
        <v>4017419</v>
      </c>
      <c r="D99" s="128" t="s">
        <v>917</v>
      </c>
      <c r="E99" s="118" t="s">
        <v>918</v>
      </c>
      <c r="F99" s="129">
        <v>299</v>
      </c>
      <c r="G99" s="129">
        <v>399</v>
      </c>
      <c r="H99" s="130">
        <v>299</v>
      </c>
      <c r="I99" s="130">
        <v>299</v>
      </c>
      <c r="J99" s="120">
        <v>249</v>
      </c>
      <c r="K99" s="120">
        <v>249</v>
      </c>
      <c r="L99" s="120">
        <v>249</v>
      </c>
      <c r="M99" s="131">
        <v>249</v>
      </c>
      <c r="N99" s="131">
        <v>249</v>
      </c>
      <c r="O99" s="120">
        <v>199</v>
      </c>
      <c r="P99" s="120">
        <v>199</v>
      </c>
      <c r="Q99" s="120">
        <v>199</v>
      </c>
      <c r="R99" s="131">
        <v>199</v>
      </c>
      <c r="S99" s="131">
        <v>199</v>
      </c>
      <c r="T99" s="131">
        <v>199</v>
      </c>
      <c r="U99" s="131">
        <v>199</v>
      </c>
      <c r="V99" s="131">
        <v>199</v>
      </c>
      <c r="W99" s="131">
        <v>199</v>
      </c>
      <c r="X99" s="131">
        <v>199</v>
      </c>
      <c r="Y99" s="131">
        <v>199</v>
      </c>
      <c r="Z99" s="131">
        <v>199</v>
      </c>
      <c r="AA99" s="131">
        <v>199</v>
      </c>
      <c r="AB99" s="131">
        <v>249</v>
      </c>
      <c r="AC99" s="131">
        <v>249</v>
      </c>
      <c r="AD99" s="131">
        <v>249</v>
      </c>
      <c r="AE99" s="131">
        <v>199</v>
      </c>
      <c r="AF99" s="131">
        <v>199</v>
      </c>
      <c r="AG99" s="131">
        <v>199</v>
      </c>
      <c r="AH99" s="131">
        <v>199</v>
      </c>
      <c r="AI99" s="131">
        <v>199</v>
      </c>
      <c r="AJ99" s="131">
        <v>199</v>
      </c>
      <c r="AK99" s="131">
        <v>199</v>
      </c>
      <c r="AL99" s="131">
        <v>199</v>
      </c>
      <c r="AM99" s="122" t="s">
        <v>740</v>
      </c>
    </row>
    <row r="100" spans="2:40" ht="15.5">
      <c r="B100" s="126" t="s">
        <v>810</v>
      </c>
      <c r="C100" s="127">
        <v>4017414</v>
      </c>
      <c r="D100" s="128" t="s">
        <v>917</v>
      </c>
      <c r="E100" s="118" t="s">
        <v>919</v>
      </c>
      <c r="F100" s="129">
        <v>299</v>
      </c>
      <c r="G100" s="129">
        <v>399</v>
      </c>
      <c r="H100" s="130">
        <v>299</v>
      </c>
      <c r="I100" s="130">
        <v>299</v>
      </c>
      <c r="J100" s="120">
        <v>249</v>
      </c>
      <c r="K100" s="120">
        <v>249</v>
      </c>
      <c r="L100" s="120">
        <v>249</v>
      </c>
      <c r="M100" s="131">
        <v>249</v>
      </c>
      <c r="N100" s="131">
        <v>249</v>
      </c>
      <c r="O100" s="120">
        <v>199</v>
      </c>
      <c r="P100" s="120">
        <v>199</v>
      </c>
      <c r="Q100" s="120">
        <v>199</v>
      </c>
      <c r="R100" s="131">
        <v>199</v>
      </c>
      <c r="S100" s="131">
        <v>199</v>
      </c>
      <c r="T100" s="131">
        <v>199</v>
      </c>
      <c r="U100" s="131">
        <v>199</v>
      </c>
      <c r="V100" s="131">
        <v>199</v>
      </c>
      <c r="W100" s="131">
        <v>199</v>
      </c>
      <c r="X100" s="131">
        <v>199</v>
      </c>
      <c r="Y100" s="131">
        <v>199</v>
      </c>
      <c r="Z100" s="131">
        <v>199</v>
      </c>
      <c r="AA100" s="131">
        <v>199</v>
      </c>
      <c r="AB100" s="131">
        <v>249</v>
      </c>
      <c r="AC100" s="131">
        <v>249</v>
      </c>
      <c r="AD100" s="131">
        <v>249</v>
      </c>
      <c r="AE100" s="131">
        <v>199</v>
      </c>
      <c r="AF100" s="131">
        <v>199</v>
      </c>
      <c r="AG100" s="131">
        <v>199</v>
      </c>
      <c r="AH100" s="131">
        <v>199</v>
      </c>
      <c r="AI100" s="131">
        <v>199</v>
      </c>
      <c r="AJ100" s="131">
        <v>199</v>
      </c>
      <c r="AK100" s="131">
        <v>199</v>
      </c>
      <c r="AL100" s="131">
        <v>199</v>
      </c>
      <c r="AM100" s="122" t="s">
        <v>740</v>
      </c>
    </row>
    <row r="101" spans="2:40" ht="15.5">
      <c r="B101" s="126" t="s">
        <v>810</v>
      </c>
      <c r="C101" s="138">
        <v>4015728</v>
      </c>
      <c r="D101" s="128" t="s">
        <v>920</v>
      </c>
      <c r="E101" s="118" t="s">
        <v>921</v>
      </c>
      <c r="F101" s="129">
        <v>199</v>
      </c>
      <c r="G101" s="129">
        <v>199</v>
      </c>
      <c r="H101" s="130"/>
      <c r="I101" s="130"/>
      <c r="J101" s="120"/>
      <c r="K101" s="120"/>
      <c r="L101" s="120"/>
      <c r="M101" s="131"/>
      <c r="N101" s="131"/>
      <c r="O101" s="125"/>
      <c r="P101" s="120"/>
      <c r="Q101" s="120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1"/>
      <c r="AM101" s="122" t="s">
        <v>740</v>
      </c>
    </row>
    <row r="102" spans="2:40" ht="15.5">
      <c r="B102" s="126" t="s">
        <v>810</v>
      </c>
      <c r="C102" s="138">
        <v>4015883</v>
      </c>
      <c r="D102" s="128" t="s">
        <v>920</v>
      </c>
      <c r="E102" s="118" t="s">
        <v>922</v>
      </c>
      <c r="F102" s="129">
        <v>199</v>
      </c>
      <c r="G102" s="129">
        <v>199</v>
      </c>
      <c r="H102" s="130"/>
      <c r="I102" s="130"/>
      <c r="J102" s="120"/>
      <c r="K102" s="120"/>
      <c r="L102" s="120"/>
      <c r="M102" s="131"/>
      <c r="N102" s="131"/>
      <c r="O102" s="125"/>
      <c r="P102" s="120"/>
      <c r="Q102" s="120"/>
      <c r="R102" s="131"/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1"/>
      <c r="AG102" s="131"/>
      <c r="AH102" s="131"/>
      <c r="AI102" s="131"/>
      <c r="AJ102" s="131"/>
      <c r="AK102" s="131"/>
      <c r="AL102" s="131"/>
      <c r="AM102" s="122" t="s">
        <v>740</v>
      </c>
    </row>
    <row r="103" spans="2:40" ht="15.5">
      <c r="B103" s="128" t="s">
        <v>810</v>
      </c>
      <c r="C103" s="127">
        <v>4015882</v>
      </c>
      <c r="D103" s="132" t="s">
        <v>920</v>
      </c>
      <c r="E103" s="118" t="s">
        <v>923</v>
      </c>
      <c r="F103" s="129">
        <v>199</v>
      </c>
      <c r="G103" s="129">
        <v>199</v>
      </c>
      <c r="H103" s="130"/>
      <c r="I103" s="130"/>
      <c r="J103" s="120"/>
      <c r="K103" s="120"/>
      <c r="L103" s="120"/>
      <c r="M103" s="130"/>
      <c r="N103" s="130"/>
      <c r="O103" s="120"/>
      <c r="P103" s="120"/>
      <c r="Q103" s="120"/>
      <c r="R103" s="130"/>
      <c r="S103" s="130"/>
      <c r="T103" s="130"/>
      <c r="U103" s="130"/>
      <c r="V103" s="130"/>
      <c r="W103" s="130"/>
      <c r="X103" s="130"/>
      <c r="Y103" s="133"/>
      <c r="Z103" s="133"/>
      <c r="AA103" s="130"/>
      <c r="AB103" s="130"/>
      <c r="AC103" s="130"/>
      <c r="AD103" s="130"/>
      <c r="AE103" s="130"/>
      <c r="AF103" s="130"/>
      <c r="AG103" s="130"/>
      <c r="AH103" s="130"/>
      <c r="AI103" s="130"/>
      <c r="AJ103" s="130"/>
      <c r="AK103" s="130"/>
      <c r="AL103" s="130"/>
      <c r="AM103" s="122" t="s">
        <v>740</v>
      </c>
    </row>
    <row r="104" spans="2:40" ht="15.5">
      <c r="B104" s="128" t="s">
        <v>810</v>
      </c>
      <c r="C104" s="127">
        <v>4016401</v>
      </c>
      <c r="D104" s="132" t="s">
        <v>924</v>
      </c>
      <c r="E104" s="118" t="s">
        <v>925</v>
      </c>
      <c r="F104" s="129">
        <v>799</v>
      </c>
      <c r="G104" s="129">
        <v>799</v>
      </c>
      <c r="H104" s="129">
        <v>799</v>
      </c>
      <c r="I104" s="130">
        <v>799</v>
      </c>
      <c r="J104" s="130">
        <v>749</v>
      </c>
      <c r="K104" s="130">
        <v>749</v>
      </c>
      <c r="L104" s="130">
        <v>749</v>
      </c>
      <c r="M104" s="130">
        <v>749</v>
      </c>
      <c r="N104" s="130">
        <v>749</v>
      </c>
      <c r="O104" s="130">
        <v>699</v>
      </c>
      <c r="P104" s="120">
        <v>599</v>
      </c>
      <c r="Q104" s="120">
        <v>449</v>
      </c>
      <c r="R104" s="130">
        <v>699</v>
      </c>
      <c r="S104" s="130">
        <v>599</v>
      </c>
      <c r="T104" s="130">
        <v>449</v>
      </c>
      <c r="U104" s="130">
        <v>449</v>
      </c>
      <c r="V104" s="130">
        <v>449</v>
      </c>
      <c r="W104" s="130">
        <v>449</v>
      </c>
      <c r="X104" s="130">
        <v>449</v>
      </c>
      <c r="Y104" s="130">
        <v>449</v>
      </c>
      <c r="Z104" s="130">
        <v>449</v>
      </c>
      <c r="AA104" s="130">
        <v>449</v>
      </c>
      <c r="AB104" s="130"/>
      <c r="AC104" s="130"/>
      <c r="AD104" s="130"/>
      <c r="AE104" s="130"/>
      <c r="AF104" s="130"/>
      <c r="AG104" s="130"/>
      <c r="AH104" s="130"/>
      <c r="AI104" s="130"/>
      <c r="AJ104" s="130"/>
      <c r="AK104" s="130"/>
      <c r="AL104" s="130"/>
      <c r="AM104" s="122" t="s">
        <v>740</v>
      </c>
    </row>
    <row r="105" spans="2:40" ht="15.5">
      <c r="B105" s="128" t="s">
        <v>810</v>
      </c>
      <c r="C105" s="127">
        <v>4016405</v>
      </c>
      <c r="D105" s="132" t="s">
        <v>924</v>
      </c>
      <c r="E105" s="118" t="s">
        <v>926</v>
      </c>
      <c r="F105" s="129">
        <v>799</v>
      </c>
      <c r="G105" s="129">
        <v>799</v>
      </c>
      <c r="H105" s="129">
        <v>799</v>
      </c>
      <c r="I105" s="130">
        <v>799</v>
      </c>
      <c r="J105" s="120">
        <v>749</v>
      </c>
      <c r="K105" s="120">
        <v>749</v>
      </c>
      <c r="L105" s="120">
        <v>749</v>
      </c>
      <c r="M105" s="130">
        <v>749</v>
      </c>
      <c r="N105" s="130">
        <v>749</v>
      </c>
      <c r="O105" s="120">
        <v>699</v>
      </c>
      <c r="P105" s="120">
        <v>599</v>
      </c>
      <c r="Q105" s="120">
        <v>449</v>
      </c>
      <c r="R105" s="130">
        <v>699</v>
      </c>
      <c r="S105" s="130">
        <v>599</v>
      </c>
      <c r="T105" s="130">
        <v>449</v>
      </c>
      <c r="U105" s="130">
        <v>449</v>
      </c>
      <c r="V105" s="130">
        <v>449</v>
      </c>
      <c r="W105" s="130">
        <v>449</v>
      </c>
      <c r="X105" s="130">
        <v>449</v>
      </c>
      <c r="Y105" s="130">
        <v>449</v>
      </c>
      <c r="Z105" s="130">
        <v>449</v>
      </c>
      <c r="AA105" s="130">
        <v>449</v>
      </c>
      <c r="AB105" s="130"/>
      <c r="AC105" s="130"/>
      <c r="AD105" s="130"/>
      <c r="AE105" s="130"/>
      <c r="AF105" s="130"/>
      <c r="AG105" s="130"/>
      <c r="AH105" s="130"/>
      <c r="AI105" s="130"/>
      <c r="AJ105" s="130"/>
      <c r="AK105" s="130"/>
      <c r="AL105" s="130"/>
      <c r="AM105" s="122" t="s">
        <v>740</v>
      </c>
    </row>
    <row r="106" spans="2:40" ht="15.5">
      <c r="B106" s="128" t="s">
        <v>810</v>
      </c>
      <c r="C106" s="127">
        <v>4016413</v>
      </c>
      <c r="D106" s="132" t="s">
        <v>927</v>
      </c>
      <c r="E106" s="132" t="s">
        <v>928</v>
      </c>
      <c r="F106" s="129">
        <v>799</v>
      </c>
      <c r="G106" s="129">
        <v>799</v>
      </c>
      <c r="H106" s="129">
        <v>799</v>
      </c>
      <c r="I106" s="129">
        <v>799</v>
      </c>
      <c r="J106" s="120">
        <v>749</v>
      </c>
      <c r="K106" s="120">
        <v>749</v>
      </c>
      <c r="L106" s="120">
        <v>749</v>
      </c>
      <c r="M106" s="130">
        <v>749</v>
      </c>
      <c r="N106" s="130">
        <v>749</v>
      </c>
      <c r="O106" s="120">
        <v>699</v>
      </c>
      <c r="P106" s="120">
        <v>599</v>
      </c>
      <c r="Q106" s="120">
        <v>449</v>
      </c>
      <c r="R106" s="130">
        <v>699</v>
      </c>
      <c r="S106" s="130">
        <v>599</v>
      </c>
      <c r="T106" s="130">
        <v>449</v>
      </c>
      <c r="U106" s="130">
        <v>449</v>
      </c>
      <c r="V106" s="130">
        <v>449</v>
      </c>
      <c r="W106" s="130">
        <v>449</v>
      </c>
      <c r="X106" s="130">
        <v>449</v>
      </c>
      <c r="Y106" s="130">
        <v>449</v>
      </c>
      <c r="Z106" s="130">
        <v>449</v>
      </c>
      <c r="AA106" s="130">
        <v>449</v>
      </c>
      <c r="AB106" s="130"/>
      <c r="AC106" s="130"/>
      <c r="AD106" s="130"/>
      <c r="AE106" s="130"/>
      <c r="AF106" s="130"/>
      <c r="AG106" s="130"/>
      <c r="AH106" s="130"/>
      <c r="AI106" s="130"/>
      <c r="AJ106" s="130"/>
      <c r="AK106" s="130"/>
      <c r="AL106" s="130"/>
      <c r="AM106" s="122" t="s">
        <v>740</v>
      </c>
    </row>
    <row r="107" spans="2:40" ht="15.5">
      <c r="B107" s="128" t="s">
        <v>810</v>
      </c>
      <c r="C107" s="127">
        <v>4016414</v>
      </c>
      <c r="D107" s="132" t="s">
        <v>927</v>
      </c>
      <c r="E107" s="118" t="s">
        <v>929</v>
      </c>
      <c r="F107" s="129">
        <v>799</v>
      </c>
      <c r="G107" s="129">
        <v>799</v>
      </c>
      <c r="H107" s="129">
        <v>799</v>
      </c>
      <c r="I107" s="129">
        <v>799</v>
      </c>
      <c r="J107" s="120">
        <v>749</v>
      </c>
      <c r="K107" s="120">
        <v>749</v>
      </c>
      <c r="L107" s="120">
        <v>749</v>
      </c>
      <c r="M107" s="130">
        <v>749</v>
      </c>
      <c r="N107" s="130">
        <v>749</v>
      </c>
      <c r="O107" s="120">
        <v>699</v>
      </c>
      <c r="P107" s="120">
        <v>599</v>
      </c>
      <c r="Q107" s="120">
        <v>449</v>
      </c>
      <c r="R107" s="130">
        <v>699</v>
      </c>
      <c r="S107" s="130">
        <v>599</v>
      </c>
      <c r="T107" s="130">
        <v>449</v>
      </c>
      <c r="U107" s="130">
        <v>449</v>
      </c>
      <c r="V107" s="130">
        <v>449</v>
      </c>
      <c r="W107" s="130">
        <v>449</v>
      </c>
      <c r="X107" s="130">
        <v>449</v>
      </c>
      <c r="Y107" s="130">
        <v>449</v>
      </c>
      <c r="Z107" s="130">
        <v>449</v>
      </c>
      <c r="AA107" s="130">
        <v>449</v>
      </c>
      <c r="AB107" s="130"/>
      <c r="AC107" s="130"/>
      <c r="AD107" s="130"/>
      <c r="AE107" s="130"/>
      <c r="AF107" s="130"/>
      <c r="AG107" s="130"/>
      <c r="AH107" s="130"/>
      <c r="AI107" s="130"/>
      <c r="AJ107" s="130"/>
      <c r="AK107" s="130"/>
      <c r="AL107" s="130"/>
      <c r="AM107" s="122" t="s">
        <v>740</v>
      </c>
    </row>
    <row r="108" spans="2:40" ht="15.5">
      <c r="B108" s="128" t="s">
        <v>810</v>
      </c>
      <c r="C108" s="127">
        <v>4017227</v>
      </c>
      <c r="D108" s="132" t="s">
        <v>930</v>
      </c>
      <c r="E108" s="118" t="s">
        <v>931</v>
      </c>
      <c r="F108" s="129">
        <v>1499</v>
      </c>
      <c r="G108" s="129">
        <v>1499</v>
      </c>
      <c r="H108" s="129">
        <v>1499</v>
      </c>
      <c r="I108" s="129">
        <v>1499</v>
      </c>
      <c r="J108" s="120">
        <v>1449</v>
      </c>
      <c r="K108" s="120">
        <v>1449</v>
      </c>
      <c r="L108" s="120">
        <v>1449</v>
      </c>
      <c r="M108" s="130">
        <v>1449</v>
      </c>
      <c r="N108" s="130">
        <v>1449</v>
      </c>
      <c r="O108" s="120">
        <v>1399</v>
      </c>
      <c r="P108" s="120">
        <v>1299</v>
      </c>
      <c r="Q108" s="120">
        <v>999</v>
      </c>
      <c r="R108" s="130">
        <v>1399</v>
      </c>
      <c r="S108" s="130">
        <v>1299</v>
      </c>
      <c r="T108" s="130">
        <v>999</v>
      </c>
      <c r="U108" s="130">
        <v>999</v>
      </c>
      <c r="V108" s="130">
        <v>999</v>
      </c>
      <c r="W108" s="130">
        <v>999</v>
      </c>
      <c r="X108" s="130">
        <v>999</v>
      </c>
      <c r="Y108" s="130">
        <v>799</v>
      </c>
      <c r="Z108" s="130">
        <v>799</v>
      </c>
      <c r="AA108" s="130">
        <v>799</v>
      </c>
      <c r="AB108" s="130"/>
      <c r="AC108" s="130"/>
      <c r="AD108" s="130"/>
      <c r="AE108" s="130"/>
      <c r="AF108" s="130"/>
      <c r="AG108" s="130"/>
      <c r="AH108" s="130"/>
      <c r="AI108" s="130"/>
      <c r="AJ108" s="130"/>
      <c r="AK108" s="130"/>
      <c r="AL108" s="130"/>
      <c r="AM108" s="122" t="s">
        <v>740</v>
      </c>
    </row>
    <row r="109" spans="2:40" ht="15.5">
      <c r="B109" s="128" t="s">
        <v>810</v>
      </c>
      <c r="C109" s="127">
        <v>4017223</v>
      </c>
      <c r="D109" s="132" t="s">
        <v>932</v>
      </c>
      <c r="E109" s="118" t="s">
        <v>933</v>
      </c>
      <c r="F109" s="129">
        <v>1699</v>
      </c>
      <c r="G109" s="129">
        <v>1699</v>
      </c>
      <c r="H109" s="129">
        <v>1699</v>
      </c>
      <c r="I109" s="129">
        <v>1699</v>
      </c>
      <c r="J109" s="120">
        <v>1649</v>
      </c>
      <c r="K109" s="120">
        <v>1649</v>
      </c>
      <c r="L109" s="120">
        <v>1649</v>
      </c>
      <c r="M109" s="130">
        <v>1649</v>
      </c>
      <c r="N109" s="130">
        <v>1649</v>
      </c>
      <c r="O109" s="120">
        <v>1599</v>
      </c>
      <c r="P109" s="120">
        <v>1499</v>
      </c>
      <c r="Q109" s="120">
        <v>1299</v>
      </c>
      <c r="R109" s="130">
        <v>1599</v>
      </c>
      <c r="S109" s="130">
        <v>1499</v>
      </c>
      <c r="T109" s="130">
        <v>1299</v>
      </c>
      <c r="U109" s="130">
        <v>1299</v>
      </c>
      <c r="V109" s="130">
        <v>1299</v>
      </c>
      <c r="W109" s="130">
        <v>1299</v>
      </c>
      <c r="X109" s="130">
        <v>1199</v>
      </c>
      <c r="Y109" s="130">
        <v>899</v>
      </c>
      <c r="Z109" s="130">
        <v>899</v>
      </c>
      <c r="AA109" s="130">
        <v>899</v>
      </c>
      <c r="AB109" s="130"/>
      <c r="AC109" s="130"/>
      <c r="AD109" s="130"/>
      <c r="AE109" s="130"/>
      <c r="AF109" s="130"/>
      <c r="AG109" s="130"/>
      <c r="AH109" s="130"/>
      <c r="AI109" s="130"/>
      <c r="AJ109" s="130"/>
      <c r="AK109" s="130"/>
      <c r="AL109" s="130"/>
      <c r="AM109" s="122" t="s">
        <v>740</v>
      </c>
    </row>
    <row r="110" spans="2:40" ht="15.5">
      <c r="B110" s="128" t="s">
        <v>810</v>
      </c>
      <c r="C110" s="127">
        <v>4018151</v>
      </c>
      <c r="D110" s="132" t="s">
        <v>934</v>
      </c>
      <c r="E110" s="118" t="s">
        <v>934</v>
      </c>
      <c r="F110" s="129">
        <v>2199</v>
      </c>
      <c r="G110" s="129">
        <v>1799</v>
      </c>
      <c r="H110" s="129">
        <v>2199</v>
      </c>
      <c r="I110" s="129">
        <v>2199</v>
      </c>
      <c r="J110" s="120">
        <v>2149</v>
      </c>
      <c r="K110" s="120">
        <v>2149</v>
      </c>
      <c r="L110" s="120">
        <v>2149</v>
      </c>
      <c r="M110" s="130">
        <v>2149</v>
      </c>
      <c r="N110" s="130">
        <v>2149</v>
      </c>
      <c r="O110" s="120">
        <v>2099</v>
      </c>
      <c r="P110" s="120">
        <v>2099</v>
      </c>
      <c r="Q110" s="120">
        <v>1999</v>
      </c>
      <c r="R110" s="130">
        <v>2099</v>
      </c>
      <c r="S110" s="130">
        <v>1999</v>
      </c>
      <c r="T110" s="130">
        <v>1799</v>
      </c>
      <c r="U110" s="130">
        <v>1799</v>
      </c>
      <c r="V110" s="130">
        <v>1799</v>
      </c>
      <c r="W110" s="130">
        <v>1799</v>
      </c>
      <c r="X110" s="130">
        <v>1699</v>
      </c>
      <c r="Y110" s="130">
        <v>1399</v>
      </c>
      <c r="Z110" s="130">
        <v>1399</v>
      </c>
      <c r="AA110" s="130">
        <v>1349</v>
      </c>
      <c r="AB110" s="130"/>
      <c r="AC110" s="130"/>
      <c r="AD110" s="130"/>
      <c r="AE110" s="130"/>
      <c r="AF110" s="130"/>
      <c r="AG110" s="130"/>
      <c r="AH110" s="130"/>
      <c r="AI110" s="130"/>
      <c r="AJ110" s="130"/>
      <c r="AK110" s="130"/>
      <c r="AL110" s="130"/>
      <c r="AM110" s="122" t="s">
        <v>740</v>
      </c>
    </row>
    <row r="111" spans="2:40" ht="15.5">
      <c r="B111" s="128" t="s">
        <v>810</v>
      </c>
      <c r="C111" s="127">
        <v>4018129</v>
      </c>
      <c r="D111" s="132" t="s">
        <v>935</v>
      </c>
      <c r="E111" s="118" t="s">
        <v>935</v>
      </c>
      <c r="F111" s="129">
        <v>2399</v>
      </c>
      <c r="G111" s="129">
        <v>1999</v>
      </c>
      <c r="H111" s="129">
        <v>2399</v>
      </c>
      <c r="I111" s="129">
        <v>2399</v>
      </c>
      <c r="J111" s="120">
        <v>2349</v>
      </c>
      <c r="K111" s="120">
        <v>2349</v>
      </c>
      <c r="L111" s="120">
        <v>2349</v>
      </c>
      <c r="M111" s="130">
        <v>2349</v>
      </c>
      <c r="N111" s="130">
        <v>2349</v>
      </c>
      <c r="O111" s="120">
        <v>2299</v>
      </c>
      <c r="P111" s="120">
        <v>2299</v>
      </c>
      <c r="Q111" s="120">
        <v>2199</v>
      </c>
      <c r="R111" s="130">
        <v>2299</v>
      </c>
      <c r="S111" s="130">
        <v>2199</v>
      </c>
      <c r="T111" s="130">
        <v>1999</v>
      </c>
      <c r="U111" s="130">
        <v>1999</v>
      </c>
      <c r="V111" s="130">
        <v>1999</v>
      </c>
      <c r="W111" s="130">
        <v>1999</v>
      </c>
      <c r="X111" s="130">
        <v>1899</v>
      </c>
      <c r="Y111" s="130">
        <v>1599</v>
      </c>
      <c r="Z111" s="130">
        <v>1599</v>
      </c>
      <c r="AA111" s="130">
        <v>1549</v>
      </c>
      <c r="AB111" s="130"/>
      <c r="AC111" s="130"/>
      <c r="AD111" s="130"/>
      <c r="AE111" s="130"/>
      <c r="AF111" s="130"/>
      <c r="AG111" s="130"/>
      <c r="AH111" s="130"/>
      <c r="AI111" s="130"/>
      <c r="AJ111" s="130"/>
      <c r="AK111" s="130"/>
      <c r="AL111" s="130"/>
      <c r="AM111" s="122" t="s">
        <v>740</v>
      </c>
    </row>
    <row r="112" spans="2:40" ht="15.5">
      <c r="B112" s="126" t="s">
        <v>737</v>
      </c>
      <c r="C112" s="127">
        <v>4014008</v>
      </c>
      <c r="D112" s="128" t="s">
        <v>936</v>
      </c>
      <c r="E112" s="118" t="s">
        <v>937</v>
      </c>
      <c r="F112" s="129">
        <v>49</v>
      </c>
      <c r="G112" s="129">
        <v>49</v>
      </c>
      <c r="H112" s="130"/>
      <c r="I112" s="130"/>
      <c r="J112" s="120"/>
      <c r="K112" s="120"/>
      <c r="L112" s="120"/>
      <c r="M112" s="131"/>
      <c r="N112" s="131"/>
      <c r="O112" s="125"/>
      <c r="P112" s="120"/>
      <c r="Q112" s="120"/>
      <c r="R112" s="131"/>
      <c r="S112" s="131"/>
      <c r="T112" s="131"/>
      <c r="U112" s="131"/>
      <c r="V112" s="131"/>
      <c r="W112" s="131"/>
      <c r="X112" s="131"/>
      <c r="Y112" s="131"/>
      <c r="Z112" s="131"/>
      <c r="AA112" s="131"/>
      <c r="AB112" s="131">
        <v>39</v>
      </c>
      <c r="AC112" s="131">
        <v>39</v>
      </c>
      <c r="AD112" s="131">
        <v>39</v>
      </c>
      <c r="AE112" s="131">
        <v>39</v>
      </c>
      <c r="AF112" s="131">
        <v>39</v>
      </c>
      <c r="AG112" s="131">
        <v>39</v>
      </c>
      <c r="AH112" s="131">
        <v>39</v>
      </c>
      <c r="AI112" s="131">
        <v>39</v>
      </c>
      <c r="AJ112" s="131">
        <v>39</v>
      </c>
      <c r="AK112" s="131">
        <v>39</v>
      </c>
      <c r="AL112" s="131">
        <v>39</v>
      </c>
      <c r="AM112" s="122" t="s">
        <v>740</v>
      </c>
    </row>
    <row r="113" spans="2:39" ht="15.5">
      <c r="B113" s="126" t="s">
        <v>737</v>
      </c>
      <c r="C113" s="138">
        <v>4013980</v>
      </c>
      <c r="D113" s="128" t="s">
        <v>938</v>
      </c>
      <c r="E113" s="118" t="s">
        <v>939</v>
      </c>
      <c r="F113" s="129">
        <v>299</v>
      </c>
      <c r="G113" s="129">
        <v>299</v>
      </c>
      <c r="H113" s="130"/>
      <c r="I113" s="130"/>
      <c r="J113" s="120"/>
      <c r="K113" s="120"/>
      <c r="L113" s="120"/>
      <c r="M113" s="131"/>
      <c r="N113" s="131"/>
      <c r="O113" s="120"/>
      <c r="P113" s="120"/>
      <c r="Q113" s="120"/>
      <c r="R113" s="131"/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>
        <v>289</v>
      </c>
      <c r="AC113" s="131">
        <v>289</v>
      </c>
      <c r="AD113" s="131">
        <v>289</v>
      </c>
      <c r="AE113" s="131">
        <v>289</v>
      </c>
      <c r="AF113" s="131">
        <v>289</v>
      </c>
      <c r="AG113" s="131">
        <v>289</v>
      </c>
      <c r="AH113" s="131">
        <v>289</v>
      </c>
      <c r="AI113" s="131">
        <v>289</v>
      </c>
      <c r="AJ113" s="131">
        <v>289</v>
      </c>
      <c r="AK113" s="131">
        <v>289</v>
      </c>
      <c r="AL113" s="131">
        <v>289</v>
      </c>
      <c r="AM113" s="122" t="s">
        <v>740</v>
      </c>
    </row>
    <row r="114" spans="2:39" ht="15.5">
      <c r="B114" s="128" t="s">
        <v>741</v>
      </c>
      <c r="C114" s="127">
        <v>4016356</v>
      </c>
      <c r="D114" s="132" t="s">
        <v>940</v>
      </c>
      <c r="E114" s="118" t="s">
        <v>941</v>
      </c>
      <c r="F114" s="129">
        <v>149</v>
      </c>
      <c r="G114" s="129">
        <v>149</v>
      </c>
      <c r="H114" s="130"/>
      <c r="I114" s="130"/>
      <c r="J114" s="120"/>
      <c r="K114" s="120"/>
      <c r="L114" s="120"/>
      <c r="M114" s="130"/>
      <c r="N114" s="130"/>
      <c r="O114" s="120"/>
      <c r="P114" s="120"/>
      <c r="Q114" s="120"/>
      <c r="R114" s="130"/>
      <c r="S114" s="130"/>
      <c r="T114" s="130"/>
      <c r="U114" s="130"/>
      <c r="V114" s="130"/>
      <c r="W114" s="130"/>
      <c r="X114" s="130"/>
      <c r="Y114" s="133"/>
      <c r="Z114" s="133"/>
      <c r="AA114" s="130"/>
      <c r="AB114" s="130"/>
      <c r="AC114" s="130"/>
      <c r="AD114" s="130"/>
      <c r="AE114" s="130"/>
      <c r="AF114" s="130"/>
      <c r="AG114" s="130"/>
      <c r="AH114" s="130"/>
      <c r="AI114" s="130"/>
      <c r="AJ114" s="130"/>
      <c r="AK114" s="130"/>
      <c r="AL114" s="130"/>
      <c r="AM114" s="122" t="s">
        <v>740</v>
      </c>
    </row>
    <row r="115" spans="2:39" ht="15.5">
      <c r="B115" s="128" t="s">
        <v>810</v>
      </c>
      <c r="C115" s="127">
        <v>4017692</v>
      </c>
      <c r="D115" s="132" t="s">
        <v>942</v>
      </c>
      <c r="E115" s="118" t="s">
        <v>943</v>
      </c>
      <c r="F115" s="129">
        <v>1999</v>
      </c>
      <c r="G115" s="129">
        <v>1999</v>
      </c>
      <c r="H115" s="130">
        <v>1999</v>
      </c>
      <c r="I115" s="130">
        <v>1999</v>
      </c>
      <c r="J115" s="120">
        <v>1949</v>
      </c>
      <c r="K115" s="120">
        <v>1949</v>
      </c>
      <c r="L115" s="120">
        <v>1949</v>
      </c>
      <c r="M115" s="130">
        <v>1949</v>
      </c>
      <c r="N115" s="130">
        <v>1949</v>
      </c>
      <c r="O115" s="120">
        <v>1899</v>
      </c>
      <c r="P115" s="120">
        <v>1799</v>
      </c>
      <c r="Q115" s="120">
        <v>1599</v>
      </c>
      <c r="R115" s="130">
        <v>1899</v>
      </c>
      <c r="S115" s="130">
        <v>1799</v>
      </c>
      <c r="T115" s="130">
        <v>1599</v>
      </c>
      <c r="U115" s="130">
        <v>1599</v>
      </c>
      <c r="V115" s="130">
        <v>1599</v>
      </c>
      <c r="W115" s="130">
        <v>1599</v>
      </c>
      <c r="X115" s="130">
        <v>1499</v>
      </c>
      <c r="Y115" s="133">
        <v>1199</v>
      </c>
      <c r="Z115" s="133">
        <v>1199</v>
      </c>
      <c r="AA115" s="130">
        <v>1149</v>
      </c>
      <c r="AB115" s="130"/>
      <c r="AC115" s="130"/>
      <c r="AD115" s="130"/>
      <c r="AE115" s="130"/>
      <c r="AF115" s="130"/>
      <c r="AG115" s="130"/>
      <c r="AH115" s="130"/>
      <c r="AI115" s="130"/>
      <c r="AJ115" s="130"/>
      <c r="AK115" s="130"/>
      <c r="AL115" s="130"/>
      <c r="AM115" s="122" t="s">
        <v>740</v>
      </c>
    </row>
    <row r="116" spans="2:39" ht="15.5">
      <c r="B116" s="128" t="s">
        <v>810</v>
      </c>
      <c r="C116" s="128">
        <v>4017240</v>
      </c>
      <c r="D116" s="128" t="s">
        <v>944</v>
      </c>
      <c r="E116" s="128" t="s">
        <v>945</v>
      </c>
      <c r="F116" s="129">
        <v>1999</v>
      </c>
      <c r="G116" s="129">
        <v>1999</v>
      </c>
      <c r="H116" s="130">
        <v>1999</v>
      </c>
      <c r="I116" s="130">
        <v>1999</v>
      </c>
      <c r="J116" s="120">
        <v>1949</v>
      </c>
      <c r="K116" s="120">
        <v>1949</v>
      </c>
      <c r="L116" s="120">
        <v>1949</v>
      </c>
      <c r="M116" s="130">
        <v>1949</v>
      </c>
      <c r="N116" s="130">
        <v>1949</v>
      </c>
      <c r="O116" s="120">
        <v>1899</v>
      </c>
      <c r="P116" s="120">
        <v>1799</v>
      </c>
      <c r="Q116" s="120">
        <v>1599</v>
      </c>
      <c r="R116" s="130">
        <v>1899</v>
      </c>
      <c r="S116" s="130">
        <v>1799</v>
      </c>
      <c r="T116" s="130">
        <v>1599</v>
      </c>
      <c r="U116" s="130">
        <v>1599</v>
      </c>
      <c r="V116" s="130">
        <v>1599</v>
      </c>
      <c r="W116" s="130">
        <v>1599</v>
      </c>
      <c r="X116" s="130">
        <v>1499</v>
      </c>
      <c r="Y116" s="133">
        <v>999</v>
      </c>
      <c r="Z116" s="133">
        <v>999</v>
      </c>
      <c r="AA116" s="130">
        <v>999</v>
      </c>
      <c r="AB116" s="130"/>
      <c r="AC116" s="130"/>
      <c r="AD116" s="130"/>
      <c r="AE116" s="130"/>
      <c r="AF116" s="130"/>
      <c r="AG116" s="130"/>
      <c r="AH116" s="130"/>
      <c r="AI116" s="130"/>
      <c r="AJ116" s="130"/>
      <c r="AK116" s="130"/>
      <c r="AL116" s="130"/>
      <c r="AM116" s="122" t="s">
        <v>740</v>
      </c>
    </row>
    <row r="117" spans="2:39" ht="15.5">
      <c r="B117" s="128" t="s">
        <v>810</v>
      </c>
      <c r="C117" s="128">
        <v>4018211</v>
      </c>
      <c r="D117" s="128" t="s">
        <v>946</v>
      </c>
      <c r="E117" s="128" t="s">
        <v>947</v>
      </c>
      <c r="F117" s="129">
        <v>2799</v>
      </c>
      <c r="G117" s="129">
        <v>2999</v>
      </c>
      <c r="H117" s="130">
        <v>2799</v>
      </c>
      <c r="I117" s="130">
        <v>2799</v>
      </c>
      <c r="J117" s="120">
        <v>2749</v>
      </c>
      <c r="K117" s="120">
        <v>2749</v>
      </c>
      <c r="L117" s="120">
        <v>2749</v>
      </c>
      <c r="M117" s="130">
        <v>2749</v>
      </c>
      <c r="N117" s="130">
        <v>2749</v>
      </c>
      <c r="O117" s="120">
        <v>2699</v>
      </c>
      <c r="P117" s="120">
        <v>2599</v>
      </c>
      <c r="Q117" s="120">
        <v>2399</v>
      </c>
      <c r="R117" s="130">
        <v>2699</v>
      </c>
      <c r="S117" s="130">
        <v>2599</v>
      </c>
      <c r="T117" s="130">
        <v>2399</v>
      </c>
      <c r="U117" s="130">
        <v>2399</v>
      </c>
      <c r="V117" s="130">
        <v>2399</v>
      </c>
      <c r="W117" s="130">
        <v>2399</v>
      </c>
      <c r="X117" s="130">
        <v>2299</v>
      </c>
      <c r="Y117" s="133">
        <v>1999</v>
      </c>
      <c r="Z117" s="133">
        <v>1999</v>
      </c>
      <c r="AA117" s="130">
        <v>1949</v>
      </c>
      <c r="AB117" s="130"/>
      <c r="AC117" s="130"/>
      <c r="AD117" s="130"/>
      <c r="AE117" s="130"/>
      <c r="AF117" s="130"/>
      <c r="AG117" s="130"/>
      <c r="AH117" s="130"/>
      <c r="AI117" s="130"/>
      <c r="AJ117" s="130"/>
      <c r="AK117" s="130"/>
      <c r="AL117" s="130"/>
      <c r="AM117" s="122" t="s">
        <v>740</v>
      </c>
    </row>
    <row r="118" spans="2:39" ht="15.5">
      <c r="B118" s="128" t="s">
        <v>810</v>
      </c>
      <c r="C118" s="128">
        <v>4018214</v>
      </c>
      <c r="D118" s="128" t="s">
        <v>948</v>
      </c>
      <c r="E118" s="128" t="s">
        <v>949</v>
      </c>
      <c r="F118" s="129">
        <v>4199</v>
      </c>
      <c r="G118" s="129">
        <v>3999</v>
      </c>
      <c r="H118" s="130">
        <v>4199</v>
      </c>
      <c r="I118" s="130">
        <v>4199</v>
      </c>
      <c r="J118" s="120">
        <v>4149</v>
      </c>
      <c r="K118" s="120">
        <v>4149</v>
      </c>
      <c r="L118" s="120">
        <v>4149</v>
      </c>
      <c r="M118" s="130">
        <v>4149</v>
      </c>
      <c r="N118" s="130">
        <v>4149</v>
      </c>
      <c r="O118" s="120">
        <v>4099</v>
      </c>
      <c r="P118" s="120">
        <v>3999</v>
      </c>
      <c r="Q118" s="120">
        <v>3799</v>
      </c>
      <c r="R118" s="130">
        <v>4099</v>
      </c>
      <c r="S118" s="130">
        <v>3999</v>
      </c>
      <c r="T118" s="130">
        <v>3799</v>
      </c>
      <c r="U118" s="130">
        <v>3799</v>
      </c>
      <c r="V118" s="130">
        <v>3799</v>
      </c>
      <c r="W118" s="130">
        <v>3799</v>
      </c>
      <c r="X118" s="130">
        <v>3699</v>
      </c>
      <c r="Y118" s="133">
        <v>3399</v>
      </c>
      <c r="Z118" s="133">
        <v>3399</v>
      </c>
      <c r="AA118" s="130">
        <v>3349</v>
      </c>
      <c r="AB118" s="130"/>
      <c r="AC118" s="130"/>
      <c r="AD118" s="130"/>
      <c r="AE118" s="130"/>
      <c r="AF118" s="130"/>
      <c r="AG118" s="130"/>
      <c r="AH118" s="130"/>
      <c r="AI118" s="130"/>
      <c r="AJ118" s="130"/>
      <c r="AK118" s="130"/>
      <c r="AL118" s="130"/>
      <c r="AM118" s="122" t="s">
        <v>740</v>
      </c>
    </row>
    <row r="119" spans="2:39" ht="15.5">
      <c r="B119" s="128" t="s">
        <v>810</v>
      </c>
      <c r="C119" s="144">
        <v>4018043</v>
      </c>
      <c r="D119" s="128" t="s">
        <v>950</v>
      </c>
      <c r="E119" s="128" t="s">
        <v>950</v>
      </c>
      <c r="F119" s="131">
        <v>1368</v>
      </c>
      <c r="G119" s="131">
        <v>1368</v>
      </c>
      <c r="H119" s="131">
        <v>1368</v>
      </c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  <c r="AA119" s="145"/>
      <c r="AB119" s="145"/>
      <c r="AC119" s="145"/>
      <c r="AD119" s="145"/>
      <c r="AE119" s="145"/>
      <c r="AF119" s="145"/>
      <c r="AG119" s="145"/>
      <c r="AH119" s="145"/>
      <c r="AI119" s="145"/>
      <c r="AJ119" s="145"/>
      <c r="AK119" s="145"/>
      <c r="AL119" s="145"/>
      <c r="AM119" s="122" t="s">
        <v>740</v>
      </c>
    </row>
    <row r="279" spans="4:4">
      <c r="D279" s="11"/>
    </row>
    <row r="280" spans="4:4">
      <c r="D280" s="11"/>
    </row>
    <row r="281" spans="4:4">
      <c r="D281" s="11"/>
    </row>
    <row r="282" spans="4:4">
      <c r="D282" s="11"/>
    </row>
    <row r="283" spans="4:4">
      <c r="D283" s="11"/>
    </row>
    <row r="284" spans="4:4">
      <c r="D284" s="11"/>
    </row>
    <row r="285" spans="4:4">
      <c r="D285" s="11"/>
    </row>
    <row r="286" spans="4:4">
      <c r="D286" s="11"/>
    </row>
    <row r="287" spans="4:4">
      <c r="D287" s="11"/>
    </row>
    <row r="288" spans="4:4">
      <c r="D288" s="11"/>
    </row>
    <row r="289" spans="4:4">
      <c r="D289" s="11"/>
    </row>
    <row r="290" spans="4:4">
      <c r="D290" s="11"/>
    </row>
    <row r="291" spans="4:4">
      <c r="D291" s="11"/>
    </row>
    <row r="292" spans="4:4">
      <c r="D292" s="11"/>
    </row>
    <row r="293" spans="4:4">
      <c r="D293" s="11"/>
    </row>
    <row r="294" spans="4:4">
      <c r="D294" s="11"/>
    </row>
    <row r="295" spans="4:4">
      <c r="D295" s="11"/>
    </row>
    <row r="515" spans="13:24">
      <c r="M515">
        <v>1249</v>
      </c>
      <c r="N515">
        <v>1049</v>
      </c>
      <c r="R515">
        <v>949</v>
      </c>
      <c r="S515">
        <v>849</v>
      </c>
      <c r="T515">
        <v>749</v>
      </c>
      <c r="U515">
        <v>749</v>
      </c>
      <c r="V515">
        <v>699</v>
      </c>
      <c r="W515">
        <v>649</v>
      </c>
      <c r="X515">
        <v>599</v>
      </c>
    </row>
    <row r="516" spans="13:24">
      <c r="M516">
        <v>1249</v>
      </c>
      <c r="N516">
        <v>1049</v>
      </c>
      <c r="R516">
        <v>949</v>
      </c>
      <c r="S516">
        <v>849</v>
      </c>
      <c r="T516">
        <v>749</v>
      </c>
      <c r="U516">
        <v>749</v>
      </c>
      <c r="V516">
        <v>699</v>
      </c>
      <c r="W516">
        <v>649</v>
      </c>
      <c r="X516">
        <v>599</v>
      </c>
    </row>
    <row r="517" spans="13:24">
      <c r="M517">
        <v>1249</v>
      </c>
      <c r="N517">
        <v>1049</v>
      </c>
      <c r="R517">
        <v>949</v>
      </c>
      <c r="S517">
        <v>849</v>
      </c>
      <c r="T517">
        <v>749</v>
      </c>
      <c r="U517">
        <v>749</v>
      </c>
      <c r="V517">
        <v>699</v>
      </c>
      <c r="W517">
        <v>649</v>
      </c>
      <c r="X517">
        <v>599</v>
      </c>
    </row>
    <row r="518" spans="13:24">
      <c r="M518">
        <v>1249</v>
      </c>
      <c r="N518">
        <v>1049</v>
      </c>
      <c r="R518">
        <v>949</v>
      </c>
      <c r="S518">
        <v>849</v>
      </c>
      <c r="T518">
        <v>749</v>
      </c>
      <c r="U518">
        <v>749</v>
      </c>
      <c r="V518">
        <v>699</v>
      </c>
      <c r="W518">
        <v>649</v>
      </c>
      <c r="X518">
        <v>599</v>
      </c>
    </row>
    <row r="519" spans="13:24">
      <c r="M519">
        <v>1249</v>
      </c>
      <c r="N519">
        <v>1049</v>
      </c>
      <c r="R519">
        <v>949</v>
      </c>
      <c r="S519">
        <v>849</v>
      </c>
      <c r="T519">
        <v>749</v>
      </c>
      <c r="U519">
        <v>749</v>
      </c>
      <c r="V519">
        <v>699</v>
      </c>
      <c r="W519">
        <v>649</v>
      </c>
      <c r="X519">
        <v>599</v>
      </c>
    </row>
    <row r="520" spans="13:24">
      <c r="M520">
        <v>1249</v>
      </c>
      <c r="N520">
        <v>1049</v>
      </c>
      <c r="R520">
        <v>949</v>
      </c>
      <c r="S520">
        <v>849</v>
      </c>
      <c r="T520">
        <v>749</v>
      </c>
      <c r="U520">
        <v>749</v>
      </c>
      <c r="V520">
        <v>699</v>
      </c>
      <c r="W520">
        <v>649</v>
      </c>
      <c r="X520">
        <v>599</v>
      </c>
    </row>
    <row r="521" spans="13:24">
      <c r="M521">
        <v>1249</v>
      </c>
      <c r="N521">
        <v>1049</v>
      </c>
      <c r="R521">
        <v>949</v>
      </c>
      <c r="S521">
        <v>849</v>
      </c>
      <c r="T521">
        <v>749</v>
      </c>
      <c r="U521">
        <v>749</v>
      </c>
      <c r="V521">
        <v>699</v>
      </c>
      <c r="W521">
        <v>649</v>
      </c>
      <c r="X521">
        <v>599</v>
      </c>
    </row>
    <row r="522" spans="13:24">
      <c r="M522">
        <v>1249</v>
      </c>
      <c r="N522">
        <v>1049</v>
      </c>
      <c r="R522">
        <v>949</v>
      </c>
      <c r="S522">
        <v>849</v>
      </c>
      <c r="T522">
        <v>749</v>
      </c>
      <c r="U522">
        <v>749</v>
      </c>
      <c r="V522">
        <v>699</v>
      </c>
      <c r="W522">
        <v>649</v>
      </c>
      <c r="X522">
        <v>599</v>
      </c>
    </row>
    <row r="540" spans="13:24">
      <c r="M540">
        <v>1349</v>
      </c>
      <c r="N540">
        <v>1249</v>
      </c>
      <c r="R540">
        <v>1149</v>
      </c>
      <c r="S540">
        <v>999</v>
      </c>
      <c r="T540">
        <v>799</v>
      </c>
      <c r="U540">
        <v>799</v>
      </c>
      <c r="V540">
        <v>749</v>
      </c>
      <c r="W540">
        <v>699</v>
      </c>
      <c r="X540">
        <v>649</v>
      </c>
    </row>
    <row r="541" spans="13:24">
      <c r="M541">
        <v>1349</v>
      </c>
      <c r="N541">
        <v>1249</v>
      </c>
      <c r="R541">
        <v>1149</v>
      </c>
      <c r="S541">
        <v>999</v>
      </c>
      <c r="T541">
        <v>799</v>
      </c>
      <c r="U541">
        <v>799</v>
      </c>
      <c r="V541">
        <v>749</v>
      </c>
      <c r="W541">
        <v>699</v>
      </c>
      <c r="X541">
        <v>649</v>
      </c>
    </row>
    <row r="542" spans="13:24">
      <c r="M542">
        <v>1349</v>
      </c>
      <c r="N542">
        <v>1249</v>
      </c>
      <c r="R542">
        <v>1149</v>
      </c>
      <c r="S542">
        <v>999</v>
      </c>
      <c r="T542">
        <v>799</v>
      </c>
      <c r="U542">
        <v>799</v>
      </c>
      <c r="V542">
        <v>749</v>
      </c>
      <c r="W542">
        <v>699</v>
      </c>
      <c r="X542">
        <v>649</v>
      </c>
    </row>
    <row r="543" spans="13:24">
      <c r="M543">
        <v>1349</v>
      </c>
      <c r="N543">
        <v>1249</v>
      </c>
      <c r="R543">
        <v>1149</v>
      </c>
      <c r="S543">
        <v>999</v>
      </c>
      <c r="T543">
        <v>799</v>
      </c>
      <c r="U543">
        <v>799</v>
      </c>
      <c r="V543">
        <v>749</v>
      </c>
      <c r="W543">
        <v>699</v>
      </c>
      <c r="X543">
        <v>649</v>
      </c>
    </row>
    <row r="544" spans="13:24">
      <c r="M544">
        <v>1349</v>
      </c>
      <c r="N544">
        <v>1249</v>
      </c>
      <c r="R544">
        <v>1149</v>
      </c>
      <c r="S544">
        <v>999</v>
      </c>
      <c r="T544">
        <v>799</v>
      </c>
      <c r="U544">
        <v>799</v>
      </c>
      <c r="V544">
        <v>749</v>
      </c>
      <c r="W544">
        <v>699</v>
      </c>
      <c r="X544">
        <v>649</v>
      </c>
    </row>
    <row r="545" spans="13:24">
      <c r="M545">
        <v>1349</v>
      </c>
      <c r="N545">
        <v>1249</v>
      </c>
      <c r="R545">
        <v>1149</v>
      </c>
      <c r="S545">
        <v>999</v>
      </c>
      <c r="T545">
        <v>799</v>
      </c>
      <c r="U545">
        <v>799</v>
      </c>
      <c r="V545">
        <v>749</v>
      </c>
      <c r="W545">
        <v>699</v>
      </c>
      <c r="X545">
        <v>649</v>
      </c>
    </row>
    <row r="616" spans="13:24">
      <c r="M616">
        <v>2799</v>
      </c>
      <c r="N616">
        <v>2699</v>
      </c>
      <c r="R616">
        <v>2599</v>
      </c>
      <c r="S616">
        <v>2449</v>
      </c>
      <c r="T616">
        <v>2199</v>
      </c>
      <c r="U616">
        <v>2199</v>
      </c>
      <c r="V616">
        <v>2099</v>
      </c>
      <c r="W616">
        <v>1899</v>
      </c>
      <c r="X616">
        <v>1849</v>
      </c>
    </row>
    <row r="617" spans="13:24">
      <c r="M617">
        <v>2799</v>
      </c>
      <c r="N617">
        <v>2699</v>
      </c>
      <c r="R617">
        <v>2599</v>
      </c>
      <c r="S617">
        <v>2449</v>
      </c>
      <c r="T617">
        <v>2199</v>
      </c>
      <c r="U617">
        <v>2199</v>
      </c>
      <c r="V617">
        <v>2099</v>
      </c>
      <c r="W617">
        <v>1899</v>
      </c>
      <c r="X617">
        <v>1849</v>
      </c>
    </row>
    <row r="618" spans="13:24">
      <c r="M618">
        <v>2799</v>
      </c>
      <c r="N618">
        <v>2699</v>
      </c>
      <c r="R618">
        <v>2599</v>
      </c>
      <c r="S618">
        <v>2449</v>
      </c>
      <c r="T618">
        <v>2199</v>
      </c>
      <c r="U618">
        <v>2199</v>
      </c>
      <c r="V618">
        <v>2099</v>
      </c>
      <c r="W618">
        <v>1899</v>
      </c>
      <c r="X618">
        <v>1849</v>
      </c>
    </row>
    <row r="619" spans="13:24">
      <c r="M619">
        <v>2799</v>
      </c>
      <c r="N619">
        <v>2699</v>
      </c>
      <c r="R619">
        <v>2599</v>
      </c>
      <c r="S619">
        <v>2449</v>
      </c>
      <c r="T619">
        <v>2199</v>
      </c>
      <c r="U619">
        <v>2199</v>
      </c>
      <c r="V619">
        <v>2099</v>
      </c>
      <c r="W619">
        <v>1899</v>
      </c>
      <c r="X619">
        <v>1849</v>
      </c>
    </row>
  </sheetData>
  <autoFilter ref="B7:AN119" xr:uid="{1DA38FE9-F477-4AC7-8EB0-1C9DA41FAC08}"/>
  <mergeCells count="1">
    <mergeCell ref="AB6:AL6"/>
  </mergeCells>
  <pageMargins left="0.7" right="0.7" top="0.75" bottom="0.75" header="0.3" footer="0.3"/>
  <pageSetup orientation="portrait" r:id="rId1"/>
  <headerFooter>
    <oddFooter>&amp;C_x000D_&amp;1#&amp;"Aptos"&amp;8&amp;K737373 Classificado como Uso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B86D8-21C8-4FE3-B0BF-9CAAFB494210}">
  <dimension ref="A1:AX522"/>
  <sheetViews>
    <sheetView showGridLines="0" zoomScale="75" zoomScaleNormal="75" workbookViewId="0">
      <pane xSplit="5" ySplit="12" topLeftCell="F142" activePane="bottomRight" state="frozen"/>
      <selection activeCell="G493" sqref="G493:AA494"/>
      <selection pane="topRight" activeCell="G493" sqref="G493:AA494"/>
      <selection pane="bottomLeft" activeCell="G493" sqref="G493:AA494"/>
      <selection pane="bottomRight" activeCell="G493" sqref="G493:AA494"/>
    </sheetView>
  </sheetViews>
  <sheetFormatPr defaultColWidth="9.1796875" defaultRowHeight="14.5"/>
  <cols>
    <col min="1" max="1" width="16.1796875" customWidth="1"/>
    <col min="2" max="2" width="20.453125" bestFit="1" customWidth="1"/>
    <col min="3" max="3" width="11.81640625" customWidth="1"/>
    <col min="4" max="4" width="53.6328125" bestFit="1" customWidth="1"/>
    <col min="5" max="5" width="60.1796875" bestFit="1" customWidth="1"/>
    <col min="6" max="6" width="11.7265625" customWidth="1"/>
    <col min="7" max="7" width="17.81640625" hidden="1" customWidth="1"/>
    <col min="8" max="8" width="22.7265625" hidden="1" customWidth="1"/>
    <col min="9" max="9" width="24.54296875" hidden="1" customWidth="1"/>
    <col min="10" max="14" width="17.81640625" customWidth="1"/>
    <col min="15" max="21" width="13.7265625" customWidth="1"/>
    <col min="22" max="38" width="16.1796875" customWidth="1"/>
    <col min="39" max="40" width="17.54296875" customWidth="1"/>
    <col min="41" max="44" width="16.26953125" customWidth="1"/>
    <col min="45" max="47" width="17.453125" customWidth="1"/>
    <col min="48" max="48" width="3.1796875" customWidth="1"/>
    <col min="49" max="49" width="16.7265625" customWidth="1"/>
    <col min="50" max="50" width="15.36328125" customWidth="1"/>
  </cols>
  <sheetData>
    <row r="1" spans="1:50" ht="18.5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50">
      <c r="G2" s="3"/>
      <c r="H2" s="3"/>
      <c r="I2" s="3"/>
      <c r="J2" s="3"/>
      <c r="K2" s="3"/>
      <c r="L2" s="3"/>
      <c r="M2" s="3"/>
      <c r="N2" s="3"/>
    </row>
    <row r="3" spans="1:50">
      <c r="F3" s="4"/>
      <c r="G3" s="3"/>
      <c r="H3" s="5"/>
      <c r="I3" s="3"/>
      <c r="J3" s="3"/>
      <c r="K3" s="3"/>
      <c r="L3" s="3"/>
      <c r="M3" s="3"/>
      <c r="N3" s="3"/>
    </row>
    <row r="4" spans="1:50" ht="15.5">
      <c r="A4" s="6"/>
      <c r="B4" s="7" t="s">
        <v>1</v>
      </c>
      <c r="C4" s="7"/>
      <c r="F4" s="4"/>
      <c r="G4" s="3"/>
      <c r="H4" s="3"/>
      <c r="I4" s="3"/>
      <c r="J4" s="3"/>
      <c r="K4" s="3"/>
      <c r="L4" s="3"/>
      <c r="M4" s="3"/>
      <c r="N4" s="3"/>
    </row>
    <row r="5" spans="1:50">
      <c r="A5" s="8"/>
      <c r="B5" s="7" t="s">
        <v>2</v>
      </c>
      <c r="C5" s="7"/>
      <c r="F5" s="9"/>
      <c r="G5" s="3"/>
      <c r="H5" s="3"/>
      <c r="I5" s="3"/>
      <c r="J5" s="3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50">
      <c r="B6" s="11"/>
      <c r="C6" s="7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</row>
    <row r="7" spans="1:50">
      <c r="A7" s="12" t="s">
        <v>3</v>
      </c>
      <c r="F7" s="3"/>
      <c r="G7" s="3"/>
      <c r="H7" s="13"/>
      <c r="I7" s="13"/>
      <c r="J7" s="3"/>
      <c r="K7" s="3"/>
      <c r="L7" s="3"/>
      <c r="M7" s="3"/>
      <c r="N7" s="3"/>
    </row>
    <row r="8" spans="1:50">
      <c r="A8" s="14" t="s">
        <v>4</v>
      </c>
      <c r="F8" s="3"/>
      <c r="G8" s="15"/>
      <c r="H8" s="3"/>
      <c r="I8" s="3"/>
      <c r="J8" s="3"/>
      <c r="K8" s="3"/>
      <c r="L8" s="3"/>
      <c r="M8" s="3"/>
      <c r="N8" s="3"/>
      <c r="W8" s="4"/>
    </row>
    <row r="9" spans="1:50">
      <c r="A9" t="s">
        <v>5</v>
      </c>
      <c r="B9" t="s">
        <v>6</v>
      </c>
      <c r="F9" s="3"/>
      <c r="G9" s="3"/>
      <c r="H9" s="15"/>
      <c r="I9" s="3"/>
      <c r="J9" s="3"/>
      <c r="K9" s="3"/>
      <c r="L9" s="3"/>
      <c r="M9" s="3"/>
      <c r="N9" s="3"/>
    </row>
    <row r="10" spans="1:50" ht="18.5">
      <c r="B10" s="16"/>
      <c r="C10" s="17"/>
      <c r="D10" s="18"/>
      <c r="E10" s="17"/>
      <c r="F10" s="3"/>
      <c r="G10" s="3"/>
      <c r="H10" s="5"/>
      <c r="I10" s="3"/>
      <c r="J10" s="3"/>
      <c r="K10" s="3"/>
      <c r="L10" s="3"/>
      <c r="M10" s="3"/>
      <c r="N10" s="3"/>
      <c r="O10" s="19"/>
      <c r="P10" s="19"/>
      <c r="Q10" s="19"/>
      <c r="R10" s="19"/>
      <c r="S10" s="19"/>
      <c r="T10" s="20"/>
      <c r="U10" s="20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50" ht="16" thickBot="1">
      <c r="C11" t="s">
        <v>7</v>
      </c>
      <c r="D11" s="21">
        <f>REV!D11</f>
        <v>46311</v>
      </c>
      <c r="H11" s="22"/>
      <c r="I11" s="22"/>
      <c r="J11" s="23" t="s">
        <v>8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5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7" t="s">
        <v>9</v>
      </c>
      <c r="AN11" s="28"/>
      <c r="AO11" s="28"/>
      <c r="AP11" s="29" t="s">
        <v>10</v>
      </c>
      <c r="AQ11" s="30"/>
      <c r="AR11" s="30"/>
      <c r="AS11" s="30"/>
      <c r="AT11" s="30"/>
      <c r="AU11" s="31"/>
      <c r="AV11" s="32"/>
    </row>
    <row r="12" spans="1:50" ht="62.5" thickBot="1">
      <c r="A12" s="34" t="s">
        <v>11</v>
      </c>
      <c r="B12" s="34" t="s">
        <v>12</v>
      </c>
      <c r="C12" s="34" t="s">
        <v>13</v>
      </c>
      <c r="D12" s="34" t="s">
        <v>14</v>
      </c>
      <c r="E12" s="35" t="s">
        <v>15</v>
      </c>
      <c r="F12" s="36" t="s">
        <v>951</v>
      </c>
      <c r="G12" s="37" t="s">
        <v>17</v>
      </c>
      <c r="H12" s="38" t="s">
        <v>18</v>
      </c>
      <c r="I12" s="39" t="s">
        <v>19</v>
      </c>
      <c r="J12" s="40" t="s">
        <v>20</v>
      </c>
      <c r="K12" s="40" t="s">
        <v>21</v>
      </c>
      <c r="L12" s="40" t="s">
        <v>22</v>
      </c>
      <c r="M12" s="40" t="s">
        <v>23</v>
      </c>
      <c r="N12" s="40" t="s">
        <v>24</v>
      </c>
      <c r="O12" s="41" t="s">
        <v>25</v>
      </c>
      <c r="P12" s="41" t="s">
        <v>26</v>
      </c>
      <c r="Q12" s="41" t="s">
        <v>27</v>
      </c>
      <c r="R12" s="41" t="s">
        <v>28</v>
      </c>
      <c r="S12" s="41" t="s">
        <v>29</v>
      </c>
      <c r="T12" s="41" t="s">
        <v>30</v>
      </c>
      <c r="U12" s="41" t="s">
        <v>31</v>
      </c>
      <c r="V12" s="42" t="s">
        <v>32</v>
      </c>
      <c r="W12" s="42" t="s">
        <v>33</v>
      </c>
      <c r="X12" s="42" t="s">
        <v>34</v>
      </c>
      <c r="Y12" s="42" t="s">
        <v>35</v>
      </c>
      <c r="Z12" s="42" t="s">
        <v>36</v>
      </c>
      <c r="AA12" s="42" t="s">
        <v>37</v>
      </c>
      <c r="AB12" s="43" t="s">
        <v>38</v>
      </c>
      <c r="AC12" s="43" t="s">
        <v>39</v>
      </c>
      <c r="AD12" s="43" t="s">
        <v>40</v>
      </c>
      <c r="AE12" s="43" t="s">
        <v>41</v>
      </c>
      <c r="AF12" s="43" t="s">
        <v>42</v>
      </c>
      <c r="AG12" s="43" t="s">
        <v>43</v>
      </c>
      <c r="AH12" s="43" t="s">
        <v>44</v>
      </c>
      <c r="AI12" s="43" t="s">
        <v>45</v>
      </c>
      <c r="AJ12" s="43" t="s">
        <v>46</v>
      </c>
      <c r="AK12" s="43" t="s">
        <v>47</v>
      </c>
      <c r="AL12" s="43" t="s">
        <v>48</v>
      </c>
      <c r="AM12" s="44" t="s">
        <v>49</v>
      </c>
      <c r="AN12" s="44" t="s">
        <v>50</v>
      </c>
      <c r="AO12" s="45" t="s">
        <v>51</v>
      </c>
      <c r="AP12" s="46" t="s">
        <v>52</v>
      </c>
      <c r="AQ12" s="46" t="s">
        <v>53</v>
      </c>
      <c r="AR12" s="46" t="s">
        <v>54</v>
      </c>
      <c r="AS12" s="46" t="s">
        <v>55</v>
      </c>
      <c r="AT12" s="46" t="s">
        <v>56</v>
      </c>
      <c r="AU12" s="46" t="s">
        <v>57</v>
      </c>
      <c r="AV12" s="47"/>
      <c r="AW12" s="146" t="s">
        <v>58</v>
      </c>
      <c r="AX12" s="146" t="s">
        <v>59</v>
      </c>
    </row>
    <row r="13" spans="1:50" ht="22.5" customHeight="1">
      <c r="A13" s="51" t="s">
        <v>63</v>
      </c>
      <c r="B13" s="52" t="s">
        <v>64</v>
      </c>
      <c r="C13" s="53">
        <v>4014380</v>
      </c>
      <c r="D13" s="54" t="s">
        <v>65</v>
      </c>
      <c r="E13" s="54" t="s">
        <v>66</v>
      </c>
      <c r="F13" s="55"/>
      <c r="G13" s="55"/>
      <c r="H13" s="56"/>
      <c r="I13" s="56"/>
      <c r="J13" s="56">
        <f>IF(VLOOKUP($C13,REV!$C:$AA,8,0)-'TRADE IN'!$F13=0,"",(VLOOKUP($C13,REV!$C:$AA,8,0)-'TRADE IN'!$F13))</f>
        <v>999</v>
      </c>
      <c r="K13" s="56">
        <f>IF(VLOOKUP($C13,REV!$C:$AA,9,0)-'TRADE IN'!$F13=0,"",(VLOOKUP($C13,REV!$C:$AA,9,0)-'TRADE IN'!$F13))</f>
        <v>999</v>
      </c>
      <c r="L13" s="56">
        <f>IF(VLOOKUP($C13,REV!$C:$AA,10,0)-'TRADE IN'!$F13=0,"",(VLOOKUP($C13,REV!$C:$AA,10,0)-'TRADE IN'!$F13))</f>
        <v>999</v>
      </c>
      <c r="M13" s="56">
        <f>IF(VLOOKUP($C13,REV!$C:$AA,11,0)-'TRADE IN'!$F13=0,"",(VLOOKUP($C13,REV!$C:$AA,11,0)-'TRADE IN'!$F13))</f>
        <v>999</v>
      </c>
      <c r="N13" s="56">
        <f>IF(VLOOKUP($C13,REV!$C:$AA,12,0)-'TRADE IN'!$F13=0,"",(VLOOKUP($C13,REV!$C:$AA,12,0)-'TRADE IN'!$F13))</f>
        <v>999</v>
      </c>
      <c r="O13" s="56">
        <f>IF(VLOOKUP($C13,REV!$C:$AA,13,0)-'TRADE IN'!$F13=0,"",(VLOOKUP($C13,REV!$C:$AA,13,0)-'TRADE IN'!$F13))</f>
        <v>999</v>
      </c>
      <c r="P13" s="56">
        <f>IF(VLOOKUP($C13,REV!$C:$AA,14,0)-'TRADE IN'!$F13=0,"",(VLOOKUP($C13,REV!$C:$AA,14,0)-'TRADE IN'!$F13))</f>
        <v>999</v>
      </c>
      <c r="Q13" s="56">
        <f>IF(VLOOKUP($C13,REV!$C:$AA,15,0)-'TRADE IN'!$F13=0,"",(VLOOKUP($C13,REV!$C:$AA,15,0)-'TRADE IN'!$F13))</f>
        <v>999</v>
      </c>
      <c r="R13" s="56">
        <f>IF(VLOOKUP($C13,REV!$C:$AA,16,0)-'TRADE IN'!$F13=0,"",(VLOOKUP($C13,REV!$C:$AA,16,0)-'TRADE IN'!$F13))</f>
        <v>999</v>
      </c>
      <c r="S13" s="56">
        <f>IF(VLOOKUP($C13,REV!$C:$AA,17,0)-'TRADE IN'!$F13=0,"",(VLOOKUP($C13,REV!$C:$AA,17,0)-'TRADE IN'!$F13))</f>
        <v>999</v>
      </c>
      <c r="T13" s="56">
        <f>IF(VLOOKUP($C13,REV!$C:$AA,18,0)-'TRADE IN'!$F13=0,"",(VLOOKUP($C13,REV!$C:$AA,18,0)-'TRADE IN'!$F13))</f>
        <v>999</v>
      </c>
      <c r="U13" s="56">
        <f>IF(VLOOKUP($C13,REV!$C:$AA,19,0)-'TRADE IN'!$F13=0,"",(VLOOKUP($C13,REV!$C:$AA,19,0)-'TRADE IN'!$F13))</f>
        <v>999</v>
      </c>
      <c r="V13" s="56">
        <f>IF(VLOOKUP($C13,REV!$C:$AA,20,0)-'TRADE IN'!$F13=0,"",(VLOOKUP($C13,REV!$C:$AA,20,0)-'TRADE IN'!$F13))</f>
        <v>999</v>
      </c>
      <c r="W13" s="56">
        <f>IF(VLOOKUP($C13,REV!$C:$AA,21,0)-'TRADE IN'!$F13=0,"",(VLOOKUP($C13,REV!$C:$AA,21,0)-'TRADE IN'!$F13))</f>
        <v>999</v>
      </c>
      <c r="X13" s="56">
        <f>IF(VLOOKUP($C13,REV!$C:$AA,22,0)-'TRADE IN'!$F13=0,"",(VLOOKUP($C13,REV!$C:$AA,22,0)-'TRADE IN'!$F13))</f>
        <v>999</v>
      </c>
      <c r="Y13" s="56">
        <f>IF(VLOOKUP($C13,REV!$C:$AA,23,0)-'TRADE IN'!$F13=0,"",(VLOOKUP($C13,REV!$C:$AA,23,0)-'TRADE IN'!$F13))</f>
        <v>999</v>
      </c>
      <c r="Z13" s="56">
        <f>IF(VLOOKUP($C13,REV!$C:$AA,24,0)-'TRADE IN'!$F13=0,"",(VLOOKUP($C13,REV!$C:$AA,24,0)-'TRADE IN'!$F13))</f>
        <v>999</v>
      </c>
      <c r="AA13" s="56">
        <f>IF(VLOOKUP($C13,REV!$C:$AA,25,0)-'TRADE IN'!$F13=0,"",(VLOOKUP($C13,REV!$C:$AA,25,0)-'TRADE IN'!$F13))</f>
        <v>999</v>
      </c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7"/>
      <c r="AW13" s="58" t="str">
        <f>REV!AW13</f>
        <v>03.11.2026</v>
      </c>
      <c r="AX13" s="147" t="str">
        <f>VLOOKUP(C13,REV!C:AX,48,0)</f>
        <v>5G</v>
      </c>
    </row>
    <row r="14" spans="1:50" ht="22.5" customHeight="1">
      <c r="A14" s="51" t="s">
        <v>63</v>
      </c>
      <c r="B14" s="52" t="s">
        <v>64</v>
      </c>
      <c r="C14" s="53">
        <v>4014382</v>
      </c>
      <c r="D14" s="54" t="s">
        <v>65</v>
      </c>
      <c r="E14" s="54" t="s">
        <v>69</v>
      </c>
      <c r="F14" s="55"/>
      <c r="G14" s="55"/>
      <c r="H14" s="56"/>
      <c r="I14" s="56"/>
      <c r="J14" s="56">
        <f>IF(VLOOKUP($C14,REV!$C:$AA,8,0)-'TRADE IN'!$F14=0,"",(VLOOKUP($C14,REV!$C:$AA,8,0)-'TRADE IN'!$F14))</f>
        <v>999</v>
      </c>
      <c r="K14" s="56">
        <f>IF(VLOOKUP($C14,REV!$C:$AA,9,0)-'TRADE IN'!$F14=0,"",(VLOOKUP($C14,REV!$C:$AA,9,0)-'TRADE IN'!$F14))</f>
        <v>999</v>
      </c>
      <c r="L14" s="56">
        <f>IF(VLOOKUP($C14,REV!$C:$AA,10,0)-'TRADE IN'!$F14=0,"",(VLOOKUP($C14,REV!$C:$AA,10,0)-'TRADE IN'!$F14))</f>
        <v>999</v>
      </c>
      <c r="M14" s="56">
        <f>IF(VLOOKUP($C14,REV!$C:$AA,11,0)-'TRADE IN'!$F14=0,"",(VLOOKUP($C14,REV!$C:$AA,11,0)-'TRADE IN'!$F14))</f>
        <v>999</v>
      </c>
      <c r="N14" s="56">
        <f>IF(VLOOKUP($C14,REV!$C:$AA,12,0)-'TRADE IN'!$F14=0,"",(VLOOKUP($C14,REV!$C:$AA,12,0)-'TRADE IN'!$F14))</f>
        <v>999</v>
      </c>
      <c r="O14" s="56">
        <f>IF(VLOOKUP($C14,REV!$C:$AA,13,0)-'TRADE IN'!$F14=0,"",(VLOOKUP($C14,REV!$C:$AA,13,0)-'TRADE IN'!$F14))</f>
        <v>999</v>
      </c>
      <c r="P14" s="56">
        <f>IF(VLOOKUP($C14,REV!$C:$AA,14,0)-'TRADE IN'!$F14=0,"",(VLOOKUP($C14,REV!$C:$AA,14,0)-'TRADE IN'!$F14))</f>
        <v>999</v>
      </c>
      <c r="Q14" s="56">
        <f>IF(VLOOKUP($C14,REV!$C:$AA,15,0)-'TRADE IN'!$F14=0,"",(VLOOKUP($C14,REV!$C:$AA,15,0)-'TRADE IN'!$F14))</f>
        <v>999</v>
      </c>
      <c r="R14" s="56">
        <f>IF(VLOOKUP($C14,REV!$C:$AA,16,0)-'TRADE IN'!$F14=0,"",(VLOOKUP($C14,REV!$C:$AA,16,0)-'TRADE IN'!$F14))</f>
        <v>999</v>
      </c>
      <c r="S14" s="56">
        <f>IF(VLOOKUP($C14,REV!$C:$AA,17,0)-'TRADE IN'!$F14=0,"",(VLOOKUP($C14,REV!$C:$AA,17,0)-'TRADE IN'!$F14))</f>
        <v>999</v>
      </c>
      <c r="T14" s="56">
        <f>IF(VLOOKUP($C14,REV!$C:$AA,18,0)-'TRADE IN'!$F14=0,"",(VLOOKUP($C14,REV!$C:$AA,18,0)-'TRADE IN'!$F14))</f>
        <v>999</v>
      </c>
      <c r="U14" s="56">
        <f>IF(VLOOKUP($C14,REV!$C:$AA,19,0)-'TRADE IN'!$F14=0,"",(VLOOKUP($C14,REV!$C:$AA,19,0)-'TRADE IN'!$F14))</f>
        <v>999</v>
      </c>
      <c r="V14" s="56">
        <f>IF(VLOOKUP($C14,REV!$C:$AA,20,0)-'TRADE IN'!$F14=0,"",(VLOOKUP($C14,REV!$C:$AA,20,0)-'TRADE IN'!$F14))</f>
        <v>999</v>
      </c>
      <c r="W14" s="56">
        <f>IF(VLOOKUP($C14,REV!$C:$AA,21,0)-'TRADE IN'!$F14=0,"",(VLOOKUP($C14,REV!$C:$AA,21,0)-'TRADE IN'!$F14))</f>
        <v>999</v>
      </c>
      <c r="X14" s="56">
        <f>IF(VLOOKUP($C14,REV!$C:$AA,22,0)-'TRADE IN'!$F14=0,"",(VLOOKUP($C14,REV!$C:$AA,22,0)-'TRADE IN'!$F14))</f>
        <v>999</v>
      </c>
      <c r="Y14" s="56">
        <f>IF(VLOOKUP($C14,REV!$C:$AA,23,0)-'TRADE IN'!$F14=0,"",(VLOOKUP($C14,REV!$C:$AA,23,0)-'TRADE IN'!$F14))</f>
        <v>999</v>
      </c>
      <c r="Z14" s="56">
        <f>IF(VLOOKUP($C14,REV!$C:$AA,24,0)-'TRADE IN'!$F14=0,"",(VLOOKUP($C14,REV!$C:$AA,24,0)-'TRADE IN'!$F14))</f>
        <v>999</v>
      </c>
      <c r="AA14" s="56">
        <f>IF(VLOOKUP($C14,REV!$C:$AA,25,0)-'TRADE IN'!$F14=0,"",(VLOOKUP($C14,REV!$C:$AA,25,0)-'TRADE IN'!$F14))</f>
        <v>999</v>
      </c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7"/>
      <c r="AW14" s="58" t="str">
        <f>REV!AW14</f>
        <v>03.11.2026</v>
      </c>
      <c r="AX14" s="147" t="str">
        <f>VLOOKUP(C14,REV!C:AX,48,0)</f>
        <v>5G</v>
      </c>
    </row>
    <row r="15" spans="1:50" ht="22.5" customHeight="1">
      <c r="A15" s="51" t="s">
        <v>63</v>
      </c>
      <c r="B15" s="52" t="s">
        <v>64</v>
      </c>
      <c r="C15" s="53">
        <v>4014391</v>
      </c>
      <c r="D15" s="54" t="s">
        <v>70</v>
      </c>
      <c r="E15" s="54" t="s">
        <v>71</v>
      </c>
      <c r="F15" s="55"/>
      <c r="G15" s="55"/>
      <c r="H15" s="56"/>
      <c r="I15" s="56"/>
      <c r="J15" s="56">
        <f>IF(VLOOKUP($C15,REV!$C:$AA,8,0)-'TRADE IN'!$F15=0,"",(VLOOKUP($C15,REV!$C:$AA,8,0)-'TRADE IN'!$F15))</f>
        <v>999</v>
      </c>
      <c r="K15" s="56">
        <f>IF(VLOOKUP($C15,REV!$C:$AA,9,0)-'TRADE IN'!$F15=0,"",(VLOOKUP($C15,REV!$C:$AA,9,0)-'TRADE IN'!$F15))</f>
        <v>999</v>
      </c>
      <c r="L15" s="56">
        <f>IF(VLOOKUP($C15,REV!$C:$AA,10,0)-'TRADE IN'!$F15=0,"",(VLOOKUP($C15,REV!$C:$AA,10,0)-'TRADE IN'!$F15))</f>
        <v>999</v>
      </c>
      <c r="M15" s="56">
        <f>IF(VLOOKUP($C15,REV!$C:$AA,11,0)-'TRADE IN'!$F15=0,"",(VLOOKUP($C15,REV!$C:$AA,11,0)-'TRADE IN'!$F15))</f>
        <v>999</v>
      </c>
      <c r="N15" s="56">
        <f>IF(VLOOKUP($C15,REV!$C:$AA,12,0)-'TRADE IN'!$F15=0,"",(VLOOKUP($C15,REV!$C:$AA,12,0)-'TRADE IN'!$F15))</f>
        <v>999</v>
      </c>
      <c r="O15" s="56">
        <f>IF(VLOOKUP($C15,REV!$C:$AA,13,0)-'TRADE IN'!$F15=0,"",(VLOOKUP($C15,REV!$C:$AA,13,0)-'TRADE IN'!$F15))</f>
        <v>999</v>
      </c>
      <c r="P15" s="56">
        <f>IF(VLOOKUP($C15,REV!$C:$AA,14,0)-'TRADE IN'!$F15=0,"",(VLOOKUP($C15,REV!$C:$AA,14,0)-'TRADE IN'!$F15))</f>
        <v>999</v>
      </c>
      <c r="Q15" s="56">
        <f>IF(VLOOKUP($C15,REV!$C:$AA,15,0)-'TRADE IN'!$F15=0,"",(VLOOKUP($C15,REV!$C:$AA,15,0)-'TRADE IN'!$F15))</f>
        <v>999</v>
      </c>
      <c r="R15" s="56">
        <f>IF(VLOOKUP($C15,REV!$C:$AA,16,0)-'TRADE IN'!$F15=0,"",(VLOOKUP($C15,REV!$C:$AA,16,0)-'TRADE IN'!$F15))</f>
        <v>999</v>
      </c>
      <c r="S15" s="56">
        <f>IF(VLOOKUP($C15,REV!$C:$AA,17,0)-'TRADE IN'!$F15=0,"",(VLOOKUP($C15,REV!$C:$AA,17,0)-'TRADE IN'!$F15))</f>
        <v>999</v>
      </c>
      <c r="T15" s="56">
        <f>IF(VLOOKUP($C15,REV!$C:$AA,18,0)-'TRADE IN'!$F15=0,"",(VLOOKUP($C15,REV!$C:$AA,18,0)-'TRADE IN'!$F15))</f>
        <v>999</v>
      </c>
      <c r="U15" s="56">
        <f>IF(VLOOKUP($C15,REV!$C:$AA,19,0)-'TRADE IN'!$F15=0,"",(VLOOKUP($C15,REV!$C:$AA,19,0)-'TRADE IN'!$F15))</f>
        <v>999</v>
      </c>
      <c r="V15" s="56">
        <f>IF(VLOOKUP($C15,REV!$C:$AA,20,0)-'TRADE IN'!$F15=0,"",(VLOOKUP($C15,REV!$C:$AA,20,0)-'TRADE IN'!$F15))</f>
        <v>999</v>
      </c>
      <c r="W15" s="56">
        <f>IF(VLOOKUP($C15,REV!$C:$AA,21,0)-'TRADE IN'!$F15=0,"",(VLOOKUP($C15,REV!$C:$AA,21,0)-'TRADE IN'!$F15))</f>
        <v>999</v>
      </c>
      <c r="X15" s="56">
        <f>IF(VLOOKUP($C15,REV!$C:$AA,22,0)-'TRADE IN'!$F15=0,"",(VLOOKUP($C15,REV!$C:$AA,22,0)-'TRADE IN'!$F15))</f>
        <v>999</v>
      </c>
      <c r="Y15" s="56">
        <f>IF(VLOOKUP($C15,REV!$C:$AA,23,0)-'TRADE IN'!$F15=0,"",(VLOOKUP($C15,REV!$C:$AA,23,0)-'TRADE IN'!$F15))</f>
        <v>999</v>
      </c>
      <c r="Z15" s="56">
        <f>IF(VLOOKUP($C15,REV!$C:$AA,24,0)-'TRADE IN'!$F15=0,"",(VLOOKUP($C15,REV!$C:$AA,24,0)-'TRADE IN'!$F15))</f>
        <v>999</v>
      </c>
      <c r="AA15" s="56">
        <f>IF(VLOOKUP($C15,REV!$C:$AA,25,0)-'TRADE IN'!$F15=0,"",(VLOOKUP($C15,REV!$C:$AA,25,0)-'TRADE IN'!$F15))</f>
        <v>999</v>
      </c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7"/>
      <c r="AW15" s="58" t="str">
        <f>REV!AW15</f>
        <v>03.11.2026</v>
      </c>
      <c r="AX15" s="147" t="str">
        <f>VLOOKUP(C15,REV!C:AX,48,0)</f>
        <v>5G</v>
      </c>
    </row>
    <row r="16" spans="1:50" ht="22.5" customHeight="1">
      <c r="A16" s="51" t="s">
        <v>63</v>
      </c>
      <c r="B16" s="52" t="s">
        <v>64</v>
      </c>
      <c r="C16" s="53">
        <v>4014723</v>
      </c>
      <c r="D16" s="54" t="s">
        <v>72</v>
      </c>
      <c r="E16" s="54" t="s">
        <v>73</v>
      </c>
      <c r="F16" s="55"/>
      <c r="G16" s="55"/>
      <c r="H16" s="56"/>
      <c r="I16" s="56"/>
      <c r="J16" s="56">
        <f>IF(VLOOKUP($C16,REV!$C:$AA,8,0)-'TRADE IN'!$F16=0,"",(VLOOKUP($C16,REV!$C:$AA,8,0)-'TRADE IN'!$F16))</f>
        <v>3599</v>
      </c>
      <c r="K16" s="56">
        <f>IF(VLOOKUP($C16,REV!$C:$AA,9,0)-'TRADE IN'!$F16=0,"",(VLOOKUP($C16,REV!$C:$AA,9,0)-'TRADE IN'!$F16))</f>
        <v>3499</v>
      </c>
      <c r="L16" s="56">
        <f>IF(VLOOKUP($C16,REV!$C:$AA,10,0)-'TRADE IN'!$F16=0,"",(VLOOKUP($C16,REV!$C:$AA,10,0)-'TRADE IN'!$F16))</f>
        <v>3499</v>
      </c>
      <c r="M16" s="56">
        <f>IF(VLOOKUP($C16,REV!$C:$AA,11,0)-'TRADE IN'!$F16=0,"",(VLOOKUP($C16,REV!$C:$AA,11,0)-'TRADE IN'!$F16))</f>
        <v>3599</v>
      </c>
      <c r="N16" s="56">
        <f>IF(VLOOKUP($C16,REV!$C:$AA,12,0)-'TRADE IN'!$F16=0,"",(VLOOKUP($C16,REV!$C:$AA,12,0)-'TRADE IN'!$F16))</f>
        <v>3499</v>
      </c>
      <c r="O16" s="56">
        <f>IF(VLOOKUP($C16,REV!$C:$AA,13,0)-'TRADE IN'!$F16=0,"",(VLOOKUP($C16,REV!$C:$AA,13,0)-'TRADE IN'!$F16))</f>
        <v>3099</v>
      </c>
      <c r="P16" s="56">
        <f>IF(VLOOKUP($C16,REV!$C:$AA,14,0)-'TRADE IN'!$F16=0,"",(VLOOKUP($C16,REV!$C:$AA,14,0)-'TRADE IN'!$F16))</f>
        <v>2999</v>
      </c>
      <c r="Q16" s="56">
        <f>IF(VLOOKUP($C16,REV!$C:$AA,15,0)-'TRADE IN'!$F16=0,"",(VLOOKUP($C16,REV!$C:$AA,15,0)-'TRADE IN'!$F16))</f>
        <v>2499</v>
      </c>
      <c r="R16" s="56">
        <f>IF(VLOOKUP($C16,REV!$C:$AA,16,0)-'TRADE IN'!$F16=0,"",(VLOOKUP($C16,REV!$C:$AA,16,0)-'TRADE IN'!$F16))</f>
        <v>3099</v>
      </c>
      <c r="S16" s="56">
        <f>IF(VLOOKUP($C16,REV!$C:$AA,17,0)-'TRADE IN'!$F16=0,"",(VLOOKUP($C16,REV!$C:$AA,17,0)-'TRADE IN'!$F16))</f>
        <v>2999</v>
      </c>
      <c r="T16" s="56">
        <f>IF(VLOOKUP($C16,REV!$C:$AA,18,0)-'TRADE IN'!$F16=0,"",(VLOOKUP($C16,REV!$C:$AA,18,0)-'TRADE IN'!$F16))</f>
        <v>2499</v>
      </c>
      <c r="U16" s="56">
        <f>IF(VLOOKUP($C16,REV!$C:$AA,19,0)-'TRADE IN'!$F16=0,"",(VLOOKUP($C16,REV!$C:$AA,19,0)-'TRADE IN'!$F16))</f>
        <v>2499</v>
      </c>
      <c r="V16" s="56">
        <f>IF(VLOOKUP($C16,REV!$C:$AA,20,0)-'TRADE IN'!$F16=0,"",(VLOOKUP($C16,REV!$C:$AA,20,0)-'TRADE IN'!$F16))</f>
        <v>2499</v>
      </c>
      <c r="W16" s="56">
        <f>IF(VLOOKUP($C16,REV!$C:$AA,21,0)-'TRADE IN'!$F16=0,"",(VLOOKUP($C16,REV!$C:$AA,21,0)-'TRADE IN'!$F16))</f>
        <v>2499</v>
      </c>
      <c r="X16" s="56">
        <f>IF(VLOOKUP($C16,REV!$C:$AA,22,0)-'TRADE IN'!$F16=0,"",(VLOOKUP($C16,REV!$C:$AA,22,0)-'TRADE IN'!$F16))</f>
        <v>2299</v>
      </c>
      <c r="Y16" s="56">
        <f>IF(VLOOKUP($C16,REV!$C:$AA,23,0)-'TRADE IN'!$F16=0,"",(VLOOKUP($C16,REV!$C:$AA,23,0)-'TRADE IN'!$F16))</f>
        <v>1999</v>
      </c>
      <c r="Z16" s="56">
        <f>IF(VLOOKUP($C16,REV!$C:$AA,24,0)-'TRADE IN'!$F16=0,"",(VLOOKUP($C16,REV!$C:$AA,24,0)-'TRADE IN'!$F16))</f>
        <v>1999</v>
      </c>
      <c r="AA16" s="56">
        <f>IF(VLOOKUP($C16,REV!$C:$AA,25,0)-'TRADE IN'!$F16=0,"",(VLOOKUP($C16,REV!$C:$AA,25,0)-'TRADE IN'!$F16))</f>
        <v>1999</v>
      </c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7"/>
      <c r="AW16" s="58" t="str">
        <f>REV!AW16</f>
        <v>03.11.2026</v>
      </c>
      <c r="AX16" s="147" t="str">
        <f>VLOOKUP(C16,REV!C:AX,48,0)</f>
        <v>5G</v>
      </c>
    </row>
    <row r="17" spans="1:50" ht="22.5" customHeight="1">
      <c r="A17" s="51" t="s">
        <v>63</v>
      </c>
      <c r="B17" s="52" t="s">
        <v>64</v>
      </c>
      <c r="C17" s="53">
        <v>4014594</v>
      </c>
      <c r="D17" s="54" t="s">
        <v>74</v>
      </c>
      <c r="E17" s="54" t="s">
        <v>75</v>
      </c>
      <c r="F17" s="55"/>
      <c r="G17" s="55"/>
      <c r="H17" s="56"/>
      <c r="I17" s="56"/>
      <c r="J17" s="56">
        <f>IF(VLOOKUP($C17,REV!$C:$AA,8,0)-'TRADE IN'!$F17=0,"",(VLOOKUP($C17,REV!$C:$AA,8,0)-'TRADE IN'!$F17))</f>
        <v>3799</v>
      </c>
      <c r="K17" s="56">
        <f>IF(VLOOKUP($C17,REV!$C:$AA,9,0)-'TRADE IN'!$F17=0,"",(VLOOKUP($C17,REV!$C:$AA,9,0)-'TRADE IN'!$F17))</f>
        <v>3799</v>
      </c>
      <c r="L17" s="56">
        <f>IF(VLOOKUP($C17,REV!$C:$AA,10,0)-'TRADE IN'!$F17=0,"",(VLOOKUP($C17,REV!$C:$AA,10,0)-'TRADE IN'!$F17))</f>
        <v>3799</v>
      </c>
      <c r="M17" s="56">
        <f>IF(VLOOKUP($C17,REV!$C:$AA,11,0)-'TRADE IN'!$F17=0,"",(VLOOKUP($C17,REV!$C:$AA,11,0)-'TRADE IN'!$F17))</f>
        <v>3799</v>
      </c>
      <c r="N17" s="56">
        <f>IF(VLOOKUP($C17,REV!$C:$AA,12,0)-'TRADE IN'!$F17=0,"",(VLOOKUP($C17,REV!$C:$AA,12,0)-'TRADE IN'!$F17))</f>
        <v>3799</v>
      </c>
      <c r="O17" s="56">
        <f>IF(VLOOKUP($C17,REV!$C:$AA,13,0)-'TRADE IN'!$F17=0,"",(VLOOKUP($C17,REV!$C:$AA,13,0)-'TRADE IN'!$F17))</f>
        <v>3599</v>
      </c>
      <c r="P17" s="56">
        <f>IF(VLOOKUP($C17,REV!$C:$AA,14,0)-'TRADE IN'!$F17=0,"",(VLOOKUP($C17,REV!$C:$AA,14,0)-'TRADE IN'!$F17))</f>
        <v>3499</v>
      </c>
      <c r="Q17" s="56">
        <f>IF(VLOOKUP($C17,REV!$C:$AA,15,0)-'TRADE IN'!$F17=0,"",(VLOOKUP($C17,REV!$C:$AA,15,0)-'TRADE IN'!$F17))</f>
        <v>2999</v>
      </c>
      <c r="R17" s="56">
        <f>IF(VLOOKUP($C17,REV!$C:$AA,16,0)-'TRADE IN'!$F17=0,"",(VLOOKUP($C17,REV!$C:$AA,16,0)-'TRADE IN'!$F17))</f>
        <v>3599</v>
      </c>
      <c r="S17" s="56">
        <f>IF(VLOOKUP($C17,REV!$C:$AA,17,0)-'TRADE IN'!$F17=0,"",(VLOOKUP($C17,REV!$C:$AA,17,0)-'TRADE IN'!$F17))</f>
        <v>3499</v>
      </c>
      <c r="T17" s="56">
        <f>IF(VLOOKUP($C17,REV!$C:$AA,18,0)-'TRADE IN'!$F17=0,"",(VLOOKUP($C17,REV!$C:$AA,18,0)-'TRADE IN'!$F17))</f>
        <v>2999</v>
      </c>
      <c r="U17" s="56">
        <f>IF(VLOOKUP($C17,REV!$C:$AA,19,0)-'TRADE IN'!$F17=0,"",(VLOOKUP($C17,REV!$C:$AA,19,0)-'TRADE IN'!$F17))</f>
        <v>2999</v>
      </c>
      <c r="V17" s="56">
        <f>IF(VLOOKUP($C17,REV!$C:$AA,20,0)-'TRADE IN'!$F17=0,"",(VLOOKUP($C17,REV!$C:$AA,20,0)-'TRADE IN'!$F17))</f>
        <v>2999</v>
      </c>
      <c r="W17" s="56">
        <f>IF(VLOOKUP($C17,REV!$C:$AA,21,0)-'TRADE IN'!$F17=0,"",(VLOOKUP($C17,REV!$C:$AA,21,0)-'TRADE IN'!$F17))</f>
        <v>2999</v>
      </c>
      <c r="X17" s="56">
        <f>IF(VLOOKUP($C17,REV!$C:$AA,22,0)-'TRADE IN'!$F17=0,"",(VLOOKUP($C17,REV!$C:$AA,22,0)-'TRADE IN'!$F17))</f>
        <v>2799</v>
      </c>
      <c r="Y17" s="56">
        <f>IF(VLOOKUP($C17,REV!$C:$AA,23,0)-'TRADE IN'!$F17=0,"",(VLOOKUP($C17,REV!$C:$AA,23,0)-'TRADE IN'!$F17))</f>
        <v>2499</v>
      </c>
      <c r="Z17" s="56">
        <f>IF(VLOOKUP($C17,REV!$C:$AA,24,0)-'TRADE IN'!$F17=0,"",(VLOOKUP($C17,REV!$C:$AA,24,0)-'TRADE IN'!$F17))</f>
        <v>2499</v>
      </c>
      <c r="AA17" s="56">
        <f>IF(VLOOKUP($C17,REV!$C:$AA,25,0)-'TRADE IN'!$F17=0,"",(VLOOKUP($C17,REV!$C:$AA,25,0)-'TRADE IN'!$F17))</f>
        <v>2499</v>
      </c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7"/>
      <c r="AW17" s="58" t="str">
        <f>REV!AW17</f>
        <v>03.11.2026</v>
      </c>
      <c r="AX17" s="147" t="str">
        <f>VLOOKUP(C17,REV!C:AX,48,0)</f>
        <v>5G</v>
      </c>
    </row>
    <row r="18" spans="1:50" ht="22.5" customHeight="1">
      <c r="A18" s="51" t="s">
        <v>63</v>
      </c>
      <c r="B18" s="52" t="s">
        <v>64</v>
      </c>
      <c r="C18" s="53">
        <v>4014837</v>
      </c>
      <c r="D18" s="54" t="s">
        <v>74</v>
      </c>
      <c r="E18" s="54" t="s">
        <v>76</v>
      </c>
      <c r="F18" s="55"/>
      <c r="G18" s="55"/>
      <c r="H18" s="56"/>
      <c r="I18" s="56"/>
      <c r="J18" s="56">
        <f>IF(VLOOKUP($C18,REV!$C:$AA,8,0)-'TRADE IN'!$F18=0,"",(VLOOKUP($C18,REV!$C:$AA,8,0)-'TRADE IN'!$F18))</f>
        <v>3799</v>
      </c>
      <c r="K18" s="56">
        <f>IF(VLOOKUP($C18,REV!$C:$AA,9,0)-'TRADE IN'!$F18=0,"",(VLOOKUP($C18,REV!$C:$AA,9,0)-'TRADE IN'!$F18))</f>
        <v>3799</v>
      </c>
      <c r="L18" s="56">
        <f>IF(VLOOKUP($C18,REV!$C:$AA,10,0)-'TRADE IN'!$F18=0,"",(VLOOKUP($C18,REV!$C:$AA,10,0)-'TRADE IN'!$F18))</f>
        <v>3799</v>
      </c>
      <c r="M18" s="56">
        <f>IF(VLOOKUP($C18,REV!$C:$AA,11,0)-'TRADE IN'!$F18=0,"",(VLOOKUP($C18,REV!$C:$AA,11,0)-'TRADE IN'!$F18))</f>
        <v>3799</v>
      </c>
      <c r="N18" s="56">
        <f>IF(VLOOKUP($C18,REV!$C:$AA,12,0)-'TRADE IN'!$F18=0,"",(VLOOKUP($C18,REV!$C:$AA,12,0)-'TRADE IN'!$F18))</f>
        <v>3799</v>
      </c>
      <c r="O18" s="56">
        <f>IF(VLOOKUP($C18,REV!$C:$AA,13,0)-'TRADE IN'!$F18=0,"",(VLOOKUP($C18,REV!$C:$AA,13,0)-'TRADE IN'!$F18))</f>
        <v>3599</v>
      </c>
      <c r="P18" s="56">
        <f>IF(VLOOKUP($C18,REV!$C:$AA,14,0)-'TRADE IN'!$F18=0,"",(VLOOKUP($C18,REV!$C:$AA,14,0)-'TRADE IN'!$F18))</f>
        <v>3499</v>
      </c>
      <c r="Q18" s="56">
        <f>IF(VLOOKUP($C18,REV!$C:$AA,15,0)-'TRADE IN'!$F18=0,"",(VLOOKUP($C18,REV!$C:$AA,15,0)-'TRADE IN'!$F18))</f>
        <v>2999</v>
      </c>
      <c r="R18" s="56">
        <f>IF(VLOOKUP($C18,REV!$C:$AA,16,0)-'TRADE IN'!$F18=0,"",(VLOOKUP($C18,REV!$C:$AA,16,0)-'TRADE IN'!$F18))</f>
        <v>3599</v>
      </c>
      <c r="S18" s="56">
        <f>IF(VLOOKUP($C18,REV!$C:$AA,17,0)-'TRADE IN'!$F18=0,"",(VLOOKUP($C18,REV!$C:$AA,17,0)-'TRADE IN'!$F18))</f>
        <v>3499</v>
      </c>
      <c r="T18" s="56">
        <f>IF(VLOOKUP($C18,REV!$C:$AA,18,0)-'TRADE IN'!$F18=0,"",(VLOOKUP($C18,REV!$C:$AA,18,0)-'TRADE IN'!$F18))</f>
        <v>2999</v>
      </c>
      <c r="U18" s="56">
        <f>IF(VLOOKUP($C18,REV!$C:$AA,19,0)-'TRADE IN'!$F18=0,"",(VLOOKUP($C18,REV!$C:$AA,19,0)-'TRADE IN'!$F18))</f>
        <v>2999</v>
      </c>
      <c r="V18" s="56">
        <f>IF(VLOOKUP($C18,REV!$C:$AA,20,0)-'TRADE IN'!$F18=0,"",(VLOOKUP($C18,REV!$C:$AA,20,0)-'TRADE IN'!$F18))</f>
        <v>2999</v>
      </c>
      <c r="W18" s="56">
        <f>IF(VLOOKUP($C18,REV!$C:$AA,21,0)-'TRADE IN'!$F18=0,"",(VLOOKUP($C18,REV!$C:$AA,21,0)-'TRADE IN'!$F18))</f>
        <v>2999</v>
      </c>
      <c r="X18" s="56">
        <f>IF(VLOOKUP($C18,REV!$C:$AA,22,0)-'TRADE IN'!$F18=0,"",(VLOOKUP($C18,REV!$C:$AA,22,0)-'TRADE IN'!$F18))</f>
        <v>2799</v>
      </c>
      <c r="Y18" s="56">
        <f>IF(VLOOKUP($C18,REV!$C:$AA,23,0)-'TRADE IN'!$F18=0,"",(VLOOKUP($C18,REV!$C:$AA,23,0)-'TRADE IN'!$F18))</f>
        <v>2499</v>
      </c>
      <c r="Z18" s="56">
        <f>IF(VLOOKUP($C18,REV!$C:$AA,24,0)-'TRADE IN'!$F18=0,"",(VLOOKUP($C18,REV!$C:$AA,24,0)-'TRADE IN'!$F18))</f>
        <v>2499</v>
      </c>
      <c r="AA18" s="56">
        <f>IF(VLOOKUP($C18,REV!$C:$AA,25,0)-'TRADE IN'!$F18=0,"",(VLOOKUP($C18,REV!$C:$AA,25,0)-'TRADE IN'!$F18))</f>
        <v>2499</v>
      </c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7"/>
      <c r="AW18" s="58" t="str">
        <f>REV!AW18</f>
        <v>03.11.2026</v>
      </c>
      <c r="AX18" s="147" t="str">
        <f>VLOOKUP(C18,REV!C:AX,48,0)</f>
        <v>5G</v>
      </c>
    </row>
    <row r="19" spans="1:50" ht="22.5" customHeight="1">
      <c r="A19" s="51" t="s">
        <v>63</v>
      </c>
      <c r="B19" s="52" t="s">
        <v>64</v>
      </c>
      <c r="C19" s="53">
        <v>4014833</v>
      </c>
      <c r="D19" s="54" t="s">
        <v>74</v>
      </c>
      <c r="E19" s="54" t="s">
        <v>77</v>
      </c>
      <c r="F19" s="55"/>
      <c r="G19" s="55"/>
      <c r="H19" s="56"/>
      <c r="I19" s="56"/>
      <c r="J19" s="56">
        <f>IF(VLOOKUP($C19,REV!$C:$AA,8,0)-'TRADE IN'!$F19=0,"",(VLOOKUP($C19,REV!$C:$AA,8,0)-'TRADE IN'!$F19))</f>
        <v>3799</v>
      </c>
      <c r="K19" s="56">
        <f>IF(VLOOKUP($C19,REV!$C:$AA,9,0)-'TRADE IN'!$F19=0,"",(VLOOKUP($C19,REV!$C:$AA,9,0)-'TRADE IN'!$F19))</f>
        <v>3799</v>
      </c>
      <c r="L19" s="56">
        <f>IF(VLOOKUP($C19,REV!$C:$AA,10,0)-'TRADE IN'!$F19=0,"",(VLOOKUP($C19,REV!$C:$AA,10,0)-'TRADE IN'!$F19))</f>
        <v>3799</v>
      </c>
      <c r="M19" s="56">
        <f>IF(VLOOKUP($C19,REV!$C:$AA,11,0)-'TRADE IN'!$F19=0,"",(VLOOKUP($C19,REV!$C:$AA,11,0)-'TRADE IN'!$F19))</f>
        <v>3799</v>
      </c>
      <c r="N19" s="56">
        <f>IF(VLOOKUP($C19,REV!$C:$AA,12,0)-'TRADE IN'!$F19=0,"",(VLOOKUP($C19,REV!$C:$AA,12,0)-'TRADE IN'!$F19))</f>
        <v>3799</v>
      </c>
      <c r="O19" s="56">
        <f>IF(VLOOKUP($C19,REV!$C:$AA,13,0)-'TRADE IN'!$F19=0,"",(VLOOKUP($C19,REV!$C:$AA,13,0)-'TRADE IN'!$F19))</f>
        <v>3599</v>
      </c>
      <c r="P19" s="56">
        <f>IF(VLOOKUP($C19,REV!$C:$AA,14,0)-'TRADE IN'!$F19=0,"",(VLOOKUP($C19,REV!$C:$AA,14,0)-'TRADE IN'!$F19))</f>
        <v>3499</v>
      </c>
      <c r="Q19" s="56">
        <f>IF(VLOOKUP($C19,REV!$C:$AA,15,0)-'TRADE IN'!$F19=0,"",(VLOOKUP($C19,REV!$C:$AA,15,0)-'TRADE IN'!$F19))</f>
        <v>2999</v>
      </c>
      <c r="R19" s="56">
        <f>IF(VLOOKUP($C19,REV!$C:$AA,16,0)-'TRADE IN'!$F19=0,"",(VLOOKUP($C19,REV!$C:$AA,16,0)-'TRADE IN'!$F19))</f>
        <v>3599</v>
      </c>
      <c r="S19" s="56">
        <f>IF(VLOOKUP($C19,REV!$C:$AA,17,0)-'TRADE IN'!$F19=0,"",(VLOOKUP($C19,REV!$C:$AA,17,0)-'TRADE IN'!$F19))</f>
        <v>3499</v>
      </c>
      <c r="T19" s="56">
        <f>IF(VLOOKUP($C19,REV!$C:$AA,18,0)-'TRADE IN'!$F19=0,"",(VLOOKUP($C19,REV!$C:$AA,18,0)-'TRADE IN'!$F19))</f>
        <v>2999</v>
      </c>
      <c r="U19" s="56">
        <f>IF(VLOOKUP($C19,REV!$C:$AA,19,0)-'TRADE IN'!$F19=0,"",(VLOOKUP($C19,REV!$C:$AA,19,0)-'TRADE IN'!$F19))</f>
        <v>2999</v>
      </c>
      <c r="V19" s="56">
        <f>IF(VLOOKUP($C19,REV!$C:$AA,20,0)-'TRADE IN'!$F19=0,"",(VLOOKUP($C19,REV!$C:$AA,20,0)-'TRADE IN'!$F19))</f>
        <v>2999</v>
      </c>
      <c r="W19" s="56">
        <f>IF(VLOOKUP($C19,REV!$C:$AA,21,0)-'TRADE IN'!$F19=0,"",(VLOOKUP($C19,REV!$C:$AA,21,0)-'TRADE IN'!$F19))</f>
        <v>2999</v>
      </c>
      <c r="X19" s="56">
        <f>IF(VLOOKUP($C19,REV!$C:$AA,22,0)-'TRADE IN'!$F19=0,"",(VLOOKUP($C19,REV!$C:$AA,22,0)-'TRADE IN'!$F19))</f>
        <v>2799</v>
      </c>
      <c r="Y19" s="56">
        <f>IF(VLOOKUP($C19,REV!$C:$AA,23,0)-'TRADE IN'!$F19=0,"",(VLOOKUP($C19,REV!$C:$AA,23,0)-'TRADE IN'!$F19))</f>
        <v>2499</v>
      </c>
      <c r="Z19" s="56">
        <f>IF(VLOOKUP($C19,REV!$C:$AA,24,0)-'TRADE IN'!$F19=0,"",(VLOOKUP($C19,REV!$C:$AA,24,0)-'TRADE IN'!$F19))</f>
        <v>2499</v>
      </c>
      <c r="AA19" s="56">
        <f>IF(VLOOKUP($C19,REV!$C:$AA,25,0)-'TRADE IN'!$F19=0,"",(VLOOKUP($C19,REV!$C:$AA,25,0)-'TRADE IN'!$F19))</f>
        <v>2499</v>
      </c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7"/>
      <c r="AW19" s="58" t="str">
        <f>REV!AW19</f>
        <v>03.11.2026</v>
      </c>
      <c r="AX19" s="147" t="str">
        <f>VLOOKUP(C19,REV!C:AX,48,0)</f>
        <v>5G</v>
      </c>
    </row>
    <row r="20" spans="1:50" ht="22.5" customHeight="1">
      <c r="A20" s="51" t="s">
        <v>63</v>
      </c>
      <c r="B20" s="52" t="s">
        <v>64</v>
      </c>
      <c r="C20" s="53">
        <v>4014836</v>
      </c>
      <c r="D20" s="54" t="s">
        <v>74</v>
      </c>
      <c r="E20" s="54" t="s">
        <v>78</v>
      </c>
      <c r="F20" s="55"/>
      <c r="G20" s="55"/>
      <c r="H20" s="56"/>
      <c r="I20" s="56"/>
      <c r="J20" s="56">
        <f>IF(VLOOKUP($C20,REV!$C:$AA,8,0)-'TRADE IN'!$F20=0,"",(VLOOKUP($C20,REV!$C:$AA,8,0)-'TRADE IN'!$F20))</f>
        <v>3799</v>
      </c>
      <c r="K20" s="56">
        <f>IF(VLOOKUP($C20,REV!$C:$AA,9,0)-'TRADE IN'!$F20=0,"",(VLOOKUP($C20,REV!$C:$AA,9,0)-'TRADE IN'!$F20))</f>
        <v>3799</v>
      </c>
      <c r="L20" s="56">
        <f>IF(VLOOKUP($C20,REV!$C:$AA,10,0)-'TRADE IN'!$F20=0,"",(VLOOKUP($C20,REV!$C:$AA,10,0)-'TRADE IN'!$F20))</f>
        <v>3799</v>
      </c>
      <c r="M20" s="56">
        <f>IF(VLOOKUP($C20,REV!$C:$AA,11,0)-'TRADE IN'!$F20=0,"",(VLOOKUP($C20,REV!$C:$AA,11,0)-'TRADE IN'!$F20))</f>
        <v>3799</v>
      </c>
      <c r="N20" s="56">
        <f>IF(VLOOKUP($C20,REV!$C:$AA,12,0)-'TRADE IN'!$F20=0,"",(VLOOKUP($C20,REV!$C:$AA,12,0)-'TRADE IN'!$F20))</f>
        <v>3799</v>
      </c>
      <c r="O20" s="56">
        <f>IF(VLOOKUP($C20,REV!$C:$AA,13,0)-'TRADE IN'!$F20=0,"",(VLOOKUP($C20,REV!$C:$AA,13,0)-'TRADE IN'!$F20))</f>
        <v>3599</v>
      </c>
      <c r="P20" s="56">
        <f>IF(VLOOKUP($C20,REV!$C:$AA,14,0)-'TRADE IN'!$F20=0,"",(VLOOKUP($C20,REV!$C:$AA,14,0)-'TRADE IN'!$F20))</f>
        <v>3499</v>
      </c>
      <c r="Q20" s="56">
        <f>IF(VLOOKUP($C20,REV!$C:$AA,15,0)-'TRADE IN'!$F20=0,"",(VLOOKUP($C20,REV!$C:$AA,15,0)-'TRADE IN'!$F20))</f>
        <v>2999</v>
      </c>
      <c r="R20" s="56">
        <f>IF(VLOOKUP($C20,REV!$C:$AA,16,0)-'TRADE IN'!$F20=0,"",(VLOOKUP($C20,REV!$C:$AA,16,0)-'TRADE IN'!$F20))</f>
        <v>3599</v>
      </c>
      <c r="S20" s="56">
        <f>IF(VLOOKUP($C20,REV!$C:$AA,17,0)-'TRADE IN'!$F20=0,"",(VLOOKUP($C20,REV!$C:$AA,17,0)-'TRADE IN'!$F20))</f>
        <v>3499</v>
      </c>
      <c r="T20" s="56">
        <f>IF(VLOOKUP($C20,REV!$C:$AA,18,0)-'TRADE IN'!$F20=0,"",(VLOOKUP($C20,REV!$C:$AA,18,0)-'TRADE IN'!$F20))</f>
        <v>2999</v>
      </c>
      <c r="U20" s="56">
        <f>IF(VLOOKUP($C20,REV!$C:$AA,19,0)-'TRADE IN'!$F20=0,"",(VLOOKUP($C20,REV!$C:$AA,19,0)-'TRADE IN'!$F20))</f>
        <v>2999</v>
      </c>
      <c r="V20" s="56">
        <f>IF(VLOOKUP($C20,REV!$C:$AA,20,0)-'TRADE IN'!$F20=0,"",(VLOOKUP($C20,REV!$C:$AA,20,0)-'TRADE IN'!$F20))</f>
        <v>2999</v>
      </c>
      <c r="W20" s="56">
        <f>IF(VLOOKUP($C20,REV!$C:$AA,21,0)-'TRADE IN'!$F20=0,"",(VLOOKUP($C20,REV!$C:$AA,21,0)-'TRADE IN'!$F20))</f>
        <v>2999</v>
      </c>
      <c r="X20" s="56">
        <f>IF(VLOOKUP($C20,REV!$C:$AA,22,0)-'TRADE IN'!$F20=0,"",(VLOOKUP($C20,REV!$C:$AA,22,0)-'TRADE IN'!$F20))</f>
        <v>2799</v>
      </c>
      <c r="Y20" s="56">
        <f>IF(VLOOKUP($C20,REV!$C:$AA,23,0)-'TRADE IN'!$F20=0,"",(VLOOKUP($C20,REV!$C:$AA,23,0)-'TRADE IN'!$F20))</f>
        <v>2499</v>
      </c>
      <c r="Z20" s="56">
        <f>IF(VLOOKUP($C20,REV!$C:$AA,24,0)-'TRADE IN'!$F20=0,"",(VLOOKUP($C20,REV!$C:$AA,24,0)-'TRADE IN'!$F20))</f>
        <v>2499</v>
      </c>
      <c r="AA20" s="56">
        <f>IF(VLOOKUP($C20,REV!$C:$AA,25,0)-'TRADE IN'!$F20=0,"",(VLOOKUP($C20,REV!$C:$AA,25,0)-'TRADE IN'!$F20))</f>
        <v>2499</v>
      </c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7"/>
      <c r="AW20" s="58" t="str">
        <f>REV!AW20</f>
        <v>03.11.2026</v>
      </c>
      <c r="AX20" s="147" t="str">
        <f>VLOOKUP(C20,REV!C:AX,48,0)</f>
        <v>5G</v>
      </c>
    </row>
    <row r="21" spans="1:50" ht="22.5" customHeight="1">
      <c r="A21" s="51" t="s">
        <v>63</v>
      </c>
      <c r="B21" s="52" t="s">
        <v>64</v>
      </c>
      <c r="C21" s="53">
        <v>4015185</v>
      </c>
      <c r="D21" s="54" t="s">
        <v>79</v>
      </c>
      <c r="E21" s="54" t="s">
        <v>80</v>
      </c>
      <c r="F21" s="55"/>
      <c r="G21" s="55"/>
      <c r="H21" s="56"/>
      <c r="I21" s="56"/>
      <c r="J21" s="56">
        <f>IF(VLOOKUP($C21,REV!$C:$AA,8,0)-'TRADE IN'!$F21=0,"",(VLOOKUP($C21,REV!$C:$AA,8,0)-'TRADE IN'!$F21))</f>
        <v>4199</v>
      </c>
      <c r="K21" s="56">
        <f>IF(VLOOKUP($C21,REV!$C:$AA,9,0)-'TRADE IN'!$F21=0,"",(VLOOKUP($C21,REV!$C:$AA,9,0)-'TRADE IN'!$F21))</f>
        <v>4199</v>
      </c>
      <c r="L21" s="56">
        <f>IF(VLOOKUP($C21,REV!$C:$AA,10,0)-'TRADE IN'!$F21=0,"",(VLOOKUP($C21,REV!$C:$AA,10,0)-'TRADE IN'!$F21))</f>
        <v>4199</v>
      </c>
      <c r="M21" s="56">
        <f>IF(VLOOKUP($C21,REV!$C:$AA,11,0)-'TRADE IN'!$F21=0,"",(VLOOKUP($C21,REV!$C:$AA,11,0)-'TRADE IN'!$F21))</f>
        <v>4199</v>
      </c>
      <c r="N21" s="56">
        <f>IF(VLOOKUP($C21,REV!$C:$AA,12,0)-'TRADE IN'!$F21=0,"",(VLOOKUP($C21,REV!$C:$AA,12,0)-'TRADE IN'!$F21))</f>
        <v>4199</v>
      </c>
      <c r="O21" s="56">
        <f>IF(VLOOKUP($C21,REV!$C:$AA,13,0)-'TRADE IN'!$F21=0,"",(VLOOKUP($C21,REV!$C:$AA,13,0)-'TRADE IN'!$F21))</f>
        <v>3899</v>
      </c>
      <c r="P21" s="56">
        <f>IF(VLOOKUP($C21,REV!$C:$AA,14,0)-'TRADE IN'!$F21=0,"",(VLOOKUP($C21,REV!$C:$AA,14,0)-'TRADE IN'!$F21))</f>
        <v>3799</v>
      </c>
      <c r="Q21" s="56">
        <f>IF(VLOOKUP($C21,REV!$C:$AA,15,0)-'TRADE IN'!$F21=0,"",(VLOOKUP($C21,REV!$C:$AA,15,0)-'TRADE IN'!$F21))</f>
        <v>3099</v>
      </c>
      <c r="R21" s="56">
        <f>IF(VLOOKUP($C21,REV!$C:$AA,16,0)-'TRADE IN'!$F21=0,"",(VLOOKUP($C21,REV!$C:$AA,16,0)-'TRADE IN'!$F21))</f>
        <v>3899</v>
      </c>
      <c r="S21" s="56">
        <f>IF(VLOOKUP($C21,REV!$C:$AA,17,0)-'TRADE IN'!$F21=0,"",(VLOOKUP($C21,REV!$C:$AA,17,0)-'TRADE IN'!$F21))</f>
        <v>3799</v>
      </c>
      <c r="T21" s="56">
        <f>IF(VLOOKUP($C21,REV!$C:$AA,18,0)-'TRADE IN'!$F21=0,"",(VLOOKUP($C21,REV!$C:$AA,18,0)-'TRADE IN'!$F21))</f>
        <v>3099</v>
      </c>
      <c r="U21" s="56">
        <f>IF(VLOOKUP($C21,REV!$C:$AA,19,0)-'TRADE IN'!$F21=0,"",(VLOOKUP($C21,REV!$C:$AA,19,0)-'TRADE IN'!$F21))</f>
        <v>3099</v>
      </c>
      <c r="V21" s="56">
        <f>IF(VLOOKUP($C21,REV!$C:$AA,20,0)-'TRADE IN'!$F21=0,"",(VLOOKUP($C21,REV!$C:$AA,20,0)-'TRADE IN'!$F21))</f>
        <v>3099</v>
      </c>
      <c r="W21" s="56">
        <f>IF(VLOOKUP($C21,REV!$C:$AA,21,0)-'TRADE IN'!$F21=0,"",(VLOOKUP($C21,REV!$C:$AA,21,0)-'TRADE IN'!$F21))</f>
        <v>3099</v>
      </c>
      <c r="X21" s="56">
        <f>IF(VLOOKUP($C21,REV!$C:$AA,22,0)-'TRADE IN'!$F21=0,"",(VLOOKUP($C21,REV!$C:$AA,22,0)-'TRADE IN'!$F21))</f>
        <v>2999</v>
      </c>
      <c r="Y21" s="56">
        <f>IF(VLOOKUP($C21,REV!$C:$AA,23,0)-'TRADE IN'!$F21=0,"",(VLOOKUP($C21,REV!$C:$AA,23,0)-'TRADE IN'!$F21))</f>
        <v>2499</v>
      </c>
      <c r="Z21" s="56">
        <f>IF(VLOOKUP($C21,REV!$C:$AA,24,0)-'TRADE IN'!$F21=0,"",(VLOOKUP($C21,REV!$C:$AA,24,0)-'TRADE IN'!$F21))</f>
        <v>2499</v>
      </c>
      <c r="AA21" s="56">
        <f>IF(VLOOKUP($C21,REV!$C:$AA,25,0)-'TRADE IN'!$F21=0,"",(VLOOKUP($C21,REV!$C:$AA,25,0)-'TRADE IN'!$F21))</f>
        <v>2499</v>
      </c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7"/>
      <c r="AW21" s="58" t="str">
        <f>REV!AW21</f>
        <v>03.11.2026</v>
      </c>
      <c r="AX21" s="147" t="str">
        <f>VLOOKUP(C21,REV!C:AX,48,0)</f>
        <v>5G</v>
      </c>
    </row>
    <row r="22" spans="1:50" ht="22.5" customHeight="1">
      <c r="A22" s="51" t="s">
        <v>63</v>
      </c>
      <c r="B22" s="52" t="s">
        <v>64</v>
      </c>
      <c r="C22" s="53">
        <v>4015262</v>
      </c>
      <c r="D22" s="54" t="s">
        <v>79</v>
      </c>
      <c r="E22" s="54" t="s">
        <v>81</v>
      </c>
      <c r="F22" s="55"/>
      <c r="G22" s="55"/>
      <c r="H22" s="56"/>
      <c r="I22" s="56"/>
      <c r="J22" s="56">
        <f>IF(VLOOKUP($C22,REV!$C:$AA,8,0)-'TRADE IN'!$F22=0,"",(VLOOKUP($C22,REV!$C:$AA,8,0)-'TRADE IN'!$F22))</f>
        <v>4199</v>
      </c>
      <c r="K22" s="56">
        <f>IF(VLOOKUP($C22,REV!$C:$AA,9,0)-'TRADE IN'!$F22=0,"",(VLOOKUP($C22,REV!$C:$AA,9,0)-'TRADE IN'!$F22))</f>
        <v>4199</v>
      </c>
      <c r="L22" s="56">
        <f>IF(VLOOKUP($C22,REV!$C:$AA,10,0)-'TRADE IN'!$F22=0,"",(VLOOKUP($C22,REV!$C:$AA,10,0)-'TRADE IN'!$F22))</f>
        <v>4199</v>
      </c>
      <c r="M22" s="56">
        <f>IF(VLOOKUP($C22,REV!$C:$AA,11,0)-'TRADE IN'!$F22=0,"",(VLOOKUP($C22,REV!$C:$AA,11,0)-'TRADE IN'!$F22))</f>
        <v>4199</v>
      </c>
      <c r="N22" s="56">
        <f>IF(VLOOKUP($C22,REV!$C:$AA,12,0)-'TRADE IN'!$F22=0,"",(VLOOKUP($C22,REV!$C:$AA,12,0)-'TRADE IN'!$F22))</f>
        <v>4199</v>
      </c>
      <c r="O22" s="56">
        <f>IF(VLOOKUP($C22,REV!$C:$AA,13,0)-'TRADE IN'!$F22=0,"",(VLOOKUP($C22,REV!$C:$AA,13,0)-'TRADE IN'!$F22))</f>
        <v>3899</v>
      </c>
      <c r="P22" s="56">
        <f>IF(VLOOKUP($C22,REV!$C:$AA,14,0)-'TRADE IN'!$F22=0,"",(VLOOKUP($C22,REV!$C:$AA,14,0)-'TRADE IN'!$F22))</f>
        <v>3799</v>
      </c>
      <c r="Q22" s="56">
        <f>IF(VLOOKUP($C22,REV!$C:$AA,15,0)-'TRADE IN'!$F22=0,"",(VLOOKUP($C22,REV!$C:$AA,15,0)-'TRADE IN'!$F22))</f>
        <v>3099</v>
      </c>
      <c r="R22" s="56">
        <f>IF(VLOOKUP($C22,REV!$C:$AA,16,0)-'TRADE IN'!$F22=0,"",(VLOOKUP($C22,REV!$C:$AA,16,0)-'TRADE IN'!$F22))</f>
        <v>3899</v>
      </c>
      <c r="S22" s="56">
        <f>IF(VLOOKUP($C22,REV!$C:$AA,17,0)-'TRADE IN'!$F22=0,"",(VLOOKUP($C22,REV!$C:$AA,17,0)-'TRADE IN'!$F22))</f>
        <v>3799</v>
      </c>
      <c r="T22" s="56">
        <f>IF(VLOOKUP($C22,REV!$C:$AA,18,0)-'TRADE IN'!$F22=0,"",(VLOOKUP($C22,REV!$C:$AA,18,0)-'TRADE IN'!$F22))</f>
        <v>3099</v>
      </c>
      <c r="U22" s="56">
        <f>IF(VLOOKUP($C22,REV!$C:$AA,19,0)-'TRADE IN'!$F22=0,"",(VLOOKUP($C22,REV!$C:$AA,19,0)-'TRADE IN'!$F22))</f>
        <v>3099</v>
      </c>
      <c r="V22" s="56">
        <f>IF(VLOOKUP($C22,REV!$C:$AA,20,0)-'TRADE IN'!$F22=0,"",(VLOOKUP($C22,REV!$C:$AA,20,0)-'TRADE IN'!$F22))</f>
        <v>3099</v>
      </c>
      <c r="W22" s="56">
        <f>IF(VLOOKUP($C22,REV!$C:$AA,21,0)-'TRADE IN'!$F22=0,"",(VLOOKUP($C22,REV!$C:$AA,21,0)-'TRADE IN'!$F22))</f>
        <v>3099</v>
      </c>
      <c r="X22" s="56">
        <f>IF(VLOOKUP($C22,REV!$C:$AA,22,0)-'TRADE IN'!$F22=0,"",(VLOOKUP($C22,REV!$C:$AA,22,0)-'TRADE IN'!$F22))</f>
        <v>2999</v>
      </c>
      <c r="Y22" s="56">
        <f>IF(VLOOKUP($C22,REV!$C:$AA,23,0)-'TRADE IN'!$F22=0,"",(VLOOKUP($C22,REV!$C:$AA,23,0)-'TRADE IN'!$F22))</f>
        <v>2499</v>
      </c>
      <c r="Z22" s="56">
        <f>IF(VLOOKUP($C22,REV!$C:$AA,24,0)-'TRADE IN'!$F22=0,"",(VLOOKUP($C22,REV!$C:$AA,24,0)-'TRADE IN'!$F22))</f>
        <v>2499</v>
      </c>
      <c r="AA22" s="56">
        <f>IF(VLOOKUP($C22,REV!$C:$AA,25,0)-'TRADE IN'!$F22=0,"",(VLOOKUP($C22,REV!$C:$AA,25,0)-'TRADE IN'!$F22))</f>
        <v>2499</v>
      </c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7"/>
      <c r="AW22" s="58" t="str">
        <f>REV!AW22</f>
        <v>03.11.2026</v>
      </c>
      <c r="AX22" s="147" t="str">
        <f>VLOOKUP(C22,REV!C:AX,48,0)</f>
        <v>5G</v>
      </c>
    </row>
    <row r="23" spans="1:50" ht="22.5" customHeight="1">
      <c r="A23" s="51" t="s">
        <v>63</v>
      </c>
      <c r="B23" s="52" t="s">
        <v>64</v>
      </c>
      <c r="C23" s="53">
        <v>4015180</v>
      </c>
      <c r="D23" s="54" t="s">
        <v>82</v>
      </c>
      <c r="E23" s="54" t="s">
        <v>83</v>
      </c>
      <c r="F23" s="55"/>
      <c r="G23" s="55"/>
      <c r="H23" s="56"/>
      <c r="I23" s="56"/>
      <c r="J23" s="56">
        <f>IF(VLOOKUP($C23,REV!$C:$AA,8,0)-'TRADE IN'!$F23=0,"",(VLOOKUP($C23,REV!$C:$AA,8,0)-'TRADE IN'!$F23))</f>
        <v>4399</v>
      </c>
      <c r="K23" s="56">
        <f>IF(VLOOKUP($C23,REV!$C:$AA,9,0)-'TRADE IN'!$F23=0,"",(VLOOKUP($C23,REV!$C:$AA,9,0)-'TRADE IN'!$F23))</f>
        <v>4399</v>
      </c>
      <c r="L23" s="56">
        <f>IF(VLOOKUP($C23,REV!$C:$AA,10,0)-'TRADE IN'!$F23=0,"",(VLOOKUP($C23,REV!$C:$AA,10,0)-'TRADE IN'!$F23))</f>
        <v>4399</v>
      </c>
      <c r="M23" s="56">
        <f>IF(VLOOKUP($C23,REV!$C:$AA,11,0)-'TRADE IN'!$F23=0,"",(VLOOKUP($C23,REV!$C:$AA,11,0)-'TRADE IN'!$F23))</f>
        <v>4399</v>
      </c>
      <c r="N23" s="56">
        <f>IF(VLOOKUP($C23,REV!$C:$AA,12,0)-'TRADE IN'!$F23=0,"",(VLOOKUP($C23,REV!$C:$AA,12,0)-'TRADE IN'!$F23))</f>
        <v>4399</v>
      </c>
      <c r="O23" s="56">
        <f>IF(VLOOKUP($C23,REV!$C:$AA,13,0)-'TRADE IN'!$F23=0,"",(VLOOKUP($C23,REV!$C:$AA,13,0)-'TRADE IN'!$F23))</f>
        <v>4299</v>
      </c>
      <c r="P23" s="56">
        <f>IF(VLOOKUP($C23,REV!$C:$AA,14,0)-'TRADE IN'!$F23=0,"",(VLOOKUP($C23,REV!$C:$AA,14,0)-'TRADE IN'!$F23))</f>
        <v>4199</v>
      </c>
      <c r="Q23" s="56">
        <f>IF(VLOOKUP($C23,REV!$C:$AA,15,0)-'TRADE IN'!$F23=0,"",(VLOOKUP($C23,REV!$C:$AA,15,0)-'TRADE IN'!$F23))</f>
        <v>3499</v>
      </c>
      <c r="R23" s="56">
        <f>IF(VLOOKUP($C23,REV!$C:$AA,16,0)-'TRADE IN'!$F23=0,"",(VLOOKUP($C23,REV!$C:$AA,16,0)-'TRADE IN'!$F23))</f>
        <v>4299</v>
      </c>
      <c r="S23" s="56">
        <f>IF(VLOOKUP($C23,REV!$C:$AA,17,0)-'TRADE IN'!$F23=0,"",(VLOOKUP($C23,REV!$C:$AA,17,0)-'TRADE IN'!$F23))</f>
        <v>4199</v>
      </c>
      <c r="T23" s="56">
        <f>IF(VLOOKUP($C23,REV!$C:$AA,18,0)-'TRADE IN'!$F23=0,"",(VLOOKUP($C23,REV!$C:$AA,18,0)-'TRADE IN'!$F23))</f>
        <v>3499</v>
      </c>
      <c r="U23" s="56">
        <f>IF(VLOOKUP($C23,REV!$C:$AA,19,0)-'TRADE IN'!$F23=0,"",(VLOOKUP($C23,REV!$C:$AA,19,0)-'TRADE IN'!$F23))</f>
        <v>3499</v>
      </c>
      <c r="V23" s="56">
        <f>IF(VLOOKUP($C23,REV!$C:$AA,20,0)-'TRADE IN'!$F23=0,"",(VLOOKUP($C23,REV!$C:$AA,20,0)-'TRADE IN'!$F23))</f>
        <v>3499</v>
      </c>
      <c r="W23" s="56">
        <f>IF(VLOOKUP($C23,REV!$C:$AA,21,0)-'TRADE IN'!$F23=0,"",(VLOOKUP($C23,REV!$C:$AA,21,0)-'TRADE IN'!$F23))</f>
        <v>3499</v>
      </c>
      <c r="X23" s="56">
        <f>IF(VLOOKUP($C23,REV!$C:$AA,22,0)-'TRADE IN'!$F23=0,"",(VLOOKUP($C23,REV!$C:$AA,22,0)-'TRADE IN'!$F23))</f>
        <v>3399</v>
      </c>
      <c r="Y23" s="56">
        <f>IF(VLOOKUP($C23,REV!$C:$AA,23,0)-'TRADE IN'!$F23=0,"",(VLOOKUP($C23,REV!$C:$AA,23,0)-'TRADE IN'!$F23))</f>
        <v>2499</v>
      </c>
      <c r="Z23" s="56">
        <f>IF(VLOOKUP($C23,REV!$C:$AA,24,0)-'TRADE IN'!$F23=0,"",(VLOOKUP($C23,REV!$C:$AA,24,0)-'TRADE IN'!$F23))</f>
        <v>2499</v>
      </c>
      <c r="AA23" s="56">
        <f>IF(VLOOKUP($C23,REV!$C:$AA,25,0)-'TRADE IN'!$F23=0,"",(VLOOKUP($C23,REV!$C:$AA,25,0)-'TRADE IN'!$F23))</f>
        <v>2449</v>
      </c>
      <c r="AB23" s="55">
        <f>IF(VLOOKUP($C23,REV!$C:$AL,27,0)-'TRADE IN'!$F23=0,"",(VLOOKUP($C23,REV!$C:$AL,27,0)-'TRADE IN'!$F23))</f>
        <v>4399</v>
      </c>
      <c r="AC23" s="55">
        <f>IF(VLOOKUP($C23,REV!$C:$AL,28,0)-'TRADE IN'!$F23=0,"",(VLOOKUP($C23,REV!$C:$AL,28,0)-'TRADE IN'!$F23))</f>
        <v>4399</v>
      </c>
      <c r="AD23" s="55">
        <f>IF(VLOOKUP($C23,REV!$C:$AL,29,0)-'TRADE IN'!$F23=0,"",(VLOOKUP($C23,REV!$C:$AL,29,0)-'TRADE IN'!$F23))</f>
        <v>4199</v>
      </c>
      <c r="AE23" s="55">
        <f>IF(VLOOKUP($C23,REV!$C:$AL,30,0)-'TRADE IN'!$F23=0,"",(VLOOKUP($C23,REV!$C:$AL,30,0)-'TRADE IN'!$F23))</f>
        <v>4199</v>
      </c>
      <c r="AF23" s="55">
        <f>IF(VLOOKUP($C23,REV!$C:$AL,31,0)-'TRADE IN'!$F23=0,"",(VLOOKUP($C23,REV!$C:$AL,31,0)-'TRADE IN'!$F23))</f>
        <v>4199</v>
      </c>
      <c r="AG23" s="55">
        <f>IF(VLOOKUP($C23,REV!$C:$AL,31,0)-'TRADE IN'!$F23=0,"",(VLOOKUP($C23,REV!$C:$AL,31,0)-'TRADE IN'!$F23))</f>
        <v>4199</v>
      </c>
      <c r="AH23" s="55">
        <f>IF(VLOOKUP($C23,REV!$C:$AL,32,0)-'TRADE IN'!$F23=0,"",(VLOOKUP($C23,REV!$C:$AL,32,0)-'TRADE IN'!$F23))</f>
        <v>4199</v>
      </c>
      <c r="AI23" s="55">
        <f>IF(VLOOKUP($C23,REV!$C:$AL,33,0)-'TRADE IN'!$F23=0,"",(VLOOKUP($C23,REV!$C:$AL,33,0)-'TRADE IN'!$F23))</f>
        <v>3499</v>
      </c>
      <c r="AJ23" s="55">
        <f>IF(VLOOKUP($C23,REV!$C:$AL,34,0)-'TRADE IN'!$F23=0,"",(VLOOKUP($C23,REV!$C:$AL,34,0)-'TRADE IN'!$F23))</f>
        <v>3499</v>
      </c>
      <c r="AK23" s="55">
        <f>IF(VLOOKUP($C23,REV!$C:$AL,35,0)-'TRADE IN'!$F23=0,"",(VLOOKUP($C23,REV!$C:$AL,35,0)-'TRADE IN'!$F23))</f>
        <v>3499</v>
      </c>
      <c r="AL23" s="55">
        <f>IF(VLOOKUP($C23,REV!$C:$AL,36,0)-'TRADE IN'!$F23=0,"",(VLOOKUP($C23,REV!$C:$AL,36,0)-'TRADE IN'!$F23))</f>
        <v>2499</v>
      </c>
      <c r="AM23" s="55"/>
      <c r="AN23" s="55"/>
      <c r="AO23" s="55"/>
      <c r="AP23" s="55"/>
      <c r="AQ23" s="55"/>
      <c r="AR23" s="55"/>
      <c r="AS23" s="55"/>
      <c r="AT23" s="55"/>
      <c r="AU23" s="55"/>
      <c r="AV23" s="57"/>
      <c r="AW23" s="58" t="str">
        <f>REV!AW23</f>
        <v>03.11.2026</v>
      </c>
      <c r="AX23" s="147" t="str">
        <f>VLOOKUP(C23,REV!C:AX,48,0)</f>
        <v>5G</v>
      </c>
    </row>
    <row r="24" spans="1:50" ht="22.5" customHeight="1">
      <c r="A24" s="51" t="s">
        <v>63</v>
      </c>
      <c r="B24" s="52" t="s">
        <v>64</v>
      </c>
      <c r="C24" s="53">
        <v>4015186</v>
      </c>
      <c r="D24" s="54" t="s">
        <v>82</v>
      </c>
      <c r="E24" s="54" t="s">
        <v>84</v>
      </c>
      <c r="F24" s="55"/>
      <c r="G24" s="55"/>
      <c r="H24" s="56"/>
      <c r="I24" s="56"/>
      <c r="J24" s="56">
        <f>IF(VLOOKUP($C24,REV!$C:$AA,8,0)-'TRADE IN'!$F24=0,"",(VLOOKUP($C24,REV!$C:$AA,8,0)-'TRADE IN'!$F24))</f>
        <v>4399</v>
      </c>
      <c r="K24" s="56">
        <f>IF(VLOOKUP($C24,REV!$C:$AA,9,0)-'TRADE IN'!$F24=0,"",(VLOOKUP($C24,REV!$C:$AA,9,0)-'TRADE IN'!$F24))</f>
        <v>4399</v>
      </c>
      <c r="L24" s="56">
        <f>IF(VLOOKUP($C24,REV!$C:$AA,10,0)-'TRADE IN'!$F24=0,"",(VLOOKUP($C24,REV!$C:$AA,10,0)-'TRADE IN'!$F24))</f>
        <v>4399</v>
      </c>
      <c r="M24" s="56">
        <f>IF(VLOOKUP($C24,REV!$C:$AA,11,0)-'TRADE IN'!$F24=0,"",(VLOOKUP($C24,REV!$C:$AA,11,0)-'TRADE IN'!$F24))</f>
        <v>4399</v>
      </c>
      <c r="N24" s="56">
        <f>IF(VLOOKUP($C24,REV!$C:$AA,12,0)-'TRADE IN'!$F24=0,"",(VLOOKUP($C24,REV!$C:$AA,12,0)-'TRADE IN'!$F24))</f>
        <v>4399</v>
      </c>
      <c r="O24" s="56">
        <f>IF(VLOOKUP($C24,REV!$C:$AA,13,0)-'TRADE IN'!$F24=0,"",(VLOOKUP($C24,REV!$C:$AA,13,0)-'TRADE IN'!$F24))</f>
        <v>4299</v>
      </c>
      <c r="P24" s="56">
        <f>IF(VLOOKUP($C24,REV!$C:$AA,14,0)-'TRADE IN'!$F24=0,"",(VLOOKUP($C24,REV!$C:$AA,14,0)-'TRADE IN'!$F24))</f>
        <v>4199</v>
      </c>
      <c r="Q24" s="56">
        <f>IF(VLOOKUP($C24,REV!$C:$AA,15,0)-'TRADE IN'!$F24=0,"",(VLOOKUP($C24,REV!$C:$AA,15,0)-'TRADE IN'!$F24))</f>
        <v>3499</v>
      </c>
      <c r="R24" s="56">
        <f>IF(VLOOKUP($C24,REV!$C:$AA,16,0)-'TRADE IN'!$F24=0,"",(VLOOKUP($C24,REV!$C:$AA,16,0)-'TRADE IN'!$F24))</f>
        <v>4299</v>
      </c>
      <c r="S24" s="56">
        <f>IF(VLOOKUP($C24,REV!$C:$AA,17,0)-'TRADE IN'!$F24=0,"",(VLOOKUP($C24,REV!$C:$AA,17,0)-'TRADE IN'!$F24))</f>
        <v>4199</v>
      </c>
      <c r="T24" s="56">
        <f>IF(VLOOKUP($C24,REV!$C:$AA,18,0)-'TRADE IN'!$F24=0,"",(VLOOKUP($C24,REV!$C:$AA,18,0)-'TRADE IN'!$F24))</f>
        <v>3499</v>
      </c>
      <c r="U24" s="56">
        <f>IF(VLOOKUP($C24,REV!$C:$AA,19,0)-'TRADE IN'!$F24=0,"",(VLOOKUP($C24,REV!$C:$AA,19,0)-'TRADE IN'!$F24))</f>
        <v>3499</v>
      </c>
      <c r="V24" s="56">
        <f>IF(VLOOKUP($C24,REV!$C:$AA,20,0)-'TRADE IN'!$F24=0,"",(VLOOKUP($C24,REV!$C:$AA,20,0)-'TRADE IN'!$F24))</f>
        <v>3499</v>
      </c>
      <c r="W24" s="56">
        <f>IF(VLOOKUP($C24,REV!$C:$AA,21,0)-'TRADE IN'!$F24=0,"",(VLOOKUP($C24,REV!$C:$AA,21,0)-'TRADE IN'!$F24))</f>
        <v>3499</v>
      </c>
      <c r="X24" s="56">
        <f>IF(VLOOKUP($C24,REV!$C:$AA,22,0)-'TRADE IN'!$F24=0,"",(VLOOKUP($C24,REV!$C:$AA,22,0)-'TRADE IN'!$F24))</f>
        <v>3399</v>
      </c>
      <c r="Y24" s="56">
        <f>IF(VLOOKUP($C24,REV!$C:$AA,23,0)-'TRADE IN'!$F24=0,"",(VLOOKUP($C24,REV!$C:$AA,23,0)-'TRADE IN'!$F24))</f>
        <v>2499</v>
      </c>
      <c r="Z24" s="56">
        <f>IF(VLOOKUP($C24,REV!$C:$AA,24,0)-'TRADE IN'!$F24=0,"",(VLOOKUP($C24,REV!$C:$AA,24,0)-'TRADE IN'!$F24))</f>
        <v>2499</v>
      </c>
      <c r="AA24" s="56">
        <f>IF(VLOOKUP($C24,REV!$C:$AA,25,0)-'TRADE IN'!$F24=0,"",(VLOOKUP($C24,REV!$C:$AA,25,0)-'TRADE IN'!$F24))</f>
        <v>2449</v>
      </c>
      <c r="AB24" s="55">
        <f>IF(VLOOKUP($C24,REV!$C:$AL,27,0)-'TRADE IN'!$F24=0,"",(VLOOKUP($C24,REV!$C:$AL,27,0)-'TRADE IN'!$F24))</f>
        <v>4399</v>
      </c>
      <c r="AC24" s="55">
        <f>IF(VLOOKUP($C24,REV!$C:$AL,28,0)-'TRADE IN'!$F24=0,"",(VLOOKUP($C24,REV!$C:$AL,28,0)-'TRADE IN'!$F24))</f>
        <v>4399</v>
      </c>
      <c r="AD24" s="55">
        <f>IF(VLOOKUP($C24,REV!$C:$AL,29,0)-'TRADE IN'!$F24=0,"",(VLOOKUP($C24,REV!$C:$AL,29,0)-'TRADE IN'!$F24))</f>
        <v>4199</v>
      </c>
      <c r="AE24" s="55">
        <f>IF(VLOOKUP($C24,REV!$C:$AL,30,0)-'TRADE IN'!$F24=0,"",(VLOOKUP($C24,REV!$C:$AL,30,0)-'TRADE IN'!$F24))</f>
        <v>4199</v>
      </c>
      <c r="AF24" s="55">
        <f>IF(VLOOKUP($C24,REV!$C:$AL,31,0)-'TRADE IN'!$F24=0,"",(VLOOKUP($C24,REV!$C:$AL,31,0)-'TRADE IN'!$F24))</f>
        <v>4199</v>
      </c>
      <c r="AG24" s="55">
        <f>IF(VLOOKUP($C24,REV!$C:$AL,31,0)-'TRADE IN'!$F24=0,"",(VLOOKUP($C24,REV!$C:$AL,31,0)-'TRADE IN'!$F24))</f>
        <v>4199</v>
      </c>
      <c r="AH24" s="55">
        <f>IF(VLOOKUP($C24,REV!$C:$AL,32,0)-'TRADE IN'!$F24=0,"",(VLOOKUP($C24,REV!$C:$AL,32,0)-'TRADE IN'!$F24))</f>
        <v>4199</v>
      </c>
      <c r="AI24" s="55">
        <f>IF(VLOOKUP($C24,REV!$C:$AL,33,0)-'TRADE IN'!$F24=0,"",(VLOOKUP($C24,REV!$C:$AL,33,0)-'TRADE IN'!$F24))</f>
        <v>3499</v>
      </c>
      <c r="AJ24" s="55">
        <f>IF(VLOOKUP($C24,REV!$C:$AL,34,0)-'TRADE IN'!$F24=0,"",(VLOOKUP($C24,REV!$C:$AL,34,0)-'TRADE IN'!$F24))</f>
        <v>3499</v>
      </c>
      <c r="AK24" s="55">
        <f>IF(VLOOKUP($C24,REV!$C:$AL,35,0)-'TRADE IN'!$F24=0,"",(VLOOKUP($C24,REV!$C:$AL,35,0)-'TRADE IN'!$F24))</f>
        <v>3499</v>
      </c>
      <c r="AL24" s="55">
        <f>IF(VLOOKUP($C24,REV!$C:$AL,36,0)-'TRADE IN'!$F24=0,"",(VLOOKUP($C24,REV!$C:$AL,36,0)-'TRADE IN'!$F24))</f>
        <v>2499</v>
      </c>
      <c r="AM24" s="55"/>
      <c r="AN24" s="55"/>
      <c r="AO24" s="55"/>
      <c r="AP24" s="55"/>
      <c r="AQ24" s="55"/>
      <c r="AR24" s="55"/>
      <c r="AS24" s="55"/>
      <c r="AT24" s="55"/>
      <c r="AU24" s="55"/>
      <c r="AV24" s="57"/>
      <c r="AW24" s="58" t="str">
        <f>REV!AW24</f>
        <v>03.11.2026</v>
      </c>
      <c r="AX24" s="147" t="str">
        <f>VLOOKUP(C24,REV!C:AX,48,0)</f>
        <v>5G</v>
      </c>
    </row>
    <row r="25" spans="1:50" ht="22.5" customHeight="1">
      <c r="A25" s="51" t="s">
        <v>63</v>
      </c>
      <c r="B25" s="52" t="s">
        <v>64</v>
      </c>
      <c r="C25" s="53">
        <v>4015267</v>
      </c>
      <c r="D25" s="54" t="s">
        <v>82</v>
      </c>
      <c r="E25" s="54" t="s">
        <v>85</v>
      </c>
      <c r="F25" s="55"/>
      <c r="G25" s="55"/>
      <c r="H25" s="56"/>
      <c r="I25" s="56"/>
      <c r="J25" s="56">
        <f>IF(VLOOKUP($C25,REV!$C:$AA,8,0)-'TRADE IN'!$F25=0,"",(VLOOKUP($C25,REV!$C:$AA,8,0)-'TRADE IN'!$F25))</f>
        <v>4399</v>
      </c>
      <c r="K25" s="56">
        <f>IF(VLOOKUP($C25,REV!$C:$AA,9,0)-'TRADE IN'!$F25=0,"",(VLOOKUP($C25,REV!$C:$AA,9,0)-'TRADE IN'!$F25))</f>
        <v>4399</v>
      </c>
      <c r="L25" s="56">
        <f>IF(VLOOKUP($C25,REV!$C:$AA,10,0)-'TRADE IN'!$F25=0,"",(VLOOKUP($C25,REV!$C:$AA,10,0)-'TRADE IN'!$F25))</f>
        <v>4399</v>
      </c>
      <c r="M25" s="56">
        <f>IF(VLOOKUP($C25,REV!$C:$AA,11,0)-'TRADE IN'!$F25=0,"",(VLOOKUP($C25,REV!$C:$AA,11,0)-'TRADE IN'!$F25))</f>
        <v>4399</v>
      </c>
      <c r="N25" s="56">
        <f>IF(VLOOKUP($C25,REV!$C:$AA,12,0)-'TRADE IN'!$F25=0,"",(VLOOKUP($C25,REV!$C:$AA,12,0)-'TRADE IN'!$F25))</f>
        <v>4399</v>
      </c>
      <c r="O25" s="56">
        <f>IF(VLOOKUP($C25,REV!$C:$AA,13,0)-'TRADE IN'!$F25=0,"",(VLOOKUP($C25,REV!$C:$AA,13,0)-'TRADE IN'!$F25))</f>
        <v>4299</v>
      </c>
      <c r="P25" s="56">
        <f>IF(VLOOKUP($C25,REV!$C:$AA,14,0)-'TRADE IN'!$F25=0,"",(VLOOKUP($C25,REV!$C:$AA,14,0)-'TRADE IN'!$F25))</f>
        <v>4199</v>
      </c>
      <c r="Q25" s="56">
        <f>IF(VLOOKUP($C25,REV!$C:$AA,15,0)-'TRADE IN'!$F25=0,"",(VLOOKUP($C25,REV!$C:$AA,15,0)-'TRADE IN'!$F25))</f>
        <v>3499</v>
      </c>
      <c r="R25" s="56">
        <f>IF(VLOOKUP($C25,REV!$C:$AA,16,0)-'TRADE IN'!$F25=0,"",(VLOOKUP($C25,REV!$C:$AA,16,0)-'TRADE IN'!$F25))</f>
        <v>4299</v>
      </c>
      <c r="S25" s="56">
        <f>IF(VLOOKUP($C25,REV!$C:$AA,17,0)-'TRADE IN'!$F25=0,"",(VLOOKUP($C25,REV!$C:$AA,17,0)-'TRADE IN'!$F25))</f>
        <v>4199</v>
      </c>
      <c r="T25" s="56">
        <f>IF(VLOOKUP($C25,REV!$C:$AA,18,0)-'TRADE IN'!$F25=0,"",(VLOOKUP($C25,REV!$C:$AA,18,0)-'TRADE IN'!$F25))</f>
        <v>3499</v>
      </c>
      <c r="U25" s="56">
        <f>IF(VLOOKUP($C25,REV!$C:$AA,19,0)-'TRADE IN'!$F25=0,"",(VLOOKUP($C25,REV!$C:$AA,19,0)-'TRADE IN'!$F25))</f>
        <v>3499</v>
      </c>
      <c r="V25" s="56">
        <f>IF(VLOOKUP($C25,REV!$C:$AA,20,0)-'TRADE IN'!$F25=0,"",(VLOOKUP($C25,REV!$C:$AA,20,0)-'TRADE IN'!$F25))</f>
        <v>3499</v>
      </c>
      <c r="W25" s="56">
        <f>IF(VLOOKUP($C25,REV!$C:$AA,21,0)-'TRADE IN'!$F25=0,"",(VLOOKUP($C25,REV!$C:$AA,21,0)-'TRADE IN'!$F25))</f>
        <v>3499</v>
      </c>
      <c r="X25" s="56">
        <f>IF(VLOOKUP($C25,REV!$C:$AA,22,0)-'TRADE IN'!$F25=0,"",(VLOOKUP($C25,REV!$C:$AA,22,0)-'TRADE IN'!$F25))</f>
        <v>3399</v>
      </c>
      <c r="Y25" s="56">
        <f>IF(VLOOKUP($C25,REV!$C:$AA,23,0)-'TRADE IN'!$F25=0,"",(VLOOKUP($C25,REV!$C:$AA,23,0)-'TRADE IN'!$F25))</f>
        <v>2499</v>
      </c>
      <c r="Z25" s="56">
        <f>IF(VLOOKUP($C25,REV!$C:$AA,24,0)-'TRADE IN'!$F25=0,"",(VLOOKUP($C25,REV!$C:$AA,24,0)-'TRADE IN'!$F25))</f>
        <v>2499</v>
      </c>
      <c r="AA25" s="56">
        <f>IF(VLOOKUP($C25,REV!$C:$AA,25,0)-'TRADE IN'!$F25=0,"",(VLOOKUP($C25,REV!$C:$AA,25,0)-'TRADE IN'!$F25))</f>
        <v>2449</v>
      </c>
      <c r="AB25" s="55">
        <f>IF(VLOOKUP($C25,REV!$C:$AL,27,0)-'TRADE IN'!$F25=0,"",(VLOOKUP($C25,REV!$C:$AL,27,0)-'TRADE IN'!$F25))</f>
        <v>4399</v>
      </c>
      <c r="AC25" s="55">
        <f>IF(VLOOKUP($C25,REV!$C:$AL,28,0)-'TRADE IN'!$F25=0,"",(VLOOKUP($C25,REV!$C:$AL,28,0)-'TRADE IN'!$F25))</f>
        <v>4399</v>
      </c>
      <c r="AD25" s="55">
        <f>IF(VLOOKUP($C25,REV!$C:$AL,29,0)-'TRADE IN'!$F25=0,"",(VLOOKUP($C25,REV!$C:$AL,29,0)-'TRADE IN'!$F25))</f>
        <v>4199</v>
      </c>
      <c r="AE25" s="55">
        <f>IF(VLOOKUP($C25,REV!$C:$AL,30,0)-'TRADE IN'!$F25=0,"",(VLOOKUP($C25,REV!$C:$AL,30,0)-'TRADE IN'!$F25))</f>
        <v>4199</v>
      </c>
      <c r="AF25" s="55">
        <f>IF(VLOOKUP($C25,REV!$C:$AL,31,0)-'TRADE IN'!$F25=0,"",(VLOOKUP($C25,REV!$C:$AL,31,0)-'TRADE IN'!$F25))</f>
        <v>4199</v>
      </c>
      <c r="AG25" s="55">
        <f>IF(VLOOKUP($C25,REV!$C:$AL,31,0)-'TRADE IN'!$F25=0,"",(VLOOKUP($C25,REV!$C:$AL,31,0)-'TRADE IN'!$F25))</f>
        <v>4199</v>
      </c>
      <c r="AH25" s="55">
        <f>IF(VLOOKUP($C25,REV!$C:$AL,32,0)-'TRADE IN'!$F25=0,"",(VLOOKUP($C25,REV!$C:$AL,32,0)-'TRADE IN'!$F25))</f>
        <v>4199</v>
      </c>
      <c r="AI25" s="55">
        <f>IF(VLOOKUP($C25,REV!$C:$AL,33,0)-'TRADE IN'!$F25=0,"",(VLOOKUP($C25,REV!$C:$AL,33,0)-'TRADE IN'!$F25))</f>
        <v>3499</v>
      </c>
      <c r="AJ25" s="55">
        <f>IF(VLOOKUP($C25,REV!$C:$AL,34,0)-'TRADE IN'!$F25=0,"",(VLOOKUP($C25,REV!$C:$AL,34,0)-'TRADE IN'!$F25))</f>
        <v>3499</v>
      </c>
      <c r="AK25" s="55">
        <f>IF(VLOOKUP($C25,REV!$C:$AL,35,0)-'TRADE IN'!$F25=0,"",(VLOOKUP($C25,REV!$C:$AL,35,0)-'TRADE IN'!$F25))</f>
        <v>3499</v>
      </c>
      <c r="AL25" s="55">
        <f>IF(VLOOKUP($C25,REV!$C:$AL,36,0)-'TRADE IN'!$F25=0,"",(VLOOKUP($C25,REV!$C:$AL,36,0)-'TRADE IN'!$F25))</f>
        <v>2499</v>
      </c>
      <c r="AM25" s="55"/>
      <c r="AN25" s="55"/>
      <c r="AO25" s="55"/>
      <c r="AP25" s="55"/>
      <c r="AQ25" s="55"/>
      <c r="AR25" s="55"/>
      <c r="AS25" s="55"/>
      <c r="AT25" s="55"/>
      <c r="AU25" s="55"/>
      <c r="AV25" s="57"/>
      <c r="AW25" s="58" t="str">
        <f>REV!AW25</f>
        <v>03.11.2026</v>
      </c>
      <c r="AX25" s="147" t="str">
        <f>VLOOKUP(C25,REV!C:AX,48,0)</f>
        <v>5G</v>
      </c>
    </row>
    <row r="26" spans="1:50" ht="22.5" customHeight="1">
      <c r="A26" s="51" t="s">
        <v>63</v>
      </c>
      <c r="B26" s="52" t="s">
        <v>64</v>
      </c>
      <c r="C26" s="53">
        <v>4015268</v>
      </c>
      <c r="D26" s="54" t="s">
        <v>82</v>
      </c>
      <c r="E26" s="54" t="s">
        <v>86</v>
      </c>
      <c r="F26" s="55"/>
      <c r="G26" s="55"/>
      <c r="H26" s="56"/>
      <c r="I26" s="56"/>
      <c r="J26" s="56">
        <f>IF(VLOOKUP($C26,REV!$C:$AA,8,0)-'TRADE IN'!$F26=0,"",(VLOOKUP($C26,REV!$C:$AA,8,0)-'TRADE IN'!$F26))</f>
        <v>4399</v>
      </c>
      <c r="K26" s="56">
        <f>IF(VLOOKUP($C26,REV!$C:$AA,9,0)-'TRADE IN'!$F26=0,"",(VLOOKUP($C26,REV!$C:$AA,9,0)-'TRADE IN'!$F26))</f>
        <v>4399</v>
      </c>
      <c r="L26" s="56">
        <f>IF(VLOOKUP($C26,REV!$C:$AA,10,0)-'TRADE IN'!$F26=0,"",(VLOOKUP($C26,REV!$C:$AA,10,0)-'TRADE IN'!$F26))</f>
        <v>4399</v>
      </c>
      <c r="M26" s="56">
        <f>IF(VLOOKUP($C26,REV!$C:$AA,11,0)-'TRADE IN'!$F26=0,"",(VLOOKUP($C26,REV!$C:$AA,11,0)-'TRADE IN'!$F26))</f>
        <v>4399</v>
      </c>
      <c r="N26" s="56">
        <f>IF(VLOOKUP($C26,REV!$C:$AA,12,0)-'TRADE IN'!$F26=0,"",(VLOOKUP($C26,REV!$C:$AA,12,0)-'TRADE IN'!$F26))</f>
        <v>4399</v>
      </c>
      <c r="O26" s="56">
        <f>IF(VLOOKUP($C26,REV!$C:$AA,13,0)-'TRADE IN'!$F26=0,"",(VLOOKUP($C26,REV!$C:$AA,13,0)-'TRADE IN'!$F26))</f>
        <v>4299</v>
      </c>
      <c r="P26" s="56">
        <f>IF(VLOOKUP($C26,REV!$C:$AA,14,0)-'TRADE IN'!$F26=0,"",(VLOOKUP($C26,REV!$C:$AA,14,0)-'TRADE IN'!$F26))</f>
        <v>4199</v>
      </c>
      <c r="Q26" s="56">
        <f>IF(VLOOKUP($C26,REV!$C:$AA,15,0)-'TRADE IN'!$F26=0,"",(VLOOKUP($C26,REV!$C:$AA,15,0)-'TRADE IN'!$F26))</f>
        <v>3499</v>
      </c>
      <c r="R26" s="56">
        <f>IF(VLOOKUP($C26,REV!$C:$AA,16,0)-'TRADE IN'!$F26=0,"",(VLOOKUP($C26,REV!$C:$AA,16,0)-'TRADE IN'!$F26))</f>
        <v>4299</v>
      </c>
      <c r="S26" s="56">
        <f>IF(VLOOKUP($C26,REV!$C:$AA,17,0)-'TRADE IN'!$F26=0,"",(VLOOKUP($C26,REV!$C:$AA,17,0)-'TRADE IN'!$F26))</f>
        <v>4199</v>
      </c>
      <c r="T26" s="56">
        <f>IF(VLOOKUP($C26,REV!$C:$AA,18,0)-'TRADE IN'!$F26=0,"",(VLOOKUP($C26,REV!$C:$AA,18,0)-'TRADE IN'!$F26))</f>
        <v>3499</v>
      </c>
      <c r="U26" s="56">
        <f>IF(VLOOKUP($C26,REV!$C:$AA,19,0)-'TRADE IN'!$F26=0,"",(VLOOKUP($C26,REV!$C:$AA,19,0)-'TRADE IN'!$F26))</f>
        <v>3499</v>
      </c>
      <c r="V26" s="56">
        <f>IF(VLOOKUP($C26,REV!$C:$AA,20,0)-'TRADE IN'!$F26=0,"",(VLOOKUP($C26,REV!$C:$AA,20,0)-'TRADE IN'!$F26))</f>
        <v>3499</v>
      </c>
      <c r="W26" s="56">
        <f>IF(VLOOKUP($C26,REV!$C:$AA,21,0)-'TRADE IN'!$F26=0,"",(VLOOKUP($C26,REV!$C:$AA,21,0)-'TRADE IN'!$F26))</f>
        <v>3499</v>
      </c>
      <c r="X26" s="56">
        <f>IF(VLOOKUP($C26,REV!$C:$AA,22,0)-'TRADE IN'!$F26=0,"",(VLOOKUP($C26,REV!$C:$AA,22,0)-'TRADE IN'!$F26))</f>
        <v>3399</v>
      </c>
      <c r="Y26" s="56">
        <f>IF(VLOOKUP($C26,REV!$C:$AA,23,0)-'TRADE IN'!$F26=0,"",(VLOOKUP($C26,REV!$C:$AA,23,0)-'TRADE IN'!$F26))</f>
        <v>2499</v>
      </c>
      <c r="Z26" s="56">
        <f>IF(VLOOKUP($C26,REV!$C:$AA,24,0)-'TRADE IN'!$F26=0,"",(VLOOKUP($C26,REV!$C:$AA,24,0)-'TRADE IN'!$F26))</f>
        <v>2499</v>
      </c>
      <c r="AA26" s="56">
        <f>IF(VLOOKUP($C26,REV!$C:$AA,25,0)-'TRADE IN'!$F26=0,"",(VLOOKUP($C26,REV!$C:$AA,25,0)-'TRADE IN'!$F26))</f>
        <v>2449</v>
      </c>
      <c r="AB26" s="55">
        <f>IF(VLOOKUP($C26,REV!$C:$AL,27,0)-'TRADE IN'!$F26=0,"",(VLOOKUP($C26,REV!$C:$AL,27,0)-'TRADE IN'!$F26))</f>
        <v>4399</v>
      </c>
      <c r="AC26" s="55">
        <f>IF(VLOOKUP($C26,REV!$C:$AL,28,0)-'TRADE IN'!$F26=0,"",(VLOOKUP($C26,REV!$C:$AL,28,0)-'TRADE IN'!$F26))</f>
        <v>4399</v>
      </c>
      <c r="AD26" s="55">
        <f>IF(VLOOKUP($C26,REV!$C:$AL,29,0)-'TRADE IN'!$F26=0,"",(VLOOKUP($C26,REV!$C:$AL,29,0)-'TRADE IN'!$F26))</f>
        <v>4199</v>
      </c>
      <c r="AE26" s="55">
        <f>IF(VLOOKUP($C26,REV!$C:$AL,30,0)-'TRADE IN'!$F26=0,"",(VLOOKUP($C26,REV!$C:$AL,30,0)-'TRADE IN'!$F26))</f>
        <v>4199</v>
      </c>
      <c r="AF26" s="55">
        <f>IF(VLOOKUP($C26,REV!$C:$AL,31,0)-'TRADE IN'!$F26=0,"",(VLOOKUP($C26,REV!$C:$AL,31,0)-'TRADE IN'!$F26))</f>
        <v>4199</v>
      </c>
      <c r="AG26" s="55">
        <f>IF(VLOOKUP($C26,REV!$C:$AL,31,0)-'TRADE IN'!$F26=0,"",(VLOOKUP($C26,REV!$C:$AL,31,0)-'TRADE IN'!$F26))</f>
        <v>4199</v>
      </c>
      <c r="AH26" s="55">
        <f>IF(VLOOKUP($C26,REV!$C:$AL,32,0)-'TRADE IN'!$F26=0,"",(VLOOKUP($C26,REV!$C:$AL,32,0)-'TRADE IN'!$F26))</f>
        <v>4199</v>
      </c>
      <c r="AI26" s="55">
        <f>IF(VLOOKUP($C26,REV!$C:$AL,33,0)-'TRADE IN'!$F26=0,"",(VLOOKUP($C26,REV!$C:$AL,33,0)-'TRADE IN'!$F26))</f>
        <v>3499</v>
      </c>
      <c r="AJ26" s="55">
        <f>IF(VLOOKUP($C26,REV!$C:$AL,34,0)-'TRADE IN'!$F26=0,"",(VLOOKUP($C26,REV!$C:$AL,34,0)-'TRADE IN'!$F26))</f>
        <v>3499</v>
      </c>
      <c r="AK26" s="55">
        <f>IF(VLOOKUP($C26,REV!$C:$AL,35,0)-'TRADE IN'!$F26=0,"",(VLOOKUP($C26,REV!$C:$AL,35,0)-'TRADE IN'!$F26))</f>
        <v>3499</v>
      </c>
      <c r="AL26" s="55">
        <f>IF(VLOOKUP($C26,REV!$C:$AL,36,0)-'TRADE IN'!$F26=0,"",(VLOOKUP($C26,REV!$C:$AL,36,0)-'TRADE IN'!$F26))</f>
        <v>2499</v>
      </c>
      <c r="AM26" s="55"/>
      <c r="AN26" s="55"/>
      <c r="AO26" s="55"/>
      <c r="AP26" s="55"/>
      <c r="AQ26" s="55"/>
      <c r="AR26" s="55"/>
      <c r="AS26" s="55"/>
      <c r="AT26" s="55"/>
      <c r="AU26" s="55"/>
      <c r="AV26" s="57"/>
      <c r="AW26" s="58" t="str">
        <f>REV!AW26</f>
        <v>03.11.2026</v>
      </c>
      <c r="AX26" s="147" t="str">
        <f>VLOOKUP(C26,REV!C:AX,48,0)</f>
        <v>5G</v>
      </c>
    </row>
    <row r="27" spans="1:50" ht="22.5" customHeight="1">
      <c r="A27" s="51" t="s">
        <v>63</v>
      </c>
      <c r="B27" s="52" t="s">
        <v>64</v>
      </c>
      <c r="C27" s="53">
        <v>4015179</v>
      </c>
      <c r="D27" s="54" t="s">
        <v>87</v>
      </c>
      <c r="E27" s="54" t="s">
        <v>88</v>
      </c>
      <c r="F27" s="55"/>
      <c r="G27" s="55"/>
      <c r="H27" s="56"/>
      <c r="I27" s="56"/>
      <c r="J27" s="56">
        <f>IF(VLOOKUP($C27,REV!$C:$AA,8,0)-'TRADE IN'!$F27=0,"",(VLOOKUP($C27,REV!$C:$AA,8,0)-'TRADE IN'!$F27))</f>
        <v>4499</v>
      </c>
      <c r="K27" s="56">
        <f>IF(VLOOKUP($C27,REV!$C:$AA,9,0)-'TRADE IN'!$F27=0,"",(VLOOKUP($C27,REV!$C:$AA,9,0)-'TRADE IN'!$F27))</f>
        <v>4499</v>
      </c>
      <c r="L27" s="56">
        <f>IF(VLOOKUP($C27,REV!$C:$AA,10,0)-'TRADE IN'!$F27=0,"",(VLOOKUP($C27,REV!$C:$AA,10,0)-'TRADE IN'!$F27))</f>
        <v>4499</v>
      </c>
      <c r="M27" s="56">
        <f>IF(VLOOKUP($C27,REV!$C:$AA,11,0)-'TRADE IN'!$F27=0,"",(VLOOKUP($C27,REV!$C:$AA,11,0)-'TRADE IN'!$F27))</f>
        <v>4499</v>
      </c>
      <c r="N27" s="56">
        <f>IF(VLOOKUP($C27,REV!$C:$AA,12,0)-'TRADE IN'!$F27=0,"",(VLOOKUP($C27,REV!$C:$AA,12,0)-'TRADE IN'!$F27))</f>
        <v>4499</v>
      </c>
      <c r="O27" s="56">
        <f>IF(VLOOKUP($C27,REV!$C:$AA,13,0)-'TRADE IN'!$F27=0,"",(VLOOKUP($C27,REV!$C:$AA,13,0)-'TRADE IN'!$F27))</f>
        <v>4399</v>
      </c>
      <c r="P27" s="56">
        <f>IF(VLOOKUP($C27,REV!$C:$AA,14,0)-'TRADE IN'!$F27=0,"",(VLOOKUP($C27,REV!$C:$AA,14,0)-'TRADE IN'!$F27))</f>
        <v>4299</v>
      </c>
      <c r="Q27" s="56">
        <f>IF(VLOOKUP($C27,REV!$C:$AA,15,0)-'TRADE IN'!$F27=0,"",(VLOOKUP($C27,REV!$C:$AA,15,0)-'TRADE IN'!$F27))</f>
        <v>3499</v>
      </c>
      <c r="R27" s="56">
        <f>IF(VLOOKUP($C27,REV!$C:$AA,16,0)-'TRADE IN'!$F27=0,"",(VLOOKUP($C27,REV!$C:$AA,16,0)-'TRADE IN'!$F27))</f>
        <v>4399</v>
      </c>
      <c r="S27" s="56">
        <f>IF(VLOOKUP($C27,REV!$C:$AA,17,0)-'TRADE IN'!$F27=0,"",(VLOOKUP($C27,REV!$C:$AA,17,0)-'TRADE IN'!$F27))</f>
        <v>4299</v>
      </c>
      <c r="T27" s="56">
        <f>IF(VLOOKUP($C27,REV!$C:$AA,18,0)-'TRADE IN'!$F27=0,"",(VLOOKUP($C27,REV!$C:$AA,18,0)-'TRADE IN'!$F27))</f>
        <v>3499</v>
      </c>
      <c r="U27" s="56">
        <f>IF(VLOOKUP($C27,REV!$C:$AA,19,0)-'TRADE IN'!$F27=0,"",(VLOOKUP($C27,REV!$C:$AA,19,0)-'TRADE IN'!$F27))</f>
        <v>3499</v>
      </c>
      <c r="V27" s="56">
        <f>IF(VLOOKUP($C27,REV!$C:$AA,20,0)-'TRADE IN'!$F27=0,"",(VLOOKUP($C27,REV!$C:$AA,20,0)-'TRADE IN'!$F27))</f>
        <v>3499</v>
      </c>
      <c r="W27" s="56">
        <f>IF(VLOOKUP($C27,REV!$C:$AA,21,0)-'TRADE IN'!$F27=0,"",(VLOOKUP($C27,REV!$C:$AA,21,0)-'TRADE IN'!$F27))</f>
        <v>3499</v>
      </c>
      <c r="X27" s="56">
        <f>IF(VLOOKUP($C27,REV!$C:$AA,22,0)-'TRADE IN'!$F27=0,"",(VLOOKUP($C27,REV!$C:$AA,22,0)-'TRADE IN'!$F27))</f>
        <v>3399</v>
      </c>
      <c r="Y27" s="56">
        <f>IF(VLOOKUP($C27,REV!$C:$AA,23,0)-'TRADE IN'!$F27=0,"",(VLOOKUP($C27,REV!$C:$AA,23,0)-'TRADE IN'!$F27))</f>
        <v>2899</v>
      </c>
      <c r="Z27" s="56">
        <f>IF(VLOOKUP($C27,REV!$C:$AA,24,0)-'TRADE IN'!$F27=0,"",(VLOOKUP($C27,REV!$C:$AA,24,0)-'TRADE IN'!$F27))</f>
        <v>2899</v>
      </c>
      <c r="AA27" s="56">
        <f>IF(VLOOKUP($C27,REV!$C:$AA,25,0)-'TRADE IN'!$F27=0,"",(VLOOKUP($C27,REV!$C:$AA,25,0)-'TRADE IN'!$F27))</f>
        <v>2899</v>
      </c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7"/>
      <c r="AW27" s="58" t="str">
        <f>REV!AW27</f>
        <v>03.11.2026</v>
      </c>
      <c r="AX27" s="147" t="str">
        <f>VLOOKUP(C27,REV!C:AX,48,0)</f>
        <v>5G</v>
      </c>
    </row>
    <row r="28" spans="1:50" ht="22.5" customHeight="1">
      <c r="A28" s="51" t="s">
        <v>63</v>
      </c>
      <c r="B28" s="52" t="s">
        <v>64</v>
      </c>
      <c r="C28" s="53">
        <v>4015187</v>
      </c>
      <c r="D28" s="54" t="s">
        <v>87</v>
      </c>
      <c r="E28" s="54" t="s">
        <v>89</v>
      </c>
      <c r="F28" s="55"/>
      <c r="G28" s="55"/>
      <c r="H28" s="56"/>
      <c r="I28" s="56"/>
      <c r="J28" s="56">
        <f>IF(VLOOKUP($C28,REV!$C:$AA,8,0)-'TRADE IN'!$F28=0,"",(VLOOKUP($C28,REV!$C:$AA,8,0)-'TRADE IN'!$F28))</f>
        <v>4499</v>
      </c>
      <c r="K28" s="56">
        <f>IF(VLOOKUP($C28,REV!$C:$AA,9,0)-'TRADE IN'!$F28=0,"",(VLOOKUP($C28,REV!$C:$AA,9,0)-'TRADE IN'!$F28))</f>
        <v>4499</v>
      </c>
      <c r="L28" s="56">
        <f>IF(VLOOKUP($C28,REV!$C:$AA,10,0)-'TRADE IN'!$F28=0,"",(VLOOKUP($C28,REV!$C:$AA,10,0)-'TRADE IN'!$F28))</f>
        <v>4499</v>
      </c>
      <c r="M28" s="56">
        <f>IF(VLOOKUP($C28,REV!$C:$AA,11,0)-'TRADE IN'!$F28=0,"",(VLOOKUP($C28,REV!$C:$AA,11,0)-'TRADE IN'!$F28))</f>
        <v>4499</v>
      </c>
      <c r="N28" s="56">
        <f>IF(VLOOKUP($C28,REV!$C:$AA,12,0)-'TRADE IN'!$F28=0,"",(VLOOKUP($C28,REV!$C:$AA,12,0)-'TRADE IN'!$F28))</f>
        <v>4499</v>
      </c>
      <c r="O28" s="56">
        <f>IF(VLOOKUP($C28,REV!$C:$AA,13,0)-'TRADE IN'!$F28=0,"",(VLOOKUP($C28,REV!$C:$AA,13,0)-'TRADE IN'!$F28))</f>
        <v>4399</v>
      </c>
      <c r="P28" s="56">
        <f>IF(VLOOKUP($C28,REV!$C:$AA,14,0)-'TRADE IN'!$F28=0,"",(VLOOKUP($C28,REV!$C:$AA,14,0)-'TRADE IN'!$F28))</f>
        <v>4299</v>
      </c>
      <c r="Q28" s="56">
        <f>IF(VLOOKUP($C28,REV!$C:$AA,15,0)-'TRADE IN'!$F28=0,"",(VLOOKUP($C28,REV!$C:$AA,15,0)-'TRADE IN'!$F28))</f>
        <v>3499</v>
      </c>
      <c r="R28" s="56">
        <f>IF(VLOOKUP($C28,REV!$C:$AA,16,0)-'TRADE IN'!$F28=0,"",(VLOOKUP($C28,REV!$C:$AA,16,0)-'TRADE IN'!$F28))</f>
        <v>4399</v>
      </c>
      <c r="S28" s="56">
        <f>IF(VLOOKUP($C28,REV!$C:$AA,17,0)-'TRADE IN'!$F28=0,"",(VLOOKUP($C28,REV!$C:$AA,17,0)-'TRADE IN'!$F28))</f>
        <v>4299</v>
      </c>
      <c r="T28" s="56">
        <f>IF(VLOOKUP($C28,REV!$C:$AA,18,0)-'TRADE IN'!$F28=0,"",(VLOOKUP($C28,REV!$C:$AA,18,0)-'TRADE IN'!$F28))</f>
        <v>3499</v>
      </c>
      <c r="U28" s="56">
        <f>IF(VLOOKUP($C28,REV!$C:$AA,19,0)-'TRADE IN'!$F28=0,"",(VLOOKUP($C28,REV!$C:$AA,19,0)-'TRADE IN'!$F28))</f>
        <v>3499</v>
      </c>
      <c r="V28" s="56">
        <f>IF(VLOOKUP($C28,REV!$C:$AA,20,0)-'TRADE IN'!$F28=0,"",(VLOOKUP($C28,REV!$C:$AA,20,0)-'TRADE IN'!$F28))</f>
        <v>3499</v>
      </c>
      <c r="W28" s="56">
        <f>IF(VLOOKUP($C28,REV!$C:$AA,21,0)-'TRADE IN'!$F28=0,"",(VLOOKUP($C28,REV!$C:$AA,21,0)-'TRADE IN'!$F28))</f>
        <v>3499</v>
      </c>
      <c r="X28" s="56">
        <f>IF(VLOOKUP($C28,REV!$C:$AA,22,0)-'TRADE IN'!$F28=0,"",(VLOOKUP($C28,REV!$C:$AA,22,0)-'TRADE IN'!$F28))</f>
        <v>3399</v>
      </c>
      <c r="Y28" s="56">
        <f>IF(VLOOKUP($C28,REV!$C:$AA,23,0)-'TRADE IN'!$F28=0,"",(VLOOKUP($C28,REV!$C:$AA,23,0)-'TRADE IN'!$F28))</f>
        <v>2899</v>
      </c>
      <c r="Z28" s="56">
        <f>IF(VLOOKUP($C28,REV!$C:$AA,24,0)-'TRADE IN'!$F28=0,"",(VLOOKUP($C28,REV!$C:$AA,24,0)-'TRADE IN'!$F28))</f>
        <v>2899</v>
      </c>
      <c r="AA28" s="56">
        <f>IF(VLOOKUP($C28,REV!$C:$AA,25,0)-'TRADE IN'!$F28=0,"",(VLOOKUP($C28,REV!$C:$AA,25,0)-'TRADE IN'!$F28))</f>
        <v>2899</v>
      </c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7"/>
      <c r="AW28" s="58" t="str">
        <f>REV!AW28</f>
        <v>03.11.2026</v>
      </c>
      <c r="AX28" s="147" t="str">
        <f>VLOOKUP(C28,REV!C:AX,48,0)</f>
        <v>5G</v>
      </c>
    </row>
    <row r="29" spans="1:50" ht="22.5" customHeight="1">
      <c r="A29" s="51" t="s">
        <v>63</v>
      </c>
      <c r="B29" s="52" t="s">
        <v>64</v>
      </c>
      <c r="C29" s="53">
        <v>4015711</v>
      </c>
      <c r="D29" s="54" t="s">
        <v>87</v>
      </c>
      <c r="E29" s="54" t="s">
        <v>90</v>
      </c>
      <c r="F29" s="55"/>
      <c r="G29" s="55"/>
      <c r="H29" s="56"/>
      <c r="I29" s="56"/>
      <c r="J29" s="56">
        <f>IF(VLOOKUP($C29,REV!$C:$AA,8,0)-'TRADE IN'!$F29=0,"",(VLOOKUP($C29,REV!$C:$AA,8,0)-'TRADE IN'!$F29))</f>
        <v>4499</v>
      </c>
      <c r="K29" s="56">
        <f>IF(VLOOKUP($C29,REV!$C:$AA,9,0)-'TRADE IN'!$F29=0,"",(VLOOKUP($C29,REV!$C:$AA,9,0)-'TRADE IN'!$F29))</f>
        <v>4499</v>
      </c>
      <c r="L29" s="56">
        <f>IF(VLOOKUP($C29,REV!$C:$AA,10,0)-'TRADE IN'!$F29=0,"",(VLOOKUP($C29,REV!$C:$AA,10,0)-'TRADE IN'!$F29))</f>
        <v>4499</v>
      </c>
      <c r="M29" s="56">
        <f>IF(VLOOKUP($C29,REV!$C:$AA,11,0)-'TRADE IN'!$F29=0,"",(VLOOKUP($C29,REV!$C:$AA,11,0)-'TRADE IN'!$F29))</f>
        <v>4499</v>
      </c>
      <c r="N29" s="56">
        <f>IF(VLOOKUP($C29,REV!$C:$AA,12,0)-'TRADE IN'!$F29=0,"",(VLOOKUP($C29,REV!$C:$AA,12,0)-'TRADE IN'!$F29))</f>
        <v>4499</v>
      </c>
      <c r="O29" s="56">
        <f>IF(VLOOKUP($C29,REV!$C:$AA,13,0)-'TRADE IN'!$F29=0,"",(VLOOKUP($C29,REV!$C:$AA,13,0)-'TRADE IN'!$F29))</f>
        <v>4399</v>
      </c>
      <c r="P29" s="56">
        <f>IF(VLOOKUP($C29,REV!$C:$AA,14,0)-'TRADE IN'!$F29=0,"",(VLOOKUP($C29,REV!$C:$AA,14,0)-'TRADE IN'!$F29))</f>
        <v>4299</v>
      </c>
      <c r="Q29" s="56">
        <f>IF(VLOOKUP($C29,REV!$C:$AA,15,0)-'TRADE IN'!$F29=0,"",(VLOOKUP($C29,REV!$C:$AA,15,0)-'TRADE IN'!$F29))</f>
        <v>3499</v>
      </c>
      <c r="R29" s="56">
        <f>IF(VLOOKUP($C29,REV!$C:$AA,16,0)-'TRADE IN'!$F29=0,"",(VLOOKUP($C29,REV!$C:$AA,16,0)-'TRADE IN'!$F29))</f>
        <v>4399</v>
      </c>
      <c r="S29" s="56">
        <f>IF(VLOOKUP($C29,REV!$C:$AA,17,0)-'TRADE IN'!$F29=0,"",(VLOOKUP($C29,REV!$C:$AA,17,0)-'TRADE IN'!$F29))</f>
        <v>4299</v>
      </c>
      <c r="T29" s="56">
        <f>IF(VLOOKUP($C29,REV!$C:$AA,18,0)-'TRADE IN'!$F29=0,"",(VLOOKUP($C29,REV!$C:$AA,18,0)-'TRADE IN'!$F29))</f>
        <v>3499</v>
      </c>
      <c r="U29" s="56">
        <f>IF(VLOOKUP($C29,REV!$C:$AA,19,0)-'TRADE IN'!$F29=0,"",(VLOOKUP($C29,REV!$C:$AA,19,0)-'TRADE IN'!$F29))</f>
        <v>3499</v>
      </c>
      <c r="V29" s="56">
        <f>IF(VLOOKUP($C29,REV!$C:$AA,20,0)-'TRADE IN'!$F29=0,"",(VLOOKUP($C29,REV!$C:$AA,20,0)-'TRADE IN'!$F29))</f>
        <v>3499</v>
      </c>
      <c r="W29" s="56">
        <f>IF(VLOOKUP($C29,REV!$C:$AA,21,0)-'TRADE IN'!$F29=0,"",(VLOOKUP($C29,REV!$C:$AA,21,0)-'TRADE IN'!$F29))</f>
        <v>3499</v>
      </c>
      <c r="X29" s="56">
        <f>IF(VLOOKUP($C29,REV!$C:$AA,22,0)-'TRADE IN'!$F29=0,"",(VLOOKUP($C29,REV!$C:$AA,22,0)-'TRADE IN'!$F29))</f>
        <v>3399</v>
      </c>
      <c r="Y29" s="56">
        <f>IF(VLOOKUP($C29,REV!$C:$AA,23,0)-'TRADE IN'!$F29=0,"",(VLOOKUP($C29,REV!$C:$AA,23,0)-'TRADE IN'!$F29))</f>
        <v>2899</v>
      </c>
      <c r="Z29" s="56">
        <f>IF(VLOOKUP($C29,REV!$C:$AA,24,0)-'TRADE IN'!$F29=0,"",(VLOOKUP($C29,REV!$C:$AA,24,0)-'TRADE IN'!$F29))</f>
        <v>2899</v>
      </c>
      <c r="AA29" s="56">
        <f>IF(VLOOKUP($C29,REV!$C:$AA,25,0)-'TRADE IN'!$F29=0,"",(VLOOKUP($C29,REV!$C:$AA,25,0)-'TRADE IN'!$F29))</f>
        <v>2899</v>
      </c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7"/>
      <c r="AW29" s="58" t="str">
        <f>REV!AW29</f>
        <v>03.11.2026</v>
      </c>
      <c r="AX29" s="147" t="str">
        <f>VLOOKUP(C29,REV!C:AX,48,0)</f>
        <v>5G</v>
      </c>
    </row>
    <row r="30" spans="1:50" ht="22.5" customHeight="1">
      <c r="A30" s="51" t="s">
        <v>63</v>
      </c>
      <c r="B30" s="52" t="s">
        <v>64</v>
      </c>
      <c r="C30" s="53">
        <v>4015162</v>
      </c>
      <c r="D30" s="54" t="s">
        <v>91</v>
      </c>
      <c r="E30" s="54" t="s">
        <v>92</v>
      </c>
      <c r="F30" s="55"/>
      <c r="G30" s="55"/>
      <c r="H30" s="56"/>
      <c r="I30" s="56"/>
      <c r="J30" s="56">
        <f>IF(VLOOKUP($C30,REV!$C:$AA,8,0)-'TRADE IN'!$F30=0,"",(VLOOKUP($C30,REV!$C:$AA,8,0)-'TRADE IN'!$F30))</f>
        <v>6399</v>
      </c>
      <c r="K30" s="56">
        <f>IF(VLOOKUP($C30,REV!$C:$AA,9,0)-'TRADE IN'!$F30=0,"",(VLOOKUP($C30,REV!$C:$AA,9,0)-'TRADE IN'!$F30))</f>
        <v>6399</v>
      </c>
      <c r="L30" s="56">
        <f>IF(VLOOKUP($C30,REV!$C:$AA,10,0)-'TRADE IN'!$F30=0,"",(VLOOKUP($C30,REV!$C:$AA,10,0)-'TRADE IN'!$F30))</f>
        <v>6399</v>
      </c>
      <c r="M30" s="56">
        <f>IF(VLOOKUP($C30,REV!$C:$AA,11,0)-'TRADE IN'!$F30=0,"",(VLOOKUP($C30,REV!$C:$AA,11,0)-'TRADE IN'!$F30))</f>
        <v>6399</v>
      </c>
      <c r="N30" s="56">
        <f>IF(VLOOKUP($C30,REV!$C:$AA,12,0)-'TRADE IN'!$F30=0,"",(VLOOKUP($C30,REV!$C:$AA,12,0)-'TRADE IN'!$F30))</f>
        <v>6399</v>
      </c>
      <c r="O30" s="56">
        <f>IF(VLOOKUP($C30,REV!$C:$AA,13,0)-'TRADE IN'!$F30=0,"",(VLOOKUP($C30,REV!$C:$AA,13,0)-'TRADE IN'!$F30))</f>
        <v>6299</v>
      </c>
      <c r="P30" s="56">
        <f>IF(VLOOKUP($C30,REV!$C:$AA,14,0)-'TRADE IN'!$F30=0,"",(VLOOKUP($C30,REV!$C:$AA,14,0)-'TRADE IN'!$F30))</f>
        <v>6199</v>
      </c>
      <c r="Q30" s="56">
        <f>IF(VLOOKUP($C30,REV!$C:$AA,15,0)-'TRADE IN'!$F30=0,"",(VLOOKUP($C30,REV!$C:$AA,15,0)-'TRADE IN'!$F30))</f>
        <v>5999</v>
      </c>
      <c r="R30" s="56">
        <f>IF(VLOOKUP($C30,REV!$C:$AA,16,0)-'TRADE IN'!$F30=0,"",(VLOOKUP($C30,REV!$C:$AA,16,0)-'TRADE IN'!$F30))</f>
        <v>6299</v>
      </c>
      <c r="S30" s="56">
        <f>IF(VLOOKUP($C30,REV!$C:$AA,17,0)-'TRADE IN'!$F30=0,"",(VLOOKUP($C30,REV!$C:$AA,17,0)-'TRADE IN'!$F30))</f>
        <v>6199</v>
      </c>
      <c r="T30" s="56">
        <f>IF(VLOOKUP($C30,REV!$C:$AA,18,0)-'TRADE IN'!$F30=0,"",(VLOOKUP($C30,REV!$C:$AA,18,0)-'TRADE IN'!$F30))</f>
        <v>5999</v>
      </c>
      <c r="U30" s="56">
        <f>IF(VLOOKUP($C30,REV!$C:$AA,19,0)-'TRADE IN'!$F30=0,"",(VLOOKUP($C30,REV!$C:$AA,19,0)-'TRADE IN'!$F30))</f>
        <v>5999</v>
      </c>
      <c r="V30" s="56">
        <f>IF(VLOOKUP($C30,REV!$C:$AA,20,0)-'TRADE IN'!$F30=0,"",(VLOOKUP($C30,REV!$C:$AA,20,0)-'TRADE IN'!$F30))</f>
        <v>5999</v>
      </c>
      <c r="W30" s="56">
        <f>IF(VLOOKUP($C30,REV!$C:$AA,21,0)-'TRADE IN'!$F30=0,"",(VLOOKUP($C30,REV!$C:$AA,21,0)-'TRADE IN'!$F30))</f>
        <v>5999</v>
      </c>
      <c r="X30" s="56">
        <f>IF(VLOOKUP($C30,REV!$C:$AA,22,0)-'TRADE IN'!$F30=0,"",(VLOOKUP($C30,REV!$C:$AA,22,0)-'TRADE IN'!$F30))</f>
        <v>5899</v>
      </c>
      <c r="Y30" s="56">
        <f>IF(VLOOKUP($C30,REV!$C:$AA,23,0)-'TRADE IN'!$F30=0,"",(VLOOKUP($C30,REV!$C:$AA,23,0)-'TRADE IN'!$F30))</f>
        <v>5499</v>
      </c>
      <c r="Z30" s="56">
        <f>IF(VLOOKUP($C30,REV!$C:$AA,24,0)-'TRADE IN'!$F30=0,"",(VLOOKUP($C30,REV!$C:$AA,24,0)-'TRADE IN'!$F30))</f>
        <v>5499</v>
      </c>
      <c r="AA30" s="56">
        <f>IF(VLOOKUP($C30,REV!$C:$AA,25,0)-'TRADE IN'!$F30=0,"",(VLOOKUP($C30,REV!$C:$AA,25,0)-'TRADE IN'!$F30))</f>
        <v>5499</v>
      </c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7"/>
      <c r="AW30" s="58" t="str">
        <f>REV!AW30</f>
        <v>03.11.2026</v>
      </c>
      <c r="AX30" s="147" t="str">
        <f>VLOOKUP(C30,REV!C:AX,48,0)</f>
        <v>5G</v>
      </c>
    </row>
    <row r="31" spans="1:50" ht="22.5" customHeight="1">
      <c r="A31" s="51" t="s">
        <v>63</v>
      </c>
      <c r="B31" s="52" t="s">
        <v>64</v>
      </c>
      <c r="C31" s="53">
        <v>4015112</v>
      </c>
      <c r="D31" s="54" t="s">
        <v>93</v>
      </c>
      <c r="E31" s="54" t="s">
        <v>94</v>
      </c>
      <c r="F31" s="55"/>
      <c r="G31" s="55"/>
      <c r="H31" s="56"/>
      <c r="I31" s="56"/>
      <c r="J31" s="56">
        <f>IF(VLOOKUP($C31,REV!$C:$AA,8,0)-'TRADE IN'!$F31=0,"",(VLOOKUP($C31,REV!$C:$AA,8,0)-'TRADE IN'!$F31))</f>
        <v>5899</v>
      </c>
      <c r="K31" s="56">
        <f>IF(VLOOKUP($C31,REV!$C:$AA,9,0)-'TRADE IN'!$F31=0,"",(VLOOKUP($C31,REV!$C:$AA,9,0)-'TRADE IN'!$F31))</f>
        <v>5899</v>
      </c>
      <c r="L31" s="56">
        <f>IF(VLOOKUP($C31,REV!$C:$AA,10,0)-'TRADE IN'!$F31=0,"",(VLOOKUP($C31,REV!$C:$AA,10,0)-'TRADE IN'!$F31))</f>
        <v>5899</v>
      </c>
      <c r="M31" s="56">
        <f>IF(VLOOKUP($C31,REV!$C:$AA,11,0)-'TRADE IN'!$F31=0,"",(VLOOKUP($C31,REV!$C:$AA,11,0)-'TRADE IN'!$F31))</f>
        <v>5899</v>
      </c>
      <c r="N31" s="56">
        <f>IF(VLOOKUP($C31,REV!$C:$AA,12,0)-'TRADE IN'!$F31=0,"",(VLOOKUP($C31,REV!$C:$AA,12,0)-'TRADE IN'!$F31))</f>
        <v>5899</v>
      </c>
      <c r="O31" s="56">
        <f>IF(VLOOKUP($C31,REV!$C:$AA,13,0)-'TRADE IN'!$F31=0,"",(VLOOKUP($C31,REV!$C:$AA,13,0)-'TRADE IN'!$F31))</f>
        <v>5799</v>
      </c>
      <c r="P31" s="56">
        <f>IF(VLOOKUP($C31,REV!$C:$AA,14,0)-'TRADE IN'!$F31=0,"",(VLOOKUP($C31,REV!$C:$AA,14,0)-'TRADE IN'!$F31))</f>
        <v>5699</v>
      </c>
      <c r="Q31" s="56">
        <f>IF(VLOOKUP($C31,REV!$C:$AA,15,0)-'TRADE IN'!$F31=0,"",(VLOOKUP($C31,REV!$C:$AA,15,0)-'TRADE IN'!$F31))</f>
        <v>5499</v>
      </c>
      <c r="R31" s="56">
        <f>IF(VLOOKUP($C31,REV!$C:$AA,16,0)-'TRADE IN'!$F31=0,"",(VLOOKUP($C31,REV!$C:$AA,16,0)-'TRADE IN'!$F31))</f>
        <v>5799</v>
      </c>
      <c r="S31" s="56">
        <f>IF(VLOOKUP($C31,REV!$C:$AA,17,0)-'TRADE IN'!$F31=0,"",(VLOOKUP($C31,REV!$C:$AA,17,0)-'TRADE IN'!$F31))</f>
        <v>5699</v>
      </c>
      <c r="T31" s="56">
        <f>IF(VLOOKUP($C31,REV!$C:$AA,18,0)-'TRADE IN'!$F31=0,"",(VLOOKUP($C31,REV!$C:$AA,18,0)-'TRADE IN'!$F31))</f>
        <v>5499</v>
      </c>
      <c r="U31" s="56">
        <f>IF(VLOOKUP($C31,REV!$C:$AA,19,0)-'TRADE IN'!$F31=0,"",(VLOOKUP($C31,REV!$C:$AA,19,0)-'TRADE IN'!$F31))</f>
        <v>5499</v>
      </c>
      <c r="V31" s="56">
        <f>IF(VLOOKUP($C31,REV!$C:$AA,20,0)-'TRADE IN'!$F31=0,"",(VLOOKUP($C31,REV!$C:$AA,20,0)-'TRADE IN'!$F31))</f>
        <v>5499</v>
      </c>
      <c r="W31" s="56">
        <f>IF(VLOOKUP($C31,REV!$C:$AA,21,0)-'TRADE IN'!$F31=0,"",(VLOOKUP($C31,REV!$C:$AA,21,0)-'TRADE IN'!$F31))</f>
        <v>5499</v>
      </c>
      <c r="X31" s="56">
        <f>IF(VLOOKUP($C31,REV!$C:$AA,22,0)-'TRADE IN'!$F31=0,"",(VLOOKUP($C31,REV!$C:$AA,22,0)-'TRADE IN'!$F31))</f>
        <v>5399</v>
      </c>
      <c r="Y31" s="56">
        <f>IF(VLOOKUP($C31,REV!$C:$AA,23,0)-'TRADE IN'!$F31=0,"",(VLOOKUP($C31,REV!$C:$AA,23,0)-'TRADE IN'!$F31))</f>
        <v>4999</v>
      </c>
      <c r="Z31" s="56">
        <f>IF(VLOOKUP($C31,REV!$C:$AA,24,0)-'TRADE IN'!$F31=0,"",(VLOOKUP($C31,REV!$C:$AA,24,0)-'TRADE IN'!$F31))</f>
        <v>4999</v>
      </c>
      <c r="AA31" s="56">
        <f>IF(VLOOKUP($C31,REV!$C:$AA,25,0)-'TRADE IN'!$F31=0,"",(VLOOKUP($C31,REV!$C:$AA,25,0)-'TRADE IN'!$F31))</f>
        <v>4999</v>
      </c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7"/>
      <c r="AW31" s="58" t="str">
        <f>REV!AW31</f>
        <v>03.11.2026</v>
      </c>
      <c r="AX31" s="147" t="str">
        <f>VLOOKUP(C31,REV!C:AX,48,0)</f>
        <v>5G</v>
      </c>
    </row>
    <row r="32" spans="1:50" ht="22.5" customHeight="1">
      <c r="A32" s="51" t="s">
        <v>63</v>
      </c>
      <c r="B32" s="52" t="s">
        <v>64</v>
      </c>
      <c r="C32" s="53">
        <v>4015116</v>
      </c>
      <c r="D32" s="54" t="s">
        <v>93</v>
      </c>
      <c r="E32" s="54" t="s">
        <v>95</v>
      </c>
      <c r="F32" s="55"/>
      <c r="G32" s="55"/>
      <c r="H32" s="56"/>
      <c r="I32" s="56"/>
      <c r="J32" s="56">
        <f>IF(VLOOKUP($C32,REV!$C:$AA,8,0)-'TRADE IN'!$F32=0,"",(VLOOKUP($C32,REV!$C:$AA,8,0)-'TRADE IN'!$F32))</f>
        <v>5899</v>
      </c>
      <c r="K32" s="56">
        <f>IF(VLOOKUP($C32,REV!$C:$AA,9,0)-'TRADE IN'!$F32=0,"",(VLOOKUP($C32,REV!$C:$AA,9,0)-'TRADE IN'!$F32))</f>
        <v>5899</v>
      </c>
      <c r="L32" s="56">
        <f>IF(VLOOKUP($C32,REV!$C:$AA,10,0)-'TRADE IN'!$F32=0,"",(VLOOKUP($C32,REV!$C:$AA,10,0)-'TRADE IN'!$F32))</f>
        <v>5899</v>
      </c>
      <c r="M32" s="56">
        <f>IF(VLOOKUP($C32,REV!$C:$AA,11,0)-'TRADE IN'!$F32=0,"",(VLOOKUP($C32,REV!$C:$AA,11,0)-'TRADE IN'!$F32))</f>
        <v>5899</v>
      </c>
      <c r="N32" s="56">
        <f>IF(VLOOKUP($C32,REV!$C:$AA,12,0)-'TRADE IN'!$F32=0,"",(VLOOKUP($C32,REV!$C:$AA,12,0)-'TRADE IN'!$F32))</f>
        <v>5899</v>
      </c>
      <c r="O32" s="56">
        <f>IF(VLOOKUP($C32,REV!$C:$AA,13,0)-'TRADE IN'!$F32=0,"",(VLOOKUP($C32,REV!$C:$AA,13,0)-'TRADE IN'!$F32))</f>
        <v>5799</v>
      </c>
      <c r="P32" s="56">
        <f>IF(VLOOKUP($C32,REV!$C:$AA,14,0)-'TRADE IN'!$F32=0,"",(VLOOKUP($C32,REV!$C:$AA,14,0)-'TRADE IN'!$F32))</f>
        <v>5699</v>
      </c>
      <c r="Q32" s="56">
        <f>IF(VLOOKUP($C32,REV!$C:$AA,15,0)-'TRADE IN'!$F32=0,"",(VLOOKUP($C32,REV!$C:$AA,15,0)-'TRADE IN'!$F32))</f>
        <v>5499</v>
      </c>
      <c r="R32" s="56">
        <f>IF(VLOOKUP($C32,REV!$C:$AA,16,0)-'TRADE IN'!$F32=0,"",(VLOOKUP($C32,REV!$C:$AA,16,0)-'TRADE IN'!$F32))</f>
        <v>5799</v>
      </c>
      <c r="S32" s="56">
        <f>IF(VLOOKUP($C32,REV!$C:$AA,17,0)-'TRADE IN'!$F32=0,"",(VLOOKUP($C32,REV!$C:$AA,17,0)-'TRADE IN'!$F32))</f>
        <v>5699</v>
      </c>
      <c r="T32" s="56">
        <f>IF(VLOOKUP($C32,REV!$C:$AA,18,0)-'TRADE IN'!$F32=0,"",(VLOOKUP($C32,REV!$C:$AA,18,0)-'TRADE IN'!$F32))</f>
        <v>5499</v>
      </c>
      <c r="U32" s="56">
        <f>IF(VLOOKUP($C32,REV!$C:$AA,19,0)-'TRADE IN'!$F32=0,"",(VLOOKUP($C32,REV!$C:$AA,19,0)-'TRADE IN'!$F32))</f>
        <v>5499</v>
      </c>
      <c r="V32" s="56">
        <f>IF(VLOOKUP($C32,REV!$C:$AA,20,0)-'TRADE IN'!$F32=0,"",(VLOOKUP($C32,REV!$C:$AA,20,0)-'TRADE IN'!$F32))</f>
        <v>5499</v>
      </c>
      <c r="W32" s="56">
        <f>IF(VLOOKUP($C32,REV!$C:$AA,21,0)-'TRADE IN'!$F32=0,"",(VLOOKUP($C32,REV!$C:$AA,21,0)-'TRADE IN'!$F32))</f>
        <v>5499</v>
      </c>
      <c r="X32" s="56">
        <f>IF(VLOOKUP($C32,REV!$C:$AA,22,0)-'TRADE IN'!$F32=0,"",(VLOOKUP($C32,REV!$C:$AA,22,0)-'TRADE IN'!$F32))</f>
        <v>5399</v>
      </c>
      <c r="Y32" s="56">
        <f>IF(VLOOKUP($C32,REV!$C:$AA,23,0)-'TRADE IN'!$F32=0,"",(VLOOKUP($C32,REV!$C:$AA,23,0)-'TRADE IN'!$F32))</f>
        <v>4999</v>
      </c>
      <c r="Z32" s="56">
        <f>IF(VLOOKUP($C32,REV!$C:$AA,24,0)-'TRADE IN'!$F32=0,"",(VLOOKUP($C32,REV!$C:$AA,24,0)-'TRADE IN'!$F32))</f>
        <v>4999</v>
      </c>
      <c r="AA32" s="56">
        <f>IF(VLOOKUP($C32,REV!$C:$AA,25,0)-'TRADE IN'!$F32=0,"",(VLOOKUP($C32,REV!$C:$AA,25,0)-'TRADE IN'!$F32))</f>
        <v>4999</v>
      </c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7"/>
      <c r="AW32" s="58" t="str">
        <f>REV!AW32</f>
        <v>03.11.2026</v>
      </c>
      <c r="AX32" s="147" t="str">
        <f>VLOOKUP(C32,REV!C:AX,48,0)</f>
        <v>5G</v>
      </c>
    </row>
    <row r="33" spans="1:50" ht="22.5" customHeight="1">
      <c r="A33" s="51" t="s">
        <v>63</v>
      </c>
      <c r="B33" s="52" t="s">
        <v>64</v>
      </c>
      <c r="C33" s="53">
        <v>4015742</v>
      </c>
      <c r="D33" s="54" t="s">
        <v>96</v>
      </c>
      <c r="E33" s="54" t="s">
        <v>97</v>
      </c>
      <c r="F33" s="55"/>
      <c r="G33" s="55"/>
      <c r="H33" s="56"/>
      <c r="I33" s="56"/>
      <c r="J33" s="56">
        <f>IF(VLOOKUP($C33,REV!$C:$AA,8,0)-'TRADE IN'!$F33=0,"",(VLOOKUP($C33,REV!$C:$AA,8,0)-'TRADE IN'!$F33))</f>
        <v>4999</v>
      </c>
      <c r="K33" s="56">
        <f>IF(VLOOKUP($C33,REV!$C:$AA,9,0)-'TRADE IN'!$F33=0,"",(VLOOKUP($C33,REV!$C:$AA,9,0)-'TRADE IN'!$F33))</f>
        <v>4899</v>
      </c>
      <c r="L33" s="56">
        <f>IF(VLOOKUP($C33,REV!$C:$AA,10,0)-'TRADE IN'!$F33=0,"",(VLOOKUP($C33,REV!$C:$AA,10,0)-'TRADE IN'!$F33))</f>
        <v>4899</v>
      </c>
      <c r="M33" s="56">
        <f>IF(VLOOKUP($C33,REV!$C:$AA,11,0)-'TRADE IN'!$F33=0,"",(VLOOKUP($C33,REV!$C:$AA,11,0)-'TRADE IN'!$F33))</f>
        <v>4999</v>
      </c>
      <c r="N33" s="56">
        <f>IF(VLOOKUP($C33,REV!$C:$AA,12,0)-'TRADE IN'!$F33=0,"",(VLOOKUP($C33,REV!$C:$AA,12,0)-'TRADE IN'!$F33))</f>
        <v>4899</v>
      </c>
      <c r="O33" s="56">
        <f>IF(VLOOKUP($C33,REV!$C:$AA,13,0)-'TRADE IN'!$F33=0,"",(VLOOKUP($C33,REV!$C:$AA,13,0)-'TRADE IN'!$F33))</f>
        <v>4799</v>
      </c>
      <c r="P33" s="56">
        <f>IF(VLOOKUP($C33,REV!$C:$AA,14,0)-'TRADE IN'!$F33=0,"",(VLOOKUP($C33,REV!$C:$AA,14,0)-'TRADE IN'!$F33))</f>
        <v>4699</v>
      </c>
      <c r="Q33" s="56">
        <f>IF(VLOOKUP($C33,REV!$C:$AA,15,0)-'TRADE IN'!$F33=0,"",(VLOOKUP($C33,REV!$C:$AA,15,0)-'TRADE IN'!$F33))</f>
        <v>4499</v>
      </c>
      <c r="R33" s="56">
        <f>IF(VLOOKUP($C33,REV!$C:$AA,16,0)-'TRADE IN'!$F33=0,"",(VLOOKUP($C33,REV!$C:$AA,16,0)-'TRADE IN'!$F33))</f>
        <v>4799</v>
      </c>
      <c r="S33" s="56">
        <f>IF(VLOOKUP($C33,REV!$C:$AA,17,0)-'TRADE IN'!$F33=0,"",(VLOOKUP($C33,REV!$C:$AA,17,0)-'TRADE IN'!$F33))</f>
        <v>4699</v>
      </c>
      <c r="T33" s="56">
        <f>IF(VLOOKUP($C33,REV!$C:$AA,18,0)-'TRADE IN'!$F33=0,"",(VLOOKUP($C33,REV!$C:$AA,18,0)-'TRADE IN'!$F33))</f>
        <v>4499</v>
      </c>
      <c r="U33" s="56">
        <f>IF(VLOOKUP($C33,REV!$C:$AA,19,0)-'TRADE IN'!$F33=0,"",(VLOOKUP($C33,REV!$C:$AA,19,0)-'TRADE IN'!$F33))</f>
        <v>4399</v>
      </c>
      <c r="V33" s="56">
        <f>IF(VLOOKUP($C33,REV!$C:$AA,20,0)-'TRADE IN'!$F33=0,"",(VLOOKUP($C33,REV!$C:$AA,20,0)-'TRADE IN'!$F33))</f>
        <v>4399</v>
      </c>
      <c r="W33" s="56">
        <f>IF(VLOOKUP($C33,REV!$C:$AA,21,0)-'TRADE IN'!$F33=0,"",(VLOOKUP($C33,REV!$C:$AA,21,0)-'TRADE IN'!$F33))</f>
        <v>4299</v>
      </c>
      <c r="X33" s="56">
        <f>IF(VLOOKUP($C33,REV!$C:$AA,22,0)-'TRADE IN'!$F33=0,"",(VLOOKUP($C33,REV!$C:$AA,22,0)-'TRADE IN'!$F33))</f>
        <v>4199</v>
      </c>
      <c r="Y33" s="56">
        <f>IF(VLOOKUP($C33,REV!$C:$AA,23,0)-'TRADE IN'!$F33=0,"",(VLOOKUP($C33,REV!$C:$AA,23,0)-'TRADE IN'!$F33))</f>
        <v>3499</v>
      </c>
      <c r="Z33" s="56">
        <f>IF(VLOOKUP($C33,REV!$C:$AA,24,0)-'TRADE IN'!$F33=0,"",(VLOOKUP($C33,REV!$C:$AA,24,0)-'TRADE IN'!$F33))</f>
        <v>3499</v>
      </c>
      <c r="AA33" s="56">
        <f>IF(VLOOKUP($C33,REV!$C:$AA,25,0)-'TRADE IN'!$F33=0,"",(VLOOKUP($C33,REV!$C:$AA,25,0)-'TRADE IN'!$F33))</f>
        <v>3499</v>
      </c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7"/>
      <c r="AW33" s="58" t="str">
        <f>REV!AW33</f>
        <v>03.11.2026</v>
      </c>
      <c r="AX33" s="147" t="str">
        <f>VLOOKUP(C33,REV!C:AX,48,0)</f>
        <v>5G</v>
      </c>
    </row>
    <row r="34" spans="1:50" ht="22.5" customHeight="1">
      <c r="A34" s="51" t="s">
        <v>63</v>
      </c>
      <c r="B34" s="52" t="s">
        <v>64</v>
      </c>
      <c r="C34" s="53">
        <v>4015725</v>
      </c>
      <c r="D34" s="54" t="s">
        <v>96</v>
      </c>
      <c r="E34" s="54" t="s">
        <v>98</v>
      </c>
      <c r="F34" s="55"/>
      <c r="G34" s="55"/>
      <c r="H34" s="56"/>
      <c r="I34" s="56"/>
      <c r="J34" s="56">
        <f>IF(VLOOKUP($C34,REV!$C:$AA,8,0)-'TRADE IN'!$F34=0,"",(VLOOKUP($C34,REV!$C:$AA,8,0)-'TRADE IN'!$F34))</f>
        <v>4999</v>
      </c>
      <c r="K34" s="56">
        <f>IF(VLOOKUP($C34,REV!$C:$AA,9,0)-'TRADE IN'!$F34=0,"",(VLOOKUP($C34,REV!$C:$AA,9,0)-'TRADE IN'!$F34))</f>
        <v>4899</v>
      </c>
      <c r="L34" s="56">
        <f>IF(VLOOKUP($C34,REV!$C:$AA,10,0)-'TRADE IN'!$F34=0,"",(VLOOKUP($C34,REV!$C:$AA,10,0)-'TRADE IN'!$F34))</f>
        <v>4899</v>
      </c>
      <c r="M34" s="56">
        <f>IF(VLOOKUP($C34,REV!$C:$AA,11,0)-'TRADE IN'!$F34=0,"",(VLOOKUP($C34,REV!$C:$AA,11,0)-'TRADE IN'!$F34))</f>
        <v>4999</v>
      </c>
      <c r="N34" s="56">
        <f>IF(VLOOKUP($C34,REV!$C:$AA,12,0)-'TRADE IN'!$F34=0,"",(VLOOKUP($C34,REV!$C:$AA,12,0)-'TRADE IN'!$F34))</f>
        <v>4899</v>
      </c>
      <c r="O34" s="56">
        <f>IF(VLOOKUP($C34,REV!$C:$AA,13,0)-'TRADE IN'!$F34=0,"",(VLOOKUP($C34,REV!$C:$AA,13,0)-'TRADE IN'!$F34))</f>
        <v>4799</v>
      </c>
      <c r="P34" s="56">
        <f>IF(VLOOKUP($C34,REV!$C:$AA,14,0)-'TRADE IN'!$F34=0,"",(VLOOKUP($C34,REV!$C:$AA,14,0)-'TRADE IN'!$F34))</f>
        <v>4699</v>
      </c>
      <c r="Q34" s="56">
        <f>IF(VLOOKUP($C34,REV!$C:$AA,15,0)-'TRADE IN'!$F34=0,"",(VLOOKUP($C34,REV!$C:$AA,15,0)-'TRADE IN'!$F34))</f>
        <v>4499</v>
      </c>
      <c r="R34" s="56">
        <f>IF(VLOOKUP($C34,REV!$C:$AA,16,0)-'TRADE IN'!$F34=0,"",(VLOOKUP($C34,REV!$C:$AA,16,0)-'TRADE IN'!$F34))</f>
        <v>4799</v>
      </c>
      <c r="S34" s="56">
        <f>IF(VLOOKUP($C34,REV!$C:$AA,17,0)-'TRADE IN'!$F34=0,"",(VLOOKUP($C34,REV!$C:$AA,17,0)-'TRADE IN'!$F34))</f>
        <v>4699</v>
      </c>
      <c r="T34" s="56">
        <f>IF(VLOOKUP($C34,REV!$C:$AA,18,0)-'TRADE IN'!$F34=0,"",(VLOOKUP($C34,REV!$C:$AA,18,0)-'TRADE IN'!$F34))</f>
        <v>4499</v>
      </c>
      <c r="U34" s="56">
        <f>IF(VLOOKUP($C34,REV!$C:$AA,19,0)-'TRADE IN'!$F34=0,"",(VLOOKUP($C34,REV!$C:$AA,19,0)-'TRADE IN'!$F34))</f>
        <v>4399</v>
      </c>
      <c r="V34" s="56">
        <f>IF(VLOOKUP($C34,REV!$C:$AA,20,0)-'TRADE IN'!$F34=0,"",(VLOOKUP($C34,REV!$C:$AA,20,0)-'TRADE IN'!$F34))</f>
        <v>4399</v>
      </c>
      <c r="W34" s="56">
        <f>IF(VLOOKUP($C34,REV!$C:$AA,21,0)-'TRADE IN'!$F34=0,"",(VLOOKUP($C34,REV!$C:$AA,21,0)-'TRADE IN'!$F34))</f>
        <v>4299</v>
      </c>
      <c r="X34" s="56">
        <f>IF(VLOOKUP($C34,REV!$C:$AA,22,0)-'TRADE IN'!$F34=0,"",(VLOOKUP($C34,REV!$C:$AA,22,0)-'TRADE IN'!$F34))</f>
        <v>4199</v>
      </c>
      <c r="Y34" s="56">
        <f>IF(VLOOKUP($C34,REV!$C:$AA,23,0)-'TRADE IN'!$F34=0,"",(VLOOKUP($C34,REV!$C:$AA,23,0)-'TRADE IN'!$F34))</f>
        <v>3499</v>
      </c>
      <c r="Z34" s="56">
        <f>IF(VLOOKUP($C34,REV!$C:$AA,24,0)-'TRADE IN'!$F34=0,"",(VLOOKUP($C34,REV!$C:$AA,24,0)-'TRADE IN'!$F34))</f>
        <v>3499</v>
      </c>
      <c r="AA34" s="56">
        <f>IF(VLOOKUP($C34,REV!$C:$AA,25,0)-'TRADE IN'!$F34=0,"",(VLOOKUP($C34,REV!$C:$AA,25,0)-'TRADE IN'!$F34))</f>
        <v>3499</v>
      </c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7"/>
      <c r="AW34" s="58" t="str">
        <f>REV!AW34</f>
        <v>03.11.2026</v>
      </c>
      <c r="AX34" s="147" t="str">
        <f>VLOOKUP(C34,REV!C:AX,48,0)</f>
        <v>5G</v>
      </c>
    </row>
    <row r="35" spans="1:50" ht="22.5" customHeight="1">
      <c r="A35" s="51" t="s">
        <v>63</v>
      </c>
      <c r="B35" s="52" t="s">
        <v>64</v>
      </c>
      <c r="C35" s="53">
        <v>4015794</v>
      </c>
      <c r="D35" s="54" t="s">
        <v>96</v>
      </c>
      <c r="E35" s="54" t="s">
        <v>99</v>
      </c>
      <c r="F35" s="55"/>
      <c r="G35" s="55"/>
      <c r="H35" s="56"/>
      <c r="I35" s="56"/>
      <c r="J35" s="56">
        <f>IF(VLOOKUP($C35,REV!$C:$AA,8,0)-'TRADE IN'!$F35=0,"",(VLOOKUP($C35,REV!$C:$AA,8,0)-'TRADE IN'!$F35))</f>
        <v>4999</v>
      </c>
      <c r="K35" s="56">
        <f>IF(VLOOKUP($C35,REV!$C:$AA,9,0)-'TRADE IN'!$F35=0,"",(VLOOKUP($C35,REV!$C:$AA,9,0)-'TRADE IN'!$F35))</f>
        <v>4899</v>
      </c>
      <c r="L35" s="56">
        <f>IF(VLOOKUP($C35,REV!$C:$AA,10,0)-'TRADE IN'!$F35=0,"",(VLOOKUP($C35,REV!$C:$AA,10,0)-'TRADE IN'!$F35))</f>
        <v>4899</v>
      </c>
      <c r="M35" s="56">
        <f>IF(VLOOKUP($C35,REV!$C:$AA,11,0)-'TRADE IN'!$F35=0,"",(VLOOKUP($C35,REV!$C:$AA,11,0)-'TRADE IN'!$F35))</f>
        <v>4999</v>
      </c>
      <c r="N35" s="56">
        <f>IF(VLOOKUP($C35,REV!$C:$AA,12,0)-'TRADE IN'!$F35=0,"",(VLOOKUP($C35,REV!$C:$AA,12,0)-'TRADE IN'!$F35))</f>
        <v>4899</v>
      </c>
      <c r="O35" s="56">
        <f>IF(VLOOKUP($C35,REV!$C:$AA,13,0)-'TRADE IN'!$F35=0,"",(VLOOKUP($C35,REV!$C:$AA,13,0)-'TRADE IN'!$F35))</f>
        <v>4799</v>
      </c>
      <c r="P35" s="56">
        <f>IF(VLOOKUP($C35,REV!$C:$AA,14,0)-'TRADE IN'!$F35=0,"",(VLOOKUP($C35,REV!$C:$AA,14,0)-'TRADE IN'!$F35))</f>
        <v>4699</v>
      </c>
      <c r="Q35" s="56">
        <f>IF(VLOOKUP($C35,REV!$C:$AA,15,0)-'TRADE IN'!$F35=0,"",(VLOOKUP($C35,REV!$C:$AA,15,0)-'TRADE IN'!$F35))</f>
        <v>4499</v>
      </c>
      <c r="R35" s="56">
        <f>IF(VLOOKUP($C35,REV!$C:$AA,16,0)-'TRADE IN'!$F35=0,"",(VLOOKUP($C35,REV!$C:$AA,16,0)-'TRADE IN'!$F35))</f>
        <v>4799</v>
      </c>
      <c r="S35" s="56">
        <f>IF(VLOOKUP($C35,REV!$C:$AA,17,0)-'TRADE IN'!$F35=0,"",(VLOOKUP($C35,REV!$C:$AA,17,0)-'TRADE IN'!$F35))</f>
        <v>4699</v>
      </c>
      <c r="T35" s="56">
        <f>IF(VLOOKUP($C35,REV!$C:$AA,18,0)-'TRADE IN'!$F35=0,"",(VLOOKUP($C35,REV!$C:$AA,18,0)-'TRADE IN'!$F35))</f>
        <v>4499</v>
      </c>
      <c r="U35" s="56">
        <f>IF(VLOOKUP($C35,REV!$C:$AA,19,0)-'TRADE IN'!$F35=0,"",(VLOOKUP($C35,REV!$C:$AA,19,0)-'TRADE IN'!$F35))</f>
        <v>4399</v>
      </c>
      <c r="V35" s="56">
        <f>IF(VLOOKUP($C35,REV!$C:$AA,20,0)-'TRADE IN'!$F35=0,"",(VLOOKUP($C35,REV!$C:$AA,20,0)-'TRADE IN'!$F35))</f>
        <v>4399</v>
      </c>
      <c r="W35" s="56">
        <f>IF(VLOOKUP($C35,REV!$C:$AA,21,0)-'TRADE IN'!$F35=0,"",(VLOOKUP($C35,REV!$C:$AA,21,0)-'TRADE IN'!$F35))</f>
        <v>4299</v>
      </c>
      <c r="X35" s="56">
        <f>IF(VLOOKUP($C35,REV!$C:$AA,22,0)-'TRADE IN'!$F35=0,"",(VLOOKUP($C35,REV!$C:$AA,22,0)-'TRADE IN'!$F35))</f>
        <v>4199</v>
      </c>
      <c r="Y35" s="56">
        <f>IF(VLOOKUP($C35,REV!$C:$AA,23,0)-'TRADE IN'!$F35=0,"",(VLOOKUP($C35,REV!$C:$AA,23,0)-'TRADE IN'!$F35))</f>
        <v>3499</v>
      </c>
      <c r="Z35" s="56">
        <f>IF(VLOOKUP($C35,REV!$C:$AA,24,0)-'TRADE IN'!$F35=0,"",(VLOOKUP($C35,REV!$C:$AA,24,0)-'TRADE IN'!$F35))</f>
        <v>3499</v>
      </c>
      <c r="AA35" s="56">
        <f>IF(VLOOKUP($C35,REV!$C:$AA,25,0)-'TRADE IN'!$F35=0,"",(VLOOKUP($C35,REV!$C:$AA,25,0)-'TRADE IN'!$F35))</f>
        <v>3499</v>
      </c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7"/>
      <c r="AW35" s="58" t="str">
        <f>REV!AW35</f>
        <v>03.11.2026</v>
      </c>
      <c r="AX35" s="147" t="str">
        <f>VLOOKUP(C35,REV!C:AX,48,0)</f>
        <v>5G</v>
      </c>
    </row>
    <row r="36" spans="1:50" ht="22.5" customHeight="1">
      <c r="A36" s="51" t="s">
        <v>63</v>
      </c>
      <c r="B36" s="52" t="s">
        <v>64</v>
      </c>
      <c r="C36" s="53">
        <v>4015808</v>
      </c>
      <c r="D36" s="54" t="s">
        <v>96</v>
      </c>
      <c r="E36" s="54" t="s">
        <v>100</v>
      </c>
      <c r="F36" s="55"/>
      <c r="G36" s="55"/>
      <c r="H36" s="56"/>
      <c r="I36" s="56"/>
      <c r="J36" s="56">
        <f>IF(VLOOKUP($C36,REV!$C:$AA,8,0)-'TRADE IN'!$F36=0,"",(VLOOKUP($C36,REV!$C:$AA,8,0)-'TRADE IN'!$F36))</f>
        <v>4999</v>
      </c>
      <c r="K36" s="56">
        <f>IF(VLOOKUP($C36,REV!$C:$AA,9,0)-'TRADE IN'!$F36=0,"",(VLOOKUP($C36,REV!$C:$AA,9,0)-'TRADE IN'!$F36))</f>
        <v>4899</v>
      </c>
      <c r="L36" s="56">
        <f>IF(VLOOKUP($C36,REV!$C:$AA,10,0)-'TRADE IN'!$F36=0,"",(VLOOKUP($C36,REV!$C:$AA,10,0)-'TRADE IN'!$F36))</f>
        <v>4899</v>
      </c>
      <c r="M36" s="56">
        <f>IF(VLOOKUP($C36,REV!$C:$AA,11,0)-'TRADE IN'!$F36=0,"",(VLOOKUP($C36,REV!$C:$AA,11,0)-'TRADE IN'!$F36))</f>
        <v>4999</v>
      </c>
      <c r="N36" s="56">
        <f>IF(VLOOKUP($C36,REV!$C:$AA,12,0)-'TRADE IN'!$F36=0,"",(VLOOKUP($C36,REV!$C:$AA,12,0)-'TRADE IN'!$F36))</f>
        <v>4899</v>
      </c>
      <c r="O36" s="56">
        <f>IF(VLOOKUP($C36,REV!$C:$AA,13,0)-'TRADE IN'!$F36=0,"",(VLOOKUP($C36,REV!$C:$AA,13,0)-'TRADE IN'!$F36))</f>
        <v>4799</v>
      </c>
      <c r="P36" s="56">
        <f>IF(VLOOKUP($C36,REV!$C:$AA,14,0)-'TRADE IN'!$F36=0,"",(VLOOKUP($C36,REV!$C:$AA,14,0)-'TRADE IN'!$F36))</f>
        <v>4699</v>
      </c>
      <c r="Q36" s="56">
        <f>IF(VLOOKUP($C36,REV!$C:$AA,15,0)-'TRADE IN'!$F36=0,"",(VLOOKUP($C36,REV!$C:$AA,15,0)-'TRADE IN'!$F36))</f>
        <v>4499</v>
      </c>
      <c r="R36" s="56">
        <f>IF(VLOOKUP($C36,REV!$C:$AA,16,0)-'TRADE IN'!$F36=0,"",(VLOOKUP($C36,REV!$C:$AA,16,0)-'TRADE IN'!$F36))</f>
        <v>4799</v>
      </c>
      <c r="S36" s="56">
        <f>IF(VLOOKUP($C36,REV!$C:$AA,17,0)-'TRADE IN'!$F36=0,"",(VLOOKUP($C36,REV!$C:$AA,17,0)-'TRADE IN'!$F36))</f>
        <v>4699</v>
      </c>
      <c r="T36" s="56">
        <f>IF(VLOOKUP($C36,REV!$C:$AA,18,0)-'TRADE IN'!$F36=0,"",(VLOOKUP($C36,REV!$C:$AA,18,0)-'TRADE IN'!$F36))</f>
        <v>4499</v>
      </c>
      <c r="U36" s="56">
        <f>IF(VLOOKUP($C36,REV!$C:$AA,19,0)-'TRADE IN'!$F36=0,"",(VLOOKUP($C36,REV!$C:$AA,19,0)-'TRADE IN'!$F36))</f>
        <v>4399</v>
      </c>
      <c r="V36" s="56">
        <f>IF(VLOOKUP($C36,REV!$C:$AA,20,0)-'TRADE IN'!$F36=0,"",(VLOOKUP($C36,REV!$C:$AA,20,0)-'TRADE IN'!$F36))</f>
        <v>4399</v>
      </c>
      <c r="W36" s="56">
        <f>IF(VLOOKUP($C36,REV!$C:$AA,21,0)-'TRADE IN'!$F36=0,"",(VLOOKUP($C36,REV!$C:$AA,21,0)-'TRADE IN'!$F36))</f>
        <v>4299</v>
      </c>
      <c r="X36" s="56">
        <f>IF(VLOOKUP($C36,REV!$C:$AA,22,0)-'TRADE IN'!$F36=0,"",(VLOOKUP($C36,REV!$C:$AA,22,0)-'TRADE IN'!$F36))</f>
        <v>4199</v>
      </c>
      <c r="Y36" s="56">
        <f>IF(VLOOKUP($C36,REV!$C:$AA,23,0)-'TRADE IN'!$F36=0,"",(VLOOKUP($C36,REV!$C:$AA,23,0)-'TRADE IN'!$F36))</f>
        <v>3499</v>
      </c>
      <c r="Z36" s="56">
        <f>IF(VLOOKUP($C36,REV!$C:$AA,24,0)-'TRADE IN'!$F36=0,"",(VLOOKUP($C36,REV!$C:$AA,24,0)-'TRADE IN'!$F36))</f>
        <v>3499</v>
      </c>
      <c r="AA36" s="56">
        <f>IF(VLOOKUP($C36,REV!$C:$AA,25,0)-'TRADE IN'!$F36=0,"",(VLOOKUP($C36,REV!$C:$AA,25,0)-'TRADE IN'!$F36))</f>
        <v>3499</v>
      </c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7"/>
      <c r="AW36" s="58" t="str">
        <f>REV!AW36</f>
        <v>03.11.2026</v>
      </c>
      <c r="AX36" s="147" t="str">
        <f>VLOOKUP(C36,REV!C:AX,48,0)</f>
        <v>5G</v>
      </c>
    </row>
    <row r="37" spans="1:50" ht="22.5" customHeight="1">
      <c r="A37" s="51" t="s">
        <v>63</v>
      </c>
      <c r="B37" s="52" t="s">
        <v>64</v>
      </c>
      <c r="C37" s="53">
        <v>4015743</v>
      </c>
      <c r="D37" s="54" t="s">
        <v>101</v>
      </c>
      <c r="E37" s="54" t="s">
        <v>102</v>
      </c>
      <c r="F37" s="55"/>
      <c r="G37" s="55"/>
      <c r="H37" s="56"/>
      <c r="I37" s="56"/>
      <c r="J37" s="56">
        <f>IF(VLOOKUP($C37,REV!$C:$AA,8,0)-'TRADE IN'!$F37=0,"",(VLOOKUP($C37,REV!$C:$AA,8,0)-'TRADE IN'!$F37))</f>
        <v>5099</v>
      </c>
      <c r="K37" s="56">
        <f>IF(VLOOKUP($C37,REV!$C:$AA,9,0)-'TRADE IN'!$F37=0,"",(VLOOKUP($C37,REV!$C:$AA,9,0)-'TRADE IN'!$F37))</f>
        <v>5099</v>
      </c>
      <c r="L37" s="56">
        <f>IF(VLOOKUP($C37,REV!$C:$AA,10,0)-'TRADE IN'!$F37=0,"",(VLOOKUP($C37,REV!$C:$AA,10,0)-'TRADE IN'!$F37))</f>
        <v>5099</v>
      </c>
      <c r="M37" s="56">
        <f>IF(VLOOKUP($C37,REV!$C:$AA,11,0)-'TRADE IN'!$F37=0,"",(VLOOKUP($C37,REV!$C:$AA,11,0)-'TRADE IN'!$F37))</f>
        <v>5099</v>
      </c>
      <c r="N37" s="56">
        <f>IF(VLOOKUP($C37,REV!$C:$AA,12,0)-'TRADE IN'!$F37=0,"",(VLOOKUP($C37,REV!$C:$AA,12,0)-'TRADE IN'!$F37))</f>
        <v>5099</v>
      </c>
      <c r="O37" s="56">
        <f>IF(VLOOKUP($C37,REV!$C:$AA,13,0)-'TRADE IN'!$F37=0,"",(VLOOKUP($C37,REV!$C:$AA,13,0)-'TRADE IN'!$F37))</f>
        <v>4999</v>
      </c>
      <c r="P37" s="56">
        <f>IF(VLOOKUP($C37,REV!$C:$AA,14,0)-'TRADE IN'!$F37=0,"",(VLOOKUP($C37,REV!$C:$AA,14,0)-'TRADE IN'!$F37))</f>
        <v>4899</v>
      </c>
      <c r="Q37" s="56">
        <f>IF(VLOOKUP($C37,REV!$C:$AA,15,0)-'TRADE IN'!$F37=0,"",(VLOOKUP($C37,REV!$C:$AA,15,0)-'TRADE IN'!$F37))</f>
        <v>3999</v>
      </c>
      <c r="R37" s="56">
        <f>IF(VLOOKUP($C37,REV!$C:$AA,16,0)-'TRADE IN'!$F37=0,"",(VLOOKUP($C37,REV!$C:$AA,16,0)-'TRADE IN'!$F37))</f>
        <v>4999</v>
      </c>
      <c r="S37" s="56">
        <f>IF(VLOOKUP($C37,REV!$C:$AA,17,0)-'TRADE IN'!$F37=0,"",(VLOOKUP($C37,REV!$C:$AA,17,0)-'TRADE IN'!$F37))</f>
        <v>4899</v>
      </c>
      <c r="T37" s="56">
        <f>IF(VLOOKUP($C37,REV!$C:$AA,18,0)-'TRADE IN'!$F37=0,"",(VLOOKUP($C37,REV!$C:$AA,18,0)-'TRADE IN'!$F37))</f>
        <v>3999</v>
      </c>
      <c r="U37" s="56">
        <f>IF(VLOOKUP($C37,REV!$C:$AA,19,0)-'TRADE IN'!$F37=0,"",(VLOOKUP($C37,REV!$C:$AA,19,0)-'TRADE IN'!$F37))</f>
        <v>3999</v>
      </c>
      <c r="V37" s="56">
        <f>IF(VLOOKUP($C37,REV!$C:$AA,20,0)-'TRADE IN'!$F37=0,"",(VLOOKUP($C37,REV!$C:$AA,20,0)-'TRADE IN'!$F37))</f>
        <v>3999</v>
      </c>
      <c r="W37" s="56">
        <f>IF(VLOOKUP($C37,REV!$C:$AA,21,0)-'TRADE IN'!$F37=0,"",(VLOOKUP($C37,REV!$C:$AA,21,0)-'TRADE IN'!$F37))</f>
        <v>3999</v>
      </c>
      <c r="X37" s="56">
        <f>IF(VLOOKUP($C37,REV!$C:$AA,22,0)-'TRADE IN'!$F37=0,"",(VLOOKUP($C37,REV!$C:$AA,22,0)-'TRADE IN'!$F37))</f>
        <v>3899</v>
      </c>
      <c r="Y37" s="56">
        <f>IF(VLOOKUP($C37,REV!$C:$AA,23,0)-'TRADE IN'!$F37=0,"",(VLOOKUP($C37,REV!$C:$AA,23,0)-'TRADE IN'!$F37))</f>
        <v>3699</v>
      </c>
      <c r="Z37" s="56">
        <f>IF(VLOOKUP($C37,REV!$C:$AA,24,0)-'TRADE IN'!$F37=0,"",(VLOOKUP($C37,REV!$C:$AA,24,0)-'TRADE IN'!$F37))</f>
        <v>3699</v>
      </c>
      <c r="AA37" s="56">
        <f>IF(VLOOKUP($C37,REV!$C:$AA,25,0)-'TRADE IN'!$F37=0,"",(VLOOKUP($C37,REV!$C:$AA,25,0)-'TRADE IN'!$F37))</f>
        <v>3649</v>
      </c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7"/>
      <c r="AW37" s="58" t="str">
        <f>REV!AW37</f>
        <v>03.11.2026</v>
      </c>
      <c r="AX37" s="147" t="str">
        <f>VLOOKUP(C37,REV!C:AX,48,0)</f>
        <v>5G</v>
      </c>
    </row>
    <row r="38" spans="1:50" ht="22.5" customHeight="1">
      <c r="A38" s="51" t="s">
        <v>63</v>
      </c>
      <c r="B38" s="52" t="s">
        <v>64</v>
      </c>
      <c r="C38" s="53">
        <v>4015770</v>
      </c>
      <c r="D38" s="54" t="s">
        <v>101</v>
      </c>
      <c r="E38" s="54" t="s">
        <v>103</v>
      </c>
      <c r="F38" s="55"/>
      <c r="G38" s="55"/>
      <c r="H38" s="56"/>
      <c r="I38" s="56"/>
      <c r="J38" s="56">
        <f>IF(VLOOKUP($C38,REV!$C:$AA,8,0)-'TRADE IN'!$F38=0,"",(VLOOKUP($C38,REV!$C:$AA,8,0)-'TRADE IN'!$F38))</f>
        <v>5099</v>
      </c>
      <c r="K38" s="56">
        <f>IF(VLOOKUP($C38,REV!$C:$AA,9,0)-'TRADE IN'!$F38=0,"",(VLOOKUP($C38,REV!$C:$AA,9,0)-'TRADE IN'!$F38))</f>
        <v>5099</v>
      </c>
      <c r="L38" s="56">
        <f>IF(VLOOKUP($C38,REV!$C:$AA,10,0)-'TRADE IN'!$F38=0,"",(VLOOKUP($C38,REV!$C:$AA,10,0)-'TRADE IN'!$F38))</f>
        <v>5099</v>
      </c>
      <c r="M38" s="56">
        <f>IF(VLOOKUP($C38,REV!$C:$AA,11,0)-'TRADE IN'!$F38=0,"",(VLOOKUP($C38,REV!$C:$AA,11,0)-'TRADE IN'!$F38))</f>
        <v>5099</v>
      </c>
      <c r="N38" s="56">
        <f>IF(VLOOKUP($C38,REV!$C:$AA,12,0)-'TRADE IN'!$F38=0,"",(VLOOKUP($C38,REV!$C:$AA,12,0)-'TRADE IN'!$F38))</f>
        <v>5099</v>
      </c>
      <c r="O38" s="56">
        <f>IF(VLOOKUP($C38,REV!$C:$AA,13,0)-'TRADE IN'!$F38=0,"",(VLOOKUP($C38,REV!$C:$AA,13,0)-'TRADE IN'!$F38))</f>
        <v>4999</v>
      </c>
      <c r="P38" s="56">
        <f>IF(VLOOKUP($C38,REV!$C:$AA,14,0)-'TRADE IN'!$F38=0,"",(VLOOKUP($C38,REV!$C:$AA,14,0)-'TRADE IN'!$F38))</f>
        <v>4899</v>
      </c>
      <c r="Q38" s="56">
        <f>IF(VLOOKUP($C38,REV!$C:$AA,15,0)-'TRADE IN'!$F38=0,"",(VLOOKUP($C38,REV!$C:$AA,15,0)-'TRADE IN'!$F38))</f>
        <v>3999</v>
      </c>
      <c r="R38" s="56">
        <f>IF(VLOOKUP($C38,REV!$C:$AA,16,0)-'TRADE IN'!$F38=0,"",(VLOOKUP($C38,REV!$C:$AA,16,0)-'TRADE IN'!$F38))</f>
        <v>4999</v>
      </c>
      <c r="S38" s="56">
        <f>IF(VLOOKUP($C38,REV!$C:$AA,17,0)-'TRADE IN'!$F38=0,"",(VLOOKUP($C38,REV!$C:$AA,17,0)-'TRADE IN'!$F38))</f>
        <v>4899</v>
      </c>
      <c r="T38" s="56">
        <f>IF(VLOOKUP($C38,REV!$C:$AA,18,0)-'TRADE IN'!$F38=0,"",(VLOOKUP($C38,REV!$C:$AA,18,0)-'TRADE IN'!$F38))</f>
        <v>3999</v>
      </c>
      <c r="U38" s="56">
        <f>IF(VLOOKUP($C38,REV!$C:$AA,19,0)-'TRADE IN'!$F38=0,"",(VLOOKUP($C38,REV!$C:$AA,19,0)-'TRADE IN'!$F38))</f>
        <v>3999</v>
      </c>
      <c r="V38" s="56">
        <f>IF(VLOOKUP($C38,REV!$C:$AA,20,0)-'TRADE IN'!$F38=0,"",(VLOOKUP($C38,REV!$C:$AA,20,0)-'TRADE IN'!$F38))</f>
        <v>3999</v>
      </c>
      <c r="W38" s="56">
        <f>IF(VLOOKUP($C38,REV!$C:$AA,21,0)-'TRADE IN'!$F38=0,"",(VLOOKUP($C38,REV!$C:$AA,21,0)-'TRADE IN'!$F38))</f>
        <v>3999</v>
      </c>
      <c r="X38" s="56">
        <f>IF(VLOOKUP($C38,REV!$C:$AA,22,0)-'TRADE IN'!$F38=0,"",(VLOOKUP($C38,REV!$C:$AA,22,0)-'TRADE IN'!$F38))</f>
        <v>3899</v>
      </c>
      <c r="Y38" s="56">
        <f>IF(VLOOKUP($C38,REV!$C:$AA,23,0)-'TRADE IN'!$F38=0,"",(VLOOKUP($C38,REV!$C:$AA,23,0)-'TRADE IN'!$F38))</f>
        <v>3699</v>
      </c>
      <c r="Z38" s="56">
        <f>IF(VLOOKUP($C38,REV!$C:$AA,24,0)-'TRADE IN'!$F38=0,"",(VLOOKUP($C38,REV!$C:$AA,24,0)-'TRADE IN'!$F38))</f>
        <v>3699</v>
      </c>
      <c r="AA38" s="56">
        <f>IF(VLOOKUP($C38,REV!$C:$AA,25,0)-'TRADE IN'!$F38=0,"",(VLOOKUP($C38,REV!$C:$AA,25,0)-'TRADE IN'!$F38))</f>
        <v>3649</v>
      </c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7"/>
      <c r="AW38" s="58" t="str">
        <f>REV!AW38</f>
        <v>03.11.2026</v>
      </c>
      <c r="AX38" s="147" t="str">
        <f>VLOOKUP(C38,REV!C:AX,48,0)</f>
        <v>5G</v>
      </c>
    </row>
    <row r="39" spans="1:50" ht="22.5" customHeight="1">
      <c r="A39" s="51" t="s">
        <v>63</v>
      </c>
      <c r="B39" s="52" t="s">
        <v>64</v>
      </c>
      <c r="C39" s="53">
        <v>4015960</v>
      </c>
      <c r="D39" s="54" t="s">
        <v>101</v>
      </c>
      <c r="E39" s="54" t="s">
        <v>104</v>
      </c>
      <c r="F39" s="55"/>
      <c r="G39" s="55"/>
      <c r="H39" s="56"/>
      <c r="I39" s="56"/>
      <c r="J39" s="56">
        <f>IF(VLOOKUP($C39,REV!$C:$AA,8,0)-'TRADE IN'!$F39=0,"",(VLOOKUP($C39,REV!$C:$AA,8,0)-'TRADE IN'!$F39))</f>
        <v>5099</v>
      </c>
      <c r="K39" s="56">
        <f>IF(VLOOKUP($C39,REV!$C:$AA,9,0)-'TRADE IN'!$F39=0,"",(VLOOKUP($C39,REV!$C:$AA,9,0)-'TRADE IN'!$F39))</f>
        <v>5099</v>
      </c>
      <c r="L39" s="56">
        <f>IF(VLOOKUP($C39,REV!$C:$AA,10,0)-'TRADE IN'!$F39=0,"",(VLOOKUP($C39,REV!$C:$AA,10,0)-'TRADE IN'!$F39))</f>
        <v>5099</v>
      </c>
      <c r="M39" s="56">
        <f>IF(VLOOKUP($C39,REV!$C:$AA,11,0)-'TRADE IN'!$F39=0,"",(VLOOKUP($C39,REV!$C:$AA,11,0)-'TRADE IN'!$F39))</f>
        <v>5099</v>
      </c>
      <c r="N39" s="56">
        <f>IF(VLOOKUP($C39,REV!$C:$AA,12,0)-'TRADE IN'!$F39=0,"",(VLOOKUP($C39,REV!$C:$AA,12,0)-'TRADE IN'!$F39))</f>
        <v>5099</v>
      </c>
      <c r="O39" s="56">
        <f>IF(VLOOKUP($C39,REV!$C:$AA,13,0)-'TRADE IN'!$F39=0,"",(VLOOKUP($C39,REV!$C:$AA,13,0)-'TRADE IN'!$F39))</f>
        <v>4999</v>
      </c>
      <c r="P39" s="56">
        <f>IF(VLOOKUP($C39,REV!$C:$AA,14,0)-'TRADE IN'!$F39=0,"",(VLOOKUP($C39,REV!$C:$AA,14,0)-'TRADE IN'!$F39))</f>
        <v>4899</v>
      </c>
      <c r="Q39" s="56">
        <f>IF(VLOOKUP($C39,REV!$C:$AA,15,0)-'TRADE IN'!$F39=0,"",(VLOOKUP($C39,REV!$C:$AA,15,0)-'TRADE IN'!$F39))</f>
        <v>3999</v>
      </c>
      <c r="R39" s="56">
        <f>IF(VLOOKUP($C39,REV!$C:$AA,16,0)-'TRADE IN'!$F39=0,"",(VLOOKUP($C39,REV!$C:$AA,16,0)-'TRADE IN'!$F39))</f>
        <v>4999</v>
      </c>
      <c r="S39" s="56">
        <f>IF(VLOOKUP($C39,REV!$C:$AA,17,0)-'TRADE IN'!$F39=0,"",(VLOOKUP($C39,REV!$C:$AA,17,0)-'TRADE IN'!$F39))</f>
        <v>4899</v>
      </c>
      <c r="T39" s="56">
        <f>IF(VLOOKUP($C39,REV!$C:$AA,18,0)-'TRADE IN'!$F39=0,"",(VLOOKUP($C39,REV!$C:$AA,18,0)-'TRADE IN'!$F39))</f>
        <v>3999</v>
      </c>
      <c r="U39" s="56">
        <f>IF(VLOOKUP($C39,REV!$C:$AA,19,0)-'TRADE IN'!$F39=0,"",(VLOOKUP($C39,REV!$C:$AA,19,0)-'TRADE IN'!$F39))</f>
        <v>3999</v>
      </c>
      <c r="V39" s="56">
        <f>IF(VLOOKUP($C39,REV!$C:$AA,20,0)-'TRADE IN'!$F39=0,"",(VLOOKUP($C39,REV!$C:$AA,20,0)-'TRADE IN'!$F39))</f>
        <v>3999</v>
      </c>
      <c r="W39" s="56">
        <f>IF(VLOOKUP($C39,REV!$C:$AA,21,0)-'TRADE IN'!$F39=0,"",(VLOOKUP($C39,REV!$C:$AA,21,0)-'TRADE IN'!$F39))</f>
        <v>3999</v>
      </c>
      <c r="X39" s="56">
        <f>IF(VLOOKUP($C39,REV!$C:$AA,22,0)-'TRADE IN'!$F39=0,"",(VLOOKUP($C39,REV!$C:$AA,22,0)-'TRADE IN'!$F39))</f>
        <v>3899</v>
      </c>
      <c r="Y39" s="56">
        <f>IF(VLOOKUP($C39,REV!$C:$AA,23,0)-'TRADE IN'!$F39=0,"",(VLOOKUP($C39,REV!$C:$AA,23,0)-'TRADE IN'!$F39))</f>
        <v>3699</v>
      </c>
      <c r="Z39" s="56">
        <f>IF(VLOOKUP($C39,REV!$C:$AA,24,0)-'TRADE IN'!$F39=0,"",(VLOOKUP($C39,REV!$C:$AA,24,0)-'TRADE IN'!$F39))</f>
        <v>3699</v>
      </c>
      <c r="AA39" s="56">
        <f>IF(VLOOKUP($C39,REV!$C:$AA,25,0)-'TRADE IN'!$F39=0,"",(VLOOKUP($C39,REV!$C:$AA,25,0)-'TRADE IN'!$F39))</f>
        <v>3649</v>
      </c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7"/>
      <c r="AW39" s="58" t="str">
        <f>REV!AW39</f>
        <v>03.11.2026</v>
      </c>
      <c r="AX39" s="147" t="str">
        <f>VLOOKUP(C39,REV!C:AX,48,0)</f>
        <v>5G</v>
      </c>
    </row>
    <row r="40" spans="1:50" ht="22.5" customHeight="1">
      <c r="A40" s="51" t="s">
        <v>63</v>
      </c>
      <c r="B40" s="52" t="s">
        <v>64</v>
      </c>
      <c r="C40" s="53">
        <v>4015961</v>
      </c>
      <c r="D40" s="54" t="s">
        <v>101</v>
      </c>
      <c r="E40" s="54" t="s">
        <v>105</v>
      </c>
      <c r="F40" s="55"/>
      <c r="G40" s="55"/>
      <c r="H40" s="56"/>
      <c r="I40" s="56"/>
      <c r="J40" s="56">
        <f>IF(VLOOKUP($C40,REV!$C:$AA,8,0)-'TRADE IN'!$F40=0,"",(VLOOKUP($C40,REV!$C:$AA,8,0)-'TRADE IN'!$F40))</f>
        <v>5099</v>
      </c>
      <c r="K40" s="56">
        <f>IF(VLOOKUP($C40,REV!$C:$AA,9,0)-'TRADE IN'!$F40=0,"",(VLOOKUP($C40,REV!$C:$AA,9,0)-'TRADE IN'!$F40))</f>
        <v>5099</v>
      </c>
      <c r="L40" s="56">
        <f>IF(VLOOKUP($C40,REV!$C:$AA,10,0)-'TRADE IN'!$F40=0,"",(VLOOKUP($C40,REV!$C:$AA,10,0)-'TRADE IN'!$F40))</f>
        <v>5099</v>
      </c>
      <c r="M40" s="56">
        <f>IF(VLOOKUP($C40,REV!$C:$AA,11,0)-'TRADE IN'!$F40=0,"",(VLOOKUP($C40,REV!$C:$AA,11,0)-'TRADE IN'!$F40))</f>
        <v>5099</v>
      </c>
      <c r="N40" s="56">
        <f>IF(VLOOKUP($C40,REV!$C:$AA,12,0)-'TRADE IN'!$F40=0,"",(VLOOKUP($C40,REV!$C:$AA,12,0)-'TRADE IN'!$F40))</f>
        <v>5099</v>
      </c>
      <c r="O40" s="56">
        <f>IF(VLOOKUP($C40,REV!$C:$AA,13,0)-'TRADE IN'!$F40=0,"",(VLOOKUP($C40,REV!$C:$AA,13,0)-'TRADE IN'!$F40))</f>
        <v>4999</v>
      </c>
      <c r="P40" s="56">
        <f>IF(VLOOKUP($C40,REV!$C:$AA,14,0)-'TRADE IN'!$F40=0,"",(VLOOKUP($C40,REV!$C:$AA,14,0)-'TRADE IN'!$F40))</f>
        <v>4899</v>
      </c>
      <c r="Q40" s="56">
        <f>IF(VLOOKUP($C40,REV!$C:$AA,15,0)-'TRADE IN'!$F40=0,"",(VLOOKUP($C40,REV!$C:$AA,15,0)-'TRADE IN'!$F40))</f>
        <v>3999</v>
      </c>
      <c r="R40" s="56">
        <f>IF(VLOOKUP($C40,REV!$C:$AA,16,0)-'TRADE IN'!$F40=0,"",(VLOOKUP($C40,REV!$C:$AA,16,0)-'TRADE IN'!$F40))</f>
        <v>4999</v>
      </c>
      <c r="S40" s="56">
        <f>IF(VLOOKUP($C40,REV!$C:$AA,17,0)-'TRADE IN'!$F40=0,"",(VLOOKUP($C40,REV!$C:$AA,17,0)-'TRADE IN'!$F40))</f>
        <v>4899</v>
      </c>
      <c r="T40" s="56">
        <f>IF(VLOOKUP($C40,REV!$C:$AA,18,0)-'TRADE IN'!$F40=0,"",(VLOOKUP($C40,REV!$C:$AA,18,0)-'TRADE IN'!$F40))</f>
        <v>3999</v>
      </c>
      <c r="U40" s="56">
        <f>IF(VLOOKUP($C40,REV!$C:$AA,19,0)-'TRADE IN'!$F40=0,"",(VLOOKUP($C40,REV!$C:$AA,19,0)-'TRADE IN'!$F40))</f>
        <v>3999</v>
      </c>
      <c r="V40" s="56">
        <f>IF(VLOOKUP($C40,REV!$C:$AA,20,0)-'TRADE IN'!$F40=0,"",(VLOOKUP($C40,REV!$C:$AA,20,0)-'TRADE IN'!$F40))</f>
        <v>3999</v>
      </c>
      <c r="W40" s="56">
        <f>IF(VLOOKUP($C40,REV!$C:$AA,21,0)-'TRADE IN'!$F40=0,"",(VLOOKUP($C40,REV!$C:$AA,21,0)-'TRADE IN'!$F40))</f>
        <v>3999</v>
      </c>
      <c r="X40" s="56">
        <f>IF(VLOOKUP($C40,REV!$C:$AA,22,0)-'TRADE IN'!$F40=0,"",(VLOOKUP($C40,REV!$C:$AA,22,0)-'TRADE IN'!$F40))</f>
        <v>3899</v>
      </c>
      <c r="Y40" s="56">
        <f>IF(VLOOKUP($C40,REV!$C:$AA,23,0)-'TRADE IN'!$F40=0,"",(VLOOKUP($C40,REV!$C:$AA,23,0)-'TRADE IN'!$F40))</f>
        <v>3699</v>
      </c>
      <c r="Z40" s="56">
        <f>IF(VLOOKUP($C40,REV!$C:$AA,24,0)-'TRADE IN'!$F40=0,"",(VLOOKUP($C40,REV!$C:$AA,24,0)-'TRADE IN'!$F40))</f>
        <v>3699</v>
      </c>
      <c r="AA40" s="56">
        <f>IF(VLOOKUP($C40,REV!$C:$AA,25,0)-'TRADE IN'!$F40=0,"",(VLOOKUP($C40,REV!$C:$AA,25,0)-'TRADE IN'!$F40))</f>
        <v>3649</v>
      </c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7"/>
      <c r="AW40" s="58" t="str">
        <f>REV!AW40</f>
        <v>03.11.2026</v>
      </c>
      <c r="AX40" s="147" t="str">
        <f>VLOOKUP(C40,REV!C:AX,48,0)</f>
        <v>5G</v>
      </c>
    </row>
    <row r="41" spans="1:50" ht="22.5" customHeight="1">
      <c r="A41" s="51" t="s">
        <v>63</v>
      </c>
      <c r="B41" s="52" t="s">
        <v>64</v>
      </c>
      <c r="C41" s="53">
        <v>4015963</v>
      </c>
      <c r="D41" s="54" t="s">
        <v>101</v>
      </c>
      <c r="E41" s="54" t="s">
        <v>106</v>
      </c>
      <c r="F41" s="55"/>
      <c r="G41" s="55"/>
      <c r="H41" s="56"/>
      <c r="I41" s="56"/>
      <c r="J41" s="56">
        <f>IF(VLOOKUP($C41,REV!$C:$AA,8,0)-'TRADE IN'!$F41=0,"",(VLOOKUP($C41,REV!$C:$AA,8,0)-'TRADE IN'!$F41))</f>
        <v>5099</v>
      </c>
      <c r="K41" s="56">
        <f>IF(VLOOKUP($C41,REV!$C:$AA,9,0)-'TRADE IN'!$F41=0,"",(VLOOKUP($C41,REV!$C:$AA,9,0)-'TRADE IN'!$F41))</f>
        <v>5099</v>
      </c>
      <c r="L41" s="56">
        <f>IF(VLOOKUP($C41,REV!$C:$AA,10,0)-'TRADE IN'!$F41=0,"",(VLOOKUP($C41,REV!$C:$AA,10,0)-'TRADE IN'!$F41))</f>
        <v>5099</v>
      </c>
      <c r="M41" s="56">
        <f>IF(VLOOKUP($C41,REV!$C:$AA,11,0)-'TRADE IN'!$F41=0,"",(VLOOKUP($C41,REV!$C:$AA,11,0)-'TRADE IN'!$F41))</f>
        <v>5099</v>
      </c>
      <c r="N41" s="56">
        <f>IF(VLOOKUP($C41,REV!$C:$AA,12,0)-'TRADE IN'!$F41=0,"",(VLOOKUP($C41,REV!$C:$AA,12,0)-'TRADE IN'!$F41))</f>
        <v>5099</v>
      </c>
      <c r="O41" s="56">
        <f>IF(VLOOKUP($C41,REV!$C:$AA,13,0)-'TRADE IN'!$F41=0,"",(VLOOKUP($C41,REV!$C:$AA,13,0)-'TRADE IN'!$F41))</f>
        <v>4999</v>
      </c>
      <c r="P41" s="56">
        <f>IF(VLOOKUP($C41,REV!$C:$AA,14,0)-'TRADE IN'!$F41=0,"",(VLOOKUP($C41,REV!$C:$AA,14,0)-'TRADE IN'!$F41))</f>
        <v>4899</v>
      </c>
      <c r="Q41" s="56">
        <f>IF(VLOOKUP($C41,REV!$C:$AA,15,0)-'TRADE IN'!$F41=0,"",(VLOOKUP($C41,REV!$C:$AA,15,0)-'TRADE IN'!$F41))</f>
        <v>3999</v>
      </c>
      <c r="R41" s="56">
        <f>IF(VLOOKUP($C41,REV!$C:$AA,16,0)-'TRADE IN'!$F41=0,"",(VLOOKUP($C41,REV!$C:$AA,16,0)-'TRADE IN'!$F41))</f>
        <v>4999</v>
      </c>
      <c r="S41" s="56">
        <f>IF(VLOOKUP($C41,REV!$C:$AA,17,0)-'TRADE IN'!$F41=0,"",(VLOOKUP($C41,REV!$C:$AA,17,0)-'TRADE IN'!$F41))</f>
        <v>4899</v>
      </c>
      <c r="T41" s="56">
        <f>IF(VLOOKUP($C41,REV!$C:$AA,18,0)-'TRADE IN'!$F41=0,"",(VLOOKUP($C41,REV!$C:$AA,18,0)-'TRADE IN'!$F41))</f>
        <v>3999</v>
      </c>
      <c r="U41" s="56">
        <f>IF(VLOOKUP($C41,REV!$C:$AA,19,0)-'TRADE IN'!$F41=0,"",(VLOOKUP($C41,REV!$C:$AA,19,0)-'TRADE IN'!$F41))</f>
        <v>3999</v>
      </c>
      <c r="V41" s="56">
        <f>IF(VLOOKUP($C41,REV!$C:$AA,20,0)-'TRADE IN'!$F41=0,"",(VLOOKUP($C41,REV!$C:$AA,20,0)-'TRADE IN'!$F41))</f>
        <v>3999</v>
      </c>
      <c r="W41" s="56">
        <f>IF(VLOOKUP($C41,REV!$C:$AA,21,0)-'TRADE IN'!$F41=0,"",(VLOOKUP($C41,REV!$C:$AA,21,0)-'TRADE IN'!$F41))</f>
        <v>3999</v>
      </c>
      <c r="X41" s="56">
        <f>IF(VLOOKUP($C41,REV!$C:$AA,22,0)-'TRADE IN'!$F41=0,"",(VLOOKUP($C41,REV!$C:$AA,22,0)-'TRADE IN'!$F41))</f>
        <v>3899</v>
      </c>
      <c r="Y41" s="56">
        <f>IF(VLOOKUP($C41,REV!$C:$AA,23,0)-'TRADE IN'!$F41=0,"",(VLOOKUP($C41,REV!$C:$AA,23,0)-'TRADE IN'!$F41))</f>
        <v>3699</v>
      </c>
      <c r="Z41" s="56">
        <f>IF(VLOOKUP($C41,REV!$C:$AA,24,0)-'TRADE IN'!$F41=0,"",(VLOOKUP($C41,REV!$C:$AA,24,0)-'TRADE IN'!$F41))</f>
        <v>3699</v>
      </c>
      <c r="AA41" s="56">
        <f>IF(VLOOKUP($C41,REV!$C:$AA,25,0)-'TRADE IN'!$F41=0,"",(VLOOKUP($C41,REV!$C:$AA,25,0)-'TRADE IN'!$F41))</f>
        <v>3649</v>
      </c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7"/>
      <c r="AW41" s="58" t="str">
        <f>REV!AW41</f>
        <v>03.11.2026</v>
      </c>
      <c r="AX41" s="147" t="str">
        <f>VLOOKUP(C41,REV!C:AX,48,0)</f>
        <v>5G</v>
      </c>
    </row>
    <row r="42" spans="1:50" ht="22.5" customHeight="1">
      <c r="A42" s="51" t="s">
        <v>63</v>
      </c>
      <c r="B42" s="52" t="s">
        <v>64</v>
      </c>
      <c r="C42" s="53">
        <v>4015744</v>
      </c>
      <c r="D42" s="54" t="s">
        <v>107</v>
      </c>
      <c r="E42" s="54" t="s">
        <v>108</v>
      </c>
      <c r="F42" s="55"/>
      <c r="G42" s="55"/>
      <c r="H42" s="56"/>
      <c r="I42" s="56"/>
      <c r="J42" s="56">
        <f>IF(VLOOKUP($C42,REV!$C:$AA,8,0)-'TRADE IN'!$F42=0,"",(VLOOKUP($C42,REV!$C:$AA,8,0)-'TRADE IN'!$F42))</f>
        <v>5599</v>
      </c>
      <c r="K42" s="56">
        <f>IF(VLOOKUP($C42,REV!$C:$AA,9,0)-'TRADE IN'!$F42=0,"",(VLOOKUP($C42,REV!$C:$AA,9,0)-'TRADE IN'!$F42))</f>
        <v>5599</v>
      </c>
      <c r="L42" s="56">
        <f>IF(VLOOKUP($C42,REV!$C:$AA,10,0)-'TRADE IN'!$F42=0,"",(VLOOKUP($C42,REV!$C:$AA,10,0)-'TRADE IN'!$F42))</f>
        <v>5499</v>
      </c>
      <c r="M42" s="56">
        <f>IF(VLOOKUP($C42,REV!$C:$AA,11,0)-'TRADE IN'!$F42=0,"",(VLOOKUP($C42,REV!$C:$AA,11,0)-'TRADE IN'!$F42))</f>
        <v>5599</v>
      </c>
      <c r="N42" s="56">
        <f>IF(VLOOKUP($C42,REV!$C:$AA,12,0)-'TRADE IN'!$F42=0,"",(VLOOKUP($C42,REV!$C:$AA,12,0)-'TRADE IN'!$F42))</f>
        <v>5599</v>
      </c>
      <c r="O42" s="56">
        <f>IF(VLOOKUP($C42,REV!$C:$AA,13,0)-'TRADE IN'!$F42=0,"",(VLOOKUP($C42,REV!$C:$AA,13,0)-'TRADE IN'!$F42))</f>
        <v>5499</v>
      </c>
      <c r="P42" s="56">
        <f>IF(VLOOKUP($C42,REV!$C:$AA,14,0)-'TRADE IN'!$F42=0,"",(VLOOKUP($C42,REV!$C:$AA,14,0)-'TRADE IN'!$F42))</f>
        <v>5399</v>
      </c>
      <c r="Q42" s="56">
        <f>IF(VLOOKUP($C42,REV!$C:$AA,15,0)-'TRADE IN'!$F42=0,"",(VLOOKUP($C42,REV!$C:$AA,15,0)-'TRADE IN'!$F42))</f>
        <v>5199</v>
      </c>
      <c r="R42" s="56">
        <f>IF(VLOOKUP($C42,REV!$C:$AA,16,0)-'TRADE IN'!$F42=0,"",(VLOOKUP($C42,REV!$C:$AA,16,0)-'TRADE IN'!$F42))</f>
        <v>5499</v>
      </c>
      <c r="S42" s="56">
        <f>IF(VLOOKUP($C42,REV!$C:$AA,17,0)-'TRADE IN'!$F42=0,"",(VLOOKUP($C42,REV!$C:$AA,17,0)-'TRADE IN'!$F42))</f>
        <v>5399</v>
      </c>
      <c r="T42" s="56">
        <f>IF(VLOOKUP($C42,REV!$C:$AA,18,0)-'TRADE IN'!$F42=0,"",(VLOOKUP($C42,REV!$C:$AA,18,0)-'TRADE IN'!$F42))</f>
        <v>5199</v>
      </c>
      <c r="U42" s="56">
        <f>IF(VLOOKUP($C42,REV!$C:$AA,19,0)-'TRADE IN'!$F42=0,"",(VLOOKUP($C42,REV!$C:$AA,19,0)-'TRADE IN'!$F42))</f>
        <v>5099</v>
      </c>
      <c r="V42" s="56">
        <f>IF(VLOOKUP($C42,REV!$C:$AA,20,0)-'TRADE IN'!$F42=0,"",(VLOOKUP($C42,REV!$C:$AA,20,0)-'TRADE IN'!$F42))</f>
        <v>5099</v>
      </c>
      <c r="W42" s="56">
        <f>IF(VLOOKUP($C42,REV!$C:$AA,21,0)-'TRADE IN'!$F42=0,"",(VLOOKUP($C42,REV!$C:$AA,21,0)-'TRADE IN'!$F42))</f>
        <v>5099</v>
      </c>
      <c r="X42" s="56">
        <f>IF(VLOOKUP($C42,REV!$C:$AA,22,0)-'TRADE IN'!$F42=0,"",(VLOOKUP($C42,REV!$C:$AA,22,0)-'TRADE IN'!$F42))</f>
        <v>4999</v>
      </c>
      <c r="Y42" s="56">
        <f>IF(VLOOKUP($C42,REV!$C:$AA,23,0)-'TRADE IN'!$F42=0,"",(VLOOKUP($C42,REV!$C:$AA,23,0)-'TRADE IN'!$F42))</f>
        <v>4599</v>
      </c>
      <c r="Z42" s="56">
        <f>IF(VLOOKUP($C42,REV!$C:$AA,24,0)-'TRADE IN'!$F42=0,"",(VLOOKUP($C42,REV!$C:$AA,24,0)-'TRADE IN'!$F42))</f>
        <v>4599</v>
      </c>
      <c r="AA42" s="56">
        <f>IF(VLOOKUP($C42,REV!$C:$AA,25,0)-'TRADE IN'!$F42=0,"",(VLOOKUP($C42,REV!$C:$AA,25,0)-'TRADE IN'!$F42))</f>
        <v>4549</v>
      </c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7"/>
      <c r="AW42" s="58" t="str">
        <f>REV!AW42</f>
        <v>03.11.2026</v>
      </c>
      <c r="AX42" s="147" t="str">
        <f>VLOOKUP(C42,REV!C:AX,48,0)</f>
        <v>5G</v>
      </c>
    </row>
    <row r="43" spans="1:50" ht="22.5" customHeight="1">
      <c r="A43" s="51" t="s">
        <v>63</v>
      </c>
      <c r="B43" s="52" t="s">
        <v>64</v>
      </c>
      <c r="C43" s="53">
        <v>4015965</v>
      </c>
      <c r="D43" s="54" t="s">
        <v>107</v>
      </c>
      <c r="E43" s="54" t="s">
        <v>109</v>
      </c>
      <c r="F43" s="55"/>
      <c r="G43" s="55"/>
      <c r="H43" s="56"/>
      <c r="I43" s="56"/>
      <c r="J43" s="56">
        <f>IF(VLOOKUP($C43,REV!$C:$AA,8,0)-'TRADE IN'!$F43=0,"",(VLOOKUP($C43,REV!$C:$AA,8,0)-'TRADE IN'!$F43))</f>
        <v>5599</v>
      </c>
      <c r="K43" s="56">
        <f>IF(VLOOKUP($C43,REV!$C:$AA,9,0)-'TRADE IN'!$F43=0,"",(VLOOKUP($C43,REV!$C:$AA,9,0)-'TRADE IN'!$F43))</f>
        <v>5599</v>
      </c>
      <c r="L43" s="56">
        <f>IF(VLOOKUP($C43,REV!$C:$AA,10,0)-'TRADE IN'!$F43=0,"",(VLOOKUP($C43,REV!$C:$AA,10,0)-'TRADE IN'!$F43))</f>
        <v>5499</v>
      </c>
      <c r="M43" s="56">
        <f>IF(VLOOKUP($C43,REV!$C:$AA,11,0)-'TRADE IN'!$F43=0,"",(VLOOKUP($C43,REV!$C:$AA,11,0)-'TRADE IN'!$F43))</f>
        <v>5599</v>
      </c>
      <c r="N43" s="56">
        <f>IF(VLOOKUP($C43,REV!$C:$AA,12,0)-'TRADE IN'!$F43=0,"",(VLOOKUP($C43,REV!$C:$AA,12,0)-'TRADE IN'!$F43))</f>
        <v>5599</v>
      </c>
      <c r="O43" s="56">
        <f>IF(VLOOKUP($C43,REV!$C:$AA,13,0)-'TRADE IN'!$F43=0,"",(VLOOKUP($C43,REV!$C:$AA,13,0)-'TRADE IN'!$F43))</f>
        <v>5499</v>
      </c>
      <c r="P43" s="56">
        <f>IF(VLOOKUP($C43,REV!$C:$AA,14,0)-'TRADE IN'!$F43=0,"",(VLOOKUP($C43,REV!$C:$AA,14,0)-'TRADE IN'!$F43))</f>
        <v>5399</v>
      </c>
      <c r="Q43" s="56">
        <f>IF(VLOOKUP($C43,REV!$C:$AA,15,0)-'TRADE IN'!$F43=0,"",(VLOOKUP($C43,REV!$C:$AA,15,0)-'TRADE IN'!$F43))</f>
        <v>5199</v>
      </c>
      <c r="R43" s="56">
        <f>IF(VLOOKUP($C43,REV!$C:$AA,16,0)-'TRADE IN'!$F43=0,"",(VLOOKUP($C43,REV!$C:$AA,16,0)-'TRADE IN'!$F43))</f>
        <v>5499</v>
      </c>
      <c r="S43" s="56">
        <f>IF(VLOOKUP($C43,REV!$C:$AA,17,0)-'TRADE IN'!$F43=0,"",(VLOOKUP($C43,REV!$C:$AA,17,0)-'TRADE IN'!$F43))</f>
        <v>5399</v>
      </c>
      <c r="T43" s="56">
        <f>IF(VLOOKUP($C43,REV!$C:$AA,18,0)-'TRADE IN'!$F43=0,"",(VLOOKUP($C43,REV!$C:$AA,18,0)-'TRADE IN'!$F43))</f>
        <v>5199</v>
      </c>
      <c r="U43" s="56">
        <f>IF(VLOOKUP($C43,REV!$C:$AA,19,0)-'TRADE IN'!$F43=0,"",(VLOOKUP($C43,REV!$C:$AA,19,0)-'TRADE IN'!$F43))</f>
        <v>5099</v>
      </c>
      <c r="V43" s="56">
        <f>IF(VLOOKUP($C43,REV!$C:$AA,20,0)-'TRADE IN'!$F43=0,"",(VLOOKUP($C43,REV!$C:$AA,20,0)-'TRADE IN'!$F43))</f>
        <v>5099</v>
      </c>
      <c r="W43" s="56">
        <f>IF(VLOOKUP($C43,REV!$C:$AA,21,0)-'TRADE IN'!$F43=0,"",(VLOOKUP($C43,REV!$C:$AA,21,0)-'TRADE IN'!$F43))</f>
        <v>5099</v>
      </c>
      <c r="X43" s="56">
        <f>IF(VLOOKUP($C43,REV!$C:$AA,22,0)-'TRADE IN'!$F43=0,"",(VLOOKUP($C43,REV!$C:$AA,22,0)-'TRADE IN'!$F43))</f>
        <v>4999</v>
      </c>
      <c r="Y43" s="56">
        <f>IF(VLOOKUP($C43,REV!$C:$AA,23,0)-'TRADE IN'!$F43=0,"",(VLOOKUP($C43,REV!$C:$AA,23,0)-'TRADE IN'!$F43))</f>
        <v>4599</v>
      </c>
      <c r="Z43" s="56">
        <f>IF(VLOOKUP($C43,REV!$C:$AA,24,0)-'TRADE IN'!$F43=0,"",(VLOOKUP($C43,REV!$C:$AA,24,0)-'TRADE IN'!$F43))</f>
        <v>4599</v>
      </c>
      <c r="AA43" s="56">
        <f>IF(VLOOKUP($C43,REV!$C:$AA,25,0)-'TRADE IN'!$F43=0,"",(VLOOKUP($C43,REV!$C:$AA,25,0)-'TRADE IN'!$F43))</f>
        <v>4549</v>
      </c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7"/>
      <c r="AW43" s="58" t="str">
        <f>REV!AW43</f>
        <v>03.11.2026</v>
      </c>
      <c r="AX43" s="147" t="str">
        <f>VLOOKUP(C43,REV!C:AX,48,0)</f>
        <v>5G</v>
      </c>
    </row>
    <row r="44" spans="1:50" ht="22.5" customHeight="1">
      <c r="A44" s="51" t="s">
        <v>63</v>
      </c>
      <c r="B44" s="52" t="s">
        <v>64</v>
      </c>
      <c r="C44" s="53">
        <v>4015746</v>
      </c>
      <c r="D44" s="54" t="s">
        <v>110</v>
      </c>
      <c r="E44" s="54" t="s">
        <v>111</v>
      </c>
      <c r="F44" s="55"/>
      <c r="G44" s="55"/>
      <c r="H44" s="56"/>
      <c r="I44" s="56"/>
      <c r="J44" s="56">
        <f>IF(VLOOKUP($C44,REV!$C:$AA,8,0)-'TRADE IN'!$F44=0,"",(VLOOKUP($C44,REV!$C:$AA,8,0)-'TRADE IN'!$F44))</f>
        <v>5899</v>
      </c>
      <c r="K44" s="56">
        <f>IF(VLOOKUP($C44,REV!$C:$AA,9,0)-'TRADE IN'!$F44=0,"",(VLOOKUP($C44,REV!$C:$AA,9,0)-'TRADE IN'!$F44))</f>
        <v>5899</v>
      </c>
      <c r="L44" s="56">
        <f>IF(VLOOKUP($C44,REV!$C:$AA,10,0)-'TRADE IN'!$F44=0,"",(VLOOKUP($C44,REV!$C:$AA,10,0)-'TRADE IN'!$F44))</f>
        <v>5899</v>
      </c>
      <c r="M44" s="56">
        <f>IF(VLOOKUP($C44,REV!$C:$AA,11,0)-'TRADE IN'!$F44=0,"",(VLOOKUP($C44,REV!$C:$AA,11,0)-'TRADE IN'!$F44))</f>
        <v>5899</v>
      </c>
      <c r="N44" s="56">
        <f>IF(VLOOKUP($C44,REV!$C:$AA,12,0)-'TRADE IN'!$F44=0,"",(VLOOKUP($C44,REV!$C:$AA,12,0)-'TRADE IN'!$F44))</f>
        <v>5899</v>
      </c>
      <c r="O44" s="56">
        <f>IF(VLOOKUP($C44,REV!$C:$AA,13,0)-'TRADE IN'!$F44=0,"",(VLOOKUP($C44,REV!$C:$AA,13,0)-'TRADE IN'!$F44))</f>
        <v>5799</v>
      </c>
      <c r="P44" s="56">
        <f>IF(VLOOKUP($C44,REV!$C:$AA,14,0)-'TRADE IN'!$F44=0,"",(VLOOKUP($C44,REV!$C:$AA,14,0)-'TRADE IN'!$F44))</f>
        <v>5699</v>
      </c>
      <c r="Q44" s="56">
        <f>IF(VLOOKUP($C44,REV!$C:$AA,15,0)-'TRADE IN'!$F44=0,"",(VLOOKUP($C44,REV!$C:$AA,15,0)-'TRADE IN'!$F44))</f>
        <v>5499</v>
      </c>
      <c r="R44" s="56">
        <f>IF(VLOOKUP($C44,REV!$C:$AA,16,0)-'TRADE IN'!$F44=0,"",(VLOOKUP($C44,REV!$C:$AA,16,0)-'TRADE IN'!$F44))</f>
        <v>5799</v>
      </c>
      <c r="S44" s="56">
        <f>IF(VLOOKUP($C44,REV!$C:$AA,17,0)-'TRADE IN'!$F44=0,"",(VLOOKUP($C44,REV!$C:$AA,17,0)-'TRADE IN'!$F44))</f>
        <v>5699</v>
      </c>
      <c r="T44" s="56">
        <f>IF(VLOOKUP($C44,REV!$C:$AA,18,0)-'TRADE IN'!$F44=0,"",(VLOOKUP($C44,REV!$C:$AA,18,0)-'TRADE IN'!$F44))</f>
        <v>5499</v>
      </c>
      <c r="U44" s="56">
        <f>IF(VLOOKUP($C44,REV!$C:$AA,19,0)-'TRADE IN'!$F44=0,"",(VLOOKUP($C44,REV!$C:$AA,19,0)-'TRADE IN'!$F44))</f>
        <v>5499</v>
      </c>
      <c r="V44" s="56">
        <f>IF(VLOOKUP($C44,REV!$C:$AA,20,0)-'TRADE IN'!$F44=0,"",(VLOOKUP($C44,REV!$C:$AA,20,0)-'TRADE IN'!$F44))</f>
        <v>5499</v>
      </c>
      <c r="W44" s="56">
        <f>IF(VLOOKUP($C44,REV!$C:$AA,21,0)-'TRADE IN'!$F44=0,"",(VLOOKUP($C44,REV!$C:$AA,21,0)-'TRADE IN'!$F44))</f>
        <v>5499</v>
      </c>
      <c r="X44" s="56">
        <f>IF(VLOOKUP($C44,REV!$C:$AA,22,0)-'TRADE IN'!$F44=0,"",(VLOOKUP($C44,REV!$C:$AA,22,0)-'TRADE IN'!$F44))</f>
        <v>5399</v>
      </c>
      <c r="Y44" s="56">
        <f>IF(VLOOKUP($C44,REV!$C:$AA,23,0)-'TRADE IN'!$F44=0,"",(VLOOKUP($C44,REV!$C:$AA,23,0)-'TRADE IN'!$F44))</f>
        <v>4999</v>
      </c>
      <c r="Z44" s="56">
        <f>IF(VLOOKUP($C44,REV!$C:$AA,24,0)-'TRADE IN'!$F44=0,"",(VLOOKUP($C44,REV!$C:$AA,24,0)-'TRADE IN'!$F44))</f>
        <v>4999</v>
      </c>
      <c r="AA44" s="56">
        <f>IF(VLOOKUP($C44,REV!$C:$AA,25,0)-'TRADE IN'!$F44=0,"",(VLOOKUP($C44,REV!$C:$AA,25,0)-'TRADE IN'!$F44))</f>
        <v>4999</v>
      </c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7"/>
      <c r="AW44" s="58" t="str">
        <f>REV!AW44</f>
        <v>03.11.2026</v>
      </c>
      <c r="AX44" s="147" t="str">
        <f>VLOOKUP(C44,REV!C:AX,48,0)</f>
        <v>5G</v>
      </c>
    </row>
    <row r="45" spans="1:50" ht="22.5" customHeight="1">
      <c r="A45" s="51" t="s">
        <v>63</v>
      </c>
      <c r="B45" s="52" t="s">
        <v>64</v>
      </c>
      <c r="C45" s="53">
        <v>4015748</v>
      </c>
      <c r="D45" s="54" t="s">
        <v>112</v>
      </c>
      <c r="E45" s="54" t="s">
        <v>113</v>
      </c>
      <c r="F45" s="55"/>
      <c r="G45" s="55"/>
      <c r="H45" s="56"/>
      <c r="I45" s="56"/>
      <c r="J45" s="56">
        <f>IF(VLOOKUP($C45,REV!$C:$AA,8,0)-'TRADE IN'!$F45=0,"",(VLOOKUP($C45,REV!$C:$AA,8,0)-'TRADE IN'!$F45))</f>
        <v>6399</v>
      </c>
      <c r="K45" s="56">
        <f>IF(VLOOKUP($C45,REV!$C:$AA,9,0)-'TRADE IN'!$F45=0,"",(VLOOKUP($C45,REV!$C:$AA,9,0)-'TRADE IN'!$F45))</f>
        <v>6399</v>
      </c>
      <c r="L45" s="56">
        <f>IF(VLOOKUP($C45,REV!$C:$AA,10,0)-'TRADE IN'!$F45=0,"",(VLOOKUP($C45,REV!$C:$AA,10,0)-'TRADE IN'!$F45))</f>
        <v>6399</v>
      </c>
      <c r="M45" s="56">
        <f>IF(VLOOKUP($C45,REV!$C:$AA,11,0)-'TRADE IN'!$F45=0,"",(VLOOKUP($C45,REV!$C:$AA,11,0)-'TRADE IN'!$F45))</f>
        <v>6399</v>
      </c>
      <c r="N45" s="56">
        <f>IF(VLOOKUP($C45,REV!$C:$AA,12,0)-'TRADE IN'!$F45=0,"",(VLOOKUP($C45,REV!$C:$AA,12,0)-'TRADE IN'!$F45))</f>
        <v>6399</v>
      </c>
      <c r="O45" s="56">
        <f>IF(VLOOKUP($C45,REV!$C:$AA,13,0)-'TRADE IN'!$F45=0,"",(VLOOKUP($C45,REV!$C:$AA,13,0)-'TRADE IN'!$F45))</f>
        <v>6299</v>
      </c>
      <c r="P45" s="56">
        <f>IF(VLOOKUP($C45,REV!$C:$AA,14,0)-'TRADE IN'!$F45=0,"",(VLOOKUP($C45,REV!$C:$AA,14,0)-'TRADE IN'!$F45))</f>
        <v>6199</v>
      </c>
      <c r="Q45" s="56">
        <f>IF(VLOOKUP($C45,REV!$C:$AA,15,0)-'TRADE IN'!$F45=0,"",(VLOOKUP($C45,REV!$C:$AA,15,0)-'TRADE IN'!$F45))</f>
        <v>5999</v>
      </c>
      <c r="R45" s="56">
        <f>IF(VLOOKUP($C45,REV!$C:$AA,16,0)-'TRADE IN'!$F45=0,"",(VLOOKUP($C45,REV!$C:$AA,16,0)-'TRADE IN'!$F45))</f>
        <v>6299</v>
      </c>
      <c r="S45" s="56">
        <f>IF(VLOOKUP($C45,REV!$C:$AA,17,0)-'TRADE IN'!$F45=0,"",(VLOOKUP($C45,REV!$C:$AA,17,0)-'TRADE IN'!$F45))</f>
        <v>6199</v>
      </c>
      <c r="T45" s="56">
        <f>IF(VLOOKUP($C45,REV!$C:$AA,18,0)-'TRADE IN'!$F45=0,"",(VLOOKUP($C45,REV!$C:$AA,18,0)-'TRADE IN'!$F45))</f>
        <v>5999</v>
      </c>
      <c r="U45" s="56">
        <f>IF(VLOOKUP($C45,REV!$C:$AA,19,0)-'TRADE IN'!$F45=0,"",(VLOOKUP($C45,REV!$C:$AA,19,0)-'TRADE IN'!$F45))</f>
        <v>5999</v>
      </c>
      <c r="V45" s="56">
        <f>IF(VLOOKUP($C45,REV!$C:$AA,20,0)-'TRADE IN'!$F45=0,"",(VLOOKUP($C45,REV!$C:$AA,20,0)-'TRADE IN'!$F45))</f>
        <v>5999</v>
      </c>
      <c r="W45" s="56">
        <f>IF(VLOOKUP($C45,REV!$C:$AA,21,0)-'TRADE IN'!$F45=0,"",(VLOOKUP($C45,REV!$C:$AA,21,0)-'TRADE IN'!$F45))</f>
        <v>5999</v>
      </c>
      <c r="X45" s="56">
        <f>IF(VLOOKUP($C45,REV!$C:$AA,22,0)-'TRADE IN'!$F45=0,"",(VLOOKUP($C45,REV!$C:$AA,22,0)-'TRADE IN'!$F45))</f>
        <v>5899</v>
      </c>
      <c r="Y45" s="56">
        <f>IF(VLOOKUP($C45,REV!$C:$AA,23,0)-'TRADE IN'!$F45=0,"",(VLOOKUP($C45,REV!$C:$AA,23,0)-'TRADE IN'!$F45))</f>
        <v>5499</v>
      </c>
      <c r="Z45" s="56">
        <f>IF(VLOOKUP($C45,REV!$C:$AA,24,0)-'TRADE IN'!$F45=0,"",(VLOOKUP($C45,REV!$C:$AA,24,0)-'TRADE IN'!$F45))</f>
        <v>5499</v>
      </c>
      <c r="AA45" s="56">
        <f>IF(VLOOKUP($C45,REV!$C:$AA,25,0)-'TRADE IN'!$F45=0,"",(VLOOKUP($C45,REV!$C:$AA,25,0)-'TRADE IN'!$F45))</f>
        <v>5499</v>
      </c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7"/>
      <c r="AW45" s="58" t="str">
        <f>REV!AW45</f>
        <v>03.11.2026</v>
      </c>
      <c r="AX45" s="147" t="str">
        <f>VLOOKUP(C45,REV!C:AX,48,0)</f>
        <v>5G</v>
      </c>
    </row>
    <row r="46" spans="1:50" ht="22.5" customHeight="1">
      <c r="A46" s="51" t="s">
        <v>63</v>
      </c>
      <c r="B46" s="52" t="s">
        <v>64</v>
      </c>
      <c r="C46" s="53">
        <v>4015796</v>
      </c>
      <c r="D46" s="54" t="s">
        <v>112</v>
      </c>
      <c r="E46" s="54" t="s">
        <v>114</v>
      </c>
      <c r="F46" s="55"/>
      <c r="G46" s="55"/>
      <c r="H46" s="56"/>
      <c r="I46" s="56"/>
      <c r="J46" s="56">
        <f>IF(VLOOKUP($C46,REV!$C:$AA,8,0)-'TRADE IN'!$F46=0,"",(VLOOKUP($C46,REV!$C:$AA,8,0)-'TRADE IN'!$F46))</f>
        <v>6399</v>
      </c>
      <c r="K46" s="56">
        <f>IF(VLOOKUP($C46,REV!$C:$AA,9,0)-'TRADE IN'!$F46=0,"",(VLOOKUP($C46,REV!$C:$AA,9,0)-'TRADE IN'!$F46))</f>
        <v>6399</v>
      </c>
      <c r="L46" s="56">
        <f>IF(VLOOKUP($C46,REV!$C:$AA,10,0)-'TRADE IN'!$F46=0,"",(VLOOKUP($C46,REV!$C:$AA,10,0)-'TRADE IN'!$F46))</f>
        <v>6399</v>
      </c>
      <c r="M46" s="56">
        <f>IF(VLOOKUP($C46,REV!$C:$AA,11,0)-'TRADE IN'!$F46=0,"",(VLOOKUP($C46,REV!$C:$AA,11,0)-'TRADE IN'!$F46))</f>
        <v>6399</v>
      </c>
      <c r="N46" s="56">
        <f>IF(VLOOKUP($C46,REV!$C:$AA,12,0)-'TRADE IN'!$F46=0,"",(VLOOKUP($C46,REV!$C:$AA,12,0)-'TRADE IN'!$F46))</f>
        <v>6399</v>
      </c>
      <c r="O46" s="56">
        <f>IF(VLOOKUP($C46,REV!$C:$AA,13,0)-'TRADE IN'!$F46=0,"",(VLOOKUP($C46,REV!$C:$AA,13,0)-'TRADE IN'!$F46))</f>
        <v>6299</v>
      </c>
      <c r="P46" s="56">
        <f>IF(VLOOKUP($C46,REV!$C:$AA,14,0)-'TRADE IN'!$F46=0,"",(VLOOKUP($C46,REV!$C:$AA,14,0)-'TRADE IN'!$F46))</f>
        <v>6199</v>
      </c>
      <c r="Q46" s="56">
        <f>IF(VLOOKUP($C46,REV!$C:$AA,15,0)-'TRADE IN'!$F46=0,"",(VLOOKUP($C46,REV!$C:$AA,15,0)-'TRADE IN'!$F46))</f>
        <v>5999</v>
      </c>
      <c r="R46" s="56">
        <f>IF(VLOOKUP($C46,REV!$C:$AA,16,0)-'TRADE IN'!$F46=0,"",(VLOOKUP($C46,REV!$C:$AA,16,0)-'TRADE IN'!$F46))</f>
        <v>6299</v>
      </c>
      <c r="S46" s="56">
        <f>IF(VLOOKUP($C46,REV!$C:$AA,17,0)-'TRADE IN'!$F46=0,"",(VLOOKUP($C46,REV!$C:$AA,17,0)-'TRADE IN'!$F46))</f>
        <v>6199</v>
      </c>
      <c r="T46" s="56">
        <f>IF(VLOOKUP($C46,REV!$C:$AA,18,0)-'TRADE IN'!$F46=0,"",(VLOOKUP($C46,REV!$C:$AA,18,0)-'TRADE IN'!$F46))</f>
        <v>5999</v>
      </c>
      <c r="U46" s="56">
        <f>IF(VLOOKUP($C46,REV!$C:$AA,19,0)-'TRADE IN'!$F46=0,"",(VLOOKUP($C46,REV!$C:$AA,19,0)-'TRADE IN'!$F46))</f>
        <v>5999</v>
      </c>
      <c r="V46" s="56">
        <f>IF(VLOOKUP($C46,REV!$C:$AA,20,0)-'TRADE IN'!$F46=0,"",(VLOOKUP($C46,REV!$C:$AA,20,0)-'TRADE IN'!$F46))</f>
        <v>5999</v>
      </c>
      <c r="W46" s="56">
        <f>IF(VLOOKUP($C46,REV!$C:$AA,21,0)-'TRADE IN'!$F46=0,"",(VLOOKUP($C46,REV!$C:$AA,21,0)-'TRADE IN'!$F46))</f>
        <v>5999</v>
      </c>
      <c r="X46" s="56">
        <f>IF(VLOOKUP($C46,REV!$C:$AA,22,0)-'TRADE IN'!$F46=0,"",(VLOOKUP($C46,REV!$C:$AA,22,0)-'TRADE IN'!$F46))</f>
        <v>5899</v>
      </c>
      <c r="Y46" s="56">
        <f>IF(VLOOKUP($C46,REV!$C:$AA,23,0)-'TRADE IN'!$F46=0,"",(VLOOKUP($C46,REV!$C:$AA,23,0)-'TRADE IN'!$F46))</f>
        <v>5499</v>
      </c>
      <c r="Z46" s="56">
        <f>IF(VLOOKUP($C46,REV!$C:$AA,24,0)-'TRADE IN'!$F46=0,"",(VLOOKUP($C46,REV!$C:$AA,24,0)-'TRADE IN'!$F46))</f>
        <v>5499</v>
      </c>
      <c r="AA46" s="56">
        <f>IF(VLOOKUP($C46,REV!$C:$AA,25,0)-'TRADE IN'!$F46=0,"",(VLOOKUP($C46,REV!$C:$AA,25,0)-'TRADE IN'!$F46))</f>
        <v>5499</v>
      </c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7"/>
      <c r="AW46" s="58" t="str">
        <f>REV!AW46</f>
        <v>03.11.2026</v>
      </c>
      <c r="AX46" s="147" t="str">
        <f>VLOOKUP(C46,REV!C:AX,48,0)</f>
        <v>5G</v>
      </c>
    </row>
    <row r="47" spans="1:50" ht="22.5" customHeight="1">
      <c r="A47" s="51" t="s">
        <v>63</v>
      </c>
      <c r="B47" s="52" t="s">
        <v>64</v>
      </c>
      <c r="C47" s="53">
        <v>4015767</v>
      </c>
      <c r="D47" s="54" t="s">
        <v>112</v>
      </c>
      <c r="E47" s="54" t="s">
        <v>115</v>
      </c>
      <c r="F47" s="55"/>
      <c r="G47" s="55"/>
      <c r="H47" s="56"/>
      <c r="I47" s="56"/>
      <c r="J47" s="56">
        <f>IF(VLOOKUP($C47,REV!$C:$AA,8,0)-'TRADE IN'!$F47=0,"",(VLOOKUP($C47,REV!$C:$AA,8,0)-'TRADE IN'!$F47))</f>
        <v>6399</v>
      </c>
      <c r="K47" s="56">
        <f>IF(VLOOKUP($C47,REV!$C:$AA,9,0)-'TRADE IN'!$F47=0,"",(VLOOKUP($C47,REV!$C:$AA,9,0)-'TRADE IN'!$F47))</f>
        <v>6399</v>
      </c>
      <c r="L47" s="56">
        <f>IF(VLOOKUP($C47,REV!$C:$AA,10,0)-'TRADE IN'!$F47=0,"",(VLOOKUP($C47,REV!$C:$AA,10,0)-'TRADE IN'!$F47))</f>
        <v>6399</v>
      </c>
      <c r="M47" s="56">
        <f>IF(VLOOKUP($C47,REV!$C:$AA,11,0)-'TRADE IN'!$F47=0,"",(VLOOKUP($C47,REV!$C:$AA,11,0)-'TRADE IN'!$F47))</f>
        <v>6399</v>
      </c>
      <c r="N47" s="56">
        <f>IF(VLOOKUP($C47,REV!$C:$AA,12,0)-'TRADE IN'!$F47=0,"",(VLOOKUP($C47,REV!$C:$AA,12,0)-'TRADE IN'!$F47))</f>
        <v>6399</v>
      </c>
      <c r="O47" s="56">
        <f>IF(VLOOKUP($C47,REV!$C:$AA,13,0)-'TRADE IN'!$F47=0,"",(VLOOKUP($C47,REV!$C:$AA,13,0)-'TRADE IN'!$F47))</f>
        <v>6299</v>
      </c>
      <c r="P47" s="56">
        <f>IF(VLOOKUP($C47,REV!$C:$AA,14,0)-'TRADE IN'!$F47=0,"",(VLOOKUP($C47,REV!$C:$AA,14,0)-'TRADE IN'!$F47))</f>
        <v>6199</v>
      </c>
      <c r="Q47" s="56">
        <f>IF(VLOOKUP($C47,REV!$C:$AA,15,0)-'TRADE IN'!$F47=0,"",(VLOOKUP($C47,REV!$C:$AA,15,0)-'TRADE IN'!$F47))</f>
        <v>5999</v>
      </c>
      <c r="R47" s="56">
        <f>IF(VLOOKUP($C47,REV!$C:$AA,16,0)-'TRADE IN'!$F47=0,"",(VLOOKUP($C47,REV!$C:$AA,16,0)-'TRADE IN'!$F47))</f>
        <v>6299</v>
      </c>
      <c r="S47" s="56">
        <f>IF(VLOOKUP($C47,REV!$C:$AA,17,0)-'TRADE IN'!$F47=0,"",(VLOOKUP($C47,REV!$C:$AA,17,0)-'TRADE IN'!$F47))</f>
        <v>6199</v>
      </c>
      <c r="T47" s="56">
        <f>IF(VLOOKUP($C47,REV!$C:$AA,18,0)-'TRADE IN'!$F47=0,"",(VLOOKUP($C47,REV!$C:$AA,18,0)-'TRADE IN'!$F47))</f>
        <v>5999</v>
      </c>
      <c r="U47" s="56">
        <f>IF(VLOOKUP($C47,REV!$C:$AA,19,0)-'TRADE IN'!$F47=0,"",(VLOOKUP($C47,REV!$C:$AA,19,0)-'TRADE IN'!$F47))</f>
        <v>5999</v>
      </c>
      <c r="V47" s="56">
        <f>IF(VLOOKUP($C47,REV!$C:$AA,20,0)-'TRADE IN'!$F47=0,"",(VLOOKUP($C47,REV!$C:$AA,20,0)-'TRADE IN'!$F47))</f>
        <v>5999</v>
      </c>
      <c r="W47" s="56">
        <f>IF(VLOOKUP($C47,REV!$C:$AA,21,0)-'TRADE IN'!$F47=0,"",(VLOOKUP($C47,REV!$C:$AA,21,0)-'TRADE IN'!$F47))</f>
        <v>5999</v>
      </c>
      <c r="X47" s="56">
        <f>IF(VLOOKUP($C47,REV!$C:$AA,22,0)-'TRADE IN'!$F47=0,"",(VLOOKUP($C47,REV!$C:$AA,22,0)-'TRADE IN'!$F47))</f>
        <v>5899</v>
      </c>
      <c r="Y47" s="56">
        <f>IF(VLOOKUP($C47,REV!$C:$AA,23,0)-'TRADE IN'!$F47=0,"",(VLOOKUP($C47,REV!$C:$AA,23,0)-'TRADE IN'!$F47))</f>
        <v>5499</v>
      </c>
      <c r="Z47" s="56">
        <f>IF(VLOOKUP($C47,REV!$C:$AA,24,0)-'TRADE IN'!$F47=0,"",(VLOOKUP($C47,REV!$C:$AA,24,0)-'TRADE IN'!$F47))</f>
        <v>5499</v>
      </c>
      <c r="AA47" s="56">
        <f>IF(VLOOKUP($C47,REV!$C:$AA,25,0)-'TRADE IN'!$F47=0,"",(VLOOKUP($C47,REV!$C:$AA,25,0)-'TRADE IN'!$F47))</f>
        <v>5499</v>
      </c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7"/>
      <c r="AW47" s="58" t="str">
        <f>REV!AW47</f>
        <v>03.11.2026</v>
      </c>
      <c r="AX47" s="147" t="str">
        <f>VLOOKUP(C47,REV!C:AX,48,0)</f>
        <v>5G</v>
      </c>
    </row>
    <row r="48" spans="1:50" ht="22.5" customHeight="1">
      <c r="A48" s="51" t="s">
        <v>63</v>
      </c>
      <c r="B48" s="52" t="s">
        <v>64</v>
      </c>
      <c r="C48" s="53">
        <v>4015782</v>
      </c>
      <c r="D48" s="54" t="s">
        <v>112</v>
      </c>
      <c r="E48" s="54" t="s">
        <v>116</v>
      </c>
      <c r="F48" s="55"/>
      <c r="G48" s="55"/>
      <c r="H48" s="56"/>
      <c r="I48" s="56"/>
      <c r="J48" s="56">
        <f>IF(VLOOKUP($C48,REV!$C:$AA,8,0)-'TRADE IN'!$F48=0,"",(VLOOKUP($C48,REV!$C:$AA,8,0)-'TRADE IN'!$F48))</f>
        <v>6399</v>
      </c>
      <c r="K48" s="56">
        <f>IF(VLOOKUP($C48,REV!$C:$AA,9,0)-'TRADE IN'!$F48=0,"",(VLOOKUP($C48,REV!$C:$AA,9,0)-'TRADE IN'!$F48))</f>
        <v>6399</v>
      </c>
      <c r="L48" s="56">
        <f>IF(VLOOKUP($C48,REV!$C:$AA,10,0)-'TRADE IN'!$F48=0,"",(VLOOKUP($C48,REV!$C:$AA,10,0)-'TRADE IN'!$F48))</f>
        <v>6399</v>
      </c>
      <c r="M48" s="56">
        <f>IF(VLOOKUP($C48,REV!$C:$AA,11,0)-'TRADE IN'!$F48=0,"",(VLOOKUP($C48,REV!$C:$AA,11,0)-'TRADE IN'!$F48))</f>
        <v>6399</v>
      </c>
      <c r="N48" s="56">
        <f>IF(VLOOKUP($C48,REV!$C:$AA,12,0)-'TRADE IN'!$F48=0,"",(VLOOKUP($C48,REV!$C:$AA,12,0)-'TRADE IN'!$F48))</f>
        <v>6399</v>
      </c>
      <c r="O48" s="56">
        <f>IF(VLOOKUP($C48,REV!$C:$AA,13,0)-'TRADE IN'!$F48=0,"",(VLOOKUP($C48,REV!$C:$AA,13,0)-'TRADE IN'!$F48))</f>
        <v>6299</v>
      </c>
      <c r="P48" s="56">
        <f>IF(VLOOKUP($C48,REV!$C:$AA,14,0)-'TRADE IN'!$F48=0,"",(VLOOKUP($C48,REV!$C:$AA,14,0)-'TRADE IN'!$F48))</f>
        <v>6199</v>
      </c>
      <c r="Q48" s="56">
        <f>IF(VLOOKUP($C48,REV!$C:$AA,15,0)-'TRADE IN'!$F48=0,"",(VLOOKUP($C48,REV!$C:$AA,15,0)-'TRADE IN'!$F48))</f>
        <v>5999</v>
      </c>
      <c r="R48" s="56">
        <f>IF(VLOOKUP($C48,REV!$C:$AA,16,0)-'TRADE IN'!$F48=0,"",(VLOOKUP($C48,REV!$C:$AA,16,0)-'TRADE IN'!$F48))</f>
        <v>6299</v>
      </c>
      <c r="S48" s="56">
        <f>IF(VLOOKUP($C48,REV!$C:$AA,17,0)-'TRADE IN'!$F48=0,"",(VLOOKUP($C48,REV!$C:$AA,17,0)-'TRADE IN'!$F48))</f>
        <v>6199</v>
      </c>
      <c r="T48" s="56">
        <f>IF(VLOOKUP($C48,REV!$C:$AA,18,0)-'TRADE IN'!$F48=0,"",(VLOOKUP($C48,REV!$C:$AA,18,0)-'TRADE IN'!$F48))</f>
        <v>5999</v>
      </c>
      <c r="U48" s="56">
        <f>IF(VLOOKUP($C48,REV!$C:$AA,19,0)-'TRADE IN'!$F48=0,"",(VLOOKUP($C48,REV!$C:$AA,19,0)-'TRADE IN'!$F48))</f>
        <v>5999</v>
      </c>
      <c r="V48" s="56">
        <f>IF(VLOOKUP($C48,REV!$C:$AA,20,0)-'TRADE IN'!$F48=0,"",(VLOOKUP($C48,REV!$C:$AA,20,0)-'TRADE IN'!$F48))</f>
        <v>5999</v>
      </c>
      <c r="W48" s="56">
        <f>IF(VLOOKUP($C48,REV!$C:$AA,21,0)-'TRADE IN'!$F48=0,"",(VLOOKUP($C48,REV!$C:$AA,21,0)-'TRADE IN'!$F48))</f>
        <v>5999</v>
      </c>
      <c r="X48" s="56">
        <f>IF(VLOOKUP($C48,REV!$C:$AA,22,0)-'TRADE IN'!$F48=0,"",(VLOOKUP($C48,REV!$C:$AA,22,0)-'TRADE IN'!$F48))</f>
        <v>5899</v>
      </c>
      <c r="Y48" s="56">
        <f>IF(VLOOKUP($C48,REV!$C:$AA,23,0)-'TRADE IN'!$F48=0,"",(VLOOKUP($C48,REV!$C:$AA,23,0)-'TRADE IN'!$F48))</f>
        <v>5499</v>
      </c>
      <c r="Z48" s="56">
        <f>IF(VLOOKUP($C48,REV!$C:$AA,24,0)-'TRADE IN'!$F48=0,"",(VLOOKUP($C48,REV!$C:$AA,24,0)-'TRADE IN'!$F48))</f>
        <v>5499</v>
      </c>
      <c r="AA48" s="56">
        <f>IF(VLOOKUP($C48,REV!$C:$AA,25,0)-'TRADE IN'!$F48=0,"",(VLOOKUP($C48,REV!$C:$AA,25,0)-'TRADE IN'!$F48))</f>
        <v>5499</v>
      </c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7"/>
      <c r="AW48" s="58" t="str">
        <f>REV!AW48</f>
        <v>03.11.2026</v>
      </c>
      <c r="AX48" s="147" t="str">
        <f>VLOOKUP(C48,REV!C:AX,48,0)</f>
        <v>5G</v>
      </c>
    </row>
    <row r="49" spans="1:50" ht="22.5" customHeight="1">
      <c r="A49" s="51" t="s">
        <v>63</v>
      </c>
      <c r="B49" s="52" t="s">
        <v>64</v>
      </c>
      <c r="C49" s="53">
        <v>4015749</v>
      </c>
      <c r="D49" s="54" t="s">
        <v>117</v>
      </c>
      <c r="E49" s="54" t="s">
        <v>118</v>
      </c>
      <c r="F49" s="55"/>
      <c r="G49" s="55"/>
      <c r="H49" s="56"/>
      <c r="I49" s="56"/>
      <c r="J49" s="56">
        <f>IF(VLOOKUP($C49,REV!$C:$AA,8,0)-'TRADE IN'!$F49=0,"",(VLOOKUP($C49,REV!$C:$AA,8,0)-'TRADE IN'!$F49))</f>
        <v>6899</v>
      </c>
      <c r="K49" s="56">
        <f>IF(VLOOKUP($C49,REV!$C:$AA,9,0)-'TRADE IN'!$F49=0,"",(VLOOKUP($C49,REV!$C:$AA,9,0)-'TRADE IN'!$F49))</f>
        <v>6899</v>
      </c>
      <c r="L49" s="56">
        <f>IF(VLOOKUP($C49,REV!$C:$AA,10,0)-'TRADE IN'!$F49=0,"",(VLOOKUP($C49,REV!$C:$AA,10,0)-'TRADE IN'!$F49))</f>
        <v>6899</v>
      </c>
      <c r="M49" s="56">
        <f>IF(VLOOKUP($C49,REV!$C:$AA,11,0)-'TRADE IN'!$F49=0,"",(VLOOKUP($C49,REV!$C:$AA,11,0)-'TRADE IN'!$F49))</f>
        <v>6899</v>
      </c>
      <c r="N49" s="56">
        <f>IF(VLOOKUP($C49,REV!$C:$AA,12,0)-'TRADE IN'!$F49=0,"",(VLOOKUP($C49,REV!$C:$AA,12,0)-'TRADE IN'!$F49))</f>
        <v>6899</v>
      </c>
      <c r="O49" s="56">
        <f>IF(VLOOKUP($C49,REV!$C:$AA,13,0)-'TRADE IN'!$F49=0,"",(VLOOKUP($C49,REV!$C:$AA,13,0)-'TRADE IN'!$F49))</f>
        <v>6799</v>
      </c>
      <c r="P49" s="56">
        <f>IF(VLOOKUP($C49,REV!$C:$AA,14,0)-'TRADE IN'!$F49=0,"",(VLOOKUP($C49,REV!$C:$AA,14,0)-'TRADE IN'!$F49))</f>
        <v>6699</v>
      </c>
      <c r="Q49" s="56">
        <f>IF(VLOOKUP($C49,REV!$C:$AA,15,0)-'TRADE IN'!$F49=0,"",(VLOOKUP($C49,REV!$C:$AA,15,0)-'TRADE IN'!$F49))</f>
        <v>6499</v>
      </c>
      <c r="R49" s="56">
        <f>IF(VLOOKUP($C49,REV!$C:$AA,16,0)-'TRADE IN'!$F49=0,"",(VLOOKUP($C49,REV!$C:$AA,16,0)-'TRADE IN'!$F49))</f>
        <v>6799</v>
      </c>
      <c r="S49" s="56">
        <f>IF(VLOOKUP($C49,REV!$C:$AA,17,0)-'TRADE IN'!$F49=0,"",(VLOOKUP($C49,REV!$C:$AA,17,0)-'TRADE IN'!$F49))</f>
        <v>6699</v>
      </c>
      <c r="T49" s="56">
        <f>IF(VLOOKUP($C49,REV!$C:$AA,18,0)-'TRADE IN'!$F49=0,"",(VLOOKUP($C49,REV!$C:$AA,18,0)-'TRADE IN'!$F49))</f>
        <v>6499</v>
      </c>
      <c r="U49" s="56">
        <f>IF(VLOOKUP($C49,REV!$C:$AA,19,0)-'TRADE IN'!$F49=0,"",(VLOOKUP($C49,REV!$C:$AA,19,0)-'TRADE IN'!$F49))</f>
        <v>6499</v>
      </c>
      <c r="V49" s="56">
        <f>IF(VLOOKUP($C49,REV!$C:$AA,20,0)-'TRADE IN'!$F49=0,"",(VLOOKUP($C49,REV!$C:$AA,20,0)-'TRADE IN'!$F49))</f>
        <v>6499</v>
      </c>
      <c r="W49" s="56">
        <f>IF(VLOOKUP($C49,REV!$C:$AA,21,0)-'TRADE IN'!$F49=0,"",(VLOOKUP($C49,REV!$C:$AA,21,0)-'TRADE IN'!$F49))</f>
        <v>6499</v>
      </c>
      <c r="X49" s="56">
        <f>IF(VLOOKUP($C49,REV!$C:$AA,22,0)-'TRADE IN'!$F49=0,"",(VLOOKUP($C49,REV!$C:$AA,22,0)-'TRADE IN'!$F49))</f>
        <v>6399</v>
      </c>
      <c r="Y49" s="56">
        <f>IF(VLOOKUP($C49,REV!$C:$AA,23,0)-'TRADE IN'!$F49=0,"",(VLOOKUP($C49,REV!$C:$AA,23,0)-'TRADE IN'!$F49))</f>
        <v>5999</v>
      </c>
      <c r="Z49" s="56">
        <f>IF(VLOOKUP($C49,REV!$C:$AA,24,0)-'TRADE IN'!$F49=0,"",(VLOOKUP($C49,REV!$C:$AA,24,0)-'TRADE IN'!$F49))</f>
        <v>5999</v>
      </c>
      <c r="AA49" s="56">
        <f>IF(VLOOKUP($C49,REV!$C:$AA,25,0)-'TRADE IN'!$F49=0,"",(VLOOKUP($C49,REV!$C:$AA,25,0)-'TRADE IN'!$F49))</f>
        <v>5999</v>
      </c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7"/>
      <c r="AW49" s="58" t="str">
        <f>REV!AW49</f>
        <v>03.11.2026</v>
      </c>
      <c r="AX49" s="147" t="str">
        <f>VLOOKUP(C49,REV!C:AX,48,0)</f>
        <v>5G</v>
      </c>
    </row>
    <row r="50" spans="1:50" ht="22.5" customHeight="1">
      <c r="A50" s="51" t="s">
        <v>63</v>
      </c>
      <c r="B50" s="52" t="s">
        <v>64</v>
      </c>
      <c r="C50" s="53">
        <v>4015797</v>
      </c>
      <c r="D50" s="54" t="s">
        <v>117</v>
      </c>
      <c r="E50" s="54" t="s">
        <v>119</v>
      </c>
      <c r="F50" s="55"/>
      <c r="G50" s="55"/>
      <c r="H50" s="56"/>
      <c r="I50" s="56"/>
      <c r="J50" s="56">
        <f>IF(VLOOKUP($C50,REV!$C:$AA,8,0)-'TRADE IN'!$F50=0,"",(VLOOKUP($C50,REV!$C:$AA,8,0)-'TRADE IN'!$F50))</f>
        <v>6899</v>
      </c>
      <c r="K50" s="56">
        <f>IF(VLOOKUP($C50,REV!$C:$AA,9,0)-'TRADE IN'!$F50=0,"",(VLOOKUP($C50,REV!$C:$AA,9,0)-'TRADE IN'!$F50))</f>
        <v>6899</v>
      </c>
      <c r="L50" s="56">
        <f>IF(VLOOKUP($C50,REV!$C:$AA,10,0)-'TRADE IN'!$F50=0,"",(VLOOKUP($C50,REV!$C:$AA,10,0)-'TRADE IN'!$F50))</f>
        <v>6899</v>
      </c>
      <c r="M50" s="56">
        <f>IF(VLOOKUP($C50,REV!$C:$AA,11,0)-'TRADE IN'!$F50=0,"",(VLOOKUP($C50,REV!$C:$AA,11,0)-'TRADE IN'!$F50))</f>
        <v>6899</v>
      </c>
      <c r="N50" s="56">
        <f>IF(VLOOKUP($C50,REV!$C:$AA,12,0)-'TRADE IN'!$F50=0,"",(VLOOKUP($C50,REV!$C:$AA,12,0)-'TRADE IN'!$F50))</f>
        <v>6899</v>
      </c>
      <c r="O50" s="56">
        <f>IF(VLOOKUP($C50,REV!$C:$AA,13,0)-'TRADE IN'!$F50=0,"",(VLOOKUP($C50,REV!$C:$AA,13,0)-'TRADE IN'!$F50))</f>
        <v>6799</v>
      </c>
      <c r="P50" s="56">
        <f>IF(VLOOKUP($C50,REV!$C:$AA,14,0)-'TRADE IN'!$F50=0,"",(VLOOKUP($C50,REV!$C:$AA,14,0)-'TRADE IN'!$F50))</f>
        <v>6699</v>
      </c>
      <c r="Q50" s="56">
        <f>IF(VLOOKUP($C50,REV!$C:$AA,15,0)-'TRADE IN'!$F50=0,"",(VLOOKUP($C50,REV!$C:$AA,15,0)-'TRADE IN'!$F50))</f>
        <v>6499</v>
      </c>
      <c r="R50" s="56">
        <f>IF(VLOOKUP($C50,REV!$C:$AA,16,0)-'TRADE IN'!$F50=0,"",(VLOOKUP($C50,REV!$C:$AA,16,0)-'TRADE IN'!$F50))</f>
        <v>6799</v>
      </c>
      <c r="S50" s="56">
        <f>IF(VLOOKUP($C50,REV!$C:$AA,17,0)-'TRADE IN'!$F50=0,"",(VLOOKUP($C50,REV!$C:$AA,17,0)-'TRADE IN'!$F50))</f>
        <v>6699</v>
      </c>
      <c r="T50" s="56">
        <f>IF(VLOOKUP($C50,REV!$C:$AA,18,0)-'TRADE IN'!$F50=0,"",(VLOOKUP($C50,REV!$C:$AA,18,0)-'TRADE IN'!$F50))</f>
        <v>6499</v>
      </c>
      <c r="U50" s="56">
        <f>IF(VLOOKUP($C50,REV!$C:$AA,19,0)-'TRADE IN'!$F50=0,"",(VLOOKUP($C50,REV!$C:$AA,19,0)-'TRADE IN'!$F50))</f>
        <v>6499</v>
      </c>
      <c r="V50" s="56">
        <f>IF(VLOOKUP($C50,REV!$C:$AA,20,0)-'TRADE IN'!$F50=0,"",(VLOOKUP($C50,REV!$C:$AA,20,0)-'TRADE IN'!$F50))</f>
        <v>6499</v>
      </c>
      <c r="W50" s="56">
        <f>IF(VLOOKUP($C50,REV!$C:$AA,21,0)-'TRADE IN'!$F50=0,"",(VLOOKUP($C50,REV!$C:$AA,21,0)-'TRADE IN'!$F50))</f>
        <v>6499</v>
      </c>
      <c r="X50" s="56">
        <f>IF(VLOOKUP($C50,REV!$C:$AA,22,0)-'TRADE IN'!$F50=0,"",(VLOOKUP($C50,REV!$C:$AA,22,0)-'TRADE IN'!$F50))</f>
        <v>6399</v>
      </c>
      <c r="Y50" s="56">
        <f>IF(VLOOKUP($C50,REV!$C:$AA,23,0)-'TRADE IN'!$F50=0,"",(VLOOKUP($C50,REV!$C:$AA,23,0)-'TRADE IN'!$F50))</f>
        <v>5999</v>
      </c>
      <c r="Z50" s="56">
        <f>IF(VLOOKUP($C50,REV!$C:$AA,24,0)-'TRADE IN'!$F50=0,"",(VLOOKUP($C50,REV!$C:$AA,24,0)-'TRADE IN'!$F50))</f>
        <v>5999</v>
      </c>
      <c r="AA50" s="56">
        <f>IF(VLOOKUP($C50,REV!$C:$AA,25,0)-'TRADE IN'!$F50=0,"",(VLOOKUP($C50,REV!$C:$AA,25,0)-'TRADE IN'!$F50))</f>
        <v>5999</v>
      </c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7"/>
      <c r="AW50" s="58" t="str">
        <f>REV!AW50</f>
        <v>03.11.2026</v>
      </c>
      <c r="AX50" s="147" t="str">
        <f>VLOOKUP(C50,REV!C:AX,48,0)</f>
        <v>5G</v>
      </c>
    </row>
    <row r="51" spans="1:50" ht="22.5" customHeight="1">
      <c r="A51" s="51" t="s">
        <v>63</v>
      </c>
      <c r="B51" s="52" t="s">
        <v>64</v>
      </c>
      <c r="C51" s="53">
        <v>4015769</v>
      </c>
      <c r="D51" s="54" t="s">
        <v>117</v>
      </c>
      <c r="E51" s="54" t="s">
        <v>120</v>
      </c>
      <c r="F51" s="55"/>
      <c r="G51" s="55"/>
      <c r="H51" s="56"/>
      <c r="I51" s="56"/>
      <c r="J51" s="56">
        <f>IF(VLOOKUP($C51,REV!$C:$AA,8,0)-'TRADE IN'!$F51=0,"",(VLOOKUP($C51,REV!$C:$AA,8,0)-'TRADE IN'!$F51))</f>
        <v>6899</v>
      </c>
      <c r="K51" s="56">
        <f>IF(VLOOKUP($C51,REV!$C:$AA,9,0)-'TRADE IN'!$F51=0,"",(VLOOKUP($C51,REV!$C:$AA,9,0)-'TRADE IN'!$F51))</f>
        <v>6899</v>
      </c>
      <c r="L51" s="56">
        <f>IF(VLOOKUP($C51,REV!$C:$AA,10,0)-'TRADE IN'!$F51=0,"",(VLOOKUP($C51,REV!$C:$AA,10,0)-'TRADE IN'!$F51))</f>
        <v>6899</v>
      </c>
      <c r="M51" s="56">
        <f>IF(VLOOKUP($C51,REV!$C:$AA,11,0)-'TRADE IN'!$F51=0,"",(VLOOKUP($C51,REV!$C:$AA,11,0)-'TRADE IN'!$F51))</f>
        <v>6899</v>
      </c>
      <c r="N51" s="56">
        <f>IF(VLOOKUP($C51,REV!$C:$AA,12,0)-'TRADE IN'!$F51=0,"",(VLOOKUP($C51,REV!$C:$AA,12,0)-'TRADE IN'!$F51))</f>
        <v>6899</v>
      </c>
      <c r="O51" s="56">
        <f>IF(VLOOKUP($C51,REV!$C:$AA,13,0)-'TRADE IN'!$F51=0,"",(VLOOKUP($C51,REV!$C:$AA,13,0)-'TRADE IN'!$F51))</f>
        <v>6799</v>
      </c>
      <c r="P51" s="56">
        <f>IF(VLOOKUP($C51,REV!$C:$AA,14,0)-'TRADE IN'!$F51=0,"",(VLOOKUP($C51,REV!$C:$AA,14,0)-'TRADE IN'!$F51))</f>
        <v>6699</v>
      </c>
      <c r="Q51" s="56">
        <f>IF(VLOOKUP($C51,REV!$C:$AA,15,0)-'TRADE IN'!$F51=0,"",(VLOOKUP($C51,REV!$C:$AA,15,0)-'TRADE IN'!$F51))</f>
        <v>6499</v>
      </c>
      <c r="R51" s="56">
        <f>IF(VLOOKUP($C51,REV!$C:$AA,16,0)-'TRADE IN'!$F51=0,"",(VLOOKUP($C51,REV!$C:$AA,16,0)-'TRADE IN'!$F51))</f>
        <v>6799</v>
      </c>
      <c r="S51" s="56">
        <f>IF(VLOOKUP($C51,REV!$C:$AA,17,0)-'TRADE IN'!$F51=0,"",(VLOOKUP($C51,REV!$C:$AA,17,0)-'TRADE IN'!$F51))</f>
        <v>6699</v>
      </c>
      <c r="T51" s="56">
        <f>IF(VLOOKUP($C51,REV!$C:$AA,18,0)-'TRADE IN'!$F51=0,"",(VLOOKUP($C51,REV!$C:$AA,18,0)-'TRADE IN'!$F51))</f>
        <v>6499</v>
      </c>
      <c r="U51" s="56">
        <f>IF(VLOOKUP($C51,REV!$C:$AA,19,0)-'TRADE IN'!$F51=0,"",(VLOOKUP($C51,REV!$C:$AA,19,0)-'TRADE IN'!$F51))</f>
        <v>6499</v>
      </c>
      <c r="V51" s="56">
        <f>IF(VLOOKUP($C51,REV!$C:$AA,20,0)-'TRADE IN'!$F51=0,"",(VLOOKUP($C51,REV!$C:$AA,20,0)-'TRADE IN'!$F51))</f>
        <v>6499</v>
      </c>
      <c r="W51" s="56">
        <f>IF(VLOOKUP($C51,REV!$C:$AA,21,0)-'TRADE IN'!$F51=0,"",(VLOOKUP($C51,REV!$C:$AA,21,0)-'TRADE IN'!$F51))</f>
        <v>6499</v>
      </c>
      <c r="X51" s="56">
        <f>IF(VLOOKUP($C51,REV!$C:$AA,22,0)-'TRADE IN'!$F51=0,"",(VLOOKUP($C51,REV!$C:$AA,22,0)-'TRADE IN'!$F51))</f>
        <v>6399</v>
      </c>
      <c r="Y51" s="56">
        <f>IF(VLOOKUP($C51,REV!$C:$AA,23,0)-'TRADE IN'!$F51=0,"",(VLOOKUP($C51,REV!$C:$AA,23,0)-'TRADE IN'!$F51))</f>
        <v>5999</v>
      </c>
      <c r="Z51" s="56">
        <f>IF(VLOOKUP($C51,REV!$C:$AA,24,0)-'TRADE IN'!$F51=0,"",(VLOOKUP($C51,REV!$C:$AA,24,0)-'TRADE IN'!$F51))</f>
        <v>5999</v>
      </c>
      <c r="AA51" s="56">
        <f>IF(VLOOKUP($C51,REV!$C:$AA,25,0)-'TRADE IN'!$F51=0,"",(VLOOKUP($C51,REV!$C:$AA,25,0)-'TRADE IN'!$F51))</f>
        <v>5999</v>
      </c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7"/>
      <c r="AW51" s="58" t="str">
        <f>REV!AW51</f>
        <v>03.11.2026</v>
      </c>
      <c r="AX51" s="147" t="str">
        <f>VLOOKUP(C51,REV!C:AX,48,0)</f>
        <v>5G</v>
      </c>
    </row>
    <row r="52" spans="1:50" ht="22.5" customHeight="1">
      <c r="A52" s="51" t="s">
        <v>63</v>
      </c>
      <c r="B52" s="52" t="s">
        <v>64</v>
      </c>
      <c r="C52" s="53">
        <v>4015784</v>
      </c>
      <c r="D52" s="54" t="s">
        <v>117</v>
      </c>
      <c r="E52" s="54" t="s">
        <v>121</v>
      </c>
      <c r="F52" s="55"/>
      <c r="G52" s="55"/>
      <c r="H52" s="56"/>
      <c r="I52" s="56"/>
      <c r="J52" s="56">
        <f>IF(VLOOKUP($C52,REV!$C:$AA,8,0)-'TRADE IN'!$F52=0,"",(VLOOKUP($C52,REV!$C:$AA,8,0)-'TRADE IN'!$F52))</f>
        <v>6899</v>
      </c>
      <c r="K52" s="56">
        <f>IF(VLOOKUP($C52,REV!$C:$AA,9,0)-'TRADE IN'!$F52=0,"",(VLOOKUP($C52,REV!$C:$AA,9,0)-'TRADE IN'!$F52))</f>
        <v>6899</v>
      </c>
      <c r="L52" s="56">
        <f>IF(VLOOKUP($C52,REV!$C:$AA,10,0)-'TRADE IN'!$F52=0,"",(VLOOKUP($C52,REV!$C:$AA,10,0)-'TRADE IN'!$F52))</f>
        <v>6899</v>
      </c>
      <c r="M52" s="56">
        <f>IF(VLOOKUP($C52,REV!$C:$AA,11,0)-'TRADE IN'!$F52=0,"",(VLOOKUP($C52,REV!$C:$AA,11,0)-'TRADE IN'!$F52))</f>
        <v>6899</v>
      </c>
      <c r="N52" s="56">
        <f>IF(VLOOKUP($C52,REV!$C:$AA,12,0)-'TRADE IN'!$F52=0,"",(VLOOKUP($C52,REV!$C:$AA,12,0)-'TRADE IN'!$F52))</f>
        <v>6899</v>
      </c>
      <c r="O52" s="56">
        <f>IF(VLOOKUP($C52,REV!$C:$AA,13,0)-'TRADE IN'!$F52=0,"",(VLOOKUP($C52,REV!$C:$AA,13,0)-'TRADE IN'!$F52))</f>
        <v>6799</v>
      </c>
      <c r="P52" s="56">
        <f>IF(VLOOKUP($C52,REV!$C:$AA,14,0)-'TRADE IN'!$F52=0,"",(VLOOKUP($C52,REV!$C:$AA,14,0)-'TRADE IN'!$F52))</f>
        <v>6699</v>
      </c>
      <c r="Q52" s="56">
        <f>IF(VLOOKUP($C52,REV!$C:$AA,15,0)-'TRADE IN'!$F52=0,"",(VLOOKUP($C52,REV!$C:$AA,15,0)-'TRADE IN'!$F52))</f>
        <v>6499</v>
      </c>
      <c r="R52" s="56">
        <f>IF(VLOOKUP($C52,REV!$C:$AA,16,0)-'TRADE IN'!$F52=0,"",(VLOOKUP($C52,REV!$C:$AA,16,0)-'TRADE IN'!$F52))</f>
        <v>6799</v>
      </c>
      <c r="S52" s="56">
        <f>IF(VLOOKUP($C52,REV!$C:$AA,17,0)-'TRADE IN'!$F52=0,"",(VLOOKUP($C52,REV!$C:$AA,17,0)-'TRADE IN'!$F52))</f>
        <v>6699</v>
      </c>
      <c r="T52" s="56">
        <f>IF(VLOOKUP($C52,REV!$C:$AA,18,0)-'TRADE IN'!$F52=0,"",(VLOOKUP($C52,REV!$C:$AA,18,0)-'TRADE IN'!$F52))</f>
        <v>6499</v>
      </c>
      <c r="U52" s="56">
        <f>IF(VLOOKUP($C52,REV!$C:$AA,19,0)-'TRADE IN'!$F52=0,"",(VLOOKUP($C52,REV!$C:$AA,19,0)-'TRADE IN'!$F52))</f>
        <v>6499</v>
      </c>
      <c r="V52" s="56">
        <f>IF(VLOOKUP($C52,REV!$C:$AA,20,0)-'TRADE IN'!$F52=0,"",(VLOOKUP($C52,REV!$C:$AA,20,0)-'TRADE IN'!$F52))</f>
        <v>6499</v>
      </c>
      <c r="W52" s="56">
        <f>IF(VLOOKUP($C52,REV!$C:$AA,21,0)-'TRADE IN'!$F52=0,"",(VLOOKUP($C52,REV!$C:$AA,21,0)-'TRADE IN'!$F52))</f>
        <v>6499</v>
      </c>
      <c r="X52" s="56">
        <f>IF(VLOOKUP($C52,REV!$C:$AA,22,0)-'TRADE IN'!$F52=0,"",(VLOOKUP($C52,REV!$C:$AA,22,0)-'TRADE IN'!$F52))</f>
        <v>6399</v>
      </c>
      <c r="Y52" s="56">
        <f>IF(VLOOKUP($C52,REV!$C:$AA,23,0)-'TRADE IN'!$F52=0,"",(VLOOKUP($C52,REV!$C:$AA,23,0)-'TRADE IN'!$F52))</f>
        <v>5999</v>
      </c>
      <c r="Z52" s="56">
        <f>IF(VLOOKUP($C52,REV!$C:$AA,24,0)-'TRADE IN'!$F52=0,"",(VLOOKUP($C52,REV!$C:$AA,24,0)-'TRADE IN'!$F52))</f>
        <v>5999</v>
      </c>
      <c r="AA52" s="56">
        <f>IF(VLOOKUP($C52,REV!$C:$AA,25,0)-'TRADE IN'!$F52=0,"",(VLOOKUP($C52,REV!$C:$AA,25,0)-'TRADE IN'!$F52))</f>
        <v>5999</v>
      </c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7"/>
      <c r="AW52" s="58" t="str">
        <f>REV!AW52</f>
        <v>03.11.2026</v>
      </c>
      <c r="AX52" s="147" t="str">
        <f>VLOOKUP(C52,REV!C:AX,48,0)</f>
        <v>5G</v>
      </c>
    </row>
    <row r="53" spans="1:50" ht="22.5" customHeight="1">
      <c r="A53" s="51" t="s">
        <v>63</v>
      </c>
      <c r="B53" s="52" t="s">
        <v>64</v>
      </c>
      <c r="C53" s="53">
        <v>4015762</v>
      </c>
      <c r="D53" s="54" t="s">
        <v>122</v>
      </c>
      <c r="E53" s="54" t="s">
        <v>123</v>
      </c>
      <c r="F53" s="55"/>
      <c r="G53" s="55"/>
      <c r="H53" s="56"/>
      <c r="I53" s="56"/>
      <c r="J53" s="56">
        <f>IF(VLOOKUP($C53,REV!$C:$AA,8,0)-'TRADE IN'!$F53=0,"",(VLOOKUP($C53,REV!$C:$AA,8,0)-'TRADE IN'!$F53))</f>
        <v>7399</v>
      </c>
      <c r="K53" s="56">
        <f>IF(VLOOKUP($C53,REV!$C:$AA,9,0)-'TRADE IN'!$F53=0,"",(VLOOKUP($C53,REV!$C:$AA,9,0)-'TRADE IN'!$F53))</f>
        <v>7399</v>
      </c>
      <c r="L53" s="56">
        <f>IF(VLOOKUP($C53,REV!$C:$AA,10,0)-'TRADE IN'!$F53=0,"",(VLOOKUP($C53,REV!$C:$AA,10,0)-'TRADE IN'!$F53))</f>
        <v>7399</v>
      </c>
      <c r="M53" s="56">
        <f>IF(VLOOKUP($C53,REV!$C:$AA,11,0)-'TRADE IN'!$F53=0,"",(VLOOKUP($C53,REV!$C:$AA,11,0)-'TRADE IN'!$F53))</f>
        <v>7399</v>
      </c>
      <c r="N53" s="56">
        <f>IF(VLOOKUP($C53,REV!$C:$AA,12,0)-'TRADE IN'!$F53=0,"",(VLOOKUP($C53,REV!$C:$AA,12,0)-'TRADE IN'!$F53))</f>
        <v>7399</v>
      </c>
      <c r="O53" s="56">
        <f>IF(VLOOKUP($C53,REV!$C:$AA,13,0)-'TRADE IN'!$F53=0,"",(VLOOKUP($C53,REV!$C:$AA,13,0)-'TRADE IN'!$F53))</f>
        <v>7299</v>
      </c>
      <c r="P53" s="56">
        <f>IF(VLOOKUP($C53,REV!$C:$AA,14,0)-'TRADE IN'!$F53=0,"",(VLOOKUP($C53,REV!$C:$AA,14,0)-'TRADE IN'!$F53))</f>
        <v>7199</v>
      </c>
      <c r="Q53" s="56">
        <f>IF(VLOOKUP($C53,REV!$C:$AA,15,0)-'TRADE IN'!$F53=0,"",(VLOOKUP($C53,REV!$C:$AA,15,0)-'TRADE IN'!$F53))</f>
        <v>6999</v>
      </c>
      <c r="R53" s="56">
        <f>IF(VLOOKUP($C53,REV!$C:$AA,16,0)-'TRADE IN'!$F53=0,"",(VLOOKUP($C53,REV!$C:$AA,16,0)-'TRADE IN'!$F53))</f>
        <v>7299</v>
      </c>
      <c r="S53" s="56">
        <f>IF(VLOOKUP($C53,REV!$C:$AA,17,0)-'TRADE IN'!$F53=0,"",(VLOOKUP($C53,REV!$C:$AA,17,0)-'TRADE IN'!$F53))</f>
        <v>7199</v>
      </c>
      <c r="T53" s="56">
        <f>IF(VLOOKUP($C53,REV!$C:$AA,18,0)-'TRADE IN'!$F53=0,"",(VLOOKUP($C53,REV!$C:$AA,18,0)-'TRADE IN'!$F53))</f>
        <v>6999</v>
      </c>
      <c r="U53" s="56">
        <f>IF(VLOOKUP($C53,REV!$C:$AA,19,0)-'TRADE IN'!$F53=0,"",(VLOOKUP($C53,REV!$C:$AA,19,0)-'TRADE IN'!$F53))</f>
        <v>6999</v>
      </c>
      <c r="V53" s="56">
        <f>IF(VLOOKUP($C53,REV!$C:$AA,20,0)-'TRADE IN'!$F53=0,"",(VLOOKUP($C53,REV!$C:$AA,20,0)-'TRADE IN'!$F53))</f>
        <v>6999</v>
      </c>
      <c r="W53" s="56">
        <f>IF(VLOOKUP($C53,REV!$C:$AA,21,0)-'TRADE IN'!$F53=0,"",(VLOOKUP($C53,REV!$C:$AA,21,0)-'TRADE IN'!$F53))</f>
        <v>6999</v>
      </c>
      <c r="X53" s="56">
        <f>IF(VLOOKUP($C53,REV!$C:$AA,22,0)-'TRADE IN'!$F53=0,"",(VLOOKUP($C53,REV!$C:$AA,22,0)-'TRADE IN'!$F53))</f>
        <v>6899</v>
      </c>
      <c r="Y53" s="56">
        <f>IF(VLOOKUP($C53,REV!$C:$AA,23,0)-'TRADE IN'!$F53=0,"",(VLOOKUP($C53,REV!$C:$AA,23,0)-'TRADE IN'!$F53))</f>
        <v>6499</v>
      </c>
      <c r="Z53" s="56">
        <f>IF(VLOOKUP($C53,REV!$C:$AA,24,0)-'TRADE IN'!$F53=0,"",(VLOOKUP($C53,REV!$C:$AA,24,0)-'TRADE IN'!$F53))</f>
        <v>6499</v>
      </c>
      <c r="AA53" s="56">
        <f>IF(VLOOKUP($C53,REV!$C:$AA,25,0)-'TRADE IN'!$F53=0,"",(VLOOKUP($C53,REV!$C:$AA,25,0)-'TRADE IN'!$F53))</f>
        <v>6499</v>
      </c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7"/>
      <c r="AW53" s="58" t="str">
        <f>REV!AW53</f>
        <v>03.11.2026</v>
      </c>
      <c r="AX53" s="147" t="str">
        <f>VLOOKUP(C53,REV!C:AX,48,0)</f>
        <v>5G</v>
      </c>
    </row>
    <row r="54" spans="1:50" ht="22.5" customHeight="1">
      <c r="A54" s="51" t="s">
        <v>63</v>
      </c>
      <c r="B54" s="52" t="s">
        <v>64</v>
      </c>
      <c r="C54" s="53">
        <v>4015774</v>
      </c>
      <c r="D54" s="54" t="s">
        <v>122</v>
      </c>
      <c r="E54" s="54" t="s">
        <v>124</v>
      </c>
      <c r="F54" s="55"/>
      <c r="G54" s="55"/>
      <c r="H54" s="56"/>
      <c r="I54" s="56"/>
      <c r="J54" s="56">
        <f>IF(VLOOKUP($C54,REV!$C:$AA,8,0)-'TRADE IN'!$F54=0,"",(VLOOKUP($C54,REV!$C:$AA,8,0)-'TRADE IN'!$F54))</f>
        <v>7399</v>
      </c>
      <c r="K54" s="56">
        <f>IF(VLOOKUP($C54,REV!$C:$AA,9,0)-'TRADE IN'!$F54=0,"",(VLOOKUP($C54,REV!$C:$AA,9,0)-'TRADE IN'!$F54))</f>
        <v>7399</v>
      </c>
      <c r="L54" s="56">
        <f>IF(VLOOKUP($C54,REV!$C:$AA,10,0)-'TRADE IN'!$F54=0,"",(VLOOKUP($C54,REV!$C:$AA,10,0)-'TRADE IN'!$F54))</f>
        <v>7399</v>
      </c>
      <c r="M54" s="56">
        <f>IF(VLOOKUP($C54,REV!$C:$AA,11,0)-'TRADE IN'!$F54=0,"",(VLOOKUP($C54,REV!$C:$AA,11,0)-'TRADE IN'!$F54))</f>
        <v>7399</v>
      </c>
      <c r="N54" s="56">
        <f>IF(VLOOKUP($C54,REV!$C:$AA,12,0)-'TRADE IN'!$F54=0,"",(VLOOKUP($C54,REV!$C:$AA,12,0)-'TRADE IN'!$F54))</f>
        <v>7399</v>
      </c>
      <c r="O54" s="56">
        <f>IF(VLOOKUP($C54,REV!$C:$AA,13,0)-'TRADE IN'!$F54=0,"",(VLOOKUP($C54,REV!$C:$AA,13,0)-'TRADE IN'!$F54))</f>
        <v>7299</v>
      </c>
      <c r="P54" s="56">
        <f>IF(VLOOKUP($C54,REV!$C:$AA,14,0)-'TRADE IN'!$F54=0,"",(VLOOKUP($C54,REV!$C:$AA,14,0)-'TRADE IN'!$F54))</f>
        <v>7199</v>
      </c>
      <c r="Q54" s="56">
        <f>IF(VLOOKUP($C54,REV!$C:$AA,15,0)-'TRADE IN'!$F54=0,"",(VLOOKUP($C54,REV!$C:$AA,15,0)-'TRADE IN'!$F54))</f>
        <v>6999</v>
      </c>
      <c r="R54" s="56">
        <f>IF(VLOOKUP($C54,REV!$C:$AA,16,0)-'TRADE IN'!$F54=0,"",(VLOOKUP($C54,REV!$C:$AA,16,0)-'TRADE IN'!$F54))</f>
        <v>7299</v>
      </c>
      <c r="S54" s="56">
        <f>IF(VLOOKUP($C54,REV!$C:$AA,17,0)-'TRADE IN'!$F54=0,"",(VLOOKUP($C54,REV!$C:$AA,17,0)-'TRADE IN'!$F54))</f>
        <v>7199</v>
      </c>
      <c r="T54" s="56">
        <f>IF(VLOOKUP($C54,REV!$C:$AA,18,0)-'TRADE IN'!$F54=0,"",(VLOOKUP($C54,REV!$C:$AA,18,0)-'TRADE IN'!$F54))</f>
        <v>6999</v>
      </c>
      <c r="U54" s="56">
        <f>IF(VLOOKUP($C54,REV!$C:$AA,19,0)-'TRADE IN'!$F54=0,"",(VLOOKUP($C54,REV!$C:$AA,19,0)-'TRADE IN'!$F54))</f>
        <v>6999</v>
      </c>
      <c r="V54" s="56">
        <f>IF(VLOOKUP($C54,REV!$C:$AA,20,0)-'TRADE IN'!$F54=0,"",(VLOOKUP($C54,REV!$C:$AA,20,0)-'TRADE IN'!$F54))</f>
        <v>6999</v>
      </c>
      <c r="W54" s="56">
        <f>IF(VLOOKUP($C54,REV!$C:$AA,21,0)-'TRADE IN'!$F54=0,"",(VLOOKUP($C54,REV!$C:$AA,21,0)-'TRADE IN'!$F54))</f>
        <v>6999</v>
      </c>
      <c r="X54" s="56">
        <f>IF(VLOOKUP($C54,REV!$C:$AA,22,0)-'TRADE IN'!$F54=0,"",(VLOOKUP($C54,REV!$C:$AA,22,0)-'TRADE IN'!$F54))</f>
        <v>6899</v>
      </c>
      <c r="Y54" s="56">
        <f>IF(VLOOKUP($C54,REV!$C:$AA,23,0)-'TRADE IN'!$F54=0,"",(VLOOKUP($C54,REV!$C:$AA,23,0)-'TRADE IN'!$F54))</f>
        <v>6499</v>
      </c>
      <c r="Z54" s="56">
        <f>IF(VLOOKUP($C54,REV!$C:$AA,24,0)-'TRADE IN'!$F54=0,"",(VLOOKUP($C54,REV!$C:$AA,24,0)-'TRADE IN'!$F54))</f>
        <v>6499</v>
      </c>
      <c r="AA54" s="56">
        <f>IF(VLOOKUP($C54,REV!$C:$AA,25,0)-'TRADE IN'!$F54=0,"",(VLOOKUP($C54,REV!$C:$AA,25,0)-'TRADE IN'!$F54))</f>
        <v>6499</v>
      </c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7"/>
      <c r="AW54" s="58" t="str">
        <f>REV!AW54</f>
        <v>03.11.2026</v>
      </c>
      <c r="AX54" s="147" t="str">
        <f>VLOOKUP(C54,REV!C:AX,48,0)</f>
        <v>5G</v>
      </c>
    </row>
    <row r="55" spans="1:50" ht="22.5" customHeight="1">
      <c r="A55" s="51" t="s">
        <v>63</v>
      </c>
      <c r="B55" s="52" t="s">
        <v>64</v>
      </c>
      <c r="C55" s="53">
        <v>4015788</v>
      </c>
      <c r="D55" s="54" t="s">
        <v>122</v>
      </c>
      <c r="E55" s="54" t="s">
        <v>125</v>
      </c>
      <c r="F55" s="55"/>
      <c r="G55" s="55"/>
      <c r="H55" s="56"/>
      <c r="I55" s="56"/>
      <c r="J55" s="56">
        <f>IF(VLOOKUP($C55,REV!$C:$AA,8,0)-'TRADE IN'!$F55=0,"",(VLOOKUP($C55,REV!$C:$AA,8,0)-'TRADE IN'!$F55))</f>
        <v>7399</v>
      </c>
      <c r="K55" s="56">
        <f>IF(VLOOKUP($C55,REV!$C:$AA,9,0)-'TRADE IN'!$F55=0,"",(VLOOKUP($C55,REV!$C:$AA,9,0)-'TRADE IN'!$F55))</f>
        <v>7399</v>
      </c>
      <c r="L55" s="56">
        <f>IF(VLOOKUP($C55,REV!$C:$AA,10,0)-'TRADE IN'!$F55=0,"",(VLOOKUP($C55,REV!$C:$AA,10,0)-'TRADE IN'!$F55))</f>
        <v>7399</v>
      </c>
      <c r="M55" s="56">
        <f>IF(VLOOKUP($C55,REV!$C:$AA,11,0)-'TRADE IN'!$F55=0,"",(VLOOKUP($C55,REV!$C:$AA,11,0)-'TRADE IN'!$F55))</f>
        <v>7399</v>
      </c>
      <c r="N55" s="56">
        <f>IF(VLOOKUP($C55,REV!$C:$AA,12,0)-'TRADE IN'!$F55=0,"",(VLOOKUP($C55,REV!$C:$AA,12,0)-'TRADE IN'!$F55))</f>
        <v>7399</v>
      </c>
      <c r="O55" s="56">
        <f>IF(VLOOKUP($C55,REV!$C:$AA,13,0)-'TRADE IN'!$F55=0,"",(VLOOKUP($C55,REV!$C:$AA,13,0)-'TRADE IN'!$F55))</f>
        <v>7299</v>
      </c>
      <c r="P55" s="56">
        <f>IF(VLOOKUP($C55,REV!$C:$AA,14,0)-'TRADE IN'!$F55=0,"",(VLOOKUP($C55,REV!$C:$AA,14,0)-'TRADE IN'!$F55))</f>
        <v>7199</v>
      </c>
      <c r="Q55" s="56">
        <f>IF(VLOOKUP($C55,REV!$C:$AA,15,0)-'TRADE IN'!$F55=0,"",(VLOOKUP($C55,REV!$C:$AA,15,0)-'TRADE IN'!$F55))</f>
        <v>6999</v>
      </c>
      <c r="R55" s="56">
        <f>IF(VLOOKUP($C55,REV!$C:$AA,16,0)-'TRADE IN'!$F55=0,"",(VLOOKUP($C55,REV!$C:$AA,16,0)-'TRADE IN'!$F55))</f>
        <v>7299</v>
      </c>
      <c r="S55" s="56">
        <f>IF(VLOOKUP($C55,REV!$C:$AA,17,0)-'TRADE IN'!$F55=0,"",(VLOOKUP($C55,REV!$C:$AA,17,0)-'TRADE IN'!$F55))</f>
        <v>7199</v>
      </c>
      <c r="T55" s="56">
        <f>IF(VLOOKUP($C55,REV!$C:$AA,18,0)-'TRADE IN'!$F55=0,"",(VLOOKUP($C55,REV!$C:$AA,18,0)-'TRADE IN'!$F55))</f>
        <v>6999</v>
      </c>
      <c r="U55" s="56">
        <f>IF(VLOOKUP($C55,REV!$C:$AA,19,0)-'TRADE IN'!$F55=0,"",(VLOOKUP($C55,REV!$C:$AA,19,0)-'TRADE IN'!$F55))</f>
        <v>6999</v>
      </c>
      <c r="V55" s="56">
        <f>IF(VLOOKUP($C55,REV!$C:$AA,20,0)-'TRADE IN'!$F55=0,"",(VLOOKUP($C55,REV!$C:$AA,20,0)-'TRADE IN'!$F55))</f>
        <v>6999</v>
      </c>
      <c r="W55" s="56">
        <f>IF(VLOOKUP($C55,REV!$C:$AA,21,0)-'TRADE IN'!$F55=0,"",(VLOOKUP($C55,REV!$C:$AA,21,0)-'TRADE IN'!$F55))</f>
        <v>6999</v>
      </c>
      <c r="X55" s="56">
        <f>IF(VLOOKUP($C55,REV!$C:$AA,22,0)-'TRADE IN'!$F55=0,"",(VLOOKUP($C55,REV!$C:$AA,22,0)-'TRADE IN'!$F55))</f>
        <v>6899</v>
      </c>
      <c r="Y55" s="56">
        <f>IF(VLOOKUP($C55,REV!$C:$AA,23,0)-'TRADE IN'!$F55=0,"",(VLOOKUP($C55,REV!$C:$AA,23,0)-'TRADE IN'!$F55))</f>
        <v>6499</v>
      </c>
      <c r="Z55" s="56">
        <f>IF(VLOOKUP($C55,REV!$C:$AA,24,0)-'TRADE IN'!$F55=0,"",(VLOOKUP($C55,REV!$C:$AA,24,0)-'TRADE IN'!$F55))</f>
        <v>6499</v>
      </c>
      <c r="AA55" s="56">
        <f>IF(VLOOKUP($C55,REV!$C:$AA,25,0)-'TRADE IN'!$F55=0,"",(VLOOKUP($C55,REV!$C:$AA,25,0)-'TRADE IN'!$F55))</f>
        <v>6499</v>
      </c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7"/>
      <c r="AW55" s="58" t="str">
        <f>REV!AW55</f>
        <v>03.11.2026</v>
      </c>
      <c r="AX55" s="147" t="str">
        <f>VLOOKUP(C55,REV!C:AX,48,0)</f>
        <v>5G</v>
      </c>
    </row>
    <row r="56" spans="1:50" ht="22.5" customHeight="1">
      <c r="A56" s="51" t="s">
        <v>63</v>
      </c>
      <c r="B56" s="52" t="s">
        <v>64</v>
      </c>
      <c r="C56" s="53">
        <v>4015763</v>
      </c>
      <c r="D56" s="54" t="s">
        <v>126</v>
      </c>
      <c r="E56" s="54" t="s">
        <v>127</v>
      </c>
      <c r="F56" s="55"/>
      <c r="G56" s="55"/>
      <c r="H56" s="56"/>
      <c r="I56" s="56"/>
      <c r="J56" s="56">
        <f>IF(VLOOKUP($C56,REV!$C:$AA,8,0)-'TRADE IN'!$F56=0,"",(VLOOKUP($C56,REV!$C:$AA,8,0)-'TRADE IN'!$F56))</f>
        <v>7899</v>
      </c>
      <c r="K56" s="56">
        <f>IF(VLOOKUP($C56,REV!$C:$AA,9,0)-'TRADE IN'!$F56=0,"",(VLOOKUP($C56,REV!$C:$AA,9,0)-'TRADE IN'!$F56))</f>
        <v>7899</v>
      </c>
      <c r="L56" s="56">
        <f>IF(VLOOKUP($C56,REV!$C:$AA,10,0)-'TRADE IN'!$F56=0,"",(VLOOKUP($C56,REV!$C:$AA,10,0)-'TRADE IN'!$F56))</f>
        <v>7899</v>
      </c>
      <c r="M56" s="56">
        <f>IF(VLOOKUP($C56,REV!$C:$AA,11,0)-'TRADE IN'!$F56=0,"",(VLOOKUP($C56,REV!$C:$AA,11,0)-'TRADE IN'!$F56))</f>
        <v>7899</v>
      </c>
      <c r="N56" s="56">
        <f>IF(VLOOKUP($C56,REV!$C:$AA,12,0)-'TRADE IN'!$F56=0,"",(VLOOKUP($C56,REV!$C:$AA,12,0)-'TRADE IN'!$F56))</f>
        <v>7899</v>
      </c>
      <c r="O56" s="56">
        <f>IF(VLOOKUP($C56,REV!$C:$AA,13,0)-'TRADE IN'!$F56=0,"",(VLOOKUP($C56,REV!$C:$AA,13,0)-'TRADE IN'!$F56))</f>
        <v>7799</v>
      </c>
      <c r="P56" s="56">
        <f>IF(VLOOKUP($C56,REV!$C:$AA,14,0)-'TRADE IN'!$F56=0,"",(VLOOKUP($C56,REV!$C:$AA,14,0)-'TRADE IN'!$F56))</f>
        <v>7699</v>
      </c>
      <c r="Q56" s="56">
        <f>IF(VLOOKUP($C56,REV!$C:$AA,15,0)-'TRADE IN'!$F56=0,"",(VLOOKUP($C56,REV!$C:$AA,15,0)-'TRADE IN'!$F56))</f>
        <v>7499</v>
      </c>
      <c r="R56" s="56">
        <f>IF(VLOOKUP($C56,REV!$C:$AA,16,0)-'TRADE IN'!$F56=0,"",(VLOOKUP($C56,REV!$C:$AA,16,0)-'TRADE IN'!$F56))</f>
        <v>7799</v>
      </c>
      <c r="S56" s="56">
        <f>IF(VLOOKUP($C56,REV!$C:$AA,17,0)-'TRADE IN'!$F56=0,"",(VLOOKUP($C56,REV!$C:$AA,17,0)-'TRADE IN'!$F56))</f>
        <v>7699</v>
      </c>
      <c r="T56" s="56">
        <f>IF(VLOOKUP($C56,REV!$C:$AA,18,0)-'TRADE IN'!$F56=0,"",(VLOOKUP($C56,REV!$C:$AA,18,0)-'TRADE IN'!$F56))</f>
        <v>7499</v>
      </c>
      <c r="U56" s="56">
        <f>IF(VLOOKUP($C56,REV!$C:$AA,19,0)-'TRADE IN'!$F56=0,"",(VLOOKUP($C56,REV!$C:$AA,19,0)-'TRADE IN'!$F56))</f>
        <v>7499</v>
      </c>
      <c r="V56" s="56">
        <f>IF(VLOOKUP($C56,REV!$C:$AA,20,0)-'TRADE IN'!$F56=0,"",(VLOOKUP($C56,REV!$C:$AA,20,0)-'TRADE IN'!$F56))</f>
        <v>7499</v>
      </c>
      <c r="W56" s="56">
        <f>IF(VLOOKUP($C56,REV!$C:$AA,21,0)-'TRADE IN'!$F56=0,"",(VLOOKUP($C56,REV!$C:$AA,21,0)-'TRADE IN'!$F56))</f>
        <v>7499</v>
      </c>
      <c r="X56" s="56">
        <f>IF(VLOOKUP($C56,REV!$C:$AA,22,0)-'TRADE IN'!$F56=0,"",(VLOOKUP($C56,REV!$C:$AA,22,0)-'TRADE IN'!$F56))</f>
        <v>7399</v>
      </c>
      <c r="Y56" s="56">
        <f>IF(VLOOKUP($C56,REV!$C:$AA,23,0)-'TRADE IN'!$F56=0,"",(VLOOKUP($C56,REV!$C:$AA,23,0)-'TRADE IN'!$F56))</f>
        <v>6999</v>
      </c>
      <c r="Z56" s="56">
        <f>IF(VLOOKUP($C56,REV!$C:$AA,24,0)-'TRADE IN'!$F56=0,"",(VLOOKUP($C56,REV!$C:$AA,24,0)-'TRADE IN'!$F56))</f>
        <v>6999</v>
      </c>
      <c r="AA56" s="56">
        <f>IF(VLOOKUP($C56,REV!$C:$AA,25,0)-'TRADE IN'!$F56=0,"",(VLOOKUP($C56,REV!$C:$AA,25,0)-'TRADE IN'!$F56))</f>
        <v>6999</v>
      </c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7"/>
      <c r="AW56" s="58" t="str">
        <f>REV!AW56</f>
        <v>03.11.2026</v>
      </c>
      <c r="AX56" s="147" t="str">
        <f>VLOOKUP(C56,REV!C:AX,48,0)</f>
        <v>5G</v>
      </c>
    </row>
    <row r="57" spans="1:50" ht="22.5" customHeight="1">
      <c r="A57" s="51" t="s">
        <v>63</v>
      </c>
      <c r="B57" s="52" t="s">
        <v>64</v>
      </c>
      <c r="C57" s="53">
        <v>4015779</v>
      </c>
      <c r="D57" s="54" t="s">
        <v>126</v>
      </c>
      <c r="E57" s="54" t="s">
        <v>128</v>
      </c>
      <c r="F57" s="55"/>
      <c r="G57" s="55"/>
      <c r="H57" s="56"/>
      <c r="I57" s="56"/>
      <c r="J57" s="56">
        <f>IF(VLOOKUP($C57,REV!$C:$AA,8,0)-'TRADE IN'!$F57=0,"",(VLOOKUP($C57,REV!$C:$AA,8,0)-'TRADE IN'!$F57))</f>
        <v>7899</v>
      </c>
      <c r="K57" s="56">
        <f>IF(VLOOKUP($C57,REV!$C:$AA,9,0)-'TRADE IN'!$F57=0,"",(VLOOKUP($C57,REV!$C:$AA,9,0)-'TRADE IN'!$F57))</f>
        <v>7899</v>
      </c>
      <c r="L57" s="56">
        <f>IF(VLOOKUP($C57,REV!$C:$AA,10,0)-'TRADE IN'!$F57=0,"",(VLOOKUP($C57,REV!$C:$AA,10,0)-'TRADE IN'!$F57))</f>
        <v>7899</v>
      </c>
      <c r="M57" s="56">
        <f>IF(VLOOKUP($C57,REV!$C:$AA,11,0)-'TRADE IN'!$F57=0,"",(VLOOKUP($C57,REV!$C:$AA,11,0)-'TRADE IN'!$F57))</f>
        <v>7899</v>
      </c>
      <c r="N57" s="56">
        <f>IF(VLOOKUP($C57,REV!$C:$AA,12,0)-'TRADE IN'!$F57=0,"",(VLOOKUP($C57,REV!$C:$AA,12,0)-'TRADE IN'!$F57))</f>
        <v>7899</v>
      </c>
      <c r="O57" s="56">
        <f>IF(VLOOKUP($C57,REV!$C:$AA,13,0)-'TRADE IN'!$F57=0,"",(VLOOKUP($C57,REV!$C:$AA,13,0)-'TRADE IN'!$F57))</f>
        <v>7799</v>
      </c>
      <c r="P57" s="56">
        <f>IF(VLOOKUP($C57,REV!$C:$AA,14,0)-'TRADE IN'!$F57=0,"",(VLOOKUP($C57,REV!$C:$AA,14,0)-'TRADE IN'!$F57))</f>
        <v>7699</v>
      </c>
      <c r="Q57" s="56">
        <f>IF(VLOOKUP($C57,REV!$C:$AA,15,0)-'TRADE IN'!$F57=0,"",(VLOOKUP($C57,REV!$C:$AA,15,0)-'TRADE IN'!$F57))</f>
        <v>7499</v>
      </c>
      <c r="R57" s="56">
        <f>IF(VLOOKUP($C57,REV!$C:$AA,16,0)-'TRADE IN'!$F57=0,"",(VLOOKUP($C57,REV!$C:$AA,16,0)-'TRADE IN'!$F57))</f>
        <v>7799</v>
      </c>
      <c r="S57" s="56">
        <f>IF(VLOOKUP($C57,REV!$C:$AA,17,0)-'TRADE IN'!$F57=0,"",(VLOOKUP($C57,REV!$C:$AA,17,0)-'TRADE IN'!$F57))</f>
        <v>7699</v>
      </c>
      <c r="T57" s="56">
        <f>IF(VLOOKUP($C57,REV!$C:$AA,18,0)-'TRADE IN'!$F57=0,"",(VLOOKUP($C57,REV!$C:$AA,18,0)-'TRADE IN'!$F57))</f>
        <v>7499</v>
      </c>
      <c r="U57" s="56">
        <f>IF(VLOOKUP($C57,REV!$C:$AA,19,0)-'TRADE IN'!$F57=0,"",(VLOOKUP($C57,REV!$C:$AA,19,0)-'TRADE IN'!$F57))</f>
        <v>7499</v>
      </c>
      <c r="V57" s="56">
        <f>IF(VLOOKUP($C57,REV!$C:$AA,20,0)-'TRADE IN'!$F57=0,"",(VLOOKUP($C57,REV!$C:$AA,20,0)-'TRADE IN'!$F57))</f>
        <v>7499</v>
      </c>
      <c r="W57" s="56">
        <f>IF(VLOOKUP($C57,REV!$C:$AA,21,0)-'TRADE IN'!$F57=0,"",(VLOOKUP($C57,REV!$C:$AA,21,0)-'TRADE IN'!$F57))</f>
        <v>7499</v>
      </c>
      <c r="X57" s="56">
        <f>IF(VLOOKUP($C57,REV!$C:$AA,22,0)-'TRADE IN'!$F57=0,"",(VLOOKUP($C57,REV!$C:$AA,22,0)-'TRADE IN'!$F57))</f>
        <v>7399</v>
      </c>
      <c r="Y57" s="56">
        <f>IF(VLOOKUP($C57,REV!$C:$AA,23,0)-'TRADE IN'!$F57=0,"",(VLOOKUP($C57,REV!$C:$AA,23,0)-'TRADE IN'!$F57))</f>
        <v>6999</v>
      </c>
      <c r="Z57" s="56">
        <f>IF(VLOOKUP($C57,REV!$C:$AA,24,0)-'TRADE IN'!$F57=0,"",(VLOOKUP($C57,REV!$C:$AA,24,0)-'TRADE IN'!$F57))</f>
        <v>6999</v>
      </c>
      <c r="AA57" s="56">
        <f>IF(VLOOKUP($C57,REV!$C:$AA,25,0)-'TRADE IN'!$F57=0,"",(VLOOKUP($C57,REV!$C:$AA,25,0)-'TRADE IN'!$F57))</f>
        <v>6999</v>
      </c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7"/>
      <c r="AW57" s="58" t="str">
        <f>REV!AW57</f>
        <v>03.11.2026</v>
      </c>
      <c r="AX57" s="147" t="str">
        <f>VLOOKUP(C57,REV!C:AX,48,0)</f>
        <v>5G</v>
      </c>
    </row>
    <row r="58" spans="1:50" ht="22.5" customHeight="1">
      <c r="A58" s="51" t="s">
        <v>63</v>
      </c>
      <c r="B58" s="52" t="s">
        <v>64</v>
      </c>
      <c r="C58" s="53">
        <v>4015793</v>
      </c>
      <c r="D58" s="54" t="s">
        <v>126</v>
      </c>
      <c r="E58" s="54" t="s">
        <v>129</v>
      </c>
      <c r="F58" s="55"/>
      <c r="G58" s="55"/>
      <c r="H58" s="56"/>
      <c r="I58" s="56"/>
      <c r="J58" s="56">
        <f>IF(VLOOKUP($C58,REV!$C:$AA,8,0)-'TRADE IN'!$F58=0,"",(VLOOKUP($C58,REV!$C:$AA,8,0)-'TRADE IN'!$F58))</f>
        <v>7899</v>
      </c>
      <c r="K58" s="56">
        <f>IF(VLOOKUP($C58,REV!$C:$AA,9,0)-'TRADE IN'!$F58=0,"",(VLOOKUP($C58,REV!$C:$AA,9,0)-'TRADE IN'!$F58))</f>
        <v>7899</v>
      </c>
      <c r="L58" s="56">
        <f>IF(VLOOKUP($C58,REV!$C:$AA,10,0)-'TRADE IN'!$F58=0,"",(VLOOKUP($C58,REV!$C:$AA,10,0)-'TRADE IN'!$F58))</f>
        <v>7899</v>
      </c>
      <c r="M58" s="56">
        <f>IF(VLOOKUP($C58,REV!$C:$AA,11,0)-'TRADE IN'!$F58=0,"",(VLOOKUP($C58,REV!$C:$AA,11,0)-'TRADE IN'!$F58))</f>
        <v>7899</v>
      </c>
      <c r="N58" s="56">
        <f>IF(VLOOKUP($C58,REV!$C:$AA,12,0)-'TRADE IN'!$F58=0,"",(VLOOKUP($C58,REV!$C:$AA,12,0)-'TRADE IN'!$F58))</f>
        <v>7899</v>
      </c>
      <c r="O58" s="56">
        <f>IF(VLOOKUP($C58,REV!$C:$AA,13,0)-'TRADE IN'!$F58=0,"",(VLOOKUP($C58,REV!$C:$AA,13,0)-'TRADE IN'!$F58))</f>
        <v>7799</v>
      </c>
      <c r="P58" s="56">
        <f>IF(VLOOKUP($C58,REV!$C:$AA,14,0)-'TRADE IN'!$F58=0,"",(VLOOKUP($C58,REV!$C:$AA,14,0)-'TRADE IN'!$F58))</f>
        <v>7699</v>
      </c>
      <c r="Q58" s="56">
        <f>IF(VLOOKUP($C58,REV!$C:$AA,15,0)-'TRADE IN'!$F58=0,"",(VLOOKUP($C58,REV!$C:$AA,15,0)-'TRADE IN'!$F58))</f>
        <v>7499</v>
      </c>
      <c r="R58" s="56">
        <f>IF(VLOOKUP($C58,REV!$C:$AA,16,0)-'TRADE IN'!$F58=0,"",(VLOOKUP($C58,REV!$C:$AA,16,0)-'TRADE IN'!$F58))</f>
        <v>7799</v>
      </c>
      <c r="S58" s="56">
        <f>IF(VLOOKUP($C58,REV!$C:$AA,17,0)-'TRADE IN'!$F58=0,"",(VLOOKUP($C58,REV!$C:$AA,17,0)-'TRADE IN'!$F58))</f>
        <v>7699</v>
      </c>
      <c r="T58" s="56">
        <f>IF(VLOOKUP($C58,REV!$C:$AA,18,0)-'TRADE IN'!$F58=0,"",(VLOOKUP($C58,REV!$C:$AA,18,0)-'TRADE IN'!$F58))</f>
        <v>7499</v>
      </c>
      <c r="U58" s="56">
        <f>IF(VLOOKUP($C58,REV!$C:$AA,19,0)-'TRADE IN'!$F58=0,"",(VLOOKUP($C58,REV!$C:$AA,19,0)-'TRADE IN'!$F58))</f>
        <v>7499</v>
      </c>
      <c r="V58" s="56">
        <f>IF(VLOOKUP($C58,REV!$C:$AA,20,0)-'TRADE IN'!$F58=0,"",(VLOOKUP($C58,REV!$C:$AA,20,0)-'TRADE IN'!$F58))</f>
        <v>7499</v>
      </c>
      <c r="W58" s="56">
        <f>IF(VLOOKUP($C58,REV!$C:$AA,21,0)-'TRADE IN'!$F58=0,"",(VLOOKUP($C58,REV!$C:$AA,21,0)-'TRADE IN'!$F58))</f>
        <v>7499</v>
      </c>
      <c r="X58" s="56">
        <f>IF(VLOOKUP($C58,REV!$C:$AA,22,0)-'TRADE IN'!$F58=0,"",(VLOOKUP($C58,REV!$C:$AA,22,0)-'TRADE IN'!$F58))</f>
        <v>7399</v>
      </c>
      <c r="Y58" s="56">
        <f>IF(VLOOKUP($C58,REV!$C:$AA,23,0)-'TRADE IN'!$F58=0,"",(VLOOKUP($C58,REV!$C:$AA,23,0)-'TRADE IN'!$F58))</f>
        <v>6999</v>
      </c>
      <c r="Z58" s="56">
        <f>IF(VLOOKUP($C58,REV!$C:$AA,24,0)-'TRADE IN'!$F58=0,"",(VLOOKUP($C58,REV!$C:$AA,24,0)-'TRADE IN'!$F58))</f>
        <v>6999</v>
      </c>
      <c r="AA58" s="56">
        <f>IF(VLOOKUP($C58,REV!$C:$AA,25,0)-'TRADE IN'!$F58=0,"",(VLOOKUP($C58,REV!$C:$AA,25,0)-'TRADE IN'!$F58))</f>
        <v>6999</v>
      </c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7"/>
      <c r="AW58" s="58" t="str">
        <f>REV!AW58</f>
        <v>03.11.2026</v>
      </c>
      <c r="AX58" s="147" t="str">
        <f>VLOOKUP(C58,REV!C:AX,48,0)</f>
        <v>5G</v>
      </c>
    </row>
    <row r="59" spans="1:50" ht="22.5" customHeight="1">
      <c r="A59" s="51" t="s">
        <v>63</v>
      </c>
      <c r="B59" s="52" t="s">
        <v>64</v>
      </c>
      <c r="C59" s="53">
        <v>4016678</v>
      </c>
      <c r="D59" s="54" t="s">
        <v>130</v>
      </c>
      <c r="E59" s="54" t="s">
        <v>131</v>
      </c>
      <c r="F59" s="55"/>
      <c r="G59" s="55"/>
      <c r="H59" s="56"/>
      <c r="I59" s="56"/>
      <c r="J59" s="56">
        <f>IF(VLOOKUP($C59,REV!$C:$AA,8,0)-'TRADE IN'!$F59=0,"",(VLOOKUP($C59,REV!$C:$AA,8,0)-'TRADE IN'!$F59))</f>
        <v>5799</v>
      </c>
      <c r="K59" s="56">
        <f>IF(VLOOKUP($C59,REV!$C:$AA,9,0)-'TRADE IN'!$F59=0,"",(VLOOKUP($C59,REV!$C:$AA,9,0)-'TRADE IN'!$F59))</f>
        <v>5799</v>
      </c>
      <c r="L59" s="56">
        <f>IF(VLOOKUP($C59,REV!$C:$AA,10,0)-'TRADE IN'!$F59=0,"",(VLOOKUP($C59,REV!$C:$AA,10,0)-'TRADE IN'!$F59))</f>
        <v>5799</v>
      </c>
      <c r="M59" s="56">
        <f>IF(VLOOKUP($C59,REV!$C:$AA,11,0)-'TRADE IN'!$F59=0,"",(VLOOKUP($C59,REV!$C:$AA,11,0)-'TRADE IN'!$F59))</f>
        <v>5799</v>
      </c>
      <c r="N59" s="56">
        <f>IF(VLOOKUP($C59,REV!$C:$AA,12,0)-'TRADE IN'!$F59=0,"",(VLOOKUP($C59,REV!$C:$AA,12,0)-'TRADE IN'!$F59))</f>
        <v>5799</v>
      </c>
      <c r="O59" s="56">
        <f>IF(VLOOKUP($C59,REV!$C:$AA,13,0)-'TRADE IN'!$F59=0,"",(VLOOKUP($C59,REV!$C:$AA,13,0)-'TRADE IN'!$F59))</f>
        <v>5299</v>
      </c>
      <c r="P59" s="56">
        <f>IF(VLOOKUP($C59,REV!$C:$AA,14,0)-'TRADE IN'!$F59=0,"",(VLOOKUP($C59,REV!$C:$AA,14,0)-'TRADE IN'!$F59))</f>
        <v>5199</v>
      </c>
      <c r="Q59" s="56">
        <f>IF(VLOOKUP($C59,REV!$C:$AA,15,0)-'TRADE IN'!$F59=0,"",(VLOOKUP($C59,REV!$C:$AA,15,0)-'TRADE IN'!$F59))</f>
        <v>4999</v>
      </c>
      <c r="R59" s="56">
        <f>IF(VLOOKUP($C59,REV!$C:$AA,16,0)-'TRADE IN'!$F59=0,"",(VLOOKUP($C59,REV!$C:$AA,16,0)-'TRADE IN'!$F59))</f>
        <v>5299</v>
      </c>
      <c r="S59" s="56">
        <f>IF(VLOOKUP($C59,REV!$C:$AA,17,0)-'TRADE IN'!$F59=0,"",(VLOOKUP($C59,REV!$C:$AA,17,0)-'TRADE IN'!$F59))</f>
        <v>5199</v>
      </c>
      <c r="T59" s="56">
        <f>IF(VLOOKUP($C59,REV!$C:$AA,18,0)-'TRADE IN'!$F59=0,"",(VLOOKUP($C59,REV!$C:$AA,18,0)-'TRADE IN'!$F59))</f>
        <v>4999</v>
      </c>
      <c r="U59" s="56">
        <f>IF(VLOOKUP($C59,REV!$C:$AA,19,0)-'TRADE IN'!$F59=0,"",(VLOOKUP($C59,REV!$C:$AA,19,0)-'TRADE IN'!$F59))</f>
        <v>4999</v>
      </c>
      <c r="V59" s="56">
        <f>IF(VLOOKUP($C59,REV!$C:$AA,20,0)-'TRADE IN'!$F59=0,"",(VLOOKUP($C59,REV!$C:$AA,20,0)-'TRADE IN'!$F59))</f>
        <v>4999</v>
      </c>
      <c r="W59" s="56">
        <f>IF(VLOOKUP($C59,REV!$C:$AA,21,0)-'TRADE IN'!$F59=0,"",(VLOOKUP($C59,REV!$C:$AA,21,0)-'TRADE IN'!$F59))</f>
        <v>4999</v>
      </c>
      <c r="X59" s="56">
        <f>IF(VLOOKUP($C59,REV!$C:$AA,22,0)-'TRADE IN'!$F59=0,"",(VLOOKUP($C59,REV!$C:$AA,22,0)-'TRADE IN'!$F59))</f>
        <v>4899</v>
      </c>
      <c r="Y59" s="56">
        <f>IF(VLOOKUP($C59,REV!$C:$AA,23,0)-'TRADE IN'!$F59=0,"",(VLOOKUP($C59,REV!$C:$AA,23,0)-'TRADE IN'!$F59))</f>
        <v>3999</v>
      </c>
      <c r="Z59" s="56">
        <f>IF(VLOOKUP($C59,REV!$C:$AA,24,0)-'TRADE IN'!$F59=0,"",(VLOOKUP($C59,REV!$C:$AA,24,0)-'TRADE IN'!$F59))</f>
        <v>3999</v>
      </c>
      <c r="AA59" s="56">
        <f>IF(VLOOKUP($C59,REV!$C:$AA,25,0)-'TRADE IN'!$F59=0,"",(VLOOKUP($C59,REV!$C:$AA,25,0)-'TRADE IN'!$F59))</f>
        <v>3999</v>
      </c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7"/>
      <c r="AW59" s="58" t="str">
        <f>REV!AW59</f>
        <v>03.11.2026</v>
      </c>
      <c r="AX59" s="147" t="str">
        <f>VLOOKUP(C59,REV!C:AX,48,0)</f>
        <v>5G</v>
      </c>
    </row>
    <row r="60" spans="1:50" ht="22.5" customHeight="1">
      <c r="A60" s="51" t="s">
        <v>63</v>
      </c>
      <c r="B60" s="52" t="s">
        <v>64</v>
      </c>
      <c r="C60" s="53">
        <v>4016486</v>
      </c>
      <c r="D60" s="54" t="s">
        <v>130</v>
      </c>
      <c r="E60" s="54" t="s">
        <v>132</v>
      </c>
      <c r="F60" s="55"/>
      <c r="G60" s="55"/>
      <c r="H60" s="56"/>
      <c r="I60" s="56"/>
      <c r="J60" s="56">
        <f>IF(VLOOKUP($C60,REV!$C:$AA,8,0)-'TRADE IN'!$F60=0,"",(VLOOKUP($C60,REV!$C:$AA,8,0)-'TRADE IN'!$F60))</f>
        <v>5799</v>
      </c>
      <c r="K60" s="56">
        <f>IF(VLOOKUP($C60,REV!$C:$AA,9,0)-'TRADE IN'!$F60=0,"",(VLOOKUP($C60,REV!$C:$AA,9,0)-'TRADE IN'!$F60))</f>
        <v>5799</v>
      </c>
      <c r="L60" s="56">
        <f>IF(VLOOKUP($C60,REV!$C:$AA,10,0)-'TRADE IN'!$F60=0,"",(VLOOKUP($C60,REV!$C:$AA,10,0)-'TRADE IN'!$F60))</f>
        <v>5799</v>
      </c>
      <c r="M60" s="56">
        <f>IF(VLOOKUP($C60,REV!$C:$AA,11,0)-'TRADE IN'!$F60=0,"",(VLOOKUP($C60,REV!$C:$AA,11,0)-'TRADE IN'!$F60))</f>
        <v>5799</v>
      </c>
      <c r="N60" s="56">
        <f>IF(VLOOKUP($C60,REV!$C:$AA,12,0)-'TRADE IN'!$F60=0,"",(VLOOKUP($C60,REV!$C:$AA,12,0)-'TRADE IN'!$F60))</f>
        <v>5799</v>
      </c>
      <c r="O60" s="56">
        <f>IF(VLOOKUP($C60,REV!$C:$AA,13,0)-'TRADE IN'!$F60=0,"",(VLOOKUP($C60,REV!$C:$AA,13,0)-'TRADE IN'!$F60))</f>
        <v>5299</v>
      </c>
      <c r="P60" s="56">
        <f>IF(VLOOKUP($C60,REV!$C:$AA,14,0)-'TRADE IN'!$F60=0,"",(VLOOKUP($C60,REV!$C:$AA,14,0)-'TRADE IN'!$F60))</f>
        <v>5199</v>
      </c>
      <c r="Q60" s="56">
        <f>IF(VLOOKUP($C60,REV!$C:$AA,15,0)-'TRADE IN'!$F60=0,"",(VLOOKUP($C60,REV!$C:$AA,15,0)-'TRADE IN'!$F60))</f>
        <v>4999</v>
      </c>
      <c r="R60" s="56">
        <f>IF(VLOOKUP($C60,REV!$C:$AA,16,0)-'TRADE IN'!$F60=0,"",(VLOOKUP($C60,REV!$C:$AA,16,0)-'TRADE IN'!$F60))</f>
        <v>5299</v>
      </c>
      <c r="S60" s="56">
        <f>IF(VLOOKUP($C60,REV!$C:$AA,17,0)-'TRADE IN'!$F60=0,"",(VLOOKUP($C60,REV!$C:$AA,17,0)-'TRADE IN'!$F60))</f>
        <v>5199</v>
      </c>
      <c r="T60" s="56">
        <f>IF(VLOOKUP($C60,REV!$C:$AA,18,0)-'TRADE IN'!$F60=0,"",(VLOOKUP($C60,REV!$C:$AA,18,0)-'TRADE IN'!$F60))</f>
        <v>4999</v>
      </c>
      <c r="U60" s="56">
        <f>IF(VLOOKUP($C60,REV!$C:$AA,19,0)-'TRADE IN'!$F60=0,"",(VLOOKUP($C60,REV!$C:$AA,19,0)-'TRADE IN'!$F60))</f>
        <v>4999</v>
      </c>
      <c r="V60" s="56">
        <f>IF(VLOOKUP($C60,REV!$C:$AA,20,0)-'TRADE IN'!$F60=0,"",(VLOOKUP($C60,REV!$C:$AA,20,0)-'TRADE IN'!$F60))</f>
        <v>4999</v>
      </c>
      <c r="W60" s="56">
        <f>IF(VLOOKUP($C60,REV!$C:$AA,21,0)-'TRADE IN'!$F60=0,"",(VLOOKUP($C60,REV!$C:$AA,21,0)-'TRADE IN'!$F60))</f>
        <v>4999</v>
      </c>
      <c r="X60" s="56">
        <f>IF(VLOOKUP($C60,REV!$C:$AA,22,0)-'TRADE IN'!$F60=0,"",(VLOOKUP($C60,REV!$C:$AA,22,0)-'TRADE IN'!$F60))</f>
        <v>4899</v>
      </c>
      <c r="Y60" s="56">
        <f>IF(VLOOKUP($C60,REV!$C:$AA,23,0)-'TRADE IN'!$F60=0,"",(VLOOKUP($C60,REV!$C:$AA,23,0)-'TRADE IN'!$F60))</f>
        <v>3999</v>
      </c>
      <c r="Z60" s="56">
        <f>IF(VLOOKUP($C60,REV!$C:$AA,24,0)-'TRADE IN'!$F60=0,"",(VLOOKUP($C60,REV!$C:$AA,24,0)-'TRADE IN'!$F60))</f>
        <v>3999</v>
      </c>
      <c r="AA60" s="56">
        <f>IF(VLOOKUP($C60,REV!$C:$AA,25,0)-'TRADE IN'!$F60=0,"",(VLOOKUP($C60,REV!$C:$AA,25,0)-'TRADE IN'!$F60))</f>
        <v>3999</v>
      </c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7"/>
      <c r="AW60" s="58" t="str">
        <f>REV!AW60</f>
        <v>03.11.2026</v>
      </c>
      <c r="AX60" s="147" t="str">
        <f>VLOOKUP(C60,REV!C:AX,48,0)</f>
        <v>5G</v>
      </c>
    </row>
    <row r="61" spans="1:50" ht="22.5" customHeight="1">
      <c r="A61" s="51" t="s">
        <v>63</v>
      </c>
      <c r="B61" s="52" t="s">
        <v>64</v>
      </c>
      <c r="C61" s="53">
        <v>4016599</v>
      </c>
      <c r="D61" s="54" t="s">
        <v>130</v>
      </c>
      <c r="E61" s="54" t="s">
        <v>133</v>
      </c>
      <c r="F61" s="55"/>
      <c r="G61" s="55"/>
      <c r="H61" s="56"/>
      <c r="I61" s="56"/>
      <c r="J61" s="56">
        <f>IF(VLOOKUP($C61,REV!$C:$AA,8,0)-'TRADE IN'!$F61=0,"",(VLOOKUP($C61,REV!$C:$AA,8,0)-'TRADE IN'!$F61))</f>
        <v>5799</v>
      </c>
      <c r="K61" s="56">
        <f>IF(VLOOKUP($C61,REV!$C:$AA,9,0)-'TRADE IN'!$F61=0,"",(VLOOKUP($C61,REV!$C:$AA,9,0)-'TRADE IN'!$F61))</f>
        <v>5799</v>
      </c>
      <c r="L61" s="56">
        <f>IF(VLOOKUP($C61,REV!$C:$AA,10,0)-'TRADE IN'!$F61=0,"",(VLOOKUP($C61,REV!$C:$AA,10,0)-'TRADE IN'!$F61))</f>
        <v>5799</v>
      </c>
      <c r="M61" s="56">
        <f>IF(VLOOKUP($C61,REV!$C:$AA,11,0)-'TRADE IN'!$F61=0,"",(VLOOKUP($C61,REV!$C:$AA,11,0)-'TRADE IN'!$F61))</f>
        <v>5799</v>
      </c>
      <c r="N61" s="56">
        <f>IF(VLOOKUP($C61,REV!$C:$AA,12,0)-'TRADE IN'!$F61=0,"",(VLOOKUP($C61,REV!$C:$AA,12,0)-'TRADE IN'!$F61))</f>
        <v>5799</v>
      </c>
      <c r="O61" s="56">
        <f>IF(VLOOKUP($C61,REV!$C:$AA,13,0)-'TRADE IN'!$F61=0,"",(VLOOKUP($C61,REV!$C:$AA,13,0)-'TRADE IN'!$F61))</f>
        <v>5299</v>
      </c>
      <c r="P61" s="56">
        <f>IF(VLOOKUP($C61,REV!$C:$AA,14,0)-'TRADE IN'!$F61=0,"",(VLOOKUP($C61,REV!$C:$AA,14,0)-'TRADE IN'!$F61))</f>
        <v>5199</v>
      </c>
      <c r="Q61" s="56">
        <f>IF(VLOOKUP($C61,REV!$C:$AA,15,0)-'TRADE IN'!$F61=0,"",(VLOOKUP($C61,REV!$C:$AA,15,0)-'TRADE IN'!$F61))</f>
        <v>4999</v>
      </c>
      <c r="R61" s="56">
        <f>IF(VLOOKUP($C61,REV!$C:$AA,16,0)-'TRADE IN'!$F61=0,"",(VLOOKUP($C61,REV!$C:$AA,16,0)-'TRADE IN'!$F61))</f>
        <v>5299</v>
      </c>
      <c r="S61" s="56">
        <f>IF(VLOOKUP($C61,REV!$C:$AA,17,0)-'TRADE IN'!$F61=0,"",(VLOOKUP($C61,REV!$C:$AA,17,0)-'TRADE IN'!$F61))</f>
        <v>5199</v>
      </c>
      <c r="T61" s="56">
        <f>IF(VLOOKUP($C61,REV!$C:$AA,18,0)-'TRADE IN'!$F61=0,"",(VLOOKUP($C61,REV!$C:$AA,18,0)-'TRADE IN'!$F61))</f>
        <v>4999</v>
      </c>
      <c r="U61" s="56">
        <f>IF(VLOOKUP($C61,REV!$C:$AA,19,0)-'TRADE IN'!$F61=0,"",(VLOOKUP($C61,REV!$C:$AA,19,0)-'TRADE IN'!$F61))</f>
        <v>4999</v>
      </c>
      <c r="V61" s="56">
        <f>IF(VLOOKUP($C61,REV!$C:$AA,20,0)-'TRADE IN'!$F61=0,"",(VLOOKUP($C61,REV!$C:$AA,20,0)-'TRADE IN'!$F61))</f>
        <v>4999</v>
      </c>
      <c r="W61" s="56">
        <f>IF(VLOOKUP($C61,REV!$C:$AA,21,0)-'TRADE IN'!$F61=0,"",(VLOOKUP($C61,REV!$C:$AA,21,0)-'TRADE IN'!$F61))</f>
        <v>4999</v>
      </c>
      <c r="X61" s="56">
        <f>IF(VLOOKUP($C61,REV!$C:$AA,22,0)-'TRADE IN'!$F61=0,"",(VLOOKUP($C61,REV!$C:$AA,22,0)-'TRADE IN'!$F61))</f>
        <v>4899</v>
      </c>
      <c r="Y61" s="56">
        <f>IF(VLOOKUP($C61,REV!$C:$AA,23,0)-'TRADE IN'!$F61=0,"",(VLOOKUP($C61,REV!$C:$AA,23,0)-'TRADE IN'!$F61))</f>
        <v>3999</v>
      </c>
      <c r="Z61" s="56">
        <f>IF(VLOOKUP($C61,REV!$C:$AA,24,0)-'TRADE IN'!$F61=0,"",(VLOOKUP($C61,REV!$C:$AA,24,0)-'TRADE IN'!$F61))</f>
        <v>3999</v>
      </c>
      <c r="AA61" s="56">
        <f>IF(VLOOKUP($C61,REV!$C:$AA,25,0)-'TRADE IN'!$F61=0,"",(VLOOKUP($C61,REV!$C:$AA,25,0)-'TRADE IN'!$F61))</f>
        <v>3999</v>
      </c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7"/>
      <c r="AW61" s="58" t="str">
        <f>REV!AW61</f>
        <v>03.11.2026</v>
      </c>
      <c r="AX61" s="147" t="str">
        <f>VLOOKUP(C61,REV!C:AX,48,0)</f>
        <v>5G</v>
      </c>
    </row>
    <row r="62" spans="1:50" ht="22.5" customHeight="1">
      <c r="A62" s="51" t="s">
        <v>63</v>
      </c>
      <c r="B62" s="52" t="s">
        <v>64</v>
      </c>
      <c r="C62" s="53">
        <v>4016672</v>
      </c>
      <c r="D62" s="54" t="s">
        <v>130</v>
      </c>
      <c r="E62" s="54" t="s">
        <v>134</v>
      </c>
      <c r="F62" s="55"/>
      <c r="G62" s="55"/>
      <c r="H62" s="56"/>
      <c r="I62" s="56"/>
      <c r="J62" s="56">
        <f>IF(VLOOKUP($C62,REV!$C:$AA,8,0)-'TRADE IN'!$F62=0,"",(VLOOKUP($C62,REV!$C:$AA,8,0)-'TRADE IN'!$F62))</f>
        <v>5799</v>
      </c>
      <c r="K62" s="56">
        <f>IF(VLOOKUP($C62,REV!$C:$AA,9,0)-'TRADE IN'!$F62=0,"",(VLOOKUP($C62,REV!$C:$AA,9,0)-'TRADE IN'!$F62))</f>
        <v>5799</v>
      </c>
      <c r="L62" s="56">
        <f>IF(VLOOKUP($C62,REV!$C:$AA,10,0)-'TRADE IN'!$F62=0,"",(VLOOKUP($C62,REV!$C:$AA,10,0)-'TRADE IN'!$F62))</f>
        <v>5799</v>
      </c>
      <c r="M62" s="56">
        <f>IF(VLOOKUP($C62,REV!$C:$AA,11,0)-'TRADE IN'!$F62=0,"",(VLOOKUP($C62,REV!$C:$AA,11,0)-'TRADE IN'!$F62))</f>
        <v>5799</v>
      </c>
      <c r="N62" s="56">
        <f>IF(VLOOKUP($C62,REV!$C:$AA,12,0)-'TRADE IN'!$F62=0,"",(VLOOKUP($C62,REV!$C:$AA,12,0)-'TRADE IN'!$F62))</f>
        <v>5799</v>
      </c>
      <c r="O62" s="56">
        <f>IF(VLOOKUP($C62,REV!$C:$AA,13,0)-'TRADE IN'!$F62=0,"",(VLOOKUP($C62,REV!$C:$AA,13,0)-'TRADE IN'!$F62))</f>
        <v>5299</v>
      </c>
      <c r="P62" s="56">
        <f>IF(VLOOKUP($C62,REV!$C:$AA,14,0)-'TRADE IN'!$F62=0,"",(VLOOKUP($C62,REV!$C:$AA,14,0)-'TRADE IN'!$F62))</f>
        <v>5199</v>
      </c>
      <c r="Q62" s="56">
        <f>IF(VLOOKUP($C62,REV!$C:$AA,15,0)-'TRADE IN'!$F62=0,"",(VLOOKUP($C62,REV!$C:$AA,15,0)-'TRADE IN'!$F62))</f>
        <v>4999</v>
      </c>
      <c r="R62" s="56">
        <f>IF(VLOOKUP($C62,REV!$C:$AA,16,0)-'TRADE IN'!$F62=0,"",(VLOOKUP($C62,REV!$C:$AA,16,0)-'TRADE IN'!$F62))</f>
        <v>5299</v>
      </c>
      <c r="S62" s="56">
        <f>IF(VLOOKUP($C62,REV!$C:$AA,17,0)-'TRADE IN'!$F62=0,"",(VLOOKUP($C62,REV!$C:$AA,17,0)-'TRADE IN'!$F62))</f>
        <v>5199</v>
      </c>
      <c r="T62" s="56">
        <f>IF(VLOOKUP($C62,REV!$C:$AA,18,0)-'TRADE IN'!$F62=0,"",(VLOOKUP($C62,REV!$C:$AA,18,0)-'TRADE IN'!$F62))</f>
        <v>4999</v>
      </c>
      <c r="U62" s="56">
        <f>IF(VLOOKUP($C62,REV!$C:$AA,19,0)-'TRADE IN'!$F62=0,"",(VLOOKUP($C62,REV!$C:$AA,19,0)-'TRADE IN'!$F62))</f>
        <v>4999</v>
      </c>
      <c r="V62" s="56">
        <f>IF(VLOOKUP($C62,REV!$C:$AA,20,0)-'TRADE IN'!$F62=0,"",(VLOOKUP($C62,REV!$C:$AA,20,0)-'TRADE IN'!$F62))</f>
        <v>4999</v>
      </c>
      <c r="W62" s="56">
        <f>IF(VLOOKUP($C62,REV!$C:$AA,21,0)-'TRADE IN'!$F62=0,"",(VLOOKUP($C62,REV!$C:$AA,21,0)-'TRADE IN'!$F62))</f>
        <v>4999</v>
      </c>
      <c r="X62" s="56">
        <f>IF(VLOOKUP($C62,REV!$C:$AA,22,0)-'TRADE IN'!$F62=0,"",(VLOOKUP($C62,REV!$C:$AA,22,0)-'TRADE IN'!$F62))</f>
        <v>4899</v>
      </c>
      <c r="Y62" s="56">
        <f>IF(VLOOKUP($C62,REV!$C:$AA,23,0)-'TRADE IN'!$F62=0,"",(VLOOKUP($C62,REV!$C:$AA,23,0)-'TRADE IN'!$F62))</f>
        <v>3999</v>
      </c>
      <c r="Z62" s="56">
        <f>IF(VLOOKUP($C62,REV!$C:$AA,24,0)-'TRADE IN'!$F62=0,"",(VLOOKUP($C62,REV!$C:$AA,24,0)-'TRADE IN'!$F62))</f>
        <v>3999</v>
      </c>
      <c r="AA62" s="56">
        <f>IF(VLOOKUP($C62,REV!$C:$AA,25,0)-'TRADE IN'!$F62=0,"",(VLOOKUP($C62,REV!$C:$AA,25,0)-'TRADE IN'!$F62))</f>
        <v>3999</v>
      </c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7"/>
      <c r="AW62" s="58" t="str">
        <f>REV!AW62</f>
        <v>03.11.2026</v>
      </c>
      <c r="AX62" s="147" t="str">
        <f>VLOOKUP(C62,REV!C:AX,48,0)</f>
        <v>5G</v>
      </c>
    </row>
    <row r="63" spans="1:50" ht="22.5" customHeight="1">
      <c r="A63" s="51" t="s">
        <v>63</v>
      </c>
      <c r="B63" s="52" t="s">
        <v>64</v>
      </c>
      <c r="C63" s="53">
        <v>4016682</v>
      </c>
      <c r="D63" s="54" t="s">
        <v>130</v>
      </c>
      <c r="E63" s="54" t="s">
        <v>135</v>
      </c>
      <c r="F63" s="55"/>
      <c r="G63" s="55"/>
      <c r="H63" s="56"/>
      <c r="I63" s="56"/>
      <c r="J63" s="56">
        <f>IF(VLOOKUP($C63,REV!$C:$AA,8,0)-'TRADE IN'!$F63=0,"",(VLOOKUP($C63,REV!$C:$AA,8,0)-'TRADE IN'!$F63))</f>
        <v>5799</v>
      </c>
      <c r="K63" s="56">
        <f>IF(VLOOKUP($C63,REV!$C:$AA,9,0)-'TRADE IN'!$F63=0,"",(VLOOKUP($C63,REV!$C:$AA,9,0)-'TRADE IN'!$F63))</f>
        <v>5799</v>
      </c>
      <c r="L63" s="56">
        <f>IF(VLOOKUP($C63,REV!$C:$AA,10,0)-'TRADE IN'!$F63=0,"",(VLOOKUP($C63,REV!$C:$AA,10,0)-'TRADE IN'!$F63))</f>
        <v>5799</v>
      </c>
      <c r="M63" s="56">
        <f>IF(VLOOKUP($C63,REV!$C:$AA,11,0)-'TRADE IN'!$F63=0,"",(VLOOKUP($C63,REV!$C:$AA,11,0)-'TRADE IN'!$F63))</f>
        <v>5799</v>
      </c>
      <c r="N63" s="56">
        <f>IF(VLOOKUP($C63,REV!$C:$AA,12,0)-'TRADE IN'!$F63=0,"",(VLOOKUP($C63,REV!$C:$AA,12,0)-'TRADE IN'!$F63))</f>
        <v>5799</v>
      </c>
      <c r="O63" s="56">
        <f>IF(VLOOKUP($C63,REV!$C:$AA,13,0)-'TRADE IN'!$F63=0,"",(VLOOKUP($C63,REV!$C:$AA,13,0)-'TRADE IN'!$F63))</f>
        <v>5299</v>
      </c>
      <c r="P63" s="56">
        <f>IF(VLOOKUP($C63,REV!$C:$AA,14,0)-'TRADE IN'!$F63=0,"",(VLOOKUP($C63,REV!$C:$AA,14,0)-'TRADE IN'!$F63))</f>
        <v>5199</v>
      </c>
      <c r="Q63" s="56">
        <f>IF(VLOOKUP($C63,REV!$C:$AA,15,0)-'TRADE IN'!$F63=0,"",(VLOOKUP($C63,REV!$C:$AA,15,0)-'TRADE IN'!$F63))</f>
        <v>4999</v>
      </c>
      <c r="R63" s="56">
        <f>IF(VLOOKUP($C63,REV!$C:$AA,16,0)-'TRADE IN'!$F63=0,"",(VLOOKUP($C63,REV!$C:$AA,16,0)-'TRADE IN'!$F63))</f>
        <v>5299</v>
      </c>
      <c r="S63" s="56">
        <f>IF(VLOOKUP($C63,REV!$C:$AA,17,0)-'TRADE IN'!$F63=0,"",(VLOOKUP($C63,REV!$C:$AA,17,0)-'TRADE IN'!$F63))</f>
        <v>5199</v>
      </c>
      <c r="T63" s="56">
        <f>IF(VLOOKUP($C63,REV!$C:$AA,18,0)-'TRADE IN'!$F63=0,"",(VLOOKUP($C63,REV!$C:$AA,18,0)-'TRADE IN'!$F63))</f>
        <v>4999</v>
      </c>
      <c r="U63" s="56">
        <f>IF(VLOOKUP($C63,REV!$C:$AA,19,0)-'TRADE IN'!$F63=0,"",(VLOOKUP($C63,REV!$C:$AA,19,0)-'TRADE IN'!$F63))</f>
        <v>4999</v>
      </c>
      <c r="V63" s="56">
        <f>IF(VLOOKUP($C63,REV!$C:$AA,20,0)-'TRADE IN'!$F63=0,"",(VLOOKUP($C63,REV!$C:$AA,20,0)-'TRADE IN'!$F63))</f>
        <v>4999</v>
      </c>
      <c r="W63" s="56">
        <f>IF(VLOOKUP($C63,REV!$C:$AA,21,0)-'TRADE IN'!$F63=0,"",(VLOOKUP($C63,REV!$C:$AA,21,0)-'TRADE IN'!$F63))</f>
        <v>4999</v>
      </c>
      <c r="X63" s="56">
        <f>IF(VLOOKUP($C63,REV!$C:$AA,22,0)-'TRADE IN'!$F63=0,"",(VLOOKUP($C63,REV!$C:$AA,22,0)-'TRADE IN'!$F63))</f>
        <v>4899</v>
      </c>
      <c r="Y63" s="56">
        <f>IF(VLOOKUP($C63,REV!$C:$AA,23,0)-'TRADE IN'!$F63=0,"",(VLOOKUP($C63,REV!$C:$AA,23,0)-'TRADE IN'!$F63))</f>
        <v>3999</v>
      </c>
      <c r="Z63" s="56">
        <f>IF(VLOOKUP($C63,REV!$C:$AA,24,0)-'TRADE IN'!$F63=0,"",(VLOOKUP($C63,REV!$C:$AA,24,0)-'TRADE IN'!$F63))</f>
        <v>3999</v>
      </c>
      <c r="AA63" s="56">
        <f>IF(VLOOKUP($C63,REV!$C:$AA,25,0)-'TRADE IN'!$F63=0,"",(VLOOKUP($C63,REV!$C:$AA,25,0)-'TRADE IN'!$F63))</f>
        <v>3999</v>
      </c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7"/>
      <c r="AW63" s="58" t="str">
        <f>REV!AW63</f>
        <v>03.11.2026</v>
      </c>
      <c r="AX63" s="147" t="str">
        <f>VLOOKUP(C63,REV!C:AX,48,0)</f>
        <v>5G</v>
      </c>
    </row>
    <row r="64" spans="1:50" ht="22.5" customHeight="1">
      <c r="A64" s="51" t="s">
        <v>63</v>
      </c>
      <c r="B64" s="52" t="s">
        <v>64</v>
      </c>
      <c r="C64" s="53">
        <v>4016560</v>
      </c>
      <c r="D64" s="54" t="s">
        <v>136</v>
      </c>
      <c r="E64" s="54" t="s">
        <v>137</v>
      </c>
      <c r="F64" s="55"/>
      <c r="G64" s="55"/>
      <c r="H64" s="56"/>
      <c r="I64" s="56"/>
      <c r="J64" s="56">
        <f>IF(VLOOKUP($C64,REV!$C:$AA,8,0)-'TRADE IN'!$F64=0,"",(VLOOKUP($C64,REV!$C:$AA,8,0)-'TRADE IN'!$F64))</f>
        <v>5699</v>
      </c>
      <c r="K64" s="56">
        <f>IF(VLOOKUP($C64,REV!$C:$AA,9,0)-'TRADE IN'!$F64=0,"",(VLOOKUP($C64,REV!$C:$AA,9,0)-'TRADE IN'!$F64))</f>
        <v>5699</v>
      </c>
      <c r="L64" s="56">
        <f>IF(VLOOKUP($C64,REV!$C:$AA,10,0)-'TRADE IN'!$F64=0,"",(VLOOKUP($C64,REV!$C:$AA,10,0)-'TRADE IN'!$F64))</f>
        <v>5699</v>
      </c>
      <c r="M64" s="56">
        <f>IF(VLOOKUP($C64,REV!$C:$AA,11,0)-'TRADE IN'!$F64=0,"",(VLOOKUP($C64,REV!$C:$AA,11,0)-'TRADE IN'!$F64))</f>
        <v>5699</v>
      </c>
      <c r="N64" s="56">
        <f>IF(VLOOKUP($C64,REV!$C:$AA,12,0)-'TRADE IN'!$F64=0,"",(VLOOKUP($C64,REV!$C:$AA,12,0)-'TRADE IN'!$F64))</f>
        <v>5699</v>
      </c>
      <c r="O64" s="56">
        <f>IF(VLOOKUP($C64,REV!$C:$AA,13,0)-'TRADE IN'!$F64=0,"",(VLOOKUP($C64,REV!$C:$AA,13,0)-'TRADE IN'!$F64))</f>
        <v>5599</v>
      </c>
      <c r="P64" s="56">
        <f>IF(VLOOKUP($C64,REV!$C:$AA,14,0)-'TRADE IN'!$F64=0,"",(VLOOKUP($C64,REV!$C:$AA,14,0)-'TRADE IN'!$F64))</f>
        <v>5499</v>
      </c>
      <c r="Q64" s="56">
        <f>IF(VLOOKUP($C64,REV!$C:$AA,15,0)-'TRADE IN'!$F64=0,"",(VLOOKUP($C64,REV!$C:$AA,15,0)-'TRADE IN'!$F64))</f>
        <v>4799</v>
      </c>
      <c r="R64" s="56">
        <f>IF(VLOOKUP($C64,REV!$C:$AA,16,0)-'TRADE IN'!$F64=0,"",(VLOOKUP($C64,REV!$C:$AA,16,0)-'TRADE IN'!$F64))</f>
        <v>5599</v>
      </c>
      <c r="S64" s="56">
        <f>IF(VLOOKUP($C64,REV!$C:$AA,17,0)-'TRADE IN'!$F64=0,"",(VLOOKUP($C64,REV!$C:$AA,17,0)-'TRADE IN'!$F64))</f>
        <v>5499</v>
      </c>
      <c r="T64" s="56">
        <f>IF(VLOOKUP($C64,REV!$C:$AA,18,0)-'TRADE IN'!$F64=0,"",(VLOOKUP($C64,REV!$C:$AA,18,0)-'TRADE IN'!$F64))</f>
        <v>4799</v>
      </c>
      <c r="U64" s="56">
        <f>IF(VLOOKUP($C64,REV!$C:$AA,19,0)-'TRADE IN'!$F64=0,"",(VLOOKUP($C64,REV!$C:$AA,19,0)-'TRADE IN'!$F64))</f>
        <v>4799</v>
      </c>
      <c r="V64" s="56">
        <f>IF(VLOOKUP($C64,REV!$C:$AA,20,0)-'TRADE IN'!$F64=0,"",(VLOOKUP($C64,REV!$C:$AA,20,0)-'TRADE IN'!$F64))</f>
        <v>4799</v>
      </c>
      <c r="W64" s="56">
        <f>IF(VLOOKUP($C64,REV!$C:$AA,21,0)-'TRADE IN'!$F64=0,"",(VLOOKUP($C64,REV!$C:$AA,21,0)-'TRADE IN'!$F64))</f>
        <v>4799</v>
      </c>
      <c r="X64" s="56">
        <f>IF(VLOOKUP($C64,REV!$C:$AA,22,0)-'TRADE IN'!$F64=0,"",(VLOOKUP($C64,REV!$C:$AA,22,0)-'TRADE IN'!$F64))</f>
        <v>4699</v>
      </c>
      <c r="Y64" s="56">
        <f>IF(VLOOKUP($C64,REV!$C:$AA,23,0)-'TRADE IN'!$F64=0,"",(VLOOKUP($C64,REV!$C:$AA,23,0)-'TRADE IN'!$F64))</f>
        <v>4299</v>
      </c>
      <c r="Z64" s="56">
        <f>IF(VLOOKUP($C64,REV!$C:$AA,24,0)-'TRADE IN'!$F64=0,"",(VLOOKUP($C64,REV!$C:$AA,24,0)-'TRADE IN'!$F64))</f>
        <v>4299</v>
      </c>
      <c r="AA64" s="56">
        <f>IF(VLOOKUP($C64,REV!$C:$AA,25,0)-'TRADE IN'!$F64=0,"",(VLOOKUP($C64,REV!$C:$AA,25,0)-'TRADE IN'!$F64))</f>
        <v>4249</v>
      </c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7"/>
      <c r="AW64" s="58" t="str">
        <f>REV!AW64</f>
        <v>03.11.2026</v>
      </c>
      <c r="AX64" s="147" t="str">
        <f>VLOOKUP(C64,REV!C:AX,48,0)</f>
        <v>5G</v>
      </c>
    </row>
    <row r="65" spans="1:50" ht="22.5" customHeight="1">
      <c r="A65" s="51" t="s">
        <v>63</v>
      </c>
      <c r="B65" s="52" t="s">
        <v>64</v>
      </c>
      <c r="C65" s="53">
        <v>4016565</v>
      </c>
      <c r="D65" s="54" t="s">
        <v>136</v>
      </c>
      <c r="E65" s="54" t="s">
        <v>138</v>
      </c>
      <c r="F65" s="55"/>
      <c r="G65" s="55"/>
      <c r="H65" s="56"/>
      <c r="I65" s="56"/>
      <c r="J65" s="56">
        <f>IF(VLOOKUP($C65,REV!$C:$AA,8,0)-'TRADE IN'!$F65=0,"",(VLOOKUP($C65,REV!$C:$AA,8,0)-'TRADE IN'!$F65))</f>
        <v>5699</v>
      </c>
      <c r="K65" s="56">
        <f>IF(VLOOKUP($C65,REV!$C:$AA,9,0)-'TRADE IN'!$F65=0,"",(VLOOKUP($C65,REV!$C:$AA,9,0)-'TRADE IN'!$F65))</f>
        <v>5699</v>
      </c>
      <c r="L65" s="56">
        <f>IF(VLOOKUP($C65,REV!$C:$AA,10,0)-'TRADE IN'!$F65=0,"",(VLOOKUP($C65,REV!$C:$AA,10,0)-'TRADE IN'!$F65))</f>
        <v>5699</v>
      </c>
      <c r="M65" s="56">
        <f>IF(VLOOKUP($C65,REV!$C:$AA,11,0)-'TRADE IN'!$F65=0,"",(VLOOKUP($C65,REV!$C:$AA,11,0)-'TRADE IN'!$F65))</f>
        <v>5699</v>
      </c>
      <c r="N65" s="56">
        <f>IF(VLOOKUP($C65,REV!$C:$AA,12,0)-'TRADE IN'!$F65=0,"",(VLOOKUP($C65,REV!$C:$AA,12,0)-'TRADE IN'!$F65))</f>
        <v>5699</v>
      </c>
      <c r="O65" s="56">
        <f>IF(VLOOKUP($C65,REV!$C:$AA,13,0)-'TRADE IN'!$F65=0,"",(VLOOKUP($C65,REV!$C:$AA,13,0)-'TRADE IN'!$F65))</f>
        <v>5599</v>
      </c>
      <c r="P65" s="56">
        <f>IF(VLOOKUP($C65,REV!$C:$AA,14,0)-'TRADE IN'!$F65=0,"",(VLOOKUP($C65,REV!$C:$AA,14,0)-'TRADE IN'!$F65))</f>
        <v>5499</v>
      </c>
      <c r="Q65" s="56">
        <f>IF(VLOOKUP($C65,REV!$C:$AA,15,0)-'TRADE IN'!$F65=0,"",(VLOOKUP($C65,REV!$C:$AA,15,0)-'TRADE IN'!$F65))</f>
        <v>4799</v>
      </c>
      <c r="R65" s="56">
        <f>IF(VLOOKUP($C65,REV!$C:$AA,16,0)-'TRADE IN'!$F65=0,"",(VLOOKUP($C65,REV!$C:$AA,16,0)-'TRADE IN'!$F65))</f>
        <v>5599</v>
      </c>
      <c r="S65" s="56">
        <f>IF(VLOOKUP($C65,REV!$C:$AA,17,0)-'TRADE IN'!$F65=0,"",(VLOOKUP($C65,REV!$C:$AA,17,0)-'TRADE IN'!$F65))</f>
        <v>5499</v>
      </c>
      <c r="T65" s="56">
        <f>IF(VLOOKUP($C65,REV!$C:$AA,18,0)-'TRADE IN'!$F65=0,"",(VLOOKUP($C65,REV!$C:$AA,18,0)-'TRADE IN'!$F65))</f>
        <v>4799</v>
      </c>
      <c r="U65" s="56">
        <f>IF(VLOOKUP($C65,REV!$C:$AA,19,0)-'TRADE IN'!$F65=0,"",(VLOOKUP($C65,REV!$C:$AA,19,0)-'TRADE IN'!$F65))</f>
        <v>4799</v>
      </c>
      <c r="V65" s="56">
        <f>IF(VLOOKUP($C65,REV!$C:$AA,20,0)-'TRADE IN'!$F65=0,"",(VLOOKUP($C65,REV!$C:$AA,20,0)-'TRADE IN'!$F65))</f>
        <v>4799</v>
      </c>
      <c r="W65" s="56">
        <f>IF(VLOOKUP($C65,REV!$C:$AA,21,0)-'TRADE IN'!$F65=0,"",(VLOOKUP($C65,REV!$C:$AA,21,0)-'TRADE IN'!$F65))</f>
        <v>4799</v>
      </c>
      <c r="X65" s="56">
        <f>IF(VLOOKUP($C65,REV!$C:$AA,22,0)-'TRADE IN'!$F65=0,"",(VLOOKUP($C65,REV!$C:$AA,22,0)-'TRADE IN'!$F65))</f>
        <v>4699</v>
      </c>
      <c r="Y65" s="56">
        <f>IF(VLOOKUP($C65,REV!$C:$AA,23,0)-'TRADE IN'!$F65=0,"",(VLOOKUP($C65,REV!$C:$AA,23,0)-'TRADE IN'!$F65))</f>
        <v>4299</v>
      </c>
      <c r="Z65" s="56">
        <f>IF(VLOOKUP($C65,REV!$C:$AA,24,0)-'TRADE IN'!$F65=0,"",(VLOOKUP($C65,REV!$C:$AA,24,0)-'TRADE IN'!$F65))</f>
        <v>4299</v>
      </c>
      <c r="AA65" s="56">
        <f>IF(VLOOKUP($C65,REV!$C:$AA,25,0)-'TRADE IN'!$F65=0,"",(VLOOKUP($C65,REV!$C:$AA,25,0)-'TRADE IN'!$F65))</f>
        <v>4249</v>
      </c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7"/>
      <c r="AW65" s="58" t="str">
        <f>REV!AW65</f>
        <v>03.11.2026</v>
      </c>
      <c r="AX65" s="147" t="str">
        <f>VLOOKUP(C65,REV!C:AX,48,0)</f>
        <v>5G</v>
      </c>
    </row>
    <row r="66" spans="1:50" ht="22.5" customHeight="1">
      <c r="A66" s="51" t="s">
        <v>63</v>
      </c>
      <c r="B66" s="52" t="s">
        <v>64</v>
      </c>
      <c r="C66" s="53">
        <v>4016675</v>
      </c>
      <c r="D66" s="54" t="s">
        <v>136</v>
      </c>
      <c r="E66" s="54" t="s">
        <v>139</v>
      </c>
      <c r="F66" s="55"/>
      <c r="G66" s="55"/>
      <c r="H66" s="56"/>
      <c r="I66" s="56"/>
      <c r="J66" s="56">
        <f>IF(VLOOKUP($C66,REV!$C:$AA,8,0)-'TRADE IN'!$F66=0,"",(VLOOKUP($C66,REV!$C:$AA,8,0)-'TRADE IN'!$F66))</f>
        <v>5699</v>
      </c>
      <c r="K66" s="56">
        <f>IF(VLOOKUP($C66,REV!$C:$AA,9,0)-'TRADE IN'!$F66=0,"",(VLOOKUP($C66,REV!$C:$AA,9,0)-'TRADE IN'!$F66))</f>
        <v>5699</v>
      </c>
      <c r="L66" s="56">
        <f>IF(VLOOKUP($C66,REV!$C:$AA,10,0)-'TRADE IN'!$F66=0,"",(VLOOKUP($C66,REV!$C:$AA,10,0)-'TRADE IN'!$F66))</f>
        <v>5699</v>
      </c>
      <c r="M66" s="56">
        <f>IF(VLOOKUP($C66,REV!$C:$AA,11,0)-'TRADE IN'!$F66=0,"",(VLOOKUP($C66,REV!$C:$AA,11,0)-'TRADE IN'!$F66))</f>
        <v>5699</v>
      </c>
      <c r="N66" s="56">
        <f>IF(VLOOKUP($C66,REV!$C:$AA,12,0)-'TRADE IN'!$F66=0,"",(VLOOKUP($C66,REV!$C:$AA,12,0)-'TRADE IN'!$F66))</f>
        <v>5699</v>
      </c>
      <c r="O66" s="56">
        <f>IF(VLOOKUP($C66,REV!$C:$AA,13,0)-'TRADE IN'!$F66=0,"",(VLOOKUP($C66,REV!$C:$AA,13,0)-'TRADE IN'!$F66))</f>
        <v>5599</v>
      </c>
      <c r="P66" s="56">
        <f>IF(VLOOKUP($C66,REV!$C:$AA,14,0)-'TRADE IN'!$F66=0,"",(VLOOKUP($C66,REV!$C:$AA,14,0)-'TRADE IN'!$F66))</f>
        <v>5499</v>
      </c>
      <c r="Q66" s="56">
        <f>IF(VLOOKUP($C66,REV!$C:$AA,15,0)-'TRADE IN'!$F66=0,"",(VLOOKUP($C66,REV!$C:$AA,15,0)-'TRADE IN'!$F66))</f>
        <v>4799</v>
      </c>
      <c r="R66" s="56">
        <f>IF(VLOOKUP($C66,REV!$C:$AA,16,0)-'TRADE IN'!$F66=0,"",(VLOOKUP($C66,REV!$C:$AA,16,0)-'TRADE IN'!$F66))</f>
        <v>5599</v>
      </c>
      <c r="S66" s="56">
        <f>IF(VLOOKUP($C66,REV!$C:$AA,17,0)-'TRADE IN'!$F66=0,"",(VLOOKUP($C66,REV!$C:$AA,17,0)-'TRADE IN'!$F66))</f>
        <v>5499</v>
      </c>
      <c r="T66" s="56">
        <f>IF(VLOOKUP($C66,REV!$C:$AA,18,0)-'TRADE IN'!$F66=0,"",(VLOOKUP($C66,REV!$C:$AA,18,0)-'TRADE IN'!$F66))</f>
        <v>4799</v>
      </c>
      <c r="U66" s="56">
        <f>IF(VLOOKUP($C66,REV!$C:$AA,19,0)-'TRADE IN'!$F66=0,"",(VLOOKUP($C66,REV!$C:$AA,19,0)-'TRADE IN'!$F66))</f>
        <v>4799</v>
      </c>
      <c r="V66" s="56">
        <f>IF(VLOOKUP($C66,REV!$C:$AA,20,0)-'TRADE IN'!$F66=0,"",(VLOOKUP($C66,REV!$C:$AA,20,0)-'TRADE IN'!$F66))</f>
        <v>4799</v>
      </c>
      <c r="W66" s="56">
        <f>IF(VLOOKUP($C66,REV!$C:$AA,21,0)-'TRADE IN'!$F66=0,"",(VLOOKUP($C66,REV!$C:$AA,21,0)-'TRADE IN'!$F66))</f>
        <v>4799</v>
      </c>
      <c r="X66" s="56">
        <f>IF(VLOOKUP($C66,REV!$C:$AA,22,0)-'TRADE IN'!$F66=0,"",(VLOOKUP($C66,REV!$C:$AA,22,0)-'TRADE IN'!$F66))</f>
        <v>4699</v>
      </c>
      <c r="Y66" s="56">
        <f>IF(VLOOKUP($C66,REV!$C:$AA,23,0)-'TRADE IN'!$F66=0,"",(VLOOKUP($C66,REV!$C:$AA,23,0)-'TRADE IN'!$F66))</f>
        <v>4299</v>
      </c>
      <c r="Z66" s="56">
        <f>IF(VLOOKUP($C66,REV!$C:$AA,24,0)-'TRADE IN'!$F66=0,"",(VLOOKUP($C66,REV!$C:$AA,24,0)-'TRADE IN'!$F66))</f>
        <v>4299</v>
      </c>
      <c r="AA66" s="56">
        <f>IF(VLOOKUP($C66,REV!$C:$AA,25,0)-'TRADE IN'!$F66=0,"",(VLOOKUP($C66,REV!$C:$AA,25,0)-'TRADE IN'!$F66))</f>
        <v>4249</v>
      </c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7"/>
      <c r="AW66" s="58" t="str">
        <f>REV!AW66</f>
        <v>03.11.2026</v>
      </c>
      <c r="AX66" s="147" t="str">
        <f>VLOOKUP(C66,REV!C:AX,48,0)</f>
        <v>5G</v>
      </c>
    </row>
    <row r="67" spans="1:50" ht="22.5" customHeight="1">
      <c r="A67" s="51" t="s">
        <v>63</v>
      </c>
      <c r="B67" s="52" t="s">
        <v>64</v>
      </c>
      <c r="C67" s="53">
        <v>4016670</v>
      </c>
      <c r="D67" s="54" t="s">
        <v>136</v>
      </c>
      <c r="E67" s="54" t="s">
        <v>140</v>
      </c>
      <c r="F67" s="55"/>
      <c r="G67" s="55"/>
      <c r="H67" s="56"/>
      <c r="I67" s="56"/>
      <c r="J67" s="56">
        <f>IF(VLOOKUP($C67,REV!$C:$AA,8,0)-'TRADE IN'!$F67=0,"",(VLOOKUP($C67,REV!$C:$AA,8,0)-'TRADE IN'!$F67))</f>
        <v>5699</v>
      </c>
      <c r="K67" s="56">
        <f>IF(VLOOKUP($C67,REV!$C:$AA,9,0)-'TRADE IN'!$F67=0,"",(VLOOKUP($C67,REV!$C:$AA,9,0)-'TRADE IN'!$F67))</f>
        <v>5699</v>
      </c>
      <c r="L67" s="56">
        <f>IF(VLOOKUP($C67,REV!$C:$AA,10,0)-'TRADE IN'!$F67=0,"",(VLOOKUP($C67,REV!$C:$AA,10,0)-'TRADE IN'!$F67))</f>
        <v>5699</v>
      </c>
      <c r="M67" s="56">
        <f>IF(VLOOKUP($C67,REV!$C:$AA,11,0)-'TRADE IN'!$F67=0,"",(VLOOKUP($C67,REV!$C:$AA,11,0)-'TRADE IN'!$F67))</f>
        <v>5699</v>
      </c>
      <c r="N67" s="56">
        <f>IF(VLOOKUP($C67,REV!$C:$AA,12,0)-'TRADE IN'!$F67=0,"",(VLOOKUP($C67,REV!$C:$AA,12,0)-'TRADE IN'!$F67))</f>
        <v>5699</v>
      </c>
      <c r="O67" s="56">
        <f>IF(VLOOKUP($C67,REV!$C:$AA,13,0)-'TRADE IN'!$F67=0,"",(VLOOKUP($C67,REV!$C:$AA,13,0)-'TRADE IN'!$F67))</f>
        <v>5599</v>
      </c>
      <c r="P67" s="56">
        <f>IF(VLOOKUP($C67,REV!$C:$AA,14,0)-'TRADE IN'!$F67=0,"",(VLOOKUP($C67,REV!$C:$AA,14,0)-'TRADE IN'!$F67))</f>
        <v>5499</v>
      </c>
      <c r="Q67" s="56">
        <f>IF(VLOOKUP($C67,REV!$C:$AA,15,0)-'TRADE IN'!$F67=0,"",(VLOOKUP($C67,REV!$C:$AA,15,0)-'TRADE IN'!$F67))</f>
        <v>4799</v>
      </c>
      <c r="R67" s="56">
        <f>IF(VLOOKUP($C67,REV!$C:$AA,16,0)-'TRADE IN'!$F67=0,"",(VLOOKUP($C67,REV!$C:$AA,16,0)-'TRADE IN'!$F67))</f>
        <v>5599</v>
      </c>
      <c r="S67" s="56">
        <f>IF(VLOOKUP($C67,REV!$C:$AA,17,0)-'TRADE IN'!$F67=0,"",(VLOOKUP($C67,REV!$C:$AA,17,0)-'TRADE IN'!$F67))</f>
        <v>5499</v>
      </c>
      <c r="T67" s="56">
        <f>IF(VLOOKUP($C67,REV!$C:$AA,18,0)-'TRADE IN'!$F67=0,"",(VLOOKUP($C67,REV!$C:$AA,18,0)-'TRADE IN'!$F67))</f>
        <v>4799</v>
      </c>
      <c r="U67" s="56">
        <f>IF(VLOOKUP($C67,REV!$C:$AA,19,0)-'TRADE IN'!$F67=0,"",(VLOOKUP($C67,REV!$C:$AA,19,0)-'TRADE IN'!$F67))</f>
        <v>4799</v>
      </c>
      <c r="V67" s="56">
        <f>IF(VLOOKUP($C67,REV!$C:$AA,20,0)-'TRADE IN'!$F67=0,"",(VLOOKUP($C67,REV!$C:$AA,20,0)-'TRADE IN'!$F67))</f>
        <v>4799</v>
      </c>
      <c r="W67" s="56">
        <f>IF(VLOOKUP($C67,REV!$C:$AA,21,0)-'TRADE IN'!$F67=0,"",(VLOOKUP($C67,REV!$C:$AA,21,0)-'TRADE IN'!$F67))</f>
        <v>4799</v>
      </c>
      <c r="X67" s="56">
        <f>IF(VLOOKUP($C67,REV!$C:$AA,22,0)-'TRADE IN'!$F67=0,"",(VLOOKUP($C67,REV!$C:$AA,22,0)-'TRADE IN'!$F67))</f>
        <v>4699</v>
      </c>
      <c r="Y67" s="56">
        <f>IF(VLOOKUP($C67,REV!$C:$AA,23,0)-'TRADE IN'!$F67=0,"",(VLOOKUP($C67,REV!$C:$AA,23,0)-'TRADE IN'!$F67))</f>
        <v>4299</v>
      </c>
      <c r="Z67" s="56">
        <f>IF(VLOOKUP($C67,REV!$C:$AA,24,0)-'TRADE IN'!$F67=0,"",(VLOOKUP($C67,REV!$C:$AA,24,0)-'TRADE IN'!$F67))</f>
        <v>4299</v>
      </c>
      <c r="AA67" s="56">
        <f>IF(VLOOKUP($C67,REV!$C:$AA,25,0)-'TRADE IN'!$F67=0,"",(VLOOKUP($C67,REV!$C:$AA,25,0)-'TRADE IN'!$F67))</f>
        <v>4249</v>
      </c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7"/>
      <c r="AW67" s="58" t="str">
        <f>REV!AW67</f>
        <v>03.11.2026</v>
      </c>
      <c r="AX67" s="147" t="str">
        <f>VLOOKUP(C67,REV!C:AX,48,0)</f>
        <v>5G</v>
      </c>
    </row>
    <row r="68" spans="1:50" ht="22.5" customHeight="1">
      <c r="A68" s="51" t="s">
        <v>63</v>
      </c>
      <c r="B68" s="52" t="s">
        <v>64</v>
      </c>
      <c r="C68" s="53">
        <v>4016673</v>
      </c>
      <c r="D68" s="54" t="s">
        <v>136</v>
      </c>
      <c r="E68" s="54" t="s">
        <v>141</v>
      </c>
      <c r="F68" s="55"/>
      <c r="G68" s="55"/>
      <c r="H68" s="56"/>
      <c r="I68" s="56"/>
      <c r="J68" s="56">
        <f>IF(VLOOKUP($C68,REV!$C:$AA,8,0)-'TRADE IN'!$F68=0,"",(VLOOKUP($C68,REV!$C:$AA,8,0)-'TRADE IN'!$F68))</f>
        <v>5699</v>
      </c>
      <c r="K68" s="56">
        <f>IF(VLOOKUP($C68,REV!$C:$AA,9,0)-'TRADE IN'!$F68=0,"",(VLOOKUP($C68,REV!$C:$AA,9,0)-'TRADE IN'!$F68))</f>
        <v>5699</v>
      </c>
      <c r="L68" s="56">
        <f>IF(VLOOKUP($C68,REV!$C:$AA,10,0)-'TRADE IN'!$F68=0,"",(VLOOKUP($C68,REV!$C:$AA,10,0)-'TRADE IN'!$F68))</f>
        <v>5699</v>
      </c>
      <c r="M68" s="56">
        <f>IF(VLOOKUP($C68,REV!$C:$AA,11,0)-'TRADE IN'!$F68=0,"",(VLOOKUP($C68,REV!$C:$AA,11,0)-'TRADE IN'!$F68))</f>
        <v>5699</v>
      </c>
      <c r="N68" s="56">
        <f>IF(VLOOKUP($C68,REV!$C:$AA,12,0)-'TRADE IN'!$F68=0,"",(VLOOKUP($C68,REV!$C:$AA,12,0)-'TRADE IN'!$F68))</f>
        <v>5699</v>
      </c>
      <c r="O68" s="56">
        <f>IF(VLOOKUP($C68,REV!$C:$AA,13,0)-'TRADE IN'!$F68=0,"",(VLOOKUP($C68,REV!$C:$AA,13,0)-'TRADE IN'!$F68))</f>
        <v>5599</v>
      </c>
      <c r="P68" s="56">
        <f>IF(VLOOKUP($C68,REV!$C:$AA,14,0)-'TRADE IN'!$F68=0,"",(VLOOKUP($C68,REV!$C:$AA,14,0)-'TRADE IN'!$F68))</f>
        <v>5499</v>
      </c>
      <c r="Q68" s="56">
        <f>IF(VLOOKUP($C68,REV!$C:$AA,15,0)-'TRADE IN'!$F68=0,"",(VLOOKUP($C68,REV!$C:$AA,15,0)-'TRADE IN'!$F68))</f>
        <v>4799</v>
      </c>
      <c r="R68" s="56">
        <f>IF(VLOOKUP($C68,REV!$C:$AA,16,0)-'TRADE IN'!$F68=0,"",(VLOOKUP($C68,REV!$C:$AA,16,0)-'TRADE IN'!$F68))</f>
        <v>5599</v>
      </c>
      <c r="S68" s="56">
        <f>IF(VLOOKUP($C68,REV!$C:$AA,17,0)-'TRADE IN'!$F68=0,"",(VLOOKUP($C68,REV!$C:$AA,17,0)-'TRADE IN'!$F68))</f>
        <v>5499</v>
      </c>
      <c r="T68" s="56">
        <f>IF(VLOOKUP($C68,REV!$C:$AA,18,0)-'TRADE IN'!$F68=0,"",(VLOOKUP($C68,REV!$C:$AA,18,0)-'TRADE IN'!$F68))</f>
        <v>4799</v>
      </c>
      <c r="U68" s="56">
        <f>IF(VLOOKUP($C68,REV!$C:$AA,19,0)-'TRADE IN'!$F68=0,"",(VLOOKUP($C68,REV!$C:$AA,19,0)-'TRADE IN'!$F68))</f>
        <v>4799</v>
      </c>
      <c r="V68" s="56">
        <f>IF(VLOOKUP($C68,REV!$C:$AA,20,0)-'TRADE IN'!$F68=0,"",(VLOOKUP($C68,REV!$C:$AA,20,0)-'TRADE IN'!$F68))</f>
        <v>4799</v>
      </c>
      <c r="W68" s="56">
        <f>IF(VLOOKUP($C68,REV!$C:$AA,21,0)-'TRADE IN'!$F68=0,"",(VLOOKUP($C68,REV!$C:$AA,21,0)-'TRADE IN'!$F68))</f>
        <v>4799</v>
      </c>
      <c r="X68" s="56">
        <f>IF(VLOOKUP($C68,REV!$C:$AA,22,0)-'TRADE IN'!$F68=0,"",(VLOOKUP($C68,REV!$C:$AA,22,0)-'TRADE IN'!$F68))</f>
        <v>4699</v>
      </c>
      <c r="Y68" s="56">
        <f>IF(VLOOKUP($C68,REV!$C:$AA,23,0)-'TRADE IN'!$F68=0,"",(VLOOKUP($C68,REV!$C:$AA,23,0)-'TRADE IN'!$F68))</f>
        <v>4299</v>
      </c>
      <c r="Z68" s="56">
        <f>IF(VLOOKUP($C68,REV!$C:$AA,24,0)-'TRADE IN'!$F68=0,"",(VLOOKUP($C68,REV!$C:$AA,24,0)-'TRADE IN'!$F68))</f>
        <v>4299</v>
      </c>
      <c r="AA68" s="56">
        <f>IF(VLOOKUP($C68,REV!$C:$AA,25,0)-'TRADE IN'!$F68=0,"",(VLOOKUP($C68,REV!$C:$AA,25,0)-'TRADE IN'!$F68))</f>
        <v>4249</v>
      </c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7"/>
      <c r="AW68" s="58" t="str">
        <f>REV!AW68</f>
        <v>03.11.2026</v>
      </c>
      <c r="AX68" s="147" t="str">
        <f>VLOOKUP(C68,REV!C:AX,48,0)</f>
        <v>5G</v>
      </c>
    </row>
    <row r="69" spans="1:50" ht="22.5" customHeight="1">
      <c r="A69" s="51" t="s">
        <v>63</v>
      </c>
      <c r="B69" s="52" t="s">
        <v>64</v>
      </c>
      <c r="C69" s="53">
        <v>4016679</v>
      </c>
      <c r="D69" s="54" t="s">
        <v>136</v>
      </c>
      <c r="E69" s="54" t="s">
        <v>142</v>
      </c>
      <c r="F69" s="55"/>
      <c r="G69" s="55"/>
      <c r="H69" s="56"/>
      <c r="I69" s="56"/>
      <c r="J69" s="56">
        <f>IF(VLOOKUP($C69,REV!$C:$AA,8,0)-'TRADE IN'!$F69=0,"",(VLOOKUP($C69,REV!$C:$AA,8,0)-'TRADE IN'!$F69))</f>
        <v>5699</v>
      </c>
      <c r="K69" s="56">
        <f>IF(VLOOKUP($C69,REV!$C:$AA,9,0)-'TRADE IN'!$F69=0,"",(VLOOKUP($C69,REV!$C:$AA,9,0)-'TRADE IN'!$F69))</f>
        <v>5699</v>
      </c>
      <c r="L69" s="56">
        <f>IF(VLOOKUP($C69,REV!$C:$AA,10,0)-'TRADE IN'!$F69=0,"",(VLOOKUP($C69,REV!$C:$AA,10,0)-'TRADE IN'!$F69))</f>
        <v>5699</v>
      </c>
      <c r="M69" s="56">
        <f>IF(VLOOKUP($C69,REV!$C:$AA,11,0)-'TRADE IN'!$F69=0,"",(VLOOKUP($C69,REV!$C:$AA,11,0)-'TRADE IN'!$F69))</f>
        <v>5699</v>
      </c>
      <c r="N69" s="56">
        <f>IF(VLOOKUP($C69,REV!$C:$AA,12,0)-'TRADE IN'!$F69=0,"",(VLOOKUP($C69,REV!$C:$AA,12,0)-'TRADE IN'!$F69))</f>
        <v>5699</v>
      </c>
      <c r="O69" s="56">
        <f>IF(VLOOKUP($C69,REV!$C:$AA,13,0)-'TRADE IN'!$F69=0,"",(VLOOKUP($C69,REV!$C:$AA,13,0)-'TRADE IN'!$F69))</f>
        <v>5599</v>
      </c>
      <c r="P69" s="56">
        <f>IF(VLOOKUP($C69,REV!$C:$AA,14,0)-'TRADE IN'!$F69=0,"",(VLOOKUP($C69,REV!$C:$AA,14,0)-'TRADE IN'!$F69))</f>
        <v>5499</v>
      </c>
      <c r="Q69" s="56">
        <f>IF(VLOOKUP($C69,REV!$C:$AA,15,0)-'TRADE IN'!$F69=0,"",(VLOOKUP($C69,REV!$C:$AA,15,0)-'TRADE IN'!$F69))</f>
        <v>4799</v>
      </c>
      <c r="R69" s="56">
        <f>IF(VLOOKUP($C69,REV!$C:$AA,16,0)-'TRADE IN'!$F69=0,"",(VLOOKUP($C69,REV!$C:$AA,16,0)-'TRADE IN'!$F69))</f>
        <v>5599</v>
      </c>
      <c r="S69" s="56">
        <f>IF(VLOOKUP($C69,REV!$C:$AA,17,0)-'TRADE IN'!$F69=0,"",(VLOOKUP($C69,REV!$C:$AA,17,0)-'TRADE IN'!$F69))</f>
        <v>5499</v>
      </c>
      <c r="T69" s="56">
        <f>IF(VLOOKUP($C69,REV!$C:$AA,18,0)-'TRADE IN'!$F69=0,"",(VLOOKUP($C69,REV!$C:$AA,18,0)-'TRADE IN'!$F69))</f>
        <v>4799</v>
      </c>
      <c r="U69" s="56">
        <f>IF(VLOOKUP($C69,REV!$C:$AA,19,0)-'TRADE IN'!$F69=0,"",(VLOOKUP($C69,REV!$C:$AA,19,0)-'TRADE IN'!$F69))</f>
        <v>4799</v>
      </c>
      <c r="V69" s="56">
        <f>IF(VLOOKUP($C69,REV!$C:$AA,20,0)-'TRADE IN'!$F69=0,"",(VLOOKUP($C69,REV!$C:$AA,20,0)-'TRADE IN'!$F69))</f>
        <v>4799</v>
      </c>
      <c r="W69" s="56">
        <f>IF(VLOOKUP($C69,REV!$C:$AA,21,0)-'TRADE IN'!$F69=0,"",(VLOOKUP($C69,REV!$C:$AA,21,0)-'TRADE IN'!$F69))</f>
        <v>4799</v>
      </c>
      <c r="X69" s="56">
        <f>IF(VLOOKUP($C69,REV!$C:$AA,22,0)-'TRADE IN'!$F69=0,"",(VLOOKUP($C69,REV!$C:$AA,22,0)-'TRADE IN'!$F69))</f>
        <v>4699</v>
      </c>
      <c r="Y69" s="56">
        <f>IF(VLOOKUP($C69,REV!$C:$AA,23,0)-'TRADE IN'!$F69=0,"",(VLOOKUP($C69,REV!$C:$AA,23,0)-'TRADE IN'!$F69))</f>
        <v>4299</v>
      </c>
      <c r="Z69" s="56">
        <f>IF(VLOOKUP($C69,REV!$C:$AA,24,0)-'TRADE IN'!$F69=0,"",(VLOOKUP($C69,REV!$C:$AA,24,0)-'TRADE IN'!$F69))</f>
        <v>4299</v>
      </c>
      <c r="AA69" s="56">
        <f>IF(VLOOKUP($C69,REV!$C:$AA,25,0)-'TRADE IN'!$F69=0,"",(VLOOKUP($C69,REV!$C:$AA,25,0)-'TRADE IN'!$F69))</f>
        <v>4249</v>
      </c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7"/>
      <c r="AW69" s="58" t="str">
        <f>REV!AW69</f>
        <v>03.11.2026</v>
      </c>
      <c r="AX69" s="147" t="str">
        <f>VLOOKUP(C69,REV!C:AX,48,0)</f>
        <v>5G</v>
      </c>
    </row>
    <row r="70" spans="1:50" ht="22.5" customHeight="1">
      <c r="A70" s="51" t="s">
        <v>63</v>
      </c>
      <c r="B70" s="52" t="s">
        <v>64</v>
      </c>
      <c r="C70" s="53">
        <v>4016594</v>
      </c>
      <c r="D70" s="54" t="s">
        <v>143</v>
      </c>
      <c r="E70" s="54" t="s">
        <v>144</v>
      </c>
      <c r="F70" s="55"/>
      <c r="G70" s="55"/>
      <c r="H70" s="56"/>
      <c r="I70" s="56"/>
      <c r="J70" s="56">
        <f>IF(VLOOKUP($C70,REV!$C:$AA,8,0)-'TRADE IN'!$F70=0,"",(VLOOKUP($C70,REV!$C:$AA,8,0)-'TRADE IN'!$F70))</f>
        <v>8999</v>
      </c>
      <c r="K70" s="56">
        <f>IF(VLOOKUP($C70,REV!$C:$AA,9,0)-'TRADE IN'!$F70=0,"",(VLOOKUP($C70,REV!$C:$AA,9,0)-'TRADE IN'!$F70))</f>
        <v>8999</v>
      </c>
      <c r="L70" s="56">
        <f>IF(VLOOKUP($C70,REV!$C:$AA,10,0)-'TRADE IN'!$F70=0,"",(VLOOKUP($C70,REV!$C:$AA,10,0)-'TRADE IN'!$F70))</f>
        <v>8999</v>
      </c>
      <c r="M70" s="56">
        <f>IF(VLOOKUP($C70,REV!$C:$AA,11,0)-'TRADE IN'!$F70=0,"",(VLOOKUP($C70,REV!$C:$AA,11,0)-'TRADE IN'!$F70))</f>
        <v>8999</v>
      </c>
      <c r="N70" s="56">
        <f>IF(VLOOKUP($C70,REV!$C:$AA,12,0)-'TRADE IN'!$F70=0,"",(VLOOKUP($C70,REV!$C:$AA,12,0)-'TRADE IN'!$F70))</f>
        <v>8999</v>
      </c>
      <c r="O70" s="56">
        <f>IF(VLOOKUP($C70,REV!$C:$AA,13,0)-'TRADE IN'!$F70=0,"",(VLOOKUP($C70,REV!$C:$AA,13,0)-'TRADE IN'!$F70))</f>
        <v>8899</v>
      </c>
      <c r="P70" s="56">
        <f>IF(VLOOKUP($C70,REV!$C:$AA,14,0)-'TRADE IN'!$F70=0,"",(VLOOKUP($C70,REV!$C:$AA,14,0)-'TRADE IN'!$F70))</f>
        <v>8799</v>
      </c>
      <c r="Q70" s="56">
        <f>IF(VLOOKUP($C70,REV!$C:$AA,15,0)-'TRADE IN'!$F70=0,"",(VLOOKUP($C70,REV!$C:$AA,15,0)-'TRADE IN'!$F70))</f>
        <v>7999</v>
      </c>
      <c r="R70" s="56">
        <f>IF(VLOOKUP($C70,REV!$C:$AA,16,0)-'TRADE IN'!$F70=0,"",(VLOOKUP($C70,REV!$C:$AA,16,0)-'TRADE IN'!$F70))</f>
        <v>8899</v>
      </c>
      <c r="S70" s="56">
        <f>IF(VLOOKUP($C70,REV!$C:$AA,17,0)-'TRADE IN'!$F70=0,"",(VLOOKUP($C70,REV!$C:$AA,17,0)-'TRADE IN'!$F70))</f>
        <v>8799</v>
      </c>
      <c r="T70" s="56">
        <f>IF(VLOOKUP($C70,REV!$C:$AA,18,0)-'TRADE IN'!$F70=0,"",(VLOOKUP($C70,REV!$C:$AA,18,0)-'TRADE IN'!$F70))</f>
        <v>7999</v>
      </c>
      <c r="U70" s="56">
        <f>IF(VLOOKUP($C70,REV!$C:$AA,19,0)-'TRADE IN'!$F70=0,"",(VLOOKUP($C70,REV!$C:$AA,19,0)-'TRADE IN'!$F70))</f>
        <v>7999</v>
      </c>
      <c r="V70" s="56">
        <f>IF(VLOOKUP($C70,REV!$C:$AA,20,0)-'TRADE IN'!$F70=0,"",(VLOOKUP($C70,REV!$C:$AA,20,0)-'TRADE IN'!$F70))</f>
        <v>7699</v>
      </c>
      <c r="W70" s="56">
        <f>IF(VLOOKUP($C70,REV!$C:$AA,21,0)-'TRADE IN'!$F70=0,"",(VLOOKUP($C70,REV!$C:$AA,21,0)-'TRADE IN'!$F70))</f>
        <v>7699</v>
      </c>
      <c r="X70" s="56">
        <f>IF(VLOOKUP($C70,REV!$C:$AA,22,0)-'TRADE IN'!$F70=0,"",(VLOOKUP($C70,REV!$C:$AA,22,0)-'TRADE IN'!$F70))</f>
        <v>7699</v>
      </c>
      <c r="Y70" s="56">
        <f>IF(VLOOKUP($C70,REV!$C:$AA,23,0)-'TRADE IN'!$F70=0,"",(VLOOKUP($C70,REV!$C:$AA,23,0)-'TRADE IN'!$F70))</f>
        <v>7499</v>
      </c>
      <c r="Z70" s="56">
        <f>IF(VLOOKUP($C70,REV!$C:$AA,24,0)-'TRADE IN'!$F70=0,"",(VLOOKUP($C70,REV!$C:$AA,24,0)-'TRADE IN'!$F70))</f>
        <v>7499</v>
      </c>
      <c r="AA70" s="56">
        <f>IF(VLOOKUP($C70,REV!$C:$AA,25,0)-'TRADE IN'!$F70=0,"",(VLOOKUP($C70,REV!$C:$AA,25,0)-'TRADE IN'!$F70))</f>
        <v>7499</v>
      </c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7"/>
      <c r="AW70" s="58" t="str">
        <f>REV!AW70</f>
        <v>03.11.2026</v>
      </c>
      <c r="AX70" s="147" t="str">
        <f>VLOOKUP(C70,REV!C:AX,48,0)</f>
        <v>5G</v>
      </c>
    </row>
    <row r="71" spans="1:50" ht="22.5" customHeight="1">
      <c r="A71" s="51" t="s">
        <v>63</v>
      </c>
      <c r="B71" s="52" t="s">
        <v>64</v>
      </c>
      <c r="C71" s="53">
        <v>4016593</v>
      </c>
      <c r="D71" s="54" t="s">
        <v>143</v>
      </c>
      <c r="E71" s="54" t="s">
        <v>145</v>
      </c>
      <c r="F71" s="55"/>
      <c r="G71" s="55"/>
      <c r="H71" s="56"/>
      <c r="I71" s="56"/>
      <c r="J71" s="56">
        <f>IF(VLOOKUP($C71,REV!$C:$AA,8,0)-'TRADE IN'!$F71=0,"",(VLOOKUP($C71,REV!$C:$AA,8,0)-'TRADE IN'!$F71))</f>
        <v>8999</v>
      </c>
      <c r="K71" s="56">
        <f>IF(VLOOKUP($C71,REV!$C:$AA,9,0)-'TRADE IN'!$F71=0,"",(VLOOKUP($C71,REV!$C:$AA,9,0)-'TRADE IN'!$F71))</f>
        <v>8999</v>
      </c>
      <c r="L71" s="56">
        <f>IF(VLOOKUP($C71,REV!$C:$AA,10,0)-'TRADE IN'!$F71=0,"",(VLOOKUP($C71,REV!$C:$AA,10,0)-'TRADE IN'!$F71))</f>
        <v>8999</v>
      </c>
      <c r="M71" s="56">
        <f>IF(VLOOKUP($C71,REV!$C:$AA,11,0)-'TRADE IN'!$F71=0,"",(VLOOKUP($C71,REV!$C:$AA,11,0)-'TRADE IN'!$F71))</f>
        <v>8999</v>
      </c>
      <c r="N71" s="56">
        <f>IF(VLOOKUP($C71,REV!$C:$AA,12,0)-'TRADE IN'!$F71=0,"",(VLOOKUP($C71,REV!$C:$AA,12,0)-'TRADE IN'!$F71))</f>
        <v>8999</v>
      </c>
      <c r="O71" s="56">
        <f>IF(VLOOKUP($C71,REV!$C:$AA,13,0)-'TRADE IN'!$F71=0,"",(VLOOKUP($C71,REV!$C:$AA,13,0)-'TRADE IN'!$F71))</f>
        <v>8899</v>
      </c>
      <c r="P71" s="56">
        <f>IF(VLOOKUP($C71,REV!$C:$AA,14,0)-'TRADE IN'!$F71=0,"",(VLOOKUP($C71,REV!$C:$AA,14,0)-'TRADE IN'!$F71))</f>
        <v>8799</v>
      </c>
      <c r="Q71" s="56">
        <f>IF(VLOOKUP($C71,REV!$C:$AA,15,0)-'TRADE IN'!$F71=0,"",(VLOOKUP($C71,REV!$C:$AA,15,0)-'TRADE IN'!$F71))</f>
        <v>7999</v>
      </c>
      <c r="R71" s="56">
        <f>IF(VLOOKUP($C71,REV!$C:$AA,16,0)-'TRADE IN'!$F71=0,"",(VLOOKUP($C71,REV!$C:$AA,16,0)-'TRADE IN'!$F71))</f>
        <v>8899</v>
      </c>
      <c r="S71" s="56">
        <f>IF(VLOOKUP($C71,REV!$C:$AA,17,0)-'TRADE IN'!$F71=0,"",(VLOOKUP($C71,REV!$C:$AA,17,0)-'TRADE IN'!$F71))</f>
        <v>8799</v>
      </c>
      <c r="T71" s="56">
        <f>IF(VLOOKUP($C71,REV!$C:$AA,18,0)-'TRADE IN'!$F71=0,"",(VLOOKUP($C71,REV!$C:$AA,18,0)-'TRADE IN'!$F71))</f>
        <v>7999</v>
      </c>
      <c r="U71" s="56">
        <f>IF(VLOOKUP($C71,REV!$C:$AA,19,0)-'TRADE IN'!$F71=0,"",(VLOOKUP($C71,REV!$C:$AA,19,0)-'TRADE IN'!$F71))</f>
        <v>7999</v>
      </c>
      <c r="V71" s="56">
        <f>IF(VLOOKUP($C71,REV!$C:$AA,20,0)-'TRADE IN'!$F71=0,"",(VLOOKUP($C71,REV!$C:$AA,20,0)-'TRADE IN'!$F71))</f>
        <v>7699</v>
      </c>
      <c r="W71" s="56">
        <f>IF(VLOOKUP($C71,REV!$C:$AA,21,0)-'TRADE IN'!$F71=0,"",(VLOOKUP($C71,REV!$C:$AA,21,0)-'TRADE IN'!$F71))</f>
        <v>7699</v>
      </c>
      <c r="X71" s="56">
        <f>IF(VLOOKUP($C71,REV!$C:$AA,22,0)-'TRADE IN'!$F71=0,"",(VLOOKUP($C71,REV!$C:$AA,22,0)-'TRADE IN'!$F71))</f>
        <v>7699</v>
      </c>
      <c r="Y71" s="56">
        <f>IF(VLOOKUP($C71,REV!$C:$AA,23,0)-'TRADE IN'!$F71=0,"",(VLOOKUP($C71,REV!$C:$AA,23,0)-'TRADE IN'!$F71))</f>
        <v>7499</v>
      </c>
      <c r="Z71" s="56">
        <f>IF(VLOOKUP($C71,REV!$C:$AA,24,0)-'TRADE IN'!$F71=0,"",(VLOOKUP($C71,REV!$C:$AA,24,0)-'TRADE IN'!$F71))</f>
        <v>7499</v>
      </c>
      <c r="AA71" s="56">
        <f>IF(VLOOKUP($C71,REV!$C:$AA,25,0)-'TRADE IN'!$F71=0,"",(VLOOKUP($C71,REV!$C:$AA,25,0)-'TRADE IN'!$F71))</f>
        <v>7499</v>
      </c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7"/>
      <c r="AW71" s="58" t="str">
        <f>REV!AW71</f>
        <v>03.11.2026</v>
      </c>
      <c r="AX71" s="147" t="str">
        <f>VLOOKUP(C71,REV!C:AX,48,0)</f>
        <v>5G</v>
      </c>
    </row>
    <row r="72" spans="1:50" ht="22.5" customHeight="1">
      <c r="A72" s="51" t="s">
        <v>63</v>
      </c>
      <c r="B72" s="52" t="s">
        <v>64</v>
      </c>
      <c r="C72" s="53">
        <v>4016592</v>
      </c>
      <c r="D72" s="54" t="s">
        <v>143</v>
      </c>
      <c r="E72" s="54" t="s">
        <v>146</v>
      </c>
      <c r="F72" s="55"/>
      <c r="G72" s="55"/>
      <c r="H72" s="56"/>
      <c r="I72" s="56"/>
      <c r="J72" s="56">
        <f>IF(VLOOKUP($C72,REV!$C:$AA,8,0)-'TRADE IN'!$F72=0,"",(VLOOKUP($C72,REV!$C:$AA,8,0)-'TRADE IN'!$F72))</f>
        <v>8999</v>
      </c>
      <c r="K72" s="56">
        <f>IF(VLOOKUP($C72,REV!$C:$AA,9,0)-'TRADE IN'!$F72=0,"",(VLOOKUP($C72,REV!$C:$AA,9,0)-'TRADE IN'!$F72))</f>
        <v>8999</v>
      </c>
      <c r="L72" s="56">
        <f>IF(VLOOKUP($C72,REV!$C:$AA,10,0)-'TRADE IN'!$F72=0,"",(VLOOKUP($C72,REV!$C:$AA,10,0)-'TRADE IN'!$F72))</f>
        <v>8999</v>
      </c>
      <c r="M72" s="56">
        <f>IF(VLOOKUP($C72,REV!$C:$AA,11,0)-'TRADE IN'!$F72=0,"",(VLOOKUP($C72,REV!$C:$AA,11,0)-'TRADE IN'!$F72))</f>
        <v>8999</v>
      </c>
      <c r="N72" s="56">
        <f>IF(VLOOKUP($C72,REV!$C:$AA,12,0)-'TRADE IN'!$F72=0,"",(VLOOKUP($C72,REV!$C:$AA,12,0)-'TRADE IN'!$F72))</f>
        <v>8999</v>
      </c>
      <c r="O72" s="56">
        <f>IF(VLOOKUP($C72,REV!$C:$AA,13,0)-'TRADE IN'!$F72=0,"",(VLOOKUP($C72,REV!$C:$AA,13,0)-'TRADE IN'!$F72))</f>
        <v>8899</v>
      </c>
      <c r="P72" s="56">
        <f>IF(VLOOKUP($C72,REV!$C:$AA,14,0)-'TRADE IN'!$F72=0,"",(VLOOKUP($C72,REV!$C:$AA,14,0)-'TRADE IN'!$F72))</f>
        <v>8799</v>
      </c>
      <c r="Q72" s="56">
        <f>IF(VLOOKUP($C72,REV!$C:$AA,15,0)-'TRADE IN'!$F72=0,"",(VLOOKUP($C72,REV!$C:$AA,15,0)-'TRADE IN'!$F72))</f>
        <v>7999</v>
      </c>
      <c r="R72" s="56">
        <f>IF(VLOOKUP($C72,REV!$C:$AA,16,0)-'TRADE IN'!$F72=0,"",(VLOOKUP($C72,REV!$C:$AA,16,0)-'TRADE IN'!$F72))</f>
        <v>8899</v>
      </c>
      <c r="S72" s="56">
        <f>IF(VLOOKUP($C72,REV!$C:$AA,17,0)-'TRADE IN'!$F72=0,"",(VLOOKUP($C72,REV!$C:$AA,17,0)-'TRADE IN'!$F72))</f>
        <v>8799</v>
      </c>
      <c r="T72" s="56">
        <f>IF(VLOOKUP($C72,REV!$C:$AA,18,0)-'TRADE IN'!$F72=0,"",(VLOOKUP($C72,REV!$C:$AA,18,0)-'TRADE IN'!$F72))</f>
        <v>7999</v>
      </c>
      <c r="U72" s="56">
        <f>IF(VLOOKUP($C72,REV!$C:$AA,19,0)-'TRADE IN'!$F72=0,"",(VLOOKUP($C72,REV!$C:$AA,19,0)-'TRADE IN'!$F72))</f>
        <v>7999</v>
      </c>
      <c r="V72" s="56">
        <f>IF(VLOOKUP($C72,REV!$C:$AA,20,0)-'TRADE IN'!$F72=0,"",(VLOOKUP($C72,REV!$C:$AA,20,0)-'TRADE IN'!$F72))</f>
        <v>7699</v>
      </c>
      <c r="W72" s="56">
        <f>IF(VLOOKUP($C72,REV!$C:$AA,21,0)-'TRADE IN'!$F72=0,"",(VLOOKUP($C72,REV!$C:$AA,21,0)-'TRADE IN'!$F72))</f>
        <v>7699</v>
      </c>
      <c r="X72" s="56">
        <f>IF(VLOOKUP($C72,REV!$C:$AA,22,0)-'TRADE IN'!$F72=0,"",(VLOOKUP($C72,REV!$C:$AA,22,0)-'TRADE IN'!$F72))</f>
        <v>7699</v>
      </c>
      <c r="Y72" s="56">
        <f>IF(VLOOKUP($C72,REV!$C:$AA,23,0)-'TRADE IN'!$F72=0,"",(VLOOKUP($C72,REV!$C:$AA,23,0)-'TRADE IN'!$F72))</f>
        <v>7499</v>
      </c>
      <c r="Z72" s="56">
        <f>IF(VLOOKUP($C72,REV!$C:$AA,24,0)-'TRADE IN'!$F72=0,"",(VLOOKUP($C72,REV!$C:$AA,24,0)-'TRADE IN'!$F72))</f>
        <v>7499</v>
      </c>
      <c r="AA72" s="56">
        <f>IF(VLOOKUP($C72,REV!$C:$AA,25,0)-'TRADE IN'!$F72=0,"",(VLOOKUP($C72,REV!$C:$AA,25,0)-'TRADE IN'!$F72))</f>
        <v>7499</v>
      </c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7"/>
      <c r="AW72" s="58" t="str">
        <f>REV!AW72</f>
        <v>03.11.2026</v>
      </c>
      <c r="AX72" s="147" t="str">
        <f>VLOOKUP(C72,REV!C:AX,48,0)</f>
        <v>5G</v>
      </c>
    </row>
    <row r="73" spans="1:50" ht="22.5" customHeight="1">
      <c r="A73" s="51" t="s">
        <v>63</v>
      </c>
      <c r="B73" s="52" t="s">
        <v>64</v>
      </c>
      <c r="C73" s="53">
        <v>4016591</v>
      </c>
      <c r="D73" s="54" t="s">
        <v>143</v>
      </c>
      <c r="E73" s="54" t="s">
        <v>147</v>
      </c>
      <c r="F73" s="55"/>
      <c r="G73" s="55"/>
      <c r="H73" s="56"/>
      <c r="I73" s="56"/>
      <c r="J73" s="56">
        <f>IF(VLOOKUP($C73,REV!$C:$AA,8,0)-'TRADE IN'!$F73=0,"",(VLOOKUP($C73,REV!$C:$AA,8,0)-'TRADE IN'!$F73))</f>
        <v>8999</v>
      </c>
      <c r="K73" s="56">
        <f>IF(VLOOKUP($C73,REV!$C:$AA,9,0)-'TRADE IN'!$F73=0,"",(VLOOKUP($C73,REV!$C:$AA,9,0)-'TRADE IN'!$F73))</f>
        <v>8999</v>
      </c>
      <c r="L73" s="56">
        <f>IF(VLOOKUP($C73,REV!$C:$AA,10,0)-'TRADE IN'!$F73=0,"",(VLOOKUP($C73,REV!$C:$AA,10,0)-'TRADE IN'!$F73))</f>
        <v>8999</v>
      </c>
      <c r="M73" s="56">
        <f>IF(VLOOKUP($C73,REV!$C:$AA,11,0)-'TRADE IN'!$F73=0,"",(VLOOKUP($C73,REV!$C:$AA,11,0)-'TRADE IN'!$F73))</f>
        <v>8999</v>
      </c>
      <c r="N73" s="56">
        <f>IF(VLOOKUP($C73,REV!$C:$AA,12,0)-'TRADE IN'!$F73=0,"",(VLOOKUP($C73,REV!$C:$AA,12,0)-'TRADE IN'!$F73))</f>
        <v>8999</v>
      </c>
      <c r="O73" s="56">
        <f>IF(VLOOKUP($C73,REV!$C:$AA,13,0)-'TRADE IN'!$F73=0,"",(VLOOKUP($C73,REV!$C:$AA,13,0)-'TRADE IN'!$F73))</f>
        <v>8899</v>
      </c>
      <c r="P73" s="56">
        <f>IF(VLOOKUP($C73,REV!$C:$AA,14,0)-'TRADE IN'!$F73=0,"",(VLOOKUP($C73,REV!$C:$AA,14,0)-'TRADE IN'!$F73))</f>
        <v>8799</v>
      </c>
      <c r="Q73" s="56">
        <f>IF(VLOOKUP($C73,REV!$C:$AA,15,0)-'TRADE IN'!$F73=0,"",(VLOOKUP($C73,REV!$C:$AA,15,0)-'TRADE IN'!$F73))</f>
        <v>7999</v>
      </c>
      <c r="R73" s="56">
        <f>IF(VLOOKUP($C73,REV!$C:$AA,16,0)-'TRADE IN'!$F73=0,"",(VLOOKUP($C73,REV!$C:$AA,16,0)-'TRADE IN'!$F73))</f>
        <v>8899</v>
      </c>
      <c r="S73" s="56">
        <f>IF(VLOOKUP($C73,REV!$C:$AA,17,0)-'TRADE IN'!$F73=0,"",(VLOOKUP($C73,REV!$C:$AA,17,0)-'TRADE IN'!$F73))</f>
        <v>8799</v>
      </c>
      <c r="T73" s="56">
        <f>IF(VLOOKUP($C73,REV!$C:$AA,18,0)-'TRADE IN'!$F73=0,"",(VLOOKUP($C73,REV!$C:$AA,18,0)-'TRADE IN'!$F73))</f>
        <v>7999</v>
      </c>
      <c r="U73" s="56">
        <f>IF(VLOOKUP($C73,REV!$C:$AA,19,0)-'TRADE IN'!$F73=0,"",(VLOOKUP($C73,REV!$C:$AA,19,0)-'TRADE IN'!$F73))</f>
        <v>7999</v>
      </c>
      <c r="V73" s="56">
        <f>IF(VLOOKUP($C73,REV!$C:$AA,20,0)-'TRADE IN'!$F73=0,"",(VLOOKUP($C73,REV!$C:$AA,20,0)-'TRADE IN'!$F73))</f>
        <v>7699</v>
      </c>
      <c r="W73" s="56">
        <f>IF(VLOOKUP($C73,REV!$C:$AA,21,0)-'TRADE IN'!$F73=0,"",(VLOOKUP($C73,REV!$C:$AA,21,0)-'TRADE IN'!$F73))</f>
        <v>7699</v>
      </c>
      <c r="X73" s="56">
        <f>IF(VLOOKUP($C73,REV!$C:$AA,22,0)-'TRADE IN'!$F73=0,"",(VLOOKUP($C73,REV!$C:$AA,22,0)-'TRADE IN'!$F73))</f>
        <v>7699</v>
      </c>
      <c r="Y73" s="56">
        <f>IF(VLOOKUP($C73,REV!$C:$AA,23,0)-'TRADE IN'!$F73=0,"",(VLOOKUP($C73,REV!$C:$AA,23,0)-'TRADE IN'!$F73))</f>
        <v>7499</v>
      </c>
      <c r="Z73" s="56">
        <f>IF(VLOOKUP($C73,REV!$C:$AA,24,0)-'TRADE IN'!$F73=0,"",(VLOOKUP($C73,REV!$C:$AA,24,0)-'TRADE IN'!$F73))</f>
        <v>7499</v>
      </c>
      <c r="AA73" s="56">
        <f>IF(VLOOKUP($C73,REV!$C:$AA,25,0)-'TRADE IN'!$F73=0,"",(VLOOKUP($C73,REV!$C:$AA,25,0)-'TRADE IN'!$F73))</f>
        <v>7499</v>
      </c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7"/>
      <c r="AW73" s="58" t="str">
        <f>REV!AW73</f>
        <v>03.11.2026</v>
      </c>
      <c r="AX73" s="147" t="str">
        <f>VLOOKUP(C73,REV!C:AX,48,0)</f>
        <v>5G</v>
      </c>
    </row>
    <row r="74" spans="1:50" ht="22.5" customHeight="1">
      <c r="A74" s="51" t="s">
        <v>63</v>
      </c>
      <c r="B74" s="52" t="s">
        <v>64</v>
      </c>
      <c r="C74" s="53">
        <v>4016595</v>
      </c>
      <c r="D74" s="54" t="s">
        <v>148</v>
      </c>
      <c r="E74" s="54" t="s">
        <v>149</v>
      </c>
      <c r="F74" s="55"/>
      <c r="G74" s="55"/>
      <c r="H74" s="56"/>
      <c r="I74" s="56"/>
      <c r="J74" s="56">
        <f>IF(VLOOKUP($C74,REV!$C:$AA,8,0)-'TRADE IN'!$F74=0,"",(VLOOKUP($C74,REV!$C:$AA,8,0)-'TRADE IN'!$F74))</f>
        <v>9699</v>
      </c>
      <c r="K74" s="56">
        <f>IF(VLOOKUP($C74,REV!$C:$AA,9,0)-'TRADE IN'!$F74=0,"",(VLOOKUP($C74,REV!$C:$AA,9,0)-'TRADE IN'!$F74))</f>
        <v>9699</v>
      </c>
      <c r="L74" s="56">
        <f>IF(VLOOKUP($C74,REV!$C:$AA,10,0)-'TRADE IN'!$F74=0,"",(VLOOKUP($C74,REV!$C:$AA,10,0)-'TRADE IN'!$F74))</f>
        <v>9699</v>
      </c>
      <c r="M74" s="56">
        <f>IF(VLOOKUP($C74,REV!$C:$AA,11,0)-'TRADE IN'!$F74=0,"",(VLOOKUP($C74,REV!$C:$AA,11,0)-'TRADE IN'!$F74))</f>
        <v>9699</v>
      </c>
      <c r="N74" s="56">
        <f>IF(VLOOKUP($C74,REV!$C:$AA,12,0)-'TRADE IN'!$F74=0,"",(VLOOKUP($C74,REV!$C:$AA,12,0)-'TRADE IN'!$F74))</f>
        <v>9699</v>
      </c>
      <c r="O74" s="56">
        <f>IF(VLOOKUP($C74,REV!$C:$AA,13,0)-'TRADE IN'!$F74=0,"",(VLOOKUP($C74,REV!$C:$AA,13,0)-'TRADE IN'!$F74))</f>
        <v>9599</v>
      </c>
      <c r="P74" s="56">
        <f>IF(VLOOKUP($C74,REV!$C:$AA,14,0)-'TRADE IN'!$F74=0,"",(VLOOKUP($C74,REV!$C:$AA,14,0)-'TRADE IN'!$F74))</f>
        <v>9499</v>
      </c>
      <c r="Q74" s="56">
        <f>IF(VLOOKUP($C74,REV!$C:$AA,15,0)-'TRADE IN'!$F74=0,"",(VLOOKUP($C74,REV!$C:$AA,15,0)-'TRADE IN'!$F74))</f>
        <v>8699</v>
      </c>
      <c r="R74" s="56">
        <f>IF(VLOOKUP($C74,REV!$C:$AA,16,0)-'TRADE IN'!$F74=0,"",(VLOOKUP($C74,REV!$C:$AA,16,0)-'TRADE IN'!$F74))</f>
        <v>9599</v>
      </c>
      <c r="S74" s="56">
        <f>IF(VLOOKUP($C74,REV!$C:$AA,17,0)-'TRADE IN'!$F74=0,"",(VLOOKUP($C74,REV!$C:$AA,17,0)-'TRADE IN'!$F74))</f>
        <v>9499</v>
      </c>
      <c r="T74" s="56">
        <f>IF(VLOOKUP($C74,REV!$C:$AA,18,0)-'TRADE IN'!$F74=0,"",(VLOOKUP($C74,REV!$C:$AA,18,0)-'TRADE IN'!$F74))</f>
        <v>8699</v>
      </c>
      <c r="U74" s="56">
        <f>IF(VLOOKUP($C74,REV!$C:$AA,19,0)-'TRADE IN'!$F74=0,"",(VLOOKUP($C74,REV!$C:$AA,19,0)-'TRADE IN'!$F74))</f>
        <v>8699</v>
      </c>
      <c r="V74" s="56">
        <f>IF(VLOOKUP($C74,REV!$C:$AA,20,0)-'TRADE IN'!$F74=0,"",(VLOOKUP($C74,REV!$C:$AA,20,0)-'TRADE IN'!$F74))</f>
        <v>8399</v>
      </c>
      <c r="W74" s="56">
        <f>IF(VLOOKUP($C74,REV!$C:$AA,21,0)-'TRADE IN'!$F74=0,"",(VLOOKUP($C74,REV!$C:$AA,21,0)-'TRADE IN'!$F74))</f>
        <v>8399</v>
      </c>
      <c r="X74" s="56">
        <f>IF(VLOOKUP($C74,REV!$C:$AA,22,0)-'TRADE IN'!$F74=0,"",(VLOOKUP($C74,REV!$C:$AA,22,0)-'TRADE IN'!$F74))</f>
        <v>8399</v>
      </c>
      <c r="Y74" s="56">
        <f>IF(VLOOKUP($C74,REV!$C:$AA,23,0)-'TRADE IN'!$F74=0,"",(VLOOKUP($C74,REV!$C:$AA,23,0)-'TRADE IN'!$F74))</f>
        <v>8199</v>
      </c>
      <c r="Z74" s="56">
        <f>IF(VLOOKUP($C74,REV!$C:$AA,24,0)-'TRADE IN'!$F74=0,"",(VLOOKUP($C74,REV!$C:$AA,24,0)-'TRADE IN'!$F74))</f>
        <v>8199</v>
      </c>
      <c r="AA74" s="56">
        <f>IF(VLOOKUP($C74,REV!$C:$AA,25,0)-'TRADE IN'!$F74=0,"",(VLOOKUP($C74,REV!$C:$AA,25,0)-'TRADE IN'!$F74))</f>
        <v>8199</v>
      </c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7"/>
      <c r="AW74" s="58" t="str">
        <f>REV!AW74</f>
        <v>03.11.2026</v>
      </c>
      <c r="AX74" s="147" t="str">
        <f>VLOOKUP(C74,REV!C:AX,48,0)</f>
        <v>5G</v>
      </c>
    </row>
    <row r="75" spans="1:50" ht="22.5" customHeight="1">
      <c r="A75" s="51" t="s">
        <v>63</v>
      </c>
      <c r="B75" s="52" t="s">
        <v>64</v>
      </c>
      <c r="C75" s="53">
        <v>4016596</v>
      </c>
      <c r="D75" s="54" t="s">
        <v>148</v>
      </c>
      <c r="E75" s="54" t="s">
        <v>150</v>
      </c>
      <c r="F75" s="55"/>
      <c r="G75" s="55"/>
      <c r="H75" s="56"/>
      <c r="I75" s="56"/>
      <c r="J75" s="56">
        <f>IF(VLOOKUP($C75,REV!$C:$AA,8,0)-'TRADE IN'!$F75=0,"",(VLOOKUP($C75,REV!$C:$AA,8,0)-'TRADE IN'!$F75))</f>
        <v>9699</v>
      </c>
      <c r="K75" s="56">
        <f>IF(VLOOKUP($C75,REV!$C:$AA,9,0)-'TRADE IN'!$F75=0,"",(VLOOKUP($C75,REV!$C:$AA,9,0)-'TRADE IN'!$F75))</f>
        <v>9699</v>
      </c>
      <c r="L75" s="56">
        <f>IF(VLOOKUP($C75,REV!$C:$AA,10,0)-'TRADE IN'!$F75=0,"",(VLOOKUP($C75,REV!$C:$AA,10,0)-'TRADE IN'!$F75))</f>
        <v>9699</v>
      </c>
      <c r="M75" s="56">
        <f>IF(VLOOKUP($C75,REV!$C:$AA,11,0)-'TRADE IN'!$F75=0,"",(VLOOKUP($C75,REV!$C:$AA,11,0)-'TRADE IN'!$F75))</f>
        <v>9699</v>
      </c>
      <c r="N75" s="56">
        <f>IF(VLOOKUP($C75,REV!$C:$AA,12,0)-'TRADE IN'!$F75=0,"",(VLOOKUP($C75,REV!$C:$AA,12,0)-'TRADE IN'!$F75))</f>
        <v>9699</v>
      </c>
      <c r="O75" s="56">
        <f>IF(VLOOKUP($C75,REV!$C:$AA,13,0)-'TRADE IN'!$F75=0,"",(VLOOKUP($C75,REV!$C:$AA,13,0)-'TRADE IN'!$F75))</f>
        <v>9599</v>
      </c>
      <c r="P75" s="56">
        <f>IF(VLOOKUP($C75,REV!$C:$AA,14,0)-'TRADE IN'!$F75=0,"",(VLOOKUP($C75,REV!$C:$AA,14,0)-'TRADE IN'!$F75))</f>
        <v>9499</v>
      </c>
      <c r="Q75" s="56">
        <f>IF(VLOOKUP($C75,REV!$C:$AA,15,0)-'TRADE IN'!$F75=0,"",(VLOOKUP($C75,REV!$C:$AA,15,0)-'TRADE IN'!$F75))</f>
        <v>8699</v>
      </c>
      <c r="R75" s="56">
        <f>IF(VLOOKUP($C75,REV!$C:$AA,16,0)-'TRADE IN'!$F75=0,"",(VLOOKUP($C75,REV!$C:$AA,16,0)-'TRADE IN'!$F75))</f>
        <v>9599</v>
      </c>
      <c r="S75" s="56">
        <f>IF(VLOOKUP($C75,REV!$C:$AA,17,0)-'TRADE IN'!$F75=0,"",(VLOOKUP($C75,REV!$C:$AA,17,0)-'TRADE IN'!$F75))</f>
        <v>9499</v>
      </c>
      <c r="T75" s="56">
        <f>IF(VLOOKUP($C75,REV!$C:$AA,18,0)-'TRADE IN'!$F75=0,"",(VLOOKUP($C75,REV!$C:$AA,18,0)-'TRADE IN'!$F75))</f>
        <v>8699</v>
      </c>
      <c r="U75" s="56">
        <f>IF(VLOOKUP($C75,REV!$C:$AA,19,0)-'TRADE IN'!$F75=0,"",(VLOOKUP($C75,REV!$C:$AA,19,0)-'TRADE IN'!$F75))</f>
        <v>8699</v>
      </c>
      <c r="V75" s="56">
        <f>IF(VLOOKUP($C75,REV!$C:$AA,20,0)-'TRADE IN'!$F75=0,"",(VLOOKUP($C75,REV!$C:$AA,20,0)-'TRADE IN'!$F75))</f>
        <v>8399</v>
      </c>
      <c r="W75" s="56">
        <f>IF(VLOOKUP($C75,REV!$C:$AA,21,0)-'TRADE IN'!$F75=0,"",(VLOOKUP($C75,REV!$C:$AA,21,0)-'TRADE IN'!$F75))</f>
        <v>8399</v>
      </c>
      <c r="X75" s="56">
        <f>IF(VLOOKUP($C75,REV!$C:$AA,22,0)-'TRADE IN'!$F75=0,"",(VLOOKUP($C75,REV!$C:$AA,22,0)-'TRADE IN'!$F75))</f>
        <v>8399</v>
      </c>
      <c r="Y75" s="56">
        <f>IF(VLOOKUP($C75,REV!$C:$AA,23,0)-'TRADE IN'!$F75=0,"",(VLOOKUP($C75,REV!$C:$AA,23,0)-'TRADE IN'!$F75))</f>
        <v>8199</v>
      </c>
      <c r="Z75" s="56">
        <f>IF(VLOOKUP($C75,REV!$C:$AA,24,0)-'TRADE IN'!$F75=0,"",(VLOOKUP($C75,REV!$C:$AA,24,0)-'TRADE IN'!$F75))</f>
        <v>8199</v>
      </c>
      <c r="AA75" s="56">
        <f>IF(VLOOKUP($C75,REV!$C:$AA,25,0)-'TRADE IN'!$F75=0,"",(VLOOKUP($C75,REV!$C:$AA,25,0)-'TRADE IN'!$F75))</f>
        <v>8199</v>
      </c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7"/>
      <c r="AW75" s="58" t="str">
        <f>REV!AW75</f>
        <v>03.11.2026</v>
      </c>
      <c r="AX75" s="147" t="str">
        <f>VLOOKUP(C75,REV!C:AX,48,0)</f>
        <v>5G</v>
      </c>
    </row>
    <row r="76" spans="1:50" ht="22.5" customHeight="1">
      <c r="A76" s="51" t="s">
        <v>63</v>
      </c>
      <c r="B76" s="52" t="s">
        <v>64</v>
      </c>
      <c r="C76" s="53">
        <v>4016508</v>
      </c>
      <c r="D76" s="54" t="s">
        <v>148</v>
      </c>
      <c r="E76" s="54" t="s">
        <v>151</v>
      </c>
      <c r="F76" s="55"/>
      <c r="G76" s="55"/>
      <c r="H76" s="56"/>
      <c r="I76" s="56"/>
      <c r="J76" s="56">
        <f>IF(VLOOKUP($C76,REV!$C:$AA,8,0)-'TRADE IN'!$F76=0,"",(VLOOKUP($C76,REV!$C:$AA,8,0)-'TRADE IN'!$F76))</f>
        <v>9699</v>
      </c>
      <c r="K76" s="56">
        <f>IF(VLOOKUP($C76,REV!$C:$AA,9,0)-'TRADE IN'!$F76=0,"",(VLOOKUP($C76,REV!$C:$AA,9,0)-'TRADE IN'!$F76))</f>
        <v>9699</v>
      </c>
      <c r="L76" s="56">
        <f>IF(VLOOKUP($C76,REV!$C:$AA,10,0)-'TRADE IN'!$F76=0,"",(VLOOKUP($C76,REV!$C:$AA,10,0)-'TRADE IN'!$F76))</f>
        <v>9699</v>
      </c>
      <c r="M76" s="56">
        <f>IF(VLOOKUP($C76,REV!$C:$AA,11,0)-'TRADE IN'!$F76=0,"",(VLOOKUP($C76,REV!$C:$AA,11,0)-'TRADE IN'!$F76))</f>
        <v>9699</v>
      </c>
      <c r="N76" s="56">
        <f>IF(VLOOKUP($C76,REV!$C:$AA,12,0)-'TRADE IN'!$F76=0,"",(VLOOKUP($C76,REV!$C:$AA,12,0)-'TRADE IN'!$F76))</f>
        <v>9699</v>
      </c>
      <c r="O76" s="56">
        <f>IF(VLOOKUP($C76,REV!$C:$AA,13,0)-'TRADE IN'!$F76=0,"",(VLOOKUP($C76,REV!$C:$AA,13,0)-'TRADE IN'!$F76))</f>
        <v>9599</v>
      </c>
      <c r="P76" s="56">
        <f>IF(VLOOKUP($C76,REV!$C:$AA,14,0)-'TRADE IN'!$F76=0,"",(VLOOKUP($C76,REV!$C:$AA,14,0)-'TRADE IN'!$F76))</f>
        <v>9499</v>
      </c>
      <c r="Q76" s="56">
        <f>IF(VLOOKUP($C76,REV!$C:$AA,15,0)-'TRADE IN'!$F76=0,"",(VLOOKUP($C76,REV!$C:$AA,15,0)-'TRADE IN'!$F76))</f>
        <v>8699</v>
      </c>
      <c r="R76" s="56">
        <f>IF(VLOOKUP($C76,REV!$C:$AA,16,0)-'TRADE IN'!$F76=0,"",(VLOOKUP($C76,REV!$C:$AA,16,0)-'TRADE IN'!$F76))</f>
        <v>9599</v>
      </c>
      <c r="S76" s="56">
        <f>IF(VLOOKUP($C76,REV!$C:$AA,17,0)-'TRADE IN'!$F76=0,"",(VLOOKUP($C76,REV!$C:$AA,17,0)-'TRADE IN'!$F76))</f>
        <v>9499</v>
      </c>
      <c r="T76" s="56">
        <f>IF(VLOOKUP($C76,REV!$C:$AA,18,0)-'TRADE IN'!$F76=0,"",(VLOOKUP($C76,REV!$C:$AA,18,0)-'TRADE IN'!$F76))</f>
        <v>8699</v>
      </c>
      <c r="U76" s="56">
        <f>IF(VLOOKUP($C76,REV!$C:$AA,19,0)-'TRADE IN'!$F76=0,"",(VLOOKUP($C76,REV!$C:$AA,19,0)-'TRADE IN'!$F76))</f>
        <v>8699</v>
      </c>
      <c r="V76" s="56">
        <f>IF(VLOOKUP($C76,REV!$C:$AA,20,0)-'TRADE IN'!$F76=0,"",(VLOOKUP($C76,REV!$C:$AA,20,0)-'TRADE IN'!$F76))</f>
        <v>8399</v>
      </c>
      <c r="W76" s="56">
        <f>IF(VLOOKUP($C76,REV!$C:$AA,21,0)-'TRADE IN'!$F76=0,"",(VLOOKUP($C76,REV!$C:$AA,21,0)-'TRADE IN'!$F76))</f>
        <v>8399</v>
      </c>
      <c r="X76" s="56">
        <f>IF(VLOOKUP($C76,REV!$C:$AA,22,0)-'TRADE IN'!$F76=0,"",(VLOOKUP($C76,REV!$C:$AA,22,0)-'TRADE IN'!$F76))</f>
        <v>8399</v>
      </c>
      <c r="Y76" s="56">
        <f>IF(VLOOKUP($C76,REV!$C:$AA,23,0)-'TRADE IN'!$F76=0,"",(VLOOKUP($C76,REV!$C:$AA,23,0)-'TRADE IN'!$F76))</f>
        <v>8199</v>
      </c>
      <c r="Z76" s="56">
        <f>IF(VLOOKUP($C76,REV!$C:$AA,24,0)-'TRADE IN'!$F76=0,"",(VLOOKUP($C76,REV!$C:$AA,24,0)-'TRADE IN'!$F76))</f>
        <v>8199</v>
      </c>
      <c r="AA76" s="56">
        <f>IF(VLOOKUP($C76,REV!$C:$AA,25,0)-'TRADE IN'!$F76=0,"",(VLOOKUP($C76,REV!$C:$AA,25,0)-'TRADE IN'!$F76))</f>
        <v>8199</v>
      </c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7"/>
      <c r="AW76" s="58" t="str">
        <f>REV!AW76</f>
        <v>03.11.2026</v>
      </c>
      <c r="AX76" s="147" t="str">
        <f>VLOOKUP(C76,REV!C:AX,48,0)</f>
        <v>5G</v>
      </c>
    </row>
    <row r="77" spans="1:50" ht="22.5" customHeight="1">
      <c r="A77" s="51" t="s">
        <v>63</v>
      </c>
      <c r="B77" s="52" t="s">
        <v>64</v>
      </c>
      <c r="C77" s="53">
        <v>4016507</v>
      </c>
      <c r="D77" s="54" t="s">
        <v>148</v>
      </c>
      <c r="E77" s="54" t="s">
        <v>152</v>
      </c>
      <c r="F77" s="55"/>
      <c r="G77" s="55"/>
      <c r="H77" s="56"/>
      <c r="I77" s="56"/>
      <c r="J77" s="56">
        <f>IF(VLOOKUP($C77,REV!$C:$AA,8,0)-'TRADE IN'!$F77=0,"",(VLOOKUP($C77,REV!$C:$AA,8,0)-'TRADE IN'!$F77))</f>
        <v>9699</v>
      </c>
      <c r="K77" s="56">
        <f>IF(VLOOKUP($C77,REV!$C:$AA,9,0)-'TRADE IN'!$F77=0,"",(VLOOKUP($C77,REV!$C:$AA,9,0)-'TRADE IN'!$F77))</f>
        <v>9699</v>
      </c>
      <c r="L77" s="56">
        <f>IF(VLOOKUP($C77,REV!$C:$AA,10,0)-'TRADE IN'!$F77=0,"",(VLOOKUP($C77,REV!$C:$AA,10,0)-'TRADE IN'!$F77))</f>
        <v>9699</v>
      </c>
      <c r="M77" s="56">
        <f>IF(VLOOKUP($C77,REV!$C:$AA,11,0)-'TRADE IN'!$F77=0,"",(VLOOKUP($C77,REV!$C:$AA,11,0)-'TRADE IN'!$F77))</f>
        <v>9699</v>
      </c>
      <c r="N77" s="56">
        <f>IF(VLOOKUP($C77,REV!$C:$AA,12,0)-'TRADE IN'!$F77=0,"",(VLOOKUP($C77,REV!$C:$AA,12,0)-'TRADE IN'!$F77))</f>
        <v>9699</v>
      </c>
      <c r="O77" s="56">
        <f>IF(VLOOKUP($C77,REV!$C:$AA,13,0)-'TRADE IN'!$F77=0,"",(VLOOKUP($C77,REV!$C:$AA,13,0)-'TRADE IN'!$F77))</f>
        <v>9599</v>
      </c>
      <c r="P77" s="56">
        <f>IF(VLOOKUP($C77,REV!$C:$AA,14,0)-'TRADE IN'!$F77=0,"",(VLOOKUP($C77,REV!$C:$AA,14,0)-'TRADE IN'!$F77))</f>
        <v>9499</v>
      </c>
      <c r="Q77" s="56">
        <f>IF(VLOOKUP($C77,REV!$C:$AA,15,0)-'TRADE IN'!$F77=0,"",(VLOOKUP($C77,REV!$C:$AA,15,0)-'TRADE IN'!$F77))</f>
        <v>8699</v>
      </c>
      <c r="R77" s="56">
        <f>IF(VLOOKUP($C77,REV!$C:$AA,16,0)-'TRADE IN'!$F77=0,"",(VLOOKUP($C77,REV!$C:$AA,16,0)-'TRADE IN'!$F77))</f>
        <v>9599</v>
      </c>
      <c r="S77" s="56">
        <f>IF(VLOOKUP($C77,REV!$C:$AA,17,0)-'TRADE IN'!$F77=0,"",(VLOOKUP($C77,REV!$C:$AA,17,0)-'TRADE IN'!$F77))</f>
        <v>9499</v>
      </c>
      <c r="T77" s="56">
        <f>IF(VLOOKUP($C77,REV!$C:$AA,18,0)-'TRADE IN'!$F77=0,"",(VLOOKUP($C77,REV!$C:$AA,18,0)-'TRADE IN'!$F77))</f>
        <v>8699</v>
      </c>
      <c r="U77" s="56">
        <f>IF(VLOOKUP($C77,REV!$C:$AA,19,0)-'TRADE IN'!$F77=0,"",(VLOOKUP($C77,REV!$C:$AA,19,0)-'TRADE IN'!$F77))</f>
        <v>8699</v>
      </c>
      <c r="V77" s="56">
        <f>IF(VLOOKUP($C77,REV!$C:$AA,20,0)-'TRADE IN'!$F77=0,"",(VLOOKUP($C77,REV!$C:$AA,20,0)-'TRADE IN'!$F77))</f>
        <v>8399</v>
      </c>
      <c r="W77" s="56">
        <f>IF(VLOOKUP($C77,REV!$C:$AA,21,0)-'TRADE IN'!$F77=0,"",(VLOOKUP($C77,REV!$C:$AA,21,0)-'TRADE IN'!$F77))</f>
        <v>8399</v>
      </c>
      <c r="X77" s="56">
        <f>IF(VLOOKUP($C77,REV!$C:$AA,22,0)-'TRADE IN'!$F77=0,"",(VLOOKUP($C77,REV!$C:$AA,22,0)-'TRADE IN'!$F77))</f>
        <v>8399</v>
      </c>
      <c r="Y77" s="56">
        <f>IF(VLOOKUP($C77,REV!$C:$AA,23,0)-'TRADE IN'!$F77=0,"",(VLOOKUP($C77,REV!$C:$AA,23,0)-'TRADE IN'!$F77))</f>
        <v>8199</v>
      </c>
      <c r="Z77" s="56">
        <f>IF(VLOOKUP($C77,REV!$C:$AA,24,0)-'TRADE IN'!$F77=0,"",(VLOOKUP($C77,REV!$C:$AA,24,0)-'TRADE IN'!$F77))</f>
        <v>8199</v>
      </c>
      <c r="AA77" s="56">
        <f>IF(VLOOKUP($C77,REV!$C:$AA,25,0)-'TRADE IN'!$F77=0,"",(VLOOKUP($C77,REV!$C:$AA,25,0)-'TRADE IN'!$F77))</f>
        <v>8199</v>
      </c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7"/>
      <c r="AW77" s="58" t="str">
        <f>REV!AW77</f>
        <v>03.11.2026</v>
      </c>
      <c r="AX77" s="147" t="str">
        <f>VLOOKUP(C77,REV!C:AX,48,0)</f>
        <v>5G</v>
      </c>
    </row>
    <row r="78" spans="1:50" ht="22.5" customHeight="1">
      <c r="A78" s="51" t="s">
        <v>63</v>
      </c>
      <c r="B78" s="52" t="s">
        <v>64</v>
      </c>
      <c r="C78" s="53">
        <v>4016598</v>
      </c>
      <c r="D78" s="54" t="s">
        <v>153</v>
      </c>
      <c r="E78" s="54" t="s">
        <v>154</v>
      </c>
      <c r="F78" s="55"/>
      <c r="G78" s="55"/>
      <c r="H78" s="56"/>
      <c r="I78" s="56"/>
      <c r="J78" s="56">
        <f>IF(VLOOKUP($C78,REV!$C:$AA,8,0)-'TRADE IN'!$F78=0,"",(VLOOKUP($C78,REV!$C:$AA,8,0)-'TRADE IN'!$F78))</f>
        <v>11799</v>
      </c>
      <c r="K78" s="56">
        <f>IF(VLOOKUP($C78,REV!$C:$AA,9,0)-'TRADE IN'!$F78=0,"",(VLOOKUP($C78,REV!$C:$AA,9,0)-'TRADE IN'!$F78))</f>
        <v>11799</v>
      </c>
      <c r="L78" s="56">
        <f>IF(VLOOKUP($C78,REV!$C:$AA,10,0)-'TRADE IN'!$F78=0,"",(VLOOKUP($C78,REV!$C:$AA,10,0)-'TRADE IN'!$F78))</f>
        <v>11799</v>
      </c>
      <c r="M78" s="56">
        <f>IF(VLOOKUP($C78,REV!$C:$AA,11,0)-'TRADE IN'!$F78=0,"",(VLOOKUP($C78,REV!$C:$AA,11,0)-'TRADE IN'!$F78))</f>
        <v>11799</v>
      </c>
      <c r="N78" s="56">
        <f>IF(VLOOKUP($C78,REV!$C:$AA,12,0)-'TRADE IN'!$F78=0,"",(VLOOKUP($C78,REV!$C:$AA,12,0)-'TRADE IN'!$F78))</f>
        <v>11799</v>
      </c>
      <c r="O78" s="56">
        <f>IF(VLOOKUP($C78,REV!$C:$AA,13,0)-'TRADE IN'!$F78=0,"",(VLOOKUP($C78,REV!$C:$AA,13,0)-'TRADE IN'!$F78))</f>
        <v>11699</v>
      </c>
      <c r="P78" s="56">
        <f>IF(VLOOKUP($C78,REV!$C:$AA,14,0)-'TRADE IN'!$F78=0,"",(VLOOKUP($C78,REV!$C:$AA,14,0)-'TRADE IN'!$F78))</f>
        <v>11599</v>
      </c>
      <c r="Q78" s="56">
        <f>IF(VLOOKUP($C78,REV!$C:$AA,15,0)-'TRADE IN'!$F78=0,"",(VLOOKUP($C78,REV!$C:$AA,15,0)-'TRADE IN'!$F78))</f>
        <v>10799</v>
      </c>
      <c r="R78" s="56">
        <f>IF(VLOOKUP($C78,REV!$C:$AA,16,0)-'TRADE IN'!$F78=0,"",(VLOOKUP($C78,REV!$C:$AA,16,0)-'TRADE IN'!$F78))</f>
        <v>11699</v>
      </c>
      <c r="S78" s="56">
        <f>IF(VLOOKUP($C78,REV!$C:$AA,17,0)-'TRADE IN'!$F78=0,"",(VLOOKUP($C78,REV!$C:$AA,17,0)-'TRADE IN'!$F78))</f>
        <v>11599</v>
      </c>
      <c r="T78" s="56">
        <f>IF(VLOOKUP($C78,REV!$C:$AA,18,0)-'TRADE IN'!$F78=0,"",(VLOOKUP($C78,REV!$C:$AA,18,0)-'TRADE IN'!$F78))</f>
        <v>10799</v>
      </c>
      <c r="U78" s="56">
        <f>IF(VLOOKUP($C78,REV!$C:$AA,19,0)-'TRADE IN'!$F78=0,"",(VLOOKUP($C78,REV!$C:$AA,19,0)-'TRADE IN'!$F78))</f>
        <v>10799</v>
      </c>
      <c r="V78" s="56">
        <f>IF(VLOOKUP($C78,REV!$C:$AA,20,0)-'TRADE IN'!$F78=0,"",(VLOOKUP($C78,REV!$C:$AA,20,0)-'TRADE IN'!$F78))</f>
        <v>10799</v>
      </c>
      <c r="W78" s="56">
        <f>IF(VLOOKUP($C78,REV!$C:$AA,21,0)-'TRADE IN'!$F78=0,"",(VLOOKUP($C78,REV!$C:$AA,21,0)-'TRADE IN'!$F78))</f>
        <v>10699</v>
      </c>
      <c r="X78" s="56">
        <f>IF(VLOOKUP($C78,REV!$C:$AA,22,0)-'TRADE IN'!$F78=0,"",(VLOOKUP($C78,REV!$C:$AA,22,0)-'TRADE IN'!$F78))</f>
        <v>10699</v>
      </c>
      <c r="Y78" s="56">
        <f>IF(VLOOKUP($C78,REV!$C:$AA,23,0)-'TRADE IN'!$F78=0,"",(VLOOKUP($C78,REV!$C:$AA,23,0)-'TRADE IN'!$F78))</f>
        <v>9699</v>
      </c>
      <c r="Z78" s="56">
        <f>IF(VLOOKUP($C78,REV!$C:$AA,24,0)-'TRADE IN'!$F78=0,"",(VLOOKUP($C78,REV!$C:$AA,24,0)-'TRADE IN'!$F78))</f>
        <v>9599</v>
      </c>
      <c r="AA78" s="56">
        <f>IF(VLOOKUP($C78,REV!$C:$AA,25,0)-'TRADE IN'!$F78=0,"",(VLOOKUP($C78,REV!$C:$AA,25,0)-'TRADE IN'!$F78))</f>
        <v>9599</v>
      </c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7"/>
      <c r="AW78" s="58" t="str">
        <f>REV!AW78</f>
        <v>03.11.2026</v>
      </c>
      <c r="AX78" s="147" t="str">
        <f>VLOOKUP(C78,REV!C:AX,48,0)</f>
        <v>5G</v>
      </c>
    </row>
    <row r="79" spans="1:50" ht="22.5" customHeight="1">
      <c r="A79" s="51" t="s">
        <v>63</v>
      </c>
      <c r="B79" s="52" t="s">
        <v>64</v>
      </c>
      <c r="C79" s="53">
        <v>4016606</v>
      </c>
      <c r="D79" s="54" t="s">
        <v>155</v>
      </c>
      <c r="E79" s="54" t="s">
        <v>156</v>
      </c>
      <c r="F79" s="55"/>
      <c r="G79" s="55"/>
      <c r="H79" s="56"/>
      <c r="I79" s="56"/>
      <c r="J79" s="56">
        <f>IF(VLOOKUP($C79,REV!$C:$AA,8,0)-'TRADE IN'!$F79=0,"",(VLOOKUP($C79,REV!$C:$AA,8,0)-'TRADE IN'!$F79))</f>
        <v>10899</v>
      </c>
      <c r="K79" s="56">
        <f>IF(VLOOKUP($C79,REV!$C:$AA,9,0)-'TRADE IN'!$F79=0,"",(VLOOKUP($C79,REV!$C:$AA,9,0)-'TRADE IN'!$F79))</f>
        <v>10899</v>
      </c>
      <c r="L79" s="56">
        <f>IF(VLOOKUP($C79,REV!$C:$AA,10,0)-'TRADE IN'!$F79=0,"",(VLOOKUP($C79,REV!$C:$AA,10,0)-'TRADE IN'!$F79))</f>
        <v>10899</v>
      </c>
      <c r="M79" s="56">
        <f>IF(VLOOKUP($C79,REV!$C:$AA,11,0)-'TRADE IN'!$F79=0,"",(VLOOKUP($C79,REV!$C:$AA,11,0)-'TRADE IN'!$F79))</f>
        <v>10899</v>
      </c>
      <c r="N79" s="56">
        <f>IF(VLOOKUP($C79,REV!$C:$AA,12,0)-'TRADE IN'!$F79=0,"",(VLOOKUP($C79,REV!$C:$AA,12,0)-'TRADE IN'!$F79))</f>
        <v>10899</v>
      </c>
      <c r="O79" s="56">
        <f>IF(VLOOKUP($C79,REV!$C:$AA,13,0)-'TRADE IN'!$F79=0,"",(VLOOKUP($C79,REV!$C:$AA,13,0)-'TRADE IN'!$F79))</f>
        <v>10599</v>
      </c>
      <c r="P79" s="56">
        <f>IF(VLOOKUP($C79,REV!$C:$AA,14,0)-'TRADE IN'!$F79=0,"",(VLOOKUP($C79,REV!$C:$AA,14,0)-'TRADE IN'!$F79))</f>
        <v>10499</v>
      </c>
      <c r="Q79" s="56">
        <f>IF(VLOOKUP($C79,REV!$C:$AA,15,0)-'TRADE IN'!$F79=0,"",(VLOOKUP($C79,REV!$C:$AA,15,0)-'TRADE IN'!$F79))</f>
        <v>9799</v>
      </c>
      <c r="R79" s="56">
        <f>IF(VLOOKUP($C79,REV!$C:$AA,16,0)-'TRADE IN'!$F79=0,"",(VLOOKUP($C79,REV!$C:$AA,16,0)-'TRADE IN'!$F79))</f>
        <v>10599</v>
      </c>
      <c r="S79" s="56">
        <f>IF(VLOOKUP($C79,REV!$C:$AA,17,0)-'TRADE IN'!$F79=0,"",(VLOOKUP($C79,REV!$C:$AA,17,0)-'TRADE IN'!$F79))</f>
        <v>10499</v>
      </c>
      <c r="T79" s="56">
        <f>IF(VLOOKUP($C79,REV!$C:$AA,18,0)-'TRADE IN'!$F79=0,"",(VLOOKUP($C79,REV!$C:$AA,18,0)-'TRADE IN'!$F79))</f>
        <v>9799</v>
      </c>
      <c r="U79" s="56">
        <f>IF(VLOOKUP($C79,REV!$C:$AA,19,0)-'TRADE IN'!$F79=0,"",(VLOOKUP($C79,REV!$C:$AA,19,0)-'TRADE IN'!$F79))</f>
        <v>9799</v>
      </c>
      <c r="V79" s="56">
        <f>IF(VLOOKUP($C79,REV!$C:$AA,20,0)-'TRADE IN'!$F79=0,"",(VLOOKUP($C79,REV!$C:$AA,20,0)-'TRADE IN'!$F79))</f>
        <v>9799</v>
      </c>
      <c r="W79" s="56">
        <f>IF(VLOOKUP($C79,REV!$C:$AA,21,0)-'TRADE IN'!$F79=0,"",(VLOOKUP($C79,REV!$C:$AA,21,0)-'TRADE IN'!$F79))</f>
        <v>9799</v>
      </c>
      <c r="X79" s="56">
        <f>IF(VLOOKUP($C79,REV!$C:$AA,22,0)-'TRADE IN'!$F79=0,"",(VLOOKUP($C79,REV!$C:$AA,22,0)-'TRADE IN'!$F79))</f>
        <v>9599</v>
      </c>
      <c r="Y79" s="56">
        <f>IF(VLOOKUP($C79,REV!$C:$AA,23,0)-'TRADE IN'!$F79=0,"",(VLOOKUP($C79,REV!$C:$AA,23,0)-'TRADE IN'!$F79))</f>
        <v>8999</v>
      </c>
      <c r="Z79" s="56">
        <f>IF(VLOOKUP($C79,REV!$C:$AA,24,0)-'TRADE IN'!$F79=0,"",(VLOOKUP($C79,REV!$C:$AA,24,0)-'TRADE IN'!$F79))</f>
        <v>8999</v>
      </c>
      <c r="AA79" s="56">
        <f>IF(VLOOKUP($C79,REV!$C:$AA,25,0)-'TRADE IN'!$F79=0,"",(VLOOKUP($C79,REV!$C:$AA,25,0)-'TRADE IN'!$F79))</f>
        <v>8999</v>
      </c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7"/>
      <c r="AW79" s="58" t="str">
        <f>REV!AW79</f>
        <v>03.11.2026</v>
      </c>
      <c r="AX79" s="147" t="str">
        <f>VLOOKUP(C79,REV!C:AX,48,0)</f>
        <v>5G</v>
      </c>
    </row>
    <row r="80" spans="1:50" ht="22.5" customHeight="1">
      <c r="A80" s="51" t="s">
        <v>63</v>
      </c>
      <c r="B80" s="52" t="s">
        <v>64</v>
      </c>
      <c r="C80" s="53">
        <v>4016618</v>
      </c>
      <c r="D80" s="54" t="s">
        <v>155</v>
      </c>
      <c r="E80" s="54" t="s">
        <v>157</v>
      </c>
      <c r="F80" s="55"/>
      <c r="G80" s="55"/>
      <c r="H80" s="56"/>
      <c r="I80" s="56"/>
      <c r="J80" s="56">
        <f>IF(VLOOKUP($C80,REV!$C:$AA,8,0)-'TRADE IN'!$F80=0,"",(VLOOKUP($C80,REV!$C:$AA,8,0)-'TRADE IN'!$F80))</f>
        <v>10899</v>
      </c>
      <c r="K80" s="56">
        <f>IF(VLOOKUP($C80,REV!$C:$AA,9,0)-'TRADE IN'!$F80=0,"",(VLOOKUP($C80,REV!$C:$AA,9,0)-'TRADE IN'!$F80))</f>
        <v>10899</v>
      </c>
      <c r="L80" s="56">
        <f>IF(VLOOKUP($C80,REV!$C:$AA,10,0)-'TRADE IN'!$F80=0,"",(VLOOKUP($C80,REV!$C:$AA,10,0)-'TRADE IN'!$F80))</f>
        <v>10899</v>
      </c>
      <c r="M80" s="56">
        <f>IF(VLOOKUP($C80,REV!$C:$AA,11,0)-'TRADE IN'!$F80=0,"",(VLOOKUP($C80,REV!$C:$AA,11,0)-'TRADE IN'!$F80))</f>
        <v>10899</v>
      </c>
      <c r="N80" s="56">
        <f>IF(VLOOKUP($C80,REV!$C:$AA,12,0)-'TRADE IN'!$F80=0,"",(VLOOKUP($C80,REV!$C:$AA,12,0)-'TRADE IN'!$F80))</f>
        <v>10899</v>
      </c>
      <c r="O80" s="56">
        <f>IF(VLOOKUP($C80,REV!$C:$AA,13,0)-'TRADE IN'!$F80=0,"",(VLOOKUP($C80,REV!$C:$AA,13,0)-'TRADE IN'!$F80))</f>
        <v>10599</v>
      </c>
      <c r="P80" s="56">
        <f>IF(VLOOKUP($C80,REV!$C:$AA,14,0)-'TRADE IN'!$F80=0,"",(VLOOKUP($C80,REV!$C:$AA,14,0)-'TRADE IN'!$F80))</f>
        <v>10499</v>
      </c>
      <c r="Q80" s="56">
        <f>IF(VLOOKUP($C80,REV!$C:$AA,15,0)-'TRADE IN'!$F80=0,"",(VLOOKUP($C80,REV!$C:$AA,15,0)-'TRADE IN'!$F80))</f>
        <v>9799</v>
      </c>
      <c r="R80" s="56">
        <f>IF(VLOOKUP($C80,REV!$C:$AA,16,0)-'TRADE IN'!$F80=0,"",(VLOOKUP($C80,REV!$C:$AA,16,0)-'TRADE IN'!$F80))</f>
        <v>10599</v>
      </c>
      <c r="S80" s="56">
        <f>IF(VLOOKUP($C80,REV!$C:$AA,17,0)-'TRADE IN'!$F80=0,"",(VLOOKUP($C80,REV!$C:$AA,17,0)-'TRADE IN'!$F80))</f>
        <v>10499</v>
      </c>
      <c r="T80" s="56">
        <f>IF(VLOOKUP($C80,REV!$C:$AA,18,0)-'TRADE IN'!$F80=0,"",(VLOOKUP($C80,REV!$C:$AA,18,0)-'TRADE IN'!$F80))</f>
        <v>9799</v>
      </c>
      <c r="U80" s="56">
        <f>IF(VLOOKUP($C80,REV!$C:$AA,19,0)-'TRADE IN'!$F80=0,"",(VLOOKUP($C80,REV!$C:$AA,19,0)-'TRADE IN'!$F80))</f>
        <v>9799</v>
      </c>
      <c r="V80" s="56">
        <f>IF(VLOOKUP($C80,REV!$C:$AA,20,0)-'TRADE IN'!$F80=0,"",(VLOOKUP($C80,REV!$C:$AA,20,0)-'TRADE IN'!$F80))</f>
        <v>9799</v>
      </c>
      <c r="W80" s="56">
        <f>IF(VLOOKUP($C80,REV!$C:$AA,21,0)-'TRADE IN'!$F80=0,"",(VLOOKUP($C80,REV!$C:$AA,21,0)-'TRADE IN'!$F80))</f>
        <v>9799</v>
      </c>
      <c r="X80" s="56">
        <f>IF(VLOOKUP($C80,REV!$C:$AA,22,0)-'TRADE IN'!$F80=0,"",(VLOOKUP($C80,REV!$C:$AA,22,0)-'TRADE IN'!$F80))</f>
        <v>9599</v>
      </c>
      <c r="Y80" s="56">
        <f>IF(VLOOKUP($C80,REV!$C:$AA,23,0)-'TRADE IN'!$F80=0,"",(VLOOKUP($C80,REV!$C:$AA,23,0)-'TRADE IN'!$F80))</f>
        <v>8999</v>
      </c>
      <c r="Z80" s="56">
        <f>IF(VLOOKUP($C80,REV!$C:$AA,24,0)-'TRADE IN'!$F80=0,"",(VLOOKUP($C80,REV!$C:$AA,24,0)-'TRADE IN'!$F80))</f>
        <v>8999</v>
      </c>
      <c r="AA80" s="56">
        <f>IF(VLOOKUP($C80,REV!$C:$AA,25,0)-'TRADE IN'!$F80=0,"",(VLOOKUP($C80,REV!$C:$AA,25,0)-'TRADE IN'!$F80))</f>
        <v>8999</v>
      </c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7"/>
      <c r="AW80" s="58" t="str">
        <f>REV!AW80</f>
        <v>03.11.2026</v>
      </c>
      <c r="AX80" s="147" t="str">
        <f>VLOOKUP(C80,REV!C:AX,48,0)</f>
        <v>5G</v>
      </c>
    </row>
    <row r="81" spans="1:50" ht="22.5" customHeight="1">
      <c r="A81" s="51" t="s">
        <v>63</v>
      </c>
      <c r="B81" s="52" t="s">
        <v>64</v>
      </c>
      <c r="C81" s="53">
        <v>4016617</v>
      </c>
      <c r="D81" s="54" t="s">
        <v>155</v>
      </c>
      <c r="E81" s="54" t="s">
        <v>158</v>
      </c>
      <c r="F81" s="55"/>
      <c r="G81" s="55"/>
      <c r="H81" s="56"/>
      <c r="I81" s="56"/>
      <c r="J81" s="56">
        <f>IF(VLOOKUP($C81,REV!$C:$AA,8,0)-'TRADE IN'!$F81=0,"",(VLOOKUP($C81,REV!$C:$AA,8,0)-'TRADE IN'!$F81))</f>
        <v>10899</v>
      </c>
      <c r="K81" s="56">
        <f>IF(VLOOKUP($C81,REV!$C:$AA,9,0)-'TRADE IN'!$F81=0,"",(VLOOKUP($C81,REV!$C:$AA,9,0)-'TRADE IN'!$F81))</f>
        <v>10899</v>
      </c>
      <c r="L81" s="56">
        <f>IF(VLOOKUP($C81,REV!$C:$AA,10,0)-'TRADE IN'!$F81=0,"",(VLOOKUP($C81,REV!$C:$AA,10,0)-'TRADE IN'!$F81))</f>
        <v>10899</v>
      </c>
      <c r="M81" s="56">
        <f>IF(VLOOKUP($C81,REV!$C:$AA,11,0)-'TRADE IN'!$F81=0,"",(VLOOKUP($C81,REV!$C:$AA,11,0)-'TRADE IN'!$F81))</f>
        <v>10899</v>
      </c>
      <c r="N81" s="56">
        <f>IF(VLOOKUP($C81,REV!$C:$AA,12,0)-'TRADE IN'!$F81=0,"",(VLOOKUP($C81,REV!$C:$AA,12,0)-'TRADE IN'!$F81))</f>
        <v>10899</v>
      </c>
      <c r="O81" s="56">
        <f>IF(VLOOKUP($C81,REV!$C:$AA,13,0)-'TRADE IN'!$F81=0,"",(VLOOKUP($C81,REV!$C:$AA,13,0)-'TRADE IN'!$F81))</f>
        <v>10599</v>
      </c>
      <c r="P81" s="56">
        <f>IF(VLOOKUP($C81,REV!$C:$AA,14,0)-'TRADE IN'!$F81=0,"",(VLOOKUP($C81,REV!$C:$AA,14,0)-'TRADE IN'!$F81))</f>
        <v>10499</v>
      </c>
      <c r="Q81" s="56">
        <f>IF(VLOOKUP($C81,REV!$C:$AA,15,0)-'TRADE IN'!$F81=0,"",(VLOOKUP($C81,REV!$C:$AA,15,0)-'TRADE IN'!$F81))</f>
        <v>9799</v>
      </c>
      <c r="R81" s="56">
        <f>IF(VLOOKUP($C81,REV!$C:$AA,16,0)-'TRADE IN'!$F81=0,"",(VLOOKUP($C81,REV!$C:$AA,16,0)-'TRADE IN'!$F81))</f>
        <v>10599</v>
      </c>
      <c r="S81" s="56">
        <f>IF(VLOOKUP($C81,REV!$C:$AA,17,0)-'TRADE IN'!$F81=0,"",(VLOOKUP($C81,REV!$C:$AA,17,0)-'TRADE IN'!$F81))</f>
        <v>10499</v>
      </c>
      <c r="T81" s="56">
        <f>IF(VLOOKUP($C81,REV!$C:$AA,18,0)-'TRADE IN'!$F81=0,"",(VLOOKUP($C81,REV!$C:$AA,18,0)-'TRADE IN'!$F81))</f>
        <v>9799</v>
      </c>
      <c r="U81" s="56">
        <f>IF(VLOOKUP($C81,REV!$C:$AA,19,0)-'TRADE IN'!$F81=0,"",(VLOOKUP($C81,REV!$C:$AA,19,0)-'TRADE IN'!$F81))</f>
        <v>9799</v>
      </c>
      <c r="V81" s="56">
        <f>IF(VLOOKUP($C81,REV!$C:$AA,20,0)-'TRADE IN'!$F81=0,"",(VLOOKUP($C81,REV!$C:$AA,20,0)-'TRADE IN'!$F81))</f>
        <v>9799</v>
      </c>
      <c r="W81" s="56">
        <f>IF(VLOOKUP($C81,REV!$C:$AA,21,0)-'TRADE IN'!$F81=0,"",(VLOOKUP($C81,REV!$C:$AA,21,0)-'TRADE IN'!$F81))</f>
        <v>9799</v>
      </c>
      <c r="X81" s="56">
        <f>IF(VLOOKUP($C81,REV!$C:$AA,22,0)-'TRADE IN'!$F81=0,"",(VLOOKUP($C81,REV!$C:$AA,22,0)-'TRADE IN'!$F81))</f>
        <v>9599</v>
      </c>
      <c r="Y81" s="56">
        <f>IF(VLOOKUP($C81,REV!$C:$AA,23,0)-'TRADE IN'!$F81=0,"",(VLOOKUP($C81,REV!$C:$AA,23,0)-'TRADE IN'!$F81))</f>
        <v>8999</v>
      </c>
      <c r="Z81" s="56">
        <f>IF(VLOOKUP($C81,REV!$C:$AA,24,0)-'TRADE IN'!$F81=0,"",(VLOOKUP($C81,REV!$C:$AA,24,0)-'TRADE IN'!$F81))</f>
        <v>8999</v>
      </c>
      <c r="AA81" s="56">
        <f>IF(VLOOKUP($C81,REV!$C:$AA,25,0)-'TRADE IN'!$F81=0,"",(VLOOKUP($C81,REV!$C:$AA,25,0)-'TRADE IN'!$F81))</f>
        <v>8999</v>
      </c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7"/>
      <c r="AW81" s="58" t="str">
        <f>REV!AW81</f>
        <v>03.11.2026</v>
      </c>
      <c r="AX81" s="147" t="str">
        <f>VLOOKUP(C81,REV!C:AX,48,0)</f>
        <v>5G</v>
      </c>
    </row>
    <row r="82" spans="1:50" ht="22.5" customHeight="1">
      <c r="A82" s="51" t="s">
        <v>63</v>
      </c>
      <c r="B82" s="52" t="s">
        <v>64</v>
      </c>
      <c r="C82" s="53">
        <v>4016605</v>
      </c>
      <c r="D82" s="54" t="s">
        <v>155</v>
      </c>
      <c r="E82" s="54" t="s">
        <v>159</v>
      </c>
      <c r="F82" s="55"/>
      <c r="G82" s="55"/>
      <c r="H82" s="56"/>
      <c r="I82" s="56"/>
      <c r="J82" s="56">
        <f>IF(VLOOKUP($C82,REV!$C:$AA,8,0)-'TRADE IN'!$F82=0,"",(VLOOKUP($C82,REV!$C:$AA,8,0)-'TRADE IN'!$F82))</f>
        <v>10899</v>
      </c>
      <c r="K82" s="56">
        <f>IF(VLOOKUP($C82,REV!$C:$AA,9,0)-'TRADE IN'!$F82=0,"",(VLOOKUP($C82,REV!$C:$AA,9,0)-'TRADE IN'!$F82))</f>
        <v>10899</v>
      </c>
      <c r="L82" s="56">
        <f>IF(VLOOKUP($C82,REV!$C:$AA,10,0)-'TRADE IN'!$F82=0,"",(VLOOKUP($C82,REV!$C:$AA,10,0)-'TRADE IN'!$F82))</f>
        <v>10899</v>
      </c>
      <c r="M82" s="56">
        <f>IF(VLOOKUP($C82,REV!$C:$AA,11,0)-'TRADE IN'!$F82=0,"",(VLOOKUP($C82,REV!$C:$AA,11,0)-'TRADE IN'!$F82))</f>
        <v>10899</v>
      </c>
      <c r="N82" s="56">
        <f>IF(VLOOKUP($C82,REV!$C:$AA,12,0)-'TRADE IN'!$F82=0,"",(VLOOKUP($C82,REV!$C:$AA,12,0)-'TRADE IN'!$F82))</f>
        <v>10899</v>
      </c>
      <c r="O82" s="56">
        <f>IF(VLOOKUP($C82,REV!$C:$AA,13,0)-'TRADE IN'!$F82=0,"",(VLOOKUP($C82,REV!$C:$AA,13,0)-'TRADE IN'!$F82))</f>
        <v>10599</v>
      </c>
      <c r="P82" s="56">
        <f>IF(VLOOKUP($C82,REV!$C:$AA,14,0)-'TRADE IN'!$F82=0,"",(VLOOKUP($C82,REV!$C:$AA,14,0)-'TRADE IN'!$F82))</f>
        <v>10499</v>
      </c>
      <c r="Q82" s="56">
        <f>IF(VLOOKUP($C82,REV!$C:$AA,15,0)-'TRADE IN'!$F82=0,"",(VLOOKUP($C82,REV!$C:$AA,15,0)-'TRADE IN'!$F82))</f>
        <v>9799</v>
      </c>
      <c r="R82" s="56">
        <f>IF(VLOOKUP($C82,REV!$C:$AA,16,0)-'TRADE IN'!$F82=0,"",(VLOOKUP($C82,REV!$C:$AA,16,0)-'TRADE IN'!$F82))</f>
        <v>10599</v>
      </c>
      <c r="S82" s="56">
        <f>IF(VLOOKUP($C82,REV!$C:$AA,17,0)-'TRADE IN'!$F82=0,"",(VLOOKUP($C82,REV!$C:$AA,17,0)-'TRADE IN'!$F82))</f>
        <v>10499</v>
      </c>
      <c r="T82" s="56">
        <f>IF(VLOOKUP($C82,REV!$C:$AA,18,0)-'TRADE IN'!$F82=0,"",(VLOOKUP($C82,REV!$C:$AA,18,0)-'TRADE IN'!$F82))</f>
        <v>9799</v>
      </c>
      <c r="U82" s="56">
        <f>IF(VLOOKUP($C82,REV!$C:$AA,19,0)-'TRADE IN'!$F82=0,"",(VLOOKUP($C82,REV!$C:$AA,19,0)-'TRADE IN'!$F82))</f>
        <v>9799</v>
      </c>
      <c r="V82" s="56">
        <f>IF(VLOOKUP($C82,REV!$C:$AA,20,0)-'TRADE IN'!$F82=0,"",(VLOOKUP($C82,REV!$C:$AA,20,0)-'TRADE IN'!$F82))</f>
        <v>9799</v>
      </c>
      <c r="W82" s="56">
        <f>IF(VLOOKUP($C82,REV!$C:$AA,21,0)-'TRADE IN'!$F82=0,"",(VLOOKUP($C82,REV!$C:$AA,21,0)-'TRADE IN'!$F82))</f>
        <v>9799</v>
      </c>
      <c r="X82" s="56">
        <f>IF(VLOOKUP($C82,REV!$C:$AA,22,0)-'TRADE IN'!$F82=0,"",(VLOOKUP($C82,REV!$C:$AA,22,0)-'TRADE IN'!$F82))</f>
        <v>9599</v>
      </c>
      <c r="Y82" s="56">
        <f>IF(VLOOKUP($C82,REV!$C:$AA,23,0)-'TRADE IN'!$F82=0,"",(VLOOKUP($C82,REV!$C:$AA,23,0)-'TRADE IN'!$F82))</f>
        <v>8999</v>
      </c>
      <c r="Z82" s="56">
        <f>IF(VLOOKUP($C82,REV!$C:$AA,24,0)-'TRADE IN'!$F82=0,"",(VLOOKUP($C82,REV!$C:$AA,24,0)-'TRADE IN'!$F82))</f>
        <v>8999</v>
      </c>
      <c r="AA82" s="56">
        <f>IF(VLOOKUP($C82,REV!$C:$AA,25,0)-'TRADE IN'!$F82=0,"",(VLOOKUP($C82,REV!$C:$AA,25,0)-'TRADE IN'!$F82))</f>
        <v>8999</v>
      </c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7"/>
      <c r="AW82" s="58" t="str">
        <f>REV!AW82</f>
        <v>03.11.2026</v>
      </c>
      <c r="AX82" s="147" t="str">
        <f>VLOOKUP(C82,REV!C:AX,48,0)</f>
        <v>5G</v>
      </c>
    </row>
    <row r="83" spans="1:50" ht="22.5" customHeight="1">
      <c r="A83" s="51" t="s">
        <v>63</v>
      </c>
      <c r="B83" s="52" t="s">
        <v>64</v>
      </c>
      <c r="C83" s="53">
        <v>4016613</v>
      </c>
      <c r="D83" s="54" t="s">
        <v>160</v>
      </c>
      <c r="E83" s="54" t="s">
        <v>161</v>
      </c>
      <c r="F83" s="55"/>
      <c r="G83" s="55"/>
      <c r="H83" s="56"/>
      <c r="I83" s="56"/>
      <c r="J83" s="56">
        <f>IF(VLOOKUP($C83,REV!$C:$AA,8,0)-'TRADE IN'!$F83=0,"",(VLOOKUP($C83,REV!$C:$AA,8,0)-'TRADE IN'!$F83))</f>
        <v>11999</v>
      </c>
      <c r="K83" s="56">
        <f>IF(VLOOKUP($C83,REV!$C:$AA,9,0)-'TRADE IN'!$F83=0,"",(VLOOKUP($C83,REV!$C:$AA,9,0)-'TRADE IN'!$F83))</f>
        <v>11999</v>
      </c>
      <c r="L83" s="56">
        <f>IF(VLOOKUP($C83,REV!$C:$AA,10,0)-'TRADE IN'!$F83=0,"",(VLOOKUP($C83,REV!$C:$AA,10,0)-'TRADE IN'!$F83))</f>
        <v>11999</v>
      </c>
      <c r="M83" s="56">
        <f>IF(VLOOKUP($C83,REV!$C:$AA,11,0)-'TRADE IN'!$F83=0,"",(VLOOKUP($C83,REV!$C:$AA,11,0)-'TRADE IN'!$F83))</f>
        <v>11999</v>
      </c>
      <c r="N83" s="56">
        <f>IF(VLOOKUP($C83,REV!$C:$AA,12,0)-'TRADE IN'!$F83=0,"",(VLOOKUP($C83,REV!$C:$AA,12,0)-'TRADE IN'!$F83))</f>
        <v>11999</v>
      </c>
      <c r="O83" s="56">
        <f>IF(VLOOKUP($C83,REV!$C:$AA,13,0)-'TRADE IN'!$F83=0,"",(VLOOKUP($C83,REV!$C:$AA,13,0)-'TRADE IN'!$F83))</f>
        <v>11699</v>
      </c>
      <c r="P83" s="56">
        <f>IF(VLOOKUP($C83,REV!$C:$AA,14,0)-'TRADE IN'!$F83=0,"",(VLOOKUP($C83,REV!$C:$AA,14,0)-'TRADE IN'!$F83))</f>
        <v>11599</v>
      </c>
      <c r="Q83" s="56">
        <f>IF(VLOOKUP($C83,REV!$C:$AA,15,0)-'TRADE IN'!$F83=0,"",(VLOOKUP($C83,REV!$C:$AA,15,0)-'TRADE IN'!$F83))</f>
        <v>10999</v>
      </c>
      <c r="R83" s="56">
        <f>IF(VLOOKUP($C83,REV!$C:$AA,16,0)-'TRADE IN'!$F83=0,"",(VLOOKUP($C83,REV!$C:$AA,16,0)-'TRADE IN'!$F83))</f>
        <v>11699</v>
      </c>
      <c r="S83" s="56">
        <f>IF(VLOOKUP($C83,REV!$C:$AA,17,0)-'TRADE IN'!$F83=0,"",(VLOOKUP($C83,REV!$C:$AA,17,0)-'TRADE IN'!$F83))</f>
        <v>11599</v>
      </c>
      <c r="T83" s="56">
        <f>IF(VLOOKUP($C83,REV!$C:$AA,18,0)-'TRADE IN'!$F83=0,"",(VLOOKUP($C83,REV!$C:$AA,18,0)-'TRADE IN'!$F83))</f>
        <v>10999</v>
      </c>
      <c r="U83" s="56">
        <f>IF(VLOOKUP($C83,REV!$C:$AA,19,0)-'TRADE IN'!$F83=0,"",(VLOOKUP($C83,REV!$C:$AA,19,0)-'TRADE IN'!$F83))</f>
        <v>10999</v>
      </c>
      <c r="V83" s="56">
        <f>IF(VLOOKUP($C83,REV!$C:$AA,20,0)-'TRADE IN'!$F83=0,"",(VLOOKUP($C83,REV!$C:$AA,20,0)-'TRADE IN'!$F83))</f>
        <v>10999</v>
      </c>
      <c r="W83" s="56">
        <f>IF(VLOOKUP($C83,REV!$C:$AA,21,0)-'TRADE IN'!$F83=0,"",(VLOOKUP($C83,REV!$C:$AA,21,0)-'TRADE IN'!$F83))</f>
        <v>10999</v>
      </c>
      <c r="X83" s="56">
        <f>IF(VLOOKUP($C83,REV!$C:$AA,22,0)-'TRADE IN'!$F83=0,"",(VLOOKUP($C83,REV!$C:$AA,22,0)-'TRADE IN'!$F83))</f>
        <v>10799</v>
      </c>
      <c r="Y83" s="56">
        <f>IF(VLOOKUP($C83,REV!$C:$AA,23,0)-'TRADE IN'!$F83=0,"",(VLOOKUP($C83,REV!$C:$AA,23,0)-'TRADE IN'!$F83))</f>
        <v>10299</v>
      </c>
      <c r="Z83" s="56">
        <f>IF(VLOOKUP($C83,REV!$C:$AA,24,0)-'TRADE IN'!$F83=0,"",(VLOOKUP($C83,REV!$C:$AA,24,0)-'TRADE IN'!$F83))</f>
        <v>10299</v>
      </c>
      <c r="AA83" s="56">
        <f>IF(VLOOKUP($C83,REV!$C:$AA,25,0)-'TRADE IN'!$F83=0,"",(VLOOKUP($C83,REV!$C:$AA,25,0)-'TRADE IN'!$F83))</f>
        <v>10299</v>
      </c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7"/>
      <c r="AW83" s="58" t="str">
        <f>REV!AW83</f>
        <v>03.11.2026</v>
      </c>
      <c r="AX83" s="147" t="str">
        <f>VLOOKUP(C83,REV!C:AX,48,0)</f>
        <v>5G</v>
      </c>
    </row>
    <row r="84" spans="1:50" ht="22.5" customHeight="1">
      <c r="A84" s="51" t="s">
        <v>63</v>
      </c>
      <c r="B84" s="52" t="s">
        <v>64</v>
      </c>
      <c r="C84" s="53">
        <v>4016619</v>
      </c>
      <c r="D84" s="54" t="s">
        <v>160</v>
      </c>
      <c r="E84" s="54" t="s">
        <v>162</v>
      </c>
      <c r="F84" s="55"/>
      <c r="G84" s="55"/>
      <c r="H84" s="56"/>
      <c r="I84" s="56"/>
      <c r="J84" s="56">
        <f>IF(VLOOKUP($C84,REV!$C:$AA,8,0)-'TRADE IN'!$F84=0,"",(VLOOKUP($C84,REV!$C:$AA,8,0)-'TRADE IN'!$F84))</f>
        <v>11999</v>
      </c>
      <c r="K84" s="56">
        <f>IF(VLOOKUP($C84,REV!$C:$AA,9,0)-'TRADE IN'!$F84=0,"",(VLOOKUP($C84,REV!$C:$AA,9,0)-'TRADE IN'!$F84))</f>
        <v>11999</v>
      </c>
      <c r="L84" s="56">
        <f>IF(VLOOKUP($C84,REV!$C:$AA,10,0)-'TRADE IN'!$F84=0,"",(VLOOKUP($C84,REV!$C:$AA,10,0)-'TRADE IN'!$F84))</f>
        <v>11999</v>
      </c>
      <c r="M84" s="56">
        <f>IF(VLOOKUP($C84,REV!$C:$AA,11,0)-'TRADE IN'!$F84=0,"",(VLOOKUP($C84,REV!$C:$AA,11,0)-'TRADE IN'!$F84))</f>
        <v>11999</v>
      </c>
      <c r="N84" s="56">
        <f>IF(VLOOKUP($C84,REV!$C:$AA,12,0)-'TRADE IN'!$F84=0,"",(VLOOKUP($C84,REV!$C:$AA,12,0)-'TRADE IN'!$F84))</f>
        <v>11999</v>
      </c>
      <c r="O84" s="56">
        <f>IF(VLOOKUP($C84,REV!$C:$AA,13,0)-'TRADE IN'!$F84=0,"",(VLOOKUP($C84,REV!$C:$AA,13,0)-'TRADE IN'!$F84))</f>
        <v>11699</v>
      </c>
      <c r="P84" s="56">
        <f>IF(VLOOKUP($C84,REV!$C:$AA,14,0)-'TRADE IN'!$F84=0,"",(VLOOKUP($C84,REV!$C:$AA,14,0)-'TRADE IN'!$F84))</f>
        <v>11599</v>
      </c>
      <c r="Q84" s="56">
        <f>IF(VLOOKUP($C84,REV!$C:$AA,15,0)-'TRADE IN'!$F84=0,"",(VLOOKUP($C84,REV!$C:$AA,15,0)-'TRADE IN'!$F84))</f>
        <v>10999</v>
      </c>
      <c r="R84" s="56">
        <f>IF(VLOOKUP($C84,REV!$C:$AA,16,0)-'TRADE IN'!$F84=0,"",(VLOOKUP($C84,REV!$C:$AA,16,0)-'TRADE IN'!$F84))</f>
        <v>11699</v>
      </c>
      <c r="S84" s="56">
        <f>IF(VLOOKUP($C84,REV!$C:$AA,17,0)-'TRADE IN'!$F84=0,"",(VLOOKUP($C84,REV!$C:$AA,17,0)-'TRADE IN'!$F84))</f>
        <v>11599</v>
      </c>
      <c r="T84" s="56">
        <f>IF(VLOOKUP($C84,REV!$C:$AA,18,0)-'TRADE IN'!$F84=0,"",(VLOOKUP($C84,REV!$C:$AA,18,0)-'TRADE IN'!$F84))</f>
        <v>10999</v>
      </c>
      <c r="U84" s="56">
        <f>IF(VLOOKUP($C84,REV!$C:$AA,19,0)-'TRADE IN'!$F84=0,"",(VLOOKUP($C84,REV!$C:$AA,19,0)-'TRADE IN'!$F84))</f>
        <v>10999</v>
      </c>
      <c r="V84" s="56">
        <f>IF(VLOOKUP($C84,REV!$C:$AA,20,0)-'TRADE IN'!$F84=0,"",(VLOOKUP($C84,REV!$C:$AA,20,0)-'TRADE IN'!$F84))</f>
        <v>10999</v>
      </c>
      <c r="W84" s="56">
        <f>IF(VLOOKUP($C84,REV!$C:$AA,21,0)-'TRADE IN'!$F84=0,"",(VLOOKUP($C84,REV!$C:$AA,21,0)-'TRADE IN'!$F84))</f>
        <v>10999</v>
      </c>
      <c r="X84" s="56">
        <f>IF(VLOOKUP($C84,REV!$C:$AA,22,0)-'TRADE IN'!$F84=0,"",(VLOOKUP($C84,REV!$C:$AA,22,0)-'TRADE IN'!$F84))</f>
        <v>10799</v>
      </c>
      <c r="Y84" s="56">
        <f>IF(VLOOKUP($C84,REV!$C:$AA,23,0)-'TRADE IN'!$F84=0,"",(VLOOKUP($C84,REV!$C:$AA,23,0)-'TRADE IN'!$F84))</f>
        <v>10299</v>
      </c>
      <c r="Z84" s="56">
        <f>IF(VLOOKUP($C84,REV!$C:$AA,24,0)-'TRADE IN'!$F84=0,"",(VLOOKUP($C84,REV!$C:$AA,24,0)-'TRADE IN'!$F84))</f>
        <v>10299</v>
      </c>
      <c r="AA84" s="56">
        <f>IF(VLOOKUP($C84,REV!$C:$AA,25,0)-'TRADE IN'!$F84=0,"",(VLOOKUP($C84,REV!$C:$AA,25,0)-'TRADE IN'!$F84))</f>
        <v>10299</v>
      </c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7"/>
      <c r="AW84" s="58" t="str">
        <f>REV!AW84</f>
        <v>03.11.2026</v>
      </c>
      <c r="AX84" s="147" t="str">
        <f>VLOOKUP(C84,REV!C:AX,48,0)</f>
        <v>5G</v>
      </c>
    </row>
    <row r="85" spans="1:50" ht="22.5" customHeight="1">
      <c r="A85" s="51" t="s">
        <v>63</v>
      </c>
      <c r="B85" s="52" t="s">
        <v>64</v>
      </c>
      <c r="C85" s="53">
        <v>4016609</v>
      </c>
      <c r="D85" s="54" t="s">
        <v>160</v>
      </c>
      <c r="E85" s="54" t="s">
        <v>163</v>
      </c>
      <c r="F85" s="55"/>
      <c r="G85" s="55"/>
      <c r="H85" s="56"/>
      <c r="I85" s="56"/>
      <c r="J85" s="56">
        <f>IF(VLOOKUP($C85,REV!$C:$AA,8,0)-'TRADE IN'!$F85=0,"",(VLOOKUP($C85,REV!$C:$AA,8,0)-'TRADE IN'!$F85))</f>
        <v>11999</v>
      </c>
      <c r="K85" s="56">
        <f>IF(VLOOKUP($C85,REV!$C:$AA,9,0)-'TRADE IN'!$F85=0,"",(VLOOKUP($C85,REV!$C:$AA,9,0)-'TRADE IN'!$F85))</f>
        <v>11999</v>
      </c>
      <c r="L85" s="56">
        <f>IF(VLOOKUP($C85,REV!$C:$AA,10,0)-'TRADE IN'!$F85=0,"",(VLOOKUP($C85,REV!$C:$AA,10,0)-'TRADE IN'!$F85))</f>
        <v>11999</v>
      </c>
      <c r="M85" s="56">
        <f>IF(VLOOKUP($C85,REV!$C:$AA,11,0)-'TRADE IN'!$F85=0,"",(VLOOKUP($C85,REV!$C:$AA,11,0)-'TRADE IN'!$F85))</f>
        <v>11999</v>
      </c>
      <c r="N85" s="56">
        <f>IF(VLOOKUP($C85,REV!$C:$AA,12,0)-'TRADE IN'!$F85=0,"",(VLOOKUP($C85,REV!$C:$AA,12,0)-'TRADE IN'!$F85))</f>
        <v>11999</v>
      </c>
      <c r="O85" s="56">
        <f>IF(VLOOKUP($C85,REV!$C:$AA,13,0)-'TRADE IN'!$F85=0,"",(VLOOKUP($C85,REV!$C:$AA,13,0)-'TRADE IN'!$F85))</f>
        <v>11699</v>
      </c>
      <c r="P85" s="56">
        <f>IF(VLOOKUP($C85,REV!$C:$AA,14,0)-'TRADE IN'!$F85=0,"",(VLOOKUP($C85,REV!$C:$AA,14,0)-'TRADE IN'!$F85))</f>
        <v>11599</v>
      </c>
      <c r="Q85" s="56">
        <f>IF(VLOOKUP($C85,REV!$C:$AA,15,0)-'TRADE IN'!$F85=0,"",(VLOOKUP($C85,REV!$C:$AA,15,0)-'TRADE IN'!$F85))</f>
        <v>10999</v>
      </c>
      <c r="R85" s="56">
        <f>IF(VLOOKUP($C85,REV!$C:$AA,16,0)-'TRADE IN'!$F85=0,"",(VLOOKUP($C85,REV!$C:$AA,16,0)-'TRADE IN'!$F85))</f>
        <v>11699</v>
      </c>
      <c r="S85" s="56">
        <f>IF(VLOOKUP($C85,REV!$C:$AA,17,0)-'TRADE IN'!$F85=0,"",(VLOOKUP($C85,REV!$C:$AA,17,0)-'TRADE IN'!$F85))</f>
        <v>11599</v>
      </c>
      <c r="T85" s="56">
        <f>IF(VLOOKUP($C85,REV!$C:$AA,18,0)-'TRADE IN'!$F85=0,"",(VLOOKUP($C85,REV!$C:$AA,18,0)-'TRADE IN'!$F85))</f>
        <v>10999</v>
      </c>
      <c r="U85" s="56">
        <f>IF(VLOOKUP($C85,REV!$C:$AA,19,0)-'TRADE IN'!$F85=0,"",(VLOOKUP($C85,REV!$C:$AA,19,0)-'TRADE IN'!$F85))</f>
        <v>10999</v>
      </c>
      <c r="V85" s="56">
        <f>IF(VLOOKUP($C85,REV!$C:$AA,20,0)-'TRADE IN'!$F85=0,"",(VLOOKUP($C85,REV!$C:$AA,20,0)-'TRADE IN'!$F85))</f>
        <v>10999</v>
      </c>
      <c r="W85" s="56">
        <f>IF(VLOOKUP($C85,REV!$C:$AA,21,0)-'TRADE IN'!$F85=0,"",(VLOOKUP($C85,REV!$C:$AA,21,0)-'TRADE IN'!$F85))</f>
        <v>10999</v>
      </c>
      <c r="X85" s="56">
        <f>IF(VLOOKUP($C85,REV!$C:$AA,22,0)-'TRADE IN'!$F85=0,"",(VLOOKUP($C85,REV!$C:$AA,22,0)-'TRADE IN'!$F85))</f>
        <v>10799</v>
      </c>
      <c r="Y85" s="56">
        <f>IF(VLOOKUP($C85,REV!$C:$AA,23,0)-'TRADE IN'!$F85=0,"",(VLOOKUP($C85,REV!$C:$AA,23,0)-'TRADE IN'!$F85))</f>
        <v>10299</v>
      </c>
      <c r="Z85" s="56">
        <f>IF(VLOOKUP($C85,REV!$C:$AA,24,0)-'TRADE IN'!$F85=0,"",(VLOOKUP($C85,REV!$C:$AA,24,0)-'TRADE IN'!$F85))</f>
        <v>10299</v>
      </c>
      <c r="AA85" s="56">
        <f>IF(VLOOKUP($C85,REV!$C:$AA,25,0)-'TRADE IN'!$F85=0,"",(VLOOKUP($C85,REV!$C:$AA,25,0)-'TRADE IN'!$F85))</f>
        <v>10299</v>
      </c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7"/>
      <c r="AW85" s="58" t="str">
        <f>REV!AW85</f>
        <v>03.11.2026</v>
      </c>
      <c r="AX85" s="147" t="str">
        <f>VLOOKUP(C85,REV!C:AX,48,0)</f>
        <v>5G</v>
      </c>
    </row>
    <row r="86" spans="1:50" ht="22.5" customHeight="1">
      <c r="A86" s="51" t="s">
        <v>63</v>
      </c>
      <c r="B86" s="52" t="s">
        <v>64</v>
      </c>
      <c r="C86" s="53">
        <v>4016916</v>
      </c>
      <c r="D86" s="54" t="s">
        <v>164</v>
      </c>
      <c r="E86" s="54" t="s">
        <v>165</v>
      </c>
      <c r="F86" s="55"/>
      <c r="G86" s="55"/>
      <c r="H86" s="56"/>
      <c r="I86" s="56"/>
      <c r="J86" s="56">
        <f>IF(VLOOKUP($C86,REV!$C:$AA,8,0)-'TRADE IN'!$F86=0,"",(VLOOKUP($C86,REV!$C:$AA,8,0)-'TRADE IN'!$F86))</f>
        <v>4799</v>
      </c>
      <c r="K86" s="56">
        <f>IF(VLOOKUP($C86,REV!$C:$AA,9,0)-'TRADE IN'!$F86=0,"",(VLOOKUP($C86,REV!$C:$AA,9,0)-'TRADE IN'!$F86))</f>
        <v>4799</v>
      </c>
      <c r="L86" s="56">
        <f>IF(VLOOKUP($C86,REV!$C:$AA,10,0)-'TRADE IN'!$F86=0,"",(VLOOKUP($C86,REV!$C:$AA,10,0)-'TRADE IN'!$F86))</f>
        <v>4799</v>
      </c>
      <c r="M86" s="56">
        <f>IF(VLOOKUP($C86,REV!$C:$AA,11,0)-'TRADE IN'!$F86=0,"",(VLOOKUP($C86,REV!$C:$AA,11,0)-'TRADE IN'!$F86))</f>
        <v>4799</v>
      </c>
      <c r="N86" s="56">
        <f>IF(VLOOKUP($C86,REV!$C:$AA,12,0)-'TRADE IN'!$F86=0,"",(VLOOKUP($C86,REV!$C:$AA,12,0)-'TRADE IN'!$F86))</f>
        <v>4799</v>
      </c>
      <c r="O86" s="56">
        <f>IF(VLOOKUP($C86,REV!$C:$AA,13,0)-'TRADE IN'!$F86=0,"",(VLOOKUP($C86,REV!$C:$AA,13,0)-'TRADE IN'!$F86))</f>
        <v>4699</v>
      </c>
      <c r="P86" s="56">
        <f>IF(VLOOKUP($C86,REV!$C:$AA,14,0)-'TRADE IN'!$F86=0,"",(VLOOKUP($C86,REV!$C:$AA,14,0)-'TRADE IN'!$F86))</f>
        <v>4599</v>
      </c>
      <c r="Q86" s="56">
        <f>IF(VLOOKUP($C86,REV!$C:$AA,15,0)-'TRADE IN'!$F86=0,"",(VLOOKUP($C86,REV!$C:$AA,15,0)-'TRADE IN'!$F86))</f>
        <v>3599</v>
      </c>
      <c r="R86" s="56">
        <f>IF(VLOOKUP($C86,REV!$C:$AA,16,0)-'TRADE IN'!$F86=0,"",(VLOOKUP($C86,REV!$C:$AA,16,0)-'TRADE IN'!$F86))</f>
        <v>4699</v>
      </c>
      <c r="S86" s="56">
        <f>IF(VLOOKUP($C86,REV!$C:$AA,17,0)-'TRADE IN'!$F86=0,"",(VLOOKUP($C86,REV!$C:$AA,17,0)-'TRADE IN'!$F86))</f>
        <v>4599</v>
      </c>
      <c r="T86" s="56">
        <f>IF(VLOOKUP($C86,REV!$C:$AA,18,0)-'TRADE IN'!$F86=0,"",(VLOOKUP($C86,REV!$C:$AA,18,0)-'TRADE IN'!$F86))</f>
        <v>3599</v>
      </c>
      <c r="U86" s="56">
        <f>IF(VLOOKUP($C86,REV!$C:$AA,19,0)-'TRADE IN'!$F86=0,"",(VLOOKUP($C86,REV!$C:$AA,19,0)-'TRADE IN'!$F86))</f>
        <v>3599</v>
      </c>
      <c r="V86" s="56">
        <f>IF(VLOOKUP($C86,REV!$C:$AA,20,0)-'TRADE IN'!$F86=0,"",(VLOOKUP($C86,REV!$C:$AA,20,0)-'TRADE IN'!$F86))</f>
        <v>3599</v>
      </c>
      <c r="W86" s="56">
        <f>IF(VLOOKUP($C86,REV!$C:$AA,21,0)-'TRADE IN'!$F86=0,"",(VLOOKUP($C86,REV!$C:$AA,21,0)-'TRADE IN'!$F86))</f>
        <v>3599</v>
      </c>
      <c r="X86" s="56">
        <f>IF(VLOOKUP($C86,REV!$C:$AA,22,0)-'TRADE IN'!$F86=0,"",(VLOOKUP($C86,REV!$C:$AA,22,0)-'TRADE IN'!$F86))</f>
        <v>3499</v>
      </c>
      <c r="Y86" s="56">
        <f>IF(VLOOKUP($C86,REV!$C:$AA,23,0)-'TRADE IN'!$F86=0,"",(VLOOKUP($C86,REV!$C:$AA,23,0)-'TRADE IN'!$F86))</f>
        <v>2799</v>
      </c>
      <c r="Z86" s="56">
        <f>IF(VLOOKUP($C86,REV!$C:$AA,24,0)-'TRADE IN'!$F86=0,"",(VLOOKUP($C86,REV!$C:$AA,24,0)-'TRADE IN'!$F86))</f>
        <v>2799</v>
      </c>
      <c r="AA86" s="56">
        <f>IF(VLOOKUP($C86,REV!$C:$AA,25,0)-'TRADE IN'!$F86=0,"",(VLOOKUP($C86,REV!$C:$AA,25,0)-'TRADE IN'!$F86))</f>
        <v>2749</v>
      </c>
      <c r="AB86" s="55">
        <f>IF(VLOOKUP($C86,REV!$C:$AL,27,0)-'TRADE IN'!$F86=0,"",(VLOOKUP($C86,REV!$C:$AL,27,0)-'TRADE IN'!$F86))</f>
        <v>4799</v>
      </c>
      <c r="AC86" s="55">
        <f>IF(VLOOKUP($C86,REV!$C:$AL,28,0)-'TRADE IN'!$F86=0,"",(VLOOKUP($C86,REV!$C:$AL,28,0)-'TRADE IN'!$F86))</f>
        <v>4799</v>
      </c>
      <c r="AD86" s="55">
        <f>IF(VLOOKUP($C86,REV!$C:$AL,29,0)-'TRADE IN'!$F86=0,"",(VLOOKUP($C86,REV!$C:$AL,29,0)-'TRADE IN'!$F86))</f>
        <v>4699</v>
      </c>
      <c r="AE86" s="55">
        <f>IF(VLOOKUP($C86,REV!$C:$AL,30,0)-'TRADE IN'!$F86=0,"",(VLOOKUP($C86,REV!$C:$AL,30,0)-'TRADE IN'!$F86))</f>
        <v>4599</v>
      </c>
      <c r="AF86" s="55">
        <f>IF(VLOOKUP($C86,REV!$C:$AL,31,0)-'TRADE IN'!$F86=0,"",(VLOOKUP($C86,REV!$C:$AL,31,0)-'TRADE IN'!$F86))</f>
        <v>4599</v>
      </c>
      <c r="AG86" s="55">
        <f>IF(VLOOKUP($C86,REV!$C:$AL,31,0)-'TRADE IN'!$F86=0,"",(VLOOKUP($C86,REV!$C:$AL,31,0)-'TRADE IN'!$F86))</f>
        <v>4599</v>
      </c>
      <c r="AH86" s="55">
        <f>IF(VLOOKUP($C86,REV!$C:$AL,32,0)-'TRADE IN'!$F86=0,"",(VLOOKUP($C86,REV!$C:$AL,32,0)-'TRADE IN'!$F86))</f>
        <v>3599</v>
      </c>
      <c r="AI86" s="55">
        <f>IF(VLOOKUP($C86,REV!$C:$AL,33,0)-'TRADE IN'!$F86=0,"",(VLOOKUP($C86,REV!$C:$AL,33,0)-'TRADE IN'!$F86))</f>
        <v>3599</v>
      </c>
      <c r="AJ86" s="55">
        <f>IF(VLOOKUP($C86,REV!$C:$AL,34,0)-'TRADE IN'!$F86=0,"",(VLOOKUP($C86,REV!$C:$AL,34,0)-'TRADE IN'!$F86))</f>
        <v>3599</v>
      </c>
      <c r="AK86" s="55">
        <f>IF(VLOOKUP($C86,REV!$C:$AL,35,0)-'TRADE IN'!$F86=0,"",(VLOOKUP($C86,REV!$C:$AL,35,0)-'TRADE IN'!$F86))</f>
        <v>3599</v>
      </c>
      <c r="AL86" s="55">
        <f>IF(VLOOKUP($C86,REV!$C:$AL,36,0)-'TRADE IN'!$F86=0,"",(VLOOKUP($C86,REV!$C:$AL,36,0)-'TRADE IN'!$F86))</f>
        <v>2799</v>
      </c>
      <c r="AM86" s="55"/>
      <c r="AN86" s="55"/>
      <c r="AO86" s="55"/>
      <c r="AP86" s="55"/>
      <c r="AQ86" s="55"/>
      <c r="AR86" s="55"/>
      <c r="AS86" s="55"/>
      <c r="AT86" s="55"/>
      <c r="AU86" s="55"/>
      <c r="AV86" s="57"/>
      <c r="AW86" s="58" t="str">
        <f>REV!AW86</f>
        <v>03.11.2026</v>
      </c>
      <c r="AX86" s="147" t="str">
        <f>VLOOKUP(C86,REV!C:AX,48,0)</f>
        <v>5G</v>
      </c>
    </row>
    <row r="87" spans="1:50" ht="22.5" customHeight="1">
      <c r="A87" s="51" t="s">
        <v>63</v>
      </c>
      <c r="B87" s="52" t="s">
        <v>64</v>
      </c>
      <c r="C87" s="53">
        <v>4016917</v>
      </c>
      <c r="D87" s="54" t="s">
        <v>164</v>
      </c>
      <c r="E87" s="54" t="s">
        <v>166</v>
      </c>
      <c r="F87" s="55"/>
      <c r="G87" s="55"/>
      <c r="H87" s="56"/>
      <c r="I87" s="56"/>
      <c r="J87" s="56">
        <f>IF(VLOOKUP($C87,REV!$C:$AA,8,0)-'TRADE IN'!$F87=0,"",(VLOOKUP($C87,REV!$C:$AA,8,0)-'TRADE IN'!$F87))</f>
        <v>4799</v>
      </c>
      <c r="K87" s="56">
        <f>IF(VLOOKUP($C87,REV!$C:$AA,9,0)-'TRADE IN'!$F87=0,"",(VLOOKUP($C87,REV!$C:$AA,9,0)-'TRADE IN'!$F87))</f>
        <v>4799</v>
      </c>
      <c r="L87" s="56">
        <f>IF(VLOOKUP($C87,REV!$C:$AA,10,0)-'TRADE IN'!$F87=0,"",(VLOOKUP($C87,REV!$C:$AA,10,0)-'TRADE IN'!$F87))</f>
        <v>4799</v>
      </c>
      <c r="M87" s="56">
        <f>IF(VLOOKUP($C87,REV!$C:$AA,11,0)-'TRADE IN'!$F87=0,"",(VLOOKUP($C87,REV!$C:$AA,11,0)-'TRADE IN'!$F87))</f>
        <v>4799</v>
      </c>
      <c r="N87" s="56">
        <f>IF(VLOOKUP($C87,REV!$C:$AA,12,0)-'TRADE IN'!$F87=0,"",(VLOOKUP($C87,REV!$C:$AA,12,0)-'TRADE IN'!$F87))</f>
        <v>4799</v>
      </c>
      <c r="O87" s="56">
        <f>IF(VLOOKUP($C87,REV!$C:$AA,13,0)-'TRADE IN'!$F87=0,"",(VLOOKUP($C87,REV!$C:$AA,13,0)-'TRADE IN'!$F87))</f>
        <v>4699</v>
      </c>
      <c r="P87" s="56">
        <f>IF(VLOOKUP($C87,REV!$C:$AA,14,0)-'TRADE IN'!$F87=0,"",(VLOOKUP($C87,REV!$C:$AA,14,0)-'TRADE IN'!$F87))</f>
        <v>4599</v>
      </c>
      <c r="Q87" s="56">
        <f>IF(VLOOKUP($C87,REV!$C:$AA,15,0)-'TRADE IN'!$F87=0,"",(VLOOKUP($C87,REV!$C:$AA,15,0)-'TRADE IN'!$F87))</f>
        <v>3599</v>
      </c>
      <c r="R87" s="56">
        <f>IF(VLOOKUP($C87,REV!$C:$AA,16,0)-'TRADE IN'!$F87=0,"",(VLOOKUP($C87,REV!$C:$AA,16,0)-'TRADE IN'!$F87))</f>
        <v>4699</v>
      </c>
      <c r="S87" s="56">
        <f>IF(VLOOKUP($C87,REV!$C:$AA,17,0)-'TRADE IN'!$F87=0,"",(VLOOKUP($C87,REV!$C:$AA,17,0)-'TRADE IN'!$F87))</f>
        <v>4599</v>
      </c>
      <c r="T87" s="56">
        <f>IF(VLOOKUP($C87,REV!$C:$AA,18,0)-'TRADE IN'!$F87=0,"",(VLOOKUP($C87,REV!$C:$AA,18,0)-'TRADE IN'!$F87))</f>
        <v>3599</v>
      </c>
      <c r="U87" s="56">
        <f>IF(VLOOKUP($C87,REV!$C:$AA,19,0)-'TRADE IN'!$F87=0,"",(VLOOKUP($C87,REV!$C:$AA,19,0)-'TRADE IN'!$F87))</f>
        <v>3599</v>
      </c>
      <c r="V87" s="56">
        <f>IF(VLOOKUP($C87,REV!$C:$AA,20,0)-'TRADE IN'!$F87=0,"",(VLOOKUP($C87,REV!$C:$AA,20,0)-'TRADE IN'!$F87))</f>
        <v>3599</v>
      </c>
      <c r="W87" s="56">
        <f>IF(VLOOKUP($C87,REV!$C:$AA,21,0)-'TRADE IN'!$F87=0,"",(VLOOKUP($C87,REV!$C:$AA,21,0)-'TRADE IN'!$F87))</f>
        <v>3599</v>
      </c>
      <c r="X87" s="56">
        <f>IF(VLOOKUP($C87,REV!$C:$AA,22,0)-'TRADE IN'!$F87=0,"",(VLOOKUP($C87,REV!$C:$AA,22,0)-'TRADE IN'!$F87))</f>
        <v>3499</v>
      </c>
      <c r="Y87" s="56">
        <f>IF(VLOOKUP($C87,REV!$C:$AA,23,0)-'TRADE IN'!$F87=0,"",(VLOOKUP($C87,REV!$C:$AA,23,0)-'TRADE IN'!$F87))</f>
        <v>2799</v>
      </c>
      <c r="Z87" s="56">
        <f>IF(VLOOKUP($C87,REV!$C:$AA,24,0)-'TRADE IN'!$F87=0,"",(VLOOKUP($C87,REV!$C:$AA,24,0)-'TRADE IN'!$F87))</f>
        <v>2799</v>
      </c>
      <c r="AA87" s="56">
        <f>IF(VLOOKUP($C87,REV!$C:$AA,25,0)-'TRADE IN'!$F87=0,"",(VLOOKUP($C87,REV!$C:$AA,25,0)-'TRADE IN'!$F87))</f>
        <v>2749</v>
      </c>
      <c r="AB87" s="55">
        <f>IF(VLOOKUP($C87,REV!$C:$AL,27,0)-'TRADE IN'!$F87=0,"",(VLOOKUP($C87,REV!$C:$AL,27,0)-'TRADE IN'!$F87))</f>
        <v>4799</v>
      </c>
      <c r="AC87" s="55">
        <f>IF(VLOOKUP($C87,REV!$C:$AL,28,0)-'TRADE IN'!$F87=0,"",(VLOOKUP($C87,REV!$C:$AL,28,0)-'TRADE IN'!$F87))</f>
        <v>4799</v>
      </c>
      <c r="AD87" s="55">
        <f>IF(VLOOKUP($C87,REV!$C:$AL,29,0)-'TRADE IN'!$F87=0,"",(VLOOKUP($C87,REV!$C:$AL,29,0)-'TRADE IN'!$F87))</f>
        <v>4699</v>
      </c>
      <c r="AE87" s="55">
        <f>IF(VLOOKUP($C87,REV!$C:$AL,30,0)-'TRADE IN'!$F87=0,"",(VLOOKUP($C87,REV!$C:$AL,30,0)-'TRADE IN'!$F87))</f>
        <v>4599</v>
      </c>
      <c r="AF87" s="55">
        <f>IF(VLOOKUP($C87,REV!$C:$AL,31,0)-'TRADE IN'!$F87=0,"",(VLOOKUP($C87,REV!$C:$AL,31,0)-'TRADE IN'!$F87))</f>
        <v>4599</v>
      </c>
      <c r="AG87" s="55">
        <f>IF(VLOOKUP($C87,REV!$C:$AL,31,0)-'TRADE IN'!$F87=0,"",(VLOOKUP($C87,REV!$C:$AL,31,0)-'TRADE IN'!$F87))</f>
        <v>4599</v>
      </c>
      <c r="AH87" s="55">
        <f>IF(VLOOKUP($C87,REV!$C:$AL,32,0)-'TRADE IN'!$F87=0,"",(VLOOKUP($C87,REV!$C:$AL,32,0)-'TRADE IN'!$F87))</f>
        <v>3599</v>
      </c>
      <c r="AI87" s="55">
        <f>IF(VLOOKUP($C87,REV!$C:$AL,33,0)-'TRADE IN'!$F87=0,"",(VLOOKUP($C87,REV!$C:$AL,33,0)-'TRADE IN'!$F87))</f>
        <v>3599</v>
      </c>
      <c r="AJ87" s="55">
        <f>IF(VLOOKUP($C87,REV!$C:$AL,34,0)-'TRADE IN'!$F87=0,"",(VLOOKUP($C87,REV!$C:$AL,34,0)-'TRADE IN'!$F87))</f>
        <v>3599</v>
      </c>
      <c r="AK87" s="55">
        <f>IF(VLOOKUP($C87,REV!$C:$AL,35,0)-'TRADE IN'!$F87=0,"",(VLOOKUP($C87,REV!$C:$AL,35,0)-'TRADE IN'!$F87))</f>
        <v>3599</v>
      </c>
      <c r="AL87" s="55">
        <f>IF(VLOOKUP($C87,REV!$C:$AL,36,0)-'TRADE IN'!$F87=0,"",(VLOOKUP($C87,REV!$C:$AL,36,0)-'TRADE IN'!$F87))</f>
        <v>2799</v>
      </c>
      <c r="AM87" s="55"/>
      <c r="AN87" s="55"/>
      <c r="AO87" s="55"/>
      <c r="AP87" s="55"/>
      <c r="AQ87" s="55"/>
      <c r="AR87" s="55"/>
      <c r="AS87" s="55"/>
      <c r="AT87" s="55"/>
      <c r="AU87" s="55"/>
      <c r="AV87" s="57"/>
      <c r="AW87" s="58" t="str">
        <f>REV!AW87</f>
        <v>03.11.2026</v>
      </c>
      <c r="AX87" s="147" t="str">
        <f>VLOOKUP(C87,REV!C:AX,48,0)</f>
        <v>5G</v>
      </c>
    </row>
    <row r="88" spans="1:50" ht="22.5" customHeight="1">
      <c r="A88" s="51" t="s">
        <v>63</v>
      </c>
      <c r="B88" s="52" t="s">
        <v>64</v>
      </c>
      <c r="C88" s="53">
        <v>4017449</v>
      </c>
      <c r="D88" s="54" t="s">
        <v>167</v>
      </c>
      <c r="E88" s="54" t="s">
        <v>168</v>
      </c>
      <c r="F88" s="55"/>
      <c r="G88" s="55"/>
      <c r="H88" s="55"/>
      <c r="I88" s="55"/>
      <c r="J88" s="56">
        <f>IF(VLOOKUP($C88,REV!$C:$AA,8,0)-'TRADE IN'!$F88=0,"",(VLOOKUP($C88,REV!$C:$AA,8,0)-'TRADE IN'!$F88))</f>
        <v>6399</v>
      </c>
      <c r="K88" s="56">
        <f>IF(VLOOKUP($C88,REV!$C:$AA,9,0)-'TRADE IN'!$F88=0,"",(VLOOKUP($C88,REV!$C:$AA,9,0)-'TRADE IN'!$F88))</f>
        <v>6399</v>
      </c>
      <c r="L88" s="56">
        <f>IF(VLOOKUP($C88,REV!$C:$AA,10,0)-'TRADE IN'!$F88=0,"",(VLOOKUP($C88,REV!$C:$AA,10,0)-'TRADE IN'!$F88))</f>
        <v>6399</v>
      </c>
      <c r="M88" s="56">
        <f>IF(VLOOKUP($C88,REV!$C:$AA,11,0)-'TRADE IN'!$F88=0,"",(VLOOKUP($C88,REV!$C:$AA,11,0)-'TRADE IN'!$F88))</f>
        <v>6399</v>
      </c>
      <c r="N88" s="56">
        <f>IF(VLOOKUP($C88,REV!$C:$AA,12,0)-'TRADE IN'!$F88=0,"",(VLOOKUP($C88,REV!$C:$AA,12,0)-'TRADE IN'!$F88))</f>
        <v>6399</v>
      </c>
      <c r="O88" s="56">
        <f>IF(VLOOKUP($C88,REV!$C:$AA,13,0)-'TRADE IN'!$F88=0,"",(VLOOKUP($C88,REV!$C:$AA,13,0)-'TRADE IN'!$F88))</f>
        <v>6299</v>
      </c>
      <c r="P88" s="56">
        <f>IF(VLOOKUP($C88,REV!$C:$AA,14,0)-'TRADE IN'!$F88=0,"",(VLOOKUP($C88,REV!$C:$AA,14,0)-'TRADE IN'!$F88))</f>
        <v>6199</v>
      </c>
      <c r="Q88" s="56">
        <f>IF(VLOOKUP($C88,REV!$C:$AA,15,0)-'TRADE IN'!$F88=0,"",(VLOOKUP($C88,REV!$C:$AA,15,0)-'TRADE IN'!$F88))</f>
        <v>5499</v>
      </c>
      <c r="R88" s="56">
        <f>IF(VLOOKUP($C88,REV!$C:$AA,16,0)-'TRADE IN'!$F88=0,"",(VLOOKUP($C88,REV!$C:$AA,16,0)-'TRADE IN'!$F88))</f>
        <v>6299</v>
      </c>
      <c r="S88" s="56">
        <f>IF(VLOOKUP($C88,REV!$C:$AA,17,0)-'TRADE IN'!$F88=0,"",(VLOOKUP($C88,REV!$C:$AA,17,0)-'TRADE IN'!$F88))</f>
        <v>6199</v>
      </c>
      <c r="T88" s="56">
        <f>IF(VLOOKUP($C88,REV!$C:$AA,18,0)-'TRADE IN'!$F88=0,"",(VLOOKUP($C88,REV!$C:$AA,18,0)-'TRADE IN'!$F88))</f>
        <v>5499</v>
      </c>
      <c r="U88" s="56">
        <f>IF(VLOOKUP($C88,REV!$C:$AA,19,0)-'TRADE IN'!$F88=0,"",(VLOOKUP($C88,REV!$C:$AA,19,0)-'TRADE IN'!$F88))</f>
        <v>5499</v>
      </c>
      <c r="V88" s="56">
        <f>IF(VLOOKUP($C88,REV!$C:$AA,20,0)-'TRADE IN'!$F88=0,"",(VLOOKUP($C88,REV!$C:$AA,20,0)-'TRADE IN'!$F88))</f>
        <v>5499</v>
      </c>
      <c r="W88" s="56">
        <f>IF(VLOOKUP($C88,REV!$C:$AA,21,0)-'TRADE IN'!$F88=0,"",(VLOOKUP($C88,REV!$C:$AA,21,0)-'TRADE IN'!$F88))</f>
        <v>5499</v>
      </c>
      <c r="X88" s="56">
        <f>IF(VLOOKUP($C88,REV!$C:$AA,22,0)-'TRADE IN'!$F88=0,"",(VLOOKUP($C88,REV!$C:$AA,22,0)-'TRADE IN'!$F88))</f>
        <v>5399</v>
      </c>
      <c r="Y88" s="56">
        <f>IF(VLOOKUP($C88,REV!$C:$AA,23,0)-'TRADE IN'!$F88=0,"",(VLOOKUP($C88,REV!$C:$AA,23,0)-'TRADE IN'!$F88))</f>
        <v>4999</v>
      </c>
      <c r="Z88" s="56">
        <f>IF(VLOOKUP($C88,REV!$C:$AA,24,0)-'TRADE IN'!$F88=0,"",(VLOOKUP($C88,REV!$C:$AA,24,0)-'TRADE IN'!$F88))</f>
        <v>4999</v>
      </c>
      <c r="AA88" s="56">
        <f>IF(VLOOKUP($C88,REV!$C:$AA,25,0)-'TRADE IN'!$F88=0,"",(VLOOKUP($C88,REV!$C:$AA,25,0)-'TRADE IN'!$F88))</f>
        <v>4949</v>
      </c>
      <c r="AB88" s="55">
        <f>IF(VLOOKUP($C88,REV!$C:$AL,27,0)-'TRADE IN'!$F88=0,"",(VLOOKUP($C88,REV!$C:$AL,27,0)-'TRADE IN'!$F88))</f>
        <v>6399</v>
      </c>
      <c r="AC88" s="55">
        <f>IF(VLOOKUP($C88,REV!$C:$AL,28,0)-'TRADE IN'!$F88=0,"",(VLOOKUP($C88,REV!$C:$AL,28,0)-'TRADE IN'!$F88))</f>
        <v>6399</v>
      </c>
      <c r="AD88" s="55">
        <f>IF(VLOOKUP($C88,REV!$C:$AL,29,0)-'TRADE IN'!$F88=0,"",(VLOOKUP($C88,REV!$C:$AL,29,0)-'TRADE IN'!$F88))</f>
        <v>6299</v>
      </c>
      <c r="AE88" s="55">
        <f>IF(VLOOKUP($C88,REV!$C:$AL,30,0)-'TRADE IN'!$F88=0,"",(VLOOKUP($C88,REV!$C:$AL,30,0)-'TRADE IN'!$F88))</f>
        <v>6199</v>
      </c>
      <c r="AF88" s="55">
        <f>IF(VLOOKUP($C88,REV!$C:$AL,31,0)-'TRADE IN'!$F88=0,"",(VLOOKUP($C88,REV!$C:$AL,31,0)-'TRADE IN'!$F88))</f>
        <v>6199</v>
      </c>
      <c r="AG88" s="55">
        <f>IF(VLOOKUP($C88,REV!$C:$AL,31,0)-'TRADE IN'!$F88=0,"",(VLOOKUP($C88,REV!$C:$AL,31,0)-'TRADE IN'!$F88))</f>
        <v>6199</v>
      </c>
      <c r="AH88" s="55">
        <f>IF(VLOOKUP($C88,REV!$C:$AL,32,0)-'TRADE IN'!$F88=0,"",(VLOOKUP($C88,REV!$C:$AL,32,0)-'TRADE IN'!$F88))</f>
        <v>5499</v>
      </c>
      <c r="AI88" s="55">
        <f>IF(VLOOKUP($C88,REV!$C:$AL,33,0)-'TRADE IN'!$F88=0,"",(VLOOKUP($C88,REV!$C:$AL,33,0)-'TRADE IN'!$F88))</f>
        <v>5499</v>
      </c>
      <c r="AJ88" s="55">
        <f>IF(VLOOKUP($C88,REV!$C:$AL,34,0)-'TRADE IN'!$F88=0,"",(VLOOKUP($C88,REV!$C:$AL,34,0)-'TRADE IN'!$F88))</f>
        <v>5499</v>
      </c>
      <c r="AK88" s="55">
        <f>IF(VLOOKUP($C88,REV!$C:$AL,35,0)-'TRADE IN'!$F88=0,"",(VLOOKUP($C88,REV!$C:$AL,35,0)-'TRADE IN'!$F88))</f>
        <v>5499</v>
      </c>
      <c r="AL88" s="55">
        <f>IF(VLOOKUP($C88,REV!$C:$AL,36,0)-'TRADE IN'!$F88=0,"",(VLOOKUP($C88,REV!$C:$AL,36,0)-'TRADE IN'!$F88))</f>
        <v>4999</v>
      </c>
      <c r="AM88" s="55"/>
      <c r="AN88" s="55"/>
      <c r="AO88" s="55"/>
      <c r="AP88" s="55"/>
      <c r="AQ88" s="55"/>
      <c r="AR88" s="55"/>
      <c r="AS88" s="55"/>
      <c r="AT88" s="55"/>
      <c r="AU88" s="55"/>
      <c r="AV88" s="57"/>
      <c r="AW88" s="58" t="str">
        <f>REV!AW88</f>
        <v>03.11.2026</v>
      </c>
      <c r="AX88" s="147" t="str">
        <f>VLOOKUP(C88,REV!C:AX,48,0)</f>
        <v>5G</v>
      </c>
    </row>
    <row r="89" spans="1:50" ht="22.5" customHeight="1">
      <c r="A89" s="51" t="s">
        <v>63</v>
      </c>
      <c r="B89" s="52" t="s">
        <v>64</v>
      </c>
      <c r="C89" s="53">
        <v>4017897</v>
      </c>
      <c r="D89" s="54" t="s">
        <v>167</v>
      </c>
      <c r="E89" s="54" t="s">
        <v>169</v>
      </c>
      <c r="F89" s="55"/>
      <c r="G89" s="55"/>
      <c r="H89" s="55"/>
      <c r="I89" s="55"/>
      <c r="J89" s="56">
        <f>IF(VLOOKUP($C89,REV!$C:$AA,8,0)-'TRADE IN'!$F89=0,"",(VLOOKUP($C89,REV!$C:$AA,8,0)-'TRADE IN'!$F89))</f>
        <v>6399</v>
      </c>
      <c r="K89" s="56">
        <f>IF(VLOOKUP($C89,REV!$C:$AA,9,0)-'TRADE IN'!$F89=0,"",(VLOOKUP($C89,REV!$C:$AA,9,0)-'TRADE IN'!$F89))</f>
        <v>6399</v>
      </c>
      <c r="L89" s="56">
        <f>IF(VLOOKUP($C89,REV!$C:$AA,10,0)-'TRADE IN'!$F89=0,"",(VLOOKUP($C89,REV!$C:$AA,10,0)-'TRADE IN'!$F89))</f>
        <v>6399</v>
      </c>
      <c r="M89" s="56">
        <f>IF(VLOOKUP($C89,REV!$C:$AA,11,0)-'TRADE IN'!$F89=0,"",(VLOOKUP($C89,REV!$C:$AA,11,0)-'TRADE IN'!$F89))</f>
        <v>6399</v>
      </c>
      <c r="N89" s="56">
        <f>IF(VLOOKUP($C89,REV!$C:$AA,12,0)-'TRADE IN'!$F89=0,"",(VLOOKUP($C89,REV!$C:$AA,12,0)-'TRADE IN'!$F89))</f>
        <v>6399</v>
      </c>
      <c r="O89" s="56">
        <f>IF(VLOOKUP($C89,REV!$C:$AA,13,0)-'TRADE IN'!$F89=0,"",(VLOOKUP($C89,REV!$C:$AA,13,0)-'TRADE IN'!$F89))</f>
        <v>6299</v>
      </c>
      <c r="P89" s="56">
        <f>IF(VLOOKUP($C89,REV!$C:$AA,14,0)-'TRADE IN'!$F89=0,"",(VLOOKUP($C89,REV!$C:$AA,14,0)-'TRADE IN'!$F89))</f>
        <v>6199</v>
      </c>
      <c r="Q89" s="56">
        <f>IF(VLOOKUP($C89,REV!$C:$AA,15,0)-'TRADE IN'!$F89=0,"",(VLOOKUP($C89,REV!$C:$AA,15,0)-'TRADE IN'!$F89))</f>
        <v>5499</v>
      </c>
      <c r="R89" s="56">
        <f>IF(VLOOKUP($C89,REV!$C:$AA,16,0)-'TRADE IN'!$F89=0,"",(VLOOKUP($C89,REV!$C:$AA,16,0)-'TRADE IN'!$F89))</f>
        <v>6299</v>
      </c>
      <c r="S89" s="56">
        <f>IF(VLOOKUP($C89,REV!$C:$AA,17,0)-'TRADE IN'!$F89=0,"",(VLOOKUP($C89,REV!$C:$AA,17,0)-'TRADE IN'!$F89))</f>
        <v>6199</v>
      </c>
      <c r="T89" s="56">
        <f>IF(VLOOKUP($C89,REV!$C:$AA,18,0)-'TRADE IN'!$F89=0,"",(VLOOKUP($C89,REV!$C:$AA,18,0)-'TRADE IN'!$F89))</f>
        <v>5499</v>
      </c>
      <c r="U89" s="56">
        <f>IF(VLOOKUP($C89,REV!$C:$AA,19,0)-'TRADE IN'!$F89=0,"",(VLOOKUP($C89,REV!$C:$AA,19,0)-'TRADE IN'!$F89))</f>
        <v>5499</v>
      </c>
      <c r="V89" s="56">
        <f>IF(VLOOKUP($C89,REV!$C:$AA,20,0)-'TRADE IN'!$F89=0,"",(VLOOKUP($C89,REV!$C:$AA,20,0)-'TRADE IN'!$F89))</f>
        <v>5499</v>
      </c>
      <c r="W89" s="56">
        <f>IF(VLOOKUP($C89,REV!$C:$AA,21,0)-'TRADE IN'!$F89=0,"",(VLOOKUP($C89,REV!$C:$AA,21,0)-'TRADE IN'!$F89))</f>
        <v>5499</v>
      </c>
      <c r="X89" s="56">
        <f>IF(VLOOKUP($C89,REV!$C:$AA,22,0)-'TRADE IN'!$F89=0,"",(VLOOKUP($C89,REV!$C:$AA,22,0)-'TRADE IN'!$F89))</f>
        <v>5399</v>
      </c>
      <c r="Y89" s="56">
        <f>IF(VLOOKUP($C89,REV!$C:$AA,23,0)-'TRADE IN'!$F89=0,"",(VLOOKUP($C89,REV!$C:$AA,23,0)-'TRADE IN'!$F89))</f>
        <v>4999</v>
      </c>
      <c r="Z89" s="56">
        <f>IF(VLOOKUP($C89,REV!$C:$AA,24,0)-'TRADE IN'!$F89=0,"",(VLOOKUP($C89,REV!$C:$AA,24,0)-'TRADE IN'!$F89))</f>
        <v>4999</v>
      </c>
      <c r="AA89" s="56">
        <f>IF(VLOOKUP($C89,REV!$C:$AA,25,0)-'TRADE IN'!$F89=0,"",(VLOOKUP($C89,REV!$C:$AA,25,0)-'TRADE IN'!$F89))</f>
        <v>4949</v>
      </c>
      <c r="AB89" s="55">
        <f>IF(VLOOKUP($C89,REV!$C:$AL,27,0)-'TRADE IN'!$F89=0,"",(VLOOKUP($C89,REV!$C:$AL,27,0)-'TRADE IN'!$F89))</f>
        <v>6399</v>
      </c>
      <c r="AC89" s="55">
        <f>IF(VLOOKUP($C89,REV!$C:$AL,28,0)-'TRADE IN'!$F89=0,"",(VLOOKUP($C89,REV!$C:$AL,28,0)-'TRADE IN'!$F89))</f>
        <v>6399</v>
      </c>
      <c r="AD89" s="55">
        <f>IF(VLOOKUP($C89,REV!$C:$AL,29,0)-'TRADE IN'!$F89=0,"",(VLOOKUP($C89,REV!$C:$AL,29,0)-'TRADE IN'!$F89))</f>
        <v>6299</v>
      </c>
      <c r="AE89" s="55">
        <f>IF(VLOOKUP($C89,REV!$C:$AL,30,0)-'TRADE IN'!$F89=0,"",(VLOOKUP($C89,REV!$C:$AL,30,0)-'TRADE IN'!$F89))</f>
        <v>6199</v>
      </c>
      <c r="AF89" s="55">
        <f>IF(VLOOKUP($C89,REV!$C:$AL,31,0)-'TRADE IN'!$F89=0,"",(VLOOKUP($C89,REV!$C:$AL,31,0)-'TRADE IN'!$F89))</f>
        <v>6199</v>
      </c>
      <c r="AG89" s="55">
        <f>IF(VLOOKUP($C89,REV!$C:$AL,31,0)-'TRADE IN'!$F89=0,"",(VLOOKUP($C89,REV!$C:$AL,31,0)-'TRADE IN'!$F89))</f>
        <v>6199</v>
      </c>
      <c r="AH89" s="55">
        <f>IF(VLOOKUP($C89,REV!$C:$AL,32,0)-'TRADE IN'!$F89=0,"",(VLOOKUP($C89,REV!$C:$AL,32,0)-'TRADE IN'!$F89))</f>
        <v>5499</v>
      </c>
      <c r="AI89" s="55">
        <f>IF(VLOOKUP($C89,REV!$C:$AL,33,0)-'TRADE IN'!$F89=0,"",(VLOOKUP($C89,REV!$C:$AL,33,0)-'TRADE IN'!$F89))</f>
        <v>5499</v>
      </c>
      <c r="AJ89" s="55">
        <f>IF(VLOOKUP($C89,REV!$C:$AL,34,0)-'TRADE IN'!$F89=0,"",(VLOOKUP($C89,REV!$C:$AL,34,0)-'TRADE IN'!$F89))</f>
        <v>5499</v>
      </c>
      <c r="AK89" s="55">
        <f>IF(VLOOKUP($C89,REV!$C:$AL,35,0)-'TRADE IN'!$F89=0,"",(VLOOKUP($C89,REV!$C:$AL,35,0)-'TRADE IN'!$F89))</f>
        <v>5499</v>
      </c>
      <c r="AL89" s="55">
        <f>IF(VLOOKUP($C89,REV!$C:$AL,36,0)-'TRADE IN'!$F89=0,"",(VLOOKUP($C89,REV!$C:$AL,36,0)-'TRADE IN'!$F89))</f>
        <v>4999</v>
      </c>
      <c r="AM89" s="55"/>
      <c r="AN89" s="55"/>
      <c r="AO89" s="55"/>
      <c r="AP89" s="55"/>
      <c r="AQ89" s="55"/>
      <c r="AR89" s="55"/>
      <c r="AS89" s="55"/>
      <c r="AT89" s="55"/>
      <c r="AU89" s="55"/>
      <c r="AV89" s="57"/>
      <c r="AW89" s="58" t="str">
        <f>REV!AW89</f>
        <v>03.11.2026</v>
      </c>
      <c r="AX89" s="147" t="str">
        <f>VLOOKUP(C89,REV!C:AX,48,0)</f>
        <v>5G</v>
      </c>
    </row>
    <row r="90" spans="1:50" ht="22.5" customHeight="1">
      <c r="A90" s="51" t="s">
        <v>63</v>
      </c>
      <c r="B90" s="52" t="s">
        <v>64</v>
      </c>
      <c r="C90" s="53">
        <v>4017480</v>
      </c>
      <c r="D90" s="54" t="s">
        <v>167</v>
      </c>
      <c r="E90" s="54" t="s">
        <v>170</v>
      </c>
      <c r="F90" s="55"/>
      <c r="G90" s="55"/>
      <c r="H90" s="55"/>
      <c r="I90" s="55"/>
      <c r="J90" s="56">
        <f>IF(VLOOKUP($C90,REV!$C:$AA,8,0)-'TRADE IN'!$F90=0,"",(VLOOKUP($C90,REV!$C:$AA,8,0)-'TRADE IN'!$F90))</f>
        <v>6399</v>
      </c>
      <c r="K90" s="56">
        <f>IF(VLOOKUP($C90,REV!$C:$AA,9,0)-'TRADE IN'!$F90=0,"",(VLOOKUP($C90,REV!$C:$AA,9,0)-'TRADE IN'!$F90))</f>
        <v>6399</v>
      </c>
      <c r="L90" s="56">
        <f>IF(VLOOKUP($C90,REV!$C:$AA,10,0)-'TRADE IN'!$F90=0,"",(VLOOKUP($C90,REV!$C:$AA,10,0)-'TRADE IN'!$F90))</f>
        <v>6399</v>
      </c>
      <c r="M90" s="56">
        <f>IF(VLOOKUP($C90,REV!$C:$AA,11,0)-'TRADE IN'!$F90=0,"",(VLOOKUP($C90,REV!$C:$AA,11,0)-'TRADE IN'!$F90))</f>
        <v>6399</v>
      </c>
      <c r="N90" s="56">
        <f>IF(VLOOKUP($C90,REV!$C:$AA,12,0)-'TRADE IN'!$F90=0,"",(VLOOKUP($C90,REV!$C:$AA,12,0)-'TRADE IN'!$F90))</f>
        <v>6399</v>
      </c>
      <c r="O90" s="56">
        <f>IF(VLOOKUP($C90,REV!$C:$AA,13,0)-'TRADE IN'!$F90=0,"",(VLOOKUP($C90,REV!$C:$AA,13,0)-'TRADE IN'!$F90))</f>
        <v>6299</v>
      </c>
      <c r="P90" s="56">
        <f>IF(VLOOKUP($C90,REV!$C:$AA,14,0)-'TRADE IN'!$F90=0,"",(VLOOKUP($C90,REV!$C:$AA,14,0)-'TRADE IN'!$F90))</f>
        <v>6199</v>
      </c>
      <c r="Q90" s="56">
        <f>IF(VLOOKUP($C90,REV!$C:$AA,15,0)-'TRADE IN'!$F90=0,"",(VLOOKUP($C90,REV!$C:$AA,15,0)-'TRADE IN'!$F90))</f>
        <v>5499</v>
      </c>
      <c r="R90" s="56">
        <f>IF(VLOOKUP($C90,REV!$C:$AA,16,0)-'TRADE IN'!$F90=0,"",(VLOOKUP($C90,REV!$C:$AA,16,0)-'TRADE IN'!$F90))</f>
        <v>6299</v>
      </c>
      <c r="S90" s="56">
        <f>IF(VLOOKUP($C90,REV!$C:$AA,17,0)-'TRADE IN'!$F90=0,"",(VLOOKUP($C90,REV!$C:$AA,17,0)-'TRADE IN'!$F90))</f>
        <v>6199</v>
      </c>
      <c r="T90" s="56">
        <f>IF(VLOOKUP($C90,REV!$C:$AA,18,0)-'TRADE IN'!$F90=0,"",(VLOOKUP($C90,REV!$C:$AA,18,0)-'TRADE IN'!$F90))</f>
        <v>5499</v>
      </c>
      <c r="U90" s="56">
        <f>IF(VLOOKUP($C90,REV!$C:$AA,19,0)-'TRADE IN'!$F90=0,"",(VLOOKUP($C90,REV!$C:$AA,19,0)-'TRADE IN'!$F90))</f>
        <v>5499</v>
      </c>
      <c r="V90" s="56">
        <f>IF(VLOOKUP($C90,REV!$C:$AA,20,0)-'TRADE IN'!$F90=0,"",(VLOOKUP($C90,REV!$C:$AA,20,0)-'TRADE IN'!$F90))</f>
        <v>5499</v>
      </c>
      <c r="W90" s="56">
        <f>IF(VLOOKUP($C90,REV!$C:$AA,21,0)-'TRADE IN'!$F90=0,"",(VLOOKUP($C90,REV!$C:$AA,21,0)-'TRADE IN'!$F90))</f>
        <v>5499</v>
      </c>
      <c r="X90" s="56">
        <f>IF(VLOOKUP($C90,REV!$C:$AA,22,0)-'TRADE IN'!$F90=0,"",(VLOOKUP($C90,REV!$C:$AA,22,0)-'TRADE IN'!$F90))</f>
        <v>5399</v>
      </c>
      <c r="Y90" s="56">
        <f>IF(VLOOKUP($C90,REV!$C:$AA,23,0)-'TRADE IN'!$F90=0,"",(VLOOKUP($C90,REV!$C:$AA,23,0)-'TRADE IN'!$F90))</f>
        <v>4999</v>
      </c>
      <c r="Z90" s="56">
        <f>IF(VLOOKUP($C90,REV!$C:$AA,24,0)-'TRADE IN'!$F90=0,"",(VLOOKUP($C90,REV!$C:$AA,24,0)-'TRADE IN'!$F90))</f>
        <v>4999</v>
      </c>
      <c r="AA90" s="56">
        <f>IF(VLOOKUP($C90,REV!$C:$AA,25,0)-'TRADE IN'!$F90=0,"",(VLOOKUP($C90,REV!$C:$AA,25,0)-'TRADE IN'!$F90))</f>
        <v>4949</v>
      </c>
      <c r="AB90" s="55">
        <f>IF(VLOOKUP($C90,REV!$C:$AL,27,0)-'TRADE IN'!$F90=0,"",(VLOOKUP($C90,REV!$C:$AL,27,0)-'TRADE IN'!$F90))</f>
        <v>6399</v>
      </c>
      <c r="AC90" s="55">
        <f>IF(VLOOKUP($C90,REV!$C:$AL,28,0)-'TRADE IN'!$F90=0,"",(VLOOKUP($C90,REV!$C:$AL,28,0)-'TRADE IN'!$F90))</f>
        <v>6399</v>
      </c>
      <c r="AD90" s="55">
        <f>IF(VLOOKUP($C90,REV!$C:$AL,29,0)-'TRADE IN'!$F90=0,"",(VLOOKUP($C90,REV!$C:$AL,29,0)-'TRADE IN'!$F90))</f>
        <v>6299</v>
      </c>
      <c r="AE90" s="55">
        <f>IF(VLOOKUP($C90,REV!$C:$AL,30,0)-'TRADE IN'!$F90=0,"",(VLOOKUP($C90,REV!$C:$AL,30,0)-'TRADE IN'!$F90))</f>
        <v>6199</v>
      </c>
      <c r="AF90" s="55">
        <f>IF(VLOOKUP($C90,REV!$C:$AL,31,0)-'TRADE IN'!$F90=0,"",(VLOOKUP($C90,REV!$C:$AL,31,0)-'TRADE IN'!$F90))</f>
        <v>6199</v>
      </c>
      <c r="AG90" s="55">
        <f>IF(VLOOKUP($C90,REV!$C:$AL,31,0)-'TRADE IN'!$F90=0,"",(VLOOKUP($C90,REV!$C:$AL,31,0)-'TRADE IN'!$F90))</f>
        <v>6199</v>
      </c>
      <c r="AH90" s="55">
        <f>IF(VLOOKUP($C90,REV!$C:$AL,32,0)-'TRADE IN'!$F90=0,"",(VLOOKUP($C90,REV!$C:$AL,32,0)-'TRADE IN'!$F90))</f>
        <v>5499</v>
      </c>
      <c r="AI90" s="55">
        <f>IF(VLOOKUP($C90,REV!$C:$AL,33,0)-'TRADE IN'!$F90=0,"",(VLOOKUP($C90,REV!$C:$AL,33,0)-'TRADE IN'!$F90))</f>
        <v>5499</v>
      </c>
      <c r="AJ90" s="55">
        <f>IF(VLOOKUP($C90,REV!$C:$AL,34,0)-'TRADE IN'!$F90=0,"",(VLOOKUP($C90,REV!$C:$AL,34,0)-'TRADE IN'!$F90))</f>
        <v>5499</v>
      </c>
      <c r="AK90" s="55">
        <f>IF(VLOOKUP($C90,REV!$C:$AL,35,0)-'TRADE IN'!$F90=0,"",(VLOOKUP($C90,REV!$C:$AL,35,0)-'TRADE IN'!$F90))</f>
        <v>5499</v>
      </c>
      <c r="AL90" s="55">
        <f>IF(VLOOKUP($C90,REV!$C:$AL,36,0)-'TRADE IN'!$F90=0,"",(VLOOKUP($C90,REV!$C:$AL,36,0)-'TRADE IN'!$F90))</f>
        <v>4999</v>
      </c>
      <c r="AM90" s="55"/>
      <c r="AN90" s="55"/>
      <c r="AO90" s="55"/>
      <c r="AP90" s="55"/>
      <c r="AQ90" s="55"/>
      <c r="AR90" s="55"/>
      <c r="AS90" s="55"/>
      <c r="AT90" s="55"/>
      <c r="AU90" s="55"/>
      <c r="AV90" s="57"/>
      <c r="AW90" s="58" t="str">
        <f>REV!AW90</f>
        <v>03.11.2026</v>
      </c>
      <c r="AX90" s="147" t="str">
        <f>VLOOKUP(C90,REV!C:AX,48,0)</f>
        <v>5G</v>
      </c>
    </row>
    <row r="91" spans="1:50" ht="22.5" customHeight="1">
      <c r="A91" s="51" t="s">
        <v>63</v>
      </c>
      <c r="B91" s="52" t="s">
        <v>64</v>
      </c>
      <c r="C91" s="53">
        <v>4017894</v>
      </c>
      <c r="D91" s="54" t="s">
        <v>167</v>
      </c>
      <c r="E91" s="54" t="s">
        <v>171</v>
      </c>
      <c r="F91" s="55"/>
      <c r="G91" s="55"/>
      <c r="H91" s="55"/>
      <c r="I91" s="55"/>
      <c r="J91" s="56">
        <f>IF(VLOOKUP($C91,REV!$C:$AA,8,0)-'TRADE IN'!$F91=0,"",(VLOOKUP($C91,REV!$C:$AA,8,0)-'TRADE IN'!$F91))</f>
        <v>6399</v>
      </c>
      <c r="K91" s="56">
        <f>IF(VLOOKUP($C91,REV!$C:$AA,9,0)-'TRADE IN'!$F91=0,"",(VLOOKUP($C91,REV!$C:$AA,9,0)-'TRADE IN'!$F91))</f>
        <v>6399</v>
      </c>
      <c r="L91" s="56">
        <f>IF(VLOOKUP($C91,REV!$C:$AA,10,0)-'TRADE IN'!$F91=0,"",(VLOOKUP($C91,REV!$C:$AA,10,0)-'TRADE IN'!$F91))</f>
        <v>6399</v>
      </c>
      <c r="M91" s="56">
        <f>IF(VLOOKUP($C91,REV!$C:$AA,11,0)-'TRADE IN'!$F91=0,"",(VLOOKUP($C91,REV!$C:$AA,11,0)-'TRADE IN'!$F91))</f>
        <v>6399</v>
      </c>
      <c r="N91" s="56">
        <f>IF(VLOOKUP($C91,REV!$C:$AA,12,0)-'TRADE IN'!$F91=0,"",(VLOOKUP($C91,REV!$C:$AA,12,0)-'TRADE IN'!$F91))</f>
        <v>6399</v>
      </c>
      <c r="O91" s="56">
        <f>IF(VLOOKUP($C91,REV!$C:$AA,13,0)-'TRADE IN'!$F91=0,"",(VLOOKUP($C91,REV!$C:$AA,13,0)-'TRADE IN'!$F91))</f>
        <v>6299</v>
      </c>
      <c r="P91" s="56">
        <f>IF(VLOOKUP($C91,REV!$C:$AA,14,0)-'TRADE IN'!$F91=0,"",(VLOOKUP($C91,REV!$C:$AA,14,0)-'TRADE IN'!$F91))</f>
        <v>6199</v>
      </c>
      <c r="Q91" s="56">
        <f>IF(VLOOKUP($C91,REV!$C:$AA,15,0)-'TRADE IN'!$F91=0,"",(VLOOKUP($C91,REV!$C:$AA,15,0)-'TRADE IN'!$F91))</f>
        <v>5499</v>
      </c>
      <c r="R91" s="56">
        <f>IF(VLOOKUP($C91,REV!$C:$AA,16,0)-'TRADE IN'!$F91=0,"",(VLOOKUP($C91,REV!$C:$AA,16,0)-'TRADE IN'!$F91))</f>
        <v>6299</v>
      </c>
      <c r="S91" s="56">
        <f>IF(VLOOKUP($C91,REV!$C:$AA,17,0)-'TRADE IN'!$F91=0,"",(VLOOKUP($C91,REV!$C:$AA,17,0)-'TRADE IN'!$F91))</f>
        <v>6199</v>
      </c>
      <c r="T91" s="56">
        <f>IF(VLOOKUP($C91,REV!$C:$AA,18,0)-'TRADE IN'!$F91=0,"",(VLOOKUP($C91,REV!$C:$AA,18,0)-'TRADE IN'!$F91))</f>
        <v>5499</v>
      </c>
      <c r="U91" s="56">
        <f>IF(VLOOKUP($C91,REV!$C:$AA,19,0)-'TRADE IN'!$F91=0,"",(VLOOKUP($C91,REV!$C:$AA,19,0)-'TRADE IN'!$F91))</f>
        <v>5499</v>
      </c>
      <c r="V91" s="56">
        <f>IF(VLOOKUP($C91,REV!$C:$AA,20,0)-'TRADE IN'!$F91=0,"",(VLOOKUP($C91,REV!$C:$AA,20,0)-'TRADE IN'!$F91))</f>
        <v>5499</v>
      </c>
      <c r="W91" s="56">
        <f>IF(VLOOKUP($C91,REV!$C:$AA,21,0)-'TRADE IN'!$F91=0,"",(VLOOKUP($C91,REV!$C:$AA,21,0)-'TRADE IN'!$F91))</f>
        <v>5499</v>
      </c>
      <c r="X91" s="56">
        <f>IF(VLOOKUP($C91,REV!$C:$AA,22,0)-'TRADE IN'!$F91=0,"",(VLOOKUP($C91,REV!$C:$AA,22,0)-'TRADE IN'!$F91))</f>
        <v>5399</v>
      </c>
      <c r="Y91" s="56">
        <f>IF(VLOOKUP($C91,REV!$C:$AA,23,0)-'TRADE IN'!$F91=0,"",(VLOOKUP($C91,REV!$C:$AA,23,0)-'TRADE IN'!$F91))</f>
        <v>4999</v>
      </c>
      <c r="Z91" s="56">
        <f>IF(VLOOKUP($C91,REV!$C:$AA,24,0)-'TRADE IN'!$F91=0,"",(VLOOKUP($C91,REV!$C:$AA,24,0)-'TRADE IN'!$F91))</f>
        <v>4999</v>
      </c>
      <c r="AA91" s="56">
        <f>IF(VLOOKUP($C91,REV!$C:$AA,25,0)-'TRADE IN'!$F91=0,"",(VLOOKUP($C91,REV!$C:$AA,25,0)-'TRADE IN'!$F91))</f>
        <v>4949</v>
      </c>
      <c r="AB91" s="55">
        <f>IF(VLOOKUP($C91,REV!$C:$AL,27,0)-'TRADE IN'!$F91=0,"",(VLOOKUP($C91,REV!$C:$AL,27,0)-'TRADE IN'!$F91))</f>
        <v>6399</v>
      </c>
      <c r="AC91" s="55">
        <f>IF(VLOOKUP($C91,REV!$C:$AL,28,0)-'TRADE IN'!$F91=0,"",(VLOOKUP($C91,REV!$C:$AL,28,0)-'TRADE IN'!$F91))</f>
        <v>6399</v>
      </c>
      <c r="AD91" s="55">
        <f>IF(VLOOKUP($C91,REV!$C:$AL,29,0)-'TRADE IN'!$F91=0,"",(VLOOKUP($C91,REV!$C:$AL,29,0)-'TRADE IN'!$F91))</f>
        <v>6299</v>
      </c>
      <c r="AE91" s="55">
        <f>IF(VLOOKUP($C91,REV!$C:$AL,30,0)-'TRADE IN'!$F91=0,"",(VLOOKUP($C91,REV!$C:$AL,30,0)-'TRADE IN'!$F91))</f>
        <v>6199</v>
      </c>
      <c r="AF91" s="55">
        <f>IF(VLOOKUP($C91,REV!$C:$AL,31,0)-'TRADE IN'!$F91=0,"",(VLOOKUP($C91,REV!$C:$AL,31,0)-'TRADE IN'!$F91))</f>
        <v>6199</v>
      </c>
      <c r="AG91" s="55">
        <f>IF(VLOOKUP($C91,REV!$C:$AL,31,0)-'TRADE IN'!$F91=0,"",(VLOOKUP($C91,REV!$C:$AL,31,0)-'TRADE IN'!$F91))</f>
        <v>6199</v>
      </c>
      <c r="AH91" s="55">
        <f>IF(VLOOKUP($C91,REV!$C:$AL,32,0)-'TRADE IN'!$F91=0,"",(VLOOKUP($C91,REV!$C:$AL,32,0)-'TRADE IN'!$F91))</f>
        <v>5499</v>
      </c>
      <c r="AI91" s="55">
        <f>IF(VLOOKUP($C91,REV!$C:$AL,33,0)-'TRADE IN'!$F91=0,"",(VLOOKUP($C91,REV!$C:$AL,33,0)-'TRADE IN'!$F91))</f>
        <v>5499</v>
      </c>
      <c r="AJ91" s="55">
        <f>IF(VLOOKUP($C91,REV!$C:$AL,34,0)-'TRADE IN'!$F91=0,"",(VLOOKUP($C91,REV!$C:$AL,34,0)-'TRADE IN'!$F91))</f>
        <v>5499</v>
      </c>
      <c r="AK91" s="55">
        <f>IF(VLOOKUP($C91,REV!$C:$AL,35,0)-'TRADE IN'!$F91=0,"",(VLOOKUP($C91,REV!$C:$AL,35,0)-'TRADE IN'!$F91))</f>
        <v>5499</v>
      </c>
      <c r="AL91" s="55">
        <f>IF(VLOOKUP($C91,REV!$C:$AL,36,0)-'TRADE IN'!$F91=0,"",(VLOOKUP($C91,REV!$C:$AL,36,0)-'TRADE IN'!$F91))</f>
        <v>4999</v>
      </c>
      <c r="AM91" s="55"/>
      <c r="AN91" s="55"/>
      <c r="AO91" s="55"/>
      <c r="AP91" s="55"/>
      <c r="AQ91" s="55"/>
      <c r="AR91" s="55"/>
      <c r="AS91" s="55"/>
      <c r="AT91" s="55"/>
      <c r="AU91" s="55"/>
      <c r="AV91" s="57"/>
      <c r="AW91" s="58" t="str">
        <f>REV!AW91</f>
        <v>03.11.2026</v>
      </c>
      <c r="AX91" s="147" t="str">
        <f>VLOOKUP(C91,REV!C:AX,48,0)</f>
        <v>5G</v>
      </c>
    </row>
    <row r="92" spans="1:50" ht="22.5" customHeight="1">
      <c r="A92" s="51" t="s">
        <v>63</v>
      </c>
      <c r="B92" s="52" t="s">
        <v>64</v>
      </c>
      <c r="C92" s="53">
        <v>4017485</v>
      </c>
      <c r="D92" s="54" t="s">
        <v>167</v>
      </c>
      <c r="E92" s="54" t="s">
        <v>172</v>
      </c>
      <c r="F92" s="55"/>
      <c r="G92" s="55"/>
      <c r="H92" s="55"/>
      <c r="I92" s="55"/>
      <c r="J92" s="56">
        <f>IF(VLOOKUP($C92,REV!$C:$AA,8,0)-'TRADE IN'!$F92=0,"",(VLOOKUP($C92,REV!$C:$AA,8,0)-'TRADE IN'!$F92))</f>
        <v>6399</v>
      </c>
      <c r="K92" s="56">
        <f>IF(VLOOKUP($C92,REV!$C:$AA,9,0)-'TRADE IN'!$F92=0,"",(VLOOKUP($C92,REV!$C:$AA,9,0)-'TRADE IN'!$F92))</f>
        <v>6399</v>
      </c>
      <c r="L92" s="56">
        <f>IF(VLOOKUP($C92,REV!$C:$AA,10,0)-'TRADE IN'!$F92=0,"",(VLOOKUP($C92,REV!$C:$AA,10,0)-'TRADE IN'!$F92))</f>
        <v>6399</v>
      </c>
      <c r="M92" s="56">
        <f>IF(VLOOKUP($C92,REV!$C:$AA,11,0)-'TRADE IN'!$F92=0,"",(VLOOKUP($C92,REV!$C:$AA,11,0)-'TRADE IN'!$F92))</f>
        <v>6399</v>
      </c>
      <c r="N92" s="56">
        <f>IF(VLOOKUP($C92,REV!$C:$AA,12,0)-'TRADE IN'!$F92=0,"",(VLOOKUP($C92,REV!$C:$AA,12,0)-'TRADE IN'!$F92))</f>
        <v>6399</v>
      </c>
      <c r="O92" s="56">
        <f>IF(VLOOKUP($C92,REV!$C:$AA,13,0)-'TRADE IN'!$F92=0,"",(VLOOKUP($C92,REV!$C:$AA,13,0)-'TRADE IN'!$F92))</f>
        <v>6299</v>
      </c>
      <c r="P92" s="56">
        <f>IF(VLOOKUP($C92,REV!$C:$AA,14,0)-'TRADE IN'!$F92=0,"",(VLOOKUP($C92,REV!$C:$AA,14,0)-'TRADE IN'!$F92))</f>
        <v>6199</v>
      </c>
      <c r="Q92" s="56">
        <f>IF(VLOOKUP($C92,REV!$C:$AA,15,0)-'TRADE IN'!$F92=0,"",(VLOOKUP($C92,REV!$C:$AA,15,0)-'TRADE IN'!$F92))</f>
        <v>5499</v>
      </c>
      <c r="R92" s="56">
        <f>IF(VLOOKUP($C92,REV!$C:$AA,16,0)-'TRADE IN'!$F92=0,"",(VLOOKUP($C92,REV!$C:$AA,16,0)-'TRADE IN'!$F92))</f>
        <v>6299</v>
      </c>
      <c r="S92" s="56">
        <f>IF(VLOOKUP($C92,REV!$C:$AA,17,0)-'TRADE IN'!$F92=0,"",(VLOOKUP($C92,REV!$C:$AA,17,0)-'TRADE IN'!$F92))</f>
        <v>6199</v>
      </c>
      <c r="T92" s="56">
        <f>IF(VLOOKUP($C92,REV!$C:$AA,18,0)-'TRADE IN'!$F92=0,"",(VLOOKUP($C92,REV!$C:$AA,18,0)-'TRADE IN'!$F92))</f>
        <v>5499</v>
      </c>
      <c r="U92" s="56">
        <f>IF(VLOOKUP($C92,REV!$C:$AA,19,0)-'TRADE IN'!$F92=0,"",(VLOOKUP($C92,REV!$C:$AA,19,0)-'TRADE IN'!$F92))</f>
        <v>5499</v>
      </c>
      <c r="V92" s="56">
        <f>IF(VLOOKUP($C92,REV!$C:$AA,20,0)-'TRADE IN'!$F92=0,"",(VLOOKUP($C92,REV!$C:$AA,20,0)-'TRADE IN'!$F92))</f>
        <v>5499</v>
      </c>
      <c r="W92" s="56">
        <f>IF(VLOOKUP($C92,REV!$C:$AA,21,0)-'TRADE IN'!$F92=0,"",(VLOOKUP($C92,REV!$C:$AA,21,0)-'TRADE IN'!$F92))</f>
        <v>5499</v>
      </c>
      <c r="X92" s="56">
        <f>IF(VLOOKUP($C92,REV!$C:$AA,22,0)-'TRADE IN'!$F92=0,"",(VLOOKUP($C92,REV!$C:$AA,22,0)-'TRADE IN'!$F92))</f>
        <v>5399</v>
      </c>
      <c r="Y92" s="56">
        <f>IF(VLOOKUP($C92,REV!$C:$AA,23,0)-'TRADE IN'!$F92=0,"",(VLOOKUP($C92,REV!$C:$AA,23,0)-'TRADE IN'!$F92))</f>
        <v>4999</v>
      </c>
      <c r="Z92" s="56">
        <f>IF(VLOOKUP($C92,REV!$C:$AA,24,0)-'TRADE IN'!$F92=0,"",(VLOOKUP($C92,REV!$C:$AA,24,0)-'TRADE IN'!$F92))</f>
        <v>4999</v>
      </c>
      <c r="AA92" s="56">
        <f>IF(VLOOKUP($C92,REV!$C:$AA,25,0)-'TRADE IN'!$F92=0,"",(VLOOKUP($C92,REV!$C:$AA,25,0)-'TRADE IN'!$F92))</f>
        <v>4949</v>
      </c>
      <c r="AB92" s="55">
        <f>IF(VLOOKUP($C92,REV!$C:$AL,27,0)-'TRADE IN'!$F92=0,"",(VLOOKUP($C92,REV!$C:$AL,27,0)-'TRADE IN'!$F92))</f>
        <v>6399</v>
      </c>
      <c r="AC92" s="55">
        <f>IF(VLOOKUP($C92,REV!$C:$AL,28,0)-'TRADE IN'!$F92=0,"",(VLOOKUP($C92,REV!$C:$AL,28,0)-'TRADE IN'!$F92))</f>
        <v>6399</v>
      </c>
      <c r="AD92" s="55">
        <f>IF(VLOOKUP($C92,REV!$C:$AL,29,0)-'TRADE IN'!$F92=0,"",(VLOOKUP($C92,REV!$C:$AL,29,0)-'TRADE IN'!$F92))</f>
        <v>6299</v>
      </c>
      <c r="AE92" s="55">
        <f>IF(VLOOKUP($C92,REV!$C:$AL,30,0)-'TRADE IN'!$F92=0,"",(VLOOKUP($C92,REV!$C:$AL,30,0)-'TRADE IN'!$F92))</f>
        <v>6199</v>
      </c>
      <c r="AF92" s="55">
        <f>IF(VLOOKUP($C92,REV!$C:$AL,31,0)-'TRADE IN'!$F92=0,"",(VLOOKUP($C92,REV!$C:$AL,31,0)-'TRADE IN'!$F92))</f>
        <v>6199</v>
      </c>
      <c r="AG92" s="55">
        <f>IF(VLOOKUP($C92,REV!$C:$AL,31,0)-'TRADE IN'!$F92=0,"",(VLOOKUP($C92,REV!$C:$AL,31,0)-'TRADE IN'!$F92))</f>
        <v>6199</v>
      </c>
      <c r="AH92" s="55">
        <f>IF(VLOOKUP($C92,REV!$C:$AL,32,0)-'TRADE IN'!$F92=0,"",(VLOOKUP($C92,REV!$C:$AL,32,0)-'TRADE IN'!$F92))</f>
        <v>5499</v>
      </c>
      <c r="AI92" s="55">
        <f>IF(VLOOKUP($C92,REV!$C:$AL,33,0)-'TRADE IN'!$F92=0,"",(VLOOKUP($C92,REV!$C:$AL,33,0)-'TRADE IN'!$F92))</f>
        <v>5499</v>
      </c>
      <c r="AJ92" s="55">
        <f>IF(VLOOKUP($C92,REV!$C:$AL,34,0)-'TRADE IN'!$F92=0,"",(VLOOKUP($C92,REV!$C:$AL,34,0)-'TRADE IN'!$F92))</f>
        <v>5499</v>
      </c>
      <c r="AK92" s="55">
        <f>IF(VLOOKUP($C92,REV!$C:$AL,35,0)-'TRADE IN'!$F92=0,"",(VLOOKUP($C92,REV!$C:$AL,35,0)-'TRADE IN'!$F92))</f>
        <v>5499</v>
      </c>
      <c r="AL92" s="55">
        <f>IF(VLOOKUP($C92,REV!$C:$AL,36,0)-'TRADE IN'!$F92=0,"",(VLOOKUP($C92,REV!$C:$AL,36,0)-'TRADE IN'!$F92))</f>
        <v>4999</v>
      </c>
      <c r="AM92" s="55"/>
      <c r="AN92" s="55"/>
      <c r="AO92" s="55"/>
      <c r="AP92" s="55"/>
      <c r="AQ92" s="55"/>
      <c r="AR92" s="55"/>
      <c r="AS92" s="55"/>
      <c r="AT92" s="55"/>
      <c r="AU92" s="55"/>
      <c r="AV92" s="57"/>
      <c r="AW92" s="58" t="str">
        <f>REV!AW92</f>
        <v>03.11.2026</v>
      </c>
      <c r="AX92" s="147" t="str">
        <f>VLOOKUP(C92,REV!C:AX,48,0)</f>
        <v>5G</v>
      </c>
    </row>
    <row r="93" spans="1:50" ht="22.5" customHeight="1">
      <c r="A93" s="51" t="s">
        <v>63</v>
      </c>
      <c r="B93" s="52" t="s">
        <v>64</v>
      </c>
      <c r="C93" s="53">
        <v>4017890</v>
      </c>
      <c r="D93" s="54" t="s">
        <v>167</v>
      </c>
      <c r="E93" s="54" t="s">
        <v>173</v>
      </c>
      <c r="F93" s="55"/>
      <c r="G93" s="55"/>
      <c r="H93" s="55"/>
      <c r="I93" s="55"/>
      <c r="J93" s="56">
        <f>IF(VLOOKUP($C93,REV!$C:$AA,8,0)-'TRADE IN'!$F93=0,"",(VLOOKUP($C93,REV!$C:$AA,8,0)-'TRADE IN'!$F93))</f>
        <v>6399</v>
      </c>
      <c r="K93" s="56">
        <f>IF(VLOOKUP($C93,REV!$C:$AA,9,0)-'TRADE IN'!$F93=0,"",(VLOOKUP($C93,REV!$C:$AA,9,0)-'TRADE IN'!$F93))</f>
        <v>6399</v>
      </c>
      <c r="L93" s="56">
        <f>IF(VLOOKUP($C93,REV!$C:$AA,10,0)-'TRADE IN'!$F93=0,"",(VLOOKUP($C93,REV!$C:$AA,10,0)-'TRADE IN'!$F93))</f>
        <v>6399</v>
      </c>
      <c r="M93" s="56">
        <f>IF(VLOOKUP($C93,REV!$C:$AA,11,0)-'TRADE IN'!$F93=0,"",(VLOOKUP($C93,REV!$C:$AA,11,0)-'TRADE IN'!$F93))</f>
        <v>6399</v>
      </c>
      <c r="N93" s="56">
        <f>IF(VLOOKUP($C93,REV!$C:$AA,12,0)-'TRADE IN'!$F93=0,"",(VLOOKUP($C93,REV!$C:$AA,12,0)-'TRADE IN'!$F93))</f>
        <v>6399</v>
      </c>
      <c r="O93" s="56">
        <f>IF(VLOOKUP($C93,REV!$C:$AA,13,0)-'TRADE IN'!$F93=0,"",(VLOOKUP($C93,REV!$C:$AA,13,0)-'TRADE IN'!$F93))</f>
        <v>6299</v>
      </c>
      <c r="P93" s="56">
        <f>IF(VLOOKUP($C93,REV!$C:$AA,14,0)-'TRADE IN'!$F93=0,"",(VLOOKUP($C93,REV!$C:$AA,14,0)-'TRADE IN'!$F93))</f>
        <v>6199</v>
      </c>
      <c r="Q93" s="56">
        <f>IF(VLOOKUP($C93,REV!$C:$AA,15,0)-'TRADE IN'!$F93=0,"",(VLOOKUP($C93,REV!$C:$AA,15,0)-'TRADE IN'!$F93))</f>
        <v>5499</v>
      </c>
      <c r="R93" s="56">
        <f>IF(VLOOKUP($C93,REV!$C:$AA,16,0)-'TRADE IN'!$F93=0,"",(VLOOKUP($C93,REV!$C:$AA,16,0)-'TRADE IN'!$F93))</f>
        <v>6299</v>
      </c>
      <c r="S93" s="56">
        <f>IF(VLOOKUP($C93,REV!$C:$AA,17,0)-'TRADE IN'!$F93=0,"",(VLOOKUP($C93,REV!$C:$AA,17,0)-'TRADE IN'!$F93))</f>
        <v>6199</v>
      </c>
      <c r="T93" s="56">
        <f>IF(VLOOKUP($C93,REV!$C:$AA,18,0)-'TRADE IN'!$F93=0,"",(VLOOKUP($C93,REV!$C:$AA,18,0)-'TRADE IN'!$F93))</f>
        <v>5499</v>
      </c>
      <c r="U93" s="56">
        <f>IF(VLOOKUP($C93,REV!$C:$AA,19,0)-'TRADE IN'!$F93=0,"",(VLOOKUP($C93,REV!$C:$AA,19,0)-'TRADE IN'!$F93))</f>
        <v>5499</v>
      </c>
      <c r="V93" s="56">
        <f>IF(VLOOKUP($C93,REV!$C:$AA,20,0)-'TRADE IN'!$F93=0,"",(VLOOKUP($C93,REV!$C:$AA,20,0)-'TRADE IN'!$F93))</f>
        <v>5499</v>
      </c>
      <c r="W93" s="56">
        <f>IF(VLOOKUP($C93,REV!$C:$AA,21,0)-'TRADE IN'!$F93=0,"",(VLOOKUP($C93,REV!$C:$AA,21,0)-'TRADE IN'!$F93))</f>
        <v>5499</v>
      </c>
      <c r="X93" s="56">
        <f>IF(VLOOKUP($C93,REV!$C:$AA,22,0)-'TRADE IN'!$F93=0,"",(VLOOKUP($C93,REV!$C:$AA,22,0)-'TRADE IN'!$F93))</f>
        <v>5399</v>
      </c>
      <c r="Y93" s="56">
        <f>IF(VLOOKUP($C93,REV!$C:$AA,23,0)-'TRADE IN'!$F93=0,"",(VLOOKUP($C93,REV!$C:$AA,23,0)-'TRADE IN'!$F93))</f>
        <v>4999</v>
      </c>
      <c r="Z93" s="56">
        <f>IF(VLOOKUP($C93,REV!$C:$AA,24,0)-'TRADE IN'!$F93=0,"",(VLOOKUP($C93,REV!$C:$AA,24,0)-'TRADE IN'!$F93))</f>
        <v>4999</v>
      </c>
      <c r="AA93" s="56">
        <f>IF(VLOOKUP($C93,REV!$C:$AA,25,0)-'TRADE IN'!$F93=0,"",(VLOOKUP($C93,REV!$C:$AA,25,0)-'TRADE IN'!$F93))</f>
        <v>4949</v>
      </c>
      <c r="AB93" s="55">
        <f>IF(VLOOKUP($C93,REV!$C:$AL,27,0)-'TRADE IN'!$F93=0,"",(VLOOKUP($C93,REV!$C:$AL,27,0)-'TRADE IN'!$F93))</f>
        <v>6399</v>
      </c>
      <c r="AC93" s="55">
        <f>IF(VLOOKUP($C93,REV!$C:$AL,28,0)-'TRADE IN'!$F93=0,"",(VLOOKUP($C93,REV!$C:$AL,28,0)-'TRADE IN'!$F93))</f>
        <v>6399</v>
      </c>
      <c r="AD93" s="55">
        <f>IF(VLOOKUP($C93,REV!$C:$AL,29,0)-'TRADE IN'!$F93=0,"",(VLOOKUP($C93,REV!$C:$AL,29,0)-'TRADE IN'!$F93))</f>
        <v>6299</v>
      </c>
      <c r="AE93" s="55">
        <f>IF(VLOOKUP($C93,REV!$C:$AL,30,0)-'TRADE IN'!$F93=0,"",(VLOOKUP($C93,REV!$C:$AL,30,0)-'TRADE IN'!$F93))</f>
        <v>6199</v>
      </c>
      <c r="AF93" s="55">
        <f>IF(VLOOKUP($C93,REV!$C:$AL,31,0)-'TRADE IN'!$F93=0,"",(VLOOKUP($C93,REV!$C:$AL,31,0)-'TRADE IN'!$F93))</f>
        <v>6199</v>
      </c>
      <c r="AG93" s="55">
        <f>IF(VLOOKUP($C93,REV!$C:$AL,31,0)-'TRADE IN'!$F93=0,"",(VLOOKUP($C93,REV!$C:$AL,31,0)-'TRADE IN'!$F93))</f>
        <v>6199</v>
      </c>
      <c r="AH93" s="55">
        <f>IF(VLOOKUP($C93,REV!$C:$AL,32,0)-'TRADE IN'!$F93=0,"",(VLOOKUP($C93,REV!$C:$AL,32,0)-'TRADE IN'!$F93))</f>
        <v>5499</v>
      </c>
      <c r="AI93" s="55">
        <f>IF(VLOOKUP($C93,REV!$C:$AL,33,0)-'TRADE IN'!$F93=0,"",(VLOOKUP($C93,REV!$C:$AL,33,0)-'TRADE IN'!$F93))</f>
        <v>5499</v>
      </c>
      <c r="AJ93" s="55">
        <f>IF(VLOOKUP($C93,REV!$C:$AL,34,0)-'TRADE IN'!$F93=0,"",(VLOOKUP($C93,REV!$C:$AL,34,0)-'TRADE IN'!$F93))</f>
        <v>5499</v>
      </c>
      <c r="AK93" s="55">
        <f>IF(VLOOKUP($C93,REV!$C:$AL,35,0)-'TRADE IN'!$F93=0,"",(VLOOKUP($C93,REV!$C:$AL,35,0)-'TRADE IN'!$F93))</f>
        <v>5499</v>
      </c>
      <c r="AL93" s="55">
        <f>IF(VLOOKUP($C93,REV!$C:$AL,36,0)-'TRADE IN'!$F93=0,"",(VLOOKUP($C93,REV!$C:$AL,36,0)-'TRADE IN'!$F93))</f>
        <v>4999</v>
      </c>
      <c r="AM93" s="55"/>
      <c r="AN93" s="55"/>
      <c r="AO93" s="55"/>
      <c r="AP93" s="55"/>
      <c r="AQ93" s="55"/>
      <c r="AR93" s="55"/>
      <c r="AS93" s="55"/>
      <c r="AT93" s="55"/>
      <c r="AU93" s="55"/>
      <c r="AV93" s="57"/>
      <c r="AW93" s="58" t="str">
        <f>REV!AW93</f>
        <v>03.11.2026</v>
      </c>
      <c r="AX93" s="147" t="str">
        <f>VLOOKUP(C93,REV!C:AX,48,0)</f>
        <v>5G</v>
      </c>
    </row>
    <row r="94" spans="1:50" ht="22.5" customHeight="1">
      <c r="A94" s="51" t="s">
        <v>63</v>
      </c>
      <c r="B94" s="52" t="s">
        <v>64</v>
      </c>
      <c r="C94" s="53">
        <v>4017486</v>
      </c>
      <c r="D94" s="54" t="s">
        <v>167</v>
      </c>
      <c r="E94" s="54" t="s">
        <v>174</v>
      </c>
      <c r="F94" s="55"/>
      <c r="G94" s="55"/>
      <c r="H94" s="55"/>
      <c r="I94" s="55"/>
      <c r="J94" s="56">
        <f>IF(VLOOKUP($C94,REV!$C:$AA,8,0)-'TRADE IN'!$F94=0,"",(VLOOKUP($C94,REV!$C:$AA,8,0)-'TRADE IN'!$F94))</f>
        <v>6399</v>
      </c>
      <c r="K94" s="56">
        <f>IF(VLOOKUP($C94,REV!$C:$AA,9,0)-'TRADE IN'!$F94=0,"",(VLOOKUP($C94,REV!$C:$AA,9,0)-'TRADE IN'!$F94))</f>
        <v>6399</v>
      </c>
      <c r="L94" s="56">
        <f>IF(VLOOKUP($C94,REV!$C:$AA,10,0)-'TRADE IN'!$F94=0,"",(VLOOKUP($C94,REV!$C:$AA,10,0)-'TRADE IN'!$F94))</f>
        <v>6399</v>
      </c>
      <c r="M94" s="56">
        <f>IF(VLOOKUP($C94,REV!$C:$AA,11,0)-'TRADE IN'!$F94=0,"",(VLOOKUP($C94,REV!$C:$AA,11,0)-'TRADE IN'!$F94))</f>
        <v>6399</v>
      </c>
      <c r="N94" s="56">
        <f>IF(VLOOKUP($C94,REV!$C:$AA,12,0)-'TRADE IN'!$F94=0,"",(VLOOKUP($C94,REV!$C:$AA,12,0)-'TRADE IN'!$F94))</f>
        <v>6399</v>
      </c>
      <c r="O94" s="56">
        <f>IF(VLOOKUP($C94,REV!$C:$AA,13,0)-'TRADE IN'!$F94=0,"",(VLOOKUP($C94,REV!$C:$AA,13,0)-'TRADE IN'!$F94))</f>
        <v>6299</v>
      </c>
      <c r="P94" s="56">
        <f>IF(VLOOKUP($C94,REV!$C:$AA,14,0)-'TRADE IN'!$F94=0,"",(VLOOKUP($C94,REV!$C:$AA,14,0)-'TRADE IN'!$F94))</f>
        <v>6199</v>
      </c>
      <c r="Q94" s="56">
        <f>IF(VLOOKUP($C94,REV!$C:$AA,15,0)-'TRADE IN'!$F94=0,"",(VLOOKUP($C94,REV!$C:$AA,15,0)-'TRADE IN'!$F94))</f>
        <v>5499</v>
      </c>
      <c r="R94" s="56">
        <f>IF(VLOOKUP($C94,REV!$C:$AA,16,0)-'TRADE IN'!$F94=0,"",(VLOOKUP($C94,REV!$C:$AA,16,0)-'TRADE IN'!$F94))</f>
        <v>6299</v>
      </c>
      <c r="S94" s="56">
        <f>IF(VLOOKUP($C94,REV!$C:$AA,17,0)-'TRADE IN'!$F94=0,"",(VLOOKUP($C94,REV!$C:$AA,17,0)-'TRADE IN'!$F94))</f>
        <v>6199</v>
      </c>
      <c r="T94" s="56">
        <f>IF(VLOOKUP($C94,REV!$C:$AA,18,0)-'TRADE IN'!$F94=0,"",(VLOOKUP($C94,REV!$C:$AA,18,0)-'TRADE IN'!$F94))</f>
        <v>5499</v>
      </c>
      <c r="U94" s="56">
        <f>IF(VLOOKUP($C94,REV!$C:$AA,19,0)-'TRADE IN'!$F94=0,"",(VLOOKUP($C94,REV!$C:$AA,19,0)-'TRADE IN'!$F94))</f>
        <v>5499</v>
      </c>
      <c r="V94" s="56">
        <f>IF(VLOOKUP($C94,REV!$C:$AA,20,0)-'TRADE IN'!$F94=0,"",(VLOOKUP($C94,REV!$C:$AA,20,0)-'TRADE IN'!$F94))</f>
        <v>5499</v>
      </c>
      <c r="W94" s="56">
        <f>IF(VLOOKUP($C94,REV!$C:$AA,21,0)-'TRADE IN'!$F94=0,"",(VLOOKUP($C94,REV!$C:$AA,21,0)-'TRADE IN'!$F94))</f>
        <v>5499</v>
      </c>
      <c r="X94" s="56">
        <f>IF(VLOOKUP($C94,REV!$C:$AA,22,0)-'TRADE IN'!$F94=0,"",(VLOOKUP($C94,REV!$C:$AA,22,0)-'TRADE IN'!$F94))</f>
        <v>5399</v>
      </c>
      <c r="Y94" s="56">
        <f>IF(VLOOKUP($C94,REV!$C:$AA,23,0)-'TRADE IN'!$F94=0,"",(VLOOKUP($C94,REV!$C:$AA,23,0)-'TRADE IN'!$F94))</f>
        <v>4999</v>
      </c>
      <c r="Z94" s="56">
        <f>IF(VLOOKUP($C94,REV!$C:$AA,24,0)-'TRADE IN'!$F94=0,"",(VLOOKUP($C94,REV!$C:$AA,24,0)-'TRADE IN'!$F94))</f>
        <v>4999</v>
      </c>
      <c r="AA94" s="56">
        <f>IF(VLOOKUP($C94,REV!$C:$AA,25,0)-'TRADE IN'!$F94=0,"",(VLOOKUP($C94,REV!$C:$AA,25,0)-'TRADE IN'!$F94))</f>
        <v>4949</v>
      </c>
      <c r="AB94" s="55">
        <f>IF(VLOOKUP($C94,REV!$C:$AL,27,0)-'TRADE IN'!$F94=0,"",(VLOOKUP($C94,REV!$C:$AL,27,0)-'TRADE IN'!$F94))</f>
        <v>6399</v>
      </c>
      <c r="AC94" s="55">
        <f>IF(VLOOKUP($C94,REV!$C:$AL,28,0)-'TRADE IN'!$F94=0,"",(VLOOKUP($C94,REV!$C:$AL,28,0)-'TRADE IN'!$F94))</f>
        <v>6399</v>
      </c>
      <c r="AD94" s="55">
        <f>IF(VLOOKUP($C94,REV!$C:$AL,29,0)-'TRADE IN'!$F94=0,"",(VLOOKUP($C94,REV!$C:$AL,29,0)-'TRADE IN'!$F94))</f>
        <v>6299</v>
      </c>
      <c r="AE94" s="55">
        <f>IF(VLOOKUP($C94,REV!$C:$AL,30,0)-'TRADE IN'!$F94=0,"",(VLOOKUP($C94,REV!$C:$AL,30,0)-'TRADE IN'!$F94))</f>
        <v>6199</v>
      </c>
      <c r="AF94" s="55">
        <f>IF(VLOOKUP($C94,REV!$C:$AL,31,0)-'TRADE IN'!$F94=0,"",(VLOOKUP($C94,REV!$C:$AL,31,0)-'TRADE IN'!$F94))</f>
        <v>6199</v>
      </c>
      <c r="AG94" s="55">
        <f>IF(VLOOKUP($C94,REV!$C:$AL,31,0)-'TRADE IN'!$F94=0,"",(VLOOKUP($C94,REV!$C:$AL,31,0)-'TRADE IN'!$F94))</f>
        <v>6199</v>
      </c>
      <c r="AH94" s="55">
        <f>IF(VLOOKUP($C94,REV!$C:$AL,32,0)-'TRADE IN'!$F94=0,"",(VLOOKUP($C94,REV!$C:$AL,32,0)-'TRADE IN'!$F94))</f>
        <v>5499</v>
      </c>
      <c r="AI94" s="55">
        <f>IF(VLOOKUP($C94,REV!$C:$AL,33,0)-'TRADE IN'!$F94=0,"",(VLOOKUP($C94,REV!$C:$AL,33,0)-'TRADE IN'!$F94))</f>
        <v>5499</v>
      </c>
      <c r="AJ94" s="55">
        <f>IF(VLOOKUP($C94,REV!$C:$AL,34,0)-'TRADE IN'!$F94=0,"",(VLOOKUP($C94,REV!$C:$AL,34,0)-'TRADE IN'!$F94))</f>
        <v>5499</v>
      </c>
      <c r="AK94" s="55">
        <f>IF(VLOOKUP($C94,REV!$C:$AL,35,0)-'TRADE IN'!$F94=0,"",(VLOOKUP($C94,REV!$C:$AL,35,0)-'TRADE IN'!$F94))</f>
        <v>5499</v>
      </c>
      <c r="AL94" s="55">
        <f>IF(VLOOKUP($C94,REV!$C:$AL,36,0)-'TRADE IN'!$F94=0,"",(VLOOKUP($C94,REV!$C:$AL,36,0)-'TRADE IN'!$F94))</f>
        <v>4999</v>
      </c>
      <c r="AM94" s="55"/>
      <c r="AN94" s="55"/>
      <c r="AO94" s="55"/>
      <c r="AP94" s="55"/>
      <c r="AQ94" s="55"/>
      <c r="AR94" s="55"/>
      <c r="AS94" s="55"/>
      <c r="AT94" s="55"/>
      <c r="AU94" s="55"/>
      <c r="AV94" s="57"/>
      <c r="AW94" s="58" t="str">
        <f>REV!AW94</f>
        <v>03.11.2026</v>
      </c>
      <c r="AX94" s="147" t="str">
        <f>VLOOKUP(C94,REV!C:AX,48,0)</f>
        <v>5G</v>
      </c>
    </row>
    <row r="95" spans="1:50" ht="22.5" customHeight="1">
      <c r="A95" s="51" t="s">
        <v>63</v>
      </c>
      <c r="B95" s="52" t="s">
        <v>64</v>
      </c>
      <c r="C95" s="53">
        <v>4017892</v>
      </c>
      <c r="D95" s="54" t="s">
        <v>167</v>
      </c>
      <c r="E95" s="54" t="s">
        <v>175</v>
      </c>
      <c r="F95" s="55"/>
      <c r="G95" s="55"/>
      <c r="H95" s="55"/>
      <c r="I95" s="55"/>
      <c r="J95" s="56">
        <f>IF(VLOOKUP($C95,REV!$C:$AA,8,0)-'TRADE IN'!$F95=0,"",(VLOOKUP($C95,REV!$C:$AA,8,0)-'TRADE IN'!$F95))</f>
        <v>6399</v>
      </c>
      <c r="K95" s="56">
        <f>IF(VLOOKUP($C95,REV!$C:$AA,9,0)-'TRADE IN'!$F95=0,"",(VLOOKUP($C95,REV!$C:$AA,9,0)-'TRADE IN'!$F95))</f>
        <v>6399</v>
      </c>
      <c r="L95" s="56">
        <f>IF(VLOOKUP($C95,REV!$C:$AA,10,0)-'TRADE IN'!$F95=0,"",(VLOOKUP($C95,REV!$C:$AA,10,0)-'TRADE IN'!$F95))</f>
        <v>6399</v>
      </c>
      <c r="M95" s="56">
        <f>IF(VLOOKUP($C95,REV!$C:$AA,11,0)-'TRADE IN'!$F95=0,"",(VLOOKUP($C95,REV!$C:$AA,11,0)-'TRADE IN'!$F95))</f>
        <v>6399</v>
      </c>
      <c r="N95" s="56">
        <f>IF(VLOOKUP($C95,REV!$C:$AA,12,0)-'TRADE IN'!$F95=0,"",(VLOOKUP($C95,REV!$C:$AA,12,0)-'TRADE IN'!$F95))</f>
        <v>6399</v>
      </c>
      <c r="O95" s="56">
        <f>IF(VLOOKUP($C95,REV!$C:$AA,13,0)-'TRADE IN'!$F95=0,"",(VLOOKUP($C95,REV!$C:$AA,13,0)-'TRADE IN'!$F95))</f>
        <v>6299</v>
      </c>
      <c r="P95" s="56">
        <f>IF(VLOOKUP($C95,REV!$C:$AA,14,0)-'TRADE IN'!$F95=0,"",(VLOOKUP($C95,REV!$C:$AA,14,0)-'TRADE IN'!$F95))</f>
        <v>6199</v>
      </c>
      <c r="Q95" s="56">
        <f>IF(VLOOKUP($C95,REV!$C:$AA,15,0)-'TRADE IN'!$F95=0,"",(VLOOKUP($C95,REV!$C:$AA,15,0)-'TRADE IN'!$F95))</f>
        <v>5499</v>
      </c>
      <c r="R95" s="56">
        <f>IF(VLOOKUP($C95,REV!$C:$AA,16,0)-'TRADE IN'!$F95=0,"",(VLOOKUP($C95,REV!$C:$AA,16,0)-'TRADE IN'!$F95))</f>
        <v>6299</v>
      </c>
      <c r="S95" s="56">
        <f>IF(VLOOKUP($C95,REV!$C:$AA,17,0)-'TRADE IN'!$F95=0,"",(VLOOKUP($C95,REV!$C:$AA,17,0)-'TRADE IN'!$F95))</f>
        <v>6199</v>
      </c>
      <c r="T95" s="56">
        <f>IF(VLOOKUP($C95,REV!$C:$AA,18,0)-'TRADE IN'!$F95=0,"",(VLOOKUP($C95,REV!$C:$AA,18,0)-'TRADE IN'!$F95))</f>
        <v>5499</v>
      </c>
      <c r="U95" s="56">
        <f>IF(VLOOKUP($C95,REV!$C:$AA,19,0)-'TRADE IN'!$F95=0,"",(VLOOKUP($C95,REV!$C:$AA,19,0)-'TRADE IN'!$F95))</f>
        <v>5499</v>
      </c>
      <c r="V95" s="56">
        <f>IF(VLOOKUP($C95,REV!$C:$AA,20,0)-'TRADE IN'!$F95=0,"",(VLOOKUP($C95,REV!$C:$AA,20,0)-'TRADE IN'!$F95))</f>
        <v>5499</v>
      </c>
      <c r="W95" s="56">
        <f>IF(VLOOKUP($C95,REV!$C:$AA,21,0)-'TRADE IN'!$F95=0,"",(VLOOKUP($C95,REV!$C:$AA,21,0)-'TRADE IN'!$F95))</f>
        <v>5499</v>
      </c>
      <c r="X95" s="56">
        <f>IF(VLOOKUP($C95,REV!$C:$AA,22,0)-'TRADE IN'!$F95=0,"",(VLOOKUP($C95,REV!$C:$AA,22,0)-'TRADE IN'!$F95))</f>
        <v>5399</v>
      </c>
      <c r="Y95" s="56">
        <f>IF(VLOOKUP($C95,REV!$C:$AA,23,0)-'TRADE IN'!$F95=0,"",(VLOOKUP($C95,REV!$C:$AA,23,0)-'TRADE IN'!$F95))</f>
        <v>4999</v>
      </c>
      <c r="Z95" s="56">
        <f>IF(VLOOKUP($C95,REV!$C:$AA,24,0)-'TRADE IN'!$F95=0,"",(VLOOKUP($C95,REV!$C:$AA,24,0)-'TRADE IN'!$F95))</f>
        <v>4999</v>
      </c>
      <c r="AA95" s="56">
        <f>IF(VLOOKUP($C95,REV!$C:$AA,25,0)-'TRADE IN'!$F95=0,"",(VLOOKUP($C95,REV!$C:$AA,25,0)-'TRADE IN'!$F95))</f>
        <v>4949</v>
      </c>
      <c r="AB95" s="55">
        <f>IF(VLOOKUP($C95,REV!$C:$AL,27,0)-'TRADE IN'!$F95=0,"",(VLOOKUP($C95,REV!$C:$AL,27,0)-'TRADE IN'!$F95))</f>
        <v>6399</v>
      </c>
      <c r="AC95" s="55">
        <f>IF(VLOOKUP($C95,REV!$C:$AL,28,0)-'TRADE IN'!$F95=0,"",(VLOOKUP($C95,REV!$C:$AL,28,0)-'TRADE IN'!$F95))</f>
        <v>6399</v>
      </c>
      <c r="AD95" s="55">
        <f>IF(VLOOKUP($C95,REV!$C:$AL,29,0)-'TRADE IN'!$F95=0,"",(VLOOKUP($C95,REV!$C:$AL,29,0)-'TRADE IN'!$F95))</f>
        <v>6299</v>
      </c>
      <c r="AE95" s="55">
        <f>IF(VLOOKUP($C95,REV!$C:$AL,30,0)-'TRADE IN'!$F95=0,"",(VLOOKUP($C95,REV!$C:$AL,30,0)-'TRADE IN'!$F95))</f>
        <v>6199</v>
      </c>
      <c r="AF95" s="55">
        <f>IF(VLOOKUP($C95,REV!$C:$AL,31,0)-'TRADE IN'!$F95=0,"",(VLOOKUP($C95,REV!$C:$AL,31,0)-'TRADE IN'!$F95))</f>
        <v>6199</v>
      </c>
      <c r="AG95" s="55">
        <f>IF(VLOOKUP($C95,REV!$C:$AL,31,0)-'TRADE IN'!$F95=0,"",(VLOOKUP($C95,REV!$C:$AL,31,0)-'TRADE IN'!$F95))</f>
        <v>6199</v>
      </c>
      <c r="AH95" s="55">
        <f>IF(VLOOKUP($C95,REV!$C:$AL,32,0)-'TRADE IN'!$F95=0,"",(VLOOKUP($C95,REV!$C:$AL,32,0)-'TRADE IN'!$F95))</f>
        <v>5499</v>
      </c>
      <c r="AI95" s="55">
        <f>IF(VLOOKUP($C95,REV!$C:$AL,33,0)-'TRADE IN'!$F95=0,"",(VLOOKUP($C95,REV!$C:$AL,33,0)-'TRADE IN'!$F95))</f>
        <v>5499</v>
      </c>
      <c r="AJ95" s="55">
        <f>IF(VLOOKUP($C95,REV!$C:$AL,34,0)-'TRADE IN'!$F95=0,"",(VLOOKUP($C95,REV!$C:$AL,34,0)-'TRADE IN'!$F95))</f>
        <v>5499</v>
      </c>
      <c r="AK95" s="55">
        <f>IF(VLOOKUP($C95,REV!$C:$AL,35,0)-'TRADE IN'!$F95=0,"",(VLOOKUP($C95,REV!$C:$AL,35,0)-'TRADE IN'!$F95))</f>
        <v>5499</v>
      </c>
      <c r="AL95" s="55">
        <f>IF(VLOOKUP($C95,REV!$C:$AL,36,0)-'TRADE IN'!$F95=0,"",(VLOOKUP($C95,REV!$C:$AL,36,0)-'TRADE IN'!$F95))</f>
        <v>4999</v>
      </c>
      <c r="AM95" s="55"/>
      <c r="AN95" s="55"/>
      <c r="AO95" s="55"/>
      <c r="AP95" s="55"/>
      <c r="AQ95" s="55"/>
      <c r="AR95" s="55"/>
      <c r="AS95" s="55"/>
      <c r="AT95" s="55"/>
      <c r="AU95" s="55"/>
      <c r="AV95" s="57"/>
      <c r="AW95" s="58" t="str">
        <f>REV!AW95</f>
        <v>03.11.2026</v>
      </c>
      <c r="AX95" s="147" t="str">
        <f>VLOOKUP(C95,REV!C:AX,48,0)</f>
        <v>5G</v>
      </c>
    </row>
    <row r="96" spans="1:50" ht="22.5" customHeight="1">
      <c r="A96" s="51" t="s">
        <v>63</v>
      </c>
      <c r="B96" s="52" t="s">
        <v>64</v>
      </c>
      <c r="C96" s="53">
        <v>4017483</v>
      </c>
      <c r="D96" s="54" t="s">
        <v>167</v>
      </c>
      <c r="E96" s="54" t="s">
        <v>176</v>
      </c>
      <c r="F96" s="55"/>
      <c r="G96" s="55"/>
      <c r="H96" s="55"/>
      <c r="I96" s="55"/>
      <c r="J96" s="56">
        <f>IF(VLOOKUP($C96,REV!$C:$AA,8,0)-'TRADE IN'!$F96=0,"",(VLOOKUP($C96,REV!$C:$AA,8,0)-'TRADE IN'!$F96))</f>
        <v>6399</v>
      </c>
      <c r="K96" s="56">
        <f>IF(VLOOKUP($C96,REV!$C:$AA,9,0)-'TRADE IN'!$F96=0,"",(VLOOKUP($C96,REV!$C:$AA,9,0)-'TRADE IN'!$F96))</f>
        <v>6399</v>
      </c>
      <c r="L96" s="56">
        <f>IF(VLOOKUP($C96,REV!$C:$AA,10,0)-'TRADE IN'!$F96=0,"",(VLOOKUP($C96,REV!$C:$AA,10,0)-'TRADE IN'!$F96))</f>
        <v>6399</v>
      </c>
      <c r="M96" s="56">
        <f>IF(VLOOKUP($C96,REV!$C:$AA,11,0)-'TRADE IN'!$F96=0,"",(VLOOKUP($C96,REV!$C:$AA,11,0)-'TRADE IN'!$F96))</f>
        <v>6399</v>
      </c>
      <c r="N96" s="56">
        <f>IF(VLOOKUP($C96,REV!$C:$AA,12,0)-'TRADE IN'!$F96=0,"",(VLOOKUP($C96,REV!$C:$AA,12,0)-'TRADE IN'!$F96))</f>
        <v>6399</v>
      </c>
      <c r="O96" s="56">
        <f>IF(VLOOKUP($C96,REV!$C:$AA,13,0)-'TRADE IN'!$F96=0,"",(VLOOKUP($C96,REV!$C:$AA,13,0)-'TRADE IN'!$F96))</f>
        <v>6299</v>
      </c>
      <c r="P96" s="56">
        <f>IF(VLOOKUP($C96,REV!$C:$AA,14,0)-'TRADE IN'!$F96=0,"",(VLOOKUP($C96,REV!$C:$AA,14,0)-'TRADE IN'!$F96))</f>
        <v>6199</v>
      </c>
      <c r="Q96" s="56">
        <f>IF(VLOOKUP($C96,REV!$C:$AA,15,0)-'TRADE IN'!$F96=0,"",(VLOOKUP($C96,REV!$C:$AA,15,0)-'TRADE IN'!$F96))</f>
        <v>5499</v>
      </c>
      <c r="R96" s="56">
        <f>IF(VLOOKUP($C96,REV!$C:$AA,16,0)-'TRADE IN'!$F96=0,"",(VLOOKUP($C96,REV!$C:$AA,16,0)-'TRADE IN'!$F96))</f>
        <v>6299</v>
      </c>
      <c r="S96" s="56">
        <f>IF(VLOOKUP($C96,REV!$C:$AA,17,0)-'TRADE IN'!$F96=0,"",(VLOOKUP($C96,REV!$C:$AA,17,0)-'TRADE IN'!$F96))</f>
        <v>6199</v>
      </c>
      <c r="T96" s="56">
        <f>IF(VLOOKUP($C96,REV!$C:$AA,18,0)-'TRADE IN'!$F96=0,"",(VLOOKUP($C96,REV!$C:$AA,18,0)-'TRADE IN'!$F96))</f>
        <v>5499</v>
      </c>
      <c r="U96" s="56">
        <f>IF(VLOOKUP($C96,REV!$C:$AA,19,0)-'TRADE IN'!$F96=0,"",(VLOOKUP($C96,REV!$C:$AA,19,0)-'TRADE IN'!$F96))</f>
        <v>5499</v>
      </c>
      <c r="V96" s="56">
        <f>IF(VLOOKUP($C96,REV!$C:$AA,20,0)-'TRADE IN'!$F96=0,"",(VLOOKUP($C96,REV!$C:$AA,20,0)-'TRADE IN'!$F96))</f>
        <v>5499</v>
      </c>
      <c r="W96" s="56">
        <f>IF(VLOOKUP($C96,REV!$C:$AA,21,0)-'TRADE IN'!$F96=0,"",(VLOOKUP($C96,REV!$C:$AA,21,0)-'TRADE IN'!$F96))</f>
        <v>5499</v>
      </c>
      <c r="X96" s="56">
        <f>IF(VLOOKUP($C96,REV!$C:$AA,22,0)-'TRADE IN'!$F96=0,"",(VLOOKUP($C96,REV!$C:$AA,22,0)-'TRADE IN'!$F96))</f>
        <v>5399</v>
      </c>
      <c r="Y96" s="56">
        <f>IF(VLOOKUP($C96,REV!$C:$AA,23,0)-'TRADE IN'!$F96=0,"",(VLOOKUP($C96,REV!$C:$AA,23,0)-'TRADE IN'!$F96))</f>
        <v>4999</v>
      </c>
      <c r="Z96" s="56">
        <f>IF(VLOOKUP($C96,REV!$C:$AA,24,0)-'TRADE IN'!$F96=0,"",(VLOOKUP($C96,REV!$C:$AA,24,0)-'TRADE IN'!$F96))</f>
        <v>4999</v>
      </c>
      <c r="AA96" s="56">
        <f>IF(VLOOKUP($C96,REV!$C:$AA,25,0)-'TRADE IN'!$F96=0,"",(VLOOKUP($C96,REV!$C:$AA,25,0)-'TRADE IN'!$F96))</f>
        <v>4949</v>
      </c>
      <c r="AB96" s="55">
        <f>IF(VLOOKUP($C96,REV!$C:$AL,27,0)-'TRADE IN'!$F96=0,"",(VLOOKUP($C96,REV!$C:$AL,27,0)-'TRADE IN'!$F96))</f>
        <v>6399</v>
      </c>
      <c r="AC96" s="55">
        <f>IF(VLOOKUP($C96,REV!$C:$AL,28,0)-'TRADE IN'!$F96=0,"",(VLOOKUP($C96,REV!$C:$AL,28,0)-'TRADE IN'!$F96))</f>
        <v>6399</v>
      </c>
      <c r="AD96" s="55">
        <f>IF(VLOOKUP($C96,REV!$C:$AL,29,0)-'TRADE IN'!$F96=0,"",(VLOOKUP($C96,REV!$C:$AL,29,0)-'TRADE IN'!$F96))</f>
        <v>6299</v>
      </c>
      <c r="AE96" s="55">
        <f>IF(VLOOKUP($C96,REV!$C:$AL,30,0)-'TRADE IN'!$F96=0,"",(VLOOKUP($C96,REV!$C:$AL,30,0)-'TRADE IN'!$F96))</f>
        <v>6199</v>
      </c>
      <c r="AF96" s="55">
        <f>IF(VLOOKUP($C96,REV!$C:$AL,31,0)-'TRADE IN'!$F96=0,"",(VLOOKUP($C96,REV!$C:$AL,31,0)-'TRADE IN'!$F96))</f>
        <v>6199</v>
      </c>
      <c r="AG96" s="55">
        <f>IF(VLOOKUP($C96,REV!$C:$AL,31,0)-'TRADE IN'!$F96=0,"",(VLOOKUP($C96,REV!$C:$AL,31,0)-'TRADE IN'!$F96))</f>
        <v>6199</v>
      </c>
      <c r="AH96" s="55">
        <f>IF(VLOOKUP($C96,REV!$C:$AL,32,0)-'TRADE IN'!$F96=0,"",(VLOOKUP($C96,REV!$C:$AL,32,0)-'TRADE IN'!$F96))</f>
        <v>5499</v>
      </c>
      <c r="AI96" s="55">
        <f>IF(VLOOKUP($C96,REV!$C:$AL,33,0)-'TRADE IN'!$F96=0,"",(VLOOKUP($C96,REV!$C:$AL,33,0)-'TRADE IN'!$F96))</f>
        <v>5499</v>
      </c>
      <c r="AJ96" s="55">
        <f>IF(VLOOKUP($C96,REV!$C:$AL,34,0)-'TRADE IN'!$F96=0,"",(VLOOKUP($C96,REV!$C:$AL,34,0)-'TRADE IN'!$F96))</f>
        <v>5499</v>
      </c>
      <c r="AK96" s="55">
        <f>IF(VLOOKUP($C96,REV!$C:$AL,35,0)-'TRADE IN'!$F96=0,"",(VLOOKUP($C96,REV!$C:$AL,35,0)-'TRADE IN'!$F96))</f>
        <v>5499</v>
      </c>
      <c r="AL96" s="55">
        <f>IF(VLOOKUP($C96,REV!$C:$AL,36,0)-'TRADE IN'!$F96=0,"",(VLOOKUP($C96,REV!$C:$AL,36,0)-'TRADE IN'!$F96))</f>
        <v>4999</v>
      </c>
      <c r="AM96" s="55"/>
      <c r="AN96" s="55"/>
      <c r="AO96" s="55"/>
      <c r="AP96" s="55"/>
      <c r="AQ96" s="55"/>
      <c r="AR96" s="55"/>
      <c r="AS96" s="55"/>
      <c r="AT96" s="55"/>
      <c r="AU96" s="55"/>
      <c r="AV96" s="57"/>
      <c r="AW96" s="58" t="str">
        <f>REV!AW96</f>
        <v>03.11.2026</v>
      </c>
      <c r="AX96" s="147" t="str">
        <f>VLOOKUP(C96,REV!C:AX,48,0)</f>
        <v>5G</v>
      </c>
    </row>
    <row r="97" spans="1:50" ht="22.5" customHeight="1">
      <c r="A97" s="51" t="s">
        <v>63</v>
      </c>
      <c r="B97" s="52" t="s">
        <v>64</v>
      </c>
      <c r="C97" s="53">
        <v>4017899</v>
      </c>
      <c r="D97" s="54" t="s">
        <v>167</v>
      </c>
      <c r="E97" s="54" t="s">
        <v>177</v>
      </c>
      <c r="F97" s="55"/>
      <c r="G97" s="55"/>
      <c r="H97" s="55"/>
      <c r="I97" s="55"/>
      <c r="J97" s="56">
        <f>IF(VLOOKUP($C97,REV!$C:$AA,8,0)-'TRADE IN'!$F97=0,"",(VLOOKUP($C97,REV!$C:$AA,8,0)-'TRADE IN'!$F97))</f>
        <v>6399</v>
      </c>
      <c r="K97" s="56">
        <f>IF(VLOOKUP($C97,REV!$C:$AA,9,0)-'TRADE IN'!$F97=0,"",(VLOOKUP($C97,REV!$C:$AA,9,0)-'TRADE IN'!$F97))</f>
        <v>6399</v>
      </c>
      <c r="L97" s="56">
        <f>IF(VLOOKUP($C97,REV!$C:$AA,10,0)-'TRADE IN'!$F97=0,"",(VLOOKUP($C97,REV!$C:$AA,10,0)-'TRADE IN'!$F97))</f>
        <v>6399</v>
      </c>
      <c r="M97" s="56">
        <f>IF(VLOOKUP($C97,REV!$C:$AA,11,0)-'TRADE IN'!$F97=0,"",(VLOOKUP($C97,REV!$C:$AA,11,0)-'TRADE IN'!$F97))</f>
        <v>6399</v>
      </c>
      <c r="N97" s="56">
        <f>IF(VLOOKUP($C97,REV!$C:$AA,12,0)-'TRADE IN'!$F97=0,"",(VLOOKUP($C97,REV!$C:$AA,12,0)-'TRADE IN'!$F97))</f>
        <v>6399</v>
      </c>
      <c r="O97" s="56">
        <f>IF(VLOOKUP($C97,REV!$C:$AA,13,0)-'TRADE IN'!$F97=0,"",(VLOOKUP($C97,REV!$C:$AA,13,0)-'TRADE IN'!$F97))</f>
        <v>6299</v>
      </c>
      <c r="P97" s="56">
        <f>IF(VLOOKUP($C97,REV!$C:$AA,14,0)-'TRADE IN'!$F97=0,"",(VLOOKUP($C97,REV!$C:$AA,14,0)-'TRADE IN'!$F97))</f>
        <v>6199</v>
      </c>
      <c r="Q97" s="56">
        <f>IF(VLOOKUP($C97,REV!$C:$AA,15,0)-'TRADE IN'!$F97=0,"",(VLOOKUP($C97,REV!$C:$AA,15,0)-'TRADE IN'!$F97))</f>
        <v>5499</v>
      </c>
      <c r="R97" s="56">
        <f>IF(VLOOKUP($C97,REV!$C:$AA,16,0)-'TRADE IN'!$F97=0,"",(VLOOKUP($C97,REV!$C:$AA,16,0)-'TRADE IN'!$F97))</f>
        <v>6299</v>
      </c>
      <c r="S97" s="56">
        <f>IF(VLOOKUP($C97,REV!$C:$AA,17,0)-'TRADE IN'!$F97=0,"",(VLOOKUP($C97,REV!$C:$AA,17,0)-'TRADE IN'!$F97))</f>
        <v>6199</v>
      </c>
      <c r="T97" s="56">
        <f>IF(VLOOKUP($C97,REV!$C:$AA,18,0)-'TRADE IN'!$F97=0,"",(VLOOKUP($C97,REV!$C:$AA,18,0)-'TRADE IN'!$F97))</f>
        <v>5499</v>
      </c>
      <c r="U97" s="56">
        <f>IF(VLOOKUP($C97,REV!$C:$AA,19,0)-'TRADE IN'!$F97=0,"",(VLOOKUP($C97,REV!$C:$AA,19,0)-'TRADE IN'!$F97))</f>
        <v>5499</v>
      </c>
      <c r="V97" s="56">
        <f>IF(VLOOKUP($C97,REV!$C:$AA,20,0)-'TRADE IN'!$F97=0,"",(VLOOKUP($C97,REV!$C:$AA,20,0)-'TRADE IN'!$F97))</f>
        <v>5499</v>
      </c>
      <c r="W97" s="56">
        <f>IF(VLOOKUP($C97,REV!$C:$AA,21,0)-'TRADE IN'!$F97=0,"",(VLOOKUP($C97,REV!$C:$AA,21,0)-'TRADE IN'!$F97))</f>
        <v>5499</v>
      </c>
      <c r="X97" s="56">
        <f>IF(VLOOKUP($C97,REV!$C:$AA,22,0)-'TRADE IN'!$F97=0,"",(VLOOKUP($C97,REV!$C:$AA,22,0)-'TRADE IN'!$F97))</f>
        <v>5399</v>
      </c>
      <c r="Y97" s="56">
        <f>IF(VLOOKUP($C97,REV!$C:$AA,23,0)-'TRADE IN'!$F97=0,"",(VLOOKUP($C97,REV!$C:$AA,23,0)-'TRADE IN'!$F97))</f>
        <v>4999</v>
      </c>
      <c r="Z97" s="56">
        <f>IF(VLOOKUP($C97,REV!$C:$AA,24,0)-'TRADE IN'!$F97=0,"",(VLOOKUP($C97,REV!$C:$AA,24,0)-'TRADE IN'!$F97))</f>
        <v>4999</v>
      </c>
      <c r="AA97" s="56">
        <f>IF(VLOOKUP($C97,REV!$C:$AA,25,0)-'TRADE IN'!$F97=0,"",(VLOOKUP($C97,REV!$C:$AA,25,0)-'TRADE IN'!$F97))</f>
        <v>4949</v>
      </c>
      <c r="AB97" s="55">
        <f>IF(VLOOKUP($C97,REV!$C:$AL,27,0)-'TRADE IN'!$F97=0,"",(VLOOKUP($C97,REV!$C:$AL,27,0)-'TRADE IN'!$F97))</f>
        <v>6399</v>
      </c>
      <c r="AC97" s="55">
        <f>IF(VLOOKUP($C97,REV!$C:$AL,28,0)-'TRADE IN'!$F97=0,"",(VLOOKUP($C97,REV!$C:$AL,28,0)-'TRADE IN'!$F97))</f>
        <v>6399</v>
      </c>
      <c r="AD97" s="55">
        <f>IF(VLOOKUP($C97,REV!$C:$AL,29,0)-'TRADE IN'!$F97=0,"",(VLOOKUP($C97,REV!$C:$AL,29,0)-'TRADE IN'!$F97))</f>
        <v>6299</v>
      </c>
      <c r="AE97" s="55">
        <f>IF(VLOOKUP($C97,REV!$C:$AL,30,0)-'TRADE IN'!$F97=0,"",(VLOOKUP($C97,REV!$C:$AL,30,0)-'TRADE IN'!$F97))</f>
        <v>6199</v>
      </c>
      <c r="AF97" s="55">
        <f>IF(VLOOKUP($C97,REV!$C:$AL,31,0)-'TRADE IN'!$F97=0,"",(VLOOKUP($C97,REV!$C:$AL,31,0)-'TRADE IN'!$F97))</f>
        <v>6199</v>
      </c>
      <c r="AG97" s="55">
        <f>IF(VLOOKUP($C97,REV!$C:$AL,31,0)-'TRADE IN'!$F97=0,"",(VLOOKUP($C97,REV!$C:$AL,31,0)-'TRADE IN'!$F97))</f>
        <v>6199</v>
      </c>
      <c r="AH97" s="55">
        <f>IF(VLOOKUP($C97,REV!$C:$AL,32,0)-'TRADE IN'!$F97=0,"",(VLOOKUP($C97,REV!$C:$AL,32,0)-'TRADE IN'!$F97))</f>
        <v>5499</v>
      </c>
      <c r="AI97" s="55">
        <f>IF(VLOOKUP($C97,REV!$C:$AL,33,0)-'TRADE IN'!$F97=0,"",(VLOOKUP($C97,REV!$C:$AL,33,0)-'TRADE IN'!$F97))</f>
        <v>5499</v>
      </c>
      <c r="AJ97" s="55">
        <f>IF(VLOOKUP($C97,REV!$C:$AL,34,0)-'TRADE IN'!$F97=0,"",(VLOOKUP($C97,REV!$C:$AL,34,0)-'TRADE IN'!$F97))</f>
        <v>5499</v>
      </c>
      <c r="AK97" s="55">
        <f>IF(VLOOKUP($C97,REV!$C:$AL,35,0)-'TRADE IN'!$F97=0,"",(VLOOKUP($C97,REV!$C:$AL,35,0)-'TRADE IN'!$F97))</f>
        <v>5499</v>
      </c>
      <c r="AL97" s="55">
        <f>IF(VLOOKUP($C97,REV!$C:$AL,36,0)-'TRADE IN'!$F97=0,"",(VLOOKUP($C97,REV!$C:$AL,36,0)-'TRADE IN'!$F97))</f>
        <v>4999</v>
      </c>
      <c r="AM97" s="55"/>
      <c r="AN97" s="55"/>
      <c r="AO97" s="55"/>
      <c r="AP97" s="55"/>
      <c r="AQ97" s="55"/>
      <c r="AR97" s="55"/>
      <c r="AS97" s="55"/>
      <c r="AT97" s="55"/>
      <c r="AU97" s="55"/>
      <c r="AV97" s="57"/>
      <c r="AW97" s="58" t="str">
        <f>REV!AW97</f>
        <v>03.11.2026</v>
      </c>
      <c r="AX97" s="147" t="str">
        <f>VLOOKUP(C97,REV!C:AX,48,0)</f>
        <v>5G</v>
      </c>
    </row>
    <row r="98" spans="1:50" ht="22.5" customHeight="1">
      <c r="A98" s="51" t="s">
        <v>63</v>
      </c>
      <c r="B98" s="52" t="s">
        <v>64</v>
      </c>
      <c r="C98" s="53">
        <v>4017484</v>
      </c>
      <c r="D98" s="54" t="s">
        <v>178</v>
      </c>
      <c r="E98" s="54" t="s">
        <v>179</v>
      </c>
      <c r="F98" s="55"/>
      <c r="G98" s="55"/>
      <c r="H98" s="55"/>
      <c r="I98" s="55"/>
      <c r="J98" s="56">
        <f>IF(VLOOKUP($C98,REV!$C:$AA,8,0)-'TRADE IN'!$F98=0,"",(VLOOKUP($C98,REV!$C:$AA,8,0)-'TRADE IN'!$F98))</f>
        <v>8099</v>
      </c>
      <c r="K98" s="56">
        <f>IF(VLOOKUP($C98,REV!$C:$AA,9,0)-'TRADE IN'!$F98=0,"",(VLOOKUP($C98,REV!$C:$AA,9,0)-'TRADE IN'!$F98))</f>
        <v>8099</v>
      </c>
      <c r="L98" s="56">
        <f>IF(VLOOKUP($C98,REV!$C:$AA,10,0)-'TRADE IN'!$F98=0,"",(VLOOKUP($C98,REV!$C:$AA,10,0)-'TRADE IN'!$F98))</f>
        <v>8099</v>
      </c>
      <c r="M98" s="56">
        <f>IF(VLOOKUP($C98,REV!$C:$AA,11,0)-'TRADE IN'!$F98=0,"",(VLOOKUP($C98,REV!$C:$AA,11,0)-'TRADE IN'!$F98))</f>
        <v>8099</v>
      </c>
      <c r="N98" s="56">
        <f>IF(VLOOKUP($C98,REV!$C:$AA,12,0)-'TRADE IN'!$F98=0,"",(VLOOKUP($C98,REV!$C:$AA,12,0)-'TRADE IN'!$F98))</f>
        <v>8099</v>
      </c>
      <c r="O98" s="56">
        <f>IF(VLOOKUP($C98,REV!$C:$AA,13,0)-'TRADE IN'!$F98=0,"",(VLOOKUP($C98,REV!$C:$AA,13,0)-'TRADE IN'!$F98))</f>
        <v>7999</v>
      </c>
      <c r="P98" s="56">
        <f>IF(VLOOKUP($C98,REV!$C:$AA,14,0)-'TRADE IN'!$F98=0,"",(VLOOKUP($C98,REV!$C:$AA,14,0)-'TRADE IN'!$F98))</f>
        <v>7899</v>
      </c>
      <c r="Q98" s="56">
        <f>IF(VLOOKUP($C98,REV!$C:$AA,15,0)-'TRADE IN'!$F98=0,"",(VLOOKUP($C98,REV!$C:$AA,15,0)-'TRADE IN'!$F98))</f>
        <v>7799</v>
      </c>
      <c r="R98" s="56">
        <f>IF(VLOOKUP($C98,REV!$C:$AA,16,0)-'TRADE IN'!$F98=0,"",(VLOOKUP($C98,REV!$C:$AA,16,0)-'TRADE IN'!$F98))</f>
        <v>7999</v>
      </c>
      <c r="S98" s="56">
        <f>IF(VLOOKUP($C98,REV!$C:$AA,17,0)-'TRADE IN'!$F98=0,"",(VLOOKUP($C98,REV!$C:$AA,17,0)-'TRADE IN'!$F98))</f>
        <v>7899</v>
      </c>
      <c r="T98" s="56">
        <f>IF(VLOOKUP($C98,REV!$C:$AA,18,0)-'TRADE IN'!$F98=0,"",(VLOOKUP($C98,REV!$C:$AA,18,0)-'TRADE IN'!$F98))</f>
        <v>7799</v>
      </c>
      <c r="U98" s="56">
        <f>IF(VLOOKUP($C98,REV!$C:$AA,19,0)-'TRADE IN'!$F98=0,"",(VLOOKUP($C98,REV!$C:$AA,19,0)-'TRADE IN'!$F98))</f>
        <v>7799</v>
      </c>
      <c r="V98" s="56">
        <f>IF(VLOOKUP($C98,REV!$C:$AA,20,0)-'TRADE IN'!$F98=0,"",(VLOOKUP($C98,REV!$C:$AA,20,0)-'TRADE IN'!$F98))</f>
        <v>7799</v>
      </c>
      <c r="W98" s="56">
        <f>IF(VLOOKUP($C98,REV!$C:$AA,21,0)-'TRADE IN'!$F98=0,"",(VLOOKUP($C98,REV!$C:$AA,21,0)-'TRADE IN'!$F98))</f>
        <v>7799</v>
      </c>
      <c r="X98" s="56">
        <f>IF(VLOOKUP($C98,REV!$C:$AA,22,0)-'TRADE IN'!$F98=0,"",(VLOOKUP($C98,REV!$C:$AA,22,0)-'TRADE IN'!$F98))</f>
        <v>7699</v>
      </c>
      <c r="Y98" s="56">
        <f>IF(VLOOKUP($C98,REV!$C:$AA,23,0)-'TRADE IN'!$F98=0,"",(VLOOKUP($C98,REV!$C:$AA,23,0)-'TRADE IN'!$F98))</f>
        <v>7499</v>
      </c>
      <c r="Z98" s="56">
        <f>IF(VLOOKUP($C98,REV!$C:$AA,24,0)-'TRADE IN'!$F98=0,"",(VLOOKUP($C98,REV!$C:$AA,24,0)-'TRADE IN'!$F98))</f>
        <v>7499</v>
      </c>
      <c r="AA98" s="56">
        <f>IF(VLOOKUP($C98,REV!$C:$AA,25,0)-'TRADE IN'!$F98=0,"",(VLOOKUP($C98,REV!$C:$AA,25,0)-'TRADE IN'!$F98))</f>
        <v>7499</v>
      </c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7"/>
      <c r="AW98" s="58" t="str">
        <f>REV!AW98</f>
        <v>03.11.2026</v>
      </c>
      <c r="AX98" s="147" t="str">
        <f>VLOOKUP(C98,REV!C:AX,48,0)</f>
        <v>5G</v>
      </c>
    </row>
    <row r="99" spans="1:50" ht="22.5" customHeight="1">
      <c r="A99" s="51" t="s">
        <v>63</v>
      </c>
      <c r="B99" s="52" t="s">
        <v>64</v>
      </c>
      <c r="C99" s="53">
        <v>4017506</v>
      </c>
      <c r="D99" s="54" t="s">
        <v>178</v>
      </c>
      <c r="E99" s="54" t="s">
        <v>180</v>
      </c>
      <c r="F99" s="55"/>
      <c r="G99" s="55"/>
      <c r="H99" s="55"/>
      <c r="I99" s="55"/>
      <c r="J99" s="56">
        <f>IF(VLOOKUP($C99,REV!$C:$AA,8,0)-'TRADE IN'!$F99=0,"",(VLOOKUP($C99,REV!$C:$AA,8,0)-'TRADE IN'!$F99))</f>
        <v>8099</v>
      </c>
      <c r="K99" s="56">
        <f>IF(VLOOKUP($C99,REV!$C:$AA,9,0)-'TRADE IN'!$F99=0,"",(VLOOKUP($C99,REV!$C:$AA,9,0)-'TRADE IN'!$F99))</f>
        <v>8099</v>
      </c>
      <c r="L99" s="56">
        <f>IF(VLOOKUP($C99,REV!$C:$AA,10,0)-'TRADE IN'!$F99=0,"",(VLOOKUP($C99,REV!$C:$AA,10,0)-'TRADE IN'!$F99))</f>
        <v>8099</v>
      </c>
      <c r="M99" s="56">
        <f>IF(VLOOKUP($C99,REV!$C:$AA,11,0)-'TRADE IN'!$F99=0,"",(VLOOKUP($C99,REV!$C:$AA,11,0)-'TRADE IN'!$F99))</f>
        <v>8099</v>
      </c>
      <c r="N99" s="56">
        <f>IF(VLOOKUP($C99,REV!$C:$AA,12,0)-'TRADE IN'!$F99=0,"",(VLOOKUP($C99,REV!$C:$AA,12,0)-'TRADE IN'!$F99))</f>
        <v>8099</v>
      </c>
      <c r="O99" s="56">
        <f>IF(VLOOKUP($C99,REV!$C:$AA,13,0)-'TRADE IN'!$F99=0,"",(VLOOKUP($C99,REV!$C:$AA,13,0)-'TRADE IN'!$F99))</f>
        <v>7999</v>
      </c>
      <c r="P99" s="56">
        <f>IF(VLOOKUP($C99,REV!$C:$AA,14,0)-'TRADE IN'!$F99=0,"",(VLOOKUP($C99,REV!$C:$AA,14,0)-'TRADE IN'!$F99))</f>
        <v>7899</v>
      </c>
      <c r="Q99" s="56">
        <f>IF(VLOOKUP($C99,REV!$C:$AA,15,0)-'TRADE IN'!$F99=0,"",(VLOOKUP($C99,REV!$C:$AA,15,0)-'TRADE IN'!$F99))</f>
        <v>7799</v>
      </c>
      <c r="R99" s="56">
        <f>IF(VLOOKUP($C99,REV!$C:$AA,16,0)-'TRADE IN'!$F99=0,"",(VLOOKUP($C99,REV!$C:$AA,16,0)-'TRADE IN'!$F99))</f>
        <v>7999</v>
      </c>
      <c r="S99" s="56">
        <f>IF(VLOOKUP($C99,REV!$C:$AA,17,0)-'TRADE IN'!$F99=0,"",(VLOOKUP($C99,REV!$C:$AA,17,0)-'TRADE IN'!$F99))</f>
        <v>7899</v>
      </c>
      <c r="T99" s="56">
        <f>IF(VLOOKUP($C99,REV!$C:$AA,18,0)-'TRADE IN'!$F99=0,"",(VLOOKUP($C99,REV!$C:$AA,18,0)-'TRADE IN'!$F99))</f>
        <v>7799</v>
      </c>
      <c r="U99" s="56">
        <f>IF(VLOOKUP($C99,REV!$C:$AA,19,0)-'TRADE IN'!$F99=0,"",(VLOOKUP($C99,REV!$C:$AA,19,0)-'TRADE IN'!$F99))</f>
        <v>7799</v>
      </c>
      <c r="V99" s="56">
        <f>IF(VLOOKUP($C99,REV!$C:$AA,20,0)-'TRADE IN'!$F99=0,"",(VLOOKUP($C99,REV!$C:$AA,20,0)-'TRADE IN'!$F99))</f>
        <v>7799</v>
      </c>
      <c r="W99" s="56">
        <f>IF(VLOOKUP($C99,REV!$C:$AA,21,0)-'TRADE IN'!$F99=0,"",(VLOOKUP($C99,REV!$C:$AA,21,0)-'TRADE IN'!$F99))</f>
        <v>7799</v>
      </c>
      <c r="X99" s="56">
        <f>IF(VLOOKUP($C99,REV!$C:$AA,22,0)-'TRADE IN'!$F99=0,"",(VLOOKUP($C99,REV!$C:$AA,22,0)-'TRADE IN'!$F99))</f>
        <v>7699</v>
      </c>
      <c r="Y99" s="56">
        <f>IF(VLOOKUP($C99,REV!$C:$AA,23,0)-'TRADE IN'!$F99=0,"",(VLOOKUP($C99,REV!$C:$AA,23,0)-'TRADE IN'!$F99))</f>
        <v>7499</v>
      </c>
      <c r="Z99" s="56">
        <f>IF(VLOOKUP($C99,REV!$C:$AA,24,0)-'TRADE IN'!$F99=0,"",(VLOOKUP($C99,REV!$C:$AA,24,0)-'TRADE IN'!$F99))</f>
        <v>7499</v>
      </c>
      <c r="AA99" s="56">
        <f>IF(VLOOKUP($C99,REV!$C:$AA,25,0)-'TRADE IN'!$F99=0,"",(VLOOKUP($C99,REV!$C:$AA,25,0)-'TRADE IN'!$F99))</f>
        <v>7499</v>
      </c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7"/>
      <c r="AW99" s="58" t="str">
        <f>REV!AW99</f>
        <v>03.11.2026</v>
      </c>
      <c r="AX99" s="147" t="str">
        <f>VLOOKUP(C99,REV!C:AX,48,0)</f>
        <v>5G</v>
      </c>
    </row>
    <row r="100" spans="1:50" ht="22.5" customHeight="1">
      <c r="A100" s="51" t="s">
        <v>63</v>
      </c>
      <c r="B100" s="52" t="s">
        <v>64</v>
      </c>
      <c r="C100" s="53">
        <v>4017497</v>
      </c>
      <c r="D100" s="54" t="s">
        <v>181</v>
      </c>
      <c r="E100" s="54" t="s">
        <v>182</v>
      </c>
      <c r="F100" s="55">
        <v>1000</v>
      </c>
      <c r="G100" s="55"/>
      <c r="H100" s="55"/>
      <c r="I100" s="55"/>
      <c r="J100" s="56">
        <f>IF(VLOOKUP($C100,REV!$C:$AA,8,0)-'TRADE IN'!$F100=0,"",(VLOOKUP($C100,REV!$C:$AA,8,0)-'TRADE IN'!$F100))</f>
        <v>6699</v>
      </c>
      <c r="K100" s="56">
        <f>IF(VLOOKUP($C100,REV!$C:$AA,9,0)-'TRADE IN'!$F100=0,"",(VLOOKUP($C100,REV!$C:$AA,9,0)-'TRADE IN'!$F100))</f>
        <v>6699</v>
      </c>
      <c r="L100" s="56">
        <f>IF(VLOOKUP($C100,REV!$C:$AA,10,0)-'TRADE IN'!$F100=0,"",(VLOOKUP($C100,REV!$C:$AA,10,0)-'TRADE IN'!$F100))</f>
        <v>6699</v>
      </c>
      <c r="M100" s="56">
        <f>IF(VLOOKUP($C100,REV!$C:$AA,11,0)-'TRADE IN'!$F100=0,"",(VLOOKUP($C100,REV!$C:$AA,11,0)-'TRADE IN'!$F100))</f>
        <v>6699</v>
      </c>
      <c r="N100" s="56">
        <f>IF(VLOOKUP($C100,REV!$C:$AA,12,0)-'TRADE IN'!$F100=0,"",(VLOOKUP($C100,REV!$C:$AA,12,0)-'TRADE IN'!$F100))</f>
        <v>6699</v>
      </c>
      <c r="O100" s="56">
        <f>IF(VLOOKUP($C100,REV!$C:$AA,13,0)-'TRADE IN'!$F100=0,"",(VLOOKUP($C100,REV!$C:$AA,13,0)-'TRADE IN'!$F100))</f>
        <v>6599</v>
      </c>
      <c r="P100" s="56">
        <f>IF(VLOOKUP($C100,REV!$C:$AA,14,0)-'TRADE IN'!$F100=0,"",(VLOOKUP($C100,REV!$C:$AA,14,0)-'TRADE IN'!$F100))</f>
        <v>6499</v>
      </c>
      <c r="Q100" s="56">
        <f>IF(VLOOKUP($C100,REV!$C:$AA,15,0)-'TRADE IN'!$F100=0,"",(VLOOKUP($C100,REV!$C:$AA,15,0)-'TRADE IN'!$F100))</f>
        <v>6399</v>
      </c>
      <c r="R100" s="56">
        <f>IF(VLOOKUP($C100,REV!$C:$AA,16,0)-'TRADE IN'!$F100=0,"",(VLOOKUP($C100,REV!$C:$AA,16,0)-'TRADE IN'!$F100))</f>
        <v>6599</v>
      </c>
      <c r="S100" s="56">
        <f>IF(VLOOKUP($C100,REV!$C:$AA,17,0)-'TRADE IN'!$F100=0,"",(VLOOKUP($C100,REV!$C:$AA,17,0)-'TRADE IN'!$F100))</f>
        <v>6499</v>
      </c>
      <c r="T100" s="56">
        <f>IF(VLOOKUP($C100,REV!$C:$AA,18,0)-'TRADE IN'!$F100=0,"",(VLOOKUP($C100,REV!$C:$AA,18,0)-'TRADE IN'!$F100))</f>
        <v>6399</v>
      </c>
      <c r="U100" s="56">
        <f>IF(VLOOKUP($C100,REV!$C:$AA,19,0)-'TRADE IN'!$F100=0,"",(VLOOKUP($C100,REV!$C:$AA,19,0)-'TRADE IN'!$F100))</f>
        <v>6399</v>
      </c>
      <c r="V100" s="56">
        <f>IF(VLOOKUP($C100,REV!$C:$AA,20,0)-'TRADE IN'!$F100=0,"",(VLOOKUP($C100,REV!$C:$AA,20,0)-'TRADE IN'!$F100))</f>
        <v>6399</v>
      </c>
      <c r="W100" s="56">
        <f>IF(VLOOKUP($C100,REV!$C:$AA,21,0)-'TRADE IN'!$F100=0,"",(VLOOKUP($C100,REV!$C:$AA,21,0)-'TRADE IN'!$F100))</f>
        <v>6399</v>
      </c>
      <c r="X100" s="56">
        <f>IF(VLOOKUP($C100,REV!$C:$AA,22,0)-'TRADE IN'!$F100=0,"",(VLOOKUP($C100,REV!$C:$AA,22,0)-'TRADE IN'!$F100))</f>
        <v>6299</v>
      </c>
      <c r="Y100" s="56">
        <f>IF(VLOOKUP($C100,REV!$C:$AA,23,0)-'TRADE IN'!$F100=0,"",(VLOOKUP($C100,REV!$C:$AA,23,0)-'TRADE IN'!$F100))</f>
        <v>5499</v>
      </c>
      <c r="Z100" s="56">
        <f>IF(VLOOKUP($C100,REV!$C:$AA,24,0)-'TRADE IN'!$F100=0,"",(VLOOKUP($C100,REV!$C:$AA,24,0)-'TRADE IN'!$F100))</f>
        <v>5499</v>
      </c>
      <c r="AA100" s="56">
        <f>IF(VLOOKUP($C100,REV!$C:$AA,25,0)-'TRADE IN'!$F100=0,"",(VLOOKUP($C100,REV!$C:$AA,25,0)-'TRADE IN'!$F100))</f>
        <v>4499</v>
      </c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7"/>
      <c r="AW100" s="58" t="str">
        <f>REV!AW100</f>
        <v>03.11.2026</v>
      </c>
      <c r="AX100" s="147" t="str">
        <f>VLOOKUP(C100,REV!C:AX,48,0)</f>
        <v>5G</v>
      </c>
    </row>
    <row r="101" spans="1:50" ht="22.5" customHeight="1">
      <c r="A101" s="51" t="s">
        <v>63</v>
      </c>
      <c r="B101" s="52" t="s">
        <v>64</v>
      </c>
      <c r="C101" s="53">
        <v>4017498</v>
      </c>
      <c r="D101" s="54" t="s">
        <v>181</v>
      </c>
      <c r="E101" s="54" t="s">
        <v>183</v>
      </c>
      <c r="F101" s="55">
        <v>1000</v>
      </c>
      <c r="G101" s="55"/>
      <c r="H101" s="55"/>
      <c r="I101" s="55"/>
      <c r="J101" s="56">
        <f>IF(VLOOKUP($C101,REV!$C:$AA,8,0)-'TRADE IN'!$F101=0,"",(VLOOKUP($C101,REV!$C:$AA,8,0)-'TRADE IN'!$F101))</f>
        <v>6699</v>
      </c>
      <c r="K101" s="56">
        <f>IF(VLOOKUP($C101,REV!$C:$AA,9,0)-'TRADE IN'!$F101=0,"",(VLOOKUP($C101,REV!$C:$AA,9,0)-'TRADE IN'!$F101))</f>
        <v>6699</v>
      </c>
      <c r="L101" s="56">
        <f>IF(VLOOKUP($C101,REV!$C:$AA,10,0)-'TRADE IN'!$F101=0,"",(VLOOKUP($C101,REV!$C:$AA,10,0)-'TRADE IN'!$F101))</f>
        <v>6699</v>
      </c>
      <c r="M101" s="56">
        <f>IF(VLOOKUP($C101,REV!$C:$AA,11,0)-'TRADE IN'!$F101=0,"",(VLOOKUP($C101,REV!$C:$AA,11,0)-'TRADE IN'!$F101))</f>
        <v>6699</v>
      </c>
      <c r="N101" s="56">
        <f>IF(VLOOKUP($C101,REV!$C:$AA,12,0)-'TRADE IN'!$F101=0,"",(VLOOKUP($C101,REV!$C:$AA,12,0)-'TRADE IN'!$F101))</f>
        <v>6699</v>
      </c>
      <c r="O101" s="56">
        <f>IF(VLOOKUP($C101,REV!$C:$AA,13,0)-'TRADE IN'!$F101=0,"",(VLOOKUP($C101,REV!$C:$AA,13,0)-'TRADE IN'!$F101))</f>
        <v>6599</v>
      </c>
      <c r="P101" s="56">
        <f>IF(VLOOKUP($C101,REV!$C:$AA,14,0)-'TRADE IN'!$F101=0,"",(VLOOKUP($C101,REV!$C:$AA,14,0)-'TRADE IN'!$F101))</f>
        <v>6499</v>
      </c>
      <c r="Q101" s="56">
        <f>IF(VLOOKUP($C101,REV!$C:$AA,15,0)-'TRADE IN'!$F101=0,"",(VLOOKUP($C101,REV!$C:$AA,15,0)-'TRADE IN'!$F101))</f>
        <v>6399</v>
      </c>
      <c r="R101" s="56">
        <f>IF(VLOOKUP($C101,REV!$C:$AA,16,0)-'TRADE IN'!$F101=0,"",(VLOOKUP($C101,REV!$C:$AA,16,0)-'TRADE IN'!$F101))</f>
        <v>6599</v>
      </c>
      <c r="S101" s="56">
        <f>IF(VLOOKUP($C101,REV!$C:$AA,17,0)-'TRADE IN'!$F101=0,"",(VLOOKUP($C101,REV!$C:$AA,17,0)-'TRADE IN'!$F101))</f>
        <v>6499</v>
      </c>
      <c r="T101" s="56">
        <f>IF(VLOOKUP($C101,REV!$C:$AA,18,0)-'TRADE IN'!$F101=0,"",(VLOOKUP($C101,REV!$C:$AA,18,0)-'TRADE IN'!$F101))</f>
        <v>6399</v>
      </c>
      <c r="U101" s="56">
        <f>IF(VLOOKUP($C101,REV!$C:$AA,19,0)-'TRADE IN'!$F101=0,"",(VLOOKUP($C101,REV!$C:$AA,19,0)-'TRADE IN'!$F101))</f>
        <v>6399</v>
      </c>
      <c r="V101" s="56">
        <f>IF(VLOOKUP($C101,REV!$C:$AA,20,0)-'TRADE IN'!$F101=0,"",(VLOOKUP($C101,REV!$C:$AA,20,0)-'TRADE IN'!$F101))</f>
        <v>6399</v>
      </c>
      <c r="W101" s="56">
        <f>IF(VLOOKUP($C101,REV!$C:$AA,21,0)-'TRADE IN'!$F101=0,"",(VLOOKUP($C101,REV!$C:$AA,21,0)-'TRADE IN'!$F101))</f>
        <v>6399</v>
      </c>
      <c r="X101" s="56">
        <f>IF(VLOOKUP($C101,REV!$C:$AA,22,0)-'TRADE IN'!$F101=0,"",(VLOOKUP($C101,REV!$C:$AA,22,0)-'TRADE IN'!$F101))</f>
        <v>6299</v>
      </c>
      <c r="Y101" s="56">
        <f>IF(VLOOKUP($C101,REV!$C:$AA,23,0)-'TRADE IN'!$F101=0,"",(VLOOKUP($C101,REV!$C:$AA,23,0)-'TRADE IN'!$F101))</f>
        <v>5499</v>
      </c>
      <c r="Z101" s="56">
        <f>IF(VLOOKUP($C101,REV!$C:$AA,24,0)-'TRADE IN'!$F101=0,"",(VLOOKUP($C101,REV!$C:$AA,24,0)-'TRADE IN'!$F101))</f>
        <v>5499</v>
      </c>
      <c r="AA101" s="56">
        <f>IF(VLOOKUP($C101,REV!$C:$AA,25,0)-'TRADE IN'!$F101=0,"",(VLOOKUP($C101,REV!$C:$AA,25,0)-'TRADE IN'!$F101))</f>
        <v>4499</v>
      </c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7"/>
      <c r="AW101" s="58" t="str">
        <f>REV!AW101</f>
        <v>03.11.2026</v>
      </c>
      <c r="AX101" s="147" t="str">
        <f>VLOOKUP(C101,REV!C:AX,48,0)</f>
        <v>5G</v>
      </c>
    </row>
    <row r="102" spans="1:50" ht="22.5" customHeight="1">
      <c r="A102" s="51" t="s">
        <v>63</v>
      </c>
      <c r="B102" s="52" t="s">
        <v>64</v>
      </c>
      <c r="C102" s="53">
        <v>4017499</v>
      </c>
      <c r="D102" s="54" t="s">
        <v>181</v>
      </c>
      <c r="E102" s="54" t="s">
        <v>184</v>
      </c>
      <c r="F102" s="55">
        <v>1000</v>
      </c>
      <c r="G102" s="55"/>
      <c r="H102" s="55"/>
      <c r="I102" s="55"/>
      <c r="J102" s="56">
        <f>IF(VLOOKUP($C102,REV!$C:$AA,8,0)-'TRADE IN'!$F102=0,"",(VLOOKUP($C102,REV!$C:$AA,8,0)-'TRADE IN'!$F102))</f>
        <v>6699</v>
      </c>
      <c r="K102" s="56">
        <f>IF(VLOOKUP($C102,REV!$C:$AA,9,0)-'TRADE IN'!$F102=0,"",(VLOOKUP($C102,REV!$C:$AA,9,0)-'TRADE IN'!$F102))</f>
        <v>6699</v>
      </c>
      <c r="L102" s="56">
        <f>IF(VLOOKUP($C102,REV!$C:$AA,10,0)-'TRADE IN'!$F102=0,"",(VLOOKUP($C102,REV!$C:$AA,10,0)-'TRADE IN'!$F102))</f>
        <v>6699</v>
      </c>
      <c r="M102" s="56">
        <f>IF(VLOOKUP($C102,REV!$C:$AA,11,0)-'TRADE IN'!$F102=0,"",(VLOOKUP($C102,REV!$C:$AA,11,0)-'TRADE IN'!$F102))</f>
        <v>6699</v>
      </c>
      <c r="N102" s="56">
        <f>IF(VLOOKUP($C102,REV!$C:$AA,12,0)-'TRADE IN'!$F102=0,"",(VLOOKUP($C102,REV!$C:$AA,12,0)-'TRADE IN'!$F102))</f>
        <v>6699</v>
      </c>
      <c r="O102" s="56">
        <f>IF(VLOOKUP($C102,REV!$C:$AA,13,0)-'TRADE IN'!$F102=0,"",(VLOOKUP($C102,REV!$C:$AA,13,0)-'TRADE IN'!$F102))</f>
        <v>6599</v>
      </c>
      <c r="P102" s="56">
        <f>IF(VLOOKUP($C102,REV!$C:$AA,14,0)-'TRADE IN'!$F102=0,"",(VLOOKUP($C102,REV!$C:$AA,14,0)-'TRADE IN'!$F102))</f>
        <v>6499</v>
      </c>
      <c r="Q102" s="56">
        <f>IF(VLOOKUP($C102,REV!$C:$AA,15,0)-'TRADE IN'!$F102=0,"",(VLOOKUP($C102,REV!$C:$AA,15,0)-'TRADE IN'!$F102))</f>
        <v>6399</v>
      </c>
      <c r="R102" s="56">
        <f>IF(VLOOKUP($C102,REV!$C:$AA,16,0)-'TRADE IN'!$F102=0,"",(VLOOKUP($C102,REV!$C:$AA,16,0)-'TRADE IN'!$F102))</f>
        <v>6599</v>
      </c>
      <c r="S102" s="56">
        <f>IF(VLOOKUP($C102,REV!$C:$AA,17,0)-'TRADE IN'!$F102=0,"",(VLOOKUP($C102,REV!$C:$AA,17,0)-'TRADE IN'!$F102))</f>
        <v>6499</v>
      </c>
      <c r="T102" s="56">
        <f>IF(VLOOKUP($C102,REV!$C:$AA,18,0)-'TRADE IN'!$F102=0,"",(VLOOKUP($C102,REV!$C:$AA,18,0)-'TRADE IN'!$F102))</f>
        <v>6399</v>
      </c>
      <c r="U102" s="56">
        <f>IF(VLOOKUP($C102,REV!$C:$AA,19,0)-'TRADE IN'!$F102=0,"",(VLOOKUP($C102,REV!$C:$AA,19,0)-'TRADE IN'!$F102))</f>
        <v>6399</v>
      </c>
      <c r="V102" s="56">
        <f>IF(VLOOKUP($C102,REV!$C:$AA,20,0)-'TRADE IN'!$F102=0,"",(VLOOKUP($C102,REV!$C:$AA,20,0)-'TRADE IN'!$F102))</f>
        <v>6399</v>
      </c>
      <c r="W102" s="56">
        <f>IF(VLOOKUP($C102,REV!$C:$AA,21,0)-'TRADE IN'!$F102=0,"",(VLOOKUP($C102,REV!$C:$AA,21,0)-'TRADE IN'!$F102))</f>
        <v>6399</v>
      </c>
      <c r="X102" s="56">
        <f>IF(VLOOKUP($C102,REV!$C:$AA,22,0)-'TRADE IN'!$F102=0,"",(VLOOKUP($C102,REV!$C:$AA,22,0)-'TRADE IN'!$F102))</f>
        <v>6299</v>
      </c>
      <c r="Y102" s="56">
        <f>IF(VLOOKUP($C102,REV!$C:$AA,23,0)-'TRADE IN'!$F102=0,"",(VLOOKUP($C102,REV!$C:$AA,23,0)-'TRADE IN'!$F102))</f>
        <v>5499</v>
      </c>
      <c r="Z102" s="56">
        <f>IF(VLOOKUP($C102,REV!$C:$AA,24,0)-'TRADE IN'!$F102=0,"",(VLOOKUP($C102,REV!$C:$AA,24,0)-'TRADE IN'!$F102))</f>
        <v>5499</v>
      </c>
      <c r="AA102" s="56">
        <f>IF(VLOOKUP($C102,REV!$C:$AA,25,0)-'TRADE IN'!$F102=0,"",(VLOOKUP($C102,REV!$C:$AA,25,0)-'TRADE IN'!$F102))</f>
        <v>4499</v>
      </c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7"/>
      <c r="AW102" s="58" t="str">
        <f>REV!AW102</f>
        <v>03.11.2026</v>
      </c>
      <c r="AX102" s="147" t="str">
        <f>VLOOKUP(C102,REV!C:AX,48,0)</f>
        <v>5G</v>
      </c>
    </row>
    <row r="103" spans="1:50" ht="22.5" customHeight="1">
      <c r="A103" s="51" t="s">
        <v>63</v>
      </c>
      <c r="B103" s="52" t="s">
        <v>64</v>
      </c>
      <c r="C103" s="53">
        <v>4017521</v>
      </c>
      <c r="D103" s="54" t="s">
        <v>181</v>
      </c>
      <c r="E103" s="54" t="s">
        <v>185</v>
      </c>
      <c r="F103" s="55">
        <v>1000</v>
      </c>
      <c r="G103" s="55"/>
      <c r="H103" s="55"/>
      <c r="I103" s="55"/>
      <c r="J103" s="56">
        <f>IF(VLOOKUP($C103,REV!$C:$AA,8,0)-'TRADE IN'!$F103=0,"",(VLOOKUP($C103,REV!$C:$AA,8,0)-'TRADE IN'!$F103))</f>
        <v>6699</v>
      </c>
      <c r="K103" s="56">
        <f>IF(VLOOKUP($C103,REV!$C:$AA,9,0)-'TRADE IN'!$F103=0,"",(VLOOKUP($C103,REV!$C:$AA,9,0)-'TRADE IN'!$F103))</f>
        <v>6699</v>
      </c>
      <c r="L103" s="56">
        <f>IF(VLOOKUP($C103,REV!$C:$AA,10,0)-'TRADE IN'!$F103=0,"",(VLOOKUP($C103,REV!$C:$AA,10,0)-'TRADE IN'!$F103))</f>
        <v>6699</v>
      </c>
      <c r="M103" s="56">
        <f>IF(VLOOKUP($C103,REV!$C:$AA,11,0)-'TRADE IN'!$F103=0,"",(VLOOKUP($C103,REV!$C:$AA,11,0)-'TRADE IN'!$F103))</f>
        <v>6699</v>
      </c>
      <c r="N103" s="56">
        <f>IF(VLOOKUP($C103,REV!$C:$AA,12,0)-'TRADE IN'!$F103=0,"",(VLOOKUP($C103,REV!$C:$AA,12,0)-'TRADE IN'!$F103))</f>
        <v>6699</v>
      </c>
      <c r="O103" s="56">
        <f>IF(VLOOKUP($C103,REV!$C:$AA,13,0)-'TRADE IN'!$F103=0,"",(VLOOKUP($C103,REV!$C:$AA,13,0)-'TRADE IN'!$F103))</f>
        <v>6599</v>
      </c>
      <c r="P103" s="56">
        <f>IF(VLOOKUP($C103,REV!$C:$AA,14,0)-'TRADE IN'!$F103=0,"",(VLOOKUP($C103,REV!$C:$AA,14,0)-'TRADE IN'!$F103))</f>
        <v>6499</v>
      </c>
      <c r="Q103" s="56">
        <f>IF(VLOOKUP($C103,REV!$C:$AA,15,0)-'TRADE IN'!$F103=0,"",(VLOOKUP($C103,REV!$C:$AA,15,0)-'TRADE IN'!$F103))</f>
        <v>6399</v>
      </c>
      <c r="R103" s="56">
        <f>IF(VLOOKUP($C103,REV!$C:$AA,16,0)-'TRADE IN'!$F103=0,"",(VLOOKUP($C103,REV!$C:$AA,16,0)-'TRADE IN'!$F103))</f>
        <v>6599</v>
      </c>
      <c r="S103" s="56">
        <f>IF(VLOOKUP($C103,REV!$C:$AA,17,0)-'TRADE IN'!$F103=0,"",(VLOOKUP($C103,REV!$C:$AA,17,0)-'TRADE IN'!$F103))</f>
        <v>6499</v>
      </c>
      <c r="T103" s="56">
        <f>IF(VLOOKUP($C103,REV!$C:$AA,18,0)-'TRADE IN'!$F103=0,"",(VLOOKUP($C103,REV!$C:$AA,18,0)-'TRADE IN'!$F103))</f>
        <v>6399</v>
      </c>
      <c r="U103" s="56">
        <f>IF(VLOOKUP($C103,REV!$C:$AA,19,0)-'TRADE IN'!$F103=0,"",(VLOOKUP($C103,REV!$C:$AA,19,0)-'TRADE IN'!$F103))</f>
        <v>6399</v>
      </c>
      <c r="V103" s="56">
        <f>IF(VLOOKUP($C103,REV!$C:$AA,20,0)-'TRADE IN'!$F103=0,"",(VLOOKUP($C103,REV!$C:$AA,20,0)-'TRADE IN'!$F103))</f>
        <v>6399</v>
      </c>
      <c r="W103" s="56">
        <f>IF(VLOOKUP($C103,REV!$C:$AA,21,0)-'TRADE IN'!$F103=0,"",(VLOOKUP($C103,REV!$C:$AA,21,0)-'TRADE IN'!$F103))</f>
        <v>6399</v>
      </c>
      <c r="X103" s="56">
        <f>IF(VLOOKUP($C103,REV!$C:$AA,22,0)-'TRADE IN'!$F103=0,"",(VLOOKUP($C103,REV!$C:$AA,22,0)-'TRADE IN'!$F103))</f>
        <v>6299</v>
      </c>
      <c r="Y103" s="56">
        <f>IF(VLOOKUP($C103,REV!$C:$AA,23,0)-'TRADE IN'!$F103=0,"",(VLOOKUP($C103,REV!$C:$AA,23,0)-'TRADE IN'!$F103))</f>
        <v>5499</v>
      </c>
      <c r="Z103" s="56">
        <f>IF(VLOOKUP($C103,REV!$C:$AA,24,0)-'TRADE IN'!$F103=0,"",(VLOOKUP($C103,REV!$C:$AA,24,0)-'TRADE IN'!$F103))</f>
        <v>5499</v>
      </c>
      <c r="AA103" s="56">
        <f>IF(VLOOKUP($C103,REV!$C:$AA,25,0)-'TRADE IN'!$F103=0,"",(VLOOKUP($C103,REV!$C:$AA,25,0)-'TRADE IN'!$F103))</f>
        <v>4499</v>
      </c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7"/>
      <c r="AW103" s="58" t="str">
        <f>REV!AW103</f>
        <v>03.11.2026</v>
      </c>
      <c r="AX103" s="147" t="str">
        <f>VLOOKUP(C103,REV!C:AX,48,0)</f>
        <v>5G</v>
      </c>
    </row>
    <row r="104" spans="1:50" ht="22.5" customHeight="1">
      <c r="A104" s="51" t="s">
        <v>63</v>
      </c>
      <c r="B104" s="52" t="s">
        <v>64</v>
      </c>
      <c r="C104" s="53">
        <v>4017496</v>
      </c>
      <c r="D104" s="54" t="s">
        <v>186</v>
      </c>
      <c r="E104" s="54" t="s">
        <v>187</v>
      </c>
      <c r="F104" s="55">
        <v>1000</v>
      </c>
      <c r="G104" s="55"/>
      <c r="H104" s="55"/>
      <c r="I104" s="55"/>
      <c r="J104" s="56">
        <f>IF(VLOOKUP($C104,REV!$C:$AA,8,0)-'TRADE IN'!$F104=0,"",(VLOOKUP($C104,REV!$C:$AA,8,0)-'TRADE IN'!$F104))</f>
        <v>7999</v>
      </c>
      <c r="K104" s="56">
        <f>IF(VLOOKUP($C104,REV!$C:$AA,9,0)-'TRADE IN'!$F104=0,"",(VLOOKUP($C104,REV!$C:$AA,9,0)-'TRADE IN'!$F104))</f>
        <v>7999</v>
      </c>
      <c r="L104" s="56">
        <f>IF(VLOOKUP($C104,REV!$C:$AA,10,0)-'TRADE IN'!$F104=0,"",(VLOOKUP($C104,REV!$C:$AA,10,0)-'TRADE IN'!$F104))</f>
        <v>7999</v>
      </c>
      <c r="M104" s="56">
        <f>IF(VLOOKUP($C104,REV!$C:$AA,11,0)-'TRADE IN'!$F104=0,"",(VLOOKUP($C104,REV!$C:$AA,11,0)-'TRADE IN'!$F104))</f>
        <v>7999</v>
      </c>
      <c r="N104" s="56">
        <f>IF(VLOOKUP($C104,REV!$C:$AA,12,0)-'TRADE IN'!$F104=0,"",(VLOOKUP($C104,REV!$C:$AA,12,0)-'TRADE IN'!$F104))</f>
        <v>7999</v>
      </c>
      <c r="O104" s="56">
        <f>IF(VLOOKUP($C104,REV!$C:$AA,13,0)-'TRADE IN'!$F104=0,"",(VLOOKUP($C104,REV!$C:$AA,13,0)-'TRADE IN'!$F104))</f>
        <v>7899</v>
      </c>
      <c r="P104" s="56">
        <f>IF(VLOOKUP($C104,REV!$C:$AA,14,0)-'TRADE IN'!$F104=0,"",(VLOOKUP($C104,REV!$C:$AA,14,0)-'TRADE IN'!$F104))</f>
        <v>7799</v>
      </c>
      <c r="Q104" s="56">
        <f>IF(VLOOKUP($C104,REV!$C:$AA,15,0)-'TRADE IN'!$F104=0,"",(VLOOKUP($C104,REV!$C:$AA,15,0)-'TRADE IN'!$F104))</f>
        <v>7499</v>
      </c>
      <c r="R104" s="56">
        <f>IF(VLOOKUP($C104,REV!$C:$AA,16,0)-'TRADE IN'!$F104=0,"",(VLOOKUP($C104,REV!$C:$AA,16,0)-'TRADE IN'!$F104))</f>
        <v>7899</v>
      </c>
      <c r="S104" s="56">
        <f>IF(VLOOKUP($C104,REV!$C:$AA,17,0)-'TRADE IN'!$F104=0,"",(VLOOKUP($C104,REV!$C:$AA,17,0)-'TRADE IN'!$F104))</f>
        <v>7799</v>
      </c>
      <c r="T104" s="56">
        <f>IF(VLOOKUP($C104,REV!$C:$AA,18,0)-'TRADE IN'!$F104=0,"",(VLOOKUP($C104,REV!$C:$AA,18,0)-'TRADE IN'!$F104))</f>
        <v>7499</v>
      </c>
      <c r="U104" s="56">
        <f>IF(VLOOKUP($C104,REV!$C:$AA,19,0)-'TRADE IN'!$F104=0,"",(VLOOKUP($C104,REV!$C:$AA,19,0)-'TRADE IN'!$F104))</f>
        <v>7499</v>
      </c>
      <c r="V104" s="56">
        <f>IF(VLOOKUP($C104,REV!$C:$AA,20,0)-'TRADE IN'!$F104=0,"",(VLOOKUP($C104,REV!$C:$AA,20,0)-'TRADE IN'!$F104))</f>
        <v>7499</v>
      </c>
      <c r="W104" s="56">
        <f>IF(VLOOKUP($C104,REV!$C:$AA,21,0)-'TRADE IN'!$F104=0,"",(VLOOKUP($C104,REV!$C:$AA,21,0)-'TRADE IN'!$F104))</f>
        <v>7499</v>
      </c>
      <c r="X104" s="56">
        <f>IF(VLOOKUP($C104,REV!$C:$AA,22,0)-'TRADE IN'!$F104=0,"",(VLOOKUP($C104,REV!$C:$AA,22,0)-'TRADE IN'!$F104))</f>
        <v>7399</v>
      </c>
      <c r="Y104" s="56">
        <f>IF(VLOOKUP($C104,REV!$C:$AA,23,0)-'TRADE IN'!$F104=0,"",(VLOOKUP($C104,REV!$C:$AA,23,0)-'TRADE IN'!$F104))</f>
        <v>6799</v>
      </c>
      <c r="Z104" s="56">
        <f>IF(VLOOKUP($C104,REV!$C:$AA,24,0)-'TRADE IN'!$F104=0,"",(VLOOKUP($C104,REV!$C:$AA,24,0)-'TRADE IN'!$F104))</f>
        <v>6799</v>
      </c>
      <c r="AA104" s="56">
        <f>IF(VLOOKUP($C104,REV!$C:$AA,25,0)-'TRADE IN'!$F104=0,"",(VLOOKUP($C104,REV!$C:$AA,25,0)-'TRADE IN'!$F104))</f>
        <v>5799</v>
      </c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7"/>
      <c r="AW104" s="58" t="str">
        <f>REV!AW104</f>
        <v>03.11.2026</v>
      </c>
      <c r="AX104" s="147" t="str">
        <f>VLOOKUP(C104,REV!C:AX,48,0)</f>
        <v>5G</v>
      </c>
    </row>
    <row r="105" spans="1:50" ht="22.5" customHeight="1">
      <c r="A105" s="51" t="s">
        <v>63</v>
      </c>
      <c r="B105" s="52" t="s">
        <v>64</v>
      </c>
      <c r="C105" s="53">
        <v>4017519</v>
      </c>
      <c r="D105" s="54" t="s">
        <v>186</v>
      </c>
      <c r="E105" s="54" t="s">
        <v>188</v>
      </c>
      <c r="F105" s="55">
        <v>1000</v>
      </c>
      <c r="G105" s="55"/>
      <c r="H105" s="55"/>
      <c r="I105" s="55"/>
      <c r="J105" s="56">
        <f>IF(VLOOKUP($C105,REV!$C:$AA,8,0)-'TRADE IN'!$F105=0,"",(VLOOKUP($C105,REV!$C:$AA,8,0)-'TRADE IN'!$F105))</f>
        <v>7999</v>
      </c>
      <c r="K105" s="56">
        <f>IF(VLOOKUP($C105,REV!$C:$AA,9,0)-'TRADE IN'!$F105=0,"",(VLOOKUP($C105,REV!$C:$AA,9,0)-'TRADE IN'!$F105))</f>
        <v>7999</v>
      </c>
      <c r="L105" s="56">
        <f>IF(VLOOKUP($C105,REV!$C:$AA,10,0)-'TRADE IN'!$F105=0,"",(VLOOKUP($C105,REV!$C:$AA,10,0)-'TRADE IN'!$F105))</f>
        <v>7999</v>
      </c>
      <c r="M105" s="56">
        <f>IF(VLOOKUP($C105,REV!$C:$AA,11,0)-'TRADE IN'!$F105=0,"",(VLOOKUP($C105,REV!$C:$AA,11,0)-'TRADE IN'!$F105))</f>
        <v>7999</v>
      </c>
      <c r="N105" s="56">
        <f>IF(VLOOKUP($C105,REV!$C:$AA,12,0)-'TRADE IN'!$F105=0,"",(VLOOKUP($C105,REV!$C:$AA,12,0)-'TRADE IN'!$F105))</f>
        <v>7999</v>
      </c>
      <c r="O105" s="56">
        <f>IF(VLOOKUP($C105,REV!$C:$AA,13,0)-'TRADE IN'!$F105=0,"",(VLOOKUP($C105,REV!$C:$AA,13,0)-'TRADE IN'!$F105))</f>
        <v>7899</v>
      </c>
      <c r="P105" s="56">
        <f>IF(VLOOKUP($C105,REV!$C:$AA,14,0)-'TRADE IN'!$F105=0,"",(VLOOKUP($C105,REV!$C:$AA,14,0)-'TRADE IN'!$F105))</f>
        <v>7799</v>
      </c>
      <c r="Q105" s="56">
        <f>IF(VLOOKUP($C105,REV!$C:$AA,15,0)-'TRADE IN'!$F105=0,"",(VLOOKUP($C105,REV!$C:$AA,15,0)-'TRADE IN'!$F105))</f>
        <v>7499</v>
      </c>
      <c r="R105" s="56">
        <f>IF(VLOOKUP($C105,REV!$C:$AA,16,0)-'TRADE IN'!$F105=0,"",(VLOOKUP($C105,REV!$C:$AA,16,0)-'TRADE IN'!$F105))</f>
        <v>7899</v>
      </c>
      <c r="S105" s="56">
        <f>IF(VLOOKUP($C105,REV!$C:$AA,17,0)-'TRADE IN'!$F105=0,"",(VLOOKUP($C105,REV!$C:$AA,17,0)-'TRADE IN'!$F105))</f>
        <v>7799</v>
      </c>
      <c r="T105" s="56">
        <f>IF(VLOOKUP($C105,REV!$C:$AA,18,0)-'TRADE IN'!$F105=0,"",(VLOOKUP($C105,REV!$C:$AA,18,0)-'TRADE IN'!$F105))</f>
        <v>7499</v>
      </c>
      <c r="U105" s="56">
        <f>IF(VLOOKUP($C105,REV!$C:$AA,19,0)-'TRADE IN'!$F105=0,"",(VLOOKUP($C105,REV!$C:$AA,19,0)-'TRADE IN'!$F105))</f>
        <v>7499</v>
      </c>
      <c r="V105" s="56">
        <f>IF(VLOOKUP($C105,REV!$C:$AA,20,0)-'TRADE IN'!$F105=0,"",(VLOOKUP($C105,REV!$C:$AA,20,0)-'TRADE IN'!$F105))</f>
        <v>7499</v>
      </c>
      <c r="W105" s="56">
        <f>IF(VLOOKUP($C105,REV!$C:$AA,21,0)-'TRADE IN'!$F105=0,"",(VLOOKUP($C105,REV!$C:$AA,21,0)-'TRADE IN'!$F105))</f>
        <v>7499</v>
      </c>
      <c r="X105" s="56">
        <f>IF(VLOOKUP($C105,REV!$C:$AA,22,0)-'TRADE IN'!$F105=0,"",(VLOOKUP($C105,REV!$C:$AA,22,0)-'TRADE IN'!$F105))</f>
        <v>7399</v>
      </c>
      <c r="Y105" s="56">
        <f>IF(VLOOKUP($C105,REV!$C:$AA,23,0)-'TRADE IN'!$F105=0,"",(VLOOKUP($C105,REV!$C:$AA,23,0)-'TRADE IN'!$F105))</f>
        <v>6799</v>
      </c>
      <c r="Z105" s="56">
        <f>IF(VLOOKUP($C105,REV!$C:$AA,24,0)-'TRADE IN'!$F105=0,"",(VLOOKUP($C105,REV!$C:$AA,24,0)-'TRADE IN'!$F105))</f>
        <v>6799</v>
      </c>
      <c r="AA105" s="56">
        <f>IF(VLOOKUP($C105,REV!$C:$AA,25,0)-'TRADE IN'!$F105=0,"",(VLOOKUP($C105,REV!$C:$AA,25,0)-'TRADE IN'!$F105))</f>
        <v>5799</v>
      </c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7"/>
      <c r="AW105" s="58" t="str">
        <f>REV!AW105</f>
        <v>03.11.2026</v>
      </c>
      <c r="AX105" s="147" t="str">
        <f>VLOOKUP(C105,REV!C:AX,48,0)</f>
        <v>5G</v>
      </c>
    </row>
    <row r="106" spans="1:50" ht="22.5" customHeight="1">
      <c r="A106" s="51" t="s">
        <v>63</v>
      </c>
      <c r="B106" s="52" t="s">
        <v>64</v>
      </c>
      <c r="C106" s="53">
        <v>4017525</v>
      </c>
      <c r="D106" s="54" t="s">
        <v>186</v>
      </c>
      <c r="E106" s="54" t="s">
        <v>189</v>
      </c>
      <c r="F106" s="55">
        <v>1000</v>
      </c>
      <c r="G106" s="55"/>
      <c r="H106" s="55"/>
      <c r="I106" s="55"/>
      <c r="J106" s="56">
        <f>IF(VLOOKUP($C106,REV!$C:$AA,8,0)-'TRADE IN'!$F106=0,"",(VLOOKUP($C106,REV!$C:$AA,8,0)-'TRADE IN'!$F106))</f>
        <v>7999</v>
      </c>
      <c r="K106" s="56">
        <f>IF(VLOOKUP($C106,REV!$C:$AA,9,0)-'TRADE IN'!$F106=0,"",(VLOOKUP($C106,REV!$C:$AA,9,0)-'TRADE IN'!$F106))</f>
        <v>7999</v>
      </c>
      <c r="L106" s="56">
        <f>IF(VLOOKUP($C106,REV!$C:$AA,10,0)-'TRADE IN'!$F106=0,"",(VLOOKUP($C106,REV!$C:$AA,10,0)-'TRADE IN'!$F106))</f>
        <v>7999</v>
      </c>
      <c r="M106" s="56">
        <f>IF(VLOOKUP($C106,REV!$C:$AA,11,0)-'TRADE IN'!$F106=0,"",(VLOOKUP($C106,REV!$C:$AA,11,0)-'TRADE IN'!$F106))</f>
        <v>7999</v>
      </c>
      <c r="N106" s="56">
        <f>IF(VLOOKUP($C106,REV!$C:$AA,12,0)-'TRADE IN'!$F106=0,"",(VLOOKUP($C106,REV!$C:$AA,12,0)-'TRADE IN'!$F106))</f>
        <v>7999</v>
      </c>
      <c r="O106" s="56">
        <f>IF(VLOOKUP($C106,REV!$C:$AA,13,0)-'TRADE IN'!$F106=0,"",(VLOOKUP($C106,REV!$C:$AA,13,0)-'TRADE IN'!$F106))</f>
        <v>7899</v>
      </c>
      <c r="P106" s="56">
        <f>IF(VLOOKUP($C106,REV!$C:$AA,14,0)-'TRADE IN'!$F106=0,"",(VLOOKUP($C106,REV!$C:$AA,14,0)-'TRADE IN'!$F106))</f>
        <v>7799</v>
      </c>
      <c r="Q106" s="56">
        <f>IF(VLOOKUP($C106,REV!$C:$AA,15,0)-'TRADE IN'!$F106=0,"",(VLOOKUP($C106,REV!$C:$AA,15,0)-'TRADE IN'!$F106))</f>
        <v>7499</v>
      </c>
      <c r="R106" s="56">
        <f>IF(VLOOKUP($C106,REV!$C:$AA,16,0)-'TRADE IN'!$F106=0,"",(VLOOKUP($C106,REV!$C:$AA,16,0)-'TRADE IN'!$F106))</f>
        <v>7899</v>
      </c>
      <c r="S106" s="56">
        <f>IF(VLOOKUP($C106,REV!$C:$AA,17,0)-'TRADE IN'!$F106=0,"",(VLOOKUP($C106,REV!$C:$AA,17,0)-'TRADE IN'!$F106))</f>
        <v>7799</v>
      </c>
      <c r="T106" s="56">
        <f>IF(VLOOKUP($C106,REV!$C:$AA,18,0)-'TRADE IN'!$F106=0,"",(VLOOKUP($C106,REV!$C:$AA,18,0)-'TRADE IN'!$F106))</f>
        <v>7499</v>
      </c>
      <c r="U106" s="56">
        <f>IF(VLOOKUP($C106,REV!$C:$AA,19,0)-'TRADE IN'!$F106=0,"",(VLOOKUP($C106,REV!$C:$AA,19,0)-'TRADE IN'!$F106))</f>
        <v>7499</v>
      </c>
      <c r="V106" s="56">
        <f>IF(VLOOKUP($C106,REV!$C:$AA,20,0)-'TRADE IN'!$F106=0,"",(VLOOKUP($C106,REV!$C:$AA,20,0)-'TRADE IN'!$F106))</f>
        <v>7499</v>
      </c>
      <c r="W106" s="56">
        <f>IF(VLOOKUP($C106,REV!$C:$AA,21,0)-'TRADE IN'!$F106=0,"",(VLOOKUP($C106,REV!$C:$AA,21,0)-'TRADE IN'!$F106))</f>
        <v>7499</v>
      </c>
      <c r="X106" s="56">
        <f>IF(VLOOKUP($C106,REV!$C:$AA,22,0)-'TRADE IN'!$F106=0,"",(VLOOKUP($C106,REV!$C:$AA,22,0)-'TRADE IN'!$F106))</f>
        <v>7399</v>
      </c>
      <c r="Y106" s="56">
        <f>IF(VLOOKUP($C106,REV!$C:$AA,23,0)-'TRADE IN'!$F106=0,"",(VLOOKUP($C106,REV!$C:$AA,23,0)-'TRADE IN'!$F106))</f>
        <v>6799</v>
      </c>
      <c r="Z106" s="56">
        <f>IF(VLOOKUP($C106,REV!$C:$AA,24,0)-'TRADE IN'!$F106=0,"",(VLOOKUP($C106,REV!$C:$AA,24,0)-'TRADE IN'!$F106))</f>
        <v>6799</v>
      </c>
      <c r="AA106" s="56">
        <f>IF(VLOOKUP($C106,REV!$C:$AA,25,0)-'TRADE IN'!$F106=0,"",(VLOOKUP($C106,REV!$C:$AA,25,0)-'TRADE IN'!$F106))</f>
        <v>5799</v>
      </c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7"/>
      <c r="AW106" s="58" t="str">
        <f>REV!AW106</f>
        <v>03.11.2026</v>
      </c>
      <c r="AX106" s="147" t="str">
        <f>VLOOKUP(C106,REV!C:AX,48,0)</f>
        <v>5G</v>
      </c>
    </row>
    <row r="107" spans="1:50" ht="22.5" customHeight="1">
      <c r="A107" s="51" t="s">
        <v>63</v>
      </c>
      <c r="B107" s="52" t="s">
        <v>64</v>
      </c>
      <c r="C107" s="53">
        <v>4017518</v>
      </c>
      <c r="D107" s="54" t="s">
        <v>186</v>
      </c>
      <c r="E107" s="54" t="s">
        <v>190</v>
      </c>
      <c r="F107" s="55">
        <v>1000</v>
      </c>
      <c r="G107" s="55"/>
      <c r="H107" s="55"/>
      <c r="I107" s="55"/>
      <c r="J107" s="56">
        <f>IF(VLOOKUP($C107,REV!$C:$AA,8,0)-'TRADE IN'!$F107=0,"",(VLOOKUP($C107,REV!$C:$AA,8,0)-'TRADE IN'!$F107))</f>
        <v>7999</v>
      </c>
      <c r="K107" s="56">
        <f>IF(VLOOKUP($C107,REV!$C:$AA,9,0)-'TRADE IN'!$F107=0,"",(VLOOKUP($C107,REV!$C:$AA,9,0)-'TRADE IN'!$F107))</f>
        <v>7999</v>
      </c>
      <c r="L107" s="56">
        <f>IF(VLOOKUP($C107,REV!$C:$AA,10,0)-'TRADE IN'!$F107=0,"",(VLOOKUP($C107,REV!$C:$AA,10,0)-'TRADE IN'!$F107))</f>
        <v>7999</v>
      </c>
      <c r="M107" s="56">
        <f>IF(VLOOKUP($C107,REV!$C:$AA,11,0)-'TRADE IN'!$F107=0,"",(VLOOKUP($C107,REV!$C:$AA,11,0)-'TRADE IN'!$F107))</f>
        <v>7999</v>
      </c>
      <c r="N107" s="56">
        <f>IF(VLOOKUP($C107,REV!$C:$AA,12,0)-'TRADE IN'!$F107=0,"",(VLOOKUP($C107,REV!$C:$AA,12,0)-'TRADE IN'!$F107))</f>
        <v>7999</v>
      </c>
      <c r="O107" s="56">
        <f>IF(VLOOKUP($C107,REV!$C:$AA,13,0)-'TRADE IN'!$F107=0,"",(VLOOKUP($C107,REV!$C:$AA,13,0)-'TRADE IN'!$F107))</f>
        <v>7899</v>
      </c>
      <c r="P107" s="56">
        <f>IF(VLOOKUP($C107,REV!$C:$AA,14,0)-'TRADE IN'!$F107=0,"",(VLOOKUP($C107,REV!$C:$AA,14,0)-'TRADE IN'!$F107))</f>
        <v>7799</v>
      </c>
      <c r="Q107" s="56">
        <f>IF(VLOOKUP($C107,REV!$C:$AA,15,0)-'TRADE IN'!$F107=0,"",(VLOOKUP($C107,REV!$C:$AA,15,0)-'TRADE IN'!$F107))</f>
        <v>7499</v>
      </c>
      <c r="R107" s="56">
        <f>IF(VLOOKUP($C107,REV!$C:$AA,16,0)-'TRADE IN'!$F107=0,"",(VLOOKUP($C107,REV!$C:$AA,16,0)-'TRADE IN'!$F107))</f>
        <v>7899</v>
      </c>
      <c r="S107" s="56">
        <f>IF(VLOOKUP($C107,REV!$C:$AA,17,0)-'TRADE IN'!$F107=0,"",(VLOOKUP($C107,REV!$C:$AA,17,0)-'TRADE IN'!$F107))</f>
        <v>7799</v>
      </c>
      <c r="T107" s="56">
        <f>IF(VLOOKUP($C107,REV!$C:$AA,18,0)-'TRADE IN'!$F107=0,"",(VLOOKUP($C107,REV!$C:$AA,18,0)-'TRADE IN'!$F107))</f>
        <v>7499</v>
      </c>
      <c r="U107" s="56">
        <f>IF(VLOOKUP($C107,REV!$C:$AA,19,0)-'TRADE IN'!$F107=0,"",(VLOOKUP($C107,REV!$C:$AA,19,0)-'TRADE IN'!$F107))</f>
        <v>7499</v>
      </c>
      <c r="V107" s="56">
        <f>IF(VLOOKUP($C107,REV!$C:$AA,20,0)-'TRADE IN'!$F107=0,"",(VLOOKUP($C107,REV!$C:$AA,20,0)-'TRADE IN'!$F107))</f>
        <v>7499</v>
      </c>
      <c r="W107" s="56">
        <f>IF(VLOOKUP($C107,REV!$C:$AA,21,0)-'TRADE IN'!$F107=0,"",(VLOOKUP($C107,REV!$C:$AA,21,0)-'TRADE IN'!$F107))</f>
        <v>7499</v>
      </c>
      <c r="X107" s="56">
        <f>IF(VLOOKUP($C107,REV!$C:$AA,22,0)-'TRADE IN'!$F107=0,"",(VLOOKUP($C107,REV!$C:$AA,22,0)-'TRADE IN'!$F107))</f>
        <v>7399</v>
      </c>
      <c r="Y107" s="56">
        <f>IF(VLOOKUP($C107,REV!$C:$AA,23,0)-'TRADE IN'!$F107=0,"",(VLOOKUP($C107,REV!$C:$AA,23,0)-'TRADE IN'!$F107))</f>
        <v>6799</v>
      </c>
      <c r="Z107" s="56">
        <f>IF(VLOOKUP($C107,REV!$C:$AA,24,0)-'TRADE IN'!$F107=0,"",(VLOOKUP($C107,REV!$C:$AA,24,0)-'TRADE IN'!$F107))</f>
        <v>6799</v>
      </c>
      <c r="AA107" s="56">
        <f>IF(VLOOKUP($C107,REV!$C:$AA,25,0)-'TRADE IN'!$F107=0,"",(VLOOKUP($C107,REV!$C:$AA,25,0)-'TRADE IN'!$F107))</f>
        <v>5799</v>
      </c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7"/>
      <c r="AW107" s="58" t="str">
        <f>REV!AW107</f>
        <v>03.11.2026</v>
      </c>
      <c r="AX107" s="147" t="str">
        <f>VLOOKUP(C107,REV!C:AX,48,0)</f>
        <v>5G</v>
      </c>
    </row>
    <row r="108" spans="1:50" ht="22.5" customHeight="1">
      <c r="A108" s="51" t="s">
        <v>63</v>
      </c>
      <c r="B108" s="52" t="s">
        <v>64</v>
      </c>
      <c r="C108" s="53">
        <v>4017487</v>
      </c>
      <c r="D108" s="54" t="s">
        <v>191</v>
      </c>
      <c r="E108" s="54" t="s">
        <v>192</v>
      </c>
      <c r="F108" s="55"/>
      <c r="G108" s="55"/>
      <c r="H108" s="55"/>
      <c r="I108" s="55"/>
      <c r="J108" s="56">
        <f>IF(VLOOKUP($C108,REV!$C:$AA,8,0)-'TRADE IN'!$F108=0,"",(VLOOKUP($C108,REV!$C:$AA,8,0)-'TRADE IN'!$F108))</f>
        <v>10799</v>
      </c>
      <c r="K108" s="56">
        <f>IF(VLOOKUP($C108,REV!$C:$AA,9,0)-'TRADE IN'!$F108=0,"",(VLOOKUP($C108,REV!$C:$AA,9,0)-'TRADE IN'!$F108))</f>
        <v>10799</v>
      </c>
      <c r="L108" s="56">
        <f>IF(VLOOKUP($C108,REV!$C:$AA,10,0)-'TRADE IN'!$F108=0,"",(VLOOKUP($C108,REV!$C:$AA,10,0)-'TRADE IN'!$F108))</f>
        <v>10799</v>
      </c>
      <c r="M108" s="56">
        <f>IF(VLOOKUP($C108,REV!$C:$AA,11,0)-'TRADE IN'!$F108=0,"",(VLOOKUP($C108,REV!$C:$AA,11,0)-'TRADE IN'!$F108))</f>
        <v>10799</v>
      </c>
      <c r="N108" s="56">
        <f>IF(VLOOKUP($C108,REV!$C:$AA,12,0)-'TRADE IN'!$F108=0,"",(VLOOKUP($C108,REV!$C:$AA,12,0)-'TRADE IN'!$F108))</f>
        <v>10799</v>
      </c>
      <c r="O108" s="56">
        <f>IF(VLOOKUP($C108,REV!$C:$AA,13,0)-'TRADE IN'!$F108=0,"",(VLOOKUP($C108,REV!$C:$AA,13,0)-'TRADE IN'!$F108))</f>
        <v>10699</v>
      </c>
      <c r="P108" s="56">
        <f>IF(VLOOKUP($C108,REV!$C:$AA,14,0)-'TRADE IN'!$F108=0,"",(VLOOKUP($C108,REV!$C:$AA,14,0)-'TRADE IN'!$F108))</f>
        <v>10599</v>
      </c>
      <c r="Q108" s="56">
        <f>IF(VLOOKUP($C108,REV!$C:$AA,15,0)-'TRADE IN'!$F108=0,"",(VLOOKUP($C108,REV!$C:$AA,15,0)-'TRADE IN'!$F108))</f>
        <v>9799</v>
      </c>
      <c r="R108" s="56">
        <f>IF(VLOOKUP($C108,REV!$C:$AA,16,0)-'TRADE IN'!$F108=0,"",(VLOOKUP($C108,REV!$C:$AA,16,0)-'TRADE IN'!$F108))</f>
        <v>10699</v>
      </c>
      <c r="S108" s="56">
        <f>IF(VLOOKUP($C108,REV!$C:$AA,17,0)-'TRADE IN'!$F108=0,"",(VLOOKUP($C108,REV!$C:$AA,17,0)-'TRADE IN'!$F108))</f>
        <v>10599</v>
      </c>
      <c r="T108" s="56">
        <f>IF(VLOOKUP($C108,REV!$C:$AA,18,0)-'TRADE IN'!$F108=0,"",(VLOOKUP($C108,REV!$C:$AA,18,0)-'TRADE IN'!$F108))</f>
        <v>9799</v>
      </c>
      <c r="U108" s="56">
        <f>IF(VLOOKUP($C108,REV!$C:$AA,19,0)-'TRADE IN'!$F108=0,"",(VLOOKUP($C108,REV!$C:$AA,19,0)-'TRADE IN'!$F108))</f>
        <v>9799</v>
      </c>
      <c r="V108" s="56">
        <f>IF(VLOOKUP($C108,REV!$C:$AA,20,0)-'TRADE IN'!$F108=0,"",(VLOOKUP($C108,REV!$C:$AA,20,0)-'TRADE IN'!$F108))</f>
        <v>9799</v>
      </c>
      <c r="W108" s="56">
        <f>IF(VLOOKUP($C108,REV!$C:$AA,21,0)-'TRADE IN'!$F108=0,"",(VLOOKUP($C108,REV!$C:$AA,21,0)-'TRADE IN'!$F108))</f>
        <v>9699</v>
      </c>
      <c r="X108" s="56">
        <f>IF(VLOOKUP($C108,REV!$C:$AA,22,0)-'TRADE IN'!$F108=0,"",(VLOOKUP($C108,REV!$C:$AA,22,0)-'TRADE IN'!$F108))</f>
        <v>9699</v>
      </c>
      <c r="Y108" s="56">
        <f>IF(VLOOKUP($C108,REV!$C:$AA,23,0)-'TRADE IN'!$F108=0,"",(VLOOKUP($C108,REV!$C:$AA,23,0)-'TRADE IN'!$F108))</f>
        <v>8799</v>
      </c>
      <c r="Z108" s="56">
        <f>IF(VLOOKUP($C108,REV!$C:$AA,24,0)-'TRADE IN'!$F108=0,"",(VLOOKUP($C108,REV!$C:$AA,24,0)-'TRADE IN'!$F108))</f>
        <v>8799</v>
      </c>
      <c r="AA108" s="56">
        <f>IF(VLOOKUP($C108,REV!$C:$AA,25,0)-'TRADE IN'!$F108=0,"",(VLOOKUP($C108,REV!$C:$AA,25,0)-'TRADE IN'!$F108))</f>
        <v>8799</v>
      </c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7"/>
      <c r="AW108" s="58" t="str">
        <f>REV!AW108</f>
        <v>03.11.2026</v>
      </c>
      <c r="AX108" s="147" t="str">
        <f>VLOOKUP(C108,REV!C:AX,48,0)</f>
        <v>5G</v>
      </c>
    </row>
    <row r="109" spans="1:50" ht="22.5" customHeight="1">
      <c r="A109" s="51" t="s">
        <v>63</v>
      </c>
      <c r="B109" s="52" t="s">
        <v>64</v>
      </c>
      <c r="C109" s="53">
        <v>4017510</v>
      </c>
      <c r="D109" s="54" t="s">
        <v>191</v>
      </c>
      <c r="E109" s="54" t="s">
        <v>193</v>
      </c>
      <c r="F109" s="55"/>
      <c r="G109" s="55"/>
      <c r="H109" s="55"/>
      <c r="I109" s="55"/>
      <c r="J109" s="56">
        <f>IF(VLOOKUP($C109,REV!$C:$AA,8,0)-'TRADE IN'!$F109=0,"",(VLOOKUP($C109,REV!$C:$AA,8,0)-'TRADE IN'!$F109))</f>
        <v>10799</v>
      </c>
      <c r="K109" s="56">
        <f>IF(VLOOKUP($C109,REV!$C:$AA,9,0)-'TRADE IN'!$F109=0,"",(VLOOKUP($C109,REV!$C:$AA,9,0)-'TRADE IN'!$F109))</f>
        <v>10799</v>
      </c>
      <c r="L109" s="56">
        <f>IF(VLOOKUP($C109,REV!$C:$AA,10,0)-'TRADE IN'!$F109=0,"",(VLOOKUP($C109,REV!$C:$AA,10,0)-'TRADE IN'!$F109))</f>
        <v>10799</v>
      </c>
      <c r="M109" s="56">
        <f>IF(VLOOKUP($C109,REV!$C:$AA,11,0)-'TRADE IN'!$F109=0,"",(VLOOKUP($C109,REV!$C:$AA,11,0)-'TRADE IN'!$F109))</f>
        <v>10799</v>
      </c>
      <c r="N109" s="56">
        <f>IF(VLOOKUP($C109,REV!$C:$AA,12,0)-'TRADE IN'!$F109=0,"",(VLOOKUP($C109,REV!$C:$AA,12,0)-'TRADE IN'!$F109))</f>
        <v>10799</v>
      </c>
      <c r="O109" s="56">
        <f>IF(VLOOKUP($C109,REV!$C:$AA,13,0)-'TRADE IN'!$F109=0,"",(VLOOKUP($C109,REV!$C:$AA,13,0)-'TRADE IN'!$F109))</f>
        <v>10699</v>
      </c>
      <c r="P109" s="56">
        <f>IF(VLOOKUP($C109,REV!$C:$AA,14,0)-'TRADE IN'!$F109=0,"",(VLOOKUP($C109,REV!$C:$AA,14,0)-'TRADE IN'!$F109))</f>
        <v>10599</v>
      </c>
      <c r="Q109" s="56">
        <f>IF(VLOOKUP($C109,REV!$C:$AA,15,0)-'TRADE IN'!$F109=0,"",(VLOOKUP($C109,REV!$C:$AA,15,0)-'TRADE IN'!$F109))</f>
        <v>9799</v>
      </c>
      <c r="R109" s="56">
        <f>IF(VLOOKUP($C109,REV!$C:$AA,16,0)-'TRADE IN'!$F109=0,"",(VLOOKUP($C109,REV!$C:$AA,16,0)-'TRADE IN'!$F109))</f>
        <v>10699</v>
      </c>
      <c r="S109" s="56">
        <f>IF(VLOOKUP($C109,REV!$C:$AA,17,0)-'TRADE IN'!$F109=0,"",(VLOOKUP($C109,REV!$C:$AA,17,0)-'TRADE IN'!$F109))</f>
        <v>10599</v>
      </c>
      <c r="T109" s="56">
        <f>IF(VLOOKUP($C109,REV!$C:$AA,18,0)-'TRADE IN'!$F109=0,"",(VLOOKUP($C109,REV!$C:$AA,18,0)-'TRADE IN'!$F109))</f>
        <v>9799</v>
      </c>
      <c r="U109" s="56">
        <f>IF(VLOOKUP($C109,REV!$C:$AA,19,0)-'TRADE IN'!$F109=0,"",(VLOOKUP($C109,REV!$C:$AA,19,0)-'TRADE IN'!$F109))</f>
        <v>9799</v>
      </c>
      <c r="V109" s="56">
        <f>IF(VLOOKUP($C109,REV!$C:$AA,20,0)-'TRADE IN'!$F109=0,"",(VLOOKUP($C109,REV!$C:$AA,20,0)-'TRADE IN'!$F109))</f>
        <v>9799</v>
      </c>
      <c r="W109" s="56">
        <f>IF(VLOOKUP($C109,REV!$C:$AA,21,0)-'TRADE IN'!$F109=0,"",(VLOOKUP($C109,REV!$C:$AA,21,0)-'TRADE IN'!$F109))</f>
        <v>9699</v>
      </c>
      <c r="X109" s="56">
        <f>IF(VLOOKUP($C109,REV!$C:$AA,22,0)-'TRADE IN'!$F109=0,"",(VLOOKUP($C109,REV!$C:$AA,22,0)-'TRADE IN'!$F109))</f>
        <v>9699</v>
      </c>
      <c r="Y109" s="56">
        <f>IF(VLOOKUP($C109,REV!$C:$AA,23,0)-'TRADE IN'!$F109=0,"",(VLOOKUP($C109,REV!$C:$AA,23,0)-'TRADE IN'!$F109))</f>
        <v>8799</v>
      </c>
      <c r="Z109" s="56">
        <f>IF(VLOOKUP($C109,REV!$C:$AA,24,0)-'TRADE IN'!$F109=0,"",(VLOOKUP($C109,REV!$C:$AA,24,0)-'TRADE IN'!$F109))</f>
        <v>8799</v>
      </c>
      <c r="AA109" s="56">
        <f>IF(VLOOKUP($C109,REV!$C:$AA,25,0)-'TRADE IN'!$F109=0,"",(VLOOKUP($C109,REV!$C:$AA,25,0)-'TRADE IN'!$F109))</f>
        <v>8799</v>
      </c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7"/>
      <c r="AW109" s="58" t="str">
        <f>REV!AW109</f>
        <v>03.11.2026</v>
      </c>
      <c r="AX109" s="147" t="str">
        <f>VLOOKUP(C109,REV!C:AX,48,0)</f>
        <v>5G</v>
      </c>
    </row>
    <row r="110" spans="1:50" ht="22.5" customHeight="1">
      <c r="A110" s="51" t="s">
        <v>63</v>
      </c>
      <c r="B110" s="52" t="s">
        <v>64</v>
      </c>
      <c r="C110" s="53">
        <v>4017513</v>
      </c>
      <c r="D110" s="54" t="s">
        <v>191</v>
      </c>
      <c r="E110" s="54" t="s">
        <v>194</v>
      </c>
      <c r="F110" s="55"/>
      <c r="G110" s="55"/>
      <c r="H110" s="55"/>
      <c r="I110" s="55"/>
      <c r="J110" s="56">
        <f>IF(VLOOKUP($C110,REV!$C:$AA,8,0)-'TRADE IN'!$F110=0,"",(VLOOKUP($C110,REV!$C:$AA,8,0)-'TRADE IN'!$F110))</f>
        <v>10799</v>
      </c>
      <c r="K110" s="56">
        <f>IF(VLOOKUP($C110,REV!$C:$AA,9,0)-'TRADE IN'!$F110=0,"",(VLOOKUP($C110,REV!$C:$AA,9,0)-'TRADE IN'!$F110))</f>
        <v>10799</v>
      </c>
      <c r="L110" s="56">
        <f>IF(VLOOKUP($C110,REV!$C:$AA,10,0)-'TRADE IN'!$F110=0,"",(VLOOKUP($C110,REV!$C:$AA,10,0)-'TRADE IN'!$F110))</f>
        <v>10799</v>
      </c>
      <c r="M110" s="56">
        <f>IF(VLOOKUP($C110,REV!$C:$AA,11,0)-'TRADE IN'!$F110=0,"",(VLOOKUP($C110,REV!$C:$AA,11,0)-'TRADE IN'!$F110))</f>
        <v>10799</v>
      </c>
      <c r="N110" s="56">
        <f>IF(VLOOKUP($C110,REV!$C:$AA,12,0)-'TRADE IN'!$F110=0,"",(VLOOKUP($C110,REV!$C:$AA,12,0)-'TRADE IN'!$F110))</f>
        <v>10799</v>
      </c>
      <c r="O110" s="56">
        <f>IF(VLOOKUP($C110,REV!$C:$AA,13,0)-'TRADE IN'!$F110=0,"",(VLOOKUP($C110,REV!$C:$AA,13,0)-'TRADE IN'!$F110))</f>
        <v>10699</v>
      </c>
      <c r="P110" s="56">
        <f>IF(VLOOKUP($C110,REV!$C:$AA,14,0)-'TRADE IN'!$F110=0,"",(VLOOKUP($C110,REV!$C:$AA,14,0)-'TRADE IN'!$F110))</f>
        <v>10599</v>
      </c>
      <c r="Q110" s="56">
        <f>IF(VLOOKUP($C110,REV!$C:$AA,15,0)-'TRADE IN'!$F110=0,"",(VLOOKUP($C110,REV!$C:$AA,15,0)-'TRADE IN'!$F110))</f>
        <v>9799</v>
      </c>
      <c r="R110" s="56">
        <f>IF(VLOOKUP($C110,REV!$C:$AA,16,0)-'TRADE IN'!$F110=0,"",(VLOOKUP($C110,REV!$C:$AA,16,0)-'TRADE IN'!$F110))</f>
        <v>10699</v>
      </c>
      <c r="S110" s="56">
        <f>IF(VLOOKUP($C110,REV!$C:$AA,17,0)-'TRADE IN'!$F110=0,"",(VLOOKUP($C110,REV!$C:$AA,17,0)-'TRADE IN'!$F110))</f>
        <v>10599</v>
      </c>
      <c r="T110" s="56">
        <f>IF(VLOOKUP($C110,REV!$C:$AA,18,0)-'TRADE IN'!$F110=0,"",(VLOOKUP($C110,REV!$C:$AA,18,0)-'TRADE IN'!$F110))</f>
        <v>9799</v>
      </c>
      <c r="U110" s="56">
        <f>IF(VLOOKUP($C110,REV!$C:$AA,19,0)-'TRADE IN'!$F110=0,"",(VLOOKUP($C110,REV!$C:$AA,19,0)-'TRADE IN'!$F110))</f>
        <v>9799</v>
      </c>
      <c r="V110" s="56">
        <f>IF(VLOOKUP($C110,REV!$C:$AA,20,0)-'TRADE IN'!$F110=0,"",(VLOOKUP($C110,REV!$C:$AA,20,0)-'TRADE IN'!$F110))</f>
        <v>9799</v>
      </c>
      <c r="W110" s="56">
        <f>IF(VLOOKUP($C110,REV!$C:$AA,21,0)-'TRADE IN'!$F110=0,"",(VLOOKUP($C110,REV!$C:$AA,21,0)-'TRADE IN'!$F110))</f>
        <v>9699</v>
      </c>
      <c r="X110" s="56">
        <f>IF(VLOOKUP($C110,REV!$C:$AA,22,0)-'TRADE IN'!$F110=0,"",(VLOOKUP($C110,REV!$C:$AA,22,0)-'TRADE IN'!$F110))</f>
        <v>9699</v>
      </c>
      <c r="Y110" s="56">
        <f>IF(VLOOKUP($C110,REV!$C:$AA,23,0)-'TRADE IN'!$F110=0,"",(VLOOKUP($C110,REV!$C:$AA,23,0)-'TRADE IN'!$F110))</f>
        <v>8799</v>
      </c>
      <c r="Z110" s="56">
        <f>IF(VLOOKUP($C110,REV!$C:$AA,24,0)-'TRADE IN'!$F110=0,"",(VLOOKUP($C110,REV!$C:$AA,24,0)-'TRADE IN'!$F110))</f>
        <v>8799</v>
      </c>
      <c r="AA110" s="56">
        <f>IF(VLOOKUP($C110,REV!$C:$AA,25,0)-'TRADE IN'!$F110=0,"",(VLOOKUP($C110,REV!$C:$AA,25,0)-'TRADE IN'!$F110))</f>
        <v>8799</v>
      </c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7"/>
      <c r="AW110" s="58" t="str">
        <f>REV!AW110</f>
        <v>03.11.2026</v>
      </c>
      <c r="AX110" s="147" t="str">
        <f>VLOOKUP(C110,REV!C:AX,48,0)</f>
        <v>5G</v>
      </c>
    </row>
    <row r="111" spans="1:50" ht="22.5" customHeight="1">
      <c r="A111" s="51" t="s">
        <v>63</v>
      </c>
      <c r="B111" s="52" t="s">
        <v>64</v>
      </c>
      <c r="C111" s="53">
        <v>4017488</v>
      </c>
      <c r="D111" s="54" t="s">
        <v>195</v>
      </c>
      <c r="E111" s="54" t="s">
        <v>196</v>
      </c>
      <c r="F111" s="55"/>
      <c r="G111" s="55"/>
      <c r="H111" s="55"/>
      <c r="I111" s="55"/>
      <c r="J111" s="56">
        <f>IF(VLOOKUP($C111,REV!$C:$AA,8,0)-'TRADE IN'!$F111=0,"",(VLOOKUP($C111,REV!$C:$AA,8,0)-'TRADE IN'!$F111))</f>
        <v>12199</v>
      </c>
      <c r="K111" s="56">
        <f>IF(VLOOKUP($C111,REV!$C:$AA,9,0)-'TRADE IN'!$F111=0,"",(VLOOKUP($C111,REV!$C:$AA,9,0)-'TRADE IN'!$F111))</f>
        <v>12199</v>
      </c>
      <c r="L111" s="56">
        <f>IF(VLOOKUP($C111,REV!$C:$AA,10,0)-'TRADE IN'!$F111=0,"",(VLOOKUP($C111,REV!$C:$AA,10,0)-'TRADE IN'!$F111))</f>
        <v>12199</v>
      </c>
      <c r="M111" s="56">
        <f>IF(VLOOKUP($C111,REV!$C:$AA,11,0)-'TRADE IN'!$F111=0,"",(VLOOKUP($C111,REV!$C:$AA,11,0)-'TRADE IN'!$F111))</f>
        <v>12199</v>
      </c>
      <c r="N111" s="56">
        <f>IF(VLOOKUP($C111,REV!$C:$AA,12,0)-'TRADE IN'!$F111=0,"",(VLOOKUP($C111,REV!$C:$AA,12,0)-'TRADE IN'!$F111))</f>
        <v>12199</v>
      </c>
      <c r="O111" s="56">
        <f>IF(VLOOKUP($C111,REV!$C:$AA,13,0)-'TRADE IN'!$F111=0,"",(VLOOKUP($C111,REV!$C:$AA,13,0)-'TRADE IN'!$F111))</f>
        <v>12099</v>
      </c>
      <c r="P111" s="56">
        <f>IF(VLOOKUP($C111,REV!$C:$AA,14,0)-'TRADE IN'!$F111=0,"",(VLOOKUP($C111,REV!$C:$AA,14,0)-'TRADE IN'!$F111))</f>
        <v>11999</v>
      </c>
      <c r="Q111" s="56">
        <f>IF(VLOOKUP($C111,REV!$C:$AA,15,0)-'TRADE IN'!$F111=0,"",(VLOOKUP($C111,REV!$C:$AA,15,0)-'TRADE IN'!$F111))</f>
        <v>11199</v>
      </c>
      <c r="R111" s="56">
        <f>IF(VLOOKUP($C111,REV!$C:$AA,16,0)-'TRADE IN'!$F111=0,"",(VLOOKUP($C111,REV!$C:$AA,16,0)-'TRADE IN'!$F111))</f>
        <v>12099</v>
      </c>
      <c r="S111" s="56">
        <f>IF(VLOOKUP($C111,REV!$C:$AA,17,0)-'TRADE IN'!$F111=0,"",(VLOOKUP($C111,REV!$C:$AA,17,0)-'TRADE IN'!$F111))</f>
        <v>11999</v>
      </c>
      <c r="T111" s="56">
        <f>IF(VLOOKUP($C111,REV!$C:$AA,18,0)-'TRADE IN'!$F111=0,"",(VLOOKUP($C111,REV!$C:$AA,18,0)-'TRADE IN'!$F111))</f>
        <v>11199</v>
      </c>
      <c r="U111" s="56">
        <f>IF(VLOOKUP($C111,REV!$C:$AA,19,0)-'TRADE IN'!$F111=0,"",(VLOOKUP($C111,REV!$C:$AA,19,0)-'TRADE IN'!$F111))</f>
        <v>11199</v>
      </c>
      <c r="V111" s="56">
        <f>IF(VLOOKUP($C111,REV!$C:$AA,20,0)-'TRADE IN'!$F111=0,"",(VLOOKUP($C111,REV!$C:$AA,20,0)-'TRADE IN'!$F111))</f>
        <v>11199</v>
      </c>
      <c r="W111" s="56">
        <f>IF(VLOOKUP($C111,REV!$C:$AA,21,0)-'TRADE IN'!$F111=0,"",(VLOOKUP($C111,REV!$C:$AA,21,0)-'TRADE IN'!$F111))</f>
        <v>11099</v>
      </c>
      <c r="X111" s="56">
        <f>IF(VLOOKUP($C111,REV!$C:$AA,22,0)-'TRADE IN'!$F111=0,"",(VLOOKUP($C111,REV!$C:$AA,22,0)-'TRADE IN'!$F111))</f>
        <v>11099</v>
      </c>
      <c r="Y111" s="56">
        <f>IF(VLOOKUP($C111,REV!$C:$AA,23,0)-'TRADE IN'!$F111=0,"",(VLOOKUP($C111,REV!$C:$AA,23,0)-'TRADE IN'!$F111))</f>
        <v>9999</v>
      </c>
      <c r="Z111" s="56">
        <f>IF(VLOOKUP($C111,REV!$C:$AA,24,0)-'TRADE IN'!$F111=0,"",(VLOOKUP($C111,REV!$C:$AA,24,0)-'TRADE IN'!$F111))</f>
        <v>9999</v>
      </c>
      <c r="AA111" s="56">
        <f>IF(VLOOKUP($C111,REV!$C:$AA,25,0)-'TRADE IN'!$F111=0,"",(VLOOKUP($C111,REV!$C:$AA,25,0)-'TRADE IN'!$F111))</f>
        <v>9899</v>
      </c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7"/>
      <c r="AW111" s="58" t="str">
        <f>REV!AW111</f>
        <v>03.11.2026</v>
      </c>
      <c r="AX111" s="147" t="str">
        <f>VLOOKUP(C111,REV!C:AX,48,0)</f>
        <v>5G</v>
      </c>
    </row>
    <row r="112" spans="1:50" ht="22.5" customHeight="1">
      <c r="A112" s="51" t="s">
        <v>63</v>
      </c>
      <c r="B112" s="52" t="s">
        <v>64</v>
      </c>
      <c r="C112" s="53">
        <v>4017508</v>
      </c>
      <c r="D112" s="54" t="s">
        <v>195</v>
      </c>
      <c r="E112" s="54" t="s">
        <v>197</v>
      </c>
      <c r="F112" s="55"/>
      <c r="G112" s="55"/>
      <c r="H112" s="55"/>
      <c r="I112" s="55"/>
      <c r="J112" s="56">
        <f>IF(VLOOKUP($C112,REV!$C:$AA,8,0)-'TRADE IN'!$F112=0,"",(VLOOKUP($C112,REV!$C:$AA,8,0)-'TRADE IN'!$F112))</f>
        <v>12199</v>
      </c>
      <c r="K112" s="56">
        <f>IF(VLOOKUP($C112,REV!$C:$AA,9,0)-'TRADE IN'!$F112=0,"",(VLOOKUP($C112,REV!$C:$AA,9,0)-'TRADE IN'!$F112))</f>
        <v>12199</v>
      </c>
      <c r="L112" s="56">
        <f>IF(VLOOKUP($C112,REV!$C:$AA,10,0)-'TRADE IN'!$F112=0,"",(VLOOKUP($C112,REV!$C:$AA,10,0)-'TRADE IN'!$F112))</f>
        <v>12199</v>
      </c>
      <c r="M112" s="56">
        <f>IF(VLOOKUP($C112,REV!$C:$AA,11,0)-'TRADE IN'!$F112=0,"",(VLOOKUP($C112,REV!$C:$AA,11,0)-'TRADE IN'!$F112))</f>
        <v>12199</v>
      </c>
      <c r="N112" s="56">
        <f>IF(VLOOKUP($C112,REV!$C:$AA,12,0)-'TRADE IN'!$F112=0,"",(VLOOKUP($C112,REV!$C:$AA,12,0)-'TRADE IN'!$F112))</f>
        <v>12199</v>
      </c>
      <c r="O112" s="56">
        <f>IF(VLOOKUP($C112,REV!$C:$AA,13,0)-'TRADE IN'!$F112=0,"",(VLOOKUP($C112,REV!$C:$AA,13,0)-'TRADE IN'!$F112))</f>
        <v>12099</v>
      </c>
      <c r="P112" s="56">
        <f>IF(VLOOKUP($C112,REV!$C:$AA,14,0)-'TRADE IN'!$F112=0,"",(VLOOKUP($C112,REV!$C:$AA,14,0)-'TRADE IN'!$F112))</f>
        <v>11999</v>
      </c>
      <c r="Q112" s="56">
        <f>IF(VLOOKUP($C112,REV!$C:$AA,15,0)-'TRADE IN'!$F112=0,"",(VLOOKUP($C112,REV!$C:$AA,15,0)-'TRADE IN'!$F112))</f>
        <v>11199</v>
      </c>
      <c r="R112" s="56">
        <f>IF(VLOOKUP($C112,REV!$C:$AA,16,0)-'TRADE IN'!$F112=0,"",(VLOOKUP($C112,REV!$C:$AA,16,0)-'TRADE IN'!$F112))</f>
        <v>12099</v>
      </c>
      <c r="S112" s="56">
        <f>IF(VLOOKUP($C112,REV!$C:$AA,17,0)-'TRADE IN'!$F112=0,"",(VLOOKUP($C112,REV!$C:$AA,17,0)-'TRADE IN'!$F112))</f>
        <v>11999</v>
      </c>
      <c r="T112" s="56">
        <f>IF(VLOOKUP($C112,REV!$C:$AA,18,0)-'TRADE IN'!$F112=0,"",(VLOOKUP($C112,REV!$C:$AA,18,0)-'TRADE IN'!$F112))</f>
        <v>11199</v>
      </c>
      <c r="U112" s="56">
        <f>IF(VLOOKUP($C112,REV!$C:$AA,19,0)-'TRADE IN'!$F112=0,"",(VLOOKUP($C112,REV!$C:$AA,19,0)-'TRADE IN'!$F112))</f>
        <v>11199</v>
      </c>
      <c r="V112" s="56">
        <f>IF(VLOOKUP($C112,REV!$C:$AA,20,0)-'TRADE IN'!$F112=0,"",(VLOOKUP($C112,REV!$C:$AA,20,0)-'TRADE IN'!$F112))</f>
        <v>11199</v>
      </c>
      <c r="W112" s="56">
        <f>IF(VLOOKUP($C112,REV!$C:$AA,21,0)-'TRADE IN'!$F112=0,"",(VLOOKUP($C112,REV!$C:$AA,21,0)-'TRADE IN'!$F112))</f>
        <v>11099</v>
      </c>
      <c r="X112" s="56">
        <f>IF(VLOOKUP($C112,REV!$C:$AA,22,0)-'TRADE IN'!$F112=0,"",(VLOOKUP($C112,REV!$C:$AA,22,0)-'TRADE IN'!$F112))</f>
        <v>11099</v>
      </c>
      <c r="Y112" s="56">
        <f>IF(VLOOKUP($C112,REV!$C:$AA,23,0)-'TRADE IN'!$F112=0,"",(VLOOKUP($C112,REV!$C:$AA,23,0)-'TRADE IN'!$F112))</f>
        <v>9999</v>
      </c>
      <c r="Z112" s="56">
        <f>IF(VLOOKUP($C112,REV!$C:$AA,24,0)-'TRADE IN'!$F112=0,"",(VLOOKUP($C112,REV!$C:$AA,24,0)-'TRADE IN'!$F112))</f>
        <v>9999</v>
      </c>
      <c r="AA112" s="56">
        <f>IF(VLOOKUP($C112,REV!$C:$AA,25,0)-'TRADE IN'!$F112=0,"",(VLOOKUP($C112,REV!$C:$AA,25,0)-'TRADE IN'!$F112))</f>
        <v>9899</v>
      </c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7"/>
      <c r="AW112" s="58" t="str">
        <f>REV!AW112</f>
        <v>03.11.2026</v>
      </c>
      <c r="AX112" s="147" t="str">
        <f>VLOOKUP(C112,REV!C:AX,48,0)</f>
        <v>5G</v>
      </c>
    </row>
    <row r="113" spans="1:50" ht="22.5" customHeight="1">
      <c r="A113" s="51" t="s">
        <v>63</v>
      </c>
      <c r="B113" s="52" t="s">
        <v>64</v>
      </c>
      <c r="C113" s="53">
        <v>4017489</v>
      </c>
      <c r="D113" s="54" t="s">
        <v>195</v>
      </c>
      <c r="E113" s="54" t="s">
        <v>198</v>
      </c>
      <c r="F113" s="55"/>
      <c r="G113" s="55"/>
      <c r="H113" s="55"/>
      <c r="I113" s="55"/>
      <c r="J113" s="56">
        <f>IF(VLOOKUP($C113,REV!$C:$AA,8,0)-'TRADE IN'!$F113=0,"",(VLOOKUP($C113,REV!$C:$AA,8,0)-'TRADE IN'!$F113))</f>
        <v>12199</v>
      </c>
      <c r="K113" s="56">
        <f>IF(VLOOKUP($C113,REV!$C:$AA,9,0)-'TRADE IN'!$F113=0,"",(VLOOKUP($C113,REV!$C:$AA,9,0)-'TRADE IN'!$F113))</f>
        <v>12199</v>
      </c>
      <c r="L113" s="56">
        <f>IF(VLOOKUP($C113,REV!$C:$AA,10,0)-'TRADE IN'!$F113=0,"",(VLOOKUP($C113,REV!$C:$AA,10,0)-'TRADE IN'!$F113))</f>
        <v>12199</v>
      </c>
      <c r="M113" s="56">
        <f>IF(VLOOKUP($C113,REV!$C:$AA,11,0)-'TRADE IN'!$F113=0,"",(VLOOKUP($C113,REV!$C:$AA,11,0)-'TRADE IN'!$F113))</f>
        <v>12199</v>
      </c>
      <c r="N113" s="56">
        <f>IF(VLOOKUP($C113,REV!$C:$AA,12,0)-'TRADE IN'!$F113=0,"",(VLOOKUP($C113,REV!$C:$AA,12,0)-'TRADE IN'!$F113))</f>
        <v>12199</v>
      </c>
      <c r="O113" s="56">
        <f>IF(VLOOKUP($C113,REV!$C:$AA,13,0)-'TRADE IN'!$F113=0,"",(VLOOKUP($C113,REV!$C:$AA,13,0)-'TRADE IN'!$F113))</f>
        <v>12099</v>
      </c>
      <c r="P113" s="56">
        <f>IF(VLOOKUP($C113,REV!$C:$AA,14,0)-'TRADE IN'!$F113=0,"",(VLOOKUP($C113,REV!$C:$AA,14,0)-'TRADE IN'!$F113))</f>
        <v>11999</v>
      </c>
      <c r="Q113" s="56">
        <f>IF(VLOOKUP($C113,REV!$C:$AA,15,0)-'TRADE IN'!$F113=0,"",(VLOOKUP($C113,REV!$C:$AA,15,0)-'TRADE IN'!$F113))</f>
        <v>11199</v>
      </c>
      <c r="R113" s="56">
        <f>IF(VLOOKUP($C113,REV!$C:$AA,16,0)-'TRADE IN'!$F113=0,"",(VLOOKUP($C113,REV!$C:$AA,16,0)-'TRADE IN'!$F113))</f>
        <v>12099</v>
      </c>
      <c r="S113" s="56">
        <f>IF(VLOOKUP($C113,REV!$C:$AA,17,0)-'TRADE IN'!$F113=0,"",(VLOOKUP($C113,REV!$C:$AA,17,0)-'TRADE IN'!$F113))</f>
        <v>11999</v>
      </c>
      <c r="T113" s="56">
        <f>IF(VLOOKUP($C113,REV!$C:$AA,18,0)-'TRADE IN'!$F113=0,"",(VLOOKUP($C113,REV!$C:$AA,18,0)-'TRADE IN'!$F113))</f>
        <v>11199</v>
      </c>
      <c r="U113" s="56">
        <f>IF(VLOOKUP($C113,REV!$C:$AA,19,0)-'TRADE IN'!$F113=0,"",(VLOOKUP($C113,REV!$C:$AA,19,0)-'TRADE IN'!$F113))</f>
        <v>11199</v>
      </c>
      <c r="V113" s="56">
        <f>IF(VLOOKUP($C113,REV!$C:$AA,20,0)-'TRADE IN'!$F113=0,"",(VLOOKUP($C113,REV!$C:$AA,20,0)-'TRADE IN'!$F113))</f>
        <v>11199</v>
      </c>
      <c r="W113" s="56">
        <f>IF(VLOOKUP($C113,REV!$C:$AA,21,0)-'TRADE IN'!$F113=0,"",(VLOOKUP($C113,REV!$C:$AA,21,0)-'TRADE IN'!$F113))</f>
        <v>11099</v>
      </c>
      <c r="X113" s="56">
        <f>IF(VLOOKUP($C113,REV!$C:$AA,22,0)-'TRADE IN'!$F113=0,"",(VLOOKUP($C113,REV!$C:$AA,22,0)-'TRADE IN'!$F113))</f>
        <v>11099</v>
      </c>
      <c r="Y113" s="56">
        <f>IF(VLOOKUP($C113,REV!$C:$AA,23,0)-'TRADE IN'!$F113=0,"",(VLOOKUP($C113,REV!$C:$AA,23,0)-'TRADE IN'!$F113))</f>
        <v>9999</v>
      </c>
      <c r="Z113" s="56">
        <f>IF(VLOOKUP($C113,REV!$C:$AA,24,0)-'TRADE IN'!$F113=0,"",(VLOOKUP($C113,REV!$C:$AA,24,0)-'TRADE IN'!$F113))</f>
        <v>9999</v>
      </c>
      <c r="AA113" s="56">
        <f>IF(VLOOKUP($C113,REV!$C:$AA,25,0)-'TRADE IN'!$F113=0,"",(VLOOKUP($C113,REV!$C:$AA,25,0)-'TRADE IN'!$F113))</f>
        <v>9899</v>
      </c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7"/>
      <c r="AW113" s="58" t="str">
        <f>REV!AW113</f>
        <v>03.11.2026</v>
      </c>
      <c r="AX113" s="147" t="str">
        <f>VLOOKUP(C113,REV!C:AX,48,0)</f>
        <v>5G</v>
      </c>
    </row>
    <row r="114" spans="1:50" ht="22.5" customHeight="1">
      <c r="A114" s="51" t="s">
        <v>63</v>
      </c>
      <c r="B114" s="52" t="s">
        <v>64</v>
      </c>
      <c r="C114" s="53">
        <v>4017493</v>
      </c>
      <c r="D114" s="54" t="s">
        <v>199</v>
      </c>
      <c r="E114" s="54" t="s">
        <v>200</v>
      </c>
      <c r="F114" s="55"/>
      <c r="G114" s="55"/>
      <c r="H114" s="55"/>
      <c r="I114" s="55"/>
      <c r="J114" s="56">
        <f>IF(VLOOKUP($C114,REV!$C:$AA,8,0)-'TRADE IN'!$F114=0,"",(VLOOKUP($C114,REV!$C:$AA,8,0)-'TRADE IN'!$F114))</f>
        <v>11699</v>
      </c>
      <c r="K114" s="56">
        <f>IF(VLOOKUP($C114,REV!$C:$AA,9,0)-'TRADE IN'!$F114=0,"",(VLOOKUP($C114,REV!$C:$AA,9,0)-'TRADE IN'!$F114))</f>
        <v>11699</v>
      </c>
      <c r="L114" s="56">
        <f>IF(VLOOKUP($C114,REV!$C:$AA,10,0)-'TRADE IN'!$F114=0,"",(VLOOKUP($C114,REV!$C:$AA,10,0)-'TRADE IN'!$F114))</f>
        <v>11699</v>
      </c>
      <c r="M114" s="56">
        <f>IF(VLOOKUP($C114,REV!$C:$AA,11,0)-'TRADE IN'!$F114=0,"",(VLOOKUP($C114,REV!$C:$AA,11,0)-'TRADE IN'!$F114))</f>
        <v>11699</v>
      </c>
      <c r="N114" s="56">
        <f>IF(VLOOKUP($C114,REV!$C:$AA,12,0)-'TRADE IN'!$F114=0,"",(VLOOKUP($C114,REV!$C:$AA,12,0)-'TRADE IN'!$F114))</f>
        <v>11699</v>
      </c>
      <c r="O114" s="56">
        <f>IF(VLOOKUP($C114,REV!$C:$AA,13,0)-'TRADE IN'!$F114=0,"",(VLOOKUP($C114,REV!$C:$AA,13,0)-'TRADE IN'!$F114))</f>
        <v>11599</v>
      </c>
      <c r="P114" s="56">
        <f>IF(VLOOKUP($C114,REV!$C:$AA,14,0)-'TRADE IN'!$F114=0,"",(VLOOKUP($C114,REV!$C:$AA,14,0)-'TRADE IN'!$F114))</f>
        <v>11499</v>
      </c>
      <c r="Q114" s="56">
        <f>IF(VLOOKUP($C114,REV!$C:$AA,15,0)-'TRADE IN'!$F114=0,"",(VLOOKUP($C114,REV!$C:$AA,15,0)-'TRADE IN'!$F114))</f>
        <v>10699</v>
      </c>
      <c r="R114" s="56">
        <f>IF(VLOOKUP($C114,REV!$C:$AA,16,0)-'TRADE IN'!$F114=0,"",(VLOOKUP($C114,REV!$C:$AA,16,0)-'TRADE IN'!$F114))</f>
        <v>11599</v>
      </c>
      <c r="S114" s="56">
        <f>IF(VLOOKUP($C114,REV!$C:$AA,17,0)-'TRADE IN'!$F114=0,"",(VLOOKUP($C114,REV!$C:$AA,17,0)-'TRADE IN'!$F114))</f>
        <v>11499</v>
      </c>
      <c r="T114" s="56">
        <f>IF(VLOOKUP($C114,REV!$C:$AA,18,0)-'TRADE IN'!$F114=0,"",(VLOOKUP($C114,REV!$C:$AA,18,0)-'TRADE IN'!$F114))</f>
        <v>10699</v>
      </c>
      <c r="U114" s="56">
        <f>IF(VLOOKUP($C114,REV!$C:$AA,19,0)-'TRADE IN'!$F114=0,"",(VLOOKUP($C114,REV!$C:$AA,19,0)-'TRADE IN'!$F114))</f>
        <v>10699</v>
      </c>
      <c r="V114" s="56">
        <f>IF(VLOOKUP($C114,REV!$C:$AA,20,0)-'TRADE IN'!$F114=0,"",(VLOOKUP($C114,REV!$C:$AA,20,0)-'TRADE IN'!$F114))</f>
        <v>10699</v>
      </c>
      <c r="W114" s="56">
        <f>IF(VLOOKUP($C114,REV!$C:$AA,21,0)-'TRADE IN'!$F114=0,"",(VLOOKUP($C114,REV!$C:$AA,21,0)-'TRADE IN'!$F114))</f>
        <v>10599</v>
      </c>
      <c r="X114" s="56">
        <f>IF(VLOOKUP($C114,REV!$C:$AA,22,0)-'TRADE IN'!$F114=0,"",(VLOOKUP($C114,REV!$C:$AA,22,0)-'TRADE IN'!$F114))</f>
        <v>10599</v>
      </c>
      <c r="Y114" s="56">
        <f>IF(VLOOKUP($C114,REV!$C:$AA,23,0)-'TRADE IN'!$F114=0,"",(VLOOKUP($C114,REV!$C:$AA,23,0)-'TRADE IN'!$F114))</f>
        <v>9799</v>
      </c>
      <c r="Z114" s="56">
        <f>IF(VLOOKUP($C114,REV!$C:$AA,24,0)-'TRADE IN'!$F114=0,"",(VLOOKUP($C114,REV!$C:$AA,24,0)-'TRADE IN'!$F114))</f>
        <v>9799</v>
      </c>
      <c r="AA114" s="56">
        <f>IF(VLOOKUP($C114,REV!$C:$AA,25,0)-'TRADE IN'!$F114=0,"",(VLOOKUP($C114,REV!$C:$AA,25,0)-'TRADE IN'!$F114))</f>
        <v>9799</v>
      </c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7"/>
      <c r="AW114" s="58" t="str">
        <f>REV!AW114</f>
        <v>03.11.2026</v>
      </c>
      <c r="AX114" s="147" t="str">
        <f>VLOOKUP(C114,REV!C:AX,48,0)</f>
        <v>5G</v>
      </c>
    </row>
    <row r="115" spans="1:50" ht="22.5" customHeight="1">
      <c r="A115" s="51" t="s">
        <v>63</v>
      </c>
      <c r="B115" s="52" t="s">
        <v>64</v>
      </c>
      <c r="C115" s="53">
        <v>4017494</v>
      </c>
      <c r="D115" s="54" t="s">
        <v>199</v>
      </c>
      <c r="E115" s="54" t="s">
        <v>201</v>
      </c>
      <c r="F115" s="55"/>
      <c r="G115" s="55"/>
      <c r="H115" s="55"/>
      <c r="I115" s="55"/>
      <c r="J115" s="56">
        <f>IF(VLOOKUP($C115,REV!$C:$AA,8,0)-'TRADE IN'!$F115=0,"",(VLOOKUP($C115,REV!$C:$AA,8,0)-'TRADE IN'!$F115))</f>
        <v>11699</v>
      </c>
      <c r="K115" s="56">
        <f>IF(VLOOKUP($C115,REV!$C:$AA,9,0)-'TRADE IN'!$F115=0,"",(VLOOKUP($C115,REV!$C:$AA,9,0)-'TRADE IN'!$F115))</f>
        <v>11699</v>
      </c>
      <c r="L115" s="56">
        <f>IF(VLOOKUP($C115,REV!$C:$AA,10,0)-'TRADE IN'!$F115=0,"",(VLOOKUP($C115,REV!$C:$AA,10,0)-'TRADE IN'!$F115))</f>
        <v>11699</v>
      </c>
      <c r="M115" s="56">
        <f>IF(VLOOKUP($C115,REV!$C:$AA,11,0)-'TRADE IN'!$F115=0,"",(VLOOKUP($C115,REV!$C:$AA,11,0)-'TRADE IN'!$F115))</f>
        <v>11699</v>
      </c>
      <c r="N115" s="56">
        <f>IF(VLOOKUP($C115,REV!$C:$AA,12,0)-'TRADE IN'!$F115=0,"",(VLOOKUP($C115,REV!$C:$AA,12,0)-'TRADE IN'!$F115))</f>
        <v>11699</v>
      </c>
      <c r="O115" s="56">
        <f>IF(VLOOKUP($C115,REV!$C:$AA,13,0)-'TRADE IN'!$F115=0,"",(VLOOKUP($C115,REV!$C:$AA,13,0)-'TRADE IN'!$F115))</f>
        <v>11599</v>
      </c>
      <c r="P115" s="56">
        <f>IF(VLOOKUP($C115,REV!$C:$AA,14,0)-'TRADE IN'!$F115=0,"",(VLOOKUP($C115,REV!$C:$AA,14,0)-'TRADE IN'!$F115))</f>
        <v>11499</v>
      </c>
      <c r="Q115" s="56">
        <f>IF(VLOOKUP($C115,REV!$C:$AA,15,0)-'TRADE IN'!$F115=0,"",(VLOOKUP($C115,REV!$C:$AA,15,0)-'TRADE IN'!$F115))</f>
        <v>10699</v>
      </c>
      <c r="R115" s="56">
        <f>IF(VLOOKUP($C115,REV!$C:$AA,16,0)-'TRADE IN'!$F115=0,"",(VLOOKUP($C115,REV!$C:$AA,16,0)-'TRADE IN'!$F115))</f>
        <v>11599</v>
      </c>
      <c r="S115" s="56">
        <f>IF(VLOOKUP($C115,REV!$C:$AA,17,0)-'TRADE IN'!$F115=0,"",(VLOOKUP($C115,REV!$C:$AA,17,0)-'TRADE IN'!$F115))</f>
        <v>11499</v>
      </c>
      <c r="T115" s="56">
        <f>IF(VLOOKUP($C115,REV!$C:$AA,18,0)-'TRADE IN'!$F115=0,"",(VLOOKUP($C115,REV!$C:$AA,18,0)-'TRADE IN'!$F115))</f>
        <v>10699</v>
      </c>
      <c r="U115" s="56">
        <f>IF(VLOOKUP($C115,REV!$C:$AA,19,0)-'TRADE IN'!$F115=0,"",(VLOOKUP($C115,REV!$C:$AA,19,0)-'TRADE IN'!$F115))</f>
        <v>10699</v>
      </c>
      <c r="V115" s="56">
        <f>IF(VLOOKUP($C115,REV!$C:$AA,20,0)-'TRADE IN'!$F115=0,"",(VLOOKUP($C115,REV!$C:$AA,20,0)-'TRADE IN'!$F115))</f>
        <v>10699</v>
      </c>
      <c r="W115" s="56">
        <f>IF(VLOOKUP($C115,REV!$C:$AA,21,0)-'TRADE IN'!$F115=0,"",(VLOOKUP($C115,REV!$C:$AA,21,0)-'TRADE IN'!$F115))</f>
        <v>10599</v>
      </c>
      <c r="X115" s="56">
        <f>IF(VLOOKUP($C115,REV!$C:$AA,22,0)-'TRADE IN'!$F115=0,"",(VLOOKUP($C115,REV!$C:$AA,22,0)-'TRADE IN'!$F115))</f>
        <v>10599</v>
      </c>
      <c r="Y115" s="56">
        <f>IF(VLOOKUP($C115,REV!$C:$AA,23,0)-'TRADE IN'!$F115=0,"",(VLOOKUP($C115,REV!$C:$AA,23,0)-'TRADE IN'!$F115))</f>
        <v>9799</v>
      </c>
      <c r="Z115" s="56">
        <f>IF(VLOOKUP($C115,REV!$C:$AA,24,0)-'TRADE IN'!$F115=0,"",(VLOOKUP($C115,REV!$C:$AA,24,0)-'TRADE IN'!$F115))</f>
        <v>9799</v>
      </c>
      <c r="AA115" s="56">
        <f>IF(VLOOKUP($C115,REV!$C:$AA,25,0)-'TRADE IN'!$F115=0,"",(VLOOKUP($C115,REV!$C:$AA,25,0)-'TRADE IN'!$F115))</f>
        <v>9799</v>
      </c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7"/>
      <c r="AW115" s="58" t="str">
        <f>REV!AW115</f>
        <v>03.11.2026</v>
      </c>
      <c r="AX115" s="147" t="str">
        <f>VLOOKUP(C115,REV!C:AX,48,0)</f>
        <v>5G</v>
      </c>
    </row>
    <row r="116" spans="1:50" ht="22.5" customHeight="1">
      <c r="A116" s="51" t="s">
        <v>63</v>
      </c>
      <c r="B116" s="52" t="s">
        <v>64</v>
      </c>
      <c r="C116" s="53">
        <v>4017514</v>
      </c>
      <c r="D116" s="54" t="s">
        <v>199</v>
      </c>
      <c r="E116" s="54" t="s">
        <v>202</v>
      </c>
      <c r="F116" s="55"/>
      <c r="G116" s="55"/>
      <c r="H116" s="55"/>
      <c r="I116" s="55"/>
      <c r="J116" s="56">
        <f>IF(VLOOKUP($C116,REV!$C:$AA,8,0)-'TRADE IN'!$F116=0,"",(VLOOKUP($C116,REV!$C:$AA,8,0)-'TRADE IN'!$F116))</f>
        <v>11699</v>
      </c>
      <c r="K116" s="56">
        <f>IF(VLOOKUP($C116,REV!$C:$AA,9,0)-'TRADE IN'!$F116=0,"",(VLOOKUP($C116,REV!$C:$AA,9,0)-'TRADE IN'!$F116))</f>
        <v>11699</v>
      </c>
      <c r="L116" s="56">
        <f>IF(VLOOKUP($C116,REV!$C:$AA,10,0)-'TRADE IN'!$F116=0,"",(VLOOKUP($C116,REV!$C:$AA,10,0)-'TRADE IN'!$F116))</f>
        <v>11699</v>
      </c>
      <c r="M116" s="56">
        <f>IF(VLOOKUP($C116,REV!$C:$AA,11,0)-'TRADE IN'!$F116=0,"",(VLOOKUP($C116,REV!$C:$AA,11,0)-'TRADE IN'!$F116))</f>
        <v>11699</v>
      </c>
      <c r="N116" s="56">
        <f>IF(VLOOKUP($C116,REV!$C:$AA,12,0)-'TRADE IN'!$F116=0,"",(VLOOKUP($C116,REV!$C:$AA,12,0)-'TRADE IN'!$F116))</f>
        <v>11699</v>
      </c>
      <c r="O116" s="56">
        <f>IF(VLOOKUP($C116,REV!$C:$AA,13,0)-'TRADE IN'!$F116=0,"",(VLOOKUP($C116,REV!$C:$AA,13,0)-'TRADE IN'!$F116))</f>
        <v>11599</v>
      </c>
      <c r="P116" s="56">
        <f>IF(VLOOKUP($C116,REV!$C:$AA,14,0)-'TRADE IN'!$F116=0,"",(VLOOKUP($C116,REV!$C:$AA,14,0)-'TRADE IN'!$F116))</f>
        <v>11499</v>
      </c>
      <c r="Q116" s="56">
        <f>IF(VLOOKUP($C116,REV!$C:$AA,15,0)-'TRADE IN'!$F116=0,"",(VLOOKUP($C116,REV!$C:$AA,15,0)-'TRADE IN'!$F116))</f>
        <v>10699</v>
      </c>
      <c r="R116" s="56">
        <f>IF(VLOOKUP($C116,REV!$C:$AA,16,0)-'TRADE IN'!$F116=0,"",(VLOOKUP($C116,REV!$C:$AA,16,0)-'TRADE IN'!$F116))</f>
        <v>11599</v>
      </c>
      <c r="S116" s="56">
        <f>IF(VLOOKUP($C116,REV!$C:$AA,17,0)-'TRADE IN'!$F116=0,"",(VLOOKUP($C116,REV!$C:$AA,17,0)-'TRADE IN'!$F116))</f>
        <v>11499</v>
      </c>
      <c r="T116" s="56">
        <f>IF(VLOOKUP($C116,REV!$C:$AA,18,0)-'TRADE IN'!$F116=0,"",(VLOOKUP($C116,REV!$C:$AA,18,0)-'TRADE IN'!$F116))</f>
        <v>10699</v>
      </c>
      <c r="U116" s="56">
        <f>IF(VLOOKUP($C116,REV!$C:$AA,19,0)-'TRADE IN'!$F116=0,"",(VLOOKUP($C116,REV!$C:$AA,19,0)-'TRADE IN'!$F116))</f>
        <v>10699</v>
      </c>
      <c r="V116" s="56">
        <f>IF(VLOOKUP($C116,REV!$C:$AA,20,0)-'TRADE IN'!$F116=0,"",(VLOOKUP($C116,REV!$C:$AA,20,0)-'TRADE IN'!$F116))</f>
        <v>10699</v>
      </c>
      <c r="W116" s="56">
        <f>IF(VLOOKUP($C116,REV!$C:$AA,21,0)-'TRADE IN'!$F116=0,"",(VLOOKUP($C116,REV!$C:$AA,21,0)-'TRADE IN'!$F116))</f>
        <v>10599</v>
      </c>
      <c r="X116" s="56">
        <f>IF(VLOOKUP($C116,REV!$C:$AA,22,0)-'TRADE IN'!$F116=0,"",(VLOOKUP($C116,REV!$C:$AA,22,0)-'TRADE IN'!$F116))</f>
        <v>10599</v>
      </c>
      <c r="Y116" s="56">
        <f>IF(VLOOKUP($C116,REV!$C:$AA,23,0)-'TRADE IN'!$F116=0,"",(VLOOKUP($C116,REV!$C:$AA,23,0)-'TRADE IN'!$F116))</f>
        <v>9799</v>
      </c>
      <c r="Z116" s="56">
        <f>IF(VLOOKUP($C116,REV!$C:$AA,24,0)-'TRADE IN'!$F116=0,"",(VLOOKUP($C116,REV!$C:$AA,24,0)-'TRADE IN'!$F116))</f>
        <v>9799</v>
      </c>
      <c r="AA116" s="56">
        <f>IF(VLOOKUP($C116,REV!$C:$AA,25,0)-'TRADE IN'!$F116=0,"",(VLOOKUP($C116,REV!$C:$AA,25,0)-'TRADE IN'!$F116))</f>
        <v>9799</v>
      </c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7"/>
      <c r="AW116" s="58" t="str">
        <f>REV!AW116</f>
        <v>03.11.2026</v>
      </c>
      <c r="AX116" s="147" t="str">
        <f>VLOOKUP(C116,REV!C:AX,48,0)</f>
        <v>5G</v>
      </c>
    </row>
    <row r="117" spans="1:50" ht="22.5" customHeight="1">
      <c r="A117" s="51" t="s">
        <v>63</v>
      </c>
      <c r="B117" s="52" t="s">
        <v>64</v>
      </c>
      <c r="C117" s="53">
        <v>4017503</v>
      </c>
      <c r="D117" s="54" t="s">
        <v>203</v>
      </c>
      <c r="E117" s="54" t="s">
        <v>204</v>
      </c>
      <c r="F117" s="55"/>
      <c r="G117" s="55"/>
      <c r="H117" s="55"/>
      <c r="I117" s="55"/>
      <c r="J117" s="56">
        <f>IF(VLOOKUP($C117,REV!$C:$AA,8,0)-'TRADE IN'!$F117=0,"",(VLOOKUP($C117,REV!$C:$AA,8,0)-'TRADE IN'!$F117))</f>
        <v>13099</v>
      </c>
      <c r="K117" s="56">
        <f>IF(VLOOKUP($C117,REV!$C:$AA,9,0)-'TRADE IN'!$F117=0,"",(VLOOKUP($C117,REV!$C:$AA,9,0)-'TRADE IN'!$F117))</f>
        <v>13099</v>
      </c>
      <c r="L117" s="56">
        <f>IF(VLOOKUP($C117,REV!$C:$AA,10,0)-'TRADE IN'!$F117=0,"",(VLOOKUP($C117,REV!$C:$AA,10,0)-'TRADE IN'!$F117))</f>
        <v>13099</v>
      </c>
      <c r="M117" s="56">
        <f>IF(VLOOKUP($C117,REV!$C:$AA,11,0)-'TRADE IN'!$F117=0,"",(VLOOKUP($C117,REV!$C:$AA,11,0)-'TRADE IN'!$F117))</f>
        <v>13099</v>
      </c>
      <c r="N117" s="56">
        <f>IF(VLOOKUP($C117,REV!$C:$AA,12,0)-'TRADE IN'!$F117=0,"",(VLOOKUP($C117,REV!$C:$AA,12,0)-'TRADE IN'!$F117))</f>
        <v>13099</v>
      </c>
      <c r="O117" s="56">
        <f>IF(VLOOKUP($C117,REV!$C:$AA,13,0)-'TRADE IN'!$F117=0,"",(VLOOKUP($C117,REV!$C:$AA,13,0)-'TRADE IN'!$F117))</f>
        <v>12999</v>
      </c>
      <c r="P117" s="56">
        <f>IF(VLOOKUP($C117,REV!$C:$AA,14,0)-'TRADE IN'!$F117=0,"",(VLOOKUP($C117,REV!$C:$AA,14,0)-'TRADE IN'!$F117))</f>
        <v>12899</v>
      </c>
      <c r="Q117" s="56">
        <f>IF(VLOOKUP($C117,REV!$C:$AA,15,0)-'TRADE IN'!$F117=0,"",(VLOOKUP($C117,REV!$C:$AA,15,0)-'TRADE IN'!$F117))</f>
        <v>12099</v>
      </c>
      <c r="R117" s="56">
        <f>IF(VLOOKUP($C117,REV!$C:$AA,16,0)-'TRADE IN'!$F117=0,"",(VLOOKUP($C117,REV!$C:$AA,16,0)-'TRADE IN'!$F117))</f>
        <v>12999</v>
      </c>
      <c r="S117" s="56">
        <f>IF(VLOOKUP($C117,REV!$C:$AA,17,0)-'TRADE IN'!$F117=0,"",(VLOOKUP($C117,REV!$C:$AA,17,0)-'TRADE IN'!$F117))</f>
        <v>12899</v>
      </c>
      <c r="T117" s="56">
        <f>IF(VLOOKUP($C117,REV!$C:$AA,18,0)-'TRADE IN'!$F117=0,"",(VLOOKUP($C117,REV!$C:$AA,18,0)-'TRADE IN'!$F117))</f>
        <v>12099</v>
      </c>
      <c r="U117" s="56">
        <f>IF(VLOOKUP($C117,REV!$C:$AA,19,0)-'TRADE IN'!$F117=0,"",(VLOOKUP($C117,REV!$C:$AA,19,0)-'TRADE IN'!$F117))</f>
        <v>12099</v>
      </c>
      <c r="V117" s="56">
        <f>IF(VLOOKUP($C117,REV!$C:$AA,20,0)-'TRADE IN'!$F117=0,"",(VLOOKUP($C117,REV!$C:$AA,20,0)-'TRADE IN'!$F117))</f>
        <v>12099</v>
      </c>
      <c r="W117" s="56">
        <f>IF(VLOOKUP($C117,REV!$C:$AA,21,0)-'TRADE IN'!$F117=0,"",(VLOOKUP($C117,REV!$C:$AA,21,0)-'TRADE IN'!$F117))</f>
        <v>11999</v>
      </c>
      <c r="X117" s="56">
        <f>IF(VLOOKUP($C117,REV!$C:$AA,22,0)-'TRADE IN'!$F117=0,"",(VLOOKUP($C117,REV!$C:$AA,22,0)-'TRADE IN'!$F117))</f>
        <v>11999</v>
      </c>
      <c r="Y117" s="56">
        <f>IF(VLOOKUP($C117,REV!$C:$AA,23,0)-'TRADE IN'!$F117=0,"",(VLOOKUP($C117,REV!$C:$AA,23,0)-'TRADE IN'!$F117))</f>
        <v>10999</v>
      </c>
      <c r="Z117" s="56">
        <f>IF(VLOOKUP($C117,REV!$C:$AA,24,0)-'TRADE IN'!$F117=0,"",(VLOOKUP($C117,REV!$C:$AA,24,0)-'TRADE IN'!$F117))</f>
        <v>10999</v>
      </c>
      <c r="AA117" s="56">
        <f>IF(VLOOKUP($C117,REV!$C:$AA,25,0)-'TRADE IN'!$F117=0,"",(VLOOKUP($C117,REV!$C:$AA,25,0)-'TRADE IN'!$F117))</f>
        <v>10899</v>
      </c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7"/>
      <c r="AW117" s="58" t="str">
        <f>REV!AW117</f>
        <v>03.11.2026</v>
      </c>
      <c r="AX117" s="147" t="str">
        <f>VLOOKUP(C117,REV!C:AX,48,0)</f>
        <v>5G</v>
      </c>
    </row>
    <row r="118" spans="1:50" ht="22.5" customHeight="1">
      <c r="A118" s="51" t="s">
        <v>63</v>
      </c>
      <c r="B118" s="52" t="s">
        <v>64</v>
      </c>
      <c r="C118" s="53">
        <v>4017520</v>
      </c>
      <c r="D118" s="54" t="s">
        <v>203</v>
      </c>
      <c r="E118" s="54" t="s">
        <v>205</v>
      </c>
      <c r="F118" s="55"/>
      <c r="G118" s="55"/>
      <c r="H118" s="55"/>
      <c r="I118" s="55"/>
      <c r="J118" s="56">
        <f>IF(VLOOKUP($C118,REV!$C:$AA,8,0)-'TRADE IN'!$F118=0,"",(VLOOKUP($C118,REV!$C:$AA,8,0)-'TRADE IN'!$F118))</f>
        <v>13099</v>
      </c>
      <c r="K118" s="56">
        <f>IF(VLOOKUP($C118,REV!$C:$AA,9,0)-'TRADE IN'!$F118=0,"",(VLOOKUP($C118,REV!$C:$AA,9,0)-'TRADE IN'!$F118))</f>
        <v>13099</v>
      </c>
      <c r="L118" s="56">
        <f>IF(VLOOKUP($C118,REV!$C:$AA,10,0)-'TRADE IN'!$F118=0,"",(VLOOKUP($C118,REV!$C:$AA,10,0)-'TRADE IN'!$F118))</f>
        <v>13099</v>
      </c>
      <c r="M118" s="56">
        <f>IF(VLOOKUP($C118,REV!$C:$AA,11,0)-'TRADE IN'!$F118=0,"",(VLOOKUP($C118,REV!$C:$AA,11,0)-'TRADE IN'!$F118))</f>
        <v>13099</v>
      </c>
      <c r="N118" s="56">
        <f>IF(VLOOKUP($C118,REV!$C:$AA,12,0)-'TRADE IN'!$F118=0,"",(VLOOKUP($C118,REV!$C:$AA,12,0)-'TRADE IN'!$F118))</f>
        <v>13099</v>
      </c>
      <c r="O118" s="56">
        <f>IF(VLOOKUP($C118,REV!$C:$AA,13,0)-'TRADE IN'!$F118=0,"",(VLOOKUP($C118,REV!$C:$AA,13,0)-'TRADE IN'!$F118))</f>
        <v>12999</v>
      </c>
      <c r="P118" s="56">
        <f>IF(VLOOKUP($C118,REV!$C:$AA,14,0)-'TRADE IN'!$F118=0,"",(VLOOKUP($C118,REV!$C:$AA,14,0)-'TRADE IN'!$F118))</f>
        <v>12899</v>
      </c>
      <c r="Q118" s="56">
        <f>IF(VLOOKUP($C118,REV!$C:$AA,15,0)-'TRADE IN'!$F118=0,"",(VLOOKUP($C118,REV!$C:$AA,15,0)-'TRADE IN'!$F118))</f>
        <v>12099</v>
      </c>
      <c r="R118" s="56">
        <f>IF(VLOOKUP($C118,REV!$C:$AA,16,0)-'TRADE IN'!$F118=0,"",(VLOOKUP($C118,REV!$C:$AA,16,0)-'TRADE IN'!$F118))</f>
        <v>12999</v>
      </c>
      <c r="S118" s="56">
        <f>IF(VLOOKUP($C118,REV!$C:$AA,17,0)-'TRADE IN'!$F118=0,"",(VLOOKUP($C118,REV!$C:$AA,17,0)-'TRADE IN'!$F118))</f>
        <v>12899</v>
      </c>
      <c r="T118" s="56">
        <f>IF(VLOOKUP($C118,REV!$C:$AA,18,0)-'TRADE IN'!$F118=0,"",(VLOOKUP($C118,REV!$C:$AA,18,0)-'TRADE IN'!$F118))</f>
        <v>12099</v>
      </c>
      <c r="U118" s="56">
        <f>IF(VLOOKUP($C118,REV!$C:$AA,19,0)-'TRADE IN'!$F118=0,"",(VLOOKUP($C118,REV!$C:$AA,19,0)-'TRADE IN'!$F118))</f>
        <v>12099</v>
      </c>
      <c r="V118" s="56">
        <f>IF(VLOOKUP($C118,REV!$C:$AA,20,0)-'TRADE IN'!$F118=0,"",(VLOOKUP($C118,REV!$C:$AA,20,0)-'TRADE IN'!$F118))</f>
        <v>12099</v>
      </c>
      <c r="W118" s="56">
        <f>IF(VLOOKUP($C118,REV!$C:$AA,21,0)-'TRADE IN'!$F118=0,"",(VLOOKUP($C118,REV!$C:$AA,21,0)-'TRADE IN'!$F118))</f>
        <v>11999</v>
      </c>
      <c r="X118" s="56">
        <f>IF(VLOOKUP($C118,REV!$C:$AA,22,0)-'TRADE IN'!$F118=0,"",(VLOOKUP($C118,REV!$C:$AA,22,0)-'TRADE IN'!$F118))</f>
        <v>11999</v>
      </c>
      <c r="Y118" s="56">
        <f>IF(VLOOKUP($C118,REV!$C:$AA,23,0)-'TRADE IN'!$F118=0,"",(VLOOKUP($C118,REV!$C:$AA,23,0)-'TRADE IN'!$F118))</f>
        <v>10999</v>
      </c>
      <c r="Z118" s="56">
        <f>IF(VLOOKUP($C118,REV!$C:$AA,24,0)-'TRADE IN'!$F118=0,"",(VLOOKUP($C118,REV!$C:$AA,24,0)-'TRADE IN'!$F118))</f>
        <v>10999</v>
      </c>
      <c r="AA118" s="56">
        <f>IF(VLOOKUP($C118,REV!$C:$AA,25,0)-'TRADE IN'!$F118=0,"",(VLOOKUP($C118,REV!$C:$AA,25,0)-'TRADE IN'!$F118))</f>
        <v>10899</v>
      </c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7"/>
      <c r="AW118" s="58" t="str">
        <f>REV!AW118</f>
        <v>03.11.2026</v>
      </c>
      <c r="AX118" s="147" t="str">
        <f>VLOOKUP(C118,REV!C:AX,48,0)</f>
        <v>5G</v>
      </c>
    </row>
    <row r="119" spans="1:50" ht="22.5" customHeight="1">
      <c r="A119" s="51" t="s">
        <v>63</v>
      </c>
      <c r="B119" s="52" t="s">
        <v>64</v>
      </c>
      <c r="C119" s="53">
        <v>4017522</v>
      </c>
      <c r="D119" s="54" t="s">
        <v>203</v>
      </c>
      <c r="E119" s="54" t="s">
        <v>206</v>
      </c>
      <c r="F119" s="55"/>
      <c r="G119" s="55"/>
      <c r="H119" s="55"/>
      <c r="I119" s="55"/>
      <c r="J119" s="56">
        <f>IF(VLOOKUP($C119,REV!$C:$AA,8,0)-'TRADE IN'!$F119=0,"",(VLOOKUP($C119,REV!$C:$AA,8,0)-'TRADE IN'!$F119))</f>
        <v>13099</v>
      </c>
      <c r="K119" s="56">
        <f>IF(VLOOKUP($C119,REV!$C:$AA,9,0)-'TRADE IN'!$F119=0,"",(VLOOKUP($C119,REV!$C:$AA,9,0)-'TRADE IN'!$F119))</f>
        <v>13099</v>
      </c>
      <c r="L119" s="56">
        <f>IF(VLOOKUP($C119,REV!$C:$AA,10,0)-'TRADE IN'!$F119=0,"",(VLOOKUP($C119,REV!$C:$AA,10,0)-'TRADE IN'!$F119))</f>
        <v>13099</v>
      </c>
      <c r="M119" s="56">
        <f>IF(VLOOKUP($C119,REV!$C:$AA,11,0)-'TRADE IN'!$F119=0,"",(VLOOKUP($C119,REV!$C:$AA,11,0)-'TRADE IN'!$F119))</f>
        <v>13099</v>
      </c>
      <c r="N119" s="56">
        <f>IF(VLOOKUP($C119,REV!$C:$AA,12,0)-'TRADE IN'!$F119=0,"",(VLOOKUP($C119,REV!$C:$AA,12,0)-'TRADE IN'!$F119))</f>
        <v>13099</v>
      </c>
      <c r="O119" s="56">
        <f>IF(VLOOKUP($C119,REV!$C:$AA,13,0)-'TRADE IN'!$F119=0,"",(VLOOKUP($C119,REV!$C:$AA,13,0)-'TRADE IN'!$F119))</f>
        <v>12999</v>
      </c>
      <c r="P119" s="56">
        <f>IF(VLOOKUP($C119,REV!$C:$AA,14,0)-'TRADE IN'!$F119=0,"",(VLOOKUP($C119,REV!$C:$AA,14,0)-'TRADE IN'!$F119))</f>
        <v>12899</v>
      </c>
      <c r="Q119" s="56">
        <f>IF(VLOOKUP($C119,REV!$C:$AA,15,0)-'TRADE IN'!$F119=0,"",(VLOOKUP($C119,REV!$C:$AA,15,0)-'TRADE IN'!$F119))</f>
        <v>12099</v>
      </c>
      <c r="R119" s="56">
        <f>IF(VLOOKUP($C119,REV!$C:$AA,16,0)-'TRADE IN'!$F119=0,"",(VLOOKUP($C119,REV!$C:$AA,16,0)-'TRADE IN'!$F119))</f>
        <v>12999</v>
      </c>
      <c r="S119" s="56">
        <f>IF(VLOOKUP($C119,REV!$C:$AA,17,0)-'TRADE IN'!$F119=0,"",(VLOOKUP($C119,REV!$C:$AA,17,0)-'TRADE IN'!$F119))</f>
        <v>12899</v>
      </c>
      <c r="T119" s="56">
        <f>IF(VLOOKUP($C119,REV!$C:$AA,18,0)-'TRADE IN'!$F119=0,"",(VLOOKUP($C119,REV!$C:$AA,18,0)-'TRADE IN'!$F119))</f>
        <v>12099</v>
      </c>
      <c r="U119" s="56">
        <f>IF(VLOOKUP($C119,REV!$C:$AA,19,0)-'TRADE IN'!$F119=0,"",(VLOOKUP($C119,REV!$C:$AA,19,0)-'TRADE IN'!$F119))</f>
        <v>12099</v>
      </c>
      <c r="V119" s="56">
        <f>IF(VLOOKUP($C119,REV!$C:$AA,20,0)-'TRADE IN'!$F119=0,"",(VLOOKUP($C119,REV!$C:$AA,20,0)-'TRADE IN'!$F119))</f>
        <v>12099</v>
      </c>
      <c r="W119" s="56">
        <f>IF(VLOOKUP($C119,REV!$C:$AA,21,0)-'TRADE IN'!$F119=0,"",(VLOOKUP($C119,REV!$C:$AA,21,0)-'TRADE IN'!$F119))</f>
        <v>11999</v>
      </c>
      <c r="X119" s="56">
        <f>IF(VLOOKUP($C119,REV!$C:$AA,22,0)-'TRADE IN'!$F119=0,"",(VLOOKUP($C119,REV!$C:$AA,22,0)-'TRADE IN'!$F119))</f>
        <v>11999</v>
      </c>
      <c r="Y119" s="56">
        <f>IF(VLOOKUP($C119,REV!$C:$AA,23,0)-'TRADE IN'!$F119=0,"",(VLOOKUP($C119,REV!$C:$AA,23,0)-'TRADE IN'!$F119))</f>
        <v>10999</v>
      </c>
      <c r="Z119" s="56">
        <f>IF(VLOOKUP($C119,REV!$C:$AA,24,0)-'TRADE IN'!$F119=0,"",(VLOOKUP($C119,REV!$C:$AA,24,0)-'TRADE IN'!$F119))</f>
        <v>10999</v>
      </c>
      <c r="AA119" s="56">
        <f>IF(VLOOKUP($C119,REV!$C:$AA,25,0)-'TRADE IN'!$F119=0,"",(VLOOKUP($C119,REV!$C:$AA,25,0)-'TRADE IN'!$F119))</f>
        <v>10899</v>
      </c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7"/>
      <c r="AW119" s="58" t="str">
        <f>REV!AW119</f>
        <v>03.11.2026</v>
      </c>
      <c r="AX119" s="147" t="str">
        <f>VLOOKUP(C119,REV!C:AX,48,0)</f>
        <v>5G</v>
      </c>
    </row>
    <row r="120" spans="1:50" ht="22.5" customHeight="1">
      <c r="A120" s="51" t="s">
        <v>63</v>
      </c>
      <c r="B120" s="52" t="s">
        <v>64</v>
      </c>
      <c r="C120" s="53">
        <v>4017845</v>
      </c>
      <c r="D120" s="54" t="s">
        <v>207</v>
      </c>
      <c r="E120" s="54" t="s">
        <v>208</v>
      </c>
      <c r="F120" s="55">
        <v>500</v>
      </c>
      <c r="G120" s="55">
        <v>4899</v>
      </c>
      <c r="H120" s="55">
        <v>5399</v>
      </c>
      <c r="I120" s="55">
        <v>5399</v>
      </c>
      <c r="J120" s="56">
        <f>IF(VLOOKUP($C120,REV!$C:$AA,8,0)-'TRADE IN'!$F120=0,"",(VLOOKUP($C120,REV!$C:$AA,8,0)-'TRADE IN'!$F120))</f>
        <v>4599</v>
      </c>
      <c r="K120" s="56">
        <f>IF(VLOOKUP($C120,REV!$C:$AA,9,0)-'TRADE IN'!$F120=0,"",(VLOOKUP($C120,REV!$C:$AA,9,0)-'TRADE IN'!$F120))</f>
        <v>4599</v>
      </c>
      <c r="L120" s="56">
        <f>IF(VLOOKUP($C120,REV!$C:$AA,10,0)-'TRADE IN'!$F120=0,"",(VLOOKUP($C120,REV!$C:$AA,10,0)-'TRADE IN'!$F120))</f>
        <v>4599</v>
      </c>
      <c r="M120" s="56">
        <f>IF(VLOOKUP($C120,REV!$C:$AA,11,0)-'TRADE IN'!$F120=0,"",(VLOOKUP($C120,REV!$C:$AA,11,0)-'TRADE IN'!$F120))</f>
        <v>4599</v>
      </c>
      <c r="N120" s="56">
        <f>IF(VLOOKUP($C120,REV!$C:$AA,12,0)-'TRADE IN'!$F120=0,"",(VLOOKUP($C120,REV!$C:$AA,12,0)-'TRADE IN'!$F120))</f>
        <v>4599</v>
      </c>
      <c r="O120" s="56">
        <f>IF(VLOOKUP($C120,REV!$C:$AA,13,0)-'TRADE IN'!$F120=0,"",(VLOOKUP($C120,REV!$C:$AA,13,0)-'TRADE IN'!$F120))</f>
        <v>4499</v>
      </c>
      <c r="P120" s="56">
        <f>IF(VLOOKUP($C120,REV!$C:$AA,14,0)-'TRADE IN'!$F120=0,"",(VLOOKUP($C120,REV!$C:$AA,14,0)-'TRADE IN'!$F120))</f>
        <v>4399</v>
      </c>
      <c r="Q120" s="56">
        <f>IF(VLOOKUP($C120,REV!$C:$AA,15,0)-'TRADE IN'!$F120=0,"",(VLOOKUP($C120,REV!$C:$AA,15,0)-'TRADE IN'!$F120))</f>
        <v>3999</v>
      </c>
      <c r="R120" s="56">
        <f>IF(VLOOKUP($C120,REV!$C:$AA,16,0)-'TRADE IN'!$F120=0,"",(VLOOKUP($C120,REV!$C:$AA,16,0)-'TRADE IN'!$F120))</f>
        <v>4499</v>
      </c>
      <c r="S120" s="56">
        <f>IF(VLOOKUP($C120,REV!$C:$AA,17,0)-'TRADE IN'!$F120=0,"",(VLOOKUP($C120,REV!$C:$AA,17,0)-'TRADE IN'!$F120))</f>
        <v>4399</v>
      </c>
      <c r="T120" s="56">
        <f>IF(VLOOKUP($C120,REV!$C:$AA,18,0)-'TRADE IN'!$F120=0,"",(VLOOKUP($C120,REV!$C:$AA,18,0)-'TRADE IN'!$F120))</f>
        <v>3999</v>
      </c>
      <c r="U120" s="56">
        <f>IF(VLOOKUP($C120,REV!$C:$AA,19,0)-'TRADE IN'!$F120=0,"",(VLOOKUP($C120,REV!$C:$AA,19,0)-'TRADE IN'!$F120))</f>
        <v>3999</v>
      </c>
      <c r="V120" s="56">
        <f>IF(VLOOKUP($C120,REV!$C:$AA,20,0)-'TRADE IN'!$F120=0,"",(VLOOKUP($C120,REV!$C:$AA,20,0)-'TRADE IN'!$F120))</f>
        <v>3999</v>
      </c>
      <c r="W120" s="56">
        <f>IF(VLOOKUP($C120,REV!$C:$AA,21,0)-'TRADE IN'!$F120=0,"",(VLOOKUP($C120,REV!$C:$AA,21,0)-'TRADE IN'!$F120))</f>
        <v>3999</v>
      </c>
      <c r="X120" s="56">
        <f>IF(VLOOKUP($C120,REV!$C:$AA,22,0)-'TRADE IN'!$F120=0,"",(VLOOKUP($C120,REV!$C:$AA,22,0)-'TRADE IN'!$F120))</f>
        <v>3899</v>
      </c>
      <c r="Y120" s="56">
        <f>IF(VLOOKUP($C120,REV!$C:$AA,23,0)-'TRADE IN'!$F120=0,"",(VLOOKUP($C120,REV!$C:$AA,23,0)-'TRADE IN'!$F120))</f>
        <v>3299</v>
      </c>
      <c r="Z120" s="56">
        <f>IF(VLOOKUP($C120,REV!$C:$AA,24,0)-'TRADE IN'!$F120=0,"",(VLOOKUP($C120,REV!$C:$AA,24,0)-'TRADE IN'!$F120))</f>
        <v>3299</v>
      </c>
      <c r="AA120" s="56">
        <f>IF(VLOOKUP($C120,REV!$C:$AA,25,0)-'TRADE IN'!$F120=0,"",(VLOOKUP($C120,REV!$C:$AA,25,0)-'TRADE IN'!$F120))</f>
        <v>3249</v>
      </c>
      <c r="AB120" s="55">
        <f>IF(VLOOKUP($C120,REV!$C:$AL,27,0)-'TRADE IN'!$F120=0,"",(VLOOKUP($C120,REV!$C:$AL,27,0)-'TRADE IN'!$F120))</f>
        <v>4599</v>
      </c>
      <c r="AC120" s="55">
        <f>IF(VLOOKUP($C120,REV!$C:$AL,28,0)-'TRADE IN'!$F120=0,"",(VLOOKUP($C120,REV!$C:$AL,28,0)-'TRADE IN'!$F120))</f>
        <v>4599</v>
      </c>
      <c r="AD120" s="55">
        <f>IF(VLOOKUP($C120,REV!$C:$AL,29,0)-'TRADE IN'!$F120=0,"",(VLOOKUP($C120,REV!$C:$AL,29,0)-'TRADE IN'!$F120))</f>
        <v>4499</v>
      </c>
      <c r="AE120" s="55">
        <f>IF(VLOOKUP($C120,REV!$C:$AL,30,0)-'TRADE IN'!$F120=0,"",(VLOOKUP($C120,REV!$C:$AL,30,0)-'TRADE IN'!$F120))</f>
        <v>4399</v>
      </c>
      <c r="AF120" s="55">
        <f>IF(VLOOKUP($C120,REV!$C:$AL,31,0)-'TRADE IN'!$F120=0,"",(VLOOKUP($C120,REV!$C:$AL,31,0)-'TRADE IN'!$F120))</f>
        <v>4399</v>
      </c>
      <c r="AG120" s="55">
        <f>IF(VLOOKUP($C120,REV!$C:$AL,31,0)-'TRADE IN'!$F120=0,"",(VLOOKUP($C120,REV!$C:$AL,31,0)-'TRADE IN'!$F120))</f>
        <v>4399</v>
      </c>
      <c r="AH120" s="55">
        <f>IF(VLOOKUP($C120,REV!$C:$AL,32,0)-'TRADE IN'!$F120=0,"",(VLOOKUP($C120,REV!$C:$AL,32,0)-'TRADE IN'!$F120))</f>
        <v>3999</v>
      </c>
      <c r="AI120" s="55">
        <f>IF(VLOOKUP($C120,REV!$C:$AL,33,0)-'TRADE IN'!$F120=0,"",(VLOOKUP($C120,REV!$C:$AL,33,0)-'TRADE IN'!$F120))</f>
        <v>3999</v>
      </c>
      <c r="AJ120" s="55">
        <f>IF(VLOOKUP($C120,REV!$C:$AL,34,0)-'TRADE IN'!$F120=0,"",(VLOOKUP($C120,REV!$C:$AL,34,0)-'TRADE IN'!$F120))</f>
        <v>3999</v>
      </c>
      <c r="AK120" s="55">
        <f>IF(VLOOKUP($C120,REV!$C:$AL,35,0)-'TRADE IN'!$F120=0,"",(VLOOKUP($C120,REV!$C:$AL,35,0)-'TRADE IN'!$F120))</f>
        <v>3999</v>
      </c>
      <c r="AL120" s="55">
        <f>IF(VLOOKUP($C120,REV!$C:$AL,36,0)-'TRADE IN'!$F120=0,"",(VLOOKUP($C120,REV!$C:$AL,36,0)-'TRADE IN'!$F120))</f>
        <v>3299</v>
      </c>
      <c r="AM120" s="55"/>
      <c r="AN120" s="55"/>
      <c r="AO120" s="55"/>
      <c r="AP120" s="55"/>
      <c r="AQ120" s="55"/>
      <c r="AR120" s="55"/>
      <c r="AS120" s="55"/>
      <c r="AT120" s="55"/>
      <c r="AU120" s="55"/>
      <c r="AV120" s="57"/>
      <c r="AW120" s="58" t="str">
        <f>REV!AW120</f>
        <v>03.11.2026</v>
      </c>
      <c r="AX120" s="147" t="str">
        <f>VLOOKUP(C120,REV!C:AX,48,0)</f>
        <v>5G</v>
      </c>
    </row>
    <row r="121" spans="1:50" ht="22.5" customHeight="1">
      <c r="A121" s="51" t="s">
        <v>63</v>
      </c>
      <c r="B121" s="52" t="s">
        <v>64</v>
      </c>
      <c r="C121" s="53">
        <v>4017841</v>
      </c>
      <c r="D121" s="54" t="s">
        <v>207</v>
      </c>
      <c r="E121" s="54" t="s">
        <v>209</v>
      </c>
      <c r="F121" s="55">
        <v>500</v>
      </c>
      <c r="G121" s="55">
        <v>4899</v>
      </c>
      <c r="H121" s="55">
        <v>5399</v>
      </c>
      <c r="I121" s="55">
        <v>5399</v>
      </c>
      <c r="J121" s="56">
        <f>IF(VLOOKUP($C121,REV!$C:$AA,8,0)-'TRADE IN'!$F121=0,"",(VLOOKUP($C121,REV!$C:$AA,8,0)-'TRADE IN'!$F121))</f>
        <v>4599</v>
      </c>
      <c r="K121" s="56">
        <f>IF(VLOOKUP($C121,REV!$C:$AA,9,0)-'TRADE IN'!$F121=0,"",(VLOOKUP($C121,REV!$C:$AA,9,0)-'TRADE IN'!$F121))</f>
        <v>4599</v>
      </c>
      <c r="L121" s="56">
        <f>IF(VLOOKUP($C121,REV!$C:$AA,10,0)-'TRADE IN'!$F121=0,"",(VLOOKUP($C121,REV!$C:$AA,10,0)-'TRADE IN'!$F121))</f>
        <v>4599</v>
      </c>
      <c r="M121" s="56">
        <f>IF(VLOOKUP($C121,REV!$C:$AA,11,0)-'TRADE IN'!$F121=0,"",(VLOOKUP($C121,REV!$C:$AA,11,0)-'TRADE IN'!$F121))</f>
        <v>4599</v>
      </c>
      <c r="N121" s="56">
        <f>IF(VLOOKUP($C121,REV!$C:$AA,12,0)-'TRADE IN'!$F121=0,"",(VLOOKUP($C121,REV!$C:$AA,12,0)-'TRADE IN'!$F121))</f>
        <v>4599</v>
      </c>
      <c r="O121" s="56">
        <f>IF(VLOOKUP($C121,REV!$C:$AA,13,0)-'TRADE IN'!$F121=0,"",(VLOOKUP($C121,REV!$C:$AA,13,0)-'TRADE IN'!$F121))</f>
        <v>4499</v>
      </c>
      <c r="P121" s="56">
        <f>IF(VLOOKUP($C121,REV!$C:$AA,14,0)-'TRADE IN'!$F121=0,"",(VLOOKUP($C121,REV!$C:$AA,14,0)-'TRADE IN'!$F121))</f>
        <v>4399</v>
      </c>
      <c r="Q121" s="56">
        <f>IF(VLOOKUP($C121,REV!$C:$AA,15,0)-'TRADE IN'!$F121=0,"",(VLOOKUP($C121,REV!$C:$AA,15,0)-'TRADE IN'!$F121))</f>
        <v>3999</v>
      </c>
      <c r="R121" s="56">
        <f>IF(VLOOKUP($C121,REV!$C:$AA,16,0)-'TRADE IN'!$F121=0,"",(VLOOKUP($C121,REV!$C:$AA,16,0)-'TRADE IN'!$F121))</f>
        <v>4499</v>
      </c>
      <c r="S121" s="56">
        <f>IF(VLOOKUP($C121,REV!$C:$AA,17,0)-'TRADE IN'!$F121=0,"",(VLOOKUP($C121,REV!$C:$AA,17,0)-'TRADE IN'!$F121))</f>
        <v>4399</v>
      </c>
      <c r="T121" s="56">
        <f>IF(VLOOKUP($C121,REV!$C:$AA,18,0)-'TRADE IN'!$F121=0,"",(VLOOKUP($C121,REV!$C:$AA,18,0)-'TRADE IN'!$F121))</f>
        <v>3999</v>
      </c>
      <c r="U121" s="56">
        <f>IF(VLOOKUP($C121,REV!$C:$AA,19,0)-'TRADE IN'!$F121=0,"",(VLOOKUP($C121,REV!$C:$AA,19,0)-'TRADE IN'!$F121))</f>
        <v>3999</v>
      </c>
      <c r="V121" s="56">
        <f>IF(VLOOKUP($C121,REV!$C:$AA,20,0)-'TRADE IN'!$F121=0,"",(VLOOKUP($C121,REV!$C:$AA,20,0)-'TRADE IN'!$F121))</f>
        <v>3999</v>
      </c>
      <c r="W121" s="56">
        <f>IF(VLOOKUP($C121,REV!$C:$AA,21,0)-'TRADE IN'!$F121=0,"",(VLOOKUP($C121,REV!$C:$AA,21,0)-'TRADE IN'!$F121))</f>
        <v>3999</v>
      </c>
      <c r="X121" s="56">
        <f>IF(VLOOKUP($C121,REV!$C:$AA,22,0)-'TRADE IN'!$F121=0,"",(VLOOKUP($C121,REV!$C:$AA,22,0)-'TRADE IN'!$F121))</f>
        <v>3899</v>
      </c>
      <c r="Y121" s="56">
        <f>IF(VLOOKUP($C121,REV!$C:$AA,23,0)-'TRADE IN'!$F121=0,"",(VLOOKUP($C121,REV!$C:$AA,23,0)-'TRADE IN'!$F121))</f>
        <v>3299</v>
      </c>
      <c r="Z121" s="56">
        <f>IF(VLOOKUP($C121,REV!$C:$AA,24,0)-'TRADE IN'!$F121=0,"",(VLOOKUP($C121,REV!$C:$AA,24,0)-'TRADE IN'!$F121))</f>
        <v>3299</v>
      </c>
      <c r="AA121" s="56">
        <f>IF(VLOOKUP($C121,REV!$C:$AA,25,0)-'TRADE IN'!$F121=0,"",(VLOOKUP($C121,REV!$C:$AA,25,0)-'TRADE IN'!$F121))</f>
        <v>3249</v>
      </c>
      <c r="AB121" s="55">
        <f>IF(VLOOKUP($C121,REV!$C:$AL,27,0)-'TRADE IN'!$F121=0,"",(VLOOKUP($C121,REV!$C:$AL,27,0)-'TRADE IN'!$F121))</f>
        <v>4599</v>
      </c>
      <c r="AC121" s="55">
        <f>IF(VLOOKUP($C121,REV!$C:$AL,28,0)-'TRADE IN'!$F121=0,"",(VLOOKUP($C121,REV!$C:$AL,28,0)-'TRADE IN'!$F121))</f>
        <v>4599</v>
      </c>
      <c r="AD121" s="55">
        <f>IF(VLOOKUP($C121,REV!$C:$AL,29,0)-'TRADE IN'!$F121=0,"",(VLOOKUP($C121,REV!$C:$AL,29,0)-'TRADE IN'!$F121))</f>
        <v>4499</v>
      </c>
      <c r="AE121" s="55">
        <f>IF(VLOOKUP($C121,REV!$C:$AL,30,0)-'TRADE IN'!$F121=0,"",(VLOOKUP($C121,REV!$C:$AL,30,0)-'TRADE IN'!$F121))</f>
        <v>4399</v>
      </c>
      <c r="AF121" s="55">
        <f>IF(VLOOKUP($C121,REV!$C:$AL,31,0)-'TRADE IN'!$F121=0,"",(VLOOKUP($C121,REV!$C:$AL,31,0)-'TRADE IN'!$F121))</f>
        <v>4399</v>
      </c>
      <c r="AG121" s="55">
        <f>IF(VLOOKUP($C121,REV!$C:$AL,31,0)-'TRADE IN'!$F121=0,"",(VLOOKUP($C121,REV!$C:$AL,31,0)-'TRADE IN'!$F121))</f>
        <v>4399</v>
      </c>
      <c r="AH121" s="55">
        <f>IF(VLOOKUP($C121,REV!$C:$AL,32,0)-'TRADE IN'!$F121=0,"",(VLOOKUP($C121,REV!$C:$AL,32,0)-'TRADE IN'!$F121))</f>
        <v>3999</v>
      </c>
      <c r="AI121" s="55">
        <f>IF(VLOOKUP($C121,REV!$C:$AL,33,0)-'TRADE IN'!$F121=0,"",(VLOOKUP($C121,REV!$C:$AL,33,0)-'TRADE IN'!$F121))</f>
        <v>3999</v>
      </c>
      <c r="AJ121" s="55">
        <f>IF(VLOOKUP($C121,REV!$C:$AL,34,0)-'TRADE IN'!$F121=0,"",(VLOOKUP($C121,REV!$C:$AL,34,0)-'TRADE IN'!$F121))</f>
        <v>3999</v>
      </c>
      <c r="AK121" s="55">
        <f>IF(VLOOKUP($C121,REV!$C:$AL,35,0)-'TRADE IN'!$F121=0,"",(VLOOKUP($C121,REV!$C:$AL,35,0)-'TRADE IN'!$F121))</f>
        <v>3999</v>
      </c>
      <c r="AL121" s="55">
        <f>IF(VLOOKUP($C121,REV!$C:$AL,36,0)-'TRADE IN'!$F121=0,"",(VLOOKUP($C121,REV!$C:$AL,36,0)-'TRADE IN'!$F121))</f>
        <v>3299</v>
      </c>
      <c r="AM121" s="55"/>
      <c r="AN121" s="55"/>
      <c r="AO121" s="55"/>
      <c r="AP121" s="55"/>
      <c r="AQ121" s="55"/>
      <c r="AR121" s="55"/>
      <c r="AS121" s="55"/>
      <c r="AT121" s="55"/>
      <c r="AU121" s="55"/>
      <c r="AV121" s="57"/>
      <c r="AW121" s="58" t="str">
        <f>REV!AW121</f>
        <v>03.11.2026</v>
      </c>
      <c r="AX121" s="147" t="str">
        <f>VLOOKUP(C121,REV!C:AX,48,0)</f>
        <v>5G</v>
      </c>
    </row>
    <row r="122" spans="1:50" ht="22.5" customHeight="1">
      <c r="A122" s="51" t="s">
        <v>63</v>
      </c>
      <c r="B122" s="52" t="s">
        <v>64</v>
      </c>
      <c r="C122" s="53">
        <v>4017846</v>
      </c>
      <c r="D122" s="54" t="s">
        <v>207</v>
      </c>
      <c r="E122" s="54" t="s">
        <v>210</v>
      </c>
      <c r="F122" s="55">
        <v>500</v>
      </c>
      <c r="G122" s="55">
        <v>4899</v>
      </c>
      <c r="H122" s="55">
        <v>5399</v>
      </c>
      <c r="I122" s="55">
        <v>5399</v>
      </c>
      <c r="J122" s="56">
        <f>IF(VLOOKUP($C122,REV!$C:$AA,8,0)-'TRADE IN'!$F122=0,"",(VLOOKUP($C122,REV!$C:$AA,8,0)-'TRADE IN'!$F122))</f>
        <v>4599</v>
      </c>
      <c r="K122" s="56">
        <f>IF(VLOOKUP($C122,REV!$C:$AA,9,0)-'TRADE IN'!$F122=0,"",(VLOOKUP($C122,REV!$C:$AA,9,0)-'TRADE IN'!$F122))</f>
        <v>4599</v>
      </c>
      <c r="L122" s="56">
        <f>IF(VLOOKUP($C122,REV!$C:$AA,10,0)-'TRADE IN'!$F122=0,"",(VLOOKUP($C122,REV!$C:$AA,10,0)-'TRADE IN'!$F122))</f>
        <v>4599</v>
      </c>
      <c r="M122" s="56">
        <f>IF(VLOOKUP($C122,REV!$C:$AA,11,0)-'TRADE IN'!$F122=0,"",(VLOOKUP($C122,REV!$C:$AA,11,0)-'TRADE IN'!$F122))</f>
        <v>4599</v>
      </c>
      <c r="N122" s="56">
        <f>IF(VLOOKUP($C122,REV!$C:$AA,12,0)-'TRADE IN'!$F122=0,"",(VLOOKUP($C122,REV!$C:$AA,12,0)-'TRADE IN'!$F122))</f>
        <v>4599</v>
      </c>
      <c r="O122" s="56">
        <f>IF(VLOOKUP($C122,REV!$C:$AA,13,0)-'TRADE IN'!$F122=0,"",(VLOOKUP($C122,REV!$C:$AA,13,0)-'TRADE IN'!$F122))</f>
        <v>4499</v>
      </c>
      <c r="P122" s="56">
        <f>IF(VLOOKUP($C122,REV!$C:$AA,14,0)-'TRADE IN'!$F122=0,"",(VLOOKUP($C122,REV!$C:$AA,14,0)-'TRADE IN'!$F122))</f>
        <v>4399</v>
      </c>
      <c r="Q122" s="56">
        <f>IF(VLOOKUP($C122,REV!$C:$AA,15,0)-'TRADE IN'!$F122=0,"",(VLOOKUP($C122,REV!$C:$AA,15,0)-'TRADE IN'!$F122))</f>
        <v>3999</v>
      </c>
      <c r="R122" s="56">
        <f>IF(VLOOKUP($C122,REV!$C:$AA,16,0)-'TRADE IN'!$F122=0,"",(VLOOKUP($C122,REV!$C:$AA,16,0)-'TRADE IN'!$F122))</f>
        <v>4499</v>
      </c>
      <c r="S122" s="56">
        <f>IF(VLOOKUP($C122,REV!$C:$AA,17,0)-'TRADE IN'!$F122=0,"",(VLOOKUP($C122,REV!$C:$AA,17,0)-'TRADE IN'!$F122))</f>
        <v>4399</v>
      </c>
      <c r="T122" s="56">
        <f>IF(VLOOKUP($C122,REV!$C:$AA,18,0)-'TRADE IN'!$F122=0,"",(VLOOKUP($C122,REV!$C:$AA,18,0)-'TRADE IN'!$F122))</f>
        <v>3999</v>
      </c>
      <c r="U122" s="56">
        <f>IF(VLOOKUP($C122,REV!$C:$AA,19,0)-'TRADE IN'!$F122=0,"",(VLOOKUP($C122,REV!$C:$AA,19,0)-'TRADE IN'!$F122))</f>
        <v>3999</v>
      </c>
      <c r="V122" s="56">
        <f>IF(VLOOKUP($C122,REV!$C:$AA,20,0)-'TRADE IN'!$F122=0,"",(VLOOKUP($C122,REV!$C:$AA,20,0)-'TRADE IN'!$F122))</f>
        <v>3999</v>
      </c>
      <c r="W122" s="56">
        <f>IF(VLOOKUP($C122,REV!$C:$AA,21,0)-'TRADE IN'!$F122=0,"",(VLOOKUP($C122,REV!$C:$AA,21,0)-'TRADE IN'!$F122))</f>
        <v>3999</v>
      </c>
      <c r="X122" s="56">
        <f>IF(VLOOKUP($C122,REV!$C:$AA,22,0)-'TRADE IN'!$F122=0,"",(VLOOKUP($C122,REV!$C:$AA,22,0)-'TRADE IN'!$F122))</f>
        <v>3899</v>
      </c>
      <c r="Y122" s="56">
        <f>IF(VLOOKUP($C122,REV!$C:$AA,23,0)-'TRADE IN'!$F122=0,"",(VLOOKUP($C122,REV!$C:$AA,23,0)-'TRADE IN'!$F122))</f>
        <v>3299</v>
      </c>
      <c r="Z122" s="56">
        <f>IF(VLOOKUP($C122,REV!$C:$AA,24,0)-'TRADE IN'!$F122=0,"",(VLOOKUP($C122,REV!$C:$AA,24,0)-'TRADE IN'!$F122))</f>
        <v>3299</v>
      </c>
      <c r="AA122" s="56">
        <f>IF(VLOOKUP($C122,REV!$C:$AA,25,0)-'TRADE IN'!$F122=0,"",(VLOOKUP($C122,REV!$C:$AA,25,0)-'TRADE IN'!$F122))</f>
        <v>3249</v>
      </c>
      <c r="AB122" s="55">
        <f>IF(VLOOKUP($C122,REV!$C:$AL,27,0)-'TRADE IN'!$F122=0,"",(VLOOKUP($C122,REV!$C:$AL,27,0)-'TRADE IN'!$F122))</f>
        <v>4599</v>
      </c>
      <c r="AC122" s="55">
        <f>IF(VLOOKUP($C122,REV!$C:$AL,28,0)-'TRADE IN'!$F122=0,"",(VLOOKUP($C122,REV!$C:$AL,28,0)-'TRADE IN'!$F122))</f>
        <v>4599</v>
      </c>
      <c r="AD122" s="55">
        <f>IF(VLOOKUP($C122,REV!$C:$AL,29,0)-'TRADE IN'!$F122=0,"",(VLOOKUP($C122,REV!$C:$AL,29,0)-'TRADE IN'!$F122))</f>
        <v>4499</v>
      </c>
      <c r="AE122" s="55">
        <f>IF(VLOOKUP($C122,REV!$C:$AL,30,0)-'TRADE IN'!$F122=0,"",(VLOOKUP($C122,REV!$C:$AL,30,0)-'TRADE IN'!$F122))</f>
        <v>4399</v>
      </c>
      <c r="AF122" s="55">
        <f>IF(VLOOKUP($C122,REV!$C:$AL,31,0)-'TRADE IN'!$F122=0,"",(VLOOKUP($C122,REV!$C:$AL,31,0)-'TRADE IN'!$F122))</f>
        <v>4399</v>
      </c>
      <c r="AG122" s="55">
        <f>IF(VLOOKUP($C122,REV!$C:$AL,31,0)-'TRADE IN'!$F122=0,"",(VLOOKUP($C122,REV!$C:$AL,31,0)-'TRADE IN'!$F122))</f>
        <v>4399</v>
      </c>
      <c r="AH122" s="55">
        <f>IF(VLOOKUP($C122,REV!$C:$AL,32,0)-'TRADE IN'!$F122=0,"",(VLOOKUP($C122,REV!$C:$AL,32,0)-'TRADE IN'!$F122))</f>
        <v>3999</v>
      </c>
      <c r="AI122" s="55">
        <f>IF(VLOOKUP($C122,REV!$C:$AL,33,0)-'TRADE IN'!$F122=0,"",(VLOOKUP($C122,REV!$C:$AL,33,0)-'TRADE IN'!$F122))</f>
        <v>3999</v>
      </c>
      <c r="AJ122" s="55">
        <f>IF(VLOOKUP($C122,REV!$C:$AL,34,0)-'TRADE IN'!$F122=0,"",(VLOOKUP($C122,REV!$C:$AL,34,0)-'TRADE IN'!$F122))</f>
        <v>3999</v>
      </c>
      <c r="AK122" s="55">
        <f>IF(VLOOKUP($C122,REV!$C:$AL,35,0)-'TRADE IN'!$F122=0,"",(VLOOKUP($C122,REV!$C:$AL,35,0)-'TRADE IN'!$F122))</f>
        <v>3999</v>
      </c>
      <c r="AL122" s="55">
        <f>IF(VLOOKUP($C122,REV!$C:$AL,36,0)-'TRADE IN'!$F122=0,"",(VLOOKUP($C122,REV!$C:$AL,36,0)-'TRADE IN'!$F122))</f>
        <v>3299</v>
      </c>
      <c r="AM122" s="55"/>
      <c r="AN122" s="55"/>
      <c r="AO122" s="55"/>
      <c r="AP122" s="55"/>
      <c r="AQ122" s="55"/>
      <c r="AR122" s="55"/>
      <c r="AS122" s="55"/>
      <c r="AT122" s="55"/>
      <c r="AU122" s="55"/>
      <c r="AV122" s="57"/>
      <c r="AW122" s="58" t="str">
        <f>REV!AW122</f>
        <v>03.11.2026</v>
      </c>
      <c r="AX122" s="147" t="str">
        <f>VLOOKUP(C122,REV!C:AX,48,0)</f>
        <v>5G</v>
      </c>
    </row>
    <row r="123" spans="1:50" ht="22.5" customHeight="1">
      <c r="A123" s="51" t="s">
        <v>63</v>
      </c>
      <c r="B123" s="52" t="s">
        <v>64</v>
      </c>
      <c r="C123" s="53">
        <v>4017981</v>
      </c>
      <c r="D123" s="54" t="s">
        <v>207</v>
      </c>
      <c r="E123" s="54" t="s">
        <v>211</v>
      </c>
      <c r="F123" s="55">
        <v>500</v>
      </c>
      <c r="G123" s="55">
        <v>4899</v>
      </c>
      <c r="H123" s="55">
        <v>5399</v>
      </c>
      <c r="I123" s="55">
        <v>5399</v>
      </c>
      <c r="J123" s="56">
        <f>IF(VLOOKUP($C123,REV!$C:$AA,8,0)-'TRADE IN'!$F123=0,"",(VLOOKUP($C123,REV!$C:$AA,8,0)-'TRADE IN'!$F123))</f>
        <v>4599</v>
      </c>
      <c r="K123" s="56">
        <f>IF(VLOOKUP($C123,REV!$C:$AA,9,0)-'TRADE IN'!$F123=0,"",(VLOOKUP($C123,REV!$C:$AA,9,0)-'TRADE IN'!$F123))</f>
        <v>4599</v>
      </c>
      <c r="L123" s="56">
        <f>IF(VLOOKUP($C123,REV!$C:$AA,10,0)-'TRADE IN'!$F123=0,"",(VLOOKUP($C123,REV!$C:$AA,10,0)-'TRADE IN'!$F123))</f>
        <v>4599</v>
      </c>
      <c r="M123" s="56">
        <f>IF(VLOOKUP($C123,REV!$C:$AA,11,0)-'TRADE IN'!$F123=0,"",(VLOOKUP($C123,REV!$C:$AA,11,0)-'TRADE IN'!$F123))</f>
        <v>4599</v>
      </c>
      <c r="N123" s="56">
        <f>IF(VLOOKUP($C123,REV!$C:$AA,12,0)-'TRADE IN'!$F123=0,"",(VLOOKUP($C123,REV!$C:$AA,12,0)-'TRADE IN'!$F123))</f>
        <v>4599</v>
      </c>
      <c r="O123" s="56">
        <f>IF(VLOOKUP($C123,REV!$C:$AA,13,0)-'TRADE IN'!$F123=0,"",(VLOOKUP($C123,REV!$C:$AA,13,0)-'TRADE IN'!$F123))</f>
        <v>4499</v>
      </c>
      <c r="P123" s="56">
        <f>IF(VLOOKUP($C123,REV!$C:$AA,14,0)-'TRADE IN'!$F123=0,"",(VLOOKUP($C123,REV!$C:$AA,14,0)-'TRADE IN'!$F123))</f>
        <v>4399</v>
      </c>
      <c r="Q123" s="56">
        <f>IF(VLOOKUP($C123,REV!$C:$AA,15,0)-'TRADE IN'!$F123=0,"",(VLOOKUP($C123,REV!$C:$AA,15,0)-'TRADE IN'!$F123))</f>
        <v>3999</v>
      </c>
      <c r="R123" s="56">
        <f>IF(VLOOKUP($C123,REV!$C:$AA,16,0)-'TRADE IN'!$F123=0,"",(VLOOKUP($C123,REV!$C:$AA,16,0)-'TRADE IN'!$F123))</f>
        <v>4499</v>
      </c>
      <c r="S123" s="56">
        <f>IF(VLOOKUP($C123,REV!$C:$AA,17,0)-'TRADE IN'!$F123=0,"",(VLOOKUP($C123,REV!$C:$AA,17,0)-'TRADE IN'!$F123))</f>
        <v>4399</v>
      </c>
      <c r="T123" s="56">
        <f>IF(VLOOKUP($C123,REV!$C:$AA,18,0)-'TRADE IN'!$F123=0,"",(VLOOKUP($C123,REV!$C:$AA,18,0)-'TRADE IN'!$F123))</f>
        <v>3999</v>
      </c>
      <c r="U123" s="56">
        <f>IF(VLOOKUP($C123,REV!$C:$AA,19,0)-'TRADE IN'!$F123=0,"",(VLOOKUP($C123,REV!$C:$AA,19,0)-'TRADE IN'!$F123))</f>
        <v>3999</v>
      </c>
      <c r="V123" s="56">
        <f>IF(VLOOKUP($C123,REV!$C:$AA,20,0)-'TRADE IN'!$F123=0,"",(VLOOKUP($C123,REV!$C:$AA,20,0)-'TRADE IN'!$F123))</f>
        <v>3999</v>
      </c>
      <c r="W123" s="56">
        <f>IF(VLOOKUP($C123,REV!$C:$AA,21,0)-'TRADE IN'!$F123=0,"",(VLOOKUP($C123,REV!$C:$AA,21,0)-'TRADE IN'!$F123))</f>
        <v>3999</v>
      </c>
      <c r="X123" s="56">
        <f>IF(VLOOKUP($C123,REV!$C:$AA,22,0)-'TRADE IN'!$F123=0,"",(VLOOKUP($C123,REV!$C:$AA,22,0)-'TRADE IN'!$F123))</f>
        <v>3899</v>
      </c>
      <c r="Y123" s="56">
        <f>IF(VLOOKUP($C123,REV!$C:$AA,23,0)-'TRADE IN'!$F123=0,"",(VLOOKUP($C123,REV!$C:$AA,23,0)-'TRADE IN'!$F123))</f>
        <v>3299</v>
      </c>
      <c r="Z123" s="56">
        <f>IF(VLOOKUP($C123,REV!$C:$AA,24,0)-'TRADE IN'!$F123=0,"",(VLOOKUP($C123,REV!$C:$AA,24,0)-'TRADE IN'!$F123))</f>
        <v>3299</v>
      </c>
      <c r="AA123" s="56">
        <f>IF(VLOOKUP($C123,REV!$C:$AA,25,0)-'TRADE IN'!$F123=0,"",(VLOOKUP($C123,REV!$C:$AA,25,0)-'TRADE IN'!$F123))</f>
        <v>3249</v>
      </c>
      <c r="AB123" s="55">
        <f>IF(VLOOKUP($C123,REV!$C:$AL,27,0)-'TRADE IN'!$F123=0,"",(VLOOKUP($C123,REV!$C:$AL,27,0)-'TRADE IN'!$F123))</f>
        <v>4599</v>
      </c>
      <c r="AC123" s="55">
        <f>IF(VLOOKUP($C123,REV!$C:$AL,28,0)-'TRADE IN'!$F123=0,"",(VLOOKUP($C123,REV!$C:$AL,28,0)-'TRADE IN'!$F123))</f>
        <v>4599</v>
      </c>
      <c r="AD123" s="55">
        <f>IF(VLOOKUP($C123,REV!$C:$AL,29,0)-'TRADE IN'!$F123=0,"",(VLOOKUP($C123,REV!$C:$AL,29,0)-'TRADE IN'!$F123))</f>
        <v>4499</v>
      </c>
      <c r="AE123" s="55">
        <f>IF(VLOOKUP($C123,REV!$C:$AL,30,0)-'TRADE IN'!$F123=0,"",(VLOOKUP($C123,REV!$C:$AL,30,0)-'TRADE IN'!$F123))</f>
        <v>4399</v>
      </c>
      <c r="AF123" s="55">
        <f>IF(VLOOKUP($C123,REV!$C:$AL,31,0)-'TRADE IN'!$F123=0,"",(VLOOKUP($C123,REV!$C:$AL,31,0)-'TRADE IN'!$F123))</f>
        <v>4399</v>
      </c>
      <c r="AG123" s="55">
        <f>IF(VLOOKUP($C123,REV!$C:$AL,31,0)-'TRADE IN'!$F123=0,"",(VLOOKUP($C123,REV!$C:$AL,31,0)-'TRADE IN'!$F123))</f>
        <v>4399</v>
      </c>
      <c r="AH123" s="55">
        <f>IF(VLOOKUP($C123,REV!$C:$AL,32,0)-'TRADE IN'!$F123=0,"",(VLOOKUP($C123,REV!$C:$AL,32,0)-'TRADE IN'!$F123))</f>
        <v>3999</v>
      </c>
      <c r="AI123" s="55">
        <f>IF(VLOOKUP($C123,REV!$C:$AL,33,0)-'TRADE IN'!$F123=0,"",(VLOOKUP($C123,REV!$C:$AL,33,0)-'TRADE IN'!$F123))</f>
        <v>3999</v>
      </c>
      <c r="AJ123" s="55">
        <f>IF(VLOOKUP($C123,REV!$C:$AL,34,0)-'TRADE IN'!$F123=0,"",(VLOOKUP($C123,REV!$C:$AL,34,0)-'TRADE IN'!$F123))</f>
        <v>3999</v>
      </c>
      <c r="AK123" s="55">
        <f>IF(VLOOKUP($C123,REV!$C:$AL,35,0)-'TRADE IN'!$F123=0,"",(VLOOKUP($C123,REV!$C:$AL,35,0)-'TRADE IN'!$F123))</f>
        <v>3999</v>
      </c>
      <c r="AL123" s="55">
        <f>IF(VLOOKUP($C123,REV!$C:$AL,36,0)-'TRADE IN'!$F123=0,"",(VLOOKUP($C123,REV!$C:$AL,36,0)-'TRADE IN'!$F123))</f>
        <v>3299</v>
      </c>
      <c r="AM123" s="55"/>
      <c r="AN123" s="55"/>
      <c r="AO123" s="55"/>
      <c r="AP123" s="55"/>
      <c r="AQ123" s="55"/>
      <c r="AR123" s="55"/>
      <c r="AS123" s="55"/>
      <c r="AT123" s="55"/>
      <c r="AU123" s="55"/>
      <c r="AV123" s="57"/>
      <c r="AW123" s="58" t="str">
        <f>REV!AW123</f>
        <v>03.11.2026</v>
      </c>
      <c r="AX123" s="147" t="str">
        <f>VLOOKUP(C123,REV!C:AX,48,0)</f>
        <v>5G</v>
      </c>
    </row>
    <row r="124" spans="1:50" ht="22.5" customHeight="1">
      <c r="A124" s="51" t="s">
        <v>63</v>
      </c>
      <c r="B124" s="52" t="s">
        <v>64</v>
      </c>
      <c r="C124" s="53">
        <v>4017980</v>
      </c>
      <c r="D124" s="54" t="s">
        <v>207</v>
      </c>
      <c r="E124" s="54" t="s">
        <v>212</v>
      </c>
      <c r="F124" s="55">
        <v>500</v>
      </c>
      <c r="G124" s="55">
        <v>4899</v>
      </c>
      <c r="H124" s="55">
        <v>5399</v>
      </c>
      <c r="I124" s="55">
        <v>5399</v>
      </c>
      <c r="J124" s="56">
        <f>IF(VLOOKUP($C124,REV!$C:$AA,8,0)-'TRADE IN'!$F124=0,"",(VLOOKUP($C124,REV!$C:$AA,8,0)-'TRADE IN'!$F124))</f>
        <v>4599</v>
      </c>
      <c r="K124" s="56">
        <f>IF(VLOOKUP($C124,REV!$C:$AA,9,0)-'TRADE IN'!$F124=0,"",(VLOOKUP($C124,REV!$C:$AA,9,0)-'TRADE IN'!$F124))</f>
        <v>4599</v>
      </c>
      <c r="L124" s="56">
        <f>IF(VLOOKUP($C124,REV!$C:$AA,10,0)-'TRADE IN'!$F124=0,"",(VLOOKUP($C124,REV!$C:$AA,10,0)-'TRADE IN'!$F124))</f>
        <v>4599</v>
      </c>
      <c r="M124" s="56">
        <f>IF(VLOOKUP($C124,REV!$C:$AA,11,0)-'TRADE IN'!$F124=0,"",(VLOOKUP($C124,REV!$C:$AA,11,0)-'TRADE IN'!$F124))</f>
        <v>4599</v>
      </c>
      <c r="N124" s="56">
        <f>IF(VLOOKUP($C124,REV!$C:$AA,12,0)-'TRADE IN'!$F124=0,"",(VLOOKUP($C124,REV!$C:$AA,12,0)-'TRADE IN'!$F124))</f>
        <v>4599</v>
      </c>
      <c r="O124" s="56">
        <f>IF(VLOOKUP($C124,REV!$C:$AA,13,0)-'TRADE IN'!$F124=0,"",(VLOOKUP($C124,REV!$C:$AA,13,0)-'TRADE IN'!$F124))</f>
        <v>4499</v>
      </c>
      <c r="P124" s="56">
        <f>IF(VLOOKUP($C124,REV!$C:$AA,14,0)-'TRADE IN'!$F124=0,"",(VLOOKUP($C124,REV!$C:$AA,14,0)-'TRADE IN'!$F124))</f>
        <v>4399</v>
      </c>
      <c r="Q124" s="56">
        <f>IF(VLOOKUP($C124,REV!$C:$AA,15,0)-'TRADE IN'!$F124=0,"",(VLOOKUP($C124,REV!$C:$AA,15,0)-'TRADE IN'!$F124))</f>
        <v>3999</v>
      </c>
      <c r="R124" s="56">
        <f>IF(VLOOKUP($C124,REV!$C:$AA,16,0)-'TRADE IN'!$F124=0,"",(VLOOKUP($C124,REV!$C:$AA,16,0)-'TRADE IN'!$F124))</f>
        <v>4499</v>
      </c>
      <c r="S124" s="56">
        <f>IF(VLOOKUP($C124,REV!$C:$AA,17,0)-'TRADE IN'!$F124=0,"",(VLOOKUP($C124,REV!$C:$AA,17,0)-'TRADE IN'!$F124))</f>
        <v>4399</v>
      </c>
      <c r="T124" s="56">
        <f>IF(VLOOKUP($C124,REV!$C:$AA,18,0)-'TRADE IN'!$F124=0,"",(VLOOKUP($C124,REV!$C:$AA,18,0)-'TRADE IN'!$F124))</f>
        <v>3999</v>
      </c>
      <c r="U124" s="56">
        <f>IF(VLOOKUP($C124,REV!$C:$AA,19,0)-'TRADE IN'!$F124=0,"",(VLOOKUP($C124,REV!$C:$AA,19,0)-'TRADE IN'!$F124))</f>
        <v>3999</v>
      </c>
      <c r="V124" s="56">
        <f>IF(VLOOKUP($C124,REV!$C:$AA,20,0)-'TRADE IN'!$F124=0,"",(VLOOKUP($C124,REV!$C:$AA,20,0)-'TRADE IN'!$F124))</f>
        <v>3999</v>
      </c>
      <c r="W124" s="56">
        <f>IF(VLOOKUP($C124,REV!$C:$AA,21,0)-'TRADE IN'!$F124=0,"",(VLOOKUP($C124,REV!$C:$AA,21,0)-'TRADE IN'!$F124))</f>
        <v>3999</v>
      </c>
      <c r="X124" s="56">
        <f>IF(VLOOKUP($C124,REV!$C:$AA,22,0)-'TRADE IN'!$F124=0,"",(VLOOKUP($C124,REV!$C:$AA,22,0)-'TRADE IN'!$F124))</f>
        <v>3899</v>
      </c>
      <c r="Y124" s="56">
        <f>IF(VLOOKUP($C124,REV!$C:$AA,23,0)-'TRADE IN'!$F124=0,"",(VLOOKUP($C124,REV!$C:$AA,23,0)-'TRADE IN'!$F124))</f>
        <v>3299</v>
      </c>
      <c r="Z124" s="56">
        <f>IF(VLOOKUP($C124,REV!$C:$AA,24,0)-'TRADE IN'!$F124=0,"",(VLOOKUP($C124,REV!$C:$AA,24,0)-'TRADE IN'!$F124))</f>
        <v>3299</v>
      </c>
      <c r="AA124" s="56">
        <f>IF(VLOOKUP($C124,REV!$C:$AA,25,0)-'TRADE IN'!$F124=0,"",(VLOOKUP($C124,REV!$C:$AA,25,0)-'TRADE IN'!$F124))</f>
        <v>3249</v>
      </c>
      <c r="AB124" s="55">
        <f>IF(VLOOKUP($C124,REV!$C:$AL,27,0)-'TRADE IN'!$F124=0,"",(VLOOKUP($C124,REV!$C:$AL,27,0)-'TRADE IN'!$F124))</f>
        <v>4599</v>
      </c>
      <c r="AC124" s="55">
        <f>IF(VLOOKUP($C124,REV!$C:$AL,28,0)-'TRADE IN'!$F124=0,"",(VLOOKUP($C124,REV!$C:$AL,28,0)-'TRADE IN'!$F124))</f>
        <v>4599</v>
      </c>
      <c r="AD124" s="55">
        <f>IF(VLOOKUP($C124,REV!$C:$AL,29,0)-'TRADE IN'!$F124=0,"",(VLOOKUP($C124,REV!$C:$AL,29,0)-'TRADE IN'!$F124))</f>
        <v>4499</v>
      </c>
      <c r="AE124" s="55">
        <f>IF(VLOOKUP($C124,REV!$C:$AL,30,0)-'TRADE IN'!$F124=0,"",(VLOOKUP($C124,REV!$C:$AL,30,0)-'TRADE IN'!$F124))</f>
        <v>4399</v>
      </c>
      <c r="AF124" s="55">
        <f>IF(VLOOKUP($C124,REV!$C:$AL,31,0)-'TRADE IN'!$F124=0,"",(VLOOKUP($C124,REV!$C:$AL,31,0)-'TRADE IN'!$F124))</f>
        <v>4399</v>
      </c>
      <c r="AG124" s="55">
        <f>IF(VLOOKUP($C124,REV!$C:$AL,31,0)-'TRADE IN'!$F124=0,"",(VLOOKUP($C124,REV!$C:$AL,31,0)-'TRADE IN'!$F124))</f>
        <v>4399</v>
      </c>
      <c r="AH124" s="55">
        <f>IF(VLOOKUP($C124,REV!$C:$AL,32,0)-'TRADE IN'!$F124=0,"",(VLOOKUP($C124,REV!$C:$AL,32,0)-'TRADE IN'!$F124))</f>
        <v>3999</v>
      </c>
      <c r="AI124" s="55">
        <f>IF(VLOOKUP($C124,REV!$C:$AL,33,0)-'TRADE IN'!$F124=0,"",(VLOOKUP($C124,REV!$C:$AL,33,0)-'TRADE IN'!$F124))</f>
        <v>3999</v>
      </c>
      <c r="AJ124" s="55">
        <f>IF(VLOOKUP($C124,REV!$C:$AL,34,0)-'TRADE IN'!$F124=0,"",(VLOOKUP($C124,REV!$C:$AL,34,0)-'TRADE IN'!$F124))</f>
        <v>3999</v>
      </c>
      <c r="AK124" s="55">
        <f>IF(VLOOKUP($C124,REV!$C:$AL,35,0)-'TRADE IN'!$F124=0,"",(VLOOKUP($C124,REV!$C:$AL,35,0)-'TRADE IN'!$F124))</f>
        <v>3999</v>
      </c>
      <c r="AL124" s="55">
        <f>IF(VLOOKUP($C124,REV!$C:$AL,36,0)-'TRADE IN'!$F124=0,"",(VLOOKUP($C124,REV!$C:$AL,36,0)-'TRADE IN'!$F124))</f>
        <v>3299</v>
      </c>
      <c r="AM124" s="55"/>
      <c r="AN124" s="55"/>
      <c r="AO124" s="55"/>
      <c r="AP124" s="55"/>
      <c r="AQ124" s="55"/>
      <c r="AR124" s="55"/>
      <c r="AS124" s="55"/>
      <c r="AT124" s="55"/>
      <c r="AU124" s="55"/>
      <c r="AV124" s="57"/>
      <c r="AW124" s="58" t="str">
        <f>REV!AW124</f>
        <v>03.11.2026</v>
      </c>
      <c r="AX124" s="147" t="str">
        <f>VLOOKUP(C124,REV!C:AX,48,0)</f>
        <v>5G</v>
      </c>
    </row>
    <row r="125" spans="1:50" ht="22.5" customHeight="1">
      <c r="A125" s="51" t="s">
        <v>63</v>
      </c>
      <c r="B125" s="52" t="s">
        <v>64</v>
      </c>
      <c r="C125" s="53">
        <v>4017985</v>
      </c>
      <c r="D125" s="54" t="s">
        <v>207</v>
      </c>
      <c r="E125" s="54" t="s">
        <v>213</v>
      </c>
      <c r="F125" s="55">
        <v>500</v>
      </c>
      <c r="G125" s="55">
        <v>4899</v>
      </c>
      <c r="H125" s="55">
        <v>5399</v>
      </c>
      <c r="I125" s="55">
        <v>5399</v>
      </c>
      <c r="J125" s="56">
        <f>IF(VLOOKUP($C125,REV!$C:$AA,8,0)-'TRADE IN'!$F125=0,"",(VLOOKUP($C125,REV!$C:$AA,8,0)-'TRADE IN'!$F125))</f>
        <v>4599</v>
      </c>
      <c r="K125" s="56">
        <f>IF(VLOOKUP($C125,REV!$C:$AA,9,0)-'TRADE IN'!$F125=0,"",(VLOOKUP($C125,REV!$C:$AA,9,0)-'TRADE IN'!$F125))</f>
        <v>4599</v>
      </c>
      <c r="L125" s="56">
        <f>IF(VLOOKUP($C125,REV!$C:$AA,10,0)-'TRADE IN'!$F125=0,"",(VLOOKUP($C125,REV!$C:$AA,10,0)-'TRADE IN'!$F125))</f>
        <v>4599</v>
      </c>
      <c r="M125" s="56">
        <f>IF(VLOOKUP($C125,REV!$C:$AA,11,0)-'TRADE IN'!$F125=0,"",(VLOOKUP($C125,REV!$C:$AA,11,0)-'TRADE IN'!$F125))</f>
        <v>4599</v>
      </c>
      <c r="N125" s="56">
        <f>IF(VLOOKUP($C125,REV!$C:$AA,12,0)-'TRADE IN'!$F125=0,"",(VLOOKUP($C125,REV!$C:$AA,12,0)-'TRADE IN'!$F125))</f>
        <v>4599</v>
      </c>
      <c r="O125" s="56">
        <f>IF(VLOOKUP($C125,REV!$C:$AA,13,0)-'TRADE IN'!$F125=0,"",(VLOOKUP($C125,REV!$C:$AA,13,0)-'TRADE IN'!$F125))</f>
        <v>4499</v>
      </c>
      <c r="P125" s="56">
        <f>IF(VLOOKUP($C125,REV!$C:$AA,14,0)-'TRADE IN'!$F125=0,"",(VLOOKUP($C125,REV!$C:$AA,14,0)-'TRADE IN'!$F125))</f>
        <v>4399</v>
      </c>
      <c r="Q125" s="56">
        <f>IF(VLOOKUP($C125,REV!$C:$AA,15,0)-'TRADE IN'!$F125=0,"",(VLOOKUP($C125,REV!$C:$AA,15,0)-'TRADE IN'!$F125))</f>
        <v>3999</v>
      </c>
      <c r="R125" s="56">
        <f>IF(VLOOKUP($C125,REV!$C:$AA,16,0)-'TRADE IN'!$F125=0,"",(VLOOKUP($C125,REV!$C:$AA,16,0)-'TRADE IN'!$F125))</f>
        <v>4499</v>
      </c>
      <c r="S125" s="56">
        <f>IF(VLOOKUP($C125,REV!$C:$AA,17,0)-'TRADE IN'!$F125=0,"",(VLOOKUP($C125,REV!$C:$AA,17,0)-'TRADE IN'!$F125))</f>
        <v>4399</v>
      </c>
      <c r="T125" s="56">
        <f>IF(VLOOKUP($C125,REV!$C:$AA,18,0)-'TRADE IN'!$F125=0,"",(VLOOKUP($C125,REV!$C:$AA,18,0)-'TRADE IN'!$F125))</f>
        <v>3999</v>
      </c>
      <c r="U125" s="56">
        <f>IF(VLOOKUP($C125,REV!$C:$AA,19,0)-'TRADE IN'!$F125=0,"",(VLOOKUP($C125,REV!$C:$AA,19,0)-'TRADE IN'!$F125))</f>
        <v>3999</v>
      </c>
      <c r="V125" s="56">
        <f>IF(VLOOKUP($C125,REV!$C:$AA,20,0)-'TRADE IN'!$F125=0,"",(VLOOKUP($C125,REV!$C:$AA,20,0)-'TRADE IN'!$F125))</f>
        <v>3999</v>
      </c>
      <c r="W125" s="56">
        <f>IF(VLOOKUP($C125,REV!$C:$AA,21,0)-'TRADE IN'!$F125=0,"",(VLOOKUP($C125,REV!$C:$AA,21,0)-'TRADE IN'!$F125))</f>
        <v>3999</v>
      </c>
      <c r="X125" s="56">
        <f>IF(VLOOKUP($C125,REV!$C:$AA,22,0)-'TRADE IN'!$F125=0,"",(VLOOKUP($C125,REV!$C:$AA,22,0)-'TRADE IN'!$F125))</f>
        <v>3899</v>
      </c>
      <c r="Y125" s="56">
        <f>IF(VLOOKUP($C125,REV!$C:$AA,23,0)-'TRADE IN'!$F125=0,"",(VLOOKUP($C125,REV!$C:$AA,23,0)-'TRADE IN'!$F125))</f>
        <v>3299</v>
      </c>
      <c r="Z125" s="56">
        <f>IF(VLOOKUP($C125,REV!$C:$AA,24,0)-'TRADE IN'!$F125=0,"",(VLOOKUP($C125,REV!$C:$AA,24,0)-'TRADE IN'!$F125))</f>
        <v>3299</v>
      </c>
      <c r="AA125" s="56">
        <f>IF(VLOOKUP($C125,REV!$C:$AA,25,0)-'TRADE IN'!$F125=0,"",(VLOOKUP($C125,REV!$C:$AA,25,0)-'TRADE IN'!$F125))</f>
        <v>3249</v>
      </c>
      <c r="AB125" s="55">
        <f>IF(VLOOKUP($C125,REV!$C:$AL,27,0)-'TRADE IN'!$F125=0,"",(VLOOKUP($C125,REV!$C:$AL,27,0)-'TRADE IN'!$F125))</f>
        <v>4599</v>
      </c>
      <c r="AC125" s="55">
        <f>IF(VLOOKUP($C125,REV!$C:$AL,28,0)-'TRADE IN'!$F125=0,"",(VLOOKUP($C125,REV!$C:$AL,28,0)-'TRADE IN'!$F125))</f>
        <v>4599</v>
      </c>
      <c r="AD125" s="55">
        <f>IF(VLOOKUP($C125,REV!$C:$AL,29,0)-'TRADE IN'!$F125=0,"",(VLOOKUP($C125,REV!$C:$AL,29,0)-'TRADE IN'!$F125))</f>
        <v>4499</v>
      </c>
      <c r="AE125" s="55">
        <f>IF(VLOOKUP($C125,REV!$C:$AL,30,0)-'TRADE IN'!$F125=0,"",(VLOOKUP($C125,REV!$C:$AL,30,0)-'TRADE IN'!$F125))</f>
        <v>4399</v>
      </c>
      <c r="AF125" s="55">
        <f>IF(VLOOKUP($C125,REV!$C:$AL,31,0)-'TRADE IN'!$F125=0,"",(VLOOKUP($C125,REV!$C:$AL,31,0)-'TRADE IN'!$F125))</f>
        <v>4399</v>
      </c>
      <c r="AG125" s="55">
        <f>IF(VLOOKUP($C125,REV!$C:$AL,31,0)-'TRADE IN'!$F125=0,"",(VLOOKUP($C125,REV!$C:$AL,31,0)-'TRADE IN'!$F125))</f>
        <v>4399</v>
      </c>
      <c r="AH125" s="55">
        <f>IF(VLOOKUP($C125,REV!$C:$AL,32,0)-'TRADE IN'!$F125=0,"",(VLOOKUP($C125,REV!$C:$AL,32,0)-'TRADE IN'!$F125))</f>
        <v>3999</v>
      </c>
      <c r="AI125" s="55">
        <f>IF(VLOOKUP($C125,REV!$C:$AL,33,0)-'TRADE IN'!$F125=0,"",(VLOOKUP($C125,REV!$C:$AL,33,0)-'TRADE IN'!$F125))</f>
        <v>3999</v>
      </c>
      <c r="AJ125" s="55">
        <f>IF(VLOOKUP($C125,REV!$C:$AL,34,0)-'TRADE IN'!$F125=0,"",(VLOOKUP($C125,REV!$C:$AL,34,0)-'TRADE IN'!$F125))</f>
        <v>3999</v>
      </c>
      <c r="AK125" s="55">
        <f>IF(VLOOKUP($C125,REV!$C:$AL,35,0)-'TRADE IN'!$F125=0,"",(VLOOKUP($C125,REV!$C:$AL,35,0)-'TRADE IN'!$F125))</f>
        <v>3999</v>
      </c>
      <c r="AL125" s="55">
        <f>IF(VLOOKUP($C125,REV!$C:$AL,36,0)-'TRADE IN'!$F125=0,"",(VLOOKUP($C125,REV!$C:$AL,36,0)-'TRADE IN'!$F125))</f>
        <v>3299</v>
      </c>
      <c r="AM125" s="55"/>
      <c r="AN125" s="55"/>
      <c r="AO125" s="55"/>
      <c r="AP125" s="55"/>
      <c r="AQ125" s="55"/>
      <c r="AR125" s="55"/>
      <c r="AS125" s="55"/>
      <c r="AT125" s="55"/>
      <c r="AU125" s="55"/>
      <c r="AV125" s="57"/>
      <c r="AW125" s="58" t="str">
        <f>REV!AW125</f>
        <v>03.11.2026</v>
      </c>
      <c r="AX125" s="147" t="str">
        <f>VLOOKUP(C125,REV!C:AX,48,0)</f>
        <v>5G</v>
      </c>
    </row>
    <row r="126" spans="1:50" ht="22.5" customHeight="1">
      <c r="A126" s="51" t="s">
        <v>63</v>
      </c>
      <c r="B126" s="52" t="s">
        <v>64</v>
      </c>
      <c r="C126" s="53">
        <v>4018280</v>
      </c>
      <c r="D126" s="54" t="s">
        <v>214</v>
      </c>
      <c r="E126" s="54" t="s">
        <v>215</v>
      </c>
      <c r="F126" s="55"/>
      <c r="G126" s="55"/>
      <c r="H126" s="55"/>
      <c r="I126" s="55"/>
      <c r="J126" s="56">
        <f>IF(VLOOKUP($C126,REV!$C:$AA,8,0)-'TRADE IN'!$F126=0,"",(VLOOKUP($C126,REV!$C:$AA,8,0)-'TRADE IN'!$F126))</f>
        <v>10899</v>
      </c>
      <c r="K126" s="56">
        <f>IF(VLOOKUP($C126,REV!$C:$AA,9,0)-'TRADE IN'!$F126=0,"",(VLOOKUP($C126,REV!$C:$AA,9,0)-'TRADE IN'!$F126))</f>
        <v>10899</v>
      </c>
      <c r="L126" s="56">
        <f>IF(VLOOKUP($C126,REV!$C:$AA,10,0)-'TRADE IN'!$F126=0,"",(VLOOKUP($C126,REV!$C:$AA,10,0)-'TRADE IN'!$F126))</f>
        <v>10899</v>
      </c>
      <c r="M126" s="56">
        <f>IF(VLOOKUP($C126,REV!$C:$AA,11,0)-'TRADE IN'!$F126=0,"",(VLOOKUP($C126,REV!$C:$AA,11,0)-'TRADE IN'!$F126))</f>
        <v>10899</v>
      </c>
      <c r="N126" s="56">
        <f>IF(VLOOKUP($C126,REV!$C:$AA,12,0)-'TRADE IN'!$F126=0,"",(VLOOKUP($C126,REV!$C:$AA,12,0)-'TRADE IN'!$F126))</f>
        <v>10899</v>
      </c>
      <c r="O126" s="56">
        <f>IF(VLOOKUP($C126,REV!$C:$AA,13,0)-'TRADE IN'!$F126=0,"",(VLOOKUP($C126,REV!$C:$AA,13,0)-'TRADE IN'!$F126))</f>
        <v>10799</v>
      </c>
      <c r="P126" s="56">
        <f>IF(VLOOKUP($C126,REV!$C:$AA,14,0)-'TRADE IN'!$F126=0,"",(VLOOKUP($C126,REV!$C:$AA,14,0)-'TRADE IN'!$F126))</f>
        <v>10699</v>
      </c>
      <c r="Q126" s="56">
        <f>IF(VLOOKUP($C126,REV!$C:$AA,15,0)-'TRADE IN'!$F126=0,"",(VLOOKUP($C126,REV!$C:$AA,15,0)-'TRADE IN'!$F126))</f>
        <v>9999</v>
      </c>
      <c r="R126" s="56">
        <f>IF(VLOOKUP($C126,REV!$C:$AA,16,0)-'TRADE IN'!$F126=0,"",(VLOOKUP($C126,REV!$C:$AA,16,0)-'TRADE IN'!$F126))</f>
        <v>10799</v>
      </c>
      <c r="S126" s="56">
        <f>IF(VLOOKUP($C126,REV!$C:$AA,17,0)-'TRADE IN'!$F126=0,"",(VLOOKUP($C126,REV!$C:$AA,17,0)-'TRADE IN'!$F126))</f>
        <v>10699</v>
      </c>
      <c r="T126" s="56">
        <f>IF(VLOOKUP($C126,REV!$C:$AA,18,0)-'TRADE IN'!$F126=0,"",(VLOOKUP($C126,REV!$C:$AA,18,0)-'TRADE IN'!$F126))</f>
        <v>9999</v>
      </c>
      <c r="U126" s="56">
        <f>IF(VLOOKUP($C126,REV!$C:$AA,19,0)-'TRADE IN'!$F126=0,"",(VLOOKUP($C126,REV!$C:$AA,19,0)-'TRADE IN'!$F126))</f>
        <v>9999</v>
      </c>
      <c r="V126" s="56">
        <f>IF(VLOOKUP($C126,REV!$C:$AA,20,0)-'TRADE IN'!$F126=0,"",(VLOOKUP($C126,REV!$C:$AA,20,0)-'TRADE IN'!$F126))</f>
        <v>9999</v>
      </c>
      <c r="W126" s="56">
        <f>IF(VLOOKUP($C126,REV!$C:$AA,21,0)-'TRADE IN'!$F126=0,"",(VLOOKUP($C126,REV!$C:$AA,21,0)-'TRADE IN'!$F126))</f>
        <v>9999</v>
      </c>
      <c r="X126" s="56">
        <f>IF(VLOOKUP($C126,REV!$C:$AA,22,0)-'TRADE IN'!$F126=0,"",(VLOOKUP($C126,REV!$C:$AA,22,0)-'TRADE IN'!$F126))</f>
        <v>9899</v>
      </c>
      <c r="Y126" s="56">
        <f>IF(VLOOKUP($C126,REV!$C:$AA,23,0)-'TRADE IN'!$F126=0,"",(VLOOKUP($C126,REV!$C:$AA,23,0)-'TRADE IN'!$F126))</f>
        <v>9499</v>
      </c>
      <c r="Z126" s="56">
        <f>IF(VLOOKUP($C126,REV!$C:$AA,24,0)-'TRADE IN'!$F126=0,"",(VLOOKUP($C126,REV!$C:$AA,24,0)-'TRADE IN'!$F126))</f>
        <v>9499</v>
      </c>
      <c r="AA126" s="56">
        <f>IF(VLOOKUP($C126,REV!$C:$AA,25,0)-'TRADE IN'!$F126=0,"",(VLOOKUP($C126,REV!$C:$AA,25,0)-'TRADE IN'!$F126))</f>
        <v>9299</v>
      </c>
      <c r="AB126" s="55">
        <f>IF(VLOOKUP($C126,REV!$C:$AL,27,0)-'TRADE IN'!$F126=0,"",(VLOOKUP($C126,REV!$C:$AL,27,0)-'TRADE IN'!$F126))</f>
        <v>10899</v>
      </c>
      <c r="AC126" s="55">
        <f>IF(VLOOKUP($C126,REV!$C:$AL,28,0)-'TRADE IN'!$F126=0,"",(VLOOKUP($C126,REV!$C:$AL,28,0)-'TRADE IN'!$F126))</f>
        <v>10899</v>
      </c>
      <c r="AD126" s="55">
        <f>IF(VLOOKUP($C126,REV!$C:$AL,29,0)-'TRADE IN'!$F126=0,"",(VLOOKUP($C126,REV!$C:$AL,29,0)-'TRADE IN'!$F126))</f>
        <v>10899</v>
      </c>
      <c r="AE126" s="55">
        <f>IF(VLOOKUP($C126,REV!$C:$AL,30,0)-'TRADE IN'!$F126=0,"",(VLOOKUP($C126,REV!$C:$AL,30,0)-'TRADE IN'!$F126))</f>
        <v>10799</v>
      </c>
      <c r="AF126" s="55">
        <f>IF(VLOOKUP($C126,REV!$C:$AL,31,0)-'TRADE IN'!$F126=0,"",(VLOOKUP($C126,REV!$C:$AL,31,0)-'TRADE IN'!$F126))</f>
        <v>10699</v>
      </c>
      <c r="AG126" s="55">
        <f>IF(VLOOKUP($C126,REV!$C:$AL,31,0)-'TRADE IN'!$F126=0,"",(VLOOKUP($C126,REV!$C:$AL,31,0)-'TRADE IN'!$F126))</f>
        <v>10699</v>
      </c>
      <c r="AH126" s="55">
        <f>IF(VLOOKUP($C126,REV!$C:$AL,32,0)-'TRADE IN'!$F126=0,"",(VLOOKUP($C126,REV!$C:$AL,32,0)-'TRADE IN'!$F126))</f>
        <v>9999</v>
      </c>
      <c r="AI126" s="55">
        <f>IF(VLOOKUP($C126,REV!$C:$AL,33,0)-'TRADE IN'!$F126=0,"",(VLOOKUP($C126,REV!$C:$AL,33,0)-'TRADE IN'!$F126))</f>
        <v>9999</v>
      </c>
      <c r="AJ126" s="55">
        <f>IF(VLOOKUP($C126,REV!$C:$AL,34,0)-'TRADE IN'!$F126=0,"",(VLOOKUP($C126,REV!$C:$AL,34,0)-'TRADE IN'!$F126))</f>
        <v>9999</v>
      </c>
      <c r="AK126" s="55">
        <f>IF(VLOOKUP($C126,REV!$C:$AL,35,0)-'TRADE IN'!$F126=0,"",(VLOOKUP($C126,REV!$C:$AL,35,0)-'TRADE IN'!$F126))</f>
        <v>9999</v>
      </c>
      <c r="AL126" s="55">
        <f>IF(VLOOKUP($C126,REV!$C:$AL,36,0)-'TRADE IN'!$F126=0,"",(VLOOKUP($C126,REV!$C:$AL,36,0)-'TRADE IN'!$F126))</f>
        <v>9499</v>
      </c>
      <c r="AM126" s="55"/>
      <c r="AN126" s="55"/>
      <c r="AO126" s="55"/>
      <c r="AP126" s="55"/>
      <c r="AQ126" s="55"/>
      <c r="AR126" s="55"/>
      <c r="AS126" s="55"/>
      <c r="AT126" s="55"/>
      <c r="AU126" s="55"/>
      <c r="AV126" s="57"/>
      <c r="AW126" s="58" t="str">
        <f>REV!AW126</f>
        <v>03.11.2026</v>
      </c>
      <c r="AX126" s="147" t="str">
        <f>VLOOKUP(C126,REV!C:AX,48,0)</f>
        <v>5G</v>
      </c>
    </row>
    <row r="127" spans="1:50" ht="22.5" customHeight="1">
      <c r="A127" s="51" t="s">
        <v>63</v>
      </c>
      <c r="B127" s="52" t="s">
        <v>64</v>
      </c>
      <c r="C127" s="53">
        <v>4018283</v>
      </c>
      <c r="D127" s="54" t="s">
        <v>214</v>
      </c>
      <c r="E127" s="54" t="s">
        <v>216</v>
      </c>
      <c r="F127" s="55"/>
      <c r="G127" s="55"/>
      <c r="H127" s="55"/>
      <c r="I127" s="55"/>
      <c r="J127" s="56">
        <f>IF(VLOOKUP($C127,REV!$C:$AA,8,0)-'TRADE IN'!$F127=0,"",(VLOOKUP($C127,REV!$C:$AA,8,0)-'TRADE IN'!$F127))</f>
        <v>10899</v>
      </c>
      <c r="K127" s="56">
        <f>IF(VLOOKUP($C127,REV!$C:$AA,9,0)-'TRADE IN'!$F127=0,"",(VLOOKUP($C127,REV!$C:$AA,9,0)-'TRADE IN'!$F127))</f>
        <v>10899</v>
      </c>
      <c r="L127" s="56">
        <f>IF(VLOOKUP($C127,REV!$C:$AA,10,0)-'TRADE IN'!$F127=0,"",(VLOOKUP($C127,REV!$C:$AA,10,0)-'TRADE IN'!$F127))</f>
        <v>10899</v>
      </c>
      <c r="M127" s="56">
        <f>IF(VLOOKUP($C127,REV!$C:$AA,11,0)-'TRADE IN'!$F127=0,"",(VLOOKUP($C127,REV!$C:$AA,11,0)-'TRADE IN'!$F127))</f>
        <v>10899</v>
      </c>
      <c r="N127" s="56">
        <f>IF(VLOOKUP($C127,REV!$C:$AA,12,0)-'TRADE IN'!$F127=0,"",(VLOOKUP($C127,REV!$C:$AA,12,0)-'TRADE IN'!$F127))</f>
        <v>10899</v>
      </c>
      <c r="O127" s="56">
        <f>IF(VLOOKUP($C127,REV!$C:$AA,13,0)-'TRADE IN'!$F127=0,"",(VLOOKUP($C127,REV!$C:$AA,13,0)-'TRADE IN'!$F127))</f>
        <v>10799</v>
      </c>
      <c r="P127" s="56">
        <f>IF(VLOOKUP($C127,REV!$C:$AA,14,0)-'TRADE IN'!$F127=0,"",(VLOOKUP($C127,REV!$C:$AA,14,0)-'TRADE IN'!$F127))</f>
        <v>10699</v>
      </c>
      <c r="Q127" s="56">
        <f>IF(VLOOKUP($C127,REV!$C:$AA,15,0)-'TRADE IN'!$F127=0,"",(VLOOKUP($C127,REV!$C:$AA,15,0)-'TRADE IN'!$F127))</f>
        <v>9999</v>
      </c>
      <c r="R127" s="56">
        <f>IF(VLOOKUP($C127,REV!$C:$AA,16,0)-'TRADE IN'!$F127=0,"",(VLOOKUP($C127,REV!$C:$AA,16,0)-'TRADE IN'!$F127))</f>
        <v>10799</v>
      </c>
      <c r="S127" s="56">
        <f>IF(VLOOKUP($C127,REV!$C:$AA,17,0)-'TRADE IN'!$F127=0,"",(VLOOKUP($C127,REV!$C:$AA,17,0)-'TRADE IN'!$F127))</f>
        <v>10699</v>
      </c>
      <c r="T127" s="56">
        <f>IF(VLOOKUP($C127,REV!$C:$AA,18,0)-'TRADE IN'!$F127=0,"",(VLOOKUP($C127,REV!$C:$AA,18,0)-'TRADE IN'!$F127))</f>
        <v>9999</v>
      </c>
      <c r="U127" s="56">
        <f>IF(VLOOKUP($C127,REV!$C:$AA,19,0)-'TRADE IN'!$F127=0,"",(VLOOKUP($C127,REV!$C:$AA,19,0)-'TRADE IN'!$F127))</f>
        <v>9999</v>
      </c>
      <c r="V127" s="56">
        <f>IF(VLOOKUP($C127,REV!$C:$AA,20,0)-'TRADE IN'!$F127=0,"",(VLOOKUP($C127,REV!$C:$AA,20,0)-'TRADE IN'!$F127))</f>
        <v>9999</v>
      </c>
      <c r="W127" s="56">
        <f>IF(VLOOKUP($C127,REV!$C:$AA,21,0)-'TRADE IN'!$F127=0,"",(VLOOKUP($C127,REV!$C:$AA,21,0)-'TRADE IN'!$F127))</f>
        <v>9999</v>
      </c>
      <c r="X127" s="56">
        <f>IF(VLOOKUP($C127,REV!$C:$AA,22,0)-'TRADE IN'!$F127=0,"",(VLOOKUP($C127,REV!$C:$AA,22,0)-'TRADE IN'!$F127))</f>
        <v>9899</v>
      </c>
      <c r="Y127" s="56">
        <f>IF(VLOOKUP($C127,REV!$C:$AA,23,0)-'TRADE IN'!$F127=0,"",(VLOOKUP($C127,REV!$C:$AA,23,0)-'TRADE IN'!$F127))</f>
        <v>9499</v>
      </c>
      <c r="Z127" s="56">
        <f>IF(VLOOKUP($C127,REV!$C:$AA,24,0)-'TRADE IN'!$F127=0,"",(VLOOKUP($C127,REV!$C:$AA,24,0)-'TRADE IN'!$F127))</f>
        <v>9499</v>
      </c>
      <c r="AA127" s="56">
        <f>IF(VLOOKUP($C127,REV!$C:$AA,25,0)-'TRADE IN'!$F127=0,"",(VLOOKUP($C127,REV!$C:$AA,25,0)-'TRADE IN'!$F127))</f>
        <v>9299</v>
      </c>
      <c r="AB127" s="55">
        <f>IF(VLOOKUP($C127,REV!$C:$AL,27,0)-'TRADE IN'!$F127=0,"",(VLOOKUP($C127,REV!$C:$AL,27,0)-'TRADE IN'!$F127))</f>
        <v>10899</v>
      </c>
      <c r="AC127" s="55">
        <f>IF(VLOOKUP($C127,REV!$C:$AL,28,0)-'TRADE IN'!$F127=0,"",(VLOOKUP($C127,REV!$C:$AL,28,0)-'TRADE IN'!$F127))</f>
        <v>10899</v>
      </c>
      <c r="AD127" s="55">
        <f>IF(VLOOKUP($C127,REV!$C:$AL,29,0)-'TRADE IN'!$F127=0,"",(VLOOKUP($C127,REV!$C:$AL,29,0)-'TRADE IN'!$F127))</f>
        <v>10899</v>
      </c>
      <c r="AE127" s="55">
        <f>IF(VLOOKUP($C127,REV!$C:$AL,30,0)-'TRADE IN'!$F127=0,"",(VLOOKUP($C127,REV!$C:$AL,30,0)-'TRADE IN'!$F127))</f>
        <v>10799</v>
      </c>
      <c r="AF127" s="55">
        <f>IF(VLOOKUP($C127,REV!$C:$AL,31,0)-'TRADE IN'!$F127=0,"",(VLOOKUP($C127,REV!$C:$AL,31,0)-'TRADE IN'!$F127))</f>
        <v>10699</v>
      </c>
      <c r="AG127" s="55">
        <f>IF(VLOOKUP($C127,REV!$C:$AL,31,0)-'TRADE IN'!$F127=0,"",(VLOOKUP($C127,REV!$C:$AL,31,0)-'TRADE IN'!$F127))</f>
        <v>10699</v>
      </c>
      <c r="AH127" s="55">
        <f>IF(VLOOKUP($C127,REV!$C:$AL,32,0)-'TRADE IN'!$F127=0,"",(VLOOKUP($C127,REV!$C:$AL,32,0)-'TRADE IN'!$F127))</f>
        <v>9999</v>
      </c>
      <c r="AI127" s="55">
        <f>IF(VLOOKUP($C127,REV!$C:$AL,33,0)-'TRADE IN'!$F127=0,"",(VLOOKUP($C127,REV!$C:$AL,33,0)-'TRADE IN'!$F127))</f>
        <v>9999</v>
      </c>
      <c r="AJ127" s="55">
        <f>IF(VLOOKUP($C127,REV!$C:$AL,34,0)-'TRADE IN'!$F127=0,"",(VLOOKUP($C127,REV!$C:$AL,34,0)-'TRADE IN'!$F127))</f>
        <v>9999</v>
      </c>
      <c r="AK127" s="55">
        <f>IF(VLOOKUP($C127,REV!$C:$AL,35,0)-'TRADE IN'!$F127=0,"",(VLOOKUP($C127,REV!$C:$AL,35,0)-'TRADE IN'!$F127))</f>
        <v>9999</v>
      </c>
      <c r="AL127" s="55">
        <f>IF(VLOOKUP($C127,REV!$C:$AL,36,0)-'TRADE IN'!$F127=0,"",(VLOOKUP($C127,REV!$C:$AL,36,0)-'TRADE IN'!$F127))</f>
        <v>9499</v>
      </c>
      <c r="AM127" s="55"/>
      <c r="AN127" s="55"/>
      <c r="AO127" s="55"/>
      <c r="AP127" s="55"/>
      <c r="AQ127" s="55"/>
      <c r="AR127" s="55"/>
      <c r="AS127" s="55"/>
      <c r="AT127" s="55"/>
      <c r="AU127" s="55"/>
      <c r="AV127" s="57"/>
      <c r="AW127" s="58" t="str">
        <f>REV!AW127</f>
        <v>03.11.2026</v>
      </c>
      <c r="AX127" s="147" t="str">
        <f>VLOOKUP(C127,REV!C:AX,48,0)</f>
        <v>5G</v>
      </c>
    </row>
    <row r="128" spans="1:50" ht="22.5" customHeight="1">
      <c r="A128" s="51" t="s">
        <v>63</v>
      </c>
      <c r="B128" s="52" t="s">
        <v>64</v>
      </c>
      <c r="C128" s="53">
        <v>4018301</v>
      </c>
      <c r="D128" s="54" t="s">
        <v>214</v>
      </c>
      <c r="E128" s="54" t="s">
        <v>217</v>
      </c>
      <c r="F128" s="55"/>
      <c r="G128" s="55"/>
      <c r="H128" s="55"/>
      <c r="I128" s="55"/>
      <c r="J128" s="56">
        <f>IF(VLOOKUP($C128,REV!$C:$AA,8,0)-'TRADE IN'!$F128=0,"",(VLOOKUP($C128,REV!$C:$AA,8,0)-'TRADE IN'!$F128))</f>
        <v>10899</v>
      </c>
      <c r="K128" s="56">
        <f>IF(VLOOKUP($C128,REV!$C:$AA,9,0)-'TRADE IN'!$F128=0,"",(VLOOKUP($C128,REV!$C:$AA,9,0)-'TRADE IN'!$F128))</f>
        <v>10899</v>
      </c>
      <c r="L128" s="56">
        <f>IF(VLOOKUP($C128,REV!$C:$AA,10,0)-'TRADE IN'!$F128=0,"",(VLOOKUP($C128,REV!$C:$AA,10,0)-'TRADE IN'!$F128))</f>
        <v>10899</v>
      </c>
      <c r="M128" s="56">
        <f>IF(VLOOKUP($C128,REV!$C:$AA,11,0)-'TRADE IN'!$F128=0,"",(VLOOKUP($C128,REV!$C:$AA,11,0)-'TRADE IN'!$F128))</f>
        <v>10899</v>
      </c>
      <c r="N128" s="56">
        <f>IF(VLOOKUP($C128,REV!$C:$AA,12,0)-'TRADE IN'!$F128=0,"",(VLOOKUP($C128,REV!$C:$AA,12,0)-'TRADE IN'!$F128))</f>
        <v>10899</v>
      </c>
      <c r="O128" s="56">
        <f>IF(VLOOKUP($C128,REV!$C:$AA,13,0)-'TRADE IN'!$F128=0,"",(VLOOKUP($C128,REV!$C:$AA,13,0)-'TRADE IN'!$F128))</f>
        <v>10799</v>
      </c>
      <c r="P128" s="56">
        <f>IF(VLOOKUP($C128,REV!$C:$AA,14,0)-'TRADE IN'!$F128=0,"",(VLOOKUP($C128,REV!$C:$AA,14,0)-'TRADE IN'!$F128))</f>
        <v>10699</v>
      </c>
      <c r="Q128" s="56">
        <f>IF(VLOOKUP($C128,REV!$C:$AA,15,0)-'TRADE IN'!$F128=0,"",(VLOOKUP($C128,REV!$C:$AA,15,0)-'TRADE IN'!$F128))</f>
        <v>9999</v>
      </c>
      <c r="R128" s="56">
        <f>IF(VLOOKUP($C128,REV!$C:$AA,16,0)-'TRADE IN'!$F128=0,"",(VLOOKUP($C128,REV!$C:$AA,16,0)-'TRADE IN'!$F128))</f>
        <v>10799</v>
      </c>
      <c r="S128" s="56">
        <f>IF(VLOOKUP($C128,REV!$C:$AA,17,0)-'TRADE IN'!$F128=0,"",(VLOOKUP($C128,REV!$C:$AA,17,0)-'TRADE IN'!$F128))</f>
        <v>10699</v>
      </c>
      <c r="T128" s="56">
        <f>IF(VLOOKUP($C128,REV!$C:$AA,18,0)-'TRADE IN'!$F128=0,"",(VLOOKUP($C128,REV!$C:$AA,18,0)-'TRADE IN'!$F128))</f>
        <v>9999</v>
      </c>
      <c r="U128" s="56">
        <f>IF(VLOOKUP($C128,REV!$C:$AA,19,0)-'TRADE IN'!$F128=0,"",(VLOOKUP($C128,REV!$C:$AA,19,0)-'TRADE IN'!$F128))</f>
        <v>9999</v>
      </c>
      <c r="V128" s="56">
        <f>IF(VLOOKUP($C128,REV!$C:$AA,20,0)-'TRADE IN'!$F128=0,"",(VLOOKUP($C128,REV!$C:$AA,20,0)-'TRADE IN'!$F128))</f>
        <v>9999</v>
      </c>
      <c r="W128" s="56">
        <f>IF(VLOOKUP($C128,REV!$C:$AA,21,0)-'TRADE IN'!$F128=0,"",(VLOOKUP($C128,REV!$C:$AA,21,0)-'TRADE IN'!$F128))</f>
        <v>9999</v>
      </c>
      <c r="X128" s="56">
        <f>IF(VLOOKUP($C128,REV!$C:$AA,22,0)-'TRADE IN'!$F128=0,"",(VLOOKUP($C128,REV!$C:$AA,22,0)-'TRADE IN'!$F128))</f>
        <v>9899</v>
      </c>
      <c r="Y128" s="56">
        <f>IF(VLOOKUP($C128,REV!$C:$AA,23,0)-'TRADE IN'!$F128=0,"",(VLOOKUP($C128,REV!$C:$AA,23,0)-'TRADE IN'!$F128))</f>
        <v>9499</v>
      </c>
      <c r="Z128" s="56">
        <f>IF(VLOOKUP($C128,REV!$C:$AA,24,0)-'TRADE IN'!$F128=0,"",(VLOOKUP($C128,REV!$C:$AA,24,0)-'TRADE IN'!$F128))</f>
        <v>9499</v>
      </c>
      <c r="AA128" s="56">
        <f>IF(VLOOKUP($C128,REV!$C:$AA,25,0)-'TRADE IN'!$F128=0,"",(VLOOKUP($C128,REV!$C:$AA,25,0)-'TRADE IN'!$F128))</f>
        <v>9299</v>
      </c>
      <c r="AB128" s="55">
        <f>IF(VLOOKUP($C128,REV!$C:$AL,27,0)-'TRADE IN'!$F128=0,"",(VLOOKUP($C128,REV!$C:$AL,27,0)-'TRADE IN'!$F128))</f>
        <v>10899</v>
      </c>
      <c r="AC128" s="55">
        <f>IF(VLOOKUP($C128,REV!$C:$AL,28,0)-'TRADE IN'!$F128=0,"",(VLOOKUP($C128,REV!$C:$AL,28,0)-'TRADE IN'!$F128))</f>
        <v>10899</v>
      </c>
      <c r="AD128" s="55">
        <f>IF(VLOOKUP($C128,REV!$C:$AL,29,0)-'TRADE IN'!$F128=0,"",(VLOOKUP($C128,REV!$C:$AL,29,0)-'TRADE IN'!$F128))</f>
        <v>10899</v>
      </c>
      <c r="AE128" s="55">
        <f>IF(VLOOKUP($C128,REV!$C:$AL,30,0)-'TRADE IN'!$F128=0,"",(VLOOKUP($C128,REV!$C:$AL,30,0)-'TRADE IN'!$F128))</f>
        <v>10799</v>
      </c>
      <c r="AF128" s="55">
        <f>IF(VLOOKUP($C128,REV!$C:$AL,31,0)-'TRADE IN'!$F128=0,"",(VLOOKUP($C128,REV!$C:$AL,31,0)-'TRADE IN'!$F128))</f>
        <v>10699</v>
      </c>
      <c r="AG128" s="55">
        <f>IF(VLOOKUP($C128,REV!$C:$AL,31,0)-'TRADE IN'!$F128=0,"",(VLOOKUP($C128,REV!$C:$AL,31,0)-'TRADE IN'!$F128))</f>
        <v>10699</v>
      </c>
      <c r="AH128" s="55">
        <f>IF(VLOOKUP($C128,REV!$C:$AL,32,0)-'TRADE IN'!$F128=0,"",(VLOOKUP($C128,REV!$C:$AL,32,0)-'TRADE IN'!$F128))</f>
        <v>9999</v>
      </c>
      <c r="AI128" s="55">
        <f>IF(VLOOKUP($C128,REV!$C:$AL,33,0)-'TRADE IN'!$F128=0,"",(VLOOKUP($C128,REV!$C:$AL,33,0)-'TRADE IN'!$F128))</f>
        <v>9999</v>
      </c>
      <c r="AJ128" s="55">
        <f>IF(VLOOKUP($C128,REV!$C:$AL,34,0)-'TRADE IN'!$F128=0,"",(VLOOKUP($C128,REV!$C:$AL,34,0)-'TRADE IN'!$F128))</f>
        <v>9999</v>
      </c>
      <c r="AK128" s="55">
        <f>IF(VLOOKUP($C128,REV!$C:$AL,35,0)-'TRADE IN'!$F128=0,"",(VLOOKUP($C128,REV!$C:$AL,35,0)-'TRADE IN'!$F128))</f>
        <v>9999</v>
      </c>
      <c r="AL128" s="55">
        <f>IF(VLOOKUP($C128,REV!$C:$AL,36,0)-'TRADE IN'!$F128=0,"",(VLOOKUP($C128,REV!$C:$AL,36,0)-'TRADE IN'!$F128))</f>
        <v>9499</v>
      </c>
      <c r="AM128" s="55"/>
      <c r="AN128" s="55"/>
      <c r="AO128" s="55"/>
      <c r="AP128" s="55"/>
      <c r="AQ128" s="55"/>
      <c r="AR128" s="55"/>
      <c r="AS128" s="55"/>
      <c r="AT128" s="55"/>
      <c r="AU128" s="55"/>
      <c r="AV128" s="57"/>
      <c r="AW128" s="58" t="str">
        <f>REV!AW128</f>
        <v>03.11.2026</v>
      </c>
      <c r="AX128" s="147" t="str">
        <f>VLOOKUP(C128,REV!C:AX,48,0)</f>
        <v>5G</v>
      </c>
    </row>
    <row r="129" spans="1:50" ht="22.5" customHeight="1">
      <c r="A129" s="51" t="s">
        <v>63</v>
      </c>
      <c r="B129" s="52" t="s">
        <v>64</v>
      </c>
      <c r="C129" s="53">
        <v>4018282</v>
      </c>
      <c r="D129" s="54" t="s">
        <v>218</v>
      </c>
      <c r="E129" s="54" t="s">
        <v>219</v>
      </c>
      <c r="F129" s="55"/>
      <c r="G129" s="55"/>
      <c r="H129" s="55"/>
      <c r="I129" s="55"/>
      <c r="J129" s="56">
        <f>IF(VLOOKUP($C129,REV!$C:$AA,8,0)-'TRADE IN'!$F129=0,"",(VLOOKUP($C129,REV!$C:$AA,8,0)-'TRADE IN'!$F129))</f>
        <v>12299</v>
      </c>
      <c r="K129" s="56">
        <f>IF(VLOOKUP($C129,REV!$C:$AA,9,0)-'TRADE IN'!$F129=0,"",(VLOOKUP($C129,REV!$C:$AA,9,0)-'TRADE IN'!$F129))</f>
        <v>12299</v>
      </c>
      <c r="L129" s="56">
        <f>IF(VLOOKUP($C129,REV!$C:$AA,10,0)-'TRADE IN'!$F129=0,"",(VLOOKUP($C129,REV!$C:$AA,10,0)-'TRADE IN'!$F129))</f>
        <v>12299</v>
      </c>
      <c r="M129" s="56">
        <f>IF(VLOOKUP($C129,REV!$C:$AA,11,0)-'TRADE IN'!$F129=0,"",(VLOOKUP($C129,REV!$C:$AA,11,0)-'TRADE IN'!$F129))</f>
        <v>12299</v>
      </c>
      <c r="N129" s="56">
        <f>IF(VLOOKUP($C129,REV!$C:$AA,12,0)-'TRADE IN'!$F129=0,"",(VLOOKUP($C129,REV!$C:$AA,12,0)-'TRADE IN'!$F129))</f>
        <v>12299</v>
      </c>
      <c r="O129" s="56">
        <f>IF(VLOOKUP($C129,REV!$C:$AA,13,0)-'TRADE IN'!$F129=0,"",(VLOOKUP($C129,REV!$C:$AA,13,0)-'TRADE IN'!$F129))</f>
        <v>12199</v>
      </c>
      <c r="P129" s="56">
        <f>IF(VLOOKUP($C129,REV!$C:$AA,14,0)-'TRADE IN'!$F129=0,"",(VLOOKUP($C129,REV!$C:$AA,14,0)-'TRADE IN'!$F129))</f>
        <v>12099</v>
      </c>
      <c r="Q129" s="56">
        <f>IF(VLOOKUP($C129,REV!$C:$AA,15,0)-'TRADE IN'!$F129=0,"",(VLOOKUP($C129,REV!$C:$AA,15,0)-'TRADE IN'!$F129))</f>
        <v>11399</v>
      </c>
      <c r="R129" s="56">
        <f>IF(VLOOKUP($C129,REV!$C:$AA,16,0)-'TRADE IN'!$F129=0,"",(VLOOKUP($C129,REV!$C:$AA,16,0)-'TRADE IN'!$F129))</f>
        <v>12199</v>
      </c>
      <c r="S129" s="56">
        <f>IF(VLOOKUP($C129,REV!$C:$AA,17,0)-'TRADE IN'!$F129=0,"",(VLOOKUP($C129,REV!$C:$AA,17,0)-'TRADE IN'!$F129))</f>
        <v>12099</v>
      </c>
      <c r="T129" s="56">
        <f>IF(VLOOKUP($C129,REV!$C:$AA,18,0)-'TRADE IN'!$F129=0,"",(VLOOKUP($C129,REV!$C:$AA,18,0)-'TRADE IN'!$F129))</f>
        <v>11399</v>
      </c>
      <c r="U129" s="56">
        <f>IF(VLOOKUP($C129,REV!$C:$AA,19,0)-'TRADE IN'!$F129=0,"",(VLOOKUP($C129,REV!$C:$AA,19,0)-'TRADE IN'!$F129))</f>
        <v>11399</v>
      </c>
      <c r="V129" s="56">
        <f>IF(VLOOKUP($C129,REV!$C:$AA,20,0)-'TRADE IN'!$F129=0,"",(VLOOKUP($C129,REV!$C:$AA,20,0)-'TRADE IN'!$F129))</f>
        <v>11399</v>
      </c>
      <c r="W129" s="56">
        <f>IF(VLOOKUP($C129,REV!$C:$AA,21,0)-'TRADE IN'!$F129=0,"",(VLOOKUP($C129,REV!$C:$AA,21,0)-'TRADE IN'!$F129))</f>
        <v>11399</v>
      </c>
      <c r="X129" s="56">
        <f>IF(VLOOKUP($C129,REV!$C:$AA,22,0)-'TRADE IN'!$F129=0,"",(VLOOKUP($C129,REV!$C:$AA,22,0)-'TRADE IN'!$F129))</f>
        <v>11299</v>
      </c>
      <c r="Y129" s="56">
        <f>IF(VLOOKUP($C129,REV!$C:$AA,23,0)-'TRADE IN'!$F129=0,"",(VLOOKUP($C129,REV!$C:$AA,23,0)-'TRADE IN'!$F129))</f>
        <v>10799</v>
      </c>
      <c r="Z129" s="56">
        <f>IF(VLOOKUP($C129,REV!$C:$AA,24,0)-'TRADE IN'!$F129=0,"",(VLOOKUP($C129,REV!$C:$AA,24,0)-'TRADE IN'!$F129))</f>
        <v>10799</v>
      </c>
      <c r="AA129" s="56">
        <f>IF(VLOOKUP($C129,REV!$C:$AA,25,0)-'TRADE IN'!$F129=0,"",(VLOOKUP($C129,REV!$C:$AA,25,0)-'TRADE IN'!$F129))</f>
        <v>10499</v>
      </c>
      <c r="AB129" s="55">
        <f>IF(VLOOKUP($C129,REV!$C:$AL,27,0)-'TRADE IN'!$F129=0,"",(VLOOKUP($C129,REV!$C:$AL,27,0)-'TRADE IN'!$F129))</f>
        <v>12299</v>
      </c>
      <c r="AC129" s="55">
        <f>IF(VLOOKUP($C129,REV!$C:$AL,28,0)-'TRADE IN'!$F129=0,"",(VLOOKUP($C129,REV!$C:$AL,28,0)-'TRADE IN'!$F129))</f>
        <v>12299</v>
      </c>
      <c r="AD129" s="55">
        <f>IF(VLOOKUP($C129,REV!$C:$AL,29,0)-'TRADE IN'!$F129=0,"",(VLOOKUP($C129,REV!$C:$AL,29,0)-'TRADE IN'!$F129))</f>
        <v>12299</v>
      </c>
      <c r="AE129" s="55">
        <f>IF(VLOOKUP($C129,REV!$C:$AL,30,0)-'TRADE IN'!$F129=0,"",(VLOOKUP($C129,REV!$C:$AL,30,0)-'TRADE IN'!$F129))</f>
        <v>12199</v>
      </c>
      <c r="AF129" s="55">
        <f>IF(VLOOKUP($C129,REV!$C:$AL,31,0)-'TRADE IN'!$F129=0,"",(VLOOKUP($C129,REV!$C:$AL,31,0)-'TRADE IN'!$F129))</f>
        <v>12099</v>
      </c>
      <c r="AG129" s="55">
        <f>IF(VLOOKUP($C129,REV!$C:$AL,31,0)-'TRADE IN'!$F129=0,"",(VLOOKUP($C129,REV!$C:$AL,31,0)-'TRADE IN'!$F129))</f>
        <v>12099</v>
      </c>
      <c r="AH129" s="55">
        <f>IF(VLOOKUP($C129,REV!$C:$AL,32,0)-'TRADE IN'!$F129=0,"",(VLOOKUP($C129,REV!$C:$AL,32,0)-'TRADE IN'!$F129))</f>
        <v>11399</v>
      </c>
      <c r="AI129" s="55">
        <f>IF(VLOOKUP($C129,REV!$C:$AL,33,0)-'TRADE IN'!$F129=0,"",(VLOOKUP($C129,REV!$C:$AL,33,0)-'TRADE IN'!$F129))</f>
        <v>11399</v>
      </c>
      <c r="AJ129" s="55">
        <f>IF(VLOOKUP($C129,REV!$C:$AL,34,0)-'TRADE IN'!$F129=0,"",(VLOOKUP($C129,REV!$C:$AL,34,0)-'TRADE IN'!$F129))</f>
        <v>11399</v>
      </c>
      <c r="AK129" s="55">
        <f>IF(VLOOKUP($C129,REV!$C:$AL,35,0)-'TRADE IN'!$F129=0,"",(VLOOKUP($C129,REV!$C:$AL,35,0)-'TRADE IN'!$F129))</f>
        <v>11399</v>
      </c>
      <c r="AL129" s="55">
        <f>IF(VLOOKUP($C129,REV!$C:$AL,36,0)-'TRADE IN'!$F129=0,"",(VLOOKUP($C129,REV!$C:$AL,36,0)-'TRADE IN'!$F129))</f>
        <v>10799</v>
      </c>
      <c r="AM129" s="55"/>
      <c r="AN129" s="55"/>
      <c r="AO129" s="55"/>
      <c r="AP129" s="55"/>
      <c r="AQ129" s="55"/>
      <c r="AR129" s="55"/>
      <c r="AS129" s="55"/>
      <c r="AT129" s="55"/>
      <c r="AU129" s="55"/>
      <c r="AV129" s="57"/>
      <c r="AW129" s="58" t="str">
        <f>REV!AW129</f>
        <v>03.11.2026</v>
      </c>
      <c r="AX129" s="147" t="str">
        <f>VLOOKUP(C129,REV!C:AX,48,0)</f>
        <v>5G</v>
      </c>
    </row>
    <row r="130" spans="1:50" ht="22.5" customHeight="1">
      <c r="A130" s="51" t="s">
        <v>63</v>
      </c>
      <c r="B130" s="52" t="s">
        <v>64</v>
      </c>
      <c r="C130" s="53">
        <v>4018281</v>
      </c>
      <c r="D130" s="54" t="s">
        <v>218</v>
      </c>
      <c r="E130" s="54" t="s">
        <v>220</v>
      </c>
      <c r="F130" s="55"/>
      <c r="G130" s="55"/>
      <c r="H130" s="55"/>
      <c r="I130" s="55"/>
      <c r="J130" s="56">
        <f>IF(VLOOKUP($C130,REV!$C:$AA,8,0)-'TRADE IN'!$F130=0,"",(VLOOKUP($C130,REV!$C:$AA,8,0)-'TRADE IN'!$F130))</f>
        <v>12299</v>
      </c>
      <c r="K130" s="56">
        <f>IF(VLOOKUP($C130,REV!$C:$AA,9,0)-'TRADE IN'!$F130=0,"",(VLOOKUP($C130,REV!$C:$AA,9,0)-'TRADE IN'!$F130))</f>
        <v>12299</v>
      </c>
      <c r="L130" s="56">
        <f>IF(VLOOKUP($C130,REV!$C:$AA,10,0)-'TRADE IN'!$F130=0,"",(VLOOKUP($C130,REV!$C:$AA,10,0)-'TRADE IN'!$F130))</f>
        <v>12299</v>
      </c>
      <c r="M130" s="56">
        <f>IF(VLOOKUP($C130,REV!$C:$AA,11,0)-'TRADE IN'!$F130=0,"",(VLOOKUP($C130,REV!$C:$AA,11,0)-'TRADE IN'!$F130))</f>
        <v>12299</v>
      </c>
      <c r="N130" s="56">
        <f>IF(VLOOKUP($C130,REV!$C:$AA,12,0)-'TRADE IN'!$F130=0,"",(VLOOKUP($C130,REV!$C:$AA,12,0)-'TRADE IN'!$F130))</f>
        <v>12299</v>
      </c>
      <c r="O130" s="56">
        <f>IF(VLOOKUP($C130,REV!$C:$AA,13,0)-'TRADE IN'!$F130=0,"",(VLOOKUP($C130,REV!$C:$AA,13,0)-'TRADE IN'!$F130))</f>
        <v>12199</v>
      </c>
      <c r="P130" s="56">
        <f>IF(VLOOKUP($C130,REV!$C:$AA,14,0)-'TRADE IN'!$F130=0,"",(VLOOKUP($C130,REV!$C:$AA,14,0)-'TRADE IN'!$F130))</f>
        <v>12099</v>
      </c>
      <c r="Q130" s="56">
        <f>IF(VLOOKUP($C130,REV!$C:$AA,15,0)-'TRADE IN'!$F130=0,"",(VLOOKUP($C130,REV!$C:$AA,15,0)-'TRADE IN'!$F130))</f>
        <v>11399</v>
      </c>
      <c r="R130" s="56">
        <f>IF(VLOOKUP($C130,REV!$C:$AA,16,0)-'TRADE IN'!$F130=0,"",(VLOOKUP($C130,REV!$C:$AA,16,0)-'TRADE IN'!$F130))</f>
        <v>12199</v>
      </c>
      <c r="S130" s="56">
        <f>IF(VLOOKUP($C130,REV!$C:$AA,17,0)-'TRADE IN'!$F130=0,"",(VLOOKUP($C130,REV!$C:$AA,17,0)-'TRADE IN'!$F130))</f>
        <v>12099</v>
      </c>
      <c r="T130" s="56">
        <f>IF(VLOOKUP($C130,REV!$C:$AA,18,0)-'TRADE IN'!$F130=0,"",(VLOOKUP($C130,REV!$C:$AA,18,0)-'TRADE IN'!$F130))</f>
        <v>11399</v>
      </c>
      <c r="U130" s="56">
        <f>IF(VLOOKUP($C130,REV!$C:$AA,19,0)-'TRADE IN'!$F130=0,"",(VLOOKUP($C130,REV!$C:$AA,19,0)-'TRADE IN'!$F130))</f>
        <v>11399</v>
      </c>
      <c r="V130" s="56">
        <f>IF(VLOOKUP($C130,REV!$C:$AA,20,0)-'TRADE IN'!$F130=0,"",(VLOOKUP($C130,REV!$C:$AA,20,0)-'TRADE IN'!$F130))</f>
        <v>11399</v>
      </c>
      <c r="W130" s="56">
        <f>IF(VLOOKUP($C130,REV!$C:$AA,21,0)-'TRADE IN'!$F130=0,"",(VLOOKUP($C130,REV!$C:$AA,21,0)-'TRADE IN'!$F130))</f>
        <v>11399</v>
      </c>
      <c r="X130" s="56">
        <f>IF(VLOOKUP($C130,REV!$C:$AA,22,0)-'TRADE IN'!$F130=0,"",(VLOOKUP($C130,REV!$C:$AA,22,0)-'TRADE IN'!$F130))</f>
        <v>11299</v>
      </c>
      <c r="Y130" s="56">
        <f>IF(VLOOKUP($C130,REV!$C:$AA,23,0)-'TRADE IN'!$F130=0,"",(VLOOKUP($C130,REV!$C:$AA,23,0)-'TRADE IN'!$F130))</f>
        <v>10799</v>
      </c>
      <c r="Z130" s="56">
        <f>IF(VLOOKUP($C130,REV!$C:$AA,24,0)-'TRADE IN'!$F130=0,"",(VLOOKUP($C130,REV!$C:$AA,24,0)-'TRADE IN'!$F130))</f>
        <v>10799</v>
      </c>
      <c r="AA130" s="56">
        <f>IF(VLOOKUP($C130,REV!$C:$AA,25,0)-'TRADE IN'!$F130=0,"",(VLOOKUP($C130,REV!$C:$AA,25,0)-'TRADE IN'!$F130))</f>
        <v>10499</v>
      </c>
      <c r="AB130" s="55">
        <f>IF(VLOOKUP($C130,REV!$C:$AL,27,0)-'TRADE IN'!$F130=0,"",(VLOOKUP($C130,REV!$C:$AL,27,0)-'TRADE IN'!$F130))</f>
        <v>12299</v>
      </c>
      <c r="AC130" s="55">
        <f>IF(VLOOKUP($C130,REV!$C:$AL,28,0)-'TRADE IN'!$F130=0,"",(VLOOKUP($C130,REV!$C:$AL,28,0)-'TRADE IN'!$F130))</f>
        <v>12299</v>
      </c>
      <c r="AD130" s="55">
        <f>IF(VLOOKUP($C130,REV!$C:$AL,29,0)-'TRADE IN'!$F130=0,"",(VLOOKUP($C130,REV!$C:$AL,29,0)-'TRADE IN'!$F130))</f>
        <v>12299</v>
      </c>
      <c r="AE130" s="55">
        <f>IF(VLOOKUP($C130,REV!$C:$AL,30,0)-'TRADE IN'!$F130=0,"",(VLOOKUP($C130,REV!$C:$AL,30,0)-'TRADE IN'!$F130))</f>
        <v>12199</v>
      </c>
      <c r="AF130" s="55">
        <f>IF(VLOOKUP($C130,REV!$C:$AL,31,0)-'TRADE IN'!$F130=0,"",(VLOOKUP($C130,REV!$C:$AL,31,0)-'TRADE IN'!$F130))</f>
        <v>12099</v>
      </c>
      <c r="AG130" s="55">
        <f>IF(VLOOKUP($C130,REV!$C:$AL,31,0)-'TRADE IN'!$F130=0,"",(VLOOKUP($C130,REV!$C:$AL,31,0)-'TRADE IN'!$F130))</f>
        <v>12099</v>
      </c>
      <c r="AH130" s="55">
        <f>IF(VLOOKUP($C130,REV!$C:$AL,32,0)-'TRADE IN'!$F130=0,"",(VLOOKUP($C130,REV!$C:$AL,32,0)-'TRADE IN'!$F130))</f>
        <v>11399</v>
      </c>
      <c r="AI130" s="55">
        <f>IF(VLOOKUP($C130,REV!$C:$AL,33,0)-'TRADE IN'!$F130=0,"",(VLOOKUP($C130,REV!$C:$AL,33,0)-'TRADE IN'!$F130))</f>
        <v>11399</v>
      </c>
      <c r="AJ130" s="55">
        <f>IF(VLOOKUP($C130,REV!$C:$AL,34,0)-'TRADE IN'!$F130=0,"",(VLOOKUP($C130,REV!$C:$AL,34,0)-'TRADE IN'!$F130))</f>
        <v>11399</v>
      </c>
      <c r="AK130" s="55">
        <f>IF(VLOOKUP($C130,REV!$C:$AL,35,0)-'TRADE IN'!$F130=0,"",(VLOOKUP($C130,REV!$C:$AL,35,0)-'TRADE IN'!$F130))</f>
        <v>11399</v>
      </c>
      <c r="AL130" s="55">
        <f>IF(VLOOKUP($C130,REV!$C:$AL,36,0)-'TRADE IN'!$F130=0,"",(VLOOKUP($C130,REV!$C:$AL,36,0)-'TRADE IN'!$F130))</f>
        <v>10799</v>
      </c>
      <c r="AM130" s="55"/>
      <c r="AN130" s="55"/>
      <c r="AO130" s="55"/>
      <c r="AP130" s="55"/>
      <c r="AQ130" s="55"/>
      <c r="AR130" s="55"/>
      <c r="AS130" s="55"/>
      <c r="AT130" s="55"/>
      <c r="AU130" s="55"/>
      <c r="AV130" s="57"/>
      <c r="AW130" s="58" t="str">
        <f>REV!AW130</f>
        <v>03.11.2026</v>
      </c>
      <c r="AX130" s="147" t="str">
        <f>VLOOKUP(C130,REV!C:AX,48,0)</f>
        <v>5G</v>
      </c>
    </row>
    <row r="131" spans="1:50" ht="22.5" customHeight="1">
      <c r="A131" s="51" t="s">
        <v>63</v>
      </c>
      <c r="B131" s="52" t="s">
        <v>64</v>
      </c>
      <c r="C131" s="53">
        <v>4018300</v>
      </c>
      <c r="D131" s="54" t="s">
        <v>218</v>
      </c>
      <c r="E131" s="54" t="s">
        <v>221</v>
      </c>
      <c r="F131" s="55"/>
      <c r="G131" s="55"/>
      <c r="H131" s="55"/>
      <c r="I131" s="55"/>
      <c r="J131" s="56">
        <f>IF(VLOOKUP($C131,REV!$C:$AA,8,0)-'TRADE IN'!$F131=0,"",(VLOOKUP($C131,REV!$C:$AA,8,0)-'TRADE IN'!$F131))</f>
        <v>12299</v>
      </c>
      <c r="K131" s="56">
        <f>IF(VLOOKUP($C131,REV!$C:$AA,9,0)-'TRADE IN'!$F131=0,"",(VLOOKUP($C131,REV!$C:$AA,9,0)-'TRADE IN'!$F131))</f>
        <v>12299</v>
      </c>
      <c r="L131" s="56">
        <f>IF(VLOOKUP($C131,REV!$C:$AA,10,0)-'TRADE IN'!$F131=0,"",(VLOOKUP($C131,REV!$C:$AA,10,0)-'TRADE IN'!$F131))</f>
        <v>12299</v>
      </c>
      <c r="M131" s="56">
        <f>IF(VLOOKUP($C131,REV!$C:$AA,11,0)-'TRADE IN'!$F131=0,"",(VLOOKUP($C131,REV!$C:$AA,11,0)-'TRADE IN'!$F131))</f>
        <v>12299</v>
      </c>
      <c r="N131" s="56">
        <f>IF(VLOOKUP($C131,REV!$C:$AA,12,0)-'TRADE IN'!$F131=0,"",(VLOOKUP($C131,REV!$C:$AA,12,0)-'TRADE IN'!$F131))</f>
        <v>12299</v>
      </c>
      <c r="O131" s="56">
        <f>IF(VLOOKUP($C131,REV!$C:$AA,13,0)-'TRADE IN'!$F131=0,"",(VLOOKUP($C131,REV!$C:$AA,13,0)-'TRADE IN'!$F131))</f>
        <v>12199</v>
      </c>
      <c r="P131" s="56">
        <f>IF(VLOOKUP($C131,REV!$C:$AA,14,0)-'TRADE IN'!$F131=0,"",(VLOOKUP($C131,REV!$C:$AA,14,0)-'TRADE IN'!$F131))</f>
        <v>12099</v>
      </c>
      <c r="Q131" s="56">
        <f>IF(VLOOKUP($C131,REV!$C:$AA,15,0)-'TRADE IN'!$F131=0,"",(VLOOKUP($C131,REV!$C:$AA,15,0)-'TRADE IN'!$F131))</f>
        <v>11399</v>
      </c>
      <c r="R131" s="56">
        <f>IF(VLOOKUP($C131,REV!$C:$AA,16,0)-'TRADE IN'!$F131=0,"",(VLOOKUP($C131,REV!$C:$AA,16,0)-'TRADE IN'!$F131))</f>
        <v>12199</v>
      </c>
      <c r="S131" s="56">
        <f>IF(VLOOKUP($C131,REV!$C:$AA,17,0)-'TRADE IN'!$F131=0,"",(VLOOKUP($C131,REV!$C:$AA,17,0)-'TRADE IN'!$F131))</f>
        <v>12099</v>
      </c>
      <c r="T131" s="56">
        <f>IF(VLOOKUP($C131,REV!$C:$AA,18,0)-'TRADE IN'!$F131=0,"",(VLOOKUP($C131,REV!$C:$AA,18,0)-'TRADE IN'!$F131))</f>
        <v>11399</v>
      </c>
      <c r="U131" s="56">
        <f>IF(VLOOKUP($C131,REV!$C:$AA,19,0)-'TRADE IN'!$F131=0,"",(VLOOKUP($C131,REV!$C:$AA,19,0)-'TRADE IN'!$F131))</f>
        <v>11399</v>
      </c>
      <c r="V131" s="56">
        <f>IF(VLOOKUP($C131,REV!$C:$AA,20,0)-'TRADE IN'!$F131=0,"",(VLOOKUP($C131,REV!$C:$AA,20,0)-'TRADE IN'!$F131))</f>
        <v>11399</v>
      </c>
      <c r="W131" s="56">
        <f>IF(VLOOKUP($C131,REV!$C:$AA,21,0)-'TRADE IN'!$F131=0,"",(VLOOKUP($C131,REV!$C:$AA,21,0)-'TRADE IN'!$F131))</f>
        <v>11399</v>
      </c>
      <c r="X131" s="56">
        <f>IF(VLOOKUP($C131,REV!$C:$AA,22,0)-'TRADE IN'!$F131=0,"",(VLOOKUP($C131,REV!$C:$AA,22,0)-'TRADE IN'!$F131))</f>
        <v>11299</v>
      </c>
      <c r="Y131" s="56">
        <f>IF(VLOOKUP($C131,REV!$C:$AA,23,0)-'TRADE IN'!$F131=0,"",(VLOOKUP($C131,REV!$C:$AA,23,0)-'TRADE IN'!$F131))</f>
        <v>10799</v>
      </c>
      <c r="Z131" s="56">
        <f>IF(VLOOKUP($C131,REV!$C:$AA,24,0)-'TRADE IN'!$F131=0,"",(VLOOKUP($C131,REV!$C:$AA,24,0)-'TRADE IN'!$F131))</f>
        <v>10799</v>
      </c>
      <c r="AA131" s="56">
        <f>IF(VLOOKUP($C131,REV!$C:$AA,25,0)-'TRADE IN'!$F131=0,"",(VLOOKUP($C131,REV!$C:$AA,25,0)-'TRADE IN'!$F131))</f>
        <v>10499</v>
      </c>
      <c r="AB131" s="55">
        <f>IF(VLOOKUP($C131,REV!$C:$AL,27,0)-'TRADE IN'!$F131=0,"",(VLOOKUP($C131,REV!$C:$AL,27,0)-'TRADE IN'!$F131))</f>
        <v>12299</v>
      </c>
      <c r="AC131" s="55">
        <f>IF(VLOOKUP($C131,REV!$C:$AL,28,0)-'TRADE IN'!$F131=0,"",(VLOOKUP($C131,REV!$C:$AL,28,0)-'TRADE IN'!$F131))</f>
        <v>12299</v>
      </c>
      <c r="AD131" s="55">
        <f>IF(VLOOKUP($C131,REV!$C:$AL,29,0)-'TRADE IN'!$F131=0,"",(VLOOKUP($C131,REV!$C:$AL,29,0)-'TRADE IN'!$F131))</f>
        <v>12299</v>
      </c>
      <c r="AE131" s="55">
        <f>IF(VLOOKUP($C131,REV!$C:$AL,30,0)-'TRADE IN'!$F131=0,"",(VLOOKUP($C131,REV!$C:$AL,30,0)-'TRADE IN'!$F131))</f>
        <v>12199</v>
      </c>
      <c r="AF131" s="55">
        <f>IF(VLOOKUP($C131,REV!$C:$AL,31,0)-'TRADE IN'!$F131=0,"",(VLOOKUP($C131,REV!$C:$AL,31,0)-'TRADE IN'!$F131))</f>
        <v>12099</v>
      </c>
      <c r="AG131" s="55">
        <f>IF(VLOOKUP($C131,REV!$C:$AL,31,0)-'TRADE IN'!$F131=0,"",(VLOOKUP($C131,REV!$C:$AL,31,0)-'TRADE IN'!$F131))</f>
        <v>12099</v>
      </c>
      <c r="AH131" s="55">
        <f>IF(VLOOKUP($C131,REV!$C:$AL,32,0)-'TRADE IN'!$F131=0,"",(VLOOKUP($C131,REV!$C:$AL,32,0)-'TRADE IN'!$F131))</f>
        <v>11399</v>
      </c>
      <c r="AI131" s="55">
        <f>IF(VLOOKUP($C131,REV!$C:$AL,33,0)-'TRADE IN'!$F131=0,"",(VLOOKUP($C131,REV!$C:$AL,33,0)-'TRADE IN'!$F131))</f>
        <v>11399</v>
      </c>
      <c r="AJ131" s="55">
        <f>IF(VLOOKUP($C131,REV!$C:$AL,34,0)-'TRADE IN'!$F131=0,"",(VLOOKUP($C131,REV!$C:$AL,34,0)-'TRADE IN'!$F131))</f>
        <v>11399</v>
      </c>
      <c r="AK131" s="55">
        <f>IF(VLOOKUP($C131,REV!$C:$AL,35,0)-'TRADE IN'!$F131=0,"",(VLOOKUP($C131,REV!$C:$AL,35,0)-'TRADE IN'!$F131))</f>
        <v>11399</v>
      </c>
      <c r="AL131" s="55">
        <f>IF(VLOOKUP($C131,REV!$C:$AL,36,0)-'TRADE IN'!$F131=0,"",(VLOOKUP($C131,REV!$C:$AL,36,0)-'TRADE IN'!$F131))</f>
        <v>10799</v>
      </c>
      <c r="AM131" s="55"/>
      <c r="AN131" s="55"/>
      <c r="AO131" s="55"/>
      <c r="AP131" s="55"/>
      <c r="AQ131" s="55"/>
      <c r="AR131" s="55"/>
      <c r="AS131" s="55"/>
      <c r="AT131" s="55"/>
      <c r="AU131" s="55"/>
      <c r="AV131" s="57"/>
      <c r="AW131" s="58" t="str">
        <f>REV!AW131</f>
        <v>03.11.2026</v>
      </c>
      <c r="AX131" s="147" t="str">
        <f>VLOOKUP(C131,REV!C:AX,48,0)</f>
        <v>5G</v>
      </c>
    </row>
    <row r="132" spans="1:50" ht="22.5" customHeight="1">
      <c r="A132" s="51" t="s">
        <v>63</v>
      </c>
      <c r="B132" s="52" t="s">
        <v>64</v>
      </c>
      <c r="C132" s="53">
        <v>4018289</v>
      </c>
      <c r="D132" s="54" t="s">
        <v>222</v>
      </c>
      <c r="E132" s="54" t="s">
        <v>223</v>
      </c>
      <c r="F132" s="55"/>
      <c r="G132" s="55"/>
      <c r="H132" s="55"/>
      <c r="I132" s="55"/>
      <c r="J132" s="56">
        <f>IF(VLOOKUP($C132,REV!$C:$AA,8,0)-'TRADE IN'!$F132=0,"",(VLOOKUP($C132,REV!$C:$AA,8,0)-'TRADE IN'!$F132))</f>
        <v>11899</v>
      </c>
      <c r="K132" s="56">
        <f>IF(VLOOKUP($C132,REV!$C:$AA,9,0)-'TRADE IN'!$F132=0,"",(VLOOKUP($C132,REV!$C:$AA,9,0)-'TRADE IN'!$F132))</f>
        <v>11899</v>
      </c>
      <c r="L132" s="56">
        <f>IF(VLOOKUP($C132,REV!$C:$AA,10,0)-'TRADE IN'!$F132=0,"",(VLOOKUP($C132,REV!$C:$AA,10,0)-'TRADE IN'!$F132))</f>
        <v>11899</v>
      </c>
      <c r="M132" s="56">
        <f>IF(VLOOKUP($C132,REV!$C:$AA,11,0)-'TRADE IN'!$F132=0,"",(VLOOKUP($C132,REV!$C:$AA,11,0)-'TRADE IN'!$F132))</f>
        <v>11899</v>
      </c>
      <c r="N132" s="56">
        <f>IF(VLOOKUP($C132,REV!$C:$AA,12,0)-'TRADE IN'!$F132=0,"",(VLOOKUP($C132,REV!$C:$AA,12,0)-'TRADE IN'!$F132))</f>
        <v>11899</v>
      </c>
      <c r="O132" s="56">
        <f>IF(VLOOKUP($C132,REV!$C:$AA,13,0)-'TRADE IN'!$F132=0,"",(VLOOKUP($C132,REV!$C:$AA,13,0)-'TRADE IN'!$F132))</f>
        <v>11799</v>
      </c>
      <c r="P132" s="56">
        <f>IF(VLOOKUP($C132,REV!$C:$AA,14,0)-'TRADE IN'!$F132=0,"",(VLOOKUP($C132,REV!$C:$AA,14,0)-'TRADE IN'!$F132))</f>
        <v>11699</v>
      </c>
      <c r="Q132" s="56">
        <f>IF(VLOOKUP($C132,REV!$C:$AA,15,0)-'TRADE IN'!$F132=0,"",(VLOOKUP($C132,REV!$C:$AA,15,0)-'TRADE IN'!$F132))</f>
        <v>10999</v>
      </c>
      <c r="R132" s="56">
        <f>IF(VLOOKUP($C132,REV!$C:$AA,16,0)-'TRADE IN'!$F132=0,"",(VLOOKUP($C132,REV!$C:$AA,16,0)-'TRADE IN'!$F132))</f>
        <v>11799</v>
      </c>
      <c r="S132" s="56">
        <f>IF(VLOOKUP($C132,REV!$C:$AA,17,0)-'TRADE IN'!$F132=0,"",(VLOOKUP($C132,REV!$C:$AA,17,0)-'TRADE IN'!$F132))</f>
        <v>11699</v>
      </c>
      <c r="T132" s="56">
        <f>IF(VLOOKUP($C132,REV!$C:$AA,18,0)-'TRADE IN'!$F132=0,"",(VLOOKUP($C132,REV!$C:$AA,18,0)-'TRADE IN'!$F132))</f>
        <v>10999</v>
      </c>
      <c r="U132" s="56">
        <f>IF(VLOOKUP($C132,REV!$C:$AA,19,0)-'TRADE IN'!$F132=0,"",(VLOOKUP($C132,REV!$C:$AA,19,0)-'TRADE IN'!$F132))</f>
        <v>10999</v>
      </c>
      <c r="V132" s="56">
        <f>IF(VLOOKUP($C132,REV!$C:$AA,20,0)-'TRADE IN'!$F132=0,"",(VLOOKUP($C132,REV!$C:$AA,20,0)-'TRADE IN'!$F132))</f>
        <v>10999</v>
      </c>
      <c r="W132" s="56">
        <f>IF(VLOOKUP($C132,REV!$C:$AA,21,0)-'TRADE IN'!$F132=0,"",(VLOOKUP($C132,REV!$C:$AA,21,0)-'TRADE IN'!$F132))</f>
        <v>10999</v>
      </c>
      <c r="X132" s="56">
        <f>IF(VLOOKUP($C132,REV!$C:$AA,22,0)-'TRADE IN'!$F132=0,"",(VLOOKUP($C132,REV!$C:$AA,22,0)-'TRADE IN'!$F132))</f>
        <v>10899</v>
      </c>
      <c r="Y132" s="56">
        <f>IF(VLOOKUP($C132,REV!$C:$AA,23,0)-'TRADE IN'!$F132=0,"",(VLOOKUP($C132,REV!$C:$AA,23,0)-'TRADE IN'!$F132))</f>
        <v>10499</v>
      </c>
      <c r="Z132" s="56">
        <f>IF(VLOOKUP($C132,REV!$C:$AA,24,0)-'TRADE IN'!$F132=0,"",(VLOOKUP($C132,REV!$C:$AA,24,0)-'TRADE IN'!$F132))</f>
        <v>10499</v>
      </c>
      <c r="AA132" s="56">
        <f>IF(VLOOKUP($C132,REV!$C:$AA,25,0)-'TRADE IN'!$F132=0,"",(VLOOKUP($C132,REV!$C:$AA,25,0)-'TRADE IN'!$F132))</f>
        <v>10299</v>
      </c>
      <c r="AB132" s="55">
        <f>IF(VLOOKUP($C132,REV!$C:$AL,27,0)-'TRADE IN'!$F132=0,"",(VLOOKUP($C132,REV!$C:$AL,27,0)-'TRADE IN'!$F132))</f>
        <v>11899</v>
      </c>
      <c r="AC132" s="55">
        <f>IF(VLOOKUP($C132,REV!$C:$AL,28,0)-'TRADE IN'!$F132=0,"",(VLOOKUP($C132,REV!$C:$AL,28,0)-'TRADE IN'!$F132))</f>
        <v>11899</v>
      </c>
      <c r="AD132" s="55">
        <f>IF(VLOOKUP($C132,REV!$C:$AL,29,0)-'TRADE IN'!$F132=0,"",(VLOOKUP($C132,REV!$C:$AL,29,0)-'TRADE IN'!$F132))</f>
        <v>11899</v>
      </c>
      <c r="AE132" s="55">
        <f>IF(VLOOKUP($C132,REV!$C:$AL,30,0)-'TRADE IN'!$F132=0,"",(VLOOKUP($C132,REV!$C:$AL,30,0)-'TRADE IN'!$F132))</f>
        <v>11799</v>
      </c>
      <c r="AF132" s="55">
        <f>IF(VLOOKUP($C132,REV!$C:$AL,31,0)-'TRADE IN'!$F132=0,"",(VLOOKUP($C132,REV!$C:$AL,31,0)-'TRADE IN'!$F132))</f>
        <v>11699</v>
      </c>
      <c r="AG132" s="55">
        <f>IF(VLOOKUP($C132,REV!$C:$AL,31,0)-'TRADE IN'!$F132=0,"",(VLOOKUP($C132,REV!$C:$AL,31,0)-'TRADE IN'!$F132))</f>
        <v>11699</v>
      </c>
      <c r="AH132" s="55">
        <f>IF(VLOOKUP($C132,REV!$C:$AL,32,0)-'TRADE IN'!$F132=0,"",(VLOOKUP($C132,REV!$C:$AL,32,0)-'TRADE IN'!$F132))</f>
        <v>10999</v>
      </c>
      <c r="AI132" s="55">
        <f>IF(VLOOKUP($C132,REV!$C:$AL,33,0)-'TRADE IN'!$F132=0,"",(VLOOKUP($C132,REV!$C:$AL,33,0)-'TRADE IN'!$F132))</f>
        <v>10999</v>
      </c>
      <c r="AJ132" s="55">
        <f>IF(VLOOKUP($C132,REV!$C:$AL,34,0)-'TRADE IN'!$F132=0,"",(VLOOKUP($C132,REV!$C:$AL,34,0)-'TRADE IN'!$F132))</f>
        <v>10999</v>
      </c>
      <c r="AK132" s="55">
        <f>IF(VLOOKUP($C132,REV!$C:$AL,35,0)-'TRADE IN'!$F132=0,"",(VLOOKUP($C132,REV!$C:$AL,35,0)-'TRADE IN'!$F132))</f>
        <v>10999</v>
      </c>
      <c r="AL132" s="55">
        <f>IF(VLOOKUP($C132,REV!$C:$AL,36,0)-'TRADE IN'!$F132=0,"",(VLOOKUP($C132,REV!$C:$AL,36,0)-'TRADE IN'!$F132))</f>
        <v>10499</v>
      </c>
      <c r="AM132" s="55"/>
      <c r="AN132" s="55"/>
      <c r="AO132" s="55"/>
      <c r="AP132" s="55"/>
      <c r="AQ132" s="55"/>
      <c r="AR132" s="55"/>
      <c r="AS132" s="55"/>
      <c r="AT132" s="55"/>
      <c r="AU132" s="55"/>
      <c r="AV132" s="57"/>
      <c r="AW132" s="58" t="str">
        <f>REV!AW132</f>
        <v>03.11.2026</v>
      </c>
      <c r="AX132" s="147" t="str">
        <f>VLOOKUP(C132,REV!C:AX,48,0)</f>
        <v>5G</v>
      </c>
    </row>
    <row r="133" spans="1:50" ht="22.5" customHeight="1">
      <c r="A133" s="51" t="s">
        <v>63</v>
      </c>
      <c r="B133" s="52" t="s">
        <v>64</v>
      </c>
      <c r="C133" s="53">
        <v>4018307</v>
      </c>
      <c r="D133" s="54" t="s">
        <v>222</v>
      </c>
      <c r="E133" s="54" t="s">
        <v>224</v>
      </c>
      <c r="F133" s="55"/>
      <c r="G133" s="55"/>
      <c r="H133" s="55"/>
      <c r="I133" s="55"/>
      <c r="J133" s="56">
        <f>IF(VLOOKUP($C133,REV!$C:$AA,8,0)-'TRADE IN'!$F133=0,"",(VLOOKUP($C133,REV!$C:$AA,8,0)-'TRADE IN'!$F133))</f>
        <v>11899</v>
      </c>
      <c r="K133" s="56">
        <f>IF(VLOOKUP($C133,REV!$C:$AA,9,0)-'TRADE IN'!$F133=0,"",(VLOOKUP($C133,REV!$C:$AA,9,0)-'TRADE IN'!$F133))</f>
        <v>11899</v>
      </c>
      <c r="L133" s="56">
        <f>IF(VLOOKUP($C133,REV!$C:$AA,10,0)-'TRADE IN'!$F133=0,"",(VLOOKUP($C133,REV!$C:$AA,10,0)-'TRADE IN'!$F133))</f>
        <v>11899</v>
      </c>
      <c r="M133" s="56">
        <f>IF(VLOOKUP($C133,REV!$C:$AA,11,0)-'TRADE IN'!$F133=0,"",(VLOOKUP($C133,REV!$C:$AA,11,0)-'TRADE IN'!$F133))</f>
        <v>11899</v>
      </c>
      <c r="N133" s="56">
        <f>IF(VLOOKUP($C133,REV!$C:$AA,12,0)-'TRADE IN'!$F133=0,"",(VLOOKUP($C133,REV!$C:$AA,12,0)-'TRADE IN'!$F133))</f>
        <v>11899</v>
      </c>
      <c r="O133" s="56">
        <f>IF(VLOOKUP($C133,REV!$C:$AA,13,0)-'TRADE IN'!$F133=0,"",(VLOOKUP($C133,REV!$C:$AA,13,0)-'TRADE IN'!$F133))</f>
        <v>11799</v>
      </c>
      <c r="P133" s="56">
        <f>IF(VLOOKUP($C133,REV!$C:$AA,14,0)-'TRADE IN'!$F133=0,"",(VLOOKUP($C133,REV!$C:$AA,14,0)-'TRADE IN'!$F133))</f>
        <v>11699</v>
      </c>
      <c r="Q133" s="56">
        <f>IF(VLOOKUP($C133,REV!$C:$AA,15,0)-'TRADE IN'!$F133=0,"",(VLOOKUP($C133,REV!$C:$AA,15,0)-'TRADE IN'!$F133))</f>
        <v>10999</v>
      </c>
      <c r="R133" s="56">
        <f>IF(VLOOKUP($C133,REV!$C:$AA,16,0)-'TRADE IN'!$F133=0,"",(VLOOKUP($C133,REV!$C:$AA,16,0)-'TRADE IN'!$F133))</f>
        <v>11799</v>
      </c>
      <c r="S133" s="56">
        <f>IF(VLOOKUP($C133,REV!$C:$AA,17,0)-'TRADE IN'!$F133=0,"",(VLOOKUP($C133,REV!$C:$AA,17,0)-'TRADE IN'!$F133))</f>
        <v>11699</v>
      </c>
      <c r="T133" s="56">
        <f>IF(VLOOKUP($C133,REV!$C:$AA,18,0)-'TRADE IN'!$F133=0,"",(VLOOKUP($C133,REV!$C:$AA,18,0)-'TRADE IN'!$F133))</f>
        <v>10999</v>
      </c>
      <c r="U133" s="56">
        <f>IF(VLOOKUP($C133,REV!$C:$AA,19,0)-'TRADE IN'!$F133=0,"",(VLOOKUP($C133,REV!$C:$AA,19,0)-'TRADE IN'!$F133))</f>
        <v>10999</v>
      </c>
      <c r="V133" s="56">
        <f>IF(VLOOKUP($C133,REV!$C:$AA,20,0)-'TRADE IN'!$F133=0,"",(VLOOKUP($C133,REV!$C:$AA,20,0)-'TRADE IN'!$F133))</f>
        <v>10999</v>
      </c>
      <c r="W133" s="56">
        <f>IF(VLOOKUP($C133,REV!$C:$AA,21,0)-'TRADE IN'!$F133=0,"",(VLOOKUP($C133,REV!$C:$AA,21,0)-'TRADE IN'!$F133))</f>
        <v>10999</v>
      </c>
      <c r="X133" s="56">
        <f>IF(VLOOKUP($C133,REV!$C:$AA,22,0)-'TRADE IN'!$F133=0,"",(VLOOKUP($C133,REV!$C:$AA,22,0)-'TRADE IN'!$F133))</f>
        <v>10899</v>
      </c>
      <c r="Y133" s="56">
        <f>IF(VLOOKUP($C133,REV!$C:$AA,23,0)-'TRADE IN'!$F133=0,"",(VLOOKUP($C133,REV!$C:$AA,23,0)-'TRADE IN'!$F133))</f>
        <v>10499</v>
      </c>
      <c r="Z133" s="56">
        <f>IF(VLOOKUP($C133,REV!$C:$AA,24,0)-'TRADE IN'!$F133=0,"",(VLOOKUP($C133,REV!$C:$AA,24,0)-'TRADE IN'!$F133))</f>
        <v>10499</v>
      </c>
      <c r="AA133" s="56">
        <f>IF(VLOOKUP($C133,REV!$C:$AA,25,0)-'TRADE IN'!$F133=0,"",(VLOOKUP($C133,REV!$C:$AA,25,0)-'TRADE IN'!$F133))</f>
        <v>10299</v>
      </c>
      <c r="AB133" s="55">
        <f>IF(VLOOKUP($C133,REV!$C:$AL,27,0)-'TRADE IN'!$F133=0,"",(VLOOKUP($C133,REV!$C:$AL,27,0)-'TRADE IN'!$F133))</f>
        <v>11899</v>
      </c>
      <c r="AC133" s="55">
        <f>IF(VLOOKUP($C133,REV!$C:$AL,28,0)-'TRADE IN'!$F133=0,"",(VLOOKUP($C133,REV!$C:$AL,28,0)-'TRADE IN'!$F133))</f>
        <v>11899</v>
      </c>
      <c r="AD133" s="55">
        <f>IF(VLOOKUP($C133,REV!$C:$AL,29,0)-'TRADE IN'!$F133=0,"",(VLOOKUP($C133,REV!$C:$AL,29,0)-'TRADE IN'!$F133))</f>
        <v>11899</v>
      </c>
      <c r="AE133" s="55">
        <f>IF(VLOOKUP($C133,REV!$C:$AL,30,0)-'TRADE IN'!$F133=0,"",(VLOOKUP($C133,REV!$C:$AL,30,0)-'TRADE IN'!$F133))</f>
        <v>11799</v>
      </c>
      <c r="AF133" s="55">
        <f>IF(VLOOKUP($C133,REV!$C:$AL,31,0)-'TRADE IN'!$F133=0,"",(VLOOKUP($C133,REV!$C:$AL,31,0)-'TRADE IN'!$F133))</f>
        <v>11699</v>
      </c>
      <c r="AG133" s="55">
        <f>IF(VLOOKUP($C133,REV!$C:$AL,31,0)-'TRADE IN'!$F133=0,"",(VLOOKUP($C133,REV!$C:$AL,31,0)-'TRADE IN'!$F133))</f>
        <v>11699</v>
      </c>
      <c r="AH133" s="55">
        <f>IF(VLOOKUP($C133,REV!$C:$AL,32,0)-'TRADE IN'!$F133=0,"",(VLOOKUP($C133,REV!$C:$AL,32,0)-'TRADE IN'!$F133))</f>
        <v>10999</v>
      </c>
      <c r="AI133" s="55">
        <f>IF(VLOOKUP($C133,REV!$C:$AL,33,0)-'TRADE IN'!$F133=0,"",(VLOOKUP($C133,REV!$C:$AL,33,0)-'TRADE IN'!$F133))</f>
        <v>10999</v>
      </c>
      <c r="AJ133" s="55">
        <f>IF(VLOOKUP($C133,REV!$C:$AL,34,0)-'TRADE IN'!$F133=0,"",(VLOOKUP($C133,REV!$C:$AL,34,0)-'TRADE IN'!$F133))</f>
        <v>10999</v>
      </c>
      <c r="AK133" s="55">
        <f>IF(VLOOKUP($C133,REV!$C:$AL,35,0)-'TRADE IN'!$F133=0,"",(VLOOKUP($C133,REV!$C:$AL,35,0)-'TRADE IN'!$F133))</f>
        <v>10999</v>
      </c>
      <c r="AL133" s="55">
        <f>IF(VLOOKUP($C133,REV!$C:$AL,36,0)-'TRADE IN'!$F133=0,"",(VLOOKUP($C133,REV!$C:$AL,36,0)-'TRADE IN'!$F133))</f>
        <v>10499</v>
      </c>
      <c r="AM133" s="55"/>
      <c r="AN133" s="55"/>
      <c r="AO133" s="55"/>
      <c r="AP133" s="55"/>
      <c r="AQ133" s="55"/>
      <c r="AR133" s="55"/>
      <c r="AS133" s="55"/>
      <c r="AT133" s="55"/>
      <c r="AU133" s="55"/>
      <c r="AV133" s="57"/>
      <c r="AW133" s="58" t="str">
        <f>REV!AW133</f>
        <v>03.11.2026</v>
      </c>
      <c r="AX133" s="147" t="str">
        <f>VLOOKUP(C133,REV!C:AX,48,0)</f>
        <v>5G</v>
      </c>
    </row>
    <row r="134" spans="1:50" ht="22.5" customHeight="1">
      <c r="A134" s="51" t="s">
        <v>63</v>
      </c>
      <c r="B134" s="52" t="s">
        <v>64</v>
      </c>
      <c r="C134" s="53">
        <v>4018288</v>
      </c>
      <c r="D134" s="54" t="s">
        <v>222</v>
      </c>
      <c r="E134" s="54" t="s">
        <v>225</v>
      </c>
      <c r="F134" s="55"/>
      <c r="G134" s="55"/>
      <c r="H134" s="55"/>
      <c r="I134" s="55"/>
      <c r="J134" s="56">
        <f>IF(VLOOKUP($C134,REV!$C:$AA,8,0)-'TRADE IN'!$F134=0,"",(VLOOKUP($C134,REV!$C:$AA,8,0)-'TRADE IN'!$F134))</f>
        <v>11899</v>
      </c>
      <c r="K134" s="56">
        <f>IF(VLOOKUP($C134,REV!$C:$AA,9,0)-'TRADE IN'!$F134=0,"",(VLOOKUP($C134,REV!$C:$AA,9,0)-'TRADE IN'!$F134))</f>
        <v>11899</v>
      </c>
      <c r="L134" s="56">
        <f>IF(VLOOKUP($C134,REV!$C:$AA,10,0)-'TRADE IN'!$F134=0,"",(VLOOKUP($C134,REV!$C:$AA,10,0)-'TRADE IN'!$F134))</f>
        <v>11899</v>
      </c>
      <c r="M134" s="56">
        <f>IF(VLOOKUP($C134,REV!$C:$AA,11,0)-'TRADE IN'!$F134=0,"",(VLOOKUP($C134,REV!$C:$AA,11,0)-'TRADE IN'!$F134))</f>
        <v>11899</v>
      </c>
      <c r="N134" s="56">
        <f>IF(VLOOKUP($C134,REV!$C:$AA,12,0)-'TRADE IN'!$F134=0,"",(VLOOKUP($C134,REV!$C:$AA,12,0)-'TRADE IN'!$F134))</f>
        <v>11899</v>
      </c>
      <c r="O134" s="56">
        <f>IF(VLOOKUP($C134,REV!$C:$AA,13,0)-'TRADE IN'!$F134=0,"",(VLOOKUP($C134,REV!$C:$AA,13,0)-'TRADE IN'!$F134))</f>
        <v>11799</v>
      </c>
      <c r="P134" s="56">
        <f>IF(VLOOKUP($C134,REV!$C:$AA,14,0)-'TRADE IN'!$F134=0,"",(VLOOKUP($C134,REV!$C:$AA,14,0)-'TRADE IN'!$F134))</f>
        <v>11699</v>
      </c>
      <c r="Q134" s="56">
        <f>IF(VLOOKUP($C134,REV!$C:$AA,15,0)-'TRADE IN'!$F134=0,"",(VLOOKUP($C134,REV!$C:$AA,15,0)-'TRADE IN'!$F134))</f>
        <v>10999</v>
      </c>
      <c r="R134" s="56">
        <f>IF(VLOOKUP($C134,REV!$C:$AA,16,0)-'TRADE IN'!$F134=0,"",(VLOOKUP($C134,REV!$C:$AA,16,0)-'TRADE IN'!$F134))</f>
        <v>11799</v>
      </c>
      <c r="S134" s="56">
        <f>IF(VLOOKUP($C134,REV!$C:$AA,17,0)-'TRADE IN'!$F134=0,"",(VLOOKUP($C134,REV!$C:$AA,17,0)-'TRADE IN'!$F134))</f>
        <v>11699</v>
      </c>
      <c r="T134" s="56">
        <f>IF(VLOOKUP($C134,REV!$C:$AA,18,0)-'TRADE IN'!$F134=0,"",(VLOOKUP($C134,REV!$C:$AA,18,0)-'TRADE IN'!$F134))</f>
        <v>10999</v>
      </c>
      <c r="U134" s="56">
        <f>IF(VLOOKUP($C134,REV!$C:$AA,19,0)-'TRADE IN'!$F134=0,"",(VLOOKUP($C134,REV!$C:$AA,19,0)-'TRADE IN'!$F134))</f>
        <v>10999</v>
      </c>
      <c r="V134" s="56">
        <f>IF(VLOOKUP($C134,REV!$C:$AA,20,0)-'TRADE IN'!$F134=0,"",(VLOOKUP($C134,REV!$C:$AA,20,0)-'TRADE IN'!$F134))</f>
        <v>10999</v>
      </c>
      <c r="W134" s="56">
        <f>IF(VLOOKUP($C134,REV!$C:$AA,21,0)-'TRADE IN'!$F134=0,"",(VLOOKUP($C134,REV!$C:$AA,21,0)-'TRADE IN'!$F134))</f>
        <v>10999</v>
      </c>
      <c r="X134" s="56">
        <f>IF(VLOOKUP($C134,REV!$C:$AA,22,0)-'TRADE IN'!$F134=0,"",(VLOOKUP($C134,REV!$C:$AA,22,0)-'TRADE IN'!$F134))</f>
        <v>10899</v>
      </c>
      <c r="Y134" s="56">
        <f>IF(VLOOKUP($C134,REV!$C:$AA,23,0)-'TRADE IN'!$F134=0,"",(VLOOKUP($C134,REV!$C:$AA,23,0)-'TRADE IN'!$F134))</f>
        <v>10499</v>
      </c>
      <c r="Z134" s="56">
        <f>IF(VLOOKUP($C134,REV!$C:$AA,24,0)-'TRADE IN'!$F134=0,"",(VLOOKUP($C134,REV!$C:$AA,24,0)-'TRADE IN'!$F134))</f>
        <v>10499</v>
      </c>
      <c r="AA134" s="56">
        <f>IF(VLOOKUP($C134,REV!$C:$AA,25,0)-'TRADE IN'!$F134=0,"",(VLOOKUP($C134,REV!$C:$AA,25,0)-'TRADE IN'!$F134))</f>
        <v>10299</v>
      </c>
      <c r="AB134" s="55">
        <f>IF(VLOOKUP($C134,REV!$C:$AL,27,0)-'TRADE IN'!$F134=0,"",(VLOOKUP($C134,REV!$C:$AL,27,0)-'TRADE IN'!$F134))</f>
        <v>11899</v>
      </c>
      <c r="AC134" s="55">
        <f>IF(VLOOKUP($C134,REV!$C:$AL,28,0)-'TRADE IN'!$F134=0,"",(VLOOKUP($C134,REV!$C:$AL,28,0)-'TRADE IN'!$F134))</f>
        <v>11899</v>
      </c>
      <c r="AD134" s="55">
        <f>IF(VLOOKUP($C134,REV!$C:$AL,29,0)-'TRADE IN'!$F134=0,"",(VLOOKUP($C134,REV!$C:$AL,29,0)-'TRADE IN'!$F134))</f>
        <v>11899</v>
      </c>
      <c r="AE134" s="55">
        <f>IF(VLOOKUP($C134,REV!$C:$AL,30,0)-'TRADE IN'!$F134=0,"",(VLOOKUP($C134,REV!$C:$AL,30,0)-'TRADE IN'!$F134))</f>
        <v>11799</v>
      </c>
      <c r="AF134" s="55">
        <f>IF(VLOOKUP($C134,REV!$C:$AL,31,0)-'TRADE IN'!$F134=0,"",(VLOOKUP($C134,REV!$C:$AL,31,0)-'TRADE IN'!$F134))</f>
        <v>11699</v>
      </c>
      <c r="AG134" s="55">
        <f>IF(VLOOKUP($C134,REV!$C:$AL,31,0)-'TRADE IN'!$F134=0,"",(VLOOKUP($C134,REV!$C:$AL,31,0)-'TRADE IN'!$F134))</f>
        <v>11699</v>
      </c>
      <c r="AH134" s="55">
        <f>IF(VLOOKUP($C134,REV!$C:$AL,32,0)-'TRADE IN'!$F134=0,"",(VLOOKUP($C134,REV!$C:$AL,32,0)-'TRADE IN'!$F134))</f>
        <v>10999</v>
      </c>
      <c r="AI134" s="55">
        <f>IF(VLOOKUP($C134,REV!$C:$AL,33,0)-'TRADE IN'!$F134=0,"",(VLOOKUP($C134,REV!$C:$AL,33,0)-'TRADE IN'!$F134))</f>
        <v>10999</v>
      </c>
      <c r="AJ134" s="55">
        <f>IF(VLOOKUP($C134,REV!$C:$AL,34,0)-'TRADE IN'!$F134=0,"",(VLOOKUP($C134,REV!$C:$AL,34,0)-'TRADE IN'!$F134))</f>
        <v>10999</v>
      </c>
      <c r="AK134" s="55">
        <f>IF(VLOOKUP($C134,REV!$C:$AL,35,0)-'TRADE IN'!$F134=0,"",(VLOOKUP($C134,REV!$C:$AL,35,0)-'TRADE IN'!$F134))</f>
        <v>10999</v>
      </c>
      <c r="AL134" s="55">
        <f>IF(VLOOKUP($C134,REV!$C:$AL,36,0)-'TRADE IN'!$F134=0,"",(VLOOKUP($C134,REV!$C:$AL,36,0)-'TRADE IN'!$F134))</f>
        <v>10499</v>
      </c>
      <c r="AM134" s="55"/>
      <c r="AN134" s="55"/>
      <c r="AO134" s="55"/>
      <c r="AP134" s="55"/>
      <c r="AQ134" s="55"/>
      <c r="AR134" s="55"/>
      <c r="AS134" s="55"/>
      <c r="AT134" s="55"/>
      <c r="AU134" s="55"/>
      <c r="AV134" s="57"/>
      <c r="AW134" s="58" t="str">
        <f>REV!AW134</f>
        <v>03.11.2026</v>
      </c>
      <c r="AX134" s="147" t="str">
        <f>VLOOKUP(C134,REV!C:AX,48,0)</f>
        <v>5G</v>
      </c>
    </row>
    <row r="135" spans="1:50" ht="22.5" customHeight="1">
      <c r="A135" s="51" t="s">
        <v>63</v>
      </c>
      <c r="B135" s="52" t="s">
        <v>64</v>
      </c>
      <c r="C135" s="53">
        <v>4018306</v>
      </c>
      <c r="D135" s="54" t="s">
        <v>222</v>
      </c>
      <c r="E135" s="54" t="s">
        <v>226</v>
      </c>
      <c r="F135" s="55"/>
      <c r="G135" s="55"/>
      <c r="H135" s="55"/>
      <c r="I135" s="55"/>
      <c r="J135" s="56">
        <f>IF(VLOOKUP($C135,REV!$C:$AA,8,0)-'TRADE IN'!$F135=0,"",(VLOOKUP($C135,REV!$C:$AA,8,0)-'TRADE IN'!$F135))</f>
        <v>11899</v>
      </c>
      <c r="K135" s="56">
        <f>IF(VLOOKUP($C135,REV!$C:$AA,9,0)-'TRADE IN'!$F135=0,"",(VLOOKUP($C135,REV!$C:$AA,9,0)-'TRADE IN'!$F135))</f>
        <v>11899</v>
      </c>
      <c r="L135" s="56">
        <f>IF(VLOOKUP($C135,REV!$C:$AA,10,0)-'TRADE IN'!$F135=0,"",(VLOOKUP($C135,REV!$C:$AA,10,0)-'TRADE IN'!$F135))</f>
        <v>11899</v>
      </c>
      <c r="M135" s="56">
        <f>IF(VLOOKUP($C135,REV!$C:$AA,11,0)-'TRADE IN'!$F135=0,"",(VLOOKUP($C135,REV!$C:$AA,11,0)-'TRADE IN'!$F135))</f>
        <v>11899</v>
      </c>
      <c r="N135" s="56">
        <f>IF(VLOOKUP($C135,REV!$C:$AA,12,0)-'TRADE IN'!$F135=0,"",(VLOOKUP($C135,REV!$C:$AA,12,0)-'TRADE IN'!$F135))</f>
        <v>11899</v>
      </c>
      <c r="O135" s="56">
        <f>IF(VLOOKUP($C135,REV!$C:$AA,13,0)-'TRADE IN'!$F135=0,"",(VLOOKUP($C135,REV!$C:$AA,13,0)-'TRADE IN'!$F135))</f>
        <v>11799</v>
      </c>
      <c r="P135" s="56">
        <f>IF(VLOOKUP($C135,REV!$C:$AA,14,0)-'TRADE IN'!$F135=0,"",(VLOOKUP($C135,REV!$C:$AA,14,0)-'TRADE IN'!$F135))</f>
        <v>11699</v>
      </c>
      <c r="Q135" s="56">
        <f>IF(VLOOKUP($C135,REV!$C:$AA,15,0)-'TRADE IN'!$F135=0,"",(VLOOKUP($C135,REV!$C:$AA,15,0)-'TRADE IN'!$F135))</f>
        <v>10999</v>
      </c>
      <c r="R135" s="56">
        <f>IF(VLOOKUP($C135,REV!$C:$AA,16,0)-'TRADE IN'!$F135=0,"",(VLOOKUP($C135,REV!$C:$AA,16,0)-'TRADE IN'!$F135))</f>
        <v>11799</v>
      </c>
      <c r="S135" s="56">
        <f>IF(VLOOKUP($C135,REV!$C:$AA,17,0)-'TRADE IN'!$F135=0,"",(VLOOKUP($C135,REV!$C:$AA,17,0)-'TRADE IN'!$F135))</f>
        <v>11699</v>
      </c>
      <c r="T135" s="56">
        <f>IF(VLOOKUP($C135,REV!$C:$AA,18,0)-'TRADE IN'!$F135=0,"",(VLOOKUP($C135,REV!$C:$AA,18,0)-'TRADE IN'!$F135))</f>
        <v>10999</v>
      </c>
      <c r="U135" s="56">
        <f>IF(VLOOKUP($C135,REV!$C:$AA,19,0)-'TRADE IN'!$F135=0,"",(VLOOKUP($C135,REV!$C:$AA,19,0)-'TRADE IN'!$F135))</f>
        <v>10999</v>
      </c>
      <c r="V135" s="56">
        <f>IF(VLOOKUP($C135,REV!$C:$AA,20,0)-'TRADE IN'!$F135=0,"",(VLOOKUP($C135,REV!$C:$AA,20,0)-'TRADE IN'!$F135))</f>
        <v>10999</v>
      </c>
      <c r="W135" s="56">
        <f>IF(VLOOKUP($C135,REV!$C:$AA,21,0)-'TRADE IN'!$F135=0,"",(VLOOKUP($C135,REV!$C:$AA,21,0)-'TRADE IN'!$F135))</f>
        <v>10999</v>
      </c>
      <c r="X135" s="56">
        <f>IF(VLOOKUP($C135,REV!$C:$AA,22,0)-'TRADE IN'!$F135=0,"",(VLOOKUP($C135,REV!$C:$AA,22,0)-'TRADE IN'!$F135))</f>
        <v>10899</v>
      </c>
      <c r="Y135" s="56">
        <f>IF(VLOOKUP($C135,REV!$C:$AA,23,0)-'TRADE IN'!$F135=0,"",(VLOOKUP($C135,REV!$C:$AA,23,0)-'TRADE IN'!$F135))</f>
        <v>10499</v>
      </c>
      <c r="Z135" s="56">
        <f>IF(VLOOKUP($C135,REV!$C:$AA,24,0)-'TRADE IN'!$F135=0,"",(VLOOKUP($C135,REV!$C:$AA,24,0)-'TRADE IN'!$F135))</f>
        <v>10499</v>
      </c>
      <c r="AA135" s="56">
        <f>IF(VLOOKUP($C135,REV!$C:$AA,25,0)-'TRADE IN'!$F135=0,"",(VLOOKUP($C135,REV!$C:$AA,25,0)-'TRADE IN'!$F135))</f>
        <v>10299</v>
      </c>
      <c r="AB135" s="55">
        <f>IF(VLOOKUP($C135,REV!$C:$AL,27,0)-'TRADE IN'!$F135=0,"",(VLOOKUP($C135,REV!$C:$AL,27,0)-'TRADE IN'!$F135))</f>
        <v>11899</v>
      </c>
      <c r="AC135" s="55">
        <f>IF(VLOOKUP($C135,REV!$C:$AL,28,0)-'TRADE IN'!$F135=0,"",(VLOOKUP($C135,REV!$C:$AL,28,0)-'TRADE IN'!$F135))</f>
        <v>11899</v>
      </c>
      <c r="AD135" s="55">
        <f>IF(VLOOKUP($C135,REV!$C:$AL,29,0)-'TRADE IN'!$F135=0,"",(VLOOKUP($C135,REV!$C:$AL,29,0)-'TRADE IN'!$F135))</f>
        <v>11899</v>
      </c>
      <c r="AE135" s="55">
        <f>IF(VLOOKUP($C135,REV!$C:$AL,30,0)-'TRADE IN'!$F135=0,"",(VLOOKUP($C135,REV!$C:$AL,30,0)-'TRADE IN'!$F135))</f>
        <v>11799</v>
      </c>
      <c r="AF135" s="55">
        <f>IF(VLOOKUP($C135,REV!$C:$AL,31,0)-'TRADE IN'!$F135=0,"",(VLOOKUP($C135,REV!$C:$AL,31,0)-'TRADE IN'!$F135))</f>
        <v>11699</v>
      </c>
      <c r="AG135" s="55">
        <f>IF(VLOOKUP($C135,REV!$C:$AL,31,0)-'TRADE IN'!$F135=0,"",(VLOOKUP($C135,REV!$C:$AL,31,0)-'TRADE IN'!$F135))</f>
        <v>11699</v>
      </c>
      <c r="AH135" s="55">
        <f>IF(VLOOKUP($C135,REV!$C:$AL,32,0)-'TRADE IN'!$F135=0,"",(VLOOKUP($C135,REV!$C:$AL,32,0)-'TRADE IN'!$F135))</f>
        <v>10999</v>
      </c>
      <c r="AI135" s="55">
        <f>IF(VLOOKUP($C135,REV!$C:$AL,33,0)-'TRADE IN'!$F135=0,"",(VLOOKUP($C135,REV!$C:$AL,33,0)-'TRADE IN'!$F135))</f>
        <v>10999</v>
      </c>
      <c r="AJ135" s="55">
        <f>IF(VLOOKUP($C135,REV!$C:$AL,34,0)-'TRADE IN'!$F135=0,"",(VLOOKUP($C135,REV!$C:$AL,34,0)-'TRADE IN'!$F135))</f>
        <v>10999</v>
      </c>
      <c r="AK135" s="55">
        <f>IF(VLOOKUP($C135,REV!$C:$AL,35,0)-'TRADE IN'!$F135=0,"",(VLOOKUP($C135,REV!$C:$AL,35,0)-'TRADE IN'!$F135))</f>
        <v>10999</v>
      </c>
      <c r="AL135" s="55">
        <f>IF(VLOOKUP($C135,REV!$C:$AL,36,0)-'TRADE IN'!$F135=0,"",(VLOOKUP($C135,REV!$C:$AL,36,0)-'TRADE IN'!$F135))</f>
        <v>10499</v>
      </c>
      <c r="AM135" s="55"/>
      <c r="AN135" s="55"/>
      <c r="AO135" s="55"/>
      <c r="AP135" s="55"/>
      <c r="AQ135" s="55"/>
      <c r="AR135" s="55"/>
      <c r="AS135" s="55"/>
      <c r="AT135" s="55"/>
      <c r="AU135" s="55"/>
      <c r="AV135" s="57"/>
      <c r="AW135" s="58" t="str">
        <f>REV!AW135</f>
        <v>03.11.2026</v>
      </c>
      <c r="AX135" s="147" t="str">
        <f>VLOOKUP(C135,REV!C:AX,48,0)</f>
        <v>5G</v>
      </c>
    </row>
    <row r="136" spans="1:50" ht="22.5" customHeight="1">
      <c r="A136" s="51" t="s">
        <v>63</v>
      </c>
      <c r="B136" s="52" t="s">
        <v>64</v>
      </c>
      <c r="C136" s="53">
        <v>4018290</v>
      </c>
      <c r="D136" s="54" t="s">
        <v>227</v>
      </c>
      <c r="E136" s="54" t="s">
        <v>228</v>
      </c>
      <c r="F136" s="55"/>
      <c r="G136" s="55"/>
      <c r="H136" s="55"/>
      <c r="I136" s="55"/>
      <c r="J136" s="56">
        <f>IF(VLOOKUP($C136,REV!$C:$AA,8,0)-'TRADE IN'!$F136=0,"",(VLOOKUP($C136,REV!$C:$AA,8,0)-'TRADE IN'!$F136))</f>
        <v>13299</v>
      </c>
      <c r="K136" s="56">
        <f>IF(VLOOKUP($C136,REV!$C:$AA,9,0)-'TRADE IN'!$F136=0,"",(VLOOKUP($C136,REV!$C:$AA,9,0)-'TRADE IN'!$F136))</f>
        <v>13299</v>
      </c>
      <c r="L136" s="56">
        <f>IF(VLOOKUP($C136,REV!$C:$AA,10,0)-'TRADE IN'!$F136=0,"",(VLOOKUP($C136,REV!$C:$AA,10,0)-'TRADE IN'!$F136))</f>
        <v>13299</v>
      </c>
      <c r="M136" s="56">
        <f>IF(VLOOKUP($C136,REV!$C:$AA,11,0)-'TRADE IN'!$F136=0,"",(VLOOKUP($C136,REV!$C:$AA,11,0)-'TRADE IN'!$F136))</f>
        <v>13299</v>
      </c>
      <c r="N136" s="56">
        <f>IF(VLOOKUP($C136,REV!$C:$AA,12,0)-'TRADE IN'!$F136=0,"",(VLOOKUP($C136,REV!$C:$AA,12,0)-'TRADE IN'!$F136))</f>
        <v>13299</v>
      </c>
      <c r="O136" s="56">
        <f>IF(VLOOKUP($C136,REV!$C:$AA,13,0)-'TRADE IN'!$F136=0,"",(VLOOKUP($C136,REV!$C:$AA,13,0)-'TRADE IN'!$F136))</f>
        <v>13199</v>
      </c>
      <c r="P136" s="56">
        <f>IF(VLOOKUP($C136,REV!$C:$AA,14,0)-'TRADE IN'!$F136=0,"",(VLOOKUP($C136,REV!$C:$AA,14,0)-'TRADE IN'!$F136))</f>
        <v>13099</v>
      </c>
      <c r="Q136" s="56">
        <f>IF(VLOOKUP($C136,REV!$C:$AA,15,0)-'TRADE IN'!$F136=0,"",(VLOOKUP($C136,REV!$C:$AA,15,0)-'TRADE IN'!$F136))</f>
        <v>12399</v>
      </c>
      <c r="R136" s="56">
        <f>IF(VLOOKUP($C136,REV!$C:$AA,16,0)-'TRADE IN'!$F136=0,"",(VLOOKUP($C136,REV!$C:$AA,16,0)-'TRADE IN'!$F136))</f>
        <v>13199</v>
      </c>
      <c r="S136" s="56">
        <f>IF(VLOOKUP($C136,REV!$C:$AA,17,0)-'TRADE IN'!$F136=0,"",(VLOOKUP($C136,REV!$C:$AA,17,0)-'TRADE IN'!$F136))</f>
        <v>13099</v>
      </c>
      <c r="T136" s="56">
        <f>IF(VLOOKUP($C136,REV!$C:$AA,18,0)-'TRADE IN'!$F136=0,"",(VLOOKUP($C136,REV!$C:$AA,18,0)-'TRADE IN'!$F136))</f>
        <v>12399</v>
      </c>
      <c r="U136" s="56">
        <f>IF(VLOOKUP($C136,REV!$C:$AA,19,0)-'TRADE IN'!$F136=0,"",(VLOOKUP($C136,REV!$C:$AA,19,0)-'TRADE IN'!$F136))</f>
        <v>12399</v>
      </c>
      <c r="V136" s="56">
        <f>IF(VLOOKUP($C136,REV!$C:$AA,20,0)-'TRADE IN'!$F136=0,"",(VLOOKUP($C136,REV!$C:$AA,20,0)-'TRADE IN'!$F136))</f>
        <v>12399</v>
      </c>
      <c r="W136" s="56">
        <f>IF(VLOOKUP($C136,REV!$C:$AA,21,0)-'TRADE IN'!$F136=0,"",(VLOOKUP($C136,REV!$C:$AA,21,0)-'TRADE IN'!$F136))</f>
        <v>12399</v>
      </c>
      <c r="X136" s="56">
        <f>IF(VLOOKUP($C136,REV!$C:$AA,22,0)-'TRADE IN'!$F136=0,"",(VLOOKUP($C136,REV!$C:$AA,22,0)-'TRADE IN'!$F136))</f>
        <v>12299</v>
      </c>
      <c r="Y136" s="56">
        <f>IF(VLOOKUP($C136,REV!$C:$AA,23,0)-'TRADE IN'!$F136=0,"",(VLOOKUP($C136,REV!$C:$AA,23,0)-'TRADE IN'!$F136))</f>
        <v>11699</v>
      </c>
      <c r="Z136" s="56">
        <f>IF(VLOOKUP($C136,REV!$C:$AA,24,0)-'TRADE IN'!$F136=0,"",(VLOOKUP($C136,REV!$C:$AA,24,0)-'TRADE IN'!$F136))</f>
        <v>11699</v>
      </c>
      <c r="AA136" s="56">
        <f>IF(VLOOKUP($C136,REV!$C:$AA,25,0)-'TRADE IN'!$F136=0,"",(VLOOKUP($C136,REV!$C:$AA,25,0)-'TRADE IN'!$F136))</f>
        <v>11499</v>
      </c>
      <c r="AB136" s="55">
        <f>IF(VLOOKUP($C136,REV!$C:$AL,27,0)-'TRADE IN'!$F136=0,"",(VLOOKUP($C136,REV!$C:$AL,27,0)-'TRADE IN'!$F136))</f>
        <v>13299</v>
      </c>
      <c r="AC136" s="55">
        <f>IF(VLOOKUP($C136,REV!$C:$AL,28,0)-'TRADE IN'!$F136=0,"",(VLOOKUP($C136,REV!$C:$AL,28,0)-'TRADE IN'!$F136))</f>
        <v>13299</v>
      </c>
      <c r="AD136" s="55">
        <f>IF(VLOOKUP($C136,REV!$C:$AL,29,0)-'TRADE IN'!$F136=0,"",(VLOOKUP($C136,REV!$C:$AL,29,0)-'TRADE IN'!$F136))</f>
        <v>13299</v>
      </c>
      <c r="AE136" s="55">
        <f>IF(VLOOKUP($C136,REV!$C:$AL,30,0)-'TRADE IN'!$F136=0,"",(VLOOKUP($C136,REV!$C:$AL,30,0)-'TRADE IN'!$F136))</f>
        <v>13199</v>
      </c>
      <c r="AF136" s="55">
        <f>IF(VLOOKUP($C136,REV!$C:$AL,31,0)-'TRADE IN'!$F136=0,"",(VLOOKUP($C136,REV!$C:$AL,31,0)-'TRADE IN'!$F136))</f>
        <v>13099</v>
      </c>
      <c r="AG136" s="55">
        <f>IF(VLOOKUP($C136,REV!$C:$AL,31,0)-'TRADE IN'!$F136=0,"",(VLOOKUP($C136,REV!$C:$AL,31,0)-'TRADE IN'!$F136))</f>
        <v>13099</v>
      </c>
      <c r="AH136" s="55">
        <f>IF(VLOOKUP($C136,REV!$C:$AL,32,0)-'TRADE IN'!$F136=0,"",(VLOOKUP($C136,REV!$C:$AL,32,0)-'TRADE IN'!$F136))</f>
        <v>12399</v>
      </c>
      <c r="AI136" s="55">
        <f>IF(VLOOKUP($C136,REV!$C:$AL,33,0)-'TRADE IN'!$F136=0,"",(VLOOKUP($C136,REV!$C:$AL,33,0)-'TRADE IN'!$F136))</f>
        <v>12399</v>
      </c>
      <c r="AJ136" s="55">
        <f>IF(VLOOKUP($C136,REV!$C:$AL,34,0)-'TRADE IN'!$F136=0,"",(VLOOKUP($C136,REV!$C:$AL,34,0)-'TRADE IN'!$F136))</f>
        <v>12399</v>
      </c>
      <c r="AK136" s="55">
        <f>IF(VLOOKUP($C136,REV!$C:$AL,35,0)-'TRADE IN'!$F136=0,"",(VLOOKUP($C136,REV!$C:$AL,35,0)-'TRADE IN'!$F136))</f>
        <v>12399</v>
      </c>
      <c r="AL136" s="55">
        <f>IF(VLOOKUP($C136,REV!$C:$AL,36,0)-'TRADE IN'!$F136=0,"",(VLOOKUP($C136,REV!$C:$AL,36,0)-'TRADE IN'!$F136))</f>
        <v>11699</v>
      </c>
      <c r="AM136" s="55"/>
      <c r="AN136" s="55"/>
      <c r="AO136" s="55"/>
      <c r="AP136" s="55"/>
      <c r="AQ136" s="55"/>
      <c r="AR136" s="55"/>
      <c r="AS136" s="55"/>
      <c r="AT136" s="55"/>
      <c r="AU136" s="55"/>
      <c r="AV136" s="57"/>
      <c r="AW136" s="58" t="str">
        <f>REV!AW136</f>
        <v>03.11.2026</v>
      </c>
      <c r="AX136" s="147" t="str">
        <f>VLOOKUP(C136,REV!C:AX,48,0)</f>
        <v>5G</v>
      </c>
    </row>
    <row r="137" spans="1:50" ht="22.5" customHeight="1">
      <c r="A137" s="51" t="s">
        <v>63</v>
      </c>
      <c r="B137" s="52" t="s">
        <v>64</v>
      </c>
      <c r="C137" s="53">
        <v>4018308</v>
      </c>
      <c r="D137" s="54" t="s">
        <v>227</v>
      </c>
      <c r="E137" s="54" t="s">
        <v>229</v>
      </c>
      <c r="F137" s="55"/>
      <c r="G137" s="55"/>
      <c r="H137" s="55"/>
      <c r="I137" s="55"/>
      <c r="J137" s="56">
        <f>IF(VLOOKUP($C137,REV!$C:$AA,8,0)-'TRADE IN'!$F137=0,"",(VLOOKUP($C137,REV!$C:$AA,8,0)-'TRADE IN'!$F137))</f>
        <v>13299</v>
      </c>
      <c r="K137" s="56">
        <f>IF(VLOOKUP($C137,REV!$C:$AA,9,0)-'TRADE IN'!$F137=0,"",(VLOOKUP($C137,REV!$C:$AA,9,0)-'TRADE IN'!$F137))</f>
        <v>13299</v>
      </c>
      <c r="L137" s="56">
        <f>IF(VLOOKUP($C137,REV!$C:$AA,10,0)-'TRADE IN'!$F137=0,"",(VLOOKUP($C137,REV!$C:$AA,10,0)-'TRADE IN'!$F137))</f>
        <v>13299</v>
      </c>
      <c r="M137" s="56">
        <f>IF(VLOOKUP($C137,REV!$C:$AA,11,0)-'TRADE IN'!$F137=0,"",(VLOOKUP($C137,REV!$C:$AA,11,0)-'TRADE IN'!$F137))</f>
        <v>13299</v>
      </c>
      <c r="N137" s="56">
        <f>IF(VLOOKUP($C137,REV!$C:$AA,12,0)-'TRADE IN'!$F137=0,"",(VLOOKUP($C137,REV!$C:$AA,12,0)-'TRADE IN'!$F137))</f>
        <v>13299</v>
      </c>
      <c r="O137" s="56">
        <f>IF(VLOOKUP($C137,REV!$C:$AA,13,0)-'TRADE IN'!$F137=0,"",(VLOOKUP($C137,REV!$C:$AA,13,0)-'TRADE IN'!$F137))</f>
        <v>13199</v>
      </c>
      <c r="P137" s="56">
        <f>IF(VLOOKUP($C137,REV!$C:$AA,14,0)-'TRADE IN'!$F137=0,"",(VLOOKUP($C137,REV!$C:$AA,14,0)-'TRADE IN'!$F137))</f>
        <v>13099</v>
      </c>
      <c r="Q137" s="56">
        <f>IF(VLOOKUP($C137,REV!$C:$AA,15,0)-'TRADE IN'!$F137=0,"",(VLOOKUP($C137,REV!$C:$AA,15,0)-'TRADE IN'!$F137))</f>
        <v>12399</v>
      </c>
      <c r="R137" s="56">
        <f>IF(VLOOKUP($C137,REV!$C:$AA,16,0)-'TRADE IN'!$F137=0,"",(VLOOKUP($C137,REV!$C:$AA,16,0)-'TRADE IN'!$F137))</f>
        <v>13199</v>
      </c>
      <c r="S137" s="56">
        <f>IF(VLOOKUP($C137,REV!$C:$AA,17,0)-'TRADE IN'!$F137=0,"",(VLOOKUP($C137,REV!$C:$AA,17,0)-'TRADE IN'!$F137))</f>
        <v>13099</v>
      </c>
      <c r="T137" s="56">
        <f>IF(VLOOKUP($C137,REV!$C:$AA,18,0)-'TRADE IN'!$F137=0,"",(VLOOKUP($C137,REV!$C:$AA,18,0)-'TRADE IN'!$F137))</f>
        <v>12399</v>
      </c>
      <c r="U137" s="56">
        <f>IF(VLOOKUP($C137,REV!$C:$AA,19,0)-'TRADE IN'!$F137=0,"",(VLOOKUP($C137,REV!$C:$AA,19,0)-'TRADE IN'!$F137))</f>
        <v>12399</v>
      </c>
      <c r="V137" s="56">
        <f>IF(VLOOKUP($C137,REV!$C:$AA,20,0)-'TRADE IN'!$F137=0,"",(VLOOKUP($C137,REV!$C:$AA,20,0)-'TRADE IN'!$F137))</f>
        <v>12399</v>
      </c>
      <c r="W137" s="56">
        <f>IF(VLOOKUP($C137,REV!$C:$AA,21,0)-'TRADE IN'!$F137=0,"",(VLOOKUP($C137,REV!$C:$AA,21,0)-'TRADE IN'!$F137))</f>
        <v>12399</v>
      </c>
      <c r="X137" s="56">
        <f>IF(VLOOKUP($C137,REV!$C:$AA,22,0)-'TRADE IN'!$F137=0,"",(VLOOKUP($C137,REV!$C:$AA,22,0)-'TRADE IN'!$F137))</f>
        <v>12299</v>
      </c>
      <c r="Y137" s="56">
        <f>IF(VLOOKUP($C137,REV!$C:$AA,23,0)-'TRADE IN'!$F137=0,"",(VLOOKUP($C137,REV!$C:$AA,23,0)-'TRADE IN'!$F137))</f>
        <v>11699</v>
      </c>
      <c r="Z137" s="56">
        <f>IF(VLOOKUP($C137,REV!$C:$AA,24,0)-'TRADE IN'!$F137=0,"",(VLOOKUP($C137,REV!$C:$AA,24,0)-'TRADE IN'!$F137))</f>
        <v>11699</v>
      </c>
      <c r="AA137" s="56">
        <f>IF(VLOOKUP($C137,REV!$C:$AA,25,0)-'TRADE IN'!$F137=0,"",(VLOOKUP($C137,REV!$C:$AA,25,0)-'TRADE IN'!$F137))</f>
        <v>11499</v>
      </c>
      <c r="AB137" s="55">
        <f>IF(VLOOKUP($C137,REV!$C:$AL,27,0)-'TRADE IN'!$F137=0,"",(VLOOKUP($C137,REV!$C:$AL,27,0)-'TRADE IN'!$F137))</f>
        <v>13299</v>
      </c>
      <c r="AC137" s="55">
        <f>IF(VLOOKUP($C137,REV!$C:$AL,28,0)-'TRADE IN'!$F137=0,"",(VLOOKUP($C137,REV!$C:$AL,28,0)-'TRADE IN'!$F137))</f>
        <v>13299</v>
      </c>
      <c r="AD137" s="55">
        <f>IF(VLOOKUP($C137,REV!$C:$AL,29,0)-'TRADE IN'!$F137=0,"",(VLOOKUP($C137,REV!$C:$AL,29,0)-'TRADE IN'!$F137))</f>
        <v>13299</v>
      </c>
      <c r="AE137" s="55">
        <f>IF(VLOOKUP($C137,REV!$C:$AL,30,0)-'TRADE IN'!$F137=0,"",(VLOOKUP($C137,REV!$C:$AL,30,0)-'TRADE IN'!$F137))</f>
        <v>13199</v>
      </c>
      <c r="AF137" s="55">
        <f>IF(VLOOKUP($C137,REV!$C:$AL,31,0)-'TRADE IN'!$F137=0,"",(VLOOKUP($C137,REV!$C:$AL,31,0)-'TRADE IN'!$F137))</f>
        <v>13099</v>
      </c>
      <c r="AG137" s="55">
        <f>IF(VLOOKUP($C137,REV!$C:$AL,31,0)-'TRADE IN'!$F137=0,"",(VLOOKUP($C137,REV!$C:$AL,31,0)-'TRADE IN'!$F137))</f>
        <v>13099</v>
      </c>
      <c r="AH137" s="55">
        <f>IF(VLOOKUP($C137,REV!$C:$AL,32,0)-'TRADE IN'!$F137=0,"",(VLOOKUP($C137,REV!$C:$AL,32,0)-'TRADE IN'!$F137))</f>
        <v>12399</v>
      </c>
      <c r="AI137" s="55">
        <f>IF(VLOOKUP($C137,REV!$C:$AL,33,0)-'TRADE IN'!$F137=0,"",(VLOOKUP($C137,REV!$C:$AL,33,0)-'TRADE IN'!$F137))</f>
        <v>12399</v>
      </c>
      <c r="AJ137" s="55">
        <f>IF(VLOOKUP($C137,REV!$C:$AL,34,0)-'TRADE IN'!$F137=0,"",(VLOOKUP($C137,REV!$C:$AL,34,0)-'TRADE IN'!$F137))</f>
        <v>12399</v>
      </c>
      <c r="AK137" s="55">
        <f>IF(VLOOKUP($C137,REV!$C:$AL,35,0)-'TRADE IN'!$F137=0,"",(VLOOKUP($C137,REV!$C:$AL,35,0)-'TRADE IN'!$F137))</f>
        <v>12399</v>
      </c>
      <c r="AL137" s="55">
        <f>IF(VLOOKUP($C137,REV!$C:$AL,36,0)-'TRADE IN'!$F137=0,"",(VLOOKUP($C137,REV!$C:$AL,36,0)-'TRADE IN'!$F137))</f>
        <v>11699</v>
      </c>
      <c r="AM137" s="55"/>
      <c r="AN137" s="55"/>
      <c r="AO137" s="55"/>
      <c r="AP137" s="55"/>
      <c r="AQ137" s="55"/>
      <c r="AR137" s="55"/>
      <c r="AS137" s="55"/>
      <c r="AT137" s="55"/>
      <c r="AU137" s="55"/>
      <c r="AV137" s="57"/>
      <c r="AW137" s="58" t="str">
        <f>REV!AW137</f>
        <v>03.11.2026</v>
      </c>
      <c r="AX137" s="147" t="str">
        <f>VLOOKUP(C137,REV!C:AX,48,0)</f>
        <v>5G</v>
      </c>
    </row>
    <row r="138" spans="1:50" ht="22.5" customHeight="1">
      <c r="A138" s="51" t="s">
        <v>63</v>
      </c>
      <c r="B138" s="52" t="s">
        <v>64</v>
      </c>
      <c r="C138" s="53">
        <v>4018291</v>
      </c>
      <c r="D138" s="54" t="s">
        <v>227</v>
      </c>
      <c r="E138" s="54" t="s">
        <v>230</v>
      </c>
      <c r="F138" s="55"/>
      <c r="G138" s="55"/>
      <c r="H138" s="55"/>
      <c r="I138" s="55"/>
      <c r="J138" s="56">
        <f>IF(VLOOKUP($C138,REV!$C:$AA,8,0)-'TRADE IN'!$F138=0,"",(VLOOKUP($C138,REV!$C:$AA,8,0)-'TRADE IN'!$F138))</f>
        <v>13299</v>
      </c>
      <c r="K138" s="56">
        <f>IF(VLOOKUP($C138,REV!$C:$AA,9,0)-'TRADE IN'!$F138=0,"",(VLOOKUP($C138,REV!$C:$AA,9,0)-'TRADE IN'!$F138))</f>
        <v>13299</v>
      </c>
      <c r="L138" s="56">
        <f>IF(VLOOKUP($C138,REV!$C:$AA,10,0)-'TRADE IN'!$F138=0,"",(VLOOKUP($C138,REV!$C:$AA,10,0)-'TRADE IN'!$F138))</f>
        <v>13299</v>
      </c>
      <c r="M138" s="56">
        <f>IF(VLOOKUP($C138,REV!$C:$AA,11,0)-'TRADE IN'!$F138=0,"",(VLOOKUP($C138,REV!$C:$AA,11,0)-'TRADE IN'!$F138))</f>
        <v>13299</v>
      </c>
      <c r="N138" s="56">
        <f>IF(VLOOKUP($C138,REV!$C:$AA,12,0)-'TRADE IN'!$F138=0,"",(VLOOKUP($C138,REV!$C:$AA,12,0)-'TRADE IN'!$F138))</f>
        <v>13299</v>
      </c>
      <c r="O138" s="56">
        <f>IF(VLOOKUP($C138,REV!$C:$AA,13,0)-'TRADE IN'!$F138=0,"",(VLOOKUP($C138,REV!$C:$AA,13,0)-'TRADE IN'!$F138))</f>
        <v>13199</v>
      </c>
      <c r="P138" s="56">
        <f>IF(VLOOKUP($C138,REV!$C:$AA,14,0)-'TRADE IN'!$F138=0,"",(VLOOKUP($C138,REV!$C:$AA,14,0)-'TRADE IN'!$F138))</f>
        <v>13099</v>
      </c>
      <c r="Q138" s="56">
        <f>IF(VLOOKUP($C138,REV!$C:$AA,15,0)-'TRADE IN'!$F138=0,"",(VLOOKUP($C138,REV!$C:$AA,15,0)-'TRADE IN'!$F138))</f>
        <v>12399</v>
      </c>
      <c r="R138" s="56">
        <f>IF(VLOOKUP($C138,REV!$C:$AA,16,0)-'TRADE IN'!$F138=0,"",(VLOOKUP($C138,REV!$C:$AA,16,0)-'TRADE IN'!$F138))</f>
        <v>13199</v>
      </c>
      <c r="S138" s="56">
        <f>IF(VLOOKUP($C138,REV!$C:$AA,17,0)-'TRADE IN'!$F138=0,"",(VLOOKUP($C138,REV!$C:$AA,17,0)-'TRADE IN'!$F138))</f>
        <v>13099</v>
      </c>
      <c r="T138" s="56">
        <f>IF(VLOOKUP($C138,REV!$C:$AA,18,0)-'TRADE IN'!$F138=0,"",(VLOOKUP($C138,REV!$C:$AA,18,0)-'TRADE IN'!$F138))</f>
        <v>12399</v>
      </c>
      <c r="U138" s="56">
        <f>IF(VLOOKUP($C138,REV!$C:$AA,19,0)-'TRADE IN'!$F138=0,"",(VLOOKUP($C138,REV!$C:$AA,19,0)-'TRADE IN'!$F138))</f>
        <v>12399</v>
      </c>
      <c r="V138" s="56">
        <f>IF(VLOOKUP($C138,REV!$C:$AA,20,0)-'TRADE IN'!$F138=0,"",(VLOOKUP($C138,REV!$C:$AA,20,0)-'TRADE IN'!$F138))</f>
        <v>12399</v>
      </c>
      <c r="W138" s="56">
        <f>IF(VLOOKUP($C138,REV!$C:$AA,21,0)-'TRADE IN'!$F138=0,"",(VLOOKUP($C138,REV!$C:$AA,21,0)-'TRADE IN'!$F138))</f>
        <v>12399</v>
      </c>
      <c r="X138" s="56">
        <f>IF(VLOOKUP($C138,REV!$C:$AA,22,0)-'TRADE IN'!$F138=0,"",(VLOOKUP($C138,REV!$C:$AA,22,0)-'TRADE IN'!$F138))</f>
        <v>12299</v>
      </c>
      <c r="Y138" s="56">
        <f>IF(VLOOKUP($C138,REV!$C:$AA,23,0)-'TRADE IN'!$F138=0,"",(VLOOKUP($C138,REV!$C:$AA,23,0)-'TRADE IN'!$F138))</f>
        <v>11699</v>
      </c>
      <c r="Z138" s="56">
        <f>IF(VLOOKUP($C138,REV!$C:$AA,24,0)-'TRADE IN'!$F138=0,"",(VLOOKUP($C138,REV!$C:$AA,24,0)-'TRADE IN'!$F138))</f>
        <v>11699</v>
      </c>
      <c r="AA138" s="56">
        <f>IF(VLOOKUP($C138,REV!$C:$AA,25,0)-'TRADE IN'!$F138=0,"",(VLOOKUP($C138,REV!$C:$AA,25,0)-'TRADE IN'!$F138))</f>
        <v>11499</v>
      </c>
      <c r="AB138" s="55">
        <f>IF(VLOOKUP($C138,REV!$C:$AL,27,0)-'TRADE IN'!$F138=0,"",(VLOOKUP($C138,REV!$C:$AL,27,0)-'TRADE IN'!$F138))</f>
        <v>13299</v>
      </c>
      <c r="AC138" s="55">
        <f>IF(VLOOKUP($C138,REV!$C:$AL,28,0)-'TRADE IN'!$F138=0,"",(VLOOKUP($C138,REV!$C:$AL,28,0)-'TRADE IN'!$F138))</f>
        <v>13299</v>
      </c>
      <c r="AD138" s="55">
        <f>IF(VLOOKUP($C138,REV!$C:$AL,29,0)-'TRADE IN'!$F138=0,"",(VLOOKUP($C138,REV!$C:$AL,29,0)-'TRADE IN'!$F138))</f>
        <v>13299</v>
      </c>
      <c r="AE138" s="55">
        <f>IF(VLOOKUP($C138,REV!$C:$AL,30,0)-'TRADE IN'!$F138=0,"",(VLOOKUP($C138,REV!$C:$AL,30,0)-'TRADE IN'!$F138))</f>
        <v>13199</v>
      </c>
      <c r="AF138" s="55">
        <f>IF(VLOOKUP($C138,REV!$C:$AL,31,0)-'TRADE IN'!$F138=0,"",(VLOOKUP($C138,REV!$C:$AL,31,0)-'TRADE IN'!$F138))</f>
        <v>13099</v>
      </c>
      <c r="AG138" s="55">
        <f>IF(VLOOKUP($C138,REV!$C:$AL,31,0)-'TRADE IN'!$F138=0,"",(VLOOKUP($C138,REV!$C:$AL,31,0)-'TRADE IN'!$F138))</f>
        <v>13099</v>
      </c>
      <c r="AH138" s="55">
        <f>IF(VLOOKUP($C138,REV!$C:$AL,32,0)-'TRADE IN'!$F138=0,"",(VLOOKUP($C138,REV!$C:$AL,32,0)-'TRADE IN'!$F138))</f>
        <v>12399</v>
      </c>
      <c r="AI138" s="55">
        <f>IF(VLOOKUP($C138,REV!$C:$AL,33,0)-'TRADE IN'!$F138=0,"",(VLOOKUP($C138,REV!$C:$AL,33,0)-'TRADE IN'!$F138))</f>
        <v>12399</v>
      </c>
      <c r="AJ138" s="55">
        <f>IF(VLOOKUP($C138,REV!$C:$AL,34,0)-'TRADE IN'!$F138=0,"",(VLOOKUP($C138,REV!$C:$AL,34,0)-'TRADE IN'!$F138))</f>
        <v>12399</v>
      </c>
      <c r="AK138" s="55">
        <f>IF(VLOOKUP($C138,REV!$C:$AL,35,0)-'TRADE IN'!$F138=0,"",(VLOOKUP($C138,REV!$C:$AL,35,0)-'TRADE IN'!$F138))</f>
        <v>12399</v>
      </c>
      <c r="AL138" s="55">
        <f>IF(VLOOKUP($C138,REV!$C:$AL,36,0)-'TRADE IN'!$F138=0,"",(VLOOKUP($C138,REV!$C:$AL,36,0)-'TRADE IN'!$F138))</f>
        <v>11699</v>
      </c>
      <c r="AM138" s="55"/>
      <c r="AN138" s="55"/>
      <c r="AO138" s="55"/>
      <c r="AP138" s="55"/>
      <c r="AQ138" s="55"/>
      <c r="AR138" s="55"/>
      <c r="AS138" s="55"/>
      <c r="AT138" s="55"/>
      <c r="AU138" s="55"/>
      <c r="AV138" s="57"/>
      <c r="AW138" s="58" t="str">
        <f>REV!AW138</f>
        <v>03.11.2026</v>
      </c>
      <c r="AX138" s="147" t="str">
        <f>VLOOKUP(C138,REV!C:AX,48,0)</f>
        <v>5G</v>
      </c>
    </row>
    <row r="139" spans="1:50" ht="22.5" customHeight="1">
      <c r="A139" s="51" t="s">
        <v>63</v>
      </c>
      <c r="B139" s="52" t="s">
        <v>64</v>
      </c>
      <c r="C139" s="53">
        <v>4018309</v>
      </c>
      <c r="D139" s="54" t="s">
        <v>227</v>
      </c>
      <c r="E139" s="54" t="s">
        <v>231</v>
      </c>
      <c r="F139" s="55"/>
      <c r="G139" s="55"/>
      <c r="H139" s="55"/>
      <c r="I139" s="55"/>
      <c r="J139" s="56">
        <f>IF(VLOOKUP($C139,REV!$C:$AA,8,0)-'TRADE IN'!$F139=0,"",(VLOOKUP($C139,REV!$C:$AA,8,0)-'TRADE IN'!$F139))</f>
        <v>13299</v>
      </c>
      <c r="K139" s="56">
        <f>IF(VLOOKUP($C139,REV!$C:$AA,9,0)-'TRADE IN'!$F139=0,"",(VLOOKUP($C139,REV!$C:$AA,9,0)-'TRADE IN'!$F139))</f>
        <v>13299</v>
      </c>
      <c r="L139" s="56">
        <f>IF(VLOOKUP($C139,REV!$C:$AA,10,0)-'TRADE IN'!$F139=0,"",(VLOOKUP($C139,REV!$C:$AA,10,0)-'TRADE IN'!$F139))</f>
        <v>13299</v>
      </c>
      <c r="M139" s="56">
        <f>IF(VLOOKUP($C139,REV!$C:$AA,11,0)-'TRADE IN'!$F139=0,"",(VLOOKUP($C139,REV!$C:$AA,11,0)-'TRADE IN'!$F139))</f>
        <v>13299</v>
      </c>
      <c r="N139" s="56">
        <f>IF(VLOOKUP($C139,REV!$C:$AA,12,0)-'TRADE IN'!$F139=0,"",(VLOOKUP($C139,REV!$C:$AA,12,0)-'TRADE IN'!$F139))</f>
        <v>13299</v>
      </c>
      <c r="O139" s="56">
        <f>IF(VLOOKUP($C139,REV!$C:$AA,13,0)-'TRADE IN'!$F139=0,"",(VLOOKUP($C139,REV!$C:$AA,13,0)-'TRADE IN'!$F139))</f>
        <v>13199</v>
      </c>
      <c r="P139" s="56">
        <f>IF(VLOOKUP($C139,REV!$C:$AA,14,0)-'TRADE IN'!$F139=0,"",(VLOOKUP($C139,REV!$C:$AA,14,0)-'TRADE IN'!$F139))</f>
        <v>13099</v>
      </c>
      <c r="Q139" s="56">
        <f>IF(VLOOKUP($C139,REV!$C:$AA,15,0)-'TRADE IN'!$F139=0,"",(VLOOKUP($C139,REV!$C:$AA,15,0)-'TRADE IN'!$F139))</f>
        <v>12399</v>
      </c>
      <c r="R139" s="56">
        <f>IF(VLOOKUP($C139,REV!$C:$AA,16,0)-'TRADE IN'!$F139=0,"",(VLOOKUP($C139,REV!$C:$AA,16,0)-'TRADE IN'!$F139))</f>
        <v>13199</v>
      </c>
      <c r="S139" s="56">
        <f>IF(VLOOKUP($C139,REV!$C:$AA,17,0)-'TRADE IN'!$F139=0,"",(VLOOKUP($C139,REV!$C:$AA,17,0)-'TRADE IN'!$F139))</f>
        <v>13099</v>
      </c>
      <c r="T139" s="56">
        <f>IF(VLOOKUP($C139,REV!$C:$AA,18,0)-'TRADE IN'!$F139=0,"",(VLOOKUP($C139,REV!$C:$AA,18,0)-'TRADE IN'!$F139))</f>
        <v>12399</v>
      </c>
      <c r="U139" s="56">
        <f>IF(VLOOKUP($C139,REV!$C:$AA,19,0)-'TRADE IN'!$F139=0,"",(VLOOKUP($C139,REV!$C:$AA,19,0)-'TRADE IN'!$F139))</f>
        <v>12399</v>
      </c>
      <c r="V139" s="56">
        <f>IF(VLOOKUP($C139,REV!$C:$AA,20,0)-'TRADE IN'!$F139=0,"",(VLOOKUP($C139,REV!$C:$AA,20,0)-'TRADE IN'!$F139))</f>
        <v>12399</v>
      </c>
      <c r="W139" s="56">
        <f>IF(VLOOKUP($C139,REV!$C:$AA,21,0)-'TRADE IN'!$F139=0,"",(VLOOKUP($C139,REV!$C:$AA,21,0)-'TRADE IN'!$F139))</f>
        <v>12399</v>
      </c>
      <c r="X139" s="56">
        <f>IF(VLOOKUP($C139,REV!$C:$AA,22,0)-'TRADE IN'!$F139=0,"",(VLOOKUP($C139,REV!$C:$AA,22,0)-'TRADE IN'!$F139))</f>
        <v>12299</v>
      </c>
      <c r="Y139" s="56">
        <f>IF(VLOOKUP($C139,REV!$C:$AA,23,0)-'TRADE IN'!$F139=0,"",(VLOOKUP($C139,REV!$C:$AA,23,0)-'TRADE IN'!$F139))</f>
        <v>11699</v>
      </c>
      <c r="Z139" s="56">
        <f>IF(VLOOKUP($C139,REV!$C:$AA,24,0)-'TRADE IN'!$F139=0,"",(VLOOKUP($C139,REV!$C:$AA,24,0)-'TRADE IN'!$F139))</f>
        <v>11699</v>
      </c>
      <c r="AA139" s="56">
        <f>IF(VLOOKUP($C139,REV!$C:$AA,25,0)-'TRADE IN'!$F139=0,"",(VLOOKUP($C139,REV!$C:$AA,25,0)-'TRADE IN'!$F139))</f>
        <v>11499</v>
      </c>
      <c r="AB139" s="55">
        <f>IF(VLOOKUP($C139,REV!$C:$AL,27,0)-'TRADE IN'!$F139=0,"",(VLOOKUP($C139,REV!$C:$AL,27,0)-'TRADE IN'!$F139))</f>
        <v>13299</v>
      </c>
      <c r="AC139" s="55">
        <f>IF(VLOOKUP($C139,REV!$C:$AL,28,0)-'TRADE IN'!$F139=0,"",(VLOOKUP($C139,REV!$C:$AL,28,0)-'TRADE IN'!$F139))</f>
        <v>13299</v>
      </c>
      <c r="AD139" s="55">
        <f>IF(VLOOKUP($C139,REV!$C:$AL,29,0)-'TRADE IN'!$F139=0,"",(VLOOKUP($C139,REV!$C:$AL,29,0)-'TRADE IN'!$F139))</f>
        <v>13299</v>
      </c>
      <c r="AE139" s="55">
        <f>IF(VLOOKUP($C139,REV!$C:$AL,30,0)-'TRADE IN'!$F139=0,"",(VLOOKUP($C139,REV!$C:$AL,30,0)-'TRADE IN'!$F139))</f>
        <v>13199</v>
      </c>
      <c r="AF139" s="55">
        <f>IF(VLOOKUP($C139,REV!$C:$AL,31,0)-'TRADE IN'!$F139=0,"",(VLOOKUP($C139,REV!$C:$AL,31,0)-'TRADE IN'!$F139))</f>
        <v>13099</v>
      </c>
      <c r="AG139" s="55">
        <f>IF(VLOOKUP($C139,REV!$C:$AL,31,0)-'TRADE IN'!$F139=0,"",(VLOOKUP($C139,REV!$C:$AL,31,0)-'TRADE IN'!$F139))</f>
        <v>13099</v>
      </c>
      <c r="AH139" s="55">
        <f>IF(VLOOKUP($C139,REV!$C:$AL,32,0)-'TRADE IN'!$F139=0,"",(VLOOKUP($C139,REV!$C:$AL,32,0)-'TRADE IN'!$F139))</f>
        <v>12399</v>
      </c>
      <c r="AI139" s="55">
        <f>IF(VLOOKUP($C139,REV!$C:$AL,33,0)-'TRADE IN'!$F139=0,"",(VLOOKUP($C139,REV!$C:$AL,33,0)-'TRADE IN'!$F139))</f>
        <v>12399</v>
      </c>
      <c r="AJ139" s="55">
        <f>IF(VLOOKUP($C139,REV!$C:$AL,34,0)-'TRADE IN'!$F139=0,"",(VLOOKUP($C139,REV!$C:$AL,34,0)-'TRADE IN'!$F139))</f>
        <v>12399</v>
      </c>
      <c r="AK139" s="55">
        <f>IF(VLOOKUP($C139,REV!$C:$AL,35,0)-'TRADE IN'!$F139=0,"",(VLOOKUP($C139,REV!$C:$AL,35,0)-'TRADE IN'!$F139))</f>
        <v>12399</v>
      </c>
      <c r="AL139" s="55">
        <f>IF(VLOOKUP($C139,REV!$C:$AL,36,0)-'TRADE IN'!$F139=0,"",(VLOOKUP($C139,REV!$C:$AL,36,0)-'TRADE IN'!$F139))</f>
        <v>11699</v>
      </c>
      <c r="AM139" s="55"/>
      <c r="AN139" s="55"/>
      <c r="AO139" s="55"/>
      <c r="AP139" s="55"/>
      <c r="AQ139" s="55"/>
      <c r="AR139" s="55"/>
      <c r="AS139" s="55"/>
      <c r="AT139" s="55"/>
      <c r="AU139" s="55"/>
      <c r="AV139" s="57"/>
      <c r="AW139" s="58" t="str">
        <f>REV!AW139</f>
        <v>03.11.2026</v>
      </c>
      <c r="AX139" s="147" t="str">
        <f>VLOOKUP(C139,REV!C:AX,48,0)</f>
        <v>5G</v>
      </c>
    </row>
    <row r="140" spans="1:50" ht="22.5" customHeight="1">
      <c r="A140" s="51" t="s">
        <v>63</v>
      </c>
      <c r="B140" s="52" t="s">
        <v>64</v>
      </c>
      <c r="C140" s="53">
        <v>4017020</v>
      </c>
      <c r="D140" s="54" t="s">
        <v>232</v>
      </c>
      <c r="E140" s="54" t="s">
        <v>233</v>
      </c>
      <c r="F140" s="55"/>
      <c r="G140" s="55"/>
      <c r="H140" s="55"/>
      <c r="I140" s="55"/>
      <c r="J140" s="56">
        <f>IF(VLOOKUP($C140,REV!$C:$AA,8,0)-'TRADE IN'!$F140=0,"",(VLOOKUP($C140,REV!$C:$AA,8,0)-'TRADE IN'!$F140))</f>
        <v>2499</v>
      </c>
      <c r="K140" s="56">
        <f>IF(VLOOKUP($C140,REV!$C:$AA,9,0)-'TRADE IN'!$F140=0,"",(VLOOKUP($C140,REV!$C:$AA,9,0)-'TRADE IN'!$F140))</f>
        <v>2299</v>
      </c>
      <c r="L140" s="56">
        <f>IF(VLOOKUP($C140,REV!$C:$AA,10,0)-'TRADE IN'!$F140=0,"",(VLOOKUP($C140,REV!$C:$AA,10,0)-'TRADE IN'!$F140))</f>
        <v>2299</v>
      </c>
      <c r="M140" s="56">
        <f>IF(VLOOKUP($C140,REV!$C:$AA,11,0)-'TRADE IN'!$F140=0,"",(VLOOKUP($C140,REV!$C:$AA,11,0)-'TRADE IN'!$F140))</f>
        <v>2499</v>
      </c>
      <c r="N140" s="56">
        <f>IF(VLOOKUP($C140,REV!$C:$AA,12,0)-'TRADE IN'!$F140=0,"",(VLOOKUP($C140,REV!$C:$AA,12,0)-'TRADE IN'!$F140))</f>
        <v>2299</v>
      </c>
      <c r="O140" s="56">
        <f>IF(VLOOKUP($C140,REV!$C:$AA,13,0)-'TRADE IN'!$F140=0,"",(VLOOKUP($C140,REV!$C:$AA,13,0)-'TRADE IN'!$F140))</f>
        <v>2199</v>
      </c>
      <c r="P140" s="56">
        <f>IF(VLOOKUP($C140,REV!$C:$AA,14,0)-'TRADE IN'!$F140=0,"",(VLOOKUP($C140,REV!$C:$AA,14,0)-'TRADE IN'!$F140))</f>
        <v>2099</v>
      </c>
      <c r="Q140" s="56">
        <f>IF(VLOOKUP($C140,REV!$C:$AA,15,0)-'TRADE IN'!$F140=0,"",(VLOOKUP($C140,REV!$C:$AA,15,0)-'TRADE IN'!$F140))</f>
        <v>1799</v>
      </c>
      <c r="R140" s="56">
        <f>IF(VLOOKUP($C140,REV!$C:$AA,16,0)-'TRADE IN'!$F140=0,"",(VLOOKUP($C140,REV!$C:$AA,16,0)-'TRADE IN'!$F140))</f>
        <v>2199</v>
      </c>
      <c r="S140" s="56">
        <f>IF(VLOOKUP($C140,REV!$C:$AA,17,0)-'TRADE IN'!$F140=0,"",(VLOOKUP($C140,REV!$C:$AA,17,0)-'TRADE IN'!$F140))</f>
        <v>2099</v>
      </c>
      <c r="T140" s="56">
        <f>IF(VLOOKUP($C140,REV!$C:$AA,18,0)-'TRADE IN'!$F140=0,"",(VLOOKUP($C140,REV!$C:$AA,18,0)-'TRADE IN'!$F140))</f>
        <v>1799</v>
      </c>
      <c r="U140" s="56">
        <f>IF(VLOOKUP($C140,REV!$C:$AA,19,0)-'TRADE IN'!$F140=0,"",(VLOOKUP($C140,REV!$C:$AA,19,0)-'TRADE IN'!$F140))</f>
        <v>1799</v>
      </c>
      <c r="V140" s="56">
        <f>IF(VLOOKUP($C140,REV!$C:$AA,20,0)-'TRADE IN'!$F140=0,"",(VLOOKUP($C140,REV!$C:$AA,20,0)-'TRADE IN'!$F140))</f>
        <v>1799</v>
      </c>
      <c r="W140" s="56">
        <f>IF(VLOOKUP($C140,REV!$C:$AA,21,0)-'TRADE IN'!$F140=0,"",(VLOOKUP($C140,REV!$C:$AA,21,0)-'TRADE IN'!$F140))</f>
        <v>1799</v>
      </c>
      <c r="X140" s="56">
        <f>IF(VLOOKUP($C140,REV!$C:$AA,22,0)-'TRADE IN'!$F140=0,"",(VLOOKUP($C140,REV!$C:$AA,22,0)-'TRADE IN'!$F140))</f>
        <v>1699</v>
      </c>
      <c r="Y140" s="56">
        <f>IF(VLOOKUP($C140,REV!$C:$AA,23,0)-'TRADE IN'!$F140=0,"",(VLOOKUP($C140,REV!$C:$AA,23,0)-'TRADE IN'!$F140))</f>
        <v>1299</v>
      </c>
      <c r="Z140" s="56">
        <f>IF(VLOOKUP($C140,REV!$C:$AA,24,0)-'TRADE IN'!$F140=0,"",(VLOOKUP($C140,REV!$C:$AA,24,0)-'TRADE IN'!$F140))</f>
        <v>1299</v>
      </c>
      <c r="AA140" s="56">
        <f>IF(VLOOKUP($C140,REV!$C:$AA,25,0)-'TRADE IN'!$F140=0,"",(VLOOKUP($C140,REV!$C:$AA,25,0)-'TRADE IN'!$F140))</f>
        <v>1299</v>
      </c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7"/>
      <c r="AW140" s="58" t="str">
        <f>REV!AW140</f>
        <v>03.11.2026</v>
      </c>
      <c r="AX140" s="147" t="str">
        <f>VLOOKUP(C140,REV!C:AX,48,0)</f>
        <v>5G</v>
      </c>
    </row>
    <row r="141" spans="1:50" ht="22.5" customHeight="1">
      <c r="A141" s="51" t="s">
        <v>63</v>
      </c>
      <c r="B141" s="52" t="s">
        <v>64</v>
      </c>
      <c r="C141" s="53">
        <v>4017022</v>
      </c>
      <c r="D141" s="54" t="s">
        <v>232</v>
      </c>
      <c r="E141" s="54" t="s">
        <v>234</v>
      </c>
      <c r="F141" s="55"/>
      <c r="G141" s="55"/>
      <c r="H141" s="55"/>
      <c r="I141" s="55"/>
      <c r="J141" s="56">
        <f>IF(VLOOKUP($C141,REV!$C:$AA,8,0)-'TRADE IN'!$F141=0,"",(VLOOKUP($C141,REV!$C:$AA,8,0)-'TRADE IN'!$F141))</f>
        <v>2499</v>
      </c>
      <c r="K141" s="56">
        <f>IF(VLOOKUP($C141,REV!$C:$AA,9,0)-'TRADE IN'!$F141=0,"",(VLOOKUP($C141,REV!$C:$AA,9,0)-'TRADE IN'!$F141))</f>
        <v>2299</v>
      </c>
      <c r="L141" s="56">
        <f>IF(VLOOKUP($C141,REV!$C:$AA,10,0)-'TRADE IN'!$F141=0,"",(VLOOKUP($C141,REV!$C:$AA,10,0)-'TRADE IN'!$F141))</f>
        <v>2299</v>
      </c>
      <c r="M141" s="56">
        <f>IF(VLOOKUP($C141,REV!$C:$AA,11,0)-'TRADE IN'!$F141=0,"",(VLOOKUP($C141,REV!$C:$AA,11,0)-'TRADE IN'!$F141))</f>
        <v>2499</v>
      </c>
      <c r="N141" s="56">
        <f>IF(VLOOKUP($C141,REV!$C:$AA,12,0)-'TRADE IN'!$F141=0,"",(VLOOKUP($C141,REV!$C:$AA,12,0)-'TRADE IN'!$F141))</f>
        <v>2299</v>
      </c>
      <c r="O141" s="56">
        <f>IF(VLOOKUP($C141,REV!$C:$AA,13,0)-'TRADE IN'!$F141=0,"",(VLOOKUP($C141,REV!$C:$AA,13,0)-'TRADE IN'!$F141))</f>
        <v>2199</v>
      </c>
      <c r="P141" s="56">
        <f>IF(VLOOKUP($C141,REV!$C:$AA,14,0)-'TRADE IN'!$F141=0,"",(VLOOKUP($C141,REV!$C:$AA,14,0)-'TRADE IN'!$F141))</f>
        <v>2099</v>
      </c>
      <c r="Q141" s="56">
        <f>IF(VLOOKUP($C141,REV!$C:$AA,15,0)-'TRADE IN'!$F141=0,"",(VLOOKUP($C141,REV!$C:$AA,15,0)-'TRADE IN'!$F141))</f>
        <v>1799</v>
      </c>
      <c r="R141" s="56">
        <f>IF(VLOOKUP($C141,REV!$C:$AA,16,0)-'TRADE IN'!$F141=0,"",(VLOOKUP($C141,REV!$C:$AA,16,0)-'TRADE IN'!$F141))</f>
        <v>2199</v>
      </c>
      <c r="S141" s="56">
        <f>IF(VLOOKUP($C141,REV!$C:$AA,17,0)-'TRADE IN'!$F141=0,"",(VLOOKUP($C141,REV!$C:$AA,17,0)-'TRADE IN'!$F141))</f>
        <v>2099</v>
      </c>
      <c r="T141" s="56">
        <f>IF(VLOOKUP($C141,REV!$C:$AA,18,0)-'TRADE IN'!$F141=0,"",(VLOOKUP($C141,REV!$C:$AA,18,0)-'TRADE IN'!$F141))</f>
        <v>1799</v>
      </c>
      <c r="U141" s="56">
        <f>IF(VLOOKUP($C141,REV!$C:$AA,19,0)-'TRADE IN'!$F141=0,"",(VLOOKUP($C141,REV!$C:$AA,19,0)-'TRADE IN'!$F141))</f>
        <v>1799</v>
      </c>
      <c r="V141" s="56">
        <f>IF(VLOOKUP($C141,REV!$C:$AA,20,0)-'TRADE IN'!$F141=0,"",(VLOOKUP($C141,REV!$C:$AA,20,0)-'TRADE IN'!$F141))</f>
        <v>1799</v>
      </c>
      <c r="W141" s="56">
        <f>IF(VLOOKUP($C141,REV!$C:$AA,21,0)-'TRADE IN'!$F141=0,"",(VLOOKUP($C141,REV!$C:$AA,21,0)-'TRADE IN'!$F141))</f>
        <v>1799</v>
      </c>
      <c r="X141" s="56">
        <f>IF(VLOOKUP($C141,REV!$C:$AA,22,0)-'TRADE IN'!$F141=0,"",(VLOOKUP($C141,REV!$C:$AA,22,0)-'TRADE IN'!$F141))</f>
        <v>1699</v>
      </c>
      <c r="Y141" s="56">
        <f>IF(VLOOKUP($C141,REV!$C:$AA,23,0)-'TRADE IN'!$F141=0,"",(VLOOKUP($C141,REV!$C:$AA,23,0)-'TRADE IN'!$F141))</f>
        <v>1299</v>
      </c>
      <c r="Z141" s="56">
        <f>IF(VLOOKUP($C141,REV!$C:$AA,24,0)-'TRADE IN'!$F141=0,"",(VLOOKUP($C141,REV!$C:$AA,24,0)-'TRADE IN'!$F141))</f>
        <v>1299</v>
      </c>
      <c r="AA141" s="56">
        <f>IF(VLOOKUP($C141,REV!$C:$AA,25,0)-'TRADE IN'!$F141=0,"",(VLOOKUP($C141,REV!$C:$AA,25,0)-'TRADE IN'!$F141))</f>
        <v>1299</v>
      </c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7"/>
      <c r="AW141" s="58" t="str">
        <f>REV!AW141</f>
        <v>03.11.2026</v>
      </c>
      <c r="AX141" s="147" t="str">
        <f>VLOOKUP(C141,REV!C:AX,48,0)</f>
        <v>5G</v>
      </c>
    </row>
    <row r="142" spans="1:50" ht="22.5" customHeight="1">
      <c r="A142" s="51" t="s">
        <v>63</v>
      </c>
      <c r="B142" s="52" t="s">
        <v>64</v>
      </c>
      <c r="C142" s="53">
        <v>4017045</v>
      </c>
      <c r="D142" s="54" t="s">
        <v>235</v>
      </c>
      <c r="E142" s="54" t="s">
        <v>236</v>
      </c>
      <c r="F142" s="55"/>
      <c r="G142" s="55"/>
      <c r="H142" s="55"/>
      <c r="I142" s="55"/>
      <c r="J142" s="56">
        <f>IF(VLOOKUP($C142,REV!$C:$AA,8,0)-'TRADE IN'!$F142=0,"",(VLOOKUP($C142,REV!$C:$AA,8,0)-'TRADE IN'!$F142))</f>
        <v>1499</v>
      </c>
      <c r="K142" s="56">
        <f>IF(VLOOKUP($C142,REV!$C:$AA,9,0)-'TRADE IN'!$F142=0,"",(VLOOKUP($C142,REV!$C:$AA,9,0)-'TRADE IN'!$F142))</f>
        <v>1499</v>
      </c>
      <c r="L142" s="56">
        <f>IF(VLOOKUP($C142,REV!$C:$AA,10,0)-'TRADE IN'!$F142=0,"",(VLOOKUP($C142,REV!$C:$AA,10,0)-'TRADE IN'!$F142))</f>
        <v>1499</v>
      </c>
      <c r="M142" s="56">
        <f>IF(VLOOKUP($C142,REV!$C:$AA,11,0)-'TRADE IN'!$F142=0,"",(VLOOKUP($C142,REV!$C:$AA,11,0)-'TRADE IN'!$F142))</f>
        <v>1499</v>
      </c>
      <c r="N142" s="56">
        <f>IF(VLOOKUP($C142,REV!$C:$AA,12,0)-'TRADE IN'!$F142=0,"",(VLOOKUP($C142,REV!$C:$AA,12,0)-'TRADE IN'!$F142))</f>
        <v>1499</v>
      </c>
      <c r="O142" s="56">
        <f>IF(VLOOKUP($C142,REV!$C:$AA,13,0)-'TRADE IN'!$F142=0,"",(VLOOKUP($C142,REV!$C:$AA,13,0)-'TRADE IN'!$F142))</f>
        <v>1449</v>
      </c>
      <c r="P142" s="56">
        <f>IF(VLOOKUP($C142,REV!$C:$AA,14,0)-'TRADE IN'!$F142=0,"",(VLOOKUP($C142,REV!$C:$AA,14,0)-'TRADE IN'!$F142))</f>
        <v>1399</v>
      </c>
      <c r="Q142" s="56">
        <f>IF(VLOOKUP($C142,REV!$C:$AA,15,0)-'TRADE IN'!$F142=0,"",(VLOOKUP($C142,REV!$C:$AA,15,0)-'TRADE IN'!$F142))</f>
        <v>799</v>
      </c>
      <c r="R142" s="56">
        <f>IF(VLOOKUP($C142,REV!$C:$AA,16,0)-'TRADE IN'!$F142=0,"",(VLOOKUP($C142,REV!$C:$AA,16,0)-'TRADE IN'!$F142))</f>
        <v>1449</v>
      </c>
      <c r="S142" s="56">
        <f>IF(VLOOKUP($C142,REV!$C:$AA,17,0)-'TRADE IN'!$F142=0,"",(VLOOKUP($C142,REV!$C:$AA,17,0)-'TRADE IN'!$F142))</f>
        <v>1399</v>
      </c>
      <c r="T142" s="56">
        <f>IF(VLOOKUP($C142,REV!$C:$AA,18,0)-'TRADE IN'!$F142=0,"",(VLOOKUP($C142,REV!$C:$AA,18,0)-'TRADE IN'!$F142))</f>
        <v>799</v>
      </c>
      <c r="U142" s="56">
        <f>IF(VLOOKUP($C142,REV!$C:$AA,19,0)-'TRADE IN'!$F142=0,"",(VLOOKUP($C142,REV!$C:$AA,19,0)-'TRADE IN'!$F142))</f>
        <v>799</v>
      </c>
      <c r="V142" s="56">
        <f>IF(VLOOKUP($C142,REV!$C:$AA,20,0)-'TRADE IN'!$F142=0,"",(VLOOKUP($C142,REV!$C:$AA,20,0)-'TRADE IN'!$F142))</f>
        <v>799</v>
      </c>
      <c r="W142" s="56">
        <f>IF(VLOOKUP($C142,REV!$C:$AA,21,0)-'TRADE IN'!$F142=0,"",(VLOOKUP($C142,REV!$C:$AA,21,0)-'TRADE IN'!$F142))</f>
        <v>799</v>
      </c>
      <c r="X142" s="56">
        <f>IF(VLOOKUP($C142,REV!$C:$AA,22,0)-'TRADE IN'!$F142=0,"",(VLOOKUP($C142,REV!$C:$AA,22,0)-'TRADE IN'!$F142))</f>
        <v>799</v>
      </c>
      <c r="Y142" s="56">
        <f>IF(VLOOKUP($C142,REV!$C:$AA,23,0)-'TRADE IN'!$F142=0,"",(VLOOKUP($C142,REV!$C:$AA,23,0)-'TRADE IN'!$F142))</f>
        <v>699</v>
      </c>
      <c r="Z142" s="56">
        <f>IF(VLOOKUP($C142,REV!$C:$AA,24,0)-'TRADE IN'!$F142=0,"",(VLOOKUP($C142,REV!$C:$AA,24,0)-'TRADE IN'!$F142))</f>
        <v>699</v>
      </c>
      <c r="AA142" s="56">
        <f>IF(VLOOKUP($C142,REV!$C:$AA,25,0)-'TRADE IN'!$F142=0,"",(VLOOKUP($C142,REV!$C:$AA,25,0)-'TRADE IN'!$F142))</f>
        <v>699</v>
      </c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7"/>
      <c r="AW142" s="58" t="str">
        <f>REV!AW142</f>
        <v>03.11.2026</v>
      </c>
      <c r="AX142" s="147" t="str">
        <f>VLOOKUP(C142,REV!C:AX,48,0)</f>
        <v>5G</v>
      </c>
    </row>
    <row r="143" spans="1:50" ht="22.5" customHeight="1">
      <c r="A143" s="51" t="s">
        <v>63</v>
      </c>
      <c r="B143" s="52" t="s">
        <v>64</v>
      </c>
      <c r="C143" s="53">
        <v>4017047</v>
      </c>
      <c r="D143" s="54" t="s">
        <v>235</v>
      </c>
      <c r="E143" s="54" t="s">
        <v>237</v>
      </c>
      <c r="F143" s="55"/>
      <c r="G143" s="55"/>
      <c r="H143" s="55"/>
      <c r="I143" s="55"/>
      <c r="J143" s="56">
        <f>IF(VLOOKUP($C143,REV!$C:$AA,8,0)-'TRADE IN'!$F143=0,"",(VLOOKUP($C143,REV!$C:$AA,8,0)-'TRADE IN'!$F143))</f>
        <v>1499</v>
      </c>
      <c r="K143" s="56">
        <f>IF(VLOOKUP($C143,REV!$C:$AA,9,0)-'TRADE IN'!$F143=0,"",(VLOOKUP($C143,REV!$C:$AA,9,0)-'TRADE IN'!$F143))</f>
        <v>1499</v>
      </c>
      <c r="L143" s="56">
        <f>IF(VLOOKUP($C143,REV!$C:$AA,10,0)-'TRADE IN'!$F143=0,"",(VLOOKUP($C143,REV!$C:$AA,10,0)-'TRADE IN'!$F143))</f>
        <v>1499</v>
      </c>
      <c r="M143" s="56">
        <f>IF(VLOOKUP($C143,REV!$C:$AA,11,0)-'TRADE IN'!$F143=0,"",(VLOOKUP($C143,REV!$C:$AA,11,0)-'TRADE IN'!$F143))</f>
        <v>1499</v>
      </c>
      <c r="N143" s="56">
        <f>IF(VLOOKUP($C143,REV!$C:$AA,12,0)-'TRADE IN'!$F143=0,"",(VLOOKUP($C143,REV!$C:$AA,12,0)-'TRADE IN'!$F143))</f>
        <v>1499</v>
      </c>
      <c r="O143" s="56">
        <f>IF(VLOOKUP($C143,REV!$C:$AA,13,0)-'TRADE IN'!$F143=0,"",(VLOOKUP($C143,REV!$C:$AA,13,0)-'TRADE IN'!$F143))</f>
        <v>1449</v>
      </c>
      <c r="P143" s="56">
        <f>IF(VLOOKUP($C143,REV!$C:$AA,14,0)-'TRADE IN'!$F143=0,"",(VLOOKUP($C143,REV!$C:$AA,14,0)-'TRADE IN'!$F143))</f>
        <v>1399</v>
      </c>
      <c r="Q143" s="56">
        <f>IF(VLOOKUP($C143,REV!$C:$AA,15,0)-'TRADE IN'!$F143=0,"",(VLOOKUP($C143,REV!$C:$AA,15,0)-'TRADE IN'!$F143))</f>
        <v>799</v>
      </c>
      <c r="R143" s="56">
        <f>IF(VLOOKUP($C143,REV!$C:$AA,16,0)-'TRADE IN'!$F143=0,"",(VLOOKUP($C143,REV!$C:$AA,16,0)-'TRADE IN'!$F143))</f>
        <v>1449</v>
      </c>
      <c r="S143" s="56">
        <f>IF(VLOOKUP($C143,REV!$C:$AA,17,0)-'TRADE IN'!$F143=0,"",(VLOOKUP($C143,REV!$C:$AA,17,0)-'TRADE IN'!$F143))</f>
        <v>1399</v>
      </c>
      <c r="T143" s="56">
        <f>IF(VLOOKUP($C143,REV!$C:$AA,18,0)-'TRADE IN'!$F143=0,"",(VLOOKUP($C143,REV!$C:$AA,18,0)-'TRADE IN'!$F143))</f>
        <v>799</v>
      </c>
      <c r="U143" s="56">
        <f>IF(VLOOKUP($C143,REV!$C:$AA,19,0)-'TRADE IN'!$F143=0,"",(VLOOKUP($C143,REV!$C:$AA,19,0)-'TRADE IN'!$F143))</f>
        <v>799</v>
      </c>
      <c r="V143" s="56">
        <f>IF(VLOOKUP($C143,REV!$C:$AA,20,0)-'TRADE IN'!$F143=0,"",(VLOOKUP($C143,REV!$C:$AA,20,0)-'TRADE IN'!$F143))</f>
        <v>799</v>
      </c>
      <c r="W143" s="56">
        <f>IF(VLOOKUP($C143,REV!$C:$AA,21,0)-'TRADE IN'!$F143=0,"",(VLOOKUP($C143,REV!$C:$AA,21,0)-'TRADE IN'!$F143))</f>
        <v>799</v>
      </c>
      <c r="X143" s="56">
        <f>IF(VLOOKUP($C143,REV!$C:$AA,22,0)-'TRADE IN'!$F143=0,"",(VLOOKUP($C143,REV!$C:$AA,22,0)-'TRADE IN'!$F143))</f>
        <v>799</v>
      </c>
      <c r="Y143" s="56">
        <f>IF(VLOOKUP($C143,REV!$C:$AA,23,0)-'TRADE IN'!$F143=0,"",(VLOOKUP($C143,REV!$C:$AA,23,0)-'TRADE IN'!$F143))</f>
        <v>699</v>
      </c>
      <c r="Z143" s="56">
        <f>IF(VLOOKUP($C143,REV!$C:$AA,24,0)-'TRADE IN'!$F143=0,"",(VLOOKUP($C143,REV!$C:$AA,24,0)-'TRADE IN'!$F143))</f>
        <v>699</v>
      </c>
      <c r="AA143" s="56">
        <f>IF(VLOOKUP($C143,REV!$C:$AA,25,0)-'TRADE IN'!$F143=0,"",(VLOOKUP($C143,REV!$C:$AA,25,0)-'TRADE IN'!$F143))</f>
        <v>699</v>
      </c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7"/>
      <c r="AW143" s="58" t="str">
        <f>REV!AW143</f>
        <v>03.11.2026</v>
      </c>
      <c r="AX143" s="147" t="str">
        <f>VLOOKUP(C143,REV!C:AX,48,0)</f>
        <v>5G</v>
      </c>
    </row>
    <row r="144" spans="1:50" ht="22.5" customHeight="1">
      <c r="A144" s="51" t="s">
        <v>63</v>
      </c>
      <c r="B144" s="52" t="s">
        <v>64</v>
      </c>
      <c r="C144" s="53">
        <v>4017758</v>
      </c>
      <c r="D144" s="54" t="s">
        <v>238</v>
      </c>
      <c r="E144" s="54" t="s">
        <v>239</v>
      </c>
      <c r="F144" s="55"/>
      <c r="G144" s="55"/>
      <c r="H144" s="55"/>
      <c r="I144" s="55"/>
      <c r="J144" s="56">
        <f>IF(VLOOKUP($C144,REV!$C:$AA,8,0)-'TRADE IN'!$F144=0,"",(VLOOKUP($C144,REV!$C:$AA,8,0)-'TRADE IN'!$F144))</f>
        <v>2699</v>
      </c>
      <c r="K144" s="56">
        <f>IF(VLOOKUP($C144,REV!$C:$AA,9,0)-'TRADE IN'!$F144=0,"",(VLOOKUP($C144,REV!$C:$AA,9,0)-'TRADE IN'!$F144))</f>
        <v>2699</v>
      </c>
      <c r="L144" s="56">
        <f>IF(VLOOKUP($C144,REV!$C:$AA,10,0)-'TRADE IN'!$F144=0,"",(VLOOKUP($C144,REV!$C:$AA,10,0)-'TRADE IN'!$F144))</f>
        <v>2699</v>
      </c>
      <c r="M144" s="56">
        <f>IF(VLOOKUP($C144,REV!$C:$AA,11,0)-'TRADE IN'!$F144=0,"",(VLOOKUP($C144,REV!$C:$AA,11,0)-'TRADE IN'!$F144))</f>
        <v>2699</v>
      </c>
      <c r="N144" s="56">
        <f>IF(VLOOKUP($C144,REV!$C:$AA,12,0)-'TRADE IN'!$F144=0,"",(VLOOKUP($C144,REV!$C:$AA,12,0)-'TRADE IN'!$F144))</f>
        <v>2699</v>
      </c>
      <c r="O144" s="56">
        <f>IF(VLOOKUP($C144,REV!$C:$AA,13,0)-'TRADE IN'!$F144=0,"",(VLOOKUP($C144,REV!$C:$AA,13,0)-'TRADE IN'!$F144))</f>
        <v>2599</v>
      </c>
      <c r="P144" s="56">
        <f>IF(VLOOKUP($C144,REV!$C:$AA,14,0)-'TRADE IN'!$F144=0,"",(VLOOKUP($C144,REV!$C:$AA,14,0)-'TRADE IN'!$F144))</f>
        <v>2499</v>
      </c>
      <c r="Q144" s="56">
        <f>IF(VLOOKUP($C144,REV!$C:$AA,15,0)-'TRADE IN'!$F144=0,"",(VLOOKUP($C144,REV!$C:$AA,15,0)-'TRADE IN'!$F144))</f>
        <v>1999</v>
      </c>
      <c r="R144" s="56">
        <f>IF(VLOOKUP($C144,REV!$C:$AA,16,0)-'TRADE IN'!$F144=0,"",(VLOOKUP($C144,REV!$C:$AA,16,0)-'TRADE IN'!$F144))</f>
        <v>2599</v>
      </c>
      <c r="S144" s="56">
        <f>IF(VLOOKUP($C144,REV!$C:$AA,17,0)-'TRADE IN'!$F144=0,"",(VLOOKUP($C144,REV!$C:$AA,17,0)-'TRADE IN'!$F144))</f>
        <v>2499</v>
      </c>
      <c r="T144" s="56">
        <f>IF(VLOOKUP($C144,REV!$C:$AA,18,0)-'TRADE IN'!$F144=0,"",(VLOOKUP($C144,REV!$C:$AA,18,0)-'TRADE IN'!$F144))</f>
        <v>1999</v>
      </c>
      <c r="U144" s="56">
        <f>IF(VLOOKUP($C144,REV!$C:$AA,19,0)-'TRADE IN'!$F144=0,"",(VLOOKUP($C144,REV!$C:$AA,19,0)-'TRADE IN'!$F144))</f>
        <v>1999</v>
      </c>
      <c r="V144" s="56">
        <f>IF(VLOOKUP($C144,REV!$C:$AA,20,0)-'TRADE IN'!$F144=0,"",(VLOOKUP($C144,REV!$C:$AA,20,0)-'TRADE IN'!$F144))</f>
        <v>1999</v>
      </c>
      <c r="W144" s="56">
        <f>IF(VLOOKUP($C144,REV!$C:$AA,21,0)-'TRADE IN'!$F144=0,"",(VLOOKUP($C144,REV!$C:$AA,21,0)-'TRADE IN'!$F144))</f>
        <v>1999</v>
      </c>
      <c r="X144" s="56">
        <f>IF(VLOOKUP($C144,REV!$C:$AA,22,0)-'TRADE IN'!$F144=0,"",(VLOOKUP($C144,REV!$C:$AA,22,0)-'TRADE IN'!$F144))</f>
        <v>1899</v>
      </c>
      <c r="Y144" s="56">
        <f>IF(VLOOKUP($C144,REV!$C:$AA,23,0)-'TRADE IN'!$F144=0,"",(VLOOKUP($C144,REV!$C:$AA,23,0)-'TRADE IN'!$F144))</f>
        <v>1499</v>
      </c>
      <c r="Z144" s="56">
        <f>IF(VLOOKUP($C144,REV!$C:$AA,24,0)-'TRADE IN'!$F144=0,"",(VLOOKUP($C144,REV!$C:$AA,24,0)-'TRADE IN'!$F144))</f>
        <v>1499</v>
      </c>
      <c r="AA144" s="56">
        <f>IF(VLOOKUP($C144,REV!$C:$AA,25,0)-'TRADE IN'!$F144=0,"",(VLOOKUP($C144,REV!$C:$AA,25,0)-'TRADE IN'!$F144))</f>
        <v>1399</v>
      </c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7"/>
      <c r="AW144" s="58" t="str">
        <f>REV!AW144</f>
        <v>03.11.2026</v>
      </c>
      <c r="AX144" s="147" t="str">
        <f>VLOOKUP(C144,REV!C:AX,48,0)</f>
        <v>5G</v>
      </c>
    </row>
    <row r="145" spans="1:50" ht="22.5" customHeight="1">
      <c r="A145" s="51" t="s">
        <v>63</v>
      </c>
      <c r="B145" s="52" t="s">
        <v>64</v>
      </c>
      <c r="C145" s="53">
        <v>4017773</v>
      </c>
      <c r="D145" s="54" t="s">
        <v>238</v>
      </c>
      <c r="E145" s="54" t="s">
        <v>240</v>
      </c>
      <c r="F145" s="55"/>
      <c r="G145" s="55"/>
      <c r="H145" s="55"/>
      <c r="I145" s="55"/>
      <c r="J145" s="56">
        <f>IF(VLOOKUP($C145,REV!$C:$AA,8,0)-'TRADE IN'!$F145=0,"",(VLOOKUP($C145,REV!$C:$AA,8,0)-'TRADE IN'!$F145))</f>
        <v>2699</v>
      </c>
      <c r="K145" s="56">
        <f>IF(VLOOKUP($C145,REV!$C:$AA,9,0)-'TRADE IN'!$F145=0,"",(VLOOKUP($C145,REV!$C:$AA,9,0)-'TRADE IN'!$F145))</f>
        <v>2699</v>
      </c>
      <c r="L145" s="56">
        <f>IF(VLOOKUP($C145,REV!$C:$AA,10,0)-'TRADE IN'!$F145=0,"",(VLOOKUP($C145,REV!$C:$AA,10,0)-'TRADE IN'!$F145))</f>
        <v>2699</v>
      </c>
      <c r="M145" s="56">
        <f>IF(VLOOKUP($C145,REV!$C:$AA,11,0)-'TRADE IN'!$F145=0,"",(VLOOKUP($C145,REV!$C:$AA,11,0)-'TRADE IN'!$F145))</f>
        <v>2699</v>
      </c>
      <c r="N145" s="56">
        <f>IF(VLOOKUP($C145,REV!$C:$AA,12,0)-'TRADE IN'!$F145=0,"",(VLOOKUP($C145,REV!$C:$AA,12,0)-'TRADE IN'!$F145))</f>
        <v>2699</v>
      </c>
      <c r="O145" s="56">
        <f>IF(VLOOKUP($C145,REV!$C:$AA,13,0)-'TRADE IN'!$F145=0,"",(VLOOKUP($C145,REV!$C:$AA,13,0)-'TRADE IN'!$F145))</f>
        <v>2599</v>
      </c>
      <c r="P145" s="56">
        <f>IF(VLOOKUP($C145,REV!$C:$AA,14,0)-'TRADE IN'!$F145=0,"",(VLOOKUP($C145,REV!$C:$AA,14,0)-'TRADE IN'!$F145))</f>
        <v>2499</v>
      </c>
      <c r="Q145" s="56">
        <f>IF(VLOOKUP($C145,REV!$C:$AA,15,0)-'TRADE IN'!$F145=0,"",(VLOOKUP($C145,REV!$C:$AA,15,0)-'TRADE IN'!$F145))</f>
        <v>1999</v>
      </c>
      <c r="R145" s="56">
        <f>IF(VLOOKUP($C145,REV!$C:$AA,16,0)-'TRADE IN'!$F145=0,"",(VLOOKUP($C145,REV!$C:$AA,16,0)-'TRADE IN'!$F145))</f>
        <v>2599</v>
      </c>
      <c r="S145" s="56">
        <f>IF(VLOOKUP($C145,REV!$C:$AA,17,0)-'TRADE IN'!$F145=0,"",(VLOOKUP($C145,REV!$C:$AA,17,0)-'TRADE IN'!$F145))</f>
        <v>2499</v>
      </c>
      <c r="T145" s="56">
        <f>IF(VLOOKUP($C145,REV!$C:$AA,18,0)-'TRADE IN'!$F145=0,"",(VLOOKUP($C145,REV!$C:$AA,18,0)-'TRADE IN'!$F145))</f>
        <v>1999</v>
      </c>
      <c r="U145" s="56">
        <f>IF(VLOOKUP($C145,REV!$C:$AA,19,0)-'TRADE IN'!$F145=0,"",(VLOOKUP($C145,REV!$C:$AA,19,0)-'TRADE IN'!$F145))</f>
        <v>1999</v>
      </c>
      <c r="V145" s="56">
        <f>IF(VLOOKUP($C145,REV!$C:$AA,20,0)-'TRADE IN'!$F145=0,"",(VLOOKUP($C145,REV!$C:$AA,20,0)-'TRADE IN'!$F145))</f>
        <v>1999</v>
      </c>
      <c r="W145" s="56">
        <f>IF(VLOOKUP($C145,REV!$C:$AA,21,0)-'TRADE IN'!$F145=0,"",(VLOOKUP($C145,REV!$C:$AA,21,0)-'TRADE IN'!$F145))</f>
        <v>1999</v>
      </c>
      <c r="X145" s="56">
        <f>IF(VLOOKUP($C145,REV!$C:$AA,22,0)-'TRADE IN'!$F145=0,"",(VLOOKUP($C145,REV!$C:$AA,22,0)-'TRADE IN'!$F145))</f>
        <v>1899</v>
      </c>
      <c r="Y145" s="56">
        <f>IF(VLOOKUP($C145,REV!$C:$AA,23,0)-'TRADE IN'!$F145=0,"",(VLOOKUP($C145,REV!$C:$AA,23,0)-'TRADE IN'!$F145))</f>
        <v>1499</v>
      </c>
      <c r="Z145" s="56">
        <f>IF(VLOOKUP($C145,REV!$C:$AA,24,0)-'TRADE IN'!$F145=0,"",(VLOOKUP($C145,REV!$C:$AA,24,0)-'TRADE IN'!$F145))</f>
        <v>1499</v>
      </c>
      <c r="AA145" s="56">
        <f>IF(VLOOKUP($C145,REV!$C:$AA,25,0)-'TRADE IN'!$F145=0,"",(VLOOKUP($C145,REV!$C:$AA,25,0)-'TRADE IN'!$F145))</f>
        <v>1399</v>
      </c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7"/>
      <c r="AW145" s="58" t="str">
        <f>REV!AW145</f>
        <v>03.11.2026</v>
      </c>
      <c r="AX145" s="147" t="str">
        <f>VLOOKUP(C145,REV!C:AX,48,0)</f>
        <v>5G</v>
      </c>
    </row>
    <row r="146" spans="1:50" ht="22.5" customHeight="1">
      <c r="A146" s="64" t="s">
        <v>241</v>
      </c>
      <c r="B146" s="52" t="s">
        <v>64</v>
      </c>
      <c r="C146" s="53">
        <v>4017737</v>
      </c>
      <c r="D146" s="148" t="s">
        <v>242</v>
      </c>
      <c r="E146" s="54" t="s">
        <v>243</v>
      </c>
      <c r="F146" s="149">
        <v>500</v>
      </c>
      <c r="G146" s="55"/>
      <c r="H146" s="55"/>
      <c r="I146" s="55"/>
      <c r="J146" s="56">
        <f>IF(VLOOKUP($C146,REV!$C:$AA,8,0)-'TRADE IN'!$F146=0,"",(VLOOKUP($C146,REV!$C:$AA,8,0)-'TRADE IN'!$F146))</f>
        <v>899</v>
      </c>
      <c r="K146" s="56">
        <f>IF(VLOOKUP($C146,REV!$C:$AA,9,0)-'TRADE IN'!$F146=0,"",(VLOOKUP($C146,REV!$C:$AA,9,0)-'TRADE IN'!$F146))</f>
        <v>899</v>
      </c>
      <c r="L146" s="56">
        <f>IF(VLOOKUP($C146,REV!$C:$AA,10,0)-'TRADE IN'!$F146=0,"",(VLOOKUP($C146,REV!$C:$AA,10,0)-'TRADE IN'!$F146))</f>
        <v>899</v>
      </c>
      <c r="M146" s="56">
        <f>IF(VLOOKUP($C146,REV!$C:$AA,11,0)-'TRADE IN'!$F146=0,"",(VLOOKUP($C146,REV!$C:$AA,11,0)-'TRADE IN'!$F146))</f>
        <v>899</v>
      </c>
      <c r="N146" s="56">
        <f>IF(VLOOKUP($C146,REV!$C:$AA,12,0)-'TRADE IN'!$F146=0,"",(VLOOKUP($C146,REV!$C:$AA,12,0)-'TRADE IN'!$F146))</f>
        <v>899</v>
      </c>
      <c r="O146" s="56">
        <f>IF(VLOOKUP($C146,REV!$C:$AA,13,0)-'TRADE IN'!$F146=0,"",(VLOOKUP($C146,REV!$C:$AA,13,0)-'TRADE IN'!$F146))</f>
        <v>799</v>
      </c>
      <c r="P146" s="56">
        <f>IF(VLOOKUP($C146,REV!$C:$AA,14,0)-'TRADE IN'!$F146=0,"",(VLOOKUP($C146,REV!$C:$AA,14,0)-'TRADE IN'!$F146))</f>
        <v>749</v>
      </c>
      <c r="Q146" s="56">
        <f>IF(VLOOKUP($C146,REV!$C:$AA,15,0)-'TRADE IN'!$F146=0,"",(VLOOKUP($C146,REV!$C:$AA,15,0)-'TRADE IN'!$F146))</f>
        <v>699</v>
      </c>
      <c r="R146" s="56">
        <f>IF(VLOOKUP($C146,REV!$C:$AA,16,0)-'TRADE IN'!$F146=0,"",(VLOOKUP($C146,REV!$C:$AA,16,0)-'TRADE IN'!$F146))</f>
        <v>799</v>
      </c>
      <c r="S146" s="56">
        <f>IF(VLOOKUP($C146,REV!$C:$AA,17,0)-'TRADE IN'!$F146=0,"",(VLOOKUP($C146,REV!$C:$AA,17,0)-'TRADE IN'!$F146))</f>
        <v>749</v>
      </c>
      <c r="T146" s="56">
        <f>IF(VLOOKUP($C146,REV!$C:$AA,18,0)-'TRADE IN'!$F146=0,"",(VLOOKUP($C146,REV!$C:$AA,18,0)-'TRADE IN'!$F146))</f>
        <v>699</v>
      </c>
      <c r="U146" s="56">
        <f>IF(VLOOKUP($C146,REV!$C:$AA,19,0)-'TRADE IN'!$F146=0,"",(VLOOKUP($C146,REV!$C:$AA,19,0)-'TRADE IN'!$F146))</f>
        <v>699</v>
      </c>
      <c r="V146" s="56">
        <f>IF(VLOOKUP($C146,REV!$C:$AA,20,0)-'TRADE IN'!$F146=0,"",(VLOOKUP($C146,REV!$C:$AA,20,0)-'TRADE IN'!$F146))</f>
        <v>699</v>
      </c>
      <c r="W146" s="56">
        <f>IF(VLOOKUP($C146,REV!$C:$AA,21,0)-'TRADE IN'!$F146=0,"",(VLOOKUP($C146,REV!$C:$AA,21,0)-'TRADE IN'!$F146))</f>
        <v>699</v>
      </c>
      <c r="X146" s="56">
        <f>IF(VLOOKUP($C146,REV!$C:$AA,22,0)-'TRADE IN'!$F146=0,"",(VLOOKUP($C146,REV!$C:$AA,22,0)-'TRADE IN'!$F146))</f>
        <v>699</v>
      </c>
      <c r="Y146" s="56">
        <f>IF(VLOOKUP($C146,REV!$C:$AA,23,0)-'TRADE IN'!$F146=0,"",(VLOOKUP($C146,REV!$C:$AA,23,0)-'TRADE IN'!$F146))</f>
        <v>699</v>
      </c>
      <c r="Z146" s="56">
        <f>IF(VLOOKUP($C146,REV!$C:$AA,24,0)-'TRADE IN'!$F146=0,"",(VLOOKUP($C146,REV!$C:$AA,24,0)-'TRADE IN'!$F146))</f>
        <v>699</v>
      </c>
      <c r="AA146" s="56">
        <f>IF(VLOOKUP($C146,REV!$C:$AA,25,0)-'TRADE IN'!$F146=0,"",(VLOOKUP($C146,REV!$C:$AA,25,0)-'TRADE IN'!$F146))</f>
        <v>699</v>
      </c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7"/>
      <c r="AW146" s="58" t="str">
        <f>REV!AW146</f>
        <v>03.11.2026</v>
      </c>
      <c r="AX146" s="147" t="str">
        <f>VLOOKUP(C146,REV!C:AX,48,0)</f>
        <v>5G</v>
      </c>
    </row>
    <row r="147" spans="1:50" ht="22.5" customHeight="1">
      <c r="A147" s="64" t="s">
        <v>241</v>
      </c>
      <c r="B147" s="52" t="s">
        <v>64</v>
      </c>
      <c r="C147" s="53">
        <v>4017770</v>
      </c>
      <c r="D147" s="148" t="s">
        <v>242</v>
      </c>
      <c r="E147" s="54" t="s">
        <v>244</v>
      </c>
      <c r="F147" s="149">
        <v>500</v>
      </c>
      <c r="G147" s="55"/>
      <c r="H147" s="55"/>
      <c r="I147" s="55"/>
      <c r="J147" s="56">
        <f>IF(VLOOKUP($C147,REV!$C:$AA,8,0)-'TRADE IN'!$F147=0,"",(VLOOKUP($C147,REV!$C:$AA,8,0)-'TRADE IN'!$F147))</f>
        <v>899</v>
      </c>
      <c r="K147" s="56">
        <f>IF(VLOOKUP($C147,REV!$C:$AA,9,0)-'TRADE IN'!$F147=0,"",(VLOOKUP($C147,REV!$C:$AA,9,0)-'TRADE IN'!$F147))</f>
        <v>899</v>
      </c>
      <c r="L147" s="56">
        <f>IF(VLOOKUP($C147,REV!$C:$AA,10,0)-'TRADE IN'!$F147=0,"",(VLOOKUP($C147,REV!$C:$AA,10,0)-'TRADE IN'!$F147))</f>
        <v>899</v>
      </c>
      <c r="M147" s="56">
        <f>IF(VLOOKUP($C147,REV!$C:$AA,11,0)-'TRADE IN'!$F147=0,"",(VLOOKUP($C147,REV!$C:$AA,11,0)-'TRADE IN'!$F147))</f>
        <v>899</v>
      </c>
      <c r="N147" s="56">
        <f>IF(VLOOKUP($C147,REV!$C:$AA,12,0)-'TRADE IN'!$F147=0,"",(VLOOKUP($C147,REV!$C:$AA,12,0)-'TRADE IN'!$F147))</f>
        <v>899</v>
      </c>
      <c r="O147" s="56">
        <f>IF(VLOOKUP($C147,REV!$C:$AA,13,0)-'TRADE IN'!$F147=0,"",(VLOOKUP($C147,REV!$C:$AA,13,0)-'TRADE IN'!$F147))</f>
        <v>799</v>
      </c>
      <c r="P147" s="56">
        <f>IF(VLOOKUP($C147,REV!$C:$AA,14,0)-'TRADE IN'!$F147=0,"",(VLOOKUP($C147,REV!$C:$AA,14,0)-'TRADE IN'!$F147))</f>
        <v>749</v>
      </c>
      <c r="Q147" s="56">
        <f>IF(VLOOKUP($C147,REV!$C:$AA,15,0)-'TRADE IN'!$F147=0,"",(VLOOKUP($C147,REV!$C:$AA,15,0)-'TRADE IN'!$F147))</f>
        <v>699</v>
      </c>
      <c r="R147" s="56">
        <f>IF(VLOOKUP($C147,REV!$C:$AA,16,0)-'TRADE IN'!$F147=0,"",(VLOOKUP($C147,REV!$C:$AA,16,0)-'TRADE IN'!$F147))</f>
        <v>799</v>
      </c>
      <c r="S147" s="56">
        <f>IF(VLOOKUP($C147,REV!$C:$AA,17,0)-'TRADE IN'!$F147=0,"",(VLOOKUP($C147,REV!$C:$AA,17,0)-'TRADE IN'!$F147))</f>
        <v>749</v>
      </c>
      <c r="T147" s="56">
        <f>IF(VLOOKUP($C147,REV!$C:$AA,18,0)-'TRADE IN'!$F147=0,"",(VLOOKUP($C147,REV!$C:$AA,18,0)-'TRADE IN'!$F147))</f>
        <v>699</v>
      </c>
      <c r="U147" s="56">
        <f>IF(VLOOKUP($C147,REV!$C:$AA,19,0)-'TRADE IN'!$F147=0,"",(VLOOKUP($C147,REV!$C:$AA,19,0)-'TRADE IN'!$F147))</f>
        <v>699</v>
      </c>
      <c r="V147" s="56">
        <f>IF(VLOOKUP($C147,REV!$C:$AA,20,0)-'TRADE IN'!$F147=0,"",(VLOOKUP($C147,REV!$C:$AA,20,0)-'TRADE IN'!$F147))</f>
        <v>699</v>
      </c>
      <c r="W147" s="56">
        <f>IF(VLOOKUP($C147,REV!$C:$AA,21,0)-'TRADE IN'!$F147=0,"",(VLOOKUP($C147,REV!$C:$AA,21,0)-'TRADE IN'!$F147))</f>
        <v>699</v>
      </c>
      <c r="X147" s="56">
        <f>IF(VLOOKUP($C147,REV!$C:$AA,22,0)-'TRADE IN'!$F147=0,"",(VLOOKUP($C147,REV!$C:$AA,22,0)-'TRADE IN'!$F147))</f>
        <v>699</v>
      </c>
      <c r="Y147" s="56">
        <f>IF(VLOOKUP($C147,REV!$C:$AA,23,0)-'TRADE IN'!$F147=0,"",(VLOOKUP($C147,REV!$C:$AA,23,0)-'TRADE IN'!$F147))</f>
        <v>699</v>
      </c>
      <c r="Z147" s="56">
        <f>IF(VLOOKUP($C147,REV!$C:$AA,24,0)-'TRADE IN'!$F147=0,"",(VLOOKUP($C147,REV!$C:$AA,24,0)-'TRADE IN'!$F147))</f>
        <v>699</v>
      </c>
      <c r="AA147" s="56">
        <f>IF(VLOOKUP($C147,REV!$C:$AA,25,0)-'TRADE IN'!$F147=0,"",(VLOOKUP($C147,REV!$C:$AA,25,0)-'TRADE IN'!$F147))</f>
        <v>699</v>
      </c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7"/>
      <c r="AW147" s="58" t="str">
        <f>REV!AW147</f>
        <v>03.11.2026</v>
      </c>
      <c r="AX147" s="147" t="str">
        <f>VLOOKUP(C147,REV!C:AX,48,0)</f>
        <v>5G</v>
      </c>
    </row>
    <row r="148" spans="1:50" ht="22.5" customHeight="1">
      <c r="A148" s="64" t="s">
        <v>241</v>
      </c>
      <c r="B148" s="52" t="s">
        <v>64</v>
      </c>
      <c r="C148" s="53">
        <v>4018220</v>
      </c>
      <c r="D148" s="54" t="s">
        <v>245</v>
      </c>
      <c r="E148" s="54" t="s">
        <v>246</v>
      </c>
      <c r="F148" s="55"/>
      <c r="G148" s="55"/>
      <c r="H148" s="55"/>
      <c r="I148" s="55"/>
      <c r="J148" s="56">
        <f>IF(VLOOKUP($C148,REV!$C:$AA,8,0)-'TRADE IN'!$F148=0,"",(VLOOKUP($C148,REV!$C:$AA,8,0)-'TRADE IN'!$F148))</f>
        <v>999</v>
      </c>
      <c r="K148" s="56">
        <f>IF(VLOOKUP($C148,REV!$C:$AA,9,0)-'TRADE IN'!$F148=0,"",(VLOOKUP($C148,REV!$C:$AA,9,0)-'TRADE IN'!$F148))</f>
        <v>999</v>
      </c>
      <c r="L148" s="56">
        <f>IF(VLOOKUP($C148,REV!$C:$AA,10,0)-'TRADE IN'!$F148=0,"",(VLOOKUP($C148,REV!$C:$AA,10,0)-'TRADE IN'!$F148))</f>
        <v>999</v>
      </c>
      <c r="M148" s="56">
        <f>IF(VLOOKUP($C148,REV!$C:$AA,11,0)-'TRADE IN'!$F148=0,"",(VLOOKUP($C148,REV!$C:$AA,11,0)-'TRADE IN'!$F148))</f>
        <v>999</v>
      </c>
      <c r="N148" s="56">
        <f>IF(VLOOKUP($C148,REV!$C:$AA,12,0)-'TRADE IN'!$F148=0,"",(VLOOKUP($C148,REV!$C:$AA,12,0)-'TRADE IN'!$F148))</f>
        <v>999</v>
      </c>
      <c r="O148" s="56">
        <f>IF(VLOOKUP($C148,REV!$C:$AA,13,0)-'TRADE IN'!$F148=0,"",(VLOOKUP($C148,REV!$C:$AA,13,0)-'TRADE IN'!$F148))</f>
        <v>899</v>
      </c>
      <c r="P148" s="56">
        <f>IF(VLOOKUP($C148,REV!$C:$AA,14,0)-'TRADE IN'!$F148=0,"",(VLOOKUP($C148,REV!$C:$AA,14,0)-'TRADE IN'!$F148))</f>
        <v>899</v>
      </c>
      <c r="Q148" s="56">
        <f>IF(VLOOKUP($C148,REV!$C:$AA,15,0)-'TRADE IN'!$F148=0,"",(VLOOKUP($C148,REV!$C:$AA,15,0)-'TRADE IN'!$F148))</f>
        <v>799</v>
      </c>
      <c r="R148" s="56">
        <f>IF(VLOOKUP($C148,REV!$C:$AA,16,0)-'TRADE IN'!$F148=0,"",(VLOOKUP($C148,REV!$C:$AA,16,0)-'TRADE IN'!$F148))</f>
        <v>899</v>
      </c>
      <c r="S148" s="56">
        <f>IF(VLOOKUP($C148,REV!$C:$AA,17,0)-'TRADE IN'!$F148=0,"",(VLOOKUP($C148,REV!$C:$AA,17,0)-'TRADE IN'!$F148))</f>
        <v>899</v>
      </c>
      <c r="T148" s="56">
        <f>IF(VLOOKUP($C148,REV!$C:$AA,18,0)-'TRADE IN'!$F148=0,"",(VLOOKUP($C148,REV!$C:$AA,18,0)-'TRADE IN'!$F148))</f>
        <v>799</v>
      </c>
      <c r="U148" s="56">
        <f>IF(VLOOKUP($C148,REV!$C:$AA,19,0)-'TRADE IN'!$F148=0,"",(VLOOKUP($C148,REV!$C:$AA,19,0)-'TRADE IN'!$F148))</f>
        <v>799</v>
      </c>
      <c r="V148" s="56">
        <f>IF(VLOOKUP($C148,REV!$C:$AA,20,0)-'TRADE IN'!$F148=0,"",(VLOOKUP($C148,REV!$C:$AA,20,0)-'TRADE IN'!$F148))</f>
        <v>799</v>
      </c>
      <c r="W148" s="56">
        <f>IF(VLOOKUP($C148,REV!$C:$AA,21,0)-'TRADE IN'!$F148=0,"",(VLOOKUP($C148,REV!$C:$AA,21,0)-'TRADE IN'!$F148))</f>
        <v>799</v>
      </c>
      <c r="X148" s="56">
        <f>IF(VLOOKUP($C148,REV!$C:$AA,22,0)-'TRADE IN'!$F148=0,"",(VLOOKUP($C148,REV!$C:$AA,22,0)-'TRADE IN'!$F148))</f>
        <v>799</v>
      </c>
      <c r="Y148" s="56">
        <f>IF(VLOOKUP($C148,REV!$C:$AA,23,0)-'TRADE IN'!$F148=0,"",(VLOOKUP($C148,REV!$C:$AA,23,0)-'TRADE IN'!$F148))</f>
        <v>799</v>
      </c>
      <c r="Z148" s="56">
        <f>IF(VLOOKUP($C148,REV!$C:$AA,24,0)-'TRADE IN'!$F148=0,"",(VLOOKUP($C148,REV!$C:$AA,24,0)-'TRADE IN'!$F148))</f>
        <v>799</v>
      </c>
      <c r="AA148" s="56">
        <f>IF(VLOOKUP($C148,REV!$C:$AA,25,0)-'TRADE IN'!$F148=0,"",(VLOOKUP($C148,REV!$C:$AA,25,0)-'TRADE IN'!$F148))</f>
        <v>799</v>
      </c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7"/>
      <c r="AW148" s="58" t="str">
        <f>REV!AW148</f>
        <v>03.11.2026</v>
      </c>
      <c r="AX148" s="147" t="str">
        <f>VLOOKUP(C148,REV!C:AX,48,0)</f>
        <v>4G</v>
      </c>
    </row>
    <row r="149" spans="1:50" ht="22.5" customHeight="1">
      <c r="A149" s="64" t="s">
        <v>241</v>
      </c>
      <c r="B149" s="52" t="s">
        <v>64</v>
      </c>
      <c r="C149" s="53">
        <v>4018221</v>
      </c>
      <c r="D149" s="54" t="s">
        <v>245</v>
      </c>
      <c r="E149" s="54" t="s">
        <v>248</v>
      </c>
      <c r="F149" s="55"/>
      <c r="G149" s="55"/>
      <c r="H149" s="55"/>
      <c r="I149" s="55"/>
      <c r="J149" s="56">
        <f>IF(VLOOKUP($C149,REV!$C:$AA,8,0)-'TRADE IN'!$F149=0,"",(VLOOKUP($C149,REV!$C:$AA,8,0)-'TRADE IN'!$F149))</f>
        <v>999</v>
      </c>
      <c r="K149" s="56">
        <f>IF(VLOOKUP($C149,REV!$C:$AA,9,0)-'TRADE IN'!$F149=0,"",(VLOOKUP($C149,REV!$C:$AA,9,0)-'TRADE IN'!$F149))</f>
        <v>999</v>
      </c>
      <c r="L149" s="56">
        <f>IF(VLOOKUP($C149,REV!$C:$AA,10,0)-'TRADE IN'!$F149=0,"",(VLOOKUP($C149,REV!$C:$AA,10,0)-'TRADE IN'!$F149))</f>
        <v>999</v>
      </c>
      <c r="M149" s="56">
        <f>IF(VLOOKUP($C149,REV!$C:$AA,11,0)-'TRADE IN'!$F149=0,"",(VLOOKUP($C149,REV!$C:$AA,11,0)-'TRADE IN'!$F149))</f>
        <v>999</v>
      </c>
      <c r="N149" s="56">
        <f>IF(VLOOKUP($C149,REV!$C:$AA,12,0)-'TRADE IN'!$F149=0,"",(VLOOKUP($C149,REV!$C:$AA,12,0)-'TRADE IN'!$F149))</f>
        <v>999</v>
      </c>
      <c r="O149" s="56">
        <f>IF(VLOOKUP($C149,REV!$C:$AA,13,0)-'TRADE IN'!$F149=0,"",(VLOOKUP($C149,REV!$C:$AA,13,0)-'TRADE IN'!$F149))</f>
        <v>899</v>
      </c>
      <c r="P149" s="56">
        <f>IF(VLOOKUP($C149,REV!$C:$AA,14,0)-'TRADE IN'!$F149=0,"",(VLOOKUP($C149,REV!$C:$AA,14,0)-'TRADE IN'!$F149))</f>
        <v>899</v>
      </c>
      <c r="Q149" s="56">
        <f>IF(VLOOKUP($C149,REV!$C:$AA,15,0)-'TRADE IN'!$F149=0,"",(VLOOKUP($C149,REV!$C:$AA,15,0)-'TRADE IN'!$F149))</f>
        <v>799</v>
      </c>
      <c r="R149" s="56">
        <f>IF(VLOOKUP($C149,REV!$C:$AA,16,0)-'TRADE IN'!$F149=0,"",(VLOOKUP($C149,REV!$C:$AA,16,0)-'TRADE IN'!$F149))</f>
        <v>899</v>
      </c>
      <c r="S149" s="56">
        <f>IF(VLOOKUP($C149,REV!$C:$AA,17,0)-'TRADE IN'!$F149=0,"",(VLOOKUP($C149,REV!$C:$AA,17,0)-'TRADE IN'!$F149))</f>
        <v>899</v>
      </c>
      <c r="T149" s="56">
        <f>IF(VLOOKUP($C149,REV!$C:$AA,18,0)-'TRADE IN'!$F149=0,"",(VLOOKUP($C149,REV!$C:$AA,18,0)-'TRADE IN'!$F149))</f>
        <v>799</v>
      </c>
      <c r="U149" s="56">
        <f>IF(VLOOKUP($C149,REV!$C:$AA,19,0)-'TRADE IN'!$F149=0,"",(VLOOKUP($C149,REV!$C:$AA,19,0)-'TRADE IN'!$F149))</f>
        <v>799</v>
      </c>
      <c r="V149" s="56">
        <f>IF(VLOOKUP($C149,REV!$C:$AA,20,0)-'TRADE IN'!$F149=0,"",(VLOOKUP($C149,REV!$C:$AA,20,0)-'TRADE IN'!$F149))</f>
        <v>799</v>
      </c>
      <c r="W149" s="56">
        <f>IF(VLOOKUP($C149,REV!$C:$AA,21,0)-'TRADE IN'!$F149=0,"",(VLOOKUP($C149,REV!$C:$AA,21,0)-'TRADE IN'!$F149))</f>
        <v>799</v>
      </c>
      <c r="X149" s="56">
        <f>IF(VLOOKUP($C149,REV!$C:$AA,22,0)-'TRADE IN'!$F149=0,"",(VLOOKUP($C149,REV!$C:$AA,22,0)-'TRADE IN'!$F149))</f>
        <v>799</v>
      </c>
      <c r="Y149" s="56">
        <f>IF(VLOOKUP($C149,REV!$C:$AA,23,0)-'TRADE IN'!$F149=0,"",(VLOOKUP($C149,REV!$C:$AA,23,0)-'TRADE IN'!$F149))</f>
        <v>799</v>
      </c>
      <c r="Z149" s="56">
        <f>IF(VLOOKUP($C149,REV!$C:$AA,24,0)-'TRADE IN'!$F149=0,"",(VLOOKUP($C149,REV!$C:$AA,24,0)-'TRADE IN'!$F149))</f>
        <v>799</v>
      </c>
      <c r="AA149" s="56">
        <f>IF(VLOOKUP($C149,REV!$C:$AA,25,0)-'TRADE IN'!$F149=0,"",(VLOOKUP($C149,REV!$C:$AA,25,0)-'TRADE IN'!$F149))</f>
        <v>799</v>
      </c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7"/>
      <c r="AW149" s="58" t="str">
        <f>REV!AW149</f>
        <v>03.11.2026</v>
      </c>
      <c r="AX149" s="147" t="str">
        <f>VLOOKUP(C149,REV!C:AX,48,0)</f>
        <v>4G</v>
      </c>
    </row>
    <row r="150" spans="1:50" ht="22.5" customHeight="1">
      <c r="A150" s="64" t="s">
        <v>241</v>
      </c>
      <c r="B150" s="52" t="s">
        <v>64</v>
      </c>
      <c r="C150" s="53">
        <v>4017200</v>
      </c>
      <c r="D150" s="54" t="s">
        <v>249</v>
      </c>
      <c r="E150" s="54" t="s">
        <v>250</v>
      </c>
      <c r="F150" s="55"/>
      <c r="G150" s="55"/>
      <c r="H150" s="55"/>
      <c r="I150" s="55"/>
      <c r="J150" s="56">
        <f>IF(VLOOKUP($C150,REV!$C:$AA,8,0)-'TRADE IN'!$F150=0,"",(VLOOKUP($C150,REV!$C:$AA,8,0)-'TRADE IN'!$F150))</f>
        <v>1299</v>
      </c>
      <c r="K150" s="56">
        <f>IF(VLOOKUP($C150,REV!$C:$AA,9,0)-'TRADE IN'!$F150=0,"",(VLOOKUP($C150,REV!$C:$AA,9,0)-'TRADE IN'!$F150))</f>
        <v>999</v>
      </c>
      <c r="L150" s="56">
        <f>IF(VLOOKUP($C150,REV!$C:$AA,10,0)-'TRADE IN'!$F150=0,"",(VLOOKUP($C150,REV!$C:$AA,10,0)-'TRADE IN'!$F150))</f>
        <v>999</v>
      </c>
      <c r="M150" s="56">
        <f>IF(VLOOKUP($C150,REV!$C:$AA,11,0)-'TRADE IN'!$F150=0,"",(VLOOKUP($C150,REV!$C:$AA,11,0)-'TRADE IN'!$F150))</f>
        <v>1299</v>
      </c>
      <c r="N150" s="56">
        <f>IF(VLOOKUP($C150,REV!$C:$AA,12,0)-'TRADE IN'!$F150=0,"",(VLOOKUP($C150,REV!$C:$AA,12,0)-'TRADE IN'!$F150))</f>
        <v>999</v>
      </c>
      <c r="O150" s="56">
        <f>IF(VLOOKUP($C150,REV!$C:$AA,13,0)-'TRADE IN'!$F150=0,"",(VLOOKUP($C150,REV!$C:$AA,13,0)-'TRADE IN'!$F150))</f>
        <v>999</v>
      </c>
      <c r="P150" s="56">
        <f>IF(VLOOKUP($C150,REV!$C:$AA,14,0)-'TRADE IN'!$F150=0,"",(VLOOKUP($C150,REV!$C:$AA,14,0)-'TRADE IN'!$F150))</f>
        <v>999</v>
      </c>
      <c r="Q150" s="56">
        <f>IF(VLOOKUP($C150,REV!$C:$AA,15,0)-'TRADE IN'!$F150=0,"",(VLOOKUP($C150,REV!$C:$AA,15,0)-'TRADE IN'!$F150))</f>
        <v>899</v>
      </c>
      <c r="R150" s="56">
        <f>IF(VLOOKUP($C150,REV!$C:$AA,16,0)-'TRADE IN'!$F150=0,"",(VLOOKUP($C150,REV!$C:$AA,16,0)-'TRADE IN'!$F150))</f>
        <v>999</v>
      </c>
      <c r="S150" s="56">
        <f>IF(VLOOKUP($C150,REV!$C:$AA,17,0)-'TRADE IN'!$F150=0,"",(VLOOKUP($C150,REV!$C:$AA,17,0)-'TRADE IN'!$F150))</f>
        <v>999</v>
      </c>
      <c r="T150" s="56">
        <f>IF(VLOOKUP($C150,REV!$C:$AA,18,0)-'TRADE IN'!$F150=0,"",(VLOOKUP($C150,REV!$C:$AA,18,0)-'TRADE IN'!$F150))</f>
        <v>899</v>
      </c>
      <c r="U150" s="56">
        <f>IF(VLOOKUP($C150,REV!$C:$AA,19,0)-'TRADE IN'!$F150=0,"",(VLOOKUP($C150,REV!$C:$AA,19,0)-'TRADE IN'!$F150))</f>
        <v>899</v>
      </c>
      <c r="V150" s="56">
        <f>IF(VLOOKUP($C150,REV!$C:$AA,20,0)-'TRADE IN'!$F150=0,"",(VLOOKUP($C150,REV!$C:$AA,20,0)-'TRADE IN'!$F150))</f>
        <v>899</v>
      </c>
      <c r="W150" s="56">
        <f>IF(VLOOKUP($C150,REV!$C:$AA,21,0)-'TRADE IN'!$F150=0,"",(VLOOKUP($C150,REV!$C:$AA,21,0)-'TRADE IN'!$F150))</f>
        <v>899</v>
      </c>
      <c r="X150" s="56">
        <f>IF(VLOOKUP($C150,REV!$C:$AA,22,0)-'TRADE IN'!$F150=0,"",(VLOOKUP($C150,REV!$C:$AA,22,0)-'TRADE IN'!$F150))</f>
        <v>899</v>
      </c>
      <c r="Y150" s="56">
        <f>IF(VLOOKUP($C150,REV!$C:$AA,23,0)-'TRADE IN'!$F150=0,"",(VLOOKUP($C150,REV!$C:$AA,23,0)-'TRADE IN'!$F150))</f>
        <v>899</v>
      </c>
      <c r="Z150" s="56">
        <f>IF(VLOOKUP($C150,REV!$C:$AA,24,0)-'TRADE IN'!$F150=0,"",(VLOOKUP($C150,REV!$C:$AA,24,0)-'TRADE IN'!$F150))</f>
        <v>899</v>
      </c>
      <c r="AA150" s="56">
        <f>IF(VLOOKUP($C150,REV!$C:$AA,25,0)-'TRADE IN'!$F150=0,"",(VLOOKUP($C150,REV!$C:$AA,25,0)-'TRADE IN'!$F150))</f>
        <v>899</v>
      </c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7"/>
      <c r="AW150" s="58" t="str">
        <f>REV!AW150</f>
        <v>03.11.2026</v>
      </c>
      <c r="AX150" s="147" t="str">
        <f>VLOOKUP(C150,REV!C:AX,48,0)</f>
        <v>5G</v>
      </c>
    </row>
    <row r="151" spans="1:50" ht="22.5" customHeight="1">
      <c r="A151" s="64" t="s">
        <v>241</v>
      </c>
      <c r="B151" s="52" t="s">
        <v>64</v>
      </c>
      <c r="C151" s="53">
        <v>4018137</v>
      </c>
      <c r="D151" s="54" t="s">
        <v>251</v>
      </c>
      <c r="E151" s="54" t="s">
        <v>252</v>
      </c>
      <c r="F151" s="55"/>
      <c r="G151" s="55"/>
      <c r="H151" s="55"/>
      <c r="I151" s="55"/>
      <c r="J151" s="56">
        <f>IF(VLOOKUP($C151,REV!$C:$AA,8,0)-'TRADE IN'!$F151=0,"",(VLOOKUP($C151,REV!$C:$AA,8,0)-'TRADE IN'!$F151))</f>
        <v>1899</v>
      </c>
      <c r="K151" s="56">
        <f>IF(VLOOKUP($C151,REV!$C:$AA,9,0)-'TRADE IN'!$F151=0,"",(VLOOKUP($C151,REV!$C:$AA,9,0)-'TRADE IN'!$F151))</f>
        <v>1899</v>
      </c>
      <c r="L151" s="56">
        <f>IF(VLOOKUP($C151,REV!$C:$AA,10,0)-'TRADE IN'!$F151=0,"",(VLOOKUP($C151,REV!$C:$AA,10,0)-'TRADE IN'!$F151))</f>
        <v>1899</v>
      </c>
      <c r="M151" s="56">
        <f>IF(VLOOKUP($C151,REV!$C:$AA,11,0)-'TRADE IN'!$F151=0,"",(VLOOKUP($C151,REV!$C:$AA,11,0)-'TRADE IN'!$F151))</f>
        <v>1899</v>
      </c>
      <c r="N151" s="56">
        <f>IF(VLOOKUP($C151,REV!$C:$AA,12,0)-'TRADE IN'!$F151=0,"",(VLOOKUP($C151,REV!$C:$AA,12,0)-'TRADE IN'!$F151))</f>
        <v>1899</v>
      </c>
      <c r="O151" s="56">
        <f>IF(VLOOKUP($C151,REV!$C:$AA,13,0)-'TRADE IN'!$F151=0,"",(VLOOKUP($C151,REV!$C:$AA,13,0)-'TRADE IN'!$F151))</f>
        <v>1799</v>
      </c>
      <c r="P151" s="56">
        <f>IF(VLOOKUP($C151,REV!$C:$AA,14,0)-'TRADE IN'!$F151=0,"",(VLOOKUP($C151,REV!$C:$AA,14,0)-'TRADE IN'!$F151))</f>
        <v>1699</v>
      </c>
      <c r="Q151" s="56">
        <f>IF(VLOOKUP($C151,REV!$C:$AA,15,0)-'TRADE IN'!$F151=0,"",(VLOOKUP($C151,REV!$C:$AA,15,0)-'TRADE IN'!$F151))</f>
        <v>1499</v>
      </c>
      <c r="R151" s="56">
        <f>IF(VLOOKUP($C151,REV!$C:$AA,16,0)-'TRADE IN'!$F151=0,"",(VLOOKUP($C151,REV!$C:$AA,16,0)-'TRADE IN'!$F151))</f>
        <v>1799</v>
      </c>
      <c r="S151" s="56">
        <f>IF(VLOOKUP($C151,REV!$C:$AA,17,0)-'TRADE IN'!$F151=0,"",(VLOOKUP($C151,REV!$C:$AA,17,0)-'TRADE IN'!$F151))</f>
        <v>1699</v>
      </c>
      <c r="T151" s="56">
        <f>IF(VLOOKUP($C151,REV!$C:$AA,18,0)-'TRADE IN'!$F151=0,"",(VLOOKUP($C151,REV!$C:$AA,18,0)-'TRADE IN'!$F151))</f>
        <v>1499</v>
      </c>
      <c r="U151" s="56">
        <f>IF(VLOOKUP($C151,REV!$C:$AA,19,0)-'TRADE IN'!$F151=0,"",(VLOOKUP($C151,REV!$C:$AA,19,0)-'TRADE IN'!$F151))</f>
        <v>1499</v>
      </c>
      <c r="V151" s="56">
        <f>IF(VLOOKUP($C151,REV!$C:$AA,20,0)-'TRADE IN'!$F151=0,"",(VLOOKUP($C151,REV!$C:$AA,20,0)-'TRADE IN'!$F151))</f>
        <v>1499</v>
      </c>
      <c r="W151" s="56">
        <f>IF(VLOOKUP($C151,REV!$C:$AA,21,0)-'TRADE IN'!$F151=0,"",(VLOOKUP($C151,REV!$C:$AA,21,0)-'TRADE IN'!$F151))</f>
        <v>1499</v>
      </c>
      <c r="X151" s="56">
        <f>IF(VLOOKUP($C151,REV!$C:$AA,22,0)-'TRADE IN'!$F151=0,"",(VLOOKUP($C151,REV!$C:$AA,22,0)-'TRADE IN'!$F151))</f>
        <v>1399</v>
      </c>
      <c r="Y151" s="56">
        <f>IF(VLOOKUP($C151,REV!$C:$AA,23,0)-'TRADE IN'!$F151=0,"",(VLOOKUP($C151,REV!$C:$AA,23,0)-'TRADE IN'!$F151))</f>
        <v>1299</v>
      </c>
      <c r="Z151" s="56">
        <f>IF(VLOOKUP($C151,REV!$C:$AA,24,0)-'TRADE IN'!$F151=0,"",(VLOOKUP($C151,REV!$C:$AA,24,0)-'TRADE IN'!$F151))</f>
        <v>1299</v>
      </c>
      <c r="AA151" s="56">
        <f>IF(VLOOKUP($C151,REV!$C:$AA,25,0)-'TRADE IN'!$F151=0,"",(VLOOKUP($C151,REV!$C:$AA,25,0)-'TRADE IN'!$F151))</f>
        <v>1299</v>
      </c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7"/>
      <c r="AW151" s="58" t="str">
        <f>REV!AW151</f>
        <v>03.11.2026</v>
      </c>
      <c r="AX151" s="147" t="str">
        <f>VLOOKUP(C151,REV!C:AX,48,0)</f>
        <v>4G</v>
      </c>
    </row>
    <row r="152" spans="1:50" ht="22.5" customHeight="1">
      <c r="A152" s="64" t="s">
        <v>241</v>
      </c>
      <c r="B152" s="52" t="s">
        <v>64</v>
      </c>
      <c r="C152" s="53">
        <v>4018139</v>
      </c>
      <c r="D152" s="54" t="s">
        <v>251</v>
      </c>
      <c r="E152" s="54" t="s">
        <v>253</v>
      </c>
      <c r="F152" s="55"/>
      <c r="G152" s="55"/>
      <c r="H152" s="55"/>
      <c r="I152" s="55"/>
      <c r="J152" s="56">
        <f>IF(VLOOKUP($C152,REV!$C:$AA,8,0)-'TRADE IN'!$F152=0,"",(VLOOKUP($C152,REV!$C:$AA,8,0)-'TRADE IN'!$F152))</f>
        <v>1899</v>
      </c>
      <c r="K152" s="56">
        <f>IF(VLOOKUP($C152,REV!$C:$AA,9,0)-'TRADE IN'!$F152=0,"",(VLOOKUP($C152,REV!$C:$AA,9,0)-'TRADE IN'!$F152))</f>
        <v>1899</v>
      </c>
      <c r="L152" s="56">
        <f>IF(VLOOKUP($C152,REV!$C:$AA,10,0)-'TRADE IN'!$F152=0,"",(VLOOKUP($C152,REV!$C:$AA,10,0)-'TRADE IN'!$F152))</f>
        <v>1899</v>
      </c>
      <c r="M152" s="56">
        <f>IF(VLOOKUP($C152,REV!$C:$AA,11,0)-'TRADE IN'!$F152=0,"",(VLOOKUP($C152,REV!$C:$AA,11,0)-'TRADE IN'!$F152))</f>
        <v>1899</v>
      </c>
      <c r="N152" s="56">
        <f>IF(VLOOKUP($C152,REV!$C:$AA,12,0)-'TRADE IN'!$F152=0,"",(VLOOKUP($C152,REV!$C:$AA,12,0)-'TRADE IN'!$F152))</f>
        <v>1899</v>
      </c>
      <c r="O152" s="56">
        <f>IF(VLOOKUP($C152,REV!$C:$AA,13,0)-'TRADE IN'!$F152=0,"",(VLOOKUP($C152,REV!$C:$AA,13,0)-'TRADE IN'!$F152))</f>
        <v>1799</v>
      </c>
      <c r="P152" s="56">
        <f>IF(VLOOKUP($C152,REV!$C:$AA,14,0)-'TRADE IN'!$F152=0,"",(VLOOKUP($C152,REV!$C:$AA,14,0)-'TRADE IN'!$F152))</f>
        <v>1699</v>
      </c>
      <c r="Q152" s="56">
        <f>IF(VLOOKUP($C152,REV!$C:$AA,15,0)-'TRADE IN'!$F152=0,"",(VLOOKUP($C152,REV!$C:$AA,15,0)-'TRADE IN'!$F152))</f>
        <v>1499</v>
      </c>
      <c r="R152" s="56">
        <f>IF(VLOOKUP($C152,REV!$C:$AA,16,0)-'TRADE IN'!$F152=0,"",(VLOOKUP($C152,REV!$C:$AA,16,0)-'TRADE IN'!$F152))</f>
        <v>1799</v>
      </c>
      <c r="S152" s="56">
        <f>IF(VLOOKUP($C152,REV!$C:$AA,17,0)-'TRADE IN'!$F152=0,"",(VLOOKUP($C152,REV!$C:$AA,17,0)-'TRADE IN'!$F152))</f>
        <v>1699</v>
      </c>
      <c r="T152" s="56">
        <f>IF(VLOOKUP($C152,REV!$C:$AA,18,0)-'TRADE IN'!$F152=0,"",(VLOOKUP($C152,REV!$C:$AA,18,0)-'TRADE IN'!$F152))</f>
        <v>1499</v>
      </c>
      <c r="U152" s="56">
        <f>IF(VLOOKUP($C152,REV!$C:$AA,19,0)-'TRADE IN'!$F152=0,"",(VLOOKUP($C152,REV!$C:$AA,19,0)-'TRADE IN'!$F152))</f>
        <v>1499</v>
      </c>
      <c r="V152" s="56">
        <f>IF(VLOOKUP($C152,REV!$C:$AA,20,0)-'TRADE IN'!$F152=0,"",(VLOOKUP($C152,REV!$C:$AA,20,0)-'TRADE IN'!$F152))</f>
        <v>1499</v>
      </c>
      <c r="W152" s="56">
        <f>IF(VLOOKUP($C152,REV!$C:$AA,21,0)-'TRADE IN'!$F152=0,"",(VLOOKUP($C152,REV!$C:$AA,21,0)-'TRADE IN'!$F152))</f>
        <v>1499</v>
      </c>
      <c r="X152" s="56">
        <f>IF(VLOOKUP($C152,REV!$C:$AA,22,0)-'TRADE IN'!$F152=0,"",(VLOOKUP($C152,REV!$C:$AA,22,0)-'TRADE IN'!$F152))</f>
        <v>1399</v>
      </c>
      <c r="Y152" s="56">
        <f>IF(VLOOKUP($C152,REV!$C:$AA,23,0)-'TRADE IN'!$F152=0,"",(VLOOKUP($C152,REV!$C:$AA,23,0)-'TRADE IN'!$F152))</f>
        <v>1299</v>
      </c>
      <c r="Z152" s="56">
        <f>IF(VLOOKUP($C152,REV!$C:$AA,24,0)-'TRADE IN'!$F152=0,"",(VLOOKUP($C152,REV!$C:$AA,24,0)-'TRADE IN'!$F152))</f>
        <v>1299</v>
      </c>
      <c r="AA152" s="56">
        <f>IF(VLOOKUP($C152,REV!$C:$AA,25,0)-'TRADE IN'!$F152=0,"",(VLOOKUP($C152,REV!$C:$AA,25,0)-'TRADE IN'!$F152))</f>
        <v>1299</v>
      </c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7"/>
      <c r="AW152" s="58" t="str">
        <f>REV!AW152</f>
        <v>03.11.2026</v>
      </c>
      <c r="AX152" s="147" t="str">
        <f>VLOOKUP(C152,REV!C:AX,48,0)</f>
        <v>4G</v>
      </c>
    </row>
    <row r="153" spans="1:50" ht="22.5" customHeight="1">
      <c r="A153" s="51" t="s">
        <v>63</v>
      </c>
      <c r="B153" s="52" t="s">
        <v>64</v>
      </c>
      <c r="C153" s="53">
        <v>4018015</v>
      </c>
      <c r="D153" s="54" t="s">
        <v>254</v>
      </c>
      <c r="E153" s="54" t="s">
        <v>255</v>
      </c>
      <c r="F153" s="55">
        <v>500</v>
      </c>
      <c r="G153" s="55"/>
      <c r="H153" s="55"/>
      <c r="I153" s="55"/>
      <c r="J153" s="56">
        <f>IF(VLOOKUP($C153,REV!$C:$AA,8,0)-'TRADE IN'!$F153=0,"",(VLOOKUP($C153,REV!$C:$AA,8,0)-'TRADE IN'!$F153))</f>
        <v>4899</v>
      </c>
      <c r="K153" s="56">
        <f>IF(VLOOKUP($C153,REV!$C:$AA,9,0)-'TRADE IN'!$F153=0,"",(VLOOKUP($C153,REV!$C:$AA,9,0)-'TRADE IN'!$F153))</f>
        <v>4899</v>
      </c>
      <c r="L153" s="56">
        <f>IF(VLOOKUP($C153,REV!$C:$AA,10,0)-'TRADE IN'!$F153=0,"",(VLOOKUP($C153,REV!$C:$AA,10,0)-'TRADE IN'!$F153))</f>
        <v>4899</v>
      </c>
      <c r="M153" s="56">
        <f>IF(VLOOKUP($C153,REV!$C:$AA,11,0)-'TRADE IN'!$F153=0,"",(VLOOKUP($C153,REV!$C:$AA,11,0)-'TRADE IN'!$F153))</f>
        <v>4899</v>
      </c>
      <c r="N153" s="56">
        <f>IF(VLOOKUP($C153,REV!$C:$AA,12,0)-'TRADE IN'!$F153=0,"",(VLOOKUP($C153,REV!$C:$AA,12,0)-'TRADE IN'!$F153))</f>
        <v>4899</v>
      </c>
      <c r="O153" s="56">
        <f>IF(VLOOKUP($C153,REV!$C:$AA,13,0)-'TRADE IN'!$F153=0,"",(VLOOKUP($C153,REV!$C:$AA,13,0)-'TRADE IN'!$F153))</f>
        <v>4799</v>
      </c>
      <c r="P153" s="56">
        <f>IF(VLOOKUP($C153,REV!$C:$AA,14,0)-'TRADE IN'!$F153=0,"",(VLOOKUP($C153,REV!$C:$AA,14,0)-'TRADE IN'!$F153))</f>
        <v>4699</v>
      </c>
      <c r="Q153" s="56">
        <f>IF(VLOOKUP($C153,REV!$C:$AA,15,0)-'TRADE IN'!$F153=0,"",(VLOOKUP($C153,REV!$C:$AA,15,0)-'TRADE IN'!$F153))</f>
        <v>4499</v>
      </c>
      <c r="R153" s="56">
        <f>IF(VLOOKUP($C153,REV!$C:$AA,16,0)-'TRADE IN'!$F153=0,"",(VLOOKUP($C153,REV!$C:$AA,16,0)-'TRADE IN'!$F153))</f>
        <v>4799</v>
      </c>
      <c r="S153" s="56">
        <f>IF(VLOOKUP($C153,REV!$C:$AA,17,0)-'TRADE IN'!$F153=0,"",(VLOOKUP($C153,REV!$C:$AA,17,0)-'TRADE IN'!$F153))</f>
        <v>4699</v>
      </c>
      <c r="T153" s="56">
        <f>IF(VLOOKUP($C153,REV!$C:$AA,18,0)-'TRADE IN'!$F153=0,"",(VLOOKUP($C153,REV!$C:$AA,18,0)-'TRADE IN'!$F153))</f>
        <v>4499</v>
      </c>
      <c r="U153" s="56">
        <f>IF(VLOOKUP($C153,REV!$C:$AA,19,0)-'TRADE IN'!$F153=0,"",(VLOOKUP($C153,REV!$C:$AA,19,0)-'TRADE IN'!$F153))</f>
        <v>4499</v>
      </c>
      <c r="V153" s="56">
        <f>IF(VLOOKUP($C153,REV!$C:$AA,20,0)-'TRADE IN'!$F153=0,"",(VLOOKUP($C153,REV!$C:$AA,20,0)-'TRADE IN'!$F153))</f>
        <v>4499</v>
      </c>
      <c r="W153" s="56">
        <f>IF(VLOOKUP($C153,REV!$C:$AA,21,0)-'TRADE IN'!$F153=0,"",(VLOOKUP($C153,REV!$C:$AA,21,0)-'TRADE IN'!$F153))</f>
        <v>4499</v>
      </c>
      <c r="X153" s="56">
        <f>IF(VLOOKUP($C153,REV!$C:$AA,22,0)-'TRADE IN'!$F153=0,"",(VLOOKUP($C153,REV!$C:$AA,22,0)-'TRADE IN'!$F153))</f>
        <v>4399</v>
      </c>
      <c r="Y153" s="56">
        <f>IF(VLOOKUP($C153,REV!$C:$AA,23,0)-'TRADE IN'!$F153=0,"",(VLOOKUP($C153,REV!$C:$AA,23,0)-'TRADE IN'!$F153))</f>
        <v>3899</v>
      </c>
      <c r="Z153" s="56">
        <f>IF(VLOOKUP($C153,REV!$C:$AA,24,0)-'TRADE IN'!$F153=0,"",(VLOOKUP($C153,REV!$C:$AA,24,0)-'TRADE IN'!$F153))</f>
        <v>3899</v>
      </c>
      <c r="AA153" s="56">
        <f>IF(VLOOKUP($C153,REV!$C:$AA,25,0)-'TRADE IN'!$F153=0,"",(VLOOKUP($C153,REV!$C:$AA,25,0)-'TRADE IN'!$F153))</f>
        <v>3799</v>
      </c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7"/>
      <c r="AW153" s="58" t="str">
        <f>REV!AW153</f>
        <v>03.11.2026</v>
      </c>
      <c r="AX153" s="147" t="str">
        <f>VLOOKUP(C153,REV!C:AX,48,0)</f>
        <v>5G</v>
      </c>
    </row>
    <row r="154" spans="1:50" ht="22.5" customHeight="1">
      <c r="A154" s="51" t="s">
        <v>63</v>
      </c>
      <c r="B154" s="52" t="s">
        <v>64</v>
      </c>
      <c r="C154" s="53">
        <v>4018017</v>
      </c>
      <c r="D154" s="54" t="s">
        <v>254</v>
      </c>
      <c r="E154" s="54" t="s">
        <v>256</v>
      </c>
      <c r="F154" s="55">
        <v>500</v>
      </c>
      <c r="G154" s="55"/>
      <c r="H154" s="55"/>
      <c r="I154" s="55"/>
      <c r="J154" s="56">
        <f>IF(VLOOKUP($C154,REV!$C:$AA,8,0)-'TRADE IN'!$F154=0,"",(VLOOKUP($C154,REV!$C:$AA,8,0)-'TRADE IN'!$F154))</f>
        <v>4899</v>
      </c>
      <c r="K154" s="56">
        <f>IF(VLOOKUP($C154,REV!$C:$AA,9,0)-'TRADE IN'!$F154=0,"",(VLOOKUP($C154,REV!$C:$AA,9,0)-'TRADE IN'!$F154))</f>
        <v>4899</v>
      </c>
      <c r="L154" s="56">
        <f>IF(VLOOKUP($C154,REV!$C:$AA,10,0)-'TRADE IN'!$F154=0,"",(VLOOKUP($C154,REV!$C:$AA,10,0)-'TRADE IN'!$F154))</f>
        <v>4899</v>
      </c>
      <c r="M154" s="56">
        <f>IF(VLOOKUP($C154,REV!$C:$AA,11,0)-'TRADE IN'!$F154=0,"",(VLOOKUP($C154,REV!$C:$AA,11,0)-'TRADE IN'!$F154))</f>
        <v>4899</v>
      </c>
      <c r="N154" s="56">
        <f>IF(VLOOKUP($C154,REV!$C:$AA,12,0)-'TRADE IN'!$F154=0,"",(VLOOKUP($C154,REV!$C:$AA,12,0)-'TRADE IN'!$F154))</f>
        <v>4899</v>
      </c>
      <c r="O154" s="56">
        <f>IF(VLOOKUP($C154,REV!$C:$AA,13,0)-'TRADE IN'!$F154=0,"",(VLOOKUP($C154,REV!$C:$AA,13,0)-'TRADE IN'!$F154))</f>
        <v>4799</v>
      </c>
      <c r="P154" s="56">
        <f>IF(VLOOKUP($C154,REV!$C:$AA,14,0)-'TRADE IN'!$F154=0,"",(VLOOKUP($C154,REV!$C:$AA,14,0)-'TRADE IN'!$F154))</f>
        <v>4699</v>
      </c>
      <c r="Q154" s="56">
        <f>IF(VLOOKUP($C154,REV!$C:$AA,15,0)-'TRADE IN'!$F154=0,"",(VLOOKUP($C154,REV!$C:$AA,15,0)-'TRADE IN'!$F154))</f>
        <v>4499</v>
      </c>
      <c r="R154" s="56">
        <f>IF(VLOOKUP($C154,REV!$C:$AA,16,0)-'TRADE IN'!$F154=0,"",(VLOOKUP($C154,REV!$C:$AA,16,0)-'TRADE IN'!$F154))</f>
        <v>4799</v>
      </c>
      <c r="S154" s="56">
        <f>IF(VLOOKUP($C154,REV!$C:$AA,17,0)-'TRADE IN'!$F154=0,"",(VLOOKUP($C154,REV!$C:$AA,17,0)-'TRADE IN'!$F154))</f>
        <v>4699</v>
      </c>
      <c r="T154" s="56">
        <f>IF(VLOOKUP($C154,REV!$C:$AA,18,0)-'TRADE IN'!$F154=0,"",(VLOOKUP($C154,REV!$C:$AA,18,0)-'TRADE IN'!$F154))</f>
        <v>4499</v>
      </c>
      <c r="U154" s="56">
        <f>IF(VLOOKUP($C154,REV!$C:$AA,19,0)-'TRADE IN'!$F154=0,"",(VLOOKUP($C154,REV!$C:$AA,19,0)-'TRADE IN'!$F154))</f>
        <v>4499</v>
      </c>
      <c r="V154" s="56">
        <f>IF(VLOOKUP($C154,REV!$C:$AA,20,0)-'TRADE IN'!$F154=0,"",(VLOOKUP($C154,REV!$C:$AA,20,0)-'TRADE IN'!$F154))</f>
        <v>4499</v>
      </c>
      <c r="W154" s="56">
        <f>IF(VLOOKUP($C154,REV!$C:$AA,21,0)-'TRADE IN'!$F154=0,"",(VLOOKUP($C154,REV!$C:$AA,21,0)-'TRADE IN'!$F154))</f>
        <v>4499</v>
      </c>
      <c r="X154" s="56">
        <f>IF(VLOOKUP($C154,REV!$C:$AA,22,0)-'TRADE IN'!$F154=0,"",(VLOOKUP($C154,REV!$C:$AA,22,0)-'TRADE IN'!$F154))</f>
        <v>4399</v>
      </c>
      <c r="Y154" s="56">
        <f>IF(VLOOKUP($C154,REV!$C:$AA,23,0)-'TRADE IN'!$F154=0,"",(VLOOKUP($C154,REV!$C:$AA,23,0)-'TRADE IN'!$F154))</f>
        <v>3899</v>
      </c>
      <c r="Z154" s="56">
        <f>IF(VLOOKUP($C154,REV!$C:$AA,24,0)-'TRADE IN'!$F154=0,"",(VLOOKUP($C154,REV!$C:$AA,24,0)-'TRADE IN'!$F154))</f>
        <v>3899</v>
      </c>
      <c r="AA154" s="56">
        <f>IF(VLOOKUP($C154,REV!$C:$AA,25,0)-'TRADE IN'!$F154=0,"",(VLOOKUP($C154,REV!$C:$AA,25,0)-'TRADE IN'!$F154))</f>
        <v>3799</v>
      </c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7"/>
      <c r="AW154" s="58" t="str">
        <f>REV!AW154</f>
        <v>03.11.2026</v>
      </c>
      <c r="AX154" s="147" t="str">
        <f>VLOOKUP(C154,REV!C:AX,48,0)</f>
        <v>5G</v>
      </c>
    </row>
    <row r="155" spans="1:50" ht="22.5" customHeight="1">
      <c r="A155" s="51" t="s">
        <v>63</v>
      </c>
      <c r="B155" s="52" t="s">
        <v>64</v>
      </c>
      <c r="C155" s="53">
        <v>4018013</v>
      </c>
      <c r="D155" s="54" t="s">
        <v>257</v>
      </c>
      <c r="E155" s="54" t="s">
        <v>258</v>
      </c>
      <c r="F155" s="55">
        <v>1800</v>
      </c>
      <c r="G155" s="55"/>
      <c r="H155" s="55"/>
      <c r="I155" s="55"/>
      <c r="J155" s="56">
        <f>IF(VLOOKUP($C155,REV!$C:$AA,8,0)-'TRADE IN'!$F155=0,"",(VLOOKUP($C155,REV!$C:$AA,8,0)-'TRADE IN'!$F155))</f>
        <v>12999</v>
      </c>
      <c r="K155" s="56">
        <f>IF(VLOOKUP($C155,REV!$C:$AA,9,0)-'TRADE IN'!$F155=0,"",(VLOOKUP($C155,REV!$C:$AA,9,0)-'TRADE IN'!$F155))</f>
        <v>12999</v>
      </c>
      <c r="L155" s="56">
        <f>IF(VLOOKUP($C155,REV!$C:$AA,10,0)-'TRADE IN'!$F155=0,"",(VLOOKUP($C155,REV!$C:$AA,10,0)-'TRADE IN'!$F155))</f>
        <v>12999</v>
      </c>
      <c r="M155" s="56">
        <f>IF(VLOOKUP($C155,REV!$C:$AA,11,0)-'TRADE IN'!$F155=0,"",(VLOOKUP($C155,REV!$C:$AA,11,0)-'TRADE IN'!$F155))</f>
        <v>12999</v>
      </c>
      <c r="N155" s="56">
        <f>IF(VLOOKUP($C155,REV!$C:$AA,12,0)-'TRADE IN'!$F155=0,"",(VLOOKUP($C155,REV!$C:$AA,12,0)-'TRADE IN'!$F155))</f>
        <v>12999</v>
      </c>
      <c r="O155" s="56">
        <f>IF(VLOOKUP($C155,REV!$C:$AA,13,0)-'TRADE IN'!$F155=0,"",(VLOOKUP($C155,REV!$C:$AA,13,0)-'TRADE IN'!$F155))</f>
        <v>12799</v>
      </c>
      <c r="P155" s="56">
        <f>IF(VLOOKUP($C155,REV!$C:$AA,14,0)-'TRADE IN'!$F155=0,"",(VLOOKUP($C155,REV!$C:$AA,14,0)-'TRADE IN'!$F155))</f>
        <v>12699</v>
      </c>
      <c r="Q155" s="56">
        <f>IF(VLOOKUP($C155,REV!$C:$AA,15,0)-'TRADE IN'!$F155=0,"",(VLOOKUP($C155,REV!$C:$AA,15,0)-'TRADE IN'!$F155))</f>
        <v>12499</v>
      </c>
      <c r="R155" s="56">
        <f>IF(VLOOKUP($C155,REV!$C:$AA,16,0)-'TRADE IN'!$F155=0,"",(VLOOKUP($C155,REV!$C:$AA,16,0)-'TRADE IN'!$F155))</f>
        <v>12799</v>
      </c>
      <c r="S155" s="56">
        <f>IF(VLOOKUP($C155,REV!$C:$AA,17,0)-'TRADE IN'!$F155=0,"",(VLOOKUP($C155,REV!$C:$AA,17,0)-'TRADE IN'!$F155))</f>
        <v>12699</v>
      </c>
      <c r="T155" s="56">
        <f>IF(VLOOKUP($C155,REV!$C:$AA,18,0)-'TRADE IN'!$F155=0,"",(VLOOKUP($C155,REV!$C:$AA,18,0)-'TRADE IN'!$F155))</f>
        <v>12499</v>
      </c>
      <c r="U155" s="56">
        <f>IF(VLOOKUP($C155,REV!$C:$AA,19,0)-'TRADE IN'!$F155=0,"",(VLOOKUP($C155,REV!$C:$AA,19,0)-'TRADE IN'!$F155))</f>
        <v>12499</v>
      </c>
      <c r="V155" s="56">
        <f>IF(VLOOKUP($C155,REV!$C:$AA,20,0)-'TRADE IN'!$F155=0,"",(VLOOKUP($C155,REV!$C:$AA,20,0)-'TRADE IN'!$F155))</f>
        <v>12499</v>
      </c>
      <c r="W155" s="56">
        <f>IF(VLOOKUP($C155,REV!$C:$AA,21,0)-'TRADE IN'!$F155=0,"",(VLOOKUP($C155,REV!$C:$AA,21,0)-'TRADE IN'!$F155))</f>
        <v>12499</v>
      </c>
      <c r="X155" s="56">
        <f>IF(VLOOKUP($C155,REV!$C:$AA,22,0)-'TRADE IN'!$F155=0,"",(VLOOKUP($C155,REV!$C:$AA,22,0)-'TRADE IN'!$F155))</f>
        <v>12399</v>
      </c>
      <c r="Y155" s="56">
        <f>IF(VLOOKUP($C155,REV!$C:$AA,23,0)-'TRADE IN'!$F155=0,"",(VLOOKUP($C155,REV!$C:$AA,23,0)-'TRADE IN'!$F155))</f>
        <v>11899</v>
      </c>
      <c r="Z155" s="56">
        <f>IF(VLOOKUP($C155,REV!$C:$AA,24,0)-'TRADE IN'!$F155=0,"",(VLOOKUP($C155,REV!$C:$AA,24,0)-'TRADE IN'!$F155))</f>
        <v>11899</v>
      </c>
      <c r="AA155" s="56">
        <f>IF(VLOOKUP($C155,REV!$C:$AA,25,0)-'TRADE IN'!$F155=0,"",(VLOOKUP($C155,REV!$C:$AA,25,0)-'TRADE IN'!$F155))</f>
        <v>11699</v>
      </c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7"/>
      <c r="AW155" s="58" t="str">
        <f>REV!AW155</f>
        <v>03.11.2026</v>
      </c>
      <c r="AX155" s="147" t="str">
        <f>VLOOKUP(C155,REV!C:AX,48,0)</f>
        <v>5G</v>
      </c>
    </row>
    <row r="156" spans="1:50" ht="22.5" customHeight="1">
      <c r="A156" s="51" t="s">
        <v>63</v>
      </c>
      <c r="B156" s="52" t="s">
        <v>64</v>
      </c>
      <c r="C156" s="53">
        <v>4018016</v>
      </c>
      <c r="D156" s="54" t="s">
        <v>257</v>
      </c>
      <c r="E156" s="54" t="s">
        <v>259</v>
      </c>
      <c r="F156" s="55">
        <v>1800</v>
      </c>
      <c r="G156" s="55"/>
      <c r="H156" s="55"/>
      <c r="I156" s="55"/>
      <c r="J156" s="56">
        <f>IF(VLOOKUP($C156,REV!$C:$AA,8,0)-'TRADE IN'!$F156=0,"",(VLOOKUP($C156,REV!$C:$AA,8,0)-'TRADE IN'!$F156))</f>
        <v>12999</v>
      </c>
      <c r="K156" s="56">
        <f>IF(VLOOKUP($C156,REV!$C:$AA,9,0)-'TRADE IN'!$F156=0,"",(VLOOKUP($C156,REV!$C:$AA,9,0)-'TRADE IN'!$F156))</f>
        <v>12999</v>
      </c>
      <c r="L156" s="56">
        <f>IF(VLOOKUP($C156,REV!$C:$AA,10,0)-'TRADE IN'!$F156=0,"",(VLOOKUP($C156,REV!$C:$AA,10,0)-'TRADE IN'!$F156))</f>
        <v>12999</v>
      </c>
      <c r="M156" s="56">
        <f>IF(VLOOKUP($C156,REV!$C:$AA,11,0)-'TRADE IN'!$F156=0,"",(VLOOKUP($C156,REV!$C:$AA,11,0)-'TRADE IN'!$F156))</f>
        <v>12999</v>
      </c>
      <c r="N156" s="56">
        <f>IF(VLOOKUP($C156,REV!$C:$AA,12,0)-'TRADE IN'!$F156=0,"",(VLOOKUP($C156,REV!$C:$AA,12,0)-'TRADE IN'!$F156))</f>
        <v>12999</v>
      </c>
      <c r="O156" s="56">
        <f>IF(VLOOKUP($C156,REV!$C:$AA,13,0)-'TRADE IN'!$F156=0,"",(VLOOKUP($C156,REV!$C:$AA,13,0)-'TRADE IN'!$F156))</f>
        <v>12799</v>
      </c>
      <c r="P156" s="56">
        <f>IF(VLOOKUP($C156,REV!$C:$AA,14,0)-'TRADE IN'!$F156=0,"",(VLOOKUP($C156,REV!$C:$AA,14,0)-'TRADE IN'!$F156))</f>
        <v>12699</v>
      </c>
      <c r="Q156" s="56">
        <f>IF(VLOOKUP($C156,REV!$C:$AA,15,0)-'TRADE IN'!$F156=0,"",(VLOOKUP($C156,REV!$C:$AA,15,0)-'TRADE IN'!$F156))</f>
        <v>12499</v>
      </c>
      <c r="R156" s="56">
        <f>IF(VLOOKUP($C156,REV!$C:$AA,16,0)-'TRADE IN'!$F156=0,"",(VLOOKUP($C156,REV!$C:$AA,16,0)-'TRADE IN'!$F156))</f>
        <v>12799</v>
      </c>
      <c r="S156" s="56">
        <f>IF(VLOOKUP($C156,REV!$C:$AA,17,0)-'TRADE IN'!$F156=0,"",(VLOOKUP($C156,REV!$C:$AA,17,0)-'TRADE IN'!$F156))</f>
        <v>12699</v>
      </c>
      <c r="T156" s="56">
        <f>IF(VLOOKUP($C156,REV!$C:$AA,18,0)-'TRADE IN'!$F156=0,"",(VLOOKUP($C156,REV!$C:$AA,18,0)-'TRADE IN'!$F156))</f>
        <v>12499</v>
      </c>
      <c r="U156" s="56">
        <f>IF(VLOOKUP($C156,REV!$C:$AA,19,0)-'TRADE IN'!$F156=0,"",(VLOOKUP($C156,REV!$C:$AA,19,0)-'TRADE IN'!$F156))</f>
        <v>12499</v>
      </c>
      <c r="V156" s="56">
        <f>IF(VLOOKUP($C156,REV!$C:$AA,20,0)-'TRADE IN'!$F156=0,"",(VLOOKUP($C156,REV!$C:$AA,20,0)-'TRADE IN'!$F156))</f>
        <v>12499</v>
      </c>
      <c r="W156" s="56">
        <f>IF(VLOOKUP($C156,REV!$C:$AA,21,0)-'TRADE IN'!$F156=0,"",(VLOOKUP($C156,REV!$C:$AA,21,0)-'TRADE IN'!$F156))</f>
        <v>12499</v>
      </c>
      <c r="X156" s="56">
        <f>IF(VLOOKUP($C156,REV!$C:$AA,22,0)-'TRADE IN'!$F156=0,"",(VLOOKUP($C156,REV!$C:$AA,22,0)-'TRADE IN'!$F156))</f>
        <v>12399</v>
      </c>
      <c r="Y156" s="56">
        <f>IF(VLOOKUP($C156,REV!$C:$AA,23,0)-'TRADE IN'!$F156=0,"",(VLOOKUP($C156,REV!$C:$AA,23,0)-'TRADE IN'!$F156))</f>
        <v>11899</v>
      </c>
      <c r="Z156" s="56">
        <f>IF(VLOOKUP($C156,REV!$C:$AA,24,0)-'TRADE IN'!$F156=0,"",(VLOOKUP($C156,REV!$C:$AA,24,0)-'TRADE IN'!$F156))</f>
        <v>11899</v>
      </c>
      <c r="AA156" s="56">
        <f>IF(VLOOKUP($C156,REV!$C:$AA,25,0)-'TRADE IN'!$F156=0,"",(VLOOKUP($C156,REV!$C:$AA,25,0)-'TRADE IN'!$F156))</f>
        <v>11699</v>
      </c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7"/>
      <c r="AW156" s="58" t="str">
        <f>REV!AW156</f>
        <v>03.11.2026</v>
      </c>
      <c r="AX156" s="147" t="str">
        <f>VLOOKUP(C156,REV!C:AX,48,0)</f>
        <v>5G</v>
      </c>
    </row>
    <row r="157" spans="1:50" ht="23" customHeight="1">
      <c r="A157" s="64" t="s">
        <v>241</v>
      </c>
      <c r="B157" s="52" t="s">
        <v>64</v>
      </c>
      <c r="C157" s="53">
        <v>4015390</v>
      </c>
      <c r="D157" s="65" t="s">
        <v>260</v>
      </c>
      <c r="E157" s="65" t="s">
        <v>261</v>
      </c>
      <c r="F157" s="55"/>
      <c r="G157" s="55"/>
      <c r="H157" s="55"/>
      <c r="I157" s="55"/>
      <c r="J157" s="56">
        <f>IF(VLOOKUP($C157,REV!$C:$AA,8,0)-'TRADE IN'!$F157=0,"",(VLOOKUP($C157,REV!$C:$AA,8,0)-'TRADE IN'!$F157))</f>
        <v>449</v>
      </c>
      <c r="K157" s="56">
        <f>IF(VLOOKUP($C157,REV!$C:$AA,9,0)-'TRADE IN'!$F157=0,"",(VLOOKUP($C157,REV!$C:$AA,9,0)-'TRADE IN'!$F157))</f>
        <v>449</v>
      </c>
      <c r="L157" s="56">
        <f>IF(VLOOKUP($C157,REV!$C:$AA,10,0)-'TRADE IN'!$F157=0,"",(VLOOKUP($C157,REV!$C:$AA,10,0)-'TRADE IN'!$F157))</f>
        <v>449</v>
      </c>
      <c r="M157" s="56">
        <f>IF(VLOOKUP($C157,REV!$C:$AA,11,0)-'TRADE IN'!$F157=0,"",(VLOOKUP($C157,REV!$C:$AA,11,0)-'TRADE IN'!$F157))</f>
        <v>449</v>
      </c>
      <c r="N157" s="56">
        <f>IF(VLOOKUP($C157,REV!$C:$AA,12,0)-'TRADE IN'!$F157=0,"",(VLOOKUP($C157,REV!$C:$AA,12,0)-'TRADE IN'!$F157))</f>
        <v>449</v>
      </c>
      <c r="O157" s="56">
        <f>IF(VLOOKUP($C157,REV!$C:$AA,13,0)-'TRADE IN'!$F157=0,"",(VLOOKUP($C157,REV!$C:$AA,13,0)-'TRADE IN'!$F157))</f>
        <v>399</v>
      </c>
      <c r="P157" s="56">
        <f>IF(VLOOKUP($C157,REV!$C:$AA,14,0)-'TRADE IN'!$F157=0,"",(VLOOKUP($C157,REV!$C:$AA,14,0)-'TRADE IN'!$F157))</f>
        <v>349</v>
      </c>
      <c r="Q157" s="56">
        <f>IF(VLOOKUP($C157,REV!$C:$AA,15,0)-'TRADE IN'!$F157=0,"",(VLOOKUP($C157,REV!$C:$AA,15,0)-'TRADE IN'!$F157))</f>
        <v>299</v>
      </c>
      <c r="R157" s="56">
        <f>IF(VLOOKUP($C157,REV!$C:$AA,16,0)-'TRADE IN'!$F157=0,"",(VLOOKUP($C157,REV!$C:$AA,16,0)-'TRADE IN'!$F157))</f>
        <v>399</v>
      </c>
      <c r="S157" s="56">
        <f>IF(VLOOKUP($C157,REV!$C:$AA,17,0)-'TRADE IN'!$F157=0,"",(VLOOKUP($C157,REV!$C:$AA,17,0)-'TRADE IN'!$F157))</f>
        <v>349</v>
      </c>
      <c r="T157" s="56">
        <f>IF(VLOOKUP($C157,REV!$C:$AA,18,0)-'TRADE IN'!$F157=0,"",(VLOOKUP($C157,REV!$C:$AA,18,0)-'TRADE IN'!$F157))</f>
        <v>299</v>
      </c>
      <c r="U157" s="56">
        <f>IF(VLOOKUP($C157,REV!$C:$AA,19,0)-'TRADE IN'!$F157=0,"",(VLOOKUP($C157,REV!$C:$AA,19,0)-'TRADE IN'!$F157))</f>
        <v>299</v>
      </c>
      <c r="V157" s="56">
        <f>IF(VLOOKUP($C157,REV!$C:$AA,20,0)-'TRADE IN'!$F157=0,"",(VLOOKUP($C157,REV!$C:$AA,20,0)-'TRADE IN'!$F157))</f>
        <v>299</v>
      </c>
      <c r="W157" s="56">
        <f>IF(VLOOKUP($C157,REV!$C:$AA,21,0)-'TRADE IN'!$F157=0,"",(VLOOKUP($C157,REV!$C:$AA,21,0)-'TRADE IN'!$F157))</f>
        <v>299</v>
      </c>
      <c r="X157" s="56">
        <f>IF(VLOOKUP($C157,REV!$C:$AA,22,0)-'TRADE IN'!$F157=0,"",(VLOOKUP($C157,REV!$C:$AA,22,0)-'TRADE IN'!$F157))</f>
        <v>299</v>
      </c>
      <c r="Y157" s="56">
        <f>IF(VLOOKUP($C157,REV!$C:$AA,23,0)-'TRADE IN'!$F157=0,"",(VLOOKUP($C157,REV!$C:$AA,23,0)-'TRADE IN'!$F157))</f>
        <v>299</v>
      </c>
      <c r="Z157" s="56">
        <f>IF(VLOOKUP($C157,REV!$C:$AA,24,0)-'TRADE IN'!$F157=0,"",(VLOOKUP($C157,REV!$C:$AA,24,0)-'TRADE IN'!$F157))</f>
        <v>299</v>
      </c>
      <c r="AA157" s="56">
        <f>IF(VLOOKUP($C157,REV!$C:$AA,25,0)-'TRADE IN'!$F157=0,"",(VLOOKUP($C157,REV!$C:$AA,25,0)-'TRADE IN'!$F157))</f>
        <v>299</v>
      </c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7"/>
      <c r="AW157" s="58" t="str">
        <f>REV!AW157</f>
        <v>03.11.2026</v>
      </c>
      <c r="AX157" s="147" t="str">
        <f>VLOOKUP(C157,REV!C:AX,48,0)</f>
        <v>4G</v>
      </c>
    </row>
    <row r="158" spans="1:50" ht="22.5" customHeight="1">
      <c r="A158" s="51" t="s">
        <v>63</v>
      </c>
      <c r="B158" s="52" t="s">
        <v>64</v>
      </c>
      <c r="C158" s="53">
        <v>4015070</v>
      </c>
      <c r="D158" s="65" t="s">
        <v>262</v>
      </c>
      <c r="E158" s="65" t="s">
        <v>263</v>
      </c>
      <c r="F158" s="55"/>
      <c r="G158" s="55"/>
      <c r="H158" s="55"/>
      <c r="I158" s="55"/>
      <c r="J158" s="56">
        <f>IF(VLOOKUP($C158,REV!$C:$AA,8,0)-'TRADE IN'!$F158=0,"",(VLOOKUP($C158,REV!$C:$AA,8,0)-'TRADE IN'!$F158))</f>
        <v>899</v>
      </c>
      <c r="K158" s="56">
        <f>IF(VLOOKUP($C158,REV!$C:$AA,9,0)-'TRADE IN'!$F158=0,"",(VLOOKUP($C158,REV!$C:$AA,9,0)-'TRADE IN'!$F158))</f>
        <v>799</v>
      </c>
      <c r="L158" s="56">
        <f>IF(VLOOKUP($C158,REV!$C:$AA,10,0)-'TRADE IN'!$F158=0,"",(VLOOKUP($C158,REV!$C:$AA,10,0)-'TRADE IN'!$F158))</f>
        <v>799</v>
      </c>
      <c r="M158" s="56">
        <f>IF(VLOOKUP($C158,REV!$C:$AA,11,0)-'TRADE IN'!$F158=0,"",(VLOOKUP($C158,REV!$C:$AA,11,0)-'TRADE IN'!$F158))</f>
        <v>899</v>
      </c>
      <c r="N158" s="56">
        <f>IF(VLOOKUP($C158,REV!$C:$AA,12,0)-'TRADE IN'!$F158=0,"",(VLOOKUP($C158,REV!$C:$AA,12,0)-'TRADE IN'!$F158))</f>
        <v>899</v>
      </c>
      <c r="O158" s="56">
        <f>IF(VLOOKUP($C158,REV!$C:$AA,13,0)-'TRADE IN'!$F158=0,"",(VLOOKUP($C158,REV!$C:$AA,13,0)-'TRADE IN'!$F158))</f>
        <v>749</v>
      </c>
      <c r="P158" s="56">
        <f>IF(VLOOKUP($C158,REV!$C:$AA,14,0)-'TRADE IN'!$F158=0,"",(VLOOKUP($C158,REV!$C:$AA,14,0)-'TRADE IN'!$F158))</f>
        <v>749</v>
      </c>
      <c r="Q158" s="56">
        <f>IF(VLOOKUP($C158,REV!$C:$AA,15,0)-'TRADE IN'!$F158=0,"",(VLOOKUP($C158,REV!$C:$AA,15,0)-'TRADE IN'!$F158))</f>
        <v>749</v>
      </c>
      <c r="R158" s="56">
        <f>IF(VLOOKUP($C158,REV!$C:$AA,16,0)-'TRADE IN'!$F158=0,"",(VLOOKUP($C158,REV!$C:$AA,16,0)-'TRADE IN'!$F158))</f>
        <v>749</v>
      </c>
      <c r="S158" s="56">
        <f>IF(VLOOKUP($C158,REV!$C:$AA,17,0)-'TRADE IN'!$F158=0,"",(VLOOKUP($C158,REV!$C:$AA,17,0)-'TRADE IN'!$F158))</f>
        <v>749</v>
      </c>
      <c r="T158" s="56">
        <f>IF(VLOOKUP($C158,REV!$C:$AA,18,0)-'TRADE IN'!$F158=0,"",(VLOOKUP($C158,REV!$C:$AA,18,0)-'TRADE IN'!$F158))</f>
        <v>749</v>
      </c>
      <c r="U158" s="56">
        <f>IF(VLOOKUP($C158,REV!$C:$AA,19,0)-'TRADE IN'!$F158=0,"",(VLOOKUP($C158,REV!$C:$AA,19,0)-'TRADE IN'!$F158))</f>
        <v>749</v>
      </c>
      <c r="V158" s="56">
        <f>IF(VLOOKUP($C158,REV!$C:$AA,20,0)-'TRADE IN'!$F158=0,"",(VLOOKUP($C158,REV!$C:$AA,20,0)-'TRADE IN'!$F158))</f>
        <v>749</v>
      </c>
      <c r="W158" s="56">
        <f>IF(VLOOKUP($C158,REV!$C:$AA,21,0)-'TRADE IN'!$F158=0,"",(VLOOKUP($C158,REV!$C:$AA,21,0)-'TRADE IN'!$F158))</f>
        <v>749</v>
      </c>
      <c r="X158" s="56">
        <f>IF(VLOOKUP($C158,REV!$C:$AA,22,0)-'TRADE IN'!$F158=0,"",(VLOOKUP($C158,REV!$C:$AA,22,0)-'TRADE IN'!$F158))</f>
        <v>749</v>
      </c>
      <c r="Y158" s="56">
        <f>IF(VLOOKUP($C158,REV!$C:$AA,23,0)-'TRADE IN'!$F158=0,"",(VLOOKUP($C158,REV!$C:$AA,23,0)-'TRADE IN'!$F158))</f>
        <v>749</v>
      </c>
      <c r="Z158" s="56">
        <f>IF(VLOOKUP($C158,REV!$C:$AA,24,0)-'TRADE IN'!$F158=0,"",(VLOOKUP($C158,REV!$C:$AA,24,0)-'TRADE IN'!$F158))</f>
        <v>749</v>
      </c>
      <c r="AA158" s="56">
        <f>IF(VLOOKUP($C158,REV!$C:$AA,25,0)-'TRADE IN'!$F158=0,"",(VLOOKUP($C158,REV!$C:$AA,25,0)-'TRADE IN'!$F158))</f>
        <v>749</v>
      </c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7"/>
      <c r="AW158" s="58" t="str">
        <f>REV!AW158</f>
        <v>03.11.2026</v>
      </c>
      <c r="AX158" s="147" t="str">
        <f>VLOOKUP(C158,REV!C:AX,48,0)</f>
        <v>5G</v>
      </c>
    </row>
    <row r="159" spans="1:50" ht="22.5" customHeight="1">
      <c r="A159" s="51" t="s">
        <v>63</v>
      </c>
      <c r="B159" s="52" t="s">
        <v>64</v>
      </c>
      <c r="C159" s="53">
        <v>4014800</v>
      </c>
      <c r="D159" s="65" t="s">
        <v>264</v>
      </c>
      <c r="E159" s="65" t="s">
        <v>265</v>
      </c>
      <c r="F159" s="55"/>
      <c r="G159" s="55"/>
      <c r="H159" s="55"/>
      <c r="I159" s="55"/>
      <c r="J159" s="56">
        <f>IF(VLOOKUP($C159,REV!$C:$AA,8,0)-'TRADE IN'!$F159=0,"",(VLOOKUP($C159,REV!$C:$AA,8,0)-'TRADE IN'!$F159))</f>
        <v>2299</v>
      </c>
      <c r="K159" s="56">
        <f>IF(VLOOKUP($C159,REV!$C:$AA,9,0)-'TRADE IN'!$F159=0,"",(VLOOKUP($C159,REV!$C:$AA,9,0)-'TRADE IN'!$F159))</f>
        <v>2299</v>
      </c>
      <c r="L159" s="56">
        <f>IF(VLOOKUP($C159,REV!$C:$AA,10,0)-'TRADE IN'!$F159=0,"",(VLOOKUP($C159,REV!$C:$AA,10,0)-'TRADE IN'!$F159))</f>
        <v>2299</v>
      </c>
      <c r="M159" s="56">
        <f>IF(VLOOKUP($C159,REV!$C:$AA,11,0)-'TRADE IN'!$F159=0,"",(VLOOKUP($C159,REV!$C:$AA,11,0)-'TRADE IN'!$F159))</f>
        <v>2299</v>
      </c>
      <c r="N159" s="56">
        <f>IF(VLOOKUP($C159,REV!$C:$AA,12,0)-'TRADE IN'!$F159=0,"",(VLOOKUP($C159,REV!$C:$AA,12,0)-'TRADE IN'!$F159))</f>
        <v>2299</v>
      </c>
      <c r="O159" s="56">
        <f>IF(VLOOKUP($C159,REV!$C:$AA,13,0)-'TRADE IN'!$F159=0,"",(VLOOKUP($C159,REV!$C:$AA,13,0)-'TRADE IN'!$F159))</f>
        <v>1899</v>
      </c>
      <c r="P159" s="56">
        <f>IF(VLOOKUP($C159,REV!$C:$AA,14,0)-'TRADE IN'!$F159=0,"",(VLOOKUP($C159,REV!$C:$AA,14,0)-'TRADE IN'!$F159))</f>
        <v>1799</v>
      </c>
      <c r="Q159" s="56">
        <f>IF(VLOOKUP($C159,REV!$C:$AA,15,0)-'TRADE IN'!$F159=0,"",(VLOOKUP($C159,REV!$C:$AA,15,0)-'TRADE IN'!$F159))</f>
        <v>1499</v>
      </c>
      <c r="R159" s="56">
        <f>IF(VLOOKUP($C159,REV!$C:$AA,16,0)-'TRADE IN'!$F159=0,"",(VLOOKUP($C159,REV!$C:$AA,16,0)-'TRADE IN'!$F159))</f>
        <v>1899</v>
      </c>
      <c r="S159" s="56">
        <f>IF(VLOOKUP($C159,REV!$C:$AA,17,0)-'TRADE IN'!$F159=0,"",(VLOOKUP($C159,REV!$C:$AA,17,0)-'TRADE IN'!$F159))</f>
        <v>1799</v>
      </c>
      <c r="T159" s="56">
        <f>IF(VLOOKUP($C159,REV!$C:$AA,18,0)-'TRADE IN'!$F159=0,"",(VLOOKUP($C159,REV!$C:$AA,18,0)-'TRADE IN'!$F159))</f>
        <v>1499</v>
      </c>
      <c r="U159" s="56">
        <f>IF(VLOOKUP($C159,REV!$C:$AA,19,0)-'TRADE IN'!$F159=0,"",(VLOOKUP($C159,REV!$C:$AA,19,0)-'TRADE IN'!$F159))</f>
        <v>1499</v>
      </c>
      <c r="V159" s="56">
        <f>IF(VLOOKUP($C159,REV!$C:$AA,20,0)-'TRADE IN'!$F159=0,"",(VLOOKUP($C159,REV!$C:$AA,20,0)-'TRADE IN'!$F159))</f>
        <v>1499</v>
      </c>
      <c r="W159" s="56">
        <f>IF(VLOOKUP($C159,REV!$C:$AA,21,0)-'TRADE IN'!$F159=0,"",(VLOOKUP($C159,REV!$C:$AA,21,0)-'TRADE IN'!$F159))</f>
        <v>1499</v>
      </c>
      <c r="X159" s="56">
        <f>IF(VLOOKUP($C159,REV!$C:$AA,22,0)-'TRADE IN'!$F159=0,"",(VLOOKUP($C159,REV!$C:$AA,22,0)-'TRADE IN'!$F159))</f>
        <v>1399</v>
      </c>
      <c r="Y159" s="56">
        <f>IF(VLOOKUP($C159,REV!$C:$AA,23,0)-'TRADE IN'!$F159=0,"",(VLOOKUP($C159,REV!$C:$AA,23,0)-'TRADE IN'!$F159))</f>
        <v>999</v>
      </c>
      <c r="Z159" s="56">
        <f>IF(VLOOKUP($C159,REV!$C:$AA,24,0)-'TRADE IN'!$F159=0,"",(VLOOKUP($C159,REV!$C:$AA,24,0)-'TRADE IN'!$F159))</f>
        <v>999</v>
      </c>
      <c r="AA159" s="56">
        <f>IF(VLOOKUP($C159,REV!$C:$AA,25,0)-'TRADE IN'!$F159=0,"",(VLOOKUP($C159,REV!$C:$AA,25,0)-'TRADE IN'!$F159))</f>
        <v>949</v>
      </c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7"/>
      <c r="AW159" s="58" t="str">
        <f>REV!AW159</f>
        <v>03.11.2026</v>
      </c>
      <c r="AX159" s="147" t="str">
        <f>VLOOKUP(C159,REV!C:AX,48,0)</f>
        <v>5G</v>
      </c>
    </row>
    <row r="160" spans="1:50" ht="22.5" customHeight="1">
      <c r="A160" s="51" t="s">
        <v>63</v>
      </c>
      <c r="B160" s="52" t="s">
        <v>64</v>
      </c>
      <c r="C160" s="53">
        <v>4015553</v>
      </c>
      <c r="D160" s="65" t="s">
        <v>266</v>
      </c>
      <c r="E160" s="65" t="s">
        <v>267</v>
      </c>
      <c r="F160" s="55"/>
      <c r="G160" s="55"/>
      <c r="H160" s="55"/>
      <c r="I160" s="55"/>
      <c r="J160" s="56">
        <f>IF(VLOOKUP($C160,REV!$C:$AA,8,0)-'TRADE IN'!$F160=0,"",(VLOOKUP($C160,REV!$C:$AA,8,0)-'TRADE IN'!$F160))</f>
        <v>1599</v>
      </c>
      <c r="K160" s="56">
        <f>IF(VLOOKUP($C160,REV!$C:$AA,9,0)-'TRADE IN'!$F160=0,"",(VLOOKUP($C160,REV!$C:$AA,9,0)-'TRADE IN'!$F160))</f>
        <v>1499</v>
      </c>
      <c r="L160" s="56">
        <f>IF(VLOOKUP($C160,REV!$C:$AA,10,0)-'TRADE IN'!$F160=0,"",(VLOOKUP($C160,REV!$C:$AA,10,0)-'TRADE IN'!$F160))</f>
        <v>1499</v>
      </c>
      <c r="M160" s="56">
        <f>IF(VLOOKUP($C160,REV!$C:$AA,11,0)-'TRADE IN'!$F160=0,"",(VLOOKUP($C160,REV!$C:$AA,11,0)-'TRADE IN'!$F160))</f>
        <v>1599</v>
      </c>
      <c r="N160" s="56">
        <f>IF(VLOOKUP($C160,REV!$C:$AA,12,0)-'TRADE IN'!$F160=0,"",(VLOOKUP($C160,REV!$C:$AA,12,0)-'TRADE IN'!$F160))</f>
        <v>1599</v>
      </c>
      <c r="O160" s="56">
        <f>IF(VLOOKUP($C160,REV!$C:$AA,13,0)-'TRADE IN'!$F160=0,"",(VLOOKUP($C160,REV!$C:$AA,13,0)-'TRADE IN'!$F160))</f>
        <v>1399</v>
      </c>
      <c r="P160" s="56">
        <f>IF(VLOOKUP($C160,REV!$C:$AA,14,0)-'TRADE IN'!$F160=0,"",(VLOOKUP($C160,REV!$C:$AA,14,0)-'TRADE IN'!$F160))</f>
        <v>1299</v>
      </c>
      <c r="Q160" s="56">
        <f>IF(VLOOKUP($C160,REV!$C:$AA,15,0)-'TRADE IN'!$F160=0,"",(VLOOKUP($C160,REV!$C:$AA,15,0)-'TRADE IN'!$F160))</f>
        <v>1099</v>
      </c>
      <c r="R160" s="56">
        <f>IF(VLOOKUP($C160,REV!$C:$AA,16,0)-'TRADE IN'!$F160=0,"",(VLOOKUP($C160,REV!$C:$AA,16,0)-'TRADE IN'!$F160))</f>
        <v>1399</v>
      </c>
      <c r="S160" s="56">
        <f>IF(VLOOKUP($C160,REV!$C:$AA,17,0)-'TRADE IN'!$F160=0,"",(VLOOKUP($C160,REV!$C:$AA,17,0)-'TRADE IN'!$F160))</f>
        <v>1299</v>
      </c>
      <c r="T160" s="56">
        <f>IF(VLOOKUP($C160,REV!$C:$AA,18,0)-'TRADE IN'!$F160=0,"",(VLOOKUP($C160,REV!$C:$AA,18,0)-'TRADE IN'!$F160))</f>
        <v>1099</v>
      </c>
      <c r="U160" s="56">
        <f>IF(VLOOKUP($C160,REV!$C:$AA,19,0)-'TRADE IN'!$F160=0,"",(VLOOKUP($C160,REV!$C:$AA,19,0)-'TRADE IN'!$F160))</f>
        <v>1099</v>
      </c>
      <c r="V160" s="56">
        <f>IF(VLOOKUP($C160,REV!$C:$AA,20,0)-'TRADE IN'!$F160=0,"",(VLOOKUP($C160,REV!$C:$AA,20,0)-'TRADE IN'!$F160))</f>
        <v>1099</v>
      </c>
      <c r="W160" s="56">
        <f>IF(VLOOKUP($C160,REV!$C:$AA,21,0)-'TRADE IN'!$F160=0,"",(VLOOKUP($C160,REV!$C:$AA,21,0)-'TRADE IN'!$F160))</f>
        <v>1099</v>
      </c>
      <c r="X160" s="56">
        <f>IF(VLOOKUP($C160,REV!$C:$AA,22,0)-'TRADE IN'!$F160=0,"",(VLOOKUP($C160,REV!$C:$AA,22,0)-'TRADE IN'!$F160))</f>
        <v>999</v>
      </c>
      <c r="Y160" s="56">
        <f>IF(VLOOKUP($C160,REV!$C:$AA,23,0)-'TRADE IN'!$F160=0,"",(VLOOKUP($C160,REV!$C:$AA,23,0)-'TRADE IN'!$F160))</f>
        <v>899</v>
      </c>
      <c r="Z160" s="56">
        <f>IF(VLOOKUP($C160,REV!$C:$AA,24,0)-'TRADE IN'!$F160=0,"",(VLOOKUP($C160,REV!$C:$AA,24,0)-'TRADE IN'!$F160))</f>
        <v>899</v>
      </c>
      <c r="AA160" s="56">
        <f>IF(VLOOKUP($C160,REV!$C:$AA,25,0)-'TRADE IN'!$F160=0,"",(VLOOKUP($C160,REV!$C:$AA,25,0)-'TRADE IN'!$F160))</f>
        <v>899</v>
      </c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7"/>
      <c r="AW160" s="58" t="str">
        <f>REV!AW160</f>
        <v>03.11.2026</v>
      </c>
      <c r="AX160" s="147" t="str">
        <f>VLOOKUP(C160,REV!C:AX,48,0)</f>
        <v>5G</v>
      </c>
    </row>
    <row r="161" spans="1:50" ht="22.5" customHeight="1">
      <c r="A161" s="51" t="s">
        <v>63</v>
      </c>
      <c r="B161" s="52" t="s">
        <v>64</v>
      </c>
      <c r="C161" s="53">
        <v>4015555</v>
      </c>
      <c r="D161" s="65" t="s">
        <v>266</v>
      </c>
      <c r="E161" s="65" t="s">
        <v>268</v>
      </c>
      <c r="F161" s="55"/>
      <c r="G161" s="55"/>
      <c r="H161" s="55"/>
      <c r="I161" s="55"/>
      <c r="J161" s="56">
        <f>IF(VLOOKUP($C161,REV!$C:$AA,8,0)-'TRADE IN'!$F161=0,"",(VLOOKUP($C161,REV!$C:$AA,8,0)-'TRADE IN'!$F161))</f>
        <v>1599</v>
      </c>
      <c r="K161" s="56">
        <f>IF(VLOOKUP($C161,REV!$C:$AA,9,0)-'TRADE IN'!$F161=0,"",(VLOOKUP($C161,REV!$C:$AA,9,0)-'TRADE IN'!$F161))</f>
        <v>1499</v>
      </c>
      <c r="L161" s="56">
        <f>IF(VLOOKUP($C161,REV!$C:$AA,10,0)-'TRADE IN'!$F161=0,"",(VLOOKUP($C161,REV!$C:$AA,10,0)-'TRADE IN'!$F161))</f>
        <v>1499</v>
      </c>
      <c r="M161" s="56">
        <f>IF(VLOOKUP($C161,REV!$C:$AA,11,0)-'TRADE IN'!$F161=0,"",(VLOOKUP($C161,REV!$C:$AA,11,0)-'TRADE IN'!$F161))</f>
        <v>1599</v>
      </c>
      <c r="N161" s="56">
        <f>IF(VLOOKUP($C161,REV!$C:$AA,12,0)-'TRADE IN'!$F161=0,"",(VLOOKUP($C161,REV!$C:$AA,12,0)-'TRADE IN'!$F161))</f>
        <v>1599</v>
      </c>
      <c r="O161" s="56">
        <f>IF(VLOOKUP($C161,REV!$C:$AA,13,0)-'TRADE IN'!$F161=0,"",(VLOOKUP($C161,REV!$C:$AA,13,0)-'TRADE IN'!$F161))</f>
        <v>1399</v>
      </c>
      <c r="P161" s="56">
        <f>IF(VLOOKUP($C161,REV!$C:$AA,14,0)-'TRADE IN'!$F161=0,"",(VLOOKUP($C161,REV!$C:$AA,14,0)-'TRADE IN'!$F161))</f>
        <v>1299</v>
      </c>
      <c r="Q161" s="56">
        <f>IF(VLOOKUP($C161,REV!$C:$AA,15,0)-'TRADE IN'!$F161=0,"",(VLOOKUP($C161,REV!$C:$AA,15,0)-'TRADE IN'!$F161))</f>
        <v>1099</v>
      </c>
      <c r="R161" s="56">
        <f>IF(VLOOKUP($C161,REV!$C:$AA,16,0)-'TRADE IN'!$F161=0,"",(VLOOKUP($C161,REV!$C:$AA,16,0)-'TRADE IN'!$F161))</f>
        <v>1399</v>
      </c>
      <c r="S161" s="56">
        <f>IF(VLOOKUP($C161,REV!$C:$AA,17,0)-'TRADE IN'!$F161=0,"",(VLOOKUP($C161,REV!$C:$AA,17,0)-'TRADE IN'!$F161))</f>
        <v>1299</v>
      </c>
      <c r="T161" s="56">
        <f>IF(VLOOKUP($C161,REV!$C:$AA,18,0)-'TRADE IN'!$F161=0,"",(VLOOKUP($C161,REV!$C:$AA,18,0)-'TRADE IN'!$F161))</f>
        <v>1099</v>
      </c>
      <c r="U161" s="56">
        <f>IF(VLOOKUP($C161,REV!$C:$AA,19,0)-'TRADE IN'!$F161=0,"",(VLOOKUP($C161,REV!$C:$AA,19,0)-'TRADE IN'!$F161))</f>
        <v>1099</v>
      </c>
      <c r="V161" s="56">
        <f>IF(VLOOKUP($C161,REV!$C:$AA,20,0)-'TRADE IN'!$F161=0,"",(VLOOKUP($C161,REV!$C:$AA,20,0)-'TRADE IN'!$F161))</f>
        <v>1099</v>
      </c>
      <c r="W161" s="56">
        <f>IF(VLOOKUP($C161,REV!$C:$AA,21,0)-'TRADE IN'!$F161=0,"",(VLOOKUP($C161,REV!$C:$AA,21,0)-'TRADE IN'!$F161))</f>
        <v>1099</v>
      </c>
      <c r="X161" s="56">
        <f>IF(VLOOKUP($C161,REV!$C:$AA,22,0)-'TRADE IN'!$F161=0,"",(VLOOKUP($C161,REV!$C:$AA,22,0)-'TRADE IN'!$F161))</f>
        <v>999</v>
      </c>
      <c r="Y161" s="56">
        <f>IF(VLOOKUP($C161,REV!$C:$AA,23,0)-'TRADE IN'!$F161=0,"",(VLOOKUP($C161,REV!$C:$AA,23,0)-'TRADE IN'!$F161))</f>
        <v>899</v>
      </c>
      <c r="Z161" s="56">
        <f>IF(VLOOKUP($C161,REV!$C:$AA,24,0)-'TRADE IN'!$F161=0,"",(VLOOKUP($C161,REV!$C:$AA,24,0)-'TRADE IN'!$F161))</f>
        <v>899</v>
      </c>
      <c r="AA161" s="56">
        <f>IF(VLOOKUP($C161,REV!$C:$AA,25,0)-'TRADE IN'!$F161=0,"",(VLOOKUP($C161,REV!$C:$AA,25,0)-'TRADE IN'!$F161))</f>
        <v>899</v>
      </c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7"/>
      <c r="AW161" s="58" t="str">
        <f>REV!AW161</f>
        <v>03.11.2026</v>
      </c>
      <c r="AX161" s="147" t="str">
        <f>VLOOKUP(C161,REV!C:AX,48,0)</f>
        <v>5G</v>
      </c>
    </row>
    <row r="162" spans="1:50" ht="22.5" customHeight="1">
      <c r="A162" s="51" t="s">
        <v>63</v>
      </c>
      <c r="B162" s="52" t="s">
        <v>64</v>
      </c>
      <c r="C162" s="53">
        <v>4015692</v>
      </c>
      <c r="D162" s="65" t="s">
        <v>269</v>
      </c>
      <c r="E162" s="65" t="s">
        <v>270</v>
      </c>
      <c r="F162" s="55"/>
      <c r="G162" s="55"/>
      <c r="H162" s="55"/>
      <c r="I162" s="55"/>
      <c r="J162" s="56">
        <f>IF(VLOOKUP($C162,REV!$C:$AA,8,0)-'TRADE IN'!$F162=0,"",(VLOOKUP($C162,REV!$C:$AA,8,0)-'TRADE IN'!$F162))</f>
        <v>1499</v>
      </c>
      <c r="K162" s="56">
        <f>IF(VLOOKUP($C162,REV!$C:$AA,9,0)-'TRADE IN'!$F162=0,"",(VLOOKUP($C162,REV!$C:$AA,9,0)-'TRADE IN'!$F162))</f>
        <v>1399</v>
      </c>
      <c r="L162" s="56">
        <f>IF(VLOOKUP($C162,REV!$C:$AA,10,0)-'TRADE IN'!$F162=0,"",(VLOOKUP($C162,REV!$C:$AA,10,0)-'TRADE IN'!$F162))</f>
        <v>1399</v>
      </c>
      <c r="M162" s="56">
        <f>IF(VLOOKUP($C162,REV!$C:$AA,11,0)-'TRADE IN'!$F162=0,"",(VLOOKUP($C162,REV!$C:$AA,11,0)-'TRADE IN'!$F162))</f>
        <v>1499</v>
      </c>
      <c r="N162" s="56">
        <f>IF(VLOOKUP($C162,REV!$C:$AA,12,0)-'TRADE IN'!$F162=0,"",(VLOOKUP($C162,REV!$C:$AA,12,0)-'TRADE IN'!$F162))</f>
        <v>1499</v>
      </c>
      <c r="O162" s="56">
        <f>IF(VLOOKUP($C162,REV!$C:$AA,13,0)-'TRADE IN'!$F162=0,"",(VLOOKUP($C162,REV!$C:$AA,13,0)-'TRADE IN'!$F162))</f>
        <v>1299</v>
      </c>
      <c r="P162" s="56">
        <f>IF(VLOOKUP($C162,REV!$C:$AA,14,0)-'TRADE IN'!$F162=0,"",(VLOOKUP($C162,REV!$C:$AA,14,0)-'TRADE IN'!$F162))</f>
        <v>1199</v>
      </c>
      <c r="Q162" s="56">
        <f>IF(VLOOKUP($C162,REV!$C:$AA,15,0)-'TRADE IN'!$F162=0,"",(VLOOKUP($C162,REV!$C:$AA,15,0)-'TRADE IN'!$F162))</f>
        <v>1099</v>
      </c>
      <c r="R162" s="56">
        <f>IF(VLOOKUP($C162,REV!$C:$AA,16,0)-'TRADE IN'!$F162=0,"",(VLOOKUP($C162,REV!$C:$AA,16,0)-'TRADE IN'!$F162))</f>
        <v>1299</v>
      </c>
      <c r="S162" s="56">
        <f>IF(VLOOKUP($C162,REV!$C:$AA,17,0)-'TRADE IN'!$F162=0,"",(VLOOKUP($C162,REV!$C:$AA,17,0)-'TRADE IN'!$F162))</f>
        <v>1199</v>
      </c>
      <c r="T162" s="56">
        <f>IF(VLOOKUP($C162,REV!$C:$AA,18,0)-'TRADE IN'!$F162=0,"",(VLOOKUP($C162,REV!$C:$AA,18,0)-'TRADE IN'!$F162))</f>
        <v>1099</v>
      </c>
      <c r="U162" s="56">
        <f>IF(VLOOKUP($C162,REV!$C:$AA,19,0)-'TRADE IN'!$F162=0,"",(VLOOKUP($C162,REV!$C:$AA,19,0)-'TRADE IN'!$F162))</f>
        <v>1099</v>
      </c>
      <c r="V162" s="56">
        <f>IF(VLOOKUP($C162,REV!$C:$AA,20,0)-'TRADE IN'!$F162=0,"",(VLOOKUP($C162,REV!$C:$AA,20,0)-'TRADE IN'!$F162))</f>
        <v>1099</v>
      </c>
      <c r="W162" s="56">
        <f>IF(VLOOKUP($C162,REV!$C:$AA,21,0)-'TRADE IN'!$F162=0,"",(VLOOKUP($C162,REV!$C:$AA,21,0)-'TRADE IN'!$F162))</f>
        <v>1099</v>
      </c>
      <c r="X162" s="56">
        <f>IF(VLOOKUP($C162,REV!$C:$AA,22,0)-'TRADE IN'!$F162=0,"",(VLOOKUP($C162,REV!$C:$AA,22,0)-'TRADE IN'!$F162))</f>
        <v>999</v>
      </c>
      <c r="Y162" s="56">
        <f>IF(VLOOKUP($C162,REV!$C:$AA,23,0)-'TRADE IN'!$F162=0,"",(VLOOKUP($C162,REV!$C:$AA,23,0)-'TRADE IN'!$F162))</f>
        <v>899</v>
      </c>
      <c r="Z162" s="56">
        <f>IF(VLOOKUP($C162,REV!$C:$AA,24,0)-'TRADE IN'!$F162=0,"",(VLOOKUP($C162,REV!$C:$AA,24,0)-'TRADE IN'!$F162))</f>
        <v>899</v>
      </c>
      <c r="AA162" s="56">
        <f>IF(VLOOKUP($C162,REV!$C:$AA,25,0)-'TRADE IN'!$F162=0,"",(VLOOKUP($C162,REV!$C:$AA,25,0)-'TRADE IN'!$F162))</f>
        <v>899</v>
      </c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7"/>
      <c r="AW162" s="58" t="str">
        <f>REV!AW162</f>
        <v>03.11.2026</v>
      </c>
      <c r="AX162" s="147" t="str">
        <f>VLOOKUP(C162,REV!C:AX,48,0)</f>
        <v>5G</v>
      </c>
    </row>
    <row r="163" spans="1:50" ht="22.5" customHeight="1">
      <c r="A163" s="51" t="s">
        <v>63</v>
      </c>
      <c r="B163" s="52" t="s">
        <v>64</v>
      </c>
      <c r="C163" s="53">
        <v>4016016</v>
      </c>
      <c r="D163" s="65" t="s">
        <v>269</v>
      </c>
      <c r="E163" s="65" t="s">
        <v>271</v>
      </c>
      <c r="F163" s="55"/>
      <c r="G163" s="55"/>
      <c r="H163" s="55"/>
      <c r="I163" s="55"/>
      <c r="J163" s="56">
        <f>IF(VLOOKUP($C163,REV!$C:$AA,8,0)-'TRADE IN'!$F163=0,"",(VLOOKUP($C163,REV!$C:$AA,8,0)-'TRADE IN'!$F163))</f>
        <v>1499</v>
      </c>
      <c r="K163" s="56">
        <f>IF(VLOOKUP($C163,REV!$C:$AA,9,0)-'TRADE IN'!$F163=0,"",(VLOOKUP($C163,REV!$C:$AA,9,0)-'TRADE IN'!$F163))</f>
        <v>1399</v>
      </c>
      <c r="L163" s="56">
        <f>IF(VLOOKUP($C163,REV!$C:$AA,10,0)-'TRADE IN'!$F163=0,"",(VLOOKUP($C163,REV!$C:$AA,10,0)-'TRADE IN'!$F163))</f>
        <v>1399</v>
      </c>
      <c r="M163" s="56">
        <f>IF(VLOOKUP($C163,REV!$C:$AA,11,0)-'TRADE IN'!$F163=0,"",(VLOOKUP($C163,REV!$C:$AA,11,0)-'TRADE IN'!$F163))</f>
        <v>1499</v>
      </c>
      <c r="N163" s="56">
        <f>IF(VLOOKUP($C163,REV!$C:$AA,12,0)-'TRADE IN'!$F163=0,"",(VLOOKUP($C163,REV!$C:$AA,12,0)-'TRADE IN'!$F163))</f>
        <v>1499</v>
      </c>
      <c r="O163" s="56">
        <f>IF(VLOOKUP($C163,REV!$C:$AA,13,0)-'TRADE IN'!$F163=0,"",(VLOOKUP($C163,REV!$C:$AA,13,0)-'TRADE IN'!$F163))</f>
        <v>1299</v>
      </c>
      <c r="P163" s="56">
        <f>IF(VLOOKUP($C163,REV!$C:$AA,14,0)-'TRADE IN'!$F163=0,"",(VLOOKUP($C163,REV!$C:$AA,14,0)-'TRADE IN'!$F163))</f>
        <v>1199</v>
      </c>
      <c r="Q163" s="56">
        <f>IF(VLOOKUP($C163,REV!$C:$AA,15,0)-'TRADE IN'!$F163=0,"",(VLOOKUP($C163,REV!$C:$AA,15,0)-'TRADE IN'!$F163))</f>
        <v>1099</v>
      </c>
      <c r="R163" s="56">
        <f>IF(VLOOKUP($C163,REV!$C:$AA,16,0)-'TRADE IN'!$F163=0,"",(VLOOKUP($C163,REV!$C:$AA,16,0)-'TRADE IN'!$F163))</f>
        <v>1299</v>
      </c>
      <c r="S163" s="56">
        <f>IF(VLOOKUP($C163,REV!$C:$AA,17,0)-'TRADE IN'!$F163=0,"",(VLOOKUP($C163,REV!$C:$AA,17,0)-'TRADE IN'!$F163))</f>
        <v>1199</v>
      </c>
      <c r="T163" s="56">
        <f>IF(VLOOKUP($C163,REV!$C:$AA,18,0)-'TRADE IN'!$F163=0,"",(VLOOKUP($C163,REV!$C:$AA,18,0)-'TRADE IN'!$F163))</f>
        <v>1099</v>
      </c>
      <c r="U163" s="56">
        <f>IF(VLOOKUP($C163,REV!$C:$AA,19,0)-'TRADE IN'!$F163=0,"",(VLOOKUP($C163,REV!$C:$AA,19,0)-'TRADE IN'!$F163))</f>
        <v>1099</v>
      </c>
      <c r="V163" s="56">
        <f>IF(VLOOKUP($C163,REV!$C:$AA,20,0)-'TRADE IN'!$F163=0,"",(VLOOKUP($C163,REV!$C:$AA,20,0)-'TRADE IN'!$F163))</f>
        <v>1099</v>
      </c>
      <c r="W163" s="56">
        <f>IF(VLOOKUP($C163,REV!$C:$AA,21,0)-'TRADE IN'!$F163=0,"",(VLOOKUP($C163,REV!$C:$AA,21,0)-'TRADE IN'!$F163))</f>
        <v>1099</v>
      </c>
      <c r="X163" s="56">
        <f>IF(VLOOKUP($C163,REV!$C:$AA,22,0)-'TRADE IN'!$F163=0,"",(VLOOKUP($C163,REV!$C:$AA,22,0)-'TRADE IN'!$F163))</f>
        <v>999</v>
      </c>
      <c r="Y163" s="56">
        <f>IF(VLOOKUP($C163,REV!$C:$AA,23,0)-'TRADE IN'!$F163=0,"",(VLOOKUP($C163,REV!$C:$AA,23,0)-'TRADE IN'!$F163))</f>
        <v>899</v>
      </c>
      <c r="Z163" s="56">
        <f>IF(VLOOKUP($C163,REV!$C:$AA,24,0)-'TRADE IN'!$F163=0,"",(VLOOKUP($C163,REV!$C:$AA,24,0)-'TRADE IN'!$F163))</f>
        <v>899</v>
      </c>
      <c r="AA163" s="56">
        <f>IF(VLOOKUP($C163,REV!$C:$AA,25,0)-'TRADE IN'!$F163=0,"",(VLOOKUP($C163,REV!$C:$AA,25,0)-'TRADE IN'!$F163))</f>
        <v>899</v>
      </c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7"/>
      <c r="AW163" s="58" t="str">
        <f>REV!AW163</f>
        <v>03.11.2026</v>
      </c>
      <c r="AX163" s="147" t="str">
        <f>VLOOKUP(C163,REV!C:AX,48,0)</f>
        <v>5G</v>
      </c>
    </row>
    <row r="164" spans="1:50" ht="22.5" customHeight="1">
      <c r="A164" s="51" t="s">
        <v>63</v>
      </c>
      <c r="B164" s="52" t="s">
        <v>64</v>
      </c>
      <c r="C164" s="53">
        <v>4016501</v>
      </c>
      <c r="D164" s="65" t="s">
        <v>272</v>
      </c>
      <c r="E164" s="65" t="s">
        <v>273</v>
      </c>
      <c r="F164" s="55"/>
      <c r="G164" s="55"/>
      <c r="H164" s="55"/>
      <c r="I164" s="55"/>
      <c r="J164" s="56">
        <f>IF(VLOOKUP($C164,REV!$C:$AA,8,0)-'TRADE IN'!$F164=0,"",(VLOOKUP($C164,REV!$C:$AA,8,0)-'TRADE IN'!$F164))</f>
        <v>1799</v>
      </c>
      <c r="K164" s="56">
        <f>IF(VLOOKUP($C164,REV!$C:$AA,9,0)-'TRADE IN'!$F164=0,"",(VLOOKUP($C164,REV!$C:$AA,9,0)-'TRADE IN'!$F164))</f>
        <v>1799</v>
      </c>
      <c r="L164" s="56">
        <f>IF(VLOOKUP($C164,REV!$C:$AA,10,0)-'TRADE IN'!$F164=0,"",(VLOOKUP($C164,REV!$C:$AA,10,0)-'TRADE IN'!$F164))</f>
        <v>1799</v>
      </c>
      <c r="M164" s="56">
        <f>IF(VLOOKUP($C164,REV!$C:$AA,11,0)-'TRADE IN'!$F164=0,"",(VLOOKUP($C164,REV!$C:$AA,11,0)-'TRADE IN'!$F164))</f>
        <v>1799</v>
      </c>
      <c r="N164" s="56">
        <f>IF(VLOOKUP($C164,REV!$C:$AA,12,0)-'TRADE IN'!$F164=0,"",(VLOOKUP($C164,REV!$C:$AA,12,0)-'TRADE IN'!$F164))</f>
        <v>1799</v>
      </c>
      <c r="O164" s="56">
        <f>IF(VLOOKUP($C164,REV!$C:$AA,13,0)-'TRADE IN'!$F164=0,"",(VLOOKUP($C164,REV!$C:$AA,13,0)-'TRADE IN'!$F164))</f>
        <v>1699</v>
      </c>
      <c r="P164" s="56">
        <f>IF(VLOOKUP($C164,REV!$C:$AA,14,0)-'TRADE IN'!$F164=0,"",(VLOOKUP($C164,REV!$C:$AA,14,0)-'TRADE IN'!$F164))</f>
        <v>1599</v>
      </c>
      <c r="Q164" s="56">
        <f>IF(VLOOKUP($C164,REV!$C:$AA,15,0)-'TRADE IN'!$F164=0,"",(VLOOKUP($C164,REV!$C:$AA,15,0)-'TRADE IN'!$F164))</f>
        <v>599</v>
      </c>
      <c r="R164" s="56">
        <f>IF(VLOOKUP($C164,REV!$C:$AA,16,0)-'TRADE IN'!$F164=0,"",(VLOOKUP($C164,REV!$C:$AA,16,0)-'TRADE IN'!$F164))</f>
        <v>1699</v>
      </c>
      <c r="S164" s="56">
        <f>IF(VLOOKUP($C164,REV!$C:$AA,17,0)-'TRADE IN'!$F164=0,"",(VLOOKUP($C164,REV!$C:$AA,17,0)-'TRADE IN'!$F164))</f>
        <v>1599</v>
      </c>
      <c r="T164" s="56">
        <f>IF(VLOOKUP($C164,REV!$C:$AA,18,0)-'TRADE IN'!$F164=0,"",(VLOOKUP($C164,REV!$C:$AA,18,0)-'TRADE IN'!$F164))</f>
        <v>599</v>
      </c>
      <c r="U164" s="56">
        <f>IF(VLOOKUP($C164,REV!$C:$AA,19,0)-'TRADE IN'!$F164=0,"",(VLOOKUP($C164,REV!$C:$AA,19,0)-'TRADE IN'!$F164))</f>
        <v>599</v>
      </c>
      <c r="V164" s="56">
        <f>IF(VLOOKUP($C164,REV!$C:$AA,20,0)-'TRADE IN'!$F164=0,"",(VLOOKUP($C164,REV!$C:$AA,20,0)-'TRADE IN'!$F164))</f>
        <v>599</v>
      </c>
      <c r="W164" s="56">
        <f>IF(VLOOKUP($C164,REV!$C:$AA,21,0)-'TRADE IN'!$F164=0,"",(VLOOKUP($C164,REV!$C:$AA,21,0)-'TRADE IN'!$F164))</f>
        <v>599</v>
      </c>
      <c r="X164" s="56">
        <f>IF(VLOOKUP($C164,REV!$C:$AA,22,0)-'TRADE IN'!$F164=0,"",(VLOOKUP($C164,REV!$C:$AA,22,0)-'TRADE IN'!$F164))</f>
        <v>599</v>
      </c>
      <c r="Y164" s="56">
        <f>IF(VLOOKUP($C164,REV!$C:$AA,23,0)-'TRADE IN'!$F164=0,"",(VLOOKUP($C164,REV!$C:$AA,23,0)-'TRADE IN'!$F164))</f>
        <v>599</v>
      </c>
      <c r="Z164" s="56">
        <f>IF(VLOOKUP($C164,REV!$C:$AA,24,0)-'TRADE IN'!$F164=0,"",(VLOOKUP($C164,REV!$C:$AA,24,0)-'TRADE IN'!$F164))</f>
        <v>599</v>
      </c>
      <c r="AA164" s="56">
        <f>IF(VLOOKUP($C164,REV!$C:$AA,25,0)-'TRADE IN'!$F164=0,"",(VLOOKUP($C164,REV!$C:$AA,25,0)-'TRADE IN'!$F164))</f>
        <v>599</v>
      </c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7"/>
      <c r="AW164" s="58" t="str">
        <f>REV!AW164</f>
        <v>03.11.2026</v>
      </c>
      <c r="AX164" s="147" t="str">
        <f>VLOOKUP(C164,REV!C:AX,48,0)</f>
        <v>5G</v>
      </c>
    </row>
    <row r="165" spans="1:50" ht="22.5" customHeight="1">
      <c r="A165" s="51" t="s">
        <v>63</v>
      </c>
      <c r="B165" s="52" t="s">
        <v>64</v>
      </c>
      <c r="C165" s="53">
        <v>4016503</v>
      </c>
      <c r="D165" s="65" t="s">
        <v>272</v>
      </c>
      <c r="E165" s="65" t="s">
        <v>274</v>
      </c>
      <c r="F165" s="55"/>
      <c r="G165" s="55"/>
      <c r="H165" s="55"/>
      <c r="I165" s="55"/>
      <c r="J165" s="56">
        <f>IF(VLOOKUP($C165,REV!$C:$AA,8,0)-'TRADE IN'!$F165=0,"",(VLOOKUP($C165,REV!$C:$AA,8,0)-'TRADE IN'!$F165))</f>
        <v>1799</v>
      </c>
      <c r="K165" s="56">
        <f>IF(VLOOKUP($C165,REV!$C:$AA,9,0)-'TRADE IN'!$F165=0,"",(VLOOKUP($C165,REV!$C:$AA,9,0)-'TRADE IN'!$F165))</f>
        <v>1799</v>
      </c>
      <c r="L165" s="56">
        <f>IF(VLOOKUP($C165,REV!$C:$AA,10,0)-'TRADE IN'!$F165=0,"",(VLOOKUP($C165,REV!$C:$AA,10,0)-'TRADE IN'!$F165))</f>
        <v>1799</v>
      </c>
      <c r="M165" s="56">
        <f>IF(VLOOKUP($C165,REV!$C:$AA,11,0)-'TRADE IN'!$F165=0,"",(VLOOKUP($C165,REV!$C:$AA,11,0)-'TRADE IN'!$F165))</f>
        <v>1799</v>
      </c>
      <c r="N165" s="56">
        <f>IF(VLOOKUP($C165,REV!$C:$AA,12,0)-'TRADE IN'!$F165=0,"",(VLOOKUP($C165,REV!$C:$AA,12,0)-'TRADE IN'!$F165))</f>
        <v>1799</v>
      </c>
      <c r="O165" s="56">
        <f>IF(VLOOKUP($C165,REV!$C:$AA,13,0)-'TRADE IN'!$F165=0,"",(VLOOKUP($C165,REV!$C:$AA,13,0)-'TRADE IN'!$F165))</f>
        <v>1699</v>
      </c>
      <c r="P165" s="56">
        <f>IF(VLOOKUP($C165,REV!$C:$AA,14,0)-'TRADE IN'!$F165=0,"",(VLOOKUP($C165,REV!$C:$AA,14,0)-'TRADE IN'!$F165))</f>
        <v>1599</v>
      </c>
      <c r="Q165" s="56">
        <f>IF(VLOOKUP($C165,REV!$C:$AA,15,0)-'TRADE IN'!$F165=0,"",(VLOOKUP($C165,REV!$C:$AA,15,0)-'TRADE IN'!$F165))</f>
        <v>599</v>
      </c>
      <c r="R165" s="56">
        <f>IF(VLOOKUP($C165,REV!$C:$AA,16,0)-'TRADE IN'!$F165=0,"",(VLOOKUP($C165,REV!$C:$AA,16,0)-'TRADE IN'!$F165))</f>
        <v>1699</v>
      </c>
      <c r="S165" s="56">
        <f>IF(VLOOKUP($C165,REV!$C:$AA,17,0)-'TRADE IN'!$F165=0,"",(VLOOKUP($C165,REV!$C:$AA,17,0)-'TRADE IN'!$F165))</f>
        <v>1599</v>
      </c>
      <c r="T165" s="56">
        <f>IF(VLOOKUP($C165,REV!$C:$AA,18,0)-'TRADE IN'!$F165=0,"",(VLOOKUP($C165,REV!$C:$AA,18,0)-'TRADE IN'!$F165))</f>
        <v>599</v>
      </c>
      <c r="U165" s="56">
        <f>IF(VLOOKUP($C165,REV!$C:$AA,19,0)-'TRADE IN'!$F165=0,"",(VLOOKUP($C165,REV!$C:$AA,19,0)-'TRADE IN'!$F165))</f>
        <v>599</v>
      </c>
      <c r="V165" s="56">
        <f>IF(VLOOKUP($C165,REV!$C:$AA,20,0)-'TRADE IN'!$F165=0,"",(VLOOKUP($C165,REV!$C:$AA,20,0)-'TRADE IN'!$F165))</f>
        <v>599</v>
      </c>
      <c r="W165" s="56">
        <f>IF(VLOOKUP($C165,REV!$C:$AA,21,0)-'TRADE IN'!$F165=0,"",(VLOOKUP($C165,REV!$C:$AA,21,0)-'TRADE IN'!$F165))</f>
        <v>599</v>
      </c>
      <c r="X165" s="56">
        <f>IF(VLOOKUP($C165,REV!$C:$AA,22,0)-'TRADE IN'!$F165=0,"",(VLOOKUP($C165,REV!$C:$AA,22,0)-'TRADE IN'!$F165))</f>
        <v>599</v>
      </c>
      <c r="Y165" s="56">
        <f>IF(VLOOKUP($C165,REV!$C:$AA,23,0)-'TRADE IN'!$F165=0,"",(VLOOKUP($C165,REV!$C:$AA,23,0)-'TRADE IN'!$F165))</f>
        <v>599</v>
      </c>
      <c r="Z165" s="56">
        <f>IF(VLOOKUP($C165,REV!$C:$AA,24,0)-'TRADE IN'!$F165=0,"",(VLOOKUP($C165,REV!$C:$AA,24,0)-'TRADE IN'!$F165))</f>
        <v>599</v>
      </c>
      <c r="AA165" s="56">
        <f>IF(VLOOKUP($C165,REV!$C:$AA,25,0)-'TRADE IN'!$F165=0,"",(VLOOKUP($C165,REV!$C:$AA,25,0)-'TRADE IN'!$F165))</f>
        <v>599</v>
      </c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7"/>
      <c r="AW165" s="58" t="str">
        <f>REV!AW165</f>
        <v>03.11.2026</v>
      </c>
      <c r="AX165" s="147" t="str">
        <f>VLOOKUP(C165,REV!C:AX,48,0)</f>
        <v>5G</v>
      </c>
    </row>
    <row r="166" spans="1:50" ht="22.5" customHeight="1">
      <c r="A166" s="51" t="s">
        <v>63</v>
      </c>
      <c r="B166" s="52" t="s">
        <v>64</v>
      </c>
      <c r="C166" s="53">
        <v>4016505</v>
      </c>
      <c r="D166" s="65" t="s">
        <v>272</v>
      </c>
      <c r="E166" s="65" t="s">
        <v>275</v>
      </c>
      <c r="F166" s="55"/>
      <c r="G166" s="55"/>
      <c r="H166" s="55"/>
      <c r="I166" s="55"/>
      <c r="J166" s="56">
        <f>IF(VLOOKUP($C166,REV!$C:$AA,8,0)-'TRADE IN'!$F166=0,"",(VLOOKUP($C166,REV!$C:$AA,8,0)-'TRADE IN'!$F166))</f>
        <v>1799</v>
      </c>
      <c r="K166" s="56">
        <f>IF(VLOOKUP($C166,REV!$C:$AA,9,0)-'TRADE IN'!$F166=0,"",(VLOOKUP($C166,REV!$C:$AA,9,0)-'TRADE IN'!$F166))</f>
        <v>1799</v>
      </c>
      <c r="L166" s="56">
        <f>IF(VLOOKUP($C166,REV!$C:$AA,10,0)-'TRADE IN'!$F166=0,"",(VLOOKUP($C166,REV!$C:$AA,10,0)-'TRADE IN'!$F166))</f>
        <v>1799</v>
      </c>
      <c r="M166" s="56">
        <f>IF(VLOOKUP($C166,REV!$C:$AA,11,0)-'TRADE IN'!$F166=0,"",(VLOOKUP($C166,REV!$C:$AA,11,0)-'TRADE IN'!$F166))</f>
        <v>1799</v>
      </c>
      <c r="N166" s="56">
        <f>IF(VLOOKUP($C166,REV!$C:$AA,12,0)-'TRADE IN'!$F166=0,"",(VLOOKUP($C166,REV!$C:$AA,12,0)-'TRADE IN'!$F166))</f>
        <v>1799</v>
      </c>
      <c r="O166" s="56">
        <f>IF(VLOOKUP($C166,REV!$C:$AA,13,0)-'TRADE IN'!$F166=0,"",(VLOOKUP($C166,REV!$C:$AA,13,0)-'TRADE IN'!$F166))</f>
        <v>1699</v>
      </c>
      <c r="P166" s="56">
        <f>IF(VLOOKUP($C166,REV!$C:$AA,14,0)-'TRADE IN'!$F166=0,"",(VLOOKUP($C166,REV!$C:$AA,14,0)-'TRADE IN'!$F166))</f>
        <v>1599</v>
      </c>
      <c r="Q166" s="56">
        <f>IF(VLOOKUP($C166,REV!$C:$AA,15,0)-'TRADE IN'!$F166=0,"",(VLOOKUP($C166,REV!$C:$AA,15,0)-'TRADE IN'!$F166))</f>
        <v>599</v>
      </c>
      <c r="R166" s="56">
        <f>IF(VLOOKUP($C166,REV!$C:$AA,16,0)-'TRADE IN'!$F166=0,"",(VLOOKUP($C166,REV!$C:$AA,16,0)-'TRADE IN'!$F166))</f>
        <v>1699</v>
      </c>
      <c r="S166" s="56">
        <f>IF(VLOOKUP($C166,REV!$C:$AA,17,0)-'TRADE IN'!$F166=0,"",(VLOOKUP($C166,REV!$C:$AA,17,0)-'TRADE IN'!$F166))</f>
        <v>1599</v>
      </c>
      <c r="T166" s="56">
        <f>IF(VLOOKUP($C166,REV!$C:$AA,18,0)-'TRADE IN'!$F166=0,"",(VLOOKUP($C166,REV!$C:$AA,18,0)-'TRADE IN'!$F166))</f>
        <v>599</v>
      </c>
      <c r="U166" s="56">
        <f>IF(VLOOKUP($C166,REV!$C:$AA,19,0)-'TRADE IN'!$F166=0,"",(VLOOKUP($C166,REV!$C:$AA,19,0)-'TRADE IN'!$F166))</f>
        <v>599</v>
      </c>
      <c r="V166" s="56">
        <f>IF(VLOOKUP($C166,REV!$C:$AA,20,0)-'TRADE IN'!$F166=0,"",(VLOOKUP($C166,REV!$C:$AA,20,0)-'TRADE IN'!$F166))</f>
        <v>599</v>
      </c>
      <c r="W166" s="56">
        <f>IF(VLOOKUP($C166,REV!$C:$AA,21,0)-'TRADE IN'!$F166=0,"",(VLOOKUP($C166,REV!$C:$AA,21,0)-'TRADE IN'!$F166))</f>
        <v>599</v>
      </c>
      <c r="X166" s="56">
        <f>IF(VLOOKUP($C166,REV!$C:$AA,22,0)-'TRADE IN'!$F166=0,"",(VLOOKUP($C166,REV!$C:$AA,22,0)-'TRADE IN'!$F166))</f>
        <v>599</v>
      </c>
      <c r="Y166" s="56">
        <f>IF(VLOOKUP($C166,REV!$C:$AA,23,0)-'TRADE IN'!$F166=0,"",(VLOOKUP($C166,REV!$C:$AA,23,0)-'TRADE IN'!$F166))</f>
        <v>599</v>
      </c>
      <c r="Z166" s="56">
        <f>IF(VLOOKUP($C166,REV!$C:$AA,24,0)-'TRADE IN'!$F166=0,"",(VLOOKUP($C166,REV!$C:$AA,24,0)-'TRADE IN'!$F166))</f>
        <v>599</v>
      </c>
      <c r="AA166" s="56">
        <f>IF(VLOOKUP($C166,REV!$C:$AA,25,0)-'TRADE IN'!$F166=0,"",(VLOOKUP($C166,REV!$C:$AA,25,0)-'TRADE IN'!$F166))</f>
        <v>599</v>
      </c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7"/>
      <c r="AW166" s="58" t="str">
        <f>REV!AW166</f>
        <v>03.11.2026</v>
      </c>
      <c r="AX166" s="147" t="str">
        <f>VLOOKUP(C166,REV!C:AX,48,0)</f>
        <v>5G</v>
      </c>
    </row>
    <row r="167" spans="1:50" ht="22" customHeight="1">
      <c r="A167" s="51" t="s">
        <v>63</v>
      </c>
      <c r="B167" s="52" t="s">
        <v>64</v>
      </c>
      <c r="C167" s="53">
        <v>4016284</v>
      </c>
      <c r="D167" s="65" t="s">
        <v>276</v>
      </c>
      <c r="E167" s="65" t="s">
        <v>277</v>
      </c>
      <c r="F167" s="55"/>
      <c r="G167" s="55"/>
      <c r="H167" s="55"/>
      <c r="I167" s="55"/>
      <c r="J167" s="56">
        <f>IF(VLOOKUP($C167,REV!$C:$AA,8,0)-'TRADE IN'!$F167=0,"",(VLOOKUP($C167,REV!$C:$AA,8,0)-'TRADE IN'!$F167))</f>
        <v>1799</v>
      </c>
      <c r="K167" s="56">
        <f>IF(VLOOKUP($C167,REV!$C:$AA,9,0)-'TRADE IN'!$F167=0,"",(VLOOKUP($C167,REV!$C:$AA,9,0)-'TRADE IN'!$F167))</f>
        <v>1799</v>
      </c>
      <c r="L167" s="56">
        <f>IF(VLOOKUP($C167,REV!$C:$AA,10,0)-'TRADE IN'!$F167=0,"",(VLOOKUP($C167,REV!$C:$AA,10,0)-'TRADE IN'!$F167))</f>
        <v>1799</v>
      </c>
      <c r="M167" s="56">
        <f>IF(VLOOKUP($C167,REV!$C:$AA,11,0)-'TRADE IN'!$F167=0,"",(VLOOKUP($C167,REV!$C:$AA,11,0)-'TRADE IN'!$F167))</f>
        <v>1799</v>
      </c>
      <c r="N167" s="56">
        <f>IF(VLOOKUP($C167,REV!$C:$AA,12,0)-'TRADE IN'!$F167=0,"",(VLOOKUP($C167,REV!$C:$AA,12,0)-'TRADE IN'!$F167))</f>
        <v>1799</v>
      </c>
      <c r="O167" s="56">
        <f>IF(VLOOKUP($C167,REV!$C:$AA,13,0)-'TRADE IN'!$F167=0,"",(VLOOKUP($C167,REV!$C:$AA,13,0)-'TRADE IN'!$F167))</f>
        <v>1699</v>
      </c>
      <c r="P167" s="56">
        <f>IF(VLOOKUP($C167,REV!$C:$AA,14,0)-'TRADE IN'!$F167=0,"",(VLOOKUP($C167,REV!$C:$AA,14,0)-'TRADE IN'!$F167))</f>
        <v>1649</v>
      </c>
      <c r="Q167" s="56">
        <f>IF(VLOOKUP($C167,REV!$C:$AA,15,0)-'TRADE IN'!$F167=0,"",(VLOOKUP($C167,REV!$C:$AA,15,0)-'TRADE IN'!$F167))</f>
        <v>1299</v>
      </c>
      <c r="R167" s="56">
        <f>IF(VLOOKUP($C167,REV!$C:$AA,16,0)-'TRADE IN'!$F167=0,"",(VLOOKUP($C167,REV!$C:$AA,16,0)-'TRADE IN'!$F167))</f>
        <v>1699</v>
      </c>
      <c r="S167" s="56">
        <f>IF(VLOOKUP($C167,REV!$C:$AA,17,0)-'TRADE IN'!$F167=0,"",(VLOOKUP($C167,REV!$C:$AA,17,0)-'TRADE IN'!$F167))</f>
        <v>1649</v>
      </c>
      <c r="T167" s="56">
        <f>IF(VLOOKUP($C167,REV!$C:$AA,18,0)-'TRADE IN'!$F167=0,"",(VLOOKUP($C167,REV!$C:$AA,18,0)-'TRADE IN'!$F167))</f>
        <v>1299</v>
      </c>
      <c r="U167" s="56">
        <f>IF(VLOOKUP($C167,REV!$C:$AA,19,0)-'TRADE IN'!$F167=0,"",(VLOOKUP($C167,REV!$C:$AA,19,0)-'TRADE IN'!$F167))</f>
        <v>1299</v>
      </c>
      <c r="V167" s="56">
        <f>IF(VLOOKUP($C167,REV!$C:$AA,20,0)-'TRADE IN'!$F167=0,"",(VLOOKUP($C167,REV!$C:$AA,20,0)-'TRADE IN'!$F167))</f>
        <v>1299</v>
      </c>
      <c r="W167" s="56">
        <f>IF(VLOOKUP($C167,REV!$C:$AA,21,0)-'TRADE IN'!$F167=0,"",(VLOOKUP($C167,REV!$C:$AA,21,0)-'TRADE IN'!$F167))</f>
        <v>1299</v>
      </c>
      <c r="X167" s="56">
        <f>IF(VLOOKUP($C167,REV!$C:$AA,22,0)-'TRADE IN'!$F167=0,"",(VLOOKUP($C167,REV!$C:$AA,22,0)-'TRADE IN'!$F167))</f>
        <v>1199</v>
      </c>
      <c r="Y167" s="56">
        <f>IF(VLOOKUP($C167,REV!$C:$AA,23,0)-'TRADE IN'!$F167=0,"",(VLOOKUP($C167,REV!$C:$AA,23,0)-'TRADE IN'!$F167))</f>
        <v>1199</v>
      </c>
      <c r="Z167" s="56">
        <f>IF(VLOOKUP($C167,REV!$C:$AA,24,0)-'TRADE IN'!$F167=0,"",(VLOOKUP($C167,REV!$C:$AA,24,0)-'TRADE IN'!$F167))</f>
        <v>1199</v>
      </c>
      <c r="AA167" s="56">
        <f>IF(VLOOKUP($C167,REV!$C:$AA,25,0)-'TRADE IN'!$F167=0,"",(VLOOKUP($C167,REV!$C:$AA,25,0)-'TRADE IN'!$F167))</f>
        <v>1199</v>
      </c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7"/>
      <c r="AW167" s="58" t="str">
        <f>REV!AW167</f>
        <v>03.11.2026</v>
      </c>
      <c r="AX167" s="147" t="str">
        <f>VLOOKUP(C167,REV!C:AX,48,0)</f>
        <v>5G</v>
      </c>
    </row>
    <row r="168" spans="1:50" ht="22" customHeight="1">
      <c r="A168" s="51" t="s">
        <v>63</v>
      </c>
      <c r="B168" s="52" t="s">
        <v>64</v>
      </c>
      <c r="C168" s="53">
        <v>4016285</v>
      </c>
      <c r="D168" s="65" t="s">
        <v>276</v>
      </c>
      <c r="E168" s="65" t="s">
        <v>278</v>
      </c>
      <c r="F168" s="55"/>
      <c r="G168" s="55"/>
      <c r="H168" s="55"/>
      <c r="I168" s="55"/>
      <c r="J168" s="56">
        <f>IF(VLOOKUP($C168,REV!$C:$AA,8,0)-'TRADE IN'!$F168=0,"",(VLOOKUP($C168,REV!$C:$AA,8,0)-'TRADE IN'!$F168))</f>
        <v>1799</v>
      </c>
      <c r="K168" s="56">
        <f>IF(VLOOKUP($C168,REV!$C:$AA,9,0)-'TRADE IN'!$F168=0,"",(VLOOKUP($C168,REV!$C:$AA,9,0)-'TRADE IN'!$F168))</f>
        <v>1799</v>
      </c>
      <c r="L168" s="56">
        <f>IF(VLOOKUP($C168,REV!$C:$AA,10,0)-'TRADE IN'!$F168=0,"",(VLOOKUP($C168,REV!$C:$AA,10,0)-'TRADE IN'!$F168))</f>
        <v>1799</v>
      </c>
      <c r="M168" s="56">
        <f>IF(VLOOKUP($C168,REV!$C:$AA,11,0)-'TRADE IN'!$F168=0,"",(VLOOKUP($C168,REV!$C:$AA,11,0)-'TRADE IN'!$F168))</f>
        <v>1799</v>
      </c>
      <c r="N168" s="56">
        <f>IF(VLOOKUP($C168,REV!$C:$AA,12,0)-'TRADE IN'!$F168=0,"",(VLOOKUP($C168,REV!$C:$AA,12,0)-'TRADE IN'!$F168))</f>
        <v>1799</v>
      </c>
      <c r="O168" s="56">
        <f>IF(VLOOKUP($C168,REV!$C:$AA,13,0)-'TRADE IN'!$F168=0,"",(VLOOKUP($C168,REV!$C:$AA,13,0)-'TRADE IN'!$F168))</f>
        <v>1699</v>
      </c>
      <c r="P168" s="56">
        <f>IF(VLOOKUP($C168,REV!$C:$AA,14,0)-'TRADE IN'!$F168=0,"",(VLOOKUP($C168,REV!$C:$AA,14,0)-'TRADE IN'!$F168))</f>
        <v>1649</v>
      </c>
      <c r="Q168" s="56">
        <f>IF(VLOOKUP($C168,REV!$C:$AA,15,0)-'TRADE IN'!$F168=0,"",(VLOOKUP($C168,REV!$C:$AA,15,0)-'TRADE IN'!$F168))</f>
        <v>1299</v>
      </c>
      <c r="R168" s="56">
        <f>IF(VLOOKUP($C168,REV!$C:$AA,16,0)-'TRADE IN'!$F168=0,"",(VLOOKUP($C168,REV!$C:$AA,16,0)-'TRADE IN'!$F168))</f>
        <v>1699</v>
      </c>
      <c r="S168" s="56">
        <f>IF(VLOOKUP($C168,REV!$C:$AA,17,0)-'TRADE IN'!$F168=0,"",(VLOOKUP($C168,REV!$C:$AA,17,0)-'TRADE IN'!$F168))</f>
        <v>1649</v>
      </c>
      <c r="T168" s="56">
        <f>IF(VLOOKUP($C168,REV!$C:$AA,18,0)-'TRADE IN'!$F168=0,"",(VLOOKUP($C168,REV!$C:$AA,18,0)-'TRADE IN'!$F168))</f>
        <v>1299</v>
      </c>
      <c r="U168" s="56">
        <f>IF(VLOOKUP($C168,REV!$C:$AA,19,0)-'TRADE IN'!$F168=0,"",(VLOOKUP($C168,REV!$C:$AA,19,0)-'TRADE IN'!$F168))</f>
        <v>1299</v>
      </c>
      <c r="V168" s="56">
        <f>IF(VLOOKUP($C168,REV!$C:$AA,20,0)-'TRADE IN'!$F168=0,"",(VLOOKUP($C168,REV!$C:$AA,20,0)-'TRADE IN'!$F168))</f>
        <v>1299</v>
      </c>
      <c r="W168" s="56">
        <f>IF(VLOOKUP($C168,REV!$C:$AA,21,0)-'TRADE IN'!$F168=0,"",(VLOOKUP($C168,REV!$C:$AA,21,0)-'TRADE IN'!$F168))</f>
        <v>1299</v>
      </c>
      <c r="X168" s="56">
        <f>IF(VLOOKUP($C168,REV!$C:$AA,22,0)-'TRADE IN'!$F168=0,"",(VLOOKUP($C168,REV!$C:$AA,22,0)-'TRADE IN'!$F168))</f>
        <v>1199</v>
      </c>
      <c r="Y168" s="56">
        <f>IF(VLOOKUP($C168,REV!$C:$AA,23,0)-'TRADE IN'!$F168=0,"",(VLOOKUP($C168,REV!$C:$AA,23,0)-'TRADE IN'!$F168))</f>
        <v>1199</v>
      </c>
      <c r="Z168" s="56">
        <f>IF(VLOOKUP($C168,REV!$C:$AA,24,0)-'TRADE IN'!$F168=0,"",(VLOOKUP($C168,REV!$C:$AA,24,0)-'TRADE IN'!$F168))</f>
        <v>1199</v>
      </c>
      <c r="AA168" s="56">
        <f>IF(VLOOKUP($C168,REV!$C:$AA,25,0)-'TRADE IN'!$F168=0,"",(VLOOKUP($C168,REV!$C:$AA,25,0)-'TRADE IN'!$F168))</f>
        <v>1199</v>
      </c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7"/>
      <c r="AW168" s="58" t="str">
        <f>REV!AW168</f>
        <v>03.11.2026</v>
      </c>
      <c r="AX168" s="147" t="str">
        <f>VLOOKUP(C168,REV!C:AX,48,0)</f>
        <v>5G</v>
      </c>
    </row>
    <row r="169" spans="1:50" ht="22" customHeight="1">
      <c r="A169" s="51" t="s">
        <v>63</v>
      </c>
      <c r="B169" s="52" t="s">
        <v>64</v>
      </c>
      <c r="C169" s="53">
        <v>4016922</v>
      </c>
      <c r="D169" s="65" t="s">
        <v>279</v>
      </c>
      <c r="E169" s="65" t="s">
        <v>280</v>
      </c>
      <c r="F169" s="55"/>
      <c r="G169" s="55"/>
      <c r="H169" s="55"/>
      <c r="I169" s="55"/>
      <c r="J169" s="56">
        <f>IF(VLOOKUP($C169,REV!$C:$AA,8,0)-'TRADE IN'!$F169=0,"",(VLOOKUP($C169,REV!$C:$AA,8,0)-'TRADE IN'!$F169))</f>
        <v>1999</v>
      </c>
      <c r="K169" s="56">
        <f>IF(VLOOKUP($C169,REV!$C:$AA,9,0)-'TRADE IN'!$F169=0,"",(VLOOKUP($C169,REV!$C:$AA,9,0)-'TRADE IN'!$F169))</f>
        <v>1999</v>
      </c>
      <c r="L169" s="56">
        <f>IF(VLOOKUP($C169,REV!$C:$AA,10,0)-'TRADE IN'!$F169=0,"",(VLOOKUP($C169,REV!$C:$AA,10,0)-'TRADE IN'!$F169))</f>
        <v>1999</v>
      </c>
      <c r="M169" s="56">
        <f>IF(VLOOKUP($C169,REV!$C:$AA,11,0)-'TRADE IN'!$F169=0,"",(VLOOKUP($C169,REV!$C:$AA,11,0)-'TRADE IN'!$F169))</f>
        <v>1999</v>
      </c>
      <c r="N169" s="56">
        <f>IF(VLOOKUP($C169,REV!$C:$AA,12,0)-'TRADE IN'!$F169=0,"",(VLOOKUP($C169,REV!$C:$AA,12,0)-'TRADE IN'!$F169))</f>
        <v>1999</v>
      </c>
      <c r="O169" s="56">
        <f>IF(VLOOKUP($C169,REV!$C:$AA,13,0)-'TRADE IN'!$F169=0,"",(VLOOKUP($C169,REV!$C:$AA,13,0)-'TRADE IN'!$F169))</f>
        <v>1899</v>
      </c>
      <c r="P169" s="56">
        <f>IF(VLOOKUP($C169,REV!$C:$AA,14,0)-'TRADE IN'!$F169=0,"",(VLOOKUP($C169,REV!$C:$AA,14,0)-'TRADE IN'!$F169))</f>
        <v>1799</v>
      </c>
      <c r="Q169" s="56">
        <f>IF(VLOOKUP($C169,REV!$C:$AA,15,0)-'TRADE IN'!$F169=0,"",(VLOOKUP($C169,REV!$C:$AA,15,0)-'TRADE IN'!$F169))</f>
        <v>799</v>
      </c>
      <c r="R169" s="56">
        <f>IF(VLOOKUP($C169,REV!$C:$AA,16,0)-'TRADE IN'!$F169=0,"",(VLOOKUP($C169,REV!$C:$AA,16,0)-'TRADE IN'!$F169))</f>
        <v>1899</v>
      </c>
      <c r="S169" s="56">
        <f>IF(VLOOKUP($C169,REV!$C:$AA,17,0)-'TRADE IN'!$F169=0,"",(VLOOKUP($C169,REV!$C:$AA,17,0)-'TRADE IN'!$F169))</f>
        <v>1799</v>
      </c>
      <c r="T169" s="56">
        <f>IF(VLOOKUP($C169,REV!$C:$AA,18,0)-'TRADE IN'!$F169=0,"",(VLOOKUP($C169,REV!$C:$AA,18,0)-'TRADE IN'!$F169))</f>
        <v>799</v>
      </c>
      <c r="U169" s="56">
        <f>IF(VLOOKUP($C169,REV!$C:$AA,19,0)-'TRADE IN'!$F169=0,"",(VLOOKUP($C169,REV!$C:$AA,19,0)-'TRADE IN'!$F169))</f>
        <v>799</v>
      </c>
      <c r="V169" s="56">
        <f>IF(VLOOKUP($C169,REV!$C:$AA,20,0)-'TRADE IN'!$F169=0,"",(VLOOKUP($C169,REV!$C:$AA,20,0)-'TRADE IN'!$F169))</f>
        <v>799</v>
      </c>
      <c r="W169" s="56">
        <f>IF(VLOOKUP($C169,REV!$C:$AA,21,0)-'TRADE IN'!$F169=0,"",(VLOOKUP($C169,REV!$C:$AA,21,0)-'TRADE IN'!$F169))</f>
        <v>799</v>
      </c>
      <c r="X169" s="56">
        <f>IF(VLOOKUP($C169,REV!$C:$AA,22,0)-'TRADE IN'!$F169=0,"",(VLOOKUP($C169,REV!$C:$AA,22,0)-'TRADE IN'!$F169))</f>
        <v>799</v>
      </c>
      <c r="Y169" s="56">
        <f>IF(VLOOKUP($C169,REV!$C:$AA,23,0)-'TRADE IN'!$F169=0,"",(VLOOKUP($C169,REV!$C:$AA,23,0)-'TRADE IN'!$F169))</f>
        <v>799</v>
      </c>
      <c r="Z169" s="56">
        <f>IF(VLOOKUP($C169,REV!$C:$AA,24,0)-'TRADE IN'!$F169=0,"",(VLOOKUP($C169,REV!$C:$AA,24,0)-'TRADE IN'!$F169))</f>
        <v>799</v>
      </c>
      <c r="AA169" s="56">
        <f>IF(VLOOKUP($C169,REV!$C:$AA,25,0)-'TRADE IN'!$F169=0,"",(VLOOKUP($C169,REV!$C:$AA,25,0)-'TRADE IN'!$F169))</f>
        <v>799</v>
      </c>
      <c r="AB169" s="55" t="str">
        <f>IF(VLOOKUP($C169,REV!$C:$AL,27,0)-'TRADE IN'!$F169=0,"",(VLOOKUP($C169,REV!$C:$AL,27,0)-'TRADE IN'!$F169))</f>
        <v/>
      </c>
      <c r="AC169" s="55" t="str">
        <f>IF(VLOOKUP($C169,REV!$C:$AL,28,0)-'TRADE IN'!$F169=0,"",(VLOOKUP($C169,REV!$C:$AL,28,0)-'TRADE IN'!$F169))</f>
        <v/>
      </c>
      <c r="AD169" s="55" t="str">
        <f>IF(VLOOKUP($C169,REV!$C:$AL,29,0)-'TRADE IN'!$F169=0,"",(VLOOKUP($C169,REV!$C:$AL,29,0)-'TRADE IN'!$F169))</f>
        <v/>
      </c>
      <c r="AE169" s="55" t="str">
        <f>IF(VLOOKUP($C169,REV!$C:$AL,30,0)-'TRADE IN'!$F169=0,"",(VLOOKUP($C169,REV!$C:$AL,30,0)-'TRADE IN'!$F169))</f>
        <v/>
      </c>
      <c r="AF169" s="55" t="str">
        <f>IF(VLOOKUP($C169,REV!$C:$AL,31,0)-'TRADE IN'!$F169=0,"",(VLOOKUP($C169,REV!$C:$AL,31,0)-'TRADE IN'!$F169))</f>
        <v/>
      </c>
      <c r="AG169" s="55" t="str">
        <f>IF(VLOOKUP($C169,REV!$C:$AL,31,0)-'TRADE IN'!$F169=0,"",(VLOOKUP($C169,REV!$C:$AL,31,0)-'TRADE IN'!$F169))</f>
        <v/>
      </c>
      <c r="AH169" s="55" t="str">
        <f>IF(VLOOKUP($C169,REV!$C:$AL,32,0)-'TRADE IN'!$F169=0,"",(VLOOKUP($C169,REV!$C:$AL,32,0)-'TRADE IN'!$F169))</f>
        <v/>
      </c>
      <c r="AI169" s="55" t="str">
        <f>IF(VLOOKUP($C169,REV!$C:$AL,33,0)-'TRADE IN'!$F169=0,"",(VLOOKUP($C169,REV!$C:$AL,33,0)-'TRADE IN'!$F169))</f>
        <v/>
      </c>
      <c r="AJ169" s="55" t="str">
        <f>IF(VLOOKUP($C169,REV!$C:$AL,34,0)-'TRADE IN'!$F169=0,"",(VLOOKUP($C169,REV!$C:$AL,34,0)-'TRADE IN'!$F169))</f>
        <v/>
      </c>
      <c r="AK169" s="55" t="str">
        <f>IF(VLOOKUP($C169,REV!$C:$AL,35,0)-'TRADE IN'!$F169=0,"",(VLOOKUP($C169,REV!$C:$AL,35,0)-'TRADE IN'!$F169))</f>
        <v/>
      </c>
      <c r="AL169" s="55" t="str">
        <f>IF(VLOOKUP($C169,REV!$C:$AL,36,0)-'TRADE IN'!$F169=0,"",(VLOOKUP($C169,REV!$C:$AL,36,0)-'TRADE IN'!$F169))</f>
        <v/>
      </c>
      <c r="AM169" s="55"/>
      <c r="AN169" s="55"/>
      <c r="AO169" s="55"/>
      <c r="AP169" s="55"/>
      <c r="AQ169" s="55"/>
      <c r="AR169" s="55"/>
      <c r="AS169" s="55"/>
      <c r="AT169" s="55"/>
      <c r="AU169" s="55"/>
      <c r="AV169" s="57"/>
      <c r="AW169" s="58" t="str">
        <f>REV!AW169</f>
        <v>03.11.2026</v>
      </c>
      <c r="AX169" s="147" t="str">
        <f>VLOOKUP(C169,REV!C:AX,48,0)</f>
        <v>5G</v>
      </c>
    </row>
    <row r="170" spans="1:50" ht="22" customHeight="1">
      <c r="A170" s="51" t="s">
        <v>63</v>
      </c>
      <c r="B170" s="52" t="s">
        <v>64</v>
      </c>
      <c r="C170" s="53">
        <v>4016923</v>
      </c>
      <c r="D170" s="65" t="s">
        <v>279</v>
      </c>
      <c r="E170" s="65" t="s">
        <v>281</v>
      </c>
      <c r="F170" s="55"/>
      <c r="G170" s="55"/>
      <c r="H170" s="55"/>
      <c r="I170" s="55"/>
      <c r="J170" s="56">
        <f>IF(VLOOKUP($C170,REV!$C:$AA,8,0)-'TRADE IN'!$F170=0,"",(VLOOKUP($C170,REV!$C:$AA,8,0)-'TRADE IN'!$F170))</f>
        <v>1999</v>
      </c>
      <c r="K170" s="56">
        <f>IF(VLOOKUP($C170,REV!$C:$AA,9,0)-'TRADE IN'!$F170=0,"",(VLOOKUP($C170,REV!$C:$AA,9,0)-'TRADE IN'!$F170))</f>
        <v>1999</v>
      </c>
      <c r="L170" s="56">
        <f>IF(VLOOKUP($C170,REV!$C:$AA,10,0)-'TRADE IN'!$F170=0,"",(VLOOKUP($C170,REV!$C:$AA,10,0)-'TRADE IN'!$F170))</f>
        <v>1999</v>
      </c>
      <c r="M170" s="56">
        <f>IF(VLOOKUP($C170,REV!$C:$AA,11,0)-'TRADE IN'!$F170=0,"",(VLOOKUP($C170,REV!$C:$AA,11,0)-'TRADE IN'!$F170))</f>
        <v>1999</v>
      </c>
      <c r="N170" s="56">
        <f>IF(VLOOKUP($C170,REV!$C:$AA,12,0)-'TRADE IN'!$F170=0,"",(VLOOKUP($C170,REV!$C:$AA,12,0)-'TRADE IN'!$F170))</f>
        <v>1999</v>
      </c>
      <c r="O170" s="56">
        <f>IF(VLOOKUP($C170,REV!$C:$AA,13,0)-'TRADE IN'!$F170=0,"",(VLOOKUP($C170,REV!$C:$AA,13,0)-'TRADE IN'!$F170))</f>
        <v>1899</v>
      </c>
      <c r="P170" s="56">
        <f>IF(VLOOKUP($C170,REV!$C:$AA,14,0)-'TRADE IN'!$F170=0,"",(VLOOKUP($C170,REV!$C:$AA,14,0)-'TRADE IN'!$F170))</f>
        <v>1799</v>
      </c>
      <c r="Q170" s="56">
        <f>IF(VLOOKUP($C170,REV!$C:$AA,15,0)-'TRADE IN'!$F170=0,"",(VLOOKUP($C170,REV!$C:$AA,15,0)-'TRADE IN'!$F170))</f>
        <v>799</v>
      </c>
      <c r="R170" s="56">
        <f>IF(VLOOKUP($C170,REV!$C:$AA,16,0)-'TRADE IN'!$F170=0,"",(VLOOKUP($C170,REV!$C:$AA,16,0)-'TRADE IN'!$F170))</f>
        <v>1899</v>
      </c>
      <c r="S170" s="56">
        <f>IF(VLOOKUP($C170,REV!$C:$AA,17,0)-'TRADE IN'!$F170=0,"",(VLOOKUP($C170,REV!$C:$AA,17,0)-'TRADE IN'!$F170))</f>
        <v>1799</v>
      </c>
      <c r="T170" s="56">
        <f>IF(VLOOKUP($C170,REV!$C:$AA,18,0)-'TRADE IN'!$F170=0,"",(VLOOKUP($C170,REV!$C:$AA,18,0)-'TRADE IN'!$F170))</f>
        <v>799</v>
      </c>
      <c r="U170" s="56">
        <f>IF(VLOOKUP($C170,REV!$C:$AA,19,0)-'TRADE IN'!$F170=0,"",(VLOOKUP($C170,REV!$C:$AA,19,0)-'TRADE IN'!$F170))</f>
        <v>799</v>
      </c>
      <c r="V170" s="56">
        <f>IF(VLOOKUP($C170,REV!$C:$AA,20,0)-'TRADE IN'!$F170=0,"",(VLOOKUP($C170,REV!$C:$AA,20,0)-'TRADE IN'!$F170))</f>
        <v>799</v>
      </c>
      <c r="W170" s="56">
        <f>IF(VLOOKUP($C170,REV!$C:$AA,21,0)-'TRADE IN'!$F170=0,"",(VLOOKUP($C170,REV!$C:$AA,21,0)-'TRADE IN'!$F170))</f>
        <v>799</v>
      </c>
      <c r="X170" s="56">
        <f>IF(VLOOKUP($C170,REV!$C:$AA,22,0)-'TRADE IN'!$F170=0,"",(VLOOKUP($C170,REV!$C:$AA,22,0)-'TRADE IN'!$F170))</f>
        <v>799</v>
      </c>
      <c r="Y170" s="56">
        <f>IF(VLOOKUP($C170,REV!$C:$AA,23,0)-'TRADE IN'!$F170=0,"",(VLOOKUP($C170,REV!$C:$AA,23,0)-'TRADE IN'!$F170))</f>
        <v>799</v>
      </c>
      <c r="Z170" s="56">
        <f>IF(VLOOKUP($C170,REV!$C:$AA,24,0)-'TRADE IN'!$F170=0,"",(VLOOKUP($C170,REV!$C:$AA,24,0)-'TRADE IN'!$F170))</f>
        <v>799</v>
      </c>
      <c r="AA170" s="56">
        <f>IF(VLOOKUP($C170,REV!$C:$AA,25,0)-'TRADE IN'!$F170=0,"",(VLOOKUP($C170,REV!$C:$AA,25,0)-'TRADE IN'!$F170))</f>
        <v>799</v>
      </c>
      <c r="AB170" s="55" t="str">
        <f>IF(VLOOKUP($C170,REV!$C:$AL,27,0)-'TRADE IN'!$F170=0,"",(VLOOKUP($C170,REV!$C:$AL,27,0)-'TRADE IN'!$F170))</f>
        <v/>
      </c>
      <c r="AC170" s="55" t="str">
        <f>IF(VLOOKUP($C170,REV!$C:$AL,28,0)-'TRADE IN'!$F170=0,"",(VLOOKUP($C170,REV!$C:$AL,28,0)-'TRADE IN'!$F170))</f>
        <v/>
      </c>
      <c r="AD170" s="55" t="str">
        <f>IF(VLOOKUP($C170,REV!$C:$AL,29,0)-'TRADE IN'!$F170=0,"",(VLOOKUP($C170,REV!$C:$AL,29,0)-'TRADE IN'!$F170))</f>
        <v/>
      </c>
      <c r="AE170" s="55" t="str">
        <f>IF(VLOOKUP($C170,REV!$C:$AL,30,0)-'TRADE IN'!$F170=0,"",(VLOOKUP($C170,REV!$C:$AL,30,0)-'TRADE IN'!$F170))</f>
        <v/>
      </c>
      <c r="AF170" s="55" t="str">
        <f>IF(VLOOKUP($C170,REV!$C:$AL,31,0)-'TRADE IN'!$F170=0,"",(VLOOKUP($C170,REV!$C:$AL,31,0)-'TRADE IN'!$F170))</f>
        <v/>
      </c>
      <c r="AG170" s="55" t="str">
        <f>IF(VLOOKUP($C170,REV!$C:$AL,31,0)-'TRADE IN'!$F170=0,"",(VLOOKUP($C170,REV!$C:$AL,31,0)-'TRADE IN'!$F170))</f>
        <v/>
      </c>
      <c r="AH170" s="55" t="str">
        <f>IF(VLOOKUP($C170,REV!$C:$AL,32,0)-'TRADE IN'!$F170=0,"",(VLOOKUP($C170,REV!$C:$AL,32,0)-'TRADE IN'!$F170))</f>
        <v/>
      </c>
      <c r="AI170" s="55" t="str">
        <f>IF(VLOOKUP($C170,REV!$C:$AL,33,0)-'TRADE IN'!$F170=0,"",(VLOOKUP($C170,REV!$C:$AL,33,0)-'TRADE IN'!$F170))</f>
        <v/>
      </c>
      <c r="AJ170" s="55" t="str">
        <f>IF(VLOOKUP($C170,REV!$C:$AL,34,0)-'TRADE IN'!$F170=0,"",(VLOOKUP($C170,REV!$C:$AL,34,0)-'TRADE IN'!$F170))</f>
        <v/>
      </c>
      <c r="AK170" s="55" t="str">
        <f>IF(VLOOKUP($C170,REV!$C:$AL,35,0)-'TRADE IN'!$F170=0,"",(VLOOKUP($C170,REV!$C:$AL,35,0)-'TRADE IN'!$F170))</f>
        <v/>
      </c>
      <c r="AL170" s="55" t="str">
        <f>IF(VLOOKUP($C170,REV!$C:$AL,36,0)-'TRADE IN'!$F170=0,"",(VLOOKUP($C170,REV!$C:$AL,36,0)-'TRADE IN'!$F170))</f>
        <v/>
      </c>
      <c r="AM170" s="55"/>
      <c r="AN170" s="55"/>
      <c r="AO170" s="55"/>
      <c r="AP170" s="55"/>
      <c r="AQ170" s="55"/>
      <c r="AR170" s="55"/>
      <c r="AS170" s="55"/>
      <c r="AT170" s="55"/>
      <c r="AU170" s="55"/>
      <c r="AV170" s="57"/>
      <c r="AW170" s="58" t="str">
        <f>REV!AW170</f>
        <v>03.11.2026</v>
      </c>
      <c r="AX170" s="147" t="str">
        <f>VLOOKUP(C170,REV!C:AX,48,0)</f>
        <v>5G</v>
      </c>
    </row>
    <row r="171" spans="1:50" ht="22" customHeight="1">
      <c r="A171" s="51" t="s">
        <v>63</v>
      </c>
      <c r="B171" s="52" t="s">
        <v>64</v>
      </c>
      <c r="C171" s="53">
        <v>4017420</v>
      </c>
      <c r="D171" s="65" t="s">
        <v>282</v>
      </c>
      <c r="E171" s="65" t="s">
        <v>283</v>
      </c>
      <c r="F171" s="55"/>
      <c r="G171" s="55"/>
      <c r="H171" s="55"/>
      <c r="I171" s="55"/>
      <c r="J171" s="56">
        <f>IF(VLOOKUP($C171,REV!$C:$AA,8,0)-'TRADE IN'!$F171=0,"",(VLOOKUP($C171,REV!$C:$AA,8,0)-'TRADE IN'!$F171))</f>
        <v>3399</v>
      </c>
      <c r="K171" s="56">
        <f>IF(VLOOKUP($C171,REV!$C:$AA,9,0)-'TRADE IN'!$F171=0,"",(VLOOKUP($C171,REV!$C:$AA,9,0)-'TRADE IN'!$F171))</f>
        <v>3399</v>
      </c>
      <c r="L171" s="56">
        <f>IF(VLOOKUP($C171,REV!$C:$AA,10,0)-'TRADE IN'!$F171=0,"",(VLOOKUP($C171,REV!$C:$AA,10,0)-'TRADE IN'!$F171))</f>
        <v>3399</v>
      </c>
      <c r="M171" s="56">
        <f>IF(VLOOKUP($C171,REV!$C:$AA,11,0)-'TRADE IN'!$F171=0,"",(VLOOKUP($C171,REV!$C:$AA,11,0)-'TRADE IN'!$F171))</f>
        <v>3399</v>
      </c>
      <c r="N171" s="56">
        <f>IF(VLOOKUP($C171,REV!$C:$AA,12,0)-'TRADE IN'!$F171=0,"",(VLOOKUP($C171,REV!$C:$AA,12,0)-'TRADE IN'!$F171))</f>
        <v>3399</v>
      </c>
      <c r="O171" s="56">
        <f>IF(VLOOKUP($C171,REV!$C:$AA,13,0)-'TRADE IN'!$F171=0,"",(VLOOKUP($C171,REV!$C:$AA,13,0)-'TRADE IN'!$F171))</f>
        <v>3299</v>
      </c>
      <c r="P171" s="56">
        <f>IF(VLOOKUP($C171,REV!$C:$AA,14,0)-'TRADE IN'!$F171=0,"",(VLOOKUP($C171,REV!$C:$AA,14,0)-'TRADE IN'!$F171))</f>
        <v>3199</v>
      </c>
      <c r="Q171" s="56">
        <f>IF(VLOOKUP($C171,REV!$C:$AA,15,0)-'TRADE IN'!$F171=0,"",(VLOOKUP($C171,REV!$C:$AA,15,0)-'TRADE IN'!$F171))</f>
        <v>2499</v>
      </c>
      <c r="R171" s="56">
        <f>IF(VLOOKUP($C171,REV!$C:$AA,16,0)-'TRADE IN'!$F171=0,"",(VLOOKUP($C171,REV!$C:$AA,16,0)-'TRADE IN'!$F171))</f>
        <v>3299</v>
      </c>
      <c r="S171" s="56">
        <f>IF(VLOOKUP($C171,REV!$C:$AA,17,0)-'TRADE IN'!$F171=0,"",(VLOOKUP($C171,REV!$C:$AA,17,0)-'TRADE IN'!$F171))</f>
        <v>3199</v>
      </c>
      <c r="T171" s="56">
        <f>IF(VLOOKUP($C171,REV!$C:$AA,18,0)-'TRADE IN'!$F171=0,"",(VLOOKUP($C171,REV!$C:$AA,18,0)-'TRADE IN'!$F171))</f>
        <v>2499</v>
      </c>
      <c r="U171" s="56">
        <f>IF(VLOOKUP($C171,REV!$C:$AA,19,0)-'TRADE IN'!$F171=0,"",(VLOOKUP($C171,REV!$C:$AA,19,0)-'TRADE IN'!$F171))</f>
        <v>2499</v>
      </c>
      <c r="V171" s="56">
        <f>IF(VLOOKUP($C171,REV!$C:$AA,20,0)-'TRADE IN'!$F171=0,"",(VLOOKUP($C171,REV!$C:$AA,20,0)-'TRADE IN'!$F171))</f>
        <v>2499</v>
      </c>
      <c r="W171" s="56">
        <f>IF(VLOOKUP($C171,REV!$C:$AA,21,0)-'TRADE IN'!$F171=0,"",(VLOOKUP($C171,REV!$C:$AA,21,0)-'TRADE IN'!$F171))</f>
        <v>2499</v>
      </c>
      <c r="X171" s="56">
        <f>IF(VLOOKUP($C171,REV!$C:$AA,22,0)-'TRADE IN'!$F171=0,"",(VLOOKUP($C171,REV!$C:$AA,22,0)-'TRADE IN'!$F171))</f>
        <v>2399</v>
      </c>
      <c r="Y171" s="56">
        <f>IF(VLOOKUP($C171,REV!$C:$AA,23,0)-'TRADE IN'!$F171=0,"",(VLOOKUP($C171,REV!$C:$AA,23,0)-'TRADE IN'!$F171))</f>
        <v>1799</v>
      </c>
      <c r="Z171" s="56">
        <f>IF(VLOOKUP($C171,REV!$C:$AA,24,0)-'TRADE IN'!$F171=0,"",(VLOOKUP($C171,REV!$C:$AA,24,0)-'TRADE IN'!$F171))</f>
        <v>1799</v>
      </c>
      <c r="AA171" s="56">
        <f>IF(VLOOKUP($C171,REV!$C:$AA,25,0)-'TRADE IN'!$F171=0,"",(VLOOKUP($C171,REV!$C:$AA,25,0)-'TRADE IN'!$F171))</f>
        <v>1499</v>
      </c>
      <c r="AB171" s="55">
        <f>IF(VLOOKUP($C171,REV!$C:$AL,27,0)-'TRADE IN'!$F171=0,"",(VLOOKUP($C171,REV!$C:$AL,27,0)-'TRADE IN'!$F171))</f>
        <v>3399</v>
      </c>
      <c r="AC171" s="55">
        <f>IF(VLOOKUP($C171,REV!$C:$AL,28,0)-'TRADE IN'!$F171=0,"",(VLOOKUP($C171,REV!$C:$AL,28,0)-'TRADE IN'!$F171))</f>
        <v>3399</v>
      </c>
      <c r="AD171" s="55">
        <f>IF(VLOOKUP($C171,REV!$C:$AL,29,0)-'TRADE IN'!$F171=0,"",(VLOOKUP($C171,REV!$C:$AL,29,0)-'TRADE IN'!$F171))</f>
        <v>3399</v>
      </c>
      <c r="AE171" s="55">
        <f>IF(VLOOKUP($C171,REV!$C:$AL,30,0)-'TRADE IN'!$F171=0,"",(VLOOKUP($C171,REV!$C:$AL,30,0)-'TRADE IN'!$F171))</f>
        <v>3299</v>
      </c>
      <c r="AF171" s="55">
        <f>IF(VLOOKUP($C171,REV!$C:$AL,31,0)-'TRADE IN'!$F171=0,"",(VLOOKUP($C171,REV!$C:$AL,31,0)-'TRADE IN'!$F171))</f>
        <v>3199</v>
      </c>
      <c r="AG171" s="55">
        <f>IF(VLOOKUP($C171,REV!$C:$AL,31,0)-'TRADE IN'!$F171=0,"",(VLOOKUP($C171,REV!$C:$AL,31,0)-'TRADE IN'!$F171))</f>
        <v>3199</v>
      </c>
      <c r="AH171" s="55">
        <f>IF(VLOOKUP($C171,REV!$C:$AL,32,0)-'TRADE IN'!$F171=0,"",(VLOOKUP($C171,REV!$C:$AL,32,0)-'TRADE IN'!$F171))</f>
        <v>2499</v>
      </c>
      <c r="AI171" s="55">
        <f>IF(VLOOKUP($C171,REV!$C:$AL,33,0)-'TRADE IN'!$F171=0,"",(VLOOKUP($C171,REV!$C:$AL,33,0)-'TRADE IN'!$F171))</f>
        <v>2499</v>
      </c>
      <c r="AJ171" s="55">
        <f>IF(VLOOKUP($C171,REV!$C:$AL,34,0)-'TRADE IN'!$F171=0,"",(VLOOKUP($C171,REV!$C:$AL,34,0)-'TRADE IN'!$F171))</f>
        <v>2499</v>
      </c>
      <c r="AK171" s="55">
        <f>IF(VLOOKUP($C171,REV!$C:$AL,35,0)-'TRADE IN'!$F171=0,"",(VLOOKUP($C171,REV!$C:$AL,35,0)-'TRADE IN'!$F171))</f>
        <v>2499</v>
      </c>
      <c r="AL171" s="55">
        <f>IF(VLOOKUP($C171,REV!$C:$AL,36,0)-'TRADE IN'!$F171=0,"",(VLOOKUP($C171,REV!$C:$AL,36,0)-'TRADE IN'!$F171))</f>
        <v>1799</v>
      </c>
      <c r="AM171" s="55"/>
      <c r="AN171" s="55"/>
      <c r="AO171" s="55"/>
      <c r="AP171" s="55"/>
      <c r="AQ171" s="55"/>
      <c r="AR171" s="55"/>
      <c r="AS171" s="55"/>
      <c r="AT171" s="55"/>
      <c r="AU171" s="55"/>
      <c r="AV171" s="57"/>
      <c r="AW171" s="58" t="str">
        <f>REV!AW171</f>
        <v>03.11.2026</v>
      </c>
      <c r="AX171" s="147" t="str">
        <f>VLOOKUP(C171,REV!C:AX,48,0)</f>
        <v>5G</v>
      </c>
    </row>
    <row r="172" spans="1:50" ht="22" customHeight="1">
      <c r="A172" s="51" t="s">
        <v>63</v>
      </c>
      <c r="B172" s="52" t="s">
        <v>64</v>
      </c>
      <c r="C172" s="53">
        <v>4017415</v>
      </c>
      <c r="D172" s="65" t="s">
        <v>282</v>
      </c>
      <c r="E172" s="65" t="s">
        <v>284</v>
      </c>
      <c r="F172" s="55"/>
      <c r="G172" s="55"/>
      <c r="H172" s="55"/>
      <c r="I172" s="55"/>
      <c r="J172" s="56">
        <f>IF(VLOOKUP($C172,REV!$C:$AA,8,0)-'TRADE IN'!$F172=0,"",(VLOOKUP($C172,REV!$C:$AA,8,0)-'TRADE IN'!$F172))</f>
        <v>3399</v>
      </c>
      <c r="K172" s="56">
        <f>IF(VLOOKUP($C172,REV!$C:$AA,9,0)-'TRADE IN'!$F172=0,"",(VLOOKUP($C172,REV!$C:$AA,9,0)-'TRADE IN'!$F172))</f>
        <v>3399</v>
      </c>
      <c r="L172" s="56">
        <f>IF(VLOOKUP($C172,REV!$C:$AA,10,0)-'TRADE IN'!$F172=0,"",(VLOOKUP($C172,REV!$C:$AA,10,0)-'TRADE IN'!$F172))</f>
        <v>3399</v>
      </c>
      <c r="M172" s="56">
        <f>IF(VLOOKUP($C172,REV!$C:$AA,11,0)-'TRADE IN'!$F172=0,"",(VLOOKUP($C172,REV!$C:$AA,11,0)-'TRADE IN'!$F172))</f>
        <v>3399</v>
      </c>
      <c r="N172" s="56">
        <f>IF(VLOOKUP($C172,REV!$C:$AA,12,0)-'TRADE IN'!$F172=0,"",(VLOOKUP($C172,REV!$C:$AA,12,0)-'TRADE IN'!$F172))</f>
        <v>3399</v>
      </c>
      <c r="O172" s="56">
        <f>IF(VLOOKUP($C172,REV!$C:$AA,13,0)-'TRADE IN'!$F172=0,"",(VLOOKUP($C172,REV!$C:$AA,13,0)-'TRADE IN'!$F172))</f>
        <v>3299</v>
      </c>
      <c r="P172" s="56">
        <f>IF(VLOOKUP($C172,REV!$C:$AA,14,0)-'TRADE IN'!$F172=0,"",(VLOOKUP($C172,REV!$C:$AA,14,0)-'TRADE IN'!$F172))</f>
        <v>3199</v>
      </c>
      <c r="Q172" s="56">
        <f>IF(VLOOKUP($C172,REV!$C:$AA,15,0)-'TRADE IN'!$F172=0,"",(VLOOKUP($C172,REV!$C:$AA,15,0)-'TRADE IN'!$F172))</f>
        <v>2499</v>
      </c>
      <c r="R172" s="56">
        <f>IF(VLOOKUP($C172,REV!$C:$AA,16,0)-'TRADE IN'!$F172=0,"",(VLOOKUP($C172,REV!$C:$AA,16,0)-'TRADE IN'!$F172))</f>
        <v>3299</v>
      </c>
      <c r="S172" s="56">
        <f>IF(VLOOKUP($C172,REV!$C:$AA,17,0)-'TRADE IN'!$F172=0,"",(VLOOKUP($C172,REV!$C:$AA,17,0)-'TRADE IN'!$F172))</f>
        <v>3199</v>
      </c>
      <c r="T172" s="56">
        <f>IF(VLOOKUP($C172,REV!$C:$AA,18,0)-'TRADE IN'!$F172=0,"",(VLOOKUP($C172,REV!$C:$AA,18,0)-'TRADE IN'!$F172))</f>
        <v>2499</v>
      </c>
      <c r="U172" s="56">
        <f>IF(VLOOKUP($C172,REV!$C:$AA,19,0)-'TRADE IN'!$F172=0,"",(VLOOKUP($C172,REV!$C:$AA,19,0)-'TRADE IN'!$F172))</f>
        <v>2499</v>
      </c>
      <c r="V172" s="56">
        <f>IF(VLOOKUP($C172,REV!$C:$AA,20,0)-'TRADE IN'!$F172=0,"",(VLOOKUP($C172,REV!$C:$AA,20,0)-'TRADE IN'!$F172))</f>
        <v>2499</v>
      </c>
      <c r="W172" s="56">
        <f>IF(VLOOKUP($C172,REV!$C:$AA,21,0)-'TRADE IN'!$F172=0,"",(VLOOKUP($C172,REV!$C:$AA,21,0)-'TRADE IN'!$F172))</f>
        <v>2499</v>
      </c>
      <c r="X172" s="56">
        <f>IF(VLOOKUP($C172,REV!$C:$AA,22,0)-'TRADE IN'!$F172=0,"",(VLOOKUP($C172,REV!$C:$AA,22,0)-'TRADE IN'!$F172))</f>
        <v>2399</v>
      </c>
      <c r="Y172" s="56">
        <f>IF(VLOOKUP($C172,REV!$C:$AA,23,0)-'TRADE IN'!$F172=0,"",(VLOOKUP($C172,REV!$C:$AA,23,0)-'TRADE IN'!$F172))</f>
        <v>1799</v>
      </c>
      <c r="Z172" s="56">
        <f>IF(VLOOKUP($C172,REV!$C:$AA,24,0)-'TRADE IN'!$F172=0,"",(VLOOKUP($C172,REV!$C:$AA,24,0)-'TRADE IN'!$F172))</f>
        <v>1799</v>
      </c>
      <c r="AA172" s="56">
        <f>IF(VLOOKUP($C172,REV!$C:$AA,25,0)-'TRADE IN'!$F172=0,"",(VLOOKUP($C172,REV!$C:$AA,25,0)-'TRADE IN'!$F172))</f>
        <v>1499</v>
      </c>
      <c r="AB172" s="55">
        <f>IF(VLOOKUP($C172,REV!$C:$AL,27,0)-'TRADE IN'!$F172=0,"",(VLOOKUP($C172,REV!$C:$AL,27,0)-'TRADE IN'!$F172))</f>
        <v>3399</v>
      </c>
      <c r="AC172" s="55">
        <f>IF(VLOOKUP($C172,REV!$C:$AL,28,0)-'TRADE IN'!$F172=0,"",(VLOOKUP($C172,REV!$C:$AL,28,0)-'TRADE IN'!$F172))</f>
        <v>3399</v>
      </c>
      <c r="AD172" s="55">
        <f>IF(VLOOKUP($C172,REV!$C:$AL,29,0)-'TRADE IN'!$F172=0,"",(VLOOKUP($C172,REV!$C:$AL,29,0)-'TRADE IN'!$F172))</f>
        <v>3399</v>
      </c>
      <c r="AE172" s="55">
        <f>IF(VLOOKUP($C172,REV!$C:$AL,30,0)-'TRADE IN'!$F172=0,"",(VLOOKUP($C172,REV!$C:$AL,30,0)-'TRADE IN'!$F172))</f>
        <v>3299</v>
      </c>
      <c r="AF172" s="55">
        <f>IF(VLOOKUP($C172,REV!$C:$AL,31,0)-'TRADE IN'!$F172=0,"",(VLOOKUP($C172,REV!$C:$AL,31,0)-'TRADE IN'!$F172))</f>
        <v>3199</v>
      </c>
      <c r="AG172" s="55">
        <f>IF(VLOOKUP($C172,REV!$C:$AL,31,0)-'TRADE IN'!$F172=0,"",(VLOOKUP($C172,REV!$C:$AL,31,0)-'TRADE IN'!$F172))</f>
        <v>3199</v>
      </c>
      <c r="AH172" s="55">
        <f>IF(VLOOKUP($C172,REV!$C:$AL,32,0)-'TRADE IN'!$F172=0,"",(VLOOKUP($C172,REV!$C:$AL,32,0)-'TRADE IN'!$F172))</f>
        <v>2499</v>
      </c>
      <c r="AI172" s="55">
        <f>IF(VLOOKUP($C172,REV!$C:$AL,33,0)-'TRADE IN'!$F172=0,"",(VLOOKUP($C172,REV!$C:$AL,33,0)-'TRADE IN'!$F172))</f>
        <v>2499</v>
      </c>
      <c r="AJ172" s="55">
        <f>IF(VLOOKUP($C172,REV!$C:$AL,34,0)-'TRADE IN'!$F172=0,"",(VLOOKUP($C172,REV!$C:$AL,34,0)-'TRADE IN'!$F172))</f>
        <v>2499</v>
      </c>
      <c r="AK172" s="55">
        <f>IF(VLOOKUP($C172,REV!$C:$AL,35,0)-'TRADE IN'!$F172=0,"",(VLOOKUP($C172,REV!$C:$AL,35,0)-'TRADE IN'!$F172))</f>
        <v>2499</v>
      </c>
      <c r="AL172" s="55">
        <f>IF(VLOOKUP($C172,REV!$C:$AL,36,0)-'TRADE IN'!$F172=0,"",(VLOOKUP($C172,REV!$C:$AL,36,0)-'TRADE IN'!$F172))</f>
        <v>1799</v>
      </c>
      <c r="AM172" s="55"/>
      <c r="AN172" s="55"/>
      <c r="AO172" s="55"/>
      <c r="AP172" s="55"/>
      <c r="AQ172" s="55"/>
      <c r="AR172" s="55"/>
      <c r="AS172" s="55"/>
      <c r="AT172" s="55"/>
      <c r="AU172" s="55"/>
      <c r="AV172" s="57"/>
      <c r="AW172" s="58" t="str">
        <f>REV!AW172</f>
        <v>03.11.2026</v>
      </c>
      <c r="AX172" s="147" t="str">
        <f>VLOOKUP(C172,REV!C:AX,48,0)</f>
        <v>5G</v>
      </c>
    </row>
    <row r="173" spans="1:50" ht="22" customHeight="1">
      <c r="A173" s="51" t="s">
        <v>63</v>
      </c>
      <c r="B173" s="52" t="s">
        <v>64</v>
      </c>
      <c r="C173" s="53">
        <v>4017041</v>
      </c>
      <c r="D173" s="65" t="s">
        <v>285</v>
      </c>
      <c r="E173" s="65" t="s">
        <v>286</v>
      </c>
      <c r="F173" s="55"/>
      <c r="G173" s="55"/>
      <c r="H173" s="55"/>
      <c r="I173" s="55"/>
      <c r="J173" s="56">
        <f>IF(VLOOKUP($C173,REV!$C:$AA,8,0)-'TRADE IN'!$F173=0,"",(VLOOKUP($C173,REV!$C:$AA,8,0)-'TRADE IN'!$F173))</f>
        <v>2999</v>
      </c>
      <c r="K173" s="56">
        <f>IF(VLOOKUP($C173,REV!$C:$AA,9,0)-'TRADE IN'!$F173=0,"",(VLOOKUP($C173,REV!$C:$AA,9,0)-'TRADE IN'!$F173))</f>
        <v>2999</v>
      </c>
      <c r="L173" s="56">
        <f>IF(VLOOKUP($C173,REV!$C:$AA,10,0)-'TRADE IN'!$F173=0,"",(VLOOKUP($C173,REV!$C:$AA,10,0)-'TRADE IN'!$F173))</f>
        <v>2999</v>
      </c>
      <c r="M173" s="56">
        <f>IF(VLOOKUP($C173,REV!$C:$AA,11,0)-'TRADE IN'!$F173=0,"",(VLOOKUP($C173,REV!$C:$AA,11,0)-'TRADE IN'!$F173))</f>
        <v>2999</v>
      </c>
      <c r="N173" s="56">
        <f>IF(VLOOKUP($C173,REV!$C:$AA,12,0)-'TRADE IN'!$F173=0,"",(VLOOKUP($C173,REV!$C:$AA,12,0)-'TRADE IN'!$F173))</f>
        <v>2999</v>
      </c>
      <c r="O173" s="56">
        <f>IF(VLOOKUP($C173,REV!$C:$AA,13,0)-'TRADE IN'!$F173=0,"",(VLOOKUP($C173,REV!$C:$AA,13,0)-'TRADE IN'!$F173))</f>
        <v>2899</v>
      </c>
      <c r="P173" s="56">
        <f>IF(VLOOKUP($C173,REV!$C:$AA,14,0)-'TRADE IN'!$F173=0,"",(VLOOKUP($C173,REV!$C:$AA,14,0)-'TRADE IN'!$F173))</f>
        <v>2799</v>
      </c>
      <c r="Q173" s="56">
        <f>IF(VLOOKUP($C173,REV!$C:$AA,15,0)-'TRADE IN'!$F173=0,"",(VLOOKUP($C173,REV!$C:$AA,15,0)-'TRADE IN'!$F173))</f>
        <v>1499</v>
      </c>
      <c r="R173" s="56">
        <f>IF(VLOOKUP($C173,REV!$C:$AA,16,0)-'TRADE IN'!$F173=0,"",(VLOOKUP($C173,REV!$C:$AA,16,0)-'TRADE IN'!$F173))</f>
        <v>2899</v>
      </c>
      <c r="S173" s="56">
        <f>IF(VLOOKUP($C173,REV!$C:$AA,17,0)-'TRADE IN'!$F173=0,"",(VLOOKUP($C173,REV!$C:$AA,17,0)-'TRADE IN'!$F173))</f>
        <v>2799</v>
      </c>
      <c r="T173" s="56">
        <f>IF(VLOOKUP($C173,REV!$C:$AA,18,0)-'TRADE IN'!$F173=0,"",(VLOOKUP($C173,REV!$C:$AA,18,0)-'TRADE IN'!$F173))</f>
        <v>1499</v>
      </c>
      <c r="U173" s="56">
        <f>IF(VLOOKUP($C173,REV!$C:$AA,19,0)-'TRADE IN'!$F173=0,"",(VLOOKUP($C173,REV!$C:$AA,19,0)-'TRADE IN'!$F173))</f>
        <v>1499</v>
      </c>
      <c r="V173" s="56">
        <f>IF(VLOOKUP($C173,REV!$C:$AA,20,0)-'TRADE IN'!$F173=0,"",(VLOOKUP($C173,REV!$C:$AA,20,0)-'TRADE IN'!$F173))</f>
        <v>1499</v>
      </c>
      <c r="W173" s="56">
        <f>IF(VLOOKUP($C173,REV!$C:$AA,21,0)-'TRADE IN'!$F173=0,"",(VLOOKUP($C173,REV!$C:$AA,21,0)-'TRADE IN'!$F173))</f>
        <v>1499</v>
      </c>
      <c r="X173" s="56">
        <f>IF(VLOOKUP($C173,REV!$C:$AA,22,0)-'TRADE IN'!$F173=0,"",(VLOOKUP($C173,REV!$C:$AA,22,0)-'TRADE IN'!$F173))</f>
        <v>1499</v>
      </c>
      <c r="Y173" s="56">
        <f>IF(VLOOKUP($C173,REV!$C:$AA,23,0)-'TRADE IN'!$F173=0,"",(VLOOKUP($C173,REV!$C:$AA,23,0)-'TRADE IN'!$F173))</f>
        <v>1499</v>
      </c>
      <c r="Z173" s="56">
        <f>IF(VLOOKUP($C173,REV!$C:$AA,24,0)-'TRADE IN'!$F173=0,"",(VLOOKUP($C173,REV!$C:$AA,24,0)-'TRADE IN'!$F173))</f>
        <v>1499</v>
      </c>
      <c r="AA173" s="56">
        <f>IF(VLOOKUP($C173,REV!$C:$AA,25,0)-'TRADE IN'!$F173=0,"",(VLOOKUP($C173,REV!$C:$AA,25,0)-'TRADE IN'!$F173))</f>
        <v>1499</v>
      </c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7"/>
      <c r="AW173" s="58" t="str">
        <f>REV!AW173</f>
        <v>03.11.2026</v>
      </c>
      <c r="AX173" s="147" t="str">
        <f>VLOOKUP(C173,REV!C:AX,48,0)</f>
        <v>5G</v>
      </c>
    </row>
    <row r="174" spans="1:50" ht="22" customHeight="1">
      <c r="A174" s="51" t="s">
        <v>63</v>
      </c>
      <c r="B174" s="52" t="s">
        <v>64</v>
      </c>
      <c r="C174" s="53">
        <v>4017646</v>
      </c>
      <c r="D174" s="65" t="s">
        <v>287</v>
      </c>
      <c r="E174" s="65" t="s">
        <v>288</v>
      </c>
      <c r="F174" s="55"/>
      <c r="G174" s="55"/>
      <c r="H174" s="55"/>
      <c r="I174" s="55"/>
      <c r="J174" s="56">
        <f>IF(VLOOKUP($C174,REV!$C:$AA,8,0)-'TRADE IN'!$F174=0,"",(VLOOKUP($C174,REV!$C:$AA,8,0)-'TRADE IN'!$F174))</f>
        <v>4899</v>
      </c>
      <c r="K174" s="56">
        <f>IF(VLOOKUP($C174,REV!$C:$AA,9,0)-'TRADE IN'!$F174=0,"",(VLOOKUP($C174,REV!$C:$AA,9,0)-'TRADE IN'!$F174))</f>
        <v>4899</v>
      </c>
      <c r="L174" s="56">
        <f>IF(VLOOKUP($C174,REV!$C:$AA,10,0)-'TRADE IN'!$F174=0,"",(VLOOKUP($C174,REV!$C:$AA,10,0)-'TRADE IN'!$F174))</f>
        <v>4899</v>
      </c>
      <c r="M174" s="56">
        <f>IF(VLOOKUP($C174,REV!$C:$AA,11,0)-'TRADE IN'!$F174=0,"",(VLOOKUP($C174,REV!$C:$AA,11,0)-'TRADE IN'!$F174))</f>
        <v>4899</v>
      </c>
      <c r="N174" s="56">
        <f>IF(VLOOKUP($C174,REV!$C:$AA,12,0)-'TRADE IN'!$F174=0,"",(VLOOKUP($C174,REV!$C:$AA,12,0)-'TRADE IN'!$F174))</f>
        <v>4899</v>
      </c>
      <c r="O174" s="56">
        <f>IF(VLOOKUP($C174,REV!$C:$AA,13,0)-'TRADE IN'!$F174=0,"",(VLOOKUP($C174,REV!$C:$AA,13,0)-'TRADE IN'!$F174))</f>
        <v>4799</v>
      </c>
      <c r="P174" s="56">
        <f>IF(VLOOKUP($C174,REV!$C:$AA,14,0)-'TRADE IN'!$F174=0,"",(VLOOKUP($C174,REV!$C:$AA,14,0)-'TRADE IN'!$F174))</f>
        <v>4699</v>
      </c>
      <c r="Q174" s="56">
        <f>IF(VLOOKUP($C174,REV!$C:$AA,15,0)-'TRADE IN'!$F174=0,"",(VLOOKUP($C174,REV!$C:$AA,15,0)-'TRADE IN'!$F174))</f>
        <v>3499</v>
      </c>
      <c r="R174" s="56">
        <f>IF(VLOOKUP($C174,REV!$C:$AA,16,0)-'TRADE IN'!$F174=0,"",(VLOOKUP($C174,REV!$C:$AA,16,0)-'TRADE IN'!$F174))</f>
        <v>4799</v>
      </c>
      <c r="S174" s="56">
        <f>IF(VLOOKUP($C174,REV!$C:$AA,17,0)-'TRADE IN'!$F174=0,"",(VLOOKUP($C174,REV!$C:$AA,17,0)-'TRADE IN'!$F174))</f>
        <v>4699</v>
      </c>
      <c r="T174" s="56">
        <f>IF(VLOOKUP($C174,REV!$C:$AA,18,0)-'TRADE IN'!$F174=0,"",(VLOOKUP($C174,REV!$C:$AA,18,0)-'TRADE IN'!$F174))</f>
        <v>3499</v>
      </c>
      <c r="U174" s="56">
        <f>IF(VLOOKUP($C174,REV!$C:$AA,19,0)-'TRADE IN'!$F174=0,"",(VLOOKUP($C174,REV!$C:$AA,19,0)-'TRADE IN'!$F174))</f>
        <v>3499</v>
      </c>
      <c r="V174" s="56">
        <f>IF(VLOOKUP($C174,REV!$C:$AA,20,0)-'TRADE IN'!$F174=0,"",(VLOOKUP($C174,REV!$C:$AA,20,0)-'TRADE IN'!$F174))</f>
        <v>3499</v>
      </c>
      <c r="W174" s="56">
        <f>IF(VLOOKUP($C174,REV!$C:$AA,21,0)-'TRADE IN'!$F174=0,"",(VLOOKUP($C174,REV!$C:$AA,21,0)-'TRADE IN'!$F174))</f>
        <v>3499</v>
      </c>
      <c r="X174" s="56">
        <f>IF(VLOOKUP($C174,REV!$C:$AA,22,0)-'TRADE IN'!$F174=0,"",(VLOOKUP($C174,REV!$C:$AA,22,0)-'TRADE IN'!$F174))</f>
        <v>3399</v>
      </c>
      <c r="Y174" s="56">
        <f>IF(VLOOKUP($C174,REV!$C:$AA,23,0)-'TRADE IN'!$F174=0,"",(VLOOKUP($C174,REV!$C:$AA,23,0)-'TRADE IN'!$F174))</f>
        <v>1999</v>
      </c>
      <c r="Z174" s="56">
        <f>IF(VLOOKUP($C174,REV!$C:$AA,24,0)-'TRADE IN'!$F174=0,"",(VLOOKUP($C174,REV!$C:$AA,24,0)-'TRADE IN'!$F174))</f>
        <v>1999</v>
      </c>
      <c r="AA174" s="56">
        <f>IF(VLOOKUP($C174,REV!$C:$AA,25,0)-'TRADE IN'!$F174=0,"",(VLOOKUP($C174,REV!$C:$AA,25,0)-'TRADE IN'!$F174))</f>
        <v>1799</v>
      </c>
      <c r="AB174" s="55">
        <f>IF(VLOOKUP($C174,REV!$C:$AL,27,0)-'TRADE IN'!$F174=0,"",(VLOOKUP($C174,REV!$C:$AL,27,0)-'TRADE IN'!$F174))</f>
        <v>4899</v>
      </c>
      <c r="AC174" s="55">
        <f>IF(VLOOKUP($C174,REV!$C:$AL,28,0)-'TRADE IN'!$F174=0,"",(VLOOKUP($C174,REV!$C:$AL,28,0)-'TRADE IN'!$F174))</f>
        <v>4899</v>
      </c>
      <c r="AD174" s="55">
        <f>IF(VLOOKUP($C174,REV!$C:$AL,29,0)-'TRADE IN'!$F174=0,"",(VLOOKUP($C174,REV!$C:$AL,29,0)-'TRADE IN'!$F174))</f>
        <v>4899</v>
      </c>
      <c r="AE174" s="55">
        <f>IF(VLOOKUP($C174,REV!$C:$AL,30,0)-'TRADE IN'!$F174=0,"",(VLOOKUP($C174,REV!$C:$AL,30,0)-'TRADE IN'!$F174))</f>
        <v>4799</v>
      </c>
      <c r="AF174" s="55">
        <f>IF(VLOOKUP($C174,REV!$C:$AL,31,0)-'TRADE IN'!$F174=0,"",(VLOOKUP($C174,REV!$C:$AL,31,0)-'TRADE IN'!$F174))</f>
        <v>4699</v>
      </c>
      <c r="AG174" s="55">
        <f>IF(VLOOKUP($C174,REV!$C:$AL,31,0)-'TRADE IN'!$F174=0,"",(VLOOKUP($C174,REV!$C:$AL,31,0)-'TRADE IN'!$F174))</f>
        <v>4699</v>
      </c>
      <c r="AH174" s="55">
        <f>IF(VLOOKUP($C174,REV!$C:$AL,32,0)-'TRADE IN'!$F174=0,"",(VLOOKUP($C174,REV!$C:$AL,32,0)-'TRADE IN'!$F174))</f>
        <v>3499</v>
      </c>
      <c r="AI174" s="55">
        <f>IF(VLOOKUP($C174,REV!$C:$AL,33,0)-'TRADE IN'!$F174=0,"",(VLOOKUP($C174,REV!$C:$AL,33,0)-'TRADE IN'!$F174))</f>
        <v>3499</v>
      </c>
      <c r="AJ174" s="55">
        <f>IF(VLOOKUP($C174,REV!$C:$AL,34,0)-'TRADE IN'!$F174=0,"",(VLOOKUP($C174,REV!$C:$AL,34,0)-'TRADE IN'!$F174))</f>
        <v>3499</v>
      </c>
      <c r="AK174" s="55">
        <f>IF(VLOOKUP($C174,REV!$C:$AL,35,0)-'TRADE IN'!$F174=0,"",(VLOOKUP($C174,REV!$C:$AL,35,0)-'TRADE IN'!$F174))</f>
        <v>3499</v>
      </c>
      <c r="AL174" s="55">
        <f>IF(VLOOKUP($C174,REV!$C:$AL,36,0)-'TRADE IN'!$F174=0,"",(VLOOKUP($C174,REV!$C:$AL,36,0)-'TRADE IN'!$F174))</f>
        <v>1999</v>
      </c>
      <c r="AM174" s="55"/>
      <c r="AN174" s="55"/>
      <c r="AO174" s="55"/>
      <c r="AP174" s="55"/>
      <c r="AQ174" s="55"/>
      <c r="AR174" s="55"/>
      <c r="AS174" s="55"/>
      <c r="AT174" s="55"/>
      <c r="AU174" s="55"/>
      <c r="AV174" s="57"/>
      <c r="AW174" s="58" t="str">
        <f>REV!AW174</f>
        <v>03.11.2026</v>
      </c>
      <c r="AX174" s="147" t="str">
        <f>VLOOKUP(C174,REV!C:AX,48,0)</f>
        <v>5G</v>
      </c>
    </row>
    <row r="175" spans="1:50" ht="22" customHeight="1">
      <c r="A175" s="51" t="s">
        <v>63</v>
      </c>
      <c r="B175" s="52" t="s">
        <v>64</v>
      </c>
      <c r="C175" s="53">
        <v>4017644</v>
      </c>
      <c r="D175" s="65" t="s">
        <v>287</v>
      </c>
      <c r="E175" s="65" t="s">
        <v>289</v>
      </c>
      <c r="F175" s="55"/>
      <c r="G175" s="55"/>
      <c r="H175" s="55"/>
      <c r="I175" s="55"/>
      <c r="J175" s="56">
        <f>IF(VLOOKUP($C175,REV!$C:$AA,8,0)-'TRADE IN'!$F175=0,"",(VLOOKUP($C175,REV!$C:$AA,8,0)-'TRADE IN'!$F175))</f>
        <v>4899</v>
      </c>
      <c r="K175" s="56">
        <f>IF(VLOOKUP($C175,REV!$C:$AA,9,0)-'TRADE IN'!$F175=0,"",(VLOOKUP($C175,REV!$C:$AA,9,0)-'TRADE IN'!$F175))</f>
        <v>4899</v>
      </c>
      <c r="L175" s="56">
        <f>IF(VLOOKUP($C175,REV!$C:$AA,10,0)-'TRADE IN'!$F175=0,"",(VLOOKUP($C175,REV!$C:$AA,10,0)-'TRADE IN'!$F175))</f>
        <v>4899</v>
      </c>
      <c r="M175" s="56">
        <f>IF(VLOOKUP($C175,REV!$C:$AA,11,0)-'TRADE IN'!$F175=0,"",(VLOOKUP($C175,REV!$C:$AA,11,0)-'TRADE IN'!$F175))</f>
        <v>4899</v>
      </c>
      <c r="N175" s="56">
        <f>IF(VLOOKUP($C175,REV!$C:$AA,12,0)-'TRADE IN'!$F175=0,"",(VLOOKUP($C175,REV!$C:$AA,12,0)-'TRADE IN'!$F175))</f>
        <v>4899</v>
      </c>
      <c r="O175" s="56">
        <f>IF(VLOOKUP($C175,REV!$C:$AA,13,0)-'TRADE IN'!$F175=0,"",(VLOOKUP($C175,REV!$C:$AA,13,0)-'TRADE IN'!$F175))</f>
        <v>4799</v>
      </c>
      <c r="P175" s="56">
        <f>IF(VLOOKUP($C175,REV!$C:$AA,14,0)-'TRADE IN'!$F175=0,"",(VLOOKUP($C175,REV!$C:$AA,14,0)-'TRADE IN'!$F175))</f>
        <v>4699</v>
      </c>
      <c r="Q175" s="56">
        <f>IF(VLOOKUP($C175,REV!$C:$AA,15,0)-'TRADE IN'!$F175=0,"",(VLOOKUP($C175,REV!$C:$AA,15,0)-'TRADE IN'!$F175))</f>
        <v>3499</v>
      </c>
      <c r="R175" s="56">
        <f>IF(VLOOKUP($C175,REV!$C:$AA,16,0)-'TRADE IN'!$F175=0,"",(VLOOKUP($C175,REV!$C:$AA,16,0)-'TRADE IN'!$F175))</f>
        <v>4799</v>
      </c>
      <c r="S175" s="56">
        <f>IF(VLOOKUP($C175,REV!$C:$AA,17,0)-'TRADE IN'!$F175=0,"",(VLOOKUP($C175,REV!$C:$AA,17,0)-'TRADE IN'!$F175))</f>
        <v>4699</v>
      </c>
      <c r="T175" s="56">
        <f>IF(VLOOKUP($C175,REV!$C:$AA,18,0)-'TRADE IN'!$F175=0,"",(VLOOKUP($C175,REV!$C:$AA,18,0)-'TRADE IN'!$F175))</f>
        <v>3499</v>
      </c>
      <c r="U175" s="56">
        <f>IF(VLOOKUP($C175,REV!$C:$AA,19,0)-'TRADE IN'!$F175=0,"",(VLOOKUP($C175,REV!$C:$AA,19,0)-'TRADE IN'!$F175))</f>
        <v>3499</v>
      </c>
      <c r="V175" s="56">
        <f>IF(VLOOKUP($C175,REV!$C:$AA,20,0)-'TRADE IN'!$F175=0,"",(VLOOKUP($C175,REV!$C:$AA,20,0)-'TRADE IN'!$F175))</f>
        <v>3499</v>
      </c>
      <c r="W175" s="56">
        <f>IF(VLOOKUP($C175,REV!$C:$AA,21,0)-'TRADE IN'!$F175=0,"",(VLOOKUP($C175,REV!$C:$AA,21,0)-'TRADE IN'!$F175))</f>
        <v>3499</v>
      </c>
      <c r="X175" s="56">
        <f>IF(VLOOKUP($C175,REV!$C:$AA,22,0)-'TRADE IN'!$F175=0,"",(VLOOKUP($C175,REV!$C:$AA,22,0)-'TRADE IN'!$F175))</f>
        <v>3399</v>
      </c>
      <c r="Y175" s="56">
        <f>IF(VLOOKUP($C175,REV!$C:$AA,23,0)-'TRADE IN'!$F175=0,"",(VLOOKUP($C175,REV!$C:$AA,23,0)-'TRADE IN'!$F175))</f>
        <v>1999</v>
      </c>
      <c r="Z175" s="56">
        <f>IF(VLOOKUP($C175,REV!$C:$AA,24,0)-'TRADE IN'!$F175=0,"",(VLOOKUP($C175,REV!$C:$AA,24,0)-'TRADE IN'!$F175))</f>
        <v>1999</v>
      </c>
      <c r="AA175" s="56">
        <f>IF(VLOOKUP($C175,REV!$C:$AA,25,0)-'TRADE IN'!$F175=0,"",(VLOOKUP($C175,REV!$C:$AA,25,0)-'TRADE IN'!$F175))</f>
        <v>1799</v>
      </c>
      <c r="AB175" s="55">
        <f>IF(VLOOKUP($C175,REV!$C:$AL,27,0)-'TRADE IN'!$F175=0,"",(VLOOKUP($C175,REV!$C:$AL,27,0)-'TRADE IN'!$F175))</f>
        <v>4899</v>
      </c>
      <c r="AC175" s="55">
        <f>IF(VLOOKUP($C175,REV!$C:$AL,28,0)-'TRADE IN'!$F175=0,"",(VLOOKUP($C175,REV!$C:$AL,28,0)-'TRADE IN'!$F175))</f>
        <v>4899</v>
      </c>
      <c r="AD175" s="55">
        <f>IF(VLOOKUP($C175,REV!$C:$AL,29,0)-'TRADE IN'!$F175=0,"",(VLOOKUP($C175,REV!$C:$AL,29,0)-'TRADE IN'!$F175))</f>
        <v>4899</v>
      </c>
      <c r="AE175" s="55">
        <f>IF(VLOOKUP($C175,REV!$C:$AL,30,0)-'TRADE IN'!$F175=0,"",(VLOOKUP($C175,REV!$C:$AL,30,0)-'TRADE IN'!$F175))</f>
        <v>4799</v>
      </c>
      <c r="AF175" s="55">
        <f>IF(VLOOKUP($C175,REV!$C:$AL,31,0)-'TRADE IN'!$F175=0,"",(VLOOKUP($C175,REV!$C:$AL,31,0)-'TRADE IN'!$F175))</f>
        <v>4699</v>
      </c>
      <c r="AG175" s="55">
        <f>IF(VLOOKUP($C175,REV!$C:$AL,31,0)-'TRADE IN'!$F175=0,"",(VLOOKUP($C175,REV!$C:$AL,31,0)-'TRADE IN'!$F175))</f>
        <v>4699</v>
      </c>
      <c r="AH175" s="55">
        <f>IF(VLOOKUP($C175,REV!$C:$AL,32,0)-'TRADE IN'!$F175=0,"",(VLOOKUP($C175,REV!$C:$AL,32,0)-'TRADE IN'!$F175))</f>
        <v>3499</v>
      </c>
      <c r="AI175" s="55">
        <f>IF(VLOOKUP($C175,REV!$C:$AL,33,0)-'TRADE IN'!$F175=0,"",(VLOOKUP($C175,REV!$C:$AL,33,0)-'TRADE IN'!$F175))</f>
        <v>3499</v>
      </c>
      <c r="AJ175" s="55">
        <f>IF(VLOOKUP($C175,REV!$C:$AL,34,0)-'TRADE IN'!$F175=0,"",(VLOOKUP($C175,REV!$C:$AL,34,0)-'TRADE IN'!$F175))</f>
        <v>3499</v>
      </c>
      <c r="AK175" s="55">
        <f>IF(VLOOKUP($C175,REV!$C:$AL,35,0)-'TRADE IN'!$F175=0,"",(VLOOKUP($C175,REV!$C:$AL,35,0)-'TRADE IN'!$F175))</f>
        <v>3499</v>
      </c>
      <c r="AL175" s="55">
        <f>IF(VLOOKUP($C175,REV!$C:$AL,36,0)-'TRADE IN'!$F175=0,"",(VLOOKUP($C175,REV!$C:$AL,36,0)-'TRADE IN'!$F175))</f>
        <v>1999</v>
      </c>
      <c r="AM175" s="55"/>
      <c r="AN175" s="55"/>
      <c r="AO175" s="55"/>
      <c r="AP175" s="55"/>
      <c r="AQ175" s="55"/>
      <c r="AR175" s="55"/>
      <c r="AS175" s="55"/>
      <c r="AT175" s="55"/>
      <c r="AU175" s="55"/>
      <c r="AV175" s="57"/>
      <c r="AW175" s="58" t="str">
        <f>REV!AW175</f>
        <v>03.11.2026</v>
      </c>
      <c r="AX175" s="147" t="str">
        <f>VLOOKUP(C175,REV!C:AX,48,0)</f>
        <v>5G</v>
      </c>
    </row>
    <row r="176" spans="1:50" ht="22" customHeight="1">
      <c r="A176" s="51" t="s">
        <v>63</v>
      </c>
      <c r="B176" s="52" t="s">
        <v>64</v>
      </c>
      <c r="C176" s="53">
        <v>4018070</v>
      </c>
      <c r="D176" s="65" t="s">
        <v>290</v>
      </c>
      <c r="E176" s="65" t="s">
        <v>291</v>
      </c>
      <c r="F176" s="55"/>
      <c r="G176" s="55"/>
      <c r="H176" s="55"/>
      <c r="I176" s="55"/>
      <c r="J176" s="56">
        <f>IF(VLOOKUP($C176,REV!$C:$AA,8,0)-'TRADE IN'!$F176=0,"",(VLOOKUP($C176,REV!$C:$AA,8,0)-'TRADE IN'!$F176))</f>
        <v>2699</v>
      </c>
      <c r="K176" s="56">
        <f>IF(VLOOKUP($C176,REV!$C:$AA,9,0)-'TRADE IN'!$F176=0,"",(VLOOKUP($C176,REV!$C:$AA,9,0)-'TRADE IN'!$F176))</f>
        <v>2699</v>
      </c>
      <c r="L176" s="56">
        <f>IF(VLOOKUP($C176,REV!$C:$AA,10,0)-'TRADE IN'!$F176=0,"",(VLOOKUP($C176,REV!$C:$AA,10,0)-'TRADE IN'!$F176))</f>
        <v>2699</v>
      </c>
      <c r="M176" s="56">
        <f>IF(VLOOKUP($C176,REV!$C:$AA,11,0)-'TRADE IN'!$F176=0,"",(VLOOKUP($C176,REV!$C:$AA,11,0)-'TRADE IN'!$F176))</f>
        <v>2699</v>
      </c>
      <c r="N176" s="56">
        <f>IF(VLOOKUP($C176,REV!$C:$AA,12,0)-'TRADE IN'!$F176=0,"",(VLOOKUP($C176,REV!$C:$AA,12,0)-'TRADE IN'!$F176))</f>
        <v>2699</v>
      </c>
      <c r="O176" s="56">
        <f>IF(VLOOKUP($C176,REV!$C:$AA,13,0)-'TRADE IN'!$F176=0,"",(VLOOKUP($C176,REV!$C:$AA,13,0)-'TRADE IN'!$F176))</f>
        <v>2599</v>
      </c>
      <c r="P176" s="56">
        <f>IF(VLOOKUP($C176,REV!$C:$AA,14,0)-'TRADE IN'!$F176=0,"",(VLOOKUP($C176,REV!$C:$AA,14,0)-'TRADE IN'!$F176))</f>
        <v>2499</v>
      </c>
      <c r="Q176" s="56">
        <f>IF(VLOOKUP($C176,REV!$C:$AA,15,0)-'TRADE IN'!$F176=0,"",(VLOOKUP($C176,REV!$C:$AA,15,0)-'TRADE IN'!$F176))</f>
        <v>2299</v>
      </c>
      <c r="R176" s="56">
        <f>IF(VLOOKUP($C176,REV!$C:$AA,16,0)-'TRADE IN'!$F176=0,"",(VLOOKUP($C176,REV!$C:$AA,16,0)-'TRADE IN'!$F176))</f>
        <v>2599</v>
      </c>
      <c r="S176" s="56">
        <f>IF(VLOOKUP($C176,REV!$C:$AA,17,0)-'TRADE IN'!$F176=0,"",(VLOOKUP($C176,REV!$C:$AA,17,0)-'TRADE IN'!$F176))</f>
        <v>2499</v>
      </c>
      <c r="T176" s="56">
        <f>IF(VLOOKUP($C176,REV!$C:$AA,18,0)-'TRADE IN'!$F176=0,"",(VLOOKUP($C176,REV!$C:$AA,18,0)-'TRADE IN'!$F176))</f>
        <v>2299</v>
      </c>
      <c r="U176" s="56">
        <f>IF(VLOOKUP($C176,REV!$C:$AA,19,0)-'TRADE IN'!$F176=0,"",(VLOOKUP($C176,REV!$C:$AA,19,0)-'TRADE IN'!$F176))</f>
        <v>2299</v>
      </c>
      <c r="V176" s="56">
        <f>IF(VLOOKUP($C176,REV!$C:$AA,20,0)-'TRADE IN'!$F176=0,"",(VLOOKUP($C176,REV!$C:$AA,20,0)-'TRADE IN'!$F176))</f>
        <v>2299</v>
      </c>
      <c r="W176" s="56">
        <f>IF(VLOOKUP($C176,REV!$C:$AA,21,0)-'TRADE IN'!$F176=0,"",(VLOOKUP($C176,REV!$C:$AA,21,0)-'TRADE IN'!$F176))</f>
        <v>2299</v>
      </c>
      <c r="X176" s="56">
        <f>IF(VLOOKUP($C176,REV!$C:$AA,22,0)-'TRADE IN'!$F176=0,"",(VLOOKUP($C176,REV!$C:$AA,22,0)-'TRADE IN'!$F176))</f>
        <v>2199</v>
      </c>
      <c r="Y176" s="56">
        <f>IF(VLOOKUP($C176,REV!$C:$AA,23,0)-'TRADE IN'!$F176=0,"",(VLOOKUP($C176,REV!$C:$AA,23,0)-'TRADE IN'!$F176))</f>
        <v>1699</v>
      </c>
      <c r="Z176" s="56">
        <f>IF(VLOOKUP($C176,REV!$C:$AA,24,0)-'TRADE IN'!$F176=0,"",(VLOOKUP($C176,REV!$C:$AA,24,0)-'TRADE IN'!$F176))</f>
        <v>1699</v>
      </c>
      <c r="AA176" s="56">
        <f>IF(VLOOKUP($C176,REV!$C:$AA,25,0)-'TRADE IN'!$F176=0,"",(VLOOKUP($C176,REV!$C:$AA,25,0)-'TRADE IN'!$F176))</f>
        <v>1499</v>
      </c>
      <c r="AB176" s="55" t="str">
        <f>IF(VLOOKUP($C176,REV!$C:$AL,27,0)-'TRADE IN'!$F176=0,"",(VLOOKUP($C176,REV!$C:$AL,27,0)-'TRADE IN'!$F176))</f>
        <v/>
      </c>
      <c r="AC176" s="55" t="str">
        <f>IF(VLOOKUP($C176,REV!$C:$AL,28,0)-'TRADE IN'!$F176=0,"",(VLOOKUP($C176,REV!$C:$AL,28,0)-'TRADE IN'!$F176))</f>
        <v/>
      </c>
      <c r="AD176" s="55" t="str">
        <f>IF(VLOOKUP($C176,REV!$C:$AL,29,0)-'TRADE IN'!$F176=0,"",(VLOOKUP($C176,REV!$C:$AL,29,0)-'TRADE IN'!$F176))</f>
        <v/>
      </c>
      <c r="AE176" s="55" t="str">
        <f>IF(VLOOKUP($C176,REV!$C:$AL,30,0)-'TRADE IN'!$F176=0,"",(VLOOKUP($C176,REV!$C:$AL,30,0)-'TRADE IN'!$F176))</f>
        <v/>
      </c>
      <c r="AF176" s="55" t="str">
        <f>IF(VLOOKUP($C176,REV!$C:$AL,31,0)-'TRADE IN'!$F176=0,"",(VLOOKUP($C176,REV!$C:$AL,31,0)-'TRADE IN'!$F176))</f>
        <v/>
      </c>
      <c r="AG176" s="55" t="str">
        <f>IF(VLOOKUP($C176,REV!$C:$AL,31,0)-'TRADE IN'!$F176=0,"",(VLOOKUP($C176,REV!$C:$AL,31,0)-'TRADE IN'!$F176))</f>
        <v/>
      </c>
      <c r="AH176" s="55" t="str">
        <f>IF(VLOOKUP($C176,REV!$C:$AL,32,0)-'TRADE IN'!$F176=0,"",(VLOOKUP($C176,REV!$C:$AL,32,0)-'TRADE IN'!$F176))</f>
        <v/>
      </c>
      <c r="AI176" s="55" t="str">
        <f>IF(VLOOKUP($C176,REV!$C:$AL,33,0)-'TRADE IN'!$F176=0,"",(VLOOKUP($C176,REV!$C:$AL,33,0)-'TRADE IN'!$F176))</f>
        <v/>
      </c>
      <c r="AJ176" s="55" t="str">
        <f>IF(VLOOKUP($C176,REV!$C:$AL,34,0)-'TRADE IN'!$F176=0,"",(VLOOKUP($C176,REV!$C:$AL,34,0)-'TRADE IN'!$F176))</f>
        <v/>
      </c>
      <c r="AK176" s="55" t="str">
        <f>IF(VLOOKUP($C176,REV!$C:$AL,35,0)-'TRADE IN'!$F176=0,"",(VLOOKUP($C176,REV!$C:$AL,35,0)-'TRADE IN'!$F176))</f>
        <v/>
      </c>
      <c r="AL176" s="55" t="str">
        <f>IF(VLOOKUP($C176,REV!$C:$AL,36,0)-'TRADE IN'!$F176=0,"",(VLOOKUP($C176,REV!$C:$AL,36,0)-'TRADE IN'!$F176))</f>
        <v/>
      </c>
      <c r="AM176" s="55"/>
      <c r="AN176" s="55"/>
      <c r="AO176" s="55"/>
      <c r="AP176" s="55"/>
      <c r="AQ176" s="55"/>
      <c r="AR176" s="55"/>
      <c r="AS176" s="55"/>
      <c r="AT176" s="55"/>
      <c r="AU176" s="55"/>
      <c r="AV176" s="57"/>
      <c r="AW176" s="58" t="str">
        <f>REV!AW176</f>
        <v>03.11.2026</v>
      </c>
      <c r="AX176" s="147" t="str">
        <f>VLOOKUP(C176,REV!C:AX,48,0)</f>
        <v>5G</v>
      </c>
    </row>
    <row r="177" spans="1:50" ht="22" customHeight="1">
      <c r="A177" s="51" t="s">
        <v>63</v>
      </c>
      <c r="B177" s="52" t="s">
        <v>64</v>
      </c>
      <c r="C177" s="53">
        <v>4017666</v>
      </c>
      <c r="D177" s="65" t="s">
        <v>292</v>
      </c>
      <c r="E177" s="65" t="s">
        <v>293</v>
      </c>
      <c r="F177" s="55"/>
      <c r="G177" s="55"/>
      <c r="H177" s="55"/>
      <c r="I177" s="55"/>
      <c r="J177" s="56">
        <f>IF(VLOOKUP($C177,REV!$C:$AA,8,0)-'TRADE IN'!$F177=0,"",(VLOOKUP($C177,REV!$C:$AA,8,0)-'TRADE IN'!$F177))</f>
        <v>4899</v>
      </c>
      <c r="K177" s="56">
        <f>IF(VLOOKUP($C177,REV!$C:$AA,9,0)-'TRADE IN'!$F177=0,"",(VLOOKUP($C177,REV!$C:$AA,9,0)-'TRADE IN'!$F177))</f>
        <v>4899</v>
      </c>
      <c r="L177" s="56">
        <f>IF(VLOOKUP($C177,REV!$C:$AA,10,0)-'TRADE IN'!$F177=0,"",(VLOOKUP($C177,REV!$C:$AA,10,0)-'TRADE IN'!$F177))</f>
        <v>4899</v>
      </c>
      <c r="M177" s="56">
        <f>IF(VLOOKUP($C177,REV!$C:$AA,11,0)-'TRADE IN'!$F177=0,"",(VLOOKUP($C177,REV!$C:$AA,11,0)-'TRADE IN'!$F177))</f>
        <v>4899</v>
      </c>
      <c r="N177" s="56">
        <f>IF(VLOOKUP($C177,REV!$C:$AA,12,0)-'TRADE IN'!$F177=0,"",(VLOOKUP($C177,REV!$C:$AA,12,0)-'TRADE IN'!$F177))</f>
        <v>4899</v>
      </c>
      <c r="O177" s="56">
        <f>IF(VLOOKUP($C177,REV!$C:$AA,13,0)-'TRADE IN'!$F177=0,"",(VLOOKUP($C177,REV!$C:$AA,13,0)-'TRADE IN'!$F177))</f>
        <v>4799</v>
      </c>
      <c r="P177" s="56">
        <f>IF(VLOOKUP($C177,REV!$C:$AA,14,0)-'TRADE IN'!$F177=0,"",(VLOOKUP($C177,REV!$C:$AA,14,0)-'TRADE IN'!$F177))</f>
        <v>4699</v>
      </c>
      <c r="Q177" s="56">
        <f>IF(VLOOKUP($C177,REV!$C:$AA,15,0)-'TRADE IN'!$F177=0,"",(VLOOKUP($C177,REV!$C:$AA,15,0)-'TRADE IN'!$F177))</f>
        <v>3499</v>
      </c>
      <c r="R177" s="56">
        <f>IF(VLOOKUP($C177,REV!$C:$AA,16,0)-'TRADE IN'!$F177=0,"",(VLOOKUP($C177,REV!$C:$AA,16,0)-'TRADE IN'!$F177))</f>
        <v>4799</v>
      </c>
      <c r="S177" s="56">
        <f>IF(VLOOKUP($C177,REV!$C:$AA,17,0)-'TRADE IN'!$F177=0,"",(VLOOKUP($C177,REV!$C:$AA,17,0)-'TRADE IN'!$F177))</f>
        <v>4699</v>
      </c>
      <c r="T177" s="56">
        <f>IF(VLOOKUP($C177,REV!$C:$AA,18,0)-'TRADE IN'!$F177=0,"",(VLOOKUP($C177,REV!$C:$AA,18,0)-'TRADE IN'!$F177))</f>
        <v>3499</v>
      </c>
      <c r="U177" s="56">
        <f>IF(VLOOKUP($C177,REV!$C:$AA,19,0)-'TRADE IN'!$F177=0,"",(VLOOKUP($C177,REV!$C:$AA,19,0)-'TRADE IN'!$F177))</f>
        <v>3499</v>
      </c>
      <c r="V177" s="56">
        <f>IF(VLOOKUP($C177,REV!$C:$AA,20,0)-'TRADE IN'!$F177=0,"",(VLOOKUP($C177,REV!$C:$AA,20,0)-'TRADE IN'!$F177))</f>
        <v>3499</v>
      </c>
      <c r="W177" s="56">
        <f>IF(VLOOKUP($C177,REV!$C:$AA,21,0)-'TRADE IN'!$F177=0,"",(VLOOKUP($C177,REV!$C:$AA,21,0)-'TRADE IN'!$F177))</f>
        <v>3499</v>
      </c>
      <c r="X177" s="56">
        <f>IF(VLOOKUP($C177,REV!$C:$AA,22,0)-'TRADE IN'!$F177=0,"",(VLOOKUP($C177,REV!$C:$AA,22,0)-'TRADE IN'!$F177))</f>
        <v>3399</v>
      </c>
      <c r="Y177" s="56">
        <f>IF(VLOOKUP($C177,REV!$C:$AA,23,0)-'TRADE IN'!$F177=0,"",(VLOOKUP($C177,REV!$C:$AA,23,0)-'TRADE IN'!$F177))</f>
        <v>1999</v>
      </c>
      <c r="Z177" s="56">
        <f>IF(VLOOKUP($C177,REV!$C:$AA,24,0)-'TRADE IN'!$F177=0,"",(VLOOKUP($C177,REV!$C:$AA,24,0)-'TRADE IN'!$F177))</f>
        <v>1999</v>
      </c>
      <c r="AA177" s="56">
        <f>IF(VLOOKUP($C177,REV!$C:$AA,25,0)-'TRADE IN'!$F177=0,"",(VLOOKUP($C177,REV!$C:$AA,25,0)-'TRADE IN'!$F177))</f>
        <v>1799</v>
      </c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7"/>
      <c r="AW177" s="58" t="str">
        <f>REV!AW177</f>
        <v>03.11.2026</v>
      </c>
      <c r="AX177" s="147" t="str">
        <f>VLOOKUP(C177,REV!C:AX,48,0)</f>
        <v>5G</v>
      </c>
    </row>
    <row r="178" spans="1:50" ht="22.5" customHeight="1">
      <c r="A178" s="64" t="s">
        <v>241</v>
      </c>
      <c r="B178" s="52" t="s">
        <v>64</v>
      </c>
      <c r="C178" s="53">
        <v>4014667</v>
      </c>
      <c r="D178" s="65" t="s">
        <v>294</v>
      </c>
      <c r="E178" s="65" t="s">
        <v>295</v>
      </c>
      <c r="F178" s="55"/>
      <c r="G178" s="55"/>
      <c r="H178" s="55"/>
      <c r="I178" s="55"/>
      <c r="J178" s="56">
        <f>IF(VLOOKUP($C178,REV!$C:$AA,8,0)-'TRADE IN'!$F178=0,"",(VLOOKUP($C178,REV!$C:$AA,8,0)-'TRADE IN'!$F178))</f>
        <v>399</v>
      </c>
      <c r="K178" s="56">
        <f>IF(VLOOKUP($C178,REV!$C:$AA,9,0)-'TRADE IN'!$F178=0,"",(VLOOKUP($C178,REV!$C:$AA,9,0)-'TRADE IN'!$F178))</f>
        <v>399</v>
      </c>
      <c r="L178" s="56">
        <f>IF(VLOOKUP($C178,REV!$C:$AA,10,0)-'TRADE IN'!$F178=0,"",(VLOOKUP($C178,REV!$C:$AA,10,0)-'TRADE IN'!$F178))</f>
        <v>399</v>
      </c>
      <c r="M178" s="56">
        <f>IF(VLOOKUP($C178,REV!$C:$AA,11,0)-'TRADE IN'!$F178=0,"",(VLOOKUP($C178,REV!$C:$AA,11,0)-'TRADE IN'!$F178))</f>
        <v>399</v>
      </c>
      <c r="N178" s="56">
        <f>IF(VLOOKUP($C178,REV!$C:$AA,12,0)-'TRADE IN'!$F178=0,"",(VLOOKUP($C178,REV!$C:$AA,12,0)-'TRADE IN'!$F178))</f>
        <v>399</v>
      </c>
      <c r="O178" s="56">
        <f>IF(VLOOKUP($C178,REV!$C:$AA,13,0)-'TRADE IN'!$F178=0,"",(VLOOKUP($C178,REV!$C:$AA,13,0)-'TRADE IN'!$F178))</f>
        <v>349</v>
      </c>
      <c r="P178" s="56">
        <f>IF(VLOOKUP($C178,REV!$C:$AA,14,0)-'TRADE IN'!$F178=0,"",(VLOOKUP($C178,REV!$C:$AA,14,0)-'TRADE IN'!$F178))</f>
        <v>299</v>
      </c>
      <c r="Q178" s="56">
        <f>IF(VLOOKUP($C178,REV!$C:$AA,15,0)-'TRADE IN'!$F178=0,"",(VLOOKUP($C178,REV!$C:$AA,15,0)-'TRADE IN'!$F178))</f>
        <v>299</v>
      </c>
      <c r="R178" s="56">
        <f>IF(VLOOKUP($C178,REV!$C:$AA,16,0)-'TRADE IN'!$F178=0,"",(VLOOKUP($C178,REV!$C:$AA,16,0)-'TRADE IN'!$F178))</f>
        <v>349</v>
      </c>
      <c r="S178" s="56">
        <f>IF(VLOOKUP($C178,REV!$C:$AA,17,0)-'TRADE IN'!$F178=0,"",(VLOOKUP($C178,REV!$C:$AA,17,0)-'TRADE IN'!$F178))</f>
        <v>299</v>
      </c>
      <c r="T178" s="56">
        <f>IF(VLOOKUP($C178,REV!$C:$AA,18,0)-'TRADE IN'!$F178=0,"",(VLOOKUP($C178,REV!$C:$AA,18,0)-'TRADE IN'!$F178))</f>
        <v>299</v>
      </c>
      <c r="U178" s="56">
        <f>IF(VLOOKUP($C178,REV!$C:$AA,19,0)-'TRADE IN'!$F178=0,"",(VLOOKUP($C178,REV!$C:$AA,19,0)-'TRADE IN'!$F178))</f>
        <v>299</v>
      </c>
      <c r="V178" s="56">
        <f>IF(VLOOKUP($C178,REV!$C:$AA,20,0)-'TRADE IN'!$F178=0,"",(VLOOKUP($C178,REV!$C:$AA,20,0)-'TRADE IN'!$F178))</f>
        <v>299</v>
      </c>
      <c r="W178" s="56">
        <f>IF(VLOOKUP($C178,REV!$C:$AA,21,0)-'TRADE IN'!$F178=0,"",(VLOOKUP($C178,REV!$C:$AA,21,0)-'TRADE IN'!$F178))</f>
        <v>299</v>
      </c>
      <c r="X178" s="56">
        <f>IF(VLOOKUP($C178,REV!$C:$AA,22,0)-'TRADE IN'!$F178=0,"",(VLOOKUP($C178,REV!$C:$AA,22,0)-'TRADE IN'!$F178))</f>
        <v>299</v>
      </c>
      <c r="Y178" s="56">
        <f>IF(VLOOKUP($C178,REV!$C:$AA,23,0)-'TRADE IN'!$F178=0,"",(VLOOKUP($C178,REV!$C:$AA,23,0)-'TRADE IN'!$F178))</f>
        <v>299</v>
      </c>
      <c r="Z178" s="56">
        <f>IF(VLOOKUP($C178,REV!$C:$AA,24,0)-'TRADE IN'!$F178=0,"",(VLOOKUP($C178,REV!$C:$AA,24,0)-'TRADE IN'!$F178))</f>
        <v>299</v>
      </c>
      <c r="AA178" s="56">
        <f>IF(VLOOKUP($C178,REV!$C:$AA,25,0)-'TRADE IN'!$F178=0,"",(VLOOKUP($C178,REV!$C:$AA,25,0)-'TRADE IN'!$F178))</f>
        <v>299</v>
      </c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7"/>
      <c r="AW178" s="58" t="str">
        <f>REV!AW178</f>
        <v>03.11.2026</v>
      </c>
      <c r="AX178" s="147" t="str">
        <f>VLOOKUP(C178,REV!C:AX,48,0)</f>
        <v>4G</v>
      </c>
    </row>
    <row r="179" spans="1:50" ht="22.5" customHeight="1">
      <c r="A179" s="64" t="s">
        <v>241</v>
      </c>
      <c r="B179" s="52" t="s">
        <v>64</v>
      </c>
      <c r="C179" s="53">
        <v>4014668</v>
      </c>
      <c r="D179" s="65" t="s">
        <v>294</v>
      </c>
      <c r="E179" s="65" t="s">
        <v>296</v>
      </c>
      <c r="F179" s="55"/>
      <c r="G179" s="55"/>
      <c r="H179" s="55"/>
      <c r="I179" s="55"/>
      <c r="J179" s="56">
        <f>IF(VLOOKUP($C179,REV!$C:$AA,8,0)-'TRADE IN'!$F179=0,"",(VLOOKUP($C179,REV!$C:$AA,8,0)-'TRADE IN'!$F179))</f>
        <v>399</v>
      </c>
      <c r="K179" s="56">
        <f>IF(VLOOKUP($C179,REV!$C:$AA,9,0)-'TRADE IN'!$F179=0,"",(VLOOKUP($C179,REV!$C:$AA,9,0)-'TRADE IN'!$F179))</f>
        <v>399</v>
      </c>
      <c r="L179" s="56">
        <f>IF(VLOOKUP($C179,REV!$C:$AA,10,0)-'TRADE IN'!$F179=0,"",(VLOOKUP($C179,REV!$C:$AA,10,0)-'TRADE IN'!$F179))</f>
        <v>399</v>
      </c>
      <c r="M179" s="56">
        <f>IF(VLOOKUP($C179,REV!$C:$AA,11,0)-'TRADE IN'!$F179=0,"",(VLOOKUP($C179,REV!$C:$AA,11,0)-'TRADE IN'!$F179))</f>
        <v>399</v>
      </c>
      <c r="N179" s="56">
        <f>IF(VLOOKUP($C179,REV!$C:$AA,12,0)-'TRADE IN'!$F179=0,"",(VLOOKUP($C179,REV!$C:$AA,12,0)-'TRADE IN'!$F179))</f>
        <v>399</v>
      </c>
      <c r="O179" s="56">
        <f>IF(VLOOKUP($C179,REV!$C:$AA,13,0)-'TRADE IN'!$F179=0,"",(VLOOKUP($C179,REV!$C:$AA,13,0)-'TRADE IN'!$F179))</f>
        <v>349</v>
      </c>
      <c r="P179" s="56">
        <f>IF(VLOOKUP($C179,REV!$C:$AA,14,0)-'TRADE IN'!$F179=0,"",(VLOOKUP($C179,REV!$C:$AA,14,0)-'TRADE IN'!$F179))</f>
        <v>299</v>
      </c>
      <c r="Q179" s="56">
        <f>IF(VLOOKUP($C179,REV!$C:$AA,15,0)-'TRADE IN'!$F179=0,"",(VLOOKUP($C179,REV!$C:$AA,15,0)-'TRADE IN'!$F179))</f>
        <v>299</v>
      </c>
      <c r="R179" s="56">
        <f>IF(VLOOKUP($C179,REV!$C:$AA,16,0)-'TRADE IN'!$F179=0,"",(VLOOKUP($C179,REV!$C:$AA,16,0)-'TRADE IN'!$F179))</f>
        <v>349</v>
      </c>
      <c r="S179" s="56">
        <f>IF(VLOOKUP($C179,REV!$C:$AA,17,0)-'TRADE IN'!$F179=0,"",(VLOOKUP($C179,REV!$C:$AA,17,0)-'TRADE IN'!$F179))</f>
        <v>299</v>
      </c>
      <c r="T179" s="56">
        <f>IF(VLOOKUP($C179,REV!$C:$AA,18,0)-'TRADE IN'!$F179=0,"",(VLOOKUP($C179,REV!$C:$AA,18,0)-'TRADE IN'!$F179))</f>
        <v>299</v>
      </c>
      <c r="U179" s="56">
        <f>IF(VLOOKUP($C179,REV!$C:$AA,19,0)-'TRADE IN'!$F179=0,"",(VLOOKUP($C179,REV!$C:$AA,19,0)-'TRADE IN'!$F179))</f>
        <v>299</v>
      </c>
      <c r="V179" s="56">
        <f>IF(VLOOKUP($C179,REV!$C:$AA,20,0)-'TRADE IN'!$F179=0,"",(VLOOKUP($C179,REV!$C:$AA,20,0)-'TRADE IN'!$F179))</f>
        <v>299</v>
      </c>
      <c r="W179" s="56">
        <f>IF(VLOOKUP($C179,REV!$C:$AA,21,0)-'TRADE IN'!$F179=0,"",(VLOOKUP($C179,REV!$C:$AA,21,0)-'TRADE IN'!$F179))</f>
        <v>299</v>
      </c>
      <c r="X179" s="56">
        <f>IF(VLOOKUP($C179,REV!$C:$AA,22,0)-'TRADE IN'!$F179=0,"",(VLOOKUP($C179,REV!$C:$AA,22,0)-'TRADE IN'!$F179))</f>
        <v>299</v>
      </c>
      <c r="Y179" s="56">
        <f>IF(VLOOKUP($C179,REV!$C:$AA,23,0)-'TRADE IN'!$F179=0,"",(VLOOKUP($C179,REV!$C:$AA,23,0)-'TRADE IN'!$F179))</f>
        <v>299</v>
      </c>
      <c r="Z179" s="56">
        <f>IF(VLOOKUP($C179,REV!$C:$AA,24,0)-'TRADE IN'!$F179=0,"",(VLOOKUP($C179,REV!$C:$AA,24,0)-'TRADE IN'!$F179))</f>
        <v>299</v>
      </c>
      <c r="AA179" s="56">
        <f>IF(VLOOKUP($C179,REV!$C:$AA,25,0)-'TRADE IN'!$F179=0,"",(VLOOKUP($C179,REV!$C:$AA,25,0)-'TRADE IN'!$F179))</f>
        <v>299</v>
      </c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7"/>
      <c r="AW179" s="58" t="str">
        <f>REV!AW179</f>
        <v>03.11.2026</v>
      </c>
      <c r="AX179" s="147" t="str">
        <f>VLOOKUP(C179,REV!C:AX,48,0)</f>
        <v>4G</v>
      </c>
    </row>
    <row r="180" spans="1:50" ht="22.5" customHeight="1">
      <c r="A180" s="64" t="s">
        <v>241</v>
      </c>
      <c r="B180" s="52" t="s">
        <v>64</v>
      </c>
      <c r="C180" s="53">
        <v>4016017</v>
      </c>
      <c r="D180" s="54" t="s">
        <v>297</v>
      </c>
      <c r="E180" s="54" t="s">
        <v>298</v>
      </c>
      <c r="F180" s="55"/>
      <c r="G180" s="55"/>
      <c r="H180" s="55"/>
      <c r="I180" s="55"/>
      <c r="J180" s="56">
        <f>IF(VLOOKUP($C180,REV!$C:$AA,8,0)-'TRADE IN'!$F180=0,"",(VLOOKUP($C180,REV!$C:$AA,8,0)-'TRADE IN'!$F180))</f>
        <v>699</v>
      </c>
      <c r="K180" s="56">
        <f>IF(VLOOKUP($C180,REV!$C:$AA,9,0)-'TRADE IN'!$F180=0,"",(VLOOKUP($C180,REV!$C:$AA,9,0)-'TRADE IN'!$F180))</f>
        <v>699</v>
      </c>
      <c r="L180" s="56">
        <f>IF(VLOOKUP($C180,REV!$C:$AA,10,0)-'TRADE IN'!$F180=0,"",(VLOOKUP($C180,REV!$C:$AA,10,0)-'TRADE IN'!$F180))</f>
        <v>699</v>
      </c>
      <c r="M180" s="56">
        <f>IF(VLOOKUP($C180,REV!$C:$AA,11,0)-'TRADE IN'!$F180=0,"",(VLOOKUP($C180,REV!$C:$AA,11,0)-'TRADE IN'!$F180))</f>
        <v>699</v>
      </c>
      <c r="N180" s="56">
        <f>IF(VLOOKUP($C180,REV!$C:$AA,12,0)-'TRADE IN'!$F180=0,"",(VLOOKUP($C180,REV!$C:$AA,12,0)-'TRADE IN'!$F180))</f>
        <v>699</v>
      </c>
      <c r="O180" s="56">
        <f>IF(VLOOKUP($C180,REV!$C:$AA,13,0)-'TRADE IN'!$F180=0,"",(VLOOKUP($C180,REV!$C:$AA,13,0)-'TRADE IN'!$F180))</f>
        <v>649</v>
      </c>
      <c r="P180" s="56">
        <f>IF(VLOOKUP($C180,REV!$C:$AA,14,0)-'TRADE IN'!$F180=0,"",(VLOOKUP($C180,REV!$C:$AA,14,0)-'TRADE IN'!$F180))</f>
        <v>599</v>
      </c>
      <c r="Q180" s="56">
        <f>IF(VLOOKUP($C180,REV!$C:$AA,15,0)-'TRADE IN'!$F180=0,"",(VLOOKUP($C180,REV!$C:$AA,15,0)-'TRADE IN'!$F180))</f>
        <v>599</v>
      </c>
      <c r="R180" s="56">
        <f>IF(VLOOKUP($C180,REV!$C:$AA,16,0)-'TRADE IN'!$F180=0,"",(VLOOKUP($C180,REV!$C:$AA,16,0)-'TRADE IN'!$F180))</f>
        <v>649</v>
      </c>
      <c r="S180" s="56">
        <f>IF(VLOOKUP($C180,REV!$C:$AA,17,0)-'TRADE IN'!$F180=0,"",(VLOOKUP($C180,REV!$C:$AA,17,0)-'TRADE IN'!$F180))</f>
        <v>599</v>
      </c>
      <c r="T180" s="56">
        <f>IF(VLOOKUP($C180,REV!$C:$AA,18,0)-'TRADE IN'!$F180=0,"",(VLOOKUP($C180,REV!$C:$AA,18,0)-'TRADE IN'!$F180))</f>
        <v>599</v>
      </c>
      <c r="U180" s="56">
        <f>IF(VLOOKUP($C180,REV!$C:$AA,19,0)-'TRADE IN'!$F180=0,"",(VLOOKUP($C180,REV!$C:$AA,19,0)-'TRADE IN'!$F180))</f>
        <v>599</v>
      </c>
      <c r="V180" s="56">
        <f>IF(VLOOKUP($C180,REV!$C:$AA,20,0)-'TRADE IN'!$F180=0,"",(VLOOKUP($C180,REV!$C:$AA,20,0)-'TRADE IN'!$F180))</f>
        <v>599</v>
      </c>
      <c r="W180" s="56">
        <f>IF(VLOOKUP($C180,REV!$C:$AA,21,0)-'TRADE IN'!$F180=0,"",(VLOOKUP($C180,REV!$C:$AA,21,0)-'TRADE IN'!$F180))</f>
        <v>599</v>
      </c>
      <c r="X180" s="56">
        <f>IF(VLOOKUP($C180,REV!$C:$AA,22,0)-'TRADE IN'!$F180=0,"",(VLOOKUP($C180,REV!$C:$AA,22,0)-'TRADE IN'!$F180))</f>
        <v>599</v>
      </c>
      <c r="Y180" s="56">
        <f>IF(VLOOKUP($C180,REV!$C:$AA,23,0)-'TRADE IN'!$F180=0,"",(VLOOKUP($C180,REV!$C:$AA,23,0)-'TRADE IN'!$F180))</f>
        <v>599</v>
      </c>
      <c r="Z180" s="56">
        <f>IF(VLOOKUP($C180,REV!$C:$AA,24,0)-'TRADE IN'!$F180=0,"",(VLOOKUP($C180,REV!$C:$AA,24,0)-'TRADE IN'!$F180))</f>
        <v>599</v>
      </c>
      <c r="AA180" s="56">
        <f>IF(VLOOKUP($C180,REV!$C:$AA,25,0)-'TRADE IN'!$F180=0,"",(VLOOKUP($C180,REV!$C:$AA,25,0)-'TRADE IN'!$F180))</f>
        <v>599</v>
      </c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7"/>
      <c r="AW180" s="58" t="str">
        <f>REV!AW180</f>
        <v>03.11.2026</v>
      </c>
      <c r="AX180" s="147" t="str">
        <f>VLOOKUP(C180,REV!C:AX,48,0)</f>
        <v>4G</v>
      </c>
    </row>
    <row r="181" spans="1:50" ht="22.5" customHeight="1">
      <c r="A181" s="64" t="s">
        <v>241</v>
      </c>
      <c r="B181" s="52" t="s">
        <v>64</v>
      </c>
      <c r="C181" s="53">
        <v>4016281</v>
      </c>
      <c r="D181" s="54" t="s">
        <v>299</v>
      </c>
      <c r="E181" s="54" t="s">
        <v>300</v>
      </c>
      <c r="F181" s="55"/>
      <c r="G181" s="55"/>
      <c r="H181" s="55"/>
      <c r="I181" s="55"/>
      <c r="J181" s="56">
        <f>IF(VLOOKUP($C181,REV!$C:$AA,8,0)-'TRADE IN'!$F181=0,"",(VLOOKUP($C181,REV!$C:$AA,8,0)-'TRADE IN'!$F181))</f>
        <v>699</v>
      </c>
      <c r="K181" s="56">
        <f>IF(VLOOKUP($C181,REV!$C:$AA,9,0)-'TRADE IN'!$F181=0,"",(VLOOKUP($C181,REV!$C:$AA,9,0)-'TRADE IN'!$F181))</f>
        <v>699</v>
      </c>
      <c r="L181" s="56">
        <f>IF(VLOOKUP($C181,REV!$C:$AA,10,0)-'TRADE IN'!$F181=0,"",(VLOOKUP($C181,REV!$C:$AA,10,0)-'TRADE IN'!$F181))</f>
        <v>699</v>
      </c>
      <c r="M181" s="56">
        <f>IF(VLOOKUP($C181,REV!$C:$AA,11,0)-'TRADE IN'!$F181=0,"",(VLOOKUP($C181,REV!$C:$AA,11,0)-'TRADE IN'!$F181))</f>
        <v>699</v>
      </c>
      <c r="N181" s="56">
        <f>IF(VLOOKUP($C181,REV!$C:$AA,12,0)-'TRADE IN'!$F181=0,"",(VLOOKUP($C181,REV!$C:$AA,12,0)-'TRADE IN'!$F181))</f>
        <v>699</v>
      </c>
      <c r="O181" s="56">
        <f>IF(VLOOKUP($C181,REV!$C:$AA,13,0)-'TRADE IN'!$F181=0,"",(VLOOKUP($C181,REV!$C:$AA,13,0)-'TRADE IN'!$F181))</f>
        <v>649</v>
      </c>
      <c r="P181" s="56">
        <f>IF(VLOOKUP($C181,REV!$C:$AA,14,0)-'TRADE IN'!$F181=0,"",(VLOOKUP($C181,REV!$C:$AA,14,0)-'TRADE IN'!$F181))</f>
        <v>649</v>
      </c>
      <c r="Q181" s="56">
        <f>IF(VLOOKUP($C181,REV!$C:$AA,15,0)-'TRADE IN'!$F181=0,"",(VLOOKUP($C181,REV!$C:$AA,15,0)-'TRADE IN'!$F181))</f>
        <v>649</v>
      </c>
      <c r="R181" s="56">
        <f>IF(VLOOKUP($C181,REV!$C:$AA,16,0)-'TRADE IN'!$F181=0,"",(VLOOKUP($C181,REV!$C:$AA,16,0)-'TRADE IN'!$F181))</f>
        <v>649</v>
      </c>
      <c r="S181" s="56">
        <f>IF(VLOOKUP($C181,REV!$C:$AA,17,0)-'TRADE IN'!$F181=0,"",(VLOOKUP($C181,REV!$C:$AA,17,0)-'TRADE IN'!$F181))</f>
        <v>649</v>
      </c>
      <c r="T181" s="56">
        <f>IF(VLOOKUP($C181,REV!$C:$AA,18,0)-'TRADE IN'!$F181=0,"",(VLOOKUP($C181,REV!$C:$AA,18,0)-'TRADE IN'!$F181))</f>
        <v>649</v>
      </c>
      <c r="U181" s="56">
        <f>IF(VLOOKUP($C181,REV!$C:$AA,19,0)-'TRADE IN'!$F181=0,"",(VLOOKUP($C181,REV!$C:$AA,19,0)-'TRADE IN'!$F181))</f>
        <v>649</v>
      </c>
      <c r="V181" s="56">
        <f>IF(VLOOKUP($C181,REV!$C:$AA,20,0)-'TRADE IN'!$F181=0,"",(VLOOKUP($C181,REV!$C:$AA,20,0)-'TRADE IN'!$F181))</f>
        <v>649</v>
      </c>
      <c r="W181" s="56">
        <f>IF(VLOOKUP($C181,REV!$C:$AA,21,0)-'TRADE IN'!$F181=0,"",(VLOOKUP($C181,REV!$C:$AA,21,0)-'TRADE IN'!$F181))</f>
        <v>649</v>
      </c>
      <c r="X181" s="56">
        <f>IF(VLOOKUP($C181,REV!$C:$AA,22,0)-'TRADE IN'!$F181=0,"",(VLOOKUP($C181,REV!$C:$AA,22,0)-'TRADE IN'!$F181))</f>
        <v>649</v>
      </c>
      <c r="Y181" s="56">
        <f>IF(VLOOKUP($C181,REV!$C:$AA,23,0)-'TRADE IN'!$F181=0,"",(VLOOKUP($C181,REV!$C:$AA,23,0)-'TRADE IN'!$F181))</f>
        <v>649</v>
      </c>
      <c r="Z181" s="56">
        <f>IF(VLOOKUP($C181,REV!$C:$AA,24,0)-'TRADE IN'!$F181=0,"",(VLOOKUP($C181,REV!$C:$AA,24,0)-'TRADE IN'!$F181))</f>
        <v>649</v>
      </c>
      <c r="AA181" s="56">
        <f>IF(VLOOKUP($C181,REV!$C:$AA,25,0)-'TRADE IN'!$F181=0,"",(VLOOKUP($C181,REV!$C:$AA,25,0)-'TRADE IN'!$F181))</f>
        <v>649</v>
      </c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7"/>
      <c r="AW181" s="58" t="str">
        <f>REV!AW181</f>
        <v>03.11.2026</v>
      </c>
      <c r="AX181" s="147" t="str">
        <f>VLOOKUP(C181,REV!C:AX,48,0)</f>
        <v>4G</v>
      </c>
    </row>
    <row r="182" spans="1:50" ht="22.5" customHeight="1">
      <c r="A182" s="64" t="s">
        <v>241</v>
      </c>
      <c r="B182" s="52" t="s">
        <v>64</v>
      </c>
      <c r="C182" s="53">
        <v>4016801</v>
      </c>
      <c r="D182" s="66" t="s">
        <v>301</v>
      </c>
      <c r="E182" s="66" t="s">
        <v>302</v>
      </c>
      <c r="F182" s="55"/>
      <c r="G182" s="55"/>
      <c r="H182" s="55"/>
      <c r="I182" s="55"/>
      <c r="J182" s="56">
        <f>IF(VLOOKUP($C182,REV!$C:$AA,8,0)-'TRADE IN'!$F182=0,"",(VLOOKUP($C182,REV!$C:$AA,8,0)-'TRADE IN'!$F182))</f>
        <v>599</v>
      </c>
      <c r="K182" s="56">
        <f>IF(VLOOKUP($C182,REV!$C:$AA,9,0)-'TRADE IN'!$F182=0,"",(VLOOKUP($C182,REV!$C:$AA,9,0)-'TRADE IN'!$F182))</f>
        <v>499</v>
      </c>
      <c r="L182" s="56">
        <f>IF(VLOOKUP($C182,REV!$C:$AA,10,0)-'TRADE IN'!$F182=0,"",(VLOOKUP($C182,REV!$C:$AA,10,0)-'TRADE IN'!$F182))</f>
        <v>499</v>
      </c>
      <c r="M182" s="56">
        <f>IF(VLOOKUP($C182,REV!$C:$AA,11,0)-'TRADE IN'!$F182=0,"",(VLOOKUP($C182,REV!$C:$AA,11,0)-'TRADE IN'!$F182))</f>
        <v>599</v>
      </c>
      <c r="N182" s="56">
        <f>IF(VLOOKUP($C182,REV!$C:$AA,12,0)-'TRADE IN'!$F182=0,"",(VLOOKUP($C182,REV!$C:$AA,12,0)-'TRADE IN'!$F182))</f>
        <v>499</v>
      </c>
      <c r="O182" s="56">
        <f>IF(VLOOKUP($C182,REV!$C:$AA,13,0)-'TRADE IN'!$F182=0,"",(VLOOKUP($C182,REV!$C:$AA,13,0)-'TRADE IN'!$F182))</f>
        <v>499</v>
      </c>
      <c r="P182" s="56">
        <f>IF(VLOOKUP($C182,REV!$C:$AA,14,0)-'TRADE IN'!$F182=0,"",(VLOOKUP($C182,REV!$C:$AA,14,0)-'TRADE IN'!$F182))</f>
        <v>499</v>
      </c>
      <c r="Q182" s="56">
        <f>IF(VLOOKUP($C182,REV!$C:$AA,15,0)-'TRADE IN'!$F182=0,"",(VLOOKUP($C182,REV!$C:$AA,15,0)-'TRADE IN'!$F182))</f>
        <v>499</v>
      </c>
      <c r="R182" s="56">
        <f>IF(VLOOKUP($C182,REV!$C:$AA,16,0)-'TRADE IN'!$F182=0,"",(VLOOKUP($C182,REV!$C:$AA,16,0)-'TRADE IN'!$F182))</f>
        <v>499</v>
      </c>
      <c r="S182" s="56">
        <f>IF(VLOOKUP($C182,REV!$C:$AA,17,0)-'TRADE IN'!$F182=0,"",(VLOOKUP($C182,REV!$C:$AA,17,0)-'TRADE IN'!$F182))</f>
        <v>499</v>
      </c>
      <c r="T182" s="56">
        <f>IF(VLOOKUP($C182,REV!$C:$AA,18,0)-'TRADE IN'!$F182=0,"",(VLOOKUP($C182,REV!$C:$AA,18,0)-'TRADE IN'!$F182))</f>
        <v>499</v>
      </c>
      <c r="U182" s="56">
        <f>IF(VLOOKUP($C182,REV!$C:$AA,19,0)-'TRADE IN'!$F182=0,"",(VLOOKUP($C182,REV!$C:$AA,19,0)-'TRADE IN'!$F182))</f>
        <v>499</v>
      </c>
      <c r="V182" s="56">
        <f>IF(VLOOKUP($C182,REV!$C:$AA,20,0)-'TRADE IN'!$F182=0,"",(VLOOKUP($C182,REV!$C:$AA,20,0)-'TRADE IN'!$F182))</f>
        <v>499</v>
      </c>
      <c r="W182" s="56">
        <f>IF(VLOOKUP($C182,REV!$C:$AA,21,0)-'TRADE IN'!$F182=0,"",(VLOOKUP($C182,REV!$C:$AA,21,0)-'TRADE IN'!$F182))</f>
        <v>499</v>
      </c>
      <c r="X182" s="56">
        <f>IF(VLOOKUP($C182,REV!$C:$AA,22,0)-'TRADE IN'!$F182=0,"",(VLOOKUP($C182,REV!$C:$AA,22,0)-'TRADE IN'!$F182))</f>
        <v>499</v>
      </c>
      <c r="Y182" s="56">
        <f>IF(VLOOKUP($C182,REV!$C:$AA,23,0)-'TRADE IN'!$F182=0,"",(VLOOKUP($C182,REV!$C:$AA,23,0)-'TRADE IN'!$F182))</f>
        <v>499</v>
      </c>
      <c r="Z182" s="56">
        <f>IF(VLOOKUP($C182,REV!$C:$AA,24,0)-'TRADE IN'!$F182=0,"",(VLOOKUP($C182,REV!$C:$AA,24,0)-'TRADE IN'!$F182))</f>
        <v>499</v>
      </c>
      <c r="AA182" s="56">
        <f>IF(VLOOKUP($C182,REV!$C:$AA,25,0)-'TRADE IN'!$F182=0,"",(VLOOKUP($C182,REV!$C:$AA,25,0)-'TRADE IN'!$F182))</f>
        <v>499</v>
      </c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7"/>
      <c r="AW182" s="58" t="str">
        <f>REV!AW182</f>
        <v>03.11.2026</v>
      </c>
      <c r="AX182" s="147" t="str">
        <f>VLOOKUP(C182,REV!C:AX,48,0)</f>
        <v>4G</v>
      </c>
    </row>
    <row r="183" spans="1:50" ht="22.5" customHeight="1">
      <c r="A183" s="64" t="s">
        <v>241</v>
      </c>
      <c r="B183" s="52" t="s">
        <v>64</v>
      </c>
      <c r="C183" s="53">
        <v>4017405</v>
      </c>
      <c r="D183" s="66" t="s">
        <v>303</v>
      </c>
      <c r="E183" s="66" t="s">
        <v>304</v>
      </c>
      <c r="F183" s="55"/>
      <c r="G183" s="55"/>
      <c r="H183" s="55"/>
      <c r="I183" s="55"/>
      <c r="J183" s="56">
        <f>IF(VLOOKUP($C183,REV!$C:$AA,8,0)-'TRADE IN'!$F183=0,"",(VLOOKUP($C183,REV!$C:$AA,8,0)-'TRADE IN'!$F183))</f>
        <v>999</v>
      </c>
      <c r="K183" s="56">
        <f>IF(VLOOKUP($C183,REV!$C:$AA,9,0)-'TRADE IN'!$F183=0,"",(VLOOKUP($C183,REV!$C:$AA,9,0)-'TRADE IN'!$F183))</f>
        <v>899</v>
      </c>
      <c r="L183" s="56">
        <f>IF(VLOOKUP($C183,REV!$C:$AA,10,0)-'TRADE IN'!$F183=0,"",(VLOOKUP($C183,REV!$C:$AA,10,0)-'TRADE IN'!$F183))</f>
        <v>899</v>
      </c>
      <c r="M183" s="56">
        <f>IF(VLOOKUP($C183,REV!$C:$AA,11,0)-'TRADE IN'!$F183=0,"",(VLOOKUP($C183,REV!$C:$AA,11,0)-'TRADE IN'!$F183))</f>
        <v>999</v>
      </c>
      <c r="N183" s="56">
        <f>IF(VLOOKUP($C183,REV!$C:$AA,12,0)-'TRADE IN'!$F183=0,"",(VLOOKUP($C183,REV!$C:$AA,12,0)-'TRADE IN'!$F183))</f>
        <v>899</v>
      </c>
      <c r="O183" s="56">
        <f>IF(VLOOKUP($C183,REV!$C:$AA,13,0)-'TRADE IN'!$F183=0,"",(VLOOKUP($C183,REV!$C:$AA,13,0)-'TRADE IN'!$F183))</f>
        <v>849</v>
      </c>
      <c r="P183" s="56">
        <f>IF(VLOOKUP($C183,REV!$C:$AA,14,0)-'TRADE IN'!$F183=0,"",(VLOOKUP($C183,REV!$C:$AA,14,0)-'TRADE IN'!$F183))</f>
        <v>849</v>
      </c>
      <c r="Q183" s="56">
        <f>IF(VLOOKUP($C183,REV!$C:$AA,15,0)-'TRADE IN'!$F183=0,"",(VLOOKUP($C183,REV!$C:$AA,15,0)-'TRADE IN'!$F183))</f>
        <v>799</v>
      </c>
      <c r="R183" s="56">
        <f>IF(VLOOKUP($C183,REV!$C:$AA,16,0)-'TRADE IN'!$F183=0,"",(VLOOKUP($C183,REV!$C:$AA,16,0)-'TRADE IN'!$F183))</f>
        <v>849</v>
      </c>
      <c r="S183" s="56">
        <f>IF(VLOOKUP($C183,REV!$C:$AA,17,0)-'TRADE IN'!$F183=0,"",(VLOOKUP($C183,REV!$C:$AA,17,0)-'TRADE IN'!$F183))</f>
        <v>849</v>
      </c>
      <c r="T183" s="56">
        <f>IF(VLOOKUP($C183,REV!$C:$AA,18,0)-'TRADE IN'!$F183=0,"",(VLOOKUP($C183,REV!$C:$AA,18,0)-'TRADE IN'!$F183))</f>
        <v>799</v>
      </c>
      <c r="U183" s="56">
        <f>IF(VLOOKUP($C183,REV!$C:$AA,19,0)-'TRADE IN'!$F183=0,"",(VLOOKUP($C183,REV!$C:$AA,19,0)-'TRADE IN'!$F183))</f>
        <v>799</v>
      </c>
      <c r="V183" s="56">
        <f>IF(VLOOKUP($C183,REV!$C:$AA,20,0)-'TRADE IN'!$F183=0,"",(VLOOKUP($C183,REV!$C:$AA,20,0)-'TRADE IN'!$F183))</f>
        <v>799</v>
      </c>
      <c r="W183" s="56">
        <f>IF(VLOOKUP($C183,REV!$C:$AA,21,0)-'TRADE IN'!$F183=0,"",(VLOOKUP($C183,REV!$C:$AA,21,0)-'TRADE IN'!$F183))</f>
        <v>799</v>
      </c>
      <c r="X183" s="56">
        <f>IF(VLOOKUP($C183,REV!$C:$AA,22,0)-'TRADE IN'!$F183=0,"",(VLOOKUP($C183,REV!$C:$AA,22,0)-'TRADE IN'!$F183))</f>
        <v>699</v>
      </c>
      <c r="Y183" s="56">
        <f>IF(VLOOKUP($C183,REV!$C:$AA,23,0)-'TRADE IN'!$F183=0,"",(VLOOKUP($C183,REV!$C:$AA,23,0)-'TRADE IN'!$F183))</f>
        <v>599</v>
      </c>
      <c r="Z183" s="56">
        <f>IF(VLOOKUP($C183,REV!$C:$AA,24,0)-'TRADE IN'!$F183=0,"",(VLOOKUP($C183,REV!$C:$AA,24,0)-'TRADE IN'!$F183))</f>
        <v>599</v>
      </c>
      <c r="AA183" s="56">
        <f>IF(VLOOKUP($C183,REV!$C:$AA,25,0)-'TRADE IN'!$F183=0,"",(VLOOKUP($C183,REV!$C:$AA,25,0)-'TRADE IN'!$F183))</f>
        <v>599</v>
      </c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7"/>
      <c r="AW183" s="58" t="str">
        <f>REV!AW183</f>
        <v>03.11.2026</v>
      </c>
      <c r="AX183" s="147" t="str">
        <f>VLOOKUP(C183,REV!C:AX,48,0)</f>
        <v>4G</v>
      </c>
    </row>
    <row r="184" spans="1:50" ht="21.75" customHeight="1">
      <c r="A184" s="64" t="s">
        <v>241</v>
      </c>
      <c r="B184" s="52" t="s">
        <v>64</v>
      </c>
      <c r="C184" s="53">
        <v>4015983</v>
      </c>
      <c r="D184" s="65" t="s">
        <v>305</v>
      </c>
      <c r="E184" s="65" t="s">
        <v>306</v>
      </c>
      <c r="F184" s="55"/>
      <c r="G184" s="55"/>
      <c r="H184" s="55"/>
      <c r="I184" s="55"/>
      <c r="J184" s="56">
        <f>IF(VLOOKUP($C184,REV!$C:$AA,8,0)-'TRADE IN'!$F184=0,"",(VLOOKUP($C184,REV!$C:$AA,8,0)-'TRADE IN'!$F184))</f>
        <v>799</v>
      </c>
      <c r="K184" s="56">
        <f>IF(VLOOKUP($C184,REV!$C:$AA,9,0)-'TRADE IN'!$F184=0,"",(VLOOKUP($C184,REV!$C:$AA,9,0)-'TRADE IN'!$F184))</f>
        <v>799</v>
      </c>
      <c r="L184" s="56">
        <f>IF(VLOOKUP($C184,REV!$C:$AA,10,0)-'TRADE IN'!$F184=0,"",(VLOOKUP($C184,REV!$C:$AA,10,0)-'TRADE IN'!$F184))</f>
        <v>799</v>
      </c>
      <c r="M184" s="56">
        <f>IF(VLOOKUP($C184,REV!$C:$AA,11,0)-'TRADE IN'!$F184=0,"",(VLOOKUP($C184,REV!$C:$AA,11,0)-'TRADE IN'!$F184))</f>
        <v>799</v>
      </c>
      <c r="N184" s="56">
        <f>IF(VLOOKUP($C184,REV!$C:$AA,12,0)-'TRADE IN'!$F184=0,"",(VLOOKUP($C184,REV!$C:$AA,12,0)-'TRADE IN'!$F184))</f>
        <v>799</v>
      </c>
      <c r="O184" s="56">
        <f>IF(VLOOKUP($C184,REV!$C:$AA,13,0)-'TRADE IN'!$F184=0,"",(VLOOKUP($C184,REV!$C:$AA,13,0)-'TRADE IN'!$F184))</f>
        <v>749</v>
      </c>
      <c r="P184" s="56">
        <f>IF(VLOOKUP($C184,REV!$C:$AA,14,0)-'TRADE IN'!$F184=0,"",(VLOOKUP($C184,REV!$C:$AA,14,0)-'TRADE IN'!$F184))</f>
        <v>749</v>
      </c>
      <c r="Q184" s="56">
        <f>IF(VLOOKUP($C184,REV!$C:$AA,15,0)-'TRADE IN'!$F184=0,"",(VLOOKUP($C184,REV!$C:$AA,15,0)-'TRADE IN'!$F184))</f>
        <v>749</v>
      </c>
      <c r="R184" s="56">
        <f>IF(VLOOKUP($C184,REV!$C:$AA,16,0)-'TRADE IN'!$F184=0,"",(VLOOKUP($C184,REV!$C:$AA,16,0)-'TRADE IN'!$F184))</f>
        <v>749</v>
      </c>
      <c r="S184" s="56">
        <f>IF(VLOOKUP($C184,REV!$C:$AA,17,0)-'TRADE IN'!$F184=0,"",(VLOOKUP($C184,REV!$C:$AA,17,0)-'TRADE IN'!$F184))</f>
        <v>749</v>
      </c>
      <c r="T184" s="56">
        <f>IF(VLOOKUP($C184,REV!$C:$AA,18,0)-'TRADE IN'!$F184=0,"",(VLOOKUP($C184,REV!$C:$AA,18,0)-'TRADE IN'!$F184))</f>
        <v>749</v>
      </c>
      <c r="U184" s="56">
        <f>IF(VLOOKUP($C184,REV!$C:$AA,19,0)-'TRADE IN'!$F184=0,"",(VLOOKUP($C184,REV!$C:$AA,19,0)-'TRADE IN'!$F184))</f>
        <v>749</v>
      </c>
      <c r="V184" s="56">
        <f>IF(VLOOKUP($C184,REV!$C:$AA,20,0)-'TRADE IN'!$F184=0,"",(VLOOKUP($C184,REV!$C:$AA,20,0)-'TRADE IN'!$F184))</f>
        <v>749</v>
      </c>
      <c r="W184" s="56">
        <f>IF(VLOOKUP($C184,REV!$C:$AA,21,0)-'TRADE IN'!$F184=0,"",(VLOOKUP($C184,REV!$C:$AA,21,0)-'TRADE IN'!$F184))</f>
        <v>749</v>
      </c>
      <c r="X184" s="56">
        <f>IF(VLOOKUP($C184,REV!$C:$AA,22,0)-'TRADE IN'!$F184=0,"",(VLOOKUP($C184,REV!$C:$AA,22,0)-'TRADE IN'!$F184))</f>
        <v>749</v>
      </c>
      <c r="Y184" s="56">
        <f>IF(VLOOKUP($C184,REV!$C:$AA,23,0)-'TRADE IN'!$F184=0,"",(VLOOKUP($C184,REV!$C:$AA,23,0)-'TRADE IN'!$F184))</f>
        <v>749</v>
      </c>
      <c r="Z184" s="56">
        <f>IF(VLOOKUP($C184,REV!$C:$AA,24,0)-'TRADE IN'!$F184=0,"",(VLOOKUP($C184,REV!$C:$AA,24,0)-'TRADE IN'!$F184))</f>
        <v>749</v>
      </c>
      <c r="AA184" s="56">
        <f>IF(VLOOKUP($C184,REV!$C:$AA,25,0)-'TRADE IN'!$F184=0,"",(VLOOKUP($C184,REV!$C:$AA,25,0)-'TRADE IN'!$F184))</f>
        <v>749</v>
      </c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5"/>
      <c r="AN184" s="55"/>
      <c r="AO184" s="55"/>
      <c r="AP184" s="55"/>
      <c r="AQ184" s="55"/>
      <c r="AR184" s="55"/>
      <c r="AS184" s="55"/>
      <c r="AT184" s="55"/>
      <c r="AU184" s="55"/>
      <c r="AV184" s="57"/>
      <c r="AW184" s="58" t="str">
        <f>REV!AW184</f>
        <v>03.11.2026</v>
      </c>
      <c r="AX184" s="147" t="str">
        <f>VLOOKUP(C184,REV!C:AX,48,0)</f>
        <v>5G</v>
      </c>
    </row>
    <row r="185" spans="1:50" ht="21.75" customHeight="1">
      <c r="A185" s="64" t="s">
        <v>241</v>
      </c>
      <c r="B185" s="52" t="s">
        <v>64</v>
      </c>
      <c r="C185" s="53">
        <v>4015985</v>
      </c>
      <c r="D185" s="65" t="s">
        <v>305</v>
      </c>
      <c r="E185" s="65" t="s">
        <v>307</v>
      </c>
      <c r="F185" s="55"/>
      <c r="G185" s="55"/>
      <c r="H185" s="55"/>
      <c r="I185" s="55"/>
      <c r="J185" s="56">
        <f>IF(VLOOKUP($C185,REV!$C:$AA,8,0)-'TRADE IN'!$F185=0,"",(VLOOKUP($C185,REV!$C:$AA,8,0)-'TRADE IN'!$F185))</f>
        <v>799</v>
      </c>
      <c r="K185" s="56">
        <f>IF(VLOOKUP($C185,REV!$C:$AA,9,0)-'TRADE IN'!$F185=0,"",(VLOOKUP($C185,REV!$C:$AA,9,0)-'TRADE IN'!$F185))</f>
        <v>799</v>
      </c>
      <c r="L185" s="56">
        <f>IF(VLOOKUP($C185,REV!$C:$AA,10,0)-'TRADE IN'!$F185=0,"",(VLOOKUP($C185,REV!$C:$AA,10,0)-'TRADE IN'!$F185))</f>
        <v>799</v>
      </c>
      <c r="M185" s="56">
        <f>IF(VLOOKUP($C185,REV!$C:$AA,11,0)-'TRADE IN'!$F185=0,"",(VLOOKUP($C185,REV!$C:$AA,11,0)-'TRADE IN'!$F185))</f>
        <v>799</v>
      </c>
      <c r="N185" s="56">
        <f>IF(VLOOKUP($C185,REV!$C:$AA,12,0)-'TRADE IN'!$F185=0,"",(VLOOKUP($C185,REV!$C:$AA,12,0)-'TRADE IN'!$F185))</f>
        <v>799</v>
      </c>
      <c r="O185" s="56">
        <f>IF(VLOOKUP($C185,REV!$C:$AA,13,0)-'TRADE IN'!$F185=0,"",(VLOOKUP($C185,REV!$C:$AA,13,0)-'TRADE IN'!$F185))</f>
        <v>749</v>
      </c>
      <c r="P185" s="56">
        <f>IF(VLOOKUP($C185,REV!$C:$AA,14,0)-'TRADE IN'!$F185=0,"",(VLOOKUP($C185,REV!$C:$AA,14,0)-'TRADE IN'!$F185))</f>
        <v>749</v>
      </c>
      <c r="Q185" s="56">
        <f>IF(VLOOKUP($C185,REV!$C:$AA,15,0)-'TRADE IN'!$F185=0,"",(VLOOKUP($C185,REV!$C:$AA,15,0)-'TRADE IN'!$F185))</f>
        <v>749</v>
      </c>
      <c r="R185" s="56">
        <f>IF(VLOOKUP($C185,REV!$C:$AA,16,0)-'TRADE IN'!$F185=0,"",(VLOOKUP($C185,REV!$C:$AA,16,0)-'TRADE IN'!$F185))</f>
        <v>749</v>
      </c>
      <c r="S185" s="56">
        <f>IF(VLOOKUP($C185,REV!$C:$AA,17,0)-'TRADE IN'!$F185=0,"",(VLOOKUP($C185,REV!$C:$AA,17,0)-'TRADE IN'!$F185))</f>
        <v>749</v>
      </c>
      <c r="T185" s="56">
        <f>IF(VLOOKUP($C185,REV!$C:$AA,18,0)-'TRADE IN'!$F185=0,"",(VLOOKUP($C185,REV!$C:$AA,18,0)-'TRADE IN'!$F185))</f>
        <v>749</v>
      </c>
      <c r="U185" s="56">
        <f>IF(VLOOKUP($C185,REV!$C:$AA,19,0)-'TRADE IN'!$F185=0,"",(VLOOKUP($C185,REV!$C:$AA,19,0)-'TRADE IN'!$F185))</f>
        <v>749</v>
      </c>
      <c r="V185" s="56">
        <f>IF(VLOOKUP($C185,REV!$C:$AA,20,0)-'TRADE IN'!$F185=0,"",(VLOOKUP($C185,REV!$C:$AA,20,0)-'TRADE IN'!$F185))</f>
        <v>749</v>
      </c>
      <c r="W185" s="56">
        <f>IF(VLOOKUP($C185,REV!$C:$AA,21,0)-'TRADE IN'!$F185=0,"",(VLOOKUP($C185,REV!$C:$AA,21,0)-'TRADE IN'!$F185))</f>
        <v>749</v>
      </c>
      <c r="X185" s="56">
        <f>IF(VLOOKUP($C185,REV!$C:$AA,22,0)-'TRADE IN'!$F185=0,"",(VLOOKUP($C185,REV!$C:$AA,22,0)-'TRADE IN'!$F185))</f>
        <v>749</v>
      </c>
      <c r="Y185" s="56">
        <f>IF(VLOOKUP($C185,REV!$C:$AA,23,0)-'TRADE IN'!$F185=0,"",(VLOOKUP($C185,REV!$C:$AA,23,0)-'TRADE IN'!$F185))</f>
        <v>749</v>
      </c>
      <c r="Z185" s="56">
        <f>IF(VLOOKUP($C185,REV!$C:$AA,24,0)-'TRADE IN'!$F185=0,"",(VLOOKUP($C185,REV!$C:$AA,24,0)-'TRADE IN'!$F185))</f>
        <v>749</v>
      </c>
      <c r="AA185" s="56">
        <f>IF(VLOOKUP($C185,REV!$C:$AA,25,0)-'TRADE IN'!$F185=0,"",(VLOOKUP($C185,REV!$C:$AA,25,0)-'TRADE IN'!$F185))</f>
        <v>749</v>
      </c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7"/>
      <c r="AW185" s="58" t="str">
        <f>REV!AW185</f>
        <v>03.11.2026</v>
      </c>
      <c r="AX185" s="147" t="str">
        <f>VLOOKUP(C185,REV!C:AX,48,0)</f>
        <v>5G</v>
      </c>
    </row>
    <row r="186" spans="1:50" ht="21.75" customHeight="1">
      <c r="A186" s="64" t="s">
        <v>241</v>
      </c>
      <c r="B186" s="52" t="s">
        <v>64</v>
      </c>
      <c r="C186" s="53">
        <v>4016578</v>
      </c>
      <c r="D186" s="65" t="s">
        <v>308</v>
      </c>
      <c r="E186" s="65" t="s">
        <v>309</v>
      </c>
      <c r="F186" s="55"/>
      <c r="G186" s="55"/>
      <c r="H186" s="55"/>
      <c r="I186" s="55"/>
      <c r="J186" s="56">
        <f>IF(VLOOKUP($C186,REV!$C:$AA,8,0)-'TRADE IN'!$F186=0,"",(VLOOKUP($C186,REV!$C:$AA,8,0)-'TRADE IN'!$F186))</f>
        <v>999</v>
      </c>
      <c r="K186" s="56">
        <f>IF(VLOOKUP($C186,REV!$C:$AA,9,0)-'TRADE IN'!$F186=0,"",(VLOOKUP($C186,REV!$C:$AA,9,0)-'TRADE IN'!$F186))</f>
        <v>899</v>
      </c>
      <c r="L186" s="56">
        <f>IF(VLOOKUP($C186,REV!$C:$AA,10,0)-'TRADE IN'!$F186=0,"",(VLOOKUP($C186,REV!$C:$AA,10,0)-'TRADE IN'!$F186))</f>
        <v>899</v>
      </c>
      <c r="M186" s="56">
        <f>IF(VLOOKUP($C186,REV!$C:$AA,11,0)-'TRADE IN'!$F186=0,"",(VLOOKUP($C186,REV!$C:$AA,11,0)-'TRADE IN'!$F186))</f>
        <v>999</v>
      </c>
      <c r="N186" s="56">
        <f>IF(VLOOKUP($C186,REV!$C:$AA,12,0)-'TRADE IN'!$F186=0,"",(VLOOKUP($C186,REV!$C:$AA,12,0)-'TRADE IN'!$F186))</f>
        <v>899</v>
      </c>
      <c r="O186" s="56">
        <f>IF(VLOOKUP($C186,REV!$C:$AA,13,0)-'TRADE IN'!$F186=0,"",(VLOOKUP($C186,REV!$C:$AA,13,0)-'TRADE IN'!$F186))</f>
        <v>849</v>
      </c>
      <c r="P186" s="56">
        <f>IF(VLOOKUP($C186,REV!$C:$AA,14,0)-'TRADE IN'!$F186=0,"",(VLOOKUP($C186,REV!$C:$AA,14,0)-'TRADE IN'!$F186))</f>
        <v>849</v>
      </c>
      <c r="Q186" s="56">
        <f>IF(VLOOKUP($C186,REV!$C:$AA,15,0)-'TRADE IN'!$F186=0,"",(VLOOKUP($C186,REV!$C:$AA,15,0)-'TRADE IN'!$F186))</f>
        <v>849</v>
      </c>
      <c r="R186" s="56">
        <f>IF(VLOOKUP($C186,REV!$C:$AA,16,0)-'TRADE IN'!$F186=0,"",(VLOOKUP($C186,REV!$C:$AA,16,0)-'TRADE IN'!$F186))</f>
        <v>849</v>
      </c>
      <c r="S186" s="56">
        <f>IF(VLOOKUP($C186,REV!$C:$AA,17,0)-'TRADE IN'!$F186=0,"",(VLOOKUP($C186,REV!$C:$AA,17,0)-'TRADE IN'!$F186))</f>
        <v>849</v>
      </c>
      <c r="T186" s="56">
        <f>IF(VLOOKUP($C186,REV!$C:$AA,18,0)-'TRADE IN'!$F186=0,"",(VLOOKUP($C186,REV!$C:$AA,18,0)-'TRADE IN'!$F186))</f>
        <v>849</v>
      </c>
      <c r="U186" s="56">
        <f>IF(VLOOKUP($C186,REV!$C:$AA,19,0)-'TRADE IN'!$F186=0,"",(VLOOKUP($C186,REV!$C:$AA,19,0)-'TRADE IN'!$F186))</f>
        <v>849</v>
      </c>
      <c r="V186" s="56">
        <f>IF(VLOOKUP($C186,REV!$C:$AA,20,0)-'TRADE IN'!$F186=0,"",(VLOOKUP($C186,REV!$C:$AA,20,0)-'TRADE IN'!$F186))</f>
        <v>849</v>
      </c>
      <c r="W186" s="56">
        <f>IF(VLOOKUP($C186,REV!$C:$AA,21,0)-'TRADE IN'!$F186=0,"",(VLOOKUP($C186,REV!$C:$AA,21,0)-'TRADE IN'!$F186))</f>
        <v>849</v>
      </c>
      <c r="X186" s="56">
        <f>IF(VLOOKUP($C186,REV!$C:$AA,22,0)-'TRADE IN'!$F186=0,"",(VLOOKUP($C186,REV!$C:$AA,22,0)-'TRADE IN'!$F186))</f>
        <v>849</v>
      </c>
      <c r="Y186" s="56">
        <f>IF(VLOOKUP($C186,REV!$C:$AA,23,0)-'TRADE IN'!$F186=0,"",(VLOOKUP($C186,REV!$C:$AA,23,0)-'TRADE IN'!$F186))</f>
        <v>849</v>
      </c>
      <c r="Z186" s="56">
        <f>IF(VLOOKUP($C186,REV!$C:$AA,24,0)-'TRADE IN'!$F186=0,"",(VLOOKUP($C186,REV!$C:$AA,24,0)-'TRADE IN'!$F186))</f>
        <v>849</v>
      </c>
      <c r="AA186" s="56">
        <f>IF(VLOOKUP($C186,REV!$C:$AA,25,0)-'TRADE IN'!$F186=0,"",(VLOOKUP($C186,REV!$C:$AA,25,0)-'TRADE IN'!$F186))</f>
        <v>849</v>
      </c>
      <c r="AB186" s="56">
        <f>IF(VLOOKUP($C186,REV!$C:$AL,27,0)-'TRADE IN'!$F186=0,"",(VLOOKUP($C186,REV!$C:$AL,27,0)-'TRADE IN'!$F186))</f>
        <v>899</v>
      </c>
      <c r="AC186" s="56">
        <f>IF(VLOOKUP($C186,REV!$C:$AL,28,0)-'TRADE IN'!$F186=0,"",(VLOOKUP($C186,REV!$C:$AL,28,0)-'TRADE IN'!$F186))</f>
        <v>899</v>
      </c>
      <c r="AD186" s="56">
        <f>IF(VLOOKUP($C186,REV!$C:$AL,29,0)-'TRADE IN'!$F186=0,"",(VLOOKUP($C186,REV!$C:$AL,29,0)-'TRADE IN'!$F186))</f>
        <v>849</v>
      </c>
      <c r="AE186" s="56">
        <f>IF(VLOOKUP($C186,REV!$C:$AL,30,0)-'TRADE IN'!$F186=0,"",(VLOOKUP($C186,REV!$C:$AL,30,0)-'TRADE IN'!$F186))</f>
        <v>849</v>
      </c>
      <c r="AF186" s="56">
        <f>IF(VLOOKUP($C186,REV!$C:$AL,31,0)-'TRADE IN'!$F186=0,"",(VLOOKUP($C186,REV!$C:$AL,31,0)-'TRADE IN'!$F186))</f>
        <v>849</v>
      </c>
      <c r="AG186" s="56">
        <f>IF(VLOOKUP($C186,REV!$C:$AL,31,0)-'TRADE IN'!$F186=0,"",(VLOOKUP($C186,REV!$C:$AL,31,0)-'TRADE IN'!$F186))</f>
        <v>849</v>
      </c>
      <c r="AH186" s="56">
        <f>IF(VLOOKUP($C186,REV!$C:$AL,32,0)-'TRADE IN'!$F186=0,"",(VLOOKUP($C186,REV!$C:$AL,32,0)-'TRADE IN'!$F186))</f>
        <v>849</v>
      </c>
      <c r="AI186" s="56">
        <f>IF(VLOOKUP($C186,REV!$C:$AL,33,0)-'TRADE IN'!$F186=0,"",(VLOOKUP($C186,REV!$C:$AL,33,0)-'TRADE IN'!$F186))</f>
        <v>849</v>
      </c>
      <c r="AJ186" s="56">
        <f>IF(VLOOKUP($C186,REV!$C:$AL,34,0)-'TRADE IN'!$F186=0,"",(VLOOKUP($C186,REV!$C:$AL,34,0)-'TRADE IN'!$F186))</f>
        <v>849</v>
      </c>
      <c r="AK186" s="56">
        <f>IF(VLOOKUP($C186,REV!$C:$AL,35,0)-'TRADE IN'!$F186=0,"",(VLOOKUP($C186,REV!$C:$AL,35,0)-'TRADE IN'!$F186))</f>
        <v>849</v>
      </c>
      <c r="AL186" s="56">
        <f>IF(VLOOKUP($C186,REV!$C:$AL,36,0)-'TRADE IN'!$F186=0,"",(VLOOKUP($C186,REV!$C:$AL,36,0)-'TRADE IN'!$F186))</f>
        <v>849</v>
      </c>
      <c r="AM186" s="55"/>
      <c r="AN186" s="55"/>
      <c r="AO186" s="55"/>
      <c r="AP186" s="55"/>
      <c r="AQ186" s="55"/>
      <c r="AR186" s="55"/>
      <c r="AS186" s="55"/>
      <c r="AT186" s="55"/>
      <c r="AU186" s="55"/>
      <c r="AV186" s="57"/>
      <c r="AW186" s="58" t="str">
        <f>REV!AW186</f>
        <v>03.11.2026</v>
      </c>
      <c r="AX186" s="147" t="str">
        <f>VLOOKUP(C186,REV!C:AX,48,0)</f>
        <v>5G</v>
      </c>
    </row>
    <row r="187" spans="1:50" ht="21.75" customHeight="1">
      <c r="A187" s="64" t="s">
        <v>241</v>
      </c>
      <c r="B187" s="52" t="s">
        <v>64</v>
      </c>
      <c r="C187" s="53">
        <v>4016661</v>
      </c>
      <c r="D187" s="65" t="s">
        <v>308</v>
      </c>
      <c r="E187" s="65" t="s">
        <v>310</v>
      </c>
      <c r="F187" s="55"/>
      <c r="G187" s="55"/>
      <c r="H187" s="55"/>
      <c r="I187" s="55"/>
      <c r="J187" s="56">
        <f>IF(VLOOKUP($C187,REV!$C:$AA,8,0)-'TRADE IN'!$F187=0,"",(VLOOKUP($C187,REV!$C:$AA,8,0)-'TRADE IN'!$F187))</f>
        <v>999</v>
      </c>
      <c r="K187" s="56">
        <f>IF(VLOOKUP($C187,REV!$C:$AA,9,0)-'TRADE IN'!$F187=0,"",(VLOOKUP($C187,REV!$C:$AA,9,0)-'TRADE IN'!$F187))</f>
        <v>899</v>
      </c>
      <c r="L187" s="56">
        <f>IF(VLOOKUP($C187,REV!$C:$AA,10,0)-'TRADE IN'!$F187=0,"",(VLOOKUP($C187,REV!$C:$AA,10,0)-'TRADE IN'!$F187))</f>
        <v>899</v>
      </c>
      <c r="M187" s="56">
        <f>IF(VLOOKUP($C187,REV!$C:$AA,11,0)-'TRADE IN'!$F187=0,"",(VLOOKUP($C187,REV!$C:$AA,11,0)-'TRADE IN'!$F187))</f>
        <v>999</v>
      </c>
      <c r="N187" s="56">
        <f>IF(VLOOKUP($C187,REV!$C:$AA,12,0)-'TRADE IN'!$F187=0,"",(VLOOKUP($C187,REV!$C:$AA,12,0)-'TRADE IN'!$F187))</f>
        <v>899</v>
      </c>
      <c r="O187" s="56">
        <f>IF(VLOOKUP($C187,REV!$C:$AA,13,0)-'TRADE IN'!$F187=0,"",(VLOOKUP($C187,REV!$C:$AA,13,0)-'TRADE IN'!$F187))</f>
        <v>849</v>
      </c>
      <c r="P187" s="56">
        <f>IF(VLOOKUP($C187,REV!$C:$AA,14,0)-'TRADE IN'!$F187=0,"",(VLOOKUP($C187,REV!$C:$AA,14,0)-'TRADE IN'!$F187))</f>
        <v>849</v>
      </c>
      <c r="Q187" s="56">
        <f>IF(VLOOKUP($C187,REV!$C:$AA,15,0)-'TRADE IN'!$F187=0,"",(VLOOKUP($C187,REV!$C:$AA,15,0)-'TRADE IN'!$F187))</f>
        <v>849</v>
      </c>
      <c r="R187" s="56">
        <f>IF(VLOOKUP($C187,REV!$C:$AA,16,0)-'TRADE IN'!$F187=0,"",(VLOOKUP($C187,REV!$C:$AA,16,0)-'TRADE IN'!$F187))</f>
        <v>849</v>
      </c>
      <c r="S187" s="56">
        <f>IF(VLOOKUP($C187,REV!$C:$AA,17,0)-'TRADE IN'!$F187=0,"",(VLOOKUP($C187,REV!$C:$AA,17,0)-'TRADE IN'!$F187))</f>
        <v>849</v>
      </c>
      <c r="T187" s="56">
        <f>IF(VLOOKUP($C187,REV!$C:$AA,18,0)-'TRADE IN'!$F187=0,"",(VLOOKUP($C187,REV!$C:$AA,18,0)-'TRADE IN'!$F187))</f>
        <v>849</v>
      </c>
      <c r="U187" s="56">
        <f>IF(VLOOKUP($C187,REV!$C:$AA,19,0)-'TRADE IN'!$F187=0,"",(VLOOKUP($C187,REV!$C:$AA,19,0)-'TRADE IN'!$F187))</f>
        <v>849</v>
      </c>
      <c r="V187" s="56">
        <f>IF(VLOOKUP($C187,REV!$C:$AA,20,0)-'TRADE IN'!$F187=0,"",(VLOOKUP($C187,REV!$C:$AA,20,0)-'TRADE IN'!$F187))</f>
        <v>849</v>
      </c>
      <c r="W187" s="56">
        <f>IF(VLOOKUP($C187,REV!$C:$AA,21,0)-'TRADE IN'!$F187=0,"",(VLOOKUP($C187,REV!$C:$AA,21,0)-'TRADE IN'!$F187))</f>
        <v>849</v>
      </c>
      <c r="X187" s="56">
        <f>IF(VLOOKUP($C187,REV!$C:$AA,22,0)-'TRADE IN'!$F187=0,"",(VLOOKUP($C187,REV!$C:$AA,22,0)-'TRADE IN'!$F187))</f>
        <v>849</v>
      </c>
      <c r="Y187" s="56">
        <f>IF(VLOOKUP($C187,REV!$C:$AA,23,0)-'TRADE IN'!$F187=0,"",(VLOOKUP($C187,REV!$C:$AA,23,0)-'TRADE IN'!$F187))</f>
        <v>849</v>
      </c>
      <c r="Z187" s="56">
        <f>IF(VLOOKUP($C187,REV!$C:$AA,24,0)-'TRADE IN'!$F187=0,"",(VLOOKUP($C187,REV!$C:$AA,24,0)-'TRADE IN'!$F187))</f>
        <v>849</v>
      </c>
      <c r="AA187" s="56">
        <f>IF(VLOOKUP($C187,REV!$C:$AA,25,0)-'TRADE IN'!$F187=0,"",(VLOOKUP($C187,REV!$C:$AA,25,0)-'TRADE IN'!$F187))</f>
        <v>849</v>
      </c>
      <c r="AB187" s="56">
        <f>IF(VLOOKUP($C187,REV!$C:$AL,27,0)-'TRADE IN'!$F187=0,"",(VLOOKUP($C187,REV!$C:$AL,27,0)-'TRADE IN'!$F187))</f>
        <v>899</v>
      </c>
      <c r="AC187" s="56">
        <f>IF(VLOOKUP($C187,REV!$C:$AL,28,0)-'TRADE IN'!$F187=0,"",(VLOOKUP($C187,REV!$C:$AL,28,0)-'TRADE IN'!$F187))</f>
        <v>899</v>
      </c>
      <c r="AD187" s="56">
        <f>IF(VLOOKUP($C187,REV!$C:$AL,29,0)-'TRADE IN'!$F187=0,"",(VLOOKUP($C187,REV!$C:$AL,29,0)-'TRADE IN'!$F187))</f>
        <v>849</v>
      </c>
      <c r="AE187" s="56">
        <f>IF(VLOOKUP($C187,REV!$C:$AL,30,0)-'TRADE IN'!$F187=0,"",(VLOOKUP($C187,REV!$C:$AL,30,0)-'TRADE IN'!$F187))</f>
        <v>849</v>
      </c>
      <c r="AF187" s="56">
        <f>IF(VLOOKUP($C187,REV!$C:$AL,31,0)-'TRADE IN'!$F187=0,"",(VLOOKUP($C187,REV!$C:$AL,31,0)-'TRADE IN'!$F187))</f>
        <v>849</v>
      </c>
      <c r="AG187" s="56">
        <f>IF(VLOOKUP($C187,REV!$C:$AL,31,0)-'TRADE IN'!$F187=0,"",(VLOOKUP($C187,REV!$C:$AL,31,0)-'TRADE IN'!$F187))</f>
        <v>849</v>
      </c>
      <c r="AH187" s="56">
        <f>IF(VLOOKUP($C187,REV!$C:$AL,32,0)-'TRADE IN'!$F187=0,"",(VLOOKUP($C187,REV!$C:$AL,32,0)-'TRADE IN'!$F187))</f>
        <v>849</v>
      </c>
      <c r="AI187" s="56">
        <f>IF(VLOOKUP($C187,REV!$C:$AL,33,0)-'TRADE IN'!$F187=0,"",(VLOOKUP($C187,REV!$C:$AL,33,0)-'TRADE IN'!$F187))</f>
        <v>849</v>
      </c>
      <c r="AJ187" s="56">
        <f>IF(VLOOKUP($C187,REV!$C:$AL,34,0)-'TRADE IN'!$F187=0,"",(VLOOKUP($C187,REV!$C:$AL,34,0)-'TRADE IN'!$F187))</f>
        <v>849</v>
      </c>
      <c r="AK187" s="56">
        <f>IF(VLOOKUP($C187,REV!$C:$AL,35,0)-'TRADE IN'!$F187=0,"",(VLOOKUP($C187,REV!$C:$AL,35,0)-'TRADE IN'!$F187))</f>
        <v>849</v>
      </c>
      <c r="AL187" s="56">
        <f>IF(VLOOKUP($C187,REV!$C:$AL,36,0)-'TRADE IN'!$F187=0,"",(VLOOKUP($C187,REV!$C:$AL,36,0)-'TRADE IN'!$F187))</f>
        <v>849</v>
      </c>
      <c r="AM187" s="55"/>
      <c r="AN187" s="55"/>
      <c r="AO187" s="55"/>
      <c r="AP187" s="55"/>
      <c r="AQ187" s="55"/>
      <c r="AR187" s="55"/>
      <c r="AS187" s="55"/>
      <c r="AT187" s="55"/>
      <c r="AU187" s="55"/>
      <c r="AV187" s="57"/>
      <c r="AW187" s="58" t="str">
        <f>REV!AW187</f>
        <v>03.11.2026</v>
      </c>
      <c r="AX187" s="147" t="str">
        <f>VLOOKUP(C187,REV!C:AX,48,0)</f>
        <v>5G</v>
      </c>
    </row>
    <row r="188" spans="1:50" ht="21.75" customHeight="1">
      <c r="A188" s="64" t="s">
        <v>241</v>
      </c>
      <c r="B188" s="52" t="s">
        <v>64</v>
      </c>
      <c r="C188" s="53">
        <v>4016660</v>
      </c>
      <c r="D188" s="65" t="s">
        <v>311</v>
      </c>
      <c r="E188" s="65" t="s">
        <v>312</v>
      </c>
      <c r="F188" s="55"/>
      <c r="G188" s="55"/>
      <c r="H188" s="55"/>
      <c r="I188" s="55"/>
      <c r="J188" s="56">
        <f>IF(VLOOKUP($C188,REV!$C:$AA,8,0)-'TRADE IN'!$F188=0,"",(VLOOKUP($C188,REV!$C:$AA,8,0)-'TRADE IN'!$F188))</f>
        <v>1299</v>
      </c>
      <c r="K188" s="56">
        <f>IF(VLOOKUP($C188,REV!$C:$AA,9,0)-'TRADE IN'!$F188=0,"",(VLOOKUP($C188,REV!$C:$AA,9,0)-'TRADE IN'!$F188))</f>
        <v>1299</v>
      </c>
      <c r="L188" s="56">
        <f>IF(VLOOKUP($C188,REV!$C:$AA,10,0)-'TRADE IN'!$F188=0,"",(VLOOKUP($C188,REV!$C:$AA,10,0)-'TRADE IN'!$F188))</f>
        <v>1299</v>
      </c>
      <c r="M188" s="56">
        <f>IF(VLOOKUP($C188,REV!$C:$AA,11,0)-'TRADE IN'!$F188=0,"",(VLOOKUP($C188,REV!$C:$AA,11,0)-'TRADE IN'!$F188))</f>
        <v>1299</v>
      </c>
      <c r="N188" s="56">
        <f>IF(VLOOKUP($C188,REV!$C:$AA,12,0)-'TRADE IN'!$F188=0,"",(VLOOKUP($C188,REV!$C:$AA,12,0)-'TRADE IN'!$F188))</f>
        <v>1299</v>
      </c>
      <c r="O188" s="56">
        <f>IF(VLOOKUP($C188,REV!$C:$AA,13,0)-'TRADE IN'!$F188=0,"",(VLOOKUP($C188,REV!$C:$AA,13,0)-'TRADE IN'!$F188))</f>
        <v>1249</v>
      </c>
      <c r="P188" s="56">
        <f>IF(VLOOKUP($C188,REV!$C:$AA,14,0)-'TRADE IN'!$F188=0,"",(VLOOKUP($C188,REV!$C:$AA,14,0)-'TRADE IN'!$F188))</f>
        <v>1199</v>
      </c>
      <c r="Q188" s="56">
        <f>IF(VLOOKUP($C188,REV!$C:$AA,15,0)-'TRADE IN'!$F188=0,"",(VLOOKUP($C188,REV!$C:$AA,15,0)-'TRADE IN'!$F188))</f>
        <v>999</v>
      </c>
      <c r="R188" s="56">
        <f>IF(VLOOKUP($C188,REV!$C:$AA,16,0)-'TRADE IN'!$F188=0,"",(VLOOKUP($C188,REV!$C:$AA,16,0)-'TRADE IN'!$F188))</f>
        <v>1249</v>
      </c>
      <c r="S188" s="56">
        <f>IF(VLOOKUP($C188,REV!$C:$AA,17,0)-'TRADE IN'!$F188=0,"",(VLOOKUP($C188,REV!$C:$AA,17,0)-'TRADE IN'!$F188))</f>
        <v>1199</v>
      </c>
      <c r="T188" s="56">
        <f>IF(VLOOKUP($C188,REV!$C:$AA,18,0)-'TRADE IN'!$F188=0,"",(VLOOKUP($C188,REV!$C:$AA,18,0)-'TRADE IN'!$F188))</f>
        <v>999</v>
      </c>
      <c r="U188" s="56">
        <f>IF(VLOOKUP($C188,REV!$C:$AA,19,0)-'TRADE IN'!$F188=0,"",(VLOOKUP($C188,REV!$C:$AA,19,0)-'TRADE IN'!$F188))</f>
        <v>999</v>
      </c>
      <c r="V188" s="56">
        <f>IF(VLOOKUP($C188,REV!$C:$AA,20,0)-'TRADE IN'!$F188=0,"",(VLOOKUP($C188,REV!$C:$AA,20,0)-'TRADE IN'!$F188))</f>
        <v>999</v>
      </c>
      <c r="W188" s="56">
        <f>IF(VLOOKUP($C188,REV!$C:$AA,21,0)-'TRADE IN'!$F188=0,"",(VLOOKUP($C188,REV!$C:$AA,21,0)-'TRADE IN'!$F188))</f>
        <v>999</v>
      </c>
      <c r="X188" s="56">
        <f>IF(VLOOKUP($C188,REV!$C:$AA,22,0)-'TRADE IN'!$F188=0,"",(VLOOKUP($C188,REV!$C:$AA,22,0)-'TRADE IN'!$F188))</f>
        <v>999</v>
      </c>
      <c r="Y188" s="56">
        <f>IF(VLOOKUP($C188,REV!$C:$AA,23,0)-'TRADE IN'!$F188=0,"",(VLOOKUP($C188,REV!$C:$AA,23,0)-'TRADE IN'!$F188))</f>
        <v>999</v>
      </c>
      <c r="Z188" s="56">
        <f>IF(VLOOKUP($C188,REV!$C:$AA,24,0)-'TRADE IN'!$F188=0,"",(VLOOKUP($C188,REV!$C:$AA,24,0)-'TRADE IN'!$F188))</f>
        <v>999</v>
      </c>
      <c r="AA188" s="56">
        <f>IF(VLOOKUP($C188,REV!$C:$AA,25,0)-'TRADE IN'!$F188=0,"",(VLOOKUP($C188,REV!$C:$AA,25,0)-'TRADE IN'!$F188))</f>
        <v>999</v>
      </c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7"/>
      <c r="AW188" s="58" t="str">
        <f>REV!AW188</f>
        <v>03.11.2026</v>
      </c>
      <c r="AX188" s="147" t="str">
        <f>VLOOKUP(C188,REV!C:AX,48,0)</f>
        <v>5G</v>
      </c>
    </row>
    <row r="189" spans="1:50" ht="21.75" customHeight="1">
      <c r="A189" s="64" t="s">
        <v>241</v>
      </c>
      <c r="B189" s="52" t="s">
        <v>64</v>
      </c>
      <c r="C189" s="53">
        <v>4016663</v>
      </c>
      <c r="D189" s="65" t="s">
        <v>311</v>
      </c>
      <c r="E189" s="65" t="s">
        <v>313</v>
      </c>
      <c r="F189" s="55"/>
      <c r="G189" s="55"/>
      <c r="H189" s="55"/>
      <c r="I189" s="55"/>
      <c r="J189" s="56">
        <f>IF(VLOOKUP($C189,REV!$C:$AA,8,0)-'TRADE IN'!$F189=0,"",(VLOOKUP($C189,REV!$C:$AA,8,0)-'TRADE IN'!$F189))</f>
        <v>1299</v>
      </c>
      <c r="K189" s="56">
        <f>IF(VLOOKUP($C189,REV!$C:$AA,9,0)-'TRADE IN'!$F189=0,"",(VLOOKUP($C189,REV!$C:$AA,9,0)-'TRADE IN'!$F189))</f>
        <v>1299</v>
      </c>
      <c r="L189" s="56">
        <f>IF(VLOOKUP($C189,REV!$C:$AA,10,0)-'TRADE IN'!$F189=0,"",(VLOOKUP($C189,REV!$C:$AA,10,0)-'TRADE IN'!$F189))</f>
        <v>1299</v>
      </c>
      <c r="M189" s="56">
        <f>IF(VLOOKUP($C189,REV!$C:$AA,11,0)-'TRADE IN'!$F189=0,"",(VLOOKUP($C189,REV!$C:$AA,11,0)-'TRADE IN'!$F189))</f>
        <v>1299</v>
      </c>
      <c r="N189" s="56">
        <f>IF(VLOOKUP($C189,REV!$C:$AA,12,0)-'TRADE IN'!$F189=0,"",(VLOOKUP($C189,REV!$C:$AA,12,0)-'TRADE IN'!$F189))</f>
        <v>1299</v>
      </c>
      <c r="O189" s="56">
        <f>IF(VLOOKUP($C189,REV!$C:$AA,13,0)-'TRADE IN'!$F189=0,"",(VLOOKUP($C189,REV!$C:$AA,13,0)-'TRADE IN'!$F189))</f>
        <v>1249</v>
      </c>
      <c r="P189" s="56">
        <f>IF(VLOOKUP($C189,REV!$C:$AA,14,0)-'TRADE IN'!$F189=0,"",(VLOOKUP($C189,REV!$C:$AA,14,0)-'TRADE IN'!$F189))</f>
        <v>1199</v>
      </c>
      <c r="Q189" s="56">
        <f>IF(VLOOKUP($C189,REV!$C:$AA,15,0)-'TRADE IN'!$F189=0,"",(VLOOKUP($C189,REV!$C:$AA,15,0)-'TRADE IN'!$F189))</f>
        <v>999</v>
      </c>
      <c r="R189" s="56">
        <f>IF(VLOOKUP($C189,REV!$C:$AA,16,0)-'TRADE IN'!$F189=0,"",(VLOOKUP($C189,REV!$C:$AA,16,0)-'TRADE IN'!$F189))</f>
        <v>1249</v>
      </c>
      <c r="S189" s="56">
        <f>IF(VLOOKUP($C189,REV!$C:$AA,17,0)-'TRADE IN'!$F189=0,"",(VLOOKUP($C189,REV!$C:$AA,17,0)-'TRADE IN'!$F189))</f>
        <v>1199</v>
      </c>
      <c r="T189" s="56">
        <f>IF(VLOOKUP($C189,REV!$C:$AA,18,0)-'TRADE IN'!$F189=0,"",(VLOOKUP($C189,REV!$C:$AA,18,0)-'TRADE IN'!$F189))</f>
        <v>999</v>
      </c>
      <c r="U189" s="56">
        <f>IF(VLOOKUP($C189,REV!$C:$AA,19,0)-'TRADE IN'!$F189=0,"",(VLOOKUP($C189,REV!$C:$AA,19,0)-'TRADE IN'!$F189))</f>
        <v>999</v>
      </c>
      <c r="V189" s="56">
        <f>IF(VLOOKUP($C189,REV!$C:$AA,20,0)-'TRADE IN'!$F189=0,"",(VLOOKUP($C189,REV!$C:$AA,20,0)-'TRADE IN'!$F189))</f>
        <v>999</v>
      </c>
      <c r="W189" s="56">
        <f>IF(VLOOKUP($C189,REV!$C:$AA,21,0)-'TRADE IN'!$F189=0,"",(VLOOKUP($C189,REV!$C:$AA,21,0)-'TRADE IN'!$F189))</f>
        <v>999</v>
      </c>
      <c r="X189" s="56">
        <f>IF(VLOOKUP($C189,REV!$C:$AA,22,0)-'TRADE IN'!$F189=0,"",(VLOOKUP($C189,REV!$C:$AA,22,0)-'TRADE IN'!$F189))</f>
        <v>999</v>
      </c>
      <c r="Y189" s="56">
        <f>IF(VLOOKUP($C189,REV!$C:$AA,23,0)-'TRADE IN'!$F189=0,"",(VLOOKUP($C189,REV!$C:$AA,23,0)-'TRADE IN'!$F189))</f>
        <v>999</v>
      </c>
      <c r="Z189" s="56">
        <f>IF(VLOOKUP($C189,REV!$C:$AA,24,0)-'TRADE IN'!$F189=0,"",(VLOOKUP($C189,REV!$C:$AA,24,0)-'TRADE IN'!$F189))</f>
        <v>999</v>
      </c>
      <c r="AA189" s="56">
        <f>IF(VLOOKUP($C189,REV!$C:$AA,25,0)-'TRADE IN'!$F189=0,"",(VLOOKUP($C189,REV!$C:$AA,25,0)-'TRADE IN'!$F189))</f>
        <v>999</v>
      </c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7"/>
      <c r="AW189" s="58" t="str">
        <f>REV!AW189</f>
        <v>03.11.2026</v>
      </c>
      <c r="AX189" s="147" t="str">
        <f>VLOOKUP(C189,REV!C:AX,48,0)</f>
        <v>5G</v>
      </c>
    </row>
    <row r="190" spans="1:50" ht="21.75" customHeight="1">
      <c r="A190" s="64" t="s">
        <v>241</v>
      </c>
      <c r="B190" s="52" t="s">
        <v>64</v>
      </c>
      <c r="C190" s="53">
        <v>4018194</v>
      </c>
      <c r="D190" s="65" t="s">
        <v>314</v>
      </c>
      <c r="E190" s="65" t="s">
        <v>315</v>
      </c>
      <c r="F190" s="55"/>
      <c r="G190" s="55"/>
      <c r="H190" s="55"/>
      <c r="I190" s="55"/>
      <c r="J190" s="56">
        <f>IF(VLOOKUP($C190,REV!$C:$AA,8,0)-'TRADE IN'!$F190=0,"",(VLOOKUP($C190,REV!$C:$AA,8,0)-'TRADE IN'!$F190))</f>
        <v>1299</v>
      </c>
      <c r="K190" s="56">
        <f>IF(VLOOKUP($C190,REV!$C:$AA,9,0)-'TRADE IN'!$F190=0,"",(VLOOKUP($C190,REV!$C:$AA,9,0)-'TRADE IN'!$F190))</f>
        <v>1199</v>
      </c>
      <c r="L190" s="56">
        <f>IF(VLOOKUP($C190,REV!$C:$AA,10,0)-'TRADE IN'!$F190=0,"",(VLOOKUP($C190,REV!$C:$AA,10,0)-'TRADE IN'!$F190))</f>
        <v>1199</v>
      </c>
      <c r="M190" s="56">
        <f>IF(VLOOKUP($C190,REV!$C:$AA,11,0)-'TRADE IN'!$F190=0,"",(VLOOKUP($C190,REV!$C:$AA,11,0)-'TRADE IN'!$F190))</f>
        <v>1299</v>
      </c>
      <c r="N190" s="56">
        <f>IF(VLOOKUP($C190,REV!$C:$AA,12,0)-'TRADE IN'!$F190=0,"",(VLOOKUP($C190,REV!$C:$AA,12,0)-'TRADE IN'!$F190))</f>
        <v>1199</v>
      </c>
      <c r="O190" s="56">
        <f>IF(VLOOKUP($C190,REV!$C:$AA,13,0)-'TRADE IN'!$F190=0,"",(VLOOKUP($C190,REV!$C:$AA,13,0)-'TRADE IN'!$F190))</f>
        <v>1099</v>
      </c>
      <c r="P190" s="56">
        <f>IF(VLOOKUP($C190,REV!$C:$AA,14,0)-'TRADE IN'!$F190=0,"",(VLOOKUP($C190,REV!$C:$AA,14,0)-'TRADE IN'!$F190))</f>
        <v>1049</v>
      </c>
      <c r="Q190" s="56">
        <f>IF(VLOOKUP($C190,REV!$C:$AA,15,0)-'TRADE IN'!$F190=0,"",(VLOOKUP($C190,REV!$C:$AA,15,0)-'TRADE IN'!$F190))</f>
        <v>999</v>
      </c>
      <c r="R190" s="56">
        <f>IF(VLOOKUP($C190,REV!$C:$AA,16,0)-'TRADE IN'!$F190=0,"",(VLOOKUP($C190,REV!$C:$AA,16,0)-'TRADE IN'!$F190))</f>
        <v>1099</v>
      </c>
      <c r="S190" s="56">
        <f>IF(VLOOKUP($C190,REV!$C:$AA,17,0)-'TRADE IN'!$F190=0,"",(VLOOKUP($C190,REV!$C:$AA,17,0)-'TRADE IN'!$F190))</f>
        <v>1049</v>
      </c>
      <c r="T190" s="56">
        <f>IF(VLOOKUP($C190,REV!$C:$AA,18,0)-'TRADE IN'!$F190=0,"",(VLOOKUP($C190,REV!$C:$AA,18,0)-'TRADE IN'!$F190))</f>
        <v>999</v>
      </c>
      <c r="U190" s="56">
        <f>IF(VLOOKUP($C190,REV!$C:$AA,19,0)-'TRADE IN'!$F190=0,"",(VLOOKUP($C190,REV!$C:$AA,19,0)-'TRADE IN'!$F190))</f>
        <v>999</v>
      </c>
      <c r="V190" s="56">
        <f>IF(VLOOKUP($C190,REV!$C:$AA,20,0)-'TRADE IN'!$F190=0,"",(VLOOKUP($C190,REV!$C:$AA,20,0)-'TRADE IN'!$F190))</f>
        <v>999</v>
      </c>
      <c r="W190" s="56">
        <f>IF(VLOOKUP($C190,REV!$C:$AA,21,0)-'TRADE IN'!$F190=0,"",(VLOOKUP($C190,REV!$C:$AA,21,0)-'TRADE IN'!$F190))</f>
        <v>999</v>
      </c>
      <c r="X190" s="56">
        <f>IF(VLOOKUP($C190,REV!$C:$AA,22,0)-'TRADE IN'!$F190=0,"",(VLOOKUP($C190,REV!$C:$AA,22,0)-'TRADE IN'!$F190))</f>
        <v>949</v>
      </c>
      <c r="Y190" s="56">
        <f>IF(VLOOKUP($C190,REV!$C:$AA,23,0)-'TRADE IN'!$F190=0,"",(VLOOKUP($C190,REV!$C:$AA,23,0)-'TRADE IN'!$F190))</f>
        <v>899</v>
      </c>
      <c r="Z190" s="56">
        <f>IF(VLOOKUP($C190,REV!$C:$AA,24,0)-'TRADE IN'!$F190=0,"",(VLOOKUP($C190,REV!$C:$AA,24,0)-'TRADE IN'!$F190))</f>
        <v>899</v>
      </c>
      <c r="AA190" s="56">
        <f>IF(VLOOKUP($C190,REV!$C:$AA,25,0)-'TRADE IN'!$F190=0,"",(VLOOKUP($C190,REV!$C:$AA,25,0)-'TRADE IN'!$F190))</f>
        <v>899</v>
      </c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7"/>
      <c r="AW190" s="58" t="str">
        <f>REV!AW190</f>
        <v>03.11.2026</v>
      </c>
      <c r="AX190" s="147" t="str">
        <f>VLOOKUP(C190,REV!C:AX,48,0)</f>
        <v>5G</v>
      </c>
    </row>
    <row r="191" spans="1:50" ht="21.75" customHeight="1">
      <c r="A191" s="64" t="s">
        <v>241</v>
      </c>
      <c r="B191" s="52" t="s">
        <v>64</v>
      </c>
      <c r="C191" s="53">
        <v>4018196</v>
      </c>
      <c r="D191" s="65" t="s">
        <v>314</v>
      </c>
      <c r="E191" s="65" t="s">
        <v>316</v>
      </c>
      <c r="F191" s="55"/>
      <c r="G191" s="55"/>
      <c r="H191" s="55"/>
      <c r="I191" s="55"/>
      <c r="J191" s="56">
        <f>IF(VLOOKUP($C191,REV!$C:$AA,8,0)-'TRADE IN'!$F191=0,"",(VLOOKUP($C191,REV!$C:$AA,8,0)-'TRADE IN'!$F191))</f>
        <v>1299</v>
      </c>
      <c r="K191" s="56">
        <f>IF(VLOOKUP($C191,REV!$C:$AA,9,0)-'TRADE IN'!$F191=0,"",(VLOOKUP($C191,REV!$C:$AA,9,0)-'TRADE IN'!$F191))</f>
        <v>1199</v>
      </c>
      <c r="L191" s="56">
        <f>IF(VLOOKUP($C191,REV!$C:$AA,10,0)-'TRADE IN'!$F191=0,"",(VLOOKUP($C191,REV!$C:$AA,10,0)-'TRADE IN'!$F191))</f>
        <v>1199</v>
      </c>
      <c r="M191" s="56">
        <f>IF(VLOOKUP($C191,REV!$C:$AA,11,0)-'TRADE IN'!$F191=0,"",(VLOOKUP($C191,REV!$C:$AA,11,0)-'TRADE IN'!$F191))</f>
        <v>1299</v>
      </c>
      <c r="N191" s="56">
        <f>IF(VLOOKUP($C191,REV!$C:$AA,12,0)-'TRADE IN'!$F191=0,"",(VLOOKUP($C191,REV!$C:$AA,12,0)-'TRADE IN'!$F191))</f>
        <v>1199</v>
      </c>
      <c r="O191" s="56">
        <f>IF(VLOOKUP($C191,REV!$C:$AA,13,0)-'TRADE IN'!$F191=0,"",(VLOOKUP($C191,REV!$C:$AA,13,0)-'TRADE IN'!$F191))</f>
        <v>1099</v>
      </c>
      <c r="P191" s="56">
        <f>IF(VLOOKUP($C191,REV!$C:$AA,14,0)-'TRADE IN'!$F191=0,"",(VLOOKUP($C191,REV!$C:$AA,14,0)-'TRADE IN'!$F191))</f>
        <v>1049</v>
      </c>
      <c r="Q191" s="56">
        <f>IF(VLOOKUP($C191,REV!$C:$AA,15,0)-'TRADE IN'!$F191=0,"",(VLOOKUP($C191,REV!$C:$AA,15,0)-'TRADE IN'!$F191))</f>
        <v>999</v>
      </c>
      <c r="R191" s="56">
        <f>IF(VLOOKUP($C191,REV!$C:$AA,16,0)-'TRADE IN'!$F191=0,"",(VLOOKUP($C191,REV!$C:$AA,16,0)-'TRADE IN'!$F191))</f>
        <v>1099</v>
      </c>
      <c r="S191" s="56">
        <f>IF(VLOOKUP($C191,REV!$C:$AA,17,0)-'TRADE IN'!$F191=0,"",(VLOOKUP($C191,REV!$C:$AA,17,0)-'TRADE IN'!$F191))</f>
        <v>1049</v>
      </c>
      <c r="T191" s="56">
        <f>IF(VLOOKUP($C191,REV!$C:$AA,18,0)-'TRADE IN'!$F191=0,"",(VLOOKUP($C191,REV!$C:$AA,18,0)-'TRADE IN'!$F191))</f>
        <v>999</v>
      </c>
      <c r="U191" s="56">
        <f>IF(VLOOKUP($C191,REV!$C:$AA,19,0)-'TRADE IN'!$F191=0,"",(VLOOKUP($C191,REV!$C:$AA,19,0)-'TRADE IN'!$F191))</f>
        <v>999</v>
      </c>
      <c r="V191" s="56">
        <f>IF(VLOOKUP($C191,REV!$C:$AA,20,0)-'TRADE IN'!$F191=0,"",(VLOOKUP($C191,REV!$C:$AA,20,0)-'TRADE IN'!$F191))</f>
        <v>999</v>
      </c>
      <c r="W191" s="56">
        <f>IF(VLOOKUP($C191,REV!$C:$AA,21,0)-'TRADE IN'!$F191=0,"",(VLOOKUP($C191,REV!$C:$AA,21,0)-'TRADE IN'!$F191))</f>
        <v>999</v>
      </c>
      <c r="X191" s="56">
        <f>IF(VLOOKUP($C191,REV!$C:$AA,22,0)-'TRADE IN'!$F191=0,"",(VLOOKUP($C191,REV!$C:$AA,22,0)-'TRADE IN'!$F191))</f>
        <v>949</v>
      </c>
      <c r="Y191" s="56">
        <f>IF(VLOOKUP($C191,REV!$C:$AA,23,0)-'TRADE IN'!$F191=0,"",(VLOOKUP($C191,REV!$C:$AA,23,0)-'TRADE IN'!$F191))</f>
        <v>899</v>
      </c>
      <c r="Z191" s="56">
        <f>IF(VLOOKUP($C191,REV!$C:$AA,24,0)-'TRADE IN'!$F191=0,"",(VLOOKUP($C191,REV!$C:$AA,24,0)-'TRADE IN'!$F191))</f>
        <v>899</v>
      </c>
      <c r="AA191" s="56">
        <f>IF(VLOOKUP($C191,REV!$C:$AA,25,0)-'TRADE IN'!$F191=0,"",(VLOOKUP($C191,REV!$C:$AA,25,0)-'TRADE IN'!$F191))</f>
        <v>899</v>
      </c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7"/>
      <c r="AW191" s="58" t="str">
        <f>REV!AW191</f>
        <v>03.11.2026</v>
      </c>
      <c r="AX191" s="147" t="str">
        <f>VLOOKUP(C191,REV!C:AX,48,0)</f>
        <v>5G</v>
      </c>
    </row>
    <row r="192" spans="1:50" ht="21.75" customHeight="1">
      <c r="A192" s="64" t="s">
        <v>241</v>
      </c>
      <c r="B192" s="52" t="s">
        <v>64</v>
      </c>
      <c r="C192" s="53">
        <v>4017967</v>
      </c>
      <c r="D192" s="65" t="s">
        <v>317</v>
      </c>
      <c r="E192" s="65" t="s">
        <v>318</v>
      </c>
      <c r="F192" s="55"/>
      <c r="G192" s="55"/>
      <c r="H192" s="55"/>
      <c r="I192" s="55"/>
      <c r="J192" s="56">
        <f>IF(VLOOKUP($C192,REV!$C:$AA,8,0)-'TRADE IN'!$F192=0,"",(VLOOKUP($C192,REV!$C:$AA,8,0)-'TRADE IN'!$F192))</f>
        <v>1399</v>
      </c>
      <c r="K192" s="56">
        <f>IF(VLOOKUP($C192,REV!$C:$AA,9,0)-'TRADE IN'!$F192=0,"",(VLOOKUP($C192,REV!$C:$AA,9,0)-'TRADE IN'!$F192))</f>
        <v>1299</v>
      </c>
      <c r="L192" s="56">
        <f>IF(VLOOKUP($C192,REV!$C:$AA,10,0)-'TRADE IN'!$F192=0,"",(VLOOKUP($C192,REV!$C:$AA,10,0)-'TRADE IN'!$F192))</f>
        <v>1299</v>
      </c>
      <c r="M192" s="56">
        <f>IF(VLOOKUP($C192,REV!$C:$AA,11,0)-'TRADE IN'!$F192=0,"",(VLOOKUP($C192,REV!$C:$AA,11,0)-'TRADE IN'!$F192))</f>
        <v>1399</v>
      </c>
      <c r="N192" s="56">
        <f>IF(VLOOKUP($C192,REV!$C:$AA,12,0)-'TRADE IN'!$F192=0,"",(VLOOKUP($C192,REV!$C:$AA,12,0)-'TRADE IN'!$F192))</f>
        <v>1299</v>
      </c>
      <c r="O192" s="56">
        <f>IF(VLOOKUP($C192,REV!$C:$AA,13,0)-'TRADE IN'!$F192=0,"",(VLOOKUP($C192,REV!$C:$AA,13,0)-'TRADE IN'!$F192))</f>
        <v>1199</v>
      </c>
      <c r="P192" s="56">
        <f>IF(VLOOKUP($C192,REV!$C:$AA,14,0)-'TRADE IN'!$F192=0,"",(VLOOKUP($C192,REV!$C:$AA,14,0)-'TRADE IN'!$F192))</f>
        <v>1149</v>
      </c>
      <c r="Q192" s="56">
        <f>IF(VLOOKUP($C192,REV!$C:$AA,15,0)-'TRADE IN'!$F192=0,"",(VLOOKUP($C192,REV!$C:$AA,15,0)-'TRADE IN'!$F192))</f>
        <v>1099</v>
      </c>
      <c r="R192" s="56">
        <f>IF(VLOOKUP($C192,REV!$C:$AA,16,0)-'TRADE IN'!$F192=0,"",(VLOOKUP($C192,REV!$C:$AA,16,0)-'TRADE IN'!$F192))</f>
        <v>1199</v>
      </c>
      <c r="S192" s="56">
        <f>IF(VLOOKUP($C192,REV!$C:$AA,17,0)-'TRADE IN'!$F192=0,"",(VLOOKUP($C192,REV!$C:$AA,17,0)-'TRADE IN'!$F192))</f>
        <v>1149</v>
      </c>
      <c r="T192" s="56">
        <f>IF(VLOOKUP($C192,REV!$C:$AA,18,0)-'TRADE IN'!$F192=0,"",(VLOOKUP($C192,REV!$C:$AA,18,0)-'TRADE IN'!$F192))</f>
        <v>1099</v>
      </c>
      <c r="U192" s="56">
        <f>IF(VLOOKUP($C192,REV!$C:$AA,19,0)-'TRADE IN'!$F192=0,"",(VLOOKUP($C192,REV!$C:$AA,19,0)-'TRADE IN'!$F192))</f>
        <v>1099</v>
      </c>
      <c r="V192" s="56">
        <f>IF(VLOOKUP($C192,REV!$C:$AA,20,0)-'TRADE IN'!$F192=0,"",(VLOOKUP($C192,REV!$C:$AA,20,0)-'TRADE IN'!$F192))</f>
        <v>1099</v>
      </c>
      <c r="W192" s="56">
        <f>IF(VLOOKUP($C192,REV!$C:$AA,21,0)-'TRADE IN'!$F192=0,"",(VLOOKUP($C192,REV!$C:$AA,21,0)-'TRADE IN'!$F192))</f>
        <v>1099</v>
      </c>
      <c r="X192" s="56">
        <f>IF(VLOOKUP($C192,REV!$C:$AA,22,0)-'TRADE IN'!$F192=0,"",(VLOOKUP($C192,REV!$C:$AA,22,0)-'TRADE IN'!$F192))</f>
        <v>1049</v>
      </c>
      <c r="Y192" s="56">
        <f>IF(VLOOKUP($C192,REV!$C:$AA,23,0)-'TRADE IN'!$F192=0,"",(VLOOKUP($C192,REV!$C:$AA,23,0)-'TRADE IN'!$F192))</f>
        <v>999</v>
      </c>
      <c r="Z192" s="56">
        <f>IF(VLOOKUP($C192,REV!$C:$AA,24,0)-'TRADE IN'!$F192=0,"",(VLOOKUP($C192,REV!$C:$AA,24,0)-'TRADE IN'!$F192))</f>
        <v>999</v>
      </c>
      <c r="AA192" s="56">
        <f>IF(VLOOKUP($C192,REV!$C:$AA,25,0)-'TRADE IN'!$F192=0,"",(VLOOKUP($C192,REV!$C:$AA,25,0)-'TRADE IN'!$F192))</f>
        <v>999</v>
      </c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7"/>
      <c r="AW192" s="58" t="str">
        <f>REV!AW192</f>
        <v>03.11.2026</v>
      </c>
      <c r="AX192" s="147" t="str">
        <f>VLOOKUP(C192,REV!C:AX,48,0)</f>
        <v>5G</v>
      </c>
    </row>
    <row r="193" spans="1:50" ht="21.75" customHeight="1">
      <c r="A193" s="64" t="s">
        <v>241</v>
      </c>
      <c r="B193" s="52" t="s">
        <v>64</v>
      </c>
      <c r="C193" s="53">
        <v>4017963</v>
      </c>
      <c r="D193" s="65" t="s">
        <v>317</v>
      </c>
      <c r="E193" s="65" t="s">
        <v>319</v>
      </c>
      <c r="F193" s="55"/>
      <c r="G193" s="55"/>
      <c r="H193" s="55"/>
      <c r="I193" s="55"/>
      <c r="J193" s="56">
        <f>IF(VLOOKUP($C193,REV!$C:$AA,8,0)-'TRADE IN'!$F193=0,"",(VLOOKUP($C193,REV!$C:$AA,8,0)-'TRADE IN'!$F193))</f>
        <v>1399</v>
      </c>
      <c r="K193" s="56">
        <f>IF(VLOOKUP($C193,REV!$C:$AA,9,0)-'TRADE IN'!$F193=0,"",(VLOOKUP($C193,REV!$C:$AA,9,0)-'TRADE IN'!$F193))</f>
        <v>1299</v>
      </c>
      <c r="L193" s="56">
        <f>IF(VLOOKUP($C193,REV!$C:$AA,10,0)-'TRADE IN'!$F193=0,"",(VLOOKUP($C193,REV!$C:$AA,10,0)-'TRADE IN'!$F193))</f>
        <v>1299</v>
      </c>
      <c r="M193" s="56">
        <f>IF(VLOOKUP($C193,REV!$C:$AA,11,0)-'TRADE IN'!$F193=0,"",(VLOOKUP($C193,REV!$C:$AA,11,0)-'TRADE IN'!$F193))</f>
        <v>1399</v>
      </c>
      <c r="N193" s="56">
        <f>IF(VLOOKUP($C193,REV!$C:$AA,12,0)-'TRADE IN'!$F193=0,"",(VLOOKUP($C193,REV!$C:$AA,12,0)-'TRADE IN'!$F193))</f>
        <v>1299</v>
      </c>
      <c r="O193" s="56">
        <f>IF(VLOOKUP($C193,REV!$C:$AA,13,0)-'TRADE IN'!$F193=0,"",(VLOOKUP($C193,REV!$C:$AA,13,0)-'TRADE IN'!$F193))</f>
        <v>1199</v>
      </c>
      <c r="P193" s="56">
        <f>IF(VLOOKUP($C193,REV!$C:$AA,14,0)-'TRADE IN'!$F193=0,"",(VLOOKUP($C193,REV!$C:$AA,14,0)-'TRADE IN'!$F193))</f>
        <v>1149</v>
      </c>
      <c r="Q193" s="56">
        <f>IF(VLOOKUP($C193,REV!$C:$AA,15,0)-'TRADE IN'!$F193=0,"",(VLOOKUP($C193,REV!$C:$AA,15,0)-'TRADE IN'!$F193))</f>
        <v>1099</v>
      </c>
      <c r="R193" s="56">
        <f>IF(VLOOKUP($C193,REV!$C:$AA,16,0)-'TRADE IN'!$F193=0,"",(VLOOKUP($C193,REV!$C:$AA,16,0)-'TRADE IN'!$F193))</f>
        <v>1199</v>
      </c>
      <c r="S193" s="56">
        <f>IF(VLOOKUP($C193,REV!$C:$AA,17,0)-'TRADE IN'!$F193=0,"",(VLOOKUP($C193,REV!$C:$AA,17,0)-'TRADE IN'!$F193))</f>
        <v>1149</v>
      </c>
      <c r="T193" s="56">
        <f>IF(VLOOKUP($C193,REV!$C:$AA,18,0)-'TRADE IN'!$F193=0,"",(VLOOKUP($C193,REV!$C:$AA,18,0)-'TRADE IN'!$F193))</f>
        <v>1099</v>
      </c>
      <c r="U193" s="56">
        <f>IF(VLOOKUP($C193,REV!$C:$AA,19,0)-'TRADE IN'!$F193=0,"",(VLOOKUP($C193,REV!$C:$AA,19,0)-'TRADE IN'!$F193))</f>
        <v>1099</v>
      </c>
      <c r="V193" s="56">
        <f>IF(VLOOKUP($C193,REV!$C:$AA,20,0)-'TRADE IN'!$F193=0,"",(VLOOKUP($C193,REV!$C:$AA,20,0)-'TRADE IN'!$F193))</f>
        <v>1099</v>
      </c>
      <c r="W193" s="56">
        <f>IF(VLOOKUP($C193,REV!$C:$AA,21,0)-'TRADE IN'!$F193=0,"",(VLOOKUP($C193,REV!$C:$AA,21,0)-'TRADE IN'!$F193))</f>
        <v>1099</v>
      </c>
      <c r="X193" s="56">
        <f>IF(VLOOKUP($C193,REV!$C:$AA,22,0)-'TRADE IN'!$F193=0,"",(VLOOKUP($C193,REV!$C:$AA,22,0)-'TRADE IN'!$F193))</f>
        <v>1049</v>
      </c>
      <c r="Y193" s="56">
        <f>IF(VLOOKUP($C193,REV!$C:$AA,23,0)-'TRADE IN'!$F193=0,"",(VLOOKUP($C193,REV!$C:$AA,23,0)-'TRADE IN'!$F193))</f>
        <v>999</v>
      </c>
      <c r="Z193" s="56">
        <f>IF(VLOOKUP($C193,REV!$C:$AA,24,0)-'TRADE IN'!$F193=0,"",(VLOOKUP($C193,REV!$C:$AA,24,0)-'TRADE IN'!$F193))</f>
        <v>999</v>
      </c>
      <c r="AA193" s="56">
        <f>IF(VLOOKUP($C193,REV!$C:$AA,25,0)-'TRADE IN'!$F193=0,"",(VLOOKUP($C193,REV!$C:$AA,25,0)-'TRADE IN'!$F193))</f>
        <v>999</v>
      </c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7"/>
      <c r="AW193" s="58" t="str">
        <f>REV!AW193</f>
        <v>03.11.2026</v>
      </c>
      <c r="AX193" s="147" t="str">
        <f>VLOOKUP(C193,REV!C:AX,48,0)</f>
        <v>5G</v>
      </c>
    </row>
    <row r="194" spans="1:50" ht="21.75" customHeight="1">
      <c r="A194" s="64" t="s">
        <v>241</v>
      </c>
      <c r="B194" s="52" t="s">
        <v>64</v>
      </c>
      <c r="C194" s="53">
        <v>4015328</v>
      </c>
      <c r="D194" s="65" t="s">
        <v>320</v>
      </c>
      <c r="E194" s="65" t="s">
        <v>321</v>
      </c>
      <c r="F194" s="55"/>
      <c r="G194" s="55"/>
      <c r="H194" s="55"/>
      <c r="I194" s="55"/>
      <c r="J194" s="56">
        <f>IF(VLOOKUP($C194,REV!$C:$AA,8,0)-'TRADE IN'!$F194=0,"",(VLOOKUP($C194,REV!$C:$AA,8,0)-'TRADE IN'!$F194))</f>
        <v>529</v>
      </c>
      <c r="K194" s="56">
        <f>IF(VLOOKUP($C194,REV!$C:$AA,9,0)-'TRADE IN'!$F194=0,"",(VLOOKUP($C194,REV!$C:$AA,9,0)-'TRADE IN'!$F194))</f>
        <v>529</v>
      </c>
      <c r="L194" s="56">
        <f>IF(VLOOKUP($C194,REV!$C:$AA,10,0)-'TRADE IN'!$F194=0,"",(VLOOKUP($C194,REV!$C:$AA,10,0)-'TRADE IN'!$F194))</f>
        <v>529</v>
      </c>
      <c r="M194" s="56">
        <f>IF(VLOOKUP($C194,REV!$C:$AA,11,0)-'TRADE IN'!$F194=0,"",(VLOOKUP($C194,REV!$C:$AA,11,0)-'TRADE IN'!$F194))</f>
        <v>529</v>
      </c>
      <c r="N194" s="56">
        <f>IF(VLOOKUP($C194,REV!$C:$AA,12,0)-'TRADE IN'!$F194=0,"",(VLOOKUP($C194,REV!$C:$AA,12,0)-'TRADE IN'!$F194))</f>
        <v>529</v>
      </c>
      <c r="O194" s="56">
        <f>IF(VLOOKUP($C194,REV!$C:$AA,13,0)-'TRADE IN'!$F194=0,"",(VLOOKUP($C194,REV!$C:$AA,13,0)-'TRADE IN'!$F194))</f>
        <v>529</v>
      </c>
      <c r="P194" s="56">
        <f>IF(VLOOKUP($C194,REV!$C:$AA,14,0)-'TRADE IN'!$F194=0,"",(VLOOKUP($C194,REV!$C:$AA,14,0)-'TRADE IN'!$F194))</f>
        <v>529</v>
      </c>
      <c r="Q194" s="56">
        <f>IF(VLOOKUP($C194,REV!$C:$AA,15,0)-'TRADE IN'!$F194=0,"",(VLOOKUP($C194,REV!$C:$AA,15,0)-'TRADE IN'!$F194))</f>
        <v>529</v>
      </c>
      <c r="R194" s="56">
        <f>IF(VLOOKUP($C194,REV!$C:$AA,16,0)-'TRADE IN'!$F194=0,"",(VLOOKUP($C194,REV!$C:$AA,16,0)-'TRADE IN'!$F194))</f>
        <v>529</v>
      </c>
      <c r="S194" s="56">
        <f>IF(VLOOKUP($C194,REV!$C:$AA,17,0)-'TRADE IN'!$F194=0,"",(VLOOKUP($C194,REV!$C:$AA,17,0)-'TRADE IN'!$F194))</f>
        <v>529</v>
      </c>
      <c r="T194" s="56">
        <f>IF(VLOOKUP($C194,REV!$C:$AA,18,0)-'TRADE IN'!$F194=0,"",(VLOOKUP($C194,REV!$C:$AA,18,0)-'TRADE IN'!$F194))</f>
        <v>529</v>
      </c>
      <c r="U194" s="56">
        <f>IF(VLOOKUP($C194,REV!$C:$AA,19,0)-'TRADE IN'!$F194=0,"",(VLOOKUP($C194,REV!$C:$AA,19,0)-'TRADE IN'!$F194))</f>
        <v>529</v>
      </c>
      <c r="V194" s="56">
        <f>IF(VLOOKUP($C194,REV!$C:$AA,20,0)-'TRADE IN'!$F194=0,"",(VLOOKUP($C194,REV!$C:$AA,20,0)-'TRADE IN'!$F194))</f>
        <v>529</v>
      </c>
      <c r="W194" s="56">
        <f>IF(VLOOKUP($C194,REV!$C:$AA,21,0)-'TRADE IN'!$F194=0,"",(VLOOKUP($C194,REV!$C:$AA,21,0)-'TRADE IN'!$F194))</f>
        <v>529</v>
      </c>
      <c r="X194" s="56">
        <f>IF(VLOOKUP($C194,REV!$C:$AA,22,0)-'TRADE IN'!$F194=0,"",(VLOOKUP($C194,REV!$C:$AA,22,0)-'TRADE IN'!$F194))</f>
        <v>529</v>
      </c>
      <c r="Y194" s="56">
        <f>IF(VLOOKUP($C194,REV!$C:$AA,23,0)-'TRADE IN'!$F194=0,"",(VLOOKUP($C194,REV!$C:$AA,23,0)-'TRADE IN'!$F194))</f>
        <v>529</v>
      </c>
      <c r="Z194" s="56">
        <f>IF(VLOOKUP($C194,REV!$C:$AA,24,0)-'TRADE IN'!$F194=0,"",(VLOOKUP($C194,REV!$C:$AA,24,0)-'TRADE IN'!$F194))</f>
        <v>529</v>
      </c>
      <c r="AA194" s="56">
        <f>IF(VLOOKUP($C194,REV!$C:$AA,25,0)-'TRADE IN'!$F194=0,"",(VLOOKUP($C194,REV!$C:$AA,25,0)-'TRADE IN'!$F194))</f>
        <v>529</v>
      </c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7"/>
      <c r="AW194" s="58" t="str">
        <f>REV!AW194</f>
        <v>03.11.2026</v>
      </c>
      <c r="AX194" s="147" t="str">
        <f>VLOOKUP(C194,REV!C:AX,48,0)</f>
        <v>5G</v>
      </c>
    </row>
    <row r="195" spans="1:50" ht="21.75" customHeight="1">
      <c r="A195" s="64" t="s">
        <v>241</v>
      </c>
      <c r="B195" s="52" t="s">
        <v>64</v>
      </c>
      <c r="C195" s="53">
        <v>4015336</v>
      </c>
      <c r="D195" s="65" t="s">
        <v>320</v>
      </c>
      <c r="E195" s="65" t="s">
        <v>322</v>
      </c>
      <c r="F195" s="55"/>
      <c r="G195" s="55"/>
      <c r="H195" s="55"/>
      <c r="I195" s="55"/>
      <c r="J195" s="56">
        <f>IF(VLOOKUP($C195,REV!$C:$AA,8,0)-'TRADE IN'!$F195=0,"",(VLOOKUP($C195,REV!$C:$AA,8,0)-'TRADE IN'!$F195))</f>
        <v>529</v>
      </c>
      <c r="K195" s="56">
        <f>IF(VLOOKUP($C195,REV!$C:$AA,9,0)-'TRADE IN'!$F195=0,"",(VLOOKUP($C195,REV!$C:$AA,9,0)-'TRADE IN'!$F195))</f>
        <v>529</v>
      </c>
      <c r="L195" s="56">
        <f>IF(VLOOKUP($C195,REV!$C:$AA,10,0)-'TRADE IN'!$F195=0,"",(VLOOKUP($C195,REV!$C:$AA,10,0)-'TRADE IN'!$F195))</f>
        <v>529</v>
      </c>
      <c r="M195" s="56">
        <f>IF(VLOOKUP($C195,REV!$C:$AA,11,0)-'TRADE IN'!$F195=0,"",(VLOOKUP($C195,REV!$C:$AA,11,0)-'TRADE IN'!$F195))</f>
        <v>529</v>
      </c>
      <c r="N195" s="56">
        <f>IF(VLOOKUP($C195,REV!$C:$AA,12,0)-'TRADE IN'!$F195=0,"",(VLOOKUP($C195,REV!$C:$AA,12,0)-'TRADE IN'!$F195))</f>
        <v>529</v>
      </c>
      <c r="O195" s="56">
        <f>IF(VLOOKUP($C195,REV!$C:$AA,13,0)-'TRADE IN'!$F195=0,"",(VLOOKUP($C195,REV!$C:$AA,13,0)-'TRADE IN'!$F195))</f>
        <v>529</v>
      </c>
      <c r="P195" s="56">
        <f>IF(VLOOKUP($C195,REV!$C:$AA,14,0)-'TRADE IN'!$F195=0,"",(VLOOKUP($C195,REV!$C:$AA,14,0)-'TRADE IN'!$F195))</f>
        <v>529</v>
      </c>
      <c r="Q195" s="56">
        <f>IF(VLOOKUP($C195,REV!$C:$AA,15,0)-'TRADE IN'!$F195=0,"",(VLOOKUP($C195,REV!$C:$AA,15,0)-'TRADE IN'!$F195))</f>
        <v>529</v>
      </c>
      <c r="R195" s="56">
        <f>IF(VLOOKUP($C195,REV!$C:$AA,16,0)-'TRADE IN'!$F195=0,"",(VLOOKUP($C195,REV!$C:$AA,16,0)-'TRADE IN'!$F195))</f>
        <v>529</v>
      </c>
      <c r="S195" s="56">
        <f>IF(VLOOKUP($C195,REV!$C:$AA,17,0)-'TRADE IN'!$F195=0,"",(VLOOKUP($C195,REV!$C:$AA,17,0)-'TRADE IN'!$F195))</f>
        <v>529</v>
      </c>
      <c r="T195" s="56">
        <f>IF(VLOOKUP($C195,REV!$C:$AA,18,0)-'TRADE IN'!$F195=0,"",(VLOOKUP($C195,REV!$C:$AA,18,0)-'TRADE IN'!$F195))</f>
        <v>529</v>
      </c>
      <c r="U195" s="56">
        <f>IF(VLOOKUP($C195,REV!$C:$AA,19,0)-'TRADE IN'!$F195=0,"",(VLOOKUP($C195,REV!$C:$AA,19,0)-'TRADE IN'!$F195))</f>
        <v>529</v>
      </c>
      <c r="V195" s="56">
        <f>IF(VLOOKUP($C195,REV!$C:$AA,20,0)-'TRADE IN'!$F195=0,"",(VLOOKUP($C195,REV!$C:$AA,20,0)-'TRADE IN'!$F195))</f>
        <v>529</v>
      </c>
      <c r="W195" s="56">
        <f>IF(VLOOKUP($C195,REV!$C:$AA,21,0)-'TRADE IN'!$F195=0,"",(VLOOKUP($C195,REV!$C:$AA,21,0)-'TRADE IN'!$F195))</f>
        <v>529</v>
      </c>
      <c r="X195" s="56">
        <f>IF(VLOOKUP($C195,REV!$C:$AA,22,0)-'TRADE IN'!$F195=0,"",(VLOOKUP($C195,REV!$C:$AA,22,0)-'TRADE IN'!$F195))</f>
        <v>529</v>
      </c>
      <c r="Y195" s="56">
        <f>IF(VLOOKUP($C195,REV!$C:$AA,23,0)-'TRADE IN'!$F195=0,"",(VLOOKUP($C195,REV!$C:$AA,23,0)-'TRADE IN'!$F195))</f>
        <v>529</v>
      </c>
      <c r="Z195" s="56">
        <f>IF(VLOOKUP($C195,REV!$C:$AA,24,0)-'TRADE IN'!$F195=0,"",(VLOOKUP($C195,REV!$C:$AA,24,0)-'TRADE IN'!$F195))</f>
        <v>529</v>
      </c>
      <c r="AA195" s="56">
        <f>IF(VLOOKUP($C195,REV!$C:$AA,25,0)-'TRADE IN'!$F195=0,"",(VLOOKUP($C195,REV!$C:$AA,25,0)-'TRADE IN'!$F195))</f>
        <v>529</v>
      </c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7"/>
      <c r="AW195" s="58" t="str">
        <f>REV!AW195</f>
        <v>03.11.2026</v>
      </c>
      <c r="AX195" s="147" t="str">
        <f>VLOOKUP(C195,REV!C:AX,48,0)</f>
        <v>5G</v>
      </c>
    </row>
    <row r="196" spans="1:50" ht="21.75" customHeight="1">
      <c r="A196" s="64" t="s">
        <v>241</v>
      </c>
      <c r="B196" s="52" t="s">
        <v>64</v>
      </c>
      <c r="C196" s="53">
        <v>4015989</v>
      </c>
      <c r="D196" s="65" t="s">
        <v>323</v>
      </c>
      <c r="E196" s="65" t="s">
        <v>324</v>
      </c>
      <c r="F196" s="55"/>
      <c r="G196" s="55"/>
      <c r="H196" s="55"/>
      <c r="I196" s="55"/>
      <c r="J196" s="56">
        <f>IF(VLOOKUP($C196,REV!$C:$AA,8,0)-'TRADE IN'!$F196=0,"",(VLOOKUP($C196,REV!$C:$AA,8,0)-'TRADE IN'!$F196))</f>
        <v>1199</v>
      </c>
      <c r="K196" s="56">
        <f>IF(VLOOKUP($C196,REV!$C:$AA,9,0)-'TRADE IN'!$F196=0,"",(VLOOKUP($C196,REV!$C:$AA,9,0)-'TRADE IN'!$F196))</f>
        <v>1199</v>
      </c>
      <c r="L196" s="56">
        <f>IF(VLOOKUP($C196,REV!$C:$AA,10,0)-'TRADE IN'!$F196=0,"",(VLOOKUP($C196,REV!$C:$AA,10,0)-'TRADE IN'!$F196))</f>
        <v>1199</v>
      </c>
      <c r="M196" s="56">
        <f>IF(VLOOKUP($C196,REV!$C:$AA,11,0)-'TRADE IN'!$F196=0,"",(VLOOKUP($C196,REV!$C:$AA,11,0)-'TRADE IN'!$F196))</f>
        <v>1199</v>
      </c>
      <c r="N196" s="56">
        <f>IF(VLOOKUP($C196,REV!$C:$AA,12,0)-'TRADE IN'!$F196=0,"",(VLOOKUP($C196,REV!$C:$AA,12,0)-'TRADE IN'!$F196))</f>
        <v>1199</v>
      </c>
      <c r="O196" s="56">
        <f>IF(VLOOKUP($C196,REV!$C:$AA,13,0)-'TRADE IN'!$F196=0,"",(VLOOKUP($C196,REV!$C:$AA,13,0)-'TRADE IN'!$F196))</f>
        <v>1099</v>
      </c>
      <c r="P196" s="56">
        <f>IF(VLOOKUP($C196,REV!$C:$AA,14,0)-'TRADE IN'!$F196=0,"",(VLOOKUP($C196,REV!$C:$AA,14,0)-'TRADE IN'!$F196))</f>
        <v>1049</v>
      </c>
      <c r="Q196" s="56">
        <f>IF(VLOOKUP($C196,REV!$C:$AA,15,0)-'TRADE IN'!$F196=0,"",(VLOOKUP($C196,REV!$C:$AA,15,0)-'TRADE IN'!$F196))</f>
        <v>899</v>
      </c>
      <c r="R196" s="56">
        <f>IF(VLOOKUP($C196,REV!$C:$AA,16,0)-'TRADE IN'!$F196=0,"",(VLOOKUP($C196,REV!$C:$AA,16,0)-'TRADE IN'!$F196))</f>
        <v>1099</v>
      </c>
      <c r="S196" s="56">
        <f>IF(VLOOKUP($C196,REV!$C:$AA,17,0)-'TRADE IN'!$F196=0,"",(VLOOKUP($C196,REV!$C:$AA,17,0)-'TRADE IN'!$F196))</f>
        <v>1049</v>
      </c>
      <c r="T196" s="56">
        <f>IF(VLOOKUP($C196,REV!$C:$AA,18,0)-'TRADE IN'!$F196=0,"",(VLOOKUP($C196,REV!$C:$AA,18,0)-'TRADE IN'!$F196))</f>
        <v>899</v>
      </c>
      <c r="U196" s="56">
        <f>IF(VLOOKUP($C196,REV!$C:$AA,19,0)-'TRADE IN'!$F196=0,"",(VLOOKUP($C196,REV!$C:$AA,19,0)-'TRADE IN'!$F196))</f>
        <v>899</v>
      </c>
      <c r="V196" s="56">
        <f>IF(VLOOKUP($C196,REV!$C:$AA,20,0)-'TRADE IN'!$F196=0,"",(VLOOKUP($C196,REV!$C:$AA,20,0)-'TRADE IN'!$F196))</f>
        <v>899</v>
      </c>
      <c r="W196" s="56">
        <f>IF(VLOOKUP($C196,REV!$C:$AA,21,0)-'TRADE IN'!$F196=0,"",(VLOOKUP($C196,REV!$C:$AA,21,0)-'TRADE IN'!$F196))</f>
        <v>899</v>
      </c>
      <c r="X196" s="56">
        <f>IF(VLOOKUP($C196,REV!$C:$AA,22,0)-'TRADE IN'!$F196=0,"",(VLOOKUP($C196,REV!$C:$AA,22,0)-'TRADE IN'!$F196))</f>
        <v>849</v>
      </c>
      <c r="Y196" s="56">
        <f>IF(VLOOKUP($C196,REV!$C:$AA,23,0)-'TRADE IN'!$F196=0,"",(VLOOKUP($C196,REV!$C:$AA,23,0)-'TRADE IN'!$F196))</f>
        <v>829</v>
      </c>
      <c r="Z196" s="56">
        <f>IF(VLOOKUP($C196,REV!$C:$AA,24,0)-'TRADE IN'!$F196=0,"",(VLOOKUP($C196,REV!$C:$AA,24,0)-'TRADE IN'!$F196))</f>
        <v>829</v>
      </c>
      <c r="AA196" s="56">
        <f>IF(VLOOKUP($C196,REV!$C:$AA,25,0)-'TRADE IN'!$F196=0,"",(VLOOKUP($C196,REV!$C:$AA,25,0)-'TRADE IN'!$F196))</f>
        <v>819</v>
      </c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7"/>
      <c r="AW196" s="58" t="str">
        <f>REV!AW196</f>
        <v>03.11.2026</v>
      </c>
      <c r="AX196" s="147" t="str">
        <f>VLOOKUP(C196,REV!C:AX,48,0)</f>
        <v>5G</v>
      </c>
    </row>
    <row r="197" spans="1:50" ht="21.75" customHeight="1">
      <c r="A197" s="64" t="s">
        <v>241</v>
      </c>
      <c r="B197" s="52" t="s">
        <v>64</v>
      </c>
      <c r="C197" s="53">
        <v>4017123</v>
      </c>
      <c r="D197" s="65" t="s">
        <v>325</v>
      </c>
      <c r="E197" s="65" t="s">
        <v>326</v>
      </c>
      <c r="F197" s="55"/>
      <c r="G197" s="55"/>
      <c r="H197" s="55"/>
      <c r="I197" s="55"/>
      <c r="J197" s="56">
        <f>IF(VLOOKUP($C197,REV!$C:$AA,8,0)-'TRADE IN'!$F197=0,"",(VLOOKUP($C197,REV!$C:$AA,8,0)-'TRADE IN'!$F197))</f>
        <v>1899</v>
      </c>
      <c r="K197" s="56">
        <f>IF(VLOOKUP($C197,REV!$C:$AA,9,0)-'TRADE IN'!$F197=0,"",(VLOOKUP($C197,REV!$C:$AA,9,0)-'TRADE IN'!$F197))</f>
        <v>1899</v>
      </c>
      <c r="L197" s="56">
        <f>IF(VLOOKUP($C197,REV!$C:$AA,10,0)-'TRADE IN'!$F197=0,"",(VLOOKUP($C197,REV!$C:$AA,10,0)-'TRADE IN'!$F197))</f>
        <v>1899</v>
      </c>
      <c r="M197" s="56">
        <f>IF(VLOOKUP($C197,REV!$C:$AA,11,0)-'TRADE IN'!$F197=0,"",(VLOOKUP($C197,REV!$C:$AA,11,0)-'TRADE IN'!$F197))</f>
        <v>1899</v>
      </c>
      <c r="N197" s="56">
        <f>IF(VLOOKUP($C197,REV!$C:$AA,12,0)-'TRADE IN'!$F197=0,"",(VLOOKUP($C197,REV!$C:$AA,12,0)-'TRADE IN'!$F197))</f>
        <v>1899</v>
      </c>
      <c r="O197" s="56">
        <f>IF(VLOOKUP($C197,REV!$C:$AA,13,0)-'TRADE IN'!$F197=0,"",(VLOOKUP($C197,REV!$C:$AA,13,0)-'TRADE IN'!$F197))</f>
        <v>1799</v>
      </c>
      <c r="P197" s="56">
        <f>IF(VLOOKUP($C197,REV!$C:$AA,14,0)-'TRADE IN'!$F197=0,"",(VLOOKUP($C197,REV!$C:$AA,14,0)-'TRADE IN'!$F197))</f>
        <v>1699</v>
      </c>
      <c r="Q197" s="56">
        <f>IF(VLOOKUP($C197,REV!$C:$AA,15,0)-'TRADE IN'!$F197=0,"",(VLOOKUP($C197,REV!$C:$AA,15,0)-'TRADE IN'!$F197))</f>
        <v>1499</v>
      </c>
      <c r="R197" s="56">
        <f>IF(VLOOKUP($C197,REV!$C:$AA,16,0)-'TRADE IN'!$F197=0,"",(VLOOKUP($C197,REV!$C:$AA,16,0)-'TRADE IN'!$F197))</f>
        <v>1799</v>
      </c>
      <c r="S197" s="56">
        <f>IF(VLOOKUP($C197,REV!$C:$AA,17,0)-'TRADE IN'!$F197=0,"",(VLOOKUP($C197,REV!$C:$AA,17,0)-'TRADE IN'!$F197))</f>
        <v>1699</v>
      </c>
      <c r="T197" s="56">
        <f>IF(VLOOKUP($C197,REV!$C:$AA,18,0)-'TRADE IN'!$F197=0,"",(VLOOKUP($C197,REV!$C:$AA,18,0)-'TRADE IN'!$F197))</f>
        <v>1499</v>
      </c>
      <c r="U197" s="56">
        <f>IF(VLOOKUP($C197,REV!$C:$AA,19,0)-'TRADE IN'!$F197=0,"",(VLOOKUP($C197,REV!$C:$AA,19,0)-'TRADE IN'!$F197))</f>
        <v>1499</v>
      </c>
      <c r="V197" s="56">
        <f>IF(VLOOKUP($C197,REV!$C:$AA,20,0)-'TRADE IN'!$F197=0,"",(VLOOKUP($C197,REV!$C:$AA,20,0)-'TRADE IN'!$F197))</f>
        <v>1499</v>
      </c>
      <c r="W197" s="56">
        <f>IF(VLOOKUP($C197,REV!$C:$AA,21,0)-'TRADE IN'!$F197=0,"",(VLOOKUP($C197,REV!$C:$AA,21,0)-'TRADE IN'!$F197))</f>
        <v>1499</v>
      </c>
      <c r="X197" s="56">
        <f>IF(VLOOKUP($C197,REV!$C:$AA,22,0)-'TRADE IN'!$F197=0,"",(VLOOKUP($C197,REV!$C:$AA,22,0)-'TRADE IN'!$F197))</f>
        <v>1399</v>
      </c>
      <c r="Y197" s="56">
        <f>IF(VLOOKUP($C197,REV!$C:$AA,23,0)-'TRADE IN'!$F197=0,"",(VLOOKUP($C197,REV!$C:$AA,23,0)-'TRADE IN'!$F197))</f>
        <v>999</v>
      </c>
      <c r="Z197" s="56">
        <f>IF(VLOOKUP($C197,REV!$C:$AA,24,0)-'TRADE IN'!$F197=0,"",(VLOOKUP($C197,REV!$C:$AA,24,0)-'TRADE IN'!$F197))</f>
        <v>999</v>
      </c>
      <c r="AA197" s="56">
        <f>IF(VLOOKUP($C197,REV!$C:$AA,25,0)-'TRADE IN'!$F197=0,"",(VLOOKUP($C197,REV!$C:$AA,25,0)-'TRADE IN'!$F197))</f>
        <v>999</v>
      </c>
      <c r="AB197" s="55">
        <f>IF(VLOOKUP($C197,REV!$C:$AL,27,0)-'TRADE IN'!$F197=0,"",(VLOOKUP($C197,REV!$C:$AL,27,0)-'TRADE IN'!$F197))</f>
        <v>1899</v>
      </c>
      <c r="AC197" s="55">
        <f>IF(VLOOKUP($C197,REV!$C:$AL,28,0)-'TRADE IN'!$F197=0,"",(VLOOKUP($C197,REV!$C:$AL,28,0)-'TRADE IN'!$F197))</f>
        <v>1899</v>
      </c>
      <c r="AD197" s="55">
        <f>IF(VLOOKUP($C197,REV!$C:$AL,29,0)-'TRADE IN'!$F197=0,"",(VLOOKUP($C197,REV!$C:$AL,29,0)-'TRADE IN'!$F197))</f>
        <v>1799</v>
      </c>
      <c r="AE197" s="55">
        <f>IF(VLOOKUP($C197,REV!$C:$AL,30,0)-'TRADE IN'!$F197=0,"",(VLOOKUP($C197,REV!$C:$AL,30,0)-'TRADE IN'!$F197))</f>
        <v>1699</v>
      </c>
      <c r="AF197" s="55">
        <f>IF(VLOOKUP($C197,REV!$C:$AL,31,0)-'TRADE IN'!$F197=0,"",(VLOOKUP($C197,REV!$C:$AL,31,0)-'TRADE IN'!$F197))</f>
        <v>1699</v>
      </c>
      <c r="AG197" s="55">
        <f>IF(VLOOKUP($C197,REV!$C:$AL,31,0)-'TRADE IN'!$F197=0,"",(VLOOKUP($C197,REV!$C:$AL,31,0)-'TRADE IN'!$F197))</f>
        <v>1699</v>
      </c>
      <c r="AH197" s="55">
        <f>IF(VLOOKUP($C197,REV!$C:$AL,32,0)-'TRADE IN'!$F197=0,"",(VLOOKUP($C197,REV!$C:$AL,32,0)-'TRADE IN'!$F197))</f>
        <v>1499</v>
      </c>
      <c r="AI197" s="55">
        <f>IF(VLOOKUP($C197,REV!$C:$AL,33,0)-'TRADE IN'!$F197=0,"",(VLOOKUP($C197,REV!$C:$AL,33,0)-'TRADE IN'!$F197))</f>
        <v>1499</v>
      </c>
      <c r="AJ197" s="55">
        <f>IF(VLOOKUP($C197,REV!$C:$AL,34,0)-'TRADE IN'!$F197=0,"",(VLOOKUP($C197,REV!$C:$AL,34,0)-'TRADE IN'!$F197))</f>
        <v>1499</v>
      </c>
      <c r="AK197" s="55">
        <f>IF(VLOOKUP($C197,REV!$C:$AL,35,0)-'TRADE IN'!$F197=0,"",(VLOOKUP($C197,REV!$C:$AL,35,0)-'TRADE IN'!$F197))</f>
        <v>1499</v>
      </c>
      <c r="AL197" s="55">
        <f>IF(VLOOKUP($C197,REV!$C:$AL,36,0)-'TRADE IN'!$F197=0,"",(VLOOKUP($C197,REV!$C:$AL,36,0)-'TRADE IN'!$F197))</f>
        <v>999</v>
      </c>
      <c r="AM197" s="55"/>
      <c r="AN197" s="55"/>
      <c r="AO197" s="55"/>
      <c r="AP197" s="55"/>
      <c r="AQ197" s="55"/>
      <c r="AR197" s="55"/>
      <c r="AS197" s="55"/>
      <c r="AT197" s="55"/>
      <c r="AU197" s="55"/>
      <c r="AV197" s="57"/>
      <c r="AW197" s="58" t="str">
        <f>REV!AW197</f>
        <v>03.11.2026</v>
      </c>
      <c r="AX197" s="147" t="str">
        <f>VLOOKUP(C197,REV!C:AX,48,0)</f>
        <v>5G</v>
      </c>
    </row>
    <row r="198" spans="1:50" ht="21.75" customHeight="1">
      <c r="A198" s="64" t="s">
        <v>241</v>
      </c>
      <c r="B198" s="52" t="s">
        <v>64</v>
      </c>
      <c r="C198" s="53">
        <v>4017120</v>
      </c>
      <c r="D198" s="65" t="s">
        <v>325</v>
      </c>
      <c r="E198" s="65" t="s">
        <v>327</v>
      </c>
      <c r="F198" s="55"/>
      <c r="G198" s="55"/>
      <c r="H198" s="55"/>
      <c r="I198" s="55"/>
      <c r="J198" s="56">
        <f>IF(VLOOKUP($C198,REV!$C:$AA,8,0)-'TRADE IN'!$F198=0,"",(VLOOKUP($C198,REV!$C:$AA,8,0)-'TRADE IN'!$F198))</f>
        <v>1899</v>
      </c>
      <c r="K198" s="56">
        <f>IF(VLOOKUP($C198,REV!$C:$AA,9,0)-'TRADE IN'!$F198=0,"",(VLOOKUP($C198,REV!$C:$AA,9,0)-'TRADE IN'!$F198))</f>
        <v>1899</v>
      </c>
      <c r="L198" s="56">
        <f>IF(VLOOKUP($C198,REV!$C:$AA,10,0)-'TRADE IN'!$F198=0,"",(VLOOKUP($C198,REV!$C:$AA,10,0)-'TRADE IN'!$F198))</f>
        <v>1899</v>
      </c>
      <c r="M198" s="56">
        <f>IF(VLOOKUP($C198,REV!$C:$AA,11,0)-'TRADE IN'!$F198=0,"",(VLOOKUP($C198,REV!$C:$AA,11,0)-'TRADE IN'!$F198))</f>
        <v>1899</v>
      </c>
      <c r="N198" s="56">
        <f>IF(VLOOKUP($C198,REV!$C:$AA,12,0)-'TRADE IN'!$F198=0,"",(VLOOKUP($C198,REV!$C:$AA,12,0)-'TRADE IN'!$F198))</f>
        <v>1899</v>
      </c>
      <c r="O198" s="56">
        <f>IF(VLOOKUP($C198,REV!$C:$AA,13,0)-'TRADE IN'!$F198=0,"",(VLOOKUP($C198,REV!$C:$AA,13,0)-'TRADE IN'!$F198))</f>
        <v>1799</v>
      </c>
      <c r="P198" s="56">
        <f>IF(VLOOKUP($C198,REV!$C:$AA,14,0)-'TRADE IN'!$F198=0,"",(VLOOKUP($C198,REV!$C:$AA,14,0)-'TRADE IN'!$F198))</f>
        <v>1699</v>
      </c>
      <c r="Q198" s="56">
        <f>IF(VLOOKUP($C198,REV!$C:$AA,15,0)-'TRADE IN'!$F198=0,"",(VLOOKUP($C198,REV!$C:$AA,15,0)-'TRADE IN'!$F198))</f>
        <v>1499</v>
      </c>
      <c r="R198" s="56">
        <f>IF(VLOOKUP($C198,REV!$C:$AA,16,0)-'TRADE IN'!$F198=0,"",(VLOOKUP($C198,REV!$C:$AA,16,0)-'TRADE IN'!$F198))</f>
        <v>1799</v>
      </c>
      <c r="S198" s="56">
        <f>IF(VLOOKUP($C198,REV!$C:$AA,17,0)-'TRADE IN'!$F198=0,"",(VLOOKUP($C198,REV!$C:$AA,17,0)-'TRADE IN'!$F198))</f>
        <v>1699</v>
      </c>
      <c r="T198" s="56">
        <f>IF(VLOOKUP($C198,REV!$C:$AA,18,0)-'TRADE IN'!$F198=0,"",(VLOOKUP($C198,REV!$C:$AA,18,0)-'TRADE IN'!$F198))</f>
        <v>1499</v>
      </c>
      <c r="U198" s="56">
        <f>IF(VLOOKUP($C198,REV!$C:$AA,19,0)-'TRADE IN'!$F198=0,"",(VLOOKUP($C198,REV!$C:$AA,19,0)-'TRADE IN'!$F198))</f>
        <v>1499</v>
      </c>
      <c r="V198" s="56">
        <f>IF(VLOOKUP($C198,REV!$C:$AA,20,0)-'TRADE IN'!$F198=0,"",(VLOOKUP($C198,REV!$C:$AA,20,0)-'TRADE IN'!$F198))</f>
        <v>1499</v>
      </c>
      <c r="W198" s="56">
        <f>IF(VLOOKUP($C198,REV!$C:$AA,21,0)-'TRADE IN'!$F198=0,"",(VLOOKUP($C198,REV!$C:$AA,21,0)-'TRADE IN'!$F198))</f>
        <v>1499</v>
      </c>
      <c r="X198" s="56">
        <f>IF(VLOOKUP($C198,REV!$C:$AA,22,0)-'TRADE IN'!$F198=0,"",(VLOOKUP($C198,REV!$C:$AA,22,0)-'TRADE IN'!$F198))</f>
        <v>1399</v>
      </c>
      <c r="Y198" s="56">
        <f>IF(VLOOKUP($C198,REV!$C:$AA,23,0)-'TRADE IN'!$F198=0,"",(VLOOKUP($C198,REV!$C:$AA,23,0)-'TRADE IN'!$F198))</f>
        <v>999</v>
      </c>
      <c r="Z198" s="56">
        <f>IF(VLOOKUP($C198,REV!$C:$AA,24,0)-'TRADE IN'!$F198=0,"",(VLOOKUP($C198,REV!$C:$AA,24,0)-'TRADE IN'!$F198))</f>
        <v>999</v>
      </c>
      <c r="AA198" s="56">
        <f>IF(VLOOKUP($C198,REV!$C:$AA,25,0)-'TRADE IN'!$F198=0,"",(VLOOKUP($C198,REV!$C:$AA,25,0)-'TRADE IN'!$F198))</f>
        <v>999</v>
      </c>
      <c r="AB198" s="55">
        <f>IF(VLOOKUP($C198,REV!$C:$AL,27,0)-'TRADE IN'!$F198=0,"",(VLOOKUP($C198,REV!$C:$AL,27,0)-'TRADE IN'!$F198))</f>
        <v>1899</v>
      </c>
      <c r="AC198" s="55">
        <f>IF(VLOOKUP($C198,REV!$C:$AL,28,0)-'TRADE IN'!$F198=0,"",(VLOOKUP($C198,REV!$C:$AL,28,0)-'TRADE IN'!$F198))</f>
        <v>1899</v>
      </c>
      <c r="AD198" s="55">
        <f>IF(VLOOKUP($C198,REV!$C:$AL,29,0)-'TRADE IN'!$F198=0,"",(VLOOKUP($C198,REV!$C:$AL,29,0)-'TRADE IN'!$F198))</f>
        <v>1799</v>
      </c>
      <c r="AE198" s="55">
        <f>IF(VLOOKUP($C198,REV!$C:$AL,30,0)-'TRADE IN'!$F198=0,"",(VLOOKUP($C198,REV!$C:$AL,30,0)-'TRADE IN'!$F198))</f>
        <v>1699</v>
      </c>
      <c r="AF198" s="55">
        <f>IF(VLOOKUP($C198,REV!$C:$AL,31,0)-'TRADE IN'!$F198=0,"",(VLOOKUP($C198,REV!$C:$AL,31,0)-'TRADE IN'!$F198))</f>
        <v>1699</v>
      </c>
      <c r="AG198" s="55">
        <f>IF(VLOOKUP($C198,REV!$C:$AL,31,0)-'TRADE IN'!$F198=0,"",(VLOOKUP($C198,REV!$C:$AL,31,0)-'TRADE IN'!$F198))</f>
        <v>1699</v>
      </c>
      <c r="AH198" s="55">
        <f>IF(VLOOKUP($C198,REV!$C:$AL,32,0)-'TRADE IN'!$F198=0,"",(VLOOKUP($C198,REV!$C:$AL,32,0)-'TRADE IN'!$F198))</f>
        <v>1499</v>
      </c>
      <c r="AI198" s="55">
        <f>IF(VLOOKUP($C198,REV!$C:$AL,33,0)-'TRADE IN'!$F198=0,"",(VLOOKUP($C198,REV!$C:$AL,33,0)-'TRADE IN'!$F198))</f>
        <v>1499</v>
      </c>
      <c r="AJ198" s="55">
        <f>IF(VLOOKUP($C198,REV!$C:$AL,34,0)-'TRADE IN'!$F198=0,"",(VLOOKUP($C198,REV!$C:$AL,34,0)-'TRADE IN'!$F198))</f>
        <v>1499</v>
      </c>
      <c r="AK198" s="55">
        <f>IF(VLOOKUP($C198,REV!$C:$AL,35,0)-'TRADE IN'!$F198=0,"",(VLOOKUP($C198,REV!$C:$AL,35,0)-'TRADE IN'!$F198))</f>
        <v>1499</v>
      </c>
      <c r="AL198" s="55">
        <f>IF(VLOOKUP($C198,REV!$C:$AL,36,0)-'TRADE IN'!$F198=0,"",(VLOOKUP($C198,REV!$C:$AL,36,0)-'TRADE IN'!$F198))</f>
        <v>999</v>
      </c>
      <c r="AM198" s="55"/>
      <c r="AN198" s="55"/>
      <c r="AO198" s="55"/>
      <c r="AP198" s="55"/>
      <c r="AQ198" s="55"/>
      <c r="AR198" s="55"/>
      <c r="AS198" s="55"/>
      <c r="AT198" s="55"/>
      <c r="AU198" s="55"/>
      <c r="AV198" s="57"/>
      <c r="AW198" s="58" t="str">
        <f>REV!AW198</f>
        <v>03.11.2026</v>
      </c>
      <c r="AX198" s="147" t="str">
        <f>VLOOKUP(C198,REV!C:AX,48,0)</f>
        <v>5G</v>
      </c>
    </row>
    <row r="199" spans="1:50" ht="21.75" customHeight="1">
      <c r="A199" s="64" t="s">
        <v>241</v>
      </c>
      <c r="B199" s="52" t="s">
        <v>64</v>
      </c>
      <c r="C199" s="53">
        <v>4017684</v>
      </c>
      <c r="D199" s="65" t="s">
        <v>328</v>
      </c>
      <c r="E199" s="65" t="s">
        <v>329</v>
      </c>
      <c r="F199" s="55"/>
      <c r="G199" s="55"/>
      <c r="H199" s="55"/>
      <c r="I199" s="55"/>
      <c r="J199" s="56">
        <f>IF(VLOOKUP($C199,REV!$C:$AA,8,0)-'TRADE IN'!$F199=0,"",(VLOOKUP($C199,REV!$C:$AA,8,0)-'TRADE IN'!$F199))</f>
        <v>2099</v>
      </c>
      <c r="K199" s="56">
        <f>IF(VLOOKUP($C199,REV!$C:$AA,9,0)-'TRADE IN'!$F199=0,"",(VLOOKUP($C199,REV!$C:$AA,9,0)-'TRADE IN'!$F199))</f>
        <v>1599</v>
      </c>
      <c r="L199" s="56">
        <f>IF(VLOOKUP($C199,REV!$C:$AA,10,0)-'TRADE IN'!$F199=0,"",(VLOOKUP($C199,REV!$C:$AA,10,0)-'TRADE IN'!$F199))</f>
        <v>1599</v>
      </c>
      <c r="M199" s="56">
        <f>IF(VLOOKUP($C199,REV!$C:$AA,11,0)-'TRADE IN'!$F199=0,"",(VLOOKUP($C199,REV!$C:$AA,11,0)-'TRADE IN'!$F199))</f>
        <v>2099</v>
      </c>
      <c r="N199" s="56">
        <f>IF(VLOOKUP($C199,REV!$C:$AA,12,0)-'TRADE IN'!$F199=0,"",(VLOOKUP($C199,REV!$C:$AA,12,0)-'TRADE IN'!$F199))</f>
        <v>1599</v>
      </c>
      <c r="O199" s="56">
        <f>IF(VLOOKUP($C199,REV!$C:$AA,13,0)-'TRADE IN'!$F199=0,"",(VLOOKUP($C199,REV!$C:$AA,13,0)-'TRADE IN'!$F199))</f>
        <v>1499</v>
      </c>
      <c r="P199" s="56">
        <f>IF(VLOOKUP($C199,REV!$C:$AA,14,0)-'TRADE IN'!$F199=0,"",(VLOOKUP($C199,REV!$C:$AA,14,0)-'TRADE IN'!$F199))</f>
        <v>1449</v>
      </c>
      <c r="Q199" s="56">
        <f>IF(VLOOKUP($C199,REV!$C:$AA,15,0)-'TRADE IN'!$F199=0,"",(VLOOKUP($C199,REV!$C:$AA,15,0)-'TRADE IN'!$F199))</f>
        <v>1399</v>
      </c>
      <c r="R199" s="56">
        <f>IF(VLOOKUP($C199,REV!$C:$AA,16,0)-'TRADE IN'!$F199=0,"",(VLOOKUP($C199,REV!$C:$AA,16,0)-'TRADE IN'!$F199))</f>
        <v>1499</v>
      </c>
      <c r="S199" s="56">
        <f>IF(VLOOKUP($C199,REV!$C:$AA,17,0)-'TRADE IN'!$F199=0,"",(VLOOKUP($C199,REV!$C:$AA,17,0)-'TRADE IN'!$F199))</f>
        <v>1449</v>
      </c>
      <c r="T199" s="56">
        <f>IF(VLOOKUP($C199,REV!$C:$AA,18,0)-'TRADE IN'!$F199=0,"",(VLOOKUP($C199,REV!$C:$AA,18,0)-'TRADE IN'!$F199))</f>
        <v>1399</v>
      </c>
      <c r="U199" s="56">
        <f>IF(VLOOKUP($C199,REV!$C:$AA,19,0)-'TRADE IN'!$F199=0,"",(VLOOKUP($C199,REV!$C:$AA,19,0)-'TRADE IN'!$F199))</f>
        <v>1399</v>
      </c>
      <c r="V199" s="56">
        <f>IF(VLOOKUP($C199,REV!$C:$AA,20,0)-'TRADE IN'!$F199=0,"",(VLOOKUP($C199,REV!$C:$AA,20,0)-'TRADE IN'!$F199))</f>
        <v>1399</v>
      </c>
      <c r="W199" s="56">
        <f>IF(VLOOKUP($C199,REV!$C:$AA,21,0)-'TRADE IN'!$F199=0,"",(VLOOKUP($C199,REV!$C:$AA,21,0)-'TRADE IN'!$F199))</f>
        <v>1399</v>
      </c>
      <c r="X199" s="56">
        <f>IF(VLOOKUP($C199,REV!$C:$AA,22,0)-'TRADE IN'!$F199=0,"",(VLOOKUP($C199,REV!$C:$AA,22,0)-'TRADE IN'!$F199))</f>
        <v>1299</v>
      </c>
      <c r="Y199" s="56">
        <f>IF(VLOOKUP($C199,REV!$C:$AA,23,0)-'TRADE IN'!$F199=0,"",(VLOOKUP($C199,REV!$C:$AA,23,0)-'TRADE IN'!$F199))</f>
        <v>1199</v>
      </c>
      <c r="Z199" s="56">
        <f>IF(VLOOKUP($C199,REV!$C:$AA,24,0)-'TRADE IN'!$F199=0,"",(VLOOKUP($C199,REV!$C:$AA,24,0)-'TRADE IN'!$F199))</f>
        <v>1199</v>
      </c>
      <c r="AA199" s="56">
        <f>IF(VLOOKUP($C199,REV!$C:$AA,25,0)-'TRADE IN'!$F199=0,"",(VLOOKUP($C199,REV!$C:$AA,25,0)-'TRADE IN'!$F199))</f>
        <v>1199</v>
      </c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7"/>
      <c r="AW199" s="58" t="str">
        <f>REV!AW199</f>
        <v>03.11.2026</v>
      </c>
      <c r="AX199" s="147" t="str">
        <f>VLOOKUP(C199,REV!C:AX,48,0)</f>
        <v>5G</v>
      </c>
    </row>
    <row r="200" spans="1:50" ht="21.75" customHeight="1">
      <c r="A200" s="64" t="s">
        <v>241</v>
      </c>
      <c r="B200" s="52" t="s">
        <v>64</v>
      </c>
      <c r="C200" s="53">
        <v>4017687</v>
      </c>
      <c r="D200" s="65" t="s">
        <v>328</v>
      </c>
      <c r="E200" s="65" t="s">
        <v>330</v>
      </c>
      <c r="F200" s="55"/>
      <c r="G200" s="55"/>
      <c r="H200" s="55"/>
      <c r="I200" s="55"/>
      <c r="J200" s="56">
        <f>IF(VLOOKUP($C200,REV!$C:$AA,8,0)-'TRADE IN'!$F200=0,"",(VLOOKUP($C200,REV!$C:$AA,8,0)-'TRADE IN'!$F200))</f>
        <v>2099</v>
      </c>
      <c r="K200" s="56">
        <f>IF(VLOOKUP($C200,REV!$C:$AA,9,0)-'TRADE IN'!$F200=0,"",(VLOOKUP($C200,REV!$C:$AA,9,0)-'TRADE IN'!$F200))</f>
        <v>1599</v>
      </c>
      <c r="L200" s="56">
        <f>IF(VLOOKUP($C200,REV!$C:$AA,10,0)-'TRADE IN'!$F200=0,"",(VLOOKUP($C200,REV!$C:$AA,10,0)-'TRADE IN'!$F200))</f>
        <v>1599</v>
      </c>
      <c r="M200" s="56">
        <f>IF(VLOOKUP($C200,REV!$C:$AA,11,0)-'TRADE IN'!$F200=0,"",(VLOOKUP($C200,REV!$C:$AA,11,0)-'TRADE IN'!$F200))</f>
        <v>2099</v>
      </c>
      <c r="N200" s="56">
        <f>IF(VLOOKUP($C200,REV!$C:$AA,12,0)-'TRADE IN'!$F200=0,"",(VLOOKUP($C200,REV!$C:$AA,12,0)-'TRADE IN'!$F200))</f>
        <v>1599</v>
      </c>
      <c r="O200" s="56">
        <f>IF(VLOOKUP($C200,REV!$C:$AA,13,0)-'TRADE IN'!$F200=0,"",(VLOOKUP($C200,REV!$C:$AA,13,0)-'TRADE IN'!$F200))</f>
        <v>1499</v>
      </c>
      <c r="P200" s="56">
        <f>IF(VLOOKUP($C200,REV!$C:$AA,14,0)-'TRADE IN'!$F200=0,"",(VLOOKUP($C200,REV!$C:$AA,14,0)-'TRADE IN'!$F200))</f>
        <v>1449</v>
      </c>
      <c r="Q200" s="56">
        <f>IF(VLOOKUP($C200,REV!$C:$AA,15,0)-'TRADE IN'!$F200=0,"",(VLOOKUP($C200,REV!$C:$AA,15,0)-'TRADE IN'!$F200))</f>
        <v>1399</v>
      </c>
      <c r="R200" s="56">
        <f>IF(VLOOKUP($C200,REV!$C:$AA,16,0)-'TRADE IN'!$F200=0,"",(VLOOKUP($C200,REV!$C:$AA,16,0)-'TRADE IN'!$F200))</f>
        <v>1499</v>
      </c>
      <c r="S200" s="56">
        <f>IF(VLOOKUP($C200,REV!$C:$AA,17,0)-'TRADE IN'!$F200=0,"",(VLOOKUP($C200,REV!$C:$AA,17,0)-'TRADE IN'!$F200))</f>
        <v>1449</v>
      </c>
      <c r="T200" s="56">
        <f>IF(VLOOKUP($C200,REV!$C:$AA,18,0)-'TRADE IN'!$F200=0,"",(VLOOKUP($C200,REV!$C:$AA,18,0)-'TRADE IN'!$F200))</f>
        <v>1399</v>
      </c>
      <c r="U200" s="56">
        <f>IF(VLOOKUP($C200,REV!$C:$AA,19,0)-'TRADE IN'!$F200=0,"",(VLOOKUP($C200,REV!$C:$AA,19,0)-'TRADE IN'!$F200))</f>
        <v>1399</v>
      </c>
      <c r="V200" s="56">
        <f>IF(VLOOKUP($C200,REV!$C:$AA,20,0)-'TRADE IN'!$F200=0,"",(VLOOKUP($C200,REV!$C:$AA,20,0)-'TRADE IN'!$F200))</f>
        <v>1399</v>
      </c>
      <c r="W200" s="56">
        <f>IF(VLOOKUP($C200,REV!$C:$AA,21,0)-'TRADE IN'!$F200=0,"",(VLOOKUP($C200,REV!$C:$AA,21,0)-'TRADE IN'!$F200))</f>
        <v>1399</v>
      </c>
      <c r="X200" s="56">
        <f>IF(VLOOKUP($C200,REV!$C:$AA,22,0)-'TRADE IN'!$F200=0,"",(VLOOKUP($C200,REV!$C:$AA,22,0)-'TRADE IN'!$F200))</f>
        <v>1299</v>
      </c>
      <c r="Y200" s="56">
        <f>IF(VLOOKUP($C200,REV!$C:$AA,23,0)-'TRADE IN'!$F200=0,"",(VLOOKUP($C200,REV!$C:$AA,23,0)-'TRADE IN'!$F200))</f>
        <v>1199</v>
      </c>
      <c r="Z200" s="56">
        <f>IF(VLOOKUP($C200,REV!$C:$AA,24,0)-'TRADE IN'!$F200=0,"",(VLOOKUP($C200,REV!$C:$AA,24,0)-'TRADE IN'!$F200))</f>
        <v>1199</v>
      </c>
      <c r="AA200" s="56">
        <f>IF(VLOOKUP($C200,REV!$C:$AA,25,0)-'TRADE IN'!$F200=0,"",(VLOOKUP($C200,REV!$C:$AA,25,0)-'TRADE IN'!$F200))</f>
        <v>1199</v>
      </c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7"/>
      <c r="AW200" s="58" t="str">
        <f>REV!AW200</f>
        <v>03.11.2026</v>
      </c>
      <c r="AX200" s="147" t="str">
        <f>VLOOKUP(C200,REV!C:AX,48,0)</f>
        <v>5G</v>
      </c>
    </row>
    <row r="201" spans="1:50" ht="22" customHeight="1">
      <c r="A201" s="64" t="s">
        <v>241</v>
      </c>
      <c r="B201" s="52" t="s">
        <v>64</v>
      </c>
      <c r="C201" s="53">
        <v>4016652</v>
      </c>
      <c r="D201" s="65" t="s">
        <v>331</v>
      </c>
      <c r="E201" s="65" t="s">
        <v>332</v>
      </c>
      <c r="F201" s="55"/>
      <c r="G201" s="55"/>
      <c r="H201" s="55"/>
      <c r="I201" s="55"/>
      <c r="J201" s="56">
        <f>IF(VLOOKUP($C201,REV!$C:$AA,8,0)-'TRADE IN'!$F201=0,"",(VLOOKUP($C201,REV!$C:$AA,8,0)-'TRADE IN'!$F201))</f>
        <v>1699</v>
      </c>
      <c r="K201" s="56">
        <f>IF(VLOOKUP($C201,REV!$C:$AA,9,0)-'TRADE IN'!$F201=0,"",(VLOOKUP($C201,REV!$C:$AA,9,0)-'TRADE IN'!$F201))</f>
        <v>1699</v>
      </c>
      <c r="L201" s="56">
        <f>IF(VLOOKUP($C201,REV!$C:$AA,10,0)-'TRADE IN'!$F201=0,"",(VLOOKUP($C201,REV!$C:$AA,10,0)-'TRADE IN'!$F201))</f>
        <v>1699</v>
      </c>
      <c r="M201" s="56">
        <f>IF(VLOOKUP($C201,REV!$C:$AA,11,0)-'TRADE IN'!$F201=0,"",(VLOOKUP($C201,REV!$C:$AA,11,0)-'TRADE IN'!$F201))</f>
        <v>1699</v>
      </c>
      <c r="N201" s="56">
        <f>IF(VLOOKUP($C201,REV!$C:$AA,12,0)-'TRADE IN'!$F201=0,"",(VLOOKUP($C201,REV!$C:$AA,12,0)-'TRADE IN'!$F201))</f>
        <v>1699</v>
      </c>
      <c r="O201" s="56">
        <f>IF(VLOOKUP($C201,REV!$C:$AA,13,0)-'TRADE IN'!$F201=0,"",(VLOOKUP($C201,REV!$C:$AA,13,0)-'TRADE IN'!$F201))</f>
        <v>1599</v>
      </c>
      <c r="P201" s="56">
        <f>IF(VLOOKUP($C201,REV!$C:$AA,14,0)-'TRADE IN'!$F201=0,"",(VLOOKUP($C201,REV!$C:$AA,14,0)-'TRADE IN'!$F201))</f>
        <v>1499</v>
      </c>
      <c r="Q201" s="56">
        <f>IF(VLOOKUP($C201,REV!$C:$AA,15,0)-'TRADE IN'!$F201=0,"",(VLOOKUP($C201,REV!$C:$AA,15,0)-'TRADE IN'!$F201))</f>
        <v>999</v>
      </c>
      <c r="R201" s="56">
        <f>IF(VLOOKUP($C201,REV!$C:$AA,16,0)-'TRADE IN'!$F201=0,"",(VLOOKUP($C201,REV!$C:$AA,16,0)-'TRADE IN'!$F201))</f>
        <v>1599</v>
      </c>
      <c r="S201" s="56">
        <f>IF(VLOOKUP($C201,REV!$C:$AA,17,0)-'TRADE IN'!$F201=0,"",(VLOOKUP($C201,REV!$C:$AA,17,0)-'TRADE IN'!$F201))</f>
        <v>1499</v>
      </c>
      <c r="T201" s="56">
        <f>IF(VLOOKUP($C201,REV!$C:$AA,18,0)-'TRADE IN'!$F201=0,"",(VLOOKUP($C201,REV!$C:$AA,18,0)-'TRADE IN'!$F201))</f>
        <v>999</v>
      </c>
      <c r="U201" s="56">
        <f>IF(VLOOKUP($C201,REV!$C:$AA,19,0)-'TRADE IN'!$F201=0,"",(VLOOKUP($C201,REV!$C:$AA,19,0)-'TRADE IN'!$F201))</f>
        <v>999</v>
      </c>
      <c r="V201" s="56">
        <f>IF(VLOOKUP($C201,REV!$C:$AA,20,0)-'TRADE IN'!$F201=0,"",(VLOOKUP($C201,REV!$C:$AA,20,0)-'TRADE IN'!$F201))</f>
        <v>999</v>
      </c>
      <c r="W201" s="56">
        <f>IF(VLOOKUP($C201,REV!$C:$AA,21,0)-'TRADE IN'!$F201=0,"",(VLOOKUP($C201,REV!$C:$AA,21,0)-'TRADE IN'!$F201))</f>
        <v>999</v>
      </c>
      <c r="X201" s="56">
        <f>IF(VLOOKUP($C201,REV!$C:$AA,22,0)-'TRADE IN'!$F201=0,"",(VLOOKUP($C201,REV!$C:$AA,22,0)-'TRADE IN'!$F201))</f>
        <v>999</v>
      </c>
      <c r="Y201" s="56">
        <f>IF(VLOOKUP($C201,REV!$C:$AA,23,0)-'TRADE IN'!$F201=0,"",(VLOOKUP($C201,REV!$C:$AA,23,0)-'TRADE IN'!$F201))</f>
        <v>899</v>
      </c>
      <c r="Z201" s="56">
        <f>IF(VLOOKUP($C201,REV!$C:$AA,24,0)-'TRADE IN'!$F201=0,"",(VLOOKUP($C201,REV!$C:$AA,24,0)-'TRADE IN'!$F201))</f>
        <v>899</v>
      </c>
      <c r="AA201" s="56">
        <f>IF(VLOOKUP($C201,REV!$C:$AA,25,0)-'TRADE IN'!$F201=0,"",(VLOOKUP($C201,REV!$C:$AA,25,0)-'TRADE IN'!$F201))</f>
        <v>899</v>
      </c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7"/>
      <c r="AW201" s="58" t="str">
        <f>REV!AW201</f>
        <v>03.11.2026</v>
      </c>
      <c r="AX201" s="147" t="str">
        <f>VLOOKUP(C201,REV!C:AX,48,0)</f>
        <v>5G</v>
      </c>
    </row>
    <row r="202" spans="1:50" ht="22" customHeight="1">
      <c r="A202" s="64" t="s">
        <v>241</v>
      </c>
      <c r="B202" s="52" t="s">
        <v>64</v>
      </c>
      <c r="C202" s="53">
        <v>4016654</v>
      </c>
      <c r="D202" s="65" t="s">
        <v>331</v>
      </c>
      <c r="E202" s="65" t="s">
        <v>333</v>
      </c>
      <c r="F202" s="55"/>
      <c r="G202" s="55"/>
      <c r="H202" s="55"/>
      <c r="I202" s="55"/>
      <c r="J202" s="56">
        <f>IF(VLOOKUP($C202,REV!$C:$AA,8,0)-'TRADE IN'!$F202=0,"",(VLOOKUP($C202,REV!$C:$AA,8,0)-'TRADE IN'!$F202))</f>
        <v>1699</v>
      </c>
      <c r="K202" s="56">
        <f>IF(VLOOKUP($C202,REV!$C:$AA,9,0)-'TRADE IN'!$F202=0,"",(VLOOKUP($C202,REV!$C:$AA,9,0)-'TRADE IN'!$F202))</f>
        <v>1699</v>
      </c>
      <c r="L202" s="56">
        <f>IF(VLOOKUP($C202,REV!$C:$AA,10,0)-'TRADE IN'!$F202=0,"",(VLOOKUP($C202,REV!$C:$AA,10,0)-'TRADE IN'!$F202))</f>
        <v>1699</v>
      </c>
      <c r="M202" s="56">
        <f>IF(VLOOKUP($C202,REV!$C:$AA,11,0)-'TRADE IN'!$F202=0,"",(VLOOKUP($C202,REV!$C:$AA,11,0)-'TRADE IN'!$F202))</f>
        <v>1699</v>
      </c>
      <c r="N202" s="56">
        <f>IF(VLOOKUP($C202,REV!$C:$AA,12,0)-'TRADE IN'!$F202=0,"",(VLOOKUP($C202,REV!$C:$AA,12,0)-'TRADE IN'!$F202))</f>
        <v>1699</v>
      </c>
      <c r="O202" s="56">
        <f>IF(VLOOKUP($C202,REV!$C:$AA,13,0)-'TRADE IN'!$F202=0,"",(VLOOKUP($C202,REV!$C:$AA,13,0)-'TRADE IN'!$F202))</f>
        <v>1599</v>
      </c>
      <c r="P202" s="56">
        <f>IF(VLOOKUP($C202,REV!$C:$AA,14,0)-'TRADE IN'!$F202=0,"",(VLOOKUP($C202,REV!$C:$AA,14,0)-'TRADE IN'!$F202))</f>
        <v>1499</v>
      </c>
      <c r="Q202" s="56">
        <f>IF(VLOOKUP($C202,REV!$C:$AA,15,0)-'TRADE IN'!$F202=0,"",(VLOOKUP($C202,REV!$C:$AA,15,0)-'TRADE IN'!$F202))</f>
        <v>999</v>
      </c>
      <c r="R202" s="56">
        <f>IF(VLOOKUP($C202,REV!$C:$AA,16,0)-'TRADE IN'!$F202=0,"",(VLOOKUP($C202,REV!$C:$AA,16,0)-'TRADE IN'!$F202))</f>
        <v>1599</v>
      </c>
      <c r="S202" s="56">
        <f>IF(VLOOKUP($C202,REV!$C:$AA,17,0)-'TRADE IN'!$F202=0,"",(VLOOKUP($C202,REV!$C:$AA,17,0)-'TRADE IN'!$F202))</f>
        <v>1499</v>
      </c>
      <c r="T202" s="56">
        <f>IF(VLOOKUP($C202,REV!$C:$AA,18,0)-'TRADE IN'!$F202=0,"",(VLOOKUP($C202,REV!$C:$AA,18,0)-'TRADE IN'!$F202))</f>
        <v>999</v>
      </c>
      <c r="U202" s="56">
        <f>IF(VLOOKUP($C202,REV!$C:$AA,19,0)-'TRADE IN'!$F202=0,"",(VLOOKUP($C202,REV!$C:$AA,19,0)-'TRADE IN'!$F202))</f>
        <v>999</v>
      </c>
      <c r="V202" s="56">
        <f>IF(VLOOKUP($C202,REV!$C:$AA,20,0)-'TRADE IN'!$F202=0,"",(VLOOKUP($C202,REV!$C:$AA,20,0)-'TRADE IN'!$F202))</f>
        <v>999</v>
      </c>
      <c r="W202" s="56">
        <f>IF(VLOOKUP($C202,REV!$C:$AA,21,0)-'TRADE IN'!$F202=0,"",(VLOOKUP($C202,REV!$C:$AA,21,0)-'TRADE IN'!$F202))</f>
        <v>999</v>
      </c>
      <c r="X202" s="56">
        <f>IF(VLOOKUP($C202,REV!$C:$AA,22,0)-'TRADE IN'!$F202=0,"",(VLOOKUP($C202,REV!$C:$AA,22,0)-'TRADE IN'!$F202))</f>
        <v>999</v>
      </c>
      <c r="Y202" s="56">
        <f>IF(VLOOKUP($C202,REV!$C:$AA,23,0)-'TRADE IN'!$F202=0,"",(VLOOKUP($C202,REV!$C:$AA,23,0)-'TRADE IN'!$F202))</f>
        <v>899</v>
      </c>
      <c r="Z202" s="56">
        <f>IF(VLOOKUP($C202,REV!$C:$AA,24,0)-'TRADE IN'!$F202=0,"",(VLOOKUP($C202,REV!$C:$AA,24,0)-'TRADE IN'!$F202))</f>
        <v>899</v>
      </c>
      <c r="AA202" s="56">
        <f>IF(VLOOKUP($C202,REV!$C:$AA,25,0)-'TRADE IN'!$F202=0,"",(VLOOKUP($C202,REV!$C:$AA,25,0)-'TRADE IN'!$F202))</f>
        <v>899</v>
      </c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7"/>
      <c r="AW202" s="58" t="str">
        <f>REV!AW202</f>
        <v>03.11.2026</v>
      </c>
      <c r="AX202" s="147" t="str">
        <f>VLOOKUP(C202,REV!C:AX,48,0)</f>
        <v>5G</v>
      </c>
    </row>
    <row r="203" spans="1:50" ht="22" customHeight="1">
      <c r="A203" s="64" t="s">
        <v>241</v>
      </c>
      <c r="B203" s="52" t="s">
        <v>64</v>
      </c>
      <c r="C203" s="53">
        <v>4016655</v>
      </c>
      <c r="D203" s="65" t="s">
        <v>331</v>
      </c>
      <c r="E203" s="65" t="s">
        <v>334</v>
      </c>
      <c r="F203" s="55"/>
      <c r="G203" s="55"/>
      <c r="H203" s="55"/>
      <c r="I203" s="55"/>
      <c r="J203" s="56">
        <f>IF(VLOOKUP($C203,REV!$C:$AA,8,0)-'TRADE IN'!$F203=0,"",(VLOOKUP($C203,REV!$C:$AA,8,0)-'TRADE IN'!$F203))</f>
        <v>1699</v>
      </c>
      <c r="K203" s="56">
        <f>IF(VLOOKUP($C203,REV!$C:$AA,9,0)-'TRADE IN'!$F203=0,"",(VLOOKUP($C203,REV!$C:$AA,9,0)-'TRADE IN'!$F203))</f>
        <v>1699</v>
      </c>
      <c r="L203" s="56">
        <f>IF(VLOOKUP($C203,REV!$C:$AA,10,0)-'TRADE IN'!$F203=0,"",(VLOOKUP($C203,REV!$C:$AA,10,0)-'TRADE IN'!$F203))</f>
        <v>1699</v>
      </c>
      <c r="M203" s="56">
        <f>IF(VLOOKUP($C203,REV!$C:$AA,11,0)-'TRADE IN'!$F203=0,"",(VLOOKUP($C203,REV!$C:$AA,11,0)-'TRADE IN'!$F203))</f>
        <v>1699</v>
      </c>
      <c r="N203" s="56">
        <f>IF(VLOOKUP($C203,REV!$C:$AA,12,0)-'TRADE IN'!$F203=0,"",(VLOOKUP($C203,REV!$C:$AA,12,0)-'TRADE IN'!$F203))</f>
        <v>1699</v>
      </c>
      <c r="O203" s="56">
        <f>IF(VLOOKUP($C203,REV!$C:$AA,13,0)-'TRADE IN'!$F203=0,"",(VLOOKUP($C203,REV!$C:$AA,13,0)-'TRADE IN'!$F203))</f>
        <v>1599</v>
      </c>
      <c r="P203" s="56">
        <f>IF(VLOOKUP($C203,REV!$C:$AA,14,0)-'TRADE IN'!$F203=0,"",(VLOOKUP($C203,REV!$C:$AA,14,0)-'TRADE IN'!$F203))</f>
        <v>1499</v>
      </c>
      <c r="Q203" s="56">
        <f>IF(VLOOKUP($C203,REV!$C:$AA,15,0)-'TRADE IN'!$F203=0,"",(VLOOKUP($C203,REV!$C:$AA,15,0)-'TRADE IN'!$F203))</f>
        <v>999</v>
      </c>
      <c r="R203" s="56">
        <f>IF(VLOOKUP($C203,REV!$C:$AA,16,0)-'TRADE IN'!$F203=0,"",(VLOOKUP($C203,REV!$C:$AA,16,0)-'TRADE IN'!$F203))</f>
        <v>1599</v>
      </c>
      <c r="S203" s="56">
        <f>IF(VLOOKUP($C203,REV!$C:$AA,17,0)-'TRADE IN'!$F203=0,"",(VLOOKUP($C203,REV!$C:$AA,17,0)-'TRADE IN'!$F203))</f>
        <v>1499</v>
      </c>
      <c r="T203" s="56">
        <f>IF(VLOOKUP($C203,REV!$C:$AA,18,0)-'TRADE IN'!$F203=0,"",(VLOOKUP($C203,REV!$C:$AA,18,0)-'TRADE IN'!$F203))</f>
        <v>999</v>
      </c>
      <c r="U203" s="56">
        <f>IF(VLOOKUP($C203,REV!$C:$AA,19,0)-'TRADE IN'!$F203=0,"",(VLOOKUP($C203,REV!$C:$AA,19,0)-'TRADE IN'!$F203))</f>
        <v>999</v>
      </c>
      <c r="V203" s="56">
        <f>IF(VLOOKUP($C203,REV!$C:$AA,20,0)-'TRADE IN'!$F203=0,"",(VLOOKUP($C203,REV!$C:$AA,20,0)-'TRADE IN'!$F203))</f>
        <v>999</v>
      </c>
      <c r="W203" s="56">
        <f>IF(VLOOKUP($C203,REV!$C:$AA,21,0)-'TRADE IN'!$F203=0,"",(VLOOKUP($C203,REV!$C:$AA,21,0)-'TRADE IN'!$F203))</f>
        <v>999</v>
      </c>
      <c r="X203" s="56">
        <f>IF(VLOOKUP($C203,REV!$C:$AA,22,0)-'TRADE IN'!$F203=0,"",(VLOOKUP($C203,REV!$C:$AA,22,0)-'TRADE IN'!$F203))</f>
        <v>999</v>
      </c>
      <c r="Y203" s="56">
        <f>IF(VLOOKUP($C203,REV!$C:$AA,23,0)-'TRADE IN'!$F203=0,"",(VLOOKUP($C203,REV!$C:$AA,23,0)-'TRADE IN'!$F203))</f>
        <v>899</v>
      </c>
      <c r="Z203" s="56">
        <f>IF(VLOOKUP($C203,REV!$C:$AA,24,0)-'TRADE IN'!$F203=0,"",(VLOOKUP($C203,REV!$C:$AA,24,0)-'TRADE IN'!$F203))</f>
        <v>899</v>
      </c>
      <c r="AA203" s="56">
        <f>IF(VLOOKUP($C203,REV!$C:$AA,25,0)-'TRADE IN'!$F203=0,"",(VLOOKUP($C203,REV!$C:$AA,25,0)-'TRADE IN'!$F203))</f>
        <v>899</v>
      </c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7"/>
      <c r="AW203" s="58" t="str">
        <f>REV!AW203</f>
        <v>03.11.2026</v>
      </c>
      <c r="AX203" s="147" t="str">
        <f>VLOOKUP(C203,REV!C:AX,48,0)</f>
        <v>5G</v>
      </c>
    </row>
    <row r="204" spans="1:50" ht="22" customHeight="1">
      <c r="A204" s="64" t="s">
        <v>241</v>
      </c>
      <c r="B204" s="52" t="s">
        <v>64</v>
      </c>
      <c r="C204" s="53">
        <v>4014955</v>
      </c>
      <c r="D204" s="65" t="s">
        <v>335</v>
      </c>
      <c r="E204" s="65" t="s">
        <v>336</v>
      </c>
      <c r="F204" s="55"/>
      <c r="G204" s="55"/>
      <c r="H204" s="55"/>
      <c r="I204" s="55"/>
      <c r="J204" s="56">
        <f>IF(VLOOKUP($C204,REV!$C:$AA,8,0)-'TRADE IN'!$F204=0,"",(VLOOKUP($C204,REV!$C:$AA,8,0)-'TRADE IN'!$F204))</f>
        <v>699</v>
      </c>
      <c r="K204" s="56">
        <f>IF(VLOOKUP($C204,REV!$C:$AA,9,0)-'TRADE IN'!$F204=0,"",(VLOOKUP($C204,REV!$C:$AA,9,0)-'TRADE IN'!$F204))</f>
        <v>699</v>
      </c>
      <c r="L204" s="56">
        <f>IF(VLOOKUP($C204,REV!$C:$AA,10,0)-'TRADE IN'!$F204=0,"",(VLOOKUP($C204,REV!$C:$AA,10,0)-'TRADE IN'!$F204))</f>
        <v>699</v>
      </c>
      <c r="M204" s="56">
        <f>IF(VLOOKUP($C204,REV!$C:$AA,11,0)-'TRADE IN'!$F204=0,"",(VLOOKUP($C204,REV!$C:$AA,11,0)-'TRADE IN'!$F204))</f>
        <v>699</v>
      </c>
      <c r="N204" s="56">
        <f>IF(VLOOKUP($C204,REV!$C:$AA,12,0)-'TRADE IN'!$F204=0,"",(VLOOKUP($C204,REV!$C:$AA,12,0)-'TRADE IN'!$F204))</f>
        <v>699</v>
      </c>
      <c r="O204" s="56">
        <f>IF(VLOOKUP($C204,REV!$C:$AA,13,0)-'TRADE IN'!$F204=0,"",(VLOOKUP($C204,REV!$C:$AA,13,0)-'TRADE IN'!$F204))</f>
        <v>649</v>
      </c>
      <c r="P204" s="56">
        <f>IF(VLOOKUP($C204,REV!$C:$AA,14,0)-'TRADE IN'!$F204=0,"",(VLOOKUP($C204,REV!$C:$AA,14,0)-'TRADE IN'!$F204))</f>
        <v>599</v>
      </c>
      <c r="Q204" s="56">
        <f>IF(VLOOKUP($C204,REV!$C:$AA,15,0)-'TRADE IN'!$F204=0,"",(VLOOKUP($C204,REV!$C:$AA,15,0)-'TRADE IN'!$F204))</f>
        <v>549</v>
      </c>
      <c r="R204" s="56">
        <f>IF(VLOOKUP($C204,REV!$C:$AA,16,0)-'TRADE IN'!$F204=0,"",(VLOOKUP($C204,REV!$C:$AA,16,0)-'TRADE IN'!$F204))</f>
        <v>649</v>
      </c>
      <c r="S204" s="56">
        <f>IF(VLOOKUP($C204,REV!$C:$AA,17,0)-'TRADE IN'!$F204=0,"",(VLOOKUP($C204,REV!$C:$AA,17,0)-'TRADE IN'!$F204))</f>
        <v>599</v>
      </c>
      <c r="T204" s="56">
        <f>IF(VLOOKUP($C204,REV!$C:$AA,18,0)-'TRADE IN'!$F204=0,"",(VLOOKUP($C204,REV!$C:$AA,18,0)-'TRADE IN'!$F204))</f>
        <v>549</v>
      </c>
      <c r="U204" s="56">
        <f>IF(VLOOKUP($C204,REV!$C:$AA,19,0)-'TRADE IN'!$F204=0,"",(VLOOKUP($C204,REV!$C:$AA,19,0)-'TRADE IN'!$F204))</f>
        <v>549</v>
      </c>
      <c r="V204" s="56">
        <f>IF(VLOOKUP($C204,REV!$C:$AA,20,0)-'TRADE IN'!$F204=0,"",(VLOOKUP($C204,REV!$C:$AA,20,0)-'TRADE IN'!$F204))</f>
        <v>549</v>
      </c>
      <c r="W204" s="56">
        <f>IF(VLOOKUP($C204,REV!$C:$AA,21,0)-'TRADE IN'!$F204=0,"",(VLOOKUP($C204,REV!$C:$AA,21,0)-'TRADE IN'!$F204))</f>
        <v>549</v>
      </c>
      <c r="X204" s="56">
        <f>IF(VLOOKUP($C204,REV!$C:$AA,22,0)-'TRADE IN'!$F204=0,"",(VLOOKUP($C204,REV!$C:$AA,22,0)-'TRADE IN'!$F204))</f>
        <v>549</v>
      </c>
      <c r="Y204" s="56">
        <f>IF(VLOOKUP($C204,REV!$C:$AA,23,0)-'TRADE IN'!$F204=0,"",(VLOOKUP($C204,REV!$C:$AA,23,0)-'TRADE IN'!$F204))</f>
        <v>549</v>
      </c>
      <c r="Z204" s="56">
        <f>IF(VLOOKUP($C204,REV!$C:$AA,24,0)-'TRADE IN'!$F204=0,"",(VLOOKUP($C204,REV!$C:$AA,24,0)-'TRADE IN'!$F204))</f>
        <v>549</v>
      </c>
      <c r="AA204" s="56">
        <f>IF(VLOOKUP($C204,REV!$C:$AA,25,0)-'TRADE IN'!$F204=0,"",(VLOOKUP($C204,REV!$C:$AA,25,0)-'TRADE IN'!$F204))</f>
        <v>549</v>
      </c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7"/>
      <c r="AW204" s="58" t="str">
        <f>REV!AW204</f>
        <v>03.11.2026</v>
      </c>
      <c r="AX204" s="147" t="str">
        <f>VLOOKUP(C204,REV!C:AX,48,0)</f>
        <v>5G</v>
      </c>
    </row>
    <row r="205" spans="1:50" ht="22" customHeight="1">
      <c r="A205" s="64" t="s">
        <v>241</v>
      </c>
      <c r="B205" s="52" t="s">
        <v>64</v>
      </c>
      <c r="C205" s="53">
        <v>4017126</v>
      </c>
      <c r="D205" s="65" t="s">
        <v>337</v>
      </c>
      <c r="E205" s="65" t="s">
        <v>338</v>
      </c>
      <c r="F205" s="55"/>
      <c r="G205" s="55"/>
      <c r="H205" s="55"/>
      <c r="I205" s="55"/>
      <c r="J205" s="56">
        <f>IF(VLOOKUP($C205,REV!$C:$AA,8,0)-'TRADE IN'!$F205=0,"",(VLOOKUP($C205,REV!$C:$AA,8,0)-'TRADE IN'!$F205))</f>
        <v>2499</v>
      </c>
      <c r="K205" s="56">
        <f>IF(VLOOKUP($C205,REV!$C:$AA,9,0)-'TRADE IN'!$F205=0,"",(VLOOKUP($C205,REV!$C:$AA,9,0)-'TRADE IN'!$F205))</f>
        <v>2499</v>
      </c>
      <c r="L205" s="56">
        <f>IF(VLOOKUP($C205,REV!$C:$AA,10,0)-'TRADE IN'!$F205=0,"",(VLOOKUP($C205,REV!$C:$AA,10,0)-'TRADE IN'!$F205))</f>
        <v>2499</v>
      </c>
      <c r="M205" s="56">
        <f>IF(VLOOKUP($C205,REV!$C:$AA,11,0)-'TRADE IN'!$F205=0,"",(VLOOKUP($C205,REV!$C:$AA,11,0)-'TRADE IN'!$F205))</f>
        <v>2499</v>
      </c>
      <c r="N205" s="56">
        <f>IF(VLOOKUP($C205,REV!$C:$AA,12,0)-'TRADE IN'!$F205=0,"",(VLOOKUP($C205,REV!$C:$AA,12,0)-'TRADE IN'!$F205))</f>
        <v>2499</v>
      </c>
      <c r="O205" s="56">
        <f>IF(VLOOKUP($C205,REV!$C:$AA,13,0)-'TRADE IN'!$F205=0,"",(VLOOKUP($C205,REV!$C:$AA,13,0)-'TRADE IN'!$F205))</f>
        <v>2399</v>
      </c>
      <c r="P205" s="56">
        <f>IF(VLOOKUP($C205,REV!$C:$AA,14,0)-'TRADE IN'!$F205=0,"",(VLOOKUP($C205,REV!$C:$AA,14,0)-'TRADE IN'!$F205))</f>
        <v>2299</v>
      </c>
      <c r="Q205" s="56">
        <f>IF(VLOOKUP($C205,REV!$C:$AA,15,0)-'TRADE IN'!$F205=0,"",(VLOOKUP($C205,REV!$C:$AA,15,0)-'TRADE IN'!$F205))</f>
        <v>1799</v>
      </c>
      <c r="R205" s="56">
        <f>IF(VLOOKUP($C205,REV!$C:$AA,16,0)-'TRADE IN'!$F205=0,"",(VLOOKUP($C205,REV!$C:$AA,16,0)-'TRADE IN'!$F205))</f>
        <v>2399</v>
      </c>
      <c r="S205" s="56">
        <f>IF(VLOOKUP($C205,REV!$C:$AA,17,0)-'TRADE IN'!$F205=0,"",(VLOOKUP($C205,REV!$C:$AA,17,0)-'TRADE IN'!$F205))</f>
        <v>2299</v>
      </c>
      <c r="T205" s="56">
        <f>IF(VLOOKUP($C205,REV!$C:$AA,18,0)-'TRADE IN'!$F205=0,"",(VLOOKUP($C205,REV!$C:$AA,18,0)-'TRADE IN'!$F205))</f>
        <v>1799</v>
      </c>
      <c r="U205" s="56">
        <f>IF(VLOOKUP($C205,REV!$C:$AA,19,0)-'TRADE IN'!$F205=0,"",(VLOOKUP($C205,REV!$C:$AA,19,0)-'TRADE IN'!$F205))</f>
        <v>1799</v>
      </c>
      <c r="V205" s="56">
        <f>IF(VLOOKUP($C205,REV!$C:$AA,20,0)-'TRADE IN'!$F205=0,"",(VLOOKUP($C205,REV!$C:$AA,20,0)-'TRADE IN'!$F205))</f>
        <v>1799</v>
      </c>
      <c r="W205" s="56">
        <f>IF(VLOOKUP($C205,REV!$C:$AA,21,0)-'TRADE IN'!$F205=0,"",(VLOOKUP($C205,REV!$C:$AA,21,0)-'TRADE IN'!$F205))</f>
        <v>1799</v>
      </c>
      <c r="X205" s="56">
        <f>IF(VLOOKUP($C205,REV!$C:$AA,22,0)-'TRADE IN'!$F205=0,"",(VLOOKUP($C205,REV!$C:$AA,22,0)-'TRADE IN'!$F205))</f>
        <v>1349</v>
      </c>
      <c r="Y205" s="56">
        <f>IF(VLOOKUP($C205,REV!$C:$AA,23,0)-'TRADE IN'!$F205=0,"",(VLOOKUP($C205,REV!$C:$AA,23,0)-'TRADE IN'!$F205))</f>
        <v>1099</v>
      </c>
      <c r="Z205" s="56">
        <f>IF(VLOOKUP($C205,REV!$C:$AA,24,0)-'TRADE IN'!$F205=0,"",(VLOOKUP($C205,REV!$C:$AA,24,0)-'TRADE IN'!$F205))</f>
        <v>1099</v>
      </c>
      <c r="AA205" s="56">
        <f>IF(VLOOKUP($C205,REV!$C:$AA,25,0)-'TRADE IN'!$F205=0,"",(VLOOKUP($C205,REV!$C:$AA,25,0)-'TRADE IN'!$F205))</f>
        <v>1099</v>
      </c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7"/>
      <c r="AW205" s="58" t="str">
        <f>REV!AW205</f>
        <v>03.11.2026</v>
      </c>
      <c r="AX205" s="147" t="str">
        <f>VLOOKUP(C205,REV!C:AX,48,0)</f>
        <v>5G</v>
      </c>
    </row>
    <row r="206" spans="1:50" ht="22" customHeight="1">
      <c r="A206" s="64" t="s">
        <v>241</v>
      </c>
      <c r="B206" s="52" t="s">
        <v>64</v>
      </c>
      <c r="C206" s="53">
        <v>4017127</v>
      </c>
      <c r="D206" s="65" t="s">
        <v>337</v>
      </c>
      <c r="E206" s="65" t="s">
        <v>339</v>
      </c>
      <c r="F206" s="55"/>
      <c r="G206" s="55"/>
      <c r="H206" s="55"/>
      <c r="I206" s="55"/>
      <c r="J206" s="56">
        <f>IF(VLOOKUP($C206,REV!$C:$AA,8,0)-'TRADE IN'!$F206=0,"",(VLOOKUP($C206,REV!$C:$AA,8,0)-'TRADE IN'!$F206))</f>
        <v>2499</v>
      </c>
      <c r="K206" s="56">
        <f>IF(VLOOKUP($C206,REV!$C:$AA,9,0)-'TRADE IN'!$F206=0,"",(VLOOKUP($C206,REV!$C:$AA,9,0)-'TRADE IN'!$F206))</f>
        <v>2499</v>
      </c>
      <c r="L206" s="56">
        <f>IF(VLOOKUP($C206,REV!$C:$AA,10,0)-'TRADE IN'!$F206=0,"",(VLOOKUP($C206,REV!$C:$AA,10,0)-'TRADE IN'!$F206))</f>
        <v>2499</v>
      </c>
      <c r="M206" s="56">
        <f>IF(VLOOKUP($C206,REV!$C:$AA,11,0)-'TRADE IN'!$F206=0,"",(VLOOKUP($C206,REV!$C:$AA,11,0)-'TRADE IN'!$F206))</f>
        <v>2499</v>
      </c>
      <c r="N206" s="56">
        <f>IF(VLOOKUP($C206,REV!$C:$AA,12,0)-'TRADE IN'!$F206=0,"",(VLOOKUP($C206,REV!$C:$AA,12,0)-'TRADE IN'!$F206))</f>
        <v>2499</v>
      </c>
      <c r="O206" s="56">
        <f>IF(VLOOKUP($C206,REV!$C:$AA,13,0)-'TRADE IN'!$F206=0,"",(VLOOKUP($C206,REV!$C:$AA,13,0)-'TRADE IN'!$F206))</f>
        <v>2399</v>
      </c>
      <c r="P206" s="56">
        <f>IF(VLOOKUP($C206,REV!$C:$AA,14,0)-'TRADE IN'!$F206=0,"",(VLOOKUP($C206,REV!$C:$AA,14,0)-'TRADE IN'!$F206))</f>
        <v>2299</v>
      </c>
      <c r="Q206" s="56">
        <f>IF(VLOOKUP($C206,REV!$C:$AA,15,0)-'TRADE IN'!$F206=0,"",(VLOOKUP($C206,REV!$C:$AA,15,0)-'TRADE IN'!$F206))</f>
        <v>1799</v>
      </c>
      <c r="R206" s="56">
        <f>IF(VLOOKUP($C206,REV!$C:$AA,16,0)-'TRADE IN'!$F206=0,"",(VLOOKUP($C206,REV!$C:$AA,16,0)-'TRADE IN'!$F206))</f>
        <v>2399</v>
      </c>
      <c r="S206" s="56">
        <f>IF(VLOOKUP($C206,REV!$C:$AA,17,0)-'TRADE IN'!$F206=0,"",(VLOOKUP($C206,REV!$C:$AA,17,0)-'TRADE IN'!$F206))</f>
        <v>2299</v>
      </c>
      <c r="T206" s="56">
        <f>IF(VLOOKUP($C206,REV!$C:$AA,18,0)-'TRADE IN'!$F206=0,"",(VLOOKUP($C206,REV!$C:$AA,18,0)-'TRADE IN'!$F206))</f>
        <v>1799</v>
      </c>
      <c r="U206" s="56">
        <f>IF(VLOOKUP($C206,REV!$C:$AA,19,0)-'TRADE IN'!$F206=0,"",(VLOOKUP($C206,REV!$C:$AA,19,0)-'TRADE IN'!$F206))</f>
        <v>1799</v>
      </c>
      <c r="V206" s="56">
        <f>IF(VLOOKUP($C206,REV!$C:$AA,20,0)-'TRADE IN'!$F206=0,"",(VLOOKUP($C206,REV!$C:$AA,20,0)-'TRADE IN'!$F206))</f>
        <v>1799</v>
      </c>
      <c r="W206" s="56">
        <f>IF(VLOOKUP($C206,REV!$C:$AA,21,0)-'TRADE IN'!$F206=0,"",(VLOOKUP($C206,REV!$C:$AA,21,0)-'TRADE IN'!$F206))</f>
        <v>1799</v>
      </c>
      <c r="X206" s="56">
        <f>IF(VLOOKUP($C206,REV!$C:$AA,22,0)-'TRADE IN'!$F206=0,"",(VLOOKUP($C206,REV!$C:$AA,22,0)-'TRADE IN'!$F206))</f>
        <v>1349</v>
      </c>
      <c r="Y206" s="56">
        <f>IF(VLOOKUP($C206,REV!$C:$AA,23,0)-'TRADE IN'!$F206=0,"",(VLOOKUP($C206,REV!$C:$AA,23,0)-'TRADE IN'!$F206))</f>
        <v>1099</v>
      </c>
      <c r="Z206" s="56">
        <f>IF(VLOOKUP($C206,REV!$C:$AA,24,0)-'TRADE IN'!$F206=0,"",(VLOOKUP($C206,REV!$C:$AA,24,0)-'TRADE IN'!$F206))</f>
        <v>1099</v>
      </c>
      <c r="AA206" s="56">
        <f>IF(VLOOKUP($C206,REV!$C:$AA,25,0)-'TRADE IN'!$F206=0,"",(VLOOKUP($C206,REV!$C:$AA,25,0)-'TRADE IN'!$F206))</f>
        <v>1099</v>
      </c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7"/>
      <c r="AW206" s="58" t="str">
        <f>REV!AW206</f>
        <v>03.11.2026</v>
      </c>
      <c r="AX206" s="147" t="str">
        <f>VLOOKUP(C206,REV!C:AX,48,0)</f>
        <v>5G</v>
      </c>
    </row>
    <row r="207" spans="1:50" ht="22" customHeight="1">
      <c r="A207" s="64" t="s">
        <v>241</v>
      </c>
      <c r="B207" s="52" t="s">
        <v>64</v>
      </c>
      <c r="C207" s="53">
        <v>4017672</v>
      </c>
      <c r="D207" s="65" t="s">
        <v>337</v>
      </c>
      <c r="E207" s="65" t="s">
        <v>340</v>
      </c>
      <c r="F207" s="55"/>
      <c r="G207" s="55"/>
      <c r="H207" s="55"/>
      <c r="I207" s="55"/>
      <c r="J207" s="56">
        <f>IF(VLOOKUP($C207,REV!$C:$AA,8,0)-'TRADE IN'!$F207=0,"",(VLOOKUP($C207,REV!$C:$AA,8,0)-'TRADE IN'!$F207))</f>
        <v>2499</v>
      </c>
      <c r="K207" s="56">
        <f>IF(VLOOKUP($C207,REV!$C:$AA,9,0)-'TRADE IN'!$F207=0,"",(VLOOKUP($C207,REV!$C:$AA,9,0)-'TRADE IN'!$F207))</f>
        <v>2499</v>
      </c>
      <c r="L207" s="56">
        <f>IF(VLOOKUP($C207,REV!$C:$AA,10,0)-'TRADE IN'!$F207=0,"",(VLOOKUP($C207,REV!$C:$AA,10,0)-'TRADE IN'!$F207))</f>
        <v>2499</v>
      </c>
      <c r="M207" s="56">
        <f>IF(VLOOKUP($C207,REV!$C:$AA,11,0)-'TRADE IN'!$F207=0,"",(VLOOKUP($C207,REV!$C:$AA,11,0)-'TRADE IN'!$F207))</f>
        <v>2499</v>
      </c>
      <c r="N207" s="56">
        <f>IF(VLOOKUP($C207,REV!$C:$AA,12,0)-'TRADE IN'!$F207=0,"",(VLOOKUP($C207,REV!$C:$AA,12,0)-'TRADE IN'!$F207))</f>
        <v>2499</v>
      </c>
      <c r="O207" s="56">
        <f>IF(VLOOKUP($C207,REV!$C:$AA,13,0)-'TRADE IN'!$F207=0,"",(VLOOKUP($C207,REV!$C:$AA,13,0)-'TRADE IN'!$F207))</f>
        <v>2399</v>
      </c>
      <c r="P207" s="56">
        <f>IF(VLOOKUP($C207,REV!$C:$AA,14,0)-'TRADE IN'!$F207=0,"",(VLOOKUP($C207,REV!$C:$AA,14,0)-'TRADE IN'!$F207))</f>
        <v>2299</v>
      </c>
      <c r="Q207" s="56">
        <f>IF(VLOOKUP($C207,REV!$C:$AA,15,0)-'TRADE IN'!$F207=0,"",(VLOOKUP($C207,REV!$C:$AA,15,0)-'TRADE IN'!$F207))</f>
        <v>1799</v>
      </c>
      <c r="R207" s="56">
        <f>IF(VLOOKUP($C207,REV!$C:$AA,16,0)-'TRADE IN'!$F207=0,"",(VLOOKUP($C207,REV!$C:$AA,16,0)-'TRADE IN'!$F207))</f>
        <v>2399</v>
      </c>
      <c r="S207" s="56">
        <f>IF(VLOOKUP($C207,REV!$C:$AA,17,0)-'TRADE IN'!$F207=0,"",(VLOOKUP($C207,REV!$C:$AA,17,0)-'TRADE IN'!$F207))</f>
        <v>2299</v>
      </c>
      <c r="T207" s="56">
        <f>IF(VLOOKUP($C207,REV!$C:$AA,18,0)-'TRADE IN'!$F207=0,"",(VLOOKUP($C207,REV!$C:$AA,18,0)-'TRADE IN'!$F207))</f>
        <v>1799</v>
      </c>
      <c r="U207" s="56">
        <f>IF(VLOOKUP($C207,REV!$C:$AA,19,0)-'TRADE IN'!$F207=0,"",(VLOOKUP($C207,REV!$C:$AA,19,0)-'TRADE IN'!$F207))</f>
        <v>1799</v>
      </c>
      <c r="V207" s="56">
        <f>IF(VLOOKUP($C207,REV!$C:$AA,20,0)-'TRADE IN'!$F207=0,"",(VLOOKUP($C207,REV!$C:$AA,20,0)-'TRADE IN'!$F207))</f>
        <v>1799</v>
      </c>
      <c r="W207" s="56">
        <f>IF(VLOOKUP($C207,REV!$C:$AA,21,0)-'TRADE IN'!$F207=0,"",(VLOOKUP($C207,REV!$C:$AA,21,0)-'TRADE IN'!$F207))</f>
        <v>1799</v>
      </c>
      <c r="X207" s="56">
        <f>IF(VLOOKUP($C207,REV!$C:$AA,22,0)-'TRADE IN'!$F207=0,"",(VLOOKUP($C207,REV!$C:$AA,22,0)-'TRADE IN'!$F207))</f>
        <v>1349</v>
      </c>
      <c r="Y207" s="56">
        <f>IF(VLOOKUP($C207,REV!$C:$AA,23,0)-'TRADE IN'!$F207=0,"",(VLOOKUP($C207,REV!$C:$AA,23,0)-'TRADE IN'!$F207))</f>
        <v>1099</v>
      </c>
      <c r="Z207" s="56">
        <f>IF(VLOOKUP($C207,REV!$C:$AA,24,0)-'TRADE IN'!$F207=0,"",(VLOOKUP($C207,REV!$C:$AA,24,0)-'TRADE IN'!$F207))</f>
        <v>1099</v>
      </c>
      <c r="AA207" s="56">
        <f>IF(VLOOKUP($C207,REV!$C:$AA,25,0)-'TRADE IN'!$F207=0,"",(VLOOKUP($C207,REV!$C:$AA,25,0)-'TRADE IN'!$F207))</f>
        <v>1099</v>
      </c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7"/>
      <c r="AW207" s="58" t="str">
        <f>REV!AW207</f>
        <v>03.11.2026</v>
      </c>
      <c r="AX207" s="147" t="str">
        <f>VLOOKUP(C207,REV!C:AX,48,0)</f>
        <v>5G</v>
      </c>
    </row>
    <row r="208" spans="1:50" ht="22" customHeight="1">
      <c r="A208" s="64" t="s">
        <v>241</v>
      </c>
      <c r="B208" s="52" t="s">
        <v>64</v>
      </c>
      <c r="C208" s="53">
        <v>4017673</v>
      </c>
      <c r="D208" s="65" t="s">
        <v>337</v>
      </c>
      <c r="E208" s="65" t="s">
        <v>341</v>
      </c>
      <c r="F208" s="55"/>
      <c r="G208" s="55"/>
      <c r="H208" s="55"/>
      <c r="I208" s="55"/>
      <c r="J208" s="56">
        <f>IF(VLOOKUP($C208,REV!$C:$AA,8,0)-'TRADE IN'!$F208=0,"",(VLOOKUP($C208,REV!$C:$AA,8,0)-'TRADE IN'!$F208))</f>
        <v>2499</v>
      </c>
      <c r="K208" s="56">
        <f>IF(VLOOKUP($C208,REV!$C:$AA,9,0)-'TRADE IN'!$F208=0,"",(VLOOKUP($C208,REV!$C:$AA,9,0)-'TRADE IN'!$F208))</f>
        <v>2499</v>
      </c>
      <c r="L208" s="56">
        <f>IF(VLOOKUP($C208,REV!$C:$AA,10,0)-'TRADE IN'!$F208=0,"",(VLOOKUP($C208,REV!$C:$AA,10,0)-'TRADE IN'!$F208))</f>
        <v>2499</v>
      </c>
      <c r="M208" s="56">
        <f>IF(VLOOKUP($C208,REV!$C:$AA,11,0)-'TRADE IN'!$F208=0,"",(VLOOKUP($C208,REV!$C:$AA,11,0)-'TRADE IN'!$F208))</f>
        <v>2499</v>
      </c>
      <c r="N208" s="56">
        <f>IF(VLOOKUP($C208,REV!$C:$AA,12,0)-'TRADE IN'!$F208=0,"",(VLOOKUP($C208,REV!$C:$AA,12,0)-'TRADE IN'!$F208))</f>
        <v>2499</v>
      </c>
      <c r="O208" s="56">
        <f>IF(VLOOKUP($C208,REV!$C:$AA,13,0)-'TRADE IN'!$F208=0,"",(VLOOKUP($C208,REV!$C:$AA,13,0)-'TRADE IN'!$F208))</f>
        <v>2399</v>
      </c>
      <c r="P208" s="56">
        <f>IF(VLOOKUP($C208,REV!$C:$AA,14,0)-'TRADE IN'!$F208=0,"",(VLOOKUP($C208,REV!$C:$AA,14,0)-'TRADE IN'!$F208))</f>
        <v>2299</v>
      </c>
      <c r="Q208" s="56">
        <f>IF(VLOOKUP($C208,REV!$C:$AA,15,0)-'TRADE IN'!$F208=0,"",(VLOOKUP($C208,REV!$C:$AA,15,0)-'TRADE IN'!$F208))</f>
        <v>1799</v>
      </c>
      <c r="R208" s="56">
        <f>IF(VLOOKUP($C208,REV!$C:$AA,16,0)-'TRADE IN'!$F208=0,"",(VLOOKUP($C208,REV!$C:$AA,16,0)-'TRADE IN'!$F208))</f>
        <v>2399</v>
      </c>
      <c r="S208" s="56">
        <f>IF(VLOOKUP($C208,REV!$C:$AA,17,0)-'TRADE IN'!$F208=0,"",(VLOOKUP($C208,REV!$C:$AA,17,0)-'TRADE IN'!$F208))</f>
        <v>2299</v>
      </c>
      <c r="T208" s="56">
        <f>IF(VLOOKUP($C208,REV!$C:$AA,18,0)-'TRADE IN'!$F208=0,"",(VLOOKUP($C208,REV!$C:$AA,18,0)-'TRADE IN'!$F208))</f>
        <v>1799</v>
      </c>
      <c r="U208" s="56">
        <f>IF(VLOOKUP($C208,REV!$C:$AA,19,0)-'TRADE IN'!$F208=0,"",(VLOOKUP($C208,REV!$C:$AA,19,0)-'TRADE IN'!$F208))</f>
        <v>1799</v>
      </c>
      <c r="V208" s="56">
        <f>IF(VLOOKUP($C208,REV!$C:$AA,20,0)-'TRADE IN'!$F208=0,"",(VLOOKUP($C208,REV!$C:$AA,20,0)-'TRADE IN'!$F208))</f>
        <v>1799</v>
      </c>
      <c r="W208" s="56">
        <f>IF(VLOOKUP($C208,REV!$C:$AA,21,0)-'TRADE IN'!$F208=0,"",(VLOOKUP($C208,REV!$C:$AA,21,0)-'TRADE IN'!$F208))</f>
        <v>1799</v>
      </c>
      <c r="X208" s="56">
        <f>IF(VLOOKUP($C208,REV!$C:$AA,22,0)-'TRADE IN'!$F208=0,"",(VLOOKUP($C208,REV!$C:$AA,22,0)-'TRADE IN'!$F208))</f>
        <v>1349</v>
      </c>
      <c r="Y208" s="56">
        <f>IF(VLOOKUP($C208,REV!$C:$AA,23,0)-'TRADE IN'!$F208=0,"",(VLOOKUP($C208,REV!$C:$AA,23,0)-'TRADE IN'!$F208))</f>
        <v>1099</v>
      </c>
      <c r="Z208" s="56">
        <f>IF(VLOOKUP($C208,REV!$C:$AA,24,0)-'TRADE IN'!$F208=0,"",(VLOOKUP($C208,REV!$C:$AA,24,0)-'TRADE IN'!$F208))</f>
        <v>1099</v>
      </c>
      <c r="AA208" s="56">
        <f>IF(VLOOKUP($C208,REV!$C:$AA,25,0)-'TRADE IN'!$F208=0,"",(VLOOKUP($C208,REV!$C:$AA,25,0)-'TRADE IN'!$F208))</f>
        <v>1099</v>
      </c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7"/>
      <c r="AW208" s="58" t="str">
        <f>REV!AW208</f>
        <v>03.11.2026</v>
      </c>
      <c r="AX208" s="147" t="str">
        <f>VLOOKUP(C208,REV!C:AX,48,0)</f>
        <v>5G</v>
      </c>
    </row>
    <row r="209" spans="1:50" ht="22" customHeight="1">
      <c r="A209" s="64" t="s">
        <v>241</v>
      </c>
      <c r="B209" s="52" t="s">
        <v>64</v>
      </c>
      <c r="C209" s="53">
        <v>4017964</v>
      </c>
      <c r="D209" s="65" t="s">
        <v>342</v>
      </c>
      <c r="E209" s="65" t="s">
        <v>343</v>
      </c>
      <c r="F209" s="55"/>
      <c r="G209" s="55"/>
      <c r="H209" s="55"/>
      <c r="I209" s="55"/>
      <c r="J209" s="56">
        <f>IF(VLOOKUP($C209,REV!$C:$AA,8,0)-'TRADE IN'!$F209=0,"",(VLOOKUP($C209,REV!$C:$AA,8,0)-'TRADE IN'!$F209))</f>
        <v>2499</v>
      </c>
      <c r="K209" s="56">
        <f>IF(VLOOKUP($C209,REV!$C:$AA,9,0)-'TRADE IN'!$F209=0,"",(VLOOKUP($C209,REV!$C:$AA,9,0)-'TRADE IN'!$F209))</f>
        <v>2499</v>
      </c>
      <c r="L209" s="56">
        <f>IF(VLOOKUP($C209,REV!$C:$AA,10,0)-'TRADE IN'!$F209=0,"",(VLOOKUP($C209,REV!$C:$AA,10,0)-'TRADE IN'!$F209))</f>
        <v>2499</v>
      </c>
      <c r="M209" s="56">
        <f>IF(VLOOKUP($C209,REV!$C:$AA,11,0)-'TRADE IN'!$F209=0,"",(VLOOKUP($C209,REV!$C:$AA,11,0)-'TRADE IN'!$F209))</f>
        <v>2499</v>
      </c>
      <c r="N209" s="56">
        <f>IF(VLOOKUP($C209,REV!$C:$AA,12,0)-'TRADE IN'!$F209=0,"",(VLOOKUP($C209,REV!$C:$AA,12,0)-'TRADE IN'!$F209))</f>
        <v>2499</v>
      </c>
      <c r="O209" s="56">
        <f>IF(VLOOKUP($C209,REV!$C:$AA,13,0)-'TRADE IN'!$F209=0,"",(VLOOKUP($C209,REV!$C:$AA,13,0)-'TRADE IN'!$F209))</f>
        <v>2399</v>
      </c>
      <c r="P209" s="56">
        <f>IF(VLOOKUP($C209,REV!$C:$AA,14,0)-'TRADE IN'!$F209=0,"",(VLOOKUP($C209,REV!$C:$AA,14,0)-'TRADE IN'!$F209))</f>
        <v>2299</v>
      </c>
      <c r="Q209" s="56">
        <f>IF(VLOOKUP($C209,REV!$C:$AA,15,0)-'TRADE IN'!$F209=0,"",(VLOOKUP($C209,REV!$C:$AA,15,0)-'TRADE IN'!$F209))</f>
        <v>1499</v>
      </c>
      <c r="R209" s="56">
        <f>IF(VLOOKUP($C209,REV!$C:$AA,16,0)-'TRADE IN'!$F209=0,"",(VLOOKUP($C209,REV!$C:$AA,16,0)-'TRADE IN'!$F209))</f>
        <v>2399</v>
      </c>
      <c r="S209" s="56">
        <f>IF(VLOOKUP($C209,REV!$C:$AA,17,0)-'TRADE IN'!$F209=0,"",(VLOOKUP($C209,REV!$C:$AA,17,0)-'TRADE IN'!$F209))</f>
        <v>2299</v>
      </c>
      <c r="T209" s="56">
        <f>IF(VLOOKUP($C209,REV!$C:$AA,18,0)-'TRADE IN'!$F209=0,"",(VLOOKUP($C209,REV!$C:$AA,18,0)-'TRADE IN'!$F209))</f>
        <v>1499</v>
      </c>
      <c r="U209" s="56">
        <f>IF(VLOOKUP($C209,REV!$C:$AA,19,0)-'TRADE IN'!$F209=0,"",(VLOOKUP($C209,REV!$C:$AA,19,0)-'TRADE IN'!$F209))</f>
        <v>1499</v>
      </c>
      <c r="V209" s="56">
        <f>IF(VLOOKUP($C209,REV!$C:$AA,20,0)-'TRADE IN'!$F209=0,"",(VLOOKUP($C209,REV!$C:$AA,20,0)-'TRADE IN'!$F209))</f>
        <v>1499</v>
      </c>
      <c r="W209" s="56">
        <f>IF(VLOOKUP($C209,REV!$C:$AA,21,0)-'TRADE IN'!$F209=0,"",(VLOOKUP($C209,REV!$C:$AA,21,0)-'TRADE IN'!$F209))</f>
        <v>1499</v>
      </c>
      <c r="X209" s="56">
        <f>IF(VLOOKUP($C209,REV!$C:$AA,22,0)-'TRADE IN'!$F209=0,"",(VLOOKUP($C209,REV!$C:$AA,22,0)-'TRADE IN'!$F209))</f>
        <v>1399</v>
      </c>
      <c r="Y209" s="56">
        <f>IF(VLOOKUP($C209,REV!$C:$AA,23,0)-'TRADE IN'!$F209=0,"",(VLOOKUP($C209,REV!$C:$AA,23,0)-'TRADE IN'!$F209))</f>
        <v>1299</v>
      </c>
      <c r="Z209" s="56">
        <f>IF(VLOOKUP($C209,REV!$C:$AA,24,0)-'TRADE IN'!$F209=0,"",(VLOOKUP($C209,REV!$C:$AA,24,0)-'TRADE IN'!$F209))</f>
        <v>1299</v>
      </c>
      <c r="AA209" s="56">
        <f>IF(VLOOKUP($C209,REV!$C:$AA,25,0)-'TRADE IN'!$F209=0,"",(VLOOKUP($C209,REV!$C:$AA,25,0)-'TRADE IN'!$F209))</f>
        <v>1299</v>
      </c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7"/>
      <c r="AW209" s="58" t="str">
        <f>REV!AW209</f>
        <v>03.11.2026</v>
      </c>
      <c r="AX209" s="147" t="str">
        <f>VLOOKUP(C209,REV!C:AX,48,0)</f>
        <v>5G</v>
      </c>
    </row>
    <row r="210" spans="1:50" ht="22" customHeight="1">
      <c r="A210" s="64" t="s">
        <v>241</v>
      </c>
      <c r="B210" s="52" t="s">
        <v>64</v>
      </c>
      <c r="C210" s="53">
        <v>4017966</v>
      </c>
      <c r="D210" s="65" t="s">
        <v>342</v>
      </c>
      <c r="E210" s="65" t="s">
        <v>344</v>
      </c>
      <c r="F210" s="55"/>
      <c r="G210" s="55"/>
      <c r="H210" s="55"/>
      <c r="I210" s="55"/>
      <c r="J210" s="56">
        <f>IF(VLOOKUP($C210,REV!$C:$AA,8,0)-'TRADE IN'!$F210=0,"",(VLOOKUP($C210,REV!$C:$AA,8,0)-'TRADE IN'!$F210))</f>
        <v>2499</v>
      </c>
      <c r="K210" s="56">
        <f>IF(VLOOKUP($C210,REV!$C:$AA,9,0)-'TRADE IN'!$F210=0,"",(VLOOKUP($C210,REV!$C:$AA,9,0)-'TRADE IN'!$F210))</f>
        <v>2499</v>
      </c>
      <c r="L210" s="56">
        <f>IF(VLOOKUP($C210,REV!$C:$AA,10,0)-'TRADE IN'!$F210=0,"",(VLOOKUP($C210,REV!$C:$AA,10,0)-'TRADE IN'!$F210))</f>
        <v>2499</v>
      </c>
      <c r="M210" s="56">
        <f>IF(VLOOKUP($C210,REV!$C:$AA,11,0)-'TRADE IN'!$F210=0,"",(VLOOKUP($C210,REV!$C:$AA,11,0)-'TRADE IN'!$F210))</f>
        <v>2499</v>
      </c>
      <c r="N210" s="56">
        <f>IF(VLOOKUP($C210,REV!$C:$AA,12,0)-'TRADE IN'!$F210=0,"",(VLOOKUP($C210,REV!$C:$AA,12,0)-'TRADE IN'!$F210))</f>
        <v>2499</v>
      </c>
      <c r="O210" s="56">
        <f>IF(VLOOKUP($C210,REV!$C:$AA,13,0)-'TRADE IN'!$F210=0,"",(VLOOKUP($C210,REV!$C:$AA,13,0)-'TRADE IN'!$F210))</f>
        <v>2399</v>
      </c>
      <c r="P210" s="56">
        <f>IF(VLOOKUP($C210,REV!$C:$AA,14,0)-'TRADE IN'!$F210=0,"",(VLOOKUP($C210,REV!$C:$AA,14,0)-'TRADE IN'!$F210))</f>
        <v>2299</v>
      </c>
      <c r="Q210" s="56">
        <f>IF(VLOOKUP($C210,REV!$C:$AA,15,0)-'TRADE IN'!$F210=0,"",(VLOOKUP($C210,REV!$C:$AA,15,0)-'TRADE IN'!$F210))</f>
        <v>1499</v>
      </c>
      <c r="R210" s="56">
        <f>IF(VLOOKUP($C210,REV!$C:$AA,16,0)-'TRADE IN'!$F210=0,"",(VLOOKUP($C210,REV!$C:$AA,16,0)-'TRADE IN'!$F210))</f>
        <v>2399</v>
      </c>
      <c r="S210" s="56">
        <f>IF(VLOOKUP($C210,REV!$C:$AA,17,0)-'TRADE IN'!$F210=0,"",(VLOOKUP($C210,REV!$C:$AA,17,0)-'TRADE IN'!$F210))</f>
        <v>2299</v>
      </c>
      <c r="T210" s="56">
        <f>IF(VLOOKUP($C210,REV!$C:$AA,18,0)-'TRADE IN'!$F210=0,"",(VLOOKUP($C210,REV!$C:$AA,18,0)-'TRADE IN'!$F210))</f>
        <v>1499</v>
      </c>
      <c r="U210" s="56">
        <f>IF(VLOOKUP($C210,REV!$C:$AA,19,0)-'TRADE IN'!$F210=0,"",(VLOOKUP($C210,REV!$C:$AA,19,0)-'TRADE IN'!$F210))</f>
        <v>1499</v>
      </c>
      <c r="V210" s="56">
        <f>IF(VLOOKUP($C210,REV!$C:$AA,20,0)-'TRADE IN'!$F210=0,"",(VLOOKUP($C210,REV!$C:$AA,20,0)-'TRADE IN'!$F210))</f>
        <v>1499</v>
      </c>
      <c r="W210" s="56">
        <f>IF(VLOOKUP($C210,REV!$C:$AA,21,0)-'TRADE IN'!$F210=0,"",(VLOOKUP($C210,REV!$C:$AA,21,0)-'TRADE IN'!$F210))</f>
        <v>1499</v>
      </c>
      <c r="X210" s="56">
        <f>IF(VLOOKUP($C210,REV!$C:$AA,22,0)-'TRADE IN'!$F210=0,"",(VLOOKUP($C210,REV!$C:$AA,22,0)-'TRADE IN'!$F210))</f>
        <v>1399</v>
      </c>
      <c r="Y210" s="56">
        <f>IF(VLOOKUP($C210,REV!$C:$AA,23,0)-'TRADE IN'!$F210=0,"",(VLOOKUP($C210,REV!$C:$AA,23,0)-'TRADE IN'!$F210))</f>
        <v>1299</v>
      </c>
      <c r="Z210" s="56">
        <f>IF(VLOOKUP($C210,REV!$C:$AA,24,0)-'TRADE IN'!$F210=0,"",(VLOOKUP($C210,REV!$C:$AA,24,0)-'TRADE IN'!$F210))</f>
        <v>1299</v>
      </c>
      <c r="AA210" s="56">
        <f>IF(VLOOKUP($C210,REV!$C:$AA,25,0)-'TRADE IN'!$F210=0,"",(VLOOKUP($C210,REV!$C:$AA,25,0)-'TRADE IN'!$F210))</f>
        <v>1299</v>
      </c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7"/>
      <c r="AW210" s="58" t="str">
        <f>REV!AW210</f>
        <v>03.11.2026</v>
      </c>
      <c r="AX210" s="147" t="str">
        <f>VLOOKUP(C210,REV!C:AX,48,0)</f>
        <v>5G</v>
      </c>
    </row>
    <row r="211" spans="1:50" ht="22.5" customHeight="1">
      <c r="A211" s="51" t="s">
        <v>63</v>
      </c>
      <c r="B211" s="52" t="s">
        <v>64</v>
      </c>
      <c r="C211" s="53">
        <v>4015582</v>
      </c>
      <c r="D211" s="65" t="s">
        <v>345</v>
      </c>
      <c r="E211" s="65" t="s">
        <v>346</v>
      </c>
      <c r="F211" s="55"/>
      <c r="G211" s="55"/>
      <c r="H211" s="55"/>
      <c r="I211" s="55"/>
      <c r="J211" s="56">
        <f>IF(VLOOKUP($C211,REV!$C:$AA,8,0)-'TRADE IN'!$F211=0,"",(VLOOKUP($C211,REV!$C:$AA,8,0)-'TRADE IN'!$F211))</f>
        <v>2499</v>
      </c>
      <c r="K211" s="56">
        <f>IF(VLOOKUP($C211,REV!$C:$AA,9,0)-'TRADE IN'!$F211=0,"",(VLOOKUP($C211,REV!$C:$AA,9,0)-'TRADE IN'!$F211))</f>
        <v>2399</v>
      </c>
      <c r="L211" s="56">
        <f>IF(VLOOKUP($C211,REV!$C:$AA,10,0)-'TRADE IN'!$F211=0,"",(VLOOKUP($C211,REV!$C:$AA,10,0)-'TRADE IN'!$F211))</f>
        <v>2399</v>
      </c>
      <c r="M211" s="56">
        <f>IF(VLOOKUP($C211,REV!$C:$AA,11,0)-'TRADE IN'!$F211=0,"",(VLOOKUP($C211,REV!$C:$AA,11,0)-'TRADE IN'!$F211))</f>
        <v>2499</v>
      </c>
      <c r="N211" s="56">
        <f>IF(VLOOKUP($C211,REV!$C:$AA,12,0)-'TRADE IN'!$F211=0,"",(VLOOKUP($C211,REV!$C:$AA,12,0)-'TRADE IN'!$F211))</f>
        <v>2499</v>
      </c>
      <c r="O211" s="56">
        <f>IF(VLOOKUP($C211,REV!$C:$AA,13,0)-'TRADE IN'!$F211=0,"",(VLOOKUP($C211,REV!$C:$AA,13,0)-'TRADE IN'!$F211))</f>
        <v>2299</v>
      </c>
      <c r="P211" s="56">
        <f>IF(VLOOKUP($C211,REV!$C:$AA,14,0)-'TRADE IN'!$F211=0,"",(VLOOKUP($C211,REV!$C:$AA,14,0)-'TRADE IN'!$F211))</f>
        <v>2199</v>
      </c>
      <c r="Q211" s="56">
        <f>IF(VLOOKUP($C211,REV!$C:$AA,15,0)-'TRADE IN'!$F211=0,"",(VLOOKUP($C211,REV!$C:$AA,15,0)-'TRADE IN'!$F211))</f>
        <v>1699</v>
      </c>
      <c r="R211" s="56">
        <f>IF(VLOOKUP($C211,REV!$C:$AA,16,0)-'TRADE IN'!$F211=0,"",(VLOOKUP($C211,REV!$C:$AA,16,0)-'TRADE IN'!$F211))</f>
        <v>2299</v>
      </c>
      <c r="S211" s="56">
        <f>IF(VLOOKUP($C211,REV!$C:$AA,17,0)-'TRADE IN'!$F211=0,"",(VLOOKUP($C211,REV!$C:$AA,17,0)-'TRADE IN'!$F211))</f>
        <v>2199</v>
      </c>
      <c r="T211" s="56">
        <f>IF(VLOOKUP($C211,REV!$C:$AA,18,0)-'TRADE IN'!$F211=0,"",(VLOOKUP($C211,REV!$C:$AA,18,0)-'TRADE IN'!$F211))</f>
        <v>1699</v>
      </c>
      <c r="U211" s="56">
        <f>IF(VLOOKUP($C211,REV!$C:$AA,19,0)-'TRADE IN'!$F211=0,"",(VLOOKUP($C211,REV!$C:$AA,19,0)-'TRADE IN'!$F211))</f>
        <v>1699</v>
      </c>
      <c r="V211" s="56">
        <f>IF(VLOOKUP($C211,REV!$C:$AA,20,0)-'TRADE IN'!$F211=0,"",(VLOOKUP($C211,REV!$C:$AA,20,0)-'TRADE IN'!$F211))</f>
        <v>1699</v>
      </c>
      <c r="W211" s="56">
        <f>IF(VLOOKUP($C211,REV!$C:$AA,21,0)-'TRADE IN'!$F211=0,"",(VLOOKUP($C211,REV!$C:$AA,21,0)-'TRADE IN'!$F211))</f>
        <v>1699</v>
      </c>
      <c r="X211" s="56">
        <f>IF(VLOOKUP($C211,REV!$C:$AA,22,0)-'TRADE IN'!$F211=0,"",(VLOOKUP($C211,REV!$C:$AA,22,0)-'TRADE IN'!$F211))</f>
        <v>1599</v>
      </c>
      <c r="Y211" s="56">
        <f>IF(VLOOKUP($C211,REV!$C:$AA,23,0)-'TRADE IN'!$F211=0,"",(VLOOKUP($C211,REV!$C:$AA,23,0)-'TRADE IN'!$F211))</f>
        <v>1399</v>
      </c>
      <c r="Z211" s="56">
        <f>IF(VLOOKUP($C211,REV!$C:$AA,24,0)-'TRADE IN'!$F211=0,"",(VLOOKUP($C211,REV!$C:$AA,24,0)-'TRADE IN'!$F211))</f>
        <v>1399</v>
      </c>
      <c r="AA211" s="56">
        <f>IF(VLOOKUP($C211,REV!$C:$AA,25,0)-'TRADE IN'!$F211=0,"",(VLOOKUP($C211,REV!$C:$AA,25,0)-'TRADE IN'!$F211))</f>
        <v>1399</v>
      </c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7"/>
      <c r="AW211" s="58" t="str">
        <f>REV!AW211</f>
        <v>03.11.2026</v>
      </c>
      <c r="AX211" s="147" t="str">
        <f>VLOOKUP(C211,REV!C:AX,48,0)</f>
        <v>5G</v>
      </c>
    </row>
    <row r="212" spans="1:50" ht="22.5" customHeight="1">
      <c r="A212" s="51" t="s">
        <v>63</v>
      </c>
      <c r="B212" s="52" t="s">
        <v>64</v>
      </c>
      <c r="C212" s="53">
        <v>4015584</v>
      </c>
      <c r="D212" s="65" t="s">
        <v>345</v>
      </c>
      <c r="E212" s="65" t="s">
        <v>347</v>
      </c>
      <c r="F212" s="55"/>
      <c r="G212" s="55"/>
      <c r="H212" s="55"/>
      <c r="I212" s="55"/>
      <c r="J212" s="56">
        <f>IF(VLOOKUP($C212,REV!$C:$AA,8,0)-'TRADE IN'!$F212=0,"",(VLOOKUP($C212,REV!$C:$AA,8,0)-'TRADE IN'!$F212))</f>
        <v>2499</v>
      </c>
      <c r="K212" s="56">
        <f>IF(VLOOKUP($C212,REV!$C:$AA,9,0)-'TRADE IN'!$F212=0,"",(VLOOKUP($C212,REV!$C:$AA,9,0)-'TRADE IN'!$F212))</f>
        <v>2399</v>
      </c>
      <c r="L212" s="56">
        <f>IF(VLOOKUP($C212,REV!$C:$AA,10,0)-'TRADE IN'!$F212=0,"",(VLOOKUP($C212,REV!$C:$AA,10,0)-'TRADE IN'!$F212))</f>
        <v>2399</v>
      </c>
      <c r="M212" s="56">
        <f>IF(VLOOKUP($C212,REV!$C:$AA,11,0)-'TRADE IN'!$F212=0,"",(VLOOKUP($C212,REV!$C:$AA,11,0)-'TRADE IN'!$F212))</f>
        <v>2499</v>
      </c>
      <c r="N212" s="56">
        <f>IF(VLOOKUP($C212,REV!$C:$AA,12,0)-'TRADE IN'!$F212=0,"",(VLOOKUP($C212,REV!$C:$AA,12,0)-'TRADE IN'!$F212))</f>
        <v>2499</v>
      </c>
      <c r="O212" s="56">
        <f>IF(VLOOKUP($C212,REV!$C:$AA,13,0)-'TRADE IN'!$F212=0,"",(VLOOKUP($C212,REV!$C:$AA,13,0)-'TRADE IN'!$F212))</f>
        <v>2299</v>
      </c>
      <c r="P212" s="56">
        <f>IF(VLOOKUP($C212,REV!$C:$AA,14,0)-'TRADE IN'!$F212=0,"",(VLOOKUP($C212,REV!$C:$AA,14,0)-'TRADE IN'!$F212))</f>
        <v>2199</v>
      </c>
      <c r="Q212" s="56">
        <f>IF(VLOOKUP($C212,REV!$C:$AA,15,0)-'TRADE IN'!$F212=0,"",(VLOOKUP($C212,REV!$C:$AA,15,0)-'TRADE IN'!$F212))</f>
        <v>1699</v>
      </c>
      <c r="R212" s="56">
        <f>IF(VLOOKUP($C212,REV!$C:$AA,16,0)-'TRADE IN'!$F212=0,"",(VLOOKUP($C212,REV!$C:$AA,16,0)-'TRADE IN'!$F212))</f>
        <v>2299</v>
      </c>
      <c r="S212" s="56">
        <f>IF(VLOOKUP($C212,REV!$C:$AA,17,0)-'TRADE IN'!$F212=0,"",(VLOOKUP($C212,REV!$C:$AA,17,0)-'TRADE IN'!$F212))</f>
        <v>2199</v>
      </c>
      <c r="T212" s="56">
        <f>IF(VLOOKUP($C212,REV!$C:$AA,18,0)-'TRADE IN'!$F212=0,"",(VLOOKUP($C212,REV!$C:$AA,18,0)-'TRADE IN'!$F212))</f>
        <v>1699</v>
      </c>
      <c r="U212" s="56">
        <f>IF(VLOOKUP($C212,REV!$C:$AA,19,0)-'TRADE IN'!$F212=0,"",(VLOOKUP($C212,REV!$C:$AA,19,0)-'TRADE IN'!$F212))</f>
        <v>1699</v>
      </c>
      <c r="V212" s="56">
        <f>IF(VLOOKUP($C212,REV!$C:$AA,20,0)-'TRADE IN'!$F212=0,"",(VLOOKUP($C212,REV!$C:$AA,20,0)-'TRADE IN'!$F212))</f>
        <v>1699</v>
      </c>
      <c r="W212" s="56">
        <f>IF(VLOOKUP($C212,REV!$C:$AA,21,0)-'TRADE IN'!$F212=0,"",(VLOOKUP($C212,REV!$C:$AA,21,0)-'TRADE IN'!$F212))</f>
        <v>1699</v>
      </c>
      <c r="X212" s="56">
        <f>IF(VLOOKUP($C212,REV!$C:$AA,22,0)-'TRADE IN'!$F212=0,"",(VLOOKUP($C212,REV!$C:$AA,22,0)-'TRADE IN'!$F212))</f>
        <v>1599</v>
      </c>
      <c r="Y212" s="56">
        <f>IF(VLOOKUP($C212,REV!$C:$AA,23,0)-'TRADE IN'!$F212=0,"",(VLOOKUP($C212,REV!$C:$AA,23,0)-'TRADE IN'!$F212))</f>
        <v>1399</v>
      </c>
      <c r="Z212" s="56">
        <f>IF(VLOOKUP($C212,REV!$C:$AA,24,0)-'TRADE IN'!$F212=0,"",(VLOOKUP($C212,REV!$C:$AA,24,0)-'TRADE IN'!$F212))</f>
        <v>1399</v>
      </c>
      <c r="AA212" s="56">
        <f>IF(VLOOKUP($C212,REV!$C:$AA,25,0)-'TRADE IN'!$F212=0,"",(VLOOKUP($C212,REV!$C:$AA,25,0)-'TRADE IN'!$F212))</f>
        <v>1399</v>
      </c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7"/>
      <c r="AW212" s="58" t="str">
        <f>REV!AW212</f>
        <v>03.11.2026</v>
      </c>
      <c r="AX212" s="147" t="str">
        <f>VLOOKUP(C212,REV!C:AX,48,0)</f>
        <v>5G</v>
      </c>
    </row>
    <row r="213" spans="1:50" ht="22.5" customHeight="1">
      <c r="A213" s="51" t="s">
        <v>63</v>
      </c>
      <c r="B213" s="52" t="s">
        <v>64</v>
      </c>
      <c r="C213" s="53">
        <v>4015556</v>
      </c>
      <c r="D213" s="65" t="s">
        <v>348</v>
      </c>
      <c r="E213" s="65" t="s">
        <v>349</v>
      </c>
      <c r="F213" s="55"/>
      <c r="G213" s="55"/>
      <c r="H213" s="55"/>
      <c r="I213" s="55"/>
      <c r="J213" s="56">
        <f>IF(VLOOKUP($C213,REV!$C:$AA,8,0)-'TRADE IN'!$F213=0,"",(VLOOKUP($C213,REV!$C:$AA,8,0)-'TRADE IN'!$F213))</f>
        <v>3099</v>
      </c>
      <c r="K213" s="56">
        <f>IF(VLOOKUP($C213,REV!$C:$AA,9,0)-'TRADE IN'!$F213=0,"",(VLOOKUP($C213,REV!$C:$AA,9,0)-'TRADE IN'!$F213))</f>
        <v>2999</v>
      </c>
      <c r="L213" s="56">
        <f>IF(VLOOKUP($C213,REV!$C:$AA,10,0)-'TRADE IN'!$F213=0,"",(VLOOKUP($C213,REV!$C:$AA,10,0)-'TRADE IN'!$F213))</f>
        <v>2999</v>
      </c>
      <c r="M213" s="56">
        <f>IF(VLOOKUP($C213,REV!$C:$AA,11,0)-'TRADE IN'!$F213=0,"",(VLOOKUP($C213,REV!$C:$AA,11,0)-'TRADE IN'!$F213))</f>
        <v>3099</v>
      </c>
      <c r="N213" s="56">
        <f>IF(VLOOKUP($C213,REV!$C:$AA,12,0)-'TRADE IN'!$F213=0,"",(VLOOKUP($C213,REV!$C:$AA,12,0)-'TRADE IN'!$F213))</f>
        <v>3099</v>
      </c>
      <c r="O213" s="56">
        <f>IF(VLOOKUP($C213,REV!$C:$AA,13,0)-'TRADE IN'!$F213=0,"",(VLOOKUP($C213,REV!$C:$AA,13,0)-'TRADE IN'!$F213))</f>
        <v>2899</v>
      </c>
      <c r="P213" s="56">
        <f>IF(VLOOKUP($C213,REV!$C:$AA,14,0)-'TRADE IN'!$F213=0,"",(VLOOKUP($C213,REV!$C:$AA,14,0)-'TRADE IN'!$F213))</f>
        <v>2799</v>
      </c>
      <c r="Q213" s="56">
        <f>IF(VLOOKUP($C213,REV!$C:$AA,15,0)-'TRADE IN'!$F213=0,"",(VLOOKUP($C213,REV!$C:$AA,15,0)-'TRADE IN'!$F213))</f>
        <v>2599</v>
      </c>
      <c r="R213" s="56">
        <f>IF(VLOOKUP($C213,REV!$C:$AA,16,0)-'TRADE IN'!$F213=0,"",(VLOOKUP($C213,REV!$C:$AA,16,0)-'TRADE IN'!$F213))</f>
        <v>2899</v>
      </c>
      <c r="S213" s="56">
        <f>IF(VLOOKUP($C213,REV!$C:$AA,17,0)-'TRADE IN'!$F213=0,"",(VLOOKUP($C213,REV!$C:$AA,17,0)-'TRADE IN'!$F213))</f>
        <v>2799</v>
      </c>
      <c r="T213" s="56">
        <f>IF(VLOOKUP($C213,REV!$C:$AA,18,0)-'TRADE IN'!$F213=0,"",(VLOOKUP($C213,REV!$C:$AA,18,0)-'TRADE IN'!$F213))</f>
        <v>2599</v>
      </c>
      <c r="U213" s="56">
        <f>IF(VLOOKUP($C213,REV!$C:$AA,19,0)-'TRADE IN'!$F213=0,"",(VLOOKUP($C213,REV!$C:$AA,19,0)-'TRADE IN'!$F213))</f>
        <v>2599</v>
      </c>
      <c r="V213" s="56">
        <f>IF(VLOOKUP($C213,REV!$C:$AA,20,0)-'TRADE IN'!$F213=0,"",(VLOOKUP($C213,REV!$C:$AA,20,0)-'TRADE IN'!$F213))</f>
        <v>2599</v>
      </c>
      <c r="W213" s="56">
        <f>IF(VLOOKUP($C213,REV!$C:$AA,21,0)-'TRADE IN'!$F213=0,"",(VLOOKUP($C213,REV!$C:$AA,21,0)-'TRADE IN'!$F213))</f>
        <v>2599</v>
      </c>
      <c r="X213" s="56">
        <f>IF(VLOOKUP($C213,REV!$C:$AA,22,0)-'TRADE IN'!$F213=0,"",(VLOOKUP($C213,REV!$C:$AA,22,0)-'TRADE IN'!$F213))</f>
        <v>2499</v>
      </c>
      <c r="Y213" s="56">
        <f>IF(VLOOKUP($C213,REV!$C:$AA,23,0)-'TRADE IN'!$F213=0,"",(VLOOKUP($C213,REV!$C:$AA,23,0)-'TRADE IN'!$F213))</f>
        <v>2399</v>
      </c>
      <c r="Z213" s="56">
        <f>IF(VLOOKUP($C213,REV!$C:$AA,24,0)-'TRADE IN'!$F213=0,"",(VLOOKUP($C213,REV!$C:$AA,24,0)-'TRADE IN'!$F213))</f>
        <v>2399</v>
      </c>
      <c r="AA213" s="56">
        <f>IF(VLOOKUP($C213,REV!$C:$AA,25,0)-'TRADE IN'!$F213=0,"",(VLOOKUP($C213,REV!$C:$AA,25,0)-'TRADE IN'!$F213))</f>
        <v>2399</v>
      </c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7"/>
      <c r="AW213" s="58" t="str">
        <f>REV!AW213</f>
        <v>03.11.2026</v>
      </c>
      <c r="AX213" s="147" t="str">
        <f>VLOOKUP(C213,REV!C:AX,48,0)</f>
        <v>5G</v>
      </c>
    </row>
    <row r="214" spans="1:50" ht="22.5" customHeight="1">
      <c r="A214" s="51" t="s">
        <v>63</v>
      </c>
      <c r="B214" s="52" t="s">
        <v>64</v>
      </c>
      <c r="C214" s="53">
        <v>4016294</v>
      </c>
      <c r="D214" s="65" t="s">
        <v>350</v>
      </c>
      <c r="E214" s="65" t="s">
        <v>351</v>
      </c>
      <c r="F214" s="55"/>
      <c r="G214" s="55"/>
      <c r="H214" s="55"/>
      <c r="I214" s="55"/>
      <c r="J214" s="56">
        <f>IF(VLOOKUP($C214,REV!$C:$AA,8,0)-'TRADE IN'!$F214=0,"",(VLOOKUP($C214,REV!$C:$AA,8,0)-'TRADE IN'!$F214))</f>
        <v>4999</v>
      </c>
      <c r="K214" s="56">
        <f>IF(VLOOKUP($C214,REV!$C:$AA,9,0)-'TRADE IN'!$F214=0,"",(VLOOKUP($C214,REV!$C:$AA,9,0)-'TRADE IN'!$F214))</f>
        <v>4999</v>
      </c>
      <c r="L214" s="56">
        <f>IF(VLOOKUP($C214,REV!$C:$AA,10,0)-'TRADE IN'!$F214=0,"",(VLOOKUP($C214,REV!$C:$AA,10,0)-'TRADE IN'!$F214))</f>
        <v>4999</v>
      </c>
      <c r="M214" s="56">
        <f>IF(VLOOKUP($C214,REV!$C:$AA,11,0)-'TRADE IN'!$F214=0,"",(VLOOKUP($C214,REV!$C:$AA,11,0)-'TRADE IN'!$F214))</f>
        <v>4999</v>
      </c>
      <c r="N214" s="56">
        <f>IF(VLOOKUP($C214,REV!$C:$AA,12,0)-'TRADE IN'!$F214=0,"",(VLOOKUP($C214,REV!$C:$AA,12,0)-'TRADE IN'!$F214))</f>
        <v>4999</v>
      </c>
      <c r="O214" s="56">
        <f>IF(VLOOKUP($C214,REV!$C:$AA,13,0)-'TRADE IN'!$F214=0,"",(VLOOKUP($C214,REV!$C:$AA,13,0)-'TRADE IN'!$F214))</f>
        <v>4899</v>
      </c>
      <c r="P214" s="56">
        <f>IF(VLOOKUP($C214,REV!$C:$AA,14,0)-'TRADE IN'!$F214=0,"",(VLOOKUP($C214,REV!$C:$AA,14,0)-'TRADE IN'!$F214))</f>
        <v>4799</v>
      </c>
      <c r="Q214" s="56">
        <f>IF(VLOOKUP($C214,REV!$C:$AA,15,0)-'TRADE IN'!$F214=0,"",(VLOOKUP($C214,REV!$C:$AA,15,0)-'TRADE IN'!$F214))</f>
        <v>3599</v>
      </c>
      <c r="R214" s="56">
        <f>IF(VLOOKUP($C214,REV!$C:$AA,16,0)-'TRADE IN'!$F214=0,"",(VLOOKUP($C214,REV!$C:$AA,16,0)-'TRADE IN'!$F214))</f>
        <v>4899</v>
      </c>
      <c r="S214" s="56">
        <f>IF(VLOOKUP($C214,REV!$C:$AA,17,0)-'TRADE IN'!$F214=0,"",(VLOOKUP($C214,REV!$C:$AA,17,0)-'TRADE IN'!$F214))</f>
        <v>4799</v>
      </c>
      <c r="T214" s="56">
        <f>IF(VLOOKUP($C214,REV!$C:$AA,18,0)-'TRADE IN'!$F214=0,"",(VLOOKUP($C214,REV!$C:$AA,18,0)-'TRADE IN'!$F214))</f>
        <v>3599</v>
      </c>
      <c r="U214" s="56">
        <f>IF(VLOOKUP($C214,REV!$C:$AA,19,0)-'TRADE IN'!$F214=0,"",(VLOOKUP($C214,REV!$C:$AA,19,0)-'TRADE IN'!$F214))</f>
        <v>3599</v>
      </c>
      <c r="V214" s="56">
        <f>IF(VLOOKUP($C214,REV!$C:$AA,20,0)-'TRADE IN'!$F214=0,"",(VLOOKUP($C214,REV!$C:$AA,20,0)-'TRADE IN'!$F214))</f>
        <v>3599</v>
      </c>
      <c r="W214" s="56">
        <f>IF(VLOOKUP($C214,REV!$C:$AA,21,0)-'TRADE IN'!$F214=0,"",(VLOOKUP($C214,REV!$C:$AA,21,0)-'TRADE IN'!$F214))</f>
        <v>3599</v>
      </c>
      <c r="X214" s="56">
        <f>IF(VLOOKUP($C214,REV!$C:$AA,22,0)-'TRADE IN'!$F214=0,"",(VLOOKUP($C214,REV!$C:$AA,22,0)-'TRADE IN'!$F214))</f>
        <v>3299</v>
      </c>
      <c r="Y214" s="56">
        <f>IF(VLOOKUP($C214,REV!$C:$AA,23,0)-'TRADE IN'!$F214=0,"",(VLOOKUP($C214,REV!$C:$AA,23,0)-'TRADE IN'!$F214))</f>
        <v>1999</v>
      </c>
      <c r="Z214" s="56">
        <f>IF(VLOOKUP($C214,REV!$C:$AA,24,0)-'TRADE IN'!$F214=0,"",(VLOOKUP($C214,REV!$C:$AA,24,0)-'TRADE IN'!$F214))</f>
        <v>1999</v>
      </c>
      <c r="AA214" s="56">
        <f>IF(VLOOKUP($C214,REV!$C:$AA,25,0)-'TRADE IN'!$F214=0,"",(VLOOKUP($C214,REV!$C:$AA,25,0)-'TRADE IN'!$F214))</f>
        <v>1999</v>
      </c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7"/>
      <c r="AW214" s="58" t="str">
        <f>REV!AW214</f>
        <v>03.11.2026</v>
      </c>
      <c r="AX214" s="147" t="str">
        <f>VLOOKUP(C214,REV!C:AX,48,0)</f>
        <v>5G</v>
      </c>
    </row>
    <row r="215" spans="1:50" ht="22.5" customHeight="1">
      <c r="A215" s="51" t="s">
        <v>63</v>
      </c>
      <c r="B215" s="52" t="s">
        <v>64</v>
      </c>
      <c r="C215" s="53">
        <v>4016925</v>
      </c>
      <c r="D215" s="65" t="s">
        <v>352</v>
      </c>
      <c r="E215" s="65" t="s">
        <v>353</v>
      </c>
      <c r="F215" s="55"/>
      <c r="G215" s="55"/>
      <c r="H215" s="55"/>
      <c r="I215" s="55"/>
      <c r="J215" s="56">
        <f>IF(VLOOKUP($C215,REV!$C:$AA,8,0)-'TRADE IN'!$F215=0,"",(VLOOKUP($C215,REV!$C:$AA,8,0)-'TRADE IN'!$F215))</f>
        <v>6699</v>
      </c>
      <c r="K215" s="56">
        <f>IF(VLOOKUP($C215,REV!$C:$AA,9,0)-'TRADE IN'!$F215=0,"",(VLOOKUP($C215,REV!$C:$AA,9,0)-'TRADE IN'!$F215))</f>
        <v>6699</v>
      </c>
      <c r="L215" s="56">
        <f>IF(VLOOKUP($C215,REV!$C:$AA,10,0)-'TRADE IN'!$F215=0,"",(VLOOKUP($C215,REV!$C:$AA,10,0)-'TRADE IN'!$F215))</f>
        <v>6699</v>
      </c>
      <c r="M215" s="56">
        <f>IF(VLOOKUP($C215,REV!$C:$AA,11,0)-'TRADE IN'!$F215=0,"",(VLOOKUP($C215,REV!$C:$AA,11,0)-'TRADE IN'!$F215))</f>
        <v>6699</v>
      </c>
      <c r="N215" s="56">
        <f>IF(VLOOKUP($C215,REV!$C:$AA,12,0)-'TRADE IN'!$F215=0,"",(VLOOKUP($C215,REV!$C:$AA,12,0)-'TRADE IN'!$F215))</f>
        <v>6699</v>
      </c>
      <c r="O215" s="56">
        <f>IF(VLOOKUP($C215,REV!$C:$AA,13,0)-'TRADE IN'!$F215=0,"",(VLOOKUP($C215,REV!$C:$AA,13,0)-'TRADE IN'!$F215))</f>
        <v>6599</v>
      </c>
      <c r="P215" s="56">
        <f>IF(VLOOKUP($C215,REV!$C:$AA,14,0)-'TRADE IN'!$F215=0,"",(VLOOKUP($C215,REV!$C:$AA,14,0)-'TRADE IN'!$F215))</f>
        <v>6499</v>
      </c>
      <c r="Q215" s="56">
        <f>IF(VLOOKUP($C215,REV!$C:$AA,15,0)-'TRADE IN'!$F215=0,"",(VLOOKUP($C215,REV!$C:$AA,15,0)-'TRADE IN'!$F215))</f>
        <v>6399</v>
      </c>
      <c r="R215" s="56">
        <f>IF(VLOOKUP($C215,REV!$C:$AA,16,0)-'TRADE IN'!$F215=0,"",(VLOOKUP($C215,REV!$C:$AA,16,0)-'TRADE IN'!$F215))</f>
        <v>6599</v>
      </c>
      <c r="S215" s="56">
        <f>IF(VLOOKUP($C215,REV!$C:$AA,17,0)-'TRADE IN'!$F215=0,"",(VLOOKUP($C215,REV!$C:$AA,17,0)-'TRADE IN'!$F215))</f>
        <v>6499</v>
      </c>
      <c r="T215" s="56">
        <f>IF(VLOOKUP($C215,REV!$C:$AA,18,0)-'TRADE IN'!$F215=0,"",(VLOOKUP($C215,REV!$C:$AA,18,0)-'TRADE IN'!$F215))</f>
        <v>6399</v>
      </c>
      <c r="U215" s="56">
        <f>IF(VLOOKUP($C215,REV!$C:$AA,19,0)-'TRADE IN'!$F215=0,"",(VLOOKUP($C215,REV!$C:$AA,19,0)-'TRADE IN'!$F215))</f>
        <v>6399</v>
      </c>
      <c r="V215" s="56">
        <f>IF(VLOOKUP($C215,REV!$C:$AA,20,0)-'TRADE IN'!$F215=0,"",(VLOOKUP($C215,REV!$C:$AA,20,0)-'TRADE IN'!$F215))</f>
        <v>6399</v>
      </c>
      <c r="W215" s="56">
        <f>IF(VLOOKUP($C215,REV!$C:$AA,21,0)-'TRADE IN'!$F215=0,"",(VLOOKUP($C215,REV!$C:$AA,21,0)-'TRADE IN'!$F215))</f>
        <v>6399</v>
      </c>
      <c r="X215" s="56">
        <f>IF(VLOOKUP($C215,REV!$C:$AA,22,0)-'TRADE IN'!$F215=0,"",(VLOOKUP($C215,REV!$C:$AA,22,0)-'TRADE IN'!$F215))</f>
        <v>6299</v>
      </c>
      <c r="Y215" s="56">
        <f>IF(VLOOKUP($C215,REV!$C:$AA,23,0)-'TRADE IN'!$F215=0,"",(VLOOKUP($C215,REV!$C:$AA,23,0)-'TRADE IN'!$F215))</f>
        <v>4999</v>
      </c>
      <c r="Z215" s="56">
        <f>IF(VLOOKUP($C215,REV!$C:$AA,24,0)-'TRADE IN'!$F215=0,"",(VLOOKUP($C215,REV!$C:$AA,24,0)-'TRADE IN'!$F215))</f>
        <v>4999</v>
      </c>
      <c r="AA215" s="56">
        <f>IF(VLOOKUP($C215,REV!$C:$AA,25,0)-'TRADE IN'!$F215=0,"",(VLOOKUP($C215,REV!$C:$AA,25,0)-'TRADE IN'!$F215))</f>
        <v>4999</v>
      </c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7"/>
      <c r="AW215" s="58" t="str">
        <f>REV!AW215</f>
        <v>03.11.2026</v>
      </c>
      <c r="AX215" s="147" t="str">
        <f>VLOOKUP(C215,REV!C:AX,48,0)</f>
        <v>5G</v>
      </c>
    </row>
    <row r="216" spans="1:50" ht="22.5" customHeight="1">
      <c r="A216" s="51" t="s">
        <v>63</v>
      </c>
      <c r="B216" s="52" t="s">
        <v>64</v>
      </c>
      <c r="C216" s="53">
        <v>4017990</v>
      </c>
      <c r="D216" s="65" t="s">
        <v>354</v>
      </c>
      <c r="E216" s="65" t="s">
        <v>355</v>
      </c>
      <c r="F216" s="55"/>
      <c r="G216" s="55"/>
      <c r="H216" s="55"/>
      <c r="I216" s="55"/>
      <c r="J216" s="56">
        <f>IF(VLOOKUP($C216,REV!$C:$AA,8,0)-'TRADE IN'!$F216=0,"",(VLOOKUP($C216,REV!$C:$AA,8,0)-'TRADE IN'!$F216))</f>
        <v>10799</v>
      </c>
      <c r="K216" s="56">
        <f>IF(VLOOKUP($C216,REV!$C:$AA,9,0)-'TRADE IN'!$F216=0,"",(VLOOKUP($C216,REV!$C:$AA,9,0)-'TRADE IN'!$F216))</f>
        <v>10799</v>
      </c>
      <c r="L216" s="56">
        <f>IF(VLOOKUP($C216,REV!$C:$AA,10,0)-'TRADE IN'!$F216=0,"",(VLOOKUP($C216,REV!$C:$AA,10,0)-'TRADE IN'!$F216))</f>
        <v>10799</v>
      </c>
      <c r="M216" s="56">
        <f>IF(VLOOKUP($C216,REV!$C:$AA,11,0)-'TRADE IN'!$F216=0,"",(VLOOKUP($C216,REV!$C:$AA,11,0)-'TRADE IN'!$F216))</f>
        <v>10799</v>
      </c>
      <c r="N216" s="56">
        <f>IF(VLOOKUP($C216,REV!$C:$AA,12,0)-'TRADE IN'!$F216=0,"",(VLOOKUP($C216,REV!$C:$AA,12,0)-'TRADE IN'!$F216))</f>
        <v>10799</v>
      </c>
      <c r="O216" s="56">
        <f>IF(VLOOKUP($C216,REV!$C:$AA,13,0)-'TRADE IN'!$F216=0,"",(VLOOKUP($C216,REV!$C:$AA,13,0)-'TRADE IN'!$F216))</f>
        <v>10699</v>
      </c>
      <c r="P216" s="56">
        <f>IF(VLOOKUP($C216,REV!$C:$AA,14,0)-'TRADE IN'!$F216=0,"",(VLOOKUP($C216,REV!$C:$AA,14,0)-'TRADE IN'!$F216))</f>
        <v>10599</v>
      </c>
      <c r="Q216" s="56">
        <f>IF(VLOOKUP($C216,REV!$C:$AA,15,0)-'TRADE IN'!$F216=0,"",(VLOOKUP($C216,REV!$C:$AA,15,0)-'TRADE IN'!$F216))</f>
        <v>6499</v>
      </c>
      <c r="R216" s="56">
        <f>IF(VLOOKUP($C216,REV!$C:$AA,16,0)-'TRADE IN'!$F216=0,"",(VLOOKUP($C216,REV!$C:$AA,16,0)-'TRADE IN'!$F216))</f>
        <v>10699</v>
      </c>
      <c r="S216" s="56">
        <f>IF(VLOOKUP($C216,REV!$C:$AA,17,0)-'TRADE IN'!$F216=0,"",(VLOOKUP($C216,REV!$C:$AA,17,0)-'TRADE IN'!$F216))</f>
        <v>10599</v>
      </c>
      <c r="T216" s="56">
        <f>IF(VLOOKUP($C216,REV!$C:$AA,18,0)-'TRADE IN'!$F216=0,"",(VLOOKUP($C216,REV!$C:$AA,18,0)-'TRADE IN'!$F216))</f>
        <v>6499</v>
      </c>
      <c r="U216" s="56">
        <f>IF(VLOOKUP($C216,REV!$C:$AA,19,0)-'TRADE IN'!$F216=0,"",(VLOOKUP($C216,REV!$C:$AA,19,0)-'TRADE IN'!$F216))</f>
        <v>6499</v>
      </c>
      <c r="V216" s="56">
        <f>IF(VLOOKUP($C216,REV!$C:$AA,20,0)-'TRADE IN'!$F216=0,"",(VLOOKUP($C216,REV!$C:$AA,20,0)-'TRADE IN'!$F216))</f>
        <v>6499</v>
      </c>
      <c r="W216" s="56">
        <f>IF(VLOOKUP($C216,REV!$C:$AA,21,0)-'TRADE IN'!$F216=0,"",(VLOOKUP($C216,REV!$C:$AA,21,0)-'TRADE IN'!$F216))</f>
        <v>6499</v>
      </c>
      <c r="X216" s="56">
        <f>IF(VLOOKUP($C216,REV!$C:$AA,22,0)-'TRADE IN'!$F216=0,"",(VLOOKUP($C216,REV!$C:$AA,22,0)-'TRADE IN'!$F216))</f>
        <v>6399</v>
      </c>
      <c r="Y216" s="56">
        <f>IF(VLOOKUP($C216,REV!$C:$AA,23,0)-'TRADE IN'!$F216=0,"",(VLOOKUP($C216,REV!$C:$AA,23,0)-'TRADE IN'!$F216))</f>
        <v>5999</v>
      </c>
      <c r="Z216" s="56">
        <f>IF(VLOOKUP($C216,REV!$C:$AA,24,0)-'TRADE IN'!$F216=0,"",(VLOOKUP($C216,REV!$C:$AA,24,0)-'TRADE IN'!$F216))</f>
        <v>5999</v>
      </c>
      <c r="AA216" s="56">
        <f>IF(VLOOKUP($C216,REV!$C:$AA,25,0)-'TRADE IN'!$F216=0,"",(VLOOKUP($C216,REV!$C:$AA,25,0)-'TRADE IN'!$F216))</f>
        <v>5799</v>
      </c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7"/>
      <c r="AW216" s="58" t="str">
        <f>REV!AW216</f>
        <v>03.11.2026</v>
      </c>
      <c r="AX216" s="147" t="str">
        <f>VLOOKUP(C216,REV!C:AX,48,0)</f>
        <v>5G</v>
      </c>
    </row>
    <row r="217" spans="1:50" ht="22.5" customHeight="1">
      <c r="A217" s="51" t="s">
        <v>63</v>
      </c>
      <c r="B217" s="52" t="s">
        <v>64</v>
      </c>
      <c r="C217" s="53">
        <v>4017991</v>
      </c>
      <c r="D217" s="65" t="s">
        <v>354</v>
      </c>
      <c r="E217" s="65" t="s">
        <v>356</v>
      </c>
      <c r="F217" s="55"/>
      <c r="G217" s="55"/>
      <c r="H217" s="55"/>
      <c r="I217" s="55"/>
      <c r="J217" s="56">
        <f>IF(VLOOKUP($C217,REV!$C:$AA,8,0)-'TRADE IN'!$F217=0,"",(VLOOKUP($C217,REV!$C:$AA,8,0)-'TRADE IN'!$F217))</f>
        <v>10799</v>
      </c>
      <c r="K217" s="56">
        <f>IF(VLOOKUP($C217,REV!$C:$AA,9,0)-'TRADE IN'!$F217=0,"",(VLOOKUP($C217,REV!$C:$AA,9,0)-'TRADE IN'!$F217))</f>
        <v>10799</v>
      </c>
      <c r="L217" s="56">
        <f>IF(VLOOKUP($C217,REV!$C:$AA,10,0)-'TRADE IN'!$F217=0,"",(VLOOKUP($C217,REV!$C:$AA,10,0)-'TRADE IN'!$F217))</f>
        <v>10799</v>
      </c>
      <c r="M217" s="56">
        <f>IF(VLOOKUP($C217,REV!$C:$AA,11,0)-'TRADE IN'!$F217=0,"",(VLOOKUP($C217,REV!$C:$AA,11,0)-'TRADE IN'!$F217))</f>
        <v>10799</v>
      </c>
      <c r="N217" s="56">
        <f>IF(VLOOKUP($C217,REV!$C:$AA,12,0)-'TRADE IN'!$F217=0,"",(VLOOKUP($C217,REV!$C:$AA,12,0)-'TRADE IN'!$F217))</f>
        <v>10799</v>
      </c>
      <c r="O217" s="56">
        <f>IF(VLOOKUP($C217,REV!$C:$AA,13,0)-'TRADE IN'!$F217=0,"",(VLOOKUP($C217,REV!$C:$AA,13,0)-'TRADE IN'!$F217))</f>
        <v>10699</v>
      </c>
      <c r="P217" s="56">
        <f>IF(VLOOKUP($C217,REV!$C:$AA,14,0)-'TRADE IN'!$F217=0,"",(VLOOKUP($C217,REV!$C:$AA,14,0)-'TRADE IN'!$F217))</f>
        <v>10599</v>
      </c>
      <c r="Q217" s="56">
        <f>IF(VLOOKUP($C217,REV!$C:$AA,15,0)-'TRADE IN'!$F217=0,"",(VLOOKUP($C217,REV!$C:$AA,15,0)-'TRADE IN'!$F217))</f>
        <v>6499</v>
      </c>
      <c r="R217" s="56">
        <f>IF(VLOOKUP($C217,REV!$C:$AA,16,0)-'TRADE IN'!$F217=0,"",(VLOOKUP($C217,REV!$C:$AA,16,0)-'TRADE IN'!$F217))</f>
        <v>10699</v>
      </c>
      <c r="S217" s="56">
        <f>IF(VLOOKUP($C217,REV!$C:$AA,17,0)-'TRADE IN'!$F217=0,"",(VLOOKUP($C217,REV!$C:$AA,17,0)-'TRADE IN'!$F217))</f>
        <v>10599</v>
      </c>
      <c r="T217" s="56">
        <f>IF(VLOOKUP($C217,REV!$C:$AA,18,0)-'TRADE IN'!$F217=0,"",(VLOOKUP($C217,REV!$C:$AA,18,0)-'TRADE IN'!$F217))</f>
        <v>6499</v>
      </c>
      <c r="U217" s="56">
        <f>IF(VLOOKUP($C217,REV!$C:$AA,19,0)-'TRADE IN'!$F217=0,"",(VLOOKUP($C217,REV!$C:$AA,19,0)-'TRADE IN'!$F217))</f>
        <v>6499</v>
      </c>
      <c r="V217" s="56">
        <f>IF(VLOOKUP($C217,REV!$C:$AA,20,0)-'TRADE IN'!$F217=0,"",(VLOOKUP($C217,REV!$C:$AA,20,0)-'TRADE IN'!$F217))</f>
        <v>6499</v>
      </c>
      <c r="W217" s="56">
        <f>IF(VLOOKUP($C217,REV!$C:$AA,21,0)-'TRADE IN'!$F217=0,"",(VLOOKUP($C217,REV!$C:$AA,21,0)-'TRADE IN'!$F217))</f>
        <v>6499</v>
      </c>
      <c r="X217" s="56">
        <f>IF(VLOOKUP($C217,REV!$C:$AA,22,0)-'TRADE IN'!$F217=0,"",(VLOOKUP($C217,REV!$C:$AA,22,0)-'TRADE IN'!$F217))</f>
        <v>6399</v>
      </c>
      <c r="Y217" s="56">
        <f>IF(VLOOKUP($C217,REV!$C:$AA,23,0)-'TRADE IN'!$F217=0,"",(VLOOKUP($C217,REV!$C:$AA,23,0)-'TRADE IN'!$F217))</f>
        <v>5999</v>
      </c>
      <c r="Z217" s="56">
        <f>IF(VLOOKUP($C217,REV!$C:$AA,24,0)-'TRADE IN'!$F217=0,"",(VLOOKUP($C217,REV!$C:$AA,24,0)-'TRADE IN'!$F217))</f>
        <v>5999</v>
      </c>
      <c r="AA217" s="56">
        <f>IF(VLOOKUP($C217,REV!$C:$AA,25,0)-'TRADE IN'!$F217=0,"",(VLOOKUP($C217,REV!$C:$AA,25,0)-'TRADE IN'!$F217))</f>
        <v>5799</v>
      </c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7"/>
      <c r="AW217" s="58" t="str">
        <f>REV!AW217</f>
        <v>03.11.2026</v>
      </c>
      <c r="AX217" s="147" t="str">
        <f>VLOOKUP(C217,REV!C:AX,48,0)</f>
        <v>5G</v>
      </c>
    </row>
    <row r="218" spans="1:50" ht="22.5" customHeight="1">
      <c r="A218" s="51" t="s">
        <v>63</v>
      </c>
      <c r="B218" s="52" t="s">
        <v>64</v>
      </c>
      <c r="C218" s="53">
        <v>4017960</v>
      </c>
      <c r="D218" s="65" t="s">
        <v>357</v>
      </c>
      <c r="E218" s="65" t="s">
        <v>358</v>
      </c>
      <c r="F218" s="55"/>
      <c r="G218" s="55"/>
      <c r="H218" s="55"/>
      <c r="I218" s="55"/>
      <c r="J218" s="56">
        <f>IF(VLOOKUP($C218,REV!$C:$AA,8,0)-'TRADE IN'!$F218=0,"",(VLOOKUP($C218,REV!$C:$AA,8,0)-'TRADE IN'!$F218))</f>
        <v>13799</v>
      </c>
      <c r="K218" s="56">
        <f>IF(VLOOKUP($C218,REV!$C:$AA,9,0)-'TRADE IN'!$F218=0,"",(VLOOKUP($C218,REV!$C:$AA,9,0)-'TRADE IN'!$F218))</f>
        <v>13799</v>
      </c>
      <c r="L218" s="56">
        <f>IF(VLOOKUP($C218,REV!$C:$AA,10,0)-'TRADE IN'!$F218=0,"",(VLOOKUP($C218,REV!$C:$AA,10,0)-'TRADE IN'!$F218))</f>
        <v>13799</v>
      </c>
      <c r="M218" s="56">
        <f>IF(VLOOKUP($C218,REV!$C:$AA,11,0)-'TRADE IN'!$F218=0,"",(VLOOKUP($C218,REV!$C:$AA,11,0)-'TRADE IN'!$F218))</f>
        <v>13799</v>
      </c>
      <c r="N218" s="56">
        <f>IF(VLOOKUP($C218,REV!$C:$AA,12,0)-'TRADE IN'!$F218=0,"",(VLOOKUP($C218,REV!$C:$AA,12,0)-'TRADE IN'!$F218))</f>
        <v>13799</v>
      </c>
      <c r="O218" s="56">
        <f>IF(VLOOKUP($C218,REV!$C:$AA,13,0)-'TRADE IN'!$F218=0,"",(VLOOKUP($C218,REV!$C:$AA,13,0)-'TRADE IN'!$F218))</f>
        <v>13699</v>
      </c>
      <c r="P218" s="56">
        <f>IF(VLOOKUP($C218,REV!$C:$AA,14,0)-'TRADE IN'!$F218=0,"",(VLOOKUP($C218,REV!$C:$AA,14,0)-'TRADE IN'!$F218))</f>
        <v>13599</v>
      </c>
      <c r="Q218" s="56">
        <f>IF(VLOOKUP($C218,REV!$C:$AA,15,0)-'TRADE IN'!$F218=0,"",(VLOOKUP($C218,REV!$C:$AA,15,0)-'TRADE IN'!$F218))</f>
        <v>7999</v>
      </c>
      <c r="R218" s="56">
        <f>IF(VLOOKUP($C218,REV!$C:$AA,16,0)-'TRADE IN'!$F218=0,"",(VLOOKUP($C218,REV!$C:$AA,16,0)-'TRADE IN'!$F218))</f>
        <v>13699</v>
      </c>
      <c r="S218" s="56">
        <f>IF(VLOOKUP($C218,REV!$C:$AA,17,0)-'TRADE IN'!$F218=0,"",(VLOOKUP($C218,REV!$C:$AA,17,0)-'TRADE IN'!$F218))</f>
        <v>13599</v>
      </c>
      <c r="T218" s="56">
        <f>IF(VLOOKUP($C218,REV!$C:$AA,18,0)-'TRADE IN'!$F218=0,"",(VLOOKUP($C218,REV!$C:$AA,18,0)-'TRADE IN'!$F218))</f>
        <v>7999</v>
      </c>
      <c r="U218" s="56">
        <f>IF(VLOOKUP($C218,REV!$C:$AA,19,0)-'TRADE IN'!$F218=0,"",(VLOOKUP($C218,REV!$C:$AA,19,0)-'TRADE IN'!$F218))</f>
        <v>7999</v>
      </c>
      <c r="V218" s="56">
        <f>IF(VLOOKUP($C218,REV!$C:$AA,20,0)-'TRADE IN'!$F218=0,"",(VLOOKUP($C218,REV!$C:$AA,20,0)-'TRADE IN'!$F218))</f>
        <v>7999</v>
      </c>
      <c r="W218" s="56">
        <f>IF(VLOOKUP($C218,REV!$C:$AA,21,0)-'TRADE IN'!$F218=0,"",(VLOOKUP($C218,REV!$C:$AA,21,0)-'TRADE IN'!$F218))</f>
        <v>7999</v>
      </c>
      <c r="X218" s="56">
        <f>IF(VLOOKUP($C218,REV!$C:$AA,22,0)-'TRADE IN'!$F218=0,"",(VLOOKUP($C218,REV!$C:$AA,22,0)-'TRADE IN'!$F218))</f>
        <v>7899</v>
      </c>
      <c r="Y218" s="56">
        <f>IF(VLOOKUP($C218,REV!$C:$AA,23,0)-'TRADE IN'!$F218=0,"",(VLOOKUP($C218,REV!$C:$AA,23,0)-'TRADE IN'!$F218))</f>
        <v>7499</v>
      </c>
      <c r="Z218" s="56">
        <f>IF(VLOOKUP($C218,REV!$C:$AA,24,0)-'TRADE IN'!$F218=0,"",(VLOOKUP($C218,REV!$C:$AA,24,0)-'TRADE IN'!$F218))</f>
        <v>7499</v>
      </c>
      <c r="AA218" s="56">
        <f>IF(VLOOKUP($C218,REV!$C:$AA,25,0)-'TRADE IN'!$F218=0,"",(VLOOKUP($C218,REV!$C:$AA,25,0)-'TRADE IN'!$F218))</f>
        <v>7299</v>
      </c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7"/>
      <c r="AW218" s="58" t="str">
        <f>REV!AW218</f>
        <v>03.11.2026</v>
      </c>
      <c r="AX218" s="147" t="str">
        <f>VLOOKUP(C218,REV!C:AX,48,0)</f>
        <v>5G</v>
      </c>
    </row>
    <row r="219" spans="1:50" ht="22.5" customHeight="1">
      <c r="A219" s="51" t="s">
        <v>63</v>
      </c>
      <c r="B219" s="52" t="s">
        <v>64</v>
      </c>
      <c r="C219" s="53">
        <v>4017738</v>
      </c>
      <c r="D219" s="65" t="s">
        <v>359</v>
      </c>
      <c r="E219" s="65" t="s">
        <v>360</v>
      </c>
      <c r="F219" s="55"/>
      <c r="G219" s="55"/>
      <c r="H219" s="55"/>
      <c r="I219" s="55"/>
      <c r="J219" s="56">
        <f>IF(VLOOKUP($C219,REV!$C:$AA,8,0)-'TRADE IN'!$F219=0,"",(VLOOKUP($C219,REV!$C:$AA,8,0)-'TRADE IN'!$F219))</f>
        <v>6599</v>
      </c>
      <c r="K219" s="56">
        <f>IF(VLOOKUP($C219,REV!$C:$AA,9,0)-'TRADE IN'!$F219=0,"",(VLOOKUP($C219,REV!$C:$AA,9,0)-'TRADE IN'!$F219))</f>
        <v>6599</v>
      </c>
      <c r="L219" s="56">
        <f>IF(VLOOKUP($C219,REV!$C:$AA,10,0)-'TRADE IN'!$F219=0,"",(VLOOKUP($C219,REV!$C:$AA,10,0)-'TRADE IN'!$F219))</f>
        <v>6599</v>
      </c>
      <c r="M219" s="56">
        <f>IF(VLOOKUP($C219,REV!$C:$AA,11,0)-'TRADE IN'!$F219=0,"",(VLOOKUP($C219,REV!$C:$AA,11,0)-'TRADE IN'!$F219))</f>
        <v>6599</v>
      </c>
      <c r="N219" s="56">
        <f>IF(VLOOKUP($C219,REV!$C:$AA,12,0)-'TRADE IN'!$F219=0,"",(VLOOKUP($C219,REV!$C:$AA,12,0)-'TRADE IN'!$F219))</f>
        <v>6599</v>
      </c>
      <c r="O219" s="56">
        <f>IF(VLOOKUP($C219,REV!$C:$AA,13,0)-'TRADE IN'!$F219=0,"",(VLOOKUP($C219,REV!$C:$AA,13,0)-'TRADE IN'!$F219))</f>
        <v>6499</v>
      </c>
      <c r="P219" s="56">
        <f>IF(VLOOKUP($C219,REV!$C:$AA,14,0)-'TRADE IN'!$F219=0,"",(VLOOKUP($C219,REV!$C:$AA,14,0)-'TRADE IN'!$F219))</f>
        <v>6399</v>
      </c>
      <c r="Q219" s="56">
        <f>IF(VLOOKUP($C219,REV!$C:$AA,15,0)-'TRADE IN'!$F219=0,"",(VLOOKUP($C219,REV!$C:$AA,15,0)-'TRADE IN'!$F219))</f>
        <v>5999</v>
      </c>
      <c r="R219" s="56">
        <f>IF(VLOOKUP($C219,REV!$C:$AA,16,0)-'TRADE IN'!$F219=0,"",(VLOOKUP($C219,REV!$C:$AA,16,0)-'TRADE IN'!$F219))</f>
        <v>6499</v>
      </c>
      <c r="S219" s="56">
        <f>IF(VLOOKUP($C219,REV!$C:$AA,17,0)-'TRADE IN'!$F219=0,"",(VLOOKUP($C219,REV!$C:$AA,17,0)-'TRADE IN'!$F219))</f>
        <v>6399</v>
      </c>
      <c r="T219" s="56">
        <f>IF(VLOOKUP($C219,REV!$C:$AA,18,0)-'TRADE IN'!$F219=0,"",(VLOOKUP($C219,REV!$C:$AA,18,0)-'TRADE IN'!$F219))</f>
        <v>5999</v>
      </c>
      <c r="U219" s="56">
        <f>IF(VLOOKUP($C219,REV!$C:$AA,19,0)-'TRADE IN'!$F219=0,"",(VLOOKUP($C219,REV!$C:$AA,19,0)-'TRADE IN'!$F219))</f>
        <v>5999</v>
      </c>
      <c r="V219" s="56">
        <f>IF(VLOOKUP($C219,REV!$C:$AA,20,0)-'TRADE IN'!$F219=0,"",(VLOOKUP($C219,REV!$C:$AA,20,0)-'TRADE IN'!$F219))</f>
        <v>5999</v>
      </c>
      <c r="W219" s="56">
        <f>IF(VLOOKUP($C219,REV!$C:$AA,21,0)-'TRADE IN'!$F219=0,"",(VLOOKUP($C219,REV!$C:$AA,21,0)-'TRADE IN'!$F219))</f>
        <v>5999</v>
      </c>
      <c r="X219" s="56">
        <f>IF(VLOOKUP($C219,REV!$C:$AA,22,0)-'TRADE IN'!$F219=0,"",(VLOOKUP($C219,REV!$C:$AA,22,0)-'TRADE IN'!$F219))</f>
        <v>5899</v>
      </c>
      <c r="Y219" s="56">
        <f>IF(VLOOKUP($C219,REV!$C:$AA,23,0)-'TRADE IN'!$F219=0,"",(VLOOKUP($C219,REV!$C:$AA,23,0)-'TRADE IN'!$F219))</f>
        <v>5199</v>
      </c>
      <c r="Z219" s="56">
        <f>IF(VLOOKUP($C219,REV!$C:$AA,24,0)-'TRADE IN'!$F219=0,"",(VLOOKUP($C219,REV!$C:$AA,24,0)-'TRADE IN'!$F219))</f>
        <v>5199</v>
      </c>
      <c r="AA219" s="56">
        <f>IF(VLOOKUP($C219,REV!$C:$AA,25,0)-'TRADE IN'!$F219=0,"",(VLOOKUP($C219,REV!$C:$AA,25,0)-'TRADE IN'!$F219))</f>
        <v>4999</v>
      </c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7"/>
      <c r="AW219" s="58" t="str">
        <f>REV!AW219</f>
        <v>03.11.2026</v>
      </c>
      <c r="AX219" s="147" t="str">
        <f>VLOOKUP(C219,REV!C:AX,48,0)</f>
        <v>5G</v>
      </c>
    </row>
    <row r="220" spans="1:50" ht="22.5" customHeight="1">
      <c r="A220" s="64" t="s">
        <v>241</v>
      </c>
      <c r="B220" s="52" t="s">
        <v>64</v>
      </c>
      <c r="C220" s="53">
        <v>4014215</v>
      </c>
      <c r="D220" s="65" t="s">
        <v>361</v>
      </c>
      <c r="E220" s="65" t="s">
        <v>362</v>
      </c>
      <c r="F220" s="55"/>
      <c r="G220" s="55"/>
      <c r="H220" s="55"/>
      <c r="I220" s="55"/>
      <c r="J220" s="56">
        <f>IF(VLOOKUP($C220,REV!$C:$AA,8,0)-'TRADE IN'!$F220=0,"",(VLOOKUP($C220,REV!$C:$AA,8,0)-'TRADE IN'!$F220))</f>
        <v>299</v>
      </c>
      <c r="K220" s="56">
        <f>IF(VLOOKUP($C220,REV!$C:$AA,9,0)-'TRADE IN'!$F220=0,"",(VLOOKUP($C220,REV!$C:$AA,9,0)-'TRADE IN'!$F220))</f>
        <v>299</v>
      </c>
      <c r="L220" s="56">
        <f>IF(VLOOKUP($C220,REV!$C:$AA,10,0)-'TRADE IN'!$F220=0,"",(VLOOKUP($C220,REV!$C:$AA,10,0)-'TRADE IN'!$F220))</f>
        <v>299</v>
      </c>
      <c r="M220" s="56">
        <f>IF(VLOOKUP($C220,REV!$C:$AA,11,0)-'TRADE IN'!$F220=0,"",(VLOOKUP($C220,REV!$C:$AA,11,0)-'TRADE IN'!$F220))</f>
        <v>299</v>
      </c>
      <c r="N220" s="56">
        <f>IF(VLOOKUP($C220,REV!$C:$AA,12,0)-'TRADE IN'!$F220=0,"",(VLOOKUP($C220,REV!$C:$AA,12,0)-'TRADE IN'!$F220))</f>
        <v>299</v>
      </c>
      <c r="O220" s="56">
        <f>IF(VLOOKUP($C220,REV!$C:$AA,13,0)-'TRADE IN'!$F220=0,"",(VLOOKUP($C220,REV!$C:$AA,13,0)-'TRADE IN'!$F220))</f>
        <v>299</v>
      </c>
      <c r="P220" s="56">
        <f>IF(VLOOKUP($C220,REV!$C:$AA,14,0)-'TRADE IN'!$F220=0,"",(VLOOKUP($C220,REV!$C:$AA,14,0)-'TRADE IN'!$F220))</f>
        <v>299</v>
      </c>
      <c r="Q220" s="56">
        <f>IF(VLOOKUP($C220,REV!$C:$AA,15,0)-'TRADE IN'!$F220=0,"",(VLOOKUP($C220,REV!$C:$AA,15,0)-'TRADE IN'!$F220))</f>
        <v>299</v>
      </c>
      <c r="R220" s="56">
        <f>IF(VLOOKUP($C220,REV!$C:$AA,16,0)-'TRADE IN'!$F220=0,"",(VLOOKUP($C220,REV!$C:$AA,16,0)-'TRADE IN'!$F220))</f>
        <v>299</v>
      </c>
      <c r="S220" s="56">
        <f>IF(VLOOKUP($C220,REV!$C:$AA,17,0)-'TRADE IN'!$F220=0,"",(VLOOKUP($C220,REV!$C:$AA,17,0)-'TRADE IN'!$F220))</f>
        <v>299</v>
      </c>
      <c r="T220" s="56">
        <f>IF(VLOOKUP($C220,REV!$C:$AA,18,0)-'TRADE IN'!$F220=0,"",(VLOOKUP($C220,REV!$C:$AA,18,0)-'TRADE IN'!$F220))</f>
        <v>299</v>
      </c>
      <c r="U220" s="56">
        <f>IF(VLOOKUP($C220,REV!$C:$AA,19,0)-'TRADE IN'!$F220=0,"",(VLOOKUP($C220,REV!$C:$AA,19,0)-'TRADE IN'!$F220))</f>
        <v>299</v>
      </c>
      <c r="V220" s="56">
        <f>IF(VLOOKUP($C220,REV!$C:$AA,20,0)-'TRADE IN'!$F220=0,"",(VLOOKUP($C220,REV!$C:$AA,20,0)-'TRADE IN'!$F220))</f>
        <v>299</v>
      </c>
      <c r="W220" s="56">
        <f>IF(VLOOKUP($C220,REV!$C:$AA,21,0)-'TRADE IN'!$F220=0,"",(VLOOKUP($C220,REV!$C:$AA,21,0)-'TRADE IN'!$F220))</f>
        <v>299</v>
      </c>
      <c r="X220" s="56">
        <f>IF(VLOOKUP($C220,REV!$C:$AA,22,0)-'TRADE IN'!$F220=0,"",(VLOOKUP($C220,REV!$C:$AA,22,0)-'TRADE IN'!$F220))</f>
        <v>299</v>
      </c>
      <c r="Y220" s="56">
        <f>IF(VLOOKUP($C220,REV!$C:$AA,23,0)-'TRADE IN'!$F220=0,"",(VLOOKUP($C220,REV!$C:$AA,23,0)-'TRADE IN'!$F220))</f>
        <v>299</v>
      </c>
      <c r="Z220" s="56">
        <f>IF(VLOOKUP($C220,REV!$C:$AA,24,0)-'TRADE IN'!$F220=0,"",(VLOOKUP($C220,REV!$C:$AA,24,0)-'TRADE IN'!$F220))</f>
        <v>299</v>
      </c>
      <c r="AA220" s="56">
        <f>IF(VLOOKUP($C220,REV!$C:$AA,25,0)-'TRADE IN'!$F220=0,"",(VLOOKUP($C220,REV!$C:$AA,25,0)-'TRADE IN'!$F220))</f>
        <v>299</v>
      </c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7"/>
      <c r="AW220" s="58" t="str">
        <f>REV!AW220</f>
        <v>03.11.2026</v>
      </c>
      <c r="AX220" s="147" t="str">
        <f>VLOOKUP(C220,REV!C:AX,48,0)</f>
        <v>4G</v>
      </c>
    </row>
    <row r="221" spans="1:50" ht="22.5" customHeight="1">
      <c r="A221" s="64" t="s">
        <v>241</v>
      </c>
      <c r="B221" s="52" t="s">
        <v>64</v>
      </c>
      <c r="C221" s="53">
        <v>4014569</v>
      </c>
      <c r="D221" s="65" t="s">
        <v>363</v>
      </c>
      <c r="E221" s="65" t="s">
        <v>364</v>
      </c>
      <c r="F221" s="55"/>
      <c r="G221" s="55"/>
      <c r="H221" s="55"/>
      <c r="I221" s="55"/>
      <c r="J221" s="56">
        <f>IF(VLOOKUP($C221,REV!$C:$AA,8,0)-'TRADE IN'!$F221=0,"",(VLOOKUP($C221,REV!$C:$AA,8,0)-'TRADE IN'!$F221))</f>
        <v>199</v>
      </c>
      <c r="K221" s="56">
        <f>IF(VLOOKUP($C221,REV!$C:$AA,9,0)-'TRADE IN'!$F221=0,"",(VLOOKUP($C221,REV!$C:$AA,9,0)-'TRADE IN'!$F221))</f>
        <v>199</v>
      </c>
      <c r="L221" s="56">
        <f>IF(VLOOKUP($C221,REV!$C:$AA,10,0)-'TRADE IN'!$F221=0,"",(VLOOKUP($C221,REV!$C:$AA,10,0)-'TRADE IN'!$F221))</f>
        <v>199</v>
      </c>
      <c r="M221" s="56">
        <f>IF(VLOOKUP($C221,REV!$C:$AA,11,0)-'TRADE IN'!$F221=0,"",(VLOOKUP($C221,REV!$C:$AA,11,0)-'TRADE IN'!$F221))</f>
        <v>199</v>
      </c>
      <c r="N221" s="56">
        <f>IF(VLOOKUP($C221,REV!$C:$AA,12,0)-'TRADE IN'!$F221=0,"",(VLOOKUP($C221,REV!$C:$AA,12,0)-'TRADE IN'!$F221))</f>
        <v>199</v>
      </c>
      <c r="O221" s="56">
        <f>IF(VLOOKUP($C221,REV!$C:$AA,13,0)-'TRADE IN'!$F221=0,"",(VLOOKUP($C221,REV!$C:$AA,13,0)-'TRADE IN'!$F221))</f>
        <v>199</v>
      </c>
      <c r="P221" s="56">
        <f>IF(VLOOKUP($C221,REV!$C:$AA,14,0)-'TRADE IN'!$F221=0,"",(VLOOKUP($C221,REV!$C:$AA,14,0)-'TRADE IN'!$F221))</f>
        <v>199</v>
      </c>
      <c r="Q221" s="56">
        <f>IF(VLOOKUP($C221,REV!$C:$AA,15,0)-'TRADE IN'!$F221=0,"",(VLOOKUP($C221,REV!$C:$AA,15,0)-'TRADE IN'!$F221))</f>
        <v>199</v>
      </c>
      <c r="R221" s="56">
        <f>IF(VLOOKUP($C221,REV!$C:$AA,16,0)-'TRADE IN'!$F221=0,"",(VLOOKUP($C221,REV!$C:$AA,16,0)-'TRADE IN'!$F221))</f>
        <v>199</v>
      </c>
      <c r="S221" s="56">
        <f>IF(VLOOKUP($C221,REV!$C:$AA,17,0)-'TRADE IN'!$F221=0,"",(VLOOKUP($C221,REV!$C:$AA,17,0)-'TRADE IN'!$F221))</f>
        <v>199</v>
      </c>
      <c r="T221" s="56">
        <f>IF(VLOOKUP($C221,REV!$C:$AA,18,0)-'TRADE IN'!$F221=0,"",(VLOOKUP($C221,REV!$C:$AA,18,0)-'TRADE IN'!$F221))</f>
        <v>199</v>
      </c>
      <c r="U221" s="56">
        <f>IF(VLOOKUP($C221,REV!$C:$AA,19,0)-'TRADE IN'!$F221=0,"",(VLOOKUP($C221,REV!$C:$AA,19,0)-'TRADE IN'!$F221))</f>
        <v>199</v>
      </c>
      <c r="V221" s="56">
        <f>IF(VLOOKUP($C221,REV!$C:$AA,20,0)-'TRADE IN'!$F221=0,"",(VLOOKUP($C221,REV!$C:$AA,20,0)-'TRADE IN'!$F221))</f>
        <v>199</v>
      </c>
      <c r="W221" s="56">
        <f>IF(VLOOKUP($C221,REV!$C:$AA,21,0)-'TRADE IN'!$F221=0,"",(VLOOKUP($C221,REV!$C:$AA,21,0)-'TRADE IN'!$F221))</f>
        <v>199</v>
      </c>
      <c r="X221" s="56">
        <f>IF(VLOOKUP($C221,REV!$C:$AA,22,0)-'TRADE IN'!$F221=0,"",(VLOOKUP($C221,REV!$C:$AA,22,0)-'TRADE IN'!$F221))</f>
        <v>199</v>
      </c>
      <c r="Y221" s="56">
        <f>IF(VLOOKUP($C221,REV!$C:$AA,23,0)-'TRADE IN'!$F221=0,"",(VLOOKUP($C221,REV!$C:$AA,23,0)-'TRADE IN'!$F221))</f>
        <v>199</v>
      </c>
      <c r="Z221" s="56">
        <f>IF(VLOOKUP($C221,REV!$C:$AA,24,0)-'TRADE IN'!$F221=0,"",(VLOOKUP($C221,REV!$C:$AA,24,0)-'TRADE IN'!$F221))</f>
        <v>199</v>
      </c>
      <c r="AA221" s="56">
        <f>IF(VLOOKUP($C221,REV!$C:$AA,25,0)-'TRADE IN'!$F221=0,"",(VLOOKUP($C221,REV!$C:$AA,25,0)-'TRADE IN'!$F221))</f>
        <v>199</v>
      </c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7"/>
      <c r="AW221" s="58" t="str">
        <f>REV!AW221</f>
        <v>03.11.2026</v>
      </c>
      <c r="AX221" s="147" t="str">
        <f>VLOOKUP(C221,REV!C:AX,48,0)</f>
        <v>4G</v>
      </c>
    </row>
    <row r="222" spans="1:50" ht="22.5" customHeight="1">
      <c r="A222" s="64" t="s">
        <v>241</v>
      </c>
      <c r="B222" s="52" t="s">
        <v>64</v>
      </c>
      <c r="C222" s="53">
        <v>4017883</v>
      </c>
      <c r="D222" s="68" t="s">
        <v>365</v>
      </c>
      <c r="E222" s="65" t="s">
        <v>366</v>
      </c>
      <c r="F222" s="55"/>
      <c r="G222" s="55"/>
      <c r="H222" s="55"/>
      <c r="I222" s="55"/>
      <c r="J222" s="56">
        <f>IF(VLOOKUP($C222,REV!$C:$AA,8,0)-'TRADE IN'!$F222=0,"",(VLOOKUP($C222,REV!$C:$AA,8,0)-'TRADE IN'!$F222))</f>
        <v>1399</v>
      </c>
      <c r="K222" s="56">
        <f>IF(VLOOKUP($C222,REV!$C:$AA,9,0)-'TRADE IN'!$F222=0,"",(VLOOKUP($C222,REV!$C:$AA,9,0)-'TRADE IN'!$F222))</f>
        <v>1399</v>
      </c>
      <c r="L222" s="56">
        <f>IF(VLOOKUP($C222,REV!$C:$AA,10,0)-'TRADE IN'!$F222=0,"",(VLOOKUP($C222,REV!$C:$AA,10,0)-'TRADE IN'!$F222))</f>
        <v>1399</v>
      </c>
      <c r="M222" s="56">
        <f>IF(VLOOKUP($C222,REV!$C:$AA,11,0)-'TRADE IN'!$F222=0,"",(VLOOKUP($C222,REV!$C:$AA,11,0)-'TRADE IN'!$F222))</f>
        <v>1399</v>
      </c>
      <c r="N222" s="56">
        <f>IF(VLOOKUP($C222,REV!$C:$AA,12,0)-'TRADE IN'!$F222=0,"",(VLOOKUP($C222,REV!$C:$AA,12,0)-'TRADE IN'!$F222))</f>
        <v>1399</v>
      </c>
      <c r="O222" s="56">
        <f>IF(VLOOKUP($C222,REV!$C:$AA,13,0)-'TRADE IN'!$F222=0,"",(VLOOKUP($C222,REV!$C:$AA,13,0)-'TRADE IN'!$F222))</f>
        <v>1299</v>
      </c>
      <c r="P222" s="56">
        <f>IF(VLOOKUP($C222,REV!$C:$AA,14,0)-'TRADE IN'!$F222=0,"",(VLOOKUP($C222,REV!$C:$AA,14,0)-'TRADE IN'!$F222))</f>
        <v>1199</v>
      </c>
      <c r="Q222" s="56">
        <f>IF(VLOOKUP($C222,REV!$C:$AA,15,0)-'TRADE IN'!$F222=0,"",(VLOOKUP($C222,REV!$C:$AA,15,0)-'TRADE IN'!$F222))</f>
        <v>899</v>
      </c>
      <c r="R222" s="56">
        <f>IF(VLOOKUP($C222,REV!$C:$AA,16,0)-'TRADE IN'!$F222=0,"",(VLOOKUP($C222,REV!$C:$AA,16,0)-'TRADE IN'!$F222))</f>
        <v>1299</v>
      </c>
      <c r="S222" s="56">
        <f>IF(VLOOKUP($C222,REV!$C:$AA,17,0)-'TRADE IN'!$F222=0,"",(VLOOKUP($C222,REV!$C:$AA,17,0)-'TRADE IN'!$F222))</f>
        <v>1199</v>
      </c>
      <c r="T222" s="56">
        <f>IF(VLOOKUP($C222,REV!$C:$AA,18,0)-'TRADE IN'!$F222=0,"",(VLOOKUP($C222,REV!$C:$AA,18,0)-'TRADE IN'!$F222))</f>
        <v>899</v>
      </c>
      <c r="U222" s="56">
        <f>IF(VLOOKUP($C222,REV!$C:$AA,19,0)-'TRADE IN'!$F222=0,"",(VLOOKUP($C222,REV!$C:$AA,19,0)-'TRADE IN'!$F222))</f>
        <v>899</v>
      </c>
      <c r="V222" s="56">
        <f>IF(VLOOKUP($C222,REV!$C:$AA,20,0)-'TRADE IN'!$F222=0,"",(VLOOKUP($C222,REV!$C:$AA,20,0)-'TRADE IN'!$F222))</f>
        <v>899</v>
      </c>
      <c r="W222" s="56">
        <f>IF(VLOOKUP($C222,REV!$C:$AA,21,0)-'TRADE IN'!$F222=0,"",(VLOOKUP($C222,REV!$C:$AA,21,0)-'TRADE IN'!$F222))</f>
        <v>899</v>
      </c>
      <c r="X222" s="56">
        <f>IF(VLOOKUP($C222,REV!$C:$AA,22,0)-'TRADE IN'!$F222=0,"",(VLOOKUP($C222,REV!$C:$AA,22,0)-'TRADE IN'!$F222))</f>
        <v>799</v>
      </c>
      <c r="Y222" s="56">
        <f>IF(VLOOKUP($C222,REV!$C:$AA,23,0)-'TRADE IN'!$F222=0,"",(VLOOKUP($C222,REV!$C:$AA,23,0)-'TRADE IN'!$F222))</f>
        <v>699</v>
      </c>
      <c r="Z222" s="56">
        <f>IF(VLOOKUP($C222,REV!$C:$AA,24,0)-'TRADE IN'!$F222=0,"",(VLOOKUP($C222,REV!$C:$AA,24,0)-'TRADE IN'!$F222))</f>
        <v>699</v>
      </c>
      <c r="AA222" s="56">
        <f>IF(VLOOKUP($C222,REV!$C:$AA,25,0)-'TRADE IN'!$F222=0,"",(VLOOKUP($C222,REV!$C:$AA,25,0)-'TRADE IN'!$F222))</f>
        <v>699</v>
      </c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7"/>
      <c r="AW222" s="58" t="str">
        <f>REV!AW222</f>
        <v>03.11.2026</v>
      </c>
      <c r="AX222" s="147" t="str">
        <f>VLOOKUP(C222,REV!C:AX,48,0)</f>
        <v>5G</v>
      </c>
    </row>
    <row r="223" spans="1:50" ht="22.5" customHeight="1">
      <c r="A223" s="64" t="s">
        <v>241</v>
      </c>
      <c r="B223" s="52" t="s">
        <v>64</v>
      </c>
      <c r="C223" s="53">
        <v>4014160</v>
      </c>
      <c r="D223" s="68" t="s">
        <v>367</v>
      </c>
      <c r="E223" s="65" t="s">
        <v>368</v>
      </c>
      <c r="F223" s="55"/>
      <c r="G223" s="55"/>
      <c r="H223" s="55"/>
      <c r="I223" s="55"/>
      <c r="J223" s="56">
        <f>IF(VLOOKUP($C223,REV!$C:$AA,8,0)-'TRADE IN'!$F223=0,"",(VLOOKUP($C223,REV!$C:$AA,8,0)-'TRADE IN'!$F223))</f>
        <v>149</v>
      </c>
      <c r="K223" s="56">
        <f>IF(VLOOKUP($C223,REV!$C:$AA,9,0)-'TRADE IN'!$F223=0,"",(VLOOKUP($C223,REV!$C:$AA,9,0)-'TRADE IN'!$F223))</f>
        <v>149</v>
      </c>
      <c r="L223" s="56">
        <f>IF(VLOOKUP($C223,REV!$C:$AA,10,0)-'TRADE IN'!$F223=0,"",(VLOOKUP($C223,REV!$C:$AA,10,0)-'TRADE IN'!$F223))</f>
        <v>149</v>
      </c>
      <c r="M223" s="56">
        <f>IF(VLOOKUP($C223,REV!$C:$AA,11,0)-'TRADE IN'!$F223=0,"",(VLOOKUP($C223,REV!$C:$AA,11,0)-'TRADE IN'!$F223))</f>
        <v>149</v>
      </c>
      <c r="N223" s="56">
        <f>IF(VLOOKUP($C223,REV!$C:$AA,12,0)-'TRADE IN'!$F223=0,"",(VLOOKUP($C223,REV!$C:$AA,12,0)-'TRADE IN'!$F223))</f>
        <v>149</v>
      </c>
      <c r="O223" s="56">
        <f>IF(VLOOKUP($C223,REV!$C:$AA,13,0)-'TRADE IN'!$F223=0,"",(VLOOKUP($C223,REV!$C:$AA,13,0)-'TRADE IN'!$F223))</f>
        <v>149</v>
      </c>
      <c r="P223" s="56">
        <f>IF(VLOOKUP($C223,REV!$C:$AA,14,0)-'TRADE IN'!$F223=0,"",(VLOOKUP($C223,REV!$C:$AA,14,0)-'TRADE IN'!$F223))</f>
        <v>149</v>
      </c>
      <c r="Q223" s="56">
        <f>IF(VLOOKUP($C223,REV!$C:$AA,15,0)-'TRADE IN'!$F223=0,"",(VLOOKUP($C223,REV!$C:$AA,15,0)-'TRADE IN'!$F223))</f>
        <v>149</v>
      </c>
      <c r="R223" s="56">
        <f>IF(VLOOKUP($C223,REV!$C:$AA,16,0)-'TRADE IN'!$F223=0,"",(VLOOKUP($C223,REV!$C:$AA,16,0)-'TRADE IN'!$F223))</f>
        <v>149</v>
      </c>
      <c r="S223" s="56">
        <f>IF(VLOOKUP($C223,REV!$C:$AA,17,0)-'TRADE IN'!$F223=0,"",(VLOOKUP($C223,REV!$C:$AA,17,0)-'TRADE IN'!$F223))</f>
        <v>149</v>
      </c>
      <c r="T223" s="56">
        <f>IF(VLOOKUP($C223,REV!$C:$AA,18,0)-'TRADE IN'!$F223=0,"",(VLOOKUP($C223,REV!$C:$AA,18,0)-'TRADE IN'!$F223))</f>
        <v>149</v>
      </c>
      <c r="U223" s="56">
        <f>IF(VLOOKUP($C223,REV!$C:$AA,19,0)-'TRADE IN'!$F223=0,"",(VLOOKUP($C223,REV!$C:$AA,19,0)-'TRADE IN'!$F223))</f>
        <v>149</v>
      </c>
      <c r="V223" s="56">
        <f>IF(VLOOKUP($C223,REV!$C:$AA,20,0)-'TRADE IN'!$F223=0,"",(VLOOKUP($C223,REV!$C:$AA,20,0)-'TRADE IN'!$F223))</f>
        <v>149</v>
      </c>
      <c r="W223" s="56">
        <f>IF(VLOOKUP($C223,REV!$C:$AA,21,0)-'TRADE IN'!$F223=0,"",(VLOOKUP($C223,REV!$C:$AA,21,0)-'TRADE IN'!$F223))</f>
        <v>149</v>
      </c>
      <c r="X223" s="56">
        <f>IF(VLOOKUP($C223,REV!$C:$AA,22,0)-'TRADE IN'!$F223=0,"",(VLOOKUP($C223,REV!$C:$AA,22,0)-'TRADE IN'!$F223))</f>
        <v>149</v>
      </c>
      <c r="Y223" s="56">
        <f>IF(VLOOKUP($C223,REV!$C:$AA,23,0)-'TRADE IN'!$F223=0,"",(VLOOKUP($C223,REV!$C:$AA,23,0)-'TRADE IN'!$F223))</f>
        <v>149</v>
      </c>
      <c r="Z223" s="56">
        <f>IF(VLOOKUP($C223,REV!$C:$AA,24,0)-'TRADE IN'!$F223=0,"",(VLOOKUP($C223,REV!$C:$AA,24,0)-'TRADE IN'!$F223))</f>
        <v>149</v>
      </c>
      <c r="AA223" s="56">
        <f>IF(VLOOKUP($C223,REV!$C:$AA,25,0)-'TRADE IN'!$F223=0,"",(VLOOKUP($C223,REV!$C:$AA,25,0)-'TRADE IN'!$F223))</f>
        <v>149</v>
      </c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7"/>
      <c r="AW223" s="58" t="str">
        <f>REV!AW223</f>
        <v>03.11.2026</v>
      </c>
      <c r="AX223" s="147" t="str">
        <f>VLOOKUP(C223,REV!C:AX,48,0)</f>
        <v>4G</v>
      </c>
    </row>
    <row r="224" spans="1:50" ht="22.5" customHeight="1">
      <c r="A224" s="64" t="s">
        <v>241</v>
      </c>
      <c r="B224" s="52" t="s">
        <v>64</v>
      </c>
      <c r="C224" s="53">
        <v>4015002</v>
      </c>
      <c r="D224" s="65" t="s">
        <v>369</v>
      </c>
      <c r="E224" s="65" t="s">
        <v>370</v>
      </c>
      <c r="F224" s="55"/>
      <c r="G224" s="55"/>
      <c r="H224" s="55"/>
      <c r="I224" s="55"/>
      <c r="J224" s="56">
        <f>IF(VLOOKUP($C224,REV!$C:$AA,8,0)-'TRADE IN'!$F224=0,"",(VLOOKUP($C224,REV!$C:$AA,8,0)-'TRADE IN'!$F224))</f>
        <v>349</v>
      </c>
      <c r="K224" s="56">
        <f>IF(VLOOKUP($C224,REV!$C:$AA,9,0)-'TRADE IN'!$F224=0,"",(VLOOKUP($C224,REV!$C:$AA,9,0)-'TRADE IN'!$F224))</f>
        <v>349</v>
      </c>
      <c r="L224" s="56">
        <f>IF(VLOOKUP($C224,REV!$C:$AA,10,0)-'TRADE IN'!$F224=0,"",(VLOOKUP($C224,REV!$C:$AA,10,0)-'TRADE IN'!$F224))</f>
        <v>349</v>
      </c>
      <c r="M224" s="56">
        <f>IF(VLOOKUP($C224,REV!$C:$AA,11,0)-'TRADE IN'!$F224=0,"",(VLOOKUP($C224,REV!$C:$AA,11,0)-'TRADE IN'!$F224))</f>
        <v>349</v>
      </c>
      <c r="N224" s="56">
        <f>IF(VLOOKUP($C224,REV!$C:$AA,12,0)-'TRADE IN'!$F224=0,"",(VLOOKUP($C224,REV!$C:$AA,12,0)-'TRADE IN'!$F224))</f>
        <v>349</v>
      </c>
      <c r="O224" s="56">
        <f>IF(VLOOKUP($C224,REV!$C:$AA,13,0)-'TRADE IN'!$F224=0,"",(VLOOKUP($C224,REV!$C:$AA,13,0)-'TRADE IN'!$F224))</f>
        <v>349</v>
      </c>
      <c r="P224" s="56">
        <f>IF(VLOOKUP($C224,REV!$C:$AA,14,0)-'TRADE IN'!$F224=0,"",(VLOOKUP($C224,REV!$C:$AA,14,0)-'TRADE IN'!$F224))</f>
        <v>349</v>
      </c>
      <c r="Q224" s="56">
        <f>IF(VLOOKUP($C224,REV!$C:$AA,15,0)-'TRADE IN'!$F224=0,"",(VLOOKUP($C224,REV!$C:$AA,15,0)-'TRADE IN'!$F224))</f>
        <v>349</v>
      </c>
      <c r="R224" s="56">
        <f>IF(VLOOKUP($C224,REV!$C:$AA,16,0)-'TRADE IN'!$F224=0,"",(VLOOKUP($C224,REV!$C:$AA,16,0)-'TRADE IN'!$F224))</f>
        <v>349</v>
      </c>
      <c r="S224" s="56">
        <f>IF(VLOOKUP($C224,REV!$C:$AA,17,0)-'TRADE IN'!$F224=0,"",(VLOOKUP($C224,REV!$C:$AA,17,0)-'TRADE IN'!$F224))</f>
        <v>349</v>
      </c>
      <c r="T224" s="56">
        <f>IF(VLOOKUP($C224,REV!$C:$AA,18,0)-'TRADE IN'!$F224=0,"",(VLOOKUP($C224,REV!$C:$AA,18,0)-'TRADE IN'!$F224))</f>
        <v>349</v>
      </c>
      <c r="U224" s="56">
        <f>IF(VLOOKUP($C224,REV!$C:$AA,19,0)-'TRADE IN'!$F224=0,"",(VLOOKUP($C224,REV!$C:$AA,19,0)-'TRADE IN'!$F224))</f>
        <v>349</v>
      </c>
      <c r="V224" s="56">
        <f>IF(VLOOKUP($C224,REV!$C:$AA,20,0)-'TRADE IN'!$F224=0,"",(VLOOKUP($C224,REV!$C:$AA,20,0)-'TRADE IN'!$F224))</f>
        <v>349</v>
      </c>
      <c r="W224" s="56">
        <f>IF(VLOOKUP($C224,REV!$C:$AA,21,0)-'TRADE IN'!$F224=0,"",(VLOOKUP($C224,REV!$C:$AA,21,0)-'TRADE IN'!$F224))</f>
        <v>349</v>
      </c>
      <c r="X224" s="56">
        <f>IF(VLOOKUP($C224,REV!$C:$AA,22,0)-'TRADE IN'!$F224=0,"",(VLOOKUP($C224,REV!$C:$AA,22,0)-'TRADE IN'!$F224))</f>
        <v>349</v>
      </c>
      <c r="Y224" s="56">
        <f>IF(VLOOKUP($C224,REV!$C:$AA,23,0)-'TRADE IN'!$F224=0,"",(VLOOKUP($C224,REV!$C:$AA,23,0)-'TRADE IN'!$F224))</f>
        <v>349</v>
      </c>
      <c r="Z224" s="56">
        <f>IF(VLOOKUP($C224,REV!$C:$AA,24,0)-'TRADE IN'!$F224=0,"",(VLOOKUP($C224,REV!$C:$AA,24,0)-'TRADE IN'!$F224))</f>
        <v>349</v>
      </c>
      <c r="AA224" s="56">
        <f>IF(VLOOKUP($C224,REV!$C:$AA,25,0)-'TRADE IN'!$F224=0,"",(VLOOKUP($C224,REV!$C:$AA,25,0)-'TRADE IN'!$F224))</f>
        <v>349</v>
      </c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7"/>
      <c r="AW224" s="58" t="str">
        <f>REV!AW224</f>
        <v>03.11.2026</v>
      </c>
      <c r="AX224" s="147" t="str">
        <f>VLOOKUP(C224,REV!C:AX,48,0)</f>
        <v>4G</v>
      </c>
    </row>
    <row r="225" spans="1:50" ht="22.5" customHeight="1">
      <c r="A225" s="64" t="s">
        <v>241</v>
      </c>
      <c r="B225" s="52" t="s">
        <v>64</v>
      </c>
      <c r="C225" s="53">
        <v>4015007</v>
      </c>
      <c r="D225" s="65" t="s">
        <v>369</v>
      </c>
      <c r="E225" s="65" t="s">
        <v>371</v>
      </c>
      <c r="F225" s="55"/>
      <c r="G225" s="55"/>
      <c r="H225" s="55"/>
      <c r="I225" s="55"/>
      <c r="J225" s="56">
        <f>IF(VLOOKUP($C225,REV!$C:$AA,8,0)-'TRADE IN'!$F225=0,"",(VLOOKUP($C225,REV!$C:$AA,8,0)-'TRADE IN'!$F225))</f>
        <v>349</v>
      </c>
      <c r="K225" s="56">
        <f>IF(VLOOKUP($C225,REV!$C:$AA,9,0)-'TRADE IN'!$F225=0,"",(VLOOKUP($C225,REV!$C:$AA,9,0)-'TRADE IN'!$F225))</f>
        <v>349</v>
      </c>
      <c r="L225" s="56">
        <f>IF(VLOOKUP($C225,REV!$C:$AA,10,0)-'TRADE IN'!$F225=0,"",(VLOOKUP($C225,REV!$C:$AA,10,0)-'TRADE IN'!$F225))</f>
        <v>349</v>
      </c>
      <c r="M225" s="56">
        <f>IF(VLOOKUP($C225,REV!$C:$AA,11,0)-'TRADE IN'!$F225=0,"",(VLOOKUP($C225,REV!$C:$AA,11,0)-'TRADE IN'!$F225))</f>
        <v>349</v>
      </c>
      <c r="N225" s="56">
        <f>IF(VLOOKUP($C225,REV!$C:$AA,12,0)-'TRADE IN'!$F225=0,"",(VLOOKUP($C225,REV!$C:$AA,12,0)-'TRADE IN'!$F225))</f>
        <v>349</v>
      </c>
      <c r="O225" s="56">
        <f>IF(VLOOKUP($C225,REV!$C:$AA,13,0)-'TRADE IN'!$F225=0,"",(VLOOKUP($C225,REV!$C:$AA,13,0)-'TRADE IN'!$F225))</f>
        <v>349</v>
      </c>
      <c r="P225" s="56">
        <f>IF(VLOOKUP($C225,REV!$C:$AA,14,0)-'TRADE IN'!$F225=0,"",(VLOOKUP($C225,REV!$C:$AA,14,0)-'TRADE IN'!$F225))</f>
        <v>349</v>
      </c>
      <c r="Q225" s="56">
        <f>IF(VLOOKUP($C225,REV!$C:$AA,15,0)-'TRADE IN'!$F225=0,"",(VLOOKUP($C225,REV!$C:$AA,15,0)-'TRADE IN'!$F225))</f>
        <v>349</v>
      </c>
      <c r="R225" s="56">
        <f>IF(VLOOKUP($C225,REV!$C:$AA,16,0)-'TRADE IN'!$F225=0,"",(VLOOKUP($C225,REV!$C:$AA,16,0)-'TRADE IN'!$F225))</f>
        <v>349</v>
      </c>
      <c r="S225" s="56">
        <f>IF(VLOOKUP($C225,REV!$C:$AA,17,0)-'TRADE IN'!$F225=0,"",(VLOOKUP($C225,REV!$C:$AA,17,0)-'TRADE IN'!$F225))</f>
        <v>349</v>
      </c>
      <c r="T225" s="56">
        <f>IF(VLOOKUP($C225,REV!$C:$AA,18,0)-'TRADE IN'!$F225=0,"",(VLOOKUP($C225,REV!$C:$AA,18,0)-'TRADE IN'!$F225))</f>
        <v>349</v>
      </c>
      <c r="U225" s="56">
        <f>IF(VLOOKUP($C225,REV!$C:$AA,19,0)-'TRADE IN'!$F225=0,"",(VLOOKUP($C225,REV!$C:$AA,19,0)-'TRADE IN'!$F225))</f>
        <v>349</v>
      </c>
      <c r="V225" s="56">
        <f>IF(VLOOKUP($C225,REV!$C:$AA,20,0)-'TRADE IN'!$F225=0,"",(VLOOKUP($C225,REV!$C:$AA,20,0)-'TRADE IN'!$F225))</f>
        <v>349</v>
      </c>
      <c r="W225" s="56">
        <f>IF(VLOOKUP($C225,REV!$C:$AA,21,0)-'TRADE IN'!$F225=0,"",(VLOOKUP($C225,REV!$C:$AA,21,0)-'TRADE IN'!$F225))</f>
        <v>349</v>
      </c>
      <c r="X225" s="56">
        <f>IF(VLOOKUP($C225,REV!$C:$AA,22,0)-'TRADE IN'!$F225=0,"",(VLOOKUP($C225,REV!$C:$AA,22,0)-'TRADE IN'!$F225))</f>
        <v>349</v>
      </c>
      <c r="Y225" s="56">
        <f>IF(VLOOKUP($C225,REV!$C:$AA,23,0)-'TRADE IN'!$F225=0,"",(VLOOKUP($C225,REV!$C:$AA,23,0)-'TRADE IN'!$F225))</f>
        <v>349</v>
      </c>
      <c r="Z225" s="56">
        <f>IF(VLOOKUP($C225,REV!$C:$AA,24,0)-'TRADE IN'!$F225=0,"",(VLOOKUP($C225,REV!$C:$AA,24,0)-'TRADE IN'!$F225))</f>
        <v>349</v>
      </c>
      <c r="AA225" s="56">
        <f>IF(VLOOKUP($C225,REV!$C:$AA,25,0)-'TRADE IN'!$F225=0,"",(VLOOKUP($C225,REV!$C:$AA,25,0)-'TRADE IN'!$F225))</f>
        <v>349</v>
      </c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7"/>
      <c r="AW225" s="58" t="str">
        <f>REV!AW225</f>
        <v>03.11.2026</v>
      </c>
      <c r="AX225" s="147" t="str">
        <f>VLOOKUP(C225,REV!C:AX,48,0)</f>
        <v>4G</v>
      </c>
    </row>
    <row r="226" spans="1:50" ht="22.5" customHeight="1">
      <c r="A226" s="64" t="s">
        <v>241</v>
      </c>
      <c r="B226" s="52" t="s">
        <v>64</v>
      </c>
      <c r="C226" s="53">
        <v>4015000</v>
      </c>
      <c r="D226" s="65" t="s">
        <v>369</v>
      </c>
      <c r="E226" s="65" t="s">
        <v>372</v>
      </c>
      <c r="F226" s="55"/>
      <c r="G226" s="55"/>
      <c r="H226" s="55"/>
      <c r="I226" s="55"/>
      <c r="J226" s="56">
        <f>IF(VLOOKUP($C226,REV!$C:$AA,8,0)-'TRADE IN'!$F226=0,"",(VLOOKUP($C226,REV!$C:$AA,8,0)-'TRADE IN'!$F226))</f>
        <v>349</v>
      </c>
      <c r="K226" s="56">
        <f>IF(VLOOKUP($C226,REV!$C:$AA,9,0)-'TRADE IN'!$F226=0,"",(VLOOKUP($C226,REV!$C:$AA,9,0)-'TRADE IN'!$F226))</f>
        <v>349</v>
      </c>
      <c r="L226" s="56">
        <f>IF(VLOOKUP($C226,REV!$C:$AA,10,0)-'TRADE IN'!$F226=0,"",(VLOOKUP($C226,REV!$C:$AA,10,0)-'TRADE IN'!$F226))</f>
        <v>349</v>
      </c>
      <c r="M226" s="56">
        <f>IF(VLOOKUP($C226,REV!$C:$AA,11,0)-'TRADE IN'!$F226=0,"",(VLOOKUP($C226,REV!$C:$AA,11,0)-'TRADE IN'!$F226))</f>
        <v>349</v>
      </c>
      <c r="N226" s="56">
        <f>IF(VLOOKUP($C226,REV!$C:$AA,12,0)-'TRADE IN'!$F226=0,"",(VLOOKUP($C226,REV!$C:$AA,12,0)-'TRADE IN'!$F226))</f>
        <v>349</v>
      </c>
      <c r="O226" s="56">
        <f>IF(VLOOKUP($C226,REV!$C:$AA,13,0)-'TRADE IN'!$F226=0,"",(VLOOKUP($C226,REV!$C:$AA,13,0)-'TRADE IN'!$F226))</f>
        <v>349</v>
      </c>
      <c r="P226" s="56">
        <f>IF(VLOOKUP($C226,REV!$C:$AA,14,0)-'TRADE IN'!$F226=0,"",(VLOOKUP($C226,REV!$C:$AA,14,0)-'TRADE IN'!$F226))</f>
        <v>349</v>
      </c>
      <c r="Q226" s="56">
        <f>IF(VLOOKUP($C226,REV!$C:$AA,15,0)-'TRADE IN'!$F226=0,"",(VLOOKUP($C226,REV!$C:$AA,15,0)-'TRADE IN'!$F226))</f>
        <v>349</v>
      </c>
      <c r="R226" s="56">
        <f>IF(VLOOKUP($C226,REV!$C:$AA,16,0)-'TRADE IN'!$F226=0,"",(VLOOKUP($C226,REV!$C:$AA,16,0)-'TRADE IN'!$F226))</f>
        <v>349</v>
      </c>
      <c r="S226" s="56">
        <f>IF(VLOOKUP($C226,REV!$C:$AA,17,0)-'TRADE IN'!$F226=0,"",(VLOOKUP($C226,REV!$C:$AA,17,0)-'TRADE IN'!$F226))</f>
        <v>349</v>
      </c>
      <c r="T226" s="56">
        <f>IF(VLOOKUP($C226,REV!$C:$AA,18,0)-'TRADE IN'!$F226=0,"",(VLOOKUP($C226,REV!$C:$AA,18,0)-'TRADE IN'!$F226))</f>
        <v>349</v>
      </c>
      <c r="U226" s="56">
        <f>IF(VLOOKUP($C226,REV!$C:$AA,19,0)-'TRADE IN'!$F226=0,"",(VLOOKUP($C226,REV!$C:$AA,19,0)-'TRADE IN'!$F226))</f>
        <v>349</v>
      </c>
      <c r="V226" s="56">
        <f>IF(VLOOKUP($C226,REV!$C:$AA,20,0)-'TRADE IN'!$F226=0,"",(VLOOKUP($C226,REV!$C:$AA,20,0)-'TRADE IN'!$F226))</f>
        <v>349</v>
      </c>
      <c r="W226" s="56">
        <f>IF(VLOOKUP($C226,REV!$C:$AA,21,0)-'TRADE IN'!$F226=0,"",(VLOOKUP($C226,REV!$C:$AA,21,0)-'TRADE IN'!$F226))</f>
        <v>349</v>
      </c>
      <c r="X226" s="56">
        <f>IF(VLOOKUP($C226,REV!$C:$AA,22,0)-'TRADE IN'!$F226=0,"",(VLOOKUP($C226,REV!$C:$AA,22,0)-'TRADE IN'!$F226))</f>
        <v>349</v>
      </c>
      <c r="Y226" s="56">
        <f>IF(VLOOKUP($C226,REV!$C:$AA,23,0)-'TRADE IN'!$F226=0,"",(VLOOKUP($C226,REV!$C:$AA,23,0)-'TRADE IN'!$F226))</f>
        <v>349</v>
      </c>
      <c r="Z226" s="56">
        <f>IF(VLOOKUP($C226,REV!$C:$AA,24,0)-'TRADE IN'!$F226=0,"",(VLOOKUP($C226,REV!$C:$AA,24,0)-'TRADE IN'!$F226))</f>
        <v>349</v>
      </c>
      <c r="AA226" s="56">
        <f>IF(VLOOKUP($C226,REV!$C:$AA,25,0)-'TRADE IN'!$F226=0,"",(VLOOKUP($C226,REV!$C:$AA,25,0)-'TRADE IN'!$F226))</f>
        <v>349</v>
      </c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7"/>
      <c r="AW226" s="58" t="str">
        <f>REV!AW226</f>
        <v>03.11.2026</v>
      </c>
      <c r="AX226" s="147" t="str">
        <f>VLOOKUP(C226,REV!C:AX,48,0)</f>
        <v>4G</v>
      </c>
    </row>
    <row r="227" spans="1:50" ht="22.5" customHeight="1">
      <c r="A227" s="64" t="s">
        <v>241</v>
      </c>
      <c r="B227" s="52" t="s">
        <v>64</v>
      </c>
      <c r="C227" s="53">
        <v>4014434</v>
      </c>
      <c r="D227" s="65" t="s">
        <v>373</v>
      </c>
      <c r="E227" s="65" t="s">
        <v>374</v>
      </c>
      <c r="F227" s="55"/>
      <c r="G227" s="55"/>
      <c r="H227" s="55"/>
      <c r="I227" s="55"/>
      <c r="J227" s="56">
        <f>IF(VLOOKUP($C227,REV!$C:$AA,8,0)-'TRADE IN'!$F227=0,"",(VLOOKUP($C227,REV!$C:$AA,8,0)-'TRADE IN'!$F227))</f>
        <v>399</v>
      </c>
      <c r="K227" s="56">
        <f>IF(VLOOKUP($C227,REV!$C:$AA,9,0)-'TRADE IN'!$F227=0,"",(VLOOKUP($C227,REV!$C:$AA,9,0)-'TRADE IN'!$F227))</f>
        <v>399</v>
      </c>
      <c r="L227" s="56">
        <f>IF(VLOOKUP($C227,REV!$C:$AA,10,0)-'TRADE IN'!$F227=0,"",(VLOOKUP($C227,REV!$C:$AA,10,0)-'TRADE IN'!$F227))</f>
        <v>399</v>
      </c>
      <c r="M227" s="56">
        <f>IF(VLOOKUP($C227,REV!$C:$AA,11,0)-'TRADE IN'!$F227=0,"",(VLOOKUP($C227,REV!$C:$AA,11,0)-'TRADE IN'!$F227))</f>
        <v>399</v>
      </c>
      <c r="N227" s="56">
        <f>IF(VLOOKUP($C227,REV!$C:$AA,12,0)-'TRADE IN'!$F227=0,"",(VLOOKUP($C227,REV!$C:$AA,12,0)-'TRADE IN'!$F227))</f>
        <v>399</v>
      </c>
      <c r="O227" s="56">
        <f>IF(VLOOKUP($C227,REV!$C:$AA,13,0)-'TRADE IN'!$F227=0,"",(VLOOKUP($C227,REV!$C:$AA,13,0)-'TRADE IN'!$F227))</f>
        <v>349</v>
      </c>
      <c r="P227" s="56">
        <f>IF(VLOOKUP($C227,REV!$C:$AA,14,0)-'TRADE IN'!$F227=0,"",(VLOOKUP($C227,REV!$C:$AA,14,0)-'TRADE IN'!$F227))</f>
        <v>349</v>
      </c>
      <c r="Q227" s="56">
        <f>IF(VLOOKUP($C227,REV!$C:$AA,15,0)-'TRADE IN'!$F227=0,"",(VLOOKUP($C227,REV!$C:$AA,15,0)-'TRADE IN'!$F227))</f>
        <v>349</v>
      </c>
      <c r="R227" s="56">
        <f>IF(VLOOKUP($C227,REV!$C:$AA,16,0)-'TRADE IN'!$F227=0,"",(VLOOKUP($C227,REV!$C:$AA,16,0)-'TRADE IN'!$F227))</f>
        <v>349</v>
      </c>
      <c r="S227" s="56">
        <f>IF(VLOOKUP($C227,REV!$C:$AA,17,0)-'TRADE IN'!$F227=0,"",(VLOOKUP($C227,REV!$C:$AA,17,0)-'TRADE IN'!$F227))</f>
        <v>349</v>
      </c>
      <c r="T227" s="56">
        <f>IF(VLOOKUP($C227,REV!$C:$AA,18,0)-'TRADE IN'!$F227=0,"",(VLOOKUP($C227,REV!$C:$AA,18,0)-'TRADE IN'!$F227))</f>
        <v>349</v>
      </c>
      <c r="U227" s="56">
        <f>IF(VLOOKUP($C227,REV!$C:$AA,19,0)-'TRADE IN'!$F227=0,"",(VLOOKUP($C227,REV!$C:$AA,19,0)-'TRADE IN'!$F227))</f>
        <v>349</v>
      </c>
      <c r="V227" s="56">
        <f>IF(VLOOKUP($C227,REV!$C:$AA,20,0)-'TRADE IN'!$F227=0,"",(VLOOKUP($C227,REV!$C:$AA,20,0)-'TRADE IN'!$F227))</f>
        <v>349</v>
      </c>
      <c r="W227" s="56">
        <f>IF(VLOOKUP($C227,REV!$C:$AA,21,0)-'TRADE IN'!$F227=0,"",(VLOOKUP($C227,REV!$C:$AA,21,0)-'TRADE IN'!$F227))</f>
        <v>349</v>
      </c>
      <c r="X227" s="56">
        <f>IF(VLOOKUP($C227,REV!$C:$AA,22,0)-'TRADE IN'!$F227=0,"",(VLOOKUP($C227,REV!$C:$AA,22,0)-'TRADE IN'!$F227))</f>
        <v>349</v>
      </c>
      <c r="Y227" s="56">
        <f>IF(VLOOKUP($C227,REV!$C:$AA,23,0)-'TRADE IN'!$F227=0,"",(VLOOKUP($C227,REV!$C:$AA,23,0)-'TRADE IN'!$F227))</f>
        <v>349</v>
      </c>
      <c r="Z227" s="56">
        <f>IF(VLOOKUP($C227,REV!$C:$AA,24,0)-'TRADE IN'!$F227=0,"",(VLOOKUP($C227,REV!$C:$AA,24,0)-'TRADE IN'!$F227))</f>
        <v>349</v>
      </c>
      <c r="AA227" s="56">
        <f>IF(VLOOKUP($C227,REV!$C:$AA,25,0)-'TRADE IN'!$F227=0,"",(VLOOKUP($C227,REV!$C:$AA,25,0)-'TRADE IN'!$F227))</f>
        <v>349</v>
      </c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7"/>
      <c r="AW227" s="58" t="str">
        <f>REV!AW227</f>
        <v>03.11.2026</v>
      </c>
      <c r="AX227" s="147" t="str">
        <f>VLOOKUP(C227,REV!C:AX,48,0)</f>
        <v>4G</v>
      </c>
    </row>
    <row r="228" spans="1:50" ht="22.5" customHeight="1">
      <c r="A228" s="64" t="s">
        <v>241</v>
      </c>
      <c r="B228" s="52" t="s">
        <v>64</v>
      </c>
      <c r="C228" s="53">
        <v>4014440</v>
      </c>
      <c r="D228" s="65" t="s">
        <v>373</v>
      </c>
      <c r="E228" s="65" t="s">
        <v>375</v>
      </c>
      <c r="F228" s="55"/>
      <c r="G228" s="55"/>
      <c r="H228" s="55"/>
      <c r="I228" s="55"/>
      <c r="J228" s="56">
        <f>IF(VLOOKUP($C228,REV!$C:$AA,8,0)-'TRADE IN'!$F228=0,"",(VLOOKUP($C228,REV!$C:$AA,8,0)-'TRADE IN'!$F228))</f>
        <v>399</v>
      </c>
      <c r="K228" s="56">
        <f>IF(VLOOKUP($C228,REV!$C:$AA,9,0)-'TRADE IN'!$F228=0,"",(VLOOKUP($C228,REV!$C:$AA,9,0)-'TRADE IN'!$F228))</f>
        <v>399</v>
      </c>
      <c r="L228" s="56">
        <f>IF(VLOOKUP($C228,REV!$C:$AA,10,0)-'TRADE IN'!$F228=0,"",(VLOOKUP($C228,REV!$C:$AA,10,0)-'TRADE IN'!$F228))</f>
        <v>399</v>
      </c>
      <c r="M228" s="56">
        <f>IF(VLOOKUP($C228,REV!$C:$AA,11,0)-'TRADE IN'!$F228=0,"",(VLOOKUP($C228,REV!$C:$AA,11,0)-'TRADE IN'!$F228))</f>
        <v>399</v>
      </c>
      <c r="N228" s="56">
        <f>IF(VLOOKUP($C228,REV!$C:$AA,12,0)-'TRADE IN'!$F228=0,"",(VLOOKUP($C228,REV!$C:$AA,12,0)-'TRADE IN'!$F228))</f>
        <v>399</v>
      </c>
      <c r="O228" s="56">
        <f>IF(VLOOKUP($C228,REV!$C:$AA,13,0)-'TRADE IN'!$F228=0,"",(VLOOKUP($C228,REV!$C:$AA,13,0)-'TRADE IN'!$F228))</f>
        <v>349</v>
      </c>
      <c r="P228" s="56">
        <f>IF(VLOOKUP($C228,REV!$C:$AA,14,0)-'TRADE IN'!$F228=0,"",(VLOOKUP($C228,REV!$C:$AA,14,0)-'TRADE IN'!$F228))</f>
        <v>349</v>
      </c>
      <c r="Q228" s="56">
        <f>IF(VLOOKUP($C228,REV!$C:$AA,15,0)-'TRADE IN'!$F228=0,"",(VLOOKUP($C228,REV!$C:$AA,15,0)-'TRADE IN'!$F228))</f>
        <v>349</v>
      </c>
      <c r="R228" s="56">
        <f>IF(VLOOKUP($C228,REV!$C:$AA,16,0)-'TRADE IN'!$F228=0,"",(VLOOKUP($C228,REV!$C:$AA,16,0)-'TRADE IN'!$F228))</f>
        <v>349</v>
      </c>
      <c r="S228" s="56">
        <f>IF(VLOOKUP($C228,REV!$C:$AA,17,0)-'TRADE IN'!$F228=0,"",(VLOOKUP($C228,REV!$C:$AA,17,0)-'TRADE IN'!$F228))</f>
        <v>349</v>
      </c>
      <c r="T228" s="56">
        <f>IF(VLOOKUP($C228,REV!$C:$AA,18,0)-'TRADE IN'!$F228=0,"",(VLOOKUP($C228,REV!$C:$AA,18,0)-'TRADE IN'!$F228))</f>
        <v>349</v>
      </c>
      <c r="U228" s="56">
        <f>IF(VLOOKUP($C228,REV!$C:$AA,19,0)-'TRADE IN'!$F228=0,"",(VLOOKUP($C228,REV!$C:$AA,19,0)-'TRADE IN'!$F228))</f>
        <v>349</v>
      </c>
      <c r="V228" s="56">
        <f>IF(VLOOKUP($C228,REV!$C:$AA,20,0)-'TRADE IN'!$F228=0,"",(VLOOKUP($C228,REV!$C:$AA,20,0)-'TRADE IN'!$F228))</f>
        <v>349</v>
      </c>
      <c r="W228" s="56">
        <f>IF(VLOOKUP($C228,REV!$C:$AA,21,0)-'TRADE IN'!$F228=0,"",(VLOOKUP($C228,REV!$C:$AA,21,0)-'TRADE IN'!$F228))</f>
        <v>349</v>
      </c>
      <c r="X228" s="56">
        <f>IF(VLOOKUP($C228,REV!$C:$AA,22,0)-'TRADE IN'!$F228=0,"",(VLOOKUP($C228,REV!$C:$AA,22,0)-'TRADE IN'!$F228))</f>
        <v>349</v>
      </c>
      <c r="Y228" s="56">
        <f>IF(VLOOKUP($C228,REV!$C:$AA,23,0)-'TRADE IN'!$F228=0,"",(VLOOKUP($C228,REV!$C:$AA,23,0)-'TRADE IN'!$F228))</f>
        <v>349</v>
      </c>
      <c r="Z228" s="56">
        <f>IF(VLOOKUP($C228,REV!$C:$AA,24,0)-'TRADE IN'!$F228=0,"",(VLOOKUP($C228,REV!$C:$AA,24,0)-'TRADE IN'!$F228))</f>
        <v>349</v>
      </c>
      <c r="AA228" s="56">
        <f>IF(VLOOKUP($C228,REV!$C:$AA,25,0)-'TRADE IN'!$F228=0,"",(VLOOKUP($C228,REV!$C:$AA,25,0)-'TRADE IN'!$F228))</f>
        <v>349</v>
      </c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7"/>
      <c r="AW228" s="58" t="str">
        <f>REV!AW228</f>
        <v>03.11.2026</v>
      </c>
      <c r="AX228" s="147" t="str">
        <f>VLOOKUP(C228,REV!C:AX,48,0)</f>
        <v>4G</v>
      </c>
    </row>
    <row r="229" spans="1:50" ht="22.5" customHeight="1">
      <c r="A229" s="64" t="s">
        <v>241</v>
      </c>
      <c r="B229" s="52" t="s">
        <v>64</v>
      </c>
      <c r="C229" s="53">
        <v>4015992</v>
      </c>
      <c r="D229" s="68" t="s">
        <v>376</v>
      </c>
      <c r="E229" s="65" t="s">
        <v>377</v>
      </c>
      <c r="F229" s="55"/>
      <c r="G229" s="55"/>
      <c r="H229" s="55"/>
      <c r="I229" s="55"/>
      <c r="J229" s="56">
        <f>IF(VLOOKUP($C229,REV!$C:$AA,8,0)-'TRADE IN'!$F229=0,"",(VLOOKUP($C229,REV!$C:$AA,8,0)-'TRADE IN'!$F229))</f>
        <v>309</v>
      </c>
      <c r="K229" s="56">
        <f>IF(VLOOKUP($C229,REV!$C:$AA,9,0)-'TRADE IN'!$F229=0,"",(VLOOKUP($C229,REV!$C:$AA,9,0)-'TRADE IN'!$F229))</f>
        <v>309</v>
      </c>
      <c r="L229" s="56">
        <f>IF(VLOOKUP($C229,REV!$C:$AA,10,0)-'TRADE IN'!$F229=0,"",(VLOOKUP($C229,REV!$C:$AA,10,0)-'TRADE IN'!$F229))</f>
        <v>309</v>
      </c>
      <c r="M229" s="56">
        <f>IF(VLOOKUP($C229,REV!$C:$AA,11,0)-'TRADE IN'!$F229=0,"",(VLOOKUP($C229,REV!$C:$AA,11,0)-'TRADE IN'!$F229))</f>
        <v>309</v>
      </c>
      <c r="N229" s="56">
        <f>IF(VLOOKUP($C229,REV!$C:$AA,12,0)-'TRADE IN'!$F229=0,"",(VLOOKUP($C229,REV!$C:$AA,12,0)-'TRADE IN'!$F229))</f>
        <v>309</v>
      </c>
      <c r="O229" s="56">
        <f>IF(VLOOKUP($C229,REV!$C:$AA,13,0)-'TRADE IN'!$F229=0,"",(VLOOKUP($C229,REV!$C:$AA,13,0)-'TRADE IN'!$F229))</f>
        <v>309</v>
      </c>
      <c r="P229" s="56">
        <f>IF(VLOOKUP($C229,REV!$C:$AA,14,0)-'TRADE IN'!$F229=0,"",(VLOOKUP($C229,REV!$C:$AA,14,0)-'TRADE IN'!$F229))</f>
        <v>309</v>
      </c>
      <c r="Q229" s="56">
        <f>IF(VLOOKUP($C229,REV!$C:$AA,15,0)-'TRADE IN'!$F229=0,"",(VLOOKUP($C229,REV!$C:$AA,15,0)-'TRADE IN'!$F229))</f>
        <v>309</v>
      </c>
      <c r="R229" s="56">
        <f>IF(VLOOKUP($C229,REV!$C:$AA,16,0)-'TRADE IN'!$F229=0,"",(VLOOKUP($C229,REV!$C:$AA,16,0)-'TRADE IN'!$F229))</f>
        <v>309</v>
      </c>
      <c r="S229" s="56">
        <f>IF(VLOOKUP($C229,REV!$C:$AA,17,0)-'TRADE IN'!$F229=0,"",(VLOOKUP($C229,REV!$C:$AA,17,0)-'TRADE IN'!$F229))</f>
        <v>309</v>
      </c>
      <c r="T229" s="56">
        <f>IF(VLOOKUP($C229,REV!$C:$AA,18,0)-'TRADE IN'!$F229=0,"",(VLOOKUP($C229,REV!$C:$AA,18,0)-'TRADE IN'!$F229))</f>
        <v>309</v>
      </c>
      <c r="U229" s="56">
        <f>IF(VLOOKUP($C229,REV!$C:$AA,19,0)-'TRADE IN'!$F229=0,"",(VLOOKUP($C229,REV!$C:$AA,19,0)-'TRADE IN'!$F229))</f>
        <v>309</v>
      </c>
      <c r="V229" s="56">
        <f>IF(VLOOKUP($C229,REV!$C:$AA,20,0)-'TRADE IN'!$F229=0,"",(VLOOKUP($C229,REV!$C:$AA,20,0)-'TRADE IN'!$F229))</f>
        <v>309</v>
      </c>
      <c r="W229" s="56">
        <f>IF(VLOOKUP($C229,REV!$C:$AA,21,0)-'TRADE IN'!$F229=0,"",(VLOOKUP($C229,REV!$C:$AA,21,0)-'TRADE IN'!$F229))</f>
        <v>309</v>
      </c>
      <c r="X229" s="56">
        <f>IF(VLOOKUP($C229,REV!$C:$AA,22,0)-'TRADE IN'!$F229=0,"",(VLOOKUP($C229,REV!$C:$AA,22,0)-'TRADE IN'!$F229))</f>
        <v>309</v>
      </c>
      <c r="Y229" s="56">
        <f>IF(VLOOKUP($C229,REV!$C:$AA,23,0)-'TRADE IN'!$F229=0,"",(VLOOKUP($C229,REV!$C:$AA,23,0)-'TRADE IN'!$F229))</f>
        <v>309</v>
      </c>
      <c r="Z229" s="56">
        <f>IF(VLOOKUP($C229,REV!$C:$AA,24,0)-'TRADE IN'!$F229=0,"",(VLOOKUP($C229,REV!$C:$AA,24,0)-'TRADE IN'!$F229))</f>
        <v>309</v>
      </c>
      <c r="AA229" s="56">
        <f>IF(VLOOKUP($C229,REV!$C:$AA,25,0)-'TRADE IN'!$F229=0,"",(VLOOKUP($C229,REV!$C:$AA,25,0)-'TRADE IN'!$F229))</f>
        <v>309</v>
      </c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7"/>
      <c r="AW229" s="58" t="str">
        <f>REV!AW229</f>
        <v>03.11.2026</v>
      </c>
      <c r="AX229" s="147" t="str">
        <f>VLOOKUP(C229,REV!C:AX,48,0)</f>
        <v>4G</v>
      </c>
    </row>
    <row r="230" spans="1:50" ht="22.5" customHeight="1">
      <c r="A230" s="64" t="s">
        <v>241</v>
      </c>
      <c r="B230" s="52" t="s">
        <v>64</v>
      </c>
      <c r="C230" s="53">
        <v>4015995</v>
      </c>
      <c r="D230" s="68" t="s">
        <v>376</v>
      </c>
      <c r="E230" s="65" t="s">
        <v>378</v>
      </c>
      <c r="F230" s="55"/>
      <c r="G230" s="55"/>
      <c r="H230" s="55"/>
      <c r="I230" s="55"/>
      <c r="J230" s="56">
        <f>IF(VLOOKUP($C230,REV!$C:$AA,8,0)-'TRADE IN'!$F230=0,"",(VLOOKUP($C230,REV!$C:$AA,8,0)-'TRADE IN'!$F230))</f>
        <v>309</v>
      </c>
      <c r="K230" s="56">
        <f>IF(VLOOKUP($C230,REV!$C:$AA,9,0)-'TRADE IN'!$F230=0,"",(VLOOKUP($C230,REV!$C:$AA,9,0)-'TRADE IN'!$F230))</f>
        <v>309</v>
      </c>
      <c r="L230" s="56">
        <f>IF(VLOOKUP($C230,REV!$C:$AA,10,0)-'TRADE IN'!$F230=0,"",(VLOOKUP($C230,REV!$C:$AA,10,0)-'TRADE IN'!$F230))</f>
        <v>309</v>
      </c>
      <c r="M230" s="56">
        <f>IF(VLOOKUP($C230,REV!$C:$AA,11,0)-'TRADE IN'!$F230=0,"",(VLOOKUP($C230,REV!$C:$AA,11,0)-'TRADE IN'!$F230))</f>
        <v>309</v>
      </c>
      <c r="N230" s="56">
        <f>IF(VLOOKUP($C230,REV!$C:$AA,12,0)-'TRADE IN'!$F230=0,"",(VLOOKUP($C230,REV!$C:$AA,12,0)-'TRADE IN'!$F230))</f>
        <v>309</v>
      </c>
      <c r="O230" s="56">
        <f>IF(VLOOKUP($C230,REV!$C:$AA,13,0)-'TRADE IN'!$F230=0,"",(VLOOKUP($C230,REV!$C:$AA,13,0)-'TRADE IN'!$F230))</f>
        <v>309</v>
      </c>
      <c r="P230" s="56">
        <f>IF(VLOOKUP($C230,REV!$C:$AA,14,0)-'TRADE IN'!$F230=0,"",(VLOOKUP($C230,REV!$C:$AA,14,0)-'TRADE IN'!$F230))</f>
        <v>309</v>
      </c>
      <c r="Q230" s="56">
        <f>IF(VLOOKUP($C230,REV!$C:$AA,15,0)-'TRADE IN'!$F230=0,"",(VLOOKUP($C230,REV!$C:$AA,15,0)-'TRADE IN'!$F230))</f>
        <v>309</v>
      </c>
      <c r="R230" s="56">
        <f>IF(VLOOKUP($C230,REV!$C:$AA,16,0)-'TRADE IN'!$F230=0,"",(VLOOKUP($C230,REV!$C:$AA,16,0)-'TRADE IN'!$F230))</f>
        <v>309</v>
      </c>
      <c r="S230" s="56">
        <f>IF(VLOOKUP($C230,REV!$C:$AA,17,0)-'TRADE IN'!$F230=0,"",(VLOOKUP($C230,REV!$C:$AA,17,0)-'TRADE IN'!$F230))</f>
        <v>309</v>
      </c>
      <c r="T230" s="56">
        <f>IF(VLOOKUP($C230,REV!$C:$AA,18,0)-'TRADE IN'!$F230=0,"",(VLOOKUP($C230,REV!$C:$AA,18,0)-'TRADE IN'!$F230))</f>
        <v>309</v>
      </c>
      <c r="U230" s="56">
        <f>IF(VLOOKUP($C230,REV!$C:$AA,19,0)-'TRADE IN'!$F230=0,"",(VLOOKUP($C230,REV!$C:$AA,19,0)-'TRADE IN'!$F230))</f>
        <v>309</v>
      </c>
      <c r="V230" s="56">
        <f>IF(VLOOKUP($C230,REV!$C:$AA,20,0)-'TRADE IN'!$F230=0,"",(VLOOKUP($C230,REV!$C:$AA,20,0)-'TRADE IN'!$F230))</f>
        <v>309</v>
      </c>
      <c r="W230" s="56">
        <f>IF(VLOOKUP($C230,REV!$C:$AA,21,0)-'TRADE IN'!$F230=0,"",(VLOOKUP($C230,REV!$C:$AA,21,0)-'TRADE IN'!$F230))</f>
        <v>309</v>
      </c>
      <c r="X230" s="56">
        <f>IF(VLOOKUP($C230,REV!$C:$AA,22,0)-'TRADE IN'!$F230=0,"",(VLOOKUP($C230,REV!$C:$AA,22,0)-'TRADE IN'!$F230))</f>
        <v>309</v>
      </c>
      <c r="Y230" s="56">
        <f>IF(VLOOKUP($C230,REV!$C:$AA,23,0)-'TRADE IN'!$F230=0,"",(VLOOKUP($C230,REV!$C:$AA,23,0)-'TRADE IN'!$F230))</f>
        <v>309</v>
      </c>
      <c r="Z230" s="56">
        <f>IF(VLOOKUP($C230,REV!$C:$AA,24,0)-'TRADE IN'!$F230=0,"",(VLOOKUP($C230,REV!$C:$AA,24,0)-'TRADE IN'!$F230))</f>
        <v>309</v>
      </c>
      <c r="AA230" s="56">
        <f>IF(VLOOKUP($C230,REV!$C:$AA,25,0)-'TRADE IN'!$F230=0,"",(VLOOKUP($C230,REV!$C:$AA,25,0)-'TRADE IN'!$F230))</f>
        <v>309</v>
      </c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7"/>
      <c r="AW230" s="58" t="str">
        <f>REV!AW230</f>
        <v>03.11.2026</v>
      </c>
      <c r="AX230" s="147" t="str">
        <f>VLOOKUP(C230,REV!C:AX,48,0)</f>
        <v>4G</v>
      </c>
    </row>
    <row r="231" spans="1:50" ht="22.5" customHeight="1">
      <c r="A231" s="64" t="s">
        <v>241</v>
      </c>
      <c r="B231" s="52" t="s">
        <v>64</v>
      </c>
      <c r="C231" s="53">
        <v>4016000</v>
      </c>
      <c r="D231" s="68" t="s">
        <v>379</v>
      </c>
      <c r="E231" s="65" t="s">
        <v>380</v>
      </c>
      <c r="F231" s="55"/>
      <c r="G231" s="55"/>
      <c r="H231" s="55"/>
      <c r="I231" s="55"/>
      <c r="J231" s="56">
        <f>IF(VLOOKUP($C231,REV!$C:$AA,8,0)-'TRADE IN'!$F231=0,"",(VLOOKUP($C231,REV!$C:$AA,8,0)-'TRADE IN'!$F231))</f>
        <v>799</v>
      </c>
      <c r="K231" s="56">
        <f>IF(VLOOKUP($C231,REV!$C:$AA,9,0)-'TRADE IN'!$F231=0,"",(VLOOKUP($C231,REV!$C:$AA,9,0)-'TRADE IN'!$F231))</f>
        <v>799</v>
      </c>
      <c r="L231" s="56">
        <f>IF(VLOOKUP($C231,REV!$C:$AA,10,0)-'TRADE IN'!$F231=0,"",(VLOOKUP($C231,REV!$C:$AA,10,0)-'TRADE IN'!$F231))</f>
        <v>799</v>
      </c>
      <c r="M231" s="56">
        <f>IF(VLOOKUP($C231,REV!$C:$AA,11,0)-'TRADE IN'!$F231=0,"",(VLOOKUP($C231,REV!$C:$AA,11,0)-'TRADE IN'!$F231))</f>
        <v>799</v>
      </c>
      <c r="N231" s="56">
        <f>IF(VLOOKUP($C231,REV!$C:$AA,12,0)-'TRADE IN'!$F231=0,"",(VLOOKUP($C231,REV!$C:$AA,12,0)-'TRADE IN'!$F231))</f>
        <v>799</v>
      </c>
      <c r="O231" s="56">
        <f>IF(VLOOKUP($C231,REV!$C:$AA,13,0)-'TRADE IN'!$F231=0,"",(VLOOKUP($C231,REV!$C:$AA,13,0)-'TRADE IN'!$F231))</f>
        <v>749</v>
      </c>
      <c r="P231" s="56">
        <f>IF(VLOOKUP($C231,REV!$C:$AA,14,0)-'TRADE IN'!$F231=0,"",(VLOOKUP($C231,REV!$C:$AA,14,0)-'TRADE IN'!$F231))</f>
        <v>749</v>
      </c>
      <c r="Q231" s="56">
        <f>IF(VLOOKUP($C231,REV!$C:$AA,15,0)-'TRADE IN'!$F231=0,"",(VLOOKUP($C231,REV!$C:$AA,15,0)-'TRADE IN'!$F231))</f>
        <v>749</v>
      </c>
      <c r="R231" s="56">
        <f>IF(VLOOKUP($C231,REV!$C:$AA,16,0)-'TRADE IN'!$F231=0,"",(VLOOKUP($C231,REV!$C:$AA,16,0)-'TRADE IN'!$F231))</f>
        <v>749</v>
      </c>
      <c r="S231" s="56">
        <f>IF(VLOOKUP($C231,REV!$C:$AA,17,0)-'TRADE IN'!$F231=0,"",(VLOOKUP($C231,REV!$C:$AA,17,0)-'TRADE IN'!$F231))</f>
        <v>749</v>
      </c>
      <c r="T231" s="56">
        <f>IF(VLOOKUP($C231,REV!$C:$AA,18,0)-'TRADE IN'!$F231=0,"",(VLOOKUP($C231,REV!$C:$AA,18,0)-'TRADE IN'!$F231))</f>
        <v>749</v>
      </c>
      <c r="U231" s="56">
        <f>IF(VLOOKUP($C231,REV!$C:$AA,19,0)-'TRADE IN'!$F231=0,"",(VLOOKUP($C231,REV!$C:$AA,19,0)-'TRADE IN'!$F231))</f>
        <v>749</v>
      </c>
      <c r="V231" s="56">
        <f>IF(VLOOKUP($C231,REV!$C:$AA,20,0)-'TRADE IN'!$F231=0,"",(VLOOKUP($C231,REV!$C:$AA,20,0)-'TRADE IN'!$F231))</f>
        <v>749</v>
      </c>
      <c r="W231" s="56">
        <f>IF(VLOOKUP($C231,REV!$C:$AA,21,0)-'TRADE IN'!$F231=0,"",(VLOOKUP($C231,REV!$C:$AA,21,0)-'TRADE IN'!$F231))</f>
        <v>749</v>
      </c>
      <c r="X231" s="56">
        <f>IF(VLOOKUP($C231,REV!$C:$AA,22,0)-'TRADE IN'!$F231=0,"",(VLOOKUP($C231,REV!$C:$AA,22,0)-'TRADE IN'!$F231))</f>
        <v>749</v>
      </c>
      <c r="Y231" s="56">
        <f>IF(VLOOKUP($C231,REV!$C:$AA,23,0)-'TRADE IN'!$F231=0,"",(VLOOKUP($C231,REV!$C:$AA,23,0)-'TRADE IN'!$F231))</f>
        <v>749</v>
      </c>
      <c r="Z231" s="56">
        <f>IF(VLOOKUP($C231,REV!$C:$AA,24,0)-'TRADE IN'!$F231=0,"",(VLOOKUP($C231,REV!$C:$AA,24,0)-'TRADE IN'!$F231))</f>
        <v>749</v>
      </c>
      <c r="AA231" s="56">
        <f>IF(VLOOKUP($C231,REV!$C:$AA,25,0)-'TRADE IN'!$F231=0,"",(VLOOKUP($C231,REV!$C:$AA,25,0)-'TRADE IN'!$F231))</f>
        <v>749</v>
      </c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7"/>
      <c r="AW231" s="58" t="str">
        <f>REV!AW231</f>
        <v>03.11.2026</v>
      </c>
      <c r="AX231" s="147" t="str">
        <f>VLOOKUP(C231,REV!C:AX,48,0)</f>
        <v>4G</v>
      </c>
    </row>
    <row r="232" spans="1:50" ht="22.5" customHeight="1">
      <c r="A232" s="64" t="s">
        <v>241</v>
      </c>
      <c r="B232" s="52" t="s">
        <v>64</v>
      </c>
      <c r="C232" s="53">
        <v>4016003</v>
      </c>
      <c r="D232" s="68" t="s">
        <v>379</v>
      </c>
      <c r="E232" s="65" t="s">
        <v>381</v>
      </c>
      <c r="F232" s="55"/>
      <c r="G232" s="55"/>
      <c r="H232" s="55"/>
      <c r="I232" s="55"/>
      <c r="J232" s="56">
        <f>IF(VLOOKUP($C232,REV!$C:$AA,8,0)-'TRADE IN'!$F232=0,"",(VLOOKUP($C232,REV!$C:$AA,8,0)-'TRADE IN'!$F232))</f>
        <v>799</v>
      </c>
      <c r="K232" s="56">
        <f>IF(VLOOKUP($C232,REV!$C:$AA,9,0)-'TRADE IN'!$F232=0,"",(VLOOKUP($C232,REV!$C:$AA,9,0)-'TRADE IN'!$F232))</f>
        <v>799</v>
      </c>
      <c r="L232" s="56">
        <f>IF(VLOOKUP($C232,REV!$C:$AA,10,0)-'TRADE IN'!$F232=0,"",(VLOOKUP($C232,REV!$C:$AA,10,0)-'TRADE IN'!$F232))</f>
        <v>799</v>
      </c>
      <c r="M232" s="56">
        <f>IF(VLOOKUP($C232,REV!$C:$AA,11,0)-'TRADE IN'!$F232=0,"",(VLOOKUP($C232,REV!$C:$AA,11,0)-'TRADE IN'!$F232))</f>
        <v>799</v>
      </c>
      <c r="N232" s="56">
        <f>IF(VLOOKUP($C232,REV!$C:$AA,12,0)-'TRADE IN'!$F232=0,"",(VLOOKUP($C232,REV!$C:$AA,12,0)-'TRADE IN'!$F232))</f>
        <v>799</v>
      </c>
      <c r="O232" s="56">
        <f>IF(VLOOKUP($C232,REV!$C:$AA,13,0)-'TRADE IN'!$F232=0,"",(VLOOKUP($C232,REV!$C:$AA,13,0)-'TRADE IN'!$F232))</f>
        <v>749</v>
      </c>
      <c r="P232" s="56">
        <f>IF(VLOOKUP($C232,REV!$C:$AA,14,0)-'TRADE IN'!$F232=0,"",(VLOOKUP($C232,REV!$C:$AA,14,0)-'TRADE IN'!$F232))</f>
        <v>749</v>
      </c>
      <c r="Q232" s="56">
        <f>IF(VLOOKUP($C232,REV!$C:$AA,15,0)-'TRADE IN'!$F232=0,"",(VLOOKUP($C232,REV!$C:$AA,15,0)-'TRADE IN'!$F232))</f>
        <v>749</v>
      </c>
      <c r="R232" s="56">
        <f>IF(VLOOKUP($C232,REV!$C:$AA,16,0)-'TRADE IN'!$F232=0,"",(VLOOKUP($C232,REV!$C:$AA,16,0)-'TRADE IN'!$F232))</f>
        <v>749</v>
      </c>
      <c r="S232" s="56">
        <f>IF(VLOOKUP($C232,REV!$C:$AA,17,0)-'TRADE IN'!$F232=0,"",(VLOOKUP($C232,REV!$C:$AA,17,0)-'TRADE IN'!$F232))</f>
        <v>749</v>
      </c>
      <c r="T232" s="56">
        <f>IF(VLOOKUP($C232,REV!$C:$AA,18,0)-'TRADE IN'!$F232=0,"",(VLOOKUP($C232,REV!$C:$AA,18,0)-'TRADE IN'!$F232))</f>
        <v>749</v>
      </c>
      <c r="U232" s="56">
        <f>IF(VLOOKUP($C232,REV!$C:$AA,19,0)-'TRADE IN'!$F232=0,"",(VLOOKUP($C232,REV!$C:$AA,19,0)-'TRADE IN'!$F232))</f>
        <v>749</v>
      </c>
      <c r="V232" s="56">
        <f>IF(VLOOKUP($C232,REV!$C:$AA,20,0)-'TRADE IN'!$F232=0,"",(VLOOKUP($C232,REV!$C:$AA,20,0)-'TRADE IN'!$F232))</f>
        <v>749</v>
      </c>
      <c r="W232" s="56">
        <f>IF(VLOOKUP($C232,REV!$C:$AA,21,0)-'TRADE IN'!$F232=0,"",(VLOOKUP($C232,REV!$C:$AA,21,0)-'TRADE IN'!$F232))</f>
        <v>749</v>
      </c>
      <c r="X232" s="56">
        <f>IF(VLOOKUP($C232,REV!$C:$AA,22,0)-'TRADE IN'!$F232=0,"",(VLOOKUP($C232,REV!$C:$AA,22,0)-'TRADE IN'!$F232))</f>
        <v>749</v>
      </c>
      <c r="Y232" s="56">
        <f>IF(VLOOKUP($C232,REV!$C:$AA,23,0)-'TRADE IN'!$F232=0,"",(VLOOKUP($C232,REV!$C:$AA,23,0)-'TRADE IN'!$F232))</f>
        <v>749</v>
      </c>
      <c r="Z232" s="56">
        <f>IF(VLOOKUP($C232,REV!$C:$AA,24,0)-'TRADE IN'!$F232=0,"",(VLOOKUP($C232,REV!$C:$AA,24,0)-'TRADE IN'!$F232))</f>
        <v>749</v>
      </c>
      <c r="AA232" s="56">
        <f>IF(VLOOKUP($C232,REV!$C:$AA,25,0)-'TRADE IN'!$F232=0,"",(VLOOKUP($C232,REV!$C:$AA,25,0)-'TRADE IN'!$F232))</f>
        <v>749</v>
      </c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7"/>
      <c r="AW232" s="58" t="str">
        <f>REV!AW232</f>
        <v>03.11.2026</v>
      </c>
      <c r="AX232" s="147" t="str">
        <f>VLOOKUP(C232,REV!C:AX,48,0)</f>
        <v>4G</v>
      </c>
    </row>
    <row r="233" spans="1:50" ht="22.5" customHeight="1">
      <c r="A233" s="64" t="s">
        <v>241</v>
      </c>
      <c r="B233" s="52" t="s">
        <v>64</v>
      </c>
      <c r="C233" s="53">
        <v>4016641</v>
      </c>
      <c r="D233" s="68" t="s">
        <v>382</v>
      </c>
      <c r="E233" s="65" t="s">
        <v>383</v>
      </c>
      <c r="F233" s="55"/>
      <c r="G233" s="55"/>
      <c r="H233" s="55"/>
      <c r="I233" s="55"/>
      <c r="J233" s="56">
        <f>IF(VLOOKUP($C233,REV!$C:$AA,8,0)-'TRADE IN'!$F233=0,"",(VLOOKUP($C233,REV!$C:$AA,8,0)-'TRADE IN'!$F233))</f>
        <v>799</v>
      </c>
      <c r="K233" s="56">
        <f>IF(VLOOKUP($C233,REV!$C:$AA,9,0)-'TRADE IN'!$F233=0,"",(VLOOKUP($C233,REV!$C:$AA,9,0)-'TRADE IN'!$F233))</f>
        <v>799</v>
      </c>
      <c r="L233" s="56">
        <f>IF(VLOOKUP($C233,REV!$C:$AA,10,0)-'TRADE IN'!$F233=0,"",(VLOOKUP($C233,REV!$C:$AA,10,0)-'TRADE IN'!$F233))</f>
        <v>799</v>
      </c>
      <c r="M233" s="56">
        <f>IF(VLOOKUP($C233,REV!$C:$AA,11,0)-'TRADE IN'!$F233=0,"",(VLOOKUP($C233,REV!$C:$AA,11,0)-'TRADE IN'!$F233))</f>
        <v>799</v>
      </c>
      <c r="N233" s="56">
        <f>IF(VLOOKUP($C233,REV!$C:$AA,12,0)-'TRADE IN'!$F233=0,"",(VLOOKUP($C233,REV!$C:$AA,12,0)-'TRADE IN'!$F233))</f>
        <v>799</v>
      </c>
      <c r="O233" s="56">
        <f>IF(VLOOKUP($C233,REV!$C:$AA,13,0)-'TRADE IN'!$F233=0,"",(VLOOKUP($C233,REV!$C:$AA,13,0)-'TRADE IN'!$F233))</f>
        <v>699</v>
      </c>
      <c r="P233" s="56">
        <f>IF(VLOOKUP($C233,REV!$C:$AA,14,0)-'TRADE IN'!$F233=0,"",(VLOOKUP($C233,REV!$C:$AA,14,0)-'TRADE IN'!$F233))</f>
        <v>699</v>
      </c>
      <c r="Q233" s="56">
        <f>IF(VLOOKUP($C233,REV!$C:$AA,15,0)-'TRADE IN'!$F233=0,"",(VLOOKUP($C233,REV!$C:$AA,15,0)-'TRADE IN'!$F233))</f>
        <v>699</v>
      </c>
      <c r="R233" s="56">
        <f>IF(VLOOKUP($C233,REV!$C:$AA,16,0)-'TRADE IN'!$F233=0,"",(VLOOKUP($C233,REV!$C:$AA,16,0)-'TRADE IN'!$F233))</f>
        <v>699</v>
      </c>
      <c r="S233" s="56">
        <f>IF(VLOOKUP($C233,REV!$C:$AA,17,0)-'TRADE IN'!$F233=0,"",(VLOOKUP($C233,REV!$C:$AA,17,0)-'TRADE IN'!$F233))</f>
        <v>699</v>
      </c>
      <c r="T233" s="56">
        <f>IF(VLOOKUP($C233,REV!$C:$AA,18,0)-'TRADE IN'!$F233=0,"",(VLOOKUP($C233,REV!$C:$AA,18,0)-'TRADE IN'!$F233))</f>
        <v>699</v>
      </c>
      <c r="U233" s="56">
        <f>IF(VLOOKUP($C233,REV!$C:$AA,19,0)-'TRADE IN'!$F233=0,"",(VLOOKUP($C233,REV!$C:$AA,19,0)-'TRADE IN'!$F233))</f>
        <v>699</v>
      </c>
      <c r="V233" s="56">
        <f>IF(VLOOKUP($C233,REV!$C:$AA,20,0)-'TRADE IN'!$F233=0,"",(VLOOKUP($C233,REV!$C:$AA,20,0)-'TRADE IN'!$F233))</f>
        <v>699</v>
      </c>
      <c r="W233" s="56">
        <f>IF(VLOOKUP($C233,REV!$C:$AA,21,0)-'TRADE IN'!$F233=0,"",(VLOOKUP($C233,REV!$C:$AA,21,0)-'TRADE IN'!$F233))</f>
        <v>699</v>
      </c>
      <c r="X233" s="56">
        <f>IF(VLOOKUP($C233,REV!$C:$AA,22,0)-'TRADE IN'!$F233=0,"",(VLOOKUP($C233,REV!$C:$AA,22,0)-'TRADE IN'!$F233))</f>
        <v>699</v>
      </c>
      <c r="Y233" s="56">
        <f>IF(VLOOKUP($C233,REV!$C:$AA,23,0)-'TRADE IN'!$F233=0,"",(VLOOKUP($C233,REV!$C:$AA,23,0)-'TRADE IN'!$F233))</f>
        <v>699</v>
      </c>
      <c r="Z233" s="56">
        <f>IF(VLOOKUP($C233,REV!$C:$AA,24,0)-'TRADE IN'!$F233=0,"",(VLOOKUP($C233,REV!$C:$AA,24,0)-'TRADE IN'!$F233))</f>
        <v>699</v>
      </c>
      <c r="AA233" s="56">
        <f>IF(VLOOKUP($C233,REV!$C:$AA,25,0)-'TRADE IN'!$F233=0,"",(VLOOKUP($C233,REV!$C:$AA,25,0)-'TRADE IN'!$F233))</f>
        <v>699</v>
      </c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7"/>
      <c r="AW233" s="58" t="str">
        <f>REV!AW233</f>
        <v>03.11.2026</v>
      </c>
      <c r="AX233" s="147" t="str">
        <f>VLOOKUP(C233,REV!C:AX,48,0)</f>
        <v>4G</v>
      </c>
    </row>
    <row r="234" spans="1:50" ht="22.5" customHeight="1">
      <c r="A234" s="64" t="s">
        <v>241</v>
      </c>
      <c r="B234" s="52" t="s">
        <v>64</v>
      </c>
      <c r="C234" s="53">
        <v>4016642</v>
      </c>
      <c r="D234" s="68" t="s">
        <v>382</v>
      </c>
      <c r="E234" s="65" t="s">
        <v>384</v>
      </c>
      <c r="F234" s="55"/>
      <c r="G234" s="55"/>
      <c r="H234" s="55"/>
      <c r="I234" s="55"/>
      <c r="J234" s="56">
        <f>IF(VLOOKUP($C234,REV!$C:$AA,8,0)-'TRADE IN'!$F234=0,"",(VLOOKUP($C234,REV!$C:$AA,8,0)-'TRADE IN'!$F234))</f>
        <v>799</v>
      </c>
      <c r="K234" s="56">
        <f>IF(VLOOKUP($C234,REV!$C:$AA,9,0)-'TRADE IN'!$F234=0,"",(VLOOKUP($C234,REV!$C:$AA,9,0)-'TRADE IN'!$F234))</f>
        <v>799</v>
      </c>
      <c r="L234" s="56">
        <f>IF(VLOOKUP($C234,REV!$C:$AA,10,0)-'TRADE IN'!$F234=0,"",(VLOOKUP($C234,REV!$C:$AA,10,0)-'TRADE IN'!$F234))</f>
        <v>799</v>
      </c>
      <c r="M234" s="56">
        <f>IF(VLOOKUP($C234,REV!$C:$AA,11,0)-'TRADE IN'!$F234=0,"",(VLOOKUP($C234,REV!$C:$AA,11,0)-'TRADE IN'!$F234))</f>
        <v>799</v>
      </c>
      <c r="N234" s="56">
        <f>IF(VLOOKUP($C234,REV!$C:$AA,12,0)-'TRADE IN'!$F234=0,"",(VLOOKUP($C234,REV!$C:$AA,12,0)-'TRADE IN'!$F234))</f>
        <v>799</v>
      </c>
      <c r="O234" s="56">
        <f>IF(VLOOKUP($C234,REV!$C:$AA,13,0)-'TRADE IN'!$F234=0,"",(VLOOKUP($C234,REV!$C:$AA,13,0)-'TRADE IN'!$F234))</f>
        <v>699</v>
      </c>
      <c r="P234" s="56">
        <f>IF(VLOOKUP($C234,REV!$C:$AA,14,0)-'TRADE IN'!$F234=0,"",(VLOOKUP($C234,REV!$C:$AA,14,0)-'TRADE IN'!$F234))</f>
        <v>699</v>
      </c>
      <c r="Q234" s="56">
        <f>IF(VLOOKUP($C234,REV!$C:$AA,15,0)-'TRADE IN'!$F234=0,"",(VLOOKUP($C234,REV!$C:$AA,15,0)-'TRADE IN'!$F234))</f>
        <v>699</v>
      </c>
      <c r="R234" s="56">
        <f>IF(VLOOKUP($C234,REV!$C:$AA,16,0)-'TRADE IN'!$F234=0,"",(VLOOKUP($C234,REV!$C:$AA,16,0)-'TRADE IN'!$F234))</f>
        <v>699</v>
      </c>
      <c r="S234" s="56">
        <f>IF(VLOOKUP($C234,REV!$C:$AA,17,0)-'TRADE IN'!$F234=0,"",(VLOOKUP($C234,REV!$C:$AA,17,0)-'TRADE IN'!$F234))</f>
        <v>699</v>
      </c>
      <c r="T234" s="56">
        <f>IF(VLOOKUP($C234,REV!$C:$AA,18,0)-'TRADE IN'!$F234=0,"",(VLOOKUP($C234,REV!$C:$AA,18,0)-'TRADE IN'!$F234))</f>
        <v>699</v>
      </c>
      <c r="U234" s="56">
        <f>IF(VLOOKUP($C234,REV!$C:$AA,19,0)-'TRADE IN'!$F234=0,"",(VLOOKUP($C234,REV!$C:$AA,19,0)-'TRADE IN'!$F234))</f>
        <v>699</v>
      </c>
      <c r="V234" s="56">
        <f>IF(VLOOKUP($C234,REV!$C:$AA,20,0)-'TRADE IN'!$F234=0,"",(VLOOKUP($C234,REV!$C:$AA,20,0)-'TRADE IN'!$F234))</f>
        <v>699</v>
      </c>
      <c r="W234" s="56">
        <f>IF(VLOOKUP($C234,REV!$C:$AA,21,0)-'TRADE IN'!$F234=0,"",(VLOOKUP($C234,REV!$C:$AA,21,0)-'TRADE IN'!$F234))</f>
        <v>699</v>
      </c>
      <c r="X234" s="56">
        <f>IF(VLOOKUP($C234,REV!$C:$AA,22,0)-'TRADE IN'!$F234=0,"",(VLOOKUP($C234,REV!$C:$AA,22,0)-'TRADE IN'!$F234))</f>
        <v>699</v>
      </c>
      <c r="Y234" s="56">
        <f>IF(VLOOKUP($C234,REV!$C:$AA,23,0)-'TRADE IN'!$F234=0,"",(VLOOKUP($C234,REV!$C:$AA,23,0)-'TRADE IN'!$F234))</f>
        <v>699</v>
      </c>
      <c r="Z234" s="56">
        <f>IF(VLOOKUP($C234,REV!$C:$AA,24,0)-'TRADE IN'!$F234=0,"",(VLOOKUP($C234,REV!$C:$AA,24,0)-'TRADE IN'!$F234))</f>
        <v>699</v>
      </c>
      <c r="AA234" s="56">
        <f>IF(VLOOKUP($C234,REV!$C:$AA,25,0)-'TRADE IN'!$F234=0,"",(VLOOKUP($C234,REV!$C:$AA,25,0)-'TRADE IN'!$F234))</f>
        <v>699</v>
      </c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7"/>
      <c r="AW234" s="58" t="str">
        <f>REV!AW234</f>
        <v>03.11.2026</v>
      </c>
      <c r="AX234" s="147" t="str">
        <f>VLOOKUP(C234,REV!C:AX,48,0)</f>
        <v>4G</v>
      </c>
    </row>
    <row r="235" spans="1:50" ht="22.5" customHeight="1">
      <c r="A235" s="64" t="s">
        <v>241</v>
      </c>
      <c r="B235" s="52" t="s">
        <v>64</v>
      </c>
      <c r="C235" s="53">
        <v>4016976</v>
      </c>
      <c r="D235" s="68" t="s">
        <v>385</v>
      </c>
      <c r="E235" s="65" t="s">
        <v>386</v>
      </c>
      <c r="F235" s="55"/>
      <c r="G235" s="55"/>
      <c r="H235" s="55"/>
      <c r="I235" s="55"/>
      <c r="J235" s="56">
        <f>IF(VLOOKUP($C235,REV!$C:$AA,8,0)-'TRADE IN'!$F235=0,"",(VLOOKUP($C235,REV!$C:$AA,8,0)-'TRADE IN'!$F235))</f>
        <v>799</v>
      </c>
      <c r="K235" s="56">
        <f>IF(VLOOKUP($C235,REV!$C:$AA,9,0)-'TRADE IN'!$F235=0,"",(VLOOKUP($C235,REV!$C:$AA,9,0)-'TRADE IN'!$F235))</f>
        <v>699</v>
      </c>
      <c r="L235" s="56">
        <f>IF(VLOOKUP($C235,REV!$C:$AA,10,0)-'TRADE IN'!$F235=0,"",(VLOOKUP($C235,REV!$C:$AA,10,0)-'TRADE IN'!$F235))</f>
        <v>699</v>
      </c>
      <c r="M235" s="56">
        <f>IF(VLOOKUP($C235,REV!$C:$AA,11,0)-'TRADE IN'!$F235=0,"",(VLOOKUP($C235,REV!$C:$AA,11,0)-'TRADE IN'!$F235))</f>
        <v>799</v>
      </c>
      <c r="N235" s="56">
        <f>IF(VLOOKUP($C235,REV!$C:$AA,12,0)-'TRADE IN'!$F235=0,"",(VLOOKUP($C235,REV!$C:$AA,12,0)-'TRADE IN'!$F235))</f>
        <v>699</v>
      </c>
      <c r="O235" s="56">
        <f>IF(VLOOKUP($C235,REV!$C:$AA,13,0)-'TRADE IN'!$F235=0,"",(VLOOKUP($C235,REV!$C:$AA,13,0)-'TRADE IN'!$F235))</f>
        <v>699</v>
      </c>
      <c r="P235" s="56">
        <f>IF(VLOOKUP($C235,REV!$C:$AA,14,0)-'TRADE IN'!$F235=0,"",(VLOOKUP($C235,REV!$C:$AA,14,0)-'TRADE IN'!$F235))</f>
        <v>699</v>
      </c>
      <c r="Q235" s="56">
        <f>IF(VLOOKUP($C235,REV!$C:$AA,15,0)-'TRADE IN'!$F235=0,"",(VLOOKUP($C235,REV!$C:$AA,15,0)-'TRADE IN'!$F235))</f>
        <v>699</v>
      </c>
      <c r="R235" s="56">
        <f>IF(VLOOKUP($C235,REV!$C:$AA,16,0)-'TRADE IN'!$F235=0,"",(VLOOKUP($C235,REV!$C:$AA,16,0)-'TRADE IN'!$F235))</f>
        <v>699</v>
      </c>
      <c r="S235" s="56">
        <f>IF(VLOOKUP($C235,REV!$C:$AA,17,0)-'TRADE IN'!$F235=0,"",(VLOOKUP($C235,REV!$C:$AA,17,0)-'TRADE IN'!$F235))</f>
        <v>699</v>
      </c>
      <c r="T235" s="56">
        <f>IF(VLOOKUP($C235,REV!$C:$AA,18,0)-'TRADE IN'!$F235=0,"",(VLOOKUP($C235,REV!$C:$AA,18,0)-'TRADE IN'!$F235))</f>
        <v>699</v>
      </c>
      <c r="U235" s="56">
        <f>IF(VLOOKUP($C235,REV!$C:$AA,19,0)-'TRADE IN'!$F235=0,"",(VLOOKUP($C235,REV!$C:$AA,19,0)-'TRADE IN'!$F235))</f>
        <v>699</v>
      </c>
      <c r="V235" s="56">
        <f>IF(VLOOKUP($C235,REV!$C:$AA,20,0)-'TRADE IN'!$F235=0,"",(VLOOKUP($C235,REV!$C:$AA,20,0)-'TRADE IN'!$F235))</f>
        <v>699</v>
      </c>
      <c r="W235" s="56">
        <f>IF(VLOOKUP($C235,REV!$C:$AA,21,0)-'TRADE IN'!$F235=0,"",(VLOOKUP($C235,REV!$C:$AA,21,0)-'TRADE IN'!$F235))</f>
        <v>699</v>
      </c>
      <c r="X235" s="56">
        <f>IF(VLOOKUP($C235,REV!$C:$AA,22,0)-'TRADE IN'!$F235=0,"",(VLOOKUP($C235,REV!$C:$AA,22,0)-'TRADE IN'!$F235))</f>
        <v>699</v>
      </c>
      <c r="Y235" s="56">
        <f>IF(VLOOKUP($C235,REV!$C:$AA,23,0)-'TRADE IN'!$F235=0,"",(VLOOKUP($C235,REV!$C:$AA,23,0)-'TRADE IN'!$F235))</f>
        <v>699</v>
      </c>
      <c r="Z235" s="56">
        <f>IF(VLOOKUP($C235,REV!$C:$AA,24,0)-'TRADE IN'!$F235=0,"",(VLOOKUP($C235,REV!$C:$AA,24,0)-'TRADE IN'!$F235))</f>
        <v>699</v>
      </c>
      <c r="AA235" s="56">
        <f>IF(VLOOKUP($C235,REV!$C:$AA,25,0)-'TRADE IN'!$F235=0,"",(VLOOKUP($C235,REV!$C:$AA,25,0)-'TRADE IN'!$F235))</f>
        <v>699</v>
      </c>
      <c r="AB235" s="56">
        <f>IF(VLOOKUP($C235,REV!$C:$AL,27,0)-'TRADE IN'!$F235=0,"",(VLOOKUP($C235,REV!$C:$AL,27,0)-'TRADE IN'!$F235))</f>
        <v>799</v>
      </c>
      <c r="AC235" s="56">
        <f>IF(VLOOKUP($C235,REV!$C:$AL,28,0)-'TRADE IN'!$F235=0,"",(VLOOKUP($C235,REV!$C:$AL,28,0)-'TRADE IN'!$F235))</f>
        <v>799</v>
      </c>
      <c r="AD235" s="56">
        <f>IF(VLOOKUP($C235,REV!$C:$AL,29,0)-'TRADE IN'!$F235=0,"",(VLOOKUP($C235,REV!$C:$AL,29,0)-'TRADE IN'!$F235))</f>
        <v>799</v>
      </c>
      <c r="AE235" s="56">
        <f>IF(VLOOKUP($C235,REV!$C:$AL,30,0)-'TRADE IN'!$F235=0,"",(VLOOKUP($C235,REV!$C:$AL,30,0)-'TRADE IN'!$F235))</f>
        <v>699</v>
      </c>
      <c r="AF235" s="56">
        <f>IF(VLOOKUP($C235,REV!$C:$AL,31,0)-'TRADE IN'!$F235=0,"",(VLOOKUP($C235,REV!$C:$AL,31,0)-'TRADE IN'!$F235))</f>
        <v>699</v>
      </c>
      <c r="AG235" s="56">
        <f>IF(VLOOKUP($C235,REV!$C:$AL,31,0)-'TRADE IN'!$F235=0,"",(VLOOKUP($C235,REV!$C:$AL,31,0)-'TRADE IN'!$F235))</f>
        <v>699</v>
      </c>
      <c r="AH235" s="56">
        <f>IF(VLOOKUP($C235,REV!$C:$AL,32,0)-'TRADE IN'!$F235=0,"",(VLOOKUP($C235,REV!$C:$AL,32,0)-'TRADE IN'!$F235))</f>
        <v>699</v>
      </c>
      <c r="AI235" s="56">
        <f>IF(VLOOKUP($C235,REV!$C:$AL,33,0)-'TRADE IN'!$F235=0,"",(VLOOKUP($C235,REV!$C:$AL,33,0)-'TRADE IN'!$F235))</f>
        <v>699</v>
      </c>
      <c r="AJ235" s="56">
        <f>IF(VLOOKUP($C235,REV!$C:$AL,34,0)-'TRADE IN'!$F235=0,"",(VLOOKUP($C235,REV!$C:$AL,34,0)-'TRADE IN'!$F235))</f>
        <v>699</v>
      </c>
      <c r="AK235" s="56">
        <f>IF(VLOOKUP($C235,REV!$C:$AL,35,0)-'TRADE IN'!$F235=0,"",(VLOOKUP($C235,REV!$C:$AL,35,0)-'TRADE IN'!$F235))</f>
        <v>699</v>
      </c>
      <c r="AL235" s="56">
        <f>IF(VLOOKUP($C235,REV!$C:$AL,36,0)-'TRADE IN'!$F235=0,"",(VLOOKUP($C235,REV!$C:$AL,36,0)-'TRADE IN'!$F235))</f>
        <v>699</v>
      </c>
      <c r="AM235" s="55"/>
      <c r="AN235" s="55"/>
      <c r="AO235" s="55"/>
      <c r="AP235" s="55"/>
      <c r="AQ235" s="55"/>
      <c r="AR235" s="55"/>
      <c r="AS235" s="55"/>
      <c r="AT235" s="55"/>
      <c r="AU235" s="55"/>
      <c r="AV235" s="57"/>
      <c r="AW235" s="58" t="str">
        <f>REV!AW235</f>
        <v>03.11.2026</v>
      </c>
      <c r="AX235" s="147" t="str">
        <f>VLOOKUP(C235,REV!C:AX,48,0)</f>
        <v>5G</v>
      </c>
    </row>
    <row r="236" spans="1:50" ht="22.5" customHeight="1">
      <c r="A236" s="64" t="s">
        <v>241</v>
      </c>
      <c r="B236" s="52" t="s">
        <v>64</v>
      </c>
      <c r="C236" s="53">
        <v>4016987</v>
      </c>
      <c r="D236" s="68" t="s">
        <v>385</v>
      </c>
      <c r="E236" s="65" t="s">
        <v>387</v>
      </c>
      <c r="F236" s="55"/>
      <c r="G236" s="55"/>
      <c r="H236" s="55"/>
      <c r="I236" s="55"/>
      <c r="J236" s="56">
        <f>IF(VLOOKUP($C236,REV!$C:$AA,8,0)-'TRADE IN'!$F236=0,"",(VLOOKUP($C236,REV!$C:$AA,8,0)-'TRADE IN'!$F236))</f>
        <v>799</v>
      </c>
      <c r="K236" s="56">
        <f>IF(VLOOKUP($C236,REV!$C:$AA,9,0)-'TRADE IN'!$F236=0,"",(VLOOKUP($C236,REV!$C:$AA,9,0)-'TRADE IN'!$F236))</f>
        <v>699</v>
      </c>
      <c r="L236" s="56">
        <f>IF(VLOOKUP($C236,REV!$C:$AA,10,0)-'TRADE IN'!$F236=0,"",(VLOOKUP($C236,REV!$C:$AA,10,0)-'TRADE IN'!$F236))</f>
        <v>699</v>
      </c>
      <c r="M236" s="56">
        <f>IF(VLOOKUP($C236,REV!$C:$AA,11,0)-'TRADE IN'!$F236=0,"",(VLOOKUP($C236,REV!$C:$AA,11,0)-'TRADE IN'!$F236))</f>
        <v>799</v>
      </c>
      <c r="N236" s="56">
        <f>IF(VLOOKUP($C236,REV!$C:$AA,12,0)-'TRADE IN'!$F236=0,"",(VLOOKUP($C236,REV!$C:$AA,12,0)-'TRADE IN'!$F236))</f>
        <v>699</v>
      </c>
      <c r="O236" s="56">
        <f>IF(VLOOKUP($C236,REV!$C:$AA,13,0)-'TRADE IN'!$F236=0,"",(VLOOKUP($C236,REV!$C:$AA,13,0)-'TRADE IN'!$F236))</f>
        <v>699</v>
      </c>
      <c r="P236" s="56">
        <f>IF(VLOOKUP($C236,REV!$C:$AA,14,0)-'TRADE IN'!$F236=0,"",(VLOOKUP($C236,REV!$C:$AA,14,0)-'TRADE IN'!$F236))</f>
        <v>699</v>
      </c>
      <c r="Q236" s="56">
        <f>IF(VLOOKUP($C236,REV!$C:$AA,15,0)-'TRADE IN'!$F236=0,"",(VLOOKUP($C236,REV!$C:$AA,15,0)-'TRADE IN'!$F236))</f>
        <v>699</v>
      </c>
      <c r="R236" s="56">
        <f>IF(VLOOKUP($C236,REV!$C:$AA,16,0)-'TRADE IN'!$F236=0,"",(VLOOKUP($C236,REV!$C:$AA,16,0)-'TRADE IN'!$F236))</f>
        <v>699</v>
      </c>
      <c r="S236" s="56">
        <f>IF(VLOOKUP($C236,REV!$C:$AA,17,0)-'TRADE IN'!$F236=0,"",(VLOOKUP($C236,REV!$C:$AA,17,0)-'TRADE IN'!$F236))</f>
        <v>699</v>
      </c>
      <c r="T236" s="56">
        <f>IF(VLOOKUP($C236,REV!$C:$AA,18,0)-'TRADE IN'!$F236=0,"",(VLOOKUP($C236,REV!$C:$AA,18,0)-'TRADE IN'!$F236))</f>
        <v>699</v>
      </c>
      <c r="U236" s="56">
        <f>IF(VLOOKUP($C236,REV!$C:$AA,19,0)-'TRADE IN'!$F236=0,"",(VLOOKUP($C236,REV!$C:$AA,19,0)-'TRADE IN'!$F236))</f>
        <v>699</v>
      </c>
      <c r="V236" s="56">
        <f>IF(VLOOKUP($C236,REV!$C:$AA,20,0)-'TRADE IN'!$F236=0,"",(VLOOKUP($C236,REV!$C:$AA,20,0)-'TRADE IN'!$F236))</f>
        <v>699</v>
      </c>
      <c r="W236" s="56">
        <f>IF(VLOOKUP($C236,REV!$C:$AA,21,0)-'TRADE IN'!$F236=0,"",(VLOOKUP($C236,REV!$C:$AA,21,0)-'TRADE IN'!$F236))</f>
        <v>699</v>
      </c>
      <c r="X236" s="56">
        <f>IF(VLOOKUP($C236,REV!$C:$AA,22,0)-'TRADE IN'!$F236=0,"",(VLOOKUP($C236,REV!$C:$AA,22,0)-'TRADE IN'!$F236))</f>
        <v>699</v>
      </c>
      <c r="Y236" s="56">
        <f>IF(VLOOKUP($C236,REV!$C:$AA,23,0)-'TRADE IN'!$F236=0,"",(VLOOKUP($C236,REV!$C:$AA,23,0)-'TRADE IN'!$F236))</f>
        <v>699</v>
      </c>
      <c r="Z236" s="56">
        <f>IF(VLOOKUP($C236,REV!$C:$AA,24,0)-'TRADE IN'!$F236=0,"",(VLOOKUP($C236,REV!$C:$AA,24,0)-'TRADE IN'!$F236))</f>
        <v>699</v>
      </c>
      <c r="AA236" s="56">
        <f>IF(VLOOKUP($C236,REV!$C:$AA,25,0)-'TRADE IN'!$F236=0,"",(VLOOKUP($C236,REV!$C:$AA,25,0)-'TRADE IN'!$F236))</f>
        <v>699</v>
      </c>
      <c r="AB236" s="56">
        <f>IF(VLOOKUP($C236,REV!$C:$AL,27,0)-'TRADE IN'!$F236=0,"",(VLOOKUP($C236,REV!$C:$AL,27,0)-'TRADE IN'!$F236))</f>
        <v>799</v>
      </c>
      <c r="AC236" s="56">
        <f>IF(VLOOKUP($C236,REV!$C:$AL,28,0)-'TRADE IN'!$F236=0,"",(VLOOKUP($C236,REV!$C:$AL,28,0)-'TRADE IN'!$F236))</f>
        <v>799</v>
      </c>
      <c r="AD236" s="56">
        <f>IF(VLOOKUP($C236,REV!$C:$AL,29,0)-'TRADE IN'!$F236=0,"",(VLOOKUP($C236,REV!$C:$AL,29,0)-'TRADE IN'!$F236))</f>
        <v>799</v>
      </c>
      <c r="AE236" s="56">
        <f>IF(VLOOKUP($C236,REV!$C:$AL,30,0)-'TRADE IN'!$F236=0,"",(VLOOKUP($C236,REV!$C:$AL,30,0)-'TRADE IN'!$F236))</f>
        <v>699</v>
      </c>
      <c r="AF236" s="56">
        <f>IF(VLOOKUP($C236,REV!$C:$AL,31,0)-'TRADE IN'!$F236=0,"",(VLOOKUP($C236,REV!$C:$AL,31,0)-'TRADE IN'!$F236))</f>
        <v>699</v>
      </c>
      <c r="AG236" s="56">
        <f>IF(VLOOKUP($C236,REV!$C:$AL,31,0)-'TRADE IN'!$F236=0,"",(VLOOKUP($C236,REV!$C:$AL,31,0)-'TRADE IN'!$F236))</f>
        <v>699</v>
      </c>
      <c r="AH236" s="56">
        <f>IF(VLOOKUP($C236,REV!$C:$AL,32,0)-'TRADE IN'!$F236=0,"",(VLOOKUP($C236,REV!$C:$AL,32,0)-'TRADE IN'!$F236))</f>
        <v>699</v>
      </c>
      <c r="AI236" s="56">
        <f>IF(VLOOKUP($C236,REV!$C:$AL,33,0)-'TRADE IN'!$F236=0,"",(VLOOKUP($C236,REV!$C:$AL,33,0)-'TRADE IN'!$F236))</f>
        <v>699</v>
      </c>
      <c r="AJ236" s="56">
        <f>IF(VLOOKUP($C236,REV!$C:$AL,34,0)-'TRADE IN'!$F236=0,"",(VLOOKUP($C236,REV!$C:$AL,34,0)-'TRADE IN'!$F236))</f>
        <v>699</v>
      </c>
      <c r="AK236" s="56">
        <f>IF(VLOOKUP($C236,REV!$C:$AL,35,0)-'TRADE IN'!$F236=0,"",(VLOOKUP($C236,REV!$C:$AL,35,0)-'TRADE IN'!$F236))</f>
        <v>699</v>
      </c>
      <c r="AL236" s="56">
        <f>IF(VLOOKUP($C236,REV!$C:$AL,36,0)-'TRADE IN'!$F236=0,"",(VLOOKUP($C236,REV!$C:$AL,36,0)-'TRADE IN'!$F236))</f>
        <v>699</v>
      </c>
      <c r="AM236" s="55"/>
      <c r="AN236" s="55"/>
      <c r="AO236" s="55"/>
      <c r="AP236" s="55"/>
      <c r="AQ236" s="55"/>
      <c r="AR236" s="55"/>
      <c r="AS236" s="55"/>
      <c r="AT236" s="55"/>
      <c r="AU236" s="55"/>
      <c r="AV236" s="57"/>
      <c r="AW236" s="58" t="str">
        <f>REV!AW236</f>
        <v>03.11.2026</v>
      </c>
      <c r="AX236" s="147" t="str">
        <f>VLOOKUP(C236,REV!C:AX,48,0)</f>
        <v>5G</v>
      </c>
    </row>
    <row r="237" spans="1:50" ht="22.5" customHeight="1">
      <c r="A237" s="64" t="s">
        <v>241</v>
      </c>
      <c r="B237" s="52" t="s">
        <v>64</v>
      </c>
      <c r="C237" s="53">
        <v>4016981</v>
      </c>
      <c r="D237" s="68" t="s">
        <v>385</v>
      </c>
      <c r="E237" s="65" t="s">
        <v>388</v>
      </c>
      <c r="F237" s="55"/>
      <c r="G237" s="55"/>
      <c r="H237" s="55"/>
      <c r="I237" s="55"/>
      <c r="J237" s="56">
        <f>IF(VLOOKUP($C237,REV!$C:$AA,8,0)-'TRADE IN'!$F237=0,"",(VLOOKUP($C237,REV!$C:$AA,8,0)-'TRADE IN'!$F237))</f>
        <v>799</v>
      </c>
      <c r="K237" s="56">
        <f>IF(VLOOKUP($C237,REV!$C:$AA,9,0)-'TRADE IN'!$F237=0,"",(VLOOKUP($C237,REV!$C:$AA,9,0)-'TRADE IN'!$F237))</f>
        <v>699</v>
      </c>
      <c r="L237" s="56">
        <f>IF(VLOOKUP($C237,REV!$C:$AA,10,0)-'TRADE IN'!$F237=0,"",(VLOOKUP($C237,REV!$C:$AA,10,0)-'TRADE IN'!$F237))</f>
        <v>699</v>
      </c>
      <c r="M237" s="56">
        <f>IF(VLOOKUP($C237,REV!$C:$AA,11,0)-'TRADE IN'!$F237=0,"",(VLOOKUP($C237,REV!$C:$AA,11,0)-'TRADE IN'!$F237))</f>
        <v>799</v>
      </c>
      <c r="N237" s="56">
        <f>IF(VLOOKUP($C237,REV!$C:$AA,12,0)-'TRADE IN'!$F237=0,"",(VLOOKUP($C237,REV!$C:$AA,12,0)-'TRADE IN'!$F237))</f>
        <v>699</v>
      </c>
      <c r="O237" s="56">
        <f>IF(VLOOKUP($C237,REV!$C:$AA,13,0)-'TRADE IN'!$F237=0,"",(VLOOKUP($C237,REV!$C:$AA,13,0)-'TRADE IN'!$F237))</f>
        <v>699</v>
      </c>
      <c r="P237" s="56">
        <f>IF(VLOOKUP($C237,REV!$C:$AA,14,0)-'TRADE IN'!$F237=0,"",(VLOOKUP($C237,REV!$C:$AA,14,0)-'TRADE IN'!$F237))</f>
        <v>699</v>
      </c>
      <c r="Q237" s="56">
        <f>IF(VLOOKUP($C237,REV!$C:$AA,15,0)-'TRADE IN'!$F237=0,"",(VLOOKUP($C237,REV!$C:$AA,15,0)-'TRADE IN'!$F237))</f>
        <v>699</v>
      </c>
      <c r="R237" s="56">
        <f>IF(VLOOKUP($C237,REV!$C:$AA,16,0)-'TRADE IN'!$F237=0,"",(VLOOKUP($C237,REV!$C:$AA,16,0)-'TRADE IN'!$F237))</f>
        <v>699</v>
      </c>
      <c r="S237" s="56">
        <f>IF(VLOOKUP($C237,REV!$C:$AA,17,0)-'TRADE IN'!$F237=0,"",(VLOOKUP($C237,REV!$C:$AA,17,0)-'TRADE IN'!$F237))</f>
        <v>699</v>
      </c>
      <c r="T237" s="56">
        <f>IF(VLOOKUP($C237,REV!$C:$AA,18,0)-'TRADE IN'!$F237=0,"",(VLOOKUP($C237,REV!$C:$AA,18,0)-'TRADE IN'!$F237))</f>
        <v>699</v>
      </c>
      <c r="U237" s="56">
        <f>IF(VLOOKUP($C237,REV!$C:$AA,19,0)-'TRADE IN'!$F237=0,"",(VLOOKUP($C237,REV!$C:$AA,19,0)-'TRADE IN'!$F237))</f>
        <v>699</v>
      </c>
      <c r="V237" s="56">
        <f>IF(VLOOKUP($C237,REV!$C:$AA,20,0)-'TRADE IN'!$F237=0,"",(VLOOKUP($C237,REV!$C:$AA,20,0)-'TRADE IN'!$F237))</f>
        <v>699</v>
      </c>
      <c r="W237" s="56">
        <f>IF(VLOOKUP($C237,REV!$C:$AA,21,0)-'TRADE IN'!$F237=0,"",(VLOOKUP($C237,REV!$C:$AA,21,0)-'TRADE IN'!$F237))</f>
        <v>699</v>
      </c>
      <c r="X237" s="56">
        <f>IF(VLOOKUP($C237,REV!$C:$AA,22,0)-'TRADE IN'!$F237=0,"",(VLOOKUP($C237,REV!$C:$AA,22,0)-'TRADE IN'!$F237))</f>
        <v>699</v>
      </c>
      <c r="Y237" s="56">
        <f>IF(VLOOKUP($C237,REV!$C:$AA,23,0)-'TRADE IN'!$F237=0,"",(VLOOKUP($C237,REV!$C:$AA,23,0)-'TRADE IN'!$F237))</f>
        <v>699</v>
      </c>
      <c r="Z237" s="56">
        <f>IF(VLOOKUP($C237,REV!$C:$AA,24,0)-'TRADE IN'!$F237=0,"",(VLOOKUP($C237,REV!$C:$AA,24,0)-'TRADE IN'!$F237))</f>
        <v>699</v>
      </c>
      <c r="AA237" s="56">
        <f>IF(VLOOKUP($C237,REV!$C:$AA,25,0)-'TRADE IN'!$F237=0,"",(VLOOKUP($C237,REV!$C:$AA,25,0)-'TRADE IN'!$F237))</f>
        <v>699</v>
      </c>
      <c r="AB237" s="56">
        <f>IF(VLOOKUP($C237,REV!$C:$AL,27,0)-'TRADE IN'!$F237=0,"",(VLOOKUP($C237,REV!$C:$AL,27,0)-'TRADE IN'!$F237))</f>
        <v>799</v>
      </c>
      <c r="AC237" s="56">
        <f>IF(VLOOKUP($C237,REV!$C:$AL,28,0)-'TRADE IN'!$F237=0,"",(VLOOKUP($C237,REV!$C:$AL,28,0)-'TRADE IN'!$F237))</f>
        <v>799</v>
      </c>
      <c r="AD237" s="56">
        <f>IF(VLOOKUP($C237,REV!$C:$AL,29,0)-'TRADE IN'!$F237=0,"",(VLOOKUP($C237,REV!$C:$AL,29,0)-'TRADE IN'!$F237))</f>
        <v>799</v>
      </c>
      <c r="AE237" s="56">
        <f>IF(VLOOKUP($C237,REV!$C:$AL,30,0)-'TRADE IN'!$F237=0,"",(VLOOKUP($C237,REV!$C:$AL,30,0)-'TRADE IN'!$F237))</f>
        <v>699</v>
      </c>
      <c r="AF237" s="56">
        <f>IF(VLOOKUP($C237,REV!$C:$AL,31,0)-'TRADE IN'!$F237=0,"",(VLOOKUP($C237,REV!$C:$AL,31,0)-'TRADE IN'!$F237))</f>
        <v>699</v>
      </c>
      <c r="AG237" s="56">
        <f>IF(VLOOKUP($C237,REV!$C:$AL,31,0)-'TRADE IN'!$F237=0,"",(VLOOKUP($C237,REV!$C:$AL,31,0)-'TRADE IN'!$F237))</f>
        <v>699</v>
      </c>
      <c r="AH237" s="56">
        <f>IF(VLOOKUP($C237,REV!$C:$AL,32,0)-'TRADE IN'!$F237=0,"",(VLOOKUP($C237,REV!$C:$AL,32,0)-'TRADE IN'!$F237))</f>
        <v>699</v>
      </c>
      <c r="AI237" s="56">
        <f>IF(VLOOKUP($C237,REV!$C:$AL,33,0)-'TRADE IN'!$F237=0,"",(VLOOKUP($C237,REV!$C:$AL,33,0)-'TRADE IN'!$F237))</f>
        <v>699</v>
      </c>
      <c r="AJ237" s="56">
        <f>IF(VLOOKUP($C237,REV!$C:$AL,34,0)-'TRADE IN'!$F237=0,"",(VLOOKUP($C237,REV!$C:$AL,34,0)-'TRADE IN'!$F237))</f>
        <v>699</v>
      </c>
      <c r="AK237" s="56">
        <f>IF(VLOOKUP($C237,REV!$C:$AL,35,0)-'TRADE IN'!$F237=0,"",(VLOOKUP($C237,REV!$C:$AL,35,0)-'TRADE IN'!$F237))</f>
        <v>699</v>
      </c>
      <c r="AL237" s="56">
        <f>IF(VLOOKUP($C237,REV!$C:$AL,36,0)-'TRADE IN'!$F237=0,"",(VLOOKUP($C237,REV!$C:$AL,36,0)-'TRADE IN'!$F237))</f>
        <v>699</v>
      </c>
      <c r="AM237" s="55"/>
      <c r="AN237" s="55"/>
      <c r="AO237" s="55"/>
      <c r="AP237" s="55"/>
      <c r="AQ237" s="55"/>
      <c r="AR237" s="55"/>
      <c r="AS237" s="55"/>
      <c r="AT237" s="55"/>
      <c r="AU237" s="55"/>
      <c r="AV237" s="57"/>
      <c r="AW237" s="58" t="str">
        <f>REV!AW237</f>
        <v>03.11.2026</v>
      </c>
      <c r="AX237" s="147" t="str">
        <f>VLOOKUP(C237,REV!C:AX,48,0)</f>
        <v>5G</v>
      </c>
    </row>
    <row r="238" spans="1:50" ht="22.5" customHeight="1">
      <c r="A238" s="64" t="s">
        <v>241</v>
      </c>
      <c r="B238" s="52" t="s">
        <v>64</v>
      </c>
      <c r="C238" s="53">
        <v>4016995</v>
      </c>
      <c r="D238" s="68" t="s">
        <v>385</v>
      </c>
      <c r="E238" s="65" t="s">
        <v>389</v>
      </c>
      <c r="F238" s="55"/>
      <c r="G238" s="55"/>
      <c r="H238" s="55"/>
      <c r="I238" s="55"/>
      <c r="J238" s="56">
        <f>IF(VLOOKUP($C238,REV!$C:$AA,8,0)-'TRADE IN'!$F238=0,"",(VLOOKUP($C238,REV!$C:$AA,8,0)-'TRADE IN'!$F238))</f>
        <v>799</v>
      </c>
      <c r="K238" s="56">
        <f>IF(VLOOKUP($C238,REV!$C:$AA,9,0)-'TRADE IN'!$F238=0,"",(VLOOKUP($C238,REV!$C:$AA,9,0)-'TRADE IN'!$F238))</f>
        <v>699</v>
      </c>
      <c r="L238" s="56">
        <f>IF(VLOOKUP($C238,REV!$C:$AA,10,0)-'TRADE IN'!$F238=0,"",(VLOOKUP($C238,REV!$C:$AA,10,0)-'TRADE IN'!$F238))</f>
        <v>699</v>
      </c>
      <c r="M238" s="56">
        <f>IF(VLOOKUP($C238,REV!$C:$AA,11,0)-'TRADE IN'!$F238=0,"",(VLOOKUP($C238,REV!$C:$AA,11,0)-'TRADE IN'!$F238))</f>
        <v>799</v>
      </c>
      <c r="N238" s="56">
        <f>IF(VLOOKUP($C238,REV!$C:$AA,12,0)-'TRADE IN'!$F238=0,"",(VLOOKUP($C238,REV!$C:$AA,12,0)-'TRADE IN'!$F238))</f>
        <v>699</v>
      </c>
      <c r="O238" s="56">
        <f>IF(VLOOKUP($C238,REV!$C:$AA,13,0)-'TRADE IN'!$F238=0,"",(VLOOKUP($C238,REV!$C:$AA,13,0)-'TRADE IN'!$F238))</f>
        <v>699</v>
      </c>
      <c r="P238" s="56">
        <f>IF(VLOOKUP($C238,REV!$C:$AA,14,0)-'TRADE IN'!$F238=0,"",(VLOOKUP($C238,REV!$C:$AA,14,0)-'TRADE IN'!$F238))</f>
        <v>699</v>
      </c>
      <c r="Q238" s="56">
        <f>IF(VLOOKUP($C238,REV!$C:$AA,15,0)-'TRADE IN'!$F238=0,"",(VLOOKUP($C238,REV!$C:$AA,15,0)-'TRADE IN'!$F238))</f>
        <v>699</v>
      </c>
      <c r="R238" s="56">
        <f>IF(VLOOKUP($C238,REV!$C:$AA,16,0)-'TRADE IN'!$F238=0,"",(VLOOKUP($C238,REV!$C:$AA,16,0)-'TRADE IN'!$F238))</f>
        <v>699</v>
      </c>
      <c r="S238" s="56">
        <f>IF(VLOOKUP($C238,REV!$C:$AA,17,0)-'TRADE IN'!$F238=0,"",(VLOOKUP($C238,REV!$C:$AA,17,0)-'TRADE IN'!$F238))</f>
        <v>699</v>
      </c>
      <c r="T238" s="56">
        <f>IF(VLOOKUP($C238,REV!$C:$AA,18,0)-'TRADE IN'!$F238=0,"",(VLOOKUP($C238,REV!$C:$AA,18,0)-'TRADE IN'!$F238))</f>
        <v>699</v>
      </c>
      <c r="U238" s="56">
        <f>IF(VLOOKUP($C238,REV!$C:$AA,19,0)-'TRADE IN'!$F238=0,"",(VLOOKUP($C238,REV!$C:$AA,19,0)-'TRADE IN'!$F238))</f>
        <v>699</v>
      </c>
      <c r="V238" s="56">
        <f>IF(VLOOKUP($C238,REV!$C:$AA,20,0)-'TRADE IN'!$F238=0,"",(VLOOKUP($C238,REV!$C:$AA,20,0)-'TRADE IN'!$F238))</f>
        <v>699</v>
      </c>
      <c r="W238" s="56">
        <f>IF(VLOOKUP($C238,REV!$C:$AA,21,0)-'TRADE IN'!$F238=0,"",(VLOOKUP($C238,REV!$C:$AA,21,0)-'TRADE IN'!$F238))</f>
        <v>699</v>
      </c>
      <c r="X238" s="56">
        <f>IF(VLOOKUP($C238,REV!$C:$AA,22,0)-'TRADE IN'!$F238=0,"",(VLOOKUP($C238,REV!$C:$AA,22,0)-'TRADE IN'!$F238))</f>
        <v>699</v>
      </c>
      <c r="Y238" s="56">
        <f>IF(VLOOKUP($C238,REV!$C:$AA,23,0)-'TRADE IN'!$F238=0,"",(VLOOKUP($C238,REV!$C:$AA,23,0)-'TRADE IN'!$F238))</f>
        <v>699</v>
      </c>
      <c r="Z238" s="56">
        <f>IF(VLOOKUP($C238,REV!$C:$AA,24,0)-'TRADE IN'!$F238=0,"",(VLOOKUP($C238,REV!$C:$AA,24,0)-'TRADE IN'!$F238))</f>
        <v>699</v>
      </c>
      <c r="AA238" s="56">
        <f>IF(VLOOKUP($C238,REV!$C:$AA,25,0)-'TRADE IN'!$F238=0,"",(VLOOKUP($C238,REV!$C:$AA,25,0)-'TRADE IN'!$F238))</f>
        <v>699</v>
      </c>
      <c r="AB238" s="56">
        <f>IF(VLOOKUP($C238,REV!$C:$AL,27,0)-'TRADE IN'!$F238=0,"",(VLOOKUP($C238,REV!$C:$AL,27,0)-'TRADE IN'!$F238))</f>
        <v>799</v>
      </c>
      <c r="AC238" s="56">
        <f>IF(VLOOKUP($C238,REV!$C:$AL,28,0)-'TRADE IN'!$F238=0,"",(VLOOKUP($C238,REV!$C:$AL,28,0)-'TRADE IN'!$F238))</f>
        <v>799</v>
      </c>
      <c r="AD238" s="56">
        <f>IF(VLOOKUP($C238,REV!$C:$AL,29,0)-'TRADE IN'!$F238=0,"",(VLOOKUP($C238,REV!$C:$AL,29,0)-'TRADE IN'!$F238))</f>
        <v>799</v>
      </c>
      <c r="AE238" s="56">
        <f>IF(VLOOKUP($C238,REV!$C:$AL,30,0)-'TRADE IN'!$F238=0,"",(VLOOKUP($C238,REV!$C:$AL,30,0)-'TRADE IN'!$F238))</f>
        <v>699</v>
      </c>
      <c r="AF238" s="56">
        <f>IF(VLOOKUP($C238,REV!$C:$AL,31,0)-'TRADE IN'!$F238=0,"",(VLOOKUP($C238,REV!$C:$AL,31,0)-'TRADE IN'!$F238))</f>
        <v>699</v>
      </c>
      <c r="AG238" s="56">
        <f>IF(VLOOKUP($C238,REV!$C:$AL,31,0)-'TRADE IN'!$F238=0,"",(VLOOKUP($C238,REV!$C:$AL,31,0)-'TRADE IN'!$F238))</f>
        <v>699</v>
      </c>
      <c r="AH238" s="56">
        <f>IF(VLOOKUP($C238,REV!$C:$AL,32,0)-'TRADE IN'!$F238=0,"",(VLOOKUP($C238,REV!$C:$AL,32,0)-'TRADE IN'!$F238))</f>
        <v>699</v>
      </c>
      <c r="AI238" s="56">
        <f>IF(VLOOKUP($C238,REV!$C:$AL,33,0)-'TRADE IN'!$F238=0,"",(VLOOKUP($C238,REV!$C:$AL,33,0)-'TRADE IN'!$F238))</f>
        <v>699</v>
      </c>
      <c r="AJ238" s="56">
        <f>IF(VLOOKUP($C238,REV!$C:$AL,34,0)-'TRADE IN'!$F238=0,"",(VLOOKUP($C238,REV!$C:$AL,34,0)-'TRADE IN'!$F238))</f>
        <v>699</v>
      </c>
      <c r="AK238" s="56">
        <f>IF(VLOOKUP($C238,REV!$C:$AL,35,0)-'TRADE IN'!$F238=0,"",(VLOOKUP($C238,REV!$C:$AL,35,0)-'TRADE IN'!$F238))</f>
        <v>699</v>
      </c>
      <c r="AL238" s="56">
        <f>IF(VLOOKUP($C238,REV!$C:$AL,36,0)-'TRADE IN'!$F238=0,"",(VLOOKUP($C238,REV!$C:$AL,36,0)-'TRADE IN'!$F238))</f>
        <v>699</v>
      </c>
      <c r="AM238" s="55"/>
      <c r="AN238" s="55"/>
      <c r="AO238" s="55"/>
      <c r="AP238" s="55"/>
      <c r="AQ238" s="55"/>
      <c r="AR238" s="55"/>
      <c r="AS238" s="55"/>
      <c r="AT238" s="55"/>
      <c r="AU238" s="55"/>
      <c r="AV238" s="57"/>
      <c r="AW238" s="58" t="str">
        <f>REV!AW238</f>
        <v>03.11.2026</v>
      </c>
      <c r="AX238" s="147" t="str">
        <f>VLOOKUP(C238,REV!C:AX,48,0)</f>
        <v>5G</v>
      </c>
    </row>
    <row r="239" spans="1:50" ht="22.5" customHeight="1">
      <c r="A239" s="64" t="s">
        <v>241</v>
      </c>
      <c r="B239" s="52" t="s">
        <v>64</v>
      </c>
      <c r="C239" s="69">
        <v>4017375</v>
      </c>
      <c r="D239" s="68" t="s">
        <v>390</v>
      </c>
      <c r="E239" s="65" t="s">
        <v>391</v>
      </c>
      <c r="F239" s="55"/>
      <c r="G239" s="55"/>
      <c r="H239" s="55"/>
      <c r="I239" s="55"/>
      <c r="J239" s="56">
        <f>IF(VLOOKUP($C239,REV!$C:$AA,8,0)-'TRADE IN'!$F239=0,"",(VLOOKUP($C239,REV!$C:$AA,8,0)-'TRADE IN'!$F239))</f>
        <v>899</v>
      </c>
      <c r="K239" s="56">
        <f>IF(VLOOKUP($C239,REV!$C:$AA,9,0)-'TRADE IN'!$F239=0,"",(VLOOKUP($C239,REV!$C:$AA,9,0)-'TRADE IN'!$F239))</f>
        <v>799</v>
      </c>
      <c r="L239" s="56">
        <f>IF(VLOOKUP($C239,REV!$C:$AA,10,0)-'TRADE IN'!$F239=0,"",(VLOOKUP($C239,REV!$C:$AA,10,0)-'TRADE IN'!$F239))</f>
        <v>799</v>
      </c>
      <c r="M239" s="56">
        <f>IF(VLOOKUP($C239,REV!$C:$AA,11,0)-'TRADE IN'!$F239=0,"",(VLOOKUP($C239,REV!$C:$AA,11,0)-'TRADE IN'!$F239))</f>
        <v>899</v>
      </c>
      <c r="N239" s="56">
        <f>IF(VLOOKUP($C239,REV!$C:$AA,12,0)-'TRADE IN'!$F239=0,"",(VLOOKUP($C239,REV!$C:$AA,12,0)-'TRADE IN'!$F239))</f>
        <v>799</v>
      </c>
      <c r="O239" s="56">
        <f>IF(VLOOKUP($C239,REV!$C:$AA,13,0)-'TRADE IN'!$F239=0,"",(VLOOKUP($C239,REV!$C:$AA,13,0)-'TRADE IN'!$F239))</f>
        <v>749</v>
      </c>
      <c r="P239" s="56">
        <f>IF(VLOOKUP($C239,REV!$C:$AA,14,0)-'TRADE IN'!$F239=0,"",(VLOOKUP($C239,REV!$C:$AA,14,0)-'TRADE IN'!$F239))</f>
        <v>749</v>
      </c>
      <c r="Q239" s="56">
        <f>IF(VLOOKUP($C239,REV!$C:$AA,15,0)-'TRADE IN'!$F239=0,"",(VLOOKUP($C239,REV!$C:$AA,15,0)-'TRADE IN'!$F239))</f>
        <v>699</v>
      </c>
      <c r="R239" s="56">
        <f>IF(VLOOKUP($C239,REV!$C:$AA,16,0)-'TRADE IN'!$F239=0,"",(VLOOKUP($C239,REV!$C:$AA,16,0)-'TRADE IN'!$F239))</f>
        <v>749</v>
      </c>
      <c r="S239" s="56">
        <f>IF(VLOOKUP($C239,REV!$C:$AA,17,0)-'TRADE IN'!$F239=0,"",(VLOOKUP($C239,REV!$C:$AA,17,0)-'TRADE IN'!$F239))</f>
        <v>749</v>
      </c>
      <c r="T239" s="56">
        <f>IF(VLOOKUP($C239,REV!$C:$AA,18,0)-'TRADE IN'!$F239=0,"",(VLOOKUP($C239,REV!$C:$AA,18,0)-'TRADE IN'!$F239))</f>
        <v>699</v>
      </c>
      <c r="U239" s="56">
        <f>IF(VLOOKUP($C239,REV!$C:$AA,19,0)-'TRADE IN'!$F239=0,"",(VLOOKUP($C239,REV!$C:$AA,19,0)-'TRADE IN'!$F239))</f>
        <v>699</v>
      </c>
      <c r="V239" s="56">
        <f>IF(VLOOKUP($C239,REV!$C:$AA,20,0)-'TRADE IN'!$F239=0,"",(VLOOKUP($C239,REV!$C:$AA,20,0)-'TRADE IN'!$F239))</f>
        <v>699</v>
      </c>
      <c r="W239" s="56">
        <f>IF(VLOOKUP($C239,REV!$C:$AA,21,0)-'TRADE IN'!$F239=0,"",(VLOOKUP($C239,REV!$C:$AA,21,0)-'TRADE IN'!$F239))</f>
        <v>699</v>
      </c>
      <c r="X239" s="56">
        <f>IF(VLOOKUP($C239,REV!$C:$AA,22,0)-'TRADE IN'!$F239=0,"",(VLOOKUP($C239,REV!$C:$AA,22,0)-'TRADE IN'!$F239))</f>
        <v>699</v>
      </c>
      <c r="Y239" s="56">
        <f>IF(VLOOKUP($C239,REV!$C:$AA,23,0)-'TRADE IN'!$F239=0,"",(VLOOKUP($C239,REV!$C:$AA,23,0)-'TRADE IN'!$F239))</f>
        <v>699</v>
      </c>
      <c r="Z239" s="56">
        <f>IF(VLOOKUP($C239,REV!$C:$AA,24,0)-'TRADE IN'!$F239=0,"",(VLOOKUP($C239,REV!$C:$AA,24,0)-'TRADE IN'!$F239))</f>
        <v>699</v>
      </c>
      <c r="AA239" s="56">
        <f>IF(VLOOKUP($C239,REV!$C:$AA,25,0)-'TRADE IN'!$F239=0,"",(VLOOKUP($C239,REV!$C:$AA,25,0)-'TRADE IN'!$F239))</f>
        <v>699</v>
      </c>
      <c r="AB239" s="56">
        <f>IF(VLOOKUP($C239,REV!$C:$AL,27,0)-'TRADE IN'!$F239=0,"",(VLOOKUP($C239,REV!$C:$AL,27,0)-'TRADE IN'!$F239))</f>
        <v>799</v>
      </c>
      <c r="AC239" s="56">
        <f>IF(VLOOKUP($C239,REV!$C:$AL,28,0)-'TRADE IN'!$F239=0,"",(VLOOKUP($C239,REV!$C:$AL,28,0)-'TRADE IN'!$F239))</f>
        <v>799</v>
      </c>
      <c r="AD239" s="56">
        <f>IF(VLOOKUP($C239,REV!$C:$AL,29,0)-'TRADE IN'!$F239=0,"",(VLOOKUP($C239,REV!$C:$AL,29,0)-'TRADE IN'!$F239))</f>
        <v>749</v>
      </c>
      <c r="AE239" s="56">
        <f>IF(VLOOKUP($C239,REV!$C:$AL,30,0)-'TRADE IN'!$F239=0,"",(VLOOKUP($C239,REV!$C:$AL,30,0)-'TRADE IN'!$F239))</f>
        <v>749</v>
      </c>
      <c r="AF239" s="56">
        <f>IF(VLOOKUP($C239,REV!$C:$AL,31,0)-'TRADE IN'!$F239=0,"",(VLOOKUP($C239,REV!$C:$AL,31,0)-'TRADE IN'!$F239))</f>
        <v>749</v>
      </c>
      <c r="AG239" s="56">
        <f>IF(VLOOKUP($C239,REV!$C:$AL,31,0)-'TRADE IN'!$F239=0,"",(VLOOKUP($C239,REV!$C:$AL,31,0)-'TRADE IN'!$F239))</f>
        <v>749</v>
      </c>
      <c r="AH239" s="56">
        <f>IF(VLOOKUP($C239,REV!$C:$AL,32,0)-'TRADE IN'!$F239=0,"",(VLOOKUP($C239,REV!$C:$AL,32,0)-'TRADE IN'!$F239))</f>
        <v>699</v>
      </c>
      <c r="AI239" s="56">
        <f>IF(VLOOKUP($C239,REV!$C:$AL,33,0)-'TRADE IN'!$F239=0,"",(VLOOKUP($C239,REV!$C:$AL,33,0)-'TRADE IN'!$F239))</f>
        <v>699</v>
      </c>
      <c r="AJ239" s="56">
        <f>IF(VLOOKUP($C239,REV!$C:$AL,34,0)-'TRADE IN'!$F239=0,"",(VLOOKUP($C239,REV!$C:$AL,34,0)-'TRADE IN'!$F239))</f>
        <v>699</v>
      </c>
      <c r="AK239" s="56">
        <f>IF(VLOOKUP($C239,REV!$C:$AL,35,0)-'TRADE IN'!$F239=0,"",(VLOOKUP($C239,REV!$C:$AL,35,0)-'TRADE IN'!$F239))</f>
        <v>699</v>
      </c>
      <c r="AL239" s="56">
        <f>IF(VLOOKUP($C239,REV!$C:$AL,36,0)-'TRADE IN'!$F239=0,"",(VLOOKUP($C239,REV!$C:$AL,36,0)-'TRADE IN'!$F239))</f>
        <v>699</v>
      </c>
      <c r="AM239" s="55"/>
      <c r="AN239" s="55"/>
      <c r="AO239" s="55"/>
      <c r="AP239" s="55"/>
      <c r="AQ239" s="55"/>
      <c r="AR239" s="55"/>
      <c r="AS239" s="55"/>
      <c r="AT239" s="55"/>
      <c r="AU239" s="55"/>
      <c r="AV239" s="57"/>
      <c r="AW239" s="58" t="str">
        <f>REV!AW239</f>
        <v>03.11.2026</v>
      </c>
      <c r="AX239" s="147" t="str">
        <f>VLOOKUP(C239,REV!C:AX,48,0)</f>
        <v>5G</v>
      </c>
    </row>
    <row r="240" spans="1:50" ht="22.5" customHeight="1">
      <c r="A240" s="64" t="s">
        <v>241</v>
      </c>
      <c r="B240" s="52" t="s">
        <v>64</v>
      </c>
      <c r="C240" s="69">
        <v>4017537</v>
      </c>
      <c r="D240" s="68" t="s">
        <v>390</v>
      </c>
      <c r="E240" s="65" t="s">
        <v>392</v>
      </c>
      <c r="F240" s="55"/>
      <c r="G240" s="55"/>
      <c r="H240" s="55"/>
      <c r="I240" s="55"/>
      <c r="J240" s="56">
        <f>IF(VLOOKUP($C240,REV!$C:$AA,8,0)-'TRADE IN'!$F240=0,"",(VLOOKUP($C240,REV!$C:$AA,8,0)-'TRADE IN'!$F240))</f>
        <v>899</v>
      </c>
      <c r="K240" s="56">
        <f>IF(VLOOKUP($C240,REV!$C:$AA,9,0)-'TRADE IN'!$F240=0,"",(VLOOKUP($C240,REV!$C:$AA,9,0)-'TRADE IN'!$F240))</f>
        <v>799</v>
      </c>
      <c r="L240" s="56">
        <f>IF(VLOOKUP($C240,REV!$C:$AA,10,0)-'TRADE IN'!$F240=0,"",(VLOOKUP($C240,REV!$C:$AA,10,0)-'TRADE IN'!$F240))</f>
        <v>799</v>
      </c>
      <c r="M240" s="56">
        <f>IF(VLOOKUP($C240,REV!$C:$AA,11,0)-'TRADE IN'!$F240=0,"",(VLOOKUP($C240,REV!$C:$AA,11,0)-'TRADE IN'!$F240))</f>
        <v>899</v>
      </c>
      <c r="N240" s="56">
        <f>IF(VLOOKUP($C240,REV!$C:$AA,12,0)-'TRADE IN'!$F240=0,"",(VLOOKUP($C240,REV!$C:$AA,12,0)-'TRADE IN'!$F240))</f>
        <v>799</v>
      </c>
      <c r="O240" s="56">
        <f>IF(VLOOKUP($C240,REV!$C:$AA,13,0)-'TRADE IN'!$F240=0,"",(VLOOKUP($C240,REV!$C:$AA,13,0)-'TRADE IN'!$F240))</f>
        <v>749</v>
      </c>
      <c r="P240" s="56">
        <f>IF(VLOOKUP($C240,REV!$C:$AA,14,0)-'TRADE IN'!$F240=0,"",(VLOOKUP($C240,REV!$C:$AA,14,0)-'TRADE IN'!$F240))</f>
        <v>749</v>
      </c>
      <c r="Q240" s="56">
        <f>IF(VLOOKUP($C240,REV!$C:$AA,15,0)-'TRADE IN'!$F240=0,"",(VLOOKUP($C240,REV!$C:$AA,15,0)-'TRADE IN'!$F240))</f>
        <v>699</v>
      </c>
      <c r="R240" s="56">
        <f>IF(VLOOKUP($C240,REV!$C:$AA,16,0)-'TRADE IN'!$F240=0,"",(VLOOKUP($C240,REV!$C:$AA,16,0)-'TRADE IN'!$F240))</f>
        <v>749</v>
      </c>
      <c r="S240" s="56">
        <f>IF(VLOOKUP($C240,REV!$C:$AA,17,0)-'TRADE IN'!$F240=0,"",(VLOOKUP($C240,REV!$C:$AA,17,0)-'TRADE IN'!$F240))</f>
        <v>749</v>
      </c>
      <c r="T240" s="56">
        <f>IF(VLOOKUP($C240,REV!$C:$AA,18,0)-'TRADE IN'!$F240=0,"",(VLOOKUP($C240,REV!$C:$AA,18,0)-'TRADE IN'!$F240))</f>
        <v>699</v>
      </c>
      <c r="U240" s="56">
        <f>IF(VLOOKUP($C240,REV!$C:$AA,19,0)-'TRADE IN'!$F240=0,"",(VLOOKUP($C240,REV!$C:$AA,19,0)-'TRADE IN'!$F240))</f>
        <v>699</v>
      </c>
      <c r="V240" s="56">
        <f>IF(VLOOKUP($C240,REV!$C:$AA,20,0)-'TRADE IN'!$F240=0,"",(VLOOKUP($C240,REV!$C:$AA,20,0)-'TRADE IN'!$F240))</f>
        <v>699</v>
      </c>
      <c r="W240" s="56">
        <f>IF(VLOOKUP($C240,REV!$C:$AA,21,0)-'TRADE IN'!$F240=0,"",(VLOOKUP($C240,REV!$C:$AA,21,0)-'TRADE IN'!$F240))</f>
        <v>699</v>
      </c>
      <c r="X240" s="56">
        <f>IF(VLOOKUP($C240,REV!$C:$AA,22,0)-'TRADE IN'!$F240=0,"",(VLOOKUP($C240,REV!$C:$AA,22,0)-'TRADE IN'!$F240))</f>
        <v>699</v>
      </c>
      <c r="Y240" s="56">
        <f>IF(VLOOKUP($C240,REV!$C:$AA,23,0)-'TRADE IN'!$F240=0,"",(VLOOKUP($C240,REV!$C:$AA,23,0)-'TRADE IN'!$F240))</f>
        <v>699</v>
      </c>
      <c r="Z240" s="56">
        <f>IF(VLOOKUP($C240,REV!$C:$AA,24,0)-'TRADE IN'!$F240=0,"",(VLOOKUP($C240,REV!$C:$AA,24,0)-'TRADE IN'!$F240))</f>
        <v>699</v>
      </c>
      <c r="AA240" s="56">
        <f>IF(VLOOKUP($C240,REV!$C:$AA,25,0)-'TRADE IN'!$F240=0,"",(VLOOKUP($C240,REV!$C:$AA,25,0)-'TRADE IN'!$F240))</f>
        <v>699</v>
      </c>
      <c r="AB240" s="56">
        <f>IF(VLOOKUP($C240,REV!$C:$AL,27,0)-'TRADE IN'!$F240=0,"",(VLOOKUP($C240,REV!$C:$AL,27,0)-'TRADE IN'!$F240))</f>
        <v>799</v>
      </c>
      <c r="AC240" s="56">
        <f>IF(VLOOKUP($C240,REV!$C:$AL,28,0)-'TRADE IN'!$F240=0,"",(VLOOKUP($C240,REV!$C:$AL,28,0)-'TRADE IN'!$F240))</f>
        <v>799</v>
      </c>
      <c r="AD240" s="56">
        <f>IF(VLOOKUP($C240,REV!$C:$AL,29,0)-'TRADE IN'!$F240=0,"",(VLOOKUP($C240,REV!$C:$AL,29,0)-'TRADE IN'!$F240))</f>
        <v>749</v>
      </c>
      <c r="AE240" s="56">
        <f>IF(VLOOKUP($C240,REV!$C:$AL,30,0)-'TRADE IN'!$F240=0,"",(VLOOKUP($C240,REV!$C:$AL,30,0)-'TRADE IN'!$F240))</f>
        <v>749</v>
      </c>
      <c r="AF240" s="56">
        <f>IF(VLOOKUP($C240,REV!$C:$AL,31,0)-'TRADE IN'!$F240=0,"",(VLOOKUP($C240,REV!$C:$AL,31,0)-'TRADE IN'!$F240))</f>
        <v>749</v>
      </c>
      <c r="AG240" s="56">
        <f>IF(VLOOKUP($C240,REV!$C:$AL,31,0)-'TRADE IN'!$F240=0,"",(VLOOKUP($C240,REV!$C:$AL,31,0)-'TRADE IN'!$F240))</f>
        <v>749</v>
      </c>
      <c r="AH240" s="56">
        <f>IF(VLOOKUP($C240,REV!$C:$AL,32,0)-'TRADE IN'!$F240=0,"",(VLOOKUP($C240,REV!$C:$AL,32,0)-'TRADE IN'!$F240))</f>
        <v>699</v>
      </c>
      <c r="AI240" s="56">
        <f>IF(VLOOKUP($C240,REV!$C:$AL,33,0)-'TRADE IN'!$F240=0,"",(VLOOKUP($C240,REV!$C:$AL,33,0)-'TRADE IN'!$F240))</f>
        <v>699</v>
      </c>
      <c r="AJ240" s="56">
        <f>IF(VLOOKUP($C240,REV!$C:$AL,34,0)-'TRADE IN'!$F240=0,"",(VLOOKUP($C240,REV!$C:$AL,34,0)-'TRADE IN'!$F240))</f>
        <v>699</v>
      </c>
      <c r="AK240" s="56">
        <f>IF(VLOOKUP($C240,REV!$C:$AL,35,0)-'TRADE IN'!$F240=0,"",(VLOOKUP($C240,REV!$C:$AL,35,0)-'TRADE IN'!$F240))</f>
        <v>699</v>
      </c>
      <c r="AL240" s="56">
        <f>IF(VLOOKUP($C240,REV!$C:$AL,36,0)-'TRADE IN'!$F240=0,"",(VLOOKUP($C240,REV!$C:$AL,36,0)-'TRADE IN'!$F240))</f>
        <v>699</v>
      </c>
      <c r="AM240" s="55"/>
      <c r="AN240" s="55"/>
      <c r="AO240" s="55"/>
      <c r="AP240" s="55"/>
      <c r="AQ240" s="55"/>
      <c r="AR240" s="55"/>
      <c r="AS240" s="55"/>
      <c r="AT240" s="55"/>
      <c r="AU240" s="55"/>
      <c r="AV240" s="57"/>
      <c r="AW240" s="58" t="str">
        <f>REV!AW240</f>
        <v>03.11.2026</v>
      </c>
      <c r="AX240" s="147" t="str">
        <f>VLOOKUP(C240,REV!C:AX,48,0)</f>
        <v>5G</v>
      </c>
    </row>
    <row r="241" spans="1:50" ht="22.5" customHeight="1">
      <c r="A241" s="64" t="s">
        <v>241</v>
      </c>
      <c r="B241" s="52" t="s">
        <v>64</v>
      </c>
      <c r="C241" s="53">
        <v>4017541</v>
      </c>
      <c r="D241" s="68" t="s">
        <v>393</v>
      </c>
      <c r="E241" s="65" t="s">
        <v>394</v>
      </c>
      <c r="F241" s="55"/>
      <c r="G241" s="55"/>
      <c r="H241" s="55"/>
      <c r="I241" s="55"/>
      <c r="J241" s="56">
        <f>IF(VLOOKUP($C241,REV!$C:$AA,8,0)-'TRADE IN'!$F241=0,"",(VLOOKUP($C241,REV!$C:$AA,8,0)-'TRADE IN'!$F241))</f>
        <v>1099</v>
      </c>
      <c r="K241" s="56">
        <f>IF(VLOOKUP($C241,REV!$C:$AA,9,0)-'TRADE IN'!$F241=0,"",(VLOOKUP($C241,REV!$C:$AA,9,0)-'TRADE IN'!$F241))</f>
        <v>1049</v>
      </c>
      <c r="L241" s="56">
        <f>IF(VLOOKUP($C241,REV!$C:$AA,10,0)-'TRADE IN'!$F241=0,"",(VLOOKUP($C241,REV!$C:$AA,10,0)-'TRADE IN'!$F241))</f>
        <v>1049</v>
      </c>
      <c r="M241" s="56">
        <f>IF(VLOOKUP($C241,REV!$C:$AA,11,0)-'TRADE IN'!$F241=0,"",(VLOOKUP($C241,REV!$C:$AA,11,0)-'TRADE IN'!$F241))</f>
        <v>1099</v>
      </c>
      <c r="N241" s="56">
        <f>IF(VLOOKUP($C241,REV!$C:$AA,12,0)-'TRADE IN'!$F241=0,"",(VLOOKUP($C241,REV!$C:$AA,12,0)-'TRADE IN'!$F241))</f>
        <v>1049</v>
      </c>
      <c r="O241" s="56">
        <f>IF(VLOOKUP($C241,REV!$C:$AA,13,0)-'TRADE IN'!$F241=0,"",(VLOOKUP($C241,REV!$C:$AA,13,0)-'TRADE IN'!$F241))</f>
        <v>999</v>
      </c>
      <c r="P241" s="56">
        <f>IF(VLOOKUP($C241,REV!$C:$AA,14,0)-'TRADE IN'!$F241=0,"",(VLOOKUP($C241,REV!$C:$AA,14,0)-'TRADE IN'!$F241))</f>
        <v>999</v>
      </c>
      <c r="Q241" s="56">
        <f>IF(VLOOKUP($C241,REV!$C:$AA,15,0)-'TRADE IN'!$F241=0,"",(VLOOKUP($C241,REV!$C:$AA,15,0)-'TRADE IN'!$F241))</f>
        <v>999</v>
      </c>
      <c r="R241" s="56">
        <f>IF(VLOOKUP($C241,REV!$C:$AA,16,0)-'TRADE IN'!$F241=0,"",(VLOOKUP($C241,REV!$C:$AA,16,0)-'TRADE IN'!$F241))</f>
        <v>999</v>
      </c>
      <c r="S241" s="56">
        <f>IF(VLOOKUP($C241,REV!$C:$AA,17,0)-'TRADE IN'!$F241=0,"",(VLOOKUP($C241,REV!$C:$AA,17,0)-'TRADE IN'!$F241))</f>
        <v>999</v>
      </c>
      <c r="T241" s="56">
        <f>IF(VLOOKUP($C241,REV!$C:$AA,18,0)-'TRADE IN'!$F241=0,"",(VLOOKUP($C241,REV!$C:$AA,18,0)-'TRADE IN'!$F241))</f>
        <v>999</v>
      </c>
      <c r="U241" s="56">
        <f>IF(VLOOKUP($C241,REV!$C:$AA,19,0)-'TRADE IN'!$F241=0,"",(VLOOKUP($C241,REV!$C:$AA,19,0)-'TRADE IN'!$F241))</f>
        <v>999</v>
      </c>
      <c r="V241" s="56">
        <f>IF(VLOOKUP($C241,REV!$C:$AA,20,0)-'TRADE IN'!$F241=0,"",(VLOOKUP($C241,REV!$C:$AA,20,0)-'TRADE IN'!$F241))</f>
        <v>999</v>
      </c>
      <c r="W241" s="56">
        <f>IF(VLOOKUP($C241,REV!$C:$AA,21,0)-'TRADE IN'!$F241=0,"",(VLOOKUP($C241,REV!$C:$AA,21,0)-'TRADE IN'!$F241))</f>
        <v>999</v>
      </c>
      <c r="X241" s="56">
        <f>IF(VLOOKUP($C241,REV!$C:$AA,22,0)-'TRADE IN'!$F241=0,"",(VLOOKUP($C241,REV!$C:$AA,22,0)-'TRADE IN'!$F241))</f>
        <v>999</v>
      </c>
      <c r="Y241" s="56">
        <f>IF(VLOOKUP($C241,REV!$C:$AA,23,0)-'TRADE IN'!$F241=0,"",(VLOOKUP($C241,REV!$C:$AA,23,0)-'TRADE IN'!$F241))</f>
        <v>999</v>
      </c>
      <c r="Z241" s="56">
        <f>IF(VLOOKUP($C241,REV!$C:$AA,24,0)-'TRADE IN'!$F241=0,"",(VLOOKUP($C241,REV!$C:$AA,24,0)-'TRADE IN'!$F241))</f>
        <v>999</v>
      </c>
      <c r="AA241" s="56">
        <f>IF(VLOOKUP($C241,REV!$C:$AA,25,0)-'TRADE IN'!$F241=0,"",(VLOOKUP($C241,REV!$C:$AA,25,0)-'TRADE IN'!$F241))</f>
        <v>999</v>
      </c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5"/>
      <c r="AN241" s="55"/>
      <c r="AO241" s="55"/>
      <c r="AP241" s="55"/>
      <c r="AQ241" s="55"/>
      <c r="AR241" s="55"/>
      <c r="AS241" s="55"/>
      <c r="AT241" s="55"/>
      <c r="AU241" s="55"/>
      <c r="AV241" s="57"/>
      <c r="AW241" s="58" t="str">
        <f>REV!AW241</f>
        <v>03.11.2026</v>
      </c>
      <c r="AX241" s="147" t="str">
        <f>VLOOKUP(C241,REV!C:AX,48,0)</f>
        <v>4G</v>
      </c>
    </row>
    <row r="242" spans="1:50" ht="22.5" customHeight="1">
      <c r="A242" s="64" t="s">
        <v>241</v>
      </c>
      <c r="B242" s="52" t="s">
        <v>64</v>
      </c>
      <c r="C242" s="53">
        <v>4017544</v>
      </c>
      <c r="D242" s="68" t="s">
        <v>393</v>
      </c>
      <c r="E242" s="65" t="s">
        <v>395</v>
      </c>
      <c r="F242" s="55"/>
      <c r="G242" s="55"/>
      <c r="H242" s="55"/>
      <c r="I242" s="55"/>
      <c r="J242" s="56">
        <f>IF(VLOOKUP($C242,REV!$C:$AA,8,0)-'TRADE IN'!$F242=0,"",(VLOOKUP($C242,REV!$C:$AA,8,0)-'TRADE IN'!$F242))</f>
        <v>1099</v>
      </c>
      <c r="K242" s="56">
        <f>IF(VLOOKUP($C242,REV!$C:$AA,9,0)-'TRADE IN'!$F242=0,"",(VLOOKUP($C242,REV!$C:$AA,9,0)-'TRADE IN'!$F242))</f>
        <v>1049</v>
      </c>
      <c r="L242" s="56">
        <f>IF(VLOOKUP($C242,REV!$C:$AA,10,0)-'TRADE IN'!$F242=0,"",(VLOOKUP($C242,REV!$C:$AA,10,0)-'TRADE IN'!$F242))</f>
        <v>1049</v>
      </c>
      <c r="M242" s="56">
        <f>IF(VLOOKUP($C242,REV!$C:$AA,11,0)-'TRADE IN'!$F242=0,"",(VLOOKUP($C242,REV!$C:$AA,11,0)-'TRADE IN'!$F242))</f>
        <v>1099</v>
      </c>
      <c r="N242" s="56">
        <f>IF(VLOOKUP($C242,REV!$C:$AA,12,0)-'TRADE IN'!$F242=0,"",(VLOOKUP($C242,REV!$C:$AA,12,0)-'TRADE IN'!$F242))</f>
        <v>1049</v>
      </c>
      <c r="O242" s="56">
        <f>IF(VLOOKUP($C242,REV!$C:$AA,13,0)-'TRADE IN'!$F242=0,"",(VLOOKUP($C242,REV!$C:$AA,13,0)-'TRADE IN'!$F242))</f>
        <v>999</v>
      </c>
      <c r="P242" s="56">
        <f>IF(VLOOKUP($C242,REV!$C:$AA,14,0)-'TRADE IN'!$F242=0,"",(VLOOKUP($C242,REV!$C:$AA,14,0)-'TRADE IN'!$F242))</f>
        <v>999</v>
      </c>
      <c r="Q242" s="56">
        <f>IF(VLOOKUP($C242,REV!$C:$AA,15,0)-'TRADE IN'!$F242=0,"",(VLOOKUP($C242,REV!$C:$AA,15,0)-'TRADE IN'!$F242))</f>
        <v>999</v>
      </c>
      <c r="R242" s="56">
        <f>IF(VLOOKUP($C242,REV!$C:$AA,16,0)-'TRADE IN'!$F242=0,"",(VLOOKUP($C242,REV!$C:$AA,16,0)-'TRADE IN'!$F242))</f>
        <v>999</v>
      </c>
      <c r="S242" s="56">
        <f>IF(VLOOKUP($C242,REV!$C:$AA,17,0)-'TRADE IN'!$F242=0,"",(VLOOKUP($C242,REV!$C:$AA,17,0)-'TRADE IN'!$F242))</f>
        <v>999</v>
      </c>
      <c r="T242" s="56">
        <f>IF(VLOOKUP($C242,REV!$C:$AA,18,0)-'TRADE IN'!$F242=0,"",(VLOOKUP($C242,REV!$C:$AA,18,0)-'TRADE IN'!$F242))</f>
        <v>999</v>
      </c>
      <c r="U242" s="56">
        <f>IF(VLOOKUP($C242,REV!$C:$AA,19,0)-'TRADE IN'!$F242=0,"",(VLOOKUP($C242,REV!$C:$AA,19,0)-'TRADE IN'!$F242))</f>
        <v>999</v>
      </c>
      <c r="V242" s="56">
        <f>IF(VLOOKUP($C242,REV!$C:$AA,20,0)-'TRADE IN'!$F242=0,"",(VLOOKUP($C242,REV!$C:$AA,20,0)-'TRADE IN'!$F242))</f>
        <v>999</v>
      </c>
      <c r="W242" s="56">
        <f>IF(VLOOKUP($C242,REV!$C:$AA,21,0)-'TRADE IN'!$F242=0,"",(VLOOKUP($C242,REV!$C:$AA,21,0)-'TRADE IN'!$F242))</f>
        <v>999</v>
      </c>
      <c r="X242" s="56">
        <f>IF(VLOOKUP($C242,REV!$C:$AA,22,0)-'TRADE IN'!$F242=0,"",(VLOOKUP($C242,REV!$C:$AA,22,0)-'TRADE IN'!$F242))</f>
        <v>999</v>
      </c>
      <c r="Y242" s="56">
        <f>IF(VLOOKUP($C242,REV!$C:$AA,23,0)-'TRADE IN'!$F242=0,"",(VLOOKUP($C242,REV!$C:$AA,23,0)-'TRADE IN'!$F242))</f>
        <v>999</v>
      </c>
      <c r="Z242" s="56">
        <f>IF(VLOOKUP($C242,REV!$C:$AA,24,0)-'TRADE IN'!$F242=0,"",(VLOOKUP($C242,REV!$C:$AA,24,0)-'TRADE IN'!$F242))</f>
        <v>999</v>
      </c>
      <c r="AA242" s="56">
        <f>IF(VLOOKUP($C242,REV!$C:$AA,25,0)-'TRADE IN'!$F242=0,"",(VLOOKUP($C242,REV!$C:$AA,25,0)-'TRADE IN'!$F242))</f>
        <v>999</v>
      </c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5"/>
      <c r="AN242" s="55"/>
      <c r="AO242" s="55"/>
      <c r="AP242" s="55"/>
      <c r="AQ242" s="55"/>
      <c r="AR242" s="55"/>
      <c r="AS242" s="55"/>
      <c r="AT242" s="55"/>
      <c r="AU242" s="55"/>
      <c r="AV242" s="57"/>
      <c r="AW242" s="58" t="str">
        <f>REV!AW242</f>
        <v>03.11.2026</v>
      </c>
      <c r="AX242" s="147" t="str">
        <f>VLOOKUP(C242,REV!C:AX,48,0)</f>
        <v>4G</v>
      </c>
    </row>
    <row r="243" spans="1:50" ht="22.5" customHeight="1">
      <c r="A243" s="64" t="s">
        <v>241</v>
      </c>
      <c r="B243" s="52" t="s">
        <v>64</v>
      </c>
      <c r="C243" s="53">
        <v>4017566</v>
      </c>
      <c r="D243" s="68" t="s">
        <v>393</v>
      </c>
      <c r="E243" s="65" t="s">
        <v>396</v>
      </c>
      <c r="F243" s="55"/>
      <c r="G243" s="55"/>
      <c r="H243" s="55"/>
      <c r="I243" s="55"/>
      <c r="J243" s="56">
        <f>IF(VLOOKUP($C243,REV!$C:$AA,8,0)-'TRADE IN'!$F243=0,"",(VLOOKUP($C243,REV!$C:$AA,8,0)-'TRADE IN'!$F243))</f>
        <v>1099</v>
      </c>
      <c r="K243" s="56">
        <f>IF(VLOOKUP($C243,REV!$C:$AA,9,0)-'TRADE IN'!$F243=0,"",(VLOOKUP($C243,REV!$C:$AA,9,0)-'TRADE IN'!$F243))</f>
        <v>1049</v>
      </c>
      <c r="L243" s="56">
        <f>IF(VLOOKUP($C243,REV!$C:$AA,10,0)-'TRADE IN'!$F243=0,"",(VLOOKUP($C243,REV!$C:$AA,10,0)-'TRADE IN'!$F243))</f>
        <v>1049</v>
      </c>
      <c r="M243" s="56">
        <f>IF(VLOOKUP($C243,REV!$C:$AA,11,0)-'TRADE IN'!$F243=0,"",(VLOOKUP($C243,REV!$C:$AA,11,0)-'TRADE IN'!$F243))</f>
        <v>1099</v>
      </c>
      <c r="N243" s="56">
        <f>IF(VLOOKUP($C243,REV!$C:$AA,12,0)-'TRADE IN'!$F243=0,"",(VLOOKUP($C243,REV!$C:$AA,12,0)-'TRADE IN'!$F243))</f>
        <v>1049</v>
      </c>
      <c r="O243" s="56">
        <f>IF(VLOOKUP($C243,REV!$C:$AA,13,0)-'TRADE IN'!$F243=0,"",(VLOOKUP($C243,REV!$C:$AA,13,0)-'TRADE IN'!$F243))</f>
        <v>999</v>
      </c>
      <c r="P243" s="56">
        <f>IF(VLOOKUP($C243,REV!$C:$AA,14,0)-'TRADE IN'!$F243=0,"",(VLOOKUP($C243,REV!$C:$AA,14,0)-'TRADE IN'!$F243))</f>
        <v>999</v>
      </c>
      <c r="Q243" s="56">
        <f>IF(VLOOKUP($C243,REV!$C:$AA,15,0)-'TRADE IN'!$F243=0,"",(VLOOKUP($C243,REV!$C:$AA,15,0)-'TRADE IN'!$F243))</f>
        <v>999</v>
      </c>
      <c r="R243" s="56">
        <f>IF(VLOOKUP($C243,REV!$C:$AA,16,0)-'TRADE IN'!$F243=0,"",(VLOOKUP($C243,REV!$C:$AA,16,0)-'TRADE IN'!$F243))</f>
        <v>999</v>
      </c>
      <c r="S243" s="56">
        <f>IF(VLOOKUP($C243,REV!$C:$AA,17,0)-'TRADE IN'!$F243=0,"",(VLOOKUP($C243,REV!$C:$AA,17,0)-'TRADE IN'!$F243))</f>
        <v>999</v>
      </c>
      <c r="T243" s="56">
        <f>IF(VLOOKUP($C243,REV!$C:$AA,18,0)-'TRADE IN'!$F243=0,"",(VLOOKUP($C243,REV!$C:$AA,18,0)-'TRADE IN'!$F243))</f>
        <v>999</v>
      </c>
      <c r="U243" s="56">
        <f>IF(VLOOKUP($C243,REV!$C:$AA,19,0)-'TRADE IN'!$F243=0,"",(VLOOKUP($C243,REV!$C:$AA,19,0)-'TRADE IN'!$F243))</f>
        <v>999</v>
      </c>
      <c r="V243" s="56">
        <f>IF(VLOOKUP($C243,REV!$C:$AA,20,0)-'TRADE IN'!$F243=0,"",(VLOOKUP($C243,REV!$C:$AA,20,0)-'TRADE IN'!$F243))</f>
        <v>999</v>
      </c>
      <c r="W243" s="56">
        <f>IF(VLOOKUP($C243,REV!$C:$AA,21,0)-'TRADE IN'!$F243=0,"",(VLOOKUP($C243,REV!$C:$AA,21,0)-'TRADE IN'!$F243))</f>
        <v>999</v>
      </c>
      <c r="X243" s="56">
        <f>IF(VLOOKUP($C243,REV!$C:$AA,22,0)-'TRADE IN'!$F243=0,"",(VLOOKUP($C243,REV!$C:$AA,22,0)-'TRADE IN'!$F243))</f>
        <v>999</v>
      </c>
      <c r="Y243" s="56">
        <f>IF(VLOOKUP($C243,REV!$C:$AA,23,0)-'TRADE IN'!$F243=0,"",(VLOOKUP($C243,REV!$C:$AA,23,0)-'TRADE IN'!$F243))</f>
        <v>999</v>
      </c>
      <c r="Z243" s="56">
        <f>IF(VLOOKUP($C243,REV!$C:$AA,24,0)-'TRADE IN'!$F243=0,"",(VLOOKUP($C243,REV!$C:$AA,24,0)-'TRADE IN'!$F243))</f>
        <v>999</v>
      </c>
      <c r="AA243" s="56">
        <f>IF(VLOOKUP($C243,REV!$C:$AA,25,0)-'TRADE IN'!$F243=0,"",(VLOOKUP($C243,REV!$C:$AA,25,0)-'TRADE IN'!$F243))</f>
        <v>999</v>
      </c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5"/>
      <c r="AN243" s="55"/>
      <c r="AO243" s="55"/>
      <c r="AP243" s="55"/>
      <c r="AQ243" s="55"/>
      <c r="AR243" s="55"/>
      <c r="AS243" s="55"/>
      <c r="AT243" s="55"/>
      <c r="AU243" s="55"/>
      <c r="AV243" s="57"/>
      <c r="AW243" s="58" t="str">
        <f>REV!AW243</f>
        <v>03.11.2026</v>
      </c>
      <c r="AX243" s="147" t="str">
        <f>VLOOKUP(C243,REV!C:AX,48,0)</f>
        <v>4G</v>
      </c>
    </row>
    <row r="244" spans="1:50" ht="22.5" customHeight="1">
      <c r="A244" s="64" t="s">
        <v>241</v>
      </c>
      <c r="B244" s="52" t="s">
        <v>64</v>
      </c>
      <c r="C244" s="53">
        <v>4018003</v>
      </c>
      <c r="D244" s="65" t="s">
        <v>397</v>
      </c>
      <c r="E244" s="65" t="s">
        <v>398</v>
      </c>
      <c r="F244" s="55"/>
      <c r="G244" s="55"/>
      <c r="H244" s="55"/>
      <c r="I244" s="55"/>
      <c r="J244" s="56">
        <f>IF(VLOOKUP($C244,REV!$C:$AA,8,0)-'TRADE IN'!$F244=0,"",(VLOOKUP($C244,REV!$C:$AA,8,0)-'TRADE IN'!$F244))</f>
        <v>1099</v>
      </c>
      <c r="K244" s="56">
        <f>IF(VLOOKUP($C244,REV!$C:$AA,9,0)-'TRADE IN'!$F244=0,"",(VLOOKUP($C244,REV!$C:$AA,9,0)-'TRADE IN'!$F244))</f>
        <v>999</v>
      </c>
      <c r="L244" s="56">
        <f>IF(VLOOKUP($C244,REV!$C:$AA,10,0)-'TRADE IN'!$F244=0,"",(VLOOKUP($C244,REV!$C:$AA,10,0)-'TRADE IN'!$F244))</f>
        <v>999</v>
      </c>
      <c r="M244" s="56">
        <f>IF(VLOOKUP($C244,REV!$C:$AA,11,0)-'TRADE IN'!$F244=0,"",(VLOOKUP($C244,REV!$C:$AA,11,0)-'TRADE IN'!$F244))</f>
        <v>1099</v>
      </c>
      <c r="N244" s="56">
        <f>IF(VLOOKUP($C244,REV!$C:$AA,12,0)-'TRADE IN'!$F244=0,"",(VLOOKUP($C244,REV!$C:$AA,12,0)-'TRADE IN'!$F244))</f>
        <v>999</v>
      </c>
      <c r="O244" s="56">
        <f>IF(VLOOKUP($C244,REV!$C:$AA,13,0)-'TRADE IN'!$F244=0,"",(VLOOKUP($C244,REV!$C:$AA,13,0)-'TRADE IN'!$F244))</f>
        <v>949</v>
      </c>
      <c r="P244" s="56">
        <f>IF(VLOOKUP($C244,REV!$C:$AA,14,0)-'TRADE IN'!$F244=0,"",(VLOOKUP($C244,REV!$C:$AA,14,0)-'TRADE IN'!$F244))</f>
        <v>899</v>
      </c>
      <c r="Q244" s="56">
        <f>IF(VLOOKUP($C244,REV!$C:$AA,15,0)-'TRADE IN'!$F244=0,"",(VLOOKUP($C244,REV!$C:$AA,15,0)-'TRADE IN'!$F244))</f>
        <v>849</v>
      </c>
      <c r="R244" s="56">
        <f>IF(VLOOKUP($C244,REV!$C:$AA,16,0)-'TRADE IN'!$F244=0,"",(VLOOKUP($C244,REV!$C:$AA,16,0)-'TRADE IN'!$F244))</f>
        <v>949</v>
      </c>
      <c r="S244" s="56">
        <f>IF(VLOOKUP($C244,REV!$C:$AA,17,0)-'TRADE IN'!$F244=0,"",(VLOOKUP($C244,REV!$C:$AA,17,0)-'TRADE IN'!$F244))</f>
        <v>899</v>
      </c>
      <c r="T244" s="56">
        <f>IF(VLOOKUP($C244,REV!$C:$AA,18,0)-'TRADE IN'!$F244=0,"",(VLOOKUP($C244,REV!$C:$AA,18,0)-'TRADE IN'!$F244))</f>
        <v>849</v>
      </c>
      <c r="U244" s="56">
        <f>IF(VLOOKUP($C244,REV!$C:$AA,19,0)-'TRADE IN'!$F244=0,"",(VLOOKUP($C244,REV!$C:$AA,19,0)-'TRADE IN'!$F244))</f>
        <v>849</v>
      </c>
      <c r="V244" s="56">
        <f>IF(VLOOKUP($C244,REV!$C:$AA,20,0)-'TRADE IN'!$F244=0,"",(VLOOKUP($C244,REV!$C:$AA,20,0)-'TRADE IN'!$F244))</f>
        <v>849</v>
      </c>
      <c r="W244" s="56">
        <f>IF(VLOOKUP($C244,REV!$C:$AA,21,0)-'TRADE IN'!$F244=0,"",(VLOOKUP($C244,REV!$C:$AA,21,0)-'TRADE IN'!$F244))</f>
        <v>849</v>
      </c>
      <c r="X244" s="56">
        <f>IF(VLOOKUP($C244,REV!$C:$AA,22,0)-'TRADE IN'!$F244=0,"",(VLOOKUP($C244,REV!$C:$AA,22,0)-'TRADE IN'!$F244))</f>
        <v>849</v>
      </c>
      <c r="Y244" s="56">
        <f>IF(VLOOKUP($C244,REV!$C:$AA,23,0)-'TRADE IN'!$F244=0,"",(VLOOKUP($C244,REV!$C:$AA,23,0)-'TRADE IN'!$F244))</f>
        <v>799</v>
      </c>
      <c r="Z244" s="56">
        <f>IF(VLOOKUP($C244,REV!$C:$AA,24,0)-'TRADE IN'!$F244=0,"",(VLOOKUP($C244,REV!$C:$AA,24,0)-'TRADE IN'!$F244))</f>
        <v>799</v>
      </c>
      <c r="AA244" s="56">
        <f>IF(VLOOKUP($C244,REV!$C:$AA,25,0)-'TRADE IN'!$F244=0,"",(VLOOKUP($C244,REV!$C:$AA,25,0)-'TRADE IN'!$F244))</f>
        <v>799</v>
      </c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5"/>
      <c r="AN244" s="55"/>
      <c r="AO244" s="55"/>
      <c r="AP244" s="55"/>
      <c r="AQ244" s="55"/>
      <c r="AR244" s="55"/>
      <c r="AS244" s="55"/>
      <c r="AT244" s="55"/>
      <c r="AU244" s="55"/>
      <c r="AV244" s="57"/>
      <c r="AW244" s="58" t="str">
        <f>REV!AW244</f>
        <v>03.11.2026</v>
      </c>
      <c r="AX244" s="147" t="str">
        <f>VLOOKUP(C244,REV!C:AX,48,0)</f>
        <v>5G</v>
      </c>
    </row>
    <row r="245" spans="1:50" ht="22.5" customHeight="1">
      <c r="A245" s="64" t="s">
        <v>241</v>
      </c>
      <c r="B245" s="52" t="s">
        <v>64</v>
      </c>
      <c r="C245" s="53">
        <v>4014848</v>
      </c>
      <c r="D245" s="65" t="s">
        <v>399</v>
      </c>
      <c r="E245" s="65" t="s">
        <v>400</v>
      </c>
      <c r="F245" s="55"/>
      <c r="G245" s="55"/>
      <c r="H245" s="55"/>
      <c r="I245" s="55"/>
      <c r="J245" s="56">
        <f>IF(VLOOKUP($C245,REV!$C:$AA,8,0)-'TRADE IN'!$F245=0,"",(VLOOKUP($C245,REV!$C:$AA,8,0)-'TRADE IN'!$F245))</f>
        <v>499</v>
      </c>
      <c r="K245" s="56">
        <f>IF(VLOOKUP($C245,REV!$C:$AA,9,0)-'TRADE IN'!$F245=0,"",(VLOOKUP($C245,REV!$C:$AA,9,0)-'TRADE IN'!$F245))</f>
        <v>499</v>
      </c>
      <c r="L245" s="56">
        <f>IF(VLOOKUP($C245,REV!$C:$AA,10,0)-'TRADE IN'!$F245=0,"",(VLOOKUP($C245,REV!$C:$AA,10,0)-'TRADE IN'!$F245))</f>
        <v>499</v>
      </c>
      <c r="M245" s="56">
        <f>IF(VLOOKUP($C245,REV!$C:$AA,11,0)-'TRADE IN'!$F245=0,"",(VLOOKUP($C245,REV!$C:$AA,11,0)-'TRADE IN'!$F245))</f>
        <v>499</v>
      </c>
      <c r="N245" s="56">
        <f>IF(VLOOKUP($C245,REV!$C:$AA,12,0)-'TRADE IN'!$F245=0,"",(VLOOKUP($C245,REV!$C:$AA,12,0)-'TRADE IN'!$F245))</f>
        <v>499</v>
      </c>
      <c r="O245" s="56">
        <f>IF(VLOOKUP($C245,REV!$C:$AA,13,0)-'TRADE IN'!$F245=0,"",(VLOOKUP($C245,REV!$C:$AA,13,0)-'TRADE IN'!$F245))</f>
        <v>449</v>
      </c>
      <c r="P245" s="56">
        <f>IF(VLOOKUP($C245,REV!$C:$AA,14,0)-'TRADE IN'!$F245=0,"",(VLOOKUP($C245,REV!$C:$AA,14,0)-'TRADE IN'!$F245))</f>
        <v>449</v>
      </c>
      <c r="Q245" s="56">
        <f>IF(VLOOKUP($C245,REV!$C:$AA,15,0)-'TRADE IN'!$F245=0,"",(VLOOKUP($C245,REV!$C:$AA,15,0)-'TRADE IN'!$F245))</f>
        <v>399</v>
      </c>
      <c r="R245" s="56">
        <f>IF(VLOOKUP($C245,REV!$C:$AA,16,0)-'TRADE IN'!$F245=0,"",(VLOOKUP($C245,REV!$C:$AA,16,0)-'TRADE IN'!$F245))</f>
        <v>449</v>
      </c>
      <c r="S245" s="56">
        <f>IF(VLOOKUP($C245,REV!$C:$AA,17,0)-'TRADE IN'!$F245=0,"",(VLOOKUP($C245,REV!$C:$AA,17,0)-'TRADE IN'!$F245))</f>
        <v>449</v>
      </c>
      <c r="T245" s="56">
        <f>IF(VLOOKUP($C245,REV!$C:$AA,18,0)-'TRADE IN'!$F245=0,"",(VLOOKUP($C245,REV!$C:$AA,18,0)-'TRADE IN'!$F245))</f>
        <v>399</v>
      </c>
      <c r="U245" s="56">
        <f>IF(VLOOKUP($C245,REV!$C:$AA,19,0)-'TRADE IN'!$F245=0,"",(VLOOKUP($C245,REV!$C:$AA,19,0)-'TRADE IN'!$F245))</f>
        <v>399</v>
      </c>
      <c r="V245" s="56">
        <f>IF(VLOOKUP($C245,REV!$C:$AA,20,0)-'TRADE IN'!$F245=0,"",(VLOOKUP($C245,REV!$C:$AA,20,0)-'TRADE IN'!$F245))</f>
        <v>399</v>
      </c>
      <c r="W245" s="56">
        <f>IF(VLOOKUP($C245,REV!$C:$AA,21,0)-'TRADE IN'!$F245=0,"",(VLOOKUP($C245,REV!$C:$AA,21,0)-'TRADE IN'!$F245))</f>
        <v>399</v>
      </c>
      <c r="X245" s="56">
        <f>IF(VLOOKUP($C245,REV!$C:$AA,22,0)-'TRADE IN'!$F245=0,"",(VLOOKUP($C245,REV!$C:$AA,22,0)-'TRADE IN'!$F245))</f>
        <v>399</v>
      </c>
      <c r="Y245" s="56">
        <f>IF(VLOOKUP($C245,REV!$C:$AA,23,0)-'TRADE IN'!$F245=0,"",(VLOOKUP($C245,REV!$C:$AA,23,0)-'TRADE IN'!$F245))</f>
        <v>399</v>
      </c>
      <c r="Z245" s="56">
        <f>IF(VLOOKUP($C245,REV!$C:$AA,24,0)-'TRADE IN'!$F245=0,"",(VLOOKUP($C245,REV!$C:$AA,24,0)-'TRADE IN'!$F245))</f>
        <v>399</v>
      </c>
      <c r="AA245" s="56">
        <f>IF(VLOOKUP($C245,REV!$C:$AA,25,0)-'TRADE IN'!$F245=0,"",(VLOOKUP($C245,REV!$C:$AA,25,0)-'TRADE IN'!$F245))</f>
        <v>399</v>
      </c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7"/>
      <c r="AW245" s="58" t="str">
        <f>REV!AW245</f>
        <v>03.11.2026</v>
      </c>
      <c r="AX245" s="147" t="str">
        <f>VLOOKUP(C245,REV!C:AX,48,0)</f>
        <v>4G</v>
      </c>
    </row>
    <row r="246" spans="1:50" ht="22.5" customHeight="1">
      <c r="A246" s="64" t="s">
        <v>241</v>
      </c>
      <c r="B246" s="52" t="s">
        <v>64</v>
      </c>
      <c r="C246" s="53">
        <v>4014844</v>
      </c>
      <c r="D246" s="65" t="s">
        <v>399</v>
      </c>
      <c r="E246" s="65" t="s">
        <v>401</v>
      </c>
      <c r="F246" s="55"/>
      <c r="G246" s="55"/>
      <c r="H246" s="55"/>
      <c r="I246" s="55"/>
      <c r="J246" s="56">
        <f>IF(VLOOKUP($C246,REV!$C:$AA,8,0)-'TRADE IN'!$F246=0,"",(VLOOKUP($C246,REV!$C:$AA,8,0)-'TRADE IN'!$F246))</f>
        <v>499</v>
      </c>
      <c r="K246" s="56">
        <f>IF(VLOOKUP($C246,REV!$C:$AA,9,0)-'TRADE IN'!$F246=0,"",(VLOOKUP($C246,REV!$C:$AA,9,0)-'TRADE IN'!$F246))</f>
        <v>499</v>
      </c>
      <c r="L246" s="56">
        <f>IF(VLOOKUP($C246,REV!$C:$AA,10,0)-'TRADE IN'!$F246=0,"",(VLOOKUP($C246,REV!$C:$AA,10,0)-'TRADE IN'!$F246))</f>
        <v>499</v>
      </c>
      <c r="M246" s="56">
        <f>IF(VLOOKUP($C246,REV!$C:$AA,11,0)-'TRADE IN'!$F246=0,"",(VLOOKUP($C246,REV!$C:$AA,11,0)-'TRADE IN'!$F246))</f>
        <v>499</v>
      </c>
      <c r="N246" s="56">
        <f>IF(VLOOKUP($C246,REV!$C:$AA,12,0)-'TRADE IN'!$F246=0,"",(VLOOKUP($C246,REV!$C:$AA,12,0)-'TRADE IN'!$F246))</f>
        <v>499</v>
      </c>
      <c r="O246" s="56">
        <f>IF(VLOOKUP($C246,REV!$C:$AA,13,0)-'TRADE IN'!$F246=0,"",(VLOOKUP($C246,REV!$C:$AA,13,0)-'TRADE IN'!$F246))</f>
        <v>449</v>
      </c>
      <c r="P246" s="56">
        <f>IF(VLOOKUP($C246,REV!$C:$AA,14,0)-'TRADE IN'!$F246=0,"",(VLOOKUP($C246,REV!$C:$AA,14,0)-'TRADE IN'!$F246))</f>
        <v>449</v>
      </c>
      <c r="Q246" s="56">
        <f>IF(VLOOKUP($C246,REV!$C:$AA,15,0)-'TRADE IN'!$F246=0,"",(VLOOKUP($C246,REV!$C:$AA,15,0)-'TRADE IN'!$F246))</f>
        <v>399</v>
      </c>
      <c r="R246" s="56">
        <f>IF(VLOOKUP($C246,REV!$C:$AA,16,0)-'TRADE IN'!$F246=0,"",(VLOOKUP($C246,REV!$C:$AA,16,0)-'TRADE IN'!$F246))</f>
        <v>449</v>
      </c>
      <c r="S246" s="56">
        <f>IF(VLOOKUP($C246,REV!$C:$AA,17,0)-'TRADE IN'!$F246=0,"",(VLOOKUP($C246,REV!$C:$AA,17,0)-'TRADE IN'!$F246))</f>
        <v>449</v>
      </c>
      <c r="T246" s="56">
        <f>IF(VLOOKUP($C246,REV!$C:$AA,18,0)-'TRADE IN'!$F246=0,"",(VLOOKUP($C246,REV!$C:$AA,18,0)-'TRADE IN'!$F246))</f>
        <v>399</v>
      </c>
      <c r="U246" s="56">
        <f>IF(VLOOKUP($C246,REV!$C:$AA,19,0)-'TRADE IN'!$F246=0,"",(VLOOKUP($C246,REV!$C:$AA,19,0)-'TRADE IN'!$F246))</f>
        <v>399</v>
      </c>
      <c r="V246" s="56">
        <f>IF(VLOOKUP($C246,REV!$C:$AA,20,0)-'TRADE IN'!$F246=0,"",(VLOOKUP($C246,REV!$C:$AA,20,0)-'TRADE IN'!$F246))</f>
        <v>399</v>
      </c>
      <c r="W246" s="56">
        <f>IF(VLOOKUP($C246,REV!$C:$AA,21,0)-'TRADE IN'!$F246=0,"",(VLOOKUP($C246,REV!$C:$AA,21,0)-'TRADE IN'!$F246))</f>
        <v>399</v>
      </c>
      <c r="X246" s="56">
        <f>IF(VLOOKUP($C246,REV!$C:$AA,22,0)-'TRADE IN'!$F246=0,"",(VLOOKUP($C246,REV!$C:$AA,22,0)-'TRADE IN'!$F246))</f>
        <v>399</v>
      </c>
      <c r="Y246" s="56">
        <f>IF(VLOOKUP($C246,REV!$C:$AA,23,0)-'TRADE IN'!$F246=0,"",(VLOOKUP($C246,REV!$C:$AA,23,0)-'TRADE IN'!$F246))</f>
        <v>399</v>
      </c>
      <c r="Z246" s="56">
        <f>IF(VLOOKUP($C246,REV!$C:$AA,24,0)-'TRADE IN'!$F246=0,"",(VLOOKUP($C246,REV!$C:$AA,24,0)-'TRADE IN'!$F246))</f>
        <v>399</v>
      </c>
      <c r="AA246" s="56">
        <f>IF(VLOOKUP($C246,REV!$C:$AA,25,0)-'TRADE IN'!$F246=0,"",(VLOOKUP($C246,REV!$C:$AA,25,0)-'TRADE IN'!$F246))</f>
        <v>399</v>
      </c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7"/>
      <c r="AW246" s="58" t="str">
        <f>REV!AW246</f>
        <v>03.11.2026</v>
      </c>
      <c r="AX246" s="147" t="str">
        <f>VLOOKUP(C246,REV!C:AX,48,0)</f>
        <v>4G</v>
      </c>
    </row>
    <row r="247" spans="1:50" ht="22.5" customHeight="1">
      <c r="A247" s="64" t="s">
        <v>241</v>
      </c>
      <c r="B247" s="52" t="s">
        <v>64</v>
      </c>
      <c r="C247" s="53">
        <v>4015256</v>
      </c>
      <c r="D247" s="65" t="s">
        <v>402</v>
      </c>
      <c r="E247" s="65" t="s">
        <v>403</v>
      </c>
      <c r="F247" s="55"/>
      <c r="G247" s="55"/>
      <c r="H247" s="55"/>
      <c r="I247" s="55"/>
      <c r="J247" s="56">
        <f>IF(VLOOKUP($C247,REV!$C:$AA,8,0)-'TRADE IN'!$F247=0,"",(VLOOKUP($C247,REV!$C:$AA,8,0)-'TRADE IN'!$F247))</f>
        <v>599</v>
      </c>
      <c r="K247" s="56">
        <f>IF(VLOOKUP($C247,REV!$C:$AA,9,0)-'TRADE IN'!$F247=0,"",(VLOOKUP($C247,REV!$C:$AA,9,0)-'TRADE IN'!$F247))</f>
        <v>599</v>
      </c>
      <c r="L247" s="56">
        <f>IF(VLOOKUP($C247,REV!$C:$AA,10,0)-'TRADE IN'!$F247=0,"",(VLOOKUP($C247,REV!$C:$AA,10,0)-'TRADE IN'!$F247))</f>
        <v>599</v>
      </c>
      <c r="M247" s="56">
        <f>IF(VLOOKUP($C247,REV!$C:$AA,11,0)-'TRADE IN'!$F247=0,"",(VLOOKUP($C247,REV!$C:$AA,11,0)-'TRADE IN'!$F247))</f>
        <v>599</v>
      </c>
      <c r="N247" s="56">
        <f>IF(VLOOKUP($C247,REV!$C:$AA,12,0)-'TRADE IN'!$F247=0,"",(VLOOKUP($C247,REV!$C:$AA,12,0)-'TRADE IN'!$F247))</f>
        <v>599</v>
      </c>
      <c r="O247" s="56">
        <f>IF(VLOOKUP($C247,REV!$C:$AA,13,0)-'TRADE IN'!$F247=0,"",(VLOOKUP($C247,REV!$C:$AA,13,0)-'TRADE IN'!$F247))</f>
        <v>599</v>
      </c>
      <c r="P247" s="56">
        <f>IF(VLOOKUP($C247,REV!$C:$AA,14,0)-'TRADE IN'!$F247=0,"",(VLOOKUP($C247,REV!$C:$AA,14,0)-'TRADE IN'!$F247))</f>
        <v>599</v>
      </c>
      <c r="Q247" s="56">
        <f>IF(VLOOKUP($C247,REV!$C:$AA,15,0)-'TRADE IN'!$F247=0,"",(VLOOKUP($C247,REV!$C:$AA,15,0)-'TRADE IN'!$F247))</f>
        <v>599</v>
      </c>
      <c r="R247" s="56">
        <f>IF(VLOOKUP($C247,REV!$C:$AA,16,0)-'TRADE IN'!$F247=0,"",(VLOOKUP($C247,REV!$C:$AA,16,0)-'TRADE IN'!$F247))</f>
        <v>599</v>
      </c>
      <c r="S247" s="56">
        <f>IF(VLOOKUP($C247,REV!$C:$AA,17,0)-'TRADE IN'!$F247=0,"",(VLOOKUP($C247,REV!$C:$AA,17,0)-'TRADE IN'!$F247))</f>
        <v>599</v>
      </c>
      <c r="T247" s="56">
        <f>IF(VLOOKUP($C247,REV!$C:$AA,18,0)-'TRADE IN'!$F247=0,"",(VLOOKUP($C247,REV!$C:$AA,18,0)-'TRADE IN'!$F247))</f>
        <v>599</v>
      </c>
      <c r="U247" s="56">
        <f>IF(VLOOKUP($C247,REV!$C:$AA,19,0)-'TRADE IN'!$F247=0,"",(VLOOKUP($C247,REV!$C:$AA,19,0)-'TRADE IN'!$F247))</f>
        <v>599</v>
      </c>
      <c r="V247" s="56">
        <f>IF(VLOOKUP($C247,REV!$C:$AA,20,0)-'TRADE IN'!$F247=0,"",(VLOOKUP($C247,REV!$C:$AA,20,0)-'TRADE IN'!$F247))</f>
        <v>599</v>
      </c>
      <c r="W247" s="56">
        <f>IF(VLOOKUP($C247,REV!$C:$AA,21,0)-'TRADE IN'!$F247=0,"",(VLOOKUP($C247,REV!$C:$AA,21,0)-'TRADE IN'!$F247))</f>
        <v>599</v>
      </c>
      <c r="X247" s="56">
        <f>IF(VLOOKUP($C247,REV!$C:$AA,22,0)-'TRADE IN'!$F247=0,"",(VLOOKUP($C247,REV!$C:$AA,22,0)-'TRADE IN'!$F247))</f>
        <v>599</v>
      </c>
      <c r="Y247" s="56">
        <f>IF(VLOOKUP($C247,REV!$C:$AA,23,0)-'TRADE IN'!$F247=0,"",(VLOOKUP($C247,REV!$C:$AA,23,0)-'TRADE IN'!$F247))</f>
        <v>599</v>
      </c>
      <c r="Z247" s="56">
        <f>IF(VLOOKUP($C247,REV!$C:$AA,24,0)-'TRADE IN'!$F247=0,"",(VLOOKUP($C247,REV!$C:$AA,24,0)-'TRADE IN'!$F247))</f>
        <v>599</v>
      </c>
      <c r="AA247" s="56">
        <f>IF(VLOOKUP($C247,REV!$C:$AA,25,0)-'TRADE IN'!$F247=0,"",(VLOOKUP($C247,REV!$C:$AA,25,0)-'TRADE IN'!$F247))</f>
        <v>599</v>
      </c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7"/>
      <c r="AW247" s="58" t="str">
        <f>REV!AW247</f>
        <v>03.11.2026</v>
      </c>
      <c r="AX247" s="147" t="str">
        <f>VLOOKUP(C247,REV!C:AX,48,0)</f>
        <v>5G</v>
      </c>
    </row>
    <row r="248" spans="1:50" ht="22.5" customHeight="1">
      <c r="A248" s="64" t="s">
        <v>241</v>
      </c>
      <c r="B248" s="52" t="s">
        <v>64</v>
      </c>
      <c r="C248" s="53">
        <v>4015257</v>
      </c>
      <c r="D248" s="65" t="s">
        <v>402</v>
      </c>
      <c r="E248" s="65" t="s">
        <v>404</v>
      </c>
      <c r="F248" s="55"/>
      <c r="G248" s="55"/>
      <c r="H248" s="55"/>
      <c r="I248" s="55"/>
      <c r="J248" s="56">
        <f>IF(VLOOKUP($C248,REV!$C:$AA,8,0)-'TRADE IN'!$F248=0,"",(VLOOKUP($C248,REV!$C:$AA,8,0)-'TRADE IN'!$F248))</f>
        <v>599</v>
      </c>
      <c r="K248" s="56">
        <f>IF(VLOOKUP($C248,REV!$C:$AA,9,0)-'TRADE IN'!$F248=0,"",(VLOOKUP($C248,REV!$C:$AA,9,0)-'TRADE IN'!$F248))</f>
        <v>599</v>
      </c>
      <c r="L248" s="56">
        <f>IF(VLOOKUP($C248,REV!$C:$AA,10,0)-'TRADE IN'!$F248=0,"",(VLOOKUP($C248,REV!$C:$AA,10,0)-'TRADE IN'!$F248))</f>
        <v>599</v>
      </c>
      <c r="M248" s="56">
        <f>IF(VLOOKUP($C248,REV!$C:$AA,11,0)-'TRADE IN'!$F248=0,"",(VLOOKUP($C248,REV!$C:$AA,11,0)-'TRADE IN'!$F248))</f>
        <v>599</v>
      </c>
      <c r="N248" s="56">
        <f>IF(VLOOKUP($C248,REV!$C:$AA,12,0)-'TRADE IN'!$F248=0,"",(VLOOKUP($C248,REV!$C:$AA,12,0)-'TRADE IN'!$F248))</f>
        <v>599</v>
      </c>
      <c r="O248" s="56">
        <f>IF(VLOOKUP($C248,REV!$C:$AA,13,0)-'TRADE IN'!$F248=0,"",(VLOOKUP($C248,REV!$C:$AA,13,0)-'TRADE IN'!$F248))</f>
        <v>599</v>
      </c>
      <c r="P248" s="56">
        <f>IF(VLOOKUP($C248,REV!$C:$AA,14,0)-'TRADE IN'!$F248=0,"",(VLOOKUP($C248,REV!$C:$AA,14,0)-'TRADE IN'!$F248))</f>
        <v>599</v>
      </c>
      <c r="Q248" s="56">
        <f>IF(VLOOKUP($C248,REV!$C:$AA,15,0)-'TRADE IN'!$F248=0,"",(VLOOKUP($C248,REV!$C:$AA,15,0)-'TRADE IN'!$F248))</f>
        <v>599</v>
      </c>
      <c r="R248" s="56">
        <f>IF(VLOOKUP($C248,REV!$C:$AA,16,0)-'TRADE IN'!$F248=0,"",(VLOOKUP($C248,REV!$C:$AA,16,0)-'TRADE IN'!$F248))</f>
        <v>599</v>
      </c>
      <c r="S248" s="56">
        <f>IF(VLOOKUP($C248,REV!$C:$AA,17,0)-'TRADE IN'!$F248=0,"",(VLOOKUP($C248,REV!$C:$AA,17,0)-'TRADE IN'!$F248))</f>
        <v>599</v>
      </c>
      <c r="T248" s="56">
        <f>IF(VLOOKUP($C248,REV!$C:$AA,18,0)-'TRADE IN'!$F248=0,"",(VLOOKUP($C248,REV!$C:$AA,18,0)-'TRADE IN'!$F248))</f>
        <v>599</v>
      </c>
      <c r="U248" s="56">
        <f>IF(VLOOKUP($C248,REV!$C:$AA,19,0)-'TRADE IN'!$F248=0,"",(VLOOKUP($C248,REV!$C:$AA,19,0)-'TRADE IN'!$F248))</f>
        <v>599</v>
      </c>
      <c r="V248" s="56">
        <f>IF(VLOOKUP($C248,REV!$C:$AA,20,0)-'TRADE IN'!$F248=0,"",(VLOOKUP($C248,REV!$C:$AA,20,0)-'TRADE IN'!$F248))</f>
        <v>599</v>
      </c>
      <c r="W248" s="56">
        <f>IF(VLOOKUP($C248,REV!$C:$AA,21,0)-'TRADE IN'!$F248=0,"",(VLOOKUP($C248,REV!$C:$AA,21,0)-'TRADE IN'!$F248))</f>
        <v>599</v>
      </c>
      <c r="X248" s="56">
        <f>IF(VLOOKUP($C248,REV!$C:$AA,22,0)-'TRADE IN'!$F248=0,"",(VLOOKUP($C248,REV!$C:$AA,22,0)-'TRADE IN'!$F248))</f>
        <v>599</v>
      </c>
      <c r="Y248" s="56">
        <f>IF(VLOOKUP($C248,REV!$C:$AA,23,0)-'TRADE IN'!$F248=0,"",(VLOOKUP($C248,REV!$C:$AA,23,0)-'TRADE IN'!$F248))</f>
        <v>599</v>
      </c>
      <c r="Z248" s="56">
        <f>IF(VLOOKUP($C248,REV!$C:$AA,24,0)-'TRADE IN'!$F248=0,"",(VLOOKUP($C248,REV!$C:$AA,24,0)-'TRADE IN'!$F248))</f>
        <v>599</v>
      </c>
      <c r="AA248" s="56">
        <f>IF(VLOOKUP($C248,REV!$C:$AA,25,0)-'TRADE IN'!$F248=0,"",(VLOOKUP($C248,REV!$C:$AA,25,0)-'TRADE IN'!$F248))</f>
        <v>599</v>
      </c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7"/>
      <c r="AW248" s="58" t="str">
        <f>REV!AW248</f>
        <v>03.11.2026</v>
      </c>
      <c r="AX248" s="147" t="str">
        <f>VLOOKUP(C248,REV!C:AX,48,0)</f>
        <v>5G</v>
      </c>
    </row>
    <row r="249" spans="1:50" ht="22.5" customHeight="1">
      <c r="A249" s="64" t="s">
        <v>241</v>
      </c>
      <c r="B249" s="52" t="s">
        <v>64</v>
      </c>
      <c r="C249" s="53">
        <v>4015259</v>
      </c>
      <c r="D249" s="65" t="s">
        <v>402</v>
      </c>
      <c r="E249" s="65" t="s">
        <v>405</v>
      </c>
      <c r="F249" s="55"/>
      <c r="G249" s="55"/>
      <c r="H249" s="55"/>
      <c r="I249" s="55"/>
      <c r="J249" s="56">
        <f>IF(VLOOKUP($C249,REV!$C:$AA,8,0)-'TRADE IN'!$F249=0,"",(VLOOKUP($C249,REV!$C:$AA,8,0)-'TRADE IN'!$F249))</f>
        <v>599</v>
      </c>
      <c r="K249" s="56">
        <f>IF(VLOOKUP($C249,REV!$C:$AA,9,0)-'TRADE IN'!$F249=0,"",(VLOOKUP($C249,REV!$C:$AA,9,0)-'TRADE IN'!$F249))</f>
        <v>599</v>
      </c>
      <c r="L249" s="56">
        <f>IF(VLOOKUP($C249,REV!$C:$AA,10,0)-'TRADE IN'!$F249=0,"",(VLOOKUP($C249,REV!$C:$AA,10,0)-'TRADE IN'!$F249))</f>
        <v>599</v>
      </c>
      <c r="M249" s="56">
        <f>IF(VLOOKUP($C249,REV!$C:$AA,11,0)-'TRADE IN'!$F249=0,"",(VLOOKUP($C249,REV!$C:$AA,11,0)-'TRADE IN'!$F249))</f>
        <v>599</v>
      </c>
      <c r="N249" s="56">
        <f>IF(VLOOKUP($C249,REV!$C:$AA,12,0)-'TRADE IN'!$F249=0,"",(VLOOKUP($C249,REV!$C:$AA,12,0)-'TRADE IN'!$F249))</f>
        <v>599</v>
      </c>
      <c r="O249" s="56">
        <f>IF(VLOOKUP($C249,REV!$C:$AA,13,0)-'TRADE IN'!$F249=0,"",(VLOOKUP($C249,REV!$C:$AA,13,0)-'TRADE IN'!$F249))</f>
        <v>599</v>
      </c>
      <c r="P249" s="56">
        <f>IF(VLOOKUP($C249,REV!$C:$AA,14,0)-'TRADE IN'!$F249=0,"",(VLOOKUP($C249,REV!$C:$AA,14,0)-'TRADE IN'!$F249))</f>
        <v>599</v>
      </c>
      <c r="Q249" s="56">
        <f>IF(VLOOKUP($C249,REV!$C:$AA,15,0)-'TRADE IN'!$F249=0,"",(VLOOKUP($C249,REV!$C:$AA,15,0)-'TRADE IN'!$F249))</f>
        <v>599</v>
      </c>
      <c r="R249" s="56">
        <f>IF(VLOOKUP($C249,REV!$C:$AA,16,0)-'TRADE IN'!$F249=0,"",(VLOOKUP($C249,REV!$C:$AA,16,0)-'TRADE IN'!$F249))</f>
        <v>599</v>
      </c>
      <c r="S249" s="56">
        <f>IF(VLOOKUP($C249,REV!$C:$AA,17,0)-'TRADE IN'!$F249=0,"",(VLOOKUP($C249,REV!$C:$AA,17,0)-'TRADE IN'!$F249))</f>
        <v>599</v>
      </c>
      <c r="T249" s="56">
        <f>IF(VLOOKUP($C249,REV!$C:$AA,18,0)-'TRADE IN'!$F249=0,"",(VLOOKUP($C249,REV!$C:$AA,18,0)-'TRADE IN'!$F249))</f>
        <v>599</v>
      </c>
      <c r="U249" s="56">
        <f>IF(VLOOKUP($C249,REV!$C:$AA,19,0)-'TRADE IN'!$F249=0,"",(VLOOKUP($C249,REV!$C:$AA,19,0)-'TRADE IN'!$F249))</f>
        <v>599</v>
      </c>
      <c r="V249" s="56">
        <f>IF(VLOOKUP($C249,REV!$C:$AA,20,0)-'TRADE IN'!$F249=0,"",(VLOOKUP($C249,REV!$C:$AA,20,0)-'TRADE IN'!$F249))</f>
        <v>599</v>
      </c>
      <c r="W249" s="56">
        <f>IF(VLOOKUP($C249,REV!$C:$AA,21,0)-'TRADE IN'!$F249=0,"",(VLOOKUP($C249,REV!$C:$AA,21,0)-'TRADE IN'!$F249))</f>
        <v>599</v>
      </c>
      <c r="X249" s="56">
        <f>IF(VLOOKUP($C249,REV!$C:$AA,22,0)-'TRADE IN'!$F249=0,"",(VLOOKUP($C249,REV!$C:$AA,22,0)-'TRADE IN'!$F249))</f>
        <v>599</v>
      </c>
      <c r="Y249" s="56">
        <f>IF(VLOOKUP($C249,REV!$C:$AA,23,0)-'TRADE IN'!$F249=0,"",(VLOOKUP($C249,REV!$C:$AA,23,0)-'TRADE IN'!$F249))</f>
        <v>599</v>
      </c>
      <c r="Z249" s="56">
        <f>IF(VLOOKUP($C249,REV!$C:$AA,24,0)-'TRADE IN'!$F249=0,"",(VLOOKUP($C249,REV!$C:$AA,24,0)-'TRADE IN'!$F249))</f>
        <v>599</v>
      </c>
      <c r="AA249" s="56">
        <f>IF(VLOOKUP($C249,REV!$C:$AA,25,0)-'TRADE IN'!$F249=0,"",(VLOOKUP($C249,REV!$C:$AA,25,0)-'TRADE IN'!$F249))</f>
        <v>599</v>
      </c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7"/>
      <c r="AW249" s="58" t="str">
        <f>REV!AW249</f>
        <v>03.11.2026</v>
      </c>
      <c r="AX249" s="147" t="str">
        <f>VLOOKUP(C249,REV!C:AX,48,0)</f>
        <v>5G</v>
      </c>
    </row>
    <row r="250" spans="1:50" ht="22" customHeight="1">
      <c r="A250" s="64" t="s">
        <v>241</v>
      </c>
      <c r="B250" s="52" t="s">
        <v>64</v>
      </c>
      <c r="C250" s="53">
        <v>4015563</v>
      </c>
      <c r="D250" s="65" t="s">
        <v>406</v>
      </c>
      <c r="E250" s="65" t="s">
        <v>407</v>
      </c>
      <c r="F250" s="55"/>
      <c r="G250" s="55"/>
      <c r="H250" s="55"/>
      <c r="I250" s="55"/>
      <c r="J250" s="56">
        <f>IF(VLOOKUP($C250,REV!$C:$AA,8,0)-'TRADE IN'!$F250=0,"",(VLOOKUP($C250,REV!$C:$AA,8,0)-'TRADE IN'!$F250))</f>
        <v>599</v>
      </c>
      <c r="K250" s="56">
        <f>IF(VLOOKUP($C250,REV!$C:$AA,9,0)-'TRADE IN'!$F250=0,"",(VLOOKUP($C250,REV!$C:$AA,9,0)-'TRADE IN'!$F250))</f>
        <v>599</v>
      </c>
      <c r="L250" s="56">
        <f>IF(VLOOKUP($C250,REV!$C:$AA,10,0)-'TRADE IN'!$F250=0,"",(VLOOKUP($C250,REV!$C:$AA,10,0)-'TRADE IN'!$F250))</f>
        <v>599</v>
      </c>
      <c r="M250" s="56">
        <f>IF(VLOOKUP($C250,REV!$C:$AA,11,0)-'TRADE IN'!$F250=0,"",(VLOOKUP($C250,REV!$C:$AA,11,0)-'TRADE IN'!$F250))</f>
        <v>599</v>
      </c>
      <c r="N250" s="56">
        <f>IF(VLOOKUP($C250,REV!$C:$AA,12,0)-'TRADE IN'!$F250=0,"",(VLOOKUP($C250,REV!$C:$AA,12,0)-'TRADE IN'!$F250))</f>
        <v>599</v>
      </c>
      <c r="O250" s="56">
        <f>IF(VLOOKUP($C250,REV!$C:$AA,13,0)-'TRADE IN'!$F250=0,"",(VLOOKUP($C250,REV!$C:$AA,13,0)-'TRADE IN'!$F250))</f>
        <v>549</v>
      </c>
      <c r="P250" s="56">
        <f>IF(VLOOKUP($C250,REV!$C:$AA,14,0)-'TRADE IN'!$F250=0,"",(VLOOKUP($C250,REV!$C:$AA,14,0)-'TRADE IN'!$F250))</f>
        <v>549</v>
      </c>
      <c r="Q250" s="56">
        <f>IF(VLOOKUP($C250,REV!$C:$AA,15,0)-'TRADE IN'!$F250=0,"",(VLOOKUP($C250,REV!$C:$AA,15,0)-'TRADE IN'!$F250))</f>
        <v>499</v>
      </c>
      <c r="R250" s="56">
        <f>IF(VLOOKUP($C250,REV!$C:$AA,16,0)-'TRADE IN'!$F250=0,"",(VLOOKUP($C250,REV!$C:$AA,16,0)-'TRADE IN'!$F250))</f>
        <v>549</v>
      </c>
      <c r="S250" s="56">
        <f>IF(VLOOKUP($C250,REV!$C:$AA,17,0)-'TRADE IN'!$F250=0,"",(VLOOKUP($C250,REV!$C:$AA,17,0)-'TRADE IN'!$F250))</f>
        <v>549</v>
      </c>
      <c r="T250" s="56">
        <f>IF(VLOOKUP($C250,REV!$C:$AA,18,0)-'TRADE IN'!$F250=0,"",(VLOOKUP($C250,REV!$C:$AA,18,0)-'TRADE IN'!$F250))</f>
        <v>499</v>
      </c>
      <c r="U250" s="56">
        <f>IF(VLOOKUP($C250,REV!$C:$AA,19,0)-'TRADE IN'!$F250=0,"",(VLOOKUP($C250,REV!$C:$AA,19,0)-'TRADE IN'!$F250))</f>
        <v>499</v>
      </c>
      <c r="V250" s="56">
        <f>IF(VLOOKUP($C250,REV!$C:$AA,20,0)-'TRADE IN'!$F250=0,"",(VLOOKUP($C250,REV!$C:$AA,20,0)-'TRADE IN'!$F250))</f>
        <v>499</v>
      </c>
      <c r="W250" s="56">
        <f>IF(VLOOKUP($C250,REV!$C:$AA,21,0)-'TRADE IN'!$F250=0,"",(VLOOKUP($C250,REV!$C:$AA,21,0)-'TRADE IN'!$F250))</f>
        <v>499</v>
      </c>
      <c r="X250" s="56">
        <f>IF(VLOOKUP($C250,REV!$C:$AA,22,0)-'TRADE IN'!$F250=0,"",(VLOOKUP($C250,REV!$C:$AA,22,0)-'TRADE IN'!$F250))</f>
        <v>499</v>
      </c>
      <c r="Y250" s="56">
        <f>IF(VLOOKUP($C250,REV!$C:$AA,23,0)-'TRADE IN'!$F250=0,"",(VLOOKUP($C250,REV!$C:$AA,23,0)-'TRADE IN'!$F250))</f>
        <v>499</v>
      </c>
      <c r="Z250" s="56">
        <f>IF(VLOOKUP($C250,REV!$C:$AA,24,0)-'TRADE IN'!$F250=0,"",(VLOOKUP($C250,REV!$C:$AA,24,0)-'TRADE IN'!$F250))</f>
        <v>499</v>
      </c>
      <c r="AA250" s="56">
        <f>IF(VLOOKUP($C250,REV!$C:$AA,25,0)-'TRADE IN'!$F250=0,"",(VLOOKUP($C250,REV!$C:$AA,25,0)-'TRADE IN'!$F250))</f>
        <v>499</v>
      </c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7"/>
      <c r="AW250" s="58" t="str">
        <f>REV!AW250</f>
        <v>03.11.2026</v>
      </c>
      <c r="AX250" s="147" t="str">
        <f>VLOOKUP(C250,REV!C:AX,48,0)</f>
        <v>5G</v>
      </c>
    </row>
    <row r="251" spans="1:50" ht="22.5" customHeight="1">
      <c r="A251" s="64" t="s">
        <v>241</v>
      </c>
      <c r="B251" s="52" t="s">
        <v>64</v>
      </c>
      <c r="C251" s="53">
        <v>4015565</v>
      </c>
      <c r="D251" s="65" t="s">
        <v>406</v>
      </c>
      <c r="E251" s="65" t="s">
        <v>408</v>
      </c>
      <c r="F251" s="55"/>
      <c r="G251" s="55"/>
      <c r="H251" s="55"/>
      <c r="I251" s="55"/>
      <c r="J251" s="56">
        <f>IF(VLOOKUP($C251,REV!$C:$AA,8,0)-'TRADE IN'!$F251=0,"",(VLOOKUP($C251,REV!$C:$AA,8,0)-'TRADE IN'!$F251))</f>
        <v>599</v>
      </c>
      <c r="K251" s="56">
        <f>IF(VLOOKUP($C251,REV!$C:$AA,9,0)-'TRADE IN'!$F251=0,"",(VLOOKUP($C251,REV!$C:$AA,9,0)-'TRADE IN'!$F251))</f>
        <v>599</v>
      </c>
      <c r="L251" s="56">
        <f>IF(VLOOKUP($C251,REV!$C:$AA,10,0)-'TRADE IN'!$F251=0,"",(VLOOKUP($C251,REV!$C:$AA,10,0)-'TRADE IN'!$F251))</f>
        <v>599</v>
      </c>
      <c r="M251" s="56">
        <f>IF(VLOOKUP($C251,REV!$C:$AA,11,0)-'TRADE IN'!$F251=0,"",(VLOOKUP($C251,REV!$C:$AA,11,0)-'TRADE IN'!$F251))</f>
        <v>599</v>
      </c>
      <c r="N251" s="56">
        <f>IF(VLOOKUP($C251,REV!$C:$AA,12,0)-'TRADE IN'!$F251=0,"",(VLOOKUP($C251,REV!$C:$AA,12,0)-'TRADE IN'!$F251))</f>
        <v>599</v>
      </c>
      <c r="O251" s="56">
        <f>IF(VLOOKUP($C251,REV!$C:$AA,13,0)-'TRADE IN'!$F251=0,"",(VLOOKUP($C251,REV!$C:$AA,13,0)-'TRADE IN'!$F251))</f>
        <v>549</v>
      </c>
      <c r="P251" s="56">
        <f>IF(VLOOKUP($C251,REV!$C:$AA,14,0)-'TRADE IN'!$F251=0,"",(VLOOKUP($C251,REV!$C:$AA,14,0)-'TRADE IN'!$F251))</f>
        <v>549</v>
      </c>
      <c r="Q251" s="56">
        <f>IF(VLOOKUP($C251,REV!$C:$AA,15,0)-'TRADE IN'!$F251=0,"",(VLOOKUP($C251,REV!$C:$AA,15,0)-'TRADE IN'!$F251))</f>
        <v>499</v>
      </c>
      <c r="R251" s="56">
        <f>IF(VLOOKUP($C251,REV!$C:$AA,16,0)-'TRADE IN'!$F251=0,"",(VLOOKUP($C251,REV!$C:$AA,16,0)-'TRADE IN'!$F251))</f>
        <v>549</v>
      </c>
      <c r="S251" s="56">
        <f>IF(VLOOKUP($C251,REV!$C:$AA,17,0)-'TRADE IN'!$F251=0,"",(VLOOKUP($C251,REV!$C:$AA,17,0)-'TRADE IN'!$F251))</f>
        <v>549</v>
      </c>
      <c r="T251" s="56">
        <f>IF(VLOOKUP($C251,REV!$C:$AA,18,0)-'TRADE IN'!$F251=0,"",(VLOOKUP($C251,REV!$C:$AA,18,0)-'TRADE IN'!$F251))</f>
        <v>499</v>
      </c>
      <c r="U251" s="56">
        <f>IF(VLOOKUP($C251,REV!$C:$AA,19,0)-'TRADE IN'!$F251=0,"",(VLOOKUP($C251,REV!$C:$AA,19,0)-'TRADE IN'!$F251))</f>
        <v>499</v>
      </c>
      <c r="V251" s="56">
        <f>IF(VLOOKUP($C251,REV!$C:$AA,20,0)-'TRADE IN'!$F251=0,"",(VLOOKUP($C251,REV!$C:$AA,20,0)-'TRADE IN'!$F251))</f>
        <v>499</v>
      </c>
      <c r="W251" s="56">
        <f>IF(VLOOKUP($C251,REV!$C:$AA,21,0)-'TRADE IN'!$F251=0,"",(VLOOKUP($C251,REV!$C:$AA,21,0)-'TRADE IN'!$F251))</f>
        <v>499</v>
      </c>
      <c r="X251" s="56">
        <f>IF(VLOOKUP($C251,REV!$C:$AA,22,0)-'TRADE IN'!$F251=0,"",(VLOOKUP($C251,REV!$C:$AA,22,0)-'TRADE IN'!$F251))</f>
        <v>499</v>
      </c>
      <c r="Y251" s="56">
        <f>IF(VLOOKUP($C251,REV!$C:$AA,23,0)-'TRADE IN'!$F251=0,"",(VLOOKUP($C251,REV!$C:$AA,23,0)-'TRADE IN'!$F251))</f>
        <v>499</v>
      </c>
      <c r="Z251" s="56">
        <f>IF(VLOOKUP($C251,REV!$C:$AA,24,0)-'TRADE IN'!$F251=0,"",(VLOOKUP($C251,REV!$C:$AA,24,0)-'TRADE IN'!$F251))</f>
        <v>499</v>
      </c>
      <c r="AA251" s="56">
        <f>IF(VLOOKUP($C251,REV!$C:$AA,25,0)-'TRADE IN'!$F251=0,"",(VLOOKUP($C251,REV!$C:$AA,25,0)-'TRADE IN'!$F251))</f>
        <v>499</v>
      </c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7"/>
      <c r="AW251" s="58" t="str">
        <f>REV!AW251</f>
        <v>03.11.2026</v>
      </c>
      <c r="AX251" s="147" t="str">
        <f>VLOOKUP(C251,REV!C:AX,48,0)</f>
        <v>5G</v>
      </c>
    </row>
    <row r="252" spans="1:50" ht="22.5" customHeight="1">
      <c r="A252" s="64" t="s">
        <v>241</v>
      </c>
      <c r="B252" s="52" t="s">
        <v>64</v>
      </c>
      <c r="C252" s="53">
        <v>4015567</v>
      </c>
      <c r="D252" s="65" t="s">
        <v>406</v>
      </c>
      <c r="E252" s="65" t="s">
        <v>409</v>
      </c>
      <c r="F252" s="55"/>
      <c r="G252" s="55"/>
      <c r="H252" s="55"/>
      <c r="I252" s="55"/>
      <c r="J252" s="56">
        <f>IF(VLOOKUP($C252,REV!$C:$AA,8,0)-'TRADE IN'!$F252=0,"",(VLOOKUP($C252,REV!$C:$AA,8,0)-'TRADE IN'!$F252))</f>
        <v>599</v>
      </c>
      <c r="K252" s="56">
        <f>IF(VLOOKUP($C252,REV!$C:$AA,9,0)-'TRADE IN'!$F252=0,"",(VLOOKUP($C252,REV!$C:$AA,9,0)-'TRADE IN'!$F252))</f>
        <v>599</v>
      </c>
      <c r="L252" s="56">
        <f>IF(VLOOKUP($C252,REV!$C:$AA,10,0)-'TRADE IN'!$F252=0,"",(VLOOKUP($C252,REV!$C:$AA,10,0)-'TRADE IN'!$F252))</f>
        <v>599</v>
      </c>
      <c r="M252" s="56">
        <f>IF(VLOOKUP($C252,REV!$C:$AA,11,0)-'TRADE IN'!$F252=0,"",(VLOOKUP($C252,REV!$C:$AA,11,0)-'TRADE IN'!$F252))</f>
        <v>599</v>
      </c>
      <c r="N252" s="56">
        <f>IF(VLOOKUP($C252,REV!$C:$AA,12,0)-'TRADE IN'!$F252=0,"",(VLOOKUP($C252,REV!$C:$AA,12,0)-'TRADE IN'!$F252))</f>
        <v>599</v>
      </c>
      <c r="O252" s="56">
        <f>IF(VLOOKUP($C252,REV!$C:$AA,13,0)-'TRADE IN'!$F252=0,"",(VLOOKUP($C252,REV!$C:$AA,13,0)-'TRADE IN'!$F252))</f>
        <v>549</v>
      </c>
      <c r="P252" s="56">
        <f>IF(VLOOKUP($C252,REV!$C:$AA,14,0)-'TRADE IN'!$F252=0,"",(VLOOKUP($C252,REV!$C:$AA,14,0)-'TRADE IN'!$F252))</f>
        <v>549</v>
      </c>
      <c r="Q252" s="56">
        <f>IF(VLOOKUP($C252,REV!$C:$AA,15,0)-'TRADE IN'!$F252=0,"",(VLOOKUP($C252,REV!$C:$AA,15,0)-'TRADE IN'!$F252))</f>
        <v>499</v>
      </c>
      <c r="R252" s="56">
        <f>IF(VLOOKUP($C252,REV!$C:$AA,16,0)-'TRADE IN'!$F252=0,"",(VLOOKUP($C252,REV!$C:$AA,16,0)-'TRADE IN'!$F252))</f>
        <v>549</v>
      </c>
      <c r="S252" s="56">
        <f>IF(VLOOKUP($C252,REV!$C:$AA,17,0)-'TRADE IN'!$F252=0,"",(VLOOKUP($C252,REV!$C:$AA,17,0)-'TRADE IN'!$F252))</f>
        <v>549</v>
      </c>
      <c r="T252" s="56">
        <f>IF(VLOOKUP($C252,REV!$C:$AA,18,0)-'TRADE IN'!$F252=0,"",(VLOOKUP($C252,REV!$C:$AA,18,0)-'TRADE IN'!$F252))</f>
        <v>499</v>
      </c>
      <c r="U252" s="56">
        <f>IF(VLOOKUP($C252,REV!$C:$AA,19,0)-'TRADE IN'!$F252=0,"",(VLOOKUP($C252,REV!$C:$AA,19,0)-'TRADE IN'!$F252))</f>
        <v>499</v>
      </c>
      <c r="V252" s="56">
        <f>IF(VLOOKUP($C252,REV!$C:$AA,20,0)-'TRADE IN'!$F252=0,"",(VLOOKUP($C252,REV!$C:$AA,20,0)-'TRADE IN'!$F252))</f>
        <v>499</v>
      </c>
      <c r="W252" s="56">
        <f>IF(VLOOKUP($C252,REV!$C:$AA,21,0)-'TRADE IN'!$F252=0,"",(VLOOKUP($C252,REV!$C:$AA,21,0)-'TRADE IN'!$F252))</f>
        <v>499</v>
      </c>
      <c r="X252" s="56">
        <f>IF(VLOOKUP($C252,REV!$C:$AA,22,0)-'TRADE IN'!$F252=0,"",(VLOOKUP($C252,REV!$C:$AA,22,0)-'TRADE IN'!$F252))</f>
        <v>499</v>
      </c>
      <c r="Y252" s="56">
        <f>IF(VLOOKUP($C252,REV!$C:$AA,23,0)-'TRADE IN'!$F252=0,"",(VLOOKUP($C252,REV!$C:$AA,23,0)-'TRADE IN'!$F252))</f>
        <v>499</v>
      </c>
      <c r="Z252" s="56">
        <f>IF(VLOOKUP($C252,REV!$C:$AA,24,0)-'TRADE IN'!$F252=0,"",(VLOOKUP($C252,REV!$C:$AA,24,0)-'TRADE IN'!$F252))</f>
        <v>499</v>
      </c>
      <c r="AA252" s="56">
        <f>IF(VLOOKUP($C252,REV!$C:$AA,25,0)-'TRADE IN'!$F252=0,"",(VLOOKUP($C252,REV!$C:$AA,25,0)-'TRADE IN'!$F252))</f>
        <v>499</v>
      </c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7"/>
      <c r="AW252" s="58" t="str">
        <f>REV!AW252</f>
        <v>03.11.2026</v>
      </c>
      <c r="AX252" s="147" t="str">
        <f>VLOOKUP(C252,REV!C:AX,48,0)</f>
        <v>5G</v>
      </c>
    </row>
    <row r="253" spans="1:50" ht="22.5" customHeight="1">
      <c r="A253" s="64" t="s">
        <v>241</v>
      </c>
      <c r="B253" s="52" t="s">
        <v>64</v>
      </c>
      <c r="C253" s="53">
        <v>4015569</v>
      </c>
      <c r="D253" s="65" t="s">
        <v>406</v>
      </c>
      <c r="E253" s="65" t="s">
        <v>410</v>
      </c>
      <c r="F253" s="55"/>
      <c r="G253" s="55"/>
      <c r="H253" s="55"/>
      <c r="I253" s="55"/>
      <c r="J253" s="56">
        <f>IF(VLOOKUP($C253,REV!$C:$AA,8,0)-'TRADE IN'!$F253=0,"",(VLOOKUP($C253,REV!$C:$AA,8,0)-'TRADE IN'!$F253))</f>
        <v>599</v>
      </c>
      <c r="K253" s="56">
        <f>IF(VLOOKUP($C253,REV!$C:$AA,9,0)-'TRADE IN'!$F253=0,"",(VLOOKUP($C253,REV!$C:$AA,9,0)-'TRADE IN'!$F253))</f>
        <v>599</v>
      </c>
      <c r="L253" s="56">
        <f>IF(VLOOKUP($C253,REV!$C:$AA,10,0)-'TRADE IN'!$F253=0,"",(VLOOKUP($C253,REV!$C:$AA,10,0)-'TRADE IN'!$F253))</f>
        <v>599</v>
      </c>
      <c r="M253" s="56">
        <f>IF(VLOOKUP($C253,REV!$C:$AA,11,0)-'TRADE IN'!$F253=0,"",(VLOOKUP($C253,REV!$C:$AA,11,0)-'TRADE IN'!$F253))</f>
        <v>599</v>
      </c>
      <c r="N253" s="56">
        <f>IF(VLOOKUP($C253,REV!$C:$AA,12,0)-'TRADE IN'!$F253=0,"",(VLOOKUP($C253,REV!$C:$AA,12,0)-'TRADE IN'!$F253))</f>
        <v>599</v>
      </c>
      <c r="O253" s="56">
        <f>IF(VLOOKUP($C253,REV!$C:$AA,13,0)-'TRADE IN'!$F253=0,"",(VLOOKUP($C253,REV!$C:$AA,13,0)-'TRADE IN'!$F253))</f>
        <v>549</v>
      </c>
      <c r="P253" s="56">
        <f>IF(VLOOKUP($C253,REV!$C:$AA,14,0)-'TRADE IN'!$F253=0,"",(VLOOKUP($C253,REV!$C:$AA,14,0)-'TRADE IN'!$F253))</f>
        <v>549</v>
      </c>
      <c r="Q253" s="56">
        <f>IF(VLOOKUP($C253,REV!$C:$AA,15,0)-'TRADE IN'!$F253=0,"",(VLOOKUP($C253,REV!$C:$AA,15,0)-'TRADE IN'!$F253))</f>
        <v>499</v>
      </c>
      <c r="R253" s="56">
        <f>IF(VLOOKUP($C253,REV!$C:$AA,16,0)-'TRADE IN'!$F253=0,"",(VLOOKUP($C253,REV!$C:$AA,16,0)-'TRADE IN'!$F253))</f>
        <v>549</v>
      </c>
      <c r="S253" s="56">
        <f>IF(VLOOKUP($C253,REV!$C:$AA,17,0)-'TRADE IN'!$F253=0,"",(VLOOKUP($C253,REV!$C:$AA,17,0)-'TRADE IN'!$F253))</f>
        <v>549</v>
      </c>
      <c r="T253" s="56">
        <f>IF(VLOOKUP($C253,REV!$C:$AA,18,0)-'TRADE IN'!$F253=0,"",(VLOOKUP($C253,REV!$C:$AA,18,0)-'TRADE IN'!$F253))</f>
        <v>499</v>
      </c>
      <c r="U253" s="56">
        <f>IF(VLOOKUP($C253,REV!$C:$AA,19,0)-'TRADE IN'!$F253=0,"",(VLOOKUP($C253,REV!$C:$AA,19,0)-'TRADE IN'!$F253))</f>
        <v>499</v>
      </c>
      <c r="V253" s="56">
        <f>IF(VLOOKUP($C253,REV!$C:$AA,20,0)-'TRADE IN'!$F253=0,"",(VLOOKUP($C253,REV!$C:$AA,20,0)-'TRADE IN'!$F253))</f>
        <v>499</v>
      </c>
      <c r="W253" s="56">
        <f>IF(VLOOKUP($C253,REV!$C:$AA,21,0)-'TRADE IN'!$F253=0,"",(VLOOKUP($C253,REV!$C:$AA,21,0)-'TRADE IN'!$F253))</f>
        <v>499</v>
      </c>
      <c r="X253" s="56">
        <f>IF(VLOOKUP($C253,REV!$C:$AA,22,0)-'TRADE IN'!$F253=0,"",(VLOOKUP($C253,REV!$C:$AA,22,0)-'TRADE IN'!$F253))</f>
        <v>499</v>
      </c>
      <c r="Y253" s="56">
        <f>IF(VLOOKUP($C253,REV!$C:$AA,23,0)-'TRADE IN'!$F253=0,"",(VLOOKUP($C253,REV!$C:$AA,23,0)-'TRADE IN'!$F253))</f>
        <v>499</v>
      </c>
      <c r="Z253" s="56">
        <f>IF(VLOOKUP($C253,REV!$C:$AA,24,0)-'TRADE IN'!$F253=0,"",(VLOOKUP($C253,REV!$C:$AA,24,0)-'TRADE IN'!$F253))</f>
        <v>499</v>
      </c>
      <c r="AA253" s="56">
        <f>IF(VLOOKUP($C253,REV!$C:$AA,25,0)-'TRADE IN'!$F253=0,"",(VLOOKUP($C253,REV!$C:$AA,25,0)-'TRADE IN'!$F253))</f>
        <v>499</v>
      </c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7"/>
      <c r="AW253" s="58" t="str">
        <f>REV!AW253</f>
        <v>03.11.2026</v>
      </c>
      <c r="AX253" s="147" t="str">
        <f>VLOOKUP(C253,REV!C:AX,48,0)</f>
        <v>5G</v>
      </c>
    </row>
    <row r="254" spans="1:50" ht="22.5" customHeight="1">
      <c r="A254" s="64" t="s">
        <v>241</v>
      </c>
      <c r="B254" s="52" t="s">
        <v>64</v>
      </c>
      <c r="C254" s="53">
        <v>4016078</v>
      </c>
      <c r="D254" s="65" t="s">
        <v>411</v>
      </c>
      <c r="E254" s="65" t="s">
        <v>412</v>
      </c>
      <c r="F254" s="55"/>
      <c r="G254" s="55"/>
      <c r="H254" s="55"/>
      <c r="I254" s="55"/>
      <c r="J254" s="56">
        <f>IF(VLOOKUP($C254,REV!$C:$AA,8,0)-'TRADE IN'!$F254=0,"",(VLOOKUP($C254,REV!$C:$AA,8,0)-'TRADE IN'!$F254))</f>
        <v>509</v>
      </c>
      <c r="K254" s="56">
        <f>IF(VLOOKUP($C254,REV!$C:$AA,9,0)-'TRADE IN'!$F254=0,"",(VLOOKUP($C254,REV!$C:$AA,9,0)-'TRADE IN'!$F254))</f>
        <v>509</v>
      </c>
      <c r="L254" s="56">
        <f>IF(VLOOKUP($C254,REV!$C:$AA,10,0)-'TRADE IN'!$F254=0,"",(VLOOKUP($C254,REV!$C:$AA,10,0)-'TRADE IN'!$F254))</f>
        <v>509</v>
      </c>
      <c r="M254" s="56">
        <f>IF(VLOOKUP($C254,REV!$C:$AA,11,0)-'TRADE IN'!$F254=0,"",(VLOOKUP($C254,REV!$C:$AA,11,0)-'TRADE IN'!$F254))</f>
        <v>509</v>
      </c>
      <c r="N254" s="56">
        <f>IF(VLOOKUP($C254,REV!$C:$AA,12,0)-'TRADE IN'!$F254=0,"",(VLOOKUP($C254,REV!$C:$AA,12,0)-'TRADE IN'!$F254))</f>
        <v>509</v>
      </c>
      <c r="O254" s="56">
        <f>IF(VLOOKUP($C254,REV!$C:$AA,13,0)-'TRADE IN'!$F254=0,"",(VLOOKUP($C254,REV!$C:$AA,13,0)-'TRADE IN'!$F254))</f>
        <v>509</v>
      </c>
      <c r="P254" s="56">
        <f>IF(VLOOKUP($C254,REV!$C:$AA,14,0)-'TRADE IN'!$F254=0,"",(VLOOKUP($C254,REV!$C:$AA,14,0)-'TRADE IN'!$F254))</f>
        <v>509</v>
      </c>
      <c r="Q254" s="56">
        <f>IF(VLOOKUP($C254,REV!$C:$AA,15,0)-'TRADE IN'!$F254=0,"",(VLOOKUP($C254,REV!$C:$AA,15,0)-'TRADE IN'!$F254))</f>
        <v>509</v>
      </c>
      <c r="R254" s="56">
        <f>IF(VLOOKUP($C254,REV!$C:$AA,16,0)-'TRADE IN'!$F254=0,"",(VLOOKUP($C254,REV!$C:$AA,16,0)-'TRADE IN'!$F254))</f>
        <v>509</v>
      </c>
      <c r="S254" s="56">
        <f>IF(VLOOKUP($C254,REV!$C:$AA,17,0)-'TRADE IN'!$F254=0,"",(VLOOKUP($C254,REV!$C:$AA,17,0)-'TRADE IN'!$F254))</f>
        <v>509</v>
      </c>
      <c r="T254" s="56">
        <f>IF(VLOOKUP($C254,REV!$C:$AA,18,0)-'TRADE IN'!$F254=0,"",(VLOOKUP($C254,REV!$C:$AA,18,0)-'TRADE IN'!$F254))</f>
        <v>509</v>
      </c>
      <c r="U254" s="56">
        <f>IF(VLOOKUP($C254,REV!$C:$AA,19,0)-'TRADE IN'!$F254=0,"",(VLOOKUP($C254,REV!$C:$AA,19,0)-'TRADE IN'!$F254))</f>
        <v>509</v>
      </c>
      <c r="V254" s="56">
        <f>IF(VLOOKUP($C254,REV!$C:$AA,20,0)-'TRADE IN'!$F254=0,"",(VLOOKUP($C254,REV!$C:$AA,20,0)-'TRADE IN'!$F254))</f>
        <v>509</v>
      </c>
      <c r="W254" s="56">
        <f>IF(VLOOKUP($C254,REV!$C:$AA,21,0)-'TRADE IN'!$F254=0,"",(VLOOKUP($C254,REV!$C:$AA,21,0)-'TRADE IN'!$F254))</f>
        <v>509</v>
      </c>
      <c r="X254" s="56">
        <f>IF(VLOOKUP($C254,REV!$C:$AA,22,0)-'TRADE IN'!$F254=0,"",(VLOOKUP($C254,REV!$C:$AA,22,0)-'TRADE IN'!$F254))</f>
        <v>509</v>
      </c>
      <c r="Y254" s="56">
        <f>IF(VLOOKUP($C254,REV!$C:$AA,23,0)-'TRADE IN'!$F254=0,"",(VLOOKUP($C254,REV!$C:$AA,23,0)-'TRADE IN'!$F254))</f>
        <v>509</v>
      </c>
      <c r="Z254" s="56">
        <f>IF(VLOOKUP($C254,REV!$C:$AA,24,0)-'TRADE IN'!$F254=0,"",(VLOOKUP($C254,REV!$C:$AA,24,0)-'TRADE IN'!$F254))</f>
        <v>509</v>
      </c>
      <c r="AA254" s="56">
        <f>IF(VLOOKUP($C254,REV!$C:$AA,25,0)-'TRADE IN'!$F254=0,"",(VLOOKUP($C254,REV!$C:$AA,25,0)-'TRADE IN'!$F254))</f>
        <v>509</v>
      </c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7"/>
      <c r="AW254" s="58" t="str">
        <f>REV!AW254</f>
        <v>03.11.2026</v>
      </c>
      <c r="AX254" s="147" t="str">
        <f>VLOOKUP(C254,REV!C:AX,48,0)</f>
        <v>5G</v>
      </c>
    </row>
    <row r="255" spans="1:50" ht="22.5" customHeight="1">
      <c r="A255" s="64" t="s">
        <v>241</v>
      </c>
      <c r="B255" s="52" t="s">
        <v>64</v>
      </c>
      <c r="C255" s="53">
        <v>4016081</v>
      </c>
      <c r="D255" s="65" t="s">
        <v>411</v>
      </c>
      <c r="E255" s="65" t="s">
        <v>413</v>
      </c>
      <c r="F255" s="55"/>
      <c r="G255" s="55"/>
      <c r="H255" s="55"/>
      <c r="I255" s="55"/>
      <c r="J255" s="56">
        <f>IF(VLOOKUP($C255,REV!$C:$AA,8,0)-'TRADE IN'!$F255=0,"",(VLOOKUP($C255,REV!$C:$AA,8,0)-'TRADE IN'!$F255))</f>
        <v>509</v>
      </c>
      <c r="K255" s="56">
        <f>IF(VLOOKUP($C255,REV!$C:$AA,9,0)-'TRADE IN'!$F255=0,"",(VLOOKUP($C255,REV!$C:$AA,9,0)-'TRADE IN'!$F255))</f>
        <v>509</v>
      </c>
      <c r="L255" s="56">
        <f>IF(VLOOKUP($C255,REV!$C:$AA,10,0)-'TRADE IN'!$F255=0,"",(VLOOKUP($C255,REV!$C:$AA,10,0)-'TRADE IN'!$F255))</f>
        <v>509</v>
      </c>
      <c r="M255" s="56">
        <f>IF(VLOOKUP($C255,REV!$C:$AA,11,0)-'TRADE IN'!$F255=0,"",(VLOOKUP($C255,REV!$C:$AA,11,0)-'TRADE IN'!$F255))</f>
        <v>509</v>
      </c>
      <c r="N255" s="56">
        <f>IF(VLOOKUP($C255,REV!$C:$AA,12,0)-'TRADE IN'!$F255=0,"",(VLOOKUP($C255,REV!$C:$AA,12,0)-'TRADE IN'!$F255))</f>
        <v>509</v>
      </c>
      <c r="O255" s="56">
        <f>IF(VLOOKUP($C255,REV!$C:$AA,13,0)-'TRADE IN'!$F255=0,"",(VLOOKUP($C255,REV!$C:$AA,13,0)-'TRADE IN'!$F255))</f>
        <v>509</v>
      </c>
      <c r="P255" s="56">
        <f>IF(VLOOKUP($C255,REV!$C:$AA,14,0)-'TRADE IN'!$F255=0,"",(VLOOKUP($C255,REV!$C:$AA,14,0)-'TRADE IN'!$F255))</f>
        <v>509</v>
      </c>
      <c r="Q255" s="56">
        <f>IF(VLOOKUP($C255,REV!$C:$AA,15,0)-'TRADE IN'!$F255=0,"",(VLOOKUP($C255,REV!$C:$AA,15,0)-'TRADE IN'!$F255))</f>
        <v>509</v>
      </c>
      <c r="R255" s="56">
        <f>IF(VLOOKUP($C255,REV!$C:$AA,16,0)-'TRADE IN'!$F255=0,"",(VLOOKUP($C255,REV!$C:$AA,16,0)-'TRADE IN'!$F255))</f>
        <v>509</v>
      </c>
      <c r="S255" s="56">
        <f>IF(VLOOKUP($C255,REV!$C:$AA,17,0)-'TRADE IN'!$F255=0,"",(VLOOKUP($C255,REV!$C:$AA,17,0)-'TRADE IN'!$F255))</f>
        <v>509</v>
      </c>
      <c r="T255" s="56">
        <f>IF(VLOOKUP($C255,REV!$C:$AA,18,0)-'TRADE IN'!$F255=0,"",(VLOOKUP($C255,REV!$C:$AA,18,0)-'TRADE IN'!$F255))</f>
        <v>509</v>
      </c>
      <c r="U255" s="56">
        <f>IF(VLOOKUP($C255,REV!$C:$AA,19,0)-'TRADE IN'!$F255=0,"",(VLOOKUP($C255,REV!$C:$AA,19,0)-'TRADE IN'!$F255))</f>
        <v>509</v>
      </c>
      <c r="V255" s="56">
        <f>IF(VLOOKUP($C255,REV!$C:$AA,20,0)-'TRADE IN'!$F255=0,"",(VLOOKUP($C255,REV!$C:$AA,20,0)-'TRADE IN'!$F255))</f>
        <v>509</v>
      </c>
      <c r="W255" s="56">
        <f>IF(VLOOKUP($C255,REV!$C:$AA,21,0)-'TRADE IN'!$F255=0,"",(VLOOKUP($C255,REV!$C:$AA,21,0)-'TRADE IN'!$F255))</f>
        <v>509</v>
      </c>
      <c r="X255" s="56">
        <f>IF(VLOOKUP($C255,REV!$C:$AA,22,0)-'TRADE IN'!$F255=0,"",(VLOOKUP($C255,REV!$C:$AA,22,0)-'TRADE IN'!$F255))</f>
        <v>509</v>
      </c>
      <c r="Y255" s="56">
        <f>IF(VLOOKUP($C255,REV!$C:$AA,23,0)-'TRADE IN'!$F255=0,"",(VLOOKUP($C255,REV!$C:$AA,23,0)-'TRADE IN'!$F255))</f>
        <v>509</v>
      </c>
      <c r="Z255" s="56">
        <f>IF(VLOOKUP($C255,REV!$C:$AA,24,0)-'TRADE IN'!$F255=0,"",(VLOOKUP($C255,REV!$C:$AA,24,0)-'TRADE IN'!$F255))</f>
        <v>509</v>
      </c>
      <c r="AA255" s="56">
        <f>IF(VLOOKUP($C255,REV!$C:$AA,25,0)-'TRADE IN'!$F255=0,"",(VLOOKUP($C255,REV!$C:$AA,25,0)-'TRADE IN'!$F255))</f>
        <v>509</v>
      </c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7"/>
      <c r="AW255" s="58" t="str">
        <f>REV!AW255</f>
        <v>03.11.2026</v>
      </c>
      <c r="AX255" s="147" t="str">
        <f>VLOOKUP(C255,REV!C:AX,48,0)</f>
        <v>5G</v>
      </c>
    </row>
    <row r="256" spans="1:50" ht="22.5" customHeight="1">
      <c r="A256" s="64" t="s">
        <v>241</v>
      </c>
      <c r="B256" s="52" t="s">
        <v>64</v>
      </c>
      <c r="C256" s="53">
        <v>4016080</v>
      </c>
      <c r="D256" s="65" t="s">
        <v>411</v>
      </c>
      <c r="E256" s="65" t="s">
        <v>414</v>
      </c>
      <c r="F256" s="55"/>
      <c r="G256" s="55"/>
      <c r="H256" s="55"/>
      <c r="I256" s="55"/>
      <c r="J256" s="56">
        <f>IF(VLOOKUP($C256,REV!$C:$AA,8,0)-'TRADE IN'!$F256=0,"",(VLOOKUP($C256,REV!$C:$AA,8,0)-'TRADE IN'!$F256))</f>
        <v>509</v>
      </c>
      <c r="K256" s="56">
        <f>IF(VLOOKUP($C256,REV!$C:$AA,9,0)-'TRADE IN'!$F256=0,"",(VLOOKUP($C256,REV!$C:$AA,9,0)-'TRADE IN'!$F256))</f>
        <v>509</v>
      </c>
      <c r="L256" s="56">
        <f>IF(VLOOKUP($C256,REV!$C:$AA,10,0)-'TRADE IN'!$F256=0,"",(VLOOKUP($C256,REV!$C:$AA,10,0)-'TRADE IN'!$F256))</f>
        <v>509</v>
      </c>
      <c r="M256" s="56">
        <f>IF(VLOOKUP($C256,REV!$C:$AA,11,0)-'TRADE IN'!$F256=0,"",(VLOOKUP($C256,REV!$C:$AA,11,0)-'TRADE IN'!$F256))</f>
        <v>509</v>
      </c>
      <c r="N256" s="56">
        <f>IF(VLOOKUP($C256,REV!$C:$AA,12,0)-'TRADE IN'!$F256=0,"",(VLOOKUP($C256,REV!$C:$AA,12,0)-'TRADE IN'!$F256))</f>
        <v>509</v>
      </c>
      <c r="O256" s="56">
        <f>IF(VLOOKUP($C256,REV!$C:$AA,13,0)-'TRADE IN'!$F256=0,"",(VLOOKUP($C256,REV!$C:$AA,13,0)-'TRADE IN'!$F256))</f>
        <v>509</v>
      </c>
      <c r="P256" s="56">
        <f>IF(VLOOKUP($C256,REV!$C:$AA,14,0)-'TRADE IN'!$F256=0,"",(VLOOKUP($C256,REV!$C:$AA,14,0)-'TRADE IN'!$F256))</f>
        <v>509</v>
      </c>
      <c r="Q256" s="56">
        <f>IF(VLOOKUP($C256,REV!$C:$AA,15,0)-'TRADE IN'!$F256=0,"",(VLOOKUP($C256,REV!$C:$AA,15,0)-'TRADE IN'!$F256))</f>
        <v>509</v>
      </c>
      <c r="R256" s="56">
        <f>IF(VLOOKUP($C256,REV!$C:$AA,16,0)-'TRADE IN'!$F256=0,"",(VLOOKUP($C256,REV!$C:$AA,16,0)-'TRADE IN'!$F256))</f>
        <v>509</v>
      </c>
      <c r="S256" s="56">
        <f>IF(VLOOKUP($C256,REV!$C:$AA,17,0)-'TRADE IN'!$F256=0,"",(VLOOKUP($C256,REV!$C:$AA,17,0)-'TRADE IN'!$F256))</f>
        <v>509</v>
      </c>
      <c r="T256" s="56">
        <f>IF(VLOOKUP($C256,REV!$C:$AA,18,0)-'TRADE IN'!$F256=0,"",(VLOOKUP($C256,REV!$C:$AA,18,0)-'TRADE IN'!$F256))</f>
        <v>509</v>
      </c>
      <c r="U256" s="56">
        <f>IF(VLOOKUP($C256,REV!$C:$AA,19,0)-'TRADE IN'!$F256=0,"",(VLOOKUP($C256,REV!$C:$AA,19,0)-'TRADE IN'!$F256))</f>
        <v>509</v>
      </c>
      <c r="V256" s="56">
        <f>IF(VLOOKUP($C256,REV!$C:$AA,20,0)-'TRADE IN'!$F256=0,"",(VLOOKUP($C256,REV!$C:$AA,20,0)-'TRADE IN'!$F256))</f>
        <v>509</v>
      </c>
      <c r="W256" s="56">
        <f>IF(VLOOKUP($C256,REV!$C:$AA,21,0)-'TRADE IN'!$F256=0,"",(VLOOKUP($C256,REV!$C:$AA,21,0)-'TRADE IN'!$F256))</f>
        <v>509</v>
      </c>
      <c r="X256" s="56">
        <f>IF(VLOOKUP($C256,REV!$C:$AA,22,0)-'TRADE IN'!$F256=0,"",(VLOOKUP($C256,REV!$C:$AA,22,0)-'TRADE IN'!$F256))</f>
        <v>509</v>
      </c>
      <c r="Y256" s="56">
        <f>IF(VLOOKUP($C256,REV!$C:$AA,23,0)-'TRADE IN'!$F256=0,"",(VLOOKUP($C256,REV!$C:$AA,23,0)-'TRADE IN'!$F256))</f>
        <v>509</v>
      </c>
      <c r="Z256" s="56">
        <f>IF(VLOOKUP($C256,REV!$C:$AA,24,0)-'TRADE IN'!$F256=0,"",(VLOOKUP($C256,REV!$C:$AA,24,0)-'TRADE IN'!$F256))</f>
        <v>509</v>
      </c>
      <c r="AA256" s="56">
        <f>IF(VLOOKUP($C256,REV!$C:$AA,25,0)-'TRADE IN'!$F256=0,"",(VLOOKUP($C256,REV!$C:$AA,25,0)-'TRADE IN'!$F256))</f>
        <v>509</v>
      </c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7"/>
      <c r="AW256" s="58" t="str">
        <f>REV!AW256</f>
        <v>03.11.2026</v>
      </c>
      <c r="AX256" s="147" t="str">
        <f>VLOOKUP(C256,REV!C:AX,48,0)</f>
        <v>5G</v>
      </c>
    </row>
    <row r="257" spans="1:50" ht="22.5" customHeight="1">
      <c r="A257" s="64" t="s">
        <v>241</v>
      </c>
      <c r="B257" s="52" t="s">
        <v>64</v>
      </c>
      <c r="C257" s="53">
        <v>4016086</v>
      </c>
      <c r="D257" s="65" t="s">
        <v>415</v>
      </c>
      <c r="E257" s="65" t="s">
        <v>416</v>
      </c>
      <c r="F257" s="55"/>
      <c r="G257" s="55"/>
      <c r="H257" s="55"/>
      <c r="I257" s="55"/>
      <c r="J257" s="56">
        <f>IF(VLOOKUP($C257,REV!$C:$AA,8,0)-'TRADE IN'!$F257=0,"",(VLOOKUP($C257,REV!$C:$AA,8,0)-'TRADE IN'!$F257))</f>
        <v>589</v>
      </c>
      <c r="K257" s="56">
        <f>IF(VLOOKUP($C257,REV!$C:$AA,9,0)-'TRADE IN'!$F257=0,"",(VLOOKUP($C257,REV!$C:$AA,9,0)-'TRADE IN'!$F257))</f>
        <v>589</v>
      </c>
      <c r="L257" s="56">
        <f>IF(VLOOKUP($C257,REV!$C:$AA,10,0)-'TRADE IN'!$F257=0,"",(VLOOKUP($C257,REV!$C:$AA,10,0)-'TRADE IN'!$F257))</f>
        <v>589</v>
      </c>
      <c r="M257" s="56">
        <f>IF(VLOOKUP($C257,REV!$C:$AA,11,0)-'TRADE IN'!$F257=0,"",(VLOOKUP($C257,REV!$C:$AA,11,0)-'TRADE IN'!$F257))</f>
        <v>589</v>
      </c>
      <c r="N257" s="56">
        <f>IF(VLOOKUP($C257,REV!$C:$AA,12,0)-'TRADE IN'!$F257=0,"",(VLOOKUP($C257,REV!$C:$AA,12,0)-'TRADE IN'!$F257))</f>
        <v>589</v>
      </c>
      <c r="O257" s="56">
        <f>IF(VLOOKUP($C257,REV!$C:$AA,13,0)-'TRADE IN'!$F257=0,"",(VLOOKUP($C257,REV!$C:$AA,13,0)-'TRADE IN'!$F257))</f>
        <v>589</v>
      </c>
      <c r="P257" s="56">
        <f>IF(VLOOKUP($C257,REV!$C:$AA,14,0)-'TRADE IN'!$F257=0,"",(VLOOKUP($C257,REV!$C:$AA,14,0)-'TRADE IN'!$F257))</f>
        <v>589</v>
      </c>
      <c r="Q257" s="56">
        <f>IF(VLOOKUP($C257,REV!$C:$AA,15,0)-'TRADE IN'!$F257=0,"",(VLOOKUP($C257,REV!$C:$AA,15,0)-'TRADE IN'!$F257))</f>
        <v>589</v>
      </c>
      <c r="R257" s="56">
        <f>IF(VLOOKUP($C257,REV!$C:$AA,16,0)-'TRADE IN'!$F257=0,"",(VLOOKUP($C257,REV!$C:$AA,16,0)-'TRADE IN'!$F257))</f>
        <v>589</v>
      </c>
      <c r="S257" s="56">
        <f>IF(VLOOKUP($C257,REV!$C:$AA,17,0)-'TRADE IN'!$F257=0,"",(VLOOKUP($C257,REV!$C:$AA,17,0)-'TRADE IN'!$F257))</f>
        <v>589</v>
      </c>
      <c r="T257" s="56">
        <f>IF(VLOOKUP($C257,REV!$C:$AA,18,0)-'TRADE IN'!$F257=0,"",(VLOOKUP($C257,REV!$C:$AA,18,0)-'TRADE IN'!$F257))</f>
        <v>589</v>
      </c>
      <c r="U257" s="56">
        <f>IF(VLOOKUP($C257,REV!$C:$AA,19,0)-'TRADE IN'!$F257=0,"",(VLOOKUP($C257,REV!$C:$AA,19,0)-'TRADE IN'!$F257))</f>
        <v>589</v>
      </c>
      <c r="V257" s="56">
        <f>IF(VLOOKUP($C257,REV!$C:$AA,20,0)-'TRADE IN'!$F257=0,"",(VLOOKUP($C257,REV!$C:$AA,20,0)-'TRADE IN'!$F257))</f>
        <v>589</v>
      </c>
      <c r="W257" s="56">
        <f>IF(VLOOKUP($C257,REV!$C:$AA,21,0)-'TRADE IN'!$F257=0,"",(VLOOKUP($C257,REV!$C:$AA,21,0)-'TRADE IN'!$F257))</f>
        <v>589</v>
      </c>
      <c r="X257" s="56">
        <f>IF(VLOOKUP($C257,REV!$C:$AA,22,0)-'TRADE IN'!$F257=0,"",(VLOOKUP($C257,REV!$C:$AA,22,0)-'TRADE IN'!$F257))</f>
        <v>589</v>
      </c>
      <c r="Y257" s="56">
        <f>IF(VLOOKUP($C257,REV!$C:$AA,23,0)-'TRADE IN'!$F257=0,"",(VLOOKUP($C257,REV!$C:$AA,23,0)-'TRADE IN'!$F257))</f>
        <v>589</v>
      </c>
      <c r="Z257" s="56">
        <f>IF(VLOOKUP($C257,REV!$C:$AA,24,0)-'TRADE IN'!$F257=0,"",(VLOOKUP($C257,REV!$C:$AA,24,0)-'TRADE IN'!$F257))</f>
        <v>589</v>
      </c>
      <c r="AA257" s="56">
        <f>IF(VLOOKUP($C257,REV!$C:$AA,25,0)-'TRADE IN'!$F257=0,"",(VLOOKUP($C257,REV!$C:$AA,25,0)-'TRADE IN'!$F257))</f>
        <v>589</v>
      </c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7"/>
      <c r="AW257" s="58" t="str">
        <f>REV!AW257</f>
        <v>03.11.2026</v>
      </c>
      <c r="AX257" s="147" t="str">
        <f>VLOOKUP(C257,REV!C:AX,48,0)</f>
        <v>5G</v>
      </c>
    </row>
    <row r="258" spans="1:50" ht="22.5" customHeight="1">
      <c r="A258" s="64" t="s">
        <v>241</v>
      </c>
      <c r="B258" s="52" t="s">
        <v>64</v>
      </c>
      <c r="C258" s="53">
        <v>4016089</v>
      </c>
      <c r="D258" s="65" t="s">
        <v>415</v>
      </c>
      <c r="E258" s="65" t="s">
        <v>417</v>
      </c>
      <c r="F258" s="55"/>
      <c r="G258" s="55"/>
      <c r="H258" s="55"/>
      <c r="I258" s="55"/>
      <c r="J258" s="56">
        <f>IF(VLOOKUP($C258,REV!$C:$AA,8,0)-'TRADE IN'!$F258=0,"",(VLOOKUP($C258,REV!$C:$AA,8,0)-'TRADE IN'!$F258))</f>
        <v>589</v>
      </c>
      <c r="K258" s="56">
        <f>IF(VLOOKUP($C258,REV!$C:$AA,9,0)-'TRADE IN'!$F258=0,"",(VLOOKUP($C258,REV!$C:$AA,9,0)-'TRADE IN'!$F258))</f>
        <v>589</v>
      </c>
      <c r="L258" s="56">
        <f>IF(VLOOKUP($C258,REV!$C:$AA,10,0)-'TRADE IN'!$F258=0,"",(VLOOKUP($C258,REV!$C:$AA,10,0)-'TRADE IN'!$F258))</f>
        <v>589</v>
      </c>
      <c r="M258" s="56">
        <f>IF(VLOOKUP($C258,REV!$C:$AA,11,0)-'TRADE IN'!$F258=0,"",(VLOOKUP($C258,REV!$C:$AA,11,0)-'TRADE IN'!$F258))</f>
        <v>589</v>
      </c>
      <c r="N258" s="56">
        <f>IF(VLOOKUP($C258,REV!$C:$AA,12,0)-'TRADE IN'!$F258=0,"",(VLOOKUP($C258,REV!$C:$AA,12,0)-'TRADE IN'!$F258))</f>
        <v>589</v>
      </c>
      <c r="O258" s="56">
        <f>IF(VLOOKUP($C258,REV!$C:$AA,13,0)-'TRADE IN'!$F258=0,"",(VLOOKUP($C258,REV!$C:$AA,13,0)-'TRADE IN'!$F258))</f>
        <v>589</v>
      </c>
      <c r="P258" s="56">
        <f>IF(VLOOKUP($C258,REV!$C:$AA,14,0)-'TRADE IN'!$F258=0,"",(VLOOKUP($C258,REV!$C:$AA,14,0)-'TRADE IN'!$F258))</f>
        <v>589</v>
      </c>
      <c r="Q258" s="56">
        <f>IF(VLOOKUP($C258,REV!$C:$AA,15,0)-'TRADE IN'!$F258=0,"",(VLOOKUP($C258,REV!$C:$AA,15,0)-'TRADE IN'!$F258))</f>
        <v>589</v>
      </c>
      <c r="R258" s="56">
        <f>IF(VLOOKUP($C258,REV!$C:$AA,16,0)-'TRADE IN'!$F258=0,"",(VLOOKUP($C258,REV!$C:$AA,16,0)-'TRADE IN'!$F258))</f>
        <v>589</v>
      </c>
      <c r="S258" s="56">
        <f>IF(VLOOKUP($C258,REV!$C:$AA,17,0)-'TRADE IN'!$F258=0,"",(VLOOKUP($C258,REV!$C:$AA,17,0)-'TRADE IN'!$F258))</f>
        <v>589</v>
      </c>
      <c r="T258" s="56">
        <f>IF(VLOOKUP($C258,REV!$C:$AA,18,0)-'TRADE IN'!$F258=0,"",(VLOOKUP($C258,REV!$C:$AA,18,0)-'TRADE IN'!$F258))</f>
        <v>589</v>
      </c>
      <c r="U258" s="56">
        <f>IF(VLOOKUP($C258,REV!$C:$AA,19,0)-'TRADE IN'!$F258=0,"",(VLOOKUP($C258,REV!$C:$AA,19,0)-'TRADE IN'!$F258))</f>
        <v>589</v>
      </c>
      <c r="V258" s="56">
        <f>IF(VLOOKUP($C258,REV!$C:$AA,20,0)-'TRADE IN'!$F258=0,"",(VLOOKUP($C258,REV!$C:$AA,20,0)-'TRADE IN'!$F258))</f>
        <v>589</v>
      </c>
      <c r="W258" s="56">
        <f>IF(VLOOKUP($C258,REV!$C:$AA,21,0)-'TRADE IN'!$F258=0,"",(VLOOKUP($C258,REV!$C:$AA,21,0)-'TRADE IN'!$F258))</f>
        <v>589</v>
      </c>
      <c r="X258" s="56">
        <f>IF(VLOOKUP($C258,REV!$C:$AA,22,0)-'TRADE IN'!$F258=0,"",(VLOOKUP($C258,REV!$C:$AA,22,0)-'TRADE IN'!$F258))</f>
        <v>589</v>
      </c>
      <c r="Y258" s="56">
        <f>IF(VLOOKUP($C258,REV!$C:$AA,23,0)-'TRADE IN'!$F258=0,"",(VLOOKUP($C258,REV!$C:$AA,23,0)-'TRADE IN'!$F258))</f>
        <v>589</v>
      </c>
      <c r="Z258" s="56">
        <f>IF(VLOOKUP($C258,REV!$C:$AA,24,0)-'TRADE IN'!$F258=0,"",(VLOOKUP($C258,REV!$C:$AA,24,0)-'TRADE IN'!$F258))</f>
        <v>589</v>
      </c>
      <c r="AA258" s="56">
        <f>IF(VLOOKUP($C258,REV!$C:$AA,25,0)-'TRADE IN'!$F258=0,"",(VLOOKUP($C258,REV!$C:$AA,25,0)-'TRADE IN'!$F258))</f>
        <v>589</v>
      </c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7"/>
      <c r="AW258" s="58" t="str">
        <f>REV!AW258</f>
        <v>03.11.2026</v>
      </c>
      <c r="AX258" s="147" t="str">
        <f>VLOOKUP(C258,REV!C:AX,48,0)</f>
        <v>5G</v>
      </c>
    </row>
    <row r="259" spans="1:50" ht="22.5" customHeight="1">
      <c r="A259" s="64" t="s">
        <v>241</v>
      </c>
      <c r="B259" s="52" t="s">
        <v>64</v>
      </c>
      <c r="C259" s="53">
        <v>4016084</v>
      </c>
      <c r="D259" s="65" t="s">
        <v>415</v>
      </c>
      <c r="E259" s="65" t="s">
        <v>418</v>
      </c>
      <c r="F259" s="55"/>
      <c r="G259" s="55"/>
      <c r="H259" s="55"/>
      <c r="I259" s="55"/>
      <c r="J259" s="56">
        <f>IF(VLOOKUP($C259,REV!$C:$AA,8,0)-'TRADE IN'!$F259=0,"",(VLOOKUP($C259,REV!$C:$AA,8,0)-'TRADE IN'!$F259))</f>
        <v>589</v>
      </c>
      <c r="K259" s="56">
        <f>IF(VLOOKUP($C259,REV!$C:$AA,9,0)-'TRADE IN'!$F259=0,"",(VLOOKUP($C259,REV!$C:$AA,9,0)-'TRADE IN'!$F259))</f>
        <v>589</v>
      </c>
      <c r="L259" s="56">
        <f>IF(VLOOKUP($C259,REV!$C:$AA,10,0)-'TRADE IN'!$F259=0,"",(VLOOKUP($C259,REV!$C:$AA,10,0)-'TRADE IN'!$F259))</f>
        <v>589</v>
      </c>
      <c r="M259" s="56">
        <f>IF(VLOOKUP($C259,REV!$C:$AA,11,0)-'TRADE IN'!$F259=0,"",(VLOOKUP($C259,REV!$C:$AA,11,0)-'TRADE IN'!$F259))</f>
        <v>589</v>
      </c>
      <c r="N259" s="56">
        <f>IF(VLOOKUP($C259,REV!$C:$AA,12,0)-'TRADE IN'!$F259=0,"",(VLOOKUP($C259,REV!$C:$AA,12,0)-'TRADE IN'!$F259))</f>
        <v>589</v>
      </c>
      <c r="O259" s="56">
        <f>IF(VLOOKUP($C259,REV!$C:$AA,13,0)-'TRADE IN'!$F259=0,"",(VLOOKUP($C259,REV!$C:$AA,13,0)-'TRADE IN'!$F259))</f>
        <v>589</v>
      </c>
      <c r="P259" s="56">
        <f>IF(VLOOKUP($C259,REV!$C:$AA,14,0)-'TRADE IN'!$F259=0,"",(VLOOKUP($C259,REV!$C:$AA,14,0)-'TRADE IN'!$F259))</f>
        <v>589</v>
      </c>
      <c r="Q259" s="56">
        <f>IF(VLOOKUP($C259,REV!$C:$AA,15,0)-'TRADE IN'!$F259=0,"",(VLOOKUP($C259,REV!$C:$AA,15,0)-'TRADE IN'!$F259))</f>
        <v>589</v>
      </c>
      <c r="R259" s="56">
        <f>IF(VLOOKUP($C259,REV!$C:$AA,16,0)-'TRADE IN'!$F259=0,"",(VLOOKUP($C259,REV!$C:$AA,16,0)-'TRADE IN'!$F259))</f>
        <v>589</v>
      </c>
      <c r="S259" s="56">
        <f>IF(VLOOKUP($C259,REV!$C:$AA,17,0)-'TRADE IN'!$F259=0,"",(VLOOKUP($C259,REV!$C:$AA,17,0)-'TRADE IN'!$F259))</f>
        <v>589</v>
      </c>
      <c r="T259" s="56">
        <f>IF(VLOOKUP($C259,REV!$C:$AA,18,0)-'TRADE IN'!$F259=0,"",(VLOOKUP($C259,REV!$C:$AA,18,0)-'TRADE IN'!$F259))</f>
        <v>589</v>
      </c>
      <c r="U259" s="56">
        <f>IF(VLOOKUP($C259,REV!$C:$AA,19,0)-'TRADE IN'!$F259=0,"",(VLOOKUP($C259,REV!$C:$AA,19,0)-'TRADE IN'!$F259))</f>
        <v>589</v>
      </c>
      <c r="V259" s="56">
        <f>IF(VLOOKUP($C259,REV!$C:$AA,20,0)-'TRADE IN'!$F259=0,"",(VLOOKUP($C259,REV!$C:$AA,20,0)-'TRADE IN'!$F259))</f>
        <v>589</v>
      </c>
      <c r="W259" s="56">
        <f>IF(VLOOKUP($C259,REV!$C:$AA,21,0)-'TRADE IN'!$F259=0,"",(VLOOKUP($C259,REV!$C:$AA,21,0)-'TRADE IN'!$F259))</f>
        <v>589</v>
      </c>
      <c r="X259" s="56">
        <f>IF(VLOOKUP($C259,REV!$C:$AA,22,0)-'TRADE IN'!$F259=0,"",(VLOOKUP($C259,REV!$C:$AA,22,0)-'TRADE IN'!$F259))</f>
        <v>589</v>
      </c>
      <c r="Y259" s="56">
        <f>IF(VLOOKUP($C259,REV!$C:$AA,23,0)-'TRADE IN'!$F259=0,"",(VLOOKUP($C259,REV!$C:$AA,23,0)-'TRADE IN'!$F259))</f>
        <v>589</v>
      </c>
      <c r="Z259" s="56">
        <f>IF(VLOOKUP($C259,REV!$C:$AA,24,0)-'TRADE IN'!$F259=0,"",(VLOOKUP($C259,REV!$C:$AA,24,0)-'TRADE IN'!$F259))</f>
        <v>589</v>
      </c>
      <c r="AA259" s="56">
        <f>IF(VLOOKUP($C259,REV!$C:$AA,25,0)-'TRADE IN'!$F259=0,"",(VLOOKUP($C259,REV!$C:$AA,25,0)-'TRADE IN'!$F259))</f>
        <v>589</v>
      </c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7"/>
      <c r="AW259" s="58" t="str">
        <f>REV!AW259</f>
        <v>03.11.2026</v>
      </c>
      <c r="AX259" s="147" t="str">
        <f>VLOOKUP(C259,REV!C:AX,48,0)</f>
        <v>5G</v>
      </c>
    </row>
    <row r="260" spans="1:50" ht="22.5" customHeight="1">
      <c r="A260" s="64" t="s">
        <v>241</v>
      </c>
      <c r="B260" s="52" t="s">
        <v>64</v>
      </c>
      <c r="C260" s="53">
        <v>4016087</v>
      </c>
      <c r="D260" s="65" t="s">
        <v>415</v>
      </c>
      <c r="E260" s="65" t="s">
        <v>419</v>
      </c>
      <c r="F260" s="55"/>
      <c r="G260" s="55"/>
      <c r="H260" s="55"/>
      <c r="I260" s="55"/>
      <c r="J260" s="56">
        <f>IF(VLOOKUP($C260,REV!$C:$AA,8,0)-'TRADE IN'!$F260=0,"",(VLOOKUP($C260,REV!$C:$AA,8,0)-'TRADE IN'!$F260))</f>
        <v>589</v>
      </c>
      <c r="K260" s="56">
        <f>IF(VLOOKUP($C260,REV!$C:$AA,9,0)-'TRADE IN'!$F260=0,"",(VLOOKUP($C260,REV!$C:$AA,9,0)-'TRADE IN'!$F260))</f>
        <v>589</v>
      </c>
      <c r="L260" s="56">
        <f>IF(VLOOKUP($C260,REV!$C:$AA,10,0)-'TRADE IN'!$F260=0,"",(VLOOKUP($C260,REV!$C:$AA,10,0)-'TRADE IN'!$F260))</f>
        <v>589</v>
      </c>
      <c r="M260" s="56">
        <f>IF(VLOOKUP($C260,REV!$C:$AA,11,0)-'TRADE IN'!$F260=0,"",(VLOOKUP($C260,REV!$C:$AA,11,0)-'TRADE IN'!$F260))</f>
        <v>589</v>
      </c>
      <c r="N260" s="56">
        <f>IF(VLOOKUP($C260,REV!$C:$AA,12,0)-'TRADE IN'!$F260=0,"",(VLOOKUP($C260,REV!$C:$AA,12,0)-'TRADE IN'!$F260))</f>
        <v>589</v>
      </c>
      <c r="O260" s="56">
        <f>IF(VLOOKUP($C260,REV!$C:$AA,13,0)-'TRADE IN'!$F260=0,"",(VLOOKUP($C260,REV!$C:$AA,13,0)-'TRADE IN'!$F260))</f>
        <v>589</v>
      </c>
      <c r="P260" s="56">
        <f>IF(VLOOKUP($C260,REV!$C:$AA,14,0)-'TRADE IN'!$F260=0,"",(VLOOKUP($C260,REV!$C:$AA,14,0)-'TRADE IN'!$F260))</f>
        <v>589</v>
      </c>
      <c r="Q260" s="56">
        <f>IF(VLOOKUP($C260,REV!$C:$AA,15,0)-'TRADE IN'!$F260=0,"",(VLOOKUP($C260,REV!$C:$AA,15,0)-'TRADE IN'!$F260))</f>
        <v>589</v>
      </c>
      <c r="R260" s="56">
        <f>IF(VLOOKUP($C260,REV!$C:$AA,16,0)-'TRADE IN'!$F260=0,"",(VLOOKUP($C260,REV!$C:$AA,16,0)-'TRADE IN'!$F260))</f>
        <v>589</v>
      </c>
      <c r="S260" s="56">
        <f>IF(VLOOKUP($C260,REV!$C:$AA,17,0)-'TRADE IN'!$F260=0,"",(VLOOKUP($C260,REV!$C:$AA,17,0)-'TRADE IN'!$F260))</f>
        <v>589</v>
      </c>
      <c r="T260" s="56">
        <f>IF(VLOOKUP($C260,REV!$C:$AA,18,0)-'TRADE IN'!$F260=0,"",(VLOOKUP($C260,REV!$C:$AA,18,0)-'TRADE IN'!$F260))</f>
        <v>589</v>
      </c>
      <c r="U260" s="56">
        <f>IF(VLOOKUP($C260,REV!$C:$AA,19,0)-'TRADE IN'!$F260=0,"",(VLOOKUP($C260,REV!$C:$AA,19,0)-'TRADE IN'!$F260))</f>
        <v>589</v>
      </c>
      <c r="V260" s="56">
        <f>IF(VLOOKUP($C260,REV!$C:$AA,20,0)-'TRADE IN'!$F260=0,"",(VLOOKUP($C260,REV!$C:$AA,20,0)-'TRADE IN'!$F260))</f>
        <v>589</v>
      </c>
      <c r="W260" s="56">
        <f>IF(VLOOKUP($C260,REV!$C:$AA,21,0)-'TRADE IN'!$F260=0,"",(VLOOKUP($C260,REV!$C:$AA,21,0)-'TRADE IN'!$F260))</f>
        <v>589</v>
      </c>
      <c r="X260" s="56">
        <f>IF(VLOOKUP($C260,REV!$C:$AA,22,0)-'TRADE IN'!$F260=0,"",(VLOOKUP($C260,REV!$C:$AA,22,0)-'TRADE IN'!$F260))</f>
        <v>589</v>
      </c>
      <c r="Y260" s="56">
        <f>IF(VLOOKUP($C260,REV!$C:$AA,23,0)-'TRADE IN'!$F260=0,"",(VLOOKUP($C260,REV!$C:$AA,23,0)-'TRADE IN'!$F260))</f>
        <v>589</v>
      </c>
      <c r="Z260" s="56">
        <f>IF(VLOOKUP($C260,REV!$C:$AA,24,0)-'TRADE IN'!$F260=0,"",(VLOOKUP($C260,REV!$C:$AA,24,0)-'TRADE IN'!$F260))</f>
        <v>589</v>
      </c>
      <c r="AA260" s="56">
        <f>IF(VLOOKUP($C260,REV!$C:$AA,25,0)-'TRADE IN'!$F260=0,"",(VLOOKUP($C260,REV!$C:$AA,25,0)-'TRADE IN'!$F260))</f>
        <v>589</v>
      </c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7"/>
      <c r="AW260" s="58" t="str">
        <f>REV!AW260</f>
        <v>03.11.2026</v>
      </c>
      <c r="AX260" s="147" t="str">
        <f>VLOOKUP(C260,REV!C:AX,48,0)</f>
        <v>5G</v>
      </c>
    </row>
    <row r="261" spans="1:50" ht="22.5" customHeight="1">
      <c r="A261" s="64" t="s">
        <v>241</v>
      </c>
      <c r="B261" s="52" t="s">
        <v>64</v>
      </c>
      <c r="C261" s="53">
        <v>4016668</v>
      </c>
      <c r="D261" s="65" t="s">
        <v>420</v>
      </c>
      <c r="E261" s="65" t="s">
        <v>421</v>
      </c>
      <c r="F261" s="55"/>
      <c r="G261" s="55"/>
      <c r="H261" s="55"/>
      <c r="I261" s="55"/>
      <c r="J261" s="56">
        <f>IF(VLOOKUP($C261,REV!$C:$AA,8,0)-'TRADE IN'!$F261=0,"",(VLOOKUP($C261,REV!$C:$AA,8,0)-'TRADE IN'!$F261))</f>
        <v>899</v>
      </c>
      <c r="K261" s="56">
        <f>IF(VLOOKUP($C261,REV!$C:$AA,9,0)-'TRADE IN'!$F261=0,"",(VLOOKUP($C261,REV!$C:$AA,9,0)-'TRADE IN'!$F261))</f>
        <v>799</v>
      </c>
      <c r="L261" s="56">
        <f>IF(VLOOKUP($C261,REV!$C:$AA,10,0)-'TRADE IN'!$F261=0,"",(VLOOKUP($C261,REV!$C:$AA,10,0)-'TRADE IN'!$F261))</f>
        <v>799</v>
      </c>
      <c r="M261" s="56">
        <f>IF(VLOOKUP($C261,REV!$C:$AA,11,0)-'TRADE IN'!$F261=0,"",(VLOOKUP($C261,REV!$C:$AA,11,0)-'TRADE IN'!$F261))</f>
        <v>899</v>
      </c>
      <c r="N261" s="56">
        <f>IF(VLOOKUP($C261,REV!$C:$AA,12,0)-'TRADE IN'!$F261=0,"",(VLOOKUP($C261,REV!$C:$AA,12,0)-'TRADE IN'!$F261))</f>
        <v>799</v>
      </c>
      <c r="O261" s="56">
        <f>IF(VLOOKUP($C261,REV!$C:$AA,13,0)-'TRADE IN'!$F261=0,"",(VLOOKUP($C261,REV!$C:$AA,13,0)-'TRADE IN'!$F261))</f>
        <v>749</v>
      </c>
      <c r="P261" s="56">
        <f>IF(VLOOKUP($C261,REV!$C:$AA,14,0)-'TRADE IN'!$F261=0,"",(VLOOKUP($C261,REV!$C:$AA,14,0)-'TRADE IN'!$F261))</f>
        <v>749</v>
      </c>
      <c r="Q261" s="56">
        <f>IF(VLOOKUP($C261,REV!$C:$AA,15,0)-'TRADE IN'!$F261=0,"",(VLOOKUP($C261,REV!$C:$AA,15,0)-'TRADE IN'!$F261))</f>
        <v>699</v>
      </c>
      <c r="R261" s="56">
        <f>IF(VLOOKUP($C261,REV!$C:$AA,16,0)-'TRADE IN'!$F261=0,"",(VLOOKUP($C261,REV!$C:$AA,16,0)-'TRADE IN'!$F261))</f>
        <v>749</v>
      </c>
      <c r="S261" s="56">
        <f>IF(VLOOKUP($C261,REV!$C:$AA,17,0)-'TRADE IN'!$F261=0,"",(VLOOKUP($C261,REV!$C:$AA,17,0)-'TRADE IN'!$F261))</f>
        <v>749</v>
      </c>
      <c r="T261" s="56">
        <f>IF(VLOOKUP($C261,REV!$C:$AA,18,0)-'TRADE IN'!$F261=0,"",(VLOOKUP($C261,REV!$C:$AA,18,0)-'TRADE IN'!$F261))</f>
        <v>699</v>
      </c>
      <c r="U261" s="56">
        <f>IF(VLOOKUP($C261,REV!$C:$AA,19,0)-'TRADE IN'!$F261=0,"",(VLOOKUP($C261,REV!$C:$AA,19,0)-'TRADE IN'!$F261))</f>
        <v>699</v>
      </c>
      <c r="V261" s="56">
        <f>IF(VLOOKUP($C261,REV!$C:$AA,20,0)-'TRADE IN'!$F261=0,"",(VLOOKUP($C261,REV!$C:$AA,20,0)-'TRADE IN'!$F261))</f>
        <v>699</v>
      </c>
      <c r="W261" s="56">
        <f>IF(VLOOKUP($C261,REV!$C:$AA,21,0)-'TRADE IN'!$F261=0,"",(VLOOKUP($C261,REV!$C:$AA,21,0)-'TRADE IN'!$F261))</f>
        <v>699</v>
      </c>
      <c r="X261" s="56">
        <f>IF(VLOOKUP($C261,REV!$C:$AA,22,0)-'TRADE IN'!$F261=0,"",(VLOOKUP($C261,REV!$C:$AA,22,0)-'TRADE IN'!$F261))</f>
        <v>699</v>
      </c>
      <c r="Y261" s="56">
        <f>IF(VLOOKUP($C261,REV!$C:$AA,23,0)-'TRADE IN'!$F261=0,"",(VLOOKUP($C261,REV!$C:$AA,23,0)-'TRADE IN'!$F261))</f>
        <v>699</v>
      </c>
      <c r="Z261" s="56">
        <f>IF(VLOOKUP($C261,REV!$C:$AA,24,0)-'TRADE IN'!$F261=0,"",(VLOOKUP($C261,REV!$C:$AA,24,0)-'TRADE IN'!$F261))</f>
        <v>699</v>
      </c>
      <c r="AA261" s="56">
        <f>IF(VLOOKUP($C261,REV!$C:$AA,25,0)-'TRADE IN'!$F261=0,"",(VLOOKUP($C261,REV!$C:$AA,25,0)-'TRADE IN'!$F261))</f>
        <v>699</v>
      </c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7"/>
      <c r="AW261" s="58" t="str">
        <f>REV!AW261</f>
        <v>03.11.2026</v>
      </c>
      <c r="AX261" s="147" t="str">
        <f>VLOOKUP(C261,REV!C:AX,48,0)</f>
        <v>5G</v>
      </c>
    </row>
    <row r="262" spans="1:50" ht="22.5" customHeight="1">
      <c r="A262" s="64" t="s">
        <v>241</v>
      </c>
      <c r="B262" s="52" t="s">
        <v>64</v>
      </c>
      <c r="C262" s="53">
        <v>4016714</v>
      </c>
      <c r="D262" s="65" t="s">
        <v>420</v>
      </c>
      <c r="E262" s="65" t="s">
        <v>422</v>
      </c>
      <c r="F262" s="55"/>
      <c r="G262" s="55"/>
      <c r="H262" s="55"/>
      <c r="I262" s="55"/>
      <c r="J262" s="56">
        <f>IF(VLOOKUP($C262,REV!$C:$AA,8,0)-'TRADE IN'!$F262=0,"",(VLOOKUP($C262,REV!$C:$AA,8,0)-'TRADE IN'!$F262))</f>
        <v>899</v>
      </c>
      <c r="K262" s="56">
        <f>IF(VLOOKUP($C262,REV!$C:$AA,9,0)-'TRADE IN'!$F262=0,"",(VLOOKUP($C262,REV!$C:$AA,9,0)-'TRADE IN'!$F262))</f>
        <v>799</v>
      </c>
      <c r="L262" s="56">
        <f>IF(VLOOKUP($C262,REV!$C:$AA,10,0)-'TRADE IN'!$F262=0,"",(VLOOKUP($C262,REV!$C:$AA,10,0)-'TRADE IN'!$F262))</f>
        <v>799</v>
      </c>
      <c r="M262" s="56">
        <f>IF(VLOOKUP($C262,REV!$C:$AA,11,0)-'TRADE IN'!$F262=0,"",(VLOOKUP($C262,REV!$C:$AA,11,0)-'TRADE IN'!$F262))</f>
        <v>899</v>
      </c>
      <c r="N262" s="56">
        <f>IF(VLOOKUP($C262,REV!$C:$AA,12,0)-'TRADE IN'!$F262=0,"",(VLOOKUP($C262,REV!$C:$AA,12,0)-'TRADE IN'!$F262))</f>
        <v>799</v>
      </c>
      <c r="O262" s="56">
        <f>IF(VLOOKUP($C262,REV!$C:$AA,13,0)-'TRADE IN'!$F262=0,"",(VLOOKUP($C262,REV!$C:$AA,13,0)-'TRADE IN'!$F262))</f>
        <v>749</v>
      </c>
      <c r="P262" s="56">
        <f>IF(VLOOKUP($C262,REV!$C:$AA,14,0)-'TRADE IN'!$F262=0,"",(VLOOKUP($C262,REV!$C:$AA,14,0)-'TRADE IN'!$F262))</f>
        <v>749</v>
      </c>
      <c r="Q262" s="56">
        <f>IF(VLOOKUP($C262,REV!$C:$AA,15,0)-'TRADE IN'!$F262=0,"",(VLOOKUP($C262,REV!$C:$AA,15,0)-'TRADE IN'!$F262))</f>
        <v>699</v>
      </c>
      <c r="R262" s="56">
        <f>IF(VLOOKUP($C262,REV!$C:$AA,16,0)-'TRADE IN'!$F262=0,"",(VLOOKUP($C262,REV!$C:$AA,16,0)-'TRADE IN'!$F262))</f>
        <v>749</v>
      </c>
      <c r="S262" s="56">
        <f>IF(VLOOKUP($C262,REV!$C:$AA,17,0)-'TRADE IN'!$F262=0,"",(VLOOKUP($C262,REV!$C:$AA,17,0)-'TRADE IN'!$F262))</f>
        <v>749</v>
      </c>
      <c r="T262" s="56">
        <f>IF(VLOOKUP($C262,REV!$C:$AA,18,0)-'TRADE IN'!$F262=0,"",(VLOOKUP($C262,REV!$C:$AA,18,0)-'TRADE IN'!$F262))</f>
        <v>699</v>
      </c>
      <c r="U262" s="56">
        <f>IF(VLOOKUP($C262,REV!$C:$AA,19,0)-'TRADE IN'!$F262=0,"",(VLOOKUP($C262,REV!$C:$AA,19,0)-'TRADE IN'!$F262))</f>
        <v>699</v>
      </c>
      <c r="V262" s="56">
        <f>IF(VLOOKUP($C262,REV!$C:$AA,20,0)-'TRADE IN'!$F262=0,"",(VLOOKUP($C262,REV!$C:$AA,20,0)-'TRADE IN'!$F262))</f>
        <v>699</v>
      </c>
      <c r="W262" s="56">
        <f>IF(VLOOKUP($C262,REV!$C:$AA,21,0)-'TRADE IN'!$F262=0,"",(VLOOKUP($C262,REV!$C:$AA,21,0)-'TRADE IN'!$F262))</f>
        <v>699</v>
      </c>
      <c r="X262" s="56">
        <f>IF(VLOOKUP($C262,REV!$C:$AA,22,0)-'TRADE IN'!$F262=0,"",(VLOOKUP($C262,REV!$C:$AA,22,0)-'TRADE IN'!$F262))</f>
        <v>699</v>
      </c>
      <c r="Y262" s="56">
        <f>IF(VLOOKUP($C262,REV!$C:$AA,23,0)-'TRADE IN'!$F262=0,"",(VLOOKUP($C262,REV!$C:$AA,23,0)-'TRADE IN'!$F262))</f>
        <v>699</v>
      </c>
      <c r="Z262" s="56">
        <f>IF(VLOOKUP($C262,REV!$C:$AA,24,0)-'TRADE IN'!$F262=0,"",(VLOOKUP($C262,REV!$C:$AA,24,0)-'TRADE IN'!$F262))</f>
        <v>699</v>
      </c>
      <c r="AA262" s="56">
        <f>IF(VLOOKUP($C262,REV!$C:$AA,25,0)-'TRADE IN'!$F262=0,"",(VLOOKUP($C262,REV!$C:$AA,25,0)-'TRADE IN'!$F262))</f>
        <v>699</v>
      </c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7"/>
      <c r="AW262" s="58" t="str">
        <f>REV!AW262</f>
        <v>03.11.2026</v>
      </c>
      <c r="AX262" s="147" t="str">
        <f>VLOOKUP(C262,REV!C:AX,48,0)</f>
        <v>5G</v>
      </c>
    </row>
    <row r="263" spans="1:50" ht="22.5" customHeight="1">
      <c r="A263" s="64" t="s">
        <v>241</v>
      </c>
      <c r="B263" s="52" t="s">
        <v>64</v>
      </c>
      <c r="C263" s="53">
        <v>4016710</v>
      </c>
      <c r="D263" s="65" t="s">
        <v>420</v>
      </c>
      <c r="E263" s="65" t="s">
        <v>423</v>
      </c>
      <c r="F263" s="55"/>
      <c r="G263" s="55"/>
      <c r="H263" s="55"/>
      <c r="I263" s="55"/>
      <c r="J263" s="56">
        <f>IF(VLOOKUP($C263,REV!$C:$AA,8,0)-'TRADE IN'!$F263=0,"",(VLOOKUP($C263,REV!$C:$AA,8,0)-'TRADE IN'!$F263))</f>
        <v>899</v>
      </c>
      <c r="K263" s="56">
        <f>IF(VLOOKUP($C263,REV!$C:$AA,9,0)-'TRADE IN'!$F263=0,"",(VLOOKUP($C263,REV!$C:$AA,9,0)-'TRADE IN'!$F263))</f>
        <v>799</v>
      </c>
      <c r="L263" s="56">
        <f>IF(VLOOKUP($C263,REV!$C:$AA,10,0)-'TRADE IN'!$F263=0,"",(VLOOKUP($C263,REV!$C:$AA,10,0)-'TRADE IN'!$F263))</f>
        <v>799</v>
      </c>
      <c r="M263" s="56">
        <f>IF(VLOOKUP($C263,REV!$C:$AA,11,0)-'TRADE IN'!$F263=0,"",(VLOOKUP($C263,REV!$C:$AA,11,0)-'TRADE IN'!$F263))</f>
        <v>899</v>
      </c>
      <c r="N263" s="56">
        <f>IF(VLOOKUP($C263,REV!$C:$AA,12,0)-'TRADE IN'!$F263=0,"",(VLOOKUP($C263,REV!$C:$AA,12,0)-'TRADE IN'!$F263))</f>
        <v>799</v>
      </c>
      <c r="O263" s="56">
        <f>IF(VLOOKUP($C263,REV!$C:$AA,13,0)-'TRADE IN'!$F263=0,"",(VLOOKUP($C263,REV!$C:$AA,13,0)-'TRADE IN'!$F263))</f>
        <v>749</v>
      </c>
      <c r="P263" s="56">
        <f>IF(VLOOKUP($C263,REV!$C:$AA,14,0)-'TRADE IN'!$F263=0,"",(VLOOKUP($C263,REV!$C:$AA,14,0)-'TRADE IN'!$F263))</f>
        <v>749</v>
      </c>
      <c r="Q263" s="56">
        <f>IF(VLOOKUP($C263,REV!$C:$AA,15,0)-'TRADE IN'!$F263=0,"",(VLOOKUP($C263,REV!$C:$AA,15,0)-'TRADE IN'!$F263))</f>
        <v>699</v>
      </c>
      <c r="R263" s="56">
        <f>IF(VLOOKUP($C263,REV!$C:$AA,16,0)-'TRADE IN'!$F263=0,"",(VLOOKUP($C263,REV!$C:$AA,16,0)-'TRADE IN'!$F263))</f>
        <v>749</v>
      </c>
      <c r="S263" s="56">
        <f>IF(VLOOKUP($C263,REV!$C:$AA,17,0)-'TRADE IN'!$F263=0,"",(VLOOKUP($C263,REV!$C:$AA,17,0)-'TRADE IN'!$F263))</f>
        <v>749</v>
      </c>
      <c r="T263" s="56">
        <f>IF(VLOOKUP($C263,REV!$C:$AA,18,0)-'TRADE IN'!$F263=0,"",(VLOOKUP($C263,REV!$C:$AA,18,0)-'TRADE IN'!$F263))</f>
        <v>699</v>
      </c>
      <c r="U263" s="56">
        <f>IF(VLOOKUP($C263,REV!$C:$AA,19,0)-'TRADE IN'!$F263=0,"",(VLOOKUP($C263,REV!$C:$AA,19,0)-'TRADE IN'!$F263))</f>
        <v>699</v>
      </c>
      <c r="V263" s="56">
        <f>IF(VLOOKUP($C263,REV!$C:$AA,20,0)-'TRADE IN'!$F263=0,"",(VLOOKUP($C263,REV!$C:$AA,20,0)-'TRADE IN'!$F263))</f>
        <v>699</v>
      </c>
      <c r="W263" s="56">
        <f>IF(VLOOKUP($C263,REV!$C:$AA,21,0)-'TRADE IN'!$F263=0,"",(VLOOKUP($C263,REV!$C:$AA,21,0)-'TRADE IN'!$F263))</f>
        <v>699</v>
      </c>
      <c r="X263" s="56">
        <f>IF(VLOOKUP($C263,REV!$C:$AA,22,0)-'TRADE IN'!$F263=0,"",(VLOOKUP($C263,REV!$C:$AA,22,0)-'TRADE IN'!$F263))</f>
        <v>699</v>
      </c>
      <c r="Y263" s="56">
        <f>IF(VLOOKUP($C263,REV!$C:$AA,23,0)-'TRADE IN'!$F263=0,"",(VLOOKUP($C263,REV!$C:$AA,23,0)-'TRADE IN'!$F263))</f>
        <v>699</v>
      </c>
      <c r="Z263" s="56">
        <f>IF(VLOOKUP($C263,REV!$C:$AA,24,0)-'TRADE IN'!$F263=0,"",(VLOOKUP($C263,REV!$C:$AA,24,0)-'TRADE IN'!$F263))</f>
        <v>699</v>
      </c>
      <c r="AA263" s="56">
        <f>IF(VLOOKUP($C263,REV!$C:$AA,25,0)-'TRADE IN'!$F263=0,"",(VLOOKUP($C263,REV!$C:$AA,25,0)-'TRADE IN'!$F263))</f>
        <v>699</v>
      </c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7"/>
      <c r="AW263" s="58" t="str">
        <f>REV!AW263</f>
        <v>03.11.2026</v>
      </c>
      <c r="AX263" s="147" t="str">
        <f>VLOOKUP(C263,REV!C:AX,48,0)</f>
        <v>5G</v>
      </c>
    </row>
    <row r="264" spans="1:50" ht="22.5" customHeight="1">
      <c r="A264" s="64" t="s">
        <v>241</v>
      </c>
      <c r="B264" s="52" t="s">
        <v>64</v>
      </c>
      <c r="C264" s="53">
        <v>4016716</v>
      </c>
      <c r="D264" s="65" t="s">
        <v>420</v>
      </c>
      <c r="E264" s="65" t="s">
        <v>424</v>
      </c>
      <c r="F264" s="55"/>
      <c r="G264" s="55"/>
      <c r="H264" s="55"/>
      <c r="I264" s="55"/>
      <c r="J264" s="56">
        <f>IF(VLOOKUP($C264,REV!$C:$AA,8,0)-'TRADE IN'!$F264=0,"",(VLOOKUP($C264,REV!$C:$AA,8,0)-'TRADE IN'!$F264))</f>
        <v>899</v>
      </c>
      <c r="K264" s="56">
        <f>IF(VLOOKUP($C264,REV!$C:$AA,9,0)-'TRADE IN'!$F264=0,"",(VLOOKUP($C264,REV!$C:$AA,9,0)-'TRADE IN'!$F264))</f>
        <v>799</v>
      </c>
      <c r="L264" s="56">
        <f>IF(VLOOKUP($C264,REV!$C:$AA,10,0)-'TRADE IN'!$F264=0,"",(VLOOKUP($C264,REV!$C:$AA,10,0)-'TRADE IN'!$F264))</f>
        <v>799</v>
      </c>
      <c r="M264" s="56">
        <f>IF(VLOOKUP($C264,REV!$C:$AA,11,0)-'TRADE IN'!$F264=0,"",(VLOOKUP($C264,REV!$C:$AA,11,0)-'TRADE IN'!$F264))</f>
        <v>899</v>
      </c>
      <c r="N264" s="56">
        <f>IF(VLOOKUP($C264,REV!$C:$AA,12,0)-'TRADE IN'!$F264=0,"",(VLOOKUP($C264,REV!$C:$AA,12,0)-'TRADE IN'!$F264))</f>
        <v>799</v>
      </c>
      <c r="O264" s="56">
        <f>IF(VLOOKUP($C264,REV!$C:$AA,13,0)-'TRADE IN'!$F264=0,"",(VLOOKUP($C264,REV!$C:$AA,13,0)-'TRADE IN'!$F264))</f>
        <v>749</v>
      </c>
      <c r="P264" s="56">
        <f>IF(VLOOKUP($C264,REV!$C:$AA,14,0)-'TRADE IN'!$F264=0,"",(VLOOKUP($C264,REV!$C:$AA,14,0)-'TRADE IN'!$F264))</f>
        <v>749</v>
      </c>
      <c r="Q264" s="56">
        <f>IF(VLOOKUP($C264,REV!$C:$AA,15,0)-'TRADE IN'!$F264=0,"",(VLOOKUP($C264,REV!$C:$AA,15,0)-'TRADE IN'!$F264))</f>
        <v>699</v>
      </c>
      <c r="R264" s="56">
        <f>IF(VLOOKUP($C264,REV!$C:$AA,16,0)-'TRADE IN'!$F264=0,"",(VLOOKUP($C264,REV!$C:$AA,16,0)-'TRADE IN'!$F264))</f>
        <v>749</v>
      </c>
      <c r="S264" s="56">
        <f>IF(VLOOKUP($C264,REV!$C:$AA,17,0)-'TRADE IN'!$F264=0,"",(VLOOKUP($C264,REV!$C:$AA,17,0)-'TRADE IN'!$F264))</f>
        <v>749</v>
      </c>
      <c r="T264" s="56">
        <f>IF(VLOOKUP($C264,REV!$C:$AA,18,0)-'TRADE IN'!$F264=0,"",(VLOOKUP($C264,REV!$C:$AA,18,0)-'TRADE IN'!$F264))</f>
        <v>699</v>
      </c>
      <c r="U264" s="56">
        <f>IF(VLOOKUP($C264,REV!$C:$AA,19,0)-'TRADE IN'!$F264=0,"",(VLOOKUP($C264,REV!$C:$AA,19,0)-'TRADE IN'!$F264))</f>
        <v>699</v>
      </c>
      <c r="V264" s="56">
        <f>IF(VLOOKUP($C264,REV!$C:$AA,20,0)-'TRADE IN'!$F264=0,"",(VLOOKUP($C264,REV!$C:$AA,20,0)-'TRADE IN'!$F264))</f>
        <v>699</v>
      </c>
      <c r="W264" s="56">
        <f>IF(VLOOKUP($C264,REV!$C:$AA,21,0)-'TRADE IN'!$F264=0,"",(VLOOKUP($C264,REV!$C:$AA,21,0)-'TRADE IN'!$F264))</f>
        <v>699</v>
      </c>
      <c r="X264" s="56">
        <f>IF(VLOOKUP($C264,REV!$C:$AA,22,0)-'TRADE IN'!$F264=0,"",(VLOOKUP($C264,REV!$C:$AA,22,0)-'TRADE IN'!$F264))</f>
        <v>699</v>
      </c>
      <c r="Y264" s="56">
        <f>IF(VLOOKUP($C264,REV!$C:$AA,23,0)-'TRADE IN'!$F264=0,"",(VLOOKUP($C264,REV!$C:$AA,23,0)-'TRADE IN'!$F264))</f>
        <v>699</v>
      </c>
      <c r="Z264" s="56">
        <f>IF(VLOOKUP($C264,REV!$C:$AA,24,0)-'TRADE IN'!$F264=0,"",(VLOOKUP($C264,REV!$C:$AA,24,0)-'TRADE IN'!$F264))</f>
        <v>699</v>
      </c>
      <c r="AA264" s="56">
        <f>IF(VLOOKUP($C264,REV!$C:$AA,25,0)-'TRADE IN'!$F264=0,"",(VLOOKUP($C264,REV!$C:$AA,25,0)-'TRADE IN'!$F264))</f>
        <v>699</v>
      </c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7"/>
      <c r="AW264" s="58" t="str">
        <f>REV!AW264</f>
        <v>03.11.2026</v>
      </c>
      <c r="AX264" s="147" t="str">
        <f>VLOOKUP(C264,REV!C:AX,48,0)</f>
        <v>5G</v>
      </c>
    </row>
    <row r="265" spans="1:50" ht="22.5" customHeight="1">
      <c r="A265" s="64" t="s">
        <v>241</v>
      </c>
      <c r="B265" s="52" t="s">
        <v>64</v>
      </c>
      <c r="C265" s="53">
        <v>4016753</v>
      </c>
      <c r="D265" s="65" t="s">
        <v>420</v>
      </c>
      <c r="E265" s="65" t="s">
        <v>425</v>
      </c>
      <c r="F265" s="55"/>
      <c r="G265" s="55"/>
      <c r="H265" s="55"/>
      <c r="I265" s="55"/>
      <c r="J265" s="56">
        <f>IF(VLOOKUP($C265,REV!$C:$AA,8,0)-'TRADE IN'!$F265=0,"",(VLOOKUP($C265,REV!$C:$AA,8,0)-'TRADE IN'!$F265))</f>
        <v>899</v>
      </c>
      <c r="K265" s="56">
        <f>IF(VLOOKUP($C265,REV!$C:$AA,9,0)-'TRADE IN'!$F265=0,"",(VLOOKUP($C265,REV!$C:$AA,9,0)-'TRADE IN'!$F265))</f>
        <v>799</v>
      </c>
      <c r="L265" s="56">
        <f>IF(VLOOKUP($C265,REV!$C:$AA,10,0)-'TRADE IN'!$F265=0,"",(VLOOKUP($C265,REV!$C:$AA,10,0)-'TRADE IN'!$F265))</f>
        <v>799</v>
      </c>
      <c r="M265" s="56">
        <f>IF(VLOOKUP($C265,REV!$C:$AA,11,0)-'TRADE IN'!$F265=0,"",(VLOOKUP($C265,REV!$C:$AA,11,0)-'TRADE IN'!$F265))</f>
        <v>899</v>
      </c>
      <c r="N265" s="56">
        <f>IF(VLOOKUP($C265,REV!$C:$AA,12,0)-'TRADE IN'!$F265=0,"",(VLOOKUP($C265,REV!$C:$AA,12,0)-'TRADE IN'!$F265))</f>
        <v>799</v>
      </c>
      <c r="O265" s="56">
        <f>IF(VLOOKUP($C265,REV!$C:$AA,13,0)-'TRADE IN'!$F265=0,"",(VLOOKUP($C265,REV!$C:$AA,13,0)-'TRADE IN'!$F265))</f>
        <v>749</v>
      </c>
      <c r="P265" s="56">
        <f>IF(VLOOKUP($C265,REV!$C:$AA,14,0)-'TRADE IN'!$F265=0,"",(VLOOKUP($C265,REV!$C:$AA,14,0)-'TRADE IN'!$F265))</f>
        <v>749</v>
      </c>
      <c r="Q265" s="56">
        <f>IF(VLOOKUP($C265,REV!$C:$AA,15,0)-'TRADE IN'!$F265=0,"",(VLOOKUP($C265,REV!$C:$AA,15,0)-'TRADE IN'!$F265))</f>
        <v>699</v>
      </c>
      <c r="R265" s="56">
        <f>IF(VLOOKUP($C265,REV!$C:$AA,16,0)-'TRADE IN'!$F265=0,"",(VLOOKUP($C265,REV!$C:$AA,16,0)-'TRADE IN'!$F265))</f>
        <v>749</v>
      </c>
      <c r="S265" s="56">
        <f>IF(VLOOKUP($C265,REV!$C:$AA,17,0)-'TRADE IN'!$F265=0,"",(VLOOKUP($C265,REV!$C:$AA,17,0)-'TRADE IN'!$F265))</f>
        <v>749</v>
      </c>
      <c r="T265" s="56">
        <f>IF(VLOOKUP($C265,REV!$C:$AA,18,0)-'TRADE IN'!$F265=0,"",(VLOOKUP($C265,REV!$C:$AA,18,0)-'TRADE IN'!$F265))</f>
        <v>699</v>
      </c>
      <c r="U265" s="56">
        <f>IF(VLOOKUP($C265,REV!$C:$AA,19,0)-'TRADE IN'!$F265=0,"",(VLOOKUP($C265,REV!$C:$AA,19,0)-'TRADE IN'!$F265))</f>
        <v>699</v>
      </c>
      <c r="V265" s="56">
        <f>IF(VLOOKUP($C265,REV!$C:$AA,20,0)-'TRADE IN'!$F265=0,"",(VLOOKUP($C265,REV!$C:$AA,20,0)-'TRADE IN'!$F265))</f>
        <v>699</v>
      </c>
      <c r="W265" s="56">
        <f>IF(VLOOKUP($C265,REV!$C:$AA,21,0)-'TRADE IN'!$F265=0,"",(VLOOKUP($C265,REV!$C:$AA,21,0)-'TRADE IN'!$F265))</f>
        <v>699</v>
      </c>
      <c r="X265" s="56">
        <f>IF(VLOOKUP($C265,REV!$C:$AA,22,0)-'TRADE IN'!$F265=0,"",(VLOOKUP($C265,REV!$C:$AA,22,0)-'TRADE IN'!$F265))</f>
        <v>699</v>
      </c>
      <c r="Y265" s="56">
        <f>IF(VLOOKUP($C265,REV!$C:$AA,23,0)-'TRADE IN'!$F265=0,"",(VLOOKUP($C265,REV!$C:$AA,23,0)-'TRADE IN'!$F265))</f>
        <v>699</v>
      </c>
      <c r="Z265" s="56">
        <f>IF(VLOOKUP($C265,REV!$C:$AA,24,0)-'TRADE IN'!$F265=0,"",(VLOOKUP($C265,REV!$C:$AA,24,0)-'TRADE IN'!$F265))</f>
        <v>699</v>
      </c>
      <c r="AA265" s="56">
        <f>IF(VLOOKUP($C265,REV!$C:$AA,25,0)-'TRADE IN'!$F265=0,"",(VLOOKUP($C265,REV!$C:$AA,25,0)-'TRADE IN'!$F265))</f>
        <v>699</v>
      </c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7"/>
      <c r="AW265" s="58" t="str">
        <f>REV!AW265</f>
        <v>03.11.2026</v>
      </c>
      <c r="AX265" s="147" t="str">
        <f>VLOOKUP(C265,REV!C:AX,48,0)</f>
        <v>5G</v>
      </c>
    </row>
    <row r="266" spans="1:50" ht="22.5" customHeight="1">
      <c r="A266" s="64" t="s">
        <v>241</v>
      </c>
      <c r="B266" s="52" t="s">
        <v>64</v>
      </c>
      <c r="C266" s="53">
        <v>4016762</v>
      </c>
      <c r="D266" s="65" t="s">
        <v>420</v>
      </c>
      <c r="E266" s="65" t="s">
        <v>426</v>
      </c>
      <c r="F266" s="55"/>
      <c r="G266" s="55"/>
      <c r="H266" s="55"/>
      <c r="I266" s="55"/>
      <c r="J266" s="56">
        <f>IF(VLOOKUP($C266,REV!$C:$AA,8,0)-'TRADE IN'!$F266=0,"",(VLOOKUP($C266,REV!$C:$AA,8,0)-'TRADE IN'!$F266))</f>
        <v>899</v>
      </c>
      <c r="K266" s="56">
        <f>IF(VLOOKUP($C266,REV!$C:$AA,9,0)-'TRADE IN'!$F266=0,"",(VLOOKUP($C266,REV!$C:$AA,9,0)-'TRADE IN'!$F266))</f>
        <v>799</v>
      </c>
      <c r="L266" s="56">
        <f>IF(VLOOKUP($C266,REV!$C:$AA,10,0)-'TRADE IN'!$F266=0,"",(VLOOKUP($C266,REV!$C:$AA,10,0)-'TRADE IN'!$F266))</f>
        <v>799</v>
      </c>
      <c r="M266" s="56">
        <f>IF(VLOOKUP($C266,REV!$C:$AA,11,0)-'TRADE IN'!$F266=0,"",(VLOOKUP($C266,REV!$C:$AA,11,0)-'TRADE IN'!$F266))</f>
        <v>899</v>
      </c>
      <c r="N266" s="56">
        <f>IF(VLOOKUP($C266,REV!$C:$AA,12,0)-'TRADE IN'!$F266=0,"",(VLOOKUP($C266,REV!$C:$AA,12,0)-'TRADE IN'!$F266))</f>
        <v>799</v>
      </c>
      <c r="O266" s="56">
        <f>IF(VLOOKUP($C266,REV!$C:$AA,13,0)-'TRADE IN'!$F266=0,"",(VLOOKUP($C266,REV!$C:$AA,13,0)-'TRADE IN'!$F266))</f>
        <v>749</v>
      </c>
      <c r="P266" s="56">
        <f>IF(VLOOKUP($C266,REV!$C:$AA,14,0)-'TRADE IN'!$F266=0,"",(VLOOKUP($C266,REV!$C:$AA,14,0)-'TRADE IN'!$F266))</f>
        <v>749</v>
      </c>
      <c r="Q266" s="56">
        <f>IF(VLOOKUP($C266,REV!$C:$AA,15,0)-'TRADE IN'!$F266=0,"",(VLOOKUP($C266,REV!$C:$AA,15,0)-'TRADE IN'!$F266))</f>
        <v>699</v>
      </c>
      <c r="R266" s="56">
        <f>IF(VLOOKUP($C266,REV!$C:$AA,16,0)-'TRADE IN'!$F266=0,"",(VLOOKUP($C266,REV!$C:$AA,16,0)-'TRADE IN'!$F266))</f>
        <v>749</v>
      </c>
      <c r="S266" s="56">
        <f>IF(VLOOKUP($C266,REV!$C:$AA,17,0)-'TRADE IN'!$F266=0,"",(VLOOKUP($C266,REV!$C:$AA,17,0)-'TRADE IN'!$F266))</f>
        <v>749</v>
      </c>
      <c r="T266" s="56">
        <f>IF(VLOOKUP($C266,REV!$C:$AA,18,0)-'TRADE IN'!$F266=0,"",(VLOOKUP($C266,REV!$C:$AA,18,0)-'TRADE IN'!$F266))</f>
        <v>699</v>
      </c>
      <c r="U266" s="56">
        <f>IF(VLOOKUP($C266,REV!$C:$AA,19,0)-'TRADE IN'!$F266=0,"",(VLOOKUP($C266,REV!$C:$AA,19,0)-'TRADE IN'!$F266))</f>
        <v>699</v>
      </c>
      <c r="V266" s="56">
        <f>IF(VLOOKUP($C266,REV!$C:$AA,20,0)-'TRADE IN'!$F266=0,"",(VLOOKUP($C266,REV!$C:$AA,20,0)-'TRADE IN'!$F266))</f>
        <v>699</v>
      </c>
      <c r="W266" s="56">
        <f>IF(VLOOKUP($C266,REV!$C:$AA,21,0)-'TRADE IN'!$F266=0,"",(VLOOKUP($C266,REV!$C:$AA,21,0)-'TRADE IN'!$F266))</f>
        <v>699</v>
      </c>
      <c r="X266" s="56">
        <f>IF(VLOOKUP($C266,REV!$C:$AA,22,0)-'TRADE IN'!$F266=0,"",(VLOOKUP($C266,REV!$C:$AA,22,0)-'TRADE IN'!$F266))</f>
        <v>699</v>
      </c>
      <c r="Y266" s="56">
        <f>IF(VLOOKUP($C266,REV!$C:$AA,23,0)-'TRADE IN'!$F266=0,"",(VLOOKUP($C266,REV!$C:$AA,23,0)-'TRADE IN'!$F266))</f>
        <v>699</v>
      </c>
      <c r="Z266" s="56">
        <f>IF(VLOOKUP($C266,REV!$C:$AA,24,0)-'TRADE IN'!$F266=0,"",(VLOOKUP($C266,REV!$C:$AA,24,0)-'TRADE IN'!$F266))</f>
        <v>699</v>
      </c>
      <c r="AA266" s="56">
        <f>IF(VLOOKUP($C266,REV!$C:$AA,25,0)-'TRADE IN'!$F266=0,"",(VLOOKUP($C266,REV!$C:$AA,25,0)-'TRADE IN'!$F266))</f>
        <v>699</v>
      </c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7"/>
      <c r="AW266" s="58" t="str">
        <f>REV!AW266</f>
        <v>03.11.2026</v>
      </c>
      <c r="AX266" s="147" t="str">
        <f>VLOOKUP(C266,REV!C:AX,48,0)</f>
        <v>5G</v>
      </c>
    </row>
    <row r="267" spans="1:50" ht="22.5" customHeight="1">
      <c r="A267" s="64" t="s">
        <v>241</v>
      </c>
      <c r="B267" s="52" t="s">
        <v>64</v>
      </c>
      <c r="C267" s="53">
        <v>4016667</v>
      </c>
      <c r="D267" s="65" t="s">
        <v>427</v>
      </c>
      <c r="E267" s="65" t="s">
        <v>428</v>
      </c>
      <c r="F267" s="55"/>
      <c r="G267" s="55"/>
      <c r="H267" s="55"/>
      <c r="I267" s="55"/>
      <c r="J267" s="56">
        <f>IF(VLOOKUP($C267,REV!$C:$AA,8,0)-'TRADE IN'!$F267=0,"",(VLOOKUP($C267,REV!$C:$AA,8,0)-'TRADE IN'!$F267))</f>
        <v>1099</v>
      </c>
      <c r="K267" s="56">
        <f>IF(VLOOKUP($C267,REV!$C:$AA,9,0)-'TRADE IN'!$F267=0,"",(VLOOKUP($C267,REV!$C:$AA,9,0)-'TRADE IN'!$F267))</f>
        <v>1099</v>
      </c>
      <c r="L267" s="56">
        <f>IF(VLOOKUP($C267,REV!$C:$AA,10,0)-'TRADE IN'!$F267=0,"",(VLOOKUP($C267,REV!$C:$AA,10,0)-'TRADE IN'!$F267))</f>
        <v>1099</v>
      </c>
      <c r="M267" s="56">
        <f>IF(VLOOKUP($C267,REV!$C:$AA,11,0)-'TRADE IN'!$F267=0,"",(VLOOKUP($C267,REV!$C:$AA,11,0)-'TRADE IN'!$F267))</f>
        <v>1099</v>
      </c>
      <c r="N267" s="56">
        <f>IF(VLOOKUP($C267,REV!$C:$AA,12,0)-'TRADE IN'!$F267=0,"",(VLOOKUP($C267,REV!$C:$AA,12,0)-'TRADE IN'!$F267))</f>
        <v>1099</v>
      </c>
      <c r="O267" s="56">
        <f>IF(VLOOKUP($C267,REV!$C:$AA,13,0)-'TRADE IN'!$F267=0,"",(VLOOKUP($C267,REV!$C:$AA,13,0)-'TRADE IN'!$F267))</f>
        <v>999</v>
      </c>
      <c r="P267" s="56">
        <f>IF(VLOOKUP($C267,REV!$C:$AA,14,0)-'TRADE IN'!$F267=0,"",(VLOOKUP($C267,REV!$C:$AA,14,0)-'TRADE IN'!$F267))</f>
        <v>999</v>
      </c>
      <c r="Q267" s="56">
        <f>IF(VLOOKUP($C267,REV!$C:$AA,15,0)-'TRADE IN'!$F267=0,"",(VLOOKUP($C267,REV!$C:$AA,15,0)-'TRADE IN'!$F267))</f>
        <v>999</v>
      </c>
      <c r="R267" s="56">
        <f>IF(VLOOKUP($C267,REV!$C:$AA,16,0)-'TRADE IN'!$F267=0,"",(VLOOKUP($C267,REV!$C:$AA,16,0)-'TRADE IN'!$F267))</f>
        <v>999</v>
      </c>
      <c r="S267" s="56">
        <f>IF(VLOOKUP($C267,REV!$C:$AA,17,0)-'TRADE IN'!$F267=0,"",(VLOOKUP($C267,REV!$C:$AA,17,0)-'TRADE IN'!$F267))</f>
        <v>999</v>
      </c>
      <c r="T267" s="56">
        <f>IF(VLOOKUP($C267,REV!$C:$AA,18,0)-'TRADE IN'!$F267=0,"",(VLOOKUP($C267,REV!$C:$AA,18,0)-'TRADE IN'!$F267))</f>
        <v>999</v>
      </c>
      <c r="U267" s="56">
        <f>IF(VLOOKUP($C267,REV!$C:$AA,19,0)-'TRADE IN'!$F267=0,"",(VLOOKUP($C267,REV!$C:$AA,19,0)-'TRADE IN'!$F267))</f>
        <v>999</v>
      </c>
      <c r="V267" s="56">
        <f>IF(VLOOKUP($C267,REV!$C:$AA,20,0)-'TRADE IN'!$F267=0,"",(VLOOKUP($C267,REV!$C:$AA,20,0)-'TRADE IN'!$F267))</f>
        <v>999</v>
      </c>
      <c r="W267" s="56">
        <f>IF(VLOOKUP($C267,REV!$C:$AA,21,0)-'TRADE IN'!$F267=0,"",(VLOOKUP($C267,REV!$C:$AA,21,0)-'TRADE IN'!$F267))</f>
        <v>999</v>
      </c>
      <c r="X267" s="56">
        <f>IF(VLOOKUP($C267,REV!$C:$AA,22,0)-'TRADE IN'!$F267=0,"",(VLOOKUP($C267,REV!$C:$AA,22,0)-'TRADE IN'!$F267))</f>
        <v>999</v>
      </c>
      <c r="Y267" s="56">
        <f>IF(VLOOKUP($C267,REV!$C:$AA,23,0)-'TRADE IN'!$F267=0,"",(VLOOKUP($C267,REV!$C:$AA,23,0)-'TRADE IN'!$F267))</f>
        <v>999</v>
      </c>
      <c r="Z267" s="56">
        <f>IF(VLOOKUP($C267,REV!$C:$AA,24,0)-'TRADE IN'!$F267=0,"",(VLOOKUP($C267,REV!$C:$AA,24,0)-'TRADE IN'!$F267))</f>
        <v>999</v>
      </c>
      <c r="AA267" s="56">
        <f>IF(VLOOKUP($C267,REV!$C:$AA,25,0)-'TRADE IN'!$F267=0,"",(VLOOKUP($C267,REV!$C:$AA,25,0)-'TRADE IN'!$F267))</f>
        <v>999</v>
      </c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7"/>
      <c r="AW267" s="58" t="str">
        <f>REV!AW267</f>
        <v>03.11.2026</v>
      </c>
      <c r="AX267" s="147" t="str">
        <f>VLOOKUP(C267,REV!C:AX,48,0)</f>
        <v>5G</v>
      </c>
    </row>
    <row r="268" spans="1:50" ht="22.5" customHeight="1">
      <c r="A268" s="64" t="s">
        <v>241</v>
      </c>
      <c r="B268" s="52" t="s">
        <v>64</v>
      </c>
      <c r="C268" s="53">
        <v>4016713</v>
      </c>
      <c r="D268" s="65" t="s">
        <v>427</v>
      </c>
      <c r="E268" s="65" t="s">
        <v>429</v>
      </c>
      <c r="F268" s="55"/>
      <c r="G268" s="55"/>
      <c r="H268" s="55"/>
      <c r="I268" s="55"/>
      <c r="J268" s="56">
        <f>IF(VLOOKUP($C268,REV!$C:$AA,8,0)-'TRADE IN'!$F268=0,"",(VLOOKUP($C268,REV!$C:$AA,8,0)-'TRADE IN'!$F268))</f>
        <v>1099</v>
      </c>
      <c r="K268" s="56">
        <f>IF(VLOOKUP($C268,REV!$C:$AA,9,0)-'TRADE IN'!$F268=0,"",(VLOOKUP($C268,REV!$C:$AA,9,0)-'TRADE IN'!$F268))</f>
        <v>1099</v>
      </c>
      <c r="L268" s="56">
        <f>IF(VLOOKUP($C268,REV!$C:$AA,10,0)-'TRADE IN'!$F268=0,"",(VLOOKUP($C268,REV!$C:$AA,10,0)-'TRADE IN'!$F268))</f>
        <v>1099</v>
      </c>
      <c r="M268" s="56">
        <f>IF(VLOOKUP($C268,REV!$C:$AA,11,0)-'TRADE IN'!$F268=0,"",(VLOOKUP($C268,REV!$C:$AA,11,0)-'TRADE IN'!$F268))</f>
        <v>1099</v>
      </c>
      <c r="N268" s="56">
        <f>IF(VLOOKUP($C268,REV!$C:$AA,12,0)-'TRADE IN'!$F268=0,"",(VLOOKUP($C268,REV!$C:$AA,12,0)-'TRADE IN'!$F268))</f>
        <v>1099</v>
      </c>
      <c r="O268" s="56">
        <f>IF(VLOOKUP($C268,REV!$C:$AA,13,0)-'TRADE IN'!$F268=0,"",(VLOOKUP($C268,REV!$C:$AA,13,0)-'TRADE IN'!$F268))</f>
        <v>999</v>
      </c>
      <c r="P268" s="56">
        <f>IF(VLOOKUP($C268,REV!$C:$AA,14,0)-'TRADE IN'!$F268=0,"",(VLOOKUP($C268,REV!$C:$AA,14,0)-'TRADE IN'!$F268))</f>
        <v>999</v>
      </c>
      <c r="Q268" s="56">
        <f>IF(VLOOKUP($C268,REV!$C:$AA,15,0)-'TRADE IN'!$F268=0,"",(VLOOKUP($C268,REV!$C:$AA,15,0)-'TRADE IN'!$F268))</f>
        <v>999</v>
      </c>
      <c r="R268" s="56">
        <f>IF(VLOOKUP($C268,REV!$C:$AA,16,0)-'TRADE IN'!$F268=0,"",(VLOOKUP($C268,REV!$C:$AA,16,0)-'TRADE IN'!$F268))</f>
        <v>999</v>
      </c>
      <c r="S268" s="56">
        <f>IF(VLOOKUP($C268,REV!$C:$AA,17,0)-'TRADE IN'!$F268=0,"",(VLOOKUP($C268,REV!$C:$AA,17,0)-'TRADE IN'!$F268))</f>
        <v>999</v>
      </c>
      <c r="T268" s="56">
        <f>IF(VLOOKUP($C268,REV!$C:$AA,18,0)-'TRADE IN'!$F268=0,"",(VLOOKUP($C268,REV!$C:$AA,18,0)-'TRADE IN'!$F268))</f>
        <v>999</v>
      </c>
      <c r="U268" s="56">
        <f>IF(VLOOKUP($C268,REV!$C:$AA,19,0)-'TRADE IN'!$F268=0,"",(VLOOKUP($C268,REV!$C:$AA,19,0)-'TRADE IN'!$F268))</f>
        <v>999</v>
      </c>
      <c r="V268" s="56">
        <f>IF(VLOOKUP($C268,REV!$C:$AA,20,0)-'TRADE IN'!$F268=0,"",(VLOOKUP($C268,REV!$C:$AA,20,0)-'TRADE IN'!$F268))</f>
        <v>999</v>
      </c>
      <c r="W268" s="56">
        <f>IF(VLOOKUP($C268,REV!$C:$AA,21,0)-'TRADE IN'!$F268=0,"",(VLOOKUP($C268,REV!$C:$AA,21,0)-'TRADE IN'!$F268))</f>
        <v>999</v>
      </c>
      <c r="X268" s="56">
        <f>IF(VLOOKUP($C268,REV!$C:$AA,22,0)-'TRADE IN'!$F268=0,"",(VLOOKUP($C268,REV!$C:$AA,22,0)-'TRADE IN'!$F268))</f>
        <v>999</v>
      </c>
      <c r="Y268" s="56">
        <f>IF(VLOOKUP($C268,REV!$C:$AA,23,0)-'TRADE IN'!$F268=0,"",(VLOOKUP($C268,REV!$C:$AA,23,0)-'TRADE IN'!$F268))</f>
        <v>999</v>
      </c>
      <c r="Z268" s="56">
        <f>IF(VLOOKUP($C268,REV!$C:$AA,24,0)-'TRADE IN'!$F268=0,"",(VLOOKUP($C268,REV!$C:$AA,24,0)-'TRADE IN'!$F268))</f>
        <v>999</v>
      </c>
      <c r="AA268" s="56">
        <f>IF(VLOOKUP($C268,REV!$C:$AA,25,0)-'TRADE IN'!$F268=0,"",(VLOOKUP($C268,REV!$C:$AA,25,0)-'TRADE IN'!$F268))</f>
        <v>999</v>
      </c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7"/>
      <c r="AW268" s="58" t="str">
        <f>REV!AW268</f>
        <v>03.11.2026</v>
      </c>
      <c r="AX268" s="147" t="str">
        <f>VLOOKUP(C268,REV!C:AX,48,0)</f>
        <v>5G</v>
      </c>
    </row>
    <row r="269" spans="1:50" ht="22.5" customHeight="1">
      <c r="A269" s="64" t="s">
        <v>241</v>
      </c>
      <c r="B269" s="52" t="s">
        <v>64</v>
      </c>
      <c r="C269" s="53">
        <v>4016669</v>
      </c>
      <c r="D269" s="65" t="s">
        <v>427</v>
      </c>
      <c r="E269" s="65" t="s">
        <v>430</v>
      </c>
      <c r="F269" s="55"/>
      <c r="G269" s="55"/>
      <c r="H269" s="55"/>
      <c r="I269" s="55"/>
      <c r="J269" s="56">
        <f>IF(VLOOKUP($C269,REV!$C:$AA,8,0)-'TRADE IN'!$F269=0,"",(VLOOKUP($C269,REV!$C:$AA,8,0)-'TRADE IN'!$F269))</f>
        <v>1099</v>
      </c>
      <c r="K269" s="56">
        <f>IF(VLOOKUP($C269,REV!$C:$AA,9,0)-'TRADE IN'!$F269=0,"",(VLOOKUP($C269,REV!$C:$AA,9,0)-'TRADE IN'!$F269))</f>
        <v>1099</v>
      </c>
      <c r="L269" s="56">
        <f>IF(VLOOKUP($C269,REV!$C:$AA,10,0)-'TRADE IN'!$F269=0,"",(VLOOKUP($C269,REV!$C:$AA,10,0)-'TRADE IN'!$F269))</f>
        <v>1099</v>
      </c>
      <c r="M269" s="56">
        <f>IF(VLOOKUP($C269,REV!$C:$AA,11,0)-'TRADE IN'!$F269=0,"",(VLOOKUP($C269,REV!$C:$AA,11,0)-'TRADE IN'!$F269))</f>
        <v>1099</v>
      </c>
      <c r="N269" s="56">
        <f>IF(VLOOKUP($C269,REV!$C:$AA,12,0)-'TRADE IN'!$F269=0,"",(VLOOKUP($C269,REV!$C:$AA,12,0)-'TRADE IN'!$F269))</f>
        <v>1099</v>
      </c>
      <c r="O269" s="56">
        <f>IF(VLOOKUP($C269,REV!$C:$AA,13,0)-'TRADE IN'!$F269=0,"",(VLOOKUP($C269,REV!$C:$AA,13,0)-'TRADE IN'!$F269))</f>
        <v>999</v>
      </c>
      <c r="P269" s="56">
        <f>IF(VLOOKUP($C269,REV!$C:$AA,14,0)-'TRADE IN'!$F269=0,"",(VLOOKUP($C269,REV!$C:$AA,14,0)-'TRADE IN'!$F269))</f>
        <v>999</v>
      </c>
      <c r="Q269" s="56">
        <f>IF(VLOOKUP($C269,REV!$C:$AA,15,0)-'TRADE IN'!$F269=0,"",(VLOOKUP($C269,REV!$C:$AA,15,0)-'TRADE IN'!$F269))</f>
        <v>999</v>
      </c>
      <c r="R269" s="56">
        <f>IF(VLOOKUP($C269,REV!$C:$AA,16,0)-'TRADE IN'!$F269=0,"",(VLOOKUP($C269,REV!$C:$AA,16,0)-'TRADE IN'!$F269))</f>
        <v>999</v>
      </c>
      <c r="S269" s="56">
        <f>IF(VLOOKUP($C269,REV!$C:$AA,17,0)-'TRADE IN'!$F269=0,"",(VLOOKUP($C269,REV!$C:$AA,17,0)-'TRADE IN'!$F269))</f>
        <v>999</v>
      </c>
      <c r="T269" s="56">
        <f>IF(VLOOKUP($C269,REV!$C:$AA,18,0)-'TRADE IN'!$F269=0,"",(VLOOKUP($C269,REV!$C:$AA,18,0)-'TRADE IN'!$F269))</f>
        <v>999</v>
      </c>
      <c r="U269" s="56">
        <f>IF(VLOOKUP($C269,REV!$C:$AA,19,0)-'TRADE IN'!$F269=0,"",(VLOOKUP($C269,REV!$C:$AA,19,0)-'TRADE IN'!$F269))</f>
        <v>999</v>
      </c>
      <c r="V269" s="56">
        <f>IF(VLOOKUP($C269,REV!$C:$AA,20,0)-'TRADE IN'!$F269=0,"",(VLOOKUP($C269,REV!$C:$AA,20,0)-'TRADE IN'!$F269))</f>
        <v>999</v>
      </c>
      <c r="W269" s="56">
        <f>IF(VLOOKUP($C269,REV!$C:$AA,21,0)-'TRADE IN'!$F269=0,"",(VLOOKUP($C269,REV!$C:$AA,21,0)-'TRADE IN'!$F269))</f>
        <v>999</v>
      </c>
      <c r="X269" s="56">
        <f>IF(VLOOKUP($C269,REV!$C:$AA,22,0)-'TRADE IN'!$F269=0,"",(VLOOKUP($C269,REV!$C:$AA,22,0)-'TRADE IN'!$F269))</f>
        <v>999</v>
      </c>
      <c r="Y269" s="56">
        <f>IF(VLOOKUP($C269,REV!$C:$AA,23,0)-'TRADE IN'!$F269=0,"",(VLOOKUP($C269,REV!$C:$AA,23,0)-'TRADE IN'!$F269))</f>
        <v>999</v>
      </c>
      <c r="Z269" s="56">
        <f>IF(VLOOKUP($C269,REV!$C:$AA,24,0)-'TRADE IN'!$F269=0,"",(VLOOKUP($C269,REV!$C:$AA,24,0)-'TRADE IN'!$F269))</f>
        <v>999</v>
      </c>
      <c r="AA269" s="56">
        <f>IF(VLOOKUP($C269,REV!$C:$AA,25,0)-'TRADE IN'!$F269=0,"",(VLOOKUP($C269,REV!$C:$AA,25,0)-'TRADE IN'!$F269))</f>
        <v>999</v>
      </c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7"/>
      <c r="AW269" s="58" t="str">
        <f>REV!AW269</f>
        <v>03.11.2026</v>
      </c>
      <c r="AX269" s="147" t="str">
        <f>VLOOKUP(C269,REV!C:AX,48,0)</f>
        <v>5G</v>
      </c>
    </row>
    <row r="270" spans="1:50" ht="22.5" customHeight="1">
      <c r="A270" s="64" t="s">
        <v>241</v>
      </c>
      <c r="B270" s="52" t="s">
        <v>64</v>
      </c>
      <c r="C270" s="53">
        <v>4016715</v>
      </c>
      <c r="D270" s="65" t="s">
        <v>427</v>
      </c>
      <c r="E270" s="65" t="s">
        <v>431</v>
      </c>
      <c r="F270" s="55"/>
      <c r="G270" s="55"/>
      <c r="H270" s="55"/>
      <c r="I270" s="55"/>
      <c r="J270" s="56">
        <f>IF(VLOOKUP($C270,REV!$C:$AA,8,0)-'TRADE IN'!$F270=0,"",(VLOOKUP($C270,REV!$C:$AA,8,0)-'TRADE IN'!$F270))</f>
        <v>1099</v>
      </c>
      <c r="K270" s="56">
        <f>IF(VLOOKUP($C270,REV!$C:$AA,9,0)-'TRADE IN'!$F270=0,"",(VLOOKUP($C270,REV!$C:$AA,9,0)-'TRADE IN'!$F270))</f>
        <v>1099</v>
      </c>
      <c r="L270" s="56">
        <f>IF(VLOOKUP($C270,REV!$C:$AA,10,0)-'TRADE IN'!$F270=0,"",(VLOOKUP($C270,REV!$C:$AA,10,0)-'TRADE IN'!$F270))</f>
        <v>1099</v>
      </c>
      <c r="M270" s="56">
        <f>IF(VLOOKUP($C270,REV!$C:$AA,11,0)-'TRADE IN'!$F270=0,"",(VLOOKUP($C270,REV!$C:$AA,11,0)-'TRADE IN'!$F270))</f>
        <v>1099</v>
      </c>
      <c r="N270" s="56">
        <f>IF(VLOOKUP($C270,REV!$C:$AA,12,0)-'TRADE IN'!$F270=0,"",(VLOOKUP($C270,REV!$C:$AA,12,0)-'TRADE IN'!$F270))</f>
        <v>1099</v>
      </c>
      <c r="O270" s="56">
        <f>IF(VLOOKUP($C270,REV!$C:$AA,13,0)-'TRADE IN'!$F270=0,"",(VLOOKUP($C270,REV!$C:$AA,13,0)-'TRADE IN'!$F270))</f>
        <v>999</v>
      </c>
      <c r="P270" s="56">
        <f>IF(VLOOKUP($C270,REV!$C:$AA,14,0)-'TRADE IN'!$F270=0,"",(VLOOKUP($C270,REV!$C:$AA,14,0)-'TRADE IN'!$F270))</f>
        <v>999</v>
      </c>
      <c r="Q270" s="56">
        <f>IF(VLOOKUP($C270,REV!$C:$AA,15,0)-'TRADE IN'!$F270=0,"",(VLOOKUP($C270,REV!$C:$AA,15,0)-'TRADE IN'!$F270))</f>
        <v>999</v>
      </c>
      <c r="R270" s="56">
        <f>IF(VLOOKUP($C270,REV!$C:$AA,16,0)-'TRADE IN'!$F270=0,"",(VLOOKUP($C270,REV!$C:$AA,16,0)-'TRADE IN'!$F270))</f>
        <v>999</v>
      </c>
      <c r="S270" s="56">
        <f>IF(VLOOKUP($C270,REV!$C:$AA,17,0)-'TRADE IN'!$F270=0,"",(VLOOKUP($C270,REV!$C:$AA,17,0)-'TRADE IN'!$F270))</f>
        <v>999</v>
      </c>
      <c r="T270" s="56">
        <f>IF(VLOOKUP($C270,REV!$C:$AA,18,0)-'TRADE IN'!$F270=0,"",(VLOOKUP($C270,REV!$C:$AA,18,0)-'TRADE IN'!$F270))</f>
        <v>999</v>
      </c>
      <c r="U270" s="56">
        <f>IF(VLOOKUP($C270,REV!$C:$AA,19,0)-'TRADE IN'!$F270=0,"",(VLOOKUP($C270,REV!$C:$AA,19,0)-'TRADE IN'!$F270))</f>
        <v>999</v>
      </c>
      <c r="V270" s="56">
        <f>IF(VLOOKUP($C270,REV!$C:$AA,20,0)-'TRADE IN'!$F270=0,"",(VLOOKUP($C270,REV!$C:$AA,20,0)-'TRADE IN'!$F270))</f>
        <v>999</v>
      </c>
      <c r="W270" s="56">
        <f>IF(VLOOKUP($C270,REV!$C:$AA,21,0)-'TRADE IN'!$F270=0,"",(VLOOKUP($C270,REV!$C:$AA,21,0)-'TRADE IN'!$F270))</f>
        <v>999</v>
      </c>
      <c r="X270" s="56">
        <f>IF(VLOOKUP($C270,REV!$C:$AA,22,0)-'TRADE IN'!$F270=0,"",(VLOOKUP($C270,REV!$C:$AA,22,0)-'TRADE IN'!$F270))</f>
        <v>999</v>
      </c>
      <c r="Y270" s="56">
        <f>IF(VLOOKUP($C270,REV!$C:$AA,23,0)-'TRADE IN'!$F270=0,"",(VLOOKUP($C270,REV!$C:$AA,23,0)-'TRADE IN'!$F270))</f>
        <v>999</v>
      </c>
      <c r="Z270" s="56">
        <f>IF(VLOOKUP($C270,REV!$C:$AA,24,0)-'TRADE IN'!$F270=0,"",(VLOOKUP($C270,REV!$C:$AA,24,0)-'TRADE IN'!$F270))</f>
        <v>999</v>
      </c>
      <c r="AA270" s="56">
        <f>IF(VLOOKUP($C270,REV!$C:$AA,25,0)-'TRADE IN'!$F270=0,"",(VLOOKUP($C270,REV!$C:$AA,25,0)-'TRADE IN'!$F270))</f>
        <v>999</v>
      </c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7"/>
      <c r="AW270" s="58" t="str">
        <f>REV!AW270</f>
        <v>03.11.2026</v>
      </c>
      <c r="AX270" s="147" t="str">
        <f>VLOOKUP(C270,REV!C:AX,48,0)</f>
        <v>5G</v>
      </c>
    </row>
    <row r="271" spans="1:50" ht="22.5" customHeight="1">
      <c r="A271" s="64" t="s">
        <v>241</v>
      </c>
      <c r="B271" s="52" t="s">
        <v>64</v>
      </c>
      <c r="C271" s="53">
        <v>4017357</v>
      </c>
      <c r="D271" s="65" t="s">
        <v>432</v>
      </c>
      <c r="E271" s="65" t="s">
        <v>433</v>
      </c>
      <c r="F271" s="55"/>
      <c r="G271" s="55"/>
      <c r="H271" s="55"/>
      <c r="I271" s="55"/>
      <c r="J271" s="56">
        <f>IF(VLOOKUP($C271,REV!$C:$AA,8,0)-'TRADE IN'!$F271=0,"",(VLOOKUP($C271,REV!$C:$AA,8,0)-'TRADE IN'!$F271))</f>
        <v>1199</v>
      </c>
      <c r="K271" s="56">
        <f>IF(VLOOKUP($C271,REV!$C:$AA,9,0)-'TRADE IN'!$F271=0,"",(VLOOKUP($C271,REV!$C:$AA,9,0)-'TRADE IN'!$F271))</f>
        <v>1099</v>
      </c>
      <c r="L271" s="56">
        <f>IF(VLOOKUP($C271,REV!$C:$AA,10,0)-'TRADE IN'!$F271=0,"",(VLOOKUP($C271,REV!$C:$AA,10,0)-'TRADE IN'!$F271))</f>
        <v>1099</v>
      </c>
      <c r="M271" s="56">
        <f>IF(VLOOKUP($C271,REV!$C:$AA,11,0)-'TRADE IN'!$F271=0,"",(VLOOKUP($C271,REV!$C:$AA,11,0)-'TRADE IN'!$F271))</f>
        <v>1199</v>
      </c>
      <c r="N271" s="56">
        <f>IF(VLOOKUP($C271,REV!$C:$AA,12,0)-'TRADE IN'!$F271=0,"",(VLOOKUP($C271,REV!$C:$AA,12,0)-'TRADE IN'!$F271))</f>
        <v>1099</v>
      </c>
      <c r="O271" s="56">
        <f>IF(VLOOKUP($C271,REV!$C:$AA,13,0)-'TRADE IN'!$F271=0,"",(VLOOKUP($C271,REV!$C:$AA,13,0)-'TRADE IN'!$F271))</f>
        <v>1049</v>
      </c>
      <c r="P271" s="56">
        <f>IF(VLOOKUP($C271,REV!$C:$AA,14,0)-'TRADE IN'!$F271=0,"",(VLOOKUP($C271,REV!$C:$AA,14,0)-'TRADE IN'!$F271))</f>
        <v>999</v>
      </c>
      <c r="Q271" s="56">
        <f>IF(VLOOKUP($C271,REV!$C:$AA,15,0)-'TRADE IN'!$F271=0,"",(VLOOKUP($C271,REV!$C:$AA,15,0)-'TRADE IN'!$F271))</f>
        <v>999</v>
      </c>
      <c r="R271" s="56">
        <f>IF(VLOOKUP($C271,REV!$C:$AA,16,0)-'TRADE IN'!$F271=0,"",(VLOOKUP($C271,REV!$C:$AA,16,0)-'TRADE IN'!$F271))</f>
        <v>999</v>
      </c>
      <c r="S271" s="56">
        <f>IF(VLOOKUP($C271,REV!$C:$AA,17,0)-'TRADE IN'!$F271=0,"",(VLOOKUP($C271,REV!$C:$AA,17,0)-'TRADE IN'!$F271))</f>
        <v>999</v>
      </c>
      <c r="T271" s="56">
        <f>IF(VLOOKUP($C271,REV!$C:$AA,18,0)-'TRADE IN'!$F271=0,"",(VLOOKUP($C271,REV!$C:$AA,18,0)-'TRADE IN'!$F271))</f>
        <v>999</v>
      </c>
      <c r="U271" s="56">
        <f>IF(VLOOKUP($C271,REV!$C:$AA,19,0)-'TRADE IN'!$F271=0,"",(VLOOKUP($C271,REV!$C:$AA,19,0)-'TRADE IN'!$F271))</f>
        <v>999</v>
      </c>
      <c r="V271" s="56">
        <f>IF(VLOOKUP($C271,REV!$C:$AA,20,0)-'TRADE IN'!$F271=0,"",(VLOOKUP($C271,REV!$C:$AA,20,0)-'TRADE IN'!$F271))</f>
        <v>999</v>
      </c>
      <c r="W271" s="56">
        <f>IF(VLOOKUP($C271,REV!$C:$AA,21,0)-'TRADE IN'!$F271=0,"",(VLOOKUP($C271,REV!$C:$AA,21,0)-'TRADE IN'!$F271))</f>
        <v>999</v>
      </c>
      <c r="X271" s="56">
        <f>IF(VLOOKUP($C271,REV!$C:$AA,22,0)-'TRADE IN'!$F271=0,"",(VLOOKUP($C271,REV!$C:$AA,22,0)-'TRADE IN'!$F271))</f>
        <v>999</v>
      </c>
      <c r="Y271" s="56">
        <f>IF(VLOOKUP($C271,REV!$C:$AA,23,0)-'TRADE IN'!$F271=0,"",(VLOOKUP($C271,REV!$C:$AA,23,0)-'TRADE IN'!$F271))</f>
        <v>899</v>
      </c>
      <c r="Z271" s="56">
        <f>IF(VLOOKUP($C271,REV!$C:$AA,24,0)-'TRADE IN'!$F271=0,"",(VLOOKUP($C271,REV!$C:$AA,24,0)-'TRADE IN'!$F271))</f>
        <v>899</v>
      </c>
      <c r="AA271" s="56">
        <f>IF(VLOOKUP($C271,REV!$C:$AA,25,0)-'TRADE IN'!$F271=0,"",(VLOOKUP($C271,REV!$C:$AA,25,0)-'TRADE IN'!$F271))</f>
        <v>899</v>
      </c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7"/>
      <c r="AW271" s="58" t="str">
        <f>REV!AW271</f>
        <v>03.11.2026</v>
      </c>
      <c r="AX271" s="147" t="str">
        <f>VLOOKUP(C271,REV!C:AX,48,0)</f>
        <v>4G</v>
      </c>
    </row>
    <row r="272" spans="1:50" ht="22.5" customHeight="1">
      <c r="A272" s="64" t="s">
        <v>241</v>
      </c>
      <c r="B272" s="52" t="s">
        <v>64</v>
      </c>
      <c r="C272" s="53">
        <v>4017377</v>
      </c>
      <c r="D272" s="65" t="s">
        <v>432</v>
      </c>
      <c r="E272" s="65" t="s">
        <v>434</v>
      </c>
      <c r="F272" s="55"/>
      <c r="G272" s="55"/>
      <c r="H272" s="55"/>
      <c r="I272" s="55"/>
      <c r="J272" s="56">
        <f>IF(VLOOKUP($C272,REV!$C:$AA,8,0)-'TRADE IN'!$F272=0,"",(VLOOKUP($C272,REV!$C:$AA,8,0)-'TRADE IN'!$F272))</f>
        <v>1199</v>
      </c>
      <c r="K272" s="56">
        <f>IF(VLOOKUP($C272,REV!$C:$AA,9,0)-'TRADE IN'!$F272=0,"",(VLOOKUP($C272,REV!$C:$AA,9,0)-'TRADE IN'!$F272))</f>
        <v>1099</v>
      </c>
      <c r="L272" s="56">
        <f>IF(VLOOKUP($C272,REV!$C:$AA,10,0)-'TRADE IN'!$F272=0,"",(VLOOKUP($C272,REV!$C:$AA,10,0)-'TRADE IN'!$F272))</f>
        <v>1099</v>
      </c>
      <c r="M272" s="56">
        <f>IF(VLOOKUP($C272,REV!$C:$AA,11,0)-'TRADE IN'!$F272=0,"",(VLOOKUP($C272,REV!$C:$AA,11,0)-'TRADE IN'!$F272))</f>
        <v>1199</v>
      </c>
      <c r="N272" s="56">
        <f>IF(VLOOKUP($C272,REV!$C:$AA,12,0)-'TRADE IN'!$F272=0,"",(VLOOKUP($C272,REV!$C:$AA,12,0)-'TRADE IN'!$F272))</f>
        <v>1099</v>
      </c>
      <c r="O272" s="56">
        <f>IF(VLOOKUP($C272,REV!$C:$AA,13,0)-'TRADE IN'!$F272=0,"",(VLOOKUP($C272,REV!$C:$AA,13,0)-'TRADE IN'!$F272))</f>
        <v>1049</v>
      </c>
      <c r="P272" s="56">
        <f>IF(VLOOKUP($C272,REV!$C:$AA,14,0)-'TRADE IN'!$F272=0,"",(VLOOKUP($C272,REV!$C:$AA,14,0)-'TRADE IN'!$F272))</f>
        <v>999</v>
      </c>
      <c r="Q272" s="56">
        <f>IF(VLOOKUP($C272,REV!$C:$AA,15,0)-'TRADE IN'!$F272=0,"",(VLOOKUP($C272,REV!$C:$AA,15,0)-'TRADE IN'!$F272))</f>
        <v>999</v>
      </c>
      <c r="R272" s="56">
        <f>IF(VLOOKUP($C272,REV!$C:$AA,16,0)-'TRADE IN'!$F272=0,"",(VLOOKUP($C272,REV!$C:$AA,16,0)-'TRADE IN'!$F272))</f>
        <v>999</v>
      </c>
      <c r="S272" s="56">
        <f>IF(VLOOKUP($C272,REV!$C:$AA,17,0)-'TRADE IN'!$F272=0,"",(VLOOKUP($C272,REV!$C:$AA,17,0)-'TRADE IN'!$F272))</f>
        <v>999</v>
      </c>
      <c r="T272" s="56">
        <f>IF(VLOOKUP($C272,REV!$C:$AA,18,0)-'TRADE IN'!$F272=0,"",(VLOOKUP($C272,REV!$C:$AA,18,0)-'TRADE IN'!$F272))</f>
        <v>999</v>
      </c>
      <c r="U272" s="56">
        <f>IF(VLOOKUP($C272,REV!$C:$AA,19,0)-'TRADE IN'!$F272=0,"",(VLOOKUP($C272,REV!$C:$AA,19,0)-'TRADE IN'!$F272))</f>
        <v>999</v>
      </c>
      <c r="V272" s="56">
        <f>IF(VLOOKUP($C272,REV!$C:$AA,20,0)-'TRADE IN'!$F272=0,"",(VLOOKUP($C272,REV!$C:$AA,20,0)-'TRADE IN'!$F272))</f>
        <v>999</v>
      </c>
      <c r="W272" s="56">
        <f>IF(VLOOKUP($C272,REV!$C:$AA,21,0)-'TRADE IN'!$F272=0,"",(VLOOKUP($C272,REV!$C:$AA,21,0)-'TRADE IN'!$F272))</f>
        <v>999</v>
      </c>
      <c r="X272" s="56">
        <f>IF(VLOOKUP($C272,REV!$C:$AA,22,0)-'TRADE IN'!$F272=0,"",(VLOOKUP($C272,REV!$C:$AA,22,0)-'TRADE IN'!$F272))</f>
        <v>999</v>
      </c>
      <c r="Y272" s="56">
        <f>IF(VLOOKUP($C272,REV!$C:$AA,23,0)-'TRADE IN'!$F272=0,"",(VLOOKUP($C272,REV!$C:$AA,23,0)-'TRADE IN'!$F272))</f>
        <v>899</v>
      </c>
      <c r="Z272" s="56">
        <f>IF(VLOOKUP($C272,REV!$C:$AA,24,0)-'TRADE IN'!$F272=0,"",(VLOOKUP($C272,REV!$C:$AA,24,0)-'TRADE IN'!$F272))</f>
        <v>899</v>
      </c>
      <c r="AA272" s="56">
        <f>IF(VLOOKUP($C272,REV!$C:$AA,25,0)-'TRADE IN'!$F272=0,"",(VLOOKUP($C272,REV!$C:$AA,25,0)-'TRADE IN'!$F272))</f>
        <v>899</v>
      </c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7"/>
      <c r="AW272" s="58" t="str">
        <f>REV!AW272</f>
        <v>03.11.2026</v>
      </c>
      <c r="AX272" s="147" t="str">
        <f>VLOOKUP(C272,REV!C:AX,48,0)</f>
        <v>4G</v>
      </c>
    </row>
    <row r="273" spans="1:50" ht="22.5" customHeight="1">
      <c r="A273" s="64" t="s">
        <v>241</v>
      </c>
      <c r="B273" s="52" t="s">
        <v>64</v>
      </c>
      <c r="C273" s="53">
        <v>4017363</v>
      </c>
      <c r="D273" s="65" t="s">
        <v>432</v>
      </c>
      <c r="E273" s="65" t="s">
        <v>435</v>
      </c>
      <c r="F273" s="55"/>
      <c r="G273" s="55"/>
      <c r="H273" s="55"/>
      <c r="I273" s="55"/>
      <c r="J273" s="56">
        <f>IF(VLOOKUP($C273,REV!$C:$AA,8,0)-'TRADE IN'!$F273=0,"",(VLOOKUP($C273,REV!$C:$AA,8,0)-'TRADE IN'!$F273))</f>
        <v>1199</v>
      </c>
      <c r="K273" s="56">
        <f>IF(VLOOKUP($C273,REV!$C:$AA,9,0)-'TRADE IN'!$F273=0,"",(VLOOKUP($C273,REV!$C:$AA,9,0)-'TRADE IN'!$F273))</f>
        <v>1099</v>
      </c>
      <c r="L273" s="56">
        <f>IF(VLOOKUP($C273,REV!$C:$AA,10,0)-'TRADE IN'!$F273=0,"",(VLOOKUP($C273,REV!$C:$AA,10,0)-'TRADE IN'!$F273))</f>
        <v>1099</v>
      </c>
      <c r="M273" s="56">
        <f>IF(VLOOKUP($C273,REV!$C:$AA,11,0)-'TRADE IN'!$F273=0,"",(VLOOKUP($C273,REV!$C:$AA,11,0)-'TRADE IN'!$F273))</f>
        <v>1199</v>
      </c>
      <c r="N273" s="56">
        <f>IF(VLOOKUP($C273,REV!$C:$AA,12,0)-'TRADE IN'!$F273=0,"",(VLOOKUP($C273,REV!$C:$AA,12,0)-'TRADE IN'!$F273))</f>
        <v>1099</v>
      </c>
      <c r="O273" s="56">
        <f>IF(VLOOKUP($C273,REV!$C:$AA,13,0)-'TRADE IN'!$F273=0,"",(VLOOKUP($C273,REV!$C:$AA,13,0)-'TRADE IN'!$F273))</f>
        <v>1049</v>
      </c>
      <c r="P273" s="56">
        <f>IF(VLOOKUP($C273,REV!$C:$AA,14,0)-'TRADE IN'!$F273=0,"",(VLOOKUP($C273,REV!$C:$AA,14,0)-'TRADE IN'!$F273))</f>
        <v>999</v>
      </c>
      <c r="Q273" s="56">
        <f>IF(VLOOKUP($C273,REV!$C:$AA,15,0)-'TRADE IN'!$F273=0,"",(VLOOKUP($C273,REV!$C:$AA,15,0)-'TRADE IN'!$F273))</f>
        <v>999</v>
      </c>
      <c r="R273" s="56">
        <f>IF(VLOOKUP($C273,REV!$C:$AA,16,0)-'TRADE IN'!$F273=0,"",(VLOOKUP($C273,REV!$C:$AA,16,0)-'TRADE IN'!$F273))</f>
        <v>999</v>
      </c>
      <c r="S273" s="56">
        <f>IF(VLOOKUP($C273,REV!$C:$AA,17,0)-'TRADE IN'!$F273=0,"",(VLOOKUP($C273,REV!$C:$AA,17,0)-'TRADE IN'!$F273))</f>
        <v>999</v>
      </c>
      <c r="T273" s="56">
        <f>IF(VLOOKUP($C273,REV!$C:$AA,18,0)-'TRADE IN'!$F273=0,"",(VLOOKUP($C273,REV!$C:$AA,18,0)-'TRADE IN'!$F273))</f>
        <v>999</v>
      </c>
      <c r="U273" s="56">
        <f>IF(VLOOKUP($C273,REV!$C:$AA,19,0)-'TRADE IN'!$F273=0,"",(VLOOKUP($C273,REV!$C:$AA,19,0)-'TRADE IN'!$F273))</f>
        <v>999</v>
      </c>
      <c r="V273" s="56">
        <f>IF(VLOOKUP($C273,REV!$C:$AA,20,0)-'TRADE IN'!$F273=0,"",(VLOOKUP($C273,REV!$C:$AA,20,0)-'TRADE IN'!$F273))</f>
        <v>999</v>
      </c>
      <c r="W273" s="56">
        <f>IF(VLOOKUP($C273,REV!$C:$AA,21,0)-'TRADE IN'!$F273=0,"",(VLOOKUP($C273,REV!$C:$AA,21,0)-'TRADE IN'!$F273))</f>
        <v>999</v>
      </c>
      <c r="X273" s="56">
        <f>IF(VLOOKUP($C273,REV!$C:$AA,22,0)-'TRADE IN'!$F273=0,"",(VLOOKUP($C273,REV!$C:$AA,22,0)-'TRADE IN'!$F273))</f>
        <v>999</v>
      </c>
      <c r="Y273" s="56">
        <f>IF(VLOOKUP($C273,REV!$C:$AA,23,0)-'TRADE IN'!$F273=0,"",(VLOOKUP($C273,REV!$C:$AA,23,0)-'TRADE IN'!$F273))</f>
        <v>899</v>
      </c>
      <c r="Z273" s="56">
        <f>IF(VLOOKUP($C273,REV!$C:$AA,24,0)-'TRADE IN'!$F273=0,"",(VLOOKUP($C273,REV!$C:$AA,24,0)-'TRADE IN'!$F273))</f>
        <v>899</v>
      </c>
      <c r="AA273" s="56">
        <f>IF(VLOOKUP($C273,REV!$C:$AA,25,0)-'TRADE IN'!$F273=0,"",(VLOOKUP($C273,REV!$C:$AA,25,0)-'TRADE IN'!$F273))</f>
        <v>899</v>
      </c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7"/>
      <c r="AW273" s="58" t="str">
        <f>REV!AW273</f>
        <v>03.11.2026</v>
      </c>
      <c r="AX273" s="147" t="str">
        <f>VLOOKUP(C273,REV!C:AX,48,0)</f>
        <v>4G</v>
      </c>
    </row>
    <row r="274" spans="1:50" ht="22.5" customHeight="1">
      <c r="A274" s="64" t="s">
        <v>241</v>
      </c>
      <c r="B274" s="52" t="s">
        <v>64</v>
      </c>
      <c r="C274" s="53">
        <v>4017383</v>
      </c>
      <c r="D274" s="65" t="s">
        <v>432</v>
      </c>
      <c r="E274" s="65" t="s">
        <v>436</v>
      </c>
      <c r="F274" s="55"/>
      <c r="G274" s="55"/>
      <c r="H274" s="55"/>
      <c r="I274" s="55"/>
      <c r="J274" s="56">
        <f>IF(VLOOKUP($C274,REV!$C:$AA,8,0)-'TRADE IN'!$F274=0,"",(VLOOKUP($C274,REV!$C:$AA,8,0)-'TRADE IN'!$F274))</f>
        <v>1199</v>
      </c>
      <c r="K274" s="56">
        <f>IF(VLOOKUP($C274,REV!$C:$AA,9,0)-'TRADE IN'!$F274=0,"",(VLOOKUP($C274,REV!$C:$AA,9,0)-'TRADE IN'!$F274))</f>
        <v>1099</v>
      </c>
      <c r="L274" s="56">
        <f>IF(VLOOKUP($C274,REV!$C:$AA,10,0)-'TRADE IN'!$F274=0,"",(VLOOKUP($C274,REV!$C:$AA,10,0)-'TRADE IN'!$F274))</f>
        <v>1099</v>
      </c>
      <c r="M274" s="56">
        <f>IF(VLOOKUP($C274,REV!$C:$AA,11,0)-'TRADE IN'!$F274=0,"",(VLOOKUP($C274,REV!$C:$AA,11,0)-'TRADE IN'!$F274))</f>
        <v>1199</v>
      </c>
      <c r="N274" s="56">
        <f>IF(VLOOKUP($C274,REV!$C:$AA,12,0)-'TRADE IN'!$F274=0,"",(VLOOKUP($C274,REV!$C:$AA,12,0)-'TRADE IN'!$F274))</f>
        <v>1099</v>
      </c>
      <c r="O274" s="56">
        <f>IF(VLOOKUP($C274,REV!$C:$AA,13,0)-'TRADE IN'!$F274=0,"",(VLOOKUP($C274,REV!$C:$AA,13,0)-'TRADE IN'!$F274))</f>
        <v>1049</v>
      </c>
      <c r="P274" s="56">
        <f>IF(VLOOKUP($C274,REV!$C:$AA,14,0)-'TRADE IN'!$F274=0,"",(VLOOKUP($C274,REV!$C:$AA,14,0)-'TRADE IN'!$F274))</f>
        <v>999</v>
      </c>
      <c r="Q274" s="56">
        <f>IF(VLOOKUP($C274,REV!$C:$AA,15,0)-'TRADE IN'!$F274=0,"",(VLOOKUP($C274,REV!$C:$AA,15,0)-'TRADE IN'!$F274))</f>
        <v>999</v>
      </c>
      <c r="R274" s="56">
        <f>IF(VLOOKUP($C274,REV!$C:$AA,16,0)-'TRADE IN'!$F274=0,"",(VLOOKUP($C274,REV!$C:$AA,16,0)-'TRADE IN'!$F274))</f>
        <v>999</v>
      </c>
      <c r="S274" s="56">
        <f>IF(VLOOKUP($C274,REV!$C:$AA,17,0)-'TRADE IN'!$F274=0,"",(VLOOKUP($C274,REV!$C:$AA,17,0)-'TRADE IN'!$F274))</f>
        <v>999</v>
      </c>
      <c r="T274" s="56">
        <f>IF(VLOOKUP($C274,REV!$C:$AA,18,0)-'TRADE IN'!$F274=0,"",(VLOOKUP($C274,REV!$C:$AA,18,0)-'TRADE IN'!$F274))</f>
        <v>999</v>
      </c>
      <c r="U274" s="56">
        <f>IF(VLOOKUP($C274,REV!$C:$AA,19,0)-'TRADE IN'!$F274=0,"",(VLOOKUP($C274,REV!$C:$AA,19,0)-'TRADE IN'!$F274))</f>
        <v>999</v>
      </c>
      <c r="V274" s="56">
        <f>IF(VLOOKUP($C274,REV!$C:$AA,20,0)-'TRADE IN'!$F274=0,"",(VLOOKUP($C274,REV!$C:$AA,20,0)-'TRADE IN'!$F274))</f>
        <v>999</v>
      </c>
      <c r="W274" s="56">
        <f>IF(VLOOKUP($C274,REV!$C:$AA,21,0)-'TRADE IN'!$F274=0,"",(VLOOKUP($C274,REV!$C:$AA,21,0)-'TRADE IN'!$F274))</f>
        <v>999</v>
      </c>
      <c r="X274" s="56">
        <f>IF(VLOOKUP($C274,REV!$C:$AA,22,0)-'TRADE IN'!$F274=0,"",(VLOOKUP($C274,REV!$C:$AA,22,0)-'TRADE IN'!$F274))</f>
        <v>999</v>
      </c>
      <c r="Y274" s="56">
        <f>IF(VLOOKUP($C274,REV!$C:$AA,23,0)-'TRADE IN'!$F274=0,"",(VLOOKUP($C274,REV!$C:$AA,23,0)-'TRADE IN'!$F274))</f>
        <v>899</v>
      </c>
      <c r="Z274" s="56">
        <f>IF(VLOOKUP($C274,REV!$C:$AA,24,0)-'TRADE IN'!$F274=0,"",(VLOOKUP($C274,REV!$C:$AA,24,0)-'TRADE IN'!$F274))</f>
        <v>899</v>
      </c>
      <c r="AA274" s="56">
        <f>IF(VLOOKUP($C274,REV!$C:$AA,25,0)-'TRADE IN'!$F274=0,"",(VLOOKUP($C274,REV!$C:$AA,25,0)-'TRADE IN'!$F274))</f>
        <v>899</v>
      </c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7"/>
      <c r="AW274" s="58" t="str">
        <f>REV!AW274</f>
        <v>03.11.2026</v>
      </c>
      <c r="AX274" s="147" t="str">
        <f>VLOOKUP(C274,REV!C:AX,48,0)</f>
        <v>4G</v>
      </c>
    </row>
    <row r="275" spans="1:50" ht="22.5" customHeight="1">
      <c r="A275" s="64" t="s">
        <v>241</v>
      </c>
      <c r="B275" s="52" t="s">
        <v>64</v>
      </c>
      <c r="C275" s="53">
        <v>4017358</v>
      </c>
      <c r="D275" s="65" t="s">
        <v>437</v>
      </c>
      <c r="E275" s="65" t="s">
        <v>438</v>
      </c>
      <c r="F275" s="55"/>
      <c r="G275" s="55"/>
      <c r="H275" s="55"/>
      <c r="I275" s="55"/>
      <c r="J275" s="56">
        <f>IF(VLOOKUP($C275,REV!$C:$AA,8,0)-'TRADE IN'!$F275=0,"",(VLOOKUP($C275,REV!$C:$AA,8,0)-'TRADE IN'!$F275))</f>
        <v>1199</v>
      </c>
      <c r="K275" s="56">
        <f>IF(VLOOKUP($C275,REV!$C:$AA,9,0)-'TRADE IN'!$F275=0,"",(VLOOKUP($C275,REV!$C:$AA,9,0)-'TRADE IN'!$F275))</f>
        <v>1149</v>
      </c>
      <c r="L275" s="56">
        <f>IF(VLOOKUP($C275,REV!$C:$AA,10,0)-'TRADE IN'!$F275=0,"",(VLOOKUP($C275,REV!$C:$AA,10,0)-'TRADE IN'!$F275))</f>
        <v>1149</v>
      </c>
      <c r="M275" s="56">
        <f>IF(VLOOKUP($C275,REV!$C:$AA,11,0)-'TRADE IN'!$F275=0,"",(VLOOKUP($C275,REV!$C:$AA,11,0)-'TRADE IN'!$F275))</f>
        <v>1199</v>
      </c>
      <c r="N275" s="56">
        <f>IF(VLOOKUP($C275,REV!$C:$AA,12,0)-'TRADE IN'!$F275=0,"",(VLOOKUP($C275,REV!$C:$AA,12,0)-'TRADE IN'!$F275))</f>
        <v>1149</v>
      </c>
      <c r="O275" s="56">
        <f>IF(VLOOKUP($C275,REV!$C:$AA,13,0)-'TRADE IN'!$F275=0,"",(VLOOKUP($C275,REV!$C:$AA,13,0)-'TRADE IN'!$F275))</f>
        <v>1099</v>
      </c>
      <c r="P275" s="56">
        <f>IF(VLOOKUP($C275,REV!$C:$AA,14,0)-'TRADE IN'!$F275=0,"",(VLOOKUP($C275,REV!$C:$AA,14,0)-'TRADE IN'!$F275))</f>
        <v>1049</v>
      </c>
      <c r="Q275" s="56">
        <f>IF(VLOOKUP($C275,REV!$C:$AA,15,0)-'TRADE IN'!$F275=0,"",(VLOOKUP($C275,REV!$C:$AA,15,0)-'TRADE IN'!$F275))</f>
        <v>999</v>
      </c>
      <c r="R275" s="56">
        <f>IF(VLOOKUP($C275,REV!$C:$AA,16,0)-'TRADE IN'!$F275=0,"",(VLOOKUP($C275,REV!$C:$AA,16,0)-'TRADE IN'!$F275))</f>
        <v>1099</v>
      </c>
      <c r="S275" s="56">
        <f>IF(VLOOKUP($C275,REV!$C:$AA,17,0)-'TRADE IN'!$F275=0,"",(VLOOKUP($C275,REV!$C:$AA,17,0)-'TRADE IN'!$F275))</f>
        <v>1049</v>
      </c>
      <c r="T275" s="56">
        <f>IF(VLOOKUP($C275,REV!$C:$AA,18,0)-'TRADE IN'!$F275=0,"",(VLOOKUP($C275,REV!$C:$AA,18,0)-'TRADE IN'!$F275))</f>
        <v>999</v>
      </c>
      <c r="U275" s="56">
        <f>IF(VLOOKUP($C275,REV!$C:$AA,19,0)-'TRADE IN'!$F275=0,"",(VLOOKUP($C275,REV!$C:$AA,19,0)-'TRADE IN'!$F275))</f>
        <v>999</v>
      </c>
      <c r="V275" s="56">
        <f>IF(VLOOKUP($C275,REV!$C:$AA,20,0)-'TRADE IN'!$F275=0,"",(VLOOKUP($C275,REV!$C:$AA,20,0)-'TRADE IN'!$F275))</f>
        <v>999</v>
      </c>
      <c r="W275" s="56">
        <f>IF(VLOOKUP($C275,REV!$C:$AA,21,0)-'TRADE IN'!$F275=0,"",(VLOOKUP($C275,REV!$C:$AA,21,0)-'TRADE IN'!$F275))</f>
        <v>999</v>
      </c>
      <c r="X275" s="56">
        <f>IF(VLOOKUP($C275,REV!$C:$AA,22,0)-'TRADE IN'!$F275=0,"",(VLOOKUP($C275,REV!$C:$AA,22,0)-'TRADE IN'!$F275))</f>
        <v>999</v>
      </c>
      <c r="Y275" s="56">
        <f>IF(VLOOKUP($C275,REV!$C:$AA,23,0)-'TRADE IN'!$F275=0,"",(VLOOKUP($C275,REV!$C:$AA,23,0)-'TRADE IN'!$F275))</f>
        <v>899</v>
      </c>
      <c r="Z275" s="56">
        <f>IF(VLOOKUP($C275,REV!$C:$AA,24,0)-'TRADE IN'!$F275=0,"",(VLOOKUP($C275,REV!$C:$AA,24,0)-'TRADE IN'!$F275))</f>
        <v>899</v>
      </c>
      <c r="AA275" s="56">
        <f>IF(VLOOKUP($C275,REV!$C:$AA,25,0)-'TRADE IN'!$F275=0,"",(VLOOKUP($C275,REV!$C:$AA,25,0)-'TRADE IN'!$F275))</f>
        <v>899</v>
      </c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7"/>
      <c r="AW275" s="58" t="str">
        <f>REV!AW275</f>
        <v>03.11.2026</v>
      </c>
      <c r="AX275" s="147" t="str">
        <f>VLOOKUP(C275,REV!C:AX,48,0)</f>
        <v>5G</v>
      </c>
    </row>
    <row r="276" spans="1:50" ht="22.5" customHeight="1">
      <c r="A276" s="64" t="s">
        <v>241</v>
      </c>
      <c r="B276" s="52" t="s">
        <v>64</v>
      </c>
      <c r="C276" s="53">
        <v>4017365</v>
      </c>
      <c r="D276" s="65" t="s">
        <v>437</v>
      </c>
      <c r="E276" s="65" t="s">
        <v>439</v>
      </c>
      <c r="F276" s="55"/>
      <c r="G276" s="55"/>
      <c r="H276" s="55"/>
      <c r="I276" s="55"/>
      <c r="J276" s="56">
        <f>IF(VLOOKUP($C276,REV!$C:$AA,8,0)-'TRADE IN'!$F276=0,"",(VLOOKUP($C276,REV!$C:$AA,8,0)-'TRADE IN'!$F276))</f>
        <v>1199</v>
      </c>
      <c r="K276" s="56">
        <f>IF(VLOOKUP($C276,REV!$C:$AA,9,0)-'TRADE IN'!$F276=0,"",(VLOOKUP($C276,REV!$C:$AA,9,0)-'TRADE IN'!$F276))</f>
        <v>1149</v>
      </c>
      <c r="L276" s="56">
        <f>IF(VLOOKUP($C276,REV!$C:$AA,10,0)-'TRADE IN'!$F276=0,"",(VLOOKUP($C276,REV!$C:$AA,10,0)-'TRADE IN'!$F276))</f>
        <v>1149</v>
      </c>
      <c r="M276" s="56">
        <f>IF(VLOOKUP($C276,REV!$C:$AA,11,0)-'TRADE IN'!$F276=0,"",(VLOOKUP($C276,REV!$C:$AA,11,0)-'TRADE IN'!$F276))</f>
        <v>1199</v>
      </c>
      <c r="N276" s="56">
        <f>IF(VLOOKUP($C276,REV!$C:$AA,12,0)-'TRADE IN'!$F276=0,"",(VLOOKUP($C276,REV!$C:$AA,12,0)-'TRADE IN'!$F276))</f>
        <v>1149</v>
      </c>
      <c r="O276" s="56">
        <f>IF(VLOOKUP($C276,REV!$C:$AA,13,0)-'TRADE IN'!$F276=0,"",(VLOOKUP($C276,REV!$C:$AA,13,0)-'TRADE IN'!$F276))</f>
        <v>1099</v>
      </c>
      <c r="P276" s="56">
        <f>IF(VLOOKUP($C276,REV!$C:$AA,14,0)-'TRADE IN'!$F276=0,"",(VLOOKUP($C276,REV!$C:$AA,14,0)-'TRADE IN'!$F276))</f>
        <v>1049</v>
      </c>
      <c r="Q276" s="56">
        <f>IF(VLOOKUP($C276,REV!$C:$AA,15,0)-'TRADE IN'!$F276=0,"",(VLOOKUP($C276,REV!$C:$AA,15,0)-'TRADE IN'!$F276))</f>
        <v>999</v>
      </c>
      <c r="R276" s="56">
        <f>IF(VLOOKUP($C276,REV!$C:$AA,16,0)-'TRADE IN'!$F276=0,"",(VLOOKUP($C276,REV!$C:$AA,16,0)-'TRADE IN'!$F276))</f>
        <v>1099</v>
      </c>
      <c r="S276" s="56">
        <f>IF(VLOOKUP($C276,REV!$C:$AA,17,0)-'TRADE IN'!$F276=0,"",(VLOOKUP($C276,REV!$C:$AA,17,0)-'TRADE IN'!$F276))</f>
        <v>1049</v>
      </c>
      <c r="T276" s="56">
        <f>IF(VLOOKUP($C276,REV!$C:$AA,18,0)-'TRADE IN'!$F276=0,"",(VLOOKUP($C276,REV!$C:$AA,18,0)-'TRADE IN'!$F276))</f>
        <v>999</v>
      </c>
      <c r="U276" s="56">
        <f>IF(VLOOKUP($C276,REV!$C:$AA,19,0)-'TRADE IN'!$F276=0,"",(VLOOKUP($C276,REV!$C:$AA,19,0)-'TRADE IN'!$F276))</f>
        <v>999</v>
      </c>
      <c r="V276" s="56">
        <f>IF(VLOOKUP($C276,REV!$C:$AA,20,0)-'TRADE IN'!$F276=0,"",(VLOOKUP($C276,REV!$C:$AA,20,0)-'TRADE IN'!$F276))</f>
        <v>999</v>
      </c>
      <c r="W276" s="56">
        <f>IF(VLOOKUP($C276,REV!$C:$AA,21,0)-'TRADE IN'!$F276=0,"",(VLOOKUP($C276,REV!$C:$AA,21,0)-'TRADE IN'!$F276))</f>
        <v>999</v>
      </c>
      <c r="X276" s="56">
        <f>IF(VLOOKUP($C276,REV!$C:$AA,22,0)-'TRADE IN'!$F276=0,"",(VLOOKUP($C276,REV!$C:$AA,22,0)-'TRADE IN'!$F276))</f>
        <v>999</v>
      </c>
      <c r="Y276" s="56">
        <f>IF(VLOOKUP($C276,REV!$C:$AA,23,0)-'TRADE IN'!$F276=0,"",(VLOOKUP($C276,REV!$C:$AA,23,0)-'TRADE IN'!$F276))</f>
        <v>899</v>
      </c>
      <c r="Z276" s="56">
        <f>IF(VLOOKUP($C276,REV!$C:$AA,24,0)-'TRADE IN'!$F276=0,"",(VLOOKUP($C276,REV!$C:$AA,24,0)-'TRADE IN'!$F276))</f>
        <v>899</v>
      </c>
      <c r="AA276" s="56">
        <f>IF(VLOOKUP($C276,REV!$C:$AA,25,0)-'TRADE IN'!$F276=0,"",(VLOOKUP($C276,REV!$C:$AA,25,0)-'TRADE IN'!$F276))</f>
        <v>899</v>
      </c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7"/>
      <c r="AW276" s="58" t="str">
        <f>REV!AW276</f>
        <v>03.11.2026</v>
      </c>
      <c r="AX276" s="147" t="str">
        <f>VLOOKUP(C276,REV!C:AX,48,0)</f>
        <v>5G</v>
      </c>
    </row>
    <row r="277" spans="1:50" ht="22.5" customHeight="1">
      <c r="A277" s="64" t="s">
        <v>241</v>
      </c>
      <c r="B277" s="52" t="s">
        <v>64</v>
      </c>
      <c r="C277" s="53">
        <v>4017378</v>
      </c>
      <c r="D277" s="65" t="s">
        <v>437</v>
      </c>
      <c r="E277" s="65" t="s">
        <v>440</v>
      </c>
      <c r="F277" s="55"/>
      <c r="G277" s="55"/>
      <c r="H277" s="55"/>
      <c r="I277" s="55"/>
      <c r="J277" s="56">
        <f>IF(VLOOKUP($C277,REV!$C:$AA,8,0)-'TRADE IN'!$F277=0,"",(VLOOKUP($C277,REV!$C:$AA,8,0)-'TRADE IN'!$F277))</f>
        <v>1199</v>
      </c>
      <c r="K277" s="56">
        <f>IF(VLOOKUP($C277,REV!$C:$AA,9,0)-'TRADE IN'!$F277=0,"",(VLOOKUP($C277,REV!$C:$AA,9,0)-'TRADE IN'!$F277))</f>
        <v>1149</v>
      </c>
      <c r="L277" s="56">
        <f>IF(VLOOKUP($C277,REV!$C:$AA,10,0)-'TRADE IN'!$F277=0,"",(VLOOKUP($C277,REV!$C:$AA,10,0)-'TRADE IN'!$F277))</f>
        <v>1149</v>
      </c>
      <c r="M277" s="56">
        <f>IF(VLOOKUP($C277,REV!$C:$AA,11,0)-'TRADE IN'!$F277=0,"",(VLOOKUP($C277,REV!$C:$AA,11,0)-'TRADE IN'!$F277))</f>
        <v>1199</v>
      </c>
      <c r="N277" s="56">
        <f>IF(VLOOKUP($C277,REV!$C:$AA,12,0)-'TRADE IN'!$F277=0,"",(VLOOKUP($C277,REV!$C:$AA,12,0)-'TRADE IN'!$F277))</f>
        <v>1149</v>
      </c>
      <c r="O277" s="56">
        <f>IF(VLOOKUP($C277,REV!$C:$AA,13,0)-'TRADE IN'!$F277=0,"",(VLOOKUP($C277,REV!$C:$AA,13,0)-'TRADE IN'!$F277))</f>
        <v>1099</v>
      </c>
      <c r="P277" s="56">
        <f>IF(VLOOKUP($C277,REV!$C:$AA,14,0)-'TRADE IN'!$F277=0,"",(VLOOKUP($C277,REV!$C:$AA,14,0)-'TRADE IN'!$F277))</f>
        <v>1049</v>
      </c>
      <c r="Q277" s="56">
        <f>IF(VLOOKUP($C277,REV!$C:$AA,15,0)-'TRADE IN'!$F277=0,"",(VLOOKUP($C277,REV!$C:$AA,15,0)-'TRADE IN'!$F277))</f>
        <v>999</v>
      </c>
      <c r="R277" s="56">
        <f>IF(VLOOKUP($C277,REV!$C:$AA,16,0)-'TRADE IN'!$F277=0,"",(VLOOKUP($C277,REV!$C:$AA,16,0)-'TRADE IN'!$F277))</f>
        <v>1099</v>
      </c>
      <c r="S277" s="56">
        <f>IF(VLOOKUP($C277,REV!$C:$AA,17,0)-'TRADE IN'!$F277=0,"",(VLOOKUP($C277,REV!$C:$AA,17,0)-'TRADE IN'!$F277))</f>
        <v>1049</v>
      </c>
      <c r="T277" s="56">
        <f>IF(VLOOKUP($C277,REV!$C:$AA,18,0)-'TRADE IN'!$F277=0,"",(VLOOKUP($C277,REV!$C:$AA,18,0)-'TRADE IN'!$F277))</f>
        <v>999</v>
      </c>
      <c r="U277" s="56">
        <f>IF(VLOOKUP($C277,REV!$C:$AA,19,0)-'TRADE IN'!$F277=0,"",(VLOOKUP($C277,REV!$C:$AA,19,0)-'TRADE IN'!$F277))</f>
        <v>999</v>
      </c>
      <c r="V277" s="56">
        <f>IF(VLOOKUP($C277,REV!$C:$AA,20,0)-'TRADE IN'!$F277=0,"",(VLOOKUP($C277,REV!$C:$AA,20,0)-'TRADE IN'!$F277))</f>
        <v>999</v>
      </c>
      <c r="W277" s="56">
        <f>IF(VLOOKUP($C277,REV!$C:$AA,21,0)-'TRADE IN'!$F277=0,"",(VLOOKUP($C277,REV!$C:$AA,21,0)-'TRADE IN'!$F277))</f>
        <v>999</v>
      </c>
      <c r="X277" s="56">
        <f>IF(VLOOKUP($C277,REV!$C:$AA,22,0)-'TRADE IN'!$F277=0,"",(VLOOKUP($C277,REV!$C:$AA,22,0)-'TRADE IN'!$F277))</f>
        <v>999</v>
      </c>
      <c r="Y277" s="56">
        <f>IF(VLOOKUP($C277,REV!$C:$AA,23,0)-'TRADE IN'!$F277=0,"",(VLOOKUP($C277,REV!$C:$AA,23,0)-'TRADE IN'!$F277))</f>
        <v>899</v>
      </c>
      <c r="Z277" s="56">
        <f>IF(VLOOKUP($C277,REV!$C:$AA,24,0)-'TRADE IN'!$F277=0,"",(VLOOKUP($C277,REV!$C:$AA,24,0)-'TRADE IN'!$F277))</f>
        <v>899</v>
      </c>
      <c r="AA277" s="56">
        <f>IF(VLOOKUP($C277,REV!$C:$AA,25,0)-'TRADE IN'!$F277=0,"",(VLOOKUP($C277,REV!$C:$AA,25,0)-'TRADE IN'!$F277))</f>
        <v>899</v>
      </c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7"/>
      <c r="AW277" s="58" t="str">
        <f>REV!AW277</f>
        <v>03.11.2026</v>
      </c>
      <c r="AX277" s="147" t="str">
        <f>VLOOKUP(C277,REV!C:AX,48,0)</f>
        <v>5G</v>
      </c>
    </row>
    <row r="278" spans="1:50" ht="22.5" customHeight="1">
      <c r="A278" s="64" t="s">
        <v>241</v>
      </c>
      <c r="B278" s="52" t="s">
        <v>64</v>
      </c>
      <c r="C278" s="53">
        <v>4017384</v>
      </c>
      <c r="D278" s="65" t="s">
        <v>437</v>
      </c>
      <c r="E278" s="65" t="s">
        <v>441</v>
      </c>
      <c r="F278" s="55"/>
      <c r="G278" s="55"/>
      <c r="H278" s="55"/>
      <c r="I278" s="55"/>
      <c r="J278" s="56">
        <f>IF(VLOOKUP($C278,REV!$C:$AA,8,0)-'TRADE IN'!$F278=0,"",(VLOOKUP($C278,REV!$C:$AA,8,0)-'TRADE IN'!$F278))</f>
        <v>1199</v>
      </c>
      <c r="K278" s="56">
        <f>IF(VLOOKUP($C278,REV!$C:$AA,9,0)-'TRADE IN'!$F278=0,"",(VLOOKUP($C278,REV!$C:$AA,9,0)-'TRADE IN'!$F278))</f>
        <v>1149</v>
      </c>
      <c r="L278" s="56">
        <f>IF(VLOOKUP($C278,REV!$C:$AA,10,0)-'TRADE IN'!$F278=0,"",(VLOOKUP($C278,REV!$C:$AA,10,0)-'TRADE IN'!$F278))</f>
        <v>1149</v>
      </c>
      <c r="M278" s="56">
        <f>IF(VLOOKUP($C278,REV!$C:$AA,11,0)-'TRADE IN'!$F278=0,"",(VLOOKUP($C278,REV!$C:$AA,11,0)-'TRADE IN'!$F278))</f>
        <v>1199</v>
      </c>
      <c r="N278" s="56">
        <f>IF(VLOOKUP($C278,REV!$C:$AA,12,0)-'TRADE IN'!$F278=0,"",(VLOOKUP($C278,REV!$C:$AA,12,0)-'TRADE IN'!$F278))</f>
        <v>1149</v>
      </c>
      <c r="O278" s="56">
        <f>IF(VLOOKUP($C278,REV!$C:$AA,13,0)-'TRADE IN'!$F278=0,"",(VLOOKUP($C278,REV!$C:$AA,13,0)-'TRADE IN'!$F278))</f>
        <v>1099</v>
      </c>
      <c r="P278" s="56">
        <f>IF(VLOOKUP($C278,REV!$C:$AA,14,0)-'TRADE IN'!$F278=0,"",(VLOOKUP($C278,REV!$C:$AA,14,0)-'TRADE IN'!$F278))</f>
        <v>1049</v>
      </c>
      <c r="Q278" s="56">
        <f>IF(VLOOKUP($C278,REV!$C:$AA,15,0)-'TRADE IN'!$F278=0,"",(VLOOKUP($C278,REV!$C:$AA,15,0)-'TRADE IN'!$F278))</f>
        <v>999</v>
      </c>
      <c r="R278" s="56">
        <f>IF(VLOOKUP($C278,REV!$C:$AA,16,0)-'TRADE IN'!$F278=0,"",(VLOOKUP($C278,REV!$C:$AA,16,0)-'TRADE IN'!$F278))</f>
        <v>1099</v>
      </c>
      <c r="S278" s="56">
        <f>IF(VLOOKUP($C278,REV!$C:$AA,17,0)-'TRADE IN'!$F278=0,"",(VLOOKUP($C278,REV!$C:$AA,17,0)-'TRADE IN'!$F278))</f>
        <v>1049</v>
      </c>
      <c r="T278" s="56">
        <f>IF(VLOOKUP($C278,REV!$C:$AA,18,0)-'TRADE IN'!$F278=0,"",(VLOOKUP($C278,REV!$C:$AA,18,0)-'TRADE IN'!$F278))</f>
        <v>999</v>
      </c>
      <c r="U278" s="56">
        <f>IF(VLOOKUP($C278,REV!$C:$AA,19,0)-'TRADE IN'!$F278=0,"",(VLOOKUP($C278,REV!$C:$AA,19,0)-'TRADE IN'!$F278))</f>
        <v>999</v>
      </c>
      <c r="V278" s="56">
        <f>IF(VLOOKUP($C278,REV!$C:$AA,20,0)-'TRADE IN'!$F278=0,"",(VLOOKUP($C278,REV!$C:$AA,20,0)-'TRADE IN'!$F278))</f>
        <v>999</v>
      </c>
      <c r="W278" s="56">
        <f>IF(VLOOKUP($C278,REV!$C:$AA,21,0)-'TRADE IN'!$F278=0,"",(VLOOKUP($C278,REV!$C:$AA,21,0)-'TRADE IN'!$F278))</f>
        <v>999</v>
      </c>
      <c r="X278" s="56">
        <f>IF(VLOOKUP($C278,REV!$C:$AA,22,0)-'TRADE IN'!$F278=0,"",(VLOOKUP($C278,REV!$C:$AA,22,0)-'TRADE IN'!$F278))</f>
        <v>999</v>
      </c>
      <c r="Y278" s="56">
        <f>IF(VLOOKUP($C278,REV!$C:$AA,23,0)-'TRADE IN'!$F278=0,"",(VLOOKUP($C278,REV!$C:$AA,23,0)-'TRADE IN'!$F278))</f>
        <v>899</v>
      </c>
      <c r="Z278" s="56">
        <f>IF(VLOOKUP($C278,REV!$C:$AA,24,0)-'TRADE IN'!$F278=0,"",(VLOOKUP($C278,REV!$C:$AA,24,0)-'TRADE IN'!$F278))</f>
        <v>899</v>
      </c>
      <c r="AA278" s="56">
        <f>IF(VLOOKUP($C278,REV!$C:$AA,25,0)-'TRADE IN'!$F278=0,"",(VLOOKUP($C278,REV!$C:$AA,25,0)-'TRADE IN'!$F278))</f>
        <v>899</v>
      </c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7"/>
      <c r="AW278" s="58" t="str">
        <f>REV!AW278</f>
        <v>03.11.2026</v>
      </c>
      <c r="AX278" s="147" t="str">
        <f>VLOOKUP(C278,REV!C:AX,48,0)</f>
        <v>5G</v>
      </c>
    </row>
    <row r="279" spans="1:50" ht="22.5" customHeight="1">
      <c r="A279" s="64" t="s">
        <v>241</v>
      </c>
      <c r="B279" s="52" t="s">
        <v>64</v>
      </c>
      <c r="C279" s="53">
        <v>4017371</v>
      </c>
      <c r="D279" s="65" t="s">
        <v>437</v>
      </c>
      <c r="E279" s="65" t="s">
        <v>442</v>
      </c>
      <c r="F279" s="55"/>
      <c r="G279" s="55"/>
      <c r="H279" s="55"/>
      <c r="I279" s="55"/>
      <c r="J279" s="56">
        <f>IF(VLOOKUP($C279,REV!$C:$AA,8,0)-'TRADE IN'!$F279=0,"",(VLOOKUP($C279,REV!$C:$AA,8,0)-'TRADE IN'!$F279))</f>
        <v>1199</v>
      </c>
      <c r="K279" s="56">
        <f>IF(VLOOKUP($C279,REV!$C:$AA,9,0)-'TRADE IN'!$F279=0,"",(VLOOKUP($C279,REV!$C:$AA,9,0)-'TRADE IN'!$F279))</f>
        <v>1149</v>
      </c>
      <c r="L279" s="56">
        <f>IF(VLOOKUP($C279,REV!$C:$AA,10,0)-'TRADE IN'!$F279=0,"",(VLOOKUP($C279,REV!$C:$AA,10,0)-'TRADE IN'!$F279))</f>
        <v>1149</v>
      </c>
      <c r="M279" s="56">
        <f>IF(VLOOKUP($C279,REV!$C:$AA,11,0)-'TRADE IN'!$F279=0,"",(VLOOKUP($C279,REV!$C:$AA,11,0)-'TRADE IN'!$F279))</f>
        <v>1199</v>
      </c>
      <c r="N279" s="56">
        <f>IF(VLOOKUP($C279,REV!$C:$AA,12,0)-'TRADE IN'!$F279=0,"",(VLOOKUP($C279,REV!$C:$AA,12,0)-'TRADE IN'!$F279))</f>
        <v>1149</v>
      </c>
      <c r="O279" s="56">
        <f>IF(VLOOKUP($C279,REV!$C:$AA,13,0)-'TRADE IN'!$F279=0,"",(VLOOKUP($C279,REV!$C:$AA,13,0)-'TRADE IN'!$F279))</f>
        <v>1099</v>
      </c>
      <c r="P279" s="56">
        <f>IF(VLOOKUP($C279,REV!$C:$AA,14,0)-'TRADE IN'!$F279=0,"",(VLOOKUP($C279,REV!$C:$AA,14,0)-'TRADE IN'!$F279))</f>
        <v>1049</v>
      </c>
      <c r="Q279" s="56">
        <f>IF(VLOOKUP($C279,REV!$C:$AA,15,0)-'TRADE IN'!$F279=0,"",(VLOOKUP($C279,REV!$C:$AA,15,0)-'TRADE IN'!$F279))</f>
        <v>999</v>
      </c>
      <c r="R279" s="56">
        <f>IF(VLOOKUP($C279,REV!$C:$AA,16,0)-'TRADE IN'!$F279=0,"",(VLOOKUP($C279,REV!$C:$AA,16,0)-'TRADE IN'!$F279))</f>
        <v>1099</v>
      </c>
      <c r="S279" s="56">
        <f>IF(VLOOKUP($C279,REV!$C:$AA,17,0)-'TRADE IN'!$F279=0,"",(VLOOKUP($C279,REV!$C:$AA,17,0)-'TRADE IN'!$F279))</f>
        <v>1049</v>
      </c>
      <c r="T279" s="56">
        <f>IF(VLOOKUP($C279,REV!$C:$AA,18,0)-'TRADE IN'!$F279=0,"",(VLOOKUP($C279,REV!$C:$AA,18,0)-'TRADE IN'!$F279))</f>
        <v>999</v>
      </c>
      <c r="U279" s="56">
        <f>IF(VLOOKUP($C279,REV!$C:$AA,19,0)-'TRADE IN'!$F279=0,"",(VLOOKUP($C279,REV!$C:$AA,19,0)-'TRADE IN'!$F279))</f>
        <v>999</v>
      </c>
      <c r="V279" s="56">
        <f>IF(VLOOKUP($C279,REV!$C:$AA,20,0)-'TRADE IN'!$F279=0,"",(VLOOKUP($C279,REV!$C:$AA,20,0)-'TRADE IN'!$F279))</f>
        <v>999</v>
      </c>
      <c r="W279" s="56">
        <f>IF(VLOOKUP($C279,REV!$C:$AA,21,0)-'TRADE IN'!$F279=0,"",(VLOOKUP($C279,REV!$C:$AA,21,0)-'TRADE IN'!$F279))</f>
        <v>999</v>
      </c>
      <c r="X279" s="56">
        <f>IF(VLOOKUP($C279,REV!$C:$AA,22,0)-'TRADE IN'!$F279=0,"",(VLOOKUP($C279,REV!$C:$AA,22,0)-'TRADE IN'!$F279))</f>
        <v>999</v>
      </c>
      <c r="Y279" s="56">
        <f>IF(VLOOKUP($C279,REV!$C:$AA,23,0)-'TRADE IN'!$F279=0,"",(VLOOKUP($C279,REV!$C:$AA,23,0)-'TRADE IN'!$F279))</f>
        <v>899</v>
      </c>
      <c r="Z279" s="56">
        <f>IF(VLOOKUP($C279,REV!$C:$AA,24,0)-'TRADE IN'!$F279=0,"",(VLOOKUP($C279,REV!$C:$AA,24,0)-'TRADE IN'!$F279))</f>
        <v>899</v>
      </c>
      <c r="AA279" s="56">
        <f>IF(VLOOKUP($C279,REV!$C:$AA,25,0)-'TRADE IN'!$F279=0,"",(VLOOKUP($C279,REV!$C:$AA,25,0)-'TRADE IN'!$F279))</f>
        <v>899</v>
      </c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7"/>
      <c r="AW279" s="58" t="str">
        <f>REV!AW279</f>
        <v>03.11.2026</v>
      </c>
      <c r="AX279" s="147" t="str">
        <f>VLOOKUP(C279,REV!C:AX,48,0)</f>
        <v>5G</v>
      </c>
    </row>
    <row r="280" spans="1:50" ht="22.5" customHeight="1">
      <c r="A280" s="64" t="s">
        <v>241</v>
      </c>
      <c r="B280" s="52" t="s">
        <v>64</v>
      </c>
      <c r="C280" s="53">
        <v>4017350</v>
      </c>
      <c r="D280" s="65" t="s">
        <v>437</v>
      </c>
      <c r="E280" s="65" t="s">
        <v>443</v>
      </c>
      <c r="F280" s="55"/>
      <c r="G280" s="55"/>
      <c r="H280" s="55"/>
      <c r="I280" s="55"/>
      <c r="J280" s="56">
        <f>IF(VLOOKUP($C280,REV!$C:$AA,8,0)-'TRADE IN'!$F280=0,"",(VLOOKUP($C280,REV!$C:$AA,8,0)-'TRADE IN'!$F280))</f>
        <v>1199</v>
      </c>
      <c r="K280" s="56">
        <f>IF(VLOOKUP($C280,REV!$C:$AA,9,0)-'TRADE IN'!$F280=0,"",(VLOOKUP($C280,REV!$C:$AA,9,0)-'TRADE IN'!$F280))</f>
        <v>1149</v>
      </c>
      <c r="L280" s="56">
        <f>IF(VLOOKUP($C280,REV!$C:$AA,10,0)-'TRADE IN'!$F280=0,"",(VLOOKUP($C280,REV!$C:$AA,10,0)-'TRADE IN'!$F280))</f>
        <v>1149</v>
      </c>
      <c r="M280" s="56">
        <f>IF(VLOOKUP($C280,REV!$C:$AA,11,0)-'TRADE IN'!$F280=0,"",(VLOOKUP($C280,REV!$C:$AA,11,0)-'TRADE IN'!$F280))</f>
        <v>1199</v>
      </c>
      <c r="N280" s="56">
        <f>IF(VLOOKUP($C280,REV!$C:$AA,12,0)-'TRADE IN'!$F280=0,"",(VLOOKUP($C280,REV!$C:$AA,12,0)-'TRADE IN'!$F280))</f>
        <v>1149</v>
      </c>
      <c r="O280" s="56">
        <f>IF(VLOOKUP($C280,REV!$C:$AA,13,0)-'TRADE IN'!$F280=0,"",(VLOOKUP($C280,REV!$C:$AA,13,0)-'TRADE IN'!$F280))</f>
        <v>1099</v>
      </c>
      <c r="P280" s="56">
        <f>IF(VLOOKUP($C280,REV!$C:$AA,14,0)-'TRADE IN'!$F280=0,"",(VLOOKUP($C280,REV!$C:$AA,14,0)-'TRADE IN'!$F280))</f>
        <v>1049</v>
      </c>
      <c r="Q280" s="56">
        <f>IF(VLOOKUP($C280,REV!$C:$AA,15,0)-'TRADE IN'!$F280=0,"",(VLOOKUP($C280,REV!$C:$AA,15,0)-'TRADE IN'!$F280))</f>
        <v>999</v>
      </c>
      <c r="R280" s="56">
        <f>IF(VLOOKUP($C280,REV!$C:$AA,16,0)-'TRADE IN'!$F280=0,"",(VLOOKUP($C280,REV!$C:$AA,16,0)-'TRADE IN'!$F280))</f>
        <v>1099</v>
      </c>
      <c r="S280" s="56">
        <f>IF(VLOOKUP($C280,REV!$C:$AA,17,0)-'TRADE IN'!$F280=0,"",(VLOOKUP($C280,REV!$C:$AA,17,0)-'TRADE IN'!$F280))</f>
        <v>1049</v>
      </c>
      <c r="T280" s="56">
        <f>IF(VLOOKUP($C280,REV!$C:$AA,18,0)-'TRADE IN'!$F280=0,"",(VLOOKUP($C280,REV!$C:$AA,18,0)-'TRADE IN'!$F280))</f>
        <v>999</v>
      </c>
      <c r="U280" s="56">
        <f>IF(VLOOKUP($C280,REV!$C:$AA,19,0)-'TRADE IN'!$F280=0,"",(VLOOKUP($C280,REV!$C:$AA,19,0)-'TRADE IN'!$F280))</f>
        <v>999</v>
      </c>
      <c r="V280" s="56">
        <f>IF(VLOOKUP($C280,REV!$C:$AA,20,0)-'TRADE IN'!$F280=0,"",(VLOOKUP($C280,REV!$C:$AA,20,0)-'TRADE IN'!$F280))</f>
        <v>999</v>
      </c>
      <c r="W280" s="56">
        <f>IF(VLOOKUP($C280,REV!$C:$AA,21,0)-'TRADE IN'!$F280=0,"",(VLOOKUP($C280,REV!$C:$AA,21,0)-'TRADE IN'!$F280))</f>
        <v>999</v>
      </c>
      <c r="X280" s="56">
        <f>IF(VLOOKUP($C280,REV!$C:$AA,22,0)-'TRADE IN'!$F280=0,"",(VLOOKUP($C280,REV!$C:$AA,22,0)-'TRADE IN'!$F280))</f>
        <v>999</v>
      </c>
      <c r="Y280" s="56">
        <f>IF(VLOOKUP($C280,REV!$C:$AA,23,0)-'TRADE IN'!$F280=0,"",(VLOOKUP($C280,REV!$C:$AA,23,0)-'TRADE IN'!$F280))</f>
        <v>899</v>
      </c>
      <c r="Z280" s="56">
        <f>IF(VLOOKUP($C280,REV!$C:$AA,24,0)-'TRADE IN'!$F280=0,"",(VLOOKUP($C280,REV!$C:$AA,24,0)-'TRADE IN'!$F280))</f>
        <v>899</v>
      </c>
      <c r="AA280" s="56">
        <f>IF(VLOOKUP($C280,REV!$C:$AA,25,0)-'TRADE IN'!$F280=0,"",(VLOOKUP($C280,REV!$C:$AA,25,0)-'TRADE IN'!$F280))</f>
        <v>899</v>
      </c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7"/>
      <c r="AW280" s="58" t="str">
        <f>REV!AW280</f>
        <v>03.11.2026</v>
      </c>
      <c r="AX280" s="147" t="str">
        <f>VLOOKUP(C280,REV!C:AX,48,0)</f>
        <v>5G</v>
      </c>
    </row>
    <row r="281" spans="1:50" ht="22.5" customHeight="1">
      <c r="A281" s="64" t="s">
        <v>241</v>
      </c>
      <c r="B281" s="52" t="s">
        <v>64</v>
      </c>
      <c r="C281" s="53">
        <v>4017360</v>
      </c>
      <c r="D281" s="65" t="s">
        <v>437</v>
      </c>
      <c r="E281" s="65" t="s">
        <v>444</v>
      </c>
      <c r="F281" s="55"/>
      <c r="G281" s="55"/>
      <c r="H281" s="55"/>
      <c r="I281" s="55"/>
      <c r="J281" s="56">
        <f>IF(VLOOKUP($C281,REV!$C:$AA,8,0)-'TRADE IN'!$F281=0,"",(VLOOKUP($C281,REV!$C:$AA,8,0)-'TRADE IN'!$F281))</f>
        <v>1199</v>
      </c>
      <c r="K281" s="56">
        <f>IF(VLOOKUP($C281,REV!$C:$AA,9,0)-'TRADE IN'!$F281=0,"",(VLOOKUP($C281,REV!$C:$AA,9,0)-'TRADE IN'!$F281))</f>
        <v>1149</v>
      </c>
      <c r="L281" s="56">
        <f>IF(VLOOKUP($C281,REV!$C:$AA,10,0)-'TRADE IN'!$F281=0,"",(VLOOKUP($C281,REV!$C:$AA,10,0)-'TRADE IN'!$F281))</f>
        <v>1149</v>
      </c>
      <c r="M281" s="56">
        <f>IF(VLOOKUP($C281,REV!$C:$AA,11,0)-'TRADE IN'!$F281=0,"",(VLOOKUP($C281,REV!$C:$AA,11,0)-'TRADE IN'!$F281))</f>
        <v>1199</v>
      </c>
      <c r="N281" s="56">
        <f>IF(VLOOKUP($C281,REV!$C:$AA,12,0)-'TRADE IN'!$F281=0,"",(VLOOKUP($C281,REV!$C:$AA,12,0)-'TRADE IN'!$F281))</f>
        <v>1149</v>
      </c>
      <c r="O281" s="56">
        <f>IF(VLOOKUP($C281,REV!$C:$AA,13,0)-'TRADE IN'!$F281=0,"",(VLOOKUP($C281,REV!$C:$AA,13,0)-'TRADE IN'!$F281))</f>
        <v>1099</v>
      </c>
      <c r="P281" s="56">
        <f>IF(VLOOKUP($C281,REV!$C:$AA,14,0)-'TRADE IN'!$F281=0,"",(VLOOKUP($C281,REV!$C:$AA,14,0)-'TRADE IN'!$F281))</f>
        <v>1049</v>
      </c>
      <c r="Q281" s="56">
        <f>IF(VLOOKUP($C281,REV!$C:$AA,15,0)-'TRADE IN'!$F281=0,"",(VLOOKUP($C281,REV!$C:$AA,15,0)-'TRADE IN'!$F281))</f>
        <v>999</v>
      </c>
      <c r="R281" s="56">
        <f>IF(VLOOKUP($C281,REV!$C:$AA,16,0)-'TRADE IN'!$F281=0,"",(VLOOKUP($C281,REV!$C:$AA,16,0)-'TRADE IN'!$F281))</f>
        <v>1099</v>
      </c>
      <c r="S281" s="56">
        <f>IF(VLOOKUP($C281,REV!$C:$AA,17,0)-'TRADE IN'!$F281=0,"",(VLOOKUP($C281,REV!$C:$AA,17,0)-'TRADE IN'!$F281))</f>
        <v>1049</v>
      </c>
      <c r="T281" s="56">
        <f>IF(VLOOKUP($C281,REV!$C:$AA,18,0)-'TRADE IN'!$F281=0,"",(VLOOKUP($C281,REV!$C:$AA,18,0)-'TRADE IN'!$F281))</f>
        <v>999</v>
      </c>
      <c r="U281" s="56">
        <f>IF(VLOOKUP($C281,REV!$C:$AA,19,0)-'TRADE IN'!$F281=0,"",(VLOOKUP($C281,REV!$C:$AA,19,0)-'TRADE IN'!$F281))</f>
        <v>999</v>
      </c>
      <c r="V281" s="56">
        <f>IF(VLOOKUP($C281,REV!$C:$AA,20,0)-'TRADE IN'!$F281=0,"",(VLOOKUP($C281,REV!$C:$AA,20,0)-'TRADE IN'!$F281))</f>
        <v>999</v>
      </c>
      <c r="W281" s="56">
        <f>IF(VLOOKUP($C281,REV!$C:$AA,21,0)-'TRADE IN'!$F281=0,"",(VLOOKUP($C281,REV!$C:$AA,21,0)-'TRADE IN'!$F281))</f>
        <v>999</v>
      </c>
      <c r="X281" s="56">
        <f>IF(VLOOKUP($C281,REV!$C:$AA,22,0)-'TRADE IN'!$F281=0,"",(VLOOKUP($C281,REV!$C:$AA,22,0)-'TRADE IN'!$F281))</f>
        <v>999</v>
      </c>
      <c r="Y281" s="56">
        <f>IF(VLOOKUP($C281,REV!$C:$AA,23,0)-'TRADE IN'!$F281=0,"",(VLOOKUP($C281,REV!$C:$AA,23,0)-'TRADE IN'!$F281))</f>
        <v>899</v>
      </c>
      <c r="Z281" s="56">
        <f>IF(VLOOKUP($C281,REV!$C:$AA,24,0)-'TRADE IN'!$F281=0,"",(VLOOKUP($C281,REV!$C:$AA,24,0)-'TRADE IN'!$F281))</f>
        <v>899</v>
      </c>
      <c r="AA281" s="56">
        <f>IF(VLOOKUP($C281,REV!$C:$AA,25,0)-'TRADE IN'!$F281=0,"",(VLOOKUP($C281,REV!$C:$AA,25,0)-'TRADE IN'!$F281))</f>
        <v>899</v>
      </c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7"/>
      <c r="AW281" s="58" t="str">
        <f>REV!AW281</f>
        <v>03.11.2026</v>
      </c>
      <c r="AX281" s="147" t="str">
        <f>VLOOKUP(C281,REV!C:AX,48,0)</f>
        <v>5G</v>
      </c>
    </row>
    <row r="282" spans="1:50" ht="22.5" customHeight="1">
      <c r="A282" s="64" t="s">
        <v>241</v>
      </c>
      <c r="B282" s="52" t="s">
        <v>64</v>
      </c>
      <c r="C282" s="53">
        <v>4017352</v>
      </c>
      <c r="D282" s="65" t="s">
        <v>437</v>
      </c>
      <c r="E282" s="65" t="s">
        <v>445</v>
      </c>
      <c r="F282" s="55"/>
      <c r="G282" s="55"/>
      <c r="H282" s="55"/>
      <c r="I282" s="55"/>
      <c r="J282" s="56">
        <f>IF(VLOOKUP($C282,REV!$C:$AA,8,0)-'TRADE IN'!$F282=0,"",(VLOOKUP($C282,REV!$C:$AA,8,0)-'TRADE IN'!$F282))</f>
        <v>1199</v>
      </c>
      <c r="K282" s="56">
        <f>IF(VLOOKUP($C282,REV!$C:$AA,9,0)-'TRADE IN'!$F282=0,"",(VLOOKUP($C282,REV!$C:$AA,9,0)-'TRADE IN'!$F282))</f>
        <v>1149</v>
      </c>
      <c r="L282" s="56">
        <f>IF(VLOOKUP($C282,REV!$C:$AA,10,0)-'TRADE IN'!$F282=0,"",(VLOOKUP($C282,REV!$C:$AA,10,0)-'TRADE IN'!$F282))</f>
        <v>1149</v>
      </c>
      <c r="M282" s="56">
        <f>IF(VLOOKUP($C282,REV!$C:$AA,11,0)-'TRADE IN'!$F282=0,"",(VLOOKUP($C282,REV!$C:$AA,11,0)-'TRADE IN'!$F282))</f>
        <v>1199</v>
      </c>
      <c r="N282" s="56">
        <f>IF(VLOOKUP($C282,REV!$C:$AA,12,0)-'TRADE IN'!$F282=0,"",(VLOOKUP($C282,REV!$C:$AA,12,0)-'TRADE IN'!$F282))</f>
        <v>1149</v>
      </c>
      <c r="O282" s="56">
        <f>IF(VLOOKUP($C282,REV!$C:$AA,13,0)-'TRADE IN'!$F282=0,"",(VLOOKUP($C282,REV!$C:$AA,13,0)-'TRADE IN'!$F282))</f>
        <v>1099</v>
      </c>
      <c r="P282" s="56">
        <f>IF(VLOOKUP($C282,REV!$C:$AA,14,0)-'TRADE IN'!$F282=0,"",(VLOOKUP($C282,REV!$C:$AA,14,0)-'TRADE IN'!$F282))</f>
        <v>1049</v>
      </c>
      <c r="Q282" s="56">
        <f>IF(VLOOKUP($C282,REV!$C:$AA,15,0)-'TRADE IN'!$F282=0,"",(VLOOKUP($C282,REV!$C:$AA,15,0)-'TRADE IN'!$F282))</f>
        <v>999</v>
      </c>
      <c r="R282" s="56">
        <f>IF(VLOOKUP($C282,REV!$C:$AA,16,0)-'TRADE IN'!$F282=0,"",(VLOOKUP($C282,REV!$C:$AA,16,0)-'TRADE IN'!$F282))</f>
        <v>1099</v>
      </c>
      <c r="S282" s="56">
        <f>IF(VLOOKUP($C282,REV!$C:$AA,17,0)-'TRADE IN'!$F282=0,"",(VLOOKUP($C282,REV!$C:$AA,17,0)-'TRADE IN'!$F282))</f>
        <v>1049</v>
      </c>
      <c r="T282" s="56">
        <f>IF(VLOOKUP($C282,REV!$C:$AA,18,0)-'TRADE IN'!$F282=0,"",(VLOOKUP($C282,REV!$C:$AA,18,0)-'TRADE IN'!$F282))</f>
        <v>999</v>
      </c>
      <c r="U282" s="56">
        <f>IF(VLOOKUP($C282,REV!$C:$AA,19,0)-'TRADE IN'!$F282=0,"",(VLOOKUP($C282,REV!$C:$AA,19,0)-'TRADE IN'!$F282))</f>
        <v>999</v>
      </c>
      <c r="V282" s="56">
        <f>IF(VLOOKUP($C282,REV!$C:$AA,20,0)-'TRADE IN'!$F282=0,"",(VLOOKUP($C282,REV!$C:$AA,20,0)-'TRADE IN'!$F282))</f>
        <v>999</v>
      </c>
      <c r="W282" s="56">
        <f>IF(VLOOKUP($C282,REV!$C:$AA,21,0)-'TRADE IN'!$F282=0,"",(VLOOKUP($C282,REV!$C:$AA,21,0)-'TRADE IN'!$F282))</f>
        <v>999</v>
      </c>
      <c r="X282" s="56">
        <f>IF(VLOOKUP($C282,REV!$C:$AA,22,0)-'TRADE IN'!$F282=0,"",(VLOOKUP($C282,REV!$C:$AA,22,0)-'TRADE IN'!$F282))</f>
        <v>999</v>
      </c>
      <c r="Y282" s="56">
        <f>IF(VLOOKUP($C282,REV!$C:$AA,23,0)-'TRADE IN'!$F282=0,"",(VLOOKUP($C282,REV!$C:$AA,23,0)-'TRADE IN'!$F282))</f>
        <v>899</v>
      </c>
      <c r="Z282" s="56">
        <f>IF(VLOOKUP($C282,REV!$C:$AA,24,0)-'TRADE IN'!$F282=0,"",(VLOOKUP($C282,REV!$C:$AA,24,0)-'TRADE IN'!$F282))</f>
        <v>899</v>
      </c>
      <c r="AA282" s="56">
        <f>IF(VLOOKUP($C282,REV!$C:$AA,25,0)-'TRADE IN'!$F282=0,"",(VLOOKUP($C282,REV!$C:$AA,25,0)-'TRADE IN'!$F282))</f>
        <v>899</v>
      </c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7"/>
      <c r="AW282" s="58" t="str">
        <f>REV!AW282</f>
        <v>03.11.2026</v>
      </c>
      <c r="AX282" s="147" t="str">
        <f>VLOOKUP(C282,REV!C:AX,48,0)</f>
        <v>5G</v>
      </c>
    </row>
    <row r="283" spans="1:50" ht="22.5" customHeight="1">
      <c r="A283" s="64" t="s">
        <v>241</v>
      </c>
      <c r="B283" s="52" t="s">
        <v>64</v>
      </c>
      <c r="C283" s="53">
        <v>4017359</v>
      </c>
      <c r="D283" s="65" t="s">
        <v>446</v>
      </c>
      <c r="E283" s="65" t="s">
        <v>447</v>
      </c>
      <c r="F283" s="55"/>
      <c r="G283" s="55"/>
      <c r="H283" s="55"/>
      <c r="I283" s="55"/>
      <c r="J283" s="56">
        <f>IF(VLOOKUP($C283,REV!$C:$AA,8,0)-'TRADE IN'!$F283=0,"",(VLOOKUP($C283,REV!$C:$AA,8,0)-'TRADE IN'!$F283))</f>
        <v>1499</v>
      </c>
      <c r="K283" s="56">
        <f>IF(VLOOKUP($C283,REV!$C:$AA,9,0)-'TRADE IN'!$F283=0,"",(VLOOKUP($C283,REV!$C:$AA,9,0)-'TRADE IN'!$F283))</f>
        <v>1499</v>
      </c>
      <c r="L283" s="56">
        <f>IF(VLOOKUP($C283,REV!$C:$AA,10,0)-'TRADE IN'!$F283=0,"",(VLOOKUP($C283,REV!$C:$AA,10,0)-'TRADE IN'!$F283))</f>
        <v>1499</v>
      </c>
      <c r="M283" s="56">
        <f>IF(VLOOKUP($C283,REV!$C:$AA,11,0)-'TRADE IN'!$F283=0,"",(VLOOKUP($C283,REV!$C:$AA,11,0)-'TRADE IN'!$F283))</f>
        <v>1499</v>
      </c>
      <c r="N283" s="56">
        <f>IF(VLOOKUP($C283,REV!$C:$AA,12,0)-'TRADE IN'!$F283=0,"",(VLOOKUP($C283,REV!$C:$AA,12,0)-'TRADE IN'!$F283))</f>
        <v>1499</v>
      </c>
      <c r="O283" s="56">
        <f>IF(VLOOKUP($C283,REV!$C:$AA,13,0)-'TRADE IN'!$F283=0,"",(VLOOKUP($C283,REV!$C:$AA,13,0)-'TRADE IN'!$F283))</f>
        <v>1349</v>
      </c>
      <c r="P283" s="56">
        <f>IF(VLOOKUP($C283,REV!$C:$AA,14,0)-'TRADE IN'!$F283=0,"",(VLOOKUP($C283,REV!$C:$AA,14,0)-'TRADE IN'!$F283))</f>
        <v>1349</v>
      </c>
      <c r="Q283" s="56">
        <f>IF(VLOOKUP($C283,REV!$C:$AA,15,0)-'TRADE IN'!$F283=0,"",(VLOOKUP($C283,REV!$C:$AA,15,0)-'TRADE IN'!$F283))</f>
        <v>1299</v>
      </c>
      <c r="R283" s="56">
        <f>IF(VLOOKUP($C283,REV!$C:$AA,16,0)-'TRADE IN'!$F283=0,"",(VLOOKUP($C283,REV!$C:$AA,16,0)-'TRADE IN'!$F283))</f>
        <v>1349</v>
      </c>
      <c r="S283" s="56">
        <f>IF(VLOOKUP($C283,REV!$C:$AA,17,0)-'TRADE IN'!$F283=0,"",(VLOOKUP($C283,REV!$C:$AA,17,0)-'TRADE IN'!$F283))</f>
        <v>1349</v>
      </c>
      <c r="T283" s="56">
        <f>IF(VLOOKUP($C283,REV!$C:$AA,18,0)-'TRADE IN'!$F283=0,"",(VLOOKUP($C283,REV!$C:$AA,18,0)-'TRADE IN'!$F283))</f>
        <v>1299</v>
      </c>
      <c r="U283" s="56">
        <f>IF(VLOOKUP($C283,REV!$C:$AA,19,0)-'TRADE IN'!$F283=0,"",(VLOOKUP($C283,REV!$C:$AA,19,0)-'TRADE IN'!$F283))</f>
        <v>1299</v>
      </c>
      <c r="V283" s="56">
        <f>IF(VLOOKUP($C283,REV!$C:$AA,20,0)-'TRADE IN'!$F283=0,"",(VLOOKUP($C283,REV!$C:$AA,20,0)-'TRADE IN'!$F283))</f>
        <v>1299</v>
      </c>
      <c r="W283" s="56">
        <f>IF(VLOOKUP($C283,REV!$C:$AA,21,0)-'TRADE IN'!$F283=0,"",(VLOOKUP($C283,REV!$C:$AA,21,0)-'TRADE IN'!$F283))</f>
        <v>1299</v>
      </c>
      <c r="X283" s="56">
        <f>IF(VLOOKUP($C283,REV!$C:$AA,22,0)-'TRADE IN'!$F283=0,"",(VLOOKUP($C283,REV!$C:$AA,22,0)-'TRADE IN'!$F283))</f>
        <v>1199</v>
      </c>
      <c r="Y283" s="56">
        <f>IF(VLOOKUP($C283,REV!$C:$AA,23,0)-'TRADE IN'!$F283=0,"",(VLOOKUP($C283,REV!$C:$AA,23,0)-'TRADE IN'!$F283))</f>
        <v>1099</v>
      </c>
      <c r="Z283" s="56">
        <f>IF(VLOOKUP($C283,REV!$C:$AA,24,0)-'TRADE IN'!$F283=0,"",(VLOOKUP($C283,REV!$C:$AA,24,0)-'TRADE IN'!$F283))</f>
        <v>1099</v>
      </c>
      <c r="AA283" s="56">
        <f>IF(VLOOKUP($C283,REV!$C:$AA,25,0)-'TRADE IN'!$F283=0,"",(VLOOKUP($C283,REV!$C:$AA,25,0)-'TRADE IN'!$F283))</f>
        <v>1099</v>
      </c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7"/>
      <c r="AW283" s="58" t="str">
        <f>REV!AW283</f>
        <v>03.11.2026</v>
      </c>
      <c r="AX283" s="147" t="str">
        <f>VLOOKUP(C283,REV!C:AX,48,0)</f>
        <v>5G</v>
      </c>
    </row>
    <row r="284" spans="1:50" ht="22.5" customHeight="1">
      <c r="A284" s="64" t="s">
        <v>241</v>
      </c>
      <c r="B284" s="52" t="s">
        <v>64</v>
      </c>
      <c r="C284" s="53">
        <v>4017366</v>
      </c>
      <c r="D284" s="65" t="s">
        <v>446</v>
      </c>
      <c r="E284" s="65" t="s">
        <v>448</v>
      </c>
      <c r="F284" s="55"/>
      <c r="G284" s="55"/>
      <c r="H284" s="55"/>
      <c r="I284" s="55"/>
      <c r="J284" s="56">
        <f>IF(VLOOKUP($C284,REV!$C:$AA,8,0)-'TRADE IN'!$F284=0,"",(VLOOKUP($C284,REV!$C:$AA,8,0)-'TRADE IN'!$F284))</f>
        <v>1499</v>
      </c>
      <c r="K284" s="56">
        <f>IF(VLOOKUP($C284,REV!$C:$AA,9,0)-'TRADE IN'!$F284=0,"",(VLOOKUP($C284,REV!$C:$AA,9,0)-'TRADE IN'!$F284))</f>
        <v>1499</v>
      </c>
      <c r="L284" s="56">
        <f>IF(VLOOKUP($C284,REV!$C:$AA,10,0)-'TRADE IN'!$F284=0,"",(VLOOKUP($C284,REV!$C:$AA,10,0)-'TRADE IN'!$F284))</f>
        <v>1499</v>
      </c>
      <c r="M284" s="56">
        <f>IF(VLOOKUP($C284,REV!$C:$AA,11,0)-'TRADE IN'!$F284=0,"",(VLOOKUP($C284,REV!$C:$AA,11,0)-'TRADE IN'!$F284))</f>
        <v>1499</v>
      </c>
      <c r="N284" s="56">
        <f>IF(VLOOKUP($C284,REV!$C:$AA,12,0)-'TRADE IN'!$F284=0,"",(VLOOKUP($C284,REV!$C:$AA,12,0)-'TRADE IN'!$F284))</f>
        <v>1499</v>
      </c>
      <c r="O284" s="56">
        <f>IF(VLOOKUP($C284,REV!$C:$AA,13,0)-'TRADE IN'!$F284=0,"",(VLOOKUP($C284,REV!$C:$AA,13,0)-'TRADE IN'!$F284))</f>
        <v>1349</v>
      </c>
      <c r="P284" s="56">
        <f>IF(VLOOKUP($C284,REV!$C:$AA,14,0)-'TRADE IN'!$F284=0,"",(VLOOKUP($C284,REV!$C:$AA,14,0)-'TRADE IN'!$F284))</f>
        <v>1349</v>
      </c>
      <c r="Q284" s="56">
        <f>IF(VLOOKUP($C284,REV!$C:$AA,15,0)-'TRADE IN'!$F284=0,"",(VLOOKUP($C284,REV!$C:$AA,15,0)-'TRADE IN'!$F284))</f>
        <v>1299</v>
      </c>
      <c r="R284" s="56">
        <f>IF(VLOOKUP($C284,REV!$C:$AA,16,0)-'TRADE IN'!$F284=0,"",(VLOOKUP($C284,REV!$C:$AA,16,0)-'TRADE IN'!$F284))</f>
        <v>1349</v>
      </c>
      <c r="S284" s="56">
        <f>IF(VLOOKUP($C284,REV!$C:$AA,17,0)-'TRADE IN'!$F284=0,"",(VLOOKUP($C284,REV!$C:$AA,17,0)-'TRADE IN'!$F284))</f>
        <v>1349</v>
      </c>
      <c r="T284" s="56">
        <f>IF(VLOOKUP($C284,REV!$C:$AA,18,0)-'TRADE IN'!$F284=0,"",(VLOOKUP($C284,REV!$C:$AA,18,0)-'TRADE IN'!$F284))</f>
        <v>1299</v>
      </c>
      <c r="U284" s="56">
        <f>IF(VLOOKUP($C284,REV!$C:$AA,19,0)-'TRADE IN'!$F284=0,"",(VLOOKUP($C284,REV!$C:$AA,19,0)-'TRADE IN'!$F284))</f>
        <v>1299</v>
      </c>
      <c r="V284" s="56">
        <f>IF(VLOOKUP($C284,REV!$C:$AA,20,0)-'TRADE IN'!$F284=0,"",(VLOOKUP($C284,REV!$C:$AA,20,0)-'TRADE IN'!$F284))</f>
        <v>1299</v>
      </c>
      <c r="W284" s="56">
        <f>IF(VLOOKUP($C284,REV!$C:$AA,21,0)-'TRADE IN'!$F284=0,"",(VLOOKUP($C284,REV!$C:$AA,21,0)-'TRADE IN'!$F284))</f>
        <v>1299</v>
      </c>
      <c r="X284" s="56">
        <f>IF(VLOOKUP($C284,REV!$C:$AA,22,0)-'TRADE IN'!$F284=0,"",(VLOOKUP($C284,REV!$C:$AA,22,0)-'TRADE IN'!$F284))</f>
        <v>1199</v>
      </c>
      <c r="Y284" s="56">
        <f>IF(VLOOKUP($C284,REV!$C:$AA,23,0)-'TRADE IN'!$F284=0,"",(VLOOKUP($C284,REV!$C:$AA,23,0)-'TRADE IN'!$F284))</f>
        <v>1099</v>
      </c>
      <c r="Z284" s="56">
        <f>IF(VLOOKUP($C284,REV!$C:$AA,24,0)-'TRADE IN'!$F284=0,"",(VLOOKUP($C284,REV!$C:$AA,24,0)-'TRADE IN'!$F284))</f>
        <v>1099</v>
      </c>
      <c r="AA284" s="56">
        <f>IF(VLOOKUP($C284,REV!$C:$AA,25,0)-'TRADE IN'!$F284=0,"",(VLOOKUP($C284,REV!$C:$AA,25,0)-'TRADE IN'!$F284))</f>
        <v>1099</v>
      </c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7"/>
      <c r="AW284" s="58" t="str">
        <f>REV!AW284</f>
        <v>03.11.2026</v>
      </c>
      <c r="AX284" s="147" t="str">
        <f>VLOOKUP(C284,REV!C:AX,48,0)</f>
        <v>5G</v>
      </c>
    </row>
    <row r="285" spans="1:50" ht="22.5" customHeight="1">
      <c r="A285" s="64" t="s">
        <v>241</v>
      </c>
      <c r="B285" s="52" t="s">
        <v>64</v>
      </c>
      <c r="C285" s="53">
        <v>4017379</v>
      </c>
      <c r="D285" s="65" t="s">
        <v>446</v>
      </c>
      <c r="E285" s="65" t="s">
        <v>449</v>
      </c>
      <c r="F285" s="55"/>
      <c r="G285" s="55"/>
      <c r="H285" s="55"/>
      <c r="I285" s="55"/>
      <c r="J285" s="56">
        <f>IF(VLOOKUP($C285,REV!$C:$AA,8,0)-'TRADE IN'!$F285=0,"",(VLOOKUP($C285,REV!$C:$AA,8,0)-'TRADE IN'!$F285))</f>
        <v>1499</v>
      </c>
      <c r="K285" s="56">
        <f>IF(VLOOKUP($C285,REV!$C:$AA,9,0)-'TRADE IN'!$F285=0,"",(VLOOKUP($C285,REV!$C:$AA,9,0)-'TRADE IN'!$F285))</f>
        <v>1499</v>
      </c>
      <c r="L285" s="56">
        <f>IF(VLOOKUP($C285,REV!$C:$AA,10,0)-'TRADE IN'!$F285=0,"",(VLOOKUP($C285,REV!$C:$AA,10,0)-'TRADE IN'!$F285))</f>
        <v>1499</v>
      </c>
      <c r="M285" s="56">
        <f>IF(VLOOKUP($C285,REV!$C:$AA,11,0)-'TRADE IN'!$F285=0,"",(VLOOKUP($C285,REV!$C:$AA,11,0)-'TRADE IN'!$F285))</f>
        <v>1499</v>
      </c>
      <c r="N285" s="56">
        <f>IF(VLOOKUP($C285,REV!$C:$AA,12,0)-'TRADE IN'!$F285=0,"",(VLOOKUP($C285,REV!$C:$AA,12,0)-'TRADE IN'!$F285))</f>
        <v>1499</v>
      </c>
      <c r="O285" s="56">
        <f>IF(VLOOKUP($C285,REV!$C:$AA,13,0)-'TRADE IN'!$F285=0,"",(VLOOKUP($C285,REV!$C:$AA,13,0)-'TRADE IN'!$F285))</f>
        <v>1349</v>
      </c>
      <c r="P285" s="56">
        <f>IF(VLOOKUP($C285,REV!$C:$AA,14,0)-'TRADE IN'!$F285=0,"",(VLOOKUP($C285,REV!$C:$AA,14,0)-'TRADE IN'!$F285))</f>
        <v>1349</v>
      </c>
      <c r="Q285" s="56">
        <f>IF(VLOOKUP($C285,REV!$C:$AA,15,0)-'TRADE IN'!$F285=0,"",(VLOOKUP($C285,REV!$C:$AA,15,0)-'TRADE IN'!$F285))</f>
        <v>1299</v>
      </c>
      <c r="R285" s="56">
        <f>IF(VLOOKUP($C285,REV!$C:$AA,16,0)-'TRADE IN'!$F285=0,"",(VLOOKUP($C285,REV!$C:$AA,16,0)-'TRADE IN'!$F285))</f>
        <v>1349</v>
      </c>
      <c r="S285" s="56">
        <f>IF(VLOOKUP($C285,REV!$C:$AA,17,0)-'TRADE IN'!$F285=0,"",(VLOOKUP($C285,REV!$C:$AA,17,0)-'TRADE IN'!$F285))</f>
        <v>1349</v>
      </c>
      <c r="T285" s="56">
        <f>IF(VLOOKUP($C285,REV!$C:$AA,18,0)-'TRADE IN'!$F285=0,"",(VLOOKUP($C285,REV!$C:$AA,18,0)-'TRADE IN'!$F285))</f>
        <v>1299</v>
      </c>
      <c r="U285" s="56">
        <f>IF(VLOOKUP($C285,REV!$C:$AA,19,0)-'TRADE IN'!$F285=0,"",(VLOOKUP($C285,REV!$C:$AA,19,0)-'TRADE IN'!$F285))</f>
        <v>1299</v>
      </c>
      <c r="V285" s="56">
        <f>IF(VLOOKUP($C285,REV!$C:$AA,20,0)-'TRADE IN'!$F285=0,"",(VLOOKUP($C285,REV!$C:$AA,20,0)-'TRADE IN'!$F285))</f>
        <v>1299</v>
      </c>
      <c r="W285" s="56">
        <f>IF(VLOOKUP($C285,REV!$C:$AA,21,0)-'TRADE IN'!$F285=0,"",(VLOOKUP($C285,REV!$C:$AA,21,0)-'TRADE IN'!$F285))</f>
        <v>1299</v>
      </c>
      <c r="X285" s="56">
        <f>IF(VLOOKUP($C285,REV!$C:$AA,22,0)-'TRADE IN'!$F285=0,"",(VLOOKUP($C285,REV!$C:$AA,22,0)-'TRADE IN'!$F285))</f>
        <v>1199</v>
      </c>
      <c r="Y285" s="56">
        <f>IF(VLOOKUP($C285,REV!$C:$AA,23,0)-'TRADE IN'!$F285=0,"",(VLOOKUP($C285,REV!$C:$AA,23,0)-'TRADE IN'!$F285))</f>
        <v>1099</v>
      </c>
      <c r="Z285" s="56">
        <f>IF(VLOOKUP($C285,REV!$C:$AA,24,0)-'TRADE IN'!$F285=0,"",(VLOOKUP($C285,REV!$C:$AA,24,0)-'TRADE IN'!$F285))</f>
        <v>1099</v>
      </c>
      <c r="AA285" s="56">
        <f>IF(VLOOKUP($C285,REV!$C:$AA,25,0)-'TRADE IN'!$F285=0,"",(VLOOKUP($C285,REV!$C:$AA,25,0)-'TRADE IN'!$F285))</f>
        <v>1099</v>
      </c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7"/>
      <c r="AW285" s="58" t="str">
        <f>REV!AW285</f>
        <v>03.11.2026</v>
      </c>
      <c r="AX285" s="147" t="str">
        <f>VLOOKUP(C285,REV!C:AX,48,0)</f>
        <v>5G</v>
      </c>
    </row>
    <row r="286" spans="1:50" ht="22.5" customHeight="1">
      <c r="A286" s="64" t="s">
        <v>241</v>
      </c>
      <c r="B286" s="52" t="s">
        <v>64</v>
      </c>
      <c r="C286" s="53">
        <v>4017385</v>
      </c>
      <c r="D286" s="65" t="s">
        <v>446</v>
      </c>
      <c r="E286" s="65" t="s">
        <v>450</v>
      </c>
      <c r="F286" s="55"/>
      <c r="G286" s="55"/>
      <c r="H286" s="55"/>
      <c r="I286" s="55"/>
      <c r="J286" s="56">
        <f>IF(VLOOKUP($C286,REV!$C:$AA,8,0)-'TRADE IN'!$F286=0,"",(VLOOKUP($C286,REV!$C:$AA,8,0)-'TRADE IN'!$F286))</f>
        <v>1499</v>
      </c>
      <c r="K286" s="56">
        <f>IF(VLOOKUP($C286,REV!$C:$AA,9,0)-'TRADE IN'!$F286=0,"",(VLOOKUP($C286,REV!$C:$AA,9,0)-'TRADE IN'!$F286))</f>
        <v>1499</v>
      </c>
      <c r="L286" s="56">
        <f>IF(VLOOKUP($C286,REV!$C:$AA,10,0)-'TRADE IN'!$F286=0,"",(VLOOKUP($C286,REV!$C:$AA,10,0)-'TRADE IN'!$F286))</f>
        <v>1499</v>
      </c>
      <c r="M286" s="56">
        <f>IF(VLOOKUP($C286,REV!$C:$AA,11,0)-'TRADE IN'!$F286=0,"",(VLOOKUP($C286,REV!$C:$AA,11,0)-'TRADE IN'!$F286))</f>
        <v>1499</v>
      </c>
      <c r="N286" s="56">
        <f>IF(VLOOKUP($C286,REV!$C:$AA,12,0)-'TRADE IN'!$F286=0,"",(VLOOKUP($C286,REV!$C:$AA,12,0)-'TRADE IN'!$F286))</f>
        <v>1499</v>
      </c>
      <c r="O286" s="56">
        <f>IF(VLOOKUP($C286,REV!$C:$AA,13,0)-'TRADE IN'!$F286=0,"",(VLOOKUP($C286,REV!$C:$AA,13,0)-'TRADE IN'!$F286))</f>
        <v>1349</v>
      </c>
      <c r="P286" s="56">
        <f>IF(VLOOKUP($C286,REV!$C:$AA,14,0)-'TRADE IN'!$F286=0,"",(VLOOKUP($C286,REV!$C:$AA,14,0)-'TRADE IN'!$F286))</f>
        <v>1349</v>
      </c>
      <c r="Q286" s="56">
        <f>IF(VLOOKUP($C286,REV!$C:$AA,15,0)-'TRADE IN'!$F286=0,"",(VLOOKUP($C286,REV!$C:$AA,15,0)-'TRADE IN'!$F286))</f>
        <v>1299</v>
      </c>
      <c r="R286" s="56">
        <f>IF(VLOOKUP($C286,REV!$C:$AA,16,0)-'TRADE IN'!$F286=0,"",(VLOOKUP($C286,REV!$C:$AA,16,0)-'TRADE IN'!$F286))</f>
        <v>1349</v>
      </c>
      <c r="S286" s="56">
        <f>IF(VLOOKUP($C286,REV!$C:$AA,17,0)-'TRADE IN'!$F286=0,"",(VLOOKUP($C286,REV!$C:$AA,17,0)-'TRADE IN'!$F286))</f>
        <v>1349</v>
      </c>
      <c r="T286" s="56">
        <f>IF(VLOOKUP($C286,REV!$C:$AA,18,0)-'TRADE IN'!$F286=0,"",(VLOOKUP($C286,REV!$C:$AA,18,0)-'TRADE IN'!$F286))</f>
        <v>1299</v>
      </c>
      <c r="U286" s="56">
        <f>IF(VLOOKUP($C286,REV!$C:$AA,19,0)-'TRADE IN'!$F286=0,"",(VLOOKUP($C286,REV!$C:$AA,19,0)-'TRADE IN'!$F286))</f>
        <v>1299</v>
      </c>
      <c r="V286" s="56">
        <f>IF(VLOOKUP($C286,REV!$C:$AA,20,0)-'TRADE IN'!$F286=0,"",(VLOOKUP($C286,REV!$C:$AA,20,0)-'TRADE IN'!$F286))</f>
        <v>1299</v>
      </c>
      <c r="W286" s="56">
        <f>IF(VLOOKUP($C286,REV!$C:$AA,21,0)-'TRADE IN'!$F286=0,"",(VLOOKUP($C286,REV!$C:$AA,21,0)-'TRADE IN'!$F286))</f>
        <v>1299</v>
      </c>
      <c r="X286" s="56">
        <f>IF(VLOOKUP($C286,REV!$C:$AA,22,0)-'TRADE IN'!$F286=0,"",(VLOOKUP($C286,REV!$C:$AA,22,0)-'TRADE IN'!$F286))</f>
        <v>1199</v>
      </c>
      <c r="Y286" s="56">
        <f>IF(VLOOKUP($C286,REV!$C:$AA,23,0)-'TRADE IN'!$F286=0,"",(VLOOKUP($C286,REV!$C:$AA,23,0)-'TRADE IN'!$F286))</f>
        <v>1099</v>
      </c>
      <c r="Z286" s="56">
        <f>IF(VLOOKUP($C286,REV!$C:$AA,24,0)-'TRADE IN'!$F286=0,"",(VLOOKUP($C286,REV!$C:$AA,24,0)-'TRADE IN'!$F286))</f>
        <v>1099</v>
      </c>
      <c r="AA286" s="56">
        <f>IF(VLOOKUP($C286,REV!$C:$AA,25,0)-'TRADE IN'!$F286=0,"",(VLOOKUP($C286,REV!$C:$AA,25,0)-'TRADE IN'!$F286))</f>
        <v>1099</v>
      </c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7"/>
      <c r="AW286" s="58" t="str">
        <f>REV!AW286</f>
        <v>03.11.2026</v>
      </c>
      <c r="AX286" s="147" t="str">
        <f>VLOOKUP(C286,REV!C:AX,48,0)</f>
        <v>5G</v>
      </c>
    </row>
    <row r="287" spans="1:50" ht="22.5" customHeight="1">
      <c r="A287" s="64" t="s">
        <v>241</v>
      </c>
      <c r="B287" s="52" t="s">
        <v>64</v>
      </c>
      <c r="C287" s="53">
        <v>4017372</v>
      </c>
      <c r="D287" s="65" t="s">
        <v>446</v>
      </c>
      <c r="E287" s="65" t="s">
        <v>451</v>
      </c>
      <c r="F287" s="55"/>
      <c r="G287" s="55"/>
      <c r="H287" s="55"/>
      <c r="I287" s="55"/>
      <c r="J287" s="56">
        <f>IF(VLOOKUP($C287,REV!$C:$AA,8,0)-'TRADE IN'!$F287=0,"",(VLOOKUP($C287,REV!$C:$AA,8,0)-'TRADE IN'!$F287))</f>
        <v>1499</v>
      </c>
      <c r="K287" s="56">
        <f>IF(VLOOKUP($C287,REV!$C:$AA,9,0)-'TRADE IN'!$F287=0,"",(VLOOKUP($C287,REV!$C:$AA,9,0)-'TRADE IN'!$F287))</f>
        <v>1499</v>
      </c>
      <c r="L287" s="56">
        <f>IF(VLOOKUP($C287,REV!$C:$AA,10,0)-'TRADE IN'!$F287=0,"",(VLOOKUP($C287,REV!$C:$AA,10,0)-'TRADE IN'!$F287))</f>
        <v>1499</v>
      </c>
      <c r="M287" s="56">
        <f>IF(VLOOKUP($C287,REV!$C:$AA,11,0)-'TRADE IN'!$F287=0,"",(VLOOKUP($C287,REV!$C:$AA,11,0)-'TRADE IN'!$F287))</f>
        <v>1499</v>
      </c>
      <c r="N287" s="56">
        <f>IF(VLOOKUP($C287,REV!$C:$AA,12,0)-'TRADE IN'!$F287=0,"",(VLOOKUP($C287,REV!$C:$AA,12,0)-'TRADE IN'!$F287))</f>
        <v>1499</v>
      </c>
      <c r="O287" s="56">
        <f>IF(VLOOKUP($C287,REV!$C:$AA,13,0)-'TRADE IN'!$F287=0,"",(VLOOKUP($C287,REV!$C:$AA,13,0)-'TRADE IN'!$F287))</f>
        <v>1349</v>
      </c>
      <c r="P287" s="56">
        <f>IF(VLOOKUP($C287,REV!$C:$AA,14,0)-'TRADE IN'!$F287=0,"",(VLOOKUP($C287,REV!$C:$AA,14,0)-'TRADE IN'!$F287))</f>
        <v>1349</v>
      </c>
      <c r="Q287" s="56">
        <f>IF(VLOOKUP($C287,REV!$C:$AA,15,0)-'TRADE IN'!$F287=0,"",(VLOOKUP($C287,REV!$C:$AA,15,0)-'TRADE IN'!$F287))</f>
        <v>1299</v>
      </c>
      <c r="R287" s="56">
        <f>IF(VLOOKUP($C287,REV!$C:$AA,16,0)-'TRADE IN'!$F287=0,"",(VLOOKUP($C287,REV!$C:$AA,16,0)-'TRADE IN'!$F287))</f>
        <v>1349</v>
      </c>
      <c r="S287" s="56">
        <f>IF(VLOOKUP($C287,REV!$C:$AA,17,0)-'TRADE IN'!$F287=0,"",(VLOOKUP($C287,REV!$C:$AA,17,0)-'TRADE IN'!$F287))</f>
        <v>1349</v>
      </c>
      <c r="T287" s="56">
        <f>IF(VLOOKUP($C287,REV!$C:$AA,18,0)-'TRADE IN'!$F287=0,"",(VLOOKUP($C287,REV!$C:$AA,18,0)-'TRADE IN'!$F287))</f>
        <v>1299</v>
      </c>
      <c r="U287" s="56">
        <f>IF(VLOOKUP($C287,REV!$C:$AA,19,0)-'TRADE IN'!$F287=0,"",(VLOOKUP($C287,REV!$C:$AA,19,0)-'TRADE IN'!$F287))</f>
        <v>1299</v>
      </c>
      <c r="V287" s="56">
        <f>IF(VLOOKUP($C287,REV!$C:$AA,20,0)-'TRADE IN'!$F287=0,"",(VLOOKUP($C287,REV!$C:$AA,20,0)-'TRADE IN'!$F287))</f>
        <v>1299</v>
      </c>
      <c r="W287" s="56">
        <f>IF(VLOOKUP($C287,REV!$C:$AA,21,0)-'TRADE IN'!$F287=0,"",(VLOOKUP($C287,REV!$C:$AA,21,0)-'TRADE IN'!$F287))</f>
        <v>1299</v>
      </c>
      <c r="X287" s="56">
        <f>IF(VLOOKUP($C287,REV!$C:$AA,22,0)-'TRADE IN'!$F287=0,"",(VLOOKUP($C287,REV!$C:$AA,22,0)-'TRADE IN'!$F287))</f>
        <v>1199</v>
      </c>
      <c r="Y287" s="56">
        <f>IF(VLOOKUP($C287,REV!$C:$AA,23,0)-'TRADE IN'!$F287=0,"",(VLOOKUP($C287,REV!$C:$AA,23,0)-'TRADE IN'!$F287))</f>
        <v>1099</v>
      </c>
      <c r="Z287" s="56">
        <f>IF(VLOOKUP($C287,REV!$C:$AA,24,0)-'TRADE IN'!$F287=0,"",(VLOOKUP($C287,REV!$C:$AA,24,0)-'TRADE IN'!$F287))</f>
        <v>1099</v>
      </c>
      <c r="AA287" s="56">
        <f>IF(VLOOKUP($C287,REV!$C:$AA,25,0)-'TRADE IN'!$F287=0,"",(VLOOKUP($C287,REV!$C:$AA,25,0)-'TRADE IN'!$F287))</f>
        <v>1099</v>
      </c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7"/>
      <c r="AW287" s="58" t="str">
        <f>REV!AW287</f>
        <v>03.11.2026</v>
      </c>
      <c r="AX287" s="147" t="str">
        <f>VLOOKUP(C287,REV!C:AX,48,0)</f>
        <v>5G</v>
      </c>
    </row>
    <row r="288" spans="1:50" ht="22.5" customHeight="1">
      <c r="A288" s="64" t="s">
        <v>241</v>
      </c>
      <c r="B288" s="52" t="s">
        <v>64</v>
      </c>
      <c r="C288" s="53">
        <v>4014679</v>
      </c>
      <c r="D288" s="65" t="s">
        <v>452</v>
      </c>
      <c r="E288" s="65" t="s">
        <v>453</v>
      </c>
      <c r="F288" s="55"/>
      <c r="G288" s="55"/>
      <c r="H288" s="55"/>
      <c r="I288" s="55"/>
      <c r="J288" s="56">
        <f>IF(VLOOKUP($C288,REV!$C:$AA,8,0)-'TRADE IN'!$F288=0,"",(VLOOKUP($C288,REV!$C:$AA,8,0)-'TRADE IN'!$F288))</f>
        <v>499</v>
      </c>
      <c r="K288" s="56">
        <f>IF(VLOOKUP($C288,REV!$C:$AA,9,0)-'TRADE IN'!$F288=0,"",(VLOOKUP($C288,REV!$C:$AA,9,0)-'TRADE IN'!$F288))</f>
        <v>499</v>
      </c>
      <c r="L288" s="56">
        <f>IF(VLOOKUP($C288,REV!$C:$AA,10,0)-'TRADE IN'!$F288=0,"",(VLOOKUP($C288,REV!$C:$AA,10,0)-'TRADE IN'!$F288))</f>
        <v>499</v>
      </c>
      <c r="M288" s="56">
        <f>IF(VLOOKUP($C288,REV!$C:$AA,11,0)-'TRADE IN'!$F288=0,"",(VLOOKUP($C288,REV!$C:$AA,11,0)-'TRADE IN'!$F288))</f>
        <v>499</v>
      </c>
      <c r="N288" s="56">
        <f>IF(VLOOKUP($C288,REV!$C:$AA,12,0)-'TRADE IN'!$F288=0,"",(VLOOKUP($C288,REV!$C:$AA,12,0)-'TRADE IN'!$F288))</f>
        <v>499</v>
      </c>
      <c r="O288" s="56">
        <f>IF(VLOOKUP($C288,REV!$C:$AA,13,0)-'TRADE IN'!$F288=0,"",(VLOOKUP($C288,REV!$C:$AA,13,0)-'TRADE IN'!$F288))</f>
        <v>449</v>
      </c>
      <c r="P288" s="56">
        <f>IF(VLOOKUP($C288,REV!$C:$AA,14,0)-'TRADE IN'!$F288=0,"",(VLOOKUP($C288,REV!$C:$AA,14,0)-'TRADE IN'!$F288))</f>
        <v>449</v>
      </c>
      <c r="Q288" s="56">
        <f>IF(VLOOKUP($C288,REV!$C:$AA,15,0)-'TRADE IN'!$F288=0,"",(VLOOKUP($C288,REV!$C:$AA,15,0)-'TRADE IN'!$F288))</f>
        <v>449</v>
      </c>
      <c r="R288" s="56">
        <f>IF(VLOOKUP($C288,REV!$C:$AA,16,0)-'TRADE IN'!$F288=0,"",(VLOOKUP($C288,REV!$C:$AA,16,0)-'TRADE IN'!$F288))</f>
        <v>449</v>
      </c>
      <c r="S288" s="56">
        <f>IF(VLOOKUP($C288,REV!$C:$AA,17,0)-'TRADE IN'!$F288=0,"",(VLOOKUP($C288,REV!$C:$AA,17,0)-'TRADE IN'!$F288))</f>
        <v>449</v>
      </c>
      <c r="T288" s="56">
        <f>IF(VLOOKUP($C288,REV!$C:$AA,18,0)-'TRADE IN'!$F288=0,"",(VLOOKUP($C288,REV!$C:$AA,18,0)-'TRADE IN'!$F288))</f>
        <v>449</v>
      </c>
      <c r="U288" s="56">
        <f>IF(VLOOKUP($C288,REV!$C:$AA,19,0)-'TRADE IN'!$F288=0,"",(VLOOKUP($C288,REV!$C:$AA,19,0)-'TRADE IN'!$F288))</f>
        <v>449</v>
      </c>
      <c r="V288" s="56">
        <f>IF(VLOOKUP($C288,REV!$C:$AA,20,0)-'TRADE IN'!$F288=0,"",(VLOOKUP($C288,REV!$C:$AA,20,0)-'TRADE IN'!$F288))</f>
        <v>449</v>
      </c>
      <c r="W288" s="56">
        <f>IF(VLOOKUP($C288,REV!$C:$AA,21,0)-'TRADE IN'!$F288=0,"",(VLOOKUP($C288,REV!$C:$AA,21,0)-'TRADE IN'!$F288))</f>
        <v>449</v>
      </c>
      <c r="X288" s="56">
        <f>IF(VLOOKUP($C288,REV!$C:$AA,22,0)-'TRADE IN'!$F288=0,"",(VLOOKUP($C288,REV!$C:$AA,22,0)-'TRADE IN'!$F288))</f>
        <v>449</v>
      </c>
      <c r="Y288" s="56">
        <f>IF(VLOOKUP($C288,REV!$C:$AA,23,0)-'TRADE IN'!$F288=0,"",(VLOOKUP($C288,REV!$C:$AA,23,0)-'TRADE IN'!$F288))</f>
        <v>449</v>
      </c>
      <c r="Z288" s="56">
        <f>IF(VLOOKUP($C288,REV!$C:$AA,24,0)-'TRADE IN'!$F288=0,"",(VLOOKUP($C288,REV!$C:$AA,24,0)-'TRADE IN'!$F288))</f>
        <v>449</v>
      </c>
      <c r="AA288" s="56">
        <f>IF(VLOOKUP($C288,REV!$C:$AA,25,0)-'TRADE IN'!$F288=0,"",(VLOOKUP($C288,REV!$C:$AA,25,0)-'TRADE IN'!$F288))</f>
        <v>449</v>
      </c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7"/>
      <c r="AW288" s="58" t="str">
        <f>REV!AW288</f>
        <v>03.11.2026</v>
      </c>
      <c r="AX288" s="147" t="str">
        <f>VLOOKUP(C288,REV!C:AX,48,0)</f>
        <v>5G</v>
      </c>
    </row>
    <row r="289" spans="1:50" ht="22.5" customHeight="1">
      <c r="A289" s="64" t="s">
        <v>241</v>
      </c>
      <c r="B289" s="52" t="s">
        <v>64</v>
      </c>
      <c r="C289" s="53">
        <v>4015250</v>
      </c>
      <c r="D289" s="65" t="s">
        <v>454</v>
      </c>
      <c r="E289" s="65" t="s">
        <v>455</v>
      </c>
      <c r="F289" s="55"/>
      <c r="G289" s="55"/>
      <c r="H289" s="55"/>
      <c r="I289" s="55"/>
      <c r="J289" s="56">
        <f>IF(VLOOKUP($C289,REV!$C:$AA,8,0)-'TRADE IN'!$F289=0,"",(VLOOKUP($C289,REV!$C:$AA,8,0)-'TRADE IN'!$F289))</f>
        <v>769</v>
      </c>
      <c r="K289" s="56">
        <f>IF(VLOOKUP($C289,REV!$C:$AA,9,0)-'TRADE IN'!$F289=0,"",(VLOOKUP($C289,REV!$C:$AA,9,0)-'TRADE IN'!$F289))</f>
        <v>769</v>
      </c>
      <c r="L289" s="56">
        <f>IF(VLOOKUP($C289,REV!$C:$AA,10,0)-'TRADE IN'!$F289=0,"",(VLOOKUP($C289,REV!$C:$AA,10,0)-'TRADE IN'!$F289))</f>
        <v>769</v>
      </c>
      <c r="M289" s="56">
        <f>IF(VLOOKUP($C289,REV!$C:$AA,11,0)-'TRADE IN'!$F289=0,"",(VLOOKUP($C289,REV!$C:$AA,11,0)-'TRADE IN'!$F289))</f>
        <v>769</v>
      </c>
      <c r="N289" s="56">
        <f>IF(VLOOKUP($C289,REV!$C:$AA,12,0)-'TRADE IN'!$F289=0,"",(VLOOKUP($C289,REV!$C:$AA,12,0)-'TRADE IN'!$F289))</f>
        <v>769</v>
      </c>
      <c r="O289" s="56">
        <f>IF(VLOOKUP($C289,REV!$C:$AA,13,0)-'TRADE IN'!$F289=0,"",(VLOOKUP($C289,REV!$C:$AA,13,0)-'TRADE IN'!$F289))</f>
        <v>769</v>
      </c>
      <c r="P289" s="56">
        <f>IF(VLOOKUP($C289,REV!$C:$AA,14,0)-'TRADE IN'!$F289=0,"",(VLOOKUP($C289,REV!$C:$AA,14,0)-'TRADE IN'!$F289))</f>
        <v>769</v>
      </c>
      <c r="Q289" s="56">
        <f>IF(VLOOKUP($C289,REV!$C:$AA,15,0)-'TRADE IN'!$F289=0,"",(VLOOKUP($C289,REV!$C:$AA,15,0)-'TRADE IN'!$F289))</f>
        <v>769</v>
      </c>
      <c r="R289" s="56">
        <f>IF(VLOOKUP($C289,REV!$C:$AA,16,0)-'TRADE IN'!$F289=0,"",(VLOOKUP($C289,REV!$C:$AA,16,0)-'TRADE IN'!$F289))</f>
        <v>769</v>
      </c>
      <c r="S289" s="56">
        <f>IF(VLOOKUP($C289,REV!$C:$AA,17,0)-'TRADE IN'!$F289=0,"",(VLOOKUP($C289,REV!$C:$AA,17,0)-'TRADE IN'!$F289))</f>
        <v>769</v>
      </c>
      <c r="T289" s="56">
        <f>IF(VLOOKUP($C289,REV!$C:$AA,18,0)-'TRADE IN'!$F289=0,"",(VLOOKUP($C289,REV!$C:$AA,18,0)-'TRADE IN'!$F289))</f>
        <v>769</v>
      </c>
      <c r="U289" s="56">
        <f>IF(VLOOKUP($C289,REV!$C:$AA,19,0)-'TRADE IN'!$F289=0,"",(VLOOKUP($C289,REV!$C:$AA,19,0)-'TRADE IN'!$F289))</f>
        <v>769</v>
      </c>
      <c r="V289" s="56">
        <f>IF(VLOOKUP($C289,REV!$C:$AA,20,0)-'TRADE IN'!$F289=0,"",(VLOOKUP($C289,REV!$C:$AA,20,0)-'TRADE IN'!$F289))</f>
        <v>769</v>
      </c>
      <c r="W289" s="56">
        <f>IF(VLOOKUP($C289,REV!$C:$AA,21,0)-'TRADE IN'!$F289=0,"",(VLOOKUP($C289,REV!$C:$AA,21,0)-'TRADE IN'!$F289))</f>
        <v>769</v>
      </c>
      <c r="X289" s="56">
        <f>IF(VLOOKUP($C289,REV!$C:$AA,22,0)-'TRADE IN'!$F289=0,"",(VLOOKUP($C289,REV!$C:$AA,22,0)-'TRADE IN'!$F289))</f>
        <v>769</v>
      </c>
      <c r="Y289" s="56">
        <f>IF(VLOOKUP($C289,REV!$C:$AA,23,0)-'TRADE IN'!$F289=0,"",(VLOOKUP($C289,REV!$C:$AA,23,0)-'TRADE IN'!$F289))</f>
        <v>769</v>
      </c>
      <c r="Z289" s="56">
        <f>IF(VLOOKUP($C289,REV!$C:$AA,24,0)-'TRADE IN'!$F289=0,"",(VLOOKUP($C289,REV!$C:$AA,24,0)-'TRADE IN'!$F289))</f>
        <v>769</v>
      </c>
      <c r="AA289" s="56">
        <f>IF(VLOOKUP($C289,REV!$C:$AA,25,0)-'TRADE IN'!$F289=0,"",(VLOOKUP($C289,REV!$C:$AA,25,0)-'TRADE IN'!$F289))</f>
        <v>769</v>
      </c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7"/>
      <c r="AW289" s="58" t="str">
        <f>REV!AW289</f>
        <v>03.11.2026</v>
      </c>
      <c r="AX289" s="147" t="str">
        <f>VLOOKUP(C289,REV!C:AX,48,0)</f>
        <v>5G</v>
      </c>
    </row>
    <row r="290" spans="1:50" ht="22.5" customHeight="1">
      <c r="A290" s="64" t="s">
        <v>241</v>
      </c>
      <c r="B290" s="52" t="s">
        <v>64</v>
      </c>
      <c r="C290" s="53">
        <v>4015251</v>
      </c>
      <c r="D290" s="65" t="s">
        <v>454</v>
      </c>
      <c r="E290" s="65" t="s">
        <v>456</v>
      </c>
      <c r="F290" s="55"/>
      <c r="G290" s="55"/>
      <c r="H290" s="55"/>
      <c r="I290" s="55"/>
      <c r="J290" s="56">
        <f>IF(VLOOKUP($C290,REV!$C:$AA,8,0)-'TRADE IN'!$F290=0,"",(VLOOKUP($C290,REV!$C:$AA,8,0)-'TRADE IN'!$F290))</f>
        <v>769</v>
      </c>
      <c r="K290" s="56">
        <f>IF(VLOOKUP($C290,REV!$C:$AA,9,0)-'TRADE IN'!$F290=0,"",(VLOOKUP($C290,REV!$C:$AA,9,0)-'TRADE IN'!$F290))</f>
        <v>769</v>
      </c>
      <c r="L290" s="56">
        <f>IF(VLOOKUP($C290,REV!$C:$AA,10,0)-'TRADE IN'!$F290=0,"",(VLOOKUP($C290,REV!$C:$AA,10,0)-'TRADE IN'!$F290))</f>
        <v>769</v>
      </c>
      <c r="M290" s="56">
        <f>IF(VLOOKUP($C290,REV!$C:$AA,11,0)-'TRADE IN'!$F290=0,"",(VLOOKUP($C290,REV!$C:$AA,11,0)-'TRADE IN'!$F290))</f>
        <v>769</v>
      </c>
      <c r="N290" s="56">
        <f>IF(VLOOKUP($C290,REV!$C:$AA,12,0)-'TRADE IN'!$F290=0,"",(VLOOKUP($C290,REV!$C:$AA,12,0)-'TRADE IN'!$F290))</f>
        <v>769</v>
      </c>
      <c r="O290" s="56">
        <f>IF(VLOOKUP($C290,REV!$C:$AA,13,0)-'TRADE IN'!$F290=0,"",(VLOOKUP($C290,REV!$C:$AA,13,0)-'TRADE IN'!$F290))</f>
        <v>769</v>
      </c>
      <c r="P290" s="56">
        <f>IF(VLOOKUP($C290,REV!$C:$AA,14,0)-'TRADE IN'!$F290=0,"",(VLOOKUP($C290,REV!$C:$AA,14,0)-'TRADE IN'!$F290))</f>
        <v>769</v>
      </c>
      <c r="Q290" s="56">
        <f>IF(VLOOKUP($C290,REV!$C:$AA,15,0)-'TRADE IN'!$F290=0,"",(VLOOKUP($C290,REV!$C:$AA,15,0)-'TRADE IN'!$F290))</f>
        <v>769</v>
      </c>
      <c r="R290" s="56">
        <f>IF(VLOOKUP($C290,REV!$C:$AA,16,0)-'TRADE IN'!$F290=0,"",(VLOOKUP($C290,REV!$C:$AA,16,0)-'TRADE IN'!$F290))</f>
        <v>769</v>
      </c>
      <c r="S290" s="56">
        <f>IF(VLOOKUP($C290,REV!$C:$AA,17,0)-'TRADE IN'!$F290=0,"",(VLOOKUP($C290,REV!$C:$AA,17,0)-'TRADE IN'!$F290))</f>
        <v>769</v>
      </c>
      <c r="T290" s="56">
        <f>IF(VLOOKUP($C290,REV!$C:$AA,18,0)-'TRADE IN'!$F290=0,"",(VLOOKUP($C290,REV!$C:$AA,18,0)-'TRADE IN'!$F290))</f>
        <v>769</v>
      </c>
      <c r="U290" s="56">
        <f>IF(VLOOKUP($C290,REV!$C:$AA,19,0)-'TRADE IN'!$F290=0,"",(VLOOKUP($C290,REV!$C:$AA,19,0)-'TRADE IN'!$F290))</f>
        <v>769</v>
      </c>
      <c r="V290" s="56">
        <f>IF(VLOOKUP($C290,REV!$C:$AA,20,0)-'TRADE IN'!$F290=0,"",(VLOOKUP($C290,REV!$C:$AA,20,0)-'TRADE IN'!$F290))</f>
        <v>769</v>
      </c>
      <c r="W290" s="56">
        <f>IF(VLOOKUP($C290,REV!$C:$AA,21,0)-'TRADE IN'!$F290=0,"",(VLOOKUP($C290,REV!$C:$AA,21,0)-'TRADE IN'!$F290))</f>
        <v>769</v>
      </c>
      <c r="X290" s="56">
        <f>IF(VLOOKUP($C290,REV!$C:$AA,22,0)-'TRADE IN'!$F290=0,"",(VLOOKUP($C290,REV!$C:$AA,22,0)-'TRADE IN'!$F290))</f>
        <v>769</v>
      </c>
      <c r="Y290" s="56">
        <f>IF(VLOOKUP($C290,REV!$C:$AA,23,0)-'TRADE IN'!$F290=0,"",(VLOOKUP($C290,REV!$C:$AA,23,0)-'TRADE IN'!$F290))</f>
        <v>769</v>
      </c>
      <c r="Z290" s="56">
        <f>IF(VLOOKUP($C290,REV!$C:$AA,24,0)-'TRADE IN'!$F290=0,"",(VLOOKUP($C290,REV!$C:$AA,24,0)-'TRADE IN'!$F290))</f>
        <v>769</v>
      </c>
      <c r="AA290" s="56">
        <f>IF(VLOOKUP($C290,REV!$C:$AA,25,0)-'TRADE IN'!$F290=0,"",(VLOOKUP($C290,REV!$C:$AA,25,0)-'TRADE IN'!$F290))</f>
        <v>769</v>
      </c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7"/>
      <c r="AW290" s="58" t="str">
        <f>REV!AW290</f>
        <v>03.11.2026</v>
      </c>
      <c r="AX290" s="147" t="str">
        <f>VLOOKUP(C290,REV!C:AX,48,0)</f>
        <v>5G</v>
      </c>
    </row>
    <row r="291" spans="1:50" ht="22.5" customHeight="1">
      <c r="A291" s="64" t="s">
        <v>241</v>
      </c>
      <c r="B291" s="52" t="s">
        <v>64</v>
      </c>
      <c r="C291" s="53">
        <v>4016092</v>
      </c>
      <c r="D291" s="65" t="s">
        <v>457</v>
      </c>
      <c r="E291" s="65" t="s">
        <v>458</v>
      </c>
      <c r="F291" s="55"/>
      <c r="G291" s="55"/>
      <c r="H291" s="55"/>
      <c r="I291" s="55"/>
      <c r="J291" s="56">
        <f>IF(VLOOKUP($C291,REV!$C:$AA,8,0)-'TRADE IN'!$F291=0,"",(VLOOKUP($C291,REV!$C:$AA,8,0)-'TRADE IN'!$F291))</f>
        <v>699</v>
      </c>
      <c r="K291" s="56">
        <f>IF(VLOOKUP($C291,REV!$C:$AA,9,0)-'TRADE IN'!$F291=0,"",(VLOOKUP($C291,REV!$C:$AA,9,0)-'TRADE IN'!$F291))</f>
        <v>699</v>
      </c>
      <c r="L291" s="56">
        <f>IF(VLOOKUP($C291,REV!$C:$AA,10,0)-'TRADE IN'!$F291=0,"",(VLOOKUP($C291,REV!$C:$AA,10,0)-'TRADE IN'!$F291))</f>
        <v>699</v>
      </c>
      <c r="M291" s="56">
        <f>IF(VLOOKUP($C291,REV!$C:$AA,11,0)-'TRADE IN'!$F291=0,"",(VLOOKUP($C291,REV!$C:$AA,11,0)-'TRADE IN'!$F291))</f>
        <v>699</v>
      </c>
      <c r="N291" s="56">
        <f>IF(VLOOKUP($C291,REV!$C:$AA,12,0)-'TRADE IN'!$F291=0,"",(VLOOKUP($C291,REV!$C:$AA,12,0)-'TRADE IN'!$F291))</f>
        <v>699</v>
      </c>
      <c r="O291" s="56">
        <f>IF(VLOOKUP($C291,REV!$C:$AA,13,0)-'TRADE IN'!$F291=0,"",(VLOOKUP($C291,REV!$C:$AA,13,0)-'TRADE IN'!$F291))</f>
        <v>699</v>
      </c>
      <c r="P291" s="56">
        <f>IF(VLOOKUP($C291,REV!$C:$AA,14,0)-'TRADE IN'!$F291=0,"",(VLOOKUP($C291,REV!$C:$AA,14,0)-'TRADE IN'!$F291))</f>
        <v>699</v>
      </c>
      <c r="Q291" s="56">
        <f>IF(VLOOKUP($C291,REV!$C:$AA,15,0)-'TRADE IN'!$F291=0,"",(VLOOKUP($C291,REV!$C:$AA,15,0)-'TRADE IN'!$F291))</f>
        <v>699</v>
      </c>
      <c r="R291" s="56">
        <f>IF(VLOOKUP($C291,REV!$C:$AA,16,0)-'TRADE IN'!$F291=0,"",(VLOOKUP($C291,REV!$C:$AA,16,0)-'TRADE IN'!$F291))</f>
        <v>699</v>
      </c>
      <c r="S291" s="56">
        <f>IF(VLOOKUP($C291,REV!$C:$AA,17,0)-'TRADE IN'!$F291=0,"",(VLOOKUP($C291,REV!$C:$AA,17,0)-'TRADE IN'!$F291))</f>
        <v>699</v>
      </c>
      <c r="T291" s="56">
        <f>IF(VLOOKUP($C291,REV!$C:$AA,18,0)-'TRADE IN'!$F291=0,"",(VLOOKUP($C291,REV!$C:$AA,18,0)-'TRADE IN'!$F291))</f>
        <v>699</v>
      </c>
      <c r="U291" s="56">
        <f>IF(VLOOKUP($C291,REV!$C:$AA,19,0)-'TRADE IN'!$F291=0,"",(VLOOKUP($C291,REV!$C:$AA,19,0)-'TRADE IN'!$F291))</f>
        <v>699</v>
      </c>
      <c r="V291" s="56">
        <f>IF(VLOOKUP($C291,REV!$C:$AA,20,0)-'TRADE IN'!$F291=0,"",(VLOOKUP($C291,REV!$C:$AA,20,0)-'TRADE IN'!$F291))</f>
        <v>699</v>
      </c>
      <c r="W291" s="56">
        <f>IF(VLOOKUP($C291,REV!$C:$AA,21,0)-'TRADE IN'!$F291=0,"",(VLOOKUP($C291,REV!$C:$AA,21,0)-'TRADE IN'!$F291))</f>
        <v>699</v>
      </c>
      <c r="X291" s="56">
        <f>IF(VLOOKUP($C291,REV!$C:$AA,22,0)-'TRADE IN'!$F291=0,"",(VLOOKUP($C291,REV!$C:$AA,22,0)-'TRADE IN'!$F291))</f>
        <v>699</v>
      </c>
      <c r="Y291" s="56">
        <f>IF(VLOOKUP($C291,REV!$C:$AA,23,0)-'TRADE IN'!$F291=0,"",(VLOOKUP($C291,REV!$C:$AA,23,0)-'TRADE IN'!$F291))</f>
        <v>699</v>
      </c>
      <c r="Z291" s="56">
        <f>IF(VLOOKUP($C291,REV!$C:$AA,24,0)-'TRADE IN'!$F291=0,"",(VLOOKUP($C291,REV!$C:$AA,24,0)-'TRADE IN'!$F291))</f>
        <v>699</v>
      </c>
      <c r="AA291" s="56">
        <f>IF(VLOOKUP($C291,REV!$C:$AA,25,0)-'TRADE IN'!$F291=0,"",(VLOOKUP($C291,REV!$C:$AA,25,0)-'TRADE IN'!$F291))</f>
        <v>699</v>
      </c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7"/>
      <c r="AW291" s="58" t="str">
        <f>REV!AW291</f>
        <v>03.11.2026</v>
      </c>
      <c r="AX291" s="147" t="str">
        <f>VLOOKUP(C291,REV!C:AX,48,0)</f>
        <v>5G</v>
      </c>
    </row>
    <row r="292" spans="1:50" ht="22.5" customHeight="1">
      <c r="A292" s="64" t="s">
        <v>241</v>
      </c>
      <c r="B292" s="52" t="s">
        <v>64</v>
      </c>
      <c r="C292" s="53">
        <v>4016095</v>
      </c>
      <c r="D292" s="65" t="s">
        <v>457</v>
      </c>
      <c r="E292" s="65" t="s">
        <v>459</v>
      </c>
      <c r="F292" s="55"/>
      <c r="G292" s="55"/>
      <c r="H292" s="55"/>
      <c r="I292" s="55"/>
      <c r="J292" s="56">
        <f>IF(VLOOKUP($C292,REV!$C:$AA,8,0)-'TRADE IN'!$F292=0,"",(VLOOKUP($C292,REV!$C:$AA,8,0)-'TRADE IN'!$F292))</f>
        <v>699</v>
      </c>
      <c r="K292" s="56">
        <f>IF(VLOOKUP($C292,REV!$C:$AA,9,0)-'TRADE IN'!$F292=0,"",(VLOOKUP($C292,REV!$C:$AA,9,0)-'TRADE IN'!$F292))</f>
        <v>699</v>
      </c>
      <c r="L292" s="56">
        <f>IF(VLOOKUP($C292,REV!$C:$AA,10,0)-'TRADE IN'!$F292=0,"",(VLOOKUP($C292,REV!$C:$AA,10,0)-'TRADE IN'!$F292))</f>
        <v>699</v>
      </c>
      <c r="M292" s="56">
        <f>IF(VLOOKUP($C292,REV!$C:$AA,11,0)-'TRADE IN'!$F292=0,"",(VLOOKUP($C292,REV!$C:$AA,11,0)-'TRADE IN'!$F292))</f>
        <v>699</v>
      </c>
      <c r="N292" s="56">
        <f>IF(VLOOKUP($C292,REV!$C:$AA,12,0)-'TRADE IN'!$F292=0,"",(VLOOKUP($C292,REV!$C:$AA,12,0)-'TRADE IN'!$F292))</f>
        <v>699</v>
      </c>
      <c r="O292" s="56">
        <f>IF(VLOOKUP($C292,REV!$C:$AA,13,0)-'TRADE IN'!$F292=0,"",(VLOOKUP($C292,REV!$C:$AA,13,0)-'TRADE IN'!$F292))</f>
        <v>699</v>
      </c>
      <c r="P292" s="56">
        <f>IF(VLOOKUP($C292,REV!$C:$AA,14,0)-'TRADE IN'!$F292=0,"",(VLOOKUP($C292,REV!$C:$AA,14,0)-'TRADE IN'!$F292))</f>
        <v>699</v>
      </c>
      <c r="Q292" s="56">
        <f>IF(VLOOKUP($C292,REV!$C:$AA,15,0)-'TRADE IN'!$F292=0,"",(VLOOKUP($C292,REV!$C:$AA,15,0)-'TRADE IN'!$F292))</f>
        <v>699</v>
      </c>
      <c r="R292" s="56">
        <f>IF(VLOOKUP($C292,REV!$C:$AA,16,0)-'TRADE IN'!$F292=0,"",(VLOOKUP($C292,REV!$C:$AA,16,0)-'TRADE IN'!$F292))</f>
        <v>699</v>
      </c>
      <c r="S292" s="56">
        <f>IF(VLOOKUP($C292,REV!$C:$AA,17,0)-'TRADE IN'!$F292=0,"",(VLOOKUP($C292,REV!$C:$AA,17,0)-'TRADE IN'!$F292))</f>
        <v>699</v>
      </c>
      <c r="T292" s="56">
        <f>IF(VLOOKUP($C292,REV!$C:$AA,18,0)-'TRADE IN'!$F292=0,"",(VLOOKUP($C292,REV!$C:$AA,18,0)-'TRADE IN'!$F292))</f>
        <v>699</v>
      </c>
      <c r="U292" s="56">
        <f>IF(VLOOKUP($C292,REV!$C:$AA,19,0)-'TRADE IN'!$F292=0,"",(VLOOKUP($C292,REV!$C:$AA,19,0)-'TRADE IN'!$F292))</f>
        <v>699</v>
      </c>
      <c r="V292" s="56">
        <f>IF(VLOOKUP($C292,REV!$C:$AA,20,0)-'TRADE IN'!$F292=0,"",(VLOOKUP($C292,REV!$C:$AA,20,0)-'TRADE IN'!$F292))</f>
        <v>699</v>
      </c>
      <c r="W292" s="56">
        <f>IF(VLOOKUP($C292,REV!$C:$AA,21,0)-'TRADE IN'!$F292=0,"",(VLOOKUP($C292,REV!$C:$AA,21,0)-'TRADE IN'!$F292))</f>
        <v>699</v>
      </c>
      <c r="X292" s="56">
        <f>IF(VLOOKUP($C292,REV!$C:$AA,22,0)-'TRADE IN'!$F292=0,"",(VLOOKUP($C292,REV!$C:$AA,22,0)-'TRADE IN'!$F292))</f>
        <v>699</v>
      </c>
      <c r="Y292" s="56">
        <f>IF(VLOOKUP($C292,REV!$C:$AA,23,0)-'TRADE IN'!$F292=0,"",(VLOOKUP($C292,REV!$C:$AA,23,0)-'TRADE IN'!$F292))</f>
        <v>699</v>
      </c>
      <c r="Z292" s="56">
        <f>IF(VLOOKUP($C292,REV!$C:$AA,24,0)-'TRADE IN'!$F292=0,"",(VLOOKUP($C292,REV!$C:$AA,24,0)-'TRADE IN'!$F292))</f>
        <v>699</v>
      </c>
      <c r="AA292" s="56">
        <f>IF(VLOOKUP($C292,REV!$C:$AA,25,0)-'TRADE IN'!$F292=0,"",(VLOOKUP($C292,REV!$C:$AA,25,0)-'TRADE IN'!$F292))</f>
        <v>699</v>
      </c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7"/>
      <c r="AW292" s="58" t="str">
        <f>REV!AW292</f>
        <v>03.11.2026</v>
      </c>
      <c r="AX292" s="147" t="str">
        <f>VLOOKUP(C292,REV!C:AX,48,0)</f>
        <v>5G</v>
      </c>
    </row>
    <row r="293" spans="1:50" ht="22.5" customHeight="1">
      <c r="A293" s="64" t="s">
        <v>241</v>
      </c>
      <c r="B293" s="52" t="s">
        <v>64</v>
      </c>
      <c r="C293" s="53">
        <v>4014161</v>
      </c>
      <c r="D293" s="65" t="s">
        <v>460</v>
      </c>
      <c r="E293" s="65" t="s">
        <v>461</v>
      </c>
      <c r="F293" s="55"/>
      <c r="G293" s="55"/>
      <c r="H293" s="55"/>
      <c r="I293" s="55"/>
      <c r="J293" s="56">
        <f>IF(VLOOKUP($C293,REV!$C:$AA,8,0)-'TRADE IN'!$F293=0,"",(VLOOKUP($C293,REV!$C:$AA,8,0)-'TRADE IN'!$F293))</f>
        <v>599</v>
      </c>
      <c r="K293" s="56">
        <f>IF(VLOOKUP($C293,REV!$C:$AA,9,0)-'TRADE IN'!$F293=0,"",(VLOOKUP($C293,REV!$C:$AA,9,0)-'TRADE IN'!$F293))</f>
        <v>599</v>
      </c>
      <c r="L293" s="56">
        <f>IF(VLOOKUP($C293,REV!$C:$AA,10,0)-'TRADE IN'!$F293=0,"",(VLOOKUP($C293,REV!$C:$AA,10,0)-'TRADE IN'!$F293))</f>
        <v>599</v>
      </c>
      <c r="M293" s="56">
        <f>IF(VLOOKUP($C293,REV!$C:$AA,11,0)-'TRADE IN'!$F293=0,"",(VLOOKUP($C293,REV!$C:$AA,11,0)-'TRADE IN'!$F293))</f>
        <v>599</v>
      </c>
      <c r="N293" s="56">
        <f>IF(VLOOKUP($C293,REV!$C:$AA,12,0)-'TRADE IN'!$F293=0,"",(VLOOKUP($C293,REV!$C:$AA,12,0)-'TRADE IN'!$F293))</f>
        <v>599</v>
      </c>
      <c r="O293" s="56">
        <f>IF(VLOOKUP($C293,REV!$C:$AA,13,0)-'TRADE IN'!$F293=0,"",(VLOOKUP($C293,REV!$C:$AA,13,0)-'TRADE IN'!$F293))</f>
        <v>549</v>
      </c>
      <c r="P293" s="56">
        <f>IF(VLOOKUP($C293,REV!$C:$AA,14,0)-'TRADE IN'!$F293=0,"",(VLOOKUP($C293,REV!$C:$AA,14,0)-'TRADE IN'!$F293))</f>
        <v>499</v>
      </c>
      <c r="Q293" s="56">
        <f>IF(VLOOKUP($C293,REV!$C:$AA,15,0)-'TRADE IN'!$F293=0,"",(VLOOKUP($C293,REV!$C:$AA,15,0)-'TRADE IN'!$F293))</f>
        <v>399</v>
      </c>
      <c r="R293" s="56">
        <f>IF(VLOOKUP($C293,REV!$C:$AA,16,0)-'TRADE IN'!$F293=0,"",(VLOOKUP($C293,REV!$C:$AA,16,0)-'TRADE IN'!$F293))</f>
        <v>549</v>
      </c>
      <c r="S293" s="56">
        <f>IF(VLOOKUP($C293,REV!$C:$AA,17,0)-'TRADE IN'!$F293=0,"",(VLOOKUP($C293,REV!$C:$AA,17,0)-'TRADE IN'!$F293))</f>
        <v>499</v>
      </c>
      <c r="T293" s="56">
        <f>IF(VLOOKUP($C293,REV!$C:$AA,18,0)-'TRADE IN'!$F293=0,"",(VLOOKUP($C293,REV!$C:$AA,18,0)-'TRADE IN'!$F293))</f>
        <v>399</v>
      </c>
      <c r="U293" s="56">
        <f>IF(VLOOKUP($C293,REV!$C:$AA,19,0)-'TRADE IN'!$F293=0,"",(VLOOKUP($C293,REV!$C:$AA,19,0)-'TRADE IN'!$F293))</f>
        <v>399</v>
      </c>
      <c r="V293" s="56">
        <f>IF(VLOOKUP($C293,REV!$C:$AA,20,0)-'TRADE IN'!$F293=0,"",(VLOOKUP($C293,REV!$C:$AA,20,0)-'TRADE IN'!$F293))</f>
        <v>399</v>
      </c>
      <c r="W293" s="56">
        <f>IF(VLOOKUP($C293,REV!$C:$AA,21,0)-'TRADE IN'!$F293=0,"",(VLOOKUP($C293,REV!$C:$AA,21,0)-'TRADE IN'!$F293))</f>
        <v>399</v>
      </c>
      <c r="X293" s="56">
        <f>IF(VLOOKUP($C293,REV!$C:$AA,22,0)-'TRADE IN'!$F293=0,"",(VLOOKUP($C293,REV!$C:$AA,22,0)-'TRADE IN'!$F293))</f>
        <v>399</v>
      </c>
      <c r="Y293" s="56">
        <f>IF(VLOOKUP($C293,REV!$C:$AA,23,0)-'TRADE IN'!$F293=0,"",(VLOOKUP($C293,REV!$C:$AA,23,0)-'TRADE IN'!$F293))</f>
        <v>399</v>
      </c>
      <c r="Z293" s="56">
        <f>IF(VLOOKUP($C293,REV!$C:$AA,24,0)-'TRADE IN'!$F293=0,"",(VLOOKUP($C293,REV!$C:$AA,24,0)-'TRADE IN'!$F293))</f>
        <v>399</v>
      </c>
      <c r="AA293" s="56">
        <f>IF(VLOOKUP($C293,REV!$C:$AA,25,0)-'TRADE IN'!$F293=0,"",(VLOOKUP($C293,REV!$C:$AA,25,0)-'TRADE IN'!$F293))</f>
        <v>399</v>
      </c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7"/>
      <c r="AW293" s="58" t="str">
        <f>REV!AW293</f>
        <v>03.11.2026</v>
      </c>
      <c r="AX293" s="147" t="str">
        <f>VLOOKUP(C293,REV!C:AX,48,0)</f>
        <v>5G</v>
      </c>
    </row>
    <row r="294" spans="1:50" ht="22.5" customHeight="1">
      <c r="A294" s="64" t="s">
        <v>241</v>
      </c>
      <c r="B294" s="52" t="s">
        <v>64</v>
      </c>
      <c r="C294" s="53">
        <v>4015441</v>
      </c>
      <c r="D294" s="65" t="s">
        <v>462</v>
      </c>
      <c r="E294" s="65" t="s">
        <v>463</v>
      </c>
      <c r="F294" s="55"/>
      <c r="G294" s="55"/>
      <c r="H294" s="55"/>
      <c r="I294" s="55"/>
      <c r="J294" s="56">
        <f>IF(VLOOKUP($C294,REV!$C:$AA,8,0)-'TRADE IN'!$F294=0,"",(VLOOKUP($C294,REV!$C:$AA,8,0)-'TRADE IN'!$F294))</f>
        <v>999</v>
      </c>
      <c r="K294" s="56">
        <f>IF(VLOOKUP($C294,REV!$C:$AA,9,0)-'TRADE IN'!$F294=0,"",(VLOOKUP($C294,REV!$C:$AA,9,0)-'TRADE IN'!$F294))</f>
        <v>999</v>
      </c>
      <c r="L294" s="56">
        <f>IF(VLOOKUP($C294,REV!$C:$AA,10,0)-'TRADE IN'!$F294=0,"",(VLOOKUP($C294,REV!$C:$AA,10,0)-'TRADE IN'!$F294))</f>
        <v>999</v>
      </c>
      <c r="M294" s="56">
        <f>IF(VLOOKUP($C294,REV!$C:$AA,11,0)-'TRADE IN'!$F294=0,"",(VLOOKUP($C294,REV!$C:$AA,11,0)-'TRADE IN'!$F294))</f>
        <v>999</v>
      </c>
      <c r="N294" s="56">
        <f>IF(VLOOKUP($C294,REV!$C:$AA,12,0)-'TRADE IN'!$F294=0,"",(VLOOKUP($C294,REV!$C:$AA,12,0)-'TRADE IN'!$F294))</f>
        <v>999</v>
      </c>
      <c r="O294" s="56">
        <f>IF(VLOOKUP($C294,REV!$C:$AA,13,0)-'TRADE IN'!$F294=0,"",(VLOOKUP($C294,REV!$C:$AA,13,0)-'TRADE IN'!$F294))</f>
        <v>899</v>
      </c>
      <c r="P294" s="56">
        <f>IF(VLOOKUP($C294,REV!$C:$AA,14,0)-'TRADE IN'!$F294=0,"",(VLOOKUP($C294,REV!$C:$AA,14,0)-'TRADE IN'!$F294))</f>
        <v>799</v>
      </c>
      <c r="Q294" s="56">
        <f>IF(VLOOKUP($C294,REV!$C:$AA,15,0)-'TRADE IN'!$F294=0,"",(VLOOKUP($C294,REV!$C:$AA,15,0)-'TRADE IN'!$F294))</f>
        <v>699</v>
      </c>
      <c r="R294" s="56">
        <f>IF(VLOOKUP($C294,REV!$C:$AA,16,0)-'TRADE IN'!$F294=0,"",(VLOOKUP($C294,REV!$C:$AA,16,0)-'TRADE IN'!$F294))</f>
        <v>899</v>
      </c>
      <c r="S294" s="56">
        <f>IF(VLOOKUP($C294,REV!$C:$AA,17,0)-'TRADE IN'!$F294=0,"",(VLOOKUP($C294,REV!$C:$AA,17,0)-'TRADE IN'!$F294))</f>
        <v>799</v>
      </c>
      <c r="T294" s="56">
        <f>IF(VLOOKUP($C294,REV!$C:$AA,18,0)-'TRADE IN'!$F294=0,"",(VLOOKUP($C294,REV!$C:$AA,18,0)-'TRADE IN'!$F294))</f>
        <v>699</v>
      </c>
      <c r="U294" s="56">
        <f>IF(VLOOKUP($C294,REV!$C:$AA,19,0)-'TRADE IN'!$F294=0,"",(VLOOKUP($C294,REV!$C:$AA,19,0)-'TRADE IN'!$F294))</f>
        <v>699</v>
      </c>
      <c r="V294" s="56">
        <f>IF(VLOOKUP($C294,REV!$C:$AA,20,0)-'TRADE IN'!$F294=0,"",(VLOOKUP($C294,REV!$C:$AA,20,0)-'TRADE IN'!$F294))</f>
        <v>699</v>
      </c>
      <c r="W294" s="56">
        <f>IF(VLOOKUP($C294,REV!$C:$AA,21,0)-'TRADE IN'!$F294=0,"",(VLOOKUP($C294,REV!$C:$AA,21,0)-'TRADE IN'!$F294))</f>
        <v>699</v>
      </c>
      <c r="X294" s="56">
        <f>IF(VLOOKUP($C294,REV!$C:$AA,22,0)-'TRADE IN'!$F294=0,"",(VLOOKUP($C294,REV!$C:$AA,22,0)-'TRADE IN'!$F294))</f>
        <v>649</v>
      </c>
      <c r="Y294" s="56">
        <f>IF(VLOOKUP($C294,REV!$C:$AA,23,0)-'TRADE IN'!$F294=0,"",(VLOOKUP($C294,REV!$C:$AA,23,0)-'TRADE IN'!$F294))</f>
        <v>599</v>
      </c>
      <c r="Z294" s="56">
        <f>IF(VLOOKUP($C294,REV!$C:$AA,24,0)-'TRADE IN'!$F294=0,"",(VLOOKUP($C294,REV!$C:$AA,24,0)-'TRADE IN'!$F294))</f>
        <v>599</v>
      </c>
      <c r="AA294" s="56">
        <f>IF(VLOOKUP($C294,REV!$C:$AA,25,0)-'TRADE IN'!$F294=0,"",(VLOOKUP($C294,REV!$C:$AA,25,0)-'TRADE IN'!$F294))</f>
        <v>579</v>
      </c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7"/>
      <c r="AW294" s="58" t="str">
        <f>REV!AW294</f>
        <v>03.11.2026</v>
      </c>
      <c r="AX294" s="147" t="str">
        <f>VLOOKUP(C294,REV!C:AX,48,0)</f>
        <v>5G</v>
      </c>
    </row>
    <row r="295" spans="1:50" ht="22.5" customHeight="1">
      <c r="A295" s="64" t="s">
        <v>241</v>
      </c>
      <c r="B295" s="52" t="s">
        <v>64</v>
      </c>
      <c r="C295" s="53">
        <v>4015447</v>
      </c>
      <c r="D295" s="65" t="s">
        <v>462</v>
      </c>
      <c r="E295" s="65" t="s">
        <v>464</v>
      </c>
      <c r="F295" s="55"/>
      <c r="G295" s="55"/>
      <c r="H295" s="55"/>
      <c r="I295" s="55"/>
      <c r="J295" s="56">
        <f>IF(VLOOKUP($C295,REV!$C:$AA,8,0)-'TRADE IN'!$F295=0,"",(VLOOKUP($C295,REV!$C:$AA,8,0)-'TRADE IN'!$F295))</f>
        <v>999</v>
      </c>
      <c r="K295" s="56">
        <f>IF(VLOOKUP($C295,REV!$C:$AA,9,0)-'TRADE IN'!$F295=0,"",(VLOOKUP($C295,REV!$C:$AA,9,0)-'TRADE IN'!$F295))</f>
        <v>999</v>
      </c>
      <c r="L295" s="56">
        <f>IF(VLOOKUP($C295,REV!$C:$AA,10,0)-'TRADE IN'!$F295=0,"",(VLOOKUP($C295,REV!$C:$AA,10,0)-'TRADE IN'!$F295))</f>
        <v>999</v>
      </c>
      <c r="M295" s="56">
        <f>IF(VLOOKUP($C295,REV!$C:$AA,11,0)-'TRADE IN'!$F295=0,"",(VLOOKUP($C295,REV!$C:$AA,11,0)-'TRADE IN'!$F295))</f>
        <v>999</v>
      </c>
      <c r="N295" s="56">
        <f>IF(VLOOKUP($C295,REV!$C:$AA,12,0)-'TRADE IN'!$F295=0,"",(VLOOKUP($C295,REV!$C:$AA,12,0)-'TRADE IN'!$F295))</f>
        <v>999</v>
      </c>
      <c r="O295" s="56">
        <f>IF(VLOOKUP($C295,REV!$C:$AA,13,0)-'TRADE IN'!$F295=0,"",(VLOOKUP($C295,REV!$C:$AA,13,0)-'TRADE IN'!$F295))</f>
        <v>899</v>
      </c>
      <c r="P295" s="56">
        <f>IF(VLOOKUP($C295,REV!$C:$AA,14,0)-'TRADE IN'!$F295=0,"",(VLOOKUP($C295,REV!$C:$AA,14,0)-'TRADE IN'!$F295))</f>
        <v>799</v>
      </c>
      <c r="Q295" s="56">
        <f>IF(VLOOKUP($C295,REV!$C:$AA,15,0)-'TRADE IN'!$F295=0,"",(VLOOKUP($C295,REV!$C:$AA,15,0)-'TRADE IN'!$F295))</f>
        <v>699</v>
      </c>
      <c r="R295" s="56">
        <f>IF(VLOOKUP($C295,REV!$C:$AA,16,0)-'TRADE IN'!$F295=0,"",(VLOOKUP($C295,REV!$C:$AA,16,0)-'TRADE IN'!$F295))</f>
        <v>899</v>
      </c>
      <c r="S295" s="56">
        <f>IF(VLOOKUP($C295,REV!$C:$AA,17,0)-'TRADE IN'!$F295=0,"",(VLOOKUP($C295,REV!$C:$AA,17,0)-'TRADE IN'!$F295))</f>
        <v>799</v>
      </c>
      <c r="T295" s="56">
        <f>IF(VLOOKUP($C295,REV!$C:$AA,18,0)-'TRADE IN'!$F295=0,"",(VLOOKUP($C295,REV!$C:$AA,18,0)-'TRADE IN'!$F295))</f>
        <v>699</v>
      </c>
      <c r="U295" s="56">
        <f>IF(VLOOKUP($C295,REV!$C:$AA,19,0)-'TRADE IN'!$F295=0,"",(VLOOKUP($C295,REV!$C:$AA,19,0)-'TRADE IN'!$F295))</f>
        <v>699</v>
      </c>
      <c r="V295" s="56">
        <f>IF(VLOOKUP($C295,REV!$C:$AA,20,0)-'TRADE IN'!$F295=0,"",(VLOOKUP($C295,REV!$C:$AA,20,0)-'TRADE IN'!$F295))</f>
        <v>699</v>
      </c>
      <c r="W295" s="56">
        <f>IF(VLOOKUP($C295,REV!$C:$AA,21,0)-'TRADE IN'!$F295=0,"",(VLOOKUP($C295,REV!$C:$AA,21,0)-'TRADE IN'!$F295))</f>
        <v>699</v>
      </c>
      <c r="X295" s="56">
        <f>IF(VLOOKUP($C295,REV!$C:$AA,22,0)-'TRADE IN'!$F295=0,"",(VLOOKUP($C295,REV!$C:$AA,22,0)-'TRADE IN'!$F295))</f>
        <v>649</v>
      </c>
      <c r="Y295" s="56">
        <f>IF(VLOOKUP($C295,REV!$C:$AA,23,0)-'TRADE IN'!$F295=0,"",(VLOOKUP($C295,REV!$C:$AA,23,0)-'TRADE IN'!$F295))</f>
        <v>599</v>
      </c>
      <c r="Z295" s="56">
        <f>IF(VLOOKUP($C295,REV!$C:$AA,24,0)-'TRADE IN'!$F295=0,"",(VLOOKUP($C295,REV!$C:$AA,24,0)-'TRADE IN'!$F295))</f>
        <v>599</v>
      </c>
      <c r="AA295" s="56">
        <f>IF(VLOOKUP($C295,REV!$C:$AA,25,0)-'TRADE IN'!$F295=0,"",(VLOOKUP($C295,REV!$C:$AA,25,0)-'TRADE IN'!$F295))</f>
        <v>579</v>
      </c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7"/>
      <c r="AW295" s="58" t="str">
        <f>REV!AW295</f>
        <v>03.11.2026</v>
      </c>
      <c r="AX295" s="147" t="str">
        <f>VLOOKUP(C295,REV!C:AX,48,0)</f>
        <v>5G</v>
      </c>
    </row>
    <row r="296" spans="1:50" ht="22.5" customHeight="1">
      <c r="A296" s="64" t="s">
        <v>241</v>
      </c>
      <c r="B296" s="52" t="s">
        <v>64</v>
      </c>
      <c r="C296" s="53">
        <v>4015915</v>
      </c>
      <c r="D296" s="65" t="s">
        <v>462</v>
      </c>
      <c r="E296" s="65" t="s">
        <v>465</v>
      </c>
      <c r="F296" s="55"/>
      <c r="G296" s="55"/>
      <c r="H296" s="55"/>
      <c r="I296" s="55"/>
      <c r="J296" s="56">
        <f>IF(VLOOKUP($C296,REV!$C:$AA,8,0)-'TRADE IN'!$F296=0,"",(VLOOKUP($C296,REV!$C:$AA,8,0)-'TRADE IN'!$F296))</f>
        <v>999</v>
      </c>
      <c r="K296" s="56">
        <f>IF(VLOOKUP($C296,REV!$C:$AA,9,0)-'TRADE IN'!$F296=0,"",(VLOOKUP($C296,REV!$C:$AA,9,0)-'TRADE IN'!$F296))</f>
        <v>999</v>
      </c>
      <c r="L296" s="56">
        <f>IF(VLOOKUP($C296,REV!$C:$AA,10,0)-'TRADE IN'!$F296=0,"",(VLOOKUP($C296,REV!$C:$AA,10,0)-'TRADE IN'!$F296))</f>
        <v>999</v>
      </c>
      <c r="M296" s="56">
        <f>IF(VLOOKUP($C296,REV!$C:$AA,11,0)-'TRADE IN'!$F296=0,"",(VLOOKUP($C296,REV!$C:$AA,11,0)-'TRADE IN'!$F296))</f>
        <v>999</v>
      </c>
      <c r="N296" s="56">
        <f>IF(VLOOKUP($C296,REV!$C:$AA,12,0)-'TRADE IN'!$F296=0,"",(VLOOKUP($C296,REV!$C:$AA,12,0)-'TRADE IN'!$F296))</f>
        <v>999</v>
      </c>
      <c r="O296" s="56">
        <f>IF(VLOOKUP($C296,REV!$C:$AA,13,0)-'TRADE IN'!$F296=0,"",(VLOOKUP($C296,REV!$C:$AA,13,0)-'TRADE IN'!$F296))</f>
        <v>899</v>
      </c>
      <c r="P296" s="56">
        <f>IF(VLOOKUP($C296,REV!$C:$AA,14,0)-'TRADE IN'!$F296=0,"",(VLOOKUP($C296,REV!$C:$AA,14,0)-'TRADE IN'!$F296))</f>
        <v>799</v>
      </c>
      <c r="Q296" s="56">
        <f>IF(VLOOKUP($C296,REV!$C:$AA,15,0)-'TRADE IN'!$F296=0,"",(VLOOKUP($C296,REV!$C:$AA,15,0)-'TRADE IN'!$F296))</f>
        <v>699</v>
      </c>
      <c r="R296" s="56">
        <f>IF(VLOOKUP($C296,REV!$C:$AA,16,0)-'TRADE IN'!$F296=0,"",(VLOOKUP($C296,REV!$C:$AA,16,0)-'TRADE IN'!$F296))</f>
        <v>899</v>
      </c>
      <c r="S296" s="56">
        <f>IF(VLOOKUP($C296,REV!$C:$AA,17,0)-'TRADE IN'!$F296=0,"",(VLOOKUP($C296,REV!$C:$AA,17,0)-'TRADE IN'!$F296))</f>
        <v>799</v>
      </c>
      <c r="T296" s="56">
        <f>IF(VLOOKUP($C296,REV!$C:$AA,18,0)-'TRADE IN'!$F296=0,"",(VLOOKUP($C296,REV!$C:$AA,18,0)-'TRADE IN'!$F296))</f>
        <v>699</v>
      </c>
      <c r="U296" s="56">
        <f>IF(VLOOKUP($C296,REV!$C:$AA,19,0)-'TRADE IN'!$F296=0,"",(VLOOKUP($C296,REV!$C:$AA,19,0)-'TRADE IN'!$F296))</f>
        <v>699</v>
      </c>
      <c r="V296" s="56">
        <f>IF(VLOOKUP($C296,REV!$C:$AA,20,0)-'TRADE IN'!$F296=0,"",(VLOOKUP($C296,REV!$C:$AA,20,0)-'TRADE IN'!$F296))</f>
        <v>699</v>
      </c>
      <c r="W296" s="56">
        <f>IF(VLOOKUP($C296,REV!$C:$AA,21,0)-'TRADE IN'!$F296=0,"",(VLOOKUP($C296,REV!$C:$AA,21,0)-'TRADE IN'!$F296))</f>
        <v>699</v>
      </c>
      <c r="X296" s="56">
        <f>IF(VLOOKUP($C296,REV!$C:$AA,22,0)-'TRADE IN'!$F296=0,"",(VLOOKUP($C296,REV!$C:$AA,22,0)-'TRADE IN'!$F296))</f>
        <v>649</v>
      </c>
      <c r="Y296" s="56">
        <f>IF(VLOOKUP($C296,REV!$C:$AA,23,0)-'TRADE IN'!$F296=0,"",(VLOOKUP($C296,REV!$C:$AA,23,0)-'TRADE IN'!$F296))</f>
        <v>599</v>
      </c>
      <c r="Z296" s="56">
        <f>IF(VLOOKUP($C296,REV!$C:$AA,24,0)-'TRADE IN'!$F296=0,"",(VLOOKUP($C296,REV!$C:$AA,24,0)-'TRADE IN'!$F296))</f>
        <v>599</v>
      </c>
      <c r="AA296" s="56">
        <f>IF(VLOOKUP($C296,REV!$C:$AA,25,0)-'TRADE IN'!$F296=0,"",(VLOOKUP($C296,REV!$C:$AA,25,0)-'TRADE IN'!$F296))</f>
        <v>579</v>
      </c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7"/>
      <c r="AW296" s="58" t="str">
        <f>REV!AW296</f>
        <v>03.11.2026</v>
      </c>
      <c r="AX296" s="147" t="str">
        <f>VLOOKUP(C296,REV!C:AX,48,0)</f>
        <v>5G</v>
      </c>
    </row>
    <row r="297" spans="1:50" ht="22.5" customHeight="1">
      <c r="A297" s="64" t="s">
        <v>241</v>
      </c>
      <c r="B297" s="52" t="s">
        <v>64</v>
      </c>
      <c r="C297" s="53">
        <v>4015935</v>
      </c>
      <c r="D297" s="65" t="s">
        <v>466</v>
      </c>
      <c r="E297" s="65" t="s">
        <v>467</v>
      </c>
      <c r="F297" s="55"/>
      <c r="G297" s="55"/>
      <c r="H297" s="55"/>
      <c r="I297" s="55"/>
      <c r="J297" s="56">
        <f>IF(VLOOKUP($C297,REV!$C:$AA,8,0)-'TRADE IN'!$F297=0,"",(VLOOKUP($C297,REV!$C:$AA,8,0)-'TRADE IN'!$F297))</f>
        <v>1599</v>
      </c>
      <c r="K297" s="56">
        <f>IF(VLOOKUP($C297,REV!$C:$AA,9,0)-'TRADE IN'!$F297=0,"",(VLOOKUP($C297,REV!$C:$AA,9,0)-'TRADE IN'!$F297))</f>
        <v>1499</v>
      </c>
      <c r="L297" s="56">
        <f>IF(VLOOKUP($C297,REV!$C:$AA,10,0)-'TRADE IN'!$F297=0,"",(VLOOKUP($C297,REV!$C:$AA,10,0)-'TRADE IN'!$F297))</f>
        <v>1499</v>
      </c>
      <c r="M297" s="56">
        <f>IF(VLOOKUP($C297,REV!$C:$AA,11,0)-'TRADE IN'!$F297=0,"",(VLOOKUP($C297,REV!$C:$AA,11,0)-'TRADE IN'!$F297))</f>
        <v>1599</v>
      </c>
      <c r="N297" s="56">
        <f>IF(VLOOKUP($C297,REV!$C:$AA,12,0)-'TRADE IN'!$F297=0,"",(VLOOKUP($C297,REV!$C:$AA,12,0)-'TRADE IN'!$F297))</f>
        <v>1499</v>
      </c>
      <c r="O297" s="56">
        <f>IF(VLOOKUP($C297,REV!$C:$AA,13,0)-'TRADE IN'!$F297=0,"",(VLOOKUP($C297,REV!$C:$AA,13,0)-'TRADE IN'!$F297))</f>
        <v>1399</v>
      </c>
      <c r="P297" s="56">
        <f>IF(VLOOKUP($C297,REV!$C:$AA,14,0)-'TRADE IN'!$F297=0,"",(VLOOKUP($C297,REV!$C:$AA,14,0)-'TRADE IN'!$F297))</f>
        <v>1299</v>
      </c>
      <c r="Q297" s="56">
        <f>IF(VLOOKUP($C297,REV!$C:$AA,15,0)-'TRADE IN'!$F297=0,"",(VLOOKUP($C297,REV!$C:$AA,15,0)-'TRADE IN'!$F297))</f>
        <v>999</v>
      </c>
      <c r="R297" s="56">
        <f>IF(VLOOKUP($C297,REV!$C:$AA,16,0)-'TRADE IN'!$F297=0,"",(VLOOKUP($C297,REV!$C:$AA,16,0)-'TRADE IN'!$F297))</f>
        <v>1399</v>
      </c>
      <c r="S297" s="56">
        <f>IF(VLOOKUP($C297,REV!$C:$AA,17,0)-'TRADE IN'!$F297=0,"",(VLOOKUP($C297,REV!$C:$AA,17,0)-'TRADE IN'!$F297))</f>
        <v>1299</v>
      </c>
      <c r="T297" s="56">
        <f>IF(VLOOKUP($C297,REV!$C:$AA,18,0)-'TRADE IN'!$F297=0,"",(VLOOKUP($C297,REV!$C:$AA,18,0)-'TRADE IN'!$F297))</f>
        <v>999</v>
      </c>
      <c r="U297" s="56">
        <f>IF(VLOOKUP($C297,REV!$C:$AA,19,0)-'TRADE IN'!$F297=0,"",(VLOOKUP($C297,REV!$C:$AA,19,0)-'TRADE IN'!$F297))</f>
        <v>999</v>
      </c>
      <c r="V297" s="56">
        <f>IF(VLOOKUP($C297,REV!$C:$AA,20,0)-'TRADE IN'!$F297=0,"",(VLOOKUP($C297,REV!$C:$AA,20,0)-'TRADE IN'!$F297))</f>
        <v>999</v>
      </c>
      <c r="W297" s="56">
        <f>IF(VLOOKUP($C297,REV!$C:$AA,21,0)-'TRADE IN'!$F297=0,"",(VLOOKUP($C297,REV!$C:$AA,21,0)-'TRADE IN'!$F297))</f>
        <v>999</v>
      </c>
      <c r="X297" s="56">
        <f>IF(VLOOKUP($C297,REV!$C:$AA,22,0)-'TRADE IN'!$F297=0,"",(VLOOKUP($C297,REV!$C:$AA,22,0)-'TRADE IN'!$F297))</f>
        <v>999</v>
      </c>
      <c r="Y297" s="56">
        <f>IF(VLOOKUP($C297,REV!$C:$AA,23,0)-'TRADE IN'!$F297=0,"",(VLOOKUP($C297,REV!$C:$AA,23,0)-'TRADE IN'!$F297))</f>
        <v>999</v>
      </c>
      <c r="Z297" s="56">
        <f>IF(VLOOKUP($C297,REV!$C:$AA,24,0)-'TRADE IN'!$F297=0,"",(VLOOKUP($C297,REV!$C:$AA,24,0)-'TRADE IN'!$F297))</f>
        <v>999</v>
      </c>
      <c r="AA297" s="56">
        <f>IF(VLOOKUP($C297,REV!$C:$AA,25,0)-'TRADE IN'!$F297=0,"",(VLOOKUP($C297,REV!$C:$AA,25,0)-'TRADE IN'!$F297))</f>
        <v>999</v>
      </c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7"/>
      <c r="AW297" s="58" t="str">
        <f>REV!AW297</f>
        <v>03.11.2026</v>
      </c>
      <c r="AX297" s="147" t="str">
        <f>VLOOKUP(C297,REV!C:AX,48,0)</f>
        <v>5G</v>
      </c>
    </row>
    <row r="298" spans="1:50" ht="22.5" customHeight="1">
      <c r="A298" s="64" t="s">
        <v>241</v>
      </c>
      <c r="B298" s="52" t="s">
        <v>64</v>
      </c>
      <c r="C298" s="53">
        <v>4016155</v>
      </c>
      <c r="D298" s="65" t="s">
        <v>466</v>
      </c>
      <c r="E298" s="65" t="s">
        <v>468</v>
      </c>
      <c r="F298" s="55"/>
      <c r="G298" s="55"/>
      <c r="H298" s="55"/>
      <c r="I298" s="55"/>
      <c r="J298" s="56">
        <f>IF(VLOOKUP($C298,REV!$C:$AA,8,0)-'TRADE IN'!$F298=0,"",(VLOOKUP($C298,REV!$C:$AA,8,0)-'TRADE IN'!$F298))</f>
        <v>1599</v>
      </c>
      <c r="K298" s="56">
        <f>IF(VLOOKUP($C298,REV!$C:$AA,9,0)-'TRADE IN'!$F298=0,"",(VLOOKUP($C298,REV!$C:$AA,9,0)-'TRADE IN'!$F298))</f>
        <v>1499</v>
      </c>
      <c r="L298" s="56">
        <f>IF(VLOOKUP($C298,REV!$C:$AA,10,0)-'TRADE IN'!$F298=0,"",(VLOOKUP($C298,REV!$C:$AA,10,0)-'TRADE IN'!$F298))</f>
        <v>1499</v>
      </c>
      <c r="M298" s="56">
        <f>IF(VLOOKUP($C298,REV!$C:$AA,11,0)-'TRADE IN'!$F298=0,"",(VLOOKUP($C298,REV!$C:$AA,11,0)-'TRADE IN'!$F298))</f>
        <v>1599</v>
      </c>
      <c r="N298" s="56">
        <f>IF(VLOOKUP($C298,REV!$C:$AA,12,0)-'TRADE IN'!$F298=0,"",(VLOOKUP($C298,REV!$C:$AA,12,0)-'TRADE IN'!$F298))</f>
        <v>1499</v>
      </c>
      <c r="O298" s="56">
        <f>IF(VLOOKUP($C298,REV!$C:$AA,13,0)-'TRADE IN'!$F298=0,"",(VLOOKUP($C298,REV!$C:$AA,13,0)-'TRADE IN'!$F298))</f>
        <v>1399</v>
      </c>
      <c r="P298" s="56">
        <f>IF(VLOOKUP($C298,REV!$C:$AA,14,0)-'TRADE IN'!$F298=0,"",(VLOOKUP($C298,REV!$C:$AA,14,0)-'TRADE IN'!$F298))</f>
        <v>1299</v>
      </c>
      <c r="Q298" s="56">
        <f>IF(VLOOKUP($C298,REV!$C:$AA,15,0)-'TRADE IN'!$F298=0,"",(VLOOKUP($C298,REV!$C:$AA,15,0)-'TRADE IN'!$F298))</f>
        <v>999</v>
      </c>
      <c r="R298" s="56">
        <f>IF(VLOOKUP($C298,REV!$C:$AA,16,0)-'TRADE IN'!$F298=0,"",(VLOOKUP($C298,REV!$C:$AA,16,0)-'TRADE IN'!$F298))</f>
        <v>1399</v>
      </c>
      <c r="S298" s="56">
        <f>IF(VLOOKUP($C298,REV!$C:$AA,17,0)-'TRADE IN'!$F298=0,"",(VLOOKUP($C298,REV!$C:$AA,17,0)-'TRADE IN'!$F298))</f>
        <v>1299</v>
      </c>
      <c r="T298" s="56">
        <f>IF(VLOOKUP($C298,REV!$C:$AA,18,0)-'TRADE IN'!$F298=0,"",(VLOOKUP($C298,REV!$C:$AA,18,0)-'TRADE IN'!$F298))</f>
        <v>999</v>
      </c>
      <c r="U298" s="56">
        <f>IF(VLOOKUP($C298,REV!$C:$AA,19,0)-'TRADE IN'!$F298=0,"",(VLOOKUP($C298,REV!$C:$AA,19,0)-'TRADE IN'!$F298))</f>
        <v>999</v>
      </c>
      <c r="V298" s="56">
        <f>IF(VLOOKUP($C298,REV!$C:$AA,20,0)-'TRADE IN'!$F298=0,"",(VLOOKUP($C298,REV!$C:$AA,20,0)-'TRADE IN'!$F298))</f>
        <v>999</v>
      </c>
      <c r="W298" s="56">
        <f>IF(VLOOKUP($C298,REV!$C:$AA,21,0)-'TRADE IN'!$F298=0,"",(VLOOKUP($C298,REV!$C:$AA,21,0)-'TRADE IN'!$F298))</f>
        <v>999</v>
      </c>
      <c r="X298" s="56">
        <f>IF(VLOOKUP($C298,REV!$C:$AA,22,0)-'TRADE IN'!$F298=0,"",(VLOOKUP($C298,REV!$C:$AA,22,0)-'TRADE IN'!$F298))</f>
        <v>999</v>
      </c>
      <c r="Y298" s="56">
        <f>IF(VLOOKUP($C298,REV!$C:$AA,23,0)-'TRADE IN'!$F298=0,"",(VLOOKUP($C298,REV!$C:$AA,23,0)-'TRADE IN'!$F298))</f>
        <v>999</v>
      </c>
      <c r="Z298" s="56">
        <f>IF(VLOOKUP($C298,REV!$C:$AA,24,0)-'TRADE IN'!$F298=0,"",(VLOOKUP($C298,REV!$C:$AA,24,0)-'TRADE IN'!$F298))</f>
        <v>999</v>
      </c>
      <c r="AA298" s="56">
        <f>IF(VLOOKUP($C298,REV!$C:$AA,25,0)-'TRADE IN'!$F298=0,"",(VLOOKUP($C298,REV!$C:$AA,25,0)-'TRADE IN'!$F298))</f>
        <v>999</v>
      </c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7"/>
      <c r="AW298" s="58" t="str">
        <f>REV!AW298</f>
        <v>03.11.2026</v>
      </c>
      <c r="AX298" s="147" t="str">
        <f>VLOOKUP(C298,REV!C:AX,48,0)</f>
        <v>5G</v>
      </c>
    </row>
    <row r="299" spans="1:50" ht="22.5" customHeight="1">
      <c r="A299" s="64" t="s">
        <v>241</v>
      </c>
      <c r="B299" s="52" t="s">
        <v>64</v>
      </c>
      <c r="C299" s="53">
        <v>4015939</v>
      </c>
      <c r="D299" s="65" t="s">
        <v>466</v>
      </c>
      <c r="E299" s="65" t="s">
        <v>469</v>
      </c>
      <c r="F299" s="55"/>
      <c r="G299" s="55"/>
      <c r="H299" s="55"/>
      <c r="I299" s="55"/>
      <c r="J299" s="56">
        <f>IF(VLOOKUP($C299,REV!$C:$AA,8,0)-'TRADE IN'!$F299=0,"",(VLOOKUP($C299,REV!$C:$AA,8,0)-'TRADE IN'!$F299))</f>
        <v>1599</v>
      </c>
      <c r="K299" s="56">
        <f>IF(VLOOKUP($C299,REV!$C:$AA,9,0)-'TRADE IN'!$F299=0,"",(VLOOKUP($C299,REV!$C:$AA,9,0)-'TRADE IN'!$F299))</f>
        <v>1499</v>
      </c>
      <c r="L299" s="56">
        <f>IF(VLOOKUP($C299,REV!$C:$AA,10,0)-'TRADE IN'!$F299=0,"",(VLOOKUP($C299,REV!$C:$AA,10,0)-'TRADE IN'!$F299))</f>
        <v>1499</v>
      </c>
      <c r="M299" s="56">
        <f>IF(VLOOKUP($C299,REV!$C:$AA,11,0)-'TRADE IN'!$F299=0,"",(VLOOKUP($C299,REV!$C:$AA,11,0)-'TRADE IN'!$F299))</f>
        <v>1599</v>
      </c>
      <c r="N299" s="56">
        <f>IF(VLOOKUP($C299,REV!$C:$AA,12,0)-'TRADE IN'!$F299=0,"",(VLOOKUP($C299,REV!$C:$AA,12,0)-'TRADE IN'!$F299))</f>
        <v>1499</v>
      </c>
      <c r="O299" s="56">
        <f>IF(VLOOKUP($C299,REV!$C:$AA,13,0)-'TRADE IN'!$F299=0,"",(VLOOKUP($C299,REV!$C:$AA,13,0)-'TRADE IN'!$F299))</f>
        <v>1399</v>
      </c>
      <c r="P299" s="56">
        <f>IF(VLOOKUP($C299,REV!$C:$AA,14,0)-'TRADE IN'!$F299=0,"",(VLOOKUP($C299,REV!$C:$AA,14,0)-'TRADE IN'!$F299))</f>
        <v>1299</v>
      </c>
      <c r="Q299" s="56">
        <f>IF(VLOOKUP($C299,REV!$C:$AA,15,0)-'TRADE IN'!$F299=0,"",(VLOOKUP($C299,REV!$C:$AA,15,0)-'TRADE IN'!$F299))</f>
        <v>999</v>
      </c>
      <c r="R299" s="56">
        <f>IF(VLOOKUP($C299,REV!$C:$AA,16,0)-'TRADE IN'!$F299=0,"",(VLOOKUP($C299,REV!$C:$AA,16,0)-'TRADE IN'!$F299))</f>
        <v>1399</v>
      </c>
      <c r="S299" s="56">
        <f>IF(VLOOKUP($C299,REV!$C:$AA,17,0)-'TRADE IN'!$F299=0,"",(VLOOKUP($C299,REV!$C:$AA,17,0)-'TRADE IN'!$F299))</f>
        <v>1299</v>
      </c>
      <c r="T299" s="56">
        <f>IF(VLOOKUP($C299,REV!$C:$AA,18,0)-'TRADE IN'!$F299=0,"",(VLOOKUP($C299,REV!$C:$AA,18,0)-'TRADE IN'!$F299))</f>
        <v>999</v>
      </c>
      <c r="U299" s="56">
        <f>IF(VLOOKUP($C299,REV!$C:$AA,19,0)-'TRADE IN'!$F299=0,"",(VLOOKUP($C299,REV!$C:$AA,19,0)-'TRADE IN'!$F299))</f>
        <v>999</v>
      </c>
      <c r="V299" s="56">
        <f>IF(VLOOKUP($C299,REV!$C:$AA,20,0)-'TRADE IN'!$F299=0,"",(VLOOKUP($C299,REV!$C:$AA,20,0)-'TRADE IN'!$F299))</f>
        <v>999</v>
      </c>
      <c r="W299" s="56">
        <f>IF(VLOOKUP($C299,REV!$C:$AA,21,0)-'TRADE IN'!$F299=0,"",(VLOOKUP($C299,REV!$C:$AA,21,0)-'TRADE IN'!$F299))</f>
        <v>999</v>
      </c>
      <c r="X299" s="56">
        <f>IF(VLOOKUP($C299,REV!$C:$AA,22,0)-'TRADE IN'!$F299=0,"",(VLOOKUP($C299,REV!$C:$AA,22,0)-'TRADE IN'!$F299))</f>
        <v>999</v>
      </c>
      <c r="Y299" s="56">
        <f>IF(VLOOKUP($C299,REV!$C:$AA,23,0)-'TRADE IN'!$F299=0,"",(VLOOKUP($C299,REV!$C:$AA,23,0)-'TRADE IN'!$F299))</f>
        <v>999</v>
      </c>
      <c r="Z299" s="56">
        <f>IF(VLOOKUP($C299,REV!$C:$AA,24,0)-'TRADE IN'!$F299=0,"",(VLOOKUP($C299,REV!$C:$AA,24,0)-'TRADE IN'!$F299))</f>
        <v>999</v>
      </c>
      <c r="AA299" s="56">
        <f>IF(VLOOKUP($C299,REV!$C:$AA,25,0)-'TRADE IN'!$F299=0,"",(VLOOKUP($C299,REV!$C:$AA,25,0)-'TRADE IN'!$F299))</f>
        <v>999</v>
      </c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7"/>
      <c r="AW299" s="58" t="str">
        <f>REV!AW299</f>
        <v>03.11.2026</v>
      </c>
      <c r="AX299" s="147" t="str">
        <f>VLOOKUP(C299,REV!C:AX,48,0)</f>
        <v>5G</v>
      </c>
    </row>
    <row r="300" spans="1:50" ht="22.5" customHeight="1">
      <c r="A300" s="64" t="s">
        <v>241</v>
      </c>
      <c r="B300" s="52" t="s">
        <v>64</v>
      </c>
      <c r="C300" s="53">
        <v>4016152</v>
      </c>
      <c r="D300" s="65" t="s">
        <v>466</v>
      </c>
      <c r="E300" s="65" t="s">
        <v>470</v>
      </c>
      <c r="F300" s="55"/>
      <c r="G300" s="55"/>
      <c r="H300" s="55"/>
      <c r="I300" s="55"/>
      <c r="J300" s="56">
        <f>IF(VLOOKUP($C300,REV!$C:$AA,8,0)-'TRADE IN'!$F300=0,"",(VLOOKUP($C300,REV!$C:$AA,8,0)-'TRADE IN'!$F300))</f>
        <v>1599</v>
      </c>
      <c r="K300" s="56">
        <f>IF(VLOOKUP($C300,REV!$C:$AA,9,0)-'TRADE IN'!$F300=0,"",(VLOOKUP($C300,REV!$C:$AA,9,0)-'TRADE IN'!$F300))</f>
        <v>1499</v>
      </c>
      <c r="L300" s="56">
        <f>IF(VLOOKUP($C300,REV!$C:$AA,10,0)-'TRADE IN'!$F300=0,"",(VLOOKUP($C300,REV!$C:$AA,10,0)-'TRADE IN'!$F300))</f>
        <v>1499</v>
      </c>
      <c r="M300" s="56">
        <f>IF(VLOOKUP($C300,REV!$C:$AA,11,0)-'TRADE IN'!$F300=0,"",(VLOOKUP($C300,REV!$C:$AA,11,0)-'TRADE IN'!$F300))</f>
        <v>1599</v>
      </c>
      <c r="N300" s="56">
        <f>IF(VLOOKUP($C300,REV!$C:$AA,12,0)-'TRADE IN'!$F300=0,"",(VLOOKUP($C300,REV!$C:$AA,12,0)-'TRADE IN'!$F300))</f>
        <v>1499</v>
      </c>
      <c r="O300" s="56">
        <f>IF(VLOOKUP($C300,REV!$C:$AA,13,0)-'TRADE IN'!$F300=0,"",(VLOOKUP($C300,REV!$C:$AA,13,0)-'TRADE IN'!$F300))</f>
        <v>1399</v>
      </c>
      <c r="P300" s="56">
        <f>IF(VLOOKUP($C300,REV!$C:$AA,14,0)-'TRADE IN'!$F300=0,"",(VLOOKUP($C300,REV!$C:$AA,14,0)-'TRADE IN'!$F300))</f>
        <v>1299</v>
      </c>
      <c r="Q300" s="56">
        <f>IF(VLOOKUP($C300,REV!$C:$AA,15,0)-'TRADE IN'!$F300=0,"",(VLOOKUP($C300,REV!$C:$AA,15,0)-'TRADE IN'!$F300))</f>
        <v>999</v>
      </c>
      <c r="R300" s="56">
        <f>IF(VLOOKUP($C300,REV!$C:$AA,16,0)-'TRADE IN'!$F300=0,"",(VLOOKUP($C300,REV!$C:$AA,16,0)-'TRADE IN'!$F300))</f>
        <v>1399</v>
      </c>
      <c r="S300" s="56">
        <f>IF(VLOOKUP($C300,REV!$C:$AA,17,0)-'TRADE IN'!$F300=0,"",(VLOOKUP($C300,REV!$C:$AA,17,0)-'TRADE IN'!$F300))</f>
        <v>1299</v>
      </c>
      <c r="T300" s="56">
        <f>IF(VLOOKUP($C300,REV!$C:$AA,18,0)-'TRADE IN'!$F300=0,"",(VLOOKUP($C300,REV!$C:$AA,18,0)-'TRADE IN'!$F300))</f>
        <v>999</v>
      </c>
      <c r="U300" s="56">
        <f>IF(VLOOKUP($C300,REV!$C:$AA,19,0)-'TRADE IN'!$F300=0,"",(VLOOKUP($C300,REV!$C:$AA,19,0)-'TRADE IN'!$F300))</f>
        <v>999</v>
      </c>
      <c r="V300" s="56">
        <f>IF(VLOOKUP($C300,REV!$C:$AA,20,0)-'TRADE IN'!$F300=0,"",(VLOOKUP($C300,REV!$C:$AA,20,0)-'TRADE IN'!$F300))</f>
        <v>999</v>
      </c>
      <c r="W300" s="56">
        <f>IF(VLOOKUP($C300,REV!$C:$AA,21,0)-'TRADE IN'!$F300=0,"",(VLOOKUP($C300,REV!$C:$AA,21,0)-'TRADE IN'!$F300))</f>
        <v>999</v>
      </c>
      <c r="X300" s="56">
        <f>IF(VLOOKUP($C300,REV!$C:$AA,22,0)-'TRADE IN'!$F300=0,"",(VLOOKUP($C300,REV!$C:$AA,22,0)-'TRADE IN'!$F300))</f>
        <v>999</v>
      </c>
      <c r="Y300" s="56">
        <f>IF(VLOOKUP($C300,REV!$C:$AA,23,0)-'TRADE IN'!$F300=0,"",(VLOOKUP($C300,REV!$C:$AA,23,0)-'TRADE IN'!$F300))</f>
        <v>999</v>
      </c>
      <c r="Z300" s="56">
        <f>IF(VLOOKUP($C300,REV!$C:$AA,24,0)-'TRADE IN'!$F300=0,"",(VLOOKUP($C300,REV!$C:$AA,24,0)-'TRADE IN'!$F300))</f>
        <v>999</v>
      </c>
      <c r="AA300" s="56">
        <f>IF(VLOOKUP($C300,REV!$C:$AA,25,0)-'TRADE IN'!$F300=0,"",(VLOOKUP($C300,REV!$C:$AA,25,0)-'TRADE IN'!$F300))</f>
        <v>999</v>
      </c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7"/>
      <c r="AW300" s="58" t="str">
        <f>REV!AW300</f>
        <v>03.11.2026</v>
      </c>
      <c r="AX300" s="147" t="str">
        <f>VLOOKUP(C300,REV!C:AX,48,0)</f>
        <v>5G</v>
      </c>
    </row>
    <row r="301" spans="1:50" ht="22.5" customHeight="1">
      <c r="A301" s="64" t="s">
        <v>241</v>
      </c>
      <c r="B301" s="52" t="s">
        <v>64</v>
      </c>
      <c r="C301" s="53">
        <v>4016159</v>
      </c>
      <c r="D301" s="65" t="s">
        <v>466</v>
      </c>
      <c r="E301" s="65" t="s">
        <v>471</v>
      </c>
      <c r="F301" s="55"/>
      <c r="G301" s="55"/>
      <c r="H301" s="55"/>
      <c r="I301" s="55"/>
      <c r="J301" s="56">
        <f>IF(VLOOKUP($C301,REV!$C:$AA,8,0)-'TRADE IN'!$F301=0,"",(VLOOKUP($C301,REV!$C:$AA,8,0)-'TRADE IN'!$F301))</f>
        <v>1599</v>
      </c>
      <c r="K301" s="56">
        <f>IF(VLOOKUP($C301,REV!$C:$AA,9,0)-'TRADE IN'!$F301=0,"",(VLOOKUP($C301,REV!$C:$AA,9,0)-'TRADE IN'!$F301))</f>
        <v>1499</v>
      </c>
      <c r="L301" s="56">
        <f>IF(VLOOKUP($C301,REV!$C:$AA,10,0)-'TRADE IN'!$F301=0,"",(VLOOKUP($C301,REV!$C:$AA,10,0)-'TRADE IN'!$F301))</f>
        <v>1499</v>
      </c>
      <c r="M301" s="56">
        <f>IF(VLOOKUP($C301,REV!$C:$AA,11,0)-'TRADE IN'!$F301=0,"",(VLOOKUP($C301,REV!$C:$AA,11,0)-'TRADE IN'!$F301))</f>
        <v>1599</v>
      </c>
      <c r="N301" s="56">
        <f>IF(VLOOKUP($C301,REV!$C:$AA,12,0)-'TRADE IN'!$F301=0,"",(VLOOKUP($C301,REV!$C:$AA,12,0)-'TRADE IN'!$F301))</f>
        <v>1499</v>
      </c>
      <c r="O301" s="56">
        <f>IF(VLOOKUP($C301,REV!$C:$AA,13,0)-'TRADE IN'!$F301=0,"",(VLOOKUP($C301,REV!$C:$AA,13,0)-'TRADE IN'!$F301))</f>
        <v>1399</v>
      </c>
      <c r="P301" s="56">
        <f>IF(VLOOKUP($C301,REV!$C:$AA,14,0)-'TRADE IN'!$F301=0,"",(VLOOKUP($C301,REV!$C:$AA,14,0)-'TRADE IN'!$F301))</f>
        <v>1299</v>
      </c>
      <c r="Q301" s="56">
        <f>IF(VLOOKUP($C301,REV!$C:$AA,15,0)-'TRADE IN'!$F301=0,"",(VLOOKUP($C301,REV!$C:$AA,15,0)-'TRADE IN'!$F301))</f>
        <v>999</v>
      </c>
      <c r="R301" s="56">
        <f>IF(VLOOKUP($C301,REV!$C:$AA,16,0)-'TRADE IN'!$F301=0,"",(VLOOKUP($C301,REV!$C:$AA,16,0)-'TRADE IN'!$F301))</f>
        <v>1399</v>
      </c>
      <c r="S301" s="56">
        <f>IF(VLOOKUP($C301,REV!$C:$AA,17,0)-'TRADE IN'!$F301=0,"",(VLOOKUP($C301,REV!$C:$AA,17,0)-'TRADE IN'!$F301))</f>
        <v>1299</v>
      </c>
      <c r="T301" s="56">
        <f>IF(VLOOKUP($C301,REV!$C:$AA,18,0)-'TRADE IN'!$F301=0,"",(VLOOKUP($C301,REV!$C:$AA,18,0)-'TRADE IN'!$F301))</f>
        <v>999</v>
      </c>
      <c r="U301" s="56">
        <f>IF(VLOOKUP($C301,REV!$C:$AA,19,0)-'TRADE IN'!$F301=0,"",(VLOOKUP($C301,REV!$C:$AA,19,0)-'TRADE IN'!$F301))</f>
        <v>999</v>
      </c>
      <c r="V301" s="56">
        <f>IF(VLOOKUP($C301,REV!$C:$AA,20,0)-'TRADE IN'!$F301=0,"",(VLOOKUP($C301,REV!$C:$AA,20,0)-'TRADE IN'!$F301))</f>
        <v>999</v>
      </c>
      <c r="W301" s="56">
        <f>IF(VLOOKUP($C301,REV!$C:$AA,21,0)-'TRADE IN'!$F301=0,"",(VLOOKUP($C301,REV!$C:$AA,21,0)-'TRADE IN'!$F301))</f>
        <v>999</v>
      </c>
      <c r="X301" s="56">
        <f>IF(VLOOKUP($C301,REV!$C:$AA,22,0)-'TRADE IN'!$F301=0,"",(VLOOKUP($C301,REV!$C:$AA,22,0)-'TRADE IN'!$F301))</f>
        <v>999</v>
      </c>
      <c r="Y301" s="56">
        <f>IF(VLOOKUP($C301,REV!$C:$AA,23,0)-'TRADE IN'!$F301=0,"",(VLOOKUP($C301,REV!$C:$AA,23,0)-'TRADE IN'!$F301))</f>
        <v>999</v>
      </c>
      <c r="Z301" s="56">
        <f>IF(VLOOKUP($C301,REV!$C:$AA,24,0)-'TRADE IN'!$F301=0,"",(VLOOKUP($C301,REV!$C:$AA,24,0)-'TRADE IN'!$F301))</f>
        <v>999</v>
      </c>
      <c r="AA301" s="56">
        <f>IF(VLOOKUP($C301,REV!$C:$AA,25,0)-'TRADE IN'!$F301=0,"",(VLOOKUP($C301,REV!$C:$AA,25,0)-'TRADE IN'!$F301))</f>
        <v>999</v>
      </c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7"/>
      <c r="AW301" s="58" t="str">
        <f>REV!AW301</f>
        <v>03.11.2026</v>
      </c>
      <c r="AX301" s="147" t="str">
        <f>VLOOKUP(C301,REV!C:AX,48,0)</f>
        <v>5G</v>
      </c>
    </row>
    <row r="302" spans="1:50" ht="22.5" customHeight="1">
      <c r="A302" s="64" t="s">
        <v>241</v>
      </c>
      <c r="B302" s="52" t="s">
        <v>64</v>
      </c>
      <c r="C302" s="53">
        <v>4016147</v>
      </c>
      <c r="D302" s="65" t="s">
        <v>466</v>
      </c>
      <c r="E302" s="65" t="s">
        <v>472</v>
      </c>
      <c r="F302" s="55"/>
      <c r="G302" s="55"/>
      <c r="H302" s="55"/>
      <c r="I302" s="55"/>
      <c r="J302" s="56">
        <f>IF(VLOOKUP($C302,REV!$C:$AA,8,0)-'TRADE IN'!$F302=0,"",(VLOOKUP($C302,REV!$C:$AA,8,0)-'TRADE IN'!$F302))</f>
        <v>1599</v>
      </c>
      <c r="K302" s="56">
        <f>IF(VLOOKUP($C302,REV!$C:$AA,9,0)-'TRADE IN'!$F302=0,"",(VLOOKUP($C302,REV!$C:$AA,9,0)-'TRADE IN'!$F302))</f>
        <v>1499</v>
      </c>
      <c r="L302" s="56">
        <f>IF(VLOOKUP($C302,REV!$C:$AA,10,0)-'TRADE IN'!$F302=0,"",(VLOOKUP($C302,REV!$C:$AA,10,0)-'TRADE IN'!$F302))</f>
        <v>1499</v>
      </c>
      <c r="M302" s="56">
        <f>IF(VLOOKUP($C302,REV!$C:$AA,11,0)-'TRADE IN'!$F302=0,"",(VLOOKUP($C302,REV!$C:$AA,11,0)-'TRADE IN'!$F302))</f>
        <v>1599</v>
      </c>
      <c r="N302" s="56">
        <f>IF(VLOOKUP($C302,REV!$C:$AA,12,0)-'TRADE IN'!$F302=0,"",(VLOOKUP($C302,REV!$C:$AA,12,0)-'TRADE IN'!$F302))</f>
        <v>1499</v>
      </c>
      <c r="O302" s="56">
        <f>IF(VLOOKUP($C302,REV!$C:$AA,13,0)-'TRADE IN'!$F302=0,"",(VLOOKUP($C302,REV!$C:$AA,13,0)-'TRADE IN'!$F302))</f>
        <v>1399</v>
      </c>
      <c r="P302" s="56">
        <f>IF(VLOOKUP($C302,REV!$C:$AA,14,0)-'TRADE IN'!$F302=0,"",(VLOOKUP($C302,REV!$C:$AA,14,0)-'TRADE IN'!$F302))</f>
        <v>1299</v>
      </c>
      <c r="Q302" s="56">
        <f>IF(VLOOKUP($C302,REV!$C:$AA,15,0)-'TRADE IN'!$F302=0,"",(VLOOKUP($C302,REV!$C:$AA,15,0)-'TRADE IN'!$F302))</f>
        <v>999</v>
      </c>
      <c r="R302" s="56">
        <f>IF(VLOOKUP($C302,REV!$C:$AA,16,0)-'TRADE IN'!$F302=0,"",(VLOOKUP($C302,REV!$C:$AA,16,0)-'TRADE IN'!$F302))</f>
        <v>1399</v>
      </c>
      <c r="S302" s="56">
        <f>IF(VLOOKUP($C302,REV!$C:$AA,17,0)-'TRADE IN'!$F302=0,"",(VLOOKUP($C302,REV!$C:$AA,17,0)-'TRADE IN'!$F302))</f>
        <v>1299</v>
      </c>
      <c r="T302" s="56">
        <f>IF(VLOOKUP($C302,REV!$C:$AA,18,0)-'TRADE IN'!$F302=0,"",(VLOOKUP($C302,REV!$C:$AA,18,0)-'TRADE IN'!$F302))</f>
        <v>999</v>
      </c>
      <c r="U302" s="56">
        <f>IF(VLOOKUP($C302,REV!$C:$AA,19,0)-'TRADE IN'!$F302=0,"",(VLOOKUP($C302,REV!$C:$AA,19,0)-'TRADE IN'!$F302))</f>
        <v>999</v>
      </c>
      <c r="V302" s="56">
        <f>IF(VLOOKUP($C302,REV!$C:$AA,20,0)-'TRADE IN'!$F302=0,"",(VLOOKUP($C302,REV!$C:$AA,20,0)-'TRADE IN'!$F302))</f>
        <v>999</v>
      </c>
      <c r="W302" s="56">
        <f>IF(VLOOKUP($C302,REV!$C:$AA,21,0)-'TRADE IN'!$F302=0,"",(VLOOKUP($C302,REV!$C:$AA,21,0)-'TRADE IN'!$F302))</f>
        <v>999</v>
      </c>
      <c r="X302" s="56">
        <f>IF(VLOOKUP($C302,REV!$C:$AA,22,0)-'TRADE IN'!$F302=0,"",(VLOOKUP($C302,REV!$C:$AA,22,0)-'TRADE IN'!$F302))</f>
        <v>999</v>
      </c>
      <c r="Y302" s="56">
        <f>IF(VLOOKUP($C302,REV!$C:$AA,23,0)-'TRADE IN'!$F302=0,"",(VLOOKUP($C302,REV!$C:$AA,23,0)-'TRADE IN'!$F302))</f>
        <v>999</v>
      </c>
      <c r="Z302" s="56">
        <f>IF(VLOOKUP($C302,REV!$C:$AA,24,0)-'TRADE IN'!$F302=0,"",(VLOOKUP($C302,REV!$C:$AA,24,0)-'TRADE IN'!$F302))</f>
        <v>999</v>
      </c>
      <c r="AA302" s="56">
        <f>IF(VLOOKUP($C302,REV!$C:$AA,25,0)-'TRADE IN'!$F302=0,"",(VLOOKUP($C302,REV!$C:$AA,25,0)-'TRADE IN'!$F302))</f>
        <v>999</v>
      </c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7"/>
      <c r="AW302" s="58" t="str">
        <f>REV!AW302</f>
        <v>03.11.2026</v>
      </c>
      <c r="AX302" s="147" t="str">
        <f>VLOOKUP(C302,REV!C:AX,48,0)</f>
        <v>5G</v>
      </c>
    </row>
    <row r="303" spans="1:50" ht="22.5" customHeight="1">
      <c r="A303" s="64" t="s">
        <v>241</v>
      </c>
      <c r="B303" s="52" t="s">
        <v>64</v>
      </c>
      <c r="C303" s="53">
        <v>4016974</v>
      </c>
      <c r="D303" s="65" t="s">
        <v>473</v>
      </c>
      <c r="E303" s="65" t="s">
        <v>474</v>
      </c>
      <c r="F303" s="55"/>
      <c r="G303" s="55"/>
      <c r="H303" s="55"/>
      <c r="I303" s="55"/>
      <c r="J303" s="56">
        <f>IF(VLOOKUP($C303,REV!$C:$AA,8,0)-'TRADE IN'!$F303=0,"",(VLOOKUP($C303,REV!$C:$AA,8,0)-'TRADE IN'!$F303))</f>
        <v>1799</v>
      </c>
      <c r="K303" s="56">
        <f>IF(VLOOKUP($C303,REV!$C:$AA,9,0)-'TRADE IN'!$F303=0,"",(VLOOKUP($C303,REV!$C:$AA,9,0)-'TRADE IN'!$F303))</f>
        <v>1599</v>
      </c>
      <c r="L303" s="56">
        <f>IF(VLOOKUP($C303,REV!$C:$AA,10,0)-'TRADE IN'!$F303=0,"",(VLOOKUP($C303,REV!$C:$AA,10,0)-'TRADE IN'!$F303))</f>
        <v>1599</v>
      </c>
      <c r="M303" s="56">
        <f>IF(VLOOKUP($C303,REV!$C:$AA,11,0)-'TRADE IN'!$F303=0,"",(VLOOKUP($C303,REV!$C:$AA,11,0)-'TRADE IN'!$F303))</f>
        <v>1799</v>
      </c>
      <c r="N303" s="56">
        <f>IF(VLOOKUP($C303,REV!$C:$AA,12,0)-'TRADE IN'!$F303=0,"",(VLOOKUP($C303,REV!$C:$AA,12,0)-'TRADE IN'!$F303))</f>
        <v>1599</v>
      </c>
      <c r="O303" s="56">
        <f>IF(VLOOKUP($C303,REV!$C:$AA,13,0)-'TRADE IN'!$F303=0,"",(VLOOKUP($C303,REV!$C:$AA,13,0)-'TRADE IN'!$F303))</f>
        <v>1549</v>
      </c>
      <c r="P303" s="56">
        <f>IF(VLOOKUP($C303,REV!$C:$AA,14,0)-'TRADE IN'!$F303=0,"",(VLOOKUP($C303,REV!$C:$AA,14,0)-'TRADE IN'!$F303))</f>
        <v>1499</v>
      </c>
      <c r="Q303" s="56">
        <f>IF(VLOOKUP($C303,REV!$C:$AA,15,0)-'TRADE IN'!$F303=0,"",(VLOOKUP($C303,REV!$C:$AA,15,0)-'TRADE IN'!$F303))</f>
        <v>1299</v>
      </c>
      <c r="R303" s="56">
        <f>IF(VLOOKUP($C303,REV!$C:$AA,16,0)-'TRADE IN'!$F303=0,"",(VLOOKUP($C303,REV!$C:$AA,16,0)-'TRADE IN'!$F303))</f>
        <v>1549</v>
      </c>
      <c r="S303" s="56">
        <f>IF(VLOOKUP($C303,REV!$C:$AA,17,0)-'TRADE IN'!$F303=0,"",(VLOOKUP($C303,REV!$C:$AA,17,0)-'TRADE IN'!$F303))</f>
        <v>1499</v>
      </c>
      <c r="T303" s="56">
        <f>IF(VLOOKUP($C303,REV!$C:$AA,18,0)-'TRADE IN'!$F303=0,"",(VLOOKUP($C303,REV!$C:$AA,18,0)-'TRADE IN'!$F303))</f>
        <v>1299</v>
      </c>
      <c r="U303" s="56">
        <f>IF(VLOOKUP($C303,REV!$C:$AA,19,0)-'TRADE IN'!$F303=0,"",(VLOOKUP($C303,REV!$C:$AA,19,0)-'TRADE IN'!$F303))</f>
        <v>1299</v>
      </c>
      <c r="V303" s="56">
        <f>IF(VLOOKUP($C303,REV!$C:$AA,20,0)-'TRADE IN'!$F303=0,"",(VLOOKUP($C303,REV!$C:$AA,20,0)-'TRADE IN'!$F303))</f>
        <v>1299</v>
      </c>
      <c r="W303" s="56">
        <f>IF(VLOOKUP($C303,REV!$C:$AA,21,0)-'TRADE IN'!$F303=0,"",(VLOOKUP($C303,REV!$C:$AA,21,0)-'TRADE IN'!$F303))</f>
        <v>1299</v>
      </c>
      <c r="X303" s="56">
        <f>IF(VLOOKUP($C303,REV!$C:$AA,22,0)-'TRADE IN'!$F303=0,"",(VLOOKUP($C303,REV!$C:$AA,22,0)-'TRADE IN'!$F303))</f>
        <v>1299</v>
      </c>
      <c r="Y303" s="56">
        <f>IF(VLOOKUP($C303,REV!$C:$AA,23,0)-'TRADE IN'!$F303=0,"",(VLOOKUP($C303,REV!$C:$AA,23,0)-'TRADE IN'!$F303))</f>
        <v>1299</v>
      </c>
      <c r="Z303" s="56">
        <f>IF(VLOOKUP($C303,REV!$C:$AA,24,0)-'TRADE IN'!$F303=0,"",(VLOOKUP($C303,REV!$C:$AA,24,0)-'TRADE IN'!$F303))</f>
        <v>1299</v>
      </c>
      <c r="AA303" s="56">
        <f>IF(VLOOKUP($C303,REV!$C:$AA,25,0)-'TRADE IN'!$F303=0,"",(VLOOKUP($C303,REV!$C:$AA,25,0)-'TRADE IN'!$F303))</f>
        <v>1299</v>
      </c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7"/>
      <c r="AW303" s="58" t="str">
        <f>REV!AW303</f>
        <v>03.11.2026</v>
      </c>
      <c r="AX303" s="147" t="str">
        <f>VLOOKUP(C303,REV!C:AX,48,0)</f>
        <v>5G</v>
      </c>
    </row>
    <row r="304" spans="1:50" ht="22.5" customHeight="1">
      <c r="A304" s="64" t="s">
        <v>241</v>
      </c>
      <c r="B304" s="52" t="s">
        <v>64</v>
      </c>
      <c r="C304" s="53">
        <v>4016989</v>
      </c>
      <c r="D304" s="65" t="s">
        <v>473</v>
      </c>
      <c r="E304" s="65" t="s">
        <v>475</v>
      </c>
      <c r="F304" s="55"/>
      <c r="G304" s="55"/>
      <c r="H304" s="55"/>
      <c r="I304" s="55"/>
      <c r="J304" s="56">
        <f>IF(VLOOKUP($C304,REV!$C:$AA,8,0)-'TRADE IN'!$F304=0,"",(VLOOKUP($C304,REV!$C:$AA,8,0)-'TRADE IN'!$F304))</f>
        <v>1799</v>
      </c>
      <c r="K304" s="56">
        <f>IF(VLOOKUP($C304,REV!$C:$AA,9,0)-'TRADE IN'!$F304=0,"",(VLOOKUP($C304,REV!$C:$AA,9,0)-'TRADE IN'!$F304))</f>
        <v>1599</v>
      </c>
      <c r="L304" s="56">
        <f>IF(VLOOKUP($C304,REV!$C:$AA,10,0)-'TRADE IN'!$F304=0,"",(VLOOKUP($C304,REV!$C:$AA,10,0)-'TRADE IN'!$F304))</f>
        <v>1599</v>
      </c>
      <c r="M304" s="56">
        <f>IF(VLOOKUP($C304,REV!$C:$AA,11,0)-'TRADE IN'!$F304=0,"",(VLOOKUP($C304,REV!$C:$AA,11,0)-'TRADE IN'!$F304))</f>
        <v>1799</v>
      </c>
      <c r="N304" s="56">
        <f>IF(VLOOKUP($C304,REV!$C:$AA,12,0)-'TRADE IN'!$F304=0,"",(VLOOKUP($C304,REV!$C:$AA,12,0)-'TRADE IN'!$F304))</f>
        <v>1599</v>
      </c>
      <c r="O304" s="56">
        <f>IF(VLOOKUP($C304,REV!$C:$AA,13,0)-'TRADE IN'!$F304=0,"",(VLOOKUP($C304,REV!$C:$AA,13,0)-'TRADE IN'!$F304))</f>
        <v>1549</v>
      </c>
      <c r="P304" s="56">
        <f>IF(VLOOKUP($C304,REV!$C:$AA,14,0)-'TRADE IN'!$F304=0,"",(VLOOKUP($C304,REV!$C:$AA,14,0)-'TRADE IN'!$F304))</f>
        <v>1499</v>
      </c>
      <c r="Q304" s="56">
        <f>IF(VLOOKUP($C304,REV!$C:$AA,15,0)-'TRADE IN'!$F304=0,"",(VLOOKUP($C304,REV!$C:$AA,15,0)-'TRADE IN'!$F304))</f>
        <v>1299</v>
      </c>
      <c r="R304" s="56">
        <f>IF(VLOOKUP($C304,REV!$C:$AA,16,0)-'TRADE IN'!$F304=0,"",(VLOOKUP($C304,REV!$C:$AA,16,0)-'TRADE IN'!$F304))</f>
        <v>1549</v>
      </c>
      <c r="S304" s="56">
        <f>IF(VLOOKUP($C304,REV!$C:$AA,17,0)-'TRADE IN'!$F304=0,"",(VLOOKUP($C304,REV!$C:$AA,17,0)-'TRADE IN'!$F304))</f>
        <v>1499</v>
      </c>
      <c r="T304" s="56">
        <f>IF(VLOOKUP($C304,REV!$C:$AA,18,0)-'TRADE IN'!$F304=0,"",(VLOOKUP($C304,REV!$C:$AA,18,0)-'TRADE IN'!$F304))</f>
        <v>1299</v>
      </c>
      <c r="U304" s="56">
        <f>IF(VLOOKUP($C304,REV!$C:$AA,19,0)-'TRADE IN'!$F304=0,"",(VLOOKUP($C304,REV!$C:$AA,19,0)-'TRADE IN'!$F304))</f>
        <v>1299</v>
      </c>
      <c r="V304" s="56">
        <f>IF(VLOOKUP($C304,REV!$C:$AA,20,0)-'TRADE IN'!$F304=0,"",(VLOOKUP($C304,REV!$C:$AA,20,0)-'TRADE IN'!$F304))</f>
        <v>1299</v>
      </c>
      <c r="W304" s="56">
        <f>IF(VLOOKUP($C304,REV!$C:$AA,21,0)-'TRADE IN'!$F304=0,"",(VLOOKUP($C304,REV!$C:$AA,21,0)-'TRADE IN'!$F304))</f>
        <v>1299</v>
      </c>
      <c r="X304" s="56">
        <f>IF(VLOOKUP($C304,REV!$C:$AA,22,0)-'TRADE IN'!$F304=0,"",(VLOOKUP($C304,REV!$C:$AA,22,0)-'TRADE IN'!$F304))</f>
        <v>1299</v>
      </c>
      <c r="Y304" s="56">
        <f>IF(VLOOKUP($C304,REV!$C:$AA,23,0)-'TRADE IN'!$F304=0,"",(VLOOKUP($C304,REV!$C:$AA,23,0)-'TRADE IN'!$F304))</f>
        <v>1299</v>
      </c>
      <c r="Z304" s="56">
        <f>IF(VLOOKUP($C304,REV!$C:$AA,24,0)-'TRADE IN'!$F304=0,"",(VLOOKUP($C304,REV!$C:$AA,24,0)-'TRADE IN'!$F304))</f>
        <v>1299</v>
      </c>
      <c r="AA304" s="56">
        <f>IF(VLOOKUP($C304,REV!$C:$AA,25,0)-'TRADE IN'!$F304=0,"",(VLOOKUP($C304,REV!$C:$AA,25,0)-'TRADE IN'!$F304))</f>
        <v>1299</v>
      </c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7"/>
      <c r="AW304" s="58" t="str">
        <f>REV!AW304</f>
        <v>03.11.2026</v>
      </c>
      <c r="AX304" s="147" t="str">
        <f>VLOOKUP(C304,REV!C:AX,48,0)</f>
        <v>5G</v>
      </c>
    </row>
    <row r="305" spans="1:50" ht="22.5" customHeight="1">
      <c r="A305" s="64" t="s">
        <v>241</v>
      </c>
      <c r="B305" s="52" t="s">
        <v>64</v>
      </c>
      <c r="C305" s="53">
        <v>4016978</v>
      </c>
      <c r="D305" s="65" t="s">
        <v>473</v>
      </c>
      <c r="E305" s="65" t="s">
        <v>476</v>
      </c>
      <c r="F305" s="55"/>
      <c r="G305" s="55"/>
      <c r="H305" s="55"/>
      <c r="I305" s="55"/>
      <c r="J305" s="56">
        <f>IF(VLOOKUP($C305,REV!$C:$AA,8,0)-'TRADE IN'!$F305=0,"",(VLOOKUP($C305,REV!$C:$AA,8,0)-'TRADE IN'!$F305))</f>
        <v>1799</v>
      </c>
      <c r="K305" s="56">
        <f>IF(VLOOKUP($C305,REV!$C:$AA,9,0)-'TRADE IN'!$F305=0,"",(VLOOKUP($C305,REV!$C:$AA,9,0)-'TRADE IN'!$F305))</f>
        <v>1599</v>
      </c>
      <c r="L305" s="56">
        <f>IF(VLOOKUP($C305,REV!$C:$AA,10,0)-'TRADE IN'!$F305=0,"",(VLOOKUP($C305,REV!$C:$AA,10,0)-'TRADE IN'!$F305))</f>
        <v>1599</v>
      </c>
      <c r="M305" s="56">
        <f>IF(VLOOKUP($C305,REV!$C:$AA,11,0)-'TRADE IN'!$F305=0,"",(VLOOKUP($C305,REV!$C:$AA,11,0)-'TRADE IN'!$F305))</f>
        <v>1799</v>
      </c>
      <c r="N305" s="56">
        <f>IF(VLOOKUP($C305,REV!$C:$AA,12,0)-'TRADE IN'!$F305=0,"",(VLOOKUP($C305,REV!$C:$AA,12,0)-'TRADE IN'!$F305))</f>
        <v>1599</v>
      </c>
      <c r="O305" s="56">
        <f>IF(VLOOKUP($C305,REV!$C:$AA,13,0)-'TRADE IN'!$F305=0,"",(VLOOKUP($C305,REV!$C:$AA,13,0)-'TRADE IN'!$F305))</f>
        <v>1549</v>
      </c>
      <c r="P305" s="56">
        <f>IF(VLOOKUP($C305,REV!$C:$AA,14,0)-'TRADE IN'!$F305=0,"",(VLOOKUP($C305,REV!$C:$AA,14,0)-'TRADE IN'!$F305))</f>
        <v>1499</v>
      </c>
      <c r="Q305" s="56">
        <f>IF(VLOOKUP($C305,REV!$C:$AA,15,0)-'TRADE IN'!$F305=0,"",(VLOOKUP($C305,REV!$C:$AA,15,0)-'TRADE IN'!$F305))</f>
        <v>1299</v>
      </c>
      <c r="R305" s="56">
        <f>IF(VLOOKUP($C305,REV!$C:$AA,16,0)-'TRADE IN'!$F305=0,"",(VLOOKUP($C305,REV!$C:$AA,16,0)-'TRADE IN'!$F305))</f>
        <v>1549</v>
      </c>
      <c r="S305" s="56">
        <f>IF(VLOOKUP($C305,REV!$C:$AA,17,0)-'TRADE IN'!$F305=0,"",(VLOOKUP($C305,REV!$C:$AA,17,0)-'TRADE IN'!$F305))</f>
        <v>1499</v>
      </c>
      <c r="T305" s="56">
        <f>IF(VLOOKUP($C305,REV!$C:$AA,18,0)-'TRADE IN'!$F305=0,"",(VLOOKUP($C305,REV!$C:$AA,18,0)-'TRADE IN'!$F305))</f>
        <v>1299</v>
      </c>
      <c r="U305" s="56">
        <f>IF(VLOOKUP($C305,REV!$C:$AA,19,0)-'TRADE IN'!$F305=0,"",(VLOOKUP($C305,REV!$C:$AA,19,0)-'TRADE IN'!$F305))</f>
        <v>1299</v>
      </c>
      <c r="V305" s="56">
        <f>IF(VLOOKUP($C305,REV!$C:$AA,20,0)-'TRADE IN'!$F305=0,"",(VLOOKUP($C305,REV!$C:$AA,20,0)-'TRADE IN'!$F305))</f>
        <v>1299</v>
      </c>
      <c r="W305" s="56">
        <f>IF(VLOOKUP($C305,REV!$C:$AA,21,0)-'TRADE IN'!$F305=0,"",(VLOOKUP($C305,REV!$C:$AA,21,0)-'TRADE IN'!$F305))</f>
        <v>1299</v>
      </c>
      <c r="X305" s="56">
        <f>IF(VLOOKUP($C305,REV!$C:$AA,22,0)-'TRADE IN'!$F305=0,"",(VLOOKUP($C305,REV!$C:$AA,22,0)-'TRADE IN'!$F305))</f>
        <v>1299</v>
      </c>
      <c r="Y305" s="56">
        <f>IF(VLOOKUP($C305,REV!$C:$AA,23,0)-'TRADE IN'!$F305=0,"",(VLOOKUP($C305,REV!$C:$AA,23,0)-'TRADE IN'!$F305))</f>
        <v>1299</v>
      </c>
      <c r="Z305" s="56">
        <f>IF(VLOOKUP($C305,REV!$C:$AA,24,0)-'TRADE IN'!$F305=0,"",(VLOOKUP($C305,REV!$C:$AA,24,0)-'TRADE IN'!$F305))</f>
        <v>1299</v>
      </c>
      <c r="AA305" s="56">
        <f>IF(VLOOKUP($C305,REV!$C:$AA,25,0)-'TRADE IN'!$F305=0,"",(VLOOKUP($C305,REV!$C:$AA,25,0)-'TRADE IN'!$F305))</f>
        <v>1299</v>
      </c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7"/>
      <c r="AW305" s="58" t="str">
        <f>REV!AW305</f>
        <v>03.11.2026</v>
      </c>
      <c r="AX305" s="147" t="str">
        <f>VLOOKUP(C305,REV!C:AX,48,0)</f>
        <v>5G</v>
      </c>
    </row>
    <row r="306" spans="1:50" ht="22.5" customHeight="1">
      <c r="A306" s="64" t="s">
        <v>241</v>
      </c>
      <c r="B306" s="52" t="s">
        <v>64</v>
      </c>
      <c r="C306" s="53">
        <v>4016994</v>
      </c>
      <c r="D306" s="65" t="s">
        <v>473</v>
      </c>
      <c r="E306" s="65" t="s">
        <v>477</v>
      </c>
      <c r="F306" s="55"/>
      <c r="G306" s="55"/>
      <c r="H306" s="55"/>
      <c r="I306" s="55"/>
      <c r="J306" s="56">
        <f>IF(VLOOKUP($C306,REV!$C:$AA,8,0)-'TRADE IN'!$F306=0,"",(VLOOKUP($C306,REV!$C:$AA,8,0)-'TRADE IN'!$F306))</f>
        <v>1799</v>
      </c>
      <c r="K306" s="56">
        <f>IF(VLOOKUP($C306,REV!$C:$AA,9,0)-'TRADE IN'!$F306=0,"",(VLOOKUP($C306,REV!$C:$AA,9,0)-'TRADE IN'!$F306))</f>
        <v>1599</v>
      </c>
      <c r="L306" s="56">
        <f>IF(VLOOKUP($C306,REV!$C:$AA,10,0)-'TRADE IN'!$F306=0,"",(VLOOKUP($C306,REV!$C:$AA,10,0)-'TRADE IN'!$F306))</f>
        <v>1599</v>
      </c>
      <c r="M306" s="56">
        <f>IF(VLOOKUP($C306,REV!$C:$AA,11,0)-'TRADE IN'!$F306=0,"",(VLOOKUP($C306,REV!$C:$AA,11,0)-'TRADE IN'!$F306))</f>
        <v>1799</v>
      </c>
      <c r="N306" s="56">
        <f>IF(VLOOKUP($C306,REV!$C:$AA,12,0)-'TRADE IN'!$F306=0,"",(VLOOKUP($C306,REV!$C:$AA,12,0)-'TRADE IN'!$F306))</f>
        <v>1599</v>
      </c>
      <c r="O306" s="56">
        <f>IF(VLOOKUP($C306,REV!$C:$AA,13,0)-'TRADE IN'!$F306=0,"",(VLOOKUP($C306,REV!$C:$AA,13,0)-'TRADE IN'!$F306))</f>
        <v>1549</v>
      </c>
      <c r="P306" s="56">
        <f>IF(VLOOKUP($C306,REV!$C:$AA,14,0)-'TRADE IN'!$F306=0,"",(VLOOKUP($C306,REV!$C:$AA,14,0)-'TRADE IN'!$F306))</f>
        <v>1499</v>
      </c>
      <c r="Q306" s="56">
        <f>IF(VLOOKUP($C306,REV!$C:$AA,15,0)-'TRADE IN'!$F306=0,"",(VLOOKUP($C306,REV!$C:$AA,15,0)-'TRADE IN'!$F306))</f>
        <v>1299</v>
      </c>
      <c r="R306" s="56">
        <f>IF(VLOOKUP($C306,REV!$C:$AA,16,0)-'TRADE IN'!$F306=0,"",(VLOOKUP($C306,REV!$C:$AA,16,0)-'TRADE IN'!$F306))</f>
        <v>1549</v>
      </c>
      <c r="S306" s="56">
        <f>IF(VLOOKUP($C306,REV!$C:$AA,17,0)-'TRADE IN'!$F306=0,"",(VLOOKUP($C306,REV!$C:$AA,17,0)-'TRADE IN'!$F306))</f>
        <v>1499</v>
      </c>
      <c r="T306" s="56">
        <f>IF(VLOOKUP($C306,REV!$C:$AA,18,0)-'TRADE IN'!$F306=0,"",(VLOOKUP($C306,REV!$C:$AA,18,0)-'TRADE IN'!$F306))</f>
        <v>1299</v>
      </c>
      <c r="U306" s="56">
        <f>IF(VLOOKUP($C306,REV!$C:$AA,19,0)-'TRADE IN'!$F306=0,"",(VLOOKUP($C306,REV!$C:$AA,19,0)-'TRADE IN'!$F306))</f>
        <v>1299</v>
      </c>
      <c r="V306" s="56">
        <f>IF(VLOOKUP($C306,REV!$C:$AA,20,0)-'TRADE IN'!$F306=0,"",(VLOOKUP($C306,REV!$C:$AA,20,0)-'TRADE IN'!$F306))</f>
        <v>1299</v>
      </c>
      <c r="W306" s="56">
        <f>IF(VLOOKUP($C306,REV!$C:$AA,21,0)-'TRADE IN'!$F306=0,"",(VLOOKUP($C306,REV!$C:$AA,21,0)-'TRADE IN'!$F306))</f>
        <v>1299</v>
      </c>
      <c r="X306" s="56">
        <f>IF(VLOOKUP($C306,REV!$C:$AA,22,0)-'TRADE IN'!$F306=0,"",(VLOOKUP($C306,REV!$C:$AA,22,0)-'TRADE IN'!$F306))</f>
        <v>1299</v>
      </c>
      <c r="Y306" s="56">
        <f>IF(VLOOKUP($C306,REV!$C:$AA,23,0)-'TRADE IN'!$F306=0,"",(VLOOKUP($C306,REV!$C:$AA,23,0)-'TRADE IN'!$F306))</f>
        <v>1299</v>
      </c>
      <c r="Z306" s="56">
        <f>IF(VLOOKUP($C306,REV!$C:$AA,24,0)-'TRADE IN'!$F306=0,"",(VLOOKUP($C306,REV!$C:$AA,24,0)-'TRADE IN'!$F306))</f>
        <v>1299</v>
      </c>
      <c r="AA306" s="56">
        <f>IF(VLOOKUP($C306,REV!$C:$AA,25,0)-'TRADE IN'!$F306=0,"",(VLOOKUP($C306,REV!$C:$AA,25,0)-'TRADE IN'!$F306))</f>
        <v>1299</v>
      </c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7"/>
      <c r="AW306" s="58" t="str">
        <f>REV!AW306</f>
        <v>03.11.2026</v>
      </c>
      <c r="AX306" s="147" t="str">
        <f>VLOOKUP(C306,REV!C:AX,48,0)</f>
        <v>5G</v>
      </c>
    </row>
    <row r="307" spans="1:50" ht="22.5" customHeight="1">
      <c r="A307" s="64" t="s">
        <v>241</v>
      </c>
      <c r="B307" s="52" t="s">
        <v>64</v>
      </c>
      <c r="C307" s="53">
        <v>4017063</v>
      </c>
      <c r="D307" s="65" t="s">
        <v>473</v>
      </c>
      <c r="E307" s="65" t="s">
        <v>479</v>
      </c>
      <c r="F307" s="55"/>
      <c r="G307" s="55"/>
      <c r="H307" s="55"/>
      <c r="I307" s="55"/>
      <c r="J307" s="56">
        <f>IF(VLOOKUP($C307,REV!$C:$AA,8,0)-'TRADE IN'!$F307=0,"",(VLOOKUP($C307,REV!$C:$AA,8,0)-'TRADE IN'!$F307))</f>
        <v>1799</v>
      </c>
      <c r="K307" s="56">
        <f>IF(VLOOKUP($C307,REV!$C:$AA,9,0)-'TRADE IN'!$F307=0,"",(VLOOKUP($C307,REV!$C:$AA,9,0)-'TRADE IN'!$F307))</f>
        <v>1599</v>
      </c>
      <c r="L307" s="56">
        <f>IF(VLOOKUP($C307,REV!$C:$AA,10,0)-'TRADE IN'!$F307=0,"",(VLOOKUP($C307,REV!$C:$AA,10,0)-'TRADE IN'!$F307))</f>
        <v>1599</v>
      </c>
      <c r="M307" s="56">
        <f>IF(VLOOKUP($C307,REV!$C:$AA,11,0)-'TRADE IN'!$F307=0,"",(VLOOKUP($C307,REV!$C:$AA,11,0)-'TRADE IN'!$F307))</f>
        <v>1799</v>
      </c>
      <c r="N307" s="56">
        <f>IF(VLOOKUP($C307,REV!$C:$AA,12,0)-'TRADE IN'!$F307=0,"",(VLOOKUP($C307,REV!$C:$AA,12,0)-'TRADE IN'!$F307))</f>
        <v>1599</v>
      </c>
      <c r="O307" s="56">
        <f>IF(VLOOKUP($C307,REV!$C:$AA,13,0)-'TRADE IN'!$F307=0,"",(VLOOKUP($C307,REV!$C:$AA,13,0)-'TRADE IN'!$F307))</f>
        <v>1549</v>
      </c>
      <c r="P307" s="56">
        <f>IF(VLOOKUP($C307,REV!$C:$AA,14,0)-'TRADE IN'!$F307=0,"",(VLOOKUP($C307,REV!$C:$AA,14,0)-'TRADE IN'!$F307))</f>
        <v>1499</v>
      </c>
      <c r="Q307" s="56">
        <f>IF(VLOOKUP($C307,REV!$C:$AA,15,0)-'TRADE IN'!$F307=0,"",(VLOOKUP($C307,REV!$C:$AA,15,0)-'TRADE IN'!$F307))</f>
        <v>1299</v>
      </c>
      <c r="R307" s="56">
        <f>IF(VLOOKUP($C307,REV!$C:$AA,16,0)-'TRADE IN'!$F307=0,"",(VLOOKUP($C307,REV!$C:$AA,16,0)-'TRADE IN'!$F307))</f>
        <v>1549</v>
      </c>
      <c r="S307" s="56">
        <f>IF(VLOOKUP($C307,REV!$C:$AA,17,0)-'TRADE IN'!$F307=0,"",(VLOOKUP($C307,REV!$C:$AA,17,0)-'TRADE IN'!$F307))</f>
        <v>1499</v>
      </c>
      <c r="T307" s="56">
        <f>IF(VLOOKUP($C307,REV!$C:$AA,18,0)-'TRADE IN'!$F307=0,"",(VLOOKUP($C307,REV!$C:$AA,18,0)-'TRADE IN'!$F307))</f>
        <v>1299</v>
      </c>
      <c r="U307" s="56">
        <f>IF(VLOOKUP($C307,REV!$C:$AA,19,0)-'TRADE IN'!$F307=0,"",(VLOOKUP($C307,REV!$C:$AA,19,0)-'TRADE IN'!$F307))</f>
        <v>1299</v>
      </c>
      <c r="V307" s="56">
        <f>IF(VLOOKUP($C307,REV!$C:$AA,20,0)-'TRADE IN'!$F307=0,"",(VLOOKUP($C307,REV!$C:$AA,20,0)-'TRADE IN'!$F307))</f>
        <v>1299</v>
      </c>
      <c r="W307" s="56">
        <f>IF(VLOOKUP($C307,REV!$C:$AA,21,0)-'TRADE IN'!$F307=0,"",(VLOOKUP($C307,REV!$C:$AA,21,0)-'TRADE IN'!$F307))</f>
        <v>1299</v>
      </c>
      <c r="X307" s="56">
        <f>IF(VLOOKUP($C307,REV!$C:$AA,22,0)-'TRADE IN'!$F307=0,"",(VLOOKUP($C307,REV!$C:$AA,22,0)-'TRADE IN'!$F307))</f>
        <v>1299</v>
      </c>
      <c r="Y307" s="56">
        <f>IF(VLOOKUP($C307,REV!$C:$AA,23,0)-'TRADE IN'!$F307=0,"",(VLOOKUP($C307,REV!$C:$AA,23,0)-'TRADE IN'!$F307))</f>
        <v>1299</v>
      </c>
      <c r="Z307" s="56">
        <f>IF(VLOOKUP($C307,REV!$C:$AA,24,0)-'TRADE IN'!$F307=0,"",(VLOOKUP($C307,REV!$C:$AA,24,0)-'TRADE IN'!$F307))</f>
        <v>1299</v>
      </c>
      <c r="AA307" s="56">
        <f>IF(VLOOKUP($C307,REV!$C:$AA,25,0)-'TRADE IN'!$F307=0,"",(VLOOKUP($C307,REV!$C:$AA,25,0)-'TRADE IN'!$F307))</f>
        <v>1299</v>
      </c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7"/>
      <c r="AW307" s="58" t="str">
        <f>REV!AW307</f>
        <v>03.11.2026</v>
      </c>
      <c r="AX307" s="147" t="str">
        <f>VLOOKUP(C307,REV!C:AX,48,0)</f>
        <v>5G</v>
      </c>
    </row>
    <row r="308" spans="1:50" ht="22.5" customHeight="1">
      <c r="A308" s="64" t="s">
        <v>241</v>
      </c>
      <c r="B308" s="52" t="s">
        <v>64</v>
      </c>
      <c r="C308" s="53">
        <v>4017060</v>
      </c>
      <c r="D308" s="65" t="s">
        <v>473</v>
      </c>
      <c r="E308" s="65" t="s">
        <v>478</v>
      </c>
      <c r="F308" s="55"/>
      <c r="G308" s="55"/>
      <c r="H308" s="55"/>
      <c r="I308" s="55"/>
      <c r="J308" s="56">
        <f>IF(VLOOKUP($C308,REV!$C:$AA,8,0)-'TRADE IN'!$F308=0,"",(VLOOKUP($C308,REV!$C:$AA,8,0)-'TRADE IN'!$F308))</f>
        <v>1799</v>
      </c>
      <c r="K308" s="56">
        <f>IF(VLOOKUP($C308,REV!$C:$AA,9,0)-'TRADE IN'!$F308=0,"",(VLOOKUP($C308,REV!$C:$AA,9,0)-'TRADE IN'!$F308))</f>
        <v>1599</v>
      </c>
      <c r="L308" s="56">
        <f>IF(VLOOKUP($C308,REV!$C:$AA,10,0)-'TRADE IN'!$F308=0,"",(VLOOKUP($C308,REV!$C:$AA,10,0)-'TRADE IN'!$F308))</f>
        <v>1599</v>
      </c>
      <c r="M308" s="56">
        <f>IF(VLOOKUP($C308,REV!$C:$AA,11,0)-'TRADE IN'!$F308=0,"",(VLOOKUP($C308,REV!$C:$AA,11,0)-'TRADE IN'!$F308))</f>
        <v>1799</v>
      </c>
      <c r="N308" s="56">
        <f>IF(VLOOKUP($C308,REV!$C:$AA,12,0)-'TRADE IN'!$F308=0,"",(VLOOKUP($C308,REV!$C:$AA,12,0)-'TRADE IN'!$F308))</f>
        <v>1599</v>
      </c>
      <c r="O308" s="56">
        <f>IF(VLOOKUP($C308,REV!$C:$AA,13,0)-'TRADE IN'!$F308=0,"",(VLOOKUP($C308,REV!$C:$AA,13,0)-'TRADE IN'!$F308))</f>
        <v>1549</v>
      </c>
      <c r="P308" s="56">
        <f>IF(VLOOKUP($C308,REV!$C:$AA,14,0)-'TRADE IN'!$F308=0,"",(VLOOKUP($C308,REV!$C:$AA,14,0)-'TRADE IN'!$F308))</f>
        <v>1499</v>
      </c>
      <c r="Q308" s="56">
        <f>IF(VLOOKUP($C308,REV!$C:$AA,15,0)-'TRADE IN'!$F308=0,"",(VLOOKUP($C308,REV!$C:$AA,15,0)-'TRADE IN'!$F308))</f>
        <v>1299</v>
      </c>
      <c r="R308" s="56">
        <f>IF(VLOOKUP($C308,REV!$C:$AA,16,0)-'TRADE IN'!$F308=0,"",(VLOOKUP($C308,REV!$C:$AA,16,0)-'TRADE IN'!$F308))</f>
        <v>1549</v>
      </c>
      <c r="S308" s="56">
        <f>IF(VLOOKUP($C308,REV!$C:$AA,17,0)-'TRADE IN'!$F308=0,"",(VLOOKUP($C308,REV!$C:$AA,17,0)-'TRADE IN'!$F308))</f>
        <v>1499</v>
      </c>
      <c r="T308" s="56">
        <f>IF(VLOOKUP($C308,REV!$C:$AA,18,0)-'TRADE IN'!$F308=0,"",(VLOOKUP($C308,REV!$C:$AA,18,0)-'TRADE IN'!$F308))</f>
        <v>1299</v>
      </c>
      <c r="U308" s="56">
        <f>IF(VLOOKUP($C308,REV!$C:$AA,19,0)-'TRADE IN'!$F308=0,"",(VLOOKUP($C308,REV!$C:$AA,19,0)-'TRADE IN'!$F308))</f>
        <v>1299</v>
      </c>
      <c r="V308" s="56">
        <f>IF(VLOOKUP($C308,REV!$C:$AA,20,0)-'TRADE IN'!$F308=0,"",(VLOOKUP($C308,REV!$C:$AA,20,0)-'TRADE IN'!$F308))</f>
        <v>1299</v>
      </c>
      <c r="W308" s="56">
        <f>IF(VLOOKUP($C308,REV!$C:$AA,21,0)-'TRADE IN'!$F308=0,"",(VLOOKUP($C308,REV!$C:$AA,21,0)-'TRADE IN'!$F308))</f>
        <v>1299</v>
      </c>
      <c r="X308" s="56">
        <f>IF(VLOOKUP($C308,REV!$C:$AA,22,0)-'TRADE IN'!$F308=0,"",(VLOOKUP($C308,REV!$C:$AA,22,0)-'TRADE IN'!$F308))</f>
        <v>1299</v>
      </c>
      <c r="Y308" s="56">
        <f>IF(VLOOKUP($C308,REV!$C:$AA,23,0)-'TRADE IN'!$F308=0,"",(VLOOKUP($C308,REV!$C:$AA,23,0)-'TRADE IN'!$F308))</f>
        <v>1299</v>
      </c>
      <c r="Z308" s="56">
        <f>IF(VLOOKUP($C308,REV!$C:$AA,24,0)-'TRADE IN'!$F308=0,"",(VLOOKUP($C308,REV!$C:$AA,24,0)-'TRADE IN'!$F308))</f>
        <v>1299</v>
      </c>
      <c r="AA308" s="56">
        <f>IF(VLOOKUP($C308,REV!$C:$AA,25,0)-'TRADE IN'!$F308=0,"",(VLOOKUP($C308,REV!$C:$AA,25,0)-'TRADE IN'!$F308))</f>
        <v>1299</v>
      </c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7"/>
      <c r="AW308" s="58" t="str">
        <f>REV!AW308</f>
        <v>03.11.2026</v>
      </c>
      <c r="AX308" s="147" t="str">
        <f>VLOOKUP(C308,REV!C:AX,48,0)</f>
        <v>5G</v>
      </c>
    </row>
    <row r="309" spans="1:50" ht="22.5" customHeight="1">
      <c r="A309" s="64" t="s">
        <v>241</v>
      </c>
      <c r="B309" s="52" t="s">
        <v>64</v>
      </c>
      <c r="C309" s="53">
        <v>4017856</v>
      </c>
      <c r="D309" s="65" t="s">
        <v>480</v>
      </c>
      <c r="E309" s="65" t="s">
        <v>481</v>
      </c>
      <c r="F309" s="55">
        <v>300</v>
      </c>
      <c r="G309" s="55"/>
      <c r="H309" s="55"/>
      <c r="I309" s="55"/>
      <c r="J309" s="56">
        <f>IF(VLOOKUP($C309,REV!$C:$AA,8,0)-'TRADE IN'!$F309=0,"",(VLOOKUP($C309,REV!$C:$AA,8,0)-'TRADE IN'!$F309))</f>
        <v>1799</v>
      </c>
      <c r="K309" s="56">
        <f>IF(VLOOKUP($C309,REV!$C:$AA,9,0)-'TRADE IN'!$F309=0,"",(VLOOKUP($C309,REV!$C:$AA,9,0)-'TRADE IN'!$F309))</f>
        <v>1799</v>
      </c>
      <c r="L309" s="56">
        <f>IF(VLOOKUP($C309,REV!$C:$AA,10,0)-'TRADE IN'!$F309=0,"",(VLOOKUP($C309,REV!$C:$AA,10,0)-'TRADE IN'!$F309))</f>
        <v>1799</v>
      </c>
      <c r="M309" s="56">
        <f>IF(VLOOKUP($C309,REV!$C:$AA,11,0)-'TRADE IN'!$F309=0,"",(VLOOKUP($C309,REV!$C:$AA,11,0)-'TRADE IN'!$F309))</f>
        <v>1799</v>
      </c>
      <c r="N309" s="56">
        <f>IF(VLOOKUP($C309,REV!$C:$AA,12,0)-'TRADE IN'!$F309=0,"",(VLOOKUP($C309,REV!$C:$AA,12,0)-'TRADE IN'!$F309))</f>
        <v>1799</v>
      </c>
      <c r="O309" s="56">
        <f>IF(VLOOKUP($C309,REV!$C:$AA,13,0)-'TRADE IN'!$F309=0,"",(VLOOKUP($C309,REV!$C:$AA,13,0)-'TRADE IN'!$F309))</f>
        <v>1749</v>
      </c>
      <c r="P309" s="56">
        <f>IF(VLOOKUP($C309,REV!$C:$AA,14,0)-'TRADE IN'!$F309=0,"",(VLOOKUP($C309,REV!$C:$AA,14,0)-'TRADE IN'!$F309))</f>
        <v>1699</v>
      </c>
      <c r="Q309" s="56">
        <f>IF(VLOOKUP($C309,REV!$C:$AA,15,0)-'TRADE IN'!$F309=0,"",(VLOOKUP($C309,REV!$C:$AA,15,0)-'TRADE IN'!$F309))</f>
        <v>1199</v>
      </c>
      <c r="R309" s="56">
        <f>IF(VLOOKUP($C309,REV!$C:$AA,16,0)-'TRADE IN'!$F309=0,"",(VLOOKUP($C309,REV!$C:$AA,16,0)-'TRADE IN'!$F309))</f>
        <v>1749</v>
      </c>
      <c r="S309" s="56">
        <f>IF(VLOOKUP($C309,REV!$C:$AA,17,0)-'TRADE IN'!$F309=0,"",(VLOOKUP($C309,REV!$C:$AA,17,0)-'TRADE IN'!$F309))</f>
        <v>1699</v>
      </c>
      <c r="T309" s="56">
        <f>IF(VLOOKUP($C309,REV!$C:$AA,18,0)-'TRADE IN'!$F309=0,"",(VLOOKUP($C309,REV!$C:$AA,18,0)-'TRADE IN'!$F309))</f>
        <v>1199</v>
      </c>
      <c r="U309" s="56">
        <f>IF(VLOOKUP($C309,REV!$C:$AA,19,0)-'TRADE IN'!$F309=0,"",(VLOOKUP($C309,REV!$C:$AA,19,0)-'TRADE IN'!$F309))</f>
        <v>1199</v>
      </c>
      <c r="V309" s="56">
        <f>IF(VLOOKUP($C309,REV!$C:$AA,20,0)-'TRADE IN'!$F309=0,"",(VLOOKUP($C309,REV!$C:$AA,20,0)-'TRADE IN'!$F309))</f>
        <v>1199</v>
      </c>
      <c r="W309" s="56">
        <f>IF(VLOOKUP($C309,REV!$C:$AA,21,0)-'TRADE IN'!$F309=0,"",(VLOOKUP($C309,REV!$C:$AA,21,0)-'TRADE IN'!$F309))</f>
        <v>1199</v>
      </c>
      <c r="X309" s="56">
        <f>IF(VLOOKUP($C309,REV!$C:$AA,22,0)-'TRADE IN'!$F309=0,"",(VLOOKUP($C309,REV!$C:$AA,22,0)-'TRADE IN'!$F309))</f>
        <v>1099</v>
      </c>
      <c r="Y309" s="56">
        <f>IF(VLOOKUP($C309,REV!$C:$AA,23,0)-'TRADE IN'!$F309=0,"",(VLOOKUP($C309,REV!$C:$AA,23,0)-'TRADE IN'!$F309))</f>
        <v>1099</v>
      </c>
      <c r="Z309" s="56">
        <f>IF(VLOOKUP($C309,REV!$C:$AA,24,0)-'TRADE IN'!$F309=0,"",(VLOOKUP($C309,REV!$C:$AA,24,0)-'TRADE IN'!$F309))</f>
        <v>1099</v>
      </c>
      <c r="AA309" s="56">
        <f>IF(VLOOKUP($C309,REV!$C:$AA,25,0)-'TRADE IN'!$F309=0,"",(VLOOKUP($C309,REV!$C:$AA,25,0)-'TRADE IN'!$F309))</f>
        <v>1099</v>
      </c>
      <c r="AB309" s="55">
        <f>IF(VLOOKUP($C309,REV!$C:$AL,27,0)-'TRADE IN'!$F309=0,"",(VLOOKUP($C309,REV!$C:$AL,27,0)-'TRADE IN'!$F309))</f>
        <v>1799</v>
      </c>
      <c r="AC309" s="55">
        <f>IF(VLOOKUP($C309,REV!$C:$AL,28,0)-'TRADE IN'!$F309=0,"",(VLOOKUP($C309,REV!$C:$AL,28,0)-'TRADE IN'!$F309))</f>
        <v>1799</v>
      </c>
      <c r="AD309" s="55">
        <f>IF(VLOOKUP($C309,REV!$C:$AL,29,0)-'TRADE IN'!$F309=0,"",(VLOOKUP($C309,REV!$C:$AL,29,0)-'TRADE IN'!$F309))</f>
        <v>1799</v>
      </c>
      <c r="AE309" s="55">
        <f>IF(VLOOKUP($C309,REV!$C:$AL,30,0)-'TRADE IN'!$F309=0,"",(VLOOKUP($C309,REV!$C:$AL,30,0)-'TRADE IN'!$F309))</f>
        <v>1749</v>
      </c>
      <c r="AF309" s="55">
        <f>IF(VLOOKUP($C309,REV!$C:$AL,31,0)-'TRADE IN'!$F309=0,"",(VLOOKUP($C309,REV!$C:$AL,31,0)-'TRADE IN'!$F309))</f>
        <v>1699</v>
      </c>
      <c r="AG309" s="55">
        <f>IF(VLOOKUP($C309,REV!$C:$AL,31,0)-'TRADE IN'!$F309=0,"",(VLOOKUP($C309,REV!$C:$AL,31,0)-'TRADE IN'!$F309))</f>
        <v>1699</v>
      </c>
      <c r="AH309" s="55">
        <f>IF(VLOOKUP($C309,REV!$C:$AL,32,0)-'TRADE IN'!$F309=0,"",(VLOOKUP($C309,REV!$C:$AL,32,0)-'TRADE IN'!$F309))</f>
        <v>1199</v>
      </c>
      <c r="AI309" s="55">
        <f>IF(VLOOKUP($C309,REV!$C:$AL,33,0)-'TRADE IN'!$F309=0,"",(VLOOKUP($C309,REV!$C:$AL,33,0)-'TRADE IN'!$F309))</f>
        <v>1199</v>
      </c>
      <c r="AJ309" s="55">
        <f>IF(VLOOKUP($C309,REV!$C:$AL,34,0)-'TRADE IN'!$F309=0,"",(VLOOKUP($C309,REV!$C:$AL,34,0)-'TRADE IN'!$F309))</f>
        <v>1199</v>
      </c>
      <c r="AK309" s="55">
        <f>IF(VLOOKUP($C309,REV!$C:$AL,35,0)-'TRADE IN'!$F309=0,"",(VLOOKUP($C309,REV!$C:$AL,35,0)-'TRADE IN'!$F309))</f>
        <v>1199</v>
      </c>
      <c r="AL309" s="55">
        <f>IF(VLOOKUP($C309,REV!$C:$AL,36,0)-'TRADE IN'!$F309=0,"",(VLOOKUP($C309,REV!$C:$AL,36,0)-'TRADE IN'!$F309))</f>
        <v>1099</v>
      </c>
      <c r="AM309" s="55"/>
      <c r="AN309" s="55"/>
      <c r="AO309" s="55"/>
      <c r="AP309" s="55"/>
      <c r="AQ309" s="55"/>
      <c r="AR309" s="55"/>
      <c r="AS309" s="55"/>
      <c r="AT309" s="55"/>
      <c r="AU309" s="55"/>
      <c r="AV309" s="57"/>
      <c r="AW309" s="58" t="str">
        <f>REV!AW309</f>
        <v>03.11.2026</v>
      </c>
      <c r="AX309" s="147" t="str">
        <f>VLOOKUP(C309,REV!C:AX,48,0)</f>
        <v>5G</v>
      </c>
    </row>
    <row r="310" spans="1:50" ht="22.5" customHeight="1">
      <c r="A310" s="64" t="s">
        <v>241</v>
      </c>
      <c r="B310" s="52" t="s">
        <v>64</v>
      </c>
      <c r="C310" s="53">
        <v>4017873</v>
      </c>
      <c r="D310" s="65" t="s">
        <v>480</v>
      </c>
      <c r="E310" s="65" t="s">
        <v>482</v>
      </c>
      <c r="F310" s="55">
        <v>300</v>
      </c>
      <c r="G310" s="55"/>
      <c r="H310" s="55"/>
      <c r="I310" s="55"/>
      <c r="J310" s="56">
        <f>IF(VLOOKUP($C310,REV!$C:$AA,8,0)-'TRADE IN'!$F310=0,"",(VLOOKUP($C310,REV!$C:$AA,8,0)-'TRADE IN'!$F310))</f>
        <v>1799</v>
      </c>
      <c r="K310" s="56">
        <f>IF(VLOOKUP($C310,REV!$C:$AA,9,0)-'TRADE IN'!$F310=0,"",(VLOOKUP($C310,REV!$C:$AA,9,0)-'TRADE IN'!$F310))</f>
        <v>1799</v>
      </c>
      <c r="L310" s="56">
        <f>IF(VLOOKUP($C310,REV!$C:$AA,10,0)-'TRADE IN'!$F310=0,"",(VLOOKUP($C310,REV!$C:$AA,10,0)-'TRADE IN'!$F310))</f>
        <v>1799</v>
      </c>
      <c r="M310" s="56">
        <f>IF(VLOOKUP($C310,REV!$C:$AA,11,0)-'TRADE IN'!$F310=0,"",(VLOOKUP($C310,REV!$C:$AA,11,0)-'TRADE IN'!$F310))</f>
        <v>1799</v>
      </c>
      <c r="N310" s="56">
        <f>IF(VLOOKUP($C310,REV!$C:$AA,12,0)-'TRADE IN'!$F310=0,"",(VLOOKUP($C310,REV!$C:$AA,12,0)-'TRADE IN'!$F310))</f>
        <v>1799</v>
      </c>
      <c r="O310" s="56">
        <f>IF(VLOOKUP($C310,REV!$C:$AA,13,0)-'TRADE IN'!$F310=0,"",(VLOOKUP($C310,REV!$C:$AA,13,0)-'TRADE IN'!$F310))</f>
        <v>1749</v>
      </c>
      <c r="P310" s="56">
        <f>IF(VLOOKUP($C310,REV!$C:$AA,14,0)-'TRADE IN'!$F310=0,"",(VLOOKUP($C310,REV!$C:$AA,14,0)-'TRADE IN'!$F310))</f>
        <v>1699</v>
      </c>
      <c r="Q310" s="56">
        <f>IF(VLOOKUP($C310,REV!$C:$AA,15,0)-'TRADE IN'!$F310=0,"",(VLOOKUP($C310,REV!$C:$AA,15,0)-'TRADE IN'!$F310))</f>
        <v>1199</v>
      </c>
      <c r="R310" s="56">
        <f>IF(VLOOKUP($C310,REV!$C:$AA,16,0)-'TRADE IN'!$F310=0,"",(VLOOKUP($C310,REV!$C:$AA,16,0)-'TRADE IN'!$F310))</f>
        <v>1749</v>
      </c>
      <c r="S310" s="56">
        <f>IF(VLOOKUP($C310,REV!$C:$AA,17,0)-'TRADE IN'!$F310=0,"",(VLOOKUP($C310,REV!$C:$AA,17,0)-'TRADE IN'!$F310))</f>
        <v>1699</v>
      </c>
      <c r="T310" s="56">
        <f>IF(VLOOKUP($C310,REV!$C:$AA,18,0)-'TRADE IN'!$F310=0,"",(VLOOKUP($C310,REV!$C:$AA,18,0)-'TRADE IN'!$F310))</f>
        <v>1199</v>
      </c>
      <c r="U310" s="56">
        <f>IF(VLOOKUP($C310,REV!$C:$AA,19,0)-'TRADE IN'!$F310=0,"",(VLOOKUP($C310,REV!$C:$AA,19,0)-'TRADE IN'!$F310))</f>
        <v>1199</v>
      </c>
      <c r="V310" s="56">
        <f>IF(VLOOKUP($C310,REV!$C:$AA,20,0)-'TRADE IN'!$F310=0,"",(VLOOKUP($C310,REV!$C:$AA,20,0)-'TRADE IN'!$F310))</f>
        <v>1199</v>
      </c>
      <c r="W310" s="56">
        <f>IF(VLOOKUP($C310,REV!$C:$AA,21,0)-'TRADE IN'!$F310=0,"",(VLOOKUP($C310,REV!$C:$AA,21,0)-'TRADE IN'!$F310))</f>
        <v>1199</v>
      </c>
      <c r="X310" s="56">
        <f>IF(VLOOKUP($C310,REV!$C:$AA,22,0)-'TRADE IN'!$F310=0,"",(VLOOKUP($C310,REV!$C:$AA,22,0)-'TRADE IN'!$F310))</f>
        <v>1099</v>
      </c>
      <c r="Y310" s="56">
        <f>IF(VLOOKUP($C310,REV!$C:$AA,23,0)-'TRADE IN'!$F310=0,"",(VLOOKUP($C310,REV!$C:$AA,23,0)-'TRADE IN'!$F310))</f>
        <v>1099</v>
      </c>
      <c r="Z310" s="56">
        <f>IF(VLOOKUP($C310,REV!$C:$AA,24,0)-'TRADE IN'!$F310=0,"",(VLOOKUP($C310,REV!$C:$AA,24,0)-'TRADE IN'!$F310))</f>
        <v>1099</v>
      </c>
      <c r="AA310" s="56">
        <f>IF(VLOOKUP($C310,REV!$C:$AA,25,0)-'TRADE IN'!$F310=0,"",(VLOOKUP($C310,REV!$C:$AA,25,0)-'TRADE IN'!$F310))</f>
        <v>1099</v>
      </c>
      <c r="AB310" s="55">
        <f>IF(VLOOKUP($C310,REV!$C:$AL,27,0)-'TRADE IN'!$F310=0,"",(VLOOKUP($C310,REV!$C:$AL,27,0)-'TRADE IN'!$F310))</f>
        <v>1799</v>
      </c>
      <c r="AC310" s="55">
        <f>IF(VLOOKUP($C310,REV!$C:$AL,28,0)-'TRADE IN'!$F310=0,"",(VLOOKUP($C310,REV!$C:$AL,28,0)-'TRADE IN'!$F310))</f>
        <v>1799</v>
      </c>
      <c r="AD310" s="55">
        <f>IF(VLOOKUP($C310,REV!$C:$AL,29,0)-'TRADE IN'!$F310=0,"",(VLOOKUP($C310,REV!$C:$AL,29,0)-'TRADE IN'!$F310))</f>
        <v>1799</v>
      </c>
      <c r="AE310" s="55">
        <f>IF(VLOOKUP($C310,REV!$C:$AL,30,0)-'TRADE IN'!$F310=0,"",(VLOOKUP($C310,REV!$C:$AL,30,0)-'TRADE IN'!$F310))</f>
        <v>1749</v>
      </c>
      <c r="AF310" s="55">
        <f>IF(VLOOKUP($C310,REV!$C:$AL,31,0)-'TRADE IN'!$F310=0,"",(VLOOKUP($C310,REV!$C:$AL,31,0)-'TRADE IN'!$F310))</f>
        <v>1699</v>
      </c>
      <c r="AG310" s="55">
        <f>IF(VLOOKUP($C310,REV!$C:$AL,31,0)-'TRADE IN'!$F310=0,"",(VLOOKUP($C310,REV!$C:$AL,31,0)-'TRADE IN'!$F310))</f>
        <v>1699</v>
      </c>
      <c r="AH310" s="55">
        <f>IF(VLOOKUP($C310,REV!$C:$AL,32,0)-'TRADE IN'!$F310=0,"",(VLOOKUP($C310,REV!$C:$AL,32,0)-'TRADE IN'!$F310))</f>
        <v>1199</v>
      </c>
      <c r="AI310" s="55">
        <f>IF(VLOOKUP($C310,REV!$C:$AL,33,0)-'TRADE IN'!$F310=0,"",(VLOOKUP($C310,REV!$C:$AL,33,0)-'TRADE IN'!$F310))</f>
        <v>1199</v>
      </c>
      <c r="AJ310" s="55">
        <f>IF(VLOOKUP($C310,REV!$C:$AL,34,0)-'TRADE IN'!$F310=0,"",(VLOOKUP($C310,REV!$C:$AL,34,0)-'TRADE IN'!$F310))</f>
        <v>1199</v>
      </c>
      <c r="AK310" s="55">
        <f>IF(VLOOKUP($C310,REV!$C:$AL,35,0)-'TRADE IN'!$F310=0,"",(VLOOKUP($C310,REV!$C:$AL,35,0)-'TRADE IN'!$F310))</f>
        <v>1199</v>
      </c>
      <c r="AL310" s="55">
        <f>IF(VLOOKUP($C310,REV!$C:$AL,36,0)-'TRADE IN'!$F310=0,"",(VLOOKUP($C310,REV!$C:$AL,36,0)-'TRADE IN'!$F310))</f>
        <v>1099</v>
      </c>
      <c r="AM310" s="55"/>
      <c r="AN310" s="55"/>
      <c r="AO310" s="55"/>
      <c r="AP310" s="55"/>
      <c r="AQ310" s="55"/>
      <c r="AR310" s="55"/>
      <c r="AS310" s="55"/>
      <c r="AT310" s="55"/>
      <c r="AU310" s="55"/>
      <c r="AV310" s="57"/>
      <c r="AW310" s="58" t="str">
        <f>REV!AW310</f>
        <v>03.11.2026</v>
      </c>
      <c r="AX310" s="147" t="str">
        <f>VLOOKUP(C310,REV!C:AX,48,0)</f>
        <v>5G</v>
      </c>
    </row>
    <row r="311" spans="1:50" ht="22.5" customHeight="1">
      <c r="A311" s="64" t="s">
        <v>241</v>
      </c>
      <c r="B311" s="52" t="s">
        <v>64</v>
      </c>
      <c r="C311" s="53">
        <v>4017838</v>
      </c>
      <c r="D311" s="65" t="s">
        <v>480</v>
      </c>
      <c r="E311" s="65" t="s">
        <v>483</v>
      </c>
      <c r="F311" s="55">
        <v>300</v>
      </c>
      <c r="G311" s="55"/>
      <c r="H311" s="55"/>
      <c r="I311" s="55"/>
      <c r="J311" s="56">
        <f>IF(VLOOKUP($C311,REV!$C:$AA,8,0)-'TRADE IN'!$F311=0,"",(VLOOKUP($C311,REV!$C:$AA,8,0)-'TRADE IN'!$F311))</f>
        <v>1799</v>
      </c>
      <c r="K311" s="56">
        <f>IF(VLOOKUP($C311,REV!$C:$AA,9,0)-'TRADE IN'!$F311=0,"",(VLOOKUP($C311,REV!$C:$AA,9,0)-'TRADE IN'!$F311))</f>
        <v>1799</v>
      </c>
      <c r="L311" s="56">
        <f>IF(VLOOKUP($C311,REV!$C:$AA,10,0)-'TRADE IN'!$F311=0,"",(VLOOKUP($C311,REV!$C:$AA,10,0)-'TRADE IN'!$F311))</f>
        <v>1799</v>
      </c>
      <c r="M311" s="56">
        <f>IF(VLOOKUP($C311,REV!$C:$AA,11,0)-'TRADE IN'!$F311=0,"",(VLOOKUP($C311,REV!$C:$AA,11,0)-'TRADE IN'!$F311))</f>
        <v>1799</v>
      </c>
      <c r="N311" s="56">
        <f>IF(VLOOKUP($C311,REV!$C:$AA,12,0)-'TRADE IN'!$F311=0,"",(VLOOKUP($C311,REV!$C:$AA,12,0)-'TRADE IN'!$F311))</f>
        <v>1799</v>
      </c>
      <c r="O311" s="56">
        <f>IF(VLOOKUP($C311,REV!$C:$AA,13,0)-'TRADE IN'!$F311=0,"",(VLOOKUP($C311,REV!$C:$AA,13,0)-'TRADE IN'!$F311))</f>
        <v>1749</v>
      </c>
      <c r="P311" s="56">
        <f>IF(VLOOKUP($C311,REV!$C:$AA,14,0)-'TRADE IN'!$F311=0,"",(VLOOKUP($C311,REV!$C:$AA,14,0)-'TRADE IN'!$F311))</f>
        <v>1699</v>
      </c>
      <c r="Q311" s="56">
        <f>IF(VLOOKUP($C311,REV!$C:$AA,15,0)-'TRADE IN'!$F311=0,"",(VLOOKUP($C311,REV!$C:$AA,15,0)-'TRADE IN'!$F311))</f>
        <v>1199</v>
      </c>
      <c r="R311" s="56">
        <f>IF(VLOOKUP($C311,REV!$C:$AA,16,0)-'TRADE IN'!$F311=0,"",(VLOOKUP($C311,REV!$C:$AA,16,0)-'TRADE IN'!$F311))</f>
        <v>1749</v>
      </c>
      <c r="S311" s="56">
        <f>IF(VLOOKUP($C311,REV!$C:$AA,17,0)-'TRADE IN'!$F311=0,"",(VLOOKUP($C311,REV!$C:$AA,17,0)-'TRADE IN'!$F311))</f>
        <v>1699</v>
      </c>
      <c r="T311" s="56">
        <f>IF(VLOOKUP($C311,REV!$C:$AA,18,0)-'TRADE IN'!$F311=0,"",(VLOOKUP($C311,REV!$C:$AA,18,0)-'TRADE IN'!$F311))</f>
        <v>1199</v>
      </c>
      <c r="U311" s="56">
        <f>IF(VLOOKUP($C311,REV!$C:$AA,19,0)-'TRADE IN'!$F311=0,"",(VLOOKUP($C311,REV!$C:$AA,19,0)-'TRADE IN'!$F311))</f>
        <v>1199</v>
      </c>
      <c r="V311" s="56">
        <f>IF(VLOOKUP($C311,REV!$C:$AA,20,0)-'TRADE IN'!$F311=0,"",(VLOOKUP($C311,REV!$C:$AA,20,0)-'TRADE IN'!$F311))</f>
        <v>1199</v>
      </c>
      <c r="W311" s="56">
        <f>IF(VLOOKUP($C311,REV!$C:$AA,21,0)-'TRADE IN'!$F311=0,"",(VLOOKUP($C311,REV!$C:$AA,21,0)-'TRADE IN'!$F311))</f>
        <v>1199</v>
      </c>
      <c r="X311" s="56">
        <f>IF(VLOOKUP($C311,REV!$C:$AA,22,0)-'TRADE IN'!$F311=0,"",(VLOOKUP($C311,REV!$C:$AA,22,0)-'TRADE IN'!$F311))</f>
        <v>1099</v>
      </c>
      <c r="Y311" s="56">
        <f>IF(VLOOKUP($C311,REV!$C:$AA,23,0)-'TRADE IN'!$F311=0,"",(VLOOKUP($C311,REV!$C:$AA,23,0)-'TRADE IN'!$F311))</f>
        <v>1099</v>
      </c>
      <c r="Z311" s="56">
        <f>IF(VLOOKUP($C311,REV!$C:$AA,24,0)-'TRADE IN'!$F311=0,"",(VLOOKUP($C311,REV!$C:$AA,24,0)-'TRADE IN'!$F311))</f>
        <v>1099</v>
      </c>
      <c r="AA311" s="56">
        <f>IF(VLOOKUP($C311,REV!$C:$AA,25,0)-'TRADE IN'!$F311=0,"",(VLOOKUP($C311,REV!$C:$AA,25,0)-'TRADE IN'!$F311))</f>
        <v>1099</v>
      </c>
      <c r="AB311" s="55">
        <f>IF(VLOOKUP($C311,REV!$C:$AL,27,0)-'TRADE IN'!$F311=0,"",(VLOOKUP($C311,REV!$C:$AL,27,0)-'TRADE IN'!$F311))</f>
        <v>1799</v>
      </c>
      <c r="AC311" s="55">
        <f>IF(VLOOKUP($C311,REV!$C:$AL,28,0)-'TRADE IN'!$F311=0,"",(VLOOKUP($C311,REV!$C:$AL,28,0)-'TRADE IN'!$F311))</f>
        <v>1799</v>
      </c>
      <c r="AD311" s="55">
        <f>IF(VLOOKUP($C311,REV!$C:$AL,29,0)-'TRADE IN'!$F311=0,"",(VLOOKUP($C311,REV!$C:$AL,29,0)-'TRADE IN'!$F311))</f>
        <v>1799</v>
      </c>
      <c r="AE311" s="55">
        <f>IF(VLOOKUP($C311,REV!$C:$AL,30,0)-'TRADE IN'!$F311=0,"",(VLOOKUP($C311,REV!$C:$AL,30,0)-'TRADE IN'!$F311))</f>
        <v>1749</v>
      </c>
      <c r="AF311" s="55">
        <f>IF(VLOOKUP($C311,REV!$C:$AL,31,0)-'TRADE IN'!$F311=0,"",(VLOOKUP($C311,REV!$C:$AL,31,0)-'TRADE IN'!$F311))</f>
        <v>1699</v>
      </c>
      <c r="AG311" s="55">
        <f>IF(VLOOKUP($C311,REV!$C:$AL,31,0)-'TRADE IN'!$F311=0,"",(VLOOKUP($C311,REV!$C:$AL,31,0)-'TRADE IN'!$F311))</f>
        <v>1699</v>
      </c>
      <c r="AH311" s="55">
        <f>IF(VLOOKUP($C311,REV!$C:$AL,32,0)-'TRADE IN'!$F311=0,"",(VLOOKUP($C311,REV!$C:$AL,32,0)-'TRADE IN'!$F311))</f>
        <v>1199</v>
      </c>
      <c r="AI311" s="55">
        <f>IF(VLOOKUP($C311,REV!$C:$AL,33,0)-'TRADE IN'!$F311=0,"",(VLOOKUP($C311,REV!$C:$AL,33,0)-'TRADE IN'!$F311))</f>
        <v>1199</v>
      </c>
      <c r="AJ311" s="55">
        <f>IF(VLOOKUP($C311,REV!$C:$AL,34,0)-'TRADE IN'!$F311=0,"",(VLOOKUP($C311,REV!$C:$AL,34,0)-'TRADE IN'!$F311))</f>
        <v>1199</v>
      </c>
      <c r="AK311" s="55">
        <f>IF(VLOOKUP($C311,REV!$C:$AL,35,0)-'TRADE IN'!$F311=0,"",(VLOOKUP($C311,REV!$C:$AL,35,0)-'TRADE IN'!$F311))</f>
        <v>1199</v>
      </c>
      <c r="AL311" s="55">
        <f>IF(VLOOKUP($C311,REV!$C:$AL,36,0)-'TRADE IN'!$F311=0,"",(VLOOKUP($C311,REV!$C:$AL,36,0)-'TRADE IN'!$F311))</f>
        <v>1099</v>
      </c>
      <c r="AM311" s="55"/>
      <c r="AN311" s="55"/>
      <c r="AO311" s="55"/>
      <c r="AP311" s="55"/>
      <c r="AQ311" s="55"/>
      <c r="AR311" s="55"/>
      <c r="AS311" s="55"/>
      <c r="AT311" s="55"/>
      <c r="AU311" s="55"/>
      <c r="AV311" s="57"/>
      <c r="AW311" s="58" t="str">
        <f>REV!AW311</f>
        <v>03.11.2026</v>
      </c>
      <c r="AX311" s="147" t="str">
        <f>VLOOKUP(C311,REV!C:AX,48,0)</f>
        <v>5G</v>
      </c>
    </row>
    <row r="312" spans="1:50" ht="22.5" customHeight="1">
      <c r="A312" s="64" t="s">
        <v>241</v>
      </c>
      <c r="B312" s="52" t="s">
        <v>64</v>
      </c>
      <c r="C312" s="53">
        <v>4017854</v>
      </c>
      <c r="D312" s="65" t="s">
        <v>480</v>
      </c>
      <c r="E312" s="65" t="s">
        <v>484</v>
      </c>
      <c r="F312" s="55">
        <v>300</v>
      </c>
      <c r="G312" s="55"/>
      <c r="H312" s="55"/>
      <c r="I312" s="55"/>
      <c r="J312" s="56">
        <f>IF(VLOOKUP($C312,REV!$C:$AA,8,0)-'TRADE IN'!$F312=0,"",(VLOOKUP($C312,REV!$C:$AA,8,0)-'TRADE IN'!$F312))</f>
        <v>1799</v>
      </c>
      <c r="K312" s="56">
        <f>IF(VLOOKUP($C312,REV!$C:$AA,9,0)-'TRADE IN'!$F312=0,"",(VLOOKUP($C312,REV!$C:$AA,9,0)-'TRADE IN'!$F312))</f>
        <v>1799</v>
      </c>
      <c r="L312" s="56">
        <f>IF(VLOOKUP($C312,REV!$C:$AA,10,0)-'TRADE IN'!$F312=0,"",(VLOOKUP($C312,REV!$C:$AA,10,0)-'TRADE IN'!$F312))</f>
        <v>1799</v>
      </c>
      <c r="M312" s="56">
        <f>IF(VLOOKUP($C312,REV!$C:$AA,11,0)-'TRADE IN'!$F312=0,"",(VLOOKUP($C312,REV!$C:$AA,11,0)-'TRADE IN'!$F312))</f>
        <v>1799</v>
      </c>
      <c r="N312" s="56">
        <f>IF(VLOOKUP($C312,REV!$C:$AA,12,0)-'TRADE IN'!$F312=0,"",(VLOOKUP($C312,REV!$C:$AA,12,0)-'TRADE IN'!$F312))</f>
        <v>1799</v>
      </c>
      <c r="O312" s="56">
        <f>IF(VLOOKUP($C312,REV!$C:$AA,13,0)-'TRADE IN'!$F312=0,"",(VLOOKUP($C312,REV!$C:$AA,13,0)-'TRADE IN'!$F312))</f>
        <v>1749</v>
      </c>
      <c r="P312" s="56">
        <f>IF(VLOOKUP($C312,REV!$C:$AA,14,0)-'TRADE IN'!$F312=0,"",(VLOOKUP($C312,REV!$C:$AA,14,0)-'TRADE IN'!$F312))</f>
        <v>1699</v>
      </c>
      <c r="Q312" s="56">
        <f>IF(VLOOKUP($C312,REV!$C:$AA,15,0)-'TRADE IN'!$F312=0,"",(VLOOKUP($C312,REV!$C:$AA,15,0)-'TRADE IN'!$F312))</f>
        <v>1199</v>
      </c>
      <c r="R312" s="56">
        <f>IF(VLOOKUP($C312,REV!$C:$AA,16,0)-'TRADE IN'!$F312=0,"",(VLOOKUP($C312,REV!$C:$AA,16,0)-'TRADE IN'!$F312))</f>
        <v>1749</v>
      </c>
      <c r="S312" s="56">
        <f>IF(VLOOKUP($C312,REV!$C:$AA,17,0)-'TRADE IN'!$F312=0,"",(VLOOKUP($C312,REV!$C:$AA,17,0)-'TRADE IN'!$F312))</f>
        <v>1699</v>
      </c>
      <c r="T312" s="56">
        <f>IF(VLOOKUP($C312,REV!$C:$AA,18,0)-'TRADE IN'!$F312=0,"",(VLOOKUP($C312,REV!$C:$AA,18,0)-'TRADE IN'!$F312))</f>
        <v>1199</v>
      </c>
      <c r="U312" s="56">
        <f>IF(VLOOKUP($C312,REV!$C:$AA,19,0)-'TRADE IN'!$F312=0,"",(VLOOKUP($C312,REV!$C:$AA,19,0)-'TRADE IN'!$F312))</f>
        <v>1199</v>
      </c>
      <c r="V312" s="56">
        <f>IF(VLOOKUP($C312,REV!$C:$AA,20,0)-'TRADE IN'!$F312=0,"",(VLOOKUP($C312,REV!$C:$AA,20,0)-'TRADE IN'!$F312))</f>
        <v>1199</v>
      </c>
      <c r="W312" s="56">
        <f>IF(VLOOKUP($C312,REV!$C:$AA,21,0)-'TRADE IN'!$F312=0,"",(VLOOKUP($C312,REV!$C:$AA,21,0)-'TRADE IN'!$F312))</f>
        <v>1199</v>
      </c>
      <c r="X312" s="56">
        <f>IF(VLOOKUP($C312,REV!$C:$AA,22,0)-'TRADE IN'!$F312=0,"",(VLOOKUP($C312,REV!$C:$AA,22,0)-'TRADE IN'!$F312))</f>
        <v>1099</v>
      </c>
      <c r="Y312" s="56">
        <f>IF(VLOOKUP($C312,REV!$C:$AA,23,0)-'TRADE IN'!$F312=0,"",(VLOOKUP($C312,REV!$C:$AA,23,0)-'TRADE IN'!$F312))</f>
        <v>1099</v>
      </c>
      <c r="Z312" s="56">
        <f>IF(VLOOKUP($C312,REV!$C:$AA,24,0)-'TRADE IN'!$F312=0,"",(VLOOKUP($C312,REV!$C:$AA,24,0)-'TRADE IN'!$F312))</f>
        <v>1099</v>
      </c>
      <c r="AA312" s="56">
        <f>IF(VLOOKUP($C312,REV!$C:$AA,25,0)-'TRADE IN'!$F312=0,"",(VLOOKUP($C312,REV!$C:$AA,25,0)-'TRADE IN'!$F312))</f>
        <v>1099</v>
      </c>
      <c r="AB312" s="55">
        <f>IF(VLOOKUP($C312,REV!$C:$AL,27,0)-'TRADE IN'!$F312=0,"",(VLOOKUP($C312,REV!$C:$AL,27,0)-'TRADE IN'!$F312))</f>
        <v>1799</v>
      </c>
      <c r="AC312" s="55">
        <f>IF(VLOOKUP($C312,REV!$C:$AL,28,0)-'TRADE IN'!$F312=0,"",(VLOOKUP($C312,REV!$C:$AL,28,0)-'TRADE IN'!$F312))</f>
        <v>1799</v>
      </c>
      <c r="AD312" s="55">
        <f>IF(VLOOKUP($C312,REV!$C:$AL,29,0)-'TRADE IN'!$F312=0,"",(VLOOKUP($C312,REV!$C:$AL,29,0)-'TRADE IN'!$F312))</f>
        <v>1799</v>
      </c>
      <c r="AE312" s="55">
        <f>IF(VLOOKUP($C312,REV!$C:$AL,30,0)-'TRADE IN'!$F312=0,"",(VLOOKUP($C312,REV!$C:$AL,30,0)-'TRADE IN'!$F312))</f>
        <v>1749</v>
      </c>
      <c r="AF312" s="55">
        <f>IF(VLOOKUP($C312,REV!$C:$AL,31,0)-'TRADE IN'!$F312=0,"",(VLOOKUP($C312,REV!$C:$AL,31,0)-'TRADE IN'!$F312))</f>
        <v>1699</v>
      </c>
      <c r="AG312" s="55">
        <f>IF(VLOOKUP($C312,REV!$C:$AL,31,0)-'TRADE IN'!$F312=0,"",(VLOOKUP($C312,REV!$C:$AL,31,0)-'TRADE IN'!$F312))</f>
        <v>1699</v>
      </c>
      <c r="AH312" s="55">
        <f>IF(VLOOKUP($C312,REV!$C:$AL,32,0)-'TRADE IN'!$F312=0,"",(VLOOKUP($C312,REV!$C:$AL,32,0)-'TRADE IN'!$F312))</f>
        <v>1199</v>
      </c>
      <c r="AI312" s="55">
        <f>IF(VLOOKUP($C312,REV!$C:$AL,33,0)-'TRADE IN'!$F312=0,"",(VLOOKUP($C312,REV!$C:$AL,33,0)-'TRADE IN'!$F312))</f>
        <v>1199</v>
      </c>
      <c r="AJ312" s="55">
        <f>IF(VLOOKUP($C312,REV!$C:$AL,34,0)-'TRADE IN'!$F312=0,"",(VLOOKUP($C312,REV!$C:$AL,34,0)-'TRADE IN'!$F312))</f>
        <v>1199</v>
      </c>
      <c r="AK312" s="55">
        <f>IF(VLOOKUP($C312,REV!$C:$AL,35,0)-'TRADE IN'!$F312=0,"",(VLOOKUP($C312,REV!$C:$AL,35,0)-'TRADE IN'!$F312))</f>
        <v>1199</v>
      </c>
      <c r="AL312" s="55">
        <f>IF(VLOOKUP($C312,REV!$C:$AL,36,0)-'TRADE IN'!$F312=0,"",(VLOOKUP($C312,REV!$C:$AL,36,0)-'TRADE IN'!$F312))</f>
        <v>1099</v>
      </c>
      <c r="AM312" s="55"/>
      <c r="AN312" s="55"/>
      <c r="AO312" s="55"/>
      <c r="AP312" s="55"/>
      <c r="AQ312" s="55"/>
      <c r="AR312" s="55"/>
      <c r="AS312" s="55"/>
      <c r="AT312" s="55"/>
      <c r="AU312" s="55"/>
      <c r="AV312" s="57"/>
      <c r="AW312" s="58" t="str">
        <f>REV!AW312</f>
        <v>03.11.2026</v>
      </c>
      <c r="AX312" s="147" t="str">
        <f>VLOOKUP(C312,REV!C:AX,48,0)</f>
        <v>5G</v>
      </c>
    </row>
    <row r="313" spans="1:50" ht="22.5" customHeight="1">
      <c r="A313" s="64" t="s">
        <v>241</v>
      </c>
      <c r="B313" s="52" t="s">
        <v>64</v>
      </c>
      <c r="C313" s="53">
        <v>4017850</v>
      </c>
      <c r="D313" s="65" t="s">
        <v>480</v>
      </c>
      <c r="E313" s="65" t="s">
        <v>485</v>
      </c>
      <c r="F313" s="55">
        <v>300</v>
      </c>
      <c r="G313" s="55"/>
      <c r="H313" s="55"/>
      <c r="I313" s="55"/>
      <c r="J313" s="56">
        <f>IF(VLOOKUP($C313,REV!$C:$AA,8,0)-'TRADE IN'!$F313=0,"",(VLOOKUP($C313,REV!$C:$AA,8,0)-'TRADE IN'!$F313))</f>
        <v>1799</v>
      </c>
      <c r="K313" s="56">
        <f>IF(VLOOKUP($C313,REV!$C:$AA,9,0)-'TRADE IN'!$F313=0,"",(VLOOKUP($C313,REV!$C:$AA,9,0)-'TRADE IN'!$F313))</f>
        <v>1799</v>
      </c>
      <c r="L313" s="56">
        <f>IF(VLOOKUP($C313,REV!$C:$AA,10,0)-'TRADE IN'!$F313=0,"",(VLOOKUP($C313,REV!$C:$AA,10,0)-'TRADE IN'!$F313))</f>
        <v>1799</v>
      </c>
      <c r="M313" s="56">
        <f>IF(VLOOKUP($C313,REV!$C:$AA,11,0)-'TRADE IN'!$F313=0,"",(VLOOKUP($C313,REV!$C:$AA,11,0)-'TRADE IN'!$F313))</f>
        <v>1799</v>
      </c>
      <c r="N313" s="56">
        <f>IF(VLOOKUP($C313,REV!$C:$AA,12,0)-'TRADE IN'!$F313=0,"",(VLOOKUP($C313,REV!$C:$AA,12,0)-'TRADE IN'!$F313))</f>
        <v>1799</v>
      </c>
      <c r="O313" s="56">
        <f>IF(VLOOKUP($C313,REV!$C:$AA,13,0)-'TRADE IN'!$F313=0,"",(VLOOKUP($C313,REV!$C:$AA,13,0)-'TRADE IN'!$F313))</f>
        <v>1749</v>
      </c>
      <c r="P313" s="56">
        <f>IF(VLOOKUP($C313,REV!$C:$AA,14,0)-'TRADE IN'!$F313=0,"",(VLOOKUP($C313,REV!$C:$AA,14,0)-'TRADE IN'!$F313))</f>
        <v>1699</v>
      </c>
      <c r="Q313" s="56">
        <f>IF(VLOOKUP($C313,REV!$C:$AA,15,0)-'TRADE IN'!$F313=0,"",(VLOOKUP($C313,REV!$C:$AA,15,0)-'TRADE IN'!$F313))</f>
        <v>1199</v>
      </c>
      <c r="R313" s="56">
        <f>IF(VLOOKUP($C313,REV!$C:$AA,16,0)-'TRADE IN'!$F313=0,"",(VLOOKUP($C313,REV!$C:$AA,16,0)-'TRADE IN'!$F313))</f>
        <v>1749</v>
      </c>
      <c r="S313" s="56">
        <f>IF(VLOOKUP($C313,REV!$C:$AA,17,0)-'TRADE IN'!$F313=0,"",(VLOOKUP($C313,REV!$C:$AA,17,0)-'TRADE IN'!$F313))</f>
        <v>1699</v>
      </c>
      <c r="T313" s="56">
        <f>IF(VLOOKUP($C313,REV!$C:$AA,18,0)-'TRADE IN'!$F313=0,"",(VLOOKUP($C313,REV!$C:$AA,18,0)-'TRADE IN'!$F313))</f>
        <v>1199</v>
      </c>
      <c r="U313" s="56">
        <f>IF(VLOOKUP($C313,REV!$C:$AA,19,0)-'TRADE IN'!$F313=0,"",(VLOOKUP($C313,REV!$C:$AA,19,0)-'TRADE IN'!$F313))</f>
        <v>1199</v>
      </c>
      <c r="V313" s="56">
        <f>IF(VLOOKUP($C313,REV!$C:$AA,20,0)-'TRADE IN'!$F313=0,"",(VLOOKUP($C313,REV!$C:$AA,20,0)-'TRADE IN'!$F313))</f>
        <v>1199</v>
      </c>
      <c r="W313" s="56">
        <f>IF(VLOOKUP($C313,REV!$C:$AA,21,0)-'TRADE IN'!$F313=0,"",(VLOOKUP($C313,REV!$C:$AA,21,0)-'TRADE IN'!$F313))</f>
        <v>1199</v>
      </c>
      <c r="X313" s="56">
        <f>IF(VLOOKUP($C313,REV!$C:$AA,22,0)-'TRADE IN'!$F313=0,"",(VLOOKUP($C313,REV!$C:$AA,22,0)-'TRADE IN'!$F313))</f>
        <v>1099</v>
      </c>
      <c r="Y313" s="56">
        <f>IF(VLOOKUP($C313,REV!$C:$AA,23,0)-'TRADE IN'!$F313=0,"",(VLOOKUP($C313,REV!$C:$AA,23,0)-'TRADE IN'!$F313))</f>
        <v>1099</v>
      </c>
      <c r="Z313" s="56">
        <f>IF(VLOOKUP($C313,REV!$C:$AA,24,0)-'TRADE IN'!$F313=0,"",(VLOOKUP($C313,REV!$C:$AA,24,0)-'TRADE IN'!$F313))</f>
        <v>1099</v>
      </c>
      <c r="AA313" s="56">
        <f>IF(VLOOKUP($C313,REV!$C:$AA,25,0)-'TRADE IN'!$F313=0,"",(VLOOKUP($C313,REV!$C:$AA,25,0)-'TRADE IN'!$F313))</f>
        <v>1099</v>
      </c>
      <c r="AB313" s="55">
        <f>IF(VLOOKUP($C313,REV!$C:$AL,27,0)-'TRADE IN'!$F313=0,"",(VLOOKUP($C313,REV!$C:$AL,27,0)-'TRADE IN'!$F313))</f>
        <v>1799</v>
      </c>
      <c r="AC313" s="55">
        <f>IF(VLOOKUP($C313,REV!$C:$AL,28,0)-'TRADE IN'!$F313=0,"",(VLOOKUP($C313,REV!$C:$AL,28,0)-'TRADE IN'!$F313))</f>
        <v>1799</v>
      </c>
      <c r="AD313" s="55">
        <f>IF(VLOOKUP($C313,REV!$C:$AL,29,0)-'TRADE IN'!$F313=0,"",(VLOOKUP($C313,REV!$C:$AL,29,0)-'TRADE IN'!$F313))</f>
        <v>1799</v>
      </c>
      <c r="AE313" s="55">
        <f>IF(VLOOKUP($C313,REV!$C:$AL,30,0)-'TRADE IN'!$F313=0,"",(VLOOKUP($C313,REV!$C:$AL,30,0)-'TRADE IN'!$F313))</f>
        <v>1749</v>
      </c>
      <c r="AF313" s="55">
        <f>IF(VLOOKUP($C313,REV!$C:$AL,31,0)-'TRADE IN'!$F313=0,"",(VLOOKUP($C313,REV!$C:$AL,31,0)-'TRADE IN'!$F313))</f>
        <v>1699</v>
      </c>
      <c r="AG313" s="55">
        <f>IF(VLOOKUP($C313,REV!$C:$AL,31,0)-'TRADE IN'!$F313=0,"",(VLOOKUP($C313,REV!$C:$AL,31,0)-'TRADE IN'!$F313))</f>
        <v>1699</v>
      </c>
      <c r="AH313" s="55">
        <f>IF(VLOOKUP($C313,REV!$C:$AL,32,0)-'TRADE IN'!$F313=0,"",(VLOOKUP($C313,REV!$C:$AL,32,0)-'TRADE IN'!$F313))</f>
        <v>1199</v>
      </c>
      <c r="AI313" s="55">
        <f>IF(VLOOKUP($C313,REV!$C:$AL,33,0)-'TRADE IN'!$F313=0,"",(VLOOKUP($C313,REV!$C:$AL,33,0)-'TRADE IN'!$F313))</f>
        <v>1199</v>
      </c>
      <c r="AJ313" s="55">
        <f>IF(VLOOKUP($C313,REV!$C:$AL,34,0)-'TRADE IN'!$F313=0,"",(VLOOKUP($C313,REV!$C:$AL,34,0)-'TRADE IN'!$F313))</f>
        <v>1199</v>
      </c>
      <c r="AK313" s="55">
        <f>IF(VLOOKUP($C313,REV!$C:$AL,35,0)-'TRADE IN'!$F313=0,"",(VLOOKUP($C313,REV!$C:$AL,35,0)-'TRADE IN'!$F313))</f>
        <v>1199</v>
      </c>
      <c r="AL313" s="55">
        <f>IF(VLOOKUP($C313,REV!$C:$AL,36,0)-'TRADE IN'!$F313=0,"",(VLOOKUP($C313,REV!$C:$AL,36,0)-'TRADE IN'!$F313))</f>
        <v>1099</v>
      </c>
      <c r="AM313" s="55"/>
      <c r="AN313" s="55"/>
      <c r="AO313" s="55"/>
      <c r="AP313" s="55"/>
      <c r="AQ313" s="55"/>
      <c r="AR313" s="55"/>
      <c r="AS313" s="55"/>
      <c r="AT313" s="55"/>
      <c r="AU313" s="55"/>
      <c r="AV313" s="57"/>
      <c r="AW313" s="58" t="str">
        <f>REV!AW313</f>
        <v>03.11.2026</v>
      </c>
      <c r="AX313" s="147" t="str">
        <f>VLOOKUP(C313,REV!C:AX,48,0)</f>
        <v>5G</v>
      </c>
    </row>
    <row r="314" spans="1:50" ht="22.5" customHeight="1">
      <c r="A314" s="64" t="s">
        <v>241</v>
      </c>
      <c r="B314" s="52" t="s">
        <v>64</v>
      </c>
      <c r="C314" s="53">
        <v>4017869</v>
      </c>
      <c r="D314" s="65" t="s">
        <v>480</v>
      </c>
      <c r="E314" s="65" t="s">
        <v>486</v>
      </c>
      <c r="F314" s="55">
        <v>300</v>
      </c>
      <c r="G314" s="55"/>
      <c r="H314" s="55"/>
      <c r="I314" s="55"/>
      <c r="J314" s="56">
        <f>IF(VLOOKUP($C314,REV!$C:$AA,8,0)-'TRADE IN'!$F314=0,"",(VLOOKUP($C314,REV!$C:$AA,8,0)-'TRADE IN'!$F314))</f>
        <v>1799</v>
      </c>
      <c r="K314" s="56">
        <f>IF(VLOOKUP($C314,REV!$C:$AA,9,0)-'TRADE IN'!$F314=0,"",(VLOOKUP($C314,REV!$C:$AA,9,0)-'TRADE IN'!$F314))</f>
        <v>1799</v>
      </c>
      <c r="L314" s="56">
        <f>IF(VLOOKUP($C314,REV!$C:$AA,10,0)-'TRADE IN'!$F314=0,"",(VLOOKUP($C314,REV!$C:$AA,10,0)-'TRADE IN'!$F314))</f>
        <v>1799</v>
      </c>
      <c r="M314" s="56">
        <f>IF(VLOOKUP($C314,REV!$C:$AA,11,0)-'TRADE IN'!$F314=0,"",(VLOOKUP($C314,REV!$C:$AA,11,0)-'TRADE IN'!$F314))</f>
        <v>1799</v>
      </c>
      <c r="N314" s="56">
        <f>IF(VLOOKUP($C314,REV!$C:$AA,12,0)-'TRADE IN'!$F314=0,"",(VLOOKUP($C314,REV!$C:$AA,12,0)-'TRADE IN'!$F314))</f>
        <v>1799</v>
      </c>
      <c r="O314" s="56">
        <f>IF(VLOOKUP($C314,REV!$C:$AA,13,0)-'TRADE IN'!$F314=0,"",(VLOOKUP($C314,REV!$C:$AA,13,0)-'TRADE IN'!$F314))</f>
        <v>1749</v>
      </c>
      <c r="P314" s="56">
        <f>IF(VLOOKUP($C314,REV!$C:$AA,14,0)-'TRADE IN'!$F314=0,"",(VLOOKUP($C314,REV!$C:$AA,14,0)-'TRADE IN'!$F314))</f>
        <v>1699</v>
      </c>
      <c r="Q314" s="56">
        <f>IF(VLOOKUP($C314,REV!$C:$AA,15,0)-'TRADE IN'!$F314=0,"",(VLOOKUP($C314,REV!$C:$AA,15,0)-'TRADE IN'!$F314))</f>
        <v>1199</v>
      </c>
      <c r="R314" s="56">
        <f>IF(VLOOKUP($C314,REV!$C:$AA,16,0)-'TRADE IN'!$F314=0,"",(VLOOKUP($C314,REV!$C:$AA,16,0)-'TRADE IN'!$F314))</f>
        <v>1749</v>
      </c>
      <c r="S314" s="56">
        <f>IF(VLOOKUP($C314,REV!$C:$AA,17,0)-'TRADE IN'!$F314=0,"",(VLOOKUP($C314,REV!$C:$AA,17,0)-'TRADE IN'!$F314))</f>
        <v>1699</v>
      </c>
      <c r="T314" s="56">
        <f>IF(VLOOKUP($C314,REV!$C:$AA,18,0)-'TRADE IN'!$F314=0,"",(VLOOKUP($C314,REV!$C:$AA,18,0)-'TRADE IN'!$F314))</f>
        <v>1199</v>
      </c>
      <c r="U314" s="56">
        <f>IF(VLOOKUP($C314,REV!$C:$AA,19,0)-'TRADE IN'!$F314=0,"",(VLOOKUP($C314,REV!$C:$AA,19,0)-'TRADE IN'!$F314))</f>
        <v>1199</v>
      </c>
      <c r="V314" s="56">
        <f>IF(VLOOKUP($C314,REV!$C:$AA,20,0)-'TRADE IN'!$F314=0,"",(VLOOKUP($C314,REV!$C:$AA,20,0)-'TRADE IN'!$F314))</f>
        <v>1199</v>
      </c>
      <c r="W314" s="56">
        <f>IF(VLOOKUP($C314,REV!$C:$AA,21,0)-'TRADE IN'!$F314=0,"",(VLOOKUP($C314,REV!$C:$AA,21,0)-'TRADE IN'!$F314))</f>
        <v>1199</v>
      </c>
      <c r="X314" s="56">
        <f>IF(VLOOKUP($C314,REV!$C:$AA,22,0)-'TRADE IN'!$F314=0,"",(VLOOKUP($C314,REV!$C:$AA,22,0)-'TRADE IN'!$F314))</f>
        <v>1099</v>
      </c>
      <c r="Y314" s="56">
        <f>IF(VLOOKUP($C314,REV!$C:$AA,23,0)-'TRADE IN'!$F314=0,"",(VLOOKUP($C314,REV!$C:$AA,23,0)-'TRADE IN'!$F314))</f>
        <v>1099</v>
      </c>
      <c r="Z314" s="56">
        <f>IF(VLOOKUP($C314,REV!$C:$AA,24,0)-'TRADE IN'!$F314=0,"",(VLOOKUP($C314,REV!$C:$AA,24,0)-'TRADE IN'!$F314))</f>
        <v>1099</v>
      </c>
      <c r="AA314" s="56">
        <f>IF(VLOOKUP($C314,REV!$C:$AA,25,0)-'TRADE IN'!$F314=0,"",(VLOOKUP($C314,REV!$C:$AA,25,0)-'TRADE IN'!$F314))</f>
        <v>1099</v>
      </c>
      <c r="AB314" s="55">
        <f>IF(VLOOKUP($C314,REV!$C:$AL,27,0)-'TRADE IN'!$F314=0,"",(VLOOKUP($C314,REV!$C:$AL,27,0)-'TRADE IN'!$F314))</f>
        <v>1799</v>
      </c>
      <c r="AC314" s="55">
        <f>IF(VLOOKUP($C314,REV!$C:$AL,28,0)-'TRADE IN'!$F314=0,"",(VLOOKUP($C314,REV!$C:$AL,28,0)-'TRADE IN'!$F314))</f>
        <v>1799</v>
      </c>
      <c r="AD314" s="55">
        <f>IF(VLOOKUP($C314,REV!$C:$AL,29,0)-'TRADE IN'!$F314=0,"",(VLOOKUP($C314,REV!$C:$AL,29,0)-'TRADE IN'!$F314))</f>
        <v>1799</v>
      </c>
      <c r="AE314" s="55">
        <f>IF(VLOOKUP($C314,REV!$C:$AL,30,0)-'TRADE IN'!$F314=0,"",(VLOOKUP($C314,REV!$C:$AL,30,0)-'TRADE IN'!$F314))</f>
        <v>1749</v>
      </c>
      <c r="AF314" s="55">
        <f>IF(VLOOKUP($C314,REV!$C:$AL,31,0)-'TRADE IN'!$F314=0,"",(VLOOKUP($C314,REV!$C:$AL,31,0)-'TRADE IN'!$F314))</f>
        <v>1699</v>
      </c>
      <c r="AG314" s="55">
        <f>IF(VLOOKUP($C314,REV!$C:$AL,31,0)-'TRADE IN'!$F314=0,"",(VLOOKUP($C314,REV!$C:$AL,31,0)-'TRADE IN'!$F314))</f>
        <v>1699</v>
      </c>
      <c r="AH314" s="55">
        <f>IF(VLOOKUP($C314,REV!$C:$AL,32,0)-'TRADE IN'!$F314=0,"",(VLOOKUP($C314,REV!$C:$AL,32,0)-'TRADE IN'!$F314))</f>
        <v>1199</v>
      </c>
      <c r="AI314" s="55">
        <f>IF(VLOOKUP($C314,REV!$C:$AL,33,0)-'TRADE IN'!$F314=0,"",(VLOOKUP($C314,REV!$C:$AL,33,0)-'TRADE IN'!$F314))</f>
        <v>1199</v>
      </c>
      <c r="AJ314" s="55">
        <f>IF(VLOOKUP($C314,REV!$C:$AL,34,0)-'TRADE IN'!$F314=0,"",(VLOOKUP($C314,REV!$C:$AL,34,0)-'TRADE IN'!$F314))</f>
        <v>1199</v>
      </c>
      <c r="AK314" s="55">
        <f>IF(VLOOKUP($C314,REV!$C:$AL,35,0)-'TRADE IN'!$F314=0,"",(VLOOKUP($C314,REV!$C:$AL,35,0)-'TRADE IN'!$F314))</f>
        <v>1199</v>
      </c>
      <c r="AL314" s="55">
        <f>IF(VLOOKUP($C314,REV!$C:$AL,36,0)-'TRADE IN'!$F314=0,"",(VLOOKUP($C314,REV!$C:$AL,36,0)-'TRADE IN'!$F314))</f>
        <v>1099</v>
      </c>
      <c r="AM314" s="55"/>
      <c r="AN314" s="55"/>
      <c r="AO314" s="55"/>
      <c r="AP314" s="55"/>
      <c r="AQ314" s="55"/>
      <c r="AR314" s="55"/>
      <c r="AS314" s="55"/>
      <c r="AT314" s="55"/>
      <c r="AU314" s="55"/>
      <c r="AV314" s="57"/>
      <c r="AW314" s="58" t="str">
        <f>REV!AW314</f>
        <v>03.11.2026</v>
      </c>
      <c r="AX314" s="147" t="str">
        <f>VLOOKUP(C314,REV!C:AX,48,0)</f>
        <v>5G</v>
      </c>
    </row>
    <row r="315" spans="1:50" ht="22.5" customHeight="1">
      <c r="A315" s="64" t="s">
        <v>241</v>
      </c>
      <c r="B315" s="52" t="s">
        <v>64</v>
      </c>
      <c r="C315" s="53">
        <v>4014478</v>
      </c>
      <c r="D315" s="65" t="s">
        <v>487</v>
      </c>
      <c r="E315" s="65" t="s">
        <v>488</v>
      </c>
      <c r="F315" s="55"/>
      <c r="G315" s="55"/>
      <c r="H315" s="55"/>
      <c r="I315" s="55"/>
      <c r="J315" s="56">
        <f>IF(VLOOKUP($C315,REV!$C:$AA,8,0)-'TRADE IN'!$F315=0,"",(VLOOKUP($C315,REV!$C:$AA,8,0)-'TRADE IN'!$F315))</f>
        <v>499</v>
      </c>
      <c r="K315" s="56">
        <f>IF(VLOOKUP($C315,REV!$C:$AA,9,0)-'TRADE IN'!$F315=0,"",(VLOOKUP($C315,REV!$C:$AA,9,0)-'TRADE IN'!$F315))</f>
        <v>499</v>
      </c>
      <c r="L315" s="56">
        <f>IF(VLOOKUP($C315,REV!$C:$AA,10,0)-'TRADE IN'!$F315=0,"",(VLOOKUP($C315,REV!$C:$AA,10,0)-'TRADE IN'!$F315))</f>
        <v>499</v>
      </c>
      <c r="M315" s="56">
        <f>IF(VLOOKUP($C315,REV!$C:$AA,11,0)-'TRADE IN'!$F315=0,"",(VLOOKUP($C315,REV!$C:$AA,11,0)-'TRADE IN'!$F315))</f>
        <v>499</v>
      </c>
      <c r="N315" s="56">
        <f>IF(VLOOKUP($C315,REV!$C:$AA,12,0)-'TRADE IN'!$F315=0,"",(VLOOKUP($C315,REV!$C:$AA,12,0)-'TRADE IN'!$F315))</f>
        <v>499</v>
      </c>
      <c r="O315" s="56">
        <f>IF(VLOOKUP($C315,REV!$C:$AA,13,0)-'TRADE IN'!$F315=0,"",(VLOOKUP($C315,REV!$C:$AA,13,0)-'TRADE IN'!$F315))</f>
        <v>449</v>
      </c>
      <c r="P315" s="56">
        <f>IF(VLOOKUP($C315,REV!$C:$AA,14,0)-'TRADE IN'!$F315=0,"",(VLOOKUP($C315,REV!$C:$AA,14,0)-'TRADE IN'!$F315))</f>
        <v>449</v>
      </c>
      <c r="Q315" s="56">
        <f>IF(VLOOKUP($C315,REV!$C:$AA,15,0)-'TRADE IN'!$F315=0,"",(VLOOKUP($C315,REV!$C:$AA,15,0)-'TRADE IN'!$F315))</f>
        <v>449</v>
      </c>
      <c r="R315" s="56">
        <f>IF(VLOOKUP($C315,REV!$C:$AA,16,0)-'TRADE IN'!$F315=0,"",(VLOOKUP($C315,REV!$C:$AA,16,0)-'TRADE IN'!$F315))</f>
        <v>449</v>
      </c>
      <c r="S315" s="56">
        <f>IF(VLOOKUP($C315,REV!$C:$AA,17,0)-'TRADE IN'!$F315=0,"",(VLOOKUP($C315,REV!$C:$AA,17,0)-'TRADE IN'!$F315))</f>
        <v>449</v>
      </c>
      <c r="T315" s="56">
        <f>IF(VLOOKUP($C315,REV!$C:$AA,18,0)-'TRADE IN'!$F315=0,"",(VLOOKUP($C315,REV!$C:$AA,18,0)-'TRADE IN'!$F315))</f>
        <v>449</v>
      </c>
      <c r="U315" s="56">
        <f>IF(VLOOKUP($C315,REV!$C:$AA,19,0)-'TRADE IN'!$F315=0,"",(VLOOKUP($C315,REV!$C:$AA,19,0)-'TRADE IN'!$F315))</f>
        <v>449</v>
      </c>
      <c r="V315" s="56">
        <f>IF(VLOOKUP($C315,REV!$C:$AA,20,0)-'TRADE IN'!$F315=0,"",(VLOOKUP($C315,REV!$C:$AA,20,0)-'TRADE IN'!$F315))</f>
        <v>449</v>
      </c>
      <c r="W315" s="56">
        <f>IF(VLOOKUP($C315,REV!$C:$AA,21,0)-'TRADE IN'!$F315=0,"",(VLOOKUP($C315,REV!$C:$AA,21,0)-'TRADE IN'!$F315))</f>
        <v>449</v>
      </c>
      <c r="X315" s="56">
        <f>IF(VLOOKUP($C315,REV!$C:$AA,22,0)-'TRADE IN'!$F315=0,"",(VLOOKUP($C315,REV!$C:$AA,22,0)-'TRADE IN'!$F315))</f>
        <v>449</v>
      </c>
      <c r="Y315" s="56">
        <f>IF(VLOOKUP($C315,REV!$C:$AA,23,0)-'TRADE IN'!$F315=0,"",(VLOOKUP($C315,REV!$C:$AA,23,0)-'TRADE IN'!$F315))</f>
        <v>449</v>
      </c>
      <c r="Z315" s="56">
        <f>IF(VLOOKUP($C315,REV!$C:$AA,24,0)-'TRADE IN'!$F315=0,"",(VLOOKUP($C315,REV!$C:$AA,24,0)-'TRADE IN'!$F315))</f>
        <v>449</v>
      </c>
      <c r="AA315" s="56">
        <f>IF(VLOOKUP($C315,REV!$C:$AA,25,0)-'TRADE IN'!$F315=0,"",(VLOOKUP($C315,REV!$C:$AA,25,0)-'TRADE IN'!$F315))</f>
        <v>449</v>
      </c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7"/>
      <c r="AW315" s="58" t="str">
        <f>REV!AW315</f>
        <v>03.11.2026</v>
      </c>
      <c r="AX315" s="147" t="str">
        <f>VLOOKUP(C315,REV!C:AX,48,0)</f>
        <v>5G</v>
      </c>
    </row>
    <row r="316" spans="1:50" ht="22.5" customHeight="1">
      <c r="A316" s="64" t="s">
        <v>241</v>
      </c>
      <c r="B316" s="52" t="s">
        <v>64</v>
      </c>
      <c r="C316" s="53">
        <v>4014480</v>
      </c>
      <c r="D316" s="65" t="s">
        <v>487</v>
      </c>
      <c r="E316" s="65" t="s">
        <v>489</v>
      </c>
      <c r="F316" s="55"/>
      <c r="G316" s="55"/>
      <c r="H316" s="55"/>
      <c r="I316" s="55"/>
      <c r="J316" s="56">
        <f>IF(VLOOKUP($C316,REV!$C:$AA,8,0)-'TRADE IN'!$F316=0,"",(VLOOKUP($C316,REV!$C:$AA,8,0)-'TRADE IN'!$F316))</f>
        <v>499</v>
      </c>
      <c r="K316" s="56">
        <f>IF(VLOOKUP($C316,REV!$C:$AA,9,0)-'TRADE IN'!$F316=0,"",(VLOOKUP($C316,REV!$C:$AA,9,0)-'TRADE IN'!$F316))</f>
        <v>499</v>
      </c>
      <c r="L316" s="56">
        <f>IF(VLOOKUP($C316,REV!$C:$AA,10,0)-'TRADE IN'!$F316=0,"",(VLOOKUP($C316,REV!$C:$AA,10,0)-'TRADE IN'!$F316))</f>
        <v>499</v>
      </c>
      <c r="M316" s="56">
        <f>IF(VLOOKUP($C316,REV!$C:$AA,11,0)-'TRADE IN'!$F316=0,"",(VLOOKUP($C316,REV!$C:$AA,11,0)-'TRADE IN'!$F316))</f>
        <v>499</v>
      </c>
      <c r="N316" s="56">
        <f>IF(VLOOKUP($C316,REV!$C:$AA,12,0)-'TRADE IN'!$F316=0,"",(VLOOKUP($C316,REV!$C:$AA,12,0)-'TRADE IN'!$F316))</f>
        <v>499</v>
      </c>
      <c r="O316" s="56">
        <f>IF(VLOOKUP($C316,REV!$C:$AA,13,0)-'TRADE IN'!$F316=0,"",(VLOOKUP($C316,REV!$C:$AA,13,0)-'TRADE IN'!$F316))</f>
        <v>449</v>
      </c>
      <c r="P316" s="56">
        <f>IF(VLOOKUP($C316,REV!$C:$AA,14,0)-'TRADE IN'!$F316=0,"",(VLOOKUP($C316,REV!$C:$AA,14,0)-'TRADE IN'!$F316))</f>
        <v>449</v>
      </c>
      <c r="Q316" s="56">
        <f>IF(VLOOKUP($C316,REV!$C:$AA,15,0)-'TRADE IN'!$F316=0,"",(VLOOKUP($C316,REV!$C:$AA,15,0)-'TRADE IN'!$F316))</f>
        <v>449</v>
      </c>
      <c r="R316" s="56">
        <f>IF(VLOOKUP($C316,REV!$C:$AA,16,0)-'TRADE IN'!$F316=0,"",(VLOOKUP($C316,REV!$C:$AA,16,0)-'TRADE IN'!$F316))</f>
        <v>449</v>
      </c>
      <c r="S316" s="56">
        <f>IF(VLOOKUP($C316,REV!$C:$AA,17,0)-'TRADE IN'!$F316=0,"",(VLOOKUP($C316,REV!$C:$AA,17,0)-'TRADE IN'!$F316))</f>
        <v>449</v>
      </c>
      <c r="T316" s="56">
        <f>IF(VLOOKUP($C316,REV!$C:$AA,18,0)-'TRADE IN'!$F316=0,"",(VLOOKUP($C316,REV!$C:$AA,18,0)-'TRADE IN'!$F316))</f>
        <v>449</v>
      </c>
      <c r="U316" s="56">
        <f>IF(VLOOKUP($C316,REV!$C:$AA,19,0)-'TRADE IN'!$F316=0,"",(VLOOKUP($C316,REV!$C:$AA,19,0)-'TRADE IN'!$F316))</f>
        <v>449</v>
      </c>
      <c r="V316" s="56">
        <f>IF(VLOOKUP($C316,REV!$C:$AA,20,0)-'TRADE IN'!$F316=0,"",(VLOOKUP($C316,REV!$C:$AA,20,0)-'TRADE IN'!$F316))</f>
        <v>449</v>
      </c>
      <c r="W316" s="56">
        <f>IF(VLOOKUP($C316,REV!$C:$AA,21,0)-'TRADE IN'!$F316=0,"",(VLOOKUP($C316,REV!$C:$AA,21,0)-'TRADE IN'!$F316))</f>
        <v>449</v>
      </c>
      <c r="X316" s="56">
        <f>IF(VLOOKUP($C316,REV!$C:$AA,22,0)-'TRADE IN'!$F316=0,"",(VLOOKUP($C316,REV!$C:$AA,22,0)-'TRADE IN'!$F316))</f>
        <v>449</v>
      </c>
      <c r="Y316" s="56">
        <f>IF(VLOOKUP($C316,REV!$C:$AA,23,0)-'TRADE IN'!$F316=0,"",(VLOOKUP($C316,REV!$C:$AA,23,0)-'TRADE IN'!$F316))</f>
        <v>449</v>
      </c>
      <c r="Z316" s="56">
        <f>IF(VLOOKUP($C316,REV!$C:$AA,24,0)-'TRADE IN'!$F316=0,"",(VLOOKUP($C316,REV!$C:$AA,24,0)-'TRADE IN'!$F316))</f>
        <v>449</v>
      </c>
      <c r="AA316" s="56">
        <f>IF(VLOOKUP($C316,REV!$C:$AA,25,0)-'TRADE IN'!$F316=0,"",(VLOOKUP($C316,REV!$C:$AA,25,0)-'TRADE IN'!$F316))</f>
        <v>449</v>
      </c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AV316" s="57"/>
      <c r="AW316" s="58" t="str">
        <f>REV!AW316</f>
        <v>03.11.2026</v>
      </c>
      <c r="AX316" s="147" t="str">
        <f>VLOOKUP(C316,REV!C:AX,48,0)</f>
        <v>5G</v>
      </c>
    </row>
    <row r="317" spans="1:50" ht="22.5" customHeight="1">
      <c r="A317" s="64" t="s">
        <v>241</v>
      </c>
      <c r="B317" s="52" t="s">
        <v>64</v>
      </c>
      <c r="C317" s="53">
        <v>4014519</v>
      </c>
      <c r="D317" s="65" t="s">
        <v>487</v>
      </c>
      <c r="E317" s="65" t="s">
        <v>490</v>
      </c>
      <c r="F317" s="55"/>
      <c r="G317" s="55"/>
      <c r="H317" s="55"/>
      <c r="I317" s="55"/>
      <c r="J317" s="56">
        <f>IF(VLOOKUP($C317,REV!$C:$AA,8,0)-'TRADE IN'!$F317=0,"",(VLOOKUP($C317,REV!$C:$AA,8,0)-'TRADE IN'!$F317))</f>
        <v>499</v>
      </c>
      <c r="K317" s="56">
        <f>IF(VLOOKUP($C317,REV!$C:$AA,9,0)-'TRADE IN'!$F317=0,"",(VLOOKUP($C317,REV!$C:$AA,9,0)-'TRADE IN'!$F317))</f>
        <v>499</v>
      </c>
      <c r="L317" s="56">
        <f>IF(VLOOKUP($C317,REV!$C:$AA,10,0)-'TRADE IN'!$F317=0,"",(VLOOKUP($C317,REV!$C:$AA,10,0)-'TRADE IN'!$F317))</f>
        <v>499</v>
      </c>
      <c r="M317" s="56">
        <f>IF(VLOOKUP($C317,REV!$C:$AA,11,0)-'TRADE IN'!$F317=0,"",(VLOOKUP($C317,REV!$C:$AA,11,0)-'TRADE IN'!$F317))</f>
        <v>499</v>
      </c>
      <c r="N317" s="56">
        <f>IF(VLOOKUP($C317,REV!$C:$AA,12,0)-'TRADE IN'!$F317=0,"",(VLOOKUP($C317,REV!$C:$AA,12,0)-'TRADE IN'!$F317))</f>
        <v>499</v>
      </c>
      <c r="O317" s="56">
        <f>IF(VLOOKUP($C317,REV!$C:$AA,13,0)-'TRADE IN'!$F317=0,"",(VLOOKUP($C317,REV!$C:$AA,13,0)-'TRADE IN'!$F317))</f>
        <v>449</v>
      </c>
      <c r="P317" s="56">
        <f>IF(VLOOKUP($C317,REV!$C:$AA,14,0)-'TRADE IN'!$F317=0,"",(VLOOKUP($C317,REV!$C:$AA,14,0)-'TRADE IN'!$F317))</f>
        <v>449</v>
      </c>
      <c r="Q317" s="56">
        <f>IF(VLOOKUP($C317,REV!$C:$AA,15,0)-'TRADE IN'!$F317=0,"",(VLOOKUP($C317,REV!$C:$AA,15,0)-'TRADE IN'!$F317))</f>
        <v>449</v>
      </c>
      <c r="R317" s="56">
        <f>IF(VLOOKUP($C317,REV!$C:$AA,16,0)-'TRADE IN'!$F317=0,"",(VLOOKUP($C317,REV!$C:$AA,16,0)-'TRADE IN'!$F317))</f>
        <v>449</v>
      </c>
      <c r="S317" s="56">
        <f>IF(VLOOKUP($C317,REV!$C:$AA,17,0)-'TRADE IN'!$F317=0,"",(VLOOKUP($C317,REV!$C:$AA,17,0)-'TRADE IN'!$F317))</f>
        <v>449</v>
      </c>
      <c r="T317" s="56">
        <f>IF(VLOOKUP($C317,REV!$C:$AA,18,0)-'TRADE IN'!$F317=0,"",(VLOOKUP($C317,REV!$C:$AA,18,0)-'TRADE IN'!$F317))</f>
        <v>449</v>
      </c>
      <c r="U317" s="56">
        <f>IF(VLOOKUP($C317,REV!$C:$AA,19,0)-'TRADE IN'!$F317=0,"",(VLOOKUP($C317,REV!$C:$AA,19,0)-'TRADE IN'!$F317))</f>
        <v>449</v>
      </c>
      <c r="V317" s="56">
        <f>IF(VLOOKUP($C317,REV!$C:$AA,20,0)-'TRADE IN'!$F317=0,"",(VLOOKUP($C317,REV!$C:$AA,20,0)-'TRADE IN'!$F317))</f>
        <v>449</v>
      </c>
      <c r="W317" s="56">
        <f>IF(VLOOKUP($C317,REV!$C:$AA,21,0)-'TRADE IN'!$F317=0,"",(VLOOKUP($C317,REV!$C:$AA,21,0)-'TRADE IN'!$F317))</f>
        <v>449</v>
      </c>
      <c r="X317" s="56">
        <f>IF(VLOOKUP($C317,REV!$C:$AA,22,0)-'TRADE IN'!$F317=0,"",(VLOOKUP($C317,REV!$C:$AA,22,0)-'TRADE IN'!$F317))</f>
        <v>449</v>
      </c>
      <c r="Y317" s="56">
        <f>IF(VLOOKUP($C317,REV!$C:$AA,23,0)-'TRADE IN'!$F317=0,"",(VLOOKUP($C317,REV!$C:$AA,23,0)-'TRADE IN'!$F317))</f>
        <v>449</v>
      </c>
      <c r="Z317" s="56">
        <f>IF(VLOOKUP($C317,REV!$C:$AA,24,0)-'TRADE IN'!$F317=0,"",(VLOOKUP($C317,REV!$C:$AA,24,0)-'TRADE IN'!$F317))</f>
        <v>449</v>
      </c>
      <c r="AA317" s="56">
        <f>IF(VLOOKUP($C317,REV!$C:$AA,25,0)-'TRADE IN'!$F317=0,"",(VLOOKUP($C317,REV!$C:$AA,25,0)-'TRADE IN'!$F317))</f>
        <v>449</v>
      </c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7"/>
      <c r="AW317" s="58" t="str">
        <f>REV!AW317</f>
        <v>03.11.2026</v>
      </c>
      <c r="AX317" s="147" t="str">
        <f>VLOOKUP(C317,REV!C:AX,48,0)</f>
        <v>5G</v>
      </c>
    </row>
    <row r="318" spans="1:50" ht="22.5" customHeight="1">
      <c r="A318" s="64" t="s">
        <v>241</v>
      </c>
      <c r="B318" s="52" t="s">
        <v>64</v>
      </c>
      <c r="C318" s="53">
        <v>4015472</v>
      </c>
      <c r="D318" s="65" t="s">
        <v>491</v>
      </c>
      <c r="E318" s="65" t="s">
        <v>492</v>
      </c>
      <c r="F318" s="55"/>
      <c r="G318" s="55"/>
      <c r="H318" s="55"/>
      <c r="I318" s="55"/>
      <c r="J318" s="56">
        <f>IF(VLOOKUP($C318,REV!$C:$AA,8,0)-'TRADE IN'!$F318=0,"",(VLOOKUP($C318,REV!$C:$AA,8,0)-'TRADE IN'!$F318))</f>
        <v>1699</v>
      </c>
      <c r="K318" s="56">
        <f>IF(VLOOKUP($C318,REV!$C:$AA,9,0)-'TRADE IN'!$F318=0,"",(VLOOKUP($C318,REV!$C:$AA,9,0)-'TRADE IN'!$F318))</f>
        <v>1699</v>
      </c>
      <c r="L318" s="56">
        <f>IF(VLOOKUP($C318,REV!$C:$AA,10,0)-'TRADE IN'!$F318=0,"",(VLOOKUP($C318,REV!$C:$AA,10,0)-'TRADE IN'!$F318))</f>
        <v>1699</v>
      </c>
      <c r="M318" s="56">
        <f>IF(VLOOKUP($C318,REV!$C:$AA,11,0)-'TRADE IN'!$F318=0,"",(VLOOKUP($C318,REV!$C:$AA,11,0)-'TRADE IN'!$F318))</f>
        <v>1699</v>
      </c>
      <c r="N318" s="56">
        <f>IF(VLOOKUP($C318,REV!$C:$AA,12,0)-'TRADE IN'!$F318=0,"",(VLOOKUP($C318,REV!$C:$AA,12,0)-'TRADE IN'!$F318))</f>
        <v>1699</v>
      </c>
      <c r="O318" s="56">
        <f>IF(VLOOKUP($C318,REV!$C:$AA,13,0)-'TRADE IN'!$F318=0,"",(VLOOKUP($C318,REV!$C:$AA,13,0)-'TRADE IN'!$F318))</f>
        <v>1649</v>
      </c>
      <c r="P318" s="56">
        <f>IF(VLOOKUP($C318,REV!$C:$AA,14,0)-'TRADE IN'!$F318=0,"",(VLOOKUP($C318,REV!$C:$AA,14,0)-'TRADE IN'!$F318))</f>
        <v>1499</v>
      </c>
      <c r="Q318" s="56">
        <f>IF(VLOOKUP($C318,REV!$C:$AA,15,0)-'TRADE IN'!$F318=0,"",(VLOOKUP($C318,REV!$C:$AA,15,0)-'TRADE IN'!$F318))</f>
        <v>1299</v>
      </c>
      <c r="R318" s="56">
        <f>IF(VLOOKUP($C318,REV!$C:$AA,16,0)-'TRADE IN'!$F318=0,"",(VLOOKUP($C318,REV!$C:$AA,16,0)-'TRADE IN'!$F318))</f>
        <v>1649</v>
      </c>
      <c r="S318" s="56">
        <f>IF(VLOOKUP($C318,REV!$C:$AA,17,0)-'TRADE IN'!$F318=0,"",(VLOOKUP($C318,REV!$C:$AA,17,0)-'TRADE IN'!$F318))</f>
        <v>1499</v>
      </c>
      <c r="T318" s="56">
        <f>IF(VLOOKUP($C318,REV!$C:$AA,18,0)-'TRADE IN'!$F318=0,"",(VLOOKUP($C318,REV!$C:$AA,18,0)-'TRADE IN'!$F318))</f>
        <v>1299</v>
      </c>
      <c r="U318" s="56">
        <f>IF(VLOOKUP($C318,REV!$C:$AA,19,0)-'TRADE IN'!$F318=0,"",(VLOOKUP($C318,REV!$C:$AA,19,0)-'TRADE IN'!$F318))</f>
        <v>1299</v>
      </c>
      <c r="V318" s="56">
        <f>IF(VLOOKUP($C318,REV!$C:$AA,20,0)-'TRADE IN'!$F318=0,"",(VLOOKUP($C318,REV!$C:$AA,20,0)-'TRADE IN'!$F318))</f>
        <v>1299</v>
      </c>
      <c r="W318" s="56">
        <f>IF(VLOOKUP($C318,REV!$C:$AA,21,0)-'TRADE IN'!$F318=0,"",(VLOOKUP($C318,REV!$C:$AA,21,0)-'TRADE IN'!$F318))</f>
        <v>1299</v>
      </c>
      <c r="X318" s="56">
        <f>IF(VLOOKUP($C318,REV!$C:$AA,22,0)-'TRADE IN'!$F318=0,"",(VLOOKUP($C318,REV!$C:$AA,22,0)-'TRADE IN'!$F318))</f>
        <v>1199</v>
      </c>
      <c r="Y318" s="56">
        <f>IF(VLOOKUP($C318,REV!$C:$AA,23,0)-'TRADE IN'!$F318=0,"",(VLOOKUP($C318,REV!$C:$AA,23,0)-'TRADE IN'!$F318))</f>
        <v>999</v>
      </c>
      <c r="Z318" s="56">
        <f>IF(VLOOKUP($C318,REV!$C:$AA,24,0)-'TRADE IN'!$F318=0,"",(VLOOKUP($C318,REV!$C:$AA,24,0)-'TRADE IN'!$F318))</f>
        <v>999</v>
      </c>
      <c r="AA318" s="56">
        <f>IF(VLOOKUP($C318,REV!$C:$AA,25,0)-'TRADE IN'!$F318=0,"",(VLOOKUP($C318,REV!$C:$AA,25,0)-'TRADE IN'!$F318))</f>
        <v>949</v>
      </c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7"/>
      <c r="AW318" s="58" t="str">
        <f>REV!AW318</f>
        <v>03.11.2026</v>
      </c>
      <c r="AX318" s="147" t="str">
        <f>VLOOKUP(C318,REV!C:AX,48,0)</f>
        <v>5G</v>
      </c>
    </row>
    <row r="319" spans="1:50" ht="22.5" customHeight="1">
      <c r="A319" s="64" t="s">
        <v>241</v>
      </c>
      <c r="B319" s="52" t="s">
        <v>64</v>
      </c>
      <c r="C319" s="53">
        <v>4015478</v>
      </c>
      <c r="D319" s="65" t="s">
        <v>491</v>
      </c>
      <c r="E319" s="65" t="s">
        <v>493</v>
      </c>
      <c r="F319" s="55"/>
      <c r="G319" s="55"/>
      <c r="H319" s="55"/>
      <c r="I319" s="55"/>
      <c r="J319" s="56">
        <f>IF(VLOOKUP($C319,REV!$C:$AA,8,0)-'TRADE IN'!$F319=0,"",(VLOOKUP($C319,REV!$C:$AA,8,0)-'TRADE IN'!$F319))</f>
        <v>1699</v>
      </c>
      <c r="K319" s="56">
        <f>IF(VLOOKUP($C319,REV!$C:$AA,9,0)-'TRADE IN'!$F319=0,"",(VLOOKUP($C319,REV!$C:$AA,9,0)-'TRADE IN'!$F319))</f>
        <v>1699</v>
      </c>
      <c r="L319" s="56">
        <f>IF(VLOOKUP($C319,REV!$C:$AA,10,0)-'TRADE IN'!$F319=0,"",(VLOOKUP($C319,REV!$C:$AA,10,0)-'TRADE IN'!$F319))</f>
        <v>1699</v>
      </c>
      <c r="M319" s="56">
        <f>IF(VLOOKUP($C319,REV!$C:$AA,11,0)-'TRADE IN'!$F319=0,"",(VLOOKUP($C319,REV!$C:$AA,11,0)-'TRADE IN'!$F319))</f>
        <v>1699</v>
      </c>
      <c r="N319" s="56">
        <f>IF(VLOOKUP($C319,REV!$C:$AA,12,0)-'TRADE IN'!$F319=0,"",(VLOOKUP($C319,REV!$C:$AA,12,0)-'TRADE IN'!$F319))</f>
        <v>1699</v>
      </c>
      <c r="O319" s="56">
        <f>IF(VLOOKUP($C319,REV!$C:$AA,13,0)-'TRADE IN'!$F319=0,"",(VLOOKUP($C319,REV!$C:$AA,13,0)-'TRADE IN'!$F319))</f>
        <v>1649</v>
      </c>
      <c r="P319" s="56">
        <f>IF(VLOOKUP($C319,REV!$C:$AA,14,0)-'TRADE IN'!$F319=0,"",(VLOOKUP($C319,REV!$C:$AA,14,0)-'TRADE IN'!$F319))</f>
        <v>1499</v>
      </c>
      <c r="Q319" s="56">
        <f>IF(VLOOKUP($C319,REV!$C:$AA,15,0)-'TRADE IN'!$F319=0,"",(VLOOKUP($C319,REV!$C:$AA,15,0)-'TRADE IN'!$F319))</f>
        <v>1299</v>
      </c>
      <c r="R319" s="56">
        <f>IF(VLOOKUP($C319,REV!$C:$AA,16,0)-'TRADE IN'!$F319=0,"",(VLOOKUP($C319,REV!$C:$AA,16,0)-'TRADE IN'!$F319))</f>
        <v>1649</v>
      </c>
      <c r="S319" s="56">
        <f>IF(VLOOKUP($C319,REV!$C:$AA,17,0)-'TRADE IN'!$F319=0,"",(VLOOKUP($C319,REV!$C:$AA,17,0)-'TRADE IN'!$F319))</f>
        <v>1499</v>
      </c>
      <c r="T319" s="56">
        <f>IF(VLOOKUP($C319,REV!$C:$AA,18,0)-'TRADE IN'!$F319=0,"",(VLOOKUP($C319,REV!$C:$AA,18,0)-'TRADE IN'!$F319))</f>
        <v>1299</v>
      </c>
      <c r="U319" s="56">
        <f>IF(VLOOKUP($C319,REV!$C:$AA,19,0)-'TRADE IN'!$F319=0,"",(VLOOKUP($C319,REV!$C:$AA,19,0)-'TRADE IN'!$F319))</f>
        <v>1299</v>
      </c>
      <c r="V319" s="56">
        <f>IF(VLOOKUP($C319,REV!$C:$AA,20,0)-'TRADE IN'!$F319=0,"",(VLOOKUP($C319,REV!$C:$AA,20,0)-'TRADE IN'!$F319))</f>
        <v>1299</v>
      </c>
      <c r="W319" s="56">
        <f>IF(VLOOKUP($C319,REV!$C:$AA,21,0)-'TRADE IN'!$F319=0,"",(VLOOKUP($C319,REV!$C:$AA,21,0)-'TRADE IN'!$F319))</f>
        <v>1299</v>
      </c>
      <c r="X319" s="56">
        <f>IF(VLOOKUP($C319,REV!$C:$AA,22,0)-'TRADE IN'!$F319=0,"",(VLOOKUP($C319,REV!$C:$AA,22,0)-'TRADE IN'!$F319))</f>
        <v>1199</v>
      </c>
      <c r="Y319" s="56">
        <f>IF(VLOOKUP($C319,REV!$C:$AA,23,0)-'TRADE IN'!$F319=0,"",(VLOOKUP($C319,REV!$C:$AA,23,0)-'TRADE IN'!$F319))</f>
        <v>999</v>
      </c>
      <c r="Z319" s="56">
        <f>IF(VLOOKUP($C319,REV!$C:$AA,24,0)-'TRADE IN'!$F319=0,"",(VLOOKUP($C319,REV!$C:$AA,24,0)-'TRADE IN'!$F319))</f>
        <v>999</v>
      </c>
      <c r="AA319" s="56">
        <f>IF(VLOOKUP($C319,REV!$C:$AA,25,0)-'TRADE IN'!$F319=0,"",(VLOOKUP($C319,REV!$C:$AA,25,0)-'TRADE IN'!$F319))</f>
        <v>949</v>
      </c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7"/>
      <c r="AW319" s="58" t="str">
        <f>REV!AW319</f>
        <v>03.11.2026</v>
      </c>
      <c r="AX319" s="147" t="str">
        <f>VLOOKUP(C319,REV!C:AX,48,0)</f>
        <v>5G</v>
      </c>
    </row>
    <row r="320" spans="1:50" ht="22.5" customHeight="1">
      <c r="A320" s="64" t="s">
        <v>241</v>
      </c>
      <c r="B320" s="52" t="s">
        <v>64</v>
      </c>
      <c r="C320" s="53">
        <v>4015481</v>
      </c>
      <c r="D320" s="65" t="s">
        <v>491</v>
      </c>
      <c r="E320" s="65" t="s">
        <v>494</v>
      </c>
      <c r="F320" s="55"/>
      <c r="G320" s="55"/>
      <c r="H320" s="55"/>
      <c r="I320" s="55"/>
      <c r="J320" s="56">
        <f>IF(VLOOKUP($C320,REV!$C:$AA,8,0)-'TRADE IN'!$F320=0,"",(VLOOKUP($C320,REV!$C:$AA,8,0)-'TRADE IN'!$F320))</f>
        <v>1699</v>
      </c>
      <c r="K320" s="56">
        <f>IF(VLOOKUP($C320,REV!$C:$AA,9,0)-'TRADE IN'!$F320=0,"",(VLOOKUP($C320,REV!$C:$AA,9,0)-'TRADE IN'!$F320))</f>
        <v>1699</v>
      </c>
      <c r="L320" s="56">
        <f>IF(VLOOKUP($C320,REV!$C:$AA,10,0)-'TRADE IN'!$F320=0,"",(VLOOKUP($C320,REV!$C:$AA,10,0)-'TRADE IN'!$F320))</f>
        <v>1699</v>
      </c>
      <c r="M320" s="56">
        <f>IF(VLOOKUP($C320,REV!$C:$AA,11,0)-'TRADE IN'!$F320=0,"",(VLOOKUP($C320,REV!$C:$AA,11,0)-'TRADE IN'!$F320))</f>
        <v>1699</v>
      </c>
      <c r="N320" s="56">
        <f>IF(VLOOKUP($C320,REV!$C:$AA,12,0)-'TRADE IN'!$F320=0,"",(VLOOKUP($C320,REV!$C:$AA,12,0)-'TRADE IN'!$F320))</f>
        <v>1699</v>
      </c>
      <c r="O320" s="56">
        <f>IF(VLOOKUP($C320,REV!$C:$AA,13,0)-'TRADE IN'!$F320=0,"",(VLOOKUP($C320,REV!$C:$AA,13,0)-'TRADE IN'!$F320))</f>
        <v>1649</v>
      </c>
      <c r="P320" s="56">
        <f>IF(VLOOKUP($C320,REV!$C:$AA,14,0)-'TRADE IN'!$F320=0,"",(VLOOKUP($C320,REV!$C:$AA,14,0)-'TRADE IN'!$F320))</f>
        <v>1499</v>
      </c>
      <c r="Q320" s="56">
        <f>IF(VLOOKUP($C320,REV!$C:$AA,15,0)-'TRADE IN'!$F320=0,"",(VLOOKUP($C320,REV!$C:$AA,15,0)-'TRADE IN'!$F320))</f>
        <v>1299</v>
      </c>
      <c r="R320" s="56">
        <f>IF(VLOOKUP($C320,REV!$C:$AA,16,0)-'TRADE IN'!$F320=0,"",(VLOOKUP($C320,REV!$C:$AA,16,0)-'TRADE IN'!$F320))</f>
        <v>1649</v>
      </c>
      <c r="S320" s="56">
        <f>IF(VLOOKUP($C320,REV!$C:$AA,17,0)-'TRADE IN'!$F320=0,"",(VLOOKUP($C320,REV!$C:$AA,17,0)-'TRADE IN'!$F320))</f>
        <v>1499</v>
      </c>
      <c r="T320" s="56">
        <f>IF(VLOOKUP($C320,REV!$C:$AA,18,0)-'TRADE IN'!$F320=0,"",(VLOOKUP($C320,REV!$C:$AA,18,0)-'TRADE IN'!$F320))</f>
        <v>1299</v>
      </c>
      <c r="U320" s="56">
        <f>IF(VLOOKUP($C320,REV!$C:$AA,19,0)-'TRADE IN'!$F320=0,"",(VLOOKUP($C320,REV!$C:$AA,19,0)-'TRADE IN'!$F320))</f>
        <v>1299</v>
      </c>
      <c r="V320" s="56">
        <f>IF(VLOOKUP($C320,REV!$C:$AA,20,0)-'TRADE IN'!$F320=0,"",(VLOOKUP($C320,REV!$C:$AA,20,0)-'TRADE IN'!$F320))</f>
        <v>1299</v>
      </c>
      <c r="W320" s="56">
        <f>IF(VLOOKUP($C320,REV!$C:$AA,21,0)-'TRADE IN'!$F320=0,"",(VLOOKUP($C320,REV!$C:$AA,21,0)-'TRADE IN'!$F320))</f>
        <v>1299</v>
      </c>
      <c r="X320" s="56">
        <f>IF(VLOOKUP($C320,REV!$C:$AA,22,0)-'TRADE IN'!$F320=0,"",(VLOOKUP($C320,REV!$C:$AA,22,0)-'TRADE IN'!$F320))</f>
        <v>1199</v>
      </c>
      <c r="Y320" s="56">
        <f>IF(VLOOKUP($C320,REV!$C:$AA,23,0)-'TRADE IN'!$F320=0,"",(VLOOKUP($C320,REV!$C:$AA,23,0)-'TRADE IN'!$F320))</f>
        <v>999</v>
      </c>
      <c r="Z320" s="56">
        <f>IF(VLOOKUP($C320,REV!$C:$AA,24,0)-'TRADE IN'!$F320=0,"",(VLOOKUP($C320,REV!$C:$AA,24,0)-'TRADE IN'!$F320))</f>
        <v>999</v>
      </c>
      <c r="AA320" s="56">
        <f>IF(VLOOKUP($C320,REV!$C:$AA,25,0)-'TRADE IN'!$F320=0,"",(VLOOKUP($C320,REV!$C:$AA,25,0)-'TRADE IN'!$F320))</f>
        <v>949</v>
      </c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7"/>
      <c r="AW320" s="58" t="str">
        <f>REV!AW320</f>
        <v>03.11.2026</v>
      </c>
      <c r="AX320" s="147" t="str">
        <f>VLOOKUP(C320,REV!C:AX,48,0)</f>
        <v>5G</v>
      </c>
    </row>
    <row r="321" spans="1:50" ht="22.5" customHeight="1">
      <c r="A321" s="64" t="s">
        <v>241</v>
      </c>
      <c r="B321" s="52" t="s">
        <v>64</v>
      </c>
      <c r="C321" s="53">
        <v>4015914</v>
      </c>
      <c r="D321" s="65" t="s">
        <v>491</v>
      </c>
      <c r="E321" s="65" t="s">
        <v>495</v>
      </c>
      <c r="F321" s="55"/>
      <c r="G321" s="55"/>
      <c r="H321" s="55"/>
      <c r="I321" s="55"/>
      <c r="J321" s="56">
        <f>IF(VLOOKUP($C321,REV!$C:$AA,8,0)-'TRADE IN'!$F321=0,"",(VLOOKUP($C321,REV!$C:$AA,8,0)-'TRADE IN'!$F321))</f>
        <v>1699</v>
      </c>
      <c r="K321" s="56">
        <f>IF(VLOOKUP($C321,REV!$C:$AA,9,0)-'TRADE IN'!$F321=0,"",(VLOOKUP($C321,REV!$C:$AA,9,0)-'TRADE IN'!$F321))</f>
        <v>1699</v>
      </c>
      <c r="L321" s="56">
        <f>IF(VLOOKUP($C321,REV!$C:$AA,10,0)-'TRADE IN'!$F321=0,"",(VLOOKUP($C321,REV!$C:$AA,10,0)-'TRADE IN'!$F321))</f>
        <v>1699</v>
      </c>
      <c r="M321" s="56">
        <f>IF(VLOOKUP($C321,REV!$C:$AA,11,0)-'TRADE IN'!$F321=0,"",(VLOOKUP($C321,REV!$C:$AA,11,0)-'TRADE IN'!$F321))</f>
        <v>1699</v>
      </c>
      <c r="N321" s="56">
        <f>IF(VLOOKUP($C321,REV!$C:$AA,12,0)-'TRADE IN'!$F321=0,"",(VLOOKUP($C321,REV!$C:$AA,12,0)-'TRADE IN'!$F321))</f>
        <v>1699</v>
      </c>
      <c r="O321" s="56">
        <f>IF(VLOOKUP($C321,REV!$C:$AA,13,0)-'TRADE IN'!$F321=0,"",(VLOOKUP($C321,REV!$C:$AA,13,0)-'TRADE IN'!$F321))</f>
        <v>1649</v>
      </c>
      <c r="P321" s="56">
        <f>IF(VLOOKUP($C321,REV!$C:$AA,14,0)-'TRADE IN'!$F321=0,"",(VLOOKUP($C321,REV!$C:$AA,14,0)-'TRADE IN'!$F321))</f>
        <v>1499</v>
      </c>
      <c r="Q321" s="56">
        <f>IF(VLOOKUP($C321,REV!$C:$AA,15,0)-'TRADE IN'!$F321=0,"",(VLOOKUP($C321,REV!$C:$AA,15,0)-'TRADE IN'!$F321))</f>
        <v>1299</v>
      </c>
      <c r="R321" s="56">
        <f>IF(VLOOKUP($C321,REV!$C:$AA,16,0)-'TRADE IN'!$F321=0,"",(VLOOKUP($C321,REV!$C:$AA,16,0)-'TRADE IN'!$F321))</f>
        <v>1649</v>
      </c>
      <c r="S321" s="56">
        <f>IF(VLOOKUP($C321,REV!$C:$AA,17,0)-'TRADE IN'!$F321=0,"",(VLOOKUP($C321,REV!$C:$AA,17,0)-'TRADE IN'!$F321))</f>
        <v>1499</v>
      </c>
      <c r="T321" s="56">
        <f>IF(VLOOKUP($C321,REV!$C:$AA,18,0)-'TRADE IN'!$F321=0,"",(VLOOKUP($C321,REV!$C:$AA,18,0)-'TRADE IN'!$F321))</f>
        <v>1299</v>
      </c>
      <c r="U321" s="56">
        <f>IF(VLOOKUP($C321,REV!$C:$AA,19,0)-'TRADE IN'!$F321=0,"",(VLOOKUP($C321,REV!$C:$AA,19,0)-'TRADE IN'!$F321))</f>
        <v>1299</v>
      </c>
      <c r="V321" s="56">
        <f>IF(VLOOKUP($C321,REV!$C:$AA,20,0)-'TRADE IN'!$F321=0,"",(VLOOKUP($C321,REV!$C:$AA,20,0)-'TRADE IN'!$F321))</f>
        <v>1299</v>
      </c>
      <c r="W321" s="56">
        <f>IF(VLOOKUP($C321,REV!$C:$AA,21,0)-'TRADE IN'!$F321=0,"",(VLOOKUP($C321,REV!$C:$AA,21,0)-'TRADE IN'!$F321))</f>
        <v>1299</v>
      </c>
      <c r="X321" s="56">
        <f>IF(VLOOKUP($C321,REV!$C:$AA,22,0)-'TRADE IN'!$F321=0,"",(VLOOKUP($C321,REV!$C:$AA,22,0)-'TRADE IN'!$F321))</f>
        <v>1199</v>
      </c>
      <c r="Y321" s="56">
        <f>IF(VLOOKUP($C321,REV!$C:$AA,23,0)-'TRADE IN'!$F321=0,"",(VLOOKUP($C321,REV!$C:$AA,23,0)-'TRADE IN'!$F321))</f>
        <v>999</v>
      </c>
      <c r="Z321" s="56">
        <f>IF(VLOOKUP($C321,REV!$C:$AA,24,0)-'TRADE IN'!$F321=0,"",(VLOOKUP($C321,REV!$C:$AA,24,0)-'TRADE IN'!$F321))</f>
        <v>999</v>
      </c>
      <c r="AA321" s="56">
        <f>IF(VLOOKUP($C321,REV!$C:$AA,25,0)-'TRADE IN'!$F321=0,"",(VLOOKUP($C321,REV!$C:$AA,25,0)-'TRADE IN'!$F321))</f>
        <v>949</v>
      </c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7"/>
      <c r="AW321" s="58" t="str">
        <f>REV!AW321</f>
        <v>03.11.2026</v>
      </c>
      <c r="AX321" s="147" t="str">
        <f>VLOOKUP(C321,REV!C:AX,48,0)</f>
        <v>5G</v>
      </c>
    </row>
    <row r="322" spans="1:50" ht="22.5" customHeight="1">
      <c r="A322" s="64" t="s">
        <v>241</v>
      </c>
      <c r="B322" s="52" t="s">
        <v>64</v>
      </c>
      <c r="C322" s="53">
        <v>4015938</v>
      </c>
      <c r="D322" s="65" t="s">
        <v>496</v>
      </c>
      <c r="E322" s="65" t="s">
        <v>497</v>
      </c>
      <c r="F322" s="55"/>
      <c r="G322" s="55"/>
      <c r="H322" s="55"/>
      <c r="I322" s="55"/>
      <c r="J322" s="56">
        <f>IF(VLOOKUP($C322,REV!$C:$AA,8,0)-'TRADE IN'!$F322=0,"",(VLOOKUP($C322,REV!$C:$AA,8,0)-'TRADE IN'!$F322))</f>
        <v>1899</v>
      </c>
      <c r="K322" s="56">
        <f>IF(VLOOKUP($C322,REV!$C:$AA,9,0)-'TRADE IN'!$F322=0,"",(VLOOKUP($C322,REV!$C:$AA,9,0)-'TRADE IN'!$F322))</f>
        <v>1799</v>
      </c>
      <c r="L322" s="56">
        <f>IF(VLOOKUP($C322,REV!$C:$AA,10,0)-'TRADE IN'!$F322=0,"",(VLOOKUP($C322,REV!$C:$AA,10,0)-'TRADE IN'!$F322))</f>
        <v>1799</v>
      </c>
      <c r="M322" s="56">
        <f>IF(VLOOKUP($C322,REV!$C:$AA,11,0)-'TRADE IN'!$F322=0,"",(VLOOKUP($C322,REV!$C:$AA,11,0)-'TRADE IN'!$F322))</f>
        <v>1899</v>
      </c>
      <c r="N322" s="56">
        <f>IF(VLOOKUP($C322,REV!$C:$AA,12,0)-'TRADE IN'!$F322=0,"",(VLOOKUP($C322,REV!$C:$AA,12,0)-'TRADE IN'!$F322))</f>
        <v>1799</v>
      </c>
      <c r="O322" s="56">
        <f>IF(VLOOKUP($C322,REV!$C:$AA,13,0)-'TRADE IN'!$F322=0,"",(VLOOKUP($C322,REV!$C:$AA,13,0)-'TRADE IN'!$F322))</f>
        <v>1749</v>
      </c>
      <c r="P322" s="56">
        <f>IF(VLOOKUP($C322,REV!$C:$AA,14,0)-'TRADE IN'!$F322=0,"",(VLOOKUP($C322,REV!$C:$AA,14,0)-'TRADE IN'!$F322))</f>
        <v>1699</v>
      </c>
      <c r="Q322" s="56">
        <f>IF(VLOOKUP($C322,REV!$C:$AA,15,0)-'TRADE IN'!$F322=0,"",(VLOOKUP($C322,REV!$C:$AA,15,0)-'TRADE IN'!$F322))</f>
        <v>1299</v>
      </c>
      <c r="R322" s="56">
        <f>IF(VLOOKUP($C322,REV!$C:$AA,16,0)-'TRADE IN'!$F322=0,"",(VLOOKUP($C322,REV!$C:$AA,16,0)-'TRADE IN'!$F322))</f>
        <v>1749</v>
      </c>
      <c r="S322" s="56">
        <f>IF(VLOOKUP($C322,REV!$C:$AA,17,0)-'TRADE IN'!$F322=0,"",(VLOOKUP($C322,REV!$C:$AA,17,0)-'TRADE IN'!$F322))</f>
        <v>1699</v>
      </c>
      <c r="T322" s="56">
        <f>IF(VLOOKUP($C322,REV!$C:$AA,18,0)-'TRADE IN'!$F322=0,"",(VLOOKUP($C322,REV!$C:$AA,18,0)-'TRADE IN'!$F322))</f>
        <v>1299</v>
      </c>
      <c r="U322" s="56">
        <f>IF(VLOOKUP($C322,REV!$C:$AA,19,0)-'TRADE IN'!$F322=0,"",(VLOOKUP($C322,REV!$C:$AA,19,0)-'TRADE IN'!$F322))</f>
        <v>1299</v>
      </c>
      <c r="V322" s="56">
        <f>IF(VLOOKUP($C322,REV!$C:$AA,20,0)-'TRADE IN'!$F322=0,"",(VLOOKUP($C322,REV!$C:$AA,20,0)-'TRADE IN'!$F322))</f>
        <v>1299</v>
      </c>
      <c r="W322" s="56">
        <f>IF(VLOOKUP($C322,REV!$C:$AA,21,0)-'TRADE IN'!$F322=0,"",(VLOOKUP($C322,REV!$C:$AA,21,0)-'TRADE IN'!$F322))</f>
        <v>1299</v>
      </c>
      <c r="X322" s="56">
        <f>IF(VLOOKUP($C322,REV!$C:$AA,22,0)-'TRADE IN'!$F322=0,"",(VLOOKUP($C322,REV!$C:$AA,22,0)-'TRADE IN'!$F322))</f>
        <v>1299</v>
      </c>
      <c r="Y322" s="56">
        <f>IF(VLOOKUP($C322,REV!$C:$AA,23,0)-'TRADE IN'!$F322=0,"",(VLOOKUP($C322,REV!$C:$AA,23,0)-'TRADE IN'!$F322))</f>
        <v>1199</v>
      </c>
      <c r="Z322" s="56">
        <f>IF(VLOOKUP($C322,REV!$C:$AA,24,0)-'TRADE IN'!$F322=0,"",(VLOOKUP($C322,REV!$C:$AA,24,0)-'TRADE IN'!$F322))</f>
        <v>1199</v>
      </c>
      <c r="AA322" s="56">
        <f>IF(VLOOKUP($C322,REV!$C:$AA,25,0)-'TRADE IN'!$F322=0,"",(VLOOKUP($C322,REV!$C:$AA,25,0)-'TRADE IN'!$F322))</f>
        <v>1199</v>
      </c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7"/>
      <c r="AW322" s="58" t="str">
        <f>REV!AW322</f>
        <v>03.11.2026</v>
      </c>
      <c r="AX322" s="147" t="str">
        <f>VLOOKUP(C322,REV!C:AX,48,0)</f>
        <v>5G</v>
      </c>
    </row>
    <row r="323" spans="1:50" ht="22.5" customHeight="1">
      <c r="A323" s="64" t="s">
        <v>241</v>
      </c>
      <c r="B323" s="52" t="s">
        <v>64</v>
      </c>
      <c r="C323" s="53">
        <v>4016161</v>
      </c>
      <c r="D323" s="65" t="s">
        <v>496</v>
      </c>
      <c r="E323" s="65" t="s">
        <v>498</v>
      </c>
      <c r="F323" s="55"/>
      <c r="G323" s="55"/>
      <c r="H323" s="55"/>
      <c r="I323" s="55"/>
      <c r="J323" s="56">
        <f>IF(VLOOKUP($C323,REV!$C:$AA,8,0)-'TRADE IN'!$F323=0,"",(VLOOKUP($C323,REV!$C:$AA,8,0)-'TRADE IN'!$F323))</f>
        <v>1899</v>
      </c>
      <c r="K323" s="56">
        <f>IF(VLOOKUP($C323,REV!$C:$AA,9,0)-'TRADE IN'!$F323=0,"",(VLOOKUP($C323,REV!$C:$AA,9,0)-'TRADE IN'!$F323))</f>
        <v>1799</v>
      </c>
      <c r="L323" s="56">
        <f>IF(VLOOKUP($C323,REV!$C:$AA,10,0)-'TRADE IN'!$F323=0,"",(VLOOKUP($C323,REV!$C:$AA,10,0)-'TRADE IN'!$F323))</f>
        <v>1799</v>
      </c>
      <c r="M323" s="56">
        <f>IF(VLOOKUP($C323,REV!$C:$AA,11,0)-'TRADE IN'!$F323=0,"",(VLOOKUP($C323,REV!$C:$AA,11,0)-'TRADE IN'!$F323))</f>
        <v>1899</v>
      </c>
      <c r="N323" s="56">
        <f>IF(VLOOKUP($C323,REV!$C:$AA,12,0)-'TRADE IN'!$F323=0,"",(VLOOKUP($C323,REV!$C:$AA,12,0)-'TRADE IN'!$F323))</f>
        <v>1799</v>
      </c>
      <c r="O323" s="56">
        <f>IF(VLOOKUP($C323,REV!$C:$AA,13,0)-'TRADE IN'!$F323=0,"",(VLOOKUP($C323,REV!$C:$AA,13,0)-'TRADE IN'!$F323))</f>
        <v>1749</v>
      </c>
      <c r="P323" s="56">
        <f>IF(VLOOKUP($C323,REV!$C:$AA,14,0)-'TRADE IN'!$F323=0,"",(VLOOKUP($C323,REV!$C:$AA,14,0)-'TRADE IN'!$F323))</f>
        <v>1699</v>
      </c>
      <c r="Q323" s="56">
        <f>IF(VLOOKUP($C323,REV!$C:$AA,15,0)-'TRADE IN'!$F323=0,"",(VLOOKUP($C323,REV!$C:$AA,15,0)-'TRADE IN'!$F323))</f>
        <v>1299</v>
      </c>
      <c r="R323" s="56">
        <f>IF(VLOOKUP($C323,REV!$C:$AA,16,0)-'TRADE IN'!$F323=0,"",(VLOOKUP($C323,REV!$C:$AA,16,0)-'TRADE IN'!$F323))</f>
        <v>1749</v>
      </c>
      <c r="S323" s="56">
        <f>IF(VLOOKUP($C323,REV!$C:$AA,17,0)-'TRADE IN'!$F323=0,"",(VLOOKUP($C323,REV!$C:$AA,17,0)-'TRADE IN'!$F323))</f>
        <v>1699</v>
      </c>
      <c r="T323" s="56">
        <f>IF(VLOOKUP($C323,REV!$C:$AA,18,0)-'TRADE IN'!$F323=0,"",(VLOOKUP($C323,REV!$C:$AA,18,0)-'TRADE IN'!$F323))</f>
        <v>1299</v>
      </c>
      <c r="U323" s="56">
        <f>IF(VLOOKUP($C323,REV!$C:$AA,19,0)-'TRADE IN'!$F323=0,"",(VLOOKUP($C323,REV!$C:$AA,19,0)-'TRADE IN'!$F323))</f>
        <v>1299</v>
      </c>
      <c r="V323" s="56">
        <f>IF(VLOOKUP($C323,REV!$C:$AA,20,0)-'TRADE IN'!$F323=0,"",(VLOOKUP($C323,REV!$C:$AA,20,0)-'TRADE IN'!$F323))</f>
        <v>1299</v>
      </c>
      <c r="W323" s="56">
        <f>IF(VLOOKUP($C323,REV!$C:$AA,21,0)-'TRADE IN'!$F323=0,"",(VLOOKUP($C323,REV!$C:$AA,21,0)-'TRADE IN'!$F323))</f>
        <v>1299</v>
      </c>
      <c r="X323" s="56">
        <f>IF(VLOOKUP($C323,REV!$C:$AA,22,0)-'TRADE IN'!$F323=0,"",(VLOOKUP($C323,REV!$C:$AA,22,0)-'TRADE IN'!$F323))</f>
        <v>1299</v>
      </c>
      <c r="Y323" s="56">
        <f>IF(VLOOKUP($C323,REV!$C:$AA,23,0)-'TRADE IN'!$F323=0,"",(VLOOKUP($C323,REV!$C:$AA,23,0)-'TRADE IN'!$F323))</f>
        <v>1199</v>
      </c>
      <c r="Z323" s="56">
        <f>IF(VLOOKUP($C323,REV!$C:$AA,24,0)-'TRADE IN'!$F323=0,"",(VLOOKUP($C323,REV!$C:$AA,24,0)-'TRADE IN'!$F323))</f>
        <v>1199</v>
      </c>
      <c r="AA323" s="56">
        <f>IF(VLOOKUP($C323,REV!$C:$AA,25,0)-'TRADE IN'!$F323=0,"",(VLOOKUP($C323,REV!$C:$AA,25,0)-'TRADE IN'!$F323))</f>
        <v>1199</v>
      </c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7"/>
      <c r="AW323" s="58" t="str">
        <f>REV!AW323</f>
        <v>03.11.2026</v>
      </c>
      <c r="AX323" s="147" t="str">
        <f>VLOOKUP(C323,REV!C:AX,48,0)</f>
        <v>5G</v>
      </c>
    </row>
    <row r="324" spans="1:50" ht="22.5" customHeight="1">
      <c r="A324" s="64" t="s">
        <v>241</v>
      </c>
      <c r="B324" s="52" t="s">
        <v>64</v>
      </c>
      <c r="C324" s="53">
        <v>4015933</v>
      </c>
      <c r="D324" s="65" t="s">
        <v>496</v>
      </c>
      <c r="E324" s="65" t="s">
        <v>499</v>
      </c>
      <c r="F324" s="55"/>
      <c r="G324" s="55"/>
      <c r="H324" s="55"/>
      <c r="I324" s="55"/>
      <c r="J324" s="56">
        <f>IF(VLOOKUP($C324,REV!$C:$AA,8,0)-'TRADE IN'!$F324=0,"",(VLOOKUP($C324,REV!$C:$AA,8,0)-'TRADE IN'!$F324))</f>
        <v>1899</v>
      </c>
      <c r="K324" s="56">
        <f>IF(VLOOKUP($C324,REV!$C:$AA,9,0)-'TRADE IN'!$F324=0,"",(VLOOKUP($C324,REV!$C:$AA,9,0)-'TRADE IN'!$F324))</f>
        <v>1799</v>
      </c>
      <c r="L324" s="56">
        <f>IF(VLOOKUP($C324,REV!$C:$AA,10,0)-'TRADE IN'!$F324=0,"",(VLOOKUP($C324,REV!$C:$AA,10,0)-'TRADE IN'!$F324))</f>
        <v>1799</v>
      </c>
      <c r="M324" s="56">
        <f>IF(VLOOKUP($C324,REV!$C:$AA,11,0)-'TRADE IN'!$F324=0,"",(VLOOKUP($C324,REV!$C:$AA,11,0)-'TRADE IN'!$F324))</f>
        <v>1899</v>
      </c>
      <c r="N324" s="56">
        <f>IF(VLOOKUP($C324,REV!$C:$AA,12,0)-'TRADE IN'!$F324=0,"",(VLOOKUP($C324,REV!$C:$AA,12,0)-'TRADE IN'!$F324))</f>
        <v>1799</v>
      </c>
      <c r="O324" s="56">
        <f>IF(VLOOKUP($C324,REV!$C:$AA,13,0)-'TRADE IN'!$F324=0,"",(VLOOKUP($C324,REV!$C:$AA,13,0)-'TRADE IN'!$F324))</f>
        <v>1749</v>
      </c>
      <c r="P324" s="56">
        <f>IF(VLOOKUP($C324,REV!$C:$AA,14,0)-'TRADE IN'!$F324=0,"",(VLOOKUP($C324,REV!$C:$AA,14,0)-'TRADE IN'!$F324))</f>
        <v>1699</v>
      </c>
      <c r="Q324" s="56">
        <f>IF(VLOOKUP($C324,REV!$C:$AA,15,0)-'TRADE IN'!$F324=0,"",(VLOOKUP($C324,REV!$C:$AA,15,0)-'TRADE IN'!$F324))</f>
        <v>1299</v>
      </c>
      <c r="R324" s="56">
        <f>IF(VLOOKUP($C324,REV!$C:$AA,16,0)-'TRADE IN'!$F324=0,"",(VLOOKUP($C324,REV!$C:$AA,16,0)-'TRADE IN'!$F324))</f>
        <v>1749</v>
      </c>
      <c r="S324" s="56">
        <f>IF(VLOOKUP($C324,REV!$C:$AA,17,0)-'TRADE IN'!$F324=0,"",(VLOOKUP($C324,REV!$C:$AA,17,0)-'TRADE IN'!$F324))</f>
        <v>1699</v>
      </c>
      <c r="T324" s="56">
        <f>IF(VLOOKUP($C324,REV!$C:$AA,18,0)-'TRADE IN'!$F324=0,"",(VLOOKUP($C324,REV!$C:$AA,18,0)-'TRADE IN'!$F324))</f>
        <v>1299</v>
      </c>
      <c r="U324" s="56">
        <f>IF(VLOOKUP($C324,REV!$C:$AA,19,0)-'TRADE IN'!$F324=0,"",(VLOOKUP($C324,REV!$C:$AA,19,0)-'TRADE IN'!$F324))</f>
        <v>1299</v>
      </c>
      <c r="V324" s="56">
        <f>IF(VLOOKUP($C324,REV!$C:$AA,20,0)-'TRADE IN'!$F324=0,"",(VLOOKUP($C324,REV!$C:$AA,20,0)-'TRADE IN'!$F324))</f>
        <v>1299</v>
      </c>
      <c r="W324" s="56">
        <f>IF(VLOOKUP($C324,REV!$C:$AA,21,0)-'TRADE IN'!$F324=0,"",(VLOOKUP($C324,REV!$C:$AA,21,0)-'TRADE IN'!$F324))</f>
        <v>1299</v>
      </c>
      <c r="X324" s="56">
        <f>IF(VLOOKUP($C324,REV!$C:$AA,22,0)-'TRADE IN'!$F324=0,"",(VLOOKUP($C324,REV!$C:$AA,22,0)-'TRADE IN'!$F324))</f>
        <v>1299</v>
      </c>
      <c r="Y324" s="56">
        <f>IF(VLOOKUP($C324,REV!$C:$AA,23,0)-'TRADE IN'!$F324=0,"",(VLOOKUP($C324,REV!$C:$AA,23,0)-'TRADE IN'!$F324))</f>
        <v>1199</v>
      </c>
      <c r="Z324" s="56">
        <f>IF(VLOOKUP($C324,REV!$C:$AA,24,0)-'TRADE IN'!$F324=0,"",(VLOOKUP($C324,REV!$C:$AA,24,0)-'TRADE IN'!$F324))</f>
        <v>1199</v>
      </c>
      <c r="AA324" s="56">
        <f>IF(VLOOKUP($C324,REV!$C:$AA,25,0)-'TRADE IN'!$F324=0,"",(VLOOKUP($C324,REV!$C:$AA,25,0)-'TRADE IN'!$F324))</f>
        <v>1199</v>
      </c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7"/>
      <c r="AW324" s="58" t="str">
        <f>REV!AW324</f>
        <v>03.11.2026</v>
      </c>
      <c r="AX324" s="147" t="str">
        <f>VLOOKUP(C324,REV!C:AX,48,0)</f>
        <v>5G</v>
      </c>
    </row>
    <row r="325" spans="1:50" ht="22.5" customHeight="1">
      <c r="A325" s="64" t="s">
        <v>241</v>
      </c>
      <c r="B325" s="52" t="s">
        <v>64</v>
      </c>
      <c r="C325" s="53">
        <v>4016156</v>
      </c>
      <c r="D325" s="65" t="s">
        <v>496</v>
      </c>
      <c r="E325" s="65" t="s">
        <v>500</v>
      </c>
      <c r="F325" s="55"/>
      <c r="G325" s="55"/>
      <c r="H325" s="55"/>
      <c r="I325" s="55"/>
      <c r="J325" s="56">
        <f>IF(VLOOKUP($C325,REV!$C:$AA,8,0)-'TRADE IN'!$F325=0,"",(VLOOKUP($C325,REV!$C:$AA,8,0)-'TRADE IN'!$F325))</f>
        <v>1899</v>
      </c>
      <c r="K325" s="56">
        <f>IF(VLOOKUP($C325,REV!$C:$AA,9,0)-'TRADE IN'!$F325=0,"",(VLOOKUP($C325,REV!$C:$AA,9,0)-'TRADE IN'!$F325))</f>
        <v>1799</v>
      </c>
      <c r="L325" s="56">
        <f>IF(VLOOKUP($C325,REV!$C:$AA,10,0)-'TRADE IN'!$F325=0,"",(VLOOKUP($C325,REV!$C:$AA,10,0)-'TRADE IN'!$F325))</f>
        <v>1799</v>
      </c>
      <c r="M325" s="56">
        <f>IF(VLOOKUP($C325,REV!$C:$AA,11,0)-'TRADE IN'!$F325=0,"",(VLOOKUP($C325,REV!$C:$AA,11,0)-'TRADE IN'!$F325))</f>
        <v>1899</v>
      </c>
      <c r="N325" s="56">
        <f>IF(VLOOKUP($C325,REV!$C:$AA,12,0)-'TRADE IN'!$F325=0,"",(VLOOKUP($C325,REV!$C:$AA,12,0)-'TRADE IN'!$F325))</f>
        <v>1799</v>
      </c>
      <c r="O325" s="56">
        <f>IF(VLOOKUP($C325,REV!$C:$AA,13,0)-'TRADE IN'!$F325=0,"",(VLOOKUP($C325,REV!$C:$AA,13,0)-'TRADE IN'!$F325))</f>
        <v>1749</v>
      </c>
      <c r="P325" s="56">
        <f>IF(VLOOKUP($C325,REV!$C:$AA,14,0)-'TRADE IN'!$F325=0,"",(VLOOKUP($C325,REV!$C:$AA,14,0)-'TRADE IN'!$F325))</f>
        <v>1699</v>
      </c>
      <c r="Q325" s="56">
        <f>IF(VLOOKUP($C325,REV!$C:$AA,15,0)-'TRADE IN'!$F325=0,"",(VLOOKUP($C325,REV!$C:$AA,15,0)-'TRADE IN'!$F325))</f>
        <v>1299</v>
      </c>
      <c r="R325" s="56">
        <f>IF(VLOOKUP($C325,REV!$C:$AA,16,0)-'TRADE IN'!$F325=0,"",(VLOOKUP($C325,REV!$C:$AA,16,0)-'TRADE IN'!$F325))</f>
        <v>1749</v>
      </c>
      <c r="S325" s="56">
        <f>IF(VLOOKUP($C325,REV!$C:$AA,17,0)-'TRADE IN'!$F325=0,"",(VLOOKUP($C325,REV!$C:$AA,17,0)-'TRADE IN'!$F325))</f>
        <v>1699</v>
      </c>
      <c r="T325" s="56">
        <f>IF(VLOOKUP($C325,REV!$C:$AA,18,0)-'TRADE IN'!$F325=0,"",(VLOOKUP($C325,REV!$C:$AA,18,0)-'TRADE IN'!$F325))</f>
        <v>1299</v>
      </c>
      <c r="U325" s="56">
        <f>IF(VLOOKUP($C325,REV!$C:$AA,19,0)-'TRADE IN'!$F325=0,"",(VLOOKUP($C325,REV!$C:$AA,19,0)-'TRADE IN'!$F325))</f>
        <v>1299</v>
      </c>
      <c r="V325" s="56">
        <f>IF(VLOOKUP($C325,REV!$C:$AA,20,0)-'TRADE IN'!$F325=0,"",(VLOOKUP($C325,REV!$C:$AA,20,0)-'TRADE IN'!$F325))</f>
        <v>1299</v>
      </c>
      <c r="W325" s="56">
        <f>IF(VLOOKUP($C325,REV!$C:$AA,21,0)-'TRADE IN'!$F325=0,"",(VLOOKUP($C325,REV!$C:$AA,21,0)-'TRADE IN'!$F325))</f>
        <v>1299</v>
      </c>
      <c r="X325" s="56">
        <f>IF(VLOOKUP($C325,REV!$C:$AA,22,0)-'TRADE IN'!$F325=0,"",(VLOOKUP($C325,REV!$C:$AA,22,0)-'TRADE IN'!$F325))</f>
        <v>1299</v>
      </c>
      <c r="Y325" s="56">
        <f>IF(VLOOKUP($C325,REV!$C:$AA,23,0)-'TRADE IN'!$F325=0,"",(VLOOKUP($C325,REV!$C:$AA,23,0)-'TRADE IN'!$F325))</f>
        <v>1199</v>
      </c>
      <c r="Z325" s="56">
        <f>IF(VLOOKUP($C325,REV!$C:$AA,24,0)-'TRADE IN'!$F325=0,"",(VLOOKUP($C325,REV!$C:$AA,24,0)-'TRADE IN'!$F325))</f>
        <v>1199</v>
      </c>
      <c r="AA325" s="56">
        <f>IF(VLOOKUP($C325,REV!$C:$AA,25,0)-'TRADE IN'!$F325=0,"",(VLOOKUP($C325,REV!$C:$AA,25,0)-'TRADE IN'!$F325))</f>
        <v>1199</v>
      </c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7"/>
      <c r="AW325" s="58" t="str">
        <f>REV!AW325</f>
        <v>03.11.2026</v>
      </c>
      <c r="AX325" s="147" t="str">
        <f>VLOOKUP(C325,REV!C:AX,48,0)</f>
        <v>5G</v>
      </c>
    </row>
    <row r="326" spans="1:50" ht="22.5" customHeight="1">
      <c r="A326" s="64" t="s">
        <v>241</v>
      </c>
      <c r="B326" s="52" t="s">
        <v>64</v>
      </c>
      <c r="C326" s="53">
        <v>4016157</v>
      </c>
      <c r="D326" s="65" t="s">
        <v>496</v>
      </c>
      <c r="E326" s="65" t="s">
        <v>501</v>
      </c>
      <c r="F326" s="55"/>
      <c r="G326" s="55"/>
      <c r="H326" s="55"/>
      <c r="I326" s="55"/>
      <c r="J326" s="56">
        <f>IF(VLOOKUP($C326,REV!$C:$AA,8,0)-'TRADE IN'!$F326=0,"",(VLOOKUP($C326,REV!$C:$AA,8,0)-'TRADE IN'!$F326))</f>
        <v>1899</v>
      </c>
      <c r="K326" s="56">
        <f>IF(VLOOKUP($C326,REV!$C:$AA,9,0)-'TRADE IN'!$F326=0,"",(VLOOKUP($C326,REV!$C:$AA,9,0)-'TRADE IN'!$F326))</f>
        <v>1799</v>
      </c>
      <c r="L326" s="56">
        <f>IF(VLOOKUP($C326,REV!$C:$AA,10,0)-'TRADE IN'!$F326=0,"",(VLOOKUP($C326,REV!$C:$AA,10,0)-'TRADE IN'!$F326))</f>
        <v>1799</v>
      </c>
      <c r="M326" s="56">
        <f>IF(VLOOKUP($C326,REV!$C:$AA,11,0)-'TRADE IN'!$F326=0,"",(VLOOKUP($C326,REV!$C:$AA,11,0)-'TRADE IN'!$F326))</f>
        <v>1899</v>
      </c>
      <c r="N326" s="56">
        <f>IF(VLOOKUP($C326,REV!$C:$AA,12,0)-'TRADE IN'!$F326=0,"",(VLOOKUP($C326,REV!$C:$AA,12,0)-'TRADE IN'!$F326))</f>
        <v>1799</v>
      </c>
      <c r="O326" s="56">
        <f>IF(VLOOKUP($C326,REV!$C:$AA,13,0)-'TRADE IN'!$F326=0,"",(VLOOKUP($C326,REV!$C:$AA,13,0)-'TRADE IN'!$F326))</f>
        <v>1749</v>
      </c>
      <c r="P326" s="56">
        <f>IF(VLOOKUP($C326,REV!$C:$AA,14,0)-'TRADE IN'!$F326=0,"",(VLOOKUP($C326,REV!$C:$AA,14,0)-'TRADE IN'!$F326))</f>
        <v>1699</v>
      </c>
      <c r="Q326" s="56">
        <f>IF(VLOOKUP($C326,REV!$C:$AA,15,0)-'TRADE IN'!$F326=0,"",(VLOOKUP($C326,REV!$C:$AA,15,0)-'TRADE IN'!$F326))</f>
        <v>1299</v>
      </c>
      <c r="R326" s="56">
        <f>IF(VLOOKUP($C326,REV!$C:$AA,16,0)-'TRADE IN'!$F326=0,"",(VLOOKUP($C326,REV!$C:$AA,16,0)-'TRADE IN'!$F326))</f>
        <v>1749</v>
      </c>
      <c r="S326" s="56">
        <f>IF(VLOOKUP($C326,REV!$C:$AA,17,0)-'TRADE IN'!$F326=0,"",(VLOOKUP($C326,REV!$C:$AA,17,0)-'TRADE IN'!$F326))</f>
        <v>1699</v>
      </c>
      <c r="T326" s="56">
        <f>IF(VLOOKUP($C326,REV!$C:$AA,18,0)-'TRADE IN'!$F326=0,"",(VLOOKUP($C326,REV!$C:$AA,18,0)-'TRADE IN'!$F326))</f>
        <v>1299</v>
      </c>
      <c r="U326" s="56">
        <f>IF(VLOOKUP($C326,REV!$C:$AA,19,0)-'TRADE IN'!$F326=0,"",(VLOOKUP($C326,REV!$C:$AA,19,0)-'TRADE IN'!$F326))</f>
        <v>1299</v>
      </c>
      <c r="V326" s="56">
        <f>IF(VLOOKUP($C326,REV!$C:$AA,20,0)-'TRADE IN'!$F326=0,"",(VLOOKUP($C326,REV!$C:$AA,20,0)-'TRADE IN'!$F326))</f>
        <v>1299</v>
      </c>
      <c r="W326" s="56">
        <f>IF(VLOOKUP($C326,REV!$C:$AA,21,0)-'TRADE IN'!$F326=0,"",(VLOOKUP($C326,REV!$C:$AA,21,0)-'TRADE IN'!$F326))</f>
        <v>1299</v>
      </c>
      <c r="X326" s="56">
        <f>IF(VLOOKUP($C326,REV!$C:$AA,22,0)-'TRADE IN'!$F326=0,"",(VLOOKUP($C326,REV!$C:$AA,22,0)-'TRADE IN'!$F326))</f>
        <v>1299</v>
      </c>
      <c r="Y326" s="56">
        <f>IF(VLOOKUP($C326,REV!$C:$AA,23,0)-'TRADE IN'!$F326=0,"",(VLOOKUP($C326,REV!$C:$AA,23,0)-'TRADE IN'!$F326))</f>
        <v>1199</v>
      </c>
      <c r="Z326" s="56">
        <f>IF(VLOOKUP($C326,REV!$C:$AA,24,0)-'TRADE IN'!$F326=0,"",(VLOOKUP($C326,REV!$C:$AA,24,0)-'TRADE IN'!$F326))</f>
        <v>1199</v>
      </c>
      <c r="AA326" s="56">
        <f>IF(VLOOKUP($C326,REV!$C:$AA,25,0)-'TRADE IN'!$F326=0,"",(VLOOKUP($C326,REV!$C:$AA,25,0)-'TRADE IN'!$F326))</f>
        <v>1199</v>
      </c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7"/>
      <c r="AW326" s="58" t="str">
        <f>REV!AW326</f>
        <v>03.11.2026</v>
      </c>
      <c r="AX326" s="147" t="str">
        <f>VLOOKUP(C326,REV!C:AX,48,0)</f>
        <v>5G</v>
      </c>
    </row>
    <row r="327" spans="1:50" ht="22.5" customHeight="1">
      <c r="A327" s="64" t="s">
        <v>241</v>
      </c>
      <c r="B327" s="52" t="s">
        <v>64</v>
      </c>
      <c r="C327" s="53">
        <v>4016985</v>
      </c>
      <c r="D327" s="65" t="s">
        <v>502</v>
      </c>
      <c r="E327" s="65" t="s">
        <v>503</v>
      </c>
      <c r="F327" s="55"/>
      <c r="G327" s="55"/>
      <c r="H327" s="55"/>
      <c r="I327" s="55"/>
      <c r="J327" s="56">
        <f>IF(VLOOKUP($C327,REV!$C:$AA,8,0)-'TRADE IN'!$F327=0,"",(VLOOKUP($C327,REV!$C:$AA,8,0)-'TRADE IN'!$F327))</f>
        <v>2599</v>
      </c>
      <c r="K327" s="56">
        <f>IF(VLOOKUP($C327,REV!$C:$AA,9,0)-'TRADE IN'!$F327=0,"",(VLOOKUP($C327,REV!$C:$AA,9,0)-'TRADE IN'!$F327))</f>
        <v>1899</v>
      </c>
      <c r="L327" s="56">
        <f>IF(VLOOKUP($C327,REV!$C:$AA,10,0)-'TRADE IN'!$F327=0,"",(VLOOKUP($C327,REV!$C:$AA,10,0)-'TRADE IN'!$F327))</f>
        <v>1899</v>
      </c>
      <c r="M327" s="56">
        <f>IF(VLOOKUP($C327,REV!$C:$AA,11,0)-'TRADE IN'!$F327=0,"",(VLOOKUP($C327,REV!$C:$AA,11,0)-'TRADE IN'!$F327))</f>
        <v>2599</v>
      </c>
      <c r="N327" s="56">
        <f>IF(VLOOKUP($C327,REV!$C:$AA,12,0)-'TRADE IN'!$F327=0,"",(VLOOKUP($C327,REV!$C:$AA,12,0)-'TRADE IN'!$F327))</f>
        <v>1899</v>
      </c>
      <c r="O327" s="56">
        <f>IF(VLOOKUP($C327,REV!$C:$AA,13,0)-'TRADE IN'!$F327=0,"",(VLOOKUP($C327,REV!$C:$AA,13,0)-'TRADE IN'!$F327))</f>
        <v>1599</v>
      </c>
      <c r="P327" s="56">
        <f>IF(VLOOKUP($C327,REV!$C:$AA,14,0)-'TRADE IN'!$F327=0,"",(VLOOKUP($C327,REV!$C:$AA,14,0)-'TRADE IN'!$F327))</f>
        <v>1499</v>
      </c>
      <c r="Q327" s="56">
        <f>IF(VLOOKUP($C327,REV!$C:$AA,15,0)-'TRADE IN'!$F327=0,"",(VLOOKUP($C327,REV!$C:$AA,15,0)-'TRADE IN'!$F327))</f>
        <v>1499</v>
      </c>
      <c r="R327" s="56">
        <f>IF(VLOOKUP($C327,REV!$C:$AA,16,0)-'TRADE IN'!$F327=0,"",(VLOOKUP($C327,REV!$C:$AA,16,0)-'TRADE IN'!$F327))</f>
        <v>1799</v>
      </c>
      <c r="S327" s="56">
        <f>IF(VLOOKUP($C327,REV!$C:$AA,17,0)-'TRADE IN'!$F327=0,"",(VLOOKUP($C327,REV!$C:$AA,17,0)-'TRADE IN'!$F327))</f>
        <v>1499</v>
      </c>
      <c r="T327" s="56">
        <f>IF(VLOOKUP($C327,REV!$C:$AA,18,0)-'TRADE IN'!$F327=0,"",(VLOOKUP($C327,REV!$C:$AA,18,0)-'TRADE IN'!$F327))</f>
        <v>1499</v>
      </c>
      <c r="U327" s="56">
        <f>IF(VLOOKUP($C327,REV!$C:$AA,19,0)-'TRADE IN'!$F327=0,"",(VLOOKUP($C327,REV!$C:$AA,19,0)-'TRADE IN'!$F327))</f>
        <v>1499</v>
      </c>
      <c r="V327" s="56">
        <f>IF(VLOOKUP($C327,REV!$C:$AA,20,0)-'TRADE IN'!$F327=0,"",(VLOOKUP($C327,REV!$C:$AA,20,0)-'TRADE IN'!$F327))</f>
        <v>1499</v>
      </c>
      <c r="W327" s="56">
        <f>IF(VLOOKUP($C327,REV!$C:$AA,21,0)-'TRADE IN'!$F327=0,"",(VLOOKUP($C327,REV!$C:$AA,21,0)-'TRADE IN'!$F327))</f>
        <v>1499</v>
      </c>
      <c r="X327" s="56">
        <f>IF(VLOOKUP($C327,REV!$C:$AA,22,0)-'TRADE IN'!$F327=0,"",(VLOOKUP($C327,REV!$C:$AA,22,0)-'TRADE IN'!$F327))</f>
        <v>1399</v>
      </c>
      <c r="Y327" s="56">
        <f>IF(VLOOKUP($C327,REV!$C:$AA,23,0)-'TRADE IN'!$F327=0,"",(VLOOKUP($C327,REV!$C:$AA,23,0)-'TRADE IN'!$F327))</f>
        <v>1399</v>
      </c>
      <c r="Z327" s="56">
        <f>IF(VLOOKUP($C327,REV!$C:$AA,24,0)-'TRADE IN'!$F327=0,"",(VLOOKUP($C327,REV!$C:$AA,24,0)-'TRADE IN'!$F327))</f>
        <v>1399</v>
      </c>
      <c r="AA327" s="56">
        <f>IF(VLOOKUP($C327,REV!$C:$AA,25,0)-'TRADE IN'!$F327=0,"",(VLOOKUP($C327,REV!$C:$AA,25,0)-'TRADE IN'!$F327))</f>
        <v>1399</v>
      </c>
      <c r="AB327" s="55">
        <f>IF(VLOOKUP($C327,REV!$C:$AL,27,0)-'TRADE IN'!$F327=0,"",(VLOOKUP($C327,REV!$C:$AL,27,0)-'TRADE IN'!$F327))</f>
        <v>1899</v>
      </c>
      <c r="AC327" s="55">
        <f>IF(VLOOKUP($C327,REV!$C:$AL,28,0)-'TRADE IN'!$F327=0,"",(VLOOKUP($C327,REV!$C:$AL,28,0)-'TRADE IN'!$F327))</f>
        <v>1899</v>
      </c>
      <c r="AD327" s="55">
        <f>IF(VLOOKUP($C327,REV!$C:$AL,29,0)-'TRADE IN'!$F327=0,"",(VLOOKUP($C327,REV!$C:$AL,29,0)-'TRADE IN'!$F327))</f>
        <v>1799</v>
      </c>
      <c r="AE327" s="55">
        <f>IF(VLOOKUP($C327,REV!$C:$AL,30,0)-'TRADE IN'!$F327=0,"",(VLOOKUP($C327,REV!$C:$AL,30,0)-'TRADE IN'!$F327))</f>
        <v>1499</v>
      </c>
      <c r="AF327" s="55">
        <f>IF(VLOOKUP($C327,REV!$C:$AL,31,0)-'TRADE IN'!$F327=0,"",(VLOOKUP($C327,REV!$C:$AL,31,0)-'TRADE IN'!$F327))</f>
        <v>1499</v>
      </c>
      <c r="AG327" s="55">
        <f>IF(VLOOKUP($C327,REV!$C:$AL,31,0)-'TRADE IN'!$F327=0,"",(VLOOKUP($C327,REV!$C:$AL,31,0)-'TRADE IN'!$F327))</f>
        <v>1499</v>
      </c>
      <c r="AH327" s="55">
        <f>IF(VLOOKUP($C327,REV!$C:$AL,32,0)-'TRADE IN'!$F327=0,"",(VLOOKUP($C327,REV!$C:$AL,32,0)-'TRADE IN'!$F327))</f>
        <v>1499</v>
      </c>
      <c r="AI327" s="55">
        <f>IF(VLOOKUP($C327,REV!$C:$AL,33,0)-'TRADE IN'!$F327=0,"",(VLOOKUP($C327,REV!$C:$AL,33,0)-'TRADE IN'!$F327))</f>
        <v>1499</v>
      </c>
      <c r="AJ327" s="55">
        <f>IF(VLOOKUP($C327,REV!$C:$AL,34,0)-'TRADE IN'!$F327=0,"",(VLOOKUP($C327,REV!$C:$AL,34,0)-'TRADE IN'!$F327))</f>
        <v>1499</v>
      </c>
      <c r="AK327" s="55">
        <f>IF(VLOOKUP($C327,REV!$C:$AL,35,0)-'TRADE IN'!$F327=0,"",(VLOOKUP($C327,REV!$C:$AL,35,0)-'TRADE IN'!$F327))</f>
        <v>1499</v>
      </c>
      <c r="AL327" s="55">
        <f>IF(VLOOKUP($C327,REV!$C:$AL,36,0)-'TRADE IN'!$F327=0,"",(VLOOKUP($C327,REV!$C:$AL,36,0)-'TRADE IN'!$F327))</f>
        <v>1399</v>
      </c>
      <c r="AM327" s="55"/>
      <c r="AN327" s="55"/>
      <c r="AO327" s="55"/>
      <c r="AP327" s="55"/>
      <c r="AQ327" s="55"/>
      <c r="AR327" s="55"/>
      <c r="AS327" s="55"/>
      <c r="AT327" s="55"/>
      <c r="AU327" s="55"/>
      <c r="AV327" s="57"/>
      <c r="AW327" s="58" t="str">
        <f>REV!AW327</f>
        <v>03.11.2026</v>
      </c>
      <c r="AX327" s="147" t="str">
        <f>VLOOKUP(C327,REV!C:AX,48,0)</f>
        <v>5G</v>
      </c>
    </row>
    <row r="328" spans="1:50" ht="22.5" customHeight="1">
      <c r="A328" s="64" t="s">
        <v>241</v>
      </c>
      <c r="B328" s="52" t="s">
        <v>64</v>
      </c>
      <c r="C328" s="53">
        <v>4016999</v>
      </c>
      <c r="D328" s="65" t="s">
        <v>502</v>
      </c>
      <c r="E328" s="65" t="s">
        <v>504</v>
      </c>
      <c r="F328" s="55"/>
      <c r="G328" s="55"/>
      <c r="H328" s="55"/>
      <c r="I328" s="55"/>
      <c r="J328" s="56">
        <f>IF(VLOOKUP($C328,REV!$C:$AA,8,0)-'TRADE IN'!$F328=0,"",(VLOOKUP($C328,REV!$C:$AA,8,0)-'TRADE IN'!$F328))</f>
        <v>2599</v>
      </c>
      <c r="K328" s="56">
        <f>IF(VLOOKUP($C328,REV!$C:$AA,9,0)-'TRADE IN'!$F328=0,"",(VLOOKUP($C328,REV!$C:$AA,9,0)-'TRADE IN'!$F328))</f>
        <v>1899</v>
      </c>
      <c r="L328" s="56">
        <f>IF(VLOOKUP($C328,REV!$C:$AA,10,0)-'TRADE IN'!$F328=0,"",(VLOOKUP($C328,REV!$C:$AA,10,0)-'TRADE IN'!$F328))</f>
        <v>1899</v>
      </c>
      <c r="M328" s="56">
        <f>IF(VLOOKUP($C328,REV!$C:$AA,11,0)-'TRADE IN'!$F328=0,"",(VLOOKUP($C328,REV!$C:$AA,11,0)-'TRADE IN'!$F328))</f>
        <v>2599</v>
      </c>
      <c r="N328" s="56">
        <f>IF(VLOOKUP($C328,REV!$C:$AA,12,0)-'TRADE IN'!$F328=0,"",(VLOOKUP($C328,REV!$C:$AA,12,0)-'TRADE IN'!$F328))</f>
        <v>1899</v>
      </c>
      <c r="O328" s="56">
        <f>IF(VLOOKUP($C328,REV!$C:$AA,13,0)-'TRADE IN'!$F328=0,"",(VLOOKUP($C328,REV!$C:$AA,13,0)-'TRADE IN'!$F328))</f>
        <v>1599</v>
      </c>
      <c r="P328" s="56">
        <f>IF(VLOOKUP($C328,REV!$C:$AA,14,0)-'TRADE IN'!$F328=0,"",(VLOOKUP($C328,REV!$C:$AA,14,0)-'TRADE IN'!$F328))</f>
        <v>1499</v>
      </c>
      <c r="Q328" s="56">
        <f>IF(VLOOKUP($C328,REV!$C:$AA,15,0)-'TRADE IN'!$F328=0,"",(VLOOKUP($C328,REV!$C:$AA,15,0)-'TRADE IN'!$F328))</f>
        <v>1499</v>
      </c>
      <c r="R328" s="56">
        <f>IF(VLOOKUP($C328,REV!$C:$AA,16,0)-'TRADE IN'!$F328=0,"",(VLOOKUP($C328,REV!$C:$AA,16,0)-'TRADE IN'!$F328))</f>
        <v>1799</v>
      </c>
      <c r="S328" s="56">
        <f>IF(VLOOKUP($C328,REV!$C:$AA,17,0)-'TRADE IN'!$F328=0,"",(VLOOKUP($C328,REV!$C:$AA,17,0)-'TRADE IN'!$F328))</f>
        <v>1499</v>
      </c>
      <c r="T328" s="56">
        <f>IF(VLOOKUP($C328,REV!$C:$AA,18,0)-'TRADE IN'!$F328=0,"",(VLOOKUP($C328,REV!$C:$AA,18,0)-'TRADE IN'!$F328))</f>
        <v>1499</v>
      </c>
      <c r="U328" s="56">
        <f>IF(VLOOKUP($C328,REV!$C:$AA,19,0)-'TRADE IN'!$F328=0,"",(VLOOKUP($C328,REV!$C:$AA,19,0)-'TRADE IN'!$F328))</f>
        <v>1499</v>
      </c>
      <c r="V328" s="56">
        <f>IF(VLOOKUP($C328,REV!$C:$AA,20,0)-'TRADE IN'!$F328=0,"",(VLOOKUP($C328,REV!$C:$AA,20,0)-'TRADE IN'!$F328))</f>
        <v>1499</v>
      </c>
      <c r="W328" s="56">
        <f>IF(VLOOKUP($C328,REV!$C:$AA,21,0)-'TRADE IN'!$F328=0,"",(VLOOKUP($C328,REV!$C:$AA,21,0)-'TRADE IN'!$F328))</f>
        <v>1499</v>
      </c>
      <c r="X328" s="56">
        <f>IF(VLOOKUP($C328,REV!$C:$AA,22,0)-'TRADE IN'!$F328=0,"",(VLOOKUP($C328,REV!$C:$AA,22,0)-'TRADE IN'!$F328))</f>
        <v>1399</v>
      </c>
      <c r="Y328" s="56">
        <f>IF(VLOOKUP($C328,REV!$C:$AA,23,0)-'TRADE IN'!$F328=0,"",(VLOOKUP($C328,REV!$C:$AA,23,0)-'TRADE IN'!$F328))</f>
        <v>1399</v>
      </c>
      <c r="Z328" s="56">
        <f>IF(VLOOKUP($C328,REV!$C:$AA,24,0)-'TRADE IN'!$F328=0,"",(VLOOKUP($C328,REV!$C:$AA,24,0)-'TRADE IN'!$F328))</f>
        <v>1399</v>
      </c>
      <c r="AA328" s="56">
        <f>IF(VLOOKUP($C328,REV!$C:$AA,25,0)-'TRADE IN'!$F328=0,"",(VLOOKUP($C328,REV!$C:$AA,25,0)-'TRADE IN'!$F328))</f>
        <v>1399</v>
      </c>
      <c r="AB328" s="55">
        <f>IF(VLOOKUP($C328,REV!$C:$AL,27,0)-'TRADE IN'!$F328=0,"",(VLOOKUP($C328,REV!$C:$AL,27,0)-'TRADE IN'!$F328))</f>
        <v>1899</v>
      </c>
      <c r="AC328" s="55">
        <f>IF(VLOOKUP($C328,REV!$C:$AL,28,0)-'TRADE IN'!$F328=0,"",(VLOOKUP($C328,REV!$C:$AL,28,0)-'TRADE IN'!$F328))</f>
        <v>1899</v>
      </c>
      <c r="AD328" s="55">
        <f>IF(VLOOKUP($C328,REV!$C:$AL,29,0)-'TRADE IN'!$F328=0,"",(VLOOKUP($C328,REV!$C:$AL,29,0)-'TRADE IN'!$F328))</f>
        <v>1799</v>
      </c>
      <c r="AE328" s="55">
        <f>IF(VLOOKUP($C328,REV!$C:$AL,30,0)-'TRADE IN'!$F328=0,"",(VLOOKUP($C328,REV!$C:$AL,30,0)-'TRADE IN'!$F328))</f>
        <v>1499</v>
      </c>
      <c r="AF328" s="55">
        <f>IF(VLOOKUP($C328,REV!$C:$AL,31,0)-'TRADE IN'!$F328=0,"",(VLOOKUP($C328,REV!$C:$AL,31,0)-'TRADE IN'!$F328))</f>
        <v>1499</v>
      </c>
      <c r="AG328" s="55">
        <f>IF(VLOOKUP($C328,REV!$C:$AL,31,0)-'TRADE IN'!$F328=0,"",(VLOOKUP($C328,REV!$C:$AL,31,0)-'TRADE IN'!$F328))</f>
        <v>1499</v>
      </c>
      <c r="AH328" s="55">
        <f>IF(VLOOKUP($C328,REV!$C:$AL,32,0)-'TRADE IN'!$F328=0,"",(VLOOKUP($C328,REV!$C:$AL,32,0)-'TRADE IN'!$F328))</f>
        <v>1499</v>
      </c>
      <c r="AI328" s="55">
        <f>IF(VLOOKUP($C328,REV!$C:$AL,33,0)-'TRADE IN'!$F328=0,"",(VLOOKUP($C328,REV!$C:$AL,33,0)-'TRADE IN'!$F328))</f>
        <v>1499</v>
      </c>
      <c r="AJ328" s="55">
        <f>IF(VLOOKUP($C328,REV!$C:$AL,34,0)-'TRADE IN'!$F328=0,"",(VLOOKUP($C328,REV!$C:$AL,34,0)-'TRADE IN'!$F328))</f>
        <v>1499</v>
      </c>
      <c r="AK328" s="55">
        <f>IF(VLOOKUP($C328,REV!$C:$AL,35,0)-'TRADE IN'!$F328=0,"",(VLOOKUP($C328,REV!$C:$AL,35,0)-'TRADE IN'!$F328))</f>
        <v>1499</v>
      </c>
      <c r="AL328" s="55">
        <f>IF(VLOOKUP($C328,REV!$C:$AL,36,0)-'TRADE IN'!$F328=0,"",(VLOOKUP($C328,REV!$C:$AL,36,0)-'TRADE IN'!$F328))</f>
        <v>1399</v>
      </c>
      <c r="AM328" s="55"/>
      <c r="AN328" s="55"/>
      <c r="AO328" s="55"/>
      <c r="AP328" s="55"/>
      <c r="AQ328" s="55"/>
      <c r="AR328" s="55"/>
      <c r="AS328" s="55"/>
      <c r="AT328" s="55"/>
      <c r="AU328" s="55"/>
      <c r="AV328" s="57"/>
      <c r="AW328" s="58" t="str">
        <f>REV!AW328</f>
        <v>03.11.2026</v>
      </c>
      <c r="AX328" s="147" t="str">
        <f>VLOOKUP(C328,REV!C:AX,48,0)</f>
        <v>5G</v>
      </c>
    </row>
    <row r="329" spans="1:50" ht="22.5" customHeight="1">
      <c r="A329" s="64" t="s">
        <v>241</v>
      </c>
      <c r="B329" s="52" t="s">
        <v>64</v>
      </c>
      <c r="C329" s="53">
        <v>4017065</v>
      </c>
      <c r="D329" s="65" t="s">
        <v>502</v>
      </c>
      <c r="E329" s="65" t="s">
        <v>505</v>
      </c>
      <c r="F329" s="55"/>
      <c r="G329" s="55"/>
      <c r="H329" s="55"/>
      <c r="I329" s="55"/>
      <c r="J329" s="56">
        <f>IF(VLOOKUP($C329,REV!$C:$AA,8,0)-'TRADE IN'!$F329=0,"",(VLOOKUP($C329,REV!$C:$AA,8,0)-'TRADE IN'!$F329))</f>
        <v>2599</v>
      </c>
      <c r="K329" s="56">
        <f>IF(VLOOKUP($C329,REV!$C:$AA,9,0)-'TRADE IN'!$F329=0,"",(VLOOKUP($C329,REV!$C:$AA,9,0)-'TRADE IN'!$F329))</f>
        <v>1899</v>
      </c>
      <c r="L329" s="56">
        <f>IF(VLOOKUP($C329,REV!$C:$AA,10,0)-'TRADE IN'!$F329=0,"",(VLOOKUP($C329,REV!$C:$AA,10,0)-'TRADE IN'!$F329))</f>
        <v>1899</v>
      </c>
      <c r="M329" s="56">
        <f>IF(VLOOKUP($C329,REV!$C:$AA,11,0)-'TRADE IN'!$F329=0,"",(VLOOKUP($C329,REV!$C:$AA,11,0)-'TRADE IN'!$F329))</f>
        <v>2599</v>
      </c>
      <c r="N329" s="56">
        <f>IF(VLOOKUP($C329,REV!$C:$AA,12,0)-'TRADE IN'!$F329=0,"",(VLOOKUP($C329,REV!$C:$AA,12,0)-'TRADE IN'!$F329))</f>
        <v>1899</v>
      </c>
      <c r="O329" s="56">
        <f>IF(VLOOKUP($C329,REV!$C:$AA,13,0)-'TRADE IN'!$F329=0,"",(VLOOKUP($C329,REV!$C:$AA,13,0)-'TRADE IN'!$F329))</f>
        <v>1599</v>
      </c>
      <c r="P329" s="56">
        <f>IF(VLOOKUP($C329,REV!$C:$AA,14,0)-'TRADE IN'!$F329=0,"",(VLOOKUP($C329,REV!$C:$AA,14,0)-'TRADE IN'!$F329))</f>
        <v>1499</v>
      </c>
      <c r="Q329" s="56">
        <f>IF(VLOOKUP($C329,REV!$C:$AA,15,0)-'TRADE IN'!$F329=0,"",(VLOOKUP($C329,REV!$C:$AA,15,0)-'TRADE IN'!$F329))</f>
        <v>1499</v>
      </c>
      <c r="R329" s="56">
        <f>IF(VLOOKUP($C329,REV!$C:$AA,16,0)-'TRADE IN'!$F329=0,"",(VLOOKUP($C329,REV!$C:$AA,16,0)-'TRADE IN'!$F329))</f>
        <v>1799</v>
      </c>
      <c r="S329" s="56">
        <f>IF(VLOOKUP($C329,REV!$C:$AA,17,0)-'TRADE IN'!$F329=0,"",(VLOOKUP($C329,REV!$C:$AA,17,0)-'TRADE IN'!$F329))</f>
        <v>1499</v>
      </c>
      <c r="T329" s="56">
        <f>IF(VLOOKUP($C329,REV!$C:$AA,18,0)-'TRADE IN'!$F329=0,"",(VLOOKUP($C329,REV!$C:$AA,18,0)-'TRADE IN'!$F329))</f>
        <v>1499</v>
      </c>
      <c r="U329" s="56">
        <f>IF(VLOOKUP($C329,REV!$C:$AA,19,0)-'TRADE IN'!$F329=0,"",(VLOOKUP($C329,REV!$C:$AA,19,0)-'TRADE IN'!$F329))</f>
        <v>1499</v>
      </c>
      <c r="V329" s="56">
        <f>IF(VLOOKUP($C329,REV!$C:$AA,20,0)-'TRADE IN'!$F329=0,"",(VLOOKUP($C329,REV!$C:$AA,20,0)-'TRADE IN'!$F329))</f>
        <v>1499</v>
      </c>
      <c r="W329" s="56">
        <f>IF(VLOOKUP($C329,REV!$C:$AA,21,0)-'TRADE IN'!$F329=0,"",(VLOOKUP($C329,REV!$C:$AA,21,0)-'TRADE IN'!$F329))</f>
        <v>1499</v>
      </c>
      <c r="X329" s="56">
        <f>IF(VLOOKUP($C329,REV!$C:$AA,22,0)-'TRADE IN'!$F329=0,"",(VLOOKUP($C329,REV!$C:$AA,22,0)-'TRADE IN'!$F329))</f>
        <v>1399</v>
      </c>
      <c r="Y329" s="56">
        <f>IF(VLOOKUP($C329,REV!$C:$AA,23,0)-'TRADE IN'!$F329=0,"",(VLOOKUP($C329,REV!$C:$AA,23,0)-'TRADE IN'!$F329))</f>
        <v>1399</v>
      </c>
      <c r="Z329" s="56">
        <f>IF(VLOOKUP($C329,REV!$C:$AA,24,0)-'TRADE IN'!$F329=0,"",(VLOOKUP($C329,REV!$C:$AA,24,0)-'TRADE IN'!$F329))</f>
        <v>1399</v>
      </c>
      <c r="AA329" s="56">
        <f>IF(VLOOKUP($C329,REV!$C:$AA,25,0)-'TRADE IN'!$F329=0,"",(VLOOKUP($C329,REV!$C:$AA,25,0)-'TRADE IN'!$F329))</f>
        <v>1399</v>
      </c>
      <c r="AB329" s="55">
        <f>IF(VLOOKUP($C329,REV!$C:$AL,27,0)-'TRADE IN'!$F329=0,"",(VLOOKUP($C329,REV!$C:$AL,27,0)-'TRADE IN'!$F329))</f>
        <v>1899</v>
      </c>
      <c r="AC329" s="55">
        <f>IF(VLOOKUP($C329,REV!$C:$AL,28,0)-'TRADE IN'!$F329=0,"",(VLOOKUP($C329,REV!$C:$AL,28,0)-'TRADE IN'!$F329))</f>
        <v>1899</v>
      </c>
      <c r="AD329" s="55">
        <f>IF(VLOOKUP($C329,REV!$C:$AL,29,0)-'TRADE IN'!$F329=0,"",(VLOOKUP($C329,REV!$C:$AL,29,0)-'TRADE IN'!$F329))</f>
        <v>1799</v>
      </c>
      <c r="AE329" s="55">
        <f>IF(VLOOKUP($C329,REV!$C:$AL,30,0)-'TRADE IN'!$F329=0,"",(VLOOKUP($C329,REV!$C:$AL,30,0)-'TRADE IN'!$F329))</f>
        <v>1499</v>
      </c>
      <c r="AF329" s="55">
        <f>IF(VLOOKUP($C329,REV!$C:$AL,31,0)-'TRADE IN'!$F329=0,"",(VLOOKUP($C329,REV!$C:$AL,31,0)-'TRADE IN'!$F329))</f>
        <v>1499</v>
      </c>
      <c r="AG329" s="55">
        <f>IF(VLOOKUP($C329,REV!$C:$AL,31,0)-'TRADE IN'!$F329=0,"",(VLOOKUP($C329,REV!$C:$AL,31,0)-'TRADE IN'!$F329))</f>
        <v>1499</v>
      </c>
      <c r="AH329" s="55">
        <f>IF(VLOOKUP($C329,REV!$C:$AL,32,0)-'TRADE IN'!$F329=0,"",(VLOOKUP($C329,REV!$C:$AL,32,0)-'TRADE IN'!$F329))</f>
        <v>1499</v>
      </c>
      <c r="AI329" s="55">
        <f>IF(VLOOKUP($C329,REV!$C:$AL,33,0)-'TRADE IN'!$F329=0,"",(VLOOKUP($C329,REV!$C:$AL,33,0)-'TRADE IN'!$F329))</f>
        <v>1499</v>
      </c>
      <c r="AJ329" s="55">
        <f>IF(VLOOKUP($C329,REV!$C:$AL,34,0)-'TRADE IN'!$F329=0,"",(VLOOKUP($C329,REV!$C:$AL,34,0)-'TRADE IN'!$F329))</f>
        <v>1499</v>
      </c>
      <c r="AK329" s="55">
        <f>IF(VLOOKUP($C329,REV!$C:$AL,35,0)-'TRADE IN'!$F329=0,"",(VLOOKUP($C329,REV!$C:$AL,35,0)-'TRADE IN'!$F329))</f>
        <v>1499</v>
      </c>
      <c r="AL329" s="55">
        <f>IF(VLOOKUP($C329,REV!$C:$AL,36,0)-'TRADE IN'!$F329=0,"",(VLOOKUP($C329,REV!$C:$AL,36,0)-'TRADE IN'!$F329))</f>
        <v>1399</v>
      </c>
      <c r="AM329" s="55"/>
      <c r="AN329" s="55"/>
      <c r="AO329" s="55"/>
      <c r="AP329" s="55"/>
      <c r="AQ329" s="55"/>
      <c r="AR329" s="55"/>
      <c r="AS329" s="55"/>
      <c r="AT329" s="55"/>
      <c r="AU329" s="55"/>
      <c r="AV329" s="57"/>
      <c r="AW329" s="58" t="str">
        <f>REV!AW329</f>
        <v>03.11.2026</v>
      </c>
      <c r="AX329" s="147" t="str">
        <f>VLOOKUP(C329,REV!C:AX,48,0)</f>
        <v>5G</v>
      </c>
    </row>
    <row r="330" spans="1:50" ht="22.5" customHeight="1">
      <c r="A330" s="64" t="s">
        <v>241</v>
      </c>
      <c r="B330" s="52" t="s">
        <v>64</v>
      </c>
      <c r="C330" s="53">
        <v>4016977</v>
      </c>
      <c r="D330" s="65" t="s">
        <v>502</v>
      </c>
      <c r="E330" s="65" t="s">
        <v>506</v>
      </c>
      <c r="F330" s="55"/>
      <c r="G330" s="55"/>
      <c r="H330" s="55"/>
      <c r="I330" s="55"/>
      <c r="J330" s="56">
        <f>IF(VLOOKUP($C330,REV!$C:$AA,8,0)-'TRADE IN'!$F330=0,"",(VLOOKUP($C330,REV!$C:$AA,8,0)-'TRADE IN'!$F330))</f>
        <v>2599</v>
      </c>
      <c r="K330" s="56">
        <f>IF(VLOOKUP($C330,REV!$C:$AA,9,0)-'TRADE IN'!$F330=0,"",(VLOOKUP($C330,REV!$C:$AA,9,0)-'TRADE IN'!$F330))</f>
        <v>1899</v>
      </c>
      <c r="L330" s="56">
        <f>IF(VLOOKUP($C330,REV!$C:$AA,10,0)-'TRADE IN'!$F330=0,"",(VLOOKUP($C330,REV!$C:$AA,10,0)-'TRADE IN'!$F330))</f>
        <v>1899</v>
      </c>
      <c r="M330" s="56">
        <f>IF(VLOOKUP($C330,REV!$C:$AA,11,0)-'TRADE IN'!$F330=0,"",(VLOOKUP($C330,REV!$C:$AA,11,0)-'TRADE IN'!$F330))</f>
        <v>2599</v>
      </c>
      <c r="N330" s="56">
        <f>IF(VLOOKUP($C330,REV!$C:$AA,12,0)-'TRADE IN'!$F330=0,"",(VLOOKUP($C330,REV!$C:$AA,12,0)-'TRADE IN'!$F330))</f>
        <v>1899</v>
      </c>
      <c r="O330" s="56">
        <f>IF(VLOOKUP($C330,REV!$C:$AA,13,0)-'TRADE IN'!$F330=0,"",(VLOOKUP($C330,REV!$C:$AA,13,0)-'TRADE IN'!$F330))</f>
        <v>1599</v>
      </c>
      <c r="P330" s="56">
        <f>IF(VLOOKUP($C330,REV!$C:$AA,14,0)-'TRADE IN'!$F330=0,"",(VLOOKUP($C330,REV!$C:$AA,14,0)-'TRADE IN'!$F330))</f>
        <v>1499</v>
      </c>
      <c r="Q330" s="56">
        <f>IF(VLOOKUP($C330,REV!$C:$AA,15,0)-'TRADE IN'!$F330=0,"",(VLOOKUP($C330,REV!$C:$AA,15,0)-'TRADE IN'!$F330))</f>
        <v>1499</v>
      </c>
      <c r="R330" s="56">
        <f>IF(VLOOKUP($C330,REV!$C:$AA,16,0)-'TRADE IN'!$F330=0,"",(VLOOKUP($C330,REV!$C:$AA,16,0)-'TRADE IN'!$F330))</f>
        <v>1799</v>
      </c>
      <c r="S330" s="56">
        <f>IF(VLOOKUP($C330,REV!$C:$AA,17,0)-'TRADE IN'!$F330=0,"",(VLOOKUP($C330,REV!$C:$AA,17,0)-'TRADE IN'!$F330))</f>
        <v>1499</v>
      </c>
      <c r="T330" s="56">
        <f>IF(VLOOKUP($C330,REV!$C:$AA,18,0)-'TRADE IN'!$F330=0,"",(VLOOKUP($C330,REV!$C:$AA,18,0)-'TRADE IN'!$F330))</f>
        <v>1499</v>
      </c>
      <c r="U330" s="56">
        <f>IF(VLOOKUP($C330,REV!$C:$AA,19,0)-'TRADE IN'!$F330=0,"",(VLOOKUP($C330,REV!$C:$AA,19,0)-'TRADE IN'!$F330))</f>
        <v>1499</v>
      </c>
      <c r="V330" s="56">
        <f>IF(VLOOKUP($C330,REV!$C:$AA,20,0)-'TRADE IN'!$F330=0,"",(VLOOKUP($C330,REV!$C:$AA,20,0)-'TRADE IN'!$F330))</f>
        <v>1499</v>
      </c>
      <c r="W330" s="56">
        <f>IF(VLOOKUP($C330,REV!$C:$AA,21,0)-'TRADE IN'!$F330=0,"",(VLOOKUP($C330,REV!$C:$AA,21,0)-'TRADE IN'!$F330))</f>
        <v>1499</v>
      </c>
      <c r="X330" s="56">
        <f>IF(VLOOKUP($C330,REV!$C:$AA,22,0)-'TRADE IN'!$F330=0,"",(VLOOKUP($C330,REV!$C:$AA,22,0)-'TRADE IN'!$F330))</f>
        <v>1399</v>
      </c>
      <c r="Y330" s="56">
        <f>IF(VLOOKUP($C330,REV!$C:$AA,23,0)-'TRADE IN'!$F330=0,"",(VLOOKUP($C330,REV!$C:$AA,23,0)-'TRADE IN'!$F330))</f>
        <v>1399</v>
      </c>
      <c r="Z330" s="56">
        <f>IF(VLOOKUP($C330,REV!$C:$AA,24,0)-'TRADE IN'!$F330=0,"",(VLOOKUP($C330,REV!$C:$AA,24,0)-'TRADE IN'!$F330))</f>
        <v>1399</v>
      </c>
      <c r="AA330" s="56">
        <f>IF(VLOOKUP($C330,REV!$C:$AA,25,0)-'TRADE IN'!$F330=0,"",(VLOOKUP($C330,REV!$C:$AA,25,0)-'TRADE IN'!$F330))</f>
        <v>1399</v>
      </c>
      <c r="AB330" s="55">
        <f>IF(VLOOKUP($C330,REV!$C:$AL,27,0)-'TRADE IN'!$F330=0,"",(VLOOKUP($C330,REV!$C:$AL,27,0)-'TRADE IN'!$F330))</f>
        <v>1899</v>
      </c>
      <c r="AC330" s="55">
        <f>IF(VLOOKUP($C330,REV!$C:$AL,28,0)-'TRADE IN'!$F330=0,"",(VLOOKUP($C330,REV!$C:$AL,28,0)-'TRADE IN'!$F330))</f>
        <v>1899</v>
      </c>
      <c r="AD330" s="55">
        <f>IF(VLOOKUP($C330,REV!$C:$AL,29,0)-'TRADE IN'!$F330=0,"",(VLOOKUP($C330,REV!$C:$AL,29,0)-'TRADE IN'!$F330))</f>
        <v>1799</v>
      </c>
      <c r="AE330" s="55">
        <f>IF(VLOOKUP($C330,REV!$C:$AL,30,0)-'TRADE IN'!$F330=0,"",(VLOOKUP($C330,REV!$C:$AL,30,0)-'TRADE IN'!$F330))</f>
        <v>1499</v>
      </c>
      <c r="AF330" s="55">
        <f>IF(VLOOKUP($C330,REV!$C:$AL,31,0)-'TRADE IN'!$F330=0,"",(VLOOKUP($C330,REV!$C:$AL,31,0)-'TRADE IN'!$F330))</f>
        <v>1499</v>
      </c>
      <c r="AG330" s="55">
        <f>IF(VLOOKUP($C330,REV!$C:$AL,31,0)-'TRADE IN'!$F330=0,"",(VLOOKUP($C330,REV!$C:$AL,31,0)-'TRADE IN'!$F330))</f>
        <v>1499</v>
      </c>
      <c r="AH330" s="55">
        <f>IF(VLOOKUP($C330,REV!$C:$AL,32,0)-'TRADE IN'!$F330=0,"",(VLOOKUP($C330,REV!$C:$AL,32,0)-'TRADE IN'!$F330))</f>
        <v>1499</v>
      </c>
      <c r="AI330" s="55">
        <f>IF(VLOOKUP($C330,REV!$C:$AL,33,0)-'TRADE IN'!$F330=0,"",(VLOOKUP($C330,REV!$C:$AL,33,0)-'TRADE IN'!$F330))</f>
        <v>1499</v>
      </c>
      <c r="AJ330" s="55">
        <f>IF(VLOOKUP($C330,REV!$C:$AL,34,0)-'TRADE IN'!$F330=0,"",(VLOOKUP($C330,REV!$C:$AL,34,0)-'TRADE IN'!$F330))</f>
        <v>1499</v>
      </c>
      <c r="AK330" s="55">
        <f>IF(VLOOKUP($C330,REV!$C:$AL,35,0)-'TRADE IN'!$F330=0,"",(VLOOKUP($C330,REV!$C:$AL,35,0)-'TRADE IN'!$F330))</f>
        <v>1499</v>
      </c>
      <c r="AL330" s="55">
        <f>IF(VLOOKUP($C330,REV!$C:$AL,36,0)-'TRADE IN'!$F330=0,"",(VLOOKUP($C330,REV!$C:$AL,36,0)-'TRADE IN'!$F330))</f>
        <v>1399</v>
      </c>
      <c r="AM330" s="55"/>
      <c r="AN330" s="55"/>
      <c r="AO330" s="55"/>
      <c r="AP330" s="55"/>
      <c r="AQ330" s="55"/>
      <c r="AR330" s="55"/>
      <c r="AS330" s="55"/>
      <c r="AT330" s="55"/>
      <c r="AU330" s="55"/>
      <c r="AV330" s="57"/>
      <c r="AW330" s="58" t="str">
        <f>REV!AW330</f>
        <v>03.11.2026</v>
      </c>
      <c r="AX330" s="147" t="str">
        <f>VLOOKUP(C330,REV!C:AX,48,0)</f>
        <v>5G</v>
      </c>
    </row>
    <row r="331" spans="1:50" ht="22.5" customHeight="1">
      <c r="A331" s="64" t="s">
        <v>241</v>
      </c>
      <c r="B331" s="52" t="s">
        <v>64</v>
      </c>
      <c r="C331" s="53">
        <v>4017064</v>
      </c>
      <c r="D331" s="65" t="s">
        <v>502</v>
      </c>
      <c r="E331" s="65" t="s">
        <v>508</v>
      </c>
      <c r="F331" s="55"/>
      <c r="G331" s="55"/>
      <c r="H331" s="55"/>
      <c r="I331" s="55"/>
      <c r="J331" s="56">
        <f>IF(VLOOKUP($C331,REV!$C:$AA,8,0)-'TRADE IN'!$F331=0,"",(VLOOKUP($C331,REV!$C:$AA,8,0)-'TRADE IN'!$F331))</f>
        <v>2599</v>
      </c>
      <c r="K331" s="56">
        <f>IF(VLOOKUP($C331,REV!$C:$AA,9,0)-'TRADE IN'!$F331=0,"",(VLOOKUP($C331,REV!$C:$AA,9,0)-'TRADE IN'!$F331))</f>
        <v>1899</v>
      </c>
      <c r="L331" s="56">
        <f>IF(VLOOKUP($C331,REV!$C:$AA,10,0)-'TRADE IN'!$F331=0,"",(VLOOKUP($C331,REV!$C:$AA,10,0)-'TRADE IN'!$F331))</f>
        <v>1899</v>
      </c>
      <c r="M331" s="56">
        <f>IF(VLOOKUP($C331,REV!$C:$AA,11,0)-'TRADE IN'!$F331=0,"",(VLOOKUP($C331,REV!$C:$AA,11,0)-'TRADE IN'!$F331))</f>
        <v>2599</v>
      </c>
      <c r="N331" s="56">
        <f>IF(VLOOKUP($C331,REV!$C:$AA,12,0)-'TRADE IN'!$F331=0,"",(VLOOKUP($C331,REV!$C:$AA,12,0)-'TRADE IN'!$F331))</f>
        <v>1899</v>
      </c>
      <c r="O331" s="56">
        <f>IF(VLOOKUP($C331,REV!$C:$AA,13,0)-'TRADE IN'!$F331=0,"",(VLOOKUP($C331,REV!$C:$AA,13,0)-'TRADE IN'!$F331))</f>
        <v>1599</v>
      </c>
      <c r="P331" s="56">
        <f>IF(VLOOKUP($C331,REV!$C:$AA,14,0)-'TRADE IN'!$F331=0,"",(VLOOKUP($C331,REV!$C:$AA,14,0)-'TRADE IN'!$F331))</f>
        <v>1499</v>
      </c>
      <c r="Q331" s="56">
        <f>IF(VLOOKUP($C331,REV!$C:$AA,15,0)-'TRADE IN'!$F331=0,"",(VLOOKUP($C331,REV!$C:$AA,15,0)-'TRADE IN'!$F331))</f>
        <v>1499</v>
      </c>
      <c r="R331" s="56">
        <f>IF(VLOOKUP($C331,REV!$C:$AA,16,0)-'TRADE IN'!$F331=0,"",(VLOOKUP($C331,REV!$C:$AA,16,0)-'TRADE IN'!$F331))</f>
        <v>1799</v>
      </c>
      <c r="S331" s="56">
        <f>IF(VLOOKUP($C331,REV!$C:$AA,17,0)-'TRADE IN'!$F331=0,"",(VLOOKUP($C331,REV!$C:$AA,17,0)-'TRADE IN'!$F331))</f>
        <v>1499</v>
      </c>
      <c r="T331" s="56">
        <f>IF(VLOOKUP($C331,REV!$C:$AA,18,0)-'TRADE IN'!$F331=0,"",(VLOOKUP($C331,REV!$C:$AA,18,0)-'TRADE IN'!$F331))</f>
        <v>1499</v>
      </c>
      <c r="U331" s="56">
        <f>IF(VLOOKUP($C331,REV!$C:$AA,19,0)-'TRADE IN'!$F331=0,"",(VLOOKUP($C331,REV!$C:$AA,19,0)-'TRADE IN'!$F331))</f>
        <v>1499</v>
      </c>
      <c r="V331" s="56">
        <f>IF(VLOOKUP($C331,REV!$C:$AA,20,0)-'TRADE IN'!$F331=0,"",(VLOOKUP($C331,REV!$C:$AA,20,0)-'TRADE IN'!$F331))</f>
        <v>1499</v>
      </c>
      <c r="W331" s="56">
        <f>IF(VLOOKUP($C331,REV!$C:$AA,21,0)-'TRADE IN'!$F331=0,"",(VLOOKUP($C331,REV!$C:$AA,21,0)-'TRADE IN'!$F331))</f>
        <v>1499</v>
      </c>
      <c r="X331" s="56">
        <f>IF(VLOOKUP($C331,REV!$C:$AA,22,0)-'TRADE IN'!$F331=0,"",(VLOOKUP($C331,REV!$C:$AA,22,0)-'TRADE IN'!$F331))</f>
        <v>1399</v>
      </c>
      <c r="Y331" s="56">
        <f>IF(VLOOKUP($C331,REV!$C:$AA,23,0)-'TRADE IN'!$F331=0,"",(VLOOKUP($C331,REV!$C:$AA,23,0)-'TRADE IN'!$F331))</f>
        <v>1399</v>
      </c>
      <c r="Z331" s="56">
        <f>IF(VLOOKUP($C331,REV!$C:$AA,24,0)-'TRADE IN'!$F331=0,"",(VLOOKUP($C331,REV!$C:$AA,24,0)-'TRADE IN'!$F331))</f>
        <v>1399</v>
      </c>
      <c r="AA331" s="56">
        <f>IF(VLOOKUP($C331,REV!$C:$AA,25,0)-'TRADE IN'!$F331=0,"",(VLOOKUP($C331,REV!$C:$AA,25,0)-'TRADE IN'!$F331))</f>
        <v>1399</v>
      </c>
      <c r="AB331" s="55">
        <f>IF(VLOOKUP($C331,REV!$C:$AL,27,0)-'TRADE IN'!$F331=0,"",(VLOOKUP($C331,REV!$C:$AL,27,0)-'TRADE IN'!$F331))</f>
        <v>1899</v>
      </c>
      <c r="AC331" s="55">
        <f>IF(VLOOKUP($C331,REV!$C:$AL,28,0)-'TRADE IN'!$F331=0,"",(VLOOKUP($C331,REV!$C:$AL,28,0)-'TRADE IN'!$F331))</f>
        <v>1899</v>
      </c>
      <c r="AD331" s="55">
        <f>IF(VLOOKUP($C331,REV!$C:$AL,29,0)-'TRADE IN'!$F331=0,"",(VLOOKUP($C331,REV!$C:$AL,29,0)-'TRADE IN'!$F331))</f>
        <v>1799</v>
      </c>
      <c r="AE331" s="55">
        <f>IF(VLOOKUP($C331,REV!$C:$AL,30,0)-'TRADE IN'!$F331=0,"",(VLOOKUP($C331,REV!$C:$AL,30,0)-'TRADE IN'!$F331))</f>
        <v>1499</v>
      </c>
      <c r="AF331" s="55">
        <f>IF(VLOOKUP($C331,REV!$C:$AL,31,0)-'TRADE IN'!$F331=0,"",(VLOOKUP($C331,REV!$C:$AL,31,0)-'TRADE IN'!$F331))</f>
        <v>1499</v>
      </c>
      <c r="AG331" s="55">
        <f>IF(VLOOKUP($C331,REV!$C:$AL,31,0)-'TRADE IN'!$F331=0,"",(VLOOKUP($C331,REV!$C:$AL,31,0)-'TRADE IN'!$F331))</f>
        <v>1499</v>
      </c>
      <c r="AH331" s="55">
        <f>IF(VLOOKUP($C331,REV!$C:$AL,32,0)-'TRADE IN'!$F331=0,"",(VLOOKUP($C331,REV!$C:$AL,32,0)-'TRADE IN'!$F331))</f>
        <v>1499</v>
      </c>
      <c r="AI331" s="55">
        <f>IF(VLOOKUP($C331,REV!$C:$AL,33,0)-'TRADE IN'!$F331=0,"",(VLOOKUP($C331,REV!$C:$AL,33,0)-'TRADE IN'!$F331))</f>
        <v>1499</v>
      </c>
      <c r="AJ331" s="55">
        <f>IF(VLOOKUP($C331,REV!$C:$AL,34,0)-'TRADE IN'!$F331=0,"",(VLOOKUP($C331,REV!$C:$AL,34,0)-'TRADE IN'!$F331))</f>
        <v>1499</v>
      </c>
      <c r="AK331" s="55">
        <f>IF(VLOOKUP($C331,REV!$C:$AL,35,0)-'TRADE IN'!$F331=0,"",(VLOOKUP($C331,REV!$C:$AL,35,0)-'TRADE IN'!$F331))</f>
        <v>1499</v>
      </c>
      <c r="AL331" s="55">
        <f>IF(VLOOKUP($C331,REV!$C:$AL,36,0)-'TRADE IN'!$F331=0,"",(VLOOKUP($C331,REV!$C:$AL,36,0)-'TRADE IN'!$F331))</f>
        <v>1399</v>
      </c>
      <c r="AM331" s="55"/>
      <c r="AN331" s="55"/>
      <c r="AO331" s="55"/>
      <c r="AP331" s="55"/>
      <c r="AQ331" s="55"/>
      <c r="AR331" s="55"/>
      <c r="AS331" s="55"/>
      <c r="AT331" s="55"/>
      <c r="AU331" s="55"/>
      <c r="AV331" s="57"/>
      <c r="AW331" s="58" t="str">
        <f>REV!AW331</f>
        <v>03.11.2026</v>
      </c>
      <c r="AX331" s="147" t="str">
        <f>VLOOKUP(C331,REV!C:AX,48,0)</f>
        <v>5G</v>
      </c>
    </row>
    <row r="332" spans="1:50" ht="22.5" customHeight="1">
      <c r="A332" s="64" t="s">
        <v>241</v>
      </c>
      <c r="B332" s="52" t="s">
        <v>64</v>
      </c>
      <c r="C332" s="53">
        <v>4016993</v>
      </c>
      <c r="D332" s="65" t="s">
        <v>502</v>
      </c>
      <c r="E332" s="65" t="s">
        <v>507</v>
      </c>
      <c r="F332" s="55"/>
      <c r="G332" s="55"/>
      <c r="H332" s="55"/>
      <c r="I332" s="55"/>
      <c r="J332" s="56">
        <f>IF(VLOOKUP($C332,REV!$C:$AA,8,0)-'TRADE IN'!$F332=0,"",(VLOOKUP($C332,REV!$C:$AA,8,0)-'TRADE IN'!$F332))</f>
        <v>2599</v>
      </c>
      <c r="K332" s="56">
        <f>IF(VLOOKUP($C332,REV!$C:$AA,9,0)-'TRADE IN'!$F332=0,"",(VLOOKUP($C332,REV!$C:$AA,9,0)-'TRADE IN'!$F332))</f>
        <v>1899</v>
      </c>
      <c r="L332" s="56">
        <f>IF(VLOOKUP($C332,REV!$C:$AA,10,0)-'TRADE IN'!$F332=0,"",(VLOOKUP($C332,REV!$C:$AA,10,0)-'TRADE IN'!$F332))</f>
        <v>1899</v>
      </c>
      <c r="M332" s="56">
        <f>IF(VLOOKUP($C332,REV!$C:$AA,11,0)-'TRADE IN'!$F332=0,"",(VLOOKUP($C332,REV!$C:$AA,11,0)-'TRADE IN'!$F332))</f>
        <v>2599</v>
      </c>
      <c r="N332" s="56">
        <f>IF(VLOOKUP($C332,REV!$C:$AA,12,0)-'TRADE IN'!$F332=0,"",(VLOOKUP($C332,REV!$C:$AA,12,0)-'TRADE IN'!$F332))</f>
        <v>1899</v>
      </c>
      <c r="O332" s="56">
        <f>IF(VLOOKUP($C332,REV!$C:$AA,13,0)-'TRADE IN'!$F332=0,"",(VLOOKUP($C332,REV!$C:$AA,13,0)-'TRADE IN'!$F332))</f>
        <v>1599</v>
      </c>
      <c r="P332" s="56">
        <f>IF(VLOOKUP($C332,REV!$C:$AA,14,0)-'TRADE IN'!$F332=0,"",(VLOOKUP($C332,REV!$C:$AA,14,0)-'TRADE IN'!$F332))</f>
        <v>1499</v>
      </c>
      <c r="Q332" s="56">
        <f>IF(VLOOKUP($C332,REV!$C:$AA,15,0)-'TRADE IN'!$F332=0,"",(VLOOKUP($C332,REV!$C:$AA,15,0)-'TRADE IN'!$F332))</f>
        <v>1499</v>
      </c>
      <c r="R332" s="56">
        <f>IF(VLOOKUP($C332,REV!$C:$AA,16,0)-'TRADE IN'!$F332=0,"",(VLOOKUP($C332,REV!$C:$AA,16,0)-'TRADE IN'!$F332))</f>
        <v>1799</v>
      </c>
      <c r="S332" s="56">
        <f>IF(VLOOKUP($C332,REV!$C:$AA,17,0)-'TRADE IN'!$F332=0,"",(VLOOKUP($C332,REV!$C:$AA,17,0)-'TRADE IN'!$F332))</f>
        <v>1499</v>
      </c>
      <c r="T332" s="56">
        <f>IF(VLOOKUP($C332,REV!$C:$AA,18,0)-'TRADE IN'!$F332=0,"",(VLOOKUP($C332,REV!$C:$AA,18,0)-'TRADE IN'!$F332))</f>
        <v>1499</v>
      </c>
      <c r="U332" s="56">
        <f>IF(VLOOKUP($C332,REV!$C:$AA,19,0)-'TRADE IN'!$F332=0,"",(VLOOKUP($C332,REV!$C:$AA,19,0)-'TRADE IN'!$F332))</f>
        <v>1499</v>
      </c>
      <c r="V332" s="56">
        <f>IF(VLOOKUP($C332,REV!$C:$AA,20,0)-'TRADE IN'!$F332=0,"",(VLOOKUP($C332,REV!$C:$AA,20,0)-'TRADE IN'!$F332))</f>
        <v>1499</v>
      </c>
      <c r="W332" s="56">
        <f>IF(VLOOKUP($C332,REV!$C:$AA,21,0)-'TRADE IN'!$F332=0,"",(VLOOKUP($C332,REV!$C:$AA,21,0)-'TRADE IN'!$F332))</f>
        <v>1499</v>
      </c>
      <c r="X332" s="56">
        <f>IF(VLOOKUP($C332,REV!$C:$AA,22,0)-'TRADE IN'!$F332=0,"",(VLOOKUP($C332,REV!$C:$AA,22,0)-'TRADE IN'!$F332))</f>
        <v>1399</v>
      </c>
      <c r="Y332" s="56">
        <f>IF(VLOOKUP($C332,REV!$C:$AA,23,0)-'TRADE IN'!$F332=0,"",(VLOOKUP($C332,REV!$C:$AA,23,0)-'TRADE IN'!$F332))</f>
        <v>1399</v>
      </c>
      <c r="Z332" s="56">
        <f>IF(VLOOKUP($C332,REV!$C:$AA,24,0)-'TRADE IN'!$F332=0,"",(VLOOKUP($C332,REV!$C:$AA,24,0)-'TRADE IN'!$F332))</f>
        <v>1399</v>
      </c>
      <c r="AA332" s="56">
        <f>IF(VLOOKUP($C332,REV!$C:$AA,25,0)-'TRADE IN'!$F332=0,"",(VLOOKUP($C332,REV!$C:$AA,25,0)-'TRADE IN'!$F332))</f>
        <v>1399</v>
      </c>
      <c r="AB332" s="55">
        <f>IF(VLOOKUP($C332,REV!$C:$AL,27,0)-'TRADE IN'!$F332=0,"",(VLOOKUP($C332,REV!$C:$AL,27,0)-'TRADE IN'!$F332))</f>
        <v>1899</v>
      </c>
      <c r="AC332" s="55">
        <f>IF(VLOOKUP($C332,REV!$C:$AL,28,0)-'TRADE IN'!$F332=0,"",(VLOOKUP($C332,REV!$C:$AL,28,0)-'TRADE IN'!$F332))</f>
        <v>1899</v>
      </c>
      <c r="AD332" s="55">
        <f>IF(VLOOKUP($C332,REV!$C:$AL,29,0)-'TRADE IN'!$F332=0,"",(VLOOKUP($C332,REV!$C:$AL,29,0)-'TRADE IN'!$F332))</f>
        <v>1799</v>
      </c>
      <c r="AE332" s="55">
        <f>IF(VLOOKUP($C332,REV!$C:$AL,30,0)-'TRADE IN'!$F332=0,"",(VLOOKUP($C332,REV!$C:$AL,30,0)-'TRADE IN'!$F332))</f>
        <v>1499</v>
      </c>
      <c r="AF332" s="55">
        <f>IF(VLOOKUP($C332,REV!$C:$AL,31,0)-'TRADE IN'!$F332=0,"",(VLOOKUP($C332,REV!$C:$AL,31,0)-'TRADE IN'!$F332))</f>
        <v>1499</v>
      </c>
      <c r="AG332" s="55">
        <f>IF(VLOOKUP($C332,REV!$C:$AL,31,0)-'TRADE IN'!$F332=0,"",(VLOOKUP($C332,REV!$C:$AL,31,0)-'TRADE IN'!$F332))</f>
        <v>1499</v>
      </c>
      <c r="AH332" s="55">
        <f>IF(VLOOKUP($C332,REV!$C:$AL,32,0)-'TRADE IN'!$F332=0,"",(VLOOKUP($C332,REV!$C:$AL,32,0)-'TRADE IN'!$F332))</f>
        <v>1499</v>
      </c>
      <c r="AI332" s="55">
        <f>IF(VLOOKUP($C332,REV!$C:$AL,33,0)-'TRADE IN'!$F332=0,"",(VLOOKUP($C332,REV!$C:$AL,33,0)-'TRADE IN'!$F332))</f>
        <v>1499</v>
      </c>
      <c r="AJ332" s="55">
        <f>IF(VLOOKUP($C332,REV!$C:$AL,34,0)-'TRADE IN'!$F332=0,"",(VLOOKUP($C332,REV!$C:$AL,34,0)-'TRADE IN'!$F332))</f>
        <v>1499</v>
      </c>
      <c r="AK332" s="55">
        <f>IF(VLOOKUP($C332,REV!$C:$AL,35,0)-'TRADE IN'!$F332=0,"",(VLOOKUP($C332,REV!$C:$AL,35,0)-'TRADE IN'!$F332))</f>
        <v>1499</v>
      </c>
      <c r="AL332" s="55">
        <f>IF(VLOOKUP($C332,REV!$C:$AL,36,0)-'TRADE IN'!$F332=0,"",(VLOOKUP($C332,REV!$C:$AL,36,0)-'TRADE IN'!$F332))</f>
        <v>1399</v>
      </c>
      <c r="AM332" s="55"/>
      <c r="AN332" s="55"/>
      <c r="AO332" s="55"/>
      <c r="AP332" s="55"/>
      <c r="AQ332" s="55"/>
      <c r="AR332" s="55"/>
      <c r="AS332" s="55"/>
      <c r="AT332" s="55"/>
      <c r="AU332" s="55"/>
      <c r="AV332" s="57"/>
      <c r="AW332" s="58" t="str">
        <f>REV!AW332</f>
        <v>03.11.2026</v>
      </c>
      <c r="AX332" s="147" t="str">
        <f>VLOOKUP(C332,REV!C:AX,48,0)</f>
        <v>5G</v>
      </c>
    </row>
    <row r="333" spans="1:50" ht="22.5" customHeight="1">
      <c r="A333" s="64" t="s">
        <v>241</v>
      </c>
      <c r="B333" s="52" t="s">
        <v>64</v>
      </c>
      <c r="C333" s="53">
        <v>4017855</v>
      </c>
      <c r="D333" s="65" t="s">
        <v>509</v>
      </c>
      <c r="E333" s="65" t="s">
        <v>510</v>
      </c>
      <c r="F333" s="55">
        <v>300</v>
      </c>
      <c r="G333" s="55"/>
      <c r="H333" s="55"/>
      <c r="I333" s="55"/>
      <c r="J333" s="56">
        <f>IF(VLOOKUP($C333,REV!$C:$AA,8,0)-'TRADE IN'!$F333=0,"",(VLOOKUP($C333,REV!$C:$AA,8,0)-'TRADE IN'!$F333))</f>
        <v>2399</v>
      </c>
      <c r="K333" s="56">
        <f>IF(VLOOKUP($C333,REV!$C:$AA,9,0)-'TRADE IN'!$F333=0,"",(VLOOKUP($C333,REV!$C:$AA,9,0)-'TRADE IN'!$F333))</f>
        <v>2399</v>
      </c>
      <c r="L333" s="56">
        <f>IF(VLOOKUP($C333,REV!$C:$AA,10,0)-'TRADE IN'!$F333=0,"",(VLOOKUP($C333,REV!$C:$AA,10,0)-'TRADE IN'!$F333))</f>
        <v>2399</v>
      </c>
      <c r="M333" s="56">
        <f>IF(VLOOKUP($C333,REV!$C:$AA,11,0)-'TRADE IN'!$F333=0,"",(VLOOKUP($C333,REV!$C:$AA,11,0)-'TRADE IN'!$F333))</f>
        <v>2399</v>
      </c>
      <c r="N333" s="56">
        <f>IF(VLOOKUP($C333,REV!$C:$AA,12,0)-'TRADE IN'!$F333=0,"",(VLOOKUP($C333,REV!$C:$AA,12,0)-'TRADE IN'!$F333))</f>
        <v>2399</v>
      </c>
      <c r="O333" s="56">
        <f>IF(VLOOKUP($C333,REV!$C:$AA,13,0)-'TRADE IN'!$F333=0,"",(VLOOKUP($C333,REV!$C:$AA,13,0)-'TRADE IN'!$F333))</f>
        <v>2349</v>
      </c>
      <c r="P333" s="56">
        <f>IF(VLOOKUP($C333,REV!$C:$AA,14,0)-'TRADE IN'!$F333=0,"",(VLOOKUP($C333,REV!$C:$AA,14,0)-'TRADE IN'!$F333))</f>
        <v>2299</v>
      </c>
      <c r="Q333" s="56">
        <f>IF(VLOOKUP($C333,REV!$C:$AA,15,0)-'TRADE IN'!$F333=0,"",(VLOOKUP($C333,REV!$C:$AA,15,0)-'TRADE IN'!$F333))</f>
        <v>1699</v>
      </c>
      <c r="R333" s="56">
        <f>IF(VLOOKUP($C333,REV!$C:$AA,16,0)-'TRADE IN'!$F333=0,"",(VLOOKUP($C333,REV!$C:$AA,16,0)-'TRADE IN'!$F333))</f>
        <v>2349</v>
      </c>
      <c r="S333" s="56">
        <f>IF(VLOOKUP($C333,REV!$C:$AA,17,0)-'TRADE IN'!$F333=0,"",(VLOOKUP($C333,REV!$C:$AA,17,0)-'TRADE IN'!$F333))</f>
        <v>2299</v>
      </c>
      <c r="T333" s="56">
        <f>IF(VLOOKUP($C333,REV!$C:$AA,18,0)-'TRADE IN'!$F333=0,"",(VLOOKUP($C333,REV!$C:$AA,18,0)-'TRADE IN'!$F333))</f>
        <v>1699</v>
      </c>
      <c r="U333" s="56">
        <f>IF(VLOOKUP($C333,REV!$C:$AA,19,0)-'TRADE IN'!$F333=0,"",(VLOOKUP($C333,REV!$C:$AA,19,0)-'TRADE IN'!$F333))</f>
        <v>1699</v>
      </c>
      <c r="V333" s="56">
        <f>IF(VLOOKUP($C333,REV!$C:$AA,20,0)-'TRADE IN'!$F333=0,"",(VLOOKUP($C333,REV!$C:$AA,20,0)-'TRADE IN'!$F333))</f>
        <v>1699</v>
      </c>
      <c r="W333" s="56">
        <f>IF(VLOOKUP($C333,REV!$C:$AA,21,0)-'TRADE IN'!$F333=0,"",(VLOOKUP($C333,REV!$C:$AA,21,0)-'TRADE IN'!$F333))</f>
        <v>1699</v>
      </c>
      <c r="X333" s="56">
        <f>IF(VLOOKUP($C333,REV!$C:$AA,22,0)-'TRADE IN'!$F333=0,"",(VLOOKUP($C333,REV!$C:$AA,22,0)-'TRADE IN'!$F333))</f>
        <v>1599</v>
      </c>
      <c r="Y333" s="56">
        <f>IF(VLOOKUP($C333,REV!$C:$AA,23,0)-'TRADE IN'!$F333=0,"",(VLOOKUP($C333,REV!$C:$AA,23,0)-'TRADE IN'!$F333))</f>
        <v>1599</v>
      </c>
      <c r="Z333" s="56">
        <f>IF(VLOOKUP($C333,REV!$C:$AA,24,0)-'TRADE IN'!$F333=0,"",(VLOOKUP($C333,REV!$C:$AA,24,0)-'TRADE IN'!$F333))</f>
        <v>1599</v>
      </c>
      <c r="AA333" s="56">
        <f>IF(VLOOKUP($C333,REV!$C:$AA,25,0)-'TRADE IN'!$F333=0,"",(VLOOKUP($C333,REV!$C:$AA,25,0)-'TRADE IN'!$F333))</f>
        <v>1599</v>
      </c>
      <c r="AB333" s="55">
        <f>IF(VLOOKUP($C333,REV!$C:$AL,27,0)-'TRADE IN'!$F333=0,"",(VLOOKUP($C333,REV!$C:$AL,27,0)-'TRADE IN'!$F333))</f>
        <v>2399</v>
      </c>
      <c r="AC333" s="55">
        <f>IF(VLOOKUP($C333,REV!$C:$AL,28,0)-'TRADE IN'!$F333=0,"",(VLOOKUP($C333,REV!$C:$AL,28,0)-'TRADE IN'!$F333))</f>
        <v>2399</v>
      </c>
      <c r="AD333" s="55">
        <f>IF(VLOOKUP($C333,REV!$C:$AL,29,0)-'TRADE IN'!$F333=0,"",(VLOOKUP($C333,REV!$C:$AL,29,0)-'TRADE IN'!$F333))</f>
        <v>2399</v>
      </c>
      <c r="AE333" s="55">
        <f>IF(VLOOKUP($C333,REV!$C:$AL,30,0)-'TRADE IN'!$F333=0,"",(VLOOKUP($C333,REV!$C:$AL,30,0)-'TRADE IN'!$F333))</f>
        <v>2349</v>
      </c>
      <c r="AF333" s="55">
        <f>IF(VLOOKUP($C333,REV!$C:$AL,31,0)-'TRADE IN'!$F333=0,"",(VLOOKUP($C333,REV!$C:$AL,31,0)-'TRADE IN'!$F333))</f>
        <v>2299</v>
      </c>
      <c r="AG333" s="55">
        <f>IF(VLOOKUP($C333,REV!$C:$AL,31,0)-'TRADE IN'!$F333=0,"",(VLOOKUP($C333,REV!$C:$AL,31,0)-'TRADE IN'!$F333))</f>
        <v>2299</v>
      </c>
      <c r="AH333" s="55">
        <f>IF(VLOOKUP($C333,REV!$C:$AL,32,0)-'TRADE IN'!$F333=0,"",(VLOOKUP($C333,REV!$C:$AL,32,0)-'TRADE IN'!$F333))</f>
        <v>1699</v>
      </c>
      <c r="AI333" s="55">
        <f>IF(VLOOKUP($C333,REV!$C:$AL,33,0)-'TRADE IN'!$F333=0,"",(VLOOKUP($C333,REV!$C:$AL,33,0)-'TRADE IN'!$F333))</f>
        <v>1699</v>
      </c>
      <c r="AJ333" s="55">
        <f>IF(VLOOKUP($C333,REV!$C:$AL,34,0)-'TRADE IN'!$F333=0,"",(VLOOKUP($C333,REV!$C:$AL,34,0)-'TRADE IN'!$F333))</f>
        <v>1699</v>
      </c>
      <c r="AK333" s="55">
        <f>IF(VLOOKUP($C333,REV!$C:$AL,35,0)-'TRADE IN'!$F333=0,"",(VLOOKUP($C333,REV!$C:$AL,35,0)-'TRADE IN'!$F333))</f>
        <v>1699</v>
      </c>
      <c r="AL333" s="55">
        <f>IF(VLOOKUP($C333,REV!$C:$AL,36,0)-'TRADE IN'!$F333=0,"",(VLOOKUP($C333,REV!$C:$AL,36,0)-'TRADE IN'!$F333))</f>
        <v>1599</v>
      </c>
      <c r="AM333" s="55"/>
      <c r="AN333" s="55"/>
      <c r="AO333" s="55"/>
      <c r="AP333" s="55"/>
      <c r="AQ333" s="55"/>
      <c r="AR333" s="55"/>
      <c r="AS333" s="55"/>
      <c r="AT333" s="55"/>
      <c r="AU333" s="55"/>
      <c r="AV333" s="57"/>
      <c r="AW333" s="58" t="str">
        <f>REV!AW333</f>
        <v>03.11.2026</v>
      </c>
      <c r="AX333" s="147" t="str">
        <f>VLOOKUP(C333,REV!C:AX,48,0)</f>
        <v>5G</v>
      </c>
    </row>
    <row r="334" spans="1:50" ht="22.5" customHeight="1">
      <c r="A334" s="64" t="s">
        <v>241</v>
      </c>
      <c r="B334" s="52" t="s">
        <v>64</v>
      </c>
      <c r="C334" s="53">
        <v>4017872</v>
      </c>
      <c r="D334" s="65" t="s">
        <v>509</v>
      </c>
      <c r="E334" s="65" t="s">
        <v>511</v>
      </c>
      <c r="F334" s="55">
        <v>300</v>
      </c>
      <c r="G334" s="55"/>
      <c r="H334" s="55"/>
      <c r="I334" s="55"/>
      <c r="J334" s="56">
        <f>IF(VLOOKUP($C334,REV!$C:$AA,8,0)-'TRADE IN'!$F334=0,"",(VLOOKUP($C334,REV!$C:$AA,8,0)-'TRADE IN'!$F334))</f>
        <v>2399</v>
      </c>
      <c r="K334" s="56">
        <f>IF(VLOOKUP($C334,REV!$C:$AA,9,0)-'TRADE IN'!$F334=0,"",(VLOOKUP($C334,REV!$C:$AA,9,0)-'TRADE IN'!$F334))</f>
        <v>2399</v>
      </c>
      <c r="L334" s="56">
        <f>IF(VLOOKUP($C334,REV!$C:$AA,10,0)-'TRADE IN'!$F334=0,"",(VLOOKUP($C334,REV!$C:$AA,10,0)-'TRADE IN'!$F334))</f>
        <v>2399</v>
      </c>
      <c r="M334" s="56">
        <f>IF(VLOOKUP($C334,REV!$C:$AA,11,0)-'TRADE IN'!$F334=0,"",(VLOOKUP($C334,REV!$C:$AA,11,0)-'TRADE IN'!$F334))</f>
        <v>2399</v>
      </c>
      <c r="N334" s="56">
        <f>IF(VLOOKUP($C334,REV!$C:$AA,12,0)-'TRADE IN'!$F334=0,"",(VLOOKUP($C334,REV!$C:$AA,12,0)-'TRADE IN'!$F334))</f>
        <v>2399</v>
      </c>
      <c r="O334" s="56">
        <f>IF(VLOOKUP($C334,REV!$C:$AA,13,0)-'TRADE IN'!$F334=0,"",(VLOOKUP($C334,REV!$C:$AA,13,0)-'TRADE IN'!$F334))</f>
        <v>2349</v>
      </c>
      <c r="P334" s="56">
        <f>IF(VLOOKUP($C334,REV!$C:$AA,14,0)-'TRADE IN'!$F334=0,"",(VLOOKUP($C334,REV!$C:$AA,14,0)-'TRADE IN'!$F334))</f>
        <v>2299</v>
      </c>
      <c r="Q334" s="56">
        <f>IF(VLOOKUP($C334,REV!$C:$AA,15,0)-'TRADE IN'!$F334=0,"",(VLOOKUP($C334,REV!$C:$AA,15,0)-'TRADE IN'!$F334))</f>
        <v>1699</v>
      </c>
      <c r="R334" s="56">
        <f>IF(VLOOKUP($C334,REV!$C:$AA,16,0)-'TRADE IN'!$F334=0,"",(VLOOKUP($C334,REV!$C:$AA,16,0)-'TRADE IN'!$F334))</f>
        <v>2349</v>
      </c>
      <c r="S334" s="56">
        <f>IF(VLOOKUP($C334,REV!$C:$AA,17,0)-'TRADE IN'!$F334=0,"",(VLOOKUP($C334,REV!$C:$AA,17,0)-'TRADE IN'!$F334))</f>
        <v>2299</v>
      </c>
      <c r="T334" s="56">
        <f>IF(VLOOKUP($C334,REV!$C:$AA,18,0)-'TRADE IN'!$F334=0,"",(VLOOKUP($C334,REV!$C:$AA,18,0)-'TRADE IN'!$F334))</f>
        <v>1699</v>
      </c>
      <c r="U334" s="56">
        <f>IF(VLOOKUP($C334,REV!$C:$AA,19,0)-'TRADE IN'!$F334=0,"",(VLOOKUP($C334,REV!$C:$AA,19,0)-'TRADE IN'!$F334))</f>
        <v>1699</v>
      </c>
      <c r="V334" s="56">
        <f>IF(VLOOKUP($C334,REV!$C:$AA,20,0)-'TRADE IN'!$F334=0,"",(VLOOKUP($C334,REV!$C:$AA,20,0)-'TRADE IN'!$F334))</f>
        <v>1699</v>
      </c>
      <c r="W334" s="56">
        <f>IF(VLOOKUP($C334,REV!$C:$AA,21,0)-'TRADE IN'!$F334=0,"",(VLOOKUP($C334,REV!$C:$AA,21,0)-'TRADE IN'!$F334))</f>
        <v>1699</v>
      </c>
      <c r="X334" s="56">
        <f>IF(VLOOKUP($C334,REV!$C:$AA,22,0)-'TRADE IN'!$F334=0,"",(VLOOKUP($C334,REV!$C:$AA,22,0)-'TRADE IN'!$F334))</f>
        <v>1599</v>
      </c>
      <c r="Y334" s="56">
        <f>IF(VLOOKUP($C334,REV!$C:$AA,23,0)-'TRADE IN'!$F334=0,"",(VLOOKUP($C334,REV!$C:$AA,23,0)-'TRADE IN'!$F334))</f>
        <v>1599</v>
      </c>
      <c r="Z334" s="56">
        <f>IF(VLOOKUP($C334,REV!$C:$AA,24,0)-'TRADE IN'!$F334=0,"",(VLOOKUP($C334,REV!$C:$AA,24,0)-'TRADE IN'!$F334))</f>
        <v>1599</v>
      </c>
      <c r="AA334" s="56">
        <f>IF(VLOOKUP($C334,REV!$C:$AA,25,0)-'TRADE IN'!$F334=0,"",(VLOOKUP($C334,REV!$C:$AA,25,0)-'TRADE IN'!$F334))</f>
        <v>1599</v>
      </c>
      <c r="AB334" s="55">
        <f>IF(VLOOKUP($C334,REV!$C:$AL,27,0)-'TRADE IN'!$F334=0,"",(VLOOKUP($C334,REV!$C:$AL,27,0)-'TRADE IN'!$F334))</f>
        <v>2399</v>
      </c>
      <c r="AC334" s="55">
        <f>IF(VLOOKUP($C334,REV!$C:$AL,28,0)-'TRADE IN'!$F334=0,"",(VLOOKUP($C334,REV!$C:$AL,28,0)-'TRADE IN'!$F334))</f>
        <v>2399</v>
      </c>
      <c r="AD334" s="55">
        <f>IF(VLOOKUP($C334,REV!$C:$AL,29,0)-'TRADE IN'!$F334=0,"",(VLOOKUP($C334,REV!$C:$AL,29,0)-'TRADE IN'!$F334))</f>
        <v>2399</v>
      </c>
      <c r="AE334" s="55">
        <f>IF(VLOOKUP($C334,REV!$C:$AL,30,0)-'TRADE IN'!$F334=0,"",(VLOOKUP($C334,REV!$C:$AL,30,0)-'TRADE IN'!$F334))</f>
        <v>2349</v>
      </c>
      <c r="AF334" s="55">
        <f>IF(VLOOKUP($C334,REV!$C:$AL,31,0)-'TRADE IN'!$F334=0,"",(VLOOKUP($C334,REV!$C:$AL,31,0)-'TRADE IN'!$F334))</f>
        <v>2299</v>
      </c>
      <c r="AG334" s="55">
        <f>IF(VLOOKUP($C334,REV!$C:$AL,31,0)-'TRADE IN'!$F334=0,"",(VLOOKUP($C334,REV!$C:$AL,31,0)-'TRADE IN'!$F334))</f>
        <v>2299</v>
      </c>
      <c r="AH334" s="55">
        <f>IF(VLOOKUP($C334,REV!$C:$AL,32,0)-'TRADE IN'!$F334=0,"",(VLOOKUP($C334,REV!$C:$AL,32,0)-'TRADE IN'!$F334))</f>
        <v>1699</v>
      </c>
      <c r="AI334" s="55">
        <f>IF(VLOOKUP($C334,REV!$C:$AL,33,0)-'TRADE IN'!$F334=0,"",(VLOOKUP($C334,REV!$C:$AL,33,0)-'TRADE IN'!$F334))</f>
        <v>1699</v>
      </c>
      <c r="AJ334" s="55">
        <f>IF(VLOOKUP($C334,REV!$C:$AL,34,0)-'TRADE IN'!$F334=0,"",(VLOOKUP($C334,REV!$C:$AL,34,0)-'TRADE IN'!$F334))</f>
        <v>1699</v>
      </c>
      <c r="AK334" s="55">
        <f>IF(VLOOKUP($C334,REV!$C:$AL,35,0)-'TRADE IN'!$F334=0,"",(VLOOKUP($C334,REV!$C:$AL,35,0)-'TRADE IN'!$F334))</f>
        <v>1699</v>
      </c>
      <c r="AL334" s="55">
        <f>IF(VLOOKUP($C334,REV!$C:$AL,36,0)-'TRADE IN'!$F334=0,"",(VLOOKUP($C334,REV!$C:$AL,36,0)-'TRADE IN'!$F334))</f>
        <v>1599</v>
      </c>
      <c r="AM334" s="55"/>
      <c r="AN334" s="55"/>
      <c r="AO334" s="55"/>
      <c r="AP334" s="55"/>
      <c r="AQ334" s="55"/>
      <c r="AR334" s="55"/>
      <c r="AS334" s="55"/>
      <c r="AT334" s="55"/>
      <c r="AU334" s="55"/>
      <c r="AV334" s="57"/>
      <c r="AW334" s="58" t="str">
        <f>REV!AW334</f>
        <v>03.11.2026</v>
      </c>
      <c r="AX334" s="147" t="str">
        <f>VLOOKUP(C334,REV!C:AX,48,0)</f>
        <v>5G</v>
      </c>
    </row>
    <row r="335" spans="1:50" ht="22.5" customHeight="1">
      <c r="A335" s="64" t="s">
        <v>241</v>
      </c>
      <c r="B335" s="52" t="s">
        <v>64</v>
      </c>
      <c r="C335" s="53">
        <v>4017860</v>
      </c>
      <c r="D335" s="65" t="s">
        <v>509</v>
      </c>
      <c r="E335" s="65" t="s">
        <v>512</v>
      </c>
      <c r="F335" s="55">
        <v>300</v>
      </c>
      <c r="G335" s="55"/>
      <c r="H335" s="55"/>
      <c r="I335" s="55"/>
      <c r="J335" s="56">
        <f>IF(VLOOKUP($C335,REV!$C:$AA,8,0)-'TRADE IN'!$F335=0,"",(VLOOKUP($C335,REV!$C:$AA,8,0)-'TRADE IN'!$F335))</f>
        <v>2399</v>
      </c>
      <c r="K335" s="56">
        <f>IF(VLOOKUP($C335,REV!$C:$AA,9,0)-'TRADE IN'!$F335=0,"",(VLOOKUP($C335,REV!$C:$AA,9,0)-'TRADE IN'!$F335))</f>
        <v>2399</v>
      </c>
      <c r="L335" s="56">
        <f>IF(VLOOKUP($C335,REV!$C:$AA,10,0)-'TRADE IN'!$F335=0,"",(VLOOKUP($C335,REV!$C:$AA,10,0)-'TRADE IN'!$F335))</f>
        <v>2399</v>
      </c>
      <c r="M335" s="56">
        <f>IF(VLOOKUP($C335,REV!$C:$AA,11,0)-'TRADE IN'!$F335=0,"",(VLOOKUP($C335,REV!$C:$AA,11,0)-'TRADE IN'!$F335))</f>
        <v>2399</v>
      </c>
      <c r="N335" s="56">
        <f>IF(VLOOKUP($C335,REV!$C:$AA,12,0)-'TRADE IN'!$F335=0,"",(VLOOKUP($C335,REV!$C:$AA,12,0)-'TRADE IN'!$F335))</f>
        <v>2399</v>
      </c>
      <c r="O335" s="56">
        <f>IF(VLOOKUP($C335,REV!$C:$AA,13,0)-'TRADE IN'!$F335=0,"",(VLOOKUP($C335,REV!$C:$AA,13,0)-'TRADE IN'!$F335))</f>
        <v>2349</v>
      </c>
      <c r="P335" s="56">
        <f>IF(VLOOKUP($C335,REV!$C:$AA,14,0)-'TRADE IN'!$F335=0,"",(VLOOKUP($C335,REV!$C:$AA,14,0)-'TRADE IN'!$F335))</f>
        <v>2299</v>
      </c>
      <c r="Q335" s="56">
        <f>IF(VLOOKUP($C335,REV!$C:$AA,15,0)-'TRADE IN'!$F335=0,"",(VLOOKUP($C335,REV!$C:$AA,15,0)-'TRADE IN'!$F335))</f>
        <v>1699</v>
      </c>
      <c r="R335" s="56">
        <f>IF(VLOOKUP($C335,REV!$C:$AA,16,0)-'TRADE IN'!$F335=0,"",(VLOOKUP($C335,REV!$C:$AA,16,0)-'TRADE IN'!$F335))</f>
        <v>2349</v>
      </c>
      <c r="S335" s="56">
        <f>IF(VLOOKUP($C335,REV!$C:$AA,17,0)-'TRADE IN'!$F335=0,"",(VLOOKUP($C335,REV!$C:$AA,17,0)-'TRADE IN'!$F335))</f>
        <v>2299</v>
      </c>
      <c r="T335" s="56">
        <f>IF(VLOOKUP($C335,REV!$C:$AA,18,0)-'TRADE IN'!$F335=0,"",(VLOOKUP($C335,REV!$C:$AA,18,0)-'TRADE IN'!$F335))</f>
        <v>1699</v>
      </c>
      <c r="U335" s="56">
        <f>IF(VLOOKUP($C335,REV!$C:$AA,19,0)-'TRADE IN'!$F335=0,"",(VLOOKUP($C335,REV!$C:$AA,19,0)-'TRADE IN'!$F335))</f>
        <v>1699</v>
      </c>
      <c r="V335" s="56">
        <f>IF(VLOOKUP($C335,REV!$C:$AA,20,0)-'TRADE IN'!$F335=0,"",(VLOOKUP($C335,REV!$C:$AA,20,0)-'TRADE IN'!$F335))</f>
        <v>1699</v>
      </c>
      <c r="W335" s="56">
        <f>IF(VLOOKUP($C335,REV!$C:$AA,21,0)-'TRADE IN'!$F335=0,"",(VLOOKUP($C335,REV!$C:$AA,21,0)-'TRADE IN'!$F335))</f>
        <v>1699</v>
      </c>
      <c r="X335" s="56">
        <f>IF(VLOOKUP($C335,REV!$C:$AA,22,0)-'TRADE IN'!$F335=0,"",(VLOOKUP($C335,REV!$C:$AA,22,0)-'TRADE IN'!$F335))</f>
        <v>1599</v>
      </c>
      <c r="Y335" s="56">
        <f>IF(VLOOKUP($C335,REV!$C:$AA,23,0)-'TRADE IN'!$F335=0,"",(VLOOKUP($C335,REV!$C:$AA,23,0)-'TRADE IN'!$F335))</f>
        <v>1599</v>
      </c>
      <c r="Z335" s="56">
        <f>IF(VLOOKUP($C335,REV!$C:$AA,24,0)-'TRADE IN'!$F335=0,"",(VLOOKUP($C335,REV!$C:$AA,24,0)-'TRADE IN'!$F335))</f>
        <v>1599</v>
      </c>
      <c r="AA335" s="56">
        <f>IF(VLOOKUP($C335,REV!$C:$AA,25,0)-'TRADE IN'!$F335=0,"",(VLOOKUP($C335,REV!$C:$AA,25,0)-'TRADE IN'!$F335))</f>
        <v>1599</v>
      </c>
      <c r="AB335" s="55">
        <f>IF(VLOOKUP($C335,REV!$C:$AL,27,0)-'TRADE IN'!$F335=0,"",(VLOOKUP($C335,REV!$C:$AL,27,0)-'TRADE IN'!$F335))</f>
        <v>2399</v>
      </c>
      <c r="AC335" s="55">
        <f>IF(VLOOKUP($C335,REV!$C:$AL,28,0)-'TRADE IN'!$F335=0,"",(VLOOKUP($C335,REV!$C:$AL,28,0)-'TRADE IN'!$F335))</f>
        <v>2399</v>
      </c>
      <c r="AD335" s="55">
        <f>IF(VLOOKUP($C335,REV!$C:$AL,29,0)-'TRADE IN'!$F335=0,"",(VLOOKUP($C335,REV!$C:$AL,29,0)-'TRADE IN'!$F335))</f>
        <v>2399</v>
      </c>
      <c r="AE335" s="55">
        <f>IF(VLOOKUP($C335,REV!$C:$AL,30,0)-'TRADE IN'!$F335=0,"",(VLOOKUP($C335,REV!$C:$AL,30,0)-'TRADE IN'!$F335))</f>
        <v>2349</v>
      </c>
      <c r="AF335" s="55">
        <f>IF(VLOOKUP($C335,REV!$C:$AL,31,0)-'TRADE IN'!$F335=0,"",(VLOOKUP($C335,REV!$C:$AL,31,0)-'TRADE IN'!$F335))</f>
        <v>2299</v>
      </c>
      <c r="AG335" s="55">
        <f>IF(VLOOKUP($C335,REV!$C:$AL,31,0)-'TRADE IN'!$F335=0,"",(VLOOKUP($C335,REV!$C:$AL,31,0)-'TRADE IN'!$F335))</f>
        <v>2299</v>
      </c>
      <c r="AH335" s="55">
        <f>IF(VLOOKUP($C335,REV!$C:$AL,32,0)-'TRADE IN'!$F335=0,"",(VLOOKUP($C335,REV!$C:$AL,32,0)-'TRADE IN'!$F335))</f>
        <v>1699</v>
      </c>
      <c r="AI335" s="55">
        <f>IF(VLOOKUP($C335,REV!$C:$AL,33,0)-'TRADE IN'!$F335=0,"",(VLOOKUP($C335,REV!$C:$AL,33,0)-'TRADE IN'!$F335))</f>
        <v>1699</v>
      </c>
      <c r="AJ335" s="55">
        <f>IF(VLOOKUP($C335,REV!$C:$AL,34,0)-'TRADE IN'!$F335=0,"",(VLOOKUP($C335,REV!$C:$AL,34,0)-'TRADE IN'!$F335))</f>
        <v>1699</v>
      </c>
      <c r="AK335" s="55">
        <f>IF(VLOOKUP($C335,REV!$C:$AL,35,0)-'TRADE IN'!$F335=0,"",(VLOOKUP($C335,REV!$C:$AL,35,0)-'TRADE IN'!$F335))</f>
        <v>1699</v>
      </c>
      <c r="AL335" s="55">
        <f>IF(VLOOKUP($C335,REV!$C:$AL,36,0)-'TRADE IN'!$F335=0,"",(VLOOKUP($C335,REV!$C:$AL,36,0)-'TRADE IN'!$F335))</f>
        <v>1599</v>
      </c>
      <c r="AM335" s="55"/>
      <c r="AN335" s="55"/>
      <c r="AO335" s="55"/>
      <c r="AP335" s="55"/>
      <c r="AQ335" s="55"/>
      <c r="AR335" s="55"/>
      <c r="AS335" s="55"/>
      <c r="AT335" s="55"/>
      <c r="AU335" s="55"/>
      <c r="AV335" s="57"/>
      <c r="AW335" s="58" t="str">
        <f>REV!AW335</f>
        <v>03.11.2026</v>
      </c>
      <c r="AX335" s="147" t="str">
        <f>VLOOKUP(C335,REV!C:AX,48,0)</f>
        <v>5G</v>
      </c>
    </row>
    <row r="336" spans="1:50" ht="22.5" customHeight="1">
      <c r="A336" s="64" t="s">
        <v>241</v>
      </c>
      <c r="B336" s="52" t="s">
        <v>64</v>
      </c>
      <c r="C336" s="53">
        <v>4017876</v>
      </c>
      <c r="D336" s="65" t="s">
        <v>509</v>
      </c>
      <c r="E336" s="65" t="s">
        <v>513</v>
      </c>
      <c r="F336" s="55">
        <v>300</v>
      </c>
      <c r="G336" s="55"/>
      <c r="H336" s="55"/>
      <c r="I336" s="55"/>
      <c r="J336" s="56">
        <f>IF(VLOOKUP($C336,REV!$C:$AA,8,0)-'TRADE IN'!$F336=0,"",(VLOOKUP($C336,REV!$C:$AA,8,0)-'TRADE IN'!$F336))</f>
        <v>2399</v>
      </c>
      <c r="K336" s="56">
        <f>IF(VLOOKUP($C336,REV!$C:$AA,9,0)-'TRADE IN'!$F336=0,"",(VLOOKUP($C336,REV!$C:$AA,9,0)-'TRADE IN'!$F336))</f>
        <v>2399</v>
      </c>
      <c r="L336" s="56">
        <f>IF(VLOOKUP($C336,REV!$C:$AA,10,0)-'TRADE IN'!$F336=0,"",(VLOOKUP($C336,REV!$C:$AA,10,0)-'TRADE IN'!$F336))</f>
        <v>2399</v>
      </c>
      <c r="M336" s="56">
        <f>IF(VLOOKUP($C336,REV!$C:$AA,11,0)-'TRADE IN'!$F336=0,"",(VLOOKUP($C336,REV!$C:$AA,11,0)-'TRADE IN'!$F336))</f>
        <v>2399</v>
      </c>
      <c r="N336" s="56">
        <f>IF(VLOOKUP($C336,REV!$C:$AA,12,0)-'TRADE IN'!$F336=0,"",(VLOOKUP($C336,REV!$C:$AA,12,0)-'TRADE IN'!$F336))</f>
        <v>2399</v>
      </c>
      <c r="O336" s="56">
        <f>IF(VLOOKUP($C336,REV!$C:$AA,13,0)-'TRADE IN'!$F336=0,"",(VLOOKUP($C336,REV!$C:$AA,13,0)-'TRADE IN'!$F336))</f>
        <v>2349</v>
      </c>
      <c r="P336" s="56">
        <f>IF(VLOOKUP($C336,REV!$C:$AA,14,0)-'TRADE IN'!$F336=0,"",(VLOOKUP($C336,REV!$C:$AA,14,0)-'TRADE IN'!$F336))</f>
        <v>2299</v>
      </c>
      <c r="Q336" s="56">
        <f>IF(VLOOKUP($C336,REV!$C:$AA,15,0)-'TRADE IN'!$F336=0,"",(VLOOKUP($C336,REV!$C:$AA,15,0)-'TRADE IN'!$F336))</f>
        <v>1699</v>
      </c>
      <c r="R336" s="56">
        <f>IF(VLOOKUP($C336,REV!$C:$AA,16,0)-'TRADE IN'!$F336=0,"",(VLOOKUP($C336,REV!$C:$AA,16,0)-'TRADE IN'!$F336))</f>
        <v>2349</v>
      </c>
      <c r="S336" s="56">
        <f>IF(VLOOKUP($C336,REV!$C:$AA,17,0)-'TRADE IN'!$F336=0,"",(VLOOKUP($C336,REV!$C:$AA,17,0)-'TRADE IN'!$F336))</f>
        <v>2299</v>
      </c>
      <c r="T336" s="56">
        <f>IF(VLOOKUP($C336,REV!$C:$AA,18,0)-'TRADE IN'!$F336=0,"",(VLOOKUP($C336,REV!$C:$AA,18,0)-'TRADE IN'!$F336))</f>
        <v>1699</v>
      </c>
      <c r="U336" s="56">
        <f>IF(VLOOKUP($C336,REV!$C:$AA,19,0)-'TRADE IN'!$F336=0,"",(VLOOKUP($C336,REV!$C:$AA,19,0)-'TRADE IN'!$F336))</f>
        <v>1699</v>
      </c>
      <c r="V336" s="56">
        <f>IF(VLOOKUP($C336,REV!$C:$AA,20,0)-'TRADE IN'!$F336=0,"",(VLOOKUP($C336,REV!$C:$AA,20,0)-'TRADE IN'!$F336))</f>
        <v>1699</v>
      </c>
      <c r="W336" s="56">
        <f>IF(VLOOKUP($C336,REV!$C:$AA,21,0)-'TRADE IN'!$F336=0,"",(VLOOKUP($C336,REV!$C:$AA,21,0)-'TRADE IN'!$F336))</f>
        <v>1699</v>
      </c>
      <c r="X336" s="56">
        <f>IF(VLOOKUP($C336,REV!$C:$AA,22,0)-'TRADE IN'!$F336=0,"",(VLOOKUP($C336,REV!$C:$AA,22,0)-'TRADE IN'!$F336))</f>
        <v>1599</v>
      </c>
      <c r="Y336" s="56">
        <f>IF(VLOOKUP($C336,REV!$C:$AA,23,0)-'TRADE IN'!$F336=0,"",(VLOOKUP($C336,REV!$C:$AA,23,0)-'TRADE IN'!$F336))</f>
        <v>1599</v>
      </c>
      <c r="Z336" s="56">
        <f>IF(VLOOKUP($C336,REV!$C:$AA,24,0)-'TRADE IN'!$F336=0,"",(VLOOKUP($C336,REV!$C:$AA,24,0)-'TRADE IN'!$F336))</f>
        <v>1599</v>
      </c>
      <c r="AA336" s="56">
        <f>IF(VLOOKUP($C336,REV!$C:$AA,25,0)-'TRADE IN'!$F336=0,"",(VLOOKUP($C336,REV!$C:$AA,25,0)-'TRADE IN'!$F336))</f>
        <v>1599</v>
      </c>
      <c r="AB336" s="55">
        <f>IF(VLOOKUP($C336,REV!$C:$AL,27,0)-'TRADE IN'!$F336=0,"",(VLOOKUP($C336,REV!$C:$AL,27,0)-'TRADE IN'!$F336))</f>
        <v>2399</v>
      </c>
      <c r="AC336" s="55">
        <f>IF(VLOOKUP($C336,REV!$C:$AL,28,0)-'TRADE IN'!$F336=0,"",(VLOOKUP($C336,REV!$C:$AL,28,0)-'TRADE IN'!$F336))</f>
        <v>2399</v>
      </c>
      <c r="AD336" s="55">
        <f>IF(VLOOKUP($C336,REV!$C:$AL,29,0)-'TRADE IN'!$F336=0,"",(VLOOKUP($C336,REV!$C:$AL,29,0)-'TRADE IN'!$F336))</f>
        <v>2399</v>
      </c>
      <c r="AE336" s="55">
        <f>IF(VLOOKUP($C336,REV!$C:$AL,30,0)-'TRADE IN'!$F336=0,"",(VLOOKUP($C336,REV!$C:$AL,30,0)-'TRADE IN'!$F336))</f>
        <v>2349</v>
      </c>
      <c r="AF336" s="55">
        <f>IF(VLOOKUP($C336,REV!$C:$AL,31,0)-'TRADE IN'!$F336=0,"",(VLOOKUP($C336,REV!$C:$AL,31,0)-'TRADE IN'!$F336))</f>
        <v>2299</v>
      </c>
      <c r="AG336" s="55">
        <f>IF(VLOOKUP($C336,REV!$C:$AL,31,0)-'TRADE IN'!$F336=0,"",(VLOOKUP($C336,REV!$C:$AL,31,0)-'TRADE IN'!$F336))</f>
        <v>2299</v>
      </c>
      <c r="AH336" s="55">
        <f>IF(VLOOKUP($C336,REV!$C:$AL,32,0)-'TRADE IN'!$F336=0,"",(VLOOKUP($C336,REV!$C:$AL,32,0)-'TRADE IN'!$F336))</f>
        <v>1699</v>
      </c>
      <c r="AI336" s="55">
        <f>IF(VLOOKUP($C336,REV!$C:$AL,33,0)-'TRADE IN'!$F336=0,"",(VLOOKUP($C336,REV!$C:$AL,33,0)-'TRADE IN'!$F336))</f>
        <v>1699</v>
      </c>
      <c r="AJ336" s="55">
        <f>IF(VLOOKUP($C336,REV!$C:$AL,34,0)-'TRADE IN'!$F336=0,"",(VLOOKUP($C336,REV!$C:$AL,34,0)-'TRADE IN'!$F336))</f>
        <v>1699</v>
      </c>
      <c r="AK336" s="55">
        <f>IF(VLOOKUP($C336,REV!$C:$AL,35,0)-'TRADE IN'!$F336=0,"",(VLOOKUP($C336,REV!$C:$AL,35,0)-'TRADE IN'!$F336))</f>
        <v>1699</v>
      </c>
      <c r="AL336" s="55">
        <f>IF(VLOOKUP($C336,REV!$C:$AL,36,0)-'TRADE IN'!$F336=0,"",(VLOOKUP($C336,REV!$C:$AL,36,0)-'TRADE IN'!$F336))</f>
        <v>1599</v>
      </c>
      <c r="AM336" s="55"/>
      <c r="AN336" s="55"/>
      <c r="AO336" s="55"/>
      <c r="AP336" s="55"/>
      <c r="AQ336" s="55"/>
      <c r="AR336" s="55"/>
      <c r="AS336" s="55"/>
      <c r="AT336" s="55"/>
      <c r="AU336" s="55"/>
      <c r="AV336" s="57"/>
      <c r="AW336" s="58" t="str">
        <f>REV!AW336</f>
        <v>03.11.2026</v>
      </c>
      <c r="AX336" s="147" t="str">
        <f>VLOOKUP(C336,REV!C:AX,48,0)</f>
        <v>5G</v>
      </c>
    </row>
    <row r="337" spans="1:50" ht="22.5" customHeight="1">
      <c r="A337" s="64" t="s">
        <v>241</v>
      </c>
      <c r="B337" s="52" t="s">
        <v>64</v>
      </c>
      <c r="C337" s="53">
        <v>4017852</v>
      </c>
      <c r="D337" s="65" t="s">
        <v>509</v>
      </c>
      <c r="E337" s="65" t="s">
        <v>514</v>
      </c>
      <c r="F337" s="55">
        <v>300</v>
      </c>
      <c r="G337" s="55"/>
      <c r="H337" s="55"/>
      <c r="I337" s="55"/>
      <c r="J337" s="56">
        <f>IF(VLOOKUP($C337,REV!$C:$AA,8,0)-'TRADE IN'!$F337=0,"",(VLOOKUP($C337,REV!$C:$AA,8,0)-'TRADE IN'!$F337))</f>
        <v>2399</v>
      </c>
      <c r="K337" s="56">
        <f>IF(VLOOKUP($C337,REV!$C:$AA,9,0)-'TRADE IN'!$F337=0,"",(VLOOKUP($C337,REV!$C:$AA,9,0)-'TRADE IN'!$F337))</f>
        <v>2399</v>
      </c>
      <c r="L337" s="56">
        <f>IF(VLOOKUP($C337,REV!$C:$AA,10,0)-'TRADE IN'!$F337=0,"",(VLOOKUP($C337,REV!$C:$AA,10,0)-'TRADE IN'!$F337))</f>
        <v>2399</v>
      </c>
      <c r="M337" s="56">
        <f>IF(VLOOKUP($C337,REV!$C:$AA,11,0)-'TRADE IN'!$F337=0,"",(VLOOKUP($C337,REV!$C:$AA,11,0)-'TRADE IN'!$F337))</f>
        <v>2399</v>
      </c>
      <c r="N337" s="56">
        <f>IF(VLOOKUP($C337,REV!$C:$AA,12,0)-'TRADE IN'!$F337=0,"",(VLOOKUP($C337,REV!$C:$AA,12,0)-'TRADE IN'!$F337))</f>
        <v>2399</v>
      </c>
      <c r="O337" s="56">
        <f>IF(VLOOKUP($C337,REV!$C:$AA,13,0)-'TRADE IN'!$F337=0,"",(VLOOKUP($C337,REV!$C:$AA,13,0)-'TRADE IN'!$F337))</f>
        <v>2349</v>
      </c>
      <c r="P337" s="56">
        <f>IF(VLOOKUP($C337,REV!$C:$AA,14,0)-'TRADE IN'!$F337=0,"",(VLOOKUP($C337,REV!$C:$AA,14,0)-'TRADE IN'!$F337))</f>
        <v>2299</v>
      </c>
      <c r="Q337" s="56">
        <f>IF(VLOOKUP($C337,REV!$C:$AA,15,0)-'TRADE IN'!$F337=0,"",(VLOOKUP($C337,REV!$C:$AA,15,0)-'TRADE IN'!$F337))</f>
        <v>1699</v>
      </c>
      <c r="R337" s="56">
        <f>IF(VLOOKUP($C337,REV!$C:$AA,16,0)-'TRADE IN'!$F337=0,"",(VLOOKUP($C337,REV!$C:$AA,16,0)-'TRADE IN'!$F337))</f>
        <v>2349</v>
      </c>
      <c r="S337" s="56">
        <f>IF(VLOOKUP($C337,REV!$C:$AA,17,0)-'TRADE IN'!$F337=0,"",(VLOOKUP($C337,REV!$C:$AA,17,0)-'TRADE IN'!$F337))</f>
        <v>2299</v>
      </c>
      <c r="T337" s="56">
        <f>IF(VLOOKUP($C337,REV!$C:$AA,18,0)-'TRADE IN'!$F337=0,"",(VLOOKUP($C337,REV!$C:$AA,18,0)-'TRADE IN'!$F337))</f>
        <v>1699</v>
      </c>
      <c r="U337" s="56">
        <f>IF(VLOOKUP($C337,REV!$C:$AA,19,0)-'TRADE IN'!$F337=0,"",(VLOOKUP($C337,REV!$C:$AA,19,0)-'TRADE IN'!$F337))</f>
        <v>1699</v>
      </c>
      <c r="V337" s="56">
        <f>IF(VLOOKUP($C337,REV!$C:$AA,20,0)-'TRADE IN'!$F337=0,"",(VLOOKUP($C337,REV!$C:$AA,20,0)-'TRADE IN'!$F337))</f>
        <v>1699</v>
      </c>
      <c r="W337" s="56">
        <f>IF(VLOOKUP($C337,REV!$C:$AA,21,0)-'TRADE IN'!$F337=0,"",(VLOOKUP($C337,REV!$C:$AA,21,0)-'TRADE IN'!$F337))</f>
        <v>1699</v>
      </c>
      <c r="X337" s="56">
        <f>IF(VLOOKUP($C337,REV!$C:$AA,22,0)-'TRADE IN'!$F337=0,"",(VLOOKUP($C337,REV!$C:$AA,22,0)-'TRADE IN'!$F337))</f>
        <v>1599</v>
      </c>
      <c r="Y337" s="56">
        <f>IF(VLOOKUP($C337,REV!$C:$AA,23,0)-'TRADE IN'!$F337=0,"",(VLOOKUP($C337,REV!$C:$AA,23,0)-'TRADE IN'!$F337))</f>
        <v>1599</v>
      </c>
      <c r="Z337" s="56">
        <f>IF(VLOOKUP($C337,REV!$C:$AA,24,0)-'TRADE IN'!$F337=0,"",(VLOOKUP($C337,REV!$C:$AA,24,0)-'TRADE IN'!$F337))</f>
        <v>1599</v>
      </c>
      <c r="AA337" s="56">
        <f>IF(VLOOKUP($C337,REV!$C:$AA,25,0)-'TRADE IN'!$F337=0,"",(VLOOKUP($C337,REV!$C:$AA,25,0)-'TRADE IN'!$F337))</f>
        <v>1599</v>
      </c>
      <c r="AB337" s="55">
        <f>IF(VLOOKUP($C337,REV!$C:$AL,27,0)-'TRADE IN'!$F337=0,"",(VLOOKUP($C337,REV!$C:$AL,27,0)-'TRADE IN'!$F337))</f>
        <v>2399</v>
      </c>
      <c r="AC337" s="55">
        <f>IF(VLOOKUP($C337,REV!$C:$AL,28,0)-'TRADE IN'!$F337=0,"",(VLOOKUP($C337,REV!$C:$AL,28,0)-'TRADE IN'!$F337))</f>
        <v>2399</v>
      </c>
      <c r="AD337" s="55">
        <f>IF(VLOOKUP($C337,REV!$C:$AL,29,0)-'TRADE IN'!$F337=0,"",(VLOOKUP($C337,REV!$C:$AL,29,0)-'TRADE IN'!$F337))</f>
        <v>2399</v>
      </c>
      <c r="AE337" s="55">
        <f>IF(VLOOKUP($C337,REV!$C:$AL,30,0)-'TRADE IN'!$F337=0,"",(VLOOKUP($C337,REV!$C:$AL,30,0)-'TRADE IN'!$F337))</f>
        <v>2349</v>
      </c>
      <c r="AF337" s="55">
        <f>IF(VLOOKUP($C337,REV!$C:$AL,31,0)-'TRADE IN'!$F337=0,"",(VLOOKUP($C337,REV!$C:$AL,31,0)-'TRADE IN'!$F337))</f>
        <v>2299</v>
      </c>
      <c r="AG337" s="55">
        <f>IF(VLOOKUP($C337,REV!$C:$AL,31,0)-'TRADE IN'!$F337=0,"",(VLOOKUP($C337,REV!$C:$AL,31,0)-'TRADE IN'!$F337))</f>
        <v>2299</v>
      </c>
      <c r="AH337" s="55">
        <f>IF(VLOOKUP($C337,REV!$C:$AL,32,0)-'TRADE IN'!$F337=0,"",(VLOOKUP($C337,REV!$C:$AL,32,0)-'TRADE IN'!$F337))</f>
        <v>1699</v>
      </c>
      <c r="AI337" s="55">
        <f>IF(VLOOKUP($C337,REV!$C:$AL,33,0)-'TRADE IN'!$F337=0,"",(VLOOKUP($C337,REV!$C:$AL,33,0)-'TRADE IN'!$F337))</f>
        <v>1699</v>
      </c>
      <c r="AJ337" s="55">
        <f>IF(VLOOKUP($C337,REV!$C:$AL,34,0)-'TRADE IN'!$F337=0,"",(VLOOKUP($C337,REV!$C:$AL,34,0)-'TRADE IN'!$F337))</f>
        <v>1699</v>
      </c>
      <c r="AK337" s="55">
        <f>IF(VLOOKUP($C337,REV!$C:$AL,35,0)-'TRADE IN'!$F337=0,"",(VLOOKUP($C337,REV!$C:$AL,35,0)-'TRADE IN'!$F337))</f>
        <v>1699</v>
      </c>
      <c r="AL337" s="55">
        <f>IF(VLOOKUP($C337,REV!$C:$AL,36,0)-'TRADE IN'!$F337=0,"",(VLOOKUP($C337,REV!$C:$AL,36,0)-'TRADE IN'!$F337))</f>
        <v>1599</v>
      </c>
      <c r="AM337" s="55"/>
      <c r="AN337" s="55"/>
      <c r="AO337" s="55"/>
      <c r="AP337" s="55"/>
      <c r="AQ337" s="55"/>
      <c r="AR337" s="55"/>
      <c r="AS337" s="55"/>
      <c r="AT337" s="55"/>
      <c r="AU337" s="55"/>
      <c r="AV337" s="57"/>
      <c r="AW337" s="58" t="str">
        <f>REV!AW337</f>
        <v>03.11.2026</v>
      </c>
      <c r="AX337" s="147" t="str">
        <f>VLOOKUP(C337,REV!C:AX,48,0)</f>
        <v>5G</v>
      </c>
    </row>
    <row r="338" spans="1:50" ht="22.5" customHeight="1">
      <c r="A338" s="64" t="s">
        <v>241</v>
      </c>
      <c r="B338" s="52" t="s">
        <v>64</v>
      </c>
      <c r="C338" s="53">
        <v>4017857</v>
      </c>
      <c r="D338" s="65" t="s">
        <v>509</v>
      </c>
      <c r="E338" s="65" t="s">
        <v>515</v>
      </c>
      <c r="F338" s="55">
        <v>300</v>
      </c>
      <c r="G338" s="55"/>
      <c r="H338" s="55"/>
      <c r="I338" s="55"/>
      <c r="J338" s="56">
        <f>IF(VLOOKUP($C338,REV!$C:$AA,8,0)-'TRADE IN'!$F338=0,"",(VLOOKUP($C338,REV!$C:$AA,8,0)-'TRADE IN'!$F338))</f>
        <v>2399</v>
      </c>
      <c r="K338" s="56">
        <f>IF(VLOOKUP($C338,REV!$C:$AA,9,0)-'TRADE IN'!$F338=0,"",(VLOOKUP($C338,REV!$C:$AA,9,0)-'TRADE IN'!$F338))</f>
        <v>2399</v>
      </c>
      <c r="L338" s="56">
        <f>IF(VLOOKUP($C338,REV!$C:$AA,10,0)-'TRADE IN'!$F338=0,"",(VLOOKUP($C338,REV!$C:$AA,10,0)-'TRADE IN'!$F338))</f>
        <v>2399</v>
      </c>
      <c r="M338" s="56">
        <f>IF(VLOOKUP($C338,REV!$C:$AA,11,0)-'TRADE IN'!$F338=0,"",(VLOOKUP($C338,REV!$C:$AA,11,0)-'TRADE IN'!$F338))</f>
        <v>2399</v>
      </c>
      <c r="N338" s="56">
        <f>IF(VLOOKUP($C338,REV!$C:$AA,12,0)-'TRADE IN'!$F338=0,"",(VLOOKUP($C338,REV!$C:$AA,12,0)-'TRADE IN'!$F338))</f>
        <v>2399</v>
      </c>
      <c r="O338" s="56">
        <f>IF(VLOOKUP($C338,REV!$C:$AA,13,0)-'TRADE IN'!$F338=0,"",(VLOOKUP($C338,REV!$C:$AA,13,0)-'TRADE IN'!$F338))</f>
        <v>2349</v>
      </c>
      <c r="P338" s="56">
        <f>IF(VLOOKUP($C338,REV!$C:$AA,14,0)-'TRADE IN'!$F338=0,"",(VLOOKUP($C338,REV!$C:$AA,14,0)-'TRADE IN'!$F338))</f>
        <v>2299</v>
      </c>
      <c r="Q338" s="56">
        <f>IF(VLOOKUP($C338,REV!$C:$AA,15,0)-'TRADE IN'!$F338=0,"",(VLOOKUP($C338,REV!$C:$AA,15,0)-'TRADE IN'!$F338))</f>
        <v>1699</v>
      </c>
      <c r="R338" s="56">
        <f>IF(VLOOKUP($C338,REV!$C:$AA,16,0)-'TRADE IN'!$F338=0,"",(VLOOKUP($C338,REV!$C:$AA,16,0)-'TRADE IN'!$F338))</f>
        <v>2349</v>
      </c>
      <c r="S338" s="56">
        <f>IF(VLOOKUP($C338,REV!$C:$AA,17,0)-'TRADE IN'!$F338=0,"",(VLOOKUP($C338,REV!$C:$AA,17,0)-'TRADE IN'!$F338))</f>
        <v>2299</v>
      </c>
      <c r="T338" s="56">
        <f>IF(VLOOKUP($C338,REV!$C:$AA,18,0)-'TRADE IN'!$F338=0,"",(VLOOKUP($C338,REV!$C:$AA,18,0)-'TRADE IN'!$F338))</f>
        <v>1699</v>
      </c>
      <c r="U338" s="56">
        <f>IF(VLOOKUP($C338,REV!$C:$AA,19,0)-'TRADE IN'!$F338=0,"",(VLOOKUP($C338,REV!$C:$AA,19,0)-'TRADE IN'!$F338))</f>
        <v>1699</v>
      </c>
      <c r="V338" s="56">
        <f>IF(VLOOKUP($C338,REV!$C:$AA,20,0)-'TRADE IN'!$F338=0,"",(VLOOKUP($C338,REV!$C:$AA,20,0)-'TRADE IN'!$F338))</f>
        <v>1699</v>
      </c>
      <c r="W338" s="56">
        <f>IF(VLOOKUP($C338,REV!$C:$AA,21,0)-'TRADE IN'!$F338=0,"",(VLOOKUP($C338,REV!$C:$AA,21,0)-'TRADE IN'!$F338))</f>
        <v>1699</v>
      </c>
      <c r="X338" s="56">
        <f>IF(VLOOKUP($C338,REV!$C:$AA,22,0)-'TRADE IN'!$F338=0,"",(VLOOKUP($C338,REV!$C:$AA,22,0)-'TRADE IN'!$F338))</f>
        <v>1599</v>
      </c>
      <c r="Y338" s="56">
        <f>IF(VLOOKUP($C338,REV!$C:$AA,23,0)-'TRADE IN'!$F338=0,"",(VLOOKUP($C338,REV!$C:$AA,23,0)-'TRADE IN'!$F338))</f>
        <v>1599</v>
      </c>
      <c r="Z338" s="56">
        <f>IF(VLOOKUP($C338,REV!$C:$AA,24,0)-'TRADE IN'!$F338=0,"",(VLOOKUP($C338,REV!$C:$AA,24,0)-'TRADE IN'!$F338))</f>
        <v>1599</v>
      </c>
      <c r="AA338" s="56">
        <f>IF(VLOOKUP($C338,REV!$C:$AA,25,0)-'TRADE IN'!$F338=0,"",(VLOOKUP($C338,REV!$C:$AA,25,0)-'TRADE IN'!$F338))</f>
        <v>1599</v>
      </c>
      <c r="AB338" s="55">
        <f>IF(VLOOKUP($C338,REV!$C:$AL,27,0)-'TRADE IN'!$F338=0,"",(VLOOKUP($C338,REV!$C:$AL,27,0)-'TRADE IN'!$F338))</f>
        <v>2399</v>
      </c>
      <c r="AC338" s="55">
        <f>IF(VLOOKUP($C338,REV!$C:$AL,28,0)-'TRADE IN'!$F338=0,"",(VLOOKUP($C338,REV!$C:$AL,28,0)-'TRADE IN'!$F338))</f>
        <v>2399</v>
      </c>
      <c r="AD338" s="55">
        <f>IF(VLOOKUP($C338,REV!$C:$AL,29,0)-'TRADE IN'!$F338=0,"",(VLOOKUP($C338,REV!$C:$AL,29,0)-'TRADE IN'!$F338))</f>
        <v>2399</v>
      </c>
      <c r="AE338" s="55">
        <f>IF(VLOOKUP($C338,REV!$C:$AL,30,0)-'TRADE IN'!$F338=0,"",(VLOOKUP($C338,REV!$C:$AL,30,0)-'TRADE IN'!$F338))</f>
        <v>2349</v>
      </c>
      <c r="AF338" s="55">
        <f>IF(VLOOKUP($C338,REV!$C:$AL,31,0)-'TRADE IN'!$F338=0,"",(VLOOKUP($C338,REV!$C:$AL,31,0)-'TRADE IN'!$F338))</f>
        <v>2299</v>
      </c>
      <c r="AG338" s="55">
        <f>IF(VLOOKUP($C338,REV!$C:$AL,31,0)-'TRADE IN'!$F338=0,"",(VLOOKUP($C338,REV!$C:$AL,31,0)-'TRADE IN'!$F338))</f>
        <v>2299</v>
      </c>
      <c r="AH338" s="55">
        <f>IF(VLOOKUP($C338,REV!$C:$AL,32,0)-'TRADE IN'!$F338=0,"",(VLOOKUP($C338,REV!$C:$AL,32,0)-'TRADE IN'!$F338))</f>
        <v>1699</v>
      </c>
      <c r="AI338" s="55">
        <f>IF(VLOOKUP($C338,REV!$C:$AL,33,0)-'TRADE IN'!$F338=0,"",(VLOOKUP($C338,REV!$C:$AL,33,0)-'TRADE IN'!$F338))</f>
        <v>1699</v>
      </c>
      <c r="AJ338" s="55">
        <f>IF(VLOOKUP($C338,REV!$C:$AL,34,0)-'TRADE IN'!$F338=0,"",(VLOOKUP($C338,REV!$C:$AL,34,0)-'TRADE IN'!$F338))</f>
        <v>1699</v>
      </c>
      <c r="AK338" s="55">
        <f>IF(VLOOKUP($C338,REV!$C:$AL,35,0)-'TRADE IN'!$F338=0,"",(VLOOKUP($C338,REV!$C:$AL,35,0)-'TRADE IN'!$F338))</f>
        <v>1699</v>
      </c>
      <c r="AL338" s="55">
        <f>IF(VLOOKUP($C338,REV!$C:$AL,36,0)-'TRADE IN'!$F338=0,"",(VLOOKUP($C338,REV!$C:$AL,36,0)-'TRADE IN'!$F338))</f>
        <v>1599</v>
      </c>
      <c r="AM338" s="55"/>
      <c r="AN338" s="55"/>
      <c r="AO338" s="55"/>
      <c r="AP338" s="55"/>
      <c r="AQ338" s="55"/>
      <c r="AR338" s="55"/>
      <c r="AS338" s="55"/>
      <c r="AT338" s="55"/>
      <c r="AU338" s="55"/>
      <c r="AV338" s="57"/>
      <c r="AW338" s="58" t="str">
        <f>REV!AW338</f>
        <v>03.11.2026</v>
      </c>
      <c r="AX338" s="147" t="str">
        <f>VLOOKUP(C338,REV!C:AX,48,0)</f>
        <v>5G</v>
      </c>
    </row>
    <row r="339" spans="1:50" ht="22.5" customHeight="1">
      <c r="A339" s="64" t="s">
        <v>241</v>
      </c>
      <c r="B339" s="52" t="s">
        <v>64</v>
      </c>
      <c r="C339" s="53">
        <v>4008625</v>
      </c>
      <c r="D339" s="70" t="s">
        <v>516</v>
      </c>
      <c r="E339" s="71" t="s">
        <v>517</v>
      </c>
      <c r="F339" s="55"/>
      <c r="G339" s="55"/>
      <c r="H339" s="56"/>
      <c r="I339" s="56"/>
      <c r="J339" s="56">
        <f>IF(VLOOKUP($C339,REV!$C:$AA,8,0)-'TRADE IN'!$F339=0,"",(VLOOKUP($C339,REV!$C:$AA,8,0)-'TRADE IN'!$F339))</f>
        <v>799</v>
      </c>
      <c r="K339" s="56">
        <f>IF(VLOOKUP($C339,REV!$C:$AA,9,0)-'TRADE IN'!$F339=0,"",(VLOOKUP($C339,REV!$C:$AA,9,0)-'TRADE IN'!$F339))</f>
        <v>799</v>
      </c>
      <c r="L339" s="56">
        <f>IF(VLOOKUP($C339,REV!$C:$AA,10,0)-'TRADE IN'!$F339=0,"",(VLOOKUP($C339,REV!$C:$AA,10,0)-'TRADE IN'!$F339))</f>
        <v>799</v>
      </c>
      <c r="M339" s="56">
        <f>IF(VLOOKUP($C339,REV!$C:$AA,11,0)-'TRADE IN'!$F339=0,"",(VLOOKUP($C339,REV!$C:$AA,11,0)-'TRADE IN'!$F339))</f>
        <v>799</v>
      </c>
      <c r="N339" s="56">
        <f>IF(VLOOKUP($C339,REV!$C:$AA,12,0)-'TRADE IN'!$F339=0,"",(VLOOKUP($C339,REV!$C:$AA,12,0)-'TRADE IN'!$F339))</f>
        <v>799</v>
      </c>
      <c r="O339" s="56">
        <f>IF(VLOOKUP($C339,REV!$C:$AA,13,0)-'TRADE IN'!$F339=0,"",(VLOOKUP($C339,REV!$C:$AA,13,0)-'TRADE IN'!$F339))</f>
        <v>699</v>
      </c>
      <c r="P339" s="56">
        <f>IF(VLOOKUP($C339,REV!$C:$AA,14,0)-'TRADE IN'!$F339=0,"",(VLOOKUP($C339,REV!$C:$AA,14,0)-'TRADE IN'!$F339))</f>
        <v>579</v>
      </c>
      <c r="Q339" s="56">
        <f>IF(VLOOKUP($C339,REV!$C:$AA,15,0)-'TRADE IN'!$F339=0,"",(VLOOKUP($C339,REV!$C:$AA,15,0)-'TRADE IN'!$F339))</f>
        <v>449</v>
      </c>
      <c r="R339" s="56">
        <f>IF(VLOOKUP($C339,REV!$C:$AA,16,0)-'TRADE IN'!$F339=0,"",(VLOOKUP($C339,REV!$C:$AA,16,0)-'TRADE IN'!$F339))</f>
        <v>699</v>
      </c>
      <c r="S339" s="56">
        <f>IF(VLOOKUP($C339,REV!$C:$AA,17,0)-'TRADE IN'!$F339=0,"",(VLOOKUP($C339,REV!$C:$AA,17,0)-'TRADE IN'!$F339))</f>
        <v>579</v>
      </c>
      <c r="T339" s="56">
        <f>IF(VLOOKUP($C339,REV!$C:$AA,18,0)-'TRADE IN'!$F339=0,"",(VLOOKUP($C339,REV!$C:$AA,18,0)-'TRADE IN'!$F339))</f>
        <v>449</v>
      </c>
      <c r="U339" s="56">
        <f>IF(VLOOKUP($C339,REV!$C:$AA,19,0)-'TRADE IN'!$F339=0,"",(VLOOKUP($C339,REV!$C:$AA,19,0)-'TRADE IN'!$F339))</f>
        <v>449</v>
      </c>
      <c r="V339" s="56">
        <f>IF(VLOOKUP($C339,REV!$C:$AA,20,0)-'TRADE IN'!$F339=0,"",(VLOOKUP($C339,REV!$C:$AA,20,0)-'TRADE IN'!$F339))</f>
        <v>449</v>
      </c>
      <c r="W339" s="56">
        <f>IF(VLOOKUP($C339,REV!$C:$AA,21,0)-'TRADE IN'!$F339=0,"",(VLOOKUP($C339,REV!$C:$AA,21,0)-'TRADE IN'!$F339))</f>
        <v>449</v>
      </c>
      <c r="X339" s="56">
        <f>IF(VLOOKUP($C339,REV!$C:$AA,22,0)-'TRADE IN'!$F339=0,"",(VLOOKUP($C339,REV!$C:$AA,22,0)-'TRADE IN'!$F339))</f>
        <v>399</v>
      </c>
      <c r="Y339" s="56">
        <f>IF(VLOOKUP($C339,REV!$C:$AA,23,0)-'TRADE IN'!$F339=0,"",(VLOOKUP($C339,REV!$C:$AA,23,0)-'TRADE IN'!$F339))</f>
        <v>349</v>
      </c>
      <c r="Z339" s="56">
        <f>IF(VLOOKUP($C339,REV!$C:$AA,24,0)-'TRADE IN'!$F339=0,"",(VLOOKUP($C339,REV!$C:$AA,24,0)-'TRADE IN'!$F339))</f>
        <v>349</v>
      </c>
      <c r="AA339" s="56">
        <f>IF(VLOOKUP($C339,REV!$C:$AA,25,0)-'TRADE IN'!$F339=0,"",(VLOOKUP($C339,REV!$C:$AA,25,0)-'TRADE IN'!$F339))</f>
        <v>309</v>
      </c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7"/>
      <c r="AW339" s="58" t="str">
        <f>REV!AW339</f>
        <v>03.11.2026</v>
      </c>
      <c r="AX339" s="147" t="str">
        <f>VLOOKUP(C339,REV!C:AX,48,0)</f>
        <v>4G</v>
      </c>
    </row>
    <row r="340" spans="1:50" ht="22.5" customHeight="1">
      <c r="A340" s="51" t="s">
        <v>63</v>
      </c>
      <c r="B340" s="52" t="s">
        <v>64</v>
      </c>
      <c r="C340" s="53">
        <v>4015427</v>
      </c>
      <c r="D340" s="65" t="s">
        <v>518</v>
      </c>
      <c r="E340" s="65" t="s">
        <v>519</v>
      </c>
      <c r="F340" s="55"/>
      <c r="G340" s="55"/>
      <c r="H340" s="55"/>
      <c r="I340" s="55"/>
      <c r="J340" s="56">
        <f>IF(VLOOKUP($C340,REV!$C:$AA,8,0)-'TRADE IN'!$F340=0,"",(VLOOKUP($C340,REV!$C:$AA,8,0)-'TRADE IN'!$F340))</f>
        <v>1419</v>
      </c>
      <c r="K340" s="56">
        <f>IF(VLOOKUP($C340,REV!$C:$AA,9,0)-'TRADE IN'!$F340=0,"",(VLOOKUP($C340,REV!$C:$AA,9,0)-'TRADE IN'!$F340))</f>
        <v>1419</v>
      </c>
      <c r="L340" s="56">
        <f>IF(VLOOKUP($C340,REV!$C:$AA,10,0)-'TRADE IN'!$F340=0,"",(VLOOKUP($C340,REV!$C:$AA,10,0)-'TRADE IN'!$F340))</f>
        <v>1419</v>
      </c>
      <c r="M340" s="56">
        <f>IF(VLOOKUP($C340,REV!$C:$AA,11,0)-'TRADE IN'!$F340=0,"",(VLOOKUP($C340,REV!$C:$AA,11,0)-'TRADE IN'!$F340))</f>
        <v>1419</v>
      </c>
      <c r="N340" s="56">
        <f>IF(VLOOKUP($C340,REV!$C:$AA,12,0)-'TRADE IN'!$F340=0,"",(VLOOKUP($C340,REV!$C:$AA,12,0)-'TRADE IN'!$F340))</f>
        <v>1419</v>
      </c>
      <c r="O340" s="56">
        <f>IF(VLOOKUP($C340,REV!$C:$AA,13,0)-'TRADE IN'!$F340=0,"",(VLOOKUP($C340,REV!$C:$AA,13,0)-'TRADE IN'!$F340))</f>
        <v>1419</v>
      </c>
      <c r="P340" s="56">
        <f>IF(VLOOKUP($C340,REV!$C:$AA,14,0)-'TRADE IN'!$F340=0,"",(VLOOKUP($C340,REV!$C:$AA,14,0)-'TRADE IN'!$F340))</f>
        <v>1419</v>
      </c>
      <c r="Q340" s="56">
        <f>IF(VLOOKUP($C340,REV!$C:$AA,15,0)-'TRADE IN'!$F340=0,"",(VLOOKUP($C340,REV!$C:$AA,15,0)-'TRADE IN'!$F340))</f>
        <v>1419</v>
      </c>
      <c r="R340" s="56">
        <f>IF(VLOOKUP($C340,REV!$C:$AA,16,0)-'TRADE IN'!$F340=0,"",(VLOOKUP($C340,REV!$C:$AA,16,0)-'TRADE IN'!$F340))</f>
        <v>1419</v>
      </c>
      <c r="S340" s="56">
        <f>IF(VLOOKUP($C340,REV!$C:$AA,17,0)-'TRADE IN'!$F340=0,"",(VLOOKUP($C340,REV!$C:$AA,17,0)-'TRADE IN'!$F340))</f>
        <v>1419</v>
      </c>
      <c r="T340" s="56">
        <f>IF(VLOOKUP($C340,REV!$C:$AA,18,0)-'TRADE IN'!$F340=0,"",(VLOOKUP($C340,REV!$C:$AA,18,0)-'TRADE IN'!$F340))</f>
        <v>1419</v>
      </c>
      <c r="U340" s="56">
        <f>IF(VLOOKUP($C340,REV!$C:$AA,19,0)-'TRADE IN'!$F340=0,"",(VLOOKUP($C340,REV!$C:$AA,19,0)-'TRADE IN'!$F340))</f>
        <v>1419</v>
      </c>
      <c r="V340" s="56">
        <f>IF(VLOOKUP($C340,REV!$C:$AA,20,0)-'TRADE IN'!$F340=0,"",(VLOOKUP($C340,REV!$C:$AA,20,0)-'TRADE IN'!$F340))</f>
        <v>1419</v>
      </c>
      <c r="W340" s="56">
        <f>IF(VLOOKUP($C340,REV!$C:$AA,21,0)-'TRADE IN'!$F340=0,"",(VLOOKUP($C340,REV!$C:$AA,21,0)-'TRADE IN'!$F340))</f>
        <v>1419</v>
      </c>
      <c r="X340" s="56">
        <f>IF(VLOOKUP($C340,REV!$C:$AA,22,0)-'TRADE IN'!$F340=0,"",(VLOOKUP($C340,REV!$C:$AA,22,0)-'TRADE IN'!$F340))</f>
        <v>1419</v>
      </c>
      <c r="Y340" s="56">
        <f>IF(VLOOKUP($C340,REV!$C:$AA,23,0)-'TRADE IN'!$F340=0,"",(VLOOKUP($C340,REV!$C:$AA,23,0)-'TRADE IN'!$F340))</f>
        <v>1419</v>
      </c>
      <c r="Z340" s="56">
        <f>IF(VLOOKUP($C340,REV!$C:$AA,24,0)-'TRADE IN'!$F340=0,"",(VLOOKUP($C340,REV!$C:$AA,24,0)-'TRADE IN'!$F340))</f>
        <v>1419</v>
      </c>
      <c r="AA340" s="56">
        <f>IF(VLOOKUP($C340,REV!$C:$AA,25,0)-'TRADE IN'!$F340=0,"",(VLOOKUP($C340,REV!$C:$AA,25,0)-'TRADE IN'!$F340))</f>
        <v>1419</v>
      </c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7"/>
      <c r="AW340" s="58" t="str">
        <f>REV!AW340</f>
        <v>03.11.2026</v>
      </c>
      <c r="AX340" s="147" t="str">
        <f>VLOOKUP(C340,REV!C:AX,48,0)</f>
        <v>5G</v>
      </c>
    </row>
    <row r="341" spans="1:50" ht="22.5" customHeight="1">
      <c r="A341" s="51" t="s">
        <v>63</v>
      </c>
      <c r="B341" s="52" t="s">
        <v>64</v>
      </c>
      <c r="C341" s="53">
        <v>4015449</v>
      </c>
      <c r="D341" s="65" t="s">
        <v>518</v>
      </c>
      <c r="E341" s="65" t="s">
        <v>520</v>
      </c>
      <c r="F341" s="55"/>
      <c r="G341" s="55"/>
      <c r="H341" s="55"/>
      <c r="I341" s="55"/>
      <c r="J341" s="56">
        <f>IF(VLOOKUP($C341,REV!$C:$AA,8,0)-'TRADE IN'!$F341=0,"",(VLOOKUP($C341,REV!$C:$AA,8,0)-'TRADE IN'!$F341))</f>
        <v>1419</v>
      </c>
      <c r="K341" s="56">
        <f>IF(VLOOKUP($C341,REV!$C:$AA,9,0)-'TRADE IN'!$F341=0,"",(VLOOKUP($C341,REV!$C:$AA,9,0)-'TRADE IN'!$F341))</f>
        <v>1419</v>
      </c>
      <c r="L341" s="56">
        <f>IF(VLOOKUP($C341,REV!$C:$AA,10,0)-'TRADE IN'!$F341=0,"",(VLOOKUP($C341,REV!$C:$AA,10,0)-'TRADE IN'!$F341))</f>
        <v>1419</v>
      </c>
      <c r="M341" s="56">
        <f>IF(VLOOKUP($C341,REV!$C:$AA,11,0)-'TRADE IN'!$F341=0,"",(VLOOKUP($C341,REV!$C:$AA,11,0)-'TRADE IN'!$F341))</f>
        <v>1419</v>
      </c>
      <c r="N341" s="56">
        <f>IF(VLOOKUP($C341,REV!$C:$AA,12,0)-'TRADE IN'!$F341=0,"",(VLOOKUP($C341,REV!$C:$AA,12,0)-'TRADE IN'!$F341))</f>
        <v>1419</v>
      </c>
      <c r="O341" s="56">
        <f>IF(VLOOKUP($C341,REV!$C:$AA,13,0)-'TRADE IN'!$F341=0,"",(VLOOKUP($C341,REV!$C:$AA,13,0)-'TRADE IN'!$F341))</f>
        <v>1419</v>
      </c>
      <c r="P341" s="56">
        <f>IF(VLOOKUP($C341,REV!$C:$AA,14,0)-'TRADE IN'!$F341=0,"",(VLOOKUP($C341,REV!$C:$AA,14,0)-'TRADE IN'!$F341))</f>
        <v>1419</v>
      </c>
      <c r="Q341" s="56">
        <f>IF(VLOOKUP($C341,REV!$C:$AA,15,0)-'TRADE IN'!$F341=0,"",(VLOOKUP($C341,REV!$C:$AA,15,0)-'TRADE IN'!$F341))</f>
        <v>1419</v>
      </c>
      <c r="R341" s="56">
        <f>IF(VLOOKUP($C341,REV!$C:$AA,16,0)-'TRADE IN'!$F341=0,"",(VLOOKUP($C341,REV!$C:$AA,16,0)-'TRADE IN'!$F341))</f>
        <v>1419</v>
      </c>
      <c r="S341" s="56">
        <f>IF(VLOOKUP($C341,REV!$C:$AA,17,0)-'TRADE IN'!$F341=0,"",(VLOOKUP($C341,REV!$C:$AA,17,0)-'TRADE IN'!$F341))</f>
        <v>1419</v>
      </c>
      <c r="T341" s="56">
        <f>IF(VLOOKUP($C341,REV!$C:$AA,18,0)-'TRADE IN'!$F341=0,"",(VLOOKUP($C341,REV!$C:$AA,18,0)-'TRADE IN'!$F341))</f>
        <v>1419</v>
      </c>
      <c r="U341" s="56">
        <f>IF(VLOOKUP($C341,REV!$C:$AA,19,0)-'TRADE IN'!$F341=0,"",(VLOOKUP($C341,REV!$C:$AA,19,0)-'TRADE IN'!$F341))</f>
        <v>1419</v>
      </c>
      <c r="V341" s="56">
        <f>IF(VLOOKUP($C341,REV!$C:$AA,20,0)-'TRADE IN'!$F341=0,"",(VLOOKUP($C341,REV!$C:$AA,20,0)-'TRADE IN'!$F341))</f>
        <v>1419</v>
      </c>
      <c r="W341" s="56">
        <f>IF(VLOOKUP($C341,REV!$C:$AA,21,0)-'TRADE IN'!$F341=0,"",(VLOOKUP($C341,REV!$C:$AA,21,0)-'TRADE IN'!$F341))</f>
        <v>1419</v>
      </c>
      <c r="X341" s="56">
        <f>IF(VLOOKUP($C341,REV!$C:$AA,22,0)-'TRADE IN'!$F341=0,"",(VLOOKUP($C341,REV!$C:$AA,22,0)-'TRADE IN'!$F341))</f>
        <v>1419</v>
      </c>
      <c r="Y341" s="56">
        <f>IF(VLOOKUP($C341,REV!$C:$AA,23,0)-'TRADE IN'!$F341=0,"",(VLOOKUP($C341,REV!$C:$AA,23,0)-'TRADE IN'!$F341))</f>
        <v>1419</v>
      </c>
      <c r="Z341" s="56">
        <f>IF(VLOOKUP($C341,REV!$C:$AA,24,0)-'TRADE IN'!$F341=0,"",(VLOOKUP($C341,REV!$C:$AA,24,0)-'TRADE IN'!$F341))</f>
        <v>1419</v>
      </c>
      <c r="AA341" s="56">
        <f>IF(VLOOKUP($C341,REV!$C:$AA,25,0)-'TRADE IN'!$F341=0,"",(VLOOKUP($C341,REV!$C:$AA,25,0)-'TRADE IN'!$F341))</f>
        <v>1419</v>
      </c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7"/>
      <c r="AW341" s="58" t="str">
        <f>REV!AW341</f>
        <v>03.11.2026</v>
      </c>
      <c r="AX341" s="147" t="str">
        <f>VLOOKUP(C341,REV!C:AX,48,0)</f>
        <v>5G</v>
      </c>
    </row>
    <row r="342" spans="1:50" ht="22.5" customHeight="1">
      <c r="A342" s="51" t="s">
        <v>63</v>
      </c>
      <c r="B342" s="52" t="s">
        <v>64</v>
      </c>
      <c r="C342" s="53">
        <v>4015443</v>
      </c>
      <c r="D342" s="65" t="s">
        <v>518</v>
      </c>
      <c r="E342" s="65" t="s">
        <v>521</v>
      </c>
      <c r="F342" s="55"/>
      <c r="G342" s="55"/>
      <c r="H342" s="55"/>
      <c r="I342" s="55"/>
      <c r="J342" s="56">
        <f>IF(VLOOKUP($C342,REV!$C:$AA,8,0)-'TRADE IN'!$F342=0,"",(VLOOKUP($C342,REV!$C:$AA,8,0)-'TRADE IN'!$F342))</f>
        <v>1419</v>
      </c>
      <c r="K342" s="56">
        <f>IF(VLOOKUP($C342,REV!$C:$AA,9,0)-'TRADE IN'!$F342=0,"",(VLOOKUP($C342,REV!$C:$AA,9,0)-'TRADE IN'!$F342))</f>
        <v>1419</v>
      </c>
      <c r="L342" s="56">
        <f>IF(VLOOKUP($C342,REV!$C:$AA,10,0)-'TRADE IN'!$F342=0,"",(VLOOKUP($C342,REV!$C:$AA,10,0)-'TRADE IN'!$F342))</f>
        <v>1419</v>
      </c>
      <c r="M342" s="56">
        <f>IF(VLOOKUP($C342,REV!$C:$AA,11,0)-'TRADE IN'!$F342=0,"",(VLOOKUP($C342,REV!$C:$AA,11,0)-'TRADE IN'!$F342))</f>
        <v>1419</v>
      </c>
      <c r="N342" s="56">
        <f>IF(VLOOKUP($C342,REV!$C:$AA,12,0)-'TRADE IN'!$F342=0,"",(VLOOKUP($C342,REV!$C:$AA,12,0)-'TRADE IN'!$F342))</f>
        <v>1419</v>
      </c>
      <c r="O342" s="56">
        <f>IF(VLOOKUP($C342,REV!$C:$AA,13,0)-'TRADE IN'!$F342=0,"",(VLOOKUP($C342,REV!$C:$AA,13,0)-'TRADE IN'!$F342))</f>
        <v>1419</v>
      </c>
      <c r="P342" s="56">
        <f>IF(VLOOKUP($C342,REV!$C:$AA,14,0)-'TRADE IN'!$F342=0,"",(VLOOKUP($C342,REV!$C:$AA,14,0)-'TRADE IN'!$F342))</f>
        <v>1419</v>
      </c>
      <c r="Q342" s="56">
        <f>IF(VLOOKUP($C342,REV!$C:$AA,15,0)-'TRADE IN'!$F342=0,"",(VLOOKUP($C342,REV!$C:$AA,15,0)-'TRADE IN'!$F342))</f>
        <v>1419</v>
      </c>
      <c r="R342" s="56">
        <f>IF(VLOOKUP($C342,REV!$C:$AA,16,0)-'TRADE IN'!$F342=0,"",(VLOOKUP($C342,REV!$C:$AA,16,0)-'TRADE IN'!$F342))</f>
        <v>1419</v>
      </c>
      <c r="S342" s="56">
        <f>IF(VLOOKUP($C342,REV!$C:$AA,17,0)-'TRADE IN'!$F342=0,"",(VLOOKUP($C342,REV!$C:$AA,17,0)-'TRADE IN'!$F342))</f>
        <v>1419</v>
      </c>
      <c r="T342" s="56">
        <f>IF(VLOOKUP($C342,REV!$C:$AA,18,0)-'TRADE IN'!$F342=0,"",(VLOOKUP($C342,REV!$C:$AA,18,0)-'TRADE IN'!$F342))</f>
        <v>1419</v>
      </c>
      <c r="U342" s="56">
        <f>IF(VLOOKUP($C342,REV!$C:$AA,19,0)-'TRADE IN'!$F342=0,"",(VLOOKUP($C342,REV!$C:$AA,19,0)-'TRADE IN'!$F342))</f>
        <v>1419</v>
      </c>
      <c r="V342" s="56">
        <f>IF(VLOOKUP($C342,REV!$C:$AA,20,0)-'TRADE IN'!$F342=0,"",(VLOOKUP($C342,REV!$C:$AA,20,0)-'TRADE IN'!$F342))</f>
        <v>1419</v>
      </c>
      <c r="W342" s="56">
        <f>IF(VLOOKUP($C342,REV!$C:$AA,21,0)-'TRADE IN'!$F342=0,"",(VLOOKUP($C342,REV!$C:$AA,21,0)-'TRADE IN'!$F342))</f>
        <v>1419</v>
      </c>
      <c r="X342" s="56">
        <f>IF(VLOOKUP($C342,REV!$C:$AA,22,0)-'TRADE IN'!$F342=0,"",(VLOOKUP($C342,REV!$C:$AA,22,0)-'TRADE IN'!$F342))</f>
        <v>1419</v>
      </c>
      <c r="Y342" s="56">
        <f>IF(VLOOKUP($C342,REV!$C:$AA,23,0)-'TRADE IN'!$F342=0,"",(VLOOKUP($C342,REV!$C:$AA,23,0)-'TRADE IN'!$F342))</f>
        <v>1419</v>
      </c>
      <c r="Z342" s="56">
        <f>IF(VLOOKUP($C342,REV!$C:$AA,24,0)-'TRADE IN'!$F342=0,"",(VLOOKUP($C342,REV!$C:$AA,24,0)-'TRADE IN'!$F342))</f>
        <v>1419</v>
      </c>
      <c r="AA342" s="56">
        <f>IF(VLOOKUP($C342,REV!$C:$AA,25,0)-'TRADE IN'!$F342=0,"",(VLOOKUP($C342,REV!$C:$AA,25,0)-'TRADE IN'!$F342))</f>
        <v>1419</v>
      </c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7"/>
      <c r="AW342" s="58" t="str">
        <f>REV!AW342</f>
        <v>03.11.2026</v>
      </c>
      <c r="AX342" s="147" t="str">
        <f>VLOOKUP(C342,REV!C:AX,48,0)</f>
        <v>5G</v>
      </c>
    </row>
    <row r="343" spans="1:50" ht="22.5" customHeight="1">
      <c r="A343" s="51" t="s">
        <v>63</v>
      </c>
      <c r="B343" s="52" t="s">
        <v>64</v>
      </c>
      <c r="C343" s="53">
        <v>4014767</v>
      </c>
      <c r="D343" s="65" t="s">
        <v>522</v>
      </c>
      <c r="E343" s="65" t="s">
        <v>523</v>
      </c>
      <c r="F343" s="55"/>
      <c r="G343" s="55"/>
      <c r="H343" s="55"/>
      <c r="I343" s="55"/>
      <c r="J343" s="56">
        <f>IF(VLOOKUP($C343,REV!$C:$AA,8,0)-'TRADE IN'!$F343=0,"",(VLOOKUP($C343,REV!$C:$AA,8,0)-'TRADE IN'!$F343))</f>
        <v>749</v>
      </c>
      <c r="K343" s="56">
        <f>IF(VLOOKUP($C343,REV!$C:$AA,9,0)-'TRADE IN'!$F343=0,"",(VLOOKUP($C343,REV!$C:$AA,9,0)-'TRADE IN'!$F343))</f>
        <v>749</v>
      </c>
      <c r="L343" s="56">
        <f>IF(VLOOKUP($C343,REV!$C:$AA,10,0)-'TRADE IN'!$F343=0,"",(VLOOKUP($C343,REV!$C:$AA,10,0)-'TRADE IN'!$F343))</f>
        <v>749</v>
      </c>
      <c r="M343" s="56">
        <f>IF(VLOOKUP($C343,REV!$C:$AA,11,0)-'TRADE IN'!$F343=0,"",(VLOOKUP($C343,REV!$C:$AA,11,0)-'TRADE IN'!$F343))</f>
        <v>749</v>
      </c>
      <c r="N343" s="56">
        <f>IF(VLOOKUP($C343,REV!$C:$AA,12,0)-'TRADE IN'!$F343=0,"",(VLOOKUP($C343,REV!$C:$AA,12,0)-'TRADE IN'!$F343))</f>
        <v>749</v>
      </c>
      <c r="O343" s="56">
        <f>IF(VLOOKUP($C343,REV!$C:$AA,13,0)-'TRADE IN'!$F343=0,"",(VLOOKUP($C343,REV!$C:$AA,13,0)-'TRADE IN'!$F343))</f>
        <v>749</v>
      </c>
      <c r="P343" s="56">
        <f>IF(VLOOKUP($C343,REV!$C:$AA,14,0)-'TRADE IN'!$F343=0,"",(VLOOKUP($C343,REV!$C:$AA,14,0)-'TRADE IN'!$F343))</f>
        <v>749</v>
      </c>
      <c r="Q343" s="56">
        <f>IF(VLOOKUP($C343,REV!$C:$AA,15,0)-'TRADE IN'!$F343=0,"",(VLOOKUP($C343,REV!$C:$AA,15,0)-'TRADE IN'!$F343))</f>
        <v>749</v>
      </c>
      <c r="R343" s="56">
        <f>IF(VLOOKUP($C343,REV!$C:$AA,16,0)-'TRADE IN'!$F343=0,"",(VLOOKUP($C343,REV!$C:$AA,16,0)-'TRADE IN'!$F343))</f>
        <v>749</v>
      </c>
      <c r="S343" s="56">
        <f>IF(VLOOKUP($C343,REV!$C:$AA,17,0)-'TRADE IN'!$F343=0,"",(VLOOKUP($C343,REV!$C:$AA,17,0)-'TRADE IN'!$F343))</f>
        <v>749</v>
      </c>
      <c r="T343" s="56">
        <f>IF(VLOOKUP($C343,REV!$C:$AA,18,0)-'TRADE IN'!$F343=0,"",(VLOOKUP($C343,REV!$C:$AA,18,0)-'TRADE IN'!$F343))</f>
        <v>749</v>
      </c>
      <c r="U343" s="56">
        <f>IF(VLOOKUP($C343,REV!$C:$AA,19,0)-'TRADE IN'!$F343=0,"",(VLOOKUP($C343,REV!$C:$AA,19,0)-'TRADE IN'!$F343))</f>
        <v>749</v>
      </c>
      <c r="V343" s="56">
        <f>IF(VLOOKUP($C343,REV!$C:$AA,20,0)-'TRADE IN'!$F343=0,"",(VLOOKUP($C343,REV!$C:$AA,20,0)-'TRADE IN'!$F343))</f>
        <v>749</v>
      </c>
      <c r="W343" s="56">
        <f>IF(VLOOKUP($C343,REV!$C:$AA,21,0)-'TRADE IN'!$F343=0,"",(VLOOKUP($C343,REV!$C:$AA,21,0)-'TRADE IN'!$F343))</f>
        <v>749</v>
      </c>
      <c r="X343" s="56">
        <f>IF(VLOOKUP($C343,REV!$C:$AA,22,0)-'TRADE IN'!$F343=0,"",(VLOOKUP($C343,REV!$C:$AA,22,0)-'TRADE IN'!$F343))</f>
        <v>749</v>
      </c>
      <c r="Y343" s="56">
        <f>IF(VLOOKUP($C343,REV!$C:$AA,23,0)-'TRADE IN'!$F343=0,"",(VLOOKUP($C343,REV!$C:$AA,23,0)-'TRADE IN'!$F343))</f>
        <v>749</v>
      </c>
      <c r="Z343" s="56">
        <f>IF(VLOOKUP($C343,REV!$C:$AA,24,0)-'TRADE IN'!$F343=0,"",(VLOOKUP($C343,REV!$C:$AA,24,0)-'TRADE IN'!$F343))</f>
        <v>749</v>
      </c>
      <c r="AA343" s="56">
        <f>IF(VLOOKUP($C343,REV!$C:$AA,25,0)-'TRADE IN'!$F343=0,"",(VLOOKUP($C343,REV!$C:$AA,25,0)-'TRADE IN'!$F343))</f>
        <v>749</v>
      </c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7"/>
      <c r="AW343" s="58" t="str">
        <f>REV!AW343</f>
        <v>03.11.2026</v>
      </c>
      <c r="AX343" s="147" t="str">
        <f>VLOOKUP(C343,REV!C:AX,48,0)</f>
        <v>5G</v>
      </c>
    </row>
    <row r="344" spans="1:50" ht="22.5" customHeight="1">
      <c r="A344" s="51" t="s">
        <v>63</v>
      </c>
      <c r="B344" s="52" t="s">
        <v>64</v>
      </c>
      <c r="C344" s="53">
        <v>4014758</v>
      </c>
      <c r="D344" s="65" t="s">
        <v>522</v>
      </c>
      <c r="E344" s="65" t="s">
        <v>524</v>
      </c>
      <c r="F344" s="55"/>
      <c r="G344" s="55"/>
      <c r="H344" s="55"/>
      <c r="I344" s="55"/>
      <c r="J344" s="56">
        <f>IF(VLOOKUP($C344,REV!$C:$AA,8,0)-'TRADE IN'!$F344=0,"",(VLOOKUP($C344,REV!$C:$AA,8,0)-'TRADE IN'!$F344))</f>
        <v>749</v>
      </c>
      <c r="K344" s="56">
        <f>IF(VLOOKUP($C344,REV!$C:$AA,9,0)-'TRADE IN'!$F344=0,"",(VLOOKUP($C344,REV!$C:$AA,9,0)-'TRADE IN'!$F344))</f>
        <v>749</v>
      </c>
      <c r="L344" s="56">
        <f>IF(VLOOKUP($C344,REV!$C:$AA,10,0)-'TRADE IN'!$F344=0,"",(VLOOKUP($C344,REV!$C:$AA,10,0)-'TRADE IN'!$F344))</f>
        <v>749</v>
      </c>
      <c r="M344" s="56">
        <f>IF(VLOOKUP($C344,REV!$C:$AA,11,0)-'TRADE IN'!$F344=0,"",(VLOOKUP($C344,REV!$C:$AA,11,0)-'TRADE IN'!$F344))</f>
        <v>749</v>
      </c>
      <c r="N344" s="56">
        <f>IF(VLOOKUP($C344,REV!$C:$AA,12,0)-'TRADE IN'!$F344=0,"",(VLOOKUP($C344,REV!$C:$AA,12,0)-'TRADE IN'!$F344))</f>
        <v>749</v>
      </c>
      <c r="O344" s="56">
        <f>IF(VLOOKUP($C344,REV!$C:$AA,13,0)-'TRADE IN'!$F344=0,"",(VLOOKUP($C344,REV!$C:$AA,13,0)-'TRADE IN'!$F344))</f>
        <v>749</v>
      </c>
      <c r="P344" s="56">
        <f>IF(VLOOKUP($C344,REV!$C:$AA,14,0)-'TRADE IN'!$F344=0,"",(VLOOKUP($C344,REV!$C:$AA,14,0)-'TRADE IN'!$F344))</f>
        <v>749</v>
      </c>
      <c r="Q344" s="56">
        <f>IF(VLOOKUP($C344,REV!$C:$AA,15,0)-'TRADE IN'!$F344=0,"",(VLOOKUP($C344,REV!$C:$AA,15,0)-'TRADE IN'!$F344))</f>
        <v>749</v>
      </c>
      <c r="R344" s="56">
        <f>IF(VLOOKUP($C344,REV!$C:$AA,16,0)-'TRADE IN'!$F344=0,"",(VLOOKUP($C344,REV!$C:$AA,16,0)-'TRADE IN'!$F344))</f>
        <v>749</v>
      </c>
      <c r="S344" s="56">
        <f>IF(VLOOKUP($C344,REV!$C:$AA,17,0)-'TRADE IN'!$F344=0,"",(VLOOKUP($C344,REV!$C:$AA,17,0)-'TRADE IN'!$F344))</f>
        <v>749</v>
      </c>
      <c r="T344" s="56">
        <f>IF(VLOOKUP($C344,REV!$C:$AA,18,0)-'TRADE IN'!$F344=0,"",(VLOOKUP($C344,REV!$C:$AA,18,0)-'TRADE IN'!$F344))</f>
        <v>749</v>
      </c>
      <c r="U344" s="56">
        <f>IF(VLOOKUP($C344,REV!$C:$AA,19,0)-'TRADE IN'!$F344=0,"",(VLOOKUP($C344,REV!$C:$AA,19,0)-'TRADE IN'!$F344))</f>
        <v>749</v>
      </c>
      <c r="V344" s="56">
        <f>IF(VLOOKUP($C344,REV!$C:$AA,20,0)-'TRADE IN'!$F344=0,"",(VLOOKUP($C344,REV!$C:$AA,20,0)-'TRADE IN'!$F344))</f>
        <v>749</v>
      </c>
      <c r="W344" s="56">
        <f>IF(VLOOKUP($C344,REV!$C:$AA,21,0)-'TRADE IN'!$F344=0,"",(VLOOKUP($C344,REV!$C:$AA,21,0)-'TRADE IN'!$F344))</f>
        <v>749</v>
      </c>
      <c r="X344" s="56">
        <f>IF(VLOOKUP($C344,REV!$C:$AA,22,0)-'TRADE IN'!$F344=0,"",(VLOOKUP($C344,REV!$C:$AA,22,0)-'TRADE IN'!$F344))</f>
        <v>749</v>
      </c>
      <c r="Y344" s="56">
        <f>IF(VLOOKUP($C344,REV!$C:$AA,23,0)-'TRADE IN'!$F344=0,"",(VLOOKUP($C344,REV!$C:$AA,23,0)-'TRADE IN'!$F344))</f>
        <v>749</v>
      </c>
      <c r="Z344" s="56">
        <f>IF(VLOOKUP($C344,REV!$C:$AA,24,0)-'TRADE IN'!$F344=0,"",(VLOOKUP($C344,REV!$C:$AA,24,0)-'TRADE IN'!$F344))</f>
        <v>749</v>
      </c>
      <c r="AA344" s="56">
        <f>IF(VLOOKUP($C344,REV!$C:$AA,25,0)-'TRADE IN'!$F344=0,"",(VLOOKUP($C344,REV!$C:$AA,25,0)-'TRADE IN'!$F344))</f>
        <v>749</v>
      </c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7"/>
      <c r="AW344" s="58" t="str">
        <f>REV!AW344</f>
        <v>03.11.2026</v>
      </c>
      <c r="AX344" s="147" t="str">
        <f>VLOOKUP(C344,REV!C:AX,48,0)</f>
        <v>5G</v>
      </c>
    </row>
    <row r="345" spans="1:50" ht="22.5" customHeight="1">
      <c r="A345" s="51" t="s">
        <v>63</v>
      </c>
      <c r="B345" s="52" t="s">
        <v>64</v>
      </c>
      <c r="C345" s="53">
        <v>4014764</v>
      </c>
      <c r="D345" s="65" t="s">
        <v>522</v>
      </c>
      <c r="E345" s="65" t="s">
        <v>525</v>
      </c>
      <c r="F345" s="55"/>
      <c r="G345" s="55"/>
      <c r="H345" s="55"/>
      <c r="I345" s="55"/>
      <c r="J345" s="56">
        <f>IF(VLOOKUP($C345,REV!$C:$AA,8,0)-'TRADE IN'!$F345=0,"",(VLOOKUP($C345,REV!$C:$AA,8,0)-'TRADE IN'!$F345))</f>
        <v>749</v>
      </c>
      <c r="K345" s="56">
        <f>IF(VLOOKUP($C345,REV!$C:$AA,9,0)-'TRADE IN'!$F345=0,"",(VLOOKUP($C345,REV!$C:$AA,9,0)-'TRADE IN'!$F345))</f>
        <v>749</v>
      </c>
      <c r="L345" s="56">
        <f>IF(VLOOKUP($C345,REV!$C:$AA,10,0)-'TRADE IN'!$F345=0,"",(VLOOKUP($C345,REV!$C:$AA,10,0)-'TRADE IN'!$F345))</f>
        <v>749</v>
      </c>
      <c r="M345" s="56">
        <f>IF(VLOOKUP($C345,REV!$C:$AA,11,0)-'TRADE IN'!$F345=0,"",(VLOOKUP($C345,REV!$C:$AA,11,0)-'TRADE IN'!$F345))</f>
        <v>749</v>
      </c>
      <c r="N345" s="56">
        <f>IF(VLOOKUP($C345,REV!$C:$AA,12,0)-'TRADE IN'!$F345=0,"",(VLOOKUP($C345,REV!$C:$AA,12,0)-'TRADE IN'!$F345))</f>
        <v>749</v>
      </c>
      <c r="O345" s="56">
        <f>IF(VLOOKUP($C345,REV!$C:$AA,13,0)-'TRADE IN'!$F345=0,"",(VLOOKUP($C345,REV!$C:$AA,13,0)-'TRADE IN'!$F345))</f>
        <v>749</v>
      </c>
      <c r="P345" s="56">
        <f>IF(VLOOKUP($C345,REV!$C:$AA,14,0)-'TRADE IN'!$F345=0,"",(VLOOKUP($C345,REV!$C:$AA,14,0)-'TRADE IN'!$F345))</f>
        <v>749</v>
      </c>
      <c r="Q345" s="56">
        <f>IF(VLOOKUP($C345,REV!$C:$AA,15,0)-'TRADE IN'!$F345=0,"",(VLOOKUP($C345,REV!$C:$AA,15,0)-'TRADE IN'!$F345))</f>
        <v>749</v>
      </c>
      <c r="R345" s="56">
        <f>IF(VLOOKUP($C345,REV!$C:$AA,16,0)-'TRADE IN'!$F345=0,"",(VLOOKUP($C345,REV!$C:$AA,16,0)-'TRADE IN'!$F345))</f>
        <v>749</v>
      </c>
      <c r="S345" s="56">
        <f>IF(VLOOKUP($C345,REV!$C:$AA,17,0)-'TRADE IN'!$F345=0,"",(VLOOKUP($C345,REV!$C:$AA,17,0)-'TRADE IN'!$F345))</f>
        <v>749</v>
      </c>
      <c r="T345" s="56">
        <f>IF(VLOOKUP($C345,REV!$C:$AA,18,0)-'TRADE IN'!$F345=0,"",(VLOOKUP($C345,REV!$C:$AA,18,0)-'TRADE IN'!$F345))</f>
        <v>749</v>
      </c>
      <c r="U345" s="56">
        <f>IF(VLOOKUP($C345,REV!$C:$AA,19,0)-'TRADE IN'!$F345=0,"",(VLOOKUP($C345,REV!$C:$AA,19,0)-'TRADE IN'!$F345))</f>
        <v>749</v>
      </c>
      <c r="V345" s="56">
        <f>IF(VLOOKUP($C345,REV!$C:$AA,20,0)-'TRADE IN'!$F345=0,"",(VLOOKUP($C345,REV!$C:$AA,20,0)-'TRADE IN'!$F345))</f>
        <v>749</v>
      </c>
      <c r="W345" s="56">
        <f>IF(VLOOKUP($C345,REV!$C:$AA,21,0)-'TRADE IN'!$F345=0,"",(VLOOKUP($C345,REV!$C:$AA,21,0)-'TRADE IN'!$F345))</f>
        <v>749</v>
      </c>
      <c r="X345" s="56">
        <f>IF(VLOOKUP($C345,REV!$C:$AA,22,0)-'TRADE IN'!$F345=0,"",(VLOOKUP($C345,REV!$C:$AA,22,0)-'TRADE IN'!$F345))</f>
        <v>749</v>
      </c>
      <c r="Y345" s="56">
        <f>IF(VLOOKUP($C345,REV!$C:$AA,23,0)-'TRADE IN'!$F345=0,"",(VLOOKUP($C345,REV!$C:$AA,23,0)-'TRADE IN'!$F345))</f>
        <v>749</v>
      </c>
      <c r="Z345" s="56">
        <f>IF(VLOOKUP($C345,REV!$C:$AA,24,0)-'TRADE IN'!$F345=0,"",(VLOOKUP($C345,REV!$C:$AA,24,0)-'TRADE IN'!$F345))</f>
        <v>749</v>
      </c>
      <c r="AA345" s="56">
        <f>IF(VLOOKUP($C345,REV!$C:$AA,25,0)-'TRADE IN'!$F345=0,"",(VLOOKUP($C345,REV!$C:$AA,25,0)-'TRADE IN'!$F345))</f>
        <v>749</v>
      </c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7"/>
      <c r="AW345" s="58" t="str">
        <f>REV!AW345</f>
        <v>03.11.2026</v>
      </c>
      <c r="AX345" s="147" t="str">
        <f>VLOOKUP(C345,REV!C:AX,48,0)</f>
        <v>5G</v>
      </c>
    </row>
    <row r="346" spans="1:50" ht="22.5" customHeight="1">
      <c r="A346" s="51" t="s">
        <v>63</v>
      </c>
      <c r="B346" s="52" t="s">
        <v>64</v>
      </c>
      <c r="C346" s="53">
        <v>4014985</v>
      </c>
      <c r="D346" s="65" t="s">
        <v>522</v>
      </c>
      <c r="E346" s="65" t="s">
        <v>526</v>
      </c>
      <c r="F346" s="55"/>
      <c r="G346" s="55"/>
      <c r="H346" s="55"/>
      <c r="I346" s="55"/>
      <c r="J346" s="56">
        <f>IF(VLOOKUP($C346,REV!$C:$AA,8,0)-'TRADE IN'!$F346=0,"",(VLOOKUP($C346,REV!$C:$AA,8,0)-'TRADE IN'!$F346))</f>
        <v>749</v>
      </c>
      <c r="K346" s="56">
        <f>IF(VLOOKUP($C346,REV!$C:$AA,9,0)-'TRADE IN'!$F346=0,"",(VLOOKUP($C346,REV!$C:$AA,9,0)-'TRADE IN'!$F346))</f>
        <v>749</v>
      </c>
      <c r="L346" s="56">
        <f>IF(VLOOKUP($C346,REV!$C:$AA,10,0)-'TRADE IN'!$F346=0,"",(VLOOKUP($C346,REV!$C:$AA,10,0)-'TRADE IN'!$F346))</f>
        <v>749</v>
      </c>
      <c r="M346" s="56">
        <f>IF(VLOOKUP($C346,REV!$C:$AA,11,0)-'TRADE IN'!$F346=0,"",(VLOOKUP($C346,REV!$C:$AA,11,0)-'TRADE IN'!$F346))</f>
        <v>749</v>
      </c>
      <c r="N346" s="56">
        <f>IF(VLOOKUP($C346,REV!$C:$AA,12,0)-'TRADE IN'!$F346=0,"",(VLOOKUP($C346,REV!$C:$AA,12,0)-'TRADE IN'!$F346))</f>
        <v>749</v>
      </c>
      <c r="O346" s="56">
        <f>IF(VLOOKUP($C346,REV!$C:$AA,13,0)-'TRADE IN'!$F346=0,"",(VLOOKUP($C346,REV!$C:$AA,13,0)-'TRADE IN'!$F346))</f>
        <v>749</v>
      </c>
      <c r="P346" s="56">
        <f>IF(VLOOKUP($C346,REV!$C:$AA,14,0)-'TRADE IN'!$F346=0,"",(VLOOKUP($C346,REV!$C:$AA,14,0)-'TRADE IN'!$F346))</f>
        <v>749</v>
      </c>
      <c r="Q346" s="56">
        <f>IF(VLOOKUP($C346,REV!$C:$AA,15,0)-'TRADE IN'!$F346=0,"",(VLOOKUP($C346,REV!$C:$AA,15,0)-'TRADE IN'!$F346))</f>
        <v>749</v>
      </c>
      <c r="R346" s="56">
        <f>IF(VLOOKUP($C346,REV!$C:$AA,16,0)-'TRADE IN'!$F346=0,"",(VLOOKUP($C346,REV!$C:$AA,16,0)-'TRADE IN'!$F346))</f>
        <v>749</v>
      </c>
      <c r="S346" s="56">
        <f>IF(VLOOKUP($C346,REV!$C:$AA,17,0)-'TRADE IN'!$F346=0,"",(VLOOKUP($C346,REV!$C:$AA,17,0)-'TRADE IN'!$F346))</f>
        <v>749</v>
      </c>
      <c r="T346" s="56">
        <f>IF(VLOOKUP($C346,REV!$C:$AA,18,0)-'TRADE IN'!$F346=0,"",(VLOOKUP($C346,REV!$C:$AA,18,0)-'TRADE IN'!$F346))</f>
        <v>749</v>
      </c>
      <c r="U346" s="56">
        <f>IF(VLOOKUP($C346,REV!$C:$AA,19,0)-'TRADE IN'!$F346=0,"",(VLOOKUP($C346,REV!$C:$AA,19,0)-'TRADE IN'!$F346))</f>
        <v>749</v>
      </c>
      <c r="V346" s="56">
        <f>IF(VLOOKUP($C346,REV!$C:$AA,20,0)-'TRADE IN'!$F346=0,"",(VLOOKUP($C346,REV!$C:$AA,20,0)-'TRADE IN'!$F346))</f>
        <v>749</v>
      </c>
      <c r="W346" s="56">
        <f>IF(VLOOKUP($C346,REV!$C:$AA,21,0)-'TRADE IN'!$F346=0,"",(VLOOKUP($C346,REV!$C:$AA,21,0)-'TRADE IN'!$F346))</f>
        <v>749</v>
      </c>
      <c r="X346" s="56">
        <f>IF(VLOOKUP($C346,REV!$C:$AA,22,0)-'TRADE IN'!$F346=0,"",(VLOOKUP($C346,REV!$C:$AA,22,0)-'TRADE IN'!$F346))</f>
        <v>749</v>
      </c>
      <c r="Y346" s="56">
        <f>IF(VLOOKUP($C346,REV!$C:$AA,23,0)-'TRADE IN'!$F346=0,"",(VLOOKUP($C346,REV!$C:$AA,23,0)-'TRADE IN'!$F346))</f>
        <v>749</v>
      </c>
      <c r="Z346" s="56">
        <f>IF(VLOOKUP($C346,REV!$C:$AA,24,0)-'TRADE IN'!$F346=0,"",(VLOOKUP($C346,REV!$C:$AA,24,0)-'TRADE IN'!$F346))</f>
        <v>749</v>
      </c>
      <c r="AA346" s="56">
        <f>IF(VLOOKUP($C346,REV!$C:$AA,25,0)-'TRADE IN'!$F346=0,"",(VLOOKUP($C346,REV!$C:$AA,25,0)-'TRADE IN'!$F346))</f>
        <v>749</v>
      </c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7"/>
      <c r="AW346" s="58" t="str">
        <f>REV!AW346</f>
        <v>03.11.2026</v>
      </c>
      <c r="AX346" s="147" t="str">
        <f>VLOOKUP(C346,REV!C:AX,48,0)</f>
        <v>5G</v>
      </c>
    </row>
    <row r="347" spans="1:50" ht="22.5" customHeight="1">
      <c r="A347" s="51" t="s">
        <v>63</v>
      </c>
      <c r="B347" s="52" t="s">
        <v>64</v>
      </c>
      <c r="C347" s="53">
        <v>4014742</v>
      </c>
      <c r="D347" s="65" t="s">
        <v>527</v>
      </c>
      <c r="E347" s="65" t="s">
        <v>528</v>
      </c>
      <c r="F347" s="55"/>
      <c r="G347" s="55"/>
      <c r="H347" s="55"/>
      <c r="I347" s="55"/>
      <c r="J347" s="56">
        <f>IF(VLOOKUP($C347,REV!$C:$AA,8,0)-'TRADE IN'!$F347=0,"",(VLOOKUP($C347,REV!$C:$AA,8,0)-'TRADE IN'!$F347))</f>
        <v>799</v>
      </c>
      <c r="K347" s="56">
        <f>IF(VLOOKUP($C347,REV!$C:$AA,9,0)-'TRADE IN'!$F347=0,"",(VLOOKUP($C347,REV!$C:$AA,9,0)-'TRADE IN'!$F347))</f>
        <v>799</v>
      </c>
      <c r="L347" s="56">
        <f>IF(VLOOKUP($C347,REV!$C:$AA,10,0)-'TRADE IN'!$F347=0,"",(VLOOKUP($C347,REV!$C:$AA,10,0)-'TRADE IN'!$F347))</f>
        <v>799</v>
      </c>
      <c r="M347" s="56">
        <f>IF(VLOOKUP($C347,REV!$C:$AA,11,0)-'TRADE IN'!$F347=0,"",(VLOOKUP($C347,REV!$C:$AA,11,0)-'TRADE IN'!$F347))</f>
        <v>799</v>
      </c>
      <c r="N347" s="56">
        <f>IF(VLOOKUP($C347,REV!$C:$AA,12,0)-'TRADE IN'!$F347=0,"",(VLOOKUP($C347,REV!$C:$AA,12,0)-'TRADE IN'!$F347))</f>
        <v>799</v>
      </c>
      <c r="O347" s="56">
        <f>IF(VLOOKUP($C347,REV!$C:$AA,13,0)-'TRADE IN'!$F347=0,"",(VLOOKUP($C347,REV!$C:$AA,13,0)-'TRADE IN'!$F347))</f>
        <v>799</v>
      </c>
      <c r="P347" s="56">
        <f>IF(VLOOKUP($C347,REV!$C:$AA,14,0)-'TRADE IN'!$F347=0,"",(VLOOKUP($C347,REV!$C:$AA,14,0)-'TRADE IN'!$F347))</f>
        <v>799</v>
      </c>
      <c r="Q347" s="56">
        <f>IF(VLOOKUP($C347,REV!$C:$AA,15,0)-'TRADE IN'!$F347=0,"",(VLOOKUP($C347,REV!$C:$AA,15,0)-'TRADE IN'!$F347))</f>
        <v>799</v>
      </c>
      <c r="R347" s="56">
        <f>IF(VLOOKUP($C347,REV!$C:$AA,16,0)-'TRADE IN'!$F347=0,"",(VLOOKUP($C347,REV!$C:$AA,16,0)-'TRADE IN'!$F347))</f>
        <v>799</v>
      </c>
      <c r="S347" s="56">
        <f>IF(VLOOKUP($C347,REV!$C:$AA,17,0)-'TRADE IN'!$F347=0,"",(VLOOKUP($C347,REV!$C:$AA,17,0)-'TRADE IN'!$F347))</f>
        <v>799</v>
      </c>
      <c r="T347" s="56">
        <f>IF(VLOOKUP($C347,REV!$C:$AA,18,0)-'TRADE IN'!$F347=0,"",(VLOOKUP($C347,REV!$C:$AA,18,0)-'TRADE IN'!$F347))</f>
        <v>799</v>
      </c>
      <c r="U347" s="56">
        <f>IF(VLOOKUP($C347,REV!$C:$AA,19,0)-'TRADE IN'!$F347=0,"",(VLOOKUP($C347,REV!$C:$AA,19,0)-'TRADE IN'!$F347))</f>
        <v>799</v>
      </c>
      <c r="V347" s="56">
        <f>IF(VLOOKUP($C347,REV!$C:$AA,20,0)-'TRADE IN'!$F347=0,"",(VLOOKUP($C347,REV!$C:$AA,20,0)-'TRADE IN'!$F347))</f>
        <v>799</v>
      </c>
      <c r="W347" s="56">
        <f>IF(VLOOKUP($C347,REV!$C:$AA,21,0)-'TRADE IN'!$F347=0,"",(VLOOKUP($C347,REV!$C:$AA,21,0)-'TRADE IN'!$F347))</f>
        <v>799</v>
      </c>
      <c r="X347" s="56">
        <f>IF(VLOOKUP($C347,REV!$C:$AA,22,0)-'TRADE IN'!$F347=0,"",(VLOOKUP($C347,REV!$C:$AA,22,0)-'TRADE IN'!$F347))</f>
        <v>799</v>
      </c>
      <c r="Y347" s="56">
        <f>IF(VLOOKUP($C347,REV!$C:$AA,23,0)-'TRADE IN'!$F347=0,"",(VLOOKUP($C347,REV!$C:$AA,23,0)-'TRADE IN'!$F347))</f>
        <v>799</v>
      </c>
      <c r="Z347" s="56">
        <f>IF(VLOOKUP($C347,REV!$C:$AA,24,0)-'TRADE IN'!$F347=0,"",(VLOOKUP($C347,REV!$C:$AA,24,0)-'TRADE IN'!$F347))</f>
        <v>799</v>
      </c>
      <c r="AA347" s="56">
        <f>IF(VLOOKUP($C347,REV!$C:$AA,25,0)-'TRADE IN'!$F347=0,"",(VLOOKUP($C347,REV!$C:$AA,25,0)-'TRADE IN'!$F347))</f>
        <v>799</v>
      </c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7"/>
      <c r="AW347" s="58" t="str">
        <f>REV!AW347</f>
        <v>03.11.2026</v>
      </c>
      <c r="AX347" s="147" t="str">
        <f>VLOOKUP(C347,REV!C:AX,48,0)</f>
        <v>5G</v>
      </c>
    </row>
    <row r="348" spans="1:50" ht="22.5" customHeight="1">
      <c r="A348" s="51" t="s">
        <v>63</v>
      </c>
      <c r="B348" s="52" t="s">
        <v>64</v>
      </c>
      <c r="C348" s="53">
        <v>4014708</v>
      </c>
      <c r="D348" s="65" t="s">
        <v>527</v>
      </c>
      <c r="E348" s="65" t="s">
        <v>529</v>
      </c>
      <c r="F348" s="55"/>
      <c r="G348" s="55"/>
      <c r="H348" s="55"/>
      <c r="I348" s="55"/>
      <c r="J348" s="56">
        <f>IF(VLOOKUP($C348,REV!$C:$AA,8,0)-'TRADE IN'!$F348=0,"",(VLOOKUP($C348,REV!$C:$AA,8,0)-'TRADE IN'!$F348))</f>
        <v>799</v>
      </c>
      <c r="K348" s="56">
        <f>IF(VLOOKUP($C348,REV!$C:$AA,9,0)-'TRADE IN'!$F348=0,"",(VLOOKUP($C348,REV!$C:$AA,9,0)-'TRADE IN'!$F348))</f>
        <v>799</v>
      </c>
      <c r="L348" s="56">
        <f>IF(VLOOKUP($C348,REV!$C:$AA,10,0)-'TRADE IN'!$F348=0,"",(VLOOKUP($C348,REV!$C:$AA,10,0)-'TRADE IN'!$F348))</f>
        <v>799</v>
      </c>
      <c r="M348" s="56">
        <f>IF(VLOOKUP($C348,REV!$C:$AA,11,0)-'TRADE IN'!$F348=0,"",(VLOOKUP($C348,REV!$C:$AA,11,0)-'TRADE IN'!$F348))</f>
        <v>799</v>
      </c>
      <c r="N348" s="56">
        <f>IF(VLOOKUP($C348,REV!$C:$AA,12,0)-'TRADE IN'!$F348=0,"",(VLOOKUP($C348,REV!$C:$AA,12,0)-'TRADE IN'!$F348))</f>
        <v>799</v>
      </c>
      <c r="O348" s="56">
        <f>IF(VLOOKUP($C348,REV!$C:$AA,13,0)-'TRADE IN'!$F348=0,"",(VLOOKUP($C348,REV!$C:$AA,13,0)-'TRADE IN'!$F348))</f>
        <v>799</v>
      </c>
      <c r="P348" s="56">
        <f>IF(VLOOKUP($C348,REV!$C:$AA,14,0)-'TRADE IN'!$F348=0,"",(VLOOKUP($C348,REV!$C:$AA,14,0)-'TRADE IN'!$F348))</f>
        <v>799</v>
      </c>
      <c r="Q348" s="56">
        <f>IF(VLOOKUP($C348,REV!$C:$AA,15,0)-'TRADE IN'!$F348=0,"",(VLOOKUP($C348,REV!$C:$AA,15,0)-'TRADE IN'!$F348))</f>
        <v>799</v>
      </c>
      <c r="R348" s="56">
        <f>IF(VLOOKUP($C348,REV!$C:$AA,16,0)-'TRADE IN'!$F348=0,"",(VLOOKUP($C348,REV!$C:$AA,16,0)-'TRADE IN'!$F348))</f>
        <v>799</v>
      </c>
      <c r="S348" s="56">
        <f>IF(VLOOKUP($C348,REV!$C:$AA,17,0)-'TRADE IN'!$F348=0,"",(VLOOKUP($C348,REV!$C:$AA,17,0)-'TRADE IN'!$F348))</f>
        <v>799</v>
      </c>
      <c r="T348" s="56">
        <f>IF(VLOOKUP($C348,REV!$C:$AA,18,0)-'TRADE IN'!$F348=0,"",(VLOOKUP($C348,REV!$C:$AA,18,0)-'TRADE IN'!$F348))</f>
        <v>799</v>
      </c>
      <c r="U348" s="56">
        <f>IF(VLOOKUP($C348,REV!$C:$AA,19,0)-'TRADE IN'!$F348=0,"",(VLOOKUP($C348,REV!$C:$AA,19,0)-'TRADE IN'!$F348))</f>
        <v>799</v>
      </c>
      <c r="V348" s="56">
        <f>IF(VLOOKUP($C348,REV!$C:$AA,20,0)-'TRADE IN'!$F348=0,"",(VLOOKUP($C348,REV!$C:$AA,20,0)-'TRADE IN'!$F348))</f>
        <v>799</v>
      </c>
      <c r="W348" s="56">
        <f>IF(VLOOKUP($C348,REV!$C:$AA,21,0)-'TRADE IN'!$F348=0,"",(VLOOKUP($C348,REV!$C:$AA,21,0)-'TRADE IN'!$F348))</f>
        <v>799</v>
      </c>
      <c r="X348" s="56">
        <f>IF(VLOOKUP($C348,REV!$C:$AA,22,0)-'TRADE IN'!$F348=0,"",(VLOOKUP($C348,REV!$C:$AA,22,0)-'TRADE IN'!$F348))</f>
        <v>799</v>
      </c>
      <c r="Y348" s="56">
        <f>IF(VLOOKUP($C348,REV!$C:$AA,23,0)-'TRADE IN'!$F348=0,"",(VLOOKUP($C348,REV!$C:$AA,23,0)-'TRADE IN'!$F348))</f>
        <v>799</v>
      </c>
      <c r="Z348" s="56">
        <f>IF(VLOOKUP($C348,REV!$C:$AA,24,0)-'TRADE IN'!$F348=0,"",(VLOOKUP($C348,REV!$C:$AA,24,0)-'TRADE IN'!$F348))</f>
        <v>799</v>
      </c>
      <c r="AA348" s="56">
        <f>IF(VLOOKUP($C348,REV!$C:$AA,25,0)-'TRADE IN'!$F348=0,"",(VLOOKUP($C348,REV!$C:$AA,25,0)-'TRADE IN'!$F348))</f>
        <v>799</v>
      </c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7"/>
      <c r="AW348" s="58" t="str">
        <f>REV!AW348</f>
        <v>03.11.2026</v>
      </c>
      <c r="AX348" s="147" t="str">
        <f>VLOOKUP(C348,REV!C:AX,48,0)</f>
        <v>5G</v>
      </c>
    </row>
    <row r="349" spans="1:50" ht="22.5" customHeight="1">
      <c r="A349" s="51" t="s">
        <v>63</v>
      </c>
      <c r="B349" s="52" t="s">
        <v>64</v>
      </c>
      <c r="C349" s="53">
        <v>4015523</v>
      </c>
      <c r="D349" s="65" t="s">
        <v>527</v>
      </c>
      <c r="E349" s="65" t="s">
        <v>530</v>
      </c>
      <c r="F349" s="55"/>
      <c r="G349" s="55"/>
      <c r="H349" s="55"/>
      <c r="I349" s="55"/>
      <c r="J349" s="56">
        <f>IF(VLOOKUP($C349,REV!$C:$AA,8,0)-'TRADE IN'!$F349=0,"",(VLOOKUP($C349,REV!$C:$AA,8,0)-'TRADE IN'!$F349))</f>
        <v>799</v>
      </c>
      <c r="K349" s="56">
        <f>IF(VLOOKUP($C349,REV!$C:$AA,9,0)-'TRADE IN'!$F349=0,"",(VLOOKUP($C349,REV!$C:$AA,9,0)-'TRADE IN'!$F349))</f>
        <v>799</v>
      </c>
      <c r="L349" s="56">
        <f>IF(VLOOKUP($C349,REV!$C:$AA,10,0)-'TRADE IN'!$F349=0,"",(VLOOKUP($C349,REV!$C:$AA,10,0)-'TRADE IN'!$F349))</f>
        <v>799</v>
      </c>
      <c r="M349" s="56">
        <f>IF(VLOOKUP($C349,REV!$C:$AA,11,0)-'TRADE IN'!$F349=0,"",(VLOOKUP($C349,REV!$C:$AA,11,0)-'TRADE IN'!$F349))</f>
        <v>799</v>
      </c>
      <c r="N349" s="56">
        <f>IF(VLOOKUP($C349,REV!$C:$AA,12,0)-'TRADE IN'!$F349=0,"",(VLOOKUP($C349,REV!$C:$AA,12,0)-'TRADE IN'!$F349))</f>
        <v>799</v>
      </c>
      <c r="O349" s="56">
        <f>IF(VLOOKUP($C349,REV!$C:$AA,13,0)-'TRADE IN'!$F349=0,"",(VLOOKUP($C349,REV!$C:$AA,13,0)-'TRADE IN'!$F349))</f>
        <v>799</v>
      </c>
      <c r="P349" s="56">
        <f>IF(VLOOKUP($C349,REV!$C:$AA,14,0)-'TRADE IN'!$F349=0,"",(VLOOKUP($C349,REV!$C:$AA,14,0)-'TRADE IN'!$F349))</f>
        <v>799</v>
      </c>
      <c r="Q349" s="56">
        <f>IF(VLOOKUP($C349,REV!$C:$AA,15,0)-'TRADE IN'!$F349=0,"",(VLOOKUP($C349,REV!$C:$AA,15,0)-'TRADE IN'!$F349))</f>
        <v>799</v>
      </c>
      <c r="R349" s="56">
        <f>IF(VLOOKUP($C349,REV!$C:$AA,16,0)-'TRADE IN'!$F349=0,"",(VLOOKUP($C349,REV!$C:$AA,16,0)-'TRADE IN'!$F349))</f>
        <v>799</v>
      </c>
      <c r="S349" s="56">
        <f>IF(VLOOKUP($C349,REV!$C:$AA,17,0)-'TRADE IN'!$F349=0,"",(VLOOKUP($C349,REV!$C:$AA,17,0)-'TRADE IN'!$F349))</f>
        <v>799</v>
      </c>
      <c r="T349" s="56">
        <f>IF(VLOOKUP($C349,REV!$C:$AA,18,0)-'TRADE IN'!$F349=0,"",(VLOOKUP($C349,REV!$C:$AA,18,0)-'TRADE IN'!$F349))</f>
        <v>799</v>
      </c>
      <c r="U349" s="56">
        <f>IF(VLOOKUP($C349,REV!$C:$AA,19,0)-'TRADE IN'!$F349=0,"",(VLOOKUP($C349,REV!$C:$AA,19,0)-'TRADE IN'!$F349))</f>
        <v>799</v>
      </c>
      <c r="V349" s="56">
        <f>IF(VLOOKUP($C349,REV!$C:$AA,20,0)-'TRADE IN'!$F349=0,"",(VLOOKUP($C349,REV!$C:$AA,20,0)-'TRADE IN'!$F349))</f>
        <v>799</v>
      </c>
      <c r="W349" s="56">
        <f>IF(VLOOKUP($C349,REV!$C:$AA,21,0)-'TRADE IN'!$F349=0,"",(VLOOKUP($C349,REV!$C:$AA,21,0)-'TRADE IN'!$F349))</f>
        <v>799</v>
      </c>
      <c r="X349" s="56">
        <f>IF(VLOOKUP($C349,REV!$C:$AA,22,0)-'TRADE IN'!$F349=0,"",(VLOOKUP($C349,REV!$C:$AA,22,0)-'TRADE IN'!$F349))</f>
        <v>799</v>
      </c>
      <c r="Y349" s="56">
        <f>IF(VLOOKUP($C349,REV!$C:$AA,23,0)-'TRADE IN'!$F349=0,"",(VLOOKUP($C349,REV!$C:$AA,23,0)-'TRADE IN'!$F349))</f>
        <v>799</v>
      </c>
      <c r="Z349" s="56">
        <f>IF(VLOOKUP($C349,REV!$C:$AA,24,0)-'TRADE IN'!$F349=0,"",(VLOOKUP($C349,REV!$C:$AA,24,0)-'TRADE IN'!$F349))</f>
        <v>799</v>
      </c>
      <c r="AA349" s="56">
        <f>IF(VLOOKUP($C349,REV!$C:$AA,25,0)-'TRADE IN'!$F349=0,"",(VLOOKUP($C349,REV!$C:$AA,25,0)-'TRADE IN'!$F349))</f>
        <v>799</v>
      </c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7"/>
      <c r="AW349" s="58" t="str">
        <f>REV!AW349</f>
        <v>03.11.2026</v>
      </c>
      <c r="AX349" s="147" t="str">
        <f>VLOOKUP(C349,REV!C:AX,48,0)</f>
        <v>5G</v>
      </c>
    </row>
    <row r="350" spans="1:50" ht="22.5" customHeight="1">
      <c r="A350" s="51" t="s">
        <v>63</v>
      </c>
      <c r="B350" s="52" t="s">
        <v>64</v>
      </c>
      <c r="C350" s="53">
        <v>4015520</v>
      </c>
      <c r="D350" s="65" t="s">
        <v>527</v>
      </c>
      <c r="E350" s="65" t="s">
        <v>531</v>
      </c>
      <c r="F350" s="55"/>
      <c r="G350" s="55"/>
      <c r="H350" s="55"/>
      <c r="I350" s="55"/>
      <c r="J350" s="56">
        <f>IF(VLOOKUP($C350,REV!$C:$AA,8,0)-'TRADE IN'!$F350=0,"",(VLOOKUP($C350,REV!$C:$AA,8,0)-'TRADE IN'!$F350))</f>
        <v>799</v>
      </c>
      <c r="K350" s="56">
        <f>IF(VLOOKUP($C350,REV!$C:$AA,9,0)-'TRADE IN'!$F350=0,"",(VLOOKUP($C350,REV!$C:$AA,9,0)-'TRADE IN'!$F350))</f>
        <v>799</v>
      </c>
      <c r="L350" s="56">
        <f>IF(VLOOKUP($C350,REV!$C:$AA,10,0)-'TRADE IN'!$F350=0,"",(VLOOKUP($C350,REV!$C:$AA,10,0)-'TRADE IN'!$F350))</f>
        <v>799</v>
      </c>
      <c r="M350" s="56">
        <f>IF(VLOOKUP($C350,REV!$C:$AA,11,0)-'TRADE IN'!$F350=0,"",(VLOOKUP($C350,REV!$C:$AA,11,0)-'TRADE IN'!$F350))</f>
        <v>799</v>
      </c>
      <c r="N350" s="56">
        <f>IF(VLOOKUP($C350,REV!$C:$AA,12,0)-'TRADE IN'!$F350=0,"",(VLOOKUP($C350,REV!$C:$AA,12,0)-'TRADE IN'!$F350))</f>
        <v>799</v>
      </c>
      <c r="O350" s="56">
        <f>IF(VLOOKUP($C350,REV!$C:$AA,13,0)-'TRADE IN'!$F350=0,"",(VLOOKUP($C350,REV!$C:$AA,13,0)-'TRADE IN'!$F350))</f>
        <v>799</v>
      </c>
      <c r="P350" s="56">
        <f>IF(VLOOKUP($C350,REV!$C:$AA,14,0)-'TRADE IN'!$F350=0,"",(VLOOKUP($C350,REV!$C:$AA,14,0)-'TRADE IN'!$F350))</f>
        <v>799</v>
      </c>
      <c r="Q350" s="56">
        <f>IF(VLOOKUP($C350,REV!$C:$AA,15,0)-'TRADE IN'!$F350=0,"",(VLOOKUP($C350,REV!$C:$AA,15,0)-'TRADE IN'!$F350))</f>
        <v>799</v>
      </c>
      <c r="R350" s="56">
        <f>IF(VLOOKUP($C350,REV!$C:$AA,16,0)-'TRADE IN'!$F350=0,"",(VLOOKUP($C350,REV!$C:$AA,16,0)-'TRADE IN'!$F350))</f>
        <v>799</v>
      </c>
      <c r="S350" s="56">
        <f>IF(VLOOKUP($C350,REV!$C:$AA,17,0)-'TRADE IN'!$F350=0,"",(VLOOKUP($C350,REV!$C:$AA,17,0)-'TRADE IN'!$F350))</f>
        <v>799</v>
      </c>
      <c r="T350" s="56">
        <f>IF(VLOOKUP($C350,REV!$C:$AA,18,0)-'TRADE IN'!$F350=0,"",(VLOOKUP($C350,REV!$C:$AA,18,0)-'TRADE IN'!$F350))</f>
        <v>799</v>
      </c>
      <c r="U350" s="56">
        <f>IF(VLOOKUP($C350,REV!$C:$AA,19,0)-'TRADE IN'!$F350=0,"",(VLOOKUP($C350,REV!$C:$AA,19,0)-'TRADE IN'!$F350))</f>
        <v>799</v>
      </c>
      <c r="V350" s="56">
        <f>IF(VLOOKUP($C350,REV!$C:$AA,20,0)-'TRADE IN'!$F350=0,"",(VLOOKUP($C350,REV!$C:$AA,20,0)-'TRADE IN'!$F350))</f>
        <v>799</v>
      </c>
      <c r="W350" s="56">
        <f>IF(VLOOKUP($C350,REV!$C:$AA,21,0)-'TRADE IN'!$F350=0,"",(VLOOKUP($C350,REV!$C:$AA,21,0)-'TRADE IN'!$F350))</f>
        <v>799</v>
      </c>
      <c r="X350" s="56">
        <f>IF(VLOOKUP($C350,REV!$C:$AA,22,0)-'TRADE IN'!$F350=0,"",(VLOOKUP($C350,REV!$C:$AA,22,0)-'TRADE IN'!$F350))</f>
        <v>799</v>
      </c>
      <c r="Y350" s="56">
        <f>IF(VLOOKUP($C350,REV!$C:$AA,23,0)-'TRADE IN'!$F350=0,"",(VLOOKUP($C350,REV!$C:$AA,23,0)-'TRADE IN'!$F350))</f>
        <v>799</v>
      </c>
      <c r="Z350" s="56">
        <f>IF(VLOOKUP($C350,REV!$C:$AA,24,0)-'TRADE IN'!$F350=0,"",(VLOOKUP($C350,REV!$C:$AA,24,0)-'TRADE IN'!$F350))</f>
        <v>799</v>
      </c>
      <c r="AA350" s="56">
        <f>IF(VLOOKUP($C350,REV!$C:$AA,25,0)-'TRADE IN'!$F350=0,"",(VLOOKUP($C350,REV!$C:$AA,25,0)-'TRADE IN'!$F350))</f>
        <v>799</v>
      </c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7"/>
      <c r="AW350" s="58" t="str">
        <f>REV!AW350</f>
        <v>03.11.2026</v>
      </c>
      <c r="AX350" s="147" t="str">
        <f>VLOOKUP(C350,REV!C:AX,48,0)</f>
        <v>5G</v>
      </c>
    </row>
    <row r="351" spans="1:50" ht="22.5" customHeight="1">
      <c r="A351" s="51" t="s">
        <v>63</v>
      </c>
      <c r="B351" s="52" t="s">
        <v>64</v>
      </c>
      <c r="C351" s="53">
        <v>4014707</v>
      </c>
      <c r="D351" s="65" t="s">
        <v>532</v>
      </c>
      <c r="E351" s="65" t="s">
        <v>533</v>
      </c>
      <c r="F351" s="55"/>
      <c r="G351" s="55"/>
      <c r="H351" s="55"/>
      <c r="I351" s="55"/>
      <c r="J351" s="56">
        <f>IF(VLOOKUP($C351,REV!$C:$AA,8,0)-'TRADE IN'!$F351=0,"",(VLOOKUP($C351,REV!$C:$AA,8,0)-'TRADE IN'!$F351))</f>
        <v>1199</v>
      </c>
      <c r="K351" s="56">
        <f>IF(VLOOKUP($C351,REV!$C:$AA,9,0)-'TRADE IN'!$F351=0,"",(VLOOKUP($C351,REV!$C:$AA,9,0)-'TRADE IN'!$F351))</f>
        <v>1199</v>
      </c>
      <c r="L351" s="56">
        <f>IF(VLOOKUP($C351,REV!$C:$AA,10,0)-'TRADE IN'!$F351=0,"",(VLOOKUP($C351,REV!$C:$AA,10,0)-'TRADE IN'!$F351))</f>
        <v>1199</v>
      </c>
      <c r="M351" s="56">
        <f>IF(VLOOKUP($C351,REV!$C:$AA,11,0)-'TRADE IN'!$F351=0,"",(VLOOKUP($C351,REV!$C:$AA,11,0)-'TRADE IN'!$F351))</f>
        <v>1199</v>
      </c>
      <c r="N351" s="56">
        <f>IF(VLOOKUP($C351,REV!$C:$AA,12,0)-'TRADE IN'!$F351=0,"",(VLOOKUP($C351,REV!$C:$AA,12,0)-'TRADE IN'!$F351))</f>
        <v>1199</v>
      </c>
      <c r="O351" s="56">
        <f>IF(VLOOKUP($C351,REV!$C:$AA,13,0)-'TRADE IN'!$F351=0,"",(VLOOKUP($C351,REV!$C:$AA,13,0)-'TRADE IN'!$F351))</f>
        <v>1199</v>
      </c>
      <c r="P351" s="56">
        <f>IF(VLOOKUP($C351,REV!$C:$AA,14,0)-'TRADE IN'!$F351=0,"",(VLOOKUP($C351,REV!$C:$AA,14,0)-'TRADE IN'!$F351))</f>
        <v>1199</v>
      </c>
      <c r="Q351" s="56">
        <f>IF(VLOOKUP($C351,REV!$C:$AA,15,0)-'TRADE IN'!$F351=0,"",(VLOOKUP($C351,REV!$C:$AA,15,0)-'TRADE IN'!$F351))</f>
        <v>1099</v>
      </c>
      <c r="R351" s="56">
        <f>IF(VLOOKUP($C351,REV!$C:$AA,16,0)-'TRADE IN'!$F351=0,"",(VLOOKUP($C351,REV!$C:$AA,16,0)-'TRADE IN'!$F351))</f>
        <v>1199</v>
      </c>
      <c r="S351" s="56">
        <f>IF(VLOOKUP($C351,REV!$C:$AA,17,0)-'TRADE IN'!$F351=0,"",(VLOOKUP($C351,REV!$C:$AA,17,0)-'TRADE IN'!$F351))</f>
        <v>1199</v>
      </c>
      <c r="T351" s="56">
        <f>IF(VLOOKUP($C351,REV!$C:$AA,18,0)-'TRADE IN'!$F351=0,"",(VLOOKUP($C351,REV!$C:$AA,18,0)-'TRADE IN'!$F351))</f>
        <v>1099</v>
      </c>
      <c r="U351" s="56">
        <f>IF(VLOOKUP($C351,REV!$C:$AA,19,0)-'TRADE IN'!$F351=0,"",(VLOOKUP($C351,REV!$C:$AA,19,0)-'TRADE IN'!$F351))</f>
        <v>1099</v>
      </c>
      <c r="V351" s="56">
        <f>IF(VLOOKUP($C351,REV!$C:$AA,20,0)-'TRADE IN'!$F351=0,"",(VLOOKUP($C351,REV!$C:$AA,20,0)-'TRADE IN'!$F351))</f>
        <v>1099</v>
      </c>
      <c r="W351" s="56">
        <f>IF(VLOOKUP($C351,REV!$C:$AA,21,0)-'TRADE IN'!$F351=0,"",(VLOOKUP($C351,REV!$C:$AA,21,0)-'TRADE IN'!$F351))</f>
        <v>1099</v>
      </c>
      <c r="X351" s="56">
        <f>IF(VLOOKUP($C351,REV!$C:$AA,22,0)-'TRADE IN'!$F351=0,"",(VLOOKUP($C351,REV!$C:$AA,22,0)-'TRADE IN'!$F351))</f>
        <v>1099</v>
      </c>
      <c r="Y351" s="56">
        <f>IF(VLOOKUP($C351,REV!$C:$AA,23,0)-'TRADE IN'!$F351=0,"",(VLOOKUP($C351,REV!$C:$AA,23,0)-'TRADE IN'!$F351))</f>
        <v>1099</v>
      </c>
      <c r="Z351" s="56">
        <f>IF(VLOOKUP($C351,REV!$C:$AA,24,0)-'TRADE IN'!$F351=0,"",(VLOOKUP($C351,REV!$C:$AA,24,0)-'TRADE IN'!$F351))</f>
        <v>1099</v>
      </c>
      <c r="AA351" s="56">
        <f>IF(VLOOKUP($C351,REV!$C:$AA,25,0)-'TRADE IN'!$F351=0,"",(VLOOKUP($C351,REV!$C:$AA,25,0)-'TRADE IN'!$F351))</f>
        <v>1099</v>
      </c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7"/>
      <c r="AW351" s="58" t="str">
        <f>REV!AW351</f>
        <v>03.11.2026</v>
      </c>
      <c r="AX351" s="147" t="str">
        <f>VLOOKUP(C351,REV!C:AX,48,0)</f>
        <v>5G</v>
      </c>
    </row>
    <row r="352" spans="1:50" ht="22.5" customHeight="1">
      <c r="A352" s="51" t="s">
        <v>63</v>
      </c>
      <c r="B352" s="52" t="s">
        <v>64</v>
      </c>
      <c r="C352" s="53">
        <v>4014734</v>
      </c>
      <c r="D352" s="65" t="s">
        <v>532</v>
      </c>
      <c r="E352" s="65" t="s">
        <v>534</v>
      </c>
      <c r="F352" s="55"/>
      <c r="G352" s="55"/>
      <c r="H352" s="55"/>
      <c r="I352" s="55"/>
      <c r="J352" s="56">
        <f>IF(VLOOKUP($C352,REV!$C:$AA,8,0)-'TRADE IN'!$F352=0,"",(VLOOKUP($C352,REV!$C:$AA,8,0)-'TRADE IN'!$F352))</f>
        <v>1199</v>
      </c>
      <c r="K352" s="56">
        <f>IF(VLOOKUP($C352,REV!$C:$AA,9,0)-'TRADE IN'!$F352=0,"",(VLOOKUP($C352,REV!$C:$AA,9,0)-'TRADE IN'!$F352))</f>
        <v>1199</v>
      </c>
      <c r="L352" s="56">
        <f>IF(VLOOKUP($C352,REV!$C:$AA,10,0)-'TRADE IN'!$F352=0,"",(VLOOKUP($C352,REV!$C:$AA,10,0)-'TRADE IN'!$F352))</f>
        <v>1199</v>
      </c>
      <c r="M352" s="56">
        <f>IF(VLOOKUP($C352,REV!$C:$AA,11,0)-'TRADE IN'!$F352=0,"",(VLOOKUP($C352,REV!$C:$AA,11,0)-'TRADE IN'!$F352))</f>
        <v>1199</v>
      </c>
      <c r="N352" s="56">
        <f>IF(VLOOKUP($C352,REV!$C:$AA,12,0)-'TRADE IN'!$F352=0,"",(VLOOKUP($C352,REV!$C:$AA,12,0)-'TRADE IN'!$F352))</f>
        <v>1199</v>
      </c>
      <c r="O352" s="56">
        <f>IF(VLOOKUP($C352,REV!$C:$AA,13,0)-'TRADE IN'!$F352=0,"",(VLOOKUP($C352,REV!$C:$AA,13,0)-'TRADE IN'!$F352))</f>
        <v>1199</v>
      </c>
      <c r="P352" s="56">
        <f>IF(VLOOKUP($C352,REV!$C:$AA,14,0)-'TRADE IN'!$F352=0,"",(VLOOKUP($C352,REV!$C:$AA,14,0)-'TRADE IN'!$F352))</f>
        <v>1199</v>
      </c>
      <c r="Q352" s="56">
        <f>IF(VLOOKUP($C352,REV!$C:$AA,15,0)-'TRADE IN'!$F352=0,"",(VLOOKUP($C352,REV!$C:$AA,15,0)-'TRADE IN'!$F352))</f>
        <v>1099</v>
      </c>
      <c r="R352" s="56">
        <f>IF(VLOOKUP($C352,REV!$C:$AA,16,0)-'TRADE IN'!$F352=0,"",(VLOOKUP($C352,REV!$C:$AA,16,0)-'TRADE IN'!$F352))</f>
        <v>1199</v>
      </c>
      <c r="S352" s="56">
        <f>IF(VLOOKUP($C352,REV!$C:$AA,17,0)-'TRADE IN'!$F352=0,"",(VLOOKUP($C352,REV!$C:$AA,17,0)-'TRADE IN'!$F352))</f>
        <v>1199</v>
      </c>
      <c r="T352" s="56">
        <f>IF(VLOOKUP($C352,REV!$C:$AA,18,0)-'TRADE IN'!$F352=0,"",(VLOOKUP($C352,REV!$C:$AA,18,0)-'TRADE IN'!$F352))</f>
        <v>1099</v>
      </c>
      <c r="U352" s="56">
        <f>IF(VLOOKUP($C352,REV!$C:$AA,19,0)-'TRADE IN'!$F352=0,"",(VLOOKUP($C352,REV!$C:$AA,19,0)-'TRADE IN'!$F352))</f>
        <v>1099</v>
      </c>
      <c r="V352" s="56">
        <f>IF(VLOOKUP($C352,REV!$C:$AA,20,0)-'TRADE IN'!$F352=0,"",(VLOOKUP($C352,REV!$C:$AA,20,0)-'TRADE IN'!$F352))</f>
        <v>1099</v>
      </c>
      <c r="W352" s="56">
        <f>IF(VLOOKUP($C352,REV!$C:$AA,21,0)-'TRADE IN'!$F352=0,"",(VLOOKUP($C352,REV!$C:$AA,21,0)-'TRADE IN'!$F352))</f>
        <v>1099</v>
      </c>
      <c r="X352" s="56">
        <f>IF(VLOOKUP($C352,REV!$C:$AA,22,0)-'TRADE IN'!$F352=0,"",(VLOOKUP($C352,REV!$C:$AA,22,0)-'TRADE IN'!$F352))</f>
        <v>1099</v>
      </c>
      <c r="Y352" s="56">
        <f>IF(VLOOKUP($C352,REV!$C:$AA,23,0)-'TRADE IN'!$F352=0,"",(VLOOKUP($C352,REV!$C:$AA,23,0)-'TRADE IN'!$F352))</f>
        <v>1099</v>
      </c>
      <c r="Z352" s="56">
        <f>IF(VLOOKUP($C352,REV!$C:$AA,24,0)-'TRADE IN'!$F352=0,"",(VLOOKUP($C352,REV!$C:$AA,24,0)-'TRADE IN'!$F352))</f>
        <v>1099</v>
      </c>
      <c r="AA352" s="56">
        <f>IF(VLOOKUP($C352,REV!$C:$AA,25,0)-'TRADE IN'!$F352=0,"",(VLOOKUP($C352,REV!$C:$AA,25,0)-'TRADE IN'!$F352))</f>
        <v>1099</v>
      </c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7"/>
      <c r="AW352" s="58" t="str">
        <f>REV!AW352</f>
        <v>03.11.2026</v>
      </c>
      <c r="AX352" s="147" t="str">
        <f>VLOOKUP(C352,REV!C:AX,48,0)</f>
        <v>5G</v>
      </c>
    </row>
    <row r="353" spans="1:50" ht="22.5" customHeight="1">
      <c r="A353" s="51" t="s">
        <v>63</v>
      </c>
      <c r="B353" s="52" t="s">
        <v>64</v>
      </c>
      <c r="C353" s="53">
        <v>4015319</v>
      </c>
      <c r="D353" s="65" t="s">
        <v>535</v>
      </c>
      <c r="E353" s="65" t="s">
        <v>536</v>
      </c>
      <c r="F353" s="55"/>
      <c r="G353" s="55"/>
      <c r="H353" s="55"/>
      <c r="I353" s="55"/>
      <c r="J353" s="56">
        <f>IF(VLOOKUP($C353,REV!$C:$AA,8,0)-'TRADE IN'!$F353=0,"",(VLOOKUP($C353,REV!$C:$AA,8,0)-'TRADE IN'!$F353))</f>
        <v>2899</v>
      </c>
      <c r="K353" s="56">
        <f>IF(VLOOKUP($C353,REV!$C:$AA,9,0)-'TRADE IN'!$F353=0,"",(VLOOKUP($C353,REV!$C:$AA,9,0)-'TRADE IN'!$F353))</f>
        <v>2799</v>
      </c>
      <c r="L353" s="56">
        <f>IF(VLOOKUP($C353,REV!$C:$AA,10,0)-'TRADE IN'!$F353=0,"",(VLOOKUP($C353,REV!$C:$AA,10,0)-'TRADE IN'!$F353))</f>
        <v>2799</v>
      </c>
      <c r="M353" s="56">
        <f>IF(VLOOKUP($C353,REV!$C:$AA,11,0)-'TRADE IN'!$F353=0,"",(VLOOKUP($C353,REV!$C:$AA,11,0)-'TRADE IN'!$F353))</f>
        <v>2899</v>
      </c>
      <c r="N353" s="56">
        <f>IF(VLOOKUP($C353,REV!$C:$AA,12,0)-'TRADE IN'!$F353=0,"",(VLOOKUP($C353,REV!$C:$AA,12,0)-'TRADE IN'!$F353))</f>
        <v>2899</v>
      </c>
      <c r="O353" s="56">
        <f>IF(VLOOKUP($C353,REV!$C:$AA,13,0)-'TRADE IN'!$F353=0,"",(VLOOKUP($C353,REV!$C:$AA,13,0)-'TRADE IN'!$F353))</f>
        <v>2599</v>
      </c>
      <c r="P353" s="56">
        <f>IF(VLOOKUP($C353,REV!$C:$AA,14,0)-'TRADE IN'!$F353=0,"",(VLOOKUP($C353,REV!$C:$AA,14,0)-'TRADE IN'!$F353))</f>
        <v>2399</v>
      </c>
      <c r="Q353" s="56">
        <f>IF(VLOOKUP($C353,REV!$C:$AA,15,0)-'TRADE IN'!$F353=0,"",(VLOOKUP($C353,REV!$C:$AA,15,0)-'TRADE IN'!$F353))</f>
        <v>1599</v>
      </c>
      <c r="R353" s="56">
        <f>IF(VLOOKUP($C353,REV!$C:$AA,16,0)-'TRADE IN'!$F353=0,"",(VLOOKUP($C353,REV!$C:$AA,16,0)-'TRADE IN'!$F353))</f>
        <v>2599</v>
      </c>
      <c r="S353" s="56">
        <f>IF(VLOOKUP($C353,REV!$C:$AA,17,0)-'TRADE IN'!$F353=0,"",(VLOOKUP($C353,REV!$C:$AA,17,0)-'TRADE IN'!$F353))</f>
        <v>2399</v>
      </c>
      <c r="T353" s="56">
        <f>IF(VLOOKUP($C353,REV!$C:$AA,18,0)-'TRADE IN'!$F353=0,"",(VLOOKUP($C353,REV!$C:$AA,18,0)-'TRADE IN'!$F353))</f>
        <v>1599</v>
      </c>
      <c r="U353" s="56">
        <f>IF(VLOOKUP($C353,REV!$C:$AA,19,0)-'TRADE IN'!$F353=0,"",(VLOOKUP($C353,REV!$C:$AA,19,0)-'TRADE IN'!$F353))</f>
        <v>1599</v>
      </c>
      <c r="V353" s="56">
        <f>IF(VLOOKUP($C353,REV!$C:$AA,20,0)-'TRADE IN'!$F353=0,"",(VLOOKUP($C353,REV!$C:$AA,20,0)-'TRADE IN'!$F353))</f>
        <v>1599</v>
      </c>
      <c r="W353" s="56">
        <f>IF(VLOOKUP($C353,REV!$C:$AA,21,0)-'TRADE IN'!$F353=0,"",(VLOOKUP($C353,REV!$C:$AA,21,0)-'TRADE IN'!$F353))</f>
        <v>1599</v>
      </c>
      <c r="X353" s="56">
        <f>IF(VLOOKUP($C353,REV!$C:$AA,22,0)-'TRADE IN'!$F353=0,"",(VLOOKUP($C353,REV!$C:$AA,22,0)-'TRADE IN'!$F353))</f>
        <v>1499</v>
      </c>
      <c r="Y353" s="56">
        <f>IF(VLOOKUP($C353,REV!$C:$AA,23,0)-'TRADE IN'!$F353=0,"",(VLOOKUP($C353,REV!$C:$AA,23,0)-'TRADE IN'!$F353))</f>
        <v>1299</v>
      </c>
      <c r="Z353" s="56">
        <f>IF(VLOOKUP($C353,REV!$C:$AA,24,0)-'TRADE IN'!$F353=0,"",(VLOOKUP($C353,REV!$C:$AA,24,0)-'TRADE IN'!$F353))</f>
        <v>1299</v>
      </c>
      <c r="AA353" s="56">
        <f>IF(VLOOKUP($C353,REV!$C:$AA,25,0)-'TRADE IN'!$F353=0,"",(VLOOKUP($C353,REV!$C:$AA,25,0)-'TRADE IN'!$F353))</f>
        <v>1299</v>
      </c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7"/>
      <c r="AW353" s="58" t="str">
        <f>REV!AW353</f>
        <v>03.11.2026</v>
      </c>
      <c r="AX353" s="147" t="str">
        <f>VLOOKUP(C353,REV!C:AX,48,0)</f>
        <v>5G</v>
      </c>
    </row>
    <row r="354" spans="1:50" ht="22.5" customHeight="1">
      <c r="A354" s="51" t="s">
        <v>63</v>
      </c>
      <c r="B354" s="52" t="s">
        <v>64</v>
      </c>
      <c r="C354" s="53">
        <v>4015280</v>
      </c>
      <c r="D354" s="65" t="s">
        <v>535</v>
      </c>
      <c r="E354" s="65" t="s">
        <v>537</v>
      </c>
      <c r="F354" s="55"/>
      <c r="G354" s="55"/>
      <c r="H354" s="55"/>
      <c r="I354" s="55"/>
      <c r="J354" s="56">
        <f>IF(VLOOKUP($C354,REV!$C:$AA,8,0)-'TRADE IN'!$F354=0,"",(VLOOKUP($C354,REV!$C:$AA,8,0)-'TRADE IN'!$F354))</f>
        <v>2899</v>
      </c>
      <c r="K354" s="56">
        <f>IF(VLOOKUP($C354,REV!$C:$AA,9,0)-'TRADE IN'!$F354=0,"",(VLOOKUP($C354,REV!$C:$AA,9,0)-'TRADE IN'!$F354))</f>
        <v>2799</v>
      </c>
      <c r="L354" s="56">
        <f>IF(VLOOKUP($C354,REV!$C:$AA,10,0)-'TRADE IN'!$F354=0,"",(VLOOKUP($C354,REV!$C:$AA,10,0)-'TRADE IN'!$F354))</f>
        <v>2799</v>
      </c>
      <c r="M354" s="56">
        <f>IF(VLOOKUP($C354,REV!$C:$AA,11,0)-'TRADE IN'!$F354=0,"",(VLOOKUP($C354,REV!$C:$AA,11,0)-'TRADE IN'!$F354))</f>
        <v>2899</v>
      </c>
      <c r="N354" s="56">
        <f>IF(VLOOKUP($C354,REV!$C:$AA,12,0)-'TRADE IN'!$F354=0,"",(VLOOKUP($C354,REV!$C:$AA,12,0)-'TRADE IN'!$F354))</f>
        <v>2899</v>
      </c>
      <c r="O354" s="56">
        <f>IF(VLOOKUP($C354,REV!$C:$AA,13,0)-'TRADE IN'!$F354=0,"",(VLOOKUP($C354,REV!$C:$AA,13,0)-'TRADE IN'!$F354))</f>
        <v>2599</v>
      </c>
      <c r="P354" s="56">
        <f>IF(VLOOKUP($C354,REV!$C:$AA,14,0)-'TRADE IN'!$F354=0,"",(VLOOKUP($C354,REV!$C:$AA,14,0)-'TRADE IN'!$F354))</f>
        <v>2399</v>
      </c>
      <c r="Q354" s="56">
        <f>IF(VLOOKUP($C354,REV!$C:$AA,15,0)-'TRADE IN'!$F354=0,"",(VLOOKUP($C354,REV!$C:$AA,15,0)-'TRADE IN'!$F354))</f>
        <v>1599</v>
      </c>
      <c r="R354" s="56">
        <f>IF(VLOOKUP($C354,REV!$C:$AA,16,0)-'TRADE IN'!$F354=0,"",(VLOOKUP($C354,REV!$C:$AA,16,0)-'TRADE IN'!$F354))</f>
        <v>2599</v>
      </c>
      <c r="S354" s="56">
        <f>IF(VLOOKUP($C354,REV!$C:$AA,17,0)-'TRADE IN'!$F354=0,"",(VLOOKUP($C354,REV!$C:$AA,17,0)-'TRADE IN'!$F354))</f>
        <v>2399</v>
      </c>
      <c r="T354" s="56">
        <f>IF(VLOOKUP($C354,REV!$C:$AA,18,0)-'TRADE IN'!$F354=0,"",(VLOOKUP($C354,REV!$C:$AA,18,0)-'TRADE IN'!$F354))</f>
        <v>1599</v>
      </c>
      <c r="U354" s="56">
        <f>IF(VLOOKUP($C354,REV!$C:$AA,19,0)-'TRADE IN'!$F354=0,"",(VLOOKUP($C354,REV!$C:$AA,19,0)-'TRADE IN'!$F354))</f>
        <v>1599</v>
      </c>
      <c r="V354" s="56">
        <f>IF(VLOOKUP($C354,REV!$C:$AA,20,0)-'TRADE IN'!$F354=0,"",(VLOOKUP($C354,REV!$C:$AA,20,0)-'TRADE IN'!$F354))</f>
        <v>1599</v>
      </c>
      <c r="W354" s="56">
        <f>IF(VLOOKUP($C354,REV!$C:$AA,21,0)-'TRADE IN'!$F354=0,"",(VLOOKUP($C354,REV!$C:$AA,21,0)-'TRADE IN'!$F354))</f>
        <v>1599</v>
      </c>
      <c r="X354" s="56">
        <f>IF(VLOOKUP($C354,REV!$C:$AA,22,0)-'TRADE IN'!$F354=0,"",(VLOOKUP($C354,REV!$C:$AA,22,0)-'TRADE IN'!$F354))</f>
        <v>1499</v>
      </c>
      <c r="Y354" s="56">
        <f>IF(VLOOKUP($C354,REV!$C:$AA,23,0)-'TRADE IN'!$F354=0,"",(VLOOKUP($C354,REV!$C:$AA,23,0)-'TRADE IN'!$F354))</f>
        <v>1299</v>
      </c>
      <c r="Z354" s="56">
        <f>IF(VLOOKUP($C354,REV!$C:$AA,24,0)-'TRADE IN'!$F354=0,"",(VLOOKUP($C354,REV!$C:$AA,24,0)-'TRADE IN'!$F354))</f>
        <v>1299</v>
      </c>
      <c r="AA354" s="56">
        <f>IF(VLOOKUP($C354,REV!$C:$AA,25,0)-'TRADE IN'!$F354=0,"",(VLOOKUP($C354,REV!$C:$AA,25,0)-'TRADE IN'!$F354))</f>
        <v>1299</v>
      </c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7"/>
      <c r="AW354" s="58" t="str">
        <f>REV!AW354</f>
        <v>03.11.2026</v>
      </c>
      <c r="AX354" s="147" t="str">
        <f>VLOOKUP(C354,REV!C:AX,48,0)</f>
        <v>5G</v>
      </c>
    </row>
    <row r="355" spans="1:50" ht="22.5" customHeight="1">
      <c r="A355" s="51" t="s">
        <v>63</v>
      </c>
      <c r="B355" s="52" t="s">
        <v>64</v>
      </c>
      <c r="C355" s="53">
        <v>4015312</v>
      </c>
      <c r="D355" s="65" t="s">
        <v>535</v>
      </c>
      <c r="E355" s="65" t="s">
        <v>538</v>
      </c>
      <c r="F355" s="55"/>
      <c r="G355" s="55"/>
      <c r="H355" s="55"/>
      <c r="I355" s="55"/>
      <c r="J355" s="56">
        <f>IF(VLOOKUP($C355,REV!$C:$AA,8,0)-'TRADE IN'!$F355=0,"",(VLOOKUP($C355,REV!$C:$AA,8,0)-'TRADE IN'!$F355))</f>
        <v>2899</v>
      </c>
      <c r="K355" s="56">
        <f>IF(VLOOKUP($C355,REV!$C:$AA,9,0)-'TRADE IN'!$F355=0,"",(VLOOKUP($C355,REV!$C:$AA,9,0)-'TRADE IN'!$F355))</f>
        <v>2799</v>
      </c>
      <c r="L355" s="56">
        <f>IF(VLOOKUP($C355,REV!$C:$AA,10,0)-'TRADE IN'!$F355=0,"",(VLOOKUP($C355,REV!$C:$AA,10,0)-'TRADE IN'!$F355))</f>
        <v>2799</v>
      </c>
      <c r="M355" s="56">
        <f>IF(VLOOKUP($C355,REV!$C:$AA,11,0)-'TRADE IN'!$F355=0,"",(VLOOKUP($C355,REV!$C:$AA,11,0)-'TRADE IN'!$F355))</f>
        <v>2899</v>
      </c>
      <c r="N355" s="56">
        <f>IF(VLOOKUP($C355,REV!$C:$AA,12,0)-'TRADE IN'!$F355=0,"",(VLOOKUP($C355,REV!$C:$AA,12,0)-'TRADE IN'!$F355))</f>
        <v>2899</v>
      </c>
      <c r="O355" s="56">
        <f>IF(VLOOKUP($C355,REV!$C:$AA,13,0)-'TRADE IN'!$F355=0,"",(VLOOKUP($C355,REV!$C:$AA,13,0)-'TRADE IN'!$F355))</f>
        <v>2599</v>
      </c>
      <c r="P355" s="56">
        <f>IF(VLOOKUP($C355,REV!$C:$AA,14,0)-'TRADE IN'!$F355=0,"",(VLOOKUP($C355,REV!$C:$AA,14,0)-'TRADE IN'!$F355))</f>
        <v>2399</v>
      </c>
      <c r="Q355" s="56">
        <f>IF(VLOOKUP($C355,REV!$C:$AA,15,0)-'TRADE IN'!$F355=0,"",(VLOOKUP($C355,REV!$C:$AA,15,0)-'TRADE IN'!$F355))</f>
        <v>1599</v>
      </c>
      <c r="R355" s="56">
        <f>IF(VLOOKUP($C355,REV!$C:$AA,16,0)-'TRADE IN'!$F355=0,"",(VLOOKUP($C355,REV!$C:$AA,16,0)-'TRADE IN'!$F355))</f>
        <v>2599</v>
      </c>
      <c r="S355" s="56">
        <f>IF(VLOOKUP($C355,REV!$C:$AA,17,0)-'TRADE IN'!$F355=0,"",(VLOOKUP($C355,REV!$C:$AA,17,0)-'TRADE IN'!$F355))</f>
        <v>2399</v>
      </c>
      <c r="T355" s="56">
        <f>IF(VLOOKUP($C355,REV!$C:$AA,18,0)-'TRADE IN'!$F355=0,"",(VLOOKUP($C355,REV!$C:$AA,18,0)-'TRADE IN'!$F355))</f>
        <v>1599</v>
      </c>
      <c r="U355" s="56">
        <f>IF(VLOOKUP($C355,REV!$C:$AA,19,0)-'TRADE IN'!$F355=0,"",(VLOOKUP($C355,REV!$C:$AA,19,0)-'TRADE IN'!$F355))</f>
        <v>1599</v>
      </c>
      <c r="V355" s="56">
        <f>IF(VLOOKUP($C355,REV!$C:$AA,20,0)-'TRADE IN'!$F355=0,"",(VLOOKUP($C355,REV!$C:$AA,20,0)-'TRADE IN'!$F355))</f>
        <v>1599</v>
      </c>
      <c r="W355" s="56">
        <f>IF(VLOOKUP($C355,REV!$C:$AA,21,0)-'TRADE IN'!$F355=0,"",(VLOOKUP($C355,REV!$C:$AA,21,0)-'TRADE IN'!$F355))</f>
        <v>1599</v>
      </c>
      <c r="X355" s="56">
        <f>IF(VLOOKUP($C355,REV!$C:$AA,22,0)-'TRADE IN'!$F355=0,"",(VLOOKUP($C355,REV!$C:$AA,22,0)-'TRADE IN'!$F355))</f>
        <v>1499</v>
      </c>
      <c r="Y355" s="56">
        <f>IF(VLOOKUP($C355,REV!$C:$AA,23,0)-'TRADE IN'!$F355=0,"",(VLOOKUP($C355,REV!$C:$AA,23,0)-'TRADE IN'!$F355))</f>
        <v>1299</v>
      </c>
      <c r="Z355" s="56">
        <f>IF(VLOOKUP($C355,REV!$C:$AA,24,0)-'TRADE IN'!$F355=0,"",(VLOOKUP($C355,REV!$C:$AA,24,0)-'TRADE IN'!$F355))</f>
        <v>1299</v>
      </c>
      <c r="AA355" s="56">
        <f>IF(VLOOKUP($C355,REV!$C:$AA,25,0)-'TRADE IN'!$F355=0,"",(VLOOKUP($C355,REV!$C:$AA,25,0)-'TRADE IN'!$F355))</f>
        <v>1299</v>
      </c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7"/>
      <c r="AW355" s="58" t="str">
        <f>REV!AW355</f>
        <v>03.11.2026</v>
      </c>
      <c r="AX355" s="147" t="str">
        <f>VLOOKUP(C355,REV!C:AX,48,0)</f>
        <v>5G</v>
      </c>
    </row>
    <row r="356" spans="1:50" ht="22.5" customHeight="1">
      <c r="A356" s="51" t="s">
        <v>63</v>
      </c>
      <c r="B356" s="52" t="s">
        <v>64</v>
      </c>
      <c r="C356" s="53">
        <v>4015327</v>
      </c>
      <c r="D356" s="65" t="s">
        <v>535</v>
      </c>
      <c r="E356" s="65" t="s">
        <v>539</v>
      </c>
      <c r="F356" s="55"/>
      <c r="G356" s="55"/>
      <c r="H356" s="55"/>
      <c r="I356" s="55"/>
      <c r="J356" s="56">
        <f>IF(VLOOKUP($C356,REV!$C:$AA,8,0)-'TRADE IN'!$F356=0,"",(VLOOKUP($C356,REV!$C:$AA,8,0)-'TRADE IN'!$F356))</f>
        <v>2899</v>
      </c>
      <c r="K356" s="56">
        <f>IF(VLOOKUP($C356,REV!$C:$AA,9,0)-'TRADE IN'!$F356=0,"",(VLOOKUP($C356,REV!$C:$AA,9,0)-'TRADE IN'!$F356))</f>
        <v>2799</v>
      </c>
      <c r="L356" s="56">
        <f>IF(VLOOKUP($C356,REV!$C:$AA,10,0)-'TRADE IN'!$F356=0,"",(VLOOKUP($C356,REV!$C:$AA,10,0)-'TRADE IN'!$F356))</f>
        <v>2799</v>
      </c>
      <c r="M356" s="56">
        <f>IF(VLOOKUP($C356,REV!$C:$AA,11,0)-'TRADE IN'!$F356=0,"",(VLOOKUP($C356,REV!$C:$AA,11,0)-'TRADE IN'!$F356))</f>
        <v>2899</v>
      </c>
      <c r="N356" s="56">
        <f>IF(VLOOKUP($C356,REV!$C:$AA,12,0)-'TRADE IN'!$F356=0,"",(VLOOKUP($C356,REV!$C:$AA,12,0)-'TRADE IN'!$F356))</f>
        <v>2899</v>
      </c>
      <c r="O356" s="56">
        <f>IF(VLOOKUP($C356,REV!$C:$AA,13,0)-'TRADE IN'!$F356=0,"",(VLOOKUP($C356,REV!$C:$AA,13,0)-'TRADE IN'!$F356))</f>
        <v>2599</v>
      </c>
      <c r="P356" s="56">
        <f>IF(VLOOKUP($C356,REV!$C:$AA,14,0)-'TRADE IN'!$F356=0,"",(VLOOKUP($C356,REV!$C:$AA,14,0)-'TRADE IN'!$F356))</f>
        <v>2399</v>
      </c>
      <c r="Q356" s="56">
        <f>IF(VLOOKUP($C356,REV!$C:$AA,15,0)-'TRADE IN'!$F356=0,"",(VLOOKUP($C356,REV!$C:$AA,15,0)-'TRADE IN'!$F356))</f>
        <v>1599</v>
      </c>
      <c r="R356" s="56">
        <f>IF(VLOOKUP($C356,REV!$C:$AA,16,0)-'TRADE IN'!$F356=0,"",(VLOOKUP($C356,REV!$C:$AA,16,0)-'TRADE IN'!$F356))</f>
        <v>2599</v>
      </c>
      <c r="S356" s="56">
        <f>IF(VLOOKUP($C356,REV!$C:$AA,17,0)-'TRADE IN'!$F356=0,"",(VLOOKUP($C356,REV!$C:$AA,17,0)-'TRADE IN'!$F356))</f>
        <v>2399</v>
      </c>
      <c r="T356" s="56">
        <f>IF(VLOOKUP($C356,REV!$C:$AA,18,0)-'TRADE IN'!$F356=0,"",(VLOOKUP($C356,REV!$C:$AA,18,0)-'TRADE IN'!$F356))</f>
        <v>1599</v>
      </c>
      <c r="U356" s="56">
        <f>IF(VLOOKUP($C356,REV!$C:$AA,19,0)-'TRADE IN'!$F356=0,"",(VLOOKUP($C356,REV!$C:$AA,19,0)-'TRADE IN'!$F356))</f>
        <v>1599</v>
      </c>
      <c r="V356" s="56">
        <f>IF(VLOOKUP($C356,REV!$C:$AA,20,0)-'TRADE IN'!$F356=0,"",(VLOOKUP($C356,REV!$C:$AA,20,0)-'TRADE IN'!$F356))</f>
        <v>1599</v>
      </c>
      <c r="W356" s="56">
        <f>IF(VLOOKUP($C356,REV!$C:$AA,21,0)-'TRADE IN'!$F356=0,"",(VLOOKUP($C356,REV!$C:$AA,21,0)-'TRADE IN'!$F356))</f>
        <v>1599</v>
      </c>
      <c r="X356" s="56">
        <f>IF(VLOOKUP($C356,REV!$C:$AA,22,0)-'TRADE IN'!$F356=0,"",(VLOOKUP($C356,REV!$C:$AA,22,0)-'TRADE IN'!$F356))</f>
        <v>1499</v>
      </c>
      <c r="Y356" s="56">
        <f>IF(VLOOKUP($C356,REV!$C:$AA,23,0)-'TRADE IN'!$F356=0,"",(VLOOKUP($C356,REV!$C:$AA,23,0)-'TRADE IN'!$F356))</f>
        <v>1299</v>
      </c>
      <c r="Z356" s="56">
        <f>IF(VLOOKUP($C356,REV!$C:$AA,24,0)-'TRADE IN'!$F356=0,"",(VLOOKUP($C356,REV!$C:$AA,24,0)-'TRADE IN'!$F356))</f>
        <v>1299</v>
      </c>
      <c r="AA356" s="56">
        <f>IF(VLOOKUP($C356,REV!$C:$AA,25,0)-'TRADE IN'!$F356=0,"",(VLOOKUP($C356,REV!$C:$AA,25,0)-'TRADE IN'!$F356))</f>
        <v>1299</v>
      </c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7"/>
      <c r="AW356" s="58" t="str">
        <f>REV!AW356</f>
        <v>03.11.2026</v>
      </c>
      <c r="AX356" s="147" t="str">
        <f>VLOOKUP(C356,REV!C:AX,48,0)</f>
        <v>5G</v>
      </c>
    </row>
    <row r="357" spans="1:50" ht="22.5" customHeight="1">
      <c r="A357" s="51" t="s">
        <v>63</v>
      </c>
      <c r="B357" s="52" t="s">
        <v>64</v>
      </c>
      <c r="C357" s="53">
        <v>4015291</v>
      </c>
      <c r="D357" s="65" t="s">
        <v>540</v>
      </c>
      <c r="E357" s="65" t="s">
        <v>541</v>
      </c>
      <c r="F357" s="55"/>
      <c r="G357" s="55"/>
      <c r="H357" s="55"/>
      <c r="I357" s="55"/>
      <c r="J357" s="56">
        <f>IF(VLOOKUP($C357,REV!$C:$AA,8,0)-'TRADE IN'!$F357=0,"",(VLOOKUP($C357,REV!$C:$AA,8,0)-'TRADE IN'!$F357))</f>
        <v>4099</v>
      </c>
      <c r="K357" s="56">
        <f>IF(VLOOKUP($C357,REV!$C:$AA,9,0)-'TRADE IN'!$F357=0,"",(VLOOKUP($C357,REV!$C:$AA,9,0)-'TRADE IN'!$F357))</f>
        <v>3999</v>
      </c>
      <c r="L357" s="56">
        <f>IF(VLOOKUP($C357,REV!$C:$AA,10,0)-'TRADE IN'!$F357=0,"",(VLOOKUP($C357,REV!$C:$AA,10,0)-'TRADE IN'!$F357))</f>
        <v>3999</v>
      </c>
      <c r="M357" s="56">
        <f>IF(VLOOKUP($C357,REV!$C:$AA,11,0)-'TRADE IN'!$F357=0,"",(VLOOKUP($C357,REV!$C:$AA,11,0)-'TRADE IN'!$F357))</f>
        <v>4099</v>
      </c>
      <c r="N357" s="56">
        <f>IF(VLOOKUP($C357,REV!$C:$AA,12,0)-'TRADE IN'!$F357=0,"",(VLOOKUP($C357,REV!$C:$AA,12,0)-'TRADE IN'!$F357))</f>
        <v>4099</v>
      </c>
      <c r="O357" s="56">
        <f>IF(VLOOKUP($C357,REV!$C:$AA,13,0)-'TRADE IN'!$F357=0,"",(VLOOKUP($C357,REV!$C:$AA,13,0)-'TRADE IN'!$F357))</f>
        <v>3899</v>
      </c>
      <c r="P357" s="56">
        <f>IF(VLOOKUP($C357,REV!$C:$AA,14,0)-'TRADE IN'!$F357=0,"",(VLOOKUP($C357,REV!$C:$AA,14,0)-'TRADE IN'!$F357))</f>
        <v>3799</v>
      </c>
      <c r="Q357" s="56">
        <f>IF(VLOOKUP($C357,REV!$C:$AA,15,0)-'TRADE IN'!$F357=0,"",(VLOOKUP($C357,REV!$C:$AA,15,0)-'TRADE IN'!$F357))</f>
        <v>3399</v>
      </c>
      <c r="R357" s="56">
        <f>IF(VLOOKUP($C357,REV!$C:$AA,16,0)-'TRADE IN'!$F357=0,"",(VLOOKUP($C357,REV!$C:$AA,16,0)-'TRADE IN'!$F357))</f>
        <v>3899</v>
      </c>
      <c r="S357" s="56">
        <f>IF(VLOOKUP($C357,REV!$C:$AA,17,0)-'TRADE IN'!$F357=0,"",(VLOOKUP($C357,REV!$C:$AA,17,0)-'TRADE IN'!$F357))</f>
        <v>3799</v>
      </c>
      <c r="T357" s="56">
        <f>IF(VLOOKUP($C357,REV!$C:$AA,18,0)-'TRADE IN'!$F357=0,"",(VLOOKUP($C357,REV!$C:$AA,18,0)-'TRADE IN'!$F357))</f>
        <v>3399</v>
      </c>
      <c r="U357" s="56">
        <f>IF(VLOOKUP($C357,REV!$C:$AA,19,0)-'TRADE IN'!$F357=0,"",(VLOOKUP($C357,REV!$C:$AA,19,0)-'TRADE IN'!$F357))</f>
        <v>3399</v>
      </c>
      <c r="V357" s="56">
        <f>IF(VLOOKUP($C357,REV!$C:$AA,20,0)-'TRADE IN'!$F357=0,"",(VLOOKUP($C357,REV!$C:$AA,20,0)-'TRADE IN'!$F357))</f>
        <v>3399</v>
      </c>
      <c r="W357" s="56">
        <f>IF(VLOOKUP($C357,REV!$C:$AA,21,0)-'TRADE IN'!$F357=0,"",(VLOOKUP($C357,REV!$C:$AA,21,0)-'TRADE IN'!$F357))</f>
        <v>3399</v>
      </c>
      <c r="X357" s="56">
        <f>IF(VLOOKUP($C357,REV!$C:$AA,22,0)-'TRADE IN'!$F357=0,"",(VLOOKUP($C357,REV!$C:$AA,22,0)-'TRADE IN'!$F357))</f>
        <v>3299</v>
      </c>
      <c r="Y357" s="56">
        <f>IF(VLOOKUP($C357,REV!$C:$AA,23,0)-'TRADE IN'!$F357=0,"",(VLOOKUP($C357,REV!$C:$AA,23,0)-'TRADE IN'!$F357))</f>
        <v>2899</v>
      </c>
      <c r="Z357" s="56">
        <f>IF(VLOOKUP($C357,REV!$C:$AA,24,0)-'TRADE IN'!$F357=0,"",(VLOOKUP($C357,REV!$C:$AA,24,0)-'TRADE IN'!$F357))</f>
        <v>2899</v>
      </c>
      <c r="AA357" s="56">
        <f>IF(VLOOKUP($C357,REV!$C:$AA,25,0)-'TRADE IN'!$F357=0,"",(VLOOKUP($C357,REV!$C:$AA,25,0)-'TRADE IN'!$F357))</f>
        <v>2899</v>
      </c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7"/>
      <c r="AW357" s="58" t="str">
        <f>REV!AW357</f>
        <v>03.11.2026</v>
      </c>
      <c r="AX357" s="147" t="str">
        <f>VLOOKUP(C357,REV!C:AX,48,0)</f>
        <v>5G</v>
      </c>
    </row>
    <row r="358" spans="1:50" ht="22.5" customHeight="1">
      <c r="A358" s="51" t="s">
        <v>63</v>
      </c>
      <c r="B358" s="52" t="s">
        <v>64</v>
      </c>
      <c r="C358" s="53">
        <v>4015322</v>
      </c>
      <c r="D358" s="65" t="s">
        <v>540</v>
      </c>
      <c r="E358" s="65" t="s">
        <v>542</v>
      </c>
      <c r="F358" s="55"/>
      <c r="G358" s="55"/>
      <c r="H358" s="55"/>
      <c r="I358" s="55"/>
      <c r="J358" s="56">
        <f>IF(VLOOKUP($C358,REV!$C:$AA,8,0)-'TRADE IN'!$F358=0,"",(VLOOKUP($C358,REV!$C:$AA,8,0)-'TRADE IN'!$F358))</f>
        <v>4099</v>
      </c>
      <c r="K358" s="56">
        <f>IF(VLOOKUP($C358,REV!$C:$AA,9,0)-'TRADE IN'!$F358=0,"",(VLOOKUP($C358,REV!$C:$AA,9,0)-'TRADE IN'!$F358))</f>
        <v>3999</v>
      </c>
      <c r="L358" s="56">
        <f>IF(VLOOKUP($C358,REV!$C:$AA,10,0)-'TRADE IN'!$F358=0,"",(VLOOKUP($C358,REV!$C:$AA,10,0)-'TRADE IN'!$F358))</f>
        <v>3999</v>
      </c>
      <c r="M358" s="56">
        <f>IF(VLOOKUP($C358,REV!$C:$AA,11,0)-'TRADE IN'!$F358=0,"",(VLOOKUP($C358,REV!$C:$AA,11,0)-'TRADE IN'!$F358))</f>
        <v>4099</v>
      </c>
      <c r="N358" s="56">
        <f>IF(VLOOKUP($C358,REV!$C:$AA,12,0)-'TRADE IN'!$F358=0,"",(VLOOKUP($C358,REV!$C:$AA,12,0)-'TRADE IN'!$F358))</f>
        <v>4099</v>
      </c>
      <c r="O358" s="56">
        <f>IF(VLOOKUP($C358,REV!$C:$AA,13,0)-'TRADE IN'!$F358=0,"",(VLOOKUP($C358,REV!$C:$AA,13,0)-'TRADE IN'!$F358))</f>
        <v>3899</v>
      </c>
      <c r="P358" s="56">
        <f>IF(VLOOKUP($C358,REV!$C:$AA,14,0)-'TRADE IN'!$F358=0,"",(VLOOKUP($C358,REV!$C:$AA,14,0)-'TRADE IN'!$F358))</f>
        <v>3799</v>
      </c>
      <c r="Q358" s="56">
        <f>IF(VLOOKUP($C358,REV!$C:$AA,15,0)-'TRADE IN'!$F358=0,"",(VLOOKUP($C358,REV!$C:$AA,15,0)-'TRADE IN'!$F358))</f>
        <v>3399</v>
      </c>
      <c r="R358" s="56">
        <f>IF(VLOOKUP($C358,REV!$C:$AA,16,0)-'TRADE IN'!$F358=0,"",(VLOOKUP($C358,REV!$C:$AA,16,0)-'TRADE IN'!$F358))</f>
        <v>3899</v>
      </c>
      <c r="S358" s="56">
        <f>IF(VLOOKUP($C358,REV!$C:$AA,17,0)-'TRADE IN'!$F358=0,"",(VLOOKUP($C358,REV!$C:$AA,17,0)-'TRADE IN'!$F358))</f>
        <v>3799</v>
      </c>
      <c r="T358" s="56">
        <f>IF(VLOOKUP($C358,REV!$C:$AA,18,0)-'TRADE IN'!$F358=0,"",(VLOOKUP($C358,REV!$C:$AA,18,0)-'TRADE IN'!$F358))</f>
        <v>3399</v>
      </c>
      <c r="U358" s="56">
        <f>IF(VLOOKUP($C358,REV!$C:$AA,19,0)-'TRADE IN'!$F358=0,"",(VLOOKUP($C358,REV!$C:$AA,19,0)-'TRADE IN'!$F358))</f>
        <v>3399</v>
      </c>
      <c r="V358" s="56">
        <f>IF(VLOOKUP($C358,REV!$C:$AA,20,0)-'TRADE IN'!$F358=0,"",(VLOOKUP($C358,REV!$C:$AA,20,0)-'TRADE IN'!$F358))</f>
        <v>3399</v>
      </c>
      <c r="W358" s="56">
        <f>IF(VLOOKUP($C358,REV!$C:$AA,21,0)-'TRADE IN'!$F358=0,"",(VLOOKUP($C358,REV!$C:$AA,21,0)-'TRADE IN'!$F358))</f>
        <v>3399</v>
      </c>
      <c r="X358" s="56">
        <f>IF(VLOOKUP($C358,REV!$C:$AA,22,0)-'TRADE IN'!$F358=0,"",(VLOOKUP($C358,REV!$C:$AA,22,0)-'TRADE IN'!$F358))</f>
        <v>3299</v>
      </c>
      <c r="Y358" s="56">
        <f>IF(VLOOKUP($C358,REV!$C:$AA,23,0)-'TRADE IN'!$F358=0,"",(VLOOKUP($C358,REV!$C:$AA,23,0)-'TRADE IN'!$F358))</f>
        <v>2899</v>
      </c>
      <c r="Z358" s="56">
        <f>IF(VLOOKUP($C358,REV!$C:$AA,24,0)-'TRADE IN'!$F358=0,"",(VLOOKUP($C358,REV!$C:$AA,24,0)-'TRADE IN'!$F358))</f>
        <v>2899</v>
      </c>
      <c r="AA358" s="56">
        <f>IF(VLOOKUP($C358,REV!$C:$AA,25,0)-'TRADE IN'!$F358=0,"",(VLOOKUP($C358,REV!$C:$AA,25,0)-'TRADE IN'!$F358))</f>
        <v>2899</v>
      </c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7"/>
      <c r="AW358" s="58" t="str">
        <f>REV!AW358</f>
        <v>03.11.2026</v>
      </c>
      <c r="AX358" s="147" t="str">
        <f>VLOOKUP(C358,REV!C:AX,48,0)</f>
        <v>5G</v>
      </c>
    </row>
    <row r="359" spans="1:50" ht="22.5" customHeight="1">
      <c r="A359" s="51" t="s">
        <v>63</v>
      </c>
      <c r="B359" s="52" t="s">
        <v>64</v>
      </c>
      <c r="C359" s="53">
        <v>4015282</v>
      </c>
      <c r="D359" s="65" t="s">
        <v>540</v>
      </c>
      <c r="E359" s="65" t="s">
        <v>543</v>
      </c>
      <c r="F359" s="55"/>
      <c r="G359" s="55"/>
      <c r="H359" s="55"/>
      <c r="I359" s="55"/>
      <c r="J359" s="56">
        <f>IF(VLOOKUP($C359,REV!$C:$AA,8,0)-'TRADE IN'!$F359=0,"",(VLOOKUP($C359,REV!$C:$AA,8,0)-'TRADE IN'!$F359))</f>
        <v>4099</v>
      </c>
      <c r="K359" s="56">
        <f>IF(VLOOKUP($C359,REV!$C:$AA,9,0)-'TRADE IN'!$F359=0,"",(VLOOKUP($C359,REV!$C:$AA,9,0)-'TRADE IN'!$F359))</f>
        <v>3999</v>
      </c>
      <c r="L359" s="56">
        <f>IF(VLOOKUP($C359,REV!$C:$AA,10,0)-'TRADE IN'!$F359=0,"",(VLOOKUP($C359,REV!$C:$AA,10,0)-'TRADE IN'!$F359))</f>
        <v>3999</v>
      </c>
      <c r="M359" s="56">
        <f>IF(VLOOKUP($C359,REV!$C:$AA,11,0)-'TRADE IN'!$F359=0,"",(VLOOKUP($C359,REV!$C:$AA,11,0)-'TRADE IN'!$F359))</f>
        <v>4099</v>
      </c>
      <c r="N359" s="56">
        <f>IF(VLOOKUP($C359,REV!$C:$AA,12,0)-'TRADE IN'!$F359=0,"",(VLOOKUP($C359,REV!$C:$AA,12,0)-'TRADE IN'!$F359))</f>
        <v>4099</v>
      </c>
      <c r="O359" s="56">
        <f>IF(VLOOKUP($C359,REV!$C:$AA,13,0)-'TRADE IN'!$F359=0,"",(VLOOKUP($C359,REV!$C:$AA,13,0)-'TRADE IN'!$F359))</f>
        <v>3899</v>
      </c>
      <c r="P359" s="56">
        <f>IF(VLOOKUP($C359,REV!$C:$AA,14,0)-'TRADE IN'!$F359=0,"",(VLOOKUP($C359,REV!$C:$AA,14,0)-'TRADE IN'!$F359))</f>
        <v>3799</v>
      </c>
      <c r="Q359" s="56">
        <f>IF(VLOOKUP($C359,REV!$C:$AA,15,0)-'TRADE IN'!$F359=0,"",(VLOOKUP($C359,REV!$C:$AA,15,0)-'TRADE IN'!$F359))</f>
        <v>3399</v>
      </c>
      <c r="R359" s="56">
        <f>IF(VLOOKUP($C359,REV!$C:$AA,16,0)-'TRADE IN'!$F359=0,"",(VLOOKUP($C359,REV!$C:$AA,16,0)-'TRADE IN'!$F359))</f>
        <v>3899</v>
      </c>
      <c r="S359" s="56">
        <f>IF(VLOOKUP($C359,REV!$C:$AA,17,0)-'TRADE IN'!$F359=0,"",(VLOOKUP($C359,REV!$C:$AA,17,0)-'TRADE IN'!$F359))</f>
        <v>3799</v>
      </c>
      <c r="T359" s="56">
        <f>IF(VLOOKUP($C359,REV!$C:$AA,18,0)-'TRADE IN'!$F359=0,"",(VLOOKUP($C359,REV!$C:$AA,18,0)-'TRADE IN'!$F359))</f>
        <v>3399</v>
      </c>
      <c r="U359" s="56">
        <f>IF(VLOOKUP($C359,REV!$C:$AA,19,0)-'TRADE IN'!$F359=0,"",(VLOOKUP($C359,REV!$C:$AA,19,0)-'TRADE IN'!$F359))</f>
        <v>3399</v>
      </c>
      <c r="V359" s="56">
        <f>IF(VLOOKUP($C359,REV!$C:$AA,20,0)-'TRADE IN'!$F359=0,"",(VLOOKUP($C359,REV!$C:$AA,20,0)-'TRADE IN'!$F359))</f>
        <v>3399</v>
      </c>
      <c r="W359" s="56">
        <f>IF(VLOOKUP($C359,REV!$C:$AA,21,0)-'TRADE IN'!$F359=0,"",(VLOOKUP($C359,REV!$C:$AA,21,0)-'TRADE IN'!$F359))</f>
        <v>3399</v>
      </c>
      <c r="X359" s="56">
        <f>IF(VLOOKUP($C359,REV!$C:$AA,22,0)-'TRADE IN'!$F359=0,"",(VLOOKUP($C359,REV!$C:$AA,22,0)-'TRADE IN'!$F359))</f>
        <v>3299</v>
      </c>
      <c r="Y359" s="56">
        <f>IF(VLOOKUP($C359,REV!$C:$AA,23,0)-'TRADE IN'!$F359=0,"",(VLOOKUP($C359,REV!$C:$AA,23,0)-'TRADE IN'!$F359))</f>
        <v>2899</v>
      </c>
      <c r="Z359" s="56">
        <f>IF(VLOOKUP($C359,REV!$C:$AA,24,0)-'TRADE IN'!$F359=0,"",(VLOOKUP($C359,REV!$C:$AA,24,0)-'TRADE IN'!$F359))</f>
        <v>2899</v>
      </c>
      <c r="AA359" s="56">
        <f>IF(VLOOKUP($C359,REV!$C:$AA,25,0)-'TRADE IN'!$F359=0,"",(VLOOKUP($C359,REV!$C:$AA,25,0)-'TRADE IN'!$F359))</f>
        <v>2899</v>
      </c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7"/>
      <c r="AW359" s="58" t="str">
        <f>REV!AW359</f>
        <v>03.11.2026</v>
      </c>
      <c r="AX359" s="147" t="str">
        <f>VLOOKUP(C359,REV!C:AX,48,0)</f>
        <v>5G</v>
      </c>
    </row>
    <row r="360" spans="1:50" ht="22.5" customHeight="1">
      <c r="A360" s="51" t="s">
        <v>63</v>
      </c>
      <c r="B360" s="52" t="s">
        <v>64</v>
      </c>
      <c r="C360" s="53">
        <v>4015314</v>
      </c>
      <c r="D360" s="65" t="s">
        <v>540</v>
      </c>
      <c r="E360" s="65" t="s">
        <v>544</v>
      </c>
      <c r="F360" s="55"/>
      <c r="G360" s="55"/>
      <c r="H360" s="55"/>
      <c r="I360" s="55"/>
      <c r="J360" s="56">
        <f>IF(VLOOKUP($C360,REV!$C:$AA,8,0)-'TRADE IN'!$F360=0,"",(VLOOKUP($C360,REV!$C:$AA,8,0)-'TRADE IN'!$F360))</f>
        <v>4099</v>
      </c>
      <c r="K360" s="56">
        <f>IF(VLOOKUP($C360,REV!$C:$AA,9,0)-'TRADE IN'!$F360=0,"",(VLOOKUP($C360,REV!$C:$AA,9,0)-'TRADE IN'!$F360))</f>
        <v>3999</v>
      </c>
      <c r="L360" s="56">
        <f>IF(VLOOKUP($C360,REV!$C:$AA,10,0)-'TRADE IN'!$F360=0,"",(VLOOKUP($C360,REV!$C:$AA,10,0)-'TRADE IN'!$F360))</f>
        <v>3999</v>
      </c>
      <c r="M360" s="56">
        <f>IF(VLOOKUP($C360,REV!$C:$AA,11,0)-'TRADE IN'!$F360=0,"",(VLOOKUP($C360,REV!$C:$AA,11,0)-'TRADE IN'!$F360))</f>
        <v>4099</v>
      </c>
      <c r="N360" s="56">
        <f>IF(VLOOKUP($C360,REV!$C:$AA,12,0)-'TRADE IN'!$F360=0,"",(VLOOKUP($C360,REV!$C:$AA,12,0)-'TRADE IN'!$F360))</f>
        <v>4099</v>
      </c>
      <c r="O360" s="56">
        <f>IF(VLOOKUP($C360,REV!$C:$AA,13,0)-'TRADE IN'!$F360=0,"",(VLOOKUP($C360,REV!$C:$AA,13,0)-'TRADE IN'!$F360))</f>
        <v>3899</v>
      </c>
      <c r="P360" s="56">
        <f>IF(VLOOKUP($C360,REV!$C:$AA,14,0)-'TRADE IN'!$F360=0,"",(VLOOKUP($C360,REV!$C:$AA,14,0)-'TRADE IN'!$F360))</f>
        <v>3799</v>
      </c>
      <c r="Q360" s="56">
        <f>IF(VLOOKUP($C360,REV!$C:$AA,15,0)-'TRADE IN'!$F360=0,"",(VLOOKUP($C360,REV!$C:$AA,15,0)-'TRADE IN'!$F360))</f>
        <v>3399</v>
      </c>
      <c r="R360" s="56">
        <f>IF(VLOOKUP($C360,REV!$C:$AA,16,0)-'TRADE IN'!$F360=0,"",(VLOOKUP($C360,REV!$C:$AA,16,0)-'TRADE IN'!$F360))</f>
        <v>3899</v>
      </c>
      <c r="S360" s="56">
        <f>IF(VLOOKUP($C360,REV!$C:$AA,17,0)-'TRADE IN'!$F360=0,"",(VLOOKUP($C360,REV!$C:$AA,17,0)-'TRADE IN'!$F360))</f>
        <v>3799</v>
      </c>
      <c r="T360" s="56">
        <f>IF(VLOOKUP($C360,REV!$C:$AA,18,0)-'TRADE IN'!$F360=0,"",(VLOOKUP($C360,REV!$C:$AA,18,0)-'TRADE IN'!$F360))</f>
        <v>3399</v>
      </c>
      <c r="U360" s="56">
        <f>IF(VLOOKUP($C360,REV!$C:$AA,19,0)-'TRADE IN'!$F360=0,"",(VLOOKUP($C360,REV!$C:$AA,19,0)-'TRADE IN'!$F360))</f>
        <v>3399</v>
      </c>
      <c r="V360" s="56">
        <f>IF(VLOOKUP($C360,REV!$C:$AA,20,0)-'TRADE IN'!$F360=0,"",(VLOOKUP($C360,REV!$C:$AA,20,0)-'TRADE IN'!$F360))</f>
        <v>3399</v>
      </c>
      <c r="W360" s="56">
        <f>IF(VLOOKUP($C360,REV!$C:$AA,21,0)-'TRADE IN'!$F360=0,"",(VLOOKUP($C360,REV!$C:$AA,21,0)-'TRADE IN'!$F360))</f>
        <v>3399</v>
      </c>
      <c r="X360" s="56">
        <f>IF(VLOOKUP($C360,REV!$C:$AA,22,0)-'TRADE IN'!$F360=0,"",(VLOOKUP($C360,REV!$C:$AA,22,0)-'TRADE IN'!$F360))</f>
        <v>3299</v>
      </c>
      <c r="Y360" s="56">
        <f>IF(VLOOKUP($C360,REV!$C:$AA,23,0)-'TRADE IN'!$F360=0,"",(VLOOKUP($C360,REV!$C:$AA,23,0)-'TRADE IN'!$F360))</f>
        <v>2899</v>
      </c>
      <c r="Z360" s="56">
        <f>IF(VLOOKUP($C360,REV!$C:$AA,24,0)-'TRADE IN'!$F360=0,"",(VLOOKUP($C360,REV!$C:$AA,24,0)-'TRADE IN'!$F360))</f>
        <v>2899</v>
      </c>
      <c r="AA360" s="56">
        <f>IF(VLOOKUP($C360,REV!$C:$AA,25,0)-'TRADE IN'!$F360=0,"",(VLOOKUP($C360,REV!$C:$AA,25,0)-'TRADE IN'!$F360))</f>
        <v>2899</v>
      </c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7"/>
      <c r="AW360" s="58" t="str">
        <f>REV!AW360</f>
        <v>03.11.2026</v>
      </c>
      <c r="AX360" s="147" t="str">
        <f>VLOOKUP(C360,REV!C:AX,48,0)</f>
        <v>5G</v>
      </c>
    </row>
    <row r="361" spans="1:50" ht="22.5" customHeight="1">
      <c r="A361" s="51" t="s">
        <v>63</v>
      </c>
      <c r="B361" s="52" t="s">
        <v>64</v>
      </c>
      <c r="C361" s="53">
        <v>4015330</v>
      </c>
      <c r="D361" s="65" t="s">
        <v>540</v>
      </c>
      <c r="E361" s="65" t="s">
        <v>545</v>
      </c>
      <c r="F361" s="55"/>
      <c r="G361" s="55"/>
      <c r="H361" s="55"/>
      <c r="I361" s="55"/>
      <c r="J361" s="56">
        <f>IF(VLOOKUP($C361,REV!$C:$AA,8,0)-'TRADE IN'!$F361=0,"",(VLOOKUP($C361,REV!$C:$AA,8,0)-'TRADE IN'!$F361))</f>
        <v>4099</v>
      </c>
      <c r="K361" s="56">
        <f>IF(VLOOKUP($C361,REV!$C:$AA,9,0)-'TRADE IN'!$F361=0,"",(VLOOKUP($C361,REV!$C:$AA,9,0)-'TRADE IN'!$F361))</f>
        <v>3999</v>
      </c>
      <c r="L361" s="56">
        <f>IF(VLOOKUP($C361,REV!$C:$AA,10,0)-'TRADE IN'!$F361=0,"",(VLOOKUP($C361,REV!$C:$AA,10,0)-'TRADE IN'!$F361))</f>
        <v>3999</v>
      </c>
      <c r="M361" s="56">
        <f>IF(VLOOKUP($C361,REV!$C:$AA,11,0)-'TRADE IN'!$F361=0,"",(VLOOKUP($C361,REV!$C:$AA,11,0)-'TRADE IN'!$F361))</f>
        <v>4099</v>
      </c>
      <c r="N361" s="56">
        <f>IF(VLOOKUP($C361,REV!$C:$AA,12,0)-'TRADE IN'!$F361=0,"",(VLOOKUP($C361,REV!$C:$AA,12,0)-'TRADE IN'!$F361))</f>
        <v>4099</v>
      </c>
      <c r="O361" s="56">
        <f>IF(VLOOKUP($C361,REV!$C:$AA,13,0)-'TRADE IN'!$F361=0,"",(VLOOKUP($C361,REV!$C:$AA,13,0)-'TRADE IN'!$F361))</f>
        <v>3899</v>
      </c>
      <c r="P361" s="56">
        <f>IF(VLOOKUP($C361,REV!$C:$AA,14,0)-'TRADE IN'!$F361=0,"",(VLOOKUP($C361,REV!$C:$AA,14,0)-'TRADE IN'!$F361))</f>
        <v>3799</v>
      </c>
      <c r="Q361" s="56">
        <f>IF(VLOOKUP($C361,REV!$C:$AA,15,0)-'TRADE IN'!$F361=0,"",(VLOOKUP($C361,REV!$C:$AA,15,0)-'TRADE IN'!$F361))</f>
        <v>3399</v>
      </c>
      <c r="R361" s="56">
        <f>IF(VLOOKUP($C361,REV!$C:$AA,16,0)-'TRADE IN'!$F361=0,"",(VLOOKUP($C361,REV!$C:$AA,16,0)-'TRADE IN'!$F361))</f>
        <v>3899</v>
      </c>
      <c r="S361" s="56">
        <f>IF(VLOOKUP($C361,REV!$C:$AA,17,0)-'TRADE IN'!$F361=0,"",(VLOOKUP($C361,REV!$C:$AA,17,0)-'TRADE IN'!$F361))</f>
        <v>3799</v>
      </c>
      <c r="T361" s="56">
        <f>IF(VLOOKUP($C361,REV!$C:$AA,18,0)-'TRADE IN'!$F361=0,"",(VLOOKUP($C361,REV!$C:$AA,18,0)-'TRADE IN'!$F361))</f>
        <v>3399</v>
      </c>
      <c r="U361" s="56">
        <f>IF(VLOOKUP($C361,REV!$C:$AA,19,0)-'TRADE IN'!$F361=0,"",(VLOOKUP($C361,REV!$C:$AA,19,0)-'TRADE IN'!$F361))</f>
        <v>3399</v>
      </c>
      <c r="V361" s="56">
        <f>IF(VLOOKUP($C361,REV!$C:$AA,20,0)-'TRADE IN'!$F361=0,"",(VLOOKUP($C361,REV!$C:$AA,20,0)-'TRADE IN'!$F361))</f>
        <v>3399</v>
      </c>
      <c r="W361" s="56">
        <f>IF(VLOOKUP($C361,REV!$C:$AA,21,0)-'TRADE IN'!$F361=0,"",(VLOOKUP($C361,REV!$C:$AA,21,0)-'TRADE IN'!$F361))</f>
        <v>3399</v>
      </c>
      <c r="X361" s="56">
        <f>IF(VLOOKUP($C361,REV!$C:$AA,22,0)-'TRADE IN'!$F361=0,"",(VLOOKUP($C361,REV!$C:$AA,22,0)-'TRADE IN'!$F361))</f>
        <v>3299</v>
      </c>
      <c r="Y361" s="56">
        <f>IF(VLOOKUP($C361,REV!$C:$AA,23,0)-'TRADE IN'!$F361=0,"",(VLOOKUP($C361,REV!$C:$AA,23,0)-'TRADE IN'!$F361))</f>
        <v>2899</v>
      </c>
      <c r="Z361" s="56">
        <f>IF(VLOOKUP($C361,REV!$C:$AA,24,0)-'TRADE IN'!$F361=0,"",(VLOOKUP($C361,REV!$C:$AA,24,0)-'TRADE IN'!$F361))</f>
        <v>2899</v>
      </c>
      <c r="AA361" s="56">
        <f>IF(VLOOKUP($C361,REV!$C:$AA,25,0)-'TRADE IN'!$F361=0,"",(VLOOKUP($C361,REV!$C:$AA,25,0)-'TRADE IN'!$F361))</f>
        <v>2899</v>
      </c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7"/>
      <c r="AW361" s="58" t="str">
        <f>REV!AW361</f>
        <v>03.11.2026</v>
      </c>
      <c r="AX361" s="147" t="str">
        <f>VLOOKUP(C361,REV!C:AX,48,0)</f>
        <v>5G</v>
      </c>
    </row>
    <row r="362" spans="1:50" ht="22.5" customHeight="1">
      <c r="A362" s="51" t="s">
        <v>63</v>
      </c>
      <c r="B362" s="52" t="s">
        <v>64</v>
      </c>
      <c r="C362" s="53">
        <v>4015290</v>
      </c>
      <c r="D362" s="65" t="s">
        <v>546</v>
      </c>
      <c r="E362" s="65" t="s">
        <v>547</v>
      </c>
      <c r="F362" s="55"/>
      <c r="G362" s="55"/>
      <c r="H362" s="55"/>
      <c r="I362" s="55"/>
      <c r="J362" s="56">
        <f>IF(VLOOKUP($C362,REV!$C:$AA,8,0)-'TRADE IN'!$F362=0,"",(VLOOKUP($C362,REV!$C:$AA,8,0)-'TRADE IN'!$F362))</f>
        <v>4999</v>
      </c>
      <c r="K362" s="56">
        <f>IF(VLOOKUP($C362,REV!$C:$AA,9,0)-'TRADE IN'!$F362=0,"",(VLOOKUP($C362,REV!$C:$AA,9,0)-'TRADE IN'!$F362))</f>
        <v>4899</v>
      </c>
      <c r="L362" s="56">
        <f>IF(VLOOKUP($C362,REV!$C:$AA,10,0)-'TRADE IN'!$F362=0,"",(VLOOKUP($C362,REV!$C:$AA,10,0)-'TRADE IN'!$F362))</f>
        <v>4899</v>
      </c>
      <c r="M362" s="56">
        <f>IF(VLOOKUP($C362,REV!$C:$AA,11,0)-'TRADE IN'!$F362=0,"",(VLOOKUP($C362,REV!$C:$AA,11,0)-'TRADE IN'!$F362))</f>
        <v>4999</v>
      </c>
      <c r="N362" s="56">
        <f>IF(VLOOKUP($C362,REV!$C:$AA,12,0)-'TRADE IN'!$F362=0,"",(VLOOKUP($C362,REV!$C:$AA,12,0)-'TRADE IN'!$F362))</f>
        <v>4999</v>
      </c>
      <c r="O362" s="56">
        <f>IF(VLOOKUP($C362,REV!$C:$AA,13,0)-'TRADE IN'!$F362=0,"",(VLOOKUP($C362,REV!$C:$AA,13,0)-'TRADE IN'!$F362))</f>
        <v>4799</v>
      </c>
      <c r="P362" s="56">
        <f>IF(VLOOKUP($C362,REV!$C:$AA,14,0)-'TRADE IN'!$F362=0,"",(VLOOKUP($C362,REV!$C:$AA,14,0)-'TRADE IN'!$F362))</f>
        <v>4699</v>
      </c>
      <c r="Q362" s="56">
        <f>IF(VLOOKUP($C362,REV!$C:$AA,15,0)-'TRADE IN'!$F362=0,"",(VLOOKUP($C362,REV!$C:$AA,15,0)-'TRADE IN'!$F362))</f>
        <v>3799</v>
      </c>
      <c r="R362" s="56">
        <f>IF(VLOOKUP($C362,REV!$C:$AA,16,0)-'TRADE IN'!$F362=0,"",(VLOOKUP($C362,REV!$C:$AA,16,0)-'TRADE IN'!$F362))</f>
        <v>4799</v>
      </c>
      <c r="S362" s="56">
        <f>IF(VLOOKUP($C362,REV!$C:$AA,17,0)-'TRADE IN'!$F362=0,"",(VLOOKUP($C362,REV!$C:$AA,17,0)-'TRADE IN'!$F362))</f>
        <v>4699</v>
      </c>
      <c r="T362" s="56">
        <f>IF(VLOOKUP($C362,REV!$C:$AA,18,0)-'TRADE IN'!$F362=0,"",(VLOOKUP($C362,REV!$C:$AA,18,0)-'TRADE IN'!$F362))</f>
        <v>3799</v>
      </c>
      <c r="U362" s="56">
        <f>IF(VLOOKUP($C362,REV!$C:$AA,19,0)-'TRADE IN'!$F362=0,"",(VLOOKUP($C362,REV!$C:$AA,19,0)-'TRADE IN'!$F362))</f>
        <v>3799</v>
      </c>
      <c r="V362" s="56">
        <f>IF(VLOOKUP($C362,REV!$C:$AA,20,0)-'TRADE IN'!$F362=0,"",(VLOOKUP($C362,REV!$C:$AA,20,0)-'TRADE IN'!$F362))</f>
        <v>3799</v>
      </c>
      <c r="W362" s="56">
        <f>IF(VLOOKUP($C362,REV!$C:$AA,21,0)-'TRADE IN'!$F362=0,"",(VLOOKUP($C362,REV!$C:$AA,21,0)-'TRADE IN'!$F362))</f>
        <v>3799</v>
      </c>
      <c r="X362" s="56">
        <f>IF(VLOOKUP($C362,REV!$C:$AA,22,0)-'TRADE IN'!$F362=0,"",(VLOOKUP($C362,REV!$C:$AA,22,0)-'TRADE IN'!$F362))</f>
        <v>3699</v>
      </c>
      <c r="Y362" s="56">
        <f>IF(VLOOKUP($C362,REV!$C:$AA,23,0)-'TRADE IN'!$F362=0,"",(VLOOKUP($C362,REV!$C:$AA,23,0)-'TRADE IN'!$F362))</f>
        <v>3499</v>
      </c>
      <c r="Z362" s="56">
        <f>IF(VLOOKUP($C362,REV!$C:$AA,24,0)-'TRADE IN'!$F362=0,"",(VLOOKUP($C362,REV!$C:$AA,24,0)-'TRADE IN'!$F362))</f>
        <v>3499</v>
      </c>
      <c r="AA362" s="56">
        <f>IF(VLOOKUP($C362,REV!$C:$AA,25,0)-'TRADE IN'!$F362=0,"",(VLOOKUP($C362,REV!$C:$AA,25,0)-'TRADE IN'!$F362))</f>
        <v>3499</v>
      </c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7"/>
      <c r="AW362" s="58" t="str">
        <f>REV!AW362</f>
        <v>03.11.2026</v>
      </c>
      <c r="AX362" s="147" t="str">
        <f>VLOOKUP(C362,REV!C:AX,48,0)</f>
        <v>5G</v>
      </c>
    </row>
    <row r="363" spans="1:50" ht="22.5" customHeight="1">
      <c r="A363" s="51" t="s">
        <v>63</v>
      </c>
      <c r="B363" s="52" t="s">
        <v>64</v>
      </c>
      <c r="C363" s="53">
        <v>4015321</v>
      </c>
      <c r="D363" s="65" t="s">
        <v>546</v>
      </c>
      <c r="E363" s="65" t="s">
        <v>548</v>
      </c>
      <c r="F363" s="55"/>
      <c r="G363" s="55"/>
      <c r="H363" s="55"/>
      <c r="I363" s="55"/>
      <c r="J363" s="56">
        <f>IF(VLOOKUP($C363,REV!$C:$AA,8,0)-'TRADE IN'!$F363=0,"",(VLOOKUP($C363,REV!$C:$AA,8,0)-'TRADE IN'!$F363))</f>
        <v>4999</v>
      </c>
      <c r="K363" s="56">
        <f>IF(VLOOKUP($C363,REV!$C:$AA,9,0)-'TRADE IN'!$F363=0,"",(VLOOKUP($C363,REV!$C:$AA,9,0)-'TRADE IN'!$F363))</f>
        <v>4899</v>
      </c>
      <c r="L363" s="56">
        <f>IF(VLOOKUP($C363,REV!$C:$AA,10,0)-'TRADE IN'!$F363=0,"",(VLOOKUP($C363,REV!$C:$AA,10,0)-'TRADE IN'!$F363))</f>
        <v>4899</v>
      </c>
      <c r="M363" s="56">
        <f>IF(VLOOKUP($C363,REV!$C:$AA,11,0)-'TRADE IN'!$F363=0,"",(VLOOKUP($C363,REV!$C:$AA,11,0)-'TRADE IN'!$F363))</f>
        <v>4999</v>
      </c>
      <c r="N363" s="56">
        <f>IF(VLOOKUP($C363,REV!$C:$AA,12,0)-'TRADE IN'!$F363=0,"",(VLOOKUP($C363,REV!$C:$AA,12,0)-'TRADE IN'!$F363))</f>
        <v>4999</v>
      </c>
      <c r="O363" s="56">
        <f>IF(VLOOKUP($C363,REV!$C:$AA,13,0)-'TRADE IN'!$F363=0,"",(VLOOKUP($C363,REV!$C:$AA,13,0)-'TRADE IN'!$F363))</f>
        <v>4799</v>
      </c>
      <c r="P363" s="56">
        <f>IF(VLOOKUP($C363,REV!$C:$AA,14,0)-'TRADE IN'!$F363=0,"",(VLOOKUP($C363,REV!$C:$AA,14,0)-'TRADE IN'!$F363))</f>
        <v>4699</v>
      </c>
      <c r="Q363" s="56">
        <f>IF(VLOOKUP($C363,REV!$C:$AA,15,0)-'TRADE IN'!$F363=0,"",(VLOOKUP($C363,REV!$C:$AA,15,0)-'TRADE IN'!$F363))</f>
        <v>3799</v>
      </c>
      <c r="R363" s="56">
        <f>IF(VLOOKUP($C363,REV!$C:$AA,16,0)-'TRADE IN'!$F363=0,"",(VLOOKUP($C363,REV!$C:$AA,16,0)-'TRADE IN'!$F363))</f>
        <v>4799</v>
      </c>
      <c r="S363" s="56">
        <f>IF(VLOOKUP($C363,REV!$C:$AA,17,0)-'TRADE IN'!$F363=0,"",(VLOOKUP($C363,REV!$C:$AA,17,0)-'TRADE IN'!$F363))</f>
        <v>4699</v>
      </c>
      <c r="T363" s="56">
        <f>IF(VLOOKUP($C363,REV!$C:$AA,18,0)-'TRADE IN'!$F363=0,"",(VLOOKUP($C363,REV!$C:$AA,18,0)-'TRADE IN'!$F363))</f>
        <v>3799</v>
      </c>
      <c r="U363" s="56">
        <f>IF(VLOOKUP($C363,REV!$C:$AA,19,0)-'TRADE IN'!$F363=0,"",(VLOOKUP($C363,REV!$C:$AA,19,0)-'TRADE IN'!$F363))</f>
        <v>3799</v>
      </c>
      <c r="V363" s="56">
        <f>IF(VLOOKUP($C363,REV!$C:$AA,20,0)-'TRADE IN'!$F363=0,"",(VLOOKUP($C363,REV!$C:$AA,20,0)-'TRADE IN'!$F363))</f>
        <v>3799</v>
      </c>
      <c r="W363" s="56">
        <f>IF(VLOOKUP($C363,REV!$C:$AA,21,0)-'TRADE IN'!$F363=0,"",(VLOOKUP($C363,REV!$C:$AA,21,0)-'TRADE IN'!$F363))</f>
        <v>3799</v>
      </c>
      <c r="X363" s="56">
        <f>IF(VLOOKUP($C363,REV!$C:$AA,22,0)-'TRADE IN'!$F363=0,"",(VLOOKUP($C363,REV!$C:$AA,22,0)-'TRADE IN'!$F363))</f>
        <v>3699</v>
      </c>
      <c r="Y363" s="56">
        <f>IF(VLOOKUP($C363,REV!$C:$AA,23,0)-'TRADE IN'!$F363=0,"",(VLOOKUP($C363,REV!$C:$AA,23,0)-'TRADE IN'!$F363))</f>
        <v>3499</v>
      </c>
      <c r="Z363" s="56">
        <f>IF(VLOOKUP($C363,REV!$C:$AA,24,0)-'TRADE IN'!$F363=0,"",(VLOOKUP($C363,REV!$C:$AA,24,0)-'TRADE IN'!$F363))</f>
        <v>3499</v>
      </c>
      <c r="AA363" s="56">
        <f>IF(VLOOKUP($C363,REV!$C:$AA,25,0)-'TRADE IN'!$F363=0,"",(VLOOKUP($C363,REV!$C:$AA,25,0)-'TRADE IN'!$F363))</f>
        <v>3499</v>
      </c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7"/>
      <c r="AW363" s="58" t="str">
        <f>REV!AW363</f>
        <v>03.11.2026</v>
      </c>
      <c r="AX363" s="147" t="str">
        <f>VLOOKUP(C363,REV!C:AX,48,0)</f>
        <v>5G</v>
      </c>
    </row>
    <row r="364" spans="1:50" ht="22.5" customHeight="1">
      <c r="A364" s="51" t="s">
        <v>63</v>
      </c>
      <c r="B364" s="52" t="s">
        <v>64</v>
      </c>
      <c r="C364" s="53">
        <v>4015283</v>
      </c>
      <c r="D364" s="65" t="s">
        <v>546</v>
      </c>
      <c r="E364" s="65" t="s">
        <v>549</v>
      </c>
      <c r="F364" s="55"/>
      <c r="G364" s="55"/>
      <c r="H364" s="55"/>
      <c r="I364" s="55"/>
      <c r="J364" s="56">
        <f>IF(VLOOKUP($C364,REV!$C:$AA,8,0)-'TRADE IN'!$F364=0,"",(VLOOKUP($C364,REV!$C:$AA,8,0)-'TRADE IN'!$F364))</f>
        <v>4999</v>
      </c>
      <c r="K364" s="56">
        <f>IF(VLOOKUP($C364,REV!$C:$AA,9,0)-'TRADE IN'!$F364=0,"",(VLOOKUP($C364,REV!$C:$AA,9,0)-'TRADE IN'!$F364))</f>
        <v>4899</v>
      </c>
      <c r="L364" s="56">
        <f>IF(VLOOKUP($C364,REV!$C:$AA,10,0)-'TRADE IN'!$F364=0,"",(VLOOKUP($C364,REV!$C:$AA,10,0)-'TRADE IN'!$F364))</f>
        <v>4899</v>
      </c>
      <c r="M364" s="56">
        <f>IF(VLOOKUP($C364,REV!$C:$AA,11,0)-'TRADE IN'!$F364=0,"",(VLOOKUP($C364,REV!$C:$AA,11,0)-'TRADE IN'!$F364))</f>
        <v>4999</v>
      </c>
      <c r="N364" s="56">
        <f>IF(VLOOKUP($C364,REV!$C:$AA,12,0)-'TRADE IN'!$F364=0,"",(VLOOKUP($C364,REV!$C:$AA,12,0)-'TRADE IN'!$F364))</f>
        <v>4999</v>
      </c>
      <c r="O364" s="56">
        <f>IF(VLOOKUP($C364,REV!$C:$AA,13,0)-'TRADE IN'!$F364=0,"",(VLOOKUP($C364,REV!$C:$AA,13,0)-'TRADE IN'!$F364))</f>
        <v>4799</v>
      </c>
      <c r="P364" s="56">
        <f>IF(VLOOKUP($C364,REV!$C:$AA,14,0)-'TRADE IN'!$F364=0,"",(VLOOKUP($C364,REV!$C:$AA,14,0)-'TRADE IN'!$F364))</f>
        <v>4699</v>
      </c>
      <c r="Q364" s="56">
        <f>IF(VLOOKUP($C364,REV!$C:$AA,15,0)-'TRADE IN'!$F364=0,"",(VLOOKUP($C364,REV!$C:$AA,15,0)-'TRADE IN'!$F364))</f>
        <v>3799</v>
      </c>
      <c r="R364" s="56">
        <f>IF(VLOOKUP($C364,REV!$C:$AA,16,0)-'TRADE IN'!$F364=0,"",(VLOOKUP($C364,REV!$C:$AA,16,0)-'TRADE IN'!$F364))</f>
        <v>4799</v>
      </c>
      <c r="S364" s="56">
        <f>IF(VLOOKUP($C364,REV!$C:$AA,17,0)-'TRADE IN'!$F364=0,"",(VLOOKUP($C364,REV!$C:$AA,17,0)-'TRADE IN'!$F364))</f>
        <v>4699</v>
      </c>
      <c r="T364" s="56">
        <f>IF(VLOOKUP($C364,REV!$C:$AA,18,0)-'TRADE IN'!$F364=0,"",(VLOOKUP($C364,REV!$C:$AA,18,0)-'TRADE IN'!$F364))</f>
        <v>3799</v>
      </c>
      <c r="U364" s="56">
        <f>IF(VLOOKUP($C364,REV!$C:$AA,19,0)-'TRADE IN'!$F364=0,"",(VLOOKUP($C364,REV!$C:$AA,19,0)-'TRADE IN'!$F364))</f>
        <v>3799</v>
      </c>
      <c r="V364" s="56">
        <f>IF(VLOOKUP($C364,REV!$C:$AA,20,0)-'TRADE IN'!$F364=0,"",(VLOOKUP($C364,REV!$C:$AA,20,0)-'TRADE IN'!$F364))</f>
        <v>3799</v>
      </c>
      <c r="W364" s="56">
        <f>IF(VLOOKUP($C364,REV!$C:$AA,21,0)-'TRADE IN'!$F364=0,"",(VLOOKUP($C364,REV!$C:$AA,21,0)-'TRADE IN'!$F364))</f>
        <v>3799</v>
      </c>
      <c r="X364" s="56">
        <f>IF(VLOOKUP($C364,REV!$C:$AA,22,0)-'TRADE IN'!$F364=0,"",(VLOOKUP($C364,REV!$C:$AA,22,0)-'TRADE IN'!$F364))</f>
        <v>3699</v>
      </c>
      <c r="Y364" s="56">
        <f>IF(VLOOKUP($C364,REV!$C:$AA,23,0)-'TRADE IN'!$F364=0,"",(VLOOKUP($C364,REV!$C:$AA,23,0)-'TRADE IN'!$F364))</f>
        <v>3499</v>
      </c>
      <c r="Z364" s="56">
        <f>IF(VLOOKUP($C364,REV!$C:$AA,24,0)-'TRADE IN'!$F364=0,"",(VLOOKUP($C364,REV!$C:$AA,24,0)-'TRADE IN'!$F364))</f>
        <v>3499</v>
      </c>
      <c r="AA364" s="56">
        <f>IF(VLOOKUP($C364,REV!$C:$AA,25,0)-'TRADE IN'!$F364=0,"",(VLOOKUP($C364,REV!$C:$AA,25,0)-'TRADE IN'!$F364))</f>
        <v>3499</v>
      </c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7"/>
      <c r="AW364" s="58" t="str">
        <f>REV!AW364</f>
        <v>03.11.2026</v>
      </c>
      <c r="AX364" s="147" t="str">
        <f>VLOOKUP(C364,REV!C:AX,48,0)</f>
        <v>5G</v>
      </c>
    </row>
    <row r="365" spans="1:50" ht="22.5" customHeight="1">
      <c r="A365" s="51" t="s">
        <v>63</v>
      </c>
      <c r="B365" s="52" t="s">
        <v>64</v>
      </c>
      <c r="C365" s="53">
        <v>4015313</v>
      </c>
      <c r="D365" s="65" t="s">
        <v>546</v>
      </c>
      <c r="E365" s="65" t="s">
        <v>550</v>
      </c>
      <c r="F365" s="55"/>
      <c r="G365" s="55"/>
      <c r="H365" s="55"/>
      <c r="I365" s="55"/>
      <c r="J365" s="56">
        <f>IF(VLOOKUP($C365,REV!$C:$AA,8,0)-'TRADE IN'!$F365=0,"",(VLOOKUP($C365,REV!$C:$AA,8,0)-'TRADE IN'!$F365))</f>
        <v>4999</v>
      </c>
      <c r="K365" s="56">
        <f>IF(VLOOKUP($C365,REV!$C:$AA,9,0)-'TRADE IN'!$F365=0,"",(VLOOKUP($C365,REV!$C:$AA,9,0)-'TRADE IN'!$F365))</f>
        <v>4899</v>
      </c>
      <c r="L365" s="56">
        <f>IF(VLOOKUP($C365,REV!$C:$AA,10,0)-'TRADE IN'!$F365=0,"",(VLOOKUP($C365,REV!$C:$AA,10,0)-'TRADE IN'!$F365))</f>
        <v>4899</v>
      </c>
      <c r="M365" s="56">
        <f>IF(VLOOKUP($C365,REV!$C:$AA,11,0)-'TRADE IN'!$F365=0,"",(VLOOKUP($C365,REV!$C:$AA,11,0)-'TRADE IN'!$F365))</f>
        <v>4999</v>
      </c>
      <c r="N365" s="56">
        <f>IF(VLOOKUP($C365,REV!$C:$AA,12,0)-'TRADE IN'!$F365=0,"",(VLOOKUP($C365,REV!$C:$AA,12,0)-'TRADE IN'!$F365))</f>
        <v>4999</v>
      </c>
      <c r="O365" s="56">
        <f>IF(VLOOKUP($C365,REV!$C:$AA,13,0)-'TRADE IN'!$F365=0,"",(VLOOKUP($C365,REV!$C:$AA,13,0)-'TRADE IN'!$F365))</f>
        <v>4799</v>
      </c>
      <c r="P365" s="56">
        <f>IF(VLOOKUP($C365,REV!$C:$AA,14,0)-'TRADE IN'!$F365=0,"",(VLOOKUP($C365,REV!$C:$AA,14,0)-'TRADE IN'!$F365))</f>
        <v>4699</v>
      </c>
      <c r="Q365" s="56">
        <f>IF(VLOOKUP($C365,REV!$C:$AA,15,0)-'TRADE IN'!$F365=0,"",(VLOOKUP($C365,REV!$C:$AA,15,0)-'TRADE IN'!$F365))</f>
        <v>3799</v>
      </c>
      <c r="R365" s="56">
        <f>IF(VLOOKUP($C365,REV!$C:$AA,16,0)-'TRADE IN'!$F365=0,"",(VLOOKUP($C365,REV!$C:$AA,16,0)-'TRADE IN'!$F365))</f>
        <v>4799</v>
      </c>
      <c r="S365" s="56">
        <f>IF(VLOOKUP($C365,REV!$C:$AA,17,0)-'TRADE IN'!$F365=0,"",(VLOOKUP($C365,REV!$C:$AA,17,0)-'TRADE IN'!$F365))</f>
        <v>4699</v>
      </c>
      <c r="T365" s="56">
        <f>IF(VLOOKUP($C365,REV!$C:$AA,18,0)-'TRADE IN'!$F365=0,"",(VLOOKUP($C365,REV!$C:$AA,18,0)-'TRADE IN'!$F365))</f>
        <v>3799</v>
      </c>
      <c r="U365" s="56">
        <f>IF(VLOOKUP($C365,REV!$C:$AA,19,0)-'TRADE IN'!$F365=0,"",(VLOOKUP($C365,REV!$C:$AA,19,0)-'TRADE IN'!$F365))</f>
        <v>3799</v>
      </c>
      <c r="V365" s="56">
        <f>IF(VLOOKUP($C365,REV!$C:$AA,20,0)-'TRADE IN'!$F365=0,"",(VLOOKUP($C365,REV!$C:$AA,20,0)-'TRADE IN'!$F365))</f>
        <v>3799</v>
      </c>
      <c r="W365" s="56">
        <f>IF(VLOOKUP($C365,REV!$C:$AA,21,0)-'TRADE IN'!$F365=0,"",(VLOOKUP($C365,REV!$C:$AA,21,0)-'TRADE IN'!$F365))</f>
        <v>3799</v>
      </c>
      <c r="X365" s="56">
        <f>IF(VLOOKUP($C365,REV!$C:$AA,22,0)-'TRADE IN'!$F365=0,"",(VLOOKUP($C365,REV!$C:$AA,22,0)-'TRADE IN'!$F365))</f>
        <v>3699</v>
      </c>
      <c r="Y365" s="56">
        <f>IF(VLOOKUP($C365,REV!$C:$AA,23,0)-'TRADE IN'!$F365=0,"",(VLOOKUP($C365,REV!$C:$AA,23,0)-'TRADE IN'!$F365))</f>
        <v>3499</v>
      </c>
      <c r="Z365" s="56">
        <f>IF(VLOOKUP($C365,REV!$C:$AA,24,0)-'TRADE IN'!$F365=0,"",(VLOOKUP($C365,REV!$C:$AA,24,0)-'TRADE IN'!$F365))</f>
        <v>3499</v>
      </c>
      <c r="AA365" s="56">
        <f>IF(VLOOKUP($C365,REV!$C:$AA,25,0)-'TRADE IN'!$F365=0,"",(VLOOKUP($C365,REV!$C:$AA,25,0)-'TRADE IN'!$F365))</f>
        <v>3499</v>
      </c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7"/>
      <c r="AW365" s="58" t="str">
        <f>REV!AW365</f>
        <v>03.11.2026</v>
      </c>
      <c r="AX365" s="147" t="str">
        <f>VLOOKUP(C365,REV!C:AX,48,0)</f>
        <v>5G</v>
      </c>
    </row>
    <row r="366" spans="1:50" ht="22.5" customHeight="1">
      <c r="A366" s="51" t="s">
        <v>63</v>
      </c>
      <c r="B366" s="52" t="s">
        <v>64</v>
      </c>
      <c r="C366" s="53">
        <v>4015297</v>
      </c>
      <c r="D366" s="65" t="s">
        <v>546</v>
      </c>
      <c r="E366" s="65" t="s">
        <v>551</v>
      </c>
      <c r="F366" s="55"/>
      <c r="G366" s="55"/>
      <c r="H366" s="55"/>
      <c r="I366" s="55"/>
      <c r="J366" s="56">
        <f>IF(VLOOKUP($C366,REV!$C:$AA,8,0)-'TRADE IN'!$F366=0,"",(VLOOKUP($C366,REV!$C:$AA,8,0)-'TRADE IN'!$F366))</f>
        <v>4999</v>
      </c>
      <c r="K366" s="56">
        <f>IF(VLOOKUP($C366,REV!$C:$AA,9,0)-'TRADE IN'!$F366=0,"",(VLOOKUP($C366,REV!$C:$AA,9,0)-'TRADE IN'!$F366))</f>
        <v>4899</v>
      </c>
      <c r="L366" s="56">
        <f>IF(VLOOKUP($C366,REV!$C:$AA,10,0)-'TRADE IN'!$F366=0,"",(VLOOKUP($C366,REV!$C:$AA,10,0)-'TRADE IN'!$F366))</f>
        <v>4899</v>
      </c>
      <c r="M366" s="56">
        <f>IF(VLOOKUP($C366,REV!$C:$AA,11,0)-'TRADE IN'!$F366=0,"",(VLOOKUP($C366,REV!$C:$AA,11,0)-'TRADE IN'!$F366))</f>
        <v>4999</v>
      </c>
      <c r="N366" s="56">
        <f>IF(VLOOKUP($C366,REV!$C:$AA,12,0)-'TRADE IN'!$F366=0,"",(VLOOKUP($C366,REV!$C:$AA,12,0)-'TRADE IN'!$F366))</f>
        <v>4999</v>
      </c>
      <c r="O366" s="56">
        <f>IF(VLOOKUP($C366,REV!$C:$AA,13,0)-'TRADE IN'!$F366=0,"",(VLOOKUP($C366,REV!$C:$AA,13,0)-'TRADE IN'!$F366))</f>
        <v>4799</v>
      </c>
      <c r="P366" s="56">
        <f>IF(VLOOKUP($C366,REV!$C:$AA,14,0)-'TRADE IN'!$F366=0,"",(VLOOKUP($C366,REV!$C:$AA,14,0)-'TRADE IN'!$F366))</f>
        <v>4699</v>
      </c>
      <c r="Q366" s="56">
        <f>IF(VLOOKUP($C366,REV!$C:$AA,15,0)-'TRADE IN'!$F366=0,"",(VLOOKUP($C366,REV!$C:$AA,15,0)-'TRADE IN'!$F366))</f>
        <v>3799</v>
      </c>
      <c r="R366" s="56">
        <f>IF(VLOOKUP($C366,REV!$C:$AA,16,0)-'TRADE IN'!$F366=0,"",(VLOOKUP($C366,REV!$C:$AA,16,0)-'TRADE IN'!$F366))</f>
        <v>4799</v>
      </c>
      <c r="S366" s="56">
        <f>IF(VLOOKUP($C366,REV!$C:$AA,17,0)-'TRADE IN'!$F366=0,"",(VLOOKUP($C366,REV!$C:$AA,17,0)-'TRADE IN'!$F366))</f>
        <v>4699</v>
      </c>
      <c r="T366" s="56">
        <f>IF(VLOOKUP($C366,REV!$C:$AA,18,0)-'TRADE IN'!$F366=0,"",(VLOOKUP($C366,REV!$C:$AA,18,0)-'TRADE IN'!$F366))</f>
        <v>3799</v>
      </c>
      <c r="U366" s="56">
        <f>IF(VLOOKUP($C366,REV!$C:$AA,19,0)-'TRADE IN'!$F366=0,"",(VLOOKUP($C366,REV!$C:$AA,19,0)-'TRADE IN'!$F366))</f>
        <v>3799</v>
      </c>
      <c r="V366" s="56">
        <f>IF(VLOOKUP($C366,REV!$C:$AA,20,0)-'TRADE IN'!$F366=0,"",(VLOOKUP($C366,REV!$C:$AA,20,0)-'TRADE IN'!$F366))</f>
        <v>3799</v>
      </c>
      <c r="W366" s="56">
        <f>IF(VLOOKUP($C366,REV!$C:$AA,21,0)-'TRADE IN'!$F366=0,"",(VLOOKUP($C366,REV!$C:$AA,21,0)-'TRADE IN'!$F366))</f>
        <v>3799</v>
      </c>
      <c r="X366" s="56">
        <f>IF(VLOOKUP($C366,REV!$C:$AA,22,0)-'TRADE IN'!$F366=0,"",(VLOOKUP($C366,REV!$C:$AA,22,0)-'TRADE IN'!$F366))</f>
        <v>3699</v>
      </c>
      <c r="Y366" s="56">
        <f>IF(VLOOKUP($C366,REV!$C:$AA,23,0)-'TRADE IN'!$F366=0,"",(VLOOKUP($C366,REV!$C:$AA,23,0)-'TRADE IN'!$F366))</f>
        <v>3499</v>
      </c>
      <c r="Z366" s="56">
        <f>IF(VLOOKUP($C366,REV!$C:$AA,24,0)-'TRADE IN'!$F366=0,"",(VLOOKUP($C366,REV!$C:$AA,24,0)-'TRADE IN'!$F366))</f>
        <v>3499</v>
      </c>
      <c r="AA366" s="56">
        <f>IF(VLOOKUP($C366,REV!$C:$AA,25,0)-'TRADE IN'!$F366=0,"",(VLOOKUP($C366,REV!$C:$AA,25,0)-'TRADE IN'!$F366))</f>
        <v>3499</v>
      </c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7"/>
      <c r="AW366" s="58" t="str">
        <f>REV!AW366</f>
        <v>03.11.2026</v>
      </c>
      <c r="AX366" s="147" t="str">
        <f>VLOOKUP(C366,REV!C:AX,48,0)</f>
        <v>5G</v>
      </c>
    </row>
    <row r="367" spans="1:50" ht="22.5" customHeight="1">
      <c r="A367" s="51" t="s">
        <v>63</v>
      </c>
      <c r="B367" s="52" t="s">
        <v>64</v>
      </c>
      <c r="C367" s="53">
        <v>4015329</v>
      </c>
      <c r="D367" s="65" t="s">
        <v>546</v>
      </c>
      <c r="E367" s="65" t="s">
        <v>552</v>
      </c>
      <c r="F367" s="55"/>
      <c r="G367" s="55"/>
      <c r="H367" s="55"/>
      <c r="I367" s="55"/>
      <c r="J367" s="56">
        <f>IF(VLOOKUP($C367,REV!$C:$AA,8,0)-'TRADE IN'!$F367=0,"",(VLOOKUP($C367,REV!$C:$AA,8,0)-'TRADE IN'!$F367))</f>
        <v>4999</v>
      </c>
      <c r="K367" s="56">
        <f>IF(VLOOKUP($C367,REV!$C:$AA,9,0)-'TRADE IN'!$F367=0,"",(VLOOKUP($C367,REV!$C:$AA,9,0)-'TRADE IN'!$F367))</f>
        <v>4899</v>
      </c>
      <c r="L367" s="56">
        <f>IF(VLOOKUP($C367,REV!$C:$AA,10,0)-'TRADE IN'!$F367=0,"",(VLOOKUP($C367,REV!$C:$AA,10,0)-'TRADE IN'!$F367))</f>
        <v>4899</v>
      </c>
      <c r="M367" s="56">
        <f>IF(VLOOKUP($C367,REV!$C:$AA,11,0)-'TRADE IN'!$F367=0,"",(VLOOKUP($C367,REV!$C:$AA,11,0)-'TRADE IN'!$F367))</f>
        <v>4999</v>
      </c>
      <c r="N367" s="56">
        <f>IF(VLOOKUP($C367,REV!$C:$AA,12,0)-'TRADE IN'!$F367=0,"",(VLOOKUP($C367,REV!$C:$AA,12,0)-'TRADE IN'!$F367))</f>
        <v>4999</v>
      </c>
      <c r="O367" s="56">
        <f>IF(VLOOKUP($C367,REV!$C:$AA,13,0)-'TRADE IN'!$F367=0,"",(VLOOKUP($C367,REV!$C:$AA,13,0)-'TRADE IN'!$F367))</f>
        <v>4799</v>
      </c>
      <c r="P367" s="56">
        <f>IF(VLOOKUP($C367,REV!$C:$AA,14,0)-'TRADE IN'!$F367=0,"",(VLOOKUP($C367,REV!$C:$AA,14,0)-'TRADE IN'!$F367))</f>
        <v>4699</v>
      </c>
      <c r="Q367" s="56">
        <f>IF(VLOOKUP($C367,REV!$C:$AA,15,0)-'TRADE IN'!$F367=0,"",(VLOOKUP($C367,REV!$C:$AA,15,0)-'TRADE IN'!$F367))</f>
        <v>3799</v>
      </c>
      <c r="R367" s="56">
        <f>IF(VLOOKUP($C367,REV!$C:$AA,16,0)-'TRADE IN'!$F367=0,"",(VLOOKUP($C367,REV!$C:$AA,16,0)-'TRADE IN'!$F367))</f>
        <v>4799</v>
      </c>
      <c r="S367" s="56">
        <f>IF(VLOOKUP($C367,REV!$C:$AA,17,0)-'TRADE IN'!$F367=0,"",(VLOOKUP($C367,REV!$C:$AA,17,0)-'TRADE IN'!$F367))</f>
        <v>4699</v>
      </c>
      <c r="T367" s="56">
        <f>IF(VLOOKUP($C367,REV!$C:$AA,18,0)-'TRADE IN'!$F367=0,"",(VLOOKUP($C367,REV!$C:$AA,18,0)-'TRADE IN'!$F367))</f>
        <v>3799</v>
      </c>
      <c r="U367" s="56">
        <f>IF(VLOOKUP($C367,REV!$C:$AA,19,0)-'TRADE IN'!$F367=0,"",(VLOOKUP($C367,REV!$C:$AA,19,0)-'TRADE IN'!$F367))</f>
        <v>3799</v>
      </c>
      <c r="V367" s="56">
        <f>IF(VLOOKUP($C367,REV!$C:$AA,20,0)-'TRADE IN'!$F367=0,"",(VLOOKUP($C367,REV!$C:$AA,20,0)-'TRADE IN'!$F367))</f>
        <v>3799</v>
      </c>
      <c r="W367" s="56">
        <f>IF(VLOOKUP($C367,REV!$C:$AA,21,0)-'TRADE IN'!$F367=0,"",(VLOOKUP($C367,REV!$C:$AA,21,0)-'TRADE IN'!$F367))</f>
        <v>3799</v>
      </c>
      <c r="X367" s="56">
        <f>IF(VLOOKUP($C367,REV!$C:$AA,22,0)-'TRADE IN'!$F367=0,"",(VLOOKUP($C367,REV!$C:$AA,22,0)-'TRADE IN'!$F367))</f>
        <v>3699</v>
      </c>
      <c r="Y367" s="56">
        <f>IF(VLOOKUP($C367,REV!$C:$AA,23,0)-'TRADE IN'!$F367=0,"",(VLOOKUP($C367,REV!$C:$AA,23,0)-'TRADE IN'!$F367))</f>
        <v>3499</v>
      </c>
      <c r="Z367" s="56">
        <f>IF(VLOOKUP($C367,REV!$C:$AA,24,0)-'TRADE IN'!$F367=0,"",(VLOOKUP($C367,REV!$C:$AA,24,0)-'TRADE IN'!$F367))</f>
        <v>3499</v>
      </c>
      <c r="AA367" s="56">
        <f>IF(VLOOKUP($C367,REV!$C:$AA,25,0)-'TRADE IN'!$F367=0,"",(VLOOKUP($C367,REV!$C:$AA,25,0)-'TRADE IN'!$F367))</f>
        <v>3499</v>
      </c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7"/>
      <c r="AW367" s="58" t="str">
        <f>REV!AW367</f>
        <v>03.11.2026</v>
      </c>
      <c r="AX367" s="147" t="str">
        <f>VLOOKUP(C367,REV!C:AX,48,0)</f>
        <v>5G</v>
      </c>
    </row>
    <row r="368" spans="1:50" ht="22.5" customHeight="1">
      <c r="A368" s="51" t="s">
        <v>63</v>
      </c>
      <c r="B368" s="52" t="s">
        <v>64</v>
      </c>
      <c r="C368" s="53">
        <v>4015305</v>
      </c>
      <c r="D368" s="65" t="s">
        <v>546</v>
      </c>
      <c r="E368" s="65" t="s">
        <v>553</v>
      </c>
      <c r="F368" s="55"/>
      <c r="G368" s="55"/>
      <c r="H368" s="55"/>
      <c r="I368" s="55"/>
      <c r="J368" s="56">
        <f>IF(VLOOKUP($C368,REV!$C:$AA,8,0)-'TRADE IN'!$F368=0,"",(VLOOKUP($C368,REV!$C:$AA,8,0)-'TRADE IN'!$F368))</f>
        <v>4999</v>
      </c>
      <c r="K368" s="56">
        <f>IF(VLOOKUP($C368,REV!$C:$AA,9,0)-'TRADE IN'!$F368=0,"",(VLOOKUP($C368,REV!$C:$AA,9,0)-'TRADE IN'!$F368))</f>
        <v>4899</v>
      </c>
      <c r="L368" s="56">
        <f>IF(VLOOKUP($C368,REV!$C:$AA,10,0)-'TRADE IN'!$F368=0,"",(VLOOKUP($C368,REV!$C:$AA,10,0)-'TRADE IN'!$F368))</f>
        <v>4899</v>
      </c>
      <c r="M368" s="56">
        <f>IF(VLOOKUP($C368,REV!$C:$AA,11,0)-'TRADE IN'!$F368=0,"",(VLOOKUP($C368,REV!$C:$AA,11,0)-'TRADE IN'!$F368))</f>
        <v>4999</v>
      </c>
      <c r="N368" s="56">
        <f>IF(VLOOKUP($C368,REV!$C:$AA,12,0)-'TRADE IN'!$F368=0,"",(VLOOKUP($C368,REV!$C:$AA,12,0)-'TRADE IN'!$F368))</f>
        <v>4999</v>
      </c>
      <c r="O368" s="56">
        <f>IF(VLOOKUP($C368,REV!$C:$AA,13,0)-'TRADE IN'!$F368=0,"",(VLOOKUP($C368,REV!$C:$AA,13,0)-'TRADE IN'!$F368))</f>
        <v>4799</v>
      </c>
      <c r="P368" s="56">
        <f>IF(VLOOKUP($C368,REV!$C:$AA,14,0)-'TRADE IN'!$F368=0,"",(VLOOKUP($C368,REV!$C:$AA,14,0)-'TRADE IN'!$F368))</f>
        <v>4699</v>
      </c>
      <c r="Q368" s="56">
        <f>IF(VLOOKUP($C368,REV!$C:$AA,15,0)-'TRADE IN'!$F368=0,"",(VLOOKUP($C368,REV!$C:$AA,15,0)-'TRADE IN'!$F368))</f>
        <v>3799</v>
      </c>
      <c r="R368" s="56">
        <f>IF(VLOOKUP($C368,REV!$C:$AA,16,0)-'TRADE IN'!$F368=0,"",(VLOOKUP($C368,REV!$C:$AA,16,0)-'TRADE IN'!$F368))</f>
        <v>4799</v>
      </c>
      <c r="S368" s="56">
        <f>IF(VLOOKUP($C368,REV!$C:$AA,17,0)-'TRADE IN'!$F368=0,"",(VLOOKUP($C368,REV!$C:$AA,17,0)-'TRADE IN'!$F368))</f>
        <v>4699</v>
      </c>
      <c r="T368" s="56">
        <f>IF(VLOOKUP($C368,REV!$C:$AA,18,0)-'TRADE IN'!$F368=0,"",(VLOOKUP($C368,REV!$C:$AA,18,0)-'TRADE IN'!$F368))</f>
        <v>3799</v>
      </c>
      <c r="U368" s="56">
        <f>IF(VLOOKUP($C368,REV!$C:$AA,19,0)-'TRADE IN'!$F368=0,"",(VLOOKUP($C368,REV!$C:$AA,19,0)-'TRADE IN'!$F368))</f>
        <v>3799</v>
      </c>
      <c r="V368" s="56">
        <f>IF(VLOOKUP($C368,REV!$C:$AA,20,0)-'TRADE IN'!$F368=0,"",(VLOOKUP($C368,REV!$C:$AA,20,0)-'TRADE IN'!$F368))</f>
        <v>3799</v>
      </c>
      <c r="W368" s="56">
        <f>IF(VLOOKUP($C368,REV!$C:$AA,21,0)-'TRADE IN'!$F368=0,"",(VLOOKUP($C368,REV!$C:$AA,21,0)-'TRADE IN'!$F368))</f>
        <v>3799</v>
      </c>
      <c r="X368" s="56">
        <f>IF(VLOOKUP($C368,REV!$C:$AA,22,0)-'TRADE IN'!$F368=0,"",(VLOOKUP($C368,REV!$C:$AA,22,0)-'TRADE IN'!$F368))</f>
        <v>3699</v>
      </c>
      <c r="Y368" s="56">
        <f>IF(VLOOKUP($C368,REV!$C:$AA,23,0)-'TRADE IN'!$F368=0,"",(VLOOKUP($C368,REV!$C:$AA,23,0)-'TRADE IN'!$F368))</f>
        <v>3499</v>
      </c>
      <c r="Z368" s="56">
        <f>IF(VLOOKUP($C368,REV!$C:$AA,24,0)-'TRADE IN'!$F368=0,"",(VLOOKUP($C368,REV!$C:$AA,24,0)-'TRADE IN'!$F368))</f>
        <v>3499</v>
      </c>
      <c r="AA368" s="56">
        <f>IF(VLOOKUP($C368,REV!$C:$AA,25,0)-'TRADE IN'!$F368=0,"",(VLOOKUP($C368,REV!$C:$AA,25,0)-'TRADE IN'!$F368))</f>
        <v>3499</v>
      </c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7"/>
      <c r="AW368" s="58" t="str">
        <f>REV!AW368</f>
        <v>03.11.2026</v>
      </c>
      <c r="AX368" s="147" t="str">
        <f>VLOOKUP(C368,REV!C:AX,48,0)</f>
        <v>5G</v>
      </c>
    </row>
    <row r="369" spans="1:50" ht="22.5" customHeight="1">
      <c r="A369" s="51" t="s">
        <v>63</v>
      </c>
      <c r="B369" s="52" t="s">
        <v>64</v>
      </c>
      <c r="C369" s="53">
        <v>4015337</v>
      </c>
      <c r="D369" s="65" t="s">
        <v>546</v>
      </c>
      <c r="E369" s="65" t="s">
        <v>554</v>
      </c>
      <c r="F369" s="55"/>
      <c r="G369" s="55"/>
      <c r="H369" s="55"/>
      <c r="I369" s="55"/>
      <c r="J369" s="56">
        <f>IF(VLOOKUP($C369,REV!$C:$AA,8,0)-'TRADE IN'!$F369=0,"",(VLOOKUP($C369,REV!$C:$AA,8,0)-'TRADE IN'!$F369))</f>
        <v>4999</v>
      </c>
      <c r="K369" s="56">
        <f>IF(VLOOKUP($C369,REV!$C:$AA,9,0)-'TRADE IN'!$F369=0,"",(VLOOKUP($C369,REV!$C:$AA,9,0)-'TRADE IN'!$F369))</f>
        <v>4899</v>
      </c>
      <c r="L369" s="56">
        <f>IF(VLOOKUP($C369,REV!$C:$AA,10,0)-'TRADE IN'!$F369=0,"",(VLOOKUP($C369,REV!$C:$AA,10,0)-'TRADE IN'!$F369))</f>
        <v>4899</v>
      </c>
      <c r="M369" s="56">
        <f>IF(VLOOKUP($C369,REV!$C:$AA,11,0)-'TRADE IN'!$F369=0,"",(VLOOKUP($C369,REV!$C:$AA,11,0)-'TRADE IN'!$F369))</f>
        <v>4999</v>
      </c>
      <c r="N369" s="56">
        <f>IF(VLOOKUP($C369,REV!$C:$AA,12,0)-'TRADE IN'!$F369=0,"",(VLOOKUP($C369,REV!$C:$AA,12,0)-'TRADE IN'!$F369))</f>
        <v>4999</v>
      </c>
      <c r="O369" s="56">
        <f>IF(VLOOKUP($C369,REV!$C:$AA,13,0)-'TRADE IN'!$F369=0,"",(VLOOKUP($C369,REV!$C:$AA,13,0)-'TRADE IN'!$F369))</f>
        <v>4799</v>
      </c>
      <c r="P369" s="56">
        <f>IF(VLOOKUP($C369,REV!$C:$AA,14,0)-'TRADE IN'!$F369=0,"",(VLOOKUP($C369,REV!$C:$AA,14,0)-'TRADE IN'!$F369))</f>
        <v>4699</v>
      </c>
      <c r="Q369" s="56">
        <f>IF(VLOOKUP($C369,REV!$C:$AA,15,0)-'TRADE IN'!$F369=0,"",(VLOOKUP($C369,REV!$C:$AA,15,0)-'TRADE IN'!$F369))</f>
        <v>3799</v>
      </c>
      <c r="R369" s="56">
        <f>IF(VLOOKUP($C369,REV!$C:$AA,16,0)-'TRADE IN'!$F369=0,"",(VLOOKUP($C369,REV!$C:$AA,16,0)-'TRADE IN'!$F369))</f>
        <v>4799</v>
      </c>
      <c r="S369" s="56">
        <f>IF(VLOOKUP($C369,REV!$C:$AA,17,0)-'TRADE IN'!$F369=0,"",(VLOOKUP($C369,REV!$C:$AA,17,0)-'TRADE IN'!$F369))</f>
        <v>4699</v>
      </c>
      <c r="T369" s="56">
        <f>IF(VLOOKUP($C369,REV!$C:$AA,18,0)-'TRADE IN'!$F369=0,"",(VLOOKUP($C369,REV!$C:$AA,18,0)-'TRADE IN'!$F369))</f>
        <v>3799</v>
      </c>
      <c r="U369" s="56">
        <f>IF(VLOOKUP($C369,REV!$C:$AA,19,0)-'TRADE IN'!$F369=0,"",(VLOOKUP($C369,REV!$C:$AA,19,0)-'TRADE IN'!$F369))</f>
        <v>3799</v>
      </c>
      <c r="V369" s="56">
        <f>IF(VLOOKUP($C369,REV!$C:$AA,20,0)-'TRADE IN'!$F369=0,"",(VLOOKUP($C369,REV!$C:$AA,20,0)-'TRADE IN'!$F369))</f>
        <v>3799</v>
      </c>
      <c r="W369" s="56">
        <f>IF(VLOOKUP($C369,REV!$C:$AA,21,0)-'TRADE IN'!$F369=0,"",(VLOOKUP($C369,REV!$C:$AA,21,0)-'TRADE IN'!$F369))</f>
        <v>3799</v>
      </c>
      <c r="X369" s="56">
        <f>IF(VLOOKUP($C369,REV!$C:$AA,22,0)-'TRADE IN'!$F369=0,"",(VLOOKUP($C369,REV!$C:$AA,22,0)-'TRADE IN'!$F369))</f>
        <v>3699</v>
      </c>
      <c r="Y369" s="56">
        <f>IF(VLOOKUP($C369,REV!$C:$AA,23,0)-'TRADE IN'!$F369=0,"",(VLOOKUP($C369,REV!$C:$AA,23,0)-'TRADE IN'!$F369))</f>
        <v>3499</v>
      </c>
      <c r="Z369" s="56">
        <f>IF(VLOOKUP($C369,REV!$C:$AA,24,0)-'TRADE IN'!$F369=0,"",(VLOOKUP($C369,REV!$C:$AA,24,0)-'TRADE IN'!$F369))</f>
        <v>3499</v>
      </c>
      <c r="AA369" s="56">
        <f>IF(VLOOKUP($C369,REV!$C:$AA,25,0)-'TRADE IN'!$F369=0,"",(VLOOKUP($C369,REV!$C:$AA,25,0)-'TRADE IN'!$F369))</f>
        <v>3499</v>
      </c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7"/>
      <c r="AW369" s="58" t="str">
        <f>REV!AW369</f>
        <v>03.11.2026</v>
      </c>
      <c r="AX369" s="147" t="str">
        <f>VLOOKUP(C369,REV!C:AX,48,0)</f>
        <v>5G</v>
      </c>
    </row>
    <row r="370" spans="1:50" ht="22.5" customHeight="1">
      <c r="A370" s="51" t="s">
        <v>63</v>
      </c>
      <c r="B370" s="52" t="s">
        <v>64</v>
      </c>
      <c r="C370" s="53">
        <v>4015663</v>
      </c>
      <c r="D370" s="65" t="s">
        <v>555</v>
      </c>
      <c r="E370" s="65" t="s">
        <v>556</v>
      </c>
      <c r="F370" s="55"/>
      <c r="G370" s="55"/>
      <c r="H370" s="55"/>
      <c r="I370" s="55"/>
      <c r="J370" s="56">
        <f>IF(VLOOKUP($C370,REV!$C:$AA,8,0)-'TRADE IN'!$F370=0,"",(VLOOKUP($C370,REV!$C:$AA,8,0)-'TRADE IN'!$F370))</f>
        <v>2799</v>
      </c>
      <c r="K370" s="56">
        <f>IF(VLOOKUP($C370,REV!$C:$AA,9,0)-'TRADE IN'!$F370=0,"",(VLOOKUP($C370,REV!$C:$AA,9,0)-'TRADE IN'!$F370))</f>
        <v>2699</v>
      </c>
      <c r="L370" s="56">
        <f>IF(VLOOKUP($C370,REV!$C:$AA,10,0)-'TRADE IN'!$F370=0,"",(VLOOKUP($C370,REV!$C:$AA,10,0)-'TRADE IN'!$F370))</f>
        <v>2699</v>
      </c>
      <c r="M370" s="56">
        <f>IF(VLOOKUP($C370,REV!$C:$AA,11,0)-'TRADE IN'!$F370=0,"",(VLOOKUP($C370,REV!$C:$AA,11,0)-'TRADE IN'!$F370))</f>
        <v>2799</v>
      </c>
      <c r="N370" s="56">
        <f>IF(VLOOKUP($C370,REV!$C:$AA,12,0)-'TRADE IN'!$F370=0,"",(VLOOKUP($C370,REV!$C:$AA,12,0)-'TRADE IN'!$F370))</f>
        <v>2799</v>
      </c>
      <c r="O370" s="56">
        <f>IF(VLOOKUP($C370,REV!$C:$AA,13,0)-'TRADE IN'!$F370=0,"",(VLOOKUP($C370,REV!$C:$AA,13,0)-'TRADE IN'!$F370))</f>
        <v>2499</v>
      </c>
      <c r="P370" s="56">
        <f>IF(VLOOKUP($C370,REV!$C:$AA,14,0)-'TRADE IN'!$F370=0,"",(VLOOKUP($C370,REV!$C:$AA,14,0)-'TRADE IN'!$F370))</f>
        <v>2299</v>
      </c>
      <c r="Q370" s="56">
        <f>IF(VLOOKUP($C370,REV!$C:$AA,15,0)-'TRADE IN'!$F370=0,"",(VLOOKUP($C370,REV!$C:$AA,15,0)-'TRADE IN'!$F370))</f>
        <v>1499</v>
      </c>
      <c r="R370" s="56">
        <f>IF(VLOOKUP($C370,REV!$C:$AA,16,0)-'TRADE IN'!$F370=0,"",(VLOOKUP($C370,REV!$C:$AA,16,0)-'TRADE IN'!$F370))</f>
        <v>2499</v>
      </c>
      <c r="S370" s="56">
        <f>IF(VLOOKUP($C370,REV!$C:$AA,17,0)-'TRADE IN'!$F370=0,"",(VLOOKUP($C370,REV!$C:$AA,17,0)-'TRADE IN'!$F370))</f>
        <v>2299</v>
      </c>
      <c r="T370" s="56">
        <f>IF(VLOOKUP($C370,REV!$C:$AA,18,0)-'TRADE IN'!$F370=0,"",(VLOOKUP($C370,REV!$C:$AA,18,0)-'TRADE IN'!$F370))</f>
        <v>1499</v>
      </c>
      <c r="U370" s="56">
        <f>IF(VLOOKUP($C370,REV!$C:$AA,19,0)-'TRADE IN'!$F370=0,"",(VLOOKUP($C370,REV!$C:$AA,19,0)-'TRADE IN'!$F370))</f>
        <v>1499</v>
      </c>
      <c r="V370" s="56">
        <f>IF(VLOOKUP($C370,REV!$C:$AA,20,0)-'TRADE IN'!$F370=0,"",(VLOOKUP($C370,REV!$C:$AA,20,0)-'TRADE IN'!$F370))</f>
        <v>1499</v>
      </c>
      <c r="W370" s="56">
        <f>IF(VLOOKUP($C370,REV!$C:$AA,21,0)-'TRADE IN'!$F370=0,"",(VLOOKUP($C370,REV!$C:$AA,21,0)-'TRADE IN'!$F370))</f>
        <v>1499</v>
      </c>
      <c r="X370" s="56">
        <f>IF(VLOOKUP($C370,REV!$C:$AA,22,0)-'TRADE IN'!$F370=0,"",(VLOOKUP($C370,REV!$C:$AA,22,0)-'TRADE IN'!$F370))</f>
        <v>1399</v>
      </c>
      <c r="Y370" s="56">
        <f>IF(VLOOKUP($C370,REV!$C:$AA,23,0)-'TRADE IN'!$F370=0,"",(VLOOKUP($C370,REV!$C:$AA,23,0)-'TRADE IN'!$F370))</f>
        <v>1199</v>
      </c>
      <c r="Z370" s="56">
        <f>IF(VLOOKUP($C370,REV!$C:$AA,24,0)-'TRADE IN'!$F370=0,"",(VLOOKUP($C370,REV!$C:$AA,24,0)-'TRADE IN'!$F370))</f>
        <v>1199</v>
      </c>
      <c r="AA370" s="56">
        <f>IF(VLOOKUP($C370,REV!$C:$AA,25,0)-'TRADE IN'!$F370=0,"",(VLOOKUP($C370,REV!$C:$AA,25,0)-'TRADE IN'!$F370))</f>
        <v>1199</v>
      </c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7"/>
      <c r="AW370" s="58" t="str">
        <f>REV!AW370</f>
        <v>03.11.2026</v>
      </c>
      <c r="AX370" s="147" t="str">
        <f>VLOOKUP(C370,REV!C:AX,48,0)</f>
        <v>5G</v>
      </c>
    </row>
    <row r="371" spans="1:50" ht="22.5" customHeight="1">
      <c r="A371" s="51" t="s">
        <v>63</v>
      </c>
      <c r="B371" s="52" t="s">
        <v>64</v>
      </c>
      <c r="C371" s="53">
        <v>4015665</v>
      </c>
      <c r="D371" s="65" t="s">
        <v>555</v>
      </c>
      <c r="E371" s="65" t="s">
        <v>557</v>
      </c>
      <c r="F371" s="55"/>
      <c r="G371" s="55"/>
      <c r="H371" s="55"/>
      <c r="I371" s="55"/>
      <c r="J371" s="56">
        <f>IF(VLOOKUP($C371,REV!$C:$AA,8,0)-'TRADE IN'!$F371=0,"",(VLOOKUP($C371,REV!$C:$AA,8,0)-'TRADE IN'!$F371))</f>
        <v>2799</v>
      </c>
      <c r="K371" s="56">
        <f>IF(VLOOKUP($C371,REV!$C:$AA,9,0)-'TRADE IN'!$F371=0,"",(VLOOKUP($C371,REV!$C:$AA,9,0)-'TRADE IN'!$F371))</f>
        <v>2699</v>
      </c>
      <c r="L371" s="56">
        <f>IF(VLOOKUP($C371,REV!$C:$AA,10,0)-'TRADE IN'!$F371=0,"",(VLOOKUP($C371,REV!$C:$AA,10,0)-'TRADE IN'!$F371))</f>
        <v>2699</v>
      </c>
      <c r="M371" s="56">
        <f>IF(VLOOKUP($C371,REV!$C:$AA,11,0)-'TRADE IN'!$F371=0,"",(VLOOKUP($C371,REV!$C:$AA,11,0)-'TRADE IN'!$F371))</f>
        <v>2799</v>
      </c>
      <c r="N371" s="56">
        <f>IF(VLOOKUP($C371,REV!$C:$AA,12,0)-'TRADE IN'!$F371=0,"",(VLOOKUP($C371,REV!$C:$AA,12,0)-'TRADE IN'!$F371))</f>
        <v>2799</v>
      </c>
      <c r="O371" s="56">
        <f>IF(VLOOKUP($C371,REV!$C:$AA,13,0)-'TRADE IN'!$F371=0,"",(VLOOKUP($C371,REV!$C:$AA,13,0)-'TRADE IN'!$F371))</f>
        <v>2499</v>
      </c>
      <c r="P371" s="56">
        <f>IF(VLOOKUP($C371,REV!$C:$AA,14,0)-'TRADE IN'!$F371=0,"",(VLOOKUP($C371,REV!$C:$AA,14,0)-'TRADE IN'!$F371))</f>
        <v>2299</v>
      </c>
      <c r="Q371" s="56">
        <f>IF(VLOOKUP($C371,REV!$C:$AA,15,0)-'TRADE IN'!$F371=0,"",(VLOOKUP($C371,REV!$C:$AA,15,0)-'TRADE IN'!$F371))</f>
        <v>1499</v>
      </c>
      <c r="R371" s="56">
        <f>IF(VLOOKUP($C371,REV!$C:$AA,16,0)-'TRADE IN'!$F371=0,"",(VLOOKUP($C371,REV!$C:$AA,16,0)-'TRADE IN'!$F371))</f>
        <v>2499</v>
      </c>
      <c r="S371" s="56">
        <f>IF(VLOOKUP($C371,REV!$C:$AA,17,0)-'TRADE IN'!$F371=0,"",(VLOOKUP($C371,REV!$C:$AA,17,0)-'TRADE IN'!$F371))</f>
        <v>2299</v>
      </c>
      <c r="T371" s="56">
        <f>IF(VLOOKUP($C371,REV!$C:$AA,18,0)-'TRADE IN'!$F371=0,"",(VLOOKUP($C371,REV!$C:$AA,18,0)-'TRADE IN'!$F371))</f>
        <v>1499</v>
      </c>
      <c r="U371" s="56">
        <f>IF(VLOOKUP($C371,REV!$C:$AA,19,0)-'TRADE IN'!$F371=0,"",(VLOOKUP($C371,REV!$C:$AA,19,0)-'TRADE IN'!$F371))</f>
        <v>1499</v>
      </c>
      <c r="V371" s="56">
        <f>IF(VLOOKUP($C371,REV!$C:$AA,20,0)-'TRADE IN'!$F371=0,"",(VLOOKUP($C371,REV!$C:$AA,20,0)-'TRADE IN'!$F371))</f>
        <v>1499</v>
      </c>
      <c r="W371" s="56">
        <f>IF(VLOOKUP($C371,REV!$C:$AA,21,0)-'TRADE IN'!$F371=0,"",(VLOOKUP($C371,REV!$C:$AA,21,0)-'TRADE IN'!$F371))</f>
        <v>1499</v>
      </c>
      <c r="X371" s="56">
        <f>IF(VLOOKUP($C371,REV!$C:$AA,22,0)-'TRADE IN'!$F371=0,"",(VLOOKUP($C371,REV!$C:$AA,22,0)-'TRADE IN'!$F371))</f>
        <v>1399</v>
      </c>
      <c r="Y371" s="56">
        <f>IF(VLOOKUP($C371,REV!$C:$AA,23,0)-'TRADE IN'!$F371=0,"",(VLOOKUP($C371,REV!$C:$AA,23,0)-'TRADE IN'!$F371))</f>
        <v>1199</v>
      </c>
      <c r="Z371" s="56">
        <f>IF(VLOOKUP($C371,REV!$C:$AA,24,0)-'TRADE IN'!$F371=0,"",(VLOOKUP($C371,REV!$C:$AA,24,0)-'TRADE IN'!$F371))</f>
        <v>1199</v>
      </c>
      <c r="AA371" s="56">
        <f>IF(VLOOKUP($C371,REV!$C:$AA,25,0)-'TRADE IN'!$F371=0,"",(VLOOKUP($C371,REV!$C:$AA,25,0)-'TRADE IN'!$F371))</f>
        <v>1199</v>
      </c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7"/>
      <c r="AW371" s="58" t="str">
        <f>REV!AW371</f>
        <v>03.11.2026</v>
      </c>
      <c r="AX371" s="147" t="str">
        <f>VLOOKUP(C371,REV!C:AX,48,0)</f>
        <v>5G</v>
      </c>
    </row>
    <row r="372" spans="1:50" ht="22.5" customHeight="1">
      <c r="A372" s="51" t="s">
        <v>63</v>
      </c>
      <c r="B372" s="52" t="s">
        <v>64</v>
      </c>
      <c r="C372" s="53">
        <v>4015666</v>
      </c>
      <c r="D372" s="65" t="s">
        <v>555</v>
      </c>
      <c r="E372" s="65" t="s">
        <v>558</v>
      </c>
      <c r="F372" s="55"/>
      <c r="G372" s="55"/>
      <c r="H372" s="55"/>
      <c r="I372" s="55"/>
      <c r="J372" s="56">
        <f>IF(VLOOKUP($C372,REV!$C:$AA,8,0)-'TRADE IN'!$F372=0,"",(VLOOKUP($C372,REV!$C:$AA,8,0)-'TRADE IN'!$F372))</f>
        <v>2799</v>
      </c>
      <c r="K372" s="56">
        <f>IF(VLOOKUP($C372,REV!$C:$AA,9,0)-'TRADE IN'!$F372=0,"",(VLOOKUP($C372,REV!$C:$AA,9,0)-'TRADE IN'!$F372))</f>
        <v>2699</v>
      </c>
      <c r="L372" s="56">
        <f>IF(VLOOKUP($C372,REV!$C:$AA,10,0)-'TRADE IN'!$F372=0,"",(VLOOKUP($C372,REV!$C:$AA,10,0)-'TRADE IN'!$F372))</f>
        <v>2699</v>
      </c>
      <c r="M372" s="56">
        <f>IF(VLOOKUP($C372,REV!$C:$AA,11,0)-'TRADE IN'!$F372=0,"",(VLOOKUP($C372,REV!$C:$AA,11,0)-'TRADE IN'!$F372))</f>
        <v>2799</v>
      </c>
      <c r="N372" s="56">
        <f>IF(VLOOKUP($C372,REV!$C:$AA,12,0)-'TRADE IN'!$F372=0,"",(VLOOKUP($C372,REV!$C:$AA,12,0)-'TRADE IN'!$F372))</f>
        <v>2799</v>
      </c>
      <c r="O372" s="56">
        <f>IF(VLOOKUP($C372,REV!$C:$AA,13,0)-'TRADE IN'!$F372=0,"",(VLOOKUP($C372,REV!$C:$AA,13,0)-'TRADE IN'!$F372))</f>
        <v>2499</v>
      </c>
      <c r="P372" s="56">
        <f>IF(VLOOKUP($C372,REV!$C:$AA,14,0)-'TRADE IN'!$F372=0,"",(VLOOKUP($C372,REV!$C:$AA,14,0)-'TRADE IN'!$F372))</f>
        <v>2299</v>
      </c>
      <c r="Q372" s="56">
        <f>IF(VLOOKUP($C372,REV!$C:$AA,15,0)-'TRADE IN'!$F372=0,"",(VLOOKUP($C372,REV!$C:$AA,15,0)-'TRADE IN'!$F372))</f>
        <v>1499</v>
      </c>
      <c r="R372" s="56">
        <f>IF(VLOOKUP($C372,REV!$C:$AA,16,0)-'TRADE IN'!$F372=0,"",(VLOOKUP($C372,REV!$C:$AA,16,0)-'TRADE IN'!$F372))</f>
        <v>2499</v>
      </c>
      <c r="S372" s="56">
        <f>IF(VLOOKUP($C372,REV!$C:$AA,17,0)-'TRADE IN'!$F372=0,"",(VLOOKUP($C372,REV!$C:$AA,17,0)-'TRADE IN'!$F372))</f>
        <v>2299</v>
      </c>
      <c r="T372" s="56">
        <f>IF(VLOOKUP($C372,REV!$C:$AA,18,0)-'TRADE IN'!$F372=0,"",(VLOOKUP($C372,REV!$C:$AA,18,0)-'TRADE IN'!$F372))</f>
        <v>1499</v>
      </c>
      <c r="U372" s="56">
        <f>IF(VLOOKUP($C372,REV!$C:$AA,19,0)-'TRADE IN'!$F372=0,"",(VLOOKUP($C372,REV!$C:$AA,19,0)-'TRADE IN'!$F372))</f>
        <v>1499</v>
      </c>
      <c r="V372" s="56">
        <f>IF(VLOOKUP($C372,REV!$C:$AA,20,0)-'TRADE IN'!$F372=0,"",(VLOOKUP($C372,REV!$C:$AA,20,0)-'TRADE IN'!$F372))</f>
        <v>1499</v>
      </c>
      <c r="W372" s="56">
        <f>IF(VLOOKUP($C372,REV!$C:$AA,21,0)-'TRADE IN'!$F372=0,"",(VLOOKUP($C372,REV!$C:$AA,21,0)-'TRADE IN'!$F372))</f>
        <v>1499</v>
      </c>
      <c r="X372" s="56">
        <f>IF(VLOOKUP($C372,REV!$C:$AA,22,0)-'TRADE IN'!$F372=0,"",(VLOOKUP($C372,REV!$C:$AA,22,0)-'TRADE IN'!$F372))</f>
        <v>1399</v>
      </c>
      <c r="Y372" s="56">
        <f>IF(VLOOKUP($C372,REV!$C:$AA,23,0)-'TRADE IN'!$F372=0,"",(VLOOKUP($C372,REV!$C:$AA,23,0)-'TRADE IN'!$F372))</f>
        <v>1199</v>
      </c>
      <c r="Z372" s="56">
        <f>IF(VLOOKUP($C372,REV!$C:$AA,24,0)-'TRADE IN'!$F372=0,"",(VLOOKUP($C372,REV!$C:$AA,24,0)-'TRADE IN'!$F372))</f>
        <v>1199</v>
      </c>
      <c r="AA372" s="56">
        <f>IF(VLOOKUP($C372,REV!$C:$AA,25,0)-'TRADE IN'!$F372=0,"",(VLOOKUP($C372,REV!$C:$AA,25,0)-'TRADE IN'!$F372))</f>
        <v>1199</v>
      </c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7"/>
      <c r="AW372" s="58" t="str">
        <f>REV!AW372</f>
        <v>03.11.2026</v>
      </c>
      <c r="AX372" s="147" t="str">
        <f>VLOOKUP(C372,REV!C:AX,48,0)</f>
        <v>5G</v>
      </c>
    </row>
    <row r="373" spans="1:50" ht="22.5" customHeight="1">
      <c r="A373" s="51" t="s">
        <v>63</v>
      </c>
      <c r="B373" s="52" t="s">
        <v>64</v>
      </c>
      <c r="C373" s="53">
        <v>4016031</v>
      </c>
      <c r="D373" s="65" t="s">
        <v>559</v>
      </c>
      <c r="E373" s="65" t="s">
        <v>560</v>
      </c>
      <c r="F373" s="55">
        <v>500</v>
      </c>
      <c r="G373" s="55"/>
      <c r="H373" s="55"/>
      <c r="I373" s="55"/>
      <c r="J373" s="56">
        <f>IF(VLOOKUP($C373,REV!$C:$AA,8,0)-'TRADE IN'!$F373=0,"",(VLOOKUP($C373,REV!$C:$AA,8,0)-'TRADE IN'!$F373))</f>
        <v>499</v>
      </c>
      <c r="K373" s="56">
        <f>IF(VLOOKUP($C373,REV!$C:$AA,9,0)-'TRADE IN'!$F373=0,"",(VLOOKUP($C373,REV!$C:$AA,9,0)-'TRADE IN'!$F373))</f>
        <v>499</v>
      </c>
      <c r="L373" s="56">
        <f>IF(VLOOKUP($C373,REV!$C:$AA,10,0)-'TRADE IN'!$F373=0,"",(VLOOKUP($C373,REV!$C:$AA,10,0)-'TRADE IN'!$F373))</f>
        <v>499</v>
      </c>
      <c r="M373" s="56">
        <f>IF(VLOOKUP($C373,REV!$C:$AA,11,0)-'TRADE IN'!$F373=0,"",(VLOOKUP($C373,REV!$C:$AA,11,0)-'TRADE IN'!$F373))</f>
        <v>499</v>
      </c>
      <c r="N373" s="56">
        <f>IF(VLOOKUP($C373,REV!$C:$AA,12,0)-'TRADE IN'!$F373=0,"",(VLOOKUP($C373,REV!$C:$AA,12,0)-'TRADE IN'!$F373))</f>
        <v>499</v>
      </c>
      <c r="O373" s="56">
        <f>IF(VLOOKUP($C373,REV!$C:$AA,13,0)-'TRADE IN'!$F373=0,"",(VLOOKUP($C373,REV!$C:$AA,13,0)-'TRADE IN'!$F373))</f>
        <v>499</v>
      </c>
      <c r="P373" s="56">
        <f>IF(VLOOKUP($C373,REV!$C:$AA,14,0)-'TRADE IN'!$F373=0,"",(VLOOKUP($C373,REV!$C:$AA,14,0)-'TRADE IN'!$F373))</f>
        <v>499</v>
      </c>
      <c r="Q373" s="56">
        <f>IF(VLOOKUP($C373,REV!$C:$AA,15,0)-'TRADE IN'!$F373=0,"",(VLOOKUP($C373,REV!$C:$AA,15,0)-'TRADE IN'!$F373))</f>
        <v>499</v>
      </c>
      <c r="R373" s="56">
        <f>IF(VLOOKUP($C373,REV!$C:$AA,16,0)-'TRADE IN'!$F373=0,"",(VLOOKUP($C373,REV!$C:$AA,16,0)-'TRADE IN'!$F373))</f>
        <v>499</v>
      </c>
      <c r="S373" s="56">
        <f>IF(VLOOKUP($C373,REV!$C:$AA,17,0)-'TRADE IN'!$F373=0,"",(VLOOKUP($C373,REV!$C:$AA,17,0)-'TRADE IN'!$F373))</f>
        <v>499</v>
      </c>
      <c r="T373" s="56">
        <f>IF(VLOOKUP($C373,REV!$C:$AA,18,0)-'TRADE IN'!$F373=0,"",(VLOOKUP($C373,REV!$C:$AA,18,0)-'TRADE IN'!$F373))</f>
        <v>499</v>
      </c>
      <c r="U373" s="56">
        <f>IF(VLOOKUP($C373,REV!$C:$AA,19,0)-'TRADE IN'!$F373=0,"",(VLOOKUP($C373,REV!$C:$AA,19,0)-'TRADE IN'!$F373))</f>
        <v>499</v>
      </c>
      <c r="V373" s="56">
        <f>IF(VLOOKUP($C373,REV!$C:$AA,20,0)-'TRADE IN'!$F373=0,"",(VLOOKUP($C373,REV!$C:$AA,20,0)-'TRADE IN'!$F373))</f>
        <v>499</v>
      </c>
      <c r="W373" s="56">
        <f>IF(VLOOKUP($C373,REV!$C:$AA,21,0)-'TRADE IN'!$F373=0,"",(VLOOKUP($C373,REV!$C:$AA,21,0)-'TRADE IN'!$F373))</f>
        <v>499</v>
      </c>
      <c r="X373" s="56">
        <f>IF(VLOOKUP($C373,REV!$C:$AA,22,0)-'TRADE IN'!$F373=0,"",(VLOOKUP($C373,REV!$C:$AA,22,0)-'TRADE IN'!$F373))</f>
        <v>499</v>
      </c>
      <c r="Y373" s="56">
        <f>IF(VLOOKUP($C373,REV!$C:$AA,23,0)-'TRADE IN'!$F373=0,"",(VLOOKUP($C373,REV!$C:$AA,23,0)-'TRADE IN'!$F373))</f>
        <v>499</v>
      </c>
      <c r="Z373" s="56">
        <f>IF(VLOOKUP($C373,REV!$C:$AA,24,0)-'TRADE IN'!$F373=0,"",(VLOOKUP($C373,REV!$C:$AA,24,0)-'TRADE IN'!$F373))</f>
        <v>499</v>
      </c>
      <c r="AA373" s="56">
        <f>IF(VLOOKUP($C373,REV!$C:$AA,25,0)-'TRADE IN'!$F373=0,"",(VLOOKUP($C373,REV!$C:$AA,25,0)-'TRADE IN'!$F373))</f>
        <v>499</v>
      </c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7"/>
      <c r="AW373" s="58" t="str">
        <f>REV!AW373</f>
        <v>03.11.2026</v>
      </c>
      <c r="AX373" s="147" t="str">
        <f>VLOOKUP(C373,REV!C:AX,48,0)</f>
        <v>5G</v>
      </c>
    </row>
    <row r="374" spans="1:50" ht="22.5" customHeight="1">
      <c r="A374" s="51" t="s">
        <v>63</v>
      </c>
      <c r="B374" s="52" t="s">
        <v>64</v>
      </c>
      <c r="C374" s="53">
        <v>4016063</v>
      </c>
      <c r="D374" s="65" t="s">
        <v>559</v>
      </c>
      <c r="E374" s="65" t="s">
        <v>561</v>
      </c>
      <c r="F374" s="55">
        <v>500</v>
      </c>
      <c r="G374" s="55"/>
      <c r="H374" s="55"/>
      <c r="I374" s="55"/>
      <c r="J374" s="56">
        <f>IF(VLOOKUP($C374,REV!$C:$AA,8,0)-'TRADE IN'!$F374=0,"",(VLOOKUP($C374,REV!$C:$AA,8,0)-'TRADE IN'!$F374))</f>
        <v>499</v>
      </c>
      <c r="K374" s="56">
        <f>IF(VLOOKUP($C374,REV!$C:$AA,9,0)-'TRADE IN'!$F374=0,"",(VLOOKUP($C374,REV!$C:$AA,9,0)-'TRADE IN'!$F374))</f>
        <v>499</v>
      </c>
      <c r="L374" s="56">
        <f>IF(VLOOKUP($C374,REV!$C:$AA,10,0)-'TRADE IN'!$F374=0,"",(VLOOKUP($C374,REV!$C:$AA,10,0)-'TRADE IN'!$F374))</f>
        <v>499</v>
      </c>
      <c r="M374" s="56">
        <f>IF(VLOOKUP($C374,REV!$C:$AA,11,0)-'TRADE IN'!$F374=0,"",(VLOOKUP($C374,REV!$C:$AA,11,0)-'TRADE IN'!$F374))</f>
        <v>499</v>
      </c>
      <c r="N374" s="56">
        <f>IF(VLOOKUP($C374,REV!$C:$AA,12,0)-'TRADE IN'!$F374=0,"",(VLOOKUP($C374,REV!$C:$AA,12,0)-'TRADE IN'!$F374))</f>
        <v>499</v>
      </c>
      <c r="O374" s="56">
        <f>IF(VLOOKUP($C374,REV!$C:$AA,13,0)-'TRADE IN'!$F374=0,"",(VLOOKUP($C374,REV!$C:$AA,13,0)-'TRADE IN'!$F374))</f>
        <v>499</v>
      </c>
      <c r="P374" s="56">
        <f>IF(VLOOKUP($C374,REV!$C:$AA,14,0)-'TRADE IN'!$F374=0,"",(VLOOKUP($C374,REV!$C:$AA,14,0)-'TRADE IN'!$F374))</f>
        <v>499</v>
      </c>
      <c r="Q374" s="56">
        <f>IF(VLOOKUP($C374,REV!$C:$AA,15,0)-'TRADE IN'!$F374=0,"",(VLOOKUP($C374,REV!$C:$AA,15,0)-'TRADE IN'!$F374))</f>
        <v>499</v>
      </c>
      <c r="R374" s="56">
        <f>IF(VLOOKUP($C374,REV!$C:$AA,16,0)-'TRADE IN'!$F374=0,"",(VLOOKUP($C374,REV!$C:$AA,16,0)-'TRADE IN'!$F374))</f>
        <v>499</v>
      </c>
      <c r="S374" s="56">
        <f>IF(VLOOKUP($C374,REV!$C:$AA,17,0)-'TRADE IN'!$F374=0,"",(VLOOKUP($C374,REV!$C:$AA,17,0)-'TRADE IN'!$F374))</f>
        <v>499</v>
      </c>
      <c r="T374" s="56">
        <f>IF(VLOOKUP($C374,REV!$C:$AA,18,0)-'TRADE IN'!$F374=0,"",(VLOOKUP($C374,REV!$C:$AA,18,0)-'TRADE IN'!$F374))</f>
        <v>499</v>
      </c>
      <c r="U374" s="56">
        <f>IF(VLOOKUP($C374,REV!$C:$AA,19,0)-'TRADE IN'!$F374=0,"",(VLOOKUP($C374,REV!$C:$AA,19,0)-'TRADE IN'!$F374))</f>
        <v>499</v>
      </c>
      <c r="V374" s="56">
        <f>IF(VLOOKUP($C374,REV!$C:$AA,20,0)-'TRADE IN'!$F374=0,"",(VLOOKUP($C374,REV!$C:$AA,20,0)-'TRADE IN'!$F374))</f>
        <v>499</v>
      </c>
      <c r="W374" s="56">
        <f>IF(VLOOKUP($C374,REV!$C:$AA,21,0)-'TRADE IN'!$F374=0,"",(VLOOKUP($C374,REV!$C:$AA,21,0)-'TRADE IN'!$F374))</f>
        <v>499</v>
      </c>
      <c r="X374" s="56">
        <f>IF(VLOOKUP($C374,REV!$C:$AA,22,0)-'TRADE IN'!$F374=0,"",(VLOOKUP($C374,REV!$C:$AA,22,0)-'TRADE IN'!$F374))</f>
        <v>499</v>
      </c>
      <c r="Y374" s="56">
        <f>IF(VLOOKUP($C374,REV!$C:$AA,23,0)-'TRADE IN'!$F374=0,"",(VLOOKUP($C374,REV!$C:$AA,23,0)-'TRADE IN'!$F374))</f>
        <v>499</v>
      </c>
      <c r="Z374" s="56">
        <f>IF(VLOOKUP($C374,REV!$C:$AA,24,0)-'TRADE IN'!$F374=0,"",(VLOOKUP($C374,REV!$C:$AA,24,0)-'TRADE IN'!$F374))</f>
        <v>499</v>
      </c>
      <c r="AA374" s="56">
        <f>IF(VLOOKUP($C374,REV!$C:$AA,25,0)-'TRADE IN'!$F374=0,"",(VLOOKUP($C374,REV!$C:$AA,25,0)-'TRADE IN'!$F374))</f>
        <v>499</v>
      </c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7"/>
      <c r="AW374" s="58" t="str">
        <f>REV!AW374</f>
        <v>03.11.2026</v>
      </c>
      <c r="AX374" s="147" t="str">
        <f>VLOOKUP(C374,REV!C:AX,48,0)</f>
        <v>5G</v>
      </c>
    </row>
    <row r="375" spans="1:50" ht="22.5" customHeight="1">
      <c r="A375" s="51" t="s">
        <v>63</v>
      </c>
      <c r="B375" s="52" t="s">
        <v>64</v>
      </c>
      <c r="C375" s="53">
        <v>4015884</v>
      </c>
      <c r="D375" s="65" t="s">
        <v>559</v>
      </c>
      <c r="E375" s="65" t="s">
        <v>562</v>
      </c>
      <c r="F375" s="55">
        <v>500</v>
      </c>
      <c r="G375" s="55"/>
      <c r="H375" s="55"/>
      <c r="I375" s="55"/>
      <c r="J375" s="56">
        <f>IF(VLOOKUP($C375,REV!$C:$AA,8,0)-'TRADE IN'!$F375=0,"",(VLOOKUP($C375,REV!$C:$AA,8,0)-'TRADE IN'!$F375))</f>
        <v>499</v>
      </c>
      <c r="K375" s="56">
        <f>IF(VLOOKUP($C375,REV!$C:$AA,9,0)-'TRADE IN'!$F375=0,"",(VLOOKUP($C375,REV!$C:$AA,9,0)-'TRADE IN'!$F375))</f>
        <v>499</v>
      </c>
      <c r="L375" s="56">
        <f>IF(VLOOKUP($C375,REV!$C:$AA,10,0)-'TRADE IN'!$F375=0,"",(VLOOKUP($C375,REV!$C:$AA,10,0)-'TRADE IN'!$F375))</f>
        <v>499</v>
      </c>
      <c r="M375" s="56">
        <f>IF(VLOOKUP($C375,REV!$C:$AA,11,0)-'TRADE IN'!$F375=0,"",(VLOOKUP($C375,REV!$C:$AA,11,0)-'TRADE IN'!$F375))</f>
        <v>499</v>
      </c>
      <c r="N375" s="56">
        <f>IF(VLOOKUP($C375,REV!$C:$AA,12,0)-'TRADE IN'!$F375=0,"",(VLOOKUP($C375,REV!$C:$AA,12,0)-'TRADE IN'!$F375))</f>
        <v>499</v>
      </c>
      <c r="O375" s="56">
        <f>IF(VLOOKUP($C375,REV!$C:$AA,13,0)-'TRADE IN'!$F375=0,"",(VLOOKUP($C375,REV!$C:$AA,13,0)-'TRADE IN'!$F375))</f>
        <v>499</v>
      </c>
      <c r="P375" s="56">
        <f>IF(VLOOKUP($C375,REV!$C:$AA,14,0)-'TRADE IN'!$F375=0,"",(VLOOKUP($C375,REV!$C:$AA,14,0)-'TRADE IN'!$F375))</f>
        <v>499</v>
      </c>
      <c r="Q375" s="56">
        <f>IF(VLOOKUP($C375,REV!$C:$AA,15,0)-'TRADE IN'!$F375=0,"",(VLOOKUP($C375,REV!$C:$AA,15,0)-'TRADE IN'!$F375))</f>
        <v>499</v>
      </c>
      <c r="R375" s="56">
        <f>IF(VLOOKUP($C375,REV!$C:$AA,16,0)-'TRADE IN'!$F375=0,"",(VLOOKUP($C375,REV!$C:$AA,16,0)-'TRADE IN'!$F375))</f>
        <v>499</v>
      </c>
      <c r="S375" s="56">
        <f>IF(VLOOKUP($C375,REV!$C:$AA,17,0)-'TRADE IN'!$F375=0,"",(VLOOKUP($C375,REV!$C:$AA,17,0)-'TRADE IN'!$F375))</f>
        <v>499</v>
      </c>
      <c r="T375" s="56">
        <f>IF(VLOOKUP($C375,REV!$C:$AA,18,0)-'TRADE IN'!$F375=0,"",(VLOOKUP($C375,REV!$C:$AA,18,0)-'TRADE IN'!$F375))</f>
        <v>499</v>
      </c>
      <c r="U375" s="56">
        <f>IF(VLOOKUP($C375,REV!$C:$AA,19,0)-'TRADE IN'!$F375=0,"",(VLOOKUP($C375,REV!$C:$AA,19,0)-'TRADE IN'!$F375))</f>
        <v>499</v>
      </c>
      <c r="V375" s="56">
        <f>IF(VLOOKUP($C375,REV!$C:$AA,20,0)-'TRADE IN'!$F375=0,"",(VLOOKUP($C375,REV!$C:$AA,20,0)-'TRADE IN'!$F375))</f>
        <v>499</v>
      </c>
      <c r="W375" s="56">
        <f>IF(VLOOKUP($C375,REV!$C:$AA,21,0)-'TRADE IN'!$F375=0,"",(VLOOKUP($C375,REV!$C:$AA,21,0)-'TRADE IN'!$F375))</f>
        <v>499</v>
      </c>
      <c r="X375" s="56">
        <f>IF(VLOOKUP($C375,REV!$C:$AA,22,0)-'TRADE IN'!$F375=0,"",(VLOOKUP($C375,REV!$C:$AA,22,0)-'TRADE IN'!$F375))</f>
        <v>499</v>
      </c>
      <c r="Y375" s="56">
        <f>IF(VLOOKUP($C375,REV!$C:$AA,23,0)-'TRADE IN'!$F375=0,"",(VLOOKUP($C375,REV!$C:$AA,23,0)-'TRADE IN'!$F375))</f>
        <v>499</v>
      </c>
      <c r="Z375" s="56">
        <f>IF(VLOOKUP($C375,REV!$C:$AA,24,0)-'TRADE IN'!$F375=0,"",(VLOOKUP($C375,REV!$C:$AA,24,0)-'TRADE IN'!$F375))</f>
        <v>499</v>
      </c>
      <c r="AA375" s="56">
        <f>IF(VLOOKUP($C375,REV!$C:$AA,25,0)-'TRADE IN'!$F375=0,"",(VLOOKUP($C375,REV!$C:$AA,25,0)-'TRADE IN'!$F375))</f>
        <v>499</v>
      </c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7"/>
      <c r="AW375" s="58" t="str">
        <f>REV!AW375</f>
        <v>03.11.2026</v>
      </c>
      <c r="AX375" s="147" t="str">
        <f>VLOOKUP(C375,REV!C:AX,48,0)</f>
        <v>5G</v>
      </c>
    </row>
    <row r="376" spans="1:50" ht="22.5" customHeight="1">
      <c r="A376" s="51" t="s">
        <v>63</v>
      </c>
      <c r="B376" s="52" t="s">
        <v>64</v>
      </c>
      <c r="C376" s="53">
        <v>4016047</v>
      </c>
      <c r="D376" s="65" t="s">
        <v>559</v>
      </c>
      <c r="E376" s="65" t="s">
        <v>563</v>
      </c>
      <c r="F376" s="55">
        <v>500</v>
      </c>
      <c r="G376" s="55"/>
      <c r="H376" s="55"/>
      <c r="I376" s="55"/>
      <c r="J376" s="56">
        <f>IF(VLOOKUP($C376,REV!$C:$AA,8,0)-'TRADE IN'!$F376=0,"",(VLOOKUP($C376,REV!$C:$AA,8,0)-'TRADE IN'!$F376))</f>
        <v>499</v>
      </c>
      <c r="K376" s="56">
        <f>IF(VLOOKUP($C376,REV!$C:$AA,9,0)-'TRADE IN'!$F376=0,"",(VLOOKUP($C376,REV!$C:$AA,9,0)-'TRADE IN'!$F376))</f>
        <v>499</v>
      </c>
      <c r="L376" s="56">
        <f>IF(VLOOKUP($C376,REV!$C:$AA,10,0)-'TRADE IN'!$F376=0,"",(VLOOKUP($C376,REV!$C:$AA,10,0)-'TRADE IN'!$F376))</f>
        <v>499</v>
      </c>
      <c r="M376" s="56">
        <f>IF(VLOOKUP($C376,REV!$C:$AA,11,0)-'TRADE IN'!$F376=0,"",(VLOOKUP($C376,REV!$C:$AA,11,0)-'TRADE IN'!$F376))</f>
        <v>499</v>
      </c>
      <c r="N376" s="56">
        <f>IF(VLOOKUP($C376,REV!$C:$AA,12,0)-'TRADE IN'!$F376=0,"",(VLOOKUP($C376,REV!$C:$AA,12,0)-'TRADE IN'!$F376))</f>
        <v>499</v>
      </c>
      <c r="O376" s="56">
        <f>IF(VLOOKUP($C376,REV!$C:$AA,13,0)-'TRADE IN'!$F376=0,"",(VLOOKUP($C376,REV!$C:$AA,13,0)-'TRADE IN'!$F376))</f>
        <v>499</v>
      </c>
      <c r="P376" s="56">
        <f>IF(VLOOKUP($C376,REV!$C:$AA,14,0)-'TRADE IN'!$F376=0,"",(VLOOKUP($C376,REV!$C:$AA,14,0)-'TRADE IN'!$F376))</f>
        <v>499</v>
      </c>
      <c r="Q376" s="56">
        <f>IF(VLOOKUP($C376,REV!$C:$AA,15,0)-'TRADE IN'!$F376=0,"",(VLOOKUP($C376,REV!$C:$AA,15,0)-'TRADE IN'!$F376))</f>
        <v>499</v>
      </c>
      <c r="R376" s="56">
        <f>IF(VLOOKUP($C376,REV!$C:$AA,16,0)-'TRADE IN'!$F376=0,"",(VLOOKUP($C376,REV!$C:$AA,16,0)-'TRADE IN'!$F376))</f>
        <v>499</v>
      </c>
      <c r="S376" s="56">
        <f>IF(VLOOKUP($C376,REV!$C:$AA,17,0)-'TRADE IN'!$F376=0,"",(VLOOKUP($C376,REV!$C:$AA,17,0)-'TRADE IN'!$F376))</f>
        <v>499</v>
      </c>
      <c r="T376" s="56">
        <f>IF(VLOOKUP($C376,REV!$C:$AA,18,0)-'TRADE IN'!$F376=0,"",(VLOOKUP($C376,REV!$C:$AA,18,0)-'TRADE IN'!$F376))</f>
        <v>499</v>
      </c>
      <c r="U376" s="56">
        <f>IF(VLOOKUP($C376,REV!$C:$AA,19,0)-'TRADE IN'!$F376=0,"",(VLOOKUP($C376,REV!$C:$AA,19,0)-'TRADE IN'!$F376))</f>
        <v>499</v>
      </c>
      <c r="V376" s="56">
        <f>IF(VLOOKUP($C376,REV!$C:$AA,20,0)-'TRADE IN'!$F376=0,"",(VLOOKUP($C376,REV!$C:$AA,20,0)-'TRADE IN'!$F376))</f>
        <v>499</v>
      </c>
      <c r="W376" s="56">
        <f>IF(VLOOKUP($C376,REV!$C:$AA,21,0)-'TRADE IN'!$F376=0,"",(VLOOKUP($C376,REV!$C:$AA,21,0)-'TRADE IN'!$F376))</f>
        <v>499</v>
      </c>
      <c r="X376" s="56">
        <f>IF(VLOOKUP($C376,REV!$C:$AA,22,0)-'TRADE IN'!$F376=0,"",(VLOOKUP($C376,REV!$C:$AA,22,0)-'TRADE IN'!$F376))</f>
        <v>499</v>
      </c>
      <c r="Y376" s="56">
        <f>IF(VLOOKUP($C376,REV!$C:$AA,23,0)-'TRADE IN'!$F376=0,"",(VLOOKUP($C376,REV!$C:$AA,23,0)-'TRADE IN'!$F376))</f>
        <v>499</v>
      </c>
      <c r="Z376" s="56">
        <f>IF(VLOOKUP($C376,REV!$C:$AA,24,0)-'TRADE IN'!$F376=0,"",(VLOOKUP($C376,REV!$C:$AA,24,0)-'TRADE IN'!$F376))</f>
        <v>499</v>
      </c>
      <c r="AA376" s="56">
        <f>IF(VLOOKUP($C376,REV!$C:$AA,25,0)-'TRADE IN'!$F376=0,"",(VLOOKUP($C376,REV!$C:$AA,25,0)-'TRADE IN'!$F376))</f>
        <v>499</v>
      </c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7"/>
      <c r="AW376" s="58" t="str">
        <f>REV!AW376</f>
        <v>03.11.2026</v>
      </c>
      <c r="AX376" s="147" t="str">
        <f>VLOOKUP(C376,REV!C:AX,48,0)</f>
        <v>5G</v>
      </c>
    </row>
    <row r="377" spans="1:50" ht="22.5" customHeight="1">
      <c r="A377" s="51" t="s">
        <v>63</v>
      </c>
      <c r="B377" s="52" t="s">
        <v>64</v>
      </c>
      <c r="C377" s="53">
        <v>4016039</v>
      </c>
      <c r="D377" s="65" t="s">
        <v>559</v>
      </c>
      <c r="E377" s="65" t="s">
        <v>564</v>
      </c>
      <c r="F377" s="55">
        <v>500</v>
      </c>
      <c r="G377" s="55"/>
      <c r="H377" s="55"/>
      <c r="I377" s="55"/>
      <c r="J377" s="56">
        <f>IF(VLOOKUP($C377,REV!$C:$AA,8,0)-'TRADE IN'!$F377=0,"",(VLOOKUP($C377,REV!$C:$AA,8,0)-'TRADE IN'!$F377))</f>
        <v>499</v>
      </c>
      <c r="K377" s="56">
        <f>IF(VLOOKUP($C377,REV!$C:$AA,9,0)-'TRADE IN'!$F377=0,"",(VLOOKUP($C377,REV!$C:$AA,9,0)-'TRADE IN'!$F377))</f>
        <v>499</v>
      </c>
      <c r="L377" s="56">
        <f>IF(VLOOKUP($C377,REV!$C:$AA,10,0)-'TRADE IN'!$F377=0,"",(VLOOKUP($C377,REV!$C:$AA,10,0)-'TRADE IN'!$F377))</f>
        <v>499</v>
      </c>
      <c r="M377" s="56">
        <f>IF(VLOOKUP($C377,REV!$C:$AA,11,0)-'TRADE IN'!$F377=0,"",(VLOOKUP($C377,REV!$C:$AA,11,0)-'TRADE IN'!$F377))</f>
        <v>499</v>
      </c>
      <c r="N377" s="56">
        <f>IF(VLOOKUP($C377,REV!$C:$AA,12,0)-'TRADE IN'!$F377=0,"",(VLOOKUP($C377,REV!$C:$AA,12,0)-'TRADE IN'!$F377))</f>
        <v>499</v>
      </c>
      <c r="O377" s="56">
        <f>IF(VLOOKUP($C377,REV!$C:$AA,13,0)-'TRADE IN'!$F377=0,"",(VLOOKUP($C377,REV!$C:$AA,13,0)-'TRADE IN'!$F377))</f>
        <v>499</v>
      </c>
      <c r="P377" s="56">
        <f>IF(VLOOKUP($C377,REV!$C:$AA,14,0)-'TRADE IN'!$F377=0,"",(VLOOKUP($C377,REV!$C:$AA,14,0)-'TRADE IN'!$F377))</f>
        <v>499</v>
      </c>
      <c r="Q377" s="56">
        <f>IF(VLOOKUP($C377,REV!$C:$AA,15,0)-'TRADE IN'!$F377=0,"",(VLOOKUP($C377,REV!$C:$AA,15,0)-'TRADE IN'!$F377))</f>
        <v>499</v>
      </c>
      <c r="R377" s="56">
        <f>IF(VLOOKUP($C377,REV!$C:$AA,16,0)-'TRADE IN'!$F377=0,"",(VLOOKUP($C377,REV!$C:$AA,16,0)-'TRADE IN'!$F377))</f>
        <v>499</v>
      </c>
      <c r="S377" s="56">
        <f>IF(VLOOKUP($C377,REV!$C:$AA,17,0)-'TRADE IN'!$F377=0,"",(VLOOKUP($C377,REV!$C:$AA,17,0)-'TRADE IN'!$F377))</f>
        <v>499</v>
      </c>
      <c r="T377" s="56">
        <f>IF(VLOOKUP($C377,REV!$C:$AA,18,0)-'TRADE IN'!$F377=0,"",(VLOOKUP($C377,REV!$C:$AA,18,0)-'TRADE IN'!$F377))</f>
        <v>499</v>
      </c>
      <c r="U377" s="56">
        <f>IF(VLOOKUP($C377,REV!$C:$AA,19,0)-'TRADE IN'!$F377=0,"",(VLOOKUP($C377,REV!$C:$AA,19,0)-'TRADE IN'!$F377))</f>
        <v>499</v>
      </c>
      <c r="V377" s="56">
        <f>IF(VLOOKUP($C377,REV!$C:$AA,20,0)-'TRADE IN'!$F377=0,"",(VLOOKUP($C377,REV!$C:$AA,20,0)-'TRADE IN'!$F377))</f>
        <v>499</v>
      </c>
      <c r="W377" s="56">
        <f>IF(VLOOKUP($C377,REV!$C:$AA,21,0)-'TRADE IN'!$F377=0,"",(VLOOKUP($C377,REV!$C:$AA,21,0)-'TRADE IN'!$F377))</f>
        <v>499</v>
      </c>
      <c r="X377" s="56">
        <f>IF(VLOOKUP($C377,REV!$C:$AA,22,0)-'TRADE IN'!$F377=0,"",(VLOOKUP($C377,REV!$C:$AA,22,0)-'TRADE IN'!$F377))</f>
        <v>499</v>
      </c>
      <c r="Y377" s="56">
        <f>IF(VLOOKUP($C377,REV!$C:$AA,23,0)-'TRADE IN'!$F377=0,"",(VLOOKUP($C377,REV!$C:$AA,23,0)-'TRADE IN'!$F377))</f>
        <v>499</v>
      </c>
      <c r="Z377" s="56">
        <f>IF(VLOOKUP($C377,REV!$C:$AA,24,0)-'TRADE IN'!$F377=0,"",(VLOOKUP($C377,REV!$C:$AA,24,0)-'TRADE IN'!$F377))</f>
        <v>499</v>
      </c>
      <c r="AA377" s="56">
        <f>IF(VLOOKUP($C377,REV!$C:$AA,25,0)-'TRADE IN'!$F377=0,"",(VLOOKUP($C377,REV!$C:$AA,25,0)-'TRADE IN'!$F377))</f>
        <v>499</v>
      </c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7"/>
      <c r="AW377" s="58" t="str">
        <f>REV!AW377</f>
        <v>03.11.2026</v>
      </c>
      <c r="AX377" s="147" t="str">
        <f>VLOOKUP(C377,REV!C:AX,48,0)</f>
        <v>5G</v>
      </c>
    </row>
    <row r="378" spans="1:50" ht="22.5" customHeight="1">
      <c r="A378" s="51" t="s">
        <v>63</v>
      </c>
      <c r="B378" s="52" t="s">
        <v>64</v>
      </c>
      <c r="C378" s="53">
        <v>4016071</v>
      </c>
      <c r="D378" s="65" t="s">
        <v>559</v>
      </c>
      <c r="E378" s="65" t="s">
        <v>565</v>
      </c>
      <c r="F378" s="55">
        <v>500</v>
      </c>
      <c r="G378" s="55"/>
      <c r="H378" s="55"/>
      <c r="I378" s="55"/>
      <c r="J378" s="56">
        <f>IF(VLOOKUP($C378,REV!$C:$AA,8,0)-'TRADE IN'!$F378=0,"",(VLOOKUP($C378,REV!$C:$AA,8,0)-'TRADE IN'!$F378))</f>
        <v>499</v>
      </c>
      <c r="K378" s="56">
        <f>IF(VLOOKUP($C378,REV!$C:$AA,9,0)-'TRADE IN'!$F378=0,"",(VLOOKUP($C378,REV!$C:$AA,9,0)-'TRADE IN'!$F378))</f>
        <v>499</v>
      </c>
      <c r="L378" s="56">
        <f>IF(VLOOKUP($C378,REV!$C:$AA,10,0)-'TRADE IN'!$F378=0,"",(VLOOKUP($C378,REV!$C:$AA,10,0)-'TRADE IN'!$F378))</f>
        <v>499</v>
      </c>
      <c r="M378" s="56">
        <f>IF(VLOOKUP($C378,REV!$C:$AA,11,0)-'TRADE IN'!$F378=0,"",(VLOOKUP($C378,REV!$C:$AA,11,0)-'TRADE IN'!$F378))</f>
        <v>499</v>
      </c>
      <c r="N378" s="56">
        <f>IF(VLOOKUP($C378,REV!$C:$AA,12,0)-'TRADE IN'!$F378=0,"",(VLOOKUP($C378,REV!$C:$AA,12,0)-'TRADE IN'!$F378))</f>
        <v>499</v>
      </c>
      <c r="O378" s="56">
        <f>IF(VLOOKUP($C378,REV!$C:$AA,13,0)-'TRADE IN'!$F378=0,"",(VLOOKUP($C378,REV!$C:$AA,13,0)-'TRADE IN'!$F378))</f>
        <v>499</v>
      </c>
      <c r="P378" s="56">
        <f>IF(VLOOKUP($C378,REV!$C:$AA,14,0)-'TRADE IN'!$F378=0,"",(VLOOKUP($C378,REV!$C:$AA,14,0)-'TRADE IN'!$F378))</f>
        <v>499</v>
      </c>
      <c r="Q378" s="56">
        <f>IF(VLOOKUP($C378,REV!$C:$AA,15,0)-'TRADE IN'!$F378=0,"",(VLOOKUP($C378,REV!$C:$AA,15,0)-'TRADE IN'!$F378))</f>
        <v>499</v>
      </c>
      <c r="R378" s="56">
        <f>IF(VLOOKUP($C378,REV!$C:$AA,16,0)-'TRADE IN'!$F378=0,"",(VLOOKUP($C378,REV!$C:$AA,16,0)-'TRADE IN'!$F378))</f>
        <v>499</v>
      </c>
      <c r="S378" s="56">
        <f>IF(VLOOKUP($C378,REV!$C:$AA,17,0)-'TRADE IN'!$F378=0,"",(VLOOKUP($C378,REV!$C:$AA,17,0)-'TRADE IN'!$F378))</f>
        <v>499</v>
      </c>
      <c r="T378" s="56">
        <f>IF(VLOOKUP($C378,REV!$C:$AA,18,0)-'TRADE IN'!$F378=0,"",(VLOOKUP($C378,REV!$C:$AA,18,0)-'TRADE IN'!$F378))</f>
        <v>499</v>
      </c>
      <c r="U378" s="56">
        <f>IF(VLOOKUP($C378,REV!$C:$AA,19,0)-'TRADE IN'!$F378=0,"",(VLOOKUP($C378,REV!$C:$AA,19,0)-'TRADE IN'!$F378))</f>
        <v>499</v>
      </c>
      <c r="V378" s="56">
        <f>IF(VLOOKUP($C378,REV!$C:$AA,20,0)-'TRADE IN'!$F378=0,"",(VLOOKUP($C378,REV!$C:$AA,20,0)-'TRADE IN'!$F378))</f>
        <v>499</v>
      </c>
      <c r="W378" s="56">
        <f>IF(VLOOKUP($C378,REV!$C:$AA,21,0)-'TRADE IN'!$F378=0,"",(VLOOKUP($C378,REV!$C:$AA,21,0)-'TRADE IN'!$F378))</f>
        <v>499</v>
      </c>
      <c r="X378" s="56">
        <f>IF(VLOOKUP($C378,REV!$C:$AA,22,0)-'TRADE IN'!$F378=0,"",(VLOOKUP($C378,REV!$C:$AA,22,0)-'TRADE IN'!$F378))</f>
        <v>499</v>
      </c>
      <c r="Y378" s="56">
        <f>IF(VLOOKUP($C378,REV!$C:$AA,23,0)-'TRADE IN'!$F378=0,"",(VLOOKUP($C378,REV!$C:$AA,23,0)-'TRADE IN'!$F378))</f>
        <v>499</v>
      </c>
      <c r="Z378" s="56">
        <f>IF(VLOOKUP($C378,REV!$C:$AA,24,0)-'TRADE IN'!$F378=0,"",(VLOOKUP($C378,REV!$C:$AA,24,0)-'TRADE IN'!$F378))</f>
        <v>499</v>
      </c>
      <c r="AA378" s="56">
        <f>IF(VLOOKUP($C378,REV!$C:$AA,25,0)-'TRADE IN'!$F378=0,"",(VLOOKUP($C378,REV!$C:$AA,25,0)-'TRADE IN'!$F378))</f>
        <v>499</v>
      </c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7"/>
      <c r="AW378" s="58" t="str">
        <f>REV!AW378</f>
        <v>03.11.2026</v>
      </c>
      <c r="AX378" s="147" t="str">
        <f>VLOOKUP(C378,REV!C:AX,48,0)</f>
        <v>5G</v>
      </c>
    </row>
    <row r="379" spans="1:50" ht="22.5" customHeight="1">
      <c r="A379" s="51" t="s">
        <v>63</v>
      </c>
      <c r="B379" s="52" t="s">
        <v>64</v>
      </c>
      <c r="C379" s="53">
        <v>4016055</v>
      </c>
      <c r="D379" s="65" t="s">
        <v>559</v>
      </c>
      <c r="E379" s="65" t="s">
        <v>566</v>
      </c>
      <c r="F379" s="55">
        <v>500</v>
      </c>
      <c r="G379" s="55"/>
      <c r="H379" s="55"/>
      <c r="I379" s="55"/>
      <c r="J379" s="56">
        <f>IF(VLOOKUP($C379,REV!$C:$AA,8,0)-'TRADE IN'!$F379=0,"",(VLOOKUP($C379,REV!$C:$AA,8,0)-'TRADE IN'!$F379))</f>
        <v>499</v>
      </c>
      <c r="K379" s="56">
        <f>IF(VLOOKUP($C379,REV!$C:$AA,9,0)-'TRADE IN'!$F379=0,"",(VLOOKUP($C379,REV!$C:$AA,9,0)-'TRADE IN'!$F379))</f>
        <v>499</v>
      </c>
      <c r="L379" s="56">
        <f>IF(VLOOKUP($C379,REV!$C:$AA,10,0)-'TRADE IN'!$F379=0,"",(VLOOKUP($C379,REV!$C:$AA,10,0)-'TRADE IN'!$F379))</f>
        <v>499</v>
      </c>
      <c r="M379" s="56">
        <f>IF(VLOOKUP($C379,REV!$C:$AA,11,0)-'TRADE IN'!$F379=0,"",(VLOOKUP($C379,REV!$C:$AA,11,0)-'TRADE IN'!$F379))</f>
        <v>499</v>
      </c>
      <c r="N379" s="56">
        <f>IF(VLOOKUP($C379,REV!$C:$AA,12,0)-'TRADE IN'!$F379=0,"",(VLOOKUP($C379,REV!$C:$AA,12,0)-'TRADE IN'!$F379))</f>
        <v>499</v>
      </c>
      <c r="O379" s="56">
        <f>IF(VLOOKUP($C379,REV!$C:$AA,13,0)-'TRADE IN'!$F379=0,"",(VLOOKUP($C379,REV!$C:$AA,13,0)-'TRADE IN'!$F379))</f>
        <v>499</v>
      </c>
      <c r="P379" s="56">
        <f>IF(VLOOKUP($C379,REV!$C:$AA,14,0)-'TRADE IN'!$F379=0,"",(VLOOKUP($C379,REV!$C:$AA,14,0)-'TRADE IN'!$F379))</f>
        <v>499</v>
      </c>
      <c r="Q379" s="56">
        <f>IF(VLOOKUP($C379,REV!$C:$AA,15,0)-'TRADE IN'!$F379=0,"",(VLOOKUP($C379,REV!$C:$AA,15,0)-'TRADE IN'!$F379))</f>
        <v>499</v>
      </c>
      <c r="R379" s="56">
        <f>IF(VLOOKUP($C379,REV!$C:$AA,16,0)-'TRADE IN'!$F379=0,"",(VLOOKUP($C379,REV!$C:$AA,16,0)-'TRADE IN'!$F379))</f>
        <v>499</v>
      </c>
      <c r="S379" s="56">
        <f>IF(VLOOKUP($C379,REV!$C:$AA,17,0)-'TRADE IN'!$F379=0,"",(VLOOKUP($C379,REV!$C:$AA,17,0)-'TRADE IN'!$F379))</f>
        <v>499</v>
      </c>
      <c r="T379" s="56">
        <f>IF(VLOOKUP($C379,REV!$C:$AA,18,0)-'TRADE IN'!$F379=0,"",(VLOOKUP($C379,REV!$C:$AA,18,0)-'TRADE IN'!$F379))</f>
        <v>499</v>
      </c>
      <c r="U379" s="56">
        <f>IF(VLOOKUP($C379,REV!$C:$AA,19,0)-'TRADE IN'!$F379=0,"",(VLOOKUP($C379,REV!$C:$AA,19,0)-'TRADE IN'!$F379))</f>
        <v>499</v>
      </c>
      <c r="V379" s="56">
        <f>IF(VLOOKUP($C379,REV!$C:$AA,20,0)-'TRADE IN'!$F379=0,"",(VLOOKUP($C379,REV!$C:$AA,20,0)-'TRADE IN'!$F379))</f>
        <v>499</v>
      </c>
      <c r="W379" s="56">
        <f>IF(VLOOKUP($C379,REV!$C:$AA,21,0)-'TRADE IN'!$F379=0,"",(VLOOKUP($C379,REV!$C:$AA,21,0)-'TRADE IN'!$F379))</f>
        <v>499</v>
      </c>
      <c r="X379" s="56">
        <f>IF(VLOOKUP($C379,REV!$C:$AA,22,0)-'TRADE IN'!$F379=0,"",(VLOOKUP($C379,REV!$C:$AA,22,0)-'TRADE IN'!$F379))</f>
        <v>499</v>
      </c>
      <c r="Y379" s="56">
        <f>IF(VLOOKUP($C379,REV!$C:$AA,23,0)-'TRADE IN'!$F379=0,"",(VLOOKUP($C379,REV!$C:$AA,23,0)-'TRADE IN'!$F379))</f>
        <v>499</v>
      </c>
      <c r="Z379" s="56">
        <f>IF(VLOOKUP($C379,REV!$C:$AA,24,0)-'TRADE IN'!$F379=0,"",(VLOOKUP($C379,REV!$C:$AA,24,0)-'TRADE IN'!$F379))</f>
        <v>499</v>
      </c>
      <c r="AA379" s="56">
        <f>IF(VLOOKUP($C379,REV!$C:$AA,25,0)-'TRADE IN'!$F379=0,"",(VLOOKUP($C379,REV!$C:$AA,25,0)-'TRADE IN'!$F379))</f>
        <v>499</v>
      </c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7"/>
      <c r="AW379" s="58" t="str">
        <f>REV!AW379</f>
        <v>03.11.2026</v>
      </c>
      <c r="AX379" s="147" t="str">
        <f>VLOOKUP(C379,REV!C:AX,48,0)</f>
        <v>5G</v>
      </c>
    </row>
    <row r="380" spans="1:50" ht="22.5" customHeight="1">
      <c r="A380" s="51" t="s">
        <v>63</v>
      </c>
      <c r="B380" s="52" t="s">
        <v>64</v>
      </c>
      <c r="C380" s="53">
        <v>4016034</v>
      </c>
      <c r="D380" s="65" t="s">
        <v>567</v>
      </c>
      <c r="E380" s="65" t="s">
        <v>568</v>
      </c>
      <c r="F380" s="55"/>
      <c r="G380" s="55"/>
      <c r="H380" s="55"/>
      <c r="I380" s="55"/>
      <c r="J380" s="56">
        <f>IF(VLOOKUP($C380,REV!$C:$AA,8,0)-'TRADE IN'!$F380=0,"",(VLOOKUP($C380,REV!$C:$AA,8,0)-'TRADE IN'!$F380))</f>
        <v>999</v>
      </c>
      <c r="K380" s="56">
        <f>IF(VLOOKUP($C380,REV!$C:$AA,9,0)-'TRADE IN'!$F380=0,"",(VLOOKUP($C380,REV!$C:$AA,9,0)-'TRADE IN'!$F380))</f>
        <v>999</v>
      </c>
      <c r="L380" s="56">
        <f>IF(VLOOKUP($C380,REV!$C:$AA,10,0)-'TRADE IN'!$F380=0,"",(VLOOKUP($C380,REV!$C:$AA,10,0)-'TRADE IN'!$F380))</f>
        <v>999</v>
      </c>
      <c r="M380" s="56">
        <f>IF(VLOOKUP($C380,REV!$C:$AA,11,0)-'TRADE IN'!$F380=0,"",(VLOOKUP($C380,REV!$C:$AA,11,0)-'TRADE IN'!$F380))</f>
        <v>999</v>
      </c>
      <c r="N380" s="56">
        <f>IF(VLOOKUP($C380,REV!$C:$AA,12,0)-'TRADE IN'!$F380=0,"",(VLOOKUP($C380,REV!$C:$AA,12,0)-'TRADE IN'!$F380))</f>
        <v>999</v>
      </c>
      <c r="O380" s="56">
        <f>IF(VLOOKUP($C380,REV!$C:$AA,13,0)-'TRADE IN'!$F380=0,"",(VLOOKUP($C380,REV!$C:$AA,13,0)-'TRADE IN'!$F380))</f>
        <v>999</v>
      </c>
      <c r="P380" s="56">
        <f>IF(VLOOKUP($C380,REV!$C:$AA,14,0)-'TRADE IN'!$F380=0,"",(VLOOKUP($C380,REV!$C:$AA,14,0)-'TRADE IN'!$F380))</f>
        <v>999</v>
      </c>
      <c r="Q380" s="56">
        <f>IF(VLOOKUP($C380,REV!$C:$AA,15,0)-'TRADE IN'!$F380=0,"",(VLOOKUP($C380,REV!$C:$AA,15,0)-'TRADE IN'!$F380))</f>
        <v>999</v>
      </c>
      <c r="R380" s="56">
        <f>IF(VLOOKUP($C380,REV!$C:$AA,16,0)-'TRADE IN'!$F380=0,"",(VLOOKUP($C380,REV!$C:$AA,16,0)-'TRADE IN'!$F380))</f>
        <v>999</v>
      </c>
      <c r="S380" s="56">
        <f>IF(VLOOKUP($C380,REV!$C:$AA,17,0)-'TRADE IN'!$F380=0,"",(VLOOKUP($C380,REV!$C:$AA,17,0)-'TRADE IN'!$F380))</f>
        <v>999</v>
      </c>
      <c r="T380" s="56">
        <f>IF(VLOOKUP($C380,REV!$C:$AA,18,0)-'TRADE IN'!$F380=0,"",(VLOOKUP($C380,REV!$C:$AA,18,0)-'TRADE IN'!$F380))</f>
        <v>999</v>
      </c>
      <c r="U380" s="56">
        <f>IF(VLOOKUP($C380,REV!$C:$AA,19,0)-'TRADE IN'!$F380=0,"",(VLOOKUP($C380,REV!$C:$AA,19,0)-'TRADE IN'!$F380))</f>
        <v>999</v>
      </c>
      <c r="V380" s="56">
        <f>IF(VLOOKUP($C380,REV!$C:$AA,20,0)-'TRADE IN'!$F380=0,"",(VLOOKUP($C380,REV!$C:$AA,20,0)-'TRADE IN'!$F380))</f>
        <v>999</v>
      </c>
      <c r="W380" s="56">
        <f>IF(VLOOKUP($C380,REV!$C:$AA,21,0)-'TRADE IN'!$F380=0,"",(VLOOKUP($C380,REV!$C:$AA,21,0)-'TRADE IN'!$F380))</f>
        <v>999</v>
      </c>
      <c r="X380" s="56">
        <f>IF(VLOOKUP($C380,REV!$C:$AA,22,0)-'TRADE IN'!$F380=0,"",(VLOOKUP($C380,REV!$C:$AA,22,0)-'TRADE IN'!$F380))</f>
        <v>999</v>
      </c>
      <c r="Y380" s="56">
        <f>IF(VLOOKUP($C380,REV!$C:$AA,23,0)-'TRADE IN'!$F380=0,"",(VLOOKUP($C380,REV!$C:$AA,23,0)-'TRADE IN'!$F380))</f>
        <v>999</v>
      </c>
      <c r="Z380" s="56">
        <f>IF(VLOOKUP($C380,REV!$C:$AA,24,0)-'TRADE IN'!$F380=0,"",(VLOOKUP($C380,REV!$C:$AA,24,0)-'TRADE IN'!$F380))</f>
        <v>999</v>
      </c>
      <c r="AA380" s="56">
        <f>IF(VLOOKUP($C380,REV!$C:$AA,25,0)-'TRADE IN'!$F380=0,"",(VLOOKUP($C380,REV!$C:$AA,25,0)-'TRADE IN'!$F380))</f>
        <v>999</v>
      </c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7"/>
      <c r="AW380" s="58" t="str">
        <f>REV!AW380</f>
        <v>03.11.2026</v>
      </c>
      <c r="AX380" s="147" t="str">
        <f>VLOOKUP(C380,REV!C:AX,48,0)</f>
        <v>5G</v>
      </c>
    </row>
    <row r="381" spans="1:50" ht="22.5" customHeight="1">
      <c r="A381" s="51" t="s">
        <v>63</v>
      </c>
      <c r="B381" s="52" t="s">
        <v>64</v>
      </c>
      <c r="C381" s="53">
        <v>4016066</v>
      </c>
      <c r="D381" s="65" t="s">
        <v>567</v>
      </c>
      <c r="E381" s="65" t="s">
        <v>569</v>
      </c>
      <c r="F381" s="55"/>
      <c r="G381" s="55"/>
      <c r="H381" s="55"/>
      <c r="I381" s="55"/>
      <c r="J381" s="56">
        <f>IF(VLOOKUP($C381,REV!$C:$AA,8,0)-'TRADE IN'!$F381=0,"",(VLOOKUP($C381,REV!$C:$AA,8,0)-'TRADE IN'!$F381))</f>
        <v>999</v>
      </c>
      <c r="K381" s="56">
        <f>IF(VLOOKUP($C381,REV!$C:$AA,9,0)-'TRADE IN'!$F381=0,"",(VLOOKUP($C381,REV!$C:$AA,9,0)-'TRADE IN'!$F381))</f>
        <v>999</v>
      </c>
      <c r="L381" s="56">
        <f>IF(VLOOKUP($C381,REV!$C:$AA,10,0)-'TRADE IN'!$F381=0,"",(VLOOKUP($C381,REV!$C:$AA,10,0)-'TRADE IN'!$F381))</f>
        <v>999</v>
      </c>
      <c r="M381" s="56">
        <f>IF(VLOOKUP($C381,REV!$C:$AA,11,0)-'TRADE IN'!$F381=0,"",(VLOOKUP($C381,REV!$C:$AA,11,0)-'TRADE IN'!$F381))</f>
        <v>999</v>
      </c>
      <c r="N381" s="56">
        <f>IF(VLOOKUP($C381,REV!$C:$AA,12,0)-'TRADE IN'!$F381=0,"",(VLOOKUP($C381,REV!$C:$AA,12,0)-'TRADE IN'!$F381))</f>
        <v>999</v>
      </c>
      <c r="O381" s="56">
        <f>IF(VLOOKUP($C381,REV!$C:$AA,13,0)-'TRADE IN'!$F381=0,"",(VLOOKUP($C381,REV!$C:$AA,13,0)-'TRADE IN'!$F381))</f>
        <v>999</v>
      </c>
      <c r="P381" s="56">
        <f>IF(VLOOKUP($C381,REV!$C:$AA,14,0)-'TRADE IN'!$F381=0,"",(VLOOKUP($C381,REV!$C:$AA,14,0)-'TRADE IN'!$F381))</f>
        <v>999</v>
      </c>
      <c r="Q381" s="56">
        <f>IF(VLOOKUP($C381,REV!$C:$AA,15,0)-'TRADE IN'!$F381=0,"",(VLOOKUP($C381,REV!$C:$AA,15,0)-'TRADE IN'!$F381))</f>
        <v>999</v>
      </c>
      <c r="R381" s="56">
        <f>IF(VLOOKUP($C381,REV!$C:$AA,16,0)-'TRADE IN'!$F381=0,"",(VLOOKUP($C381,REV!$C:$AA,16,0)-'TRADE IN'!$F381))</f>
        <v>999</v>
      </c>
      <c r="S381" s="56">
        <f>IF(VLOOKUP($C381,REV!$C:$AA,17,0)-'TRADE IN'!$F381=0,"",(VLOOKUP($C381,REV!$C:$AA,17,0)-'TRADE IN'!$F381))</f>
        <v>999</v>
      </c>
      <c r="T381" s="56">
        <f>IF(VLOOKUP($C381,REV!$C:$AA,18,0)-'TRADE IN'!$F381=0,"",(VLOOKUP($C381,REV!$C:$AA,18,0)-'TRADE IN'!$F381))</f>
        <v>999</v>
      </c>
      <c r="U381" s="56">
        <f>IF(VLOOKUP($C381,REV!$C:$AA,19,0)-'TRADE IN'!$F381=0,"",(VLOOKUP($C381,REV!$C:$AA,19,0)-'TRADE IN'!$F381))</f>
        <v>999</v>
      </c>
      <c r="V381" s="56">
        <f>IF(VLOOKUP($C381,REV!$C:$AA,20,0)-'TRADE IN'!$F381=0,"",(VLOOKUP($C381,REV!$C:$AA,20,0)-'TRADE IN'!$F381))</f>
        <v>999</v>
      </c>
      <c r="W381" s="56">
        <f>IF(VLOOKUP($C381,REV!$C:$AA,21,0)-'TRADE IN'!$F381=0,"",(VLOOKUP($C381,REV!$C:$AA,21,0)-'TRADE IN'!$F381))</f>
        <v>999</v>
      </c>
      <c r="X381" s="56">
        <f>IF(VLOOKUP($C381,REV!$C:$AA,22,0)-'TRADE IN'!$F381=0,"",(VLOOKUP($C381,REV!$C:$AA,22,0)-'TRADE IN'!$F381))</f>
        <v>999</v>
      </c>
      <c r="Y381" s="56">
        <f>IF(VLOOKUP($C381,REV!$C:$AA,23,0)-'TRADE IN'!$F381=0,"",(VLOOKUP($C381,REV!$C:$AA,23,0)-'TRADE IN'!$F381))</f>
        <v>999</v>
      </c>
      <c r="Z381" s="56">
        <f>IF(VLOOKUP($C381,REV!$C:$AA,24,0)-'TRADE IN'!$F381=0,"",(VLOOKUP($C381,REV!$C:$AA,24,0)-'TRADE IN'!$F381))</f>
        <v>999</v>
      </c>
      <c r="AA381" s="56">
        <f>IF(VLOOKUP($C381,REV!$C:$AA,25,0)-'TRADE IN'!$F381=0,"",(VLOOKUP($C381,REV!$C:$AA,25,0)-'TRADE IN'!$F381))</f>
        <v>999</v>
      </c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7"/>
      <c r="AW381" s="58" t="str">
        <f>REV!AW381</f>
        <v>03.11.2026</v>
      </c>
      <c r="AX381" s="147" t="str">
        <f>VLOOKUP(C381,REV!C:AX,48,0)</f>
        <v>5G</v>
      </c>
    </row>
    <row r="382" spans="1:50" ht="22.5" customHeight="1">
      <c r="A382" s="51" t="s">
        <v>63</v>
      </c>
      <c r="B382" s="52" t="s">
        <v>64</v>
      </c>
      <c r="C382" s="53">
        <v>4016020</v>
      </c>
      <c r="D382" s="65" t="s">
        <v>567</v>
      </c>
      <c r="E382" s="65" t="s">
        <v>570</v>
      </c>
      <c r="F382" s="55"/>
      <c r="G382" s="55"/>
      <c r="H382" s="55"/>
      <c r="I382" s="55"/>
      <c r="J382" s="56">
        <f>IF(VLOOKUP($C382,REV!$C:$AA,8,0)-'TRADE IN'!$F382=0,"",(VLOOKUP($C382,REV!$C:$AA,8,0)-'TRADE IN'!$F382))</f>
        <v>999</v>
      </c>
      <c r="K382" s="56">
        <f>IF(VLOOKUP($C382,REV!$C:$AA,9,0)-'TRADE IN'!$F382=0,"",(VLOOKUP($C382,REV!$C:$AA,9,0)-'TRADE IN'!$F382))</f>
        <v>999</v>
      </c>
      <c r="L382" s="56">
        <f>IF(VLOOKUP($C382,REV!$C:$AA,10,0)-'TRADE IN'!$F382=0,"",(VLOOKUP($C382,REV!$C:$AA,10,0)-'TRADE IN'!$F382))</f>
        <v>999</v>
      </c>
      <c r="M382" s="56">
        <f>IF(VLOOKUP($C382,REV!$C:$AA,11,0)-'TRADE IN'!$F382=0,"",(VLOOKUP($C382,REV!$C:$AA,11,0)-'TRADE IN'!$F382))</f>
        <v>999</v>
      </c>
      <c r="N382" s="56">
        <f>IF(VLOOKUP($C382,REV!$C:$AA,12,0)-'TRADE IN'!$F382=0,"",(VLOOKUP($C382,REV!$C:$AA,12,0)-'TRADE IN'!$F382))</f>
        <v>999</v>
      </c>
      <c r="O382" s="56">
        <f>IF(VLOOKUP($C382,REV!$C:$AA,13,0)-'TRADE IN'!$F382=0,"",(VLOOKUP($C382,REV!$C:$AA,13,0)-'TRADE IN'!$F382))</f>
        <v>999</v>
      </c>
      <c r="P382" s="56">
        <f>IF(VLOOKUP($C382,REV!$C:$AA,14,0)-'TRADE IN'!$F382=0,"",(VLOOKUP($C382,REV!$C:$AA,14,0)-'TRADE IN'!$F382))</f>
        <v>999</v>
      </c>
      <c r="Q382" s="56">
        <f>IF(VLOOKUP($C382,REV!$C:$AA,15,0)-'TRADE IN'!$F382=0,"",(VLOOKUP($C382,REV!$C:$AA,15,0)-'TRADE IN'!$F382))</f>
        <v>999</v>
      </c>
      <c r="R382" s="56">
        <f>IF(VLOOKUP($C382,REV!$C:$AA,16,0)-'TRADE IN'!$F382=0,"",(VLOOKUP($C382,REV!$C:$AA,16,0)-'TRADE IN'!$F382))</f>
        <v>999</v>
      </c>
      <c r="S382" s="56">
        <f>IF(VLOOKUP($C382,REV!$C:$AA,17,0)-'TRADE IN'!$F382=0,"",(VLOOKUP($C382,REV!$C:$AA,17,0)-'TRADE IN'!$F382))</f>
        <v>999</v>
      </c>
      <c r="T382" s="56">
        <f>IF(VLOOKUP($C382,REV!$C:$AA,18,0)-'TRADE IN'!$F382=0,"",(VLOOKUP($C382,REV!$C:$AA,18,0)-'TRADE IN'!$F382))</f>
        <v>999</v>
      </c>
      <c r="U382" s="56">
        <f>IF(VLOOKUP($C382,REV!$C:$AA,19,0)-'TRADE IN'!$F382=0,"",(VLOOKUP($C382,REV!$C:$AA,19,0)-'TRADE IN'!$F382))</f>
        <v>999</v>
      </c>
      <c r="V382" s="56">
        <f>IF(VLOOKUP($C382,REV!$C:$AA,20,0)-'TRADE IN'!$F382=0,"",(VLOOKUP($C382,REV!$C:$AA,20,0)-'TRADE IN'!$F382))</f>
        <v>999</v>
      </c>
      <c r="W382" s="56">
        <f>IF(VLOOKUP($C382,REV!$C:$AA,21,0)-'TRADE IN'!$F382=0,"",(VLOOKUP($C382,REV!$C:$AA,21,0)-'TRADE IN'!$F382))</f>
        <v>999</v>
      </c>
      <c r="X382" s="56">
        <f>IF(VLOOKUP($C382,REV!$C:$AA,22,0)-'TRADE IN'!$F382=0,"",(VLOOKUP($C382,REV!$C:$AA,22,0)-'TRADE IN'!$F382))</f>
        <v>999</v>
      </c>
      <c r="Y382" s="56">
        <f>IF(VLOOKUP($C382,REV!$C:$AA,23,0)-'TRADE IN'!$F382=0,"",(VLOOKUP($C382,REV!$C:$AA,23,0)-'TRADE IN'!$F382))</f>
        <v>999</v>
      </c>
      <c r="Z382" s="56">
        <f>IF(VLOOKUP($C382,REV!$C:$AA,24,0)-'TRADE IN'!$F382=0,"",(VLOOKUP($C382,REV!$C:$AA,24,0)-'TRADE IN'!$F382))</f>
        <v>999</v>
      </c>
      <c r="AA382" s="56">
        <f>IF(VLOOKUP($C382,REV!$C:$AA,25,0)-'TRADE IN'!$F382=0,"",(VLOOKUP($C382,REV!$C:$AA,25,0)-'TRADE IN'!$F382))</f>
        <v>999</v>
      </c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7"/>
      <c r="AW382" s="58" t="str">
        <f>REV!AW382</f>
        <v>03.11.2026</v>
      </c>
      <c r="AX382" s="147" t="str">
        <f>VLOOKUP(C382,REV!C:AX,48,0)</f>
        <v>5G</v>
      </c>
    </row>
    <row r="383" spans="1:50" ht="22.5" customHeight="1">
      <c r="A383" s="51" t="s">
        <v>63</v>
      </c>
      <c r="B383" s="52" t="s">
        <v>64</v>
      </c>
      <c r="C383" s="53">
        <v>4016048</v>
      </c>
      <c r="D383" s="65" t="s">
        <v>567</v>
      </c>
      <c r="E383" s="65" t="s">
        <v>571</v>
      </c>
      <c r="F383" s="55"/>
      <c r="G383" s="55"/>
      <c r="H383" s="55"/>
      <c r="I383" s="55"/>
      <c r="J383" s="56">
        <f>IF(VLOOKUP($C383,REV!$C:$AA,8,0)-'TRADE IN'!$F383=0,"",(VLOOKUP($C383,REV!$C:$AA,8,0)-'TRADE IN'!$F383))</f>
        <v>999</v>
      </c>
      <c r="K383" s="56">
        <f>IF(VLOOKUP($C383,REV!$C:$AA,9,0)-'TRADE IN'!$F383=0,"",(VLOOKUP($C383,REV!$C:$AA,9,0)-'TRADE IN'!$F383))</f>
        <v>999</v>
      </c>
      <c r="L383" s="56">
        <f>IF(VLOOKUP($C383,REV!$C:$AA,10,0)-'TRADE IN'!$F383=0,"",(VLOOKUP($C383,REV!$C:$AA,10,0)-'TRADE IN'!$F383))</f>
        <v>999</v>
      </c>
      <c r="M383" s="56">
        <f>IF(VLOOKUP($C383,REV!$C:$AA,11,0)-'TRADE IN'!$F383=0,"",(VLOOKUP($C383,REV!$C:$AA,11,0)-'TRADE IN'!$F383))</f>
        <v>999</v>
      </c>
      <c r="N383" s="56">
        <f>IF(VLOOKUP($C383,REV!$C:$AA,12,0)-'TRADE IN'!$F383=0,"",(VLOOKUP($C383,REV!$C:$AA,12,0)-'TRADE IN'!$F383))</f>
        <v>999</v>
      </c>
      <c r="O383" s="56">
        <f>IF(VLOOKUP($C383,REV!$C:$AA,13,0)-'TRADE IN'!$F383=0,"",(VLOOKUP($C383,REV!$C:$AA,13,0)-'TRADE IN'!$F383))</f>
        <v>999</v>
      </c>
      <c r="P383" s="56">
        <f>IF(VLOOKUP($C383,REV!$C:$AA,14,0)-'TRADE IN'!$F383=0,"",(VLOOKUP($C383,REV!$C:$AA,14,0)-'TRADE IN'!$F383))</f>
        <v>999</v>
      </c>
      <c r="Q383" s="56">
        <f>IF(VLOOKUP($C383,REV!$C:$AA,15,0)-'TRADE IN'!$F383=0,"",(VLOOKUP($C383,REV!$C:$AA,15,0)-'TRADE IN'!$F383))</f>
        <v>999</v>
      </c>
      <c r="R383" s="56">
        <f>IF(VLOOKUP($C383,REV!$C:$AA,16,0)-'TRADE IN'!$F383=0,"",(VLOOKUP($C383,REV!$C:$AA,16,0)-'TRADE IN'!$F383))</f>
        <v>999</v>
      </c>
      <c r="S383" s="56">
        <f>IF(VLOOKUP($C383,REV!$C:$AA,17,0)-'TRADE IN'!$F383=0,"",(VLOOKUP($C383,REV!$C:$AA,17,0)-'TRADE IN'!$F383))</f>
        <v>999</v>
      </c>
      <c r="T383" s="56">
        <f>IF(VLOOKUP($C383,REV!$C:$AA,18,0)-'TRADE IN'!$F383=0,"",(VLOOKUP($C383,REV!$C:$AA,18,0)-'TRADE IN'!$F383))</f>
        <v>999</v>
      </c>
      <c r="U383" s="56">
        <f>IF(VLOOKUP($C383,REV!$C:$AA,19,0)-'TRADE IN'!$F383=0,"",(VLOOKUP($C383,REV!$C:$AA,19,0)-'TRADE IN'!$F383))</f>
        <v>999</v>
      </c>
      <c r="V383" s="56">
        <f>IF(VLOOKUP($C383,REV!$C:$AA,20,0)-'TRADE IN'!$F383=0,"",(VLOOKUP($C383,REV!$C:$AA,20,0)-'TRADE IN'!$F383))</f>
        <v>999</v>
      </c>
      <c r="W383" s="56">
        <f>IF(VLOOKUP($C383,REV!$C:$AA,21,0)-'TRADE IN'!$F383=0,"",(VLOOKUP($C383,REV!$C:$AA,21,0)-'TRADE IN'!$F383))</f>
        <v>999</v>
      </c>
      <c r="X383" s="56">
        <f>IF(VLOOKUP($C383,REV!$C:$AA,22,0)-'TRADE IN'!$F383=0,"",(VLOOKUP($C383,REV!$C:$AA,22,0)-'TRADE IN'!$F383))</f>
        <v>999</v>
      </c>
      <c r="Y383" s="56">
        <f>IF(VLOOKUP($C383,REV!$C:$AA,23,0)-'TRADE IN'!$F383=0,"",(VLOOKUP($C383,REV!$C:$AA,23,0)-'TRADE IN'!$F383))</f>
        <v>999</v>
      </c>
      <c r="Z383" s="56">
        <f>IF(VLOOKUP($C383,REV!$C:$AA,24,0)-'TRADE IN'!$F383=0,"",(VLOOKUP($C383,REV!$C:$AA,24,0)-'TRADE IN'!$F383))</f>
        <v>999</v>
      </c>
      <c r="AA383" s="56">
        <f>IF(VLOOKUP($C383,REV!$C:$AA,25,0)-'TRADE IN'!$F383=0,"",(VLOOKUP($C383,REV!$C:$AA,25,0)-'TRADE IN'!$F383))</f>
        <v>999</v>
      </c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7"/>
      <c r="AW383" s="58" t="str">
        <f>REV!AW383</f>
        <v>03.11.2026</v>
      </c>
      <c r="AX383" s="147" t="str">
        <f>VLOOKUP(C383,REV!C:AX,48,0)</f>
        <v>5G</v>
      </c>
    </row>
    <row r="384" spans="1:50" ht="22.5" customHeight="1">
      <c r="A384" s="51" t="s">
        <v>63</v>
      </c>
      <c r="B384" s="52" t="s">
        <v>64</v>
      </c>
      <c r="C384" s="53">
        <v>4016042</v>
      </c>
      <c r="D384" s="65" t="s">
        <v>567</v>
      </c>
      <c r="E384" s="65" t="s">
        <v>572</v>
      </c>
      <c r="F384" s="55"/>
      <c r="G384" s="55"/>
      <c r="H384" s="55"/>
      <c r="I384" s="55"/>
      <c r="J384" s="56">
        <f>IF(VLOOKUP($C384,REV!$C:$AA,8,0)-'TRADE IN'!$F384=0,"",(VLOOKUP($C384,REV!$C:$AA,8,0)-'TRADE IN'!$F384))</f>
        <v>999</v>
      </c>
      <c r="K384" s="56">
        <f>IF(VLOOKUP($C384,REV!$C:$AA,9,0)-'TRADE IN'!$F384=0,"",(VLOOKUP($C384,REV!$C:$AA,9,0)-'TRADE IN'!$F384))</f>
        <v>999</v>
      </c>
      <c r="L384" s="56">
        <f>IF(VLOOKUP($C384,REV!$C:$AA,10,0)-'TRADE IN'!$F384=0,"",(VLOOKUP($C384,REV!$C:$AA,10,0)-'TRADE IN'!$F384))</f>
        <v>999</v>
      </c>
      <c r="M384" s="56">
        <f>IF(VLOOKUP($C384,REV!$C:$AA,11,0)-'TRADE IN'!$F384=0,"",(VLOOKUP($C384,REV!$C:$AA,11,0)-'TRADE IN'!$F384))</f>
        <v>999</v>
      </c>
      <c r="N384" s="56">
        <f>IF(VLOOKUP($C384,REV!$C:$AA,12,0)-'TRADE IN'!$F384=0,"",(VLOOKUP($C384,REV!$C:$AA,12,0)-'TRADE IN'!$F384))</f>
        <v>999</v>
      </c>
      <c r="O384" s="56">
        <f>IF(VLOOKUP($C384,REV!$C:$AA,13,0)-'TRADE IN'!$F384=0,"",(VLOOKUP($C384,REV!$C:$AA,13,0)-'TRADE IN'!$F384))</f>
        <v>999</v>
      </c>
      <c r="P384" s="56">
        <f>IF(VLOOKUP($C384,REV!$C:$AA,14,0)-'TRADE IN'!$F384=0,"",(VLOOKUP($C384,REV!$C:$AA,14,0)-'TRADE IN'!$F384))</f>
        <v>999</v>
      </c>
      <c r="Q384" s="56">
        <f>IF(VLOOKUP($C384,REV!$C:$AA,15,0)-'TRADE IN'!$F384=0,"",(VLOOKUP($C384,REV!$C:$AA,15,0)-'TRADE IN'!$F384))</f>
        <v>999</v>
      </c>
      <c r="R384" s="56">
        <f>IF(VLOOKUP($C384,REV!$C:$AA,16,0)-'TRADE IN'!$F384=0,"",(VLOOKUP($C384,REV!$C:$AA,16,0)-'TRADE IN'!$F384))</f>
        <v>999</v>
      </c>
      <c r="S384" s="56">
        <f>IF(VLOOKUP($C384,REV!$C:$AA,17,0)-'TRADE IN'!$F384=0,"",(VLOOKUP($C384,REV!$C:$AA,17,0)-'TRADE IN'!$F384))</f>
        <v>999</v>
      </c>
      <c r="T384" s="56">
        <f>IF(VLOOKUP($C384,REV!$C:$AA,18,0)-'TRADE IN'!$F384=0,"",(VLOOKUP($C384,REV!$C:$AA,18,0)-'TRADE IN'!$F384))</f>
        <v>999</v>
      </c>
      <c r="U384" s="56">
        <f>IF(VLOOKUP($C384,REV!$C:$AA,19,0)-'TRADE IN'!$F384=0,"",(VLOOKUP($C384,REV!$C:$AA,19,0)-'TRADE IN'!$F384))</f>
        <v>999</v>
      </c>
      <c r="V384" s="56">
        <f>IF(VLOOKUP($C384,REV!$C:$AA,20,0)-'TRADE IN'!$F384=0,"",(VLOOKUP($C384,REV!$C:$AA,20,0)-'TRADE IN'!$F384))</f>
        <v>999</v>
      </c>
      <c r="W384" s="56">
        <f>IF(VLOOKUP($C384,REV!$C:$AA,21,0)-'TRADE IN'!$F384=0,"",(VLOOKUP($C384,REV!$C:$AA,21,0)-'TRADE IN'!$F384))</f>
        <v>999</v>
      </c>
      <c r="X384" s="56">
        <f>IF(VLOOKUP($C384,REV!$C:$AA,22,0)-'TRADE IN'!$F384=0,"",(VLOOKUP($C384,REV!$C:$AA,22,0)-'TRADE IN'!$F384))</f>
        <v>999</v>
      </c>
      <c r="Y384" s="56">
        <f>IF(VLOOKUP($C384,REV!$C:$AA,23,0)-'TRADE IN'!$F384=0,"",(VLOOKUP($C384,REV!$C:$AA,23,0)-'TRADE IN'!$F384))</f>
        <v>999</v>
      </c>
      <c r="Z384" s="56">
        <f>IF(VLOOKUP($C384,REV!$C:$AA,24,0)-'TRADE IN'!$F384=0,"",(VLOOKUP($C384,REV!$C:$AA,24,0)-'TRADE IN'!$F384))</f>
        <v>999</v>
      </c>
      <c r="AA384" s="56">
        <f>IF(VLOOKUP($C384,REV!$C:$AA,25,0)-'TRADE IN'!$F384=0,"",(VLOOKUP($C384,REV!$C:$AA,25,0)-'TRADE IN'!$F384))</f>
        <v>999</v>
      </c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7"/>
      <c r="AW384" s="58" t="str">
        <f>REV!AW384</f>
        <v>03.11.2026</v>
      </c>
      <c r="AX384" s="147" t="str">
        <f>VLOOKUP(C384,REV!C:AX,48,0)</f>
        <v>5G</v>
      </c>
    </row>
    <row r="385" spans="1:50" ht="22.5" customHeight="1">
      <c r="A385" s="51" t="s">
        <v>63</v>
      </c>
      <c r="B385" s="52" t="s">
        <v>64</v>
      </c>
      <c r="C385" s="53">
        <v>4016076</v>
      </c>
      <c r="D385" s="65" t="s">
        <v>567</v>
      </c>
      <c r="E385" s="65" t="s">
        <v>573</v>
      </c>
      <c r="F385" s="55"/>
      <c r="G385" s="55"/>
      <c r="H385" s="55"/>
      <c r="I385" s="55"/>
      <c r="J385" s="56">
        <f>IF(VLOOKUP($C385,REV!$C:$AA,8,0)-'TRADE IN'!$F385=0,"",(VLOOKUP($C385,REV!$C:$AA,8,0)-'TRADE IN'!$F385))</f>
        <v>999</v>
      </c>
      <c r="K385" s="56">
        <f>IF(VLOOKUP($C385,REV!$C:$AA,9,0)-'TRADE IN'!$F385=0,"",(VLOOKUP($C385,REV!$C:$AA,9,0)-'TRADE IN'!$F385))</f>
        <v>999</v>
      </c>
      <c r="L385" s="56">
        <f>IF(VLOOKUP($C385,REV!$C:$AA,10,0)-'TRADE IN'!$F385=0,"",(VLOOKUP($C385,REV!$C:$AA,10,0)-'TRADE IN'!$F385))</f>
        <v>999</v>
      </c>
      <c r="M385" s="56">
        <f>IF(VLOOKUP($C385,REV!$C:$AA,11,0)-'TRADE IN'!$F385=0,"",(VLOOKUP($C385,REV!$C:$AA,11,0)-'TRADE IN'!$F385))</f>
        <v>999</v>
      </c>
      <c r="N385" s="56">
        <f>IF(VLOOKUP($C385,REV!$C:$AA,12,0)-'TRADE IN'!$F385=0,"",(VLOOKUP($C385,REV!$C:$AA,12,0)-'TRADE IN'!$F385))</f>
        <v>999</v>
      </c>
      <c r="O385" s="56">
        <f>IF(VLOOKUP($C385,REV!$C:$AA,13,0)-'TRADE IN'!$F385=0,"",(VLOOKUP($C385,REV!$C:$AA,13,0)-'TRADE IN'!$F385))</f>
        <v>999</v>
      </c>
      <c r="P385" s="56">
        <f>IF(VLOOKUP($C385,REV!$C:$AA,14,0)-'TRADE IN'!$F385=0,"",(VLOOKUP($C385,REV!$C:$AA,14,0)-'TRADE IN'!$F385))</f>
        <v>999</v>
      </c>
      <c r="Q385" s="56">
        <f>IF(VLOOKUP($C385,REV!$C:$AA,15,0)-'TRADE IN'!$F385=0,"",(VLOOKUP($C385,REV!$C:$AA,15,0)-'TRADE IN'!$F385))</f>
        <v>999</v>
      </c>
      <c r="R385" s="56">
        <f>IF(VLOOKUP($C385,REV!$C:$AA,16,0)-'TRADE IN'!$F385=0,"",(VLOOKUP($C385,REV!$C:$AA,16,0)-'TRADE IN'!$F385))</f>
        <v>999</v>
      </c>
      <c r="S385" s="56">
        <f>IF(VLOOKUP($C385,REV!$C:$AA,17,0)-'TRADE IN'!$F385=0,"",(VLOOKUP($C385,REV!$C:$AA,17,0)-'TRADE IN'!$F385))</f>
        <v>999</v>
      </c>
      <c r="T385" s="56">
        <f>IF(VLOOKUP($C385,REV!$C:$AA,18,0)-'TRADE IN'!$F385=0,"",(VLOOKUP($C385,REV!$C:$AA,18,0)-'TRADE IN'!$F385))</f>
        <v>999</v>
      </c>
      <c r="U385" s="56">
        <f>IF(VLOOKUP($C385,REV!$C:$AA,19,0)-'TRADE IN'!$F385=0,"",(VLOOKUP($C385,REV!$C:$AA,19,0)-'TRADE IN'!$F385))</f>
        <v>999</v>
      </c>
      <c r="V385" s="56">
        <f>IF(VLOOKUP($C385,REV!$C:$AA,20,0)-'TRADE IN'!$F385=0,"",(VLOOKUP($C385,REV!$C:$AA,20,0)-'TRADE IN'!$F385))</f>
        <v>999</v>
      </c>
      <c r="W385" s="56">
        <f>IF(VLOOKUP($C385,REV!$C:$AA,21,0)-'TRADE IN'!$F385=0,"",(VLOOKUP($C385,REV!$C:$AA,21,0)-'TRADE IN'!$F385))</f>
        <v>999</v>
      </c>
      <c r="X385" s="56">
        <f>IF(VLOOKUP($C385,REV!$C:$AA,22,0)-'TRADE IN'!$F385=0,"",(VLOOKUP($C385,REV!$C:$AA,22,0)-'TRADE IN'!$F385))</f>
        <v>999</v>
      </c>
      <c r="Y385" s="56">
        <f>IF(VLOOKUP($C385,REV!$C:$AA,23,0)-'TRADE IN'!$F385=0,"",(VLOOKUP($C385,REV!$C:$AA,23,0)-'TRADE IN'!$F385))</f>
        <v>999</v>
      </c>
      <c r="Z385" s="56">
        <f>IF(VLOOKUP($C385,REV!$C:$AA,24,0)-'TRADE IN'!$F385=0,"",(VLOOKUP($C385,REV!$C:$AA,24,0)-'TRADE IN'!$F385))</f>
        <v>999</v>
      </c>
      <c r="AA385" s="56">
        <f>IF(VLOOKUP($C385,REV!$C:$AA,25,0)-'TRADE IN'!$F385=0,"",(VLOOKUP($C385,REV!$C:$AA,25,0)-'TRADE IN'!$F385))</f>
        <v>999</v>
      </c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7"/>
      <c r="AW385" s="58" t="str">
        <f>REV!AW385</f>
        <v>03.11.2026</v>
      </c>
      <c r="AX385" s="147" t="str">
        <f>VLOOKUP(C385,REV!C:AX,48,0)</f>
        <v>5G</v>
      </c>
    </row>
    <row r="386" spans="1:50" ht="22.5" customHeight="1">
      <c r="A386" s="51" t="s">
        <v>63</v>
      </c>
      <c r="B386" s="52" t="s">
        <v>64</v>
      </c>
      <c r="C386" s="53">
        <v>4016040</v>
      </c>
      <c r="D386" s="65" t="s">
        <v>574</v>
      </c>
      <c r="E386" s="65" t="s">
        <v>575</v>
      </c>
      <c r="F386" s="55"/>
      <c r="G386" s="55"/>
      <c r="H386" s="55"/>
      <c r="I386" s="55"/>
      <c r="J386" s="56">
        <f>IF(VLOOKUP($C386,REV!$C:$AA,8,0)-'TRADE IN'!$F386=0,"",(VLOOKUP($C386,REV!$C:$AA,8,0)-'TRADE IN'!$F386))</f>
        <v>1499</v>
      </c>
      <c r="K386" s="56">
        <f>IF(VLOOKUP($C386,REV!$C:$AA,9,0)-'TRADE IN'!$F386=0,"",(VLOOKUP($C386,REV!$C:$AA,9,0)-'TRADE IN'!$F386))</f>
        <v>1499</v>
      </c>
      <c r="L386" s="56">
        <f>IF(VLOOKUP($C386,REV!$C:$AA,10,0)-'TRADE IN'!$F386=0,"",(VLOOKUP($C386,REV!$C:$AA,10,0)-'TRADE IN'!$F386))</f>
        <v>1499</v>
      </c>
      <c r="M386" s="56">
        <f>IF(VLOOKUP($C386,REV!$C:$AA,11,0)-'TRADE IN'!$F386=0,"",(VLOOKUP($C386,REV!$C:$AA,11,0)-'TRADE IN'!$F386))</f>
        <v>1499</v>
      </c>
      <c r="N386" s="56">
        <f>IF(VLOOKUP($C386,REV!$C:$AA,12,0)-'TRADE IN'!$F386=0,"",(VLOOKUP($C386,REV!$C:$AA,12,0)-'TRADE IN'!$F386))</f>
        <v>1499</v>
      </c>
      <c r="O386" s="56">
        <f>IF(VLOOKUP($C386,REV!$C:$AA,13,0)-'TRADE IN'!$F386=0,"",(VLOOKUP($C386,REV!$C:$AA,13,0)-'TRADE IN'!$F386))</f>
        <v>1499</v>
      </c>
      <c r="P386" s="56">
        <f>IF(VLOOKUP($C386,REV!$C:$AA,14,0)-'TRADE IN'!$F386=0,"",(VLOOKUP($C386,REV!$C:$AA,14,0)-'TRADE IN'!$F386))</f>
        <v>1499</v>
      </c>
      <c r="Q386" s="56">
        <f>IF(VLOOKUP($C386,REV!$C:$AA,15,0)-'TRADE IN'!$F386=0,"",(VLOOKUP($C386,REV!$C:$AA,15,0)-'TRADE IN'!$F386))</f>
        <v>1499</v>
      </c>
      <c r="R386" s="56">
        <f>IF(VLOOKUP($C386,REV!$C:$AA,16,0)-'TRADE IN'!$F386=0,"",(VLOOKUP($C386,REV!$C:$AA,16,0)-'TRADE IN'!$F386))</f>
        <v>1499</v>
      </c>
      <c r="S386" s="56">
        <f>IF(VLOOKUP($C386,REV!$C:$AA,17,0)-'TRADE IN'!$F386=0,"",(VLOOKUP($C386,REV!$C:$AA,17,0)-'TRADE IN'!$F386))</f>
        <v>1499</v>
      </c>
      <c r="T386" s="56">
        <f>IF(VLOOKUP($C386,REV!$C:$AA,18,0)-'TRADE IN'!$F386=0,"",(VLOOKUP($C386,REV!$C:$AA,18,0)-'TRADE IN'!$F386))</f>
        <v>1499</v>
      </c>
      <c r="U386" s="56">
        <f>IF(VLOOKUP($C386,REV!$C:$AA,19,0)-'TRADE IN'!$F386=0,"",(VLOOKUP($C386,REV!$C:$AA,19,0)-'TRADE IN'!$F386))</f>
        <v>1499</v>
      </c>
      <c r="V386" s="56">
        <f>IF(VLOOKUP($C386,REV!$C:$AA,20,0)-'TRADE IN'!$F386=0,"",(VLOOKUP($C386,REV!$C:$AA,20,0)-'TRADE IN'!$F386))</f>
        <v>1499</v>
      </c>
      <c r="W386" s="56">
        <f>IF(VLOOKUP($C386,REV!$C:$AA,21,0)-'TRADE IN'!$F386=0,"",(VLOOKUP($C386,REV!$C:$AA,21,0)-'TRADE IN'!$F386))</f>
        <v>1499</v>
      </c>
      <c r="X386" s="56">
        <f>IF(VLOOKUP($C386,REV!$C:$AA,22,0)-'TRADE IN'!$F386=0,"",(VLOOKUP($C386,REV!$C:$AA,22,0)-'TRADE IN'!$F386))</f>
        <v>1499</v>
      </c>
      <c r="Y386" s="56">
        <f>IF(VLOOKUP($C386,REV!$C:$AA,23,0)-'TRADE IN'!$F386=0,"",(VLOOKUP($C386,REV!$C:$AA,23,0)-'TRADE IN'!$F386))</f>
        <v>1499</v>
      </c>
      <c r="Z386" s="56">
        <f>IF(VLOOKUP($C386,REV!$C:$AA,24,0)-'TRADE IN'!$F386=0,"",(VLOOKUP($C386,REV!$C:$AA,24,0)-'TRADE IN'!$F386))</f>
        <v>1499</v>
      </c>
      <c r="AA386" s="56">
        <f>IF(VLOOKUP($C386,REV!$C:$AA,25,0)-'TRADE IN'!$F386=0,"",(VLOOKUP($C386,REV!$C:$AA,25,0)-'TRADE IN'!$F386))</f>
        <v>1499</v>
      </c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7"/>
      <c r="AW386" s="58" t="str">
        <f>REV!AW386</f>
        <v>03.11.2026</v>
      </c>
      <c r="AX386" s="147" t="str">
        <f>VLOOKUP(C386,REV!C:AX,48,0)</f>
        <v>5G</v>
      </c>
    </row>
    <row r="387" spans="1:50" ht="22.5" customHeight="1">
      <c r="A387" s="51" t="s">
        <v>63</v>
      </c>
      <c r="B387" s="52" t="s">
        <v>64</v>
      </c>
      <c r="C387" s="53">
        <v>4015889</v>
      </c>
      <c r="D387" s="65" t="s">
        <v>574</v>
      </c>
      <c r="E387" s="65" t="s">
        <v>576</v>
      </c>
      <c r="F387" s="55"/>
      <c r="G387" s="55"/>
      <c r="H387" s="55"/>
      <c r="I387" s="55"/>
      <c r="J387" s="56">
        <f>IF(VLOOKUP($C387,REV!$C:$AA,8,0)-'TRADE IN'!$F387=0,"",(VLOOKUP($C387,REV!$C:$AA,8,0)-'TRADE IN'!$F387))</f>
        <v>1499</v>
      </c>
      <c r="K387" s="56">
        <f>IF(VLOOKUP($C387,REV!$C:$AA,9,0)-'TRADE IN'!$F387=0,"",(VLOOKUP($C387,REV!$C:$AA,9,0)-'TRADE IN'!$F387))</f>
        <v>1499</v>
      </c>
      <c r="L387" s="56">
        <f>IF(VLOOKUP($C387,REV!$C:$AA,10,0)-'TRADE IN'!$F387=0,"",(VLOOKUP($C387,REV!$C:$AA,10,0)-'TRADE IN'!$F387))</f>
        <v>1499</v>
      </c>
      <c r="M387" s="56">
        <f>IF(VLOOKUP($C387,REV!$C:$AA,11,0)-'TRADE IN'!$F387=0,"",(VLOOKUP($C387,REV!$C:$AA,11,0)-'TRADE IN'!$F387))</f>
        <v>1499</v>
      </c>
      <c r="N387" s="56">
        <f>IF(VLOOKUP($C387,REV!$C:$AA,12,0)-'TRADE IN'!$F387=0,"",(VLOOKUP($C387,REV!$C:$AA,12,0)-'TRADE IN'!$F387))</f>
        <v>1499</v>
      </c>
      <c r="O387" s="56">
        <f>IF(VLOOKUP($C387,REV!$C:$AA,13,0)-'TRADE IN'!$F387=0,"",(VLOOKUP($C387,REV!$C:$AA,13,0)-'TRADE IN'!$F387))</f>
        <v>1499</v>
      </c>
      <c r="P387" s="56">
        <f>IF(VLOOKUP($C387,REV!$C:$AA,14,0)-'TRADE IN'!$F387=0,"",(VLOOKUP($C387,REV!$C:$AA,14,0)-'TRADE IN'!$F387))</f>
        <v>1499</v>
      </c>
      <c r="Q387" s="56">
        <f>IF(VLOOKUP($C387,REV!$C:$AA,15,0)-'TRADE IN'!$F387=0,"",(VLOOKUP($C387,REV!$C:$AA,15,0)-'TRADE IN'!$F387))</f>
        <v>1499</v>
      </c>
      <c r="R387" s="56">
        <f>IF(VLOOKUP($C387,REV!$C:$AA,16,0)-'TRADE IN'!$F387=0,"",(VLOOKUP($C387,REV!$C:$AA,16,0)-'TRADE IN'!$F387))</f>
        <v>1499</v>
      </c>
      <c r="S387" s="56">
        <f>IF(VLOOKUP($C387,REV!$C:$AA,17,0)-'TRADE IN'!$F387=0,"",(VLOOKUP($C387,REV!$C:$AA,17,0)-'TRADE IN'!$F387))</f>
        <v>1499</v>
      </c>
      <c r="T387" s="56">
        <f>IF(VLOOKUP($C387,REV!$C:$AA,18,0)-'TRADE IN'!$F387=0,"",(VLOOKUP($C387,REV!$C:$AA,18,0)-'TRADE IN'!$F387))</f>
        <v>1499</v>
      </c>
      <c r="U387" s="56">
        <f>IF(VLOOKUP($C387,REV!$C:$AA,19,0)-'TRADE IN'!$F387=0,"",(VLOOKUP($C387,REV!$C:$AA,19,0)-'TRADE IN'!$F387))</f>
        <v>1499</v>
      </c>
      <c r="V387" s="56">
        <f>IF(VLOOKUP($C387,REV!$C:$AA,20,0)-'TRADE IN'!$F387=0,"",(VLOOKUP($C387,REV!$C:$AA,20,0)-'TRADE IN'!$F387))</f>
        <v>1499</v>
      </c>
      <c r="W387" s="56">
        <f>IF(VLOOKUP($C387,REV!$C:$AA,21,0)-'TRADE IN'!$F387=0,"",(VLOOKUP($C387,REV!$C:$AA,21,0)-'TRADE IN'!$F387))</f>
        <v>1499</v>
      </c>
      <c r="X387" s="56">
        <f>IF(VLOOKUP($C387,REV!$C:$AA,22,0)-'TRADE IN'!$F387=0,"",(VLOOKUP($C387,REV!$C:$AA,22,0)-'TRADE IN'!$F387))</f>
        <v>1499</v>
      </c>
      <c r="Y387" s="56">
        <f>IF(VLOOKUP($C387,REV!$C:$AA,23,0)-'TRADE IN'!$F387=0,"",(VLOOKUP($C387,REV!$C:$AA,23,0)-'TRADE IN'!$F387))</f>
        <v>1499</v>
      </c>
      <c r="Z387" s="56">
        <f>IF(VLOOKUP($C387,REV!$C:$AA,24,0)-'TRADE IN'!$F387=0,"",(VLOOKUP($C387,REV!$C:$AA,24,0)-'TRADE IN'!$F387))</f>
        <v>1499</v>
      </c>
      <c r="AA387" s="56">
        <f>IF(VLOOKUP($C387,REV!$C:$AA,25,0)-'TRADE IN'!$F387=0,"",(VLOOKUP($C387,REV!$C:$AA,25,0)-'TRADE IN'!$F387))</f>
        <v>1499</v>
      </c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7"/>
      <c r="AW387" s="58" t="str">
        <f>REV!AW387</f>
        <v>03.11.2026</v>
      </c>
      <c r="AX387" s="147" t="str">
        <f>VLOOKUP(C387,REV!C:AX,48,0)</f>
        <v>5G</v>
      </c>
    </row>
    <row r="388" spans="1:50" ht="22.5" customHeight="1">
      <c r="A388" s="51" t="s">
        <v>63</v>
      </c>
      <c r="B388" s="52" t="s">
        <v>64</v>
      </c>
      <c r="C388" s="53">
        <v>4016049</v>
      </c>
      <c r="D388" s="65" t="s">
        <v>574</v>
      </c>
      <c r="E388" s="65" t="s">
        <v>577</v>
      </c>
      <c r="F388" s="55"/>
      <c r="G388" s="55"/>
      <c r="H388" s="55"/>
      <c r="I388" s="55"/>
      <c r="J388" s="56">
        <f>IF(VLOOKUP($C388,REV!$C:$AA,8,0)-'TRADE IN'!$F388=0,"",(VLOOKUP($C388,REV!$C:$AA,8,0)-'TRADE IN'!$F388))</f>
        <v>1499</v>
      </c>
      <c r="K388" s="56">
        <f>IF(VLOOKUP($C388,REV!$C:$AA,9,0)-'TRADE IN'!$F388=0,"",(VLOOKUP($C388,REV!$C:$AA,9,0)-'TRADE IN'!$F388))</f>
        <v>1499</v>
      </c>
      <c r="L388" s="56">
        <f>IF(VLOOKUP($C388,REV!$C:$AA,10,0)-'TRADE IN'!$F388=0,"",(VLOOKUP($C388,REV!$C:$AA,10,0)-'TRADE IN'!$F388))</f>
        <v>1499</v>
      </c>
      <c r="M388" s="56">
        <f>IF(VLOOKUP($C388,REV!$C:$AA,11,0)-'TRADE IN'!$F388=0,"",(VLOOKUP($C388,REV!$C:$AA,11,0)-'TRADE IN'!$F388))</f>
        <v>1499</v>
      </c>
      <c r="N388" s="56">
        <f>IF(VLOOKUP($C388,REV!$C:$AA,12,0)-'TRADE IN'!$F388=0,"",(VLOOKUP($C388,REV!$C:$AA,12,0)-'TRADE IN'!$F388))</f>
        <v>1499</v>
      </c>
      <c r="O388" s="56">
        <f>IF(VLOOKUP($C388,REV!$C:$AA,13,0)-'TRADE IN'!$F388=0,"",(VLOOKUP($C388,REV!$C:$AA,13,0)-'TRADE IN'!$F388))</f>
        <v>1499</v>
      </c>
      <c r="P388" s="56">
        <f>IF(VLOOKUP($C388,REV!$C:$AA,14,0)-'TRADE IN'!$F388=0,"",(VLOOKUP($C388,REV!$C:$AA,14,0)-'TRADE IN'!$F388))</f>
        <v>1499</v>
      </c>
      <c r="Q388" s="56">
        <f>IF(VLOOKUP($C388,REV!$C:$AA,15,0)-'TRADE IN'!$F388=0,"",(VLOOKUP($C388,REV!$C:$AA,15,0)-'TRADE IN'!$F388))</f>
        <v>1499</v>
      </c>
      <c r="R388" s="56">
        <f>IF(VLOOKUP($C388,REV!$C:$AA,16,0)-'TRADE IN'!$F388=0,"",(VLOOKUP($C388,REV!$C:$AA,16,0)-'TRADE IN'!$F388))</f>
        <v>1499</v>
      </c>
      <c r="S388" s="56">
        <f>IF(VLOOKUP($C388,REV!$C:$AA,17,0)-'TRADE IN'!$F388=0,"",(VLOOKUP($C388,REV!$C:$AA,17,0)-'TRADE IN'!$F388))</f>
        <v>1499</v>
      </c>
      <c r="T388" s="56">
        <f>IF(VLOOKUP($C388,REV!$C:$AA,18,0)-'TRADE IN'!$F388=0,"",(VLOOKUP($C388,REV!$C:$AA,18,0)-'TRADE IN'!$F388))</f>
        <v>1499</v>
      </c>
      <c r="U388" s="56">
        <f>IF(VLOOKUP($C388,REV!$C:$AA,19,0)-'TRADE IN'!$F388=0,"",(VLOOKUP($C388,REV!$C:$AA,19,0)-'TRADE IN'!$F388))</f>
        <v>1499</v>
      </c>
      <c r="V388" s="56">
        <f>IF(VLOOKUP($C388,REV!$C:$AA,20,0)-'TRADE IN'!$F388=0,"",(VLOOKUP($C388,REV!$C:$AA,20,0)-'TRADE IN'!$F388))</f>
        <v>1499</v>
      </c>
      <c r="W388" s="56">
        <f>IF(VLOOKUP($C388,REV!$C:$AA,21,0)-'TRADE IN'!$F388=0,"",(VLOOKUP($C388,REV!$C:$AA,21,0)-'TRADE IN'!$F388))</f>
        <v>1499</v>
      </c>
      <c r="X388" s="56">
        <f>IF(VLOOKUP($C388,REV!$C:$AA,22,0)-'TRADE IN'!$F388=0,"",(VLOOKUP($C388,REV!$C:$AA,22,0)-'TRADE IN'!$F388))</f>
        <v>1499</v>
      </c>
      <c r="Y388" s="56">
        <f>IF(VLOOKUP($C388,REV!$C:$AA,23,0)-'TRADE IN'!$F388=0,"",(VLOOKUP($C388,REV!$C:$AA,23,0)-'TRADE IN'!$F388))</f>
        <v>1499</v>
      </c>
      <c r="Z388" s="56">
        <f>IF(VLOOKUP($C388,REV!$C:$AA,24,0)-'TRADE IN'!$F388=0,"",(VLOOKUP($C388,REV!$C:$AA,24,0)-'TRADE IN'!$F388))</f>
        <v>1499</v>
      </c>
      <c r="AA388" s="56">
        <f>IF(VLOOKUP($C388,REV!$C:$AA,25,0)-'TRADE IN'!$F388=0,"",(VLOOKUP($C388,REV!$C:$AA,25,0)-'TRADE IN'!$F388))</f>
        <v>1499</v>
      </c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7"/>
      <c r="AW388" s="58" t="str">
        <f>REV!AW388</f>
        <v>03.11.2026</v>
      </c>
      <c r="AX388" s="147" t="str">
        <f>VLOOKUP(C388,REV!C:AX,48,0)</f>
        <v>5G</v>
      </c>
    </row>
    <row r="389" spans="1:50" ht="22.5" customHeight="1">
      <c r="A389" s="51" t="s">
        <v>63</v>
      </c>
      <c r="B389" s="52" t="s">
        <v>64</v>
      </c>
      <c r="C389" s="53">
        <v>4016072</v>
      </c>
      <c r="D389" s="65" t="s">
        <v>574</v>
      </c>
      <c r="E389" s="65" t="s">
        <v>578</v>
      </c>
      <c r="F389" s="55"/>
      <c r="G389" s="55"/>
      <c r="H389" s="55"/>
      <c r="I389" s="55"/>
      <c r="J389" s="56">
        <f>IF(VLOOKUP($C389,REV!$C:$AA,8,0)-'TRADE IN'!$F389=0,"",(VLOOKUP($C389,REV!$C:$AA,8,0)-'TRADE IN'!$F389))</f>
        <v>1499</v>
      </c>
      <c r="K389" s="56">
        <f>IF(VLOOKUP($C389,REV!$C:$AA,9,0)-'TRADE IN'!$F389=0,"",(VLOOKUP($C389,REV!$C:$AA,9,0)-'TRADE IN'!$F389))</f>
        <v>1499</v>
      </c>
      <c r="L389" s="56">
        <f>IF(VLOOKUP($C389,REV!$C:$AA,10,0)-'TRADE IN'!$F389=0,"",(VLOOKUP($C389,REV!$C:$AA,10,0)-'TRADE IN'!$F389))</f>
        <v>1499</v>
      </c>
      <c r="M389" s="56">
        <f>IF(VLOOKUP($C389,REV!$C:$AA,11,0)-'TRADE IN'!$F389=0,"",(VLOOKUP($C389,REV!$C:$AA,11,0)-'TRADE IN'!$F389))</f>
        <v>1499</v>
      </c>
      <c r="N389" s="56">
        <f>IF(VLOOKUP($C389,REV!$C:$AA,12,0)-'TRADE IN'!$F389=0,"",(VLOOKUP($C389,REV!$C:$AA,12,0)-'TRADE IN'!$F389))</f>
        <v>1499</v>
      </c>
      <c r="O389" s="56">
        <f>IF(VLOOKUP($C389,REV!$C:$AA,13,0)-'TRADE IN'!$F389=0,"",(VLOOKUP($C389,REV!$C:$AA,13,0)-'TRADE IN'!$F389))</f>
        <v>1499</v>
      </c>
      <c r="P389" s="56">
        <f>IF(VLOOKUP($C389,REV!$C:$AA,14,0)-'TRADE IN'!$F389=0,"",(VLOOKUP($C389,REV!$C:$AA,14,0)-'TRADE IN'!$F389))</f>
        <v>1499</v>
      </c>
      <c r="Q389" s="56">
        <f>IF(VLOOKUP($C389,REV!$C:$AA,15,0)-'TRADE IN'!$F389=0,"",(VLOOKUP($C389,REV!$C:$AA,15,0)-'TRADE IN'!$F389))</f>
        <v>1499</v>
      </c>
      <c r="R389" s="56">
        <f>IF(VLOOKUP($C389,REV!$C:$AA,16,0)-'TRADE IN'!$F389=0,"",(VLOOKUP($C389,REV!$C:$AA,16,0)-'TRADE IN'!$F389))</f>
        <v>1499</v>
      </c>
      <c r="S389" s="56">
        <f>IF(VLOOKUP($C389,REV!$C:$AA,17,0)-'TRADE IN'!$F389=0,"",(VLOOKUP($C389,REV!$C:$AA,17,0)-'TRADE IN'!$F389))</f>
        <v>1499</v>
      </c>
      <c r="T389" s="56">
        <f>IF(VLOOKUP($C389,REV!$C:$AA,18,0)-'TRADE IN'!$F389=0,"",(VLOOKUP($C389,REV!$C:$AA,18,0)-'TRADE IN'!$F389))</f>
        <v>1499</v>
      </c>
      <c r="U389" s="56">
        <f>IF(VLOOKUP($C389,REV!$C:$AA,19,0)-'TRADE IN'!$F389=0,"",(VLOOKUP($C389,REV!$C:$AA,19,0)-'TRADE IN'!$F389))</f>
        <v>1499</v>
      </c>
      <c r="V389" s="56">
        <f>IF(VLOOKUP($C389,REV!$C:$AA,20,0)-'TRADE IN'!$F389=0,"",(VLOOKUP($C389,REV!$C:$AA,20,0)-'TRADE IN'!$F389))</f>
        <v>1499</v>
      </c>
      <c r="W389" s="56">
        <f>IF(VLOOKUP($C389,REV!$C:$AA,21,0)-'TRADE IN'!$F389=0,"",(VLOOKUP($C389,REV!$C:$AA,21,0)-'TRADE IN'!$F389))</f>
        <v>1499</v>
      </c>
      <c r="X389" s="56">
        <f>IF(VLOOKUP($C389,REV!$C:$AA,22,0)-'TRADE IN'!$F389=0,"",(VLOOKUP($C389,REV!$C:$AA,22,0)-'TRADE IN'!$F389))</f>
        <v>1499</v>
      </c>
      <c r="Y389" s="56">
        <f>IF(VLOOKUP($C389,REV!$C:$AA,23,0)-'TRADE IN'!$F389=0,"",(VLOOKUP($C389,REV!$C:$AA,23,0)-'TRADE IN'!$F389))</f>
        <v>1499</v>
      </c>
      <c r="Z389" s="56">
        <f>IF(VLOOKUP($C389,REV!$C:$AA,24,0)-'TRADE IN'!$F389=0,"",(VLOOKUP($C389,REV!$C:$AA,24,0)-'TRADE IN'!$F389))</f>
        <v>1499</v>
      </c>
      <c r="AA389" s="56">
        <f>IF(VLOOKUP($C389,REV!$C:$AA,25,0)-'TRADE IN'!$F389=0,"",(VLOOKUP($C389,REV!$C:$AA,25,0)-'TRADE IN'!$F389))</f>
        <v>1499</v>
      </c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7"/>
      <c r="AW389" s="58" t="str">
        <f>REV!AW389</f>
        <v>03.11.2026</v>
      </c>
      <c r="AX389" s="147" t="str">
        <f>VLOOKUP(C389,REV!C:AX,48,0)</f>
        <v>5G</v>
      </c>
    </row>
    <row r="390" spans="1:50" ht="22.5" customHeight="1">
      <c r="A390" s="51" t="s">
        <v>63</v>
      </c>
      <c r="B390" s="52" t="s">
        <v>64</v>
      </c>
      <c r="C390" s="53">
        <v>4016064</v>
      </c>
      <c r="D390" s="65" t="s">
        <v>574</v>
      </c>
      <c r="E390" s="65" t="s">
        <v>579</v>
      </c>
      <c r="F390" s="55"/>
      <c r="G390" s="55"/>
      <c r="H390" s="55"/>
      <c r="I390" s="55"/>
      <c r="J390" s="56">
        <f>IF(VLOOKUP($C390,REV!$C:$AA,8,0)-'TRADE IN'!$F390=0,"",(VLOOKUP($C390,REV!$C:$AA,8,0)-'TRADE IN'!$F390))</f>
        <v>1499</v>
      </c>
      <c r="K390" s="56">
        <f>IF(VLOOKUP($C390,REV!$C:$AA,9,0)-'TRADE IN'!$F390=0,"",(VLOOKUP($C390,REV!$C:$AA,9,0)-'TRADE IN'!$F390))</f>
        <v>1499</v>
      </c>
      <c r="L390" s="56">
        <f>IF(VLOOKUP($C390,REV!$C:$AA,10,0)-'TRADE IN'!$F390=0,"",(VLOOKUP($C390,REV!$C:$AA,10,0)-'TRADE IN'!$F390))</f>
        <v>1499</v>
      </c>
      <c r="M390" s="56">
        <f>IF(VLOOKUP($C390,REV!$C:$AA,11,0)-'TRADE IN'!$F390=0,"",(VLOOKUP($C390,REV!$C:$AA,11,0)-'TRADE IN'!$F390))</f>
        <v>1499</v>
      </c>
      <c r="N390" s="56">
        <f>IF(VLOOKUP($C390,REV!$C:$AA,12,0)-'TRADE IN'!$F390=0,"",(VLOOKUP($C390,REV!$C:$AA,12,0)-'TRADE IN'!$F390))</f>
        <v>1499</v>
      </c>
      <c r="O390" s="56">
        <f>IF(VLOOKUP($C390,REV!$C:$AA,13,0)-'TRADE IN'!$F390=0,"",(VLOOKUP($C390,REV!$C:$AA,13,0)-'TRADE IN'!$F390))</f>
        <v>1499</v>
      </c>
      <c r="P390" s="56">
        <f>IF(VLOOKUP($C390,REV!$C:$AA,14,0)-'TRADE IN'!$F390=0,"",(VLOOKUP($C390,REV!$C:$AA,14,0)-'TRADE IN'!$F390))</f>
        <v>1499</v>
      </c>
      <c r="Q390" s="56">
        <f>IF(VLOOKUP($C390,REV!$C:$AA,15,0)-'TRADE IN'!$F390=0,"",(VLOOKUP($C390,REV!$C:$AA,15,0)-'TRADE IN'!$F390))</f>
        <v>1499</v>
      </c>
      <c r="R390" s="56">
        <f>IF(VLOOKUP($C390,REV!$C:$AA,16,0)-'TRADE IN'!$F390=0,"",(VLOOKUP($C390,REV!$C:$AA,16,0)-'TRADE IN'!$F390))</f>
        <v>1499</v>
      </c>
      <c r="S390" s="56">
        <f>IF(VLOOKUP($C390,REV!$C:$AA,17,0)-'TRADE IN'!$F390=0,"",(VLOOKUP($C390,REV!$C:$AA,17,0)-'TRADE IN'!$F390))</f>
        <v>1499</v>
      </c>
      <c r="T390" s="56">
        <f>IF(VLOOKUP($C390,REV!$C:$AA,18,0)-'TRADE IN'!$F390=0,"",(VLOOKUP($C390,REV!$C:$AA,18,0)-'TRADE IN'!$F390))</f>
        <v>1499</v>
      </c>
      <c r="U390" s="56">
        <f>IF(VLOOKUP($C390,REV!$C:$AA,19,0)-'TRADE IN'!$F390=0,"",(VLOOKUP($C390,REV!$C:$AA,19,0)-'TRADE IN'!$F390))</f>
        <v>1499</v>
      </c>
      <c r="V390" s="56">
        <f>IF(VLOOKUP($C390,REV!$C:$AA,20,0)-'TRADE IN'!$F390=0,"",(VLOOKUP($C390,REV!$C:$AA,20,0)-'TRADE IN'!$F390))</f>
        <v>1499</v>
      </c>
      <c r="W390" s="56">
        <f>IF(VLOOKUP($C390,REV!$C:$AA,21,0)-'TRADE IN'!$F390=0,"",(VLOOKUP($C390,REV!$C:$AA,21,0)-'TRADE IN'!$F390))</f>
        <v>1499</v>
      </c>
      <c r="X390" s="56">
        <f>IF(VLOOKUP($C390,REV!$C:$AA,22,0)-'TRADE IN'!$F390=0,"",(VLOOKUP($C390,REV!$C:$AA,22,0)-'TRADE IN'!$F390))</f>
        <v>1499</v>
      </c>
      <c r="Y390" s="56">
        <f>IF(VLOOKUP($C390,REV!$C:$AA,23,0)-'TRADE IN'!$F390=0,"",(VLOOKUP($C390,REV!$C:$AA,23,0)-'TRADE IN'!$F390))</f>
        <v>1499</v>
      </c>
      <c r="Z390" s="56">
        <f>IF(VLOOKUP($C390,REV!$C:$AA,24,0)-'TRADE IN'!$F390=0,"",(VLOOKUP($C390,REV!$C:$AA,24,0)-'TRADE IN'!$F390))</f>
        <v>1499</v>
      </c>
      <c r="AA390" s="56">
        <f>IF(VLOOKUP($C390,REV!$C:$AA,25,0)-'TRADE IN'!$F390=0,"",(VLOOKUP($C390,REV!$C:$AA,25,0)-'TRADE IN'!$F390))</f>
        <v>1499</v>
      </c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7"/>
      <c r="AW390" s="58" t="str">
        <f>REV!AW390</f>
        <v>03.11.2026</v>
      </c>
      <c r="AX390" s="147" t="str">
        <f>VLOOKUP(C390,REV!C:AX,48,0)</f>
        <v>5G</v>
      </c>
    </row>
    <row r="391" spans="1:50" ht="22.5" customHeight="1">
      <c r="A391" s="51" t="s">
        <v>63</v>
      </c>
      <c r="B391" s="52" t="s">
        <v>64</v>
      </c>
      <c r="C391" s="53">
        <v>4016033</v>
      </c>
      <c r="D391" s="65" t="s">
        <v>574</v>
      </c>
      <c r="E391" s="65" t="s">
        <v>580</v>
      </c>
      <c r="F391" s="55"/>
      <c r="G391" s="55"/>
      <c r="H391" s="55"/>
      <c r="I391" s="55"/>
      <c r="J391" s="56">
        <f>IF(VLOOKUP($C391,REV!$C:$AA,8,0)-'TRADE IN'!$F391=0,"",(VLOOKUP($C391,REV!$C:$AA,8,0)-'TRADE IN'!$F391))</f>
        <v>1499</v>
      </c>
      <c r="K391" s="56">
        <f>IF(VLOOKUP($C391,REV!$C:$AA,9,0)-'TRADE IN'!$F391=0,"",(VLOOKUP($C391,REV!$C:$AA,9,0)-'TRADE IN'!$F391))</f>
        <v>1499</v>
      </c>
      <c r="L391" s="56">
        <f>IF(VLOOKUP($C391,REV!$C:$AA,10,0)-'TRADE IN'!$F391=0,"",(VLOOKUP($C391,REV!$C:$AA,10,0)-'TRADE IN'!$F391))</f>
        <v>1499</v>
      </c>
      <c r="M391" s="56">
        <f>IF(VLOOKUP($C391,REV!$C:$AA,11,0)-'TRADE IN'!$F391=0,"",(VLOOKUP($C391,REV!$C:$AA,11,0)-'TRADE IN'!$F391))</f>
        <v>1499</v>
      </c>
      <c r="N391" s="56">
        <f>IF(VLOOKUP($C391,REV!$C:$AA,12,0)-'TRADE IN'!$F391=0,"",(VLOOKUP($C391,REV!$C:$AA,12,0)-'TRADE IN'!$F391))</f>
        <v>1499</v>
      </c>
      <c r="O391" s="56">
        <f>IF(VLOOKUP($C391,REV!$C:$AA,13,0)-'TRADE IN'!$F391=0,"",(VLOOKUP($C391,REV!$C:$AA,13,0)-'TRADE IN'!$F391))</f>
        <v>1499</v>
      </c>
      <c r="P391" s="56">
        <f>IF(VLOOKUP($C391,REV!$C:$AA,14,0)-'TRADE IN'!$F391=0,"",(VLOOKUP($C391,REV!$C:$AA,14,0)-'TRADE IN'!$F391))</f>
        <v>1499</v>
      </c>
      <c r="Q391" s="56">
        <f>IF(VLOOKUP($C391,REV!$C:$AA,15,0)-'TRADE IN'!$F391=0,"",(VLOOKUP($C391,REV!$C:$AA,15,0)-'TRADE IN'!$F391))</f>
        <v>1499</v>
      </c>
      <c r="R391" s="56">
        <f>IF(VLOOKUP($C391,REV!$C:$AA,16,0)-'TRADE IN'!$F391=0,"",(VLOOKUP($C391,REV!$C:$AA,16,0)-'TRADE IN'!$F391))</f>
        <v>1499</v>
      </c>
      <c r="S391" s="56">
        <f>IF(VLOOKUP($C391,REV!$C:$AA,17,0)-'TRADE IN'!$F391=0,"",(VLOOKUP($C391,REV!$C:$AA,17,0)-'TRADE IN'!$F391))</f>
        <v>1499</v>
      </c>
      <c r="T391" s="56">
        <f>IF(VLOOKUP($C391,REV!$C:$AA,18,0)-'TRADE IN'!$F391=0,"",(VLOOKUP($C391,REV!$C:$AA,18,0)-'TRADE IN'!$F391))</f>
        <v>1499</v>
      </c>
      <c r="U391" s="56">
        <f>IF(VLOOKUP($C391,REV!$C:$AA,19,0)-'TRADE IN'!$F391=0,"",(VLOOKUP($C391,REV!$C:$AA,19,0)-'TRADE IN'!$F391))</f>
        <v>1499</v>
      </c>
      <c r="V391" s="56">
        <f>IF(VLOOKUP($C391,REV!$C:$AA,20,0)-'TRADE IN'!$F391=0,"",(VLOOKUP($C391,REV!$C:$AA,20,0)-'TRADE IN'!$F391))</f>
        <v>1499</v>
      </c>
      <c r="W391" s="56">
        <f>IF(VLOOKUP($C391,REV!$C:$AA,21,0)-'TRADE IN'!$F391=0,"",(VLOOKUP($C391,REV!$C:$AA,21,0)-'TRADE IN'!$F391))</f>
        <v>1499</v>
      </c>
      <c r="X391" s="56">
        <f>IF(VLOOKUP($C391,REV!$C:$AA,22,0)-'TRADE IN'!$F391=0,"",(VLOOKUP($C391,REV!$C:$AA,22,0)-'TRADE IN'!$F391))</f>
        <v>1499</v>
      </c>
      <c r="Y391" s="56">
        <f>IF(VLOOKUP($C391,REV!$C:$AA,23,0)-'TRADE IN'!$F391=0,"",(VLOOKUP($C391,REV!$C:$AA,23,0)-'TRADE IN'!$F391))</f>
        <v>1499</v>
      </c>
      <c r="Z391" s="56">
        <f>IF(VLOOKUP($C391,REV!$C:$AA,24,0)-'TRADE IN'!$F391=0,"",(VLOOKUP($C391,REV!$C:$AA,24,0)-'TRADE IN'!$F391))</f>
        <v>1499</v>
      </c>
      <c r="AA391" s="56">
        <f>IF(VLOOKUP($C391,REV!$C:$AA,25,0)-'TRADE IN'!$F391=0,"",(VLOOKUP($C391,REV!$C:$AA,25,0)-'TRADE IN'!$F391))</f>
        <v>1499</v>
      </c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7"/>
      <c r="AW391" s="58" t="str">
        <f>REV!AW391</f>
        <v>03.11.2026</v>
      </c>
      <c r="AX391" s="147" t="str">
        <f>VLOOKUP(C391,REV!C:AX,48,0)</f>
        <v>5G</v>
      </c>
    </row>
    <row r="392" spans="1:50" ht="22.5" customHeight="1">
      <c r="A392" s="51" t="s">
        <v>63</v>
      </c>
      <c r="B392" s="52" t="s">
        <v>64</v>
      </c>
      <c r="C392" s="53">
        <v>4016026</v>
      </c>
      <c r="D392" s="65" t="s">
        <v>574</v>
      </c>
      <c r="E392" s="65" t="s">
        <v>581</v>
      </c>
      <c r="F392" s="55"/>
      <c r="G392" s="55"/>
      <c r="H392" s="55"/>
      <c r="I392" s="55"/>
      <c r="J392" s="56">
        <f>IF(VLOOKUP($C392,REV!$C:$AA,8,0)-'TRADE IN'!$F392=0,"",(VLOOKUP($C392,REV!$C:$AA,8,0)-'TRADE IN'!$F392))</f>
        <v>1499</v>
      </c>
      <c r="K392" s="56">
        <f>IF(VLOOKUP($C392,REV!$C:$AA,9,0)-'TRADE IN'!$F392=0,"",(VLOOKUP($C392,REV!$C:$AA,9,0)-'TRADE IN'!$F392))</f>
        <v>1499</v>
      </c>
      <c r="L392" s="56">
        <f>IF(VLOOKUP($C392,REV!$C:$AA,10,0)-'TRADE IN'!$F392=0,"",(VLOOKUP($C392,REV!$C:$AA,10,0)-'TRADE IN'!$F392))</f>
        <v>1499</v>
      </c>
      <c r="M392" s="56">
        <f>IF(VLOOKUP($C392,REV!$C:$AA,11,0)-'TRADE IN'!$F392=0,"",(VLOOKUP($C392,REV!$C:$AA,11,0)-'TRADE IN'!$F392))</f>
        <v>1499</v>
      </c>
      <c r="N392" s="56">
        <f>IF(VLOOKUP($C392,REV!$C:$AA,12,0)-'TRADE IN'!$F392=0,"",(VLOOKUP($C392,REV!$C:$AA,12,0)-'TRADE IN'!$F392))</f>
        <v>1499</v>
      </c>
      <c r="O392" s="56">
        <f>IF(VLOOKUP($C392,REV!$C:$AA,13,0)-'TRADE IN'!$F392=0,"",(VLOOKUP($C392,REV!$C:$AA,13,0)-'TRADE IN'!$F392))</f>
        <v>1499</v>
      </c>
      <c r="P392" s="56">
        <f>IF(VLOOKUP($C392,REV!$C:$AA,14,0)-'TRADE IN'!$F392=0,"",(VLOOKUP($C392,REV!$C:$AA,14,0)-'TRADE IN'!$F392))</f>
        <v>1499</v>
      </c>
      <c r="Q392" s="56">
        <f>IF(VLOOKUP($C392,REV!$C:$AA,15,0)-'TRADE IN'!$F392=0,"",(VLOOKUP($C392,REV!$C:$AA,15,0)-'TRADE IN'!$F392))</f>
        <v>1499</v>
      </c>
      <c r="R392" s="56">
        <f>IF(VLOOKUP($C392,REV!$C:$AA,16,0)-'TRADE IN'!$F392=0,"",(VLOOKUP($C392,REV!$C:$AA,16,0)-'TRADE IN'!$F392))</f>
        <v>1499</v>
      </c>
      <c r="S392" s="56">
        <f>IF(VLOOKUP($C392,REV!$C:$AA,17,0)-'TRADE IN'!$F392=0,"",(VLOOKUP($C392,REV!$C:$AA,17,0)-'TRADE IN'!$F392))</f>
        <v>1499</v>
      </c>
      <c r="T392" s="56">
        <f>IF(VLOOKUP($C392,REV!$C:$AA,18,0)-'TRADE IN'!$F392=0,"",(VLOOKUP($C392,REV!$C:$AA,18,0)-'TRADE IN'!$F392))</f>
        <v>1499</v>
      </c>
      <c r="U392" s="56">
        <f>IF(VLOOKUP($C392,REV!$C:$AA,19,0)-'TRADE IN'!$F392=0,"",(VLOOKUP($C392,REV!$C:$AA,19,0)-'TRADE IN'!$F392))</f>
        <v>1499</v>
      </c>
      <c r="V392" s="56">
        <f>IF(VLOOKUP($C392,REV!$C:$AA,20,0)-'TRADE IN'!$F392=0,"",(VLOOKUP($C392,REV!$C:$AA,20,0)-'TRADE IN'!$F392))</f>
        <v>1499</v>
      </c>
      <c r="W392" s="56">
        <f>IF(VLOOKUP($C392,REV!$C:$AA,21,0)-'TRADE IN'!$F392=0,"",(VLOOKUP($C392,REV!$C:$AA,21,0)-'TRADE IN'!$F392))</f>
        <v>1499</v>
      </c>
      <c r="X392" s="56">
        <f>IF(VLOOKUP($C392,REV!$C:$AA,22,0)-'TRADE IN'!$F392=0,"",(VLOOKUP($C392,REV!$C:$AA,22,0)-'TRADE IN'!$F392))</f>
        <v>1499</v>
      </c>
      <c r="Y392" s="56">
        <f>IF(VLOOKUP($C392,REV!$C:$AA,23,0)-'TRADE IN'!$F392=0,"",(VLOOKUP($C392,REV!$C:$AA,23,0)-'TRADE IN'!$F392))</f>
        <v>1499</v>
      </c>
      <c r="Z392" s="56">
        <f>IF(VLOOKUP($C392,REV!$C:$AA,24,0)-'TRADE IN'!$F392=0,"",(VLOOKUP($C392,REV!$C:$AA,24,0)-'TRADE IN'!$F392))</f>
        <v>1499</v>
      </c>
      <c r="AA392" s="56">
        <f>IF(VLOOKUP($C392,REV!$C:$AA,25,0)-'TRADE IN'!$F392=0,"",(VLOOKUP($C392,REV!$C:$AA,25,0)-'TRADE IN'!$F392))</f>
        <v>1499</v>
      </c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7"/>
      <c r="AW392" s="58" t="str">
        <f>REV!AW392</f>
        <v>03.11.2026</v>
      </c>
      <c r="AX392" s="147" t="str">
        <f>VLOOKUP(C392,REV!C:AX,48,0)</f>
        <v>5G</v>
      </c>
    </row>
    <row r="393" spans="1:50" ht="22.5" customHeight="1">
      <c r="A393" s="51" t="s">
        <v>63</v>
      </c>
      <c r="B393" s="52" t="s">
        <v>64</v>
      </c>
      <c r="C393" s="53">
        <v>4016056</v>
      </c>
      <c r="D393" s="65" t="s">
        <v>574</v>
      </c>
      <c r="E393" s="65" t="s">
        <v>582</v>
      </c>
      <c r="F393" s="55"/>
      <c r="G393" s="55"/>
      <c r="H393" s="55"/>
      <c r="I393" s="55"/>
      <c r="J393" s="56">
        <f>IF(VLOOKUP($C393,REV!$C:$AA,8,0)-'TRADE IN'!$F393=0,"",(VLOOKUP($C393,REV!$C:$AA,8,0)-'TRADE IN'!$F393))</f>
        <v>1499</v>
      </c>
      <c r="K393" s="56">
        <f>IF(VLOOKUP($C393,REV!$C:$AA,9,0)-'TRADE IN'!$F393=0,"",(VLOOKUP($C393,REV!$C:$AA,9,0)-'TRADE IN'!$F393))</f>
        <v>1499</v>
      </c>
      <c r="L393" s="56">
        <f>IF(VLOOKUP($C393,REV!$C:$AA,10,0)-'TRADE IN'!$F393=0,"",(VLOOKUP($C393,REV!$C:$AA,10,0)-'TRADE IN'!$F393))</f>
        <v>1499</v>
      </c>
      <c r="M393" s="56">
        <f>IF(VLOOKUP($C393,REV!$C:$AA,11,0)-'TRADE IN'!$F393=0,"",(VLOOKUP($C393,REV!$C:$AA,11,0)-'TRADE IN'!$F393))</f>
        <v>1499</v>
      </c>
      <c r="N393" s="56">
        <f>IF(VLOOKUP($C393,REV!$C:$AA,12,0)-'TRADE IN'!$F393=0,"",(VLOOKUP($C393,REV!$C:$AA,12,0)-'TRADE IN'!$F393))</f>
        <v>1499</v>
      </c>
      <c r="O393" s="56">
        <f>IF(VLOOKUP($C393,REV!$C:$AA,13,0)-'TRADE IN'!$F393=0,"",(VLOOKUP($C393,REV!$C:$AA,13,0)-'TRADE IN'!$F393))</f>
        <v>1499</v>
      </c>
      <c r="P393" s="56">
        <f>IF(VLOOKUP($C393,REV!$C:$AA,14,0)-'TRADE IN'!$F393=0,"",(VLOOKUP($C393,REV!$C:$AA,14,0)-'TRADE IN'!$F393))</f>
        <v>1499</v>
      </c>
      <c r="Q393" s="56">
        <f>IF(VLOOKUP($C393,REV!$C:$AA,15,0)-'TRADE IN'!$F393=0,"",(VLOOKUP($C393,REV!$C:$AA,15,0)-'TRADE IN'!$F393))</f>
        <v>1499</v>
      </c>
      <c r="R393" s="56">
        <f>IF(VLOOKUP($C393,REV!$C:$AA,16,0)-'TRADE IN'!$F393=0,"",(VLOOKUP($C393,REV!$C:$AA,16,0)-'TRADE IN'!$F393))</f>
        <v>1499</v>
      </c>
      <c r="S393" s="56">
        <f>IF(VLOOKUP($C393,REV!$C:$AA,17,0)-'TRADE IN'!$F393=0,"",(VLOOKUP($C393,REV!$C:$AA,17,0)-'TRADE IN'!$F393))</f>
        <v>1499</v>
      </c>
      <c r="T393" s="56">
        <f>IF(VLOOKUP($C393,REV!$C:$AA,18,0)-'TRADE IN'!$F393=0,"",(VLOOKUP($C393,REV!$C:$AA,18,0)-'TRADE IN'!$F393))</f>
        <v>1499</v>
      </c>
      <c r="U393" s="56">
        <f>IF(VLOOKUP($C393,REV!$C:$AA,19,0)-'TRADE IN'!$F393=0,"",(VLOOKUP($C393,REV!$C:$AA,19,0)-'TRADE IN'!$F393))</f>
        <v>1499</v>
      </c>
      <c r="V393" s="56">
        <f>IF(VLOOKUP($C393,REV!$C:$AA,20,0)-'TRADE IN'!$F393=0,"",(VLOOKUP($C393,REV!$C:$AA,20,0)-'TRADE IN'!$F393))</f>
        <v>1499</v>
      </c>
      <c r="W393" s="56">
        <f>IF(VLOOKUP($C393,REV!$C:$AA,21,0)-'TRADE IN'!$F393=0,"",(VLOOKUP($C393,REV!$C:$AA,21,0)-'TRADE IN'!$F393))</f>
        <v>1499</v>
      </c>
      <c r="X393" s="56">
        <f>IF(VLOOKUP($C393,REV!$C:$AA,22,0)-'TRADE IN'!$F393=0,"",(VLOOKUP($C393,REV!$C:$AA,22,0)-'TRADE IN'!$F393))</f>
        <v>1499</v>
      </c>
      <c r="Y393" s="56">
        <f>IF(VLOOKUP($C393,REV!$C:$AA,23,0)-'TRADE IN'!$F393=0,"",(VLOOKUP($C393,REV!$C:$AA,23,0)-'TRADE IN'!$F393))</f>
        <v>1499</v>
      </c>
      <c r="Z393" s="56">
        <f>IF(VLOOKUP($C393,REV!$C:$AA,24,0)-'TRADE IN'!$F393=0,"",(VLOOKUP($C393,REV!$C:$AA,24,0)-'TRADE IN'!$F393))</f>
        <v>1499</v>
      </c>
      <c r="AA393" s="56">
        <f>IF(VLOOKUP($C393,REV!$C:$AA,25,0)-'TRADE IN'!$F393=0,"",(VLOOKUP($C393,REV!$C:$AA,25,0)-'TRADE IN'!$F393))</f>
        <v>1499</v>
      </c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7"/>
      <c r="AW393" s="58" t="str">
        <f>REV!AW393</f>
        <v>03.11.2026</v>
      </c>
      <c r="AX393" s="147" t="str">
        <f>VLOOKUP(C393,REV!C:AX,48,0)</f>
        <v>5G</v>
      </c>
    </row>
    <row r="394" spans="1:50" ht="22.5" customHeight="1">
      <c r="A394" s="51" t="s">
        <v>63</v>
      </c>
      <c r="B394" s="52" t="s">
        <v>64</v>
      </c>
      <c r="C394" s="53">
        <v>4016036</v>
      </c>
      <c r="D394" s="65" t="s">
        <v>583</v>
      </c>
      <c r="E394" s="65" t="s">
        <v>584</v>
      </c>
      <c r="F394" s="55"/>
      <c r="G394" s="55"/>
      <c r="H394" s="55"/>
      <c r="I394" s="55"/>
      <c r="J394" s="56">
        <f>IF(VLOOKUP($C394,REV!$C:$AA,8,0)-'TRADE IN'!$F394=0,"",(VLOOKUP($C394,REV!$C:$AA,8,0)-'TRADE IN'!$F394))</f>
        <v>1499</v>
      </c>
      <c r="K394" s="56">
        <f>IF(VLOOKUP($C394,REV!$C:$AA,9,0)-'TRADE IN'!$F394=0,"",(VLOOKUP($C394,REV!$C:$AA,9,0)-'TRADE IN'!$F394))</f>
        <v>1499</v>
      </c>
      <c r="L394" s="56">
        <f>IF(VLOOKUP($C394,REV!$C:$AA,10,0)-'TRADE IN'!$F394=0,"",(VLOOKUP($C394,REV!$C:$AA,10,0)-'TRADE IN'!$F394))</f>
        <v>1499</v>
      </c>
      <c r="M394" s="56">
        <f>IF(VLOOKUP($C394,REV!$C:$AA,11,0)-'TRADE IN'!$F394=0,"",(VLOOKUP($C394,REV!$C:$AA,11,0)-'TRADE IN'!$F394))</f>
        <v>1499</v>
      </c>
      <c r="N394" s="56">
        <f>IF(VLOOKUP($C394,REV!$C:$AA,12,0)-'TRADE IN'!$F394=0,"",(VLOOKUP($C394,REV!$C:$AA,12,0)-'TRADE IN'!$F394))</f>
        <v>1499</v>
      </c>
      <c r="O394" s="56">
        <f>IF(VLOOKUP($C394,REV!$C:$AA,13,0)-'TRADE IN'!$F394=0,"",(VLOOKUP($C394,REV!$C:$AA,13,0)-'TRADE IN'!$F394))</f>
        <v>1499</v>
      </c>
      <c r="P394" s="56">
        <f>IF(VLOOKUP($C394,REV!$C:$AA,14,0)-'TRADE IN'!$F394=0,"",(VLOOKUP($C394,REV!$C:$AA,14,0)-'TRADE IN'!$F394))</f>
        <v>1499</v>
      </c>
      <c r="Q394" s="56">
        <f>IF(VLOOKUP($C394,REV!$C:$AA,15,0)-'TRADE IN'!$F394=0,"",(VLOOKUP($C394,REV!$C:$AA,15,0)-'TRADE IN'!$F394))</f>
        <v>1499</v>
      </c>
      <c r="R394" s="56">
        <f>IF(VLOOKUP($C394,REV!$C:$AA,16,0)-'TRADE IN'!$F394=0,"",(VLOOKUP($C394,REV!$C:$AA,16,0)-'TRADE IN'!$F394))</f>
        <v>1499</v>
      </c>
      <c r="S394" s="56">
        <f>IF(VLOOKUP($C394,REV!$C:$AA,17,0)-'TRADE IN'!$F394=0,"",(VLOOKUP($C394,REV!$C:$AA,17,0)-'TRADE IN'!$F394))</f>
        <v>1499</v>
      </c>
      <c r="T394" s="56">
        <f>IF(VLOOKUP($C394,REV!$C:$AA,18,0)-'TRADE IN'!$F394=0,"",(VLOOKUP($C394,REV!$C:$AA,18,0)-'TRADE IN'!$F394))</f>
        <v>1499</v>
      </c>
      <c r="U394" s="56">
        <f>IF(VLOOKUP($C394,REV!$C:$AA,19,0)-'TRADE IN'!$F394=0,"",(VLOOKUP($C394,REV!$C:$AA,19,0)-'TRADE IN'!$F394))</f>
        <v>1499</v>
      </c>
      <c r="V394" s="56">
        <f>IF(VLOOKUP($C394,REV!$C:$AA,20,0)-'TRADE IN'!$F394=0,"",(VLOOKUP($C394,REV!$C:$AA,20,0)-'TRADE IN'!$F394))</f>
        <v>1499</v>
      </c>
      <c r="W394" s="56">
        <f>IF(VLOOKUP($C394,REV!$C:$AA,21,0)-'TRADE IN'!$F394=0,"",(VLOOKUP($C394,REV!$C:$AA,21,0)-'TRADE IN'!$F394))</f>
        <v>1499</v>
      </c>
      <c r="X394" s="56">
        <f>IF(VLOOKUP($C394,REV!$C:$AA,22,0)-'TRADE IN'!$F394=0,"",(VLOOKUP($C394,REV!$C:$AA,22,0)-'TRADE IN'!$F394))</f>
        <v>1499</v>
      </c>
      <c r="Y394" s="56">
        <f>IF(VLOOKUP($C394,REV!$C:$AA,23,0)-'TRADE IN'!$F394=0,"",(VLOOKUP($C394,REV!$C:$AA,23,0)-'TRADE IN'!$F394))</f>
        <v>1499</v>
      </c>
      <c r="Z394" s="56">
        <f>IF(VLOOKUP($C394,REV!$C:$AA,24,0)-'TRADE IN'!$F394=0,"",(VLOOKUP($C394,REV!$C:$AA,24,0)-'TRADE IN'!$F394))</f>
        <v>1499</v>
      </c>
      <c r="AA394" s="56">
        <f>IF(VLOOKUP($C394,REV!$C:$AA,25,0)-'TRADE IN'!$F394=0,"",(VLOOKUP($C394,REV!$C:$AA,25,0)-'TRADE IN'!$F394))</f>
        <v>1499</v>
      </c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7"/>
      <c r="AW394" s="58" t="str">
        <f>REV!AW394</f>
        <v>03.11.2026</v>
      </c>
      <c r="AX394" s="147" t="str">
        <f>VLOOKUP(C394,REV!C:AX,48,0)</f>
        <v>5G</v>
      </c>
    </row>
    <row r="395" spans="1:50" ht="22.5" customHeight="1">
      <c r="A395" s="51" t="s">
        <v>63</v>
      </c>
      <c r="B395" s="52" t="s">
        <v>64</v>
      </c>
      <c r="C395" s="53">
        <v>4016068</v>
      </c>
      <c r="D395" s="65" t="s">
        <v>583</v>
      </c>
      <c r="E395" s="65" t="s">
        <v>585</v>
      </c>
      <c r="F395" s="55"/>
      <c r="G395" s="55"/>
      <c r="H395" s="55"/>
      <c r="I395" s="55"/>
      <c r="J395" s="56">
        <f>IF(VLOOKUP($C395,REV!$C:$AA,8,0)-'TRADE IN'!$F395=0,"",(VLOOKUP($C395,REV!$C:$AA,8,0)-'TRADE IN'!$F395))</f>
        <v>1499</v>
      </c>
      <c r="K395" s="56">
        <f>IF(VLOOKUP($C395,REV!$C:$AA,9,0)-'TRADE IN'!$F395=0,"",(VLOOKUP($C395,REV!$C:$AA,9,0)-'TRADE IN'!$F395))</f>
        <v>1499</v>
      </c>
      <c r="L395" s="56">
        <f>IF(VLOOKUP($C395,REV!$C:$AA,10,0)-'TRADE IN'!$F395=0,"",(VLOOKUP($C395,REV!$C:$AA,10,0)-'TRADE IN'!$F395))</f>
        <v>1499</v>
      </c>
      <c r="M395" s="56">
        <f>IF(VLOOKUP($C395,REV!$C:$AA,11,0)-'TRADE IN'!$F395=0,"",(VLOOKUP($C395,REV!$C:$AA,11,0)-'TRADE IN'!$F395))</f>
        <v>1499</v>
      </c>
      <c r="N395" s="56">
        <f>IF(VLOOKUP($C395,REV!$C:$AA,12,0)-'TRADE IN'!$F395=0,"",(VLOOKUP($C395,REV!$C:$AA,12,0)-'TRADE IN'!$F395))</f>
        <v>1499</v>
      </c>
      <c r="O395" s="56">
        <f>IF(VLOOKUP($C395,REV!$C:$AA,13,0)-'TRADE IN'!$F395=0,"",(VLOOKUP($C395,REV!$C:$AA,13,0)-'TRADE IN'!$F395))</f>
        <v>1499</v>
      </c>
      <c r="P395" s="56">
        <f>IF(VLOOKUP($C395,REV!$C:$AA,14,0)-'TRADE IN'!$F395=0,"",(VLOOKUP($C395,REV!$C:$AA,14,0)-'TRADE IN'!$F395))</f>
        <v>1499</v>
      </c>
      <c r="Q395" s="56">
        <f>IF(VLOOKUP($C395,REV!$C:$AA,15,0)-'TRADE IN'!$F395=0,"",(VLOOKUP($C395,REV!$C:$AA,15,0)-'TRADE IN'!$F395))</f>
        <v>1499</v>
      </c>
      <c r="R395" s="56">
        <f>IF(VLOOKUP($C395,REV!$C:$AA,16,0)-'TRADE IN'!$F395=0,"",(VLOOKUP($C395,REV!$C:$AA,16,0)-'TRADE IN'!$F395))</f>
        <v>1499</v>
      </c>
      <c r="S395" s="56">
        <f>IF(VLOOKUP($C395,REV!$C:$AA,17,0)-'TRADE IN'!$F395=0,"",(VLOOKUP($C395,REV!$C:$AA,17,0)-'TRADE IN'!$F395))</f>
        <v>1499</v>
      </c>
      <c r="T395" s="56">
        <f>IF(VLOOKUP($C395,REV!$C:$AA,18,0)-'TRADE IN'!$F395=0,"",(VLOOKUP($C395,REV!$C:$AA,18,0)-'TRADE IN'!$F395))</f>
        <v>1499</v>
      </c>
      <c r="U395" s="56">
        <f>IF(VLOOKUP($C395,REV!$C:$AA,19,0)-'TRADE IN'!$F395=0,"",(VLOOKUP($C395,REV!$C:$AA,19,0)-'TRADE IN'!$F395))</f>
        <v>1499</v>
      </c>
      <c r="V395" s="56">
        <f>IF(VLOOKUP($C395,REV!$C:$AA,20,0)-'TRADE IN'!$F395=0,"",(VLOOKUP($C395,REV!$C:$AA,20,0)-'TRADE IN'!$F395))</f>
        <v>1499</v>
      </c>
      <c r="W395" s="56">
        <f>IF(VLOOKUP($C395,REV!$C:$AA,21,0)-'TRADE IN'!$F395=0,"",(VLOOKUP($C395,REV!$C:$AA,21,0)-'TRADE IN'!$F395))</f>
        <v>1499</v>
      </c>
      <c r="X395" s="56">
        <f>IF(VLOOKUP($C395,REV!$C:$AA,22,0)-'TRADE IN'!$F395=0,"",(VLOOKUP($C395,REV!$C:$AA,22,0)-'TRADE IN'!$F395))</f>
        <v>1499</v>
      </c>
      <c r="Y395" s="56">
        <f>IF(VLOOKUP($C395,REV!$C:$AA,23,0)-'TRADE IN'!$F395=0,"",(VLOOKUP($C395,REV!$C:$AA,23,0)-'TRADE IN'!$F395))</f>
        <v>1499</v>
      </c>
      <c r="Z395" s="56">
        <f>IF(VLOOKUP($C395,REV!$C:$AA,24,0)-'TRADE IN'!$F395=0,"",(VLOOKUP($C395,REV!$C:$AA,24,0)-'TRADE IN'!$F395))</f>
        <v>1499</v>
      </c>
      <c r="AA395" s="56">
        <f>IF(VLOOKUP($C395,REV!$C:$AA,25,0)-'TRADE IN'!$F395=0,"",(VLOOKUP($C395,REV!$C:$AA,25,0)-'TRADE IN'!$F395))</f>
        <v>1499</v>
      </c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7"/>
      <c r="AW395" s="58" t="str">
        <f>REV!AW395</f>
        <v>03.11.2026</v>
      </c>
      <c r="AX395" s="147" t="str">
        <f>VLOOKUP(C395,REV!C:AX,48,0)</f>
        <v>5G</v>
      </c>
    </row>
    <row r="396" spans="1:50" ht="22.5" customHeight="1">
      <c r="A396" s="51" t="s">
        <v>63</v>
      </c>
      <c r="B396" s="52" t="s">
        <v>64</v>
      </c>
      <c r="C396" s="53">
        <v>4015888</v>
      </c>
      <c r="D396" s="65" t="s">
        <v>583</v>
      </c>
      <c r="E396" s="65" t="s">
        <v>586</v>
      </c>
      <c r="F396" s="55"/>
      <c r="G396" s="55"/>
      <c r="H396" s="55"/>
      <c r="I396" s="55"/>
      <c r="J396" s="56">
        <f>IF(VLOOKUP($C396,REV!$C:$AA,8,0)-'TRADE IN'!$F396=0,"",(VLOOKUP($C396,REV!$C:$AA,8,0)-'TRADE IN'!$F396))</f>
        <v>1499</v>
      </c>
      <c r="K396" s="56">
        <f>IF(VLOOKUP($C396,REV!$C:$AA,9,0)-'TRADE IN'!$F396=0,"",(VLOOKUP($C396,REV!$C:$AA,9,0)-'TRADE IN'!$F396))</f>
        <v>1499</v>
      </c>
      <c r="L396" s="56">
        <f>IF(VLOOKUP($C396,REV!$C:$AA,10,0)-'TRADE IN'!$F396=0,"",(VLOOKUP($C396,REV!$C:$AA,10,0)-'TRADE IN'!$F396))</f>
        <v>1499</v>
      </c>
      <c r="M396" s="56">
        <f>IF(VLOOKUP($C396,REV!$C:$AA,11,0)-'TRADE IN'!$F396=0,"",(VLOOKUP($C396,REV!$C:$AA,11,0)-'TRADE IN'!$F396))</f>
        <v>1499</v>
      </c>
      <c r="N396" s="56">
        <f>IF(VLOOKUP($C396,REV!$C:$AA,12,0)-'TRADE IN'!$F396=0,"",(VLOOKUP($C396,REV!$C:$AA,12,0)-'TRADE IN'!$F396))</f>
        <v>1499</v>
      </c>
      <c r="O396" s="56">
        <f>IF(VLOOKUP($C396,REV!$C:$AA,13,0)-'TRADE IN'!$F396=0,"",(VLOOKUP($C396,REV!$C:$AA,13,0)-'TRADE IN'!$F396))</f>
        <v>1499</v>
      </c>
      <c r="P396" s="56">
        <f>IF(VLOOKUP($C396,REV!$C:$AA,14,0)-'TRADE IN'!$F396=0,"",(VLOOKUP($C396,REV!$C:$AA,14,0)-'TRADE IN'!$F396))</f>
        <v>1499</v>
      </c>
      <c r="Q396" s="56">
        <f>IF(VLOOKUP($C396,REV!$C:$AA,15,0)-'TRADE IN'!$F396=0,"",(VLOOKUP($C396,REV!$C:$AA,15,0)-'TRADE IN'!$F396))</f>
        <v>1499</v>
      </c>
      <c r="R396" s="56">
        <f>IF(VLOOKUP($C396,REV!$C:$AA,16,0)-'TRADE IN'!$F396=0,"",(VLOOKUP($C396,REV!$C:$AA,16,0)-'TRADE IN'!$F396))</f>
        <v>1499</v>
      </c>
      <c r="S396" s="56">
        <f>IF(VLOOKUP($C396,REV!$C:$AA,17,0)-'TRADE IN'!$F396=0,"",(VLOOKUP($C396,REV!$C:$AA,17,0)-'TRADE IN'!$F396))</f>
        <v>1499</v>
      </c>
      <c r="T396" s="56">
        <f>IF(VLOOKUP($C396,REV!$C:$AA,18,0)-'TRADE IN'!$F396=0,"",(VLOOKUP($C396,REV!$C:$AA,18,0)-'TRADE IN'!$F396))</f>
        <v>1499</v>
      </c>
      <c r="U396" s="56">
        <f>IF(VLOOKUP($C396,REV!$C:$AA,19,0)-'TRADE IN'!$F396=0,"",(VLOOKUP($C396,REV!$C:$AA,19,0)-'TRADE IN'!$F396))</f>
        <v>1499</v>
      </c>
      <c r="V396" s="56">
        <f>IF(VLOOKUP($C396,REV!$C:$AA,20,0)-'TRADE IN'!$F396=0,"",(VLOOKUP($C396,REV!$C:$AA,20,0)-'TRADE IN'!$F396))</f>
        <v>1499</v>
      </c>
      <c r="W396" s="56">
        <f>IF(VLOOKUP($C396,REV!$C:$AA,21,0)-'TRADE IN'!$F396=0,"",(VLOOKUP($C396,REV!$C:$AA,21,0)-'TRADE IN'!$F396))</f>
        <v>1499</v>
      </c>
      <c r="X396" s="56">
        <f>IF(VLOOKUP($C396,REV!$C:$AA,22,0)-'TRADE IN'!$F396=0,"",(VLOOKUP($C396,REV!$C:$AA,22,0)-'TRADE IN'!$F396))</f>
        <v>1499</v>
      </c>
      <c r="Y396" s="56">
        <f>IF(VLOOKUP($C396,REV!$C:$AA,23,0)-'TRADE IN'!$F396=0,"",(VLOOKUP($C396,REV!$C:$AA,23,0)-'TRADE IN'!$F396))</f>
        <v>1499</v>
      </c>
      <c r="Z396" s="56">
        <f>IF(VLOOKUP($C396,REV!$C:$AA,24,0)-'TRADE IN'!$F396=0,"",(VLOOKUP($C396,REV!$C:$AA,24,0)-'TRADE IN'!$F396))</f>
        <v>1499</v>
      </c>
      <c r="AA396" s="56">
        <f>IF(VLOOKUP($C396,REV!$C:$AA,25,0)-'TRADE IN'!$F396=0,"",(VLOOKUP($C396,REV!$C:$AA,25,0)-'TRADE IN'!$F396))</f>
        <v>1499</v>
      </c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7"/>
      <c r="AW396" s="58" t="str">
        <f>REV!AW396</f>
        <v>03.11.2026</v>
      </c>
      <c r="AX396" s="147" t="str">
        <f>VLOOKUP(C396,REV!C:AX,48,0)</f>
        <v>5G</v>
      </c>
    </row>
    <row r="397" spans="1:50" ht="22.5" customHeight="1">
      <c r="A397" s="51" t="s">
        <v>63</v>
      </c>
      <c r="B397" s="52" t="s">
        <v>64</v>
      </c>
      <c r="C397" s="53">
        <v>4016044</v>
      </c>
      <c r="D397" s="65" t="s">
        <v>583</v>
      </c>
      <c r="E397" s="65" t="s">
        <v>587</v>
      </c>
      <c r="F397" s="55"/>
      <c r="G397" s="55"/>
      <c r="H397" s="55"/>
      <c r="I397" s="55"/>
      <c r="J397" s="56">
        <f>IF(VLOOKUP($C397,REV!$C:$AA,8,0)-'TRADE IN'!$F397=0,"",(VLOOKUP($C397,REV!$C:$AA,8,0)-'TRADE IN'!$F397))</f>
        <v>1499</v>
      </c>
      <c r="K397" s="56">
        <f>IF(VLOOKUP($C397,REV!$C:$AA,9,0)-'TRADE IN'!$F397=0,"",(VLOOKUP($C397,REV!$C:$AA,9,0)-'TRADE IN'!$F397))</f>
        <v>1499</v>
      </c>
      <c r="L397" s="56">
        <f>IF(VLOOKUP($C397,REV!$C:$AA,10,0)-'TRADE IN'!$F397=0,"",(VLOOKUP($C397,REV!$C:$AA,10,0)-'TRADE IN'!$F397))</f>
        <v>1499</v>
      </c>
      <c r="M397" s="56">
        <f>IF(VLOOKUP($C397,REV!$C:$AA,11,0)-'TRADE IN'!$F397=0,"",(VLOOKUP($C397,REV!$C:$AA,11,0)-'TRADE IN'!$F397))</f>
        <v>1499</v>
      </c>
      <c r="N397" s="56">
        <f>IF(VLOOKUP($C397,REV!$C:$AA,12,0)-'TRADE IN'!$F397=0,"",(VLOOKUP($C397,REV!$C:$AA,12,0)-'TRADE IN'!$F397))</f>
        <v>1499</v>
      </c>
      <c r="O397" s="56">
        <f>IF(VLOOKUP($C397,REV!$C:$AA,13,0)-'TRADE IN'!$F397=0,"",(VLOOKUP($C397,REV!$C:$AA,13,0)-'TRADE IN'!$F397))</f>
        <v>1499</v>
      </c>
      <c r="P397" s="56">
        <f>IF(VLOOKUP($C397,REV!$C:$AA,14,0)-'TRADE IN'!$F397=0,"",(VLOOKUP($C397,REV!$C:$AA,14,0)-'TRADE IN'!$F397))</f>
        <v>1499</v>
      </c>
      <c r="Q397" s="56">
        <f>IF(VLOOKUP($C397,REV!$C:$AA,15,0)-'TRADE IN'!$F397=0,"",(VLOOKUP($C397,REV!$C:$AA,15,0)-'TRADE IN'!$F397))</f>
        <v>1499</v>
      </c>
      <c r="R397" s="56">
        <f>IF(VLOOKUP($C397,REV!$C:$AA,16,0)-'TRADE IN'!$F397=0,"",(VLOOKUP($C397,REV!$C:$AA,16,0)-'TRADE IN'!$F397))</f>
        <v>1499</v>
      </c>
      <c r="S397" s="56">
        <f>IF(VLOOKUP($C397,REV!$C:$AA,17,0)-'TRADE IN'!$F397=0,"",(VLOOKUP($C397,REV!$C:$AA,17,0)-'TRADE IN'!$F397))</f>
        <v>1499</v>
      </c>
      <c r="T397" s="56">
        <f>IF(VLOOKUP($C397,REV!$C:$AA,18,0)-'TRADE IN'!$F397=0,"",(VLOOKUP($C397,REV!$C:$AA,18,0)-'TRADE IN'!$F397))</f>
        <v>1499</v>
      </c>
      <c r="U397" s="56">
        <f>IF(VLOOKUP($C397,REV!$C:$AA,19,0)-'TRADE IN'!$F397=0,"",(VLOOKUP($C397,REV!$C:$AA,19,0)-'TRADE IN'!$F397))</f>
        <v>1499</v>
      </c>
      <c r="V397" s="56">
        <f>IF(VLOOKUP($C397,REV!$C:$AA,20,0)-'TRADE IN'!$F397=0,"",(VLOOKUP($C397,REV!$C:$AA,20,0)-'TRADE IN'!$F397))</f>
        <v>1499</v>
      </c>
      <c r="W397" s="56">
        <f>IF(VLOOKUP($C397,REV!$C:$AA,21,0)-'TRADE IN'!$F397=0,"",(VLOOKUP($C397,REV!$C:$AA,21,0)-'TRADE IN'!$F397))</f>
        <v>1499</v>
      </c>
      <c r="X397" s="56">
        <f>IF(VLOOKUP($C397,REV!$C:$AA,22,0)-'TRADE IN'!$F397=0,"",(VLOOKUP($C397,REV!$C:$AA,22,0)-'TRADE IN'!$F397))</f>
        <v>1499</v>
      </c>
      <c r="Y397" s="56">
        <f>IF(VLOOKUP($C397,REV!$C:$AA,23,0)-'TRADE IN'!$F397=0,"",(VLOOKUP($C397,REV!$C:$AA,23,0)-'TRADE IN'!$F397))</f>
        <v>1499</v>
      </c>
      <c r="Z397" s="56">
        <f>IF(VLOOKUP($C397,REV!$C:$AA,24,0)-'TRADE IN'!$F397=0,"",(VLOOKUP($C397,REV!$C:$AA,24,0)-'TRADE IN'!$F397))</f>
        <v>1499</v>
      </c>
      <c r="AA397" s="56">
        <f>IF(VLOOKUP($C397,REV!$C:$AA,25,0)-'TRADE IN'!$F397=0,"",(VLOOKUP($C397,REV!$C:$AA,25,0)-'TRADE IN'!$F397))</f>
        <v>1499</v>
      </c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7"/>
      <c r="AW397" s="58" t="str">
        <f>REV!AW397</f>
        <v>03.11.2026</v>
      </c>
      <c r="AX397" s="147" t="str">
        <f>VLOOKUP(C397,REV!C:AX,48,0)</f>
        <v>5G</v>
      </c>
    </row>
    <row r="398" spans="1:50" ht="22.5" customHeight="1">
      <c r="A398" s="51" t="s">
        <v>63</v>
      </c>
      <c r="B398" s="52" t="s">
        <v>64</v>
      </c>
      <c r="C398" s="53">
        <v>4016074</v>
      </c>
      <c r="D398" s="65" t="s">
        <v>583</v>
      </c>
      <c r="E398" s="65" t="s">
        <v>588</v>
      </c>
      <c r="F398" s="55"/>
      <c r="G398" s="55"/>
      <c r="H398" s="55"/>
      <c r="I398" s="55"/>
      <c r="J398" s="56">
        <f>IF(VLOOKUP($C398,REV!$C:$AA,8,0)-'TRADE IN'!$F398=0,"",(VLOOKUP($C398,REV!$C:$AA,8,0)-'TRADE IN'!$F398))</f>
        <v>1499</v>
      </c>
      <c r="K398" s="56">
        <f>IF(VLOOKUP($C398,REV!$C:$AA,9,0)-'TRADE IN'!$F398=0,"",(VLOOKUP($C398,REV!$C:$AA,9,0)-'TRADE IN'!$F398))</f>
        <v>1499</v>
      </c>
      <c r="L398" s="56">
        <f>IF(VLOOKUP($C398,REV!$C:$AA,10,0)-'TRADE IN'!$F398=0,"",(VLOOKUP($C398,REV!$C:$AA,10,0)-'TRADE IN'!$F398))</f>
        <v>1499</v>
      </c>
      <c r="M398" s="56">
        <f>IF(VLOOKUP($C398,REV!$C:$AA,11,0)-'TRADE IN'!$F398=0,"",(VLOOKUP($C398,REV!$C:$AA,11,0)-'TRADE IN'!$F398))</f>
        <v>1499</v>
      </c>
      <c r="N398" s="56">
        <f>IF(VLOOKUP($C398,REV!$C:$AA,12,0)-'TRADE IN'!$F398=0,"",(VLOOKUP($C398,REV!$C:$AA,12,0)-'TRADE IN'!$F398))</f>
        <v>1499</v>
      </c>
      <c r="O398" s="56">
        <f>IF(VLOOKUP($C398,REV!$C:$AA,13,0)-'TRADE IN'!$F398=0,"",(VLOOKUP($C398,REV!$C:$AA,13,0)-'TRADE IN'!$F398))</f>
        <v>1499</v>
      </c>
      <c r="P398" s="56">
        <f>IF(VLOOKUP($C398,REV!$C:$AA,14,0)-'TRADE IN'!$F398=0,"",(VLOOKUP($C398,REV!$C:$AA,14,0)-'TRADE IN'!$F398))</f>
        <v>1499</v>
      </c>
      <c r="Q398" s="56">
        <f>IF(VLOOKUP($C398,REV!$C:$AA,15,0)-'TRADE IN'!$F398=0,"",(VLOOKUP($C398,REV!$C:$AA,15,0)-'TRADE IN'!$F398))</f>
        <v>1499</v>
      </c>
      <c r="R398" s="56">
        <f>IF(VLOOKUP($C398,REV!$C:$AA,16,0)-'TRADE IN'!$F398=0,"",(VLOOKUP($C398,REV!$C:$AA,16,0)-'TRADE IN'!$F398))</f>
        <v>1499</v>
      </c>
      <c r="S398" s="56">
        <f>IF(VLOOKUP($C398,REV!$C:$AA,17,0)-'TRADE IN'!$F398=0,"",(VLOOKUP($C398,REV!$C:$AA,17,0)-'TRADE IN'!$F398))</f>
        <v>1499</v>
      </c>
      <c r="T398" s="56">
        <f>IF(VLOOKUP($C398,REV!$C:$AA,18,0)-'TRADE IN'!$F398=0,"",(VLOOKUP($C398,REV!$C:$AA,18,0)-'TRADE IN'!$F398))</f>
        <v>1499</v>
      </c>
      <c r="U398" s="56">
        <f>IF(VLOOKUP($C398,REV!$C:$AA,19,0)-'TRADE IN'!$F398=0,"",(VLOOKUP($C398,REV!$C:$AA,19,0)-'TRADE IN'!$F398))</f>
        <v>1499</v>
      </c>
      <c r="V398" s="56">
        <f>IF(VLOOKUP($C398,REV!$C:$AA,20,0)-'TRADE IN'!$F398=0,"",(VLOOKUP($C398,REV!$C:$AA,20,0)-'TRADE IN'!$F398))</f>
        <v>1499</v>
      </c>
      <c r="W398" s="56">
        <f>IF(VLOOKUP($C398,REV!$C:$AA,21,0)-'TRADE IN'!$F398=0,"",(VLOOKUP($C398,REV!$C:$AA,21,0)-'TRADE IN'!$F398))</f>
        <v>1499</v>
      </c>
      <c r="X398" s="56">
        <f>IF(VLOOKUP($C398,REV!$C:$AA,22,0)-'TRADE IN'!$F398=0,"",(VLOOKUP($C398,REV!$C:$AA,22,0)-'TRADE IN'!$F398))</f>
        <v>1499</v>
      </c>
      <c r="Y398" s="56">
        <f>IF(VLOOKUP($C398,REV!$C:$AA,23,0)-'TRADE IN'!$F398=0,"",(VLOOKUP($C398,REV!$C:$AA,23,0)-'TRADE IN'!$F398))</f>
        <v>1499</v>
      </c>
      <c r="Z398" s="56">
        <f>IF(VLOOKUP($C398,REV!$C:$AA,24,0)-'TRADE IN'!$F398=0,"",(VLOOKUP($C398,REV!$C:$AA,24,0)-'TRADE IN'!$F398))</f>
        <v>1499</v>
      </c>
      <c r="AA398" s="56">
        <f>IF(VLOOKUP($C398,REV!$C:$AA,25,0)-'TRADE IN'!$F398=0,"",(VLOOKUP($C398,REV!$C:$AA,25,0)-'TRADE IN'!$F398))</f>
        <v>1499</v>
      </c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7"/>
      <c r="AW398" s="58" t="str">
        <f>REV!AW398</f>
        <v>03.11.2026</v>
      </c>
      <c r="AX398" s="147" t="str">
        <f>VLOOKUP(C398,REV!C:AX,48,0)</f>
        <v>5G</v>
      </c>
    </row>
    <row r="399" spans="1:50" ht="22.5" customHeight="1">
      <c r="A399" s="51" t="s">
        <v>63</v>
      </c>
      <c r="B399" s="52" t="s">
        <v>64</v>
      </c>
      <c r="C399" s="53">
        <v>4016032</v>
      </c>
      <c r="D399" s="65" t="s">
        <v>589</v>
      </c>
      <c r="E399" s="65" t="s">
        <v>590</v>
      </c>
      <c r="F399" s="55"/>
      <c r="G399" s="55"/>
      <c r="H399" s="55"/>
      <c r="I399" s="55"/>
      <c r="J399" s="56">
        <f>IF(VLOOKUP($C399,REV!$C:$AA,8,0)-'TRADE IN'!$F399=0,"",(VLOOKUP($C399,REV!$C:$AA,8,0)-'TRADE IN'!$F399))</f>
        <v>1999</v>
      </c>
      <c r="K399" s="56">
        <f>IF(VLOOKUP($C399,REV!$C:$AA,9,0)-'TRADE IN'!$F399=0,"",(VLOOKUP($C399,REV!$C:$AA,9,0)-'TRADE IN'!$F399))</f>
        <v>1999</v>
      </c>
      <c r="L399" s="56">
        <f>IF(VLOOKUP($C399,REV!$C:$AA,10,0)-'TRADE IN'!$F399=0,"",(VLOOKUP($C399,REV!$C:$AA,10,0)-'TRADE IN'!$F399))</f>
        <v>1999</v>
      </c>
      <c r="M399" s="56">
        <f>IF(VLOOKUP($C399,REV!$C:$AA,11,0)-'TRADE IN'!$F399=0,"",(VLOOKUP($C399,REV!$C:$AA,11,0)-'TRADE IN'!$F399))</f>
        <v>1999</v>
      </c>
      <c r="N399" s="56">
        <f>IF(VLOOKUP($C399,REV!$C:$AA,12,0)-'TRADE IN'!$F399=0,"",(VLOOKUP($C399,REV!$C:$AA,12,0)-'TRADE IN'!$F399))</f>
        <v>1999</v>
      </c>
      <c r="O399" s="56">
        <f>IF(VLOOKUP($C399,REV!$C:$AA,13,0)-'TRADE IN'!$F399=0,"",(VLOOKUP($C399,REV!$C:$AA,13,0)-'TRADE IN'!$F399))</f>
        <v>1999</v>
      </c>
      <c r="P399" s="56">
        <f>IF(VLOOKUP($C399,REV!$C:$AA,14,0)-'TRADE IN'!$F399=0,"",(VLOOKUP($C399,REV!$C:$AA,14,0)-'TRADE IN'!$F399))</f>
        <v>1999</v>
      </c>
      <c r="Q399" s="56">
        <f>IF(VLOOKUP($C399,REV!$C:$AA,15,0)-'TRADE IN'!$F399=0,"",(VLOOKUP($C399,REV!$C:$AA,15,0)-'TRADE IN'!$F399))</f>
        <v>1999</v>
      </c>
      <c r="R399" s="56">
        <f>IF(VLOOKUP($C399,REV!$C:$AA,16,0)-'TRADE IN'!$F399=0,"",(VLOOKUP($C399,REV!$C:$AA,16,0)-'TRADE IN'!$F399))</f>
        <v>1999</v>
      </c>
      <c r="S399" s="56">
        <f>IF(VLOOKUP($C399,REV!$C:$AA,17,0)-'TRADE IN'!$F399=0,"",(VLOOKUP($C399,REV!$C:$AA,17,0)-'TRADE IN'!$F399))</f>
        <v>1999</v>
      </c>
      <c r="T399" s="56">
        <f>IF(VLOOKUP($C399,REV!$C:$AA,18,0)-'TRADE IN'!$F399=0,"",(VLOOKUP($C399,REV!$C:$AA,18,0)-'TRADE IN'!$F399))</f>
        <v>1999</v>
      </c>
      <c r="U399" s="56">
        <f>IF(VLOOKUP($C399,REV!$C:$AA,19,0)-'TRADE IN'!$F399=0,"",(VLOOKUP($C399,REV!$C:$AA,19,0)-'TRADE IN'!$F399))</f>
        <v>1999</v>
      </c>
      <c r="V399" s="56">
        <f>IF(VLOOKUP($C399,REV!$C:$AA,20,0)-'TRADE IN'!$F399=0,"",(VLOOKUP($C399,REV!$C:$AA,20,0)-'TRADE IN'!$F399))</f>
        <v>1999</v>
      </c>
      <c r="W399" s="56">
        <f>IF(VLOOKUP($C399,REV!$C:$AA,21,0)-'TRADE IN'!$F399=0,"",(VLOOKUP($C399,REV!$C:$AA,21,0)-'TRADE IN'!$F399))</f>
        <v>1999</v>
      </c>
      <c r="X399" s="56">
        <f>IF(VLOOKUP($C399,REV!$C:$AA,22,0)-'TRADE IN'!$F399=0,"",(VLOOKUP($C399,REV!$C:$AA,22,0)-'TRADE IN'!$F399))</f>
        <v>1999</v>
      </c>
      <c r="Y399" s="56">
        <f>IF(VLOOKUP($C399,REV!$C:$AA,23,0)-'TRADE IN'!$F399=0,"",(VLOOKUP($C399,REV!$C:$AA,23,0)-'TRADE IN'!$F399))</f>
        <v>1999</v>
      </c>
      <c r="Z399" s="56">
        <f>IF(VLOOKUP($C399,REV!$C:$AA,24,0)-'TRADE IN'!$F399=0,"",(VLOOKUP($C399,REV!$C:$AA,24,0)-'TRADE IN'!$F399))</f>
        <v>1999</v>
      </c>
      <c r="AA399" s="56">
        <f>IF(VLOOKUP($C399,REV!$C:$AA,25,0)-'TRADE IN'!$F399=0,"",(VLOOKUP($C399,REV!$C:$AA,25,0)-'TRADE IN'!$F399))</f>
        <v>1999</v>
      </c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7"/>
      <c r="AW399" s="58" t="str">
        <f>REV!AW399</f>
        <v>03.11.2026</v>
      </c>
      <c r="AX399" s="147" t="str">
        <f>VLOOKUP(C399,REV!C:AX,48,0)</f>
        <v>5G</v>
      </c>
    </row>
    <row r="400" spans="1:50" ht="22.5" customHeight="1">
      <c r="A400" s="51" t="s">
        <v>63</v>
      </c>
      <c r="B400" s="52" t="s">
        <v>64</v>
      </c>
      <c r="C400" s="53">
        <v>4016065</v>
      </c>
      <c r="D400" s="65" t="s">
        <v>589</v>
      </c>
      <c r="E400" s="65" t="s">
        <v>591</v>
      </c>
      <c r="F400" s="55"/>
      <c r="G400" s="55"/>
      <c r="H400" s="55"/>
      <c r="I400" s="55"/>
      <c r="J400" s="56">
        <f>IF(VLOOKUP($C400,REV!$C:$AA,8,0)-'TRADE IN'!$F400=0,"",(VLOOKUP($C400,REV!$C:$AA,8,0)-'TRADE IN'!$F400))</f>
        <v>1999</v>
      </c>
      <c r="K400" s="56">
        <f>IF(VLOOKUP($C400,REV!$C:$AA,9,0)-'TRADE IN'!$F400=0,"",(VLOOKUP($C400,REV!$C:$AA,9,0)-'TRADE IN'!$F400))</f>
        <v>1999</v>
      </c>
      <c r="L400" s="56">
        <f>IF(VLOOKUP($C400,REV!$C:$AA,10,0)-'TRADE IN'!$F400=0,"",(VLOOKUP($C400,REV!$C:$AA,10,0)-'TRADE IN'!$F400))</f>
        <v>1999</v>
      </c>
      <c r="M400" s="56">
        <f>IF(VLOOKUP($C400,REV!$C:$AA,11,0)-'TRADE IN'!$F400=0,"",(VLOOKUP($C400,REV!$C:$AA,11,0)-'TRADE IN'!$F400))</f>
        <v>1999</v>
      </c>
      <c r="N400" s="56">
        <f>IF(VLOOKUP($C400,REV!$C:$AA,12,0)-'TRADE IN'!$F400=0,"",(VLOOKUP($C400,REV!$C:$AA,12,0)-'TRADE IN'!$F400))</f>
        <v>1999</v>
      </c>
      <c r="O400" s="56">
        <f>IF(VLOOKUP($C400,REV!$C:$AA,13,0)-'TRADE IN'!$F400=0,"",(VLOOKUP($C400,REV!$C:$AA,13,0)-'TRADE IN'!$F400))</f>
        <v>1999</v>
      </c>
      <c r="P400" s="56">
        <f>IF(VLOOKUP($C400,REV!$C:$AA,14,0)-'TRADE IN'!$F400=0,"",(VLOOKUP($C400,REV!$C:$AA,14,0)-'TRADE IN'!$F400))</f>
        <v>1999</v>
      </c>
      <c r="Q400" s="56">
        <f>IF(VLOOKUP($C400,REV!$C:$AA,15,0)-'TRADE IN'!$F400=0,"",(VLOOKUP($C400,REV!$C:$AA,15,0)-'TRADE IN'!$F400))</f>
        <v>1999</v>
      </c>
      <c r="R400" s="56">
        <f>IF(VLOOKUP($C400,REV!$C:$AA,16,0)-'TRADE IN'!$F400=0,"",(VLOOKUP($C400,REV!$C:$AA,16,0)-'TRADE IN'!$F400))</f>
        <v>1999</v>
      </c>
      <c r="S400" s="56">
        <f>IF(VLOOKUP($C400,REV!$C:$AA,17,0)-'TRADE IN'!$F400=0,"",(VLOOKUP($C400,REV!$C:$AA,17,0)-'TRADE IN'!$F400))</f>
        <v>1999</v>
      </c>
      <c r="T400" s="56">
        <f>IF(VLOOKUP($C400,REV!$C:$AA,18,0)-'TRADE IN'!$F400=0,"",(VLOOKUP($C400,REV!$C:$AA,18,0)-'TRADE IN'!$F400))</f>
        <v>1999</v>
      </c>
      <c r="U400" s="56">
        <f>IF(VLOOKUP($C400,REV!$C:$AA,19,0)-'TRADE IN'!$F400=0,"",(VLOOKUP($C400,REV!$C:$AA,19,0)-'TRADE IN'!$F400))</f>
        <v>1999</v>
      </c>
      <c r="V400" s="56">
        <f>IF(VLOOKUP($C400,REV!$C:$AA,20,0)-'TRADE IN'!$F400=0,"",(VLOOKUP($C400,REV!$C:$AA,20,0)-'TRADE IN'!$F400))</f>
        <v>1999</v>
      </c>
      <c r="W400" s="56">
        <f>IF(VLOOKUP($C400,REV!$C:$AA,21,0)-'TRADE IN'!$F400=0,"",(VLOOKUP($C400,REV!$C:$AA,21,0)-'TRADE IN'!$F400))</f>
        <v>1999</v>
      </c>
      <c r="X400" s="56">
        <f>IF(VLOOKUP($C400,REV!$C:$AA,22,0)-'TRADE IN'!$F400=0,"",(VLOOKUP($C400,REV!$C:$AA,22,0)-'TRADE IN'!$F400))</f>
        <v>1999</v>
      </c>
      <c r="Y400" s="56">
        <f>IF(VLOOKUP($C400,REV!$C:$AA,23,0)-'TRADE IN'!$F400=0,"",(VLOOKUP($C400,REV!$C:$AA,23,0)-'TRADE IN'!$F400))</f>
        <v>1999</v>
      </c>
      <c r="Z400" s="56">
        <f>IF(VLOOKUP($C400,REV!$C:$AA,24,0)-'TRADE IN'!$F400=0,"",(VLOOKUP($C400,REV!$C:$AA,24,0)-'TRADE IN'!$F400))</f>
        <v>1999</v>
      </c>
      <c r="AA400" s="56">
        <f>IF(VLOOKUP($C400,REV!$C:$AA,25,0)-'TRADE IN'!$F400=0,"",(VLOOKUP($C400,REV!$C:$AA,25,0)-'TRADE IN'!$F400))</f>
        <v>1999</v>
      </c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7"/>
      <c r="AW400" s="58" t="str">
        <f>REV!AW400</f>
        <v>03.11.2026</v>
      </c>
      <c r="AX400" s="147" t="str">
        <f>VLOOKUP(C400,REV!C:AX,48,0)</f>
        <v>5G</v>
      </c>
    </row>
    <row r="401" spans="1:50" ht="22.5" customHeight="1">
      <c r="A401" s="51" t="s">
        <v>63</v>
      </c>
      <c r="B401" s="52" t="s">
        <v>64</v>
      </c>
      <c r="C401" s="53">
        <v>4016041</v>
      </c>
      <c r="D401" s="65" t="s">
        <v>589</v>
      </c>
      <c r="E401" s="65" t="s">
        <v>592</v>
      </c>
      <c r="F401" s="55"/>
      <c r="G401" s="55"/>
      <c r="H401" s="55"/>
      <c r="I401" s="55"/>
      <c r="J401" s="56">
        <f>IF(VLOOKUP($C401,REV!$C:$AA,8,0)-'TRADE IN'!$F401=0,"",(VLOOKUP($C401,REV!$C:$AA,8,0)-'TRADE IN'!$F401))</f>
        <v>1999</v>
      </c>
      <c r="K401" s="56">
        <f>IF(VLOOKUP($C401,REV!$C:$AA,9,0)-'TRADE IN'!$F401=0,"",(VLOOKUP($C401,REV!$C:$AA,9,0)-'TRADE IN'!$F401))</f>
        <v>1999</v>
      </c>
      <c r="L401" s="56">
        <f>IF(VLOOKUP($C401,REV!$C:$AA,10,0)-'TRADE IN'!$F401=0,"",(VLOOKUP($C401,REV!$C:$AA,10,0)-'TRADE IN'!$F401))</f>
        <v>1999</v>
      </c>
      <c r="M401" s="56">
        <f>IF(VLOOKUP($C401,REV!$C:$AA,11,0)-'TRADE IN'!$F401=0,"",(VLOOKUP($C401,REV!$C:$AA,11,0)-'TRADE IN'!$F401))</f>
        <v>1999</v>
      </c>
      <c r="N401" s="56">
        <f>IF(VLOOKUP($C401,REV!$C:$AA,12,0)-'TRADE IN'!$F401=0,"",(VLOOKUP($C401,REV!$C:$AA,12,0)-'TRADE IN'!$F401))</f>
        <v>1999</v>
      </c>
      <c r="O401" s="56">
        <f>IF(VLOOKUP($C401,REV!$C:$AA,13,0)-'TRADE IN'!$F401=0,"",(VLOOKUP($C401,REV!$C:$AA,13,0)-'TRADE IN'!$F401))</f>
        <v>1999</v>
      </c>
      <c r="P401" s="56">
        <f>IF(VLOOKUP($C401,REV!$C:$AA,14,0)-'TRADE IN'!$F401=0,"",(VLOOKUP($C401,REV!$C:$AA,14,0)-'TRADE IN'!$F401))</f>
        <v>1999</v>
      </c>
      <c r="Q401" s="56">
        <f>IF(VLOOKUP($C401,REV!$C:$AA,15,0)-'TRADE IN'!$F401=0,"",(VLOOKUP($C401,REV!$C:$AA,15,0)-'TRADE IN'!$F401))</f>
        <v>1999</v>
      </c>
      <c r="R401" s="56">
        <f>IF(VLOOKUP($C401,REV!$C:$AA,16,0)-'TRADE IN'!$F401=0,"",(VLOOKUP($C401,REV!$C:$AA,16,0)-'TRADE IN'!$F401))</f>
        <v>1999</v>
      </c>
      <c r="S401" s="56">
        <f>IF(VLOOKUP($C401,REV!$C:$AA,17,0)-'TRADE IN'!$F401=0,"",(VLOOKUP($C401,REV!$C:$AA,17,0)-'TRADE IN'!$F401))</f>
        <v>1999</v>
      </c>
      <c r="T401" s="56">
        <f>IF(VLOOKUP($C401,REV!$C:$AA,18,0)-'TRADE IN'!$F401=0,"",(VLOOKUP($C401,REV!$C:$AA,18,0)-'TRADE IN'!$F401))</f>
        <v>1999</v>
      </c>
      <c r="U401" s="56">
        <f>IF(VLOOKUP($C401,REV!$C:$AA,19,0)-'TRADE IN'!$F401=0,"",(VLOOKUP($C401,REV!$C:$AA,19,0)-'TRADE IN'!$F401))</f>
        <v>1999</v>
      </c>
      <c r="V401" s="56">
        <f>IF(VLOOKUP($C401,REV!$C:$AA,20,0)-'TRADE IN'!$F401=0,"",(VLOOKUP($C401,REV!$C:$AA,20,0)-'TRADE IN'!$F401))</f>
        <v>1999</v>
      </c>
      <c r="W401" s="56">
        <f>IF(VLOOKUP($C401,REV!$C:$AA,21,0)-'TRADE IN'!$F401=0,"",(VLOOKUP($C401,REV!$C:$AA,21,0)-'TRADE IN'!$F401))</f>
        <v>1999</v>
      </c>
      <c r="X401" s="56">
        <f>IF(VLOOKUP($C401,REV!$C:$AA,22,0)-'TRADE IN'!$F401=0,"",(VLOOKUP($C401,REV!$C:$AA,22,0)-'TRADE IN'!$F401))</f>
        <v>1999</v>
      </c>
      <c r="Y401" s="56">
        <f>IF(VLOOKUP($C401,REV!$C:$AA,23,0)-'TRADE IN'!$F401=0,"",(VLOOKUP($C401,REV!$C:$AA,23,0)-'TRADE IN'!$F401))</f>
        <v>1999</v>
      </c>
      <c r="Z401" s="56">
        <f>IF(VLOOKUP($C401,REV!$C:$AA,24,0)-'TRADE IN'!$F401=0,"",(VLOOKUP($C401,REV!$C:$AA,24,0)-'TRADE IN'!$F401))</f>
        <v>1999</v>
      </c>
      <c r="AA401" s="56">
        <f>IF(VLOOKUP($C401,REV!$C:$AA,25,0)-'TRADE IN'!$F401=0,"",(VLOOKUP($C401,REV!$C:$AA,25,0)-'TRADE IN'!$F401))</f>
        <v>1999</v>
      </c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7"/>
      <c r="AW401" s="58" t="str">
        <f>REV!AW401</f>
        <v>03.11.2026</v>
      </c>
      <c r="AX401" s="147" t="str">
        <f>VLOOKUP(C401,REV!C:AX,48,0)</f>
        <v>5G</v>
      </c>
    </row>
    <row r="402" spans="1:50" ht="22.5" customHeight="1">
      <c r="A402" s="51" t="s">
        <v>63</v>
      </c>
      <c r="B402" s="52" t="s">
        <v>64</v>
      </c>
      <c r="C402" s="53">
        <v>4016073</v>
      </c>
      <c r="D402" s="65" t="s">
        <v>589</v>
      </c>
      <c r="E402" s="65" t="s">
        <v>593</v>
      </c>
      <c r="F402" s="55"/>
      <c r="G402" s="55"/>
      <c r="H402" s="55"/>
      <c r="I402" s="55"/>
      <c r="J402" s="56">
        <f>IF(VLOOKUP($C402,REV!$C:$AA,8,0)-'TRADE IN'!$F402=0,"",(VLOOKUP($C402,REV!$C:$AA,8,0)-'TRADE IN'!$F402))</f>
        <v>1999</v>
      </c>
      <c r="K402" s="56">
        <f>IF(VLOOKUP($C402,REV!$C:$AA,9,0)-'TRADE IN'!$F402=0,"",(VLOOKUP($C402,REV!$C:$AA,9,0)-'TRADE IN'!$F402))</f>
        <v>1999</v>
      </c>
      <c r="L402" s="56">
        <f>IF(VLOOKUP($C402,REV!$C:$AA,10,0)-'TRADE IN'!$F402=0,"",(VLOOKUP($C402,REV!$C:$AA,10,0)-'TRADE IN'!$F402))</f>
        <v>1999</v>
      </c>
      <c r="M402" s="56">
        <f>IF(VLOOKUP($C402,REV!$C:$AA,11,0)-'TRADE IN'!$F402=0,"",(VLOOKUP($C402,REV!$C:$AA,11,0)-'TRADE IN'!$F402))</f>
        <v>1999</v>
      </c>
      <c r="N402" s="56">
        <f>IF(VLOOKUP($C402,REV!$C:$AA,12,0)-'TRADE IN'!$F402=0,"",(VLOOKUP($C402,REV!$C:$AA,12,0)-'TRADE IN'!$F402))</f>
        <v>1999</v>
      </c>
      <c r="O402" s="56">
        <f>IF(VLOOKUP($C402,REV!$C:$AA,13,0)-'TRADE IN'!$F402=0,"",(VLOOKUP($C402,REV!$C:$AA,13,0)-'TRADE IN'!$F402))</f>
        <v>1999</v>
      </c>
      <c r="P402" s="56">
        <f>IF(VLOOKUP($C402,REV!$C:$AA,14,0)-'TRADE IN'!$F402=0,"",(VLOOKUP($C402,REV!$C:$AA,14,0)-'TRADE IN'!$F402))</f>
        <v>1999</v>
      </c>
      <c r="Q402" s="56">
        <f>IF(VLOOKUP($C402,REV!$C:$AA,15,0)-'TRADE IN'!$F402=0,"",(VLOOKUP($C402,REV!$C:$AA,15,0)-'TRADE IN'!$F402))</f>
        <v>1999</v>
      </c>
      <c r="R402" s="56">
        <f>IF(VLOOKUP($C402,REV!$C:$AA,16,0)-'TRADE IN'!$F402=0,"",(VLOOKUP($C402,REV!$C:$AA,16,0)-'TRADE IN'!$F402))</f>
        <v>1999</v>
      </c>
      <c r="S402" s="56">
        <f>IF(VLOOKUP($C402,REV!$C:$AA,17,0)-'TRADE IN'!$F402=0,"",(VLOOKUP($C402,REV!$C:$AA,17,0)-'TRADE IN'!$F402))</f>
        <v>1999</v>
      </c>
      <c r="T402" s="56">
        <f>IF(VLOOKUP($C402,REV!$C:$AA,18,0)-'TRADE IN'!$F402=0,"",(VLOOKUP($C402,REV!$C:$AA,18,0)-'TRADE IN'!$F402))</f>
        <v>1999</v>
      </c>
      <c r="U402" s="56">
        <f>IF(VLOOKUP($C402,REV!$C:$AA,19,0)-'TRADE IN'!$F402=0,"",(VLOOKUP($C402,REV!$C:$AA,19,0)-'TRADE IN'!$F402))</f>
        <v>1999</v>
      </c>
      <c r="V402" s="56">
        <f>IF(VLOOKUP($C402,REV!$C:$AA,20,0)-'TRADE IN'!$F402=0,"",(VLOOKUP($C402,REV!$C:$AA,20,0)-'TRADE IN'!$F402))</f>
        <v>1999</v>
      </c>
      <c r="W402" s="56">
        <f>IF(VLOOKUP($C402,REV!$C:$AA,21,0)-'TRADE IN'!$F402=0,"",(VLOOKUP($C402,REV!$C:$AA,21,0)-'TRADE IN'!$F402))</f>
        <v>1999</v>
      </c>
      <c r="X402" s="56">
        <f>IF(VLOOKUP($C402,REV!$C:$AA,22,0)-'TRADE IN'!$F402=0,"",(VLOOKUP($C402,REV!$C:$AA,22,0)-'TRADE IN'!$F402))</f>
        <v>1999</v>
      </c>
      <c r="Y402" s="56">
        <f>IF(VLOOKUP($C402,REV!$C:$AA,23,0)-'TRADE IN'!$F402=0,"",(VLOOKUP($C402,REV!$C:$AA,23,0)-'TRADE IN'!$F402))</f>
        <v>1999</v>
      </c>
      <c r="Z402" s="56">
        <f>IF(VLOOKUP($C402,REV!$C:$AA,24,0)-'TRADE IN'!$F402=0,"",(VLOOKUP($C402,REV!$C:$AA,24,0)-'TRADE IN'!$F402))</f>
        <v>1999</v>
      </c>
      <c r="AA402" s="56">
        <f>IF(VLOOKUP($C402,REV!$C:$AA,25,0)-'TRADE IN'!$F402=0,"",(VLOOKUP($C402,REV!$C:$AA,25,0)-'TRADE IN'!$F402))</f>
        <v>1999</v>
      </c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7"/>
      <c r="AW402" s="58" t="str">
        <f>REV!AW402</f>
        <v>03.11.2026</v>
      </c>
      <c r="AX402" s="147" t="str">
        <f>VLOOKUP(C402,REV!C:AX,48,0)</f>
        <v>5G</v>
      </c>
    </row>
    <row r="403" spans="1:50" ht="22.5" customHeight="1">
      <c r="A403" s="51" t="s">
        <v>63</v>
      </c>
      <c r="B403" s="52" t="s">
        <v>64</v>
      </c>
      <c r="C403" s="53">
        <v>4016554</v>
      </c>
      <c r="D403" s="65" t="s">
        <v>594</v>
      </c>
      <c r="E403" s="65" t="s">
        <v>595</v>
      </c>
      <c r="F403" s="55"/>
      <c r="G403" s="55"/>
      <c r="H403" s="55"/>
      <c r="I403" s="55"/>
      <c r="J403" s="56">
        <f>IF(VLOOKUP($C403,REV!$C:$AA,8,0)-'TRADE IN'!$F403=0,"",(VLOOKUP($C403,REV!$C:$AA,8,0)-'TRADE IN'!$F403))</f>
        <v>799</v>
      </c>
      <c r="K403" s="56">
        <f>IF(VLOOKUP($C403,REV!$C:$AA,9,0)-'TRADE IN'!$F403=0,"",(VLOOKUP($C403,REV!$C:$AA,9,0)-'TRADE IN'!$F403))</f>
        <v>799</v>
      </c>
      <c r="L403" s="56">
        <f>IF(VLOOKUP($C403,REV!$C:$AA,10,0)-'TRADE IN'!$F403=0,"",(VLOOKUP($C403,REV!$C:$AA,10,0)-'TRADE IN'!$F403))</f>
        <v>799</v>
      </c>
      <c r="M403" s="56">
        <f>IF(VLOOKUP($C403,REV!$C:$AA,11,0)-'TRADE IN'!$F403=0,"",(VLOOKUP($C403,REV!$C:$AA,11,0)-'TRADE IN'!$F403))</f>
        <v>799</v>
      </c>
      <c r="N403" s="56">
        <f>IF(VLOOKUP($C403,REV!$C:$AA,12,0)-'TRADE IN'!$F403=0,"",(VLOOKUP($C403,REV!$C:$AA,12,0)-'TRADE IN'!$F403))</f>
        <v>799</v>
      </c>
      <c r="O403" s="56">
        <f>IF(VLOOKUP($C403,REV!$C:$AA,13,0)-'TRADE IN'!$F403=0,"",(VLOOKUP($C403,REV!$C:$AA,13,0)-'TRADE IN'!$F403))</f>
        <v>799</v>
      </c>
      <c r="P403" s="56">
        <f>IF(VLOOKUP($C403,REV!$C:$AA,14,0)-'TRADE IN'!$F403=0,"",(VLOOKUP($C403,REV!$C:$AA,14,0)-'TRADE IN'!$F403))</f>
        <v>799</v>
      </c>
      <c r="Q403" s="56">
        <f>IF(VLOOKUP($C403,REV!$C:$AA,15,0)-'TRADE IN'!$F403=0,"",(VLOOKUP($C403,REV!$C:$AA,15,0)-'TRADE IN'!$F403))</f>
        <v>799</v>
      </c>
      <c r="R403" s="56">
        <f>IF(VLOOKUP($C403,REV!$C:$AA,16,0)-'TRADE IN'!$F403=0,"",(VLOOKUP($C403,REV!$C:$AA,16,0)-'TRADE IN'!$F403))</f>
        <v>799</v>
      </c>
      <c r="S403" s="56">
        <f>IF(VLOOKUP($C403,REV!$C:$AA,17,0)-'TRADE IN'!$F403=0,"",(VLOOKUP($C403,REV!$C:$AA,17,0)-'TRADE IN'!$F403))</f>
        <v>799</v>
      </c>
      <c r="T403" s="56">
        <f>IF(VLOOKUP($C403,REV!$C:$AA,18,0)-'TRADE IN'!$F403=0,"",(VLOOKUP($C403,REV!$C:$AA,18,0)-'TRADE IN'!$F403))</f>
        <v>799</v>
      </c>
      <c r="U403" s="56">
        <f>IF(VLOOKUP($C403,REV!$C:$AA,19,0)-'TRADE IN'!$F403=0,"",(VLOOKUP($C403,REV!$C:$AA,19,0)-'TRADE IN'!$F403))</f>
        <v>799</v>
      </c>
      <c r="V403" s="56">
        <f>IF(VLOOKUP($C403,REV!$C:$AA,20,0)-'TRADE IN'!$F403=0,"",(VLOOKUP($C403,REV!$C:$AA,20,0)-'TRADE IN'!$F403))</f>
        <v>799</v>
      </c>
      <c r="W403" s="56">
        <f>IF(VLOOKUP($C403,REV!$C:$AA,21,0)-'TRADE IN'!$F403=0,"",(VLOOKUP($C403,REV!$C:$AA,21,0)-'TRADE IN'!$F403))</f>
        <v>799</v>
      </c>
      <c r="X403" s="56">
        <f>IF(VLOOKUP($C403,REV!$C:$AA,22,0)-'TRADE IN'!$F403=0,"",(VLOOKUP($C403,REV!$C:$AA,22,0)-'TRADE IN'!$F403))</f>
        <v>799</v>
      </c>
      <c r="Y403" s="56">
        <f>IF(VLOOKUP($C403,REV!$C:$AA,23,0)-'TRADE IN'!$F403=0,"",(VLOOKUP($C403,REV!$C:$AA,23,0)-'TRADE IN'!$F403))</f>
        <v>799</v>
      </c>
      <c r="Z403" s="56">
        <f>IF(VLOOKUP($C403,REV!$C:$AA,24,0)-'TRADE IN'!$F403=0,"",(VLOOKUP($C403,REV!$C:$AA,24,0)-'TRADE IN'!$F403))</f>
        <v>799</v>
      </c>
      <c r="AA403" s="56">
        <f>IF(VLOOKUP($C403,REV!$C:$AA,25,0)-'TRADE IN'!$F403=0,"",(VLOOKUP($C403,REV!$C:$AA,25,0)-'TRADE IN'!$F403))</f>
        <v>799</v>
      </c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7"/>
      <c r="AW403" s="58" t="str">
        <f>REV!AW403</f>
        <v>03.11.2026</v>
      </c>
      <c r="AX403" s="147" t="str">
        <f>VLOOKUP(C403,REV!C:AX,48,0)</f>
        <v>5G</v>
      </c>
    </row>
    <row r="404" spans="1:50" ht="22.5" customHeight="1">
      <c r="A404" s="51" t="s">
        <v>63</v>
      </c>
      <c r="B404" s="52" t="s">
        <v>64</v>
      </c>
      <c r="C404" s="53">
        <v>4016558</v>
      </c>
      <c r="D404" s="65" t="s">
        <v>594</v>
      </c>
      <c r="E404" s="65" t="s">
        <v>596</v>
      </c>
      <c r="F404" s="55"/>
      <c r="G404" s="55"/>
      <c r="H404" s="55"/>
      <c r="I404" s="55"/>
      <c r="J404" s="56">
        <f>IF(VLOOKUP($C404,REV!$C:$AA,8,0)-'TRADE IN'!$F404=0,"",(VLOOKUP($C404,REV!$C:$AA,8,0)-'TRADE IN'!$F404))</f>
        <v>799</v>
      </c>
      <c r="K404" s="56">
        <f>IF(VLOOKUP($C404,REV!$C:$AA,9,0)-'TRADE IN'!$F404=0,"",(VLOOKUP($C404,REV!$C:$AA,9,0)-'TRADE IN'!$F404))</f>
        <v>799</v>
      </c>
      <c r="L404" s="56">
        <f>IF(VLOOKUP($C404,REV!$C:$AA,10,0)-'TRADE IN'!$F404=0,"",(VLOOKUP($C404,REV!$C:$AA,10,0)-'TRADE IN'!$F404))</f>
        <v>799</v>
      </c>
      <c r="M404" s="56">
        <f>IF(VLOOKUP($C404,REV!$C:$AA,11,0)-'TRADE IN'!$F404=0,"",(VLOOKUP($C404,REV!$C:$AA,11,0)-'TRADE IN'!$F404))</f>
        <v>799</v>
      </c>
      <c r="N404" s="56">
        <f>IF(VLOOKUP($C404,REV!$C:$AA,12,0)-'TRADE IN'!$F404=0,"",(VLOOKUP($C404,REV!$C:$AA,12,0)-'TRADE IN'!$F404))</f>
        <v>799</v>
      </c>
      <c r="O404" s="56">
        <f>IF(VLOOKUP($C404,REV!$C:$AA,13,0)-'TRADE IN'!$F404=0,"",(VLOOKUP($C404,REV!$C:$AA,13,0)-'TRADE IN'!$F404))</f>
        <v>799</v>
      </c>
      <c r="P404" s="56">
        <f>IF(VLOOKUP($C404,REV!$C:$AA,14,0)-'TRADE IN'!$F404=0,"",(VLOOKUP($C404,REV!$C:$AA,14,0)-'TRADE IN'!$F404))</f>
        <v>799</v>
      </c>
      <c r="Q404" s="56">
        <f>IF(VLOOKUP($C404,REV!$C:$AA,15,0)-'TRADE IN'!$F404=0,"",(VLOOKUP($C404,REV!$C:$AA,15,0)-'TRADE IN'!$F404))</f>
        <v>799</v>
      </c>
      <c r="R404" s="56">
        <f>IF(VLOOKUP($C404,REV!$C:$AA,16,0)-'TRADE IN'!$F404=0,"",(VLOOKUP($C404,REV!$C:$AA,16,0)-'TRADE IN'!$F404))</f>
        <v>799</v>
      </c>
      <c r="S404" s="56">
        <f>IF(VLOOKUP($C404,REV!$C:$AA,17,0)-'TRADE IN'!$F404=0,"",(VLOOKUP($C404,REV!$C:$AA,17,0)-'TRADE IN'!$F404))</f>
        <v>799</v>
      </c>
      <c r="T404" s="56">
        <f>IF(VLOOKUP($C404,REV!$C:$AA,18,0)-'TRADE IN'!$F404=0,"",(VLOOKUP($C404,REV!$C:$AA,18,0)-'TRADE IN'!$F404))</f>
        <v>799</v>
      </c>
      <c r="U404" s="56">
        <f>IF(VLOOKUP($C404,REV!$C:$AA,19,0)-'TRADE IN'!$F404=0,"",(VLOOKUP($C404,REV!$C:$AA,19,0)-'TRADE IN'!$F404))</f>
        <v>799</v>
      </c>
      <c r="V404" s="56">
        <f>IF(VLOOKUP($C404,REV!$C:$AA,20,0)-'TRADE IN'!$F404=0,"",(VLOOKUP($C404,REV!$C:$AA,20,0)-'TRADE IN'!$F404))</f>
        <v>799</v>
      </c>
      <c r="W404" s="56">
        <f>IF(VLOOKUP($C404,REV!$C:$AA,21,0)-'TRADE IN'!$F404=0,"",(VLOOKUP($C404,REV!$C:$AA,21,0)-'TRADE IN'!$F404))</f>
        <v>799</v>
      </c>
      <c r="X404" s="56">
        <f>IF(VLOOKUP($C404,REV!$C:$AA,22,0)-'TRADE IN'!$F404=0,"",(VLOOKUP($C404,REV!$C:$AA,22,0)-'TRADE IN'!$F404))</f>
        <v>799</v>
      </c>
      <c r="Y404" s="56">
        <f>IF(VLOOKUP($C404,REV!$C:$AA,23,0)-'TRADE IN'!$F404=0,"",(VLOOKUP($C404,REV!$C:$AA,23,0)-'TRADE IN'!$F404))</f>
        <v>799</v>
      </c>
      <c r="Z404" s="56">
        <f>IF(VLOOKUP($C404,REV!$C:$AA,24,0)-'TRADE IN'!$F404=0,"",(VLOOKUP($C404,REV!$C:$AA,24,0)-'TRADE IN'!$F404))</f>
        <v>799</v>
      </c>
      <c r="AA404" s="56">
        <f>IF(VLOOKUP($C404,REV!$C:$AA,25,0)-'TRADE IN'!$F404=0,"",(VLOOKUP($C404,REV!$C:$AA,25,0)-'TRADE IN'!$F404))</f>
        <v>799</v>
      </c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7"/>
      <c r="AW404" s="58" t="str">
        <f>REV!AW404</f>
        <v>03.11.2026</v>
      </c>
      <c r="AX404" s="147" t="str">
        <f>VLOOKUP(C404,REV!C:AX,48,0)</f>
        <v>5G</v>
      </c>
    </row>
    <row r="405" spans="1:50" ht="22.5" customHeight="1">
      <c r="A405" s="51" t="s">
        <v>63</v>
      </c>
      <c r="B405" s="52" t="s">
        <v>64</v>
      </c>
      <c r="C405" s="53">
        <v>4016555</v>
      </c>
      <c r="D405" s="65" t="s">
        <v>594</v>
      </c>
      <c r="E405" s="65" t="s">
        <v>597</v>
      </c>
      <c r="F405" s="55"/>
      <c r="G405" s="55"/>
      <c r="H405" s="55"/>
      <c r="I405" s="55"/>
      <c r="J405" s="56">
        <f>IF(VLOOKUP($C405,REV!$C:$AA,8,0)-'TRADE IN'!$F405=0,"",(VLOOKUP($C405,REV!$C:$AA,8,0)-'TRADE IN'!$F405))</f>
        <v>799</v>
      </c>
      <c r="K405" s="56">
        <f>IF(VLOOKUP($C405,REV!$C:$AA,9,0)-'TRADE IN'!$F405=0,"",(VLOOKUP($C405,REV!$C:$AA,9,0)-'TRADE IN'!$F405))</f>
        <v>799</v>
      </c>
      <c r="L405" s="56">
        <f>IF(VLOOKUP($C405,REV!$C:$AA,10,0)-'TRADE IN'!$F405=0,"",(VLOOKUP($C405,REV!$C:$AA,10,0)-'TRADE IN'!$F405))</f>
        <v>799</v>
      </c>
      <c r="M405" s="56">
        <f>IF(VLOOKUP($C405,REV!$C:$AA,11,0)-'TRADE IN'!$F405=0,"",(VLOOKUP($C405,REV!$C:$AA,11,0)-'TRADE IN'!$F405))</f>
        <v>799</v>
      </c>
      <c r="N405" s="56">
        <f>IF(VLOOKUP($C405,REV!$C:$AA,12,0)-'TRADE IN'!$F405=0,"",(VLOOKUP($C405,REV!$C:$AA,12,0)-'TRADE IN'!$F405))</f>
        <v>799</v>
      </c>
      <c r="O405" s="56">
        <f>IF(VLOOKUP($C405,REV!$C:$AA,13,0)-'TRADE IN'!$F405=0,"",(VLOOKUP($C405,REV!$C:$AA,13,0)-'TRADE IN'!$F405))</f>
        <v>799</v>
      </c>
      <c r="P405" s="56">
        <f>IF(VLOOKUP($C405,REV!$C:$AA,14,0)-'TRADE IN'!$F405=0,"",(VLOOKUP($C405,REV!$C:$AA,14,0)-'TRADE IN'!$F405))</f>
        <v>799</v>
      </c>
      <c r="Q405" s="56">
        <f>IF(VLOOKUP($C405,REV!$C:$AA,15,0)-'TRADE IN'!$F405=0,"",(VLOOKUP($C405,REV!$C:$AA,15,0)-'TRADE IN'!$F405))</f>
        <v>799</v>
      </c>
      <c r="R405" s="56">
        <f>IF(VLOOKUP($C405,REV!$C:$AA,16,0)-'TRADE IN'!$F405=0,"",(VLOOKUP($C405,REV!$C:$AA,16,0)-'TRADE IN'!$F405))</f>
        <v>799</v>
      </c>
      <c r="S405" s="56">
        <f>IF(VLOOKUP($C405,REV!$C:$AA,17,0)-'TRADE IN'!$F405=0,"",(VLOOKUP($C405,REV!$C:$AA,17,0)-'TRADE IN'!$F405))</f>
        <v>799</v>
      </c>
      <c r="T405" s="56">
        <f>IF(VLOOKUP($C405,REV!$C:$AA,18,0)-'TRADE IN'!$F405=0,"",(VLOOKUP($C405,REV!$C:$AA,18,0)-'TRADE IN'!$F405))</f>
        <v>799</v>
      </c>
      <c r="U405" s="56">
        <f>IF(VLOOKUP($C405,REV!$C:$AA,19,0)-'TRADE IN'!$F405=0,"",(VLOOKUP($C405,REV!$C:$AA,19,0)-'TRADE IN'!$F405))</f>
        <v>799</v>
      </c>
      <c r="V405" s="56">
        <f>IF(VLOOKUP($C405,REV!$C:$AA,20,0)-'TRADE IN'!$F405=0,"",(VLOOKUP($C405,REV!$C:$AA,20,0)-'TRADE IN'!$F405))</f>
        <v>799</v>
      </c>
      <c r="W405" s="56">
        <f>IF(VLOOKUP($C405,REV!$C:$AA,21,0)-'TRADE IN'!$F405=0,"",(VLOOKUP($C405,REV!$C:$AA,21,0)-'TRADE IN'!$F405))</f>
        <v>799</v>
      </c>
      <c r="X405" s="56">
        <f>IF(VLOOKUP($C405,REV!$C:$AA,22,0)-'TRADE IN'!$F405=0,"",(VLOOKUP($C405,REV!$C:$AA,22,0)-'TRADE IN'!$F405))</f>
        <v>799</v>
      </c>
      <c r="Y405" s="56">
        <f>IF(VLOOKUP($C405,REV!$C:$AA,23,0)-'TRADE IN'!$F405=0,"",(VLOOKUP($C405,REV!$C:$AA,23,0)-'TRADE IN'!$F405))</f>
        <v>799</v>
      </c>
      <c r="Z405" s="56">
        <f>IF(VLOOKUP($C405,REV!$C:$AA,24,0)-'TRADE IN'!$F405=0,"",(VLOOKUP($C405,REV!$C:$AA,24,0)-'TRADE IN'!$F405))</f>
        <v>799</v>
      </c>
      <c r="AA405" s="56">
        <f>IF(VLOOKUP($C405,REV!$C:$AA,25,0)-'TRADE IN'!$F405=0,"",(VLOOKUP($C405,REV!$C:$AA,25,0)-'TRADE IN'!$F405))</f>
        <v>799</v>
      </c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7"/>
      <c r="AW405" s="58" t="str">
        <f>REV!AW405</f>
        <v>03.11.2026</v>
      </c>
      <c r="AX405" s="147" t="str">
        <f>VLOOKUP(C405,REV!C:AX,48,0)</f>
        <v>5G</v>
      </c>
    </row>
    <row r="406" spans="1:50" ht="22.5" customHeight="1">
      <c r="A406" s="51" t="s">
        <v>63</v>
      </c>
      <c r="B406" s="52" t="s">
        <v>64</v>
      </c>
      <c r="C406" s="53">
        <v>4016559</v>
      </c>
      <c r="D406" s="65" t="s">
        <v>594</v>
      </c>
      <c r="E406" s="65" t="s">
        <v>598</v>
      </c>
      <c r="F406" s="55"/>
      <c r="G406" s="55"/>
      <c r="H406" s="55"/>
      <c r="I406" s="55"/>
      <c r="J406" s="56">
        <f>IF(VLOOKUP($C406,REV!$C:$AA,8,0)-'TRADE IN'!$F406=0,"",(VLOOKUP($C406,REV!$C:$AA,8,0)-'TRADE IN'!$F406))</f>
        <v>799</v>
      </c>
      <c r="K406" s="56">
        <f>IF(VLOOKUP($C406,REV!$C:$AA,9,0)-'TRADE IN'!$F406=0,"",(VLOOKUP($C406,REV!$C:$AA,9,0)-'TRADE IN'!$F406))</f>
        <v>799</v>
      </c>
      <c r="L406" s="56">
        <f>IF(VLOOKUP($C406,REV!$C:$AA,10,0)-'TRADE IN'!$F406=0,"",(VLOOKUP($C406,REV!$C:$AA,10,0)-'TRADE IN'!$F406))</f>
        <v>799</v>
      </c>
      <c r="M406" s="56">
        <f>IF(VLOOKUP($C406,REV!$C:$AA,11,0)-'TRADE IN'!$F406=0,"",(VLOOKUP($C406,REV!$C:$AA,11,0)-'TRADE IN'!$F406))</f>
        <v>799</v>
      </c>
      <c r="N406" s="56">
        <f>IF(VLOOKUP($C406,REV!$C:$AA,12,0)-'TRADE IN'!$F406=0,"",(VLOOKUP($C406,REV!$C:$AA,12,0)-'TRADE IN'!$F406))</f>
        <v>799</v>
      </c>
      <c r="O406" s="56">
        <f>IF(VLOOKUP($C406,REV!$C:$AA,13,0)-'TRADE IN'!$F406=0,"",(VLOOKUP($C406,REV!$C:$AA,13,0)-'TRADE IN'!$F406))</f>
        <v>799</v>
      </c>
      <c r="P406" s="56">
        <f>IF(VLOOKUP($C406,REV!$C:$AA,14,0)-'TRADE IN'!$F406=0,"",(VLOOKUP($C406,REV!$C:$AA,14,0)-'TRADE IN'!$F406))</f>
        <v>799</v>
      </c>
      <c r="Q406" s="56">
        <f>IF(VLOOKUP($C406,REV!$C:$AA,15,0)-'TRADE IN'!$F406=0,"",(VLOOKUP($C406,REV!$C:$AA,15,0)-'TRADE IN'!$F406))</f>
        <v>799</v>
      </c>
      <c r="R406" s="56">
        <f>IF(VLOOKUP($C406,REV!$C:$AA,16,0)-'TRADE IN'!$F406=0,"",(VLOOKUP($C406,REV!$C:$AA,16,0)-'TRADE IN'!$F406))</f>
        <v>799</v>
      </c>
      <c r="S406" s="56">
        <f>IF(VLOOKUP($C406,REV!$C:$AA,17,0)-'TRADE IN'!$F406=0,"",(VLOOKUP($C406,REV!$C:$AA,17,0)-'TRADE IN'!$F406))</f>
        <v>799</v>
      </c>
      <c r="T406" s="56">
        <f>IF(VLOOKUP($C406,REV!$C:$AA,18,0)-'TRADE IN'!$F406=0,"",(VLOOKUP($C406,REV!$C:$AA,18,0)-'TRADE IN'!$F406))</f>
        <v>799</v>
      </c>
      <c r="U406" s="56">
        <f>IF(VLOOKUP($C406,REV!$C:$AA,19,0)-'TRADE IN'!$F406=0,"",(VLOOKUP($C406,REV!$C:$AA,19,0)-'TRADE IN'!$F406))</f>
        <v>799</v>
      </c>
      <c r="V406" s="56">
        <f>IF(VLOOKUP($C406,REV!$C:$AA,20,0)-'TRADE IN'!$F406=0,"",(VLOOKUP($C406,REV!$C:$AA,20,0)-'TRADE IN'!$F406))</f>
        <v>799</v>
      </c>
      <c r="W406" s="56">
        <f>IF(VLOOKUP($C406,REV!$C:$AA,21,0)-'TRADE IN'!$F406=0,"",(VLOOKUP($C406,REV!$C:$AA,21,0)-'TRADE IN'!$F406))</f>
        <v>799</v>
      </c>
      <c r="X406" s="56">
        <f>IF(VLOOKUP($C406,REV!$C:$AA,22,0)-'TRADE IN'!$F406=0,"",(VLOOKUP($C406,REV!$C:$AA,22,0)-'TRADE IN'!$F406))</f>
        <v>799</v>
      </c>
      <c r="Y406" s="56">
        <f>IF(VLOOKUP($C406,REV!$C:$AA,23,0)-'TRADE IN'!$F406=0,"",(VLOOKUP($C406,REV!$C:$AA,23,0)-'TRADE IN'!$F406))</f>
        <v>799</v>
      </c>
      <c r="Z406" s="56">
        <f>IF(VLOOKUP($C406,REV!$C:$AA,24,0)-'TRADE IN'!$F406=0,"",(VLOOKUP($C406,REV!$C:$AA,24,0)-'TRADE IN'!$F406))</f>
        <v>799</v>
      </c>
      <c r="AA406" s="56">
        <f>IF(VLOOKUP($C406,REV!$C:$AA,25,0)-'TRADE IN'!$F406=0,"",(VLOOKUP($C406,REV!$C:$AA,25,0)-'TRADE IN'!$F406))</f>
        <v>799</v>
      </c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7"/>
      <c r="AW406" s="58" t="str">
        <f>REV!AW406</f>
        <v>03.11.2026</v>
      </c>
      <c r="AX406" s="147" t="str">
        <f>VLOOKUP(C406,REV!C:AX,48,0)</f>
        <v>5G</v>
      </c>
    </row>
    <row r="407" spans="1:50" ht="22.5" customHeight="1">
      <c r="A407" s="51" t="s">
        <v>63</v>
      </c>
      <c r="B407" s="52" t="s">
        <v>64</v>
      </c>
      <c r="C407" s="53">
        <v>4016552</v>
      </c>
      <c r="D407" s="65" t="s">
        <v>594</v>
      </c>
      <c r="E407" s="65" t="s">
        <v>599</v>
      </c>
      <c r="F407" s="55"/>
      <c r="G407" s="55"/>
      <c r="H407" s="55"/>
      <c r="I407" s="55"/>
      <c r="J407" s="56">
        <f>IF(VLOOKUP($C407,REV!$C:$AA,8,0)-'TRADE IN'!$F407=0,"",(VLOOKUP($C407,REV!$C:$AA,8,0)-'TRADE IN'!$F407))</f>
        <v>799</v>
      </c>
      <c r="K407" s="56">
        <f>IF(VLOOKUP($C407,REV!$C:$AA,9,0)-'TRADE IN'!$F407=0,"",(VLOOKUP($C407,REV!$C:$AA,9,0)-'TRADE IN'!$F407))</f>
        <v>799</v>
      </c>
      <c r="L407" s="56">
        <f>IF(VLOOKUP($C407,REV!$C:$AA,10,0)-'TRADE IN'!$F407=0,"",(VLOOKUP($C407,REV!$C:$AA,10,0)-'TRADE IN'!$F407))</f>
        <v>799</v>
      </c>
      <c r="M407" s="56">
        <f>IF(VLOOKUP($C407,REV!$C:$AA,11,0)-'TRADE IN'!$F407=0,"",(VLOOKUP($C407,REV!$C:$AA,11,0)-'TRADE IN'!$F407))</f>
        <v>799</v>
      </c>
      <c r="N407" s="56">
        <f>IF(VLOOKUP($C407,REV!$C:$AA,12,0)-'TRADE IN'!$F407=0,"",(VLOOKUP($C407,REV!$C:$AA,12,0)-'TRADE IN'!$F407))</f>
        <v>799</v>
      </c>
      <c r="O407" s="56">
        <f>IF(VLOOKUP($C407,REV!$C:$AA,13,0)-'TRADE IN'!$F407=0,"",(VLOOKUP($C407,REV!$C:$AA,13,0)-'TRADE IN'!$F407))</f>
        <v>799</v>
      </c>
      <c r="P407" s="56">
        <f>IF(VLOOKUP($C407,REV!$C:$AA,14,0)-'TRADE IN'!$F407=0,"",(VLOOKUP($C407,REV!$C:$AA,14,0)-'TRADE IN'!$F407))</f>
        <v>799</v>
      </c>
      <c r="Q407" s="56">
        <f>IF(VLOOKUP($C407,REV!$C:$AA,15,0)-'TRADE IN'!$F407=0,"",(VLOOKUP($C407,REV!$C:$AA,15,0)-'TRADE IN'!$F407))</f>
        <v>799</v>
      </c>
      <c r="R407" s="56">
        <f>IF(VLOOKUP($C407,REV!$C:$AA,16,0)-'TRADE IN'!$F407=0,"",(VLOOKUP($C407,REV!$C:$AA,16,0)-'TRADE IN'!$F407))</f>
        <v>799</v>
      </c>
      <c r="S407" s="56">
        <f>IF(VLOOKUP($C407,REV!$C:$AA,17,0)-'TRADE IN'!$F407=0,"",(VLOOKUP($C407,REV!$C:$AA,17,0)-'TRADE IN'!$F407))</f>
        <v>799</v>
      </c>
      <c r="T407" s="56">
        <f>IF(VLOOKUP($C407,REV!$C:$AA,18,0)-'TRADE IN'!$F407=0,"",(VLOOKUP($C407,REV!$C:$AA,18,0)-'TRADE IN'!$F407))</f>
        <v>799</v>
      </c>
      <c r="U407" s="56">
        <f>IF(VLOOKUP($C407,REV!$C:$AA,19,0)-'TRADE IN'!$F407=0,"",(VLOOKUP($C407,REV!$C:$AA,19,0)-'TRADE IN'!$F407))</f>
        <v>799</v>
      </c>
      <c r="V407" s="56">
        <f>IF(VLOOKUP($C407,REV!$C:$AA,20,0)-'TRADE IN'!$F407=0,"",(VLOOKUP($C407,REV!$C:$AA,20,0)-'TRADE IN'!$F407))</f>
        <v>799</v>
      </c>
      <c r="W407" s="56">
        <f>IF(VLOOKUP($C407,REV!$C:$AA,21,0)-'TRADE IN'!$F407=0,"",(VLOOKUP($C407,REV!$C:$AA,21,0)-'TRADE IN'!$F407))</f>
        <v>799</v>
      </c>
      <c r="X407" s="56">
        <f>IF(VLOOKUP($C407,REV!$C:$AA,22,0)-'TRADE IN'!$F407=0,"",(VLOOKUP($C407,REV!$C:$AA,22,0)-'TRADE IN'!$F407))</f>
        <v>799</v>
      </c>
      <c r="Y407" s="56">
        <f>IF(VLOOKUP($C407,REV!$C:$AA,23,0)-'TRADE IN'!$F407=0,"",(VLOOKUP($C407,REV!$C:$AA,23,0)-'TRADE IN'!$F407))</f>
        <v>799</v>
      </c>
      <c r="Z407" s="56">
        <f>IF(VLOOKUP($C407,REV!$C:$AA,24,0)-'TRADE IN'!$F407=0,"",(VLOOKUP($C407,REV!$C:$AA,24,0)-'TRADE IN'!$F407))</f>
        <v>799</v>
      </c>
      <c r="AA407" s="56">
        <f>IF(VLOOKUP($C407,REV!$C:$AA,25,0)-'TRADE IN'!$F407=0,"",(VLOOKUP($C407,REV!$C:$AA,25,0)-'TRADE IN'!$F407))</f>
        <v>799</v>
      </c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7"/>
      <c r="AW407" s="58" t="str">
        <f>REV!AW407</f>
        <v>03.11.2026</v>
      </c>
      <c r="AX407" s="147" t="str">
        <f>VLOOKUP(C407,REV!C:AX,48,0)</f>
        <v>5G</v>
      </c>
    </row>
    <row r="408" spans="1:50" ht="22.5" customHeight="1">
      <c r="A408" s="51" t="s">
        <v>63</v>
      </c>
      <c r="B408" s="52" t="s">
        <v>64</v>
      </c>
      <c r="C408" s="53">
        <v>4016551</v>
      </c>
      <c r="D408" s="65" t="s">
        <v>594</v>
      </c>
      <c r="E408" s="65" t="s">
        <v>600</v>
      </c>
      <c r="F408" s="55"/>
      <c r="G408" s="55"/>
      <c r="H408" s="55"/>
      <c r="I408" s="55"/>
      <c r="J408" s="56">
        <f>IF(VLOOKUP($C408,REV!$C:$AA,8,0)-'TRADE IN'!$F408=0,"",(VLOOKUP($C408,REV!$C:$AA,8,0)-'TRADE IN'!$F408))</f>
        <v>799</v>
      </c>
      <c r="K408" s="56">
        <f>IF(VLOOKUP($C408,REV!$C:$AA,9,0)-'TRADE IN'!$F408=0,"",(VLOOKUP($C408,REV!$C:$AA,9,0)-'TRADE IN'!$F408))</f>
        <v>799</v>
      </c>
      <c r="L408" s="56">
        <f>IF(VLOOKUP($C408,REV!$C:$AA,10,0)-'TRADE IN'!$F408=0,"",(VLOOKUP($C408,REV!$C:$AA,10,0)-'TRADE IN'!$F408))</f>
        <v>799</v>
      </c>
      <c r="M408" s="56">
        <f>IF(VLOOKUP($C408,REV!$C:$AA,11,0)-'TRADE IN'!$F408=0,"",(VLOOKUP($C408,REV!$C:$AA,11,0)-'TRADE IN'!$F408))</f>
        <v>799</v>
      </c>
      <c r="N408" s="56">
        <f>IF(VLOOKUP($C408,REV!$C:$AA,12,0)-'TRADE IN'!$F408=0,"",(VLOOKUP($C408,REV!$C:$AA,12,0)-'TRADE IN'!$F408))</f>
        <v>799</v>
      </c>
      <c r="O408" s="56">
        <f>IF(VLOOKUP($C408,REV!$C:$AA,13,0)-'TRADE IN'!$F408=0,"",(VLOOKUP($C408,REV!$C:$AA,13,0)-'TRADE IN'!$F408))</f>
        <v>799</v>
      </c>
      <c r="P408" s="56">
        <f>IF(VLOOKUP($C408,REV!$C:$AA,14,0)-'TRADE IN'!$F408=0,"",(VLOOKUP($C408,REV!$C:$AA,14,0)-'TRADE IN'!$F408))</f>
        <v>799</v>
      </c>
      <c r="Q408" s="56">
        <f>IF(VLOOKUP($C408,REV!$C:$AA,15,0)-'TRADE IN'!$F408=0,"",(VLOOKUP($C408,REV!$C:$AA,15,0)-'TRADE IN'!$F408))</f>
        <v>799</v>
      </c>
      <c r="R408" s="56">
        <f>IF(VLOOKUP($C408,REV!$C:$AA,16,0)-'TRADE IN'!$F408=0,"",(VLOOKUP($C408,REV!$C:$AA,16,0)-'TRADE IN'!$F408))</f>
        <v>799</v>
      </c>
      <c r="S408" s="56">
        <f>IF(VLOOKUP($C408,REV!$C:$AA,17,0)-'TRADE IN'!$F408=0,"",(VLOOKUP($C408,REV!$C:$AA,17,0)-'TRADE IN'!$F408))</f>
        <v>799</v>
      </c>
      <c r="T408" s="56">
        <f>IF(VLOOKUP($C408,REV!$C:$AA,18,0)-'TRADE IN'!$F408=0,"",(VLOOKUP($C408,REV!$C:$AA,18,0)-'TRADE IN'!$F408))</f>
        <v>799</v>
      </c>
      <c r="U408" s="56">
        <f>IF(VLOOKUP($C408,REV!$C:$AA,19,0)-'TRADE IN'!$F408=0,"",(VLOOKUP($C408,REV!$C:$AA,19,0)-'TRADE IN'!$F408))</f>
        <v>799</v>
      </c>
      <c r="V408" s="56">
        <f>IF(VLOOKUP($C408,REV!$C:$AA,20,0)-'TRADE IN'!$F408=0,"",(VLOOKUP($C408,REV!$C:$AA,20,0)-'TRADE IN'!$F408))</f>
        <v>799</v>
      </c>
      <c r="W408" s="56">
        <f>IF(VLOOKUP($C408,REV!$C:$AA,21,0)-'TRADE IN'!$F408=0,"",(VLOOKUP($C408,REV!$C:$AA,21,0)-'TRADE IN'!$F408))</f>
        <v>799</v>
      </c>
      <c r="X408" s="56">
        <f>IF(VLOOKUP($C408,REV!$C:$AA,22,0)-'TRADE IN'!$F408=0,"",(VLOOKUP($C408,REV!$C:$AA,22,0)-'TRADE IN'!$F408))</f>
        <v>799</v>
      </c>
      <c r="Y408" s="56">
        <f>IF(VLOOKUP($C408,REV!$C:$AA,23,0)-'TRADE IN'!$F408=0,"",(VLOOKUP($C408,REV!$C:$AA,23,0)-'TRADE IN'!$F408))</f>
        <v>799</v>
      </c>
      <c r="Z408" s="56">
        <f>IF(VLOOKUP($C408,REV!$C:$AA,24,0)-'TRADE IN'!$F408=0,"",(VLOOKUP($C408,REV!$C:$AA,24,0)-'TRADE IN'!$F408))</f>
        <v>799</v>
      </c>
      <c r="AA408" s="56">
        <f>IF(VLOOKUP($C408,REV!$C:$AA,25,0)-'TRADE IN'!$F408=0,"",(VLOOKUP($C408,REV!$C:$AA,25,0)-'TRADE IN'!$F408))</f>
        <v>799</v>
      </c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7"/>
      <c r="AW408" s="58" t="str">
        <f>REV!AW408</f>
        <v>03.11.2026</v>
      </c>
      <c r="AX408" s="147" t="str">
        <f>VLOOKUP(C408,REV!C:AX,48,0)</f>
        <v>5G</v>
      </c>
    </row>
    <row r="409" spans="1:50" ht="22.5" customHeight="1">
      <c r="A409" s="51" t="s">
        <v>63</v>
      </c>
      <c r="B409" s="52" t="s">
        <v>64</v>
      </c>
      <c r="C409" s="53">
        <v>4016839</v>
      </c>
      <c r="D409" s="65" t="s">
        <v>601</v>
      </c>
      <c r="E409" s="65" t="s">
        <v>602</v>
      </c>
      <c r="F409" s="55">
        <v>700</v>
      </c>
      <c r="G409" s="55"/>
      <c r="H409" s="55"/>
      <c r="I409" s="55"/>
      <c r="J409" s="56">
        <f>IF(VLOOKUP($C409,REV!$C:$AA,8,0)-'TRADE IN'!$F409=0,"",(VLOOKUP($C409,REV!$C:$AA,8,0)-'TRADE IN'!$F409))</f>
        <v>3799</v>
      </c>
      <c r="K409" s="56">
        <f>IF(VLOOKUP($C409,REV!$C:$AA,9,0)-'TRADE IN'!$F409=0,"",(VLOOKUP($C409,REV!$C:$AA,9,0)-'TRADE IN'!$F409))</f>
        <v>3799</v>
      </c>
      <c r="L409" s="56">
        <f>IF(VLOOKUP($C409,REV!$C:$AA,10,0)-'TRADE IN'!$F409=0,"",(VLOOKUP($C409,REV!$C:$AA,10,0)-'TRADE IN'!$F409))</f>
        <v>3799</v>
      </c>
      <c r="M409" s="56">
        <f>IF(VLOOKUP($C409,REV!$C:$AA,11,0)-'TRADE IN'!$F409=0,"",(VLOOKUP($C409,REV!$C:$AA,11,0)-'TRADE IN'!$F409))</f>
        <v>3799</v>
      </c>
      <c r="N409" s="56">
        <f>IF(VLOOKUP($C409,REV!$C:$AA,12,0)-'TRADE IN'!$F409=0,"",(VLOOKUP($C409,REV!$C:$AA,12,0)-'TRADE IN'!$F409))</f>
        <v>3799</v>
      </c>
      <c r="O409" s="56">
        <f>IF(VLOOKUP($C409,REV!$C:$AA,13,0)-'TRADE IN'!$F409=0,"",(VLOOKUP($C409,REV!$C:$AA,13,0)-'TRADE IN'!$F409))</f>
        <v>3699</v>
      </c>
      <c r="P409" s="56">
        <f>IF(VLOOKUP($C409,REV!$C:$AA,14,0)-'TRADE IN'!$F409=0,"",(VLOOKUP($C409,REV!$C:$AA,14,0)-'TRADE IN'!$F409))</f>
        <v>3599</v>
      </c>
      <c r="Q409" s="56">
        <f>IF(VLOOKUP($C409,REV!$C:$AA,15,0)-'TRADE IN'!$F409=0,"",(VLOOKUP($C409,REV!$C:$AA,15,0)-'TRADE IN'!$F409))</f>
        <v>2599</v>
      </c>
      <c r="R409" s="56">
        <f>IF(VLOOKUP($C409,REV!$C:$AA,16,0)-'TRADE IN'!$F409=0,"",(VLOOKUP($C409,REV!$C:$AA,16,0)-'TRADE IN'!$F409))</f>
        <v>3699</v>
      </c>
      <c r="S409" s="56">
        <f>IF(VLOOKUP($C409,REV!$C:$AA,17,0)-'TRADE IN'!$F409=0,"",(VLOOKUP($C409,REV!$C:$AA,17,0)-'TRADE IN'!$F409))</f>
        <v>3599</v>
      </c>
      <c r="T409" s="56">
        <f>IF(VLOOKUP($C409,REV!$C:$AA,18,0)-'TRADE IN'!$F409=0,"",(VLOOKUP($C409,REV!$C:$AA,18,0)-'TRADE IN'!$F409))</f>
        <v>2599</v>
      </c>
      <c r="U409" s="56">
        <f>IF(VLOOKUP($C409,REV!$C:$AA,19,0)-'TRADE IN'!$F409=0,"",(VLOOKUP($C409,REV!$C:$AA,19,0)-'TRADE IN'!$F409))</f>
        <v>2599</v>
      </c>
      <c r="V409" s="56">
        <f>IF(VLOOKUP($C409,REV!$C:$AA,20,0)-'TRADE IN'!$F409=0,"",(VLOOKUP($C409,REV!$C:$AA,20,0)-'TRADE IN'!$F409))</f>
        <v>2599</v>
      </c>
      <c r="W409" s="56">
        <f>IF(VLOOKUP($C409,REV!$C:$AA,21,0)-'TRADE IN'!$F409=0,"",(VLOOKUP($C409,REV!$C:$AA,21,0)-'TRADE IN'!$F409))</f>
        <v>2599</v>
      </c>
      <c r="X409" s="56">
        <f>IF(VLOOKUP($C409,REV!$C:$AA,22,0)-'TRADE IN'!$F409=0,"",(VLOOKUP($C409,REV!$C:$AA,22,0)-'TRADE IN'!$F409))</f>
        <v>2499</v>
      </c>
      <c r="Y409" s="56">
        <f>IF(VLOOKUP($C409,REV!$C:$AA,23,0)-'TRADE IN'!$F409=0,"",(VLOOKUP($C409,REV!$C:$AA,23,0)-'TRADE IN'!$F409))</f>
        <v>2099</v>
      </c>
      <c r="Z409" s="56">
        <f>IF(VLOOKUP($C409,REV!$C:$AA,24,0)-'TRADE IN'!$F409=0,"",(VLOOKUP($C409,REV!$C:$AA,24,0)-'TRADE IN'!$F409))</f>
        <v>2099</v>
      </c>
      <c r="AA409" s="56">
        <f>IF(VLOOKUP($C409,REV!$C:$AA,25,0)-'TRADE IN'!$F409=0,"",(VLOOKUP($C409,REV!$C:$AA,25,0)-'TRADE IN'!$F409))</f>
        <v>1899</v>
      </c>
      <c r="AB409" s="55">
        <f>IF(VLOOKUP($C409,REV!$C:$AL,27,0)-'TRADE IN'!$F409=0,"",(VLOOKUP($C409,REV!$C:$AL,27,0)-'TRADE IN'!$F409))</f>
        <v>3799</v>
      </c>
      <c r="AC409" s="55">
        <f>IF(VLOOKUP($C409,REV!$C:$AL,28,0)-'TRADE IN'!$F409=0,"",(VLOOKUP($C409,REV!$C:$AL,28,0)-'TRADE IN'!$F409))</f>
        <v>3799</v>
      </c>
      <c r="AD409" s="55">
        <f>IF(VLOOKUP($C409,REV!$C:$AL,29,0)-'TRADE IN'!$F409=0,"",(VLOOKUP($C409,REV!$C:$AL,29,0)-'TRADE IN'!$F409))</f>
        <v>3699</v>
      </c>
      <c r="AE409" s="55">
        <f>IF(VLOOKUP($C409,REV!$C:$AL,30,0)-'TRADE IN'!$F409=0,"",(VLOOKUP($C409,REV!$C:$AL,30,0)-'TRADE IN'!$F409))</f>
        <v>3599</v>
      </c>
      <c r="AF409" s="55">
        <f>IF(VLOOKUP($C409,REV!$C:$AL,31,0)-'TRADE IN'!$F409=0,"",(VLOOKUP($C409,REV!$C:$AL,31,0)-'TRADE IN'!$F409))</f>
        <v>3599</v>
      </c>
      <c r="AG409" s="55">
        <f>IF(VLOOKUP($C409,REV!$C:$AL,31,0)-'TRADE IN'!$F409=0,"",(VLOOKUP($C409,REV!$C:$AL,31,0)-'TRADE IN'!$F409))</f>
        <v>3599</v>
      </c>
      <c r="AH409" s="55">
        <f>IF(VLOOKUP($C409,REV!$C:$AL,32,0)-'TRADE IN'!$F409=0,"",(VLOOKUP($C409,REV!$C:$AL,32,0)-'TRADE IN'!$F409))</f>
        <v>2599</v>
      </c>
      <c r="AI409" s="55">
        <f>IF(VLOOKUP($C409,REV!$C:$AL,33,0)-'TRADE IN'!$F409=0,"",(VLOOKUP($C409,REV!$C:$AL,33,0)-'TRADE IN'!$F409))</f>
        <v>2599</v>
      </c>
      <c r="AJ409" s="55">
        <f>IF(VLOOKUP($C409,REV!$C:$AL,34,0)-'TRADE IN'!$F409=0,"",(VLOOKUP($C409,REV!$C:$AL,34,0)-'TRADE IN'!$F409))</f>
        <v>2599</v>
      </c>
      <c r="AK409" s="55">
        <f>IF(VLOOKUP($C409,REV!$C:$AL,35,0)-'TRADE IN'!$F409=0,"",(VLOOKUP($C409,REV!$C:$AL,35,0)-'TRADE IN'!$F409))</f>
        <v>2599</v>
      </c>
      <c r="AL409" s="55">
        <f>IF(VLOOKUP($C409,REV!$C:$AL,36,0)-'TRADE IN'!$F409=0,"",(VLOOKUP($C409,REV!$C:$AL,36,0)-'TRADE IN'!$F409))</f>
        <v>2099</v>
      </c>
      <c r="AM409" s="55"/>
      <c r="AN409" s="55"/>
      <c r="AO409" s="55"/>
      <c r="AP409" s="55"/>
      <c r="AQ409" s="55"/>
      <c r="AR409" s="55"/>
      <c r="AS409" s="55"/>
      <c r="AT409" s="55"/>
      <c r="AU409" s="55"/>
      <c r="AV409" s="57"/>
      <c r="AW409" s="58" t="str">
        <f>REV!AW409</f>
        <v>03.11.2026</v>
      </c>
      <c r="AX409" s="147" t="str">
        <f>VLOOKUP(C409,REV!C:AX,48,0)</f>
        <v>5G</v>
      </c>
    </row>
    <row r="410" spans="1:50" ht="22.5" customHeight="1">
      <c r="A410" s="51" t="s">
        <v>63</v>
      </c>
      <c r="B410" s="52" t="s">
        <v>64</v>
      </c>
      <c r="C410" s="53">
        <v>4016872</v>
      </c>
      <c r="D410" s="65" t="s">
        <v>601</v>
      </c>
      <c r="E410" s="65" t="s">
        <v>603</v>
      </c>
      <c r="F410" s="55">
        <v>700</v>
      </c>
      <c r="G410" s="55"/>
      <c r="H410" s="55"/>
      <c r="I410" s="55"/>
      <c r="J410" s="56">
        <f>IF(VLOOKUP($C410,REV!$C:$AA,8,0)-'TRADE IN'!$F410=0,"",(VLOOKUP($C410,REV!$C:$AA,8,0)-'TRADE IN'!$F410))</f>
        <v>3799</v>
      </c>
      <c r="K410" s="56">
        <f>IF(VLOOKUP($C410,REV!$C:$AA,9,0)-'TRADE IN'!$F410=0,"",(VLOOKUP($C410,REV!$C:$AA,9,0)-'TRADE IN'!$F410))</f>
        <v>3799</v>
      </c>
      <c r="L410" s="56">
        <f>IF(VLOOKUP($C410,REV!$C:$AA,10,0)-'TRADE IN'!$F410=0,"",(VLOOKUP($C410,REV!$C:$AA,10,0)-'TRADE IN'!$F410))</f>
        <v>3799</v>
      </c>
      <c r="M410" s="56">
        <f>IF(VLOOKUP($C410,REV!$C:$AA,11,0)-'TRADE IN'!$F410=0,"",(VLOOKUP($C410,REV!$C:$AA,11,0)-'TRADE IN'!$F410))</f>
        <v>3799</v>
      </c>
      <c r="N410" s="56">
        <f>IF(VLOOKUP($C410,REV!$C:$AA,12,0)-'TRADE IN'!$F410=0,"",(VLOOKUP($C410,REV!$C:$AA,12,0)-'TRADE IN'!$F410))</f>
        <v>3799</v>
      </c>
      <c r="O410" s="56">
        <f>IF(VLOOKUP($C410,REV!$C:$AA,13,0)-'TRADE IN'!$F410=0,"",(VLOOKUP($C410,REV!$C:$AA,13,0)-'TRADE IN'!$F410))</f>
        <v>3699</v>
      </c>
      <c r="P410" s="56">
        <f>IF(VLOOKUP($C410,REV!$C:$AA,14,0)-'TRADE IN'!$F410=0,"",(VLOOKUP($C410,REV!$C:$AA,14,0)-'TRADE IN'!$F410))</f>
        <v>3599</v>
      </c>
      <c r="Q410" s="56">
        <f>IF(VLOOKUP($C410,REV!$C:$AA,15,0)-'TRADE IN'!$F410=0,"",(VLOOKUP($C410,REV!$C:$AA,15,0)-'TRADE IN'!$F410))</f>
        <v>2599</v>
      </c>
      <c r="R410" s="56">
        <f>IF(VLOOKUP($C410,REV!$C:$AA,16,0)-'TRADE IN'!$F410=0,"",(VLOOKUP($C410,REV!$C:$AA,16,0)-'TRADE IN'!$F410))</f>
        <v>3699</v>
      </c>
      <c r="S410" s="56">
        <f>IF(VLOOKUP($C410,REV!$C:$AA,17,0)-'TRADE IN'!$F410=0,"",(VLOOKUP($C410,REV!$C:$AA,17,0)-'TRADE IN'!$F410))</f>
        <v>3599</v>
      </c>
      <c r="T410" s="56">
        <f>IF(VLOOKUP($C410,REV!$C:$AA,18,0)-'TRADE IN'!$F410=0,"",(VLOOKUP($C410,REV!$C:$AA,18,0)-'TRADE IN'!$F410))</f>
        <v>2599</v>
      </c>
      <c r="U410" s="56">
        <f>IF(VLOOKUP($C410,REV!$C:$AA,19,0)-'TRADE IN'!$F410=0,"",(VLOOKUP($C410,REV!$C:$AA,19,0)-'TRADE IN'!$F410))</f>
        <v>2599</v>
      </c>
      <c r="V410" s="56">
        <f>IF(VLOOKUP($C410,REV!$C:$AA,20,0)-'TRADE IN'!$F410=0,"",(VLOOKUP($C410,REV!$C:$AA,20,0)-'TRADE IN'!$F410))</f>
        <v>2599</v>
      </c>
      <c r="W410" s="56">
        <f>IF(VLOOKUP($C410,REV!$C:$AA,21,0)-'TRADE IN'!$F410=0,"",(VLOOKUP($C410,REV!$C:$AA,21,0)-'TRADE IN'!$F410))</f>
        <v>2599</v>
      </c>
      <c r="X410" s="56">
        <f>IF(VLOOKUP($C410,REV!$C:$AA,22,0)-'TRADE IN'!$F410=0,"",(VLOOKUP($C410,REV!$C:$AA,22,0)-'TRADE IN'!$F410))</f>
        <v>2499</v>
      </c>
      <c r="Y410" s="56">
        <f>IF(VLOOKUP($C410,REV!$C:$AA,23,0)-'TRADE IN'!$F410=0,"",(VLOOKUP($C410,REV!$C:$AA,23,0)-'TRADE IN'!$F410))</f>
        <v>2099</v>
      </c>
      <c r="Z410" s="56">
        <f>IF(VLOOKUP($C410,REV!$C:$AA,24,0)-'TRADE IN'!$F410=0,"",(VLOOKUP($C410,REV!$C:$AA,24,0)-'TRADE IN'!$F410))</f>
        <v>2099</v>
      </c>
      <c r="AA410" s="56">
        <f>IF(VLOOKUP($C410,REV!$C:$AA,25,0)-'TRADE IN'!$F410=0,"",(VLOOKUP($C410,REV!$C:$AA,25,0)-'TRADE IN'!$F410))</f>
        <v>1899</v>
      </c>
      <c r="AB410" s="55">
        <f>IF(VLOOKUP($C410,REV!$C:$AL,27,0)-'TRADE IN'!$F410=0,"",(VLOOKUP($C410,REV!$C:$AL,27,0)-'TRADE IN'!$F410))</f>
        <v>3799</v>
      </c>
      <c r="AC410" s="55">
        <f>IF(VLOOKUP($C410,REV!$C:$AL,28,0)-'TRADE IN'!$F410=0,"",(VLOOKUP($C410,REV!$C:$AL,28,0)-'TRADE IN'!$F410))</f>
        <v>3799</v>
      </c>
      <c r="AD410" s="55">
        <f>IF(VLOOKUP($C410,REV!$C:$AL,29,0)-'TRADE IN'!$F410=0,"",(VLOOKUP($C410,REV!$C:$AL,29,0)-'TRADE IN'!$F410))</f>
        <v>3699</v>
      </c>
      <c r="AE410" s="55">
        <f>IF(VLOOKUP($C410,REV!$C:$AL,30,0)-'TRADE IN'!$F410=0,"",(VLOOKUP($C410,REV!$C:$AL,30,0)-'TRADE IN'!$F410))</f>
        <v>3599</v>
      </c>
      <c r="AF410" s="55">
        <f>IF(VLOOKUP($C410,REV!$C:$AL,31,0)-'TRADE IN'!$F410=0,"",(VLOOKUP($C410,REV!$C:$AL,31,0)-'TRADE IN'!$F410))</f>
        <v>3599</v>
      </c>
      <c r="AG410" s="55">
        <f>IF(VLOOKUP($C410,REV!$C:$AL,31,0)-'TRADE IN'!$F410=0,"",(VLOOKUP($C410,REV!$C:$AL,31,0)-'TRADE IN'!$F410))</f>
        <v>3599</v>
      </c>
      <c r="AH410" s="55">
        <f>IF(VLOOKUP($C410,REV!$C:$AL,32,0)-'TRADE IN'!$F410=0,"",(VLOOKUP($C410,REV!$C:$AL,32,0)-'TRADE IN'!$F410))</f>
        <v>2599</v>
      </c>
      <c r="AI410" s="55">
        <f>IF(VLOOKUP($C410,REV!$C:$AL,33,0)-'TRADE IN'!$F410=0,"",(VLOOKUP($C410,REV!$C:$AL,33,0)-'TRADE IN'!$F410))</f>
        <v>2599</v>
      </c>
      <c r="AJ410" s="55">
        <f>IF(VLOOKUP($C410,REV!$C:$AL,34,0)-'TRADE IN'!$F410=0,"",(VLOOKUP($C410,REV!$C:$AL,34,0)-'TRADE IN'!$F410))</f>
        <v>2599</v>
      </c>
      <c r="AK410" s="55">
        <f>IF(VLOOKUP($C410,REV!$C:$AL,35,0)-'TRADE IN'!$F410=0,"",(VLOOKUP($C410,REV!$C:$AL,35,0)-'TRADE IN'!$F410))</f>
        <v>2599</v>
      </c>
      <c r="AL410" s="55">
        <f>IF(VLOOKUP($C410,REV!$C:$AL,36,0)-'TRADE IN'!$F410=0,"",(VLOOKUP($C410,REV!$C:$AL,36,0)-'TRADE IN'!$F410))</f>
        <v>2099</v>
      </c>
      <c r="AM410" s="55"/>
      <c r="AN410" s="55"/>
      <c r="AO410" s="55"/>
      <c r="AP410" s="55"/>
      <c r="AQ410" s="55"/>
      <c r="AR410" s="55"/>
      <c r="AS410" s="55"/>
      <c r="AT410" s="55"/>
      <c r="AU410" s="55"/>
      <c r="AV410" s="57"/>
      <c r="AW410" s="58" t="str">
        <f>REV!AW410</f>
        <v>03.11.2026</v>
      </c>
      <c r="AX410" s="147" t="str">
        <f>VLOOKUP(C410,REV!C:AX,48,0)</f>
        <v>5G</v>
      </c>
    </row>
    <row r="411" spans="1:50" ht="22.5" customHeight="1">
      <c r="A411" s="51" t="s">
        <v>63</v>
      </c>
      <c r="B411" s="52" t="s">
        <v>64</v>
      </c>
      <c r="C411" s="53">
        <v>4016858</v>
      </c>
      <c r="D411" s="65" t="s">
        <v>601</v>
      </c>
      <c r="E411" s="65" t="s">
        <v>604</v>
      </c>
      <c r="F411" s="55">
        <v>700</v>
      </c>
      <c r="G411" s="55"/>
      <c r="H411" s="55"/>
      <c r="I411" s="55"/>
      <c r="J411" s="56">
        <f>IF(VLOOKUP($C411,REV!$C:$AA,8,0)-'TRADE IN'!$F411=0,"",(VLOOKUP($C411,REV!$C:$AA,8,0)-'TRADE IN'!$F411))</f>
        <v>3799</v>
      </c>
      <c r="K411" s="56">
        <f>IF(VLOOKUP($C411,REV!$C:$AA,9,0)-'TRADE IN'!$F411=0,"",(VLOOKUP($C411,REV!$C:$AA,9,0)-'TRADE IN'!$F411))</f>
        <v>3799</v>
      </c>
      <c r="L411" s="56">
        <f>IF(VLOOKUP($C411,REV!$C:$AA,10,0)-'TRADE IN'!$F411=0,"",(VLOOKUP($C411,REV!$C:$AA,10,0)-'TRADE IN'!$F411))</f>
        <v>3799</v>
      </c>
      <c r="M411" s="56">
        <f>IF(VLOOKUP($C411,REV!$C:$AA,11,0)-'TRADE IN'!$F411=0,"",(VLOOKUP($C411,REV!$C:$AA,11,0)-'TRADE IN'!$F411))</f>
        <v>3799</v>
      </c>
      <c r="N411" s="56">
        <f>IF(VLOOKUP($C411,REV!$C:$AA,12,0)-'TRADE IN'!$F411=0,"",(VLOOKUP($C411,REV!$C:$AA,12,0)-'TRADE IN'!$F411))</f>
        <v>3799</v>
      </c>
      <c r="O411" s="56">
        <f>IF(VLOOKUP($C411,REV!$C:$AA,13,0)-'TRADE IN'!$F411=0,"",(VLOOKUP($C411,REV!$C:$AA,13,0)-'TRADE IN'!$F411))</f>
        <v>3699</v>
      </c>
      <c r="P411" s="56">
        <f>IF(VLOOKUP($C411,REV!$C:$AA,14,0)-'TRADE IN'!$F411=0,"",(VLOOKUP($C411,REV!$C:$AA,14,0)-'TRADE IN'!$F411))</f>
        <v>3599</v>
      </c>
      <c r="Q411" s="56">
        <f>IF(VLOOKUP($C411,REV!$C:$AA,15,0)-'TRADE IN'!$F411=0,"",(VLOOKUP($C411,REV!$C:$AA,15,0)-'TRADE IN'!$F411))</f>
        <v>2599</v>
      </c>
      <c r="R411" s="56">
        <f>IF(VLOOKUP($C411,REV!$C:$AA,16,0)-'TRADE IN'!$F411=0,"",(VLOOKUP($C411,REV!$C:$AA,16,0)-'TRADE IN'!$F411))</f>
        <v>3699</v>
      </c>
      <c r="S411" s="56">
        <f>IF(VLOOKUP($C411,REV!$C:$AA,17,0)-'TRADE IN'!$F411=0,"",(VLOOKUP($C411,REV!$C:$AA,17,0)-'TRADE IN'!$F411))</f>
        <v>3599</v>
      </c>
      <c r="T411" s="56">
        <f>IF(VLOOKUP($C411,REV!$C:$AA,18,0)-'TRADE IN'!$F411=0,"",(VLOOKUP($C411,REV!$C:$AA,18,0)-'TRADE IN'!$F411))</f>
        <v>2599</v>
      </c>
      <c r="U411" s="56">
        <f>IF(VLOOKUP($C411,REV!$C:$AA,19,0)-'TRADE IN'!$F411=0,"",(VLOOKUP($C411,REV!$C:$AA,19,0)-'TRADE IN'!$F411))</f>
        <v>2599</v>
      </c>
      <c r="V411" s="56">
        <f>IF(VLOOKUP($C411,REV!$C:$AA,20,0)-'TRADE IN'!$F411=0,"",(VLOOKUP($C411,REV!$C:$AA,20,0)-'TRADE IN'!$F411))</f>
        <v>2599</v>
      </c>
      <c r="W411" s="56">
        <f>IF(VLOOKUP($C411,REV!$C:$AA,21,0)-'TRADE IN'!$F411=0,"",(VLOOKUP($C411,REV!$C:$AA,21,0)-'TRADE IN'!$F411))</f>
        <v>2599</v>
      </c>
      <c r="X411" s="56">
        <f>IF(VLOOKUP($C411,REV!$C:$AA,22,0)-'TRADE IN'!$F411=0,"",(VLOOKUP($C411,REV!$C:$AA,22,0)-'TRADE IN'!$F411))</f>
        <v>2499</v>
      </c>
      <c r="Y411" s="56">
        <f>IF(VLOOKUP($C411,REV!$C:$AA,23,0)-'TRADE IN'!$F411=0,"",(VLOOKUP($C411,REV!$C:$AA,23,0)-'TRADE IN'!$F411))</f>
        <v>2099</v>
      </c>
      <c r="Z411" s="56">
        <f>IF(VLOOKUP($C411,REV!$C:$AA,24,0)-'TRADE IN'!$F411=0,"",(VLOOKUP($C411,REV!$C:$AA,24,0)-'TRADE IN'!$F411))</f>
        <v>2099</v>
      </c>
      <c r="AA411" s="56">
        <f>IF(VLOOKUP($C411,REV!$C:$AA,25,0)-'TRADE IN'!$F411=0,"",(VLOOKUP($C411,REV!$C:$AA,25,0)-'TRADE IN'!$F411))</f>
        <v>1899</v>
      </c>
      <c r="AB411" s="55">
        <f>IF(VLOOKUP($C411,REV!$C:$AL,27,0)-'TRADE IN'!$F411=0,"",(VLOOKUP($C411,REV!$C:$AL,27,0)-'TRADE IN'!$F411))</f>
        <v>3799</v>
      </c>
      <c r="AC411" s="55">
        <f>IF(VLOOKUP($C411,REV!$C:$AL,28,0)-'TRADE IN'!$F411=0,"",(VLOOKUP($C411,REV!$C:$AL,28,0)-'TRADE IN'!$F411))</f>
        <v>3799</v>
      </c>
      <c r="AD411" s="55">
        <f>IF(VLOOKUP($C411,REV!$C:$AL,29,0)-'TRADE IN'!$F411=0,"",(VLOOKUP($C411,REV!$C:$AL,29,0)-'TRADE IN'!$F411))</f>
        <v>3699</v>
      </c>
      <c r="AE411" s="55">
        <f>IF(VLOOKUP($C411,REV!$C:$AL,30,0)-'TRADE IN'!$F411=0,"",(VLOOKUP($C411,REV!$C:$AL,30,0)-'TRADE IN'!$F411))</f>
        <v>3599</v>
      </c>
      <c r="AF411" s="55">
        <f>IF(VLOOKUP($C411,REV!$C:$AL,31,0)-'TRADE IN'!$F411=0,"",(VLOOKUP($C411,REV!$C:$AL,31,0)-'TRADE IN'!$F411))</f>
        <v>3599</v>
      </c>
      <c r="AG411" s="55">
        <f>IF(VLOOKUP($C411,REV!$C:$AL,31,0)-'TRADE IN'!$F411=0,"",(VLOOKUP($C411,REV!$C:$AL,31,0)-'TRADE IN'!$F411))</f>
        <v>3599</v>
      </c>
      <c r="AH411" s="55">
        <f>IF(VLOOKUP($C411,REV!$C:$AL,32,0)-'TRADE IN'!$F411=0,"",(VLOOKUP($C411,REV!$C:$AL,32,0)-'TRADE IN'!$F411))</f>
        <v>2599</v>
      </c>
      <c r="AI411" s="55">
        <f>IF(VLOOKUP($C411,REV!$C:$AL,33,0)-'TRADE IN'!$F411=0,"",(VLOOKUP($C411,REV!$C:$AL,33,0)-'TRADE IN'!$F411))</f>
        <v>2599</v>
      </c>
      <c r="AJ411" s="55">
        <f>IF(VLOOKUP($C411,REV!$C:$AL,34,0)-'TRADE IN'!$F411=0,"",(VLOOKUP($C411,REV!$C:$AL,34,0)-'TRADE IN'!$F411))</f>
        <v>2599</v>
      </c>
      <c r="AK411" s="55">
        <f>IF(VLOOKUP($C411,REV!$C:$AL,35,0)-'TRADE IN'!$F411=0,"",(VLOOKUP($C411,REV!$C:$AL,35,0)-'TRADE IN'!$F411))</f>
        <v>2599</v>
      </c>
      <c r="AL411" s="55">
        <f>IF(VLOOKUP($C411,REV!$C:$AL,36,0)-'TRADE IN'!$F411=0,"",(VLOOKUP($C411,REV!$C:$AL,36,0)-'TRADE IN'!$F411))</f>
        <v>2099</v>
      </c>
      <c r="AM411" s="55"/>
      <c r="AN411" s="55"/>
      <c r="AO411" s="55"/>
      <c r="AP411" s="55"/>
      <c r="AQ411" s="55"/>
      <c r="AR411" s="55"/>
      <c r="AS411" s="55"/>
      <c r="AT411" s="55"/>
      <c r="AU411" s="55"/>
      <c r="AV411" s="57"/>
      <c r="AW411" s="58" t="str">
        <f>REV!AW411</f>
        <v>03.11.2026</v>
      </c>
      <c r="AX411" s="147" t="str">
        <f>VLOOKUP(C411,REV!C:AX,48,0)</f>
        <v>5G</v>
      </c>
    </row>
    <row r="412" spans="1:50" ht="22.5" customHeight="1">
      <c r="A412" s="51" t="s">
        <v>63</v>
      </c>
      <c r="B412" s="52" t="s">
        <v>64</v>
      </c>
      <c r="C412" s="53">
        <v>4016863</v>
      </c>
      <c r="D412" s="65" t="s">
        <v>601</v>
      </c>
      <c r="E412" s="65" t="s">
        <v>605</v>
      </c>
      <c r="F412" s="55">
        <v>700</v>
      </c>
      <c r="G412" s="55"/>
      <c r="H412" s="55"/>
      <c r="I412" s="55"/>
      <c r="J412" s="56">
        <f>IF(VLOOKUP($C412,REV!$C:$AA,8,0)-'TRADE IN'!$F412=0,"",(VLOOKUP($C412,REV!$C:$AA,8,0)-'TRADE IN'!$F412))</f>
        <v>3799</v>
      </c>
      <c r="K412" s="56">
        <f>IF(VLOOKUP($C412,REV!$C:$AA,9,0)-'TRADE IN'!$F412=0,"",(VLOOKUP($C412,REV!$C:$AA,9,0)-'TRADE IN'!$F412))</f>
        <v>3799</v>
      </c>
      <c r="L412" s="56">
        <f>IF(VLOOKUP($C412,REV!$C:$AA,10,0)-'TRADE IN'!$F412=0,"",(VLOOKUP($C412,REV!$C:$AA,10,0)-'TRADE IN'!$F412))</f>
        <v>3799</v>
      </c>
      <c r="M412" s="56">
        <f>IF(VLOOKUP($C412,REV!$C:$AA,11,0)-'TRADE IN'!$F412=0,"",(VLOOKUP($C412,REV!$C:$AA,11,0)-'TRADE IN'!$F412))</f>
        <v>3799</v>
      </c>
      <c r="N412" s="56">
        <f>IF(VLOOKUP($C412,REV!$C:$AA,12,0)-'TRADE IN'!$F412=0,"",(VLOOKUP($C412,REV!$C:$AA,12,0)-'TRADE IN'!$F412))</f>
        <v>3799</v>
      </c>
      <c r="O412" s="56">
        <f>IF(VLOOKUP($C412,REV!$C:$AA,13,0)-'TRADE IN'!$F412=0,"",(VLOOKUP($C412,REV!$C:$AA,13,0)-'TRADE IN'!$F412))</f>
        <v>3699</v>
      </c>
      <c r="P412" s="56">
        <f>IF(VLOOKUP($C412,REV!$C:$AA,14,0)-'TRADE IN'!$F412=0,"",(VLOOKUP($C412,REV!$C:$AA,14,0)-'TRADE IN'!$F412))</f>
        <v>3599</v>
      </c>
      <c r="Q412" s="56">
        <f>IF(VLOOKUP($C412,REV!$C:$AA,15,0)-'TRADE IN'!$F412=0,"",(VLOOKUP($C412,REV!$C:$AA,15,0)-'TRADE IN'!$F412))</f>
        <v>2599</v>
      </c>
      <c r="R412" s="56">
        <f>IF(VLOOKUP($C412,REV!$C:$AA,16,0)-'TRADE IN'!$F412=0,"",(VLOOKUP($C412,REV!$C:$AA,16,0)-'TRADE IN'!$F412))</f>
        <v>3699</v>
      </c>
      <c r="S412" s="56">
        <f>IF(VLOOKUP($C412,REV!$C:$AA,17,0)-'TRADE IN'!$F412=0,"",(VLOOKUP($C412,REV!$C:$AA,17,0)-'TRADE IN'!$F412))</f>
        <v>3599</v>
      </c>
      <c r="T412" s="56">
        <f>IF(VLOOKUP($C412,REV!$C:$AA,18,0)-'TRADE IN'!$F412=0,"",(VLOOKUP($C412,REV!$C:$AA,18,0)-'TRADE IN'!$F412))</f>
        <v>2599</v>
      </c>
      <c r="U412" s="56">
        <f>IF(VLOOKUP($C412,REV!$C:$AA,19,0)-'TRADE IN'!$F412=0,"",(VLOOKUP($C412,REV!$C:$AA,19,0)-'TRADE IN'!$F412))</f>
        <v>2599</v>
      </c>
      <c r="V412" s="56">
        <f>IF(VLOOKUP($C412,REV!$C:$AA,20,0)-'TRADE IN'!$F412=0,"",(VLOOKUP($C412,REV!$C:$AA,20,0)-'TRADE IN'!$F412))</f>
        <v>2599</v>
      </c>
      <c r="W412" s="56">
        <f>IF(VLOOKUP($C412,REV!$C:$AA,21,0)-'TRADE IN'!$F412=0,"",(VLOOKUP($C412,REV!$C:$AA,21,0)-'TRADE IN'!$F412))</f>
        <v>2599</v>
      </c>
      <c r="X412" s="56">
        <f>IF(VLOOKUP($C412,REV!$C:$AA,22,0)-'TRADE IN'!$F412=0,"",(VLOOKUP($C412,REV!$C:$AA,22,0)-'TRADE IN'!$F412))</f>
        <v>2499</v>
      </c>
      <c r="Y412" s="56">
        <f>IF(VLOOKUP($C412,REV!$C:$AA,23,0)-'TRADE IN'!$F412=0,"",(VLOOKUP($C412,REV!$C:$AA,23,0)-'TRADE IN'!$F412))</f>
        <v>2099</v>
      </c>
      <c r="Z412" s="56">
        <f>IF(VLOOKUP($C412,REV!$C:$AA,24,0)-'TRADE IN'!$F412=0,"",(VLOOKUP($C412,REV!$C:$AA,24,0)-'TRADE IN'!$F412))</f>
        <v>2099</v>
      </c>
      <c r="AA412" s="56">
        <f>IF(VLOOKUP($C412,REV!$C:$AA,25,0)-'TRADE IN'!$F412=0,"",(VLOOKUP($C412,REV!$C:$AA,25,0)-'TRADE IN'!$F412))</f>
        <v>1899</v>
      </c>
      <c r="AB412" s="55">
        <f>IF(VLOOKUP($C412,REV!$C:$AL,27,0)-'TRADE IN'!$F412=0,"",(VLOOKUP($C412,REV!$C:$AL,27,0)-'TRADE IN'!$F412))</f>
        <v>3799</v>
      </c>
      <c r="AC412" s="55">
        <f>IF(VLOOKUP($C412,REV!$C:$AL,28,0)-'TRADE IN'!$F412=0,"",(VLOOKUP($C412,REV!$C:$AL,28,0)-'TRADE IN'!$F412))</f>
        <v>3799</v>
      </c>
      <c r="AD412" s="55">
        <f>IF(VLOOKUP($C412,REV!$C:$AL,29,0)-'TRADE IN'!$F412=0,"",(VLOOKUP($C412,REV!$C:$AL,29,0)-'TRADE IN'!$F412))</f>
        <v>3699</v>
      </c>
      <c r="AE412" s="55">
        <f>IF(VLOOKUP($C412,REV!$C:$AL,30,0)-'TRADE IN'!$F412=0,"",(VLOOKUP($C412,REV!$C:$AL,30,0)-'TRADE IN'!$F412))</f>
        <v>3599</v>
      </c>
      <c r="AF412" s="55">
        <f>IF(VLOOKUP($C412,REV!$C:$AL,31,0)-'TRADE IN'!$F412=0,"",(VLOOKUP($C412,REV!$C:$AL,31,0)-'TRADE IN'!$F412))</f>
        <v>3599</v>
      </c>
      <c r="AG412" s="55">
        <f>IF(VLOOKUP($C412,REV!$C:$AL,31,0)-'TRADE IN'!$F412=0,"",(VLOOKUP($C412,REV!$C:$AL,31,0)-'TRADE IN'!$F412))</f>
        <v>3599</v>
      </c>
      <c r="AH412" s="55">
        <f>IF(VLOOKUP($C412,REV!$C:$AL,32,0)-'TRADE IN'!$F412=0,"",(VLOOKUP($C412,REV!$C:$AL,32,0)-'TRADE IN'!$F412))</f>
        <v>2599</v>
      </c>
      <c r="AI412" s="55">
        <f>IF(VLOOKUP($C412,REV!$C:$AL,33,0)-'TRADE IN'!$F412=0,"",(VLOOKUP($C412,REV!$C:$AL,33,0)-'TRADE IN'!$F412))</f>
        <v>2599</v>
      </c>
      <c r="AJ412" s="55">
        <f>IF(VLOOKUP($C412,REV!$C:$AL,34,0)-'TRADE IN'!$F412=0,"",(VLOOKUP($C412,REV!$C:$AL,34,0)-'TRADE IN'!$F412))</f>
        <v>2599</v>
      </c>
      <c r="AK412" s="55">
        <f>IF(VLOOKUP($C412,REV!$C:$AL,35,0)-'TRADE IN'!$F412=0,"",(VLOOKUP($C412,REV!$C:$AL,35,0)-'TRADE IN'!$F412))</f>
        <v>2599</v>
      </c>
      <c r="AL412" s="55">
        <f>IF(VLOOKUP($C412,REV!$C:$AL,36,0)-'TRADE IN'!$F412=0,"",(VLOOKUP($C412,REV!$C:$AL,36,0)-'TRADE IN'!$F412))</f>
        <v>2099</v>
      </c>
      <c r="AM412" s="55"/>
      <c r="AN412" s="55"/>
      <c r="AO412" s="55"/>
      <c r="AP412" s="55"/>
      <c r="AQ412" s="55"/>
      <c r="AR412" s="55"/>
      <c r="AS412" s="55"/>
      <c r="AT412" s="55"/>
      <c r="AU412" s="55"/>
      <c r="AV412" s="57"/>
      <c r="AW412" s="58" t="str">
        <f>REV!AW412</f>
        <v>03.11.2026</v>
      </c>
      <c r="AX412" s="147" t="str">
        <f>VLOOKUP(C412,REV!C:AX,48,0)</f>
        <v>5G</v>
      </c>
    </row>
    <row r="413" spans="1:50" ht="22.5" customHeight="1">
      <c r="A413" s="51" t="s">
        <v>63</v>
      </c>
      <c r="B413" s="52" t="s">
        <v>64</v>
      </c>
      <c r="C413" s="53">
        <v>4016886</v>
      </c>
      <c r="D413" s="65" t="s">
        <v>601</v>
      </c>
      <c r="E413" s="65" t="s">
        <v>606</v>
      </c>
      <c r="F413" s="55">
        <v>700</v>
      </c>
      <c r="G413" s="55"/>
      <c r="H413" s="55"/>
      <c r="I413" s="55"/>
      <c r="J413" s="56">
        <f>IF(VLOOKUP($C413,REV!$C:$AA,8,0)-'TRADE IN'!$F413=0,"",(VLOOKUP($C413,REV!$C:$AA,8,0)-'TRADE IN'!$F413))</f>
        <v>3799</v>
      </c>
      <c r="K413" s="56">
        <f>IF(VLOOKUP($C413,REV!$C:$AA,9,0)-'TRADE IN'!$F413=0,"",(VLOOKUP($C413,REV!$C:$AA,9,0)-'TRADE IN'!$F413))</f>
        <v>3799</v>
      </c>
      <c r="L413" s="56">
        <f>IF(VLOOKUP($C413,REV!$C:$AA,10,0)-'TRADE IN'!$F413=0,"",(VLOOKUP($C413,REV!$C:$AA,10,0)-'TRADE IN'!$F413))</f>
        <v>3799</v>
      </c>
      <c r="M413" s="56">
        <f>IF(VLOOKUP($C413,REV!$C:$AA,11,0)-'TRADE IN'!$F413=0,"",(VLOOKUP($C413,REV!$C:$AA,11,0)-'TRADE IN'!$F413))</f>
        <v>3799</v>
      </c>
      <c r="N413" s="56">
        <f>IF(VLOOKUP($C413,REV!$C:$AA,12,0)-'TRADE IN'!$F413=0,"",(VLOOKUP($C413,REV!$C:$AA,12,0)-'TRADE IN'!$F413))</f>
        <v>3799</v>
      </c>
      <c r="O413" s="56">
        <f>IF(VLOOKUP($C413,REV!$C:$AA,13,0)-'TRADE IN'!$F413=0,"",(VLOOKUP($C413,REV!$C:$AA,13,0)-'TRADE IN'!$F413))</f>
        <v>3699</v>
      </c>
      <c r="P413" s="56">
        <f>IF(VLOOKUP($C413,REV!$C:$AA,14,0)-'TRADE IN'!$F413=0,"",(VLOOKUP($C413,REV!$C:$AA,14,0)-'TRADE IN'!$F413))</f>
        <v>3599</v>
      </c>
      <c r="Q413" s="56">
        <f>IF(VLOOKUP($C413,REV!$C:$AA,15,0)-'TRADE IN'!$F413=0,"",(VLOOKUP($C413,REV!$C:$AA,15,0)-'TRADE IN'!$F413))</f>
        <v>2599</v>
      </c>
      <c r="R413" s="56">
        <f>IF(VLOOKUP($C413,REV!$C:$AA,16,0)-'TRADE IN'!$F413=0,"",(VLOOKUP($C413,REV!$C:$AA,16,0)-'TRADE IN'!$F413))</f>
        <v>3699</v>
      </c>
      <c r="S413" s="56">
        <f>IF(VLOOKUP($C413,REV!$C:$AA,17,0)-'TRADE IN'!$F413=0,"",(VLOOKUP($C413,REV!$C:$AA,17,0)-'TRADE IN'!$F413))</f>
        <v>3599</v>
      </c>
      <c r="T413" s="56">
        <f>IF(VLOOKUP($C413,REV!$C:$AA,18,0)-'TRADE IN'!$F413=0,"",(VLOOKUP($C413,REV!$C:$AA,18,0)-'TRADE IN'!$F413))</f>
        <v>2599</v>
      </c>
      <c r="U413" s="56">
        <f>IF(VLOOKUP($C413,REV!$C:$AA,19,0)-'TRADE IN'!$F413=0,"",(VLOOKUP($C413,REV!$C:$AA,19,0)-'TRADE IN'!$F413))</f>
        <v>2599</v>
      </c>
      <c r="V413" s="56">
        <f>IF(VLOOKUP($C413,REV!$C:$AA,20,0)-'TRADE IN'!$F413=0,"",(VLOOKUP($C413,REV!$C:$AA,20,0)-'TRADE IN'!$F413))</f>
        <v>2599</v>
      </c>
      <c r="W413" s="56">
        <f>IF(VLOOKUP($C413,REV!$C:$AA,21,0)-'TRADE IN'!$F413=0,"",(VLOOKUP($C413,REV!$C:$AA,21,0)-'TRADE IN'!$F413))</f>
        <v>2599</v>
      </c>
      <c r="X413" s="56">
        <f>IF(VLOOKUP($C413,REV!$C:$AA,22,0)-'TRADE IN'!$F413=0,"",(VLOOKUP($C413,REV!$C:$AA,22,0)-'TRADE IN'!$F413))</f>
        <v>2499</v>
      </c>
      <c r="Y413" s="56">
        <f>IF(VLOOKUP($C413,REV!$C:$AA,23,0)-'TRADE IN'!$F413=0,"",(VLOOKUP($C413,REV!$C:$AA,23,0)-'TRADE IN'!$F413))</f>
        <v>2099</v>
      </c>
      <c r="Z413" s="56">
        <f>IF(VLOOKUP($C413,REV!$C:$AA,24,0)-'TRADE IN'!$F413=0,"",(VLOOKUP($C413,REV!$C:$AA,24,0)-'TRADE IN'!$F413))</f>
        <v>2099</v>
      </c>
      <c r="AA413" s="56">
        <f>IF(VLOOKUP($C413,REV!$C:$AA,25,0)-'TRADE IN'!$F413=0,"",(VLOOKUP($C413,REV!$C:$AA,25,0)-'TRADE IN'!$F413))</f>
        <v>1899</v>
      </c>
      <c r="AB413" s="55">
        <f>IF(VLOOKUP($C413,REV!$C:$AL,27,0)-'TRADE IN'!$F413=0,"",(VLOOKUP($C413,REV!$C:$AL,27,0)-'TRADE IN'!$F413))</f>
        <v>3799</v>
      </c>
      <c r="AC413" s="55">
        <f>IF(VLOOKUP($C413,REV!$C:$AL,28,0)-'TRADE IN'!$F413=0,"",(VLOOKUP($C413,REV!$C:$AL,28,0)-'TRADE IN'!$F413))</f>
        <v>3799</v>
      </c>
      <c r="AD413" s="55">
        <f>IF(VLOOKUP($C413,REV!$C:$AL,29,0)-'TRADE IN'!$F413=0,"",(VLOOKUP($C413,REV!$C:$AL,29,0)-'TRADE IN'!$F413))</f>
        <v>3699</v>
      </c>
      <c r="AE413" s="55">
        <f>IF(VLOOKUP($C413,REV!$C:$AL,30,0)-'TRADE IN'!$F413=0,"",(VLOOKUP($C413,REV!$C:$AL,30,0)-'TRADE IN'!$F413))</f>
        <v>3599</v>
      </c>
      <c r="AF413" s="55">
        <f>IF(VLOOKUP($C413,REV!$C:$AL,31,0)-'TRADE IN'!$F413=0,"",(VLOOKUP($C413,REV!$C:$AL,31,0)-'TRADE IN'!$F413))</f>
        <v>3599</v>
      </c>
      <c r="AG413" s="55">
        <f>IF(VLOOKUP($C413,REV!$C:$AL,31,0)-'TRADE IN'!$F413=0,"",(VLOOKUP($C413,REV!$C:$AL,31,0)-'TRADE IN'!$F413))</f>
        <v>3599</v>
      </c>
      <c r="AH413" s="55">
        <f>IF(VLOOKUP($C413,REV!$C:$AL,32,0)-'TRADE IN'!$F413=0,"",(VLOOKUP($C413,REV!$C:$AL,32,0)-'TRADE IN'!$F413))</f>
        <v>2599</v>
      </c>
      <c r="AI413" s="55">
        <f>IF(VLOOKUP($C413,REV!$C:$AL,33,0)-'TRADE IN'!$F413=0,"",(VLOOKUP($C413,REV!$C:$AL,33,0)-'TRADE IN'!$F413))</f>
        <v>2599</v>
      </c>
      <c r="AJ413" s="55">
        <f>IF(VLOOKUP($C413,REV!$C:$AL,34,0)-'TRADE IN'!$F413=0,"",(VLOOKUP($C413,REV!$C:$AL,34,0)-'TRADE IN'!$F413))</f>
        <v>2599</v>
      </c>
      <c r="AK413" s="55">
        <f>IF(VLOOKUP($C413,REV!$C:$AL,35,0)-'TRADE IN'!$F413=0,"",(VLOOKUP($C413,REV!$C:$AL,35,0)-'TRADE IN'!$F413))</f>
        <v>2599</v>
      </c>
      <c r="AL413" s="55">
        <f>IF(VLOOKUP($C413,REV!$C:$AL,36,0)-'TRADE IN'!$F413=0,"",(VLOOKUP($C413,REV!$C:$AL,36,0)-'TRADE IN'!$F413))</f>
        <v>2099</v>
      </c>
      <c r="AM413" s="55"/>
      <c r="AN413" s="55"/>
      <c r="AO413" s="55"/>
      <c r="AP413" s="55"/>
      <c r="AQ413" s="55"/>
      <c r="AR413" s="55"/>
      <c r="AS413" s="55"/>
      <c r="AT413" s="55"/>
      <c r="AU413" s="55"/>
      <c r="AV413" s="57"/>
      <c r="AW413" s="58" t="str">
        <f>REV!AW413</f>
        <v>03.11.2026</v>
      </c>
      <c r="AX413" s="147" t="str">
        <f>VLOOKUP(C413,REV!C:AX,48,0)</f>
        <v>5G</v>
      </c>
    </row>
    <row r="414" spans="1:50" ht="22.5" customHeight="1">
      <c r="A414" s="51" t="s">
        <v>63</v>
      </c>
      <c r="B414" s="52" t="s">
        <v>64</v>
      </c>
      <c r="C414" s="53">
        <v>4016901</v>
      </c>
      <c r="D414" s="65" t="s">
        <v>601</v>
      </c>
      <c r="E414" s="65" t="s">
        <v>607</v>
      </c>
      <c r="F414" s="55">
        <v>700</v>
      </c>
      <c r="G414" s="55"/>
      <c r="H414" s="55"/>
      <c r="I414" s="55"/>
      <c r="J414" s="56">
        <f>IF(VLOOKUP($C414,REV!$C:$AA,8,0)-'TRADE IN'!$F414=0,"",(VLOOKUP($C414,REV!$C:$AA,8,0)-'TRADE IN'!$F414))</f>
        <v>3799</v>
      </c>
      <c r="K414" s="56">
        <f>IF(VLOOKUP($C414,REV!$C:$AA,9,0)-'TRADE IN'!$F414=0,"",(VLOOKUP($C414,REV!$C:$AA,9,0)-'TRADE IN'!$F414))</f>
        <v>3799</v>
      </c>
      <c r="L414" s="56">
        <f>IF(VLOOKUP($C414,REV!$C:$AA,10,0)-'TRADE IN'!$F414=0,"",(VLOOKUP($C414,REV!$C:$AA,10,0)-'TRADE IN'!$F414))</f>
        <v>3799</v>
      </c>
      <c r="M414" s="56">
        <f>IF(VLOOKUP($C414,REV!$C:$AA,11,0)-'TRADE IN'!$F414=0,"",(VLOOKUP($C414,REV!$C:$AA,11,0)-'TRADE IN'!$F414))</f>
        <v>3799</v>
      </c>
      <c r="N414" s="56">
        <f>IF(VLOOKUP($C414,REV!$C:$AA,12,0)-'TRADE IN'!$F414=0,"",(VLOOKUP($C414,REV!$C:$AA,12,0)-'TRADE IN'!$F414))</f>
        <v>3799</v>
      </c>
      <c r="O414" s="56">
        <f>IF(VLOOKUP($C414,REV!$C:$AA,13,0)-'TRADE IN'!$F414=0,"",(VLOOKUP($C414,REV!$C:$AA,13,0)-'TRADE IN'!$F414))</f>
        <v>3699</v>
      </c>
      <c r="P414" s="56">
        <f>IF(VLOOKUP($C414,REV!$C:$AA,14,0)-'TRADE IN'!$F414=0,"",(VLOOKUP($C414,REV!$C:$AA,14,0)-'TRADE IN'!$F414))</f>
        <v>3599</v>
      </c>
      <c r="Q414" s="56">
        <f>IF(VLOOKUP($C414,REV!$C:$AA,15,0)-'TRADE IN'!$F414=0,"",(VLOOKUP($C414,REV!$C:$AA,15,0)-'TRADE IN'!$F414))</f>
        <v>2599</v>
      </c>
      <c r="R414" s="56">
        <f>IF(VLOOKUP($C414,REV!$C:$AA,16,0)-'TRADE IN'!$F414=0,"",(VLOOKUP($C414,REV!$C:$AA,16,0)-'TRADE IN'!$F414))</f>
        <v>3699</v>
      </c>
      <c r="S414" s="56">
        <f>IF(VLOOKUP($C414,REV!$C:$AA,17,0)-'TRADE IN'!$F414=0,"",(VLOOKUP($C414,REV!$C:$AA,17,0)-'TRADE IN'!$F414))</f>
        <v>3599</v>
      </c>
      <c r="T414" s="56">
        <f>IF(VLOOKUP($C414,REV!$C:$AA,18,0)-'TRADE IN'!$F414=0,"",(VLOOKUP($C414,REV!$C:$AA,18,0)-'TRADE IN'!$F414))</f>
        <v>2599</v>
      </c>
      <c r="U414" s="56">
        <f>IF(VLOOKUP($C414,REV!$C:$AA,19,0)-'TRADE IN'!$F414=0,"",(VLOOKUP($C414,REV!$C:$AA,19,0)-'TRADE IN'!$F414))</f>
        <v>2599</v>
      </c>
      <c r="V414" s="56">
        <f>IF(VLOOKUP($C414,REV!$C:$AA,20,0)-'TRADE IN'!$F414=0,"",(VLOOKUP($C414,REV!$C:$AA,20,0)-'TRADE IN'!$F414))</f>
        <v>2599</v>
      </c>
      <c r="W414" s="56">
        <f>IF(VLOOKUP($C414,REV!$C:$AA,21,0)-'TRADE IN'!$F414=0,"",(VLOOKUP($C414,REV!$C:$AA,21,0)-'TRADE IN'!$F414))</f>
        <v>2599</v>
      </c>
      <c r="X414" s="56">
        <f>IF(VLOOKUP($C414,REV!$C:$AA,22,0)-'TRADE IN'!$F414=0,"",(VLOOKUP($C414,REV!$C:$AA,22,0)-'TRADE IN'!$F414))</f>
        <v>2499</v>
      </c>
      <c r="Y414" s="56">
        <f>IF(VLOOKUP($C414,REV!$C:$AA,23,0)-'TRADE IN'!$F414=0,"",(VLOOKUP($C414,REV!$C:$AA,23,0)-'TRADE IN'!$F414))</f>
        <v>2099</v>
      </c>
      <c r="Z414" s="56">
        <f>IF(VLOOKUP($C414,REV!$C:$AA,24,0)-'TRADE IN'!$F414=0,"",(VLOOKUP($C414,REV!$C:$AA,24,0)-'TRADE IN'!$F414))</f>
        <v>2099</v>
      </c>
      <c r="AA414" s="56">
        <f>IF(VLOOKUP($C414,REV!$C:$AA,25,0)-'TRADE IN'!$F414=0,"",(VLOOKUP($C414,REV!$C:$AA,25,0)-'TRADE IN'!$F414))</f>
        <v>1899</v>
      </c>
      <c r="AB414" s="55">
        <f>IF(VLOOKUP($C414,REV!$C:$AL,27,0)-'TRADE IN'!$F414=0,"",(VLOOKUP($C414,REV!$C:$AL,27,0)-'TRADE IN'!$F414))</f>
        <v>3799</v>
      </c>
      <c r="AC414" s="55">
        <f>IF(VLOOKUP($C414,REV!$C:$AL,28,0)-'TRADE IN'!$F414=0,"",(VLOOKUP($C414,REV!$C:$AL,28,0)-'TRADE IN'!$F414))</f>
        <v>3799</v>
      </c>
      <c r="AD414" s="55">
        <f>IF(VLOOKUP($C414,REV!$C:$AL,29,0)-'TRADE IN'!$F414=0,"",(VLOOKUP($C414,REV!$C:$AL,29,0)-'TRADE IN'!$F414))</f>
        <v>3699</v>
      </c>
      <c r="AE414" s="55">
        <f>IF(VLOOKUP($C414,REV!$C:$AL,30,0)-'TRADE IN'!$F414=0,"",(VLOOKUP($C414,REV!$C:$AL,30,0)-'TRADE IN'!$F414))</f>
        <v>3599</v>
      </c>
      <c r="AF414" s="55">
        <f>IF(VLOOKUP($C414,REV!$C:$AL,31,0)-'TRADE IN'!$F414=0,"",(VLOOKUP($C414,REV!$C:$AL,31,0)-'TRADE IN'!$F414))</f>
        <v>3599</v>
      </c>
      <c r="AG414" s="55">
        <f>IF(VLOOKUP($C414,REV!$C:$AL,31,0)-'TRADE IN'!$F414=0,"",(VLOOKUP($C414,REV!$C:$AL,31,0)-'TRADE IN'!$F414))</f>
        <v>3599</v>
      </c>
      <c r="AH414" s="55">
        <f>IF(VLOOKUP($C414,REV!$C:$AL,32,0)-'TRADE IN'!$F414=0,"",(VLOOKUP($C414,REV!$C:$AL,32,0)-'TRADE IN'!$F414))</f>
        <v>2599</v>
      </c>
      <c r="AI414" s="55">
        <f>IF(VLOOKUP($C414,REV!$C:$AL,33,0)-'TRADE IN'!$F414=0,"",(VLOOKUP($C414,REV!$C:$AL,33,0)-'TRADE IN'!$F414))</f>
        <v>2599</v>
      </c>
      <c r="AJ414" s="55">
        <f>IF(VLOOKUP($C414,REV!$C:$AL,34,0)-'TRADE IN'!$F414=0,"",(VLOOKUP($C414,REV!$C:$AL,34,0)-'TRADE IN'!$F414))</f>
        <v>2599</v>
      </c>
      <c r="AK414" s="55">
        <f>IF(VLOOKUP($C414,REV!$C:$AL,35,0)-'TRADE IN'!$F414=0,"",(VLOOKUP($C414,REV!$C:$AL,35,0)-'TRADE IN'!$F414))</f>
        <v>2599</v>
      </c>
      <c r="AL414" s="55">
        <f>IF(VLOOKUP($C414,REV!$C:$AL,36,0)-'TRADE IN'!$F414=0,"",(VLOOKUP($C414,REV!$C:$AL,36,0)-'TRADE IN'!$F414))</f>
        <v>2099</v>
      </c>
      <c r="AM414" s="55"/>
      <c r="AN414" s="55"/>
      <c r="AO414" s="55"/>
      <c r="AP414" s="55"/>
      <c r="AQ414" s="55"/>
      <c r="AR414" s="55"/>
      <c r="AS414" s="55"/>
      <c r="AT414" s="55"/>
      <c r="AU414" s="55"/>
      <c r="AV414" s="57"/>
      <c r="AW414" s="58" t="str">
        <f>REV!AW414</f>
        <v>03.11.2026</v>
      </c>
      <c r="AX414" s="147" t="str">
        <f>VLOOKUP(C414,REV!C:AX,48,0)</f>
        <v>5G</v>
      </c>
    </row>
    <row r="415" spans="1:50" ht="22.5" customHeight="1">
      <c r="A415" s="51" t="s">
        <v>63</v>
      </c>
      <c r="B415" s="52" t="s">
        <v>64</v>
      </c>
      <c r="C415" s="53">
        <v>4016895</v>
      </c>
      <c r="D415" s="65" t="s">
        <v>601</v>
      </c>
      <c r="E415" s="65" t="s">
        <v>608</v>
      </c>
      <c r="F415" s="55">
        <v>700</v>
      </c>
      <c r="G415" s="55"/>
      <c r="H415" s="55"/>
      <c r="I415" s="55"/>
      <c r="J415" s="56">
        <f>IF(VLOOKUP($C415,REV!$C:$AA,8,0)-'TRADE IN'!$F415=0,"",(VLOOKUP($C415,REV!$C:$AA,8,0)-'TRADE IN'!$F415))</f>
        <v>3799</v>
      </c>
      <c r="K415" s="56">
        <f>IF(VLOOKUP($C415,REV!$C:$AA,9,0)-'TRADE IN'!$F415=0,"",(VLOOKUP($C415,REV!$C:$AA,9,0)-'TRADE IN'!$F415))</f>
        <v>3799</v>
      </c>
      <c r="L415" s="56">
        <f>IF(VLOOKUP($C415,REV!$C:$AA,10,0)-'TRADE IN'!$F415=0,"",(VLOOKUP($C415,REV!$C:$AA,10,0)-'TRADE IN'!$F415))</f>
        <v>3799</v>
      </c>
      <c r="M415" s="56">
        <f>IF(VLOOKUP($C415,REV!$C:$AA,11,0)-'TRADE IN'!$F415=0,"",(VLOOKUP($C415,REV!$C:$AA,11,0)-'TRADE IN'!$F415))</f>
        <v>3799</v>
      </c>
      <c r="N415" s="56">
        <f>IF(VLOOKUP($C415,REV!$C:$AA,12,0)-'TRADE IN'!$F415=0,"",(VLOOKUP($C415,REV!$C:$AA,12,0)-'TRADE IN'!$F415))</f>
        <v>3799</v>
      </c>
      <c r="O415" s="56">
        <f>IF(VLOOKUP($C415,REV!$C:$AA,13,0)-'TRADE IN'!$F415=0,"",(VLOOKUP($C415,REV!$C:$AA,13,0)-'TRADE IN'!$F415))</f>
        <v>3699</v>
      </c>
      <c r="P415" s="56">
        <f>IF(VLOOKUP($C415,REV!$C:$AA,14,0)-'TRADE IN'!$F415=0,"",(VLOOKUP($C415,REV!$C:$AA,14,0)-'TRADE IN'!$F415))</f>
        <v>3599</v>
      </c>
      <c r="Q415" s="56">
        <f>IF(VLOOKUP($C415,REV!$C:$AA,15,0)-'TRADE IN'!$F415=0,"",(VLOOKUP($C415,REV!$C:$AA,15,0)-'TRADE IN'!$F415))</f>
        <v>2599</v>
      </c>
      <c r="R415" s="56">
        <f>IF(VLOOKUP($C415,REV!$C:$AA,16,0)-'TRADE IN'!$F415=0,"",(VLOOKUP($C415,REV!$C:$AA,16,0)-'TRADE IN'!$F415))</f>
        <v>3699</v>
      </c>
      <c r="S415" s="56">
        <f>IF(VLOOKUP($C415,REV!$C:$AA,17,0)-'TRADE IN'!$F415=0,"",(VLOOKUP($C415,REV!$C:$AA,17,0)-'TRADE IN'!$F415))</f>
        <v>3599</v>
      </c>
      <c r="T415" s="56">
        <f>IF(VLOOKUP($C415,REV!$C:$AA,18,0)-'TRADE IN'!$F415=0,"",(VLOOKUP($C415,REV!$C:$AA,18,0)-'TRADE IN'!$F415))</f>
        <v>2599</v>
      </c>
      <c r="U415" s="56">
        <f>IF(VLOOKUP($C415,REV!$C:$AA,19,0)-'TRADE IN'!$F415=0,"",(VLOOKUP($C415,REV!$C:$AA,19,0)-'TRADE IN'!$F415))</f>
        <v>2599</v>
      </c>
      <c r="V415" s="56">
        <f>IF(VLOOKUP($C415,REV!$C:$AA,20,0)-'TRADE IN'!$F415=0,"",(VLOOKUP($C415,REV!$C:$AA,20,0)-'TRADE IN'!$F415))</f>
        <v>2599</v>
      </c>
      <c r="W415" s="56">
        <f>IF(VLOOKUP($C415,REV!$C:$AA,21,0)-'TRADE IN'!$F415=0,"",(VLOOKUP($C415,REV!$C:$AA,21,0)-'TRADE IN'!$F415))</f>
        <v>2599</v>
      </c>
      <c r="X415" s="56">
        <f>IF(VLOOKUP($C415,REV!$C:$AA,22,0)-'TRADE IN'!$F415=0,"",(VLOOKUP($C415,REV!$C:$AA,22,0)-'TRADE IN'!$F415))</f>
        <v>2499</v>
      </c>
      <c r="Y415" s="56">
        <f>IF(VLOOKUP($C415,REV!$C:$AA,23,0)-'TRADE IN'!$F415=0,"",(VLOOKUP($C415,REV!$C:$AA,23,0)-'TRADE IN'!$F415))</f>
        <v>2099</v>
      </c>
      <c r="Z415" s="56">
        <f>IF(VLOOKUP($C415,REV!$C:$AA,24,0)-'TRADE IN'!$F415=0,"",(VLOOKUP($C415,REV!$C:$AA,24,0)-'TRADE IN'!$F415))</f>
        <v>2099</v>
      </c>
      <c r="AA415" s="56">
        <f>IF(VLOOKUP($C415,REV!$C:$AA,25,0)-'TRADE IN'!$F415=0,"",(VLOOKUP($C415,REV!$C:$AA,25,0)-'TRADE IN'!$F415))</f>
        <v>1899</v>
      </c>
      <c r="AB415" s="55">
        <f>IF(VLOOKUP($C415,REV!$C:$AL,27,0)-'TRADE IN'!$F415=0,"",(VLOOKUP($C415,REV!$C:$AL,27,0)-'TRADE IN'!$F415))</f>
        <v>3799</v>
      </c>
      <c r="AC415" s="55">
        <f>IF(VLOOKUP($C415,REV!$C:$AL,28,0)-'TRADE IN'!$F415=0,"",(VLOOKUP($C415,REV!$C:$AL,28,0)-'TRADE IN'!$F415))</f>
        <v>3799</v>
      </c>
      <c r="AD415" s="55">
        <f>IF(VLOOKUP($C415,REV!$C:$AL,29,0)-'TRADE IN'!$F415=0,"",(VLOOKUP($C415,REV!$C:$AL,29,0)-'TRADE IN'!$F415))</f>
        <v>3699</v>
      </c>
      <c r="AE415" s="55">
        <f>IF(VLOOKUP($C415,REV!$C:$AL,30,0)-'TRADE IN'!$F415=0,"",(VLOOKUP($C415,REV!$C:$AL,30,0)-'TRADE IN'!$F415))</f>
        <v>3599</v>
      </c>
      <c r="AF415" s="55">
        <f>IF(VLOOKUP($C415,REV!$C:$AL,31,0)-'TRADE IN'!$F415=0,"",(VLOOKUP($C415,REV!$C:$AL,31,0)-'TRADE IN'!$F415))</f>
        <v>3599</v>
      </c>
      <c r="AG415" s="55">
        <f>IF(VLOOKUP($C415,REV!$C:$AL,31,0)-'TRADE IN'!$F415=0,"",(VLOOKUP($C415,REV!$C:$AL,31,0)-'TRADE IN'!$F415))</f>
        <v>3599</v>
      </c>
      <c r="AH415" s="55">
        <f>IF(VLOOKUP($C415,REV!$C:$AL,32,0)-'TRADE IN'!$F415=0,"",(VLOOKUP($C415,REV!$C:$AL,32,0)-'TRADE IN'!$F415))</f>
        <v>2599</v>
      </c>
      <c r="AI415" s="55">
        <f>IF(VLOOKUP($C415,REV!$C:$AL,33,0)-'TRADE IN'!$F415=0,"",(VLOOKUP($C415,REV!$C:$AL,33,0)-'TRADE IN'!$F415))</f>
        <v>2599</v>
      </c>
      <c r="AJ415" s="55">
        <f>IF(VLOOKUP($C415,REV!$C:$AL,34,0)-'TRADE IN'!$F415=0,"",(VLOOKUP($C415,REV!$C:$AL,34,0)-'TRADE IN'!$F415))</f>
        <v>2599</v>
      </c>
      <c r="AK415" s="55">
        <f>IF(VLOOKUP($C415,REV!$C:$AL,35,0)-'TRADE IN'!$F415=0,"",(VLOOKUP($C415,REV!$C:$AL,35,0)-'TRADE IN'!$F415))</f>
        <v>2599</v>
      </c>
      <c r="AL415" s="55">
        <f>IF(VLOOKUP($C415,REV!$C:$AL,36,0)-'TRADE IN'!$F415=0,"",(VLOOKUP($C415,REV!$C:$AL,36,0)-'TRADE IN'!$F415))</f>
        <v>2099</v>
      </c>
      <c r="AM415" s="55"/>
      <c r="AN415" s="55"/>
      <c r="AO415" s="55"/>
      <c r="AP415" s="55"/>
      <c r="AQ415" s="55"/>
      <c r="AR415" s="55"/>
      <c r="AS415" s="55"/>
      <c r="AT415" s="55"/>
      <c r="AU415" s="55"/>
      <c r="AV415" s="57"/>
      <c r="AW415" s="58" t="str">
        <f>REV!AW415</f>
        <v>03.11.2026</v>
      </c>
      <c r="AX415" s="147" t="str">
        <f>VLOOKUP(C415,REV!C:AX,48,0)</f>
        <v>5G</v>
      </c>
    </row>
    <row r="416" spans="1:50" ht="22.5" customHeight="1">
      <c r="A416" s="51" t="s">
        <v>63</v>
      </c>
      <c r="B416" s="52" t="s">
        <v>64</v>
      </c>
      <c r="C416" s="53">
        <v>4016880</v>
      </c>
      <c r="D416" s="65" t="s">
        <v>601</v>
      </c>
      <c r="E416" s="65" t="s">
        <v>609</v>
      </c>
      <c r="F416" s="55">
        <v>700</v>
      </c>
      <c r="G416" s="55"/>
      <c r="H416" s="55"/>
      <c r="I416" s="55"/>
      <c r="J416" s="56">
        <f>IF(VLOOKUP($C416,REV!$C:$AA,8,0)-'TRADE IN'!$F416=0,"",(VLOOKUP($C416,REV!$C:$AA,8,0)-'TRADE IN'!$F416))</f>
        <v>3799</v>
      </c>
      <c r="K416" s="56">
        <f>IF(VLOOKUP($C416,REV!$C:$AA,9,0)-'TRADE IN'!$F416=0,"",(VLOOKUP($C416,REV!$C:$AA,9,0)-'TRADE IN'!$F416))</f>
        <v>3799</v>
      </c>
      <c r="L416" s="56">
        <f>IF(VLOOKUP($C416,REV!$C:$AA,10,0)-'TRADE IN'!$F416=0,"",(VLOOKUP($C416,REV!$C:$AA,10,0)-'TRADE IN'!$F416))</f>
        <v>3799</v>
      </c>
      <c r="M416" s="56">
        <f>IF(VLOOKUP($C416,REV!$C:$AA,11,0)-'TRADE IN'!$F416=0,"",(VLOOKUP($C416,REV!$C:$AA,11,0)-'TRADE IN'!$F416))</f>
        <v>3799</v>
      </c>
      <c r="N416" s="56">
        <f>IF(VLOOKUP($C416,REV!$C:$AA,12,0)-'TRADE IN'!$F416=0,"",(VLOOKUP($C416,REV!$C:$AA,12,0)-'TRADE IN'!$F416))</f>
        <v>3799</v>
      </c>
      <c r="O416" s="56">
        <f>IF(VLOOKUP($C416,REV!$C:$AA,13,0)-'TRADE IN'!$F416=0,"",(VLOOKUP($C416,REV!$C:$AA,13,0)-'TRADE IN'!$F416))</f>
        <v>3699</v>
      </c>
      <c r="P416" s="56">
        <f>IF(VLOOKUP($C416,REV!$C:$AA,14,0)-'TRADE IN'!$F416=0,"",(VLOOKUP($C416,REV!$C:$AA,14,0)-'TRADE IN'!$F416))</f>
        <v>3599</v>
      </c>
      <c r="Q416" s="56">
        <f>IF(VLOOKUP($C416,REV!$C:$AA,15,0)-'TRADE IN'!$F416=0,"",(VLOOKUP($C416,REV!$C:$AA,15,0)-'TRADE IN'!$F416))</f>
        <v>2599</v>
      </c>
      <c r="R416" s="56">
        <f>IF(VLOOKUP($C416,REV!$C:$AA,16,0)-'TRADE IN'!$F416=0,"",(VLOOKUP($C416,REV!$C:$AA,16,0)-'TRADE IN'!$F416))</f>
        <v>3699</v>
      </c>
      <c r="S416" s="56">
        <f>IF(VLOOKUP($C416,REV!$C:$AA,17,0)-'TRADE IN'!$F416=0,"",(VLOOKUP($C416,REV!$C:$AA,17,0)-'TRADE IN'!$F416))</f>
        <v>3599</v>
      </c>
      <c r="T416" s="56">
        <f>IF(VLOOKUP($C416,REV!$C:$AA,18,0)-'TRADE IN'!$F416=0,"",(VLOOKUP($C416,REV!$C:$AA,18,0)-'TRADE IN'!$F416))</f>
        <v>2599</v>
      </c>
      <c r="U416" s="56">
        <f>IF(VLOOKUP($C416,REV!$C:$AA,19,0)-'TRADE IN'!$F416=0,"",(VLOOKUP($C416,REV!$C:$AA,19,0)-'TRADE IN'!$F416))</f>
        <v>2599</v>
      </c>
      <c r="V416" s="56">
        <f>IF(VLOOKUP($C416,REV!$C:$AA,20,0)-'TRADE IN'!$F416=0,"",(VLOOKUP($C416,REV!$C:$AA,20,0)-'TRADE IN'!$F416))</f>
        <v>2599</v>
      </c>
      <c r="W416" s="56">
        <f>IF(VLOOKUP($C416,REV!$C:$AA,21,0)-'TRADE IN'!$F416=0,"",(VLOOKUP($C416,REV!$C:$AA,21,0)-'TRADE IN'!$F416))</f>
        <v>2599</v>
      </c>
      <c r="X416" s="56">
        <f>IF(VLOOKUP($C416,REV!$C:$AA,22,0)-'TRADE IN'!$F416=0,"",(VLOOKUP($C416,REV!$C:$AA,22,0)-'TRADE IN'!$F416))</f>
        <v>2499</v>
      </c>
      <c r="Y416" s="56">
        <f>IF(VLOOKUP($C416,REV!$C:$AA,23,0)-'TRADE IN'!$F416=0,"",(VLOOKUP($C416,REV!$C:$AA,23,0)-'TRADE IN'!$F416))</f>
        <v>2099</v>
      </c>
      <c r="Z416" s="56">
        <f>IF(VLOOKUP($C416,REV!$C:$AA,24,0)-'TRADE IN'!$F416=0,"",(VLOOKUP($C416,REV!$C:$AA,24,0)-'TRADE IN'!$F416))</f>
        <v>2099</v>
      </c>
      <c r="AA416" s="56">
        <f>IF(VLOOKUP($C416,REV!$C:$AA,25,0)-'TRADE IN'!$F416=0,"",(VLOOKUP($C416,REV!$C:$AA,25,0)-'TRADE IN'!$F416))</f>
        <v>1899</v>
      </c>
      <c r="AB416" s="55">
        <f>IF(VLOOKUP($C416,REV!$C:$AL,27,0)-'TRADE IN'!$F416=0,"",(VLOOKUP($C416,REV!$C:$AL,27,0)-'TRADE IN'!$F416))</f>
        <v>3799</v>
      </c>
      <c r="AC416" s="55">
        <f>IF(VLOOKUP($C416,REV!$C:$AL,28,0)-'TRADE IN'!$F416=0,"",(VLOOKUP($C416,REV!$C:$AL,28,0)-'TRADE IN'!$F416))</f>
        <v>3799</v>
      </c>
      <c r="AD416" s="55">
        <f>IF(VLOOKUP($C416,REV!$C:$AL,29,0)-'TRADE IN'!$F416=0,"",(VLOOKUP($C416,REV!$C:$AL,29,0)-'TRADE IN'!$F416))</f>
        <v>3699</v>
      </c>
      <c r="AE416" s="55">
        <f>IF(VLOOKUP($C416,REV!$C:$AL,30,0)-'TRADE IN'!$F416=0,"",(VLOOKUP($C416,REV!$C:$AL,30,0)-'TRADE IN'!$F416))</f>
        <v>3599</v>
      </c>
      <c r="AF416" s="55">
        <f>IF(VLOOKUP($C416,REV!$C:$AL,31,0)-'TRADE IN'!$F416=0,"",(VLOOKUP($C416,REV!$C:$AL,31,0)-'TRADE IN'!$F416))</f>
        <v>3599</v>
      </c>
      <c r="AG416" s="55">
        <f>IF(VLOOKUP($C416,REV!$C:$AL,31,0)-'TRADE IN'!$F416=0,"",(VLOOKUP($C416,REV!$C:$AL,31,0)-'TRADE IN'!$F416))</f>
        <v>3599</v>
      </c>
      <c r="AH416" s="55">
        <f>IF(VLOOKUP($C416,REV!$C:$AL,32,0)-'TRADE IN'!$F416=0,"",(VLOOKUP($C416,REV!$C:$AL,32,0)-'TRADE IN'!$F416))</f>
        <v>2599</v>
      </c>
      <c r="AI416" s="55">
        <f>IF(VLOOKUP($C416,REV!$C:$AL,33,0)-'TRADE IN'!$F416=0,"",(VLOOKUP($C416,REV!$C:$AL,33,0)-'TRADE IN'!$F416))</f>
        <v>2599</v>
      </c>
      <c r="AJ416" s="55">
        <f>IF(VLOOKUP($C416,REV!$C:$AL,34,0)-'TRADE IN'!$F416=0,"",(VLOOKUP($C416,REV!$C:$AL,34,0)-'TRADE IN'!$F416))</f>
        <v>2599</v>
      </c>
      <c r="AK416" s="55">
        <f>IF(VLOOKUP($C416,REV!$C:$AL,35,0)-'TRADE IN'!$F416=0,"",(VLOOKUP($C416,REV!$C:$AL,35,0)-'TRADE IN'!$F416))</f>
        <v>2599</v>
      </c>
      <c r="AL416" s="55">
        <f>IF(VLOOKUP($C416,REV!$C:$AL,36,0)-'TRADE IN'!$F416=0,"",(VLOOKUP($C416,REV!$C:$AL,36,0)-'TRADE IN'!$F416))</f>
        <v>2099</v>
      </c>
      <c r="AM416" s="55"/>
      <c r="AN416" s="55"/>
      <c r="AO416" s="55"/>
      <c r="AP416" s="55"/>
      <c r="AQ416" s="55"/>
      <c r="AR416" s="55"/>
      <c r="AS416" s="55"/>
      <c r="AT416" s="55"/>
      <c r="AU416" s="55"/>
      <c r="AV416" s="57"/>
      <c r="AW416" s="58" t="str">
        <f>REV!AW416</f>
        <v>03.11.2026</v>
      </c>
      <c r="AX416" s="147" t="str">
        <f>VLOOKUP(C416,REV!C:AX,48,0)</f>
        <v>5G</v>
      </c>
    </row>
    <row r="417" spans="1:50" ht="22.5" customHeight="1">
      <c r="A417" s="51" t="s">
        <v>63</v>
      </c>
      <c r="B417" s="52" t="s">
        <v>64</v>
      </c>
      <c r="C417" s="53">
        <v>4016871</v>
      </c>
      <c r="D417" s="65" t="s">
        <v>610</v>
      </c>
      <c r="E417" s="65" t="s">
        <v>611</v>
      </c>
      <c r="F417" s="55">
        <v>500</v>
      </c>
      <c r="G417" s="55"/>
      <c r="H417" s="55"/>
      <c r="I417" s="55"/>
      <c r="J417" s="56">
        <f>IF(VLOOKUP($C417,REV!$C:$AA,8,0)-'TRADE IN'!$F417=0,"",(VLOOKUP($C417,REV!$C:$AA,8,0)-'TRADE IN'!$F417))</f>
        <v>5099</v>
      </c>
      <c r="K417" s="56">
        <f>IF(VLOOKUP($C417,REV!$C:$AA,9,0)-'TRADE IN'!$F417=0,"",(VLOOKUP($C417,REV!$C:$AA,9,0)-'TRADE IN'!$F417))</f>
        <v>5099</v>
      </c>
      <c r="L417" s="56">
        <f>IF(VLOOKUP($C417,REV!$C:$AA,10,0)-'TRADE IN'!$F417=0,"",(VLOOKUP($C417,REV!$C:$AA,10,0)-'TRADE IN'!$F417))</f>
        <v>5099</v>
      </c>
      <c r="M417" s="56">
        <f>IF(VLOOKUP($C417,REV!$C:$AA,11,0)-'TRADE IN'!$F417=0,"",(VLOOKUP($C417,REV!$C:$AA,11,0)-'TRADE IN'!$F417))</f>
        <v>5099</v>
      </c>
      <c r="N417" s="56">
        <f>IF(VLOOKUP($C417,REV!$C:$AA,12,0)-'TRADE IN'!$F417=0,"",(VLOOKUP($C417,REV!$C:$AA,12,0)-'TRADE IN'!$F417))</f>
        <v>5099</v>
      </c>
      <c r="O417" s="56">
        <f>IF(VLOOKUP($C417,REV!$C:$AA,13,0)-'TRADE IN'!$F417=0,"",(VLOOKUP($C417,REV!$C:$AA,13,0)-'TRADE IN'!$F417))</f>
        <v>4999</v>
      </c>
      <c r="P417" s="56">
        <f>IF(VLOOKUP($C417,REV!$C:$AA,14,0)-'TRADE IN'!$F417=0,"",(VLOOKUP($C417,REV!$C:$AA,14,0)-'TRADE IN'!$F417))</f>
        <v>4899</v>
      </c>
      <c r="Q417" s="56">
        <f>IF(VLOOKUP($C417,REV!$C:$AA,15,0)-'TRADE IN'!$F417=0,"",(VLOOKUP($C417,REV!$C:$AA,15,0)-'TRADE IN'!$F417))</f>
        <v>4299</v>
      </c>
      <c r="R417" s="56">
        <f>IF(VLOOKUP($C417,REV!$C:$AA,16,0)-'TRADE IN'!$F417=0,"",(VLOOKUP($C417,REV!$C:$AA,16,0)-'TRADE IN'!$F417))</f>
        <v>4999</v>
      </c>
      <c r="S417" s="56">
        <f>IF(VLOOKUP($C417,REV!$C:$AA,17,0)-'TRADE IN'!$F417=0,"",(VLOOKUP($C417,REV!$C:$AA,17,0)-'TRADE IN'!$F417))</f>
        <v>4899</v>
      </c>
      <c r="T417" s="56">
        <f>IF(VLOOKUP($C417,REV!$C:$AA,18,0)-'TRADE IN'!$F417=0,"",(VLOOKUP($C417,REV!$C:$AA,18,0)-'TRADE IN'!$F417))</f>
        <v>4299</v>
      </c>
      <c r="U417" s="56">
        <f>IF(VLOOKUP($C417,REV!$C:$AA,19,0)-'TRADE IN'!$F417=0,"",(VLOOKUP($C417,REV!$C:$AA,19,0)-'TRADE IN'!$F417))</f>
        <v>4299</v>
      </c>
      <c r="V417" s="56">
        <f>IF(VLOOKUP($C417,REV!$C:$AA,20,0)-'TRADE IN'!$F417=0,"",(VLOOKUP($C417,REV!$C:$AA,20,0)-'TRADE IN'!$F417))</f>
        <v>4299</v>
      </c>
      <c r="W417" s="56">
        <f>IF(VLOOKUP($C417,REV!$C:$AA,21,0)-'TRADE IN'!$F417=0,"",(VLOOKUP($C417,REV!$C:$AA,21,0)-'TRADE IN'!$F417))</f>
        <v>4299</v>
      </c>
      <c r="X417" s="56">
        <f>IF(VLOOKUP($C417,REV!$C:$AA,22,0)-'TRADE IN'!$F417=0,"",(VLOOKUP($C417,REV!$C:$AA,22,0)-'TRADE IN'!$F417))</f>
        <v>4199</v>
      </c>
      <c r="Y417" s="56">
        <f>IF(VLOOKUP($C417,REV!$C:$AA,23,0)-'TRADE IN'!$F417=0,"",(VLOOKUP($C417,REV!$C:$AA,23,0)-'TRADE IN'!$F417))</f>
        <v>3499</v>
      </c>
      <c r="Z417" s="56">
        <f>IF(VLOOKUP($C417,REV!$C:$AA,24,0)-'TRADE IN'!$F417=0,"",(VLOOKUP($C417,REV!$C:$AA,24,0)-'TRADE IN'!$F417))</f>
        <v>3499</v>
      </c>
      <c r="AA417" s="56">
        <f>IF(VLOOKUP($C417,REV!$C:$AA,25,0)-'TRADE IN'!$F417=0,"",(VLOOKUP($C417,REV!$C:$AA,25,0)-'TRADE IN'!$F417))</f>
        <v>3299</v>
      </c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7"/>
      <c r="AW417" s="58" t="str">
        <f>REV!AW417</f>
        <v>03.11.2026</v>
      </c>
      <c r="AX417" s="147" t="str">
        <f>VLOOKUP(C417,REV!C:AX,48,0)</f>
        <v>5G</v>
      </c>
    </row>
    <row r="418" spans="1:50" ht="22.5" customHeight="1">
      <c r="A418" s="51" t="s">
        <v>63</v>
      </c>
      <c r="B418" s="52" t="s">
        <v>64</v>
      </c>
      <c r="C418" s="53">
        <v>4016851</v>
      </c>
      <c r="D418" s="65" t="s">
        <v>610</v>
      </c>
      <c r="E418" s="65" t="s">
        <v>612</v>
      </c>
      <c r="F418" s="55">
        <v>500</v>
      </c>
      <c r="G418" s="55"/>
      <c r="H418" s="55"/>
      <c r="I418" s="55"/>
      <c r="J418" s="56">
        <f>IF(VLOOKUP($C418,REV!$C:$AA,8,0)-'TRADE IN'!$F418=0,"",(VLOOKUP($C418,REV!$C:$AA,8,0)-'TRADE IN'!$F418))</f>
        <v>5099</v>
      </c>
      <c r="K418" s="56">
        <f>IF(VLOOKUP($C418,REV!$C:$AA,9,0)-'TRADE IN'!$F418=0,"",(VLOOKUP($C418,REV!$C:$AA,9,0)-'TRADE IN'!$F418))</f>
        <v>5099</v>
      </c>
      <c r="L418" s="56">
        <f>IF(VLOOKUP($C418,REV!$C:$AA,10,0)-'TRADE IN'!$F418=0,"",(VLOOKUP($C418,REV!$C:$AA,10,0)-'TRADE IN'!$F418))</f>
        <v>5099</v>
      </c>
      <c r="M418" s="56">
        <f>IF(VLOOKUP($C418,REV!$C:$AA,11,0)-'TRADE IN'!$F418=0,"",(VLOOKUP($C418,REV!$C:$AA,11,0)-'TRADE IN'!$F418))</f>
        <v>5099</v>
      </c>
      <c r="N418" s="56">
        <f>IF(VLOOKUP($C418,REV!$C:$AA,12,0)-'TRADE IN'!$F418=0,"",(VLOOKUP($C418,REV!$C:$AA,12,0)-'TRADE IN'!$F418))</f>
        <v>5099</v>
      </c>
      <c r="O418" s="56">
        <f>IF(VLOOKUP($C418,REV!$C:$AA,13,0)-'TRADE IN'!$F418=0,"",(VLOOKUP($C418,REV!$C:$AA,13,0)-'TRADE IN'!$F418))</f>
        <v>4999</v>
      </c>
      <c r="P418" s="56">
        <f>IF(VLOOKUP($C418,REV!$C:$AA,14,0)-'TRADE IN'!$F418=0,"",(VLOOKUP($C418,REV!$C:$AA,14,0)-'TRADE IN'!$F418))</f>
        <v>4899</v>
      </c>
      <c r="Q418" s="56">
        <f>IF(VLOOKUP($C418,REV!$C:$AA,15,0)-'TRADE IN'!$F418=0,"",(VLOOKUP($C418,REV!$C:$AA,15,0)-'TRADE IN'!$F418))</f>
        <v>4299</v>
      </c>
      <c r="R418" s="56">
        <f>IF(VLOOKUP($C418,REV!$C:$AA,16,0)-'TRADE IN'!$F418=0,"",(VLOOKUP($C418,REV!$C:$AA,16,0)-'TRADE IN'!$F418))</f>
        <v>4999</v>
      </c>
      <c r="S418" s="56">
        <f>IF(VLOOKUP($C418,REV!$C:$AA,17,0)-'TRADE IN'!$F418=0,"",(VLOOKUP($C418,REV!$C:$AA,17,0)-'TRADE IN'!$F418))</f>
        <v>4899</v>
      </c>
      <c r="T418" s="56">
        <f>IF(VLOOKUP($C418,REV!$C:$AA,18,0)-'TRADE IN'!$F418=0,"",(VLOOKUP($C418,REV!$C:$AA,18,0)-'TRADE IN'!$F418))</f>
        <v>4299</v>
      </c>
      <c r="U418" s="56">
        <f>IF(VLOOKUP($C418,REV!$C:$AA,19,0)-'TRADE IN'!$F418=0,"",(VLOOKUP($C418,REV!$C:$AA,19,0)-'TRADE IN'!$F418))</f>
        <v>4299</v>
      </c>
      <c r="V418" s="56">
        <f>IF(VLOOKUP($C418,REV!$C:$AA,20,0)-'TRADE IN'!$F418=0,"",(VLOOKUP($C418,REV!$C:$AA,20,0)-'TRADE IN'!$F418))</f>
        <v>4299</v>
      </c>
      <c r="W418" s="56">
        <f>IF(VLOOKUP($C418,REV!$C:$AA,21,0)-'TRADE IN'!$F418=0,"",(VLOOKUP($C418,REV!$C:$AA,21,0)-'TRADE IN'!$F418))</f>
        <v>4299</v>
      </c>
      <c r="X418" s="56">
        <f>IF(VLOOKUP($C418,REV!$C:$AA,22,0)-'TRADE IN'!$F418=0,"",(VLOOKUP($C418,REV!$C:$AA,22,0)-'TRADE IN'!$F418))</f>
        <v>4199</v>
      </c>
      <c r="Y418" s="56">
        <f>IF(VLOOKUP($C418,REV!$C:$AA,23,0)-'TRADE IN'!$F418=0,"",(VLOOKUP($C418,REV!$C:$AA,23,0)-'TRADE IN'!$F418))</f>
        <v>3499</v>
      </c>
      <c r="Z418" s="56">
        <f>IF(VLOOKUP($C418,REV!$C:$AA,24,0)-'TRADE IN'!$F418=0,"",(VLOOKUP($C418,REV!$C:$AA,24,0)-'TRADE IN'!$F418))</f>
        <v>3499</v>
      </c>
      <c r="AA418" s="56">
        <f>IF(VLOOKUP($C418,REV!$C:$AA,25,0)-'TRADE IN'!$F418=0,"",(VLOOKUP($C418,REV!$C:$AA,25,0)-'TRADE IN'!$F418))</f>
        <v>3299</v>
      </c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7"/>
      <c r="AW418" s="58" t="str">
        <f>REV!AW418</f>
        <v>03.11.2026</v>
      </c>
      <c r="AX418" s="147" t="str">
        <f>VLOOKUP(C418,REV!C:AX,48,0)</f>
        <v>5G</v>
      </c>
    </row>
    <row r="419" spans="1:50" ht="22.5" customHeight="1">
      <c r="A419" s="51" t="s">
        <v>63</v>
      </c>
      <c r="B419" s="52" t="s">
        <v>64</v>
      </c>
      <c r="C419" s="53">
        <v>4016864</v>
      </c>
      <c r="D419" s="65" t="s">
        <v>610</v>
      </c>
      <c r="E419" s="65" t="s">
        <v>613</v>
      </c>
      <c r="F419" s="55">
        <v>500</v>
      </c>
      <c r="G419" s="55"/>
      <c r="H419" s="55"/>
      <c r="I419" s="55"/>
      <c r="J419" s="56">
        <f>IF(VLOOKUP($C419,REV!$C:$AA,8,0)-'TRADE IN'!$F419=0,"",(VLOOKUP($C419,REV!$C:$AA,8,0)-'TRADE IN'!$F419))</f>
        <v>5099</v>
      </c>
      <c r="K419" s="56">
        <f>IF(VLOOKUP($C419,REV!$C:$AA,9,0)-'TRADE IN'!$F419=0,"",(VLOOKUP($C419,REV!$C:$AA,9,0)-'TRADE IN'!$F419))</f>
        <v>5099</v>
      </c>
      <c r="L419" s="56">
        <f>IF(VLOOKUP($C419,REV!$C:$AA,10,0)-'TRADE IN'!$F419=0,"",(VLOOKUP($C419,REV!$C:$AA,10,0)-'TRADE IN'!$F419))</f>
        <v>5099</v>
      </c>
      <c r="M419" s="56">
        <f>IF(VLOOKUP($C419,REV!$C:$AA,11,0)-'TRADE IN'!$F419=0,"",(VLOOKUP($C419,REV!$C:$AA,11,0)-'TRADE IN'!$F419))</f>
        <v>5099</v>
      </c>
      <c r="N419" s="56">
        <f>IF(VLOOKUP($C419,REV!$C:$AA,12,0)-'TRADE IN'!$F419=0,"",(VLOOKUP($C419,REV!$C:$AA,12,0)-'TRADE IN'!$F419))</f>
        <v>5099</v>
      </c>
      <c r="O419" s="56">
        <f>IF(VLOOKUP($C419,REV!$C:$AA,13,0)-'TRADE IN'!$F419=0,"",(VLOOKUP($C419,REV!$C:$AA,13,0)-'TRADE IN'!$F419))</f>
        <v>4999</v>
      </c>
      <c r="P419" s="56">
        <f>IF(VLOOKUP($C419,REV!$C:$AA,14,0)-'TRADE IN'!$F419=0,"",(VLOOKUP($C419,REV!$C:$AA,14,0)-'TRADE IN'!$F419))</f>
        <v>4899</v>
      </c>
      <c r="Q419" s="56">
        <f>IF(VLOOKUP($C419,REV!$C:$AA,15,0)-'TRADE IN'!$F419=0,"",(VLOOKUP($C419,REV!$C:$AA,15,0)-'TRADE IN'!$F419))</f>
        <v>4299</v>
      </c>
      <c r="R419" s="56">
        <f>IF(VLOOKUP($C419,REV!$C:$AA,16,0)-'TRADE IN'!$F419=0,"",(VLOOKUP($C419,REV!$C:$AA,16,0)-'TRADE IN'!$F419))</f>
        <v>4999</v>
      </c>
      <c r="S419" s="56">
        <f>IF(VLOOKUP($C419,REV!$C:$AA,17,0)-'TRADE IN'!$F419=0,"",(VLOOKUP($C419,REV!$C:$AA,17,0)-'TRADE IN'!$F419))</f>
        <v>4899</v>
      </c>
      <c r="T419" s="56">
        <f>IF(VLOOKUP($C419,REV!$C:$AA,18,0)-'TRADE IN'!$F419=0,"",(VLOOKUP($C419,REV!$C:$AA,18,0)-'TRADE IN'!$F419))</f>
        <v>4299</v>
      </c>
      <c r="U419" s="56">
        <f>IF(VLOOKUP($C419,REV!$C:$AA,19,0)-'TRADE IN'!$F419=0,"",(VLOOKUP($C419,REV!$C:$AA,19,0)-'TRADE IN'!$F419))</f>
        <v>4299</v>
      </c>
      <c r="V419" s="56">
        <f>IF(VLOOKUP($C419,REV!$C:$AA,20,0)-'TRADE IN'!$F419=0,"",(VLOOKUP($C419,REV!$C:$AA,20,0)-'TRADE IN'!$F419))</f>
        <v>4299</v>
      </c>
      <c r="W419" s="56">
        <f>IF(VLOOKUP($C419,REV!$C:$AA,21,0)-'TRADE IN'!$F419=0,"",(VLOOKUP($C419,REV!$C:$AA,21,0)-'TRADE IN'!$F419))</f>
        <v>4299</v>
      </c>
      <c r="X419" s="56">
        <f>IF(VLOOKUP($C419,REV!$C:$AA,22,0)-'TRADE IN'!$F419=0,"",(VLOOKUP($C419,REV!$C:$AA,22,0)-'TRADE IN'!$F419))</f>
        <v>4199</v>
      </c>
      <c r="Y419" s="56">
        <f>IF(VLOOKUP($C419,REV!$C:$AA,23,0)-'TRADE IN'!$F419=0,"",(VLOOKUP($C419,REV!$C:$AA,23,0)-'TRADE IN'!$F419))</f>
        <v>3499</v>
      </c>
      <c r="Z419" s="56">
        <f>IF(VLOOKUP($C419,REV!$C:$AA,24,0)-'TRADE IN'!$F419=0,"",(VLOOKUP($C419,REV!$C:$AA,24,0)-'TRADE IN'!$F419))</f>
        <v>3499</v>
      </c>
      <c r="AA419" s="56">
        <f>IF(VLOOKUP($C419,REV!$C:$AA,25,0)-'TRADE IN'!$F419=0,"",(VLOOKUP($C419,REV!$C:$AA,25,0)-'TRADE IN'!$F419))</f>
        <v>3299</v>
      </c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  <c r="AS419" s="55"/>
      <c r="AT419" s="55"/>
      <c r="AU419" s="55"/>
      <c r="AV419" s="57"/>
      <c r="AW419" s="58" t="str">
        <f>REV!AW419</f>
        <v>03.11.2026</v>
      </c>
      <c r="AX419" s="147" t="str">
        <f>VLOOKUP(C419,REV!C:AX,48,0)</f>
        <v>5G</v>
      </c>
    </row>
    <row r="420" spans="1:50" ht="22.5" customHeight="1">
      <c r="A420" s="51" t="s">
        <v>63</v>
      </c>
      <c r="B420" s="52" t="s">
        <v>64</v>
      </c>
      <c r="C420" s="53">
        <v>4016900</v>
      </c>
      <c r="D420" s="65" t="s">
        <v>610</v>
      </c>
      <c r="E420" s="65" t="s">
        <v>614</v>
      </c>
      <c r="F420" s="55">
        <v>500</v>
      </c>
      <c r="G420" s="55"/>
      <c r="H420" s="55"/>
      <c r="I420" s="55"/>
      <c r="J420" s="56">
        <f>IF(VLOOKUP($C420,REV!$C:$AA,8,0)-'TRADE IN'!$F420=0,"",(VLOOKUP($C420,REV!$C:$AA,8,0)-'TRADE IN'!$F420))</f>
        <v>5099</v>
      </c>
      <c r="K420" s="56">
        <f>IF(VLOOKUP($C420,REV!$C:$AA,9,0)-'TRADE IN'!$F420=0,"",(VLOOKUP($C420,REV!$C:$AA,9,0)-'TRADE IN'!$F420))</f>
        <v>5099</v>
      </c>
      <c r="L420" s="56">
        <f>IF(VLOOKUP($C420,REV!$C:$AA,10,0)-'TRADE IN'!$F420=0,"",(VLOOKUP($C420,REV!$C:$AA,10,0)-'TRADE IN'!$F420))</f>
        <v>5099</v>
      </c>
      <c r="M420" s="56">
        <f>IF(VLOOKUP($C420,REV!$C:$AA,11,0)-'TRADE IN'!$F420=0,"",(VLOOKUP($C420,REV!$C:$AA,11,0)-'TRADE IN'!$F420))</f>
        <v>5099</v>
      </c>
      <c r="N420" s="56">
        <f>IF(VLOOKUP($C420,REV!$C:$AA,12,0)-'TRADE IN'!$F420=0,"",(VLOOKUP($C420,REV!$C:$AA,12,0)-'TRADE IN'!$F420))</f>
        <v>5099</v>
      </c>
      <c r="O420" s="56">
        <f>IF(VLOOKUP($C420,REV!$C:$AA,13,0)-'TRADE IN'!$F420=0,"",(VLOOKUP($C420,REV!$C:$AA,13,0)-'TRADE IN'!$F420))</f>
        <v>4999</v>
      </c>
      <c r="P420" s="56">
        <f>IF(VLOOKUP($C420,REV!$C:$AA,14,0)-'TRADE IN'!$F420=0,"",(VLOOKUP($C420,REV!$C:$AA,14,0)-'TRADE IN'!$F420))</f>
        <v>4899</v>
      </c>
      <c r="Q420" s="56">
        <f>IF(VLOOKUP($C420,REV!$C:$AA,15,0)-'TRADE IN'!$F420=0,"",(VLOOKUP($C420,REV!$C:$AA,15,0)-'TRADE IN'!$F420))</f>
        <v>4299</v>
      </c>
      <c r="R420" s="56">
        <f>IF(VLOOKUP($C420,REV!$C:$AA,16,0)-'TRADE IN'!$F420=0,"",(VLOOKUP($C420,REV!$C:$AA,16,0)-'TRADE IN'!$F420))</f>
        <v>4999</v>
      </c>
      <c r="S420" s="56">
        <f>IF(VLOOKUP($C420,REV!$C:$AA,17,0)-'TRADE IN'!$F420=0,"",(VLOOKUP($C420,REV!$C:$AA,17,0)-'TRADE IN'!$F420))</f>
        <v>4899</v>
      </c>
      <c r="T420" s="56">
        <f>IF(VLOOKUP($C420,REV!$C:$AA,18,0)-'TRADE IN'!$F420=0,"",(VLOOKUP($C420,REV!$C:$AA,18,0)-'TRADE IN'!$F420))</f>
        <v>4299</v>
      </c>
      <c r="U420" s="56">
        <f>IF(VLOOKUP($C420,REV!$C:$AA,19,0)-'TRADE IN'!$F420=0,"",(VLOOKUP($C420,REV!$C:$AA,19,0)-'TRADE IN'!$F420))</f>
        <v>4299</v>
      </c>
      <c r="V420" s="56">
        <f>IF(VLOOKUP($C420,REV!$C:$AA,20,0)-'TRADE IN'!$F420=0,"",(VLOOKUP($C420,REV!$C:$AA,20,0)-'TRADE IN'!$F420))</f>
        <v>4299</v>
      </c>
      <c r="W420" s="56">
        <f>IF(VLOOKUP($C420,REV!$C:$AA,21,0)-'TRADE IN'!$F420=0,"",(VLOOKUP($C420,REV!$C:$AA,21,0)-'TRADE IN'!$F420))</f>
        <v>4299</v>
      </c>
      <c r="X420" s="56">
        <f>IF(VLOOKUP($C420,REV!$C:$AA,22,0)-'TRADE IN'!$F420=0,"",(VLOOKUP($C420,REV!$C:$AA,22,0)-'TRADE IN'!$F420))</f>
        <v>4199</v>
      </c>
      <c r="Y420" s="56">
        <f>IF(VLOOKUP($C420,REV!$C:$AA,23,0)-'TRADE IN'!$F420=0,"",(VLOOKUP($C420,REV!$C:$AA,23,0)-'TRADE IN'!$F420))</f>
        <v>3499</v>
      </c>
      <c r="Z420" s="56">
        <f>IF(VLOOKUP($C420,REV!$C:$AA,24,0)-'TRADE IN'!$F420=0,"",(VLOOKUP($C420,REV!$C:$AA,24,0)-'TRADE IN'!$F420))</f>
        <v>3499</v>
      </c>
      <c r="AA420" s="56">
        <f>IF(VLOOKUP($C420,REV!$C:$AA,25,0)-'TRADE IN'!$F420=0,"",(VLOOKUP($C420,REV!$C:$AA,25,0)-'TRADE IN'!$F420))</f>
        <v>3299</v>
      </c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  <c r="AS420" s="55"/>
      <c r="AT420" s="55"/>
      <c r="AU420" s="55"/>
      <c r="AV420" s="57"/>
      <c r="AW420" s="58" t="str">
        <f>REV!AW420</f>
        <v>03.11.2026</v>
      </c>
      <c r="AX420" s="147" t="str">
        <f>VLOOKUP(C420,REV!C:AX,48,0)</f>
        <v>5G</v>
      </c>
    </row>
    <row r="421" spans="1:50" ht="22.5" customHeight="1">
      <c r="A421" s="51" t="s">
        <v>63</v>
      </c>
      <c r="B421" s="52" t="s">
        <v>64</v>
      </c>
      <c r="C421" s="53">
        <v>4016893</v>
      </c>
      <c r="D421" s="65" t="s">
        <v>610</v>
      </c>
      <c r="E421" s="65" t="s">
        <v>615</v>
      </c>
      <c r="F421" s="55">
        <v>500</v>
      </c>
      <c r="G421" s="55"/>
      <c r="H421" s="55"/>
      <c r="I421" s="55"/>
      <c r="J421" s="56">
        <f>IF(VLOOKUP($C421,REV!$C:$AA,8,0)-'TRADE IN'!$F421=0,"",(VLOOKUP($C421,REV!$C:$AA,8,0)-'TRADE IN'!$F421))</f>
        <v>5099</v>
      </c>
      <c r="K421" s="56">
        <f>IF(VLOOKUP($C421,REV!$C:$AA,9,0)-'TRADE IN'!$F421=0,"",(VLOOKUP($C421,REV!$C:$AA,9,0)-'TRADE IN'!$F421))</f>
        <v>5099</v>
      </c>
      <c r="L421" s="56">
        <f>IF(VLOOKUP($C421,REV!$C:$AA,10,0)-'TRADE IN'!$F421=0,"",(VLOOKUP($C421,REV!$C:$AA,10,0)-'TRADE IN'!$F421))</f>
        <v>5099</v>
      </c>
      <c r="M421" s="56">
        <f>IF(VLOOKUP($C421,REV!$C:$AA,11,0)-'TRADE IN'!$F421=0,"",(VLOOKUP($C421,REV!$C:$AA,11,0)-'TRADE IN'!$F421))</f>
        <v>5099</v>
      </c>
      <c r="N421" s="56">
        <f>IF(VLOOKUP($C421,REV!$C:$AA,12,0)-'TRADE IN'!$F421=0,"",(VLOOKUP($C421,REV!$C:$AA,12,0)-'TRADE IN'!$F421))</f>
        <v>5099</v>
      </c>
      <c r="O421" s="56">
        <f>IF(VLOOKUP($C421,REV!$C:$AA,13,0)-'TRADE IN'!$F421=0,"",(VLOOKUP($C421,REV!$C:$AA,13,0)-'TRADE IN'!$F421))</f>
        <v>4999</v>
      </c>
      <c r="P421" s="56">
        <f>IF(VLOOKUP($C421,REV!$C:$AA,14,0)-'TRADE IN'!$F421=0,"",(VLOOKUP($C421,REV!$C:$AA,14,0)-'TRADE IN'!$F421))</f>
        <v>4899</v>
      </c>
      <c r="Q421" s="56">
        <f>IF(VLOOKUP($C421,REV!$C:$AA,15,0)-'TRADE IN'!$F421=0,"",(VLOOKUP($C421,REV!$C:$AA,15,0)-'TRADE IN'!$F421))</f>
        <v>4299</v>
      </c>
      <c r="R421" s="56">
        <f>IF(VLOOKUP($C421,REV!$C:$AA,16,0)-'TRADE IN'!$F421=0,"",(VLOOKUP($C421,REV!$C:$AA,16,0)-'TRADE IN'!$F421))</f>
        <v>4999</v>
      </c>
      <c r="S421" s="56">
        <f>IF(VLOOKUP($C421,REV!$C:$AA,17,0)-'TRADE IN'!$F421=0,"",(VLOOKUP($C421,REV!$C:$AA,17,0)-'TRADE IN'!$F421))</f>
        <v>4899</v>
      </c>
      <c r="T421" s="56">
        <f>IF(VLOOKUP($C421,REV!$C:$AA,18,0)-'TRADE IN'!$F421=0,"",(VLOOKUP($C421,REV!$C:$AA,18,0)-'TRADE IN'!$F421))</f>
        <v>4299</v>
      </c>
      <c r="U421" s="56">
        <f>IF(VLOOKUP($C421,REV!$C:$AA,19,0)-'TRADE IN'!$F421=0,"",(VLOOKUP($C421,REV!$C:$AA,19,0)-'TRADE IN'!$F421))</f>
        <v>4299</v>
      </c>
      <c r="V421" s="56">
        <f>IF(VLOOKUP($C421,REV!$C:$AA,20,0)-'TRADE IN'!$F421=0,"",(VLOOKUP($C421,REV!$C:$AA,20,0)-'TRADE IN'!$F421))</f>
        <v>4299</v>
      </c>
      <c r="W421" s="56">
        <f>IF(VLOOKUP($C421,REV!$C:$AA,21,0)-'TRADE IN'!$F421=0,"",(VLOOKUP($C421,REV!$C:$AA,21,0)-'TRADE IN'!$F421))</f>
        <v>4299</v>
      </c>
      <c r="X421" s="56">
        <f>IF(VLOOKUP($C421,REV!$C:$AA,22,0)-'TRADE IN'!$F421=0,"",(VLOOKUP($C421,REV!$C:$AA,22,0)-'TRADE IN'!$F421))</f>
        <v>4199</v>
      </c>
      <c r="Y421" s="56">
        <f>IF(VLOOKUP($C421,REV!$C:$AA,23,0)-'TRADE IN'!$F421=0,"",(VLOOKUP($C421,REV!$C:$AA,23,0)-'TRADE IN'!$F421))</f>
        <v>3499</v>
      </c>
      <c r="Z421" s="56">
        <f>IF(VLOOKUP($C421,REV!$C:$AA,24,0)-'TRADE IN'!$F421=0,"",(VLOOKUP($C421,REV!$C:$AA,24,0)-'TRADE IN'!$F421))</f>
        <v>3499</v>
      </c>
      <c r="AA421" s="56">
        <f>IF(VLOOKUP($C421,REV!$C:$AA,25,0)-'TRADE IN'!$F421=0,"",(VLOOKUP($C421,REV!$C:$AA,25,0)-'TRADE IN'!$F421))</f>
        <v>3299</v>
      </c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7"/>
      <c r="AW421" s="58" t="str">
        <f>REV!AW421</f>
        <v>03.11.2026</v>
      </c>
      <c r="AX421" s="147" t="str">
        <f>VLOOKUP(C421,REV!C:AX,48,0)</f>
        <v>5G</v>
      </c>
    </row>
    <row r="422" spans="1:50" ht="22.5" customHeight="1">
      <c r="A422" s="51" t="s">
        <v>63</v>
      </c>
      <c r="B422" s="52" t="s">
        <v>64</v>
      </c>
      <c r="C422" s="53">
        <v>4016879</v>
      </c>
      <c r="D422" s="65" t="s">
        <v>610</v>
      </c>
      <c r="E422" s="65" t="s">
        <v>616</v>
      </c>
      <c r="F422" s="55">
        <v>500</v>
      </c>
      <c r="G422" s="55"/>
      <c r="H422" s="55"/>
      <c r="I422" s="55"/>
      <c r="J422" s="56">
        <f>IF(VLOOKUP($C422,REV!$C:$AA,8,0)-'TRADE IN'!$F422=0,"",(VLOOKUP($C422,REV!$C:$AA,8,0)-'TRADE IN'!$F422))</f>
        <v>5099</v>
      </c>
      <c r="K422" s="56">
        <f>IF(VLOOKUP($C422,REV!$C:$AA,9,0)-'TRADE IN'!$F422=0,"",(VLOOKUP($C422,REV!$C:$AA,9,0)-'TRADE IN'!$F422))</f>
        <v>5099</v>
      </c>
      <c r="L422" s="56">
        <f>IF(VLOOKUP($C422,REV!$C:$AA,10,0)-'TRADE IN'!$F422=0,"",(VLOOKUP($C422,REV!$C:$AA,10,0)-'TRADE IN'!$F422))</f>
        <v>5099</v>
      </c>
      <c r="M422" s="56">
        <f>IF(VLOOKUP($C422,REV!$C:$AA,11,0)-'TRADE IN'!$F422=0,"",(VLOOKUP($C422,REV!$C:$AA,11,0)-'TRADE IN'!$F422))</f>
        <v>5099</v>
      </c>
      <c r="N422" s="56">
        <f>IF(VLOOKUP($C422,REV!$C:$AA,12,0)-'TRADE IN'!$F422=0,"",(VLOOKUP($C422,REV!$C:$AA,12,0)-'TRADE IN'!$F422))</f>
        <v>5099</v>
      </c>
      <c r="O422" s="56">
        <f>IF(VLOOKUP($C422,REV!$C:$AA,13,0)-'TRADE IN'!$F422=0,"",(VLOOKUP($C422,REV!$C:$AA,13,0)-'TRADE IN'!$F422))</f>
        <v>4999</v>
      </c>
      <c r="P422" s="56">
        <f>IF(VLOOKUP($C422,REV!$C:$AA,14,0)-'TRADE IN'!$F422=0,"",(VLOOKUP($C422,REV!$C:$AA,14,0)-'TRADE IN'!$F422))</f>
        <v>4899</v>
      </c>
      <c r="Q422" s="56">
        <f>IF(VLOOKUP($C422,REV!$C:$AA,15,0)-'TRADE IN'!$F422=0,"",(VLOOKUP($C422,REV!$C:$AA,15,0)-'TRADE IN'!$F422))</f>
        <v>4299</v>
      </c>
      <c r="R422" s="56">
        <f>IF(VLOOKUP($C422,REV!$C:$AA,16,0)-'TRADE IN'!$F422=0,"",(VLOOKUP($C422,REV!$C:$AA,16,0)-'TRADE IN'!$F422))</f>
        <v>4999</v>
      </c>
      <c r="S422" s="56">
        <f>IF(VLOOKUP($C422,REV!$C:$AA,17,0)-'TRADE IN'!$F422=0,"",(VLOOKUP($C422,REV!$C:$AA,17,0)-'TRADE IN'!$F422))</f>
        <v>4899</v>
      </c>
      <c r="T422" s="56">
        <f>IF(VLOOKUP($C422,REV!$C:$AA,18,0)-'TRADE IN'!$F422=0,"",(VLOOKUP($C422,REV!$C:$AA,18,0)-'TRADE IN'!$F422))</f>
        <v>4299</v>
      </c>
      <c r="U422" s="56">
        <f>IF(VLOOKUP($C422,REV!$C:$AA,19,0)-'TRADE IN'!$F422=0,"",(VLOOKUP($C422,REV!$C:$AA,19,0)-'TRADE IN'!$F422))</f>
        <v>4299</v>
      </c>
      <c r="V422" s="56">
        <f>IF(VLOOKUP($C422,REV!$C:$AA,20,0)-'TRADE IN'!$F422=0,"",(VLOOKUP($C422,REV!$C:$AA,20,0)-'TRADE IN'!$F422))</f>
        <v>4299</v>
      </c>
      <c r="W422" s="56">
        <f>IF(VLOOKUP($C422,REV!$C:$AA,21,0)-'TRADE IN'!$F422=0,"",(VLOOKUP($C422,REV!$C:$AA,21,0)-'TRADE IN'!$F422))</f>
        <v>4299</v>
      </c>
      <c r="X422" s="56">
        <f>IF(VLOOKUP($C422,REV!$C:$AA,22,0)-'TRADE IN'!$F422=0,"",(VLOOKUP($C422,REV!$C:$AA,22,0)-'TRADE IN'!$F422))</f>
        <v>4199</v>
      </c>
      <c r="Y422" s="56">
        <f>IF(VLOOKUP($C422,REV!$C:$AA,23,0)-'TRADE IN'!$F422=0,"",(VLOOKUP($C422,REV!$C:$AA,23,0)-'TRADE IN'!$F422))</f>
        <v>3499</v>
      </c>
      <c r="Z422" s="56">
        <f>IF(VLOOKUP($C422,REV!$C:$AA,24,0)-'TRADE IN'!$F422=0,"",(VLOOKUP($C422,REV!$C:$AA,24,0)-'TRADE IN'!$F422))</f>
        <v>3499</v>
      </c>
      <c r="AA422" s="56">
        <f>IF(VLOOKUP($C422,REV!$C:$AA,25,0)-'TRADE IN'!$F422=0,"",(VLOOKUP($C422,REV!$C:$AA,25,0)-'TRADE IN'!$F422))</f>
        <v>3299</v>
      </c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7"/>
      <c r="AW422" s="58" t="str">
        <f>REV!AW422</f>
        <v>03.11.2026</v>
      </c>
      <c r="AX422" s="147" t="str">
        <f>VLOOKUP(C422,REV!C:AX,48,0)</f>
        <v>5G</v>
      </c>
    </row>
    <row r="423" spans="1:50" ht="22.5" customHeight="1">
      <c r="A423" s="51" t="s">
        <v>63</v>
      </c>
      <c r="B423" s="52" t="s">
        <v>64</v>
      </c>
      <c r="C423" s="53">
        <v>4016902</v>
      </c>
      <c r="D423" s="65" t="s">
        <v>617</v>
      </c>
      <c r="E423" s="65" t="s">
        <v>618</v>
      </c>
      <c r="F423" s="55">
        <v>500</v>
      </c>
      <c r="G423" s="55"/>
      <c r="H423" s="55"/>
      <c r="I423" s="55"/>
      <c r="J423" s="56">
        <f>IF(VLOOKUP($C423,REV!$C:$AA,8,0)-'TRADE IN'!$F423=0,"",(VLOOKUP($C423,REV!$C:$AA,8,0)-'TRADE IN'!$F423))</f>
        <v>5799</v>
      </c>
      <c r="K423" s="56">
        <f>IF(VLOOKUP($C423,REV!$C:$AA,9,0)-'TRADE IN'!$F423=0,"",(VLOOKUP($C423,REV!$C:$AA,9,0)-'TRADE IN'!$F423))</f>
        <v>5799</v>
      </c>
      <c r="L423" s="56">
        <f>IF(VLOOKUP($C423,REV!$C:$AA,10,0)-'TRADE IN'!$F423=0,"",(VLOOKUP($C423,REV!$C:$AA,10,0)-'TRADE IN'!$F423))</f>
        <v>5799</v>
      </c>
      <c r="M423" s="56">
        <f>IF(VLOOKUP($C423,REV!$C:$AA,11,0)-'TRADE IN'!$F423=0,"",(VLOOKUP($C423,REV!$C:$AA,11,0)-'TRADE IN'!$F423))</f>
        <v>5799</v>
      </c>
      <c r="N423" s="56">
        <f>IF(VLOOKUP($C423,REV!$C:$AA,12,0)-'TRADE IN'!$F423=0,"",(VLOOKUP($C423,REV!$C:$AA,12,0)-'TRADE IN'!$F423))</f>
        <v>5799</v>
      </c>
      <c r="O423" s="56">
        <f>IF(VLOOKUP($C423,REV!$C:$AA,13,0)-'TRADE IN'!$F423=0,"",(VLOOKUP($C423,REV!$C:$AA,13,0)-'TRADE IN'!$F423))</f>
        <v>5699</v>
      </c>
      <c r="P423" s="56">
        <f>IF(VLOOKUP($C423,REV!$C:$AA,14,0)-'TRADE IN'!$F423=0,"",(VLOOKUP($C423,REV!$C:$AA,14,0)-'TRADE IN'!$F423))</f>
        <v>5599</v>
      </c>
      <c r="Q423" s="56">
        <f>IF(VLOOKUP($C423,REV!$C:$AA,15,0)-'TRADE IN'!$F423=0,"",(VLOOKUP($C423,REV!$C:$AA,15,0)-'TRADE IN'!$F423))</f>
        <v>5299</v>
      </c>
      <c r="R423" s="56">
        <f>IF(VLOOKUP($C423,REV!$C:$AA,16,0)-'TRADE IN'!$F423=0,"",(VLOOKUP($C423,REV!$C:$AA,16,0)-'TRADE IN'!$F423))</f>
        <v>5699</v>
      </c>
      <c r="S423" s="56">
        <f>IF(VLOOKUP($C423,REV!$C:$AA,17,0)-'TRADE IN'!$F423=0,"",(VLOOKUP($C423,REV!$C:$AA,17,0)-'TRADE IN'!$F423))</f>
        <v>5599</v>
      </c>
      <c r="T423" s="56">
        <f>IF(VLOOKUP($C423,REV!$C:$AA,18,0)-'TRADE IN'!$F423=0,"",(VLOOKUP($C423,REV!$C:$AA,18,0)-'TRADE IN'!$F423))</f>
        <v>5299</v>
      </c>
      <c r="U423" s="56">
        <f>IF(VLOOKUP($C423,REV!$C:$AA,19,0)-'TRADE IN'!$F423=0,"",(VLOOKUP($C423,REV!$C:$AA,19,0)-'TRADE IN'!$F423))</f>
        <v>5299</v>
      </c>
      <c r="V423" s="56">
        <f>IF(VLOOKUP($C423,REV!$C:$AA,20,0)-'TRADE IN'!$F423=0,"",(VLOOKUP($C423,REV!$C:$AA,20,0)-'TRADE IN'!$F423))</f>
        <v>5299</v>
      </c>
      <c r="W423" s="56">
        <f>IF(VLOOKUP($C423,REV!$C:$AA,21,0)-'TRADE IN'!$F423=0,"",(VLOOKUP($C423,REV!$C:$AA,21,0)-'TRADE IN'!$F423))</f>
        <v>5299</v>
      </c>
      <c r="X423" s="56">
        <f>IF(VLOOKUP($C423,REV!$C:$AA,22,0)-'TRADE IN'!$F423=0,"",(VLOOKUP($C423,REV!$C:$AA,22,0)-'TRADE IN'!$F423))</f>
        <v>4999</v>
      </c>
      <c r="Y423" s="56">
        <f>IF(VLOOKUP($C423,REV!$C:$AA,23,0)-'TRADE IN'!$F423=0,"",(VLOOKUP($C423,REV!$C:$AA,23,0)-'TRADE IN'!$F423))</f>
        <v>4499</v>
      </c>
      <c r="Z423" s="56">
        <f>IF(VLOOKUP($C423,REV!$C:$AA,24,0)-'TRADE IN'!$F423=0,"",(VLOOKUP($C423,REV!$C:$AA,24,0)-'TRADE IN'!$F423))</f>
        <v>4499</v>
      </c>
      <c r="AA423" s="56">
        <f>IF(VLOOKUP($C423,REV!$C:$AA,25,0)-'TRADE IN'!$F423=0,"",(VLOOKUP($C423,REV!$C:$AA,25,0)-'TRADE IN'!$F423))</f>
        <v>4499</v>
      </c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7"/>
      <c r="AW423" s="58" t="str">
        <f>REV!AW423</f>
        <v>03.11.2026</v>
      </c>
      <c r="AX423" s="147" t="str">
        <f>VLOOKUP(C423,REV!C:AX,48,0)</f>
        <v>5G</v>
      </c>
    </row>
    <row r="424" spans="1:50" ht="22.5" customHeight="1">
      <c r="A424" s="51" t="s">
        <v>63</v>
      </c>
      <c r="B424" s="52" t="s">
        <v>64</v>
      </c>
      <c r="C424" s="53">
        <v>4016881</v>
      </c>
      <c r="D424" s="65" t="s">
        <v>617</v>
      </c>
      <c r="E424" s="65" t="s">
        <v>619</v>
      </c>
      <c r="F424" s="55">
        <v>500</v>
      </c>
      <c r="G424" s="55"/>
      <c r="H424" s="55"/>
      <c r="I424" s="55"/>
      <c r="J424" s="56">
        <f>IF(VLOOKUP($C424,REV!$C:$AA,8,0)-'TRADE IN'!$F424=0,"",(VLOOKUP($C424,REV!$C:$AA,8,0)-'TRADE IN'!$F424))</f>
        <v>5799</v>
      </c>
      <c r="K424" s="56">
        <f>IF(VLOOKUP($C424,REV!$C:$AA,9,0)-'TRADE IN'!$F424=0,"",(VLOOKUP($C424,REV!$C:$AA,9,0)-'TRADE IN'!$F424))</f>
        <v>5799</v>
      </c>
      <c r="L424" s="56">
        <f>IF(VLOOKUP($C424,REV!$C:$AA,10,0)-'TRADE IN'!$F424=0,"",(VLOOKUP($C424,REV!$C:$AA,10,0)-'TRADE IN'!$F424))</f>
        <v>5799</v>
      </c>
      <c r="M424" s="56">
        <f>IF(VLOOKUP($C424,REV!$C:$AA,11,0)-'TRADE IN'!$F424=0,"",(VLOOKUP($C424,REV!$C:$AA,11,0)-'TRADE IN'!$F424))</f>
        <v>5799</v>
      </c>
      <c r="N424" s="56">
        <f>IF(VLOOKUP($C424,REV!$C:$AA,12,0)-'TRADE IN'!$F424=0,"",(VLOOKUP($C424,REV!$C:$AA,12,0)-'TRADE IN'!$F424))</f>
        <v>5799</v>
      </c>
      <c r="O424" s="56">
        <f>IF(VLOOKUP($C424,REV!$C:$AA,13,0)-'TRADE IN'!$F424=0,"",(VLOOKUP($C424,REV!$C:$AA,13,0)-'TRADE IN'!$F424))</f>
        <v>5699</v>
      </c>
      <c r="P424" s="56">
        <f>IF(VLOOKUP($C424,REV!$C:$AA,14,0)-'TRADE IN'!$F424=0,"",(VLOOKUP($C424,REV!$C:$AA,14,0)-'TRADE IN'!$F424))</f>
        <v>5599</v>
      </c>
      <c r="Q424" s="56">
        <f>IF(VLOOKUP($C424,REV!$C:$AA,15,0)-'TRADE IN'!$F424=0,"",(VLOOKUP($C424,REV!$C:$AA,15,0)-'TRADE IN'!$F424))</f>
        <v>5299</v>
      </c>
      <c r="R424" s="56">
        <f>IF(VLOOKUP($C424,REV!$C:$AA,16,0)-'TRADE IN'!$F424=0,"",(VLOOKUP($C424,REV!$C:$AA,16,0)-'TRADE IN'!$F424))</f>
        <v>5699</v>
      </c>
      <c r="S424" s="56">
        <f>IF(VLOOKUP($C424,REV!$C:$AA,17,0)-'TRADE IN'!$F424=0,"",(VLOOKUP($C424,REV!$C:$AA,17,0)-'TRADE IN'!$F424))</f>
        <v>5599</v>
      </c>
      <c r="T424" s="56">
        <f>IF(VLOOKUP($C424,REV!$C:$AA,18,0)-'TRADE IN'!$F424=0,"",(VLOOKUP($C424,REV!$C:$AA,18,0)-'TRADE IN'!$F424))</f>
        <v>5299</v>
      </c>
      <c r="U424" s="56">
        <f>IF(VLOOKUP($C424,REV!$C:$AA,19,0)-'TRADE IN'!$F424=0,"",(VLOOKUP($C424,REV!$C:$AA,19,0)-'TRADE IN'!$F424))</f>
        <v>5299</v>
      </c>
      <c r="V424" s="56">
        <f>IF(VLOOKUP($C424,REV!$C:$AA,20,0)-'TRADE IN'!$F424=0,"",(VLOOKUP($C424,REV!$C:$AA,20,0)-'TRADE IN'!$F424))</f>
        <v>5299</v>
      </c>
      <c r="W424" s="56">
        <f>IF(VLOOKUP($C424,REV!$C:$AA,21,0)-'TRADE IN'!$F424=0,"",(VLOOKUP($C424,REV!$C:$AA,21,0)-'TRADE IN'!$F424))</f>
        <v>5299</v>
      </c>
      <c r="X424" s="56">
        <f>IF(VLOOKUP($C424,REV!$C:$AA,22,0)-'TRADE IN'!$F424=0,"",(VLOOKUP($C424,REV!$C:$AA,22,0)-'TRADE IN'!$F424))</f>
        <v>4999</v>
      </c>
      <c r="Y424" s="56">
        <f>IF(VLOOKUP($C424,REV!$C:$AA,23,0)-'TRADE IN'!$F424=0,"",(VLOOKUP($C424,REV!$C:$AA,23,0)-'TRADE IN'!$F424))</f>
        <v>4499</v>
      </c>
      <c r="Z424" s="56">
        <f>IF(VLOOKUP($C424,REV!$C:$AA,24,0)-'TRADE IN'!$F424=0,"",(VLOOKUP($C424,REV!$C:$AA,24,0)-'TRADE IN'!$F424))</f>
        <v>4499</v>
      </c>
      <c r="AA424" s="56">
        <f>IF(VLOOKUP($C424,REV!$C:$AA,25,0)-'TRADE IN'!$F424=0,"",(VLOOKUP($C424,REV!$C:$AA,25,0)-'TRADE IN'!$F424))</f>
        <v>4499</v>
      </c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7"/>
      <c r="AW424" s="58" t="str">
        <f>REV!AW424</f>
        <v>03.11.2026</v>
      </c>
      <c r="AX424" s="147" t="str">
        <f>VLOOKUP(C424,REV!C:AX,48,0)</f>
        <v>5G</v>
      </c>
    </row>
    <row r="425" spans="1:50" ht="22.5" customHeight="1">
      <c r="A425" s="51" t="s">
        <v>63</v>
      </c>
      <c r="B425" s="52" t="s">
        <v>64</v>
      </c>
      <c r="C425" s="53">
        <v>4016894</v>
      </c>
      <c r="D425" s="65" t="s">
        <v>617</v>
      </c>
      <c r="E425" s="65" t="s">
        <v>620</v>
      </c>
      <c r="F425" s="55">
        <v>500</v>
      </c>
      <c r="G425" s="55"/>
      <c r="H425" s="55"/>
      <c r="I425" s="55"/>
      <c r="J425" s="56">
        <f>IF(VLOOKUP($C425,REV!$C:$AA,8,0)-'TRADE IN'!$F425=0,"",(VLOOKUP($C425,REV!$C:$AA,8,0)-'TRADE IN'!$F425))</f>
        <v>5799</v>
      </c>
      <c r="K425" s="56">
        <f>IF(VLOOKUP($C425,REV!$C:$AA,9,0)-'TRADE IN'!$F425=0,"",(VLOOKUP($C425,REV!$C:$AA,9,0)-'TRADE IN'!$F425))</f>
        <v>5799</v>
      </c>
      <c r="L425" s="56">
        <f>IF(VLOOKUP($C425,REV!$C:$AA,10,0)-'TRADE IN'!$F425=0,"",(VLOOKUP($C425,REV!$C:$AA,10,0)-'TRADE IN'!$F425))</f>
        <v>5799</v>
      </c>
      <c r="M425" s="56">
        <f>IF(VLOOKUP($C425,REV!$C:$AA,11,0)-'TRADE IN'!$F425=0,"",(VLOOKUP($C425,REV!$C:$AA,11,0)-'TRADE IN'!$F425))</f>
        <v>5799</v>
      </c>
      <c r="N425" s="56">
        <f>IF(VLOOKUP($C425,REV!$C:$AA,12,0)-'TRADE IN'!$F425=0,"",(VLOOKUP($C425,REV!$C:$AA,12,0)-'TRADE IN'!$F425))</f>
        <v>5799</v>
      </c>
      <c r="O425" s="56">
        <f>IF(VLOOKUP($C425,REV!$C:$AA,13,0)-'TRADE IN'!$F425=0,"",(VLOOKUP($C425,REV!$C:$AA,13,0)-'TRADE IN'!$F425))</f>
        <v>5699</v>
      </c>
      <c r="P425" s="56">
        <f>IF(VLOOKUP($C425,REV!$C:$AA,14,0)-'TRADE IN'!$F425=0,"",(VLOOKUP($C425,REV!$C:$AA,14,0)-'TRADE IN'!$F425))</f>
        <v>5599</v>
      </c>
      <c r="Q425" s="56">
        <f>IF(VLOOKUP($C425,REV!$C:$AA,15,0)-'TRADE IN'!$F425=0,"",(VLOOKUP($C425,REV!$C:$AA,15,0)-'TRADE IN'!$F425))</f>
        <v>5299</v>
      </c>
      <c r="R425" s="56">
        <f>IF(VLOOKUP($C425,REV!$C:$AA,16,0)-'TRADE IN'!$F425=0,"",(VLOOKUP($C425,REV!$C:$AA,16,0)-'TRADE IN'!$F425))</f>
        <v>5699</v>
      </c>
      <c r="S425" s="56">
        <f>IF(VLOOKUP($C425,REV!$C:$AA,17,0)-'TRADE IN'!$F425=0,"",(VLOOKUP($C425,REV!$C:$AA,17,0)-'TRADE IN'!$F425))</f>
        <v>5599</v>
      </c>
      <c r="T425" s="56">
        <f>IF(VLOOKUP($C425,REV!$C:$AA,18,0)-'TRADE IN'!$F425=0,"",(VLOOKUP($C425,REV!$C:$AA,18,0)-'TRADE IN'!$F425))</f>
        <v>5299</v>
      </c>
      <c r="U425" s="56">
        <f>IF(VLOOKUP($C425,REV!$C:$AA,19,0)-'TRADE IN'!$F425=0,"",(VLOOKUP($C425,REV!$C:$AA,19,0)-'TRADE IN'!$F425))</f>
        <v>5299</v>
      </c>
      <c r="V425" s="56">
        <f>IF(VLOOKUP($C425,REV!$C:$AA,20,0)-'TRADE IN'!$F425=0,"",(VLOOKUP($C425,REV!$C:$AA,20,0)-'TRADE IN'!$F425))</f>
        <v>5299</v>
      </c>
      <c r="W425" s="56">
        <f>IF(VLOOKUP($C425,REV!$C:$AA,21,0)-'TRADE IN'!$F425=0,"",(VLOOKUP($C425,REV!$C:$AA,21,0)-'TRADE IN'!$F425))</f>
        <v>5299</v>
      </c>
      <c r="X425" s="56">
        <f>IF(VLOOKUP($C425,REV!$C:$AA,22,0)-'TRADE IN'!$F425=0,"",(VLOOKUP($C425,REV!$C:$AA,22,0)-'TRADE IN'!$F425))</f>
        <v>4999</v>
      </c>
      <c r="Y425" s="56">
        <f>IF(VLOOKUP($C425,REV!$C:$AA,23,0)-'TRADE IN'!$F425=0,"",(VLOOKUP($C425,REV!$C:$AA,23,0)-'TRADE IN'!$F425))</f>
        <v>4499</v>
      </c>
      <c r="Z425" s="56">
        <f>IF(VLOOKUP($C425,REV!$C:$AA,24,0)-'TRADE IN'!$F425=0,"",(VLOOKUP($C425,REV!$C:$AA,24,0)-'TRADE IN'!$F425))</f>
        <v>4499</v>
      </c>
      <c r="AA425" s="56">
        <f>IF(VLOOKUP($C425,REV!$C:$AA,25,0)-'TRADE IN'!$F425=0,"",(VLOOKUP($C425,REV!$C:$AA,25,0)-'TRADE IN'!$F425))</f>
        <v>4499</v>
      </c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7"/>
      <c r="AW425" s="58" t="str">
        <f>REV!AW425</f>
        <v>03.11.2026</v>
      </c>
      <c r="AX425" s="147" t="str">
        <f>VLOOKUP(C425,REV!C:AX,48,0)</f>
        <v>5G</v>
      </c>
    </row>
    <row r="426" spans="1:50" ht="22.5" customHeight="1">
      <c r="A426" s="51" t="s">
        <v>63</v>
      </c>
      <c r="B426" s="52" t="s">
        <v>64</v>
      </c>
      <c r="C426" s="53">
        <v>4016875</v>
      </c>
      <c r="D426" s="65" t="s">
        <v>621</v>
      </c>
      <c r="E426" s="65" t="s">
        <v>622</v>
      </c>
      <c r="F426" s="55">
        <v>1000</v>
      </c>
      <c r="G426" s="55"/>
      <c r="H426" s="55"/>
      <c r="I426" s="55"/>
      <c r="J426" s="56">
        <f>IF(VLOOKUP($C426,REV!$C:$AA,8,0)-'TRADE IN'!$F426=0,"",(VLOOKUP($C426,REV!$C:$AA,8,0)-'TRADE IN'!$F426))</f>
        <v>5999</v>
      </c>
      <c r="K426" s="56">
        <f>IF(VLOOKUP($C426,REV!$C:$AA,9,0)-'TRADE IN'!$F426=0,"",(VLOOKUP($C426,REV!$C:$AA,9,0)-'TRADE IN'!$F426))</f>
        <v>5999</v>
      </c>
      <c r="L426" s="56">
        <f>IF(VLOOKUP($C426,REV!$C:$AA,10,0)-'TRADE IN'!$F426=0,"",(VLOOKUP($C426,REV!$C:$AA,10,0)-'TRADE IN'!$F426))</f>
        <v>5999</v>
      </c>
      <c r="M426" s="56">
        <f>IF(VLOOKUP($C426,REV!$C:$AA,11,0)-'TRADE IN'!$F426=0,"",(VLOOKUP($C426,REV!$C:$AA,11,0)-'TRADE IN'!$F426))</f>
        <v>5999</v>
      </c>
      <c r="N426" s="56">
        <f>IF(VLOOKUP($C426,REV!$C:$AA,12,0)-'TRADE IN'!$F426=0,"",(VLOOKUP($C426,REV!$C:$AA,12,0)-'TRADE IN'!$F426))</f>
        <v>5999</v>
      </c>
      <c r="O426" s="56">
        <f>IF(VLOOKUP($C426,REV!$C:$AA,13,0)-'TRADE IN'!$F426=0,"",(VLOOKUP($C426,REV!$C:$AA,13,0)-'TRADE IN'!$F426))</f>
        <v>5899</v>
      </c>
      <c r="P426" s="56">
        <f>IF(VLOOKUP($C426,REV!$C:$AA,14,0)-'TRADE IN'!$F426=0,"",(VLOOKUP($C426,REV!$C:$AA,14,0)-'TRADE IN'!$F426))</f>
        <v>5799</v>
      </c>
      <c r="Q426" s="56">
        <f>IF(VLOOKUP($C426,REV!$C:$AA,15,0)-'TRADE IN'!$F426=0,"",(VLOOKUP($C426,REV!$C:$AA,15,0)-'TRADE IN'!$F426))</f>
        <v>4299</v>
      </c>
      <c r="R426" s="56">
        <f>IF(VLOOKUP($C426,REV!$C:$AA,16,0)-'TRADE IN'!$F426=0,"",(VLOOKUP($C426,REV!$C:$AA,16,0)-'TRADE IN'!$F426))</f>
        <v>5899</v>
      </c>
      <c r="S426" s="56">
        <f>IF(VLOOKUP($C426,REV!$C:$AA,17,0)-'TRADE IN'!$F426=0,"",(VLOOKUP($C426,REV!$C:$AA,17,0)-'TRADE IN'!$F426))</f>
        <v>5799</v>
      </c>
      <c r="T426" s="56">
        <f>IF(VLOOKUP($C426,REV!$C:$AA,18,0)-'TRADE IN'!$F426=0,"",(VLOOKUP($C426,REV!$C:$AA,18,0)-'TRADE IN'!$F426))</f>
        <v>4299</v>
      </c>
      <c r="U426" s="56">
        <f>IF(VLOOKUP($C426,REV!$C:$AA,19,0)-'TRADE IN'!$F426=0,"",(VLOOKUP($C426,REV!$C:$AA,19,0)-'TRADE IN'!$F426))</f>
        <v>4299</v>
      </c>
      <c r="V426" s="56">
        <f>IF(VLOOKUP($C426,REV!$C:$AA,20,0)-'TRADE IN'!$F426=0,"",(VLOOKUP($C426,REV!$C:$AA,20,0)-'TRADE IN'!$F426))</f>
        <v>4299</v>
      </c>
      <c r="W426" s="56">
        <f>IF(VLOOKUP($C426,REV!$C:$AA,21,0)-'TRADE IN'!$F426=0,"",(VLOOKUP($C426,REV!$C:$AA,21,0)-'TRADE IN'!$F426))</f>
        <v>4299</v>
      </c>
      <c r="X426" s="56">
        <f>IF(VLOOKUP($C426,REV!$C:$AA,22,0)-'TRADE IN'!$F426=0,"",(VLOOKUP($C426,REV!$C:$AA,22,0)-'TRADE IN'!$F426))</f>
        <v>4199</v>
      </c>
      <c r="Y426" s="56">
        <f>IF(VLOOKUP($C426,REV!$C:$AA,23,0)-'TRADE IN'!$F426=0,"",(VLOOKUP($C426,REV!$C:$AA,23,0)-'TRADE IN'!$F426))</f>
        <v>3499</v>
      </c>
      <c r="Z426" s="56">
        <f>IF(VLOOKUP($C426,REV!$C:$AA,24,0)-'TRADE IN'!$F426=0,"",(VLOOKUP($C426,REV!$C:$AA,24,0)-'TRADE IN'!$F426))</f>
        <v>3499</v>
      </c>
      <c r="AA426" s="56">
        <f>IF(VLOOKUP($C426,REV!$C:$AA,25,0)-'TRADE IN'!$F426=0,"",(VLOOKUP($C426,REV!$C:$AA,25,0)-'TRADE IN'!$F426))</f>
        <v>3299</v>
      </c>
      <c r="AB426" s="55">
        <f>IF(VLOOKUP($C426,REV!$C:$AL,27,0)-'TRADE IN'!$F426=0,"",(VLOOKUP($C426,REV!$C:$AL,27,0)-'TRADE IN'!$F426))</f>
        <v>5999</v>
      </c>
      <c r="AC426" s="55">
        <f>IF(VLOOKUP($C426,REV!$C:$AL,28,0)-'TRADE IN'!$F426=0,"",(VLOOKUP($C426,REV!$C:$AL,28,0)-'TRADE IN'!$F426))</f>
        <v>5999</v>
      </c>
      <c r="AD426" s="55">
        <f>IF(VLOOKUP($C426,REV!$C:$AL,29,0)-'TRADE IN'!$F426=0,"",(VLOOKUP($C426,REV!$C:$AL,29,0)-'TRADE IN'!$F426))</f>
        <v>5999</v>
      </c>
      <c r="AE426" s="55">
        <f>IF(VLOOKUP($C426,REV!$C:$AL,30,0)-'TRADE IN'!$F426=0,"",(VLOOKUP($C426,REV!$C:$AL,30,0)-'TRADE IN'!$F426))</f>
        <v>5899</v>
      </c>
      <c r="AF426" s="55">
        <f>IF(VLOOKUP($C426,REV!$C:$AL,31,0)-'TRADE IN'!$F426=0,"",(VLOOKUP($C426,REV!$C:$AL,31,0)-'TRADE IN'!$F426))</f>
        <v>5799</v>
      </c>
      <c r="AG426" s="55">
        <f>IF(VLOOKUP($C426,REV!$C:$AL,31,0)-'TRADE IN'!$F426=0,"",(VLOOKUP($C426,REV!$C:$AL,31,0)-'TRADE IN'!$F426))</f>
        <v>5799</v>
      </c>
      <c r="AH426" s="55">
        <f>IF(VLOOKUP($C426,REV!$C:$AL,32,0)-'TRADE IN'!$F426=0,"",(VLOOKUP($C426,REV!$C:$AL,32,0)-'TRADE IN'!$F426))</f>
        <v>4299</v>
      </c>
      <c r="AI426" s="55">
        <f>IF(VLOOKUP($C426,REV!$C:$AL,33,0)-'TRADE IN'!$F426=0,"",(VLOOKUP($C426,REV!$C:$AL,33,0)-'TRADE IN'!$F426))</f>
        <v>4299</v>
      </c>
      <c r="AJ426" s="55">
        <f>IF(VLOOKUP($C426,REV!$C:$AL,34,0)-'TRADE IN'!$F426=0,"",(VLOOKUP($C426,REV!$C:$AL,34,0)-'TRADE IN'!$F426))</f>
        <v>4299</v>
      </c>
      <c r="AK426" s="55">
        <f>IF(VLOOKUP($C426,REV!$C:$AL,35,0)-'TRADE IN'!$F426=0,"",(VLOOKUP($C426,REV!$C:$AL,35,0)-'TRADE IN'!$F426))</f>
        <v>4299</v>
      </c>
      <c r="AL426" s="55">
        <f>IF(VLOOKUP($C426,REV!$C:$AL,36,0)-'TRADE IN'!$F426=0,"",(VLOOKUP($C426,REV!$C:$AL,36,0)-'TRADE IN'!$F426))</f>
        <v>3499</v>
      </c>
      <c r="AM426" s="55"/>
      <c r="AN426" s="55"/>
      <c r="AO426" s="55"/>
      <c r="AP426" s="55"/>
      <c r="AQ426" s="55"/>
      <c r="AR426" s="55"/>
      <c r="AS426" s="55"/>
      <c r="AT426" s="55"/>
      <c r="AU426" s="55"/>
      <c r="AV426" s="57"/>
      <c r="AW426" s="58" t="str">
        <f>REV!AW426</f>
        <v>03.11.2026</v>
      </c>
      <c r="AX426" s="147" t="str">
        <f>VLOOKUP(C426,REV!C:AX,48,0)</f>
        <v>5G</v>
      </c>
    </row>
    <row r="427" spans="1:50" ht="22.5" customHeight="1">
      <c r="A427" s="51" t="s">
        <v>63</v>
      </c>
      <c r="B427" s="52" t="s">
        <v>64</v>
      </c>
      <c r="C427" s="53">
        <v>4016859</v>
      </c>
      <c r="D427" s="65" t="s">
        <v>621</v>
      </c>
      <c r="E427" s="65" t="s">
        <v>623</v>
      </c>
      <c r="F427" s="55">
        <v>1000</v>
      </c>
      <c r="G427" s="55"/>
      <c r="H427" s="55"/>
      <c r="I427" s="55"/>
      <c r="J427" s="56">
        <f>IF(VLOOKUP($C427,REV!$C:$AA,8,0)-'TRADE IN'!$F427=0,"",(VLOOKUP($C427,REV!$C:$AA,8,0)-'TRADE IN'!$F427))</f>
        <v>5999</v>
      </c>
      <c r="K427" s="56">
        <f>IF(VLOOKUP($C427,REV!$C:$AA,9,0)-'TRADE IN'!$F427=0,"",(VLOOKUP($C427,REV!$C:$AA,9,0)-'TRADE IN'!$F427))</f>
        <v>5999</v>
      </c>
      <c r="L427" s="56">
        <f>IF(VLOOKUP($C427,REV!$C:$AA,10,0)-'TRADE IN'!$F427=0,"",(VLOOKUP($C427,REV!$C:$AA,10,0)-'TRADE IN'!$F427))</f>
        <v>5999</v>
      </c>
      <c r="M427" s="56">
        <f>IF(VLOOKUP($C427,REV!$C:$AA,11,0)-'TRADE IN'!$F427=0,"",(VLOOKUP($C427,REV!$C:$AA,11,0)-'TRADE IN'!$F427))</f>
        <v>5999</v>
      </c>
      <c r="N427" s="56">
        <f>IF(VLOOKUP($C427,REV!$C:$AA,12,0)-'TRADE IN'!$F427=0,"",(VLOOKUP($C427,REV!$C:$AA,12,0)-'TRADE IN'!$F427))</f>
        <v>5999</v>
      </c>
      <c r="O427" s="56">
        <f>IF(VLOOKUP($C427,REV!$C:$AA,13,0)-'TRADE IN'!$F427=0,"",(VLOOKUP($C427,REV!$C:$AA,13,0)-'TRADE IN'!$F427))</f>
        <v>5899</v>
      </c>
      <c r="P427" s="56">
        <f>IF(VLOOKUP($C427,REV!$C:$AA,14,0)-'TRADE IN'!$F427=0,"",(VLOOKUP($C427,REV!$C:$AA,14,0)-'TRADE IN'!$F427))</f>
        <v>5799</v>
      </c>
      <c r="Q427" s="56">
        <f>IF(VLOOKUP($C427,REV!$C:$AA,15,0)-'TRADE IN'!$F427=0,"",(VLOOKUP($C427,REV!$C:$AA,15,0)-'TRADE IN'!$F427))</f>
        <v>4299</v>
      </c>
      <c r="R427" s="56">
        <f>IF(VLOOKUP($C427,REV!$C:$AA,16,0)-'TRADE IN'!$F427=0,"",(VLOOKUP($C427,REV!$C:$AA,16,0)-'TRADE IN'!$F427))</f>
        <v>5899</v>
      </c>
      <c r="S427" s="56">
        <f>IF(VLOOKUP($C427,REV!$C:$AA,17,0)-'TRADE IN'!$F427=0,"",(VLOOKUP($C427,REV!$C:$AA,17,0)-'TRADE IN'!$F427))</f>
        <v>5799</v>
      </c>
      <c r="T427" s="56">
        <f>IF(VLOOKUP($C427,REV!$C:$AA,18,0)-'TRADE IN'!$F427=0,"",(VLOOKUP($C427,REV!$C:$AA,18,0)-'TRADE IN'!$F427))</f>
        <v>4299</v>
      </c>
      <c r="U427" s="56">
        <f>IF(VLOOKUP($C427,REV!$C:$AA,19,0)-'TRADE IN'!$F427=0,"",(VLOOKUP($C427,REV!$C:$AA,19,0)-'TRADE IN'!$F427))</f>
        <v>4299</v>
      </c>
      <c r="V427" s="56">
        <f>IF(VLOOKUP($C427,REV!$C:$AA,20,0)-'TRADE IN'!$F427=0,"",(VLOOKUP($C427,REV!$C:$AA,20,0)-'TRADE IN'!$F427))</f>
        <v>4299</v>
      </c>
      <c r="W427" s="56">
        <f>IF(VLOOKUP($C427,REV!$C:$AA,21,0)-'TRADE IN'!$F427=0,"",(VLOOKUP($C427,REV!$C:$AA,21,0)-'TRADE IN'!$F427))</f>
        <v>4299</v>
      </c>
      <c r="X427" s="56">
        <f>IF(VLOOKUP($C427,REV!$C:$AA,22,0)-'TRADE IN'!$F427=0,"",(VLOOKUP($C427,REV!$C:$AA,22,0)-'TRADE IN'!$F427))</f>
        <v>4199</v>
      </c>
      <c r="Y427" s="56">
        <f>IF(VLOOKUP($C427,REV!$C:$AA,23,0)-'TRADE IN'!$F427=0,"",(VLOOKUP($C427,REV!$C:$AA,23,0)-'TRADE IN'!$F427))</f>
        <v>3499</v>
      </c>
      <c r="Z427" s="56">
        <f>IF(VLOOKUP($C427,REV!$C:$AA,24,0)-'TRADE IN'!$F427=0,"",(VLOOKUP($C427,REV!$C:$AA,24,0)-'TRADE IN'!$F427))</f>
        <v>3499</v>
      </c>
      <c r="AA427" s="56">
        <f>IF(VLOOKUP($C427,REV!$C:$AA,25,0)-'TRADE IN'!$F427=0,"",(VLOOKUP($C427,REV!$C:$AA,25,0)-'TRADE IN'!$F427))</f>
        <v>3299</v>
      </c>
      <c r="AB427" s="55">
        <f>IF(VLOOKUP($C427,REV!$C:$AL,27,0)-'TRADE IN'!$F427=0,"",(VLOOKUP($C427,REV!$C:$AL,27,0)-'TRADE IN'!$F427))</f>
        <v>5999</v>
      </c>
      <c r="AC427" s="55">
        <f>IF(VLOOKUP($C427,REV!$C:$AL,28,0)-'TRADE IN'!$F427=0,"",(VLOOKUP($C427,REV!$C:$AL,28,0)-'TRADE IN'!$F427))</f>
        <v>5999</v>
      </c>
      <c r="AD427" s="55">
        <f>IF(VLOOKUP($C427,REV!$C:$AL,29,0)-'TRADE IN'!$F427=0,"",(VLOOKUP($C427,REV!$C:$AL,29,0)-'TRADE IN'!$F427))</f>
        <v>5999</v>
      </c>
      <c r="AE427" s="55">
        <f>IF(VLOOKUP($C427,REV!$C:$AL,30,0)-'TRADE IN'!$F427=0,"",(VLOOKUP($C427,REV!$C:$AL,30,0)-'TRADE IN'!$F427))</f>
        <v>5899</v>
      </c>
      <c r="AF427" s="55">
        <f>IF(VLOOKUP($C427,REV!$C:$AL,31,0)-'TRADE IN'!$F427=0,"",(VLOOKUP($C427,REV!$C:$AL,31,0)-'TRADE IN'!$F427))</f>
        <v>5799</v>
      </c>
      <c r="AG427" s="55">
        <f>IF(VLOOKUP($C427,REV!$C:$AL,31,0)-'TRADE IN'!$F427=0,"",(VLOOKUP($C427,REV!$C:$AL,31,0)-'TRADE IN'!$F427))</f>
        <v>5799</v>
      </c>
      <c r="AH427" s="55">
        <f>IF(VLOOKUP($C427,REV!$C:$AL,32,0)-'TRADE IN'!$F427=0,"",(VLOOKUP($C427,REV!$C:$AL,32,0)-'TRADE IN'!$F427))</f>
        <v>4299</v>
      </c>
      <c r="AI427" s="55">
        <f>IF(VLOOKUP($C427,REV!$C:$AL,33,0)-'TRADE IN'!$F427=0,"",(VLOOKUP($C427,REV!$C:$AL,33,0)-'TRADE IN'!$F427))</f>
        <v>4299</v>
      </c>
      <c r="AJ427" s="55">
        <f>IF(VLOOKUP($C427,REV!$C:$AL,34,0)-'TRADE IN'!$F427=0,"",(VLOOKUP($C427,REV!$C:$AL,34,0)-'TRADE IN'!$F427))</f>
        <v>4299</v>
      </c>
      <c r="AK427" s="55">
        <f>IF(VLOOKUP($C427,REV!$C:$AL,35,0)-'TRADE IN'!$F427=0,"",(VLOOKUP($C427,REV!$C:$AL,35,0)-'TRADE IN'!$F427))</f>
        <v>4299</v>
      </c>
      <c r="AL427" s="55">
        <f>IF(VLOOKUP($C427,REV!$C:$AL,36,0)-'TRADE IN'!$F427=0,"",(VLOOKUP($C427,REV!$C:$AL,36,0)-'TRADE IN'!$F427))</f>
        <v>3499</v>
      </c>
      <c r="AM427" s="55"/>
      <c r="AN427" s="55"/>
      <c r="AO427" s="55"/>
      <c r="AP427" s="55"/>
      <c r="AQ427" s="55"/>
      <c r="AR427" s="55"/>
      <c r="AS427" s="55"/>
      <c r="AT427" s="55"/>
      <c r="AU427" s="55"/>
      <c r="AV427" s="57"/>
      <c r="AW427" s="58" t="str">
        <f>REV!AW427</f>
        <v>03.11.2026</v>
      </c>
      <c r="AX427" s="147" t="str">
        <f>VLOOKUP(C427,REV!C:AX,48,0)</f>
        <v>5G</v>
      </c>
    </row>
    <row r="428" spans="1:50" ht="22.5" customHeight="1">
      <c r="A428" s="51" t="s">
        <v>63</v>
      </c>
      <c r="B428" s="52" t="s">
        <v>64</v>
      </c>
      <c r="C428" s="53">
        <v>4016852</v>
      </c>
      <c r="D428" s="65" t="s">
        <v>621</v>
      </c>
      <c r="E428" s="65" t="s">
        <v>624</v>
      </c>
      <c r="F428" s="55">
        <v>1000</v>
      </c>
      <c r="G428" s="55"/>
      <c r="H428" s="55"/>
      <c r="I428" s="55"/>
      <c r="J428" s="56">
        <f>IF(VLOOKUP($C428,REV!$C:$AA,8,0)-'TRADE IN'!$F428=0,"",(VLOOKUP($C428,REV!$C:$AA,8,0)-'TRADE IN'!$F428))</f>
        <v>5999</v>
      </c>
      <c r="K428" s="56">
        <f>IF(VLOOKUP($C428,REV!$C:$AA,9,0)-'TRADE IN'!$F428=0,"",(VLOOKUP($C428,REV!$C:$AA,9,0)-'TRADE IN'!$F428))</f>
        <v>5999</v>
      </c>
      <c r="L428" s="56">
        <f>IF(VLOOKUP($C428,REV!$C:$AA,10,0)-'TRADE IN'!$F428=0,"",(VLOOKUP($C428,REV!$C:$AA,10,0)-'TRADE IN'!$F428))</f>
        <v>5999</v>
      </c>
      <c r="M428" s="56">
        <f>IF(VLOOKUP($C428,REV!$C:$AA,11,0)-'TRADE IN'!$F428=0,"",(VLOOKUP($C428,REV!$C:$AA,11,0)-'TRADE IN'!$F428))</f>
        <v>5999</v>
      </c>
      <c r="N428" s="56">
        <f>IF(VLOOKUP($C428,REV!$C:$AA,12,0)-'TRADE IN'!$F428=0,"",(VLOOKUP($C428,REV!$C:$AA,12,0)-'TRADE IN'!$F428))</f>
        <v>5999</v>
      </c>
      <c r="O428" s="56">
        <f>IF(VLOOKUP($C428,REV!$C:$AA,13,0)-'TRADE IN'!$F428=0,"",(VLOOKUP($C428,REV!$C:$AA,13,0)-'TRADE IN'!$F428))</f>
        <v>5899</v>
      </c>
      <c r="P428" s="56">
        <f>IF(VLOOKUP($C428,REV!$C:$AA,14,0)-'TRADE IN'!$F428=0,"",(VLOOKUP($C428,REV!$C:$AA,14,0)-'TRADE IN'!$F428))</f>
        <v>5799</v>
      </c>
      <c r="Q428" s="56">
        <f>IF(VLOOKUP($C428,REV!$C:$AA,15,0)-'TRADE IN'!$F428=0,"",(VLOOKUP($C428,REV!$C:$AA,15,0)-'TRADE IN'!$F428))</f>
        <v>4299</v>
      </c>
      <c r="R428" s="56">
        <f>IF(VLOOKUP($C428,REV!$C:$AA,16,0)-'TRADE IN'!$F428=0,"",(VLOOKUP($C428,REV!$C:$AA,16,0)-'TRADE IN'!$F428))</f>
        <v>5899</v>
      </c>
      <c r="S428" s="56">
        <f>IF(VLOOKUP($C428,REV!$C:$AA,17,0)-'TRADE IN'!$F428=0,"",(VLOOKUP($C428,REV!$C:$AA,17,0)-'TRADE IN'!$F428))</f>
        <v>5799</v>
      </c>
      <c r="T428" s="56">
        <f>IF(VLOOKUP($C428,REV!$C:$AA,18,0)-'TRADE IN'!$F428=0,"",(VLOOKUP($C428,REV!$C:$AA,18,0)-'TRADE IN'!$F428))</f>
        <v>4299</v>
      </c>
      <c r="U428" s="56">
        <f>IF(VLOOKUP($C428,REV!$C:$AA,19,0)-'TRADE IN'!$F428=0,"",(VLOOKUP($C428,REV!$C:$AA,19,0)-'TRADE IN'!$F428))</f>
        <v>4299</v>
      </c>
      <c r="V428" s="56">
        <f>IF(VLOOKUP($C428,REV!$C:$AA,20,0)-'TRADE IN'!$F428=0,"",(VLOOKUP($C428,REV!$C:$AA,20,0)-'TRADE IN'!$F428))</f>
        <v>4299</v>
      </c>
      <c r="W428" s="56">
        <f>IF(VLOOKUP($C428,REV!$C:$AA,21,0)-'TRADE IN'!$F428=0,"",(VLOOKUP($C428,REV!$C:$AA,21,0)-'TRADE IN'!$F428))</f>
        <v>4299</v>
      </c>
      <c r="X428" s="56">
        <f>IF(VLOOKUP($C428,REV!$C:$AA,22,0)-'TRADE IN'!$F428=0,"",(VLOOKUP($C428,REV!$C:$AA,22,0)-'TRADE IN'!$F428))</f>
        <v>4199</v>
      </c>
      <c r="Y428" s="56">
        <f>IF(VLOOKUP($C428,REV!$C:$AA,23,0)-'TRADE IN'!$F428=0,"",(VLOOKUP($C428,REV!$C:$AA,23,0)-'TRADE IN'!$F428))</f>
        <v>3499</v>
      </c>
      <c r="Z428" s="56">
        <f>IF(VLOOKUP($C428,REV!$C:$AA,24,0)-'TRADE IN'!$F428=0,"",(VLOOKUP($C428,REV!$C:$AA,24,0)-'TRADE IN'!$F428))</f>
        <v>3499</v>
      </c>
      <c r="AA428" s="56">
        <f>IF(VLOOKUP($C428,REV!$C:$AA,25,0)-'TRADE IN'!$F428=0,"",(VLOOKUP($C428,REV!$C:$AA,25,0)-'TRADE IN'!$F428))</f>
        <v>3299</v>
      </c>
      <c r="AB428" s="55">
        <f>IF(VLOOKUP($C428,REV!$C:$AL,27,0)-'TRADE IN'!$F428=0,"",(VLOOKUP($C428,REV!$C:$AL,27,0)-'TRADE IN'!$F428))</f>
        <v>5999</v>
      </c>
      <c r="AC428" s="55">
        <f>IF(VLOOKUP($C428,REV!$C:$AL,28,0)-'TRADE IN'!$F428=0,"",(VLOOKUP($C428,REV!$C:$AL,28,0)-'TRADE IN'!$F428))</f>
        <v>5999</v>
      </c>
      <c r="AD428" s="55">
        <f>IF(VLOOKUP($C428,REV!$C:$AL,29,0)-'TRADE IN'!$F428=0,"",(VLOOKUP($C428,REV!$C:$AL,29,0)-'TRADE IN'!$F428))</f>
        <v>5999</v>
      </c>
      <c r="AE428" s="55">
        <f>IF(VLOOKUP($C428,REV!$C:$AL,30,0)-'TRADE IN'!$F428=0,"",(VLOOKUP($C428,REV!$C:$AL,30,0)-'TRADE IN'!$F428))</f>
        <v>5899</v>
      </c>
      <c r="AF428" s="55">
        <f>IF(VLOOKUP($C428,REV!$C:$AL,31,0)-'TRADE IN'!$F428=0,"",(VLOOKUP($C428,REV!$C:$AL,31,0)-'TRADE IN'!$F428))</f>
        <v>5799</v>
      </c>
      <c r="AG428" s="55">
        <f>IF(VLOOKUP($C428,REV!$C:$AL,31,0)-'TRADE IN'!$F428=0,"",(VLOOKUP($C428,REV!$C:$AL,31,0)-'TRADE IN'!$F428))</f>
        <v>5799</v>
      </c>
      <c r="AH428" s="55">
        <f>IF(VLOOKUP($C428,REV!$C:$AL,32,0)-'TRADE IN'!$F428=0,"",(VLOOKUP($C428,REV!$C:$AL,32,0)-'TRADE IN'!$F428))</f>
        <v>4299</v>
      </c>
      <c r="AI428" s="55">
        <f>IF(VLOOKUP($C428,REV!$C:$AL,33,0)-'TRADE IN'!$F428=0,"",(VLOOKUP($C428,REV!$C:$AL,33,0)-'TRADE IN'!$F428))</f>
        <v>4299</v>
      </c>
      <c r="AJ428" s="55">
        <f>IF(VLOOKUP($C428,REV!$C:$AL,34,0)-'TRADE IN'!$F428=0,"",(VLOOKUP($C428,REV!$C:$AL,34,0)-'TRADE IN'!$F428))</f>
        <v>4299</v>
      </c>
      <c r="AK428" s="55">
        <f>IF(VLOOKUP($C428,REV!$C:$AL,35,0)-'TRADE IN'!$F428=0,"",(VLOOKUP($C428,REV!$C:$AL,35,0)-'TRADE IN'!$F428))</f>
        <v>4299</v>
      </c>
      <c r="AL428" s="55">
        <f>IF(VLOOKUP($C428,REV!$C:$AL,36,0)-'TRADE IN'!$F428=0,"",(VLOOKUP($C428,REV!$C:$AL,36,0)-'TRADE IN'!$F428))</f>
        <v>3499</v>
      </c>
      <c r="AM428" s="55"/>
      <c r="AN428" s="55"/>
      <c r="AO428" s="55"/>
      <c r="AP428" s="55"/>
      <c r="AQ428" s="55"/>
      <c r="AR428" s="55"/>
      <c r="AS428" s="55"/>
      <c r="AT428" s="55"/>
      <c r="AU428" s="55"/>
      <c r="AV428" s="57"/>
      <c r="AW428" s="58" t="str">
        <f>REV!AW428</f>
        <v>03.11.2026</v>
      </c>
      <c r="AX428" s="147" t="str">
        <f>VLOOKUP(C428,REV!C:AX,48,0)</f>
        <v>5G</v>
      </c>
    </row>
    <row r="429" spans="1:50" ht="22.5" customHeight="1">
      <c r="A429" s="51" t="s">
        <v>63</v>
      </c>
      <c r="B429" s="52" t="s">
        <v>64</v>
      </c>
      <c r="C429" s="53">
        <v>4016905</v>
      </c>
      <c r="D429" s="65" t="s">
        <v>621</v>
      </c>
      <c r="E429" s="65" t="s">
        <v>625</v>
      </c>
      <c r="F429" s="55">
        <v>1000</v>
      </c>
      <c r="G429" s="55"/>
      <c r="H429" s="55"/>
      <c r="I429" s="55"/>
      <c r="J429" s="56">
        <f>IF(VLOOKUP($C429,REV!$C:$AA,8,0)-'TRADE IN'!$F429=0,"",(VLOOKUP($C429,REV!$C:$AA,8,0)-'TRADE IN'!$F429))</f>
        <v>5999</v>
      </c>
      <c r="K429" s="56">
        <f>IF(VLOOKUP($C429,REV!$C:$AA,9,0)-'TRADE IN'!$F429=0,"",(VLOOKUP($C429,REV!$C:$AA,9,0)-'TRADE IN'!$F429))</f>
        <v>5999</v>
      </c>
      <c r="L429" s="56">
        <f>IF(VLOOKUP($C429,REV!$C:$AA,10,0)-'TRADE IN'!$F429=0,"",(VLOOKUP($C429,REV!$C:$AA,10,0)-'TRADE IN'!$F429))</f>
        <v>5999</v>
      </c>
      <c r="M429" s="56">
        <f>IF(VLOOKUP($C429,REV!$C:$AA,11,0)-'TRADE IN'!$F429=0,"",(VLOOKUP($C429,REV!$C:$AA,11,0)-'TRADE IN'!$F429))</f>
        <v>5999</v>
      </c>
      <c r="N429" s="56">
        <f>IF(VLOOKUP($C429,REV!$C:$AA,12,0)-'TRADE IN'!$F429=0,"",(VLOOKUP($C429,REV!$C:$AA,12,0)-'TRADE IN'!$F429))</f>
        <v>5999</v>
      </c>
      <c r="O429" s="56">
        <f>IF(VLOOKUP($C429,REV!$C:$AA,13,0)-'TRADE IN'!$F429=0,"",(VLOOKUP($C429,REV!$C:$AA,13,0)-'TRADE IN'!$F429))</f>
        <v>5899</v>
      </c>
      <c r="P429" s="56">
        <f>IF(VLOOKUP($C429,REV!$C:$AA,14,0)-'TRADE IN'!$F429=0,"",(VLOOKUP($C429,REV!$C:$AA,14,0)-'TRADE IN'!$F429))</f>
        <v>5799</v>
      </c>
      <c r="Q429" s="56">
        <f>IF(VLOOKUP($C429,REV!$C:$AA,15,0)-'TRADE IN'!$F429=0,"",(VLOOKUP($C429,REV!$C:$AA,15,0)-'TRADE IN'!$F429))</f>
        <v>4299</v>
      </c>
      <c r="R429" s="56">
        <f>IF(VLOOKUP($C429,REV!$C:$AA,16,0)-'TRADE IN'!$F429=0,"",(VLOOKUP($C429,REV!$C:$AA,16,0)-'TRADE IN'!$F429))</f>
        <v>5899</v>
      </c>
      <c r="S429" s="56">
        <f>IF(VLOOKUP($C429,REV!$C:$AA,17,0)-'TRADE IN'!$F429=0,"",(VLOOKUP($C429,REV!$C:$AA,17,0)-'TRADE IN'!$F429))</f>
        <v>5799</v>
      </c>
      <c r="T429" s="56">
        <f>IF(VLOOKUP($C429,REV!$C:$AA,18,0)-'TRADE IN'!$F429=0,"",(VLOOKUP($C429,REV!$C:$AA,18,0)-'TRADE IN'!$F429))</f>
        <v>4299</v>
      </c>
      <c r="U429" s="56">
        <f>IF(VLOOKUP($C429,REV!$C:$AA,19,0)-'TRADE IN'!$F429=0,"",(VLOOKUP($C429,REV!$C:$AA,19,0)-'TRADE IN'!$F429))</f>
        <v>4299</v>
      </c>
      <c r="V429" s="56">
        <f>IF(VLOOKUP($C429,REV!$C:$AA,20,0)-'TRADE IN'!$F429=0,"",(VLOOKUP($C429,REV!$C:$AA,20,0)-'TRADE IN'!$F429))</f>
        <v>4299</v>
      </c>
      <c r="W429" s="56">
        <f>IF(VLOOKUP($C429,REV!$C:$AA,21,0)-'TRADE IN'!$F429=0,"",(VLOOKUP($C429,REV!$C:$AA,21,0)-'TRADE IN'!$F429))</f>
        <v>4299</v>
      </c>
      <c r="X429" s="56">
        <f>IF(VLOOKUP($C429,REV!$C:$AA,22,0)-'TRADE IN'!$F429=0,"",(VLOOKUP($C429,REV!$C:$AA,22,0)-'TRADE IN'!$F429))</f>
        <v>4199</v>
      </c>
      <c r="Y429" s="56">
        <f>IF(VLOOKUP($C429,REV!$C:$AA,23,0)-'TRADE IN'!$F429=0,"",(VLOOKUP($C429,REV!$C:$AA,23,0)-'TRADE IN'!$F429))</f>
        <v>3499</v>
      </c>
      <c r="Z429" s="56">
        <f>IF(VLOOKUP($C429,REV!$C:$AA,24,0)-'TRADE IN'!$F429=0,"",(VLOOKUP($C429,REV!$C:$AA,24,0)-'TRADE IN'!$F429))</f>
        <v>3499</v>
      </c>
      <c r="AA429" s="56">
        <f>IF(VLOOKUP($C429,REV!$C:$AA,25,0)-'TRADE IN'!$F429=0,"",(VLOOKUP($C429,REV!$C:$AA,25,0)-'TRADE IN'!$F429))</f>
        <v>3299</v>
      </c>
      <c r="AB429" s="55">
        <f>IF(VLOOKUP($C429,REV!$C:$AL,27,0)-'TRADE IN'!$F429=0,"",(VLOOKUP($C429,REV!$C:$AL,27,0)-'TRADE IN'!$F429))</f>
        <v>5999</v>
      </c>
      <c r="AC429" s="55">
        <f>IF(VLOOKUP($C429,REV!$C:$AL,28,0)-'TRADE IN'!$F429=0,"",(VLOOKUP($C429,REV!$C:$AL,28,0)-'TRADE IN'!$F429))</f>
        <v>5999</v>
      </c>
      <c r="AD429" s="55">
        <f>IF(VLOOKUP($C429,REV!$C:$AL,29,0)-'TRADE IN'!$F429=0,"",(VLOOKUP($C429,REV!$C:$AL,29,0)-'TRADE IN'!$F429))</f>
        <v>5999</v>
      </c>
      <c r="AE429" s="55">
        <f>IF(VLOOKUP($C429,REV!$C:$AL,30,0)-'TRADE IN'!$F429=0,"",(VLOOKUP($C429,REV!$C:$AL,30,0)-'TRADE IN'!$F429))</f>
        <v>5899</v>
      </c>
      <c r="AF429" s="55">
        <f>IF(VLOOKUP($C429,REV!$C:$AL,31,0)-'TRADE IN'!$F429=0,"",(VLOOKUP($C429,REV!$C:$AL,31,0)-'TRADE IN'!$F429))</f>
        <v>5799</v>
      </c>
      <c r="AG429" s="55">
        <f>IF(VLOOKUP($C429,REV!$C:$AL,31,0)-'TRADE IN'!$F429=0,"",(VLOOKUP($C429,REV!$C:$AL,31,0)-'TRADE IN'!$F429))</f>
        <v>5799</v>
      </c>
      <c r="AH429" s="55">
        <f>IF(VLOOKUP($C429,REV!$C:$AL,32,0)-'TRADE IN'!$F429=0,"",(VLOOKUP($C429,REV!$C:$AL,32,0)-'TRADE IN'!$F429))</f>
        <v>4299</v>
      </c>
      <c r="AI429" s="55">
        <f>IF(VLOOKUP($C429,REV!$C:$AL,33,0)-'TRADE IN'!$F429=0,"",(VLOOKUP($C429,REV!$C:$AL,33,0)-'TRADE IN'!$F429))</f>
        <v>4299</v>
      </c>
      <c r="AJ429" s="55">
        <f>IF(VLOOKUP($C429,REV!$C:$AL,34,0)-'TRADE IN'!$F429=0,"",(VLOOKUP($C429,REV!$C:$AL,34,0)-'TRADE IN'!$F429))</f>
        <v>4299</v>
      </c>
      <c r="AK429" s="55">
        <f>IF(VLOOKUP($C429,REV!$C:$AL,35,0)-'TRADE IN'!$F429=0,"",(VLOOKUP($C429,REV!$C:$AL,35,0)-'TRADE IN'!$F429))</f>
        <v>4299</v>
      </c>
      <c r="AL429" s="55">
        <f>IF(VLOOKUP($C429,REV!$C:$AL,36,0)-'TRADE IN'!$F429=0,"",(VLOOKUP($C429,REV!$C:$AL,36,0)-'TRADE IN'!$F429))</f>
        <v>3499</v>
      </c>
      <c r="AM429" s="55"/>
      <c r="AN429" s="55"/>
      <c r="AO429" s="55"/>
      <c r="AP429" s="55"/>
      <c r="AQ429" s="55"/>
      <c r="AR429" s="55"/>
      <c r="AS429" s="55"/>
      <c r="AT429" s="55"/>
      <c r="AU429" s="55"/>
      <c r="AV429" s="57"/>
      <c r="AW429" s="58" t="str">
        <f>REV!AW429</f>
        <v>03.11.2026</v>
      </c>
      <c r="AX429" s="147" t="str">
        <f>VLOOKUP(C429,REV!C:AX,48,0)</f>
        <v>5G</v>
      </c>
    </row>
    <row r="430" spans="1:50" ht="22.5" customHeight="1">
      <c r="A430" s="51" t="s">
        <v>63</v>
      </c>
      <c r="B430" s="52" t="s">
        <v>64</v>
      </c>
      <c r="C430" s="53">
        <v>4016890</v>
      </c>
      <c r="D430" s="65" t="s">
        <v>621</v>
      </c>
      <c r="E430" s="65" t="s">
        <v>626</v>
      </c>
      <c r="F430" s="55">
        <v>1000</v>
      </c>
      <c r="G430" s="55"/>
      <c r="H430" s="55"/>
      <c r="I430" s="55"/>
      <c r="J430" s="56">
        <f>IF(VLOOKUP($C430,REV!$C:$AA,8,0)-'TRADE IN'!$F430=0,"",(VLOOKUP($C430,REV!$C:$AA,8,0)-'TRADE IN'!$F430))</f>
        <v>5999</v>
      </c>
      <c r="K430" s="56">
        <f>IF(VLOOKUP($C430,REV!$C:$AA,9,0)-'TRADE IN'!$F430=0,"",(VLOOKUP($C430,REV!$C:$AA,9,0)-'TRADE IN'!$F430))</f>
        <v>5999</v>
      </c>
      <c r="L430" s="56">
        <f>IF(VLOOKUP($C430,REV!$C:$AA,10,0)-'TRADE IN'!$F430=0,"",(VLOOKUP($C430,REV!$C:$AA,10,0)-'TRADE IN'!$F430))</f>
        <v>5999</v>
      </c>
      <c r="M430" s="56">
        <f>IF(VLOOKUP($C430,REV!$C:$AA,11,0)-'TRADE IN'!$F430=0,"",(VLOOKUP($C430,REV!$C:$AA,11,0)-'TRADE IN'!$F430))</f>
        <v>5999</v>
      </c>
      <c r="N430" s="56">
        <f>IF(VLOOKUP($C430,REV!$C:$AA,12,0)-'TRADE IN'!$F430=0,"",(VLOOKUP($C430,REV!$C:$AA,12,0)-'TRADE IN'!$F430))</f>
        <v>5999</v>
      </c>
      <c r="O430" s="56">
        <f>IF(VLOOKUP($C430,REV!$C:$AA,13,0)-'TRADE IN'!$F430=0,"",(VLOOKUP($C430,REV!$C:$AA,13,0)-'TRADE IN'!$F430))</f>
        <v>5899</v>
      </c>
      <c r="P430" s="56">
        <f>IF(VLOOKUP($C430,REV!$C:$AA,14,0)-'TRADE IN'!$F430=0,"",(VLOOKUP($C430,REV!$C:$AA,14,0)-'TRADE IN'!$F430))</f>
        <v>5799</v>
      </c>
      <c r="Q430" s="56">
        <f>IF(VLOOKUP($C430,REV!$C:$AA,15,0)-'TRADE IN'!$F430=0,"",(VLOOKUP($C430,REV!$C:$AA,15,0)-'TRADE IN'!$F430))</f>
        <v>4299</v>
      </c>
      <c r="R430" s="56">
        <f>IF(VLOOKUP($C430,REV!$C:$AA,16,0)-'TRADE IN'!$F430=0,"",(VLOOKUP($C430,REV!$C:$AA,16,0)-'TRADE IN'!$F430))</f>
        <v>5899</v>
      </c>
      <c r="S430" s="56">
        <f>IF(VLOOKUP($C430,REV!$C:$AA,17,0)-'TRADE IN'!$F430=0,"",(VLOOKUP($C430,REV!$C:$AA,17,0)-'TRADE IN'!$F430))</f>
        <v>5799</v>
      </c>
      <c r="T430" s="56">
        <f>IF(VLOOKUP($C430,REV!$C:$AA,18,0)-'TRADE IN'!$F430=0,"",(VLOOKUP($C430,REV!$C:$AA,18,0)-'TRADE IN'!$F430))</f>
        <v>4299</v>
      </c>
      <c r="U430" s="56">
        <f>IF(VLOOKUP($C430,REV!$C:$AA,19,0)-'TRADE IN'!$F430=0,"",(VLOOKUP($C430,REV!$C:$AA,19,0)-'TRADE IN'!$F430))</f>
        <v>4299</v>
      </c>
      <c r="V430" s="56">
        <f>IF(VLOOKUP($C430,REV!$C:$AA,20,0)-'TRADE IN'!$F430=0,"",(VLOOKUP($C430,REV!$C:$AA,20,0)-'TRADE IN'!$F430))</f>
        <v>4299</v>
      </c>
      <c r="W430" s="56">
        <f>IF(VLOOKUP($C430,REV!$C:$AA,21,0)-'TRADE IN'!$F430=0,"",(VLOOKUP($C430,REV!$C:$AA,21,0)-'TRADE IN'!$F430))</f>
        <v>4299</v>
      </c>
      <c r="X430" s="56">
        <f>IF(VLOOKUP($C430,REV!$C:$AA,22,0)-'TRADE IN'!$F430=0,"",(VLOOKUP($C430,REV!$C:$AA,22,0)-'TRADE IN'!$F430))</f>
        <v>4199</v>
      </c>
      <c r="Y430" s="56">
        <f>IF(VLOOKUP($C430,REV!$C:$AA,23,0)-'TRADE IN'!$F430=0,"",(VLOOKUP($C430,REV!$C:$AA,23,0)-'TRADE IN'!$F430))</f>
        <v>3499</v>
      </c>
      <c r="Z430" s="56">
        <f>IF(VLOOKUP($C430,REV!$C:$AA,24,0)-'TRADE IN'!$F430=0,"",(VLOOKUP($C430,REV!$C:$AA,24,0)-'TRADE IN'!$F430))</f>
        <v>3499</v>
      </c>
      <c r="AA430" s="56">
        <f>IF(VLOOKUP($C430,REV!$C:$AA,25,0)-'TRADE IN'!$F430=0,"",(VLOOKUP($C430,REV!$C:$AA,25,0)-'TRADE IN'!$F430))</f>
        <v>3299</v>
      </c>
      <c r="AB430" s="55">
        <f>IF(VLOOKUP($C430,REV!$C:$AL,27,0)-'TRADE IN'!$F430=0,"",(VLOOKUP($C430,REV!$C:$AL,27,0)-'TRADE IN'!$F430))</f>
        <v>5999</v>
      </c>
      <c r="AC430" s="55">
        <f>IF(VLOOKUP($C430,REV!$C:$AL,28,0)-'TRADE IN'!$F430=0,"",(VLOOKUP($C430,REV!$C:$AL,28,0)-'TRADE IN'!$F430))</f>
        <v>5999</v>
      </c>
      <c r="AD430" s="55">
        <f>IF(VLOOKUP($C430,REV!$C:$AL,29,0)-'TRADE IN'!$F430=0,"",(VLOOKUP($C430,REV!$C:$AL,29,0)-'TRADE IN'!$F430))</f>
        <v>5999</v>
      </c>
      <c r="AE430" s="55">
        <f>IF(VLOOKUP($C430,REV!$C:$AL,30,0)-'TRADE IN'!$F430=0,"",(VLOOKUP($C430,REV!$C:$AL,30,0)-'TRADE IN'!$F430))</f>
        <v>5899</v>
      </c>
      <c r="AF430" s="55">
        <f>IF(VLOOKUP($C430,REV!$C:$AL,31,0)-'TRADE IN'!$F430=0,"",(VLOOKUP($C430,REV!$C:$AL,31,0)-'TRADE IN'!$F430))</f>
        <v>5799</v>
      </c>
      <c r="AG430" s="55">
        <f>IF(VLOOKUP($C430,REV!$C:$AL,31,0)-'TRADE IN'!$F430=0,"",(VLOOKUP($C430,REV!$C:$AL,31,0)-'TRADE IN'!$F430))</f>
        <v>5799</v>
      </c>
      <c r="AH430" s="55">
        <f>IF(VLOOKUP($C430,REV!$C:$AL,32,0)-'TRADE IN'!$F430=0,"",(VLOOKUP($C430,REV!$C:$AL,32,0)-'TRADE IN'!$F430))</f>
        <v>4299</v>
      </c>
      <c r="AI430" s="55">
        <f>IF(VLOOKUP($C430,REV!$C:$AL,33,0)-'TRADE IN'!$F430=0,"",(VLOOKUP($C430,REV!$C:$AL,33,0)-'TRADE IN'!$F430))</f>
        <v>4299</v>
      </c>
      <c r="AJ430" s="55">
        <f>IF(VLOOKUP($C430,REV!$C:$AL,34,0)-'TRADE IN'!$F430=0,"",(VLOOKUP($C430,REV!$C:$AL,34,0)-'TRADE IN'!$F430))</f>
        <v>4299</v>
      </c>
      <c r="AK430" s="55">
        <f>IF(VLOOKUP($C430,REV!$C:$AL,35,0)-'TRADE IN'!$F430=0,"",(VLOOKUP($C430,REV!$C:$AL,35,0)-'TRADE IN'!$F430))</f>
        <v>4299</v>
      </c>
      <c r="AL430" s="55">
        <f>IF(VLOOKUP($C430,REV!$C:$AL,36,0)-'TRADE IN'!$F430=0,"",(VLOOKUP($C430,REV!$C:$AL,36,0)-'TRADE IN'!$F430))</f>
        <v>3499</v>
      </c>
      <c r="AM430" s="55"/>
      <c r="AN430" s="55"/>
      <c r="AO430" s="55"/>
      <c r="AP430" s="55"/>
      <c r="AQ430" s="55"/>
      <c r="AR430" s="55"/>
      <c r="AS430" s="55"/>
      <c r="AT430" s="55"/>
      <c r="AU430" s="55"/>
      <c r="AV430" s="57"/>
      <c r="AW430" s="58" t="str">
        <f>REV!AW430</f>
        <v>03.11.2026</v>
      </c>
      <c r="AX430" s="147" t="str">
        <f>VLOOKUP(C430,REV!C:AX,48,0)</f>
        <v>5G</v>
      </c>
    </row>
    <row r="431" spans="1:50" ht="22.5" customHeight="1">
      <c r="A431" s="51" t="s">
        <v>63</v>
      </c>
      <c r="B431" s="52" t="s">
        <v>64</v>
      </c>
      <c r="C431" s="53">
        <v>4016883</v>
      </c>
      <c r="D431" s="65" t="s">
        <v>621</v>
      </c>
      <c r="E431" s="65" t="s">
        <v>627</v>
      </c>
      <c r="F431" s="55">
        <v>1000</v>
      </c>
      <c r="G431" s="55"/>
      <c r="H431" s="55"/>
      <c r="I431" s="55"/>
      <c r="J431" s="56">
        <f>IF(VLOOKUP($C431,REV!$C:$AA,8,0)-'TRADE IN'!$F431=0,"",(VLOOKUP($C431,REV!$C:$AA,8,0)-'TRADE IN'!$F431))</f>
        <v>5999</v>
      </c>
      <c r="K431" s="56">
        <f>IF(VLOOKUP($C431,REV!$C:$AA,9,0)-'TRADE IN'!$F431=0,"",(VLOOKUP($C431,REV!$C:$AA,9,0)-'TRADE IN'!$F431))</f>
        <v>5999</v>
      </c>
      <c r="L431" s="56">
        <f>IF(VLOOKUP($C431,REV!$C:$AA,10,0)-'TRADE IN'!$F431=0,"",(VLOOKUP($C431,REV!$C:$AA,10,0)-'TRADE IN'!$F431))</f>
        <v>5999</v>
      </c>
      <c r="M431" s="56">
        <f>IF(VLOOKUP($C431,REV!$C:$AA,11,0)-'TRADE IN'!$F431=0,"",(VLOOKUP($C431,REV!$C:$AA,11,0)-'TRADE IN'!$F431))</f>
        <v>5999</v>
      </c>
      <c r="N431" s="56">
        <f>IF(VLOOKUP($C431,REV!$C:$AA,12,0)-'TRADE IN'!$F431=0,"",(VLOOKUP($C431,REV!$C:$AA,12,0)-'TRADE IN'!$F431))</f>
        <v>5999</v>
      </c>
      <c r="O431" s="56">
        <f>IF(VLOOKUP($C431,REV!$C:$AA,13,0)-'TRADE IN'!$F431=0,"",(VLOOKUP($C431,REV!$C:$AA,13,0)-'TRADE IN'!$F431))</f>
        <v>5899</v>
      </c>
      <c r="P431" s="56">
        <f>IF(VLOOKUP($C431,REV!$C:$AA,14,0)-'TRADE IN'!$F431=0,"",(VLOOKUP($C431,REV!$C:$AA,14,0)-'TRADE IN'!$F431))</f>
        <v>5799</v>
      </c>
      <c r="Q431" s="56">
        <f>IF(VLOOKUP($C431,REV!$C:$AA,15,0)-'TRADE IN'!$F431=0,"",(VLOOKUP($C431,REV!$C:$AA,15,0)-'TRADE IN'!$F431))</f>
        <v>4299</v>
      </c>
      <c r="R431" s="56">
        <f>IF(VLOOKUP($C431,REV!$C:$AA,16,0)-'TRADE IN'!$F431=0,"",(VLOOKUP($C431,REV!$C:$AA,16,0)-'TRADE IN'!$F431))</f>
        <v>5899</v>
      </c>
      <c r="S431" s="56">
        <f>IF(VLOOKUP($C431,REV!$C:$AA,17,0)-'TRADE IN'!$F431=0,"",(VLOOKUP($C431,REV!$C:$AA,17,0)-'TRADE IN'!$F431))</f>
        <v>5799</v>
      </c>
      <c r="T431" s="56">
        <f>IF(VLOOKUP($C431,REV!$C:$AA,18,0)-'TRADE IN'!$F431=0,"",(VLOOKUP($C431,REV!$C:$AA,18,0)-'TRADE IN'!$F431))</f>
        <v>4299</v>
      </c>
      <c r="U431" s="56">
        <f>IF(VLOOKUP($C431,REV!$C:$AA,19,0)-'TRADE IN'!$F431=0,"",(VLOOKUP($C431,REV!$C:$AA,19,0)-'TRADE IN'!$F431))</f>
        <v>4299</v>
      </c>
      <c r="V431" s="56">
        <f>IF(VLOOKUP($C431,REV!$C:$AA,20,0)-'TRADE IN'!$F431=0,"",(VLOOKUP($C431,REV!$C:$AA,20,0)-'TRADE IN'!$F431))</f>
        <v>4299</v>
      </c>
      <c r="W431" s="56">
        <f>IF(VLOOKUP($C431,REV!$C:$AA,21,0)-'TRADE IN'!$F431=0,"",(VLOOKUP($C431,REV!$C:$AA,21,0)-'TRADE IN'!$F431))</f>
        <v>4299</v>
      </c>
      <c r="X431" s="56">
        <f>IF(VLOOKUP($C431,REV!$C:$AA,22,0)-'TRADE IN'!$F431=0,"",(VLOOKUP($C431,REV!$C:$AA,22,0)-'TRADE IN'!$F431))</f>
        <v>4199</v>
      </c>
      <c r="Y431" s="56">
        <f>IF(VLOOKUP($C431,REV!$C:$AA,23,0)-'TRADE IN'!$F431=0,"",(VLOOKUP($C431,REV!$C:$AA,23,0)-'TRADE IN'!$F431))</f>
        <v>3499</v>
      </c>
      <c r="Z431" s="56">
        <f>IF(VLOOKUP($C431,REV!$C:$AA,24,0)-'TRADE IN'!$F431=0,"",(VLOOKUP($C431,REV!$C:$AA,24,0)-'TRADE IN'!$F431))</f>
        <v>3499</v>
      </c>
      <c r="AA431" s="56">
        <f>IF(VLOOKUP($C431,REV!$C:$AA,25,0)-'TRADE IN'!$F431=0,"",(VLOOKUP($C431,REV!$C:$AA,25,0)-'TRADE IN'!$F431))</f>
        <v>3299</v>
      </c>
      <c r="AB431" s="55">
        <f>IF(VLOOKUP($C431,REV!$C:$AL,27,0)-'TRADE IN'!$F431=0,"",(VLOOKUP($C431,REV!$C:$AL,27,0)-'TRADE IN'!$F431))</f>
        <v>5999</v>
      </c>
      <c r="AC431" s="55">
        <f>IF(VLOOKUP($C431,REV!$C:$AL,28,0)-'TRADE IN'!$F431=0,"",(VLOOKUP($C431,REV!$C:$AL,28,0)-'TRADE IN'!$F431))</f>
        <v>5999</v>
      </c>
      <c r="AD431" s="55">
        <f>IF(VLOOKUP($C431,REV!$C:$AL,29,0)-'TRADE IN'!$F431=0,"",(VLOOKUP($C431,REV!$C:$AL,29,0)-'TRADE IN'!$F431))</f>
        <v>5999</v>
      </c>
      <c r="AE431" s="55">
        <f>IF(VLOOKUP($C431,REV!$C:$AL,30,0)-'TRADE IN'!$F431=0,"",(VLOOKUP($C431,REV!$C:$AL,30,0)-'TRADE IN'!$F431))</f>
        <v>5899</v>
      </c>
      <c r="AF431" s="55">
        <f>IF(VLOOKUP($C431,REV!$C:$AL,31,0)-'TRADE IN'!$F431=0,"",(VLOOKUP($C431,REV!$C:$AL,31,0)-'TRADE IN'!$F431))</f>
        <v>5799</v>
      </c>
      <c r="AG431" s="55">
        <f>IF(VLOOKUP($C431,REV!$C:$AL,31,0)-'TRADE IN'!$F431=0,"",(VLOOKUP($C431,REV!$C:$AL,31,0)-'TRADE IN'!$F431))</f>
        <v>5799</v>
      </c>
      <c r="AH431" s="55">
        <f>IF(VLOOKUP($C431,REV!$C:$AL,32,0)-'TRADE IN'!$F431=0,"",(VLOOKUP($C431,REV!$C:$AL,32,0)-'TRADE IN'!$F431))</f>
        <v>4299</v>
      </c>
      <c r="AI431" s="55">
        <f>IF(VLOOKUP($C431,REV!$C:$AL,33,0)-'TRADE IN'!$F431=0,"",(VLOOKUP($C431,REV!$C:$AL,33,0)-'TRADE IN'!$F431))</f>
        <v>4299</v>
      </c>
      <c r="AJ431" s="55">
        <f>IF(VLOOKUP($C431,REV!$C:$AL,34,0)-'TRADE IN'!$F431=0,"",(VLOOKUP($C431,REV!$C:$AL,34,0)-'TRADE IN'!$F431))</f>
        <v>4299</v>
      </c>
      <c r="AK431" s="55">
        <f>IF(VLOOKUP($C431,REV!$C:$AL,35,0)-'TRADE IN'!$F431=0,"",(VLOOKUP($C431,REV!$C:$AL,35,0)-'TRADE IN'!$F431))</f>
        <v>4299</v>
      </c>
      <c r="AL431" s="55">
        <f>IF(VLOOKUP($C431,REV!$C:$AL,36,0)-'TRADE IN'!$F431=0,"",(VLOOKUP($C431,REV!$C:$AL,36,0)-'TRADE IN'!$F431))</f>
        <v>3499</v>
      </c>
      <c r="AM431" s="55"/>
      <c r="AN431" s="55"/>
      <c r="AO431" s="55"/>
      <c r="AP431" s="55"/>
      <c r="AQ431" s="55"/>
      <c r="AR431" s="55"/>
      <c r="AS431" s="55"/>
      <c r="AT431" s="55"/>
      <c r="AU431" s="55"/>
      <c r="AV431" s="57"/>
      <c r="AW431" s="58" t="str">
        <f>REV!AW431</f>
        <v>03.11.2026</v>
      </c>
      <c r="AX431" s="147" t="str">
        <f>VLOOKUP(C431,REV!C:AX,48,0)</f>
        <v>5G</v>
      </c>
    </row>
    <row r="432" spans="1:50" ht="22.5" customHeight="1">
      <c r="A432" s="51" t="s">
        <v>63</v>
      </c>
      <c r="B432" s="52" t="s">
        <v>64</v>
      </c>
      <c r="C432" s="53">
        <v>4016853</v>
      </c>
      <c r="D432" s="65" t="s">
        <v>628</v>
      </c>
      <c r="E432" s="65" t="s">
        <v>629</v>
      </c>
      <c r="F432" s="55"/>
      <c r="G432" s="55"/>
      <c r="H432" s="55"/>
      <c r="I432" s="55"/>
      <c r="J432" s="56">
        <f>IF(VLOOKUP($C432,REV!$C:$AA,8,0)-'TRADE IN'!$F432=0,"",(VLOOKUP($C432,REV!$C:$AA,8,0)-'TRADE IN'!$F432))</f>
        <v>7399</v>
      </c>
      <c r="K432" s="56">
        <f>IF(VLOOKUP($C432,REV!$C:$AA,9,0)-'TRADE IN'!$F432=0,"",(VLOOKUP($C432,REV!$C:$AA,9,0)-'TRADE IN'!$F432))</f>
        <v>7399</v>
      </c>
      <c r="L432" s="56">
        <f>IF(VLOOKUP($C432,REV!$C:$AA,10,0)-'TRADE IN'!$F432=0,"",(VLOOKUP($C432,REV!$C:$AA,10,0)-'TRADE IN'!$F432))</f>
        <v>7399</v>
      </c>
      <c r="M432" s="56">
        <f>IF(VLOOKUP($C432,REV!$C:$AA,11,0)-'TRADE IN'!$F432=0,"",(VLOOKUP($C432,REV!$C:$AA,11,0)-'TRADE IN'!$F432))</f>
        <v>7399</v>
      </c>
      <c r="N432" s="56">
        <f>IF(VLOOKUP($C432,REV!$C:$AA,12,0)-'TRADE IN'!$F432=0,"",(VLOOKUP($C432,REV!$C:$AA,12,0)-'TRADE IN'!$F432))</f>
        <v>7399</v>
      </c>
      <c r="O432" s="56">
        <f>IF(VLOOKUP($C432,REV!$C:$AA,13,0)-'TRADE IN'!$F432=0,"",(VLOOKUP($C432,REV!$C:$AA,13,0)-'TRADE IN'!$F432))</f>
        <v>7349</v>
      </c>
      <c r="P432" s="56">
        <f>IF(VLOOKUP($C432,REV!$C:$AA,14,0)-'TRADE IN'!$F432=0,"",(VLOOKUP($C432,REV!$C:$AA,14,0)-'TRADE IN'!$F432))</f>
        <v>7299</v>
      </c>
      <c r="Q432" s="56">
        <f>IF(VLOOKUP($C432,REV!$C:$AA,15,0)-'TRADE IN'!$F432=0,"",(VLOOKUP($C432,REV!$C:$AA,15,0)-'TRADE IN'!$F432))</f>
        <v>6899</v>
      </c>
      <c r="R432" s="56">
        <f>IF(VLOOKUP($C432,REV!$C:$AA,16,0)-'TRADE IN'!$F432=0,"",(VLOOKUP($C432,REV!$C:$AA,16,0)-'TRADE IN'!$F432))</f>
        <v>7349</v>
      </c>
      <c r="S432" s="56">
        <f>IF(VLOOKUP($C432,REV!$C:$AA,17,0)-'TRADE IN'!$F432=0,"",(VLOOKUP($C432,REV!$C:$AA,17,0)-'TRADE IN'!$F432))</f>
        <v>7299</v>
      </c>
      <c r="T432" s="56">
        <f>IF(VLOOKUP($C432,REV!$C:$AA,18,0)-'TRADE IN'!$F432=0,"",(VLOOKUP($C432,REV!$C:$AA,18,0)-'TRADE IN'!$F432))</f>
        <v>6899</v>
      </c>
      <c r="U432" s="56">
        <f>IF(VLOOKUP($C432,REV!$C:$AA,19,0)-'TRADE IN'!$F432=0,"",(VLOOKUP($C432,REV!$C:$AA,19,0)-'TRADE IN'!$F432))</f>
        <v>6899</v>
      </c>
      <c r="V432" s="56">
        <f>IF(VLOOKUP($C432,REV!$C:$AA,20,0)-'TRADE IN'!$F432=0,"",(VLOOKUP($C432,REV!$C:$AA,20,0)-'TRADE IN'!$F432))</f>
        <v>6899</v>
      </c>
      <c r="W432" s="56">
        <f>IF(VLOOKUP($C432,REV!$C:$AA,21,0)-'TRADE IN'!$F432=0,"",(VLOOKUP($C432,REV!$C:$AA,21,0)-'TRADE IN'!$F432))</f>
        <v>6899</v>
      </c>
      <c r="X432" s="56">
        <f>IF(VLOOKUP($C432,REV!$C:$AA,22,0)-'TRADE IN'!$F432=0,"",(VLOOKUP($C432,REV!$C:$AA,22,0)-'TRADE IN'!$F432))</f>
        <v>6799</v>
      </c>
      <c r="Y432" s="56">
        <f>IF(VLOOKUP($C432,REV!$C:$AA,23,0)-'TRADE IN'!$F432=0,"",(VLOOKUP($C432,REV!$C:$AA,23,0)-'TRADE IN'!$F432))</f>
        <v>5799</v>
      </c>
      <c r="Z432" s="56">
        <f>IF(VLOOKUP($C432,REV!$C:$AA,24,0)-'TRADE IN'!$F432=0,"",(VLOOKUP($C432,REV!$C:$AA,24,0)-'TRADE IN'!$F432))</f>
        <v>5799</v>
      </c>
      <c r="AA432" s="56">
        <f>IF(VLOOKUP($C432,REV!$C:$AA,25,0)-'TRADE IN'!$F432=0,"",(VLOOKUP($C432,REV!$C:$AA,25,0)-'TRADE IN'!$F432))</f>
        <v>5799</v>
      </c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7"/>
      <c r="AW432" s="58" t="str">
        <f>REV!AW432</f>
        <v>03.11.2026</v>
      </c>
      <c r="AX432" s="147" t="str">
        <f>VLOOKUP(C432,REV!C:AX,48,0)</f>
        <v>5G</v>
      </c>
    </row>
    <row r="433" spans="1:50" ht="22.5" customHeight="1">
      <c r="A433" s="51" t="s">
        <v>63</v>
      </c>
      <c r="B433" s="52" t="s">
        <v>64</v>
      </c>
      <c r="C433" s="53">
        <v>4016884</v>
      </c>
      <c r="D433" s="65" t="s">
        <v>628</v>
      </c>
      <c r="E433" s="65" t="s">
        <v>630</v>
      </c>
      <c r="F433" s="55"/>
      <c r="G433" s="55"/>
      <c r="H433" s="55"/>
      <c r="I433" s="55"/>
      <c r="J433" s="56">
        <f>IF(VLOOKUP($C433,REV!$C:$AA,8,0)-'TRADE IN'!$F433=0,"",(VLOOKUP($C433,REV!$C:$AA,8,0)-'TRADE IN'!$F433))</f>
        <v>7399</v>
      </c>
      <c r="K433" s="56">
        <f>IF(VLOOKUP($C433,REV!$C:$AA,9,0)-'TRADE IN'!$F433=0,"",(VLOOKUP($C433,REV!$C:$AA,9,0)-'TRADE IN'!$F433))</f>
        <v>7399</v>
      </c>
      <c r="L433" s="56">
        <f>IF(VLOOKUP($C433,REV!$C:$AA,10,0)-'TRADE IN'!$F433=0,"",(VLOOKUP($C433,REV!$C:$AA,10,0)-'TRADE IN'!$F433))</f>
        <v>7399</v>
      </c>
      <c r="M433" s="56">
        <f>IF(VLOOKUP($C433,REV!$C:$AA,11,0)-'TRADE IN'!$F433=0,"",(VLOOKUP($C433,REV!$C:$AA,11,0)-'TRADE IN'!$F433))</f>
        <v>7399</v>
      </c>
      <c r="N433" s="56">
        <f>IF(VLOOKUP($C433,REV!$C:$AA,12,0)-'TRADE IN'!$F433=0,"",(VLOOKUP($C433,REV!$C:$AA,12,0)-'TRADE IN'!$F433))</f>
        <v>7399</v>
      </c>
      <c r="O433" s="56">
        <f>IF(VLOOKUP($C433,REV!$C:$AA,13,0)-'TRADE IN'!$F433=0,"",(VLOOKUP($C433,REV!$C:$AA,13,0)-'TRADE IN'!$F433))</f>
        <v>7349</v>
      </c>
      <c r="P433" s="56">
        <f>IF(VLOOKUP($C433,REV!$C:$AA,14,0)-'TRADE IN'!$F433=0,"",(VLOOKUP($C433,REV!$C:$AA,14,0)-'TRADE IN'!$F433))</f>
        <v>7299</v>
      </c>
      <c r="Q433" s="56">
        <f>IF(VLOOKUP($C433,REV!$C:$AA,15,0)-'TRADE IN'!$F433=0,"",(VLOOKUP($C433,REV!$C:$AA,15,0)-'TRADE IN'!$F433))</f>
        <v>6899</v>
      </c>
      <c r="R433" s="56">
        <f>IF(VLOOKUP($C433,REV!$C:$AA,16,0)-'TRADE IN'!$F433=0,"",(VLOOKUP($C433,REV!$C:$AA,16,0)-'TRADE IN'!$F433))</f>
        <v>7349</v>
      </c>
      <c r="S433" s="56">
        <f>IF(VLOOKUP($C433,REV!$C:$AA,17,0)-'TRADE IN'!$F433=0,"",(VLOOKUP($C433,REV!$C:$AA,17,0)-'TRADE IN'!$F433))</f>
        <v>7299</v>
      </c>
      <c r="T433" s="56">
        <f>IF(VLOOKUP($C433,REV!$C:$AA,18,0)-'TRADE IN'!$F433=0,"",(VLOOKUP($C433,REV!$C:$AA,18,0)-'TRADE IN'!$F433))</f>
        <v>6899</v>
      </c>
      <c r="U433" s="56">
        <f>IF(VLOOKUP($C433,REV!$C:$AA,19,0)-'TRADE IN'!$F433=0,"",(VLOOKUP($C433,REV!$C:$AA,19,0)-'TRADE IN'!$F433))</f>
        <v>6899</v>
      </c>
      <c r="V433" s="56">
        <f>IF(VLOOKUP($C433,REV!$C:$AA,20,0)-'TRADE IN'!$F433=0,"",(VLOOKUP($C433,REV!$C:$AA,20,0)-'TRADE IN'!$F433))</f>
        <v>6899</v>
      </c>
      <c r="W433" s="56">
        <f>IF(VLOOKUP($C433,REV!$C:$AA,21,0)-'TRADE IN'!$F433=0,"",(VLOOKUP($C433,REV!$C:$AA,21,0)-'TRADE IN'!$F433))</f>
        <v>6899</v>
      </c>
      <c r="X433" s="56">
        <f>IF(VLOOKUP($C433,REV!$C:$AA,22,0)-'TRADE IN'!$F433=0,"",(VLOOKUP($C433,REV!$C:$AA,22,0)-'TRADE IN'!$F433))</f>
        <v>6799</v>
      </c>
      <c r="Y433" s="56">
        <f>IF(VLOOKUP($C433,REV!$C:$AA,23,0)-'TRADE IN'!$F433=0,"",(VLOOKUP($C433,REV!$C:$AA,23,0)-'TRADE IN'!$F433))</f>
        <v>5799</v>
      </c>
      <c r="Z433" s="56">
        <f>IF(VLOOKUP($C433,REV!$C:$AA,24,0)-'TRADE IN'!$F433=0,"",(VLOOKUP($C433,REV!$C:$AA,24,0)-'TRADE IN'!$F433))</f>
        <v>5799</v>
      </c>
      <c r="AA433" s="56">
        <f>IF(VLOOKUP($C433,REV!$C:$AA,25,0)-'TRADE IN'!$F433=0,"",(VLOOKUP($C433,REV!$C:$AA,25,0)-'TRADE IN'!$F433))</f>
        <v>5799</v>
      </c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7"/>
      <c r="AW433" s="58" t="str">
        <f>REV!AW433</f>
        <v>03.11.2026</v>
      </c>
      <c r="AX433" s="147" t="str">
        <f>VLOOKUP(C433,REV!C:AX,48,0)</f>
        <v>5G</v>
      </c>
    </row>
    <row r="434" spans="1:50" ht="22.5" customHeight="1">
      <c r="A434" s="51" t="s">
        <v>63</v>
      </c>
      <c r="B434" s="52" t="s">
        <v>64</v>
      </c>
      <c r="C434" s="53">
        <v>4016724</v>
      </c>
      <c r="D434" s="65" t="s">
        <v>631</v>
      </c>
      <c r="E434" s="65" t="s">
        <v>632</v>
      </c>
      <c r="F434" s="55">
        <v>700</v>
      </c>
      <c r="G434" s="55"/>
      <c r="H434" s="55"/>
      <c r="I434" s="55"/>
      <c r="J434" s="56">
        <f>IF(VLOOKUP($C434,REV!$C:$AA,8,0)-'TRADE IN'!$F434=0,"",(VLOOKUP($C434,REV!$C:$AA,8,0)-'TRADE IN'!$F434))</f>
        <v>5699</v>
      </c>
      <c r="K434" s="56">
        <f>IF(VLOOKUP($C434,REV!$C:$AA,9,0)-'TRADE IN'!$F434=0,"",(VLOOKUP($C434,REV!$C:$AA,9,0)-'TRADE IN'!$F434))</f>
        <v>5699</v>
      </c>
      <c r="L434" s="56">
        <f>IF(VLOOKUP($C434,REV!$C:$AA,10,0)-'TRADE IN'!$F434=0,"",(VLOOKUP($C434,REV!$C:$AA,10,0)-'TRADE IN'!$F434))</f>
        <v>5699</v>
      </c>
      <c r="M434" s="56">
        <f>IF(VLOOKUP($C434,REV!$C:$AA,11,0)-'TRADE IN'!$F434=0,"",(VLOOKUP($C434,REV!$C:$AA,11,0)-'TRADE IN'!$F434))</f>
        <v>5699</v>
      </c>
      <c r="N434" s="56">
        <f>IF(VLOOKUP($C434,REV!$C:$AA,12,0)-'TRADE IN'!$F434=0,"",(VLOOKUP($C434,REV!$C:$AA,12,0)-'TRADE IN'!$F434))</f>
        <v>5699</v>
      </c>
      <c r="O434" s="56">
        <f>IF(VLOOKUP($C434,REV!$C:$AA,13,0)-'TRADE IN'!$F434=0,"",(VLOOKUP($C434,REV!$C:$AA,13,0)-'TRADE IN'!$F434))</f>
        <v>5599</v>
      </c>
      <c r="P434" s="56">
        <f>IF(VLOOKUP($C434,REV!$C:$AA,14,0)-'TRADE IN'!$F434=0,"",(VLOOKUP($C434,REV!$C:$AA,14,0)-'TRADE IN'!$F434))</f>
        <v>5499</v>
      </c>
      <c r="Q434" s="56">
        <f>IF(VLOOKUP($C434,REV!$C:$AA,15,0)-'TRADE IN'!$F434=0,"",(VLOOKUP($C434,REV!$C:$AA,15,0)-'TRADE IN'!$F434))</f>
        <v>4599</v>
      </c>
      <c r="R434" s="56">
        <f>IF(VLOOKUP($C434,REV!$C:$AA,16,0)-'TRADE IN'!$F434=0,"",(VLOOKUP($C434,REV!$C:$AA,16,0)-'TRADE IN'!$F434))</f>
        <v>5599</v>
      </c>
      <c r="S434" s="56">
        <f>IF(VLOOKUP($C434,REV!$C:$AA,17,0)-'TRADE IN'!$F434=0,"",(VLOOKUP($C434,REV!$C:$AA,17,0)-'TRADE IN'!$F434))</f>
        <v>5499</v>
      </c>
      <c r="T434" s="56">
        <f>IF(VLOOKUP($C434,REV!$C:$AA,18,0)-'TRADE IN'!$F434=0,"",(VLOOKUP($C434,REV!$C:$AA,18,0)-'TRADE IN'!$F434))</f>
        <v>4599</v>
      </c>
      <c r="U434" s="56">
        <f>IF(VLOOKUP($C434,REV!$C:$AA,19,0)-'TRADE IN'!$F434=0,"",(VLOOKUP($C434,REV!$C:$AA,19,0)-'TRADE IN'!$F434))</f>
        <v>4599</v>
      </c>
      <c r="V434" s="56">
        <f>IF(VLOOKUP($C434,REV!$C:$AA,20,0)-'TRADE IN'!$F434=0,"",(VLOOKUP($C434,REV!$C:$AA,20,0)-'TRADE IN'!$F434))</f>
        <v>4599</v>
      </c>
      <c r="W434" s="56">
        <f>IF(VLOOKUP($C434,REV!$C:$AA,21,0)-'TRADE IN'!$F434=0,"",(VLOOKUP($C434,REV!$C:$AA,21,0)-'TRADE IN'!$F434))</f>
        <v>4599</v>
      </c>
      <c r="X434" s="56">
        <f>IF(VLOOKUP($C434,REV!$C:$AA,22,0)-'TRADE IN'!$F434=0,"",(VLOOKUP($C434,REV!$C:$AA,22,0)-'TRADE IN'!$F434))</f>
        <v>4499</v>
      </c>
      <c r="Y434" s="56">
        <f>IF(VLOOKUP($C434,REV!$C:$AA,23,0)-'TRADE IN'!$F434=0,"",(VLOOKUP($C434,REV!$C:$AA,23,0)-'TRADE IN'!$F434))</f>
        <v>3599</v>
      </c>
      <c r="Z434" s="56">
        <f>IF(VLOOKUP($C434,REV!$C:$AA,24,0)-'TRADE IN'!$F434=0,"",(VLOOKUP($C434,REV!$C:$AA,24,0)-'TRADE IN'!$F434))</f>
        <v>3599</v>
      </c>
      <c r="AA434" s="56">
        <f>IF(VLOOKUP($C434,REV!$C:$AA,25,0)-'TRADE IN'!$F434=0,"",(VLOOKUP($C434,REV!$C:$AA,25,0)-'TRADE IN'!$F434))</f>
        <v>3599</v>
      </c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7"/>
      <c r="AW434" s="58" t="str">
        <f>REV!AW434</f>
        <v>03.11.2026</v>
      </c>
      <c r="AX434" s="147" t="str">
        <f>VLOOKUP(C434,REV!C:AX,48,0)</f>
        <v>5G</v>
      </c>
    </row>
    <row r="435" spans="1:50" ht="22.5" customHeight="1">
      <c r="A435" s="51" t="s">
        <v>63</v>
      </c>
      <c r="B435" s="52" t="s">
        <v>64</v>
      </c>
      <c r="C435" s="53">
        <v>4017407</v>
      </c>
      <c r="D435" s="65" t="s">
        <v>633</v>
      </c>
      <c r="E435" s="65" t="s">
        <v>634</v>
      </c>
      <c r="F435" s="55">
        <v>500</v>
      </c>
      <c r="G435" s="55"/>
      <c r="H435" s="55"/>
      <c r="I435" s="55"/>
      <c r="J435" s="56">
        <f>IF(VLOOKUP($C435,REV!$C:$AA,8,0)-'TRADE IN'!$F435=0,"",(VLOOKUP($C435,REV!$C:$AA,8,0)-'TRADE IN'!$F435))</f>
        <v>2699</v>
      </c>
      <c r="K435" s="56">
        <f>IF(VLOOKUP($C435,REV!$C:$AA,9,0)-'TRADE IN'!$F435=0,"",(VLOOKUP($C435,REV!$C:$AA,9,0)-'TRADE IN'!$F435))</f>
        <v>2699</v>
      </c>
      <c r="L435" s="56">
        <f>IF(VLOOKUP($C435,REV!$C:$AA,10,0)-'TRADE IN'!$F435=0,"",(VLOOKUP($C435,REV!$C:$AA,10,0)-'TRADE IN'!$F435))</f>
        <v>2699</v>
      </c>
      <c r="M435" s="56">
        <f>IF(VLOOKUP($C435,REV!$C:$AA,11,0)-'TRADE IN'!$F435=0,"",(VLOOKUP($C435,REV!$C:$AA,11,0)-'TRADE IN'!$F435))</f>
        <v>2699</v>
      </c>
      <c r="N435" s="56">
        <f>IF(VLOOKUP($C435,REV!$C:$AA,12,0)-'TRADE IN'!$F435=0,"",(VLOOKUP($C435,REV!$C:$AA,12,0)-'TRADE IN'!$F435))</f>
        <v>2699</v>
      </c>
      <c r="O435" s="56">
        <f>IF(VLOOKUP($C435,REV!$C:$AA,13,0)-'TRADE IN'!$F435=0,"",(VLOOKUP($C435,REV!$C:$AA,13,0)-'TRADE IN'!$F435))</f>
        <v>2599</v>
      </c>
      <c r="P435" s="56">
        <f>IF(VLOOKUP($C435,REV!$C:$AA,14,0)-'TRADE IN'!$F435=0,"",(VLOOKUP($C435,REV!$C:$AA,14,0)-'TRADE IN'!$F435))</f>
        <v>2549</v>
      </c>
      <c r="Q435" s="56">
        <f>IF(VLOOKUP($C435,REV!$C:$AA,15,0)-'TRADE IN'!$F435=0,"",(VLOOKUP($C435,REV!$C:$AA,15,0)-'TRADE IN'!$F435))</f>
        <v>1299</v>
      </c>
      <c r="R435" s="56">
        <f>IF(VLOOKUP($C435,REV!$C:$AA,16,0)-'TRADE IN'!$F435=0,"",(VLOOKUP($C435,REV!$C:$AA,16,0)-'TRADE IN'!$F435))</f>
        <v>2599</v>
      </c>
      <c r="S435" s="56">
        <f>IF(VLOOKUP($C435,REV!$C:$AA,17,0)-'TRADE IN'!$F435=0,"",(VLOOKUP($C435,REV!$C:$AA,17,0)-'TRADE IN'!$F435))</f>
        <v>2549</v>
      </c>
      <c r="T435" s="56">
        <f>IF(VLOOKUP($C435,REV!$C:$AA,18,0)-'TRADE IN'!$F435=0,"",(VLOOKUP($C435,REV!$C:$AA,18,0)-'TRADE IN'!$F435))</f>
        <v>1299</v>
      </c>
      <c r="U435" s="56">
        <f>IF(VLOOKUP($C435,REV!$C:$AA,19,0)-'TRADE IN'!$F435=0,"",(VLOOKUP($C435,REV!$C:$AA,19,0)-'TRADE IN'!$F435))</f>
        <v>1299</v>
      </c>
      <c r="V435" s="56">
        <f>IF(VLOOKUP($C435,REV!$C:$AA,20,0)-'TRADE IN'!$F435=0,"",(VLOOKUP($C435,REV!$C:$AA,20,0)-'TRADE IN'!$F435))</f>
        <v>1299</v>
      </c>
      <c r="W435" s="56">
        <f>IF(VLOOKUP($C435,REV!$C:$AA,21,0)-'TRADE IN'!$F435=0,"",(VLOOKUP($C435,REV!$C:$AA,21,0)-'TRADE IN'!$F435))</f>
        <v>1299</v>
      </c>
      <c r="X435" s="56">
        <f>IF(VLOOKUP($C435,REV!$C:$AA,22,0)-'TRADE IN'!$F435=0,"",(VLOOKUP($C435,REV!$C:$AA,22,0)-'TRADE IN'!$F435))</f>
        <v>1249</v>
      </c>
      <c r="Y435" s="56">
        <f>IF(VLOOKUP($C435,REV!$C:$AA,23,0)-'TRADE IN'!$F435=0,"",(VLOOKUP($C435,REV!$C:$AA,23,0)-'TRADE IN'!$F435))</f>
        <v>1199</v>
      </c>
      <c r="Z435" s="56">
        <f>IF(VLOOKUP($C435,REV!$C:$AA,24,0)-'TRADE IN'!$F435=0,"",(VLOOKUP($C435,REV!$C:$AA,24,0)-'TRADE IN'!$F435))</f>
        <v>1199</v>
      </c>
      <c r="AA435" s="56">
        <f>IF(VLOOKUP($C435,REV!$C:$AA,25,0)-'TRADE IN'!$F435=0,"",(VLOOKUP($C435,REV!$C:$AA,25,0)-'TRADE IN'!$F435))</f>
        <v>999</v>
      </c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7"/>
      <c r="AW435" s="58" t="str">
        <f>REV!AW435</f>
        <v>03.11.2026</v>
      </c>
      <c r="AX435" s="147" t="str">
        <f>VLOOKUP(C435,REV!C:AX,48,0)</f>
        <v>5G</v>
      </c>
    </row>
    <row r="436" spans="1:50" ht="22.5" customHeight="1">
      <c r="A436" s="51" t="s">
        <v>63</v>
      </c>
      <c r="B436" s="52" t="s">
        <v>64</v>
      </c>
      <c r="C436" s="53">
        <v>4017422</v>
      </c>
      <c r="D436" s="65" t="s">
        <v>633</v>
      </c>
      <c r="E436" s="65" t="s">
        <v>635</v>
      </c>
      <c r="F436" s="55">
        <v>500</v>
      </c>
      <c r="G436" s="55"/>
      <c r="H436" s="55"/>
      <c r="I436" s="55"/>
      <c r="J436" s="56">
        <f>IF(VLOOKUP($C436,REV!$C:$AA,8,0)-'TRADE IN'!$F436=0,"",(VLOOKUP($C436,REV!$C:$AA,8,0)-'TRADE IN'!$F436))</f>
        <v>2699</v>
      </c>
      <c r="K436" s="56">
        <f>IF(VLOOKUP($C436,REV!$C:$AA,9,0)-'TRADE IN'!$F436=0,"",(VLOOKUP($C436,REV!$C:$AA,9,0)-'TRADE IN'!$F436))</f>
        <v>2699</v>
      </c>
      <c r="L436" s="56">
        <f>IF(VLOOKUP($C436,REV!$C:$AA,10,0)-'TRADE IN'!$F436=0,"",(VLOOKUP($C436,REV!$C:$AA,10,0)-'TRADE IN'!$F436))</f>
        <v>2699</v>
      </c>
      <c r="M436" s="56">
        <f>IF(VLOOKUP($C436,REV!$C:$AA,11,0)-'TRADE IN'!$F436=0,"",(VLOOKUP($C436,REV!$C:$AA,11,0)-'TRADE IN'!$F436))</f>
        <v>2699</v>
      </c>
      <c r="N436" s="56">
        <f>IF(VLOOKUP($C436,REV!$C:$AA,12,0)-'TRADE IN'!$F436=0,"",(VLOOKUP($C436,REV!$C:$AA,12,0)-'TRADE IN'!$F436))</f>
        <v>2699</v>
      </c>
      <c r="O436" s="56">
        <f>IF(VLOOKUP($C436,REV!$C:$AA,13,0)-'TRADE IN'!$F436=0,"",(VLOOKUP($C436,REV!$C:$AA,13,0)-'TRADE IN'!$F436))</f>
        <v>2599</v>
      </c>
      <c r="P436" s="56">
        <f>IF(VLOOKUP($C436,REV!$C:$AA,14,0)-'TRADE IN'!$F436=0,"",(VLOOKUP($C436,REV!$C:$AA,14,0)-'TRADE IN'!$F436))</f>
        <v>2549</v>
      </c>
      <c r="Q436" s="56">
        <f>IF(VLOOKUP($C436,REV!$C:$AA,15,0)-'TRADE IN'!$F436=0,"",(VLOOKUP($C436,REV!$C:$AA,15,0)-'TRADE IN'!$F436))</f>
        <v>1299</v>
      </c>
      <c r="R436" s="56">
        <f>IF(VLOOKUP($C436,REV!$C:$AA,16,0)-'TRADE IN'!$F436=0,"",(VLOOKUP($C436,REV!$C:$AA,16,0)-'TRADE IN'!$F436))</f>
        <v>2599</v>
      </c>
      <c r="S436" s="56">
        <f>IF(VLOOKUP($C436,REV!$C:$AA,17,0)-'TRADE IN'!$F436=0,"",(VLOOKUP($C436,REV!$C:$AA,17,0)-'TRADE IN'!$F436))</f>
        <v>2549</v>
      </c>
      <c r="T436" s="56">
        <f>IF(VLOOKUP($C436,REV!$C:$AA,18,0)-'TRADE IN'!$F436=0,"",(VLOOKUP($C436,REV!$C:$AA,18,0)-'TRADE IN'!$F436))</f>
        <v>1299</v>
      </c>
      <c r="U436" s="56">
        <f>IF(VLOOKUP($C436,REV!$C:$AA,19,0)-'TRADE IN'!$F436=0,"",(VLOOKUP($C436,REV!$C:$AA,19,0)-'TRADE IN'!$F436))</f>
        <v>1299</v>
      </c>
      <c r="V436" s="56">
        <f>IF(VLOOKUP($C436,REV!$C:$AA,20,0)-'TRADE IN'!$F436=0,"",(VLOOKUP($C436,REV!$C:$AA,20,0)-'TRADE IN'!$F436))</f>
        <v>1299</v>
      </c>
      <c r="W436" s="56">
        <f>IF(VLOOKUP($C436,REV!$C:$AA,21,0)-'TRADE IN'!$F436=0,"",(VLOOKUP($C436,REV!$C:$AA,21,0)-'TRADE IN'!$F436))</f>
        <v>1299</v>
      </c>
      <c r="X436" s="56">
        <f>IF(VLOOKUP($C436,REV!$C:$AA,22,0)-'TRADE IN'!$F436=0,"",(VLOOKUP($C436,REV!$C:$AA,22,0)-'TRADE IN'!$F436))</f>
        <v>1249</v>
      </c>
      <c r="Y436" s="56">
        <f>IF(VLOOKUP($C436,REV!$C:$AA,23,0)-'TRADE IN'!$F436=0,"",(VLOOKUP($C436,REV!$C:$AA,23,0)-'TRADE IN'!$F436))</f>
        <v>1199</v>
      </c>
      <c r="Z436" s="56">
        <f>IF(VLOOKUP($C436,REV!$C:$AA,24,0)-'TRADE IN'!$F436=0,"",(VLOOKUP($C436,REV!$C:$AA,24,0)-'TRADE IN'!$F436))</f>
        <v>1199</v>
      </c>
      <c r="AA436" s="56">
        <f>IF(VLOOKUP($C436,REV!$C:$AA,25,0)-'TRADE IN'!$F436=0,"",(VLOOKUP($C436,REV!$C:$AA,25,0)-'TRADE IN'!$F436))</f>
        <v>999</v>
      </c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7"/>
      <c r="AW436" s="58" t="str">
        <f>REV!AW436</f>
        <v>03.11.2026</v>
      </c>
      <c r="AX436" s="147" t="str">
        <f>VLOOKUP(C436,REV!C:AX,48,0)</f>
        <v>5G</v>
      </c>
    </row>
    <row r="437" spans="1:50" ht="22.5" customHeight="1">
      <c r="A437" s="51" t="s">
        <v>63</v>
      </c>
      <c r="B437" s="52" t="s">
        <v>64</v>
      </c>
      <c r="C437" s="53">
        <v>4017391</v>
      </c>
      <c r="D437" s="65" t="s">
        <v>636</v>
      </c>
      <c r="E437" s="65" t="s">
        <v>637</v>
      </c>
      <c r="F437" s="55">
        <v>300</v>
      </c>
      <c r="G437" s="55"/>
      <c r="H437" s="55"/>
      <c r="I437" s="55"/>
      <c r="J437" s="56">
        <f>IF(VLOOKUP($C437,REV!$C:$AA,8,0)-'TRADE IN'!$F437=0,"",(VLOOKUP($C437,REV!$C:$AA,8,0)-'TRADE IN'!$F437))</f>
        <v>3499</v>
      </c>
      <c r="K437" s="56">
        <f>IF(VLOOKUP($C437,REV!$C:$AA,9,0)-'TRADE IN'!$F437=0,"",(VLOOKUP($C437,REV!$C:$AA,9,0)-'TRADE IN'!$F437))</f>
        <v>3499</v>
      </c>
      <c r="L437" s="56">
        <f>IF(VLOOKUP($C437,REV!$C:$AA,10,0)-'TRADE IN'!$F437=0,"",(VLOOKUP($C437,REV!$C:$AA,10,0)-'TRADE IN'!$F437))</f>
        <v>3499</v>
      </c>
      <c r="M437" s="56">
        <f>IF(VLOOKUP($C437,REV!$C:$AA,11,0)-'TRADE IN'!$F437=0,"",(VLOOKUP($C437,REV!$C:$AA,11,0)-'TRADE IN'!$F437))</f>
        <v>3499</v>
      </c>
      <c r="N437" s="56">
        <f>IF(VLOOKUP($C437,REV!$C:$AA,12,0)-'TRADE IN'!$F437=0,"",(VLOOKUP($C437,REV!$C:$AA,12,0)-'TRADE IN'!$F437))</f>
        <v>3499</v>
      </c>
      <c r="O437" s="56">
        <f>IF(VLOOKUP($C437,REV!$C:$AA,13,0)-'TRADE IN'!$F437=0,"",(VLOOKUP($C437,REV!$C:$AA,13,0)-'TRADE IN'!$F437))</f>
        <v>3399</v>
      </c>
      <c r="P437" s="56">
        <f>IF(VLOOKUP($C437,REV!$C:$AA,14,0)-'TRADE IN'!$F437=0,"",(VLOOKUP($C437,REV!$C:$AA,14,0)-'TRADE IN'!$F437))</f>
        <v>3299</v>
      </c>
      <c r="Q437" s="56">
        <f>IF(VLOOKUP($C437,REV!$C:$AA,15,0)-'TRADE IN'!$F437=0,"",(VLOOKUP($C437,REV!$C:$AA,15,0)-'TRADE IN'!$F437))</f>
        <v>2199</v>
      </c>
      <c r="R437" s="56">
        <f>IF(VLOOKUP($C437,REV!$C:$AA,16,0)-'TRADE IN'!$F437=0,"",(VLOOKUP($C437,REV!$C:$AA,16,0)-'TRADE IN'!$F437))</f>
        <v>3399</v>
      </c>
      <c r="S437" s="56">
        <f>IF(VLOOKUP($C437,REV!$C:$AA,17,0)-'TRADE IN'!$F437=0,"",(VLOOKUP($C437,REV!$C:$AA,17,0)-'TRADE IN'!$F437))</f>
        <v>3299</v>
      </c>
      <c r="T437" s="56">
        <f>IF(VLOOKUP($C437,REV!$C:$AA,18,0)-'TRADE IN'!$F437=0,"",(VLOOKUP($C437,REV!$C:$AA,18,0)-'TRADE IN'!$F437))</f>
        <v>2199</v>
      </c>
      <c r="U437" s="56">
        <f>IF(VLOOKUP($C437,REV!$C:$AA,19,0)-'TRADE IN'!$F437=0,"",(VLOOKUP($C437,REV!$C:$AA,19,0)-'TRADE IN'!$F437))</f>
        <v>2199</v>
      </c>
      <c r="V437" s="56">
        <f>IF(VLOOKUP($C437,REV!$C:$AA,20,0)-'TRADE IN'!$F437=0,"",(VLOOKUP($C437,REV!$C:$AA,20,0)-'TRADE IN'!$F437))</f>
        <v>2199</v>
      </c>
      <c r="W437" s="56">
        <f>IF(VLOOKUP($C437,REV!$C:$AA,21,0)-'TRADE IN'!$F437=0,"",(VLOOKUP($C437,REV!$C:$AA,21,0)-'TRADE IN'!$F437))</f>
        <v>2199</v>
      </c>
      <c r="X437" s="56">
        <f>IF(VLOOKUP($C437,REV!$C:$AA,22,0)-'TRADE IN'!$F437=0,"",(VLOOKUP($C437,REV!$C:$AA,22,0)-'TRADE IN'!$F437))</f>
        <v>2099</v>
      </c>
      <c r="Y437" s="56">
        <f>IF(VLOOKUP($C437,REV!$C:$AA,23,0)-'TRADE IN'!$F437=0,"",(VLOOKUP($C437,REV!$C:$AA,23,0)-'TRADE IN'!$F437))</f>
        <v>1899</v>
      </c>
      <c r="Z437" s="56">
        <f>IF(VLOOKUP($C437,REV!$C:$AA,24,0)-'TRADE IN'!$F437=0,"",(VLOOKUP($C437,REV!$C:$AA,24,0)-'TRADE IN'!$F437))</f>
        <v>1899</v>
      </c>
      <c r="AA437" s="56">
        <f>IF(VLOOKUP($C437,REV!$C:$AA,25,0)-'TRADE IN'!$F437=0,"",(VLOOKUP($C437,REV!$C:$AA,25,0)-'TRADE IN'!$F437))</f>
        <v>1699</v>
      </c>
      <c r="AB437" s="55">
        <f>IF(VLOOKUP($C437,REV!$C:$AL,27,0)-'TRADE IN'!$F437=0,"",(VLOOKUP($C437,REV!$C:$AL,27,0)-'TRADE IN'!$F437))</f>
        <v>3499</v>
      </c>
      <c r="AC437" s="55">
        <f>IF(VLOOKUP($C437,REV!$C:$AL,28,0)-'TRADE IN'!$F437=0,"",(VLOOKUP($C437,REV!$C:$AL,28,0)-'TRADE IN'!$F437))</f>
        <v>3499</v>
      </c>
      <c r="AD437" s="55">
        <f>IF(VLOOKUP($C437,REV!$C:$AL,29,0)-'TRADE IN'!$F437=0,"",(VLOOKUP($C437,REV!$C:$AL,29,0)-'TRADE IN'!$F437))</f>
        <v>3499</v>
      </c>
      <c r="AE437" s="55">
        <f>IF(VLOOKUP($C437,REV!$C:$AL,30,0)-'TRADE IN'!$F437=0,"",(VLOOKUP($C437,REV!$C:$AL,30,0)-'TRADE IN'!$F437))</f>
        <v>3399</v>
      </c>
      <c r="AF437" s="55">
        <f>IF(VLOOKUP($C437,REV!$C:$AL,31,0)-'TRADE IN'!$F437=0,"",(VLOOKUP($C437,REV!$C:$AL,31,0)-'TRADE IN'!$F437))</f>
        <v>3299</v>
      </c>
      <c r="AG437" s="55">
        <f>IF(VLOOKUP($C437,REV!$C:$AL,31,0)-'TRADE IN'!$F437=0,"",(VLOOKUP($C437,REV!$C:$AL,31,0)-'TRADE IN'!$F437))</f>
        <v>3299</v>
      </c>
      <c r="AH437" s="55">
        <f>IF(VLOOKUP($C437,REV!$C:$AL,32,0)-'TRADE IN'!$F437=0,"",(VLOOKUP($C437,REV!$C:$AL,32,0)-'TRADE IN'!$F437))</f>
        <v>2199</v>
      </c>
      <c r="AI437" s="55">
        <f>IF(VLOOKUP($C437,REV!$C:$AL,33,0)-'TRADE IN'!$F437=0,"",(VLOOKUP($C437,REV!$C:$AL,33,0)-'TRADE IN'!$F437))</f>
        <v>2199</v>
      </c>
      <c r="AJ437" s="55">
        <f>IF(VLOOKUP($C437,REV!$C:$AL,34,0)-'TRADE IN'!$F437=0,"",(VLOOKUP($C437,REV!$C:$AL,34,0)-'TRADE IN'!$F437))</f>
        <v>2199</v>
      </c>
      <c r="AK437" s="55">
        <f>IF(VLOOKUP($C437,REV!$C:$AL,35,0)-'TRADE IN'!$F437=0,"",(VLOOKUP($C437,REV!$C:$AL,35,0)-'TRADE IN'!$F437))</f>
        <v>2199</v>
      </c>
      <c r="AL437" s="55">
        <f>IF(VLOOKUP($C437,REV!$C:$AL,36,0)-'TRADE IN'!$F437=0,"",(VLOOKUP($C437,REV!$C:$AL,36,0)-'TRADE IN'!$F437))</f>
        <v>1899</v>
      </c>
      <c r="AM437" s="55"/>
      <c r="AN437" s="55"/>
      <c r="AO437" s="55"/>
      <c r="AP437" s="55"/>
      <c r="AQ437" s="55"/>
      <c r="AR437" s="55"/>
      <c r="AS437" s="55"/>
      <c r="AT437" s="55"/>
      <c r="AU437" s="55"/>
      <c r="AV437" s="57"/>
      <c r="AW437" s="58" t="str">
        <f>REV!AW437</f>
        <v>03.11.2026</v>
      </c>
      <c r="AX437" s="147" t="str">
        <f>VLOOKUP(C437,REV!C:AX,48,0)</f>
        <v>5G</v>
      </c>
    </row>
    <row r="438" spans="1:50" ht="22.5" customHeight="1">
      <c r="A438" s="51" t="s">
        <v>63</v>
      </c>
      <c r="B438" s="52" t="s">
        <v>64</v>
      </c>
      <c r="C438" s="53">
        <v>4017406</v>
      </c>
      <c r="D438" s="65" t="s">
        <v>636</v>
      </c>
      <c r="E438" s="65" t="s">
        <v>638</v>
      </c>
      <c r="F438" s="55">
        <v>300</v>
      </c>
      <c r="G438" s="55"/>
      <c r="H438" s="55"/>
      <c r="I438" s="55"/>
      <c r="J438" s="56">
        <f>IF(VLOOKUP($C438,REV!$C:$AA,8,0)-'TRADE IN'!$F438=0,"",(VLOOKUP($C438,REV!$C:$AA,8,0)-'TRADE IN'!$F438))</f>
        <v>3499</v>
      </c>
      <c r="K438" s="56">
        <f>IF(VLOOKUP($C438,REV!$C:$AA,9,0)-'TRADE IN'!$F438=0,"",(VLOOKUP($C438,REV!$C:$AA,9,0)-'TRADE IN'!$F438))</f>
        <v>3499</v>
      </c>
      <c r="L438" s="56">
        <f>IF(VLOOKUP($C438,REV!$C:$AA,10,0)-'TRADE IN'!$F438=0,"",(VLOOKUP($C438,REV!$C:$AA,10,0)-'TRADE IN'!$F438))</f>
        <v>3499</v>
      </c>
      <c r="M438" s="56">
        <f>IF(VLOOKUP($C438,REV!$C:$AA,11,0)-'TRADE IN'!$F438=0,"",(VLOOKUP($C438,REV!$C:$AA,11,0)-'TRADE IN'!$F438))</f>
        <v>3499</v>
      </c>
      <c r="N438" s="56">
        <f>IF(VLOOKUP($C438,REV!$C:$AA,12,0)-'TRADE IN'!$F438=0,"",(VLOOKUP($C438,REV!$C:$AA,12,0)-'TRADE IN'!$F438))</f>
        <v>3499</v>
      </c>
      <c r="O438" s="56">
        <f>IF(VLOOKUP($C438,REV!$C:$AA,13,0)-'TRADE IN'!$F438=0,"",(VLOOKUP($C438,REV!$C:$AA,13,0)-'TRADE IN'!$F438))</f>
        <v>3399</v>
      </c>
      <c r="P438" s="56">
        <f>IF(VLOOKUP($C438,REV!$C:$AA,14,0)-'TRADE IN'!$F438=0,"",(VLOOKUP($C438,REV!$C:$AA,14,0)-'TRADE IN'!$F438))</f>
        <v>3299</v>
      </c>
      <c r="Q438" s="56">
        <f>IF(VLOOKUP($C438,REV!$C:$AA,15,0)-'TRADE IN'!$F438=0,"",(VLOOKUP($C438,REV!$C:$AA,15,0)-'TRADE IN'!$F438))</f>
        <v>2199</v>
      </c>
      <c r="R438" s="56">
        <f>IF(VLOOKUP($C438,REV!$C:$AA,16,0)-'TRADE IN'!$F438=0,"",(VLOOKUP($C438,REV!$C:$AA,16,0)-'TRADE IN'!$F438))</f>
        <v>3399</v>
      </c>
      <c r="S438" s="56">
        <f>IF(VLOOKUP($C438,REV!$C:$AA,17,0)-'TRADE IN'!$F438=0,"",(VLOOKUP($C438,REV!$C:$AA,17,0)-'TRADE IN'!$F438))</f>
        <v>3299</v>
      </c>
      <c r="T438" s="56">
        <f>IF(VLOOKUP($C438,REV!$C:$AA,18,0)-'TRADE IN'!$F438=0,"",(VLOOKUP($C438,REV!$C:$AA,18,0)-'TRADE IN'!$F438))</f>
        <v>2199</v>
      </c>
      <c r="U438" s="56">
        <f>IF(VLOOKUP($C438,REV!$C:$AA,19,0)-'TRADE IN'!$F438=0,"",(VLOOKUP($C438,REV!$C:$AA,19,0)-'TRADE IN'!$F438))</f>
        <v>2199</v>
      </c>
      <c r="V438" s="56">
        <f>IF(VLOOKUP($C438,REV!$C:$AA,20,0)-'TRADE IN'!$F438=0,"",(VLOOKUP($C438,REV!$C:$AA,20,0)-'TRADE IN'!$F438))</f>
        <v>2199</v>
      </c>
      <c r="W438" s="56">
        <f>IF(VLOOKUP($C438,REV!$C:$AA,21,0)-'TRADE IN'!$F438=0,"",(VLOOKUP($C438,REV!$C:$AA,21,0)-'TRADE IN'!$F438))</f>
        <v>2199</v>
      </c>
      <c r="X438" s="56">
        <f>IF(VLOOKUP($C438,REV!$C:$AA,22,0)-'TRADE IN'!$F438=0,"",(VLOOKUP($C438,REV!$C:$AA,22,0)-'TRADE IN'!$F438))</f>
        <v>2099</v>
      </c>
      <c r="Y438" s="56">
        <f>IF(VLOOKUP($C438,REV!$C:$AA,23,0)-'TRADE IN'!$F438=0,"",(VLOOKUP($C438,REV!$C:$AA,23,0)-'TRADE IN'!$F438))</f>
        <v>1899</v>
      </c>
      <c r="Z438" s="56">
        <f>IF(VLOOKUP($C438,REV!$C:$AA,24,0)-'TRADE IN'!$F438=0,"",(VLOOKUP($C438,REV!$C:$AA,24,0)-'TRADE IN'!$F438))</f>
        <v>1899</v>
      </c>
      <c r="AA438" s="56">
        <f>IF(VLOOKUP($C438,REV!$C:$AA,25,0)-'TRADE IN'!$F438=0,"",(VLOOKUP($C438,REV!$C:$AA,25,0)-'TRADE IN'!$F438))</f>
        <v>1699</v>
      </c>
      <c r="AB438" s="55">
        <f>IF(VLOOKUP($C438,REV!$C:$AL,27,0)-'TRADE IN'!$F438=0,"",(VLOOKUP($C438,REV!$C:$AL,27,0)-'TRADE IN'!$F438))</f>
        <v>3499</v>
      </c>
      <c r="AC438" s="55">
        <f>IF(VLOOKUP($C438,REV!$C:$AL,28,0)-'TRADE IN'!$F438=0,"",(VLOOKUP($C438,REV!$C:$AL,28,0)-'TRADE IN'!$F438))</f>
        <v>3499</v>
      </c>
      <c r="AD438" s="55">
        <f>IF(VLOOKUP($C438,REV!$C:$AL,29,0)-'TRADE IN'!$F438=0,"",(VLOOKUP($C438,REV!$C:$AL,29,0)-'TRADE IN'!$F438))</f>
        <v>3499</v>
      </c>
      <c r="AE438" s="55">
        <f>IF(VLOOKUP($C438,REV!$C:$AL,30,0)-'TRADE IN'!$F438=0,"",(VLOOKUP($C438,REV!$C:$AL,30,0)-'TRADE IN'!$F438))</f>
        <v>3399</v>
      </c>
      <c r="AF438" s="55">
        <f>IF(VLOOKUP($C438,REV!$C:$AL,31,0)-'TRADE IN'!$F438=0,"",(VLOOKUP($C438,REV!$C:$AL,31,0)-'TRADE IN'!$F438))</f>
        <v>3299</v>
      </c>
      <c r="AG438" s="55">
        <f>IF(VLOOKUP($C438,REV!$C:$AL,31,0)-'TRADE IN'!$F438=0,"",(VLOOKUP($C438,REV!$C:$AL,31,0)-'TRADE IN'!$F438))</f>
        <v>3299</v>
      </c>
      <c r="AH438" s="55">
        <f>IF(VLOOKUP($C438,REV!$C:$AL,32,0)-'TRADE IN'!$F438=0,"",(VLOOKUP($C438,REV!$C:$AL,32,0)-'TRADE IN'!$F438))</f>
        <v>2199</v>
      </c>
      <c r="AI438" s="55">
        <f>IF(VLOOKUP($C438,REV!$C:$AL,33,0)-'TRADE IN'!$F438=0,"",(VLOOKUP($C438,REV!$C:$AL,33,0)-'TRADE IN'!$F438))</f>
        <v>2199</v>
      </c>
      <c r="AJ438" s="55">
        <f>IF(VLOOKUP($C438,REV!$C:$AL,34,0)-'TRADE IN'!$F438=0,"",(VLOOKUP($C438,REV!$C:$AL,34,0)-'TRADE IN'!$F438))</f>
        <v>2199</v>
      </c>
      <c r="AK438" s="55">
        <f>IF(VLOOKUP($C438,REV!$C:$AL,35,0)-'TRADE IN'!$F438=0,"",(VLOOKUP($C438,REV!$C:$AL,35,0)-'TRADE IN'!$F438))</f>
        <v>2199</v>
      </c>
      <c r="AL438" s="55">
        <f>IF(VLOOKUP($C438,REV!$C:$AL,36,0)-'TRADE IN'!$F438=0,"",(VLOOKUP($C438,REV!$C:$AL,36,0)-'TRADE IN'!$F438))</f>
        <v>1899</v>
      </c>
      <c r="AM438" s="55"/>
      <c r="AN438" s="55"/>
      <c r="AO438" s="55"/>
      <c r="AP438" s="55"/>
      <c r="AQ438" s="55"/>
      <c r="AR438" s="55"/>
      <c r="AS438" s="55"/>
      <c r="AT438" s="55"/>
      <c r="AU438" s="55"/>
      <c r="AV438" s="57"/>
      <c r="AW438" s="58" t="str">
        <f>REV!AW438</f>
        <v>03.11.2026</v>
      </c>
      <c r="AX438" s="147" t="str">
        <f>VLOOKUP(C438,REV!C:AX,48,0)</f>
        <v>5G</v>
      </c>
    </row>
    <row r="439" spans="1:50" ht="22.5" customHeight="1">
      <c r="A439" s="51" t="s">
        <v>63</v>
      </c>
      <c r="B439" s="52" t="s">
        <v>64</v>
      </c>
      <c r="C439" s="53">
        <v>4017411</v>
      </c>
      <c r="D439" s="65" t="s">
        <v>636</v>
      </c>
      <c r="E439" s="65" t="s">
        <v>639</v>
      </c>
      <c r="F439" s="55">
        <v>300</v>
      </c>
      <c r="G439" s="55"/>
      <c r="H439" s="55"/>
      <c r="I439" s="55"/>
      <c r="J439" s="56">
        <f>IF(VLOOKUP($C439,REV!$C:$AA,8,0)-'TRADE IN'!$F439=0,"",(VLOOKUP($C439,REV!$C:$AA,8,0)-'TRADE IN'!$F439))</f>
        <v>3499</v>
      </c>
      <c r="K439" s="56">
        <f>IF(VLOOKUP($C439,REV!$C:$AA,9,0)-'TRADE IN'!$F439=0,"",(VLOOKUP($C439,REV!$C:$AA,9,0)-'TRADE IN'!$F439))</f>
        <v>3499</v>
      </c>
      <c r="L439" s="56">
        <f>IF(VLOOKUP($C439,REV!$C:$AA,10,0)-'TRADE IN'!$F439=0,"",(VLOOKUP($C439,REV!$C:$AA,10,0)-'TRADE IN'!$F439))</f>
        <v>3499</v>
      </c>
      <c r="M439" s="56">
        <f>IF(VLOOKUP($C439,REV!$C:$AA,11,0)-'TRADE IN'!$F439=0,"",(VLOOKUP($C439,REV!$C:$AA,11,0)-'TRADE IN'!$F439))</f>
        <v>3499</v>
      </c>
      <c r="N439" s="56">
        <f>IF(VLOOKUP($C439,REV!$C:$AA,12,0)-'TRADE IN'!$F439=0,"",(VLOOKUP($C439,REV!$C:$AA,12,0)-'TRADE IN'!$F439))</f>
        <v>3499</v>
      </c>
      <c r="O439" s="56">
        <f>IF(VLOOKUP($C439,REV!$C:$AA,13,0)-'TRADE IN'!$F439=0,"",(VLOOKUP($C439,REV!$C:$AA,13,0)-'TRADE IN'!$F439))</f>
        <v>3399</v>
      </c>
      <c r="P439" s="56">
        <f>IF(VLOOKUP($C439,REV!$C:$AA,14,0)-'TRADE IN'!$F439=0,"",(VLOOKUP($C439,REV!$C:$AA,14,0)-'TRADE IN'!$F439))</f>
        <v>3299</v>
      </c>
      <c r="Q439" s="56">
        <f>IF(VLOOKUP($C439,REV!$C:$AA,15,0)-'TRADE IN'!$F439=0,"",(VLOOKUP($C439,REV!$C:$AA,15,0)-'TRADE IN'!$F439))</f>
        <v>2199</v>
      </c>
      <c r="R439" s="56">
        <f>IF(VLOOKUP($C439,REV!$C:$AA,16,0)-'TRADE IN'!$F439=0,"",(VLOOKUP($C439,REV!$C:$AA,16,0)-'TRADE IN'!$F439))</f>
        <v>3399</v>
      </c>
      <c r="S439" s="56">
        <f>IF(VLOOKUP($C439,REV!$C:$AA,17,0)-'TRADE IN'!$F439=0,"",(VLOOKUP($C439,REV!$C:$AA,17,0)-'TRADE IN'!$F439))</f>
        <v>3299</v>
      </c>
      <c r="T439" s="56">
        <f>IF(VLOOKUP($C439,REV!$C:$AA,18,0)-'TRADE IN'!$F439=0,"",(VLOOKUP($C439,REV!$C:$AA,18,0)-'TRADE IN'!$F439))</f>
        <v>2199</v>
      </c>
      <c r="U439" s="56">
        <f>IF(VLOOKUP($C439,REV!$C:$AA,19,0)-'TRADE IN'!$F439=0,"",(VLOOKUP($C439,REV!$C:$AA,19,0)-'TRADE IN'!$F439))</f>
        <v>2199</v>
      </c>
      <c r="V439" s="56">
        <f>IF(VLOOKUP($C439,REV!$C:$AA,20,0)-'TRADE IN'!$F439=0,"",(VLOOKUP($C439,REV!$C:$AA,20,0)-'TRADE IN'!$F439))</f>
        <v>2199</v>
      </c>
      <c r="W439" s="56">
        <f>IF(VLOOKUP($C439,REV!$C:$AA,21,0)-'TRADE IN'!$F439=0,"",(VLOOKUP($C439,REV!$C:$AA,21,0)-'TRADE IN'!$F439))</f>
        <v>2199</v>
      </c>
      <c r="X439" s="56">
        <f>IF(VLOOKUP($C439,REV!$C:$AA,22,0)-'TRADE IN'!$F439=0,"",(VLOOKUP($C439,REV!$C:$AA,22,0)-'TRADE IN'!$F439))</f>
        <v>2099</v>
      </c>
      <c r="Y439" s="56">
        <f>IF(VLOOKUP($C439,REV!$C:$AA,23,0)-'TRADE IN'!$F439=0,"",(VLOOKUP($C439,REV!$C:$AA,23,0)-'TRADE IN'!$F439))</f>
        <v>1899</v>
      </c>
      <c r="Z439" s="56">
        <f>IF(VLOOKUP($C439,REV!$C:$AA,24,0)-'TRADE IN'!$F439=0,"",(VLOOKUP($C439,REV!$C:$AA,24,0)-'TRADE IN'!$F439))</f>
        <v>1899</v>
      </c>
      <c r="AA439" s="56">
        <f>IF(VLOOKUP($C439,REV!$C:$AA,25,0)-'TRADE IN'!$F439=0,"",(VLOOKUP($C439,REV!$C:$AA,25,0)-'TRADE IN'!$F439))</f>
        <v>1699</v>
      </c>
      <c r="AB439" s="55">
        <f>IF(VLOOKUP($C439,REV!$C:$AL,27,0)-'TRADE IN'!$F439=0,"",(VLOOKUP($C439,REV!$C:$AL,27,0)-'TRADE IN'!$F439))</f>
        <v>3499</v>
      </c>
      <c r="AC439" s="55">
        <f>IF(VLOOKUP($C439,REV!$C:$AL,28,0)-'TRADE IN'!$F439=0,"",(VLOOKUP($C439,REV!$C:$AL,28,0)-'TRADE IN'!$F439))</f>
        <v>3499</v>
      </c>
      <c r="AD439" s="55">
        <f>IF(VLOOKUP($C439,REV!$C:$AL,29,0)-'TRADE IN'!$F439=0,"",(VLOOKUP($C439,REV!$C:$AL,29,0)-'TRADE IN'!$F439))</f>
        <v>3499</v>
      </c>
      <c r="AE439" s="55">
        <f>IF(VLOOKUP($C439,REV!$C:$AL,30,0)-'TRADE IN'!$F439=0,"",(VLOOKUP($C439,REV!$C:$AL,30,0)-'TRADE IN'!$F439))</f>
        <v>3399</v>
      </c>
      <c r="AF439" s="55">
        <f>IF(VLOOKUP($C439,REV!$C:$AL,31,0)-'TRADE IN'!$F439=0,"",(VLOOKUP($C439,REV!$C:$AL,31,0)-'TRADE IN'!$F439))</f>
        <v>3299</v>
      </c>
      <c r="AG439" s="55">
        <f>IF(VLOOKUP($C439,REV!$C:$AL,31,0)-'TRADE IN'!$F439=0,"",(VLOOKUP($C439,REV!$C:$AL,31,0)-'TRADE IN'!$F439))</f>
        <v>3299</v>
      </c>
      <c r="AH439" s="55">
        <f>IF(VLOOKUP($C439,REV!$C:$AL,32,0)-'TRADE IN'!$F439=0,"",(VLOOKUP($C439,REV!$C:$AL,32,0)-'TRADE IN'!$F439))</f>
        <v>2199</v>
      </c>
      <c r="AI439" s="55">
        <f>IF(VLOOKUP($C439,REV!$C:$AL,33,0)-'TRADE IN'!$F439=0,"",(VLOOKUP($C439,REV!$C:$AL,33,0)-'TRADE IN'!$F439))</f>
        <v>2199</v>
      </c>
      <c r="AJ439" s="55">
        <f>IF(VLOOKUP($C439,REV!$C:$AL,34,0)-'TRADE IN'!$F439=0,"",(VLOOKUP($C439,REV!$C:$AL,34,0)-'TRADE IN'!$F439))</f>
        <v>2199</v>
      </c>
      <c r="AK439" s="55">
        <f>IF(VLOOKUP($C439,REV!$C:$AL,35,0)-'TRADE IN'!$F439=0,"",(VLOOKUP($C439,REV!$C:$AL,35,0)-'TRADE IN'!$F439))</f>
        <v>2199</v>
      </c>
      <c r="AL439" s="55">
        <f>IF(VLOOKUP($C439,REV!$C:$AL,36,0)-'TRADE IN'!$F439=0,"",(VLOOKUP($C439,REV!$C:$AL,36,0)-'TRADE IN'!$F439))</f>
        <v>1899</v>
      </c>
      <c r="AM439" s="55"/>
      <c r="AN439" s="55"/>
      <c r="AO439" s="55"/>
      <c r="AP439" s="55"/>
      <c r="AQ439" s="55"/>
      <c r="AR439" s="55"/>
      <c r="AS439" s="55"/>
      <c r="AT439" s="55"/>
      <c r="AU439" s="55"/>
      <c r="AV439" s="57"/>
      <c r="AW439" s="58" t="str">
        <f>REV!AW439</f>
        <v>03.11.2026</v>
      </c>
      <c r="AX439" s="147" t="str">
        <f>VLOOKUP(C439,REV!C:AX,48,0)</f>
        <v>5G</v>
      </c>
    </row>
    <row r="440" spans="1:50" ht="22.5" customHeight="1">
      <c r="A440" s="51" t="s">
        <v>63</v>
      </c>
      <c r="B440" s="52" t="s">
        <v>64</v>
      </c>
      <c r="C440" s="53">
        <v>4017421</v>
      </c>
      <c r="D440" s="65" t="s">
        <v>636</v>
      </c>
      <c r="E440" s="65" t="s">
        <v>640</v>
      </c>
      <c r="F440" s="55">
        <v>300</v>
      </c>
      <c r="G440" s="55"/>
      <c r="H440" s="55"/>
      <c r="I440" s="55"/>
      <c r="J440" s="56">
        <f>IF(VLOOKUP($C440,REV!$C:$AA,8,0)-'TRADE IN'!$F440=0,"",(VLOOKUP($C440,REV!$C:$AA,8,0)-'TRADE IN'!$F440))</f>
        <v>3499</v>
      </c>
      <c r="K440" s="56">
        <f>IF(VLOOKUP($C440,REV!$C:$AA,9,0)-'TRADE IN'!$F440=0,"",(VLOOKUP($C440,REV!$C:$AA,9,0)-'TRADE IN'!$F440))</f>
        <v>3499</v>
      </c>
      <c r="L440" s="56">
        <f>IF(VLOOKUP($C440,REV!$C:$AA,10,0)-'TRADE IN'!$F440=0,"",(VLOOKUP($C440,REV!$C:$AA,10,0)-'TRADE IN'!$F440))</f>
        <v>3499</v>
      </c>
      <c r="M440" s="56">
        <f>IF(VLOOKUP($C440,REV!$C:$AA,11,0)-'TRADE IN'!$F440=0,"",(VLOOKUP($C440,REV!$C:$AA,11,0)-'TRADE IN'!$F440))</f>
        <v>3499</v>
      </c>
      <c r="N440" s="56">
        <f>IF(VLOOKUP($C440,REV!$C:$AA,12,0)-'TRADE IN'!$F440=0,"",(VLOOKUP($C440,REV!$C:$AA,12,0)-'TRADE IN'!$F440))</f>
        <v>3499</v>
      </c>
      <c r="O440" s="56">
        <f>IF(VLOOKUP($C440,REV!$C:$AA,13,0)-'TRADE IN'!$F440=0,"",(VLOOKUP($C440,REV!$C:$AA,13,0)-'TRADE IN'!$F440))</f>
        <v>3399</v>
      </c>
      <c r="P440" s="56">
        <f>IF(VLOOKUP($C440,REV!$C:$AA,14,0)-'TRADE IN'!$F440=0,"",(VLOOKUP($C440,REV!$C:$AA,14,0)-'TRADE IN'!$F440))</f>
        <v>3299</v>
      </c>
      <c r="Q440" s="56">
        <f>IF(VLOOKUP($C440,REV!$C:$AA,15,0)-'TRADE IN'!$F440=0,"",(VLOOKUP($C440,REV!$C:$AA,15,0)-'TRADE IN'!$F440))</f>
        <v>2199</v>
      </c>
      <c r="R440" s="56">
        <f>IF(VLOOKUP($C440,REV!$C:$AA,16,0)-'TRADE IN'!$F440=0,"",(VLOOKUP($C440,REV!$C:$AA,16,0)-'TRADE IN'!$F440))</f>
        <v>3399</v>
      </c>
      <c r="S440" s="56">
        <f>IF(VLOOKUP($C440,REV!$C:$AA,17,0)-'TRADE IN'!$F440=0,"",(VLOOKUP($C440,REV!$C:$AA,17,0)-'TRADE IN'!$F440))</f>
        <v>3299</v>
      </c>
      <c r="T440" s="56">
        <f>IF(VLOOKUP($C440,REV!$C:$AA,18,0)-'TRADE IN'!$F440=0,"",(VLOOKUP($C440,REV!$C:$AA,18,0)-'TRADE IN'!$F440))</f>
        <v>2199</v>
      </c>
      <c r="U440" s="56">
        <f>IF(VLOOKUP($C440,REV!$C:$AA,19,0)-'TRADE IN'!$F440=0,"",(VLOOKUP($C440,REV!$C:$AA,19,0)-'TRADE IN'!$F440))</f>
        <v>2199</v>
      </c>
      <c r="V440" s="56">
        <f>IF(VLOOKUP($C440,REV!$C:$AA,20,0)-'TRADE IN'!$F440=0,"",(VLOOKUP($C440,REV!$C:$AA,20,0)-'TRADE IN'!$F440))</f>
        <v>2199</v>
      </c>
      <c r="W440" s="56">
        <f>IF(VLOOKUP($C440,REV!$C:$AA,21,0)-'TRADE IN'!$F440=0,"",(VLOOKUP($C440,REV!$C:$AA,21,0)-'TRADE IN'!$F440))</f>
        <v>2199</v>
      </c>
      <c r="X440" s="56">
        <f>IF(VLOOKUP($C440,REV!$C:$AA,22,0)-'TRADE IN'!$F440=0,"",(VLOOKUP($C440,REV!$C:$AA,22,0)-'TRADE IN'!$F440))</f>
        <v>2099</v>
      </c>
      <c r="Y440" s="56">
        <f>IF(VLOOKUP($C440,REV!$C:$AA,23,0)-'TRADE IN'!$F440=0,"",(VLOOKUP($C440,REV!$C:$AA,23,0)-'TRADE IN'!$F440))</f>
        <v>1899</v>
      </c>
      <c r="Z440" s="56">
        <f>IF(VLOOKUP($C440,REV!$C:$AA,24,0)-'TRADE IN'!$F440=0,"",(VLOOKUP($C440,REV!$C:$AA,24,0)-'TRADE IN'!$F440))</f>
        <v>1899</v>
      </c>
      <c r="AA440" s="56">
        <f>IF(VLOOKUP($C440,REV!$C:$AA,25,0)-'TRADE IN'!$F440=0,"",(VLOOKUP($C440,REV!$C:$AA,25,0)-'TRADE IN'!$F440))</f>
        <v>1699</v>
      </c>
      <c r="AB440" s="55">
        <f>IF(VLOOKUP($C440,REV!$C:$AL,27,0)-'TRADE IN'!$F440=0,"",(VLOOKUP($C440,REV!$C:$AL,27,0)-'TRADE IN'!$F440))</f>
        <v>3499</v>
      </c>
      <c r="AC440" s="55">
        <f>IF(VLOOKUP($C440,REV!$C:$AL,28,0)-'TRADE IN'!$F440=0,"",(VLOOKUP($C440,REV!$C:$AL,28,0)-'TRADE IN'!$F440))</f>
        <v>3499</v>
      </c>
      <c r="AD440" s="55">
        <f>IF(VLOOKUP($C440,REV!$C:$AL,29,0)-'TRADE IN'!$F440=0,"",(VLOOKUP($C440,REV!$C:$AL,29,0)-'TRADE IN'!$F440))</f>
        <v>3499</v>
      </c>
      <c r="AE440" s="55">
        <f>IF(VLOOKUP($C440,REV!$C:$AL,30,0)-'TRADE IN'!$F440=0,"",(VLOOKUP($C440,REV!$C:$AL,30,0)-'TRADE IN'!$F440))</f>
        <v>3399</v>
      </c>
      <c r="AF440" s="55">
        <f>IF(VLOOKUP($C440,REV!$C:$AL,31,0)-'TRADE IN'!$F440=0,"",(VLOOKUP($C440,REV!$C:$AL,31,0)-'TRADE IN'!$F440))</f>
        <v>3299</v>
      </c>
      <c r="AG440" s="55">
        <f>IF(VLOOKUP($C440,REV!$C:$AL,31,0)-'TRADE IN'!$F440=0,"",(VLOOKUP($C440,REV!$C:$AL,31,0)-'TRADE IN'!$F440))</f>
        <v>3299</v>
      </c>
      <c r="AH440" s="55">
        <f>IF(VLOOKUP($C440,REV!$C:$AL,32,0)-'TRADE IN'!$F440=0,"",(VLOOKUP($C440,REV!$C:$AL,32,0)-'TRADE IN'!$F440))</f>
        <v>2199</v>
      </c>
      <c r="AI440" s="55">
        <f>IF(VLOOKUP($C440,REV!$C:$AL,33,0)-'TRADE IN'!$F440=0,"",(VLOOKUP($C440,REV!$C:$AL,33,0)-'TRADE IN'!$F440))</f>
        <v>2199</v>
      </c>
      <c r="AJ440" s="55">
        <f>IF(VLOOKUP($C440,REV!$C:$AL,34,0)-'TRADE IN'!$F440=0,"",(VLOOKUP($C440,REV!$C:$AL,34,0)-'TRADE IN'!$F440))</f>
        <v>2199</v>
      </c>
      <c r="AK440" s="55">
        <f>IF(VLOOKUP($C440,REV!$C:$AL,35,0)-'TRADE IN'!$F440=0,"",(VLOOKUP($C440,REV!$C:$AL,35,0)-'TRADE IN'!$F440))</f>
        <v>2199</v>
      </c>
      <c r="AL440" s="55">
        <f>IF(VLOOKUP($C440,REV!$C:$AL,36,0)-'TRADE IN'!$F440=0,"",(VLOOKUP($C440,REV!$C:$AL,36,0)-'TRADE IN'!$F440))</f>
        <v>1899</v>
      </c>
      <c r="AM440" s="55"/>
      <c r="AN440" s="55"/>
      <c r="AO440" s="55"/>
      <c r="AP440" s="55"/>
      <c r="AQ440" s="55"/>
      <c r="AR440" s="55"/>
      <c r="AS440" s="55"/>
      <c r="AT440" s="55"/>
      <c r="AU440" s="55"/>
      <c r="AV440" s="57"/>
      <c r="AW440" s="58" t="str">
        <f>REV!AW440</f>
        <v>03.11.2026</v>
      </c>
      <c r="AX440" s="147" t="str">
        <f>VLOOKUP(C440,REV!C:AX,48,0)</f>
        <v>5G</v>
      </c>
    </row>
    <row r="441" spans="1:50" ht="22.5" customHeight="1">
      <c r="A441" s="51" t="s">
        <v>63</v>
      </c>
      <c r="B441" s="52" t="s">
        <v>64</v>
      </c>
      <c r="C441" s="53">
        <v>4017416</v>
      </c>
      <c r="D441" s="65" t="s">
        <v>636</v>
      </c>
      <c r="E441" s="65" t="s">
        <v>641</v>
      </c>
      <c r="F441" s="55">
        <v>300</v>
      </c>
      <c r="G441" s="55"/>
      <c r="H441" s="55"/>
      <c r="I441" s="55"/>
      <c r="J441" s="56">
        <f>IF(VLOOKUP($C441,REV!$C:$AA,8,0)-'TRADE IN'!$F441=0,"",(VLOOKUP($C441,REV!$C:$AA,8,0)-'TRADE IN'!$F441))</f>
        <v>3499</v>
      </c>
      <c r="K441" s="56">
        <f>IF(VLOOKUP($C441,REV!$C:$AA,9,0)-'TRADE IN'!$F441=0,"",(VLOOKUP($C441,REV!$C:$AA,9,0)-'TRADE IN'!$F441))</f>
        <v>3499</v>
      </c>
      <c r="L441" s="56">
        <f>IF(VLOOKUP($C441,REV!$C:$AA,10,0)-'TRADE IN'!$F441=0,"",(VLOOKUP($C441,REV!$C:$AA,10,0)-'TRADE IN'!$F441))</f>
        <v>3499</v>
      </c>
      <c r="M441" s="56">
        <f>IF(VLOOKUP($C441,REV!$C:$AA,11,0)-'TRADE IN'!$F441=0,"",(VLOOKUP($C441,REV!$C:$AA,11,0)-'TRADE IN'!$F441))</f>
        <v>3499</v>
      </c>
      <c r="N441" s="56">
        <f>IF(VLOOKUP($C441,REV!$C:$AA,12,0)-'TRADE IN'!$F441=0,"",(VLOOKUP($C441,REV!$C:$AA,12,0)-'TRADE IN'!$F441))</f>
        <v>3499</v>
      </c>
      <c r="O441" s="56">
        <f>IF(VLOOKUP($C441,REV!$C:$AA,13,0)-'TRADE IN'!$F441=0,"",(VLOOKUP($C441,REV!$C:$AA,13,0)-'TRADE IN'!$F441))</f>
        <v>3399</v>
      </c>
      <c r="P441" s="56">
        <f>IF(VLOOKUP($C441,REV!$C:$AA,14,0)-'TRADE IN'!$F441=0,"",(VLOOKUP($C441,REV!$C:$AA,14,0)-'TRADE IN'!$F441))</f>
        <v>3299</v>
      </c>
      <c r="Q441" s="56">
        <f>IF(VLOOKUP($C441,REV!$C:$AA,15,0)-'TRADE IN'!$F441=0,"",(VLOOKUP($C441,REV!$C:$AA,15,0)-'TRADE IN'!$F441))</f>
        <v>2199</v>
      </c>
      <c r="R441" s="56">
        <f>IF(VLOOKUP($C441,REV!$C:$AA,16,0)-'TRADE IN'!$F441=0,"",(VLOOKUP($C441,REV!$C:$AA,16,0)-'TRADE IN'!$F441))</f>
        <v>3399</v>
      </c>
      <c r="S441" s="56">
        <f>IF(VLOOKUP($C441,REV!$C:$AA,17,0)-'TRADE IN'!$F441=0,"",(VLOOKUP($C441,REV!$C:$AA,17,0)-'TRADE IN'!$F441))</f>
        <v>3299</v>
      </c>
      <c r="T441" s="56">
        <f>IF(VLOOKUP($C441,REV!$C:$AA,18,0)-'TRADE IN'!$F441=0,"",(VLOOKUP($C441,REV!$C:$AA,18,0)-'TRADE IN'!$F441))</f>
        <v>2199</v>
      </c>
      <c r="U441" s="56">
        <f>IF(VLOOKUP($C441,REV!$C:$AA,19,0)-'TRADE IN'!$F441=0,"",(VLOOKUP($C441,REV!$C:$AA,19,0)-'TRADE IN'!$F441))</f>
        <v>2199</v>
      </c>
      <c r="V441" s="56">
        <f>IF(VLOOKUP($C441,REV!$C:$AA,20,0)-'TRADE IN'!$F441=0,"",(VLOOKUP($C441,REV!$C:$AA,20,0)-'TRADE IN'!$F441))</f>
        <v>2199</v>
      </c>
      <c r="W441" s="56">
        <f>IF(VLOOKUP($C441,REV!$C:$AA,21,0)-'TRADE IN'!$F441=0,"",(VLOOKUP($C441,REV!$C:$AA,21,0)-'TRADE IN'!$F441))</f>
        <v>2199</v>
      </c>
      <c r="X441" s="56">
        <f>IF(VLOOKUP($C441,REV!$C:$AA,22,0)-'TRADE IN'!$F441=0,"",(VLOOKUP($C441,REV!$C:$AA,22,0)-'TRADE IN'!$F441))</f>
        <v>2099</v>
      </c>
      <c r="Y441" s="56">
        <f>IF(VLOOKUP($C441,REV!$C:$AA,23,0)-'TRADE IN'!$F441=0,"",(VLOOKUP($C441,REV!$C:$AA,23,0)-'TRADE IN'!$F441))</f>
        <v>1899</v>
      </c>
      <c r="Z441" s="56">
        <f>IF(VLOOKUP($C441,REV!$C:$AA,24,0)-'TRADE IN'!$F441=0,"",(VLOOKUP($C441,REV!$C:$AA,24,0)-'TRADE IN'!$F441))</f>
        <v>1899</v>
      </c>
      <c r="AA441" s="56">
        <f>IF(VLOOKUP($C441,REV!$C:$AA,25,0)-'TRADE IN'!$F441=0,"",(VLOOKUP($C441,REV!$C:$AA,25,0)-'TRADE IN'!$F441))</f>
        <v>1699</v>
      </c>
      <c r="AB441" s="55">
        <f>IF(VLOOKUP($C441,REV!$C:$AL,27,0)-'TRADE IN'!$F441=0,"",(VLOOKUP($C441,REV!$C:$AL,27,0)-'TRADE IN'!$F441))</f>
        <v>3499</v>
      </c>
      <c r="AC441" s="55">
        <f>IF(VLOOKUP($C441,REV!$C:$AL,28,0)-'TRADE IN'!$F441=0,"",(VLOOKUP($C441,REV!$C:$AL,28,0)-'TRADE IN'!$F441))</f>
        <v>3499</v>
      </c>
      <c r="AD441" s="55">
        <f>IF(VLOOKUP($C441,REV!$C:$AL,29,0)-'TRADE IN'!$F441=0,"",(VLOOKUP($C441,REV!$C:$AL,29,0)-'TRADE IN'!$F441))</f>
        <v>3499</v>
      </c>
      <c r="AE441" s="55">
        <f>IF(VLOOKUP($C441,REV!$C:$AL,30,0)-'TRADE IN'!$F441=0,"",(VLOOKUP($C441,REV!$C:$AL,30,0)-'TRADE IN'!$F441))</f>
        <v>3399</v>
      </c>
      <c r="AF441" s="55">
        <f>IF(VLOOKUP($C441,REV!$C:$AL,31,0)-'TRADE IN'!$F441=0,"",(VLOOKUP($C441,REV!$C:$AL,31,0)-'TRADE IN'!$F441))</f>
        <v>3299</v>
      </c>
      <c r="AG441" s="55">
        <f>IF(VLOOKUP($C441,REV!$C:$AL,31,0)-'TRADE IN'!$F441=0,"",(VLOOKUP($C441,REV!$C:$AL,31,0)-'TRADE IN'!$F441))</f>
        <v>3299</v>
      </c>
      <c r="AH441" s="55">
        <f>IF(VLOOKUP($C441,REV!$C:$AL,32,0)-'TRADE IN'!$F441=0,"",(VLOOKUP($C441,REV!$C:$AL,32,0)-'TRADE IN'!$F441))</f>
        <v>2199</v>
      </c>
      <c r="AI441" s="55">
        <f>IF(VLOOKUP($C441,REV!$C:$AL,33,0)-'TRADE IN'!$F441=0,"",(VLOOKUP($C441,REV!$C:$AL,33,0)-'TRADE IN'!$F441))</f>
        <v>2199</v>
      </c>
      <c r="AJ441" s="55">
        <f>IF(VLOOKUP($C441,REV!$C:$AL,34,0)-'TRADE IN'!$F441=0,"",(VLOOKUP($C441,REV!$C:$AL,34,0)-'TRADE IN'!$F441))</f>
        <v>2199</v>
      </c>
      <c r="AK441" s="55">
        <f>IF(VLOOKUP($C441,REV!$C:$AL,35,0)-'TRADE IN'!$F441=0,"",(VLOOKUP($C441,REV!$C:$AL,35,0)-'TRADE IN'!$F441))</f>
        <v>2199</v>
      </c>
      <c r="AL441" s="55">
        <f>IF(VLOOKUP($C441,REV!$C:$AL,36,0)-'TRADE IN'!$F441=0,"",(VLOOKUP($C441,REV!$C:$AL,36,0)-'TRADE IN'!$F441))</f>
        <v>1899</v>
      </c>
      <c r="AM441" s="55"/>
      <c r="AN441" s="55"/>
      <c r="AO441" s="55"/>
      <c r="AP441" s="55"/>
      <c r="AQ441" s="55"/>
      <c r="AR441" s="55"/>
      <c r="AS441" s="55"/>
      <c r="AT441" s="55"/>
      <c r="AU441" s="55"/>
      <c r="AV441" s="57"/>
      <c r="AW441" s="58" t="str">
        <f>REV!AW441</f>
        <v>03.11.2026</v>
      </c>
      <c r="AX441" s="147" t="str">
        <f>VLOOKUP(C441,REV!C:AX,48,0)</f>
        <v>5G</v>
      </c>
    </row>
    <row r="442" spans="1:50" ht="22.5" customHeight="1">
      <c r="A442" s="51" t="s">
        <v>63</v>
      </c>
      <c r="B442" s="52" t="s">
        <v>64</v>
      </c>
      <c r="C442" s="53">
        <v>4017400</v>
      </c>
      <c r="D442" s="65" t="s">
        <v>636</v>
      </c>
      <c r="E442" s="65" t="s">
        <v>642</v>
      </c>
      <c r="F442" s="55">
        <v>300</v>
      </c>
      <c r="G442" s="55"/>
      <c r="H442" s="55"/>
      <c r="I442" s="55"/>
      <c r="J442" s="56">
        <f>IF(VLOOKUP($C442,REV!$C:$AA,8,0)-'TRADE IN'!$F442=0,"",(VLOOKUP($C442,REV!$C:$AA,8,0)-'TRADE IN'!$F442))</f>
        <v>3499</v>
      </c>
      <c r="K442" s="56">
        <f>IF(VLOOKUP($C442,REV!$C:$AA,9,0)-'TRADE IN'!$F442=0,"",(VLOOKUP($C442,REV!$C:$AA,9,0)-'TRADE IN'!$F442))</f>
        <v>3499</v>
      </c>
      <c r="L442" s="56">
        <f>IF(VLOOKUP($C442,REV!$C:$AA,10,0)-'TRADE IN'!$F442=0,"",(VLOOKUP($C442,REV!$C:$AA,10,0)-'TRADE IN'!$F442))</f>
        <v>3499</v>
      </c>
      <c r="M442" s="56">
        <f>IF(VLOOKUP($C442,REV!$C:$AA,11,0)-'TRADE IN'!$F442=0,"",(VLOOKUP($C442,REV!$C:$AA,11,0)-'TRADE IN'!$F442))</f>
        <v>3499</v>
      </c>
      <c r="N442" s="56">
        <f>IF(VLOOKUP($C442,REV!$C:$AA,12,0)-'TRADE IN'!$F442=0,"",(VLOOKUP($C442,REV!$C:$AA,12,0)-'TRADE IN'!$F442))</f>
        <v>3499</v>
      </c>
      <c r="O442" s="56">
        <f>IF(VLOOKUP($C442,REV!$C:$AA,13,0)-'TRADE IN'!$F442=0,"",(VLOOKUP($C442,REV!$C:$AA,13,0)-'TRADE IN'!$F442))</f>
        <v>3399</v>
      </c>
      <c r="P442" s="56">
        <f>IF(VLOOKUP($C442,REV!$C:$AA,14,0)-'TRADE IN'!$F442=0,"",(VLOOKUP($C442,REV!$C:$AA,14,0)-'TRADE IN'!$F442))</f>
        <v>3299</v>
      </c>
      <c r="Q442" s="56">
        <f>IF(VLOOKUP($C442,REV!$C:$AA,15,0)-'TRADE IN'!$F442=0,"",(VLOOKUP($C442,REV!$C:$AA,15,0)-'TRADE IN'!$F442))</f>
        <v>2199</v>
      </c>
      <c r="R442" s="56">
        <f>IF(VLOOKUP($C442,REV!$C:$AA,16,0)-'TRADE IN'!$F442=0,"",(VLOOKUP($C442,REV!$C:$AA,16,0)-'TRADE IN'!$F442))</f>
        <v>3399</v>
      </c>
      <c r="S442" s="56">
        <f>IF(VLOOKUP($C442,REV!$C:$AA,17,0)-'TRADE IN'!$F442=0,"",(VLOOKUP($C442,REV!$C:$AA,17,0)-'TRADE IN'!$F442))</f>
        <v>3299</v>
      </c>
      <c r="T442" s="56">
        <f>IF(VLOOKUP($C442,REV!$C:$AA,18,0)-'TRADE IN'!$F442=0,"",(VLOOKUP($C442,REV!$C:$AA,18,0)-'TRADE IN'!$F442))</f>
        <v>2199</v>
      </c>
      <c r="U442" s="56">
        <f>IF(VLOOKUP($C442,REV!$C:$AA,19,0)-'TRADE IN'!$F442=0,"",(VLOOKUP($C442,REV!$C:$AA,19,0)-'TRADE IN'!$F442))</f>
        <v>2199</v>
      </c>
      <c r="V442" s="56">
        <f>IF(VLOOKUP($C442,REV!$C:$AA,20,0)-'TRADE IN'!$F442=0,"",(VLOOKUP($C442,REV!$C:$AA,20,0)-'TRADE IN'!$F442))</f>
        <v>2199</v>
      </c>
      <c r="W442" s="56">
        <f>IF(VLOOKUP($C442,REV!$C:$AA,21,0)-'TRADE IN'!$F442=0,"",(VLOOKUP($C442,REV!$C:$AA,21,0)-'TRADE IN'!$F442))</f>
        <v>2199</v>
      </c>
      <c r="X442" s="56">
        <f>IF(VLOOKUP($C442,REV!$C:$AA,22,0)-'TRADE IN'!$F442=0,"",(VLOOKUP($C442,REV!$C:$AA,22,0)-'TRADE IN'!$F442))</f>
        <v>2099</v>
      </c>
      <c r="Y442" s="56">
        <f>IF(VLOOKUP($C442,REV!$C:$AA,23,0)-'TRADE IN'!$F442=0,"",(VLOOKUP($C442,REV!$C:$AA,23,0)-'TRADE IN'!$F442))</f>
        <v>1899</v>
      </c>
      <c r="Z442" s="56">
        <f>IF(VLOOKUP($C442,REV!$C:$AA,24,0)-'TRADE IN'!$F442=0,"",(VLOOKUP($C442,REV!$C:$AA,24,0)-'TRADE IN'!$F442))</f>
        <v>1899</v>
      </c>
      <c r="AA442" s="56">
        <f>IF(VLOOKUP($C442,REV!$C:$AA,25,0)-'TRADE IN'!$F442=0,"",(VLOOKUP($C442,REV!$C:$AA,25,0)-'TRADE IN'!$F442))</f>
        <v>1699</v>
      </c>
      <c r="AB442" s="55">
        <f>IF(VLOOKUP($C442,REV!$C:$AL,27,0)-'TRADE IN'!$F442=0,"",(VLOOKUP($C442,REV!$C:$AL,27,0)-'TRADE IN'!$F442))</f>
        <v>3499</v>
      </c>
      <c r="AC442" s="55">
        <f>IF(VLOOKUP($C442,REV!$C:$AL,28,0)-'TRADE IN'!$F442=0,"",(VLOOKUP($C442,REV!$C:$AL,28,0)-'TRADE IN'!$F442))</f>
        <v>3499</v>
      </c>
      <c r="AD442" s="55">
        <f>IF(VLOOKUP($C442,REV!$C:$AL,29,0)-'TRADE IN'!$F442=0,"",(VLOOKUP($C442,REV!$C:$AL,29,0)-'TRADE IN'!$F442))</f>
        <v>3499</v>
      </c>
      <c r="AE442" s="55">
        <f>IF(VLOOKUP($C442,REV!$C:$AL,30,0)-'TRADE IN'!$F442=0,"",(VLOOKUP($C442,REV!$C:$AL,30,0)-'TRADE IN'!$F442))</f>
        <v>3399</v>
      </c>
      <c r="AF442" s="55">
        <f>IF(VLOOKUP($C442,REV!$C:$AL,31,0)-'TRADE IN'!$F442=0,"",(VLOOKUP($C442,REV!$C:$AL,31,0)-'TRADE IN'!$F442))</f>
        <v>3299</v>
      </c>
      <c r="AG442" s="55">
        <f>IF(VLOOKUP($C442,REV!$C:$AL,31,0)-'TRADE IN'!$F442=0,"",(VLOOKUP($C442,REV!$C:$AL,31,0)-'TRADE IN'!$F442))</f>
        <v>3299</v>
      </c>
      <c r="AH442" s="55">
        <f>IF(VLOOKUP($C442,REV!$C:$AL,32,0)-'TRADE IN'!$F442=0,"",(VLOOKUP($C442,REV!$C:$AL,32,0)-'TRADE IN'!$F442))</f>
        <v>2199</v>
      </c>
      <c r="AI442" s="55">
        <f>IF(VLOOKUP($C442,REV!$C:$AL,33,0)-'TRADE IN'!$F442=0,"",(VLOOKUP($C442,REV!$C:$AL,33,0)-'TRADE IN'!$F442))</f>
        <v>2199</v>
      </c>
      <c r="AJ442" s="55">
        <f>IF(VLOOKUP($C442,REV!$C:$AL,34,0)-'TRADE IN'!$F442=0,"",(VLOOKUP($C442,REV!$C:$AL,34,0)-'TRADE IN'!$F442))</f>
        <v>2199</v>
      </c>
      <c r="AK442" s="55">
        <f>IF(VLOOKUP($C442,REV!$C:$AL,35,0)-'TRADE IN'!$F442=0,"",(VLOOKUP($C442,REV!$C:$AL,35,0)-'TRADE IN'!$F442))</f>
        <v>2199</v>
      </c>
      <c r="AL442" s="55">
        <f>IF(VLOOKUP($C442,REV!$C:$AL,36,0)-'TRADE IN'!$F442=0,"",(VLOOKUP($C442,REV!$C:$AL,36,0)-'TRADE IN'!$F442))</f>
        <v>1899</v>
      </c>
      <c r="AM442" s="55"/>
      <c r="AN442" s="55"/>
      <c r="AO442" s="55"/>
      <c r="AP442" s="55"/>
      <c r="AQ442" s="55"/>
      <c r="AR442" s="55"/>
      <c r="AS442" s="55"/>
      <c r="AT442" s="55"/>
      <c r="AU442" s="55"/>
      <c r="AV442" s="57"/>
      <c r="AW442" s="58" t="str">
        <f>REV!AW442</f>
        <v>03.11.2026</v>
      </c>
      <c r="AX442" s="147" t="str">
        <f>VLOOKUP(C442,REV!C:AX,48,0)</f>
        <v>5G</v>
      </c>
    </row>
    <row r="443" spans="1:50" ht="22.5" customHeight="1">
      <c r="A443" s="51" t="s">
        <v>63</v>
      </c>
      <c r="B443" s="52" t="s">
        <v>64</v>
      </c>
      <c r="C443" s="53">
        <v>4017678</v>
      </c>
      <c r="D443" s="65" t="s">
        <v>643</v>
      </c>
      <c r="E443" s="65" t="s">
        <v>644</v>
      </c>
      <c r="F443" s="55">
        <v>1200</v>
      </c>
      <c r="G443" s="55"/>
      <c r="H443" s="55"/>
      <c r="I443" s="55"/>
      <c r="J443" s="56">
        <f>IF(VLOOKUP($C443,REV!$C:$AA,8,0)-'TRADE IN'!$F443=0,"",(VLOOKUP($C443,REV!$C:$AA,8,0)-'TRADE IN'!$F443))</f>
        <v>3999</v>
      </c>
      <c r="K443" s="56">
        <f>IF(VLOOKUP($C443,REV!$C:$AA,9,0)-'TRADE IN'!$F443=0,"",(VLOOKUP($C443,REV!$C:$AA,9,0)-'TRADE IN'!$F443))</f>
        <v>3999</v>
      </c>
      <c r="L443" s="56">
        <f>IF(VLOOKUP($C443,REV!$C:$AA,10,0)-'TRADE IN'!$F443=0,"",(VLOOKUP($C443,REV!$C:$AA,10,0)-'TRADE IN'!$F443))</f>
        <v>3999</v>
      </c>
      <c r="M443" s="56">
        <f>IF(VLOOKUP($C443,REV!$C:$AA,11,0)-'TRADE IN'!$F443=0,"",(VLOOKUP($C443,REV!$C:$AA,11,0)-'TRADE IN'!$F443))</f>
        <v>3999</v>
      </c>
      <c r="N443" s="56">
        <f>IF(VLOOKUP($C443,REV!$C:$AA,12,0)-'TRADE IN'!$F443=0,"",(VLOOKUP($C443,REV!$C:$AA,12,0)-'TRADE IN'!$F443))</f>
        <v>3999</v>
      </c>
      <c r="O443" s="56">
        <f>IF(VLOOKUP($C443,REV!$C:$AA,13,0)-'TRADE IN'!$F443=0,"",(VLOOKUP($C443,REV!$C:$AA,13,0)-'TRADE IN'!$F443))</f>
        <v>3899</v>
      </c>
      <c r="P443" s="56">
        <f>IF(VLOOKUP($C443,REV!$C:$AA,14,0)-'TRADE IN'!$F443=0,"",(VLOOKUP($C443,REV!$C:$AA,14,0)-'TRADE IN'!$F443))</f>
        <v>3849</v>
      </c>
      <c r="Q443" s="56">
        <f>IF(VLOOKUP($C443,REV!$C:$AA,15,0)-'TRADE IN'!$F443=0,"",(VLOOKUP($C443,REV!$C:$AA,15,0)-'TRADE IN'!$F443))</f>
        <v>3599</v>
      </c>
      <c r="R443" s="56">
        <f>IF(VLOOKUP($C443,REV!$C:$AA,16,0)-'TRADE IN'!$F443=0,"",(VLOOKUP($C443,REV!$C:$AA,16,0)-'TRADE IN'!$F443))</f>
        <v>3899</v>
      </c>
      <c r="S443" s="56">
        <f>IF(VLOOKUP($C443,REV!$C:$AA,17,0)-'TRADE IN'!$F443=0,"",(VLOOKUP($C443,REV!$C:$AA,17,0)-'TRADE IN'!$F443))</f>
        <v>3849</v>
      </c>
      <c r="T443" s="56">
        <f>IF(VLOOKUP($C443,REV!$C:$AA,18,0)-'TRADE IN'!$F443=0,"",(VLOOKUP($C443,REV!$C:$AA,18,0)-'TRADE IN'!$F443))</f>
        <v>3599</v>
      </c>
      <c r="U443" s="56">
        <f>IF(VLOOKUP($C443,REV!$C:$AA,19,0)-'TRADE IN'!$F443=0,"",(VLOOKUP($C443,REV!$C:$AA,19,0)-'TRADE IN'!$F443))</f>
        <v>3599</v>
      </c>
      <c r="V443" s="56">
        <f>IF(VLOOKUP($C443,REV!$C:$AA,20,0)-'TRADE IN'!$F443=0,"",(VLOOKUP($C443,REV!$C:$AA,20,0)-'TRADE IN'!$F443))</f>
        <v>3599</v>
      </c>
      <c r="W443" s="56">
        <f>IF(VLOOKUP($C443,REV!$C:$AA,21,0)-'TRADE IN'!$F443=0,"",(VLOOKUP($C443,REV!$C:$AA,21,0)-'TRADE IN'!$F443))</f>
        <v>3599</v>
      </c>
      <c r="X443" s="56">
        <f>IF(VLOOKUP($C443,REV!$C:$AA,22,0)-'TRADE IN'!$F443=0,"",(VLOOKUP($C443,REV!$C:$AA,22,0)-'TRADE IN'!$F443))</f>
        <v>3499</v>
      </c>
      <c r="Y443" s="56">
        <f>IF(VLOOKUP($C443,REV!$C:$AA,23,0)-'TRADE IN'!$F443=0,"",(VLOOKUP($C443,REV!$C:$AA,23,0)-'TRADE IN'!$F443))</f>
        <v>2499</v>
      </c>
      <c r="Z443" s="56">
        <f>IF(VLOOKUP($C443,REV!$C:$AA,24,0)-'TRADE IN'!$F443=0,"",(VLOOKUP($C443,REV!$C:$AA,24,0)-'TRADE IN'!$F443))</f>
        <v>2499</v>
      </c>
      <c r="AA443" s="56">
        <f>IF(VLOOKUP($C443,REV!$C:$AA,25,0)-'TRADE IN'!$F443=0,"",(VLOOKUP($C443,REV!$C:$AA,25,0)-'TRADE IN'!$F443))</f>
        <v>2299</v>
      </c>
      <c r="AB443" s="55">
        <f>IF(VLOOKUP($C443,REV!$C:$AL,27,0)-'TRADE IN'!$F443=0,"",(VLOOKUP($C443,REV!$C:$AL,27,0)-'TRADE IN'!$F443))</f>
        <v>3999</v>
      </c>
      <c r="AC443" s="55">
        <f>IF(VLOOKUP($C443,REV!$C:$AL,28,0)-'TRADE IN'!$F443=0,"",(VLOOKUP($C443,REV!$C:$AL,28,0)-'TRADE IN'!$F443))</f>
        <v>3999</v>
      </c>
      <c r="AD443" s="55">
        <f>IF(VLOOKUP($C443,REV!$C:$AL,29,0)-'TRADE IN'!$F443=0,"",(VLOOKUP($C443,REV!$C:$AL,29,0)-'TRADE IN'!$F443))</f>
        <v>3999</v>
      </c>
      <c r="AE443" s="55">
        <f>IF(VLOOKUP($C443,REV!$C:$AL,30,0)-'TRADE IN'!$F443=0,"",(VLOOKUP($C443,REV!$C:$AL,30,0)-'TRADE IN'!$F443))</f>
        <v>3899</v>
      </c>
      <c r="AF443" s="55">
        <f>IF(VLOOKUP($C443,REV!$C:$AL,31,0)-'TRADE IN'!$F443=0,"",(VLOOKUP($C443,REV!$C:$AL,31,0)-'TRADE IN'!$F443))</f>
        <v>3849</v>
      </c>
      <c r="AG443" s="55">
        <f>IF(VLOOKUP($C443,REV!$C:$AL,31,0)-'TRADE IN'!$F443=0,"",(VLOOKUP($C443,REV!$C:$AL,31,0)-'TRADE IN'!$F443))</f>
        <v>3849</v>
      </c>
      <c r="AH443" s="55">
        <f>IF(VLOOKUP($C443,REV!$C:$AL,32,0)-'TRADE IN'!$F443=0,"",(VLOOKUP($C443,REV!$C:$AL,32,0)-'TRADE IN'!$F443))</f>
        <v>3599</v>
      </c>
      <c r="AI443" s="55">
        <f>IF(VLOOKUP($C443,REV!$C:$AL,33,0)-'TRADE IN'!$F443=0,"",(VLOOKUP($C443,REV!$C:$AL,33,0)-'TRADE IN'!$F443))</f>
        <v>3599</v>
      </c>
      <c r="AJ443" s="55">
        <f>IF(VLOOKUP($C443,REV!$C:$AL,34,0)-'TRADE IN'!$F443=0,"",(VLOOKUP($C443,REV!$C:$AL,34,0)-'TRADE IN'!$F443))</f>
        <v>3599</v>
      </c>
      <c r="AK443" s="55">
        <f>IF(VLOOKUP($C443,REV!$C:$AL,35,0)-'TRADE IN'!$F443=0,"",(VLOOKUP($C443,REV!$C:$AL,35,0)-'TRADE IN'!$F443))</f>
        <v>3599</v>
      </c>
      <c r="AL443" s="55">
        <f>IF(VLOOKUP($C443,REV!$C:$AL,36,0)-'TRADE IN'!$F443=0,"",(VLOOKUP($C443,REV!$C:$AL,36,0)-'TRADE IN'!$F443))</f>
        <v>2499</v>
      </c>
      <c r="AM443" s="55"/>
      <c r="AN443" s="55"/>
      <c r="AO443" s="55"/>
      <c r="AP443" s="55"/>
      <c r="AQ443" s="55"/>
      <c r="AR443" s="55"/>
      <c r="AS443" s="55"/>
      <c r="AT443" s="55"/>
      <c r="AU443" s="55"/>
      <c r="AV443" s="57"/>
      <c r="AW443" s="58" t="str">
        <f>REV!AW443</f>
        <v>03.11.2026</v>
      </c>
      <c r="AX443" s="147" t="str">
        <f>VLOOKUP(C443,REV!C:AX,48,0)</f>
        <v>5G</v>
      </c>
    </row>
    <row r="444" spans="1:50" ht="22.5" customHeight="1">
      <c r="A444" s="51" t="s">
        <v>63</v>
      </c>
      <c r="B444" s="52" t="s">
        <v>64</v>
      </c>
      <c r="C444" s="53">
        <v>4017679</v>
      </c>
      <c r="D444" s="65" t="s">
        <v>643</v>
      </c>
      <c r="E444" s="65" t="s">
        <v>645</v>
      </c>
      <c r="F444" s="55">
        <v>1200</v>
      </c>
      <c r="G444" s="55"/>
      <c r="H444" s="55"/>
      <c r="I444" s="55"/>
      <c r="J444" s="56">
        <f>IF(VLOOKUP($C444,REV!$C:$AA,8,0)-'TRADE IN'!$F444=0,"",(VLOOKUP($C444,REV!$C:$AA,8,0)-'TRADE IN'!$F444))</f>
        <v>3999</v>
      </c>
      <c r="K444" s="56">
        <f>IF(VLOOKUP($C444,REV!$C:$AA,9,0)-'TRADE IN'!$F444=0,"",(VLOOKUP($C444,REV!$C:$AA,9,0)-'TRADE IN'!$F444))</f>
        <v>3999</v>
      </c>
      <c r="L444" s="56">
        <f>IF(VLOOKUP($C444,REV!$C:$AA,10,0)-'TRADE IN'!$F444=0,"",(VLOOKUP($C444,REV!$C:$AA,10,0)-'TRADE IN'!$F444))</f>
        <v>3999</v>
      </c>
      <c r="M444" s="56">
        <f>IF(VLOOKUP($C444,REV!$C:$AA,11,0)-'TRADE IN'!$F444=0,"",(VLOOKUP($C444,REV!$C:$AA,11,0)-'TRADE IN'!$F444))</f>
        <v>3999</v>
      </c>
      <c r="N444" s="56">
        <f>IF(VLOOKUP($C444,REV!$C:$AA,12,0)-'TRADE IN'!$F444=0,"",(VLOOKUP($C444,REV!$C:$AA,12,0)-'TRADE IN'!$F444))</f>
        <v>3999</v>
      </c>
      <c r="O444" s="56">
        <f>IF(VLOOKUP($C444,REV!$C:$AA,13,0)-'TRADE IN'!$F444=0,"",(VLOOKUP($C444,REV!$C:$AA,13,0)-'TRADE IN'!$F444))</f>
        <v>3899</v>
      </c>
      <c r="P444" s="56">
        <f>IF(VLOOKUP($C444,REV!$C:$AA,14,0)-'TRADE IN'!$F444=0,"",(VLOOKUP($C444,REV!$C:$AA,14,0)-'TRADE IN'!$F444))</f>
        <v>3849</v>
      </c>
      <c r="Q444" s="56">
        <f>IF(VLOOKUP($C444,REV!$C:$AA,15,0)-'TRADE IN'!$F444=0,"",(VLOOKUP($C444,REV!$C:$AA,15,0)-'TRADE IN'!$F444))</f>
        <v>3599</v>
      </c>
      <c r="R444" s="56">
        <f>IF(VLOOKUP($C444,REV!$C:$AA,16,0)-'TRADE IN'!$F444=0,"",(VLOOKUP($C444,REV!$C:$AA,16,0)-'TRADE IN'!$F444))</f>
        <v>3899</v>
      </c>
      <c r="S444" s="56">
        <f>IF(VLOOKUP($C444,REV!$C:$AA,17,0)-'TRADE IN'!$F444=0,"",(VLOOKUP($C444,REV!$C:$AA,17,0)-'TRADE IN'!$F444))</f>
        <v>3849</v>
      </c>
      <c r="T444" s="56">
        <f>IF(VLOOKUP($C444,REV!$C:$AA,18,0)-'TRADE IN'!$F444=0,"",(VLOOKUP($C444,REV!$C:$AA,18,0)-'TRADE IN'!$F444))</f>
        <v>3599</v>
      </c>
      <c r="U444" s="56">
        <f>IF(VLOOKUP($C444,REV!$C:$AA,19,0)-'TRADE IN'!$F444=0,"",(VLOOKUP($C444,REV!$C:$AA,19,0)-'TRADE IN'!$F444))</f>
        <v>3599</v>
      </c>
      <c r="V444" s="56">
        <f>IF(VLOOKUP($C444,REV!$C:$AA,20,0)-'TRADE IN'!$F444=0,"",(VLOOKUP($C444,REV!$C:$AA,20,0)-'TRADE IN'!$F444))</f>
        <v>3599</v>
      </c>
      <c r="W444" s="56">
        <f>IF(VLOOKUP($C444,REV!$C:$AA,21,0)-'TRADE IN'!$F444=0,"",(VLOOKUP($C444,REV!$C:$AA,21,0)-'TRADE IN'!$F444))</f>
        <v>3599</v>
      </c>
      <c r="X444" s="56">
        <f>IF(VLOOKUP($C444,REV!$C:$AA,22,0)-'TRADE IN'!$F444=0,"",(VLOOKUP($C444,REV!$C:$AA,22,0)-'TRADE IN'!$F444))</f>
        <v>3499</v>
      </c>
      <c r="Y444" s="56">
        <f>IF(VLOOKUP($C444,REV!$C:$AA,23,0)-'TRADE IN'!$F444=0,"",(VLOOKUP($C444,REV!$C:$AA,23,0)-'TRADE IN'!$F444))</f>
        <v>2499</v>
      </c>
      <c r="Z444" s="56">
        <f>IF(VLOOKUP($C444,REV!$C:$AA,24,0)-'TRADE IN'!$F444=0,"",(VLOOKUP($C444,REV!$C:$AA,24,0)-'TRADE IN'!$F444))</f>
        <v>2499</v>
      </c>
      <c r="AA444" s="56">
        <f>IF(VLOOKUP($C444,REV!$C:$AA,25,0)-'TRADE IN'!$F444=0,"",(VLOOKUP($C444,REV!$C:$AA,25,0)-'TRADE IN'!$F444))</f>
        <v>2299</v>
      </c>
      <c r="AB444" s="55">
        <f>IF(VLOOKUP($C444,REV!$C:$AL,27,0)-'TRADE IN'!$F444=0,"",(VLOOKUP($C444,REV!$C:$AL,27,0)-'TRADE IN'!$F444))</f>
        <v>3999</v>
      </c>
      <c r="AC444" s="55">
        <f>IF(VLOOKUP($C444,REV!$C:$AL,28,0)-'TRADE IN'!$F444=0,"",(VLOOKUP($C444,REV!$C:$AL,28,0)-'TRADE IN'!$F444))</f>
        <v>3999</v>
      </c>
      <c r="AD444" s="55">
        <f>IF(VLOOKUP($C444,REV!$C:$AL,29,0)-'TRADE IN'!$F444=0,"",(VLOOKUP($C444,REV!$C:$AL,29,0)-'TRADE IN'!$F444))</f>
        <v>3999</v>
      </c>
      <c r="AE444" s="55">
        <f>IF(VLOOKUP($C444,REV!$C:$AL,30,0)-'TRADE IN'!$F444=0,"",(VLOOKUP($C444,REV!$C:$AL,30,0)-'TRADE IN'!$F444))</f>
        <v>3899</v>
      </c>
      <c r="AF444" s="55">
        <f>IF(VLOOKUP($C444,REV!$C:$AL,31,0)-'TRADE IN'!$F444=0,"",(VLOOKUP($C444,REV!$C:$AL,31,0)-'TRADE IN'!$F444))</f>
        <v>3849</v>
      </c>
      <c r="AG444" s="55">
        <f>IF(VLOOKUP($C444,REV!$C:$AL,31,0)-'TRADE IN'!$F444=0,"",(VLOOKUP($C444,REV!$C:$AL,31,0)-'TRADE IN'!$F444))</f>
        <v>3849</v>
      </c>
      <c r="AH444" s="55">
        <f>IF(VLOOKUP($C444,REV!$C:$AL,32,0)-'TRADE IN'!$F444=0,"",(VLOOKUP($C444,REV!$C:$AL,32,0)-'TRADE IN'!$F444))</f>
        <v>3599</v>
      </c>
      <c r="AI444" s="55">
        <f>IF(VLOOKUP($C444,REV!$C:$AL,33,0)-'TRADE IN'!$F444=0,"",(VLOOKUP($C444,REV!$C:$AL,33,0)-'TRADE IN'!$F444))</f>
        <v>3599</v>
      </c>
      <c r="AJ444" s="55">
        <f>IF(VLOOKUP($C444,REV!$C:$AL,34,0)-'TRADE IN'!$F444=0,"",(VLOOKUP($C444,REV!$C:$AL,34,0)-'TRADE IN'!$F444))</f>
        <v>3599</v>
      </c>
      <c r="AK444" s="55">
        <f>IF(VLOOKUP($C444,REV!$C:$AL,35,0)-'TRADE IN'!$F444=0,"",(VLOOKUP($C444,REV!$C:$AL,35,0)-'TRADE IN'!$F444))</f>
        <v>3599</v>
      </c>
      <c r="AL444" s="55">
        <f>IF(VLOOKUP($C444,REV!$C:$AL,36,0)-'TRADE IN'!$F444=0,"",(VLOOKUP($C444,REV!$C:$AL,36,0)-'TRADE IN'!$F444))</f>
        <v>2499</v>
      </c>
      <c r="AM444" s="55"/>
      <c r="AN444" s="55"/>
      <c r="AO444" s="55"/>
      <c r="AP444" s="55"/>
      <c r="AQ444" s="55"/>
      <c r="AR444" s="55"/>
      <c r="AS444" s="55"/>
      <c r="AT444" s="55"/>
      <c r="AU444" s="55"/>
      <c r="AV444" s="57"/>
      <c r="AW444" s="58" t="str">
        <f>REV!AW444</f>
        <v>03.11.2026</v>
      </c>
      <c r="AX444" s="147" t="str">
        <f>VLOOKUP(C444,REV!C:AX,48,0)</f>
        <v>5G</v>
      </c>
    </row>
    <row r="445" spans="1:50" ht="22.5" customHeight="1">
      <c r="A445" s="51" t="s">
        <v>63</v>
      </c>
      <c r="B445" s="52" t="s">
        <v>64</v>
      </c>
      <c r="C445" s="53">
        <v>4017750</v>
      </c>
      <c r="D445" s="65" t="s">
        <v>643</v>
      </c>
      <c r="E445" s="65" t="s">
        <v>646</v>
      </c>
      <c r="F445" s="55">
        <v>1200</v>
      </c>
      <c r="G445" s="55"/>
      <c r="H445" s="55"/>
      <c r="I445" s="55"/>
      <c r="J445" s="56">
        <f>IF(VLOOKUP($C445,REV!$C:$AA,8,0)-'TRADE IN'!$F445=0,"",(VLOOKUP($C445,REV!$C:$AA,8,0)-'TRADE IN'!$F445))</f>
        <v>3999</v>
      </c>
      <c r="K445" s="56">
        <f>IF(VLOOKUP($C445,REV!$C:$AA,9,0)-'TRADE IN'!$F445=0,"",(VLOOKUP($C445,REV!$C:$AA,9,0)-'TRADE IN'!$F445))</f>
        <v>3999</v>
      </c>
      <c r="L445" s="56">
        <f>IF(VLOOKUP($C445,REV!$C:$AA,10,0)-'TRADE IN'!$F445=0,"",(VLOOKUP($C445,REV!$C:$AA,10,0)-'TRADE IN'!$F445))</f>
        <v>3999</v>
      </c>
      <c r="M445" s="56">
        <f>IF(VLOOKUP($C445,REV!$C:$AA,11,0)-'TRADE IN'!$F445=0,"",(VLOOKUP($C445,REV!$C:$AA,11,0)-'TRADE IN'!$F445))</f>
        <v>3999</v>
      </c>
      <c r="N445" s="56">
        <f>IF(VLOOKUP($C445,REV!$C:$AA,12,0)-'TRADE IN'!$F445=0,"",(VLOOKUP($C445,REV!$C:$AA,12,0)-'TRADE IN'!$F445))</f>
        <v>3999</v>
      </c>
      <c r="O445" s="56">
        <f>IF(VLOOKUP($C445,REV!$C:$AA,13,0)-'TRADE IN'!$F445=0,"",(VLOOKUP($C445,REV!$C:$AA,13,0)-'TRADE IN'!$F445))</f>
        <v>3899</v>
      </c>
      <c r="P445" s="56">
        <f>IF(VLOOKUP($C445,REV!$C:$AA,14,0)-'TRADE IN'!$F445=0,"",(VLOOKUP($C445,REV!$C:$AA,14,0)-'TRADE IN'!$F445))</f>
        <v>3849</v>
      </c>
      <c r="Q445" s="56">
        <f>IF(VLOOKUP($C445,REV!$C:$AA,15,0)-'TRADE IN'!$F445=0,"",(VLOOKUP($C445,REV!$C:$AA,15,0)-'TRADE IN'!$F445))</f>
        <v>3599</v>
      </c>
      <c r="R445" s="56">
        <f>IF(VLOOKUP($C445,REV!$C:$AA,16,0)-'TRADE IN'!$F445=0,"",(VLOOKUP($C445,REV!$C:$AA,16,0)-'TRADE IN'!$F445))</f>
        <v>3899</v>
      </c>
      <c r="S445" s="56">
        <f>IF(VLOOKUP($C445,REV!$C:$AA,17,0)-'TRADE IN'!$F445=0,"",(VLOOKUP($C445,REV!$C:$AA,17,0)-'TRADE IN'!$F445))</f>
        <v>3849</v>
      </c>
      <c r="T445" s="56">
        <f>IF(VLOOKUP($C445,REV!$C:$AA,18,0)-'TRADE IN'!$F445=0,"",(VLOOKUP($C445,REV!$C:$AA,18,0)-'TRADE IN'!$F445))</f>
        <v>3599</v>
      </c>
      <c r="U445" s="56">
        <f>IF(VLOOKUP($C445,REV!$C:$AA,19,0)-'TRADE IN'!$F445=0,"",(VLOOKUP($C445,REV!$C:$AA,19,0)-'TRADE IN'!$F445))</f>
        <v>3599</v>
      </c>
      <c r="V445" s="56">
        <f>IF(VLOOKUP($C445,REV!$C:$AA,20,0)-'TRADE IN'!$F445=0,"",(VLOOKUP($C445,REV!$C:$AA,20,0)-'TRADE IN'!$F445))</f>
        <v>3599</v>
      </c>
      <c r="W445" s="56">
        <f>IF(VLOOKUP($C445,REV!$C:$AA,21,0)-'TRADE IN'!$F445=0,"",(VLOOKUP($C445,REV!$C:$AA,21,0)-'TRADE IN'!$F445))</f>
        <v>3599</v>
      </c>
      <c r="X445" s="56">
        <f>IF(VLOOKUP($C445,REV!$C:$AA,22,0)-'TRADE IN'!$F445=0,"",(VLOOKUP($C445,REV!$C:$AA,22,0)-'TRADE IN'!$F445))</f>
        <v>3499</v>
      </c>
      <c r="Y445" s="56">
        <f>IF(VLOOKUP($C445,REV!$C:$AA,23,0)-'TRADE IN'!$F445=0,"",(VLOOKUP($C445,REV!$C:$AA,23,0)-'TRADE IN'!$F445))</f>
        <v>2499</v>
      </c>
      <c r="Z445" s="56">
        <f>IF(VLOOKUP($C445,REV!$C:$AA,24,0)-'TRADE IN'!$F445=0,"",(VLOOKUP($C445,REV!$C:$AA,24,0)-'TRADE IN'!$F445))</f>
        <v>2499</v>
      </c>
      <c r="AA445" s="56">
        <f>IF(VLOOKUP($C445,REV!$C:$AA,25,0)-'TRADE IN'!$F445=0,"",(VLOOKUP($C445,REV!$C:$AA,25,0)-'TRADE IN'!$F445))</f>
        <v>2299</v>
      </c>
      <c r="AB445" s="55">
        <f>IF(VLOOKUP($C445,REV!$C:$AL,27,0)-'TRADE IN'!$F445=0,"",(VLOOKUP($C445,REV!$C:$AL,27,0)-'TRADE IN'!$F445))</f>
        <v>3999</v>
      </c>
      <c r="AC445" s="55">
        <f>IF(VLOOKUP($C445,REV!$C:$AL,28,0)-'TRADE IN'!$F445=0,"",(VLOOKUP($C445,REV!$C:$AL,28,0)-'TRADE IN'!$F445))</f>
        <v>3999</v>
      </c>
      <c r="AD445" s="55">
        <f>IF(VLOOKUP($C445,REV!$C:$AL,29,0)-'TRADE IN'!$F445=0,"",(VLOOKUP($C445,REV!$C:$AL,29,0)-'TRADE IN'!$F445))</f>
        <v>3999</v>
      </c>
      <c r="AE445" s="55">
        <f>IF(VLOOKUP($C445,REV!$C:$AL,30,0)-'TRADE IN'!$F445=0,"",(VLOOKUP($C445,REV!$C:$AL,30,0)-'TRADE IN'!$F445))</f>
        <v>3899</v>
      </c>
      <c r="AF445" s="55">
        <f>IF(VLOOKUP($C445,REV!$C:$AL,31,0)-'TRADE IN'!$F445=0,"",(VLOOKUP($C445,REV!$C:$AL,31,0)-'TRADE IN'!$F445))</f>
        <v>3849</v>
      </c>
      <c r="AG445" s="55">
        <f>IF(VLOOKUP($C445,REV!$C:$AL,31,0)-'TRADE IN'!$F445=0,"",(VLOOKUP($C445,REV!$C:$AL,31,0)-'TRADE IN'!$F445))</f>
        <v>3849</v>
      </c>
      <c r="AH445" s="55">
        <f>IF(VLOOKUP($C445,REV!$C:$AL,32,0)-'TRADE IN'!$F445=0,"",(VLOOKUP($C445,REV!$C:$AL,32,0)-'TRADE IN'!$F445))</f>
        <v>3599</v>
      </c>
      <c r="AI445" s="55">
        <f>IF(VLOOKUP($C445,REV!$C:$AL,33,0)-'TRADE IN'!$F445=0,"",(VLOOKUP($C445,REV!$C:$AL,33,0)-'TRADE IN'!$F445))</f>
        <v>3599</v>
      </c>
      <c r="AJ445" s="55">
        <f>IF(VLOOKUP($C445,REV!$C:$AL,34,0)-'TRADE IN'!$F445=0,"",(VLOOKUP($C445,REV!$C:$AL,34,0)-'TRADE IN'!$F445))</f>
        <v>3599</v>
      </c>
      <c r="AK445" s="55">
        <f>IF(VLOOKUP($C445,REV!$C:$AL,35,0)-'TRADE IN'!$F445=0,"",(VLOOKUP($C445,REV!$C:$AL,35,0)-'TRADE IN'!$F445))</f>
        <v>3599</v>
      </c>
      <c r="AL445" s="55">
        <f>IF(VLOOKUP($C445,REV!$C:$AL,36,0)-'TRADE IN'!$F445=0,"",(VLOOKUP($C445,REV!$C:$AL,36,0)-'TRADE IN'!$F445))</f>
        <v>2499</v>
      </c>
      <c r="AM445" s="55"/>
      <c r="AN445" s="55"/>
      <c r="AO445" s="55"/>
      <c r="AP445" s="55"/>
      <c r="AQ445" s="55"/>
      <c r="AR445" s="55"/>
      <c r="AS445" s="55"/>
      <c r="AT445" s="55"/>
      <c r="AU445" s="55"/>
      <c r="AV445" s="57"/>
      <c r="AW445" s="58" t="str">
        <f>REV!AW445</f>
        <v>03.11.2026</v>
      </c>
      <c r="AX445" s="147" t="str">
        <f>VLOOKUP(C445,REV!C:AX,48,0)</f>
        <v>5G</v>
      </c>
    </row>
    <row r="446" spans="1:50" ht="22.5" customHeight="1">
      <c r="A446" s="51" t="s">
        <v>63</v>
      </c>
      <c r="B446" s="52" t="s">
        <v>64</v>
      </c>
      <c r="C446" s="53">
        <v>4017751</v>
      </c>
      <c r="D446" s="65" t="s">
        <v>643</v>
      </c>
      <c r="E446" s="65" t="s">
        <v>647</v>
      </c>
      <c r="F446" s="55">
        <v>1200</v>
      </c>
      <c r="G446" s="55"/>
      <c r="H446" s="55"/>
      <c r="I446" s="55"/>
      <c r="J446" s="56">
        <f>IF(VLOOKUP($C446,REV!$C:$AA,8,0)-'TRADE IN'!$F446=0,"",(VLOOKUP($C446,REV!$C:$AA,8,0)-'TRADE IN'!$F446))</f>
        <v>3999</v>
      </c>
      <c r="K446" s="56">
        <f>IF(VLOOKUP($C446,REV!$C:$AA,9,0)-'TRADE IN'!$F446=0,"",(VLOOKUP($C446,REV!$C:$AA,9,0)-'TRADE IN'!$F446))</f>
        <v>3999</v>
      </c>
      <c r="L446" s="56">
        <f>IF(VLOOKUP($C446,REV!$C:$AA,10,0)-'TRADE IN'!$F446=0,"",(VLOOKUP($C446,REV!$C:$AA,10,0)-'TRADE IN'!$F446))</f>
        <v>3999</v>
      </c>
      <c r="M446" s="56">
        <f>IF(VLOOKUP($C446,REV!$C:$AA,11,0)-'TRADE IN'!$F446=0,"",(VLOOKUP($C446,REV!$C:$AA,11,0)-'TRADE IN'!$F446))</f>
        <v>3999</v>
      </c>
      <c r="N446" s="56">
        <f>IF(VLOOKUP($C446,REV!$C:$AA,12,0)-'TRADE IN'!$F446=0,"",(VLOOKUP($C446,REV!$C:$AA,12,0)-'TRADE IN'!$F446))</f>
        <v>3999</v>
      </c>
      <c r="O446" s="56">
        <f>IF(VLOOKUP($C446,REV!$C:$AA,13,0)-'TRADE IN'!$F446=0,"",(VLOOKUP($C446,REV!$C:$AA,13,0)-'TRADE IN'!$F446))</f>
        <v>3899</v>
      </c>
      <c r="P446" s="56">
        <f>IF(VLOOKUP($C446,REV!$C:$AA,14,0)-'TRADE IN'!$F446=0,"",(VLOOKUP($C446,REV!$C:$AA,14,0)-'TRADE IN'!$F446))</f>
        <v>3849</v>
      </c>
      <c r="Q446" s="56">
        <f>IF(VLOOKUP($C446,REV!$C:$AA,15,0)-'TRADE IN'!$F446=0,"",(VLOOKUP($C446,REV!$C:$AA,15,0)-'TRADE IN'!$F446))</f>
        <v>3599</v>
      </c>
      <c r="R446" s="56">
        <f>IF(VLOOKUP($C446,REV!$C:$AA,16,0)-'TRADE IN'!$F446=0,"",(VLOOKUP($C446,REV!$C:$AA,16,0)-'TRADE IN'!$F446))</f>
        <v>3899</v>
      </c>
      <c r="S446" s="56">
        <f>IF(VLOOKUP($C446,REV!$C:$AA,17,0)-'TRADE IN'!$F446=0,"",(VLOOKUP($C446,REV!$C:$AA,17,0)-'TRADE IN'!$F446))</f>
        <v>3849</v>
      </c>
      <c r="T446" s="56">
        <f>IF(VLOOKUP($C446,REV!$C:$AA,18,0)-'TRADE IN'!$F446=0,"",(VLOOKUP($C446,REV!$C:$AA,18,0)-'TRADE IN'!$F446))</f>
        <v>3599</v>
      </c>
      <c r="U446" s="56">
        <f>IF(VLOOKUP($C446,REV!$C:$AA,19,0)-'TRADE IN'!$F446=0,"",(VLOOKUP($C446,REV!$C:$AA,19,0)-'TRADE IN'!$F446))</f>
        <v>3599</v>
      </c>
      <c r="V446" s="56">
        <f>IF(VLOOKUP($C446,REV!$C:$AA,20,0)-'TRADE IN'!$F446=0,"",(VLOOKUP($C446,REV!$C:$AA,20,0)-'TRADE IN'!$F446))</f>
        <v>3599</v>
      </c>
      <c r="W446" s="56">
        <f>IF(VLOOKUP($C446,REV!$C:$AA,21,0)-'TRADE IN'!$F446=0,"",(VLOOKUP($C446,REV!$C:$AA,21,0)-'TRADE IN'!$F446))</f>
        <v>3599</v>
      </c>
      <c r="X446" s="56">
        <f>IF(VLOOKUP($C446,REV!$C:$AA,22,0)-'TRADE IN'!$F446=0,"",(VLOOKUP($C446,REV!$C:$AA,22,0)-'TRADE IN'!$F446))</f>
        <v>3499</v>
      </c>
      <c r="Y446" s="56">
        <f>IF(VLOOKUP($C446,REV!$C:$AA,23,0)-'TRADE IN'!$F446=0,"",(VLOOKUP($C446,REV!$C:$AA,23,0)-'TRADE IN'!$F446))</f>
        <v>2499</v>
      </c>
      <c r="Z446" s="56">
        <f>IF(VLOOKUP($C446,REV!$C:$AA,24,0)-'TRADE IN'!$F446=0,"",(VLOOKUP($C446,REV!$C:$AA,24,0)-'TRADE IN'!$F446))</f>
        <v>2499</v>
      </c>
      <c r="AA446" s="56">
        <f>IF(VLOOKUP($C446,REV!$C:$AA,25,0)-'TRADE IN'!$F446=0,"",(VLOOKUP($C446,REV!$C:$AA,25,0)-'TRADE IN'!$F446))</f>
        <v>2299</v>
      </c>
      <c r="AB446" s="55">
        <f>IF(VLOOKUP($C446,REV!$C:$AL,27,0)-'TRADE IN'!$F446=0,"",(VLOOKUP($C446,REV!$C:$AL,27,0)-'TRADE IN'!$F446))</f>
        <v>3999</v>
      </c>
      <c r="AC446" s="55">
        <f>IF(VLOOKUP($C446,REV!$C:$AL,28,0)-'TRADE IN'!$F446=0,"",(VLOOKUP($C446,REV!$C:$AL,28,0)-'TRADE IN'!$F446))</f>
        <v>3999</v>
      </c>
      <c r="AD446" s="55">
        <f>IF(VLOOKUP($C446,REV!$C:$AL,29,0)-'TRADE IN'!$F446=0,"",(VLOOKUP($C446,REV!$C:$AL,29,0)-'TRADE IN'!$F446))</f>
        <v>3999</v>
      </c>
      <c r="AE446" s="55">
        <f>IF(VLOOKUP($C446,REV!$C:$AL,30,0)-'TRADE IN'!$F446=0,"",(VLOOKUP($C446,REV!$C:$AL,30,0)-'TRADE IN'!$F446))</f>
        <v>3899</v>
      </c>
      <c r="AF446" s="55">
        <f>IF(VLOOKUP($C446,REV!$C:$AL,31,0)-'TRADE IN'!$F446=0,"",(VLOOKUP($C446,REV!$C:$AL,31,0)-'TRADE IN'!$F446))</f>
        <v>3849</v>
      </c>
      <c r="AG446" s="55">
        <f>IF(VLOOKUP($C446,REV!$C:$AL,31,0)-'TRADE IN'!$F446=0,"",(VLOOKUP($C446,REV!$C:$AL,31,0)-'TRADE IN'!$F446))</f>
        <v>3849</v>
      </c>
      <c r="AH446" s="55">
        <f>IF(VLOOKUP($C446,REV!$C:$AL,32,0)-'TRADE IN'!$F446=0,"",(VLOOKUP($C446,REV!$C:$AL,32,0)-'TRADE IN'!$F446))</f>
        <v>3599</v>
      </c>
      <c r="AI446" s="55">
        <f>IF(VLOOKUP($C446,REV!$C:$AL,33,0)-'TRADE IN'!$F446=0,"",(VLOOKUP($C446,REV!$C:$AL,33,0)-'TRADE IN'!$F446))</f>
        <v>3599</v>
      </c>
      <c r="AJ446" s="55">
        <f>IF(VLOOKUP($C446,REV!$C:$AL,34,0)-'TRADE IN'!$F446=0,"",(VLOOKUP($C446,REV!$C:$AL,34,0)-'TRADE IN'!$F446))</f>
        <v>3599</v>
      </c>
      <c r="AK446" s="55">
        <f>IF(VLOOKUP($C446,REV!$C:$AL,35,0)-'TRADE IN'!$F446=0,"",(VLOOKUP($C446,REV!$C:$AL,35,0)-'TRADE IN'!$F446))</f>
        <v>3599</v>
      </c>
      <c r="AL446" s="55">
        <f>IF(VLOOKUP($C446,REV!$C:$AL,36,0)-'TRADE IN'!$F446=0,"",(VLOOKUP($C446,REV!$C:$AL,36,0)-'TRADE IN'!$F446))</f>
        <v>2499</v>
      </c>
      <c r="AM446" s="55"/>
      <c r="AN446" s="55"/>
      <c r="AO446" s="55"/>
      <c r="AP446" s="55"/>
      <c r="AQ446" s="55"/>
      <c r="AR446" s="55"/>
      <c r="AS446" s="55"/>
      <c r="AT446" s="55"/>
      <c r="AU446" s="55"/>
      <c r="AV446" s="57"/>
      <c r="AW446" s="58" t="str">
        <f>REV!AW446</f>
        <v>03.11.2026</v>
      </c>
      <c r="AX446" s="147" t="str">
        <f>VLOOKUP(C446,REV!C:AX,48,0)</f>
        <v>5G</v>
      </c>
    </row>
    <row r="447" spans="1:50" ht="22.5" customHeight="1">
      <c r="A447" s="51" t="s">
        <v>63</v>
      </c>
      <c r="B447" s="52" t="s">
        <v>64</v>
      </c>
      <c r="C447" s="53">
        <v>4017756</v>
      </c>
      <c r="D447" s="65" t="s">
        <v>643</v>
      </c>
      <c r="E447" s="65" t="s">
        <v>648</v>
      </c>
      <c r="F447" s="55">
        <v>1200</v>
      </c>
      <c r="G447" s="55"/>
      <c r="H447" s="55"/>
      <c r="I447" s="55"/>
      <c r="J447" s="56">
        <f>IF(VLOOKUP($C447,REV!$C:$AA,8,0)-'TRADE IN'!$F447=0,"",(VLOOKUP($C447,REV!$C:$AA,8,0)-'TRADE IN'!$F447))</f>
        <v>3999</v>
      </c>
      <c r="K447" s="56">
        <f>IF(VLOOKUP($C447,REV!$C:$AA,9,0)-'TRADE IN'!$F447=0,"",(VLOOKUP($C447,REV!$C:$AA,9,0)-'TRADE IN'!$F447))</f>
        <v>3999</v>
      </c>
      <c r="L447" s="56">
        <f>IF(VLOOKUP($C447,REV!$C:$AA,10,0)-'TRADE IN'!$F447=0,"",(VLOOKUP($C447,REV!$C:$AA,10,0)-'TRADE IN'!$F447))</f>
        <v>3999</v>
      </c>
      <c r="M447" s="56">
        <f>IF(VLOOKUP($C447,REV!$C:$AA,11,0)-'TRADE IN'!$F447=0,"",(VLOOKUP($C447,REV!$C:$AA,11,0)-'TRADE IN'!$F447))</f>
        <v>3999</v>
      </c>
      <c r="N447" s="56">
        <f>IF(VLOOKUP($C447,REV!$C:$AA,12,0)-'TRADE IN'!$F447=0,"",(VLOOKUP($C447,REV!$C:$AA,12,0)-'TRADE IN'!$F447))</f>
        <v>3999</v>
      </c>
      <c r="O447" s="56">
        <f>IF(VLOOKUP($C447,REV!$C:$AA,13,0)-'TRADE IN'!$F447=0,"",(VLOOKUP($C447,REV!$C:$AA,13,0)-'TRADE IN'!$F447))</f>
        <v>3899</v>
      </c>
      <c r="P447" s="56">
        <f>IF(VLOOKUP($C447,REV!$C:$AA,14,0)-'TRADE IN'!$F447=0,"",(VLOOKUP($C447,REV!$C:$AA,14,0)-'TRADE IN'!$F447))</f>
        <v>3849</v>
      </c>
      <c r="Q447" s="56">
        <f>IF(VLOOKUP($C447,REV!$C:$AA,15,0)-'TRADE IN'!$F447=0,"",(VLOOKUP($C447,REV!$C:$AA,15,0)-'TRADE IN'!$F447))</f>
        <v>3599</v>
      </c>
      <c r="R447" s="56">
        <f>IF(VLOOKUP($C447,REV!$C:$AA,16,0)-'TRADE IN'!$F447=0,"",(VLOOKUP($C447,REV!$C:$AA,16,0)-'TRADE IN'!$F447))</f>
        <v>3899</v>
      </c>
      <c r="S447" s="56">
        <f>IF(VLOOKUP($C447,REV!$C:$AA,17,0)-'TRADE IN'!$F447=0,"",(VLOOKUP($C447,REV!$C:$AA,17,0)-'TRADE IN'!$F447))</f>
        <v>3849</v>
      </c>
      <c r="T447" s="56">
        <f>IF(VLOOKUP($C447,REV!$C:$AA,18,0)-'TRADE IN'!$F447=0,"",(VLOOKUP($C447,REV!$C:$AA,18,0)-'TRADE IN'!$F447))</f>
        <v>3599</v>
      </c>
      <c r="U447" s="56">
        <f>IF(VLOOKUP($C447,REV!$C:$AA,19,0)-'TRADE IN'!$F447=0,"",(VLOOKUP($C447,REV!$C:$AA,19,0)-'TRADE IN'!$F447))</f>
        <v>3599</v>
      </c>
      <c r="V447" s="56">
        <f>IF(VLOOKUP($C447,REV!$C:$AA,20,0)-'TRADE IN'!$F447=0,"",(VLOOKUP($C447,REV!$C:$AA,20,0)-'TRADE IN'!$F447))</f>
        <v>3599</v>
      </c>
      <c r="W447" s="56">
        <f>IF(VLOOKUP($C447,REV!$C:$AA,21,0)-'TRADE IN'!$F447=0,"",(VLOOKUP($C447,REV!$C:$AA,21,0)-'TRADE IN'!$F447))</f>
        <v>3599</v>
      </c>
      <c r="X447" s="56">
        <f>IF(VLOOKUP($C447,REV!$C:$AA,22,0)-'TRADE IN'!$F447=0,"",(VLOOKUP($C447,REV!$C:$AA,22,0)-'TRADE IN'!$F447))</f>
        <v>3499</v>
      </c>
      <c r="Y447" s="56">
        <f>IF(VLOOKUP($C447,REV!$C:$AA,23,0)-'TRADE IN'!$F447=0,"",(VLOOKUP($C447,REV!$C:$AA,23,0)-'TRADE IN'!$F447))</f>
        <v>2499</v>
      </c>
      <c r="Z447" s="56">
        <f>IF(VLOOKUP($C447,REV!$C:$AA,24,0)-'TRADE IN'!$F447=0,"",(VLOOKUP($C447,REV!$C:$AA,24,0)-'TRADE IN'!$F447))</f>
        <v>2499</v>
      </c>
      <c r="AA447" s="56">
        <f>IF(VLOOKUP($C447,REV!$C:$AA,25,0)-'TRADE IN'!$F447=0,"",(VLOOKUP($C447,REV!$C:$AA,25,0)-'TRADE IN'!$F447))</f>
        <v>2299</v>
      </c>
      <c r="AB447" s="55">
        <f>IF(VLOOKUP($C447,REV!$C:$AL,27,0)-'TRADE IN'!$F447=0,"",(VLOOKUP($C447,REV!$C:$AL,27,0)-'TRADE IN'!$F447))</f>
        <v>3999</v>
      </c>
      <c r="AC447" s="55">
        <f>IF(VLOOKUP($C447,REV!$C:$AL,28,0)-'TRADE IN'!$F447=0,"",(VLOOKUP($C447,REV!$C:$AL,28,0)-'TRADE IN'!$F447))</f>
        <v>3999</v>
      </c>
      <c r="AD447" s="55">
        <f>IF(VLOOKUP($C447,REV!$C:$AL,29,0)-'TRADE IN'!$F447=0,"",(VLOOKUP($C447,REV!$C:$AL,29,0)-'TRADE IN'!$F447))</f>
        <v>3999</v>
      </c>
      <c r="AE447" s="55">
        <f>IF(VLOOKUP($C447,REV!$C:$AL,30,0)-'TRADE IN'!$F447=0,"",(VLOOKUP($C447,REV!$C:$AL,30,0)-'TRADE IN'!$F447))</f>
        <v>3899</v>
      </c>
      <c r="AF447" s="55">
        <f>IF(VLOOKUP($C447,REV!$C:$AL,31,0)-'TRADE IN'!$F447=0,"",(VLOOKUP($C447,REV!$C:$AL,31,0)-'TRADE IN'!$F447))</f>
        <v>3849</v>
      </c>
      <c r="AG447" s="55">
        <f>IF(VLOOKUP($C447,REV!$C:$AL,31,0)-'TRADE IN'!$F447=0,"",(VLOOKUP($C447,REV!$C:$AL,31,0)-'TRADE IN'!$F447))</f>
        <v>3849</v>
      </c>
      <c r="AH447" s="55">
        <f>IF(VLOOKUP($C447,REV!$C:$AL,32,0)-'TRADE IN'!$F447=0,"",(VLOOKUP($C447,REV!$C:$AL,32,0)-'TRADE IN'!$F447))</f>
        <v>3599</v>
      </c>
      <c r="AI447" s="55">
        <f>IF(VLOOKUP($C447,REV!$C:$AL,33,0)-'TRADE IN'!$F447=0,"",(VLOOKUP($C447,REV!$C:$AL,33,0)-'TRADE IN'!$F447))</f>
        <v>3599</v>
      </c>
      <c r="AJ447" s="55">
        <f>IF(VLOOKUP($C447,REV!$C:$AL,34,0)-'TRADE IN'!$F447=0,"",(VLOOKUP($C447,REV!$C:$AL,34,0)-'TRADE IN'!$F447))</f>
        <v>3599</v>
      </c>
      <c r="AK447" s="55">
        <f>IF(VLOOKUP($C447,REV!$C:$AL,35,0)-'TRADE IN'!$F447=0,"",(VLOOKUP($C447,REV!$C:$AL,35,0)-'TRADE IN'!$F447))</f>
        <v>3599</v>
      </c>
      <c r="AL447" s="55">
        <f>IF(VLOOKUP($C447,REV!$C:$AL,36,0)-'TRADE IN'!$F447=0,"",(VLOOKUP($C447,REV!$C:$AL,36,0)-'TRADE IN'!$F447))</f>
        <v>2499</v>
      </c>
      <c r="AM447" s="55"/>
      <c r="AN447" s="55"/>
      <c r="AO447" s="55"/>
      <c r="AP447" s="55"/>
      <c r="AQ447" s="55"/>
      <c r="AR447" s="55"/>
      <c r="AS447" s="55"/>
      <c r="AT447" s="55"/>
      <c r="AU447" s="55"/>
      <c r="AV447" s="57"/>
      <c r="AW447" s="58" t="str">
        <f>REV!AW447</f>
        <v>03.11.2026</v>
      </c>
      <c r="AX447" s="147" t="str">
        <f>VLOOKUP(C447,REV!C:AX,48,0)</f>
        <v>5G</v>
      </c>
    </row>
    <row r="448" spans="1:50" ht="22.5" customHeight="1">
      <c r="A448" s="51" t="s">
        <v>63</v>
      </c>
      <c r="B448" s="52" t="s">
        <v>64</v>
      </c>
      <c r="C448" s="53">
        <v>4017757</v>
      </c>
      <c r="D448" s="65" t="s">
        <v>643</v>
      </c>
      <c r="E448" s="65" t="s">
        <v>649</v>
      </c>
      <c r="F448" s="55">
        <v>1200</v>
      </c>
      <c r="G448" s="55"/>
      <c r="H448" s="55"/>
      <c r="I448" s="55"/>
      <c r="J448" s="56">
        <f>IF(VLOOKUP($C448,REV!$C:$AA,8,0)-'TRADE IN'!$F448=0,"",(VLOOKUP($C448,REV!$C:$AA,8,0)-'TRADE IN'!$F448))</f>
        <v>3999</v>
      </c>
      <c r="K448" s="56">
        <f>IF(VLOOKUP($C448,REV!$C:$AA,9,0)-'TRADE IN'!$F448=0,"",(VLOOKUP($C448,REV!$C:$AA,9,0)-'TRADE IN'!$F448))</f>
        <v>3999</v>
      </c>
      <c r="L448" s="56">
        <f>IF(VLOOKUP($C448,REV!$C:$AA,10,0)-'TRADE IN'!$F448=0,"",(VLOOKUP($C448,REV!$C:$AA,10,0)-'TRADE IN'!$F448))</f>
        <v>3999</v>
      </c>
      <c r="M448" s="56">
        <f>IF(VLOOKUP($C448,REV!$C:$AA,11,0)-'TRADE IN'!$F448=0,"",(VLOOKUP($C448,REV!$C:$AA,11,0)-'TRADE IN'!$F448))</f>
        <v>3999</v>
      </c>
      <c r="N448" s="56">
        <f>IF(VLOOKUP($C448,REV!$C:$AA,12,0)-'TRADE IN'!$F448=0,"",(VLOOKUP($C448,REV!$C:$AA,12,0)-'TRADE IN'!$F448))</f>
        <v>3999</v>
      </c>
      <c r="O448" s="56">
        <f>IF(VLOOKUP($C448,REV!$C:$AA,13,0)-'TRADE IN'!$F448=0,"",(VLOOKUP($C448,REV!$C:$AA,13,0)-'TRADE IN'!$F448))</f>
        <v>3899</v>
      </c>
      <c r="P448" s="56">
        <f>IF(VLOOKUP($C448,REV!$C:$AA,14,0)-'TRADE IN'!$F448=0,"",(VLOOKUP($C448,REV!$C:$AA,14,0)-'TRADE IN'!$F448))</f>
        <v>3849</v>
      </c>
      <c r="Q448" s="56">
        <f>IF(VLOOKUP($C448,REV!$C:$AA,15,0)-'TRADE IN'!$F448=0,"",(VLOOKUP($C448,REV!$C:$AA,15,0)-'TRADE IN'!$F448))</f>
        <v>3599</v>
      </c>
      <c r="R448" s="56">
        <f>IF(VLOOKUP($C448,REV!$C:$AA,16,0)-'TRADE IN'!$F448=0,"",(VLOOKUP($C448,REV!$C:$AA,16,0)-'TRADE IN'!$F448))</f>
        <v>3899</v>
      </c>
      <c r="S448" s="56">
        <f>IF(VLOOKUP($C448,REV!$C:$AA,17,0)-'TRADE IN'!$F448=0,"",(VLOOKUP($C448,REV!$C:$AA,17,0)-'TRADE IN'!$F448))</f>
        <v>3849</v>
      </c>
      <c r="T448" s="56">
        <f>IF(VLOOKUP($C448,REV!$C:$AA,18,0)-'TRADE IN'!$F448=0,"",(VLOOKUP($C448,REV!$C:$AA,18,0)-'TRADE IN'!$F448))</f>
        <v>3599</v>
      </c>
      <c r="U448" s="56">
        <f>IF(VLOOKUP($C448,REV!$C:$AA,19,0)-'TRADE IN'!$F448=0,"",(VLOOKUP($C448,REV!$C:$AA,19,0)-'TRADE IN'!$F448))</f>
        <v>3599</v>
      </c>
      <c r="V448" s="56">
        <f>IF(VLOOKUP($C448,REV!$C:$AA,20,0)-'TRADE IN'!$F448=0,"",(VLOOKUP($C448,REV!$C:$AA,20,0)-'TRADE IN'!$F448))</f>
        <v>3599</v>
      </c>
      <c r="W448" s="56">
        <f>IF(VLOOKUP($C448,REV!$C:$AA,21,0)-'TRADE IN'!$F448=0,"",(VLOOKUP($C448,REV!$C:$AA,21,0)-'TRADE IN'!$F448))</f>
        <v>3599</v>
      </c>
      <c r="X448" s="56">
        <f>IF(VLOOKUP($C448,REV!$C:$AA,22,0)-'TRADE IN'!$F448=0,"",(VLOOKUP($C448,REV!$C:$AA,22,0)-'TRADE IN'!$F448))</f>
        <v>3499</v>
      </c>
      <c r="Y448" s="56">
        <f>IF(VLOOKUP($C448,REV!$C:$AA,23,0)-'TRADE IN'!$F448=0,"",(VLOOKUP($C448,REV!$C:$AA,23,0)-'TRADE IN'!$F448))</f>
        <v>2499</v>
      </c>
      <c r="Z448" s="56">
        <f>IF(VLOOKUP($C448,REV!$C:$AA,24,0)-'TRADE IN'!$F448=0,"",(VLOOKUP($C448,REV!$C:$AA,24,0)-'TRADE IN'!$F448))</f>
        <v>2499</v>
      </c>
      <c r="AA448" s="56">
        <f>IF(VLOOKUP($C448,REV!$C:$AA,25,0)-'TRADE IN'!$F448=0,"",(VLOOKUP($C448,REV!$C:$AA,25,0)-'TRADE IN'!$F448))</f>
        <v>2299</v>
      </c>
      <c r="AB448" s="55">
        <f>IF(VLOOKUP($C448,REV!$C:$AL,27,0)-'TRADE IN'!$F448=0,"",(VLOOKUP($C448,REV!$C:$AL,27,0)-'TRADE IN'!$F448))</f>
        <v>3999</v>
      </c>
      <c r="AC448" s="55">
        <f>IF(VLOOKUP($C448,REV!$C:$AL,28,0)-'TRADE IN'!$F448=0,"",(VLOOKUP($C448,REV!$C:$AL,28,0)-'TRADE IN'!$F448))</f>
        <v>3999</v>
      </c>
      <c r="AD448" s="55">
        <f>IF(VLOOKUP($C448,REV!$C:$AL,29,0)-'TRADE IN'!$F448=0,"",(VLOOKUP($C448,REV!$C:$AL,29,0)-'TRADE IN'!$F448))</f>
        <v>3999</v>
      </c>
      <c r="AE448" s="55">
        <f>IF(VLOOKUP($C448,REV!$C:$AL,30,0)-'TRADE IN'!$F448=0,"",(VLOOKUP($C448,REV!$C:$AL,30,0)-'TRADE IN'!$F448))</f>
        <v>3899</v>
      </c>
      <c r="AF448" s="55">
        <f>IF(VLOOKUP($C448,REV!$C:$AL,31,0)-'TRADE IN'!$F448=0,"",(VLOOKUP($C448,REV!$C:$AL,31,0)-'TRADE IN'!$F448))</f>
        <v>3849</v>
      </c>
      <c r="AG448" s="55">
        <f>IF(VLOOKUP($C448,REV!$C:$AL,31,0)-'TRADE IN'!$F448=0,"",(VLOOKUP($C448,REV!$C:$AL,31,0)-'TRADE IN'!$F448))</f>
        <v>3849</v>
      </c>
      <c r="AH448" s="55">
        <f>IF(VLOOKUP($C448,REV!$C:$AL,32,0)-'TRADE IN'!$F448=0,"",(VLOOKUP($C448,REV!$C:$AL,32,0)-'TRADE IN'!$F448))</f>
        <v>3599</v>
      </c>
      <c r="AI448" s="55">
        <f>IF(VLOOKUP($C448,REV!$C:$AL,33,0)-'TRADE IN'!$F448=0,"",(VLOOKUP($C448,REV!$C:$AL,33,0)-'TRADE IN'!$F448))</f>
        <v>3599</v>
      </c>
      <c r="AJ448" s="55">
        <f>IF(VLOOKUP($C448,REV!$C:$AL,34,0)-'TRADE IN'!$F448=0,"",(VLOOKUP($C448,REV!$C:$AL,34,0)-'TRADE IN'!$F448))</f>
        <v>3599</v>
      </c>
      <c r="AK448" s="55">
        <f>IF(VLOOKUP($C448,REV!$C:$AL,35,0)-'TRADE IN'!$F448=0,"",(VLOOKUP($C448,REV!$C:$AL,35,0)-'TRADE IN'!$F448))</f>
        <v>3599</v>
      </c>
      <c r="AL448" s="55">
        <f>IF(VLOOKUP($C448,REV!$C:$AL,36,0)-'TRADE IN'!$F448=0,"",(VLOOKUP($C448,REV!$C:$AL,36,0)-'TRADE IN'!$F448))</f>
        <v>2499</v>
      </c>
      <c r="AM448" s="55"/>
      <c r="AN448" s="55"/>
      <c r="AO448" s="55"/>
      <c r="AP448" s="55"/>
      <c r="AQ448" s="55"/>
      <c r="AR448" s="55"/>
      <c r="AS448" s="55"/>
      <c r="AT448" s="55"/>
      <c r="AU448" s="55"/>
      <c r="AV448" s="57"/>
      <c r="AW448" s="58" t="str">
        <f>REV!AW448</f>
        <v>03.11.2026</v>
      </c>
      <c r="AX448" s="147" t="str">
        <f>VLOOKUP(C448,REV!C:AX,48,0)</f>
        <v>5G</v>
      </c>
    </row>
    <row r="449" spans="1:50" ht="22.5" customHeight="1">
      <c r="A449" s="51" t="s">
        <v>63</v>
      </c>
      <c r="B449" s="52" t="s">
        <v>64</v>
      </c>
      <c r="C449" s="53">
        <v>4017746</v>
      </c>
      <c r="D449" s="65" t="s">
        <v>650</v>
      </c>
      <c r="E449" s="65" t="s">
        <v>651</v>
      </c>
      <c r="F449" s="55"/>
      <c r="G449" s="55"/>
      <c r="H449" s="55"/>
      <c r="I449" s="55"/>
      <c r="J449" s="56">
        <f>IF(VLOOKUP($C449,REV!$C:$AA,8,0)-'TRADE IN'!$F449=0,"",(VLOOKUP($C449,REV!$C:$AA,8,0)-'TRADE IN'!$F449))</f>
        <v>7099</v>
      </c>
      <c r="K449" s="56">
        <f>IF(VLOOKUP($C449,REV!$C:$AA,9,0)-'TRADE IN'!$F449=0,"",(VLOOKUP($C449,REV!$C:$AA,9,0)-'TRADE IN'!$F449))</f>
        <v>7099</v>
      </c>
      <c r="L449" s="56">
        <f>IF(VLOOKUP($C449,REV!$C:$AA,10,0)-'TRADE IN'!$F449=0,"",(VLOOKUP($C449,REV!$C:$AA,10,0)-'TRADE IN'!$F449))</f>
        <v>7099</v>
      </c>
      <c r="M449" s="56">
        <f>IF(VLOOKUP($C449,REV!$C:$AA,11,0)-'TRADE IN'!$F449=0,"",(VLOOKUP($C449,REV!$C:$AA,11,0)-'TRADE IN'!$F449))</f>
        <v>7099</v>
      </c>
      <c r="N449" s="56">
        <f>IF(VLOOKUP($C449,REV!$C:$AA,12,0)-'TRADE IN'!$F449=0,"",(VLOOKUP($C449,REV!$C:$AA,12,0)-'TRADE IN'!$F449))</f>
        <v>7099</v>
      </c>
      <c r="O449" s="56">
        <f>IF(VLOOKUP($C449,REV!$C:$AA,13,0)-'TRADE IN'!$F449=0,"",(VLOOKUP($C449,REV!$C:$AA,13,0)-'TRADE IN'!$F449))</f>
        <v>6999</v>
      </c>
      <c r="P449" s="56">
        <f>IF(VLOOKUP($C449,REV!$C:$AA,14,0)-'TRADE IN'!$F449=0,"",(VLOOKUP($C449,REV!$C:$AA,14,0)-'TRADE IN'!$F449))</f>
        <v>6899</v>
      </c>
      <c r="Q449" s="56">
        <f>IF(VLOOKUP($C449,REV!$C:$AA,15,0)-'TRADE IN'!$F449=0,"",(VLOOKUP($C449,REV!$C:$AA,15,0)-'TRADE IN'!$F449))</f>
        <v>6499</v>
      </c>
      <c r="R449" s="56">
        <f>IF(VLOOKUP($C449,REV!$C:$AA,16,0)-'TRADE IN'!$F449=0,"",(VLOOKUP($C449,REV!$C:$AA,16,0)-'TRADE IN'!$F449))</f>
        <v>6999</v>
      </c>
      <c r="S449" s="56">
        <f>IF(VLOOKUP($C449,REV!$C:$AA,17,0)-'TRADE IN'!$F449=0,"",(VLOOKUP($C449,REV!$C:$AA,17,0)-'TRADE IN'!$F449))</f>
        <v>6899</v>
      </c>
      <c r="T449" s="56">
        <f>IF(VLOOKUP($C449,REV!$C:$AA,18,0)-'TRADE IN'!$F449=0,"",(VLOOKUP($C449,REV!$C:$AA,18,0)-'TRADE IN'!$F449))</f>
        <v>6499</v>
      </c>
      <c r="U449" s="56">
        <f>IF(VLOOKUP($C449,REV!$C:$AA,19,0)-'TRADE IN'!$F449=0,"",(VLOOKUP($C449,REV!$C:$AA,19,0)-'TRADE IN'!$F449))</f>
        <v>6499</v>
      </c>
      <c r="V449" s="56">
        <f>IF(VLOOKUP($C449,REV!$C:$AA,20,0)-'TRADE IN'!$F449=0,"",(VLOOKUP($C449,REV!$C:$AA,20,0)-'TRADE IN'!$F449))</f>
        <v>6499</v>
      </c>
      <c r="W449" s="56">
        <f>IF(VLOOKUP($C449,REV!$C:$AA,21,0)-'TRADE IN'!$F449=0,"",(VLOOKUP($C449,REV!$C:$AA,21,0)-'TRADE IN'!$F449))</f>
        <v>6499</v>
      </c>
      <c r="X449" s="56">
        <f>IF(VLOOKUP($C449,REV!$C:$AA,22,0)-'TRADE IN'!$F449=0,"",(VLOOKUP($C449,REV!$C:$AA,22,0)-'TRADE IN'!$F449))</f>
        <v>6399</v>
      </c>
      <c r="Y449" s="56">
        <f>IF(VLOOKUP($C449,REV!$C:$AA,23,0)-'TRADE IN'!$F449=0,"",(VLOOKUP($C449,REV!$C:$AA,23,0)-'TRADE IN'!$F449))</f>
        <v>4799</v>
      </c>
      <c r="Z449" s="56">
        <f>IF(VLOOKUP($C449,REV!$C:$AA,24,0)-'TRADE IN'!$F449=0,"",(VLOOKUP($C449,REV!$C:$AA,24,0)-'TRADE IN'!$F449))</f>
        <v>4799</v>
      </c>
      <c r="AA449" s="56">
        <f>IF(VLOOKUP($C449,REV!$C:$AA,25,0)-'TRADE IN'!$F449=0,"",(VLOOKUP($C449,REV!$C:$AA,25,0)-'TRADE IN'!$F449))</f>
        <v>4699</v>
      </c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7"/>
      <c r="AW449" s="58" t="str">
        <f>REV!AW449</f>
        <v>03.11.2026</v>
      </c>
      <c r="AX449" s="147" t="str">
        <f>VLOOKUP(C449,REV!C:AX,48,0)</f>
        <v>5G</v>
      </c>
    </row>
    <row r="450" spans="1:50" ht="22.5" customHeight="1">
      <c r="A450" s="51" t="s">
        <v>63</v>
      </c>
      <c r="B450" s="52" t="s">
        <v>64</v>
      </c>
      <c r="C450" s="53">
        <v>4017748</v>
      </c>
      <c r="D450" s="65" t="s">
        <v>650</v>
      </c>
      <c r="E450" s="65" t="s">
        <v>652</v>
      </c>
      <c r="F450" s="55"/>
      <c r="G450" s="55"/>
      <c r="H450" s="55"/>
      <c r="I450" s="55"/>
      <c r="J450" s="56">
        <f>IF(VLOOKUP($C450,REV!$C:$AA,8,0)-'TRADE IN'!$F450=0,"",(VLOOKUP($C450,REV!$C:$AA,8,0)-'TRADE IN'!$F450))</f>
        <v>7099</v>
      </c>
      <c r="K450" s="56">
        <f>IF(VLOOKUP($C450,REV!$C:$AA,9,0)-'TRADE IN'!$F450=0,"",(VLOOKUP($C450,REV!$C:$AA,9,0)-'TRADE IN'!$F450))</f>
        <v>7099</v>
      </c>
      <c r="L450" s="56">
        <f>IF(VLOOKUP($C450,REV!$C:$AA,10,0)-'TRADE IN'!$F450=0,"",(VLOOKUP($C450,REV!$C:$AA,10,0)-'TRADE IN'!$F450))</f>
        <v>7099</v>
      </c>
      <c r="M450" s="56">
        <f>IF(VLOOKUP($C450,REV!$C:$AA,11,0)-'TRADE IN'!$F450=0,"",(VLOOKUP($C450,REV!$C:$AA,11,0)-'TRADE IN'!$F450))</f>
        <v>7099</v>
      </c>
      <c r="N450" s="56">
        <f>IF(VLOOKUP($C450,REV!$C:$AA,12,0)-'TRADE IN'!$F450=0,"",(VLOOKUP($C450,REV!$C:$AA,12,0)-'TRADE IN'!$F450))</f>
        <v>7099</v>
      </c>
      <c r="O450" s="56">
        <f>IF(VLOOKUP($C450,REV!$C:$AA,13,0)-'TRADE IN'!$F450=0,"",(VLOOKUP($C450,REV!$C:$AA,13,0)-'TRADE IN'!$F450))</f>
        <v>6999</v>
      </c>
      <c r="P450" s="56">
        <f>IF(VLOOKUP($C450,REV!$C:$AA,14,0)-'TRADE IN'!$F450=0,"",(VLOOKUP($C450,REV!$C:$AA,14,0)-'TRADE IN'!$F450))</f>
        <v>6899</v>
      </c>
      <c r="Q450" s="56">
        <f>IF(VLOOKUP($C450,REV!$C:$AA,15,0)-'TRADE IN'!$F450=0,"",(VLOOKUP($C450,REV!$C:$AA,15,0)-'TRADE IN'!$F450))</f>
        <v>6499</v>
      </c>
      <c r="R450" s="56">
        <f>IF(VLOOKUP($C450,REV!$C:$AA,16,0)-'TRADE IN'!$F450=0,"",(VLOOKUP($C450,REV!$C:$AA,16,0)-'TRADE IN'!$F450))</f>
        <v>6999</v>
      </c>
      <c r="S450" s="56">
        <f>IF(VLOOKUP($C450,REV!$C:$AA,17,0)-'TRADE IN'!$F450=0,"",(VLOOKUP($C450,REV!$C:$AA,17,0)-'TRADE IN'!$F450))</f>
        <v>6899</v>
      </c>
      <c r="T450" s="56">
        <f>IF(VLOOKUP($C450,REV!$C:$AA,18,0)-'TRADE IN'!$F450=0,"",(VLOOKUP($C450,REV!$C:$AA,18,0)-'TRADE IN'!$F450))</f>
        <v>6499</v>
      </c>
      <c r="U450" s="56">
        <f>IF(VLOOKUP($C450,REV!$C:$AA,19,0)-'TRADE IN'!$F450=0,"",(VLOOKUP($C450,REV!$C:$AA,19,0)-'TRADE IN'!$F450))</f>
        <v>6499</v>
      </c>
      <c r="V450" s="56">
        <f>IF(VLOOKUP($C450,REV!$C:$AA,20,0)-'TRADE IN'!$F450=0,"",(VLOOKUP($C450,REV!$C:$AA,20,0)-'TRADE IN'!$F450))</f>
        <v>6499</v>
      </c>
      <c r="W450" s="56">
        <f>IF(VLOOKUP($C450,REV!$C:$AA,21,0)-'TRADE IN'!$F450=0,"",(VLOOKUP($C450,REV!$C:$AA,21,0)-'TRADE IN'!$F450))</f>
        <v>6499</v>
      </c>
      <c r="X450" s="56">
        <f>IF(VLOOKUP($C450,REV!$C:$AA,22,0)-'TRADE IN'!$F450=0,"",(VLOOKUP($C450,REV!$C:$AA,22,0)-'TRADE IN'!$F450))</f>
        <v>6399</v>
      </c>
      <c r="Y450" s="56">
        <f>IF(VLOOKUP($C450,REV!$C:$AA,23,0)-'TRADE IN'!$F450=0,"",(VLOOKUP($C450,REV!$C:$AA,23,0)-'TRADE IN'!$F450))</f>
        <v>4799</v>
      </c>
      <c r="Z450" s="56">
        <f>IF(VLOOKUP($C450,REV!$C:$AA,24,0)-'TRADE IN'!$F450=0,"",(VLOOKUP($C450,REV!$C:$AA,24,0)-'TRADE IN'!$F450))</f>
        <v>4799</v>
      </c>
      <c r="AA450" s="56">
        <f>IF(VLOOKUP($C450,REV!$C:$AA,25,0)-'TRADE IN'!$F450=0,"",(VLOOKUP($C450,REV!$C:$AA,25,0)-'TRADE IN'!$F450))</f>
        <v>4699</v>
      </c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7"/>
      <c r="AW450" s="58" t="str">
        <f>REV!AW450</f>
        <v>03.11.2026</v>
      </c>
      <c r="AX450" s="147" t="str">
        <f>VLOOKUP(C450,REV!C:AX,48,0)</f>
        <v>5G</v>
      </c>
    </row>
    <row r="451" spans="1:50" ht="22.5" customHeight="1">
      <c r="A451" s="51" t="s">
        <v>63</v>
      </c>
      <c r="B451" s="52" t="s">
        <v>64</v>
      </c>
      <c r="C451" s="53">
        <v>4017752</v>
      </c>
      <c r="D451" s="65" t="s">
        <v>650</v>
      </c>
      <c r="E451" s="65" t="s">
        <v>653</v>
      </c>
      <c r="F451" s="55"/>
      <c r="G451" s="55"/>
      <c r="H451" s="55"/>
      <c r="I451" s="55"/>
      <c r="J451" s="56">
        <f>IF(VLOOKUP($C451,REV!$C:$AA,8,0)-'TRADE IN'!$F451=0,"",(VLOOKUP($C451,REV!$C:$AA,8,0)-'TRADE IN'!$F451))</f>
        <v>7099</v>
      </c>
      <c r="K451" s="56">
        <f>IF(VLOOKUP($C451,REV!$C:$AA,9,0)-'TRADE IN'!$F451=0,"",(VLOOKUP($C451,REV!$C:$AA,9,0)-'TRADE IN'!$F451))</f>
        <v>7099</v>
      </c>
      <c r="L451" s="56">
        <f>IF(VLOOKUP($C451,REV!$C:$AA,10,0)-'TRADE IN'!$F451=0,"",(VLOOKUP($C451,REV!$C:$AA,10,0)-'TRADE IN'!$F451))</f>
        <v>7099</v>
      </c>
      <c r="M451" s="56">
        <f>IF(VLOOKUP($C451,REV!$C:$AA,11,0)-'TRADE IN'!$F451=0,"",(VLOOKUP($C451,REV!$C:$AA,11,0)-'TRADE IN'!$F451))</f>
        <v>7099</v>
      </c>
      <c r="N451" s="56">
        <f>IF(VLOOKUP($C451,REV!$C:$AA,12,0)-'TRADE IN'!$F451=0,"",(VLOOKUP($C451,REV!$C:$AA,12,0)-'TRADE IN'!$F451))</f>
        <v>7099</v>
      </c>
      <c r="O451" s="56">
        <f>IF(VLOOKUP($C451,REV!$C:$AA,13,0)-'TRADE IN'!$F451=0,"",(VLOOKUP($C451,REV!$C:$AA,13,0)-'TRADE IN'!$F451))</f>
        <v>6999</v>
      </c>
      <c r="P451" s="56">
        <f>IF(VLOOKUP($C451,REV!$C:$AA,14,0)-'TRADE IN'!$F451=0,"",(VLOOKUP($C451,REV!$C:$AA,14,0)-'TRADE IN'!$F451))</f>
        <v>6899</v>
      </c>
      <c r="Q451" s="56">
        <f>IF(VLOOKUP($C451,REV!$C:$AA,15,0)-'TRADE IN'!$F451=0,"",(VLOOKUP($C451,REV!$C:$AA,15,0)-'TRADE IN'!$F451))</f>
        <v>6499</v>
      </c>
      <c r="R451" s="56">
        <f>IF(VLOOKUP($C451,REV!$C:$AA,16,0)-'TRADE IN'!$F451=0,"",(VLOOKUP($C451,REV!$C:$AA,16,0)-'TRADE IN'!$F451))</f>
        <v>6999</v>
      </c>
      <c r="S451" s="56">
        <f>IF(VLOOKUP($C451,REV!$C:$AA,17,0)-'TRADE IN'!$F451=0,"",(VLOOKUP($C451,REV!$C:$AA,17,0)-'TRADE IN'!$F451))</f>
        <v>6899</v>
      </c>
      <c r="T451" s="56">
        <f>IF(VLOOKUP($C451,REV!$C:$AA,18,0)-'TRADE IN'!$F451=0,"",(VLOOKUP($C451,REV!$C:$AA,18,0)-'TRADE IN'!$F451))</f>
        <v>6499</v>
      </c>
      <c r="U451" s="56">
        <f>IF(VLOOKUP($C451,REV!$C:$AA,19,0)-'TRADE IN'!$F451=0,"",(VLOOKUP($C451,REV!$C:$AA,19,0)-'TRADE IN'!$F451))</f>
        <v>6499</v>
      </c>
      <c r="V451" s="56">
        <f>IF(VLOOKUP($C451,REV!$C:$AA,20,0)-'TRADE IN'!$F451=0,"",(VLOOKUP($C451,REV!$C:$AA,20,0)-'TRADE IN'!$F451))</f>
        <v>6499</v>
      </c>
      <c r="W451" s="56">
        <f>IF(VLOOKUP($C451,REV!$C:$AA,21,0)-'TRADE IN'!$F451=0,"",(VLOOKUP($C451,REV!$C:$AA,21,0)-'TRADE IN'!$F451))</f>
        <v>6499</v>
      </c>
      <c r="X451" s="56">
        <f>IF(VLOOKUP($C451,REV!$C:$AA,22,0)-'TRADE IN'!$F451=0,"",(VLOOKUP($C451,REV!$C:$AA,22,0)-'TRADE IN'!$F451))</f>
        <v>6399</v>
      </c>
      <c r="Y451" s="56">
        <f>IF(VLOOKUP($C451,REV!$C:$AA,23,0)-'TRADE IN'!$F451=0,"",(VLOOKUP($C451,REV!$C:$AA,23,0)-'TRADE IN'!$F451))</f>
        <v>4799</v>
      </c>
      <c r="Z451" s="56">
        <f>IF(VLOOKUP($C451,REV!$C:$AA,24,0)-'TRADE IN'!$F451=0,"",(VLOOKUP($C451,REV!$C:$AA,24,0)-'TRADE IN'!$F451))</f>
        <v>4799</v>
      </c>
      <c r="AA451" s="56">
        <f>IF(VLOOKUP($C451,REV!$C:$AA,25,0)-'TRADE IN'!$F451=0,"",(VLOOKUP($C451,REV!$C:$AA,25,0)-'TRADE IN'!$F451))</f>
        <v>4699</v>
      </c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7"/>
      <c r="AW451" s="58" t="str">
        <f>REV!AW451</f>
        <v>03.11.2026</v>
      </c>
      <c r="AX451" s="147" t="str">
        <f>VLOOKUP(C451,REV!C:AX,48,0)</f>
        <v>5G</v>
      </c>
    </row>
    <row r="452" spans="1:50" ht="22.5" customHeight="1">
      <c r="A452" s="51" t="s">
        <v>63</v>
      </c>
      <c r="B452" s="52" t="s">
        <v>64</v>
      </c>
      <c r="C452" s="53">
        <v>4017754</v>
      </c>
      <c r="D452" s="65" t="s">
        <v>650</v>
      </c>
      <c r="E452" s="65" t="s">
        <v>654</v>
      </c>
      <c r="F452" s="55"/>
      <c r="G452" s="55"/>
      <c r="H452" s="55"/>
      <c r="I452" s="55"/>
      <c r="J452" s="56">
        <f>IF(VLOOKUP($C452,REV!$C:$AA,8,0)-'TRADE IN'!$F452=0,"",(VLOOKUP($C452,REV!$C:$AA,8,0)-'TRADE IN'!$F452))</f>
        <v>7099</v>
      </c>
      <c r="K452" s="56">
        <f>IF(VLOOKUP($C452,REV!$C:$AA,9,0)-'TRADE IN'!$F452=0,"",(VLOOKUP($C452,REV!$C:$AA,9,0)-'TRADE IN'!$F452))</f>
        <v>7099</v>
      </c>
      <c r="L452" s="56">
        <f>IF(VLOOKUP($C452,REV!$C:$AA,10,0)-'TRADE IN'!$F452=0,"",(VLOOKUP($C452,REV!$C:$AA,10,0)-'TRADE IN'!$F452))</f>
        <v>7099</v>
      </c>
      <c r="M452" s="56">
        <f>IF(VLOOKUP($C452,REV!$C:$AA,11,0)-'TRADE IN'!$F452=0,"",(VLOOKUP($C452,REV!$C:$AA,11,0)-'TRADE IN'!$F452))</f>
        <v>7099</v>
      </c>
      <c r="N452" s="56">
        <f>IF(VLOOKUP($C452,REV!$C:$AA,12,0)-'TRADE IN'!$F452=0,"",(VLOOKUP($C452,REV!$C:$AA,12,0)-'TRADE IN'!$F452))</f>
        <v>7099</v>
      </c>
      <c r="O452" s="56">
        <f>IF(VLOOKUP($C452,REV!$C:$AA,13,0)-'TRADE IN'!$F452=0,"",(VLOOKUP($C452,REV!$C:$AA,13,0)-'TRADE IN'!$F452))</f>
        <v>6999</v>
      </c>
      <c r="P452" s="56">
        <f>IF(VLOOKUP($C452,REV!$C:$AA,14,0)-'TRADE IN'!$F452=0,"",(VLOOKUP($C452,REV!$C:$AA,14,0)-'TRADE IN'!$F452))</f>
        <v>6899</v>
      </c>
      <c r="Q452" s="56">
        <f>IF(VLOOKUP($C452,REV!$C:$AA,15,0)-'TRADE IN'!$F452=0,"",(VLOOKUP($C452,REV!$C:$AA,15,0)-'TRADE IN'!$F452))</f>
        <v>6499</v>
      </c>
      <c r="R452" s="56">
        <f>IF(VLOOKUP($C452,REV!$C:$AA,16,0)-'TRADE IN'!$F452=0,"",(VLOOKUP($C452,REV!$C:$AA,16,0)-'TRADE IN'!$F452))</f>
        <v>6999</v>
      </c>
      <c r="S452" s="56">
        <f>IF(VLOOKUP($C452,REV!$C:$AA,17,0)-'TRADE IN'!$F452=0,"",(VLOOKUP($C452,REV!$C:$AA,17,0)-'TRADE IN'!$F452))</f>
        <v>6899</v>
      </c>
      <c r="T452" s="56">
        <f>IF(VLOOKUP($C452,REV!$C:$AA,18,0)-'TRADE IN'!$F452=0,"",(VLOOKUP($C452,REV!$C:$AA,18,0)-'TRADE IN'!$F452))</f>
        <v>6499</v>
      </c>
      <c r="U452" s="56">
        <f>IF(VLOOKUP($C452,REV!$C:$AA,19,0)-'TRADE IN'!$F452=0,"",(VLOOKUP($C452,REV!$C:$AA,19,0)-'TRADE IN'!$F452))</f>
        <v>6499</v>
      </c>
      <c r="V452" s="56">
        <f>IF(VLOOKUP($C452,REV!$C:$AA,20,0)-'TRADE IN'!$F452=0,"",(VLOOKUP($C452,REV!$C:$AA,20,0)-'TRADE IN'!$F452))</f>
        <v>6499</v>
      </c>
      <c r="W452" s="56">
        <f>IF(VLOOKUP($C452,REV!$C:$AA,21,0)-'TRADE IN'!$F452=0,"",(VLOOKUP($C452,REV!$C:$AA,21,0)-'TRADE IN'!$F452))</f>
        <v>6499</v>
      </c>
      <c r="X452" s="56">
        <f>IF(VLOOKUP($C452,REV!$C:$AA,22,0)-'TRADE IN'!$F452=0,"",(VLOOKUP($C452,REV!$C:$AA,22,0)-'TRADE IN'!$F452))</f>
        <v>6399</v>
      </c>
      <c r="Y452" s="56">
        <f>IF(VLOOKUP($C452,REV!$C:$AA,23,0)-'TRADE IN'!$F452=0,"",(VLOOKUP($C452,REV!$C:$AA,23,0)-'TRADE IN'!$F452))</f>
        <v>4799</v>
      </c>
      <c r="Z452" s="56">
        <f>IF(VLOOKUP($C452,REV!$C:$AA,24,0)-'TRADE IN'!$F452=0,"",(VLOOKUP($C452,REV!$C:$AA,24,0)-'TRADE IN'!$F452))</f>
        <v>4799</v>
      </c>
      <c r="AA452" s="56">
        <f>IF(VLOOKUP($C452,REV!$C:$AA,25,0)-'TRADE IN'!$F452=0,"",(VLOOKUP($C452,REV!$C:$AA,25,0)-'TRADE IN'!$F452))</f>
        <v>4699</v>
      </c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7"/>
      <c r="AW452" s="58" t="str">
        <f>REV!AW452</f>
        <v>03.11.2026</v>
      </c>
      <c r="AX452" s="147" t="str">
        <f>VLOOKUP(C452,REV!C:AX,48,0)</f>
        <v>5G</v>
      </c>
    </row>
    <row r="453" spans="1:50" ht="22.5" customHeight="1">
      <c r="A453" s="51" t="s">
        <v>63</v>
      </c>
      <c r="B453" s="52" t="s">
        <v>64</v>
      </c>
      <c r="C453" s="53">
        <v>4017675</v>
      </c>
      <c r="D453" s="65" t="s">
        <v>650</v>
      </c>
      <c r="E453" s="65" t="s">
        <v>655</v>
      </c>
      <c r="F453" s="55"/>
      <c r="G453" s="55"/>
      <c r="H453" s="55"/>
      <c r="I453" s="55"/>
      <c r="J453" s="56">
        <f>IF(VLOOKUP($C453,REV!$C:$AA,8,0)-'TRADE IN'!$F453=0,"",(VLOOKUP($C453,REV!$C:$AA,8,0)-'TRADE IN'!$F453))</f>
        <v>7099</v>
      </c>
      <c r="K453" s="56">
        <f>IF(VLOOKUP($C453,REV!$C:$AA,9,0)-'TRADE IN'!$F453=0,"",(VLOOKUP($C453,REV!$C:$AA,9,0)-'TRADE IN'!$F453))</f>
        <v>7099</v>
      </c>
      <c r="L453" s="56">
        <f>IF(VLOOKUP($C453,REV!$C:$AA,10,0)-'TRADE IN'!$F453=0,"",(VLOOKUP($C453,REV!$C:$AA,10,0)-'TRADE IN'!$F453))</f>
        <v>7099</v>
      </c>
      <c r="M453" s="56">
        <f>IF(VLOOKUP($C453,REV!$C:$AA,11,0)-'TRADE IN'!$F453=0,"",(VLOOKUP($C453,REV!$C:$AA,11,0)-'TRADE IN'!$F453))</f>
        <v>7099</v>
      </c>
      <c r="N453" s="56">
        <f>IF(VLOOKUP($C453,REV!$C:$AA,12,0)-'TRADE IN'!$F453=0,"",(VLOOKUP($C453,REV!$C:$AA,12,0)-'TRADE IN'!$F453))</f>
        <v>7099</v>
      </c>
      <c r="O453" s="56">
        <f>IF(VLOOKUP($C453,REV!$C:$AA,13,0)-'TRADE IN'!$F453=0,"",(VLOOKUP($C453,REV!$C:$AA,13,0)-'TRADE IN'!$F453))</f>
        <v>6999</v>
      </c>
      <c r="P453" s="56">
        <f>IF(VLOOKUP($C453,REV!$C:$AA,14,0)-'TRADE IN'!$F453=0,"",(VLOOKUP($C453,REV!$C:$AA,14,0)-'TRADE IN'!$F453))</f>
        <v>6899</v>
      </c>
      <c r="Q453" s="56">
        <f>IF(VLOOKUP($C453,REV!$C:$AA,15,0)-'TRADE IN'!$F453=0,"",(VLOOKUP($C453,REV!$C:$AA,15,0)-'TRADE IN'!$F453))</f>
        <v>6499</v>
      </c>
      <c r="R453" s="56">
        <f>IF(VLOOKUP($C453,REV!$C:$AA,16,0)-'TRADE IN'!$F453=0,"",(VLOOKUP($C453,REV!$C:$AA,16,0)-'TRADE IN'!$F453))</f>
        <v>6999</v>
      </c>
      <c r="S453" s="56">
        <f>IF(VLOOKUP($C453,REV!$C:$AA,17,0)-'TRADE IN'!$F453=0,"",(VLOOKUP($C453,REV!$C:$AA,17,0)-'TRADE IN'!$F453))</f>
        <v>6899</v>
      </c>
      <c r="T453" s="56">
        <f>IF(VLOOKUP($C453,REV!$C:$AA,18,0)-'TRADE IN'!$F453=0,"",(VLOOKUP($C453,REV!$C:$AA,18,0)-'TRADE IN'!$F453))</f>
        <v>6499</v>
      </c>
      <c r="U453" s="56">
        <f>IF(VLOOKUP($C453,REV!$C:$AA,19,0)-'TRADE IN'!$F453=0,"",(VLOOKUP($C453,REV!$C:$AA,19,0)-'TRADE IN'!$F453))</f>
        <v>6499</v>
      </c>
      <c r="V453" s="56">
        <f>IF(VLOOKUP($C453,REV!$C:$AA,20,0)-'TRADE IN'!$F453=0,"",(VLOOKUP($C453,REV!$C:$AA,20,0)-'TRADE IN'!$F453))</f>
        <v>6499</v>
      </c>
      <c r="W453" s="56">
        <f>IF(VLOOKUP($C453,REV!$C:$AA,21,0)-'TRADE IN'!$F453=0,"",(VLOOKUP($C453,REV!$C:$AA,21,0)-'TRADE IN'!$F453))</f>
        <v>6499</v>
      </c>
      <c r="X453" s="56">
        <f>IF(VLOOKUP($C453,REV!$C:$AA,22,0)-'TRADE IN'!$F453=0,"",(VLOOKUP($C453,REV!$C:$AA,22,0)-'TRADE IN'!$F453))</f>
        <v>6399</v>
      </c>
      <c r="Y453" s="56">
        <f>IF(VLOOKUP($C453,REV!$C:$AA,23,0)-'TRADE IN'!$F453=0,"",(VLOOKUP($C453,REV!$C:$AA,23,0)-'TRADE IN'!$F453))</f>
        <v>4799</v>
      </c>
      <c r="Z453" s="56">
        <f>IF(VLOOKUP($C453,REV!$C:$AA,24,0)-'TRADE IN'!$F453=0,"",(VLOOKUP($C453,REV!$C:$AA,24,0)-'TRADE IN'!$F453))</f>
        <v>4799</v>
      </c>
      <c r="AA453" s="56">
        <f>IF(VLOOKUP($C453,REV!$C:$AA,25,0)-'TRADE IN'!$F453=0,"",(VLOOKUP($C453,REV!$C:$AA,25,0)-'TRADE IN'!$F453))</f>
        <v>4699</v>
      </c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7"/>
      <c r="AW453" s="58" t="str">
        <f>REV!AW453</f>
        <v>03.11.2026</v>
      </c>
      <c r="AX453" s="147" t="str">
        <f>VLOOKUP(C453,REV!C:AX,48,0)</f>
        <v>5G</v>
      </c>
    </row>
    <row r="454" spans="1:50" ht="22.5" customHeight="1">
      <c r="A454" s="51" t="s">
        <v>63</v>
      </c>
      <c r="B454" s="52" t="s">
        <v>64</v>
      </c>
      <c r="C454" s="53">
        <v>4017676</v>
      </c>
      <c r="D454" s="65" t="s">
        <v>650</v>
      </c>
      <c r="E454" s="65" t="s">
        <v>656</v>
      </c>
      <c r="F454" s="55"/>
      <c r="G454" s="55"/>
      <c r="H454" s="55"/>
      <c r="I454" s="55"/>
      <c r="J454" s="56">
        <f>IF(VLOOKUP($C454,REV!$C:$AA,8,0)-'TRADE IN'!$F454=0,"",(VLOOKUP($C454,REV!$C:$AA,8,0)-'TRADE IN'!$F454))</f>
        <v>7099</v>
      </c>
      <c r="K454" s="56">
        <f>IF(VLOOKUP($C454,REV!$C:$AA,9,0)-'TRADE IN'!$F454=0,"",(VLOOKUP($C454,REV!$C:$AA,9,0)-'TRADE IN'!$F454))</f>
        <v>7099</v>
      </c>
      <c r="L454" s="56">
        <f>IF(VLOOKUP($C454,REV!$C:$AA,10,0)-'TRADE IN'!$F454=0,"",(VLOOKUP($C454,REV!$C:$AA,10,0)-'TRADE IN'!$F454))</f>
        <v>7099</v>
      </c>
      <c r="M454" s="56">
        <f>IF(VLOOKUP($C454,REV!$C:$AA,11,0)-'TRADE IN'!$F454=0,"",(VLOOKUP($C454,REV!$C:$AA,11,0)-'TRADE IN'!$F454))</f>
        <v>7099</v>
      </c>
      <c r="N454" s="56">
        <f>IF(VLOOKUP($C454,REV!$C:$AA,12,0)-'TRADE IN'!$F454=0,"",(VLOOKUP($C454,REV!$C:$AA,12,0)-'TRADE IN'!$F454))</f>
        <v>7099</v>
      </c>
      <c r="O454" s="56">
        <f>IF(VLOOKUP($C454,REV!$C:$AA,13,0)-'TRADE IN'!$F454=0,"",(VLOOKUP($C454,REV!$C:$AA,13,0)-'TRADE IN'!$F454))</f>
        <v>6999</v>
      </c>
      <c r="P454" s="56">
        <f>IF(VLOOKUP($C454,REV!$C:$AA,14,0)-'TRADE IN'!$F454=0,"",(VLOOKUP($C454,REV!$C:$AA,14,0)-'TRADE IN'!$F454))</f>
        <v>6899</v>
      </c>
      <c r="Q454" s="56">
        <f>IF(VLOOKUP($C454,REV!$C:$AA,15,0)-'TRADE IN'!$F454=0,"",(VLOOKUP($C454,REV!$C:$AA,15,0)-'TRADE IN'!$F454))</f>
        <v>6499</v>
      </c>
      <c r="R454" s="56">
        <f>IF(VLOOKUP($C454,REV!$C:$AA,16,0)-'TRADE IN'!$F454=0,"",(VLOOKUP($C454,REV!$C:$AA,16,0)-'TRADE IN'!$F454))</f>
        <v>6999</v>
      </c>
      <c r="S454" s="56">
        <f>IF(VLOOKUP($C454,REV!$C:$AA,17,0)-'TRADE IN'!$F454=0,"",(VLOOKUP($C454,REV!$C:$AA,17,0)-'TRADE IN'!$F454))</f>
        <v>6899</v>
      </c>
      <c r="T454" s="56">
        <f>IF(VLOOKUP($C454,REV!$C:$AA,18,0)-'TRADE IN'!$F454=0,"",(VLOOKUP($C454,REV!$C:$AA,18,0)-'TRADE IN'!$F454))</f>
        <v>6499</v>
      </c>
      <c r="U454" s="56">
        <f>IF(VLOOKUP($C454,REV!$C:$AA,19,0)-'TRADE IN'!$F454=0,"",(VLOOKUP($C454,REV!$C:$AA,19,0)-'TRADE IN'!$F454))</f>
        <v>6499</v>
      </c>
      <c r="V454" s="56">
        <f>IF(VLOOKUP($C454,REV!$C:$AA,20,0)-'TRADE IN'!$F454=0,"",(VLOOKUP($C454,REV!$C:$AA,20,0)-'TRADE IN'!$F454))</f>
        <v>6499</v>
      </c>
      <c r="W454" s="56">
        <f>IF(VLOOKUP($C454,REV!$C:$AA,21,0)-'TRADE IN'!$F454=0,"",(VLOOKUP($C454,REV!$C:$AA,21,0)-'TRADE IN'!$F454))</f>
        <v>6499</v>
      </c>
      <c r="X454" s="56">
        <f>IF(VLOOKUP($C454,REV!$C:$AA,22,0)-'TRADE IN'!$F454=0,"",(VLOOKUP($C454,REV!$C:$AA,22,0)-'TRADE IN'!$F454))</f>
        <v>6399</v>
      </c>
      <c r="Y454" s="56">
        <f>IF(VLOOKUP($C454,REV!$C:$AA,23,0)-'TRADE IN'!$F454=0,"",(VLOOKUP($C454,REV!$C:$AA,23,0)-'TRADE IN'!$F454))</f>
        <v>4799</v>
      </c>
      <c r="Z454" s="56">
        <f>IF(VLOOKUP($C454,REV!$C:$AA,24,0)-'TRADE IN'!$F454=0,"",(VLOOKUP($C454,REV!$C:$AA,24,0)-'TRADE IN'!$F454))</f>
        <v>4799</v>
      </c>
      <c r="AA454" s="56">
        <f>IF(VLOOKUP($C454,REV!$C:$AA,25,0)-'TRADE IN'!$F454=0,"",(VLOOKUP($C454,REV!$C:$AA,25,0)-'TRADE IN'!$F454))</f>
        <v>4699</v>
      </c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7"/>
      <c r="AW454" s="58" t="str">
        <f>REV!AW454</f>
        <v>03.11.2026</v>
      </c>
      <c r="AX454" s="147" t="str">
        <f>VLOOKUP(C454,REV!C:AX,48,0)</f>
        <v>5G</v>
      </c>
    </row>
    <row r="455" spans="1:50" ht="22.5" customHeight="1">
      <c r="A455" s="51" t="s">
        <v>63</v>
      </c>
      <c r="B455" s="52" t="s">
        <v>64</v>
      </c>
      <c r="C455" s="53">
        <v>4017762</v>
      </c>
      <c r="D455" s="65" t="s">
        <v>657</v>
      </c>
      <c r="E455" s="65" t="s">
        <v>658</v>
      </c>
      <c r="F455" s="55">
        <v>500</v>
      </c>
      <c r="G455" s="55"/>
      <c r="H455" s="55"/>
      <c r="I455" s="55"/>
      <c r="J455" s="56">
        <f>IF(VLOOKUP($C455,REV!$C:$AA,8,0)-'TRADE IN'!$F455=0,"",(VLOOKUP($C455,REV!$C:$AA,8,0)-'TRADE IN'!$F455))</f>
        <v>5699</v>
      </c>
      <c r="K455" s="56">
        <f>IF(VLOOKUP($C455,REV!$C:$AA,9,0)-'TRADE IN'!$F455=0,"",(VLOOKUP($C455,REV!$C:$AA,9,0)-'TRADE IN'!$F455))</f>
        <v>5699</v>
      </c>
      <c r="L455" s="56">
        <f>IF(VLOOKUP($C455,REV!$C:$AA,10,0)-'TRADE IN'!$F455=0,"",(VLOOKUP($C455,REV!$C:$AA,10,0)-'TRADE IN'!$F455))</f>
        <v>5699</v>
      </c>
      <c r="M455" s="56">
        <f>IF(VLOOKUP($C455,REV!$C:$AA,11,0)-'TRADE IN'!$F455=0,"",(VLOOKUP($C455,REV!$C:$AA,11,0)-'TRADE IN'!$F455))</f>
        <v>5699</v>
      </c>
      <c r="N455" s="56">
        <f>IF(VLOOKUP($C455,REV!$C:$AA,12,0)-'TRADE IN'!$F455=0,"",(VLOOKUP($C455,REV!$C:$AA,12,0)-'TRADE IN'!$F455))</f>
        <v>5699</v>
      </c>
      <c r="O455" s="56">
        <f>IF(VLOOKUP($C455,REV!$C:$AA,13,0)-'TRADE IN'!$F455=0,"",(VLOOKUP($C455,REV!$C:$AA,13,0)-'TRADE IN'!$F455))</f>
        <v>5599</v>
      </c>
      <c r="P455" s="56">
        <f>IF(VLOOKUP($C455,REV!$C:$AA,14,0)-'TRADE IN'!$F455=0,"",(VLOOKUP($C455,REV!$C:$AA,14,0)-'TRADE IN'!$F455))</f>
        <v>5499</v>
      </c>
      <c r="Q455" s="56">
        <f>IF(VLOOKUP($C455,REV!$C:$AA,15,0)-'TRADE IN'!$F455=0,"",(VLOOKUP($C455,REV!$C:$AA,15,0)-'TRADE IN'!$F455))</f>
        <v>5099</v>
      </c>
      <c r="R455" s="56">
        <f>IF(VLOOKUP($C455,REV!$C:$AA,16,0)-'TRADE IN'!$F455=0,"",(VLOOKUP($C455,REV!$C:$AA,16,0)-'TRADE IN'!$F455))</f>
        <v>5599</v>
      </c>
      <c r="S455" s="56">
        <f>IF(VLOOKUP($C455,REV!$C:$AA,17,0)-'TRADE IN'!$F455=0,"",(VLOOKUP($C455,REV!$C:$AA,17,0)-'TRADE IN'!$F455))</f>
        <v>5499</v>
      </c>
      <c r="T455" s="56">
        <f>IF(VLOOKUP($C455,REV!$C:$AA,18,0)-'TRADE IN'!$F455=0,"",(VLOOKUP($C455,REV!$C:$AA,18,0)-'TRADE IN'!$F455))</f>
        <v>5099</v>
      </c>
      <c r="U455" s="56">
        <f>IF(VLOOKUP($C455,REV!$C:$AA,19,0)-'TRADE IN'!$F455=0,"",(VLOOKUP($C455,REV!$C:$AA,19,0)-'TRADE IN'!$F455))</f>
        <v>5099</v>
      </c>
      <c r="V455" s="56">
        <f>IF(VLOOKUP($C455,REV!$C:$AA,20,0)-'TRADE IN'!$F455=0,"",(VLOOKUP($C455,REV!$C:$AA,20,0)-'TRADE IN'!$F455))</f>
        <v>5099</v>
      </c>
      <c r="W455" s="56">
        <f>IF(VLOOKUP($C455,REV!$C:$AA,21,0)-'TRADE IN'!$F455=0,"",(VLOOKUP($C455,REV!$C:$AA,21,0)-'TRADE IN'!$F455))</f>
        <v>5099</v>
      </c>
      <c r="X455" s="56">
        <f>IF(VLOOKUP($C455,REV!$C:$AA,22,0)-'TRADE IN'!$F455=0,"",(VLOOKUP($C455,REV!$C:$AA,22,0)-'TRADE IN'!$F455))</f>
        <v>4999</v>
      </c>
      <c r="Y455" s="56">
        <f>IF(VLOOKUP($C455,REV!$C:$AA,23,0)-'TRADE IN'!$F455=0,"",(VLOOKUP($C455,REV!$C:$AA,23,0)-'TRADE IN'!$F455))</f>
        <v>4299</v>
      </c>
      <c r="Z455" s="56">
        <f>IF(VLOOKUP($C455,REV!$C:$AA,24,0)-'TRADE IN'!$F455=0,"",(VLOOKUP($C455,REV!$C:$AA,24,0)-'TRADE IN'!$F455))</f>
        <v>4299</v>
      </c>
      <c r="AA455" s="56">
        <f>IF(VLOOKUP($C455,REV!$C:$AA,25,0)-'TRADE IN'!$F455=0,"",(VLOOKUP($C455,REV!$C:$AA,25,0)-'TRADE IN'!$F455))</f>
        <v>4099</v>
      </c>
      <c r="AB455" s="55">
        <f>IF(VLOOKUP($C455,REV!$C:$AL,27,0)-'TRADE IN'!$F455=0,"",(VLOOKUP($C455,REV!$C:$AL,27,0)-'TRADE IN'!$F455))</f>
        <v>5699</v>
      </c>
      <c r="AC455" s="55">
        <f>IF(VLOOKUP($C455,REV!$C:$AL,28,0)-'TRADE IN'!$F455=0,"",(VLOOKUP($C455,REV!$C:$AL,28,0)-'TRADE IN'!$F455))</f>
        <v>5699</v>
      </c>
      <c r="AD455" s="55">
        <f>IF(VLOOKUP($C455,REV!$C:$AL,29,0)-'TRADE IN'!$F455=0,"",(VLOOKUP($C455,REV!$C:$AL,29,0)-'TRADE IN'!$F455))</f>
        <v>5599</v>
      </c>
      <c r="AE455" s="55">
        <f>IF(VLOOKUP($C455,REV!$C:$AL,30,0)-'TRADE IN'!$F455=0,"",(VLOOKUP($C455,REV!$C:$AL,30,0)-'TRADE IN'!$F455))</f>
        <v>5499</v>
      </c>
      <c r="AF455" s="55">
        <f>IF(VLOOKUP($C455,REV!$C:$AL,31,0)-'TRADE IN'!$F455=0,"",(VLOOKUP($C455,REV!$C:$AL,31,0)-'TRADE IN'!$F455))</f>
        <v>5499</v>
      </c>
      <c r="AG455" s="55">
        <f>IF(VLOOKUP($C455,REV!$C:$AL,31,0)-'TRADE IN'!$F455=0,"",(VLOOKUP($C455,REV!$C:$AL,31,0)-'TRADE IN'!$F455))</f>
        <v>5499</v>
      </c>
      <c r="AH455" s="55">
        <f>IF(VLOOKUP($C455,REV!$C:$AL,32,0)-'TRADE IN'!$F455=0,"",(VLOOKUP($C455,REV!$C:$AL,32,0)-'TRADE IN'!$F455))</f>
        <v>5099</v>
      </c>
      <c r="AI455" s="55">
        <f>IF(VLOOKUP($C455,REV!$C:$AL,33,0)-'TRADE IN'!$F455=0,"",(VLOOKUP($C455,REV!$C:$AL,33,0)-'TRADE IN'!$F455))</f>
        <v>5099</v>
      </c>
      <c r="AJ455" s="55">
        <f>IF(VLOOKUP($C455,REV!$C:$AL,34,0)-'TRADE IN'!$F455=0,"",(VLOOKUP($C455,REV!$C:$AL,34,0)-'TRADE IN'!$F455))</f>
        <v>5099</v>
      </c>
      <c r="AK455" s="55">
        <f>IF(VLOOKUP($C455,REV!$C:$AL,35,0)-'TRADE IN'!$F455=0,"",(VLOOKUP($C455,REV!$C:$AL,35,0)-'TRADE IN'!$F455))</f>
        <v>5099</v>
      </c>
      <c r="AL455" s="55">
        <f>IF(VLOOKUP($C455,REV!$C:$AL,36,0)-'TRADE IN'!$F455=0,"",(VLOOKUP($C455,REV!$C:$AL,36,0)-'TRADE IN'!$F455))</f>
        <v>4299</v>
      </c>
      <c r="AM455" s="55"/>
      <c r="AN455" s="55"/>
      <c r="AO455" s="55"/>
      <c r="AP455" s="55"/>
      <c r="AQ455" s="55"/>
      <c r="AR455" s="55"/>
      <c r="AS455" s="55"/>
      <c r="AT455" s="55"/>
      <c r="AU455" s="55"/>
      <c r="AV455" s="57"/>
      <c r="AW455" s="58" t="str">
        <f>REV!AW455</f>
        <v>03.11.2026</v>
      </c>
      <c r="AX455" s="147" t="str">
        <f>VLOOKUP(C455,REV!C:AX,48,0)</f>
        <v>5G</v>
      </c>
    </row>
    <row r="456" spans="1:50" ht="22.5" customHeight="1">
      <c r="A456" s="51" t="s">
        <v>63</v>
      </c>
      <c r="B456" s="52" t="s">
        <v>64</v>
      </c>
      <c r="C456" s="53">
        <v>4017763</v>
      </c>
      <c r="D456" s="65" t="s">
        <v>657</v>
      </c>
      <c r="E456" s="65" t="s">
        <v>659</v>
      </c>
      <c r="F456" s="55">
        <v>500</v>
      </c>
      <c r="G456" s="55"/>
      <c r="H456" s="55"/>
      <c r="I456" s="55"/>
      <c r="J456" s="56">
        <f>IF(VLOOKUP($C456,REV!$C:$AA,8,0)-'TRADE IN'!$F456=0,"",(VLOOKUP($C456,REV!$C:$AA,8,0)-'TRADE IN'!$F456))</f>
        <v>5699</v>
      </c>
      <c r="K456" s="56">
        <f>IF(VLOOKUP($C456,REV!$C:$AA,9,0)-'TRADE IN'!$F456=0,"",(VLOOKUP($C456,REV!$C:$AA,9,0)-'TRADE IN'!$F456))</f>
        <v>5699</v>
      </c>
      <c r="L456" s="56">
        <f>IF(VLOOKUP($C456,REV!$C:$AA,10,0)-'TRADE IN'!$F456=0,"",(VLOOKUP($C456,REV!$C:$AA,10,0)-'TRADE IN'!$F456))</f>
        <v>5699</v>
      </c>
      <c r="M456" s="56">
        <f>IF(VLOOKUP($C456,REV!$C:$AA,11,0)-'TRADE IN'!$F456=0,"",(VLOOKUP($C456,REV!$C:$AA,11,0)-'TRADE IN'!$F456))</f>
        <v>5699</v>
      </c>
      <c r="N456" s="56">
        <f>IF(VLOOKUP($C456,REV!$C:$AA,12,0)-'TRADE IN'!$F456=0,"",(VLOOKUP($C456,REV!$C:$AA,12,0)-'TRADE IN'!$F456))</f>
        <v>5699</v>
      </c>
      <c r="O456" s="56">
        <f>IF(VLOOKUP($C456,REV!$C:$AA,13,0)-'TRADE IN'!$F456=0,"",(VLOOKUP($C456,REV!$C:$AA,13,0)-'TRADE IN'!$F456))</f>
        <v>5599</v>
      </c>
      <c r="P456" s="56">
        <f>IF(VLOOKUP($C456,REV!$C:$AA,14,0)-'TRADE IN'!$F456=0,"",(VLOOKUP($C456,REV!$C:$AA,14,0)-'TRADE IN'!$F456))</f>
        <v>5499</v>
      </c>
      <c r="Q456" s="56">
        <f>IF(VLOOKUP($C456,REV!$C:$AA,15,0)-'TRADE IN'!$F456=0,"",(VLOOKUP($C456,REV!$C:$AA,15,0)-'TRADE IN'!$F456))</f>
        <v>5099</v>
      </c>
      <c r="R456" s="56">
        <f>IF(VLOOKUP($C456,REV!$C:$AA,16,0)-'TRADE IN'!$F456=0,"",(VLOOKUP($C456,REV!$C:$AA,16,0)-'TRADE IN'!$F456))</f>
        <v>5599</v>
      </c>
      <c r="S456" s="56">
        <f>IF(VLOOKUP($C456,REV!$C:$AA,17,0)-'TRADE IN'!$F456=0,"",(VLOOKUP($C456,REV!$C:$AA,17,0)-'TRADE IN'!$F456))</f>
        <v>5499</v>
      </c>
      <c r="T456" s="56">
        <f>IF(VLOOKUP($C456,REV!$C:$AA,18,0)-'TRADE IN'!$F456=0,"",(VLOOKUP($C456,REV!$C:$AA,18,0)-'TRADE IN'!$F456))</f>
        <v>5099</v>
      </c>
      <c r="U456" s="56">
        <f>IF(VLOOKUP($C456,REV!$C:$AA,19,0)-'TRADE IN'!$F456=0,"",(VLOOKUP($C456,REV!$C:$AA,19,0)-'TRADE IN'!$F456))</f>
        <v>5099</v>
      </c>
      <c r="V456" s="56">
        <f>IF(VLOOKUP($C456,REV!$C:$AA,20,0)-'TRADE IN'!$F456=0,"",(VLOOKUP($C456,REV!$C:$AA,20,0)-'TRADE IN'!$F456))</f>
        <v>5099</v>
      </c>
      <c r="W456" s="56">
        <f>IF(VLOOKUP($C456,REV!$C:$AA,21,0)-'TRADE IN'!$F456=0,"",(VLOOKUP($C456,REV!$C:$AA,21,0)-'TRADE IN'!$F456))</f>
        <v>5099</v>
      </c>
      <c r="X456" s="56">
        <f>IF(VLOOKUP($C456,REV!$C:$AA,22,0)-'TRADE IN'!$F456=0,"",(VLOOKUP($C456,REV!$C:$AA,22,0)-'TRADE IN'!$F456))</f>
        <v>4999</v>
      </c>
      <c r="Y456" s="56">
        <f>IF(VLOOKUP($C456,REV!$C:$AA,23,0)-'TRADE IN'!$F456=0,"",(VLOOKUP($C456,REV!$C:$AA,23,0)-'TRADE IN'!$F456))</f>
        <v>4299</v>
      </c>
      <c r="Z456" s="56">
        <f>IF(VLOOKUP($C456,REV!$C:$AA,24,0)-'TRADE IN'!$F456=0,"",(VLOOKUP($C456,REV!$C:$AA,24,0)-'TRADE IN'!$F456))</f>
        <v>4299</v>
      </c>
      <c r="AA456" s="56">
        <f>IF(VLOOKUP($C456,REV!$C:$AA,25,0)-'TRADE IN'!$F456=0,"",(VLOOKUP($C456,REV!$C:$AA,25,0)-'TRADE IN'!$F456))</f>
        <v>4099</v>
      </c>
      <c r="AB456" s="55">
        <f>IF(VLOOKUP($C456,REV!$C:$AL,27,0)-'TRADE IN'!$F456=0,"",(VLOOKUP($C456,REV!$C:$AL,27,0)-'TRADE IN'!$F456))</f>
        <v>5699</v>
      </c>
      <c r="AC456" s="55">
        <f>IF(VLOOKUP($C456,REV!$C:$AL,28,0)-'TRADE IN'!$F456=0,"",(VLOOKUP($C456,REV!$C:$AL,28,0)-'TRADE IN'!$F456))</f>
        <v>5699</v>
      </c>
      <c r="AD456" s="55">
        <f>IF(VLOOKUP($C456,REV!$C:$AL,29,0)-'TRADE IN'!$F456=0,"",(VLOOKUP($C456,REV!$C:$AL,29,0)-'TRADE IN'!$F456))</f>
        <v>5599</v>
      </c>
      <c r="AE456" s="55">
        <f>IF(VLOOKUP($C456,REV!$C:$AL,30,0)-'TRADE IN'!$F456=0,"",(VLOOKUP($C456,REV!$C:$AL,30,0)-'TRADE IN'!$F456))</f>
        <v>5499</v>
      </c>
      <c r="AF456" s="55">
        <f>IF(VLOOKUP($C456,REV!$C:$AL,31,0)-'TRADE IN'!$F456=0,"",(VLOOKUP($C456,REV!$C:$AL,31,0)-'TRADE IN'!$F456))</f>
        <v>5499</v>
      </c>
      <c r="AG456" s="55">
        <f>IF(VLOOKUP($C456,REV!$C:$AL,31,0)-'TRADE IN'!$F456=0,"",(VLOOKUP($C456,REV!$C:$AL,31,0)-'TRADE IN'!$F456))</f>
        <v>5499</v>
      </c>
      <c r="AH456" s="55">
        <f>IF(VLOOKUP($C456,REV!$C:$AL,32,0)-'TRADE IN'!$F456=0,"",(VLOOKUP($C456,REV!$C:$AL,32,0)-'TRADE IN'!$F456))</f>
        <v>5099</v>
      </c>
      <c r="AI456" s="55">
        <f>IF(VLOOKUP($C456,REV!$C:$AL,33,0)-'TRADE IN'!$F456=0,"",(VLOOKUP($C456,REV!$C:$AL,33,0)-'TRADE IN'!$F456))</f>
        <v>5099</v>
      </c>
      <c r="AJ456" s="55">
        <f>IF(VLOOKUP($C456,REV!$C:$AL,34,0)-'TRADE IN'!$F456=0,"",(VLOOKUP($C456,REV!$C:$AL,34,0)-'TRADE IN'!$F456))</f>
        <v>5099</v>
      </c>
      <c r="AK456" s="55">
        <f>IF(VLOOKUP($C456,REV!$C:$AL,35,0)-'TRADE IN'!$F456=0,"",(VLOOKUP($C456,REV!$C:$AL,35,0)-'TRADE IN'!$F456))</f>
        <v>5099</v>
      </c>
      <c r="AL456" s="55">
        <f>IF(VLOOKUP($C456,REV!$C:$AL,36,0)-'TRADE IN'!$F456=0,"",(VLOOKUP($C456,REV!$C:$AL,36,0)-'TRADE IN'!$F456))</f>
        <v>4299</v>
      </c>
      <c r="AM456" s="55"/>
      <c r="AN456" s="55"/>
      <c r="AO456" s="55"/>
      <c r="AP456" s="55"/>
      <c r="AQ456" s="55"/>
      <c r="AR456" s="55"/>
      <c r="AS456" s="55"/>
      <c r="AT456" s="55"/>
      <c r="AU456" s="55"/>
      <c r="AV456" s="57"/>
      <c r="AW456" s="58" t="str">
        <f>REV!AW456</f>
        <v>03.11.2026</v>
      </c>
      <c r="AX456" s="147" t="str">
        <f>VLOOKUP(C456,REV!C:AX,48,0)</f>
        <v>5G</v>
      </c>
    </row>
    <row r="457" spans="1:50" ht="22.5" customHeight="1">
      <c r="A457" s="51" t="s">
        <v>63</v>
      </c>
      <c r="B457" s="52" t="s">
        <v>64</v>
      </c>
      <c r="C457" s="53">
        <v>4017766</v>
      </c>
      <c r="D457" s="65" t="s">
        <v>657</v>
      </c>
      <c r="E457" s="65" t="s">
        <v>660</v>
      </c>
      <c r="F457" s="55">
        <v>500</v>
      </c>
      <c r="G457" s="55"/>
      <c r="H457" s="55"/>
      <c r="I457" s="55"/>
      <c r="J457" s="56">
        <f>IF(VLOOKUP($C457,REV!$C:$AA,8,0)-'TRADE IN'!$F457=0,"",(VLOOKUP($C457,REV!$C:$AA,8,0)-'TRADE IN'!$F457))</f>
        <v>5699</v>
      </c>
      <c r="K457" s="56">
        <f>IF(VLOOKUP($C457,REV!$C:$AA,9,0)-'TRADE IN'!$F457=0,"",(VLOOKUP($C457,REV!$C:$AA,9,0)-'TRADE IN'!$F457))</f>
        <v>5699</v>
      </c>
      <c r="L457" s="56">
        <f>IF(VLOOKUP($C457,REV!$C:$AA,10,0)-'TRADE IN'!$F457=0,"",(VLOOKUP($C457,REV!$C:$AA,10,0)-'TRADE IN'!$F457))</f>
        <v>5699</v>
      </c>
      <c r="M457" s="56">
        <f>IF(VLOOKUP($C457,REV!$C:$AA,11,0)-'TRADE IN'!$F457=0,"",(VLOOKUP($C457,REV!$C:$AA,11,0)-'TRADE IN'!$F457))</f>
        <v>5699</v>
      </c>
      <c r="N457" s="56">
        <f>IF(VLOOKUP($C457,REV!$C:$AA,12,0)-'TRADE IN'!$F457=0,"",(VLOOKUP($C457,REV!$C:$AA,12,0)-'TRADE IN'!$F457))</f>
        <v>5699</v>
      </c>
      <c r="O457" s="56">
        <f>IF(VLOOKUP($C457,REV!$C:$AA,13,0)-'TRADE IN'!$F457=0,"",(VLOOKUP($C457,REV!$C:$AA,13,0)-'TRADE IN'!$F457))</f>
        <v>5599</v>
      </c>
      <c r="P457" s="56">
        <f>IF(VLOOKUP($C457,REV!$C:$AA,14,0)-'TRADE IN'!$F457=0,"",(VLOOKUP($C457,REV!$C:$AA,14,0)-'TRADE IN'!$F457))</f>
        <v>5499</v>
      </c>
      <c r="Q457" s="56">
        <f>IF(VLOOKUP($C457,REV!$C:$AA,15,0)-'TRADE IN'!$F457=0,"",(VLOOKUP($C457,REV!$C:$AA,15,0)-'TRADE IN'!$F457))</f>
        <v>5099</v>
      </c>
      <c r="R457" s="56">
        <f>IF(VLOOKUP($C457,REV!$C:$AA,16,0)-'TRADE IN'!$F457=0,"",(VLOOKUP($C457,REV!$C:$AA,16,0)-'TRADE IN'!$F457))</f>
        <v>5599</v>
      </c>
      <c r="S457" s="56">
        <f>IF(VLOOKUP($C457,REV!$C:$AA,17,0)-'TRADE IN'!$F457=0,"",(VLOOKUP($C457,REV!$C:$AA,17,0)-'TRADE IN'!$F457))</f>
        <v>5499</v>
      </c>
      <c r="T457" s="56">
        <f>IF(VLOOKUP($C457,REV!$C:$AA,18,0)-'TRADE IN'!$F457=0,"",(VLOOKUP($C457,REV!$C:$AA,18,0)-'TRADE IN'!$F457))</f>
        <v>5099</v>
      </c>
      <c r="U457" s="56">
        <f>IF(VLOOKUP($C457,REV!$C:$AA,19,0)-'TRADE IN'!$F457=0,"",(VLOOKUP($C457,REV!$C:$AA,19,0)-'TRADE IN'!$F457))</f>
        <v>5099</v>
      </c>
      <c r="V457" s="56">
        <f>IF(VLOOKUP($C457,REV!$C:$AA,20,0)-'TRADE IN'!$F457=0,"",(VLOOKUP($C457,REV!$C:$AA,20,0)-'TRADE IN'!$F457))</f>
        <v>5099</v>
      </c>
      <c r="W457" s="56">
        <f>IF(VLOOKUP($C457,REV!$C:$AA,21,0)-'TRADE IN'!$F457=0,"",(VLOOKUP($C457,REV!$C:$AA,21,0)-'TRADE IN'!$F457))</f>
        <v>5099</v>
      </c>
      <c r="X457" s="56">
        <f>IF(VLOOKUP($C457,REV!$C:$AA,22,0)-'TRADE IN'!$F457=0,"",(VLOOKUP($C457,REV!$C:$AA,22,0)-'TRADE IN'!$F457))</f>
        <v>4999</v>
      </c>
      <c r="Y457" s="56">
        <f>IF(VLOOKUP($C457,REV!$C:$AA,23,0)-'TRADE IN'!$F457=0,"",(VLOOKUP($C457,REV!$C:$AA,23,0)-'TRADE IN'!$F457))</f>
        <v>4299</v>
      </c>
      <c r="Z457" s="56">
        <f>IF(VLOOKUP($C457,REV!$C:$AA,24,0)-'TRADE IN'!$F457=0,"",(VLOOKUP($C457,REV!$C:$AA,24,0)-'TRADE IN'!$F457))</f>
        <v>4299</v>
      </c>
      <c r="AA457" s="56">
        <f>IF(VLOOKUP($C457,REV!$C:$AA,25,0)-'TRADE IN'!$F457=0,"",(VLOOKUP($C457,REV!$C:$AA,25,0)-'TRADE IN'!$F457))</f>
        <v>4099</v>
      </c>
      <c r="AB457" s="55">
        <f>IF(VLOOKUP($C457,REV!$C:$AL,27,0)-'TRADE IN'!$F457=0,"",(VLOOKUP($C457,REV!$C:$AL,27,0)-'TRADE IN'!$F457))</f>
        <v>5699</v>
      </c>
      <c r="AC457" s="55">
        <f>IF(VLOOKUP($C457,REV!$C:$AL,28,0)-'TRADE IN'!$F457=0,"",(VLOOKUP($C457,REV!$C:$AL,28,0)-'TRADE IN'!$F457))</f>
        <v>5699</v>
      </c>
      <c r="AD457" s="55">
        <f>IF(VLOOKUP($C457,REV!$C:$AL,29,0)-'TRADE IN'!$F457=0,"",(VLOOKUP($C457,REV!$C:$AL,29,0)-'TRADE IN'!$F457))</f>
        <v>5599</v>
      </c>
      <c r="AE457" s="55">
        <f>IF(VLOOKUP($C457,REV!$C:$AL,30,0)-'TRADE IN'!$F457=0,"",(VLOOKUP($C457,REV!$C:$AL,30,0)-'TRADE IN'!$F457))</f>
        <v>5499</v>
      </c>
      <c r="AF457" s="55">
        <f>IF(VLOOKUP($C457,REV!$C:$AL,31,0)-'TRADE IN'!$F457=0,"",(VLOOKUP($C457,REV!$C:$AL,31,0)-'TRADE IN'!$F457))</f>
        <v>5499</v>
      </c>
      <c r="AG457" s="55">
        <f>IF(VLOOKUP($C457,REV!$C:$AL,31,0)-'TRADE IN'!$F457=0,"",(VLOOKUP($C457,REV!$C:$AL,31,0)-'TRADE IN'!$F457))</f>
        <v>5499</v>
      </c>
      <c r="AH457" s="55">
        <f>IF(VLOOKUP($C457,REV!$C:$AL,32,0)-'TRADE IN'!$F457=0,"",(VLOOKUP($C457,REV!$C:$AL,32,0)-'TRADE IN'!$F457))</f>
        <v>5099</v>
      </c>
      <c r="AI457" s="55">
        <f>IF(VLOOKUP($C457,REV!$C:$AL,33,0)-'TRADE IN'!$F457=0,"",(VLOOKUP($C457,REV!$C:$AL,33,0)-'TRADE IN'!$F457))</f>
        <v>5099</v>
      </c>
      <c r="AJ457" s="55">
        <f>IF(VLOOKUP($C457,REV!$C:$AL,34,0)-'TRADE IN'!$F457=0,"",(VLOOKUP($C457,REV!$C:$AL,34,0)-'TRADE IN'!$F457))</f>
        <v>5099</v>
      </c>
      <c r="AK457" s="55">
        <f>IF(VLOOKUP($C457,REV!$C:$AL,35,0)-'TRADE IN'!$F457=0,"",(VLOOKUP($C457,REV!$C:$AL,35,0)-'TRADE IN'!$F457))</f>
        <v>5099</v>
      </c>
      <c r="AL457" s="55">
        <f>IF(VLOOKUP($C457,REV!$C:$AL,36,0)-'TRADE IN'!$F457=0,"",(VLOOKUP($C457,REV!$C:$AL,36,0)-'TRADE IN'!$F457))</f>
        <v>4299</v>
      </c>
      <c r="AM457" s="55"/>
      <c r="AN457" s="55"/>
      <c r="AO457" s="55"/>
      <c r="AP457" s="55"/>
      <c r="AQ457" s="55"/>
      <c r="AR457" s="55"/>
      <c r="AS457" s="55"/>
      <c r="AT457" s="55"/>
      <c r="AU457" s="55"/>
      <c r="AV457" s="57"/>
      <c r="AW457" s="58" t="str">
        <f>REV!AW457</f>
        <v>03.11.2026</v>
      </c>
      <c r="AX457" s="147" t="str">
        <f>VLOOKUP(C457,REV!C:AX,48,0)</f>
        <v>5G</v>
      </c>
    </row>
    <row r="458" spans="1:50" ht="22.5" customHeight="1">
      <c r="A458" s="51" t="s">
        <v>63</v>
      </c>
      <c r="B458" s="52" t="s">
        <v>64</v>
      </c>
      <c r="C458" s="53">
        <v>4017769</v>
      </c>
      <c r="D458" s="65" t="s">
        <v>657</v>
      </c>
      <c r="E458" s="65" t="s">
        <v>661</v>
      </c>
      <c r="F458" s="55">
        <v>500</v>
      </c>
      <c r="G458" s="55"/>
      <c r="H458" s="55"/>
      <c r="I458" s="55"/>
      <c r="J458" s="56">
        <f>IF(VLOOKUP($C458,REV!$C:$AA,8,0)-'TRADE IN'!$F458=0,"",(VLOOKUP($C458,REV!$C:$AA,8,0)-'TRADE IN'!$F458))</f>
        <v>5699</v>
      </c>
      <c r="K458" s="56">
        <f>IF(VLOOKUP($C458,REV!$C:$AA,9,0)-'TRADE IN'!$F458=0,"",(VLOOKUP($C458,REV!$C:$AA,9,0)-'TRADE IN'!$F458))</f>
        <v>5699</v>
      </c>
      <c r="L458" s="56">
        <f>IF(VLOOKUP($C458,REV!$C:$AA,10,0)-'TRADE IN'!$F458=0,"",(VLOOKUP($C458,REV!$C:$AA,10,0)-'TRADE IN'!$F458))</f>
        <v>5699</v>
      </c>
      <c r="M458" s="56">
        <f>IF(VLOOKUP($C458,REV!$C:$AA,11,0)-'TRADE IN'!$F458=0,"",(VLOOKUP($C458,REV!$C:$AA,11,0)-'TRADE IN'!$F458))</f>
        <v>5699</v>
      </c>
      <c r="N458" s="56">
        <f>IF(VLOOKUP($C458,REV!$C:$AA,12,0)-'TRADE IN'!$F458=0,"",(VLOOKUP($C458,REV!$C:$AA,12,0)-'TRADE IN'!$F458))</f>
        <v>5699</v>
      </c>
      <c r="O458" s="56">
        <f>IF(VLOOKUP($C458,REV!$C:$AA,13,0)-'TRADE IN'!$F458=0,"",(VLOOKUP($C458,REV!$C:$AA,13,0)-'TRADE IN'!$F458))</f>
        <v>5599</v>
      </c>
      <c r="P458" s="56">
        <f>IF(VLOOKUP($C458,REV!$C:$AA,14,0)-'TRADE IN'!$F458=0,"",(VLOOKUP($C458,REV!$C:$AA,14,0)-'TRADE IN'!$F458))</f>
        <v>5499</v>
      </c>
      <c r="Q458" s="56">
        <f>IF(VLOOKUP($C458,REV!$C:$AA,15,0)-'TRADE IN'!$F458=0,"",(VLOOKUP($C458,REV!$C:$AA,15,0)-'TRADE IN'!$F458))</f>
        <v>5099</v>
      </c>
      <c r="R458" s="56">
        <f>IF(VLOOKUP($C458,REV!$C:$AA,16,0)-'TRADE IN'!$F458=0,"",(VLOOKUP($C458,REV!$C:$AA,16,0)-'TRADE IN'!$F458))</f>
        <v>5599</v>
      </c>
      <c r="S458" s="56">
        <f>IF(VLOOKUP($C458,REV!$C:$AA,17,0)-'TRADE IN'!$F458=0,"",(VLOOKUP($C458,REV!$C:$AA,17,0)-'TRADE IN'!$F458))</f>
        <v>5499</v>
      </c>
      <c r="T458" s="56">
        <f>IF(VLOOKUP($C458,REV!$C:$AA,18,0)-'TRADE IN'!$F458=0,"",(VLOOKUP($C458,REV!$C:$AA,18,0)-'TRADE IN'!$F458))</f>
        <v>5099</v>
      </c>
      <c r="U458" s="56">
        <f>IF(VLOOKUP($C458,REV!$C:$AA,19,0)-'TRADE IN'!$F458=0,"",(VLOOKUP($C458,REV!$C:$AA,19,0)-'TRADE IN'!$F458))</f>
        <v>5099</v>
      </c>
      <c r="V458" s="56">
        <f>IF(VLOOKUP($C458,REV!$C:$AA,20,0)-'TRADE IN'!$F458=0,"",(VLOOKUP($C458,REV!$C:$AA,20,0)-'TRADE IN'!$F458))</f>
        <v>5099</v>
      </c>
      <c r="W458" s="56">
        <f>IF(VLOOKUP($C458,REV!$C:$AA,21,0)-'TRADE IN'!$F458=0,"",(VLOOKUP($C458,REV!$C:$AA,21,0)-'TRADE IN'!$F458))</f>
        <v>5099</v>
      </c>
      <c r="X458" s="56">
        <f>IF(VLOOKUP($C458,REV!$C:$AA,22,0)-'TRADE IN'!$F458=0,"",(VLOOKUP($C458,REV!$C:$AA,22,0)-'TRADE IN'!$F458))</f>
        <v>4999</v>
      </c>
      <c r="Y458" s="56">
        <f>IF(VLOOKUP($C458,REV!$C:$AA,23,0)-'TRADE IN'!$F458=0,"",(VLOOKUP($C458,REV!$C:$AA,23,0)-'TRADE IN'!$F458))</f>
        <v>4299</v>
      </c>
      <c r="Z458" s="56">
        <f>IF(VLOOKUP($C458,REV!$C:$AA,24,0)-'TRADE IN'!$F458=0,"",(VLOOKUP($C458,REV!$C:$AA,24,0)-'TRADE IN'!$F458))</f>
        <v>4299</v>
      </c>
      <c r="AA458" s="56">
        <f>IF(VLOOKUP($C458,REV!$C:$AA,25,0)-'TRADE IN'!$F458=0,"",(VLOOKUP($C458,REV!$C:$AA,25,0)-'TRADE IN'!$F458))</f>
        <v>4099</v>
      </c>
      <c r="AB458" s="55">
        <f>IF(VLOOKUP($C458,REV!$C:$AL,27,0)-'TRADE IN'!$F458=0,"",(VLOOKUP($C458,REV!$C:$AL,27,0)-'TRADE IN'!$F458))</f>
        <v>5699</v>
      </c>
      <c r="AC458" s="55">
        <f>IF(VLOOKUP($C458,REV!$C:$AL,28,0)-'TRADE IN'!$F458=0,"",(VLOOKUP($C458,REV!$C:$AL,28,0)-'TRADE IN'!$F458))</f>
        <v>5699</v>
      </c>
      <c r="AD458" s="55">
        <f>IF(VLOOKUP($C458,REV!$C:$AL,29,0)-'TRADE IN'!$F458=0,"",(VLOOKUP($C458,REV!$C:$AL,29,0)-'TRADE IN'!$F458))</f>
        <v>5599</v>
      </c>
      <c r="AE458" s="55">
        <f>IF(VLOOKUP($C458,REV!$C:$AL,30,0)-'TRADE IN'!$F458=0,"",(VLOOKUP($C458,REV!$C:$AL,30,0)-'TRADE IN'!$F458))</f>
        <v>5499</v>
      </c>
      <c r="AF458" s="55">
        <f>IF(VLOOKUP($C458,REV!$C:$AL,31,0)-'TRADE IN'!$F458=0,"",(VLOOKUP($C458,REV!$C:$AL,31,0)-'TRADE IN'!$F458))</f>
        <v>5499</v>
      </c>
      <c r="AG458" s="55">
        <f>IF(VLOOKUP($C458,REV!$C:$AL,31,0)-'TRADE IN'!$F458=0,"",(VLOOKUP($C458,REV!$C:$AL,31,0)-'TRADE IN'!$F458))</f>
        <v>5499</v>
      </c>
      <c r="AH458" s="55">
        <f>IF(VLOOKUP($C458,REV!$C:$AL,32,0)-'TRADE IN'!$F458=0,"",(VLOOKUP($C458,REV!$C:$AL,32,0)-'TRADE IN'!$F458))</f>
        <v>5099</v>
      </c>
      <c r="AI458" s="55">
        <f>IF(VLOOKUP($C458,REV!$C:$AL,33,0)-'TRADE IN'!$F458=0,"",(VLOOKUP($C458,REV!$C:$AL,33,0)-'TRADE IN'!$F458))</f>
        <v>5099</v>
      </c>
      <c r="AJ458" s="55">
        <f>IF(VLOOKUP($C458,REV!$C:$AL,34,0)-'TRADE IN'!$F458=0,"",(VLOOKUP($C458,REV!$C:$AL,34,0)-'TRADE IN'!$F458))</f>
        <v>5099</v>
      </c>
      <c r="AK458" s="55">
        <f>IF(VLOOKUP($C458,REV!$C:$AL,35,0)-'TRADE IN'!$F458=0,"",(VLOOKUP($C458,REV!$C:$AL,35,0)-'TRADE IN'!$F458))</f>
        <v>5099</v>
      </c>
      <c r="AL458" s="55">
        <f>IF(VLOOKUP($C458,REV!$C:$AL,36,0)-'TRADE IN'!$F458=0,"",(VLOOKUP($C458,REV!$C:$AL,36,0)-'TRADE IN'!$F458))</f>
        <v>4299</v>
      </c>
      <c r="AM458" s="55"/>
      <c r="AN458" s="55"/>
      <c r="AO458" s="55"/>
      <c r="AP458" s="55"/>
      <c r="AQ458" s="55"/>
      <c r="AR458" s="55"/>
      <c r="AS458" s="55"/>
      <c r="AT458" s="55"/>
      <c r="AU458" s="55"/>
      <c r="AV458" s="57"/>
      <c r="AW458" s="58" t="str">
        <f>REV!AW458</f>
        <v>03.11.2026</v>
      </c>
      <c r="AX458" s="147" t="str">
        <f>VLOOKUP(C458,REV!C:AX,48,0)</f>
        <v>5G</v>
      </c>
    </row>
    <row r="459" spans="1:50" ht="22.5" customHeight="1">
      <c r="A459" s="51" t="s">
        <v>63</v>
      </c>
      <c r="B459" s="52" t="s">
        <v>64</v>
      </c>
      <c r="C459" s="53">
        <v>4017764</v>
      </c>
      <c r="D459" s="65" t="s">
        <v>662</v>
      </c>
      <c r="E459" s="65" t="s">
        <v>663</v>
      </c>
      <c r="F459" s="55">
        <v>500</v>
      </c>
      <c r="G459" s="55"/>
      <c r="H459" s="55"/>
      <c r="I459" s="55"/>
      <c r="J459" s="56">
        <f>IF(VLOOKUP($C459,REV!$C:$AA,8,0)-'TRADE IN'!$F459=0,"",(VLOOKUP($C459,REV!$C:$AA,8,0)-'TRADE IN'!$F459))</f>
        <v>6499</v>
      </c>
      <c r="K459" s="56">
        <f>IF(VLOOKUP($C459,REV!$C:$AA,9,0)-'TRADE IN'!$F459=0,"",(VLOOKUP($C459,REV!$C:$AA,9,0)-'TRADE IN'!$F459))</f>
        <v>6499</v>
      </c>
      <c r="L459" s="56">
        <f>IF(VLOOKUP($C459,REV!$C:$AA,10,0)-'TRADE IN'!$F459=0,"",(VLOOKUP($C459,REV!$C:$AA,10,0)-'TRADE IN'!$F459))</f>
        <v>6499</v>
      </c>
      <c r="M459" s="56">
        <f>IF(VLOOKUP($C459,REV!$C:$AA,11,0)-'TRADE IN'!$F459=0,"",(VLOOKUP($C459,REV!$C:$AA,11,0)-'TRADE IN'!$F459))</f>
        <v>6499</v>
      </c>
      <c r="N459" s="56">
        <f>IF(VLOOKUP($C459,REV!$C:$AA,12,0)-'TRADE IN'!$F459=0,"",(VLOOKUP($C459,REV!$C:$AA,12,0)-'TRADE IN'!$F459))</f>
        <v>6499</v>
      </c>
      <c r="O459" s="56">
        <f>IF(VLOOKUP($C459,REV!$C:$AA,13,0)-'TRADE IN'!$F459=0,"",(VLOOKUP($C459,REV!$C:$AA,13,0)-'TRADE IN'!$F459))</f>
        <v>6399</v>
      </c>
      <c r="P459" s="56">
        <f>IF(VLOOKUP($C459,REV!$C:$AA,14,0)-'TRADE IN'!$F459=0,"",(VLOOKUP($C459,REV!$C:$AA,14,0)-'TRADE IN'!$F459))</f>
        <v>6299</v>
      </c>
      <c r="Q459" s="56">
        <f>IF(VLOOKUP($C459,REV!$C:$AA,15,0)-'TRADE IN'!$F459=0,"",(VLOOKUP($C459,REV!$C:$AA,15,0)-'TRADE IN'!$F459))</f>
        <v>5999</v>
      </c>
      <c r="R459" s="56">
        <f>IF(VLOOKUP($C459,REV!$C:$AA,16,0)-'TRADE IN'!$F459=0,"",(VLOOKUP($C459,REV!$C:$AA,16,0)-'TRADE IN'!$F459))</f>
        <v>6399</v>
      </c>
      <c r="S459" s="56">
        <f>IF(VLOOKUP($C459,REV!$C:$AA,17,0)-'TRADE IN'!$F459=0,"",(VLOOKUP($C459,REV!$C:$AA,17,0)-'TRADE IN'!$F459))</f>
        <v>6299</v>
      </c>
      <c r="T459" s="56">
        <f>IF(VLOOKUP($C459,REV!$C:$AA,18,0)-'TRADE IN'!$F459=0,"",(VLOOKUP($C459,REV!$C:$AA,18,0)-'TRADE IN'!$F459))</f>
        <v>5999</v>
      </c>
      <c r="U459" s="56">
        <f>IF(VLOOKUP($C459,REV!$C:$AA,19,0)-'TRADE IN'!$F459=0,"",(VLOOKUP($C459,REV!$C:$AA,19,0)-'TRADE IN'!$F459))</f>
        <v>5999</v>
      </c>
      <c r="V459" s="56">
        <f>IF(VLOOKUP($C459,REV!$C:$AA,20,0)-'TRADE IN'!$F459=0,"",(VLOOKUP($C459,REV!$C:$AA,20,0)-'TRADE IN'!$F459))</f>
        <v>5999</v>
      </c>
      <c r="W459" s="56">
        <f>IF(VLOOKUP($C459,REV!$C:$AA,21,0)-'TRADE IN'!$F459=0,"",(VLOOKUP($C459,REV!$C:$AA,21,0)-'TRADE IN'!$F459))</f>
        <v>5999</v>
      </c>
      <c r="X459" s="56">
        <f>IF(VLOOKUP($C459,REV!$C:$AA,22,0)-'TRADE IN'!$F459=0,"",(VLOOKUP($C459,REV!$C:$AA,22,0)-'TRADE IN'!$F459))</f>
        <v>5899</v>
      </c>
      <c r="Y459" s="56">
        <f>IF(VLOOKUP($C459,REV!$C:$AA,23,0)-'TRADE IN'!$F459=0,"",(VLOOKUP($C459,REV!$C:$AA,23,0)-'TRADE IN'!$F459))</f>
        <v>4999</v>
      </c>
      <c r="Z459" s="56">
        <f>IF(VLOOKUP($C459,REV!$C:$AA,24,0)-'TRADE IN'!$F459=0,"",(VLOOKUP($C459,REV!$C:$AA,24,0)-'TRADE IN'!$F459))</f>
        <v>4999</v>
      </c>
      <c r="AA459" s="56">
        <f>IF(VLOOKUP($C459,REV!$C:$AA,25,0)-'TRADE IN'!$F459=0,"",(VLOOKUP($C459,REV!$C:$AA,25,0)-'TRADE IN'!$F459))</f>
        <v>4799</v>
      </c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7"/>
      <c r="AW459" s="58" t="str">
        <f>REV!AW459</f>
        <v>03.11.2026</v>
      </c>
      <c r="AX459" s="147" t="str">
        <f>VLOOKUP(C459,REV!C:AX,48,0)</f>
        <v>5G</v>
      </c>
    </row>
    <row r="460" spans="1:50" ht="22.5" customHeight="1">
      <c r="A460" s="51" t="s">
        <v>63</v>
      </c>
      <c r="B460" s="52" t="s">
        <v>64</v>
      </c>
      <c r="C460" s="53">
        <v>4017765</v>
      </c>
      <c r="D460" s="65" t="s">
        <v>662</v>
      </c>
      <c r="E460" s="65" t="s">
        <v>664</v>
      </c>
      <c r="F460" s="55">
        <v>500</v>
      </c>
      <c r="G460" s="55"/>
      <c r="H460" s="55"/>
      <c r="I460" s="55"/>
      <c r="J460" s="56">
        <f>IF(VLOOKUP($C460,REV!$C:$AA,8,0)-'TRADE IN'!$F460=0,"",(VLOOKUP($C460,REV!$C:$AA,8,0)-'TRADE IN'!$F460))</f>
        <v>6499</v>
      </c>
      <c r="K460" s="56">
        <f>IF(VLOOKUP($C460,REV!$C:$AA,9,0)-'TRADE IN'!$F460=0,"",(VLOOKUP($C460,REV!$C:$AA,9,0)-'TRADE IN'!$F460))</f>
        <v>6499</v>
      </c>
      <c r="L460" s="56">
        <f>IF(VLOOKUP($C460,REV!$C:$AA,10,0)-'TRADE IN'!$F460=0,"",(VLOOKUP($C460,REV!$C:$AA,10,0)-'TRADE IN'!$F460))</f>
        <v>6499</v>
      </c>
      <c r="M460" s="56">
        <f>IF(VLOOKUP($C460,REV!$C:$AA,11,0)-'TRADE IN'!$F460=0,"",(VLOOKUP($C460,REV!$C:$AA,11,0)-'TRADE IN'!$F460))</f>
        <v>6499</v>
      </c>
      <c r="N460" s="56">
        <f>IF(VLOOKUP($C460,REV!$C:$AA,12,0)-'TRADE IN'!$F460=0,"",(VLOOKUP($C460,REV!$C:$AA,12,0)-'TRADE IN'!$F460))</f>
        <v>6499</v>
      </c>
      <c r="O460" s="56">
        <f>IF(VLOOKUP($C460,REV!$C:$AA,13,0)-'TRADE IN'!$F460=0,"",(VLOOKUP($C460,REV!$C:$AA,13,0)-'TRADE IN'!$F460))</f>
        <v>6399</v>
      </c>
      <c r="P460" s="56">
        <f>IF(VLOOKUP($C460,REV!$C:$AA,14,0)-'TRADE IN'!$F460=0,"",(VLOOKUP($C460,REV!$C:$AA,14,0)-'TRADE IN'!$F460))</f>
        <v>6299</v>
      </c>
      <c r="Q460" s="56">
        <f>IF(VLOOKUP($C460,REV!$C:$AA,15,0)-'TRADE IN'!$F460=0,"",(VLOOKUP($C460,REV!$C:$AA,15,0)-'TRADE IN'!$F460))</f>
        <v>5999</v>
      </c>
      <c r="R460" s="56">
        <f>IF(VLOOKUP($C460,REV!$C:$AA,16,0)-'TRADE IN'!$F460=0,"",(VLOOKUP($C460,REV!$C:$AA,16,0)-'TRADE IN'!$F460))</f>
        <v>6399</v>
      </c>
      <c r="S460" s="56">
        <f>IF(VLOOKUP($C460,REV!$C:$AA,17,0)-'TRADE IN'!$F460=0,"",(VLOOKUP($C460,REV!$C:$AA,17,0)-'TRADE IN'!$F460))</f>
        <v>6299</v>
      </c>
      <c r="T460" s="56">
        <f>IF(VLOOKUP($C460,REV!$C:$AA,18,0)-'TRADE IN'!$F460=0,"",(VLOOKUP($C460,REV!$C:$AA,18,0)-'TRADE IN'!$F460))</f>
        <v>5999</v>
      </c>
      <c r="U460" s="56">
        <f>IF(VLOOKUP($C460,REV!$C:$AA,19,0)-'TRADE IN'!$F460=0,"",(VLOOKUP($C460,REV!$C:$AA,19,0)-'TRADE IN'!$F460))</f>
        <v>5999</v>
      </c>
      <c r="V460" s="56">
        <f>IF(VLOOKUP($C460,REV!$C:$AA,20,0)-'TRADE IN'!$F460=0,"",(VLOOKUP($C460,REV!$C:$AA,20,0)-'TRADE IN'!$F460))</f>
        <v>5999</v>
      </c>
      <c r="W460" s="56">
        <f>IF(VLOOKUP($C460,REV!$C:$AA,21,0)-'TRADE IN'!$F460=0,"",(VLOOKUP($C460,REV!$C:$AA,21,0)-'TRADE IN'!$F460))</f>
        <v>5999</v>
      </c>
      <c r="X460" s="56">
        <f>IF(VLOOKUP($C460,REV!$C:$AA,22,0)-'TRADE IN'!$F460=0,"",(VLOOKUP($C460,REV!$C:$AA,22,0)-'TRADE IN'!$F460))</f>
        <v>5899</v>
      </c>
      <c r="Y460" s="56">
        <f>IF(VLOOKUP($C460,REV!$C:$AA,23,0)-'TRADE IN'!$F460=0,"",(VLOOKUP($C460,REV!$C:$AA,23,0)-'TRADE IN'!$F460))</f>
        <v>4999</v>
      </c>
      <c r="Z460" s="56">
        <f>IF(VLOOKUP($C460,REV!$C:$AA,24,0)-'TRADE IN'!$F460=0,"",(VLOOKUP($C460,REV!$C:$AA,24,0)-'TRADE IN'!$F460))</f>
        <v>4999</v>
      </c>
      <c r="AA460" s="56">
        <f>IF(VLOOKUP($C460,REV!$C:$AA,25,0)-'TRADE IN'!$F460=0,"",(VLOOKUP($C460,REV!$C:$AA,25,0)-'TRADE IN'!$F460))</f>
        <v>4799</v>
      </c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7"/>
      <c r="AW460" s="58" t="str">
        <f>REV!AW460</f>
        <v>03.11.2026</v>
      </c>
      <c r="AX460" s="147" t="str">
        <f>VLOOKUP(C460,REV!C:AX,48,0)</f>
        <v>5G</v>
      </c>
    </row>
    <row r="461" spans="1:50" ht="22.5" customHeight="1">
      <c r="A461" s="51" t="s">
        <v>63</v>
      </c>
      <c r="B461" s="52" t="s">
        <v>64</v>
      </c>
      <c r="C461" s="53">
        <v>4017767</v>
      </c>
      <c r="D461" s="65" t="s">
        <v>662</v>
      </c>
      <c r="E461" s="65" t="s">
        <v>665</v>
      </c>
      <c r="F461" s="55">
        <v>500</v>
      </c>
      <c r="G461" s="55"/>
      <c r="H461" s="55"/>
      <c r="I461" s="55"/>
      <c r="J461" s="56">
        <f>IF(VLOOKUP($C461,REV!$C:$AA,8,0)-'TRADE IN'!$F461=0,"",(VLOOKUP($C461,REV!$C:$AA,8,0)-'TRADE IN'!$F461))</f>
        <v>6499</v>
      </c>
      <c r="K461" s="56">
        <f>IF(VLOOKUP($C461,REV!$C:$AA,9,0)-'TRADE IN'!$F461=0,"",(VLOOKUP($C461,REV!$C:$AA,9,0)-'TRADE IN'!$F461))</f>
        <v>6499</v>
      </c>
      <c r="L461" s="56">
        <f>IF(VLOOKUP($C461,REV!$C:$AA,10,0)-'TRADE IN'!$F461=0,"",(VLOOKUP($C461,REV!$C:$AA,10,0)-'TRADE IN'!$F461))</f>
        <v>6499</v>
      </c>
      <c r="M461" s="56">
        <f>IF(VLOOKUP($C461,REV!$C:$AA,11,0)-'TRADE IN'!$F461=0,"",(VLOOKUP($C461,REV!$C:$AA,11,0)-'TRADE IN'!$F461))</f>
        <v>6499</v>
      </c>
      <c r="N461" s="56">
        <f>IF(VLOOKUP($C461,REV!$C:$AA,12,0)-'TRADE IN'!$F461=0,"",(VLOOKUP($C461,REV!$C:$AA,12,0)-'TRADE IN'!$F461))</f>
        <v>6499</v>
      </c>
      <c r="O461" s="56">
        <f>IF(VLOOKUP($C461,REV!$C:$AA,13,0)-'TRADE IN'!$F461=0,"",(VLOOKUP($C461,REV!$C:$AA,13,0)-'TRADE IN'!$F461))</f>
        <v>6399</v>
      </c>
      <c r="P461" s="56">
        <f>IF(VLOOKUP($C461,REV!$C:$AA,14,0)-'TRADE IN'!$F461=0,"",(VLOOKUP($C461,REV!$C:$AA,14,0)-'TRADE IN'!$F461))</f>
        <v>6299</v>
      </c>
      <c r="Q461" s="56">
        <f>IF(VLOOKUP($C461,REV!$C:$AA,15,0)-'TRADE IN'!$F461=0,"",(VLOOKUP($C461,REV!$C:$AA,15,0)-'TRADE IN'!$F461))</f>
        <v>5999</v>
      </c>
      <c r="R461" s="56">
        <f>IF(VLOOKUP($C461,REV!$C:$AA,16,0)-'TRADE IN'!$F461=0,"",(VLOOKUP($C461,REV!$C:$AA,16,0)-'TRADE IN'!$F461))</f>
        <v>6399</v>
      </c>
      <c r="S461" s="56">
        <f>IF(VLOOKUP($C461,REV!$C:$AA,17,0)-'TRADE IN'!$F461=0,"",(VLOOKUP($C461,REV!$C:$AA,17,0)-'TRADE IN'!$F461))</f>
        <v>6299</v>
      </c>
      <c r="T461" s="56">
        <f>IF(VLOOKUP($C461,REV!$C:$AA,18,0)-'TRADE IN'!$F461=0,"",(VLOOKUP($C461,REV!$C:$AA,18,0)-'TRADE IN'!$F461))</f>
        <v>5999</v>
      </c>
      <c r="U461" s="56">
        <f>IF(VLOOKUP($C461,REV!$C:$AA,19,0)-'TRADE IN'!$F461=0,"",(VLOOKUP($C461,REV!$C:$AA,19,0)-'TRADE IN'!$F461))</f>
        <v>5999</v>
      </c>
      <c r="V461" s="56">
        <f>IF(VLOOKUP($C461,REV!$C:$AA,20,0)-'TRADE IN'!$F461=0,"",(VLOOKUP($C461,REV!$C:$AA,20,0)-'TRADE IN'!$F461))</f>
        <v>5999</v>
      </c>
      <c r="W461" s="56">
        <f>IF(VLOOKUP($C461,REV!$C:$AA,21,0)-'TRADE IN'!$F461=0,"",(VLOOKUP($C461,REV!$C:$AA,21,0)-'TRADE IN'!$F461))</f>
        <v>5999</v>
      </c>
      <c r="X461" s="56">
        <f>IF(VLOOKUP($C461,REV!$C:$AA,22,0)-'TRADE IN'!$F461=0,"",(VLOOKUP($C461,REV!$C:$AA,22,0)-'TRADE IN'!$F461))</f>
        <v>5899</v>
      </c>
      <c r="Y461" s="56">
        <f>IF(VLOOKUP($C461,REV!$C:$AA,23,0)-'TRADE IN'!$F461=0,"",(VLOOKUP($C461,REV!$C:$AA,23,0)-'TRADE IN'!$F461))</f>
        <v>4999</v>
      </c>
      <c r="Z461" s="56">
        <f>IF(VLOOKUP($C461,REV!$C:$AA,24,0)-'TRADE IN'!$F461=0,"",(VLOOKUP($C461,REV!$C:$AA,24,0)-'TRADE IN'!$F461))</f>
        <v>4999</v>
      </c>
      <c r="AA461" s="56">
        <f>IF(VLOOKUP($C461,REV!$C:$AA,25,0)-'TRADE IN'!$F461=0,"",(VLOOKUP($C461,REV!$C:$AA,25,0)-'TRADE IN'!$F461))</f>
        <v>4799</v>
      </c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7"/>
      <c r="AW461" s="58" t="str">
        <f>REV!AW461</f>
        <v>03.11.2026</v>
      </c>
      <c r="AX461" s="147" t="str">
        <f>VLOOKUP(C461,REV!C:AX,48,0)</f>
        <v>5G</v>
      </c>
    </row>
    <row r="462" spans="1:50" ht="22.5" customHeight="1">
      <c r="A462" s="51" t="s">
        <v>63</v>
      </c>
      <c r="B462" s="52" t="s">
        <v>64</v>
      </c>
      <c r="C462" s="53">
        <v>4017768</v>
      </c>
      <c r="D462" s="65" t="s">
        <v>662</v>
      </c>
      <c r="E462" s="65" t="s">
        <v>666</v>
      </c>
      <c r="F462" s="55">
        <v>500</v>
      </c>
      <c r="G462" s="55"/>
      <c r="H462" s="55"/>
      <c r="I462" s="55"/>
      <c r="J462" s="56">
        <f>IF(VLOOKUP($C462,REV!$C:$AA,8,0)-'TRADE IN'!$F462=0,"",(VLOOKUP($C462,REV!$C:$AA,8,0)-'TRADE IN'!$F462))</f>
        <v>6499</v>
      </c>
      <c r="K462" s="56">
        <f>IF(VLOOKUP($C462,REV!$C:$AA,9,0)-'TRADE IN'!$F462=0,"",(VLOOKUP($C462,REV!$C:$AA,9,0)-'TRADE IN'!$F462))</f>
        <v>6499</v>
      </c>
      <c r="L462" s="56">
        <f>IF(VLOOKUP($C462,REV!$C:$AA,10,0)-'TRADE IN'!$F462=0,"",(VLOOKUP($C462,REV!$C:$AA,10,0)-'TRADE IN'!$F462))</f>
        <v>6499</v>
      </c>
      <c r="M462" s="56">
        <f>IF(VLOOKUP($C462,REV!$C:$AA,11,0)-'TRADE IN'!$F462=0,"",(VLOOKUP($C462,REV!$C:$AA,11,0)-'TRADE IN'!$F462))</f>
        <v>6499</v>
      </c>
      <c r="N462" s="56">
        <f>IF(VLOOKUP($C462,REV!$C:$AA,12,0)-'TRADE IN'!$F462=0,"",(VLOOKUP($C462,REV!$C:$AA,12,0)-'TRADE IN'!$F462))</f>
        <v>6499</v>
      </c>
      <c r="O462" s="56">
        <f>IF(VLOOKUP($C462,REV!$C:$AA,13,0)-'TRADE IN'!$F462=0,"",(VLOOKUP($C462,REV!$C:$AA,13,0)-'TRADE IN'!$F462))</f>
        <v>6399</v>
      </c>
      <c r="P462" s="56">
        <f>IF(VLOOKUP($C462,REV!$C:$AA,14,0)-'TRADE IN'!$F462=0,"",(VLOOKUP($C462,REV!$C:$AA,14,0)-'TRADE IN'!$F462))</f>
        <v>6299</v>
      </c>
      <c r="Q462" s="56">
        <f>IF(VLOOKUP($C462,REV!$C:$AA,15,0)-'TRADE IN'!$F462=0,"",(VLOOKUP($C462,REV!$C:$AA,15,0)-'TRADE IN'!$F462))</f>
        <v>5999</v>
      </c>
      <c r="R462" s="56">
        <f>IF(VLOOKUP($C462,REV!$C:$AA,16,0)-'TRADE IN'!$F462=0,"",(VLOOKUP($C462,REV!$C:$AA,16,0)-'TRADE IN'!$F462))</f>
        <v>6399</v>
      </c>
      <c r="S462" s="56">
        <f>IF(VLOOKUP($C462,REV!$C:$AA,17,0)-'TRADE IN'!$F462=0,"",(VLOOKUP($C462,REV!$C:$AA,17,0)-'TRADE IN'!$F462))</f>
        <v>6299</v>
      </c>
      <c r="T462" s="56">
        <f>IF(VLOOKUP($C462,REV!$C:$AA,18,0)-'TRADE IN'!$F462=0,"",(VLOOKUP($C462,REV!$C:$AA,18,0)-'TRADE IN'!$F462))</f>
        <v>5999</v>
      </c>
      <c r="U462" s="56">
        <f>IF(VLOOKUP($C462,REV!$C:$AA,19,0)-'TRADE IN'!$F462=0,"",(VLOOKUP($C462,REV!$C:$AA,19,0)-'TRADE IN'!$F462))</f>
        <v>5999</v>
      </c>
      <c r="V462" s="56">
        <f>IF(VLOOKUP($C462,REV!$C:$AA,20,0)-'TRADE IN'!$F462=0,"",(VLOOKUP($C462,REV!$C:$AA,20,0)-'TRADE IN'!$F462))</f>
        <v>5999</v>
      </c>
      <c r="W462" s="56">
        <f>IF(VLOOKUP($C462,REV!$C:$AA,21,0)-'TRADE IN'!$F462=0,"",(VLOOKUP($C462,REV!$C:$AA,21,0)-'TRADE IN'!$F462))</f>
        <v>5999</v>
      </c>
      <c r="X462" s="56">
        <f>IF(VLOOKUP($C462,REV!$C:$AA,22,0)-'TRADE IN'!$F462=0,"",(VLOOKUP($C462,REV!$C:$AA,22,0)-'TRADE IN'!$F462))</f>
        <v>5899</v>
      </c>
      <c r="Y462" s="56">
        <f>IF(VLOOKUP($C462,REV!$C:$AA,23,0)-'TRADE IN'!$F462=0,"",(VLOOKUP($C462,REV!$C:$AA,23,0)-'TRADE IN'!$F462))</f>
        <v>4999</v>
      </c>
      <c r="Z462" s="56">
        <f>IF(VLOOKUP($C462,REV!$C:$AA,24,0)-'TRADE IN'!$F462=0,"",(VLOOKUP($C462,REV!$C:$AA,24,0)-'TRADE IN'!$F462))</f>
        <v>4999</v>
      </c>
      <c r="AA462" s="56">
        <f>IF(VLOOKUP($C462,REV!$C:$AA,25,0)-'TRADE IN'!$F462=0,"",(VLOOKUP($C462,REV!$C:$AA,25,0)-'TRADE IN'!$F462))</f>
        <v>4799</v>
      </c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7"/>
      <c r="AW462" s="58" t="str">
        <f>REV!AW462</f>
        <v>03.11.2026</v>
      </c>
      <c r="AX462" s="147" t="str">
        <f>VLOOKUP(C462,REV!C:AX,48,0)</f>
        <v>5G</v>
      </c>
    </row>
    <row r="463" spans="1:50" ht="22.5" customHeight="1">
      <c r="A463" s="51" t="s">
        <v>63</v>
      </c>
      <c r="B463" s="52" t="s">
        <v>64</v>
      </c>
      <c r="C463" s="53">
        <v>4017614</v>
      </c>
      <c r="D463" s="65" t="s">
        <v>667</v>
      </c>
      <c r="E463" s="65" t="s">
        <v>668</v>
      </c>
      <c r="F463" s="55">
        <v>1850</v>
      </c>
      <c r="G463" s="55"/>
      <c r="H463" s="55"/>
      <c r="I463" s="55"/>
      <c r="J463" s="56">
        <f>IF(VLOOKUP($C463,REV!$C:$AA,8,0)-'TRADE IN'!$F463=0,"",(VLOOKUP($C463,REV!$C:$AA,8,0)-'TRADE IN'!$F463))</f>
        <v>6149</v>
      </c>
      <c r="K463" s="56">
        <f>IF(VLOOKUP($C463,REV!$C:$AA,9,0)-'TRADE IN'!$F463=0,"",(VLOOKUP($C463,REV!$C:$AA,9,0)-'TRADE IN'!$F463))</f>
        <v>6149</v>
      </c>
      <c r="L463" s="56">
        <f>IF(VLOOKUP($C463,REV!$C:$AA,10,0)-'TRADE IN'!$F463=0,"",(VLOOKUP($C463,REV!$C:$AA,10,0)-'TRADE IN'!$F463))</f>
        <v>6149</v>
      </c>
      <c r="M463" s="56">
        <f>IF(VLOOKUP($C463,REV!$C:$AA,11,0)-'TRADE IN'!$F463=0,"",(VLOOKUP($C463,REV!$C:$AA,11,0)-'TRADE IN'!$F463))</f>
        <v>6149</v>
      </c>
      <c r="N463" s="56">
        <f>IF(VLOOKUP($C463,REV!$C:$AA,12,0)-'TRADE IN'!$F463=0,"",(VLOOKUP($C463,REV!$C:$AA,12,0)-'TRADE IN'!$F463))</f>
        <v>6149</v>
      </c>
      <c r="O463" s="56">
        <f>IF(VLOOKUP($C463,REV!$C:$AA,13,0)-'TRADE IN'!$F463=0,"",(VLOOKUP($C463,REV!$C:$AA,13,0)-'TRADE IN'!$F463))</f>
        <v>5949</v>
      </c>
      <c r="P463" s="56">
        <f>IF(VLOOKUP($C463,REV!$C:$AA,14,0)-'TRADE IN'!$F463=0,"",(VLOOKUP($C463,REV!$C:$AA,14,0)-'TRADE IN'!$F463))</f>
        <v>5849</v>
      </c>
      <c r="Q463" s="56">
        <f>IF(VLOOKUP($C463,REV!$C:$AA,15,0)-'TRADE IN'!$F463=0,"",(VLOOKUP($C463,REV!$C:$AA,15,0)-'TRADE IN'!$F463))</f>
        <v>5149</v>
      </c>
      <c r="R463" s="56">
        <f>IF(VLOOKUP($C463,REV!$C:$AA,16,0)-'TRADE IN'!$F463=0,"",(VLOOKUP($C463,REV!$C:$AA,16,0)-'TRADE IN'!$F463))</f>
        <v>5949</v>
      </c>
      <c r="S463" s="56">
        <f>IF(VLOOKUP($C463,REV!$C:$AA,17,0)-'TRADE IN'!$F463=0,"",(VLOOKUP($C463,REV!$C:$AA,17,0)-'TRADE IN'!$F463))</f>
        <v>5849</v>
      </c>
      <c r="T463" s="56">
        <f>IF(VLOOKUP($C463,REV!$C:$AA,18,0)-'TRADE IN'!$F463=0,"",(VLOOKUP($C463,REV!$C:$AA,18,0)-'TRADE IN'!$F463))</f>
        <v>5149</v>
      </c>
      <c r="U463" s="56">
        <f>IF(VLOOKUP($C463,REV!$C:$AA,19,0)-'TRADE IN'!$F463=0,"",(VLOOKUP($C463,REV!$C:$AA,19,0)-'TRADE IN'!$F463))</f>
        <v>5149</v>
      </c>
      <c r="V463" s="56">
        <f>IF(VLOOKUP($C463,REV!$C:$AA,20,0)-'TRADE IN'!$F463=0,"",(VLOOKUP($C463,REV!$C:$AA,20,0)-'TRADE IN'!$F463))</f>
        <v>5149</v>
      </c>
      <c r="W463" s="56">
        <f>IF(VLOOKUP($C463,REV!$C:$AA,21,0)-'TRADE IN'!$F463=0,"",(VLOOKUP($C463,REV!$C:$AA,21,0)-'TRADE IN'!$F463))</f>
        <v>5149</v>
      </c>
      <c r="X463" s="56">
        <f>IF(VLOOKUP($C463,REV!$C:$AA,22,0)-'TRADE IN'!$F463=0,"",(VLOOKUP($C463,REV!$C:$AA,22,0)-'TRADE IN'!$F463))</f>
        <v>5049</v>
      </c>
      <c r="Y463" s="56">
        <f>IF(VLOOKUP($C463,REV!$C:$AA,23,0)-'TRADE IN'!$F463=0,"",(VLOOKUP($C463,REV!$C:$AA,23,0)-'TRADE IN'!$F463))</f>
        <v>4349</v>
      </c>
      <c r="Z463" s="56">
        <f>IF(VLOOKUP($C463,REV!$C:$AA,24,0)-'TRADE IN'!$F463=0,"",(VLOOKUP($C463,REV!$C:$AA,24,0)-'TRADE IN'!$F463))</f>
        <v>4349</v>
      </c>
      <c r="AA463" s="56">
        <f>IF(VLOOKUP($C463,REV!$C:$AA,25,0)-'TRADE IN'!$F463=0,"",(VLOOKUP($C463,REV!$C:$AA,25,0)-'TRADE IN'!$F463))</f>
        <v>4149</v>
      </c>
      <c r="AB463" s="55">
        <f>IF(VLOOKUP($C463,REV!$C:$AL,27,0)-'TRADE IN'!$F463=0,"",(VLOOKUP($C463,REV!$C:$AL,27,0)-'TRADE IN'!$F463))</f>
        <v>6149</v>
      </c>
      <c r="AC463" s="55">
        <f>IF(VLOOKUP($C463,REV!$C:$AL,28,0)-'TRADE IN'!$F463=0,"",(VLOOKUP($C463,REV!$C:$AL,28,0)-'TRADE IN'!$F463))</f>
        <v>6149</v>
      </c>
      <c r="AD463" s="55">
        <f>IF(VLOOKUP($C463,REV!$C:$AL,29,0)-'TRADE IN'!$F463=0,"",(VLOOKUP($C463,REV!$C:$AL,29,0)-'TRADE IN'!$F463))</f>
        <v>6149</v>
      </c>
      <c r="AE463" s="55">
        <f>IF(VLOOKUP($C463,REV!$C:$AL,30,0)-'TRADE IN'!$F463=0,"",(VLOOKUP($C463,REV!$C:$AL,30,0)-'TRADE IN'!$F463))</f>
        <v>5949</v>
      </c>
      <c r="AF463" s="55">
        <f>IF(VLOOKUP($C463,REV!$C:$AL,31,0)-'TRADE IN'!$F463=0,"",(VLOOKUP($C463,REV!$C:$AL,31,0)-'TRADE IN'!$F463))</f>
        <v>5849</v>
      </c>
      <c r="AG463" s="55">
        <f>IF(VLOOKUP($C463,REV!$C:$AL,31,0)-'TRADE IN'!$F463=0,"",(VLOOKUP($C463,REV!$C:$AL,31,0)-'TRADE IN'!$F463))</f>
        <v>5849</v>
      </c>
      <c r="AH463" s="55">
        <f>IF(VLOOKUP($C463,REV!$C:$AL,32,0)-'TRADE IN'!$F463=0,"",(VLOOKUP($C463,REV!$C:$AL,32,0)-'TRADE IN'!$F463))</f>
        <v>5149</v>
      </c>
      <c r="AI463" s="55">
        <f>IF(VLOOKUP($C463,REV!$C:$AL,33,0)-'TRADE IN'!$F463=0,"",(VLOOKUP($C463,REV!$C:$AL,33,0)-'TRADE IN'!$F463))</f>
        <v>5149</v>
      </c>
      <c r="AJ463" s="55">
        <f>IF(VLOOKUP($C463,REV!$C:$AL,34,0)-'TRADE IN'!$F463=0,"",(VLOOKUP($C463,REV!$C:$AL,34,0)-'TRADE IN'!$F463))</f>
        <v>5149</v>
      </c>
      <c r="AK463" s="55">
        <f>IF(VLOOKUP($C463,REV!$C:$AL,35,0)-'TRADE IN'!$F463=0,"",(VLOOKUP($C463,REV!$C:$AL,35,0)-'TRADE IN'!$F463))</f>
        <v>5149</v>
      </c>
      <c r="AL463" s="55">
        <f>IF(VLOOKUP($C463,REV!$C:$AL,36,0)-'TRADE IN'!$F463=0,"",(VLOOKUP($C463,REV!$C:$AL,36,0)-'TRADE IN'!$F463))</f>
        <v>4349</v>
      </c>
      <c r="AM463" s="55"/>
      <c r="AN463" s="55"/>
      <c r="AO463" s="55"/>
      <c r="AP463" s="55"/>
      <c r="AQ463" s="55"/>
      <c r="AR463" s="55"/>
      <c r="AS463" s="55"/>
      <c r="AT463" s="55"/>
      <c r="AU463" s="55"/>
      <c r="AV463" s="57"/>
      <c r="AW463" s="58" t="str">
        <f>REV!AW463</f>
        <v>03.11.2026</v>
      </c>
      <c r="AX463" s="147" t="str">
        <f>VLOOKUP(C463,REV!C:AX,48,0)</f>
        <v>5G</v>
      </c>
    </row>
    <row r="464" spans="1:50" ht="22.5" customHeight="1">
      <c r="A464" s="51" t="s">
        <v>63</v>
      </c>
      <c r="B464" s="52" t="s">
        <v>64</v>
      </c>
      <c r="C464" s="53">
        <v>4017616</v>
      </c>
      <c r="D464" s="65" t="s">
        <v>667</v>
      </c>
      <c r="E464" s="65" t="s">
        <v>669</v>
      </c>
      <c r="F464" s="55">
        <v>1850</v>
      </c>
      <c r="G464" s="55"/>
      <c r="H464" s="55"/>
      <c r="I464" s="55"/>
      <c r="J464" s="56">
        <f>IF(VLOOKUP($C464,REV!$C:$AA,8,0)-'TRADE IN'!$F464=0,"",(VLOOKUP($C464,REV!$C:$AA,8,0)-'TRADE IN'!$F464))</f>
        <v>6149</v>
      </c>
      <c r="K464" s="56">
        <f>IF(VLOOKUP($C464,REV!$C:$AA,9,0)-'TRADE IN'!$F464=0,"",(VLOOKUP($C464,REV!$C:$AA,9,0)-'TRADE IN'!$F464))</f>
        <v>6149</v>
      </c>
      <c r="L464" s="56">
        <f>IF(VLOOKUP($C464,REV!$C:$AA,10,0)-'TRADE IN'!$F464=0,"",(VLOOKUP($C464,REV!$C:$AA,10,0)-'TRADE IN'!$F464))</f>
        <v>6149</v>
      </c>
      <c r="M464" s="56">
        <f>IF(VLOOKUP($C464,REV!$C:$AA,11,0)-'TRADE IN'!$F464=0,"",(VLOOKUP($C464,REV!$C:$AA,11,0)-'TRADE IN'!$F464))</f>
        <v>6149</v>
      </c>
      <c r="N464" s="56">
        <f>IF(VLOOKUP($C464,REV!$C:$AA,12,0)-'TRADE IN'!$F464=0,"",(VLOOKUP($C464,REV!$C:$AA,12,0)-'TRADE IN'!$F464))</f>
        <v>6149</v>
      </c>
      <c r="O464" s="56">
        <f>IF(VLOOKUP($C464,REV!$C:$AA,13,0)-'TRADE IN'!$F464=0,"",(VLOOKUP($C464,REV!$C:$AA,13,0)-'TRADE IN'!$F464))</f>
        <v>5949</v>
      </c>
      <c r="P464" s="56">
        <f>IF(VLOOKUP($C464,REV!$C:$AA,14,0)-'TRADE IN'!$F464=0,"",(VLOOKUP($C464,REV!$C:$AA,14,0)-'TRADE IN'!$F464))</f>
        <v>5849</v>
      </c>
      <c r="Q464" s="56">
        <f>IF(VLOOKUP($C464,REV!$C:$AA,15,0)-'TRADE IN'!$F464=0,"",(VLOOKUP($C464,REV!$C:$AA,15,0)-'TRADE IN'!$F464))</f>
        <v>5149</v>
      </c>
      <c r="R464" s="56">
        <f>IF(VLOOKUP($C464,REV!$C:$AA,16,0)-'TRADE IN'!$F464=0,"",(VLOOKUP($C464,REV!$C:$AA,16,0)-'TRADE IN'!$F464))</f>
        <v>5949</v>
      </c>
      <c r="S464" s="56">
        <f>IF(VLOOKUP($C464,REV!$C:$AA,17,0)-'TRADE IN'!$F464=0,"",(VLOOKUP($C464,REV!$C:$AA,17,0)-'TRADE IN'!$F464))</f>
        <v>5849</v>
      </c>
      <c r="T464" s="56">
        <f>IF(VLOOKUP($C464,REV!$C:$AA,18,0)-'TRADE IN'!$F464=0,"",(VLOOKUP($C464,REV!$C:$AA,18,0)-'TRADE IN'!$F464))</f>
        <v>5149</v>
      </c>
      <c r="U464" s="56">
        <f>IF(VLOOKUP($C464,REV!$C:$AA,19,0)-'TRADE IN'!$F464=0,"",(VLOOKUP($C464,REV!$C:$AA,19,0)-'TRADE IN'!$F464))</f>
        <v>5149</v>
      </c>
      <c r="V464" s="56">
        <f>IF(VLOOKUP($C464,REV!$C:$AA,20,0)-'TRADE IN'!$F464=0,"",(VLOOKUP($C464,REV!$C:$AA,20,0)-'TRADE IN'!$F464))</f>
        <v>5149</v>
      </c>
      <c r="W464" s="56">
        <f>IF(VLOOKUP($C464,REV!$C:$AA,21,0)-'TRADE IN'!$F464=0,"",(VLOOKUP($C464,REV!$C:$AA,21,0)-'TRADE IN'!$F464))</f>
        <v>5149</v>
      </c>
      <c r="X464" s="56">
        <f>IF(VLOOKUP($C464,REV!$C:$AA,22,0)-'TRADE IN'!$F464=0,"",(VLOOKUP($C464,REV!$C:$AA,22,0)-'TRADE IN'!$F464))</f>
        <v>5049</v>
      </c>
      <c r="Y464" s="56">
        <f>IF(VLOOKUP($C464,REV!$C:$AA,23,0)-'TRADE IN'!$F464=0,"",(VLOOKUP($C464,REV!$C:$AA,23,0)-'TRADE IN'!$F464))</f>
        <v>4349</v>
      </c>
      <c r="Z464" s="56">
        <f>IF(VLOOKUP($C464,REV!$C:$AA,24,0)-'TRADE IN'!$F464=0,"",(VLOOKUP($C464,REV!$C:$AA,24,0)-'TRADE IN'!$F464))</f>
        <v>4349</v>
      </c>
      <c r="AA464" s="56">
        <f>IF(VLOOKUP($C464,REV!$C:$AA,25,0)-'TRADE IN'!$F464=0,"",(VLOOKUP($C464,REV!$C:$AA,25,0)-'TRADE IN'!$F464))</f>
        <v>4149</v>
      </c>
      <c r="AB464" s="55">
        <f>IF(VLOOKUP($C464,REV!$C:$AL,27,0)-'TRADE IN'!$F464=0,"",(VLOOKUP($C464,REV!$C:$AL,27,0)-'TRADE IN'!$F464))</f>
        <v>6149</v>
      </c>
      <c r="AC464" s="55">
        <f>IF(VLOOKUP($C464,REV!$C:$AL,28,0)-'TRADE IN'!$F464=0,"",(VLOOKUP($C464,REV!$C:$AL,28,0)-'TRADE IN'!$F464))</f>
        <v>6149</v>
      </c>
      <c r="AD464" s="55">
        <f>IF(VLOOKUP($C464,REV!$C:$AL,29,0)-'TRADE IN'!$F464=0,"",(VLOOKUP($C464,REV!$C:$AL,29,0)-'TRADE IN'!$F464))</f>
        <v>6149</v>
      </c>
      <c r="AE464" s="55">
        <f>IF(VLOOKUP($C464,REV!$C:$AL,30,0)-'TRADE IN'!$F464=0,"",(VLOOKUP($C464,REV!$C:$AL,30,0)-'TRADE IN'!$F464))</f>
        <v>5949</v>
      </c>
      <c r="AF464" s="55">
        <f>IF(VLOOKUP($C464,REV!$C:$AL,31,0)-'TRADE IN'!$F464=0,"",(VLOOKUP($C464,REV!$C:$AL,31,0)-'TRADE IN'!$F464))</f>
        <v>5849</v>
      </c>
      <c r="AG464" s="55">
        <f>IF(VLOOKUP($C464,REV!$C:$AL,31,0)-'TRADE IN'!$F464=0,"",(VLOOKUP($C464,REV!$C:$AL,31,0)-'TRADE IN'!$F464))</f>
        <v>5849</v>
      </c>
      <c r="AH464" s="55">
        <f>IF(VLOOKUP($C464,REV!$C:$AL,32,0)-'TRADE IN'!$F464=0,"",(VLOOKUP($C464,REV!$C:$AL,32,0)-'TRADE IN'!$F464))</f>
        <v>5149</v>
      </c>
      <c r="AI464" s="55">
        <f>IF(VLOOKUP($C464,REV!$C:$AL,33,0)-'TRADE IN'!$F464=0,"",(VLOOKUP($C464,REV!$C:$AL,33,0)-'TRADE IN'!$F464))</f>
        <v>5149</v>
      </c>
      <c r="AJ464" s="55">
        <f>IF(VLOOKUP($C464,REV!$C:$AL,34,0)-'TRADE IN'!$F464=0,"",(VLOOKUP($C464,REV!$C:$AL,34,0)-'TRADE IN'!$F464))</f>
        <v>5149</v>
      </c>
      <c r="AK464" s="55">
        <f>IF(VLOOKUP($C464,REV!$C:$AL,35,0)-'TRADE IN'!$F464=0,"",(VLOOKUP($C464,REV!$C:$AL,35,0)-'TRADE IN'!$F464))</f>
        <v>5149</v>
      </c>
      <c r="AL464" s="55">
        <f>IF(VLOOKUP($C464,REV!$C:$AL,36,0)-'TRADE IN'!$F464=0,"",(VLOOKUP($C464,REV!$C:$AL,36,0)-'TRADE IN'!$F464))</f>
        <v>4349</v>
      </c>
      <c r="AM464" s="55"/>
      <c r="AN464" s="55"/>
      <c r="AO464" s="55"/>
      <c r="AP464" s="55"/>
      <c r="AQ464" s="55"/>
      <c r="AR464" s="55"/>
      <c r="AS464" s="55"/>
      <c r="AT464" s="55"/>
      <c r="AU464" s="55"/>
      <c r="AV464" s="57"/>
      <c r="AW464" s="58" t="str">
        <f>REV!AW464</f>
        <v>03.11.2026</v>
      </c>
      <c r="AX464" s="147" t="str">
        <f>VLOOKUP(C464,REV!C:AX,48,0)</f>
        <v>5G</v>
      </c>
    </row>
    <row r="465" spans="1:50" ht="22.5" customHeight="1">
      <c r="A465" s="51" t="s">
        <v>63</v>
      </c>
      <c r="B465" s="52" t="s">
        <v>64</v>
      </c>
      <c r="C465" s="53">
        <v>4017725</v>
      </c>
      <c r="D465" s="65" t="s">
        <v>667</v>
      </c>
      <c r="E465" s="65" t="s">
        <v>670</v>
      </c>
      <c r="F465" s="55">
        <v>1850</v>
      </c>
      <c r="G465" s="55"/>
      <c r="H465" s="55"/>
      <c r="I465" s="55"/>
      <c r="J465" s="56">
        <f>IF(VLOOKUP($C465,REV!$C:$AA,8,0)-'TRADE IN'!$F465=0,"",(VLOOKUP($C465,REV!$C:$AA,8,0)-'TRADE IN'!$F465))</f>
        <v>6149</v>
      </c>
      <c r="K465" s="56">
        <f>IF(VLOOKUP($C465,REV!$C:$AA,9,0)-'TRADE IN'!$F465=0,"",(VLOOKUP($C465,REV!$C:$AA,9,0)-'TRADE IN'!$F465))</f>
        <v>6149</v>
      </c>
      <c r="L465" s="56">
        <f>IF(VLOOKUP($C465,REV!$C:$AA,10,0)-'TRADE IN'!$F465=0,"",(VLOOKUP($C465,REV!$C:$AA,10,0)-'TRADE IN'!$F465))</f>
        <v>6149</v>
      </c>
      <c r="M465" s="56">
        <f>IF(VLOOKUP($C465,REV!$C:$AA,11,0)-'TRADE IN'!$F465=0,"",(VLOOKUP($C465,REV!$C:$AA,11,0)-'TRADE IN'!$F465))</f>
        <v>6149</v>
      </c>
      <c r="N465" s="56">
        <f>IF(VLOOKUP($C465,REV!$C:$AA,12,0)-'TRADE IN'!$F465=0,"",(VLOOKUP($C465,REV!$C:$AA,12,0)-'TRADE IN'!$F465))</f>
        <v>6149</v>
      </c>
      <c r="O465" s="56">
        <f>IF(VLOOKUP($C465,REV!$C:$AA,13,0)-'TRADE IN'!$F465=0,"",(VLOOKUP($C465,REV!$C:$AA,13,0)-'TRADE IN'!$F465))</f>
        <v>5949</v>
      </c>
      <c r="P465" s="56">
        <f>IF(VLOOKUP($C465,REV!$C:$AA,14,0)-'TRADE IN'!$F465=0,"",(VLOOKUP($C465,REV!$C:$AA,14,0)-'TRADE IN'!$F465))</f>
        <v>5849</v>
      </c>
      <c r="Q465" s="56">
        <f>IF(VLOOKUP($C465,REV!$C:$AA,15,0)-'TRADE IN'!$F465=0,"",(VLOOKUP($C465,REV!$C:$AA,15,0)-'TRADE IN'!$F465))</f>
        <v>5149</v>
      </c>
      <c r="R465" s="56">
        <f>IF(VLOOKUP($C465,REV!$C:$AA,16,0)-'TRADE IN'!$F465=0,"",(VLOOKUP($C465,REV!$C:$AA,16,0)-'TRADE IN'!$F465))</f>
        <v>5949</v>
      </c>
      <c r="S465" s="56">
        <f>IF(VLOOKUP($C465,REV!$C:$AA,17,0)-'TRADE IN'!$F465=0,"",(VLOOKUP($C465,REV!$C:$AA,17,0)-'TRADE IN'!$F465))</f>
        <v>5849</v>
      </c>
      <c r="T465" s="56">
        <f>IF(VLOOKUP($C465,REV!$C:$AA,18,0)-'TRADE IN'!$F465=0,"",(VLOOKUP($C465,REV!$C:$AA,18,0)-'TRADE IN'!$F465))</f>
        <v>5149</v>
      </c>
      <c r="U465" s="56">
        <f>IF(VLOOKUP($C465,REV!$C:$AA,19,0)-'TRADE IN'!$F465=0,"",(VLOOKUP($C465,REV!$C:$AA,19,0)-'TRADE IN'!$F465))</f>
        <v>5149</v>
      </c>
      <c r="V465" s="56">
        <f>IF(VLOOKUP($C465,REV!$C:$AA,20,0)-'TRADE IN'!$F465=0,"",(VLOOKUP($C465,REV!$C:$AA,20,0)-'TRADE IN'!$F465))</f>
        <v>5149</v>
      </c>
      <c r="W465" s="56">
        <f>IF(VLOOKUP($C465,REV!$C:$AA,21,0)-'TRADE IN'!$F465=0,"",(VLOOKUP($C465,REV!$C:$AA,21,0)-'TRADE IN'!$F465))</f>
        <v>5149</v>
      </c>
      <c r="X465" s="56">
        <f>IF(VLOOKUP($C465,REV!$C:$AA,22,0)-'TRADE IN'!$F465=0,"",(VLOOKUP($C465,REV!$C:$AA,22,0)-'TRADE IN'!$F465))</f>
        <v>5049</v>
      </c>
      <c r="Y465" s="56">
        <f>IF(VLOOKUP($C465,REV!$C:$AA,23,0)-'TRADE IN'!$F465=0,"",(VLOOKUP($C465,REV!$C:$AA,23,0)-'TRADE IN'!$F465))</f>
        <v>4349</v>
      </c>
      <c r="Z465" s="56">
        <f>IF(VLOOKUP($C465,REV!$C:$AA,24,0)-'TRADE IN'!$F465=0,"",(VLOOKUP($C465,REV!$C:$AA,24,0)-'TRADE IN'!$F465))</f>
        <v>4349</v>
      </c>
      <c r="AA465" s="56">
        <f>IF(VLOOKUP($C465,REV!$C:$AA,25,0)-'TRADE IN'!$F465=0,"",(VLOOKUP($C465,REV!$C:$AA,25,0)-'TRADE IN'!$F465))</f>
        <v>4149</v>
      </c>
      <c r="AB465" s="55">
        <f>IF(VLOOKUP($C465,REV!$C:$AL,27,0)-'TRADE IN'!$F465=0,"",(VLOOKUP($C465,REV!$C:$AL,27,0)-'TRADE IN'!$F465))</f>
        <v>6149</v>
      </c>
      <c r="AC465" s="55">
        <f>IF(VLOOKUP($C465,REV!$C:$AL,28,0)-'TRADE IN'!$F465=0,"",(VLOOKUP($C465,REV!$C:$AL,28,0)-'TRADE IN'!$F465))</f>
        <v>6149</v>
      </c>
      <c r="AD465" s="55">
        <f>IF(VLOOKUP($C465,REV!$C:$AL,29,0)-'TRADE IN'!$F465=0,"",(VLOOKUP($C465,REV!$C:$AL,29,0)-'TRADE IN'!$F465))</f>
        <v>6149</v>
      </c>
      <c r="AE465" s="55">
        <f>IF(VLOOKUP($C465,REV!$C:$AL,30,0)-'TRADE IN'!$F465=0,"",(VLOOKUP($C465,REV!$C:$AL,30,0)-'TRADE IN'!$F465))</f>
        <v>5949</v>
      </c>
      <c r="AF465" s="55">
        <f>IF(VLOOKUP($C465,REV!$C:$AL,31,0)-'TRADE IN'!$F465=0,"",(VLOOKUP($C465,REV!$C:$AL,31,0)-'TRADE IN'!$F465))</f>
        <v>5849</v>
      </c>
      <c r="AG465" s="55">
        <f>IF(VLOOKUP($C465,REV!$C:$AL,31,0)-'TRADE IN'!$F465=0,"",(VLOOKUP($C465,REV!$C:$AL,31,0)-'TRADE IN'!$F465))</f>
        <v>5849</v>
      </c>
      <c r="AH465" s="55">
        <f>IF(VLOOKUP($C465,REV!$C:$AL,32,0)-'TRADE IN'!$F465=0,"",(VLOOKUP($C465,REV!$C:$AL,32,0)-'TRADE IN'!$F465))</f>
        <v>5149</v>
      </c>
      <c r="AI465" s="55">
        <f>IF(VLOOKUP($C465,REV!$C:$AL,33,0)-'TRADE IN'!$F465=0,"",(VLOOKUP($C465,REV!$C:$AL,33,0)-'TRADE IN'!$F465))</f>
        <v>5149</v>
      </c>
      <c r="AJ465" s="55">
        <f>IF(VLOOKUP($C465,REV!$C:$AL,34,0)-'TRADE IN'!$F465=0,"",(VLOOKUP($C465,REV!$C:$AL,34,0)-'TRADE IN'!$F465))</f>
        <v>5149</v>
      </c>
      <c r="AK465" s="55">
        <f>IF(VLOOKUP($C465,REV!$C:$AL,35,0)-'TRADE IN'!$F465=0,"",(VLOOKUP($C465,REV!$C:$AL,35,0)-'TRADE IN'!$F465))</f>
        <v>5149</v>
      </c>
      <c r="AL465" s="55">
        <f>IF(VLOOKUP($C465,REV!$C:$AL,36,0)-'TRADE IN'!$F465=0,"",(VLOOKUP($C465,REV!$C:$AL,36,0)-'TRADE IN'!$F465))</f>
        <v>4349</v>
      </c>
      <c r="AM465" s="55"/>
      <c r="AN465" s="55"/>
      <c r="AO465" s="55"/>
      <c r="AP465" s="55"/>
      <c r="AQ465" s="55"/>
      <c r="AR465" s="55"/>
      <c r="AS465" s="55"/>
      <c r="AT465" s="55"/>
      <c r="AU465" s="55"/>
      <c r="AV465" s="57"/>
      <c r="AW465" s="58" t="str">
        <f>REV!AW465</f>
        <v>03.11.2026</v>
      </c>
      <c r="AX465" s="147" t="str">
        <f>VLOOKUP(C465,REV!C:AX,48,0)</f>
        <v>5G</v>
      </c>
    </row>
    <row r="466" spans="1:50" ht="22.5" customHeight="1">
      <c r="A466" s="51" t="s">
        <v>63</v>
      </c>
      <c r="B466" s="52" t="s">
        <v>64</v>
      </c>
      <c r="C466" s="53">
        <v>4017731</v>
      </c>
      <c r="D466" s="65" t="s">
        <v>667</v>
      </c>
      <c r="E466" s="65" t="s">
        <v>671</v>
      </c>
      <c r="F466" s="55">
        <v>1850</v>
      </c>
      <c r="G466" s="55"/>
      <c r="H466" s="55"/>
      <c r="I466" s="55"/>
      <c r="J466" s="56">
        <f>IF(VLOOKUP($C466,REV!$C:$AA,8,0)-'TRADE IN'!$F466=0,"",(VLOOKUP($C466,REV!$C:$AA,8,0)-'TRADE IN'!$F466))</f>
        <v>6149</v>
      </c>
      <c r="K466" s="56">
        <f>IF(VLOOKUP($C466,REV!$C:$AA,9,0)-'TRADE IN'!$F466=0,"",(VLOOKUP($C466,REV!$C:$AA,9,0)-'TRADE IN'!$F466))</f>
        <v>6149</v>
      </c>
      <c r="L466" s="56">
        <f>IF(VLOOKUP($C466,REV!$C:$AA,10,0)-'TRADE IN'!$F466=0,"",(VLOOKUP($C466,REV!$C:$AA,10,0)-'TRADE IN'!$F466))</f>
        <v>6149</v>
      </c>
      <c r="M466" s="56">
        <f>IF(VLOOKUP($C466,REV!$C:$AA,11,0)-'TRADE IN'!$F466=0,"",(VLOOKUP($C466,REV!$C:$AA,11,0)-'TRADE IN'!$F466))</f>
        <v>6149</v>
      </c>
      <c r="N466" s="56">
        <f>IF(VLOOKUP($C466,REV!$C:$AA,12,0)-'TRADE IN'!$F466=0,"",(VLOOKUP($C466,REV!$C:$AA,12,0)-'TRADE IN'!$F466))</f>
        <v>6149</v>
      </c>
      <c r="O466" s="56">
        <f>IF(VLOOKUP($C466,REV!$C:$AA,13,0)-'TRADE IN'!$F466=0,"",(VLOOKUP($C466,REV!$C:$AA,13,0)-'TRADE IN'!$F466))</f>
        <v>5949</v>
      </c>
      <c r="P466" s="56">
        <f>IF(VLOOKUP($C466,REV!$C:$AA,14,0)-'TRADE IN'!$F466=0,"",(VLOOKUP($C466,REV!$C:$AA,14,0)-'TRADE IN'!$F466))</f>
        <v>5849</v>
      </c>
      <c r="Q466" s="56">
        <f>IF(VLOOKUP($C466,REV!$C:$AA,15,0)-'TRADE IN'!$F466=0,"",(VLOOKUP($C466,REV!$C:$AA,15,0)-'TRADE IN'!$F466))</f>
        <v>5149</v>
      </c>
      <c r="R466" s="56">
        <f>IF(VLOOKUP($C466,REV!$C:$AA,16,0)-'TRADE IN'!$F466=0,"",(VLOOKUP($C466,REV!$C:$AA,16,0)-'TRADE IN'!$F466))</f>
        <v>5949</v>
      </c>
      <c r="S466" s="56">
        <f>IF(VLOOKUP($C466,REV!$C:$AA,17,0)-'TRADE IN'!$F466=0,"",(VLOOKUP($C466,REV!$C:$AA,17,0)-'TRADE IN'!$F466))</f>
        <v>5849</v>
      </c>
      <c r="T466" s="56">
        <f>IF(VLOOKUP($C466,REV!$C:$AA,18,0)-'TRADE IN'!$F466=0,"",(VLOOKUP($C466,REV!$C:$AA,18,0)-'TRADE IN'!$F466))</f>
        <v>5149</v>
      </c>
      <c r="U466" s="56">
        <f>IF(VLOOKUP($C466,REV!$C:$AA,19,0)-'TRADE IN'!$F466=0,"",(VLOOKUP($C466,REV!$C:$AA,19,0)-'TRADE IN'!$F466))</f>
        <v>5149</v>
      </c>
      <c r="V466" s="56">
        <f>IF(VLOOKUP($C466,REV!$C:$AA,20,0)-'TRADE IN'!$F466=0,"",(VLOOKUP($C466,REV!$C:$AA,20,0)-'TRADE IN'!$F466))</f>
        <v>5149</v>
      </c>
      <c r="W466" s="56">
        <f>IF(VLOOKUP($C466,REV!$C:$AA,21,0)-'TRADE IN'!$F466=0,"",(VLOOKUP($C466,REV!$C:$AA,21,0)-'TRADE IN'!$F466))</f>
        <v>5149</v>
      </c>
      <c r="X466" s="56">
        <f>IF(VLOOKUP($C466,REV!$C:$AA,22,0)-'TRADE IN'!$F466=0,"",(VLOOKUP($C466,REV!$C:$AA,22,0)-'TRADE IN'!$F466))</f>
        <v>5049</v>
      </c>
      <c r="Y466" s="56">
        <f>IF(VLOOKUP($C466,REV!$C:$AA,23,0)-'TRADE IN'!$F466=0,"",(VLOOKUP($C466,REV!$C:$AA,23,0)-'TRADE IN'!$F466))</f>
        <v>4349</v>
      </c>
      <c r="Z466" s="56">
        <f>IF(VLOOKUP($C466,REV!$C:$AA,24,0)-'TRADE IN'!$F466=0,"",(VLOOKUP($C466,REV!$C:$AA,24,0)-'TRADE IN'!$F466))</f>
        <v>4349</v>
      </c>
      <c r="AA466" s="56">
        <f>IF(VLOOKUP($C466,REV!$C:$AA,25,0)-'TRADE IN'!$F466=0,"",(VLOOKUP($C466,REV!$C:$AA,25,0)-'TRADE IN'!$F466))</f>
        <v>4149</v>
      </c>
      <c r="AB466" s="55">
        <f>IF(VLOOKUP($C466,REV!$C:$AL,27,0)-'TRADE IN'!$F466=0,"",(VLOOKUP($C466,REV!$C:$AL,27,0)-'TRADE IN'!$F466))</f>
        <v>6149</v>
      </c>
      <c r="AC466" s="55">
        <f>IF(VLOOKUP($C466,REV!$C:$AL,28,0)-'TRADE IN'!$F466=0,"",(VLOOKUP($C466,REV!$C:$AL,28,0)-'TRADE IN'!$F466))</f>
        <v>6149</v>
      </c>
      <c r="AD466" s="55">
        <f>IF(VLOOKUP($C466,REV!$C:$AL,29,0)-'TRADE IN'!$F466=0,"",(VLOOKUP($C466,REV!$C:$AL,29,0)-'TRADE IN'!$F466))</f>
        <v>6149</v>
      </c>
      <c r="AE466" s="55">
        <f>IF(VLOOKUP($C466,REV!$C:$AL,30,0)-'TRADE IN'!$F466=0,"",(VLOOKUP($C466,REV!$C:$AL,30,0)-'TRADE IN'!$F466))</f>
        <v>5949</v>
      </c>
      <c r="AF466" s="55">
        <f>IF(VLOOKUP($C466,REV!$C:$AL,31,0)-'TRADE IN'!$F466=0,"",(VLOOKUP($C466,REV!$C:$AL,31,0)-'TRADE IN'!$F466))</f>
        <v>5849</v>
      </c>
      <c r="AG466" s="55">
        <f>IF(VLOOKUP($C466,REV!$C:$AL,31,0)-'TRADE IN'!$F466=0,"",(VLOOKUP($C466,REV!$C:$AL,31,0)-'TRADE IN'!$F466))</f>
        <v>5849</v>
      </c>
      <c r="AH466" s="55">
        <f>IF(VLOOKUP($C466,REV!$C:$AL,32,0)-'TRADE IN'!$F466=0,"",(VLOOKUP($C466,REV!$C:$AL,32,0)-'TRADE IN'!$F466))</f>
        <v>5149</v>
      </c>
      <c r="AI466" s="55">
        <f>IF(VLOOKUP($C466,REV!$C:$AL,33,0)-'TRADE IN'!$F466=0,"",(VLOOKUP($C466,REV!$C:$AL,33,0)-'TRADE IN'!$F466))</f>
        <v>5149</v>
      </c>
      <c r="AJ466" s="55">
        <f>IF(VLOOKUP($C466,REV!$C:$AL,34,0)-'TRADE IN'!$F466=0,"",(VLOOKUP($C466,REV!$C:$AL,34,0)-'TRADE IN'!$F466))</f>
        <v>5149</v>
      </c>
      <c r="AK466" s="55">
        <f>IF(VLOOKUP($C466,REV!$C:$AL,35,0)-'TRADE IN'!$F466=0,"",(VLOOKUP($C466,REV!$C:$AL,35,0)-'TRADE IN'!$F466))</f>
        <v>5149</v>
      </c>
      <c r="AL466" s="55">
        <f>IF(VLOOKUP($C466,REV!$C:$AL,36,0)-'TRADE IN'!$F466=0,"",(VLOOKUP($C466,REV!$C:$AL,36,0)-'TRADE IN'!$F466))</f>
        <v>4349</v>
      </c>
      <c r="AM466" s="55"/>
      <c r="AN466" s="55"/>
      <c r="AO466" s="55"/>
      <c r="AP466" s="55"/>
      <c r="AQ466" s="55"/>
      <c r="AR466" s="55"/>
      <c r="AS466" s="55"/>
      <c r="AT466" s="55"/>
      <c r="AU466" s="55"/>
      <c r="AV466" s="57"/>
      <c r="AW466" s="58" t="str">
        <f>REV!AW466</f>
        <v>03.11.2026</v>
      </c>
      <c r="AX466" s="147" t="str">
        <f>VLOOKUP(C466,REV!C:AX,48,0)</f>
        <v>5G</v>
      </c>
    </row>
    <row r="467" spans="1:50" ht="22.5" customHeight="1">
      <c r="A467" s="51" t="s">
        <v>63</v>
      </c>
      <c r="B467" s="52" t="s">
        <v>64</v>
      </c>
      <c r="C467" s="53">
        <v>4017734</v>
      </c>
      <c r="D467" s="65" t="s">
        <v>667</v>
      </c>
      <c r="E467" s="65" t="s">
        <v>672</v>
      </c>
      <c r="F467" s="55">
        <v>1850</v>
      </c>
      <c r="G467" s="55"/>
      <c r="H467" s="55"/>
      <c r="I467" s="55"/>
      <c r="J467" s="56">
        <f>IF(VLOOKUP($C467,REV!$C:$AA,8,0)-'TRADE IN'!$F467=0,"",(VLOOKUP($C467,REV!$C:$AA,8,0)-'TRADE IN'!$F467))</f>
        <v>6149</v>
      </c>
      <c r="K467" s="56">
        <f>IF(VLOOKUP($C467,REV!$C:$AA,9,0)-'TRADE IN'!$F467=0,"",(VLOOKUP($C467,REV!$C:$AA,9,0)-'TRADE IN'!$F467))</f>
        <v>6149</v>
      </c>
      <c r="L467" s="56">
        <f>IF(VLOOKUP($C467,REV!$C:$AA,10,0)-'TRADE IN'!$F467=0,"",(VLOOKUP($C467,REV!$C:$AA,10,0)-'TRADE IN'!$F467))</f>
        <v>6149</v>
      </c>
      <c r="M467" s="56">
        <f>IF(VLOOKUP($C467,REV!$C:$AA,11,0)-'TRADE IN'!$F467=0,"",(VLOOKUP($C467,REV!$C:$AA,11,0)-'TRADE IN'!$F467))</f>
        <v>6149</v>
      </c>
      <c r="N467" s="56">
        <f>IF(VLOOKUP($C467,REV!$C:$AA,12,0)-'TRADE IN'!$F467=0,"",(VLOOKUP($C467,REV!$C:$AA,12,0)-'TRADE IN'!$F467))</f>
        <v>6149</v>
      </c>
      <c r="O467" s="56">
        <f>IF(VLOOKUP($C467,REV!$C:$AA,13,0)-'TRADE IN'!$F467=0,"",(VLOOKUP($C467,REV!$C:$AA,13,0)-'TRADE IN'!$F467))</f>
        <v>5949</v>
      </c>
      <c r="P467" s="56">
        <f>IF(VLOOKUP($C467,REV!$C:$AA,14,0)-'TRADE IN'!$F467=0,"",(VLOOKUP($C467,REV!$C:$AA,14,0)-'TRADE IN'!$F467))</f>
        <v>5849</v>
      </c>
      <c r="Q467" s="56">
        <f>IF(VLOOKUP($C467,REV!$C:$AA,15,0)-'TRADE IN'!$F467=0,"",(VLOOKUP($C467,REV!$C:$AA,15,0)-'TRADE IN'!$F467))</f>
        <v>5149</v>
      </c>
      <c r="R467" s="56">
        <f>IF(VLOOKUP($C467,REV!$C:$AA,16,0)-'TRADE IN'!$F467=0,"",(VLOOKUP($C467,REV!$C:$AA,16,0)-'TRADE IN'!$F467))</f>
        <v>5949</v>
      </c>
      <c r="S467" s="56">
        <f>IF(VLOOKUP($C467,REV!$C:$AA,17,0)-'TRADE IN'!$F467=0,"",(VLOOKUP($C467,REV!$C:$AA,17,0)-'TRADE IN'!$F467))</f>
        <v>5849</v>
      </c>
      <c r="T467" s="56">
        <f>IF(VLOOKUP($C467,REV!$C:$AA,18,0)-'TRADE IN'!$F467=0,"",(VLOOKUP($C467,REV!$C:$AA,18,0)-'TRADE IN'!$F467))</f>
        <v>5149</v>
      </c>
      <c r="U467" s="56">
        <f>IF(VLOOKUP($C467,REV!$C:$AA,19,0)-'TRADE IN'!$F467=0,"",(VLOOKUP($C467,REV!$C:$AA,19,0)-'TRADE IN'!$F467))</f>
        <v>5149</v>
      </c>
      <c r="V467" s="56">
        <f>IF(VLOOKUP($C467,REV!$C:$AA,20,0)-'TRADE IN'!$F467=0,"",(VLOOKUP($C467,REV!$C:$AA,20,0)-'TRADE IN'!$F467))</f>
        <v>5149</v>
      </c>
      <c r="W467" s="56">
        <f>IF(VLOOKUP($C467,REV!$C:$AA,21,0)-'TRADE IN'!$F467=0,"",(VLOOKUP($C467,REV!$C:$AA,21,0)-'TRADE IN'!$F467))</f>
        <v>5149</v>
      </c>
      <c r="X467" s="56">
        <f>IF(VLOOKUP($C467,REV!$C:$AA,22,0)-'TRADE IN'!$F467=0,"",(VLOOKUP($C467,REV!$C:$AA,22,0)-'TRADE IN'!$F467))</f>
        <v>5049</v>
      </c>
      <c r="Y467" s="56">
        <f>IF(VLOOKUP($C467,REV!$C:$AA,23,0)-'TRADE IN'!$F467=0,"",(VLOOKUP($C467,REV!$C:$AA,23,0)-'TRADE IN'!$F467))</f>
        <v>4349</v>
      </c>
      <c r="Z467" s="56">
        <f>IF(VLOOKUP($C467,REV!$C:$AA,24,0)-'TRADE IN'!$F467=0,"",(VLOOKUP($C467,REV!$C:$AA,24,0)-'TRADE IN'!$F467))</f>
        <v>4349</v>
      </c>
      <c r="AA467" s="56">
        <f>IF(VLOOKUP($C467,REV!$C:$AA,25,0)-'TRADE IN'!$F467=0,"",(VLOOKUP($C467,REV!$C:$AA,25,0)-'TRADE IN'!$F467))</f>
        <v>4149</v>
      </c>
      <c r="AB467" s="55">
        <f>IF(VLOOKUP($C467,REV!$C:$AL,27,0)-'TRADE IN'!$F467=0,"",(VLOOKUP($C467,REV!$C:$AL,27,0)-'TRADE IN'!$F467))</f>
        <v>6149</v>
      </c>
      <c r="AC467" s="55">
        <f>IF(VLOOKUP($C467,REV!$C:$AL,28,0)-'TRADE IN'!$F467=0,"",(VLOOKUP($C467,REV!$C:$AL,28,0)-'TRADE IN'!$F467))</f>
        <v>6149</v>
      </c>
      <c r="AD467" s="55">
        <f>IF(VLOOKUP($C467,REV!$C:$AL,29,0)-'TRADE IN'!$F467=0,"",(VLOOKUP($C467,REV!$C:$AL,29,0)-'TRADE IN'!$F467))</f>
        <v>6149</v>
      </c>
      <c r="AE467" s="55">
        <f>IF(VLOOKUP($C467,REV!$C:$AL,30,0)-'TRADE IN'!$F467=0,"",(VLOOKUP($C467,REV!$C:$AL,30,0)-'TRADE IN'!$F467))</f>
        <v>5949</v>
      </c>
      <c r="AF467" s="55">
        <f>IF(VLOOKUP($C467,REV!$C:$AL,31,0)-'TRADE IN'!$F467=0,"",(VLOOKUP($C467,REV!$C:$AL,31,0)-'TRADE IN'!$F467))</f>
        <v>5849</v>
      </c>
      <c r="AG467" s="55">
        <f>IF(VLOOKUP($C467,REV!$C:$AL,31,0)-'TRADE IN'!$F467=0,"",(VLOOKUP($C467,REV!$C:$AL,31,0)-'TRADE IN'!$F467))</f>
        <v>5849</v>
      </c>
      <c r="AH467" s="55">
        <f>IF(VLOOKUP($C467,REV!$C:$AL,32,0)-'TRADE IN'!$F467=0,"",(VLOOKUP($C467,REV!$C:$AL,32,0)-'TRADE IN'!$F467))</f>
        <v>5149</v>
      </c>
      <c r="AI467" s="55">
        <f>IF(VLOOKUP($C467,REV!$C:$AL,33,0)-'TRADE IN'!$F467=0,"",(VLOOKUP($C467,REV!$C:$AL,33,0)-'TRADE IN'!$F467))</f>
        <v>5149</v>
      </c>
      <c r="AJ467" s="55">
        <f>IF(VLOOKUP($C467,REV!$C:$AL,34,0)-'TRADE IN'!$F467=0,"",(VLOOKUP($C467,REV!$C:$AL,34,0)-'TRADE IN'!$F467))</f>
        <v>5149</v>
      </c>
      <c r="AK467" s="55">
        <f>IF(VLOOKUP($C467,REV!$C:$AL,35,0)-'TRADE IN'!$F467=0,"",(VLOOKUP($C467,REV!$C:$AL,35,0)-'TRADE IN'!$F467))</f>
        <v>5149</v>
      </c>
      <c r="AL467" s="55">
        <f>IF(VLOOKUP($C467,REV!$C:$AL,36,0)-'TRADE IN'!$F467=0,"",(VLOOKUP($C467,REV!$C:$AL,36,0)-'TRADE IN'!$F467))</f>
        <v>4349</v>
      </c>
      <c r="AM467" s="55"/>
      <c r="AN467" s="55"/>
      <c r="AO467" s="55"/>
      <c r="AP467" s="55"/>
      <c r="AQ467" s="55"/>
      <c r="AR467" s="55"/>
      <c r="AS467" s="55"/>
      <c r="AT467" s="55"/>
      <c r="AU467" s="55"/>
      <c r="AV467" s="57"/>
      <c r="AW467" s="58" t="str">
        <f>REV!AW467</f>
        <v>03.11.2026</v>
      </c>
      <c r="AX467" s="147" t="str">
        <f>VLOOKUP(C467,REV!C:AX,48,0)</f>
        <v>5G</v>
      </c>
    </row>
    <row r="468" spans="1:50" ht="22.5" customHeight="1">
      <c r="A468" s="51" t="s">
        <v>63</v>
      </c>
      <c r="B468" s="52" t="s">
        <v>64</v>
      </c>
      <c r="C468" s="53">
        <v>4017728</v>
      </c>
      <c r="D468" s="65" t="s">
        <v>667</v>
      </c>
      <c r="E468" s="65" t="s">
        <v>673</v>
      </c>
      <c r="F468" s="55">
        <v>1850</v>
      </c>
      <c r="G468" s="55"/>
      <c r="H468" s="55"/>
      <c r="I468" s="55"/>
      <c r="J468" s="56">
        <f>IF(VLOOKUP($C468,REV!$C:$AA,8,0)-'TRADE IN'!$F468=0,"",(VLOOKUP($C468,REV!$C:$AA,8,0)-'TRADE IN'!$F468))</f>
        <v>6149</v>
      </c>
      <c r="K468" s="56">
        <f>IF(VLOOKUP($C468,REV!$C:$AA,9,0)-'TRADE IN'!$F468=0,"",(VLOOKUP($C468,REV!$C:$AA,9,0)-'TRADE IN'!$F468))</f>
        <v>6149</v>
      </c>
      <c r="L468" s="56">
        <f>IF(VLOOKUP($C468,REV!$C:$AA,10,0)-'TRADE IN'!$F468=0,"",(VLOOKUP($C468,REV!$C:$AA,10,0)-'TRADE IN'!$F468))</f>
        <v>6149</v>
      </c>
      <c r="M468" s="56">
        <f>IF(VLOOKUP($C468,REV!$C:$AA,11,0)-'TRADE IN'!$F468=0,"",(VLOOKUP($C468,REV!$C:$AA,11,0)-'TRADE IN'!$F468))</f>
        <v>6149</v>
      </c>
      <c r="N468" s="56">
        <f>IF(VLOOKUP($C468,REV!$C:$AA,12,0)-'TRADE IN'!$F468=0,"",(VLOOKUP($C468,REV!$C:$AA,12,0)-'TRADE IN'!$F468))</f>
        <v>6149</v>
      </c>
      <c r="O468" s="56">
        <f>IF(VLOOKUP($C468,REV!$C:$AA,13,0)-'TRADE IN'!$F468=0,"",(VLOOKUP($C468,REV!$C:$AA,13,0)-'TRADE IN'!$F468))</f>
        <v>5949</v>
      </c>
      <c r="P468" s="56">
        <f>IF(VLOOKUP($C468,REV!$C:$AA,14,0)-'TRADE IN'!$F468=0,"",(VLOOKUP($C468,REV!$C:$AA,14,0)-'TRADE IN'!$F468))</f>
        <v>5849</v>
      </c>
      <c r="Q468" s="56">
        <f>IF(VLOOKUP($C468,REV!$C:$AA,15,0)-'TRADE IN'!$F468=0,"",(VLOOKUP($C468,REV!$C:$AA,15,0)-'TRADE IN'!$F468))</f>
        <v>5149</v>
      </c>
      <c r="R468" s="56">
        <f>IF(VLOOKUP($C468,REV!$C:$AA,16,0)-'TRADE IN'!$F468=0,"",(VLOOKUP($C468,REV!$C:$AA,16,0)-'TRADE IN'!$F468))</f>
        <v>5949</v>
      </c>
      <c r="S468" s="56">
        <f>IF(VLOOKUP($C468,REV!$C:$AA,17,0)-'TRADE IN'!$F468=0,"",(VLOOKUP($C468,REV!$C:$AA,17,0)-'TRADE IN'!$F468))</f>
        <v>5849</v>
      </c>
      <c r="T468" s="56">
        <f>IF(VLOOKUP($C468,REV!$C:$AA,18,0)-'TRADE IN'!$F468=0,"",(VLOOKUP($C468,REV!$C:$AA,18,0)-'TRADE IN'!$F468))</f>
        <v>5149</v>
      </c>
      <c r="U468" s="56">
        <f>IF(VLOOKUP($C468,REV!$C:$AA,19,0)-'TRADE IN'!$F468=0,"",(VLOOKUP($C468,REV!$C:$AA,19,0)-'TRADE IN'!$F468))</f>
        <v>5149</v>
      </c>
      <c r="V468" s="56">
        <f>IF(VLOOKUP($C468,REV!$C:$AA,20,0)-'TRADE IN'!$F468=0,"",(VLOOKUP($C468,REV!$C:$AA,20,0)-'TRADE IN'!$F468))</f>
        <v>5149</v>
      </c>
      <c r="W468" s="56">
        <f>IF(VLOOKUP($C468,REV!$C:$AA,21,0)-'TRADE IN'!$F468=0,"",(VLOOKUP($C468,REV!$C:$AA,21,0)-'TRADE IN'!$F468))</f>
        <v>5149</v>
      </c>
      <c r="X468" s="56">
        <f>IF(VLOOKUP($C468,REV!$C:$AA,22,0)-'TRADE IN'!$F468=0,"",(VLOOKUP($C468,REV!$C:$AA,22,0)-'TRADE IN'!$F468))</f>
        <v>5049</v>
      </c>
      <c r="Y468" s="56">
        <f>IF(VLOOKUP($C468,REV!$C:$AA,23,0)-'TRADE IN'!$F468=0,"",(VLOOKUP($C468,REV!$C:$AA,23,0)-'TRADE IN'!$F468))</f>
        <v>4349</v>
      </c>
      <c r="Z468" s="56">
        <f>IF(VLOOKUP($C468,REV!$C:$AA,24,0)-'TRADE IN'!$F468=0,"",(VLOOKUP($C468,REV!$C:$AA,24,0)-'TRADE IN'!$F468))</f>
        <v>4349</v>
      </c>
      <c r="AA468" s="56">
        <f>IF(VLOOKUP($C468,REV!$C:$AA,25,0)-'TRADE IN'!$F468=0,"",(VLOOKUP($C468,REV!$C:$AA,25,0)-'TRADE IN'!$F468))</f>
        <v>4149</v>
      </c>
      <c r="AB468" s="55">
        <f>IF(VLOOKUP($C468,REV!$C:$AL,27,0)-'TRADE IN'!$F468=0,"",(VLOOKUP($C468,REV!$C:$AL,27,0)-'TRADE IN'!$F468))</f>
        <v>6149</v>
      </c>
      <c r="AC468" s="55">
        <f>IF(VLOOKUP($C468,REV!$C:$AL,28,0)-'TRADE IN'!$F468=0,"",(VLOOKUP($C468,REV!$C:$AL,28,0)-'TRADE IN'!$F468))</f>
        <v>6149</v>
      </c>
      <c r="AD468" s="55">
        <f>IF(VLOOKUP($C468,REV!$C:$AL,29,0)-'TRADE IN'!$F468=0,"",(VLOOKUP($C468,REV!$C:$AL,29,0)-'TRADE IN'!$F468))</f>
        <v>6149</v>
      </c>
      <c r="AE468" s="55">
        <f>IF(VLOOKUP($C468,REV!$C:$AL,30,0)-'TRADE IN'!$F468=0,"",(VLOOKUP($C468,REV!$C:$AL,30,0)-'TRADE IN'!$F468))</f>
        <v>5949</v>
      </c>
      <c r="AF468" s="55">
        <f>IF(VLOOKUP($C468,REV!$C:$AL,31,0)-'TRADE IN'!$F468=0,"",(VLOOKUP($C468,REV!$C:$AL,31,0)-'TRADE IN'!$F468))</f>
        <v>5849</v>
      </c>
      <c r="AG468" s="55">
        <f>IF(VLOOKUP($C468,REV!$C:$AL,31,0)-'TRADE IN'!$F468=0,"",(VLOOKUP($C468,REV!$C:$AL,31,0)-'TRADE IN'!$F468))</f>
        <v>5849</v>
      </c>
      <c r="AH468" s="55">
        <f>IF(VLOOKUP($C468,REV!$C:$AL,32,0)-'TRADE IN'!$F468=0,"",(VLOOKUP($C468,REV!$C:$AL,32,0)-'TRADE IN'!$F468))</f>
        <v>5149</v>
      </c>
      <c r="AI468" s="55">
        <f>IF(VLOOKUP($C468,REV!$C:$AL,33,0)-'TRADE IN'!$F468=0,"",(VLOOKUP($C468,REV!$C:$AL,33,0)-'TRADE IN'!$F468))</f>
        <v>5149</v>
      </c>
      <c r="AJ468" s="55">
        <f>IF(VLOOKUP($C468,REV!$C:$AL,34,0)-'TRADE IN'!$F468=0,"",(VLOOKUP($C468,REV!$C:$AL,34,0)-'TRADE IN'!$F468))</f>
        <v>5149</v>
      </c>
      <c r="AK468" s="55">
        <f>IF(VLOOKUP($C468,REV!$C:$AL,35,0)-'TRADE IN'!$F468=0,"",(VLOOKUP($C468,REV!$C:$AL,35,0)-'TRADE IN'!$F468))</f>
        <v>5149</v>
      </c>
      <c r="AL468" s="55">
        <f>IF(VLOOKUP($C468,REV!$C:$AL,36,0)-'TRADE IN'!$F468=0,"",(VLOOKUP($C468,REV!$C:$AL,36,0)-'TRADE IN'!$F468))</f>
        <v>4349</v>
      </c>
      <c r="AM468" s="55"/>
      <c r="AN468" s="55"/>
      <c r="AO468" s="55"/>
      <c r="AP468" s="55"/>
      <c r="AQ468" s="55"/>
      <c r="AR468" s="55"/>
      <c r="AS468" s="55"/>
      <c r="AT468" s="55"/>
      <c r="AU468" s="55"/>
      <c r="AV468" s="57"/>
      <c r="AW468" s="58" t="str">
        <f>REV!AW468</f>
        <v>03.11.2026</v>
      </c>
      <c r="AX468" s="147" t="str">
        <f>VLOOKUP(C468,REV!C:AX,48,0)</f>
        <v>5G</v>
      </c>
    </row>
    <row r="469" spans="1:50" ht="22.5" customHeight="1">
      <c r="A469" s="51" t="s">
        <v>63</v>
      </c>
      <c r="B469" s="52" t="s">
        <v>64</v>
      </c>
      <c r="C469" s="53">
        <v>4017611</v>
      </c>
      <c r="D469" s="65" t="s">
        <v>674</v>
      </c>
      <c r="E469" s="65" t="s">
        <v>675</v>
      </c>
      <c r="F469" s="55">
        <v>1850</v>
      </c>
      <c r="G469" s="55"/>
      <c r="H469" s="55"/>
      <c r="I469" s="55"/>
      <c r="J469" s="56">
        <f>IF(VLOOKUP($C469,REV!$C:$AA,8,0)-'TRADE IN'!$F469=0,"",(VLOOKUP($C469,REV!$C:$AA,8,0)-'TRADE IN'!$F469))</f>
        <v>7649</v>
      </c>
      <c r="K469" s="56">
        <f>IF(VLOOKUP($C469,REV!$C:$AA,9,0)-'TRADE IN'!$F469=0,"",(VLOOKUP($C469,REV!$C:$AA,9,0)-'TRADE IN'!$F469))</f>
        <v>7649</v>
      </c>
      <c r="L469" s="56">
        <f>IF(VLOOKUP($C469,REV!$C:$AA,10,0)-'TRADE IN'!$F469=0,"",(VLOOKUP($C469,REV!$C:$AA,10,0)-'TRADE IN'!$F469))</f>
        <v>7649</v>
      </c>
      <c r="M469" s="56">
        <f>IF(VLOOKUP($C469,REV!$C:$AA,11,0)-'TRADE IN'!$F469=0,"",(VLOOKUP($C469,REV!$C:$AA,11,0)-'TRADE IN'!$F469))</f>
        <v>7649</v>
      </c>
      <c r="N469" s="56">
        <f>IF(VLOOKUP($C469,REV!$C:$AA,12,0)-'TRADE IN'!$F469=0,"",(VLOOKUP($C469,REV!$C:$AA,12,0)-'TRADE IN'!$F469))</f>
        <v>7649</v>
      </c>
      <c r="O469" s="56">
        <f>IF(VLOOKUP($C469,REV!$C:$AA,13,0)-'TRADE IN'!$F469=0,"",(VLOOKUP($C469,REV!$C:$AA,13,0)-'TRADE IN'!$F469))</f>
        <v>7549</v>
      </c>
      <c r="P469" s="56">
        <f>IF(VLOOKUP($C469,REV!$C:$AA,14,0)-'TRADE IN'!$F469=0,"",(VLOOKUP($C469,REV!$C:$AA,14,0)-'TRADE IN'!$F469))</f>
        <v>7449</v>
      </c>
      <c r="Q469" s="56">
        <f>IF(VLOOKUP($C469,REV!$C:$AA,15,0)-'TRADE IN'!$F469=0,"",(VLOOKUP($C469,REV!$C:$AA,15,0)-'TRADE IN'!$F469))</f>
        <v>6949</v>
      </c>
      <c r="R469" s="56">
        <f>IF(VLOOKUP($C469,REV!$C:$AA,16,0)-'TRADE IN'!$F469=0,"",(VLOOKUP($C469,REV!$C:$AA,16,0)-'TRADE IN'!$F469))</f>
        <v>7549</v>
      </c>
      <c r="S469" s="56">
        <f>IF(VLOOKUP($C469,REV!$C:$AA,17,0)-'TRADE IN'!$F469=0,"",(VLOOKUP($C469,REV!$C:$AA,17,0)-'TRADE IN'!$F469))</f>
        <v>7449</v>
      </c>
      <c r="T469" s="56">
        <f>IF(VLOOKUP($C469,REV!$C:$AA,18,0)-'TRADE IN'!$F469=0,"",(VLOOKUP($C469,REV!$C:$AA,18,0)-'TRADE IN'!$F469))</f>
        <v>6949</v>
      </c>
      <c r="U469" s="56">
        <f>IF(VLOOKUP($C469,REV!$C:$AA,19,0)-'TRADE IN'!$F469=0,"",(VLOOKUP($C469,REV!$C:$AA,19,0)-'TRADE IN'!$F469))</f>
        <v>6949</v>
      </c>
      <c r="V469" s="56">
        <f>IF(VLOOKUP($C469,REV!$C:$AA,20,0)-'TRADE IN'!$F469=0,"",(VLOOKUP($C469,REV!$C:$AA,20,0)-'TRADE IN'!$F469))</f>
        <v>6949</v>
      </c>
      <c r="W469" s="56">
        <f>IF(VLOOKUP($C469,REV!$C:$AA,21,0)-'TRADE IN'!$F469=0,"",(VLOOKUP($C469,REV!$C:$AA,21,0)-'TRADE IN'!$F469))</f>
        <v>6949</v>
      </c>
      <c r="X469" s="56">
        <f>IF(VLOOKUP($C469,REV!$C:$AA,22,0)-'TRADE IN'!$F469=0,"",(VLOOKUP($C469,REV!$C:$AA,22,0)-'TRADE IN'!$F469))</f>
        <v>6849</v>
      </c>
      <c r="Y469" s="56">
        <f>IF(VLOOKUP($C469,REV!$C:$AA,23,0)-'TRADE IN'!$F469=0,"",(VLOOKUP($C469,REV!$C:$AA,23,0)-'TRADE IN'!$F469))</f>
        <v>5349</v>
      </c>
      <c r="Z469" s="56">
        <f>IF(VLOOKUP($C469,REV!$C:$AA,24,0)-'TRADE IN'!$F469=0,"",(VLOOKUP($C469,REV!$C:$AA,24,0)-'TRADE IN'!$F469))</f>
        <v>5349</v>
      </c>
      <c r="AA469" s="56">
        <f>IF(VLOOKUP($C469,REV!$C:$AA,25,0)-'TRADE IN'!$F469=0,"",(VLOOKUP($C469,REV!$C:$AA,25,0)-'TRADE IN'!$F469))</f>
        <v>5149</v>
      </c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7"/>
      <c r="AW469" s="58" t="str">
        <f>REV!AW469</f>
        <v>03.11.2026</v>
      </c>
      <c r="AX469" s="147" t="str">
        <f>VLOOKUP(C469,REV!C:AX,48,0)</f>
        <v>5G</v>
      </c>
    </row>
    <row r="470" spans="1:50" ht="22.5" customHeight="1">
      <c r="A470" s="51" t="s">
        <v>63</v>
      </c>
      <c r="B470" s="52" t="s">
        <v>64</v>
      </c>
      <c r="C470" s="53">
        <v>4017613</v>
      </c>
      <c r="D470" s="65" t="s">
        <v>674</v>
      </c>
      <c r="E470" s="65" t="s">
        <v>676</v>
      </c>
      <c r="F470" s="55">
        <v>1850</v>
      </c>
      <c r="G470" s="55"/>
      <c r="H470" s="55"/>
      <c r="I470" s="55"/>
      <c r="J470" s="56">
        <f>IF(VLOOKUP($C470,REV!$C:$AA,8,0)-'TRADE IN'!$F470=0,"",(VLOOKUP($C470,REV!$C:$AA,8,0)-'TRADE IN'!$F470))</f>
        <v>7649</v>
      </c>
      <c r="K470" s="56">
        <f>IF(VLOOKUP($C470,REV!$C:$AA,9,0)-'TRADE IN'!$F470=0,"",(VLOOKUP($C470,REV!$C:$AA,9,0)-'TRADE IN'!$F470))</f>
        <v>7649</v>
      </c>
      <c r="L470" s="56">
        <f>IF(VLOOKUP($C470,REV!$C:$AA,10,0)-'TRADE IN'!$F470=0,"",(VLOOKUP($C470,REV!$C:$AA,10,0)-'TRADE IN'!$F470))</f>
        <v>7649</v>
      </c>
      <c r="M470" s="56">
        <f>IF(VLOOKUP($C470,REV!$C:$AA,11,0)-'TRADE IN'!$F470=0,"",(VLOOKUP($C470,REV!$C:$AA,11,0)-'TRADE IN'!$F470))</f>
        <v>7649</v>
      </c>
      <c r="N470" s="56">
        <f>IF(VLOOKUP($C470,REV!$C:$AA,12,0)-'TRADE IN'!$F470=0,"",(VLOOKUP($C470,REV!$C:$AA,12,0)-'TRADE IN'!$F470))</f>
        <v>7649</v>
      </c>
      <c r="O470" s="56">
        <f>IF(VLOOKUP($C470,REV!$C:$AA,13,0)-'TRADE IN'!$F470=0,"",(VLOOKUP($C470,REV!$C:$AA,13,0)-'TRADE IN'!$F470))</f>
        <v>7549</v>
      </c>
      <c r="P470" s="56">
        <f>IF(VLOOKUP($C470,REV!$C:$AA,14,0)-'TRADE IN'!$F470=0,"",(VLOOKUP($C470,REV!$C:$AA,14,0)-'TRADE IN'!$F470))</f>
        <v>7449</v>
      </c>
      <c r="Q470" s="56">
        <f>IF(VLOOKUP($C470,REV!$C:$AA,15,0)-'TRADE IN'!$F470=0,"",(VLOOKUP($C470,REV!$C:$AA,15,0)-'TRADE IN'!$F470))</f>
        <v>6949</v>
      </c>
      <c r="R470" s="56">
        <f>IF(VLOOKUP($C470,REV!$C:$AA,16,0)-'TRADE IN'!$F470=0,"",(VLOOKUP($C470,REV!$C:$AA,16,0)-'TRADE IN'!$F470))</f>
        <v>7549</v>
      </c>
      <c r="S470" s="56">
        <f>IF(VLOOKUP($C470,REV!$C:$AA,17,0)-'TRADE IN'!$F470=0,"",(VLOOKUP($C470,REV!$C:$AA,17,0)-'TRADE IN'!$F470))</f>
        <v>7449</v>
      </c>
      <c r="T470" s="56">
        <f>IF(VLOOKUP($C470,REV!$C:$AA,18,0)-'TRADE IN'!$F470=0,"",(VLOOKUP($C470,REV!$C:$AA,18,0)-'TRADE IN'!$F470))</f>
        <v>6949</v>
      </c>
      <c r="U470" s="56">
        <f>IF(VLOOKUP($C470,REV!$C:$AA,19,0)-'TRADE IN'!$F470=0,"",(VLOOKUP($C470,REV!$C:$AA,19,0)-'TRADE IN'!$F470))</f>
        <v>6949</v>
      </c>
      <c r="V470" s="56">
        <f>IF(VLOOKUP($C470,REV!$C:$AA,20,0)-'TRADE IN'!$F470=0,"",(VLOOKUP($C470,REV!$C:$AA,20,0)-'TRADE IN'!$F470))</f>
        <v>6949</v>
      </c>
      <c r="W470" s="56">
        <f>IF(VLOOKUP($C470,REV!$C:$AA,21,0)-'TRADE IN'!$F470=0,"",(VLOOKUP($C470,REV!$C:$AA,21,0)-'TRADE IN'!$F470))</f>
        <v>6949</v>
      </c>
      <c r="X470" s="56">
        <f>IF(VLOOKUP($C470,REV!$C:$AA,22,0)-'TRADE IN'!$F470=0,"",(VLOOKUP($C470,REV!$C:$AA,22,0)-'TRADE IN'!$F470))</f>
        <v>6849</v>
      </c>
      <c r="Y470" s="56">
        <f>IF(VLOOKUP($C470,REV!$C:$AA,23,0)-'TRADE IN'!$F470=0,"",(VLOOKUP($C470,REV!$C:$AA,23,0)-'TRADE IN'!$F470))</f>
        <v>5349</v>
      </c>
      <c r="Z470" s="56">
        <f>IF(VLOOKUP($C470,REV!$C:$AA,24,0)-'TRADE IN'!$F470=0,"",(VLOOKUP($C470,REV!$C:$AA,24,0)-'TRADE IN'!$F470))</f>
        <v>5349</v>
      </c>
      <c r="AA470" s="56">
        <f>IF(VLOOKUP($C470,REV!$C:$AA,25,0)-'TRADE IN'!$F470=0,"",(VLOOKUP($C470,REV!$C:$AA,25,0)-'TRADE IN'!$F470))</f>
        <v>5149</v>
      </c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  <c r="AV470" s="57"/>
      <c r="AW470" s="58" t="str">
        <f>REV!AW470</f>
        <v>03.11.2026</v>
      </c>
      <c r="AX470" s="147" t="str">
        <f>VLOOKUP(C470,REV!C:AX,48,0)</f>
        <v>5G</v>
      </c>
    </row>
    <row r="471" spans="1:50" ht="22.5" customHeight="1">
      <c r="A471" s="51" t="s">
        <v>63</v>
      </c>
      <c r="B471" s="52" t="s">
        <v>64</v>
      </c>
      <c r="C471" s="53">
        <v>4017723</v>
      </c>
      <c r="D471" s="65" t="s">
        <v>674</v>
      </c>
      <c r="E471" s="65" t="s">
        <v>677</v>
      </c>
      <c r="F471" s="55">
        <v>1850</v>
      </c>
      <c r="G471" s="55"/>
      <c r="H471" s="55"/>
      <c r="I471" s="55"/>
      <c r="J471" s="56">
        <f>IF(VLOOKUP($C471,REV!$C:$AA,8,0)-'TRADE IN'!$F471=0,"",(VLOOKUP($C471,REV!$C:$AA,8,0)-'TRADE IN'!$F471))</f>
        <v>7649</v>
      </c>
      <c r="K471" s="56">
        <f>IF(VLOOKUP($C471,REV!$C:$AA,9,0)-'TRADE IN'!$F471=0,"",(VLOOKUP($C471,REV!$C:$AA,9,0)-'TRADE IN'!$F471))</f>
        <v>7649</v>
      </c>
      <c r="L471" s="56">
        <f>IF(VLOOKUP($C471,REV!$C:$AA,10,0)-'TRADE IN'!$F471=0,"",(VLOOKUP($C471,REV!$C:$AA,10,0)-'TRADE IN'!$F471))</f>
        <v>7649</v>
      </c>
      <c r="M471" s="56">
        <f>IF(VLOOKUP($C471,REV!$C:$AA,11,0)-'TRADE IN'!$F471=0,"",(VLOOKUP($C471,REV!$C:$AA,11,0)-'TRADE IN'!$F471))</f>
        <v>7649</v>
      </c>
      <c r="N471" s="56">
        <f>IF(VLOOKUP($C471,REV!$C:$AA,12,0)-'TRADE IN'!$F471=0,"",(VLOOKUP($C471,REV!$C:$AA,12,0)-'TRADE IN'!$F471))</f>
        <v>7649</v>
      </c>
      <c r="O471" s="56">
        <f>IF(VLOOKUP($C471,REV!$C:$AA,13,0)-'TRADE IN'!$F471=0,"",(VLOOKUP($C471,REV!$C:$AA,13,0)-'TRADE IN'!$F471))</f>
        <v>7549</v>
      </c>
      <c r="P471" s="56">
        <f>IF(VLOOKUP($C471,REV!$C:$AA,14,0)-'TRADE IN'!$F471=0,"",(VLOOKUP($C471,REV!$C:$AA,14,0)-'TRADE IN'!$F471))</f>
        <v>7449</v>
      </c>
      <c r="Q471" s="56">
        <f>IF(VLOOKUP($C471,REV!$C:$AA,15,0)-'TRADE IN'!$F471=0,"",(VLOOKUP($C471,REV!$C:$AA,15,0)-'TRADE IN'!$F471))</f>
        <v>6949</v>
      </c>
      <c r="R471" s="56">
        <f>IF(VLOOKUP($C471,REV!$C:$AA,16,0)-'TRADE IN'!$F471=0,"",(VLOOKUP($C471,REV!$C:$AA,16,0)-'TRADE IN'!$F471))</f>
        <v>7549</v>
      </c>
      <c r="S471" s="56">
        <f>IF(VLOOKUP($C471,REV!$C:$AA,17,0)-'TRADE IN'!$F471=0,"",(VLOOKUP($C471,REV!$C:$AA,17,0)-'TRADE IN'!$F471))</f>
        <v>7449</v>
      </c>
      <c r="T471" s="56">
        <f>IF(VLOOKUP($C471,REV!$C:$AA,18,0)-'TRADE IN'!$F471=0,"",(VLOOKUP($C471,REV!$C:$AA,18,0)-'TRADE IN'!$F471))</f>
        <v>6949</v>
      </c>
      <c r="U471" s="56">
        <f>IF(VLOOKUP($C471,REV!$C:$AA,19,0)-'TRADE IN'!$F471=0,"",(VLOOKUP($C471,REV!$C:$AA,19,0)-'TRADE IN'!$F471))</f>
        <v>6949</v>
      </c>
      <c r="V471" s="56">
        <f>IF(VLOOKUP($C471,REV!$C:$AA,20,0)-'TRADE IN'!$F471=0,"",(VLOOKUP($C471,REV!$C:$AA,20,0)-'TRADE IN'!$F471))</f>
        <v>6949</v>
      </c>
      <c r="W471" s="56">
        <f>IF(VLOOKUP($C471,REV!$C:$AA,21,0)-'TRADE IN'!$F471=0,"",(VLOOKUP($C471,REV!$C:$AA,21,0)-'TRADE IN'!$F471))</f>
        <v>6949</v>
      </c>
      <c r="X471" s="56">
        <f>IF(VLOOKUP($C471,REV!$C:$AA,22,0)-'TRADE IN'!$F471=0,"",(VLOOKUP($C471,REV!$C:$AA,22,0)-'TRADE IN'!$F471))</f>
        <v>6849</v>
      </c>
      <c r="Y471" s="56">
        <f>IF(VLOOKUP($C471,REV!$C:$AA,23,0)-'TRADE IN'!$F471=0,"",(VLOOKUP($C471,REV!$C:$AA,23,0)-'TRADE IN'!$F471))</f>
        <v>5349</v>
      </c>
      <c r="Z471" s="56">
        <f>IF(VLOOKUP($C471,REV!$C:$AA,24,0)-'TRADE IN'!$F471=0,"",(VLOOKUP($C471,REV!$C:$AA,24,0)-'TRADE IN'!$F471))</f>
        <v>5349</v>
      </c>
      <c r="AA471" s="56">
        <f>IF(VLOOKUP($C471,REV!$C:$AA,25,0)-'TRADE IN'!$F471=0,"",(VLOOKUP($C471,REV!$C:$AA,25,0)-'TRADE IN'!$F471))</f>
        <v>5149</v>
      </c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  <c r="AV471" s="57"/>
      <c r="AW471" s="58" t="str">
        <f>REV!AW471</f>
        <v>03.11.2026</v>
      </c>
      <c r="AX471" s="147" t="str">
        <f>VLOOKUP(C471,REV!C:AX,48,0)</f>
        <v>5G</v>
      </c>
    </row>
    <row r="472" spans="1:50" ht="22.5" customHeight="1">
      <c r="A472" s="51" t="s">
        <v>63</v>
      </c>
      <c r="B472" s="52" t="s">
        <v>64</v>
      </c>
      <c r="C472" s="53">
        <v>4017726</v>
      </c>
      <c r="D472" s="65" t="s">
        <v>674</v>
      </c>
      <c r="E472" s="65" t="s">
        <v>678</v>
      </c>
      <c r="F472" s="55">
        <v>1850</v>
      </c>
      <c r="G472" s="55"/>
      <c r="H472" s="55"/>
      <c r="I472" s="55"/>
      <c r="J472" s="56">
        <f>IF(VLOOKUP($C472,REV!$C:$AA,8,0)-'TRADE IN'!$F472=0,"",(VLOOKUP($C472,REV!$C:$AA,8,0)-'TRADE IN'!$F472))</f>
        <v>7649</v>
      </c>
      <c r="K472" s="56">
        <f>IF(VLOOKUP($C472,REV!$C:$AA,9,0)-'TRADE IN'!$F472=0,"",(VLOOKUP($C472,REV!$C:$AA,9,0)-'TRADE IN'!$F472))</f>
        <v>7649</v>
      </c>
      <c r="L472" s="56">
        <f>IF(VLOOKUP($C472,REV!$C:$AA,10,0)-'TRADE IN'!$F472=0,"",(VLOOKUP($C472,REV!$C:$AA,10,0)-'TRADE IN'!$F472))</f>
        <v>7649</v>
      </c>
      <c r="M472" s="56">
        <f>IF(VLOOKUP($C472,REV!$C:$AA,11,0)-'TRADE IN'!$F472=0,"",(VLOOKUP($C472,REV!$C:$AA,11,0)-'TRADE IN'!$F472))</f>
        <v>7649</v>
      </c>
      <c r="N472" s="56">
        <f>IF(VLOOKUP($C472,REV!$C:$AA,12,0)-'TRADE IN'!$F472=0,"",(VLOOKUP($C472,REV!$C:$AA,12,0)-'TRADE IN'!$F472))</f>
        <v>7649</v>
      </c>
      <c r="O472" s="56">
        <f>IF(VLOOKUP($C472,REV!$C:$AA,13,0)-'TRADE IN'!$F472=0,"",(VLOOKUP($C472,REV!$C:$AA,13,0)-'TRADE IN'!$F472))</f>
        <v>7549</v>
      </c>
      <c r="P472" s="56">
        <f>IF(VLOOKUP($C472,REV!$C:$AA,14,0)-'TRADE IN'!$F472=0,"",(VLOOKUP($C472,REV!$C:$AA,14,0)-'TRADE IN'!$F472))</f>
        <v>7449</v>
      </c>
      <c r="Q472" s="56">
        <f>IF(VLOOKUP($C472,REV!$C:$AA,15,0)-'TRADE IN'!$F472=0,"",(VLOOKUP($C472,REV!$C:$AA,15,0)-'TRADE IN'!$F472))</f>
        <v>6949</v>
      </c>
      <c r="R472" s="56">
        <f>IF(VLOOKUP($C472,REV!$C:$AA,16,0)-'TRADE IN'!$F472=0,"",(VLOOKUP($C472,REV!$C:$AA,16,0)-'TRADE IN'!$F472))</f>
        <v>7549</v>
      </c>
      <c r="S472" s="56">
        <f>IF(VLOOKUP($C472,REV!$C:$AA,17,0)-'TRADE IN'!$F472=0,"",(VLOOKUP($C472,REV!$C:$AA,17,0)-'TRADE IN'!$F472))</f>
        <v>7449</v>
      </c>
      <c r="T472" s="56">
        <f>IF(VLOOKUP($C472,REV!$C:$AA,18,0)-'TRADE IN'!$F472=0,"",(VLOOKUP($C472,REV!$C:$AA,18,0)-'TRADE IN'!$F472))</f>
        <v>6949</v>
      </c>
      <c r="U472" s="56">
        <f>IF(VLOOKUP($C472,REV!$C:$AA,19,0)-'TRADE IN'!$F472=0,"",(VLOOKUP($C472,REV!$C:$AA,19,0)-'TRADE IN'!$F472))</f>
        <v>6949</v>
      </c>
      <c r="V472" s="56">
        <f>IF(VLOOKUP($C472,REV!$C:$AA,20,0)-'TRADE IN'!$F472=0,"",(VLOOKUP($C472,REV!$C:$AA,20,0)-'TRADE IN'!$F472))</f>
        <v>6949</v>
      </c>
      <c r="W472" s="56">
        <f>IF(VLOOKUP($C472,REV!$C:$AA,21,0)-'TRADE IN'!$F472=0,"",(VLOOKUP($C472,REV!$C:$AA,21,0)-'TRADE IN'!$F472))</f>
        <v>6949</v>
      </c>
      <c r="X472" s="56">
        <f>IF(VLOOKUP($C472,REV!$C:$AA,22,0)-'TRADE IN'!$F472=0,"",(VLOOKUP($C472,REV!$C:$AA,22,0)-'TRADE IN'!$F472))</f>
        <v>6849</v>
      </c>
      <c r="Y472" s="56">
        <f>IF(VLOOKUP($C472,REV!$C:$AA,23,0)-'TRADE IN'!$F472=0,"",(VLOOKUP($C472,REV!$C:$AA,23,0)-'TRADE IN'!$F472))</f>
        <v>5349</v>
      </c>
      <c r="Z472" s="56">
        <f>IF(VLOOKUP($C472,REV!$C:$AA,24,0)-'TRADE IN'!$F472=0,"",(VLOOKUP($C472,REV!$C:$AA,24,0)-'TRADE IN'!$F472))</f>
        <v>5349</v>
      </c>
      <c r="AA472" s="56">
        <f>IF(VLOOKUP($C472,REV!$C:$AA,25,0)-'TRADE IN'!$F472=0,"",(VLOOKUP($C472,REV!$C:$AA,25,0)-'TRADE IN'!$F472))</f>
        <v>5149</v>
      </c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  <c r="AV472" s="57"/>
      <c r="AW472" s="58" t="str">
        <f>REV!AW472</f>
        <v>03.11.2026</v>
      </c>
      <c r="AX472" s="147" t="str">
        <f>VLOOKUP(C472,REV!C:AX,48,0)</f>
        <v>5G</v>
      </c>
    </row>
    <row r="473" spans="1:50" ht="22.5" customHeight="1">
      <c r="A473" s="51" t="s">
        <v>63</v>
      </c>
      <c r="B473" s="52" t="s">
        <v>64</v>
      </c>
      <c r="C473" s="53">
        <v>4017730</v>
      </c>
      <c r="D473" s="65" t="s">
        <v>674</v>
      </c>
      <c r="E473" s="65" t="s">
        <v>679</v>
      </c>
      <c r="F473" s="55">
        <v>1850</v>
      </c>
      <c r="G473" s="55"/>
      <c r="H473" s="55"/>
      <c r="I473" s="55"/>
      <c r="J473" s="56">
        <f>IF(VLOOKUP($C473,REV!$C:$AA,8,0)-'TRADE IN'!$F473=0,"",(VLOOKUP($C473,REV!$C:$AA,8,0)-'TRADE IN'!$F473))</f>
        <v>7649</v>
      </c>
      <c r="K473" s="56">
        <f>IF(VLOOKUP($C473,REV!$C:$AA,9,0)-'TRADE IN'!$F473=0,"",(VLOOKUP($C473,REV!$C:$AA,9,0)-'TRADE IN'!$F473))</f>
        <v>7649</v>
      </c>
      <c r="L473" s="56">
        <f>IF(VLOOKUP($C473,REV!$C:$AA,10,0)-'TRADE IN'!$F473=0,"",(VLOOKUP($C473,REV!$C:$AA,10,0)-'TRADE IN'!$F473))</f>
        <v>7649</v>
      </c>
      <c r="M473" s="56">
        <f>IF(VLOOKUP($C473,REV!$C:$AA,11,0)-'TRADE IN'!$F473=0,"",(VLOOKUP($C473,REV!$C:$AA,11,0)-'TRADE IN'!$F473))</f>
        <v>7649</v>
      </c>
      <c r="N473" s="56">
        <f>IF(VLOOKUP($C473,REV!$C:$AA,12,0)-'TRADE IN'!$F473=0,"",(VLOOKUP($C473,REV!$C:$AA,12,0)-'TRADE IN'!$F473))</f>
        <v>7649</v>
      </c>
      <c r="O473" s="56">
        <f>IF(VLOOKUP($C473,REV!$C:$AA,13,0)-'TRADE IN'!$F473=0,"",(VLOOKUP($C473,REV!$C:$AA,13,0)-'TRADE IN'!$F473))</f>
        <v>7549</v>
      </c>
      <c r="P473" s="56">
        <f>IF(VLOOKUP($C473,REV!$C:$AA,14,0)-'TRADE IN'!$F473=0,"",(VLOOKUP($C473,REV!$C:$AA,14,0)-'TRADE IN'!$F473))</f>
        <v>7449</v>
      </c>
      <c r="Q473" s="56">
        <f>IF(VLOOKUP($C473,REV!$C:$AA,15,0)-'TRADE IN'!$F473=0,"",(VLOOKUP($C473,REV!$C:$AA,15,0)-'TRADE IN'!$F473))</f>
        <v>6949</v>
      </c>
      <c r="R473" s="56">
        <f>IF(VLOOKUP($C473,REV!$C:$AA,16,0)-'TRADE IN'!$F473=0,"",(VLOOKUP($C473,REV!$C:$AA,16,0)-'TRADE IN'!$F473))</f>
        <v>7549</v>
      </c>
      <c r="S473" s="56">
        <f>IF(VLOOKUP($C473,REV!$C:$AA,17,0)-'TRADE IN'!$F473=0,"",(VLOOKUP($C473,REV!$C:$AA,17,0)-'TRADE IN'!$F473))</f>
        <v>7449</v>
      </c>
      <c r="T473" s="56">
        <f>IF(VLOOKUP($C473,REV!$C:$AA,18,0)-'TRADE IN'!$F473=0,"",(VLOOKUP($C473,REV!$C:$AA,18,0)-'TRADE IN'!$F473))</f>
        <v>6949</v>
      </c>
      <c r="U473" s="56">
        <f>IF(VLOOKUP($C473,REV!$C:$AA,19,0)-'TRADE IN'!$F473=0,"",(VLOOKUP($C473,REV!$C:$AA,19,0)-'TRADE IN'!$F473))</f>
        <v>6949</v>
      </c>
      <c r="V473" s="56">
        <f>IF(VLOOKUP($C473,REV!$C:$AA,20,0)-'TRADE IN'!$F473=0,"",(VLOOKUP($C473,REV!$C:$AA,20,0)-'TRADE IN'!$F473))</f>
        <v>6949</v>
      </c>
      <c r="W473" s="56">
        <f>IF(VLOOKUP($C473,REV!$C:$AA,21,0)-'TRADE IN'!$F473=0,"",(VLOOKUP($C473,REV!$C:$AA,21,0)-'TRADE IN'!$F473))</f>
        <v>6949</v>
      </c>
      <c r="X473" s="56">
        <f>IF(VLOOKUP($C473,REV!$C:$AA,22,0)-'TRADE IN'!$F473=0,"",(VLOOKUP($C473,REV!$C:$AA,22,0)-'TRADE IN'!$F473))</f>
        <v>6849</v>
      </c>
      <c r="Y473" s="56">
        <f>IF(VLOOKUP($C473,REV!$C:$AA,23,0)-'TRADE IN'!$F473=0,"",(VLOOKUP($C473,REV!$C:$AA,23,0)-'TRADE IN'!$F473))</f>
        <v>5349</v>
      </c>
      <c r="Z473" s="56">
        <f>IF(VLOOKUP($C473,REV!$C:$AA,24,0)-'TRADE IN'!$F473=0,"",(VLOOKUP($C473,REV!$C:$AA,24,0)-'TRADE IN'!$F473))</f>
        <v>5349</v>
      </c>
      <c r="AA473" s="56">
        <f>IF(VLOOKUP($C473,REV!$C:$AA,25,0)-'TRADE IN'!$F473=0,"",(VLOOKUP($C473,REV!$C:$AA,25,0)-'TRADE IN'!$F473))</f>
        <v>5149</v>
      </c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7"/>
      <c r="AW473" s="58" t="str">
        <f>REV!AW473</f>
        <v>03.11.2026</v>
      </c>
      <c r="AX473" s="147" t="str">
        <f>VLOOKUP(C473,REV!C:AX,48,0)</f>
        <v>5G</v>
      </c>
    </row>
    <row r="474" spans="1:50" ht="22.5" customHeight="1">
      <c r="A474" s="51" t="s">
        <v>63</v>
      </c>
      <c r="B474" s="52" t="s">
        <v>64</v>
      </c>
      <c r="C474" s="53">
        <v>4017732</v>
      </c>
      <c r="D474" s="65" t="s">
        <v>674</v>
      </c>
      <c r="E474" s="65" t="s">
        <v>680</v>
      </c>
      <c r="F474" s="55">
        <v>1850</v>
      </c>
      <c r="G474" s="55"/>
      <c r="H474" s="55"/>
      <c r="I474" s="55"/>
      <c r="J474" s="56">
        <f>IF(VLOOKUP($C474,REV!$C:$AA,8,0)-'TRADE IN'!$F474=0,"",(VLOOKUP($C474,REV!$C:$AA,8,0)-'TRADE IN'!$F474))</f>
        <v>7649</v>
      </c>
      <c r="K474" s="56">
        <f>IF(VLOOKUP($C474,REV!$C:$AA,9,0)-'TRADE IN'!$F474=0,"",(VLOOKUP($C474,REV!$C:$AA,9,0)-'TRADE IN'!$F474))</f>
        <v>7649</v>
      </c>
      <c r="L474" s="56">
        <f>IF(VLOOKUP($C474,REV!$C:$AA,10,0)-'TRADE IN'!$F474=0,"",(VLOOKUP($C474,REV!$C:$AA,10,0)-'TRADE IN'!$F474))</f>
        <v>7649</v>
      </c>
      <c r="M474" s="56">
        <f>IF(VLOOKUP($C474,REV!$C:$AA,11,0)-'TRADE IN'!$F474=0,"",(VLOOKUP($C474,REV!$C:$AA,11,0)-'TRADE IN'!$F474))</f>
        <v>7649</v>
      </c>
      <c r="N474" s="56">
        <f>IF(VLOOKUP($C474,REV!$C:$AA,12,0)-'TRADE IN'!$F474=0,"",(VLOOKUP($C474,REV!$C:$AA,12,0)-'TRADE IN'!$F474))</f>
        <v>7649</v>
      </c>
      <c r="O474" s="56">
        <f>IF(VLOOKUP($C474,REV!$C:$AA,13,0)-'TRADE IN'!$F474=0,"",(VLOOKUP($C474,REV!$C:$AA,13,0)-'TRADE IN'!$F474))</f>
        <v>7549</v>
      </c>
      <c r="P474" s="56">
        <f>IF(VLOOKUP($C474,REV!$C:$AA,14,0)-'TRADE IN'!$F474=0,"",(VLOOKUP($C474,REV!$C:$AA,14,0)-'TRADE IN'!$F474))</f>
        <v>7449</v>
      </c>
      <c r="Q474" s="56">
        <f>IF(VLOOKUP($C474,REV!$C:$AA,15,0)-'TRADE IN'!$F474=0,"",(VLOOKUP($C474,REV!$C:$AA,15,0)-'TRADE IN'!$F474))</f>
        <v>6949</v>
      </c>
      <c r="R474" s="56">
        <f>IF(VLOOKUP($C474,REV!$C:$AA,16,0)-'TRADE IN'!$F474=0,"",(VLOOKUP($C474,REV!$C:$AA,16,0)-'TRADE IN'!$F474))</f>
        <v>7549</v>
      </c>
      <c r="S474" s="56">
        <f>IF(VLOOKUP($C474,REV!$C:$AA,17,0)-'TRADE IN'!$F474=0,"",(VLOOKUP($C474,REV!$C:$AA,17,0)-'TRADE IN'!$F474))</f>
        <v>7449</v>
      </c>
      <c r="T474" s="56">
        <f>IF(VLOOKUP($C474,REV!$C:$AA,18,0)-'TRADE IN'!$F474=0,"",(VLOOKUP($C474,REV!$C:$AA,18,0)-'TRADE IN'!$F474))</f>
        <v>6949</v>
      </c>
      <c r="U474" s="56">
        <f>IF(VLOOKUP($C474,REV!$C:$AA,19,0)-'TRADE IN'!$F474=0,"",(VLOOKUP($C474,REV!$C:$AA,19,0)-'TRADE IN'!$F474))</f>
        <v>6949</v>
      </c>
      <c r="V474" s="56">
        <f>IF(VLOOKUP($C474,REV!$C:$AA,20,0)-'TRADE IN'!$F474=0,"",(VLOOKUP($C474,REV!$C:$AA,20,0)-'TRADE IN'!$F474))</f>
        <v>6949</v>
      </c>
      <c r="W474" s="56">
        <f>IF(VLOOKUP($C474,REV!$C:$AA,21,0)-'TRADE IN'!$F474=0,"",(VLOOKUP($C474,REV!$C:$AA,21,0)-'TRADE IN'!$F474))</f>
        <v>6949</v>
      </c>
      <c r="X474" s="56">
        <f>IF(VLOOKUP($C474,REV!$C:$AA,22,0)-'TRADE IN'!$F474=0,"",(VLOOKUP($C474,REV!$C:$AA,22,0)-'TRADE IN'!$F474))</f>
        <v>6849</v>
      </c>
      <c r="Y474" s="56">
        <f>IF(VLOOKUP($C474,REV!$C:$AA,23,0)-'TRADE IN'!$F474=0,"",(VLOOKUP($C474,REV!$C:$AA,23,0)-'TRADE IN'!$F474))</f>
        <v>5349</v>
      </c>
      <c r="Z474" s="56">
        <f>IF(VLOOKUP($C474,REV!$C:$AA,24,0)-'TRADE IN'!$F474=0,"",(VLOOKUP($C474,REV!$C:$AA,24,0)-'TRADE IN'!$F474))</f>
        <v>5349</v>
      </c>
      <c r="AA474" s="56">
        <f>IF(VLOOKUP($C474,REV!$C:$AA,25,0)-'TRADE IN'!$F474=0,"",(VLOOKUP($C474,REV!$C:$AA,25,0)-'TRADE IN'!$F474))</f>
        <v>5149</v>
      </c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7"/>
      <c r="AW474" s="58" t="str">
        <f>REV!AW474</f>
        <v>03.11.2026</v>
      </c>
      <c r="AX474" s="147" t="str">
        <f>VLOOKUP(C474,REV!C:AX,48,0)</f>
        <v>5G</v>
      </c>
    </row>
    <row r="475" spans="1:50" ht="22.5" customHeight="1">
      <c r="A475" s="51" t="s">
        <v>63</v>
      </c>
      <c r="B475" s="52" t="s">
        <v>64</v>
      </c>
      <c r="C475" s="53">
        <v>4018263</v>
      </c>
      <c r="D475" s="65" t="s">
        <v>681</v>
      </c>
      <c r="E475" s="65" t="s">
        <v>682</v>
      </c>
      <c r="F475" s="55">
        <v>400</v>
      </c>
      <c r="G475" s="55"/>
      <c r="H475" s="55"/>
      <c r="I475" s="55"/>
      <c r="J475" s="56">
        <f>IF(VLOOKUP($C475,REV!$C:$AA,8,0)-'TRADE IN'!$F475=0,"",(VLOOKUP($C475,REV!$C:$AA,8,0)-'TRADE IN'!$F475))</f>
        <v>4199</v>
      </c>
      <c r="K475" s="56">
        <f>IF(VLOOKUP($C475,REV!$C:$AA,9,0)-'TRADE IN'!$F475=0,"",(VLOOKUP($C475,REV!$C:$AA,9,0)-'TRADE IN'!$F475))</f>
        <v>4199</v>
      </c>
      <c r="L475" s="56">
        <f>IF(VLOOKUP($C475,REV!$C:$AA,10,0)-'TRADE IN'!$F475=0,"",(VLOOKUP($C475,REV!$C:$AA,10,0)-'TRADE IN'!$F475))</f>
        <v>4199</v>
      </c>
      <c r="M475" s="56">
        <f>IF(VLOOKUP($C475,REV!$C:$AA,11,0)-'TRADE IN'!$F475=0,"",(VLOOKUP($C475,REV!$C:$AA,11,0)-'TRADE IN'!$F475))</f>
        <v>4199</v>
      </c>
      <c r="N475" s="56">
        <f>IF(VLOOKUP($C475,REV!$C:$AA,12,0)-'TRADE IN'!$F475=0,"",(VLOOKUP($C475,REV!$C:$AA,12,0)-'TRADE IN'!$F475))</f>
        <v>4199</v>
      </c>
      <c r="O475" s="56">
        <f>IF(VLOOKUP($C475,REV!$C:$AA,13,0)-'TRADE IN'!$F475=0,"",(VLOOKUP($C475,REV!$C:$AA,13,0)-'TRADE IN'!$F475))</f>
        <v>4099</v>
      </c>
      <c r="P475" s="56">
        <f>IF(VLOOKUP($C475,REV!$C:$AA,14,0)-'TRADE IN'!$F475=0,"",(VLOOKUP($C475,REV!$C:$AA,14,0)-'TRADE IN'!$F475))</f>
        <v>3899</v>
      </c>
      <c r="Q475" s="56">
        <f>IF(VLOOKUP($C475,REV!$C:$AA,15,0)-'TRADE IN'!$F475=0,"",(VLOOKUP($C475,REV!$C:$AA,15,0)-'TRADE IN'!$F475))</f>
        <v>3599</v>
      </c>
      <c r="R475" s="56">
        <f>IF(VLOOKUP($C475,REV!$C:$AA,16,0)-'TRADE IN'!$F475=0,"",(VLOOKUP($C475,REV!$C:$AA,16,0)-'TRADE IN'!$F475))</f>
        <v>4099</v>
      </c>
      <c r="S475" s="56">
        <f>IF(VLOOKUP($C475,REV!$C:$AA,17,0)-'TRADE IN'!$F475=0,"",(VLOOKUP($C475,REV!$C:$AA,17,0)-'TRADE IN'!$F475))</f>
        <v>3899</v>
      </c>
      <c r="T475" s="56">
        <f>IF(VLOOKUP($C475,REV!$C:$AA,18,0)-'TRADE IN'!$F475=0,"",(VLOOKUP($C475,REV!$C:$AA,18,0)-'TRADE IN'!$F475))</f>
        <v>3599</v>
      </c>
      <c r="U475" s="56">
        <f>IF(VLOOKUP($C475,REV!$C:$AA,19,0)-'TRADE IN'!$F475=0,"",(VLOOKUP($C475,REV!$C:$AA,19,0)-'TRADE IN'!$F475))</f>
        <v>3599</v>
      </c>
      <c r="V475" s="56">
        <f>IF(VLOOKUP($C475,REV!$C:$AA,20,0)-'TRADE IN'!$F475=0,"",(VLOOKUP($C475,REV!$C:$AA,20,0)-'TRADE IN'!$F475))</f>
        <v>3599</v>
      </c>
      <c r="W475" s="56">
        <f>IF(VLOOKUP($C475,REV!$C:$AA,21,0)-'TRADE IN'!$F475=0,"",(VLOOKUP($C475,REV!$C:$AA,21,0)-'TRADE IN'!$F475))</f>
        <v>3599</v>
      </c>
      <c r="X475" s="56">
        <f>IF(VLOOKUP($C475,REV!$C:$AA,22,0)-'TRADE IN'!$F475=0,"",(VLOOKUP($C475,REV!$C:$AA,22,0)-'TRADE IN'!$F475))</f>
        <v>3499</v>
      </c>
      <c r="Y475" s="56">
        <f>IF(VLOOKUP($C475,REV!$C:$AA,23,0)-'TRADE IN'!$F475=0,"",(VLOOKUP($C475,REV!$C:$AA,23,0)-'TRADE IN'!$F475))</f>
        <v>2599</v>
      </c>
      <c r="Z475" s="56">
        <f>IF(VLOOKUP($C475,REV!$C:$AA,24,0)-'TRADE IN'!$F475=0,"",(VLOOKUP($C475,REV!$C:$AA,24,0)-'TRADE IN'!$F475))</f>
        <v>2599</v>
      </c>
      <c r="AA475" s="56">
        <f>IF(VLOOKUP($C475,REV!$C:$AA,25,0)-'TRADE IN'!$F475=0,"",(VLOOKUP($C475,REV!$C:$AA,25,0)-'TRADE IN'!$F475))</f>
        <v>2499</v>
      </c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  <c r="AS475" s="55"/>
      <c r="AT475" s="55"/>
      <c r="AU475" s="55"/>
      <c r="AV475" s="57"/>
      <c r="AW475" s="58" t="str">
        <f>REV!AW475</f>
        <v>03.11.2026</v>
      </c>
      <c r="AX475" s="147" t="str">
        <f>VLOOKUP(C475,REV!C:AX,48,0)</f>
        <v>5G</v>
      </c>
    </row>
    <row r="476" spans="1:50" ht="22.5" customHeight="1">
      <c r="A476" s="51" t="s">
        <v>63</v>
      </c>
      <c r="B476" s="52" t="s">
        <v>64</v>
      </c>
      <c r="C476" s="53">
        <v>4018256</v>
      </c>
      <c r="D476" s="65" t="s">
        <v>681</v>
      </c>
      <c r="E476" s="65" t="s">
        <v>683</v>
      </c>
      <c r="F476" s="55">
        <v>400</v>
      </c>
      <c r="G476" s="55"/>
      <c r="H476" s="55"/>
      <c r="I476" s="55"/>
      <c r="J476" s="56">
        <f>IF(VLOOKUP($C476,REV!$C:$AA,8,0)-'TRADE IN'!$F476=0,"",(VLOOKUP($C476,REV!$C:$AA,8,0)-'TRADE IN'!$F476))</f>
        <v>4199</v>
      </c>
      <c r="K476" s="56">
        <f>IF(VLOOKUP($C476,REV!$C:$AA,9,0)-'TRADE IN'!$F476=0,"",(VLOOKUP($C476,REV!$C:$AA,9,0)-'TRADE IN'!$F476))</f>
        <v>4199</v>
      </c>
      <c r="L476" s="56">
        <f>IF(VLOOKUP($C476,REV!$C:$AA,10,0)-'TRADE IN'!$F476=0,"",(VLOOKUP($C476,REV!$C:$AA,10,0)-'TRADE IN'!$F476))</f>
        <v>4199</v>
      </c>
      <c r="M476" s="56">
        <f>IF(VLOOKUP($C476,REV!$C:$AA,11,0)-'TRADE IN'!$F476=0,"",(VLOOKUP($C476,REV!$C:$AA,11,0)-'TRADE IN'!$F476))</f>
        <v>4199</v>
      </c>
      <c r="N476" s="56">
        <f>IF(VLOOKUP($C476,REV!$C:$AA,12,0)-'TRADE IN'!$F476=0,"",(VLOOKUP($C476,REV!$C:$AA,12,0)-'TRADE IN'!$F476))</f>
        <v>4199</v>
      </c>
      <c r="O476" s="56">
        <f>IF(VLOOKUP($C476,REV!$C:$AA,13,0)-'TRADE IN'!$F476=0,"",(VLOOKUP($C476,REV!$C:$AA,13,0)-'TRADE IN'!$F476))</f>
        <v>4099</v>
      </c>
      <c r="P476" s="56">
        <f>IF(VLOOKUP($C476,REV!$C:$AA,14,0)-'TRADE IN'!$F476=0,"",(VLOOKUP($C476,REV!$C:$AA,14,0)-'TRADE IN'!$F476))</f>
        <v>3899</v>
      </c>
      <c r="Q476" s="56">
        <f>IF(VLOOKUP($C476,REV!$C:$AA,15,0)-'TRADE IN'!$F476=0,"",(VLOOKUP($C476,REV!$C:$AA,15,0)-'TRADE IN'!$F476))</f>
        <v>3599</v>
      </c>
      <c r="R476" s="56">
        <f>IF(VLOOKUP($C476,REV!$C:$AA,16,0)-'TRADE IN'!$F476=0,"",(VLOOKUP($C476,REV!$C:$AA,16,0)-'TRADE IN'!$F476))</f>
        <v>4099</v>
      </c>
      <c r="S476" s="56">
        <f>IF(VLOOKUP($C476,REV!$C:$AA,17,0)-'TRADE IN'!$F476=0,"",(VLOOKUP($C476,REV!$C:$AA,17,0)-'TRADE IN'!$F476))</f>
        <v>3899</v>
      </c>
      <c r="T476" s="56">
        <f>IF(VLOOKUP($C476,REV!$C:$AA,18,0)-'TRADE IN'!$F476=0,"",(VLOOKUP($C476,REV!$C:$AA,18,0)-'TRADE IN'!$F476))</f>
        <v>3599</v>
      </c>
      <c r="U476" s="56">
        <f>IF(VLOOKUP($C476,REV!$C:$AA,19,0)-'TRADE IN'!$F476=0,"",(VLOOKUP($C476,REV!$C:$AA,19,0)-'TRADE IN'!$F476))</f>
        <v>3599</v>
      </c>
      <c r="V476" s="56">
        <f>IF(VLOOKUP($C476,REV!$C:$AA,20,0)-'TRADE IN'!$F476=0,"",(VLOOKUP($C476,REV!$C:$AA,20,0)-'TRADE IN'!$F476))</f>
        <v>3599</v>
      </c>
      <c r="W476" s="56">
        <f>IF(VLOOKUP($C476,REV!$C:$AA,21,0)-'TRADE IN'!$F476=0,"",(VLOOKUP($C476,REV!$C:$AA,21,0)-'TRADE IN'!$F476))</f>
        <v>3599</v>
      </c>
      <c r="X476" s="56">
        <f>IF(VLOOKUP($C476,REV!$C:$AA,22,0)-'TRADE IN'!$F476=0,"",(VLOOKUP($C476,REV!$C:$AA,22,0)-'TRADE IN'!$F476))</f>
        <v>3499</v>
      </c>
      <c r="Y476" s="56">
        <f>IF(VLOOKUP($C476,REV!$C:$AA,23,0)-'TRADE IN'!$F476=0,"",(VLOOKUP($C476,REV!$C:$AA,23,0)-'TRADE IN'!$F476))</f>
        <v>2599</v>
      </c>
      <c r="Z476" s="56">
        <f>IF(VLOOKUP($C476,REV!$C:$AA,24,0)-'TRADE IN'!$F476=0,"",(VLOOKUP($C476,REV!$C:$AA,24,0)-'TRADE IN'!$F476))</f>
        <v>2599</v>
      </c>
      <c r="AA476" s="56">
        <f>IF(VLOOKUP($C476,REV!$C:$AA,25,0)-'TRADE IN'!$F476=0,"",(VLOOKUP($C476,REV!$C:$AA,25,0)-'TRADE IN'!$F476))</f>
        <v>2499</v>
      </c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  <c r="AS476" s="55"/>
      <c r="AT476" s="55"/>
      <c r="AU476" s="55"/>
      <c r="AV476" s="57"/>
      <c r="AW476" s="58" t="str">
        <f>REV!AW476</f>
        <v>03.11.2026</v>
      </c>
      <c r="AX476" s="147" t="str">
        <f>VLOOKUP(C476,REV!C:AX,48,0)</f>
        <v>5G</v>
      </c>
    </row>
    <row r="477" spans="1:50" ht="22.5" customHeight="1">
      <c r="A477" s="51" t="s">
        <v>63</v>
      </c>
      <c r="B477" s="52" t="s">
        <v>64</v>
      </c>
      <c r="C477" s="53">
        <v>4018264</v>
      </c>
      <c r="D477" s="65" t="s">
        <v>681</v>
      </c>
      <c r="E477" s="65" t="s">
        <v>684</v>
      </c>
      <c r="F477" s="55">
        <v>400</v>
      </c>
      <c r="G477" s="55"/>
      <c r="H477" s="55"/>
      <c r="I477" s="55"/>
      <c r="J477" s="56">
        <f>IF(VLOOKUP($C477,REV!$C:$AA,8,0)-'TRADE IN'!$F477=0,"",(VLOOKUP($C477,REV!$C:$AA,8,0)-'TRADE IN'!$F477))</f>
        <v>4199</v>
      </c>
      <c r="K477" s="56">
        <f>IF(VLOOKUP($C477,REV!$C:$AA,9,0)-'TRADE IN'!$F477=0,"",(VLOOKUP($C477,REV!$C:$AA,9,0)-'TRADE IN'!$F477))</f>
        <v>4199</v>
      </c>
      <c r="L477" s="56">
        <f>IF(VLOOKUP($C477,REV!$C:$AA,10,0)-'TRADE IN'!$F477=0,"",(VLOOKUP($C477,REV!$C:$AA,10,0)-'TRADE IN'!$F477))</f>
        <v>4199</v>
      </c>
      <c r="M477" s="56">
        <f>IF(VLOOKUP($C477,REV!$C:$AA,11,0)-'TRADE IN'!$F477=0,"",(VLOOKUP($C477,REV!$C:$AA,11,0)-'TRADE IN'!$F477))</f>
        <v>4199</v>
      </c>
      <c r="N477" s="56">
        <f>IF(VLOOKUP($C477,REV!$C:$AA,12,0)-'TRADE IN'!$F477=0,"",(VLOOKUP($C477,REV!$C:$AA,12,0)-'TRADE IN'!$F477))</f>
        <v>4199</v>
      </c>
      <c r="O477" s="56">
        <f>IF(VLOOKUP($C477,REV!$C:$AA,13,0)-'TRADE IN'!$F477=0,"",(VLOOKUP($C477,REV!$C:$AA,13,0)-'TRADE IN'!$F477))</f>
        <v>4099</v>
      </c>
      <c r="P477" s="56">
        <f>IF(VLOOKUP($C477,REV!$C:$AA,14,0)-'TRADE IN'!$F477=0,"",(VLOOKUP($C477,REV!$C:$AA,14,0)-'TRADE IN'!$F477))</f>
        <v>3899</v>
      </c>
      <c r="Q477" s="56">
        <f>IF(VLOOKUP($C477,REV!$C:$AA,15,0)-'TRADE IN'!$F477=0,"",(VLOOKUP($C477,REV!$C:$AA,15,0)-'TRADE IN'!$F477))</f>
        <v>3599</v>
      </c>
      <c r="R477" s="56">
        <f>IF(VLOOKUP($C477,REV!$C:$AA,16,0)-'TRADE IN'!$F477=0,"",(VLOOKUP($C477,REV!$C:$AA,16,0)-'TRADE IN'!$F477))</f>
        <v>4099</v>
      </c>
      <c r="S477" s="56">
        <f>IF(VLOOKUP($C477,REV!$C:$AA,17,0)-'TRADE IN'!$F477=0,"",(VLOOKUP($C477,REV!$C:$AA,17,0)-'TRADE IN'!$F477))</f>
        <v>3899</v>
      </c>
      <c r="T477" s="56">
        <f>IF(VLOOKUP($C477,REV!$C:$AA,18,0)-'TRADE IN'!$F477=0,"",(VLOOKUP($C477,REV!$C:$AA,18,0)-'TRADE IN'!$F477))</f>
        <v>3599</v>
      </c>
      <c r="U477" s="56">
        <f>IF(VLOOKUP($C477,REV!$C:$AA,19,0)-'TRADE IN'!$F477=0,"",(VLOOKUP($C477,REV!$C:$AA,19,0)-'TRADE IN'!$F477))</f>
        <v>3599</v>
      </c>
      <c r="V477" s="56">
        <f>IF(VLOOKUP($C477,REV!$C:$AA,20,0)-'TRADE IN'!$F477=0,"",(VLOOKUP($C477,REV!$C:$AA,20,0)-'TRADE IN'!$F477))</f>
        <v>3599</v>
      </c>
      <c r="W477" s="56">
        <f>IF(VLOOKUP($C477,REV!$C:$AA,21,0)-'TRADE IN'!$F477=0,"",(VLOOKUP($C477,REV!$C:$AA,21,0)-'TRADE IN'!$F477))</f>
        <v>3599</v>
      </c>
      <c r="X477" s="56">
        <f>IF(VLOOKUP($C477,REV!$C:$AA,22,0)-'TRADE IN'!$F477=0,"",(VLOOKUP($C477,REV!$C:$AA,22,0)-'TRADE IN'!$F477))</f>
        <v>3499</v>
      </c>
      <c r="Y477" s="56">
        <f>IF(VLOOKUP($C477,REV!$C:$AA,23,0)-'TRADE IN'!$F477=0,"",(VLOOKUP($C477,REV!$C:$AA,23,0)-'TRADE IN'!$F477))</f>
        <v>2599</v>
      </c>
      <c r="Z477" s="56">
        <f>IF(VLOOKUP($C477,REV!$C:$AA,24,0)-'TRADE IN'!$F477=0,"",(VLOOKUP($C477,REV!$C:$AA,24,0)-'TRADE IN'!$F477))</f>
        <v>2599</v>
      </c>
      <c r="AA477" s="56">
        <f>IF(VLOOKUP($C477,REV!$C:$AA,25,0)-'TRADE IN'!$F477=0,"",(VLOOKUP($C477,REV!$C:$AA,25,0)-'TRADE IN'!$F477))</f>
        <v>2499</v>
      </c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AV477" s="57"/>
      <c r="AW477" s="58" t="str">
        <f>REV!AW477</f>
        <v>03.11.2026</v>
      </c>
      <c r="AX477" s="147" t="str">
        <f>VLOOKUP(C477,REV!C:AX,48,0)</f>
        <v>5G</v>
      </c>
    </row>
    <row r="478" spans="1:50" ht="22.5" customHeight="1">
      <c r="A478" s="51" t="s">
        <v>63</v>
      </c>
      <c r="B478" s="52" t="s">
        <v>64</v>
      </c>
      <c r="C478" s="53">
        <v>4018257</v>
      </c>
      <c r="D478" s="65" t="s">
        <v>681</v>
      </c>
      <c r="E478" s="65" t="s">
        <v>685</v>
      </c>
      <c r="F478" s="55">
        <v>400</v>
      </c>
      <c r="G478" s="55"/>
      <c r="H478" s="55"/>
      <c r="I478" s="55"/>
      <c r="J478" s="56">
        <f>IF(VLOOKUP($C478,REV!$C:$AA,8,0)-'TRADE IN'!$F478=0,"",(VLOOKUP($C478,REV!$C:$AA,8,0)-'TRADE IN'!$F478))</f>
        <v>4199</v>
      </c>
      <c r="K478" s="56">
        <f>IF(VLOOKUP($C478,REV!$C:$AA,9,0)-'TRADE IN'!$F478=0,"",(VLOOKUP($C478,REV!$C:$AA,9,0)-'TRADE IN'!$F478))</f>
        <v>4199</v>
      </c>
      <c r="L478" s="56">
        <f>IF(VLOOKUP($C478,REV!$C:$AA,10,0)-'TRADE IN'!$F478=0,"",(VLOOKUP($C478,REV!$C:$AA,10,0)-'TRADE IN'!$F478))</f>
        <v>4199</v>
      </c>
      <c r="M478" s="56">
        <f>IF(VLOOKUP($C478,REV!$C:$AA,11,0)-'TRADE IN'!$F478=0,"",(VLOOKUP($C478,REV!$C:$AA,11,0)-'TRADE IN'!$F478))</f>
        <v>4199</v>
      </c>
      <c r="N478" s="56">
        <f>IF(VLOOKUP($C478,REV!$C:$AA,12,0)-'TRADE IN'!$F478=0,"",(VLOOKUP($C478,REV!$C:$AA,12,0)-'TRADE IN'!$F478))</f>
        <v>4199</v>
      </c>
      <c r="O478" s="56">
        <f>IF(VLOOKUP($C478,REV!$C:$AA,13,0)-'TRADE IN'!$F478=0,"",(VLOOKUP($C478,REV!$C:$AA,13,0)-'TRADE IN'!$F478))</f>
        <v>4099</v>
      </c>
      <c r="P478" s="56">
        <f>IF(VLOOKUP($C478,REV!$C:$AA,14,0)-'TRADE IN'!$F478=0,"",(VLOOKUP($C478,REV!$C:$AA,14,0)-'TRADE IN'!$F478))</f>
        <v>3899</v>
      </c>
      <c r="Q478" s="56">
        <f>IF(VLOOKUP($C478,REV!$C:$AA,15,0)-'TRADE IN'!$F478=0,"",(VLOOKUP($C478,REV!$C:$AA,15,0)-'TRADE IN'!$F478))</f>
        <v>3599</v>
      </c>
      <c r="R478" s="56">
        <f>IF(VLOOKUP($C478,REV!$C:$AA,16,0)-'TRADE IN'!$F478=0,"",(VLOOKUP($C478,REV!$C:$AA,16,0)-'TRADE IN'!$F478))</f>
        <v>4099</v>
      </c>
      <c r="S478" s="56">
        <f>IF(VLOOKUP($C478,REV!$C:$AA,17,0)-'TRADE IN'!$F478=0,"",(VLOOKUP($C478,REV!$C:$AA,17,0)-'TRADE IN'!$F478))</f>
        <v>3899</v>
      </c>
      <c r="T478" s="56">
        <f>IF(VLOOKUP($C478,REV!$C:$AA,18,0)-'TRADE IN'!$F478=0,"",(VLOOKUP($C478,REV!$C:$AA,18,0)-'TRADE IN'!$F478))</f>
        <v>3599</v>
      </c>
      <c r="U478" s="56">
        <f>IF(VLOOKUP($C478,REV!$C:$AA,19,0)-'TRADE IN'!$F478=0,"",(VLOOKUP($C478,REV!$C:$AA,19,0)-'TRADE IN'!$F478))</f>
        <v>3599</v>
      </c>
      <c r="V478" s="56">
        <f>IF(VLOOKUP($C478,REV!$C:$AA,20,0)-'TRADE IN'!$F478=0,"",(VLOOKUP($C478,REV!$C:$AA,20,0)-'TRADE IN'!$F478))</f>
        <v>3599</v>
      </c>
      <c r="W478" s="56">
        <f>IF(VLOOKUP($C478,REV!$C:$AA,21,0)-'TRADE IN'!$F478=0,"",(VLOOKUP($C478,REV!$C:$AA,21,0)-'TRADE IN'!$F478))</f>
        <v>3599</v>
      </c>
      <c r="X478" s="56">
        <f>IF(VLOOKUP($C478,REV!$C:$AA,22,0)-'TRADE IN'!$F478=0,"",(VLOOKUP($C478,REV!$C:$AA,22,0)-'TRADE IN'!$F478))</f>
        <v>3499</v>
      </c>
      <c r="Y478" s="56">
        <f>IF(VLOOKUP($C478,REV!$C:$AA,23,0)-'TRADE IN'!$F478=0,"",(VLOOKUP($C478,REV!$C:$AA,23,0)-'TRADE IN'!$F478))</f>
        <v>2599</v>
      </c>
      <c r="Z478" s="56">
        <f>IF(VLOOKUP($C478,REV!$C:$AA,24,0)-'TRADE IN'!$F478=0,"",(VLOOKUP($C478,REV!$C:$AA,24,0)-'TRADE IN'!$F478))</f>
        <v>2599</v>
      </c>
      <c r="AA478" s="56">
        <f>IF(VLOOKUP($C478,REV!$C:$AA,25,0)-'TRADE IN'!$F478=0,"",(VLOOKUP($C478,REV!$C:$AA,25,0)-'TRADE IN'!$F478))</f>
        <v>2499</v>
      </c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  <c r="AS478" s="55"/>
      <c r="AT478" s="55"/>
      <c r="AU478" s="55"/>
      <c r="AV478" s="57"/>
      <c r="AW478" s="58" t="str">
        <f>REV!AW478</f>
        <v>03.11.2026</v>
      </c>
      <c r="AX478" s="147" t="str">
        <f>VLOOKUP(C478,REV!C:AX,48,0)</f>
        <v>5G</v>
      </c>
    </row>
    <row r="479" spans="1:50" ht="22.5" customHeight="1">
      <c r="A479" s="51" t="s">
        <v>63</v>
      </c>
      <c r="B479" s="52" t="s">
        <v>64</v>
      </c>
      <c r="C479" s="53">
        <v>4016325</v>
      </c>
      <c r="D479" s="65" t="s">
        <v>686</v>
      </c>
      <c r="E479" s="65" t="s">
        <v>687</v>
      </c>
      <c r="F479" s="55"/>
      <c r="G479" s="55"/>
      <c r="H479" s="55"/>
      <c r="I479" s="55"/>
      <c r="J479" s="56">
        <f>IF(VLOOKUP($C479,REV!$C:$AA,8,0)-'TRADE IN'!$F479=0,"",(VLOOKUP($C479,REV!$C:$AA,8,0)-'TRADE IN'!$F479))</f>
        <v>3899</v>
      </c>
      <c r="K479" s="56">
        <f>IF(VLOOKUP($C479,REV!$C:$AA,9,0)-'TRADE IN'!$F479=0,"",(VLOOKUP($C479,REV!$C:$AA,9,0)-'TRADE IN'!$F479))</f>
        <v>3899</v>
      </c>
      <c r="L479" s="56">
        <f>IF(VLOOKUP($C479,REV!$C:$AA,10,0)-'TRADE IN'!$F479=0,"",(VLOOKUP($C479,REV!$C:$AA,10,0)-'TRADE IN'!$F479))</f>
        <v>3899</v>
      </c>
      <c r="M479" s="56">
        <f>IF(VLOOKUP($C479,REV!$C:$AA,11,0)-'TRADE IN'!$F479=0,"",(VLOOKUP($C479,REV!$C:$AA,11,0)-'TRADE IN'!$F479))</f>
        <v>3899</v>
      </c>
      <c r="N479" s="56">
        <f>IF(VLOOKUP($C479,REV!$C:$AA,12,0)-'TRADE IN'!$F479=0,"",(VLOOKUP($C479,REV!$C:$AA,12,0)-'TRADE IN'!$F479))</f>
        <v>3899</v>
      </c>
      <c r="O479" s="56">
        <f>IF(VLOOKUP($C479,REV!$C:$AA,13,0)-'TRADE IN'!$F479=0,"",(VLOOKUP($C479,REV!$C:$AA,13,0)-'TRADE IN'!$F479))</f>
        <v>3799</v>
      </c>
      <c r="P479" s="56">
        <f>IF(VLOOKUP($C479,REV!$C:$AA,14,0)-'TRADE IN'!$F479=0,"",(VLOOKUP($C479,REV!$C:$AA,14,0)-'TRADE IN'!$F479))</f>
        <v>3699</v>
      </c>
      <c r="Q479" s="56">
        <f>IF(VLOOKUP($C479,REV!$C:$AA,15,0)-'TRADE IN'!$F479=0,"",(VLOOKUP($C479,REV!$C:$AA,15,0)-'TRADE IN'!$F479))</f>
        <v>3499</v>
      </c>
      <c r="R479" s="56">
        <f>IF(VLOOKUP($C479,REV!$C:$AA,16,0)-'TRADE IN'!$F479=0,"",(VLOOKUP($C479,REV!$C:$AA,16,0)-'TRADE IN'!$F479))</f>
        <v>3799</v>
      </c>
      <c r="S479" s="56">
        <f>IF(VLOOKUP($C479,REV!$C:$AA,17,0)-'TRADE IN'!$F479=0,"",(VLOOKUP($C479,REV!$C:$AA,17,0)-'TRADE IN'!$F479))</f>
        <v>3699</v>
      </c>
      <c r="T479" s="56">
        <f>IF(VLOOKUP($C479,REV!$C:$AA,18,0)-'TRADE IN'!$F479=0,"",(VLOOKUP($C479,REV!$C:$AA,18,0)-'TRADE IN'!$F479))</f>
        <v>3499</v>
      </c>
      <c r="U479" s="56">
        <f>IF(VLOOKUP($C479,REV!$C:$AA,19,0)-'TRADE IN'!$F479=0,"",(VLOOKUP($C479,REV!$C:$AA,19,0)-'TRADE IN'!$F479))</f>
        <v>3499</v>
      </c>
      <c r="V479" s="56">
        <f>IF(VLOOKUP($C479,REV!$C:$AA,20,0)-'TRADE IN'!$F479=0,"",(VLOOKUP($C479,REV!$C:$AA,20,0)-'TRADE IN'!$F479))</f>
        <v>3499</v>
      </c>
      <c r="W479" s="56">
        <f>IF(VLOOKUP($C479,REV!$C:$AA,21,0)-'TRADE IN'!$F479=0,"",(VLOOKUP($C479,REV!$C:$AA,21,0)-'TRADE IN'!$F479))</f>
        <v>3499</v>
      </c>
      <c r="X479" s="56">
        <f>IF(VLOOKUP($C479,REV!$C:$AA,22,0)-'TRADE IN'!$F479=0,"",(VLOOKUP($C479,REV!$C:$AA,22,0)-'TRADE IN'!$F479))</f>
        <v>3399</v>
      </c>
      <c r="Y479" s="56">
        <f>IF(VLOOKUP($C479,REV!$C:$AA,23,0)-'TRADE IN'!$F479=0,"",(VLOOKUP($C479,REV!$C:$AA,23,0)-'TRADE IN'!$F479))</f>
        <v>2999</v>
      </c>
      <c r="Z479" s="56">
        <f>IF(VLOOKUP($C479,REV!$C:$AA,24,0)-'TRADE IN'!$F479=0,"",(VLOOKUP($C479,REV!$C:$AA,24,0)-'TRADE IN'!$F479))</f>
        <v>2999</v>
      </c>
      <c r="AA479" s="56">
        <f>IF(VLOOKUP($C479,REV!$C:$AA,25,0)-'TRADE IN'!$F479=0,"",(VLOOKUP($C479,REV!$C:$AA,25,0)-'TRADE IN'!$F479))</f>
        <v>2999</v>
      </c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  <c r="AS479" s="55"/>
      <c r="AT479" s="55"/>
      <c r="AU479" s="55"/>
      <c r="AV479" s="57"/>
      <c r="AW479" s="58" t="str">
        <f>REV!AW479</f>
        <v>03.11.2026</v>
      </c>
      <c r="AX479" s="147" t="str">
        <f>VLOOKUP(C479,REV!C:AX,48,0)</f>
        <v>5G</v>
      </c>
    </row>
    <row r="480" spans="1:50" ht="22.5" customHeight="1">
      <c r="A480" s="51" t="s">
        <v>63</v>
      </c>
      <c r="B480" s="52" t="s">
        <v>64</v>
      </c>
      <c r="C480" s="53">
        <v>4016327</v>
      </c>
      <c r="D480" s="65" t="s">
        <v>686</v>
      </c>
      <c r="E480" s="65" t="s">
        <v>688</v>
      </c>
      <c r="F480" s="55"/>
      <c r="G480" s="55"/>
      <c r="H480" s="55"/>
      <c r="I480" s="55"/>
      <c r="J480" s="56">
        <f>IF(VLOOKUP($C480,REV!$C:$AA,8,0)-'TRADE IN'!$F480=0,"",(VLOOKUP($C480,REV!$C:$AA,8,0)-'TRADE IN'!$F480))</f>
        <v>3899</v>
      </c>
      <c r="K480" s="56">
        <f>IF(VLOOKUP($C480,REV!$C:$AA,9,0)-'TRADE IN'!$F480=0,"",(VLOOKUP($C480,REV!$C:$AA,9,0)-'TRADE IN'!$F480))</f>
        <v>3899</v>
      </c>
      <c r="L480" s="56">
        <f>IF(VLOOKUP($C480,REV!$C:$AA,10,0)-'TRADE IN'!$F480=0,"",(VLOOKUP($C480,REV!$C:$AA,10,0)-'TRADE IN'!$F480))</f>
        <v>3899</v>
      </c>
      <c r="M480" s="56">
        <f>IF(VLOOKUP($C480,REV!$C:$AA,11,0)-'TRADE IN'!$F480=0,"",(VLOOKUP($C480,REV!$C:$AA,11,0)-'TRADE IN'!$F480))</f>
        <v>3899</v>
      </c>
      <c r="N480" s="56">
        <f>IF(VLOOKUP($C480,REV!$C:$AA,12,0)-'TRADE IN'!$F480=0,"",(VLOOKUP($C480,REV!$C:$AA,12,0)-'TRADE IN'!$F480))</f>
        <v>3899</v>
      </c>
      <c r="O480" s="56">
        <f>IF(VLOOKUP($C480,REV!$C:$AA,13,0)-'TRADE IN'!$F480=0,"",(VLOOKUP($C480,REV!$C:$AA,13,0)-'TRADE IN'!$F480))</f>
        <v>3799</v>
      </c>
      <c r="P480" s="56">
        <f>IF(VLOOKUP($C480,REV!$C:$AA,14,0)-'TRADE IN'!$F480=0,"",(VLOOKUP($C480,REV!$C:$AA,14,0)-'TRADE IN'!$F480))</f>
        <v>3699</v>
      </c>
      <c r="Q480" s="56">
        <f>IF(VLOOKUP($C480,REV!$C:$AA,15,0)-'TRADE IN'!$F480=0,"",(VLOOKUP($C480,REV!$C:$AA,15,0)-'TRADE IN'!$F480))</f>
        <v>3499</v>
      </c>
      <c r="R480" s="56">
        <f>IF(VLOOKUP($C480,REV!$C:$AA,16,0)-'TRADE IN'!$F480=0,"",(VLOOKUP($C480,REV!$C:$AA,16,0)-'TRADE IN'!$F480))</f>
        <v>3799</v>
      </c>
      <c r="S480" s="56">
        <f>IF(VLOOKUP($C480,REV!$C:$AA,17,0)-'TRADE IN'!$F480=0,"",(VLOOKUP($C480,REV!$C:$AA,17,0)-'TRADE IN'!$F480))</f>
        <v>3699</v>
      </c>
      <c r="T480" s="56">
        <f>IF(VLOOKUP($C480,REV!$C:$AA,18,0)-'TRADE IN'!$F480=0,"",(VLOOKUP($C480,REV!$C:$AA,18,0)-'TRADE IN'!$F480))</f>
        <v>3499</v>
      </c>
      <c r="U480" s="56">
        <f>IF(VLOOKUP($C480,REV!$C:$AA,19,0)-'TRADE IN'!$F480=0,"",(VLOOKUP($C480,REV!$C:$AA,19,0)-'TRADE IN'!$F480))</f>
        <v>3499</v>
      </c>
      <c r="V480" s="56">
        <f>IF(VLOOKUP($C480,REV!$C:$AA,20,0)-'TRADE IN'!$F480=0,"",(VLOOKUP($C480,REV!$C:$AA,20,0)-'TRADE IN'!$F480))</f>
        <v>3499</v>
      </c>
      <c r="W480" s="56">
        <f>IF(VLOOKUP($C480,REV!$C:$AA,21,0)-'TRADE IN'!$F480=0,"",(VLOOKUP($C480,REV!$C:$AA,21,0)-'TRADE IN'!$F480))</f>
        <v>3499</v>
      </c>
      <c r="X480" s="56">
        <f>IF(VLOOKUP($C480,REV!$C:$AA,22,0)-'TRADE IN'!$F480=0,"",(VLOOKUP($C480,REV!$C:$AA,22,0)-'TRADE IN'!$F480))</f>
        <v>3399</v>
      </c>
      <c r="Y480" s="56">
        <f>IF(VLOOKUP($C480,REV!$C:$AA,23,0)-'TRADE IN'!$F480=0,"",(VLOOKUP($C480,REV!$C:$AA,23,0)-'TRADE IN'!$F480))</f>
        <v>2999</v>
      </c>
      <c r="Z480" s="56">
        <f>IF(VLOOKUP($C480,REV!$C:$AA,24,0)-'TRADE IN'!$F480=0,"",(VLOOKUP($C480,REV!$C:$AA,24,0)-'TRADE IN'!$F480))</f>
        <v>2999</v>
      </c>
      <c r="AA480" s="56">
        <f>IF(VLOOKUP($C480,REV!$C:$AA,25,0)-'TRADE IN'!$F480=0,"",(VLOOKUP($C480,REV!$C:$AA,25,0)-'TRADE IN'!$F480))</f>
        <v>2999</v>
      </c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7"/>
      <c r="AW480" s="58" t="str">
        <f>REV!AW480</f>
        <v>03.11.2026</v>
      </c>
      <c r="AX480" s="147" t="str">
        <f>VLOOKUP(C480,REV!C:AX,48,0)</f>
        <v>5G</v>
      </c>
    </row>
    <row r="481" spans="1:50" ht="22.5" customHeight="1">
      <c r="A481" s="51" t="s">
        <v>63</v>
      </c>
      <c r="B481" s="52" t="s">
        <v>64</v>
      </c>
      <c r="C481" s="53">
        <v>4017179</v>
      </c>
      <c r="D481" s="65" t="s">
        <v>689</v>
      </c>
      <c r="E481" s="65" t="s">
        <v>690</v>
      </c>
      <c r="F481" s="55"/>
      <c r="G481" s="55"/>
      <c r="H481" s="55"/>
      <c r="I481" s="55"/>
      <c r="J481" s="56">
        <f>IF(VLOOKUP($C481,REV!$C:$AA,8,0)-'TRADE IN'!$F481=0,"",(VLOOKUP($C481,REV!$C:$AA,8,0)-'TRADE IN'!$F481))</f>
        <v>6699</v>
      </c>
      <c r="K481" s="56">
        <f>IF(VLOOKUP($C481,REV!$C:$AA,9,0)-'TRADE IN'!$F481=0,"",(VLOOKUP($C481,REV!$C:$AA,9,0)-'TRADE IN'!$F481))</f>
        <v>6699</v>
      </c>
      <c r="L481" s="56">
        <f>IF(VLOOKUP($C481,REV!$C:$AA,10,0)-'TRADE IN'!$F481=0,"",(VLOOKUP($C481,REV!$C:$AA,10,0)-'TRADE IN'!$F481))</f>
        <v>6699</v>
      </c>
      <c r="M481" s="56">
        <f>IF(VLOOKUP($C481,REV!$C:$AA,11,0)-'TRADE IN'!$F481=0,"",(VLOOKUP($C481,REV!$C:$AA,11,0)-'TRADE IN'!$F481))</f>
        <v>6699</v>
      </c>
      <c r="N481" s="56">
        <f>IF(VLOOKUP($C481,REV!$C:$AA,12,0)-'TRADE IN'!$F481=0,"",(VLOOKUP($C481,REV!$C:$AA,12,0)-'TRADE IN'!$F481))</f>
        <v>6699</v>
      </c>
      <c r="O481" s="56">
        <f>IF(VLOOKUP($C481,REV!$C:$AA,13,0)-'TRADE IN'!$F481=0,"",(VLOOKUP($C481,REV!$C:$AA,13,0)-'TRADE IN'!$F481))</f>
        <v>6599</v>
      </c>
      <c r="P481" s="56">
        <f>IF(VLOOKUP($C481,REV!$C:$AA,14,0)-'TRADE IN'!$F481=0,"",(VLOOKUP($C481,REV!$C:$AA,14,0)-'TRADE IN'!$F481))</f>
        <v>6499</v>
      </c>
      <c r="Q481" s="56">
        <f>IF(VLOOKUP($C481,REV!$C:$AA,15,0)-'TRADE IN'!$F481=0,"",(VLOOKUP($C481,REV!$C:$AA,15,0)-'TRADE IN'!$F481))</f>
        <v>6199</v>
      </c>
      <c r="R481" s="56">
        <f>IF(VLOOKUP($C481,REV!$C:$AA,16,0)-'TRADE IN'!$F481=0,"",(VLOOKUP($C481,REV!$C:$AA,16,0)-'TRADE IN'!$F481))</f>
        <v>6599</v>
      </c>
      <c r="S481" s="56">
        <f>IF(VLOOKUP($C481,REV!$C:$AA,17,0)-'TRADE IN'!$F481=0,"",(VLOOKUP($C481,REV!$C:$AA,17,0)-'TRADE IN'!$F481))</f>
        <v>6499</v>
      </c>
      <c r="T481" s="56">
        <f>IF(VLOOKUP($C481,REV!$C:$AA,18,0)-'TRADE IN'!$F481=0,"",(VLOOKUP($C481,REV!$C:$AA,18,0)-'TRADE IN'!$F481))</f>
        <v>6199</v>
      </c>
      <c r="U481" s="56">
        <f>IF(VLOOKUP($C481,REV!$C:$AA,19,0)-'TRADE IN'!$F481=0,"",(VLOOKUP($C481,REV!$C:$AA,19,0)-'TRADE IN'!$F481))</f>
        <v>6199</v>
      </c>
      <c r="V481" s="56">
        <f>IF(VLOOKUP($C481,REV!$C:$AA,20,0)-'TRADE IN'!$F481=0,"",(VLOOKUP($C481,REV!$C:$AA,20,0)-'TRADE IN'!$F481))</f>
        <v>6199</v>
      </c>
      <c r="W481" s="56">
        <f>IF(VLOOKUP($C481,REV!$C:$AA,21,0)-'TRADE IN'!$F481=0,"",(VLOOKUP($C481,REV!$C:$AA,21,0)-'TRADE IN'!$F481))</f>
        <v>6199</v>
      </c>
      <c r="X481" s="56">
        <f>IF(VLOOKUP($C481,REV!$C:$AA,22,0)-'TRADE IN'!$F481=0,"",(VLOOKUP($C481,REV!$C:$AA,22,0)-'TRADE IN'!$F481))</f>
        <v>6099</v>
      </c>
      <c r="Y481" s="56">
        <f>IF(VLOOKUP($C481,REV!$C:$AA,23,0)-'TRADE IN'!$F481=0,"",(VLOOKUP($C481,REV!$C:$AA,23,0)-'TRADE IN'!$F481))</f>
        <v>3999</v>
      </c>
      <c r="Z481" s="56">
        <f>IF(VLOOKUP($C481,REV!$C:$AA,24,0)-'TRADE IN'!$F481=0,"",(VLOOKUP($C481,REV!$C:$AA,24,0)-'TRADE IN'!$F481))</f>
        <v>3999</v>
      </c>
      <c r="AA481" s="56">
        <f>IF(VLOOKUP($C481,REV!$C:$AA,25,0)-'TRADE IN'!$F481=0,"",(VLOOKUP($C481,REV!$C:$AA,25,0)-'TRADE IN'!$F481))</f>
        <v>3999</v>
      </c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7"/>
      <c r="AW481" s="58" t="str">
        <f>REV!AW481</f>
        <v>03.11.2026</v>
      </c>
      <c r="AX481" s="147" t="str">
        <f>VLOOKUP(C481,REV!C:AX,48,0)</f>
        <v>5G</v>
      </c>
    </row>
    <row r="482" spans="1:50" ht="22.5" customHeight="1">
      <c r="A482" s="51" t="s">
        <v>63</v>
      </c>
      <c r="B482" s="52" t="s">
        <v>64</v>
      </c>
      <c r="C482" s="53">
        <v>4017187</v>
      </c>
      <c r="D482" s="65" t="s">
        <v>691</v>
      </c>
      <c r="E482" s="65" t="s">
        <v>692</v>
      </c>
      <c r="F482" s="55"/>
      <c r="G482" s="55"/>
      <c r="H482" s="55"/>
      <c r="I482" s="55"/>
      <c r="J482" s="56">
        <f>IF(VLOOKUP($C482,REV!$C:$AA,8,0)-'TRADE IN'!$F482=0,"",(VLOOKUP($C482,REV!$C:$AA,8,0)-'TRADE IN'!$F482))</f>
        <v>6899</v>
      </c>
      <c r="K482" s="56">
        <f>IF(VLOOKUP($C482,REV!$C:$AA,9,0)-'TRADE IN'!$F482=0,"",(VLOOKUP($C482,REV!$C:$AA,9,0)-'TRADE IN'!$F482))</f>
        <v>6899</v>
      </c>
      <c r="L482" s="56">
        <f>IF(VLOOKUP($C482,REV!$C:$AA,10,0)-'TRADE IN'!$F482=0,"",(VLOOKUP($C482,REV!$C:$AA,10,0)-'TRADE IN'!$F482))</f>
        <v>6899</v>
      </c>
      <c r="M482" s="56">
        <f>IF(VLOOKUP($C482,REV!$C:$AA,11,0)-'TRADE IN'!$F482=0,"",(VLOOKUP($C482,REV!$C:$AA,11,0)-'TRADE IN'!$F482))</f>
        <v>6899</v>
      </c>
      <c r="N482" s="56">
        <f>IF(VLOOKUP($C482,REV!$C:$AA,12,0)-'TRADE IN'!$F482=0,"",(VLOOKUP($C482,REV!$C:$AA,12,0)-'TRADE IN'!$F482))</f>
        <v>6899</v>
      </c>
      <c r="O482" s="56">
        <f>IF(VLOOKUP($C482,REV!$C:$AA,13,0)-'TRADE IN'!$F482=0,"",(VLOOKUP($C482,REV!$C:$AA,13,0)-'TRADE IN'!$F482))</f>
        <v>6799</v>
      </c>
      <c r="P482" s="56">
        <f>IF(VLOOKUP($C482,REV!$C:$AA,14,0)-'TRADE IN'!$F482=0,"",(VLOOKUP($C482,REV!$C:$AA,14,0)-'TRADE IN'!$F482))</f>
        <v>6699</v>
      </c>
      <c r="Q482" s="56">
        <f>IF(VLOOKUP($C482,REV!$C:$AA,15,0)-'TRADE IN'!$F482=0,"",(VLOOKUP($C482,REV!$C:$AA,15,0)-'TRADE IN'!$F482))</f>
        <v>6399</v>
      </c>
      <c r="R482" s="56">
        <f>IF(VLOOKUP($C482,REV!$C:$AA,16,0)-'TRADE IN'!$F482=0,"",(VLOOKUP($C482,REV!$C:$AA,16,0)-'TRADE IN'!$F482))</f>
        <v>6799</v>
      </c>
      <c r="S482" s="56">
        <f>IF(VLOOKUP($C482,REV!$C:$AA,17,0)-'TRADE IN'!$F482=0,"",(VLOOKUP($C482,REV!$C:$AA,17,0)-'TRADE IN'!$F482))</f>
        <v>6699</v>
      </c>
      <c r="T482" s="56">
        <f>IF(VLOOKUP($C482,REV!$C:$AA,18,0)-'TRADE IN'!$F482=0,"",(VLOOKUP($C482,REV!$C:$AA,18,0)-'TRADE IN'!$F482))</f>
        <v>6399</v>
      </c>
      <c r="U482" s="56">
        <f>IF(VLOOKUP($C482,REV!$C:$AA,19,0)-'TRADE IN'!$F482=0,"",(VLOOKUP($C482,REV!$C:$AA,19,0)-'TRADE IN'!$F482))</f>
        <v>6399</v>
      </c>
      <c r="V482" s="56">
        <f>IF(VLOOKUP($C482,REV!$C:$AA,20,0)-'TRADE IN'!$F482=0,"",(VLOOKUP($C482,REV!$C:$AA,20,0)-'TRADE IN'!$F482))</f>
        <v>6399</v>
      </c>
      <c r="W482" s="56">
        <f>IF(VLOOKUP($C482,REV!$C:$AA,21,0)-'TRADE IN'!$F482=0,"",(VLOOKUP($C482,REV!$C:$AA,21,0)-'TRADE IN'!$F482))</f>
        <v>6399</v>
      </c>
      <c r="X482" s="56">
        <f>IF(VLOOKUP($C482,REV!$C:$AA,22,0)-'TRADE IN'!$F482=0,"",(VLOOKUP($C482,REV!$C:$AA,22,0)-'TRADE IN'!$F482))</f>
        <v>6299</v>
      </c>
      <c r="Y482" s="56">
        <f>IF(VLOOKUP($C482,REV!$C:$AA,23,0)-'TRADE IN'!$F482=0,"",(VLOOKUP($C482,REV!$C:$AA,23,0)-'TRADE IN'!$F482))</f>
        <v>4699</v>
      </c>
      <c r="Z482" s="56">
        <f>IF(VLOOKUP($C482,REV!$C:$AA,24,0)-'TRADE IN'!$F482=0,"",(VLOOKUP($C482,REV!$C:$AA,24,0)-'TRADE IN'!$F482))</f>
        <v>4699</v>
      </c>
      <c r="AA482" s="56">
        <f>IF(VLOOKUP($C482,REV!$C:$AA,25,0)-'TRADE IN'!$F482=0,"",(VLOOKUP($C482,REV!$C:$AA,25,0)-'TRADE IN'!$F482))</f>
        <v>4649</v>
      </c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AV482" s="57"/>
      <c r="AW482" s="58" t="str">
        <f>REV!AW482</f>
        <v>03.11.2026</v>
      </c>
      <c r="AX482" s="147" t="str">
        <f>VLOOKUP(C482,REV!C:AX,48,0)</f>
        <v>5G</v>
      </c>
    </row>
    <row r="483" spans="1:50" ht="22.5" customHeight="1">
      <c r="A483" s="51" t="s">
        <v>63</v>
      </c>
      <c r="B483" s="52" t="s">
        <v>64</v>
      </c>
      <c r="C483" s="53">
        <v>4017183</v>
      </c>
      <c r="D483" s="65" t="s">
        <v>693</v>
      </c>
      <c r="E483" s="65" t="s">
        <v>694</v>
      </c>
      <c r="F483" s="55">
        <v>500</v>
      </c>
      <c r="G483" s="55"/>
      <c r="H483" s="55"/>
      <c r="I483" s="55"/>
      <c r="J483" s="56">
        <f>IF(VLOOKUP($C483,REV!$C:$AA,8,0)-'TRADE IN'!$F483=0,"",(VLOOKUP($C483,REV!$C:$AA,8,0)-'TRADE IN'!$F483))</f>
        <v>3899</v>
      </c>
      <c r="K483" s="56">
        <f>IF(VLOOKUP($C483,REV!$C:$AA,9,0)-'TRADE IN'!$F483=0,"",(VLOOKUP($C483,REV!$C:$AA,9,0)-'TRADE IN'!$F483))</f>
        <v>3899</v>
      </c>
      <c r="L483" s="56">
        <f>IF(VLOOKUP($C483,REV!$C:$AA,10,0)-'TRADE IN'!$F483=0,"",(VLOOKUP($C483,REV!$C:$AA,10,0)-'TRADE IN'!$F483))</f>
        <v>3899</v>
      </c>
      <c r="M483" s="56">
        <f>IF(VLOOKUP($C483,REV!$C:$AA,11,0)-'TRADE IN'!$F483=0,"",(VLOOKUP($C483,REV!$C:$AA,11,0)-'TRADE IN'!$F483))</f>
        <v>3899</v>
      </c>
      <c r="N483" s="56">
        <f>IF(VLOOKUP($C483,REV!$C:$AA,12,0)-'TRADE IN'!$F483=0,"",(VLOOKUP($C483,REV!$C:$AA,12,0)-'TRADE IN'!$F483))</f>
        <v>3899</v>
      </c>
      <c r="O483" s="56">
        <f>IF(VLOOKUP($C483,REV!$C:$AA,13,0)-'TRADE IN'!$F483=0,"",(VLOOKUP($C483,REV!$C:$AA,13,0)-'TRADE IN'!$F483))</f>
        <v>3799</v>
      </c>
      <c r="P483" s="56">
        <f>IF(VLOOKUP($C483,REV!$C:$AA,14,0)-'TRADE IN'!$F483=0,"",(VLOOKUP($C483,REV!$C:$AA,14,0)-'TRADE IN'!$F483))</f>
        <v>3699</v>
      </c>
      <c r="Q483" s="56">
        <f>IF(VLOOKUP($C483,REV!$C:$AA,15,0)-'TRADE IN'!$F483=0,"",(VLOOKUP($C483,REV!$C:$AA,15,0)-'TRADE IN'!$F483))</f>
        <v>3499</v>
      </c>
      <c r="R483" s="56">
        <f>IF(VLOOKUP($C483,REV!$C:$AA,16,0)-'TRADE IN'!$F483=0,"",(VLOOKUP($C483,REV!$C:$AA,16,0)-'TRADE IN'!$F483))</f>
        <v>3799</v>
      </c>
      <c r="S483" s="56">
        <f>IF(VLOOKUP($C483,REV!$C:$AA,17,0)-'TRADE IN'!$F483=0,"",(VLOOKUP($C483,REV!$C:$AA,17,0)-'TRADE IN'!$F483))</f>
        <v>3699</v>
      </c>
      <c r="T483" s="56">
        <f>IF(VLOOKUP($C483,REV!$C:$AA,18,0)-'TRADE IN'!$F483=0,"",(VLOOKUP($C483,REV!$C:$AA,18,0)-'TRADE IN'!$F483))</f>
        <v>3499</v>
      </c>
      <c r="U483" s="56">
        <f>IF(VLOOKUP($C483,REV!$C:$AA,19,0)-'TRADE IN'!$F483=0,"",(VLOOKUP($C483,REV!$C:$AA,19,0)-'TRADE IN'!$F483))</f>
        <v>3499</v>
      </c>
      <c r="V483" s="56">
        <f>IF(VLOOKUP($C483,REV!$C:$AA,20,0)-'TRADE IN'!$F483=0,"",(VLOOKUP($C483,REV!$C:$AA,20,0)-'TRADE IN'!$F483))</f>
        <v>3499</v>
      </c>
      <c r="W483" s="56">
        <f>IF(VLOOKUP($C483,REV!$C:$AA,21,0)-'TRADE IN'!$F483=0,"",(VLOOKUP($C483,REV!$C:$AA,21,0)-'TRADE IN'!$F483))</f>
        <v>3499</v>
      </c>
      <c r="X483" s="56">
        <f>IF(VLOOKUP($C483,REV!$C:$AA,22,0)-'TRADE IN'!$F483=0,"",(VLOOKUP($C483,REV!$C:$AA,22,0)-'TRADE IN'!$F483))</f>
        <v>3399</v>
      </c>
      <c r="Y483" s="56">
        <f>IF(VLOOKUP($C483,REV!$C:$AA,23,0)-'TRADE IN'!$F483=0,"",(VLOOKUP($C483,REV!$C:$AA,23,0)-'TRADE IN'!$F483))</f>
        <v>1899</v>
      </c>
      <c r="Z483" s="56">
        <f>IF(VLOOKUP($C483,REV!$C:$AA,24,0)-'TRADE IN'!$F483=0,"",(VLOOKUP($C483,REV!$C:$AA,24,0)-'TRADE IN'!$F483))</f>
        <v>1899</v>
      </c>
      <c r="AA483" s="56">
        <f>IF(VLOOKUP($C483,REV!$C:$AA,25,0)-'TRADE IN'!$F483=0,"",(VLOOKUP($C483,REV!$C:$AA,25,0)-'TRADE IN'!$F483))</f>
        <v>1899</v>
      </c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AV483" s="57"/>
      <c r="AW483" s="58" t="str">
        <f>REV!AW483</f>
        <v>03.11.2026</v>
      </c>
      <c r="AX483" s="147" t="str">
        <f>VLOOKUP(C483,REV!C:AX,48,0)</f>
        <v>5G</v>
      </c>
    </row>
    <row r="484" spans="1:50" ht="22.5" customHeight="1">
      <c r="A484" s="51" t="s">
        <v>63</v>
      </c>
      <c r="B484" s="52" t="s">
        <v>64</v>
      </c>
      <c r="C484" s="53">
        <v>4018080</v>
      </c>
      <c r="D484" s="65" t="s">
        <v>695</v>
      </c>
      <c r="E484" s="65" t="s">
        <v>696</v>
      </c>
      <c r="F484" s="55">
        <v>1700</v>
      </c>
      <c r="G484" s="55">
        <v>6899</v>
      </c>
      <c r="H484" s="55">
        <v>7599</v>
      </c>
      <c r="I484" s="55">
        <v>7599</v>
      </c>
      <c r="J484" s="56">
        <f>IF(VLOOKUP($C484,REV!$C:$AA,8,0)-'TRADE IN'!$F484=0,"",(VLOOKUP($C484,REV!$C:$AA,8,0)-'TRADE IN'!$F484))</f>
        <v>5799</v>
      </c>
      <c r="K484" s="56">
        <f>IF(VLOOKUP($C484,REV!$C:$AA,9,0)-'TRADE IN'!$F484=0,"",(VLOOKUP($C484,REV!$C:$AA,9,0)-'TRADE IN'!$F484))</f>
        <v>5799</v>
      </c>
      <c r="L484" s="56">
        <f>IF(VLOOKUP($C484,REV!$C:$AA,10,0)-'TRADE IN'!$F484=0,"",(VLOOKUP($C484,REV!$C:$AA,10,0)-'TRADE IN'!$F484))</f>
        <v>5799</v>
      </c>
      <c r="M484" s="56">
        <f>IF(VLOOKUP($C484,REV!$C:$AA,11,0)-'TRADE IN'!$F484=0,"",(VLOOKUP($C484,REV!$C:$AA,11,0)-'TRADE IN'!$F484))</f>
        <v>5799</v>
      </c>
      <c r="N484" s="56">
        <f>IF(VLOOKUP($C484,REV!$C:$AA,12,0)-'TRADE IN'!$F484=0,"",(VLOOKUP($C484,REV!$C:$AA,12,0)-'TRADE IN'!$F484))</f>
        <v>5799</v>
      </c>
      <c r="O484" s="56">
        <f>IF(VLOOKUP($C484,REV!$C:$AA,13,0)-'TRADE IN'!$F484=0,"",(VLOOKUP($C484,REV!$C:$AA,13,0)-'TRADE IN'!$F484))</f>
        <v>5699</v>
      </c>
      <c r="P484" s="56">
        <f>IF(VLOOKUP($C484,REV!$C:$AA,14,0)-'TRADE IN'!$F484=0,"",(VLOOKUP($C484,REV!$C:$AA,14,0)-'TRADE IN'!$F484))</f>
        <v>5599</v>
      </c>
      <c r="Q484" s="56">
        <f>IF(VLOOKUP($C484,REV!$C:$AA,15,0)-'TRADE IN'!$F484=0,"",(VLOOKUP($C484,REV!$C:$AA,15,0)-'TRADE IN'!$F484))</f>
        <v>5299</v>
      </c>
      <c r="R484" s="56">
        <f>IF(VLOOKUP($C484,REV!$C:$AA,16,0)-'TRADE IN'!$F484=0,"",(VLOOKUP($C484,REV!$C:$AA,16,0)-'TRADE IN'!$F484))</f>
        <v>5699</v>
      </c>
      <c r="S484" s="56">
        <f>IF(VLOOKUP($C484,REV!$C:$AA,17,0)-'TRADE IN'!$F484=0,"",(VLOOKUP($C484,REV!$C:$AA,17,0)-'TRADE IN'!$F484))</f>
        <v>5599</v>
      </c>
      <c r="T484" s="56">
        <f>IF(VLOOKUP($C484,REV!$C:$AA,18,0)-'TRADE IN'!$F484=0,"",(VLOOKUP($C484,REV!$C:$AA,18,0)-'TRADE IN'!$F484))</f>
        <v>5299</v>
      </c>
      <c r="U484" s="56">
        <f>IF(VLOOKUP($C484,REV!$C:$AA,19,0)-'TRADE IN'!$F484=0,"",(VLOOKUP($C484,REV!$C:$AA,19,0)-'TRADE IN'!$F484))</f>
        <v>5299</v>
      </c>
      <c r="V484" s="56">
        <f>IF(VLOOKUP($C484,REV!$C:$AA,20,0)-'TRADE IN'!$F484=0,"",(VLOOKUP($C484,REV!$C:$AA,20,0)-'TRADE IN'!$F484))</f>
        <v>5299</v>
      </c>
      <c r="W484" s="56">
        <f>IF(VLOOKUP($C484,REV!$C:$AA,21,0)-'TRADE IN'!$F484=0,"",(VLOOKUP($C484,REV!$C:$AA,21,0)-'TRADE IN'!$F484))</f>
        <v>5299</v>
      </c>
      <c r="X484" s="56">
        <f>IF(VLOOKUP($C484,REV!$C:$AA,22,0)-'TRADE IN'!$F484=0,"",(VLOOKUP($C484,REV!$C:$AA,22,0)-'TRADE IN'!$F484))</f>
        <v>5199</v>
      </c>
      <c r="Y484" s="56">
        <f>IF(VLOOKUP($C484,REV!$C:$AA,23,0)-'TRADE IN'!$F484=0,"",(VLOOKUP($C484,REV!$C:$AA,23,0)-'TRADE IN'!$F484))</f>
        <v>3499</v>
      </c>
      <c r="Z484" s="56">
        <f>IF(VLOOKUP($C484,REV!$C:$AA,24,0)-'TRADE IN'!$F484=0,"",(VLOOKUP($C484,REV!$C:$AA,24,0)-'TRADE IN'!$F484))</f>
        <v>3499</v>
      </c>
      <c r="AA484" s="56">
        <f>IF(VLOOKUP($C484,REV!$C:$AA,25,0)-'TRADE IN'!$F484=0,"",(VLOOKUP($C484,REV!$C:$AA,25,0)-'TRADE IN'!$F484))</f>
        <v>3299</v>
      </c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  <c r="AV484" s="57"/>
      <c r="AW484" s="58" t="str">
        <f>REV!AW484</f>
        <v>03.11.2026</v>
      </c>
      <c r="AX484" s="147" t="str">
        <f>VLOOKUP(C484,REV!C:AX,48,0)</f>
        <v>5G</v>
      </c>
    </row>
    <row r="485" spans="1:50" ht="22.5" customHeight="1">
      <c r="A485" s="51" t="s">
        <v>63</v>
      </c>
      <c r="B485" s="52" t="s">
        <v>64</v>
      </c>
      <c r="C485" s="53">
        <v>4018086</v>
      </c>
      <c r="D485" s="65" t="s">
        <v>695</v>
      </c>
      <c r="E485" s="65" t="s">
        <v>697</v>
      </c>
      <c r="F485" s="55">
        <v>1700</v>
      </c>
      <c r="G485" s="55">
        <v>6899</v>
      </c>
      <c r="H485" s="55">
        <v>7599</v>
      </c>
      <c r="I485" s="55">
        <v>7599</v>
      </c>
      <c r="J485" s="56">
        <f>IF(VLOOKUP($C485,REV!$C:$AA,8,0)-'TRADE IN'!$F485=0,"",(VLOOKUP($C485,REV!$C:$AA,8,0)-'TRADE IN'!$F485))</f>
        <v>5799</v>
      </c>
      <c r="K485" s="56">
        <f>IF(VLOOKUP($C485,REV!$C:$AA,9,0)-'TRADE IN'!$F485=0,"",(VLOOKUP($C485,REV!$C:$AA,9,0)-'TRADE IN'!$F485))</f>
        <v>5799</v>
      </c>
      <c r="L485" s="56">
        <f>IF(VLOOKUP($C485,REV!$C:$AA,10,0)-'TRADE IN'!$F485=0,"",(VLOOKUP($C485,REV!$C:$AA,10,0)-'TRADE IN'!$F485))</f>
        <v>5799</v>
      </c>
      <c r="M485" s="56">
        <f>IF(VLOOKUP($C485,REV!$C:$AA,11,0)-'TRADE IN'!$F485=0,"",(VLOOKUP($C485,REV!$C:$AA,11,0)-'TRADE IN'!$F485))</f>
        <v>5799</v>
      </c>
      <c r="N485" s="56">
        <f>IF(VLOOKUP($C485,REV!$C:$AA,12,0)-'TRADE IN'!$F485=0,"",(VLOOKUP($C485,REV!$C:$AA,12,0)-'TRADE IN'!$F485))</f>
        <v>5799</v>
      </c>
      <c r="O485" s="56">
        <f>IF(VLOOKUP($C485,REV!$C:$AA,13,0)-'TRADE IN'!$F485=0,"",(VLOOKUP($C485,REV!$C:$AA,13,0)-'TRADE IN'!$F485))</f>
        <v>5699</v>
      </c>
      <c r="P485" s="56">
        <f>IF(VLOOKUP($C485,REV!$C:$AA,14,0)-'TRADE IN'!$F485=0,"",(VLOOKUP($C485,REV!$C:$AA,14,0)-'TRADE IN'!$F485))</f>
        <v>5599</v>
      </c>
      <c r="Q485" s="56">
        <f>IF(VLOOKUP($C485,REV!$C:$AA,15,0)-'TRADE IN'!$F485=0,"",(VLOOKUP($C485,REV!$C:$AA,15,0)-'TRADE IN'!$F485))</f>
        <v>5299</v>
      </c>
      <c r="R485" s="56">
        <f>IF(VLOOKUP($C485,REV!$C:$AA,16,0)-'TRADE IN'!$F485=0,"",(VLOOKUP($C485,REV!$C:$AA,16,0)-'TRADE IN'!$F485))</f>
        <v>5699</v>
      </c>
      <c r="S485" s="56">
        <f>IF(VLOOKUP($C485,REV!$C:$AA,17,0)-'TRADE IN'!$F485=0,"",(VLOOKUP($C485,REV!$C:$AA,17,0)-'TRADE IN'!$F485))</f>
        <v>5599</v>
      </c>
      <c r="T485" s="56">
        <f>IF(VLOOKUP($C485,REV!$C:$AA,18,0)-'TRADE IN'!$F485=0,"",(VLOOKUP($C485,REV!$C:$AA,18,0)-'TRADE IN'!$F485))</f>
        <v>5299</v>
      </c>
      <c r="U485" s="56">
        <f>IF(VLOOKUP($C485,REV!$C:$AA,19,0)-'TRADE IN'!$F485=0,"",(VLOOKUP($C485,REV!$C:$AA,19,0)-'TRADE IN'!$F485))</f>
        <v>5299</v>
      </c>
      <c r="V485" s="56">
        <f>IF(VLOOKUP($C485,REV!$C:$AA,20,0)-'TRADE IN'!$F485=0,"",(VLOOKUP($C485,REV!$C:$AA,20,0)-'TRADE IN'!$F485))</f>
        <v>5299</v>
      </c>
      <c r="W485" s="56">
        <f>IF(VLOOKUP($C485,REV!$C:$AA,21,0)-'TRADE IN'!$F485=0,"",(VLOOKUP($C485,REV!$C:$AA,21,0)-'TRADE IN'!$F485))</f>
        <v>5299</v>
      </c>
      <c r="X485" s="56">
        <f>IF(VLOOKUP($C485,REV!$C:$AA,22,0)-'TRADE IN'!$F485=0,"",(VLOOKUP($C485,REV!$C:$AA,22,0)-'TRADE IN'!$F485))</f>
        <v>5199</v>
      </c>
      <c r="Y485" s="56">
        <f>IF(VLOOKUP($C485,REV!$C:$AA,23,0)-'TRADE IN'!$F485=0,"",(VLOOKUP($C485,REV!$C:$AA,23,0)-'TRADE IN'!$F485))</f>
        <v>3499</v>
      </c>
      <c r="Z485" s="56">
        <f>IF(VLOOKUP($C485,REV!$C:$AA,24,0)-'TRADE IN'!$F485=0,"",(VLOOKUP($C485,REV!$C:$AA,24,0)-'TRADE IN'!$F485))</f>
        <v>3499</v>
      </c>
      <c r="AA485" s="56">
        <f>IF(VLOOKUP($C485,REV!$C:$AA,25,0)-'TRADE IN'!$F485=0,"",(VLOOKUP($C485,REV!$C:$AA,25,0)-'TRADE IN'!$F485))</f>
        <v>3299</v>
      </c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  <c r="AV485" s="57"/>
      <c r="AW485" s="58" t="str">
        <f>REV!AW485</f>
        <v>03.11.2026</v>
      </c>
      <c r="AX485" s="147" t="str">
        <f>VLOOKUP(C485,REV!C:AX,48,0)</f>
        <v>5G</v>
      </c>
    </row>
    <row r="486" spans="1:50" ht="22.5" customHeight="1">
      <c r="A486" s="51" t="s">
        <v>63</v>
      </c>
      <c r="B486" s="52" t="s">
        <v>64</v>
      </c>
      <c r="C486" s="53">
        <v>4018097</v>
      </c>
      <c r="D486" s="65" t="s">
        <v>698</v>
      </c>
      <c r="E486" s="65" t="s">
        <v>699</v>
      </c>
      <c r="F486" s="55">
        <v>1700</v>
      </c>
      <c r="G486" s="55">
        <v>7399</v>
      </c>
      <c r="H486" s="55">
        <v>8199</v>
      </c>
      <c r="I486" s="55">
        <v>8199</v>
      </c>
      <c r="J486" s="56">
        <f>IF(VLOOKUP($C486,REV!$C:$AA,8,0)-'TRADE IN'!$F486=0,"",(VLOOKUP($C486,REV!$C:$AA,8,0)-'TRADE IN'!$F486))</f>
        <v>6299</v>
      </c>
      <c r="K486" s="56">
        <f>IF(VLOOKUP($C486,REV!$C:$AA,9,0)-'TRADE IN'!$F486=0,"",(VLOOKUP($C486,REV!$C:$AA,9,0)-'TRADE IN'!$F486))</f>
        <v>6299</v>
      </c>
      <c r="L486" s="56">
        <f>IF(VLOOKUP($C486,REV!$C:$AA,10,0)-'TRADE IN'!$F486=0,"",(VLOOKUP($C486,REV!$C:$AA,10,0)-'TRADE IN'!$F486))</f>
        <v>6299</v>
      </c>
      <c r="M486" s="56">
        <f>IF(VLOOKUP($C486,REV!$C:$AA,11,0)-'TRADE IN'!$F486=0,"",(VLOOKUP($C486,REV!$C:$AA,11,0)-'TRADE IN'!$F486))</f>
        <v>6299</v>
      </c>
      <c r="N486" s="56">
        <f>IF(VLOOKUP($C486,REV!$C:$AA,12,0)-'TRADE IN'!$F486=0,"",(VLOOKUP($C486,REV!$C:$AA,12,0)-'TRADE IN'!$F486))</f>
        <v>6299</v>
      </c>
      <c r="O486" s="56">
        <f>IF(VLOOKUP($C486,REV!$C:$AA,13,0)-'TRADE IN'!$F486=0,"",(VLOOKUP($C486,REV!$C:$AA,13,0)-'TRADE IN'!$F486))</f>
        <v>6199</v>
      </c>
      <c r="P486" s="56">
        <f>IF(VLOOKUP($C486,REV!$C:$AA,14,0)-'TRADE IN'!$F486=0,"",(VLOOKUP($C486,REV!$C:$AA,14,0)-'TRADE IN'!$F486))</f>
        <v>6099</v>
      </c>
      <c r="Q486" s="56">
        <f>IF(VLOOKUP($C486,REV!$C:$AA,15,0)-'TRADE IN'!$F486=0,"",(VLOOKUP($C486,REV!$C:$AA,15,0)-'TRADE IN'!$F486))</f>
        <v>5799</v>
      </c>
      <c r="R486" s="56">
        <f>IF(VLOOKUP($C486,REV!$C:$AA,16,0)-'TRADE IN'!$F486=0,"",(VLOOKUP($C486,REV!$C:$AA,16,0)-'TRADE IN'!$F486))</f>
        <v>6199</v>
      </c>
      <c r="S486" s="56">
        <f>IF(VLOOKUP($C486,REV!$C:$AA,17,0)-'TRADE IN'!$F486=0,"",(VLOOKUP($C486,REV!$C:$AA,17,0)-'TRADE IN'!$F486))</f>
        <v>6099</v>
      </c>
      <c r="T486" s="56">
        <f>IF(VLOOKUP($C486,REV!$C:$AA,18,0)-'TRADE IN'!$F486=0,"",(VLOOKUP($C486,REV!$C:$AA,18,0)-'TRADE IN'!$F486))</f>
        <v>5799</v>
      </c>
      <c r="U486" s="56">
        <f>IF(VLOOKUP($C486,REV!$C:$AA,19,0)-'TRADE IN'!$F486=0,"",(VLOOKUP($C486,REV!$C:$AA,19,0)-'TRADE IN'!$F486))</f>
        <v>5799</v>
      </c>
      <c r="V486" s="56">
        <f>IF(VLOOKUP($C486,REV!$C:$AA,20,0)-'TRADE IN'!$F486=0,"",(VLOOKUP($C486,REV!$C:$AA,20,0)-'TRADE IN'!$F486))</f>
        <v>5799</v>
      </c>
      <c r="W486" s="56">
        <f>IF(VLOOKUP($C486,REV!$C:$AA,21,0)-'TRADE IN'!$F486=0,"",(VLOOKUP($C486,REV!$C:$AA,21,0)-'TRADE IN'!$F486))</f>
        <v>5799</v>
      </c>
      <c r="X486" s="56">
        <f>IF(VLOOKUP($C486,REV!$C:$AA,22,0)-'TRADE IN'!$F486=0,"",(VLOOKUP($C486,REV!$C:$AA,22,0)-'TRADE IN'!$F486))</f>
        <v>5699</v>
      </c>
      <c r="Y486" s="56">
        <f>IF(VLOOKUP($C486,REV!$C:$AA,23,0)-'TRADE IN'!$F486=0,"",(VLOOKUP($C486,REV!$C:$AA,23,0)-'TRADE IN'!$F486))</f>
        <v>3999</v>
      </c>
      <c r="Z486" s="56">
        <f>IF(VLOOKUP($C486,REV!$C:$AA,24,0)-'TRADE IN'!$F486=0,"",(VLOOKUP($C486,REV!$C:$AA,24,0)-'TRADE IN'!$F486))</f>
        <v>3999</v>
      </c>
      <c r="AA486" s="56">
        <f>IF(VLOOKUP($C486,REV!$C:$AA,25,0)-'TRADE IN'!$F486=0,"",(VLOOKUP($C486,REV!$C:$AA,25,0)-'TRADE IN'!$F486))</f>
        <v>3799</v>
      </c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7"/>
      <c r="AW486" s="58" t="str">
        <f>REV!AW486</f>
        <v>03.11.2026</v>
      </c>
      <c r="AX486" s="147" t="str">
        <f>VLOOKUP(C486,REV!C:AX,48,0)</f>
        <v>5G</v>
      </c>
    </row>
    <row r="487" spans="1:50" ht="22.5" customHeight="1">
      <c r="A487" s="51" t="s">
        <v>63</v>
      </c>
      <c r="B487" s="52" t="s">
        <v>64</v>
      </c>
      <c r="C487" s="53">
        <v>4018101</v>
      </c>
      <c r="D487" s="65" t="s">
        <v>698</v>
      </c>
      <c r="E487" s="65" t="s">
        <v>700</v>
      </c>
      <c r="F487" s="55">
        <v>1700</v>
      </c>
      <c r="G487" s="55">
        <v>7399</v>
      </c>
      <c r="H487" s="55">
        <v>8199</v>
      </c>
      <c r="I487" s="55">
        <v>8199</v>
      </c>
      <c r="J487" s="56">
        <f>IF(VLOOKUP($C487,REV!$C:$AA,8,0)-'TRADE IN'!$F487=0,"",(VLOOKUP($C487,REV!$C:$AA,8,0)-'TRADE IN'!$F487))</f>
        <v>6299</v>
      </c>
      <c r="K487" s="56">
        <f>IF(VLOOKUP($C487,REV!$C:$AA,9,0)-'TRADE IN'!$F487=0,"",(VLOOKUP($C487,REV!$C:$AA,9,0)-'TRADE IN'!$F487))</f>
        <v>6299</v>
      </c>
      <c r="L487" s="56">
        <f>IF(VLOOKUP($C487,REV!$C:$AA,10,0)-'TRADE IN'!$F487=0,"",(VLOOKUP($C487,REV!$C:$AA,10,0)-'TRADE IN'!$F487))</f>
        <v>6299</v>
      </c>
      <c r="M487" s="56">
        <f>IF(VLOOKUP($C487,REV!$C:$AA,11,0)-'TRADE IN'!$F487=0,"",(VLOOKUP($C487,REV!$C:$AA,11,0)-'TRADE IN'!$F487))</f>
        <v>6299</v>
      </c>
      <c r="N487" s="56">
        <f>IF(VLOOKUP($C487,REV!$C:$AA,12,0)-'TRADE IN'!$F487=0,"",(VLOOKUP($C487,REV!$C:$AA,12,0)-'TRADE IN'!$F487))</f>
        <v>6299</v>
      </c>
      <c r="O487" s="56">
        <f>IF(VLOOKUP($C487,REV!$C:$AA,13,0)-'TRADE IN'!$F487=0,"",(VLOOKUP($C487,REV!$C:$AA,13,0)-'TRADE IN'!$F487))</f>
        <v>6199</v>
      </c>
      <c r="P487" s="56">
        <f>IF(VLOOKUP($C487,REV!$C:$AA,14,0)-'TRADE IN'!$F487=0,"",(VLOOKUP($C487,REV!$C:$AA,14,0)-'TRADE IN'!$F487))</f>
        <v>6099</v>
      </c>
      <c r="Q487" s="56">
        <f>IF(VLOOKUP($C487,REV!$C:$AA,15,0)-'TRADE IN'!$F487=0,"",(VLOOKUP($C487,REV!$C:$AA,15,0)-'TRADE IN'!$F487))</f>
        <v>5799</v>
      </c>
      <c r="R487" s="56">
        <f>IF(VLOOKUP($C487,REV!$C:$AA,16,0)-'TRADE IN'!$F487=0,"",(VLOOKUP($C487,REV!$C:$AA,16,0)-'TRADE IN'!$F487))</f>
        <v>6199</v>
      </c>
      <c r="S487" s="56">
        <f>IF(VLOOKUP($C487,REV!$C:$AA,17,0)-'TRADE IN'!$F487=0,"",(VLOOKUP($C487,REV!$C:$AA,17,0)-'TRADE IN'!$F487))</f>
        <v>6099</v>
      </c>
      <c r="T487" s="56">
        <f>IF(VLOOKUP($C487,REV!$C:$AA,18,0)-'TRADE IN'!$F487=0,"",(VLOOKUP($C487,REV!$C:$AA,18,0)-'TRADE IN'!$F487))</f>
        <v>5799</v>
      </c>
      <c r="U487" s="56">
        <f>IF(VLOOKUP($C487,REV!$C:$AA,19,0)-'TRADE IN'!$F487=0,"",(VLOOKUP($C487,REV!$C:$AA,19,0)-'TRADE IN'!$F487))</f>
        <v>5799</v>
      </c>
      <c r="V487" s="56">
        <f>IF(VLOOKUP($C487,REV!$C:$AA,20,0)-'TRADE IN'!$F487=0,"",(VLOOKUP($C487,REV!$C:$AA,20,0)-'TRADE IN'!$F487))</f>
        <v>5799</v>
      </c>
      <c r="W487" s="56">
        <f>IF(VLOOKUP($C487,REV!$C:$AA,21,0)-'TRADE IN'!$F487=0,"",(VLOOKUP($C487,REV!$C:$AA,21,0)-'TRADE IN'!$F487))</f>
        <v>5799</v>
      </c>
      <c r="X487" s="56">
        <f>IF(VLOOKUP($C487,REV!$C:$AA,22,0)-'TRADE IN'!$F487=0,"",(VLOOKUP($C487,REV!$C:$AA,22,0)-'TRADE IN'!$F487))</f>
        <v>5699</v>
      </c>
      <c r="Y487" s="56">
        <f>IF(VLOOKUP($C487,REV!$C:$AA,23,0)-'TRADE IN'!$F487=0,"",(VLOOKUP($C487,REV!$C:$AA,23,0)-'TRADE IN'!$F487))</f>
        <v>3999</v>
      </c>
      <c r="Z487" s="56">
        <f>IF(VLOOKUP($C487,REV!$C:$AA,24,0)-'TRADE IN'!$F487=0,"",(VLOOKUP($C487,REV!$C:$AA,24,0)-'TRADE IN'!$F487))</f>
        <v>3999</v>
      </c>
      <c r="AA487" s="56">
        <f>IF(VLOOKUP($C487,REV!$C:$AA,25,0)-'TRADE IN'!$F487=0,"",(VLOOKUP($C487,REV!$C:$AA,25,0)-'TRADE IN'!$F487))</f>
        <v>3799</v>
      </c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  <c r="AV487" s="57"/>
      <c r="AW487" s="58" t="str">
        <f>REV!AW487</f>
        <v>03.11.2026</v>
      </c>
      <c r="AX487" s="147" t="str">
        <f>VLOOKUP(C487,REV!C:AX,48,0)</f>
        <v>5G</v>
      </c>
    </row>
    <row r="488" spans="1:50" ht="22.5" customHeight="1">
      <c r="A488" s="51" t="s">
        <v>63</v>
      </c>
      <c r="B488" s="52" t="s">
        <v>64</v>
      </c>
      <c r="C488" s="53">
        <v>4016326</v>
      </c>
      <c r="D488" s="65" t="s">
        <v>701</v>
      </c>
      <c r="E488" s="65" t="s">
        <v>702</v>
      </c>
      <c r="F488" s="55"/>
      <c r="G488" s="55"/>
      <c r="H488" s="55"/>
      <c r="I488" s="55"/>
      <c r="J488" s="56">
        <f>IF(VLOOKUP($C488,REV!$C:$AA,8,0)-'TRADE IN'!$F488=0,"",(VLOOKUP($C488,REV!$C:$AA,8,0)-'TRADE IN'!$F488))</f>
        <v>7299</v>
      </c>
      <c r="K488" s="56">
        <f>IF(VLOOKUP($C488,REV!$C:$AA,9,0)-'TRADE IN'!$F488=0,"",(VLOOKUP($C488,REV!$C:$AA,9,0)-'TRADE IN'!$F488))</f>
        <v>7299</v>
      </c>
      <c r="L488" s="56">
        <f>IF(VLOOKUP($C488,REV!$C:$AA,10,0)-'TRADE IN'!$F488=0,"",(VLOOKUP($C488,REV!$C:$AA,10,0)-'TRADE IN'!$F488))</f>
        <v>7299</v>
      </c>
      <c r="M488" s="56">
        <f>IF(VLOOKUP($C488,REV!$C:$AA,11,0)-'TRADE IN'!$F488=0,"",(VLOOKUP($C488,REV!$C:$AA,11,0)-'TRADE IN'!$F488))</f>
        <v>7299</v>
      </c>
      <c r="N488" s="56">
        <f>IF(VLOOKUP($C488,REV!$C:$AA,12,0)-'TRADE IN'!$F488=0,"",(VLOOKUP($C488,REV!$C:$AA,12,0)-'TRADE IN'!$F488))</f>
        <v>7299</v>
      </c>
      <c r="O488" s="56">
        <f>IF(VLOOKUP($C488,REV!$C:$AA,13,0)-'TRADE IN'!$F488=0,"",(VLOOKUP($C488,REV!$C:$AA,13,0)-'TRADE IN'!$F488))</f>
        <v>7199</v>
      </c>
      <c r="P488" s="56">
        <f>IF(VLOOKUP($C488,REV!$C:$AA,14,0)-'TRADE IN'!$F488=0,"",(VLOOKUP($C488,REV!$C:$AA,14,0)-'TRADE IN'!$F488))</f>
        <v>7099</v>
      </c>
      <c r="Q488" s="56">
        <f>IF(VLOOKUP($C488,REV!$C:$AA,15,0)-'TRADE IN'!$F488=0,"",(VLOOKUP($C488,REV!$C:$AA,15,0)-'TRADE IN'!$F488))</f>
        <v>6799</v>
      </c>
      <c r="R488" s="56">
        <f>IF(VLOOKUP($C488,REV!$C:$AA,16,0)-'TRADE IN'!$F488=0,"",(VLOOKUP($C488,REV!$C:$AA,16,0)-'TRADE IN'!$F488))</f>
        <v>7199</v>
      </c>
      <c r="S488" s="56">
        <f>IF(VLOOKUP($C488,REV!$C:$AA,17,0)-'TRADE IN'!$F488=0,"",(VLOOKUP($C488,REV!$C:$AA,17,0)-'TRADE IN'!$F488))</f>
        <v>7099</v>
      </c>
      <c r="T488" s="56">
        <f>IF(VLOOKUP($C488,REV!$C:$AA,18,0)-'TRADE IN'!$F488=0,"",(VLOOKUP($C488,REV!$C:$AA,18,0)-'TRADE IN'!$F488))</f>
        <v>6799</v>
      </c>
      <c r="U488" s="56">
        <f>IF(VLOOKUP($C488,REV!$C:$AA,19,0)-'TRADE IN'!$F488=0,"",(VLOOKUP($C488,REV!$C:$AA,19,0)-'TRADE IN'!$F488))</f>
        <v>6799</v>
      </c>
      <c r="V488" s="56">
        <f>IF(VLOOKUP($C488,REV!$C:$AA,20,0)-'TRADE IN'!$F488=0,"",(VLOOKUP($C488,REV!$C:$AA,20,0)-'TRADE IN'!$F488))</f>
        <v>6799</v>
      </c>
      <c r="W488" s="56">
        <f>IF(VLOOKUP($C488,REV!$C:$AA,21,0)-'TRADE IN'!$F488=0,"",(VLOOKUP($C488,REV!$C:$AA,21,0)-'TRADE IN'!$F488))</f>
        <v>6799</v>
      </c>
      <c r="X488" s="56">
        <f>IF(VLOOKUP($C488,REV!$C:$AA,22,0)-'TRADE IN'!$F488=0,"",(VLOOKUP($C488,REV!$C:$AA,22,0)-'TRADE IN'!$F488))</f>
        <v>6699</v>
      </c>
      <c r="Y488" s="56">
        <f>IF(VLOOKUP($C488,REV!$C:$AA,23,0)-'TRADE IN'!$F488=0,"",(VLOOKUP($C488,REV!$C:$AA,23,0)-'TRADE IN'!$F488))</f>
        <v>4999</v>
      </c>
      <c r="Z488" s="56">
        <f>IF(VLOOKUP($C488,REV!$C:$AA,24,0)-'TRADE IN'!$F488=0,"",(VLOOKUP($C488,REV!$C:$AA,24,0)-'TRADE IN'!$F488))</f>
        <v>4999</v>
      </c>
      <c r="AA488" s="56">
        <f>IF(VLOOKUP($C488,REV!$C:$AA,25,0)-'TRADE IN'!$F488=0,"",(VLOOKUP($C488,REV!$C:$AA,25,0)-'TRADE IN'!$F488))</f>
        <v>4999</v>
      </c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7"/>
      <c r="AW488" s="58" t="str">
        <f>REV!AW488</f>
        <v>03.11.2026</v>
      </c>
      <c r="AX488" s="147" t="str">
        <f>VLOOKUP(C488,REV!C:AX,48,0)</f>
        <v>5G</v>
      </c>
    </row>
    <row r="489" spans="1:50" ht="22.5" customHeight="1">
      <c r="A489" s="51" t="s">
        <v>63</v>
      </c>
      <c r="B489" s="52" t="s">
        <v>64</v>
      </c>
      <c r="C489" s="72">
        <v>4017186</v>
      </c>
      <c r="D489" s="73" t="s">
        <v>703</v>
      </c>
      <c r="E489" s="73" t="s">
        <v>704</v>
      </c>
      <c r="F489" s="56">
        <v>700</v>
      </c>
      <c r="G489" s="150"/>
      <c r="H489" s="150"/>
      <c r="I489" s="150"/>
      <c r="J489" s="56">
        <f>IF(VLOOKUP($C489,REV!$C:$AA,8,0)-'TRADE IN'!$F489=0,"",(VLOOKUP($C489,REV!$C:$AA,8,0)-'TRADE IN'!$F489))</f>
        <v>9099</v>
      </c>
      <c r="K489" s="56">
        <f>IF(VLOOKUP($C489,REV!$C:$AA,9,0)-'TRADE IN'!$F489=0,"",(VLOOKUP($C489,REV!$C:$AA,9,0)-'TRADE IN'!$F489))</f>
        <v>9099</v>
      </c>
      <c r="L489" s="56">
        <f>IF(VLOOKUP($C489,REV!$C:$AA,10,0)-'TRADE IN'!$F489=0,"",(VLOOKUP($C489,REV!$C:$AA,10,0)-'TRADE IN'!$F489))</f>
        <v>9099</v>
      </c>
      <c r="M489" s="56">
        <f>IF(VLOOKUP($C489,REV!$C:$AA,11,0)-'TRADE IN'!$F489=0,"",(VLOOKUP($C489,REV!$C:$AA,11,0)-'TRADE IN'!$F489))</f>
        <v>9099</v>
      </c>
      <c r="N489" s="56">
        <f>IF(VLOOKUP($C489,REV!$C:$AA,12,0)-'TRADE IN'!$F489=0,"",(VLOOKUP($C489,REV!$C:$AA,12,0)-'TRADE IN'!$F489))</f>
        <v>9099</v>
      </c>
      <c r="O489" s="56">
        <f>IF(VLOOKUP($C489,REV!$C:$AA,13,0)-'TRADE IN'!$F489=0,"",(VLOOKUP($C489,REV!$C:$AA,13,0)-'TRADE IN'!$F489))</f>
        <v>9049</v>
      </c>
      <c r="P489" s="56">
        <f>IF(VLOOKUP($C489,REV!$C:$AA,14,0)-'TRADE IN'!$F489=0,"",(VLOOKUP($C489,REV!$C:$AA,14,0)-'TRADE IN'!$F489))</f>
        <v>8999</v>
      </c>
      <c r="Q489" s="56">
        <f>IF(VLOOKUP($C489,REV!$C:$AA,15,0)-'TRADE IN'!$F489=0,"",(VLOOKUP($C489,REV!$C:$AA,15,0)-'TRADE IN'!$F489))</f>
        <v>8799</v>
      </c>
      <c r="R489" s="56">
        <f>IF(VLOOKUP($C489,REV!$C:$AA,16,0)-'TRADE IN'!$F489=0,"",(VLOOKUP($C489,REV!$C:$AA,16,0)-'TRADE IN'!$F489))</f>
        <v>9049</v>
      </c>
      <c r="S489" s="56">
        <f>IF(VLOOKUP($C489,REV!$C:$AA,17,0)-'TRADE IN'!$F489=0,"",(VLOOKUP($C489,REV!$C:$AA,17,0)-'TRADE IN'!$F489))</f>
        <v>8999</v>
      </c>
      <c r="T489" s="56">
        <f>IF(VLOOKUP($C489,REV!$C:$AA,18,0)-'TRADE IN'!$F489=0,"",(VLOOKUP($C489,REV!$C:$AA,18,0)-'TRADE IN'!$F489))</f>
        <v>8799</v>
      </c>
      <c r="U489" s="56">
        <f>IF(VLOOKUP($C489,REV!$C:$AA,19,0)-'TRADE IN'!$F489=0,"",(VLOOKUP($C489,REV!$C:$AA,19,0)-'TRADE IN'!$F489))</f>
        <v>8799</v>
      </c>
      <c r="V489" s="56">
        <f>IF(VLOOKUP($C489,REV!$C:$AA,20,0)-'TRADE IN'!$F489=0,"",(VLOOKUP($C489,REV!$C:$AA,20,0)-'TRADE IN'!$F489))</f>
        <v>8799</v>
      </c>
      <c r="W489" s="56">
        <f>IF(VLOOKUP($C489,REV!$C:$AA,21,0)-'TRADE IN'!$F489=0,"",(VLOOKUP($C489,REV!$C:$AA,21,0)-'TRADE IN'!$F489))</f>
        <v>8799</v>
      </c>
      <c r="X489" s="56">
        <f>IF(VLOOKUP($C489,REV!$C:$AA,22,0)-'TRADE IN'!$F489=0,"",(VLOOKUP($C489,REV!$C:$AA,22,0)-'TRADE IN'!$F489))</f>
        <v>8749</v>
      </c>
      <c r="Y489" s="56">
        <f>IF(VLOOKUP($C489,REV!$C:$AA,23,0)-'TRADE IN'!$F489=0,"",(VLOOKUP($C489,REV!$C:$AA,23,0)-'TRADE IN'!$F489))</f>
        <v>6299</v>
      </c>
      <c r="Z489" s="56">
        <f>IF(VLOOKUP($C489,REV!$C:$AA,24,0)-'TRADE IN'!$F489=0,"",(VLOOKUP($C489,REV!$C:$AA,24,0)-'TRADE IN'!$F489))</f>
        <v>6299</v>
      </c>
      <c r="AA489" s="56">
        <f>IF(VLOOKUP($C489,REV!$C:$AA,25,0)-'TRADE IN'!$F489=0,"",(VLOOKUP($C489,REV!$C:$AA,25,0)-'TRADE IN'!$F489))</f>
        <v>6299</v>
      </c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  <c r="AS489" s="55"/>
      <c r="AT489" s="55"/>
      <c r="AU489" s="55"/>
      <c r="AV489" s="57"/>
      <c r="AW489" s="58" t="str">
        <f>REV!AW489</f>
        <v>03.11.2026</v>
      </c>
      <c r="AX489" s="147" t="str">
        <f>VLOOKUP(C489,REV!C:AX,48,0)</f>
        <v>5G</v>
      </c>
    </row>
    <row r="490" spans="1:50" ht="22.5" customHeight="1">
      <c r="A490" s="51" t="s">
        <v>63</v>
      </c>
      <c r="B490" s="52" t="s">
        <v>64</v>
      </c>
      <c r="C490" s="72">
        <v>4017191</v>
      </c>
      <c r="D490" s="73" t="s">
        <v>705</v>
      </c>
      <c r="E490" s="73" t="s">
        <v>706</v>
      </c>
      <c r="F490" s="56"/>
      <c r="G490" s="150"/>
      <c r="H490" s="150"/>
      <c r="I490" s="150"/>
      <c r="J490" s="56">
        <f>IF(VLOOKUP($C490,REV!$C:$AA,8,0)-'TRADE IN'!$F490=0,"",(VLOOKUP($C490,REV!$C:$AA,8,0)-'TRADE IN'!$F490))</f>
        <v>9799</v>
      </c>
      <c r="K490" s="56">
        <f>IF(VLOOKUP($C490,REV!$C:$AA,9,0)-'TRADE IN'!$F490=0,"",(VLOOKUP($C490,REV!$C:$AA,9,0)-'TRADE IN'!$F490))</f>
        <v>9799</v>
      </c>
      <c r="L490" s="56">
        <f>IF(VLOOKUP($C490,REV!$C:$AA,10,0)-'TRADE IN'!$F490=0,"",(VLOOKUP($C490,REV!$C:$AA,10,0)-'TRADE IN'!$F490))</f>
        <v>9799</v>
      </c>
      <c r="M490" s="56">
        <f>IF(VLOOKUP($C490,REV!$C:$AA,11,0)-'TRADE IN'!$F490=0,"",(VLOOKUP($C490,REV!$C:$AA,11,0)-'TRADE IN'!$F490))</f>
        <v>9799</v>
      </c>
      <c r="N490" s="56">
        <f>IF(VLOOKUP($C490,REV!$C:$AA,12,0)-'TRADE IN'!$F490=0,"",(VLOOKUP($C490,REV!$C:$AA,12,0)-'TRADE IN'!$F490))</f>
        <v>9799</v>
      </c>
      <c r="O490" s="56">
        <f>IF(VLOOKUP($C490,REV!$C:$AA,13,0)-'TRADE IN'!$F490=0,"",(VLOOKUP($C490,REV!$C:$AA,13,0)-'TRADE IN'!$F490))</f>
        <v>9749</v>
      </c>
      <c r="P490" s="56">
        <f>IF(VLOOKUP($C490,REV!$C:$AA,14,0)-'TRADE IN'!$F490=0,"",(VLOOKUP($C490,REV!$C:$AA,14,0)-'TRADE IN'!$F490))</f>
        <v>9699</v>
      </c>
      <c r="Q490" s="56">
        <f>IF(VLOOKUP($C490,REV!$C:$AA,15,0)-'TRADE IN'!$F490=0,"",(VLOOKUP($C490,REV!$C:$AA,15,0)-'TRADE IN'!$F490))</f>
        <v>9499</v>
      </c>
      <c r="R490" s="56">
        <f>IF(VLOOKUP($C490,REV!$C:$AA,16,0)-'TRADE IN'!$F490=0,"",(VLOOKUP($C490,REV!$C:$AA,16,0)-'TRADE IN'!$F490))</f>
        <v>9749</v>
      </c>
      <c r="S490" s="56">
        <f>IF(VLOOKUP($C490,REV!$C:$AA,17,0)-'TRADE IN'!$F490=0,"",(VLOOKUP($C490,REV!$C:$AA,17,0)-'TRADE IN'!$F490))</f>
        <v>9699</v>
      </c>
      <c r="T490" s="56">
        <f>IF(VLOOKUP($C490,REV!$C:$AA,18,0)-'TRADE IN'!$F490=0,"",(VLOOKUP($C490,REV!$C:$AA,18,0)-'TRADE IN'!$F490))</f>
        <v>9499</v>
      </c>
      <c r="U490" s="56">
        <f>IF(VLOOKUP($C490,REV!$C:$AA,19,0)-'TRADE IN'!$F490=0,"",(VLOOKUP($C490,REV!$C:$AA,19,0)-'TRADE IN'!$F490))</f>
        <v>9499</v>
      </c>
      <c r="V490" s="56">
        <f>IF(VLOOKUP($C490,REV!$C:$AA,20,0)-'TRADE IN'!$F490=0,"",(VLOOKUP($C490,REV!$C:$AA,20,0)-'TRADE IN'!$F490))</f>
        <v>9499</v>
      </c>
      <c r="W490" s="56">
        <f>IF(VLOOKUP($C490,REV!$C:$AA,21,0)-'TRADE IN'!$F490=0,"",(VLOOKUP($C490,REV!$C:$AA,21,0)-'TRADE IN'!$F490))</f>
        <v>9499</v>
      </c>
      <c r="X490" s="56">
        <f>IF(VLOOKUP($C490,REV!$C:$AA,22,0)-'TRADE IN'!$F490=0,"",(VLOOKUP($C490,REV!$C:$AA,22,0)-'TRADE IN'!$F490))</f>
        <v>9449</v>
      </c>
      <c r="Y490" s="56">
        <f>IF(VLOOKUP($C490,REV!$C:$AA,23,0)-'TRADE IN'!$F490=0,"",(VLOOKUP($C490,REV!$C:$AA,23,0)-'TRADE IN'!$F490))</f>
        <v>8499</v>
      </c>
      <c r="Z490" s="56">
        <f>IF(VLOOKUP($C490,REV!$C:$AA,24,0)-'TRADE IN'!$F490=0,"",(VLOOKUP($C490,REV!$C:$AA,24,0)-'TRADE IN'!$F490))</f>
        <v>8499</v>
      </c>
      <c r="AA490" s="56">
        <f>IF(VLOOKUP($C490,REV!$C:$AA,25,0)-'TRADE IN'!$F490=0,"",(VLOOKUP($C490,REV!$C:$AA,25,0)-'TRADE IN'!$F490))</f>
        <v>8449</v>
      </c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  <c r="AS490" s="55"/>
      <c r="AT490" s="55"/>
      <c r="AU490" s="55"/>
      <c r="AV490" s="57"/>
      <c r="AW490" s="58" t="str">
        <f>REV!AW490</f>
        <v>03.11.2026</v>
      </c>
      <c r="AX490" s="147" t="str">
        <f>VLOOKUP(C490,REV!C:AX,48,0)</f>
        <v>5G</v>
      </c>
    </row>
    <row r="491" spans="1:50" ht="22.5" customHeight="1">
      <c r="A491" s="51" t="s">
        <v>63</v>
      </c>
      <c r="B491" s="52" t="s">
        <v>64</v>
      </c>
      <c r="C491" s="72">
        <v>4018085</v>
      </c>
      <c r="D491" s="73" t="s">
        <v>707</v>
      </c>
      <c r="E491" s="73" t="s">
        <v>708</v>
      </c>
      <c r="F491" s="56">
        <v>1900</v>
      </c>
      <c r="G491" s="56">
        <v>9399</v>
      </c>
      <c r="H491" s="56">
        <v>10099</v>
      </c>
      <c r="I491" s="56">
        <v>10099</v>
      </c>
      <c r="J491" s="56">
        <f>IF(VLOOKUP($C491,REV!$C:$AA,8,0)-'TRADE IN'!$F491=0,"",(VLOOKUP($C491,REV!$C:$AA,8,0)-'TRADE IN'!$F491))</f>
        <v>7399</v>
      </c>
      <c r="K491" s="56">
        <f>IF(VLOOKUP($C491,REV!$C:$AA,9,0)-'TRADE IN'!$F491=0,"",(VLOOKUP($C491,REV!$C:$AA,9,0)-'TRADE IN'!$F491))</f>
        <v>7399</v>
      </c>
      <c r="L491" s="56">
        <f>IF(VLOOKUP($C491,REV!$C:$AA,10,0)-'TRADE IN'!$F491=0,"",(VLOOKUP($C491,REV!$C:$AA,10,0)-'TRADE IN'!$F491))</f>
        <v>7399</v>
      </c>
      <c r="M491" s="56">
        <f>IF(VLOOKUP($C491,REV!$C:$AA,11,0)-'TRADE IN'!$F491=0,"",(VLOOKUP($C491,REV!$C:$AA,11,0)-'TRADE IN'!$F491))</f>
        <v>7399</v>
      </c>
      <c r="N491" s="56">
        <f>IF(VLOOKUP($C491,REV!$C:$AA,12,0)-'TRADE IN'!$F491=0,"",(VLOOKUP($C491,REV!$C:$AA,12,0)-'TRADE IN'!$F491))</f>
        <v>7399</v>
      </c>
      <c r="O491" s="56">
        <f>IF(VLOOKUP($C491,REV!$C:$AA,13,0)-'TRADE IN'!$F491=0,"",(VLOOKUP($C491,REV!$C:$AA,13,0)-'TRADE IN'!$F491))</f>
        <v>7299</v>
      </c>
      <c r="P491" s="56">
        <f>IF(VLOOKUP($C491,REV!$C:$AA,14,0)-'TRADE IN'!$F491=0,"",(VLOOKUP($C491,REV!$C:$AA,14,0)-'TRADE IN'!$F491))</f>
        <v>7199</v>
      </c>
      <c r="Q491" s="56">
        <f>IF(VLOOKUP($C491,REV!$C:$AA,15,0)-'TRADE IN'!$F491=0,"",(VLOOKUP($C491,REV!$C:$AA,15,0)-'TRADE IN'!$F491))</f>
        <v>6899</v>
      </c>
      <c r="R491" s="56">
        <f>IF(VLOOKUP($C491,REV!$C:$AA,16,0)-'TRADE IN'!$F491=0,"",(VLOOKUP($C491,REV!$C:$AA,16,0)-'TRADE IN'!$F491))</f>
        <v>7299</v>
      </c>
      <c r="S491" s="56">
        <f>IF(VLOOKUP($C491,REV!$C:$AA,17,0)-'TRADE IN'!$F491=0,"",(VLOOKUP($C491,REV!$C:$AA,17,0)-'TRADE IN'!$F491))</f>
        <v>7199</v>
      </c>
      <c r="T491" s="56">
        <f>IF(VLOOKUP($C491,REV!$C:$AA,18,0)-'TRADE IN'!$F491=0,"",(VLOOKUP($C491,REV!$C:$AA,18,0)-'TRADE IN'!$F491))</f>
        <v>6899</v>
      </c>
      <c r="U491" s="56">
        <f>IF(VLOOKUP($C491,REV!$C:$AA,19,0)-'TRADE IN'!$F491=0,"",(VLOOKUP($C491,REV!$C:$AA,19,0)-'TRADE IN'!$F491))</f>
        <v>6899</v>
      </c>
      <c r="V491" s="56">
        <f>IF(VLOOKUP($C491,REV!$C:$AA,20,0)-'TRADE IN'!$F491=0,"",(VLOOKUP($C491,REV!$C:$AA,20,0)-'TRADE IN'!$F491))</f>
        <v>6899</v>
      </c>
      <c r="W491" s="56">
        <f>IF(VLOOKUP($C491,REV!$C:$AA,21,0)-'TRADE IN'!$F491=0,"",(VLOOKUP($C491,REV!$C:$AA,21,0)-'TRADE IN'!$F491))</f>
        <v>6899</v>
      </c>
      <c r="X491" s="56">
        <f>IF(VLOOKUP($C491,REV!$C:$AA,22,0)-'TRADE IN'!$F491=0,"",(VLOOKUP($C491,REV!$C:$AA,22,0)-'TRADE IN'!$F491))</f>
        <v>6799</v>
      </c>
      <c r="Y491" s="56">
        <f>IF(VLOOKUP($C491,REV!$C:$AA,23,0)-'TRADE IN'!$F491=0,"",(VLOOKUP($C491,REV!$C:$AA,23,0)-'TRADE IN'!$F491))</f>
        <v>4799</v>
      </c>
      <c r="Z491" s="56">
        <f>IF(VLOOKUP($C491,REV!$C:$AA,24,0)-'TRADE IN'!$F491=0,"",(VLOOKUP($C491,REV!$C:$AA,24,0)-'TRADE IN'!$F491))</f>
        <v>4799</v>
      </c>
      <c r="AA491" s="56">
        <f>IF(VLOOKUP($C491,REV!$C:$AA,25,0)-'TRADE IN'!$F491=0,"",(VLOOKUP($C491,REV!$C:$AA,25,0)-'TRADE IN'!$F491))</f>
        <v>4599</v>
      </c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  <c r="AS491" s="55"/>
      <c r="AT491" s="55"/>
      <c r="AU491" s="55"/>
      <c r="AV491" s="57"/>
      <c r="AW491" s="58" t="str">
        <f>REV!AW491</f>
        <v>03.11.2026</v>
      </c>
      <c r="AX491" s="147" t="str">
        <f>VLOOKUP(C491,REV!C:AX,48,0)</f>
        <v>5G</v>
      </c>
    </row>
    <row r="492" spans="1:50" ht="22.5" customHeight="1">
      <c r="A492" s="51" t="s">
        <v>63</v>
      </c>
      <c r="B492" s="52" t="s">
        <v>64</v>
      </c>
      <c r="C492" s="72">
        <v>4018049</v>
      </c>
      <c r="D492" s="73" t="s">
        <v>707</v>
      </c>
      <c r="E492" s="73" t="s">
        <v>709</v>
      </c>
      <c r="F492" s="56">
        <v>1900</v>
      </c>
      <c r="G492" s="56">
        <v>9399</v>
      </c>
      <c r="H492" s="56">
        <v>10099</v>
      </c>
      <c r="I492" s="56">
        <v>10099</v>
      </c>
      <c r="J492" s="56">
        <f>IF(VLOOKUP($C492,REV!$C:$AA,8,0)-'TRADE IN'!$F492=0,"",(VLOOKUP($C492,REV!$C:$AA,8,0)-'TRADE IN'!$F492))</f>
        <v>7399</v>
      </c>
      <c r="K492" s="56">
        <f>IF(VLOOKUP($C492,REV!$C:$AA,9,0)-'TRADE IN'!$F492=0,"",(VLOOKUP($C492,REV!$C:$AA,9,0)-'TRADE IN'!$F492))</f>
        <v>7399</v>
      </c>
      <c r="L492" s="56">
        <f>IF(VLOOKUP($C492,REV!$C:$AA,10,0)-'TRADE IN'!$F492=0,"",(VLOOKUP($C492,REV!$C:$AA,10,0)-'TRADE IN'!$F492))</f>
        <v>7399</v>
      </c>
      <c r="M492" s="56">
        <f>IF(VLOOKUP($C492,REV!$C:$AA,11,0)-'TRADE IN'!$F492=0,"",(VLOOKUP($C492,REV!$C:$AA,11,0)-'TRADE IN'!$F492))</f>
        <v>7399</v>
      </c>
      <c r="N492" s="56">
        <f>IF(VLOOKUP($C492,REV!$C:$AA,12,0)-'TRADE IN'!$F492=0,"",(VLOOKUP($C492,REV!$C:$AA,12,0)-'TRADE IN'!$F492))</f>
        <v>7399</v>
      </c>
      <c r="O492" s="56">
        <f>IF(VLOOKUP($C492,REV!$C:$AA,13,0)-'TRADE IN'!$F492=0,"",(VLOOKUP($C492,REV!$C:$AA,13,0)-'TRADE IN'!$F492))</f>
        <v>7299</v>
      </c>
      <c r="P492" s="56">
        <f>IF(VLOOKUP($C492,REV!$C:$AA,14,0)-'TRADE IN'!$F492=0,"",(VLOOKUP($C492,REV!$C:$AA,14,0)-'TRADE IN'!$F492))</f>
        <v>7199</v>
      </c>
      <c r="Q492" s="56">
        <f>IF(VLOOKUP($C492,REV!$C:$AA,15,0)-'TRADE IN'!$F492=0,"",(VLOOKUP($C492,REV!$C:$AA,15,0)-'TRADE IN'!$F492))</f>
        <v>6899</v>
      </c>
      <c r="R492" s="56">
        <f>IF(VLOOKUP($C492,REV!$C:$AA,16,0)-'TRADE IN'!$F492=0,"",(VLOOKUP($C492,REV!$C:$AA,16,0)-'TRADE IN'!$F492))</f>
        <v>7299</v>
      </c>
      <c r="S492" s="56">
        <f>IF(VLOOKUP($C492,REV!$C:$AA,17,0)-'TRADE IN'!$F492=0,"",(VLOOKUP($C492,REV!$C:$AA,17,0)-'TRADE IN'!$F492))</f>
        <v>7199</v>
      </c>
      <c r="T492" s="56">
        <f>IF(VLOOKUP($C492,REV!$C:$AA,18,0)-'TRADE IN'!$F492=0,"",(VLOOKUP($C492,REV!$C:$AA,18,0)-'TRADE IN'!$F492))</f>
        <v>6899</v>
      </c>
      <c r="U492" s="56">
        <f>IF(VLOOKUP($C492,REV!$C:$AA,19,0)-'TRADE IN'!$F492=0,"",(VLOOKUP($C492,REV!$C:$AA,19,0)-'TRADE IN'!$F492))</f>
        <v>6899</v>
      </c>
      <c r="V492" s="56">
        <f>IF(VLOOKUP($C492,REV!$C:$AA,20,0)-'TRADE IN'!$F492=0,"",(VLOOKUP($C492,REV!$C:$AA,20,0)-'TRADE IN'!$F492))</f>
        <v>6899</v>
      </c>
      <c r="W492" s="56">
        <f>IF(VLOOKUP($C492,REV!$C:$AA,21,0)-'TRADE IN'!$F492=0,"",(VLOOKUP($C492,REV!$C:$AA,21,0)-'TRADE IN'!$F492))</f>
        <v>6899</v>
      </c>
      <c r="X492" s="56">
        <f>IF(VLOOKUP($C492,REV!$C:$AA,22,0)-'TRADE IN'!$F492=0,"",(VLOOKUP($C492,REV!$C:$AA,22,0)-'TRADE IN'!$F492))</f>
        <v>6799</v>
      </c>
      <c r="Y492" s="56">
        <f>IF(VLOOKUP($C492,REV!$C:$AA,23,0)-'TRADE IN'!$F492=0,"",(VLOOKUP($C492,REV!$C:$AA,23,0)-'TRADE IN'!$F492))</f>
        <v>4799</v>
      </c>
      <c r="Z492" s="56">
        <f>IF(VLOOKUP($C492,REV!$C:$AA,24,0)-'TRADE IN'!$F492=0,"",(VLOOKUP($C492,REV!$C:$AA,24,0)-'TRADE IN'!$F492))</f>
        <v>4799</v>
      </c>
      <c r="AA492" s="56">
        <f>IF(VLOOKUP($C492,REV!$C:$AA,25,0)-'TRADE IN'!$F492=0,"",(VLOOKUP($C492,REV!$C:$AA,25,0)-'TRADE IN'!$F492))</f>
        <v>4599</v>
      </c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  <c r="AS492" s="55"/>
      <c r="AT492" s="55"/>
      <c r="AU492" s="55"/>
      <c r="AV492" s="57"/>
      <c r="AW492" s="58" t="str">
        <f>REV!AW492</f>
        <v>03.11.2026</v>
      </c>
      <c r="AX492" s="147" t="str">
        <f>VLOOKUP(C492,REV!C:AX,48,0)</f>
        <v>5G</v>
      </c>
    </row>
    <row r="493" spans="1:50" ht="22.5" customHeight="1">
      <c r="A493" s="51" t="s">
        <v>63</v>
      </c>
      <c r="B493" s="52" t="s">
        <v>64</v>
      </c>
      <c r="C493" s="72">
        <v>4018100</v>
      </c>
      <c r="D493" s="73" t="s">
        <v>710</v>
      </c>
      <c r="E493" s="73" t="s">
        <v>711</v>
      </c>
      <c r="F493" s="56">
        <v>1900</v>
      </c>
      <c r="G493" s="56">
        <v>9899</v>
      </c>
      <c r="H493" s="56">
        <v>10999</v>
      </c>
      <c r="I493" s="56">
        <v>10999</v>
      </c>
      <c r="J493" s="56">
        <f>IF(VLOOKUP($C493,REV!$C:$AA,8,0)-'TRADE IN'!$F493=0,"",(VLOOKUP($C493,REV!$C:$AA,8,0)-'TRADE IN'!$F493))</f>
        <v>8499</v>
      </c>
      <c r="K493" s="56">
        <f>IF(VLOOKUP($C493,REV!$C:$AA,9,0)-'TRADE IN'!$F493=0,"",(VLOOKUP($C493,REV!$C:$AA,9,0)-'TRADE IN'!$F493))</f>
        <v>8499</v>
      </c>
      <c r="L493" s="56">
        <f>IF(VLOOKUP($C493,REV!$C:$AA,10,0)-'TRADE IN'!$F493=0,"",(VLOOKUP($C493,REV!$C:$AA,10,0)-'TRADE IN'!$F493))</f>
        <v>8499</v>
      </c>
      <c r="M493" s="56">
        <f>IF(VLOOKUP($C493,REV!$C:$AA,11,0)-'TRADE IN'!$F493=0,"",(VLOOKUP($C493,REV!$C:$AA,11,0)-'TRADE IN'!$F493))</f>
        <v>8499</v>
      </c>
      <c r="N493" s="56">
        <f>IF(VLOOKUP($C493,REV!$C:$AA,12,0)-'TRADE IN'!$F493=0,"",(VLOOKUP($C493,REV!$C:$AA,12,0)-'TRADE IN'!$F493))</f>
        <v>8499</v>
      </c>
      <c r="O493" s="56">
        <f>IF(VLOOKUP($C493,REV!$C:$AA,13,0)-'TRADE IN'!$F493=0,"",(VLOOKUP($C493,REV!$C:$AA,13,0)-'TRADE IN'!$F493))</f>
        <v>8399</v>
      </c>
      <c r="P493" s="56">
        <f>IF(VLOOKUP($C493,REV!$C:$AA,14,0)-'TRADE IN'!$F493=0,"",(VLOOKUP($C493,REV!$C:$AA,14,0)-'TRADE IN'!$F493))</f>
        <v>8299</v>
      </c>
      <c r="Q493" s="56">
        <f>IF(VLOOKUP($C493,REV!$C:$AA,15,0)-'TRADE IN'!$F493=0,"",(VLOOKUP($C493,REV!$C:$AA,15,0)-'TRADE IN'!$F493))</f>
        <v>7399</v>
      </c>
      <c r="R493" s="56">
        <f>IF(VLOOKUP($C493,REV!$C:$AA,16,0)-'TRADE IN'!$F493=0,"",(VLOOKUP($C493,REV!$C:$AA,16,0)-'TRADE IN'!$F493))</f>
        <v>8399</v>
      </c>
      <c r="S493" s="56">
        <f>IF(VLOOKUP($C493,REV!$C:$AA,17,0)-'TRADE IN'!$F493=0,"",(VLOOKUP($C493,REV!$C:$AA,17,0)-'TRADE IN'!$F493))</f>
        <v>8299</v>
      </c>
      <c r="T493" s="56">
        <f>IF(VLOOKUP($C493,REV!$C:$AA,18,0)-'TRADE IN'!$F493=0,"",(VLOOKUP($C493,REV!$C:$AA,18,0)-'TRADE IN'!$F493))</f>
        <v>7399</v>
      </c>
      <c r="U493" s="56">
        <f>IF(VLOOKUP($C493,REV!$C:$AA,19,0)-'TRADE IN'!$F493=0,"",(VLOOKUP($C493,REV!$C:$AA,19,0)-'TRADE IN'!$F493))</f>
        <v>7399</v>
      </c>
      <c r="V493" s="56">
        <f>IF(VLOOKUP($C493,REV!$C:$AA,20,0)-'TRADE IN'!$F493=0,"",(VLOOKUP($C493,REV!$C:$AA,20,0)-'TRADE IN'!$F493))</f>
        <v>7399</v>
      </c>
      <c r="W493" s="56">
        <f>IF(VLOOKUP($C493,REV!$C:$AA,21,0)-'TRADE IN'!$F493=0,"",(VLOOKUP($C493,REV!$C:$AA,21,0)-'TRADE IN'!$F493))</f>
        <v>7399</v>
      </c>
      <c r="X493" s="56">
        <f>IF(VLOOKUP($C493,REV!$C:$AA,22,0)-'TRADE IN'!$F493=0,"",(VLOOKUP($C493,REV!$C:$AA,22,0)-'TRADE IN'!$F493))</f>
        <v>7299</v>
      </c>
      <c r="Y493" s="56">
        <f>IF(VLOOKUP($C493,REV!$C:$AA,23,0)-'TRADE IN'!$F493=0,"",(VLOOKUP($C493,REV!$C:$AA,23,0)-'TRADE IN'!$F493))</f>
        <v>5399</v>
      </c>
      <c r="Z493" s="56">
        <f>IF(VLOOKUP($C493,REV!$C:$AA,24,0)-'TRADE IN'!$F493=0,"",(VLOOKUP($C493,REV!$C:$AA,24,0)-'TRADE IN'!$F493))</f>
        <v>5399</v>
      </c>
      <c r="AA493" s="56">
        <f>IF(VLOOKUP($C493,REV!$C:$AA,25,0)-'TRADE IN'!$F493=0,"",(VLOOKUP($C493,REV!$C:$AA,25,0)-'TRADE IN'!$F493))</f>
        <v>5199</v>
      </c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  <c r="AS493" s="55"/>
      <c r="AT493" s="55"/>
      <c r="AU493" s="55"/>
      <c r="AV493" s="57"/>
      <c r="AW493" s="58" t="str">
        <f>REV!AW493</f>
        <v>03.11.2026</v>
      </c>
      <c r="AX493" s="147" t="str">
        <f>VLOOKUP(C493,REV!C:AX,48,0)</f>
        <v>5G</v>
      </c>
    </row>
    <row r="494" spans="1:50" ht="22.5" customHeight="1">
      <c r="A494" s="51" t="s">
        <v>63</v>
      </c>
      <c r="B494" s="52" t="s">
        <v>64</v>
      </c>
      <c r="C494" s="72">
        <v>4018096</v>
      </c>
      <c r="D494" s="73" t="s">
        <v>710</v>
      </c>
      <c r="E494" s="73" t="s">
        <v>712</v>
      </c>
      <c r="F494" s="56">
        <v>1900</v>
      </c>
      <c r="G494" s="56">
        <v>9899</v>
      </c>
      <c r="H494" s="56">
        <v>10999</v>
      </c>
      <c r="I494" s="56">
        <v>10999</v>
      </c>
      <c r="J494" s="56">
        <f>IF(VLOOKUP($C494,REV!$C:$AA,8,0)-'TRADE IN'!$F494=0,"",(VLOOKUP($C494,REV!$C:$AA,8,0)-'TRADE IN'!$F494))</f>
        <v>8499</v>
      </c>
      <c r="K494" s="56">
        <f>IF(VLOOKUP($C494,REV!$C:$AA,9,0)-'TRADE IN'!$F494=0,"",(VLOOKUP($C494,REV!$C:$AA,9,0)-'TRADE IN'!$F494))</f>
        <v>8499</v>
      </c>
      <c r="L494" s="56">
        <f>IF(VLOOKUP($C494,REV!$C:$AA,10,0)-'TRADE IN'!$F494=0,"",(VLOOKUP($C494,REV!$C:$AA,10,0)-'TRADE IN'!$F494))</f>
        <v>8499</v>
      </c>
      <c r="M494" s="56">
        <f>IF(VLOOKUP($C494,REV!$C:$AA,11,0)-'TRADE IN'!$F494=0,"",(VLOOKUP($C494,REV!$C:$AA,11,0)-'TRADE IN'!$F494))</f>
        <v>8499</v>
      </c>
      <c r="N494" s="56">
        <f>IF(VLOOKUP($C494,REV!$C:$AA,12,0)-'TRADE IN'!$F494=0,"",(VLOOKUP($C494,REV!$C:$AA,12,0)-'TRADE IN'!$F494))</f>
        <v>8499</v>
      </c>
      <c r="O494" s="56">
        <f>IF(VLOOKUP($C494,REV!$C:$AA,13,0)-'TRADE IN'!$F494=0,"",(VLOOKUP($C494,REV!$C:$AA,13,0)-'TRADE IN'!$F494))</f>
        <v>8399</v>
      </c>
      <c r="P494" s="56">
        <f>IF(VLOOKUP($C494,REV!$C:$AA,14,0)-'TRADE IN'!$F494=0,"",(VLOOKUP($C494,REV!$C:$AA,14,0)-'TRADE IN'!$F494))</f>
        <v>8299</v>
      </c>
      <c r="Q494" s="56">
        <f>IF(VLOOKUP($C494,REV!$C:$AA,15,0)-'TRADE IN'!$F494=0,"",(VLOOKUP($C494,REV!$C:$AA,15,0)-'TRADE IN'!$F494))</f>
        <v>7399</v>
      </c>
      <c r="R494" s="56">
        <f>IF(VLOOKUP($C494,REV!$C:$AA,16,0)-'TRADE IN'!$F494=0,"",(VLOOKUP($C494,REV!$C:$AA,16,0)-'TRADE IN'!$F494))</f>
        <v>8399</v>
      </c>
      <c r="S494" s="56">
        <f>IF(VLOOKUP($C494,REV!$C:$AA,17,0)-'TRADE IN'!$F494=0,"",(VLOOKUP($C494,REV!$C:$AA,17,0)-'TRADE IN'!$F494))</f>
        <v>8299</v>
      </c>
      <c r="T494" s="56">
        <f>IF(VLOOKUP($C494,REV!$C:$AA,18,0)-'TRADE IN'!$F494=0,"",(VLOOKUP($C494,REV!$C:$AA,18,0)-'TRADE IN'!$F494))</f>
        <v>7399</v>
      </c>
      <c r="U494" s="56">
        <f>IF(VLOOKUP($C494,REV!$C:$AA,19,0)-'TRADE IN'!$F494=0,"",(VLOOKUP($C494,REV!$C:$AA,19,0)-'TRADE IN'!$F494))</f>
        <v>7399</v>
      </c>
      <c r="V494" s="56">
        <f>IF(VLOOKUP($C494,REV!$C:$AA,20,0)-'TRADE IN'!$F494=0,"",(VLOOKUP($C494,REV!$C:$AA,20,0)-'TRADE IN'!$F494))</f>
        <v>7399</v>
      </c>
      <c r="W494" s="56">
        <f>IF(VLOOKUP($C494,REV!$C:$AA,21,0)-'TRADE IN'!$F494=0,"",(VLOOKUP($C494,REV!$C:$AA,21,0)-'TRADE IN'!$F494))</f>
        <v>7399</v>
      </c>
      <c r="X494" s="56">
        <f>IF(VLOOKUP($C494,REV!$C:$AA,22,0)-'TRADE IN'!$F494=0,"",(VLOOKUP($C494,REV!$C:$AA,22,0)-'TRADE IN'!$F494))</f>
        <v>7299</v>
      </c>
      <c r="Y494" s="56">
        <f>IF(VLOOKUP($C494,REV!$C:$AA,23,0)-'TRADE IN'!$F494=0,"",(VLOOKUP($C494,REV!$C:$AA,23,0)-'TRADE IN'!$F494))</f>
        <v>5399</v>
      </c>
      <c r="Z494" s="56">
        <f>IF(VLOOKUP($C494,REV!$C:$AA,24,0)-'TRADE IN'!$F494=0,"",(VLOOKUP($C494,REV!$C:$AA,24,0)-'TRADE IN'!$F494))</f>
        <v>5399</v>
      </c>
      <c r="AA494" s="56">
        <f>IF(VLOOKUP($C494,REV!$C:$AA,25,0)-'TRADE IN'!$F494=0,"",(VLOOKUP($C494,REV!$C:$AA,25,0)-'TRADE IN'!$F494))</f>
        <v>5199</v>
      </c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  <c r="AP494" s="55"/>
      <c r="AQ494" s="55"/>
      <c r="AR494" s="55"/>
      <c r="AS494" s="55"/>
      <c r="AT494" s="55"/>
      <c r="AU494" s="55"/>
      <c r="AV494" s="57"/>
      <c r="AW494" s="58" t="str">
        <f>REV!AW494</f>
        <v>03.11.2026</v>
      </c>
      <c r="AX494" s="147" t="str">
        <f>VLOOKUP(C494,REV!C:AX,48,0)</f>
        <v>5G</v>
      </c>
    </row>
    <row r="495" spans="1:50" ht="22.5" customHeight="1">
      <c r="A495" s="51" t="s">
        <v>63</v>
      </c>
      <c r="B495" s="52" t="s">
        <v>64</v>
      </c>
      <c r="C495" s="72">
        <v>4018047</v>
      </c>
      <c r="D495" s="73" t="s">
        <v>713</v>
      </c>
      <c r="E495" s="73" t="s">
        <v>714</v>
      </c>
      <c r="F495" s="56">
        <v>2000</v>
      </c>
      <c r="G495" s="56">
        <v>10399</v>
      </c>
      <c r="H495" s="56">
        <v>11399</v>
      </c>
      <c r="I495" s="56">
        <v>11399</v>
      </c>
      <c r="J495" s="56">
        <f>IF(VLOOKUP($C495,REV!$C:$AA,8,0)-'TRADE IN'!$F495=0,"",(VLOOKUP($C495,REV!$C:$AA,8,0)-'TRADE IN'!$F495))</f>
        <v>9299</v>
      </c>
      <c r="K495" s="56">
        <f>IF(VLOOKUP($C495,REV!$C:$AA,9,0)-'TRADE IN'!$F495=0,"",(VLOOKUP($C495,REV!$C:$AA,9,0)-'TRADE IN'!$F495))</f>
        <v>9299</v>
      </c>
      <c r="L495" s="56">
        <f>IF(VLOOKUP($C495,REV!$C:$AA,10,0)-'TRADE IN'!$F495=0,"",(VLOOKUP($C495,REV!$C:$AA,10,0)-'TRADE IN'!$F495))</f>
        <v>9299</v>
      </c>
      <c r="M495" s="56">
        <f>IF(VLOOKUP($C495,REV!$C:$AA,11,0)-'TRADE IN'!$F495=0,"",(VLOOKUP($C495,REV!$C:$AA,11,0)-'TRADE IN'!$F495))</f>
        <v>9299</v>
      </c>
      <c r="N495" s="56">
        <f>IF(VLOOKUP($C495,REV!$C:$AA,12,0)-'TRADE IN'!$F495=0,"",(VLOOKUP($C495,REV!$C:$AA,12,0)-'TRADE IN'!$F495))</f>
        <v>9299</v>
      </c>
      <c r="O495" s="56">
        <f>IF(VLOOKUP($C495,REV!$C:$AA,13,0)-'TRADE IN'!$F495=0,"",(VLOOKUP($C495,REV!$C:$AA,13,0)-'TRADE IN'!$F495))</f>
        <v>9199</v>
      </c>
      <c r="P495" s="56">
        <f>IF(VLOOKUP($C495,REV!$C:$AA,14,0)-'TRADE IN'!$F495=0,"",(VLOOKUP($C495,REV!$C:$AA,14,0)-'TRADE IN'!$F495))</f>
        <v>8999</v>
      </c>
      <c r="Q495" s="56">
        <f>IF(VLOOKUP($C495,REV!$C:$AA,15,0)-'TRADE IN'!$F495=0,"",(VLOOKUP($C495,REV!$C:$AA,15,0)-'TRADE IN'!$F495))</f>
        <v>8699</v>
      </c>
      <c r="R495" s="56">
        <f>IF(VLOOKUP($C495,REV!$C:$AA,16,0)-'TRADE IN'!$F495=0,"",(VLOOKUP($C495,REV!$C:$AA,16,0)-'TRADE IN'!$F495))</f>
        <v>9199</v>
      </c>
      <c r="S495" s="56">
        <f>IF(VLOOKUP($C495,REV!$C:$AA,17,0)-'TRADE IN'!$F495=0,"",(VLOOKUP($C495,REV!$C:$AA,17,0)-'TRADE IN'!$F495))</f>
        <v>8999</v>
      </c>
      <c r="T495" s="56">
        <f>IF(VLOOKUP($C495,REV!$C:$AA,18,0)-'TRADE IN'!$F495=0,"",(VLOOKUP($C495,REV!$C:$AA,18,0)-'TRADE IN'!$F495))</f>
        <v>8699</v>
      </c>
      <c r="U495" s="56">
        <f>IF(VLOOKUP($C495,REV!$C:$AA,19,0)-'TRADE IN'!$F495=0,"",(VLOOKUP($C495,REV!$C:$AA,19,0)-'TRADE IN'!$F495))</f>
        <v>8699</v>
      </c>
      <c r="V495" s="56">
        <f>IF(VLOOKUP($C495,REV!$C:$AA,20,0)-'TRADE IN'!$F495=0,"",(VLOOKUP($C495,REV!$C:$AA,20,0)-'TRADE IN'!$F495))</f>
        <v>8699</v>
      </c>
      <c r="W495" s="56">
        <f>IF(VLOOKUP($C495,REV!$C:$AA,21,0)-'TRADE IN'!$F495=0,"",(VLOOKUP($C495,REV!$C:$AA,21,0)-'TRADE IN'!$F495))</f>
        <v>8699</v>
      </c>
      <c r="X495" s="56">
        <f>IF(VLOOKUP($C495,REV!$C:$AA,22,0)-'TRADE IN'!$F495=0,"",(VLOOKUP($C495,REV!$C:$AA,22,0)-'TRADE IN'!$F495))</f>
        <v>8399</v>
      </c>
      <c r="Y495" s="56">
        <f>IF(VLOOKUP($C495,REV!$C:$AA,23,0)-'TRADE IN'!$F495=0,"",(VLOOKUP($C495,REV!$C:$AA,23,0)-'TRADE IN'!$F495))</f>
        <v>6099</v>
      </c>
      <c r="Z495" s="56">
        <f>IF(VLOOKUP($C495,REV!$C:$AA,24,0)-'TRADE IN'!$F495=0,"",(VLOOKUP($C495,REV!$C:$AA,24,0)-'TRADE IN'!$F495))</f>
        <v>6099</v>
      </c>
      <c r="AA495" s="56">
        <f>IF(VLOOKUP($C495,REV!$C:$AA,25,0)-'TRADE IN'!$F495=0,"",(VLOOKUP($C495,REV!$C:$AA,25,0)-'TRADE IN'!$F495))</f>
        <v>5899</v>
      </c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  <c r="AP495" s="55"/>
      <c r="AQ495" s="55"/>
      <c r="AR495" s="55"/>
      <c r="AS495" s="55"/>
      <c r="AT495" s="55"/>
      <c r="AU495" s="55"/>
      <c r="AV495" s="57"/>
      <c r="AW495" s="58" t="str">
        <f>REV!AW495</f>
        <v>03.11.2026</v>
      </c>
      <c r="AX495" s="147" t="str">
        <f>VLOOKUP(C495,REV!C:AX,48,0)</f>
        <v>5G</v>
      </c>
    </row>
    <row r="496" spans="1:50" ht="22.5" customHeight="1">
      <c r="A496" s="51" t="s">
        <v>63</v>
      </c>
      <c r="B496" s="52" t="s">
        <v>64</v>
      </c>
      <c r="C496" s="72">
        <v>4018082</v>
      </c>
      <c r="D496" s="73" t="s">
        <v>713</v>
      </c>
      <c r="E496" s="73" t="s">
        <v>715</v>
      </c>
      <c r="F496" s="56">
        <v>2000</v>
      </c>
      <c r="G496" s="56">
        <v>10399</v>
      </c>
      <c r="H496" s="56">
        <v>11399</v>
      </c>
      <c r="I496" s="56">
        <v>11399</v>
      </c>
      <c r="J496" s="56">
        <f>IF(VLOOKUP($C496,REV!$C:$AA,8,0)-'TRADE IN'!$F496=0,"",(VLOOKUP($C496,REV!$C:$AA,8,0)-'TRADE IN'!$F496))</f>
        <v>9299</v>
      </c>
      <c r="K496" s="56">
        <f>IF(VLOOKUP($C496,REV!$C:$AA,9,0)-'TRADE IN'!$F496=0,"",(VLOOKUP($C496,REV!$C:$AA,9,0)-'TRADE IN'!$F496))</f>
        <v>9299</v>
      </c>
      <c r="L496" s="56">
        <f>IF(VLOOKUP($C496,REV!$C:$AA,10,0)-'TRADE IN'!$F496=0,"",(VLOOKUP($C496,REV!$C:$AA,10,0)-'TRADE IN'!$F496))</f>
        <v>9299</v>
      </c>
      <c r="M496" s="56">
        <f>IF(VLOOKUP($C496,REV!$C:$AA,11,0)-'TRADE IN'!$F496=0,"",(VLOOKUP($C496,REV!$C:$AA,11,0)-'TRADE IN'!$F496))</f>
        <v>9299</v>
      </c>
      <c r="N496" s="56">
        <f>IF(VLOOKUP($C496,REV!$C:$AA,12,0)-'TRADE IN'!$F496=0,"",(VLOOKUP($C496,REV!$C:$AA,12,0)-'TRADE IN'!$F496))</f>
        <v>9299</v>
      </c>
      <c r="O496" s="56">
        <f>IF(VLOOKUP($C496,REV!$C:$AA,13,0)-'TRADE IN'!$F496=0,"",(VLOOKUP($C496,REV!$C:$AA,13,0)-'TRADE IN'!$F496))</f>
        <v>9199</v>
      </c>
      <c r="P496" s="56">
        <f>IF(VLOOKUP($C496,REV!$C:$AA,14,0)-'TRADE IN'!$F496=0,"",(VLOOKUP($C496,REV!$C:$AA,14,0)-'TRADE IN'!$F496))</f>
        <v>8999</v>
      </c>
      <c r="Q496" s="56">
        <f>IF(VLOOKUP($C496,REV!$C:$AA,15,0)-'TRADE IN'!$F496=0,"",(VLOOKUP($C496,REV!$C:$AA,15,0)-'TRADE IN'!$F496))</f>
        <v>8699</v>
      </c>
      <c r="R496" s="56">
        <f>IF(VLOOKUP($C496,REV!$C:$AA,16,0)-'TRADE IN'!$F496=0,"",(VLOOKUP($C496,REV!$C:$AA,16,0)-'TRADE IN'!$F496))</f>
        <v>9199</v>
      </c>
      <c r="S496" s="56">
        <f>IF(VLOOKUP($C496,REV!$C:$AA,17,0)-'TRADE IN'!$F496=0,"",(VLOOKUP($C496,REV!$C:$AA,17,0)-'TRADE IN'!$F496))</f>
        <v>8999</v>
      </c>
      <c r="T496" s="56">
        <f>IF(VLOOKUP($C496,REV!$C:$AA,18,0)-'TRADE IN'!$F496=0,"",(VLOOKUP($C496,REV!$C:$AA,18,0)-'TRADE IN'!$F496))</f>
        <v>8699</v>
      </c>
      <c r="U496" s="56">
        <f>IF(VLOOKUP($C496,REV!$C:$AA,19,0)-'TRADE IN'!$F496=0,"",(VLOOKUP($C496,REV!$C:$AA,19,0)-'TRADE IN'!$F496))</f>
        <v>8699</v>
      </c>
      <c r="V496" s="56">
        <f>IF(VLOOKUP($C496,REV!$C:$AA,20,0)-'TRADE IN'!$F496=0,"",(VLOOKUP($C496,REV!$C:$AA,20,0)-'TRADE IN'!$F496))</f>
        <v>8699</v>
      </c>
      <c r="W496" s="56">
        <f>IF(VLOOKUP($C496,REV!$C:$AA,21,0)-'TRADE IN'!$F496=0,"",(VLOOKUP($C496,REV!$C:$AA,21,0)-'TRADE IN'!$F496))</f>
        <v>8699</v>
      </c>
      <c r="X496" s="56">
        <f>IF(VLOOKUP($C496,REV!$C:$AA,22,0)-'TRADE IN'!$F496=0,"",(VLOOKUP($C496,REV!$C:$AA,22,0)-'TRADE IN'!$F496))</f>
        <v>8399</v>
      </c>
      <c r="Y496" s="56">
        <f>IF(VLOOKUP($C496,REV!$C:$AA,23,0)-'TRADE IN'!$F496=0,"",(VLOOKUP($C496,REV!$C:$AA,23,0)-'TRADE IN'!$F496))</f>
        <v>6099</v>
      </c>
      <c r="Z496" s="56">
        <f>IF(VLOOKUP($C496,REV!$C:$AA,24,0)-'TRADE IN'!$F496=0,"",(VLOOKUP($C496,REV!$C:$AA,24,0)-'TRADE IN'!$F496))</f>
        <v>6099</v>
      </c>
      <c r="AA496" s="56">
        <f>IF(VLOOKUP($C496,REV!$C:$AA,25,0)-'TRADE IN'!$F496=0,"",(VLOOKUP($C496,REV!$C:$AA,25,0)-'TRADE IN'!$F496))</f>
        <v>5899</v>
      </c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  <c r="AP496" s="55"/>
      <c r="AQ496" s="55"/>
      <c r="AR496" s="55"/>
      <c r="AS496" s="55"/>
      <c r="AT496" s="55"/>
      <c r="AU496" s="55"/>
      <c r="AV496" s="57"/>
      <c r="AW496" s="58" t="str">
        <f>REV!AW496</f>
        <v>03.11.2026</v>
      </c>
      <c r="AX496" s="147" t="str">
        <f>VLOOKUP(C496,REV!C:AX,48,0)</f>
        <v>5G</v>
      </c>
    </row>
    <row r="497" spans="1:50" ht="22.5" customHeight="1">
      <c r="A497" s="51" t="s">
        <v>63</v>
      </c>
      <c r="B497" s="52" t="s">
        <v>64</v>
      </c>
      <c r="C497" s="72">
        <v>4018094</v>
      </c>
      <c r="D497" s="73" t="s">
        <v>716</v>
      </c>
      <c r="E497" s="73" t="s">
        <v>717</v>
      </c>
      <c r="F497" s="56">
        <v>2000</v>
      </c>
      <c r="G497" s="56">
        <v>10999</v>
      </c>
      <c r="H497" s="56">
        <v>11999</v>
      </c>
      <c r="I497" s="56">
        <v>11999</v>
      </c>
      <c r="J497" s="56">
        <f>IF(VLOOKUP($C497,REV!$C:$AA,8,0)-'TRADE IN'!$F497=0,"",(VLOOKUP($C497,REV!$C:$AA,8,0)-'TRADE IN'!$F497))</f>
        <v>9699</v>
      </c>
      <c r="K497" s="56">
        <f>IF(VLOOKUP($C497,REV!$C:$AA,9,0)-'TRADE IN'!$F497=0,"",(VLOOKUP($C497,REV!$C:$AA,9,0)-'TRADE IN'!$F497))</f>
        <v>9699</v>
      </c>
      <c r="L497" s="56">
        <f>IF(VLOOKUP($C497,REV!$C:$AA,10,0)-'TRADE IN'!$F497=0,"",(VLOOKUP($C497,REV!$C:$AA,10,0)-'TRADE IN'!$F497))</f>
        <v>9699</v>
      </c>
      <c r="M497" s="56">
        <f>IF(VLOOKUP($C497,REV!$C:$AA,11,0)-'TRADE IN'!$F497=0,"",(VLOOKUP($C497,REV!$C:$AA,11,0)-'TRADE IN'!$F497))</f>
        <v>9699</v>
      </c>
      <c r="N497" s="56">
        <f>IF(VLOOKUP($C497,REV!$C:$AA,12,0)-'TRADE IN'!$F497=0,"",(VLOOKUP($C497,REV!$C:$AA,12,0)-'TRADE IN'!$F497))</f>
        <v>9699</v>
      </c>
      <c r="O497" s="56">
        <f>IF(VLOOKUP($C497,REV!$C:$AA,13,0)-'TRADE IN'!$F497=0,"",(VLOOKUP($C497,REV!$C:$AA,13,0)-'TRADE IN'!$F497))</f>
        <v>9599</v>
      </c>
      <c r="P497" s="56">
        <f>IF(VLOOKUP($C497,REV!$C:$AA,14,0)-'TRADE IN'!$F497=0,"",(VLOOKUP($C497,REV!$C:$AA,14,0)-'TRADE IN'!$F497))</f>
        <v>9399</v>
      </c>
      <c r="Q497" s="56">
        <f>IF(VLOOKUP($C497,REV!$C:$AA,15,0)-'TRADE IN'!$F497=0,"",(VLOOKUP($C497,REV!$C:$AA,15,0)-'TRADE IN'!$F497))</f>
        <v>9099</v>
      </c>
      <c r="R497" s="56">
        <f>IF(VLOOKUP($C497,REV!$C:$AA,16,0)-'TRADE IN'!$F497=0,"",(VLOOKUP($C497,REV!$C:$AA,16,0)-'TRADE IN'!$F497))</f>
        <v>9599</v>
      </c>
      <c r="S497" s="56">
        <f>IF(VLOOKUP($C497,REV!$C:$AA,17,0)-'TRADE IN'!$F497=0,"",(VLOOKUP($C497,REV!$C:$AA,17,0)-'TRADE IN'!$F497))</f>
        <v>9399</v>
      </c>
      <c r="T497" s="56">
        <f>IF(VLOOKUP($C497,REV!$C:$AA,18,0)-'TRADE IN'!$F497=0,"",(VLOOKUP($C497,REV!$C:$AA,18,0)-'TRADE IN'!$F497))</f>
        <v>9099</v>
      </c>
      <c r="U497" s="56">
        <f>IF(VLOOKUP($C497,REV!$C:$AA,19,0)-'TRADE IN'!$F497=0,"",(VLOOKUP($C497,REV!$C:$AA,19,0)-'TRADE IN'!$F497))</f>
        <v>9099</v>
      </c>
      <c r="V497" s="56">
        <f>IF(VLOOKUP($C497,REV!$C:$AA,20,0)-'TRADE IN'!$F497=0,"",(VLOOKUP($C497,REV!$C:$AA,20,0)-'TRADE IN'!$F497))</f>
        <v>9099</v>
      </c>
      <c r="W497" s="56">
        <f>IF(VLOOKUP($C497,REV!$C:$AA,21,0)-'TRADE IN'!$F497=0,"",(VLOOKUP($C497,REV!$C:$AA,21,0)-'TRADE IN'!$F497))</f>
        <v>9099</v>
      </c>
      <c r="X497" s="56">
        <f>IF(VLOOKUP($C497,REV!$C:$AA,22,0)-'TRADE IN'!$F497=0,"",(VLOOKUP($C497,REV!$C:$AA,22,0)-'TRADE IN'!$F497))</f>
        <v>8999</v>
      </c>
      <c r="Y497" s="56">
        <f>IF(VLOOKUP($C497,REV!$C:$AA,23,0)-'TRADE IN'!$F497=0,"",(VLOOKUP($C497,REV!$C:$AA,23,0)-'TRADE IN'!$F497))</f>
        <v>6499</v>
      </c>
      <c r="Z497" s="56">
        <f>IF(VLOOKUP($C497,REV!$C:$AA,24,0)-'TRADE IN'!$F497=0,"",(VLOOKUP($C497,REV!$C:$AA,24,0)-'TRADE IN'!$F497))</f>
        <v>6499</v>
      </c>
      <c r="AA497" s="56">
        <f>IF(VLOOKUP($C497,REV!$C:$AA,25,0)-'TRADE IN'!$F497=0,"",(VLOOKUP($C497,REV!$C:$AA,25,0)-'TRADE IN'!$F497))</f>
        <v>6299</v>
      </c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  <c r="AP497" s="55"/>
      <c r="AQ497" s="55"/>
      <c r="AR497" s="55"/>
      <c r="AS497" s="55"/>
      <c r="AT497" s="55"/>
      <c r="AU497" s="55"/>
      <c r="AV497" s="57"/>
      <c r="AW497" s="58" t="str">
        <f>REV!AW497</f>
        <v>03.11.2026</v>
      </c>
      <c r="AX497" s="147" t="str">
        <f>VLOOKUP(C497,REV!C:AX,48,0)</f>
        <v>5G</v>
      </c>
    </row>
    <row r="498" spans="1:50" ht="22.5" customHeight="1" thickBot="1">
      <c r="A498" s="151" t="s">
        <v>63</v>
      </c>
      <c r="B498" s="92" t="s">
        <v>64</v>
      </c>
      <c r="C498" s="76">
        <v>4018098</v>
      </c>
      <c r="D498" s="77" t="s">
        <v>716</v>
      </c>
      <c r="E498" s="77" t="s">
        <v>718</v>
      </c>
      <c r="F498" s="78">
        <v>2000</v>
      </c>
      <c r="G498" s="78">
        <v>10999</v>
      </c>
      <c r="H498" s="78">
        <v>11999</v>
      </c>
      <c r="I498" s="78">
        <v>11999</v>
      </c>
      <c r="J498" s="78">
        <f>IF(VLOOKUP($C498,REV!$C:$AA,8,0)-'TRADE IN'!$F498=0,"",(VLOOKUP($C498,REV!$C:$AA,8,0)-'TRADE IN'!$F498))</f>
        <v>9699</v>
      </c>
      <c r="K498" s="78">
        <f>IF(VLOOKUP($C498,REV!$C:$AA,9,0)-'TRADE IN'!$F498=0,"",(VLOOKUP($C498,REV!$C:$AA,9,0)-'TRADE IN'!$F498))</f>
        <v>9699</v>
      </c>
      <c r="L498" s="78">
        <f>IF(VLOOKUP($C498,REV!$C:$AA,10,0)-'TRADE IN'!$F498=0,"",(VLOOKUP($C498,REV!$C:$AA,10,0)-'TRADE IN'!$F498))</f>
        <v>9699</v>
      </c>
      <c r="M498" s="78">
        <f>IF(VLOOKUP($C498,REV!$C:$AA,11,0)-'TRADE IN'!$F498=0,"",(VLOOKUP($C498,REV!$C:$AA,11,0)-'TRADE IN'!$F498))</f>
        <v>9699</v>
      </c>
      <c r="N498" s="78">
        <f>IF(VLOOKUP($C498,REV!$C:$AA,12,0)-'TRADE IN'!$F498=0,"",(VLOOKUP($C498,REV!$C:$AA,12,0)-'TRADE IN'!$F498))</f>
        <v>9699</v>
      </c>
      <c r="O498" s="78">
        <f>IF(VLOOKUP($C498,REV!$C:$AA,13,0)-'TRADE IN'!$F498=0,"",(VLOOKUP($C498,REV!$C:$AA,13,0)-'TRADE IN'!$F498))</f>
        <v>9599</v>
      </c>
      <c r="P498" s="78">
        <f>IF(VLOOKUP($C498,REV!$C:$AA,14,0)-'TRADE IN'!$F498=0,"",(VLOOKUP($C498,REV!$C:$AA,14,0)-'TRADE IN'!$F498))</f>
        <v>9399</v>
      </c>
      <c r="Q498" s="78">
        <f>IF(VLOOKUP($C498,REV!$C:$AA,15,0)-'TRADE IN'!$F498=0,"",(VLOOKUP($C498,REV!$C:$AA,15,0)-'TRADE IN'!$F498))</f>
        <v>9099</v>
      </c>
      <c r="R498" s="78">
        <f>IF(VLOOKUP($C498,REV!$C:$AA,16,0)-'TRADE IN'!$F498=0,"",(VLOOKUP($C498,REV!$C:$AA,16,0)-'TRADE IN'!$F498))</f>
        <v>9599</v>
      </c>
      <c r="S498" s="78">
        <f>IF(VLOOKUP($C498,REV!$C:$AA,17,0)-'TRADE IN'!$F498=0,"",(VLOOKUP($C498,REV!$C:$AA,17,0)-'TRADE IN'!$F498))</f>
        <v>9399</v>
      </c>
      <c r="T498" s="78">
        <f>IF(VLOOKUP($C498,REV!$C:$AA,18,0)-'TRADE IN'!$F498=0,"",(VLOOKUP($C498,REV!$C:$AA,18,0)-'TRADE IN'!$F498))</f>
        <v>9099</v>
      </c>
      <c r="U498" s="78">
        <f>IF(VLOOKUP($C498,REV!$C:$AA,19,0)-'TRADE IN'!$F498=0,"",(VLOOKUP($C498,REV!$C:$AA,19,0)-'TRADE IN'!$F498))</f>
        <v>9099</v>
      </c>
      <c r="V498" s="78">
        <f>IF(VLOOKUP($C498,REV!$C:$AA,20,0)-'TRADE IN'!$F498=0,"",(VLOOKUP($C498,REV!$C:$AA,20,0)-'TRADE IN'!$F498))</f>
        <v>9099</v>
      </c>
      <c r="W498" s="78">
        <f>IF(VLOOKUP($C498,REV!$C:$AA,21,0)-'TRADE IN'!$F498=0,"",(VLOOKUP($C498,REV!$C:$AA,21,0)-'TRADE IN'!$F498))</f>
        <v>9099</v>
      </c>
      <c r="X498" s="78">
        <f>IF(VLOOKUP($C498,REV!$C:$AA,22,0)-'TRADE IN'!$F498=0,"",(VLOOKUP($C498,REV!$C:$AA,22,0)-'TRADE IN'!$F498))</f>
        <v>8999</v>
      </c>
      <c r="Y498" s="78">
        <f>IF(VLOOKUP($C498,REV!$C:$AA,23,0)-'TRADE IN'!$F498=0,"",(VLOOKUP($C498,REV!$C:$AA,23,0)-'TRADE IN'!$F498))</f>
        <v>6499</v>
      </c>
      <c r="Z498" s="78">
        <f>IF(VLOOKUP($C498,REV!$C:$AA,24,0)-'TRADE IN'!$F498=0,"",(VLOOKUP($C498,REV!$C:$AA,24,0)-'TRADE IN'!$F498))</f>
        <v>6499</v>
      </c>
      <c r="AA498" s="78">
        <f>IF(VLOOKUP($C498,REV!$C:$AA,25,0)-'TRADE IN'!$F498=0,"",(VLOOKUP($C498,REV!$C:$AA,25,0)-'TRADE IN'!$F498))</f>
        <v>6299</v>
      </c>
      <c r="AB498" s="78"/>
      <c r="AC498" s="78"/>
      <c r="AD498" s="78"/>
      <c r="AE498" s="78"/>
      <c r="AF498" s="78"/>
      <c r="AG498" s="78"/>
      <c r="AH498" s="78"/>
      <c r="AI498" s="78"/>
      <c r="AJ498" s="78"/>
      <c r="AK498" s="78"/>
      <c r="AL498" s="78"/>
      <c r="AM498" s="78"/>
      <c r="AN498" s="78"/>
      <c r="AO498" s="78"/>
      <c r="AP498" s="78"/>
      <c r="AQ498" s="78"/>
      <c r="AR498" s="78"/>
      <c r="AS498" s="78"/>
      <c r="AT498" s="78"/>
      <c r="AU498" s="78"/>
      <c r="AV498" s="57"/>
      <c r="AW498" s="152" t="str">
        <f>REV!AW498</f>
        <v>03.11.2026</v>
      </c>
      <c r="AX498" s="153" t="str">
        <f>VLOOKUP(C498,REV!C:AX,48,0)</f>
        <v>5G</v>
      </c>
    </row>
    <row r="499" spans="1:50" ht="22.5" customHeight="1">
      <c r="A499" s="83" t="s">
        <v>241</v>
      </c>
      <c r="B499" s="84" t="s">
        <v>64</v>
      </c>
      <c r="C499" s="53">
        <v>4013638</v>
      </c>
      <c r="D499" s="65" t="s">
        <v>719</v>
      </c>
      <c r="E499" s="65" t="s">
        <v>720</v>
      </c>
      <c r="F499" s="85"/>
      <c r="G499" s="86"/>
      <c r="H499" s="87"/>
      <c r="I499" s="55"/>
      <c r="J499" s="55">
        <f>IF(VLOOKUP($C499,REV!$C:$AA,8,0)-'TRADE IN'!$F499=0,"",(VLOOKUP($C499,REV!$C:$AA,8,0)-'TRADE IN'!$F499))</f>
        <v>99</v>
      </c>
      <c r="K499" s="55">
        <f>IF(VLOOKUP($C499,REV!$C:$AA,9,0)-'TRADE IN'!$F499=0,"",(VLOOKUP($C499,REV!$C:$AA,9,0)-'TRADE IN'!$F499))</f>
        <v>99</v>
      </c>
      <c r="L499" s="55">
        <f>IF(VLOOKUP($C499,REV!$C:$AA,10,0)-'TRADE IN'!$F499=0,"",(VLOOKUP($C499,REV!$C:$AA,10,0)-'TRADE IN'!$F499))</f>
        <v>99</v>
      </c>
      <c r="M499" s="55">
        <f>IF(VLOOKUP($C499,REV!$C:$AA,11,0)-'TRADE IN'!$F499=0,"",(VLOOKUP($C499,REV!$C:$AA,11,0)-'TRADE IN'!$F499))</f>
        <v>99</v>
      </c>
      <c r="N499" s="55">
        <f>IF(VLOOKUP($C499,REV!$C:$AA,12,0)-'TRADE IN'!$F499=0,"",(VLOOKUP($C499,REV!$C:$AA,12,0)-'TRADE IN'!$F499))</f>
        <v>99</v>
      </c>
      <c r="O499" s="55">
        <f>IF(VLOOKUP($C499,REV!$C:$AA,13,0)-'TRADE IN'!$F499=0,"",(VLOOKUP($C499,REV!$C:$AA,13,0)-'TRADE IN'!$F499))</f>
        <v>99</v>
      </c>
      <c r="P499" s="55">
        <f>IF(VLOOKUP($C499,REV!$C:$AA,14,0)-'TRADE IN'!$F499=0,"",(VLOOKUP($C499,REV!$C:$AA,14,0)-'TRADE IN'!$F499))</f>
        <v>99</v>
      </c>
      <c r="Q499" s="55">
        <f>IF(VLOOKUP($C499,REV!$C:$AA,15,0)-'TRADE IN'!$F499=0,"",(VLOOKUP($C499,REV!$C:$AA,15,0)-'TRADE IN'!$F499))</f>
        <v>99</v>
      </c>
      <c r="R499" s="55">
        <f>IF(VLOOKUP($C499,REV!$C:$AA,16,0)-'TRADE IN'!$F499=0,"",(VLOOKUP($C499,REV!$C:$AA,16,0)-'TRADE IN'!$F499))</f>
        <v>99</v>
      </c>
      <c r="S499" s="55">
        <f>IF(VLOOKUP($C499,REV!$C:$AA,17,0)-'TRADE IN'!$F499=0,"",(VLOOKUP($C499,REV!$C:$AA,17,0)-'TRADE IN'!$F499))</f>
        <v>99</v>
      </c>
      <c r="T499" s="55">
        <f>IF(VLOOKUP($C499,REV!$C:$AA,18,0)-'TRADE IN'!$F499=0,"",(VLOOKUP($C499,REV!$C:$AA,18,0)-'TRADE IN'!$F499))</f>
        <v>99</v>
      </c>
      <c r="U499" s="55">
        <f>IF(VLOOKUP($C499,REV!$C:$AA,19,0)-'TRADE IN'!$F499=0,"",(VLOOKUP($C499,REV!$C:$AA,19,0)-'TRADE IN'!$F499))</f>
        <v>99</v>
      </c>
      <c r="V499" s="55">
        <f>IF(VLOOKUP($C499,REV!$C:$AA,20,0)-'TRADE IN'!$F499=0,"",(VLOOKUP($C499,REV!$C:$AA,20,0)-'TRADE IN'!$F499))</f>
        <v>99</v>
      </c>
      <c r="W499" s="55">
        <f>IF(VLOOKUP($C499,REV!$C:$AA,21,0)-'TRADE IN'!$F499=0,"",(VLOOKUP($C499,REV!$C:$AA,21,0)-'TRADE IN'!$F499))</f>
        <v>99</v>
      </c>
      <c r="X499" s="55">
        <f>IF(VLOOKUP($C499,REV!$C:$AA,22,0)-'TRADE IN'!$F499=0,"",(VLOOKUP($C499,REV!$C:$AA,22,0)-'TRADE IN'!$F499))</f>
        <v>99</v>
      </c>
      <c r="Y499" s="55">
        <f>IF(VLOOKUP($C499,REV!$C:$AA,23,0)-'TRADE IN'!$F499=0,"",(VLOOKUP($C499,REV!$C:$AA,23,0)-'TRADE IN'!$F499))</f>
        <v>99</v>
      </c>
      <c r="Z499" s="55">
        <f>IF(VLOOKUP($C499,REV!$C:$AA,24,0)-'TRADE IN'!$F499=0,"",(VLOOKUP($C499,REV!$C:$AA,24,0)-'TRADE IN'!$F499))</f>
        <v>99</v>
      </c>
      <c r="AA499" s="55">
        <f>IF(VLOOKUP($C499,REV!$C:$AA,25,0)-'TRADE IN'!$F499=0,"",(VLOOKUP($C499,REV!$C:$AA,25,0)-'TRADE IN'!$F499))</f>
        <v>99</v>
      </c>
      <c r="AB499" s="55" t="str">
        <f>IF(VLOOKUP($C499,REV!$C:$AL,27,0)-'TRADE IN'!$F499=0,"",(VLOOKUP($C499,REV!$C:$AL,27,0)-'TRADE IN'!$F499))</f>
        <v/>
      </c>
      <c r="AC499" s="55" t="str">
        <f>IF(VLOOKUP($C499,REV!$C:$AL,28,0)-'TRADE IN'!$F499=0,"",(VLOOKUP($C499,REV!$C:$AL,28,0)-'TRADE IN'!$F499))</f>
        <v/>
      </c>
      <c r="AD499" s="55" t="str">
        <f>IF(VLOOKUP($C499,REV!$C:$AL,29,0)-'TRADE IN'!$F499=0,"",(VLOOKUP($C499,REV!$C:$AL,29,0)-'TRADE IN'!$F499))</f>
        <v/>
      </c>
      <c r="AE499" s="55" t="str">
        <f>IF(VLOOKUP($C499,REV!$C:$AL,30,0)-'TRADE IN'!$F499=0,"",(VLOOKUP($C499,REV!$C:$AL,30,0)-'TRADE IN'!$F499))</f>
        <v/>
      </c>
      <c r="AF499" s="55" t="str">
        <f>IF(VLOOKUP($C499,REV!$C:$AL,31,0)-'TRADE IN'!$F499=0,"",(VLOOKUP($C499,REV!$C:$AL,31,0)-'TRADE IN'!$F499))</f>
        <v/>
      </c>
      <c r="AG499" s="55" t="str">
        <f>IF(VLOOKUP($C499,REV!$C:$AL,31,0)-'TRADE IN'!$F499=0,"",(VLOOKUP($C499,REV!$C:$AL,31,0)-'TRADE IN'!$F499))</f>
        <v/>
      </c>
      <c r="AH499" s="55" t="str">
        <f>IF(VLOOKUP($C499,REV!$C:$AL,32,0)-'TRADE IN'!$F499=0,"",(VLOOKUP($C499,REV!$C:$AL,32,0)-'TRADE IN'!$F499))</f>
        <v/>
      </c>
      <c r="AI499" s="55" t="str">
        <f>IF(VLOOKUP($C499,REV!$C:$AL,33,0)-'TRADE IN'!$F499=0,"",(VLOOKUP($C499,REV!$C:$AL,33,0)-'TRADE IN'!$F499))</f>
        <v/>
      </c>
      <c r="AJ499" s="55" t="str">
        <f>IF(VLOOKUP($C499,REV!$C:$AL,34,0)-'TRADE IN'!$F499=0,"",(VLOOKUP($C499,REV!$C:$AL,34,0)-'TRADE IN'!$F499))</f>
        <v/>
      </c>
      <c r="AK499" s="55" t="str">
        <f>IF(VLOOKUP($C499,REV!$C:$AL,35,0)-'TRADE IN'!$F499=0,"",(VLOOKUP($C499,REV!$C:$AL,35,0)-'TRADE IN'!$F499))</f>
        <v/>
      </c>
      <c r="AL499" s="55" t="str">
        <f>IF(VLOOKUP($C499,REV!$C:$AL,36,0)-'TRADE IN'!$F499=0,"",(VLOOKUP($C499,REV!$C:$AL,36,0)-'TRADE IN'!$F499))</f>
        <v/>
      </c>
      <c r="AM499" s="55">
        <v>199</v>
      </c>
      <c r="AN499" s="55">
        <v>159</v>
      </c>
      <c r="AO499" s="55">
        <v>129</v>
      </c>
      <c r="AP499" s="55"/>
      <c r="AQ499" s="55"/>
      <c r="AR499" s="55"/>
      <c r="AS499" s="55"/>
      <c r="AT499" s="55"/>
      <c r="AU499" s="55"/>
      <c r="AW499" s="88" t="str">
        <f>REV!AW499</f>
        <v>03.11.2026</v>
      </c>
      <c r="AX499" s="154" t="str">
        <f>VLOOKUP(C499,REV!C:AX,48,0)</f>
        <v>3G</v>
      </c>
    </row>
    <row r="500" spans="1:50" ht="22.5" customHeight="1">
      <c r="A500" s="64" t="s">
        <v>241</v>
      </c>
      <c r="B500" s="52" t="s">
        <v>64</v>
      </c>
      <c r="C500" s="72">
        <v>4013131</v>
      </c>
      <c r="D500" s="73" t="s">
        <v>722</v>
      </c>
      <c r="E500" s="73" t="s">
        <v>723</v>
      </c>
      <c r="F500" s="85"/>
      <c r="G500" s="90"/>
      <c r="H500" s="87"/>
      <c r="I500" s="55"/>
      <c r="J500" s="55" t="str">
        <f>IF(VLOOKUP($C500,REV!$C:$AA,8,0)-'TRADE IN'!$F500=0,"",(VLOOKUP($C500,REV!$C:$AA,8,0)-'TRADE IN'!$F500))</f>
        <v/>
      </c>
      <c r="K500" s="55" t="str">
        <f>IF(VLOOKUP($C500,REV!$C:$AA,9,0)-'TRADE IN'!$F500=0,"",(VLOOKUP($C500,REV!$C:$AA,9,0)-'TRADE IN'!$F500))</f>
        <v/>
      </c>
      <c r="L500" s="55" t="str">
        <f>IF(VLOOKUP($C500,REV!$C:$AA,10,0)-'TRADE IN'!$F500=0,"",(VLOOKUP($C500,REV!$C:$AA,10,0)-'TRADE IN'!$F500))</f>
        <v/>
      </c>
      <c r="M500" s="55" t="str">
        <f>IF(VLOOKUP($C500,REV!$C:$AA,11,0)-'TRADE IN'!$F500=0,"",(VLOOKUP($C500,REV!$C:$AA,11,0)-'TRADE IN'!$F500))</f>
        <v/>
      </c>
      <c r="N500" s="55" t="str">
        <f>IF(VLOOKUP($C500,REV!$C:$AA,12,0)-'TRADE IN'!$F500=0,"",(VLOOKUP($C500,REV!$C:$AA,12,0)-'TRADE IN'!$F500))</f>
        <v/>
      </c>
      <c r="O500" s="55" t="str">
        <f>IF(VLOOKUP($C500,REV!$C:$AA,13,0)-'TRADE IN'!$F500=0,"",(VLOOKUP($C500,REV!$C:$AA,13,0)-'TRADE IN'!$F500))</f>
        <v/>
      </c>
      <c r="P500" s="55" t="str">
        <f>IF(VLOOKUP($C500,REV!$C:$AA,14,0)-'TRADE IN'!$F500=0,"",(VLOOKUP($C500,REV!$C:$AA,14,0)-'TRADE IN'!$F500))</f>
        <v/>
      </c>
      <c r="Q500" s="55" t="str">
        <f>IF(VLOOKUP($C500,REV!$C:$AA,15,0)-'TRADE IN'!$F500=0,"",(VLOOKUP($C500,REV!$C:$AA,15,0)-'TRADE IN'!$F500))</f>
        <v/>
      </c>
      <c r="R500" s="55" t="str">
        <f>IF(VLOOKUP($C500,REV!$C:$AA,16,0)-'TRADE IN'!$F500=0,"",(VLOOKUP($C500,REV!$C:$AA,16,0)-'TRADE IN'!$F500))</f>
        <v/>
      </c>
      <c r="S500" s="55" t="str">
        <f>IF(VLOOKUP($C500,REV!$C:$AA,17,0)-'TRADE IN'!$F500=0,"",(VLOOKUP($C500,REV!$C:$AA,17,0)-'TRADE IN'!$F500))</f>
        <v/>
      </c>
      <c r="T500" s="55" t="str">
        <f>IF(VLOOKUP($C500,REV!$C:$AA,18,0)-'TRADE IN'!$F500=0,"",(VLOOKUP($C500,REV!$C:$AA,18,0)-'TRADE IN'!$F500))</f>
        <v/>
      </c>
      <c r="U500" s="55" t="str">
        <f>IF(VLOOKUP($C500,REV!$C:$AA,19,0)-'TRADE IN'!$F500=0,"",(VLOOKUP($C500,REV!$C:$AA,19,0)-'TRADE IN'!$F500))</f>
        <v/>
      </c>
      <c r="V500" s="55" t="str">
        <f>IF(VLOOKUP($C500,REV!$C:$AA,20,0)-'TRADE IN'!$F500=0,"",(VLOOKUP($C500,REV!$C:$AA,20,0)-'TRADE IN'!$F500))</f>
        <v/>
      </c>
      <c r="W500" s="55" t="str">
        <f>IF(VLOOKUP($C500,REV!$C:$AA,21,0)-'TRADE IN'!$F500=0,"",(VLOOKUP($C500,REV!$C:$AA,21,0)-'TRADE IN'!$F500))</f>
        <v/>
      </c>
      <c r="X500" s="55" t="str">
        <f>IF(VLOOKUP($C500,REV!$C:$AA,22,0)-'TRADE IN'!$F500=0,"",(VLOOKUP($C500,REV!$C:$AA,22,0)-'TRADE IN'!$F500))</f>
        <v/>
      </c>
      <c r="Y500" s="55" t="str">
        <f>IF(VLOOKUP($C500,REV!$C:$AA,23,0)-'TRADE IN'!$F500=0,"",(VLOOKUP($C500,REV!$C:$AA,23,0)-'TRADE IN'!$F500))</f>
        <v/>
      </c>
      <c r="Z500" s="55" t="str">
        <f>IF(VLOOKUP($C500,REV!$C:$AA,24,0)-'TRADE IN'!$F500=0,"",(VLOOKUP($C500,REV!$C:$AA,24,0)-'TRADE IN'!$F500))</f>
        <v/>
      </c>
      <c r="AA500" s="55" t="str">
        <f>IF(VLOOKUP($C500,REV!$C:$AA,25,0)-'TRADE IN'!$F500=0,"",(VLOOKUP($C500,REV!$C:$AA,25,0)-'TRADE IN'!$F500))</f>
        <v/>
      </c>
      <c r="AB500" s="55" t="str">
        <f>IF(VLOOKUP($C500,REV!$C:$AL,27,0)-'TRADE IN'!$F500=0,"",(VLOOKUP($C500,REV!$C:$AL,27,0)-'TRADE IN'!$F500))</f>
        <v/>
      </c>
      <c r="AC500" s="55" t="str">
        <f>IF(VLOOKUP($C500,REV!$C:$AL,28,0)-'TRADE IN'!$F500=0,"",(VLOOKUP($C500,REV!$C:$AL,28,0)-'TRADE IN'!$F500))</f>
        <v/>
      </c>
      <c r="AD500" s="55" t="str">
        <f>IF(VLOOKUP($C500,REV!$C:$AL,29,0)-'TRADE IN'!$F500=0,"",(VLOOKUP($C500,REV!$C:$AL,29,0)-'TRADE IN'!$F500))</f>
        <v/>
      </c>
      <c r="AE500" s="55" t="str">
        <f>IF(VLOOKUP($C500,REV!$C:$AL,30,0)-'TRADE IN'!$F500=0,"",(VLOOKUP($C500,REV!$C:$AL,30,0)-'TRADE IN'!$F500))</f>
        <v/>
      </c>
      <c r="AF500" s="55" t="str">
        <f>IF(VLOOKUP($C500,REV!$C:$AL,31,0)-'TRADE IN'!$F500=0,"",(VLOOKUP($C500,REV!$C:$AL,31,0)-'TRADE IN'!$F500))</f>
        <v/>
      </c>
      <c r="AG500" s="55" t="str">
        <f>IF(VLOOKUP($C500,REV!$C:$AL,31,0)-'TRADE IN'!$F500=0,"",(VLOOKUP($C500,REV!$C:$AL,31,0)-'TRADE IN'!$F500))</f>
        <v/>
      </c>
      <c r="AH500" s="55" t="str">
        <f>IF(VLOOKUP($C500,REV!$C:$AL,32,0)-'TRADE IN'!$F500=0,"",(VLOOKUP($C500,REV!$C:$AL,32,0)-'TRADE IN'!$F500))</f>
        <v/>
      </c>
      <c r="AI500" s="55" t="str">
        <f>IF(VLOOKUP($C500,REV!$C:$AL,33,0)-'TRADE IN'!$F500=0,"",(VLOOKUP($C500,REV!$C:$AL,33,0)-'TRADE IN'!$F500))</f>
        <v/>
      </c>
      <c r="AJ500" s="55" t="str">
        <f>IF(VLOOKUP($C500,REV!$C:$AL,34,0)-'TRADE IN'!$F500=0,"",(VLOOKUP($C500,REV!$C:$AL,34,0)-'TRADE IN'!$F500))</f>
        <v/>
      </c>
      <c r="AK500" s="55" t="str">
        <f>IF(VLOOKUP($C500,REV!$C:$AL,35,0)-'TRADE IN'!$F500=0,"",(VLOOKUP($C500,REV!$C:$AL,35,0)-'TRADE IN'!$F500))</f>
        <v/>
      </c>
      <c r="AL500" s="55" t="str">
        <f>IF(VLOOKUP($C500,REV!$C:$AL,36,0)-'TRADE IN'!$F500=0,"",(VLOOKUP($C500,REV!$C:$AL,36,0)-'TRADE IN'!$F500))</f>
        <v/>
      </c>
      <c r="AM500" s="55">
        <v>199</v>
      </c>
      <c r="AN500" s="55">
        <v>159</v>
      </c>
      <c r="AO500" s="55">
        <v>129</v>
      </c>
      <c r="AP500" s="55"/>
      <c r="AQ500" s="55"/>
      <c r="AR500" s="55"/>
      <c r="AS500" s="55"/>
      <c r="AT500" s="55"/>
      <c r="AU500" s="55"/>
      <c r="AW500" s="58" t="str">
        <f>REV!AW500</f>
        <v>03.11.2026</v>
      </c>
      <c r="AX500" s="147" t="str">
        <f>VLOOKUP(C500,REV!C:AX,48,0)</f>
        <v>3G</v>
      </c>
    </row>
    <row r="501" spans="1:50" ht="22.5" customHeight="1">
      <c r="A501" s="64" t="s">
        <v>241</v>
      </c>
      <c r="B501" s="52" t="s">
        <v>64</v>
      </c>
      <c r="C501" s="72">
        <v>4013033</v>
      </c>
      <c r="D501" s="73" t="s">
        <v>724</v>
      </c>
      <c r="E501" s="73" t="s">
        <v>725</v>
      </c>
      <c r="F501" s="85"/>
      <c r="G501" s="86"/>
      <c r="H501" s="87"/>
      <c r="I501" s="55"/>
      <c r="J501" s="55" t="str">
        <f>IF(VLOOKUP($C501,REV!$C:$AA,8,0)-'TRADE IN'!$F501=0,"",(VLOOKUP($C501,REV!$C:$AA,8,0)-'TRADE IN'!$F501))</f>
        <v/>
      </c>
      <c r="K501" s="55" t="str">
        <f>IF(VLOOKUP($C501,REV!$C:$AA,9,0)-'TRADE IN'!$F501=0,"",(VLOOKUP($C501,REV!$C:$AA,9,0)-'TRADE IN'!$F501))</f>
        <v/>
      </c>
      <c r="L501" s="55" t="str">
        <f>IF(VLOOKUP($C501,REV!$C:$AA,10,0)-'TRADE IN'!$F501=0,"",(VLOOKUP($C501,REV!$C:$AA,10,0)-'TRADE IN'!$F501))</f>
        <v/>
      </c>
      <c r="M501" s="55" t="str">
        <f>IF(VLOOKUP($C501,REV!$C:$AA,11,0)-'TRADE IN'!$F501=0,"",(VLOOKUP($C501,REV!$C:$AA,11,0)-'TRADE IN'!$F501))</f>
        <v/>
      </c>
      <c r="N501" s="55" t="str">
        <f>IF(VLOOKUP($C501,REV!$C:$AA,12,0)-'TRADE IN'!$F501=0,"",(VLOOKUP($C501,REV!$C:$AA,12,0)-'TRADE IN'!$F501))</f>
        <v/>
      </c>
      <c r="O501" s="55" t="str">
        <f>IF(VLOOKUP($C501,REV!$C:$AA,13,0)-'TRADE IN'!$F501=0,"",(VLOOKUP($C501,REV!$C:$AA,13,0)-'TRADE IN'!$F501))</f>
        <v/>
      </c>
      <c r="P501" s="55" t="str">
        <f>IF(VLOOKUP($C501,REV!$C:$AA,14,0)-'TRADE IN'!$F501=0,"",(VLOOKUP($C501,REV!$C:$AA,14,0)-'TRADE IN'!$F501))</f>
        <v/>
      </c>
      <c r="Q501" s="55" t="str">
        <f>IF(VLOOKUP($C501,REV!$C:$AA,15,0)-'TRADE IN'!$F501=0,"",(VLOOKUP($C501,REV!$C:$AA,15,0)-'TRADE IN'!$F501))</f>
        <v/>
      </c>
      <c r="R501" s="55" t="str">
        <f>IF(VLOOKUP($C501,REV!$C:$AA,16,0)-'TRADE IN'!$F501=0,"",(VLOOKUP($C501,REV!$C:$AA,16,0)-'TRADE IN'!$F501))</f>
        <v/>
      </c>
      <c r="S501" s="55" t="str">
        <f>IF(VLOOKUP($C501,REV!$C:$AA,17,0)-'TRADE IN'!$F501=0,"",(VLOOKUP($C501,REV!$C:$AA,17,0)-'TRADE IN'!$F501))</f>
        <v/>
      </c>
      <c r="T501" s="55" t="str">
        <f>IF(VLOOKUP($C501,REV!$C:$AA,18,0)-'TRADE IN'!$F501=0,"",(VLOOKUP($C501,REV!$C:$AA,18,0)-'TRADE IN'!$F501))</f>
        <v/>
      </c>
      <c r="U501" s="55" t="str">
        <f>IF(VLOOKUP($C501,REV!$C:$AA,19,0)-'TRADE IN'!$F501=0,"",(VLOOKUP($C501,REV!$C:$AA,19,0)-'TRADE IN'!$F501))</f>
        <v/>
      </c>
      <c r="V501" s="55" t="str">
        <f>IF(VLOOKUP($C501,REV!$C:$AA,20,0)-'TRADE IN'!$F501=0,"",(VLOOKUP($C501,REV!$C:$AA,20,0)-'TRADE IN'!$F501))</f>
        <v/>
      </c>
      <c r="W501" s="55" t="str">
        <f>IF(VLOOKUP($C501,REV!$C:$AA,21,0)-'TRADE IN'!$F501=0,"",(VLOOKUP($C501,REV!$C:$AA,21,0)-'TRADE IN'!$F501))</f>
        <v/>
      </c>
      <c r="X501" s="55" t="str">
        <f>IF(VLOOKUP($C501,REV!$C:$AA,22,0)-'TRADE IN'!$F501=0,"",(VLOOKUP($C501,REV!$C:$AA,22,0)-'TRADE IN'!$F501))</f>
        <v/>
      </c>
      <c r="Y501" s="55" t="str">
        <f>IF(VLOOKUP($C501,REV!$C:$AA,23,0)-'TRADE IN'!$F501=0,"",(VLOOKUP($C501,REV!$C:$AA,23,0)-'TRADE IN'!$F501))</f>
        <v/>
      </c>
      <c r="Z501" s="55" t="str">
        <f>IF(VLOOKUP($C501,REV!$C:$AA,24,0)-'TRADE IN'!$F501=0,"",(VLOOKUP($C501,REV!$C:$AA,24,0)-'TRADE IN'!$F501))</f>
        <v/>
      </c>
      <c r="AA501" s="55" t="str">
        <f>IF(VLOOKUP($C501,REV!$C:$AA,25,0)-'TRADE IN'!$F501=0,"",(VLOOKUP($C501,REV!$C:$AA,25,0)-'TRADE IN'!$F501))</f>
        <v/>
      </c>
      <c r="AB501" s="55" t="str">
        <f>IF(VLOOKUP($C501,REV!$C:$AL,27,0)-'TRADE IN'!$F501=0,"",(VLOOKUP($C501,REV!$C:$AL,27,0)-'TRADE IN'!$F501))</f>
        <v/>
      </c>
      <c r="AC501" s="55" t="str">
        <f>IF(VLOOKUP($C501,REV!$C:$AL,28,0)-'TRADE IN'!$F501=0,"",(VLOOKUP($C501,REV!$C:$AL,28,0)-'TRADE IN'!$F501))</f>
        <v/>
      </c>
      <c r="AD501" s="55" t="str">
        <f>IF(VLOOKUP($C501,REV!$C:$AL,29,0)-'TRADE IN'!$F501=0,"",(VLOOKUP($C501,REV!$C:$AL,29,0)-'TRADE IN'!$F501))</f>
        <v/>
      </c>
      <c r="AE501" s="55" t="str">
        <f>IF(VLOOKUP($C501,REV!$C:$AL,30,0)-'TRADE IN'!$F501=0,"",(VLOOKUP($C501,REV!$C:$AL,30,0)-'TRADE IN'!$F501))</f>
        <v/>
      </c>
      <c r="AF501" s="55" t="str">
        <f>IF(VLOOKUP($C501,REV!$C:$AL,31,0)-'TRADE IN'!$F501=0,"",(VLOOKUP($C501,REV!$C:$AL,31,0)-'TRADE IN'!$F501))</f>
        <v/>
      </c>
      <c r="AG501" s="55" t="str">
        <f>IF(VLOOKUP($C501,REV!$C:$AL,31,0)-'TRADE IN'!$F501=0,"",(VLOOKUP($C501,REV!$C:$AL,31,0)-'TRADE IN'!$F501))</f>
        <v/>
      </c>
      <c r="AH501" s="55" t="str">
        <f>IF(VLOOKUP($C501,REV!$C:$AL,32,0)-'TRADE IN'!$F501=0,"",(VLOOKUP($C501,REV!$C:$AL,32,0)-'TRADE IN'!$F501))</f>
        <v/>
      </c>
      <c r="AI501" s="55" t="str">
        <f>IF(VLOOKUP($C501,REV!$C:$AL,33,0)-'TRADE IN'!$F501=0,"",(VLOOKUP($C501,REV!$C:$AL,33,0)-'TRADE IN'!$F501))</f>
        <v/>
      </c>
      <c r="AJ501" s="55" t="str">
        <f>IF(VLOOKUP($C501,REV!$C:$AL,34,0)-'TRADE IN'!$F501=0,"",(VLOOKUP($C501,REV!$C:$AL,34,0)-'TRADE IN'!$F501))</f>
        <v/>
      </c>
      <c r="AK501" s="55" t="str">
        <f>IF(VLOOKUP($C501,REV!$C:$AL,35,0)-'TRADE IN'!$F501=0,"",(VLOOKUP($C501,REV!$C:$AL,35,0)-'TRADE IN'!$F501))</f>
        <v/>
      </c>
      <c r="AL501" s="55" t="str">
        <f>IF(VLOOKUP($C501,REV!$C:$AL,36,0)-'TRADE IN'!$F501=0,"",(VLOOKUP($C501,REV!$C:$AL,36,0)-'TRADE IN'!$F501))</f>
        <v/>
      </c>
      <c r="AM501" s="55">
        <v>199</v>
      </c>
      <c r="AN501" s="55">
        <v>159</v>
      </c>
      <c r="AO501" s="55">
        <v>129</v>
      </c>
      <c r="AP501" s="55"/>
      <c r="AQ501" s="55"/>
      <c r="AR501" s="55"/>
      <c r="AS501" s="55"/>
      <c r="AT501" s="55"/>
      <c r="AU501" s="55"/>
      <c r="AW501" s="58" t="str">
        <f>REV!AW501</f>
        <v>03.11.2026</v>
      </c>
      <c r="AX501" s="147" t="str">
        <f>VLOOKUP(C501,REV!C:AX,48,0)</f>
        <v>4G</v>
      </c>
    </row>
    <row r="502" spans="1:50" ht="22.5" customHeight="1" thickBot="1">
      <c r="A502" s="91" t="s">
        <v>241</v>
      </c>
      <c r="B502" s="92" t="s">
        <v>64</v>
      </c>
      <c r="C502" s="76">
        <v>4011551</v>
      </c>
      <c r="D502" s="93" t="s">
        <v>726</v>
      </c>
      <c r="E502" s="77" t="s">
        <v>727</v>
      </c>
      <c r="F502" s="78"/>
      <c r="G502" s="78"/>
      <c r="H502" s="78"/>
      <c r="I502" s="78"/>
      <c r="J502" s="78" t="str">
        <f>IF(VLOOKUP($C502,REV!$C:$AA,8,0)-'TRADE IN'!$F502=0,"",(VLOOKUP($C502,REV!$C:$AA,8,0)-'TRADE IN'!$F502))</f>
        <v/>
      </c>
      <c r="K502" s="78" t="str">
        <f>IF(VLOOKUP($C502,REV!$C:$AA,9,0)-'TRADE IN'!$F502=0,"",(VLOOKUP($C502,REV!$C:$AA,9,0)-'TRADE IN'!$F502))</f>
        <v/>
      </c>
      <c r="L502" s="78" t="str">
        <f>IF(VLOOKUP($C502,REV!$C:$AA,10,0)-'TRADE IN'!$F502=0,"",(VLOOKUP($C502,REV!$C:$AA,10,0)-'TRADE IN'!$F502))</f>
        <v/>
      </c>
      <c r="M502" s="78" t="str">
        <f>IF(VLOOKUP($C502,REV!$C:$AA,11,0)-'TRADE IN'!$F502=0,"",(VLOOKUP($C502,REV!$C:$AA,11,0)-'TRADE IN'!$F502))</f>
        <v/>
      </c>
      <c r="N502" s="78" t="str">
        <f>IF(VLOOKUP($C502,REV!$C:$AA,12,0)-'TRADE IN'!$F502=0,"",(VLOOKUP($C502,REV!$C:$AA,12,0)-'TRADE IN'!$F502))</f>
        <v/>
      </c>
      <c r="O502" s="78" t="str">
        <f>IF(VLOOKUP($C502,REV!$C:$AA,13,0)-'TRADE IN'!$F502=0,"",(VLOOKUP($C502,REV!$C:$AA,13,0)-'TRADE IN'!$F502))</f>
        <v/>
      </c>
      <c r="P502" s="78" t="str">
        <f>IF(VLOOKUP($C502,REV!$C:$AA,14,0)-'TRADE IN'!$F502=0,"",(VLOOKUP($C502,REV!$C:$AA,14,0)-'TRADE IN'!$F502))</f>
        <v/>
      </c>
      <c r="Q502" s="78" t="str">
        <f>IF(VLOOKUP($C502,REV!$C:$AA,15,0)-'TRADE IN'!$F502=0,"",(VLOOKUP($C502,REV!$C:$AA,15,0)-'TRADE IN'!$F502))</f>
        <v/>
      </c>
      <c r="R502" s="78" t="str">
        <f>IF(VLOOKUP($C502,REV!$C:$AA,16,0)-'TRADE IN'!$F502=0,"",(VLOOKUP($C502,REV!$C:$AA,16,0)-'TRADE IN'!$F502))</f>
        <v/>
      </c>
      <c r="S502" s="78" t="str">
        <f>IF(VLOOKUP($C502,REV!$C:$AA,17,0)-'TRADE IN'!$F502=0,"",(VLOOKUP($C502,REV!$C:$AA,17,0)-'TRADE IN'!$F502))</f>
        <v/>
      </c>
      <c r="T502" s="78" t="str">
        <f>IF(VLOOKUP($C502,REV!$C:$AA,18,0)-'TRADE IN'!$F502=0,"",(VLOOKUP($C502,REV!$C:$AA,18,0)-'TRADE IN'!$F502))</f>
        <v/>
      </c>
      <c r="U502" s="78" t="str">
        <f>IF(VLOOKUP($C502,REV!$C:$AA,19,0)-'TRADE IN'!$F502=0,"",(VLOOKUP($C502,REV!$C:$AA,19,0)-'TRADE IN'!$F502))</f>
        <v/>
      </c>
      <c r="V502" s="78" t="str">
        <f>IF(VLOOKUP($C502,REV!$C:$AA,20,0)-'TRADE IN'!$F502=0,"",(VLOOKUP($C502,REV!$C:$AA,20,0)-'TRADE IN'!$F502))</f>
        <v/>
      </c>
      <c r="W502" s="78" t="str">
        <f>IF(VLOOKUP($C502,REV!$C:$AA,21,0)-'TRADE IN'!$F502=0,"",(VLOOKUP($C502,REV!$C:$AA,21,0)-'TRADE IN'!$F502))</f>
        <v/>
      </c>
      <c r="X502" s="78" t="str">
        <f>IF(VLOOKUP($C502,REV!$C:$AA,22,0)-'TRADE IN'!$F502=0,"",(VLOOKUP($C502,REV!$C:$AA,22,0)-'TRADE IN'!$F502))</f>
        <v/>
      </c>
      <c r="Y502" s="78" t="str">
        <f>IF(VLOOKUP($C502,REV!$C:$AA,23,0)-'TRADE IN'!$F502=0,"",(VLOOKUP($C502,REV!$C:$AA,23,0)-'TRADE IN'!$F502))</f>
        <v/>
      </c>
      <c r="Z502" s="78" t="str">
        <f>IF(VLOOKUP($C502,REV!$C:$AA,24,0)-'TRADE IN'!$F502=0,"",(VLOOKUP($C502,REV!$C:$AA,24,0)-'TRADE IN'!$F502))</f>
        <v/>
      </c>
      <c r="AA502" s="78" t="str">
        <f>IF(VLOOKUP($C502,REV!$C:$AA,25,0)-'TRADE IN'!$F502=0,"",(VLOOKUP($C502,REV!$C:$AA,25,0)-'TRADE IN'!$F502))</f>
        <v/>
      </c>
      <c r="AB502" s="78" t="str">
        <f>IF(VLOOKUP($C502,REV!$C:$AL,27,0)-'TRADE IN'!$F502=0,"",(VLOOKUP($C502,REV!$C:$AL,27,0)-'TRADE IN'!$F502))</f>
        <v/>
      </c>
      <c r="AC502" s="78" t="str">
        <f>IF(VLOOKUP($C502,REV!$C:$AL,28,0)-'TRADE IN'!$F502=0,"",(VLOOKUP($C502,REV!$C:$AL,28,0)-'TRADE IN'!$F502))</f>
        <v/>
      </c>
      <c r="AD502" s="78" t="str">
        <f>IF(VLOOKUP($C502,REV!$C:$AL,29,0)-'TRADE IN'!$F502=0,"",(VLOOKUP($C502,REV!$C:$AL,29,0)-'TRADE IN'!$F502))</f>
        <v/>
      </c>
      <c r="AE502" s="78" t="str">
        <f>IF(VLOOKUP($C502,REV!$C:$AL,30,0)-'TRADE IN'!$F502=0,"",(VLOOKUP($C502,REV!$C:$AL,30,0)-'TRADE IN'!$F502))</f>
        <v/>
      </c>
      <c r="AF502" s="78" t="str">
        <f>IF(VLOOKUP($C502,REV!$C:$AL,31,0)-'TRADE IN'!$F502=0,"",(VLOOKUP($C502,REV!$C:$AL,31,0)-'TRADE IN'!$F502))</f>
        <v/>
      </c>
      <c r="AG502" s="78" t="str">
        <f>IF(VLOOKUP($C502,REV!$C:$AL,31,0)-'TRADE IN'!$F502=0,"",(VLOOKUP($C502,REV!$C:$AL,31,0)-'TRADE IN'!$F502))</f>
        <v/>
      </c>
      <c r="AH502" s="78" t="str">
        <f>IF(VLOOKUP($C502,REV!$C:$AL,32,0)-'TRADE IN'!$F502=0,"",(VLOOKUP($C502,REV!$C:$AL,32,0)-'TRADE IN'!$F502))</f>
        <v/>
      </c>
      <c r="AI502" s="78" t="str">
        <f>IF(VLOOKUP($C502,REV!$C:$AL,33,0)-'TRADE IN'!$F502=0,"",(VLOOKUP($C502,REV!$C:$AL,33,0)-'TRADE IN'!$F502))</f>
        <v/>
      </c>
      <c r="AJ502" s="78" t="str">
        <f>IF(VLOOKUP($C502,REV!$C:$AL,34,0)-'TRADE IN'!$F502=0,"",(VLOOKUP($C502,REV!$C:$AL,34,0)-'TRADE IN'!$F502))</f>
        <v/>
      </c>
      <c r="AK502" s="78" t="str">
        <f>IF(VLOOKUP($C502,REV!$C:$AL,35,0)-'TRADE IN'!$F502=0,"",(VLOOKUP($C502,REV!$C:$AL,35,0)-'TRADE IN'!$F502))</f>
        <v/>
      </c>
      <c r="AL502" s="78" t="str">
        <f>IF(VLOOKUP($C502,REV!$C:$AL,36,0)-'TRADE IN'!$F502=0,"",(VLOOKUP($C502,REV!$C:$AL,36,0)-'TRADE IN'!$F502))</f>
        <v/>
      </c>
      <c r="AM502" s="78"/>
      <c r="AN502" s="78"/>
      <c r="AO502" s="78"/>
      <c r="AP502" s="78"/>
      <c r="AQ502" s="78"/>
      <c r="AR502" s="78"/>
      <c r="AS502" s="78"/>
      <c r="AT502" s="78"/>
      <c r="AU502" s="78"/>
      <c r="AW502" s="94" t="str">
        <f>REV!AW502</f>
        <v>03.11.2026</v>
      </c>
      <c r="AX502" s="153" t="str">
        <f>VLOOKUP(C502,REV!C:AX,48,0)</f>
        <v>4G</v>
      </c>
    </row>
    <row r="503" spans="1:50" ht="22.5" customHeight="1">
      <c r="A503" s="83" t="s">
        <v>241</v>
      </c>
      <c r="B503" s="84" t="s">
        <v>64</v>
      </c>
      <c r="C503" s="65">
        <v>4011550</v>
      </c>
      <c r="D503" s="96" t="s">
        <v>728</v>
      </c>
      <c r="E503" s="65" t="s">
        <v>728</v>
      </c>
      <c r="F503" s="56"/>
      <c r="J503" s="55" t="str">
        <f>IF(VLOOKUP($C503,REV!$C:$AA,8,0)-'TRADE IN'!$F503=0,"",(VLOOKUP($C503,REV!$C:$AA,8,0)-'TRADE IN'!$F503))</f>
        <v/>
      </c>
      <c r="K503" s="55" t="str">
        <f>IF(VLOOKUP($C503,REV!$C:$AA,9,0)-'TRADE IN'!$F503=0,"",(VLOOKUP($C503,REV!$C:$AA,9,0)-'TRADE IN'!$F503))</f>
        <v/>
      </c>
      <c r="L503" s="55" t="str">
        <f>IF(VLOOKUP($C503,REV!$C:$AA,10,0)-'TRADE IN'!$F503=0,"",(VLOOKUP($C503,REV!$C:$AA,10,0)-'TRADE IN'!$F503))</f>
        <v/>
      </c>
      <c r="M503" s="55" t="str">
        <f>IF(VLOOKUP($C503,REV!$C:$AA,11,0)-'TRADE IN'!$F503=0,"",(VLOOKUP($C503,REV!$C:$AA,11,0)-'TRADE IN'!$F503))</f>
        <v/>
      </c>
      <c r="N503" s="55" t="str">
        <f>IF(VLOOKUP($C503,REV!$C:$AA,12,0)-'TRADE IN'!$F503=0,"",(VLOOKUP($C503,REV!$C:$AA,12,0)-'TRADE IN'!$F503))</f>
        <v/>
      </c>
      <c r="O503" s="55" t="str">
        <f>IF(VLOOKUP($C503,REV!$C:$AA,13,0)-'TRADE IN'!$F503=0,"",(VLOOKUP($C503,REV!$C:$AA,13,0)-'TRADE IN'!$F503))</f>
        <v/>
      </c>
      <c r="P503" s="55" t="str">
        <f>IF(VLOOKUP($C503,REV!$C:$AA,14,0)-'TRADE IN'!$F503=0,"",(VLOOKUP($C503,REV!$C:$AA,14,0)-'TRADE IN'!$F503))</f>
        <v/>
      </c>
      <c r="Q503" s="55" t="str">
        <f>IF(VLOOKUP($C503,REV!$C:$AA,15,0)-'TRADE IN'!$F503=0,"",(VLOOKUP($C503,REV!$C:$AA,15,0)-'TRADE IN'!$F503))</f>
        <v/>
      </c>
      <c r="R503" s="55" t="str">
        <f>IF(VLOOKUP($C503,REV!$C:$AA,16,0)-'TRADE IN'!$F503=0,"",(VLOOKUP($C503,REV!$C:$AA,16,0)-'TRADE IN'!$F503))</f>
        <v/>
      </c>
      <c r="S503" s="55" t="str">
        <f>IF(VLOOKUP($C503,REV!$C:$AA,17,0)-'TRADE IN'!$F503=0,"",(VLOOKUP($C503,REV!$C:$AA,17,0)-'TRADE IN'!$F503))</f>
        <v/>
      </c>
      <c r="T503" s="55" t="str">
        <f>IF(VLOOKUP($C503,REV!$C:$AA,18,0)-'TRADE IN'!$F503=0,"",(VLOOKUP($C503,REV!$C:$AA,18,0)-'TRADE IN'!$F503))</f>
        <v/>
      </c>
      <c r="U503" s="55" t="str">
        <f>IF(VLOOKUP($C503,REV!$C:$AA,19,0)-'TRADE IN'!$F503=0,"",(VLOOKUP($C503,REV!$C:$AA,19,0)-'TRADE IN'!$F503))</f>
        <v/>
      </c>
      <c r="V503" s="55" t="str">
        <f>IF(VLOOKUP($C503,REV!$C:$AA,20,0)-'TRADE IN'!$F503=0,"",(VLOOKUP($C503,REV!$C:$AA,20,0)-'TRADE IN'!$F503))</f>
        <v/>
      </c>
      <c r="W503" s="55" t="str">
        <f>IF(VLOOKUP($C503,REV!$C:$AA,21,0)-'TRADE IN'!$F503=0,"",(VLOOKUP($C503,REV!$C:$AA,21,0)-'TRADE IN'!$F503))</f>
        <v/>
      </c>
      <c r="X503" s="55" t="str">
        <f>IF(VLOOKUP($C503,REV!$C:$AA,22,0)-'TRADE IN'!$F503=0,"",(VLOOKUP($C503,REV!$C:$AA,22,0)-'TRADE IN'!$F503))</f>
        <v/>
      </c>
      <c r="Y503" s="55" t="str">
        <f>IF(VLOOKUP($C503,REV!$C:$AA,23,0)-'TRADE IN'!$F503=0,"",(VLOOKUP($C503,REV!$C:$AA,23,0)-'TRADE IN'!$F503))</f>
        <v/>
      </c>
      <c r="Z503" s="55" t="str">
        <f>IF(VLOOKUP($C503,REV!$C:$AA,24,0)-'TRADE IN'!$F503=0,"",(VLOOKUP($C503,REV!$C:$AA,24,0)-'TRADE IN'!$F503))</f>
        <v/>
      </c>
      <c r="AA503" s="55" t="str">
        <f>IF(VLOOKUP($C503,REV!$C:$AA,25,0)-'TRADE IN'!$F503=0,"",(VLOOKUP($C503,REV!$C:$AA,25,0)-'TRADE IN'!$F503))</f>
        <v/>
      </c>
      <c r="AB503" s="55" t="str">
        <f>IF(VLOOKUP($C503,REV!$C:$AL,27,0)-'TRADE IN'!$F503=0,"",(VLOOKUP($C503,REV!$C:$AL,27,0)-'TRADE IN'!$F503))</f>
        <v/>
      </c>
      <c r="AC503" s="55" t="str">
        <f>IF(VLOOKUP($C503,REV!$C:$AL,28,0)-'TRADE IN'!$F503=0,"",(VLOOKUP($C503,REV!$C:$AL,28,0)-'TRADE IN'!$F503))</f>
        <v/>
      </c>
      <c r="AD503" s="55" t="str">
        <f>IF(VLOOKUP($C503,REV!$C:$AL,29,0)-'TRADE IN'!$F503=0,"",(VLOOKUP($C503,REV!$C:$AL,29,0)-'TRADE IN'!$F503))</f>
        <v/>
      </c>
      <c r="AE503" s="55" t="str">
        <f>IF(VLOOKUP($C503,REV!$C:$AL,30,0)-'TRADE IN'!$F503=0,"",(VLOOKUP($C503,REV!$C:$AL,30,0)-'TRADE IN'!$F503))</f>
        <v/>
      </c>
      <c r="AF503" s="55" t="str">
        <f>IF(VLOOKUP($C503,REV!$C:$AL,31,0)-'TRADE IN'!$F503=0,"",(VLOOKUP($C503,REV!$C:$AL,31,0)-'TRADE IN'!$F503))</f>
        <v/>
      </c>
      <c r="AG503" s="55" t="str">
        <f>IF(VLOOKUP($C503,REV!$C:$AL,31,0)-'TRADE IN'!$F503=0,"",(VLOOKUP($C503,REV!$C:$AL,31,0)-'TRADE IN'!$F503))</f>
        <v/>
      </c>
      <c r="AH503" s="55" t="str">
        <f>IF(VLOOKUP($C503,REV!$C:$AL,32,0)-'TRADE IN'!$F503=0,"",(VLOOKUP($C503,REV!$C:$AL,32,0)-'TRADE IN'!$F503))</f>
        <v/>
      </c>
      <c r="AI503" s="55" t="str">
        <f>IF(VLOOKUP($C503,REV!$C:$AL,33,0)-'TRADE IN'!$F503=0,"",(VLOOKUP($C503,REV!$C:$AL,33,0)-'TRADE IN'!$F503))</f>
        <v/>
      </c>
      <c r="AJ503" s="55" t="str">
        <f>IF(VLOOKUP($C503,REV!$C:$AL,34,0)-'TRADE IN'!$F503=0,"",(VLOOKUP($C503,REV!$C:$AL,34,0)-'TRADE IN'!$F503))</f>
        <v/>
      </c>
      <c r="AK503" s="55" t="str">
        <f>IF(VLOOKUP($C503,REV!$C:$AL,35,0)-'TRADE IN'!$F503=0,"",(VLOOKUP($C503,REV!$C:$AL,35,0)-'TRADE IN'!$F503))</f>
        <v/>
      </c>
      <c r="AL503" s="55" t="str">
        <f>IF(VLOOKUP($C503,REV!$C:$AL,36,0)-'TRADE IN'!$F503=0,"",(VLOOKUP($C503,REV!$C:$AL,36,0)-'TRADE IN'!$F503))</f>
        <v/>
      </c>
      <c r="AM503" s="55"/>
      <c r="AN503" s="55"/>
      <c r="AO503" s="55"/>
      <c r="AP503" s="55">
        <v>575</v>
      </c>
      <c r="AQ503" s="55">
        <v>575</v>
      </c>
      <c r="AR503" s="55">
        <v>575</v>
      </c>
      <c r="AS503" s="97">
        <v>199</v>
      </c>
      <c r="AT503" s="97">
        <v>159</v>
      </c>
      <c r="AU503" s="98">
        <v>99.9</v>
      </c>
      <c r="AW503" s="155" t="str">
        <f>REV!AW503</f>
        <v>03.11.2026</v>
      </c>
      <c r="AX503" s="154" t="str">
        <f>VLOOKUP(C503,REV!C:AX,48,0)</f>
        <v>4G</v>
      </c>
    </row>
    <row r="504" spans="1:50" ht="22.5" customHeight="1">
      <c r="A504" s="64" t="s">
        <v>241</v>
      </c>
      <c r="B504" s="52" t="s">
        <v>64</v>
      </c>
      <c r="C504" s="72">
        <v>4012041</v>
      </c>
      <c r="D504" s="71" t="s">
        <v>729</v>
      </c>
      <c r="E504" s="65" t="s">
        <v>729</v>
      </c>
      <c r="F504" s="56"/>
      <c r="I504" s="103"/>
      <c r="J504" s="55" t="str">
        <f>IF(VLOOKUP($C504,REV!$C:$AA,8,0)-'TRADE IN'!$F504=0,"",(VLOOKUP($C504,REV!$C:$AA,8,0)-'TRADE IN'!$F504))</f>
        <v/>
      </c>
      <c r="K504" s="55" t="str">
        <f>IF(VLOOKUP($C504,REV!$C:$AA,9,0)-'TRADE IN'!$F504=0,"",(VLOOKUP($C504,REV!$C:$AA,9,0)-'TRADE IN'!$F504))</f>
        <v/>
      </c>
      <c r="L504" s="55" t="str">
        <f>IF(VLOOKUP($C504,REV!$C:$AA,10,0)-'TRADE IN'!$F504=0,"",(VLOOKUP($C504,REV!$C:$AA,10,0)-'TRADE IN'!$F504))</f>
        <v/>
      </c>
      <c r="M504" s="55" t="str">
        <f>IF(VLOOKUP($C504,REV!$C:$AA,11,0)-'TRADE IN'!$F504=0,"",(VLOOKUP($C504,REV!$C:$AA,11,0)-'TRADE IN'!$F504))</f>
        <v/>
      </c>
      <c r="N504" s="55" t="str">
        <f>IF(VLOOKUP($C504,REV!$C:$AA,12,0)-'TRADE IN'!$F504=0,"",(VLOOKUP($C504,REV!$C:$AA,12,0)-'TRADE IN'!$F504))</f>
        <v/>
      </c>
      <c r="O504" s="55" t="str">
        <f>IF(VLOOKUP($C504,REV!$C:$AA,13,0)-'TRADE IN'!$F504=0,"",(VLOOKUP($C504,REV!$C:$AA,13,0)-'TRADE IN'!$F504))</f>
        <v/>
      </c>
      <c r="P504" s="55" t="str">
        <f>IF(VLOOKUP($C504,REV!$C:$AA,14,0)-'TRADE IN'!$F504=0,"",(VLOOKUP($C504,REV!$C:$AA,14,0)-'TRADE IN'!$F504))</f>
        <v/>
      </c>
      <c r="Q504" s="55" t="str">
        <f>IF(VLOOKUP($C504,REV!$C:$AA,15,0)-'TRADE IN'!$F504=0,"",(VLOOKUP($C504,REV!$C:$AA,15,0)-'TRADE IN'!$F504))</f>
        <v/>
      </c>
      <c r="R504" s="55" t="str">
        <f>IF(VLOOKUP($C504,REV!$C:$AA,16,0)-'TRADE IN'!$F504=0,"",(VLOOKUP($C504,REV!$C:$AA,16,0)-'TRADE IN'!$F504))</f>
        <v/>
      </c>
      <c r="S504" s="55" t="str">
        <f>IF(VLOOKUP($C504,REV!$C:$AA,17,0)-'TRADE IN'!$F504=0,"",(VLOOKUP($C504,REV!$C:$AA,17,0)-'TRADE IN'!$F504))</f>
        <v/>
      </c>
      <c r="T504" s="55" t="str">
        <f>IF(VLOOKUP($C504,REV!$C:$AA,18,0)-'TRADE IN'!$F504=0,"",(VLOOKUP($C504,REV!$C:$AA,18,0)-'TRADE IN'!$F504))</f>
        <v/>
      </c>
      <c r="U504" s="55" t="str">
        <f>IF(VLOOKUP($C504,REV!$C:$AA,19,0)-'TRADE IN'!$F504=0,"",(VLOOKUP($C504,REV!$C:$AA,19,0)-'TRADE IN'!$F504))</f>
        <v/>
      </c>
      <c r="V504" s="55" t="str">
        <f>IF(VLOOKUP($C504,REV!$C:$AA,20,0)-'TRADE IN'!$F504=0,"",(VLOOKUP($C504,REV!$C:$AA,20,0)-'TRADE IN'!$F504))</f>
        <v/>
      </c>
      <c r="W504" s="55" t="str">
        <f>IF(VLOOKUP($C504,REV!$C:$AA,21,0)-'TRADE IN'!$F504=0,"",(VLOOKUP($C504,REV!$C:$AA,21,0)-'TRADE IN'!$F504))</f>
        <v/>
      </c>
      <c r="X504" s="55" t="str">
        <f>IF(VLOOKUP($C504,REV!$C:$AA,22,0)-'TRADE IN'!$F504=0,"",(VLOOKUP($C504,REV!$C:$AA,22,0)-'TRADE IN'!$F504))</f>
        <v/>
      </c>
      <c r="Y504" s="55" t="str">
        <f>IF(VLOOKUP($C504,REV!$C:$AA,23,0)-'TRADE IN'!$F504=0,"",(VLOOKUP($C504,REV!$C:$AA,23,0)-'TRADE IN'!$F504))</f>
        <v/>
      </c>
      <c r="Z504" s="55" t="str">
        <f>IF(VLOOKUP($C504,REV!$C:$AA,24,0)-'TRADE IN'!$F504=0,"",(VLOOKUP($C504,REV!$C:$AA,24,0)-'TRADE IN'!$F504))</f>
        <v/>
      </c>
      <c r="AA504" s="55" t="str">
        <f>IF(VLOOKUP($C504,REV!$C:$AA,25,0)-'TRADE IN'!$F504=0,"",(VLOOKUP($C504,REV!$C:$AA,25,0)-'TRADE IN'!$F504))</f>
        <v/>
      </c>
      <c r="AB504" s="55" t="str">
        <f>IF(VLOOKUP($C504,REV!$C:$AL,27,0)-'TRADE IN'!$F504=0,"",(VLOOKUP($C504,REV!$C:$AL,27,0)-'TRADE IN'!$F504))</f>
        <v/>
      </c>
      <c r="AC504" s="55" t="str">
        <f>IF(VLOOKUP($C504,REV!$C:$AL,28,0)-'TRADE IN'!$F504=0,"",(VLOOKUP($C504,REV!$C:$AL,28,0)-'TRADE IN'!$F504))</f>
        <v/>
      </c>
      <c r="AD504" s="55" t="str">
        <f>IF(VLOOKUP($C504,REV!$C:$AL,29,0)-'TRADE IN'!$F504=0,"",(VLOOKUP($C504,REV!$C:$AL,29,0)-'TRADE IN'!$F504))</f>
        <v/>
      </c>
      <c r="AE504" s="55" t="str">
        <f>IF(VLOOKUP($C504,REV!$C:$AL,30,0)-'TRADE IN'!$F504=0,"",(VLOOKUP($C504,REV!$C:$AL,30,0)-'TRADE IN'!$F504))</f>
        <v/>
      </c>
      <c r="AF504" s="55" t="str">
        <f>IF(VLOOKUP($C504,REV!$C:$AL,31,0)-'TRADE IN'!$F504=0,"",(VLOOKUP($C504,REV!$C:$AL,31,0)-'TRADE IN'!$F504))</f>
        <v/>
      </c>
      <c r="AG504" s="55" t="str">
        <f>IF(VLOOKUP($C504,REV!$C:$AL,31,0)-'TRADE IN'!$F504=0,"",(VLOOKUP($C504,REV!$C:$AL,31,0)-'TRADE IN'!$F504))</f>
        <v/>
      </c>
      <c r="AH504" s="55" t="str">
        <f>IF(VLOOKUP($C504,REV!$C:$AL,32,0)-'TRADE IN'!$F504=0,"",(VLOOKUP($C504,REV!$C:$AL,32,0)-'TRADE IN'!$F504))</f>
        <v/>
      </c>
      <c r="AI504" s="55" t="str">
        <f>IF(VLOOKUP($C504,REV!$C:$AL,33,0)-'TRADE IN'!$F504=0,"",(VLOOKUP($C504,REV!$C:$AL,33,0)-'TRADE IN'!$F504))</f>
        <v/>
      </c>
      <c r="AJ504" s="55" t="str">
        <f>IF(VLOOKUP($C504,REV!$C:$AL,34,0)-'TRADE IN'!$F504=0,"",(VLOOKUP($C504,REV!$C:$AL,34,0)-'TRADE IN'!$F504))</f>
        <v/>
      </c>
      <c r="AK504" s="55" t="str">
        <f>IF(VLOOKUP($C504,REV!$C:$AL,35,0)-'TRADE IN'!$F504=0,"",(VLOOKUP($C504,REV!$C:$AL,35,0)-'TRADE IN'!$F504))</f>
        <v/>
      </c>
      <c r="AL504" s="55" t="str">
        <f>IF(VLOOKUP($C504,REV!$C:$AL,36,0)-'TRADE IN'!$F504=0,"",(VLOOKUP($C504,REV!$C:$AL,36,0)-'TRADE IN'!$F504))</f>
        <v/>
      </c>
      <c r="AM504" s="55"/>
      <c r="AN504" s="55"/>
      <c r="AO504" s="55"/>
      <c r="AP504" s="55">
        <v>575</v>
      </c>
      <c r="AQ504" s="55">
        <v>575</v>
      </c>
      <c r="AR504" s="55">
        <v>575</v>
      </c>
      <c r="AS504" s="97">
        <v>199</v>
      </c>
      <c r="AT504" s="97">
        <v>159</v>
      </c>
      <c r="AU504" s="98">
        <v>99.9</v>
      </c>
      <c r="AW504" s="156" t="str">
        <f>REV!AW504</f>
        <v>03.11.2026</v>
      </c>
      <c r="AX504" s="147" t="str">
        <f>VLOOKUP(C504,REV!C:AX,48,0)</f>
        <v>4G</v>
      </c>
    </row>
    <row r="505" spans="1:50" ht="22.5" customHeight="1">
      <c r="A505" s="64" t="s">
        <v>241</v>
      </c>
      <c r="B505" s="52" t="s">
        <v>64</v>
      </c>
      <c r="C505" s="53">
        <v>4012242</v>
      </c>
      <c r="D505" s="71" t="s">
        <v>730</v>
      </c>
      <c r="E505" s="65" t="s">
        <v>730</v>
      </c>
      <c r="F505" s="56"/>
      <c r="G505" s="57"/>
      <c r="H505" s="4"/>
      <c r="I505" s="57"/>
      <c r="J505" s="55" t="str">
        <f>IF(VLOOKUP($C505,REV!$C:$AA,8,0)-'TRADE IN'!$F505=0,"",(VLOOKUP($C505,REV!$C:$AA,8,0)-'TRADE IN'!$F505))</f>
        <v/>
      </c>
      <c r="K505" s="55" t="str">
        <f>IF(VLOOKUP($C505,REV!$C:$AA,9,0)-'TRADE IN'!$F505=0,"",(VLOOKUP($C505,REV!$C:$AA,9,0)-'TRADE IN'!$F505))</f>
        <v/>
      </c>
      <c r="L505" s="55" t="str">
        <f>IF(VLOOKUP($C505,REV!$C:$AA,10,0)-'TRADE IN'!$F505=0,"",(VLOOKUP($C505,REV!$C:$AA,10,0)-'TRADE IN'!$F505))</f>
        <v/>
      </c>
      <c r="M505" s="55" t="str">
        <f>IF(VLOOKUP($C505,REV!$C:$AA,11,0)-'TRADE IN'!$F505=0,"",(VLOOKUP($C505,REV!$C:$AA,11,0)-'TRADE IN'!$F505))</f>
        <v/>
      </c>
      <c r="N505" s="55" t="str">
        <f>IF(VLOOKUP($C505,REV!$C:$AA,12,0)-'TRADE IN'!$F505=0,"",(VLOOKUP($C505,REV!$C:$AA,12,0)-'TRADE IN'!$F505))</f>
        <v/>
      </c>
      <c r="O505" s="55" t="str">
        <f>IF(VLOOKUP($C505,REV!$C:$AA,13,0)-'TRADE IN'!$F505=0,"",(VLOOKUP($C505,REV!$C:$AA,13,0)-'TRADE IN'!$F505))</f>
        <v/>
      </c>
      <c r="P505" s="55" t="str">
        <f>IF(VLOOKUP($C505,REV!$C:$AA,14,0)-'TRADE IN'!$F505=0,"",(VLOOKUP($C505,REV!$C:$AA,14,0)-'TRADE IN'!$F505))</f>
        <v/>
      </c>
      <c r="Q505" s="55" t="str">
        <f>IF(VLOOKUP($C505,REV!$C:$AA,15,0)-'TRADE IN'!$F505=0,"",(VLOOKUP($C505,REV!$C:$AA,15,0)-'TRADE IN'!$F505))</f>
        <v/>
      </c>
      <c r="R505" s="55" t="str">
        <f>IF(VLOOKUP($C505,REV!$C:$AA,16,0)-'TRADE IN'!$F505=0,"",(VLOOKUP($C505,REV!$C:$AA,16,0)-'TRADE IN'!$F505))</f>
        <v/>
      </c>
      <c r="S505" s="55" t="str">
        <f>IF(VLOOKUP($C505,REV!$C:$AA,17,0)-'TRADE IN'!$F505=0,"",(VLOOKUP($C505,REV!$C:$AA,17,0)-'TRADE IN'!$F505))</f>
        <v/>
      </c>
      <c r="T505" s="55" t="str">
        <f>IF(VLOOKUP($C505,REV!$C:$AA,18,0)-'TRADE IN'!$F505=0,"",(VLOOKUP($C505,REV!$C:$AA,18,0)-'TRADE IN'!$F505))</f>
        <v/>
      </c>
      <c r="U505" s="55" t="str">
        <f>IF(VLOOKUP($C505,REV!$C:$AA,19,0)-'TRADE IN'!$F505=0,"",(VLOOKUP($C505,REV!$C:$AA,19,0)-'TRADE IN'!$F505))</f>
        <v/>
      </c>
      <c r="V505" s="55" t="str">
        <f>IF(VLOOKUP($C505,REV!$C:$AA,20,0)-'TRADE IN'!$F505=0,"",(VLOOKUP($C505,REV!$C:$AA,20,0)-'TRADE IN'!$F505))</f>
        <v/>
      </c>
      <c r="W505" s="55" t="str">
        <f>IF(VLOOKUP($C505,REV!$C:$AA,21,0)-'TRADE IN'!$F505=0,"",(VLOOKUP($C505,REV!$C:$AA,21,0)-'TRADE IN'!$F505))</f>
        <v/>
      </c>
      <c r="X505" s="55" t="str">
        <f>IF(VLOOKUP($C505,REV!$C:$AA,22,0)-'TRADE IN'!$F505=0,"",(VLOOKUP($C505,REV!$C:$AA,22,0)-'TRADE IN'!$F505))</f>
        <v/>
      </c>
      <c r="Y505" s="55" t="str">
        <f>IF(VLOOKUP($C505,REV!$C:$AA,23,0)-'TRADE IN'!$F505=0,"",(VLOOKUP($C505,REV!$C:$AA,23,0)-'TRADE IN'!$F505))</f>
        <v/>
      </c>
      <c r="Z505" s="55" t="str">
        <f>IF(VLOOKUP($C505,REV!$C:$AA,24,0)-'TRADE IN'!$F505=0,"",(VLOOKUP($C505,REV!$C:$AA,24,0)-'TRADE IN'!$F505))</f>
        <v/>
      </c>
      <c r="AA505" s="55" t="str">
        <f>IF(VLOOKUP($C505,REV!$C:$AA,25,0)-'TRADE IN'!$F505=0,"",(VLOOKUP($C505,REV!$C:$AA,25,0)-'TRADE IN'!$F505))</f>
        <v/>
      </c>
      <c r="AB505" s="55" t="str">
        <f>IF(VLOOKUP($C505,REV!$C:$AL,27,0)-'TRADE IN'!$F505=0,"",(VLOOKUP($C505,REV!$C:$AL,27,0)-'TRADE IN'!$F505))</f>
        <v/>
      </c>
      <c r="AC505" s="55" t="str">
        <f>IF(VLOOKUP($C505,REV!$C:$AL,28,0)-'TRADE IN'!$F505=0,"",(VLOOKUP($C505,REV!$C:$AL,28,0)-'TRADE IN'!$F505))</f>
        <v/>
      </c>
      <c r="AD505" s="55" t="str">
        <f>IF(VLOOKUP($C505,REV!$C:$AL,29,0)-'TRADE IN'!$F505=0,"",(VLOOKUP($C505,REV!$C:$AL,29,0)-'TRADE IN'!$F505))</f>
        <v/>
      </c>
      <c r="AE505" s="55" t="str">
        <f>IF(VLOOKUP($C505,REV!$C:$AL,30,0)-'TRADE IN'!$F505=0,"",(VLOOKUP($C505,REV!$C:$AL,30,0)-'TRADE IN'!$F505))</f>
        <v/>
      </c>
      <c r="AF505" s="55" t="str">
        <f>IF(VLOOKUP($C505,REV!$C:$AL,31,0)-'TRADE IN'!$F505=0,"",(VLOOKUP($C505,REV!$C:$AL,31,0)-'TRADE IN'!$F505))</f>
        <v/>
      </c>
      <c r="AG505" s="55" t="str">
        <f>IF(VLOOKUP($C505,REV!$C:$AL,31,0)-'TRADE IN'!$F505=0,"",(VLOOKUP($C505,REV!$C:$AL,31,0)-'TRADE IN'!$F505))</f>
        <v/>
      </c>
      <c r="AH505" s="55" t="str">
        <f>IF(VLOOKUP($C505,REV!$C:$AL,32,0)-'TRADE IN'!$F505=0,"",(VLOOKUP($C505,REV!$C:$AL,32,0)-'TRADE IN'!$F505))</f>
        <v/>
      </c>
      <c r="AI505" s="55" t="str">
        <f>IF(VLOOKUP($C505,REV!$C:$AL,33,0)-'TRADE IN'!$F505=0,"",(VLOOKUP($C505,REV!$C:$AL,33,0)-'TRADE IN'!$F505))</f>
        <v/>
      </c>
      <c r="AJ505" s="55" t="str">
        <f>IF(VLOOKUP($C505,REV!$C:$AL,34,0)-'TRADE IN'!$F505=0,"",(VLOOKUP($C505,REV!$C:$AL,34,0)-'TRADE IN'!$F505))</f>
        <v/>
      </c>
      <c r="AK505" s="55" t="str">
        <f>IF(VLOOKUP($C505,REV!$C:$AL,35,0)-'TRADE IN'!$F505=0,"",(VLOOKUP($C505,REV!$C:$AL,35,0)-'TRADE IN'!$F505))</f>
        <v/>
      </c>
      <c r="AL505" s="55" t="str">
        <f>IF(VLOOKUP($C505,REV!$C:$AL,36,0)-'TRADE IN'!$F505=0,"",(VLOOKUP($C505,REV!$C:$AL,36,0)-'TRADE IN'!$F505))</f>
        <v/>
      </c>
      <c r="AM505" s="55"/>
      <c r="AN505" s="55"/>
      <c r="AO505" s="55"/>
      <c r="AP505" s="55">
        <v>575</v>
      </c>
      <c r="AQ505" s="55">
        <v>575</v>
      </c>
      <c r="AR505" s="55">
        <v>575</v>
      </c>
      <c r="AS505" s="97">
        <v>199</v>
      </c>
      <c r="AT505" s="97">
        <v>159</v>
      </c>
      <c r="AU505" s="98">
        <v>99.9</v>
      </c>
      <c r="AW505" s="156" t="str">
        <f>REV!AW505</f>
        <v>03.11.2026</v>
      </c>
      <c r="AX505" s="147" t="str">
        <f>VLOOKUP(C505,REV!C:AX,48,0)</f>
        <v>4G</v>
      </c>
    </row>
    <row r="506" spans="1:50" ht="22.5" customHeight="1">
      <c r="A506" s="64" t="s">
        <v>241</v>
      </c>
      <c r="B506" s="52" t="s">
        <v>64</v>
      </c>
      <c r="C506" s="53">
        <v>4012590</v>
      </c>
      <c r="D506" s="71" t="s">
        <v>731</v>
      </c>
      <c r="E506" s="65" t="s">
        <v>731</v>
      </c>
      <c r="F506" s="56"/>
      <c r="J506" s="55" t="str">
        <f>IF(VLOOKUP($C506,REV!$C:$AA,8,0)-'TRADE IN'!$F506=0,"",(VLOOKUP($C506,REV!$C:$AA,8,0)-'TRADE IN'!$F506))</f>
        <v/>
      </c>
      <c r="K506" s="55" t="str">
        <f>IF(VLOOKUP($C506,REV!$C:$AA,9,0)-'TRADE IN'!$F506=0,"",(VLOOKUP($C506,REV!$C:$AA,9,0)-'TRADE IN'!$F506))</f>
        <v/>
      </c>
      <c r="L506" s="55" t="str">
        <f>IF(VLOOKUP($C506,REV!$C:$AA,10,0)-'TRADE IN'!$F506=0,"",(VLOOKUP($C506,REV!$C:$AA,10,0)-'TRADE IN'!$F506))</f>
        <v/>
      </c>
      <c r="M506" s="55" t="str">
        <f>IF(VLOOKUP($C506,REV!$C:$AA,11,0)-'TRADE IN'!$F506=0,"",(VLOOKUP($C506,REV!$C:$AA,11,0)-'TRADE IN'!$F506))</f>
        <v/>
      </c>
      <c r="N506" s="55" t="str">
        <f>IF(VLOOKUP($C506,REV!$C:$AA,12,0)-'TRADE IN'!$F506=0,"",(VLOOKUP($C506,REV!$C:$AA,12,0)-'TRADE IN'!$F506))</f>
        <v/>
      </c>
      <c r="O506" s="55" t="str">
        <f>IF(VLOOKUP($C506,REV!$C:$AA,13,0)-'TRADE IN'!$F506=0,"",(VLOOKUP($C506,REV!$C:$AA,13,0)-'TRADE IN'!$F506))</f>
        <v/>
      </c>
      <c r="P506" s="55" t="str">
        <f>IF(VLOOKUP($C506,REV!$C:$AA,14,0)-'TRADE IN'!$F506=0,"",(VLOOKUP($C506,REV!$C:$AA,14,0)-'TRADE IN'!$F506))</f>
        <v/>
      </c>
      <c r="Q506" s="55" t="str">
        <f>IF(VLOOKUP($C506,REV!$C:$AA,15,0)-'TRADE IN'!$F506=0,"",(VLOOKUP($C506,REV!$C:$AA,15,0)-'TRADE IN'!$F506))</f>
        <v/>
      </c>
      <c r="R506" s="55" t="str">
        <f>IF(VLOOKUP($C506,REV!$C:$AA,16,0)-'TRADE IN'!$F506=0,"",(VLOOKUP($C506,REV!$C:$AA,16,0)-'TRADE IN'!$F506))</f>
        <v/>
      </c>
      <c r="S506" s="55" t="str">
        <f>IF(VLOOKUP($C506,REV!$C:$AA,17,0)-'TRADE IN'!$F506=0,"",(VLOOKUP($C506,REV!$C:$AA,17,0)-'TRADE IN'!$F506))</f>
        <v/>
      </c>
      <c r="T506" s="55" t="str">
        <f>IF(VLOOKUP($C506,REV!$C:$AA,18,0)-'TRADE IN'!$F506=0,"",(VLOOKUP($C506,REV!$C:$AA,18,0)-'TRADE IN'!$F506))</f>
        <v/>
      </c>
      <c r="U506" s="55" t="str">
        <f>IF(VLOOKUP($C506,REV!$C:$AA,19,0)-'TRADE IN'!$F506=0,"",(VLOOKUP($C506,REV!$C:$AA,19,0)-'TRADE IN'!$F506))</f>
        <v/>
      </c>
      <c r="V506" s="55" t="str">
        <f>IF(VLOOKUP($C506,REV!$C:$AA,20,0)-'TRADE IN'!$F506=0,"",(VLOOKUP($C506,REV!$C:$AA,20,0)-'TRADE IN'!$F506))</f>
        <v/>
      </c>
      <c r="W506" s="55" t="str">
        <f>IF(VLOOKUP($C506,REV!$C:$AA,21,0)-'TRADE IN'!$F506=0,"",(VLOOKUP($C506,REV!$C:$AA,21,0)-'TRADE IN'!$F506))</f>
        <v/>
      </c>
      <c r="X506" s="55" t="str">
        <f>IF(VLOOKUP($C506,REV!$C:$AA,22,0)-'TRADE IN'!$F506=0,"",(VLOOKUP($C506,REV!$C:$AA,22,0)-'TRADE IN'!$F506))</f>
        <v/>
      </c>
      <c r="Y506" s="55" t="str">
        <f>IF(VLOOKUP($C506,REV!$C:$AA,23,0)-'TRADE IN'!$F506=0,"",(VLOOKUP($C506,REV!$C:$AA,23,0)-'TRADE IN'!$F506))</f>
        <v/>
      </c>
      <c r="Z506" s="55" t="str">
        <f>IF(VLOOKUP($C506,REV!$C:$AA,24,0)-'TRADE IN'!$F506=0,"",(VLOOKUP($C506,REV!$C:$AA,24,0)-'TRADE IN'!$F506))</f>
        <v/>
      </c>
      <c r="AA506" s="55" t="str">
        <f>IF(VLOOKUP($C506,REV!$C:$AA,25,0)-'TRADE IN'!$F506=0,"",(VLOOKUP($C506,REV!$C:$AA,25,0)-'TRADE IN'!$F506))</f>
        <v/>
      </c>
      <c r="AB506" s="55" t="str">
        <f>IF(VLOOKUP($C506,REV!$C:$AL,27,0)-'TRADE IN'!$F506=0,"",(VLOOKUP($C506,REV!$C:$AL,27,0)-'TRADE IN'!$F506))</f>
        <v/>
      </c>
      <c r="AC506" s="55" t="str">
        <f>IF(VLOOKUP($C506,REV!$C:$AL,28,0)-'TRADE IN'!$F506=0,"",(VLOOKUP($C506,REV!$C:$AL,28,0)-'TRADE IN'!$F506))</f>
        <v/>
      </c>
      <c r="AD506" s="55" t="str">
        <f>IF(VLOOKUP($C506,REV!$C:$AL,29,0)-'TRADE IN'!$F506=0,"",(VLOOKUP($C506,REV!$C:$AL,29,0)-'TRADE IN'!$F506))</f>
        <v/>
      </c>
      <c r="AE506" s="55" t="str">
        <f>IF(VLOOKUP($C506,REV!$C:$AL,30,0)-'TRADE IN'!$F506=0,"",(VLOOKUP($C506,REV!$C:$AL,30,0)-'TRADE IN'!$F506))</f>
        <v/>
      </c>
      <c r="AF506" s="55" t="str">
        <f>IF(VLOOKUP($C506,REV!$C:$AL,31,0)-'TRADE IN'!$F506=0,"",(VLOOKUP($C506,REV!$C:$AL,31,0)-'TRADE IN'!$F506))</f>
        <v/>
      </c>
      <c r="AG506" s="55" t="str">
        <f>IF(VLOOKUP($C506,REV!$C:$AL,31,0)-'TRADE IN'!$F506=0,"",(VLOOKUP($C506,REV!$C:$AL,31,0)-'TRADE IN'!$F506))</f>
        <v/>
      </c>
      <c r="AH506" s="55" t="str">
        <f>IF(VLOOKUP($C506,REV!$C:$AL,32,0)-'TRADE IN'!$F506=0,"",(VLOOKUP($C506,REV!$C:$AL,32,0)-'TRADE IN'!$F506))</f>
        <v/>
      </c>
      <c r="AI506" s="55" t="str">
        <f>IF(VLOOKUP($C506,REV!$C:$AL,33,0)-'TRADE IN'!$F506=0,"",(VLOOKUP($C506,REV!$C:$AL,33,0)-'TRADE IN'!$F506))</f>
        <v/>
      </c>
      <c r="AJ506" s="55" t="str">
        <f>IF(VLOOKUP($C506,REV!$C:$AL,34,0)-'TRADE IN'!$F506=0,"",(VLOOKUP($C506,REV!$C:$AL,34,0)-'TRADE IN'!$F506))</f>
        <v/>
      </c>
      <c r="AK506" s="55" t="str">
        <f>IF(VLOOKUP($C506,REV!$C:$AL,35,0)-'TRADE IN'!$F506=0,"",(VLOOKUP($C506,REV!$C:$AL,35,0)-'TRADE IN'!$F506))</f>
        <v/>
      </c>
      <c r="AL506" s="55" t="str">
        <f>IF(VLOOKUP($C506,REV!$C:$AL,36,0)-'TRADE IN'!$F506=0,"",(VLOOKUP($C506,REV!$C:$AL,36,0)-'TRADE IN'!$F506))</f>
        <v/>
      </c>
      <c r="AM506" s="55"/>
      <c r="AN506" s="55"/>
      <c r="AO506" s="55"/>
      <c r="AP506" s="55">
        <v>575</v>
      </c>
      <c r="AQ506" s="55">
        <v>575</v>
      </c>
      <c r="AR506" s="55">
        <v>575</v>
      </c>
      <c r="AS506" s="97">
        <v>199</v>
      </c>
      <c r="AT506" s="97">
        <v>159</v>
      </c>
      <c r="AU506" s="98">
        <v>99.9</v>
      </c>
      <c r="AW506" s="156" t="str">
        <f>REV!AW506</f>
        <v>03.11.2026</v>
      </c>
      <c r="AX506" s="147" t="str">
        <f>VLOOKUP(C506,REV!C:AX,48,0)</f>
        <v>4G</v>
      </c>
    </row>
    <row r="507" spans="1:50" ht="22.5" customHeight="1">
      <c r="A507" s="64" t="s">
        <v>241</v>
      </c>
      <c r="B507" s="52" t="s">
        <v>64</v>
      </c>
      <c r="C507" s="53">
        <v>4012681</v>
      </c>
      <c r="D507" s="71" t="s">
        <v>732</v>
      </c>
      <c r="E507" s="65" t="s">
        <v>732</v>
      </c>
      <c r="F507" s="56"/>
      <c r="J507" s="55" t="str">
        <f>IF(VLOOKUP($C507,REV!$C:$AA,8,0)-'TRADE IN'!$F507=0,"",(VLOOKUP($C507,REV!$C:$AA,8,0)-'TRADE IN'!$F507))</f>
        <v/>
      </c>
      <c r="K507" s="55" t="str">
        <f>IF(VLOOKUP($C507,REV!$C:$AA,9,0)-'TRADE IN'!$F507=0,"",(VLOOKUP($C507,REV!$C:$AA,9,0)-'TRADE IN'!$F507))</f>
        <v/>
      </c>
      <c r="L507" s="55" t="str">
        <f>IF(VLOOKUP($C507,REV!$C:$AA,10,0)-'TRADE IN'!$F507=0,"",(VLOOKUP($C507,REV!$C:$AA,10,0)-'TRADE IN'!$F507))</f>
        <v/>
      </c>
      <c r="M507" s="55" t="str">
        <f>IF(VLOOKUP($C507,REV!$C:$AA,11,0)-'TRADE IN'!$F507=0,"",(VLOOKUP($C507,REV!$C:$AA,11,0)-'TRADE IN'!$F507))</f>
        <v/>
      </c>
      <c r="N507" s="55" t="str">
        <f>IF(VLOOKUP($C507,REV!$C:$AA,12,0)-'TRADE IN'!$F507=0,"",(VLOOKUP($C507,REV!$C:$AA,12,0)-'TRADE IN'!$F507))</f>
        <v/>
      </c>
      <c r="O507" s="55" t="str">
        <f>IF(VLOOKUP($C507,REV!$C:$AA,13,0)-'TRADE IN'!$F507=0,"",(VLOOKUP($C507,REV!$C:$AA,13,0)-'TRADE IN'!$F507))</f>
        <v/>
      </c>
      <c r="P507" s="55" t="str">
        <f>IF(VLOOKUP($C507,REV!$C:$AA,14,0)-'TRADE IN'!$F507=0,"",(VLOOKUP($C507,REV!$C:$AA,14,0)-'TRADE IN'!$F507))</f>
        <v/>
      </c>
      <c r="Q507" s="55" t="str">
        <f>IF(VLOOKUP($C507,REV!$C:$AA,15,0)-'TRADE IN'!$F507=0,"",(VLOOKUP($C507,REV!$C:$AA,15,0)-'TRADE IN'!$F507))</f>
        <v/>
      </c>
      <c r="R507" s="55" t="str">
        <f>IF(VLOOKUP($C507,REV!$C:$AA,16,0)-'TRADE IN'!$F507=0,"",(VLOOKUP($C507,REV!$C:$AA,16,0)-'TRADE IN'!$F507))</f>
        <v/>
      </c>
      <c r="S507" s="55" t="str">
        <f>IF(VLOOKUP($C507,REV!$C:$AA,17,0)-'TRADE IN'!$F507=0,"",(VLOOKUP($C507,REV!$C:$AA,17,0)-'TRADE IN'!$F507))</f>
        <v/>
      </c>
      <c r="T507" s="55" t="str">
        <f>IF(VLOOKUP($C507,REV!$C:$AA,18,0)-'TRADE IN'!$F507=0,"",(VLOOKUP($C507,REV!$C:$AA,18,0)-'TRADE IN'!$F507))</f>
        <v/>
      </c>
      <c r="U507" s="55" t="str">
        <f>IF(VLOOKUP($C507,REV!$C:$AA,19,0)-'TRADE IN'!$F507=0,"",(VLOOKUP($C507,REV!$C:$AA,19,0)-'TRADE IN'!$F507))</f>
        <v/>
      </c>
      <c r="V507" s="55" t="str">
        <f>IF(VLOOKUP($C507,REV!$C:$AA,20,0)-'TRADE IN'!$F507=0,"",(VLOOKUP($C507,REV!$C:$AA,20,0)-'TRADE IN'!$F507))</f>
        <v/>
      </c>
      <c r="W507" s="55" t="str">
        <f>IF(VLOOKUP($C507,REV!$C:$AA,21,0)-'TRADE IN'!$F507=0,"",(VLOOKUP($C507,REV!$C:$AA,21,0)-'TRADE IN'!$F507))</f>
        <v/>
      </c>
      <c r="X507" s="55" t="str">
        <f>IF(VLOOKUP($C507,REV!$C:$AA,22,0)-'TRADE IN'!$F507=0,"",(VLOOKUP($C507,REV!$C:$AA,22,0)-'TRADE IN'!$F507))</f>
        <v/>
      </c>
      <c r="Y507" s="55" t="str">
        <f>IF(VLOOKUP($C507,REV!$C:$AA,23,0)-'TRADE IN'!$F507=0,"",(VLOOKUP($C507,REV!$C:$AA,23,0)-'TRADE IN'!$F507))</f>
        <v/>
      </c>
      <c r="Z507" s="55" t="str">
        <f>IF(VLOOKUP($C507,REV!$C:$AA,24,0)-'TRADE IN'!$F507=0,"",(VLOOKUP($C507,REV!$C:$AA,24,0)-'TRADE IN'!$F507))</f>
        <v/>
      </c>
      <c r="AA507" s="55" t="str">
        <f>IF(VLOOKUP($C507,REV!$C:$AA,25,0)-'TRADE IN'!$F507=0,"",(VLOOKUP($C507,REV!$C:$AA,25,0)-'TRADE IN'!$F507))</f>
        <v/>
      </c>
      <c r="AB507" s="55" t="str">
        <f>IF(VLOOKUP($C507,REV!$C:$AL,27,0)-'TRADE IN'!$F507=0,"",(VLOOKUP($C507,REV!$C:$AL,27,0)-'TRADE IN'!$F507))</f>
        <v/>
      </c>
      <c r="AC507" s="55" t="str">
        <f>IF(VLOOKUP($C507,REV!$C:$AL,28,0)-'TRADE IN'!$F507=0,"",(VLOOKUP($C507,REV!$C:$AL,28,0)-'TRADE IN'!$F507))</f>
        <v/>
      </c>
      <c r="AD507" s="55" t="str">
        <f>IF(VLOOKUP($C507,REV!$C:$AL,29,0)-'TRADE IN'!$F507=0,"",(VLOOKUP($C507,REV!$C:$AL,29,0)-'TRADE IN'!$F507))</f>
        <v/>
      </c>
      <c r="AE507" s="55" t="str">
        <f>IF(VLOOKUP($C507,REV!$C:$AL,30,0)-'TRADE IN'!$F507=0,"",(VLOOKUP($C507,REV!$C:$AL,30,0)-'TRADE IN'!$F507))</f>
        <v/>
      </c>
      <c r="AF507" s="55" t="str">
        <f>IF(VLOOKUP($C507,REV!$C:$AL,31,0)-'TRADE IN'!$F507=0,"",(VLOOKUP($C507,REV!$C:$AL,31,0)-'TRADE IN'!$F507))</f>
        <v/>
      </c>
      <c r="AG507" s="55" t="str">
        <f>IF(VLOOKUP($C507,REV!$C:$AL,31,0)-'TRADE IN'!$F507=0,"",(VLOOKUP($C507,REV!$C:$AL,31,0)-'TRADE IN'!$F507))</f>
        <v/>
      </c>
      <c r="AH507" s="55" t="str">
        <f>IF(VLOOKUP($C507,REV!$C:$AL,32,0)-'TRADE IN'!$F507=0,"",(VLOOKUP($C507,REV!$C:$AL,32,0)-'TRADE IN'!$F507))</f>
        <v/>
      </c>
      <c r="AI507" s="55" t="str">
        <f>IF(VLOOKUP($C507,REV!$C:$AL,33,0)-'TRADE IN'!$F507=0,"",(VLOOKUP($C507,REV!$C:$AL,33,0)-'TRADE IN'!$F507))</f>
        <v/>
      </c>
      <c r="AJ507" s="55" t="str">
        <f>IF(VLOOKUP($C507,REV!$C:$AL,34,0)-'TRADE IN'!$F507=0,"",(VLOOKUP($C507,REV!$C:$AL,34,0)-'TRADE IN'!$F507))</f>
        <v/>
      </c>
      <c r="AK507" s="55" t="str">
        <f>IF(VLOOKUP($C507,REV!$C:$AL,35,0)-'TRADE IN'!$F507=0,"",(VLOOKUP($C507,REV!$C:$AL,35,0)-'TRADE IN'!$F507))</f>
        <v/>
      </c>
      <c r="AL507" s="55" t="str">
        <f>IF(VLOOKUP($C507,REV!$C:$AL,36,0)-'TRADE IN'!$F507=0,"",(VLOOKUP($C507,REV!$C:$AL,36,0)-'TRADE IN'!$F507))</f>
        <v/>
      </c>
      <c r="AM507" s="55"/>
      <c r="AN507" s="55"/>
      <c r="AO507" s="55"/>
      <c r="AP507" s="55">
        <v>575</v>
      </c>
      <c r="AQ507" s="55">
        <v>575</v>
      </c>
      <c r="AR507" s="55">
        <v>575</v>
      </c>
      <c r="AS507" s="97">
        <v>199</v>
      </c>
      <c r="AT507" s="97">
        <v>159</v>
      </c>
      <c r="AU507" s="98">
        <v>99.9</v>
      </c>
      <c r="AW507" s="156" t="str">
        <f>REV!AW507</f>
        <v>03.11.2026</v>
      </c>
      <c r="AX507" s="147" t="str">
        <f>VLOOKUP(C507,REV!C:AX,48,0)</f>
        <v>4G</v>
      </c>
    </row>
    <row r="508" spans="1:50" ht="22.5" customHeight="1" thickBot="1">
      <c r="A508" s="91" t="s">
        <v>241</v>
      </c>
      <c r="B508" s="92" t="s">
        <v>64</v>
      </c>
      <c r="C508" s="76">
        <v>4012680</v>
      </c>
      <c r="D508" s="99" t="s">
        <v>733</v>
      </c>
      <c r="E508" s="77" t="s">
        <v>733</v>
      </c>
      <c r="F508" s="78"/>
      <c r="G508" s="157"/>
      <c r="H508" s="157"/>
      <c r="I508" s="157"/>
      <c r="J508" s="78" t="str">
        <f>IF(VLOOKUP($C508,REV!$C:$AA,8,0)-'TRADE IN'!$F508=0,"",(VLOOKUP($C508,REV!$C:$AA,8,0)-'TRADE IN'!$F508))</f>
        <v/>
      </c>
      <c r="K508" s="78" t="str">
        <f>IF(VLOOKUP($C508,REV!$C:$AA,9,0)-'TRADE IN'!$F508=0,"",(VLOOKUP($C508,REV!$C:$AA,9,0)-'TRADE IN'!$F508))</f>
        <v/>
      </c>
      <c r="L508" s="78" t="str">
        <f>IF(VLOOKUP($C508,REV!$C:$AA,10,0)-'TRADE IN'!$F508=0,"",(VLOOKUP($C508,REV!$C:$AA,10,0)-'TRADE IN'!$F508))</f>
        <v/>
      </c>
      <c r="M508" s="78" t="str">
        <f>IF(VLOOKUP($C508,REV!$C:$AA,11,0)-'TRADE IN'!$F508=0,"",(VLOOKUP($C508,REV!$C:$AA,11,0)-'TRADE IN'!$F508))</f>
        <v/>
      </c>
      <c r="N508" s="78" t="str">
        <f>IF(VLOOKUP($C508,REV!$C:$AA,12,0)-'TRADE IN'!$F508=0,"",(VLOOKUP($C508,REV!$C:$AA,12,0)-'TRADE IN'!$F508))</f>
        <v/>
      </c>
      <c r="O508" s="78" t="str">
        <f>IF(VLOOKUP($C508,REV!$C:$AA,13,0)-'TRADE IN'!$F508=0,"",(VLOOKUP($C508,REV!$C:$AA,13,0)-'TRADE IN'!$F508))</f>
        <v/>
      </c>
      <c r="P508" s="78" t="str">
        <f>IF(VLOOKUP($C508,REV!$C:$AA,14,0)-'TRADE IN'!$F508=0,"",(VLOOKUP($C508,REV!$C:$AA,14,0)-'TRADE IN'!$F508))</f>
        <v/>
      </c>
      <c r="Q508" s="78" t="str">
        <f>IF(VLOOKUP($C508,REV!$C:$AA,15,0)-'TRADE IN'!$F508=0,"",(VLOOKUP($C508,REV!$C:$AA,15,0)-'TRADE IN'!$F508))</f>
        <v/>
      </c>
      <c r="R508" s="78" t="str">
        <f>IF(VLOOKUP($C508,REV!$C:$AA,16,0)-'TRADE IN'!$F508=0,"",(VLOOKUP($C508,REV!$C:$AA,16,0)-'TRADE IN'!$F508))</f>
        <v/>
      </c>
      <c r="S508" s="78" t="str">
        <f>IF(VLOOKUP($C508,REV!$C:$AA,17,0)-'TRADE IN'!$F508=0,"",(VLOOKUP($C508,REV!$C:$AA,17,0)-'TRADE IN'!$F508))</f>
        <v/>
      </c>
      <c r="T508" s="78" t="str">
        <f>IF(VLOOKUP($C508,REV!$C:$AA,18,0)-'TRADE IN'!$F508=0,"",(VLOOKUP($C508,REV!$C:$AA,18,0)-'TRADE IN'!$F508))</f>
        <v/>
      </c>
      <c r="U508" s="78" t="str">
        <f>IF(VLOOKUP($C508,REV!$C:$AA,19,0)-'TRADE IN'!$F508=0,"",(VLOOKUP($C508,REV!$C:$AA,19,0)-'TRADE IN'!$F508))</f>
        <v/>
      </c>
      <c r="V508" s="78" t="str">
        <f>IF(VLOOKUP($C508,REV!$C:$AA,20,0)-'TRADE IN'!$F508=0,"",(VLOOKUP($C508,REV!$C:$AA,20,0)-'TRADE IN'!$F508))</f>
        <v/>
      </c>
      <c r="W508" s="78" t="str">
        <f>IF(VLOOKUP($C508,REV!$C:$AA,21,0)-'TRADE IN'!$F508=0,"",(VLOOKUP($C508,REV!$C:$AA,21,0)-'TRADE IN'!$F508))</f>
        <v/>
      </c>
      <c r="X508" s="78" t="str">
        <f>IF(VLOOKUP($C508,REV!$C:$AA,22,0)-'TRADE IN'!$F508=0,"",(VLOOKUP($C508,REV!$C:$AA,22,0)-'TRADE IN'!$F508))</f>
        <v/>
      </c>
      <c r="Y508" s="78" t="str">
        <f>IF(VLOOKUP($C508,REV!$C:$AA,23,0)-'TRADE IN'!$F508=0,"",(VLOOKUP($C508,REV!$C:$AA,23,0)-'TRADE IN'!$F508))</f>
        <v/>
      </c>
      <c r="Z508" s="78" t="str">
        <f>IF(VLOOKUP($C508,REV!$C:$AA,24,0)-'TRADE IN'!$F508=0,"",(VLOOKUP($C508,REV!$C:$AA,24,0)-'TRADE IN'!$F508))</f>
        <v/>
      </c>
      <c r="AA508" s="78" t="str">
        <f>IF(VLOOKUP($C508,REV!$C:$AA,25,0)-'TRADE IN'!$F508=0,"",(VLOOKUP($C508,REV!$C:$AA,25,0)-'TRADE IN'!$F508))</f>
        <v/>
      </c>
      <c r="AB508" s="78" t="str">
        <f>IF(VLOOKUP($C508,REV!$C:$AL,27,0)-'TRADE IN'!$F508=0,"",(VLOOKUP($C508,REV!$C:$AL,27,0)-'TRADE IN'!$F508))</f>
        <v/>
      </c>
      <c r="AC508" s="78" t="str">
        <f>IF(VLOOKUP($C508,REV!$C:$AL,28,0)-'TRADE IN'!$F508=0,"",(VLOOKUP($C508,REV!$C:$AL,28,0)-'TRADE IN'!$F508))</f>
        <v/>
      </c>
      <c r="AD508" s="78" t="str">
        <f>IF(VLOOKUP($C508,REV!$C:$AL,29,0)-'TRADE IN'!$F508=0,"",(VLOOKUP($C508,REV!$C:$AL,29,0)-'TRADE IN'!$F508))</f>
        <v/>
      </c>
      <c r="AE508" s="78" t="str">
        <f>IF(VLOOKUP($C508,REV!$C:$AL,30,0)-'TRADE IN'!$F508=0,"",(VLOOKUP($C508,REV!$C:$AL,30,0)-'TRADE IN'!$F508))</f>
        <v/>
      </c>
      <c r="AF508" s="78" t="str">
        <f>IF(VLOOKUP($C508,REV!$C:$AL,31,0)-'TRADE IN'!$F508=0,"",(VLOOKUP($C508,REV!$C:$AL,31,0)-'TRADE IN'!$F508))</f>
        <v/>
      </c>
      <c r="AG508" s="78" t="str">
        <f>IF(VLOOKUP($C508,REV!$C:$AL,31,0)-'TRADE IN'!$F508=0,"",(VLOOKUP($C508,REV!$C:$AL,31,0)-'TRADE IN'!$F508))</f>
        <v/>
      </c>
      <c r="AH508" s="78" t="str">
        <f>IF(VLOOKUP($C508,REV!$C:$AL,32,0)-'TRADE IN'!$F508=0,"",(VLOOKUP($C508,REV!$C:$AL,32,0)-'TRADE IN'!$F508))</f>
        <v/>
      </c>
      <c r="AI508" s="78" t="str">
        <f>IF(VLOOKUP($C508,REV!$C:$AL,33,0)-'TRADE IN'!$F508=0,"",(VLOOKUP($C508,REV!$C:$AL,33,0)-'TRADE IN'!$F508))</f>
        <v/>
      </c>
      <c r="AJ508" s="78" t="str">
        <f>IF(VLOOKUP($C508,REV!$C:$AL,34,0)-'TRADE IN'!$F508=0,"",(VLOOKUP($C508,REV!$C:$AL,34,0)-'TRADE IN'!$F508))</f>
        <v/>
      </c>
      <c r="AK508" s="78" t="str">
        <f>IF(VLOOKUP($C508,REV!$C:$AL,35,0)-'TRADE IN'!$F508=0,"",(VLOOKUP($C508,REV!$C:$AL,35,0)-'TRADE IN'!$F508))</f>
        <v/>
      </c>
      <c r="AL508" s="78" t="str">
        <f>IF(VLOOKUP($C508,REV!$C:$AL,36,0)-'TRADE IN'!$F508=0,"",(VLOOKUP($C508,REV!$C:$AL,36,0)-'TRADE IN'!$F508))</f>
        <v/>
      </c>
      <c r="AM508" s="78"/>
      <c r="AN508" s="78"/>
      <c r="AO508" s="78"/>
      <c r="AP508" s="78">
        <v>575</v>
      </c>
      <c r="AQ508" s="78">
        <v>575</v>
      </c>
      <c r="AR508" s="78">
        <v>575</v>
      </c>
      <c r="AS508" s="100">
        <v>199</v>
      </c>
      <c r="AT508" s="100">
        <v>159</v>
      </c>
      <c r="AU508" s="101">
        <v>99.9</v>
      </c>
      <c r="AW508" s="94" t="str">
        <f>REV!AW508</f>
        <v>03.11.2026</v>
      </c>
      <c r="AX508" s="153" t="str">
        <f>VLOOKUP(C508,REV!C:AX,48,0)</f>
        <v>4G</v>
      </c>
    </row>
    <row r="509" spans="1:50" ht="23" customHeight="1">
      <c r="B509" s="128" t="s">
        <v>796</v>
      </c>
      <c r="C509" s="127">
        <v>4017353</v>
      </c>
      <c r="D509" s="132" t="s">
        <v>897</v>
      </c>
      <c r="E509" s="118" t="s">
        <v>898</v>
      </c>
      <c r="F509" s="158"/>
      <c r="G509" s="159"/>
      <c r="H509" s="159"/>
      <c r="I509" s="159"/>
      <c r="J509" s="159">
        <f>IF(VLOOKUP($C509,'ACESSÓRIOS REV'!$C:$AL,8,0)-'TRADE IN'!$F509=0,"",(VLOOKUP($C509,'ACESSÓRIOS REV'!$C:$AL,8,0)-'TRADE IN'!$F509))</f>
        <v>4549</v>
      </c>
      <c r="K509" s="159">
        <f>IF(VLOOKUP($C509,'ACESSÓRIOS REV'!$C:$AL,9,0)-'TRADE IN'!$F509=0,"",(VLOOKUP($C509,'ACESSÓRIOS REV'!$C:$AL,9,0)-'TRADE IN'!$F509))</f>
        <v>4549</v>
      </c>
      <c r="L509" s="159">
        <f>IF(VLOOKUP($C509,'ACESSÓRIOS REV'!$C:$AL,10,0)-'TRADE IN'!$F509=0,"",(VLOOKUP($C509,'ACESSÓRIOS REV'!$C:$AL,10,0)-'TRADE IN'!$F509))</f>
        <v>4549</v>
      </c>
      <c r="M509" s="159">
        <f>IF(VLOOKUP($C509,'ACESSÓRIOS REV'!$C:$AL,11,0)-'TRADE IN'!$F509=0,"",(VLOOKUP($C509,'ACESSÓRIOS REV'!$C:$AL,11,0)-'TRADE IN'!$F509))</f>
        <v>4549</v>
      </c>
      <c r="N509" s="159">
        <f>IF(VLOOKUP($C509,'ACESSÓRIOS REV'!$C:$AL,12,0)-'TRADE IN'!$F509=0,"",(VLOOKUP($C509,'ACESSÓRIOS REV'!$C:$AL,12,0)-'TRADE IN'!$F509))</f>
        <v>4549</v>
      </c>
      <c r="O509" s="159">
        <f>IF(VLOOKUP($C509,'ACESSÓRIOS REV'!$C:$AL,13,0)-'TRADE IN'!$F509=0,"",(VLOOKUP($C509,'ACESSÓRIOS REV'!$C:$AL,13,0)-'TRADE IN'!$F509))</f>
        <v>4499</v>
      </c>
      <c r="P509" s="159">
        <f>IF(VLOOKUP($C509,'ACESSÓRIOS REV'!$C:$AL,14,0)-'TRADE IN'!$F509=0,"",(VLOOKUP($C509,'ACESSÓRIOS REV'!$C:$AL,14,0)-'TRADE IN'!$F509))</f>
        <v>4399</v>
      </c>
      <c r="Q509" s="159">
        <f>IF(VLOOKUP($C509,'ACESSÓRIOS REV'!$C:$AL,15,0)-'TRADE IN'!$F509=0,"",(VLOOKUP($C509,'ACESSÓRIOS REV'!$C:$AL,15,0)-'TRADE IN'!$F509))</f>
        <v>4199</v>
      </c>
      <c r="R509" s="159">
        <f>IF(VLOOKUP($C509,'ACESSÓRIOS REV'!$C:$AL,16,0)-'TRADE IN'!$F509=0,"",(VLOOKUP($C509,'ACESSÓRIOS REV'!$C:$AL,16,0)-'TRADE IN'!$F509))</f>
        <v>4499</v>
      </c>
      <c r="S509" s="159">
        <f>IF(VLOOKUP($C509,'ACESSÓRIOS REV'!$C:$AL,17,0)-'TRADE IN'!$F509=0,"",(VLOOKUP($C509,'ACESSÓRIOS REV'!$C:$AL,17,0)-'TRADE IN'!$F509))</f>
        <v>4399</v>
      </c>
      <c r="T509" s="159">
        <f>IF(VLOOKUP($C509,'ACESSÓRIOS REV'!$C:$AL,18,0)-'TRADE IN'!$F509=0,"",(VLOOKUP($C509,'ACESSÓRIOS REV'!$C:$AL,18,0)-'TRADE IN'!$F509))</f>
        <v>4199</v>
      </c>
      <c r="U509" s="159">
        <f>IF(VLOOKUP($C509,'ACESSÓRIOS REV'!$C:$AL,19,0)-'TRADE IN'!$F509=0,"",(VLOOKUP($C509,'ACESSÓRIOS REV'!$C:$AL,19,0)-'TRADE IN'!$F509))</f>
        <v>4199</v>
      </c>
      <c r="V509" s="159">
        <f>IF(VLOOKUP($C509,'ACESSÓRIOS REV'!$C:$AL,20,0)-'TRADE IN'!$F509=0,"",(VLOOKUP($C509,'ACESSÓRIOS REV'!$C:$AL,20,0)-'TRADE IN'!$F509))</f>
        <v>4199</v>
      </c>
      <c r="W509" s="159">
        <f>IF(VLOOKUP($C509,'ACESSÓRIOS REV'!$C:$AL,21,0)-'TRADE IN'!$F509=0,"",(VLOOKUP($C509,'ACESSÓRIOS REV'!$C:$AL,21,0)-'TRADE IN'!$F509))</f>
        <v>4199</v>
      </c>
      <c r="X509" s="159">
        <f>IF(VLOOKUP($C509,'ACESSÓRIOS REV'!$C:$AL,22,0)-'TRADE IN'!$F509=0,"",(VLOOKUP($C509,'ACESSÓRIOS REV'!$C:$AL,22,0)-'TRADE IN'!$F509))</f>
        <v>4099</v>
      </c>
      <c r="Y509" s="159">
        <f>IF(VLOOKUP($C509,'ACESSÓRIOS REV'!$C:$AL,23,0)-'TRADE IN'!$F509=0,"",(VLOOKUP($C509,'ACESSÓRIOS REV'!$C:$AL,23,0)-'TRADE IN'!$F509))</f>
        <v>3599</v>
      </c>
      <c r="Z509" s="159">
        <f>IF(VLOOKUP($C509,'ACESSÓRIOS REV'!$C:$AL,24,0)-'TRADE IN'!$F509=0,"",(VLOOKUP($C509,'ACESSÓRIOS REV'!$C:$AL,24,0)-'TRADE IN'!$F509))</f>
        <v>3599</v>
      </c>
      <c r="AA509" s="159">
        <f>IF(VLOOKUP($C509,'ACESSÓRIOS REV'!$C:$AL,25,0)-'TRADE IN'!$F509=0,"",(VLOOKUP($C509,'ACESSÓRIOS REV'!$C:$AL,25,0)-'TRADE IN'!$F509))</f>
        <v>3599</v>
      </c>
      <c r="AB509" s="159">
        <f>IF(VLOOKUP($C509,'ACESSÓRIOS REV'!$C:$AL,27,0)-'TRADE IN'!$F509=0,"",(VLOOKUP($C509,'ACESSÓRIOS REV'!$C:$AL,27,0)-'TRADE IN'!$F509))</f>
        <v>4549</v>
      </c>
      <c r="AC509" s="159">
        <f>IF(VLOOKUP($C509,'ACESSÓRIOS REV'!$C:$AL,28,0)-'TRADE IN'!$F509=0,"",(VLOOKUP($C509,'ACESSÓRIOS REV'!$C:$AL,28,0)-'TRADE IN'!$F509))</f>
        <v>4549</v>
      </c>
      <c r="AD509" s="159">
        <f>IF(VLOOKUP($C509,'ACESSÓRIOS REV'!$C:$AL,29,0)-'TRADE IN'!$F509=0,"",(VLOOKUP($C509,'ACESSÓRIOS REV'!$C:$AL,29,0)-'TRADE IN'!$F509))</f>
        <v>4499</v>
      </c>
      <c r="AE509" s="159">
        <f>IF(VLOOKUP($C509,'ACESSÓRIOS REV'!$C:$AL,30,0)-'TRADE IN'!$F509=0,"",(VLOOKUP($C509,'ACESSÓRIOS REV'!$C:$AL,30,0)-'TRADE IN'!$F509))</f>
        <v>4499</v>
      </c>
      <c r="AF509" s="159">
        <f>IF(VLOOKUP($C509,'ACESSÓRIOS REV'!$C:$AL,31,0)-'TRADE IN'!$F509=0,"",(VLOOKUP($C509,'ACESSÓRIOS REV'!$C:$AL,31,0)-'TRADE IN'!$F509))</f>
        <v>4499</v>
      </c>
      <c r="AG509" s="159">
        <f>IF(VLOOKUP($C509,'ACESSÓRIOS REV'!$C:$AL,31,0)-'TRADE IN'!$F509=0,"",(VLOOKUP($C509,'ACESSÓRIOS REV'!$C:$AL,31,0)-'TRADE IN'!$F509))</f>
        <v>4499</v>
      </c>
      <c r="AH509" s="159">
        <f>IF(VLOOKUP($C509,'ACESSÓRIOS REV'!$C:$AL,32,0)-'TRADE IN'!$F509=0,"",(VLOOKUP($C509,'ACESSÓRIOS REV'!$C:$AL,32,0)-'TRADE IN'!$F509))</f>
        <v>4499</v>
      </c>
      <c r="AI509" s="159">
        <f>IF(VLOOKUP($C509,'ACESSÓRIOS REV'!$C:$AL,33,0)-'TRADE IN'!$F509=0,"",(VLOOKUP($C509,'ACESSÓRIOS REV'!$C:$AL,33,0)-'TRADE IN'!$F509))</f>
        <v>4199</v>
      </c>
      <c r="AJ509" s="159">
        <f>IF(VLOOKUP($C509,'ACESSÓRIOS REV'!$C:$AL,34,0)-'TRADE IN'!$F509=0,"",(VLOOKUP($C509,'ACESSÓRIOS REV'!$C:$AL,34,0)-'TRADE IN'!$F509))</f>
        <v>4199</v>
      </c>
      <c r="AK509" s="159">
        <f>IF(VLOOKUP($C509,'ACESSÓRIOS REV'!$C:$AL,35,0)-'TRADE IN'!$F509=0,"",(VLOOKUP($C509,'ACESSÓRIOS REV'!$C:$AL,35,0)-'TRADE IN'!$F509))</f>
        <v>4199</v>
      </c>
      <c r="AL509" s="159">
        <f>IF(VLOOKUP($C509,'ACESSÓRIOS REV'!$C:$AL,36,0)-'TRADE IN'!$F509=0,"",(VLOOKUP($C509,'ACESSÓRIOS REV'!$C:$AL,36,0)-'TRADE IN'!$F509))</f>
        <v>3599</v>
      </c>
      <c r="AM509" s="160"/>
      <c r="AN509" s="160"/>
      <c r="AO509" s="160"/>
      <c r="AP509" s="160"/>
      <c r="AQ509" s="160"/>
      <c r="AR509" s="160"/>
      <c r="AS509" s="160"/>
      <c r="AT509" s="160"/>
      <c r="AU509" s="160"/>
      <c r="AW509" s="161" t="s">
        <v>740</v>
      </c>
    </row>
    <row r="510" spans="1:50" ht="23" customHeight="1">
      <c r="B510" s="128" t="s">
        <v>741</v>
      </c>
      <c r="C510" s="127">
        <v>4016511</v>
      </c>
      <c r="D510" s="132" t="s">
        <v>899</v>
      </c>
      <c r="E510" s="118" t="s">
        <v>900</v>
      </c>
      <c r="F510" s="158"/>
      <c r="G510" s="159"/>
      <c r="H510" s="159"/>
      <c r="I510" s="159"/>
      <c r="J510" s="159">
        <f>IF(VLOOKUP($C510,'ACESSÓRIOS REV'!$C:$AL,8,0)-'TRADE IN'!$F510=0,"",(VLOOKUP($C510,'ACESSÓRIOS REV'!$C:$AL,8,0)-'TRADE IN'!$F510))</f>
        <v>4549</v>
      </c>
      <c r="K510" s="159">
        <f>IF(VLOOKUP($C510,'ACESSÓRIOS REV'!$C:$AL,9,0)-'TRADE IN'!$F510=0,"",(VLOOKUP($C510,'ACESSÓRIOS REV'!$C:$AL,9,0)-'TRADE IN'!$F510))</f>
        <v>4549</v>
      </c>
      <c r="L510" s="159">
        <f>IF(VLOOKUP($C510,'ACESSÓRIOS REV'!$C:$AL,10,0)-'TRADE IN'!$F510=0,"",(VLOOKUP($C510,'ACESSÓRIOS REV'!$C:$AL,10,0)-'TRADE IN'!$F510))</f>
        <v>4549</v>
      </c>
      <c r="M510" s="159">
        <f>IF(VLOOKUP($C510,'ACESSÓRIOS REV'!$C:$AL,11,0)-'TRADE IN'!$F510=0,"",(VLOOKUP($C510,'ACESSÓRIOS REV'!$C:$AL,11,0)-'TRADE IN'!$F510))</f>
        <v>4549</v>
      </c>
      <c r="N510" s="159">
        <f>IF(VLOOKUP($C510,'ACESSÓRIOS REV'!$C:$AL,12,0)-'TRADE IN'!$F510=0,"",(VLOOKUP($C510,'ACESSÓRIOS REV'!$C:$AL,12,0)-'TRADE IN'!$F510))</f>
        <v>4549</v>
      </c>
      <c r="O510" s="159">
        <f>IF(VLOOKUP($C510,'ACESSÓRIOS REV'!$C:$AL,13,0)-'TRADE IN'!$F510=0,"",(VLOOKUP($C510,'ACESSÓRIOS REV'!$C:$AL,13,0)-'TRADE IN'!$F510))</f>
        <v>4499</v>
      </c>
      <c r="P510" s="159">
        <f>IF(VLOOKUP($C510,'ACESSÓRIOS REV'!$C:$AL,14,0)-'TRADE IN'!$F510=0,"",(VLOOKUP($C510,'ACESSÓRIOS REV'!$C:$AL,14,0)-'TRADE IN'!$F510))</f>
        <v>4399</v>
      </c>
      <c r="Q510" s="159">
        <f>IF(VLOOKUP($C510,'ACESSÓRIOS REV'!$C:$AL,15,0)-'TRADE IN'!$F510=0,"",(VLOOKUP($C510,'ACESSÓRIOS REV'!$C:$AL,15,0)-'TRADE IN'!$F510))</f>
        <v>4199</v>
      </c>
      <c r="R510" s="159">
        <f>IF(VLOOKUP($C510,'ACESSÓRIOS REV'!$C:$AL,16,0)-'TRADE IN'!$F510=0,"",(VLOOKUP($C510,'ACESSÓRIOS REV'!$C:$AL,16,0)-'TRADE IN'!$F510))</f>
        <v>4499</v>
      </c>
      <c r="S510" s="159">
        <f>IF(VLOOKUP($C510,'ACESSÓRIOS REV'!$C:$AL,17,0)-'TRADE IN'!$F510=0,"",(VLOOKUP($C510,'ACESSÓRIOS REV'!$C:$AL,17,0)-'TRADE IN'!$F510))</f>
        <v>4399</v>
      </c>
      <c r="T510" s="159">
        <f>IF(VLOOKUP($C510,'ACESSÓRIOS REV'!$C:$AL,18,0)-'TRADE IN'!$F510=0,"",(VLOOKUP($C510,'ACESSÓRIOS REV'!$C:$AL,18,0)-'TRADE IN'!$F510))</f>
        <v>4199</v>
      </c>
      <c r="U510" s="159">
        <f>IF(VLOOKUP($C510,'ACESSÓRIOS REV'!$C:$AL,19,0)-'TRADE IN'!$F510=0,"",(VLOOKUP($C510,'ACESSÓRIOS REV'!$C:$AL,19,0)-'TRADE IN'!$F510))</f>
        <v>4199</v>
      </c>
      <c r="V510" s="159">
        <f>IF(VLOOKUP($C510,'ACESSÓRIOS REV'!$C:$AL,20,0)-'TRADE IN'!$F510=0,"",(VLOOKUP($C510,'ACESSÓRIOS REV'!$C:$AL,20,0)-'TRADE IN'!$F510))</f>
        <v>4199</v>
      </c>
      <c r="W510" s="159">
        <f>IF(VLOOKUP($C510,'ACESSÓRIOS REV'!$C:$AL,21,0)-'TRADE IN'!$F510=0,"",(VLOOKUP($C510,'ACESSÓRIOS REV'!$C:$AL,21,0)-'TRADE IN'!$F510))</f>
        <v>4199</v>
      </c>
      <c r="X510" s="159">
        <f>IF(VLOOKUP($C510,'ACESSÓRIOS REV'!$C:$AL,22,0)-'TRADE IN'!$F510=0,"",(VLOOKUP($C510,'ACESSÓRIOS REV'!$C:$AL,22,0)-'TRADE IN'!$F510))</f>
        <v>4099</v>
      </c>
      <c r="Y510" s="159">
        <f>IF(VLOOKUP($C510,'ACESSÓRIOS REV'!$C:$AL,23,0)-'TRADE IN'!$F510=0,"",(VLOOKUP($C510,'ACESSÓRIOS REV'!$C:$AL,23,0)-'TRADE IN'!$F510))</f>
        <v>3599</v>
      </c>
      <c r="Z510" s="159">
        <f>IF(VLOOKUP($C510,'ACESSÓRIOS REV'!$C:$AL,24,0)-'TRADE IN'!$F510=0,"",(VLOOKUP($C510,'ACESSÓRIOS REV'!$C:$AL,24,0)-'TRADE IN'!$F510))</f>
        <v>3599</v>
      </c>
      <c r="AA510" s="159">
        <f>IF(VLOOKUP($C510,'ACESSÓRIOS REV'!$C:$AL,25,0)-'TRADE IN'!$F510=0,"",(VLOOKUP($C510,'ACESSÓRIOS REV'!$C:$AL,25,0)-'TRADE IN'!$F510))</f>
        <v>3599</v>
      </c>
      <c r="AB510" s="159">
        <f>IF(VLOOKUP($C510,'ACESSÓRIOS REV'!$C:$AL,27,0)-'TRADE IN'!$F510=0,"",(VLOOKUP($C510,'ACESSÓRIOS REV'!$C:$AL,27,0)-'TRADE IN'!$F510))</f>
        <v>4549</v>
      </c>
      <c r="AC510" s="159">
        <f>IF(VLOOKUP($C510,'ACESSÓRIOS REV'!$C:$AL,28,0)-'TRADE IN'!$F510=0,"",(VLOOKUP($C510,'ACESSÓRIOS REV'!$C:$AL,28,0)-'TRADE IN'!$F510))</f>
        <v>4549</v>
      </c>
      <c r="AD510" s="159">
        <f>IF(VLOOKUP($C510,'ACESSÓRIOS REV'!$C:$AL,29,0)-'TRADE IN'!$F510=0,"",(VLOOKUP($C510,'ACESSÓRIOS REV'!$C:$AL,29,0)-'TRADE IN'!$F510))</f>
        <v>4499</v>
      </c>
      <c r="AE510" s="159">
        <f>IF(VLOOKUP($C510,'ACESSÓRIOS REV'!$C:$AL,30,0)-'TRADE IN'!$F510=0,"",(VLOOKUP($C510,'ACESSÓRIOS REV'!$C:$AL,30,0)-'TRADE IN'!$F510))</f>
        <v>4499</v>
      </c>
      <c r="AF510" s="159">
        <f>IF(VLOOKUP($C510,'ACESSÓRIOS REV'!$C:$AL,31,0)-'TRADE IN'!$F510=0,"",(VLOOKUP($C510,'ACESSÓRIOS REV'!$C:$AL,31,0)-'TRADE IN'!$F510))</f>
        <v>4499</v>
      </c>
      <c r="AG510" s="159">
        <f>IF(VLOOKUP($C510,'ACESSÓRIOS REV'!$C:$AL,31,0)-'TRADE IN'!$F510=0,"",(VLOOKUP($C510,'ACESSÓRIOS REV'!$C:$AL,31,0)-'TRADE IN'!$F510))</f>
        <v>4499</v>
      </c>
      <c r="AH510" s="159">
        <f>IF(VLOOKUP($C510,'ACESSÓRIOS REV'!$C:$AL,32,0)-'TRADE IN'!$F510=0,"",(VLOOKUP($C510,'ACESSÓRIOS REV'!$C:$AL,32,0)-'TRADE IN'!$F510))</f>
        <v>4499</v>
      </c>
      <c r="AI510" s="159">
        <f>IF(VLOOKUP($C510,'ACESSÓRIOS REV'!$C:$AL,33,0)-'TRADE IN'!$F510=0,"",(VLOOKUP($C510,'ACESSÓRIOS REV'!$C:$AL,33,0)-'TRADE IN'!$F510))</f>
        <v>4199</v>
      </c>
      <c r="AJ510" s="159">
        <f>IF(VLOOKUP($C510,'ACESSÓRIOS REV'!$C:$AL,34,0)-'TRADE IN'!$F510=0,"",(VLOOKUP($C510,'ACESSÓRIOS REV'!$C:$AL,34,0)-'TRADE IN'!$F510))</f>
        <v>4199</v>
      </c>
      <c r="AK510" s="159">
        <f>IF(VLOOKUP($C510,'ACESSÓRIOS REV'!$C:$AL,35,0)-'TRADE IN'!$F510=0,"",(VLOOKUP($C510,'ACESSÓRIOS REV'!$C:$AL,35,0)-'TRADE IN'!$F510))</f>
        <v>4199</v>
      </c>
      <c r="AL510" s="159">
        <f>IF(VLOOKUP($C510,'ACESSÓRIOS REV'!$C:$AL,36,0)-'TRADE IN'!$F510=0,"",(VLOOKUP($C510,'ACESSÓRIOS REV'!$C:$AL,36,0)-'TRADE IN'!$F510))</f>
        <v>3599</v>
      </c>
      <c r="AM510" s="145"/>
      <c r="AN510" s="145"/>
      <c r="AO510" s="145"/>
      <c r="AP510" s="145"/>
      <c r="AQ510" s="145"/>
      <c r="AR510" s="145"/>
      <c r="AS510" s="145"/>
      <c r="AT510" s="145"/>
      <c r="AU510" s="145"/>
      <c r="AW510" s="161" t="s">
        <v>740</v>
      </c>
    </row>
    <row r="511" spans="1:50" ht="23" customHeight="1">
      <c r="B511" s="128" t="s">
        <v>741</v>
      </c>
      <c r="C511" s="127">
        <v>4016960</v>
      </c>
      <c r="D511" s="132" t="s">
        <v>901</v>
      </c>
      <c r="E511" s="118" t="s">
        <v>902</v>
      </c>
      <c r="F511" s="158"/>
      <c r="G511" s="159"/>
      <c r="H511" s="159"/>
      <c r="I511" s="159"/>
      <c r="J511" s="159">
        <f>IF(VLOOKUP($C511,'ACESSÓRIOS REV'!$C:$AL,8,0)-'TRADE IN'!$F511=0,"",(VLOOKUP($C511,'ACESSÓRIOS REV'!$C:$AL,8,0)-'TRADE IN'!$F511))</f>
        <v>4549</v>
      </c>
      <c r="K511" s="159">
        <f>IF(VLOOKUP($C511,'ACESSÓRIOS REV'!$C:$AL,9,0)-'TRADE IN'!$F511=0,"",(VLOOKUP($C511,'ACESSÓRIOS REV'!$C:$AL,9,0)-'TRADE IN'!$F511))</f>
        <v>4549</v>
      </c>
      <c r="L511" s="159">
        <f>IF(VLOOKUP($C511,'ACESSÓRIOS REV'!$C:$AL,10,0)-'TRADE IN'!$F511=0,"",(VLOOKUP($C511,'ACESSÓRIOS REV'!$C:$AL,10,0)-'TRADE IN'!$F511))</f>
        <v>4549</v>
      </c>
      <c r="M511" s="159">
        <f>IF(VLOOKUP($C511,'ACESSÓRIOS REV'!$C:$AL,11,0)-'TRADE IN'!$F511=0,"",(VLOOKUP($C511,'ACESSÓRIOS REV'!$C:$AL,11,0)-'TRADE IN'!$F511))</f>
        <v>4549</v>
      </c>
      <c r="N511" s="159">
        <f>IF(VLOOKUP($C511,'ACESSÓRIOS REV'!$C:$AL,12,0)-'TRADE IN'!$F511=0,"",(VLOOKUP($C511,'ACESSÓRIOS REV'!$C:$AL,12,0)-'TRADE IN'!$F511))</f>
        <v>4549</v>
      </c>
      <c r="O511" s="159">
        <f>IF(VLOOKUP($C511,'ACESSÓRIOS REV'!$C:$AL,13,0)-'TRADE IN'!$F511=0,"",(VLOOKUP($C511,'ACESSÓRIOS REV'!$C:$AL,13,0)-'TRADE IN'!$F511))</f>
        <v>4499</v>
      </c>
      <c r="P511" s="159">
        <f>IF(VLOOKUP($C511,'ACESSÓRIOS REV'!$C:$AL,14,0)-'TRADE IN'!$F511=0,"",(VLOOKUP($C511,'ACESSÓRIOS REV'!$C:$AL,14,0)-'TRADE IN'!$F511))</f>
        <v>4399</v>
      </c>
      <c r="Q511" s="159">
        <f>IF(VLOOKUP($C511,'ACESSÓRIOS REV'!$C:$AL,15,0)-'TRADE IN'!$F511=0,"",(VLOOKUP($C511,'ACESSÓRIOS REV'!$C:$AL,15,0)-'TRADE IN'!$F511))</f>
        <v>4199</v>
      </c>
      <c r="R511" s="159">
        <f>IF(VLOOKUP($C511,'ACESSÓRIOS REV'!$C:$AL,16,0)-'TRADE IN'!$F511=0,"",(VLOOKUP($C511,'ACESSÓRIOS REV'!$C:$AL,16,0)-'TRADE IN'!$F511))</f>
        <v>4499</v>
      </c>
      <c r="S511" s="159">
        <f>IF(VLOOKUP($C511,'ACESSÓRIOS REV'!$C:$AL,17,0)-'TRADE IN'!$F511=0,"",(VLOOKUP($C511,'ACESSÓRIOS REV'!$C:$AL,17,0)-'TRADE IN'!$F511))</f>
        <v>4399</v>
      </c>
      <c r="T511" s="159">
        <f>IF(VLOOKUP($C511,'ACESSÓRIOS REV'!$C:$AL,18,0)-'TRADE IN'!$F511=0,"",(VLOOKUP($C511,'ACESSÓRIOS REV'!$C:$AL,18,0)-'TRADE IN'!$F511))</f>
        <v>4199</v>
      </c>
      <c r="U511" s="159">
        <f>IF(VLOOKUP($C511,'ACESSÓRIOS REV'!$C:$AL,19,0)-'TRADE IN'!$F511=0,"",(VLOOKUP($C511,'ACESSÓRIOS REV'!$C:$AL,19,0)-'TRADE IN'!$F511))</f>
        <v>4199</v>
      </c>
      <c r="V511" s="159">
        <f>IF(VLOOKUP($C511,'ACESSÓRIOS REV'!$C:$AL,20,0)-'TRADE IN'!$F511=0,"",(VLOOKUP($C511,'ACESSÓRIOS REV'!$C:$AL,20,0)-'TRADE IN'!$F511))</f>
        <v>4199</v>
      </c>
      <c r="W511" s="159">
        <f>IF(VLOOKUP($C511,'ACESSÓRIOS REV'!$C:$AL,21,0)-'TRADE IN'!$F511=0,"",(VLOOKUP($C511,'ACESSÓRIOS REV'!$C:$AL,21,0)-'TRADE IN'!$F511))</f>
        <v>4199</v>
      </c>
      <c r="X511" s="159">
        <f>IF(VLOOKUP($C511,'ACESSÓRIOS REV'!$C:$AL,22,0)-'TRADE IN'!$F511=0,"",(VLOOKUP($C511,'ACESSÓRIOS REV'!$C:$AL,22,0)-'TRADE IN'!$F511))</f>
        <v>4099</v>
      </c>
      <c r="Y511" s="159">
        <f>IF(VLOOKUP($C511,'ACESSÓRIOS REV'!$C:$AL,23,0)-'TRADE IN'!$F511=0,"",(VLOOKUP($C511,'ACESSÓRIOS REV'!$C:$AL,23,0)-'TRADE IN'!$F511))</f>
        <v>3599</v>
      </c>
      <c r="Z511" s="159">
        <f>IF(VLOOKUP($C511,'ACESSÓRIOS REV'!$C:$AL,24,0)-'TRADE IN'!$F511=0,"",(VLOOKUP($C511,'ACESSÓRIOS REV'!$C:$AL,24,0)-'TRADE IN'!$F511))</f>
        <v>3599</v>
      </c>
      <c r="AA511" s="159">
        <f>IF(VLOOKUP($C511,'ACESSÓRIOS REV'!$C:$AL,25,0)-'TRADE IN'!$F511=0,"",(VLOOKUP($C511,'ACESSÓRIOS REV'!$C:$AL,25,0)-'TRADE IN'!$F511))</f>
        <v>3599</v>
      </c>
      <c r="AB511" s="159">
        <f>IF(VLOOKUP($C511,'ACESSÓRIOS REV'!$C:$AL,27,0)-'TRADE IN'!$F511=0,"",(VLOOKUP($C511,'ACESSÓRIOS REV'!$C:$AL,27,0)-'TRADE IN'!$F511))</f>
        <v>4549</v>
      </c>
      <c r="AC511" s="159">
        <f>IF(VLOOKUP($C511,'ACESSÓRIOS REV'!$C:$AL,28,0)-'TRADE IN'!$F511=0,"",(VLOOKUP($C511,'ACESSÓRIOS REV'!$C:$AL,28,0)-'TRADE IN'!$F511))</f>
        <v>4549</v>
      </c>
      <c r="AD511" s="159">
        <f>IF(VLOOKUP($C511,'ACESSÓRIOS REV'!$C:$AL,29,0)-'TRADE IN'!$F511=0,"",(VLOOKUP($C511,'ACESSÓRIOS REV'!$C:$AL,29,0)-'TRADE IN'!$F511))</f>
        <v>4499</v>
      </c>
      <c r="AE511" s="159">
        <f>IF(VLOOKUP($C511,'ACESSÓRIOS REV'!$C:$AL,30,0)-'TRADE IN'!$F511=0,"",(VLOOKUP($C511,'ACESSÓRIOS REV'!$C:$AL,30,0)-'TRADE IN'!$F511))</f>
        <v>4499</v>
      </c>
      <c r="AF511" s="159">
        <f>IF(VLOOKUP($C511,'ACESSÓRIOS REV'!$C:$AL,31,0)-'TRADE IN'!$F511=0,"",(VLOOKUP($C511,'ACESSÓRIOS REV'!$C:$AL,31,0)-'TRADE IN'!$F511))</f>
        <v>4499</v>
      </c>
      <c r="AG511" s="159">
        <f>IF(VLOOKUP($C511,'ACESSÓRIOS REV'!$C:$AL,31,0)-'TRADE IN'!$F511=0,"",(VLOOKUP($C511,'ACESSÓRIOS REV'!$C:$AL,31,0)-'TRADE IN'!$F511))</f>
        <v>4499</v>
      </c>
      <c r="AH511" s="159">
        <f>IF(VLOOKUP($C511,'ACESSÓRIOS REV'!$C:$AL,32,0)-'TRADE IN'!$F511=0,"",(VLOOKUP($C511,'ACESSÓRIOS REV'!$C:$AL,32,0)-'TRADE IN'!$F511))</f>
        <v>4499</v>
      </c>
      <c r="AI511" s="159">
        <f>IF(VLOOKUP($C511,'ACESSÓRIOS REV'!$C:$AL,33,0)-'TRADE IN'!$F511=0,"",(VLOOKUP($C511,'ACESSÓRIOS REV'!$C:$AL,33,0)-'TRADE IN'!$F511))</f>
        <v>4199</v>
      </c>
      <c r="AJ511" s="159">
        <f>IF(VLOOKUP($C511,'ACESSÓRIOS REV'!$C:$AL,34,0)-'TRADE IN'!$F511=0,"",(VLOOKUP($C511,'ACESSÓRIOS REV'!$C:$AL,34,0)-'TRADE IN'!$F511))</f>
        <v>4199</v>
      </c>
      <c r="AK511" s="159">
        <f>IF(VLOOKUP($C511,'ACESSÓRIOS REV'!$C:$AL,35,0)-'TRADE IN'!$F511=0,"",(VLOOKUP($C511,'ACESSÓRIOS REV'!$C:$AL,35,0)-'TRADE IN'!$F511))</f>
        <v>4199</v>
      </c>
      <c r="AL511" s="159">
        <f>IF(VLOOKUP($C511,'ACESSÓRIOS REV'!$C:$AL,36,0)-'TRADE IN'!$F511=0,"",(VLOOKUP($C511,'ACESSÓRIOS REV'!$C:$AL,36,0)-'TRADE IN'!$F511))</f>
        <v>3599</v>
      </c>
      <c r="AM511" s="145"/>
      <c r="AN511" s="145"/>
      <c r="AO511" s="145"/>
      <c r="AP511" s="145"/>
      <c r="AQ511" s="145"/>
      <c r="AR511" s="145"/>
      <c r="AS511" s="145"/>
      <c r="AT511" s="145"/>
      <c r="AU511" s="145"/>
      <c r="AW511" s="161" t="s">
        <v>740</v>
      </c>
    </row>
    <row r="512" spans="1:50" ht="23" customHeight="1">
      <c r="B512" s="128" t="s">
        <v>741</v>
      </c>
      <c r="C512" s="127">
        <v>4017129</v>
      </c>
      <c r="D512" s="132" t="s">
        <v>903</v>
      </c>
      <c r="E512" s="118" t="s">
        <v>904</v>
      </c>
      <c r="F512" s="158"/>
      <c r="G512" s="159"/>
      <c r="H512" s="159"/>
      <c r="I512" s="159"/>
      <c r="J512" s="159">
        <f>IF(VLOOKUP($C512,'ACESSÓRIOS REV'!$C:$AL,8,0)-'TRADE IN'!$F512=0,"",(VLOOKUP($C512,'ACESSÓRIOS REV'!$C:$AL,8,0)-'TRADE IN'!$F512))</f>
        <v>4549</v>
      </c>
      <c r="K512" s="159">
        <f>IF(VLOOKUP($C512,'ACESSÓRIOS REV'!$C:$AL,9,0)-'TRADE IN'!$F512=0,"",(VLOOKUP($C512,'ACESSÓRIOS REV'!$C:$AL,9,0)-'TRADE IN'!$F512))</f>
        <v>4549</v>
      </c>
      <c r="L512" s="159">
        <f>IF(VLOOKUP($C512,'ACESSÓRIOS REV'!$C:$AL,10,0)-'TRADE IN'!$F512=0,"",(VLOOKUP($C512,'ACESSÓRIOS REV'!$C:$AL,10,0)-'TRADE IN'!$F512))</f>
        <v>4549</v>
      </c>
      <c r="M512" s="159">
        <f>IF(VLOOKUP($C512,'ACESSÓRIOS REV'!$C:$AL,11,0)-'TRADE IN'!$F512=0,"",(VLOOKUP($C512,'ACESSÓRIOS REV'!$C:$AL,11,0)-'TRADE IN'!$F512))</f>
        <v>4549</v>
      </c>
      <c r="N512" s="159">
        <f>IF(VLOOKUP($C512,'ACESSÓRIOS REV'!$C:$AL,12,0)-'TRADE IN'!$F512=0,"",(VLOOKUP($C512,'ACESSÓRIOS REV'!$C:$AL,12,0)-'TRADE IN'!$F512))</f>
        <v>4549</v>
      </c>
      <c r="O512" s="159">
        <f>IF(VLOOKUP($C512,'ACESSÓRIOS REV'!$C:$AL,13,0)-'TRADE IN'!$F512=0,"",(VLOOKUP($C512,'ACESSÓRIOS REV'!$C:$AL,13,0)-'TRADE IN'!$F512))</f>
        <v>4499</v>
      </c>
      <c r="P512" s="159">
        <f>IF(VLOOKUP($C512,'ACESSÓRIOS REV'!$C:$AL,14,0)-'TRADE IN'!$F512=0,"",(VLOOKUP($C512,'ACESSÓRIOS REV'!$C:$AL,14,0)-'TRADE IN'!$F512))</f>
        <v>4399</v>
      </c>
      <c r="Q512" s="159">
        <f>IF(VLOOKUP($C512,'ACESSÓRIOS REV'!$C:$AL,15,0)-'TRADE IN'!$F512=0,"",(VLOOKUP($C512,'ACESSÓRIOS REV'!$C:$AL,15,0)-'TRADE IN'!$F512))</f>
        <v>4199</v>
      </c>
      <c r="R512" s="159">
        <f>IF(VLOOKUP($C512,'ACESSÓRIOS REV'!$C:$AL,16,0)-'TRADE IN'!$F512=0,"",(VLOOKUP($C512,'ACESSÓRIOS REV'!$C:$AL,16,0)-'TRADE IN'!$F512))</f>
        <v>4499</v>
      </c>
      <c r="S512" s="159">
        <f>IF(VLOOKUP($C512,'ACESSÓRIOS REV'!$C:$AL,17,0)-'TRADE IN'!$F512=0,"",(VLOOKUP($C512,'ACESSÓRIOS REV'!$C:$AL,17,0)-'TRADE IN'!$F512))</f>
        <v>4399</v>
      </c>
      <c r="T512" s="159">
        <f>IF(VLOOKUP($C512,'ACESSÓRIOS REV'!$C:$AL,18,0)-'TRADE IN'!$F512=0,"",(VLOOKUP($C512,'ACESSÓRIOS REV'!$C:$AL,18,0)-'TRADE IN'!$F512))</f>
        <v>4199</v>
      </c>
      <c r="U512" s="159">
        <f>IF(VLOOKUP($C512,'ACESSÓRIOS REV'!$C:$AL,19,0)-'TRADE IN'!$F512=0,"",(VLOOKUP($C512,'ACESSÓRIOS REV'!$C:$AL,19,0)-'TRADE IN'!$F512))</f>
        <v>4199</v>
      </c>
      <c r="V512" s="159">
        <f>IF(VLOOKUP($C512,'ACESSÓRIOS REV'!$C:$AL,20,0)-'TRADE IN'!$F512=0,"",(VLOOKUP($C512,'ACESSÓRIOS REV'!$C:$AL,20,0)-'TRADE IN'!$F512))</f>
        <v>4199</v>
      </c>
      <c r="W512" s="159">
        <f>IF(VLOOKUP($C512,'ACESSÓRIOS REV'!$C:$AL,21,0)-'TRADE IN'!$F512=0,"",(VLOOKUP($C512,'ACESSÓRIOS REV'!$C:$AL,21,0)-'TRADE IN'!$F512))</f>
        <v>4199</v>
      </c>
      <c r="X512" s="159">
        <f>IF(VLOOKUP($C512,'ACESSÓRIOS REV'!$C:$AL,22,0)-'TRADE IN'!$F512=0,"",(VLOOKUP($C512,'ACESSÓRIOS REV'!$C:$AL,22,0)-'TRADE IN'!$F512))</f>
        <v>4099</v>
      </c>
      <c r="Y512" s="159">
        <f>IF(VLOOKUP($C512,'ACESSÓRIOS REV'!$C:$AL,23,0)-'TRADE IN'!$F512=0,"",(VLOOKUP($C512,'ACESSÓRIOS REV'!$C:$AL,23,0)-'TRADE IN'!$F512))</f>
        <v>3599</v>
      </c>
      <c r="Z512" s="159">
        <f>IF(VLOOKUP($C512,'ACESSÓRIOS REV'!$C:$AL,24,0)-'TRADE IN'!$F512=0,"",(VLOOKUP($C512,'ACESSÓRIOS REV'!$C:$AL,24,0)-'TRADE IN'!$F512))</f>
        <v>3599</v>
      </c>
      <c r="AA512" s="159">
        <f>IF(VLOOKUP($C512,'ACESSÓRIOS REV'!$C:$AL,25,0)-'TRADE IN'!$F512=0,"",(VLOOKUP($C512,'ACESSÓRIOS REV'!$C:$AL,25,0)-'TRADE IN'!$F512))</f>
        <v>3599</v>
      </c>
      <c r="AB512" s="159">
        <f>IF(VLOOKUP($C512,'ACESSÓRIOS REV'!$C:$AL,27,0)-'TRADE IN'!$F512=0,"",(VLOOKUP($C512,'ACESSÓRIOS REV'!$C:$AL,27,0)-'TRADE IN'!$F512))</f>
        <v>4549</v>
      </c>
      <c r="AC512" s="159">
        <f>IF(VLOOKUP($C512,'ACESSÓRIOS REV'!$C:$AL,28,0)-'TRADE IN'!$F512=0,"",(VLOOKUP($C512,'ACESSÓRIOS REV'!$C:$AL,28,0)-'TRADE IN'!$F512))</f>
        <v>4549</v>
      </c>
      <c r="AD512" s="159">
        <f>IF(VLOOKUP($C512,'ACESSÓRIOS REV'!$C:$AL,29,0)-'TRADE IN'!$F512=0,"",(VLOOKUP($C512,'ACESSÓRIOS REV'!$C:$AL,29,0)-'TRADE IN'!$F512))</f>
        <v>4499</v>
      </c>
      <c r="AE512" s="159">
        <f>IF(VLOOKUP($C512,'ACESSÓRIOS REV'!$C:$AL,30,0)-'TRADE IN'!$F512=0,"",(VLOOKUP($C512,'ACESSÓRIOS REV'!$C:$AL,30,0)-'TRADE IN'!$F512))</f>
        <v>4499</v>
      </c>
      <c r="AF512" s="159">
        <f>IF(VLOOKUP($C512,'ACESSÓRIOS REV'!$C:$AL,31,0)-'TRADE IN'!$F512=0,"",(VLOOKUP($C512,'ACESSÓRIOS REV'!$C:$AL,31,0)-'TRADE IN'!$F512))</f>
        <v>4499</v>
      </c>
      <c r="AG512" s="159">
        <f>IF(VLOOKUP($C512,'ACESSÓRIOS REV'!$C:$AL,31,0)-'TRADE IN'!$F512=0,"",(VLOOKUP($C512,'ACESSÓRIOS REV'!$C:$AL,31,0)-'TRADE IN'!$F512))</f>
        <v>4499</v>
      </c>
      <c r="AH512" s="159">
        <f>IF(VLOOKUP($C512,'ACESSÓRIOS REV'!$C:$AL,32,0)-'TRADE IN'!$F512=0,"",(VLOOKUP($C512,'ACESSÓRIOS REV'!$C:$AL,32,0)-'TRADE IN'!$F512))</f>
        <v>4499</v>
      </c>
      <c r="AI512" s="159">
        <f>IF(VLOOKUP($C512,'ACESSÓRIOS REV'!$C:$AL,33,0)-'TRADE IN'!$F512=0,"",(VLOOKUP($C512,'ACESSÓRIOS REV'!$C:$AL,33,0)-'TRADE IN'!$F512))</f>
        <v>4199</v>
      </c>
      <c r="AJ512" s="159">
        <f>IF(VLOOKUP($C512,'ACESSÓRIOS REV'!$C:$AL,34,0)-'TRADE IN'!$F512=0,"",(VLOOKUP($C512,'ACESSÓRIOS REV'!$C:$AL,34,0)-'TRADE IN'!$F512))</f>
        <v>4199</v>
      </c>
      <c r="AK512" s="159">
        <f>IF(VLOOKUP($C512,'ACESSÓRIOS REV'!$C:$AL,35,0)-'TRADE IN'!$F512=0,"",(VLOOKUP($C512,'ACESSÓRIOS REV'!$C:$AL,35,0)-'TRADE IN'!$F512))</f>
        <v>4199</v>
      </c>
      <c r="AL512" s="159">
        <f>IF(VLOOKUP($C512,'ACESSÓRIOS REV'!$C:$AL,36,0)-'TRADE IN'!$F512=0,"",(VLOOKUP($C512,'ACESSÓRIOS REV'!$C:$AL,36,0)-'TRADE IN'!$F512))</f>
        <v>3599</v>
      </c>
      <c r="AM512" s="145"/>
      <c r="AN512" s="145"/>
      <c r="AO512" s="145"/>
      <c r="AP512" s="145"/>
      <c r="AQ512" s="145"/>
      <c r="AR512" s="145"/>
      <c r="AS512" s="145"/>
      <c r="AT512" s="145"/>
      <c r="AU512" s="145"/>
      <c r="AW512" s="161" t="s">
        <v>740</v>
      </c>
    </row>
    <row r="513" spans="2:49" ht="23" customHeight="1">
      <c r="B513" s="128" t="s">
        <v>741</v>
      </c>
      <c r="C513" s="127">
        <v>4016309</v>
      </c>
      <c r="D513" s="132" t="s">
        <v>905</v>
      </c>
      <c r="E513" s="118" t="s">
        <v>906</v>
      </c>
      <c r="F513" s="158"/>
      <c r="G513" s="159"/>
      <c r="H513" s="159"/>
      <c r="I513" s="159"/>
      <c r="J513" s="159">
        <f>IF(VLOOKUP($C513,'ACESSÓRIOS REV'!$C:$AL,8,0)-'TRADE IN'!$F513=0,"",(VLOOKUP($C513,'ACESSÓRIOS REV'!$C:$AL,8,0)-'TRADE IN'!$F513))</f>
        <v>5049</v>
      </c>
      <c r="K513" s="159">
        <f>IF(VLOOKUP($C513,'ACESSÓRIOS REV'!$C:$AL,9,0)-'TRADE IN'!$F513=0,"",(VLOOKUP($C513,'ACESSÓRIOS REV'!$C:$AL,9,0)-'TRADE IN'!$F513))</f>
        <v>5049</v>
      </c>
      <c r="L513" s="159">
        <f>IF(VLOOKUP($C513,'ACESSÓRIOS REV'!$C:$AL,10,0)-'TRADE IN'!$F513=0,"",(VLOOKUP($C513,'ACESSÓRIOS REV'!$C:$AL,10,0)-'TRADE IN'!$F513))</f>
        <v>5049</v>
      </c>
      <c r="M513" s="159">
        <f>IF(VLOOKUP($C513,'ACESSÓRIOS REV'!$C:$AL,11,0)-'TRADE IN'!$F513=0,"",(VLOOKUP($C513,'ACESSÓRIOS REV'!$C:$AL,11,0)-'TRADE IN'!$F513))</f>
        <v>5049</v>
      </c>
      <c r="N513" s="159">
        <f>IF(VLOOKUP($C513,'ACESSÓRIOS REV'!$C:$AL,12,0)-'TRADE IN'!$F513=0,"",(VLOOKUP($C513,'ACESSÓRIOS REV'!$C:$AL,12,0)-'TRADE IN'!$F513))</f>
        <v>5049</v>
      </c>
      <c r="O513" s="159">
        <f>IF(VLOOKUP($C513,'ACESSÓRIOS REV'!$C:$AL,13,0)-'TRADE IN'!$F513=0,"",(VLOOKUP($C513,'ACESSÓRIOS REV'!$C:$AL,13,0)-'TRADE IN'!$F513))</f>
        <v>4999</v>
      </c>
      <c r="P513" s="159">
        <f>IF(VLOOKUP($C513,'ACESSÓRIOS REV'!$C:$AL,14,0)-'TRADE IN'!$F513=0,"",(VLOOKUP($C513,'ACESSÓRIOS REV'!$C:$AL,14,0)-'TRADE IN'!$F513))</f>
        <v>4899</v>
      </c>
      <c r="Q513" s="159">
        <f>IF(VLOOKUP($C513,'ACESSÓRIOS REV'!$C:$AL,15,0)-'TRADE IN'!$F513=0,"",(VLOOKUP($C513,'ACESSÓRIOS REV'!$C:$AL,15,0)-'TRADE IN'!$F513))</f>
        <v>4699</v>
      </c>
      <c r="R513" s="159">
        <f>IF(VLOOKUP($C513,'ACESSÓRIOS REV'!$C:$AL,16,0)-'TRADE IN'!$F513=0,"",(VLOOKUP($C513,'ACESSÓRIOS REV'!$C:$AL,16,0)-'TRADE IN'!$F513))</f>
        <v>4999</v>
      </c>
      <c r="S513" s="159">
        <f>IF(VLOOKUP($C513,'ACESSÓRIOS REV'!$C:$AL,17,0)-'TRADE IN'!$F513=0,"",(VLOOKUP($C513,'ACESSÓRIOS REV'!$C:$AL,17,0)-'TRADE IN'!$F513))</f>
        <v>4899</v>
      </c>
      <c r="T513" s="159">
        <f>IF(VLOOKUP($C513,'ACESSÓRIOS REV'!$C:$AL,18,0)-'TRADE IN'!$F513=0,"",(VLOOKUP($C513,'ACESSÓRIOS REV'!$C:$AL,18,0)-'TRADE IN'!$F513))</f>
        <v>4699</v>
      </c>
      <c r="U513" s="159">
        <f>IF(VLOOKUP($C513,'ACESSÓRIOS REV'!$C:$AL,19,0)-'TRADE IN'!$F513=0,"",(VLOOKUP($C513,'ACESSÓRIOS REV'!$C:$AL,19,0)-'TRADE IN'!$F513))</f>
        <v>4699</v>
      </c>
      <c r="V513" s="159">
        <f>IF(VLOOKUP($C513,'ACESSÓRIOS REV'!$C:$AL,20,0)-'TRADE IN'!$F513=0,"",(VLOOKUP($C513,'ACESSÓRIOS REV'!$C:$AL,20,0)-'TRADE IN'!$F513))</f>
        <v>4699</v>
      </c>
      <c r="W513" s="159">
        <f>IF(VLOOKUP($C513,'ACESSÓRIOS REV'!$C:$AL,21,0)-'TRADE IN'!$F513=0,"",(VLOOKUP($C513,'ACESSÓRIOS REV'!$C:$AL,21,0)-'TRADE IN'!$F513))</f>
        <v>4699</v>
      </c>
      <c r="X513" s="159">
        <f>IF(VLOOKUP($C513,'ACESSÓRIOS REV'!$C:$AL,22,0)-'TRADE IN'!$F513=0,"",(VLOOKUP($C513,'ACESSÓRIOS REV'!$C:$AL,22,0)-'TRADE IN'!$F513))</f>
        <v>4599</v>
      </c>
      <c r="Y513" s="159">
        <f>IF(VLOOKUP($C513,'ACESSÓRIOS REV'!$C:$AL,23,0)-'TRADE IN'!$F513=0,"",(VLOOKUP($C513,'ACESSÓRIOS REV'!$C:$AL,23,0)-'TRADE IN'!$F513))</f>
        <v>3999</v>
      </c>
      <c r="Z513" s="159">
        <f>IF(VLOOKUP($C513,'ACESSÓRIOS REV'!$C:$AL,24,0)-'TRADE IN'!$F513=0,"",(VLOOKUP($C513,'ACESSÓRIOS REV'!$C:$AL,24,0)-'TRADE IN'!$F513))</f>
        <v>3999</v>
      </c>
      <c r="AA513" s="159">
        <f>IF(VLOOKUP($C513,'ACESSÓRIOS REV'!$C:$AL,25,0)-'TRADE IN'!$F513=0,"",(VLOOKUP($C513,'ACESSÓRIOS REV'!$C:$AL,25,0)-'TRADE IN'!$F513))</f>
        <v>3999</v>
      </c>
      <c r="AB513" s="159">
        <f>IF(VLOOKUP($C513,'ACESSÓRIOS REV'!$C:$AL,27,0)-'TRADE IN'!$F513=0,"",(VLOOKUP($C513,'ACESSÓRIOS REV'!$C:$AL,27,0)-'TRADE IN'!$F513))</f>
        <v>5049</v>
      </c>
      <c r="AC513" s="159">
        <f>IF(VLOOKUP($C513,'ACESSÓRIOS REV'!$C:$AL,28,0)-'TRADE IN'!$F513=0,"",(VLOOKUP($C513,'ACESSÓRIOS REV'!$C:$AL,28,0)-'TRADE IN'!$F513))</f>
        <v>5049</v>
      </c>
      <c r="AD513" s="159">
        <f>IF(VLOOKUP($C513,'ACESSÓRIOS REV'!$C:$AL,29,0)-'TRADE IN'!$F513=0,"",(VLOOKUP($C513,'ACESSÓRIOS REV'!$C:$AL,29,0)-'TRADE IN'!$F513))</f>
        <v>4999</v>
      </c>
      <c r="AE513" s="159">
        <f>IF(VLOOKUP($C513,'ACESSÓRIOS REV'!$C:$AL,30,0)-'TRADE IN'!$F513=0,"",(VLOOKUP($C513,'ACESSÓRIOS REV'!$C:$AL,30,0)-'TRADE IN'!$F513))</f>
        <v>4999</v>
      </c>
      <c r="AF513" s="159">
        <f>IF(VLOOKUP($C513,'ACESSÓRIOS REV'!$C:$AL,31,0)-'TRADE IN'!$F513=0,"",(VLOOKUP($C513,'ACESSÓRIOS REV'!$C:$AL,31,0)-'TRADE IN'!$F513))</f>
        <v>4999</v>
      </c>
      <c r="AG513" s="159">
        <f>IF(VLOOKUP($C513,'ACESSÓRIOS REV'!$C:$AL,31,0)-'TRADE IN'!$F513=0,"",(VLOOKUP($C513,'ACESSÓRIOS REV'!$C:$AL,31,0)-'TRADE IN'!$F513))</f>
        <v>4999</v>
      </c>
      <c r="AH513" s="159">
        <f>IF(VLOOKUP($C513,'ACESSÓRIOS REV'!$C:$AL,32,0)-'TRADE IN'!$F513=0,"",(VLOOKUP($C513,'ACESSÓRIOS REV'!$C:$AL,32,0)-'TRADE IN'!$F513))</f>
        <v>4999</v>
      </c>
      <c r="AI513" s="159">
        <f>IF(VLOOKUP($C513,'ACESSÓRIOS REV'!$C:$AL,33,0)-'TRADE IN'!$F513=0,"",(VLOOKUP($C513,'ACESSÓRIOS REV'!$C:$AL,33,0)-'TRADE IN'!$F513))</f>
        <v>4699</v>
      </c>
      <c r="AJ513" s="159">
        <f>IF(VLOOKUP($C513,'ACESSÓRIOS REV'!$C:$AL,34,0)-'TRADE IN'!$F513=0,"",(VLOOKUP($C513,'ACESSÓRIOS REV'!$C:$AL,34,0)-'TRADE IN'!$F513))</f>
        <v>4699</v>
      </c>
      <c r="AK513" s="159">
        <f>IF(VLOOKUP($C513,'ACESSÓRIOS REV'!$C:$AL,35,0)-'TRADE IN'!$F513=0,"",(VLOOKUP($C513,'ACESSÓRIOS REV'!$C:$AL,35,0)-'TRADE IN'!$F513))</f>
        <v>4699</v>
      </c>
      <c r="AL513" s="159">
        <f>IF(VLOOKUP($C513,'ACESSÓRIOS REV'!$C:$AL,36,0)-'TRADE IN'!$F513=0,"",(VLOOKUP($C513,'ACESSÓRIOS REV'!$C:$AL,36,0)-'TRADE IN'!$F513))</f>
        <v>3999</v>
      </c>
      <c r="AM513" s="145"/>
      <c r="AN513" s="145"/>
      <c r="AO513" s="145"/>
      <c r="AP513" s="145"/>
      <c r="AQ513" s="145"/>
      <c r="AR513" s="145"/>
      <c r="AS513" s="145"/>
      <c r="AT513" s="145"/>
      <c r="AU513" s="145"/>
      <c r="AW513" s="161" t="s">
        <v>740</v>
      </c>
    </row>
    <row r="514" spans="2:49" ht="23" customHeight="1">
      <c r="B514" s="128" t="s">
        <v>796</v>
      </c>
      <c r="C514" s="127">
        <v>4016958</v>
      </c>
      <c r="D514" s="132" t="s">
        <v>907</v>
      </c>
      <c r="E514" s="118" t="s">
        <v>908</v>
      </c>
      <c r="F514" s="158"/>
      <c r="G514" s="159"/>
      <c r="H514" s="159"/>
      <c r="I514" s="159"/>
      <c r="J514" s="159">
        <f>IF(VLOOKUP($C514,'ACESSÓRIOS REV'!$C:$AL,8,0)-'TRADE IN'!$F514=0,"",(VLOOKUP($C514,'ACESSÓRIOS REV'!$C:$AL,8,0)-'TRADE IN'!$F514))</f>
        <v>5049</v>
      </c>
      <c r="K514" s="159">
        <f>IF(VLOOKUP($C514,'ACESSÓRIOS REV'!$C:$AL,9,0)-'TRADE IN'!$F514=0,"",(VLOOKUP($C514,'ACESSÓRIOS REV'!$C:$AL,9,0)-'TRADE IN'!$F514))</f>
        <v>5049</v>
      </c>
      <c r="L514" s="159">
        <f>IF(VLOOKUP($C514,'ACESSÓRIOS REV'!$C:$AL,10,0)-'TRADE IN'!$F514=0,"",(VLOOKUP($C514,'ACESSÓRIOS REV'!$C:$AL,10,0)-'TRADE IN'!$F514))</f>
        <v>5049</v>
      </c>
      <c r="M514" s="159">
        <f>IF(VLOOKUP($C514,'ACESSÓRIOS REV'!$C:$AL,11,0)-'TRADE IN'!$F514=0,"",(VLOOKUP($C514,'ACESSÓRIOS REV'!$C:$AL,11,0)-'TRADE IN'!$F514))</f>
        <v>5049</v>
      </c>
      <c r="N514" s="159">
        <f>IF(VLOOKUP($C514,'ACESSÓRIOS REV'!$C:$AL,12,0)-'TRADE IN'!$F514=0,"",(VLOOKUP($C514,'ACESSÓRIOS REV'!$C:$AL,12,0)-'TRADE IN'!$F514))</f>
        <v>5049</v>
      </c>
      <c r="O514" s="159">
        <f>IF(VLOOKUP($C514,'ACESSÓRIOS REV'!$C:$AL,13,0)-'TRADE IN'!$F514=0,"",(VLOOKUP($C514,'ACESSÓRIOS REV'!$C:$AL,13,0)-'TRADE IN'!$F514))</f>
        <v>4999</v>
      </c>
      <c r="P514" s="159">
        <f>IF(VLOOKUP($C514,'ACESSÓRIOS REV'!$C:$AL,14,0)-'TRADE IN'!$F514=0,"",(VLOOKUP($C514,'ACESSÓRIOS REV'!$C:$AL,14,0)-'TRADE IN'!$F514))</f>
        <v>4899</v>
      </c>
      <c r="Q514" s="159">
        <f>IF(VLOOKUP($C514,'ACESSÓRIOS REV'!$C:$AL,15,0)-'TRADE IN'!$F514=0,"",(VLOOKUP($C514,'ACESSÓRIOS REV'!$C:$AL,15,0)-'TRADE IN'!$F514))</f>
        <v>4699</v>
      </c>
      <c r="R514" s="159">
        <f>IF(VLOOKUP($C514,'ACESSÓRIOS REV'!$C:$AL,16,0)-'TRADE IN'!$F514=0,"",(VLOOKUP($C514,'ACESSÓRIOS REV'!$C:$AL,16,0)-'TRADE IN'!$F514))</f>
        <v>4999</v>
      </c>
      <c r="S514" s="159">
        <f>IF(VLOOKUP($C514,'ACESSÓRIOS REV'!$C:$AL,17,0)-'TRADE IN'!$F514=0,"",(VLOOKUP($C514,'ACESSÓRIOS REV'!$C:$AL,17,0)-'TRADE IN'!$F514))</f>
        <v>4899</v>
      </c>
      <c r="T514" s="159">
        <f>IF(VLOOKUP($C514,'ACESSÓRIOS REV'!$C:$AL,18,0)-'TRADE IN'!$F514=0,"",(VLOOKUP($C514,'ACESSÓRIOS REV'!$C:$AL,18,0)-'TRADE IN'!$F514))</f>
        <v>4699</v>
      </c>
      <c r="U514" s="159">
        <f>IF(VLOOKUP($C514,'ACESSÓRIOS REV'!$C:$AL,19,0)-'TRADE IN'!$F514=0,"",(VLOOKUP($C514,'ACESSÓRIOS REV'!$C:$AL,19,0)-'TRADE IN'!$F514))</f>
        <v>4699</v>
      </c>
      <c r="V514" s="159">
        <f>IF(VLOOKUP($C514,'ACESSÓRIOS REV'!$C:$AL,20,0)-'TRADE IN'!$F514=0,"",(VLOOKUP($C514,'ACESSÓRIOS REV'!$C:$AL,20,0)-'TRADE IN'!$F514))</f>
        <v>4699</v>
      </c>
      <c r="W514" s="159">
        <f>IF(VLOOKUP($C514,'ACESSÓRIOS REV'!$C:$AL,21,0)-'TRADE IN'!$F514=0,"",(VLOOKUP($C514,'ACESSÓRIOS REV'!$C:$AL,21,0)-'TRADE IN'!$F514))</f>
        <v>4699</v>
      </c>
      <c r="X514" s="159">
        <f>IF(VLOOKUP($C514,'ACESSÓRIOS REV'!$C:$AL,22,0)-'TRADE IN'!$F514=0,"",(VLOOKUP($C514,'ACESSÓRIOS REV'!$C:$AL,22,0)-'TRADE IN'!$F514))</f>
        <v>4599</v>
      </c>
      <c r="Y514" s="159">
        <f>IF(VLOOKUP($C514,'ACESSÓRIOS REV'!$C:$AL,23,0)-'TRADE IN'!$F514=0,"",(VLOOKUP($C514,'ACESSÓRIOS REV'!$C:$AL,23,0)-'TRADE IN'!$F514))</f>
        <v>3999</v>
      </c>
      <c r="Z514" s="159">
        <f>IF(VLOOKUP($C514,'ACESSÓRIOS REV'!$C:$AL,24,0)-'TRADE IN'!$F514=0,"",(VLOOKUP($C514,'ACESSÓRIOS REV'!$C:$AL,24,0)-'TRADE IN'!$F514))</f>
        <v>3999</v>
      </c>
      <c r="AA514" s="159">
        <f>IF(VLOOKUP($C514,'ACESSÓRIOS REV'!$C:$AL,25,0)-'TRADE IN'!$F514=0,"",(VLOOKUP($C514,'ACESSÓRIOS REV'!$C:$AL,25,0)-'TRADE IN'!$F514))</f>
        <v>3999</v>
      </c>
      <c r="AB514" s="159">
        <f>IF(VLOOKUP($C514,'ACESSÓRIOS REV'!$C:$AL,27,0)-'TRADE IN'!$F514=0,"",(VLOOKUP($C514,'ACESSÓRIOS REV'!$C:$AL,27,0)-'TRADE IN'!$F514))</f>
        <v>5049</v>
      </c>
      <c r="AC514" s="159">
        <f>IF(VLOOKUP($C514,'ACESSÓRIOS REV'!$C:$AL,28,0)-'TRADE IN'!$F514=0,"",(VLOOKUP($C514,'ACESSÓRIOS REV'!$C:$AL,28,0)-'TRADE IN'!$F514))</f>
        <v>5049</v>
      </c>
      <c r="AD514" s="159">
        <f>IF(VLOOKUP($C514,'ACESSÓRIOS REV'!$C:$AL,29,0)-'TRADE IN'!$F514=0,"",(VLOOKUP($C514,'ACESSÓRIOS REV'!$C:$AL,29,0)-'TRADE IN'!$F514))</f>
        <v>4999</v>
      </c>
      <c r="AE514" s="159">
        <f>IF(VLOOKUP($C514,'ACESSÓRIOS REV'!$C:$AL,30,0)-'TRADE IN'!$F514=0,"",(VLOOKUP($C514,'ACESSÓRIOS REV'!$C:$AL,30,0)-'TRADE IN'!$F514))</f>
        <v>4999</v>
      </c>
      <c r="AF514" s="159">
        <f>IF(VLOOKUP($C514,'ACESSÓRIOS REV'!$C:$AL,31,0)-'TRADE IN'!$F514=0,"",(VLOOKUP($C514,'ACESSÓRIOS REV'!$C:$AL,31,0)-'TRADE IN'!$F514))</f>
        <v>4999</v>
      </c>
      <c r="AG514" s="159">
        <f>IF(VLOOKUP($C514,'ACESSÓRIOS REV'!$C:$AL,31,0)-'TRADE IN'!$F514=0,"",(VLOOKUP($C514,'ACESSÓRIOS REV'!$C:$AL,31,0)-'TRADE IN'!$F514))</f>
        <v>4999</v>
      </c>
      <c r="AH514" s="159">
        <f>IF(VLOOKUP($C514,'ACESSÓRIOS REV'!$C:$AL,32,0)-'TRADE IN'!$F514=0,"",(VLOOKUP($C514,'ACESSÓRIOS REV'!$C:$AL,32,0)-'TRADE IN'!$F514))</f>
        <v>4999</v>
      </c>
      <c r="AI514" s="159">
        <f>IF(VLOOKUP($C514,'ACESSÓRIOS REV'!$C:$AL,33,0)-'TRADE IN'!$F514=0,"",(VLOOKUP($C514,'ACESSÓRIOS REV'!$C:$AL,33,0)-'TRADE IN'!$F514))</f>
        <v>4699</v>
      </c>
      <c r="AJ514" s="159">
        <f>IF(VLOOKUP($C514,'ACESSÓRIOS REV'!$C:$AL,34,0)-'TRADE IN'!$F514=0,"",(VLOOKUP($C514,'ACESSÓRIOS REV'!$C:$AL,34,0)-'TRADE IN'!$F514))</f>
        <v>4699</v>
      </c>
      <c r="AK514" s="159">
        <f>IF(VLOOKUP($C514,'ACESSÓRIOS REV'!$C:$AL,35,0)-'TRADE IN'!$F514=0,"",(VLOOKUP($C514,'ACESSÓRIOS REV'!$C:$AL,35,0)-'TRADE IN'!$F514))</f>
        <v>4699</v>
      </c>
      <c r="AL514" s="159">
        <f>IF(VLOOKUP($C514,'ACESSÓRIOS REV'!$C:$AL,36,0)-'TRADE IN'!$F514=0,"",(VLOOKUP($C514,'ACESSÓRIOS REV'!$C:$AL,36,0)-'TRADE IN'!$F514))</f>
        <v>3999</v>
      </c>
      <c r="AM514" s="145"/>
      <c r="AN514" s="145"/>
      <c r="AO514" s="145"/>
      <c r="AP514" s="145"/>
      <c r="AQ514" s="145"/>
      <c r="AR514" s="145"/>
      <c r="AS514" s="145"/>
      <c r="AT514" s="145"/>
      <c r="AU514" s="145"/>
      <c r="AW514" s="161" t="s">
        <v>740</v>
      </c>
    </row>
    <row r="515" spans="2:49" ht="23" customHeight="1">
      <c r="B515" s="128" t="s">
        <v>741</v>
      </c>
      <c r="C515" s="127">
        <v>4017128</v>
      </c>
      <c r="D515" s="132" t="s">
        <v>909</v>
      </c>
      <c r="E515" s="118" t="s">
        <v>910</v>
      </c>
      <c r="F515" s="158"/>
      <c r="G515" s="159"/>
      <c r="H515" s="159"/>
      <c r="I515" s="159"/>
      <c r="J515" s="159">
        <f>IF(VLOOKUP($C515,'ACESSÓRIOS REV'!$C:$AL,8,0)-'TRADE IN'!$F515=0,"",(VLOOKUP($C515,'ACESSÓRIOS REV'!$C:$AL,8,0)-'TRADE IN'!$F515))</f>
        <v>5049</v>
      </c>
      <c r="K515" s="159">
        <f>IF(VLOOKUP($C515,'ACESSÓRIOS REV'!$C:$AL,9,0)-'TRADE IN'!$F515=0,"",(VLOOKUP($C515,'ACESSÓRIOS REV'!$C:$AL,9,0)-'TRADE IN'!$F515))</f>
        <v>5049</v>
      </c>
      <c r="L515" s="159">
        <f>IF(VLOOKUP($C515,'ACESSÓRIOS REV'!$C:$AL,10,0)-'TRADE IN'!$F515=0,"",(VLOOKUP($C515,'ACESSÓRIOS REV'!$C:$AL,10,0)-'TRADE IN'!$F515))</f>
        <v>5049</v>
      </c>
      <c r="M515" s="159">
        <f>IF(VLOOKUP($C515,'ACESSÓRIOS REV'!$C:$AL,11,0)-'TRADE IN'!$F515=0,"",(VLOOKUP($C515,'ACESSÓRIOS REV'!$C:$AL,11,0)-'TRADE IN'!$F515))</f>
        <v>5049</v>
      </c>
      <c r="N515" s="159">
        <f>IF(VLOOKUP($C515,'ACESSÓRIOS REV'!$C:$AL,12,0)-'TRADE IN'!$F515=0,"",(VLOOKUP($C515,'ACESSÓRIOS REV'!$C:$AL,12,0)-'TRADE IN'!$F515))</f>
        <v>5049</v>
      </c>
      <c r="O515" s="159">
        <f>IF(VLOOKUP($C515,'ACESSÓRIOS REV'!$C:$AL,13,0)-'TRADE IN'!$F515=0,"",(VLOOKUP($C515,'ACESSÓRIOS REV'!$C:$AL,13,0)-'TRADE IN'!$F515))</f>
        <v>4999</v>
      </c>
      <c r="P515" s="159">
        <f>IF(VLOOKUP($C515,'ACESSÓRIOS REV'!$C:$AL,14,0)-'TRADE IN'!$F515=0,"",(VLOOKUP($C515,'ACESSÓRIOS REV'!$C:$AL,14,0)-'TRADE IN'!$F515))</f>
        <v>4899</v>
      </c>
      <c r="Q515" s="159">
        <f>IF(VLOOKUP($C515,'ACESSÓRIOS REV'!$C:$AL,15,0)-'TRADE IN'!$F515=0,"",(VLOOKUP($C515,'ACESSÓRIOS REV'!$C:$AL,15,0)-'TRADE IN'!$F515))</f>
        <v>4699</v>
      </c>
      <c r="R515" s="159">
        <f>IF(VLOOKUP($C515,'ACESSÓRIOS REV'!$C:$AL,16,0)-'TRADE IN'!$F515=0,"",(VLOOKUP($C515,'ACESSÓRIOS REV'!$C:$AL,16,0)-'TRADE IN'!$F515))</f>
        <v>4999</v>
      </c>
      <c r="S515" s="159">
        <f>IF(VLOOKUP($C515,'ACESSÓRIOS REV'!$C:$AL,17,0)-'TRADE IN'!$F515=0,"",(VLOOKUP($C515,'ACESSÓRIOS REV'!$C:$AL,17,0)-'TRADE IN'!$F515))</f>
        <v>4899</v>
      </c>
      <c r="T515" s="159">
        <f>IF(VLOOKUP($C515,'ACESSÓRIOS REV'!$C:$AL,18,0)-'TRADE IN'!$F515=0,"",(VLOOKUP($C515,'ACESSÓRIOS REV'!$C:$AL,18,0)-'TRADE IN'!$F515))</f>
        <v>4699</v>
      </c>
      <c r="U515" s="159">
        <f>IF(VLOOKUP($C515,'ACESSÓRIOS REV'!$C:$AL,19,0)-'TRADE IN'!$F515=0,"",(VLOOKUP($C515,'ACESSÓRIOS REV'!$C:$AL,19,0)-'TRADE IN'!$F515))</f>
        <v>4699</v>
      </c>
      <c r="V515" s="159">
        <f>IF(VLOOKUP($C515,'ACESSÓRIOS REV'!$C:$AL,20,0)-'TRADE IN'!$F515=0,"",(VLOOKUP($C515,'ACESSÓRIOS REV'!$C:$AL,20,0)-'TRADE IN'!$F515))</f>
        <v>4699</v>
      </c>
      <c r="W515" s="159">
        <f>IF(VLOOKUP($C515,'ACESSÓRIOS REV'!$C:$AL,21,0)-'TRADE IN'!$F515=0,"",(VLOOKUP($C515,'ACESSÓRIOS REV'!$C:$AL,21,0)-'TRADE IN'!$F515))</f>
        <v>4699</v>
      </c>
      <c r="X515" s="159">
        <f>IF(VLOOKUP($C515,'ACESSÓRIOS REV'!$C:$AL,22,0)-'TRADE IN'!$F515=0,"",(VLOOKUP($C515,'ACESSÓRIOS REV'!$C:$AL,22,0)-'TRADE IN'!$F515))</f>
        <v>4599</v>
      </c>
      <c r="Y515" s="159">
        <f>IF(VLOOKUP($C515,'ACESSÓRIOS REV'!$C:$AL,23,0)-'TRADE IN'!$F515=0,"",(VLOOKUP($C515,'ACESSÓRIOS REV'!$C:$AL,23,0)-'TRADE IN'!$F515))</f>
        <v>3999</v>
      </c>
      <c r="Z515" s="159">
        <f>IF(VLOOKUP($C515,'ACESSÓRIOS REV'!$C:$AL,24,0)-'TRADE IN'!$F515=0,"",(VLOOKUP($C515,'ACESSÓRIOS REV'!$C:$AL,24,0)-'TRADE IN'!$F515))</f>
        <v>3999</v>
      </c>
      <c r="AA515" s="159">
        <f>IF(VLOOKUP($C515,'ACESSÓRIOS REV'!$C:$AL,25,0)-'TRADE IN'!$F515=0,"",(VLOOKUP($C515,'ACESSÓRIOS REV'!$C:$AL,25,0)-'TRADE IN'!$F515))</f>
        <v>3999</v>
      </c>
      <c r="AB515" s="159">
        <f>IF(VLOOKUP($C515,'ACESSÓRIOS REV'!$C:$AL,27,0)-'TRADE IN'!$F515=0,"",(VLOOKUP($C515,'ACESSÓRIOS REV'!$C:$AL,27,0)-'TRADE IN'!$F515))</f>
        <v>5049</v>
      </c>
      <c r="AC515" s="159">
        <f>IF(VLOOKUP($C515,'ACESSÓRIOS REV'!$C:$AL,28,0)-'TRADE IN'!$F515=0,"",(VLOOKUP($C515,'ACESSÓRIOS REV'!$C:$AL,28,0)-'TRADE IN'!$F515))</f>
        <v>5049</v>
      </c>
      <c r="AD515" s="159">
        <f>IF(VLOOKUP($C515,'ACESSÓRIOS REV'!$C:$AL,29,0)-'TRADE IN'!$F515=0,"",(VLOOKUP($C515,'ACESSÓRIOS REV'!$C:$AL,29,0)-'TRADE IN'!$F515))</f>
        <v>4999</v>
      </c>
      <c r="AE515" s="159">
        <f>IF(VLOOKUP($C515,'ACESSÓRIOS REV'!$C:$AL,30,0)-'TRADE IN'!$F515=0,"",(VLOOKUP($C515,'ACESSÓRIOS REV'!$C:$AL,30,0)-'TRADE IN'!$F515))</f>
        <v>4999</v>
      </c>
      <c r="AF515" s="159">
        <f>IF(VLOOKUP($C515,'ACESSÓRIOS REV'!$C:$AL,31,0)-'TRADE IN'!$F515=0,"",(VLOOKUP($C515,'ACESSÓRIOS REV'!$C:$AL,31,0)-'TRADE IN'!$F515))</f>
        <v>4999</v>
      </c>
      <c r="AG515" s="159">
        <f>IF(VLOOKUP($C515,'ACESSÓRIOS REV'!$C:$AL,31,0)-'TRADE IN'!$F515=0,"",(VLOOKUP($C515,'ACESSÓRIOS REV'!$C:$AL,31,0)-'TRADE IN'!$F515))</f>
        <v>4999</v>
      </c>
      <c r="AH515" s="159">
        <f>IF(VLOOKUP($C515,'ACESSÓRIOS REV'!$C:$AL,32,0)-'TRADE IN'!$F515=0,"",(VLOOKUP($C515,'ACESSÓRIOS REV'!$C:$AL,32,0)-'TRADE IN'!$F515))</f>
        <v>4999</v>
      </c>
      <c r="AI515" s="159">
        <f>IF(VLOOKUP($C515,'ACESSÓRIOS REV'!$C:$AL,33,0)-'TRADE IN'!$F515=0,"",(VLOOKUP($C515,'ACESSÓRIOS REV'!$C:$AL,33,0)-'TRADE IN'!$F515))</f>
        <v>4699</v>
      </c>
      <c r="AJ515" s="159">
        <f>IF(VLOOKUP($C515,'ACESSÓRIOS REV'!$C:$AL,34,0)-'TRADE IN'!$F515=0,"",(VLOOKUP($C515,'ACESSÓRIOS REV'!$C:$AL,34,0)-'TRADE IN'!$F515))</f>
        <v>4699</v>
      </c>
      <c r="AK515" s="159">
        <f>IF(VLOOKUP($C515,'ACESSÓRIOS REV'!$C:$AL,35,0)-'TRADE IN'!$F515=0,"",(VLOOKUP($C515,'ACESSÓRIOS REV'!$C:$AL,35,0)-'TRADE IN'!$F515))</f>
        <v>4699</v>
      </c>
      <c r="AL515" s="159">
        <f>IF(VLOOKUP($C515,'ACESSÓRIOS REV'!$C:$AL,36,0)-'TRADE IN'!$F515=0,"",(VLOOKUP($C515,'ACESSÓRIOS REV'!$C:$AL,36,0)-'TRADE IN'!$F515))</f>
        <v>3999</v>
      </c>
      <c r="AM515" s="145"/>
      <c r="AN515" s="145"/>
      <c r="AO515" s="145"/>
      <c r="AP515" s="145"/>
      <c r="AQ515" s="145"/>
      <c r="AR515" s="145"/>
      <c r="AS515" s="145"/>
      <c r="AT515" s="145"/>
      <c r="AU515" s="145"/>
      <c r="AW515" s="161" t="s">
        <v>740</v>
      </c>
    </row>
    <row r="516" spans="2:49" ht="23" customHeight="1">
      <c r="B516" s="128" t="s">
        <v>796</v>
      </c>
      <c r="C516" s="127">
        <v>4017326</v>
      </c>
      <c r="D516" s="132" t="s">
        <v>911</v>
      </c>
      <c r="E516" s="118" t="s">
        <v>912</v>
      </c>
      <c r="F516" s="158"/>
      <c r="G516" s="159"/>
      <c r="H516" s="159"/>
      <c r="I516" s="159"/>
      <c r="J516" s="159">
        <f>IF(VLOOKUP($C516,'ACESSÓRIOS REV'!$C:$AL,8,0)-'TRADE IN'!$F516=0,"",(VLOOKUP($C516,'ACESSÓRIOS REV'!$C:$AL,8,0)-'TRADE IN'!$F516))</f>
        <v>5049</v>
      </c>
      <c r="K516" s="159">
        <f>IF(VLOOKUP($C516,'ACESSÓRIOS REV'!$C:$AL,9,0)-'TRADE IN'!$F516=0,"",(VLOOKUP($C516,'ACESSÓRIOS REV'!$C:$AL,9,0)-'TRADE IN'!$F516))</f>
        <v>5049</v>
      </c>
      <c r="L516" s="159">
        <f>IF(VLOOKUP($C516,'ACESSÓRIOS REV'!$C:$AL,10,0)-'TRADE IN'!$F516=0,"",(VLOOKUP($C516,'ACESSÓRIOS REV'!$C:$AL,10,0)-'TRADE IN'!$F516))</f>
        <v>5049</v>
      </c>
      <c r="M516" s="159">
        <f>IF(VLOOKUP($C516,'ACESSÓRIOS REV'!$C:$AL,11,0)-'TRADE IN'!$F516=0,"",(VLOOKUP($C516,'ACESSÓRIOS REV'!$C:$AL,11,0)-'TRADE IN'!$F516))</f>
        <v>5049</v>
      </c>
      <c r="N516" s="159">
        <f>IF(VLOOKUP($C516,'ACESSÓRIOS REV'!$C:$AL,12,0)-'TRADE IN'!$F516=0,"",(VLOOKUP($C516,'ACESSÓRIOS REV'!$C:$AL,12,0)-'TRADE IN'!$F516))</f>
        <v>5049</v>
      </c>
      <c r="O516" s="159">
        <f>IF(VLOOKUP($C516,'ACESSÓRIOS REV'!$C:$AL,13,0)-'TRADE IN'!$F516=0,"",(VLOOKUP($C516,'ACESSÓRIOS REV'!$C:$AL,13,0)-'TRADE IN'!$F516))</f>
        <v>4999</v>
      </c>
      <c r="P516" s="159">
        <f>IF(VLOOKUP($C516,'ACESSÓRIOS REV'!$C:$AL,14,0)-'TRADE IN'!$F516=0,"",(VLOOKUP($C516,'ACESSÓRIOS REV'!$C:$AL,14,0)-'TRADE IN'!$F516))</f>
        <v>4899</v>
      </c>
      <c r="Q516" s="159">
        <f>IF(VLOOKUP($C516,'ACESSÓRIOS REV'!$C:$AL,15,0)-'TRADE IN'!$F516=0,"",(VLOOKUP($C516,'ACESSÓRIOS REV'!$C:$AL,15,0)-'TRADE IN'!$F516))</f>
        <v>4699</v>
      </c>
      <c r="R516" s="159">
        <f>IF(VLOOKUP($C516,'ACESSÓRIOS REV'!$C:$AL,16,0)-'TRADE IN'!$F516=0,"",(VLOOKUP($C516,'ACESSÓRIOS REV'!$C:$AL,16,0)-'TRADE IN'!$F516))</f>
        <v>4999</v>
      </c>
      <c r="S516" s="159">
        <f>IF(VLOOKUP($C516,'ACESSÓRIOS REV'!$C:$AL,17,0)-'TRADE IN'!$F516=0,"",(VLOOKUP($C516,'ACESSÓRIOS REV'!$C:$AL,17,0)-'TRADE IN'!$F516))</f>
        <v>4899</v>
      </c>
      <c r="T516" s="159">
        <f>IF(VLOOKUP($C516,'ACESSÓRIOS REV'!$C:$AL,18,0)-'TRADE IN'!$F516=0,"",(VLOOKUP($C516,'ACESSÓRIOS REV'!$C:$AL,18,0)-'TRADE IN'!$F516))</f>
        <v>4699</v>
      </c>
      <c r="U516" s="159">
        <f>IF(VLOOKUP($C516,'ACESSÓRIOS REV'!$C:$AL,19,0)-'TRADE IN'!$F516=0,"",(VLOOKUP($C516,'ACESSÓRIOS REV'!$C:$AL,19,0)-'TRADE IN'!$F516))</f>
        <v>4699</v>
      </c>
      <c r="V516" s="159">
        <f>IF(VLOOKUP($C516,'ACESSÓRIOS REV'!$C:$AL,20,0)-'TRADE IN'!$F516=0,"",(VLOOKUP($C516,'ACESSÓRIOS REV'!$C:$AL,20,0)-'TRADE IN'!$F516))</f>
        <v>4699</v>
      </c>
      <c r="W516" s="159">
        <f>IF(VLOOKUP($C516,'ACESSÓRIOS REV'!$C:$AL,21,0)-'TRADE IN'!$F516=0,"",(VLOOKUP($C516,'ACESSÓRIOS REV'!$C:$AL,21,0)-'TRADE IN'!$F516))</f>
        <v>4699</v>
      </c>
      <c r="X516" s="159">
        <f>IF(VLOOKUP($C516,'ACESSÓRIOS REV'!$C:$AL,22,0)-'TRADE IN'!$F516=0,"",(VLOOKUP($C516,'ACESSÓRIOS REV'!$C:$AL,22,0)-'TRADE IN'!$F516))</f>
        <v>4599</v>
      </c>
      <c r="Y516" s="159">
        <f>IF(VLOOKUP($C516,'ACESSÓRIOS REV'!$C:$AL,23,0)-'TRADE IN'!$F516=0,"",(VLOOKUP($C516,'ACESSÓRIOS REV'!$C:$AL,23,0)-'TRADE IN'!$F516))</f>
        <v>3999</v>
      </c>
      <c r="Z516" s="159">
        <f>IF(VLOOKUP($C516,'ACESSÓRIOS REV'!$C:$AL,24,0)-'TRADE IN'!$F516=0,"",(VLOOKUP($C516,'ACESSÓRIOS REV'!$C:$AL,24,0)-'TRADE IN'!$F516))</f>
        <v>3999</v>
      </c>
      <c r="AA516" s="159">
        <f>IF(VLOOKUP($C516,'ACESSÓRIOS REV'!$C:$AL,25,0)-'TRADE IN'!$F516=0,"",(VLOOKUP($C516,'ACESSÓRIOS REV'!$C:$AL,25,0)-'TRADE IN'!$F516))</f>
        <v>3999</v>
      </c>
      <c r="AB516" s="159">
        <f>IF(VLOOKUP($C516,'ACESSÓRIOS REV'!$C:$AL,27,0)-'TRADE IN'!$F516=0,"",(VLOOKUP($C516,'ACESSÓRIOS REV'!$C:$AL,27,0)-'TRADE IN'!$F516))</f>
        <v>5049</v>
      </c>
      <c r="AC516" s="159">
        <f>IF(VLOOKUP($C516,'ACESSÓRIOS REV'!$C:$AL,28,0)-'TRADE IN'!$F516=0,"",(VLOOKUP($C516,'ACESSÓRIOS REV'!$C:$AL,28,0)-'TRADE IN'!$F516))</f>
        <v>5049</v>
      </c>
      <c r="AD516" s="159">
        <f>IF(VLOOKUP($C516,'ACESSÓRIOS REV'!$C:$AL,29,0)-'TRADE IN'!$F516=0,"",(VLOOKUP($C516,'ACESSÓRIOS REV'!$C:$AL,29,0)-'TRADE IN'!$F516))</f>
        <v>4999</v>
      </c>
      <c r="AE516" s="159">
        <f>IF(VLOOKUP($C516,'ACESSÓRIOS REV'!$C:$AL,30,0)-'TRADE IN'!$F516=0,"",(VLOOKUP($C516,'ACESSÓRIOS REV'!$C:$AL,30,0)-'TRADE IN'!$F516))</f>
        <v>4999</v>
      </c>
      <c r="AF516" s="159">
        <f>IF(VLOOKUP($C516,'ACESSÓRIOS REV'!$C:$AL,31,0)-'TRADE IN'!$F516=0,"",(VLOOKUP($C516,'ACESSÓRIOS REV'!$C:$AL,31,0)-'TRADE IN'!$F516))</f>
        <v>4999</v>
      </c>
      <c r="AG516" s="159">
        <f>IF(VLOOKUP($C516,'ACESSÓRIOS REV'!$C:$AL,31,0)-'TRADE IN'!$F516=0,"",(VLOOKUP($C516,'ACESSÓRIOS REV'!$C:$AL,31,0)-'TRADE IN'!$F516))</f>
        <v>4999</v>
      </c>
      <c r="AH516" s="159">
        <f>IF(VLOOKUP($C516,'ACESSÓRIOS REV'!$C:$AL,32,0)-'TRADE IN'!$F516=0,"",(VLOOKUP($C516,'ACESSÓRIOS REV'!$C:$AL,32,0)-'TRADE IN'!$F516))</f>
        <v>4999</v>
      </c>
      <c r="AI516" s="159">
        <f>IF(VLOOKUP($C516,'ACESSÓRIOS REV'!$C:$AL,33,0)-'TRADE IN'!$F516=0,"",(VLOOKUP($C516,'ACESSÓRIOS REV'!$C:$AL,33,0)-'TRADE IN'!$F516))</f>
        <v>4699</v>
      </c>
      <c r="AJ516" s="159">
        <f>IF(VLOOKUP($C516,'ACESSÓRIOS REV'!$C:$AL,34,0)-'TRADE IN'!$F516=0,"",(VLOOKUP($C516,'ACESSÓRIOS REV'!$C:$AL,34,0)-'TRADE IN'!$F516))</f>
        <v>4699</v>
      </c>
      <c r="AK516" s="159">
        <f>IF(VLOOKUP($C516,'ACESSÓRIOS REV'!$C:$AL,35,0)-'TRADE IN'!$F516=0,"",(VLOOKUP($C516,'ACESSÓRIOS REV'!$C:$AL,35,0)-'TRADE IN'!$F516))</f>
        <v>4699</v>
      </c>
      <c r="AL516" s="159">
        <f>IF(VLOOKUP($C516,'ACESSÓRIOS REV'!$C:$AL,36,0)-'TRADE IN'!$F516=0,"",(VLOOKUP($C516,'ACESSÓRIOS REV'!$C:$AL,36,0)-'TRADE IN'!$F516))</f>
        <v>3999</v>
      </c>
      <c r="AM516" s="145"/>
      <c r="AN516" s="145"/>
      <c r="AO516" s="145"/>
      <c r="AP516" s="145"/>
      <c r="AQ516" s="145"/>
      <c r="AR516" s="145"/>
      <c r="AS516" s="145"/>
      <c r="AT516" s="145"/>
      <c r="AU516" s="145"/>
      <c r="AW516" s="161" t="s">
        <v>740</v>
      </c>
    </row>
    <row r="517" spans="2:49" ht="23" customHeight="1">
      <c r="B517" s="128" t="s">
        <v>810</v>
      </c>
      <c r="C517" s="128">
        <v>4017240</v>
      </c>
      <c r="D517" s="128" t="s">
        <v>944</v>
      </c>
      <c r="E517" s="128" t="s">
        <v>945</v>
      </c>
      <c r="F517" s="162"/>
      <c r="G517" s="159"/>
      <c r="H517" s="159"/>
      <c r="I517" s="159"/>
      <c r="J517" s="159">
        <f>IF(VLOOKUP($C517,'ACESSÓRIOS REV'!$C:$AL,8,0)-'TRADE IN'!$F517=0,"",(VLOOKUP($C517,'ACESSÓRIOS REV'!$C:$AL,8,0)-'TRADE IN'!$F517))</f>
        <v>1949</v>
      </c>
      <c r="K517" s="159">
        <f>IF(VLOOKUP($C517,'ACESSÓRIOS REV'!$C:$AL,9,0)-'TRADE IN'!$F517=0,"",(VLOOKUP($C517,'ACESSÓRIOS REV'!$C:$AL,9,0)-'TRADE IN'!$F517))</f>
        <v>1949</v>
      </c>
      <c r="L517" s="159">
        <f>IF(VLOOKUP($C517,'ACESSÓRIOS REV'!$C:$AL,10,0)-'TRADE IN'!$F517=0,"",(VLOOKUP($C517,'ACESSÓRIOS REV'!$C:$AL,10,0)-'TRADE IN'!$F517))</f>
        <v>1949</v>
      </c>
      <c r="M517" s="159">
        <f>IF(VLOOKUP($C517,'ACESSÓRIOS REV'!$C:$AL,11,0)-'TRADE IN'!$F517=0,"",(VLOOKUP($C517,'ACESSÓRIOS REV'!$C:$AL,11,0)-'TRADE IN'!$F517))</f>
        <v>1949</v>
      </c>
      <c r="N517" s="159">
        <f>IF(VLOOKUP($C517,'ACESSÓRIOS REV'!$C:$AL,12,0)-'TRADE IN'!$F517=0,"",(VLOOKUP($C517,'ACESSÓRIOS REV'!$C:$AL,12,0)-'TRADE IN'!$F517))</f>
        <v>1949</v>
      </c>
      <c r="O517" s="159">
        <f>IF(VLOOKUP($C517,'ACESSÓRIOS REV'!$C:$AL,13,0)-'TRADE IN'!$F517=0,"",(VLOOKUP($C517,'ACESSÓRIOS REV'!$C:$AL,13,0)-'TRADE IN'!$F517))</f>
        <v>1899</v>
      </c>
      <c r="P517" s="159">
        <f>IF(VLOOKUP($C517,'ACESSÓRIOS REV'!$C:$AL,14,0)-'TRADE IN'!$F517=0,"",(VLOOKUP($C517,'ACESSÓRIOS REV'!$C:$AL,14,0)-'TRADE IN'!$F517))</f>
        <v>1799</v>
      </c>
      <c r="Q517" s="159">
        <f>IF(VLOOKUP($C517,'ACESSÓRIOS REV'!$C:$AL,15,0)-'TRADE IN'!$F517=0,"",(VLOOKUP($C517,'ACESSÓRIOS REV'!$C:$AL,15,0)-'TRADE IN'!$F517))</f>
        <v>1599</v>
      </c>
      <c r="R517" s="159">
        <f>IF(VLOOKUP($C517,'ACESSÓRIOS REV'!$C:$AL,16,0)-'TRADE IN'!$F517=0,"",(VLOOKUP($C517,'ACESSÓRIOS REV'!$C:$AL,16,0)-'TRADE IN'!$F517))</f>
        <v>1899</v>
      </c>
      <c r="S517" s="159">
        <f>IF(VLOOKUP($C517,'ACESSÓRIOS REV'!$C:$AL,17,0)-'TRADE IN'!$F517=0,"",(VLOOKUP($C517,'ACESSÓRIOS REV'!$C:$AL,17,0)-'TRADE IN'!$F517))</f>
        <v>1799</v>
      </c>
      <c r="T517" s="159">
        <f>IF(VLOOKUP($C517,'ACESSÓRIOS REV'!$C:$AL,18,0)-'TRADE IN'!$F517=0,"",(VLOOKUP($C517,'ACESSÓRIOS REV'!$C:$AL,18,0)-'TRADE IN'!$F517))</f>
        <v>1599</v>
      </c>
      <c r="U517" s="159">
        <f>IF(VLOOKUP($C517,'ACESSÓRIOS REV'!$C:$AL,19,0)-'TRADE IN'!$F517=0,"",(VLOOKUP($C517,'ACESSÓRIOS REV'!$C:$AL,19,0)-'TRADE IN'!$F517))</f>
        <v>1599</v>
      </c>
      <c r="V517" s="159">
        <f>IF(VLOOKUP($C517,'ACESSÓRIOS REV'!$C:$AL,20,0)-'TRADE IN'!$F517=0,"",(VLOOKUP($C517,'ACESSÓRIOS REV'!$C:$AL,20,0)-'TRADE IN'!$F517))</f>
        <v>1599</v>
      </c>
      <c r="W517" s="159">
        <f>IF(VLOOKUP($C517,'ACESSÓRIOS REV'!$C:$AL,21,0)-'TRADE IN'!$F517=0,"",(VLOOKUP($C517,'ACESSÓRIOS REV'!$C:$AL,21,0)-'TRADE IN'!$F517))</f>
        <v>1599</v>
      </c>
      <c r="X517" s="159">
        <f>IF(VLOOKUP($C517,'ACESSÓRIOS REV'!$C:$AL,22,0)-'TRADE IN'!$F517=0,"",(VLOOKUP($C517,'ACESSÓRIOS REV'!$C:$AL,22,0)-'TRADE IN'!$F517))</f>
        <v>1499</v>
      </c>
      <c r="Y517" s="159">
        <f>IF(VLOOKUP($C517,'ACESSÓRIOS REV'!$C:$AL,23,0)-'TRADE IN'!$F517=0,"",(VLOOKUP($C517,'ACESSÓRIOS REV'!$C:$AL,23,0)-'TRADE IN'!$F517))</f>
        <v>999</v>
      </c>
      <c r="Z517" s="159">
        <f>IF(VLOOKUP($C517,'ACESSÓRIOS REV'!$C:$AL,24,0)-'TRADE IN'!$F517=0,"",(VLOOKUP($C517,'ACESSÓRIOS REV'!$C:$AL,24,0)-'TRADE IN'!$F517))</f>
        <v>999</v>
      </c>
      <c r="AA517" s="159">
        <f>IF(VLOOKUP($C517,'ACESSÓRIOS REV'!$C:$AL,25,0)-'TRADE IN'!$F517=0,"",(VLOOKUP($C517,'ACESSÓRIOS REV'!$C:$AL,25,0)-'TRADE IN'!$F517))</f>
        <v>999</v>
      </c>
      <c r="AB517" s="159" t="str">
        <f>IF(VLOOKUP($C517,'ACESSÓRIOS REV'!$C:$AL,27,0)-'TRADE IN'!$F517=0,"",(VLOOKUP($C517,'ACESSÓRIOS REV'!$C:$AL,27,0)-'TRADE IN'!$F517))</f>
        <v/>
      </c>
      <c r="AC517" s="159" t="str">
        <f>IF(VLOOKUP($C517,'ACESSÓRIOS REV'!$C:$AL,28,0)-'TRADE IN'!$F517=0,"",(VLOOKUP($C517,'ACESSÓRIOS REV'!$C:$AL,28,0)-'TRADE IN'!$F517))</f>
        <v/>
      </c>
      <c r="AD517" s="159" t="str">
        <f>IF(VLOOKUP($C517,'ACESSÓRIOS REV'!$C:$AL,29,0)-'TRADE IN'!$F517=0,"",(VLOOKUP($C517,'ACESSÓRIOS REV'!$C:$AL,29,0)-'TRADE IN'!$F517))</f>
        <v/>
      </c>
      <c r="AE517" s="159" t="str">
        <f>IF(VLOOKUP($C517,'ACESSÓRIOS REV'!$C:$AL,30,0)-'TRADE IN'!$F517=0,"",(VLOOKUP($C517,'ACESSÓRIOS REV'!$C:$AL,30,0)-'TRADE IN'!$F517))</f>
        <v/>
      </c>
      <c r="AF517" s="159" t="str">
        <f>IF(VLOOKUP($C517,'ACESSÓRIOS REV'!$C:$AL,31,0)-'TRADE IN'!$F517=0,"",(VLOOKUP($C517,'ACESSÓRIOS REV'!$C:$AL,31,0)-'TRADE IN'!$F517))</f>
        <v/>
      </c>
      <c r="AG517" s="159" t="str">
        <f>IF(VLOOKUP($C517,'ACESSÓRIOS REV'!$C:$AL,31,0)-'TRADE IN'!$F517=0,"",(VLOOKUP($C517,'ACESSÓRIOS REV'!$C:$AL,31,0)-'TRADE IN'!$F517))</f>
        <v/>
      </c>
      <c r="AH517" s="159" t="str">
        <f>IF(VLOOKUP($C517,'ACESSÓRIOS REV'!$C:$AL,32,0)-'TRADE IN'!$F517=0,"",(VLOOKUP($C517,'ACESSÓRIOS REV'!$C:$AL,32,0)-'TRADE IN'!$F517))</f>
        <v/>
      </c>
      <c r="AI517" s="159" t="str">
        <f>IF(VLOOKUP($C517,'ACESSÓRIOS REV'!$C:$AL,33,0)-'TRADE IN'!$F517=0,"",(VLOOKUP($C517,'ACESSÓRIOS REV'!$C:$AL,33,0)-'TRADE IN'!$F517))</f>
        <v/>
      </c>
      <c r="AJ517" s="159" t="str">
        <f>IF(VLOOKUP($C517,'ACESSÓRIOS REV'!$C:$AL,34,0)-'TRADE IN'!$F517=0,"",(VLOOKUP($C517,'ACESSÓRIOS REV'!$C:$AL,34,0)-'TRADE IN'!$F517))</f>
        <v/>
      </c>
      <c r="AK517" s="159" t="str">
        <f>IF(VLOOKUP($C517,'ACESSÓRIOS REV'!$C:$AL,35,0)-'TRADE IN'!$F517=0,"",(VLOOKUP($C517,'ACESSÓRIOS REV'!$C:$AL,35,0)-'TRADE IN'!$F517))</f>
        <v/>
      </c>
      <c r="AL517" s="159" t="str">
        <f>IF(VLOOKUP($C517,'ACESSÓRIOS REV'!$C:$AL,36,0)-'TRADE IN'!$F517=0,"",(VLOOKUP($C517,'ACESSÓRIOS REV'!$C:$AL,36,0)-'TRADE IN'!$F517))</f>
        <v/>
      </c>
      <c r="AM517" s="145"/>
      <c r="AN517" s="145"/>
      <c r="AO517" s="145"/>
      <c r="AP517" s="145"/>
      <c r="AQ517" s="145"/>
      <c r="AR517" s="145"/>
      <c r="AS517" s="145"/>
      <c r="AT517" s="145"/>
      <c r="AU517" s="145"/>
      <c r="AW517" s="161" t="s">
        <v>740</v>
      </c>
    </row>
    <row r="518" spans="2:49" ht="23" customHeight="1">
      <c r="B518" s="128" t="s">
        <v>810</v>
      </c>
      <c r="C518" s="127">
        <v>4017692</v>
      </c>
      <c r="D518" s="132" t="s">
        <v>942</v>
      </c>
      <c r="E518" s="118" t="s">
        <v>943</v>
      </c>
      <c r="F518" s="162">
        <v>300</v>
      </c>
      <c r="G518" s="159"/>
      <c r="H518" s="159"/>
      <c r="I518" s="159"/>
      <c r="J518" s="159">
        <f>IF(VLOOKUP($C518,'ACESSÓRIOS REV'!$C:$AL,8,0)-'TRADE IN'!$F518=0,"",(VLOOKUP($C518,'ACESSÓRIOS REV'!$C:$AL,8,0)-'TRADE IN'!$F518))</f>
        <v>1649</v>
      </c>
      <c r="K518" s="159">
        <f>IF(VLOOKUP($C518,'ACESSÓRIOS REV'!$C:$AL,9,0)-'TRADE IN'!$F518=0,"",(VLOOKUP($C518,'ACESSÓRIOS REV'!$C:$AL,9,0)-'TRADE IN'!$F518))</f>
        <v>1649</v>
      </c>
      <c r="L518" s="159">
        <f>IF(VLOOKUP($C518,'ACESSÓRIOS REV'!$C:$AL,10,0)-'TRADE IN'!$F518=0,"",(VLOOKUP($C518,'ACESSÓRIOS REV'!$C:$AL,10,0)-'TRADE IN'!$F518))</f>
        <v>1649</v>
      </c>
      <c r="M518" s="159">
        <f>IF(VLOOKUP($C518,'ACESSÓRIOS REV'!$C:$AL,11,0)-'TRADE IN'!$F518=0,"",(VLOOKUP($C518,'ACESSÓRIOS REV'!$C:$AL,11,0)-'TRADE IN'!$F518))</f>
        <v>1649</v>
      </c>
      <c r="N518" s="159">
        <f>IF(VLOOKUP($C518,'ACESSÓRIOS REV'!$C:$AL,12,0)-'TRADE IN'!$F518=0,"",(VLOOKUP($C518,'ACESSÓRIOS REV'!$C:$AL,12,0)-'TRADE IN'!$F518))</f>
        <v>1649</v>
      </c>
      <c r="O518" s="159">
        <f>IF(VLOOKUP($C518,'ACESSÓRIOS REV'!$C:$AL,13,0)-'TRADE IN'!$F518=0,"",(VLOOKUP($C518,'ACESSÓRIOS REV'!$C:$AL,13,0)-'TRADE IN'!$F518))</f>
        <v>1599</v>
      </c>
      <c r="P518" s="159">
        <f>IF(VLOOKUP($C518,'ACESSÓRIOS REV'!$C:$AL,14,0)-'TRADE IN'!$F518=0,"",(VLOOKUP($C518,'ACESSÓRIOS REV'!$C:$AL,14,0)-'TRADE IN'!$F518))</f>
        <v>1499</v>
      </c>
      <c r="Q518" s="159">
        <f>IF(VLOOKUP($C518,'ACESSÓRIOS REV'!$C:$AL,15,0)-'TRADE IN'!$F518=0,"",(VLOOKUP($C518,'ACESSÓRIOS REV'!$C:$AL,15,0)-'TRADE IN'!$F518))</f>
        <v>1299</v>
      </c>
      <c r="R518" s="159">
        <f>IF(VLOOKUP($C518,'ACESSÓRIOS REV'!$C:$AL,16,0)-'TRADE IN'!$F518=0,"",(VLOOKUP($C518,'ACESSÓRIOS REV'!$C:$AL,16,0)-'TRADE IN'!$F518))</f>
        <v>1599</v>
      </c>
      <c r="S518" s="159">
        <f>IF(VLOOKUP($C518,'ACESSÓRIOS REV'!$C:$AL,17,0)-'TRADE IN'!$F518=0,"",(VLOOKUP($C518,'ACESSÓRIOS REV'!$C:$AL,17,0)-'TRADE IN'!$F518))</f>
        <v>1499</v>
      </c>
      <c r="T518" s="159">
        <f>IF(VLOOKUP($C518,'ACESSÓRIOS REV'!$C:$AL,18,0)-'TRADE IN'!$F518=0,"",(VLOOKUP($C518,'ACESSÓRIOS REV'!$C:$AL,18,0)-'TRADE IN'!$F518))</f>
        <v>1299</v>
      </c>
      <c r="U518" s="159">
        <f>IF(VLOOKUP($C518,'ACESSÓRIOS REV'!$C:$AL,19,0)-'TRADE IN'!$F518=0,"",(VLOOKUP($C518,'ACESSÓRIOS REV'!$C:$AL,19,0)-'TRADE IN'!$F518))</f>
        <v>1299</v>
      </c>
      <c r="V518" s="159">
        <f>IF(VLOOKUP($C518,'ACESSÓRIOS REV'!$C:$AL,20,0)-'TRADE IN'!$F518=0,"",(VLOOKUP($C518,'ACESSÓRIOS REV'!$C:$AL,20,0)-'TRADE IN'!$F518))</f>
        <v>1299</v>
      </c>
      <c r="W518" s="159">
        <f>IF(VLOOKUP($C518,'ACESSÓRIOS REV'!$C:$AL,21,0)-'TRADE IN'!$F518=0,"",(VLOOKUP($C518,'ACESSÓRIOS REV'!$C:$AL,21,0)-'TRADE IN'!$F518))</f>
        <v>1299</v>
      </c>
      <c r="X518" s="159">
        <f>IF(VLOOKUP($C518,'ACESSÓRIOS REV'!$C:$AL,22,0)-'TRADE IN'!$F518=0,"",(VLOOKUP($C518,'ACESSÓRIOS REV'!$C:$AL,22,0)-'TRADE IN'!$F518))</f>
        <v>1199</v>
      </c>
      <c r="Y518" s="159">
        <f>IF(VLOOKUP($C518,'ACESSÓRIOS REV'!$C:$AL,23,0)-'TRADE IN'!$F518=0,"",(VLOOKUP($C518,'ACESSÓRIOS REV'!$C:$AL,23,0)-'TRADE IN'!$F518))</f>
        <v>899</v>
      </c>
      <c r="Z518" s="159">
        <f>IF(VLOOKUP($C518,'ACESSÓRIOS REV'!$C:$AL,24,0)-'TRADE IN'!$F518=0,"",(VLOOKUP($C518,'ACESSÓRIOS REV'!$C:$AL,24,0)-'TRADE IN'!$F518))</f>
        <v>899</v>
      </c>
      <c r="AA518" s="159">
        <f>IF(VLOOKUP($C518,'ACESSÓRIOS REV'!$C:$AL,25,0)-'TRADE IN'!$F518=0,"",(VLOOKUP($C518,'ACESSÓRIOS REV'!$C:$AL,25,0)-'TRADE IN'!$F518))</f>
        <v>849</v>
      </c>
      <c r="AB518" s="159">
        <f>IF(VLOOKUP($C518,'ACESSÓRIOS REV'!$C:$AL,27,0)-'TRADE IN'!$F518=0,"",(VLOOKUP($C518,'ACESSÓRIOS REV'!$C:$AL,27,0)-'TRADE IN'!$F518))</f>
        <v>-300</v>
      </c>
      <c r="AC518" s="159">
        <f>IF(VLOOKUP($C518,'ACESSÓRIOS REV'!$C:$AL,28,0)-'TRADE IN'!$F518=0,"",(VLOOKUP($C518,'ACESSÓRIOS REV'!$C:$AL,28,0)-'TRADE IN'!$F518))</f>
        <v>-300</v>
      </c>
      <c r="AD518" s="159">
        <f>IF(VLOOKUP($C518,'ACESSÓRIOS REV'!$C:$AL,29,0)-'TRADE IN'!$F518=0,"",(VLOOKUP($C518,'ACESSÓRIOS REV'!$C:$AL,29,0)-'TRADE IN'!$F518))</f>
        <v>-300</v>
      </c>
      <c r="AE518" s="159">
        <f>IF(VLOOKUP($C518,'ACESSÓRIOS REV'!$C:$AL,30,0)-'TRADE IN'!$F518=0,"",(VLOOKUP($C518,'ACESSÓRIOS REV'!$C:$AL,30,0)-'TRADE IN'!$F518))</f>
        <v>-300</v>
      </c>
      <c r="AF518" s="159">
        <f>IF(VLOOKUP($C518,'ACESSÓRIOS REV'!$C:$AL,31,0)-'TRADE IN'!$F518=0,"",(VLOOKUP($C518,'ACESSÓRIOS REV'!$C:$AL,31,0)-'TRADE IN'!$F518))</f>
        <v>-300</v>
      </c>
      <c r="AG518" s="159">
        <f>IF(VLOOKUP($C518,'ACESSÓRIOS REV'!$C:$AL,31,0)-'TRADE IN'!$F518=0,"",(VLOOKUP($C518,'ACESSÓRIOS REV'!$C:$AL,31,0)-'TRADE IN'!$F518))</f>
        <v>-300</v>
      </c>
      <c r="AH518" s="159">
        <f>IF(VLOOKUP($C518,'ACESSÓRIOS REV'!$C:$AL,32,0)-'TRADE IN'!$F518=0,"",(VLOOKUP($C518,'ACESSÓRIOS REV'!$C:$AL,32,0)-'TRADE IN'!$F518))</f>
        <v>-300</v>
      </c>
      <c r="AI518" s="159">
        <f>IF(VLOOKUP($C518,'ACESSÓRIOS REV'!$C:$AL,33,0)-'TRADE IN'!$F518=0,"",(VLOOKUP($C518,'ACESSÓRIOS REV'!$C:$AL,33,0)-'TRADE IN'!$F518))</f>
        <v>-300</v>
      </c>
      <c r="AJ518" s="159">
        <f>IF(VLOOKUP($C518,'ACESSÓRIOS REV'!$C:$AL,34,0)-'TRADE IN'!$F518=0,"",(VLOOKUP($C518,'ACESSÓRIOS REV'!$C:$AL,34,0)-'TRADE IN'!$F518))</f>
        <v>-300</v>
      </c>
      <c r="AK518" s="159">
        <f>IF(VLOOKUP($C518,'ACESSÓRIOS REV'!$C:$AL,35,0)-'TRADE IN'!$F518=0,"",(VLOOKUP($C518,'ACESSÓRIOS REV'!$C:$AL,35,0)-'TRADE IN'!$F518))</f>
        <v>-300</v>
      </c>
      <c r="AL518" s="159">
        <f>IF(VLOOKUP($C518,'ACESSÓRIOS REV'!$C:$AL,36,0)-'TRADE IN'!$F518=0,"",(VLOOKUP($C518,'ACESSÓRIOS REV'!$C:$AL,36,0)-'TRADE IN'!$F518))</f>
        <v>-300</v>
      </c>
      <c r="AM518" s="145"/>
      <c r="AN518" s="145"/>
      <c r="AO518" s="145"/>
      <c r="AP518" s="145"/>
      <c r="AQ518" s="145"/>
      <c r="AR518" s="145"/>
      <c r="AS518" s="145"/>
      <c r="AT518" s="145"/>
      <c r="AU518" s="145"/>
      <c r="AW518" s="161" t="s">
        <v>740</v>
      </c>
    </row>
    <row r="520" spans="2:49">
      <c r="J520" s="163"/>
      <c r="K520" s="163"/>
      <c r="L520" s="163"/>
      <c r="M520" s="163"/>
      <c r="N520" s="163"/>
      <c r="O520" s="163"/>
      <c r="P520" s="163"/>
      <c r="Q520" s="163"/>
      <c r="R520" s="163"/>
      <c r="S520" s="163"/>
      <c r="T520" s="163"/>
      <c r="U520" s="163"/>
      <c r="V520" s="163"/>
      <c r="W520" s="163"/>
      <c r="X520" s="163"/>
      <c r="Y520" s="163"/>
      <c r="Z520" s="163"/>
      <c r="AA520" s="163"/>
      <c r="AB520" s="163"/>
      <c r="AC520" s="163"/>
      <c r="AD520" s="163"/>
      <c r="AE520" s="163"/>
      <c r="AF520" s="163"/>
      <c r="AG520" s="163"/>
      <c r="AH520" s="163"/>
      <c r="AI520" s="163"/>
      <c r="AJ520" s="163"/>
      <c r="AK520" s="163"/>
      <c r="AL520" s="163"/>
    </row>
    <row r="522" spans="2:49">
      <c r="J522" s="163"/>
      <c r="K522" s="163"/>
      <c r="L522" s="163"/>
      <c r="M522" s="163"/>
      <c r="N522" s="163"/>
      <c r="O522" s="163"/>
      <c r="P522" s="163"/>
      <c r="Q522" s="163"/>
      <c r="R522" s="163"/>
      <c r="S522" s="163"/>
      <c r="T522" s="163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3"/>
      <c r="AG522" s="163"/>
      <c r="AH522" s="163"/>
      <c r="AI522" s="163"/>
      <c r="AJ522" s="163"/>
      <c r="AK522" s="163"/>
      <c r="AL522" s="163"/>
    </row>
  </sheetData>
  <autoFilter ref="A12:BJ518" xr:uid="{4E7F8786-09E9-4C2F-8603-CD840948A05F}"/>
  <mergeCells count="5">
    <mergeCell ref="H11:I11"/>
    <mergeCell ref="J11:AA11"/>
    <mergeCell ref="AB11:AL11"/>
    <mergeCell ref="AM11:AO11"/>
    <mergeCell ref="AP11:AU11"/>
  </mergeCells>
  <conditionalFormatting sqref="G502 G505">
    <cfRule type="cellIs" dxfId="29" priority="28" operator="equal">
      <formula>0</formula>
    </cfRule>
  </conditionalFormatting>
  <conditionalFormatting sqref="G502">
    <cfRule type="cellIs" dxfId="28" priority="29" operator="lessThan">
      <formula>F502</formula>
    </cfRule>
  </conditionalFormatting>
  <conditionalFormatting sqref="G505">
    <cfRule type="cellIs" dxfId="27" priority="30" operator="lessThan">
      <formula>F505</formula>
    </cfRule>
  </conditionalFormatting>
  <conditionalFormatting sqref="H13:I14">
    <cfRule type="cellIs" dxfId="26" priority="26" operator="lessThan">
      <formula>$G13</formula>
    </cfRule>
    <cfRule type="cellIs" dxfId="25" priority="27" operator="greaterThan">
      <formula>$G13</formula>
    </cfRule>
  </conditionalFormatting>
  <conditionalFormatting sqref="H293:I314 AV340:AV498 F499:F501">
    <cfRule type="expression" dxfId="24" priority="19" stopIfTrue="1">
      <formula>#REF!&lt;&gt;#REF!</formula>
    </cfRule>
  </conditionalFormatting>
  <conditionalFormatting sqref="H340:I407">
    <cfRule type="cellIs" dxfId="23" priority="23" operator="greaterThan">
      <formula>$G340</formula>
    </cfRule>
  </conditionalFormatting>
  <conditionalFormatting sqref="H340:I481 H13:AL97 H98:I156 J98:AL481 H482:AL483 H488:AL490">
    <cfRule type="cellIs" dxfId="22" priority="24" operator="equal">
      <formula>$G13</formula>
    </cfRule>
  </conditionalFormatting>
  <conditionalFormatting sqref="H347:I350">
    <cfRule type="cellIs" dxfId="21" priority="21" operator="equal">
      <formula>$G347</formula>
    </cfRule>
    <cfRule type="cellIs" dxfId="20" priority="22" operator="lessThan">
      <formula>$G347</formula>
    </cfRule>
  </conditionalFormatting>
  <conditionalFormatting sqref="H408:I416">
    <cfRule type="cellIs" dxfId="19" priority="25" operator="greaterThan">
      <formula>$G408</formula>
    </cfRule>
  </conditionalFormatting>
  <conditionalFormatting sqref="H484:I487">
    <cfRule type="cellIs" dxfId="18" priority="12" operator="lessThan">
      <formula>$G484</formula>
    </cfRule>
    <cfRule type="cellIs" dxfId="17" priority="13" operator="greaterThan">
      <formula>$G484</formula>
    </cfRule>
  </conditionalFormatting>
  <conditionalFormatting sqref="H491:I498">
    <cfRule type="cellIs" dxfId="16" priority="10" operator="lessThan">
      <formula>$G491</formula>
    </cfRule>
    <cfRule type="cellIs" dxfId="15" priority="11" operator="greaterThan">
      <formula>$G491</formula>
    </cfRule>
  </conditionalFormatting>
  <conditionalFormatting sqref="H13:AE90 AF13:AL96 J91:AE96 H91:I156 J97:AL481 H340:I481">
    <cfRule type="cellIs" dxfId="14" priority="14" operator="lessThan">
      <formula>$G13</formula>
    </cfRule>
  </conditionalFormatting>
  <conditionalFormatting sqref="H482:AL483 H488:AL490">
    <cfRule type="cellIs" dxfId="13" priority="18" operator="lessThan">
      <formula>$G482</formula>
    </cfRule>
  </conditionalFormatting>
  <conditionalFormatting sqref="H484:AL487">
    <cfRule type="cellIs" dxfId="12" priority="9" operator="equal">
      <formula>$G484</formula>
    </cfRule>
  </conditionalFormatting>
  <conditionalFormatting sqref="H491:AL498">
    <cfRule type="cellIs" dxfId="11" priority="6" operator="equal">
      <formula>$G491</formula>
    </cfRule>
  </conditionalFormatting>
  <conditionalFormatting sqref="I13:I14 J13:N483 H211:I219">
    <cfRule type="cellIs" dxfId="10" priority="15" operator="equal">
      <formula>$G13</formula>
    </cfRule>
    <cfRule type="cellIs" dxfId="9" priority="16" operator="lessThan">
      <formula>$G13</formula>
    </cfRule>
    <cfRule type="cellIs" dxfId="8" priority="17" operator="greaterThan">
      <formula>$G13</formula>
    </cfRule>
  </conditionalFormatting>
  <conditionalFormatting sqref="J484:N498">
    <cfRule type="cellIs" dxfId="7" priority="1" operator="equal">
      <formula>$G484</formula>
    </cfRule>
    <cfRule type="cellIs" dxfId="6" priority="2" operator="lessThan">
      <formula>$G484</formula>
    </cfRule>
    <cfRule type="cellIs" dxfId="5" priority="3" operator="greaterThan">
      <formula>$G484</formula>
    </cfRule>
  </conditionalFormatting>
  <conditionalFormatting sqref="J98:AL482 H417:I482 H483:AL483 H488:AL490 H13:AL97 H98:I156">
    <cfRule type="cellIs" dxfId="4" priority="20" operator="greaterThan">
      <formula>$G13</formula>
    </cfRule>
  </conditionalFormatting>
  <conditionalFormatting sqref="J484:AL487">
    <cfRule type="cellIs" dxfId="3" priority="7" operator="lessThan">
      <formula>$G484</formula>
    </cfRule>
    <cfRule type="cellIs" dxfId="2" priority="8" operator="greaterThan">
      <formula>$G484</formula>
    </cfRule>
  </conditionalFormatting>
  <conditionalFormatting sqref="J491:AL498">
    <cfRule type="cellIs" dxfId="1" priority="4" operator="lessThan">
      <formula>$G491</formula>
    </cfRule>
    <cfRule type="cellIs" dxfId="0" priority="5" operator="greaterThan">
      <formula>$G491</formula>
    </cfRule>
  </conditionalFormatting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498B6-7542-4CE4-B7F7-D8478A5C3B69}">
  <dimension ref="A1:AA3359"/>
  <sheetViews>
    <sheetView topLeftCell="A105" zoomScale="78" zoomScaleNormal="78" workbookViewId="0">
      <selection activeCell="G493" sqref="G493:AA494"/>
    </sheetView>
  </sheetViews>
  <sheetFormatPr defaultRowHeight="14.5"/>
  <cols>
    <col min="1" max="1" width="14.81640625" bestFit="1" customWidth="1"/>
    <col min="2" max="2" width="10.6328125" style="181" bestFit="1" customWidth="1"/>
    <col min="3" max="3" width="35.81640625" style="181" bestFit="1" customWidth="1"/>
    <col min="4" max="4" width="44" style="181" bestFit="1" customWidth="1"/>
    <col min="5" max="5" width="11.26953125" style="181" bestFit="1" customWidth="1"/>
    <col min="6" max="6" width="10.453125" style="181" bestFit="1" customWidth="1"/>
    <col min="7" max="7" width="1.90625" bestFit="1" customWidth="1"/>
    <col min="8" max="16" width="11.26953125" style="181" bestFit="1" customWidth="1"/>
    <col min="17" max="22" width="12.26953125" style="181" bestFit="1" customWidth="1"/>
    <col min="23" max="23" width="1.90625" bestFit="1" customWidth="1"/>
    <col min="24" max="24" width="10.6328125" style="181" bestFit="1" customWidth="1"/>
    <col min="25" max="25" width="33" style="181" bestFit="1" customWidth="1"/>
    <col min="26" max="26" width="43.36328125" style="181" bestFit="1" customWidth="1"/>
    <col min="27" max="27" width="25.90625" style="145" bestFit="1" customWidth="1"/>
  </cols>
  <sheetData>
    <row r="1" spans="1:27" ht="15.65" customHeight="1">
      <c r="A1" s="164" t="s">
        <v>952</v>
      </c>
      <c r="B1" s="164"/>
      <c r="C1" s="164"/>
      <c r="D1" s="164"/>
      <c r="E1" s="164"/>
      <c r="F1" s="164"/>
      <c r="H1" s="164" t="s">
        <v>953</v>
      </c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X1" s="165" t="s">
        <v>954</v>
      </c>
      <c r="Y1" s="166"/>
      <c r="Z1" s="166"/>
      <c r="AA1" s="167"/>
    </row>
    <row r="2" spans="1:27" ht="14.9" customHeight="1">
      <c r="A2" s="168" t="s">
        <v>955</v>
      </c>
      <c r="B2" s="168" t="s">
        <v>956</v>
      </c>
      <c r="C2" s="168" t="s">
        <v>14</v>
      </c>
      <c r="D2" s="168" t="s">
        <v>15</v>
      </c>
      <c r="E2" s="168" t="s">
        <v>957</v>
      </c>
      <c r="F2" s="168" t="s">
        <v>958</v>
      </c>
      <c r="H2" s="169" t="s">
        <v>959</v>
      </c>
      <c r="I2" s="169" t="s">
        <v>960</v>
      </c>
      <c r="J2" s="169" t="s">
        <v>961</v>
      </c>
      <c r="K2" s="169" t="s">
        <v>962</v>
      </c>
      <c r="L2" s="169" t="s">
        <v>963</v>
      </c>
      <c r="M2" s="169" t="s">
        <v>964</v>
      </c>
      <c r="N2" s="169" t="s">
        <v>965</v>
      </c>
      <c r="O2" s="169" t="s">
        <v>966</v>
      </c>
      <c r="P2" s="169" t="s">
        <v>967</v>
      </c>
      <c r="Q2" s="169" t="s">
        <v>968</v>
      </c>
      <c r="R2" s="169" t="s">
        <v>969</v>
      </c>
      <c r="S2" s="169" t="s">
        <v>970</v>
      </c>
      <c r="T2" s="169" t="s">
        <v>971</v>
      </c>
      <c r="U2" s="169" t="s">
        <v>972</v>
      </c>
      <c r="V2" s="169" t="s">
        <v>973</v>
      </c>
      <c r="X2" s="170" t="s">
        <v>956</v>
      </c>
      <c r="Y2" s="170" t="s">
        <v>14</v>
      </c>
      <c r="Z2" s="170" t="s">
        <v>15</v>
      </c>
      <c r="AA2" s="170" t="s">
        <v>974</v>
      </c>
    </row>
    <row r="3" spans="1:27" s="11" customFormat="1">
      <c r="A3" s="171" t="s">
        <v>975</v>
      </c>
      <c r="B3" s="172">
        <v>4017678</v>
      </c>
      <c r="C3" s="173" t="s">
        <v>643</v>
      </c>
      <c r="D3" s="173" t="s">
        <v>644</v>
      </c>
      <c r="E3" s="174">
        <v>46276</v>
      </c>
      <c r="F3" s="174">
        <v>46326</v>
      </c>
      <c r="H3" s="172">
        <v>4017227</v>
      </c>
      <c r="I3" s="172">
        <v>4017223</v>
      </c>
      <c r="J3" s="172">
        <v>4017785</v>
      </c>
      <c r="K3" s="172">
        <v>4017780</v>
      </c>
      <c r="L3" s="171">
        <v>4018151</v>
      </c>
      <c r="M3" s="171">
        <v>4018129</v>
      </c>
      <c r="N3" s="175"/>
      <c r="O3" s="176"/>
      <c r="P3" s="176"/>
      <c r="Q3" s="176"/>
      <c r="R3" s="176"/>
      <c r="S3" s="176"/>
      <c r="T3" s="176"/>
      <c r="U3" s="176"/>
      <c r="V3" s="176"/>
      <c r="X3" s="172">
        <v>4017339</v>
      </c>
      <c r="Y3" s="173" t="s">
        <v>976</v>
      </c>
      <c r="Z3" s="173" t="s">
        <v>977</v>
      </c>
      <c r="AA3" s="177">
        <v>99</v>
      </c>
    </row>
    <row r="4" spans="1:27" s="11" customFormat="1">
      <c r="A4" s="171" t="s">
        <v>975</v>
      </c>
      <c r="B4" s="172">
        <v>4017679</v>
      </c>
      <c r="C4" s="173" t="s">
        <v>643</v>
      </c>
      <c r="D4" s="173" t="s">
        <v>645</v>
      </c>
      <c r="E4" s="174">
        <v>46276</v>
      </c>
      <c r="F4" s="174">
        <v>46326</v>
      </c>
      <c r="H4" s="172">
        <v>4017227</v>
      </c>
      <c r="I4" s="172">
        <v>4017223</v>
      </c>
      <c r="J4" s="172">
        <v>4017785</v>
      </c>
      <c r="K4" s="172">
        <v>4017780</v>
      </c>
      <c r="L4" s="171">
        <v>4018151</v>
      </c>
      <c r="M4" s="171">
        <v>4018129</v>
      </c>
      <c r="N4" s="175"/>
      <c r="O4" s="176"/>
      <c r="P4" s="176"/>
      <c r="Q4" s="176"/>
      <c r="R4" s="176"/>
      <c r="S4" s="176"/>
      <c r="T4" s="176"/>
      <c r="U4" s="176"/>
      <c r="V4" s="176"/>
      <c r="X4" s="172">
        <v>4017398</v>
      </c>
      <c r="Y4" s="173" t="s">
        <v>976</v>
      </c>
      <c r="Z4" s="173" t="s">
        <v>978</v>
      </c>
      <c r="AA4" s="177">
        <v>99</v>
      </c>
    </row>
    <row r="5" spans="1:27" s="11" customFormat="1">
      <c r="A5" s="171" t="s">
        <v>975</v>
      </c>
      <c r="B5" s="172">
        <v>4017750</v>
      </c>
      <c r="C5" s="173" t="s">
        <v>643</v>
      </c>
      <c r="D5" s="173" t="s">
        <v>646</v>
      </c>
      <c r="E5" s="174">
        <v>46276</v>
      </c>
      <c r="F5" s="174">
        <v>46326</v>
      </c>
      <c r="H5" s="172">
        <v>4017227</v>
      </c>
      <c r="I5" s="172">
        <v>4017223</v>
      </c>
      <c r="J5" s="172">
        <v>4017785</v>
      </c>
      <c r="K5" s="172">
        <v>4017780</v>
      </c>
      <c r="L5" s="171">
        <v>4018151</v>
      </c>
      <c r="M5" s="171">
        <v>4018129</v>
      </c>
      <c r="N5" s="175"/>
      <c r="O5" s="176"/>
      <c r="P5" s="176"/>
      <c r="Q5" s="176"/>
      <c r="R5" s="176"/>
      <c r="S5" s="176"/>
      <c r="T5" s="176"/>
      <c r="U5" s="176"/>
      <c r="V5" s="176"/>
      <c r="X5" s="172">
        <v>4015924</v>
      </c>
      <c r="Y5" s="173" t="s">
        <v>914</v>
      </c>
      <c r="Z5" s="173" t="s">
        <v>915</v>
      </c>
      <c r="AA5" s="177">
        <v>99</v>
      </c>
    </row>
    <row r="6" spans="1:27" s="11" customFormat="1">
      <c r="A6" s="171" t="s">
        <v>975</v>
      </c>
      <c r="B6" s="172">
        <v>4017751</v>
      </c>
      <c r="C6" s="173" t="s">
        <v>643</v>
      </c>
      <c r="D6" s="173" t="s">
        <v>647</v>
      </c>
      <c r="E6" s="174">
        <v>46276</v>
      </c>
      <c r="F6" s="174">
        <v>46326</v>
      </c>
      <c r="H6" s="172">
        <v>4017227</v>
      </c>
      <c r="I6" s="172">
        <v>4017223</v>
      </c>
      <c r="J6" s="172">
        <v>4017785</v>
      </c>
      <c r="K6" s="172">
        <v>4017780</v>
      </c>
      <c r="L6" s="171">
        <v>4018151</v>
      </c>
      <c r="M6" s="171">
        <v>4018129</v>
      </c>
      <c r="N6" s="175"/>
      <c r="O6" s="176"/>
      <c r="P6" s="176"/>
      <c r="Q6" s="176"/>
      <c r="R6" s="176"/>
      <c r="S6" s="176"/>
      <c r="T6" s="176"/>
      <c r="U6" s="176"/>
      <c r="V6" s="176"/>
      <c r="X6" s="172">
        <v>4015922</v>
      </c>
      <c r="Y6" s="173" t="s">
        <v>914</v>
      </c>
      <c r="Z6" s="173" t="s">
        <v>916</v>
      </c>
      <c r="AA6" s="177">
        <v>99</v>
      </c>
    </row>
    <row r="7" spans="1:27" s="11" customFormat="1">
      <c r="A7" s="171" t="s">
        <v>975</v>
      </c>
      <c r="B7" s="172">
        <v>4017756</v>
      </c>
      <c r="C7" s="173" t="s">
        <v>643</v>
      </c>
      <c r="D7" s="173" t="s">
        <v>648</v>
      </c>
      <c r="E7" s="174">
        <v>46276</v>
      </c>
      <c r="F7" s="174">
        <v>46326</v>
      </c>
      <c r="H7" s="172">
        <v>4017227</v>
      </c>
      <c r="I7" s="172">
        <v>4017223</v>
      </c>
      <c r="J7" s="172">
        <v>4017785</v>
      </c>
      <c r="K7" s="172">
        <v>4017780</v>
      </c>
      <c r="L7" s="171">
        <v>4018151</v>
      </c>
      <c r="M7" s="171">
        <v>4018129</v>
      </c>
      <c r="N7" s="175"/>
      <c r="O7" s="176"/>
      <c r="P7" s="176"/>
      <c r="Q7" s="176"/>
      <c r="R7" s="176"/>
      <c r="S7" s="176"/>
      <c r="T7" s="176"/>
      <c r="U7" s="176"/>
      <c r="V7" s="176"/>
      <c r="X7" s="172">
        <v>4017424</v>
      </c>
      <c r="Y7" s="173" t="s">
        <v>917</v>
      </c>
      <c r="Z7" s="173" t="s">
        <v>979</v>
      </c>
      <c r="AA7" s="177">
        <v>99</v>
      </c>
    </row>
    <row r="8" spans="1:27" s="11" customFormat="1">
      <c r="A8" s="171" t="s">
        <v>975</v>
      </c>
      <c r="B8" s="172">
        <v>4017757</v>
      </c>
      <c r="C8" s="173" t="s">
        <v>643</v>
      </c>
      <c r="D8" s="173" t="s">
        <v>649</v>
      </c>
      <c r="E8" s="174">
        <v>46276</v>
      </c>
      <c r="F8" s="174">
        <v>46326</v>
      </c>
      <c r="H8" s="172">
        <v>4017227</v>
      </c>
      <c r="I8" s="172">
        <v>4017223</v>
      </c>
      <c r="J8" s="172">
        <v>4017785</v>
      </c>
      <c r="K8" s="172">
        <v>4017780</v>
      </c>
      <c r="L8" s="171">
        <v>4018151</v>
      </c>
      <c r="M8" s="171">
        <v>4018129</v>
      </c>
      <c r="N8" s="175"/>
      <c r="O8" s="176"/>
      <c r="P8" s="176"/>
      <c r="Q8" s="176"/>
      <c r="R8" s="176"/>
      <c r="S8" s="176"/>
      <c r="T8" s="176"/>
      <c r="U8" s="176"/>
      <c r="V8" s="176"/>
      <c r="X8" s="172">
        <v>4017419</v>
      </c>
      <c r="Y8" s="173" t="s">
        <v>917</v>
      </c>
      <c r="Z8" s="173" t="s">
        <v>918</v>
      </c>
      <c r="AA8" s="177">
        <v>99</v>
      </c>
    </row>
    <row r="9" spans="1:27" s="11" customFormat="1">
      <c r="A9" s="171" t="s">
        <v>975</v>
      </c>
      <c r="B9" s="172">
        <v>4017746</v>
      </c>
      <c r="C9" s="173" t="s">
        <v>650</v>
      </c>
      <c r="D9" s="173" t="s">
        <v>651</v>
      </c>
      <c r="E9" s="174">
        <v>46276</v>
      </c>
      <c r="F9" s="174">
        <v>46326</v>
      </c>
      <c r="H9" s="172">
        <v>4017227</v>
      </c>
      <c r="I9" s="172">
        <v>4017223</v>
      </c>
      <c r="J9" s="172">
        <v>4017785</v>
      </c>
      <c r="K9" s="172">
        <v>4017780</v>
      </c>
      <c r="L9" s="171">
        <v>4018151</v>
      </c>
      <c r="M9" s="171">
        <v>4018129</v>
      </c>
      <c r="N9" s="175"/>
      <c r="O9" s="176"/>
      <c r="P9" s="176"/>
      <c r="Q9" s="176"/>
      <c r="R9" s="176"/>
      <c r="S9" s="176"/>
      <c r="T9" s="176"/>
      <c r="U9" s="176"/>
      <c r="V9" s="176"/>
      <c r="X9" s="172">
        <v>4017414</v>
      </c>
      <c r="Y9" s="173" t="s">
        <v>917</v>
      </c>
      <c r="Z9" s="173" t="s">
        <v>919</v>
      </c>
      <c r="AA9" s="177">
        <v>99</v>
      </c>
    </row>
    <row r="10" spans="1:27" s="11" customFormat="1">
      <c r="A10" s="171" t="s">
        <v>975</v>
      </c>
      <c r="B10" s="172">
        <v>4017748</v>
      </c>
      <c r="C10" s="173" t="s">
        <v>650</v>
      </c>
      <c r="D10" s="173" t="s">
        <v>652</v>
      </c>
      <c r="E10" s="174">
        <v>46276</v>
      </c>
      <c r="F10" s="174">
        <v>46326</v>
      </c>
      <c r="H10" s="172">
        <v>4017227</v>
      </c>
      <c r="I10" s="172">
        <v>4017223</v>
      </c>
      <c r="J10" s="172">
        <v>4017785</v>
      </c>
      <c r="K10" s="172">
        <v>4017780</v>
      </c>
      <c r="L10" s="171">
        <v>4018151</v>
      </c>
      <c r="M10" s="171">
        <v>4018129</v>
      </c>
      <c r="N10" s="175"/>
      <c r="O10" s="176"/>
      <c r="P10" s="176"/>
      <c r="Q10" s="176"/>
      <c r="R10" s="176"/>
      <c r="S10" s="176"/>
      <c r="T10" s="176"/>
      <c r="U10" s="176"/>
      <c r="V10" s="176"/>
      <c r="X10" s="172">
        <v>4017227</v>
      </c>
      <c r="Y10" s="173" t="s">
        <v>930</v>
      </c>
      <c r="Z10" s="173" t="s">
        <v>931</v>
      </c>
      <c r="AA10" s="177">
        <v>799</v>
      </c>
    </row>
    <row r="11" spans="1:27" s="11" customFormat="1">
      <c r="A11" s="171" t="s">
        <v>975</v>
      </c>
      <c r="B11" s="172">
        <v>4017752</v>
      </c>
      <c r="C11" s="173" t="s">
        <v>650</v>
      </c>
      <c r="D11" s="173" t="s">
        <v>653</v>
      </c>
      <c r="E11" s="174">
        <v>46276</v>
      </c>
      <c r="F11" s="174">
        <v>46326</v>
      </c>
      <c r="H11" s="172">
        <v>4017227</v>
      </c>
      <c r="I11" s="172">
        <v>4017223</v>
      </c>
      <c r="J11" s="172">
        <v>4017785</v>
      </c>
      <c r="K11" s="172">
        <v>4017780</v>
      </c>
      <c r="L11" s="171">
        <v>4018151</v>
      </c>
      <c r="M11" s="171">
        <v>4018129</v>
      </c>
      <c r="N11" s="175"/>
      <c r="O11" s="176"/>
      <c r="P11" s="176"/>
      <c r="Q11" s="176"/>
      <c r="R11" s="176"/>
      <c r="S11" s="176"/>
      <c r="T11" s="176"/>
      <c r="U11" s="176"/>
      <c r="V11" s="176"/>
      <c r="X11" s="172">
        <v>4017223</v>
      </c>
      <c r="Y11" s="173" t="s">
        <v>932</v>
      </c>
      <c r="Z11" s="173" t="s">
        <v>933</v>
      </c>
      <c r="AA11" s="177">
        <v>799</v>
      </c>
    </row>
    <row r="12" spans="1:27" s="11" customFormat="1">
      <c r="A12" s="171" t="s">
        <v>975</v>
      </c>
      <c r="B12" s="172">
        <v>4017754</v>
      </c>
      <c r="C12" s="173" t="s">
        <v>650</v>
      </c>
      <c r="D12" s="173" t="s">
        <v>654</v>
      </c>
      <c r="E12" s="174">
        <v>46276</v>
      </c>
      <c r="F12" s="174">
        <v>46326</v>
      </c>
      <c r="H12" s="172">
        <v>4017227</v>
      </c>
      <c r="I12" s="172">
        <v>4017223</v>
      </c>
      <c r="J12" s="172">
        <v>4017785</v>
      </c>
      <c r="K12" s="172">
        <v>4017780</v>
      </c>
      <c r="L12" s="171">
        <v>4018151</v>
      </c>
      <c r="M12" s="171">
        <v>4018129</v>
      </c>
      <c r="N12" s="175"/>
      <c r="O12" s="176"/>
      <c r="P12" s="176"/>
      <c r="Q12" s="176"/>
      <c r="R12" s="176"/>
      <c r="S12" s="176"/>
      <c r="T12" s="176"/>
      <c r="U12" s="176"/>
      <c r="V12" s="176"/>
      <c r="X12" s="172">
        <v>4017785</v>
      </c>
      <c r="Y12" s="173" t="s">
        <v>839</v>
      </c>
      <c r="Z12" s="173" t="s">
        <v>840</v>
      </c>
      <c r="AA12" s="178">
        <v>499</v>
      </c>
    </row>
    <row r="13" spans="1:27" s="11" customFormat="1">
      <c r="A13" s="171" t="s">
        <v>975</v>
      </c>
      <c r="B13" s="172">
        <v>4017675</v>
      </c>
      <c r="C13" s="173" t="s">
        <v>650</v>
      </c>
      <c r="D13" s="173" t="s">
        <v>655</v>
      </c>
      <c r="E13" s="174">
        <v>46276</v>
      </c>
      <c r="F13" s="174">
        <v>46326</v>
      </c>
      <c r="H13" s="172">
        <v>4017227</v>
      </c>
      <c r="I13" s="172">
        <v>4017223</v>
      </c>
      <c r="J13" s="172">
        <v>4017785</v>
      </c>
      <c r="K13" s="172">
        <v>4017780</v>
      </c>
      <c r="L13" s="171">
        <v>4018151</v>
      </c>
      <c r="M13" s="171">
        <v>4018129</v>
      </c>
      <c r="N13" s="175"/>
      <c r="O13" s="176"/>
      <c r="P13" s="176"/>
      <c r="Q13" s="176"/>
      <c r="R13" s="176"/>
      <c r="S13" s="176"/>
      <c r="T13" s="176"/>
      <c r="U13" s="176"/>
      <c r="V13" s="176"/>
      <c r="X13" s="172">
        <v>4017780</v>
      </c>
      <c r="Y13" s="173" t="s">
        <v>841</v>
      </c>
      <c r="Z13" s="173" t="s">
        <v>842</v>
      </c>
      <c r="AA13" s="178">
        <v>699</v>
      </c>
    </row>
    <row r="14" spans="1:27" s="11" customFormat="1">
      <c r="A14" s="171" t="s">
        <v>975</v>
      </c>
      <c r="B14" s="172">
        <v>4017676</v>
      </c>
      <c r="C14" s="173" t="s">
        <v>650</v>
      </c>
      <c r="D14" s="173" t="s">
        <v>656</v>
      </c>
      <c r="E14" s="174">
        <v>46276</v>
      </c>
      <c r="F14" s="174">
        <v>46326</v>
      </c>
      <c r="H14" s="172">
        <v>4017227</v>
      </c>
      <c r="I14" s="172">
        <v>4017223</v>
      </c>
      <c r="J14" s="172">
        <v>4017785</v>
      </c>
      <c r="K14" s="172">
        <v>4017780</v>
      </c>
      <c r="L14" s="171">
        <v>4018151</v>
      </c>
      <c r="M14" s="171">
        <v>4018129</v>
      </c>
      <c r="N14" s="175"/>
      <c r="O14" s="176"/>
      <c r="P14" s="176"/>
      <c r="Q14" s="176"/>
      <c r="R14" s="176"/>
      <c r="S14" s="176"/>
      <c r="T14" s="176"/>
      <c r="U14" s="176"/>
      <c r="V14" s="176"/>
      <c r="X14" s="172">
        <v>4018151</v>
      </c>
      <c r="Y14" s="173" t="s">
        <v>980</v>
      </c>
      <c r="Z14" s="173" t="s">
        <v>934</v>
      </c>
      <c r="AA14" s="178">
        <v>999</v>
      </c>
    </row>
    <row r="15" spans="1:27" s="11" customFormat="1">
      <c r="A15" s="171" t="s">
        <v>975</v>
      </c>
      <c r="B15" s="172">
        <v>4017762</v>
      </c>
      <c r="C15" s="173" t="s">
        <v>657</v>
      </c>
      <c r="D15" s="173" t="s">
        <v>658</v>
      </c>
      <c r="E15" s="174">
        <v>46276</v>
      </c>
      <c r="F15" s="174">
        <v>46326</v>
      </c>
      <c r="H15" s="172">
        <v>4017227</v>
      </c>
      <c r="I15" s="172">
        <v>4017223</v>
      </c>
      <c r="J15" s="172">
        <v>4017785</v>
      </c>
      <c r="K15" s="172">
        <v>4017780</v>
      </c>
      <c r="L15" s="171">
        <v>4018151</v>
      </c>
      <c r="M15" s="171">
        <v>4018129</v>
      </c>
      <c r="N15" s="175"/>
      <c r="O15" s="176"/>
      <c r="P15" s="176"/>
      <c r="Q15" s="176"/>
      <c r="R15" s="176"/>
      <c r="S15" s="176"/>
      <c r="T15" s="176"/>
      <c r="U15" s="176"/>
      <c r="V15" s="176"/>
      <c r="X15" s="172">
        <v>4018129</v>
      </c>
      <c r="Y15" s="173" t="s">
        <v>981</v>
      </c>
      <c r="Z15" s="173" t="s">
        <v>935</v>
      </c>
      <c r="AA15" s="178">
        <v>999</v>
      </c>
    </row>
    <row r="16" spans="1:27" s="11" customFormat="1">
      <c r="A16" s="171" t="s">
        <v>975</v>
      </c>
      <c r="B16" s="172">
        <v>4017763</v>
      </c>
      <c r="C16" s="173" t="s">
        <v>657</v>
      </c>
      <c r="D16" s="173" t="s">
        <v>659</v>
      </c>
      <c r="E16" s="174">
        <v>46276</v>
      </c>
      <c r="F16" s="174">
        <v>46326</v>
      </c>
      <c r="H16" s="172">
        <v>4017227</v>
      </c>
      <c r="I16" s="172">
        <v>4017223</v>
      </c>
      <c r="J16" s="172">
        <v>4017785</v>
      </c>
      <c r="K16" s="172">
        <v>4017780</v>
      </c>
      <c r="L16" s="171">
        <v>4018151</v>
      </c>
      <c r="M16" s="171">
        <v>4018129</v>
      </c>
      <c r="N16" s="175"/>
      <c r="O16" s="179"/>
      <c r="P16" s="179"/>
      <c r="Q16" s="179"/>
      <c r="R16" s="179"/>
      <c r="S16" s="172"/>
      <c r="T16" s="172"/>
      <c r="U16" s="176"/>
      <c r="V16" s="176"/>
      <c r="X16" s="172">
        <v>4018040</v>
      </c>
      <c r="Y16" s="173" t="s">
        <v>797</v>
      </c>
      <c r="Z16" s="173" t="s">
        <v>798</v>
      </c>
      <c r="AA16" s="178">
        <v>399</v>
      </c>
    </row>
    <row r="17" spans="1:27" s="11" customFormat="1">
      <c r="A17" s="171" t="s">
        <v>975</v>
      </c>
      <c r="B17" s="172">
        <v>4017766</v>
      </c>
      <c r="C17" s="173" t="s">
        <v>657</v>
      </c>
      <c r="D17" s="173" t="s">
        <v>660</v>
      </c>
      <c r="E17" s="174">
        <v>46276</v>
      </c>
      <c r="F17" s="174">
        <v>46326</v>
      </c>
      <c r="H17" s="172">
        <v>4017227</v>
      </c>
      <c r="I17" s="172">
        <v>4017223</v>
      </c>
      <c r="J17" s="172">
        <v>4017785</v>
      </c>
      <c r="K17" s="172">
        <v>4017780</v>
      </c>
      <c r="L17" s="171">
        <v>4018151</v>
      </c>
      <c r="M17" s="171">
        <v>4018129</v>
      </c>
      <c r="N17" s="175"/>
      <c r="O17" s="179"/>
      <c r="P17" s="179"/>
      <c r="Q17" s="179"/>
      <c r="R17" s="179"/>
      <c r="S17" s="172"/>
      <c r="T17" s="172"/>
      <c r="U17" s="176"/>
      <c r="V17" s="176"/>
      <c r="X17" s="172">
        <v>4017939</v>
      </c>
      <c r="Y17" s="173" t="s">
        <v>797</v>
      </c>
      <c r="Z17" s="173" t="s">
        <v>799</v>
      </c>
      <c r="AA17" s="178">
        <v>399</v>
      </c>
    </row>
    <row r="18" spans="1:27" s="11" customFormat="1">
      <c r="A18" s="171" t="s">
        <v>975</v>
      </c>
      <c r="B18" s="172">
        <v>4017769</v>
      </c>
      <c r="C18" s="173" t="s">
        <v>657</v>
      </c>
      <c r="D18" s="173" t="s">
        <v>661</v>
      </c>
      <c r="E18" s="174">
        <v>46276</v>
      </c>
      <c r="F18" s="174">
        <v>46326</v>
      </c>
      <c r="H18" s="172">
        <v>4017227</v>
      </c>
      <c r="I18" s="172">
        <v>4017223</v>
      </c>
      <c r="J18" s="172">
        <v>4017785</v>
      </c>
      <c r="K18" s="172">
        <v>4017780</v>
      </c>
      <c r="L18" s="171">
        <v>4018151</v>
      </c>
      <c r="M18" s="171">
        <v>4018129</v>
      </c>
      <c r="N18" s="175"/>
      <c r="O18" s="179"/>
      <c r="P18" s="179"/>
      <c r="Q18" s="179"/>
      <c r="R18" s="179"/>
      <c r="S18" s="172"/>
      <c r="T18" s="172"/>
      <c r="U18" s="176"/>
      <c r="V18" s="176"/>
      <c r="X18" s="172">
        <v>4017938</v>
      </c>
      <c r="Y18" s="173" t="s">
        <v>797</v>
      </c>
      <c r="Z18" s="173" t="s">
        <v>800</v>
      </c>
      <c r="AA18" s="178">
        <v>399</v>
      </c>
    </row>
    <row r="19" spans="1:27" s="11" customFormat="1">
      <c r="A19" s="171" t="s">
        <v>975</v>
      </c>
      <c r="B19" s="172">
        <v>4017764</v>
      </c>
      <c r="C19" s="173" t="s">
        <v>662</v>
      </c>
      <c r="D19" s="173" t="s">
        <v>663</v>
      </c>
      <c r="E19" s="174">
        <v>46276</v>
      </c>
      <c r="F19" s="174">
        <v>46326</v>
      </c>
      <c r="H19" s="172">
        <v>4017227</v>
      </c>
      <c r="I19" s="172">
        <v>4017223</v>
      </c>
      <c r="J19" s="172">
        <v>4017785</v>
      </c>
      <c r="K19" s="172">
        <v>4017780</v>
      </c>
      <c r="L19" s="171">
        <v>4018151</v>
      </c>
      <c r="M19" s="171">
        <v>4018129</v>
      </c>
      <c r="N19" s="175"/>
      <c r="O19" s="179"/>
      <c r="P19" s="179"/>
      <c r="Q19" s="179"/>
      <c r="R19" s="179"/>
      <c r="S19" s="172"/>
      <c r="T19" s="172"/>
      <c r="U19" s="176"/>
      <c r="V19" s="176"/>
      <c r="X19" s="172">
        <v>4018041</v>
      </c>
      <c r="Y19" s="173" t="s">
        <v>797</v>
      </c>
      <c r="Z19" s="173" t="s">
        <v>801</v>
      </c>
      <c r="AA19" s="178">
        <v>399</v>
      </c>
    </row>
    <row r="20" spans="1:27" s="11" customFormat="1">
      <c r="A20" s="171" t="s">
        <v>975</v>
      </c>
      <c r="B20" s="172">
        <v>4017765</v>
      </c>
      <c r="C20" s="173" t="s">
        <v>662</v>
      </c>
      <c r="D20" s="173" t="s">
        <v>664</v>
      </c>
      <c r="E20" s="174">
        <v>46276</v>
      </c>
      <c r="F20" s="174">
        <v>46326</v>
      </c>
      <c r="H20" s="172">
        <v>4017227</v>
      </c>
      <c r="I20" s="172">
        <v>4017223</v>
      </c>
      <c r="J20" s="172">
        <v>4017785</v>
      </c>
      <c r="K20" s="172">
        <v>4017780</v>
      </c>
      <c r="L20" s="171">
        <v>4018151</v>
      </c>
      <c r="M20" s="171">
        <v>4018129</v>
      </c>
      <c r="N20" s="175"/>
      <c r="O20" s="179"/>
      <c r="P20" s="179"/>
      <c r="Q20" s="179"/>
      <c r="R20" s="179"/>
      <c r="S20" s="172"/>
      <c r="T20" s="172"/>
      <c r="U20" s="176"/>
      <c r="V20" s="176"/>
      <c r="X20" s="172">
        <v>4016494</v>
      </c>
      <c r="Y20" s="173" t="s">
        <v>802</v>
      </c>
      <c r="Z20" s="173" t="s">
        <v>804</v>
      </c>
      <c r="AA20" s="178">
        <v>399</v>
      </c>
    </row>
    <row r="21" spans="1:27" s="11" customFormat="1">
      <c r="A21" s="171" t="s">
        <v>975</v>
      </c>
      <c r="B21" s="172">
        <v>4017767</v>
      </c>
      <c r="C21" s="173" t="s">
        <v>662</v>
      </c>
      <c r="D21" s="173" t="s">
        <v>665</v>
      </c>
      <c r="E21" s="174">
        <v>46276</v>
      </c>
      <c r="F21" s="174">
        <v>46326</v>
      </c>
      <c r="H21" s="172">
        <v>4017227</v>
      </c>
      <c r="I21" s="172">
        <v>4017223</v>
      </c>
      <c r="J21" s="172">
        <v>4017785</v>
      </c>
      <c r="K21" s="172">
        <v>4017780</v>
      </c>
      <c r="L21" s="171">
        <v>4018151</v>
      </c>
      <c r="M21" s="171">
        <v>4018129</v>
      </c>
      <c r="N21" s="175"/>
      <c r="O21" s="179"/>
      <c r="P21" s="179"/>
      <c r="Q21" s="179"/>
      <c r="R21" s="179"/>
      <c r="S21" s="172"/>
      <c r="T21" s="172"/>
      <c r="U21" s="176"/>
      <c r="V21" s="176"/>
      <c r="X21" s="172">
        <v>4016340</v>
      </c>
      <c r="Y21" s="173" t="s">
        <v>802</v>
      </c>
      <c r="Z21" s="173" t="s">
        <v>803</v>
      </c>
      <c r="AA21" s="178">
        <v>399</v>
      </c>
    </row>
    <row r="22" spans="1:27" s="11" customFormat="1">
      <c r="A22" s="171" t="s">
        <v>975</v>
      </c>
      <c r="B22" s="172">
        <v>4017768</v>
      </c>
      <c r="C22" s="173" t="s">
        <v>662</v>
      </c>
      <c r="D22" s="173" t="s">
        <v>666</v>
      </c>
      <c r="E22" s="174">
        <v>46276</v>
      </c>
      <c r="F22" s="174">
        <v>46326</v>
      </c>
      <c r="H22" s="172">
        <v>4017227</v>
      </c>
      <c r="I22" s="172">
        <v>4017223</v>
      </c>
      <c r="J22" s="172">
        <v>4017785</v>
      </c>
      <c r="K22" s="172">
        <v>4017780</v>
      </c>
      <c r="L22" s="171">
        <v>4018151</v>
      </c>
      <c r="M22" s="171">
        <v>4018129</v>
      </c>
      <c r="N22" s="175"/>
      <c r="O22" s="176"/>
      <c r="P22" s="176"/>
      <c r="Q22" s="176"/>
      <c r="R22" s="176"/>
      <c r="S22" s="176"/>
      <c r="T22" s="176"/>
      <c r="U22" s="176"/>
      <c r="V22" s="176"/>
      <c r="X22" s="172">
        <v>4017140</v>
      </c>
      <c r="Y22" s="173" t="s">
        <v>802</v>
      </c>
      <c r="Z22" s="173" t="s">
        <v>805</v>
      </c>
      <c r="AA22" s="178">
        <v>399</v>
      </c>
    </row>
    <row r="23" spans="1:27" s="11" customFormat="1">
      <c r="A23" s="171" t="s">
        <v>975</v>
      </c>
      <c r="B23" s="172">
        <v>4017614</v>
      </c>
      <c r="C23" s="173" t="s">
        <v>667</v>
      </c>
      <c r="D23" s="173" t="s">
        <v>668</v>
      </c>
      <c r="E23" s="174">
        <v>46276</v>
      </c>
      <c r="F23" s="174">
        <v>46326</v>
      </c>
      <c r="H23" s="172">
        <v>4017227</v>
      </c>
      <c r="I23" s="172">
        <v>4017223</v>
      </c>
      <c r="J23" s="172">
        <v>4017785</v>
      </c>
      <c r="K23" s="172">
        <v>4017780</v>
      </c>
      <c r="L23" s="171">
        <v>4018151</v>
      </c>
      <c r="M23" s="171">
        <v>4018129</v>
      </c>
      <c r="N23" s="175"/>
      <c r="O23" s="176"/>
      <c r="P23" s="176"/>
      <c r="Q23" s="176"/>
      <c r="R23" s="176"/>
      <c r="S23" s="176"/>
      <c r="T23" s="176"/>
      <c r="U23" s="176"/>
      <c r="V23" s="176"/>
      <c r="X23" s="172">
        <v>4016959</v>
      </c>
      <c r="Y23" s="173" t="s">
        <v>806</v>
      </c>
      <c r="Z23" s="173" t="s">
        <v>807</v>
      </c>
      <c r="AA23" s="178">
        <v>399</v>
      </c>
    </row>
    <row r="24" spans="1:27" s="11" customFormat="1">
      <c r="A24" s="171" t="s">
        <v>975</v>
      </c>
      <c r="B24" s="172">
        <v>4017616</v>
      </c>
      <c r="C24" s="173" t="s">
        <v>667</v>
      </c>
      <c r="D24" s="173" t="s">
        <v>669</v>
      </c>
      <c r="E24" s="174">
        <v>46276</v>
      </c>
      <c r="F24" s="174">
        <v>46326</v>
      </c>
      <c r="H24" s="172">
        <v>4017227</v>
      </c>
      <c r="I24" s="172">
        <v>4017223</v>
      </c>
      <c r="J24" s="172">
        <v>4017785</v>
      </c>
      <c r="K24" s="172">
        <v>4017780</v>
      </c>
      <c r="L24" s="171">
        <v>4018151</v>
      </c>
      <c r="M24" s="171">
        <v>4018129</v>
      </c>
      <c r="N24" s="175"/>
      <c r="O24" s="176"/>
      <c r="P24" s="176"/>
      <c r="Q24" s="176"/>
      <c r="R24" s="176"/>
      <c r="S24" s="176"/>
      <c r="T24" s="176"/>
      <c r="U24" s="176"/>
      <c r="V24" s="176"/>
      <c r="X24" s="172"/>
      <c r="Y24" s="173"/>
      <c r="Z24" s="173"/>
      <c r="AA24" s="178"/>
    </row>
    <row r="25" spans="1:27" s="11" customFormat="1">
      <c r="A25" s="171" t="s">
        <v>975</v>
      </c>
      <c r="B25" s="172">
        <v>4017725</v>
      </c>
      <c r="C25" s="173" t="s">
        <v>667</v>
      </c>
      <c r="D25" s="173" t="s">
        <v>670</v>
      </c>
      <c r="E25" s="174">
        <v>46276</v>
      </c>
      <c r="F25" s="174">
        <v>46326</v>
      </c>
      <c r="H25" s="172">
        <v>4017227</v>
      </c>
      <c r="I25" s="172">
        <v>4017223</v>
      </c>
      <c r="J25" s="172">
        <v>4017785</v>
      </c>
      <c r="K25" s="172">
        <v>4017780</v>
      </c>
      <c r="L25" s="171">
        <v>4018151</v>
      </c>
      <c r="M25" s="171">
        <v>4018129</v>
      </c>
      <c r="N25" s="175"/>
      <c r="O25" s="176"/>
      <c r="P25" s="176"/>
      <c r="Q25" s="176"/>
      <c r="R25" s="176"/>
      <c r="S25" s="176"/>
      <c r="T25" s="176"/>
      <c r="U25" s="176"/>
      <c r="V25" s="176"/>
      <c r="X25" s="172"/>
      <c r="Y25" s="173"/>
      <c r="Z25" s="173"/>
      <c r="AA25" s="178"/>
    </row>
    <row r="26" spans="1:27" s="11" customFormat="1">
      <c r="A26" s="171" t="s">
        <v>975</v>
      </c>
      <c r="B26" s="172">
        <v>4017731</v>
      </c>
      <c r="C26" s="173" t="s">
        <v>667</v>
      </c>
      <c r="D26" s="173" t="s">
        <v>671</v>
      </c>
      <c r="E26" s="174">
        <v>46276</v>
      </c>
      <c r="F26" s="174">
        <v>46326</v>
      </c>
      <c r="H26" s="172">
        <v>4017227</v>
      </c>
      <c r="I26" s="172">
        <v>4017223</v>
      </c>
      <c r="J26" s="172">
        <v>4017785</v>
      </c>
      <c r="K26" s="172">
        <v>4017780</v>
      </c>
      <c r="L26" s="171">
        <v>4018151</v>
      </c>
      <c r="M26" s="171">
        <v>4018129</v>
      </c>
      <c r="N26" s="175"/>
      <c r="O26" s="176"/>
      <c r="P26" s="176"/>
      <c r="Q26" s="176"/>
      <c r="R26" s="176"/>
      <c r="S26" s="176"/>
      <c r="T26" s="176"/>
      <c r="U26" s="176"/>
      <c r="V26" s="176"/>
      <c r="X26" s="172"/>
      <c r="Y26" s="173"/>
      <c r="Z26" s="173"/>
      <c r="AA26" s="178"/>
    </row>
    <row r="27" spans="1:27" s="11" customFormat="1">
      <c r="A27" s="171" t="s">
        <v>975</v>
      </c>
      <c r="B27" s="172">
        <v>4017734</v>
      </c>
      <c r="C27" s="173" t="s">
        <v>667</v>
      </c>
      <c r="D27" s="173" t="s">
        <v>672</v>
      </c>
      <c r="E27" s="174">
        <v>46276</v>
      </c>
      <c r="F27" s="174">
        <v>46326</v>
      </c>
      <c r="H27" s="172">
        <v>4017227</v>
      </c>
      <c r="I27" s="172">
        <v>4017223</v>
      </c>
      <c r="J27" s="172">
        <v>4017785</v>
      </c>
      <c r="K27" s="172">
        <v>4017780</v>
      </c>
      <c r="L27" s="171">
        <v>4018151</v>
      </c>
      <c r="M27" s="171">
        <v>4018129</v>
      </c>
      <c r="N27" s="175"/>
      <c r="O27" s="176"/>
      <c r="P27" s="176"/>
      <c r="Q27" s="176"/>
      <c r="R27" s="176"/>
      <c r="S27" s="176"/>
      <c r="T27" s="176"/>
      <c r="U27" s="176"/>
      <c r="V27" s="176"/>
      <c r="X27" s="172"/>
      <c r="Y27" s="173"/>
      <c r="Z27" s="173"/>
      <c r="AA27" s="178"/>
    </row>
    <row r="28" spans="1:27" s="11" customFormat="1">
      <c r="A28" s="171" t="s">
        <v>975</v>
      </c>
      <c r="B28" s="172">
        <v>4017728</v>
      </c>
      <c r="C28" s="173" t="s">
        <v>667</v>
      </c>
      <c r="D28" s="173" t="s">
        <v>673</v>
      </c>
      <c r="E28" s="174">
        <v>46276</v>
      </c>
      <c r="F28" s="174">
        <v>46326</v>
      </c>
      <c r="H28" s="172">
        <v>4017227</v>
      </c>
      <c r="I28" s="172">
        <v>4017223</v>
      </c>
      <c r="J28" s="172">
        <v>4017785</v>
      </c>
      <c r="K28" s="172">
        <v>4017780</v>
      </c>
      <c r="L28" s="171">
        <v>4018151</v>
      </c>
      <c r="M28" s="171">
        <v>4018129</v>
      </c>
      <c r="N28" s="175"/>
      <c r="O28" s="176"/>
      <c r="P28" s="176"/>
      <c r="Q28" s="176"/>
      <c r="R28" s="176"/>
      <c r="S28" s="176"/>
      <c r="T28" s="176"/>
      <c r="U28" s="176"/>
      <c r="V28" s="176"/>
      <c r="X28" s="172"/>
      <c r="Y28" s="173"/>
      <c r="Z28" s="173"/>
      <c r="AA28" s="178"/>
    </row>
    <row r="29" spans="1:27" s="11" customFormat="1">
      <c r="A29" s="171" t="s">
        <v>975</v>
      </c>
      <c r="B29" s="172">
        <v>4017611</v>
      </c>
      <c r="C29" s="173" t="s">
        <v>674</v>
      </c>
      <c r="D29" s="173" t="s">
        <v>675</v>
      </c>
      <c r="E29" s="174">
        <v>46276</v>
      </c>
      <c r="F29" s="174">
        <v>46326</v>
      </c>
      <c r="H29" s="172">
        <v>4017227</v>
      </c>
      <c r="I29" s="172">
        <v>4017223</v>
      </c>
      <c r="J29" s="172">
        <v>4017785</v>
      </c>
      <c r="K29" s="172">
        <v>4017780</v>
      </c>
      <c r="L29" s="171">
        <v>4018151</v>
      </c>
      <c r="M29" s="171">
        <v>4018129</v>
      </c>
      <c r="N29" s="175"/>
      <c r="O29" s="176"/>
      <c r="P29" s="176"/>
      <c r="Q29" s="176"/>
      <c r="R29" s="176"/>
      <c r="S29" s="176"/>
      <c r="T29" s="176"/>
      <c r="U29" s="176"/>
      <c r="V29" s="176"/>
      <c r="X29" s="172"/>
      <c r="Y29" s="173"/>
      <c r="Z29" s="173"/>
      <c r="AA29" s="178"/>
    </row>
    <row r="30" spans="1:27" s="11" customFormat="1">
      <c r="A30" s="171" t="s">
        <v>975</v>
      </c>
      <c r="B30" s="172">
        <v>4017613</v>
      </c>
      <c r="C30" s="173" t="s">
        <v>674</v>
      </c>
      <c r="D30" s="173" t="s">
        <v>676</v>
      </c>
      <c r="E30" s="174">
        <v>46276</v>
      </c>
      <c r="F30" s="174">
        <v>46326</v>
      </c>
      <c r="H30" s="172">
        <v>4017227</v>
      </c>
      <c r="I30" s="172">
        <v>4017223</v>
      </c>
      <c r="J30" s="172">
        <v>4017785</v>
      </c>
      <c r="K30" s="172">
        <v>4017780</v>
      </c>
      <c r="L30" s="171">
        <v>4018151</v>
      </c>
      <c r="M30" s="171">
        <v>4018129</v>
      </c>
      <c r="N30" s="175"/>
      <c r="O30" s="176"/>
      <c r="P30" s="176"/>
      <c r="Q30" s="176"/>
      <c r="R30" s="176"/>
      <c r="S30" s="176"/>
      <c r="T30" s="176"/>
      <c r="U30" s="176"/>
      <c r="V30" s="176"/>
      <c r="X30" s="172"/>
      <c r="Y30" s="173"/>
      <c r="Z30" s="173"/>
      <c r="AA30" s="173"/>
    </row>
    <row r="31" spans="1:27" s="11" customFormat="1">
      <c r="A31" s="171" t="s">
        <v>975</v>
      </c>
      <c r="B31" s="172">
        <v>4017723</v>
      </c>
      <c r="C31" s="173" t="s">
        <v>674</v>
      </c>
      <c r="D31" s="173" t="s">
        <v>677</v>
      </c>
      <c r="E31" s="174">
        <v>46276</v>
      </c>
      <c r="F31" s="174">
        <v>46326</v>
      </c>
      <c r="H31" s="172">
        <v>4017227</v>
      </c>
      <c r="I31" s="172">
        <v>4017223</v>
      </c>
      <c r="J31" s="172">
        <v>4017785</v>
      </c>
      <c r="K31" s="172">
        <v>4017780</v>
      </c>
      <c r="L31" s="171">
        <v>4018151</v>
      </c>
      <c r="M31" s="171">
        <v>4018129</v>
      </c>
      <c r="N31" s="175"/>
      <c r="O31" s="176"/>
      <c r="P31" s="176"/>
      <c r="Q31" s="176"/>
      <c r="R31" s="176"/>
      <c r="S31" s="176"/>
      <c r="T31" s="176"/>
      <c r="U31" s="176"/>
      <c r="V31" s="176"/>
      <c r="X31" s="172"/>
      <c r="Y31" s="173"/>
      <c r="Z31" s="173"/>
      <c r="AA31" s="173"/>
    </row>
    <row r="32" spans="1:27" s="11" customFormat="1">
      <c r="A32" s="171" t="s">
        <v>975</v>
      </c>
      <c r="B32" s="172">
        <v>4017726</v>
      </c>
      <c r="C32" s="173" t="s">
        <v>674</v>
      </c>
      <c r="D32" s="173" t="s">
        <v>678</v>
      </c>
      <c r="E32" s="174">
        <v>46276</v>
      </c>
      <c r="F32" s="174">
        <v>46326</v>
      </c>
      <c r="H32" s="172">
        <v>4017227</v>
      </c>
      <c r="I32" s="172">
        <v>4017223</v>
      </c>
      <c r="J32" s="172">
        <v>4017785</v>
      </c>
      <c r="K32" s="172">
        <v>4017780</v>
      </c>
      <c r="L32" s="171">
        <v>4018151</v>
      </c>
      <c r="M32" s="171">
        <v>4018129</v>
      </c>
      <c r="N32" s="175"/>
      <c r="O32" s="176"/>
      <c r="P32" s="176"/>
      <c r="Q32" s="176"/>
      <c r="R32" s="176"/>
      <c r="S32" s="176"/>
      <c r="T32" s="176"/>
      <c r="U32" s="176"/>
      <c r="V32" s="176"/>
      <c r="X32" s="172"/>
      <c r="Y32" s="173"/>
      <c r="Z32" s="173"/>
      <c r="AA32" s="173"/>
    </row>
    <row r="33" spans="1:27" s="11" customFormat="1">
      <c r="A33" s="171" t="s">
        <v>975</v>
      </c>
      <c r="B33" s="172">
        <v>4017730</v>
      </c>
      <c r="C33" s="173" t="s">
        <v>674</v>
      </c>
      <c r="D33" s="173" t="s">
        <v>679</v>
      </c>
      <c r="E33" s="174">
        <v>46276</v>
      </c>
      <c r="F33" s="174">
        <v>46326</v>
      </c>
      <c r="H33" s="172">
        <v>4017227</v>
      </c>
      <c r="I33" s="172">
        <v>4017223</v>
      </c>
      <c r="J33" s="172">
        <v>4017785</v>
      </c>
      <c r="K33" s="172">
        <v>4017780</v>
      </c>
      <c r="L33" s="171">
        <v>4018151</v>
      </c>
      <c r="M33" s="171">
        <v>4018129</v>
      </c>
      <c r="N33" s="175"/>
      <c r="O33" s="176"/>
      <c r="P33" s="176"/>
      <c r="Q33" s="176"/>
      <c r="R33" s="176"/>
      <c r="S33" s="176"/>
      <c r="T33" s="176"/>
      <c r="U33" s="176"/>
      <c r="V33" s="176"/>
      <c r="X33" s="172"/>
      <c r="Y33" s="173"/>
      <c r="Z33" s="173"/>
      <c r="AA33" s="173"/>
    </row>
    <row r="34" spans="1:27" s="11" customFormat="1">
      <c r="A34" s="171" t="s">
        <v>975</v>
      </c>
      <c r="B34" s="172">
        <v>4017732</v>
      </c>
      <c r="C34" s="173" t="s">
        <v>674</v>
      </c>
      <c r="D34" s="173" t="s">
        <v>680</v>
      </c>
      <c r="E34" s="174">
        <v>46276</v>
      </c>
      <c r="F34" s="174">
        <v>46326</v>
      </c>
      <c r="H34" s="172">
        <v>4017227</v>
      </c>
      <c r="I34" s="172">
        <v>4017223</v>
      </c>
      <c r="J34" s="172">
        <v>4017785</v>
      </c>
      <c r="K34" s="172">
        <v>4017780</v>
      </c>
      <c r="L34" s="171">
        <v>4018151</v>
      </c>
      <c r="M34" s="171">
        <v>4018129</v>
      </c>
      <c r="N34" s="175"/>
      <c r="O34" s="176"/>
      <c r="P34" s="176"/>
      <c r="Q34" s="176"/>
      <c r="R34" s="176"/>
      <c r="S34" s="176"/>
      <c r="T34" s="176"/>
      <c r="U34" s="176"/>
      <c r="V34" s="176"/>
      <c r="X34" s="172"/>
      <c r="Y34" s="173"/>
      <c r="Z34" s="173"/>
      <c r="AA34" s="173"/>
    </row>
    <row r="35" spans="1:27" s="11" customFormat="1">
      <c r="A35" s="171" t="s">
        <v>982</v>
      </c>
      <c r="B35" s="172">
        <v>4017357</v>
      </c>
      <c r="C35" s="173" t="s">
        <v>432</v>
      </c>
      <c r="D35" s="173" t="s">
        <v>433</v>
      </c>
      <c r="E35" s="174">
        <v>46211</v>
      </c>
      <c r="F35" s="174">
        <v>46326</v>
      </c>
      <c r="H35" s="172">
        <v>4017339</v>
      </c>
      <c r="I35" s="172">
        <v>4017398</v>
      </c>
      <c r="J35" s="172"/>
      <c r="K35" s="172"/>
      <c r="L35" s="172"/>
      <c r="M35" s="172"/>
      <c r="N35" s="175"/>
      <c r="O35" s="176"/>
      <c r="P35" s="176"/>
      <c r="Q35" s="176"/>
      <c r="R35" s="176"/>
      <c r="S35" s="176"/>
      <c r="T35" s="176"/>
      <c r="U35" s="176"/>
      <c r="V35" s="176"/>
      <c r="X35" s="172"/>
      <c r="Y35" s="173"/>
      <c r="Z35" s="173"/>
      <c r="AA35" s="173"/>
    </row>
    <row r="36" spans="1:27" s="11" customFormat="1">
      <c r="A36" s="171" t="s">
        <v>982</v>
      </c>
      <c r="B36" s="172">
        <v>4017377</v>
      </c>
      <c r="C36" s="173" t="s">
        <v>432</v>
      </c>
      <c r="D36" s="173" t="s">
        <v>434</v>
      </c>
      <c r="E36" s="174">
        <v>46211</v>
      </c>
      <c r="F36" s="174">
        <v>46326</v>
      </c>
      <c r="H36" s="172">
        <v>4017339</v>
      </c>
      <c r="I36" s="172">
        <v>4017398</v>
      </c>
      <c r="J36" s="172"/>
      <c r="K36" s="172"/>
      <c r="L36" s="172"/>
      <c r="M36" s="172"/>
      <c r="N36" s="175"/>
      <c r="O36" s="176"/>
      <c r="P36" s="176"/>
      <c r="Q36" s="176"/>
      <c r="R36" s="176"/>
      <c r="S36" s="176"/>
      <c r="T36" s="176"/>
      <c r="U36" s="176"/>
      <c r="V36" s="176"/>
      <c r="X36" s="172"/>
      <c r="Y36" s="173"/>
      <c r="Z36" s="173"/>
      <c r="AA36" s="173"/>
    </row>
    <row r="37" spans="1:27" s="11" customFormat="1">
      <c r="A37" s="171" t="s">
        <v>982</v>
      </c>
      <c r="B37" s="172">
        <v>4017363</v>
      </c>
      <c r="C37" s="173" t="s">
        <v>432</v>
      </c>
      <c r="D37" s="173" t="s">
        <v>435</v>
      </c>
      <c r="E37" s="174">
        <v>46211</v>
      </c>
      <c r="F37" s="174">
        <v>46326</v>
      </c>
      <c r="H37" s="172">
        <v>4017339</v>
      </c>
      <c r="I37" s="172">
        <v>4017398</v>
      </c>
      <c r="J37" s="172"/>
      <c r="K37" s="172"/>
      <c r="L37" s="172"/>
      <c r="M37" s="172"/>
      <c r="N37" s="175"/>
      <c r="O37" s="176"/>
      <c r="P37" s="176"/>
      <c r="Q37" s="176"/>
      <c r="R37" s="176"/>
      <c r="S37" s="176"/>
      <c r="T37" s="176"/>
      <c r="U37" s="176"/>
      <c r="V37" s="176"/>
      <c r="X37" s="172"/>
      <c r="Y37" s="173"/>
      <c r="Z37" s="173"/>
      <c r="AA37" s="173"/>
    </row>
    <row r="38" spans="1:27" s="11" customFormat="1">
      <c r="A38" s="171" t="s">
        <v>982</v>
      </c>
      <c r="B38" s="172">
        <v>4017383</v>
      </c>
      <c r="C38" s="173" t="s">
        <v>432</v>
      </c>
      <c r="D38" s="173" t="s">
        <v>436</v>
      </c>
      <c r="E38" s="174">
        <v>46211</v>
      </c>
      <c r="F38" s="174">
        <v>46326</v>
      </c>
      <c r="H38" s="172">
        <v>4017339</v>
      </c>
      <c r="I38" s="172">
        <v>4017398</v>
      </c>
      <c r="J38" s="172"/>
      <c r="K38" s="172"/>
      <c r="L38" s="172"/>
      <c r="M38" s="172"/>
      <c r="N38" s="175"/>
      <c r="O38" s="176"/>
      <c r="P38" s="176"/>
      <c r="Q38" s="176"/>
      <c r="R38" s="176"/>
      <c r="S38" s="176"/>
      <c r="T38" s="176"/>
      <c r="U38" s="176"/>
      <c r="V38" s="176"/>
      <c r="X38" s="172"/>
      <c r="Y38" s="173"/>
      <c r="Z38" s="173"/>
      <c r="AA38" s="173"/>
    </row>
    <row r="39" spans="1:27" s="11" customFormat="1">
      <c r="A39" s="171" t="s">
        <v>982</v>
      </c>
      <c r="B39" s="172">
        <v>4017358</v>
      </c>
      <c r="C39" s="173" t="s">
        <v>437</v>
      </c>
      <c r="D39" s="173" t="s">
        <v>438</v>
      </c>
      <c r="E39" s="174">
        <v>46211</v>
      </c>
      <c r="F39" s="174">
        <v>46326</v>
      </c>
      <c r="H39" s="172">
        <v>4017339</v>
      </c>
      <c r="I39" s="172">
        <v>4017398</v>
      </c>
      <c r="J39" s="172"/>
      <c r="K39" s="172"/>
      <c r="L39" s="172"/>
      <c r="M39" s="172"/>
      <c r="N39" s="175"/>
      <c r="O39" s="176"/>
      <c r="P39" s="176"/>
      <c r="Q39" s="176"/>
      <c r="R39" s="176"/>
      <c r="S39" s="176"/>
      <c r="T39" s="176"/>
      <c r="U39" s="176"/>
      <c r="V39" s="176"/>
      <c r="X39" s="172"/>
      <c r="Y39" s="173"/>
      <c r="Z39" s="173"/>
      <c r="AA39" s="173"/>
    </row>
    <row r="40" spans="1:27" s="11" customFormat="1">
      <c r="A40" s="171" t="s">
        <v>982</v>
      </c>
      <c r="B40" s="172">
        <v>4017365</v>
      </c>
      <c r="C40" s="173" t="s">
        <v>437</v>
      </c>
      <c r="D40" s="173" t="s">
        <v>439</v>
      </c>
      <c r="E40" s="174">
        <v>46211</v>
      </c>
      <c r="F40" s="174">
        <v>46326</v>
      </c>
      <c r="H40" s="172">
        <v>4017339</v>
      </c>
      <c r="I40" s="172">
        <v>4017398</v>
      </c>
      <c r="J40" s="172"/>
      <c r="K40" s="172"/>
      <c r="L40" s="172"/>
      <c r="M40" s="172"/>
      <c r="N40" s="175"/>
      <c r="O40" s="176"/>
      <c r="P40" s="176"/>
      <c r="Q40" s="176"/>
      <c r="R40" s="176"/>
      <c r="S40" s="176"/>
      <c r="T40" s="176"/>
      <c r="U40" s="176"/>
      <c r="V40" s="176"/>
      <c r="X40" s="172"/>
      <c r="Y40" s="173"/>
      <c r="Z40" s="173"/>
      <c r="AA40" s="173"/>
    </row>
    <row r="41" spans="1:27" s="11" customFormat="1">
      <c r="A41" s="171" t="s">
        <v>982</v>
      </c>
      <c r="B41" s="172">
        <v>4017378</v>
      </c>
      <c r="C41" s="173" t="s">
        <v>437</v>
      </c>
      <c r="D41" s="173" t="s">
        <v>440</v>
      </c>
      <c r="E41" s="174">
        <v>46211</v>
      </c>
      <c r="F41" s="174">
        <v>46326</v>
      </c>
      <c r="H41" s="172">
        <v>4017339</v>
      </c>
      <c r="I41" s="172">
        <v>4017398</v>
      </c>
      <c r="J41" s="172"/>
      <c r="K41" s="172"/>
      <c r="L41" s="172"/>
      <c r="M41" s="172"/>
      <c r="N41" s="175"/>
      <c r="O41" s="176"/>
      <c r="P41" s="176"/>
      <c r="Q41" s="176"/>
      <c r="R41" s="176"/>
      <c r="S41" s="176"/>
      <c r="T41" s="176"/>
      <c r="U41" s="176"/>
      <c r="V41" s="176"/>
      <c r="X41" s="172"/>
      <c r="Y41" s="173"/>
      <c r="Z41" s="173"/>
      <c r="AA41" s="173"/>
    </row>
    <row r="42" spans="1:27" s="11" customFormat="1">
      <c r="A42" s="171" t="s">
        <v>982</v>
      </c>
      <c r="B42" s="172">
        <v>4017384</v>
      </c>
      <c r="C42" s="173" t="s">
        <v>437</v>
      </c>
      <c r="D42" s="173" t="s">
        <v>441</v>
      </c>
      <c r="E42" s="174">
        <v>46211</v>
      </c>
      <c r="F42" s="174">
        <v>46326</v>
      </c>
      <c r="H42" s="172">
        <v>4017339</v>
      </c>
      <c r="I42" s="172">
        <v>4017398</v>
      </c>
      <c r="J42" s="172"/>
      <c r="K42" s="172"/>
      <c r="L42" s="172"/>
      <c r="M42" s="172"/>
      <c r="N42" s="176"/>
      <c r="O42" s="176"/>
      <c r="P42" s="176"/>
      <c r="Q42" s="176"/>
      <c r="R42" s="176"/>
      <c r="S42" s="176"/>
      <c r="T42" s="176"/>
      <c r="U42" s="176"/>
      <c r="V42" s="176"/>
      <c r="X42" s="172"/>
      <c r="Y42" s="172"/>
      <c r="Z42" s="172"/>
      <c r="AA42" s="173"/>
    </row>
    <row r="43" spans="1:27" s="11" customFormat="1">
      <c r="A43" s="171" t="s">
        <v>982</v>
      </c>
      <c r="B43" s="172">
        <v>4017371</v>
      </c>
      <c r="C43" s="173" t="s">
        <v>437</v>
      </c>
      <c r="D43" s="173" t="s">
        <v>442</v>
      </c>
      <c r="E43" s="174">
        <v>46211</v>
      </c>
      <c r="F43" s="174">
        <v>46326</v>
      </c>
      <c r="H43" s="172">
        <v>4017339</v>
      </c>
      <c r="I43" s="172">
        <v>4017398</v>
      </c>
      <c r="J43" s="172"/>
      <c r="K43" s="172"/>
      <c r="L43" s="172"/>
      <c r="M43" s="172"/>
      <c r="N43" s="176"/>
      <c r="O43" s="176"/>
      <c r="P43" s="176"/>
      <c r="Q43" s="176"/>
      <c r="R43" s="176"/>
      <c r="S43" s="176"/>
      <c r="T43" s="176"/>
      <c r="U43" s="176"/>
      <c r="V43" s="176"/>
      <c r="X43" s="172"/>
      <c r="Y43" s="172"/>
      <c r="Z43" s="172"/>
      <c r="AA43" s="173"/>
    </row>
    <row r="44" spans="1:27" s="11" customFormat="1">
      <c r="A44" s="171" t="s">
        <v>982</v>
      </c>
      <c r="B44" s="172">
        <v>4017350</v>
      </c>
      <c r="C44" s="173" t="s">
        <v>437</v>
      </c>
      <c r="D44" s="173" t="s">
        <v>443</v>
      </c>
      <c r="E44" s="174">
        <v>46211</v>
      </c>
      <c r="F44" s="174">
        <v>46326</v>
      </c>
      <c r="H44" s="172">
        <v>4017339</v>
      </c>
      <c r="I44" s="172">
        <v>4017398</v>
      </c>
      <c r="J44" s="172"/>
      <c r="K44" s="172"/>
      <c r="L44" s="172"/>
      <c r="M44" s="172"/>
      <c r="N44" s="176"/>
      <c r="O44" s="176"/>
      <c r="P44" s="176"/>
      <c r="Q44" s="176"/>
      <c r="R44" s="176"/>
      <c r="S44" s="176"/>
      <c r="T44" s="176"/>
      <c r="U44" s="176"/>
      <c r="V44" s="176"/>
      <c r="X44" s="172"/>
      <c r="Y44" s="172"/>
      <c r="Z44" s="172"/>
      <c r="AA44" s="173"/>
    </row>
    <row r="45" spans="1:27" s="11" customFormat="1">
      <c r="A45" s="171" t="s">
        <v>982</v>
      </c>
      <c r="B45" s="172">
        <v>4017360</v>
      </c>
      <c r="C45" s="173" t="s">
        <v>437</v>
      </c>
      <c r="D45" s="173" t="s">
        <v>444</v>
      </c>
      <c r="E45" s="174">
        <v>46211</v>
      </c>
      <c r="F45" s="174">
        <v>46326</v>
      </c>
      <c r="H45" s="172">
        <v>4017339</v>
      </c>
      <c r="I45" s="172">
        <v>4017398</v>
      </c>
      <c r="J45" s="172"/>
      <c r="K45" s="172"/>
      <c r="L45" s="172"/>
      <c r="M45" s="172"/>
      <c r="N45" s="176"/>
      <c r="O45" s="176"/>
      <c r="P45" s="176"/>
      <c r="Q45" s="176"/>
      <c r="R45" s="176"/>
      <c r="S45" s="176"/>
      <c r="T45" s="176"/>
      <c r="U45" s="176"/>
      <c r="V45" s="176"/>
      <c r="X45" s="172"/>
      <c r="Y45" s="172"/>
      <c r="Z45" s="172"/>
      <c r="AA45" s="173"/>
    </row>
    <row r="46" spans="1:27" s="11" customFormat="1">
      <c r="A46" s="171" t="s">
        <v>982</v>
      </c>
      <c r="B46" s="172">
        <v>4017352</v>
      </c>
      <c r="C46" s="173" t="s">
        <v>437</v>
      </c>
      <c r="D46" s="173" t="s">
        <v>445</v>
      </c>
      <c r="E46" s="174">
        <v>46211</v>
      </c>
      <c r="F46" s="174">
        <v>46326</v>
      </c>
      <c r="H46" s="172">
        <v>4017339</v>
      </c>
      <c r="I46" s="172">
        <v>4017398</v>
      </c>
      <c r="J46" s="172"/>
      <c r="K46" s="172"/>
      <c r="L46" s="172"/>
      <c r="M46" s="172"/>
      <c r="N46" s="176"/>
      <c r="O46" s="176"/>
      <c r="P46" s="176"/>
      <c r="Q46" s="176"/>
      <c r="R46" s="176"/>
      <c r="S46" s="176"/>
      <c r="T46" s="176"/>
      <c r="U46" s="176"/>
      <c r="V46" s="176"/>
      <c r="X46" s="172"/>
      <c r="Y46" s="172"/>
      <c r="Z46" s="172"/>
      <c r="AA46" s="173"/>
    </row>
    <row r="47" spans="1:27" s="11" customFormat="1">
      <c r="A47" s="171" t="s">
        <v>982</v>
      </c>
      <c r="B47" s="172">
        <v>4017359</v>
      </c>
      <c r="C47" s="173" t="s">
        <v>446</v>
      </c>
      <c r="D47" s="173" t="s">
        <v>447</v>
      </c>
      <c r="E47" s="174">
        <v>46211</v>
      </c>
      <c r="F47" s="174">
        <v>46326</v>
      </c>
      <c r="H47" s="172">
        <v>4017339</v>
      </c>
      <c r="I47" s="172">
        <v>4017398</v>
      </c>
      <c r="J47" s="172"/>
      <c r="K47" s="172"/>
      <c r="L47" s="172"/>
      <c r="M47" s="172"/>
      <c r="N47" s="176"/>
      <c r="O47" s="176"/>
      <c r="P47" s="176"/>
      <c r="Q47" s="176"/>
      <c r="R47" s="176"/>
      <c r="S47" s="176"/>
      <c r="T47" s="176"/>
      <c r="U47" s="176"/>
      <c r="V47" s="176"/>
      <c r="X47" s="172"/>
      <c r="Y47" s="172"/>
      <c r="Z47" s="172"/>
      <c r="AA47" s="173"/>
    </row>
    <row r="48" spans="1:27" s="11" customFormat="1">
      <c r="A48" s="171" t="s">
        <v>982</v>
      </c>
      <c r="B48" s="172">
        <v>4017366</v>
      </c>
      <c r="C48" s="173" t="s">
        <v>446</v>
      </c>
      <c r="D48" s="173" t="s">
        <v>448</v>
      </c>
      <c r="E48" s="174">
        <v>46211</v>
      </c>
      <c r="F48" s="174">
        <v>46326</v>
      </c>
      <c r="H48" s="172">
        <v>4017339</v>
      </c>
      <c r="I48" s="172">
        <v>4017398</v>
      </c>
      <c r="J48" s="172"/>
      <c r="K48" s="172"/>
      <c r="L48" s="172"/>
      <c r="M48" s="172"/>
      <c r="N48" s="176"/>
      <c r="O48" s="176"/>
      <c r="P48" s="176"/>
      <c r="Q48" s="176"/>
      <c r="R48" s="176"/>
      <c r="S48" s="176"/>
      <c r="T48" s="176"/>
      <c r="U48" s="176"/>
      <c r="V48" s="176"/>
      <c r="X48" s="172"/>
      <c r="Y48" s="172"/>
      <c r="Z48" s="172"/>
      <c r="AA48" s="173"/>
    </row>
    <row r="49" spans="1:27" s="11" customFormat="1">
      <c r="A49" s="171" t="s">
        <v>982</v>
      </c>
      <c r="B49" s="172">
        <v>4017379</v>
      </c>
      <c r="C49" s="173" t="s">
        <v>446</v>
      </c>
      <c r="D49" s="173" t="s">
        <v>449</v>
      </c>
      <c r="E49" s="174">
        <v>46211</v>
      </c>
      <c r="F49" s="174">
        <v>46326</v>
      </c>
      <c r="H49" s="172">
        <v>4017339</v>
      </c>
      <c r="I49" s="172">
        <v>4017398</v>
      </c>
      <c r="J49" s="172"/>
      <c r="K49" s="172"/>
      <c r="L49" s="172"/>
      <c r="M49" s="172"/>
      <c r="N49" s="176"/>
      <c r="O49" s="176"/>
      <c r="P49" s="176"/>
      <c r="Q49" s="176"/>
      <c r="R49" s="176"/>
      <c r="S49" s="176"/>
      <c r="T49" s="176"/>
      <c r="U49" s="176"/>
      <c r="V49" s="176"/>
      <c r="X49" s="172"/>
      <c r="Y49" s="172"/>
      <c r="Z49" s="172"/>
      <c r="AA49" s="173"/>
    </row>
    <row r="50" spans="1:27" s="11" customFormat="1">
      <c r="A50" s="171" t="s">
        <v>982</v>
      </c>
      <c r="B50" s="172">
        <v>4017385</v>
      </c>
      <c r="C50" s="173" t="s">
        <v>446</v>
      </c>
      <c r="D50" s="173" t="s">
        <v>450</v>
      </c>
      <c r="E50" s="174">
        <v>46211</v>
      </c>
      <c r="F50" s="174">
        <v>46326</v>
      </c>
      <c r="H50" s="172">
        <v>4017339</v>
      </c>
      <c r="I50" s="172">
        <v>4017398</v>
      </c>
      <c r="J50" s="172"/>
      <c r="K50" s="172"/>
      <c r="L50" s="172"/>
      <c r="M50" s="172"/>
      <c r="N50" s="176"/>
      <c r="O50" s="176"/>
      <c r="P50" s="176"/>
      <c r="Q50" s="176"/>
      <c r="R50" s="176"/>
      <c r="S50" s="176"/>
      <c r="T50" s="176"/>
      <c r="U50" s="176"/>
      <c r="V50" s="176"/>
      <c r="X50" s="172"/>
      <c r="Y50" s="172"/>
      <c r="Z50" s="172"/>
      <c r="AA50" s="173"/>
    </row>
    <row r="51" spans="1:27" s="11" customFormat="1">
      <c r="A51" s="171" t="s">
        <v>982</v>
      </c>
      <c r="B51" s="172">
        <v>4017372</v>
      </c>
      <c r="C51" s="173" t="s">
        <v>446</v>
      </c>
      <c r="D51" s="173" t="s">
        <v>451</v>
      </c>
      <c r="E51" s="174">
        <v>46211</v>
      </c>
      <c r="F51" s="174">
        <v>46326</v>
      </c>
      <c r="H51" s="172">
        <v>4017339</v>
      </c>
      <c r="I51" s="172">
        <v>4017398</v>
      </c>
      <c r="J51" s="172"/>
      <c r="K51" s="172"/>
      <c r="L51" s="172"/>
      <c r="M51" s="172"/>
      <c r="N51" s="176"/>
      <c r="O51" s="176"/>
      <c r="P51" s="176"/>
      <c r="Q51" s="176"/>
      <c r="R51" s="176"/>
      <c r="S51" s="176"/>
      <c r="T51" s="176"/>
      <c r="U51" s="176"/>
      <c r="V51" s="176"/>
      <c r="X51" s="172"/>
      <c r="Y51" s="172"/>
      <c r="Z51" s="172"/>
      <c r="AA51" s="173"/>
    </row>
    <row r="52" spans="1:27" s="11" customFormat="1">
      <c r="A52" s="171" t="s">
        <v>983</v>
      </c>
      <c r="B52" s="172">
        <v>4017856</v>
      </c>
      <c r="C52" s="173" t="s">
        <v>480</v>
      </c>
      <c r="D52" s="173" t="s">
        <v>481</v>
      </c>
      <c r="E52" s="174">
        <v>46276</v>
      </c>
      <c r="F52" s="174">
        <v>46326</v>
      </c>
      <c r="H52" s="172">
        <v>4017227</v>
      </c>
      <c r="I52" s="172">
        <v>4017223</v>
      </c>
      <c r="J52" s="172">
        <v>4017339</v>
      </c>
      <c r="K52" s="172">
        <v>4017398</v>
      </c>
      <c r="L52" s="172">
        <v>4015924</v>
      </c>
      <c r="M52" s="172">
        <v>4015922</v>
      </c>
      <c r="N52" s="172">
        <v>4017424</v>
      </c>
      <c r="O52" s="172">
        <v>4017419</v>
      </c>
      <c r="P52" s="172">
        <v>4017414</v>
      </c>
      <c r="Q52" s="171">
        <v>4018151</v>
      </c>
      <c r="R52" s="171">
        <v>4018129</v>
      </c>
      <c r="S52" s="176"/>
      <c r="T52" s="176"/>
      <c r="U52" s="176"/>
      <c r="V52" s="176"/>
      <c r="X52" s="172"/>
      <c r="Y52" s="172"/>
      <c r="Z52" s="172"/>
      <c r="AA52" s="173"/>
    </row>
    <row r="53" spans="1:27" s="11" customFormat="1">
      <c r="A53" s="171" t="s">
        <v>983</v>
      </c>
      <c r="B53" s="172">
        <v>4017873</v>
      </c>
      <c r="C53" s="173" t="s">
        <v>480</v>
      </c>
      <c r="D53" s="173" t="s">
        <v>482</v>
      </c>
      <c r="E53" s="174">
        <v>46276</v>
      </c>
      <c r="F53" s="174">
        <v>46326</v>
      </c>
      <c r="H53" s="172">
        <v>4017227</v>
      </c>
      <c r="I53" s="172">
        <v>4017223</v>
      </c>
      <c r="J53" s="172">
        <v>4017339</v>
      </c>
      <c r="K53" s="172">
        <v>4017398</v>
      </c>
      <c r="L53" s="172">
        <v>4015924</v>
      </c>
      <c r="M53" s="172">
        <v>4015922</v>
      </c>
      <c r="N53" s="172">
        <v>4017424</v>
      </c>
      <c r="O53" s="172">
        <v>4017419</v>
      </c>
      <c r="P53" s="172">
        <v>4017414</v>
      </c>
      <c r="Q53" s="171">
        <v>4018151</v>
      </c>
      <c r="R53" s="171">
        <v>4018129</v>
      </c>
      <c r="S53" s="176"/>
      <c r="T53" s="176"/>
      <c r="U53" s="176"/>
      <c r="V53" s="176"/>
      <c r="X53" s="172"/>
      <c r="Y53" s="172"/>
      <c r="Z53" s="172"/>
      <c r="AA53" s="173"/>
    </row>
    <row r="54" spans="1:27" s="11" customFormat="1">
      <c r="A54" s="171" t="s">
        <v>983</v>
      </c>
      <c r="B54" s="172">
        <v>4017838</v>
      </c>
      <c r="C54" s="173" t="s">
        <v>480</v>
      </c>
      <c r="D54" s="173" t="s">
        <v>483</v>
      </c>
      <c r="E54" s="174">
        <v>46276</v>
      </c>
      <c r="F54" s="174">
        <v>46326</v>
      </c>
      <c r="H54" s="172">
        <v>4017227</v>
      </c>
      <c r="I54" s="172">
        <v>4017223</v>
      </c>
      <c r="J54" s="172">
        <v>4017339</v>
      </c>
      <c r="K54" s="172">
        <v>4017398</v>
      </c>
      <c r="L54" s="172">
        <v>4015924</v>
      </c>
      <c r="M54" s="172">
        <v>4015922</v>
      </c>
      <c r="N54" s="172">
        <v>4017424</v>
      </c>
      <c r="O54" s="172">
        <v>4017419</v>
      </c>
      <c r="P54" s="172">
        <v>4017414</v>
      </c>
      <c r="Q54" s="171">
        <v>4018151</v>
      </c>
      <c r="R54" s="171">
        <v>4018129</v>
      </c>
      <c r="S54" s="176"/>
      <c r="T54" s="176"/>
      <c r="U54" s="176"/>
      <c r="V54" s="176"/>
      <c r="X54" s="172"/>
      <c r="Y54" s="172"/>
      <c r="Z54" s="172"/>
      <c r="AA54" s="173"/>
    </row>
    <row r="55" spans="1:27" s="11" customFormat="1">
      <c r="A55" s="171" t="s">
        <v>983</v>
      </c>
      <c r="B55" s="172">
        <v>4017854</v>
      </c>
      <c r="C55" s="173" t="s">
        <v>480</v>
      </c>
      <c r="D55" s="173" t="s">
        <v>484</v>
      </c>
      <c r="E55" s="174">
        <v>46276</v>
      </c>
      <c r="F55" s="174">
        <v>46326</v>
      </c>
      <c r="H55" s="172">
        <v>4017227</v>
      </c>
      <c r="I55" s="172">
        <v>4017223</v>
      </c>
      <c r="J55" s="172">
        <v>4017339</v>
      </c>
      <c r="K55" s="172">
        <v>4017398</v>
      </c>
      <c r="L55" s="172">
        <v>4015924</v>
      </c>
      <c r="M55" s="172">
        <v>4015922</v>
      </c>
      <c r="N55" s="172">
        <v>4017424</v>
      </c>
      <c r="O55" s="172">
        <v>4017419</v>
      </c>
      <c r="P55" s="172">
        <v>4017414</v>
      </c>
      <c r="Q55" s="171">
        <v>4018151</v>
      </c>
      <c r="R55" s="171">
        <v>4018129</v>
      </c>
      <c r="S55" s="176"/>
      <c r="T55" s="176"/>
      <c r="U55" s="176"/>
      <c r="V55" s="176"/>
      <c r="X55" s="172"/>
      <c r="Y55" s="172"/>
      <c r="Z55" s="172"/>
      <c r="AA55" s="173"/>
    </row>
    <row r="56" spans="1:27" s="11" customFormat="1">
      <c r="A56" s="171" t="s">
        <v>983</v>
      </c>
      <c r="B56" s="172">
        <v>4017850</v>
      </c>
      <c r="C56" s="173" t="s">
        <v>480</v>
      </c>
      <c r="D56" s="173" t="s">
        <v>485</v>
      </c>
      <c r="E56" s="174">
        <v>46276</v>
      </c>
      <c r="F56" s="174">
        <v>46326</v>
      </c>
      <c r="H56" s="172">
        <v>4017227</v>
      </c>
      <c r="I56" s="172">
        <v>4017223</v>
      </c>
      <c r="J56" s="172">
        <v>4017339</v>
      </c>
      <c r="K56" s="172">
        <v>4017398</v>
      </c>
      <c r="L56" s="172">
        <v>4015924</v>
      </c>
      <c r="M56" s="172">
        <v>4015922</v>
      </c>
      <c r="N56" s="172">
        <v>4017424</v>
      </c>
      <c r="O56" s="172">
        <v>4017419</v>
      </c>
      <c r="P56" s="172">
        <v>4017414</v>
      </c>
      <c r="Q56" s="171">
        <v>4018151</v>
      </c>
      <c r="R56" s="171">
        <v>4018129</v>
      </c>
      <c r="S56" s="176"/>
      <c r="T56" s="176"/>
      <c r="U56" s="176"/>
      <c r="V56" s="176"/>
      <c r="X56" s="172"/>
      <c r="Y56" s="172"/>
      <c r="Z56" s="172"/>
      <c r="AA56" s="173"/>
    </row>
    <row r="57" spans="1:27" s="11" customFormat="1">
      <c r="A57" s="171" t="s">
        <v>983</v>
      </c>
      <c r="B57" s="172">
        <v>4017869</v>
      </c>
      <c r="C57" s="173" t="s">
        <v>480</v>
      </c>
      <c r="D57" s="173" t="s">
        <v>486</v>
      </c>
      <c r="E57" s="174">
        <v>46276</v>
      </c>
      <c r="F57" s="174">
        <v>46326</v>
      </c>
      <c r="H57" s="172">
        <v>4017227</v>
      </c>
      <c r="I57" s="172">
        <v>4017223</v>
      </c>
      <c r="J57" s="172">
        <v>4017339</v>
      </c>
      <c r="K57" s="172">
        <v>4017398</v>
      </c>
      <c r="L57" s="172">
        <v>4015924</v>
      </c>
      <c r="M57" s="172">
        <v>4015922</v>
      </c>
      <c r="N57" s="172">
        <v>4017424</v>
      </c>
      <c r="O57" s="172">
        <v>4017419</v>
      </c>
      <c r="P57" s="172">
        <v>4017414</v>
      </c>
      <c r="Q57" s="171">
        <v>4018151</v>
      </c>
      <c r="R57" s="171">
        <v>4018129</v>
      </c>
      <c r="S57" s="176"/>
      <c r="T57" s="176"/>
      <c r="U57" s="176"/>
      <c r="V57" s="176"/>
      <c r="X57" s="172"/>
      <c r="Y57" s="172"/>
      <c r="Z57" s="172"/>
      <c r="AA57" s="173"/>
    </row>
    <row r="58" spans="1:27" s="11" customFormat="1">
      <c r="A58" s="171" t="s">
        <v>983</v>
      </c>
      <c r="B58" s="172">
        <v>4017855</v>
      </c>
      <c r="C58" s="173" t="s">
        <v>509</v>
      </c>
      <c r="D58" s="173" t="s">
        <v>510</v>
      </c>
      <c r="E58" s="174">
        <v>46276</v>
      </c>
      <c r="F58" s="174">
        <v>46326</v>
      </c>
      <c r="H58" s="172">
        <v>4017227</v>
      </c>
      <c r="I58" s="172">
        <v>4017223</v>
      </c>
      <c r="J58" s="172">
        <v>4017339</v>
      </c>
      <c r="K58" s="172">
        <v>4017398</v>
      </c>
      <c r="L58" s="172">
        <v>4015924</v>
      </c>
      <c r="M58" s="172">
        <v>4015922</v>
      </c>
      <c r="N58" s="172">
        <v>4017424</v>
      </c>
      <c r="O58" s="172">
        <v>4017419</v>
      </c>
      <c r="P58" s="172">
        <v>4017414</v>
      </c>
      <c r="Q58" s="171">
        <v>4018151</v>
      </c>
      <c r="R58" s="171">
        <v>4018129</v>
      </c>
      <c r="S58" s="176"/>
      <c r="T58" s="176"/>
      <c r="U58" s="176"/>
      <c r="V58" s="176"/>
      <c r="X58" s="172"/>
      <c r="Y58" s="172"/>
      <c r="Z58" s="172"/>
      <c r="AA58" s="173"/>
    </row>
    <row r="59" spans="1:27" s="11" customFormat="1">
      <c r="A59" s="171" t="s">
        <v>983</v>
      </c>
      <c r="B59" s="172">
        <v>4017860</v>
      </c>
      <c r="C59" s="173" t="s">
        <v>509</v>
      </c>
      <c r="D59" s="173" t="s">
        <v>512</v>
      </c>
      <c r="E59" s="174">
        <v>46276</v>
      </c>
      <c r="F59" s="174">
        <v>46326</v>
      </c>
      <c r="H59" s="172">
        <v>4017227</v>
      </c>
      <c r="I59" s="172">
        <v>4017223</v>
      </c>
      <c r="J59" s="172">
        <v>4017339</v>
      </c>
      <c r="K59" s="172">
        <v>4017398</v>
      </c>
      <c r="L59" s="172">
        <v>4015924</v>
      </c>
      <c r="M59" s="172">
        <v>4015922</v>
      </c>
      <c r="N59" s="172">
        <v>4017424</v>
      </c>
      <c r="O59" s="172">
        <v>4017419</v>
      </c>
      <c r="P59" s="172">
        <v>4017414</v>
      </c>
      <c r="Q59" s="171">
        <v>4018151</v>
      </c>
      <c r="R59" s="171">
        <v>4018129</v>
      </c>
      <c r="S59" s="176"/>
      <c r="T59" s="176"/>
      <c r="U59" s="176"/>
      <c r="V59" s="176"/>
      <c r="X59" s="172"/>
      <c r="Y59" s="172"/>
      <c r="Z59" s="172"/>
      <c r="AA59" s="173"/>
    </row>
    <row r="60" spans="1:27" s="11" customFormat="1">
      <c r="A60" s="171" t="s">
        <v>983</v>
      </c>
      <c r="B60" s="172">
        <v>4017872</v>
      </c>
      <c r="C60" s="173" t="s">
        <v>509</v>
      </c>
      <c r="D60" s="173" t="s">
        <v>511</v>
      </c>
      <c r="E60" s="174">
        <v>46276</v>
      </c>
      <c r="F60" s="174">
        <v>46326</v>
      </c>
      <c r="H60" s="172">
        <v>4017227</v>
      </c>
      <c r="I60" s="172">
        <v>4017223</v>
      </c>
      <c r="J60" s="172">
        <v>4017339</v>
      </c>
      <c r="K60" s="172">
        <v>4017398</v>
      </c>
      <c r="L60" s="172">
        <v>4015924</v>
      </c>
      <c r="M60" s="172">
        <v>4015922</v>
      </c>
      <c r="N60" s="172">
        <v>4017424</v>
      </c>
      <c r="O60" s="172">
        <v>4017419</v>
      </c>
      <c r="P60" s="172">
        <v>4017414</v>
      </c>
      <c r="Q60" s="171">
        <v>4018151</v>
      </c>
      <c r="R60" s="171">
        <v>4018129</v>
      </c>
      <c r="S60" s="176"/>
      <c r="T60" s="176"/>
      <c r="U60" s="176"/>
      <c r="V60" s="176"/>
      <c r="X60" s="172"/>
      <c r="Y60" s="172"/>
      <c r="Z60" s="172"/>
      <c r="AA60" s="173"/>
    </row>
    <row r="61" spans="1:27" s="11" customFormat="1">
      <c r="A61" s="171" t="s">
        <v>983</v>
      </c>
      <c r="B61" s="172">
        <v>4017876</v>
      </c>
      <c r="C61" s="173" t="s">
        <v>509</v>
      </c>
      <c r="D61" s="173" t="s">
        <v>513</v>
      </c>
      <c r="E61" s="174">
        <v>46276</v>
      </c>
      <c r="F61" s="174">
        <v>46326</v>
      </c>
      <c r="H61" s="172">
        <v>4017227</v>
      </c>
      <c r="I61" s="172">
        <v>4017223</v>
      </c>
      <c r="J61" s="172">
        <v>4017339</v>
      </c>
      <c r="K61" s="172">
        <v>4017398</v>
      </c>
      <c r="L61" s="172">
        <v>4015924</v>
      </c>
      <c r="M61" s="172">
        <v>4015922</v>
      </c>
      <c r="N61" s="172">
        <v>4017424</v>
      </c>
      <c r="O61" s="172">
        <v>4017419</v>
      </c>
      <c r="P61" s="172">
        <v>4017414</v>
      </c>
      <c r="Q61" s="171">
        <v>4018151</v>
      </c>
      <c r="R61" s="171">
        <v>4018129</v>
      </c>
      <c r="S61" s="176"/>
      <c r="T61" s="176"/>
      <c r="U61" s="176"/>
      <c r="V61" s="176"/>
      <c r="X61" s="172"/>
      <c r="Y61" s="172"/>
      <c r="Z61" s="172"/>
      <c r="AA61" s="173"/>
    </row>
    <row r="62" spans="1:27" s="11" customFormat="1">
      <c r="A62" s="171" t="s">
        <v>983</v>
      </c>
      <c r="B62" s="172">
        <v>4017852</v>
      </c>
      <c r="C62" s="173" t="s">
        <v>509</v>
      </c>
      <c r="D62" s="173" t="s">
        <v>514</v>
      </c>
      <c r="E62" s="174">
        <v>46276</v>
      </c>
      <c r="F62" s="174">
        <v>46326</v>
      </c>
      <c r="H62" s="172">
        <v>4017227</v>
      </c>
      <c r="I62" s="172">
        <v>4017223</v>
      </c>
      <c r="J62" s="172">
        <v>4017339</v>
      </c>
      <c r="K62" s="172">
        <v>4017398</v>
      </c>
      <c r="L62" s="172">
        <v>4015924</v>
      </c>
      <c r="M62" s="172">
        <v>4015922</v>
      </c>
      <c r="N62" s="172">
        <v>4017424</v>
      </c>
      <c r="O62" s="172">
        <v>4017419</v>
      </c>
      <c r="P62" s="172">
        <v>4017414</v>
      </c>
      <c r="Q62" s="171">
        <v>4018151</v>
      </c>
      <c r="R62" s="171">
        <v>4018129</v>
      </c>
      <c r="S62" s="176"/>
      <c r="T62" s="176"/>
      <c r="U62" s="176"/>
      <c r="V62" s="176"/>
      <c r="X62" s="172"/>
      <c r="Y62" s="172"/>
      <c r="Z62" s="172"/>
      <c r="AA62" s="173"/>
    </row>
    <row r="63" spans="1:27" s="11" customFormat="1">
      <c r="A63" s="171" t="s">
        <v>983</v>
      </c>
      <c r="B63" s="172">
        <v>4017857</v>
      </c>
      <c r="C63" s="173" t="s">
        <v>509</v>
      </c>
      <c r="D63" s="173" t="s">
        <v>515</v>
      </c>
      <c r="E63" s="174">
        <v>46276</v>
      </c>
      <c r="F63" s="174">
        <v>46326</v>
      </c>
      <c r="H63" s="172">
        <v>4017227</v>
      </c>
      <c r="I63" s="172">
        <v>4017223</v>
      </c>
      <c r="J63" s="172">
        <v>4017339</v>
      </c>
      <c r="K63" s="172">
        <v>4017398</v>
      </c>
      <c r="L63" s="172">
        <v>4015924</v>
      </c>
      <c r="M63" s="172">
        <v>4015922</v>
      </c>
      <c r="N63" s="172">
        <v>4017424</v>
      </c>
      <c r="O63" s="172">
        <v>4017419</v>
      </c>
      <c r="P63" s="172">
        <v>4017414</v>
      </c>
      <c r="Q63" s="171">
        <v>4018151</v>
      </c>
      <c r="R63" s="171">
        <v>4018129</v>
      </c>
      <c r="S63" s="176"/>
      <c r="T63" s="176"/>
      <c r="U63" s="176"/>
      <c r="V63" s="176"/>
      <c r="X63" s="172"/>
      <c r="Y63" s="172"/>
      <c r="Z63" s="172"/>
      <c r="AA63" s="173"/>
    </row>
    <row r="64" spans="1:27" s="11" customFormat="1">
      <c r="A64" s="180" t="s">
        <v>984</v>
      </c>
      <c r="B64" s="172">
        <v>4016985</v>
      </c>
      <c r="C64" s="173" t="s">
        <v>502</v>
      </c>
      <c r="D64" s="173" t="s">
        <v>503</v>
      </c>
      <c r="E64" s="174">
        <v>46211</v>
      </c>
      <c r="F64" s="174">
        <v>46326</v>
      </c>
      <c r="H64" s="172">
        <v>4017339</v>
      </c>
      <c r="I64" s="172">
        <v>4017398</v>
      </c>
      <c r="J64" s="172">
        <v>4015924</v>
      </c>
      <c r="K64" s="172">
        <v>4015922</v>
      </c>
      <c r="L64" s="172">
        <v>4017424</v>
      </c>
      <c r="M64" s="172">
        <v>4017419</v>
      </c>
      <c r="N64" s="172">
        <v>4017414</v>
      </c>
      <c r="O64" s="176"/>
      <c r="P64" s="176"/>
      <c r="Q64" s="176"/>
      <c r="R64" s="176"/>
      <c r="S64" s="176"/>
      <c r="T64" s="176"/>
      <c r="U64" s="176"/>
      <c r="V64" s="176"/>
      <c r="X64" s="172"/>
      <c r="Y64" s="172"/>
      <c r="Z64" s="172"/>
      <c r="AA64" s="173"/>
    </row>
    <row r="65" spans="1:27" s="11" customFormat="1">
      <c r="A65" s="171" t="s">
        <v>984</v>
      </c>
      <c r="B65" s="172">
        <v>4016999</v>
      </c>
      <c r="C65" s="173" t="s">
        <v>502</v>
      </c>
      <c r="D65" s="173" t="s">
        <v>504</v>
      </c>
      <c r="E65" s="174">
        <v>46211</v>
      </c>
      <c r="F65" s="174">
        <v>46326</v>
      </c>
      <c r="H65" s="172">
        <v>4017339</v>
      </c>
      <c r="I65" s="172">
        <v>4017398</v>
      </c>
      <c r="J65" s="172">
        <v>4015924</v>
      </c>
      <c r="K65" s="172">
        <v>4015922</v>
      </c>
      <c r="L65" s="172">
        <v>4017424</v>
      </c>
      <c r="M65" s="172">
        <v>4017419</v>
      </c>
      <c r="N65" s="172">
        <v>4017414</v>
      </c>
      <c r="O65" s="176"/>
      <c r="P65" s="176"/>
      <c r="Q65" s="176"/>
      <c r="R65" s="176"/>
      <c r="S65" s="176"/>
      <c r="T65" s="176"/>
      <c r="U65" s="176"/>
      <c r="V65" s="176"/>
      <c r="X65" s="172"/>
      <c r="Y65" s="172"/>
      <c r="Z65" s="172"/>
      <c r="AA65" s="173"/>
    </row>
    <row r="66" spans="1:27" s="11" customFormat="1">
      <c r="A66" s="171" t="s">
        <v>984</v>
      </c>
      <c r="B66" s="172">
        <v>4017065</v>
      </c>
      <c r="C66" s="173" t="s">
        <v>502</v>
      </c>
      <c r="D66" s="173" t="s">
        <v>505</v>
      </c>
      <c r="E66" s="174">
        <v>46211</v>
      </c>
      <c r="F66" s="174">
        <v>46326</v>
      </c>
      <c r="H66" s="172">
        <v>4017339</v>
      </c>
      <c r="I66" s="172">
        <v>4017398</v>
      </c>
      <c r="J66" s="172">
        <v>4015924</v>
      </c>
      <c r="K66" s="172">
        <v>4015922</v>
      </c>
      <c r="L66" s="172">
        <v>4017424</v>
      </c>
      <c r="M66" s="172">
        <v>4017419</v>
      </c>
      <c r="N66" s="172">
        <v>4017414</v>
      </c>
      <c r="O66" s="176"/>
      <c r="P66" s="176"/>
      <c r="Q66" s="176"/>
      <c r="R66" s="176"/>
      <c r="S66" s="176"/>
      <c r="T66" s="176"/>
      <c r="U66" s="176"/>
      <c r="V66" s="176"/>
      <c r="X66" s="172"/>
      <c r="Y66" s="172"/>
      <c r="Z66" s="172"/>
      <c r="AA66" s="173"/>
    </row>
    <row r="67" spans="1:27" s="11" customFormat="1">
      <c r="A67" s="171" t="s">
        <v>984</v>
      </c>
      <c r="B67" s="172">
        <v>4016977</v>
      </c>
      <c r="C67" s="173" t="s">
        <v>502</v>
      </c>
      <c r="D67" s="173" t="s">
        <v>506</v>
      </c>
      <c r="E67" s="174">
        <v>46211</v>
      </c>
      <c r="F67" s="174">
        <v>46326</v>
      </c>
      <c r="H67" s="172">
        <v>4017339</v>
      </c>
      <c r="I67" s="172">
        <v>4017398</v>
      </c>
      <c r="J67" s="172">
        <v>4015924</v>
      </c>
      <c r="K67" s="172">
        <v>4015922</v>
      </c>
      <c r="L67" s="172">
        <v>4017424</v>
      </c>
      <c r="M67" s="172">
        <v>4017419</v>
      </c>
      <c r="N67" s="172">
        <v>4017414</v>
      </c>
      <c r="O67" s="176"/>
      <c r="P67" s="176"/>
      <c r="Q67" s="176"/>
      <c r="R67" s="176"/>
      <c r="S67" s="176"/>
      <c r="T67" s="176"/>
      <c r="U67" s="176"/>
      <c r="V67" s="176"/>
      <c r="X67" s="172"/>
      <c r="Y67" s="172"/>
      <c r="Z67" s="172"/>
      <c r="AA67" s="173"/>
    </row>
    <row r="68" spans="1:27" s="11" customFormat="1">
      <c r="A68" s="171" t="s">
        <v>984</v>
      </c>
      <c r="B68" s="172">
        <v>4016993</v>
      </c>
      <c r="C68" s="173" t="s">
        <v>502</v>
      </c>
      <c r="D68" s="173" t="s">
        <v>507</v>
      </c>
      <c r="E68" s="174">
        <v>46211</v>
      </c>
      <c r="F68" s="174">
        <v>46326</v>
      </c>
      <c r="H68" s="172">
        <v>4017339</v>
      </c>
      <c r="I68" s="172">
        <v>4017398</v>
      </c>
      <c r="J68" s="172">
        <v>4015924</v>
      </c>
      <c r="K68" s="172">
        <v>4015922</v>
      </c>
      <c r="L68" s="172">
        <v>4017424</v>
      </c>
      <c r="M68" s="172">
        <v>4017419</v>
      </c>
      <c r="N68" s="172">
        <v>4017414</v>
      </c>
      <c r="O68" s="176"/>
      <c r="P68" s="176"/>
      <c r="Q68" s="176"/>
      <c r="R68" s="176"/>
      <c r="S68" s="176"/>
      <c r="T68" s="176"/>
      <c r="U68" s="176"/>
      <c r="V68" s="176"/>
      <c r="X68" s="172"/>
      <c r="Y68" s="172"/>
      <c r="Z68" s="172"/>
      <c r="AA68" s="173"/>
    </row>
    <row r="69" spans="1:27" s="11" customFormat="1">
      <c r="A69" s="171" t="s">
        <v>984</v>
      </c>
      <c r="B69" s="172">
        <v>4017064</v>
      </c>
      <c r="C69" s="173" t="s">
        <v>502</v>
      </c>
      <c r="D69" s="173" t="s">
        <v>508</v>
      </c>
      <c r="E69" s="174">
        <v>46211</v>
      </c>
      <c r="F69" s="174">
        <v>46326</v>
      </c>
      <c r="H69" s="172">
        <v>4017339</v>
      </c>
      <c r="I69" s="172">
        <v>4017398</v>
      </c>
      <c r="J69" s="172">
        <v>4015924</v>
      </c>
      <c r="K69" s="172">
        <v>4015922</v>
      </c>
      <c r="L69" s="172">
        <v>4017424</v>
      </c>
      <c r="M69" s="172">
        <v>4017419</v>
      </c>
      <c r="N69" s="172">
        <v>4017414</v>
      </c>
      <c r="O69" s="176"/>
      <c r="P69" s="176"/>
      <c r="Q69" s="176"/>
      <c r="R69" s="176"/>
      <c r="S69" s="176"/>
      <c r="T69" s="176"/>
      <c r="U69" s="176"/>
      <c r="V69" s="176"/>
      <c r="X69" s="172"/>
      <c r="Y69" s="172"/>
      <c r="Z69" s="172"/>
      <c r="AA69" s="173"/>
    </row>
    <row r="70" spans="1:27" s="11" customFormat="1">
      <c r="A70" s="171" t="s">
        <v>985</v>
      </c>
      <c r="B70" s="172">
        <v>4016839</v>
      </c>
      <c r="C70" s="173" t="s">
        <v>601</v>
      </c>
      <c r="D70" s="173" t="s">
        <v>602</v>
      </c>
      <c r="E70" s="174">
        <v>46276</v>
      </c>
      <c r="F70" s="174">
        <v>46326</v>
      </c>
      <c r="H70" s="172">
        <v>4017785</v>
      </c>
      <c r="I70" s="172">
        <v>4017780</v>
      </c>
      <c r="J70" s="172">
        <v>4017227</v>
      </c>
      <c r="K70" s="172">
        <v>4017223</v>
      </c>
      <c r="L70" s="171">
        <v>4018151</v>
      </c>
      <c r="M70" s="171">
        <v>4018129</v>
      </c>
      <c r="N70" s="179"/>
      <c r="O70" s="179"/>
      <c r="P70" s="179"/>
      <c r="Q70" s="179"/>
      <c r="R70" s="176"/>
      <c r="S70" s="176"/>
      <c r="T70" s="176"/>
      <c r="U70" s="176"/>
      <c r="V70" s="176"/>
      <c r="X70" s="172"/>
      <c r="Y70" s="172"/>
      <c r="Z70" s="172"/>
      <c r="AA70" s="173"/>
    </row>
    <row r="71" spans="1:27" s="11" customFormat="1">
      <c r="A71" s="171" t="s">
        <v>985</v>
      </c>
      <c r="B71" s="172">
        <v>4016872</v>
      </c>
      <c r="C71" s="173" t="s">
        <v>601</v>
      </c>
      <c r="D71" s="173" t="s">
        <v>603</v>
      </c>
      <c r="E71" s="174">
        <v>46276</v>
      </c>
      <c r="F71" s="174">
        <v>46326</v>
      </c>
      <c r="H71" s="172">
        <v>4017785</v>
      </c>
      <c r="I71" s="172">
        <v>4017780</v>
      </c>
      <c r="J71" s="172">
        <v>4017227</v>
      </c>
      <c r="K71" s="172">
        <v>4017223</v>
      </c>
      <c r="L71" s="171">
        <v>4018151</v>
      </c>
      <c r="M71" s="171">
        <v>4018129</v>
      </c>
      <c r="N71" s="179"/>
      <c r="O71" s="179"/>
      <c r="P71" s="179"/>
      <c r="Q71" s="179"/>
      <c r="R71" s="176"/>
      <c r="S71" s="176"/>
      <c r="T71" s="176"/>
      <c r="U71" s="176"/>
      <c r="V71" s="176"/>
      <c r="X71" s="172"/>
      <c r="Y71" s="172"/>
      <c r="Z71" s="172"/>
      <c r="AA71" s="173"/>
    </row>
    <row r="72" spans="1:27" s="11" customFormat="1">
      <c r="A72" s="171" t="s">
        <v>985</v>
      </c>
      <c r="B72" s="172">
        <v>4016858</v>
      </c>
      <c r="C72" s="173" t="s">
        <v>601</v>
      </c>
      <c r="D72" s="173" t="s">
        <v>604</v>
      </c>
      <c r="E72" s="174">
        <v>46276</v>
      </c>
      <c r="F72" s="174">
        <v>46326</v>
      </c>
      <c r="H72" s="172">
        <v>4017785</v>
      </c>
      <c r="I72" s="172">
        <v>4017780</v>
      </c>
      <c r="J72" s="172">
        <v>4017227</v>
      </c>
      <c r="K72" s="172">
        <v>4017223</v>
      </c>
      <c r="L72" s="171">
        <v>4018151</v>
      </c>
      <c r="M72" s="171">
        <v>4018129</v>
      </c>
      <c r="N72" s="179"/>
      <c r="O72" s="179"/>
      <c r="P72" s="179"/>
      <c r="Q72" s="179"/>
      <c r="R72" s="176"/>
      <c r="S72" s="176"/>
      <c r="T72" s="176"/>
      <c r="U72" s="176"/>
      <c r="V72" s="176"/>
      <c r="X72" s="172"/>
      <c r="Y72" s="172"/>
      <c r="Z72" s="172"/>
      <c r="AA72" s="173"/>
    </row>
    <row r="73" spans="1:27" s="11" customFormat="1">
      <c r="A73" s="171" t="s">
        <v>985</v>
      </c>
      <c r="B73" s="172">
        <v>4016863</v>
      </c>
      <c r="C73" s="173" t="s">
        <v>601</v>
      </c>
      <c r="D73" s="173" t="s">
        <v>605</v>
      </c>
      <c r="E73" s="174">
        <v>46276</v>
      </c>
      <c r="F73" s="174">
        <v>46326</v>
      </c>
      <c r="H73" s="172">
        <v>4017785</v>
      </c>
      <c r="I73" s="172">
        <v>4017780</v>
      </c>
      <c r="J73" s="172">
        <v>4017227</v>
      </c>
      <c r="K73" s="172">
        <v>4017223</v>
      </c>
      <c r="L73" s="171">
        <v>4018151</v>
      </c>
      <c r="M73" s="171">
        <v>4018129</v>
      </c>
      <c r="N73" s="179"/>
      <c r="O73" s="179"/>
      <c r="P73" s="179"/>
      <c r="Q73" s="179"/>
      <c r="R73" s="176"/>
      <c r="S73" s="176"/>
      <c r="T73" s="176"/>
      <c r="U73" s="176"/>
      <c r="V73" s="176"/>
      <c r="X73" s="172"/>
      <c r="Y73" s="172"/>
      <c r="Z73" s="172"/>
      <c r="AA73" s="173"/>
    </row>
    <row r="74" spans="1:27" s="11" customFormat="1">
      <c r="A74" s="171" t="s">
        <v>985</v>
      </c>
      <c r="B74" s="172">
        <v>4016886</v>
      </c>
      <c r="C74" s="173" t="s">
        <v>601</v>
      </c>
      <c r="D74" s="173" t="s">
        <v>606</v>
      </c>
      <c r="E74" s="174">
        <v>46276</v>
      </c>
      <c r="F74" s="174">
        <v>46326</v>
      </c>
      <c r="H74" s="172">
        <v>4017785</v>
      </c>
      <c r="I74" s="172">
        <v>4017780</v>
      </c>
      <c r="J74" s="172">
        <v>4017227</v>
      </c>
      <c r="K74" s="172">
        <v>4017223</v>
      </c>
      <c r="L74" s="171">
        <v>4018151</v>
      </c>
      <c r="M74" s="171">
        <v>4018129</v>
      </c>
      <c r="N74" s="179"/>
      <c r="O74" s="179"/>
      <c r="P74" s="176"/>
      <c r="Q74" s="176"/>
      <c r="R74" s="176"/>
      <c r="S74" s="176"/>
      <c r="T74" s="176"/>
      <c r="U74" s="176"/>
      <c r="V74" s="176"/>
      <c r="X74" s="172"/>
      <c r="Y74" s="172"/>
      <c r="Z74" s="172"/>
      <c r="AA74" s="173"/>
    </row>
    <row r="75" spans="1:27" s="11" customFormat="1">
      <c r="A75" s="171" t="s">
        <v>985</v>
      </c>
      <c r="B75" s="172">
        <v>4016901</v>
      </c>
      <c r="C75" s="173" t="s">
        <v>601</v>
      </c>
      <c r="D75" s="173" t="s">
        <v>607</v>
      </c>
      <c r="E75" s="174">
        <v>46276</v>
      </c>
      <c r="F75" s="174">
        <v>46326</v>
      </c>
      <c r="H75" s="172">
        <v>4017785</v>
      </c>
      <c r="I75" s="172">
        <v>4017780</v>
      </c>
      <c r="J75" s="172">
        <v>4017227</v>
      </c>
      <c r="K75" s="172">
        <v>4017223</v>
      </c>
      <c r="L75" s="171">
        <v>4018151</v>
      </c>
      <c r="M75" s="171">
        <v>4018129</v>
      </c>
      <c r="N75" s="179"/>
      <c r="O75" s="179"/>
      <c r="P75" s="176"/>
      <c r="Q75" s="176"/>
      <c r="R75" s="176"/>
      <c r="S75" s="176"/>
      <c r="T75" s="176"/>
      <c r="U75" s="176"/>
      <c r="V75" s="176"/>
      <c r="X75" s="172"/>
      <c r="Y75" s="172"/>
      <c r="Z75" s="172"/>
      <c r="AA75" s="173"/>
    </row>
    <row r="76" spans="1:27" s="11" customFormat="1">
      <c r="A76" s="171" t="s">
        <v>985</v>
      </c>
      <c r="B76" s="172">
        <v>4016895</v>
      </c>
      <c r="C76" s="173" t="s">
        <v>601</v>
      </c>
      <c r="D76" s="173" t="s">
        <v>608</v>
      </c>
      <c r="E76" s="174">
        <v>46276</v>
      </c>
      <c r="F76" s="174">
        <v>46326</v>
      </c>
      <c r="H76" s="172">
        <v>4017785</v>
      </c>
      <c r="I76" s="172">
        <v>4017780</v>
      </c>
      <c r="J76" s="172">
        <v>4017227</v>
      </c>
      <c r="K76" s="172">
        <v>4017223</v>
      </c>
      <c r="L76" s="171">
        <v>4018151</v>
      </c>
      <c r="M76" s="171">
        <v>4018129</v>
      </c>
      <c r="N76" s="179"/>
      <c r="O76" s="179"/>
      <c r="P76" s="176"/>
      <c r="Q76" s="176"/>
      <c r="R76" s="176"/>
      <c r="S76" s="176"/>
      <c r="T76" s="176"/>
      <c r="U76" s="176"/>
      <c r="V76" s="176"/>
      <c r="X76" s="172"/>
      <c r="Y76" s="172"/>
      <c r="Z76" s="172"/>
      <c r="AA76" s="173"/>
    </row>
    <row r="77" spans="1:27" s="11" customFormat="1">
      <c r="A77" s="171" t="s">
        <v>985</v>
      </c>
      <c r="B77" s="172">
        <v>4016880</v>
      </c>
      <c r="C77" s="173" t="s">
        <v>601</v>
      </c>
      <c r="D77" s="173" t="s">
        <v>609</v>
      </c>
      <c r="E77" s="174">
        <v>46276</v>
      </c>
      <c r="F77" s="174">
        <v>46326</v>
      </c>
      <c r="H77" s="172">
        <v>4017785</v>
      </c>
      <c r="I77" s="172">
        <v>4017780</v>
      </c>
      <c r="J77" s="172">
        <v>4017227</v>
      </c>
      <c r="K77" s="172">
        <v>4017223</v>
      </c>
      <c r="L77" s="171">
        <v>4018151</v>
      </c>
      <c r="M77" s="171">
        <v>4018129</v>
      </c>
      <c r="N77" s="179"/>
      <c r="O77" s="179"/>
      <c r="P77" s="176"/>
      <c r="Q77" s="176"/>
      <c r="R77" s="176"/>
      <c r="S77" s="176"/>
      <c r="T77" s="176"/>
      <c r="U77" s="176"/>
      <c r="V77" s="176"/>
      <c r="X77" s="172"/>
      <c r="Y77" s="172"/>
      <c r="Z77" s="172"/>
      <c r="AA77" s="173"/>
    </row>
    <row r="78" spans="1:27" s="11" customFormat="1">
      <c r="A78" s="171" t="s">
        <v>985</v>
      </c>
      <c r="B78" s="172">
        <v>4016871</v>
      </c>
      <c r="C78" s="173" t="s">
        <v>610</v>
      </c>
      <c r="D78" s="173" t="s">
        <v>611</v>
      </c>
      <c r="E78" s="174">
        <v>46276</v>
      </c>
      <c r="F78" s="174">
        <v>46326</v>
      </c>
      <c r="H78" s="172">
        <v>4017227</v>
      </c>
      <c r="I78" s="172">
        <v>4017223</v>
      </c>
      <c r="J78" s="172">
        <v>4017785</v>
      </c>
      <c r="K78" s="172">
        <v>4017780</v>
      </c>
      <c r="L78" s="171">
        <v>4018151</v>
      </c>
      <c r="M78" s="171">
        <v>4018129</v>
      </c>
      <c r="N78" s="179"/>
      <c r="O78" s="179"/>
      <c r="P78" s="176"/>
      <c r="Q78" s="176"/>
      <c r="R78" s="176"/>
      <c r="S78" s="176"/>
      <c r="T78" s="176"/>
      <c r="U78" s="176"/>
      <c r="V78" s="176"/>
      <c r="X78" s="172"/>
      <c r="Y78" s="172"/>
      <c r="Z78" s="172"/>
      <c r="AA78" s="173"/>
    </row>
    <row r="79" spans="1:27" s="11" customFormat="1">
      <c r="A79" s="171" t="s">
        <v>985</v>
      </c>
      <c r="B79" s="172">
        <v>4016851</v>
      </c>
      <c r="C79" s="173" t="s">
        <v>610</v>
      </c>
      <c r="D79" s="173" t="s">
        <v>612</v>
      </c>
      <c r="E79" s="174">
        <v>46276</v>
      </c>
      <c r="F79" s="174">
        <v>46326</v>
      </c>
      <c r="H79" s="172">
        <v>4017227</v>
      </c>
      <c r="I79" s="172">
        <v>4017223</v>
      </c>
      <c r="J79" s="172">
        <v>4017785</v>
      </c>
      <c r="K79" s="172">
        <v>4017780</v>
      </c>
      <c r="L79" s="171">
        <v>4018151</v>
      </c>
      <c r="M79" s="171">
        <v>4018129</v>
      </c>
      <c r="N79" s="179"/>
      <c r="O79" s="179"/>
      <c r="P79" s="176"/>
      <c r="Q79" s="176"/>
      <c r="R79" s="176"/>
      <c r="S79" s="176"/>
      <c r="T79" s="176"/>
      <c r="U79" s="176"/>
      <c r="V79" s="176"/>
      <c r="X79" s="172"/>
      <c r="Y79" s="172"/>
      <c r="Z79" s="172"/>
      <c r="AA79" s="173"/>
    </row>
    <row r="80" spans="1:27" s="11" customFormat="1">
      <c r="A80" s="171" t="s">
        <v>985</v>
      </c>
      <c r="B80" s="172">
        <v>4016864</v>
      </c>
      <c r="C80" s="173" t="s">
        <v>610</v>
      </c>
      <c r="D80" s="173" t="s">
        <v>613</v>
      </c>
      <c r="E80" s="174">
        <v>46276</v>
      </c>
      <c r="F80" s="174">
        <v>46326</v>
      </c>
      <c r="H80" s="172">
        <v>4017227</v>
      </c>
      <c r="I80" s="172">
        <v>4017223</v>
      </c>
      <c r="J80" s="172">
        <v>4017785</v>
      </c>
      <c r="K80" s="172">
        <v>4017780</v>
      </c>
      <c r="L80" s="171">
        <v>4018151</v>
      </c>
      <c r="M80" s="171">
        <v>4018129</v>
      </c>
      <c r="N80" s="179"/>
      <c r="O80" s="179"/>
      <c r="P80" s="176"/>
      <c r="Q80" s="176"/>
      <c r="R80" s="176"/>
      <c r="S80" s="176"/>
      <c r="T80" s="176"/>
      <c r="U80" s="176"/>
      <c r="V80" s="176"/>
      <c r="X80" s="172"/>
      <c r="Y80" s="172"/>
      <c r="Z80" s="172"/>
      <c r="AA80" s="173"/>
    </row>
    <row r="81" spans="1:27" s="11" customFormat="1">
      <c r="A81" s="171" t="s">
        <v>985</v>
      </c>
      <c r="B81" s="172">
        <v>4016900</v>
      </c>
      <c r="C81" s="173" t="s">
        <v>610</v>
      </c>
      <c r="D81" s="173" t="s">
        <v>614</v>
      </c>
      <c r="E81" s="174">
        <v>46276</v>
      </c>
      <c r="F81" s="174">
        <v>46326</v>
      </c>
      <c r="H81" s="172">
        <v>4017227</v>
      </c>
      <c r="I81" s="172">
        <v>4017223</v>
      </c>
      <c r="J81" s="172">
        <v>4017785</v>
      </c>
      <c r="K81" s="172">
        <v>4017780</v>
      </c>
      <c r="L81" s="171">
        <v>4018151</v>
      </c>
      <c r="M81" s="171">
        <v>4018129</v>
      </c>
      <c r="N81" s="179"/>
      <c r="O81" s="179"/>
      <c r="P81" s="176"/>
      <c r="Q81" s="176"/>
      <c r="R81" s="176"/>
      <c r="S81" s="176"/>
      <c r="T81" s="176"/>
      <c r="U81" s="176"/>
      <c r="V81" s="176"/>
      <c r="X81" s="172"/>
      <c r="Y81" s="172"/>
      <c r="Z81" s="172"/>
      <c r="AA81" s="173"/>
    </row>
    <row r="82" spans="1:27" s="11" customFormat="1">
      <c r="A82" s="171" t="s">
        <v>985</v>
      </c>
      <c r="B82" s="172">
        <v>4016893</v>
      </c>
      <c r="C82" s="173" t="s">
        <v>610</v>
      </c>
      <c r="D82" s="173" t="s">
        <v>615</v>
      </c>
      <c r="E82" s="174">
        <v>46276</v>
      </c>
      <c r="F82" s="174">
        <v>46326</v>
      </c>
      <c r="H82" s="172">
        <v>4017227</v>
      </c>
      <c r="I82" s="172">
        <v>4017223</v>
      </c>
      <c r="J82" s="172">
        <v>4017785</v>
      </c>
      <c r="K82" s="172">
        <v>4017780</v>
      </c>
      <c r="L82" s="171">
        <v>4018151</v>
      </c>
      <c r="M82" s="171">
        <v>4018129</v>
      </c>
      <c r="N82" s="179"/>
      <c r="O82" s="179"/>
      <c r="P82" s="176"/>
      <c r="Q82" s="176"/>
      <c r="R82" s="176"/>
      <c r="S82" s="176"/>
      <c r="T82" s="176"/>
      <c r="U82" s="176"/>
      <c r="V82" s="176"/>
      <c r="X82" s="172"/>
      <c r="Y82" s="172"/>
      <c r="Z82" s="172"/>
      <c r="AA82" s="173"/>
    </row>
    <row r="83" spans="1:27" s="11" customFormat="1">
      <c r="A83" s="171" t="s">
        <v>985</v>
      </c>
      <c r="B83" s="172">
        <v>4016879</v>
      </c>
      <c r="C83" s="173" t="s">
        <v>610</v>
      </c>
      <c r="D83" s="173" t="s">
        <v>616</v>
      </c>
      <c r="E83" s="174">
        <v>46276</v>
      </c>
      <c r="F83" s="174">
        <v>46326</v>
      </c>
      <c r="H83" s="172">
        <v>4017227</v>
      </c>
      <c r="I83" s="172">
        <v>4017223</v>
      </c>
      <c r="J83" s="172">
        <v>4017785</v>
      </c>
      <c r="K83" s="172">
        <v>4017780</v>
      </c>
      <c r="L83" s="171">
        <v>4018151</v>
      </c>
      <c r="M83" s="171">
        <v>4018129</v>
      </c>
      <c r="N83" s="179"/>
      <c r="O83" s="179"/>
      <c r="P83" s="176"/>
      <c r="Q83" s="176"/>
      <c r="R83" s="176"/>
      <c r="S83" s="176"/>
      <c r="T83" s="176"/>
      <c r="U83" s="176"/>
      <c r="V83" s="176"/>
      <c r="X83" s="172"/>
      <c r="Y83" s="172"/>
      <c r="Z83" s="172"/>
      <c r="AA83" s="173"/>
    </row>
    <row r="84" spans="1:27" s="11" customFormat="1">
      <c r="A84" s="171" t="s">
        <v>985</v>
      </c>
      <c r="B84" s="172">
        <v>4016902</v>
      </c>
      <c r="C84" s="173" t="s">
        <v>617</v>
      </c>
      <c r="D84" s="173" t="s">
        <v>618</v>
      </c>
      <c r="E84" s="174">
        <v>46276</v>
      </c>
      <c r="F84" s="174">
        <v>46326</v>
      </c>
      <c r="H84" s="172">
        <v>4017227</v>
      </c>
      <c r="I84" s="172">
        <v>4017223</v>
      </c>
      <c r="J84" s="172">
        <v>4017785</v>
      </c>
      <c r="K84" s="172">
        <v>4017780</v>
      </c>
      <c r="L84" s="171">
        <v>4018151</v>
      </c>
      <c r="M84" s="171">
        <v>4018129</v>
      </c>
      <c r="N84" s="179"/>
      <c r="O84" s="179"/>
      <c r="P84" s="176"/>
      <c r="Q84" s="176"/>
      <c r="R84" s="176"/>
      <c r="S84" s="176"/>
      <c r="T84" s="176"/>
      <c r="U84" s="176"/>
      <c r="V84" s="176"/>
      <c r="X84" s="172"/>
      <c r="Y84" s="172"/>
      <c r="Z84" s="172"/>
      <c r="AA84" s="173"/>
    </row>
    <row r="85" spans="1:27" s="11" customFormat="1">
      <c r="A85" s="171" t="s">
        <v>985</v>
      </c>
      <c r="B85" s="172">
        <v>4016881</v>
      </c>
      <c r="C85" s="173" t="s">
        <v>617</v>
      </c>
      <c r="D85" s="173" t="s">
        <v>619</v>
      </c>
      <c r="E85" s="174">
        <v>46276</v>
      </c>
      <c r="F85" s="174">
        <v>46326</v>
      </c>
      <c r="H85" s="172">
        <v>4017227</v>
      </c>
      <c r="I85" s="172">
        <v>4017223</v>
      </c>
      <c r="J85" s="172">
        <v>4017785</v>
      </c>
      <c r="K85" s="172">
        <v>4017780</v>
      </c>
      <c r="L85" s="171">
        <v>4018151</v>
      </c>
      <c r="M85" s="171">
        <v>4018129</v>
      </c>
      <c r="N85" s="179"/>
      <c r="O85" s="179"/>
      <c r="P85" s="176"/>
      <c r="Q85" s="176"/>
      <c r="R85" s="176"/>
      <c r="S85" s="176"/>
      <c r="T85" s="176"/>
      <c r="U85" s="176"/>
      <c r="V85" s="176"/>
      <c r="X85" s="172"/>
      <c r="Y85" s="172"/>
      <c r="Z85" s="172"/>
      <c r="AA85" s="173"/>
    </row>
    <row r="86" spans="1:27" s="11" customFormat="1">
      <c r="A86" s="171" t="s">
        <v>985</v>
      </c>
      <c r="B86" s="172">
        <v>4016894</v>
      </c>
      <c r="C86" s="173" t="s">
        <v>617</v>
      </c>
      <c r="D86" s="173" t="s">
        <v>620</v>
      </c>
      <c r="E86" s="174">
        <v>46276</v>
      </c>
      <c r="F86" s="174">
        <v>46326</v>
      </c>
      <c r="H86" s="172">
        <v>4017227</v>
      </c>
      <c r="I86" s="172">
        <v>4017223</v>
      </c>
      <c r="J86" s="172">
        <v>4017785</v>
      </c>
      <c r="K86" s="172">
        <v>4017780</v>
      </c>
      <c r="L86" s="171">
        <v>4018151</v>
      </c>
      <c r="M86" s="171">
        <v>4018129</v>
      </c>
      <c r="N86" s="179"/>
      <c r="O86" s="179"/>
      <c r="P86" s="176"/>
      <c r="Q86" s="176"/>
      <c r="R86" s="176"/>
      <c r="S86" s="176"/>
      <c r="T86" s="176"/>
      <c r="U86" s="176"/>
      <c r="V86" s="176"/>
      <c r="X86" s="172"/>
      <c r="Y86" s="172"/>
      <c r="Z86" s="172"/>
      <c r="AA86" s="173"/>
    </row>
    <row r="87" spans="1:27" s="11" customFormat="1">
      <c r="A87" s="171" t="s">
        <v>985</v>
      </c>
      <c r="B87" s="172">
        <v>4016875</v>
      </c>
      <c r="C87" s="173" t="s">
        <v>621</v>
      </c>
      <c r="D87" s="173" t="s">
        <v>622</v>
      </c>
      <c r="E87" s="174">
        <v>46276</v>
      </c>
      <c r="F87" s="174">
        <v>46326</v>
      </c>
      <c r="H87" s="172">
        <v>4017227</v>
      </c>
      <c r="I87" s="172">
        <v>4017223</v>
      </c>
      <c r="J87" s="172">
        <v>4017785</v>
      </c>
      <c r="K87" s="172">
        <v>4017780</v>
      </c>
      <c r="L87" s="171">
        <v>4018151</v>
      </c>
      <c r="M87" s="171">
        <v>4018129</v>
      </c>
      <c r="N87" s="179"/>
      <c r="O87" s="179"/>
      <c r="P87" s="176"/>
      <c r="Q87" s="176"/>
      <c r="R87" s="176"/>
      <c r="S87" s="176"/>
      <c r="T87" s="176"/>
      <c r="U87" s="176"/>
      <c r="V87" s="176"/>
      <c r="X87" s="172"/>
      <c r="Y87" s="172"/>
      <c r="Z87" s="172"/>
      <c r="AA87" s="173"/>
    </row>
    <row r="88" spans="1:27" s="11" customFormat="1">
      <c r="A88" s="171" t="s">
        <v>985</v>
      </c>
      <c r="B88" s="172">
        <v>4016859</v>
      </c>
      <c r="C88" s="173" t="s">
        <v>621</v>
      </c>
      <c r="D88" s="173" t="s">
        <v>623</v>
      </c>
      <c r="E88" s="174">
        <v>46276</v>
      </c>
      <c r="F88" s="174">
        <v>46326</v>
      </c>
      <c r="H88" s="172">
        <v>4017227</v>
      </c>
      <c r="I88" s="172">
        <v>4017223</v>
      </c>
      <c r="J88" s="172">
        <v>4017785</v>
      </c>
      <c r="K88" s="172">
        <v>4017780</v>
      </c>
      <c r="L88" s="171">
        <v>4018151</v>
      </c>
      <c r="M88" s="171">
        <v>4018129</v>
      </c>
      <c r="N88" s="179"/>
      <c r="O88" s="179"/>
      <c r="P88" s="176"/>
      <c r="Q88" s="176"/>
      <c r="R88" s="176"/>
      <c r="S88" s="176"/>
      <c r="T88" s="176"/>
      <c r="U88" s="176"/>
      <c r="V88" s="176"/>
      <c r="X88" s="172"/>
      <c r="Y88" s="172"/>
      <c r="Z88" s="172"/>
      <c r="AA88" s="173"/>
    </row>
    <row r="89" spans="1:27" s="11" customFormat="1">
      <c r="A89" s="171" t="s">
        <v>985</v>
      </c>
      <c r="B89" s="172">
        <v>4016852</v>
      </c>
      <c r="C89" s="173" t="s">
        <v>621</v>
      </c>
      <c r="D89" s="173" t="s">
        <v>624</v>
      </c>
      <c r="E89" s="174">
        <v>46276</v>
      </c>
      <c r="F89" s="174">
        <v>46326</v>
      </c>
      <c r="H89" s="172">
        <v>4017227</v>
      </c>
      <c r="I89" s="172">
        <v>4017223</v>
      </c>
      <c r="J89" s="172">
        <v>4017785</v>
      </c>
      <c r="K89" s="172">
        <v>4017780</v>
      </c>
      <c r="L89" s="171">
        <v>4018151</v>
      </c>
      <c r="M89" s="171">
        <v>4018129</v>
      </c>
      <c r="N89" s="179"/>
      <c r="O89" s="179"/>
      <c r="P89" s="176"/>
      <c r="Q89" s="176"/>
      <c r="R89" s="176"/>
      <c r="S89" s="176"/>
      <c r="T89" s="176"/>
      <c r="U89" s="176"/>
      <c r="V89" s="176"/>
      <c r="X89" s="172"/>
      <c r="Y89" s="172"/>
      <c r="Z89" s="172"/>
      <c r="AA89" s="173"/>
    </row>
    <row r="90" spans="1:27" s="11" customFormat="1">
      <c r="A90" s="171" t="s">
        <v>985</v>
      </c>
      <c r="B90" s="172">
        <v>4016905</v>
      </c>
      <c r="C90" s="173" t="s">
        <v>621</v>
      </c>
      <c r="D90" s="173" t="s">
        <v>625</v>
      </c>
      <c r="E90" s="174">
        <v>46276</v>
      </c>
      <c r="F90" s="174">
        <v>46326</v>
      </c>
      <c r="H90" s="172">
        <v>4017227</v>
      </c>
      <c r="I90" s="172">
        <v>4017223</v>
      </c>
      <c r="J90" s="172">
        <v>4017785</v>
      </c>
      <c r="K90" s="172">
        <v>4017780</v>
      </c>
      <c r="L90" s="171">
        <v>4018151</v>
      </c>
      <c r="M90" s="171">
        <v>4018129</v>
      </c>
      <c r="N90" s="179"/>
      <c r="O90" s="179"/>
      <c r="P90" s="176"/>
      <c r="Q90" s="176"/>
      <c r="R90" s="176"/>
      <c r="S90" s="176"/>
      <c r="T90" s="176"/>
      <c r="U90" s="176"/>
      <c r="V90" s="176"/>
      <c r="X90" s="172"/>
      <c r="Y90" s="172"/>
      <c r="Z90" s="172"/>
      <c r="AA90" s="173"/>
    </row>
    <row r="91" spans="1:27" s="11" customFormat="1">
      <c r="A91" s="171" t="s">
        <v>985</v>
      </c>
      <c r="B91" s="172">
        <v>4016890</v>
      </c>
      <c r="C91" s="173" t="s">
        <v>621</v>
      </c>
      <c r="D91" s="173" t="s">
        <v>626</v>
      </c>
      <c r="E91" s="174">
        <v>46276</v>
      </c>
      <c r="F91" s="174">
        <v>46326</v>
      </c>
      <c r="H91" s="172">
        <v>4017227</v>
      </c>
      <c r="I91" s="172">
        <v>4017223</v>
      </c>
      <c r="J91" s="172">
        <v>4017785</v>
      </c>
      <c r="K91" s="172">
        <v>4017780</v>
      </c>
      <c r="L91" s="171">
        <v>4018151</v>
      </c>
      <c r="M91" s="171">
        <v>4018129</v>
      </c>
      <c r="N91" s="179"/>
      <c r="O91" s="179"/>
      <c r="P91" s="176"/>
      <c r="Q91" s="176"/>
      <c r="R91" s="176"/>
      <c r="S91" s="176"/>
      <c r="T91" s="176"/>
      <c r="U91" s="176"/>
      <c r="V91" s="176"/>
      <c r="X91" s="172"/>
      <c r="Y91" s="172"/>
      <c r="Z91" s="172"/>
      <c r="AA91" s="173"/>
    </row>
    <row r="92" spans="1:27" s="11" customFormat="1">
      <c r="A92" s="171" t="s">
        <v>985</v>
      </c>
      <c r="B92" s="172">
        <v>4016883</v>
      </c>
      <c r="C92" s="173" t="s">
        <v>621</v>
      </c>
      <c r="D92" s="173" t="s">
        <v>627</v>
      </c>
      <c r="E92" s="174">
        <v>46276</v>
      </c>
      <c r="F92" s="174">
        <v>46326</v>
      </c>
      <c r="H92" s="172">
        <v>4017227</v>
      </c>
      <c r="I92" s="172">
        <v>4017223</v>
      </c>
      <c r="J92" s="172">
        <v>4017785</v>
      </c>
      <c r="K92" s="172">
        <v>4017780</v>
      </c>
      <c r="L92" s="171">
        <v>4018151</v>
      </c>
      <c r="M92" s="171">
        <v>4018129</v>
      </c>
      <c r="N92" s="179"/>
      <c r="O92" s="179"/>
      <c r="P92" s="176"/>
      <c r="Q92" s="176"/>
      <c r="R92" s="176"/>
      <c r="S92" s="176"/>
      <c r="T92" s="176"/>
      <c r="U92" s="176"/>
      <c r="V92" s="176"/>
      <c r="X92" s="172"/>
      <c r="Y92" s="172"/>
      <c r="Z92" s="172"/>
      <c r="AA92" s="173"/>
    </row>
    <row r="93" spans="1:27" s="11" customFormat="1">
      <c r="A93" s="171" t="s">
        <v>985</v>
      </c>
      <c r="B93" s="172">
        <v>4016853</v>
      </c>
      <c r="C93" s="173" t="s">
        <v>628</v>
      </c>
      <c r="D93" s="173" t="s">
        <v>629</v>
      </c>
      <c r="E93" s="174">
        <v>46276</v>
      </c>
      <c r="F93" s="174">
        <v>46326</v>
      </c>
      <c r="H93" s="172">
        <v>4017227</v>
      </c>
      <c r="I93" s="172">
        <v>4017223</v>
      </c>
      <c r="J93" s="172">
        <v>4017785</v>
      </c>
      <c r="K93" s="172">
        <v>4017780</v>
      </c>
      <c r="L93" s="171">
        <v>4018151</v>
      </c>
      <c r="M93" s="171">
        <v>4018129</v>
      </c>
      <c r="N93" s="179"/>
      <c r="O93" s="179"/>
      <c r="P93" s="176"/>
      <c r="Q93" s="176"/>
      <c r="R93" s="176"/>
      <c r="S93" s="176"/>
      <c r="T93" s="176"/>
      <c r="U93" s="176"/>
      <c r="V93" s="176"/>
      <c r="X93" s="172"/>
      <c r="Y93" s="172"/>
      <c r="Z93" s="172"/>
      <c r="AA93" s="173"/>
    </row>
    <row r="94" spans="1:27" s="11" customFormat="1">
      <c r="A94" s="171" t="s">
        <v>985</v>
      </c>
      <c r="B94" s="172">
        <v>4016884</v>
      </c>
      <c r="C94" s="173" t="s">
        <v>628</v>
      </c>
      <c r="D94" s="173" t="s">
        <v>630</v>
      </c>
      <c r="E94" s="174">
        <v>46276</v>
      </c>
      <c r="F94" s="174">
        <v>46326</v>
      </c>
      <c r="H94" s="172">
        <v>4017227</v>
      </c>
      <c r="I94" s="172">
        <v>4017223</v>
      </c>
      <c r="J94" s="172">
        <v>4017785</v>
      </c>
      <c r="K94" s="172">
        <v>4017780</v>
      </c>
      <c r="L94" s="171">
        <v>4018151</v>
      </c>
      <c r="M94" s="171">
        <v>4018129</v>
      </c>
      <c r="N94" s="179"/>
      <c r="O94" s="179"/>
      <c r="P94" s="176"/>
      <c r="Q94" s="176"/>
      <c r="R94" s="176"/>
      <c r="S94" s="176"/>
      <c r="T94" s="176"/>
      <c r="U94" s="176"/>
      <c r="V94" s="176"/>
      <c r="X94" s="172"/>
      <c r="Y94" s="172"/>
      <c r="Z94" s="172"/>
      <c r="AA94" s="173"/>
    </row>
    <row r="95" spans="1:27" s="11" customFormat="1">
      <c r="A95" s="171" t="s">
        <v>985</v>
      </c>
      <c r="B95" s="172">
        <v>4017407</v>
      </c>
      <c r="C95" s="173" t="s">
        <v>633</v>
      </c>
      <c r="D95" s="173" t="s">
        <v>634</v>
      </c>
      <c r="E95" s="174">
        <v>46276</v>
      </c>
      <c r="F95" s="174">
        <v>46326</v>
      </c>
      <c r="H95" s="172">
        <v>4017227</v>
      </c>
      <c r="I95" s="172">
        <v>4017223</v>
      </c>
      <c r="J95" s="172">
        <v>4017785</v>
      </c>
      <c r="K95" s="172">
        <v>4017780</v>
      </c>
      <c r="L95" s="171">
        <v>4018151</v>
      </c>
      <c r="M95" s="171">
        <v>4018129</v>
      </c>
      <c r="N95" s="179"/>
      <c r="O95" s="179"/>
      <c r="P95" s="176"/>
      <c r="Q95" s="176"/>
      <c r="R95" s="176"/>
      <c r="S95" s="176"/>
      <c r="T95" s="176"/>
      <c r="U95" s="176"/>
      <c r="V95" s="176"/>
      <c r="X95" s="172"/>
      <c r="Y95" s="172"/>
      <c r="Z95" s="172"/>
      <c r="AA95" s="173"/>
    </row>
    <row r="96" spans="1:27" s="11" customFormat="1">
      <c r="A96" s="171" t="s">
        <v>985</v>
      </c>
      <c r="B96" s="172">
        <v>4017422</v>
      </c>
      <c r="C96" s="173" t="s">
        <v>633</v>
      </c>
      <c r="D96" s="173" t="s">
        <v>635</v>
      </c>
      <c r="E96" s="174">
        <v>46276</v>
      </c>
      <c r="F96" s="174">
        <v>46326</v>
      </c>
      <c r="H96" s="172">
        <v>4017227</v>
      </c>
      <c r="I96" s="172">
        <v>4017223</v>
      </c>
      <c r="J96" s="172">
        <v>4017785</v>
      </c>
      <c r="K96" s="172">
        <v>4017780</v>
      </c>
      <c r="L96" s="171">
        <v>4018151</v>
      </c>
      <c r="M96" s="171">
        <v>4018129</v>
      </c>
      <c r="N96" s="179"/>
      <c r="O96" s="179"/>
      <c r="P96" s="176"/>
      <c r="Q96" s="176"/>
      <c r="R96" s="176"/>
      <c r="S96" s="176"/>
      <c r="T96" s="176"/>
      <c r="U96" s="176"/>
      <c r="V96" s="176"/>
      <c r="X96" s="172"/>
      <c r="Y96" s="172"/>
      <c r="Z96" s="172"/>
      <c r="AA96" s="173"/>
    </row>
    <row r="97" spans="1:27" s="11" customFormat="1">
      <c r="A97" s="171" t="s">
        <v>985</v>
      </c>
      <c r="B97" s="172">
        <v>4017391</v>
      </c>
      <c r="C97" s="173" t="s">
        <v>636</v>
      </c>
      <c r="D97" s="173" t="s">
        <v>637</v>
      </c>
      <c r="E97" s="174">
        <v>46276</v>
      </c>
      <c r="F97" s="174">
        <v>46326</v>
      </c>
      <c r="H97" s="172">
        <v>4017227</v>
      </c>
      <c r="I97" s="172">
        <v>4017223</v>
      </c>
      <c r="J97" s="172">
        <v>4017785</v>
      </c>
      <c r="K97" s="172">
        <v>4017780</v>
      </c>
      <c r="L97" s="171">
        <v>4018151</v>
      </c>
      <c r="M97" s="171">
        <v>4018129</v>
      </c>
      <c r="N97" s="179"/>
      <c r="O97" s="179"/>
      <c r="P97" s="176"/>
      <c r="Q97" s="176"/>
      <c r="R97" s="176"/>
      <c r="S97" s="176"/>
      <c r="T97" s="176"/>
      <c r="U97" s="176"/>
      <c r="V97" s="176"/>
      <c r="X97" s="172"/>
      <c r="Y97" s="172"/>
      <c r="Z97" s="172"/>
      <c r="AA97" s="173"/>
    </row>
    <row r="98" spans="1:27" s="11" customFormat="1">
      <c r="A98" s="171" t="s">
        <v>985</v>
      </c>
      <c r="B98" s="172">
        <v>4017406</v>
      </c>
      <c r="C98" s="173" t="s">
        <v>636</v>
      </c>
      <c r="D98" s="173" t="s">
        <v>638</v>
      </c>
      <c r="E98" s="174">
        <v>46276</v>
      </c>
      <c r="F98" s="174">
        <v>46326</v>
      </c>
      <c r="H98" s="172">
        <v>4017227</v>
      </c>
      <c r="I98" s="172">
        <v>4017223</v>
      </c>
      <c r="J98" s="172">
        <v>4017785</v>
      </c>
      <c r="K98" s="172">
        <v>4017780</v>
      </c>
      <c r="L98" s="171">
        <v>4018151</v>
      </c>
      <c r="M98" s="171">
        <v>4018129</v>
      </c>
      <c r="N98" s="179"/>
      <c r="O98" s="179"/>
      <c r="P98" s="176"/>
      <c r="Q98" s="176"/>
      <c r="R98" s="176"/>
      <c r="S98" s="176"/>
      <c r="T98" s="176"/>
      <c r="U98" s="176"/>
      <c r="V98" s="176"/>
      <c r="X98" s="172"/>
      <c r="Y98" s="172"/>
      <c r="Z98" s="172"/>
      <c r="AA98" s="173"/>
    </row>
    <row r="99" spans="1:27" s="11" customFormat="1">
      <c r="A99" s="171" t="s">
        <v>985</v>
      </c>
      <c r="B99" s="172">
        <v>4017411</v>
      </c>
      <c r="C99" s="173" t="s">
        <v>636</v>
      </c>
      <c r="D99" s="173" t="s">
        <v>639</v>
      </c>
      <c r="E99" s="174">
        <v>46276</v>
      </c>
      <c r="F99" s="174">
        <v>46326</v>
      </c>
      <c r="H99" s="172">
        <v>4017227</v>
      </c>
      <c r="I99" s="172">
        <v>4017223</v>
      </c>
      <c r="J99" s="172">
        <v>4017785</v>
      </c>
      <c r="K99" s="172">
        <v>4017780</v>
      </c>
      <c r="L99" s="171">
        <v>4018151</v>
      </c>
      <c r="M99" s="171">
        <v>4018129</v>
      </c>
      <c r="N99" s="179"/>
      <c r="O99" s="179"/>
      <c r="P99" s="176"/>
      <c r="Q99" s="176"/>
      <c r="R99" s="176"/>
      <c r="S99" s="176"/>
      <c r="T99" s="176"/>
      <c r="U99" s="176"/>
      <c r="V99" s="176"/>
      <c r="X99" s="172"/>
      <c r="Y99" s="172"/>
      <c r="Z99" s="172"/>
      <c r="AA99" s="173"/>
    </row>
    <row r="100" spans="1:27" s="11" customFormat="1">
      <c r="A100" s="171" t="s">
        <v>985</v>
      </c>
      <c r="B100" s="172">
        <v>4017421</v>
      </c>
      <c r="C100" s="173" t="s">
        <v>636</v>
      </c>
      <c r="D100" s="173" t="s">
        <v>640</v>
      </c>
      <c r="E100" s="174">
        <v>46276</v>
      </c>
      <c r="F100" s="174">
        <v>46326</v>
      </c>
      <c r="H100" s="172">
        <v>4017227</v>
      </c>
      <c r="I100" s="172">
        <v>4017223</v>
      </c>
      <c r="J100" s="172">
        <v>4017785</v>
      </c>
      <c r="K100" s="172">
        <v>4017780</v>
      </c>
      <c r="L100" s="171">
        <v>4018151</v>
      </c>
      <c r="M100" s="171">
        <v>4018129</v>
      </c>
      <c r="N100" s="179"/>
      <c r="O100" s="179"/>
      <c r="P100" s="176"/>
      <c r="Q100" s="176"/>
      <c r="R100" s="176"/>
      <c r="S100" s="176"/>
      <c r="T100" s="176"/>
      <c r="U100" s="176"/>
      <c r="V100" s="176"/>
      <c r="X100" s="172"/>
      <c r="Y100" s="172"/>
      <c r="Z100" s="172"/>
      <c r="AA100" s="173"/>
    </row>
    <row r="101" spans="1:27" s="11" customFormat="1">
      <c r="A101" s="171" t="s">
        <v>985</v>
      </c>
      <c r="B101" s="172">
        <v>4017416</v>
      </c>
      <c r="C101" s="173" t="s">
        <v>636</v>
      </c>
      <c r="D101" s="173" t="s">
        <v>641</v>
      </c>
      <c r="E101" s="174">
        <v>46276</v>
      </c>
      <c r="F101" s="174">
        <v>46326</v>
      </c>
      <c r="H101" s="172">
        <v>4017227</v>
      </c>
      <c r="I101" s="172">
        <v>4017223</v>
      </c>
      <c r="J101" s="172">
        <v>4017785</v>
      </c>
      <c r="K101" s="172">
        <v>4017780</v>
      </c>
      <c r="L101" s="171">
        <v>4018151</v>
      </c>
      <c r="M101" s="171">
        <v>4018129</v>
      </c>
      <c r="N101" s="179"/>
      <c r="O101" s="179"/>
      <c r="P101" s="176"/>
      <c r="Q101" s="176"/>
      <c r="R101" s="176"/>
      <c r="S101" s="176"/>
      <c r="T101" s="176"/>
      <c r="U101" s="176"/>
      <c r="V101" s="176"/>
      <c r="X101" s="172"/>
      <c r="Y101" s="172"/>
      <c r="Z101" s="172"/>
      <c r="AA101" s="173"/>
    </row>
    <row r="102" spans="1:27" s="11" customFormat="1">
      <c r="A102" s="171" t="s">
        <v>986</v>
      </c>
      <c r="B102" s="172">
        <v>4016974</v>
      </c>
      <c r="C102" s="173" t="s">
        <v>473</v>
      </c>
      <c r="D102" s="173" t="s">
        <v>474</v>
      </c>
      <c r="E102" s="174">
        <v>46211</v>
      </c>
      <c r="F102" s="174">
        <v>46326</v>
      </c>
      <c r="H102" s="172">
        <v>4017339</v>
      </c>
      <c r="I102" s="172">
        <v>4017398</v>
      </c>
      <c r="J102" s="172">
        <v>4015924</v>
      </c>
      <c r="K102" s="172">
        <v>4015922</v>
      </c>
      <c r="L102" s="172">
        <v>4017424</v>
      </c>
      <c r="M102" s="172">
        <v>4017419</v>
      </c>
      <c r="N102" s="172">
        <v>4017414</v>
      </c>
      <c r="O102" s="172"/>
      <c r="P102" s="172"/>
      <c r="Q102" s="172"/>
      <c r="R102" s="172"/>
      <c r="S102" s="176"/>
      <c r="T102" s="176"/>
      <c r="U102" s="176"/>
      <c r="V102" s="176"/>
      <c r="X102" s="172"/>
      <c r="Y102" s="172"/>
      <c r="Z102" s="172"/>
      <c r="AA102" s="173"/>
    </row>
    <row r="103" spans="1:27" s="11" customFormat="1">
      <c r="A103" s="171" t="s">
        <v>986</v>
      </c>
      <c r="B103" s="172">
        <v>4016989</v>
      </c>
      <c r="C103" s="173" t="s">
        <v>473</v>
      </c>
      <c r="D103" s="173" t="s">
        <v>475</v>
      </c>
      <c r="E103" s="174">
        <v>46211</v>
      </c>
      <c r="F103" s="174">
        <v>46326</v>
      </c>
      <c r="H103" s="172">
        <v>4017339</v>
      </c>
      <c r="I103" s="172">
        <v>4017398</v>
      </c>
      <c r="J103" s="172">
        <v>4015924</v>
      </c>
      <c r="K103" s="172">
        <v>4015922</v>
      </c>
      <c r="L103" s="172">
        <v>4017424</v>
      </c>
      <c r="M103" s="172">
        <v>4017419</v>
      </c>
      <c r="N103" s="172">
        <v>4017414</v>
      </c>
      <c r="O103" s="172"/>
      <c r="P103" s="172"/>
      <c r="Q103" s="172"/>
      <c r="R103" s="172"/>
      <c r="S103" s="176"/>
      <c r="T103" s="176"/>
      <c r="U103" s="176"/>
      <c r="V103" s="176"/>
      <c r="X103" s="172"/>
      <c r="Y103" s="172"/>
      <c r="Z103" s="172"/>
      <c r="AA103" s="173"/>
    </row>
    <row r="104" spans="1:27" s="11" customFormat="1">
      <c r="A104" s="171" t="s">
        <v>986</v>
      </c>
      <c r="B104" s="172">
        <v>4016978</v>
      </c>
      <c r="C104" s="173" t="s">
        <v>473</v>
      </c>
      <c r="D104" s="173" t="s">
        <v>476</v>
      </c>
      <c r="E104" s="174">
        <v>46211</v>
      </c>
      <c r="F104" s="174">
        <v>46326</v>
      </c>
      <c r="H104" s="172">
        <v>4017339</v>
      </c>
      <c r="I104" s="172">
        <v>4017398</v>
      </c>
      <c r="J104" s="172">
        <v>4015924</v>
      </c>
      <c r="K104" s="172">
        <v>4015922</v>
      </c>
      <c r="L104" s="172">
        <v>4017424</v>
      </c>
      <c r="M104" s="172">
        <v>4017419</v>
      </c>
      <c r="N104" s="172">
        <v>4017414</v>
      </c>
      <c r="O104" s="172"/>
      <c r="P104" s="172"/>
      <c r="Q104" s="172"/>
      <c r="R104" s="172"/>
      <c r="S104" s="176"/>
      <c r="T104" s="176"/>
      <c r="U104" s="176"/>
      <c r="V104" s="176"/>
      <c r="X104" s="172"/>
      <c r="Y104" s="172"/>
      <c r="Z104" s="172"/>
      <c r="AA104" s="173"/>
    </row>
    <row r="105" spans="1:27" s="11" customFormat="1">
      <c r="A105" s="171" t="s">
        <v>986</v>
      </c>
      <c r="B105" s="172">
        <v>4016994</v>
      </c>
      <c r="C105" s="173" t="s">
        <v>473</v>
      </c>
      <c r="D105" s="173" t="s">
        <v>477</v>
      </c>
      <c r="E105" s="174">
        <v>46211</v>
      </c>
      <c r="F105" s="174">
        <v>46326</v>
      </c>
      <c r="H105" s="172">
        <v>4017339</v>
      </c>
      <c r="I105" s="172">
        <v>4017398</v>
      </c>
      <c r="J105" s="172">
        <v>4015924</v>
      </c>
      <c r="K105" s="172">
        <v>4015922</v>
      </c>
      <c r="L105" s="172">
        <v>4017424</v>
      </c>
      <c r="M105" s="172">
        <v>4017419</v>
      </c>
      <c r="N105" s="172">
        <v>4017414</v>
      </c>
      <c r="O105" s="172"/>
      <c r="P105" s="172"/>
      <c r="Q105" s="172"/>
      <c r="R105" s="172"/>
      <c r="S105" s="176"/>
      <c r="T105" s="176"/>
      <c r="U105" s="176"/>
      <c r="V105" s="176"/>
      <c r="X105" s="172"/>
      <c r="Y105" s="172"/>
      <c r="Z105" s="172"/>
      <c r="AA105" s="173"/>
    </row>
    <row r="106" spans="1:27" s="11" customFormat="1">
      <c r="A106" s="171" t="s">
        <v>986</v>
      </c>
      <c r="B106" s="172">
        <v>4017060</v>
      </c>
      <c r="C106" s="173" t="s">
        <v>473</v>
      </c>
      <c r="D106" s="173" t="s">
        <v>478</v>
      </c>
      <c r="E106" s="174">
        <v>46211</v>
      </c>
      <c r="F106" s="174">
        <v>46326</v>
      </c>
      <c r="H106" s="172">
        <v>4017339</v>
      </c>
      <c r="I106" s="172">
        <v>4017398</v>
      </c>
      <c r="J106" s="172">
        <v>4015924</v>
      </c>
      <c r="K106" s="172">
        <v>4015922</v>
      </c>
      <c r="L106" s="172">
        <v>4017424</v>
      </c>
      <c r="M106" s="172">
        <v>4017419</v>
      </c>
      <c r="N106" s="172">
        <v>4017414</v>
      </c>
      <c r="O106" s="172"/>
      <c r="P106" s="172"/>
      <c r="Q106" s="172"/>
      <c r="R106" s="172"/>
      <c r="S106" s="176"/>
      <c r="T106" s="176"/>
      <c r="U106" s="176"/>
      <c r="V106" s="176"/>
      <c r="X106" s="172"/>
      <c r="Y106" s="172"/>
      <c r="Z106" s="172"/>
      <c r="AA106" s="173"/>
    </row>
    <row r="107" spans="1:27" s="11" customFormat="1">
      <c r="A107" s="171" t="s">
        <v>986</v>
      </c>
      <c r="B107" s="172">
        <v>4017063</v>
      </c>
      <c r="C107" s="173" t="s">
        <v>473</v>
      </c>
      <c r="D107" s="173" t="s">
        <v>479</v>
      </c>
      <c r="E107" s="174">
        <v>46211</v>
      </c>
      <c r="F107" s="174">
        <v>46326</v>
      </c>
      <c r="H107" s="172">
        <v>4017339</v>
      </c>
      <c r="I107" s="172">
        <v>4017398</v>
      </c>
      <c r="J107" s="172">
        <v>4015924</v>
      </c>
      <c r="K107" s="172">
        <v>4015922</v>
      </c>
      <c r="L107" s="172">
        <v>4017424</v>
      </c>
      <c r="M107" s="172">
        <v>4017419</v>
      </c>
      <c r="N107" s="172">
        <v>4017414</v>
      </c>
      <c r="O107" s="172"/>
      <c r="P107" s="172"/>
      <c r="Q107" s="172"/>
      <c r="R107" s="172"/>
      <c r="S107" s="176"/>
      <c r="T107" s="176"/>
      <c r="U107" s="176"/>
      <c r="V107" s="176"/>
      <c r="X107" s="172"/>
      <c r="Y107" s="172"/>
      <c r="Z107" s="172"/>
      <c r="AA107" s="173"/>
    </row>
    <row r="108" spans="1:27" s="11" customFormat="1">
      <c r="A108" s="171" t="s">
        <v>987</v>
      </c>
      <c r="B108" s="172">
        <v>4018080</v>
      </c>
      <c r="C108" s="173" t="s">
        <v>696</v>
      </c>
      <c r="D108" s="173" t="s">
        <v>696</v>
      </c>
      <c r="E108" s="174">
        <v>46255</v>
      </c>
      <c r="F108" s="174">
        <v>46326</v>
      </c>
      <c r="H108" s="172">
        <v>4018151</v>
      </c>
      <c r="I108" s="172">
        <v>4018129</v>
      </c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X108" s="172"/>
      <c r="Y108" s="172"/>
      <c r="Z108" s="172"/>
      <c r="AA108" s="173"/>
    </row>
    <row r="109" spans="1:27" s="11" customFormat="1">
      <c r="A109" s="171" t="s">
        <v>987</v>
      </c>
      <c r="B109" s="172">
        <v>4018086</v>
      </c>
      <c r="C109" s="173" t="s">
        <v>697</v>
      </c>
      <c r="D109" s="173" t="s">
        <v>697</v>
      </c>
      <c r="E109" s="174">
        <v>46255</v>
      </c>
      <c r="F109" s="174">
        <v>46326</v>
      </c>
      <c r="H109" s="172">
        <v>4018151</v>
      </c>
      <c r="I109" s="172">
        <v>4018129</v>
      </c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X109" s="172"/>
      <c r="Y109" s="172"/>
      <c r="Z109" s="172"/>
      <c r="AA109" s="173"/>
    </row>
    <row r="110" spans="1:27" s="11" customFormat="1">
      <c r="A110" s="171" t="s">
        <v>987</v>
      </c>
      <c r="B110" s="172">
        <v>4018097</v>
      </c>
      <c r="C110" s="173" t="s">
        <v>699</v>
      </c>
      <c r="D110" s="173" t="s">
        <v>699</v>
      </c>
      <c r="E110" s="174">
        <v>46255</v>
      </c>
      <c r="F110" s="174">
        <v>46326</v>
      </c>
      <c r="H110" s="172">
        <v>4018151</v>
      </c>
      <c r="I110" s="172">
        <v>4018129</v>
      </c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X110" s="172"/>
      <c r="Y110" s="172"/>
      <c r="Z110" s="172"/>
      <c r="AA110" s="173"/>
    </row>
    <row r="111" spans="1:27" s="11" customFormat="1">
      <c r="A111" s="171" t="s">
        <v>987</v>
      </c>
      <c r="B111" s="172">
        <v>4018101</v>
      </c>
      <c r="C111" s="173" t="s">
        <v>700</v>
      </c>
      <c r="D111" s="173" t="s">
        <v>700</v>
      </c>
      <c r="E111" s="174">
        <v>46255</v>
      </c>
      <c r="F111" s="174">
        <v>46326</v>
      </c>
      <c r="H111" s="172">
        <v>4018151</v>
      </c>
      <c r="I111" s="172">
        <v>4018129</v>
      </c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X111" s="172"/>
      <c r="Y111" s="172"/>
      <c r="Z111" s="172"/>
      <c r="AA111" s="173"/>
    </row>
    <row r="112" spans="1:27" s="11" customFormat="1">
      <c r="A112" s="171" t="s">
        <v>987</v>
      </c>
      <c r="B112" s="172">
        <v>4018047</v>
      </c>
      <c r="C112" s="173" t="s">
        <v>714</v>
      </c>
      <c r="D112" s="173" t="s">
        <v>714</v>
      </c>
      <c r="E112" s="174">
        <v>46255</v>
      </c>
      <c r="F112" s="174">
        <v>46326</v>
      </c>
      <c r="H112" s="172">
        <v>4018151</v>
      </c>
      <c r="I112" s="172">
        <v>4018129</v>
      </c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X112" s="172"/>
      <c r="Y112" s="172"/>
      <c r="Z112" s="172"/>
      <c r="AA112" s="173"/>
    </row>
    <row r="113" spans="1:27" s="11" customFormat="1">
      <c r="A113" s="171" t="s">
        <v>987</v>
      </c>
      <c r="B113" s="172">
        <v>4018082</v>
      </c>
      <c r="C113" s="173" t="s">
        <v>715</v>
      </c>
      <c r="D113" s="173" t="s">
        <v>715</v>
      </c>
      <c r="E113" s="174">
        <v>46255</v>
      </c>
      <c r="F113" s="174">
        <v>46326</v>
      </c>
      <c r="H113" s="172">
        <v>4018151</v>
      </c>
      <c r="I113" s="172">
        <v>4018129</v>
      </c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X113" s="172"/>
      <c r="Y113" s="172"/>
      <c r="Z113" s="172"/>
      <c r="AA113" s="173"/>
    </row>
    <row r="114" spans="1:27" s="11" customFormat="1">
      <c r="A114" s="171" t="s">
        <v>987</v>
      </c>
      <c r="B114" s="172">
        <v>4018094</v>
      </c>
      <c r="C114" s="173" t="s">
        <v>717</v>
      </c>
      <c r="D114" s="173" t="s">
        <v>717</v>
      </c>
      <c r="E114" s="174">
        <v>46255</v>
      </c>
      <c r="F114" s="174">
        <v>46326</v>
      </c>
      <c r="H114" s="172">
        <v>4018151</v>
      </c>
      <c r="I114" s="172">
        <v>4018129</v>
      </c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X114" s="172"/>
      <c r="Y114" s="172"/>
      <c r="Z114" s="172"/>
      <c r="AA114" s="173"/>
    </row>
    <row r="115" spans="1:27" s="11" customFormat="1">
      <c r="A115" s="171" t="s">
        <v>987</v>
      </c>
      <c r="B115" s="172">
        <v>4018098</v>
      </c>
      <c r="C115" s="173" t="s">
        <v>718</v>
      </c>
      <c r="D115" s="173" t="s">
        <v>718</v>
      </c>
      <c r="E115" s="174">
        <v>46255</v>
      </c>
      <c r="F115" s="174">
        <v>46326</v>
      </c>
      <c r="H115" s="172">
        <v>4018151</v>
      </c>
      <c r="I115" s="172">
        <v>4018129</v>
      </c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X115" s="172"/>
      <c r="Y115" s="172"/>
      <c r="Z115" s="172"/>
      <c r="AA115" s="173"/>
    </row>
    <row r="116" spans="1:27" s="11" customFormat="1">
      <c r="A116" s="171" t="s">
        <v>987</v>
      </c>
      <c r="B116" s="172">
        <v>4018085</v>
      </c>
      <c r="C116" s="173" t="s">
        <v>708</v>
      </c>
      <c r="D116" s="173" t="s">
        <v>708</v>
      </c>
      <c r="E116" s="174">
        <v>46255</v>
      </c>
      <c r="F116" s="174">
        <v>46326</v>
      </c>
      <c r="H116" s="172">
        <v>4018151</v>
      </c>
      <c r="I116" s="172">
        <v>4018129</v>
      </c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X116" s="172"/>
      <c r="Y116" s="172"/>
      <c r="Z116" s="172"/>
      <c r="AA116" s="173"/>
    </row>
    <row r="117" spans="1:27" s="11" customFormat="1">
      <c r="A117" s="171" t="s">
        <v>987</v>
      </c>
      <c r="B117" s="172">
        <v>4018049</v>
      </c>
      <c r="C117" s="173" t="s">
        <v>709</v>
      </c>
      <c r="D117" s="173" t="s">
        <v>709</v>
      </c>
      <c r="E117" s="174">
        <v>46255</v>
      </c>
      <c r="F117" s="174">
        <v>46326</v>
      </c>
      <c r="H117" s="172">
        <v>4018151</v>
      </c>
      <c r="I117" s="172">
        <v>4018129</v>
      </c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X117" s="172"/>
      <c r="Y117" s="172"/>
      <c r="Z117" s="172"/>
      <c r="AA117" s="173"/>
    </row>
    <row r="118" spans="1:27" s="11" customFormat="1">
      <c r="A118" s="171" t="s">
        <v>987</v>
      </c>
      <c r="B118" s="172">
        <v>4018100</v>
      </c>
      <c r="C118" s="173" t="s">
        <v>711</v>
      </c>
      <c r="D118" s="173" t="s">
        <v>711</v>
      </c>
      <c r="E118" s="174">
        <v>46255</v>
      </c>
      <c r="F118" s="174">
        <v>46326</v>
      </c>
      <c r="H118" s="172">
        <v>4018151</v>
      </c>
      <c r="I118" s="172">
        <v>4018129</v>
      </c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X118" s="172"/>
      <c r="Y118" s="172"/>
      <c r="Z118" s="172"/>
      <c r="AA118" s="173"/>
    </row>
    <row r="119" spans="1:27" s="11" customFormat="1">
      <c r="A119" s="171" t="s">
        <v>987</v>
      </c>
      <c r="B119" s="172">
        <v>4018096</v>
      </c>
      <c r="C119" s="173" t="s">
        <v>712</v>
      </c>
      <c r="D119" s="173" t="s">
        <v>712</v>
      </c>
      <c r="E119" s="174">
        <v>46255</v>
      </c>
      <c r="F119" s="174">
        <v>46326</v>
      </c>
      <c r="H119" s="172">
        <v>4018151</v>
      </c>
      <c r="I119" s="172">
        <v>4018129</v>
      </c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X119" s="172"/>
      <c r="Y119" s="172"/>
      <c r="Z119" s="172"/>
      <c r="AA119" s="173"/>
    </row>
    <row r="120" spans="1:27" s="11" customFormat="1">
      <c r="A120" s="171" t="s">
        <v>988</v>
      </c>
      <c r="B120" s="172">
        <v>4017353</v>
      </c>
      <c r="C120" s="173" t="s">
        <v>897</v>
      </c>
      <c r="D120" s="173" t="s">
        <v>898</v>
      </c>
      <c r="E120" s="174">
        <v>46295</v>
      </c>
      <c r="F120" s="174">
        <v>46308</v>
      </c>
      <c r="H120" s="172">
        <v>4018040</v>
      </c>
      <c r="I120" s="176">
        <v>4017939</v>
      </c>
      <c r="J120" s="176">
        <v>4017938</v>
      </c>
      <c r="K120" s="176">
        <v>4018041</v>
      </c>
      <c r="L120" s="176">
        <v>4016494</v>
      </c>
      <c r="M120" s="176">
        <v>4016340</v>
      </c>
      <c r="N120" s="176">
        <v>4017140</v>
      </c>
      <c r="O120" s="176">
        <v>4016959</v>
      </c>
      <c r="P120" s="176"/>
      <c r="Q120" s="176"/>
      <c r="R120" s="176"/>
      <c r="S120" s="176"/>
      <c r="T120" s="176"/>
      <c r="U120" s="176"/>
      <c r="V120" s="176"/>
      <c r="X120" s="172"/>
      <c r="Y120" s="172"/>
      <c r="Z120" s="172"/>
      <c r="AA120" s="173"/>
    </row>
    <row r="121" spans="1:27" s="11" customFormat="1">
      <c r="A121" s="171" t="s">
        <v>988</v>
      </c>
      <c r="B121" s="172">
        <v>4016511</v>
      </c>
      <c r="C121" s="173" t="s">
        <v>899</v>
      </c>
      <c r="D121" s="173" t="s">
        <v>900</v>
      </c>
      <c r="E121" s="174">
        <v>46295</v>
      </c>
      <c r="F121" s="174">
        <v>46308</v>
      </c>
      <c r="H121" s="172">
        <v>4018040</v>
      </c>
      <c r="I121" s="176">
        <v>4017939</v>
      </c>
      <c r="J121" s="176">
        <v>4017938</v>
      </c>
      <c r="K121" s="176">
        <v>4018041</v>
      </c>
      <c r="L121" s="176">
        <v>4016494</v>
      </c>
      <c r="M121" s="176">
        <v>4016340</v>
      </c>
      <c r="N121" s="176">
        <v>4017140</v>
      </c>
      <c r="O121" s="176">
        <v>4016959</v>
      </c>
      <c r="P121" s="176"/>
      <c r="Q121" s="176"/>
      <c r="R121" s="176"/>
      <c r="S121" s="176"/>
      <c r="T121" s="176"/>
      <c r="U121" s="176"/>
      <c r="V121" s="176"/>
      <c r="X121" s="172"/>
      <c r="Y121" s="172"/>
      <c r="Z121" s="172"/>
      <c r="AA121" s="173"/>
    </row>
    <row r="122" spans="1:27" s="11" customFormat="1">
      <c r="A122" s="171" t="s">
        <v>988</v>
      </c>
      <c r="B122" s="172">
        <v>4016960</v>
      </c>
      <c r="C122" s="173" t="s">
        <v>901</v>
      </c>
      <c r="D122" s="173" t="s">
        <v>902</v>
      </c>
      <c r="E122" s="174">
        <v>46295</v>
      </c>
      <c r="F122" s="174">
        <v>46308</v>
      </c>
      <c r="H122" s="172">
        <v>4018040</v>
      </c>
      <c r="I122" s="176">
        <v>4017939</v>
      </c>
      <c r="J122" s="176">
        <v>4017938</v>
      </c>
      <c r="K122" s="176">
        <v>4018041</v>
      </c>
      <c r="L122" s="176">
        <v>4016494</v>
      </c>
      <c r="M122" s="176">
        <v>4016340</v>
      </c>
      <c r="N122" s="176">
        <v>4017140</v>
      </c>
      <c r="O122" s="176">
        <v>4016959</v>
      </c>
      <c r="P122" s="176"/>
      <c r="Q122" s="176"/>
      <c r="R122" s="176"/>
      <c r="S122" s="176"/>
      <c r="T122" s="176"/>
      <c r="U122" s="176"/>
      <c r="V122" s="176"/>
      <c r="X122" s="172"/>
      <c r="Y122" s="172"/>
      <c r="Z122" s="172"/>
      <c r="AA122" s="173"/>
    </row>
    <row r="123" spans="1:27" s="11" customFormat="1">
      <c r="A123" s="171" t="s">
        <v>988</v>
      </c>
      <c r="B123" s="172">
        <v>4017129</v>
      </c>
      <c r="C123" s="173" t="s">
        <v>903</v>
      </c>
      <c r="D123" s="173" t="s">
        <v>904</v>
      </c>
      <c r="E123" s="174">
        <v>46295</v>
      </c>
      <c r="F123" s="174">
        <v>46308</v>
      </c>
      <c r="H123" s="172">
        <v>4018040</v>
      </c>
      <c r="I123" s="176">
        <v>4017939</v>
      </c>
      <c r="J123" s="176">
        <v>4017938</v>
      </c>
      <c r="K123" s="176">
        <v>4018041</v>
      </c>
      <c r="L123" s="176">
        <v>4016494</v>
      </c>
      <c r="M123" s="176">
        <v>4016340</v>
      </c>
      <c r="N123" s="176">
        <v>4017140</v>
      </c>
      <c r="O123" s="176">
        <v>4016959</v>
      </c>
      <c r="P123" s="176"/>
      <c r="Q123" s="176"/>
      <c r="R123" s="176"/>
      <c r="S123" s="176"/>
      <c r="T123" s="176"/>
      <c r="U123" s="176"/>
      <c r="V123" s="176"/>
      <c r="X123" s="172"/>
      <c r="Y123" s="172"/>
      <c r="Z123" s="172"/>
      <c r="AA123" s="173"/>
    </row>
    <row r="124" spans="1:27" s="11" customFormat="1">
      <c r="A124" s="171" t="s">
        <v>988</v>
      </c>
      <c r="B124" s="172">
        <v>4016309</v>
      </c>
      <c r="C124" s="173" t="s">
        <v>905</v>
      </c>
      <c r="D124" s="173" t="s">
        <v>906</v>
      </c>
      <c r="E124" s="174">
        <v>46295</v>
      </c>
      <c r="F124" s="174">
        <v>46308</v>
      </c>
      <c r="H124" s="172">
        <v>4018040</v>
      </c>
      <c r="I124" s="176">
        <v>4017939</v>
      </c>
      <c r="J124" s="176">
        <v>4017938</v>
      </c>
      <c r="K124" s="176">
        <v>4018041</v>
      </c>
      <c r="L124" s="176">
        <v>4016494</v>
      </c>
      <c r="M124" s="176">
        <v>4016340</v>
      </c>
      <c r="N124" s="176">
        <v>4017140</v>
      </c>
      <c r="O124" s="176">
        <v>4016959</v>
      </c>
      <c r="P124" s="176"/>
      <c r="Q124" s="176"/>
      <c r="R124" s="176"/>
      <c r="S124" s="176"/>
      <c r="T124" s="176"/>
      <c r="U124" s="176"/>
      <c r="V124" s="176"/>
      <c r="X124" s="172"/>
      <c r="Y124" s="172"/>
      <c r="Z124" s="172"/>
      <c r="AA124" s="173"/>
    </row>
    <row r="125" spans="1:27" s="11" customFormat="1">
      <c r="A125" s="171" t="s">
        <v>988</v>
      </c>
      <c r="B125" s="172">
        <v>4016958</v>
      </c>
      <c r="C125" s="173" t="s">
        <v>907</v>
      </c>
      <c r="D125" s="173" t="s">
        <v>908</v>
      </c>
      <c r="E125" s="174">
        <v>46295</v>
      </c>
      <c r="F125" s="174">
        <v>46308</v>
      </c>
      <c r="H125" s="172">
        <v>4018040</v>
      </c>
      <c r="I125" s="176">
        <v>4017939</v>
      </c>
      <c r="J125" s="176">
        <v>4017938</v>
      </c>
      <c r="K125" s="176">
        <v>4018041</v>
      </c>
      <c r="L125" s="176">
        <v>4016494</v>
      </c>
      <c r="M125" s="176">
        <v>4016340</v>
      </c>
      <c r="N125" s="176">
        <v>4017140</v>
      </c>
      <c r="O125" s="176">
        <v>4016959</v>
      </c>
      <c r="P125" s="176"/>
      <c r="Q125" s="176"/>
      <c r="R125" s="176"/>
      <c r="S125" s="176"/>
      <c r="T125" s="176"/>
      <c r="U125" s="176"/>
      <c r="V125" s="176"/>
      <c r="X125" s="172"/>
      <c r="Y125" s="172"/>
      <c r="Z125" s="172"/>
      <c r="AA125" s="173"/>
    </row>
    <row r="126" spans="1:27" s="11" customFormat="1">
      <c r="A126" s="171" t="s">
        <v>988</v>
      </c>
      <c r="B126" s="172">
        <v>4017128</v>
      </c>
      <c r="C126" s="173" t="s">
        <v>909</v>
      </c>
      <c r="D126" s="173" t="s">
        <v>910</v>
      </c>
      <c r="E126" s="174">
        <v>46295</v>
      </c>
      <c r="F126" s="174">
        <v>46308</v>
      </c>
      <c r="H126" s="172">
        <v>4018040</v>
      </c>
      <c r="I126" s="176">
        <v>4017939</v>
      </c>
      <c r="J126" s="176">
        <v>4017938</v>
      </c>
      <c r="K126" s="176">
        <v>4018041</v>
      </c>
      <c r="L126" s="176">
        <v>4016494</v>
      </c>
      <c r="M126" s="176">
        <v>4016340</v>
      </c>
      <c r="N126" s="176">
        <v>4017140</v>
      </c>
      <c r="O126" s="176">
        <v>4016959</v>
      </c>
      <c r="P126" s="176"/>
      <c r="Q126" s="176"/>
      <c r="R126" s="176"/>
      <c r="S126" s="176"/>
      <c r="T126" s="176"/>
      <c r="U126" s="176"/>
      <c r="V126" s="176"/>
      <c r="X126" s="172"/>
      <c r="Y126" s="172"/>
      <c r="Z126" s="172"/>
      <c r="AA126" s="173"/>
    </row>
    <row r="127" spans="1:27" s="11" customFormat="1">
      <c r="A127" s="171" t="s">
        <v>988</v>
      </c>
      <c r="B127" s="172">
        <v>4017326</v>
      </c>
      <c r="C127" s="173" t="s">
        <v>911</v>
      </c>
      <c r="D127" s="173" t="s">
        <v>912</v>
      </c>
      <c r="E127" s="174">
        <v>46295</v>
      </c>
      <c r="F127" s="174">
        <v>46308</v>
      </c>
      <c r="H127" s="172">
        <v>4018040</v>
      </c>
      <c r="I127" s="176">
        <v>4017939</v>
      </c>
      <c r="J127" s="176">
        <v>4017938</v>
      </c>
      <c r="K127" s="176">
        <v>4018041</v>
      </c>
      <c r="L127" s="176">
        <v>4016494</v>
      </c>
      <c r="M127" s="176">
        <v>4016340</v>
      </c>
      <c r="N127" s="176">
        <v>4017140</v>
      </c>
      <c r="O127" s="176">
        <v>4016959</v>
      </c>
      <c r="P127" s="176"/>
      <c r="Q127" s="176"/>
      <c r="R127" s="176"/>
      <c r="S127" s="176"/>
      <c r="T127" s="176"/>
      <c r="U127" s="176"/>
      <c r="V127" s="176"/>
      <c r="X127" s="172"/>
      <c r="Y127" s="172"/>
      <c r="Z127" s="172"/>
      <c r="AA127" s="173"/>
    </row>
    <row r="128" spans="1:27" s="11" customFormat="1">
      <c r="A128" s="171"/>
      <c r="B128" s="172"/>
      <c r="C128" s="173"/>
      <c r="D128" s="173"/>
      <c r="E128" s="174"/>
      <c r="F128" s="174"/>
      <c r="H128" s="172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X128" s="172"/>
      <c r="Y128" s="172"/>
      <c r="Z128" s="172"/>
      <c r="AA128" s="173"/>
    </row>
    <row r="129" spans="1:27" s="11" customFormat="1">
      <c r="A129" s="171"/>
      <c r="B129" s="172"/>
      <c r="C129" s="173"/>
      <c r="D129" s="173"/>
      <c r="E129" s="174"/>
      <c r="F129" s="174"/>
      <c r="H129" s="172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X129" s="172"/>
      <c r="Y129" s="172"/>
      <c r="Z129" s="172"/>
      <c r="AA129" s="173"/>
    </row>
    <row r="130" spans="1:27" s="11" customFormat="1">
      <c r="A130" s="171"/>
      <c r="B130" s="172"/>
      <c r="C130" s="173"/>
      <c r="D130" s="173"/>
      <c r="E130" s="174"/>
      <c r="F130" s="174"/>
      <c r="H130" s="172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X130" s="172"/>
      <c r="Y130" s="172"/>
      <c r="Z130" s="172"/>
      <c r="AA130" s="173"/>
    </row>
    <row r="131" spans="1:27" s="11" customFormat="1">
      <c r="A131" s="171"/>
      <c r="B131" s="172"/>
      <c r="C131" s="173"/>
      <c r="D131" s="173"/>
      <c r="E131" s="174"/>
      <c r="F131" s="174"/>
      <c r="H131" s="172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X131" s="172"/>
      <c r="Y131" s="172"/>
      <c r="Z131" s="172"/>
      <c r="AA131" s="173"/>
    </row>
    <row r="132" spans="1:27" s="11" customFormat="1">
      <c r="A132" s="171"/>
      <c r="B132" s="172"/>
      <c r="C132" s="173"/>
      <c r="D132" s="173"/>
      <c r="E132" s="174"/>
      <c r="F132" s="174"/>
      <c r="H132" s="172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X132" s="172"/>
      <c r="Y132" s="172"/>
      <c r="Z132" s="172"/>
      <c r="AA132" s="173"/>
    </row>
    <row r="133" spans="1:27" s="11" customFormat="1">
      <c r="A133" s="171"/>
      <c r="B133" s="172"/>
      <c r="C133" s="173"/>
      <c r="D133" s="173"/>
      <c r="E133" s="174"/>
      <c r="F133" s="174"/>
      <c r="H133" s="172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X133" s="172"/>
      <c r="Y133" s="172"/>
      <c r="Z133" s="172"/>
      <c r="AA133" s="173"/>
    </row>
    <row r="134" spans="1:27" s="11" customFormat="1">
      <c r="A134" s="171"/>
      <c r="B134" s="172"/>
      <c r="C134" s="173"/>
      <c r="D134" s="173"/>
      <c r="E134" s="174"/>
      <c r="F134" s="174"/>
      <c r="H134" s="172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X134" s="172"/>
      <c r="Y134" s="172"/>
      <c r="Z134" s="172"/>
      <c r="AA134" s="173"/>
    </row>
    <row r="135" spans="1:27" s="11" customFormat="1">
      <c r="A135" s="171"/>
      <c r="B135" s="172"/>
      <c r="C135" s="173"/>
      <c r="D135" s="173"/>
      <c r="E135" s="174"/>
      <c r="F135" s="174"/>
      <c r="H135" s="172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X135" s="172"/>
      <c r="Y135" s="172"/>
      <c r="Z135" s="172"/>
      <c r="AA135" s="173"/>
    </row>
    <row r="136" spans="1:27" s="11" customFormat="1">
      <c r="A136" s="171"/>
      <c r="B136" s="172"/>
      <c r="C136" s="173"/>
      <c r="D136" s="173"/>
      <c r="E136" s="174"/>
      <c r="F136" s="174"/>
      <c r="H136" s="172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X136" s="172"/>
      <c r="Y136" s="172"/>
      <c r="Z136" s="172"/>
      <c r="AA136" s="173"/>
    </row>
    <row r="137" spans="1:27" s="11" customFormat="1">
      <c r="A137" s="171"/>
      <c r="B137" s="172"/>
      <c r="C137" s="173"/>
      <c r="D137" s="173"/>
      <c r="E137" s="174"/>
      <c r="F137" s="174"/>
      <c r="H137" s="172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X137" s="172"/>
      <c r="Y137" s="172"/>
      <c r="Z137" s="172"/>
      <c r="AA137" s="173"/>
    </row>
    <row r="138" spans="1:27" s="11" customFormat="1">
      <c r="A138" s="171"/>
      <c r="B138" s="172"/>
      <c r="C138" s="173"/>
      <c r="D138" s="173"/>
      <c r="E138" s="174"/>
      <c r="F138" s="174"/>
      <c r="H138" s="172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X138" s="172"/>
      <c r="Y138" s="172"/>
      <c r="Z138" s="172"/>
      <c r="AA138" s="173"/>
    </row>
    <row r="139" spans="1:27" s="11" customFormat="1">
      <c r="A139" s="171"/>
      <c r="B139" s="172"/>
      <c r="C139" s="173"/>
      <c r="D139" s="173"/>
      <c r="E139" s="174"/>
      <c r="F139" s="174"/>
      <c r="H139" s="172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X139" s="172"/>
      <c r="Y139" s="172"/>
      <c r="Z139" s="172"/>
      <c r="AA139" s="173"/>
    </row>
    <row r="140" spans="1:27" s="11" customFormat="1">
      <c r="A140" s="171"/>
      <c r="B140" s="172"/>
      <c r="C140" s="173"/>
      <c r="D140" s="173"/>
      <c r="E140" s="174"/>
      <c r="F140" s="174"/>
      <c r="H140" s="172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X140" s="172"/>
      <c r="Y140" s="172"/>
      <c r="Z140" s="172"/>
      <c r="AA140" s="173"/>
    </row>
    <row r="141" spans="1:27" s="11" customFormat="1">
      <c r="A141" s="171"/>
      <c r="B141" s="172"/>
      <c r="C141" s="173"/>
      <c r="D141" s="173"/>
      <c r="E141" s="174"/>
      <c r="F141" s="174"/>
      <c r="H141" s="172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X141" s="172"/>
      <c r="Y141" s="172"/>
      <c r="Z141" s="172"/>
      <c r="AA141" s="173"/>
    </row>
    <row r="142" spans="1:27" s="11" customFormat="1">
      <c r="A142" s="171"/>
      <c r="B142" s="172"/>
      <c r="C142" s="173"/>
      <c r="D142" s="173"/>
      <c r="E142" s="174"/>
      <c r="F142" s="174"/>
      <c r="H142" s="172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X142" s="172"/>
      <c r="Y142" s="172"/>
      <c r="Z142" s="172"/>
      <c r="AA142" s="173"/>
    </row>
    <row r="143" spans="1:27" s="11" customFormat="1">
      <c r="A143" s="171"/>
      <c r="B143" s="172"/>
      <c r="C143" s="173"/>
      <c r="D143" s="173"/>
      <c r="E143" s="174"/>
      <c r="F143" s="174"/>
      <c r="H143" s="172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X143" s="172"/>
      <c r="Y143" s="172"/>
      <c r="Z143" s="172"/>
      <c r="AA143" s="173"/>
    </row>
    <row r="144" spans="1:27" s="11" customFormat="1">
      <c r="A144" s="171"/>
      <c r="B144" s="172"/>
      <c r="C144" s="173"/>
      <c r="D144" s="173"/>
      <c r="E144" s="174"/>
      <c r="F144" s="174"/>
      <c r="H144" s="172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X144" s="172"/>
      <c r="Y144" s="172"/>
      <c r="Z144" s="172"/>
      <c r="AA144" s="173"/>
    </row>
    <row r="145" spans="1:27" s="11" customFormat="1">
      <c r="A145" s="171"/>
      <c r="B145" s="172"/>
      <c r="C145" s="173"/>
      <c r="D145" s="173"/>
      <c r="E145" s="174"/>
      <c r="F145" s="174"/>
      <c r="H145" s="172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X145" s="172"/>
      <c r="Y145" s="172"/>
      <c r="Z145" s="172"/>
      <c r="AA145" s="173"/>
    </row>
    <row r="146" spans="1:27" s="11" customFormat="1">
      <c r="A146" s="171"/>
      <c r="B146" s="172"/>
      <c r="C146" s="173"/>
      <c r="D146" s="173"/>
      <c r="E146" s="174"/>
      <c r="F146" s="174"/>
      <c r="H146" s="172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X146" s="172"/>
      <c r="Y146" s="172"/>
      <c r="Z146" s="172"/>
      <c r="AA146" s="173"/>
    </row>
    <row r="147" spans="1:27" s="11" customFormat="1">
      <c r="A147" s="171"/>
      <c r="B147" s="172"/>
      <c r="C147" s="173"/>
      <c r="D147" s="173"/>
      <c r="E147" s="174"/>
      <c r="F147" s="174"/>
      <c r="H147" s="172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X147" s="172"/>
      <c r="Y147" s="172"/>
      <c r="Z147" s="172"/>
      <c r="AA147" s="173"/>
    </row>
    <row r="148" spans="1:27" s="11" customFormat="1">
      <c r="A148" s="171"/>
      <c r="B148" s="172"/>
      <c r="C148" s="173"/>
      <c r="D148" s="173"/>
      <c r="E148" s="174"/>
      <c r="F148" s="174"/>
      <c r="H148" s="172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X148" s="172"/>
      <c r="Y148" s="172"/>
      <c r="Z148" s="172"/>
      <c r="AA148" s="173"/>
    </row>
    <row r="149" spans="1:27" s="11" customFormat="1">
      <c r="A149" s="171"/>
      <c r="B149" s="172"/>
      <c r="C149" s="173"/>
      <c r="D149" s="173"/>
      <c r="E149" s="174"/>
      <c r="F149" s="174"/>
      <c r="H149" s="172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X149" s="172"/>
      <c r="Y149" s="172"/>
      <c r="Z149" s="172"/>
      <c r="AA149" s="173"/>
    </row>
    <row r="150" spans="1:27" s="11" customFormat="1">
      <c r="A150" s="171"/>
      <c r="B150" s="172"/>
      <c r="C150" s="173"/>
      <c r="D150" s="173"/>
      <c r="E150" s="174"/>
      <c r="F150" s="174"/>
      <c r="H150" s="172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X150" s="172"/>
      <c r="Y150" s="172"/>
      <c r="Z150" s="172"/>
      <c r="AA150" s="173"/>
    </row>
    <row r="151" spans="1:27" s="11" customFormat="1">
      <c r="A151" s="171"/>
      <c r="B151" s="172"/>
      <c r="C151" s="173"/>
      <c r="D151" s="173"/>
      <c r="E151" s="174"/>
      <c r="F151" s="174"/>
      <c r="H151" s="172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X151" s="172"/>
      <c r="Y151" s="172"/>
      <c r="Z151" s="172"/>
      <c r="AA151" s="173"/>
    </row>
    <row r="152" spans="1:27" s="11" customFormat="1">
      <c r="A152" s="171"/>
      <c r="B152" s="172"/>
      <c r="C152" s="173"/>
      <c r="D152" s="173"/>
      <c r="E152" s="174"/>
      <c r="F152" s="174"/>
      <c r="H152" s="172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X152" s="172"/>
      <c r="Y152" s="172"/>
      <c r="Z152" s="172"/>
      <c r="AA152" s="173"/>
    </row>
    <row r="153" spans="1:27" s="11" customFormat="1">
      <c r="A153" s="171"/>
      <c r="B153" s="172"/>
      <c r="C153" s="173"/>
      <c r="D153" s="173"/>
      <c r="E153" s="174"/>
      <c r="F153" s="174"/>
      <c r="H153" s="172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X153" s="172"/>
      <c r="Y153" s="172"/>
      <c r="Z153" s="172"/>
      <c r="AA153" s="173"/>
    </row>
    <row r="154" spans="1:27" s="11" customFormat="1">
      <c r="A154" s="171"/>
      <c r="B154" s="172"/>
      <c r="C154" s="173"/>
      <c r="D154" s="173"/>
      <c r="E154" s="174"/>
      <c r="F154" s="174"/>
      <c r="H154" s="172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X154" s="172"/>
      <c r="Y154" s="172"/>
      <c r="Z154" s="172"/>
      <c r="AA154" s="173"/>
    </row>
    <row r="155" spans="1:27" s="11" customFormat="1">
      <c r="A155" s="171"/>
      <c r="B155" s="172"/>
      <c r="C155" s="173"/>
      <c r="D155" s="173"/>
      <c r="E155" s="174"/>
      <c r="F155" s="174"/>
      <c r="H155" s="172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X155" s="172"/>
      <c r="Y155" s="172"/>
      <c r="Z155" s="172"/>
      <c r="AA155" s="173"/>
    </row>
    <row r="156" spans="1:27" s="11" customFormat="1">
      <c r="A156" s="171"/>
      <c r="B156" s="172"/>
      <c r="C156" s="173"/>
      <c r="D156" s="173"/>
      <c r="E156" s="174"/>
      <c r="F156" s="174"/>
      <c r="H156" s="172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X156" s="172"/>
      <c r="Y156" s="172"/>
      <c r="Z156" s="172"/>
      <c r="AA156" s="173"/>
    </row>
    <row r="157" spans="1:27" s="11" customFormat="1">
      <c r="A157" s="171"/>
      <c r="B157" s="172"/>
      <c r="C157" s="173"/>
      <c r="D157" s="173"/>
      <c r="E157" s="174"/>
      <c r="F157" s="174"/>
      <c r="H157" s="172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X157" s="172"/>
      <c r="Y157" s="172"/>
      <c r="Z157" s="172"/>
      <c r="AA157" s="173"/>
    </row>
    <row r="158" spans="1:27" s="11" customFormat="1">
      <c r="A158" s="171"/>
      <c r="B158" s="172"/>
      <c r="C158" s="173"/>
      <c r="D158" s="173"/>
      <c r="E158" s="174"/>
      <c r="F158" s="174"/>
      <c r="H158" s="172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X158" s="172"/>
      <c r="Y158" s="172"/>
      <c r="Z158" s="172"/>
      <c r="AA158" s="173"/>
    </row>
    <row r="159" spans="1:27" s="11" customFormat="1">
      <c r="A159" s="171"/>
      <c r="B159" s="172"/>
      <c r="C159" s="173"/>
      <c r="D159" s="173"/>
      <c r="E159" s="174"/>
      <c r="F159" s="174"/>
      <c r="H159" s="172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X159" s="172"/>
      <c r="Y159" s="172"/>
      <c r="Z159" s="172"/>
      <c r="AA159" s="173"/>
    </row>
    <row r="160" spans="1:27" s="11" customFormat="1">
      <c r="A160" s="171"/>
      <c r="B160" s="172"/>
      <c r="C160" s="173"/>
      <c r="D160" s="173"/>
      <c r="E160" s="174"/>
      <c r="F160" s="174"/>
      <c r="H160" s="172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X160" s="172"/>
      <c r="Y160" s="172"/>
      <c r="Z160" s="172"/>
      <c r="AA160" s="173"/>
    </row>
    <row r="161" spans="1:27" s="11" customFormat="1">
      <c r="A161" s="171"/>
      <c r="B161" s="172"/>
      <c r="C161" s="173"/>
      <c r="D161" s="173"/>
      <c r="E161" s="174"/>
      <c r="F161" s="174"/>
      <c r="H161" s="172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X161" s="172"/>
      <c r="Y161" s="172"/>
      <c r="Z161" s="172"/>
      <c r="AA161" s="173"/>
    </row>
    <row r="162" spans="1:27" s="11" customFormat="1">
      <c r="A162" s="171"/>
      <c r="B162" s="172"/>
      <c r="C162" s="173"/>
      <c r="D162" s="173"/>
      <c r="E162" s="174"/>
      <c r="F162" s="174"/>
      <c r="H162" s="172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X162" s="172"/>
      <c r="Y162" s="172"/>
      <c r="Z162" s="172"/>
      <c r="AA162" s="173"/>
    </row>
    <row r="163" spans="1:27" s="11" customFormat="1">
      <c r="A163" s="171"/>
      <c r="B163" s="172"/>
      <c r="C163" s="173"/>
      <c r="D163" s="173"/>
      <c r="E163" s="174"/>
      <c r="F163" s="174"/>
      <c r="H163" s="172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X163" s="172"/>
      <c r="Y163" s="172"/>
      <c r="Z163" s="172"/>
      <c r="AA163" s="173"/>
    </row>
    <row r="164" spans="1:27" s="11" customFormat="1">
      <c r="A164" s="171"/>
      <c r="B164" s="172"/>
      <c r="C164" s="173"/>
      <c r="D164" s="173"/>
      <c r="E164" s="174"/>
      <c r="F164" s="174"/>
      <c r="H164" s="172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X164" s="172"/>
      <c r="Y164" s="172"/>
      <c r="Z164" s="172"/>
      <c r="AA164" s="173"/>
    </row>
    <row r="165" spans="1:27" s="11" customFormat="1">
      <c r="A165" s="171"/>
      <c r="B165" s="172"/>
      <c r="C165" s="173"/>
      <c r="D165" s="173"/>
      <c r="E165" s="174"/>
      <c r="F165" s="174"/>
      <c r="H165" s="172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X165" s="172"/>
      <c r="Y165" s="172"/>
      <c r="Z165" s="172"/>
      <c r="AA165" s="173"/>
    </row>
    <row r="166" spans="1:27" s="11" customFormat="1">
      <c r="A166" s="171"/>
      <c r="B166" s="172"/>
      <c r="C166" s="173"/>
      <c r="D166" s="173"/>
      <c r="E166" s="174"/>
      <c r="F166" s="174"/>
      <c r="H166" s="172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X166" s="172"/>
      <c r="Y166" s="172"/>
      <c r="Z166" s="172"/>
      <c r="AA166" s="173"/>
    </row>
    <row r="167" spans="1:27" s="11" customFormat="1">
      <c r="A167" s="171"/>
      <c r="B167" s="172"/>
      <c r="C167" s="173"/>
      <c r="D167" s="173"/>
      <c r="E167" s="174"/>
      <c r="F167" s="174"/>
      <c r="H167" s="172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X167" s="172"/>
      <c r="Y167" s="172"/>
      <c r="Z167" s="172"/>
      <c r="AA167" s="173"/>
    </row>
    <row r="168" spans="1:27" s="11" customFormat="1">
      <c r="A168" s="171"/>
      <c r="B168" s="172"/>
      <c r="C168" s="173"/>
      <c r="D168" s="173"/>
      <c r="E168" s="174"/>
      <c r="F168" s="174"/>
      <c r="H168" s="172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X168" s="172"/>
      <c r="Y168" s="172"/>
      <c r="Z168" s="172"/>
      <c r="AA168" s="173"/>
    </row>
    <row r="169" spans="1:27" s="11" customFormat="1">
      <c r="A169" s="171"/>
      <c r="B169" s="172"/>
      <c r="C169" s="173"/>
      <c r="D169" s="173"/>
      <c r="E169" s="174"/>
      <c r="F169" s="174"/>
      <c r="H169" s="172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X169" s="172"/>
      <c r="Y169" s="172"/>
      <c r="Z169" s="172"/>
      <c r="AA169" s="173"/>
    </row>
    <row r="170" spans="1:27" s="11" customFormat="1">
      <c r="A170" s="171"/>
      <c r="B170" s="172"/>
      <c r="C170" s="173"/>
      <c r="D170" s="173"/>
      <c r="E170" s="174"/>
      <c r="F170" s="174"/>
      <c r="H170" s="172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X170" s="172"/>
      <c r="Y170" s="172"/>
      <c r="Z170" s="172"/>
      <c r="AA170" s="173"/>
    </row>
    <row r="171" spans="1:27" s="11" customFormat="1">
      <c r="A171" s="171"/>
      <c r="B171" s="172"/>
      <c r="C171" s="173"/>
      <c r="D171" s="173"/>
      <c r="E171" s="174"/>
      <c r="F171" s="174"/>
      <c r="H171" s="172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X171" s="172"/>
      <c r="Y171" s="172"/>
      <c r="Z171" s="172"/>
      <c r="AA171" s="173"/>
    </row>
    <row r="172" spans="1:27" s="11" customFormat="1">
      <c r="A172" s="171"/>
      <c r="B172" s="172"/>
      <c r="C172" s="173"/>
      <c r="D172" s="173"/>
      <c r="E172" s="174"/>
      <c r="F172" s="174"/>
      <c r="H172" s="172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X172" s="172"/>
      <c r="Y172" s="172"/>
      <c r="Z172" s="172"/>
      <c r="AA172" s="173"/>
    </row>
    <row r="173" spans="1:27" s="11" customFormat="1">
      <c r="A173" s="171"/>
      <c r="B173" s="172"/>
      <c r="C173" s="173"/>
      <c r="D173" s="173"/>
      <c r="E173" s="174"/>
      <c r="F173" s="174"/>
      <c r="H173" s="172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X173" s="172"/>
      <c r="Y173" s="172"/>
      <c r="Z173" s="172"/>
      <c r="AA173" s="173"/>
    </row>
    <row r="174" spans="1:27" s="11" customFormat="1">
      <c r="A174" s="171"/>
      <c r="B174" s="172"/>
      <c r="C174" s="173"/>
      <c r="D174" s="173"/>
      <c r="E174" s="174"/>
      <c r="F174" s="174"/>
      <c r="H174" s="172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X174" s="172"/>
      <c r="Y174" s="172"/>
      <c r="Z174" s="172"/>
      <c r="AA174" s="173"/>
    </row>
    <row r="175" spans="1:27" s="11" customFormat="1">
      <c r="A175" s="171"/>
      <c r="B175" s="172"/>
      <c r="C175" s="173"/>
      <c r="D175" s="173"/>
      <c r="E175" s="174"/>
      <c r="F175" s="174"/>
      <c r="H175" s="172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X175" s="172"/>
      <c r="Y175" s="172"/>
      <c r="Z175" s="172"/>
      <c r="AA175" s="173"/>
    </row>
    <row r="176" spans="1:27" s="11" customFormat="1">
      <c r="A176" s="171"/>
      <c r="B176" s="172"/>
      <c r="C176" s="173"/>
      <c r="D176" s="173"/>
      <c r="E176" s="174"/>
      <c r="F176" s="174"/>
      <c r="H176" s="172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X176" s="172"/>
      <c r="Y176" s="172"/>
      <c r="Z176" s="172"/>
      <c r="AA176" s="173"/>
    </row>
    <row r="177" spans="1:27" s="11" customFormat="1">
      <c r="A177" s="171"/>
      <c r="B177" s="172"/>
      <c r="C177" s="173"/>
      <c r="D177" s="173"/>
      <c r="E177" s="174"/>
      <c r="F177" s="174"/>
      <c r="H177" s="172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X177" s="172"/>
      <c r="Y177" s="172"/>
      <c r="Z177" s="172"/>
      <c r="AA177" s="173"/>
    </row>
    <row r="178" spans="1:27" s="11" customFormat="1">
      <c r="A178" s="171"/>
      <c r="B178" s="172"/>
      <c r="C178" s="173"/>
      <c r="D178" s="173"/>
      <c r="E178" s="174"/>
      <c r="F178" s="174"/>
      <c r="H178" s="172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X178" s="172"/>
      <c r="Y178" s="172"/>
      <c r="Z178" s="172"/>
      <c r="AA178" s="173"/>
    </row>
    <row r="179" spans="1:27" s="11" customFormat="1">
      <c r="A179" s="171"/>
      <c r="B179" s="172"/>
      <c r="C179" s="173"/>
      <c r="D179" s="173"/>
      <c r="E179" s="174"/>
      <c r="F179" s="174"/>
      <c r="H179" s="172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X179" s="172"/>
      <c r="Y179" s="172"/>
      <c r="Z179" s="172"/>
      <c r="AA179" s="173"/>
    </row>
    <row r="180" spans="1:27" s="11" customFormat="1">
      <c r="A180" s="171"/>
      <c r="B180" s="172"/>
      <c r="C180" s="173"/>
      <c r="D180" s="173"/>
      <c r="E180" s="174"/>
      <c r="F180" s="174"/>
      <c r="H180" s="172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X180" s="172"/>
      <c r="Y180" s="172"/>
      <c r="Z180" s="172"/>
      <c r="AA180" s="173"/>
    </row>
    <row r="181" spans="1:27" s="11" customFormat="1">
      <c r="A181" s="171"/>
      <c r="B181" s="172"/>
      <c r="C181" s="173"/>
      <c r="D181" s="173"/>
      <c r="E181" s="174"/>
      <c r="F181" s="174"/>
      <c r="H181" s="172"/>
      <c r="I181" s="172"/>
      <c r="J181" s="172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X181" s="172"/>
      <c r="Y181" s="172"/>
      <c r="Z181" s="172"/>
      <c r="AA181" s="173"/>
    </row>
    <row r="182" spans="1:27" s="11" customFormat="1">
      <c r="A182" s="171"/>
      <c r="B182" s="172"/>
      <c r="C182" s="173"/>
      <c r="D182" s="173"/>
      <c r="E182" s="174"/>
      <c r="F182" s="174"/>
      <c r="H182" s="172"/>
      <c r="I182" s="172"/>
      <c r="J182" s="172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X182" s="172"/>
      <c r="Y182" s="172"/>
      <c r="Z182" s="172"/>
      <c r="AA182" s="173"/>
    </row>
    <row r="183" spans="1:27" s="11" customFormat="1">
      <c r="A183" s="171"/>
      <c r="B183" s="172"/>
      <c r="C183" s="173"/>
      <c r="D183" s="173"/>
      <c r="E183" s="174"/>
      <c r="F183" s="174"/>
      <c r="H183" s="172"/>
      <c r="I183" s="172"/>
      <c r="J183" s="172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X183" s="172"/>
      <c r="Y183" s="172"/>
      <c r="Z183" s="172"/>
      <c r="AA183" s="173"/>
    </row>
    <row r="184" spans="1:27" s="11" customFormat="1">
      <c r="A184" s="171"/>
      <c r="B184" s="172"/>
      <c r="C184" s="173"/>
      <c r="D184" s="173"/>
      <c r="E184" s="174"/>
      <c r="F184" s="174"/>
      <c r="H184" s="172"/>
      <c r="I184" s="172"/>
      <c r="J184" s="172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X184" s="172"/>
      <c r="Y184" s="172"/>
      <c r="Z184" s="172"/>
      <c r="AA184" s="173"/>
    </row>
    <row r="185" spans="1:27" s="11" customFormat="1">
      <c r="A185" s="171"/>
      <c r="B185" s="172"/>
      <c r="C185" s="173"/>
      <c r="D185" s="173"/>
      <c r="E185" s="174"/>
      <c r="F185" s="174"/>
      <c r="H185" s="172"/>
      <c r="I185" s="172"/>
      <c r="J185" s="172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X185" s="172"/>
      <c r="Y185" s="172"/>
      <c r="Z185" s="172"/>
      <c r="AA185" s="173"/>
    </row>
    <row r="186" spans="1:27" s="11" customFormat="1">
      <c r="A186" s="171"/>
      <c r="B186" s="172"/>
      <c r="C186" s="173"/>
      <c r="D186" s="173"/>
      <c r="E186" s="174"/>
      <c r="F186" s="174"/>
      <c r="H186" s="172"/>
      <c r="I186" s="172"/>
      <c r="J186" s="172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X186" s="172"/>
      <c r="Y186" s="172"/>
      <c r="Z186" s="172"/>
      <c r="AA186" s="173"/>
    </row>
    <row r="187" spans="1:27" s="11" customFormat="1">
      <c r="A187" s="171"/>
      <c r="B187" s="172"/>
      <c r="C187" s="173"/>
      <c r="D187" s="173"/>
      <c r="E187" s="174"/>
      <c r="F187" s="174"/>
      <c r="H187" s="172"/>
      <c r="I187" s="172"/>
      <c r="J187" s="172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X187" s="172"/>
      <c r="Y187" s="172"/>
      <c r="Z187" s="172"/>
      <c r="AA187" s="173"/>
    </row>
    <row r="188" spans="1:27" s="11" customFormat="1">
      <c r="A188" s="171"/>
      <c r="B188" s="172"/>
      <c r="C188" s="173"/>
      <c r="D188" s="173"/>
      <c r="E188" s="174"/>
      <c r="F188" s="174"/>
      <c r="H188" s="172"/>
      <c r="I188" s="172"/>
      <c r="J188" s="172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X188" s="172"/>
      <c r="Y188" s="172"/>
      <c r="Z188" s="172"/>
      <c r="AA188" s="173"/>
    </row>
    <row r="189" spans="1:27" s="11" customFormat="1">
      <c r="A189" s="171"/>
      <c r="B189" s="172"/>
      <c r="C189" s="172"/>
      <c r="D189" s="172"/>
      <c r="E189" s="172"/>
      <c r="F189" s="172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X189" s="172"/>
      <c r="Y189" s="172"/>
      <c r="Z189" s="172"/>
      <c r="AA189" s="173"/>
    </row>
    <row r="190" spans="1:27" s="11" customFormat="1">
      <c r="A190" s="171"/>
      <c r="B190" s="172"/>
      <c r="C190" s="172"/>
      <c r="D190" s="172"/>
      <c r="E190" s="172"/>
      <c r="F190" s="172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X190" s="172"/>
      <c r="Y190" s="172"/>
      <c r="Z190" s="172"/>
      <c r="AA190" s="173"/>
    </row>
    <row r="191" spans="1:27" s="11" customFormat="1">
      <c r="A191" s="171"/>
      <c r="B191" s="172"/>
      <c r="C191" s="172"/>
      <c r="D191" s="172"/>
      <c r="E191" s="172"/>
      <c r="F191" s="172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X191" s="172"/>
      <c r="Y191" s="172"/>
      <c r="Z191" s="172"/>
      <c r="AA191" s="173"/>
    </row>
    <row r="192" spans="1:27" s="11" customFormat="1">
      <c r="A192" s="171"/>
      <c r="B192" s="172"/>
      <c r="C192" s="172"/>
      <c r="D192" s="172"/>
      <c r="E192" s="172"/>
      <c r="F192" s="172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X192" s="172"/>
      <c r="Y192" s="172"/>
      <c r="Z192" s="172"/>
      <c r="AA192" s="173"/>
    </row>
    <row r="193" spans="1:27" s="11" customFormat="1">
      <c r="A193" s="171"/>
      <c r="B193" s="172"/>
      <c r="C193" s="172"/>
      <c r="D193" s="172"/>
      <c r="E193" s="172"/>
      <c r="F193" s="172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X193" s="172"/>
      <c r="Y193" s="172"/>
      <c r="Z193" s="172"/>
      <c r="AA193" s="173"/>
    </row>
    <row r="194" spans="1:27" s="11" customFormat="1">
      <c r="A194" s="171"/>
      <c r="B194" s="172"/>
      <c r="C194" s="172"/>
      <c r="D194" s="172"/>
      <c r="E194" s="172"/>
      <c r="F194" s="172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X194" s="172"/>
      <c r="Y194" s="172"/>
      <c r="Z194" s="172"/>
      <c r="AA194" s="173"/>
    </row>
    <row r="195" spans="1:27" s="11" customFormat="1">
      <c r="A195" s="171"/>
      <c r="B195" s="172"/>
      <c r="C195" s="172"/>
      <c r="D195" s="172"/>
      <c r="E195" s="172"/>
      <c r="F195" s="172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X195" s="172"/>
      <c r="Y195" s="172"/>
      <c r="Z195" s="172"/>
      <c r="AA195" s="173"/>
    </row>
    <row r="196" spans="1:27" s="11" customFormat="1">
      <c r="A196" s="171"/>
      <c r="B196" s="172"/>
      <c r="C196" s="172"/>
      <c r="D196" s="172"/>
      <c r="E196" s="172"/>
      <c r="F196" s="172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X196" s="172"/>
      <c r="Y196" s="172"/>
      <c r="Z196" s="172"/>
      <c r="AA196" s="173"/>
    </row>
    <row r="197" spans="1:27" s="11" customFormat="1">
      <c r="A197" s="171"/>
      <c r="B197" s="172"/>
      <c r="C197" s="172"/>
      <c r="D197" s="172"/>
      <c r="E197" s="172"/>
      <c r="F197" s="172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X197" s="172"/>
      <c r="Y197" s="172"/>
      <c r="Z197" s="172"/>
      <c r="AA197" s="173"/>
    </row>
    <row r="198" spans="1:27" s="11" customFormat="1">
      <c r="A198" s="171"/>
      <c r="B198" s="172"/>
      <c r="C198" s="172"/>
      <c r="D198" s="172"/>
      <c r="E198" s="172"/>
      <c r="F198" s="172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X198" s="172"/>
      <c r="Y198" s="172"/>
      <c r="Z198" s="172"/>
      <c r="AA198" s="173"/>
    </row>
    <row r="199" spans="1:27" s="11" customFormat="1">
      <c r="A199" s="171"/>
      <c r="B199" s="172"/>
      <c r="C199" s="172"/>
      <c r="D199" s="172"/>
      <c r="E199" s="172"/>
      <c r="F199" s="172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X199" s="172"/>
      <c r="Y199" s="172"/>
      <c r="Z199" s="172"/>
      <c r="AA199" s="173"/>
    </row>
    <row r="200" spans="1:27" s="11" customFormat="1">
      <c r="A200" s="171"/>
      <c r="B200" s="172"/>
      <c r="C200" s="172"/>
      <c r="D200" s="172"/>
      <c r="E200" s="172"/>
      <c r="F200" s="172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X200" s="172"/>
      <c r="Y200" s="172"/>
      <c r="Z200" s="172"/>
      <c r="AA200" s="173"/>
    </row>
    <row r="201" spans="1:27" s="11" customFormat="1">
      <c r="A201" s="171"/>
      <c r="B201" s="172"/>
      <c r="C201" s="172"/>
      <c r="D201" s="172"/>
      <c r="E201" s="172"/>
      <c r="F201" s="172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X201" s="172"/>
      <c r="Y201" s="172"/>
      <c r="Z201" s="172"/>
      <c r="AA201" s="173"/>
    </row>
    <row r="202" spans="1:27" s="11" customFormat="1">
      <c r="A202" s="171"/>
      <c r="B202" s="172"/>
      <c r="C202" s="172"/>
      <c r="D202" s="172"/>
      <c r="E202" s="172"/>
      <c r="F202" s="172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X202" s="172"/>
      <c r="Y202" s="172"/>
      <c r="Z202" s="172"/>
      <c r="AA202" s="173"/>
    </row>
    <row r="203" spans="1:27" s="11" customFormat="1">
      <c r="A203" s="171"/>
      <c r="B203" s="172"/>
      <c r="C203" s="172"/>
      <c r="D203" s="172"/>
      <c r="E203" s="172"/>
      <c r="F203" s="172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X203" s="172"/>
      <c r="Y203" s="172"/>
      <c r="Z203" s="172"/>
      <c r="AA203" s="173"/>
    </row>
    <row r="204" spans="1:27" s="11" customFormat="1">
      <c r="A204" s="171"/>
      <c r="B204" s="172"/>
      <c r="C204" s="172"/>
      <c r="D204" s="172"/>
      <c r="E204" s="172"/>
      <c r="F204" s="172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X204" s="172"/>
      <c r="Y204" s="172"/>
      <c r="Z204" s="172"/>
      <c r="AA204" s="173"/>
    </row>
    <row r="205" spans="1:27" s="11" customFormat="1">
      <c r="A205" s="171"/>
      <c r="B205" s="172"/>
      <c r="C205" s="172"/>
      <c r="D205" s="172"/>
      <c r="E205" s="172"/>
      <c r="F205" s="172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X205" s="172"/>
      <c r="Y205" s="172"/>
      <c r="Z205" s="172"/>
      <c r="AA205" s="173"/>
    </row>
    <row r="206" spans="1:27" s="11" customFormat="1">
      <c r="A206" s="171"/>
      <c r="B206" s="172"/>
      <c r="C206" s="172"/>
      <c r="D206" s="172"/>
      <c r="E206" s="172"/>
      <c r="F206" s="172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X206" s="172"/>
      <c r="Y206" s="172"/>
      <c r="Z206" s="172"/>
      <c r="AA206" s="173"/>
    </row>
    <row r="207" spans="1:27" s="11" customFormat="1">
      <c r="A207" s="171"/>
      <c r="B207" s="172"/>
      <c r="C207" s="172"/>
      <c r="D207" s="172"/>
      <c r="E207" s="172"/>
      <c r="F207" s="172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X207" s="172"/>
      <c r="Y207" s="172"/>
      <c r="Z207" s="172"/>
      <c r="AA207" s="173"/>
    </row>
    <row r="208" spans="1:27" s="11" customFormat="1">
      <c r="A208" s="171"/>
      <c r="B208" s="172"/>
      <c r="C208" s="172"/>
      <c r="D208" s="172"/>
      <c r="E208" s="172"/>
      <c r="F208" s="172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X208" s="172"/>
      <c r="Y208" s="172"/>
      <c r="Z208" s="172"/>
      <c r="AA208" s="173"/>
    </row>
    <row r="209" spans="1:27" s="11" customFormat="1">
      <c r="A209" s="171"/>
      <c r="B209" s="172"/>
      <c r="C209" s="172"/>
      <c r="D209" s="172"/>
      <c r="E209" s="172"/>
      <c r="F209" s="172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X209" s="172"/>
      <c r="Y209" s="172"/>
      <c r="Z209" s="172"/>
      <c r="AA209" s="173"/>
    </row>
    <row r="210" spans="1:27" s="11" customFormat="1">
      <c r="A210" s="171"/>
      <c r="B210" s="172"/>
      <c r="C210" s="172"/>
      <c r="D210" s="172"/>
      <c r="E210" s="172"/>
      <c r="F210" s="172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X210" s="172"/>
      <c r="Y210" s="172"/>
      <c r="Z210" s="172"/>
      <c r="AA210" s="173"/>
    </row>
    <row r="211" spans="1:27" s="11" customFormat="1">
      <c r="A211" s="171"/>
      <c r="B211" s="172"/>
      <c r="C211" s="172"/>
      <c r="D211" s="172"/>
      <c r="E211" s="172"/>
      <c r="F211" s="172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X211" s="172"/>
      <c r="Y211" s="172"/>
      <c r="Z211" s="172"/>
      <c r="AA211" s="173"/>
    </row>
    <row r="212" spans="1:27" s="11" customFormat="1">
      <c r="A212" s="171"/>
      <c r="B212" s="172"/>
      <c r="C212" s="172"/>
      <c r="D212" s="172"/>
      <c r="E212" s="172"/>
      <c r="F212" s="172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X212" s="172"/>
      <c r="Y212" s="172"/>
      <c r="Z212" s="172"/>
      <c r="AA212" s="173"/>
    </row>
    <row r="213" spans="1:27" s="11" customFormat="1">
      <c r="A213" s="171"/>
      <c r="B213" s="172"/>
      <c r="C213" s="172"/>
      <c r="D213" s="172"/>
      <c r="E213" s="172"/>
      <c r="F213" s="172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X213" s="172"/>
      <c r="Y213" s="172"/>
      <c r="Z213" s="172"/>
      <c r="AA213" s="173"/>
    </row>
    <row r="214" spans="1:27" s="11" customFormat="1">
      <c r="A214" s="171"/>
      <c r="B214" s="172"/>
      <c r="C214" s="172"/>
      <c r="D214" s="172"/>
      <c r="E214" s="172"/>
      <c r="F214" s="172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X214" s="172"/>
      <c r="Y214" s="172"/>
      <c r="Z214" s="172"/>
      <c r="AA214" s="173"/>
    </row>
    <row r="215" spans="1:27" s="11" customFormat="1">
      <c r="A215" s="171"/>
      <c r="B215" s="172"/>
      <c r="C215" s="172"/>
      <c r="D215" s="172"/>
      <c r="E215" s="172"/>
      <c r="F215" s="172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X215" s="172"/>
      <c r="Y215" s="172"/>
      <c r="Z215" s="172"/>
      <c r="AA215" s="173"/>
    </row>
    <row r="216" spans="1:27" s="11" customFormat="1">
      <c r="A216" s="171"/>
      <c r="B216" s="172"/>
      <c r="C216" s="172"/>
      <c r="D216" s="172"/>
      <c r="E216" s="172"/>
      <c r="F216" s="172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X216" s="172"/>
      <c r="Y216" s="172"/>
      <c r="Z216" s="172"/>
      <c r="AA216" s="173"/>
    </row>
    <row r="217" spans="1:27" s="11" customFormat="1">
      <c r="A217" s="171"/>
      <c r="B217" s="172"/>
      <c r="C217" s="172"/>
      <c r="D217" s="172"/>
      <c r="E217" s="172"/>
      <c r="F217" s="172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X217" s="172"/>
      <c r="Y217" s="172"/>
      <c r="Z217" s="172"/>
      <c r="AA217" s="173"/>
    </row>
    <row r="218" spans="1:27" s="11" customFormat="1">
      <c r="A218" s="171"/>
      <c r="B218" s="172"/>
      <c r="C218" s="172"/>
      <c r="D218" s="172"/>
      <c r="E218" s="172"/>
      <c r="F218" s="172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X218" s="172"/>
      <c r="Y218" s="172"/>
      <c r="Z218" s="172"/>
      <c r="AA218" s="173"/>
    </row>
    <row r="219" spans="1:27" s="11" customFormat="1">
      <c r="A219" s="171"/>
      <c r="B219" s="172"/>
      <c r="C219" s="172"/>
      <c r="D219" s="172"/>
      <c r="E219" s="172"/>
      <c r="F219" s="172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X219" s="172"/>
      <c r="Y219" s="172"/>
      <c r="Z219" s="172"/>
      <c r="AA219" s="173"/>
    </row>
    <row r="220" spans="1:27" s="11" customFormat="1">
      <c r="A220" s="171"/>
      <c r="B220" s="172"/>
      <c r="C220" s="172"/>
      <c r="D220" s="172"/>
      <c r="E220" s="172"/>
      <c r="F220" s="172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X220" s="172"/>
      <c r="Y220" s="172"/>
      <c r="Z220" s="172"/>
      <c r="AA220" s="173"/>
    </row>
    <row r="221" spans="1:27" s="11" customFormat="1">
      <c r="A221" s="171"/>
      <c r="B221" s="172"/>
      <c r="C221" s="172"/>
      <c r="D221" s="172"/>
      <c r="E221" s="172"/>
      <c r="F221" s="172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X221" s="172"/>
      <c r="Y221" s="172"/>
      <c r="Z221" s="172"/>
      <c r="AA221" s="173"/>
    </row>
    <row r="222" spans="1:27" s="11" customFormat="1">
      <c r="A222" s="171"/>
      <c r="B222" s="172"/>
      <c r="C222" s="172"/>
      <c r="D222" s="172"/>
      <c r="E222" s="172"/>
      <c r="F222" s="172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X222" s="172"/>
      <c r="Y222" s="172"/>
      <c r="Z222" s="172"/>
      <c r="AA222" s="173"/>
    </row>
    <row r="223" spans="1:27" s="11" customFormat="1">
      <c r="A223" s="171"/>
      <c r="B223" s="172"/>
      <c r="C223" s="172"/>
      <c r="D223" s="172"/>
      <c r="E223" s="172"/>
      <c r="F223" s="172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X223" s="172"/>
      <c r="Y223" s="172"/>
      <c r="Z223" s="172"/>
      <c r="AA223" s="173"/>
    </row>
    <row r="224" spans="1:27" s="11" customFormat="1">
      <c r="A224" s="171"/>
      <c r="B224" s="172"/>
      <c r="C224" s="172"/>
      <c r="D224" s="172"/>
      <c r="E224" s="172"/>
      <c r="F224" s="172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X224" s="172"/>
      <c r="Y224" s="172"/>
      <c r="Z224" s="172"/>
      <c r="AA224" s="173"/>
    </row>
    <row r="225" spans="1:27" s="11" customFormat="1">
      <c r="A225" s="171"/>
      <c r="B225" s="172"/>
      <c r="C225" s="172"/>
      <c r="D225" s="172"/>
      <c r="E225" s="172"/>
      <c r="F225" s="172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X225" s="172"/>
      <c r="Y225" s="172"/>
      <c r="Z225" s="172"/>
      <c r="AA225" s="173"/>
    </row>
    <row r="226" spans="1:27" s="11" customFormat="1">
      <c r="A226" s="171"/>
      <c r="B226" s="172"/>
      <c r="C226" s="172"/>
      <c r="D226" s="172"/>
      <c r="E226" s="172"/>
      <c r="F226" s="172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X226" s="172"/>
      <c r="Y226" s="172"/>
      <c r="Z226" s="172"/>
      <c r="AA226" s="173"/>
    </row>
    <row r="227" spans="1:27" s="11" customFormat="1">
      <c r="A227" s="171"/>
      <c r="B227" s="172"/>
      <c r="C227" s="172"/>
      <c r="D227" s="172"/>
      <c r="E227" s="172"/>
      <c r="F227" s="172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X227" s="172"/>
      <c r="Y227" s="172"/>
      <c r="Z227" s="172"/>
      <c r="AA227" s="173"/>
    </row>
    <row r="228" spans="1:27" s="11" customFormat="1">
      <c r="A228" s="171"/>
      <c r="B228" s="172"/>
      <c r="C228" s="172"/>
      <c r="D228" s="172"/>
      <c r="E228" s="172"/>
      <c r="F228" s="172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X228" s="172"/>
      <c r="Y228" s="172"/>
      <c r="Z228" s="172"/>
      <c r="AA228" s="173"/>
    </row>
    <row r="229" spans="1:27" s="11" customFormat="1">
      <c r="A229" s="171"/>
      <c r="B229" s="172"/>
      <c r="C229" s="172"/>
      <c r="D229" s="172"/>
      <c r="E229" s="172"/>
      <c r="F229" s="172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X229" s="172"/>
      <c r="Y229" s="172"/>
      <c r="Z229" s="172"/>
      <c r="AA229" s="173"/>
    </row>
    <row r="230" spans="1:27" s="11" customFormat="1">
      <c r="A230" s="171"/>
      <c r="B230" s="172"/>
      <c r="C230" s="172"/>
      <c r="D230" s="172"/>
      <c r="E230" s="172"/>
      <c r="F230" s="172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X230" s="172"/>
      <c r="Y230" s="172"/>
      <c r="Z230" s="172"/>
      <c r="AA230" s="173"/>
    </row>
    <row r="231" spans="1:27" s="11" customFormat="1">
      <c r="A231" s="171"/>
      <c r="B231" s="172"/>
      <c r="C231" s="172"/>
      <c r="D231" s="172"/>
      <c r="E231" s="172"/>
      <c r="F231" s="172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X231" s="172"/>
      <c r="Y231" s="172"/>
      <c r="Z231" s="172"/>
      <c r="AA231" s="173"/>
    </row>
    <row r="232" spans="1:27" s="11" customFormat="1">
      <c r="A232" s="171"/>
      <c r="B232" s="172"/>
      <c r="C232" s="172"/>
      <c r="D232" s="172"/>
      <c r="E232" s="172"/>
      <c r="F232" s="172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X232" s="172"/>
      <c r="Y232" s="172"/>
      <c r="Z232" s="172"/>
      <c r="AA232" s="173"/>
    </row>
    <row r="233" spans="1:27" s="11" customFormat="1">
      <c r="A233" s="171"/>
      <c r="B233" s="172"/>
      <c r="C233" s="172"/>
      <c r="D233" s="172"/>
      <c r="E233" s="172"/>
      <c r="F233" s="172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X233" s="172"/>
      <c r="Y233" s="172"/>
      <c r="Z233" s="172"/>
      <c r="AA233" s="173"/>
    </row>
    <row r="234" spans="1:27" s="11" customFormat="1">
      <c r="A234" s="171"/>
      <c r="B234" s="172"/>
      <c r="C234" s="172"/>
      <c r="D234" s="172"/>
      <c r="E234" s="172"/>
      <c r="F234" s="172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X234" s="172"/>
      <c r="Y234" s="172"/>
      <c r="Z234" s="172"/>
      <c r="AA234" s="173"/>
    </row>
    <row r="235" spans="1:27" s="11" customFormat="1">
      <c r="A235" s="171"/>
      <c r="B235" s="172"/>
      <c r="C235" s="172"/>
      <c r="D235" s="172"/>
      <c r="E235" s="172"/>
      <c r="F235" s="172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X235" s="172"/>
      <c r="Y235" s="172"/>
      <c r="Z235" s="172"/>
      <c r="AA235" s="173"/>
    </row>
    <row r="236" spans="1:27" s="11" customFormat="1">
      <c r="A236" s="171"/>
      <c r="B236" s="172"/>
      <c r="C236" s="172"/>
      <c r="D236" s="172"/>
      <c r="E236" s="172"/>
      <c r="F236" s="172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X236" s="172"/>
      <c r="Y236" s="172"/>
      <c r="Z236" s="172"/>
      <c r="AA236" s="173"/>
    </row>
    <row r="237" spans="1:27" s="11" customFormat="1">
      <c r="A237" s="171"/>
      <c r="B237" s="172"/>
      <c r="C237" s="172"/>
      <c r="D237" s="172"/>
      <c r="E237" s="172"/>
      <c r="F237" s="172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X237" s="172"/>
      <c r="Y237" s="172"/>
      <c r="Z237" s="172"/>
      <c r="AA237" s="173"/>
    </row>
    <row r="238" spans="1:27" s="11" customFormat="1">
      <c r="A238" s="171"/>
      <c r="B238" s="172"/>
      <c r="C238" s="172"/>
      <c r="D238" s="172"/>
      <c r="E238" s="172"/>
      <c r="F238" s="172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X238" s="172"/>
      <c r="Y238" s="172"/>
      <c r="Z238" s="172"/>
      <c r="AA238" s="173"/>
    </row>
    <row r="239" spans="1:27" s="11" customFormat="1">
      <c r="A239" s="171"/>
      <c r="B239" s="172"/>
      <c r="C239" s="172"/>
      <c r="D239" s="172"/>
      <c r="E239" s="172"/>
      <c r="F239" s="172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X239" s="172"/>
      <c r="Y239" s="172"/>
      <c r="Z239" s="172"/>
      <c r="AA239" s="173"/>
    </row>
    <row r="240" spans="1:27" s="11" customFormat="1">
      <c r="A240" s="171"/>
      <c r="B240" s="172"/>
      <c r="C240" s="172"/>
      <c r="D240" s="172"/>
      <c r="E240" s="172"/>
      <c r="F240" s="172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X240" s="172"/>
      <c r="Y240" s="172"/>
      <c r="Z240" s="172"/>
      <c r="AA240" s="173"/>
    </row>
    <row r="241" spans="1:27" s="11" customFormat="1">
      <c r="A241" s="171"/>
      <c r="B241" s="172"/>
      <c r="C241" s="172"/>
      <c r="D241" s="172"/>
      <c r="E241" s="172"/>
      <c r="F241" s="172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X241" s="172"/>
      <c r="Y241" s="172"/>
      <c r="Z241" s="172"/>
      <c r="AA241" s="173"/>
    </row>
    <row r="242" spans="1:27" s="11" customFormat="1">
      <c r="A242" s="171"/>
      <c r="B242" s="172"/>
      <c r="C242" s="172"/>
      <c r="D242" s="172"/>
      <c r="E242" s="172"/>
      <c r="F242" s="172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X242" s="172"/>
      <c r="Y242" s="172"/>
      <c r="Z242" s="172"/>
      <c r="AA242" s="173"/>
    </row>
    <row r="243" spans="1:27" s="11" customFormat="1">
      <c r="A243" s="171"/>
      <c r="B243" s="172"/>
      <c r="C243" s="172"/>
      <c r="D243" s="172"/>
      <c r="E243" s="172"/>
      <c r="F243" s="172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X243" s="172"/>
      <c r="Y243" s="172"/>
      <c r="Z243" s="172"/>
      <c r="AA243" s="173"/>
    </row>
    <row r="244" spans="1:27" s="11" customFormat="1">
      <c r="A244" s="171"/>
      <c r="B244" s="172"/>
      <c r="C244" s="172"/>
      <c r="D244" s="172"/>
      <c r="E244" s="172"/>
      <c r="F244" s="172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X244" s="172"/>
      <c r="Y244" s="172"/>
      <c r="Z244" s="172"/>
      <c r="AA244" s="173"/>
    </row>
    <row r="245" spans="1:27" s="11" customFormat="1">
      <c r="A245" s="171"/>
      <c r="B245" s="172"/>
      <c r="C245" s="172"/>
      <c r="D245" s="172"/>
      <c r="E245" s="172"/>
      <c r="F245" s="172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X245" s="172"/>
      <c r="Y245" s="172"/>
      <c r="Z245" s="172"/>
      <c r="AA245" s="173"/>
    </row>
    <row r="246" spans="1:27" s="11" customFormat="1">
      <c r="A246" s="171"/>
      <c r="B246" s="172"/>
      <c r="C246" s="172"/>
      <c r="D246" s="172"/>
      <c r="E246" s="172"/>
      <c r="F246" s="172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X246" s="172"/>
      <c r="Y246" s="172"/>
      <c r="Z246" s="172"/>
      <c r="AA246" s="173"/>
    </row>
    <row r="247" spans="1:27" s="11" customFormat="1">
      <c r="A247" s="171"/>
      <c r="B247" s="172"/>
      <c r="C247" s="172"/>
      <c r="D247" s="172"/>
      <c r="E247" s="172"/>
      <c r="F247" s="172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X247" s="172"/>
      <c r="Y247" s="172"/>
      <c r="Z247" s="172"/>
      <c r="AA247" s="173"/>
    </row>
    <row r="248" spans="1:27" s="11" customFormat="1">
      <c r="A248" s="171"/>
      <c r="B248" s="172"/>
      <c r="C248" s="172"/>
      <c r="D248" s="172"/>
      <c r="E248" s="172"/>
      <c r="F248" s="172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X248" s="172"/>
      <c r="Y248" s="172"/>
      <c r="Z248" s="172"/>
      <c r="AA248" s="173"/>
    </row>
    <row r="249" spans="1:27" s="11" customFormat="1">
      <c r="A249" s="171"/>
      <c r="B249" s="172"/>
      <c r="C249" s="172"/>
      <c r="D249" s="172"/>
      <c r="E249" s="172"/>
      <c r="F249" s="172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X249" s="172"/>
      <c r="Y249" s="172"/>
      <c r="Z249" s="172"/>
      <c r="AA249" s="173"/>
    </row>
    <row r="250" spans="1:27" s="11" customFormat="1">
      <c r="A250" s="171"/>
      <c r="B250" s="172"/>
      <c r="C250" s="172"/>
      <c r="D250" s="172"/>
      <c r="E250" s="172"/>
      <c r="F250" s="172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X250" s="172"/>
      <c r="Y250" s="172"/>
      <c r="Z250" s="172"/>
      <c r="AA250" s="173"/>
    </row>
    <row r="251" spans="1:27" s="11" customFormat="1">
      <c r="A251" s="171"/>
      <c r="B251" s="172"/>
      <c r="C251" s="172"/>
      <c r="D251" s="172"/>
      <c r="E251" s="172"/>
      <c r="F251" s="172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X251" s="172"/>
      <c r="Y251" s="172"/>
      <c r="Z251" s="172"/>
      <c r="AA251" s="173"/>
    </row>
    <row r="252" spans="1:27" s="11" customFormat="1">
      <c r="A252" s="171"/>
      <c r="B252" s="172"/>
      <c r="C252" s="172"/>
      <c r="D252" s="172"/>
      <c r="E252" s="172"/>
      <c r="F252" s="172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X252" s="172"/>
      <c r="Y252" s="172"/>
      <c r="Z252" s="172"/>
      <c r="AA252" s="173"/>
    </row>
    <row r="253" spans="1:27" s="11" customFormat="1">
      <c r="A253" s="171"/>
      <c r="B253" s="172"/>
      <c r="C253" s="172"/>
      <c r="D253" s="172"/>
      <c r="E253" s="172"/>
      <c r="F253" s="172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X253" s="172"/>
      <c r="Y253" s="172"/>
      <c r="Z253" s="172"/>
      <c r="AA253" s="173"/>
    </row>
    <row r="254" spans="1:27" s="11" customFormat="1">
      <c r="A254" s="171"/>
      <c r="B254" s="172"/>
      <c r="C254" s="172"/>
      <c r="D254" s="172"/>
      <c r="E254" s="172"/>
      <c r="F254" s="172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X254" s="172"/>
      <c r="Y254" s="172"/>
      <c r="Z254" s="172"/>
      <c r="AA254" s="173"/>
    </row>
    <row r="255" spans="1:27" s="11" customFormat="1">
      <c r="A255" s="171"/>
      <c r="B255" s="172"/>
      <c r="C255" s="172"/>
      <c r="D255" s="172"/>
      <c r="E255" s="172"/>
      <c r="F255" s="172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X255" s="172"/>
      <c r="Y255" s="172"/>
      <c r="Z255" s="172"/>
      <c r="AA255" s="173"/>
    </row>
    <row r="256" spans="1:27" s="11" customFormat="1">
      <c r="A256" s="171"/>
      <c r="B256" s="172"/>
      <c r="C256" s="172"/>
      <c r="D256" s="172"/>
      <c r="E256" s="172"/>
      <c r="F256" s="172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X256" s="172"/>
      <c r="Y256" s="172"/>
      <c r="Z256" s="172"/>
      <c r="AA256" s="173"/>
    </row>
    <row r="257" spans="1:27" s="11" customFormat="1">
      <c r="A257" s="171"/>
      <c r="B257" s="172"/>
      <c r="C257" s="172"/>
      <c r="D257" s="172"/>
      <c r="E257" s="172"/>
      <c r="F257" s="172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X257" s="172"/>
      <c r="Y257" s="172"/>
      <c r="Z257" s="172"/>
      <c r="AA257" s="173"/>
    </row>
    <row r="258" spans="1:27" s="11" customFormat="1">
      <c r="A258" s="171"/>
      <c r="B258" s="172"/>
      <c r="C258" s="172"/>
      <c r="D258" s="172"/>
      <c r="E258" s="172"/>
      <c r="F258" s="172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X258" s="172"/>
      <c r="Y258" s="172"/>
      <c r="Z258" s="172"/>
      <c r="AA258" s="173"/>
    </row>
    <row r="259" spans="1:27" s="11" customFormat="1">
      <c r="A259" s="171"/>
      <c r="B259" s="172"/>
      <c r="C259" s="172"/>
      <c r="D259" s="172"/>
      <c r="E259" s="172"/>
      <c r="F259" s="172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X259" s="172"/>
      <c r="Y259" s="172"/>
      <c r="Z259" s="172"/>
      <c r="AA259" s="173"/>
    </row>
    <row r="260" spans="1:27" s="11" customFormat="1">
      <c r="A260" s="171"/>
      <c r="B260" s="172"/>
      <c r="C260" s="172"/>
      <c r="D260" s="172"/>
      <c r="E260" s="172"/>
      <c r="F260" s="172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X260" s="172"/>
      <c r="Y260" s="172"/>
      <c r="Z260" s="172"/>
      <c r="AA260" s="173"/>
    </row>
    <row r="261" spans="1:27" s="11" customFormat="1">
      <c r="A261" s="171"/>
      <c r="B261" s="172"/>
      <c r="C261" s="172"/>
      <c r="D261" s="172"/>
      <c r="E261" s="172"/>
      <c r="F261" s="172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X261" s="172"/>
      <c r="Y261" s="172"/>
      <c r="Z261" s="172"/>
      <c r="AA261" s="173"/>
    </row>
    <row r="262" spans="1:27" s="11" customFormat="1">
      <c r="A262" s="171"/>
      <c r="B262" s="172"/>
      <c r="C262" s="172"/>
      <c r="D262" s="172"/>
      <c r="E262" s="172"/>
      <c r="F262" s="172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X262" s="172"/>
      <c r="Y262" s="172"/>
      <c r="Z262" s="172"/>
      <c r="AA262" s="173"/>
    </row>
    <row r="263" spans="1:27" s="11" customFormat="1">
      <c r="A263" s="171"/>
      <c r="B263" s="172"/>
      <c r="C263" s="172"/>
      <c r="D263" s="172"/>
      <c r="E263" s="172"/>
      <c r="F263" s="172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X263" s="172"/>
      <c r="Y263" s="172"/>
      <c r="Z263" s="172"/>
      <c r="AA263" s="173"/>
    </row>
    <row r="264" spans="1:27" s="11" customFormat="1">
      <c r="A264" s="171"/>
      <c r="B264" s="172"/>
      <c r="C264" s="172"/>
      <c r="D264" s="172"/>
      <c r="E264" s="172"/>
      <c r="F264" s="172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X264" s="172"/>
      <c r="Y264" s="172"/>
      <c r="Z264" s="172"/>
      <c r="AA264" s="173"/>
    </row>
    <row r="265" spans="1:27" s="11" customFormat="1">
      <c r="A265" s="171"/>
      <c r="B265" s="172"/>
      <c r="C265" s="172"/>
      <c r="D265" s="172"/>
      <c r="E265" s="172"/>
      <c r="F265" s="172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X265" s="172"/>
      <c r="Y265" s="172"/>
      <c r="Z265" s="172"/>
      <c r="AA265" s="173"/>
    </row>
    <row r="266" spans="1:27" s="11" customFormat="1">
      <c r="A266" s="171"/>
      <c r="B266" s="172"/>
      <c r="C266" s="172"/>
      <c r="D266" s="172"/>
      <c r="E266" s="172"/>
      <c r="F266" s="172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X266" s="172"/>
      <c r="Y266" s="172"/>
      <c r="Z266" s="172"/>
      <c r="AA266" s="173"/>
    </row>
    <row r="267" spans="1:27" s="11" customFormat="1">
      <c r="A267" s="171"/>
      <c r="B267" s="172"/>
      <c r="C267" s="172"/>
      <c r="D267" s="172"/>
      <c r="E267" s="172"/>
      <c r="F267" s="172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X267" s="172"/>
      <c r="Y267" s="172"/>
      <c r="Z267" s="172"/>
      <c r="AA267" s="173"/>
    </row>
    <row r="268" spans="1:27" s="11" customFormat="1">
      <c r="A268" s="171"/>
      <c r="B268" s="172"/>
      <c r="C268" s="172"/>
      <c r="D268" s="172"/>
      <c r="E268" s="172"/>
      <c r="F268" s="172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X268" s="172"/>
      <c r="Y268" s="172"/>
      <c r="Z268" s="172"/>
      <c r="AA268" s="173"/>
    </row>
    <row r="269" spans="1:27" s="11" customFormat="1">
      <c r="A269" s="171"/>
      <c r="B269" s="172"/>
      <c r="C269" s="172"/>
      <c r="D269" s="172"/>
      <c r="E269" s="172"/>
      <c r="F269" s="172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X269" s="172"/>
      <c r="Y269" s="172"/>
      <c r="Z269" s="172"/>
      <c r="AA269" s="173"/>
    </row>
    <row r="270" spans="1:27" s="11" customFormat="1">
      <c r="A270" s="171"/>
      <c r="B270" s="172"/>
      <c r="C270" s="172"/>
      <c r="D270" s="172"/>
      <c r="E270" s="172"/>
      <c r="F270" s="172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X270" s="172"/>
      <c r="Y270" s="172"/>
      <c r="Z270" s="172"/>
      <c r="AA270" s="173"/>
    </row>
    <row r="271" spans="1:27" s="11" customFormat="1">
      <c r="A271" s="171"/>
      <c r="B271" s="172"/>
      <c r="C271" s="172"/>
      <c r="D271" s="172"/>
      <c r="E271" s="172"/>
      <c r="F271" s="172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X271" s="172"/>
      <c r="Y271" s="172"/>
      <c r="Z271" s="172"/>
      <c r="AA271" s="173"/>
    </row>
    <row r="272" spans="1:27" s="11" customFormat="1">
      <c r="A272" s="171"/>
      <c r="B272" s="172"/>
      <c r="C272" s="172"/>
      <c r="D272" s="172"/>
      <c r="E272" s="172"/>
      <c r="F272" s="172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X272" s="172"/>
      <c r="Y272" s="172"/>
      <c r="Z272" s="172"/>
      <c r="AA272" s="173"/>
    </row>
    <row r="273" spans="1:27" s="11" customFormat="1">
      <c r="A273" s="171"/>
      <c r="B273" s="172"/>
      <c r="C273" s="172"/>
      <c r="D273" s="172"/>
      <c r="E273" s="172"/>
      <c r="F273" s="172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X273" s="172"/>
      <c r="Y273" s="172"/>
      <c r="Z273" s="172"/>
      <c r="AA273" s="173"/>
    </row>
    <row r="274" spans="1:27" s="11" customFormat="1">
      <c r="A274" s="171"/>
      <c r="B274" s="172"/>
      <c r="C274" s="172"/>
      <c r="D274" s="172"/>
      <c r="E274" s="172"/>
      <c r="F274" s="172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X274" s="172"/>
      <c r="Y274" s="172"/>
      <c r="Z274" s="172"/>
      <c r="AA274" s="173"/>
    </row>
    <row r="275" spans="1:27" s="11" customFormat="1">
      <c r="A275" s="171"/>
      <c r="B275" s="172"/>
      <c r="C275" s="172"/>
      <c r="D275" s="172"/>
      <c r="E275" s="172"/>
      <c r="F275" s="172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X275" s="172"/>
      <c r="Y275" s="172"/>
      <c r="Z275" s="172"/>
      <c r="AA275" s="173"/>
    </row>
    <row r="276" spans="1:27" s="11" customFormat="1">
      <c r="A276" s="171"/>
      <c r="B276" s="172"/>
      <c r="C276" s="172"/>
      <c r="D276" s="172"/>
      <c r="E276" s="172"/>
      <c r="F276" s="172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X276" s="172"/>
      <c r="Y276" s="172"/>
      <c r="Z276" s="172"/>
      <c r="AA276" s="173"/>
    </row>
    <row r="277" spans="1:27" s="11" customFormat="1">
      <c r="A277" s="171"/>
      <c r="B277" s="172"/>
      <c r="C277" s="172"/>
      <c r="D277" s="172"/>
      <c r="E277" s="172"/>
      <c r="F277" s="172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X277" s="172"/>
      <c r="Y277" s="172"/>
      <c r="Z277" s="172"/>
      <c r="AA277" s="173"/>
    </row>
    <row r="278" spans="1:27" s="11" customFormat="1">
      <c r="A278" s="171"/>
      <c r="B278" s="172"/>
      <c r="C278" s="172"/>
      <c r="D278" s="172"/>
      <c r="E278" s="172"/>
      <c r="F278" s="172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X278" s="172"/>
      <c r="Y278" s="172"/>
      <c r="Z278" s="172"/>
      <c r="AA278" s="173"/>
    </row>
    <row r="279" spans="1:27" s="11" customFormat="1">
      <c r="A279" s="171"/>
      <c r="B279" s="172"/>
      <c r="C279" s="172"/>
      <c r="D279" s="172"/>
      <c r="E279" s="172"/>
      <c r="F279" s="172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X279" s="172"/>
      <c r="Y279" s="172"/>
      <c r="Z279" s="172"/>
      <c r="AA279" s="173"/>
    </row>
    <row r="280" spans="1:27" s="11" customFormat="1">
      <c r="A280" s="171"/>
      <c r="B280" s="172"/>
      <c r="C280" s="172"/>
      <c r="D280" s="172"/>
      <c r="E280" s="172"/>
      <c r="F280" s="172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X280" s="172"/>
      <c r="Y280" s="172"/>
      <c r="Z280" s="172"/>
      <c r="AA280" s="173"/>
    </row>
    <row r="281" spans="1:27" s="11" customFormat="1">
      <c r="A281" s="171"/>
      <c r="B281" s="172"/>
      <c r="C281" s="172"/>
      <c r="D281" s="172"/>
      <c r="E281" s="172"/>
      <c r="F281" s="172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X281" s="172"/>
      <c r="Y281" s="172"/>
      <c r="Z281" s="172"/>
      <c r="AA281" s="173"/>
    </row>
    <row r="282" spans="1:27" s="11" customFormat="1">
      <c r="A282" s="171"/>
      <c r="B282" s="172"/>
      <c r="C282" s="172"/>
      <c r="D282" s="172"/>
      <c r="E282" s="172"/>
      <c r="F282" s="172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X282" s="172"/>
      <c r="Y282" s="172"/>
      <c r="Z282" s="172"/>
      <c r="AA282" s="173"/>
    </row>
    <row r="283" spans="1:27" s="11" customFormat="1">
      <c r="A283" s="171"/>
      <c r="B283" s="172"/>
      <c r="C283" s="172"/>
      <c r="D283" s="172"/>
      <c r="E283" s="172"/>
      <c r="F283" s="172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X283" s="172"/>
      <c r="Y283" s="172"/>
      <c r="Z283" s="172"/>
      <c r="AA283" s="173"/>
    </row>
    <row r="284" spans="1:27" s="11" customFormat="1">
      <c r="A284" s="171"/>
      <c r="B284" s="172"/>
      <c r="C284" s="172"/>
      <c r="D284" s="172"/>
      <c r="E284" s="172"/>
      <c r="F284" s="172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X284" s="172"/>
      <c r="Y284" s="172"/>
      <c r="Z284" s="172"/>
      <c r="AA284" s="173"/>
    </row>
    <row r="285" spans="1:27" s="11" customFormat="1">
      <c r="A285" s="171"/>
      <c r="B285" s="172"/>
      <c r="C285" s="172"/>
      <c r="D285" s="172"/>
      <c r="E285" s="172"/>
      <c r="F285" s="172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X285" s="172"/>
      <c r="Y285" s="172"/>
      <c r="Z285" s="172"/>
      <c r="AA285" s="173"/>
    </row>
    <row r="286" spans="1:27" s="11" customFormat="1">
      <c r="A286" s="171"/>
      <c r="B286" s="172"/>
      <c r="C286" s="172"/>
      <c r="D286" s="172"/>
      <c r="E286" s="172"/>
      <c r="F286" s="172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X286" s="172"/>
      <c r="Y286" s="172"/>
      <c r="Z286" s="172"/>
      <c r="AA286" s="173"/>
    </row>
    <row r="287" spans="1:27" s="11" customFormat="1">
      <c r="A287" s="171"/>
      <c r="B287" s="172"/>
      <c r="C287" s="172"/>
      <c r="D287" s="172"/>
      <c r="E287" s="172"/>
      <c r="F287" s="172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X287" s="172"/>
      <c r="Y287" s="172"/>
      <c r="Z287" s="172"/>
      <c r="AA287" s="173"/>
    </row>
    <row r="288" spans="1:27" s="11" customFormat="1">
      <c r="A288" s="171"/>
      <c r="B288" s="172"/>
      <c r="C288" s="172"/>
      <c r="D288" s="172"/>
      <c r="E288" s="172"/>
      <c r="F288" s="172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X288" s="172"/>
      <c r="Y288" s="172"/>
      <c r="Z288" s="172"/>
      <c r="AA288" s="173"/>
    </row>
    <row r="289" spans="1:27" s="11" customFormat="1">
      <c r="A289" s="171"/>
      <c r="B289" s="172"/>
      <c r="C289" s="172"/>
      <c r="D289" s="172"/>
      <c r="E289" s="172"/>
      <c r="F289" s="172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X289" s="172"/>
      <c r="Y289" s="172"/>
      <c r="Z289" s="172"/>
      <c r="AA289" s="173"/>
    </row>
    <row r="290" spans="1:27" s="11" customFormat="1">
      <c r="A290" s="171"/>
      <c r="B290" s="172"/>
      <c r="C290" s="172"/>
      <c r="D290" s="172"/>
      <c r="E290" s="172"/>
      <c r="F290" s="172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X290" s="172"/>
      <c r="Y290" s="172"/>
      <c r="Z290" s="172"/>
      <c r="AA290" s="173"/>
    </row>
    <row r="291" spans="1:27" s="11" customFormat="1">
      <c r="A291" s="171"/>
      <c r="B291" s="172"/>
      <c r="C291" s="172"/>
      <c r="D291" s="172"/>
      <c r="E291" s="172"/>
      <c r="F291" s="172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X291" s="172"/>
      <c r="Y291" s="172"/>
      <c r="Z291" s="172"/>
      <c r="AA291" s="173"/>
    </row>
    <row r="292" spans="1:27" s="11" customFormat="1">
      <c r="A292" s="171"/>
      <c r="B292" s="172"/>
      <c r="C292" s="172"/>
      <c r="D292" s="172"/>
      <c r="E292" s="172"/>
      <c r="F292" s="172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X292" s="172"/>
      <c r="Y292" s="172"/>
      <c r="Z292" s="172"/>
      <c r="AA292" s="173"/>
    </row>
    <row r="293" spans="1:27" s="11" customFormat="1">
      <c r="A293" s="171"/>
      <c r="B293" s="172"/>
      <c r="C293" s="172"/>
      <c r="D293" s="172"/>
      <c r="E293" s="172"/>
      <c r="F293" s="172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X293" s="172"/>
      <c r="Y293" s="172"/>
      <c r="Z293" s="172"/>
      <c r="AA293" s="173"/>
    </row>
    <row r="294" spans="1:27" s="11" customFormat="1">
      <c r="A294" s="171"/>
      <c r="B294" s="172"/>
      <c r="C294" s="172"/>
      <c r="D294" s="172"/>
      <c r="E294" s="172"/>
      <c r="F294" s="172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X294" s="172"/>
      <c r="Y294" s="172"/>
      <c r="Z294" s="172"/>
      <c r="AA294" s="173"/>
    </row>
    <row r="295" spans="1:27" s="11" customFormat="1">
      <c r="A295" s="171"/>
      <c r="B295" s="172"/>
      <c r="C295" s="172"/>
      <c r="D295" s="172"/>
      <c r="E295" s="172"/>
      <c r="F295" s="172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X295" s="172"/>
      <c r="Y295" s="172"/>
      <c r="Z295" s="172"/>
      <c r="AA295" s="173"/>
    </row>
    <row r="296" spans="1:27" s="11" customFormat="1">
      <c r="A296" s="171"/>
      <c r="B296" s="172"/>
      <c r="C296" s="172"/>
      <c r="D296" s="172"/>
      <c r="E296" s="172"/>
      <c r="F296" s="172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X296" s="172"/>
      <c r="Y296" s="172"/>
      <c r="Z296" s="172"/>
      <c r="AA296" s="173"/>
    </row>
    <row r="297" spans="1:27" s="11" customFormat="1">
      <c r="A297" s="171"/>
      <c r="B297" s="172"/>
      <c r="C297" s="172"/>
      <c r="D297" s="172"/>
      <c r="E297" s="172"/>
      <c r="F297" s="172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X297" s="172"/>
      <c r="Y297" s="172"/>
      <c r="Z297" s="172"/>
      <c r="AA297" s="173"/>
    </row>
    <row r="298" spans="1:27" s="11" customFormat="1">
      <c r="A298" s="171"/>
      <c r="B298" s="172"/>
      <c r="C298" s="172"/>
      <c r="D298" s="172"/>
      <c r="E298" s="172"/>
      <c r="F298" s="172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X298" s="172"/>
      <c r="Y298" s="172"/>
      <c r="Z298" s="172"/>
      <c r="AA298" s="173"/>
    </row>
    <row r="299" spans="1:27" s="11" customFormat="1">
      <c r="A299" s="171"/>
      <c r="B299" s="172"/>
      <c r="C299" s="172"/>
      <c r="D299" s="172"/>
      <c r="E299" s="172"/>
      <c r="F299" s="172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X299" s="172"/>
      <c r="Y299" s="172"/>
      <c r="Z299" s="172"/>
      <c r="AA299" s="173"/>
    </row>
    <row r="300" spans="1:27" s="11" customFormat="1">
      <c r="A300" s="171"/>
      <c r="B300" s="172"/>
      <c r="C300" s="172"/>
      <c r="D300" s="172"/>
      <c r="E300" s="172"/>
      <c r="F300" s="172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X300" s="172"/>
      <c r="Y300" s="172"/>
      <c r="Z300" s="172"/>
      <c r="AA300" s="173"/>
    </row>
    <row r="301" spans="1:27" s="11" customFormat="1">
      <c r="A301" s="171"/>
      <c r="B301" s="172"/>
      <c r="C301" s="172"/>
      <c r="D301" s="172"/>
      <c r="E301" s="172"/>
      <c r="F301" s="172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X301" s="172"/>
      <c r="Y301" s="172"/>
      <c r="Z301" s="172"/>
      <c r="AA301" s="173"/>
    </row>
    <row r="302" spans="1:27" s="11" customFormat="1">
      <c r="A302" s="171"/>
      <c r="B302" s="172"/>
      <c r="C302" s="172"/>
      <c r="D302" s="172"/>
      <c r="E302" s="172"/>
      <c r="F302" s="172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X302" s="172"/>
      <c r="Y302" s="172"/>
      <c r="Z302" s="172"/>
      <c r="AA302" s="173"/>
    </row>
    <row r="303" spans="1:27" s="11" customFormat="1">
      <c r="A303" s="171"/>
      <c r="B303" s="172"/>
      <c r="C303" s="172"/>
      <c r="D303" s="172"/>
      <c r="E303" s="172"/>
      <c r="F303" s="172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X303" s="172"/>
      <c r="Y303" s="172"/>
      <c r="Z303" s="172"/>
      <c r="AA303" s="173"/>
    </row>
    <row r="304" spans="1:27" s="11" customFormat="1">
      <c r="A304" s="171"/>
      <c r="B304" s="172"/>
      <c r="C304" s="172"/>
      <c r="D304" s="172"/>
      <c r="E304" s="172"/>
      <c r="F304" s="172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X304" s="172"/>
      <c r="Y304" s="172"/>
      <c r="Z304" s="172"/>
      <c r="AA304" s="173"/>
    </row>
    <row r="305" spans="1:27" s="11" customFormat="1">
      <c r="A305" s="171"/>
      <c r="B305" s="172"/>
      <c r="C305" s="172"/>
      <c r="D305" s="172"/>
      <c r="E305" s="172"/>
      <c r="F305" s="172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X305" s="172"/>
      <c r="Y305" s="172"/>
      <c r="Z305" s="172"/>
      <c r="AA305" s="173"/>
    </row>
    <row r="306" spans="1:27" s="11" customFormat="1">
      <c r="A306" s="171"/>
      <c r="B306" s="172"/>
      <c r="C306" s="172"/>
      <c r="D306" s="172"/>
      <c r="E306" s="172"/>
      <c r="F306" s="172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X306" s="172"/>
      <c r="Y306" s="172"/>
      <c r="Z306" s="172"/>
      <c r="AA306" s="173"/>
    </row>
    <row r="307" spans="1:27" s="11" customFormat="1">
      <c r="A307" s="171"/>
      <c r="B307" s="172"/>
      <c r="C307" s="172"/>
      <c r="D307" s="172"/>
      <c r="E307" s="172"/>
      <c r="F307" s="172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X307" s="172"/>
      <c r="Y307" s="172"/>
      <c r="Z307" s="172"/>
      <c r="AA307" s="173"/>
    </row>
    <row r="308" spans="1:27" s="11" customFormat="1">
      <c r="A308" s="171"/>
      <c r="B308" s="172"/>
      <c r="C308" s="172"/>
      <c r="D308" s="172"/>
      <c r="E308" s="172"/>
      <c r="F308" s="172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X308" s="172"/>
      <c r="Y308" s="172"/>
      <c r="Z308" s="172"/>
      <c r="AA308" s="173"/>
    </row>
    <row r="309" spans="1:27" s="11" customFormat="1">
      <c r="A309" s="171"/>
      <c r="B309" s="172"/>
      <c r="C309" s="172"/>
      <c r="D309" s="172"/>
      <c r="E309" s="172"/>
      <c r="F309" s="172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X309" s="172"/>
      <c r="Y309" s="172"/>
      <c r="Z309" s="172"/>
      <c r="AA309" s="173"/>
    </row>
    <row r="310" spans="1:27" s="11" customFormat="1">
      <c r="A310" s="171"/>
      <c r="B310" s="172"/>
      <c r="C310" s="172"/>
      <c r="D310" s="172"/>
      <c r="E310" s="172"/>
      <c r="F310" s="172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X310" s="172"/>
      <c r="Y310" s="172"/>
      <c r="Z310" s="172"/>
      <c r="AA310" s="173"/>
    </row>
    <row r="311" spans="1:27" s="11" customFormat="1">
      <c r="A311" s="171"/>
      <c r="B311" s="172"/>
      <c r="C311" s="172"/>
      <c r="D311" s="172"/>
      <c r="E311" s="172"/>
      <c r="F311" s="172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X311" s="172"/>
      <c r="Y311" s="172"/>
      <c r="Z311" s="172"/>
      <c r="AA311" s="173"/>
    </row>
    <row r="312" spans="1:27" s="11" customFormat="1">
      <c r="A312" s="171"/>
      <c r="B312" s="172"/>
      <c r="C312" s="172"/>
      <c r="D312" s="172"/>
      <c r="E312" s="172"/>
      <c r="F312" s="172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X312" s="172"/>
      <c r="Y312" s="172"/>
      <c r="Z312" s="172"/>
      <c r="AA312" s="173"/>
    </row>
    <row r="313" spans="1:27" s="11" customFormat="1">
      <c r="A313" s="171"/>
      <c r="B313" s="172"/>
      <c r="C313" s="172"/>
      <c r="D313" s="172"/>
      <c r="E313" s="172"/>
      <c r="F313" s="172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X313" s="172"/>
      <c r="Y313" s="172"/>
      <c r="Z313" s="172"/>
      <c r="AA313" s="173"/>
    </row>
    <row r="314" spans="1:27" s="11" customFormat="1">
      <c r="A314" s="171"/>
      <c r="B314" s="172"/>
      <c r="C314" s="172"/>
      <c r="D314" s="172"/>
      <c r="E314" s="172"/>
      <c r="F314" s="172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X314" s="172"/>
      <c r="Y314" s="172"/>
      <c r="Z314" s="172"/>
      <c r="AA314" s="173"/>
    </row>
    <row r="315" spans="1:27" s="11" customFormat="1">
      <c r="A315" s="171"/>
      <c r="B315" s="172"/>
      <c r="C315" s="172"/>
      <c r="D315" s="172"/>
      <c r="E315" s="172"/>
      <c r="F315" s="172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X315" s="172"/>
      <c r="Y315" s="172"/>
      <c r="Z315" s="172"/>
      <c r="AA315" s="173"/>
    </row>
    <row r="316" spans="1:27" s="11" customFormat="1">
      <c r="A316" s="171"/>
      <c r="B316" s="172"/>
      <c r="C316" s="172"/>
      <c r="D316" s="172"/>
      <c r="E316" s="172"/>
      <c r="F316" s="172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X316" s="172"/>
      <c r="Y316" s="172"/>
      <c r="Z316" s="172"/>
      <c r="AA316" s="173"/>
    </row>
    <row r="317" spans="1:27" s="11" customFormat="1">
      <c r="A317" s="171"/>
      <c r="B317" s="172"/>
      <c r="C317" s="172"/>
      <c r="D317" s="172"/>
      <c r="E317" s="172"/>
      <c r="F317" s="172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X317" s="172"/>
      <c r="Y317" s="172"/>
      <c r="Z317" s="172"/>
      <c r="AA317" s="173"/>
    </row>
    <row r="318" spans="1:27" s="11" customFormat="1">
      <c r="A318" s="171"/>
      <c r="B318" s="172"/>
      <c r="C318" s="172"/>
      <c r="D318" s="172"/>
      <c r="E318" s="172"/>
      <c r="F318" s="172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X318" s="172"/>
      <c r="Y318" s="172"/>
      <c r="Z318" s="172"/>
      <c r="AA318" s="173"/>
    </row>
    <row r="319" spans="1:27" s="11" customFormat="1">
      <c r="A319" s="171"/>
      <c r="B319" s="172"/>
      <c r="C319" s="172"/>
      <c r="D319" s="172"/>
      <c r="E319" s="172"/>
      <c r="F319" s="172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X319" s="172"/>
      <c r="Y319" s="172"/>
      <c r="Z319" s="172"/>
      <c r="AA319" s="173"/>
    </row>
    <row r="320" spans="1:27" s="11" customFormat="1">
      <c r="A320" s="171"/>
      <c r="B320" s="172"/>
      <c r="C320" s="172"/>
      <c r="D320" s="172"/>
      <c r="E320" s="172"/>
      <c r="F320" s="172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X320" s="172"/>
      <c r="Y320" s="172"/>
      <c r="Z320" s="172"/>
      <c r="AA320" s="173"/>
    </row>
    <row r="321" spans="1:27" s="11" customFormat="1">
      <c r="A321" s="171"/>
      <c r="B321" s="172"/>
      <c r="C321" s="172"/>
      <c r="D321" s="172"/>
      <c r="E321" s="172"/>
      <c r="F321" s="172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X321" s="172"/>
      <c r="Y321" s="172"/>
      <c r="Z321" s="172"/>
      <c r="AA321" s="173"/>
    </row>
    <row r="322" spans="1:27" s="11" customFormat="1">
      <c r="A322" s="171"/>
      <c r="B322" s="172"/>
      <c r="C322" s="172"/>
      <c r="D322" s="172"/>
      <c r="E322" s="172"/>
      <c r="F322" s="172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X322" s="172"/>
      <c r="Y322" s="172"/>
      <c r="Z322" s="172"/>
      <c r="AA322" s="173"/>
    </row>
    <row r="323" spans="1:27" s="11" customFormat="1">
      <c r="A323" s="171"/>
      <c r="B323" s="172"/>
      <c r="C323" s="172"/>
      <c r="D323" s="172"/>
      <c r="E323" s="172"/>
      <c r="F323" s="172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X323" s="172"/>
      <c r="Y323" s="172"/>
      <c r="Z323" s="172"/>
      <c r="AA323" s="173"/>
    </row>
    <row r="324" spans="1:27" s="11" customFormat="1">
      <c r="A324" s="171"/>
      <c r="B324" s="172"/>
      <c r="C324" s="172"/>
      <c r="D324" s="172"/>
      <c r="E324" s="172"/>
      <c r="F324" s="172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X324" s="172"/>
      <c r="Y324" s="172"/>
      <c r="Z324" s="172"/>
      <c r="AA324" s="173"/>
    </row>
    <row r="325" spans="1:27" s="11" customFormat="1">
      <c r="A325" s="171"/>
      <c r="B325" s="172"/>
      <c r="C325" s="172"/>
      <c r="D325" s="172"/>
      <c r="E325" s="172"/>
      <c r="F325" s="172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X325" s="172"/>
      <c r="Y325" s="172"/>
      <c r="Z325" s="172"/>
      <c r="AA325" s="173"/>
    </row>
    <row r="326" spans="1:27" s="11" customFormat="1">
      <c r="A326" s="171"/>
      <c r="B326" s="172"/>
      <c r="C326" s="172"/>
      <c r="D326" s="172"/>
      <c r="E326" s="172"/>
      <c r="F326" s="172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X326" s="172"/>
      <c r="Y326" s="172"/>
      <c r="Z326" s="172"/>
      <c r="AA326" s="173"/>
    </row>
    <row r="327" spans="1:27" s="11" customFormat="1">
      <c r="A327" s="171"/>
      <c r="B327" s="172"/>
      <c r="C327" s="172"/>
      <c r="D327" s="172"/>
      <c r="E327" s="172"/>
      <c r="F327" s="172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X327" s="172"/>
      <c r="Y327" s="172"/>
      <c r="Z327" s="172"/>
      <c r="AA327" s="173"/>
    </row>
    <row r="328" spans="1:27" s="11" customFormat="1">
      <c r="A328" s="171"/>
      <c r="B328" s="172"/>
      <c r="C328" s="172"/>
      <c r="D328" s="172"/>
      <c r="E328" s="172"/>
      <c r="F328" s="172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X328" s="172"/>
      <c r="Y328" s="172"/>
      <c r="Z328" s="172"/>
      <c r="AA328" s="173"/>
    </row>
    <row r="329" spans="1:27" s="11" customFormat="1">
      <c r="A329" s="171"/>
      <c r="B329" s="172"/>
      <c r="C329" s="172"/>
      <c r="D329" s="172"/>
      <c r="E329" s="172"/>
      <c r="F329" s="172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X329" s="172"/>
      <c r="Y329" s="172"/>
      <c r="Z329" s="172"/>
      <c r="AA329" s="173"/>
    </row>
    <row r="330" spans="1:27" s="11" customFormat="1">
      <c r="A330" s="171"/>
      <c r="B330" s="172"/>
      <c r="C330" s="172"/>
      <c r="D330" s="172"/>
      <c r="E330" s="172"/>
      <c r="F330" s="172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X330" s="172"/>
      <c r="Y330" s="172"/>
      <c r="Z330" s="172"/>
      <c r="AA330" s="173"/>
    </row>
    <row r="331" spans="1:27" s="11" customFormat="1">
      <c r="A331" s="171"/>
      <c r="B331" s="172"/>
      <c r="C331" s="172"/>
      <c r="D331" s="172"/>
      <c r="E331" s="172"/>
      <c r="F331" s="172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X331" s="172"/>
      <c r="Y331" s="172"/>
      <c r="Z331" s="172"/>
      <c r="AA331" s="173"/>
    </row>
    <row r="332" spans="1:27" s="11" customFormat="1">
      <c r="A332" s="171"/>
      <c r="B332" s="172"/>
      <c r="C332" s="172"/>
      <c r="D332" s="172"/>
      <c r="E332" s="172"/>
      <c r="F332" s="172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X332" s="172"/>
      <c r="Y332" s="172"/>
      <c r="Z332" s="172"/>
      <c r="AA332" s="173"/>
    </row>
    <row r="333" spans="1:27" s="11" customFormat="1">
      <c r="A333" s="171"/>
      <c r="B333" s="172"/>
      <c r="C333" s="172"/>
      <c r="D333" s="172"/>
      <c r="E333" s="172"/>
      <c r="F333" s="172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X333" s="172"/>
      <c r="Y333" s="172"/>
      <c r="Z333" s="172"/>
      <c r="AA333" s="173"/>
    </row>
    <row r="334" spans="1:27" s="11" customFormat="1">
      <c r="A334" s="171"/>
      <c r="B334" s="172"/>
      <c r="C334" s="172"/>
      <c r="D334" s="172"/>
      <c r="E334" s="172"/>
      <c r="F334" s="172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X334" s="172"/>
      <c r="Y334" s="172"/>
      <c r="Z334" s="172"/>
      <c r="AA334" s="173"/>
    </row>
    <row r="335" spans="1:27" s="11" customFormat="1">
      <c r="A335" s="171"/>
      <c r="B335" s="172"/>
      <c r="C335" s="172"/>
      <c r="D335" s="172"/>
      <c r="E335" s="172"/>
      <c r="F335" s="172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X335" s="172"/>
      <c r="Y335" s="172"/>
      <c r="Z335" s="172"/>
      <c r="AA335" s="173"/>
    </row>
    <row r="336" spans="1:27" s="11" customFormat="1">
      <c r="A336" s="171"/>
      <c r="B336" s="172"/>
      <c r="C336" s="172"/>
      <c r="D336" s="172"/>
      <c r="E336" s="172"/>
      <c r="F336" s="172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X336" s="172"/>
      <c r="Y336" s="172"/>
      <c r="Z336" s="172"/>
      <c r="AA336" s="173"/>
    </row>
    <row r="337" spans="1:27" s="11" customFormat="1">
      <c r="A337" s="171"/>
      <c r="B337" s="172"/>
      <c r="C337" s="172"/>
      <c r="D337" s="172"/>
      <c r="E337" s="172"/>
      <c r="F337" s="172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X337" s="172"/>
      <c r="Y337" s="172"/>
      <c r="Z337" s="172"/>
      <c r="AA337" s="173"/>
    </row>
    <row r="338" spans="1:27" s="11" customFormat="1">
      <c r="A338" s="171"/>
      <c r="B338" s="172"/>
      <c r="C338" s="172"/>
      <c r="D338" s="172"/>
      <c r="E338" s="172"/>
      <c r="F338" s="172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X338" s="172"/>
      <c r="Y338" s="172"/>
      <c r="Z338" s="172"/>
      <c r="AA338" s="173"/>
    </row>
    <row r="339" spans="1:27" s="11" customFormat="1">
      <c r="A339" s="171"/>
      <c r="B339" s="172"/>
      <c r="C339" s="172"/>
      <c r="D339" s="172"/>
      <c r="E339" s="172"/>
      <c r="F339" s="172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X339" s="172"/>
      <c r="Y339" s="172"/>
      <c r="Z339" s="172"/>
      <c r="AA339" s="173"/>
    </row>
    <row r="340" spans="1:27" s="11" customFormat="1">
      <c r="A340" s="171"/>
      <c r="B340" s="172"/>
      <c r="C340" s="172"/>
      <c r="D340" s="172"/>
      <c r="E340" s="172"/>
      <c r="F340" s="172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X340" s="172"/>
      <c r="Y340" s="172"/>
      <c r="Z340" s="172"/>
      <c r="AA340" s="173"/>
    </row>
    <row r="341" spans="1:27" s="11" customFormat="1">
      <c r="A341" s="171"/>
      <c r="B341" s="172"/>
      <c r="C341" s="172"/>
      <c r="D341" s="172"/>
      <c r="E341" s="172"/>
      <c r="F341" s="172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X341" s="172"/>
      <c r="Y341" s="172"/>
      <c r="Z341" s="172"/>
      <c r="AA341" s="173"/>
    </row>
    <row r="342" spans="1:27" s="11" customFormat="1">
      <c r="A342" s="171"/>
      <c r="B342" s="172"/>
      <c r="C342" s="172"/>
      <c r="D342" s="172"/>
      <c r="E342" s="172"/>
      <c r="F342" s="172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X342" s="172"/>
      <c r="Y342" s="172"/>
      <c r="Z342" s="172"/>
      <c r="AA342" s="173"/>
    </row>
    <row r="343" spans="1:27" s="11" customFormat="1">
      <c r="A343" s="171"/>
      <c r="B343" s="172"/>
      <c r="C343" s="172"/>
      <c r="D343" s="172"/>
      <c r="E343" s="172"/>
      <c r="F343" s="172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X343" s="172"/>
      <c r="Y343" s="172"/>
      <c r="Z343" s="172"/>
      <c r="AA343" s="173"/>
    </row>
    <row r="344" spans="1:27" s="11" customFormat="1">
      <c r="A344" s="171"/>
      <c r="B344" s="172"/>
      <c r="C344" s="172"/>
      <c r="D344" s="172"/>
      <c r="E344" s="172"/>
      <c r="F344" s="172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X344" s="172"/>
      <c r="Y344" s="172"/>
      <c r="Z344" s="172"/>
      <c r="AA344" s="173"/>
    </row>
    <row r="345" spans="1:27" s="11" customFormat="1">
      <c r="A345" s="171"/>
      <c r="B345" s="172"/>
      <c r="C345" s="172"/>
      <c r="D345" s="172"/>
      <c r="E345" s="172"/>
      <c r="F345" s="172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X345" s="172"/>
      <c r="Y345" s="172"/>
      <c r="Z345" s="172"/>
      <c r="AA345" s="173"/>
    </row>
    <row r="346" spans="1:27" s="11" customFormat="1">
      <c r="A346" s="171"/>
      <c r="B346" s="172"/>
      <c r="C346" s="172"/>
      <c r="D346" s="172"/>
      <c r="E346" s="172"/>
      <c r="F346" s="172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X346" s="172"/>
      <c r="Y346" s="172"/>
      <c r="Z346" s="172"/>
      <c r="AA346" s="173"/>
    </row>
    <row r="347" spans="1:27" s="11" customFormat="1">
      <c r="A347" s="171"/>
      <c r="B347" s="172"/>
      <c r="C347" s="172"/>
      <c r="D347" s="172"/>
      <c r="E347" s="172"/>
      <c r="F347" s="172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X347" s="172"/>
      <c r="Y347" s="172"/>
      <c r="Z347" s="172"/>
      <c r="AA347" s="173"/>
    </row>
    <row r="348" spans="1:27" s="11" customFormat="1">
      <c r="A348" s="171"/>
      <c r="B348" s="172"/>
      <c r="C348" s="172"/>
      <c r="D348" s="172"/>
      <c r="E348" s="172"/>
      <c r="F348" s="172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X348" s="172"/>
      <c r="Y348" s="172"/>
      <c r="Z348" s="172"/>
      <c r="AA348" s="173"/>
    </row>
    <row r="349" spans="1:27" s="11" customFormat="1">
      <c r="A349" s="171"/>
      <c r="B349" s="172"/>
      <c r="C349" s="172"/>
      <c r="D349" s="172"/>
      <c r="E349" s="172"/>
      <c r="F349" s="172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X349" s="172"/>
      <c r="Y349" s="172"/>
      <c r="Z349" s="172"/>
      <c r="AA349" s="173"/>
    </row>
    <row r="350" spans="1:27" s="11" customFormat="1">
      <c r="A350" s="171"/>
      <c r="B350" s="172"/>
      <c r="C350" s="172"/>
      <c r="D350" s="172"/>
      <c r="E350" s="172"/>
      <c r="F350" s="172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X350" s="172"/>
      <c r="Y350" s="172"/>
      <c r="Z350" s="172"/>
      <c r="AA350" s="173"/>
    </row>
    <row r="351" spans="1:27" s="11" customFormat="1">
      <c r="A351" s="171"/>
      <c r="B351" s="172"/>
      <c r="C351" s="172"/>
      <c r="D351" s="172"/>
      <c r="E351" s="172"/>
      <c r="F351" s="172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X351" s="172"/>
      <c r="Y351" s="172"/>
      <c r="Z351" s="172"/>
      <c r="AA351" s="173"/>
    </row>
    <row r="352" spans="1:27" s="11" customFormat="1">
      <c r="A352" s="171"/>
      <c r="B352" s="172"/>
      <c r="C352" s="172"/>
      <c r="D352" s="172"/>
      <c r="E352" s="172"/>
      <c r="F352" s="172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X352" s="172"/>
      <c r="Y352" s="172"/>
      <c r="Z352" s="172"/>
      <c r="AA352" s="173"/>
    </row>
    <row r="353" spans="1:27" s="11" customFormat="1">
      <c r="A353" s="171"/>
      <c r="B353" s="172"/>
      <c r="C353" s="172"/>
      <c r="D353" s="172"/>
      <c r="E353" s="172"/>
      <c r="F353" s="172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X353" s="172"/>
      <c r="Y353" s="172"/>
      <c r="Z353" s="172"/>
      <c r="AA353" s="173"/>
    </row>
    <row r="354" spans="1:27" s="11" customFormat="1">
      <c r="A354" s="171"/>
      <c r="B354" s="172"/>
      <c r="C354" s="172"/>
      <c r="D354" s="172"/>
      <c r="E354" s="172"/>
      <c r="F354" s="172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X354" s="172"/>
      <c r="Y354" s="172"/>
      <c r="Z354" s="172"/>
      <c r="AA354" s="173"/>
    </row>
    <row r="355" spans="1:27" s="11" customFormat="1">
      <c r="A355" s="171"/>
      <c r="B355" s="172"/>
      <c r="C355" s="172"/>
      <c r="D355" s="172"/>
      <c r="E355" s="172"/>
      <c r="F355" s="172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X355" s="172"/>
      <c r="Y355" s="172"/>
      <c r="Z355" s="172"/>
      <c r="AA355" s="173"/>
    </row>
    <row r="356" spans="1:27" s="11" customFormat="1">
      <c r="A356" s="171"/>
      <c r="B356" s="172"/>
      <c r="C356" s="172"/>
      <c r="D356" s="172"/>
      <c r="E356" s="172"/>
      <c r="F356" s="172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X356" s="172"/>
      <c r="Y356" s="172"/>
      <c r="Z356" s="172"/>
      <c r="AA356" s="173"/>
    </row>
    <row r="357" spans="1:27" s="11" customFormat="1">
      <c r="A357" s="171"/>
      <c r="B357" s="172"/>
      <c r="C357" s="172"/>
      <c r="D357" s="172"/>
      <c r="E357" s="172"/>
      <c r="F357" s="172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X357" s="172"/>
      <c r="Y357" s="172"/>
      <c r="Z357" s="172"/>
      <c r="AA357" s="173"/>
    </row>
    <row r="358" spans="1:27" s="11" customFormat="1">
      <c r="A358" s="171"/>
      <c r="B358" s="172"/>
      <c r="C358" s="172"/>
      <c r="D358" s="172"/>
      <c r="E358" s="172"/>
      <c r="F358" s="172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X358" s="172"/>
      <c r="Y358" s="172"/>
      <c r="Z358" s="172"/>
      <c r="AA358" s="173"/>
    </row>
    <row r="359" spans="1:27" s="11" customFormat="1">
      <c r="A359" s="171"/>
      <c r="B359" s="172"/>
      <c r="C359" s="172"/>
      <c r="D359" s="172"/>
      <c r="E359" s="172"/>
      <c r="F359" s="172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X359" s="172"/>
      <c r="Y359" s="172"/>
      <c r="Z359" s="172"/>
      <c r="AA359" s="173"/>
    </row>
    <row r="360" spans="1:27" s="11" customFormat="1">
      <c r="A360" s="171"/>
      <c r="B360" s="172"/>
      <c r="C360" s="172"/>
      <c r="D360" s="172"/>
      <c r="E360" s="172"/>
      <c r="F360" s="172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X360" s="172"/>
      <c r="Y360" s="172"/>
      <c r="Z360" s="172"/>
      <c r="AA360" s="173"/>
    </row>
    <row r="361" spans="1:27" s="11" customFormat="1">
      <c r="A361" s="171"/>
      <c r="B361" s="172"/>
      <c r="C361" s="172"/>
      <c r="D361" s="172"/>
      <c r="E361" s="172"/>
      <c r="F361" s="172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X361" s="172"/>
      <c r="Y361" s="172"/>
      <c r="Z361" s="172"/>
      <c r="AA361" s="173"/>
    </row>
    <row r="362" spans="1:27" s="11" customFormat="1">
      <c r="A362" s="171"/>
      <c r="B362" s="172"/>
      <c r="C362" s="172"/>
      <c r="D362" s="172"/>
      <c r="E362" s="172"/>
      <c r="F362" s="172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X362" s="172"/>
      <c r="Y362" s="172"/>
      <c r="Z362" s="172"/>
      <c r="AA362" s="173"/>
    </row>
    <row r="363" spans="1:27" s="11" customFormat="1">
      <c r="A363" s="171"/>
      <c r="B363" s="172"/>
      <c r="C363" s="172"/>
      <c r="D363" s="172"/>
      <c r="E363" s="172"/>
      <c r="F363" s="172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X363" s="172"/>
      <c r="Y363" s="172"/>
      <c r="Z363" s="172"/>
      <c r="AA363" s="173"/>
    </row>
    <row r="364" spans="1:27" s="11" customFormat="1">
      <c r="A364" s="171"/>
      <c r="B364" s="172"/>
      <c r="C364" s="172"/>
      <c r="D364" s="172"/>
      <c r="E364" s="172"/>
      <c r="F364" s="172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X364" s="172"/>
      <c r="Y364" s="172"/>
      <c r="Z364" s="172"/>
      <c r="AA364" s="173"/>
    </row>
    <row r="365" spans="1:27" s="11" customFormat="1">
      <c r="A365" s="171"/>
      <c r="B365" s="172"/>
      <c r="C365" s="172"/>
      <c r="D365" s="172"/>
      <c r="E365" s="172"/>
      <c r="F365" s="172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X365" s="172"/>
      <c r="Y365" s="172"/>
      <c r="Z365" s="172"/>
      <c r="AA365" s="173"/>
    </row>
    <row r="366" spans="1:27" s="11" customFormat="1">
      <c r="A366" s="171"/>
      <c r="B366" s="172"/>
      <c r="C366" s="172"/>
      <c r="D366" s="172"/>
      <c r="E366" s="172"/>
      <c r="F366" s="172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X366" s="172"/>
      <c r="Y366" s="172"/>
      <c r="Z366" s="172"/>
      <c r="AA366" s="173"/>
    </row>
    <row r="367" spans="1:27" s="11" customFormat="1">
      <c r="A367" s="171"/>
      <c r="B367" s="172"/>
      <c r="C367" s="172"/>
      <c r="D367" s="172"/>
      <c r="E367" s="172"/>
      <c r="F367" s="172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X367" s="172"/>
      <c r="Y367" s="172"/>
      <c r="Z367" s="172"/>
      <c r="AA367" s="173"/>
    </row>
    <row r="368" spans="1:27" s="11" customFormat="1">
      <c r="A368" s="171"/>
      <c r="B368" s="172"/>
      <c r="C368" s="172"/>
      <c r="D368" s="172"/>
      <c r="E368" s="172"/>
      <c r="F368" s="172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X368" s="172"/>
      <c r="Y368" s="172"/>
      <c r="Z368" s="172"/>
      <c r="AA368" s="173"/>
    </row>
    <row r="369" spans="1:27" s="11" customFormat="1">
      <c r="A369" s="171"/>
      <c r="B369" s="172"/>
      <c r="C369" s="172"/>
      <c r="D369" s="172"/>
      <c r="E369" s="172"/>
      <c r="F369" s="172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X369" s="172"/>
      <c r="Y369" s="172"/>
      <c r="Z369" s="172"/>
      <c r="AA369" s="173"/>
    </row>
    <row r="370" spans="1:27" s="11" customFormat="1">
      <c r="A370" s="171"/>
      <c r="B370" s="172"/>
      <c r="C370" s="172"/>
      <c r="D370" s="172"/>
      <c r="E370" s="172"/>
      <c r="F370" s="172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X370" s="172"/>
      <c r="Y370" s="172"/>
      <c r="Z370" s="172"/>
      <c r="AA370" s="173"/>
    </row>
    <row r="371" spans="1:27" s="11" customFormat="1">
      <c r="A371" s="171"/>
      <c r="B371" s="172"/>
      <c r="C371" s="172"/>
      <c r="D371" s="172"/>
      <c r="E371" s="172"/>
      <c r="F371" s="172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X371" s="172"/>
      <c r="Y371" s="172"/>
      <c r="Z371" s="172"/>
      <c r="AA371" s="173"/>
    </row>
    <row r="372" spans="1:27" s="11" customFormat="1">
      <c r="A372" s="171"/>
      <c r="B372" s="172"/>
      <c r="C372" s="172"/>
      <c r="D372" s="172"/>
      <c r="E372" s="172"/>
      <c r="F372" s="172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X372" s="172"/>
      <c r="Y372" s="172"/>
      <c r="Z372" s="172"/>
      <c r="AA372" s="173"/>
    </row>
    <row r="373" spans="1:27" s="11" customFormat="1">
      <c r="A373" s="171"/>
      <c r="B373" s="172"/>
      <c r="C373" s="172"/>
      <c r="D373" s="172"/>
      <c r="E373" s="172"/>
      <c r="F373" s="172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X373" s="172"/>
      <c r="Y373" s="172"/>
      <c r="Z373" s="172"/>
      <c r="AA373" s="173"/>
    </row>
    <row r="374" spans="1:27" s="11" customFormat="1">
      <c r="A374" s="171"/>
      <c r="B374" s="172"/>
      <c r="C374" s="172"/>
      <c r="D374" s="172"/>
      <c r="E374" s="172"/>
      <c r="F374" s="172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X374" s="172"/>
      <c r="Y374" s="172"/>
      <c r="Z374" s="172"/>
      <c r="AA374" s="173"/>
    </row>
    <row r="375" spans="1:27" s="11" customFormat="1">
      <c r="A375" s="171"/>
      <c r="B375" s="172"/>
      <c r="C375" s="172"/>
      <c r="D375" s="172"/>
      <c r="E375" s="172"/>
      <c r="F375" s="172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X375" s="172"/>
      <c r="Y375" s="172"/>
      <c r="Z375" s="172"/>
      <c r="AA375" s="173"/>
    </row>
    <row r="376" spans="1:27" s="11" customFormat="1">
      <c r="A376" s="171"/>
      <c r="B376" s="172"/>
      <c r="C376" s="172"/>
      <c r="D376" s="172"/>
      <c r="E376" s="172"/>
      <c r="F376" s="172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X376" s="172"/>
      <c r="Y376" s="172"/>
      <c r="Z376" s="172"/>
      <c r="AA376" s="173"/>
    </row>
    <row r="377" spans="1:27" s="11" customFormat="1">
      <c r="A377" s="171"/>
      <c r="B377" s="172"/>
      <c r="C377" s="172"/>
      <c r="D377" s="172"/>
      <c r="E377" s="172"/>
      <c r="F377" s="172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X377" s="172"/>
      <c r="Y377" s="172"/>
      <c r="Z377" s="172"/>
      <c r="AA377" s="173"/>
    </row>
    <row r="378" spans="1:27" s="11" customFormat="1">
      <c r="A378" s="171"/>
      <c r="B378" s="172"/>
      <c r="C378" s="172"/>
      <c r="D378" s="172"/>
      <c r="E378" s="172"/>
      <c r="F378" s="172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X378" s="172"/>
      <c r="Y378" s="172"/>
      <c r="Z378" s="172"/>
      <c r="AA378" s="173"/>
    </row>
    <row r="379" spans="1:27">
      <c r="A379" s="171"/>
      <c r="G379" s="2"/>
      <c r="W379" s="2"/>
      <c r="AA379" s="181"/>
    </row>
    <row r="380" spans="1:27">
      <c r="A380" s="171"/>
      <c r="B380" s="182"/>
      <c r="C380" s="182"/>
      <c r="D380" s="182"/>
      <c r="E380" s="182"/>
      <c r="F380" s="182"/>
      <c r="X380" s="182"/>
      <c r="Y380" s="182"/>
      <c r="Z380" s="182"/>
      <c r="AA380" s="182"/>
    </row>
    <row r="381" spans="1:27">
      <c r="A381" s="171"/>
    </row>
    <row r="382" spans="1:27">
      <c r="A382" s="171"/>
      <c r="B382" s="145"/>
      <c r="C382" s="145"/>
      <c r="D382" s="145"/>
      <c r="E382" s="145"/>
      <c r="F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X382" s="145"/>
      <c r="Y382" s="145"/>
      <c r="Z382" s="145"/>
    </row>
    <row r="383" spans="1:27">
      <c r="A383" s="171"/>
    </row>
    <row r="384" spans="1:27">
      <c r="A384" s="171"/>
    </row>
    <row r="385" spans="1:1">
      <c r="A385" s="171"/>
    </row>
    <row r="386" spans="1:1">
      <c r="A386" s="171"/>
    </row>
    <row r="387" spans="1:1">
      <c r="A387" s="171"/>
    </row>
    <row r="388" spans="1:1">
      <c r="A388" s="171"/>
    </row>
    <row r="389" spans="1:1">
      <c r="A389" s="171"/>
    </row>
    <row r="390" spans="1:1">
      <c r="A390" s="171"/>
    </row>
    <row r="391" spans="1:1">
      <c r="A391" s="171"/>
    </row>
    <row r="392" spans="1:1">
      <c r="A392" s="171"/>
    </row>
    <row r="393" spans="1:1">
      <c r="A393" s="171"/>
    </row>
    <row r="394" spans="1:1">
      <c r="A394" s="171"/>
    </row>
    <row r="395" spans="1:1">
      <c r="A395" s="171"/>
    </row>
    <row r="396" spans="1:1">
      <c r="A396" s="171"/>
    </row>
    <row r="397" spans="1:1">
      <c r="A397" s="171"/>
    </row>
    <row r="398" spans="1:1">
      <c r="A398" s="171"/>
    </row>
    <row r="399" spans="1:1">
      <c r="A399" s="171"/>
    </row>
    <row r="400" spans="1:1">
      <c r="A400" s="171"/>
    </row>
    <row r="401" spans="1:1">
      <c r="A401" s="171"/>
    </row>
    <row r="402" spans="1:1">
      <c r="A402" s="171"/>
    </row>
    <row r="403" spans="1:1">
      <c r="A403" s="171"/>
    </row>
    <row r="404" spans="1:1">
      <c r="A404" s="171"/>
    </row>
    <row r="405" spans="1:1">
      <c r="A405" s="171"/>
    </row>
    <row r="406" spans="1:1">
      <c r="A406" s="171"/>
    </row>
    <row r="407" spans="1:1">
      <c r="A407" s="171"/>
    </row>
    <row r="408" spans="1:1">
      <c r="A408" s="171"/>
    </row>
    <row r="409" spans="1:1">
      <c r="A409" s="171"/>
    </row>
    <row r="410" spans="1:1">
      <c r="A410" s="171"/>
    </row>
    <row r="411" spans="1:1">
      <c r="A411" s="171"/>
    </row>
    <row r="412" spans="1:1">
      <c r="A412" s="171"/>
    </row>
    <row r="413" spans="1:1">
      <c r="A413" s="171"/>
    </row>
    <row r="414" spans="1:1">
      <c r="A414" s="171"/>
    </row>
    <row r="415" spans="1:1">
      <c r="A415" s="171"/>
    </row>
    <row r="416" spans="1:1">
      <c r="A416" s="171"/>
    </row>
    <row r="417" spans="1:1">
      <c r="A417" s="171"/>
    </row>
    <row r="418" spans="1:1">
      <c r="A418" s="171"/>
    </row>
    <row r="419" spans="1:1">
      <c r="A419" s="171"/>
    </row>
    <row r="420" spans="1:1">
      <c r="A420" s="171"/>
    </row>
    <row r="421" spans="1:1">
      <c r="A421" s="171"/>
    </row>
    <row r="422" spans="1:1">
      <c r="A422" s="171"/>
    </row>
    <row r="423" spans="1:1">
      <c r="A423" s="171"/>
    </row>
    <row r="424" spans="1:1">
      <c r="A424" s="171"/>
    </row>
    <row r="425" spans="1:1">
      <c r="A425" s="171"/>
    </row>
    <row r="426" spans="1:1">
      <c r="A426" s="171"/>
    </row>
    <row r="427" spans="1:1">
      <c r="A427" s="171"/>
    </row>
    <row r="428" spans="1:1">
      <c r="A428" s="171"/>
    </row>
    <row r="429" spans="1:1">
      <c r="A429" s="171"/>
    </row>
    <row r="430" spans="1:1">
      <c r="A430" s="171"/>
    </row>
    <row r="431" spans="1:1">
      <c r="A431" s="171"/>
    </row>
    <row r="432" spans="1:1">
      <c r="A432" s="171"/>
    </row>
    <row r="433" spans="1:1">
      <c r="A433" s="171"/>
    </row>
    <row r="434" spans="1:1">
      <c r="A434" s="171"/>
    </row>
    <row r="435" spans="1:1">
      <c r="A435" s="171"/>
    </row>
    <row r="436" spans="1:1">
      <c r="A436" s="171"/>
    </row>
    <row r="437" spans="1:1">
      <c r="A437" s="171"/>
    </row>
    <row r="438" spans="1:1">
      <c r="A438" s="171"/>
    </row>
    <row r="439" spans="1:1">
      <c r="A439" s="171"/>
    </row>
    <row r="440" spans="1:1">
      <c r="A440" s="171"/>
    </row>
    <row r="441" spans="1:1">
      <c r="A441" s="171"/>
    </row>
    <row r="442" spans="1:1">
      <c r="A442" s="171"/>
    </row>
    <row r="443" spans="1:1">
      <c r="A443" s="171"/>
    </row>
    <row r="444" spans="1:1">
      <c r="A444" s="171"/>
    </row>
    <row r="445" spans="1:1">
      <c r="A445" s="171"/>
    </row>
    <row r="446" spans="1:1">
      <c r="A446" s="171"/>
    </row>
    <row r="447" spans="1:1">
      <c r="A447" s="171"/>
    </row>
    <row r="448" spans="1:1">
      <c r="A448" s="171"/>
    </row>
    <row r="449" spans="1:1">
      <c r="A449" s="171"/>
    </row>
    <row r="450" spans="1:1">
      <c r="A450" s="171"/>
    </row>
    <row r="451" spans="1:1">
      <c r="A451" s="171"/>
    </row>
    <row r="452" spans="1:1">
      <c r="A452" s="171"/>
    </row>
    <row r="453" spans="1:1">
      <c r="A453" s="171"/>
    </row>
    <row r="454" spans="1:1">
      <c r="A454" s="171"/>
    </row>
    <row r="455" spans="1:1">
      <c r="A455" s="171"/>
    </row>
    <row r="456" spans="1:1">
      <c r="A456" s="171"/>
    </row>
    <row r="457" spans="1:1">
      <c r="A457" s="171"/>
    </row>
    <row r="458" spans="1:1">
      <c r="A458" s="171"/>
    </row>
    <row r="459" spans="1:1">
      <c r="A459" s="171"/>
    </row>
    <row r="460" spans="1:1">
      <c r="A460" s="171"/>
    </row>
    <row r="461" spans="1:1">
      <c r="A461" s="171"/>
    </row>
    <row r="462" spans="1:1">
      <c r="A462" s="171"/>
    </row>
    <row r="463" spans="1:1">
      <c r="A463" s="171"/>
    </row>
    <row r="464" spans="1:1">
      <c r="A464" s="171"/>
    </row>
    <row r="465" spans="1:1">
      <c r="A465" s="171"/>
    </row>
    <row r="466" spans="1:1">
      <c r="A466" s="171"/>
    </row>
    <row r="467" spans="1:1">
      <c r="A467" s="171"/>
    </row>
    <row r="468" spans="1:1">
      <c r="A468" s="171"/>
    </row>
    <row r="469" spans="1:1">
      <c r="A469" s="171"/>
    </row>
    <row r="470" spans="1:1">
      <c r="A470" s="171"/>
    </row>
    <row r="471" spans="1:1">
      <c r="A471" s="171"/>
    </row>
    <row r="472" spans="1:1">
      <c r="A472" s="171"/>
    </row>
    <row r="473" spans="1:1">
      <c r="A473" s="171"/>
    </row>
    <row r="474" spans="1:1">
      <c r="A474" s="171"/>
    </row>
    <row r="475" spans="1:1">
      <c r="A475" s="171"/>
    </row>
    <row r="476" spans="1:1">
      <c r="A476" s="171"/>
    </row>
    <row r="477" spans="1:1">
      <c r="A477" s="171"/>
    </row>
    <row r="478" spans="1:1">
      <c r="A478" s="171"/>
    </row>
    <row r="479" spans="1:1">
      <c r="A479" s="171"/>
    </row>
    <row r="480" spans="1:1">
      <c r="A480" s="171"/>
    </row>
    <row r="481" spans="1:1">
      <c r="A481" s="171"/>
    </row>
    <row r="482" spans="1:1">
      <c r="A482" s="171"/>
    </row>
    <row r="483" spans="1:1">
      <c r="A483" s="171"/>
    </row>
    <row r="484" spans="1:1">
      <c r="A484" s="171"/>
    </row>
    <row r="485" spans="1:1">
      <c r="A485" s="171"/>
    </row>
    <row r="486" spans="1:1">
      <c r="A486" s="171"/>
    </row>
    <row r="487" spans="1:1">
      <c r="A487" s="171"/>
    </row>
    <row r="488" spans="1:1">
      <c r="A488" s="171"/>
    </row>
    <row r="489" spans="1:1">
      <c r="A489" s="171"/>
    </row>
    <row r="490" spans="1:1">
      <c r="A490" s="171"/>
    </row>
    <row r="491" spans="1:1">
      <c r="A491" s="171"/>
    </row>
    <row r="492" spans="1:1">
      <c r="A492" s="171"/>
    </row>
    <row r="493" spans="1:1">
      <c r="A493" s="171"/>
    </row>
    <row r="494" spans="1:1">
      <c r="A494" s="171"/>
    </row>
    <row r="495" spans="1:1">
      <c r="A495" s="171"/>
    </row>
    <row r="496" spans="1:1">
      <c r="A496" s="171"/>
    </row>
    <row r="497" spans="1:1">
      <c r="A497" s="171"/>
    </row>
    <row r="498" spans="1:1">
      <c r="A498" s="171"/>
    </row>
    <row r="499" spans="1:1">
      <c r="A499" s="171"/>
    </row>
    <row r="500" spans="1:1">
      <c r="A500" s="171"/>
    </row>
    <row r="501" spans="1:1">
      <c r="A501" s="171"/>
    </row>
    <row r="502" spans="1:1">
      <c r="A502" s="171"/>
    </row>
    <row r="503" spans="1:1">
      <c r="A503" s="171"/>
    </row>
    <row r="504" spans="1:1">
      <c r="A504" s="171"/>
    </row>
    <row r="505" spans="1:1">
      <c r="A505" s="171"/>
    </row>
    <row r="506" spans="1:1">
      <c r="A506" s="171"/>
    </row>
    <row r="507" spans="1:1">
      <c r="A507" s="171"/>
    </row>
    <row r="508" spans="1:1">
      <c r="A508" s="171"/>
    </row>
    <row r="509" spans="1:1">
      <c r="A509" s="171"/>
    </row>
    <row r="510" spans="1:1">
      <c r="A510" s="171"/>
    </row>
    <row r="511" spans="1:1">
      <c r="A511" s="171"/>
    </row>
    <row r="512" spans="1:1">
      <c r="A512" s="171"/>
    </row>
    <row r="513" spans="1:1">
      <c r="A513" s="171"/>
    </row>
    <row r="514" spans="1:1">
      <c r="A514" s="171"/>
    </row>
    <row r="515" spans="1:1">
      <c r="A515" s="171"/>
    </row>
    <row r="516" spans="1:1">
      <c r="A516" s="171"/>
    </row>
    <row r="517" spans="1:1">
      <c r="A517" s="171"/>
    </row>
    <row r="518" spans="1:1">
      <c r="A518" s="171"/>
    </row>
    <row r="519" spans="1:1">
      <c r="A519" s="171"/>
    </row>
    <row r="520" spans="1:1">
      <c r="A520" s="171"/>
    </row>
    <row r="521" spans="1:1">
      <c r="A521" s="171"/>
    </row>
    <row r="522" spans="1:1">
      <c r="A522" s="171"/>
    </row>
    <row r="523" spans="1:1">
      <c r="A523" s="171"/>
    </row>
    <row r="524" spans="1:1">
      <c r="A524" s="171"/>
    </row>
    <row r="525" spans="1:1">
      <c r="A525" s="171"/>
    </row>
    <row r="526" spans="1:1">
      <c r="A526" s="171"/>
    </row>
    <row r="527" spans="1:1">
      <c r="A527" s="171"/>
    </row>
    <row r="528" spans="1:1">
      <c r="A528" s="171"/>
    </row>
    <row r="529" spans="1:1">
      <c r="A529" s="171"/>
    </row>
    <row r="530" spans="1:1">
      <c r="A530" s="171"/>
    </row>
    <row r="531" spans="1:1">
      <c r="A531" s="171"/>
    </row>
    <row r="532" spans="1:1">
      <c r="A532" s="171"/>
    </row>
    <row r="533" spans="1:1">
      <c r="A533" s="171"/>
    </row>
    <row r="534" spans="1:1">
      <c r="A534" s="171"/>
    </row>
    <row r="535" spans="1:1">
      <c r="A535" s="171"/>
    </row>
    <row r="536" spans="1:1">
      <c r="A536" s="171"/>
    </row>
    <row r="537" spans="1:1">
      <c r="A537" s="171"/>
    </row>
    <row r="538" spans="1:1">
      <c r="A538" s="171"/>
    </row>
    <row r="539" spans="1:1">
      <c r="A539" s="171"/>
    </row>
    <row r="540" spans="1:1">
      <c r="A540" s="171"/>
    </row>
    <row r="541" spans="1:1">
      <c r="A541" s="171"/>
    </row>
    <row r="542" spans="1:1">
      <c r="A542" s="171"/>
    </row>
    <row r="543" spans="1:1">
      <c r="A543" s="171"/>
    </row>
    <row r="544" spans="1:1">
      <c r="A544" s="171"/>
    </row>
    <row r="545" spans="1:1">
      <c r="A545" s="171"/>
    </row>
    <row r="546" spans="1:1">
      <c r="A546" s="172"/>
    </row>
    <row r="547" spans="1:1">
      <c r="A547" s="172"/>
    </row>
    <row r="548" spans="1:1">
      <c r="A548" s="172"/>
    </row>
    <row r="549" spans="1:1">
      <c r="A549" s="172"/>
    </row>
    <row r="550" spans="1:1">
      <c r="A550" s="172"/>
    </row>
    <row r="551" spans="1:1">
      <c r="A551" s="172"/>
    </row>
    <row r="552" spans="1:1">
      <c r="A552" s="172"/>
    </row>
    <row r="553" spans="1:1">
      <c r="A553" s="172"/>
    </row>
    <row r="554" spans="1:1">
      <c r="A554" s="172"/>
    </row>
    <row r="555" spans="1:1">
      <c r="A555" s="172"/>
    </row>
    <row r="556" spans="1:1">
      <c r="A556" s="172"/>
    </row>
    <row r="557" spans="1:1">
      <c r="A557" s="172"/>
    </row>
    <row r="558" spans="1:1">
      <c r="A558" s="172"/>
    </row>
    <row r="559" spans="1:1">
      <c r="A559" s="172"/>
    </row>
    <row r="560" spans="1:1">
      <c r="A560" s="172"/>
    </row>
    <row r="561" spans="1:1">
      <c r="A561" s="172"/>
    </row>
    <row r="562" spans="1:1">
      <c r="A562" s="172"/>
    </row>
    <row r="563" spans="1:1">
      <c r="A563" s="172"/>
    </row>
    <row r="564" spans="1:1">
      <c r="A564" s="172"/>
    </row>
    <row r="565" spans="1:1">
      <c r="A565" s="172"/>
    </row>
    <row r="566" spans="1:1">
      <c r="A566" s="172"/>
    </row>
    <row r="567" spans="1:1">
      <c r="A567" s="172"/>
    </row>
    <row r="568" spans="1:1">
      <c r="A568" s="172"/>
    </row>
    <row r="569" spans="1:1">
      <c r="A569" s="172"/>
    </row>
    <row r="570" spans="1:1">
      <c r="A570" s="172"/>
    </row>
    <row r="571" spans="1:1">
      <c r="A571" s="172"/>
    </row>
    <row r="572" spans="1:1">
      <c r="A572" s="172"/>
    </row>
    <row r="573" spans="1:1">
      <c r="A573" s="172"/>
    </row>
    <row r="574" spans="1:1">
      <c r="A574" s="172"/>
    </row>
    <row r="575" spans="1:1">
      <c r="A575" s="172"/>
    </row>
    <row r="576" spans="1:1">
      <c r="A576" s="172"/>
    </row>
    <row r="577" spans="1:1">
      <c r="A577" s="172"/>
    </row>
    <row r="578" spans="1:1">
      <c r="A578" s="172"/>
    </row>
    <row r="579" spans="1:1">
      <c r="A579" s="172"/>
    </row>
    <row r="580" spans="1:1">
      <c r="A580" s="172"/>
    </row>
    <row r="581" spans="1:1">
      <c r="A581" s="172"/>
    </row>
    <row r="582" spans="1:1">
      <c r="A582" s="172"/>
    </row>
    <row r="583" spans="1:1">
      <c r="A583" s="172"/>
    </row>
    <row r="584" spans="1:1">
      <c r="A584" s="172"/>
    </row>
    <row r="585" spans="1:1">
      <c r="A585" s="172"/>
    </row>
    <row r="586" spans="1:1">
      <c r="A586" s="172"/>
    </row>
    <row r="587" spans="1:1">
      <c r="A587" s="172"/>
    </row>
    <row r="588" spans="1:1">
      <c r="A588" s="172"/>
    </row>
    <row r="589" spans="1:1">
      <c r="A589" s="172"/>
    </row>
    <row r="590" spans="1:1">
      <c r="A590" s="172"/>
    </row>
    <row r="591" spans="1:1">
      <c r="A591" s="172"/>
    </row>
    <row r="592" spans="1:1">
      <c r="A592" s="172"/>
    </row>
    <row r="593" spans="1:1">
      <c r="A593" s="172"/>
    </row>
    <row r="594" spans="1:1">
      <c r="A594" s="172"/>
    </row>
    <row r="595" spans="1:1">
      <c r="A595" s="172"/>
    </row>
    <row r="596" spans="1:1">
      <c r="A596" s="172"/>
    </row>
    <row r="597" spans="1:1">
      <c r="A597" s="172"/>
    </row>
    <row r="598" spans="1:1">
      <c r="A598" s="172"/>
    </row>
    <row r="599" spans="1:1">
      <c r="A599" s="172"/>
    </row>
    <row r="600" spans="1:1">
      <c r="A600" s="172"/>
    </row>
    <row r="601" spans="1:1">
      <c r="A601" s="172"/>
    </row>
    <row r="602" spans="1:1">
      <c r="A602" s="172"/>
    </row>
    <row r="603" spans="1:1">
      <c r="A603" s="172"/>
    </row>
    <row r="604" spans="1:1">
      <c r="A604" s="172"/>
    </row>
    <row r="605" spans="1:1">
      <c r="A605" s="172"/>
    </row>
    <row r="606" spans="1:1">
      <c r="A606" s="172"/>
    </row>
    <row r="607" spans="1:1">
      <c r="A607" s="172"/>
    </row>
    <row r="608" spans="1:1">
      <c r="A608" s="172"/>
    </row>
    <row r="609" spans="1:1">
      <c r="A609" s="172"/>
    </row>
    <row r="610" spans="1:1">
      <c r="A610" s="172"/>
    </row>
    <row r="611" spans="1:1">
      <c r="A611" s="172"/>
    </row>
    <row r="612" spans="1:1">
      <c r="A612" s="172"/>
    </row>
    <row r="613" spans="1:1">
      <c r="A613" s="172"/>
    </row>
    <row r="614" spans="1:1">
      <c r="A614" s="172"/>
    </row>
    <row r="615" spans="1:1">
      <c r="A615" s="172"/>
    </row>
    <row r="616" spans="1:1">
      <c r="A616" s="172"/>
    </row>
    <row r="617" spans="1:1">
      <c r="A617" s="172"/>
    </row>
    <row r="618" spans="1:1">
      <c r="A618" s="172"/>
    </row>
    <row r="619" spans="1:1">
      <c r="A619" s="172"/>
    </row>
    <row r="620" spans="1:1">
      <c r="A620" s="172"/>
    </row>
    <row r="621" spans="1:1">
      <c r="A621" s="172"/>
    </row>
    <row r="622" spans="1:1">
      <c r="A622" s="172"/>
    </row>
    <row r="623" spans="1:1">
      <c r="A623" s="172"/>
    </row>
    <row r="624" spans="1:1">
      <c r="A624" s="172"/>
    </row>
    <row r="625" spans="1:1">
      <c r="A625" s="172"/>
    </row>
    <row r="626" spans="1:1">
      <c r="A626" s="172"/>
    </row>
    <row r="627" spans="1:1">
      <c r="A627" s="172"/>
    </row>
    <row r="628" spans="1:1">
      <c r="A628" s="172"/>
    </row>
    <row r="629" spans="1:1">
      <c r="A629" s="172"/>
    </row>
    <row r="630" spans="1:1">
      <c r="A630" s="172"/>
    </row>
    <row r="631" spans="1:1">
      <c r="A631" s="172"/>
    </row>
    <row r="632" spans="1:1">
      <c r="A632" s="172"/>
    </row>
    <row r="633" spans="1:1">
      <c r="A633" s="172"/>
    </row>
    <row r="634" spans="1:1">
      <c r="A634" s="172"/>
    </row>
    <row r="635" spans="1:1">
      <c r="A635" s="172"/>
    </row>
    <row r="636" spans="1:1">
      <c r="A636" s="172"/>
    </row>
    <row r="637" spans="1:1">
      <c r="A637" s="172"/>
    </row>
    <row r="638" spans="1:1">
      <c r="A638" s="172"/>
    </row>
    <row r="639" spans="1:1">
      <c r="A639" s="172"/>
    </row>
    <row r="640" spans="1:1">
      <c r="A640" s="172"/>
    </row>
    <row r="641" spans="1:1">
      <c r="A641" s="172"/>
    </row>
    <row r="642" spans="1:1">
      <c r="A642" s="172"/>
    </row>
    <row r="643" spans="1:1">
      <c r="A643" s="172"/>
    </row>
    <row r="644" spans="1:1">
      <c r="A644" s="172"/>
    </row>
    <row r="645" spans="1:1">
      <c r="A645" s="172"/>
    </row>
    <row r="646" spans="1:1">
      <c r="A646" s="172"/>
    </row>
    <row r="647" spans="1:1">
      <c r="A647" s="172"/>
    </row>
    <row r="648" spans="1:1">
      <c r="A648" s="172"/>
    </row>
    <row r="649" spans="1:1">
      <c r="A649" s="172"/>
    </row>
    <row r="650" spans="1:1">
      <c r="A650" s="172"/>
    </row>
    <row r="651" spans="1:1">
      <c r="A651" s="172"/>
    </row>
    <row r="652" spans="1:1">
      <c r="A652" s="172"/>
    </row>
    <row r="653" spans="1:1">
      <c r="A653" s="172"/>
    </row>
    <row r="654" spans="1:1">
      <c r="A654" s="172"/>
    </row>
    <row r="655" spans="1:1">
      <c r="A655" s="172"/>
    </row>
    <row r="656" spans="1:1">
      <c r="A656" s="172"/>
    </row>
    <row r="657" spans="1:1">
      <c r="A657" s="172"/>
    </row>
    <row r="658" spans="1:1">
      <c r="A658" s="172"/>
    </row>
    <row r="659" spans="1:1">
      <c r="A659" s="172"/>
    </row>
    <row r="660" spans="1:1">
      <c r="A660" s="172"/>
    </row>
    <row r="661" spans="1:1">
      <c r="A661" s="172"/>
    </row>
    <row r="662" spans="1:1">
      <c r="A662" s="172"/>
    </row>
    <row r="663" spans="1:1">
      <c r="A663" s="172"/>
    </row>
    <row r="664" spans="1:1">
      <c r="A664" s="172"/>
    </row>
    <row r="665" spans="1:1">
      <c r="A665" s="172"/>
    </row>
    <row r="666" spans="1:1">
      <c r="A666" s="172"/>
    </row>
    <row r="667" spans="1:1">
      <c r="A667" s="172"/>
    </row>
    <row r="668" spans="1:1">
      <c r="A668" s="172"/>
    </row>
    <row r="669" spans="1:1">
      <c r="A669" s="172"/>
    </row>
    <row r="670" spans="1:1">
      <c r="A670" s="172"/>
    </row>
    <row r="671" spans="1:1">
      <c r="A671" s="172"/>
    </row>
    <row r="672" spans="1:1">
      <c r="A672" s="172"/>
    </row>
    <row r="673" spans="1:1">
      <c r="A673" s="172"/>
    </row>
    <row r="674" spans="1:1">
      <c r="A674" s="172"/>
    </row>
    <row r="675" spans="1:1">
      <c r="A675" s="172"/>
    </row>
    <row r="676" spans="1:1">
      <c r="A676" s="172"/>
    </row>
    <row r="677" spans="1:1">
      <c r="A677" s="172"/>
    </row>
    <row r="678" spans="1:1">
      <c r="A678" s="172"/>
    </row>
    <row r="679" spans="1:1">
      <c r="A679" s="172"/>
    </row>
    <row r="680" spans="1:1">
      <c r="A680" s="172"/>
    </row>
    <row r="681" spans="1:1">
      <c r="A681" s="172"/>
    </row>
    <row r="682" spans="1:1">
      <c r="A682" s="172"/>
    </row>
    <row r="683" spans="1:1">
      <c r="A683" s="172"/>
    </row>
    <row r="684" spans="1:1">
      <c r="A684" s="172"/>
    </row>
    <row r="685" spans="1:1">
      <c r="A685" s="172"/>
    </row>
    <row r="686" spans="1:1">
      <c r="A686" s="172"/>
    </row>
    <row r="687" spans="1:1">
      <c r="A687" s="172"/>
    </row>
    <row r="688" spans="1:1">
      <c r="A688" s="172"/>
    </row>
    <row r="689" spans="1:1">
      <c r="A689" s="172"/>
    </row>
    <row r="690" spans="1:1">
      <c r="A690" s="172"/>
    </row>
    <row r="691" spans="1:1">
      <c r="A691" s="172"/>
    </row>
    <row r="692" spans="1:1">
      <c r="A692" s="172"/>
    </row>
    <row r="693" spans="1:1">
      <c r="A693" s="172"/>
    </row>
    <row r="694" spans="1:1">
      <c r="A694" s="172"/>
    </row>
    <row r="695" spans="1:1">
      <c r="A695" s="172"/>
    </row>
    <row r="696" spans="1:1">
      <c r="A696" s="172"/>
    </row>
    <row r="697" spans="1:1">
      <c r="A697" s="172"/>
    </row>
    <row r="698" spans="1:1">
      <c r="A698" s="172"/>
    </row>
    <row r="699" spans="1:1">
      <c r="A699" s="172"/>
    </row>
    <row r="700" spans="1:1">
      <c r="A700" s="172"/>
    </row>
    <row r="701" spans="1:1">
      <c r="A701" s="172"/>
    </row>
    <row r="702" spans="1:1">
      <c r="A702" s="172"/>
    </row>
    <row r="703" spans="1:1">
      <c r="A703" s="172"/>
    </row>
    <row r="704" spans="1:1">
      <c r="A704" s="172"/>
    </row>
    <row r="705" spans="1:1">
      <c r="A705" s="172"/>
    </row>
    <row r="706" spans="1:1">
      <c r="A706" s="172"/>
    </row>
    <row r="707" spans="1:1">
      <c r="A707" s="172"/>
    </row>
    <row r="708" spans="1:1">
      <c r="A708" s="172"/>
    </row>
    <row r="709" spans="1:1">
      <c r="A709" s="172"/>
    </row>
    <row r="710" spans="1:1">
      <c r="A710" s="172"/>
    </row>
    <row r="711" spans="1:1">
      <c r="A711" s="172"/>
    </row>
    <row r="712" spans="1:1">
      <c r="A712" s="172"/>
    </row>
    <row r="713" spans="1:1">
      <c r="A713" s="172"/>
    </row>
    <row r="714" spans="1:1">
      <c r="A714" s="172"/>
    </row>
    <row r="715" spans="1:1">
      <c r="A715" s="172"/>
    </row>
    <row r="716" spans="1:1">
      <c r="A716" s="172"/>
    </row>
    <row r="717" spans="1:1">
      <c r="A717" s="172"/>
    </row>
    <row r="718" spans="1:1">
      <c r="A718" s="172"/>
    </row>
    <row r="719" spans="1:1">
      <c r="A719" s="172"/>
    </row>
    <row r="720" spans="1:1">
      <c r="A720" s="172"/>
    </row>
    <row r="721" spans="1:1">
      <c r="A721" s="172"/>
    </row>
    <row r="722" spans="1:1">
      <c r="A722" s="172"/>
    </row>
    <row r="723" spans="1:1">
      <c r="A723" s="172"/>
    </row>
    <row r="724" spans="1:1">
      <c r="A724" s="172"/>
    </row>
    <row r="725" spans="1:1">
      <c r="A725" s="172"/>
    </row>
    <row r="726" spans="1:1">
      <c r="A726" s="172"/>
    </row>
    <row r="727" spans="1:1">
      <c r="A727" s="172"/>
    </row>
    <row r="728" spans="1:1">
      <c r="A728" s="172"/>
    </row>
    <row r="729" spans="1:1">
      <c r="A729" s="172"/>
    </row>
    <row r="730" spans="1:1">
      <c r="A730" s="172"/>
    </row>
    <row r="731" spans="1:1">
      <c r="A731" s="172"/>
    </row>
    <row r="732" spans="1:1">
      <c r="A732" s="172"/>
    </row>
    <row r="733" spans="1:1">
      <c r="A733" s="172"/>
    </row>
    <row r="734" spans="1:1">
      <c r="A734" s="172"/>
    </row>
    <row r="735" spans="1:1">
      <c r="A735" s="172"/>
    </row>
    <row r="736" spans="1:1">
      <c r="A736" s="172"/>
    </row>
    <row r="737" spans="1:1">
      <c r="A737" s="172"/>
    </row>
    <row r="738" spans="1:1">
      <c r="A738" s="172"/>
    </row>
    <row r="739" spans="1:1">
      <c r="A739" s="172"/>
    </row>
    <row r="740" spans="1:1">
      <c r="A740" s="172"/>
    </row>
    <row r="741" spans="1:1">
      <c r="A741" s="172"/>
    </row>
    <row r="742" spans="1:1">
      <c r="A742" s="172"/>
    </row>
    <row r="743" spans="1:1">
      <c r="A743" s="172"/>
    </row>
    <row r="744" spans="1:1">
      <c r="A744" s="172"/>
    </row>
    <row r="745" spans="1:1">
      <c r="A745" s="172"/>
    </row>
    <row r="746" spans="1:1">
      <c r="A746" s="172"/>
    </row>
    <row r="747" spans="1:1">
      <c r="A747" s="172"/>
    </row>
    <row r="748" spans="1:1">
      <c r="A748" s="172"/>
    </row>
    <row r="749" spans="1:1">
      <c r="A749" s="172"/>
    </row>
    <row r="750" spans="1:1">
      <c r="A750" s="172"/>
    </row>
    <row r="751" spans="1:1">
      <c r="A751" s="172"/>
    </row>
    <row r="752" spans="1:1">
      <c r="A752" s="172"/>
    </row>
    <row r="753" spans="1:1">
      <c r="A753" s="172"/>
    </row>
    <row r="754" spans="1:1">
      <c r="A754" s="172"/>
    </row>
    <row r="755" spans="1:1">
      <c r="A755" s="172"/>
    </row>
    <row r="756" spans="1:1">
      <c r="A756" s="172"/>
    </row>
    <row r="757" spans="1:1">
      <c r="A757" s="172"/>
    </row>
    <row r="758" spans="1:1">
      <c r="A758" s="172"/>
    </row>
    <row r="759" spans="1:1">
      <c r="A759" s="172"/>
    </row>
    <row r="760" spans="1:1">
      <c r="A760" s="172"/>
    </row>
    <row r="761" spans="1:1">
      <c r="A761" s="172"/>
    </row>
    <row r="762" spans="1:1">
      <c r="A762" s="172"/>
    </row>
    <row r="763" spans="1:1">
      <c r="A763" s="172"/>
    </row>
    <row r="764" spans="1:1">
      <c r="A764" s="172"/>
    </row>
    <row r="765" spans="1:1">
      <c r="A765" s="172"/>
    </row>
    <row r="766" spans="1:1">
      <c r="A766" s="172"/>
    </row>
    <row r="767" spans="1:1">
      <c r="A767" s="172"/>
    </row>
    <row r="768" spans="1:1">
      <c r="A768" s="172"/>
    </row>
    <row r="769" spans="1:1">
      <c r="A769" s="172"/>
    </row>
    <row r="770" spans="1:1">
      <c r="A770" s="172"/>
    </row>
    <row r="771" spans="1:1">
      <c r="A771" s="172"/>
    </row>
    <row r="772" spans="1:1">
      <c r="A772" s="172"/>
    </row>
    <row r="773" spans="1:1">
      <c r="A773" s="172"/>
    </row>
    <row r="774" spans="1:1">
      <c r="A774" s="172"/>
    </row>
    <row r="775" spans="1:1">
      <c r="A775" s="172"/>
    </row>
    <row r="776" spans="1:1">
      <c r="A776" s="172"/>
    </row>
    <row r="777" spans="1:1">
      <c r="A777" s="172"/>
    </row>
    <row r="778" spans="1:1">
      <c r="A778" s="172"/>
    </row>
    <row r="779" spans="1:1">
      <c r="A779" s="172"/>
    </row>
    <row r="780" spans="1:1">
      <c r="A780" s="172"/>
    </row>
    <row r="781" spans="1:1">
      <c r="A781" s="172"/>
    </row>
    <row r="782" spans="1:1">
      <c r="A782" s="172"/>
    </row>
    <row r="783" spans="1:1">
      <c r="A783" s="172"/>
    </row>
    <row r="784" spans="1:1">
      <c r="A784" s="172"/>
    </row>
    <row r="785" spans="1:1">
      <c r="A785" s="172"/>
    </row>
    <row r="786" spans="1:1">
      <c r="A786" s="172"/>
    </row>
    <row r="787" spans="1:1">
      <c r="A787" s="172"/>
    </row>
    <row r="788" spans="1:1">
      <c r="A788" s="172"/>
    </row>
    <row r="789" spans="1:1">
      <c r="A789" s="172"/>
    </row>
    <row r="790" spans="1:1">
      <c r="A790" s="172"/>
    </row>
    <row r="791" spans="1:1">
      <c r="A791" s="172"/>
    </row>
    <row r="792" spans="1:1">
      <c r="A792" s="172"/>
    </row>
    <row r="793" spans="1:1">
      <c r="A793" s="172"/>
    </row>
    <row r="794" spans="1:1">
      <c r="A794" s="172"/>
    </row>
    <row r="795" spans="1:1">
      <c r="A795" s="172"/>
    </row>
    <row r="796" spans="1:1">
      <c r="A796" s="172"/>
    </row>
    <row r="797" spans="1:1">
      <c r="A797" s="172"/>
    </row>
    <row r="798" spans="1:1">
      <c r="A798" s="172"/>
    </row>
    <row r="799" spans="1:1">
      <c r="A799" s="172"/>
    </row>
    <row r="800" spans="1:1">
      <c r="A800" s="172"/>
    </row>
    <row r="801" spans="1:1">
      <c r="A801" s="172"/>
    </row>
    <row r="802" spans="1:1">
      <c r="A802" s="172"/>
    </row>
    <row r="803" spans="1:1">
      <c r="A803" s="172"/>
    </row>
    <row r="804" spans="1:1">
      <c r="A804" s="172"/>
    </row>
    <row r="805" spans="1:1">
      <c r="A805" s="172"/>
    </row>
    <row r="806" spans="1:1">
      <c r="A806" s="172"/>
    </row>
    <row r="807" spans="1:1">
      <c r="A807" s="172"/>
    </row>
    <row r="808" spans="1:1">
      <c r="A808" s="172"/>
    </row>
    <row r="809" spans="1:1">
      <c r="A809" s="172"/>
    </row>
    <row r="810" spans="1:1">
      <c r="A810" s="172"/>
    </row>
    <row r="811" spans="1:1">
      <c r="A811" s="172"/>
    </row>
    <row r="812" spans="1:1">
      <c r="A812" s="172"/>
    </row>
    <row r="813" spans="1:1">
      <c r="A813" s="172"/>
    </row>
    <row r="814" spans="1:1">
      <c r="A814" s="172"/>
    </row>
    <row r="815" spans="1:1">
      <c r="A815" s="172"/>
    </row>
    <row r="816" spans="1:1">
      <c r="A816" s="172"/>
    </row>
    <row r="817" spans="1:1">
      <c r="A817" s="172"/>
    </row>
    <row r="818" spans="1:1">
      <c r="A818" s="172"/>
    </row>
    <row r="819" spans="1:1">
      <c r="A819" s="172"/>
    </row>
    <row r="820" spans="1:1">
      <c r="A820" s="172"/>
    </row>
    <row r="821" spans="1:1">
      <c r="A821" s="172"/>
    </row>
    <row r="822" spans="1:1">
      <c r="A822" s="172"/>
    </row>
    <row r="823" spans="1:1">
      <c r="A823" s="172"/>
    </row>
    <row r="824" spans="1:1">
      <c r="A824" s="172"/>
    </row>
    <row r="825" spans="1:1">
      <c r="A825" s="172"/>
    </row>
    <row r="826" spans="1:1">
      <c r="A826" s="172"/>
    </row>
    <row r="827" spans="1:1">
      <c r="A827" s="172"/>
    </row>
    <row r="828" spans="1:1">
      <c r="A828" s="172"/>
    </row>
    <row r="829" spans="1:1">
      <c r="A829" s="172"/>
    </row>
    <row r="830" spans="1:1">
      <c r="A830" s="172"/>
    </row>
    <row r="831" spans="1:1">
      <c r="A831" s="172"/>
    </row>
    <row r="832" spans="1:1">
      <c r="A832" s="172"/>
    </row>
    <row r="833" spans="1:1">
      <c r="A833" s="172"/>
    </row>
    <row r="834" spans="1:1">
      <c r="A834" s="172"/>
    </row>
    <row r="835" spans="1:1">
      <c r="A835" s="172"/>
    </row>
    <row r="836" spans="1:1">
      <c r="A836" s="172"/>
    </row>
    <row r="837" spans="1:1">
      <c r="A837" s="172"/>
    </row>
    <row r="838" spans="1:1">
      <c r="A838" s="172"/>
    </row>
    <row r="839" spans="1:1">
      <c r="A839" s="172"/>
    </row>
    <row r="840" spans="1:1">
      <c r="A840" s="172"/>
    </row>
    <row r="841" spans="1:1">
      <c r="A841" s="172"/>
    </row>
    <row r="842" spans="1:1">
      <c r="A842" s="172"/>
    </row>
    <row r="843" spans="1:1">
      <c r="A843" s="172"/>
    </row>
    <row r="844" spans="1:1">
      <c r="A844" s="172"/>
    </row>
    <row r="845" spans="1:1">
      <c r="A845" s="172"/>
    </row>
    <row r="846" spans="1:1">
      <c r="A846" s="172"/>
    </row>
    <row r="847" spans="1:1">
      <c r="A847" s="172"/>
    </row>
    <row r="848" spans="1:1">
      <c r="A848" s="172"/>
    </row>
    <row r="849" spans="1:1">
      <c r="A849" s="172"/>
    </row>
    <row r="850" spans="1:1">
      <c r="A850" s="172"/>
    </row>
    <row r="851" spans="1:1">
      <c r="A851" s="172"/>
    </row>
    <row r="852" spans="1:1">
      <c r="A852" s="172"/>
    </row>
    <row r="853" spans="1:1">
      <c r="A853" s="172"/>
    </row>
    <row r="854" spans="1:1">
      <c r="A854" s="172"/>
    </row>
    <row r="855" spans="1:1">
      <c r="A855" s="172"/>
    </row>
    <row r="856" spans="1:1">
      <c r="A856" s="172"/>
    </row>
    <row r="857" spans="1:1">
      <c r="A857" s="172"/>
    </row>
    <row r="858" spans="1:1">
      <c r="A858" s="172"/>
    </row>
    <row r="859" spans="1:1">
      <c r="A859" s="172"/>
    </row>
    <row r="860" spans="1:1">
      <c r="A860" s="172"/>
    </row>
    <row r="861" spans="1:1">
      <c r="A861" s="172"/>
    </row>
    <row r="862" spans="1:1">
      <c r="A862" s="172"/>
    </row>
    <row r="863" spans="1:1">
      <c r="A863" s="172"/>
    </row>
    <row r="864" spans="1:1">
      <c r="A864" s="172"/>
    </row>
    <row r="865" spans="1:1">
      <c r="A865" s="172"/>
    </row>
    <row r="866" spans="1:1">
      <c r="A866" s="172"/>
    </row>
    <row r="867" spans="1:1">
      <c r="A867" s="172"/>
    </row>
    <row r="868" spans="1:1">
      <c r="A868" s="172"/>
    </row>
    <row r="869" spans="1:1">
      <c r="A869" s="172"/>
    </row>
    <row r="870" spans="1:1">
      <c r="A870" s="172"/>
    </row>
    <row r="871" spans="1:1">
      <c r="A871" s="172"/>
    </row>
    <row r="872" spans="1:1">
      <c r="A872" s="172"/>
    </row>
    <row r="873" spans="1:1">
      <c r="A873" s="172"/>
    </row>
    <row r="874" spans="1:1">
      <c r="A874" s="172"/>
    </row>
    <row r="875" spans="1:1">
      <c r="A875" s="172"/>
    </row>
    <row r="876" spans="1:1">
      <c r="A876" s="172"/>
    </row>
    <row r="877" spans="1:1">
      <c r="A877" s="172"/>
    </row>
    <row r="878" spans="1:1">
      <c r="A878" s="172"/>
    </row>
    <row r="879" spans="1:1">
      <c r="A879" s="172"/>
    </row>
    <row r="880" spans="1:1">
      <c r="A880" s="172"/>
    </row>
    <row r="881" spans="1:1">
      <c r="A881" s="172"/>
    </row>
    <row r="882" spans="1:1">
      <c r="A882" s="172"/>
    </row>
    <row r="883" spans="1:1">
      <c r="A883" s="172"/>
    </row>
    <row r="884" spans="1:1">
      <c r="A884" s="172"/>
    </row>
    <row r="885" spans="1:1">
      <c r="A885" s="172"/>
    </row>
    <row r="886" spans="1:1">
      <c r="A886" s="172"/>
    </row>
    <row r="887" spans="1:1">
      <c r="A887" s="172"/>
    </row>
    <row r="888" spans="1:1">
      <c r="A888" s="172"/>
    </row>
    <row r="889" spans="1:1">
      <c r="A889" s="172"/>
    </row>
    <row r="890" spans="1:1">
      <c r="A890" s="172"/>
    </row>
    <row r="891" spans="1:1">
      <c r="A891" s="172"/>
    </row>
    <row r="892" spans="1:1">
      <c r="A892" s="172"/>
    </row>
    <row r="893" spans="1:1">
      <c r="A893" s="172"/>
    </row>
    <row r="894" spans="1:1">
      <c r="A894" s="172"/>
    </row>
    <row r="895" spans="1:1">
      <c r="A895" s="172"/>
    </row>
    <row r="896" spans="1:1">
      <c r="A896" s="172"/>
    </row>
    <row r="897" spans="1:1">
      <c r="A897" s="172"/>
    </row>
    <row r="898" spans="1:1">
      <c r="A898" s="172"/>
    </row>
    <row r="899" spans="1:1">
      <c r="A899" s="172"/>
    </row>
    <row r="900" spans="1:1">
      <c r="A900" s="172"/>
    </row>
    <row r="901" spans="1:1">
      <c r="A901" s="172"/>
    </row>
    <row r="902" spans="1:1">
      <c r="A902" s="172"/>
    </row>
    <row r="903" spans="1:1">
      <c r="A903" s="172"/>
    </row>
    <row r="904" spans="1:1">
      <c r="A904" s="172"/>
    </row>
    <row r="905" spans="1:1">
      <c r="A905" s="172"/>
    </row>
    <row r="906" spans="1:1">
      <c r="A906" s="172"/>
    </row>
    <row r="907" spans="1:1">
      <c r="A907" s="172"/>
    </row>
    <row r="908" spans="1:1">
      <c r="A908" s="172"/>
    </row>
    <row r="909" spans="1:1">
      <c r="A909" s="172"/>
    </row>
    <row r="910" spans="1:1">
      <c r="A910" s="172"/>
    </row>
    <row r="911" spans="1:1">
      <c r="A911" s="172"/>
    </row>
    <row r="912" spans="1:1">
      <c r="A912" s="172"/>
    </row>
    <row r="913" spans="1:1">
      <c r="A913" s="172"/>
    </row>
    <row r="914" spans="1:1">
      <c r="A914" s="172"/>
    </row>
    <row r="915" spans="1:1">
      <c r="A915" s="172"/>
    </row>
    <row r="916" spans="1:1">
      <c r="A916" s="172"/>
    </row>
    <row r="917" spans="1:1">
      <c r="A917" s="172"/>
    </row>
    <row r="918" spans="1:1">
      <c r="A918" s="172"/>
    </row>
    <row r="919" spans="1:1">
      <c r="A919" s="172"/>
    </row>
    <row r="920" spans="1:1">
      <c r="A920" s="172"/>
    </row>
    <row r="921" spans="1:1">
      <c r="A921" s="172"/>
    </row>
    <row r="922" spans="1:1">
      <c r="A922" s="172"/>
    </row>
    <row r="923" spans="1:1">
      <c r="A923" s="172"/>
    </row>
    <row r="924" spans="1:1">
      <c r="A924" s="172"/>
    </row>
    <row r="925" spans="1:1">
      <c r="A925" s="172"/>
    </row>
    <row r="926" spans="1:1">
      <c r="A926" s="172"/>
    </row>
    <row r="927" spans="1:1">
      <c r="A927" s="172"/>
    </row>
    <row r="928" spans="1:1">
      <c r="A928" s="172"/>
    </row>
    <row r="929" spans="1:1">
      <c r="A929" s="172"/>
    </row>
    <row r="930" spans="1:1">
      <c r="A930" s="172"/>
    </row>
    <row r="931" spans="1:1">
      <c r="A931" s="172"/>
    </row>
    <row r="932" spans="1:1">
      <c r="A932" s="172"/>
    </row>
    <row r="933" spans="1:1">
      <c r="A933" s="172"/>
    </row>
    <row r="934" spans="1:1">
      <c r="A934" s="172"/>
    </row>
    <row r="935" spans="1:1">
      <c r="A935" s="172"/>
    </row>
    <row r="936" spans="1:1">
      <c r="A936" s="172"/>
    </row>
    <row r="937" spans="1:1">
      <c r="A937" s="172"/>
    </row>
    <row r="938" spans="1:1">
      <c r="A938" s="172"/>
    </row>
    <row r="939" spans="1:1">
      <c r="A939" s="172"/>
    </row>
    <row r="940" spans="1:1">
      <c r="A940" s="172"/>
    </row>
    <row r="941" spans="1:1">
      <c r="A941" s="172"/>
    </row>
    <row r="942" spans="1:1">
      <c r="A942" s="172"/>
    </row>
    <row r="943" spans="1:1">
      <c r="A943" s="172"/>
    </row>
    <row r="944" spans="1:1">
      <c r="A944" s="172"/>
    </row>
    <row r="945" spans="1:1">
      <c r="A945" s="172"/>
    </row>
    <row r="946" spans="1:1">
      <c r="A946" s="172"/>
    </row>
    <row r="947" spans="1:1">
      <c r="A947" s="172"/>
    </row>
    <row r="948" spans="1:1">
      <c r="A948" s="172"/>
    </row>
    <row r="949" spans="1:1">
      <c r="A949" s="172"/>
    </row>
    <row r="950" spans="1:1">
      <c r="A950" s="172"/>
    </row>
    <row r="951" spans="1:1">
      <c r="A951" s="172"/>
    </row>
    <row r="952" spans="1:1">
      <c r="A952" s="172"/>
    </row>
    <row r="953" spans="1:1">
      <c r="A953" s="172"/>
    </row>
    <row r="954" spans="1:1">
      <c r="A954" s="172"/>
    </row>
    <row r="955" spans="1:1">
      <c r="A955" s="172"/>
    </row>
    <row r="956" spans="1:1">
      <c r="A956" s="172"/>
    </row>
    <row r="957" spans="1:1">
      <c r="A957" s="172"/>
    </row>
    <row r="958" spans="1:1">
      <c r="A958" s="172"/>
    </row>
    <row r="959" spans="1:1">
      <c r="A959" s="172"/>
    </row>
    <row r="960" spans="1:1">
      <c r="A960" s="172"/>
    </row>
    <row r="961" spans="1:1">
      <c r="A961" s="172"/>
    </row>
    <row r="962" spans="1:1">
      <c r="A962" s="172"/>
    </row>
    <row r="963" spans="1:1">
      <c r="A963" s="172"/>
    </row>
    <row r="964" spans="1:1">
      <c r="A964" s="172"/>
    </row>
    <row r="965" spans="1:1">
      <c r="A965" s="172"/>
    </row>
    <row r="966" spans="1:1">
      <c r="A966" s="172"/>
    </row>
    <row r="967" spans="1:1">
      <c r="A967" s="172"/>
    </row>
    <row r="968" spans="1:1">
      <c r="A968" s="172"/>
    </row>
    <row r="969" spans="1:1">
      <c r="A969" s="172"/>
    </row>
    <row r="970" spans="1:1">
      <c r="A970" s="172"/>
    </row>
    <row r="971" spans="1:1">
      <c r="A971" s="172"/>
    </row>
    <row r="972" spans="1:1">
      <c r="A972" s="172"/>
    </row>
    <row r="973" spans="1:1">
      <c r="A973" s="172"/>
    </row>
    <row r="974" spans="1:1">
      <c r="A974" s="172"/>
    </row>
    <row r="975" spans="1:1">
      <c r="A975" s="172"/>
    </row>
    <row r="976" spans="1:1">
      <c r="A976" s="172"/>
    </row>
    <row r="977" spans="1:1">
      <c r="A977" s="172"/>
    </row>
    <row r="978" spans="1:1">
      <c r="A978" s="172"/>
    </row>
    <row r="979" spans="1:1">
      <c r="A979" s="172"/>
    </row>
    <row r="980" spans="1:1">
      <c r="A980" s="172"/>
    </row>
    <row r="981" spans="1:1">
      <c r="A981" s="172"/>
    </row>
    <row r="982" spans="1:1">
      <c r="A982" s="172"/>
    </row>
    <row r="983" spans="1:1">
      <c r="A983" s="172"/>
    </row>
    <row r="984" spans="1:1">
      <c r="A984" s="172"/>
    </row>
    <row r="985" spans="1:1">
      <c r="A985" s="172"/>
    </row>
    <row r="986" spans="1:1">
      <c r="A986" s="172"/>
    </row>
    <row r="987" spans="1:1">
      <c r="A987" s="172"/>
    </row>
    <row r="988" spans="1:1">
      <c r="A988" s="172"/>
    </row>
    <row r="989" spans="1:1">
      <c r="A989" s="172"/>
    </row>
    <row r="990" spans="1:1">
      <c r="A990" s="172"/>
    </row>
    <row r="991" spans="1:1">
      <c r="A991" s="172"/>
    </row>
    <row r="992" spans="1:1">
      <c r="A992" s="172"/>
    </row>
    <row r="993" spans="1:1">
      <c r="A993" s="172"/>
    </row>
    <row r="994" spans="1:1">
      <c r="A994" s="172"/>
    </row>
    <row r="995" spans="1:1">
      <c r="A995" s="172"/>
    </row>
    <row r="996" spans="1:1">
      <c r="A996" s="172"/>
    </row>
    <row r="997" spans="1:1">
      <c r="A997" s="172"/>
    </row>
    <row r="998" spans="1:1">
      <c r="A998" s="172"/>
    </row>
    <row r="999" spans="1:1">
      <c r="A999" s="172"/>
    </row>
    <row r="1000" spans="1:1">
      <c r="A1000" s="172"/>
    </row>
    <row r="1001" spans="1:1">
      <c r="A1001" s="172"/>
    </row>
    <row r="1002" spans="1:1">
      <c r="A1002" s="172"/>
    </row>
    <row r="1003" spans="1:1">
      <c r="A1003" s="172"/>
    </row>
    <row r="1004" spans="1:1">
      <c r="A1004" s="172"/>
    </row>
    <row r="1005" spans="1:1">
      <c r="A1005" s="172"/>
    </row>
    <row r="1006" spans="1:1">
      <c r="A1006" s="172"/>
    </row>
    <row r="1007" spans="1:1">
      <c r="A1007" s="172"/>
    </row>
    <row r="1008" spans="1:1">
      <c r="A1008" s="172"/>
    </row>
    <row r="1009" spans="1:1">
      <c r="A1009" s="172"/>
    </row>
    <row r="1010" spans="1:1">
      <c r="A1010" s="172"/>
    </row>
    <row r="1011" spans="1:1">
      <c r="A1011" s="172"/>
    </row>
    <row r="1012" spans="1:1">
      <c r="A1012" s="172"/>
    </row>
    <row r="1013" spans="1:1">
      <c r="A1013" s="172"/>
    </row>
    <row r="1014" spans="1:1">
      <c r="A1014" s="172"/>
    </row>
    <row r="1015" spans="1:1">
      <c r="A1015" s="172"/>
    </row>
    <row r="1016" spans="1:1">
      <c r="A1016" s="172"/>
    </row>
    <row r="1017" spans="1:1">
      <c r="A1017" s="172"/>
    </row>
    <row r="1018" spans="1:1">
      <c r="A1018" s="172"/>
    </row>
    <row r="1019" spans="1:1">
      <c r="A1019" s="172"/>
    </row>
    <row r="1020" spans="1:1">
      <c r="A1020" s="172"/>
    </row>
    <row r="1021" spans="1:1">
      <c r="A1021" s="172"/>
    </row>
    <row r="1022" spans="1:1">
      <c r="A1022" s="172"/>
    </row>
    <row r="1023" spans="1:1">
      <c r="A1023" s="172"/>
    </row>
    <row r="1024" spans="1:1">
      <c r="A1024" s="172"/>
    </row>
    <row r="1025" spans="1:1">
      <c r="A1025" s="172"/>
    </row>
    <row r="1026" spans="1:1">
      <c r="A1026" s="172"/>
    </row>
    <row r="1027" spans="1:1">
      <c r="A1027" s="172"/>
    </row>
    <row r="1028" spans="1:1">
      <c r="A1028" s="172"/>
    </row>
    <row r="1029" spans="1:1">
      <c r="A1029" s="172"/>
    </row>
    <row r="1030" spans="1:1">
      <c r="A1030" s="172"/>
    </row>
    <row r="1031" spans="1:1">
      <c r="A1031" s="172"/>
    </row>
    <row r="1032" spans="1:1">
      <c r="A1032" s="172"/>
    </row>
    <row r="1033" spans="1:1">
      <c r="A1033" s="172"/>
    </row>
    <row r="1034" spans="1:1">
      <c r="A1034" s="172"/>
    </row>
    <row r="1035" spans="1:1">
      <c r="A1035" s="172"/>
    </row>
    <row r="1036" spans="1:1">
      <c r="A1036" s="172"/>
    </row>
    <row r="1037" spans="1:1">
      <c r="A1037" s="172"/>
    </row>
    <row r="1038" spans="1:1">
      <c r="A1038" s="172"/>
    </row>
    <row r="1039" spans="1:1">
      <c r="A1039" s="172"/>
    </row>
    <row r="1040" spans="1:1">
      <c r="A1040" s="172"/>
    </row>
    <row r="1041" spans="1:1">
      <c r="A1041" s="172"/>
    </row>
    <row r="1042" spans="1:1">
      <c r="A1042" s="172"/>
    </row>
    <row r="1043" spans="1:1">
      <c r="A1043" s="172"/>
    </row>
    <row r="1044" spans="1:1">
      <c r="A1044" s="172"/>
    </row>
    <row r="1045" spans="1:1">
      <c r="A1045" s="172"/>
    </row>
    <row r="1046" spans="1:1">
      <c r="A1046" s="172"/>
    </row>
    <row r="1047" spans="1:1">
      <c r="A1047" s="172"/>
    </row>
    <row r="1048" spans="1:1">
      <c r="A1048" s="172"/>
    </row>
    <row r="1049" spans="1:1">
      <c r="A1049" s="172"/>
    </row>
    <row r="1050" spans="1:1">
      <c r="A1050" s="172"/>
    </row>
    <row r="1051" spans="1:1">
      <c r="A1051" s="172"/>
    </row>
    <row r="1052" spans="1:1">
      <c r="A1052" s="172"/>
    </row>
    <row r="1053" spans="1:1">
      <c r="A1053" s="172"/>
    </row>
    <row r="1054" spans="1:1">
      <c r="A1054" s="172"/>
    </row>
    <row r="1055" spans="1:1">
      <c r="A1055" s="172"/>
    </row>
    <row r="1056" spans="1:1">
      <c r="A1056" s="172"/>
    </row>
    <row r="1057" spans="1:1">
      <c r="A1057" s="172"/>
    </row>
    <row r="1058" spans="1:1">
      <c r="A1058" s="172"/>
    </row>
    <row r="1059" spans="1:1">
      <c r="A1059" s="172"/>
    </row>
    <row r="1060" spans="1:1">
      <c r="A1060" s="172"/>
    </row>
    <row r="1061" spans="1:1">
      <c r="A1061" s="172"/>
    </row>
    <row r="1062" spans="1:1">
      <c r="A1062" s="172"/>
    </row>
    <row r="1063" spans="1:1">
      <c r="A1063" s="172"/>
    </row>
    <row r="1064" spans="1:1">
      <c r="A1064" s="172"/>
    </row>
    <row r="1065" spans="1:1">
      <c r="A1065" s="172"/>
    </row>
    <row r="1066" spans="1:1">
      <c r="A1066" s="172"/>
    </row>
    <row r="1067" spans="1:1">
      <c r="A1067" s="172"/>
    </row>
    <row r="1068" spans="1:1">
      <c r="A1068" s="172"/>
    </row>
    <row r="1069" spans="1:1">
      <c r="A1069" s="172"/>
    </row>
    <row r="1070" spans="1:1">
      <c r="A1070" s="172"/>
    </row>
    <row r="1071" spans="1:1">
      <c r="A1071" s="172"/>
    </row>
    <row r="1072" spans="1:1">
      <c r="A1072" s="172"/>
    </row>
    <row r="1073" spans="1:1">
      <c r="A1073" s="172"/>
    </row>
    <row r="1074" spans="1:1">
      <c r="A1074" s="172"/>
    </row>
    <row r="1075" spans="1:1">
      <c r="A1075" s="172"/>
    </row>
    <row r="1076" spans="1:1">
      <c r="A1076" s="172"/>
    </row>
    <row r="1077" spans="1:1">
      <c r="A1077" s="172"/>
    </row>
    <row r="1078" spans="1:1">
      <c r="A1078" s="172"/>
    </row>
    <row r="1079" spans="1:1">
      <c r="A1079" s="172"/>
    </row>
    <row r="1080" spans="1:1">
      <c r="A1080" s="172"/>
    </row>
    <row r="1081" spans="1:1">
      <c r="A1081" s="172"/>
    </row>
    <row r="1082" spans="1:1">
      <c r="A1082" s="172"/>
    </row>
    <row r="1083" spans="1:1">
      <c r="A1083" s="172"/>
    </row>
    <row r="1084" spans="1:1">
      <c r="A1084" s="172"/>
    </row>
    <row r="1085" spans="1:1">
      <c r="A1085" s="172"/>
    </row>
    <row r="1086" spans="1:1">
      <c r="A1086" s="172"/>
    </row>
    <row r="1087" spans="1:1">
      <c r="A1087" s="172"/>
    </row>
    <row r="1088" spans="1:1">
      <c r="A1088" s="172"/>
    </row>
    <row r="1089" spans="1:1">
      <c r="A1089" s="172"/>
    </row>
    <row r="1090" spans="1:1">
      <c r="A1090" s="172"/>
    </row>
    <row r="1091" spans="1:1">
      <c r="A1091" s="172"/>
    </row>
    <row r="1092" spans="1:1">
      <c r="A1092" s="172"/>
    </row>
    <row r="1093" spans="1:1">
      <c r="A1093" s="172"/>
    </row>
    <row r="1094" spans="1:1">
      <c r="A1094" s="172"/>
    </row>
    <row r="1095" spans="1:1">
      <c r="A1095" s="172"/>
    </row>
    <row r="1096" spans="1:1">
      <c r="A1096" s="172"/>
    </row>
    <row r="1097" spans="1:1">
      <c r="A1097" s="172"/>
    </row>
    <row r="1098" spans="1:1">
      <c r="A1098" s="172"/>
    </row>
    <row r="1099" spans="1:1">
      <c r="A1099" s="172"/>
    </row>
    <row r="1100" spans="1:1">
      <c r="A1100" s="172"/>
    </row>
    <row r="1101" spans="1:1">
      <c r="A1101" s="172"/>
    </row>
    <row r="1102" spans="1:1">
      <c r="A1102" s="172"/>
    </row>
    <row r="1103" spans="1:1">
      <c r="A1103" s="172"/>
    </row>
    <row r="1104" spans="1:1">
      <c r="A1104" s="172"/>
    </row>
    <row r="1105" spans="1:1">
      <c r="A1105" s="172"/>
    </row>
    <row r="1106" spans="1:1">
      <c r="A1106" s="172"/>
    </row>
    <row r="1107" spans="1:1">
      <c r="A1107" s="172"/>
    </row>
    <row r="1108" spans="1:1">
      <c r="A1108" s="172"/>
    </row>
    <row r="1109" spans="1:1">
      <c r="A1109" s="172"/>
    </row>
    <row r="1110" spans="1:1">
      <c r="A1110" s="172"/>
    </row>
    <row r="1111" spans="1:1">
      <c r="A1111" s="172"/>
    </row>
    <row r="1112" spans="1:1">
      <c r="A1112" s="172"/>
    </row>
    <row r="1113" spans="1:1">
      <c r="A1113" s="172"/>
    </row>
    <row r="1114" spans="1:1">
      <c r="A1114" s="172"/>
    </row>
    <row r="1115" spans="1:1">
      <c r="A1115" s="172"/>
    </row>
    <row r="1116" spans="1:1">
      <c r="A1116" s="172"/>
    </row>
    <row r="1117" spans="1:1">
      <c r="A1117" s="172"/>
    </row>
    <row r="1118" spans="1:1">
      <c r="A1118" s="172"/>
    </row>
    <row r="1119" spans="1:1">
      <c r="A1119" s="172"/>
    </row>
    <row r="1120" spans="1:1">
      <c r="A1120" s="172"/>
    </row>
    <row r="1121" spans="1:1">
      <c r="A1121" s="172"/>
    </row>
    <row r="1122" spans="1:1">
      <c r="A1122" s="172"/>
    </row>
    <row r="1123" spans="1:1">
      <c r="A1123" s="172"/>
    </row>
    <row r="1124" spans="1:1">
      <c r="A1124" s="172"/>
    </row>
    <row r="1125" spans="1:1">
      <c r="A1125" s="172"/>
    </row>
    <row r="1126" spans="1:1">
      <c r="A1126" s="172"/>
    </row>
    <row r="1127" spans="1:1">
      <c r="A1127" s="172"/>
    </row>
    <row r="1128" spans="1:1">
      <c r="A1128" s="172"/>
    </row>
    <row r="1129" spans="1:1">
      <c r="A1129" s="172"/>
    </row>
    <row r="1130" spans="1:1">
      <c r="A1130" s="172"/>
    </row>
    <row r="1131" spans="1:1">
      <c r="A1131" s="172"/>
    </row>
    <row r="1132" spans="1:1">
      <c r="A1132" s="172"/>
    </row>
    <row r="1133" spans="1:1">
      <c r="A1133" s="172"/>
    </row>
    <row r="1134" spans="1:1">
      <c r="A1134" s="172"/>
    </row>
    <row r="1135" spans="1:1">
      <c r="A1135" s="172"/>
    </row>
    <row r="1136" spans="1:1">
      <c r="A1136" s="172"/>
    </row>
    <row r="1137" spans="1:1">
      <c r="A1137" s="172"/>
    </row>
    <row r="1138" spans="1:1">
      <c r="A1138" s="172"/>
    </row>
    <row r="1139" spans="1:1">
      <c r="A1139" s="172"/>
    </row>
    <row r="1140" spans="1:1">
      <c r="A1140" s="172"/>
    </row>
    <row r="1141" spans="1:1">
      <c r="A1141" s="172"/>
    </row>
    <row r="1142" spans="1:1">
      <c r="A1142" s="172"/>
    </row>
    <row r="1143" spans="1:1">
      <c r="A1143" s="172"/>
    </row>
    <row r="1144" spans="1:1">
      <c r="A1144" s="172"/>
    </row>
    <row r="1145" spans="1:1">
      <c r="A1145" s="172"/>
    </row>
    <row r="1146" spans="1:1">
      <c r="A1146" s="172"/>
    </row>
    <row r="1147" spans="1:1">
      <c r="A1147" s="172"/>
    </row>
    <row r="1148" spans="1:1">
      <c r="A1148" s="172"/>
    </row>
    <row r="1149" spans="1:1">
      <c r="A1149" s="172"/>
    </row>
    <row r="1150" spans="1:1">
      <c r="A1150" s="172"/>
    </row>
    <row r="1151" spans="1:1">
      <c r="A1151" s="172"/>
    </row>
    <row r="1152" spans="1:1">
      <c r="A1152" s="172"/>
    </row>
    <row r="1153" spans="1:1">
      <c r="A1153" s="172"/>
    </row>
    <row r="1154" spans="1:1">
      <c r="A1154" s="172"/>
    </row>
    <row r="1155" spans="1:1">
      <c r="A1155" s="172"/>
    </row>
    <row r="1156" spans="1:1">
      <c r="A1156" s="172"/>
    </row>
    <row r="1157" spans="1:1">
      <c r="A1157" s="172"/>
    </row>
    <row r="1158" spans="1:1">
      <c r="A1158" s="172"/>
    </row>
    <row r="1159" spans="1:1">
      <c r="A1159" s="172"/>
    </row>
    <row r="1160" spans="1:1">
      <c r="A1160" s="172"/>
    </row>
    <row r="1161" spans="1:1">
      <c r="A1161" s="172"/>
    </row>
    <row r="1162" spans="1:1">
      <c r="A1162" s="172"/>
    </row>
    <row r="1163" spans="1:1">
      <c r="A1163" s="172"/>
    </row>
    <row r="1164" spans="1:1">
      <c r="A1164" s="172"/>
    </row>
    <row r="1165" spans="1:1">
      <c r="A1165" s="172"/>
    </row>
    <row r="1166" spans="1:1">
      <c r="A1166" s="172"/>
    </row>
    <row r="1167" spans="1:1">
      <c r="A1167" s="172"/>
    </row>
    <row r="1168" spans="1:1">
      <c r="A1168" s="172"/>
    </row>
    <row r="1169" spans="1:1">
      <c r="A1169" s="172"/>
    </row>
    <row r="1170" spans="1:1">
      <c r="A1170" s="172"/>
    </row>
    <row r="1171" spans="1:1">
      <c r="A1171" s="172"/>
    </row>
    <row r="1172" spans="1:1">
      <c r="A1172" s="172"/>
    </row>
    <row r="1173" spans="1:1">
      <c r="A1173" s="172"/>
    </row>
    <row r="1174" spans="1:1">
      <c r="A1174" s="172"/>
    </row>
    <row r="1175" spans="1:1">
      <c r="A1175" s="172"/>
    </row>
    <row r="1176" spans="1:1">
      <c r="A1176" s="172"/>
    </row>
    <row r="1177" spans="1:1">
      <c r="A1177" s="172"/>
    </row>
    <row r="1178" spans="1:1">
      <c r="A1178" s="172"/>
    </row>
    <row r="1179" spans="1:1">
      <c r="A1179" s="172"/>
    </row>
    <row r="1180" spans="1:1">
      <c r="A1180" s="172"/>
    </row>
    <row r="1181" spans="1:1">
      <c r="A1181" s="172"/>
    </row>
    <row r="1182" spans="1:1">
      <c r="A1182" s="172"/>
    </row>
    <row r="1183" spans="1:1">
      <c r="A1183" s="172"/>
    </row>
    <row r="1184" spans="1:1">
      <c r="A1184" s="172"/>
    </row>
    <row r="1185" spans="1:1">
      <c r="A1185" s="172"/>
    </row>
    <row r="1186" spans="1:1">
      <c r="A1186" s="172"/>
    </row>
    <row r="1187" spans="1:1">
      <c r="A1187" s="172"/>
    </row>
    <row r="1188" spans="1:1">
      <c r="A1188" s="172"/>
    </row>
    <row r="1189" spans="1:1">
      <c r="A1189" s="172"/>
    </row>
    <row r="1190" spans="1:1">
      <c r="A1190" s="172"/>
    </row>
    <row r="1191" spans="1:1">
      <c r="A1191" s="172"/>
    </row>
    <row r="1192" spans="1:1">
      <c r="A1192" s="172"/>
    </row>
    <row r="1193" spans="1:1">
      <c r="A1193" s="172"/>
    </row>
    <row r="1194" spans="1:1">
      <c r="A1194" s="172"/>
    </row>
    <row r="1195" spans="1:1">
      <c r="A1195" s="172"/>
    </row>
    <row r="1196" spans="1:1">
      <c r="A1196" s="172"/>
    </row>
    <row r="1197" spans="1:1">
      <c r="A1197" s="172"/>
    </row>
    <row r="1198" spans="1:1">
      <c r="A1198" s="172"/>
    </row>
    <row r="1199" spans="1:1">
      <c r="A1199" s="172"/>
    </row>
    <row r="1200" spans="1:1">
      <c r="A1200" s="172"/>
    </row>
    <row r="1201" spans="1:1">
      <c r="A1201" s="172"/>
    </row>
    <row r="1202" spans="1:1">
      <c r="A1202" s="172"/>
    </row>
    <row r="1203" spans="1:1">
      <c r="A1203" s="172"/>
    </row>
    <row r="1204" spans="1:1">
      <c r="A1204" s="172"/>
    </row>
    <row r="1205" spans="1:1">
      <c r="A1205" s="172"/>
    </row>
    <row r="1206" spans="1:1">
      <c r="A1206" s="172"/>
    </row>
    <row r="1207" spans="1:1">
      <c r="A1207" s="172"/>
    </row>
    <row r="1208" spans="1:1">
      <c r="A1208" s="172"/>
    </row>
    <row r="1209" spans="1:1">
      <c r="A1209" s="172"/>
    </row>
    <row r="1210" spans="1:1">
      <c r="A1210" s="172"/>
    </row>
    <row r="1211" spans="1:1">
      <c r="A1211" s="172"/>
    </row>
    <row r="1212" spans="1:1">
      <c r="A1212" s="172"/>
    </row>
    <row r="1213" spans="1:1">
      <c r="A1213" s="172"/>
    </row>
    <row r="1214" spans="1:1">
      <c r="A1214" s="172"/>
    </row>
    <row r="1215" spans="1:1">
      <c r="A1215" s="172"/>
    </row>
    <row r="1216" spans="1:1">
      <c r="A1216" s="172"/>
    </row>
    <row r="1217" spans="1:1">
      <c r="A1217" s="172"/>
    </row>
    <row r="1218" spans="1:1">
      <c r="A1218" s="172"/>
    </row>
    <row r="1219" spans="1:1">
      <c r="A1219" s="172"/>
    </row>
    <row r="1220" spans="1:1">
      <c r="A1220" s="172"/>
    </row>
    <row r="1221" spans="1:1">
      <c r="A1221" s="172"/>
    </row>
    <row r="1222" spans="1:1">
      <c r="A1222" s="172"/>
    </row>
    <row r="1223" spans="1:1">
      <c r="A1223" s="172"/>
    </row>
    <row r="1224" spans="1:1">
      <c r="A1224" s="172"/>
    </row>
    <row r="1225" spans="1:1">
      <c r="A1225" s="172"/>
    </row>
    <row r="1226" spans="1:1">
      <c r="A1226" s="172"/>
    </row>
    <row r="1227" spans="1:1">
      <c r="A1227" s="172"/>
    </row>
    <row r="1228" spans="1:1">
      <c r="A1228" s="172"/>
    </row>
    <row r="1229" spans="1:1">
      <c r="A1229" s="172"/>
    </row>
    <row r="1230" spans="1:1">
      <c r="A1230" s="172"/>
    </row>
    <row r="1231" spans="1:1">
      <c r="A1231" s="172"/>
    </row>
    <row r="1232" spans="1:1">
      <c r="A1232" s="172"/>
    </row>
    <row r="1233" spans="1:1">
      <c r="A1233" s="172"/>
    </row>
    <row r="1234" spans="1:1">
      <c r="A1234" s="172"/>
    </row>
    <row r="1235" spans="1:1">
      <c r="A1235" s="172"/>
    </row>
    <row r="1236" spans="1:1">
      <c r="A1236" s="172"/>
    </row>
    <row r="1237" spans="1:1">
      <c r="A1237" s="172"/>
    </row>
    <row r="1238" spans="1:1">
      <c r="A1238" s="172"/>
    </row>
    <row r="1239" spans="1:1">
      <c r="A1239" s="172"/>
    </row>
    <row r="1240" spans="1:1">
      <c r="A1240" s="172"/>
    </row>
    <row r="1241" spans="1:1">
      <c r="A1241" s="172"/>
    </row>
    <row r="1242" spans="1:1">
      <c r="A1242" s="172"/>
    </row>
    <row r="1243" spans="1:1">
      <c r="A1243" s="172"/>
    </row>
    <row r="1244" spans="1:1">
      <c r="A1244" s="172"/>
    </row>
    <row r="1245" spans="1:1">
      <c r="A1245" s="172"/>
    </row>
    <row r="1246" spans="1:1">
      <c r="A1246" s="172"/>
    </row>
    <row r="1247" spans="1:1">
      <c r="A1247" s="172"/>
    </row>
    <row r="1248" spans="1:1">
      <c r="A1248" s="172"/>
    </row>
    <row r="1249" spans="1:1">
      <c r="A1249" s="172"/>
    </row>
    <row r="1250" spans="1:1">
      <c r="A1250" s="172"/>
    </row>
    <row r="1251" spans="1:1">
      <c r="A1251" s="172"/>
    </row>
    <row r="1252" spans="1:1">
      <c r="A1252" s="172"/>
    </row>
    <row r="1253" spans="1:1">
      <c r="A1253" s="172"/>
    </row>
    <row r="1254" spans="1:1">
      <c r="A1254" s="172"/>
    </row>
    <row r="1255" spans="1:1">
      <c r="A1255" s="172"/>
    </row>
    <row r="1256" spans="1:1">
      <c r="A1256" s="172"/>
    </row>
    <row r="1257" spans="1:1">
      <c r="A1257" s="172"/>
    </row>
    <row r="1258" spans="1:1">
      <c r="A1258" s="172"/>
    </row>
    <row r="1259" spans="1:1">
      <c r="A1259" s="172"/>
    </row>
    <row r="1260" spans="1:1">
      <c r="A1260" s="172"/>
    </row>
    <row r="1261" spans="1:1">
      <c r="A1261" s="172"/>
    </row>
    <row r="1262" spans="1:1">
      <c r="A1262" s="172"/>
    </row>
    <row r="1263" spans="1:1">
      <c r="A1263" s="172"/>
    </row>
    <row r="1264" spans="1:1">
      <c r="A1264" s="172"/>
    </row>
    <row r="1265" spans="1:1">
      <c r="A1265" s="172"/>
    </row>
    <row r="1266" spans="1:1">
      <c r="A1266" s="172"/>
    </row>
    <row r="1267" spans="1:1">
      <c r="A1267" s="172"/>
    </row>
    <row r="1268" spans="1:1">
      <c r="A1268" s="172"/>
    </row>
    <row r="1269" spans="1:1">
      <c r="A1269" s="172"/>
    </row>
    <row r="1270" spans="1:1">
      <c r="A1270" s="172"/>
    </row>
    <row r="1271" spans="1:1">
      <c r="A1271" s="172"/>
    </row>
    <row r="1272" spans="1:1">
      <c r="A1272" s="172"/>
    </row>
    <row r="1273" spans="1:1">
      <c r="A1273" s="172"/>
    </row>
    <row r="1274" spans="1:1">
      <c r="A1274" s="172"/>
    </row>
    <row r="1275" spans="1:1">
      <c r="A1275" s="172"/>
    </row>
    <row r="1276" spans="1:1">
      <c r="A1276" s="172"/>
    </row>
    <row r="1277" spans="1:1">
      <c r="A1277" s="172"/>
    </row>
    <row r="1278" spans="1:1">
      <c r="A1278" s="172"/>
    </row>
    <row r="1279" spans="1:1">
      <c r="A1279" s="172"/>
    </row>
    <row r="1280" spans="1:1">
      <c r="A1280" s="172"/>
    </row>
    <row r="1281" spans="1:1">
      <c r="A1281" s="172"/>
    </row>
    <row r="1282" spans="1:1">
      <c r="A1282" s="172"/>
    </row>
    <row r="1283" spans="1:1">
      <c r="A1283" s="172"/>
    </row>
    <row r="1284" spans="1:1">
      <c r="A1284" s="172"/>
    </row>
    <row r="1285" spans="1:1">
      <c r="A1285" s="172"/>
    </row>
    <row r="1286" spans="1:1">
      <c r="A1286" s="172"/>
    </row>
    <row r="1287" spans="1:1">
      <c r="A1287" s="172"/>
    </row>
    <row r="1288" spans="1:1">
      <c r="A1288" s="172"/>
    </row>
    <row r="1289" spans="1:1">
      <c r="A1289" s="172"/>
    </row>
    <row r="1290" spans="1:1">
      <c r="A1290" s="172"/>
    </row>
    <row r="1291" spans="1:1">
      <c r="A1291" s="172"/>
    </row>
    <row r="1292" spans="1:1">
      <c r="A1292" s="172"/>
    </row>
    <row r="1293" spans="1:1">
      <c r="A1293" s="172"/>
    </row>
    <row r="1294" spans="1:1">
      <c r="A1294" s="172"/>
    </row>
    <row r="1295" spans="1:1">
      <c r="A1295" s="172"/>
    </row>
    <row r="1296" spans="1:1">
      <c r="A1296" s="172"/>
    </row>
    <row r="1297" spans="1:1">
      <c r="A1297" s="172"/>
    </row>
    <row r="1298" spans="1:1">
      <c r="A1298" s="172"/>
    </row>
    <row r="1299" spans="1:1">
      <c r="A1299" s="172"/>
    </row>
    <row r="1300" spans="1:1">
      <c r="A1300" s="172"/>
    </row>
    <row r="1301" spans="1:1">
      <c r="A1301" s="172"/>
    </row>
    <row r="1302" spans="1:1">
      <c r="A1302" s="172"/>
    </row>
    <row r="1303" spans="1:1">
      <c r="A1303" s="172"/>
    </row>
    <row r="1304" spans="1:1">
      <c r="A1304" s="172"/>
    </row>
    <row r="1305" spans="1:1">
      <c r="A1305" s="172"/>
    </row>
    <row r="1306" spans="1:1">
      <c r="A1306" s="172"/>
    </row>
    <row r="1307" spans="1:1">
      <c r="A1307" s="172"/>
    </row>
    <row r="1308" spans="1:1">
      <c r="A1308" s="172"/>
    </row>
    <row r="1309" spans="1:1">
      <c r="A1309" s="172"/>
    </row>
    <row r="1310" spans="1:1">
      <c r="A1310" s="172"/>
    </row>
    <row r="1311" spans="1:1">
      <c r="A1311" s="172"/>
    </row>
    <row r="1312" spans="1:1">
      <c r="A1312" s="172"/>
    </row>
    <row r="1313" spans="1:1">
      <c r="A1313" s="172"/>
    </row>
    <row r="1314" spans="1:1">
      <c r="A1314" s="172"/>
    </row>
    <row r="1315" spans="1:1">
      <c r="A1315" s="172"/>
    </row>
    <row r="1316" spans="1:1">
      <c r="A1316" s="172"/>
    </row>
    <row r="1317" spans="1:1">
      <c r="A1317" s="172"/>
    </row>
    <row r="1318" spans="1:1">
      <c r="A1318" s="172"/>
    </row>
    <row r="1319" spans="1:1">
      <c r="A1319" s="172"/>
    </row>
    <row r="1320" spans="1:1">
      <c r="A1320" s="172"/>
    </row>
    <row r="1321" spans="1:1">
      <c r="A1321" s="172"/>
    </row>
    <row r="1322" spans="1:1">
      <c r="A1322" s="172"/>
    </row>
    <row r="1323" spans="1:1">
      <c r="A1323" s="172"/>
    </row>
    <row r="1324" spans="1:1">
      <c r="A1324" s="172"/>
    </row>
    <row r="1325" spans="1:1">
      <c r="A1325" s="172"/>
    </row>
    <row r="1326" spans="1:1">
      <c r="A1326" s="172"/>
    </row>
    <row r="1327" spans="1:1">
      <c r="A1327" s="172"/>
    </row>
    <row r="1328" spans="1:1">
      <c r="A1328" s="172"/>
    </row>
    <row r="1329" spans="1:1">
      <c r="A1329" s="172"/>
    </row>
    <row r="1330" spans="1:1">
      <c r="A1330" s="172"/>
    </row>
    <row r="1331" spans="1:1">
      <c r="A1331" s="172"/>
    </row>
    <row r="1332" spans="1:1">
      <c r="A1332" s="172"/>
    </row>
    <row r="1333" spans="1:1">
      <c r="A1333" s="172"/>
    </row>
    <row r="1334" spans="1:1">
      <c r="A1334" s="172"/>
    </row>
    <row r="1335" spans="1:1">
      <c r="A1335" s="172"/>
    </row>
    <row r="1336" spans="1:1">
      <c r="A1336" s="172"/>
    </row>
    <row r="1337" spans="1:1">
      <c r="A1337" s="172"/>
    </row>
    <row r="1338" spans="1:1">
      <c r="A1338" s="172"/>
    </row>
    <row r="1339" spans="1:1">
      <c r="A1339" s="172"/>
    </row>
    <row r="1340" spans="1:1">
      <c r="A1340" s="172"/>
    </row>
    <row r="1341" spans="1:1">
      <c r="A1341" s="172"/>
    </row>
    <row r="1342" spans="1:1">
      <c r="A1342" s="172"/>
    </row>
    <row r="1343" spans="1:1">
      <c r="A1343" s="172"/>
    </row>
    <row r="1344" spans="1:1">
      <c r="A1344" s="172"/>
    </row>
    <row r="1345" spans="1:1">
      <c r="A1345" s="172"/>
    </row>
    <row r="1346" spans="1:1">
      <c r="A1346" s="172"/>
    </row>
    <row r="1347" spans="1:1">
      <c r="A1347" s="172"/>
    </row>
    <row r="1348" spans="1:1">
      <c r="A1348" s="172"/>
    </row>
    <row r="1349" spans="1:1">
      <c r="A1349" s="172"/>
    </row>
    <row r="1350" spans="1:1">
      <c r="A1350" s="172"/>
    </row>
    <row r="1351" spans="1:1">
      <c r="A1351" s="172"/>
    </row>
    <row r="1352" spans="1:1">
      <c r="A1352" s="172"/>
    </row>
    <row r="1353" spans="1:1">
      <c r="A1353" s="172"/>
    </row>
    <row r="1354" spans="1:1">
      <c r="A1354" s="172"/>
    </row>
    <row r="1355" spans="1:1">
      <c r="A1355" s="172"/>
    </row>
    <row r="1356" spans="1:1">
      <c r="A1356" s="172"/>
    </row>
    <row r="1357" spans="1:1">
      <c r="A1357" s="172"/>
    </row>
    <row r="1358" spans="1:1">
      <c r="A1358" s="172"/>
    </row>
    <row r="1359" spans="1:1">
      <c r="A1359" s="172"/>
    </row>
    <row r="1360" spans="1:1">
      <c r="A1360" s="172"/>
    </row>
    <row r="1361" spans="1:1">
      <c r="A1361" s="172"/>
    </row>
    <row r="1362" spans="1:1">
      <c r="A1362" s="172"/>
    </row>
    <row r="1363" spans="1:1">
      <c r="A1363" s="172"/>
    </row>
    <row r="1364" spans="1:1">
      <c r="A1364" s="172"/>
    </row>
    <row r="1365" spans="1:1">
      <c r="A1365" s="172"/>
    </row>
    <row r="1366" spans="1:1">
      <c r="A1366" s="172"/>
    </row>
    <row r="1367" spans="1:1">
      <c r="A1367" s="172"/>
    </row>
    <row r="1368" spans="1:1">
      <c r="A1368" s="172"/>
    </row>
    <row r="1369" spans="1:1">
      <c r="A1369" s="172"/>
    </row>
    <row r="1370" spans="1:1">
      <c r="A1370" s="172"/>
    </row>
    <row r="1371" spans="1:1">
      <c r="A1371" s="172"/>
    </row>
    <row r="1372" spans="1:1">
      <c r="A1372" s="172"/>
    </row>
    <row r="1373" spans="1:1">
      <c r="A1373" s="172"/>
    </row>
    <row r="1374" spans="1:1">
      <c r="A1374" s="172"/>
    </row>
    <row r="1375" spans="1:1">
      <c r="A1375" s="172"/>
    </row>
    <row r="1376" spans="1:1">
      <c r="A1376" s="172"/>
    </row>
    <row r="1377" spans="1:1">
      <c r="A1377" s="172"/>
    </row>
    <row r="1378" spans="1:1">
      <c r="A1378" s="172"/>
    </row>
    <row r="1379" spans="1:1">
      <c r="A1379" s="172"/>
    </row>
    <row r="1380" spans="1:1">
      <c r="A1380" s="172"/>
    </row>
    <row r="1381" spans="1:1">
      <c r="A1381" s="172"/>
    </row>
    <row r="1382" spans="1:1">
      <c r="A1382" s="172"/>
    </row>
    <row r="1383" spans="1:1">
      <c r="A1383" s="172"/>
    </row>
    <row r="1384" spans="1:1">
      <c r="A1384" s="172"/>
    </row>
    <row r="1385" spans="1:1">
      <c r="A1385" s="172"/>
    </row>
    <row r="1386" spans="1:1">
      <c r="A1386" s="172"/>
    </row>
    <row r="1387" spans="1:1">
      <c r="A1387" s="172"/>
    </row>
    <row r="1388" spans="1:1">
      <c r="A1388" s="172"/>
    </row>
    <row r="1389" spans="1:1">
      <c r="A1389" s="172"/>
    </row>
    <row r="1390" spans="1:1">
      <c r="A1390" s="172"/>
    </row>
    <row r="1391" spans="1:1">
      <c r="A1391" s="172"/>
    </row>
    <row r="1392" spans="1:1">
      <c r="A1392" s="172"/>
    </row>
    <row r="1393" spans="1:1">
      <c r="A1393" s="172"/>
    </row>
    <row r="1394" spans="1:1">
      <c r="A1394" s="172"/>
    </row>
    <row r="1395" spans="1:1">
      <c r="A1395" s="172"/>
    </row>
    <row r="1396" spans="1:1">
      <c r="A1396" s="172"/>
    </row>
    <row r="1397" spans="1:1">
      <c r="A1397" s="172"/>
    </row>
    <row r="1398" spans="1:1">
      <c r="A1398" s="172"/>
    </row>
    <row r="1399" spans="1:1">
      <c r="A1399" s="172"/>
    </row>
    <row r="1400" spans="1:1">
      <c r="A1400" s="172"/>
    </row>
    <row r="1401" spans="1:1">
      <c r="A1401" s="172"/>
    </row>
    <row r="1402" spans="1:1">
      <c r="A1402" s="172"/>
    </row>
    <row r="1403" spans="1:1">
      <c r="A1403" s="172"/>
    </row>
    <row r="1404" spans="1:1">
      <c r="A1404" s="172"/>
    </row>
    <row r="1405" spans="1:1">
      <c r="A1405" s="172"/>
    </row>
    <row r="1406" spans="1:1">
      <c r="A1406" s="172"/>
    </row>
    <row r="1407" spans="1:1">
      <c r="A1407" s="172"/>
    </row>
    <row r="1408" spans="1:1">
      <c r="A1408" s="172"/>
    </row>
    <row r="1409" spans="1:1">
      <c r="A1409" s="172"/>
    </row>
    <row r="1410" spans="1:1">
      <c r="A1410" s="172"/>
    </row>
    <row r="1411" spans="1:1">
      <c r="A1411" s="172"/>
    </row>
    <row r="1412" spans="1:1">
      <c r="A1412" s="172"/>
    </row>
    <row r="1413" spans="1:1">
      <c r="A1413" s="172"/>
    </row>
    <row r="1414" spans="1:1">
      <c r="A1414" s="172"/>
    </row>
    <row r="1415" spans="1:1">
      <c r="A1415" s="172"/>
    </row>
    <row r="1416" spans="1:1">
      <c r="A1416" s="172"/>
    </row>
    <row r="1417" spans="1:1">
      <c r="A1417" s="172"/>
    </row>
    <row r="1418" spans="1:1">
      <c r="A1418" s="172"/>
    </row>
    <row r="1419" spans="1:1">
      <c r="A1419" s="172"/>
    </row>
    <row r="1420" spans="1:1">
      <c r="A1420" s="172"/>
    </row>
    <row r="1421" spans="1:1">
      <c r="A1421" s="172"/>
    </row>
    <row r="1422" spans="1:1">
      <c r="A1422" s="172"/>
    </row>
    <row r="1423" spans="1:1">
      <c r="A1423" s="172"/>
    </row>
    <row r="1424" spans="1:1">
      <c r="A1424" s="172"/>
    </row>
    <row r="1425" spans="1:1">
      <c r="A1425" s="172"/>
    </row>
    <row r="1426" spans="1:1">
      <c r="A1426" s="172"/>
    </row>
    <row r="1427" spans="1:1">
      <c r="A1427" s="172"/>
    </row>
    <row r="1428" spans="1:1">
      <c r="A1428" s="172"/>
    </row>
    <row r="1429" spans="1:1">
      <c r="A1429" s="172"/>
    </row>
    <row r="1430" spans="1:1">
      <c r="A1430" s="172"/>
    </row>
    <row r="1431" spans="1:1">
      <c r="A1431" s="172"/>
    </row>
    <row r="1432" spans="1:1">
      <c r="A1432" s="172"/>
    </row>
    <row r="1433" spans="1:1">
      <c r="A1433" s="172"/>
    </row>
    <row r="1434" spans="1:1">
      <c r="A1434" s="172"/>
    </row>
    <row r="1435" spans="1:1">
      <c r="A1435" s="172"/>
    </row>
    <row r="1436" spans="1:1">
      <c r="A1436" s="172"/>
    </row>
    <row r="1437" spans="1:1">
      <c r="A1437" s="172"/>
    </row>
    <row r="1438" spans="1:1">
      <c r="A1438" s="172"/>
    </row>
    <row r="1439" spans="1:1">
      <c r="A1439" s="172"/>
    </row>
    <row r="1440" spans="1:1">
      <c r="A1440" s="172"/>
    </row>
    <row r="1441" spans="1:1">
      <c r="A1441" s="172"/>
    </row>
    <row r="1442" spans="1:1">
      <c r="A1442" s="172"/>
    </row>
    <row r="1443" spans="1:1">
      <c r="A1443" s="172"/>
    </row>
    <row r="1444" spans="1:1">
      <c r="A1444" s="172"/>
    </row>
    <row r="1445" spans="1:1">
      <c r="A1445" s="172"/>
    </row>
    <row r="1446" spans="1:1">
      <c r="A1446" s="172"/>
    </row>
    <row r="1447" spans="1:1">
      <c r="A1447" s="172"/>
    </row>
    <row r="1448" spans="1:1">
      <c r="A1448" s="172"/>
    </row>
    <row r="1449" spans="1:1">
      <c r="A1449" s="172"/>
    </row>
    <row r="1450" spans="1:1">
      <c r="A1450" s="172"/>
    </row>
    <row r="1451" spans="1:1">
      <c r="A1451" s="172"/>
    </row>
    <row r="1452" spans="1:1">
      <c r="A1452" s="172"/>
    </row>
    <row r="1453" spans="1:1">
      <c r="A1453" s="172"/>
    </row>
    <row r="1454" spans="1:1">
      <c r="A1454" s="172"/>
    </row>
    <row r="1455" spans="1:1">
      <c r="A1455" s="172"/>
    </row>
    <row r="1456" spans="1:1">
      <c r="A1456" s="172"/>
    </row>
    <row r="1457" spans="1:1">
      <c r="A1457" s="172"/>
    </row>
    <row r="1458" spans="1:1">
      <c r="A1458" s="172"/>
    </row>
    <row r="1459" spans="1:1">
      <c r="A1459" s="172"/>
    </row>
    <row r="1460" spans="1:1">
      <c r="A1460" s="172"/>
    </row>
    <row r="1461" spans="1:1">
      <c r="A1461" s="172"/>
    </row>
    <row r="1462" spans="1:1">
      <c r="A1462" s="172"/>
    </row>
    <row r="1463" spans="1:1">
      <c r="A1463" s="172"/>
    </row>
    <row r="1464" spans="1:1">
      <c r="A1464" s="172"/>
    </row>
    <row r="1465" spans="1:1">
      <c r="A1465" s="172"/>
    </row>
    <row r="1466" spans="1:1">
      <c r="A1466" s="172"/>
    </row>
    <row r="1467" spans="1:1">
      <c r="A1467" s="172"/>
    </row>
    <row r="1468" spans="1:1">
      <c r="A1468" s="172"/>
    </row>
    <row r="1469" spans="1:1">
      <c r="A1469" s="172"/>
    </row>
    <row r="1470" spans="1:1">
      <c r="A1470" s="172"/>
    </row>
    <row r="1471" spans="1:1">
      <c r="A1471" s="172"/>
    </row>
    <row r="1472" spans="1:1">
      <c r="A1472" s="172"/>
    </row>
    <row r="1473" spans="1:1">
      <c r="A1473" s="172"/>
    </row>
    <row r="1474" spans="1:1">
      <c r="A1474" s="172"/>
    </row>
    <row r="1475" spans="1:1">
      <c r="A1475" s="172"/>
    </row>
    <row r="1476" spans="1:1">
      <c r="A1476" s="172"/>
    </row>
    <row r="1477" spans="1:1">
      <c r="A1477" s="172"/>
    </row>
    <row r="1478" spans="1:1">
      <c r="A1478" s="172"/>
    </row>
    <row r="1479" spans="1:1">
      <c r="A1479" s="172"/>
    </row>
    <row r="1480" spans="1:1">
      <c r="A1480" s="172"/>
    </row>
    <row r="1481" spans="1:1">
      <c r="A1481" s="172"/>
    </row>
    <row r="1482" spans="1:1">
      <c r="A1482" s="172"/>
    </row>
    <row r="1483" spans="1:1">
      <c r="A1483" s="172"/>
    </row>
    <row r="1484" spans="1:1">
      <c r="A1484" s="172"/>
    </row>
    <row r="1485" spans="1:1">
      <c r="A1485" s="172"/>
    </row>
    <row r="1486" spans="1:1">
      <c r="A1486" s="172"/>
    </row>
    <row r="1487" spans="1:1">
      <c r="A1487" s="172"/>
    </row>
    <row r="1488" spans="1:1">
      <c r="A1488" s="172"/>
    </row>
    <row r="1489" spans="1:1">
      <c r="A1489" s="172"/>
    </row>
    <row r="1490" spans="1:1">
      <c r="A1490" s="172"/>
    </row>
    <row r="1491" spans="1:1">
      <c r="A1491" s="172"/>
    </row>
    <row r="1492" spans="1:1">
      <c r="A1492" s="172"/>
    </row>
    <row r="1493" spans="1:1">
      <c r="A1493" s="172"/>
    </row>
    <row r="1494" spans="1:1">
      <c r="A1494" s="172"/>
    </row>
    <row r="1495" spans="1:1">
      <c r="A1495" s="172"/>
    </row>
    <row r="1496" spans="1:1">
      <c r="A1496" s="172"/>
    </row>
    <row r="1497" spans="1:1">
      <c r="A1497" s="172"/>
    </row>
    <row r="1498" spans="1:1">
      <c r="A1498" s="172"/>
    </row>
    <row r="1499" spans="1:1">
      <c r="A1499" s="172"/>
    </row>
    <row r="1500" spans="1:1">
      <c r="A1500" s="172"/>
    </row>
    <row r="1501" spans="1:1">
      <c r="A1501" s="172"/>
    </row>
    <row r="1502" spans="1:1">
      <c r="A1502" s="172"/>
    </row>
    <row r="1503" spans="1:1">
      <c r="A1503" s="172"/>
    </row>
    <row r="1504" spans="1:1">
      <c r="A1504" s="172"/>
    </row>
    <row r="1505" spans="1:1">
      <c r="A1505" s="172"/>
    </row>
    <row r="1506" spans="1:1">
      <c r="A1506" s="172"/>
    </row>
    <row r="1507" spans="1:1">
      <c r="A1507" s="172"/>
    </row>
    <row r="1508" spans="1:1">
      <c r="A1508" s="172"/>
    </row>
    <row r="1509" spans="1:1">
      <c r="A1509" s="172"/>
    </row>
    <row r="1510" spans="1:1">
      <c r="A1510" s="172"/>
    </row>
    <row r="1511" spans="1:1">
      <c r="A1511" s="172"/>
    </row>
    <row r="1512" spans="1:1">
      <c r="A1512" s="172"/>
    </row>
    <row r="1513" spans="1:1">
      <c r="A1513" s="172"/>
    </row>
    <row r="1514" spans="1:1">
      <c r="A1514" s="172"/>
    </row>
    <row r="1515" spans="1:1">
      <c r="A1515" s="172"/>
    </row>
    <row r="1516" spans="1:1">
      <c r="A1516" s="172"/>
    </row>
    <row r="1517" spans="1:1">
      <c r="A1517" s="172"/>
    </row>
    <row r="1518" spans="1:1">
      <c r="A1518" s="172"/>
    </row>
    <row r="1519" spans="1:1">
      <c r="A1519" s="172"/>
    </row>
    <row r="1520" spans="1:1">
      <c r="A1520" s="172"/>
    </row>
    <row r="1521" spans="1:1">
      <c r="A1521" s="172"/>
    </row>
    <row r="1522" spans="1:1">
      <c r="A1522" s="172"/>
    </row>
    <row r="1523" spans="1:1">
      <c r="A1523" s="172"/>
    </row>
    <row r="1524" spans="1:1">
      <c r="A1524" s="172"/>
    </row>
    <row r="1525" spans="1:1">
      <c r="A1525" s="172"/>
    </row>
    <row r="1526" spans="1:1">
      <c r="A1526" s="172"/>
    </row>
    <row r="1527" spans="1:1">
      <c r="A1527" s="172"/>
    </row>
    <row r="1528" spans="1:1">
      <c r="A1528" s="172"/>
    </row>
    <row r="1529" spans="1:1">
      <c r="A1529" s="172"/>
    </row>
    <row r="1530" spans="1:1">
      <c r="A1530" s="172"/>
    </row>
    <row r="1531" spans="1:1">
      <c r="A1531" s="172"/>
    </row>
    <row r="1532" spans="1:1">
      <c r="A1532" s="172"/>
    </row>
    <row r="1533" spans="1:1">
      <c r="A1533" s="172"/>
    </row>
    <row r="1534" spans="1:1">
      <c r="A1534" s="172"/>
    </row>
    <row r="1535" spans="1:1">
      <c r="A1535" s="172"/>
    </row>
    <row r="1536" spans="1:1">
      <c r="A1536" s="172"/>
    </row>
    <row r="1537" spans="1:1">
      <c r="A1537" s="172"/>
    </row>
    <row r="1538" spans="1:1">
      <c r="A1538" s="172"/>
    </row>
    <row r="1539" spans="1:1">
      <c r="A1539" s="172"/>
    </row>
    <row r="1540" spans="1:1">
      <c r="A1540" s="172"/>
    </row>
    <row r="1541" spans="1:1">
      <c r="A1541" s="172"/>
    </row>
    <row r="1542" spans="1:1">
      <c r="A1542" s="172"/>
    </row>
    <row r="1543" spans="1:1">
      <c r="A1543" s="172"/>
    </row>
    <row r="1544" spans="1:1">
      <c r="A1544" s="172"/>
    </row>
    <row r="1545" spans="1:1">
      <c r="A1545" s="172"/>
    </row>
    <row r="1546" spans="1:1">
      <c r="A1546" s="172"/>
    </row>
    <row r="1547" spans="1:1">
      <c r="A1547" s="172"/>
    </row>
    <row r="1548" spans="1:1">
      <c r="A1548" s="172"/>
    </row>
    <row r="1549" spans="1:1">
      <c r="A1549" s="172"/>
    </row>
    <row r="1550" spans="1:1">
      <c r="A1550" s="172"/>
    </row>
    <row r="1551" spans="1:1">
      <c r="A1551" s="172"/>
    </row>
    <row r="1552" spans="1:1">
      <c r="A1552" s="172"/>
    </row>
    <row r="1553" spans="1:1">
      <c r="A1553" s="172"/>
    </row>
    <row r="1554" spans="1:1">
      <c r="A1554" s="172"/>
    </row>
    <row r="1555" spans="1:1">
      <c r="A1555" s="172"/>
    </row>
    <row r="1556" spans="1:1">
      <c r="A1556" s="172"/>
    </row>
    <row r="1557" spans="1:1">
      <c r="A1557" s="172"/>
    </row>
    <row r="1558" spans="1:1">
      <c r="A1558" s="172"/>
    </row>
    <row r="1559" spans="1:1">
      <c r="A1559" s="172"/>
    </row>
    <row r="1560" spans="1:1">
      <c r="A1560" s="172"/>
    </row>
    <row r="1561" spans="1:1">
      <c r="A1561" s="172"/>
    </row>
    <row r="1562" spans="1:1">
      <c r="A1562" s="172"/>
    </row>
    <row r="1563" spans="1:1">
      <c r="A1563" s="172"/>
    </row>
    <row r="1564" spans="1:1">
      <c r="A1564" s="172"/>
    </row>
    <row r="1565" spans="1:1">
      <c r="A1565" s="172"/>
    </row>
    <row r="1566" spans="1:1">
      <c r="A1566" s="172"/>
    </row>
    <row r="1567" spans="1:1">
      <c r="A1567" s="172"/>
    </row>
    <row r="1568" spans="1:1">
      <c r="A1568" s="172"/>
    </row>
    <row r="1569" spans="1:1">
      <c r="A1569" s="172"/>
    </row>
    <row r="1570" spans="1:1">
      <c r="A1570" s="172"/>
    </row>
    <row r="1571" spans="1:1">
      <c r="A1571" s="172"/>
    </row>
    <row r="1572" spans="1:1">
      <c r="A1572" s="172"/>
    </row>
    <row r="1573" spans="1:1">
      <c r="A1573" s="172"/>
    </row>
    <row r="1574" spans="1:1">
      <c r="A1574" s="172"/>
    </row>
    <row r="1575" spans="1:1">
      <c r="A1575" s="172"/>
    </row>
    <row r="1576" spans="1:1">
      <c r="A1576" s="172"/>
    </row>
    <row r="1577" spans="1:1">
      <c r="A1577" s="172"/>
    </row>
    <row r="1578" spans="1:1">
      <c r="A1578" s="172"/>
    </row>
    <row r="1579" spans="1:1">
      <c r="A1579" s="172"/>
    </row>
    <row r="1580" spans="1:1">
      <c r="A1580" s="172"/>
    </row>
    <row r="1581" spans="1:1">
      <c r="A1581" s="172"/>
    </row>
    <row r="1582" spans="1:1">
      <c r="A1582" s="172"/>
    </row>
    <row r="1583" spans="1:1">
      <c r="A1583" s="172"/>
    </row>
    <row r="1584" spans="1:1">
      <c r="A1584" s="172"/>
    </row>
    <row r="1585" spans="1:1">
      <c r="A1585" s="172"/>
    </row>
    <row r="1586" spans="1:1">
      <c r="A1586" s="172"/>
    </row>
    <row r="1587" spans="1:1">
      <c r="A1587" s="172"/>
    </row>
    <row r="1588" spans="1:1">
      <c r="A1588" s="172"/>
    </row>
    <row r="1589" spans="1:1">
      <c r="A1589" s="172"/>
    </row>
    <row r="1590" spans="1:1">
      <c r="A1590" s="172"/>
    </row>
    <row r="1591" spans="1:1">
      <c r="A1591" s="172"/>
    </row>
    <row r="1592" spans="1:1">
      <c r="A1592" s="172"/>
    </row>
    <row r="1593" spans="1:1">
      <c r="A1593" s="172"/>
    </row>
    <row r="1594" spans="1:1">
      <c r="A1594" s="172"/>
    </row>
    <row r="1595" spans="1:1">
      <c r="A1595" s="172"/>
    </row>
    <row r="1596" spans="1:1">
      <c r="A1596" s="172"/>
    </row>
    <row r="1597" spans="1:1">
      <c r="A1597" s="172"/>
    </row>
    <row r="1598" spans="1:1">
      <c r="A1598" s="172"/>
    </row>
    <row r="1599" spans="1:1">
      <c r="A1599" s="172"/>
    </row>
    <row r="1600" spans="1:1">
      <c r="A1600" s="172"/>
    </row>
    <row r="1601" spans="1:1">
      <c r="A1601" s="172"/>
    </row>
    <row r="1602" spans="1:1">
      <c r="A1602" s="172"/>
    </row>
    <row r="1603" spans="1:1">
      <c r="A1603" s="172"/>
    </row>
    <row r="1604" spans="1:1">
      <c r="A1604" s="172"/>
    </row>
    <row r="1605" spans="1:1">
      <c r="A1605" s="172"/>
    </row>
    <row r="1606" spans="1:1">
      <c r="A1606" s="172"/>
    </row>
    <row r="1607" spans="1:1">
      <c r="A1607" s="172"/>
    </row>
    <row r="1608" spans="1:1">
      <c r="A1608" s="172"/>
    </row>
    <row r="1609" spans="1:1">
      <c r="A1609" s="172"/>
    </row>
    <row r="1610" spans="1:1">
      <c r="A1610" s="172"/>
    </row>
    <row r="1611" spans="1:1">
      <c r="A1611" s="172"/>
    </row>
    <row r="1612" spans="1:1">
      <c r="A1612" s="172"/>
    </row>
    <row r="1613" spans="1:1">
      <c r="A1613" s="172"/>
    </row>
    <row r="1614" spans="1:1">
      <c r="A1614" s="172"/>
    </row>
    <row r="1615" spans="1:1">
      <c r="A1615" s="172"/>
    </row>
    <row r="1616" spans="1:1">
      <c r="A1616" s="172"/>
    </row>
    <row r="1617" spans="1:1">
      <c r="A1617" s="172"/>
    </row>
    <row r="1618" spans="1:1">
      <c r="A1618" s="172"/>
    </row>
    <row r="1619" spans="1:1">
      <c r="A1619" s="172"/>
    </row>
    <row r="1620" spans="1:1">
      <c r="A1620" s="172"/>
    </row>
    <row r="1621" spans="1:1">
      <c r="A1621" s="172"/>
    </row>
    <row r="1622" spans="1:1">
      <c r="A1622" s="172"/>
    </row>
    <row r="1623" spans="1:1">
      <c r="A1623" s="172"/>
    </row>
    <row r="1624" spans="1:1">
      <c r="A1624" s="172"/>
    </row>
    <row r="1625" spans="1:1">
      <c r="A1625" s="172"/>
    </row>
    <row r="1626" spans="1:1">
      <c r="A1626" s="172"/>
    </row>
    <row r="1627" spans="1:1">
      <c r="A1627" s="172"/>
    </row>
    <row r="1628" spans="1:1">
      <c r="A1628" s="172"/>
    </row>
    <row r="1629" spans="1:1">
      <c r="A1629" s="172"/>
    </row>
    <row r="1630" spans="1:1">
      <c r="A1630" s="172"/>
    </row>
    <row r="1631" spans="1:1">
      <c r="A1631" s="172"/>
    </row>
    <row r="1632" spans="1:1">
      <c r="A1632" s="172"/>
    </row>
    <row r="1633" spans="1:1">
      <c r="A1633" s="172"/>
    </row>
    <row r="1634" spans="1:1">
      <c r="A1634" s="172"/>
    </row>
    <row r="1635" spans="1:1">
      <c r="A1635" s="172"/>
    </row>
    <row r="1636" spans="1:1">
      <c r="A1636" s="172"/>
    </row>
    <row r="1637" spans="1:1">
      <c r="A1637" s="172"/>
    </row>
    <row r="1638" spans="1:1">
      <c r="A1638" s="172"/>
    </row>
    <row r="1639" spans="1:1">
      <c r="A1639" s="172"/>
    </row>
    <row r="1640" spans="1:1">
      <c r="A1640" s="172"/>
    </row>
    <row r="1641" spans="1:1">
      <c r="A1641" s="172"/>
    </row>
    <row r="1642" spans="1:1">
      <c r="A1642" s="172"/>
    </row>
    <row r="1643" spans="1:1">
      <c r="A1643" s="172"/>
    </row>
    <row r="1644" spans="1:1">
      <c r="A1644" s="172"/>
    </row>
    <row r="1645" spans="1:1">
      <c r="A1645" s="172"/>
    </row>
    <row r="1646" spans="1:1">
      <c r="A1646" s="172"/>
    </row>
    <row r="1647" spans="1:1">
      <c r="A1647" s="172"/>
    </row>
    <row r="1648" spans="1:1">
      <c r="A1648" s="172"/>
    </row>
    <row r="1649" spans="1:1">
      <c r="A1649" s="172"/>
    </row>
    <row r="1650" spans="1:1">
      <c r="A1650" s="172"/>
    </row>
    <row r="1651" spans="1:1">
      <c r="A1651" s="172"/>
    </row>
    <row r="1652" spans="1:1">
      <c r="A1652" s="172"/>
    </row>
    <row r="1653" spans="1:1">
      <c r="A1653" s="172"/>
    </row>
    <row r="1654" spans="1:1">
      <c r="A1654" s="172"/>
    </row>
    <row r="1655" spans="1:1">
      <c r="A1655" s="172"/>
    </row>
    <row r="1656" spans="1:1">
      <c r="A1656" s="172"/>
    </row>
    <row r="1657" spans="1:1">
      <c r="A1657" s="172"/>
    </row>
    <row r="1658" spans="1:1">
      <c r="A1658" s="172"/>
    </row>
    <row r="1659" spans="1:1">
      <c r="A1659" s="172"/>
    </row>
    <row r="1660" spans="1:1">
      <c r="A1660" s="172"/>
    </row>
    <row r="1661" spans="1:1">
      <c r="A1661" s="172"/>
    </row>
    <row r="1662" spans="1:1">
      <c r="A1662" s="172"/>
    </row>
    <row r="1663" spans="1:1">
      <c r="A1663" s="172"/>
    </row>
    <row r="1664" spans="1:1">
      <c r="A1664" s="172"/>
    </row>
    <row r="1665" spans="1:1">
      <c r="A1665" s="172"/>
    </row>
    <row r="1666" spans="1:1">
      <c r="A1666" s="172"/>
    </row>
    <row r="1667" spans="1:1">
      <c r="A1667" s="172"/>
    </row>
    <row r="1668" spans="1:1">
      <c r="A1668" s="172"/>
    </row>
    <row r="1669" spans="1:1">
      <c r="A1669" s="172"/>
    </row>
    <row r="1670" spans="1:1">
      <c r="A1670" s="172"/>
    </row>
    <row r="1671" spans="1:1">
      <c r="A1671" s="172"/>
    </row>
    <row r="1672" spans="1:1">
      <c r="A1672" s="172"/>
    </row>
    <row r="1673" spans="1:1">
      <c r="A1673" s="172"/>
    </row>
    <row r="1674" spans="1:1">
      <c r="A1674" s="172"/>
    </row>
    <row r="1675" spans="1:1">
      <c r="A1675" s="172"/>
    </row>
    <row r="1676" spans="1:1">
      <c r="A1676" s="172"/>
    </row>
    <row r="1677" spans="1:1">
      <c r="A1677" s="172"/>
    </row>
    <row r="1678" spans="1:1">
      <c r="A1678" s="172"/>
    </row>
    <row r="1679" spans="1:1">
      <c r="A1679" s="172"/>
    </row>
    <row r="1680" spans="1:1">
      <c r="A1680" s="172"/>
    </row>
    <row r="1681" spans="1:1">
      <c r="A1681" s="172"/>
    </row>
    <row r="1682" spans="1:1">
      <c r="A1682" s="172"/>
    </row>
    <row r="1683" spans="1:1">
      <c r="A1683" s="172"/>
    </row>
    <row r="1684" spans="1:1">
      <c r="A1684" s="172"/>
    </row>
    <row r="1685" spans="1:1">
      <c r="A1685" s="172"/>
    </row>
    <row r="1686" spans="1:1">
      <c r="A1686" s="172"/>
    </row>
    <row r="1687" spans="1:1">
      <c r="A1687" s="172"/>
    </row>
    <row r="1688" spans="1:1">
      <c r="A1688" s="172"/>
    </row>
    <row r="1689" spans="1:1">
      <c r="A1689" s="172"/>
    </row>
    <row r="1690" spans="1:1">
      <c r="A1690" s="172"/>
    </row>
    <row r="1691" spans="1:1">
      <c r="A1691" s="172"/>
    </row>
    <row r="1692" spans="1:1">
      <c r="A1692" s="172"/>
    </row>
    <row r="1693" spans="1:1">
      <c r="A1693" s="172"/>
    </row>
    <row r="1694" spans="1:1">
      <c r="A1694" s="172"/>
    </row>
    <row r="1695" spans="1:1">
      <c r="A1695" s="172"/>
    </row>
    <row r="1696" spans="1:1">
      <c r="A1696" s="172"/>
    </row>
    <row r="1697" spans="1:1">
      <c r="A1697" s="172"/>
    </row>
    <row r="1698" spans="1:1">
      <c r="A1698" s="172"/>
    </row>
    <row r="1699" spans="1:1">
      <c r="A1699" s="172"/>
    </row>
    <row r="1700" spans="1:1">
      <c r="A1700" s="172"/>
    </row>
    <row r="1701" spans="1:1">
      <c r="A1701" s="172"/>
    </row>
    <row r="1702" spans="1:1">
      <c r="A1702" s="172"/>
    </row>
    <row r="1703" spans="1:1">
      <c r="A1703" s="172"/>
    </row>
    <row r="1704" spans="1:1">
      <c r="A1704" s="172"/>
    </row>
    <row r="1705" spans="1:1">
      <c r="A1705" s="172"/>
    </row>
    <row r="1706" spans="1:1">
      <c r="A1706" s="172"/>
    </row>
    <row r="1707" spans="1:1">
      <c r="A1707" s="172"/>
    </row>
    <row r="1708" spans="1:1">
      <c r="A1708" s="172"/>
    </row>
    <row r="1709" spans="1:1">
      <c r="A1709" s="172"/>
    </row>
    <row r="1710" spans="1:1">
      <c r="A1710" s="172"/>
    </row>
    <row r="1711" spans="1:1">
      <c r="A1711" s="172"/>
    </row>
    <row r="1712" spans="1:1">
      <c r="A1712" s="172"/>
    </row>
    <row r="1713" spans="1:1">
      <c r="A1713" s="172"/>
    </row>
    <row r="1714" spans="1:1">
      <c r="A1714" s="172"/>
    </row>
    <row r="1715" spans="1:1">
      <c r="A1715" s="172"/>
    </row>
    <row r="1716" spans="1:1">
      <c r="A1716" s="172"/>
    </row>
    <row r="1717" spans="1:1">
      <c r="A1717" s="172"/>
    </row>
    <row r="1718" spans="1:1">
      <c r="A1718" s="172"/>
    </row>
    <row r="1719" spans="1:1">
      <c r="A1719" s="172"/>
    </row>
    <row r="1720" spans="1:1">
      <c r="A1720" s="172"/>
    </row>
    <row r="1721" spans="1:1">
      <c r="A1721" s="172"/>
    </row>
    <row r="1722" spans="1:1">
      <c r="A1722" s="172"/>
    </row>
    <row r="1723" spans="1:1">
      <c r="A1723" s="172"/>
    </row>
    <row r="1724" spans="1:1">
      <c r="A1724" s="172"/>
    </row>
    <row r="1725" spans="1:1">
      <c r="A1725" s="172"/>
    </row>
    <row r="1726" spans="1:1">
      <c r="A1726" s="172"/>
    </row>
    <row r="1727" spans="1:1">
      <c r="A1727" s="172"/>
    </row>
    <row r="1728" spans="1:1">
      <c r="A1728" s="172"/>
    </row>
    <row r="1729" spans="1:1">
      <c r="A1729" s="172"/>
    </row>
    <row r="1730" spans="1:1">
      <c r="A1730" s="172"/>
    </row>
    <row r="1731" spans="1:1">
      <c r="A1731" s="172"/>
    </row>
    <row r="1732" spans="1:1">
      <c r="A1732" s="172"/>
    </row>
    <row r="1733" spans="1:1">
      <c r="A1733" s="172"/>
    </row>
    <row r="1734" spans="1:1">
      <c r="A1734" s="172"/>
    </row>
    <row r="1735" spans="1:1">
      <c r="A1735" s="172"/>
    </row>
    <row r="1736" spans="1:1">
      <c r="A1736" s="172"/>
    </row>
    <row r="1737" spans="1:1">
      <c r="A1737" s="172"/>
    </row>
    <row r="1738" spans="1:1">
      <c r="A1738" s="172"/>
    </row>
    <row r="1739" spans="1:1">
      <c r="A1739" s="172"/>
    </row>
    <row r="1740" spans="1:1">
      <c r="A1740" s="172"/>
    </row>
    <row r="1741" spans="1:1">
      <c r="A1741" s="172"/>
    </row>
    <row r="1742" spans="1:1">
      <c r="A1742" s="172"/>
    </row>
    <row r="1743" spans="1:1">
      <c r="A1743" s="172"/>
    </row>
    <row r="1744" spans="1:1">
      <c r="A1744" s="172"/>
    </row>
    <row r="1745" spans="1:1">
      <c r="A1745" s="172"/>
    </row>
    <row r="1746" spans="1:1">
      <c r="A1746" s="172"/>
    </row>
    <row r="1747" spans="1:1">
      <c r="A1747" s="172"/>
    </row>
    <row r="1748" spans="1:1">
      <c r="A1748" s="172"/>
    </row>
    <row r="1749" spans="1:1">
      <c r="A1749" s="172"/>
    </row>
    <row r="1750" spans="1:1">
      <c r="A1750" s="172"/>
    </row>
    <row r="1751" spans="1:1">
      <c r="A1751" s="172"/>
    </row>
    <row r="1752" spans="1:1">
      <c r="A1752" s="172"/>
    </row>
    <row r="1753" spans="1:1">
      <c r="A1753" s="172"/>
    </row>
    <row r="1754" spans="1:1">
      <c r="A1754" s="172"/>
    </row>
    <row r="1755" spans="1:1">
      <c r="A1755" s="172"/>
    </row>
    <row r="1756" spans="1:1">
      <c r="A1756" s="172"/>
    </row>
    <row r="1757" spans="1:1">
      <c r="A1757" s="172"/>
    </row>
    <row r="1758" spans="1:1">
      <c r="A1758" s="172"/>
    </row>
    <row r="1759" spans="1:1">
      <c r="A1759" s="172"/>
    </row>
    <row r="1760" spans="1:1">
      <c r="A1760" s="172"/>
    </row>
    <row r="1761" spans="1:1">
      <c r="A1761" s="172"/>
    </row>
    <row r="1762" spans="1:1">
      <c r="A1762" s="172"/>
    </row>
    <row r="1763" spans="1:1">
      <c r="A1763" s="172"/>
    </row>
    <row r="1764" spans="1:1">
      <c r="A1764" s="172"/>
    </row>
    <row r="1765" spans="1:1">
      <c r="A1765" s="172"/>
    </row>
    <row r="1766" spans="1:1">
      <c r="A1766" s="172"/>
    </row>
    <row r="1767" spans="1:1">
      <c r="A1767" s="172"/>
    </row>
    <row r="1768" spans="1:1">
      <c r="A1768" s="172"/>
    </row>
    <row r="1769" spans="1:1">
      <c r="A1769" s="172"/>
    </row>
    <row r="1770" spans="1:1">
      <c r="A1770" s="172"/>
    </row>
    <row r="1771" spans="1:1">
      <c r="A1771" s="172"/>
    </row>
    <row r="1772" spans="1:1">
      <c r="A1772" s="172"/>
    </row>
    <row r="1773" spans="1:1">
      <c r="A1773" s="172"/>
    </row>
    <row r="1774" spans="1:1">
      <c r="A1774" s="172"/>
    </row>
    <row r="1775" spans="1:1">
      <c r="A1775" s="172"/>
    </row>
    <row r="1776" spans="1:1">
      <c r="A1776" s="172"/>
    </row>
    <row r="1777" spans="1:1">
      <c r="A1777" s="172"/>
    </row>
    <row r="1778" spans="1:1">
      <c r="A1778" s="172"/>
    </row>
    <row r="1779" spans="1:1">
      <c r="A1779" s="172"/>
    </row>
    <row r="1780" spans="1:1">
      <c r="A1780" s="172"/>
    </row>
    <row r="1781" spans="1:1">
      <c r="A1781" s="172"/>
    </row>
    <row r="1782" spans="1:1">
      <c r="A1782" s="172"/>
    </row>
    <row r="1783" spans="1:1">
      <c r="A1783" s="172"/>
    </row>
    <row r="1784" spans="1:1">
      <c r="A1784" s="172"/>
    </row>
    <row r="1785" spans="1:1">
      <c r="A1785" s="172"/>
    </row>
    <row r="1786" spans="1:1">
      <c r="A1786" s="172"/>
    </row>
    <row r="1787" spans="1:1">
      <c r="A1787" s="172"/>
    </row>
    <row r="1788" spans="1:1">
      <c r="A1788" s="172"/>
    </row>
    <row r="1789" spans="1:1">
      <c r="A1789" s="172"/>
    </row>
    <row r="1790" spans="1:1">
      <c r="A1790" s="172"/>
    </row>
    <row r="1791" spans="1:1">
      <c r="A1791" s="172"/>
    </row>
    <row r="1792" spans="1:1">
      <c r="A1792" s="172"/>
    </row>
    <row r="1793" spans="1:1">
      <c r="A1793" s="172"/>
    </row>
    <row r="1794" spans="1:1">
      <c r="A1794" s="172"/>
    </row>
    <row r="1795" spans="1:1">
      <c r="A1795" s="172"/>
    </row>
    <row r="1796" spans="1:1">
      <c r="A1796" s="172"/>
    </row>
    <row r="1797" spans="1:1">
      <c r="A1797" s="172"/>
    </row>
    <row r="1798" spans="1:1">
      <c r="A1798" s="172"/>
    </row>
    <row r="1799" spans="1:1">
      <c r="A1799" s="172"/>
    </row>
    <row r="1800" spans="1:1">
      <c r="A1800" s="172"/>
    </row>
    <row r="1801" spans="1:1">
      <c r="A1801" s="172"/>
    </row>
    <row r="1802" spans="1:1">
      <c r="A1802" s="172"/>
    </row>
    <row r="1803" spans="1:1">
      <c r="A1803" s="172"/>
    </row>
    <row r="1804" spans="1:1">
      <c r="A1804" s="172"/>
    </row>
    <row r="1805" spans="1:1">
      <c r="A1805" s="172"/>
    </row>
    <row r="1806" spans="1:1">
      <c r="A1806" s="172"/>
    </row>
    <row r="1807" spans="1:1">
      <c r="A1807" s="172"/>
    </row>
    <row r="1808" spans="1:1">
      <c r="A1808" s="172"/>
    </row>
    <row r="1809" spans="1:1">
      <c r="A1809" s="172"/>
    </row>
    <row r="1810" spans="1:1">
      <c r="A1810" s="172"/>
    </row>
    <row r="1811" spans="1:1">
      <c r="A1811" s="172"/>
    </row>
    <row r="1812" spans="1:1">
      <c r="A1812" s="172"/>
    </row>
    <row r="1813" spans="1:1">
      <c r="A1813" s="172"/>
    </row>
    <row r="1814" spans="1:1">
      <c r="A1814" s="172"/>
    </row>
    <row r="1815" spans="1:1">
      <c r="A1815" s="172"/>
    </row>
    <row r="1816" spans="1:1">
      <c r="A1816" s="172"/>
    </row>
    <row r="1817" spans="1:1">
      <c r="A1817" s="172"/>
    </row>
    <row r="1818" spans="1:1">
      <c r="A1818" s="172"/>
    </row>
    <row r="1819" spans="1:1">
      <c r="A1819" s="172"/>
    </row>
    <row r="1820" spans="1:1">
      <c r="A1820" s="172"/>
    </row>
    <row r="1821" spans="1:1">
      <c r="A1821" s="172"/>
    </row>
    <row r="1822" spans="1:1">
      <c r="A1822" s="172"/>
    </row>
    <row r="1823" spans="1:1">
      <c r="A1823" s="172"/>
    </row>
    <row r="1824" spans="1:1">
      <c r="A1824" s="172"/>
    </row>
    <row r="1825" spans="1:1">
      <c r="A1825" s="172"/>
    </row>
    <row r="1826" spans="1:1">
      <c r="A1826" s="172"/>
    </row>
    <row r="1827" spans="1:1">
      <c r="A1827" s="172"/>
    </row>
    <row r="1828" spans="1:1">
      <c r="A1828" s="172"/>
    </row>
    <row r="1829" spans="1:1">
      <c r="A1829" s="172"/>
    </row>
    <row r="1830" spans="1:1">
      <c r="A1830" s="172"/>
    </row>
    <row r="1831" spans="1:1">
      <c r="A1831" s="172"/>
    </row>
    <row r="1832" spans="1:1">
      <c r="A1832" s="172"/>
    </row>
    <row r="1833" spans="1:1">
      <c r="A1833" s="172"/>
    </row>
    <row r="1834" spans="1:1">
      <c r="A1834" s="172"/>
    </row>
    <row r="1835" spans="1:1">
      <c r="A1835" s="172"/>
    </row>
    <row r="1836" spans="1:1">
      <c r="A1836" s="172"/>
    </row>
    <row r="1837" spans="1:1">
      <c r="A1837" s="172"/>
    </row>
    <row r="1838" spans="1:1">
      <c r="A1838" s="172"/>
    </row>
    <row r="1839" spans="1:1">
      <c r="A1839" s="172"/>
    </row>
    <row r="1840" spans="1:1">
      <c r="A1840" s="172"/>
    </row>
    <row r="1841" spans="1:1">
      <c r="A1841" s="172"/>
    </row>
    <row r="1842" spans="1:1">
      <c r="A1842" s="172"/>
    </row>
    <row r="1843" spans="1:1">
      <c r="A1843" s="172"/>
    </row>
    <row r="1844" spans="1:1">
      <c r="A1844" s="172"/>
    </row>
    <row r="1845" spans="1:1">
      <c r="A1845" s="172"/>
    </row>
    <row r="1846" spans="1:1">
      <c r="A1846" s="172"/>
    </row>
    <row r="1847" spans="1:1">
      <c r="A1847" s="172"/>
    </row>
    <row r="1848" spans="1:1">
      <c r="A1848" s="172"/>
    </row>
    <row r="1849" spans="1:1">
      <c r="A1849" s="172"/>
    </row>
    <row r="1850" spans="1:1">
      <c r="A1850" s="172"/>
    </row>
    <row r="1851" spans="1:1">
      <c r="A1851" s="172"/>
    </row>
    <row r="1852" spans="1:1">
      <c r="A1852" s="172"/>
    </row>
    <row r="1853" spans="1:1">
      <c r="A1853" s="172"/>
    </row>
    <row r="1854" spans="1:1">
      <c r="A1854" s="172"/>
    </row>
    <row r="1855" spans="1:1">
      <c r="A1855" s="172"/>
    </row>
    <row r="1856" spans="1:1">
      <c r="A1856" s="172"/>
    </row>
    <row r="1857" spans="1:1">
      <c r="A1857" s="172"/>
    </row>
    <row r="1858" spans="1:1">
      <c r="A1858" s="172"/>
    </row>
    <row r="1859" spans="1:1">
      <c r="A1859" s="172"/>
    </row>
    <row r="1860" spans="1:1">
      <c r="A1860" s="172"/>
    </row>
    <row r="1861" spans="1:1">
      <c r="A1861" s="172"/>
    </row>
    <row r="1862" spans="1:1">
      <c r="A1862" s="172"/>
    </row>
    <row r="1863" spans="1:1">
      <c r="A1863" s="172"/>
    </row>
    <row r="1864" spans="1:1">
      <c r="A1864" s="172"/>
    </row>
    <row r="1865" spans="1:1">
      <c r="A1865" s="172"/>
    </row>
    <row r="1866" spans="1:1">
      <c r="A1866" s="172"/>
    </row>
    <row r="1867" spans="1:1">
      <c r="A1867" s="172"/>
    </row>
    <row r="1868" spans="1:1">
      <c r="A1868" s="172"/>
    </row>
    <row r="1869" spans="1:1">
      <c r="A1869" s="172"/>
    </row>
    <row r="1870" spans="1:1">
      <c r="A1870" s="172"/>
    </row>
    <row r="1871" spans="1:1">
      <c r="A1871" s="172"/>
    </row>
    <row r="1872" spans="1:1">
      <c r="A1872" s="172"/>
    </row>
    <row r="1873" spans="1:1">
      <c r="A1873" s="172"/>
    </row>
    <row r="1874" spans="1:1">
      <c r="A1874" s="172"/>
    </row>
    <row r="1875" spans="1:1">
      <c r="A1875" s="172"/>
    </row>
    <row r="1876" spans="1:1">
      <c r="A1876" s="172"/>
    </row>
    <row r="1877" spans="1:1">
      <c r="A1877" s="172"/>
    </row>
    <row r="1878" spans="1:1">
      <c r="A1878" s="172"/>
    </row>
    <row r="1879" spans="1:1">
      <c r="A1879" s="172"/>
    </row>
    <row r="1880" spans="1:1">
      <c r="A1880" s="172"/>
    </row>
    <row r="1881" spans="1:1">
      <c r="A1881" s="172"/>
    </row>
    <row r="1882" spans="1:1">
      <c r="A1882" s="172"/>
    </row>
    <row r="1883" spans="1:1">
      <c r="A1883" s="172"/>
    </row>
    <row r="1884" spans="1:1">
      <c r="A1884" s="172"/>
    </row>
    <row r="1885" spans="1:1">
      <c r="A1885" s="172"/>
    </row>
    <row r="1886" spans="1:1">
      <c r="A1886" s="172"/>
    </row>
    <row r="1887" spans="1:1">
      <c r="A1887" s="172"/>
    </row>
    <row r="1888" spans="1:1">
      <c r="A1888" s="172"/>
    </row>
    <row r="1889" spans="1:1">
      <c r="A1889" s="172"/>
    </row>
    <row r="1890" spans="1:1">
      <c r="A1890" s="172"/>
    </row>
    <row r="1891" spans="1:1">
      <c r="A1891" s="172"/>
    </row>
    <row r="1892" spans="1:1">
      <c r="A1892" s="172"/>
    </row>
    <row r="1893" spans="1:1">
      <c r="A1893" s="172"/>
    </row>
    <row r="1894" spans="1:1">
      <c r="A1894" s="172"/>
    </row>
    <row r="1895" spans="1:1">
      <c r="A1895" s="172"/>
    </row>
    <row r="1896" spans="1:1">
      <c r="A1896" s="172"/>
    </row>
    <row r="1897" spans="1:1">
      <c r="A1897" s="172"/>
    </row>
    <row r="1898" spans="1:1">
      <c r="A1898" s="172"/>
    </row>
    <row r="1899" spans="1:1">
      <c r="A1899" s="172"/>
    </row>
    <row r="1900" spans="1:1">
      <c r="A1900" s="172"/>
    </row>
    <row r="1901" spans="1:1">
      <c r="A1901" s="172"/>
    </row>
    <row r="1902" spans="1:1">
      <c r="A1902" s="172"/>
    </row>
    <row r="1903" spans="1:1">
      <c r="A1903" s="172"/>
    </row>
    <row r="1904" spans="1:1">
      <c r="A1904" s="172"/>
    </row>
    <row r="1905" spans="1:1">
      <c r="A1905" s="172"/>
    </row>
    <row r="1906" spans="1:1">
      <c r="A1906" s="172"/>
    </row>
    <row r="1907" spans="1:1">
      <c r="A1907" s="172"/>
    </row>
    <row r="1908" spans="1:1">
      <c r="A1908" s="172"/>
    </row>
    <row r="1909" spans="1:1">
      <c r="A1909" s="172"/>
    </row>
    <row r="1910" spans="1:1">
      <c r="A1910" s="172"/>
    </row>
    <row r="1911" spans="1:1">
      <c r="A1911" s="172"/>
    </row>
    <row r="1912" spans="1:1">
      <c r="A1912" s="172"/>
    </row>
    <row r="1913" spans="1:1">
      <c r="A1913" s="172"/>
    </row>
    <row r="1914" spans="1:1">
      <c r="A1914" s="172"/>
    </row>
    <row r="1915" spans="1:1">
      <c r="A1915" s="172"/>
    </row>
    <row r="1916" spans="1:1">
      <c r="A1916" s="172"/>
    </row>
    <row r="1917" spans="1:1">
      <c r="A1917" s="172"/>
    </row>
    <row r="1918" spans="1:1">
      <c r="A1918" s="172"/>
    </row>
    <row r="1919" spans="1:1">
      <c r="A1919" s="172"/>
    </row>
    <row r="1920" spans="1:1">
      <c r="A1920" s="172"/>
    </row>
    <row r="1921" spans="1:1">
      <c r="A1921" s="172"/>
    </row>
    <row r="1922" spans="1:1">
      <c r="A1922" s="172"/>
    </row>
    <row r="1923" spans="1:1">
      <c r="A1923" s="172"/>
    </row>
    <row r="1924" spans="1:1">
      <c r="A1924" s="172"/>
    </row>
    <row r="1925" spans="1:1">
      <c r="A1925" s="172"/>
    </row>
    <row r="1926" spans="1:1">
      <c r="A1926" s="172"/>
    </row>
    <row r="1927" spans="1:1">
      <c r="A1927" s="172"/>
    </row>
    <row r="1928" spans="1:1">
      <c r="A1928" s="172"/>
    </row>
    <row r="1929" spans="1:1">
      <c r="A1929" s="172"/>
    </row>
    <row r="1930" spans="1:1">
      <c r="A1930" s="172"/>
    </row>
    <row r="1931" spans="1:1">
      <c r="A1931" s="172"/>
    </row>
    <row r="1932" spans="1:1">
      <c r="A1932" s="172"/>
    </row>
    <row r="1933" spans="1:1">
      <c r="A1933" s="172"/>
    </row>
    <row r="1934" spans="1:1">
      <c r="A1934" s="172"/>
    </row>
    <row r="1935" spans="1:1">
      <c r="A1935" s="172"/>
    </row>
    <row r="1936" spans="1:1">
      <c r="A1936" s="172"/>
    </row>
    <row r="1937" spans="1:1">
      <c r="A1937" s="172"/>
    </row>
    <row r="1938" spans="1:1">
      <c r="A1938" s="172"/>
    </row>
    <row r="1939" spans="1:1">
      <c r="A1939" s="172"/>
    </row>
    <row r="1940" spans="1:1">
      <c r="A1940" s="172"/>
    </row>
    <row r="1941" spans="1:1">
      <c r="A1941" s="172"/>
    </row>
    <row r="1942" spans="1:1">
      <c r="A1942" s="172"/>
    </row>
    <row r="1943" spans="1:1">
      <c r="A1943" s="172"/>
    </row>
    <row r="1944" spans="1:1">
      <c r="A1944" s="172"/>
    </row>
    <row r="1945" spans="1:1">
      <c r="A1945" s="172"/>
    </row>
    <row r="1946" spans="1:1">
      <c r="A1946" s="172"/>
    </row>
    <row r="1947" spans="1:1">
      <c r="A1947" s="172"/>
    </row>
    <row r="1948" spans="1:1">
      <c r="A1948" s="172"/>
    </row>
    <row r="1949" spans="1:1">
      <c r="A1949" s="172"/>
    </row>
    <row r="1950" spans="1:1">
      <c r="A1950" s="172"/>
    </row>
    <row r="1951" spans="1:1">
      <c r="A1951" s="172"/>
    </row>
    <row r="1952" spans="1:1">
      <c r="A1952" s="172"/>
    </row>
    <row r="1953" spans="1:1">
      <c r="A1953" s="172"/>
    </row>
    <row r="1954" spans="1:1">
      <c r="A1954" s="172"/>
    </row>
    <row r="1955" spans="1:1">
      <c r="A1955" s="172"/>
    </row>
    <row r="1956" spans="1:1">
      <c r="A1956" s="172"/>
    </row>
    <row r="1957" spans="1:1">
      <c r="A1957" s="172"/>
    </row>
    <row r="1958" spans="1:1">
      <c r="A1958" s="172"/>
    </row>
    <row r="1959" spans="1:1">
      <c r="A1959" s="172"/>
    </row>
    <row r="1960" spans="1:1">
      <c r="A1960" s="172"/>
    </row>
    <row r="1961" spans="1:1">
      <c r="A1961" s="172"/>
    </row>
    <row r="1962" spans="1:1">
      <c r="A1962" s="172"/>
    </row>
    <row r="1963" spans="1:1">
      <c r="A1963" s="172"/>
    </row>
    <row r="1964" spans="1:1">
      <c r="A1964" s="172"/>
    </row>
    <row r="1965" spans="1:1">
      <c r="A1965" s="172"/>
    </row>
    <row r="1966" spans="1:1">
      <c r="A1966" s="172"/>
    </row>
    <row r="1967" spans="1:1">
      <c r="A1967" s="172"/>
    </row>
    <row r="1968" spans="1:1">
      <c r="A1968" s="172"/>
    </row>
    <row r="1969" spans="1:1">
      <c r="A1969" s="172"/>
    </row>
    <row r="1970" spans="1:1">
      <c r="A1970" s="172"/>
    </row>
    <row r="1971" spans="1:1">
      <c r="A1971" s="172"/>
    </row>
    <row r="1972" spans="1:1">
      <c r="A1972" s="172"/>
    </row>
    <row r="1973" spans="1:1">
      <c r="A1973" s="172"/>
    </row>
    <row r="1974" spans="1:1">
      <c r="A1974" s="172"/>
    </row>
    <row r="1975" spans="1:1">
      <c r="A1975" s="172"/>
    </row>
    <row r="1976" spans="1:1">
      <c r="A1976" s="172"/>
    </row>
    <row r="1977" spans="1:1">
      <c r="A1977" s="172"/>
    </row>
    <row r="1978" spans="1:1">
      <c r="A1978" s="172"/>
    </row>
    <row r="1979" spans="1:1">
      <c r="A1979" s="172"/>
    </row>
    <row r="1980" spans="1:1">
      <c r="A1980" s="172"/>
    </row>
    <row r="1981" spans="1:1">
      <c r="A1981" s="172"/>
    </row>
    <row r="1982" spans="1:1">
      <c r="A1982" s="172"/>
    </row>
    <row r="1983" spans="1:1">
      <c r="A1983" s="172"/>
    </row>
    <row r="1984" spans="1:1">
      <c r="A1984" s="172"/>
    </row>
    <row r="1985" spans="1:1">
      <c r="A1985" s="172"/>
    </row>
    <row r="1986" spans="1:1">
      <c r="A1986" s="172"/>
    </row>
    <row r="1987" spans="1:1">
      <c r="A1987" s="172"/>
    </row>
    <row r="1988" spans="1:1">
      <c r="A1988" s="172"/>
    </row>
    <row r="1989" spans="1:1">
      <c r="A1989" s="172"/>
    </row>
    <row r="1990" spans="1:1">
      <c r="A1990" s="172"/>
    </row>
    <row r="1991" spans="1:1">
      <c r="A1991" s="172"/>
    </row>
    <row r="1992" spans="1:1">
      <c r="A1992" s="172"/>
    </row>
    <row r="1993" spans="1:1">
      <c r="A1993" s="172"/>
    </row>
    <row r="1994" spans="1:1">
      <c r="A1994" s="172"/>
    </row>
    <row r="1995" spans="1:1">
      <c r="A1995" s="172"/>
    </row>
    <row r="1996" spans="1:1">
      <c r="A1996" s="172"/>
    </row>
    <row r="1997" spans="1:1">
      <c r="A1997" s="172"/>
    </row>
    <row r="1998" spans="1:1">
      <c r="A1998" s="172"/>
    </row>
    <row r="1999" spans="1:1">
      <c r="A1999" s="172"/>
    </row>
    <row r="2000" spans="1:1">
      <c r="A2000" s="172"/>
    </row>
    <row r="2001" spans="1:1">
      <c r="A2001" s="172"/>
    </row>
    <row r="2002" spans="1:1">
      <c r="A2002" s="172"/>
    </row>
    <row r="2003" spans="1:1">
      <c r="A2003" s="172"/>
    </row>
    <row r="2004" spans="1:1">
      <c r="A2004" s="172"/>
    </row>
    <row r="2005" spans="1:1">
      <c r="A2005" s="172"/>
    </row>
    <row r="2006" spans="1:1">
      <c r="A2006" s="172"/>
    </row>
    <row r="2007" spans="1:1">
      <c r="A2007" s="172"/>
    </row>
    <row r="2008" spans="1:1">
      <c r="A2008" s="172"/>
    </row>
    <row r="2009" spans="1:1">
      <c r="A2009" s="172"/>
    </row>
    <row r="2010" spans="1:1">
      <c r="A2010" s="172"/>
    </row>
    <row r="2011" spans="1:1">
      <c r="A2011" s="172"/>
    </row>
    <row r="2012" spans="1:1">
      <c r="A2012" s="172"/>
    </row>
    <row r="2013" spans="1:1">
      <c r="A2013" s="172"/>
    </row>
    <row r="2014" spans="1:1">
      <c r="A2014" s="172"/>
    </row>
    <row r="2015" spans="1:1">
      <c r="A2015" s="172"/>
    </row>
    <row r="2016" spans="1:1">
      <c r="A2016" s="172"/>
    </row>
    <row r="2017" spans="1:1">
      <c r="A2017" s="172"/>
    </row>
    <row r="2018" spans="1:1">
      <c r="A2018" s="172"/>
    </row>
    <row r="2019" spans="1:1">
      <c r="A2019" s="172"/>
    </row>
    <row r="2020" spans="1:1">
      <c r="A2020" s="172"/>
    </row>
    <row r="2021" spans="1:1">
      <c r="A2021" s="172"/>
    </row>
    <row r="2022" spans="1:1">
      <c r="A2022" s="172"/>
    </row>
    <row r="2023" spans="1:1">
      <c r="A2023" s="172"/>
    </row>
    <row r="2024" spans="1:1">
      <c r="A2024" s="172"/>
    </row>
    <row r="2025" spans="1:1">
      <c r="A2025" s="172"/>
    </row>
    <row r="2026" spans="1:1">
      <c r="A2026" s="172"/>
    </row>
    <row r="2027" spans="1:1">
      <c r="A2027" s="172"/>
    </row>
    <row r="2028" spans="1:1">
      <c r="A2028" s="172"/>
    </row>
    <row r="2029" spans="1:1">
      <c r="A2029" s="172"/>
    </row>
    <row r="2030" spans="1:1">
      <c r="A2030" s="172"/>
    </row>
    <row r="2031" spans="1:1">
      <c r="A2031" s="172"/>
    </row>
    <row r="2032" spans="1:1">
      <c r="A2032" s="172"/>
    </row>
    <row r="2033" spans="1:1">
      <c r="A2033" s="172"/>
    </row>
    <row r="2034" spans="1:1">
      <c r="A2034" s="172"/>
    </row>
    <row r="2035" spans="1:1">
      <c r="A2035" s="172"/>
    </row>
    <row r="2036" spans="1:1">
      <c r="A2036" s="172"/>
    </row>
    <row r="2037" spans="1:1">
      <c r="A2037" s="172"/>
    </row>
    <row r="2038" spans="1:1">
      <c r="A2038" s="172"/>
    </row>
    <row r="2039" spans="1:1">
      <c r="A2039" s="172"/>
    </row>
    <row r="2040" spans="1:1">
      <c r="A2040" s="172"/>
    </row>
    <row r="2041" spans="1:1">
      <c r="A2041" s="172"/>
    </row>
    <row r="2042" spans="1:1">
      <c r="A2042" s="172"/>
    </row>
    <row r="2043" spans="1:1">
      <c r="A2043" s="172"/>
    </row>
    <row r="2044" spans="1:1">
      <c r="A2044" s="172"/>
    </row>
    <row r="2045" spans="1:1">
      <c r="A2045" s="172"/>
    </row>
    <row r="2046" spans="1:1">
      <c r="A2046" s="172"/>
    </row>
    <row r="2047" spans="1:1">
      <c r="A2047" s="172"/>
    </row>
    <row r="2048" spans="1:1">
      <c r="A2048" s="172"/>
    </row>
    <row r="2049" spans="1:1">
      <c r="A2049" s="172"/>
    </row>
    <row r="2050" spans="1:1">
      <c r="A2050" s="172"/>
    </row>
    <row r="2051" spans="1:1">
      <c r="A2051" s="172"/>
    </row>
    <row r="2052" spans="1:1">
      <c r="A2052" s="172"/>
    </row>
    <row r="2053" spans="1:1">
      <c r="A2053" s="172"/>
    </row>
    <row r="2054" spans="1:1">
      <c r="A2054" s="172"/>
    </row>
    <row r="2055" spans="1:1">
      <c r="A2055" s="172"/>
    </row>
    <row r="2056" spans="1:1">
      <c r="A2056" s="172"/>
    </row>
    <row r="2057" spans="1:1">
      <c r="A2057" s="172"/>
    </row>
    <row r="2058" spans="1:1">
      <c r="A2058" s="172"/>
    </row>
    <row r="2059" spans="1:1">
      <c r="A2059" s="172"/>
    </row>
    <row r="2060" spans="1:1">
      <c r="A2060" s="172"/>
    </row>
    <row r="2061" spans="1:1">
      <c r="A2061" s="172"/>
    </row>
    <row r="2062" spans="1:1">
      <c r="A2062" s="172"/>
    </row>
    <row r="2063" spans="1:1">
      <c r="A2063" s="172"/>
    </row>
    <row r="2064" spans="1:1">
      <c r="A2064" s="172"/>
    </row>
    <row r="2065" spans="1:1">
      <c r="A2065" s="172"/>
    </row>
    <row r="2066" spans="1:1">
      <c r="A2066" s="172"/>
    </row>
    <row r="2067" spans="1:1">
      <c r="A2067" s="172"/>
    </row>
    <row r="2068" spans="1:1">
      <c r="A2068" s="172"/>
    </row>
    <row r="2069" spans="1:1">
      <c r="A2069" s="172"/>
    </row>
    <row r="2070" spans="1:1">
      <c r="A2070" s="172"/>
    </row>
    <row r="2071" spans="1:1">
      <c r="A2071" s="172"/>
    </row>
    <row r="2072" spans="1:1">
      <c r="A2072" s="172"/>
    </row>
    <row r="2073" spans="1:1">
      <c r="A2073" s="172"/>
    </row>
    <row r="2074" spans="1:1">
      <c r="A2074" s="172"/>
    </row>
    <row r="2075" spans="1:1">
      <c r="A2075" s="172"/>
    </row>
    <row r="2076" spans="1:1">
      <c r="A2076" s="172"/>
    </row>
    <row r="2077" spans="1:1">
      <c r="A2077" s="172"/>
    </row>
    <row r="2078" spans="1:1">
      <c r="A2078" s="172"/>
    </row>
    <row r="2079" spans="1:1">
      <c r="A2079" s="172"/>
    </row>
    <row r="2080" spans="1:1">
      <c r="A2080" s="172"/>
    </row>
    <row r="2081" spans="1:1">
      <c r="A2081" s="172"/>
    </row>
    <row r="2082" spans="1:1">
      <c r="A2082" s="172"/>
    </row>
    <row r="2083" spans="1:1">
      <c r="A2083" s="172"/>
    </row>
    <row r="2084" spans="1:1">
      <c r="A2084" s="172"/>
    </row>
    <row r="2085" spans="1:1">
      <c r="A2085" s="172"/>
    </row>
    <row r="2086" spans="1:1">
      <c r="A2086" s="172"/>
    </row>
    <row r="2087" spans="1:1">
      <c r="A2087" s="172"/>
    </row>
    <row r="2088" spans="1:1">
      <c r="A2088" s="172"/>
    </row>
    <row r="2089" spans="1:1">
      <c r="A2089" s="172"/>
    </row>
    <row r="2090" spans="1:1">
      <c r="A2090" s="172"/>
    </row>
    <row r="2091" spans="1:1">
      <c r="A2091" s="172"/>
    </row>
    <row r="2092" spans="1:1">
      <c r="A2092" s="172"/>
    </row>
    <row r="2093" spans="1:1">
      <c r="A2093" s="172"/>
    </row>
    <row r="2094" spans="1:1">
      <c r="A2094" s="172"/>
    </row>
    <row r="2095" spans="1:1">
      <c r="A2095" s="172"/>
    </row>
    <row r="2096" spans="1:1">
      <c r="A2096" s="172"/>
    </row>
    <row r="2097" spans="1:1">
      <c r="A2097" s="172"/>
    </row>
    <row r="2098" spans="1:1">
      <c r="A2098" s="172"/>
    </row>
    <row r="2099" spans="1:1">
      <c r="A2099" s="172"/>
    </row>
    <row r="2100" spans="1:1">
      <c r="A2100" s="172"/>
    </row>
    <row r="2101" spans="1:1">
      <c r="A2101" s="172"/>
    </row>
    <row r="2102" spans="1:1">
      <c r="A2102" s="172"/>
    </row>
    <row r="2103" spans="1:1">
      <c r="A2103" s="172"/>
    </row>
    <row r="2104" spans="1:1">
      <c r="A2104" s="172"/>
    </row>
    <row r="2105" spans="1:1">
      <c r="A2105" s="172"/>
    </row>
    <row r="2106" spans="1:1">
      <c r="A2106" s="172"/>
    </row>
    <row r="2107" spans="1:1">
      <c r="A2107" s="172"/>
    </row>
    <row r="2108" spans="1:1">
      <c r="A2108" s="172"/>
    </row>
    <row r="2109" spans="1:1">
      <c r="A2109" s="172"/>
    </row>
    <row r="2110" spans="1:1">
      <c r="A2110" s="172"/>
    </row>
    <row r="2111" spans="1:1">
      <c r="A2111" s="172"/>
    </row>
    <row r="2112" spans="1:1">
      <c r="A2112" s="172"/>
    </row>
    <row r="2113" spans="1:1">
      <c r="A2113" s="172"/>
    </row>
    <row r="2114" spans="1:1">
      <c r="A2114" s="172"/>
    </row>
    <row r="2115" spans="1:1">
      <c r="A2115" s="172"/>
    </row>
    <row r="2116" spans="1:1">
      <c r="A2116" s="172"/>
    </row>
    <row r="2117" spans="1:1">
      <c r="A2117" s="172"/>
    </row>
    <row r="2118" spans="1:1">
      <c r="A2118" s="172"/>
    </row>
    <row r="2119" spans="1:1">
      <c r="A2119" s="172"/>
    </row>
    <row r="2120" spans="1:1">
      <c r="A2120" s="172"/>
    </row>
    <row r="2121" spans="1:1">
      <c r="A2121" s="172"/>
    </row>
    <row r="2122" spans="1:1">
      <c r="A2122" s="172"/>
    </row>
    <row r="2123" spans="1:1">
      <c r="A2123" s="172"/>
    </row>
    <row r="2124" spans="1:1">
      <c r="A2124" s="172"/>
    </row>
    <row r="2125" spans="1:1">
      <c r="A2125" s="172"/>
    </row>
    <row r="2126" spans="1:1">
      <c r="A2126" s="172"/>
    </row>
    <row r="2127" spans="1:1">
      <c r="A2127" s="172"/>
    </row>
    <row r="2128" spans="1:1">
      <c r="A2128" s="172"/>
    </row>
    <row r="2129" spans="1:1">
      <c r="A2129" s="172"/>
    </row>
    <row r="2130" spans="1:1">
      <c r="A2130" s="172"/>
    </row>
    <row r="2131" spans="1:1">
      <c r="A2131" s="172"/>
    </row>
    <row r="2132" spans="1:1">
      <c r="A2132" s="172"/>
    </row>
    <row r="2133" spans="1:1">
      <c r="A2133" s="172"/>
    </row>
    <row r="2134" spans="1:1">
      <c r="A2134" s="172"/>
    </row>
    <row r="2135" spans="1:1">
      <c r="A2135" s="172"/>
    </row>
    <row r="2136" spans="1:1">
      <c r="A2136" s="172"/>
    </row>
    <row r="2137" spans="1:1">
      <c r="A2137" s="172"/>
    </row>
    <row r="2138" spans="1:1">
      <c r="A2138" s="172"/>
    </row>
    <row r="2139" spans="1:1">
      <c r="A2139" s="172"/>
    </row>
    <row r="2140" spans="1:1">
      <c r="A2140" s="172"/>
    </row>
    <row r="2141" spans="1:1">
      <c r="A2141" s="172"/>
    </row>
    <row r="2142" spans="1:1">
      <c r="A2142" s="172"/>
    </row>
    <row r="2143" spans="1:1">
      <c r="A2143" s="172"/>
    </row>
    <row r="2144" spans="1:1">
      <c r="A2144" s="172"/>
    </row>
    <row r="2145" spans="1:1">
      <c r="A2145" s="172"/>
    </row>
    <row r="2146" spans="1:1">
      <c r="A2146" s="172"/>
    </row>
    <row r="2147" spans="1:1">
      <c r="A2147" s="172"/>
    </row>
    <row r="2148" spans="1:1">
      <c r="A2148" s="172"/>
    </row>
    <row r="2149" spans="1:1">
      <c r="A2149" s="172"/>
    </row>
    <row r="2150" spans="1:1">
      <c r="A2150" s="172"/>
    </row>
    <row r="2151" spans="1:1">
      <c r="A2151" s="172"/>
    </row>
    <row r="2152" spans="1:1">
      <c r="A2152" s="172"/>
    </row>
    <row r="2153" spans="1:1">
      <c r="A2153" s="172"/>
    </row>
    <row r="2154" spans="1:1">
      <c r="A2154" s="172"/>
    </row>
    <row r="2155" spans="1:1">
      <c r="A2155" s="172"/>
    </row>
    <row r="2156" spans="1:1">
      <c r="A2156" s="172"/>
    </row>
    <row r="2157" spans="1:1">
      <c r="A2157" s="172"/>
    </row>
    <row r="2158" spans="1:1">
      <c r="A2158" s="172"/>
    </row>
    <row r="2159" spans="1:1">
      <c r="A2159" s="172"/>
    </row>
    <row r="2160" spans="1:1">
      <c r="A2160" s="172"/>
    </row>
    <row r="2161" spans="1:1">
      <c r="A2161" s="172"/>
    </row>
    <row r="2162" spans="1:1">
      <c r="A2162" s="172"/>
    </row>
    <row r="2163" spans="1:1">
      <c r="A2163" s="172"/>
    </row>
    <row r="2164" spans="1:1">
      <c r="A2164" s="172"/>
    </row>
    <row r="2165" spans="1:1">
      <c r="A2165" s="172"/>
    </row>
    <row r="2166" spans="1:1">
      <c r="A2166" s="172"/>
    </row>
    <row r="2167" spans="1:1">
      <c r="A2167" s="172"/>
    </row>
    <row r="2168" spans="1:1">
      <c r="A2168" s="172"/>
    </row>
    <row r="2169" spans="1:1">
      <c r="A2169" s="172"/>
    </row>
    <row r="2170" spans="1:1">
      <c r="A2170" s="172"/>
    </row>
    <row r="2171" spans="1:1">
      <c r="A2171" s="172"/>
    </row>
    <row r="2172" spans="1:1">
      <c r="A2172" s="172"/>
    </row>
    <row r="2173" spans="1:1">
      <c r="A2173" s="172"/>
    </row>
    <row r="2174" spans="1:1">
      <c r="A2174" s="172"/>
    </row>
    <row r="2175" spans="1:1">
      <c r="A2175" s="172"/>
    </row>
    <row r="2176" spans="1:1">
      <c r="A2176" s="172"/>
    </row>
    <row r="2177" spans="1:1">
      <c r="A2177" s="172"/>
    </row>
    <row r="2178" spans="1:1">
      <c r="A2178" s="172"/>
    </row>
    <row r="2179" spans="1:1">
      <c r="A2179" s="172"/>
    </row>
    <row r="2180" spans="1:1">
      <c r="A2180" s="172"/>
    </row>
    <row r="2181" spans="1:1">
      <c r="A2181" s="172"/>
    </row>
    <row r="2182" spans="1:1">
      <c r="A2182" s="172"/>
    </row>
    <row r="2183" spans="1:1">
      <c r="A2183" s="172"/>
    </row>
    <row r="2184" spans="1:1">
      <c r="A2184" s="172"/>
    </row>
    <row r="2185" spans="1:1">
      <c r="A2185" s="172"/>
    </row>
    <row r="2186" spans="1:1">
      <c r="A2186" s="172"/>
    </row>
    <row r="2187" spans="1:1">
      <c r="A2187" s="172"/>
    </row>
    <row r="2188" spans="1:1">
      <c r="A2188" s="172"/>
    </row>
    <row r="2189" spans="1:1">
      <c r="A2189" s="172"/>
    </row>
    <row r="2190" spans="1:1">
      <c r="A2190" s="172"/>
    </row>
    <row r="2191" spans="1:1">
      <c r="A2191" s="172"/>
    </row>
    <row r="2192" spans="1:1">
      <c r="A2192" s="172"/>
    </row>
    <row r="2193" spans="1:1">
      <c r="A2193" s="172"/>
    </row>
    <row r="2194" spans="1:1">
      <c r="A2194" s="172"/>
    </row>
    <row r="2195" spans="1:1">
      <c r="A2195" s="172"/>
    </row>
    <row r="2196" spans="1:1">
      <c r="A2196" s="172"/>
    </row>
    <row r="2197" spans="1:1">
      <c r="A2197" s="172"/>
    </row>
    <row r="2198" spans="1:1">
      <c r="A2198" s="172"/>
    </row>
    <row r="2199" spans="1:1">
      <c r="A2199" s="172"/>
    </row>
    <row r="2200" spans="1:1">
      <c r="A2200" s="172"/>
    </row>
    <row r="2201" spans="1:1">
      <c r="A2201" s="172"/>
    </row>
    <row r="2202" spans="1:1">
      <c r="A2202" s="172"/>
    </row>
    <row r="2203" spans="1:1">
      <c r="A2203" s="172"/>
    </row>
    <row r="2204" spans="1:1">
      <c r="A2204" s="172"/>
    </row>
    <row r="2205" spans="1:1">
      <c r="A2205" s="172"/>
    </row>
    <row r="2206" spans="1:1">
      <c r="A2206" s="172"/>
    </row>
    <row r="2207" spans="1:1">
      <c r="A2207" s="172"/>
    </row>
    <row r="2208" spans="1:1">
      <c r="A2208" s="172"/>
    </row>
    <row r="2209" spans="1:1">
      <c r="A2209" s="172"/>
    </row>
    <row r="2210" spans="1:1">
      <c r="A2210" s="172"/>
    </row>
    <row r="2211" spans="1:1">
      <c r="A2211" s="172"/>
    </row>
    <row r="2212" spans="1:1">
      <c r="A2212" s="172"/>
    </row>
    <row r="2213" spans="1:1">
      <c r="A2213" s="172"/>
    </row>
    <row r="2214" spans="1:1">
      <c r="A2214" s="172"/>
    </row>
    <row r="2215" spans="1:1">
      <c r="A2215" s="172"/>
    </row>
    <row r="2216" spans="1:1">
      <c r="A2216" s="172"/>
    </row>
    <row r="2217" spans="1:1">
      <c r="A2217" s="172"/>
    </row>
    <row r="2218" spans="1:1">
      <c r="A2218" s="172"/>
    </row>
    <row r="2219" spans="1:1">
      <c r="A2219" s="172"/>
    </row>
    <row r="2220" spans="1:1">
      <c r="A2220" s="172"/>
    </row>
    <row r="2221" spans="1:1">
      <c r="A2221" s="172"/>
    </row>
    <row r="2222" spans="1:1">
      <c r="A2222" s="172"/>
    </row>
    <row r="2223" spans="1:1">
      <c r="A2223" s="172"/>
    </row>
    <row r="2224" spans="1:1">
      <c r="A2224" s="172"/>
    </row>
    <row r="2225" spans="1:1">
      <c r="A2225" s="172"/>
    </row>
    <row r="2226" spans="1:1">
      <c r="A2226" s="172"/>
    </row>
    <row r="2227" spans="1:1">
      <c r="A2227" s="172"/>
    </row>
    <row r="2228" spans="1:1">
      <c r="A2228" s="172"/>
    </row>
    <row r="2229" spans="1:1">
      <c r="A2229" s="172"/>
    </row>
    <row r="2230" spans="1:1">
      <c r="A2230" s="172"/>
    </row>
    <row r="2231" spans="1:1">
      <c r="A2231" s="172"/>
    </row>
    <row r="2232" spans="1:1">
      <c r="A2232" s="172"/>
    </row>
    <row r="2233" spans="1:1">
      <c r="A2233" s="172"/>
    </row>
    <row r="2234" spans="1:1">
      <c r="A2234" s="172"/>
    </row>
    <row r="2235" spans="1:1">
      <c r="A2235" s="172"/>
    </row>
    <row r="2236" spans="1:1">
      <c r="A2236" s="172"/>
    </row>
    <row r="2237" spans="1:1">
      <c r="A2237" s="172"/>
    </row>
    <row r="2238" spans="1:1">
      <c r="A2238" s="172"/>
    </row>
    <row r="2239" spans="1:1">
      <c r="A2239" s="172"/>
    </row>
    <row r="2240" spans="1:1">
      <c r="A2240" s="172"/>
    </row>
    <row r="2241" spans="1:1">
      <c r="A2241" s="172"/>
    </row>
    <row r="2242" spans="1:1">
      <c r="A2242" s="172"/>
    </row>
    <row r="2243" spans="1:1">
      <c r="A2243" s="172"/>
    </row>
    <row r="2244" spans="1:1">
      <c r="A2244" s="172"/>
    </row>
    <row r="2245" spans="1:1">
      <c r="A2245" s="172"/>
    </row>
    <row r="2246" spans="1:1">
      <c r="A2246" s="172"/>
    </row>
    <row r="2247" spans="1:1">
      <c r="A2247" s="172"/>
    </row>
    <row r="2248" spans="1:1">
      <c r="A2248" s="172"/>
    </row>
    <row r="2249" spans="1:1">
      <c r="A2249" s="172"/>
    </row>
    <row r="2250" spans="1:1">
      <c r="A2250" s="172"/>
    </row>
    <row r="2251" spans="1:1">
      <c r="A2251" s="172"/>
    </row>
    <row r="2252" spans="1:1">
      <c r="A2252" s="172"/>
    </row>
    <row r="2253" spans="1:1">
      <c r="A2253" s="172"/>
    </row>
    <row r="2254" spans="1:1">
      <c r="A2254" s="172"/>
    </row>
    <row r="2255" spans="1:1">
      <c r="A2255" s="172"/>
    </row>
    <row r="2256" spans="1:1">
      <c r="A2256" s="172"/>
    </row>
    <row r="2257" spans="1:1">
      <c r="A2257" s="172"/>
    </row>
    <row r="2258" spans="1:1">
      <c r="A2258" s="172"/>
    </row>
    <row r="2259" spans="1:1">
      <c r="A2259" s="172"/>
    </row>
    <row r="2260" spans="1:1">
      <c r="A2260" s="172"/>
    </row>
    <row r="2261" spans="1:1">
      <c r="A2261" s="172"/>
    </row>
    <row r="2262" spans="1:1">
      <c r="A2262" s="172"/>
    </row>
    <row r="2263" spans="1:1">
      <c r="A2263" s="172"/>
    </row>
    <row r="2264" spans="1:1">
      <c r="A2264" s="172"/>
    </row>
    <row r="2265" spans="1:1">
      <c r="A2265" s="172"/>
    </row>
    <row r="2266" spans="1:1">
      <c r="A2266" s="172"/>
    </row>
    <row r="2267" spans="1:1">
      <c r="A2267" s="172"/>
    </row>
    <row r="2268" spans="1:1">
      <c r="A2268" s="172"/>
    </row>
    <row r="2269" spans="1:1">
      <c r="A2269" s="172"/>
    </row>
    <row r="2270" spans="1:1">
      <c r="A2270" s="172"/>
    </row>
    <row r="2271" spans="1:1">
      <c r="A2271" s="172"/>
    </row>
    <row r="2272" spans="1:1">
      <c r="A2272" s="172"/>
    </row>
    <row r="2273" spans="1:1">
      <c r="A2273" s="172"/>
    </row>
    <row r="2274" spans="1:1">
      <c r="A2274" s="172"/>
    </row>
    <row r="2275" spans="1:1">
      <c r="A2275" s="172"/>
    </row>
    <row r="2276" spans="1:1">
      <c r="A2276" s="172"/>
    </row>
    <row r="2277" spans="1:1">
      <c r="A2277" s="172"/>
    </row>
    <row r="2278" spans="1:1">
      <c r="A2278" s="172"/>
    </row>
    <row r="2279" spans="1:1">
      <c r="A2279" s="172"/>
    </row>
    <row r="2280" spans="1:1">
      <c r="A2280" s="172"/>
    </row>
    <row r="2281" spans="1:1">
      <c r="A2281" s="172"/>
    </row>
    <row r="2282" spans="1:1">
      <c r="A2282" s="172"/>
    </row>
    <row r="2283" spans="1:1">
      <c r="A2283" s="172"/>
    </row>
    <row r="2284" spans="1:1">
      <c r="A2284" s="172"/>
    </row>
    <row r="2285" spans="1:1">
      <c r="A2285" s="172"/>
    </row>
    <row r="2286" spans="1:1">
      <c r="A2286" s="172"/>
    </row>
    <row r="2287" spans="1:1">
      <c r="A2287" s="172"/>
    </row>
    <row r="2288" spans="1:1">
      <c r="A2288" s="172"/>
    </row>
    <row r="2289" spans="1:1">
      <c r="A2289" s="172"/>
    </row>
    <row r="2290" spans="1:1">
      <c r="A2290" s="172"/>
    </row>
    <row r="2291" spans="1:1">
      <c r="A2291" s="172"/>
    </row>
    <row r="2292" spans="1:1">
      <c r="A2292" s="172"/>
    </row>
    <row r="2293" spans="1:1">
      <c r="A2293" s="172"/>
    </row>
    <row r="2294" spans="1:1">
      <c r="A2294" s="172"/>
    </row>
    <row r="2295" spans="1:1">
      <c r="A2295" s="172"/>
    </row>
    <row r="2296" spans="1:1">
      <c r="A2296" s="172"/>
    </row>
    <row r="2297" spans="1:1">
      <c r="A2297" s="172"/>
    </row>
    <row r="2298" spans="1:1">
      <c r="A2298" s="172"/>
    </row>
    <row r="2299" spans="1:1">
      <c r="A2299" s="172"/>
    </row>
    <row r="2300" spans="1:1">
      <c r="A2300" s="172"/>
    </row>
    <row r="2301" spans="1:1">
      <c r="A2301" s="172"/>
    </row>
    <row r="2302" spans="1:1">
      <c r="A2302" s="172"/>
    </row>
    <row r="2303" spans="1:1">
      <c r="A2303" s="172"/>
    </row>
    <row r="2304" spans="1:1">
      <c r="A2304" s="172"/>
    </row>
    <row r="2305" spans="1:1">
      <c r="A2305" s="172"/>
    </row>
    <row r="2306" spans="1:1">
      <c r="A2306" s="172"/>
    </row>
    <row r="2307" spans="1:1">
      <c r="A2307" s="172"/>
    </row>
    <row r="2308" spans="1:1">
      <c r="A2308" s="172"/>
    </row>
    <row r="2309" spans="1:1">
      <c r="A2309" s="172"/>
    </row>
    <row r="2310" spans="1:1">
      <c r="A2310" s="172"/>
    </row>
    <row r="2311" spans="1:1">
      <c r="A2311" s="172"/>
    </row>
    <row r="2312" spans="1:1">
      <c r="A2312" s="172"/>
    </row>
    <row r="2313" spans="1:1">
      <c r="A2313" s="172"/>
    </row>
    <row r="2314" spans="1:1">
      <c r="A2314" s="172"/>
    </row>
    <row r="2315" spans="1:1">
      <c r="A2315" s="172"/>
    </row>
    <row r="2316" spans="1:1">
      <c r="A2316" s="172"/>
    </row>
    <row r="2317" spans="1:1">
      <c r="A2317" s="172"/>
    </row>
    <row r="2318" spans="1:1">
      <c r="A2318" s="172"/>
    </row>
    <row r="2319" spans="1:1">
      <c r="A2319" s="172"/>
    </row>
    <row r="2320" spans="1:1">
      <c r="A2320" s="172"/>
    </row>
    <row r="2321" spans="1:1">
      <c r="A2321" s="172"/>
    </row>
    <row r="2322" spans="1:1">
      <c r="A2322" s="172"/>
    </row>
    <row r="2323" spans="1:1">
      <c r="A2323" s="172"/>
    </row>
    <row r="2324" spans="1:1">
      <c r="A2324" s="172"/>
    </row>
    <row r="2325" spans="1:1">
      <c r="A2325" s="172"/>
    </row>
    <row r="2326" spans="1:1">
      <c r="A2326" s="172"/>
    </row>
    <row r="2327" spans="1:1">
      <c r="A2327" s="172"/>
    </row>
    <row r="2328" spans="1:1">
      <c r="A2328" s="172"/>
    </row>
    <row r="2329" spans="1:1">
      <c r="A2329" s="172"/>
    </row>
    <row r="2330" spans="1:1">
      <c r="A2330" s="172"/>
    </row>
    <row r="2331" spans="1:1">
      <c r="A2331" s="172"/>
    </row>
    <row r="2332" spans="1:1">
      <c r="A2332" s="172"/>
    </row>
    <row r="2333" spans="1:1">
      <c r="A2333" s="172"/>
    </row>
    <row r="2334" spans="1:1">
      <c r="A2334" s="172"/>
    </row>
    <row r="2335" spans="1:1">
      <c r="A2335" s="172"/>
    </row>
    <row r="2336" spans="1:1">
      <c r="A2336" s="172"/>
    </row>
    <row r="2337" spans="1:1">
      <c r="A2337" s="172"/>
    </row>
    <row r="2338" spans="1:1">
      <c r="A2338" s="172"/>
    </row>
    <row r="2339" spans="1:1">
      <c r="A2339" s="172"/>
    </row>
    <row r="2340" spans="1:1">
      <c r="A2340" s="172"/>
    </row>
    <row r="2341" spans="1:1">
      <c r="A2341" s="172"/>
    </row>
    <row r="2342" spans="1:1">
      <c r="A2342" s="172"/>
    </row>
    <row r="2343" spans="1:1">
      <c r="A2343" s="172"/>
    </row>
    <row r="2344" spans="1:1">
      <c r="A2344" s="172"/>
    </row>
    <row r="2345" spans="1:1">
      <c r="A2345" s="172"/>
    </row>
    <row r="2346" spans="1:1">
      <c r="A2346" s="172"/>
    </row>
    <row r="2347" spans="1:1">
      <c r="A2347" s="172"/>
    </row>
    <row r="2348" spans="1:1">
      <c r="A2348" s="172"/>
    </row>
    <row r="2349" spans="1:1">
      <c r="A2349" s="172"/>
    </row>
    <row r="2350" spans="1:1">
      <c r="A2350" s="172"/>
    </row>
    <row r="2351" spans="1:1">
      <c r="A2351" s="172"/>
    </row>
    <row r="2352" spans="1:1">
      <c r="A2352" s="172"/>
    </row>
    <row r="2353" spans="1:1">
      <c r="A2353" s="172"/>
    </row>
    <row r="2354" spans="1:1">
      <c r="A2354" s="172"/>
    </row>
    <row r="2355" spans="1:1">
      <c r="A2355" s="172"/>
    </row>
    <row r="2356" spans="1:1">
      <c r="A2356" s="172"/>
    </row>
    <row r="2357" spans="1:1">
      <c r="A2357" s="172"/>
    </row>
    <row r="2358" spans="1:1">
      <c r="A2358" s="172"/>
    </row>
    <row r="2359" spans="1:1">
      <c r="A2359" s="172"/>
    </row>
    <row r="2360" spans="1:1">
      <c r="A2360" s="172"/>
    </row>
    <row r="2361" spans="1:1">
      <c r="A2361" s="172"/>
    </row>
    <row r="2362" spans="1:1">
      <c r="A2362" s="172"/>
    </row>
    <row r="2363" spans="1:1">
      <c r="A2363" s="172"/>
    </row>
    <row r="2364" spans="1:1">
      <c r="A2364" s="172"/>
    </row>
    <row r="2365" spans="1:1">
      <c r="A2365" s="172"/>
    </row>
    <row r="2366" spans="1:1">
      <c r="A2366" s="172"/>
    </row>
    <row r="2367" spans="1:1">
      <c r="A2367" s="172"/>
    </row>
    <row r="2368" spans="1:1">
      <c r="A2368" s="172"/>
    </row>
    <row r="2369" spans="1:1">
      <c r="A2369" s="172"/>
    </row>
    <row r="2370" spans="1:1">
      <c r="A2370" s="172"/>
    </row>
    <row r="2371" spans="1:1">
      <c r="A2371" s="172"/>
    </row>
    <row r="2372" spans="1:1">
      <c r="A2372" s="172"/>
    </row>
    <row r="2373" spans="1:1">
      <c r="A2373" s="172"/>
    </row>
    <row r="2374" spans="1:1">
      <c r="A2374" s="172"/>
    </row>
    <row r="2375" spans="1:1">
      <c r="A2375" s="172"/>
    </row>
    <row r="2376" spans="1:1">
      <c r="A2376" s="172"/>
    </row>
    <row r="2377" spans="1:1">
      <c r="A2377" s="172"/>
    </row>
    <row r="2378" spans="1:1">
      <c r="A2378" s="172"/>
    </row>
    <row r="2379" spans="1:1">
      <c r="A2379" s="172"/>
    </row>
    <row r="2380" spans="1:1">
      <c r="A2380" s="172"/>
    </row>
    <row r="2381" spans="1:1">
      <c r="A2381" s="172"/>
    </row>
    <row r="2382" spans="1:1">
      <c r="A2382" s="172"/>
    </row>
    <row r="2383" spans="1:1">
      <c r="A2383" s="172"/>
    </row>
    <row r="2384" spans="1:1">
      <c r="A2384" s="172"/>
    </row>
    <row r="2385" spans="1:1">
      <c r="A2385" s="172"/>
    </row>
    <row r="2386" spans="1:1">
      <c r="A2386" s="172"/>
    </row>
    <row r="2387" spans="1:1">
      <c r="A2387" s="172"/>
    </row>
    <row r="2388" spans="1:1">
      <c r="A2388" s="172"/>
    </row>
    <row r="2389" spans="1:1">
      <c r="A2389" s="172"/>
    </row>
    <row r="2390" spans="1:1">
      <c r="A2390" s="172"/>
    </row>
    <row r="2391" spans="1:1">
      <c r="A2391" s="172"/>
    </row>
    <row r="2392" spans="1:1">
      <c r="A2392" s="172"/>
    </row>
    <row r="2393" spans="1:1">
      <c r="A2393" s="172"/>
    </row>
    <row r="2394" spans="1:1">
      <c r="A2394" s="172"/>
    </row>
    <row r="2395" spans="1:1">
      <c r="A2395" s="172"/>
    </row>
    <row r="2396" spans="1:1">
      <c r="A2396" s="172"/>
    </row>
    <row r="2397" spans="1:1">
      <c r="A2397" s="172"/>
    </row>
    <row r="2398" spans="1:1">
      <c r="A2398" s="172"/>
    </row>
    <row r="2399" spans="1:1">
      <c r="A2399" s="172"/>
    </row>
    <row r="2400" spans="1:1">
      <c r="A2400" s="172"/>
    </row>
    <row r="2401" spans="1:1">
      <c r="A2401" s="172"/>
    </row>
    <row r="2402" spans="1:1">
      <c r="A2402" s="172"/>
    </row>
    <row r="2403" spans="1:1">
      <c r="A2403" s="172"/>
    </row>
    <row r="2404" spans="1:1">
      <c r="A2404" s="172"/>
    </row>
    <row r="2405" spans="1:1">
      <c r="A2405" s="172"/>
    </row>
    <row r="2406" spans="1:1">
      <c r="A2406" s="172"/>
    </row>
    <row r="2407" spans="1:1">
      <c r="A2407" s="172"/>
    </row>
    <row r="2408" spans="1:1">
      <c r="A2408" s="172"/>
    </row>
    <row r="2409" spans="1:1">
      <c r="A2409" s="172"/>
    </row>
    <row r="2410" spans="1:1">
      <c r="A2410" s="172"/>
    </row>
    <row r="2411" spans="1:1">
      <c r="A2411" s="172"/>
    </row>
    <row r="2412" spans="1:1">
      <c r="A2412" s="172"/>
    </row>
    <row r="2413" spans="1:1">
      <c r="A2413" s="172"/>
    </row>
    <row r="2414" spans="1:1">
      <c r="A2414" s="172"/>
    </row>
    <row r="2415" spans="1:1">
      <c r="A2415" s="172"/>
    </row>
    <row r="2416" spans="1:1">
      <c r="A2416" s="172"/>
    </row>
    <row r="2417" spans="1:1">
      <c r="A2417" s="172"/>
    </row>
    <row r="2418" spans="1:1">
      <c r="A2418" s="172"/>
    </row>
    <row r="2419" spans="1:1">
      <c r="A2419" s="172"/>
    </row>
    <row r="2420" spans="1:1">
      <c r="A2420" s="172"/>
    </row>
    <row r="2421" spans="1:1">
      <c r="A2421" s="172"/>
    </row>
    <row r="2422" spans="1:1">
      <c r="A2422" s="172"/>
    </row>
    <row r="2423" spans="1:1">
      <c r="A2423" s="172"/>
    </row>
    <row r="2424" spans="1:1">
      <c r="A2424" s="172"/>
    </row>
    <row r="2425" spans="1:1">
      <c r="A2425" s="172"/>
    </row>
    <row r="2426" spans="1:1">
      <c r="A2426" s="172"/>
    </row>
    <row r="2427" spans="1:1">
      <c r="A2427" s="172"/>
    </row>
    <row r="2428" spans="1:1">
      <c r="A2428" s="172"/>
    </row>
    <row r="2429" spans="1:1">
      <c r="A2429" s="172"/>
    </row>
    <row r="2430" spans="1:1">
      <c r="A2430" s="172"/>
    </row>
    <row r="2431" spans="1:1">
      <c r="A2431" s="172"/>
    </row>
    <row r="2432" spans="1:1">
      <c r="A2432" s="172"/>
    </row>
    <row r="2433" spans="1:1">
      <c r="A2433" s="172"/>
    </row>
    <row r="2434" spans="1:1">
      <c r="A2434" s="172"/>
    </row>
    <row r="2435" spans="1:1">
      <c r="A2435" s="172"/>
    </row>
    <row r="2436" spans="1:1">
      <c r="A2436" s="172"/>
    </row>
    <row r="2437" spans="1:1">
      <c r="A2437" s="172"/>
    </row>
    <row r="2438" spans="1:1">
      <c r="A2438" s="172"/>
    </row>
    <row r="2439" spans="1:1">
      <c r="A2439" s="172"/>
    </row>
    <row r="2440" spans="1:1">
      <c r="A2440" s="172"/>
    </row>
    <row r="2441" spans="1:1">
      <c r="A2441" s="172"/>
    </row>
    <row r="2442" spans="1:1">
      <c r="A2442" s="172"/>
    </row>
    <row r="2443" spans="1:1">
      <c r="A2443" s="172"/>
    </row>
    <row r="2444" spans="1:1">
      <c r="A2444" s="172"/>
    </row>
    <row r="2445" spans="1:1">
      <c r="A2445" s="172"/>
    </row>
    <row r="2446" spans="1:1">
      <c r="A2446" s="172"/>
    </row>
    <row r="2447" spans="1:1">
      <c r="A2447" s="172"/>
    </row>
    <row r="2448" spans="1:1">
      <c r="A2448" s="172"/>
    </row>
    <row r="2449" spans="1:1">
      <c r="A2449" s="172"/>
    </row>
    <row r="2450" spans="1:1">
      <c r="A2450" s="172"/>
    </row>
    <row r="2451" spans="1:1">
      <c r="A2451" s="172"/>
    </row>
    <row r="2452" spans="1:1">
      <c r="A2452" s="172"/>
    </row>
    <row r="2453" spans="1:1">
      <c r="A2453" s="172"/>
    </row>
    <row r="2454" spans="1:1">
      <c r="A2454" s="172"/>
    </row>
    <row r="2455" spans="1:1">
      <c r="A2455" s="172"/>
    </row>
    <row r="2456" spans="1:1">
      <c r="A2456" s="172"/>
    </row>
    <row r="2457" spans="1:1">
      <c r="A2457" s="172"/>
    </row>
    <row r="2458" spans="1:1">
      <c r="A2458" s="172"/>
    </row>
    <row r="2459" spans="1:1">
      <c r="A2459" s="172"/>
    </row>
    <row r="2460" spans="1:1">
      <c r="A2460" s="172"/>
    </row>
    <row r="2461" spans="1:1">
      <c r="A2461" s="172"/>
    </row>
    <row r="2462" spans="1:1">
      <c r="A2462" s="172"/>
    </row>
    <row r="2463" spans="1:1">
      <c r="A2463" s="172"/>
    </row>
    <row r="2464" spans="1:1">
      <c r="A2464" s="172"/>
    </row>
    <row r="2465" spans="1:1">
      <c r="A2465" s="172"/>
    </row>
    <row r="2466" spans="1:1">
      <c r="A2466" s="172"/>
    </row>
    <row r="2467" spans="1:1">
      <c r="A2467" s="172"/>
    </row>
    <row r="2468" spans="1:1">
      <c r="A2468" s="172"/>
    </row>
    <row r="2469" spans="1:1">
      <c r="A2469" s="172"/>
    </row>
    <row r="2470" spans="1:1">
      <c r="A2470" s="172"/>
    </row>
    <row r="2471" spans="1:1">
      <c r="A2471" s="172"/>
    </row>
    <row r="2472" spans="1:1">
      <c r="A2472" s="172"/>
    </row>
    <row r="2473" spans="1:1">
      <c r="A2473" s="172"/>
    </row>
    <row r="2474" spans="1:1">
      <c r="A2474" s="172"/>
    </row>
    <row r="2475" spans="1:1">
      <c r="A2475" s="172"/>
    </row>
    <row r="2476" spans="1:1">
      <c r="A2476" s="172"/>
    </row>
    <row r="2477" spans="1:1">
      <c r="A2477" s="172"/>
    </row>
    <row r="2478" spans="1:1">
      <c r="A2478" s="172"/>
    </row>
    <row r="2479" spans="1:1">
      <c r="A2479" s="172"/>
    </row>
    <row r="2480" spans="1:1">
      <c r="A2480" s="172"/>
    </row>
    <row r="2481" spans="1:1">
      <c r="A2481" s="172"/>
    </row>
    <row r="2482" spans="1:1">
      <c r="A2482" s="172"/>
    </row>
    <row r="2483" spans="1:1">
      <c r="A2483" s="172"/>
    </row>
    <row r="2484" spans="1:1">
      <c r="A2484" s="172"/>
    </row>
    <row r="2485" spans="1:1">
      <c r="A2485" s="172"/>
    </row>
    <row r="2486" spans="1:1">
      <c r="A2486" s="172"/>
    </row>
    <row r="2487" spans="1:1">
      <c r="A2487" s="172"/>
    </row>
    <row r="2488" spans="1:1">
      <c r="A2488" s="172"/>
    </row>
    <row r="2489" spans="1:1">
      <c r="A2489" s="172"/>
    </row>
    <row r="2490" spans="1:1">
      <c r="A2490" s="172"/>
    </row>
    <row r="2491" spans="1:1">
      <c r="A2491" s="172"/>
    </row>
    <row r="2492" spans="1:1">
      <c r="A2492" s="172"/>
    </row>
    <row r="2493" spans="1:1">
      <c r="A2493" s="172"/>
    </row>
    <row r="2494" spans="1:1">
      <c r="A2494" s="172"/>
    </row>
    <row r="2495" spans="1:1">
      <c r="A2495" s="172"/>
    </row>
    <row r="2496" spans="1:1">
      <c r="A2496" s="172"/>
    </row>
    <row r="2497" spans="1:1">
      <c r="A2497" s="172"/>
    </row>
    <row r="2498" spans="1:1">
      <c r="A2498" s="172"/>
    </row>
    <row r="2499" spans="1:1">
      <c r="A2499" s="172"/>
    </row>
    <row r="2500" spans="1:1">
      <c r="A2500" s="172"/>
    </row>
    <row r="2501" spans="1:1">
      <c r="A2501" s="172"/>
    </row>
    <row r="2502" spans="1:1">
      <c r="A2502" s="172"/>
    </row>
    <row r="2503" spans="1:1">
      <c r="A2503" s="172"/>
    </row>
    <row r="2504" spans="1:1">
      <c r="A2504" s="172"/>
    </row>
    <row r="2505" spans="1:1">
      <c r="A2505" s="172"/>
    </row>
    <row r="2506" spans="1:1">
      <c r="A2506" s="172"/>
    </row>
    <row r="2507" spans="1:1">
      <c r="A2507" s="172"/>
    </row>
    <row r="2508" spans="1:1">
      <c r="A2508" s="172"/>
    </row>
    <row r="2509" spans="1:1">
      <c r="A2509" s="172"/>
    </row>
    <row r="2510" spans="1:1">
      <c r="A2510" s="172"/>
    </row>
    <row r="2511" spans="1:1">
      <c r="A2511" s="172"/>
    </row>
    <row r="2512" spans="1:1">
      <c r="A2512" s="172"/>
    </row>
    <row r="2513" spans="1:1">
      <c r="A2513" s="172"/>
    </row>
    <row r="2514" spans="1:1">
      <c r="A2514" s="172"/>
    </row>
    <row r="2515" spans="1:1">
      <c r="A2515" s="172"/>
    </row>
    <row r="2516" spans="1:1">
      <c r="A2516" s="172"/>
    </row>
    <row r="2517" spans="1:1">
      <c r="A2517" s="172"/>
    </row>
    <row r="2518" spans="1:1">
      <c r="A2518" s="172"/>
    </row>
    <row r="2519" spans="1:1">
      <c r="A2519" s="172"/>
    </row>
    <row r="2520" spans="1:1">
      <c r="A2520" s="172"/>
    </row>
    <row r="2521" spans="1:1">
      <c r="A2521" s="172"/>
    </row>
    <row r="2522" spans="1:1">
      <c r="A2522" s="172"/>
    </row>
    <row r="2523" spans="1:1">
      <c r="A2523" s="172"/>
    </row>
    <row r="2524" spans="1:1">
      <c r="A2524" s="172"/>
    </row>
    <row r="2525" spans="1:1">
      <c r="A2525" s="172"/>
    </row>
    <row r="2526" spans="1:1">
      <c r="A2526" s="172"/>
    </row>
    <row r="2527" spans="1:1">
      <c r="A2527" s="172"/>
    </row>
    <row r="2528" spans="1:1">
      <c r="A2528" s="172"/>
    </row>
    <row r="2529" spans="1:1">
      <c r="A2529" s="172"/>
    </row>
    <row r="2530" spans="1:1">
      <c r="A2530" s="172"/>
    </row>
    <row r="2531" spans="1:1">
      <c r="A2531" s="172"/>
    </row>
    <row r="2532" spans="1:1">
      <c r="A2532" s="172"/>
    </row>
    <row r="2533" spans="1:1">
      <c r="A2533" s="172"/>
    </row>
    <row r="2534" spans="1:1">
      <c r="A2534" s="172"/>
    </row>
    <row r="2535" spans="1:1">
      <c r="A2535" s="172"/>
    </row>
    <row r="2536" spans="1:1">
      <c r="A2536" s="172"/>
    </row>
    <row r="2537" spans="1:1">
      <c r="A2537" s="172"/>
    </row>
    <row r="2538" spans="1:1">
      <c r="A2538" s="172"/>
    </row>
    <row r="2539" spans="1:1">
      <c r="A2539" s="172"/>
    </row>
    <row r="2540" spans="1:1">
      <c r="A2540" s="172"/>
    </row>
    <row r="2541" spans="1:1">
      <c r="A2541" s="172"/>
    </row>
    <row r="2542" spans="1:1">
      <c r="A2542" s="172"/>
    </row>
    <row r="2543" spans="1:1">
      <c r="A2543" s="172"/>
    </row>
    <row r="2544" spans="1:1">
      <c r="A2544" s="172"/>
    </row>
    <row r="2545" spans="1:1">
      <c r="A2545" s="172"/>
    </row>
    <row r="2546" spans="1:1">
      <c r="A2546" s="172"/>
    </row>
    <row r="2547" spans="1:1">
      <c r="A2547" s="172"/>
    </row>
    <row r="2548" spans="1:1">
      <c r="A2548" s="172"/>
    </row>
    <row r="2549" spans="1:1">
      <c r="A2549" s="172"/>
    </row>
    <row r="2550" spans="1:1">
      <c r="A2550" s="172"/>
    </row>
    <row r="2551" spans="1:1">
      <c r="A2551" s="172"/>
    </row>
    <row r="2552" spans="1:1">
      <c r="A2552" s="172"/>
    </row>
    <row r="2553" spans="1:1">
      <c r="A2553" s="172"/>
    </row>
    <row r="2554" spans="1:1">
      <c r="A2554" s="172"/>
    </row>
    <row r="2555" spans="1:1">
      <c r="A2555" s="172"/>
    </row>
    <row r="2556" spans="1:1">
      <c r="A2556" s="172"/>
    </row>
    <row r="2557" spans="1:1">
      <c r="A2557" s="172"/>
    </row>
    <row r="2558" spans="1:1">
      <c r="A2558" s="172"/>
    </row>
    <row r="2559" spans="1:1">
      <c r="A2559" s="172"/>
    </row>
    <row r="2560" spans="1:1">
      <c r="A2560" s="172"/>
    </row>
    <row r="2561" spans="1:1">
      <c r="A2561" s="172"/>
    </row>
    <row r="2562" spans="1:1">
      <c r="A2562" s="172"/>
    </row>
    <row r="2563" spans="1:1">
      <c r="A2563" s="172"/>
    </row>
    <row r="2564" spans="1:1">
      <c r="A2564" s="172"/>
    </row>
    <row r="2565" spans="1:1">
      <c r="A2565" s="172"/>
    </row>
    <row r="2566" spans="1:1">
      <c r="A2566" s="172"/>
    </row>
    <row r="2567" spans="1:1">
      <c r="A2567" s="172"/>
    </row>
    <row r="2568" spans="1:1">
      <c r="A2568" s="172"/>
    </row>
    <row r="2569" spans="1:1">
      <c r="A2569" s="172"/>
    </row>
    <row r="2570" spans="1:1">
      <c r="A2570" s="172"/>
    </row>
    <row r="2571" spans="1:1">
      <c r="A2571" s="172"/>
    </row>
    <row r="2572" spans="1:1">
      <c r="A2572" s="172"/>
    </row>
    <row r="2573" spans="1:1">
      <c r="A2573" s="172"/>
    </row>
    <row r="2574" spans="1:1">
      <c r="A2574" s="172"/>
    </row>
    <row r="2575" spans="1:1">
      <c r="A2575" s="172"/>
    </row>
    <row r="2576" spans="1:1">
      <c r="A2576" s="172"/>
    </row>
    <row r="2577" spans="1:1">
      <c r="A2577" s="172"/>
    </row>
    <row r="2578" spans="1:1">
      <c r="A2578" s="172"/>
    </row>
    <row r="2579" spans="1:1">
      <c r="A2579" s="172"/>
    </row>
    <row r="2580" spans="1:1">
      <c r="A2580" s="172"/>
    </row>
    <row r="2581" spans="1:1">
      <c r="A2581" s="172"/>
    </row>
    <row r="2582" spans="1:1">
      <c r="A2582" s="172"/>
    </row>
    <row r="2583" spans="1:1">
      <c r="A2583" s="172"/>
    </row>
    <row r="2584" spans="1:1">
      <c r="A2584" s="172"/>
    </row>
    <row r="2585" spans="1:1">
      <c r="A2585" s="172"/>
    </row>
    <row r="2586" spans="1:1">
      <c r="A2586" s="172"/>
    </row>
    <row r="2587" spans="1:1">
      <c r="A2587" s="172"/>
    </row>
    <row r="2588" spans="1:1">
      <c r="A2588" s="172"/>
    </row>
    <row r="2589" spans="1:1">
      <c r="A2589" s="172"/>
    </row>
    <row r="2590" spans="1:1">
      <c r="A2590" s="172"/>
    </row>
    <row r="2591" spans="1:1">
      <c r="A2591" s="172"/>
    </row>
    <row r="2592" spans="1:1">
      <c r="A2592" s="172"/>
    </row>
    <row r="2593" spans="1:1">
      <c r="A2593" s="172"/>
    </row>
    <row r="2594" spans="1:1">
      <c r="A2594" s="172"/>
    </row>
    <row r="2595" spans="1:1">
      <c r="A2595" s="172"/>
    </row>
    <row r="2596" spans="1:1">
      <c r="A2596" s="172"/>
    </row>
    <row r="2597" spans="1:1">
      <c r="A2597" s="172"/>
    </row>
    <row r="2598" spans="1:1">
      <c r="A2598" s="172"/>
    </row>
    <row r="2599" spans="1:1">
      <c r="A2599" s="172"/>
    </row>
    <row r="2600" spans="1:1">
      <c r="A2600" s="172"/>
    </row>
    <row r="2601" spans="1:1">
      <c r="A2601" s="172"/>
    </row>
    <row r="2602" spans="1:1">
      <c r="A2602" s="172"/>
    </row>
    <row r="2603" spans="1:1">
      <c r="A2603" s="172"/>
    </row>
    <row r="2604" spans="1:1">
      <c r="A2604" s="172"/>
    </row>
    <row r="2605" spans="1:1">
      <c r="A2605" s="172"/>
    </row>
    <row r="2606" spans="1:1">
      <c r="A2606" s="172"/>
    </row>
    <row r="2607" spans="1:1">
      <c r="A2607" s="172"/>
    </row>
    <row r="2608" spans="1:1">
      <c r="A2608" s="172"/>
    </row>
    <row r="2609" spans="1:1">
      <c r="A2609" s="172"/>
    </row>
    <row r="2610" spans="1:1">
      <c r="A2610" s="172"/>
    </row>
    <row r="2611" spans="1:1">
      <c r="A2611" s="172"/>
    </row>
    <row r="2612" spans="1:1">
      <c r="A2612" s="172"/>
    </row>
    <row r="2613" spans="1:1">
      <c r="A2613" s="172"/>
    </row>
    <row r="2614" spans="1:1">
      <c r="A2614" s="172"/>
    </row>
    <row r="2615" spans="1:1">
      <c r="A2615" s="172"/>
    </row>
    <row r="2616" spans="1:1">
      <c r="A2616" s="172"/>
    </row>
    <row r="2617" spans="1:1">
      <c r="A2617" s="172"/>
    </row>
    <row r="2618" spans="1:1">
      <c r="A2618" s="172"/>
    </row>
    <row r="2619" spans="1:1">
      <c r="A2619" s="172"/>
    </row>
    <row r="2620" spans="1:1">
      <c r="A2620" s="172"/>
    </row>
    <row r="2621" spans="1:1">
      <c r="A2621" s="172"/>
    </row>
    <row r="2622" spans="1:1">
      <c r="A2622" s="172"/>
    </row>
    <row r="2623" spans="1:1">
      <c r="A2623" s="172"/>
    </row>
    <row r="2624" spans="1:1">
      <c r="A2624" s="172"/>
    </row>
    <row r="2625" spans="1:1">
      <c r="A2625" s="172"/>
    </row>
    <row r="2626" spans="1:1">
      <c r="A2626" s="172"/>
    </row>
    <row r="2627" spans="1:1">
      <c r="A2627" s="172"/>
    </row>
    <row r="2628" spans="1:1">
      <c r="A2628" s="172"/>
    </row>
    <row r="2629" spans="1:1">
      <c r="A2629" s="172"/>
    </row>
    <row r="2630" spans="1:1">
      <c r="A2630" s="172"/>
    </row>
    <row r="2631" spans="1:1">
      <c r="A2631" s="172"/>
    </row>
    <row r="2632" spans="1:1">
      <c r="A2632" s="172"/>
    </row>
    <row r="2633" spans="1:1">
      <c r="A2633" s="172"/>
    </row>
    <row r="2634" spans="1:1">
      <c r="A2634" s="172"/>
    </row>
    <row r="2635" spans="1:1">
      <c r="A2635" s="172"/>
    </row>
    <row r="2636" spans="1:1">
      <c r="A2636" s="172"/>
    </row>
    <row r="2637" spans="1:1">
      <c r="A2637" s="172"/>
    </row>
    <row r="2638" spans="1:1">
      <c r="A2638" s="172"/>
    </row>
    <row r="2639" spans="1:1">
      <c r="A2639" s="172"/>
    </row>
    <row r="2640" spans="1:1">
      <c r="A2640" s="172"/>
    </row>
    <row r="2641" spans="1:1">
      <c r="A2641" s="172"/>
    </row>
    <row r="2642" spans="1:1">
      <c r="A2642" s="172"/>
    </row>
    <row r="2643" spans="1:1">
      <c r="A2643" s="172"/>
    </row>
    <row r="2644" spans="1:1">
      <c r="A2644" s="172"/>
    </row>
    <row r="2645" spans="1:1">
      <c r="A2645" s="172"/>
    </row>
    <row r="2646" spans="1:1">
      <c r="A2646" s="172"/>
    </row>
    <row r="2647" spans="1:1">
      <c r="A2647" s="172"/>
    </row>
    <row r="2648" spans="1:1">
      <c r="A2648" s="172"/>
    </row>
    <row r="2649" spans="1:1">
      <c r="A2649" s="172"/>
    </row>
    <row r="2650" spans="1:1">
      <c r="A2650" s="172"/>
    </row>
    <row r="2651" spans="1:1">
      <c r="A2651" s="172"/>
    </row>
    <row r="2652" spans="1:1">
      <c r="A2652" s="172"/>
    </row>
    <row r="2653" spans="1:1">
      <c r="A2653" s="172"/>
    </row>
    <row r="2654" spans="1:1">
      <c r="A2654" s="172"/>
    </row>
    <row r="2655" spans="1:1">
      <c r="A2655" s="172"/>
    </row>
    <row r="2656" spans="1:1">
      <c r="A2656" s="172"/>
    </row>
    <row r="2657" spans="1:1">
      <c r="A2657" s="172"/>
    </row>
    <row r="2658" spans="1:1">
      <c r="A2658" s="172"/>
    </row>
    <row r="2659" spans="1:1">
      <c r="A2659" s="172"/>
    </row>
    <row r="2660" spans="1:1">
      <c r="A2660" s="172"/>
    </row>
    <row r="2661" spans="1:1">
      <c r="A2661" s="172"/>
    </row>
    <row r="2662" spans="1:1">
      <c r="A2662" s="172"/>
    </row>
    <row r="2663" spans="1:1">
      <c r="A2663" s="172"/>
    </row>
    <row r="2664" spans="1:1">
      <c r="A2664" s="172"/>
    </row>
    <row r="2665" spans="1:1">
      <c r="A2665" s="172"/>
    </row>
    <row r="2666" spans="1:1">
      <c r="A2666" s="172"/>
    </row>
    <row r="2667" spans="1:1">
      <c r="A2667" s="172"/>
    </row>
    <row r="2668" spans="1:1">
      <c r="A2668" s="172"/>
    </row>
    <row r="2669" spans="1:1">
      <c r="A2669" s="172"/>
    </row>
    <row r="2670" spans="1:1">
      <c r="A2670" s="172"/>
    </row>
    <row r="2671" spans="1:1">
      <c r="A2671" s="172"/>
    </row>
    <row r="2672" spans="1:1">
      <c r="A2672" s="172"/>
    </row>
    <row r="2673" spans="1:1">
      <c r="A2673" s="172"/>
    </row>
    <row r="2674" spans="1:1">
      <c r="A2674" s="172"/>
    </row>
    <row r="2675" spans="1:1">
      <c r="A2675" s="172"/>
    </row>
    <row r="2676" spans="1:1">
      <c r="A2676" s="172"/>
    </row>
    <row r="2677" spans="1:1">
      <c r="A2677" s="172"/>
    </row>
    <row r="2678" spans="1:1">
      <c r="A2678" s="172"/>
    </row>
    <row r="2679" spans="1:1">
      <c r="A2679" s="172"/>
    </row>
    <row r="2680" spans="1:1">
      <c r="A2680" s="172"/>
    </row>
    <row r="2681" spans="1:1">
      <c r="A2681" s="172"/>
    </row>
    <row r="2682" spans="1:1">
      <c r="A2682" s="172"/>
    </row>
    <row r="2683" spans="1:1">
      <c r="A2683" s="172"/>
    </row>
    <row r="2684" spans="1:1">
      <c r="A2684" s="172"/>
    </row>
    <row r="2685" spans="1:1">
      <c r="A2685" s="172"/>
    </row>
    <row r="2686" spans="1:1">
      <c r="A2686" s="172"/>
    </row>
    <row r="2687" spans="1:1">
      <c r="A2687" s="172"/>
    </row>
    <row r="2688" spans="1:1">
      <c r="A2688" s="172"/>
    </row>
    <row r="2689" spans="1:1">
      <c r="A2689" s="172"/>
    </row>
    <row r="2690" spans="1:1">
      <c r="A2690" s="172"/>
    </row>
    <row r="2691" spans="1:1">
      <c r="A2691" s="172"/>
    </row>
    <row r="2692" spans="1:1">
      <c r="A2692" s="172"/>
    </row>
    <row r="2693" spans="1:1">
      <c r="A2693" s="172"/>
    </row>
    <row r="2694" spans="1:1">
      <c r="A2694" s="172"/>
    </row>
    <row r="2695" spans="1:1">
      <c r="A2695" s="172"/>
    </row>
    <row r="2696" spans="1:1">
      <c r="A2696" s="172"/>
    </row>
    <row r="2697" spans="1:1">
      <c r="A2697" s="172"/>
    </row>
    <row r="2698" spans="1:1">
      <c r="A2698" s="172"/>
    </row>
    <row r="2699" spans="1:1">
      <c r="A2699" s="172"/>
    </row>
    <row r="2700" spans="1:1">
      <c r="A2700" s="172"/>
    </row>
    <row r="2701" spans="1:1">
      <c r="A2701" s="172"/>
    </row>
    <row r="2702" spans="1:1">
      <c r="A2702" s="172"/>
    </row>
    <row r="2703" spans="1:1">
      <c r="A2703" s="172"/>
    </row>
    <row r="2704" spans="1:1">
      <c r="A2704" s="172"/>
    </row>
    <row r="2705" spans="1:1">
      <c r="A2705" s="172"/>
    </row>
    <row r="2706" spans="1:1">
      <c r="A2706" s="172"/>
    </row>
    <row r="2707" spans="1:1">
      <c r="A2707" s="172"/>
    </row>
    <row r="2708" spans="1:1">
      <c r="A2708" s="172"/>
    </row>
    <row r="2709" spans="1:1">
      <c r="A2709" s="172"/>
    </row>
    <row r="2710" spans="1:1">
      <c r="A2710" s="172"/>
    </row>
    <row r="2711" spans="1:1">
      <c r="A2711" s="172"/>
    </row>
    <row r="2712" spans="1:1">
      <c r="A2712" s="172"/>
    </row>
    <row r="2713" spans="1:1">
      <c r="A2713" s="172"/>
    </row>
    <row r="2714" spans="1:1">
      <c r="A2714" s="172"/>
    </row>
    <row r="2715" spans="1:1">
      <c r="A2715" s="172"/>
    </row>
    <row r="2716" spans="1:1">
      <c r="A2716" s="172"/>
    </row>
    <row r="2717" spans="1:1">
      <c r="A2717" s="172"/>
    </row>
    <row r="2718" spans="1:1">
      <c r="A2718" s="172"/>
    </row>
    <row r="2719" spans="1:1">
      <c r="A2719" s="172"/>
    </row>
    <row r="2720" spans="1:1">
      <c r="A2720" s="172"/>
    </row>
    <row r="2721" spans="1:1">
      <c r="A2721" s="172"/>
    </row>
    <row r="2722" spans="1:1">
      <c r="A2722" s="172"/>
    </row>
    <row r="2723" spans="1:1">
      <c r="A2723" s="172"/>
    </row>
    <row r="2724" spans="1:1">
      <c r="A2724" s="172"/>
    </row>
    <row r="2725" spans="1:1">
      <c r="A2725" s="172"/>
    </row>
    <row r="2726" spans="1:1">
      <c r="A2726" s="172"/>
    </row>
    <row r="2727" spans="1:1">
      <c r="A2727" s="172"/>
    </row>
    <row r="2728" spans="1:1">
      <c r="A2728" s="172"/>
    </row>
    <row r="2729" spans="1:1">
      <c r="A2729" s="172"/>
    </row>
    <row r="2730" spans="1:1">
      <c r="A2730" s="172"/>
    </row>
    <row r="2731" spans="1:1">
      <c r="A2731" s="172"/>
    </row>
    <row r="2732" spans="1:1">
      <c r="A2732" s="172"/>
    </row>
    <row r="2733" spans="1:1">
      <c r="A2733" s="172"/>
    </row>
    <row r="2734" spans="1:1">
      <c r="A2734" s="172"/>
    </row>
    <row r="2735" spans="1:1">
      <c r="A2735" s="172"/>
    </row>
    <row r="2736" spans="1:1">
      <c r="A2736" s="172"/>
    </row>
    <row r="2737" spans="1:1">
      <c r="A2737" s="172"/>
    </row>
    <row r="2738" spans="1:1">
      <c r="A2738" s="172"/>
    </row>
    <row r="2739" spans="1:1">
      <c r="A2739" s="172"/>
    </row>
    <row r="2740" spans="1:1">
      <c r="A2740" s="172"/>
    </row>
    <row r="2741" spans="1:1">
      <c r="A2741" s="172"/>
    </row>
    <row r="2742" spans="1:1">
      <c r="A2742" s="172"/>
    </row>
    <row r="2743" spans="1:1">
      <c r="A2743" s="172"/>
    </row>
    <row r="2744" spans="1:1">
      <c r="A2744" s="172"/>
    </row>
    <row r="2745" spans="1:1">
      <c r="A2745" s="172"/>
    </row>
    <row r="2746" spans="1:1">
      <c r="A2746" s="172"/>
    </row>
    <row r="2747" spans="1:1">
      <c r="A2747" s="172"/>
    </row>
    <row r="2748" spans="1:1">
      <c r="A2748" s="172"/>
    </row>
    <row r="2749" spans="1:1">
      <c r="A2749" s="172"/>
    </row>
    <row r="2750" spans="1:1">
      <c r="A2750" s="172"/>
    </row>
    <row r="2751" spans="1:1">
      <c r="A2751" s="172"/>
    </row>
    <row r="2752" spans="1:1">
      <c r="A2752" s="172"/>
    </row>
    <row r="2753" spans="1:1">
      <c r="A2753" s="172"/>
    </row>
    <row r="2754" spans="1:1">
      <c r="A2754" s="172"/>
    </row>
    <row r="2755" spans="1:1">
      <c r="A2755" s="172"/>
    </row>
    <row r="2756" spans="1:1">
      <c r="A2756" s="172"/>
    </row>
    <row r="2757" spans="1:1">
      <c r="A2757" s="172"/>
    </row>
    <row r="2758" spans="1:1">
      <c r="A2758" s="172"/>
    </row>
    <row r="2759" spans="1:1">
      <c r="A2759" s="172"/>
    </row>
    <row r="2760" spans="1:1">
      <c r="A2760" s="172"/>
    </row>
    <row r="2761" spans="1:1">
      <c r="A2761" s="172"/>
    </row>
    <row r="2762" spans="1:1">
      <c r="A2762" s="172"/>
    </row>
    <row r="2763" spans="1:1">
      <c r="A2763" s="172"/>
    </row>
    <row r="2764" spans="1:1">
      <c r="A2764" s="172"/>
    </row>
    <row r="2765" spans="1:1">
      <c r="A2765" s="172"/>
    </row>
    <row r="2766" spans="1:1">
      <c r="A2766" s="172"/>
    </row>
    <row r="2767" spans="1:1">
      <c r="A2767" s="172"/>
    </row>
    <row r="2768" spans="1:1">
      <c r="A2768" s="172"/>
    </row>
    <row r="2769" spans="1:1">
      <c r="A2769" s="172"/>
    </row>
    <row r="2770" spans="1:1">
      <c r="A2770" s="172"/>
    </row>
    <row r="2771" spans="1:1">
      <c r="A2771" s="172"/>
    </row>
    <row r="2772" spans="1:1">
      <c r="A2772" s="172"/>
    </row>
    <row r="2773" spans="1:1">
      <c r="A2773" s="172"/>
    </row>
    <row r="2774" spans="1:1">
      <c r="A2774" s="172"/>
    </row>
    <row r="2775" spans="1:1">
      <c r="A2775" s="172"/>
    </row>
    <row r="2776" spans="1:1">
      <c r="A2776" s="172"/>
    </row>
    <row r="2777" spans="1:1">
      <c r="A2777" s="172"/>
    </row>
    <row r="2778" spans="1:1">
      <c r="A2778" s="172"/>
    </row>
    <row r="2779" spans="1:1">
      <c r="A2779" s="172"/>
    </row>
    <row r="2780" spans="1:1">
      <c r="A2780" s="172"/>
    </row>
    <row r="2781" spans="1:1">
      <c r="A2781" s="172"/>
    </row>
    <row r="2782" spans="1:1">
      <c r="A2782" s="172"/>
    </row>
    <row r="2783" spans="1:1">
      <c r="A2783" s="172"/>
    </row>
    <row r="2784" spans="1:1">
      <c r="A2784" s="172"/>
    </row>
    <row r="2785" spans="1:1">
      <c r="A2785" s="172"/>
    </row>
    <row r="2786" spans="1:1">
      <c r="A2786" s="172"/>
    </row>
    <row r="2787" spans="1:1">
      <c r="A2787" s="172"/>
    </row>
    <row r="2788" spans="1:1">
      <c r="A2788" s="172"/>
    </row>
    <row r="2789" spans="1:1">
      <c r="A2789" s="172"/>
    </row>
    <row r="2790" spans="1:1">
      <c r="A2790" s="172"/>
    </row>
    <row r="2791" spans="1:1">
      <c r="A2791" s="172"/>
    </row>
    <row r="2792" spans="1:1">
      <c r="A2792" s="172"/>
    </row>
    <row r="2793" spans="1:1">
      <c r="A2793" s="172"/>
    </row>
    <row r="2794" spans="1:1">
      <c r="A2794" s="172"/>
    </row>
    <row r="2795" spans="1:1">
      <c r="A2795" s="172"/>
    </row>
    <row r="2796" spans="1:1">
      <c r="A2796" s="172"/>
    </row>
    <row r="2797" spans="1:1">
      <c r="A2797" s="172"/>
    </row>
    <row r="2798" spans="1:1">
      <c r="A2798" s="172"/>
    </row>
    <row r="2799" spans="1:1">
      <c r="A2799" s="172"/>
    </row>
    <row r="2800" spans="1:1">
      <c r="A2800" s="172"/>
    </row>
    <row r="2801" spans="1:1">
      <c r="A2801" s="172"/>
    </row>
    <row r="2802" spans="1:1">
      <c r="A2802" s="172"/>
    </row>
    <row r="2803" spans="1:1">
      <c r="A2803" s="172"/>
    </row>
    <row r="2804" spans="1:1">
      <c r="A2804" s="172"/>
    </row>
    <row r="2805" spans="1:1">
      <c r="A2805" s="172"/>
    </row>
    <row r="2806" spans="1:1">
      <c r="A2806" s="172"/>
    </row>
    <row r="2807" spans="1:1">
      <c r="A2807" s="172"/>
    </row>
    <row r="2808" spans="1:1">
      <c r="A2808" s="172"/>
    </row>
    <row r="2809" spans="1:1">
      <c r="A2809" s="172"/>
    </row>
    <row r="2810" spans="1:1">
      <c r="A2810" s="172"/>
    </row>
    <row r="2811" spans="1:1">
      <c r="A2811" s="172"/>
    </row>
    <row r="2812" spans="1:1">
      <c r="A2812" s="172"/>
    </row>
    <row r="2813" spans="1:1">
      <c r="A2813" s="172"/>
    </row>
    <row r="2814" spans="1:1">
      <c r="A2814" s="172"/>
    </row>
    <row r="2815" spans="1:1">
      <c r="A2815" s="172"/>
    </row>
    <row r="2816" spans="1:1">
      <c r="A2816" s="172"/>
    </row>
    <row r="2817" spans="1:1">
      <c r="A2817" s="172"/>
    </row>
    <row r="2818" spans="1:1">
      <c r="A2818" s="172"/>
    </row>
    <row r="2819" spans="1:1">
      <c r="A2819" s="172"/>
    </row>
    <row r="2820" spans="1:1">
      <c r="A2820" s="172"/>
    </row>
    <row r="2821" spans="1:1">
      <c r="A2821" s="172"/>
    </row>
    <row r="2822" spans="1:1">
      <c r="A2822" s="172"/>
    </row>
    <row r="2823" spans="1:1">
      <c r="A2823" s="172"/>
    </row>
    <row r="2824" spans="1:1">
      <c r="A2824" s="172"/>
    </row>
    <row r="2825" spans="1:1">
      <c r="A2825" s="172"/>
    </row>
    <row r="2826" spans="1:1">
      <c r="A2826" s="172"/>
    </row>
    <row r="2827" spans="1:1">
      <c r="A2827" s="172"/>
    </row>
    <row r="2828" spans="1:1">
      <c r="A2828" s="172"/>
    </row>
    <row r="2829" spans="1:1">
      <c r="A2829" s="172"/>
    </row>
    <row r="2830" spans="1:1">
      <c r="A2830" s="172"/>
    </row>
    <row r="2831" spans="1:1">
      <c r="A2831" s="172"/>
    </row>
    <row r="2832" spans="1:1">
      <c r="A2832" s="172"/>
    </row>
    <row r="2833" spans="1:1">
      <c r="A2833" s="172"/>
    </row>
    <row r="2834" spans="1:1">
      <c r="A2834" s="172"/>
    </row>
    <row r="2835" spans="1:1">
      <c r="A2835" s="172"/>
    </row>
    <row r="2836" spans="1:1">
      <c r="A2836" s="172"/>
    </row>
    <row r="2837" spans="1:1">
      <c r="A2837" s="172"/>
    </row>
    <row r="2838" spans="1:1">
      <c r="A2838" s="172"/>
    </row>
    <row r="2839" spans="1:1">
      <c r="A2839" s="172"/>
    </row>
    <row r="2840" spans="1:1">
      <c r="A2840" s="172"/>
    </row>
    <row r="2841" spans="1:1">
      <c r="A2841" s="172"/>
    </row>
    <row r="2842" spans="1:1">
      <c r="A2842" s="172"/>
    </row>
    <row r="2843" spans="1:1">
      <c r="A2843" s="172"/>
    </row>
    <row r="2844" spans="1:1">
      <c r="A2844" s="172"/>
    </row>
    <row r="2845" spans="1:1">
      <c r="A2845" s="172"/>
    </row>
    <row r="2846" spans="1:1">
      <c r="A2846" s="172"/>
    </row>
    <row r="2847" spans="1:1">
      <c r="A2847" s="172"/>
    </row>
    <row r="2848" spans="1:1">
      <c r="A2848" s="172"/>
    </row>
    <row r="2849" spans="1:1">
      <c r="A2849" s="172"/>
    </row>
    <row r="2850" spans="1:1">
      <c r="A2850" s="172"/>
    </row>
    <row r="2851" spans="1:1">
      <c r="A2851" s="172"/>
    </row>
    <row r="2852" spans="1:1">
      <c r="A2852" s="172"/>
    </row>
    <row r="2853" spans="1:1">
      <c r="A2853" s="172"/>
    </row>
    <row r="2854" spans="1:1">
      <c r="A2854" s="172"/>
    </row>
    <row r="2855" spans="1:1">
      <c r="A2855" s="172"/>
    </row>
    <row r="2856" spans="1:1">
      <c r="A2856" s="172"/>
    </row>
    <row r="2857" spans="1:1">
      <c r="A2857" s="172"/>
    </row>
    <row r="2858" spans="1:1">
      <c r="A2858" s="172"/>
    </row>
    <row r="2859" spans="1:1">
      <c r="A2859" s="172"/>
    </row>
    <row r="2860" spans="1:1">
      <c r="A2860" s="172"/>
    </row>
    <row r="2861" spans="1:1">
      <c r="A2861" s="172"/>
    </row>
    <row r="2862" spans="1:1">
      <c r="A2862" s="172"/>
    </row>
    <row r="2863" spans="1:1">
      <c r="A2863" s="172"/>
    </row>
    <row r="2864" spans="1:1">
      <c r="A2864" s="172"/>
    </row>
    <row r="2865" spans="1:1">
      <c r="A2865" s="172"/>
    </row>
    <row r="2866" spans="1:1">
      <c r="A2866" s="172"/>
    </row>
    <row r="2867" spans="1:1">
      <c r="A2867" s="172"/>
    </row>
    <row r="2868" spans="1:1">
      <c r="A2868" s="172"/>
    </row>
    <row r="2869" spans="1:1">
      <c r="A2869" s="172"/>
    </row>
    <row r="2870" spans="1:1">
      <c r="A2870" s="172"/>
    </row>
    <row r="2871" spans="1:1">
      <c r="A2871" s="172"/>
    </row>
    <row r="2872" spans="1:1">
      <c r="A2872" s="172"/>
    </row>
    <row r="2873" spans="1:1">
      <c r="A2873" s="172"/>
    </row>
    <row r="2874" spans="1:1">
      <c r="A2874" s="172"/>
    </row>
    <row r="2875" spans="1:1">
      <c r="A2875" s="172"/>
    </row>
    <row r="2876" spans="1:1">
      <c r="A2876" s="172"/>
    </row>
    <row r="2877" spans="1:1">
      <c r="A2877" s="172"/>
    </row>
    <row r="2878" spans="1:1">
      <c r="A2878" s="172"/>
    </row>
    <row r="2879" spans="1:1">
      <c r="A2879" s="172"/>
    </row>
    <row r="2880" spans="1:1">
      <c r="A2880" s="172"/>
    </row>
    <row r="2881" spans="1:1">
      <c r="A2881" s="172"/>
    </row>
    <row r="2882" spans="1:1">
      <c r="A2882" s="172"/>
    </row>
    <row r="2883" spans="1:1">
      <c r="A2883" s="172"/>
    </row>
    <row r="2884" spans="1:1">
      <c r="A2884" s="172"/>
    </row>
    <row r="2885" spans="1:1">
      <c r="A2885" s="172"/>
    </row>
    <row r="2886" spans="1:1">
      <c r="A2886" s="172"/>
    </row>
    <row r="2887" spans="1:1">
      <c r="A2887" s="172"/>
    </row>
    <row r="2888" spans="1:1">
      <c r="A2888" s="172"/>
    </row>
    <row r="2889" spans="1:1">
      <c r="A2889" s="172"/>
    </row>
    <row r="2890" spans="1:1">
      <c r="A2890" s="172"/>
    </row>
    <row r="2891" spans="1:1">
      <c r="A2891" s="172"/>
    </row>
    <row r="2892" spans="1:1">
      <c r="A2892" s="172"/>
    </row>
    <row r="2893" spans="1:1">
      <c r="A2893" s="172"/>
    </row>
    <row r="2894" spans="1:1">
      <c r="A2894" s="172"/>
    </row>
    <row r="2895" spans="1:1">
      <c r="A2895" s="172"/>
    </row>
    <row r="2896" spans="1:1">
      <c r="A2896" s="172"/>
    </row>
    <row r="2897" spans="1:1">
      <c r="A2897" s="172"/>
    </row>
    <row r="2898" spans="1:1">
      <c r="A2898" s="172"/>
    </row>
    <row r="2899" spans="1:1">
      <c r="A2899" s="172"/>
    </row>
    <row r="2900" spans="1:1">
      <c r="A2900" s="172"/>
    </row>
    <row r="2901" spans="1:1">
      <c r="A2901" s="172"/>
    </row>
    <row r="2902" spans="1:1">
      <c r="A2902" s="172"/>
    </row>
    <row r="2903" spans="1:1">
      <c r="A2903" s="172"/>
    </row>
    <row r="2904" spans="1:1">
      <c r="A2904" s="172"/>
    </row>
    <row r="2905" spans="1:1">
      <c r="A2905" s="172"/>
    </row>
    <row r="2906" spans="1:1">
      <c r="A2906" s="172"/>
    </row>
    <row r="2907" spans="1:1">
      <c r="A2907" s="172"/>
    </row>
    <row r="2908" spans="1:1">
      <c r="A2908" s="172"/>
    </row>
    <row r="2909" spans="1:1">
      <c r="A2909" s="172"/>
    </row>
    <row r="2910" spans="1:1">
      <c r="A2910" s="172"/>
    </row>
    <row r="2911" spans="1:1">
      <c r="A2911" s="172"/>
    </row>
    <row r="2912" spans="1:1">
      <c r="A2912" s="172"/>
    </row>
    <row r="2913" spans="1:1">
      <c r="A2913" s="172"/>
    </row>
    <row r="2914" spans="1:1">
      <c r="A2914" s="172"/>
    </row>
    <row r="2915" spans="1:1">
      <c r="A2915" s="172"/>
    </row>
    <row r="2916" spans="1:1">
      <c r="A2916" s="172"/>
    </row>
    <row r="2917" spans="1:1">
      <c r="A2917" s="172"/>
    </row>
    <row r="2918" spans="1:1">
      <c r="A2918" s="172"/>
    </row>
    <row r="2919" spans="1:1">
      <c r="A2919" s="172"/>
    </row>
    <row r="2920" spans="1:1">
      <c r="A2920" s="172"/>
    </row>
    <row r="2921" spans="1:1">
      <c r="A2921" s="172"/>
    </row>
    <row r="2922" spans="1:1">
      <c r="A2922" s="172"/>
    </row>
    <row r="2923" spans="1:1">
      <c r="A2923" s="172"/>
    </row>
    <row r="2924" spans="1:1">
      <c r="A2924" s="172"/>
    </row>
    <row r="2925" spans="1:1">
      <c r="A2925" s="172"/>
    </row>
    <row r="2926" spans="1:1">
      <c r="A2926" s="172"/>
    </row>
    <row r="2927" spans="1:1">
      <c r="A2927" s="172"/>
    </row>
    <row r="2928" spans="1:1">
      <c r="A2928" s="172"/>
    </row>
    <row r="2929" spans="1:1">
      <c r="A2929" s="172"/>
    </row>
    <row r="2930" spans="1:1">
      <c r="A2930" s="172"/>
    </row>
    <row r="2931" spans="1:1">
      <c r="A2931" s="172"/>
    </row>
    <row r="2932" spans="1:1">
      <c r="A2932" s="172"/>
    </row>
    <row r="2933" spans="1:1">
      <c r="A2933" s="172"/>
    </row>
    <row r="2934" spans="1:1">
      <c r="A2934" s="172"/>
    </row>
    <row r="2935" spans="1:1">
      <c r="A2935" s="172"/>
    </row>
    <row r="2936" spans="1:1">
      <c r="A2936" s="172"/>
    </row>
    <row r="2937" spans="1:1">
      <c r="A2937" s="172"/>
    </row>
    <row r="2938" spans="1:1">
      <c r="A2938" s="172"/>
    </row>
    <row r="2939" spans="1:1">
      <c r="A2939" s="172"/>
    </row>
    <row r="2940" spans="1:1">
      <c r="A2940" s="172"/>
    </row>
    <row r="2941" spans="1:1">
      <c r="A2941" s="172"/>
    </row>
    <row r="2942" spans="1:1">
      <c r="A2942" s="172"/>
    </row>
    <row r="2943" spans="1:1">
      <c r="A2943" s="172"/>
    </row>
    <row r="2944" spans="1:1">
      <c r="A2944" s="172"/>
    </row>
    <row r="2945" spans="1:1">
      <c r="A2945" s="172"/>
    </row>
    <row r="2946" spans="1:1">
      <c r="A2946" s="172"/>
    </row>
    <row r="2947" spans="1:1">
      <c r="A2947" s="172"/>
    </row>
    <row r="2948" spans="1:1">
      <c r="A2948" s="172"/>
    </row>
    <row r="2949" spans="1:1">
      <c r="A2949" s="172"/>
    </row>
    <row r="2950" spans="1:1">
      <c r="A2950" s="172"/>
    </row>
    <row r="2951" spans="1:1">
      <c r="A2951" s="172"/>
    </row>
    <row r="2952" spans="1:1">
      <c r="A2952" s="172"/>
    </row>
    <row r="2953" spans="1:1">
      <c r="A2953" s="172"/>
    </row>
    <row r="2954" spans="1:1">
      <c r="A2954" s="172"/>
    </row>
    <row r="2955" spans="1:1">
      <c r="A2955" s="172"/>
    </row>
    <row r="2956" spans="1:1">
      <c r="A2956" s="172"/>
    </row>
    <row r="2957" spans="1:1">
      <c r="A2957" s="172"/>
    </row>
    <row r="2958" spans="1:1">
      <c r="A2958" s="172"/>
    </row>
    <row r="2959" spans="1:1">
      <c r="A2959" s="172"/>
    </row>
    <row r="2960" spans="1:1">
      <c r="A2960" s="172"/>
    </row>
    <row r="2961" spans="1:1">
      <c r="A2961" s="172"/>
    </row>
    <row r="2962" spans="1:1">
      <c r="A2962" s="172"/>
    </row>
    <row r="2963" spans="1:1">
      <c r="A2963" s="172"/>
    </row>
    <row r="2964" spans="1:1">
      <c r="A2964" s="172"/>
    </row>
    <row r="2965" spans="1:1">
      <c r="A2965" s="172"/>
    </row>
    <row r="2966" spans="1:1">
      <c r="A2966" s="172"/>
    </row>
    <row r="2967" spans="1:1">
      <c r="A2967" s="172"/>
    </row>
    <row r="2968" spans="1:1">
      <c r="A2968" s="172"/>
    </row>
    <row r="2969" spans="1:1">
      <c r="A2969" s="172"/>
    </row>
    <row r="2970" spans="1:1">
      <c r="A2970" s="172"/>
    </row>
    <row r="2971" spans="1:1">
      <c r="A2971" s="172"/>
    </row>
    <row r="2972" spans="1:1">
      <c r="A2972" s="172"/>
    </row>
    <row r="2973" spans="1:1">
      <c r="A2973" s="172"/>
    </row>
    <row r="2974" spans="1:1">
      <c r="A2974" s="172"/>
    </row>
    <row r="2975" spans="1:1">
      <c r="A2975" s="172"/>
    </row>
    <row r="2976" spans="1:1">
      <c r="A2976" s="172"/>
    </row>
    <row r="2977" spans="1:1">
      <c r="A2977" s="172"/>
    </row>
    <row r="2978" spans="1:1">
      <c r="A2978" s="172"/>
    </row>
    <row r="2979" spans="1:1">
      <c r="A2979" s="172"/>
    </row>
    <row r="2980" spans="1:1">
      <c r="A2980" s="172"/>
    </row>
    <row r="2981" spans="1:1">
      <c r="A2981" s="172"/>
    </row>
    <row r="2982" spans="1:1">
      <c r="A2982" s="172"/>
    </row>
    <row r="2983" spans="1:1">
      <c r="A2983" s="172"/>
    </row>
    <row r="2984" spans="1:1">
      <c r="A2984" s="172"/>
    </row>
    <row r="2985" spans="1:1">
      <c r="A2985" s="172"/>
    </row>
    <row r="2986" spans="1:1">
      <c r="A2986" s="172"/>
    </row>
    <row r="2987" spans="1:1">
      <c r="A2987" s="172"/>
    </row>
    <row r="2988" spans="1:1">
      <c r="A2988" s="172"/>
    </row>
    <row r="2989" spans="1:1">
      <c r="A2989" s="172"/>
    </row>
    <row r="2990" spans="1:1">
      <c r="A2990" s="172"/>
    </row>
    <row r="2991" spans="1:1">
      <c r="A2991" s="172"/>
    </row>
    <row r="2992" spans="1:1">
      <c r="A2992" s="172"/>
    </row>
    <row r="2993" spans="1:1">
      <c r="A2993" s="172"/>
    </row>
    <row r="2994" spans="1:1">
      <c r="A2994" s="172"/>
    </row>
    <row r="2995" spans="1:1">
      <c r="A2995" s="172"/>
    </row>
    <row r="2996" spans="1:1">
      <c r="A2996" s="172"/>
    </row>
    <row r="2997" spans="1:1">
      <c r="A2997" s="172"/>
    </row>
    <row r="2998" spans="1:1">
      <c r="A2998" s="172"/>
    </row>
    <row r="2999" spans="1:1">
      <c r="A2999" s="172"/>
    </row>
    <row r="3000" spans="1:1">
      <c r="A3000" s="172"/>
    </row>
    <row r="3001" spans="1:1">
      <c r="A3001" s="172"/>
    </row>
    <row r="3002" spans="1:1">
      <c r="A3002" s="172"/>
    </row>
    <row r="3003" spans="1:1">
      <c r="A3003" s="172"/>
    </row>
    <row r="3004" spans="1:1">
      <c r="A3004" s="172"/>
    </row>
    <row r="3005" spans="1:1">
      <c r="A3005" s="172"/>
    </row>
    <row r="3006" spans="1:1">
      <c r="A3006" s="172"/>
    </row>
    <row r="3007" spans="1:1">
      <c r="A3007" s="172"/>
    </row>
    <row r="3008" spans="1:1">
      <c r="A3008" s="172"/>
    </row>
    <row r="3009" spans="1:1">
      <c r="A3009" s="172"/>
    </row>
    <row r="3010" spans="1:1">
      <c r="A3010" s="172"/>
    </row>
    <row r="3011" spans="1:1">
      <c r="A3011" s="172"/>
    </row>
    <row r="3012" spans="1:1">
      <c r="A3012" s="172"/>
    </row>
    <row r="3013" spans="1:1">
      <c r="A3013" s="172"/>
    </row>
    <row r="3014" spans="1:1">
      <c r="A3014" s="172"/>
    </row>
    <row r="3015" spans="1:1">
      <c r="A3015" s="172"/>
    </row>
    <row r="3016" spans="1:1">
      <c r="A3016" s="172"/>
    </row>
    <row r="3017" spans="1:1">
      <c r="A3017" s="172"/>
    </row>
    <row r="3018" spans="1:1">
      <c r="A3018" s="172"/>
    </row>
    <row r="3019" spans="1:1">
      <c r="A3019" s="172"/>
    </row>
    <row r="3020" spans="1:1">
      <c r="A3020" s="172"/>
    </row>
    <row r="3021" spans="1:1">
      <c r="A3021" s="172"/>
    </row>
    <row r="3022" spans="1:1">
      <c r="A3022" s="172"/>
    </row>
    <row r="3023" spans="1:1">
      <c r="A3023" s="172"/>
    </row>
    <row r="3024" spans="1:1">
      <c r="A3024" s="172"/>
    </row>
    <row r="3025" spans="1:1">
      <c r="A3025" s="172"/>
    </row>
    <row r="3026" spans="1:1">
      <c r="A3026" s="172"/>
    </row>
    <row r="3027" spans="1:1">
      <c r="A3027" s="172"/>
    </row>
    <row r="3028" spans="1:1">
      <c r="A3028" s="172"/>
    </row>
    <row r="3029" spans="1:1">
      <c r="A3029" s="172"/>
    </row>
    <row r="3030" spans="1:1">
      <c r="A3030" s="172"/>
    </row>
    <row r="3031" spans="1:1">
      <c r="A3031" s="172"/>
    </row>
    <row r="3032" spans="1:1">
      <c r="A3032" s="172"/>
    </row>
    <row r="3033" spans="1:1">
      <c r="A3033" s="172"/>
    </row>
    <row r="3034" spans="1:1">
      <c r="A3034" s="172"/>
    </row>
    <row r="3035" spans="1:1">
      <c r="A3035" s="172"/>
    </row>
    <row r="3036" spans="1:1">
      <c r="A3036" s="172"/>
    </row>
    <row r="3037" spans="1:1">
      <c r="A3037" s="172"/>
    </row>
    <row r="3038" spans="1:1">
      <c r="A3038" s="172"/>
    </row>
    <row r="3039" spans="1:1">
      <c r="A3039" s="172"/>
    </row>
    <row r="3040" spans="1:1">
      <c r="A3040" s="172"/>
    </row>
    <row r="3041" spans="1:1">
      <c r="A3041" s="172"/>
    </row>
    <row r="3042" spans="1:1">
      <c r="A3042" s="172"/>
    </row>
    <row r="3043" spans="1:1">
      <c r="A3043" s="172"/>
    </row>
    <row r="3044" spans="1:1">
      <c r="A3044" s="172"/>
    </row>
    <row r="3045" spans="1:1">
      <c r="A3045" s="172"/>
    </row>
    <row r="3046" spans="1:1">
      <c r="A3046" s="172"/>
    </row>
    <row r="3047" spans="1:1">
      <c r="A3047" s="172"/>
    </row>
    <row r="3048" spans="1:1">
      <c r="A3048" s="172"/>
    </row>
    <row r="3049" spans="1:1">
      <c r="A3049" s="172"/>
    </row>
    <row r="3050" spans="1:1">
      <c r="A3050" s="172"/>
    </row>
    <row r="3051" spans="1:1">
      <c r="A3051" s="172"/>
    </row>
    <row r="3052" spans="1:1">
      <c r="A3052" s="172"/>
    </row>
    <row r="3053" spans="1:1">
      <c r="A3053" s="172"/>
    </row>
    <row r="3054" spans="1:1">
      <c r="A3054" s="172"/>
    </row>
    <row r="3055" spans="1:1">
      <c r="A3055" s="172"/>
    </row>
    <row r="3056" spans="1:1">
      <c r="A3056" s="172"/>
    </row>
    <row r="3057" spans="1:1">
      <c r="A3057" s="172"/>
    </row>
    <row r="3058" spans="1:1">
      <c r="A3058" s="172"/>
    </row>
    <row r="3059" spans="1:1">
      <c r="A3059" s="172"/>
    </row>
    <row r="3060" spans="1:1">
      <c r="A3060" s="172"/>
    </row>
    <row r="3061" spans="1:1">
      <c r="A3061" s="172"/>
    </row>
    <row r="3062" spans="1:1">
      <c r="A3062" s="172"/>
    </row>
    <row r="3063" spans="1:1">
      <c r="A3063" s="172"/>
    </row>
    <row r="3064" spans="1:1">
      <c r="A3064" s="172"/>
    </row>
    <row r="3065" spans="1:1">
      <c r="A3065" s="172"/>
    </row>
    <row r="3066" spans="1:1">
      <c r="A3066" s="172"/>
    </row>
    <row r="3067" spans="1:1">
      <c r="A3067" s="172"/>
    </row>
    <row r="3068" spans="1:1">
      <c r="A3068" s="172"/>
    </row>
    <row r="3069" spans="1:1">
      <c r="A3069" s="172"/>
    </row>
    <row r="3070" spans="1:1">
      <c r="A3070" s="172"/>
    </row>
    <row r="3071" spans="1:1">
      <c r="A3071" s="172"/>
    </row>
    <row r="3072" spans="1:1">
      <c r="A3072" s="172"/>
    </row>
    <row r="3073" spans="1:1">
      <c r="A3073" s="172"/>
    </row>
    <row r="3074" spans="1:1">
      <c r="A3074" s="172"/>
    </row>
    <row r="3075" spans="1:1">
      <c r="A3075" s="172"/>
    </row>
    <row r="3076" spans="1:1">
      <c r="A3076" s="172"/>
    </row>
    <row r="3077" spans="1:1">
      <c r="A3077" s="172"/>
    </row>
    <row r="3078" spans="1:1">
      <c r="A3078" s="172"/>
    </row>
    <row r="3079" spans="1:1">
      <c r="A3079" s="172"/>
    </row>
    <row r="3080" spans="1:1">
      <c r="A3080" s="172"/>
    </row>
    <row r="3081" spans="1:1">
      <c r="A3081" s="172"/>
    </row>
    <row r="3082" spans="1:1">
      <c r="A3082" s="172"/>
    </row>
    <row r="3083" spans="1:1">
      <c r="A3083" s="172"/>
    </row>
    <row r="3084" spans="1:1">
      <c r="A3084" s="172"/>
    </row>
    <row r="3085" spans="1:1">
      <c r="A3085" s="172"/>
    </row>
    <row r="3086" spans="1:1">
      <c r="A3086" s="172"/>
    </row>
    <row r="3087" spans="1:1">
      <c r="A3087" s="172"/>
    </row>
    <row r="3088" spans="1:1">
      <c r="A3088" s="172"/>
    </row>
    <row r="3089" spans="1:1">
      <c r="A3089" s="172"/>
    </row>
    <row r="3090" spans="1:1">
      <c r="A3090" s="172"/>
    </row>
    <row r="3091" spans="1:1">
      <c r="A3091" s="172"/>
    </row>
    <row r="3092" spans="1:1">
      <c r="A3092" s="172"/>
    </row>
    <row r="3093" spans="1:1">
      <c r="A3093" s="172"/>
    </row>
    <row r="3094" spans="1:1">
      <c r="A3094" s="172"/>
    </row>
    <row r="3095" spans="1:1">
      <c r="A3095" s="172"/>
    </row>
    <row r="3096" spans="1:1">
      <c r="A3096" s="172"/>
    </row>
    <row r="3097" spans="1:1">
      <c r="A3097" s="172"/>
    </row>
    <row r="3098" spans="1:1">
      <c r="A3098" s="172"/>
    </row>
    <row r="3099" spans="1:1">
      <c r="A3099" s="172"/>
    </row>
    <row r="3100" spans="1:1">
      <c r="A3100" s="172"/>
    </row>
    <row r="3101" spans="1:1">
      <c r="A3101" s="172"/>
    </row>
    <row r="3102" spans="1:1">
      <c r="A3102" s="172"/>
    </row>
    <row r="3103" spans="1:1">
      <c r="A3103" s="172"/>
    </row>
    <row r="3104" spans="1:1">
      <c r="A3104" s="172"/>
    </row>
    <row r="3105" spans="1:1">
      <c r="A3105" s="172"/>
    </row>
    <row r="3106" spans="1:1">
      <c r="A3106" s="172"/>
    </row>
    <row r="3107" spans="1:1">
      <c r="A3107" s="172"/>
    </row>
    <row r="3108" spans="1:1">
      <c r="A3108" s="172"/>
    </row>
    <row r="3109" spans="1:1">
      <c r="A3109" s="172"/>
    </row>
    <row r="3110" spans="1:1">
      <c r="A3110" s="172"/>
    </row>
    <row r="3111" spans="1:1">
      <c r="A3111" s="172"/>
    </row>
    <row r="3112" spans="1:1">
      <c r="A3112" s="172"/>
    </row>
    <row r="3113" spans="1:1">
      <c r="A3113" s="172"/>
    </row>
    <row r="3114" spans="1:1">
      <c r="A3114" s="172"/>
    </row>
    <row r="3115" spans="1:1">
      <c r="A3115" s="172"/>
    </row>
    <row r="3116" spans="1:1">
      <c r="A3116" s="172"/>
    </row>
    <row r="3117" spans="1:1">
      <c r="A3117" s="172"/>
    </row>
    <row r="3118" spans="1:1">
      <c r="A3118" s="172"/>
    </row>
    <row r="3119" spans="1:1">
      <c r="A3119" s="172"/>
    </row>
    <row r="3120" spans="1:1">
      <c r="A3120" s="172"/>
    </row>
    <row r="3121" spans="1:1">
      <c r="A3121" s="172"/>
    </row>
    <row r="3122" spans="1:1">
      <c r="A3122" s="172"/>
    </row>
    <row r="3123" spans="1:1">
      <c r="A3123" s="172"/>
    </row>
    <row r="3124" spans="1:1">
      <c r="A3124" s="172"/>
    </row>
    <row r="3125" spans="1:1">
      <c r="A3125" s="172"/>
    </row>
    <row r="3126" spans="1:1">
      <c r="A3126" s="172"/>
    </row>
    <row r="3127" spans="1:1">
      <c r="A3127" s="172"/>
    </row>
    <row r="3128" spans="1:1">
      <c r="A3128" s="172"/>
    </row>
    <row r="3129" spans="1:1">
      <c r="A3129" s="172"/>
    </row>
    <row r="3130" spans="1:1">
      <c r="A3130" s="172"/>
    </row>
    <row r="3131" spans="1:1">
      <c r="A3131" s="172"/>
    </row>
    <row r="3132" spans="1:1">
      <c r="A3132" s="172"/>
    </row>
    <row r="3133" spans="1:1">
      <c r="A3133" s="172"/>
    </row>
    <row r="3134" spans="1:1">
      <c r="A3134" s="172"/>
    </row>
    <row r="3135" spans="1:1">
      <c r="A3135" s="172"/>
    </row>
    <row r="3136" spans="1:1">
      <c r="A3136" s="172"/>
    </row>
    <row r="3137" spans="1:1">
      <c r="A3137" s="172"/>
    </row>
    <row r="3138" spans="1:1">
      <c r="A3138" s="172"/>
    </row>
    <row r="3139" spans="1:1">
      <c r="A3139" s="172"/>
    </row>
    <row r="3140" spans="1:1">
      <c r="A3140" s="172"/>
    </row>
    <row r="3141" spans="1:1">
      <c r="A3141" s="172"/>
    </row>
    <row r="3142" spans="1:1">
      <c r="A3142" s="172"/>
    </row>
    <row r="3143" spans="1:1">
      <c r="A3143" s="172"/>
    </row>
    <row r="3144" spans="1:1">
      <c r="A3144" s="172"/>
    </row>
    <row r="3145" spans="1:1">
      <c r="A3145" s="172"/>
    </row>
    <row r="3146" spans="1:1">
      <c r="A3146" s="172"/>
    </row>
    <row r="3147" spans="1:1">
      <c r="A3147" s="172"/>
    </row>
    <row r="3148" spans="1:1">
      <c r="A3148" s="172"/>
    </row>
    <row r="3149" spans="1:1">
      <c r="A3149" s="172"/>
    </row>
    <row r="3150" spans="1:1">
      <c r="A3150" s="172"/>
    </row>
    <row r="3151" spans="1:1">
      <c r="A3151" s="172"/>
    </row>
    <row r="3152" spans="1:1">
      <c r="A3152" s="172"/>
    </row>
    <row r="3153" spans="1:1">
      <c r="A3153" s="172"/>
    </row>
    <row r="3154" spans="1:1">
      <c r="A3154" s="172"/>
    </row>
    <row r="3155" spans="1:1">
      <c r="A3155" s="172"/>
    </row>
    <row r="3156" spans="1:1">
      <c r="A3156" s="172"/>
    </row>
    <row r="3157" spans="1:1">
      <c r="A3157" s="172"/>
    </row>
    <row r="3158" spans="1:1">
      <c r="A3158" s="172"/>
    </row>
    <row r="3159" spans="1:1">
      <c r="A3159" s="172"/>
    </row>
    <row r="3160" spans="1:1">
      <c r="A3160" s="172"/>
    </row>
    <row r="3161" spans="1:1">
      <c r="A3161" s="172"/>
    </row>
    <row r="3162" spans="1:1">
      <c r="A3162" s="172"/>
    </row>
    <row r="3163" spans="1:1">
      <c r="A3163" s="172"/>
    </row>
    <row r="3164" spans="1:1">
      <c r="A3164" s="172"/>
    </row>
    <row r="3165" spans="1:1">
      <c r="A3165" s="172"/>
    </row>
    <row r="3166" spans="1:1">
      <c r="A3166" s="172"/>
    </row>
    <row r="3167" spans="1:1">
      <c r="A3167" s="172"/>
    </row>
    <row r="3168" spans="1:1">
      <c r="A3168" s="172"/>
    </row>
    <row r="3169" spans="1:1">
      <c r="A3169" s="172"/>
    </row>
    <row r="3170" spans="1:1">
      <c r="A3170" s="172"/>
    </row>
    <row r="3171" spans="1:1">
      <c r="A3171" s="172"/>
    </row>
    <row r="3172" spans="1:1">
      <c r="A3172" s="172"/>
    </row>
    <row r="3173" spans="1:1">
      <c r="A3173" s="172"/>
    </row>
    <row r="3174" spans="1:1">
      <c r="A3174" s="172"/>
    </row>
    <row r="3175" spans="1:1">
      <c r="A3175" s="172"/>
    </row>
    <row r="3176" spans="1:1">
      <c r="A3176" s="172"/>
    </row>
    <row r="3177" spans="1:1">
      <c r="A3177" s="172"/>
    </row>
    <row r="3178" spans="1:1">
      <c r="A3178" s="172"/>
    </row>
    <row r="3179" spans="1:1">
      <c r="A3179" s="172"/>
    </row>
    <row r="3180" spans="1:1">
      <c r="A3180" s="172"/>
    </row>
    <row r="3181" spans="1:1">
      <c r="A3181" s="172"/>
    </row>
    <row r="3182" spans="1:1">
      <c r="A3182" s="172"/>
    </row>
    <row r="3183" spans="1:1">
      <c r="A3183" s="172"/>
    </row>
    <row r="3184" spans="1:1">
      <c r="A3184" s="172"/>
    </row>
    <row r="3185" spans="1:1">
      <c r="A3185" s="172"/>
    </row>
    <row r="3186" spans="1:1">
      <c r="A3186" s="172"/>
    </row>
    <row r="3187" spans="1:1">
      <c r="A3187" s="172"/>
    </row>
    <row r="3188" spans="1:1">
      <c r="A3188" s="172"/>
    </row>
    <row r="3189" spans="1:1">
      <c r="A3189" s="172"/>
    </row>
    <row r="3190" spans="1:1">
      <c r="A3190" s="172"/>
    </row>
    <row r="3191" spans="1:1">
      <c r="A3191" s="172"/>
    </row>
    <row r="3192" spans="1:1">
      <c r="A3192" s="172"/>
    </row>
    <row r="3193" spans="1:1">
      <c r="A3193" s="172"/>
    </row>
    <row r="3194" spans="1:1">
      <c r="A3194" s="172"/>
    </row>
    <row r="3195" spans="1:1">
      <c r="A3195" s="172"/>
    </row>
    <row r="3196" spans="1:1">
      <c r="A3196" s="172"/>
    </row>
    <row r="3197" spans="1:1">
      <c r="A3197" s="172"/>
    </row>
    <row r="3198" spans="1:1">
      <c r="A3198" s="172"/>
    </row>
    <row r="3199" spans="1:1">
      <c r="A3199" s="172"/>
    </row>
    <row r="3200" spans="1:1">
      <c r="A3200" s="172"/>
    </row>
    <row r="3201" spans="1:1">
      <c r="A3201" s="172"/>
    </row>
    <row r="3202" spans="1:1">
      <c r="A3202" s="172"/>
    </row>
    <row r="3203" spans="1:1">
      <c r="A3203" s="172"/>
    </row>
    <row r="3204" spans="1:1">
      <c r="A3204" s="172"/>
    </row>
    <row r="3205" spans="1:1">
      <c r="A3205" s="172"/>
    </row>
    <row r="3206" spans="1:1">
      <c r="A3206" s="172"/>
    </row>
    <row r="3207" spans="1:1">
      <c r="A3207" s="172"/>
    </row>
    <row r="3208" spans="1:1">
      <c r="A3208" s="172"/>
    </row>
    <row r="3209" spans="1:1">
      <c r="A3209" s="172"/>
    </row>
    <row r="3210" spans="1:1">
      <c r="A3210" s="172"/>
    </row>
    <row r="3211" spans="1:1">
      <c r="A3211" s="172"/>
    </row>
    <row r="3212" spans="1:1">
      <c r="A3212" s="172"/>
    </row>
    <row r="3213" spans="1:1">
      <c r="A3213" s="172"/>
    </row>
    <row r="3214" spans="1:1">
      <c r="A3214" s="172"/>
    </row>
    <row r="3215" spans="1:1">
      <c r="A3215" s="172"/>
    </row>
    <row r="3216" spans="1:1">
      <c r="A3216" s="172"/>
    </row>
    <row r="3217" spans="1:1">
      <c r="A3217" s="172"/>
    </row>
    <row r="3218" spans="1:1">
      <c r="A3218" s="172"/>
    </row>
    <row r="3219" spans="1:1">
      <c r="A3219" s="172"/>
    </row>
    <row r="3220" spans="1:1">
      <c r="A3220" s="172"/>
    </row>
    <row r="3221" spans="1:1">
      <c r="A3221" s="172"/>
    </row>
    <row r="3222" spans="1:1">
      <c r="A3222" s="172"/>
    </row>
    <row r="3223" spans="1:1">
      <c r="A3223" s="172"/>
    </row>
    <row r="3224" spans="1:1">
      <c r="A3224" s="172"/>
    </row>
    <row r="3225" spans="1:1">
      <c r="A3225" s="172"/>
    </row>
    <row r="3226" spans="1:1">
      <c r="A3226" s="172"/>
    </row>
    <row r="3227" spans="1:1">
      <c r="A3227" s="172"/>
    </row>
    <row r="3228" spans="1:1">
      <c r="A3228" s="172"/>
    </row>
    <row r="3229" spans="1:1">
      <c r="A3229" s="172"/>
    </row>
    <row r="3230" spans="1:1">
      <c r="A3230" s="172"/>
    </row>
    <row r="3231" spans="1:1">
      <c r="A3231" s="172"/>
    </row>
    <row r="3232" spans="1:1">
      <c r="A3232" s="172"/>
    </row>
    <row r="3233" spans="1:1">
      <c r="A3233" s="172"/>
    </row>
    <row r="3234" spans="1:1">
      <c r="A3234" s="172"/>
    </row>
    <row r="3235" spans="1:1">
      <c r="A3235" s="172"/>
    </row>
    <row r="3236" spans="1:1">
      <c r="A3236" s="172"/>
    </row>
    <row r="3237" spans="1:1">
      <c r="A3237" s="172"/>
    </row>
    <row r="3238" spans="1:1">
      <c r="A3238" s="172"/>
    </row>
    <row r="3239" spans="1:1">
      <c r="A3239" s="172"/>
    </row>
    <row r="3240" spans="1:1">
      <c r="A3240" s="172"/>
    </row>
    <row r="3241" spans="1:1">
      <c r="A3241" s="172"/>
    </row>
    <row r="3242" spans="1:1">
      <c r="A3242" s="172"/>
    </row>
    <row r="3243" spans="1:1">
      <c r="A3243" s="172"/>
    </row>
    <row r="3244" spans="1:1">
      <c r="A3244" s="172"/>
    </row>
    <row r="3245" spans="1:1">
      <c r="A3245" s="172"/>
    </row>
    <row r="3246" spans="1:1">
      <c r="A3246" s="172"/>
    </row>
    <row r="3247" spans="1:1">
      <c r="A3247" s="172"/>
    </row>
    <row r="3248" spans="1:1">
      <c r="A3248" s="172"/>
    </row>
    <row r="3249" spans="1:1">
      <c r="A3249" s="172"/>
    </row>
    <row r="3250" spans="1:1">
      <c r="A3250" s="172"/>
    </row>
    <row r="3251" spans="1:1">
      <c r="A3251" s="172"/>
    </row>
    <row r="3252" spans="1:1">
      <c r="A3252" s="172"/>
    </row>
    <row r="3253" spans="1:1">
      <c r="A3253" s="172"/>
    </row>
    <row r="3254" spans="1:1">
      <c r="A3254" s="172"/>
    </row>
    <row r="3255" spans="1:1">
      <c r="A3255" s="172"/>
    </row>
    <row r="3256" spans="1:1">
      <c r="A3256" s="172"/>
    </row>
    <row r="3257" spans="1:1">
      <c r="A3257" s="172"/>
    </row>
    <row r="3258" spans="1:1">
      <c r="A3258" s="172"/>
    </row>
    <row r="3259" spans="1:1">
      <c r="A3259" s="172"/>
    </row>
    <row r="3260" spans="1:1">
      <c r="A3260" s="172"/>
    </row>
    <row r="3261" spans="1:1">
      <c r="A3261" s="172"/>
    </row>
    <row r="3262" spans="1:1">
      <c r="A3262" s="172"/>
    </row>
    <row r="3263" spans="1:1">
      <c r="A3263" s="172"/>
    </row>
    <row r="3264" spans="1:1">
      <c r="A3264" s="172"/>
    </row>
    <row r="3265" spans="1:1">
      <c r="A3265" s="172"/>
    </row>
    <row r="3266" spans="1:1">
      <c r="A3266" s="172"/>
    </row>
    <row r="3267" spans="1:1">
      <c r="A3267" s="172"/>
    </row>
    <row r="3268" spans="1:1">
      <c r="A3268" s="172"/>
    </row>
    <row r="3269" spans="1:1">
      <c r="A3269" s="172"/>
    </row>
    <row r="3270" spans="1:1">
      <c r="A3270" s="172"/>
    </row>
    <row r="3271" spans="1:1">
      <c r="A3271" s="172"/>
    </row>
    <row r="3272" spans="1:1">
      <c r="A3272" s="172"/>
    </row>
    <row r="3273" spans="1:1">
      <c r="A3273" s="172"/>
    </row>
    <row r="3274" spans="1:1">
      <c r="A3274" s="172"/>
    </row>
    <row r="3275" spans="1:1">
      <c r="A3275" s="172"/>
    </row>
    <row r="3276" spans="1:1">
      <c r="A3276" s="172"/>
    </row>
    <row r="3277" spans="1:1">
      <c r="A3277" s="172"/>
    </row>
    <row r="3278" spans="1:1">
      <c r="A3278" s="172"/>
    </row>
    <row r="3279" spans="1:1">
      <c r="A3279" s="172"/>
    </row>
    <row r="3280" spans="1:1">
      <c r="A3280" s="172"/>
    </row>
    <row r="3281" spans="1:1">
      <c r="A3281" s="172"/>
    </row>
    <row r="3282" spans="1:1">
      <c r="A3282" s="172"/>
    </row>
    <row r="3283" spans="1:1">
      <c r="A3283" s="172"/>
    </row>
    <row r="3284" spans="1:1">
      <c r="A3284" s="172"/>
    </row>
    <row r="3285" spans="1:1">
      <c r="A3285" s="172"/>
    </row>
    <row r="3286" spans="1:1">
      <c r="A3286" s="172"/>
    </row>
    <row r="3287" spans="1:1">
      <c r="A3287" s="172"/>
    </row>
    <row r="3288" spans="1:1">
      <c r="A3288" s="172"/>
    </row>
    <row r="3289" spans="1:1">
      <c r="A3289" s="172"/>
    </row>
    <row r="3290" spans="1:1">
      <c r="A3290" s="172"/>
    </row>
    <row r="3291" spans="1:1">
      <c r="A3291" s="172"/>
    </row>
    <row r="3292" spans="1:1">
      <c r="A3292" s="172"/>
    </row>
    <row r="3293" spans="1:1">
      <c r="A3293" s="172"/>
    </row>
    <row r="3294" spans="1:1">
      <c r="A3294" s="172"/>
    </row>
    <row r="3295" spans="1:1">
      <c r="A3295" s="172"/>
    </row>
    <row r="3296" spans="1:1">
      <c r="A3296" s="172"/>
    </row>
    <row r="3297" spans="1:1">
      <c r="A3297" s="172"/>
    </row>
    <row r="3298" spans="1:1">
      <c r="A3298" s="172"/>
    </row>
    <row r="3299" spans="1:1">
      <c r="A3299" s="172"/>
    </row>
    <row r="3300" spans="1:1">
      <c r="A3300" s="172"/>
    </row>
    <row r="3301" spans="1:1">
      <c r="A3301" s="172"/>
    </row>
    <row r="3302" spans="1:1">
      <c r="A3302" s="172"/>
    </row>
    <row r="3303" spans="1:1">
      <c r="A3303" s="172"/>
    </row>
    <row r="3304" spans="1:1">
      <c r="A3304" s="172"/>
    </row>
    <row r="3305" spans="1:1">
      <c r="A3305" s="172"/>
    </row>
    <row r="3306" spans="1:1">
      <c r="A3306" s="172"/>
    </row>
    <row r="3307" spans="1:1">
      <c r="A3307" s="172"/>
    </row>
    <row r="3308" spans="1:1">
      <c r="A3308" s="172"/>
    </row>
    <row r="3309" spans="1:1">
      <c r="A3309" s="172"/>
    </row>
    <row r="3310" spans="1:1">
      <c r="A3310" s="172"/>
    </row>
    <row r="3311" spans="1:1">
      <c r="A3311" s="172"/>
    </row>
    <row r="3312" spans="1:1">
      <c r="A3312" s="172"/>
    </row>
    <row r="3313" spans="1:1">
      <c r="A3313" s="172"/>
    </row>
    <row r="3314" spans="1:1">
      <c r="A3314" s="172"/>
    </row>
    <row r="3315" spans="1:1">
      <c r="A3315" s="172"/>
    </row>
    <row r="3316" spans="1:1">
      <c r="A3316" s="172"/>
    </row>
    <row r="3317" spans="1:1">
      <c r="A3317" s="172"/>
    </row>
    <row r="3318" spans="1:1">
      <c r="A3318" s="172"/>
    </row>
    <row r="3319" spans="1:1">
      <c r="A3319" s="172"/>
    </row>
    <row r="3320" spans="1:1">
      <c r="A3320" s="172"/>
    </row>
    <row r="3321" spans="1:1">
      <c r="A3321" s="172"/>
    </row>
    <row r="3322" spans="1:1">
      <c r="A3322" s="172"/>
    </row>
    <row r="3323" spans="1:1">
      <c r="A3323" s="172"/>
    </row>
    <row r="3324" spans="1:1">
      <c r="A3324" s="172"/>
    </row>
    <row r="3325" spans="1:1">
      <c r="A3325" s="172"/>
    </row>
    <row r="3326" spans="1:1">
      <c r="A3326" s="172"/>
    </row>
    <row r="3327" spans="1:1">
      <c r="A3327" s="172"/>
    </row>
    <row r="3328" spans="1:1">
      <c r="A3328" s="172"/>
    </row>
    <row r="3329" spans="1:1">
      <c r="A3329" s="172"/>
    </row>
    <row r="3330" spans="1:1">
      <c r="A3330" s="172"/>
    </row>
    <row r="3331" spans="1:1">
      <c r="A3331" s="172"/>
    </row>
    <row r="3332" spans="1:1">
      <c r="A3332" s="172"/>
    </row>
    <row r="3333" spans="1:1">
      <c r="A3333" s="172"/>
    </row>
    <row r="3334" spans="1:1">
      <c r="A3334" s="172"/>
    </row>
    <row r="3335" spans="1:1">
      <c r="A3335" s="172"/>
    </row>
    <row r="3336" spans="1:1">
      <c r="A3336" s="172"/>
    </row>
    <row r="3337" spans="1:1">
      <c r="A3337" s="172"/>
    </row>
    <row r="3338" spans="1:1">
      <c r="A3338" s="172"/>
    </row>
    <row r="3339" spans="1:1">
      <c r="A3339" s="172"/>
    </row>
    <row r="3340" spans="1:1">
      <c r="A3340" s="172"/>
    </row>
    <row r="3341" spans="1:1">
      <c r="A3341" s="172"/>
    </row>
    <row r="3342" spans="1:1">
      <c r="A3342" s="172"/>
    </row>
    <row r="3343" spans="1:1">
      <c r="A3343" s="172"/>
    </row>
    <row r="3344" spans="1:1">
      <c r="A3344" s="172"/>
    </row>
    <row r="3345" spans="1:1">
      <c r="A3345" s="172"/>
    </row>
    <row r="3346" spans="1:1">
      <c r="A3346" s="172"/>
    </row>
    <row r="3347" spans="1:1">
      <c r="A3347" s="172"/>
    </row>
    <row r="3348" spans="1:1">
      <c r="A3348" s="172"/>
    </row>
    <row r="3349" spans="1:1">
      <c r="A3349" s="172"/>
    </row>
    <row r="3350" spans="1:1">
      <c r="A3350" s="172"/>
    </row>
    <row r="3351" spans="1:1">
      <c r="A3351" s="172"/>
    </row>
    <row r="3352" spans="1:1">
      <c r="A3352" s="172"/>
    </row>
    <row r="3353" spans="1:1">
      <c r="A3353" s="172"/>
    </row>
    <row r="3354" spans="1:1">
      <c r="A3354" s="172"/>
    </row>
    <row r="3355" spans="1:1">
      <c r="A3355" s="172"/>
    </row>
    <row r="3356" spans="1:1">
      <c r="A3356" s="172"/>
    </row>
    <row r="3357" spans="1:1">
      <c r="A3357" s="172"/>
    </row>
    <row r="3358" spans="1:1">
      <c r="A3358" s="172"/>
    </row>
    <row r="3359" spans="1:1">
      <c r="A3359" s="172"/>
    </row>
  </sheetData>
  <autoFilter ref="A2:AA180" xr:uid="{F73FFFB3-E80A-452A-8314-2643A02F9D4E}"/>
  <mergeCells count="3">
    <mergeCell ref="A1:F1"/>
    <mergeCell ref="H1:V1"/>
    <mergeCell ref="X1:AA1"/>
  </mergeCells>
  <pageMargins left="0.7" right="0.7" top="0.75" bottom="0.75" header="0.3" footer="0.3"/>
  <headerFooter>
    <oddFooter>&amp;C_x000D_&amp;1#&amp;"Aptos"&amp;8&amp;K737373 Classificado como Uso Interno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D0B85-2DDA-45C3-B5CC-A65137963411}">
  <sheetPr>
    <tabColor rgb="FF002060"/>
  </sheetPr>
  <dimension ref="B2:AW465"/>
  <sheetViews>
    <sheetView showGridLines="0" topLeftCell="A81" workbookViewId="0">
      <selection activeCell="G493" sqref="G493:AA494"/>
    </sheetView>
  </sheetViews>
  <sheetFormatPr defaultColWidth="9.1796875" defaultRowHeight="12.5"/>
  <cols>
    <col min="1" max="1" width="9.1796875" style="184"/>
    <col min="2" max="2" width="19.7265625" style="184" bestFit="1" customWidth="1"/>
    <col min="3" max="3" width="46.26953125" style="184" customWidth="1"/>
    <col min="4" max="4" width="39.453125" style="184" customWidth="1"/>
    <col min="5" max="5" width="30.7265625" style="184" customWidth="1"/>
    <col min="6" max="6" width="24.81640625" style="184" customWidth="1"/>
    <col min="7" max="16384" width="9.1796875" style="184"/>
  </cols>
  <sheetData>
    <row r="2" spans="2:49" ht="14.5">
      <c r="B2" s="183"/>
      <c r="C2"/>
      <c r="D2"/>
      <c r="E2"/>
      <c r="F2"/>
    </row>
    <row r="3" spans="2:49" ht="14.5">
      <c r="B3" s="185"/>
      <c r="C3" s="186"/>
      <c r="D3" s="186"/>
      <c r="E3" s="186"/>
      <c r="F3" s="186"/>
    </row>
    <row r="4" spans="2:49" ht="13">
      <c r="B4" s="187"/>
      <c r="C4" s="186"/>
      <c r="D4" s="186"/>
      <c r="E4" s="186"/>
      <c r="F4" s="186"/>
    </row>
    <row r="5" spans="2:49" ht="15.5">
      <c r="B5" s="187"/>
      <c r="C5" s="188" t="s">
        <v>989</v>
      </c>
      <c r="D5" s="188"/>
      <c r="E5" s="188"/>
      <c r="F5" s="188"/>
    </row>
    <row r="6" spans="2:49" ht="14.5">
      <c r="B6" s="183"/>
      <c r="C6"/>
      <c r="D6"/>
      <c r="E6"/>
      <c r="F6"/>
    </row>
    <row r="7" spans="2:49" ht="15.5">
      <c r="C7" s="189" t="s">
        <v>990</v>
      </c>
      <c r="D7" s="189"/>
      <c r="E7" s="189"/>
      <c r="F7" s="189"/>
    </row>
    <row r="8" spans="2:49" ht="15.5">
      <c r="C8" s="190" t="s">
        <v>991</v>
      </c>
      <c r="D8" s="190"/>
      <c r="E8" s="190"/>
      <c r="F8" s="190"/>
      <c r="G8" s="190"/>
    </row>
    <row r="9" spans="2:49" ht="15.5">
      <c r="C9" s="189" t="s">
        <v>992</v>
      </c>
      <c r="D9" s="189"/>
      <c r="E9" s="189"/>
      <c r="F9" s="189"/>
    </row>
    <row r="10" spans="2:49" ht="14.5">
      <c r="B10" s="183"/>
      <c r="C10"/>
      <c r="D10"/>
      <c r="E10"/>
      <c r="F10"/>
    </row>
    <row r="11" spans="2:49" ht="14.5">
      <c r="B11" s="183"/>
      <c r="C11"/>
      <c r="D11"/>
      <c r="E11"/>
      <c r="F11"/>
    </row>
    <row r="12" spans="2:49" ht="15" thickBot="1">
      <c r="B12" s="191" t="s">
        <v>993</v>
      </c>
      <c r="C12" s="191" t="s">
        <v>994</v>
      </c>
      <c r="D12" s="187"/>
      <c r="E12"/>
      <c r="F12"/>
    </row>
    <row r="13" spans="2:49" ht="15" thickBot="1">
      <c r="B13" s="187"/>
      <c r="C13" s="192" t="s">
        <v>995</v>
      </c>
      <c r="D13" s="193" t="s">
        <v>996</v>
      </c>
      <c r="E13"/>
      <c r="F13"/>
      <c r="AW13" s="184" t="s">
        <v>997</v>
      </c>
    </row>
    <row r="14" spans="2:49" ht="15" thickBot="1">
      <c r="B14" s="194"/>
      <c r="C14" s="195" t="s">
        <v>998</v>
      </c>
      <c r="D14" s="196" t="s">
        <v>999</v>
      </c>
      <c r="E14"/>
      <c r="F14"/>
      <c r="AW14" s="184" t="s">
        <v>997</v>
      </c>
    </row>
    <row r="15" spans="2:49" ht="15" thickBot="1">
      <c r="B15" s="194"/>
      <c r="C15" s="195" t="s">
        <v>1000</v>
      </c>
      <c r="D15" s="196" t="s">
        <v>999</v>
      </c>
      <c r="E15"/>
      <c r="F15"/>
      <c r="AW15" s="184" t="s">
        <v>997</v>
      </c>
    </row>
    <row r="16" spans="2:49" ht="15" thickBot="1">
      <c r="B16" s="194"/>
      <c r="C16" s="195" t="s">
        <v>1001</v>
      </c>
      <c r="D16" s="196" t="s">
        <v>999</v>
      </c>
      <c r="E16"/>
      <c r="F16"/>
      <c r="AW16" s="184" t="s">
        <v>997</v>
      </c>
    </row>
    <row r="17" spans="2:49" ht="15" thickBot="1">
      <c r="B17" s="194"/>
      <c r="C17" s="195" t="s">
        <v>1002</v>
      </c>
      <c r="D17" s="196" t="s">
        <v>999</v>
      </c>
      <c r="E17"/>
      <c r="F17"/>
      <c r="AW17" s="184" t="s">
        <v>997</v>
      </c>
    </row>
    <row r="18" spans="2:49" ht="15" thickBot="1">
      <c r="B18" s="194"/>
      <c r="C18" s="195" t="s">
        <v>1003</v>
      </c>
      <c r="D18" s="196" t="s">
        <v>999</v>
      </c>
      <c r="E18"/>
      <c r="F18"/>
      <c r="AW18" s="184" t="s">
        <v>997</v>
      </c>
    </row>
    <row r="19" spans="2:49" ht="15" thickBot="1">
      <c r="B19" s="194"/>
      <c r="C19" s="195" t="s">
        <v>1004</v>
      </c>
      <c r="D19" s="196" t="s">
        <v>999</v>
      </c>
      <c r="E19"/>
      <c r="F19"/>
      <c r="AW19" s="184" t="s">
        <v>997</v>
      </c>
    </row>
    <row r="20" spans="2:49" ht="15" thickBot="1">
      <c r="B20" s="194"/>
      <c r="C20" s="195" t="s">
        <v>1005</v>
      </c>
      <c r="D20" s="196" t="s">
        <v>1006</v>
      </c>
      <c r="E20"/>
      <c r="F20"/>
      <c r="AW20" s="184" t="s">
        <v>997</v>
      </c>
    </row>
    <row r="21" spans="2:49" ht="15" thickBot="1">
      <c r="B21" s="194"/>
      <c r="C21" s="195" t="s">
        <v>1007</v>
      </c>
      <c r="D21" s="196" t="s">
        <v>999</v>
      </c>
      <c r="E21"/>
      <c r="F21"/>
      <c r="AW21" s="184" t="s">
        <v>997</v>
      </c>
    </row>
    <row r="22" spans="2:49" ht="15" thickBot="1">
      <c r="B22" s="194"/>
      <c r="C22" s="195" t="s">
        <v>1008</v>
      </c>
      <c r="D22" s="196" t="s">
        <v>999</v>
      </c>
      <c r="E22"/>
      <c r="F22"/>
      <c r="AW22" s="184" t="s">
        <v>997</v>
      </c>
    </row>
    <row r="23" spans="2:49" ht="15" thickBot="1">
      <c r="B23" s="194"/>
      <c r="C23" s="195" t="s">
        <v>1009</v>
      </c>
      <c r="D23" s="196" t="s">
        <v>999</v>
      </c>
      <c r="E23"/>
      <c r="F23"/>
      <c r="AW23" s="184" t="s">
        <v>997</v>
      </c>
    </row>
    <row r="24" spans="2:49" ht="15" thickBot="1">
      <c r="B24" s="194"/>
      <c r="C24" s="195" t="s">
        <v>1010</v>
      </c>
      <c r="D24" s="196" t="s">
        <v>1006</v>
      </c>
      <c r="E24"/>
      <c r="F24"/>
      <c r="AW24" s="184" t="s">
        <v>997</v>
      </c>
    </row>
    <row r="25" spans="2:49" ht="15" thickBot="1">
      <c r="B25" s="194"/>
      <c r="C25" s="195" t="s">
        <v>1011</v>
      </c>
      <c r="D25" s="196" t="s">
        <v>1012</v>
      </c>
      <c r="E25"/>
      <c r="F25"/>
      <c r="AW25" s="184" t="s">
        <v>997</v>
      </c>
    </row>
    <row r="26" spans="2:49" ht="15" thickBot="1">
      <c r="B26" s="194"/>
      <c r="C26" s="195" t="s">
        <v>1013</v>
      </c>
      <c r="D26" s="196" t="s">
        <v>1014</v>
      </c>
      <c r="E26"/>
      <c r="F26"/>
      <c r="AW26" s="184" t="s">
        <v>997</v>
      </c>
    </row>
    <row r="27" spans="2:49" ht="15" thickBot="1">
      <c r="B27" s="187"/>
      <c r="C27" s="195" t="s">
        <v>1015</v>
      </c>
      <c r="D27" s="196" t="s">
        <v>999</v>
      </c>
      <c r="E27"/>
      <c r="F27"/>
      <c r="AW27" s="184" t="s">
        <v>997</v>
      </c>
    </row>
    <row r="28" spans="2:49" ht="15" thickBot="1">
      <c r="B28" s="194"/>
      <c r="C28" s="195" t="s">
        <v>1016</v>
      </c>
      <c r="D28" s="196" t="s">
        <v>1012</v>
      </c>
      <c r="E28"/>
      <c r="F28"/>
      <c r="AW28" s="184" t="s">
        <v>997</v>
      </c>
    </row>
    <row r="29" spans="2:49" ht="15" thickBot="1">
      <c r="B29" s="194"/>
      <c r="C29" s="195" t="s">
        <v>1017</v>
      </c>
      <c r="D29" s="196" t="s">
        <v>1014</v>
      </c>
      <c r="E29"/>
      <c r="F29"/>
      <c r="AW29" s="184" t="s">
        <v>997</v>
      </c>
    </row>
    <row r="30" spans="2:49" ht="15" thickBot="1">
      <c r="B30" s="194"/>
      <c r="C30" s="195" t="s">
        <v>1018</v>
      </c>
      <c r="D30" s="196" t="s">
        <v>1019</v>
      </c>
      <c r="E30"/>
      <c r="F30"/>
      <c r="J30" s="197"/>
      <c r="AW30" s="184" t="s">
        <v>997</v>
      </c>
    </row>
    <row r="31" spans="2:49" ht="15" thickBot="1">
      <c r="B31" s="194"/>
      <c r="C31" s="195" t="s">
        <v>1020</v>
      </c>
      <c r="D31" s="196" t="s">
        <v>1021</v>
      </c>
      <c r="E31"/>
      <c r="F31"/>
      <c r="AW31" s="184" t="s">
        <v>997</v>
      </c>
    </row>
    <row r="32" spans="2:49" ht="15" thickBot="1">
      <c r="B32" s="194"/>
      <c r="C32" s="195" t="s">
        <v>1022</v>
      </c>
      <c r="D32" s="196" t="s">
        <v>1023</v>
      </c>
      <c r="E32"/>
      <c r="F32"/>
      <c r="AW32" s="184" t="s">
        <v>997</v>
      </c>
    </row>
    <row r="33" spans="2:49" ht="14.5">
      <c r="B33" s="183"/>
      <c r="C33"/>
      <c r="D33"/>
      <c r="E33"/>
      <c r="F33"/>
      <c r="AW33" s="184" t="s">
        <v>997</v>
      </c>
    </row>
    <row r="34" spans="2:49" ht="14.5">
      <c r="B34" s="183"/>
      <c r="C34"/>
      <c r="D34"/>
      <c r="E34"/>
      <c r="F34"/>
      <c r="AW34" s="184" t="s">
        <v>997</v>
      </c>
    </row>
    <row r="35" spans="2:49" ht="14.5">
      <c r="B35" s="191" t="s">
        <v>1024</v>
      </c>
      <c r="C35" s="191" t="s">
        <v>1025</v>
      </c>
      <c r="D35" s="187"/>
      <c r="E35" s="187"/>
      <c r="F35"/>
      <c r="AW35" s="184" t="s">
        <v>997</v>
      </c>
    </row>
    <row r="36" spans="2:49" ht="27" customHeight="1" thickBot="1">
      <c r="B36" s="198" t="s">
        <v>1026</v>
      </c>
      <c r="C36" s="198"/>
      <c r="D36" s="198"/>
      <c r="E36" s="198"/>
      <c r="F36"/>
      <c r="AW36" s="184" t="s">
        <v>997</v>
      </c>
    </row>
    <row r="37" spans="2:49" ht="15" thickBot="1">
      <c r="B37" s="187"/>
      <c r="C37" s="192" t="s">
        <v>995</v>
      </c>
      <c r="D37" s="193" t="s">
        <v>996</v>
      </c>
      <c r="E37" s="187"/>
      <c r="F37"/>
      <c r="AW37" s="184" t="s">
        <v>997</v>
      </c>
    </row>
    <row r="38" spans="2:49" ht="15" thickBot="1">
      <c r="B38" s="187"/>
      <c r="C38" s="195" t="s">
        <v>998</v>
      </c>
      <c r="D38" s="196" t="s">
        <v>1012</v>
      </c>
      <c r="E38" s="187"/>
      <c r="F38"/>
      <c r="AW38" s="184" t="s">
        <v>997</v>
      </c>
    </row>
    <row r="39" spans="2:49" ht="15" thickBot="1">
      <c r="B39" s="187"/>
      <c r="C39" s="195" t="s">
        <v>1000</v>
      </c>
      <c r="D39" s="196" t="s">
        <v>1012</v>
      </c>
      <c r="E39" s="187"/>
      <c r="F39"/>
      <c r="AW39" s="184" t="s">
        <v>997</v>
      </c>
    </row>
    <row r="40" spans="2:49" ht="15" thickBot="1">
      <c r="B40" s="187"/>
      <c r="C40" s="195" t="s">
        <v>1001</v>
      </c>
      <c r="D40" s="196" t="s">
        <v>1012</v>
      </c>
      <c r="E40" s="187"/>
      <c r="F40"/>
      <c r="AW40" s="184" t="s">
        <v>997</v>
      </c>
    </row>
    <row r="41" spans="2:49" ht="15" thickBot="1">
      <c r="B41" s="187"/>
      <c r="C41" s="195" t="s">
        <v>1002</v>
      </c>
      <c r="D41" s="196" t="s">
        <v>1012</v>
      </c>
      <c r="E41" s="187"/>
      <c r="F41"/>
      <c r="AW41" s="184" t="s">
        <v>997</v>
      </c>
    </row>
    <row r="42" spans="2:49" ht="15" thickBot="1">
      <c r="B42" s="187"/>
      <c r="C42" s="195" t="s">
        <v>1003</v>
      </c>
      <c r="D42" s="196" t="s">
        <v>1012</v>
      </c>
      <c r="E42" s="187"/>
      <c r="F42"/>
      <c r="AW42" s="184" t="s">
        <v>997</v>
      </c>
    </row>
    <row r="43" spans="2:49" ht="15" thickBot="1">
      <c r="B43" s="187"/>
      <c r="C43" s="195" t="s">
        <v>1004</v>
      </c>
      <c r="D43" s="196" t="s">
        <v>1012</v>
      </c>
      <c r="E43" s="187"/>
      <c r="F43"/>
      <c r="AW43" s="184" t="s">
        <v>997</v>
      </c>
    </row>
    <row r="44" spans="2:49" ht="15" thickBot="1">
      <c r="B44" s="187"/>
      <c r="C44" s="195" t="s">
        <v>1005</v>
      </c>
      <c r="D44" s="196" t="s">
        <v>1012</v>
      </c>
      <c r="E44" s="187"/>
      <c r="F44"/>
      <c r="AW44" s="184" t="s">
        <v>997</v>
      </c>
    </row>
    <row r="45" spans="2:49" ht="15" thickBot="1">
      <c r="B45" s="187"/>
      <c r="C45" s="195" t="s">
        <v>1007</v>
      </c>
      <c r="D45" s="196" t="s">
        <v>1012</v>
      </c>
      <c r="E45" s="187"/>
      <c r="F45"/>
      <c r="AW45" s="184" t="s">
        <v>997</v>
      </c>
    </row>
    <row r="46" spans="2:49" ht="15" thickBot="1">
      <c r="B46" s="187"/>
      <c r="C46" s="195" t="s">
        <v>1008</v>
      </c>
      <c r="D46" s="196" t="s">
        <v>1012</v>
      </c>
      <c r="E46" s="187"/>
      <c r="F46"/>
      <c r="AW46" s="184" t="s">
        <v>997</v>
      </c>
    </row>
    <row r="47" spans="2:49" ht="15" thickBot="1">
      <c r="B47" s="187"/>
      <c r="C47" s="195" t="s">
        <v>1009</v>
      </c>
      <c r="D47" s="196" t="s">
        <v>1012</v>
      </c>
      <c r="E47" s="187"/>
      <c r="F47"/>
      <c r="AW47" s="184" t="s">
        <v>997</v>
      </c>
    </row>
    <row r="48" spans="2:49" ht="15" thickBot="1">
      <c r="B48" s="187"/>
      <c r="C48" s="195" t="s">
        <v>1010</v>
      </c>
      <c r="D48" s="196" t="s">
        <v>1012</v>
      </c>
      <c r="E48" s="187"/>
      <c r="F48"/>
      <c r="AW48" s="184" t="s">
        <v>997</v>
      </c>
    </row>
    <row r="49" spans="2:49" ht="15" thickBot="1">
      <c r="B49" s="187"/>
      <c r="C49" s="195" t="s">
        <v>1011</v>
      </c>
      <c r="D49" s="196" t="s">
        <v>1012</v>
      </c>
      <c r="E49" s="187"/>
      <c r="F49"/>
      <c r="AW49" s="184" t="s">
        <v>997</v>
      </c>
    </row>
    <row r="50" spans="2:49" ht="15" thickBot="1">
      <c r="B50" s="187"/>
      <c r="C50" s="195" t="s">
        <v>1013</v>
      </c>
      <c r="D50" s="196" t="s">
        <v>1012</v>
      </c>
      <c r="E50" s="187"/>
      <c r="F50"/>
      <c r="AW50" s="184" t="s">
        <v>997</v>
      </c>
    </row>
    <row r="51" spans="2:49" ht="15" thickBot="1">
      <c r="B51" s="187"/>
      <c r="C51" s="195" t="s">
        <v>1015</v>
      </c>
      <c r="D51" s="196" t="s">
        <v>1012</v>
      </c>
      <c r="E51" s="187"/>
      <c r="F51"/>
      <c r="AW51" s="184" t="s">
        <v>997</v>
      </c>
    </row>
    <row r="52" spans="2:49" ht="15" thickBot="1">
      <c r="B52" s="187"/>
      <c r="C52" s="195" t="s">
        <v>1016</v>
      </c>
      <c r="D52" s="196" t="s">
        <v>1012</v>
      </c>
      <c r="E52" s="187"/>
      <c r="F52"/>
      <c r="AW52" s="184" t="s">
        <v>997</v>
      </c>
    </row>
    <row r="53" spans="2:49" ht="15" thickBot="1">
      <c r="B53" s="187"/>
      <c r="C53" s="195" t="s">
        <v>1017</v>
      </c>
      <c r="D53" s="196" t="s">
        <v>1012</v>
      </c>
      <c r="E53" s="187"/>
      <c r="F53"/>
      <c r="AW53" s="184" t="s">
        <v>997</v>
      </c>
    </row>
    <row r="54" spans="2:49" ht="15" thickBot="1">
      <c r="B54" s="187"/>
      <c r="C54" s="195" t="s">
        <v>1018</v>
      </c>
      <c r="D54" s="196" t="s">
        <v>1012</v>
      </c>
      <c r="E54" s="187"/>
      <c r="F54"/>
      <c r="AW54" s="184" t="s">
        <v>997</v>
      </c>
    </row>
    <row r="55" spans="2:49" ht="15" thickBot="1">
      <c r="B55" s="187"/>
      <c r="C55" s="195" t="s">
        <v>1020</v>
      </c>
      <c r="D55" s="196" t="s">
        <v>1012</v>
      </c>
      <c r="E55" s="187"/>
      <c r="F55"/>
      <c r="AW55" s="184" t="s">
        <v>997</v>
      </c>
    </row>
    <row r="56" spans="2:49" ht="15" thickBot="1">
      <c r="B56" s="187"/>
      <c r="C56" s="195" t="s">
        <v>1022</v>
      </c>
      <c r="D56" s="196" t="s">
        <v>1012</v>
      </c>
      <c r="E56" s="187"/>
      <c r="F56"/>
      <c r="AW56" s="184" t="s">
        <v>997</v>
      </c>
    </row>
    <row r="57" spans="2:49">
      <c r="AW57" s="184" t="s">
        <v>997</v>
      </c>
    </row>
    <row r="58" spans="2:49">
      <c r="AW58" s="184" t="s">
        <v>997</v>
      </c>
    </row>
    <row r="59" spans="2:49">
      <c r="AW59" s="184" t="s">
        <v>997</v>
      </c>
    </row>
    <row r="60" spans="2:49">
      <c r="AW60" s="184" t="s">
        <v>997</v>
      </c>
    </row>
    <row r="61" spans="2:49">
      <c r="AW61" s="184" t="s">
        <v>997</v>
      </c>
    </row>
    <row r="62" spans="2:49">
      <c r="AW62" s="184" t="s">
        <v>997</v>
      </c>
    </row>
    <row r="63" spans="2:49">
      <c r="AW63" s="184" t="s">
        <v>997</v>
      </c>
    </row>
    <row r="64" spans="2:49">
      <c r="AW64" s="184" t="s">
        <v>997</v>
      </c>
    </row>
    <row r="65" spans="2:49">
      <c r="B65" s="199"/>
      <c r="C65" s="199"/>
      <c r="D65" s="199"/>
      <c r="AW65" s="184" t="s">
        <v>997</v>
      </c>
    </row>
    <row r="66" spans="2:49">
      <c r="B66" s="199"/>
      <c r="C66" s="199"/>
      <c r="D66" s="199"/>
      <c r="AW66" s="184" t="s">
        <v>997</v>
      </c>
    </row>
    <row r="67" spans="2:49">
      <c r="AW67" s="184" t="s">
        <v>997</v>
      </c>
    </row>
    <row r="68" spans="2:49">
      <c r="AW68" s="184" t="s">
        <v>997</v>
      </c>
    </row>
    <row r="69" spans="2:49">
      <c r="AW69" s="184" t="s">
        <v>997</v>
      </c>
    </row>
    <row r="70" spans="2:49">
      <c r="AW70" s="184" t="s">
        <v>997</v>
      </c>
    </row>
    <row r="71" spans="2:49">
      <c r="AW71" s="184" t="s">
        <v>997</v>
      </c>
    </row>
    <row r="72" spans="2:49">
      <c r="AW72" s="184" t="s">
        <v>997</v>
      </c>
    </row>
    <row r="73" spans="2:49">
      <c r="AW73" s="184" t="s">
        <v>997</v>
      </c>
    </row>
    <row r="74" spans="2:49">
      <c r="AW74" s="184" t="s">
        <v>997</v>
      </c>
    </row>
    <row r="75" spans="2:49">
      <c r="AW75" s="184" t="s">
        <v>997</v>
      </c>
    </row>
    <row r="76" spans="2:49">
      <c r="AW76" s="184" t="s">
        <v>997</v>
      </c>
    </row>
    <row r="77" spans="2:49">
      <c r="AW77" s="184" t="s">
        <v>997</v>
      </c>
    </row>
    <row r="78" spans="2:49">
      <c r="AW78" s="184" t="s">
        <v>997</v>
      </c>
    </row>
    <row r="79" spans="2:49">
      <c r="AW79" s="184" t="s">
        <v>997</v>
      </c>
    </row>
    <row r="80" spans="2:49" ht="14.5">
      <c r="B80" s="191" t="s">
        <v>993</v>
      </c>
      <c r="C80" s="191" t="s">
        <v>1027</v>
      </c>
      <c r="D80" s="187"/>
      <c r="E80"/>
      <c r="F80"/>
      <c r="AW80" s="184" t="s">
        <v>997</v>
      </c>
    </row>
    <row r="81" spans="2:49" ht="14.5">
      <c r="B81" s="200" t="s">
        <v>1028</v>
      </c>
      <c r="C81" s="200"/>
      <c r="D81" s="187"/>
      <c r="E81"/>
      <c r="F81"/>
      <c r="AW81" s="184" t="s">
        <v>997</v>
      </c>
    </row>
    <row r="82" spans="2:49" ht="15" thickBot="1">
      <c r="B82" s="200"/>
      <c r="C82" s="200"/>
      <c r="D82" s="187"/>
      <c r="E82"/>
      <c r="F82"/>
      <c r="AW82" s="184" t="s">
        <v>997</v>
      </c>
    </row>
    <row r="83" spans="2:49" ht="15" thickBot="1">
      <c r="B83" s="187"/>
      <c r="C83" s="192" t="s">
        <v>995</v>
      </c>
      <c r="D83" s="193" t="s">
        <v>996</v>
      </c>
      <c r="E83"/>
      <c r="F83"/>
      <c r="AW83" s="184" t="s">
        <v>997</v>
      </c>
    </row>
    <row r="84" spans="2:49" ht="13.5" thickBot="1">
      <c r="C84" s="195" t="s">
        <v>1029</v>
      </c>
      <c r="D84" s="196" t="s">
        <v>1030</v>
      </c>
      <c r="AW84" s="184" t="s">
        <v>997</v>
      </c>
    </row>
    <row r="85" spans="2:49" ht="13.5" thickBot="1">
      <c r="C85" s="195" t="s">
        <v>1031</v>
      </c>
      <c r="D85" s="196" t="s">
        <v>1032</v>
      </c>
      <c r="AW85" s="184" t="s">
        <v>997</v>
      </c>
    </row>
    <row r="86" spans="2:49" ht="13.5" thickBot="1">
      <c r="C86" s="195" t="s">
        <v>1033</v>
      </c>
      <c r="D86" s="196" t="s">
        <v>1034</v>
      </c>
      <c r="AW86" s="184" t="s">
        <v>997</v>
      </c>
    </row>
    <row r="87" spans="2:49" ht="13.5" customHeight="1">
      <c r="AW87" s="184" t="s">
        <v>997</v>
      </c>
    </row>
    <row r="88" spans="2:49">
      <c r="AW88" s="184" t="s">
        <v>997</v>
      </c>
    </row>
    <row r="89" spans="2:49">
      <c r="AW89" s="184" t="s">
        <v>997</v>
      </c>
    </row>
    <row r="90" spans="2:49" ht="16">
      <c r="B90" s="201" t="s">
        <v>1035</v>
      </c>
      <c r="C90" s="199"/>
      <c r="D90" s="199"/>
      <c r="AW90" s="184" t="s">
        <v>997</v>
      </c>
    </row>
    <row r="91" spans="2:49" ht="14.5">
      <c r="B91" s="202"/>
      <c r="AW91" s="184" t="s">
        <v>997</v>
      </c>
    </row>
    <row r="92" spans="2:49">
      <c r="AW92" s="184" t="s">
        <v>997</v>
      </c>
    </row>
    <row r="93" spans="2:49">
      <c r="AW93" s="184" t="s">
        <v>997</v>
      </c>
    </row>
    <row r="94" spans="2:49">
      <c r="AW94" s="184" t="s">
        <v>997</v>
      </c>
    </row>
    <row r="95" spans="2:49">
      <c r="AW95" s="184" t="s">
        <v>997</v>
      </c>
    </row>
    <row r="96" spans="2:49">
      <c r="AW96" s="184" t="s">
        <v>997</v>
      </c>
    </row>
    <row r="97" spans="49:49">
      <c r="AW97" s="184" t="s">
        <v>997</v>
      </c>
    </row>
    <row r="98" spans="49:49">
      <c r="AW98" s="184" t="s">
        <v>997</v>
      </c>
    </row>
    <row r="99" spans="49:49">
      <c r="AW99" s="184" t="s">
        <v>997</v>
      </c>
    </row>
    <row r="100" spans="49:49">
      <c r="AW100" s="184" t="s">
        <v>997</v>
      </c>
    </row>
    <row r="101" spans="49:49">
      <c r="AW101" s="184" t="s">
        <v>997</v>
      </c>
    </row>
    <row r="102" spans="49:49">
      <c r="AW102" s="184" t="s">
        <v>997</v>
      </c>
    </row>
    <row r="103" spans="49:49">
      <c r="AW103" s="184" t="s">
        <v>997</v>
      </c>
    </row>
    <row r="104" spans="49:49">
      <c r="AW104" s="184" t="s">
        <v>997</v>
      </c>
    </row>
    <row r="105" spans="49:49">
      <c r="AW105" s="184" t="s">
        <v>997</v>
      </c>
    </row>
    <row r="106" spans="49:49">
      <c r="AW106" s="184" t="s">
        <v>997</v>
      </c>
    </row>
    <row r="107" spans="49:49">
      <c r="AW107" s="184" t="s">
        <v>997</v>
      </c>
    </row>
    <row r="108" spans="49:49">
      <c r="AW108" s="184" t="s">
        <v>997</v>
      </c>
    </row>
    <row r="109" spans="49:49">
      <c r="AW109" s="184" t="s">
        <v>997</v>
      </c>
    </row>
    <row r="110" spans="49:49">
      <c r="AW110" s="184" t="s">
        <v>997</v>
      </c>
    </row>
    <row r="111" spans="49:49">
      <c r="AW111" s="184" t="s">
        <v>997</v>
      </c>
    </row>
    <row r="112" spans="49:49">
      <c r="AW112" s="184" t="s">
        <v>997</v>
      </c>
    </row>
    <row r="113" spans="49:49">
      <c r="AW113" s="184" t="s">
        <v>997</v>
      </c>
    </row>
    <row r="114" spans="49:49">
      <c r="AW114" s="184" t="s">
        <v>997</v>
      </c>
    </row>
    <row r="115" spans="49:49">
      <c r="AW115" s="184" t="s">
        <v>997</v>
      </c>
    </row>
    <row r="116" spans="49:49">
      <c r="AW116" s="184" t="s">
        <v>997</v>
      </c>
    </row>
    <row r="117" spans="49:49">
      <c r="AW117" s="184" t="s">
        <v>997</v>
      </c>
    </row>
    <row r="118" spans="49:49">
      <c r="AW118" s="184" t="s">
        <v>997</v>
      </c>
    </row>
    <row r="119" spans="49:49">
      <c r="AW119" s="184" t="s">
        <v>997</v>
      </c>
    </row>
    <row r="120" spans="49:49">
      <c r="AW120" s="184" t="s">
        <v>997</v>
      </c>
    </row>
    <row r="121" spans="49:49">
      <c r="AW121" s="184" t="s">
        <v>997</v>
      </c>
    </row>
    <row r="122" spans="49:49">
      <c r="AW122" s="184" t="s">
        <v>997</v>
      </c>
    </row>
    <row r="123" spans="49:49">
      <c r="AW123" s="184" t="s">
        <v>997</v>
      </c>
    </row>
    <row r="124" spans="49:49">
      <c r="AW124" s="184" t="s">
        <v>997</v>
      </c>
    </row>
    <row r="125" spans="49:49">
      <c r="AW125" s="184" t="s">
        <v>997</v>
      </c>
    </row>
    <row r="126" spans="49:49">
      <c r="AW126" s="184" t="s">
        <v>997</v>
      </c>
    </row>
    <row r="127" spans="49:49">
      <c r="AW127" s="184" t="s">
        <v>997</v>
      </c>
    </row>
    <row r="128" spans="49:49">
      <c r="AW128" s="184" t="s">
        <v>997</v>
      </c>
    </row>
    <row r="129" spans="49:49">
      <c r="AW129" s="184" t="s">
        <v>997</v>
      </c>
    </row>
    <row r="130" spans="49:49">
      <c r="AW130" s="184" t="s">
        <v>997</v>
      </c>
    </row>
    <row r="131" spans="49:49">
      <c r="AW131" s="184" t="s">
        <v>997</v>
      </c>
    </row>
    <row r="132" spans="49:49">
      <c r="AW132" s="184" t="s">
        <v>997</v>
      </c>
    </row>
    <row r="133" spans="49:49">
      <c r="AW133" s="184" t="s">
        <v>997</v>
      </c>
    </row>
    <row r="134" spans="49:49">
      <c r="AW134" s="184" t="s">
        <v>997</v>
      </c>
    </row>
    <row r="135" spans="49:49">
      <c r="AW135" s="184" t="s">
        <v>997</v>
      </c>
    </row>
    <row r="136" spans="49:49">
      <c r="AW136" s="184" t="s">
        <v>997</v>
      </c>
    </row>
    <row r="137" spans="49:49">
      <c r="AW137" s="184" t="s">
        <v>997</v>
      </c>
    </row>
    <row r="138" spans="49:49">
      <c r="AW138" s="184" t="s">
        <v>997</v>
      </c>
    </row>
    <row r="139" spans="49:49">
      <c r="AW139" s="184" t="s">
        <v>997</v>
      </c>
    </row>
    <row r="140" spans="49:49">
      <c r="AW140" s="184" t="s">
        <v>997</v>
      </c>
    </row>
    <row r="141" spans="49:49">
      <c r="AW141" s="184" t="s">
        <v>997</v>
      </c>
    </row>
    <row r="142" spans="49:49">
      <c r="AW142" s="184" t="s">
        <v>997</v>
      </c>
    </row>
    <row r="143" spans="49:49">
      <c r="AW143" s="184" t="s">
        <v>997</v>
      </c>
    </row>
    <row r="144" spans="49:49">
      <c r="AW144" s="184" t="s">
        <v>997</v>
      </c>
    </row>
    <row r="145" spans="49:49">
      <c r="AW145" s="184" t="s">
        <v>997</v>
      </c>
    </row>
    <row r="146" spans="49:49">
      <c r="AW146" s="184" t="s">
        <v>997</v>
      </c>
    </row>
    <row r="147" spans="49:49">
      <c r="AW147" s="184" t="s">
        <v>997</v>
      </c>
    </row>
    <row r="148" spans="49:49">
      <c r="AW148" s="184" t="s">
        <v>997</v>
      </c>
    </row>
    <row r="149" spans="49:49">
      <c r="AW149" s="184" t="s">
        <v>997</v>
      </c>
    </row>
    <row r="150" spans="49:49">
      <c r="AW150" s="184" t="s">
        <v>997</v>
      </c>
    </row>
    <row r="151" spans="49:49">
      <c r="AW151" s="184" t="s">
        <v>997</v>
      </c>
    </row>
    <row r="152" spans="49:49">
      <c r="AW152" s="184" t="s">
        <v>997</v>
      </c>
    </row>
    <row r="153" spans="49:49">
      <c r="AW153" s="184" t="s">
        <v>997</v>
      </c>
    </row>
    <row r="154" spans="49:49">
      <c r="AW154" s="184" t="s">
        <v>997</v>
      </c>
    </row>
    <row r="155" spans="49:49">
      <c r="AW155" s="184" t="s">
        <v>997</v>
      </c>
    </row>
    <row r="156" spans="49:49">
      <c r="AW156" s="184" t="s">
        <v>997</v>
      </c>
    </row>
    <row r="157" spans="49:49">
      <c r="AW157" s="184" t="s">
        <v>997</v>
      </c>
    </row>
    <row r="158" spans="49:49">
      <c r="AW158" s="184" t="s">
        <v>997</v>
      </c>
    </row>
    <row r="159" spans="49:49">
      <c r="AW159" s="184" t="s">
        <v>997</v>
      </c>
    </row>
    <row r="160" spans="49:49">
      <c r="AW160" s="184" t="s">
        <v>997</v>
      </c>
    </row>
    <row r="161" spans="49:49">
      <c r="AW161" s="184" t="s">
        <v>997</v>
      </c>
    </row>
    <row r="162" spans="49:49">
      <c r="AW162" s="184" t="s">
        <v>997</v>
      </c>
    </row>
    <row r="163" spans="49:49">
      <c r="AW163" s="184" t="s">
        <v>997</v>
      </c>
    </row>
    <row r="164" spans="49:49">
      <c r="AW164" s="184" t="s">
        <v>997</v>
      </c>
    </row>
    <row r="165" spans="49:49">
      <c r="AW165" s="184" t="s">
        <v>997</v>
      </c>
    </row>
    <row r="166" spans="49:49">
      <c r="AW166" s="184" t="s">
        <v>997</v>
      </c>
    </row>
    <row r="167" spans="49:49">
      <c r="AW167" s="184" t="s">
        <v>997</v>
      </c>
    </row>
    <row r="168" spans="49:49">
      <c r="AW168" s="184" t="s">
        <v>997</v>
      </c>
    </row>
    <row r="169" spans="49:49">
      <c r="AW169" s="184" t="s">
        <v>997</v>
      </c>
    </row>
    <row r="170" spans="49:49">
      <c r="AW170" s="184" t="s">
        <v>997</v>
      </c>
    </row>
    <row r="171" spans="49:49">
      <c r="AW171" s="184" t="s">
        <v>997</v>
      </c>
    </row>
    <row r="172" spans="49:49">
      <c r="AW172" s="184" t="s">
        <v>997</v>
      </c>
    </row>
    <row r="173" spans="49:49">
      <c r="AW173" s="184" t="s">
        <v>997</v>
      </c>
    </row>
    <row r="174" spans="49:49">
      <c r="AW174" s="184" t="s">
        <v>997</v>
      </c>
    </row>
    <row r="175" spans="49:49">
      <c r="AW175" s="184" t="s">
        <v>997</v>
      </c>
    </row>
    <row r="176" spans="49:49">
      <c r="AW176" s="184" t="s">
        <v>997</v>
      </c>
    </row>
    <row r="177" spans="49:49">
      <c r="AW177" s="184" t="s">
        <v>997</v>
      </c>
    </row>
    <row r="178" spans="49:49">
      <c r="AW178" s="184" t="s">
        <v>997</v>
      </c>
    </row>
    <row r="179" spans="49:49">
      <c r="AW179" s="184" t="s">
        <v>997</v>
      </c>
    </row>
    <row r="180" spans="49:49">
      <c r="AW180" s="184" t="s">
        <v>997</v>
      </c>
    </row>
    <row r="181" spans="49:49">
      <c r="AW181" s="184" t="s">
        <v>997</v>
      </c>
    </row>
    <row r="182" spans="49:49">
      <c r="AW182" s="184" t="s">
        <v>997</v>
      </c>
    </row>
    <row r="183" spans="49:49">
      <c r="AW183" s="184" t="s">
        <v>997</v>
      </c>
    </row>
    <row r="184" spans="49:49">
      <c r="AW184" s="184" t="s">
        <v>997</v>
      </c>
    </row>
    <row r="185" spans="49:49">
      <c r="AW185" s="184" t="s">
        <v>997</v>
      </c>
    </row>
    <row r="186" spans="49:49">
      <c r="AW186" s="184" t="s">
        <v>997</v>
      </c>
    </row>
    <row r="187" spans="49:49">
      <c r="AW187" s="184" t="s">
        <v>997</v>
      </c>
    </row>
    <row r="188" spans="49:49">
      <c r="AW188" s="184" t="s">
        <v>997</v>
      </c>
    </row>
    <row r="189" spans="49:49">
      <c r="AW189" s="184" t="s">
        <v>997</v>
      </c>
    </row>
    <row r="190" spans="49:49">
      <c r="AW190" s="184" t="s">
        <v>997</v>
      </c>
    </row>
    <row r="191" spans="49:49">
      <c r="AW191" s="184" t="s">
        <v>997</v>
      </c>
    </row>
    <row r="192" spans="49:49">
      <c r="AW192" s="184" t="s">
        <v>997</v>
      </c>
    </row>
    <row r="193" spans="49:49">
      <c r="AW193" s="184" t="s">
        <v>997</v>
      </c>
    </row>
    <row r="194" spans="49:49">
      <c r="AW194" s="184" t="s">
        <v>997</v>
      </c>
    </row>
    <row r="195" spans="49:49">
      <c r="AW195" s="184" t="s">
        <v>997</v>
      </c>
    </row>
    <row r="196" spans="49:49">
      <c r="AW196" s="184" t="s">
        <v>997</v>
      </c>
    </row>
    <row r="197" spans="49:49">
      <c r="AW197" s="184" t="s">
        <v>997</v>
      </c>
    </row>
    <row r="198" spans="49:49">
      <c r="AW198" s="184" t="s">
        <v>997</v>
      </c>
    </row>
    <row r="199" spans="49:49">
      <c r="AW199" s="184" t="s">
        <v>997</v>
      </c>
    </row>
    <row r="200" spans="49:49">
      <c r="AW200" s="184" t="s">
        <v>997</v>
      </c>
    </row>
    <row r="201" spans="49:49">
      <c r="AW201" s="184" t="s">
        <v>997</v>
      </c>
    </row>
    <row r="202" spans="49:49">
      <c r="AW202" s="184" t="s">
        <v>997</v>
      </c>
    </row>
    <row r="203" spans="49:49">
      <c r="AW203" s="184" t="s">
        <v>997</v>
      </c>
    </row>
    <row r="204" spans="49:49">
      <c r="AW204" s="184" t="s">
        <v>997</v>
      </c>
    </row>
    <row r="205" spans="49:49">
      <c r="AW205" s="184" t="s">
        <v>997</v>
      </c>
    </row>
    <row r="206" spans="49:49">
      <c r="AW206" s="184" t="s">
        <v>997</v>
      </c>
    </row>
    <row r="207" spans="49:49">
      <c r="AW207" s="184" t="s">
        <v>997</v>
      </c>
    </row>
    <row r="208" spans="49:49">
      <c r="AW208" s="184" t="s">
        <v>997</v>
      </c>
    </row>
    <row r="209" spans="49:49">
      <c r="AW209" s="184" t="s">
        <v>997</v>
      </c>
    </row>
    <row r="210" spans="49:49">
      <c r="AW210" s="184" t="s">
        <v>997</v>
      </c>
    </row>
    <row r="211" spans="49:49">
      <c r="AW211" s="184" t="s">
        <v>997</v>
      </c>
    </row>
    <row r="212" spans="49:49">
      <c r="AW212" s="184" t="s">
        <v>997</v>
      </c>
    </row>
    <row r="213" spans="49:49">
      <c r="AW213" s="184" t="s">
        <v>997</v>
      </c>
    </row>
    <row r="214" spans="49:49">
      <c r="AW214" s="184" t="s">
        <v>997</v>
      </c>
    </row>
    <row r="215" spans="49:49">
      <c r="AW215" s="184" t="s">
        <v>997</v>
      </c>
    </row>
    <row r="216" spans="49:49">
      <c r="AW216" s="184" t="s">
        <v>997</v>
      </c>
    </row>
    <row r="217" spans="49:49">
      <c r="AW217" s="184" t="s">
        <v>997</v>
      </c>
    </row>
    <row r="218" spans="49:49">
      <c r="AW218" s="184" t="s">
        <v>997</v>
      </c>
    </row>
    <row r="219" spans="49:49">
      <c r="AW219" s="184" t="s">
        <v>997</v>
      </c>
    </row>
    <row r="220" spans="49:49">
      <c r="AW220" s="184" t="s">
        <v>997</v>
      </c>
    </row>
    <row r="221" spans="49:49">
      <c r="AW221" s="184" t="s">
        <v>997</v>
      </c>
    </row>
    <row r="222" spans="49:49">
      <c r="AW222" s="184" t="s">
        <v>997</v>
      </c>
    </row>
    <row r="223" spans="49:49">
      <c r="AW223" s="184" t="s">
        <v>997</v>
      </c>
    </row>
    <row r="224" spans="49:49">
      <c r="AW224" s="184" t="s">
        <v>997</v>
      </c>
    </row>
    <row r="225" spans="49:49">
      <c r="AW225" s="184" t="s">
        <v>997</v>
      </c>
    </row>
    <row r="226" spans="49:49">
      <c r="AW226" s="184" t="s">
        <v>997</v>
      </c>
    </row>
    <row r="227" spans="49:49">
      <c r="AW227" s="184" t="s">
        <v>997</v>
      </c>
    </row>
    <row r="228" spans="49:49">
      <c r="AW228" s="184" t="s">
        <v>997</v>
      </c>
    </row>
    <row r="229" spans="49:49">
      <c r="AW229" s="184" t="s">
        <v>997</v>
      </c>
    </row>
    <row r="230" spans="49:49">
      <c r="AW230" s="184" t="s">
        <v>997</v>
      </c>
    </row>
    <row r="231" spans="49:49">
      <c r="AW231" s="184" t="s">
        <v>997</v>
      </c>
    </row>
    <row r="232" spans="49:49">
      <c r="AW232" s="184" t="s">
        <v>997</v>
      </c>
    </row>
    <row r="233" spans="49:49">
      <c r="AW233" s="184" t="s">
        <v>997</v>
      </c>
    </row>
    <row r="234" spans="49:49">
      <c r="AW234" s="184" t="s">
        <v>997</v>
      </c>
    </row>
    <row r="235" spans="49:49">
      <c r="AW235" s="184" t="s">
        <v>997</v>
      </c>
    </row>
    <row r="236" spans="49:49">
      <c r="AW236" s="184" t="s">
        <v>997</v>
      </c>
    </row>
    <row r="237" spans="49:49">
      <c r="AW237" s="184" t="s">
        <v>997</v>
      </c>
    </row>
    <row r="238" spans="49:49">
      <c r="AW238" s="184" t="s">
        <v>997</v>
      </c>
    </row>
    <row r="239" spans="49:49">
      <c r="AW239" s="184" t="s">
        <v>997</v>
      </c>
    </row>
    <row r="240" spans="49:49">
      <c r="AW240" s="184" t="s">
        <v>997</v>
      </c>
    </row>
    <row r="241" spans="49:49">
      <c r="AW241" s="184" t="s">
        <v>997</v>
      </c>
    </row>
    <row r="242" spans="49:49">
      <c r="AW242" s="184" t="s">
        <v>997</v>
      </c>
    </row>
    <row r="243" spans="49:49">
      <c r="AW243" s="184" t="s">
        <v>997</v>
      </c>
    </row>
    <row r="244" spans="49:49">
      <c r="AW244" s="184" t="s">
        <v>997</v>
      </c>
    </row>
    <row r="245" spans="49:49">
      <c r="AW245" s="184" t="s">
        <v>997</v>
      </c>
    </row>
    <row r="246" spans="49:49">
      <c r="AW246" s="184" t="s">
        <v>997</v>
      </c>
    </row>
    <row r="247" spans="49:49">
      <c r="AW247" s="184" t="s">
        <v>997</v>
      </c>
    </row>
    <row r="248" spans="49:49">
      <c r="AW248" s="184" t="s">
        <v>997</v>
      </c>
    </row>
    <row r="249" spans="49:49">
      <c r="AW249" s="184" t="s">
        <v>997</v>
      </c>
    </row>
    <row r="250" spans="49:49">
      <c r="AW250" s="184" t="s">
        <v>997</v>
      </c>
    </row>
    <row r="251" spans="49:49">
      <c r="AW251" s="184" t="s">
        <v>997</v>
      </c>
    </row>
    <row r="252" spans="49:49">
      <c r="AW252" s="184" t="s">
        <v>997</v>
      </c>
    </row>
    <row r="253" spans="49:49">
      <c r="AW253" s="184" t="s">
        <v>997</v>
      </c>
    </row>
    <row r="254" spans="49:49">
      <c r="AW254" s="184" t="s">
        <v>997</v>
      </c>
    </row>
    <row r="255" spans="49:49">
      <c r="AW255" s="184" t="s">
        <v>997</v>
      </c>
    </row>
    <row r="256" spans="49:49">
      <c r="AW256" s="184" t="s">
        <v>997</v>
      </c>
    </row>
    <row r="257" spans="49:49">
      <c r="AW257" s="184" t="s">
        <v>997</v>
      </c>
    </row>
    <row r="258" spans="49:49">
      <c r="AW258" s="184" t="s">
        <v>997</v>
      </c>
    </row>
    <row r="259" spans="49:49">
      <c r="AW259" s="184" t="s">
        <v>997</v>
      </c>
    </row>
    <row r="260" spans="49:49">
      <c r="AW260" s="184" t="s">
        <v>997</v>
      </c>
    </row>
    <row r="261" spans="49:49">
      <c r="AW261" s="184" t="s">
        <v>997</v>
      </c>
    </row>
    <row r="262" spans="49:49">
      <c r="AW262" s="184" t="s">
        <v>997</v>
      </c>
    </row>
    <row r="263" spans="49:49">
      <c r="AW263" s="184" t="s">
        <v>997</v>
      </c>
    </row>
    <row r="264" spans="49:49">
      <c r="AW264" s="184" t="s">
        <v>997</v>
      </c>
    </row>
    <row r="265" spans="49:49">
      <c r="AW265" s="184" t="s">
        <v>997</v>
      </c>
    </row>
    <row r="266" spans="49:49">
      <c r="AW266" s="184" t="s">
        <v>997</v>
      </c>
    </row>
    <row r="267" spans="49:49">
      <c r="AW267" s="184" t="s">
        <v>997</v>
      </c>
    </row>
    <row r="268" spans="49:49">
      <c r="AW268" s="184" t="s">
        <v>997</v>
      </c>
    </row>
    <row r="269" spans="49:49">
      <c r="AW269" s="184" t="s">
        <v>997</v>
      </c>
    </row>
    <row r="270" spans="49:49">
      <c r="AW270" s="184" t="s">
        <v>997</v>
      </c>
    </row>
    <row r="271" spans="49:49">
      <c r="AW271" s="184" t="s">
        <v>997</v>
      </c>
    </row>
    <row r="272" spans="49:49">
      <c r="AW272" s="184" t="s">
        <v>997</v>
      </c>
    </row>
    <row r="273" spans="49:49">
      <c r="AW273" s="184" t="s">
        <v>997</v>
      </c>
    </row>
    <row r="274" spans="49:49">
      <c r="AW274" s="184" t="s">
        <v>997</v>
      </c>
    </row>
    <row r="275" spans="49:49">
      <c r="AW275" s="184" t="s">
        <v>997</v>
      </c>
    </row>
    <row r="276" spans="49:49">
      <c r="AW276" s="184" t="s">
        <v>997</v>
      </c>
    </row>
    <row r="277" spans="49:49">
      <c r="AW277" s="184" t="s">
        <v>997</v>
      </c>
    </row>
    <row r="278" spans="49:49">
      <c r="AW278" s="184" t="s">
        <v>997</v>
      </c>
    </row>
    <row r="279" spans="49:49">
      <c r="AW279" s="184" t="s">
        <v>997</v>
      </c>
    </row>
    <row r="280" spans="49:49">
      <c r="AW280" s="184" t="s">
        <v>997</v>
      </c>
    </row>
    <row r="281" spans="49:49">
      <c r="AW281" s="184" t="s">
        <v>997</v>
      </c>
    </row>
    <row r="282" spans="49:49">
      <c r="AW282" s="184" t="s">
        <v>997</v>
      </c>
    </row>
    <row r="283" spans="49:49">
      <c r="AW283" s="184" t="s">
        <v>997</v>
      </c>
    </row>
    <row r="284" spans="49:49">
      <c r="AW284" s="184" t="s">
        <v>997</v>
      </c>
    </row>
    <row r="285" spans="49:49">
      <c r="AW285" s="184" t="s">
        <v>997</v>
      </c>
    </row>
    <row r="286" spans="49:49">
      <c r="AW286" s="184" t="s">
        <v>997</v>
      </c>
    </row>
    <row r="287" spans="49:49">
      <c r="AW287" s="184" t="s">
        <v>997</v>
      </c>
    </row>
    <row r="288" spans="49:49">
      <c r="AW288" s="184" t="s">
        <v>997</v>
      </c>
    </row>
    <row r="289" spans="49:49">
      <c r="AW289" s="184" t="s">
        <v>997</v>
      </c>
    </row>
    <row r="290" spans="49:49">
      <c r="AW290" s="184" t="s">
        <v>997</v>
      </c>
    </row>
    <row r="291" spans="49:49">
      <c r="AW291" s="184" t="s">
        <v>997</v>
      </c>
    </row>
    <row r="292" spans="49:49">
      <c r="AW292" s="184" t="s">
        <v>997</v>
      </c>
    </row>
    <row r="293" spans="49:49">
      <c r="AW293" s="184" t="s">
        <v>997</v>
      </c>
    </row>
    <row r="294" spans="49:49">
      <c r="AW294" s="184" t="s">
        <v>997</v>
      </c>
    </row>
    <row r="295" spans="49:49">
      <c r="AW295" s="184" t="s">
        <v>997</v>
      </c>
    </row>
    <row r="296" spans="49:49">
      <c r="AW296" s="184" t="s">
        <v>997</v>
      </c>
    </row>
    <row r="297" spans="49:49">
      <c r="AW297" s="184" t="s">
        <v>997</v>
      </c>
    </row>
    <row r="298" spans="49:49">
      <c r="AW298" s="184" t="s">
        <v>997</v>
      </c>
    </row>
    <row r="299" spans="49:49">
      <c r="AW299" s="184" t="s">
        <v>997</v>
      </c>
    </row>
    <row r="300" spans="49:49">
      <c r="AW300" s="184" t="s">
        <v>997</v>
      </c>
    </row>
    <row r="301" spans="49:49">
      <c r="AW301" s="184" t="s">
        <v>997</v>
      </c>
    </row>
    <row r="302" spans="49:49">
      <c r="AW302" s="184" t="s">
        <v>997</v>
      </c>
    </row>
    <row r="303" spans="49:49">
      <c r="AW303" s="184" t="s">
        <v>997</v>
      </c>
    </row>
    <row r="304" spans="49:49">
      <c r="AW304" s="184" t="s">
        <v>997</v>
      </c>
    </row>
    <row r="305" spans="49:49">
      <c r="AW305" s="184" t="s">
        <v>997</v>
      </c>
    </row>
    <row r="306" spans="49:49">
      <c r="AW306" s="184" t="s">
        <v>997</v>
      </c>
    </row>
    <row r="307" spans="49:49">
      <c r="AW307" s="184" t="s">
        <v>997</v>
      </c>
    </row>
    <row r="308" spans="49:49">
      <c r="AW308" s="184" t="s">
        <v>997</v>
      </c>
    </row>
    <row r="309" spans="49:49">
      <c r="AW309" s="184" t="s">
        <v>997</v>
      </c>
    </row>
    <row r="310" spans="49:49">
      <c r="AW310" s="184" t="s">
        <v>997</v>
      </c>
    </row>
    <row r="311" spans="49:49">
      <c r="AW311" s="184" t="s">
        <v>997</v>
      </c>
    </row>
    <row r="312" spans="49:49">
      <c r="AW312" s="184" t="s">
        <v>997</v>
      </c>
    </row>
    <row r="313" spans="49:49">
      <c r="AW313" s="184" t="s">
        <v>997</v>
      </c>
    </row>
    <row r="314" spans="49:49">
      <c r="AW314" s="184" t="s">
        <v>997</v>
      </c>
    </row>
    <row r="315" spans="49:49">
      <c r="AW315" s="184" t="s">
        <v>997</v>
      </c>
    </row>
    <row r="316" spans="49:49">
      <c r="AW316" s="184" t="s">
        <v>997</v>
      </c>
    </row>
    <row r="317" spans="49:49">
      <c r="AW317" s="184" t="s">
        <v>997</v>
      </c>
    </row>
    <row r="318" spans="49:49">
      <c r="AW318" s="184" t="s">
        <v>997</v>
      </c>
    </row>
    <row r="319" spans="49:49">
      <c r="AW319" s="184" t="s">
        <v>997</v>
      </c>
    </row>
    <row r="320" spans="49:49">
      <c r="AW320" s="184" t="s">
        <v>997</v>
      </c>
    </row>
    <row r="321" spans="49:49">
      <c r="AW321" s="184" t="s">
        <v>997</v>
      </c>
    </row>
    <row r="322" spans="49:49">
      <c r="AW322" s="184" t="s">
        <v>997</v>
      </c>
    </row>
    <row r="323" spans="49:49">
      <c r="AW323" s="184" t="s">
        <v>997</v>
      </c>
    </row>
    <row r="324" spans="49:49">
      <c r="AW324" s="184" t="s">
        <v>997</v>
      </c>
    </row>
    <row r="325" spans="49:49">
      <c r="AW325" s="184" t="s">
        <v>997</v>
      </c>
    </row>
    <row r="326" spans="49:49">
      <c r="AW326" s="184" t="s">
        <v>997</v>
      </c>
    </row>
    <row r="327" spans="49:49">
      <c r="AW327" s="184" t="s">
        <v>997</v>
      </c>
    </row>
    <row r="328" spans="49:49">
      <c r="AW328" s="184" t="s">
        <v>997</v>
      </c>
    </row>
    <row r="329" spans="49:49">
      <c r="AW329" s="184" t="s">
        <v>997</v>
      </c>
    </row>
    <row r="330" spans="49:49">
      <c r="AW330" s="184" t="s">
        <v>997</v>
      </c>
    </row>
    <row r="331" spans="49:49">
      <c r="AW331" s="184" t="s">
        <v>997</v>
      </c>
    </row>
    <row r="332" spans="49:49">
      <c r="AW332" s="184" t="s">
        <v>997</v>
      </c>
    </row>
    <row r="333" spans="49:49">
      <c r="AW333" s="184" t="s">
        <v>997</v>
      </c>
    </row>
    <row r="334" spans="49:49">
      <c r="AW334" s="184" t="s">
        <v>997</v>
      </c>
    </row>
    <row r="335" spans="49:49">
      <c r="AW335" s="184" t="s">
        <v>997</v>
      </c>
    </row>
    <row r="336" spans="49:49">
      <c r="AW336" s="184" t="s">
        <v>997</v>
      </c>
    </row>
    <row r="337" spans="49:49">
      <c r="AW337" s="184" t="s">
        <v>997</v>
      </c>
    </row>
    <row r="338" spans="49:49">
      <c r="AW338" s="184" t="s">
        <v>997</v>
      </c>
    </row>
    <row r="339" spans="49:49">
      <c r="AW339" s="184" t="s">
        <v>997</v>
      </c>
    </row>
    <row r="340" spans="49:49">
      <c r="AW340" s="184" t="s">
        <v>997</v>
      </c>
    </row>
    <row r="341" spans="49:49">
      <c r="AW341" s="184" t="s">
        <v>997</v>
      </c>
    </row>
    <row r="342" spans="49:49">
      <c r="AW342" s="184" t="s">
        <v>997</v>
      </c>
    </row>
    <row r="343" spans="49:49">
      <c r="AW343" s="184" t="s">
        <v>997</v>
      </c>
    </row>
    <row r="344" spans="49:49">
      <c r="AW344" s="184" t="s">
        <v>997</v>
      </c>
    </row>
    <row r="345" spans="49:49">
      <c r="AW345" s="184" t="s">
        <v>997</v>
      </c>
    </row>
    <row r="346" spans="49:49">
      <c r="AW346" s="184" t="s">
        <v>997</v>
      </c>
    </row>
    <row r="347" spans="49:49">
      <c r="AW347" s="184" t="s">
        <v>997</v>
      </c>
    </row>
    <row r="348" spans="49:49">
      <c r="AW348" s="184" t="s">
        <v>997</v>
      </c>
    </row>
    <row r="349" spans="49:49">
      <c r="AW349" s="184" t="s">
        <v>997</v>
      </c>
    </row>
    <row r="350" spans="49:49">
      <c r="AW350" s="184" t="s">
        <v>997</v>
      </c>
    </row>
    <row r="351" spans="49:49">
      <c r="AW351" s="184" t="s">
        <v>997</v>
      </c>
    </row>
    <row r="352" spans="49:49">
      <c r="AW352" s="184" t="s">
        <v>997</v>
      </c>
    </row>
    <row r="353" spans="49:49">
      <c r="AW353" s="184" t="s">
        <v>997</v>
      </c>
    </row>
    <row r="354" spans="49:49">
      <c r="AW354" s="184" t="s">
        <v>997</v>
      </c>
    </row>
    <row r="355" spans="49:49">
      <c r="AW355" s="184" t="s">
        <v>997</v>
      </c>
    </row>
    <row r="356" spans="49:49">
      <c r="AW356" s="184" t="s">
        <v>997</v>
      </c>
    </row>
    <row r="357" spans="49:49">
      <c r="AW357" s="184" t="s">
        <v>997</v>
      </c>
    </row>
    <row r="358" spans="49:49">
      <c r="AW358" s="184" t="s">
        <v>997</v>
      </c>
    </row>
    <row r="359" spans="49:49">
      <c r="AW359" s="184" t="s">
        <v>997</v>
      </c>
    </row>
    <row r="360" spans="49:49">
      <c r="AW360" s="184" t="s">
        <v>997</v>
      </c>
    </row>
    <row r="361" spans="49:49">
      <c r="AW361" s="184" t="s">
        <v>997</v>
      </c>
    </row>
    <row r="362" spans="49:49">
      <c r="AW362" s="184" t="s">
        <v>997</v>
      </c>
    </row>
    <row r="363" spans="49:49">
      <c r="AW363" s="184" t="s">
        <v>997</v>
      </c>
    </row>
    <row r="364" spans="49:49">
      <c r="AW364" s="184" t="s">
        <v>997</v>
      </c>
    </row>
    <row r="365" spans="49:49">
      <c r="AW365" s="184" t="s">
        <v>997</v>
      </c>
    </row>
    <row r="366" spans="49:49">
      <c r="AW366" s="184" t="s">
        <v>997</v>
      </c>
    </row>
    <row r="367" spans="49:49">
      <c r="AW367" s="184" t="s">
        <v>997</v>
      </c>
    </row>
    <row r="368" spans="49:49">
      <c r="AW368" s="184" t="s">
        <v>997</v>
      </c>
    </row>
    <row r="369" spans="49:49">
      <c r="AW369" s="184" t="s">
        <v>997</v>
      </c>
    </row>
    <row r="370" spans="49:49">
      <c r="AW370" s="184" t="s">
        <v>997</v>
      </c>
    </row>
    <row r="371" spans="49:49">
      <c r="AW371" s="184" t="s">
        <v>997</v>
      </c>
    </row>
    <row r="372" spans="49:49">
      <c r="AW372" s="184" t="s">
        <v>997</v>
      </c>
    </row>
    <row r="373" spans="49:49">
      <c r="AW373" s="184" t="s">
        <v>997</v>
      </c>
    </row>
    <row r="374" spans="49:49">
      <c r="AW374" s="184" t="s">
        <v>997</v>
      </c>
    </row>
    <row r="375" spans="49:49">
      <c r="AW375" s="184" t="s">
        <v>997</v>
      </c>
    </row>
    <row r="376" spans="49:49">
      <c r="AW376" s="184" t="s">
        <v>997</v>
      </c>
    </row>
    <row r="377" spans="49:49">
      <c r="AW377" s="184" t="s">
        <v>997</v>
      </c>
    </row>
    <row r="378" spans="49:49">
      <c r="AW378" s="184" t="s">
        <v>997</v>
      </c>
    </row>
    <row r="379" spans="49:49">
      <c r="AW379" s="184" t="s">
        <v>997</v>
      </c>
    </row>
    <row r="380" spans="49:49">
      <c r="AW380" s="184" t="s">
        <v>997</v>
      </c>
    </row>
    <row r="381" spans="49:49">
      <c r="AW381" s="184" t="s">
        <v>997</v>
      </c>
    </row>
    <row r="382" spans="49:49">
      <c r="AW382" s="184" t="s">
        <v>997</v>
      </c>
    </row>
    <row r="383" spans="49:49">
      <c r="AW383" s="184" t="s">
        <v>997</v>
      </c>
    </row>
    <row r="384" spans="49:49">
      <c r="AW384" s="184" t="s">
        <v>997</v>
      </c>
    </row>
    <row r="385" spans="22:49">
      <c r="AW385" s="184" t="s">
        <v>997</v>
      </c>
    </row>
    <row r="386" spans="22:49">
      <c r="AW386" s="184" t="s">
        <v>997</v>
      </c>
    </row>
    <row r="387" spans="22:49">
      <c r="AW387" s="184" t="s">
        <v>997</v>
      </c>
    </row>
    <row r="388" spans="22:49">
      <c r="AW388" s="184" t="s">
        <v>997</v>
      </c>
    </row>
    <row r="389" spans="22:49">
      <c r="AW389" s="184" t="s">
        <v>997</v>
      </c>
    </row>
    <row r="390" spans="22:49">
      <c r="AW390" s="184" t="s">
        <v>997</v>
      </c>
    </row>
    <row r="391" spans="22:49">
      <c r="AW391" s="184" t="s">
        <v>997</v>
      </c>
    </row>
    <row r="392" spans="22:49">
      <c r="AW392" s="184" t="s">
        <v>997</v>
      </c>
    </row>
    <row r="393" spans="22:49">
      <c r="AW393" s="184" t="s">
        <v>997</v>
      </c>
    </row>
    <row r="394" spans="22:49">
      <c r="AW394" s="184" t="s">
        <v>997</v>
      </c>
    </row>
    <row r="395" spans="22:49">
      <c r="AW395" s="184" t="s">
        <v>997</v>
      </c>
    </row>
    <row r="396" spans="22:49">
      <c r="AW396" s="184" t="s">
        <v>997</v>
      </c>
    </row>
    <row r="397" spans="22:49">
      <c r="AW397" s="184" t="s">
        <v>997</v>
      </c>
    </row>
    <row r="398" spans="22:49">
      <c r="V398" s="184" t="s">
        <v>1036</v>
      </c>
      <c r="AW398" s="184" t="s">
        <v>997</v>
      </c>
    </row>
    <row r="399" spans="22:49">
      <c r="AW399" s="184" t="s">
        <v>997</v>
      </c>
    </row>
    <row r="400" spans="22:49">
      <c r="AW400" s="184" t="s">
        <v>997</v>
      </c>
    </row>
    <row r="401" spans="49:49">
      <c r="AW401" s="184" t="s">
        <v>997</v>
      </c>
    </row>
    <row r="402" spans="49:49">
      <c r="AW402" s="184" t="s">
        <v>997</v>
      </c>
    </row>
    <row r="403" spans="49:49">
      <c r="AW403" s="184" t="s">
        <v>997</v>
      </c>
    </row>
    <row r="404" spans="49:49">
      <c r="AW404" s="184" t="s">
        <v>997</v>
      </c>
    </row>
    <row r="405" spans="49:49">
      <c r="AW405" s="184" t="s">
        <v>997</v>
      </c>
    </row>
    <row r="406" spans="49:49">
      <c r="AW406" s="184" t="s">
        <v>997</v>
      </c>
    </row>
    <row r="407" spans="49:49">
      <c r="AW407" s="184" t="s">
        <v>997</v>
      </c>
    </row>
    <row r="408" spans="49:49">
      <c r="AW408" s="184" t="s">
        <v>997</v>
      </c>
    </row>
    <row r="409" spans="49:49">
      <c r="AW409" s="184" t="s">
        <v>997</v>
      </c>
    </row>
    <row r="410" spans="49:49">
      <c r="AW410" s="184" t="s">
        <v>997</v>
      </c>
    </row>
    <row r="411" spans="49:49">
      <c r="AW411" s="184" t="s">
        <v>997</v>
      </c>
    </row>
    <row r="412" spans="49:49">
      <c r="AW412" s="184" t="s">
        <v>997</v>
      </c>
    </row>
    <row r="413" spans="49:49">
      <c r="AW413" s="184" t="s">
        <v>997</v>
      </c>
    </row>
    <row r="414" spans="49:49">
      <c r="AW414" s="184" t="s">
        <v>997</v>
      </c>
    </row>
    <row r="415" spans="49:49">
      <c r="AW415" s="184" t="s">
        <v>997</v>
      </c>
    </row>
    <row r="416" spans="49:49">
      <c r="AW416" s="184" t="s">
        <v>997</v>
      </c>
    </row>
    <row r="417" spans="49:49">
      <c r="AW417" s="184" t="s">
        <v>997</v>
      </c>
    </row>
    <row r="418" spans="49:49">
      <c r="AW418" s="184" t="s">
        <v>997</v>
      </c>
    </row>
    <row r="419" spans="49:49">
      <c r="AW419" s="184" t="s">
        <v>997</v>
      </c>
    </row>
    <row r="420" spans="49:49">
      <c r="AW420" s="184" t="s">
        <v>997</v>
      </c>
    </row>
    <row r="421" spans="49:49">
      <c r="AW421" s="184" t="s">
        <v>997</v>
      </c>
    </row>
    <row r="422" spans="49:49">
      <c r="AW422" s="184" t="s">
        <v>997</v>
      </c>
    </row>
    <row r="423" spans="49:49">
      <c r="AW423" s="184" t="s">
        <v>997</v>
      </c>
    </row>
    <row r="424" spans="49:49">
      <c r="AW424" s="184" t="s">
        <v>997</v>
      </c>
    </row>
    <row r="425" spans="49:49">
      <c r="AW425" s="184" t="s">
        <v>997</v>
      </c>
    </row>
    <row r="426" spans="49:49">
      <c r="AW426" s="184" t="s">
        <v>997</v>
      </c>
    </row>
    <row r="427" spans="49:49">
      <c r="AW427" s="184" t="s">
        <v>997</v>
      </c>
    </row>
    <row r="428" spans="49:49">
      <c r="AW428" s="184" t="s">
        <v>997</v>
      </c>
    </row>
    <row r="429" spans="49:49">
      <c r="AW429" s="184" t="s">
        <v>997</v>
      </c>
    </row>
    <row r="430" spans="49:49">
      <c r="AW430" s="184" t="s">
        <v>997</v>
      </c>
    </row>
    <row r="431" spans="49:49">
      <c r="AW431" s="184" t="s">
        <v>997</v>
      </c>
    </row>
    <row r="432" spans="49:49">
      <c r="AW432" s="184" t="s">
        <v>997</v>
      </c>
    </row>
    <row r="433" spans="49:49">
      <c r="AW433" s="184" t="s">
        <v>997</v>
      </c>
    </row>
    <row r="434" spans="49:49">
      <c r="AW434" s="184" t="s">
        <v>997</v>
      </c>
    </row>
    <row r="435" spans="49:49">
      <c r="AW435" s="184" t="s">
        <v>997</v>
      </c>
    </row>
    <row r="436" spans="49:49">
      <c r="AW436" s="184" t="s">
        <v>997</v>
      </c>
    </row>
    <row r="437" spans="49:49">
      <c r="AW437" s="184" t="s">
        <v>997</v>
      </c>
    </row>
    <row r="438" spans="49:49">
      <c r="AW438" s="184" t="s">
        <v>997</v>
      </c>
    </row>
    <row r="439" spans="49:49">
      <c r="AW439" s="184" t="s">
        <v>997</v>
      </c>
    </row>
    <row r="440" spans="49:49">
      <c r="AW440" s="184" t="s">
        <v>997</v>
      </c>
    </row>
    <row r="441" spans="49:49">
      <c r="AW441" s="184" t="s">
        <v>997</v>
      </c>
    </row>
    <row r="442" spans="49:49">
      <c r="AW442" s="184" t="s">
        <v>997</v>
      </c>
    </row>
    <row r="443" spans="49:49">
      <c r="AW443" s="184" t="s">
        <v>997</v>
      </c>
    </row>
    <row r="444" spans="49:49">
      <c r="AW444" s="184" t="s">
        <v>997</v>
      </c>
    </row>
    <row r="445" spans="49:49">
      <c r="AW445" s="184" t="s">
        <v>997</v>
      </c>
    </row>
    <row r="446" spans="49:49">
      <c r="AW446" s="184" t="s">
        <v>997</v>
      </c>
    </row>
    <row r="447" spans="49:49">
      <c r="AW447" s="184" t="s">
        <v>997</v>
      </c>
    </row>
    <row r="448" spans="49:49">
      <c r="AW448" s="184" t="s">
        <v>997</v>
      </c>
    </row>
    <row r="449" spans="49:49">
      <c r="AW449" s="184" t="s">
        <v>997</v>
      </c>
    </row>
    <row r="450" spans="49:49">
      <c r="AW450" s="184" t="s">
        <v>997</v>
      </c>
    </row>
    <row r="451" spans="49:49">
      <c r="AW451" s="184" t="s">
        <v>997</v>
      </c>
    </row>
    <row r="452" spans="49:49">
      <c r="AW452" s="184" t="s">
        <v>997</v>
      </c>
    </row>
    <row r="453" spans="49:49">
      <c r="AW453" s="184" t="s">
        <v>997</v>
      </c>
    </row>
    <row r="454" spans="49:49">
      <c r="AW454" s="184" t="s">
        <v>997</v>
      </c>
    </row>
    <row r="455" spans="49:49">
      <c r="AW455" s="184" t="s">
        <v>997</v>
      </c>
    </row>
    <row r="456" spans="49:49">
      <c r="AW456" s="184" t="s">
        <v>997</v>
      </c>
    </row>
    <row r="457" spans="49:49">
      <c r="AW457" s="184" t="s">
        <v>997</v>
      </c>
    </row>
    <row r="458" spans="49:49">
      <c r="AW458" s="184" t="s">
        <v>997</v>
      </c>
    </row>
    <row r="459" spans="49:49">
      <c r="AW459" s="184" t="s">
        <v>997</v>
      </c>
    </row>
    <row r="460" spans="49:49">
      <c r="AW460" s="184" t="s">
        <v>997</v>
      </c>
    </row>
    <row r="461" spans="49:49">
      <c r="AW461" s="184" t="s">
        <v>997</v>
      </c>
    </row>
    <row r="462" spans="49:49">
      <c r="AW462" s="184" t="s">
        <v>997</v>
      </c>
    </row>
    <row r="463" spans="49:49">
      <c r="AW463" s="184" t="s">
        <v>997</v>
      </c>
    </row>
    <row r="464" spans="49:49">
      <c r="AW464" s="184" t="s">
        <v>997</v>
      </c>
    </row>
    <row r="465" spans="49:49">
      <c r="AW465" s="184" t="s">
        <v>997</v>
      </c>
    </row>
  </sheetData>
  <mergeCells count="9">
    <mergeCell ref="C8:G8"/>
    <mergeCell ref="C9:F9"/>
    <mergeCell ref="B36:E36"/>
    <mergeCell ref="C3:C4"/>
    <mergeCell ref="D3:D4"/>
    <mergeCell ref="E3:E4"/>
    <mergeCell ref="F3:F4"/>
    <mergeCell ref="C5:F5"/>
    <mergeCell ref="C7:F7"/>
  </mergeCells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  <drawing r:id="rId2"/>
</worksheet>
</file>

<file path=docMetadata/LabelInfo.xml><?xml version="1.0" encoding="utf-8"?>
<clbl:labelList xmlns:clbl="http://schemas.microsoft.com/office/2020/mipLabelMetadata">
  <clbl:label id="{387f406a-379f-47ee-930c-6bec6e76f2a4}" enabled="1" method="Privileged" siteId="{57b8c96e-ac2f-4d78-a149-f1fc6817d3c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</vt:lpstr>
      <vt:lpstr>ACESSÓRIOS REV</vt:lpstr>
      <vt:lpstr>TRADE IN</vt:lpstr>
      <vt:lpstr>COMPRE E LEVE</vt:lpstr>
      <vt:lpstr>REGRAS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Rosana Daute Moreira</dc:creator>
  <cp:lastModifiedBy>Rosana Daute Moreira</cp:lastModifiedBy>
  <dcterms:created xsi:type="dcterms:W3CDTF">2026-10-15T16:28:19Z</dcterms:created>
  <dcterms:modified xsi:type="dcterms:W3CDTF">2026-10-15T16:28:43Z</dcterms:modified>
</cp:coreProperties>
</file>