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3-2026\"/>
    </mc:Choice>
  </mc:AlternateContent>
  <xr:revisionPtr revIDLastSave="0" documentId="13_ncr:1_{CA0711A3-5520-4E64-8486-D894F4BF08A7}" xr6:coauthVersionLast="47" xr6:coauthVersionMax="47" xr10:uidLastSave="{00000000-0000-0000-0000-000000000000}"/>
  <bookViews>
    <workbookView xWindow="-110" yWindow="-110" windowWidth="19420" windowHeight="11500" xr2:uid="{CBDB1762-63AD-4437-A60B-021BC1528A42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REV'!$B$7:$AO$93</definedName>
    <definedName name="_xlnm._FilterDatabase" localSheetId="3" hidden="1">'COMPRE E LEVE'!$A$2:$AA$240</definedName>
    <definedName name="_xlnm._FilterDatabase" localSheetId="0" hidden="1">REV!$A$12:$AY$800</definedName>
    <definedName name="_xlnm._FilterDatabase" localSheetId="2" hidden="1">'TRADE IN'!$A$12:$BJ$800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00" i="3" l="1"/>
  <c r="AA800" i="3"/>
  <c r="Z800" i="3"/>
  <c r="Y800" i="3"/>
  <c r="X800" i="3"/>
  <c r="W800" i="3"/>
  <c r="V800" i="3"/>
  <c r="U800" i="3"/>
  <c r="T800" i="3"/>
  <c r="S800" i="3"/>
  <c r="R800" i="3"/>
  <c r="Q800" i="3"/>
  <c r="P800" i="3"/>
  <c r="O800" i="3"/>
  <c r="N800" i="3"/>
  <c r="M800" i="3"/>
  <c r="L800" i="3"/>
  <c r="K800" i="3"/>
  <c r="J800" i="3"/>
  <c r="AW799" i="3"/>
  <c r="AA799" i="3"/>
  <c r="Z799" i="3"/>
  <c r="Y799" i="3"/>
  <c r="X799" i="3"/>
  <c r="W799" i="3"/>
  <c r="V799" i="3"/>
  <c r="U799" i="3"/>
  <c r="T799" i="3"/>
  <c r="S799" i="3"/>
  <c r="R799" i="3"/>
  <c r="Q799" i="3"/>
  <c r="P799" i="3"/>
  <c r="O799" i="3"/>
  <c r="N799" i="3"/>
  <c r="M799" i="3"/>
  <c r="L799" i="3"/>
  <c r="K799" i="3"/>
  <c r="J799" i="3"/>
  <c r="AW798" i="3"/>
  <c r="AA798" i="3"/>
  <c r="Z798" i="3"/>
  <c r="Y798" i="3"/>
  <c r="X798" i="3"/>
  <c r="W798" i="3"/>
  <c r="V798" i="3"/>
  <c r="U798" i="3"/>
  <c r="T798" i="3"/>
  <c r="S798" i="3"/>
  <c r="R798" i="3"/>
  <c r="Q798" i="3"/>
  <c r="P798" i="3"/>
  <c r="O798" i="3"/>
  <c r="N798" i="3"/>
  <c r="M798" i="3"/>
  <c r="L798" i="3"/>
  <c r="K798" i="3"/>
  <c r="J798" i="3"/>
  <c r="AW797" i="3"/>
  <c r="AA797" i="3"/>
  <c r="Z797" i="3"/>
  <c r="Y797" i="3"/>
  <c r="X797" i="3"/>
  <c r="W797" i="3"/>
  <c r="V797" i="3"/>
  <c r="U797" i="3"/>
  <c r="T797" i="3"/>
  <c r="S797" i="3"/>
  <c r="R797" i="3"/>
  <c r="Q797" i="3"/>
  <c r="P797" i="3"/>
  <c r="O797" i="3"/>
  <c r="N797" i="3"/>
  <c r="M797" i="3"/>
  <c r="L797" i="3"/>
  <c r="K797" i="3"/>
  <c r="J797" i="3"/>
  <c r="AW796" i="3"/>
  <c r="AA796" i="3"/>
  <c r="Z796" i="3"/>
  <c r="Y796" i="3"/>
  <c r="X796" i="3"/>
  <c r="W796" i="3"/>
  <c r="V796" i="3"/>
  <c r="U796" i="3"/>
  <c r="T796" i="3"/>
  <c r="S796" i="3"/>
  <c r="R796" i="3"/>
  <c r="Q796" i="3"/>
  <c r="P796" i="3"/>
  <c r="O796" i="3"/>
  <c r="N796" i="3"/>
  <c r="M796" i="3"/>
  <c r="L796" i="3"/>
  <c r="K796" i="3"/>
  <c r="J796" i="3"/>
  <c r="AW795" i="3"/>
  <c r="AA795" i="3"/>
  <c r="Z795" i="3"/>
  <c r="Y795" i="3"/>
  <c r="X795" i="3"/>
  <c r="W795" i="3"/>
  <c r="V795" i="3"/>
  <c r="U795" i="3"/>
  <c r="T795" i="3"/>
  <c r="S795" i="3"/>
  <c r="R795" i="3"/>
  <c r="Q795" i="3"/>
  <c r="P795" i="3"/>
  <c r="O795" i="3"/>
  <c r="N795" i="3"/>
  <c r="M795" i="3"/>
  <c r="L795" i="3"/>
  <c r="K795" i="3"/>
  <c r="J795" i="3"/>
  <c r="AW794" i="3"/>
  <c r="AA794" i="3"/>
  <c r="Z794" i="3"/>
  <c r="Y794" i="3"/>
  <c r="X794" i="3"/>
  <c r="W794" i="3"/>
  <c r="V794" i="3"/>
  <c r="U794" i="3"/>
  <c r="T794" i="3"/>
  <c r="S794" i="3"/>
  <c r="R794" i="3"/>
  <c r="Q794" i="3"/>
  <c r="P794" i="3"/>
  <c r="O794" i="3"/>
  <c r="N794" i="3"/>
  <c r="M794" i="3"/>
  <c r="L794" i="3"/>
  <c r="K794" i="3"/>
  <c r="J794" i="3"/>
  <c r="AW793" i="3"/>
  <c r="AA793" i="3"/>
  <c r="Z793" i="3"/>
  <c r="Y793" i="3"/>
  <c r="X793" i="3"/>
  <c r="W793" i="3"/>
  <c r="V793" i="3"/>
  <c r="U793" i="3"/>
  <c r="T793" i="3"/>
  <c r="S793" i="3"/>
  <c r="R793" i="3"/>
  <c r="Q793" i="3"/>
  <c r="P793" i="3"/>
  <c r="O793" i="3"/>
  <c r="N793" i="3"/>
  <c r="M793" i="3"/>
  <c r="L793" i="3"/>
  <c r="K793" i="3"/>
  <c r="J793" i="3"/>
  <c r="AW792" i="3"/>
  <c r="AA792" i="3"/>
  <c r="Z792" i="3"/>
  <c r="Y792" i="3"/>
  <c r="X792" i="3"/>
  <c r="W792" i="3"/>
  <c r="V792" i="3"/>
  <c r="U792" i="3"/>
  <c r="T792" i="3"/>
  <c r="S792" i="3"/>
  <c r="R792" i="3"/>
  <c r="Q792" i="3"/>
  <c r="P792" i="3"/>
  <c r="O792" i="3"/>
  <c r="N792" i="3"/>
  <c r="M792" i="3"/>
  <c r="L792" i="3"/>
  <c r="K792" i="3"/>
  <c r="J792" i="3"/>
  <c r="AW791" i="3"/>
  <c r="AA791" i="3"/>
  <c r="Z791" i="3"/>
  <c r="Y791" i="3"/>
  <c r="X791" i="3"/>
  <c r="W791" i="3"/>
  <c r="V791" i="3"/>
  <c r="U791" i="3"/>
  <c r="T791" i="3"/>
  <c r="S791" i="3"/>
  <c r="R791" i="3"/>
  <c r="Q791" i="3"/>
  <c r="P791" i="3"/>
  <c r="O791" i="3"/>
  <c r="N791" i="3"/>
  <c r="M791" i="3"/>
  <c r="L791" i="3"/>
  <c r="K791" i="3"/>
  <c r="J791" i="3"/>
  <c r="AW790" i="3"/>
  <c r="AA790" i="3"/>
  <c r="Z790" i="3"/>
  <c r="Y790" i="3"/>
  <c r="X790" i="3"/>
  <c r="W790" i="3"/>
  <c r="V790" i="3"/>
  <c r="U790" i="3"/>
  <c r="T790" i="3"/>
  <c r="S790" i="3"/>
  <c r="R790" i="3"/>
  <c r="Q790" i="3"/>
  <c r="P790" i="3"/>
  <c r="O790" i="3"/>
  <c r="N790" i="3"/>
  <c r="M790" i="3"/>
  <c r="L790" i="3"/>
  <c r="K790" i="3"/>
  <c r="J790" i="3"/>
  <c r="AW789" i="3"/>
  <c r="AA789" i="3"/>
  <c r="Z789" i="3"/>
  <c r="Y789" i="3"/>
  <c r="X789" i="3"/>
  <c r="W789" i="3"/>
  <c r="V789" i="3"/>
  <c r="U789" i="3"/>
  <c r="T789" i="3"/>
  <c r="S789" i="3"/>
  <c r="R789" i="3"/>
  <c r="Q789" i="3"/>
  <c r="P789" i="3"/>
  <c r="O789" i="3"/>
  <c r="N789" i="3"/>
  <c r="M789" i="3"/>
  <c r="L789" i="3"/>
  <c r="K789" i="3"/>
  <c r="J789" i="3"/>
  <c r="AW788" i="3"/>
  <c r="AA788" i="3"/>
  <c r="Z788" i="3"/>
  <c r="Y788" i="3"/>
  <c r="X788" i="3"/>
  <c r="W788" i="3"/>
  <c r="V788" i="3"/>
  <c r="U788" i="3"/>
  <c r="T788" i="3"/>
  <c r="S788" i="3"/>
  <c r="R788" i="3"/>
  <c r="Q788" i="3"/>
  <c r="P788" i="3"/>
  <c r="O788" i="3"/>
  <c r="N788" i="3"/>
  <c r="M788" i="3"/>
  <c r="L788" i="3"/>
  <c r="K788" i="3"/>
  <c r="J788" i="3"/>
  <c r="AW787" i="3"/>
  <c r="AA787" i="3"/>
  <c r="Z787" i="3"/>
  <c r="Y787" i="3"/>
  <c r="X787" i="3"/>
  <c r="W787" i="3"/>
  <c r="V787" i="3"/>
  <c r="U787" i="3"/>
  <c r="T787" i="3"/>
  <c r="S787" i="3"/>
  <c r="R787" i="3"/>
  <c r="Q787" i="3"/>
  <c r="P787" i="3"/>
  <c r="O787" i="3"/>
  <c r="N787" i="3"/>
  <c r="M787" i="3"/>
  <c r="L787" i="3"/>
  <c r="K787" i="3"/>
  <c r="J787" i="3"/>
  <c r="AW786" i="3"/>
  <c r="AA786" i="3"/>
  <c r="Z786" i="3"/>
  <c r="Y786" i="3"/>
  <c r="X786" i="3"/>
  <c r="W786" i="3"/>
  <c r="V786" i="3"/>
  <c r="U786" i="3"/>
  <c r="T786" i="3"/>
  <c r="S786" i="3"/>
  <c r="R786" i="3"/>
  <c r="Q786" i="3"/>
  <c r="P786" i="3"/>
  <c r="O786" i="3"/>
  <c r="N786" i="3"/>
  <c r="M786" i="3"/>
  <c r="L786" i="3"/>
  <c r="K786" i="3"/>
  <c r="J786" i="3"/>
  <c r="AW785" i="3"/>
  <c r="AA785" i="3"/>
  <c r="Z785" i="3"/>
  <c r="Y785" i="3"/>
  <c r="X785" i="3"/>
  <c r="W785" i="3"/>
  <c r="V785" i="3"/>
  <c r="U785" i="3"/>
  <c r="T785" i="3"/>
  <c r="S785" i="3"/>
  <c r="R785" i="3"/>
  <c r="Q785" i="3"/>
  <c r="P785" i="3"/>
  <c r="O785" i="3"/>
  <c r="N785" i="3"/>
  <c r="M785" i="3"/>
  <c r="L785" i="3"/>
  <c r="K785" i="3"/>
  <c r="J785" i="3"/>
  <c r="AW784" i="3"/>
  <c r="AA784" i="3"/>
  <c r="Z784" i="3"/>
  <c r="Y784" i="3"/>
  <c r="X784" i="3"/>
  <c r="W784" i="3"/>
  <c r="V784" i="3"/>
  <c r="U784" i="3"/>
  <c r="T784" i="3"/>
  <c r="S784" i="3"/>
  <c r="R784" i="3"/>
  <c r="Q784" i="3"/>
  <c r="P784" i="3"/>
  <c r="O784" i="3"/>
  <c r="N784" i="3"/>
  <c r="M784" i="3"/>
  <c r="L784" i="3"/>
  <c r="K784" i="3"/>
  <c r="J784" i="3"/>
  <c r="AW783" i="3"/>
  <c r="AA783" i="3"/>
  <c r="Z783" i="3"/>
  <c r="Y783" i="3"/>
  <c r="X783" i="3"/>
  <c r="W783" i="3"/>
  <c r="V783" i="3"/>
  <c r="U783" i="3"/>
  <c r="T783" i="3"/>
  <c r="S783" i="3"/>
  <c r="R783" i="3"/>
  <c r="Q783" i="3"/>
  <c r="P783" i="3"/>
  <c r="O783" i="3"/>
  <c r="N783" i="3"/>
  <c r="M783" i="3"/>
  <c r="L783" i="3"/>
  <c r="K783" i="3"/>
  <c r="J783" i="3"/>
  <c r="AW782" i="3"/>
  <c r="AA782" i="3"/>
  <c r="Z782" i="3"/>
  <c r="Y782" i="3"/>
  <c r="X782" i="3"/>
  <c r="W782" i="3"/>
  <c r="V782" i="3"/>
  <c r="U782" i="3"/>
  <c r="T782" i="3"/>
  <c r="S782" i="3"/>
  <c r="R782" i="3"/>
  <c r="Q782" i="3"/>
  <c r="P782" i="3"/>
  <c r="O782" i="3"/>
  <c r="N782" i="3"/>
  <c r="M782" i="3"/>
  <c r="L782" i="3"/>
  <c r="K782" i="3"/>
  <c r="J782" i="3"/>
  <c r="AW781" i="3"/>
  <c r="AA781" i="3"/>
  <c r="Z781" i="3"/>
  <c r="Y781" i="3"/>
  <c r="X781" i="3"/>
  <c r="W781" i="3"/>
  <c r="V781" i="3"/>
  <c r="U781" i="3"/>
  <c r="T781" i="3"/>
  <c r="S781" i="3"/>
  <c r="R781" i="3"/>
  <c r="Q781" i="3"/>
  <c r="P781" i="3"/>
  <c r="O781" i="3"/>
  <c r="N781" i="3"/>
  <c r="M781" i="3"/>
  <c r="L781" i="3"/>
  <c r="K781" i="3"/>
  <c r="J781" i="3"/>
  <c r="AW780" i="3"/>
  <c r="AA780" i="3"/>
  <c r="Z780" i="3"/>
  <c r="Y780" i="3"/>
  <c r="X780" i="3"/>
  <c r="W780" i="3"/>
  <c r="V780" i="3"/>
  <c r="U780" i="3"/>
  <c r="T780" i="3"/>
  <c r="S780" i="3"/>
  <c r="R780" i="3"/>
  <c r="Q780" i="3"/>
  <c r="P780" i="3"/>
  <c r="O780" i="3"/>
  <c r="N780" i="3"/>
  <c r="M780" i="3"/>
  <c r="L780" i="3"/>
  <c r="K780" i="3"/>
  <c r="J780" i="3"/>
  <c r="AW779" i="3"/>
  <c r="AA779" i="3"/>
  <c r="Z779" i="3"/>
  <c r="Y779" i="3"/>
  <c r="X779" i="3"/>
  <c r="W779" i="3"/>
  <c r="V779" i="3"/>
  <c r="U779" i="3"/>
  <c r="T779" i="3"/>
  <c r="S779" i="3"/>
  <c r="R779" i="3"/>
  <c r="Q779" i="3"/>
  <c r="P779" i="3"/>
  <c r="O779" i="3"/>
  <c r="N779" i="3"/>
  <c r="M779" i="3"/>
  <c r="L779" i="3"/>
  <c r="K779" i="3"/>
  <c r="J779" i="3"/>
  <c r="AW778" i="3"/>
  <c r="AA778" i="3"/>
  <c r="Z778" i="3"/>
  <c r="Y778" i="3"/>
  <c r="X778" i="3"/>
  <c r="W778" i="3"/>
  <c r="V778" i="3"/>
  <c r="U778" i="3"/>
  <c r="T778" i="3"/>
  <c r="S778" i="3"/>
  <c r="R778" i="3"/>
  <c r="Q778" i="3"/>
  <c r="P778" i="3"/>
  <c r="O778" i="3"/>
  <c r="N778" i="3"/>
  <c r="M778" i="3"/>
  <c r="L778" i="3"/>
  <c r="K778" i="3"/>
  <c r="J778" i="3"/>
  <c r="AW777" i="3"/>
  <c r="AA777" i="3"/>
  <c r="Z777" i="3"/>
  <c r="Y777" i="3"/>
  <c r="X777" i="3"/>
  <c r="W777" i="3"/>
  <c r="V777" i="3"/>
  <c r="U777" i="3"/>
  <c r="T777" i="3"/>
  <c r="S777" i="3"/>
  <c r="R777" i="3"/>
  <c r="Q777" i="3"/>
  <c r="P777" i="3"/>
  <c r="O777" i="3"/>
  <c r="N777" i="3"/>
  <c r="M777" i="3"/>
  <c r="L777" i="3"/>
  <c r="K777" i="3"/>
  <c r="J777" i="3"/>
  <c r="AW776" i="3"/>
  <c r="AA776" i="3"/>
  <c r="Z776" i="3"/>
  <c r="Y776" i="3"/>
  <c r="X776" i="3"/>
  <c r="W776" i="3"/>
  <c r="V776" i="3"/>
  <c r="U776" i="3"/>
  <c r="T776" i="3"/>
  <c r="S776" i="3"/>
  <c r="R776" i="3"/>
  <c r="Q776" i="3"/>
  <c r="P776" i="3"/>
  <c r="O776" i="3"/>
  <c r="N776" i="3"/>
  <c r="M776" i="3"/>
  <c r="L776" i="3"/>
  <c r="K776" i="3"/>
  <c r="J776" i="3"/>
  <c r="AW775" i="3"/>
  <c r="AA775" i="3"/>
  <c r="Z775" i="3"/>
  <c r="Y775" i="3"/>
  <c r="X775" i="3"/>
  <c r="W775" i="3"/>
  <c r="V775" i="3"/>
  <c r="U775" i="3"/>
  <c r="T775" i="3"/>
  <c r="S775" i="3"/>
  <c r="R775" i="3"/>
  <c r="Q775" i="3"/>
  <c r="P775" i="3"/>
  <c r="O775" i="3"/>
  <c r="N775" i="3"/>
  <c r="M775" i="3"/>
  <c r="L775" i="3"/>
  <c r="K775" i="3"/>
  <c r="J775" i="3"/>
  <c r="AW774" i="3"/>
  <c r="AA774" i="3"/>
  <c r="Z774" i="3"/>
  <c r="Y774" i="3"/>
  <c r="X774" i="3"/>
  <c r="W774" i="3"/>
  <c r="V774" i="3"/>
  <c r="U774" i="3"/>
  <c r="T774" i="3"/>
  <c r="S774" i="3"/>
  <c r="R774" i="3"/>
  <c r="Q774" i="3"/>
  <c r="P774" i="3"/>
  <c r="O774" i="3"/>
  <c r="N774" i="3"/>
  <c r="M774" i="3"/>
  <c r="L774" i="3"/>
  <c r="K774" i="3"/>
  <c r="J774" i="3"/>
  <c r="AW773" i="3"/>
  <c r="AA773" i="3"/>
  <c r="Z773" i="3"/>
  <c r="Y773" i="3"/>
  <c r="X773" i="3"/>
  <c r="W773" i="3"/>
  <c r="V773" i="3"/>
  <c r="U773" i="3"/>
  <c r="T773" i="3"/>
  <c r="S773" i="3"/>
  <c r="R773" i="3"/>
  <c r="Q773" i="3"/>
  <c r="P773" i="3"/>
  <c r="O773" i="3"/>
  <c r="N773" i="3"/>
  <c r="M773" i="3"/>
  <c r="L773" i="3"/>
  <c r="K773" i="3"/>
  <c r="J773" i="3"/>
  <c r="AW772" i="3"/>
  <c r="AA772" i="3"/>
  <c r="Z772" i="3"/>
  <c r="Y772" i="3"/>
  <c r="X772" i="3"/>
  <c r="W772" i="3"/>
  <c r="V772" i="3"/>
  <c r="U772" i="3"/>
  <c r="T772" i="3"/>
  <c r="S772" i="3"/>
  <c r="R772" i="3"/>
  <c r="Q772" i="3"/>
  <c r="P772" i="3"/>
  <c r="O772" i="3"/>
  <c r="N772" i="3"/>
  <c r="M772" i="3"/>
  <c r="L772" i="3"/>
  <c r="K772" i="3"/>
  <c r="J772" i="3"/>
  <c r="AW771" i="3"/>
  <c r="AA771" i="3"/>
  <c r="Z771" i="3"/>
  <c r="Y771" i="3"/>
  <c r="X771" i="3"/>
  <c r="W771" i="3"/>
  <c r="V771" i="3"/>
  <c r="U771" i="3"/>
  <c r="T771" i="3"/>
  <c r="S771" i="3"/>
  <c r="R771" i="3"/>
  <c r="Q771" i="3"/>
  <c r="P771" i="3"/>
  <c r="O771" i="3"/>
  <c r="N771" i="3"/>
  <c r="M771" i="3"/>
  <c r="L771" i="3"/>
  <c r="K771" i="3"/>
  <c r="J771" i="3"/>
  <c r="AW770" i="3"/>
  <c r="AA770" i="3"/>
  <c r="Z770" i="3"/>
  <c r="Y770" i="3"/>
  <c r="X770" i="3"/>
  <c r="W770" i="3"/>
  <c r="V770" i="3"/>
  <c r="U770" i="3"/>
  <c r="T770" i="3"/>
  <c r="S770" i="3"/>
  <c r="R770" i="3"/>
  <c r="Q770" i="3"/>
  <c r="P770" i="3"/>
  <c r="O770" i="3"/>
  <c r="N770" i="3"/>
  <c r="M770" i="3"/>
  <c r="L770" i="3"/>
  <c r="K770" i="3"/>
  <c r="J770" i="3"/>
  <c r="AW769" i="3"/>
  <c r="AA769" i="3"/>
  <c r="Z769" i="3"/>
  <c r="Y769" i="3"/>
  <c r="X769" i="3"/>
  <c r="W769" i="3"/>
  <c r="V769" i="3"/>
  <c r="U769" i="3"/>
  <c r="T769" i="3"/>
  <c r="S769" i="3"/>
  <c r="R769" i="3"/>
  <c r="Q769" i="3"/>
  <c r="P769" i="3"/>
  <c r="O769" i="3"/>
  <c r="N769" i="3"/>
  <c r="M769" i="3"/>
  <c r="L769" i="3"/>
  <c r="K769" i="3"/>
  <c r="J769" i="3"/>
  <c r="AW768" i="3"/>
  <c r="AA768" i="3"/>
  <c r="Z768" i="3"/>
  <c r="Y768" i="3"/>
  <c r="X768" i="3"/>
  <c r="W768" i="3"/>
  <c r="V768" i="3"/>
  <c r="U768" i="3"/>
  <c r="T768" i="3"/>
  <c r="S768" i="3"/>
  <c r="R768" i="3"/>
  <c r="Q768" i="3"/>
  <c r="P768" i="3"/>
  <c r="O768" i="3"/>
  <c r="N768" i="3"/>
  <c r="M768" i="3"/>
  <c r="L768" i="3"/>
  <c r="K768" i="3"/>
  <c r="J768" i="3"/>
  <c r="AW767" i="3"/>
  <c r="AA767" i="3"/>
  <c r="Z767" i="3"/>
  <c r="Y767" i="3"/>
  <c r="X767" i="3"/>
  <c r="W767" i="3"/>
  <c r="V767" i="3"/>
  <c r="U767" i="3"/>
  <c r="T767" i="3"/>
  <c r="S767" i="3"/>
  <c r="R767" i="3"/>
  <c r="Q767" i="3"/>
  <c r="P767" i="3"/>
  <c r="O767" i="3"/>
  <c r="N767" i="3"/>
  <c r="M767" i="3"/>
  <c r="L767" i="3"/>
  <c r="K767" i="3"/>
  <c r="J767" i="3"/>
  <c r="AW766" i="3"/>
  <c r="AA766" i="3"/>
  <c r="Z766" i="3"/>
  <c r="Y766" i="3"/>
  <c r="X766" i="3"/>
  <c r="W766" i="3"/>
  <c r="V766" i="3"/>
  <c r="U766" i="3"/>
  <c r="T766" i="3"/>
  <c r="S766" i="3"/>
  <c r="R766" i="3"/>
  <c r="Q766" i="3"/>
  <c r="P766" i="3"/>
  <c r="O766" i="3"/>
  <c r="N766" i="3"/>
  <c r="M766" i="3"/>
  <c r="L766" i="3"/>
  <c r="K766" i="3"/>
  <c r="J766" i="3"/>
  <c r="AW765" i="3"/>
  <c r="AA765" i="3"/>
  <c r="Z765" i="3"/>
  <c r="Y765" i="3"/>
  <c r="X765" i="3"/>
  <c r="W765" i="3"/>
  <c r="V765" i="3"/>
  <c r="U765" i="3"/>
  <c r="T765" i="3"/>
  <c r="S765" i="3"/>
  <c r="R765" i="3"/>
  <c r="Q765" i="3"/>
  <c r="P765" i="3"/>
  <c r="O765" i="3"/>
  <c r="N765" i="3"/>
  <c r="M765" i="3"/>
  <c r="L765" i="3"/>
  <c r="K765" i="3"/>
  <c r="J765" i="3"/>
  <c r="AW764" i="3"/>
  <c r="AA764" i="3"/>
  <c r="Z764" i="3"/>
  <c r="Y764" i="3"/>
  <c r="X764" i="3"/>
  <c r="W764" i="3"/>
  <c r="V764" i="3"/>
  <c r="U764" i="3"/>
  <c r="T764" i="3"/>
  <c r="S764" i="3"/>
  <c r="R764" i="3"/>
  <c r="Q764" i="3"/>
  <c r="P764" i="3"/>
  <c r="O764" i="3"/>
  <c r="N764" i="3"/>
  <c r="M764" i="3"/>
  <c r="L764" i="3"/>
  <c r="K764" i="3"/>
  <c r="J764" i="3"/>
  <c r="AW763" i="3"/>
  <c r="AA763" i="3"/>
  <c r="Z763" i="3"/>
  <c r="Y763" i="3"/>
  <c r="X763" i="3"/>
  <c r="W763" i="3"/>
  <c r="V763" i="3"/>
  <c r="U763" i="3"/>
  <c r="T763" i="3"/>
  <c r="S763" i="3"/>
  <c r="R763" i="3"/>
  <c r="Q763" i="3"/>
  <c r="P763" i="3"/>
  <c r="O763" i="3"/>
  <c r="N763" i="3"/>
  <c r="M763" i="3"/>
  <c r="L763" i="3"/>
  <c r="K763" i="3"/>
  <c r="J763" i="3"/>
  <c r="AW762" i="3"/>
  <c r="AA762" i="3"/>
  <c r="Z762" i="3"/>
  <c r="Y762" i="3"/>
  <c r="X762" i="3"/>
  <c r="W762" i="3"/>
  <c r="V762" i="3"/>
  <c r="U762" i="3"/>
  <c r="T762" i="3"/>
  <c r="S762" i="3"/>
  <c r="R762" i="3"/>
  <c r="Q762" i="3"/>
  <c r="P762" i="3"/>
  <c r="O762" i="3"/>
  <c r="N762" i="3"/>
  <c r="M762" i="3"/>
  <c r="L762" i="3"/>
  <c r="K762" i="3"/>
  <c r="J762" i="3"/>
  <c r="AW761" i="3"/>
  <c r="AA761" i="3"/>
  <c r="Z761" i="3"/>
  <c r="Y761" i="3"/>
  <c r="X761" i="3"/>
  <c r="W761" i="3"/>
  <c r="V761" i="3"/>
  <c r="U761" i="3"/>
  <c r="T761" i="3"/>
  <c r="S761" i="3"/>
  <c r="R761" i="3"/>
  <c r="Q761" i="3"/>
  <c r="P761" i="3"/>
  <c r="O761" i="3"/>
  <c r="N761" i="3"/>
  <c r="M761" i="3"/>
  <c r="L761" i="3"/>
  <c r="K761" i="3"/>
  <c r="J761" i="3"/>
  <c r="AW760" i="3"/>
  <c r="AA760" i="3"/>
  <c r="Z760" i="3"/>
  <c r="Y760" i="3"/>
  <c r="X760" i="3"/>
  <c r="W760" i="3"/>
  <c r="V760" i="3"/>
  <c r="U760" i="3"/>
  <c r="T760" i="3"/>
  <c r="S760" i="3"/>
  <c r="R760" i="3"/>
  <c r="Q760" i="3"/>
  <c r="P760" i="3"/>
  <c r="O760" i="3"/>
  <c r="N760" i="3"/>
  <c r="M760" i="3"/>
  <c r="L760" i="3"/>
  <c r="K760" i="3"/>
  <c r="J760" i="3"/>
  <c r="AW759" i="3"/>
  <c r="AA759" i="3"/>
  <c r="Z759" i="3"/>
  <c r="Y759" i="3"/>
  <c r="X759" i="3"/>
  <c r="W759" i="3"/>
  <c r="V759" i="3"/>
  <c r="U759" i="3"/>
  <c r="T759" i="3"/>
  <c r="S759" i="3"/>
  <c r="R759" i="3"/>
  <c r="Q759" i="3"/>
  <c r="P759" i="3"/>
  <c r="O759" i="3"/>
  <c r="N759" i="3"/>
  <c r="M759" i="3"/>
  <c r="L759" i="3"/>
  <c r="K759" i="3"/>
  <c r="J759" i="3"/>
  <c r="AW758" i="3"/>
  <c r="AA758" i="3"/>
  <c r="Z758" i="3"/>
  <c r="Y758" i="3"/>
  <c r="X758" i="3"/>
  <c r="W758" i="3"/>
  <c r="V758" i="3"/>
  <c r="U758" i="3"/>
  <c r="T758" i="3"/>
  <c r="S758" i="3"/>
  <c r="R758" i="3"/>
  <c r="Q758" i="3"/>
  <c r="P758" i="3"/>
  <c r="O758" i="3"/>
  <c r="N758" i="3"/>
  <c r="M758" i="3"/>
  <c r="L758" i="3"/>
  <c r="K758" i="3"/>
  <c r="J758" i="3"/>
  <c r="AW757" i="3"/>
  <c r="AA757" i="3"/>
  <c r="Z757" i="3"/>
  <c r="Y757" i="3"/>
  <c r="X757" i="3"/>
  <c r="W757" i="3"/>
  <c r="V757" i="3"/>
  <c r="U757" i="3"/>
  <c r="T757" i="3"/>
  <c r="S757" i="3"/>
  <c r="R757" i="3"/>
  <c r="Q757" i="3"/>
  <c r="P757" i="3"/>
  <c r="O757" i="3"/>
  <c r="N757" i="3"/>
  <c r="M757" i="3"/>
  <c r="L757" i="3"/>
  <c r="K757" i="3"/>
  <c r="J757" i="3"/>
  <c r="AW756" i="3"/>
  <c r="AA756" i="3"/>
  <c r="Z756" i="3"/>
  <c r="Y756" i="3"/>
  <c r="X756" i="3"/>
  <c r="W756" i="3"/>
  <c r="V756" i="3"/>
  <c r="U756" i="3"/>
  <c r="T756" i="3"/>
  <c r="S756" i="3"/>
  <c r="R756" i="3"/>
  <c r="Q756" i="3"/>
  <c r="P756" i="3"/>
  <c r="O756" i="3"/>
  <c r="N756" i="3"/>
  <c r="M756" i="3"/>
  <c r="L756" i="3"/>
  <c r="K756" i="3"/>
  <c r="J756" i="3"/>
  <c r="AW755" i="3"/>
  <c r="AA755" i="3"/>
  <c r="Z755" i="3"/>
  <c r="Y755" i="3"/>
  <c r="X755" i="3"/>
  <c r="W755" i="3"/>
  <c r="V755" i="3"/>
  <c r="U755" i="3"/>
  <c r="T755" i="3"/>
  <c r="S755" i="3"/>
  <c r="R755" i="3"/>
  <c r="Q755" i="3"/>
  <c r="P755" i="3"/>
  <c r="O755" i="3"/>
  <c r="N755" i="3"/>
  <c r="M755" i="3"/>
  <c r="L755" i="3"/>
  <c r="K755" i="3"/>
  <c r="J755" i="3"/>
  <c r="AW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AW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AW752" i="3"/>
  <c r="AA752" i="3"/>
  <c r="Z752" i="3"/>
  <c r="Y752" i="3"/>
  <c r="X752" i="3"/>
  <c r="W752" i="3"/>
  <c r="V752" i="3"/>
  <c r="U752" i="3"/>
  <c r="T752" i="3"/>
  <c r="S752" i="3"/>
  <c r="R752" i="3"/>
  <c r="Q752" i="3"/>
  <c r="P752" i="3"/>
  <c r="O752" i="3"/>
  <c r="N752" i="3"/>
  <c r="M752" i="3"/>
  <c r="L752" i="3"/>
  <c r="K752" i="3"/>
  <c r="J752" i="3"/>
  <c r="AW751" i="3"/>
  <c r="AA751" i="3"/>
  <c r="Z751" i="3"/>
  <c r="Y751" i="3"/>
  <c r="X751" i="3"/>
  <c r="W751" i="3"/>
  <c r="V751" i="3"/>
  <c r="U751" i="3"/>
  <c r="T751" i="3"/>
  <c r="S751" i="3"/>
  <c r="R751" i="3"/>
  <c r="Q751" i="3"/>
  <c r="P751" i="3"/>
  <c r="O751" i="3"/>
  <c r="N751" i="3"/>
  <c r="M751" i="3"/>
  <c r="L751" i="3"/>
  <c r="K751" i="3"/>
  <c r="J751" i="3"/>
  <c r="AW750" i="3"/>
  <c r="AA750" i="3"/>
  <c r="Z750" i="3"/>
  <c r="Y750" i="3"/>
  <c r="X750" i="3"/>
  <c r="W750" i="3"/>
  <c r="V750" i="3"/>
  <c r="U750" i="3"/>
  <c r="T750" i="3"/>
  <c r="S750" i="3"/>
  <c r="R750" i="3"/>
  <c r="Q750" i="3"/>
  <c r="P750" i="3"/>
  <c r="O750" i="3"/>
  <c r="N750" i="3"/>
  <c r="M750" i="3"/>
  <c r="L750" i="3"/>
  <c r="K750" i="3"/>
  <c r="J750" i="3"/>
  <c r="AW749" i="3"/>
  <c r="AA749" i="3"/>
  <c r="Z749" i="3"/>
  <c r="Y749" i="3"/>
  <c r="X749" i="3"/>
  <c r="W749" i="3"/>
  <c r="V749" i="3"/>
  <c r="U749" i="3"/>
  <c r="T749" i="3"/>
  <c r="S749" i="3"/>
  <c r="R749" i="3"/>
  <c r="Q749" i="3"/>
  <c r="P749" i="3"/>
  <c r="O749" i="3"/>
  <c r="N749" i="3"/>
  <c r="M749" i="3"/>
  <c r="L749" i="3"/>
  <c r="K749" i="3"/>
  <c r="J749" i="3"/>
  <c r="AW748" i="3"/>
  <c r="AA748" i="3"/>
  <c r="Z748" i="3"/>
  <c r="Y748" i="3"/>
  <c r="X748" i="3"/>
  <c r="W748" i="3"/>
  <c r="V748" i="3"/>
  <c r="U748" i="3"/>
  <c r="T748" i="3"/>
  <c r="S748" i="3"/>
  <c r="R748" i="3"/>
  <c r="Q748" i="3"/>
  <c r="P748" i="3"/>
  <c r="O748" i="3"/>
  <c r="N748" i="3"/>
  <c r="M748" i="3"/>
  <c r="L748" i="3"/>
  <c r="K748" i="3"/>
  <c r="J748" i="3"/>
  <c r="AW747" i="3"/>
  <c r="AA747" i="3"/>
  <c r="Z747" i="3"/>
  <c r="Y747" i="3"/>
  <c r="X747" i="3"/>
  <c r="W747" i="3"/>
  <c r="V747" i="3"/>
  <c r="U747" i="3"/>
  <c r="T747" i="3"/>
  <c r="S747" i="3"/>
  <c r="R747" i="3"/>
  <c r="Q747" i="3"/>
  <c r="P747" i="3"/>
  <c r="O747" i="3"/>
  <c r="N747" i="3"/>
  <c r="M747" i="3"/>
  <c r="L747" i="3"/>
  <c r="K747" i="3"/>
  <c r="J747" i="3"/>
  <c r="AW746" i="3"/>
  <c r="AA746" i="3"/>
  <c r="Z746" i="3"/>
  <c r="Y746" i="3"/>
  <c r="X746" i="3"/>
  <c r="W746" i="3"/>
  <c r="V746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AW745" i="3"/>
  <c r="AA745" i="3"/>
  <c r="Z745" i="3"/>
  <c r="Y745" i="3"/>
  <c r="X745" i="3"/>
  <c r="W745" i="3"/>
  <c r="V745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AW744" i="3"/>
  <c r="AA744" i="3"/>
  <c r="Z744" i="3"/>
  <c r="Y744" i="3"/>
  <c r="X744" i="3"/>
  <c r="W744" i="3"/>
  <c r="V744" i="3"/>
  <c r="U744" i="3"/>
  <c r="T744" i="3"/>
  <c r="S744" i="3"/>
  <c r="R744" i="3"/>
  <c r="Q744" i="3"/>
  <c r="P744" i="3"/>
  <c r="O744" i="3"/>
  <c r="N744" i="3"/>
  <c r="M744" i="3"/>
  <c r="L744" i="3"/>
  <c r="K744" i="3"/>
  <c r="J744" i="3"/>
  <c r="AW743" i="3"/>
  <c r="AA743" i="3"/>
  <c r="Z743" i="3"/>
  <c r="Y743" i="3"/>
  <c r="X743" i="3"/>
  <c r="W743" i="3"/>
  <c r="V743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AW742" i="3"/>
  <c r="AA742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AW741" i="3"/>
  <c r="AA741" i="3"/>
  <c r="Z741" i="3"/>
  <c r="Y741" i="3"/>
  <c r="X741" i="3"/>
  <c r="W741" i="3"/>
  <c r="V741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AW740" i="3"/>
  <c r="AA740" i="3"/>
  <c r="Z740" i="3"/>
  <c r="Y740" i="3"/>
  <c r="X740" i="3"/>
  <c r="W740" i="3"/>
  <c r="V740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AW739" i="3"/>
  <c r="AA739" i="3"/>
  <c r="Z739" i="3"/>
  <c r="Y739" i="3"/>
  <c r="X739" i="3"/>
  <c r="W739" i="3"/>
  <c r="V739" i="3"/>
  <c r="U739" i="3"/>
  <c r="T739" i="3"/>
  <c r="S739" i="3"/>
  <c r="R739" i="3"/>
  <c r="Q739" i="3"/>
  <c r="P739" i="3"/>
  <c r="O739" i="3"/>
  <c r="N739" i="3"/>
  <c r="M739" i="3"/>
  <c r="L739" i="3"/>
  <c r="K739" i="3"/>
  <c r="J739" i="3"/>
  <c r="AW738" i="3"/>
  <c r="AA738" i="3"/>
  <c r="Z738" i="3"/>
  <c r="Y738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AW737" i="3"/>
  <c r="AA737" i="3"/>
  <c r="Z737" i="3"/>
  <c r="Y737" i="3"/>
  <c r="X737" i="3"/>
  <c r="W737" i="3"/>
  <c r="V737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AW736" i="3"/>
  <c r="AA736" i="3"/>
  <c r="Z736" i="3"/>
  <c r="Y736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AW735" i="3"/>
  <c r="AA735" i="3"/>
  <c r="Z735" i="3"/>
  <c r="Y735" i="3"/>
  <c r="X735" i="3"/>
  <c r="W735" i="3"/>
  <c r="V735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AW734" i="3"/>
  <c r="AA734" i="3"/>
  <c r="Z734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AW733" i="3"/>
  <c r="AA733" i="3"/>
  <c r="Z733" i="3"/>
  <c r="Y733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AW732" i="3"/>
  <c r="AA732" i="3"/>
  <c r="Z732" i="3"/>
  <c r="Y732" i="3"/>
  <c r="X732" i="3"/>
  <c r="W732" i="3"/>
  <c r="V732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AW731" i="3"/>
  <c r="AA731" i="3"/>
  <c r="Z731" i="3"/>
  <c r="Y731" i="3"/>
  <c r="X731" i="3"/>
  <c r="W731" i="3"/>
  <c r="V731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AW730" i="3"/>
  <c r="AA730" i="3"/>
  <c r="Z730" i="3"/>
  <c r="Y730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AW729" i="3"/>
  <c r="AA729" i="3"/>
  <c r="Z729" i="3"/>
  <c r="Y729" i="3"/>
  <c r="X729" i="3"/>
  <c r="W729" i="3"/>
  <c r="V729" i="3"/>
  <c r="U729" i="3"/>
  <c r="T729" i="3"/>
  <c r="S729" i="3"/>
  <c r="R729" i="3"/>
  <c r="Q729" i="3"/>
  <c r="P729" i="3"/>
  <c r="O729" i="3"/>
  <c r="N729" i="3"/>
  <c r="M729" i="3"/>
  <c r="L729" i="3"/>
  <c r="K729" i="3"/>
  <c r="J729" i="3"/>
  <c r="AW728" i="3"/>
  <c r="AA728" i="3"/>
  <c r="Z728" i="3"/>
  <c r="Y728" i="3"/>
  <c r="X728" i="3"/>
  <c r="W728" i="3"/>
  <c r="V728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AW727" i="3"/>
  <c r="AA727" i="3"/>
  <c r="Z727" i="3"/>
  <c r="Y727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AW726" i="3"/>
  <c r="AA726" i="3"/>
  <c r="Z726" i="3"/>
  <c r="Y726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AW725" i="3"/>
  <c r="AA725" i="3"/>
  <c r="Z725" i="3"/>
  <c r="Y725" i="3"/>
  <c r="X725" i="3"/>
  <c r="W725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AW724" i="3"/>
  <c r="AA724" i="3"/>
  <c r="Z724" i="3"/>
  <c r="Y724" i="3"/>
  <c r="X724" i="3"/>
  <c r="W724" i="3"/>
  <c r="V724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AW723" i="3"/>
  <c r="AA723" i="3"/>
  <c r="Z723" i="3"/>
  <c r="Y723" i="3"/>
  <c r="X723" i="3"/>
  <c r="W723" i="3"/>
  <c r="V723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AW722" i="3"/>
  <c r="AA722" i="3"/>
  <c r="Z722" i="3"/>
  <c r="Y722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AW721" i="3"/>
  <c r="AA721" i="3"/>
  <c r="Z721" i="3"/>
  <c r="Y721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L721" i="3"/>
  <c r="K721" i="3"/>
  <c r="J721" i="3"/>
  <c r="AW720" i="3"/>
  <c r="AA720" i="3"/>
  <c r="Z720" i="3"/>
  <c r="Y720" i="3"/>
  <c r="X720" i="3"/>
  <c r="W720" i="3"/>
  <c r="V720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AW719" i="3"/>
  <c r="AA719" i="3"/>
  <c r="Z719" i="3"/>
  <c r="Y719" i="3"/>
  <c r="X719" i="3"/>
  <c r="W719" i="3"/>
  <c r="V719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AW718" i="3"/>
  <c r="AA718" i="3"/>
  <c r="Z718" i="3"/>
  <c r="Y718" i="3"/>
  <c r="X718" i="3"/>
  <c r="W718" i="3"/>
  <c r="V718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AW717" i="3"/>
  <c r="AA717" i="3"/>
  <c r="Z717" i="3"/>
  <c r="Y717" i="3"/>
  <c r="X717" i="3"/>
  <c r="W717" i="3"/>
  <c r="V717" i="3"/>
  <c r="U717" i="3"/>
  <c r="T717" i="3"/>
  <c r="S717" i="3"/>
  <c r="R717" i="3"/>
  <c r="Q717" i="3"/>
  <c r="P717" i="3"/>
  <c r="O717" i="3"/>
  <c r="N717" i="3"/>
  <c r="M717" i="3"/>
  <c r="L717" i="3"/>
  <c r="K717" i="3"/>
  <c r="J717" i="3"/>
  <c r="AW716" i="3"/>
  <c r="AA716" i="3"/>
  <c r="Z716" i="3"/>
  <c r="Y716" i="3"/>
  <c r="X716" i="3"/>
  <c r="W716" i="3"/>
  <c r="V716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AW715" i="3"/>
  <c r="AA715" i="3"/>
  <c r="Z715" i="3"/>
  <c r="Y715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AW714" i="3"/>
  <c r="AA714" i="3"/>
  <c r="Z714" i="3"/>
  <c r="Y714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AW713" i="3"/>
  <c r="AA713" i="3"/>
  <c r="Z713" i="3"/>
  <c r="Y713" i="3"/>
  <c r="X713" i="3"/>
  <c r="W713" i="3"/>
  <c r="V713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AW712" i="3"/>
  <c r="AA712" i="3"/>
  <c r="Z712" i="3"/>
  <c r="Y712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AW711" i="3"/>
  <c r="AA711" i="3"/>
  <c r="Z711" i="3"/>
  <c r="Y711" i="3"/>
  <c r="X711" i="3"/>
  <c r="W711" i="3"/>
  <c r="V711" i="3"/>
  <c r="U711" i="3"/>
  <c r="T711" i="3"/>
  <c r="S711" i="3"/>
  <c r="R711" i="3"/>
  <c r="Q711" i="3"/>
  <c r="P711" i="3"/>
  <c r="O711" i="3"/>
  <c r="N711" i="3"/>
  <c r="M711" i="3"/>
  <c r="L711" i="3"/>
  <c r="K711" i="3"/>
  <c r="J711" i="3"/>
  <c r="AW710" i="3"/>
  <c r="AA710" i="3"/>
  <c r="Z710" i="3"/>
  <c r="Y710" i="3"/>
  <c r="X710" i="3"/>
  <c r="W710" i="3"/>
  <c r="V710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AW709" i="3"/>
  <c r="AA709" i="3"/>
  <c r="Z709" i="3"/>
  <c r="Y709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AW708" i="3"/>
  <c r="AA708" i="3"/>
  <c r="Z708" i="3"/>
  <c r="Y708" i="3"/>
  <c r="X708" i="3"/>
  <c r="W708" i="3"/>
  <c r="V708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AW707" i="3"/>
  <c r="AA707" i="3"/>
  <c r="Z707" i="3"/>
  <c r="Y707" i="3"/>
  <c r="X707" i="3"/>
  <c r="W707" i="3"/>
  <c r="V707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AW706" i="3"/>
  <c r="AA706" i="3"/>
  <c r="Z706" i="3"/>
  <c r="Y706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AW705" i="3"/>
  <c r="AA705" i="3"/>
  <c r="Z705" i="3"/>
  <c r="Y705" i="3"/>
  <c r="X705" i="3"/>
  <c r="W705" i="3"/>
  <c r="V705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AW704" i="3"/>
  <c r="AA704" i="3"/>
  <c r="Z704" i="3"/>
  <c r="Y704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AW703" i="3"/>
  <c r="AA703" i="3"/>
  <c r="Z703" i="3"/>
  <c r="Y703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AW702" i="3"/>
  <c r="AA702" i="3"/>
  <c r="Z702" i="3"/>
  <c r="Y702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AW701" i="3"/>
  <c r="AA701" i="3"/>
  <c r="Z701" i="3"/>
  <c r="Y701" i="3"/>
  <c r="X701" i="3"/>
  <c r="W701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AW700" i="3"/>
  <c r="AA700" i="3"/>
  <c r="Z700" i="3"/>
  <c r="Y700" i="3"/>
  <c r="X700" i="3"/>
  <c r="W700" i="3"/>
  <c r="V700" i="3"/>
  <c r="U700" i="3"/>
  <c r="T700" i="3"/>
  <c r="S700" i="3"/>
  <c r="R700" i="3"/>
  <c r="Q700" i="3"/>
  <c r="P700" i="3"/>
  <c r="O700" i="3"/>
  <c r="N700" i="3"/>
  <c r="M700" i="3"/>
  <c r="L700" i="3"/>
  <c r="K700" i="3"/>
  <c r="J700" i="3"/>
  <c r="AW699" i="3"/>
  <c r="AA699" i="3"/>
  <c r="Z699" i="3"/>
  <c r="Y699" i="3"/>
  <c r="X699" i="3"/>
  <c r="W699" i="3"/>
  <c r="V699" i="3"/>
  <c r="U699" i="3"/>
  <c r="T699" i="3"/>
  <c r="S699" i="3"/>
  <c r="R699" i="3"/>
  <c r="Q699" i="3"/>
  <c r="O699" i="3"/>
  <c r="N699" i="3"/>
  <c r="M699" i="3"/>
  <c r="L699" i="3"/>
  <c r="K699" i="3"/>
  <c r="AW698" i="3"/>
  <c r="AA698" i="3"/>
  <c r="Z698" i="3"/>
  <c r="Y698" i="3"/>
  <c r="X698" i="3"/>
  <c r="W698" i="3"/>
  <c r="V698" i="3"/>
  <c r="U698" i="3"/>
  <c r="T698" i="3"/>
  <c r="S698" i="3"/>
  <c r="R698" i="3"/>
  <c r="N698" i="3"/>
  <c r="M698" i="3"/>
  <c r="AW697" i="3"/>
  <c r="AA697" i="3"/>
  <c r="Z697" i="3"/>
  <c r="Y697" i="3"/>
  <c r="X697" i="3"/>
  <c r="W697" i="3"/>
  <c r="V697" i="3"/>
  <c r="U697" i="3"/>
  <c r="T697" i="3"/>
  <c r="S697" i="3"/>
  <c r="R697" i="3"/>
  <c r="Q697" i="3"/>
  <c r="P697" i="3"/>
  <c r="O697" i="3"/>
  <c r="N697" i="3"/>
  <c r="M697" i="3"/>
  <c r="AW696" i="3"/>
  <c r="AA696" i="3"/>
  <c r="Z696" i="3"/>
  <c r="Y696" i="3"/>
  <c r="X696" i="3"/>
  <c r="W696" i="3"/>
  <c r="V696" i="3"/>
  <c r="U696" i="3"/>
  <c r="T696" i="3"/>
  <c r="S696" i="3"/>
  <c r="R696" i="3"/>
  <c r="N696" i="3"/>
  <c r="M696" i="3"/>
  <c r="AW695" i="3"/>
  <c r="AA695" i="3"/>
  <c r="Z695" i="3"/>
  <c r="Y695" i="3"/>
  <c r="X695" i="3"/>
  <c r="W695" i="3"/>
  <c r="V695" i="3"/>
  <c r="U695" i="3"/>
  <c r="T695" i="3"/>
  <c r="S695" i="3"/>
  <c r="R695" i="3"/>
  <c r="O695" i="3"/>
  <c r="N695" i="3"/>
  <c r="M695" i="3"/>
  <c r="K695" i="3"/>
  <c r="AW694" i="3"/>
  <c r="AA694" i="3"/>
  <c r="Z694" i="3"/>
  <c r="Y694" i="3"/>
  <c r="X694" i="3"/>
  <c r="W694" i="3"/>
  <c r="V694" i="3"/>
  <c r="U694" i="3"/>
  <c r="T694" i="3"/>
  <c r="S694" i="3"/>
  <c r="R694" i="3"/>
  <c r="N694" i="3"/>
  <c r="M694" i="3"/>
  <c r="AW693" i="3"/>
  <c r="AA693" i="3"/>
  <c r="Z693" i="3"/>
  <c r="Y693" i="3"/>
  <c r="X693" i="3"/>
  <c r="W693" i="3"/>
  <c r="V693" i="3"/>
  <c r="U693" i="3"/>
  <c r="T693" i="3"/>
  <c r="S693" i="3"/>
  <c r="R693" i="3"/>
  <c r="P693" i="3"/>
  <c r="N693" i="3"/>
  <c r="M693" i="3"/>
  <c r="K693" i="3"/>
  <c r="AW692" i="3"/>
  <c r="AA692" i="3"/>
  <c r="Z692" i="3"/>
  <c r="Y692" i="3"/>
  <c r="X692" i="3"/>
  <c r="W692" i="3"/>
  <c r="V692" i="3"/>
  <c r="U692" i="3"/>
  <c r="T692" i="3"/>
  <c r="S692" i="3"/>
  <c r="R692" i="3"/>
  <c r="N692" i="3"/>
  <c r="M692" i="3"/>
  <c r="AW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AW690" i="3"/>
  <c r="AA690" i="3"/>
  <c r="Z690" i="3"/>
  <c r="Y690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AW689" i="3"/>
  <c r="AA689" i="3"/>
  <c r="Z689" i="3"/>
  <c r="Y689" i="3"/>
  <c r="X689" i="3"/>
  <c r="W689" i="3"/>
  <c r="V689" i="3"/>
  <c r="U689" i="3"/>
  <c r="T689" i="3"/>
  <c r="S689" i="3"/>
  <c r="R689" i="3"/>
  <c r="Q689" i="3"/>
  <c r="P689" i="3"/>
  <c r="O689" i="3"/>
  <c r="N689" i="3"/>
  <c r="M689" i="3"/>
  <c r="L689" i="3"/>
  <c r="K689" i="3"/>
  <c r="J689" i="3"/>
  <c r="AW688" i="3"/>
  <c r="AA688" i="3"/>
  <c r="Z688" i="3"/>
  <c r="Y688" i="3"/>
  <c r="X688" i="3"/>
  <c r="W688" i="3"/>
  <c r="V688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AW687" i="3"/>
  <c r="AA687" i="3"/>
  <c r="Z687" i="3"/>
  <c r="Y687" i="3"/>
  <c r="X687" i="3"/>
  <c r="W687" i="3"/>
  <c r="V687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AW686" i="3"/>
  <c r="AA686" i="3"/>
  <c r="Z686" i="3"/>
  <c r="Y686" i="3"/>
  <c r="X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AW685" i="3"/>
  <c r="AA685" i="3"/>
  <c r="Z685" i="3"/>
  <c r="Y685" i="3"/>
  <c r="X685" i="3"/>
  <c r="W685" i="3"/>
  <c r="V685" i="3"/>
  <c r="U685" i="3"/>
  <c r="T685" i="3"/>
  <c r="S685" i="3"/>
  <c r="R685" i="3"/>
  <c r="Q685" i="3"/>
  <c r="P685" i="3"/>
  <c r="O685" i="3"/>
  <c r="N685" i="3"/>
  <c r="M685" i="3"/>
  <c r="L685" i="3"/>
  <c r="K685" i="3"/>
  <c r="J685" i="3"/>
  <c r="AW684" i="3"/>
  <c r="AA684" i="3"/>
  <c r="Z684" i="3"/>
  <c r="Y684" i="3"/>
  <c r="X684" i="3"/>
  <c r="W684" i="3"/>
  <c r="V684" i="3"/>
  <c r="U684" i="3"/>
  <c r="T684" i="3"/>
  <c r="S684" i="3"/>
  <c r="R684" i="3"/>
  <c r="Q684" i="3"/>
  <c r="P684" i="3"/>
  <c r="O684" i="3"/>
  <c r="N684" i="3"/>
  <c r="M684" i="3"/>
  <c r="L684" i="3"/>
  <c r="K684" i="3"/>
  <c r="J684" i="3"/>
  <c r="AW683" i="3"/>
  <c r="AA683" i="3"/>
  <c r="Z683" i="3"/>
  <c r="Y683" i="3"/>
  <c r="X683" i="3"/>
  <c r="W683" i="3"/>
  <c r="V683" i="3"/>
  <c r="U683" i="3"/>
  <c r="T683" i="3"/>
  <c r="S683" i="3"/>
  <c r="R683" i="3"/>
  <c r="Q683" i="3"/>
  <c r="P683" i="3"/>
  <c r="O683" i="3"/>
  <c r="N683" i="3"/>
  <c r="M683" i="3"/>
  <c r="L683" i="3"/>
  <c r="K683" i="3"/>
  <c r="J683" i="3"/>
  <c r="AW682" i="3"/>
  <c r="AA682" i="3"/>
  <c r="Z682" i="3"/>
  <c r="Y682" i="3"/>
  <c r="X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AW681" i="3"/>
  <c r="AA681" i="3"/>
  <c r="Z681" i="3"/>
  <c r="Y681" i="3"/>
  <c r="X681" i="3"/>
  <c r="W681" i="3"/>
  <c r="V681" i="3"/>
  <c r="U681" i="3"/>
  <c r="T681" i="3"/>
  <c r="S681" i="3"/>
  <c r="R681" i="3"/>
  <c r="Q681" i="3"/>
  <c r="P681" i="3"/>
  <c r="O681" i="3"/>
  <c r="N681" i="3"/>
  <c r="M681" i="3"/>
  <c r="L681" i="3"/>
  <c r="K681" i="3"/>
  <c r="J681" i="3"/>
  <c r="AW680" i="3"/>
  <c r="AA680" i="3"/>
  <c r="Z680" i="3"/>
  <c r="Y680" i="3"/>
  <c r="X680" i="3"/>
  <c r="W680" i="3"/>
  <c r="V680" i="3"/>
  <c r="U680" i="3"/>
  <c r="T680" i="3"/>
  <c r="S680" i="3"/>
  <c r="R680" i="3"/>
  <c r="Q680" i="3"/>
  <c r="P680" i="3"/>
  <c r="O680" i="3"/>
  <c r="N680" i="3"/>
  <c r="M680" i="3"/>
  <c r="L680" i="3"/>
  <c r="K680" i="3"/>
  <c r="J680" i="3"/>
  <c r="AW679" i="3"/>
  <c r="AA679" i="3"/>
  <c r="Z679" i="3"/>
  <c r="Y679" i="3"/>
  <c r="X679" i="3"/>
  <c r="W679" i="3"/>
  <c r="V679" i="3"/>
  <c r="U679" i="3"/>
  <c r="T679" i="3"/>
  <c r="S679" i="3"/>
  <c r="R679" i="3"/>
  <c r="Q679" i="3"/>
  <c r="P679" i="3"/>
  <c r="O679" i="3"/>
  <c r="N679" i="3"/>
  <c r="M679" i="3"/>
  <c r="L679" i="3"/>
  <c r="K679" i="3"/>
  <c r="J679" i="3"/>
  <c r="AW678" i="3"/>
  <c r="AA678" i="3"/>
  <c r="Z678" i="3"/>
  <c r="Y678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AW677" i="3"/>
  <c r="AA677" i="3"/>
  <c r="Z677" i="3"/>
  <c r="Y677" i="3"/>
  <c r="X677" i="3"/>
  <c r="W677" i="3"/>
  <c r="V677" i="3"/>
  <c r="U677" i="3"/>
  <c r="T677" i="3"/>
  <c r="S677" i="3"/>
  <c r="R677" i="3"/>
  <c r="Q677" i="3"/>
  <c r="P677" i="3"/>
  <c r="O677" i="3"/>
  <c r="N677" i="3"/>
  <c r="M677" i="3"/>
  <c r="L677" i="3"/>
  <c r="K677" i="3"/>
  <c r="J677" i="3"/>
  <c r="AW676" i="3"/>
  <c r="AA676" i="3"/>
  <c r="Z676" i="3"/>
  <c r="Y676" i="3"/>
  <c r="X676" i="3"/>
  <c r="W676" i="3"/>
  <c r="V676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AW675" i="3"/>
  <c r="AA675" i="3"/>
  <c r="Z675" i="3"/>
  <c r="Y675" i="3"/>
  <c r="X675" i="3"/>
  <c r="W675" i="3"/>
  <c r="V675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AW674" i="3"/>
  <c r="AA674" i="3"/>
  <c r="Z674" i="3"/>
  <c r="Y674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AW673" i="3"/>
  <c r="AA673" i="3"/>
  <c r="Z673" i="3"/>
  <c r="Y673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AW672" i="3"/>
  <c r="AA672" i="3"/>
  <c r="Z672" i="3"/>
  <c r="Y672" i="3"/>
  <c r="X672" i="3"/>
  <c r="W672" i="3"/>
  <c r="V672" i="3"/>
  <c r="U672" i="3"/>
  <c r="T672" i="3"/>
  <c r="S672" i="3"/>
  <c r="R672" i="3"/>
  <c r="Q672" i="3"/>
  <c r="P672" i="3"/>
  <c r="O672" i="3"/>
  <c r="N672" i="3"/>
  <c r="M672" i="3"/>
  <c r="L672" i="3"/>
  <c r="K672" i="3"/>
  <c r="J672" i="3"/>
  <c r="AW671" i="3"/>
  <c r="AA671" i="3"/>
  <c r="Z671" i="3"/>
  <c r="Y671" i="3"/>
  <c r="X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AW670" i="3"/>
  <c r="AA670" i="3"/>
  <c r="Z670" i="3"/>
  <c r="Y670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AW669" i="3"/>
  <c r="AA669" i="3"/>
  <c r="Z669" i="3"/>
  <c r="Y669" i="3"/>
  <c r="X669" i="3"/>
  <c r="W669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AW668" i="3"/>
  <c r="AA668" i="3"/>
  <c r="Z668" i="3"/>
  <c r="Y668" i="3"/>
  <c r="X668" i="3"/>
  <c r="W668" i="3"/>
  <c r="V668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AW667" i="3"/>
  <c r="AA667" i="3"/>
  <c r="Z667" i="3"/>
  <c r="Y667" i="3"/>
  <c r="X667" i="3"/>
  <c r="W667" i="3"/>
  <c r="V667" i="3"/>
  <c r="U667" i="3"/>
  <c r="T667" i="3"/>
  <c r="S667" i="3"/>
  <c r="R667" i="3"/>
  <c r="Q667" i="3"/>
  <c r="O667" i="3"/>
  <c r="N667" i="3"/>
  <c r="M667" i="3"/>
  <c r="L667" i="3"/>
  <c r="K667" i="3"/>
  <c r="J667" i="3"/>
  <c r="AW666" i="3"/>
  <c r="AA666" i="3"/>
  <c r="Z666" i="3"/>
  <c r="Y666" i="3"/>
  <c r="X666" i="3"/>
  <c r="W666" i="3"/>
  <c r="V666" i="3"/>
  <c r="U666" i="3"/>
  <c r="T666" i="3"/>
  <c r="S666" i="3"/>
  <c r="R666" i="3"/>
  <c r="Q666" i="3"/>
  <c r="N666" i="3"/>
  <c r="M666" i="3"/>
  <c r="L666" i="3"/>
  <c r="K666" i="3"/>
  <c r="J666" i="3"/>
  <c r="AW665" i="3"/>
  <c r="AA665" i="3"/>
  <c r="Z665" i="3"/>
  <c r="Y665" i="3"/>
  <c r="X665" i="3"/>
  <c r="W665" i="3"/>
  <c r="V665" i="3"/>
  <c r="U665" i="3"/>
  <c r="T665" i="3"/>
  <c r="S665" i="3"/>
  <c r="R665" i="3"/>
  <c r="Q665" i="3"/>
  <c r="O665" i="3"/>
  <c r="N665" i="3"/>
  <c r="M665" i="3"/>
  <c r="L665" i="3"/>
  <c r="K665" i="3"/>
  <c r="J665" i="3"/>
  <c r="AW664" i="3"/>
  <c r="AA664" i="3"/>
  <c r="Z664" i="3"/>
  <c r="Y664" i="3"/>
  <c r="X664" i="3"/>
  <c r="W664" i="3"/>
  <c r="V664" i="3"/>
  <c r="U664" i="3"/>
  <c r="T664" i="3"/>
  <c r="S664" i="3"/>
  <c r="R664" i="3"/>
  <c r="Q664" i="3"/>
  <c r="N664" i="3"/>
  <c r="M664" i="3"/>
  <c r="L664" i="3"/>
  <c r="K664" i="3"/>
  <c r="J664" i="3"/>
  <c r="AW663" i="3"/>
  <c r="AA663" i="3"/>
  <c r="Z663" i="3"/>
  <c r="Y663" i="3"/>
  <c r="X663" i="3"/>
  <c r="W663" i="3"/>
  <c r="V663" i="3"/>
  <c r="U663" i="3"/>
  <c r="T663" i="3"/>
  <c r="S663" i="3"/>
  <c r="R663" i="3"/>
  <c r="Q663" i="3"/>
  <c r="N663" i="3"/>
  <c r="M663" i="3"/>
  <c r="L663" i="3"/>
  <c r="K663" i="3"/>
  <c r="J663" i="3"/>
  <c r="AW662" i="3"/>
  <c r="AA662" i="3"/>
  <c r="Z662" i="3"/>
  <c r="Y662" i="3"/>
  <c r="X662" i="3"/>
  <c r="W662" i="3"/>
  <c r="V662" i="3"/>
  <c r="U662" i="3"/>
  <c r="T662" i="3"/>
  <c r="S662" i="3"/>
  <c r="R662" i="3"/>
  <c r="Q662" i="3"/>
  <c r="N662" i="3"/>
  <c r="M662" i="3"/>
  <c r="L662" i="3"/>
  <c r="K662" i="3"/>
  <c r="J662" i="3"/>
  <c r="AW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AW660" i="3"/>
  <c r="AA660" i="3"/>
  <c r="Z660" i="3"/>
  <c r="Y660" i="3"/>
  <c r="X660" i="3"/>
  <c r="W660" i="3"/>
  <c r="V660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AW659" i="3"/>
  <c r="AA659" i="3"/>
  <c r="Z659" i="3"/>
  <c r="Y659" i="3"/>
  <c r="X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AW658" i="3"/>
  <c r="AA658" i="3"/>
  <c r="Z658" i="3"/>
  <c r="Y658" i="3"/>
  <c r="X658" i="3"/>
  <c r="W658" i="3"/>
  <c r="V658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AW657" i="3"/>
  <c r="AA657" i="3"/>
  <c r="Z657" i="3"/>
  <c r="Y657" i="3"/>
  <c r="X657" i="3"/>
  <c r="W657" i="3"/>
  <c r="V657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AW656" i="3"/>
  <c r="AA656" i="3"/>
  <c r="Z656" i="3"/>
  <c r="Y656" i="3"/>
  <c r="X656" i="3"/>
  <c r="W656" i="3"/>
  <c r="V656" i="3"/>
  <c r="U656" i="3"/>
  <c r="T656" i="3"/>
  <c r="S656" i="3"/>
  <c r="R656" i="3"/>
  <c r="Q656" i="3"/>
  <c r="P656" i="3"/>
  <c r="O656" i="3"/>
  <c r="N656" i="3"/>
  <c r="M656" i="3"/>
  <c r="L656" i="3"/>
  <c r="K656" i="3"/>
  <c r="J656" i="3"/>
  <c r="AW655" i="3"/>
  <c r="AA655" i="3"/>
  <c r="Z655" i="3"/>
  <c r="Y655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AW654" i="3"/>
  <c r="AA654" i="3"/>
  <c r="Z654" i="3"/>
  <c r="Y654" i="3"/>
  <c r="X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AW653" i="3"/>
  <c r="AA653" i="3"/>
  <c r="Z653" i="3"/>
  <c r="Y653" i="3"/>
  <c r="X653" i="3"/>
  <c r="W653" i="3"/>
  <c r="V653" i="3"/>
  <c r="U653" i="3"/>
  <c r="T653" i="3"/>
  <c r="S653" i="3"/>
  <c r="R653" i="3"/>
  <c r="Q653" i="3"/>
  <c r="P653" i="3"/>
  <c r="O653" i="3"/>
  <c r="N653" i="3"/>
  <c r="M653" i="3"/>
  <c r="L653" i="3"/>
  <c r="K653" i="3"/>
  <c r="J653" i="3"/>
  <c r="AW652" i="3"/>
  <c r="AA652" i="3"/>
  <c r="Z652" i="3"/>
  <c r="Y652" i="3"/>
  <c r="X652" i="3"/>
  <c r="W652" i="3"/>
  <c r="V652" i="3"/>
  <c r="U652" i="3"/>
  <c r="T652" i="3"/>
  <c r="S652" i="3"/>
  <c r="R652" i="3"/>
  <c r="Q652" i="3"/>
  <c r="P652" i="3"/>
  <c r="O652" i="3"/>
  <c r="N652" i="3"/>
  <c r="M652" i="3"/>
  <c r="L652" i="3"/>
  <c r="K652" i="3"/>
  <c r="J652" i="3"/>
  <c r="AW651" i="3"/>
  <c r="AA651" i="3"/>
  <c r="Z651" i="3"/>
  <c r="Y651" i="3"/>
  <c r="X651" i="3"/>
  <c r="W651" i="3"/>
  <c r="V651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AW650" i="3"/>
  <c r="AA650" i="3"/>
  <c r="Z650" i="3"/>
  <c r="Y650" i="3"/>
  <c r="X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AW649" i="3"/>
  <c r="AA649" i="3"/>
  <c r="Z649" i="3"/>
  <c r="Y649" i="3"/>
  <c r="X649" i="3"/>
  <c r="W649" i="3"/>
  <c r="V649" i="3"/>
  <c r="U649" i="3"/>
  <c r="T649" i="3"/>
  <c r="S649" i="3"/>
  <c r="R649" i="3"/>
  <c r="Q649" i="3"/>
  <c r="P649" i="3"/>
  <c r="O649" i="3"/>
  <c r="N649" i="3"/>
  <c r="M649" i="3"/>
  <c r="L649" i="3"/>
  <c r="K649" i="3"/>
  <c r="J649" i="3"/>
  <c r="AW648" i="3"/>
  <c r="AA648" i="3"/>
  <c r="Z648" i="3"/>
  <c r="Y648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AW647" i="3"/>
  <c r="AA647" i="3"/>
  <c r="Z647" i="3"/>
  <c r="Y647" i="3"/>
  <c r="X647" i="3"/>
  <c r="W647" i="3"/>
  <c r="V647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AW646" i="3"/>
  <c r="AA646" i="3"/>
  <c r="Z646" i="3"/>
  <c r="Y646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AW645" i="3"/>
  <c r="AA645" i="3"/>
  <c r="Z645" i="3"/>
  <c r="Y645" i="3"/>
  <c r="X645" i="3"/>
  <c r="W645" i="3"/>
  <c r="V645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AW644" i="3"/>
  <c r="AA644" i="3"/>
  <c r="Z644" i="3"/>
  <c r="Y644" i="3"/>
  <c r="X644" i="3"/>
  <c r="W644" i="3"/>
  <c r="V644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AW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AW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AW641" i="3"/>
  <c r="AA641" i="3"/>
  <c r="Z641" i="3"/>
  <c r="Y641" i="3"/>
  <c r="X641" i="3"/>
  <c r="W641" i="3"/>
  <c r="V641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AW640" i="3"/>
  <c r="AA640" i="3"/>
  <c r="Z640" i="3"/>
  <c r="Y640" i="3"/>
  <c r="X640" i="3"/>
  <c r="W640" i="3"/>
  <c r="V640" i="3"/>
  <c r="U640" i="3"/>
  <c r="T640" i="3"/>
  <c r="S640" i="3"/>
  <c r="R640" i="3"/>
  <c r="Q640" i="3"/>
  <c r="P640" i="3"/>
  <c r="O640" i="3"/>
  <c r="N640" i="3"/>
  <c r="M640" i="3"/>
  <c r="L640" i="3"/>
  <c r="K640" i="3"/>
  <c r="J640" i="3"/>
  <c r="AW639" i="3"/>
  <c r="AA639" i="3"/>
  <c r="Z639" i="3"/>
  <c r="Y639" i="3"/>
  <c r="X639" i="3"/>
  <c r="W639" i="3"/>
  <c r="V639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AW638" i="3"/>
  <c r="AA638" i="3"/>
  <c r="Z638" i="3"/>
  <c r="Y638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AW637" i="3"/>
  <c r="AA637" i="3"/>
  <c r="Z637" i="3"/>
  <c r="Y637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AW636" i="3"/>
  <c r="AA636" i="3"/>
  <c r="Z636" i="3"/>
  <c r="Y636" i="3"/>
  <c r="X636" i="3"/>
  <c r="W636" i="3"/>
  <c r="V636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AW635" i="3"/>
  <c r="AA635" i="3"/>
  <c r="Z635" i="3"/>
  <c r="Y635" i="3"/>
  <c r="X635" i="3"/>
  <c r="W635" i="3"/>
  <c r="V635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AW634" i="3"/>
  <c r="AA634" i="3"/>
  <c r="Z634" i="3"/>
  <c r="Y634" i="3"/>
  <c r="X634" i="3"/>
  <c r="W634" i="3"/>
  <c r="V634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AW633" i="3"/>
  <c r="AA633" i="3"/>
  <c r="Z633" i="3"/>
  <c r="Y633" i="3"/>
  <c r="X633" i="3"/>
  <c r="W633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AW632" i="3"/>
  <c r="AA632" i="3"/>
  <c r="Z632" i="3"/>
  <c r="Y632" i="3"/>
  <c r="X632" i="3"/>
  <c r="W632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AW631" i="3"/>
  <c r="AA631" i="3"/>
  <c r="Z631" i="3"/>
  <c r="Y631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AW630" i="3"/>
  <c r="AA630" i="3"/>
  <c r="Z630" i="3"/>
  <c r="Y630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AW629" i="3"/>
  <c r="AA629" i="3"/>
  <c r="Z629" i="3"/>
  <c r="Y629" i="3"/>
  <c r="X629" i="3"/>
  <c r="W629" i="3"/>
  <c r="V629" i="3"/>
  <c r="U629" i="3"/>
  <c r="T629" i="3"/>
  <c r="S629" i="3"/>
  <c r="R629" i="3"/>
  <c r="Q629" i="3"/>
  <c r="P629" i="3"/>
  <c r="O629" i="3"/>
  <c r="N629" i="3"/>
  <c r="M629" i="3"/>
  <c r="L629" i="3"/>
  <c r="K629" i="3"/>
  <c r="J629" i="3"/>
  <c r="AW628" i="3"/>
  <c r="AA628" i="3"/>
  <c r="Z628" i="3"/>
  <c r="Y628" i="3"/>
  <c r="X628" i="3"/>
  <c r="W628" i="3"/>
  <c r="V628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AW627" i="3"/>
  <c r="AA627" i="3"/>
  <c r="Z627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AW626" i="3"/>
  <c r="AA626" i="3"/>
  <c r="Z626" i="3"/>
  <c r="Y626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AW625" i="3"/>
  <c r="AA625" i="3"/>
  <c r="Z625" i="3"/>
  <c r="Y625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AW624" i="3"/>
  <c r="AA624" i="3"/>
  <c r="Z624" i="3"/>
  <c r="Y624" i="3"/>
  <c r="X624" i="3"/>
  <c r="W624" i="3"/>
  <c r="V624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AW623" i="3"/>
  <c r="AA623" i="3"/>
  <c r="Z623" i="3"/>
  <c r="Y623" i="3"/>
  <c r="X623" i="3"/>
  <c r="W623" i="3"/>
  <c r="V623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AW622" i="3"/>
  <c r="AA622" i="3"/>
  <c r="Z622" i="3"/>
  <c r="Y622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AW621" i="3"/>
  <c r="AA621" i="3"/>
  <c r="Z621" i="3"/>
  <c r="Y621" i="3"/>
  <c r="X621" i="3"/>
  <c r="W621" i="3"/>
  <c r="V621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AW620" i="3"/>
  <c r="AA620" i="3"/>
  <c r="Z620" i="3"/>
  <c r="Y620" i="3"/>
  <c r="X620" i="3"/>
  <c r="W620" i="3"/>
  <c r="V620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AW619" i="3"/>
  <c r="AA619" i="3"/>
  <c r="Z619" i="3"/>
  <c r="Y619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AW618" i="3"/>
  <c r="AA618" i="3"/>
  <c r="Z618" i="3"/>
  <c r="Y618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AW617" i="3"/>
  <c r="AA617" i="3"/>
  <c r="Z617" i="3"/>
  <c r="Y617" i="3"/>
  <c r="X617" i="3"/>
  <c r="W617" i="3"/>
  <c r="V617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AW616" i="3"/>
  <c r="AA616" i="3"/>
  <c r="Z616" i="3"/>
  <c r="Y616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AW615" i="3"/>
  <c r="AA615" i="3"/>
  <c r="Z615" i="3"/>
  <c r="Y615" i="3"/>
  <c r="X615" i="3"/>
  <c r="W615" i="3"/>
  <c r="V615" i="3"/>
  <c r="U615" i="3"/>
  <c r="T615" i="3"/>
  <c r="S615" i="3"/>
  <c r="R615" i="3"/>
  <c r="Q615" i="3"/>
  <c r="P615" i="3"/>
  <c r="O615" i="3"/>
  <c r="N615" i="3"/>
  <c r="M615" i="3"/>
  <c r="L615" i="3"/>
  <c r="K615" i="3"/>
  <c r="J615" i="3"/>
  <c r="AW614" i="3"/>
  <c r="AA614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AW613" i="3"/>
  <c r="AA613" i="3"/>
  <c r="Z613" i="3"/>
  <c r="Y613" i="3"/>
  <c r="X613" i="3"/>
  <c r="W613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AW612" i="3"/>
  <c r="AA612" i="3"/>
  <c r="Z612" i="3"/>
  <c r="Y612" i="3"/>
  <c r="X612" i="3"/>
  <c r="W612" i="3"/>
  <c r="V612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AW611" i="3"/>
  <c r="AA611" i="3"/>
  <c r="Z611" i="3"/>
  <c r="Y611" i="3"/>
  <c r="X611" i="3"/>
  <c r="W611" i="3"/>
  <c r="V611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AW610" i="3"/>
  <c r="AA610" i="3"/>
  <c r="Z610" i="3"/>
  <c r="Y610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AW609" i="3"/>
  <c r="AA609" i="3"/>
  <c r="Z609" i="3"/>
  <c r="Y609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AW608" i="3"/>
  <c r="AA608" i="3"/>
  <c r="Z608" i="3"/>
  <c r="Y608" i="3"/>
  <c r="X608" i="3"/>
  <c r="W608" i="3"/>
  <c r="V608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AW607" i="3"/>
  <c r="AA607" i="3"/>
  <c r="Z607" i="3"/>
  <c r="Y607" i="3"/>
  <c r="X607" i="3"/>
  <c r="W607" i="3"/>
  <c r="V607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AW606" i="3"/>
  <c r="AA606" i="3"/>
  <c r="Z606" i="3"/>
  <c r="Y606" i="3"/>
  <c r="X606" i="3"/>
  <c r="W606" i="3"/>
  <c r="V606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AW605" i="3"/>
  <c r="AA605" i="3"/>
  <c r="Z605" i="3"/>
  <c r="Y605" i="3"/>
  <c r="X605" i="3"/>
  <c r="W605" i="3"/>
  <c r="V605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AW604" i="3"/>
  <c r="AA604" i="3"/>
  <c r="Z604" i="3"/>
  <c r="Y604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AW603" i="3"/>
  <c r="AA603" i="3"/>
  <c r="Z603" i="3"/>
  <c r="Y603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AW602" i="3"/>
  <c r="AA602" i="3"/>
  <c r="Z602" i="3"/>
  <c r="Y602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AW601" i="3"/>
  <c r="AA601" i="3"/>
  <c r="Z601" i="3"/>
  <c r="Y601" i="3"/>
  <c r="X601" i="3"/>
  <c r="W601" i="3"/>
  <c r="V601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AW600" i="3"/>
  <c r="AA600" i="3"/>
  <c r="Z600" i="3"/>
  <c r="Y600" i="3"/>
  <c r="X600" i="3"/>
  <c r="W600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AW599" i="3"/>
  <c r="AA599" i="3"/>
  <c r="Z599" i="3"/>
  <c r="Y599" i="3"/>
  <c r="X599" i="3"/>
  <c r="W599" i="3"/>
  <c r="V599" i="3"/>
  <c r="U599" i="3"/>
  <c r="T599" i="3"/>
  <c r="S599" i="3"/>
  <c r="R599" i="3"/>
  <c r="Q599" i="3"/>
  <c r="P599" i="3"/>
  <c r="O599" i="3"/>
  <c r="N599" i="3"/>
  <c r="M599" i="3"/>
  <c r="L599" i="3"/>
  <c r="K599" i="3"/>
  <c r="J599" i="3"/>
  <c r="AW598" i="3"/>
  <c r="AA598" i="3"/>
  <c r="Z598" i="3"/>
  <c r="Y598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AW597" i="3"/>
  <c r="AA597" i="3"/>
  <c r="Z597" i="3"/>
  <c r="Y597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AW596" i="3"/>
  <c r="AA596" i="3"/>
  <c r="Z596" i="3"/>
  <c r="Y596" i="3"/>
  <c r="X596" i="3"/>
  <c r="W596" i="3"/>
  <c r="V596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AW595" i="3"/>
  <c r="AA595" i="3"/>
  <c r="Z595" i="3"/>
  <c r="Y595" i="3"/>
  <c r="X595" i="3"/>
  <c r="W595" i="3"/>
  <c r="V595" i="3"/>
  <c r="U595" i="3"/>
  <c r="T595" i="3"/>
  <c r="S595" i="3"/>
  <c r="R595" i="3"/>
  <c r="Q595" i="3"/>
  <c r="P595" i="3"/>
  <c r="O595" i="3"/>
  <c r="N595" i="3"/>
  <c r="M595" i="3"/>
  <c r="L595" i="3"/>
  <c r="K595" i="3"/>
  <c r="J595" i="3"/>
  <c r="AW594" i="3"/>
  <c r="AA594" i="3"/>
  <c r="Z594" i="3"/>
  <c r="Y594" i="3"/>
  <c r="X594" i="3"/>
  <c r="W594" i="3"/>
  <c r="V594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AW593" i="3"/>
  <c r="AA593" i="3"/>
  <c r="Z593" i="3"/>
  <c r="Y593" i="3"/>
  <c r="X593" i="3"/>
  <c r="W593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AW592" i="3"/>
  <c r="AA592" i="3"/>
  <c r="Z592" i="3"/>
  <c r="Y592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AW591" i="3"/>
  <c r="AA591" i="3"/>
  <c r="Z591" i="3"/>
  <c r="Y591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AW590" i="3"/>
  <c r="AA590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AW589" i="3"/>
  <c r="AA589" i="3"/>
  <c r="Z589" i="3"/>
  <c r="Y589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AW588" i="3"/>
  <c r="AA588" i="3"/>
  <c r="Z588" i="3"/>
  <c r="Y588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AW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AW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AW585" i="3"/>
  <c r="AA585" i="3"/>
  <c r="Z585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AW584" i="3"/>
  <c r="AA584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AW583" i="3"/>
  <c r="AA583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AW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AW581" i="3"/>
  <c r="AA581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AW580" i="3"/>
  <c r="AA580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AW579" i="3"/>
  <c r="AA579" i="3"/>
  <c r="Z579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AW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AW577" i="3"/>
  <c r="AA577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AW576" i="3"/>
  <c r="AA576" i="3"/>
  <c r="Z576" i="3"/>
  <c r="Y576" i="3"/>
  <c r="X576" i="3"/>
  <c r="W576" i="3"/>
  <c r="V576" i="3"/>
  <c r="U576" i="3"/>
  <c r="T576" i="3"/>
  <c r="S576" i="3"/>
  <c r="R576" i="3"/>
  <c r="N576" i="3"/>
  <c r="M576" i="3"/>
  <c r="K576" i="3"/>
  <c r="AW575" i="3"/>
  <c r="AA575" i="3"/>
  <c r="Z575" i="3"/>
  <c r="Y575" i="3"/>
  <c r="X575" i="3"/>
  <c r="W575" i="3"/>
  <c r="V575" i="3"/>
  <c r="U575" i="3"/>
  <c r="T575" i="3"/>
  <c r="S575" i="3"/>
  <c r="R575" i="3"/>
  <c r="N575" i="3"/>
  <c r="M575" i="3"/>
  <c r="AW574" i="3"/>
  <c r="AA574" i="3"/>
  <c r="Z574" i="3"/>
  <c r="Y574" i="3"/>
  <c r="X574" i="3"/>
  <c r="W574" i="3"/>
  <c r="V574" i="3"/>
  <c r="U574" i="3"/>
  <c r="T574" i="3"/>
  <c r="S574" i="3"/>
  <c r="R574" i="3"/>
  <c r="P574" i="3"/>
  <c r="O574" i="3"/>
  <c r="N574" i="3"/>
  <c r="M574" i="3"/>
  <c r="K574" i="3"/>
  <c r="AW573" i="3"/>
  <c r="AA573" i="3"/>
  <c r="Z573" i="3"/>
  <c r="Y573" i="3"/>
  <c r="X573" i="3"/>
  <c r="W573" i="3"/>
  <c r="V573" i="3"/>
  <c r="U573" i="3"/>
  <c r="T573" i="3"/>
  <c r="S573" i="3"/>
  <c r="R573" i="3"/>
  <c r="N573" i="3"/>
  <c r="M573" i="3"/>
  <c r="AW572" i="3"/>
  <c r="AA572" i="3"/>
  <c r="Z572" i="3"/>
  <c r="Y572" i="3"/>
  <c r="X572" i="3"/>
  <c r="W572" i="3"/>
  <c r="V572" i="3"/>
  <c r="U572" i="3"/>
  <c r="T572" i="3"/>
  <c r="S572" i="3"/>
  <c r="R572" i="3"/>
  <c r="P572" i="3"/>
  <c r="O572" i="3"/>
  <c r="N572" i="3"/>
  <c r="M572" i="3"/>
  <c r="K572" i="3"/>
  <c r="AW571" i="3"/>
  <c r="AA571" i="3"/>
  <c r="Z571" i="3"/>
  <c r="Y571" i="3"/>
  <c r="X571" i="3"/>
  <c r="W571" i="3"/>
  <c r="V571" i="3"/>
  <c r="U571" i="3"/>
  <c r="T571" i="3"/>
  <c r="S571" i="3"/>
  <c r="R571" i="3"/>
  <c r="P571" i="3"/>
  <c r="N571" i="3"/>
  <c r="M571" i="3"/>
  <c r="AW570" i="3"/>
  <c r="AA570" i="3"/>
  <c r="Z570" i="3"/>
  <c r="Y570" i="3"/>
  <c r="X570" i="3"/>
  <c r="W570" i="3"/>
  <c r="V570" i="3"/>
  <c r="U570" i="3"/>
  <c r="T570" i="3"/>
  <c r="S570" i="3"/>
  <c r="R570" i="3"/>
  <c r="P570" i="3"/>
  <c r="O570" i="3"/>
  <c r="N570" i="3"/>
  <c r="M570" i="3"/>
  <c r="J570" i="3"/>
  <c r="AW569" i="3"/>
  <c r="AA569" i="3"/>
  <c r="Z569" i="3"/>
  <c r="Y569" i="3"/>
  <c r="X569" i="3"/>
  <c r="W569" i="3"/>
  <c r="V569" i="3"/>
  <c r="U569" i="3"/>
  <c r="T569" i="3"/>
  <c r="S569" i="3"/>
  <c r="R569" i="3"/>
  <c r="N569" i="3"/>
  <c r="M569" i="3"/>
  <c r="AW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J568" i="3"/>
  <c r="AW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AW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AW565" i="3"/>
  <c r="AA565" i="3"/>
  <c r="Z565" i="3"/>
  <c r="Y565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AW564" i="3"/>
  <c r="AA564" i="3"/>
  <c r="Z564" i="3"/>
  <c r="Y564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AW563" i="3"/>
  <c r="AA563" i="3"/>
  <c r="Z563" i="3"/>
  <c r="Y563" i="3"/>
  <c r="X563" i="3"/>
  <c r="W563" i="3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AW562" i="3"/>
  <c r="AA562" i="3"/>
  <c r="Z562" i="3"/>
  <c r="Y562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AW561" i="3"/>
  <c r="AA561" i="3"/>
  <c r="Z561" i="3"/>
  <c r="Y561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AW560" i="3"/>
  <c r="AA560" i="3"/>
  <c r="Z560" i="3"/>
  <c r="Y560" i="3"/>
  <c r="X560" i="3"/>
  <c r="W560" i="3"/>
  <c r="V560" i="3"/>
  <c r="U560" i="3"/>
  <c r="T560" i="3"/>
  <c r="S560" i="3"/>
  <c r="R560" i="3"/>
  <c r="N560" i="3"/>
  <c r="M560" i="3"/>
  <c r="K560" i="3"/>
  <c r="AW559" i="3"/>
  <c r="AA559" i="3"/>
  <c r="Z559" i="3"/>
  <c r="Y559" i="3"/>
  <c r="X559" i="3"/>
  <c r="W559" i="3"/>
  <c r="V559" i="3"/>
  <c r="U559" i="3"/>
  <c r="T559" i="3"/>
  <c r="S559" i="3"/>
  <c r="R559" i="3"/>
  <c r="N559" i="3"/>
  <c r="M559" i="3"/>
  <c r="AW558" i="3"/>
  <c r="AA558" i="3"/>
  <c r="Z558" i="3"/>
  <c r="Y558" i="3"/>
  <c r="X558" i="3"/>
  <c r="W558" i="3"/>
  <c r="V558" i="3"/>
  <c r="U558" i="3"/>
  <c r="T558" i="3"/>
  <c r="S558" i="3"/>
  <c r="R558" i="3"/>
  <c r="P558" i="3"/>
  <c r="O558" i="3"/>
  <c r="N558" i="3"/>
  <c r="M558" i="3"/>
  <c r="K558" i="3"/>
  <c r="AW557" i="3"/>
  <c r="AA557" i="3"/>
  <c r="Z557" i="3"/>
  <c r="Y557" i="3"/>
  <c r="X557" i="3"/>
  <c r="W557" i="3"/>
  <c r="V557" i="3"/>
  <c r="U557" i="3"/>
  <c r="T557" i="3"/>
  <c r="S557" i="3"/>
  <c r="R557" i="3"/>
  <c r="N557" i="3"/>
  <c r="M557" i="3"/>
  <c r="AW556" i="3"/>
  <c r="AA556" i="3"/>
  <c r="Z556" i="3"/>
  <c r="Y556" i="3"/>
  <c r="X556" i="3"/>
  <c r="W556" i="3"/>
  <c r="V556" i="3"/>
  <c r="U556" i="3"/>
  <c r="T556" i="3"/>
  <c r="S556" i="3"/>
  <c r="R556" i="3"/>
  <c r="Q556" i="3"/>
  <c r="P556" i="3"/>
  <c r="O556" i="3"/>
  <c r="N556" i="3"/>
  <c r="M556" i="3"/>
  <c r="L556" i="3"/>
  <c r="K556" i="3"/>
  <c r="J556" i="3"/>
  <c r="AW555" i="3"/>
  <c r="AA555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AW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AW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AW552" i="3"/>
  <c r="AA552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AW551" i="3"/>
  <c r="AA551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AW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AW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AW548" i="3"/>
  <c r="AA548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AW547" i="3"/>
  <c r="AA547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AW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AW545" i="3"/>
  <c r="AA545" i="3"/>
  <c r="Z545" i="3"/>
  <c r="Y545" i="3"/>
  <c r="X545" i="3"/>
  <c r="W545" i="3"/>
  <c r="V545" i="3"/>
  <c r="U545" i="3"/>
  <c r="T545" i="3"/>
  <c r="S545" i="3"/>
  <c r="R545" i="3"/>
  <c r="Q545" i="3"/>
  <c r="N545" i="3"/>
  <c r="M545" i="3"/>
  <c r="L545" i="3"/>
  <c r="K545" i="3"/>
  <c r="AW544" i="3"/>
  <c r="AA544" i="3"/>
  <c r="Z544" i="3"/>
  <c r="Y544" i="3"/>
  <c r="X544" i="3"/>
  <c r="W544" i="3"/>
  <c r="V544" i="3"/>
  <c r="U544" i="3"/>
  <c r="T544" i="3"/>
  <c r="S544" i="3"/>
  <c r="R544" i="3"/>
  <c r="N544" i="3"/>
  <c r="M544" i="3"/>
  <c r="AW543" i="3"/>
  <c r="AA543" i="3"/>
  <c r="Z543" i="3"/>
  <c r="Y543" i="3"/>
  <c r="X543" i="3"/>
  <c r="W543" i="3"/>
  <c r="V543" i="3"/>
  <c r="U543" i="3"/>
  <c r="T543" i="3"/>
  <c r="S543" i="3"/>
  <c r="R543" i="3"/>
  <c r="P543" i="3"/>
  <c r="N543" i="3"/>
  <c r="M543" i="3"/>
  <c r="J543" i="3"/>
  <c r="AW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N542" i="3"/>
  <c r="M542" i="3"/>
  <c r="AW541" i="3"/>
  <c r="AA541" i="3"/>
  <c r="Z541" i="3"/>
  <c r="Y541" i="3"/>
  <c r="X541" i="3"/>
  <c r="W541" i="3"/>
  <c r="V541" i="3"/>
  <c r="U541" i="3"/>
  <c r="T541" i="3"/>
  <c r="S541" i="3"/>
  <c r="R541" i="3"/>
  <c r="N541" i="3"/>
  <c r="M541" i="3"/>
  <c r="L541" i="3"/>
  <c r="K541" i="3"/>
  <c r="AW540" i="3"/>
  <c r="AA540" i="3"/>
  <c r="Z540" i="3"/>
  <c r="Y540" i="3"/>
  <c r="X540" i="3"/>
  <c r="W540" i="3"/>
  <c r="V540" i="3"/>
  <c r="U540" i="3"/>
  <c r="T540" i="3"/>
  <c r="S540" i="3"/>
  <c r="R540" i="3"/>
  <c r="N540" i="3"/>
  <c r="M540" i="3"/>
  <c r="AW539" i="3"/>
  <c r="AA539" i="3"/>
  <c r="Z539" i="3"/>
  <c r="Y539" i="3"/>
  <c r="X539" i="3"/>
  <c r="W539" i="3"/>
  <c r="V539" i="3"/>
  <c r="U539" i="3"/>
  <c r="T539" i="3"/>
  <c r="S539" i="3"/>
  <c r="R539" i="3"/>
  <c r="P539" i="3"/>
  <c r="O539" i="3"/>
  <c r="N539" i="3"/>
  <c r="M539" i="3"/>
  <c r="L539" i="3"/>
  <c r="K539" i="3"/>
  <c r="AW538" i="3"/>
  <c r="AA538" i="3"/>
  <c r="Z538" i="3"/>
  <c r="Y538" i="3"/>
  <c r="X538" i="3"/>
  <c r="W538" i="3"/>
  <c r="V538" i="3"/>
  <c r="U538" i="3"/>
  <c r="T538" i="3"/>
  <c r="S538" i="3"/>
  <c r="R538" i="3"/>
  <c r="N538" i="3"/>
  <c r="M538" i="3"/>
  <c r="AW537" i="3"/>
  <c r="AA537" i="3"/>
  <c r="Z537" i="3"/>
  <c r="Y537" i="3"/>
  <c r="X537" i="3"/>
  <c r="W537" i="3"/>
  <c r="V537" i="3"/>
  <c r="U537" i="3"/>
  <c r="T537" i="3"/>
  <c r="S537" i="3"/>
  <c r="R537" i="3"/>
  <c r="P537" i="3"/>
  <c r="O537" i="3"/>
  <c r="N537" i="3"/>
  <c r="M537" i="3"/>
  <c r="K537" i="3"/>
  <c r="J537" i="3"/>
  <c r="AW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N536" i="3"/>
  <c r="M536" i="3"/>
  <c r="AW535" i="3"/>
  <c r="AA535" i="3"/>
  <c r="Z535" i="3"/>
  <c r="Y535" i="3"/>
  <c r="X535" i="3"/>
  <c r="W535" i="3"/>
  <c r="V535" i="3"/>
  <c r="U535" i="3"/>
  <c r="T535" i="3"/>
  <c r="S535" i="3"/>
  <c r="R535" i="3"/>
  <c r="N535" i="3"/>
  <c r="M535" i="3"/>
  <c r="K535" i="3"/>
  <c r="AW534" i="3"/>
  <c r="AA534" i="3"/>
  <c r="Z534" i="3"/>
  <c r="Y534" i="3"/>
  <c r="X534" i="3"/>
  <c r="W534" i="3"/>
  <c r="V534" i="3"/>
  <c r="U534" i="3"/>
  <c r="T534" i="3"/>
  <c r="S534" i="3"/>
  <c r="R534" i="3"/>
  <c r="N534" i="3"/>
  <c r="M534" i="3"/>
  <c r="L534" i="3"/>
  <c r="AW533" i="3"/>
  <c r="AA533" i="3"/>
  <c r="Z533" i="3"/>
  <c r="Y533" i="3"/>
  <c r="X533" i="3"/>
  <c r="W533" i="3"/>
  <c r="V533" i="3"/>
  <c r="U533" i="3"/>
  <c r="T533" i="3"/>
  <c r="S533" i="3"/>
  <c r="R533" i="3"/>
  <c r="N533" i="3"/>
  <c r="M533" i="3"/>
  <c r="L533" i="3"/>
  <c r="K533" i="3"/>
  <c r="AW532" i="3"/>
  <c r="AA532" i="3"/>
  <c r="Z532" i="3"/>
  <c r="Y532" i="3"/>
  <c r="X532" i="3"/>
  <c r="W532" i="3"/>
  <c r="V532" i="3"/>
  <c r="U532" i="3"/>
  <c r="T532" i="3"/>
  <c r="S532" i="3"/>
  <c r="R532" i="3"/>
  <c r="N532" i="3"/>
  <c r="M532" i="3"/>
  <c r="AW531" i="3"/>
  <c r="AA531" i="3"/>
  <c r="Z531" i="3"/>
  <c r="Y531" i="3"/>
  <c r="X531" i="3"/>
  <c r="W531" i="3"/>
  <c r="V531" i="3"/>
  <c r="U531" i="3"/>
  <c r="T531" i="3"/>
  <c r="S531" i="3"/>
  <c r="R531" i="3"/>
  <c r="P531" i="3"/>
  <c r="O531" i="3"/>
  <c r="N531" i="3"/>
  <c r="M531" i="3"/>
  <c r="K531" i="3"/>
  <c r="J531" i="3"/>
  <c r="AW530" i="3"/>
  <c r="AA530" i="3"/>
  <c r="Z530" i="3"/>
  <c r="Y530" i="3"/>
  <c r="X530" i="3"/>
  <c r="W530" i="3"/>
  <c r="V530" i="3"/>
  <c r="U530" i="3"/>
  <c r="T530" i="3"/>
  <c r="S530" i="3"/>
  <c r="R530" i="3"/>
  <c r="Q530" i="3"/>
  <c r="N530" i="3"/>
  <c r="M530" i="3"/>
  <c r="AW529" i="3"/>
  <c r="AA529" i="3"/>
  <c r="Z529" i="3"/>
  <c r="Y529" i="3"/>
  <c r="X529" i="3"/>
  <c r="W529" i="3"/>
  <c r="V529" i="3"/>
  <c r="U529" i="3"/>
  <c r="T529" i="3"/>
  <c r="S529" i="3"/>
  <c r="R529" i="3"/>
  <c r="Q529" i="3"/>
  <c r="N529" i="3"/>
  <c r="M529" i="3"/>
  <c r="AW528" i="3"/>
  <c r="AA528" i="3"/>
  <c r="Z528" i="3"/>
  <c r="Y528" i="3"/>
  <c r="X528" i="3"/>
  <c r="W528" i="3"/>
  <c r="V528" i="3"/>
  <c r="U528" i="3"/>
  <c r="T528" i="3"/>
  <c r="S528" i="3"/>
  <c r="R528" i="3"/>
  <c r="N528" i="3"/>
  <c r="M528" i="3"/>
  <c r="AW527" i="3"/>
  <c r="AA527" i="3"/>
  <c r="Z527" i="3"/>
  <c r="Y527" i="3"/>
  <c r="X527" i="3"/>
  <c r="W527" i="3"/>
  <c r="V527" i="3"/>
  <c r="U527" i="3"/>
  <c r="T527" i="3"/>
  <c r="S527" i="3"/>
  <c r="R527" i="3"/>
  <c r="Q527" i="3"/>
  <c r="P527" i="3"/>
  <c r="N527" i="3"/>
  <c r="M527" i="3"/>
  <c r="AW526" i="3"/>
  <c r="AA526" i="3"/>
  <c r="Z526" i="3"/>
  <c r="Y526" i="3"/>
  <c r="X526" i="3"/>
  <c r="W526" i="3"/>
  <c r="V526" i="3"/>
  <c r="U526" i="3"/>
  <c r="T526" i="3"/>
  <c r="S526" i="3"/>
  <c r="R526" i="3"/>
  <c r="N526" i="3"/>
  <c r="M526" i="3"/>
  <c r="AW525" i="3"/>
  <c r="AA525" i="3"/>
  <c r="Z525" i="3"/>
  <c r="Y525" i="3"/>
  <c r="X525" i="3"/>
  <c r="W525" i="3"/>
  <c r="V525" i="3"/>
  <c r="U525" i="3"/>
  <c r="T525" i="3"/>
  <c r="S525" i="3"/>
  <c r="R525" i="3"/>
  <c r="P525" i="3"/>
  <c r="N525" i="3"/>
  <c r="M525" i="3"/>
  <c r="AW524" i="3"/>
  <c r="AA524" i="3"/>
  <c r="Z524" i="3"/>
  <c r="Y524" i="3"/>
  <c r="X524" i="3"/>
  <c r="W524" i="3"/>
  <c r="V524" i="3"/>
  <c r="U524" i="3"/>
  <c r="T524" i="3"/>
  <c r="S524" i="3"/>
  <c r="R524" i="3"/>
  <c r="P524" i="3"/>
  <c r="O524" i="3"/>
  <c r="N524" i="3"/>
  <c r="M524" i="3"/>
  <c r="AW523" i="3"/>
  <c r="AA523" i="3"/>
  <c r="Z523" i="3"/>
  <c r="Y523" i="3"/>
  <c r="X523" i="3"/>
  <c r="W523" i="3"/>
  <c r="V523" i="3"/>
  <c r="U523" i="3"/>
  <c r="T523" i="3"/>
  <c r="S523" i="3"/>
  <c r="R523" i="3"/>
  <c r="N523" i="3"/>
  <c r="M523" i="3"/>
  <c r="K523" i="3"/>
  <c r="AW522" i="3"/>
  <c r="AA522" i="3"/>
  <c r="Z522" i="3"/>
  <c r="Y522" i="3"/>
  <c r="X522" i="3"/>
  <c r="W522" i="3"/>
  <c r="V522" i="3"/>
  <c r="U522" i="3"/>
  <c r="T522" i="3"/>
  <c r="S522" i="3"/>
  <c r="R522" i="3"/>
  <c r="N522" i="3"/>
  <c r="M522" i="3"/>
  <c r="AW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AW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AW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AW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W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W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W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W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W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W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W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W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W509" i="3"/>
  <c r="AA509" i="3"/>
  <c r="Z509" i="3"/>
  <c r="Y509" i="3"/>
  <c r="X509" i="3"/>
  <c r="W509" i="3"/>
  <c r="V509" i="3"/>
  <c r="U509" i="3"/>
  <c r="T509" i="3"/>
  <c r="S509" i="3"/>
  <c r="R509" i="3"/>
  <c r="N509" i="3"/>
  <c r="M509" i="3"/>
  <c r="K509" i="3"/>
  <c r="AW508" i="3"/>
  <c r="AA508" i="3"/>
  <c r="Z508" i="3"/>
  <c r="Y508" i="3"/>
  <c r="X508" i="3"/>
  <c r="W508" i="3"/>
  <c r="V508" i="3"/>
  <c r="U508" i="3"/>
  <c r="T508" i="3"/>
  <c r="S508" i="3"/>
  <c r="R508" i="3"/>
  <c r="N508" i="3"/>
  <c r="M508" i="3"/>
  <c r="AW507" i="3"/>
  <c r="AA507" i="3"/>
  <c r="Z507" i="3"/>
  <c r="Y507" i="3"/>
  <c r="X507" i="3"/>
  <c r="W507" i="3"/>
  <c r="V507" i="3"/>
  <c r="U507" i="3"/>
  <c r="T507" i="3"/>
  <c r="S507" i="3"/>
  <c r="R507" i="3"/>
  <c r="P507" i="3"/>
  <c r="N507" i="3"/>
  <c r="M507" i="3"/>
  <c r="L507" i="3"/>
  <c r="J507" i="3"/>
  <c r="AW506" i="3"/>
  <c r="AA506" i="3"/>
  <c r="Z506" i="3"/>
  <c r="Y506" i="3"/>
  <c r="X506" i="3"/>
  <c r="W506" i="3"/>
  <c r="V506" i="3"/>
  <c r="U506" i="3"/>
  <c r="T506" i="3"/>
  <c r="S506" i="3"/>
  <c r="R506" i="3"/>
  <c r="Q506" i="3"/>
  <c r="O506" i="3"/>
  <c r="N506" i="3"/>
  <c r="M506" i="3"/>
  <c r="AW505" i="3"/>
  <c r="AA505" i="3"/>
  <c r="Z505" i="3"/>
  <c r="Y505" i="3"/>
  <c r="X505" i="3"/>
  <c r="W505" i="3"/>
  <c r="V505" i="3"/>
  <c r="U505" i="3"/>
  <c r="T505" i="3"/>
  <c r="S505" i="3"/>
  <c r="R505" i="3"/>
  <c r="O505" i="3"/>
  <c r="N505" i="3"/>
  <c r="M505" i="3"/>
  <c r="K505" i="3"/>
  <c r="J505" i="3"/>
  <c r="AW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N504" i="3"/>
  <c r="M504" i="3"/>
  <c r="L504" i="3"/>
  <c r="AW503" i="3"/>
  <c r="AA503" i="3"/>
  <c r="Z503" i="3"/>
  <c r="Y503" i="3"/>
  <c r="X503" i="3"/>
  <c r="W503" i="3"/>
  <c r="V503" i="3"/>
  <c r="U503" i="3"/>
  <c r="T503" i="3"/>
  <c r="S503" i="3"/>
  <c r="R503" i="3"/>
  <c r="P503" i="3"/>
  <c r="N503" i="3"/>
  <c r="M503" i="3"/>
  <c r="L503" i="3"/>
  <c r="K503" i="3"/>
  <c r="AW502" i="3"/>
  <c r="AA502" i="3"/>
  <c r="Z502" i="3"/>
  <c r="Y502" i="3"/>
  <c r="X502" i="3"/>
  <c r="W502" i="3"/>
  <c r="V502" i="3"/>
  <c r="U502" i="3"/>
  <c r="T502" i="3"/>
  <c r="S502" i="3"/>
  <c r="R502" i="3"/>
  <c r="N502" i="3"/>
  <c r="M502" i="3"/>
  <c r="AW501" i="3"/>
  <c r="AA501" i="3"/>
  <c r="Z501" i="3"/>
  <c r="Y501" i="3"/>
  <c r="X501" i="3"/>
  <c r="W501" i="3"/>
  <c r="V501" i="3"/>
  <c r="U501" i="3"/>
  <c r="T501" i="3"/>
  <c r="S501" i="3"/>
  <c r="R501" i="3"/>
  <c r="P501" i="3"/>
  <c r="N501" i="3"/>
  <c r="M501" i="3"/>
  <c r="K501" i="3"/>
  <c r="J501" i="3"/>
  <c r="AW500" i="3"/>
  <c r="AA500" i="3"/>
  <c r="Z500" i="3"/>
  <c r="Y500" i="3"/>
  <c r="X500" i="3"/>
  <c r="W500" i="3"/>
  <c r="V500" i="3"/>
  <c r="U500" i="3"/>
  <c r="T500" i="3"/>
  <c r="S500" i="3"/>
  <c r="R500" i="3"/>
  <c r="Q500" i="3"/>
  <c r="N500" i="3"/>
  <c r="M500" i="3"/>
  <c r="AW499" i="3"/>
  <c r="AA499" i="3"/>
  <c r="Z499" i="3"/>
  <c r="Y499" i="3"/>
  <c r="X499" i="3"/>
  <c r="W499" i="3"/>
  <c r="V499" i="3"/>
  <c r="U499" i="3"/>
  <c r="T499" i="3"/>
  <c r="S499" i="3"/>
  <c r="R499" i="3"/>
  <c r="P499" i="3"/>
  <c r="N499" i="3"/>
  <c r="M499" i="3"/>
  <c r="L499" i="3"/>
  <c r="K499" i="3"/>
  <c r="J499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AW497" i="3"/>
  <c r="AA497" i="3"/>
  <c r="Z497" i="3"/>
  <c r="Y497" i="3"/>
  <c r="X497" i="3"/>
  <c r="W497" i="3"/>
  <c r="V497" i="3"/>
  <c r="U497" i="3"/>
  <c r="T497" i="3"/>
  <c r="S497" i="3"/>
  <c r="R497" i="3"/>
  <c r="N497" i="3"/>
  <c r="M497" i="3"/>
  <c r="K497" i="3"/>
  <c r="J497" i="3"/>
  <c r="AW496" i="3"/>
  <c r="AA496" i="3"/>
  <c r="Z496" i="3"/>
  <c r="Y496" i="3"/>
  <c r="X496" i="3"/>
  <c r="W496" i="3"/>
  <c r="V496" i="3"/>
  <c r="U496" i="3"/>
  <c r="T496" i="3"/>
  <c r="S496" i="3"/>
  <c r="R496" i="3"/>
  <c r="N496" i="3"/>
  <c r="M496" i="3"/>
  <c r="AW495" i="3"/>
  <c r="AA495" i="3"/>
  <c r="Z495" i="3"/>
  <c r="Y495" i="3"/>
  <c r="X495" i="3"/>
  <c r="W495" i="3"/>
  <c r="V495" i="3"/>
  <c r="U495" i="3"/>
  <c r="T495" i="3"/>
  <c r="S495" i="3"/>
  <c r="R495" i="3"/>
  <c r="P495" i="3"/>
  <c r="O495" i="3"/>
  <c r="N495" i="3"/>
  <c r="M495" i="3"/>
  <c r="L495" i="3"/>
  <c r="K495" i="3"/>
  <c r="AW494" i="3"/>
  <c r="AA494" i="3"/>
  <c r="Z494" i="3"/>
  <c r="Y494" i="3"/>
  <c r="X494" i="3"/>
  <c r="W494" i="3"/>
  <c r="V494" i="3"/>
  <c r="U494" i="3"/>
  <c r="T494" i="3"/>
  <c r="S494" i="3"/>
  <c r="R494" i="3"/>
  <c r="N494" i="3"/>
  <c r="M494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N493" i="3"/>
  <c r="M493" i="3"/>
  <c r="AW492" i="3"/>
  <c r="AA492" i="3"/>
  <c r="Z492" i="3"/>
  <c r="Y492" i="3"/>
  <c r="X492" i="3"/>
  <c r="W492" i="3"/>
  <c r="V492" i="3"/>
  <c r="U492" i="3"/>
  <c r="T492" i="3"/>
  <c r="S492" i="3"/>
  <c r="R492" i="3"/>
  <c r="N492" i="3"/>
  <c r="M492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N491" i="3"/>
  <c r="M491" i="3"/>
  <c r="AW490" i="3"/>
  <c r="AA490" i="3"/>
  <c r="Z490" i="3"/>
  <c r="Y490" i="3"/>
  <c r="X490" i="3"/>
  <c r="W490" i="3"/>
  <c r="V490" i="3"/>
  <c r="U490" i="3"/>
  <c r="T490" i="3"/>
  <c r="S490" i="3"/>
  <c r="R490" i="3"/>
  <c r="N490" i="3"/>
  <c r="M490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O489" i="3"/>
  <c r="N489" i="3"/>
  <c r="M489" i="3"/>
  <c r="AW488" i="3"/>
  <c r="AA488" i="3"/>
  <c r="Z488" i="3"/>
  <c r="Y488" i="3"/>
  <c r="X488" i="3"/>
  <c r="W488" i="3"/>
  <c r="V488" i="3"/>
  <c r="U488" i="3"/>
  <c r="T488" i="3"/>
  <c r="S488" i="3"/>
  <c r="R488" i="3"/>
  <c r="P488" i="3"/>
  <c r="O488" i="3"/>
  <c r="N488" i="3"/>
  <c r="M488" i="3"/>
  <c r="AW487" i="3"/>
  <c r="AA487" i="3"/>
  <c r="Z487" i="3"/>
  <c r="Y487" i="3"/>
  <c r="X487" i="3"/>
  <c r="W487" i="3"/>
  <c r="V487" i="3"/>
  <c r="U487" i="3"/>
  <c r="T487" i="3"/>
  <c r="S487" i="3"/>
  <c r="R487" i="3"/>
  <c r="N487" i="3"/>
  <c r="M487" i="3"/>
  <c r="K487" i="3"/>
  <c r="J487" i="3"/>
  <c r="AW486" i="3"/>
  <c r="AA486" i="3"/>
  <c r="Z486" i="3"/>
  <c r="Y486" i="3"/>
  <c r="X486" i="3"/>
  <c r="W486" i="3"/>
  <c r="V486" i="3"/>
  <c r="U486" i="3"/>
  <c r="T486" i="3"/>
  <c r="S486" i="3"/>
  <c r="R486" i="3"/>
  <c r="N486" i="3"/>
  <c r="M486" i="3"/>
  <c r="L486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W479" i="3"/>
  <c r="AA479" i="3"/>
  <c r="Z479" i="3"/>
  <c r="Y479" i="3"/>
  <c r="X479" i="3"/>
  <c r="W479" i="3"/>
  <c r="V479" i="3"/>
  <c r="U479" i="3"/>
  <c r="T479" i="3"/>
  <c r="S479" i="3"/>
  <c r="R479" i="3"/>
  <c r="N479" i="3"/>
  <c r="M479" i="3"/>
  <c r="L479" i="3"/>
  <c r="K479" i="3"/>
  <c r="AW478" i="3"/>
  <c r="AA478" i="3"/>
  <c r="Z478" i="3"/>
  <c r="Y478" i="3"/>
  <c r="X478" i="3"/>
  <c r="W478" i="3"/>
  <c r="V478" i="3"/>
  <c r="U478" i="3"/>
  <c r="T478" i="3"/>
  <c r="S478" i="3"/>
  <c r="R478" i="3"/>
  <c r="N478" i="3"/>
  <c r="M478" i="3"/>
  <c r="K478" i="3"/>
  <c r="AW477" i="3"/>
  <c r="AA477" i="3"/>
  <c r="Z477" i="3"/>
  <c r="Y477" i="3"/>
  <c r="X477" i="3"/>
  <c r="W477" i="3"/>
  <c r="V477" i="3"/>
  <c r="U477" i="3"/>
  <c r="T477" i="3"/>
  <c r="S477" i="3"/>
  <c r="R477" i="3"/>
  <c r="P477" i="3"/>
  <c r="N477" i="3"/>
  <c r="M477" i="3"/>
  <c r="K477" i="3"/>
  <c r="AW476" i="3"/>
  <c r="AA476" i="3"/>
  <c r="Z476" i="3"/>
  <c r="Y476" i="3"/>
  <c r="X476" i="3"/>
  <c r="W476" i="3"/>
  <c r="V476" i="3"/>
  <c r="U476" i="3"/>
  <c r="T476" i="3"/>
  <c r="S476" i="3"/>
  <c r="R476" i="3"/>
  <c r="N476" i="3"/>
  <c r="M476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O475" i="3"/>
  <c r="N475" i="3"/>
  <c r="M475" i="3"/>
  <c r="L475" i="3"/>
  <c r="K475" i="3"/>
  <c r="AW474" i="3"/>
  <c r="AA474" i="3"/>
  <c r="Z474" i="3"/>
  <c r="Y474" i="3"/>
  <c r="X474" i="3"/>
  <c r="W474" i="3"/>
  <c r="V474" i="3"/>
  <c r="U474" i="3"/>
  <c r="T474" i="3"/>
  <c r="S474" i="3"/>
  <c r="R474" i="3"/>
  <c r="N474" i="3"/>
  <c r="M474" i="3"/>
  <c r="AW473" i="3"/>
  <c r="AA473" i="3"/>
  <c r="Z473" i="3"/>
  <c r="Y473" i="3"/>
  <c r="X473" i="3"/>
  <c r="W473" i="3"/>
  <c r="V473" i="3"/>
  <c r="U473" i="3"/>
  <c r="T473" i="3"/>
  <c r="S473" i="3"/>
  <c r="R473" i="3"/>
  <c r="O473" i="3"/>
  <c r="N473" i="3"/>
  <c r="M473" i="3"/>
  <c r="L473" i="3"/>
  <c r="AW472" i="3"/>
  <c r="AA472" i="3"/>
  <c r="Z472" i="3"/>
  <c r="Y472" i="3"/>
  <c r="X472" i="3"/>
  <c r="W472" i="3"/>
  <c r="V472" i="3"/>
  <c r="U472" i="3"/>
  <c r="T472" i="3"/>
  <c r="S472" i="3"/>
  <c r="R472" i="3"/>
  <c r="P472" i="3"/>
  <c r="O472" i="3"/>
  <c r="N472" i="3"/>
  <c r="M472" i="3"/>
  <c r="AW471" i="3"/>
  <c r="AA471" i="3"/>
  <c r="Z471" i="3"/>
  <c r="Y471" i="3"/>
  <c r="X471" i="3"/>
  <c r="W471" i="3"/>
  <c r="V471" i="3"/>
  <c r="U471" i="3"/>
  <c r="T471" i="3"/>
  <c r="S471" i="3"/>
  <c r="R471" i="3"/>
  <c r="N471" i="3"/>
  <c r="M471" i="3"/>
  <c r="AW470" i="3"/>
  <c r="AA470" i="3"/>
  <c r="Z470" i="3"/>
  <c r="Y470" i="3"/>
  <c r="X470" i="3"/>
  <c r="W470" i="3"/>
  <c r="V470" i="3"/>
  <c r="U470" i="3"/>
  <c r="T470" i="3"/>
  <c r="S470" i="3"/>
  <c r="R470" i="3"/>
  <c r="N470" i="3"/>
  <c r="M470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N469" i="3"/>
  <c r="M469" i="3"/>
  <c r="L469" i="3"/>
  <c r="K469" i="3"/>
  <c r="AW468" i="3"/>
  <c r="AA468" i="3"/>
  <c r="Z468" i="3"/>
  <c r="Y468" i="3"/>
  <c r="X468" i="3"/>
  <c r="W468" i="3"/>
  <c r="V468" i="3"/>
  <c r="U468" i="3"/>
  <c r="T468" i="3"/>
  <c r="S468" i="3"/>
  <c r="R468" i="3"/>
  <c r="N468" i="3"/>
  <c r="M468" i="3"/>
  <c r="AW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N467" i="3"/>
  <c r="M467" i="3"/>
  <c r="AW466" i="3"/>
  <c r="AA466" i="3"/>
  <c r="Z466" i="3"/>
  <c r="Y466" i="3"/>
  <c r="X466" i="3"/>
  <c r="W466" i="3"/>
  <c r="V466" i="3"/>
  <c r="U466" i="3"/>
  <c r="T466" i="3"/>
  <c r="S466" i="3"/>
  <c r="R466" i="3"/>
  <c r="N466" i="3"/>
  <c r="M466" i="3"/>
  <c r="AW465" i="3"/>
  <c r="AA465" i="3"/>
  <c r="Z465" i="3"/>
  <c r="Y465" i="3"/>
  <c r="X465" i="3"/>
  <c r="W465" i="3"/>
  <c r="V465" i="3"/>
  <c r="U465" i="3"/>
  <c r="T465" i="3"/>
  <c r="S465" i="3"/>
  <c r="R465" i="3"/>
  <c r="N465" i="3"/>
  <c r="M465" i="3"/>
  <c r="K465" i="3"/>
  <c r="AW464" i="3"/>
  <c r="AA464" i="3"/>
  <c r="Z464" i="3"/>
  <c r="Y464" i="3"/>
  <c r="X464" i="3"/>
  <c r="W464" i="3"/>
  <c r="V464" i="3"/>
  <c r="U464" i="3"/>
  <c r="T464" i="3"/>
  <c r="S464" i="3"/>
  <c r="R464" i="3"/>
  <c r="N464" i="3"/>
  <c r="M464" i="3"/>
  <c r="AW463" i="3"/>
  <c r="AA463" i="3"/>
  <c r="Z463" i="3"/>
  <c r="Y463" i="3"/>
  <c r="X463" i="3"/>
  <c r="W463" i="3"/>
  <c r="V463" i="3"/>
  <c r="U463" i="3"/>
  <c r="T463" i="3"/>
  <c r="S463" i="3"/>
  <c r="R463" i="3"/>
  <c r="N463" i="3"/>
  <c r="M463" i="3"/>
  <c r="K463" i="3"/>
  <c r="AW462" i="3"/>
  <c r="AA462" i="3"/>
  <c r="Z462" i="3"/>
  <c r="Y462" i="3"/>
  <c r="X462" i="3"/>
  <c r="W462" i="3"/>
  <c r="V462" i="3"/>
  <c r="U462" i="3"/>
  <c r="T462" i="3"/>
  <c r="S462" i="3"/>
  <c r="R462" i="3"/>
  <c r="N462" i="3"/>
  <c r="M462" i="3"/>
  <c r="AW461" i="3"/>
  <c r="AA461" i="3"/>
  <c r="Z461" i="3"/>
  <c r="Y461" i="3"/>
  <c r="X461" i="3"/>
  <c r="W461" i="3"/>
  <c r="V461" i="3"/>
  <c r="U461" i="3"/>
  <c r="T461" i="3"/>
  <c r="S461" i="3"/>
  <c r="R461" i="3"/>
  <c r="N461" i="3"/>
  <c r="M461" i="3"/>
  <c r="K461" i="3"/>
  <c r="J461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W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W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W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W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W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W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W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W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W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W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W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W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W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W423" i="3"/>
  <c r="AA423" i="3"/>
  <c r="Z423" i="3"/>
  <c r="Y423" i="3"/>
  <c r="X423" i="3"/>
  <c r="W423" i="3"/>
  <c r="V423" i="3"/>
  <c r="U423" i="3"/>
  <c r="T423" i="3"/>
  <c r="S423" i="3"/>
  <c r="R423" i="3"/>
  <c r="N423" i="3"/>
  <c r="M423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K422" i="3"/>
  <c r="AW421" i="3"/>
  <c r="AA421" i="3"/>
  <c r="Z421" i="3"/>
  <c r="Y421" i="3"/>
  <c r="X421" i="3"/>
  <c r="W421" i="3"/>
  <c r="V421" i="3"/>
  <c r="U421" i="3"/>
  <c r="T421" i="3"/>
  <c r="S421" i="3"/>
  <c r="R421" i="3"/>
  <c r="N421" i="3"/>
  <c r="M421" i="3"/>
  <c r="AW420" i="3"/>
  <c r="AA420" i="3"/>
  <c r="Z420" i="3"/>
  <c r="Y420" i="3"/>
  <c r="X420" i="3"/>
  <c r="W420" i="3"/>
  <c r="V420" i="3"/>
  <c r="U420" i="3"/>
  <c r="T420" i="3"/>
  <c r="S420" i="3"/>
  <c r="R420" i="3"/>
  <c r="N420" i="3"/>
  <c r="M420" i="3"/>
  <c r="L420" i="3"/>
  <c r="K420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W413" i="3"/>
  <c r="AA413" i="3"/>
  <c r="Z413" i="3"/>
  <c r="Y413" i="3"/>
  <c r="X413" i="3"/>
  <c r="W413" i="3"/>
  <c r="V413" i="3"/>
  <c r="U413" i="3"/>
  <c r="T413" i="3"/>
  <c r="S413" i="3"/>
  <c r="R413" i="3"/>
  <c r="N413" i="3"/>
  <c r="M413" i="3"/>
  <c r="AW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N412" i="3"/>
  <c r="M412" i="3"/>
  <c r="L412" i="3"/>
  <c r="AW411" i="3"/>
  <c r="AA411" i="3"/>
  <c r="Z411" i="3"/>
  <c r="Y411" i="3"/>
  <c r="X411" i="3"/>
  <c r="W411" i="3"/>
  <c r="V411" i="3"/>
  <c r="U411" i="3"/>
  <c r="T411" i="3"/>
  <c r="S411" i="3"/>
  <c r="R411" i="3"/>
  <c r="N411" i="3"/>
  <c r="M411" i="3"/>
  <c r="AW410" i="3"/>
  <c r="AA410" i="3"/>
  <c r="Z410" i="3"/>
  <c r="Y410" i="3"/>
  <c r="X410" i="3"/>
  <c r="W410" i="3"/>
  <c r="V410" i="3"/>
  <c r="U410" i="3"/>
  <c r="T410" i="3"/>
  <c r="S410" i="3"/>
  <c r="R410" i="3"/>
  <c r="P410" i="3"/>
  <c r="N410" i="3"/>
  <c r="M410" i="3"/>
  <c r="AW409" i="3"/>
  <c r="AA409" i="3"/>
  <c r="Z409" i="3"/>
  <c r="Y409" i="3"/>
  <c r="X409" i="3"/>
  <c r="W409" i="3"/>
  <c r="V409" i="3"/>
  <c r="U409" i="3"/>
  <c r="T409" i="3"/>
  <c r="S409" i="3"/>
  <c r="R409" i="3"/>
  <c r="N409" i="3"/>
  <c r="M409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N408" i="3"/>
  <c r="M408" i="3"/>
  <c r="J408" i="3"/>
  <c r="AW407" i="3"/>
  <c r="AA407" i="3"/>
  <c r="Z407" i="3"/>
  <c r="Y407" i="3"/>
  <c r="X407" i="3"/>
  <c r="W407" i="3"/>
  <c r="V407" i="3"/>
  <c r="U407" i="3"/>
  <c r="T407" i="3"/>
  <c r="S407" i="3"/>
  <c r="R407" i="3"/>
  <c r="N407" i="3"/>
  <c r="M407" i="3"/>
  <c r="AW406" i="3"/>
  <c r="AA406" i="3"/>
  <c r="Z406" i="3"/>
  <c r="Y406" i="3"/>
  <c r="X406" i="3"/>
  <c r="W406" i="3"/>
  <c r="V406" i="3"/>
  <c r="U406" i="3"/>
  <c r="T406" i="3"/>
  <c r="S406" i="3"/>
  <c r="R406" i="3"/>
  <c r="O406" i="3"/>
  <c r="N406" i="3"/>
  <c r="M406" i="3"/>
  <c r="J406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N405" i="3"/>
  <c r="M405" i="3"/>
  <c r="AW404" i="3"/>
  <c r="AA404" i="3"/>
  <c r="Z404" i="3"/>
  <c r="Y404" i="3"/>
  <c r="X404" i="3"/>
  <c r="W404" i="3"/>
  <c r="V404" i="3"/>
  <c r="U404" i="3"/>
  <c r="T404" i="3"/>
  <c r="S404" i="3"/>
  <c r="R404" i="3"/>
  <c r="N404" i="3"/>
  <c r="M404" i="3"/>
  <c r="K404" i="3"/>
  <c r="AW403" i="3"/>
  <c r="AA403" i="3"/>
  <c r="Z403" i="3"/>
  <c r="Y403" i="3"/>
  <c r="X403" i="3"/>
  <c r="W403" i="3"/>
  <c r="V403" i="3"/>
  <c r="U403" i="3"/>
  <c r="T403" i="3"/>
  <c r="S403" i="3"/>
  <c r="R403" i="3"/>
  <c r="N403" i="3"/>
  <c r="M403" i="3"/>
  <c r="AW402" i="3"/>
  <c r="AA402" i="3"/>
  <c r="Z402" i="3"/>
  <c r="Y402" i="3"/>
  <c r="X402" i="3"/>
  <c r="W402" i="3"/>
  <c r="V402" i="3"/>
  <c r="U402" i="3"/>
  <c r="T402" i="3"/>
  <c r="S402" i="3"/>
  <c r="R402" i="3"/>
  <c r="P402" i="3"/>
  <c r="N402" i="3"/>
  <c r="M402" i="3"/>
  <c r="L402" i="3"/>
  <c r="K402" i="3"/>
  <c r="AW401" i="3"/>
  <c r="AA401" i="3"/>
  <c r="Z401" i="3"/>
  <c r="Y401" i="3"/>
  <c r="X401" i="3"/>
  <c r="W401" i="3"/>
  <c r="V401" i="3"/>
  <c r="U401" i="3"/>
  <c r="T401" i="3"/>
  <c r="S401" i="3"/>
  <c r="R401" i="3"/>
  <c r="N401" i="3"/>
  <c r="M401" i="3"/>
  <c r="AW400" i="3"/>
  <c r="AA400" i="3"/>
  <c r="Z400" i="3"/>
  <c r="Y400" i="3"/>
  <c r="X400" i="3"/>
  <c r="W400" i="3"/>
  <c r="V400" i="3"/>
  <c r="U400" i="3"/>
  <c r="T400" i="3"/>
  <c r="S400" i="3"/>
  <c r="R400" i="3"/>
  <c r="N400" i="3"/>
  <c r="M400" i="3"/>
  <c r="AW399" i="3"/>
  <c r="AA399" i="3"/>
  <c r="Z399" i="3"/>
  <c r="Y399" i="3"/>
  <c r="X399" i="3"/>
  <c r="W399" i="3"/>
  <c r="V399" i="3"/>
  <c r="U399" i="3"/>
  <c r="T399" i="3"/>
  <c r="S399" i="3"/>
  <c r="R399" i="3"/>
  <c r="N399" i="3"/>
  <c r="M399" i="3"/>
  <c r="L399" i="3"/>
  <c r="AW398" i="3"/>
  <c r="AA398" i="3"/>
  <c r="Z398" i="3"/>
  <c r="Y398" i="3"/>
  <c r="X398" i="3"/>
  <c r="W398" i="3"/>
  <c r="V398" i="3"/>
  <c r="U398" i="3"/>
  <c r="T398" i="3"/>
  <c r="S398" i="3"/>
  <c r="R398" i="3"/>
  <c r="N398" i="3"/>
  <c r="M398" i="3"/>
  <c r="K398" i="3"/>
  <c r="AW397" i="3"/>
  <c r="AA397" i="3"/>
  <c r="Z397" i="3"/>
  <c r="Y397" i="3"/>
  <c r="X397" i="3"/>
  <c r="W397" i="3"/>
  <c r="V397" i="3"/>
  <c r="U397" i="3"/>
  <c r="T397" i="3"/>
  <c r="S397" i="3"/>
  <c r="R397" i="3"/>
  <c r="N397" i="3"/>
  <c r="M397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N396" i="3"/>
  <c r="M396" i="3"/>
  <c r="K396" i="3"/>
  <c r="AW395" i="3"/>
  <c r="AA395" i="3"/>
  <c r="Z395" i="3"/>
  <c r="Y395" i="3"/>
  <c r="X395" i="3"/>
  <c r="W395" i="3"/>
  <c r="V395" i="3"/>
  <c r="U395" i="3"/>
  <c r="T395" i="3"/>
  <c r="S395" i="3"/>
  <c r="R395" i="3"/>
  <c r="N395" i="3"/>
  <c r="M395" i="3"/>
  <c r="AW394" i="3"/>
  <c r="AA394" i="3"/>
  <c r="Z394" i="3"/>
  <c r="Y394" i="3"/>
  <c r="X394" i="3"/>
  <c r="W394" i="3"/>
  <c r="V394" i="3"/>
  <c r="U394" i="3"/>
  <c r="T394" i="3"/>
  <c r="S394" i="3"/>
  <c r="R394" i="3"/>
  <c r="P394" i="3"/>
  <c r="O394" i="3"/>
  <c r="N394" i="3"/>
  <c r="M394" i="3"/>
  <c r="L394" i="3"/>
  <c r="K394" i="3"/>
  <c r="AW393" i="3"/>
  <c r="AA393" i="3"/>
  <c r="Z393" i="3"/>
  <c r="Y393" i="3"/>
  <c r="X393" i="3"/>
  <c r="W393" i="3"/>
  <c r="V393" i="3"/>
  <c r="U393" i="3"/>
  <c r="T393" i="3"/>
  <c r="S393" i="3"/>
  <c r="R393" i="3"/>
  <c r="P393" i="3"/>
  <c r="O393" i="3"/>
  <c r="N393" i="3"/>
  <c r="M393" i="3"/>
  <c r="AW392" i="3"/>
  <c r="AA392" i="3"/>
  <c r="Z392" i="3"/>
  <c r="Y392" i="3"/>
  <c r="X392" i="3"/>
  <c r="W392" i="3"/>
  <c r="V392" i="3"/>
  <c r="U392" i="3"/>
  <c r="T392" i="3"/>
  <c r="S392" i="3"/>
  <c r="R392" i="3"/>
  <c r="P392" i="3"/>
  <c r="N392" i="3"/>
  <c r="M392" i="3"/>
  <c r="L392" i="3"/>
  <c r="K392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W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W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W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W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W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W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W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W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W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W372" i="3"/>
  <c r="AA372" i="3"/>
  <c r="Z372" i="3"/>
  <c r="Y372" i="3"/>
  <c r="X372" i="3"/>
  <c r="W372" i="3"/>
  <c r="V372" i="3"/>
  <c r="U372" i="3"/>
  <c r="T372" i="3"/>
  <c r="S372" i="3"/>
  <c r="R372" i="3"/>
  <c r="N372" i="3"/>
  <c r="M372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N371" i="3"/>
  <c r="M371" i="3"/>
  <c r="K371" i="3"/>
  <c r="J371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N370" i="3"/>
  <c r="M370" i="3"/>
  <c r="AW369" i="3"/>
  <c r="AA369" i="3"/>
  <c r="Z369" i="3"/>
  <c r="Y369" i="3"/>
  <c r="X369" i="3"/>
  <c r="W369" i="3"/>
  <c r="V369" i="3"/>
  <c r="U369" i="3"/>
  <c r="T369" i="3"/>
  <c r="S369" i="3"/>
  <c r="R369" i="3"/>
  <c r="N369" i="3"/>
  <c r="M369" i="3"/>
  <c r="K369" i="3"/>
  <c r="J369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AW367" i="3"/>
  <c r="AA367" i="3"/>
  <c r="Z367" i="3"/>
  <c r="Y367" i="3"/>
  <c r="X367" i="3"/>
  <c r="W367" i="3"/>
  <c r="V367" i="3"/>
  <c r="U367" i="3"/>
  <c r="T367" i="3"/>
  <c r="S367" i="3"/>
  <c r="R367" i="3"/>
  <c r="N367" i="3"/>
  <c r="M367" i="3"/>
  <c r="K367" i="3"/>
  <c r="J367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W356" i="3"/>
  <c r="AA356" i="3"/>
  <c r="Z356" i="3"/>
  <c r="Y356" i="3"/>
  <c r="X356" i="3"/>
  <c r="W356" i="3"/>
  <c r="V356" i="3"/>
  <c r="U356" i="3"/>
  <c r="T356" i="3"/>
  <c r="S356" i="3"/>
  <c r="R356" i="3"/>
  <c r="N356" i="3"/>
  <c r="M356" i="3"/>
  <c r="AW355" i="3"/>
  <c r="AA355" i="3"/>
  <c r="Z355" i="3"/>
  <c r="Y355" i="3"/>
  <c r="X355" i="3"/>
  <c r="W355" i="3"/>
  <c r="V355" i="3"/>
  <c r="U355" i="3"/>
  <c r="T355" i="3"/>
  <c r="S355" i="3"/>
  <c r="R355" i="3"/>
  <c r="P355" i="3"/>
  <c r="O355" i="3"/>
  <c r="N355" i="3"/>
  <c r="M355" i="3"/>
  <c r="K355" i="3"/>
  <c r="J355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N354" i="3"/>
  <c r="M354" i="3"/>
  <c r="AW353" i="3"/>
  <c r="AA353" i="3"/>
  <c r="Z353" i="3"/>
  <c r="Y353" i="3"/>
  <c r="X353" i="3"/>
  <c r="W353" i="3"/>
  <c r="V353" i="3"/>
  <c r="U353" i="3"/>
  <c r="T353" i="3"/>
  <c r="S353" i="3"/>
  <c r="R353" i="3"/>
  <c r="P353" i="3"/>
  <c r="O353" i="3"/>
  <c r="N353" i="3"/>
  <c r="M353" i="3"/>
  <c r="K353" i="3"/>
  <c r="J353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O352" i="3"/>
  <c r="N352" i="3"/>
  <c r="M352" i="3"/>
  <c r="AW351" i="3"/>
  <c r="AA351" i="3"/>
  <c r="Z351" i="3"/>
  <c r="Y351" i="3"/>
  <c r="X351" i="3"/>
  <c r="W351" i="3"/>
  <c r="V351" i="3"/>
  <c r="U351" i="3"/>
  <c r="T351" i="3"/>
  <c r="S351" i="3"/>
  <c r="R351" i="3"/>
  <c r="P351" i="3"/>
  <c r="N351" i="3"/>
  <c r="M351" i="3"/>
  <c r="L351" i="3"/>
  <c r="K351" i="3"/>
  <c r="AW350" i="3"/>
  <c r="AA350" i="3"/>
  <c r="Z350" i="3"/>
  <c r="Y350" i="3"/>
  <c r="X350" i="3"/>
  <c r="W350" i="3"/>
  <c r="V350" i="3"/>
  <c r="U350" i="3"/>
  <c r="T350" i="3"/>
  <c r="S350" i="3"/>
  <c r="R350" i="3"/>
  <c r="O350" i="3"/>
  <c r="N350" i="3"/>
  <c r="M350" i="3"/>
  <c r="AW349" i="3"/>
  <c r="AA349" i="3"/>
  <c r="Z349" i="3"/>
  <c r="Y349" i="3"/>
  <c r="X349" i="3"/>
  <c r="W349" i="3"/>
  <c r="V349" i="3"/>
  <c r="U349" i="3"/>
  <c r="T349" i="3"/>
  <c r="S349" i="3"/>
  <c r="R349" i="3"/>
  <c r="N349" i="3"/>
  <c r="M349" i="3"/>
  <c r="AW348" i="3"/>
  <c r="AA348" i="3"/>
  <c r="Z348" i="3"/>
  <c r="Y348" i="3"/>
  <c r="X348" i="3"/>
  <c r="W348" i="3"/>
  <c r="V348" i="3"/>
  <c r="U348" i="3"/>
  <c r="T348" i="3"/>
  <c r="S348" i="3"/>
  <c r="R348" i="3"/>
  <c r="N348" i="3"/>
  <c r="M348" i="3"/>
  <c r="K348" i="3"/>
  <c r="AW347" i="3"/>
  <c r="AA347" i="3"/>
  <c r="Z347" i="3"/>
  <c r="Y347" i="3"/>
  <c r="X347" i="3"/>
  <c r="W347" i="3"/>
  <c r="V347" i="3"/>
  <c r="U347" i="3"/>
  <c r="T347" i="3"/>
  <c r="S347" i="3"/>
  <c r="R347" i="3"/>
  <c r="O347" i="3"/>
  <c r="N347" i="3"/>
  <c r="M347" i="3"/>
  <c r="L347" i="3"/>
  <c r="K347" i="3"/>
  <c r="AW346" i="3"/>
  <c r="AA346" i="3"/>
  <c r="Z346" i="3"/>
  <c r="Y346" i="3"/>
  <c r="X346" i="3"/>
  <c r="W346" i="3"/>
  <c r="V346" i="3"/>
  <c r="U346" i="3"/>
  <c r="T346" i="3"/>
  <c r="S346" i="3"/>
  <c r="R346" i="3"/>
  <c r="N346" i="3"/>
  <c r="M346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N345" i="3"/>
  <c r="M345" i="3"/>
  <c r="L345" i="3"/>
  <c r="K345" i="3"/>
  <c r="AW344" i="3"/>
  <c r="AA344" i="3"/>
  <c r="Z344" i="3"/>
  <c r="Y344" i="3"/>
  <c r="X344" i="3"/>
  <c r="W344" i="3"/>
  <c r="V344" i="3"/>
  <c r="U344" i="3"/>
  <c r="T344" i="3"/>
  <c r="S344" i="3"/>
  <c r="R344" i="3"/>
  <c r="O344" i="3"/>
  <c r="N344" i="3"/>
  <c r="M344" i="3"/>
  <c r="AW343" i="3"/>
  <c r="AA343" i="3"/>
  <c r="Z343" i="3"/>
  <c r="Y343" i="3"/>
  <c r="X343" i="3"/>
  <c r="W343" i="3"/>
  <c r="V343" i="3"/>
  <c r="U343" i="3"/>
  <c r="T343" i="3"/>
  <c r="S343" i="3"/>
  <c r="R343" i="3"/>
  <c r="P343" i="3"/>
  <c r="O343" i="3"/>
  <c r="N343" i="3"/>
  <c r="M343" i="3"/>
  <c r="L343" i="3"/>
  <c r="K343" i="3"/>
  <c r="J343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N342" i="3"/>
  <c r="M342" i="3"/>
  <c r="AW341" i="3"/>
  <c r="AA341" i="3"/>
  <c r="Z341" i="3"/>
  <c r="Y341" i="3"/>
  <c r="X341" i="3"/>
  <c r="W341" i="3"/>
  <c r="V341" i="3"/>
  <c r="U341" i="3"/>
  <c r="T341" i="3"/>
  <c r="S341" i="3"/>
  <c r="R341" i="3"/>
  <c r="P341" i="3"/>
  <c r="O341" i="3"/>
  <c r="N341" i="3"/>
  <c r="M341" i="3"/>
  <c r="L341" i="3"/>
  <c r="K341" i="3"/>
  <c r="AW340" i="3"/>
  <c r="AA340" i="3"/>
  <c r="Z340" i="3"/>
  <c r="Y340" i="3"/>
  <c r="X340" i="3"/>
  <c r="W340" i="3"/>
  <c r="V340" i="3"/>
  <c r="U340" i="3"/>
  <c r="T340" i="3"/>
  <c r="S340" i="3"/>
  <c r="R340" i="3"/>
  <c r="N340" i="3"/>
  <c r="M340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AW333" i="3"/>
  <c r="AA333" i="3"/>
  <c r="Z333" i="3"/>
  <c r="Y333" i="3"/>
  <c r="X333" i="3"/>
  <c r="W333" i="3"/>
  <c r="V333" i="3"/>
  <c r="U333" i="3"/>
  <c r="T333" i="3"/>
  <c r="S333" i="3"/>
  <c r="R333" i="3"/>
  <c r="N333" i="3"/>
  <c r="M333" i="3"/>
  <c r="AW332" i="3"/>
  <c r="AA332" i="3"/>
  <c r="Z332" i="3"/>
  <c r="Y332" i="3"/>
  <c r="X332" i="3"/>
  <c r="W332" i="3"/>
  <c r="V332" i="3"/>
  <c r="U332" i="3"/>
  <c r="T332" i="3"/>
  <c r="S332" i="3"/>
  <c r="R332" i="3"/>
  <c r="P332" i="3"/>
  <c r="O332" i="3"/>
  <c r="N332" i="3"/>
  <c r="M332" i="3"/>
  <c r="L332" i="3"/>
  <c r="K332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N321" i="3"/>
  <c r="M321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L320" i="3"/>
  <c r="K320" i="3"/>
  <c r="AW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W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W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N317" i="3"/>
  <c r="M317" i="3"/>
  <c r="L317" i="3"/>
  <c r="AW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W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W314" i="3"/>
  <c r="AA314" i="3"/>
  <c r="Z314" i="3"/>
  <c r="Y314" i="3"/>
  <c r="X314" i="3"/>
  <c r="W314" i="3"/>
  <c r="V314" i="3"/>
  <c r="U314" i="3"/>
  <c r="T314" i="3"/>
  <c r="S314" i="3"/>
  <c r="R314" i="3"/>
  <c r="O314" i="3"/>
  <c r="N314" i="3"/>
  <c r="M314" i="3"/>
  <c r="L314" i="3"/>
  <c r="AW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W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W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W310" i="3"/>
  <c r="AA310" i="3"/>
  <c r="Z310" i="3"/>
  <c r="Y310" i="3"/>
  <c r="X310" i="3"/>
  <c r="W310" i="3"/>
  <c r="V310" i="3"/>
  <c r="U310" i="3"/>
  <c r="T310" i="3"/>
  <c r="S310" i="3"/>
  <c r="R310" i="3"/>
  <c r="N310" i="3"/>
  <c r="M310" i="3"/>
  <c r="AW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W307" i="3"/>
  <c r="AA307" i="3"/>
  <c r="Z307" i="3"/>
  <c r="Y307" i="3"/>
  <c r="X307" i="3"/>
  <c r="W307" i="3"/>
  <c r="V307" i="3"/>
  <c r="U307" i="3"/>
  <c r="T307" i="3"/>
  <c r="S307" i="3"/>
  <c r="R307" i="3"/>
  <c r="P307" i="3"/>
  <c r="N307" i="3"/>
  <c r="M307" i="3"/>
  <c r="L307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W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W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W300" i="3"/>
  <c r="AA300" i="3"/>
  <c r="Z300" i="3"/>
  <c r="Y300" i="3"/>
  <c r="X300" i="3"/>
  <c r="W300" i="3"/>
  <c r="V300" i="3"/>
  <c r="U300" i="3"/>
  <c r="T300" i="3"/>
  <c r="S300" i="3"/>
  <c r="R300" i="3"/>
  <c r="N300" i="3"/>
  <c r="M300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N299" i="3"/>
  <c r="M299" i="3"/>
  <c r="L299" i="3"/>
  <c r="AW298" i="3"/>
  <c r="AA298" i="3"/>
  <c r="Z298" i="3"/>
  <c r="Y298" i="3"/>
  <c r="X298" i="3"/>
  <c r="W298" i="3"/>
  <c r="V298" i="3"/>
  <c r="U298" i="3"/>
  <c r="T298" i="3"/>
  <c r="S298" i="3"/>
  <c r="R298" i="3"/>
  <c r="N298" i="3"/>
  <c r="M298" i="3"/>
  <c r="AW297" i="3"/>
  <c r="AA297" i="3"/>
  <c r="Z297" i="3"/>
  <c r="Y297" i="3"/>
  <c r="X297" i="3"/>
  <c r="W297" i="3"/>
  <c r="V297" i="3"/>
  <c r="U297" i="3"/>
  <c r="T297" i="3"/>
  <c r="S297" i="3"/>
  <c r="R297" i="3"/>
  <c r="O297" i="3"/>
  <c r="N297" i="3"/>
  <c r="M297" i="3"/>
  <c r="L297" i="3"/>
  <c r="K297" i="3"/>
  <c r="J297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N296" i="3"/>
  <c r="M296" i="3"/>
  <c r="AW295" i="3"/>
  <c r="AA295" i="3"/>
  <c r="Z295" i="3"/>
  <c r="Y295" i="3"/>
  <c r="X295" i="3"/>
  <c r="W295" i="3"/>
  <c r="V295" i="3"/>
  <c r="U295" i="3"/>
  <c r="T295" i="3"/>
  <c r="S295" i="3"/>
  <c r="R295" i="3"/>
  <c r="P295" i="3"/>
  <c r="N295" i="3"/>
  <c r="M295" i="3"/>
  <c r="L295" i="3"/>
  <c r="K295" i="3"/>
  <c r="J295" i="3"/>
  <c r="AW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AW293" i="3"/>
  <c r="AA293" i="3"/>
  <c r="Z293" i="3"/>
  <c r="Y293" i="3"/>
  <c r="X293" i="3"/>
  <c r="W293" i="3"/>
  <c r="V293" i="3"/>
  <c r="U293" i="3"/>
  <c r="T293" i="3"/>
  <c r="S293" i="3"/>
  <c r="R293" i="3"/>
  <c r="N293" i="3"/>
  <c r="M293" i="3"/>
  <c r="K293" i="3"/>
  <c r="J293" i="3"/>
  <c r="AW292" i="3"/>
  <c r="AA292" i="3"/>
  <c r="Z292" i="3"/>
  <c r="Y292" i="3"/>
  <c r="X292" i="3"/>
  <c r="W292" i="3"/>
  <c r="V292" i="3"/>
  <c r="U292" i="3"/>
  <c r="T292" i="3"/>
  <c r="S292" i="3"/>
  <c r="R292" i="3"/>
  <c r="N292" i="3"/>
  <c r="M292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N291" i="3"/>
  <c r="M291" i="3"/>
  <c r="K291" i="3"/>
  <c r="AW290" i="3"/>
  <c r="AA290" i="3"/>
  <c r="Z290" i="3"/>
  <c r="Y290" i="3"/>
  <c r="X290" i="3"/>
  <c r="W290" i="3"/>
  <c r="V290" i="3"/>
  <c r="U290" i="3"/>
  <c r="T290" i="3"/>
  <c r="S290" i="3"/>
  <c r="R290" i="3"/>
  <c r="N290" i="3"/>
  <c r="M290" i="3"/>
  <c r="AW289" i="3"/>
  <c r="AA289" i="3"/>
  <c r="Z289" i="3"/>
  <c r="Y289" i="3"/>
  <c r="X289" i="3"/>
  <c r="W289" i="3"/>
  <c r="V289" i="3"/>
  <c r="U289" i="3"/>
  <c r="T289" i="3"/>
  <c r="S289" i="3"/>
  <c r="R289" i="3"/>
  <c r="P289" i="3"/>
  <c r="O289" i="3"/>
  <c r="N289" i="3"/>
  <c r="M289" i="3"/>
  <c r="L289" i="3"/>
  <c r="K289" i="3"/>
  <c r="J289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N288" i="3"/>
  <c r="M288" i="3"/>
  <c r="AW287" i="3"/>
  <c r="AA287" i="3"/>
  <c r="Z287" i="3"/>
  <c r="Y287" i="3"/>
  <c r="X287" i="3"/>
  <c r="W287" i="3"/>
  <c r="V287" i="3"/>
  <c r="U287" i="3"/>
  <c r="T287" i="3"/>
  <c r="S287" i="3"/>
  <c r="R287" i="3"/>
  <c r="P287" i="3"/>
  <c r="O287" i="3"/>
  <c r="N287" i="3"/>
  <c r="M287" i="3"/>
  <c r="L287" i="3"/>
  <c r="J287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AW284" i="3"/>
  <c r="AA284" i="3"/>
  <c r="Z284" i="3"/>
  <c r="Y284" i="3"/>
  <c r="X284" i="3"/>
  <c r="W284" i="3"/>
  <c r="V284" i="3"/>
  <c r="U284" i="3"/>
  <c r="T284" i="3"/>
  <c r="S284" i="3"/>
  <c r="R284" i="3"/>
  <c r="P284" i="3"/>
  <c r="O284" i="3"/>
  <c r="N284" i="3"/>
  <c r="M284" i="3"/>
  <c r="L284" i="3"/>
  <c r="K284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N281" i="3"/>
  <c r="M281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N280" i="3"/>
  <c r="M280" i="3"/>
  <c r="L280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AW274" i="3"/>
  <c r="AA274" i="3"/>
  <c r="Z274" i="3"/>
  <c r="Y274" i="3"/>
  <c r="X274" i="3"/>
  <c r="W274" i="3"/>
  <c r="V274" i="3"/>
  <c r="U274" i="3"/>
  <c r="T274" i="3"/>
  <c r="S274" i="3"/>
  <c r="R274" i="3"/>
  <c r="N274" i="3"/>
  <c r="M274" i="3"/>
  <c r="L274" i="3"/>
  <c r="K274" i="3"/>
  <c r="J274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N273" i="3"/>
  <c r="M273" i="3"/>
  <c r="AW272" i="3"/>
  <c r="AA272" i="3"/>
  <c r="Z272" i="3"/>
  <c r="Y272" i="3"/>
  <c r="X272" i="3"/>
  <c r="W272" i="3"/>
  <c r="V272" i="3"/>
  <c r="U272" i="3"/>
  <c r="T272" i="3"/>
  <c r="S272" i="3"/>
  <c r="R272" i="3"/>
  <c r="N272" i="3"/>
  <c r="M272" i="3"/>
  <c r="L272" i="3"/>
  <c r="K272" i="3"/>
  <c r="J272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AW270" i="3"/>
  <c r="AA270" i="3"/>
  <c r="Z270" i="3"/>
  <c r="Y270" i="3"/>
  <c r="X270" i="3"/>
  <c r="W270" i="3"/>
  <c r="V270" i="3"/>
  <c r="U270" i="3"/>
  <c r="T270" i="3"/>
  <c r="S270" i="3"/>
  <c r="R270" i="3"/>
  <c r="N270" i="3"/>
  <c r="M270" i="3"/>
  <c r="L270" i="3"/>
  <c r="K270" i="3"/>
  <c r="J270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AW268" i="3"/>
  <c r="AA268" i="3"/>
  <c r="Z268" i="3"/>
  <c r="Y268" i="3"/>
  <c r="X268" i="3"/>
  <c r="W268" i="3"/>
  <c r="V268" i="3"/>
  <c r="U268" i="3"/>
  <c r="T268" i="3"/>
  <c r="S268" i="3"/>
  <c r="R268" i="3"/>
  <c r="N268" i="3"/>
  <c r="M268" i="3"/>
  <c r="L268" i="3"/>
  <c r="K268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W265" i="3"/>
  <c r="AA265" i="3"/>
  <c r="Z265" i="3"/>
  <c r="Y265" i="3"/>
  <c r="X265" i="3"/>
  <c r="W265" i="3"/>
  <c r="V265" i="3"/>
  <c r="U265" i="3"/>
  <c r="T265" i="3"/>
  <c r="S265" i="3"/>
  <c r="R265" i="3"/>
  <c r="P265" i="3"/>
  <c r="O265" i="3"/>
  <c r="N265" i="3"/>
  <c r="M265" i="3"/>
  <c r="AW264" i="3"/>
  <c r="AA264" i="3"/>
  <c r="Z264" i="3"/>
  <c r="Y264" i="3"/>
  <c r="X264" i="3"/>
  <c r="W264" i="3"/>
  <c r="V264" i="3"/>
  <c r="U264" i="3"/>
  <c r="T264" i="3"/>
  <c r="S264" i="3"/>
  <c r="R264" i="3"/>
  <c r="N264" i="3"/>
  <c r="M264" i="3"/>
  <c r="J264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N263" i="3"/>
  <c r="M263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W246" i="3"/>
  <c r="AA246" i="3"/>
  <c r="Z246" i="3"/>
  <c r="Y246" i="3"/>
  <c r="X246" i="3"/>
  <c r="W246" i="3"/>
  <c r="V246" i="3"/>
  <c r="U246" i="3"/>
  <c r="T246" i="3"/>
  <c r="S246" i="3"/>
  <c r="R246" i="3"/>
  <c r="N246" i="3"/>
  <c r="M246" i="3"/>
  <c r="L246" i="3"/>
  <c r="K246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N245" i="3"/>
  <c r="M245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W242" i="3"/>
  <c r="AA242" i="3"/>
  <c r="Z242" i="3"/>
  <c r="Y242" i="3"/>
  <c r="X242" i="3"/>
  <c r="W242" i="3"/>
  <c r="V242" i="3"/>
  <c r="U242" i="3"/>
  <c r="T242" i="3"/>
  <c r="S242" i="3"/>
  <c r="R242" i="3"/>
  <c r="N242" i="3"/>
  <c r="M242" i="3"/>
  <c r="K242" i="3"/>
  <c r="J242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N241" i="3"/>
  <c r="M241" i="3"/>
  <c r="AW240" i="3"/>
  <c r="AA240" i="3"/>
  <c r="Z240" i="3"/>
  <c r="Y240" i="3"/>
  <c r="X240" i="3"/>
  <c r="W240" i="3"/>
  <c r="V240" i="3"/>
  <c r="U240" i="3"/>
  <c r="T240" i="3"/>
  <c r="S240" i="3"/>
  <c r="R240" i="3"/>
  <c r="N240" i="3"/>
  <c r="M240" i="3"/>
  <c r="L240" i="3"/>
  <c r="K240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N239" i="3"/>
  <c r="M239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J224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AW222" i="3"/>
  <c r="AA222" i="3"/>
  <c r="Z222" i="3"/>
  <c r="Y222" i="3"/>
  <c r="X222" i="3"/>
  <c r="W222" i="3"/>
  <c r="V222" i="3"/>
  <c r="U222" i="3"/>
  <c r="T222" i="3"/>
  <c r="S222" i="3"/>
  <c r="R222" i="3"/>
  <c r="N222" i="3"/>
  <c r="M222" i="3"/>
  <c r="K222" i="3"/>
  <c r="AW221" i="3"/>
  <c r="AA221" i="3"/>
  <c r="Z221" i="3"/>
  <c r="Y221" i="3"/>
  <c r="X221" i="3"/>
  <c r="W221" i="3"/>
  <c r="V221" i="3"/>
  <c r="U221" i="3"/>
  <c r="T221" i="3"/>
  <c r="S221" i="3"/>
  <c r="R221" i="3"/>
  <c r="P221" i="3"/>
  <c r="N221" i="3"/>
  <c r="M221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W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W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W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W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W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W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W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W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W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W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W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W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W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W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W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W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W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W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W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W74" i="3"/>
  <c r="AA74" i="3"/>
  <c r="Z74" i="3"/>
  <c r="Y74" i="3"/>
  <c r="X74" i="3"/>
  <c r="W74" i="3"/>
  <c r="V74" i="3"/>
  <c r="U74" i="3"/>
  <c r="T74" i="3"/>
  <c r="S74" i="3"/>
  <c r="R74" i="3"/>
  <c r="Q74" i="3"/>
  <c r="N74" i="3"/>
  <c r="M74" i="3"/>
  <c r="L74" i="3"/>
  <c r="K74" i="3"/>
  <c r="J74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AW71" i="3"/>
  <c r="AA71" i="3"/>
  <c r="Z71" i="3"/>
  <c r="Y71" i="3"/>
  <c r="X71" i="3"/>
  <c r="W71" i="3"/>
  <c r="V71" i="3"/>
  <c r="U71" i="3"/>
  <c r="T71" i="3"/>
  <c r="S71" i="3"/>
  <c r="R71" i="3"/>
  <c r="Q71" i="3"/>
  <c r="N71" i="3"/>
  <c r="M71" i="3"/>
  <c r="L71" i="3"/>
  <c r="K71" i="3"/>
  <c r="AW70" i="3"/>
  <c r="AA70" i="3"/>
  <c r="Z70" i="3"/>
  <c r="Y70" i="3"/>
  <c r="X70" i="3"/>
  <c r="W70" i="3"/>
  <c r="V70" i="3"/>
  <c r="U70" i="3"/>
  <c r="T70" i="3"/>
  <c r="S70" i="3"/>
  <c r="R70" i="3"/>
  <c r="Q70" i="3"/>
  <c r="O70" i="3"/>
  <c r="N70" i="3"/>
  <c r="M70" i="3"/>
  <c r="L70" i="3"/>
  <c r="K70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W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W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W24" i="3"/>
  <c r="AA24" i="3"/>
  <c r="Z24" i="3"/>
  <c r="Y24" i="3"/>
  <c r="X24" i="3"/>
  <c r="W24" i="3"/>
  <c r="V24" i="3"/>
  <c r="U24" i="3"/>
  <c r="T24" i="3"/>
  <c r="S24" i="3"/>
  <c r="R24" i="3"/>
  <c r="P24" i="3"/>
  <c r="O24" i="3"/>
  <c r="N24" i="3"/>
  <c r="M24" i="3"/>
  <c r="L24" i="3"/>
  <c r="K24" i="3"/>
  <c r="J24" i="3"/>
  <c r="AW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W21" i="3"/>
  <c r="AA21" i="3"/>
  <c r="Z21" i="3"/>
  <c r="Y21" i="3"/>
  <c r="X21" i="3"/>
  <c r="W21" i="3"/>
  <c r="V21" i="3"/>
  <c r="U21" i="3"/>
  <c r="T21" i="3"/>
  <c r="S21" i="3"/>
  <c r="R21" i="3"/>
  <c r="P21" i="3"/>
  <c r="O21" i="3"/>
  <c r="N21" i="3"/>
  <c r="M21" i="3"/>
  <c r="L21" i="3"/>
  <c r="K21" i="3"/>
  <c r="J21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W19" i="3"/>
  <c r="AA19" i="3"/>
  <c r="Z19" i="3"/>
  <c r="Y19" i="3"/>
  <c r="X19" i="3"/>
  <c r="W19" i="3"/>
  <c r="V19" i="3"/>
  <c r="U19" i="3"/>
  <c r="T19" i="3"/>
  <c r="S19" i="3"/>
  <c r="R19" i="3"/>
  <c r="P19" i="3"/>
  <c r="O19" i="3"/>
  <c r="N19" i="3"/>
  <c r="M19" i="3"/>
  <c r="L19" i="3"/>
  <c r="K19" i="3"/>
  <c r="J19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W17" i="3"/>
  <c r="AA17" i="3"/>
  <c r="Z17" i="3"/>
  <c r="Y17" i="3"/>
  <c r="X17" i="3"/>
  <c r="W17" i="3"/>
  <c r="V17" i="3"/>
  <c r="U17" i="3"/>
  <c r="T17" i="3"/>
  <c r="S17" i="3"/>
  <c r="R17" i="3"/>
  <c r="P17" i="3"/>
  <c r="O17" i="3"/>
  <c r="N17" i="3"/>
  <c r="M17" i="3"/>
  <c r="L17" i="3"/>
  <c r="K17" i="3"/>
  <c r="J17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D11" i="3"/>
  <c r="AL46" i="2"/>
  <c r="AK46" i="2"/>
  <c r="AJ46" i="2"/>
  <c r="AI46" i="2"/>
  <c r="AG46" i="2"/>
  <c r="AF46" i="2"/>
  <c r="AE46" i="2"/>
  <c r="AD46" i="2"/>
  <c r="AC46" i="2"/>
  <c r="AB46" i="2"/>
  <c r="AL40" i="2"/>
  <c r="AK40" i="2"/>
  <c r="AJ40" i="2"/>
  <c r="AI40" i="2"/>
  <c r="AG40" i="2"/>
  <c r="AF40" i="2"/>
  <c r="AE40" i="2"/>
  <c r="AD40" i="2"/>
  <c r="AC40" i="2"/>
  <c r="AB40" i="2"/>
  <c r="D6" i="2"/>
  <c r="Q699" i="1"/>
  <c r="P699" i="1"/>
  <c r="P699" i="3" s="1"/>
  <c r="O699" i="1"/>
  <c r="L699" i="1"/>
  <c r="K699" i="1"/>
  <c r="J699" i="1"/>
  <c r="J699" i="3" s="1"/>
  <c r="Q698" i="1"/>
  <c r="Q698" i="3" s="1"/>
  <c r="P698" i="1"/>
  <c r="P698" i="3" s="1"/>
  <c r="O698" i="1"/>
  <c r="O698" i="3" s="1"/>
  <c r="L698" i="1"/>
  <c r="L698" i="3" s="1"/>
  <c r="K698" i="1"/>
  <c r="K698" i="3" s="1"/>
  <c r="J698" i="1"/>
  <c r="J698" i="3" s="1"/>
  <c r="Q697" i="1"/>
  <c r="P697" i="1"/>
  <c r="O697" i="1"/>
  <c r="L697" i="1"/>
  <c r="L697" i="3" s="1"/>
  <c r="K697" i="1"/>
  <c r="K697" i="3" s="1"/>
  <c r="J697" i="1"/>
  <c r="J697" i="3" s="1"/>
  <c r="Q696" i="1"/>
  <c r="Q696" i="3" s="1"/>
  <c r="P696" i="1"/>
  <c r="P696" i="3" s="1"/>
  <c r="O696" i="1"/>
  <c r="O696" i="3" s="1"/>
  <c r="L696" i="1"/>
  <c r="L696" i="3" s="1"/>
  <c r="K696" i="1"/>
  <c r="K696" i="3" s="1"/>
  <c r="J696" i="1"/>
  <c r="J696" i="3" s="1"/>
  <c r="Q695" i="1"/>
  <c r="Q695" i="3" s="1"/>
  <c r="P695" i="1"/>
  <c r="P695" i="3" s="1"/>
  <c r="O695" i="1"/>
  <c r="L695" i="1"/>
  <c r="L695" i="3" s="1"/>
  <c r="K695" i="1"/>
  <c r="J695" i="1"/>
  <c r="J695" i="3" s="1"/>
  <c r="Q694" i="1"/>
  <c r="Q694" i="3" s="1"/>
  <c r="P694" i="1"/>
  <c r="P694" i="3" s="1"/>
  <c r="O694" i="1"/>
  <c r="O694" i="3" s="1"/>
  <c r="L694" i="1"/>
  <c r="L694" i="3" s="1"/>
  <c r="K694" i="1"/>
  <c r="K694" i="3" s="1"/>
  <c r="J694" i="1"/>
  <c r="J694" i="3" s="1"/>
  <c r="Q693" i="1"/>
  <c r="Q693" i="3" s="1"/>
  <c r="P693" i="1"/>
  <c r="O693" i="1"/>
  <c r="O693" i="3" s="1"/>
  <c r="L693" i="1"/>
  <c r="L693" i="3" s="1"/>
  <c r="K693" i="1"/>
  <c r="J693" i="1"/>
  <c r="J693" i="3" s="1"/>
  <c r="Q692" i="1"/>
  <c r="Q692" i="3" s="1"/>
  <c r="P692" i="1"/>
  <c r="P692" i="3" s="1"/>
  <c r="O692" i="1"/>
  <c r="O692" i="3" s="1"/>
  <c r="L692" i="1"/>
  <c r="L692" i="3" s="1"/>
  <c r="K692" i="1"/>
  <c r="K692" i="3" s="1"/>
  <c r="J692" i="1"/>
  <c r="J692" i="3" s="1"/>
  <c r="P667" i="1"/>
  <c r="P667" i="3" s="1"/>
  <c r="O667" i="1"/>
  <c r="P666" i="1"/>
  <c r="P666" i="3" s="1"/>
  <c r="O666" i="1"/>
  <c r="O666" i="3" s="1"/>
  <c r="P665" i="1"/>
  <c r="P665" i="3" s="1"/>
  <c r="O665" i="1"/>
  <c r="P664" i="1"/>
  <c r="P664" i="3" s="1"/>
  <c r="O664" i="1"/>
  <c r="O664" i="3" s="1"/>
  <c r="P663" i="1"/>
  <c r="P663" i="3" s="1"/>
  <c r="O663" i="1"/>
  <c r="O663" i="3" s="1"/>
  <c r="P662" i="1"/>
  <c r="P662" i="3" s="1"/>
  <c r="O662" i="1"/>
  <c r="O662" i="3" s="1"/>
  <c r="Q576" i="1"/>
  <c r="Q576" i="3" s="1"/>
  <c r="P576" i="1"/>
  <c r="P576" i="3" s="1"/>
  <c r="O576" i="1"/>
  <c r="O576" i="3" s="1"/>
  <c r="L576" i="1"/>
  <c r="L576" i="3" s="1"/>
  <c r="K576" i="1"/>
  <c r="J576" i="1"/>
  <c r="J576" i="3" s="1"/>
  <c r="Q575" i="1"/>
  <c r="Q575" i="3" s="1"/>
  <c r="P575" i="1"/>
  <c r="P575" i="3" s="1"/>
  <c r="O575" i="1"/>
  <c r="O575" i="3" s="1"/>
  <c r="L575" i="1"/>
  <c r="L575" i="3" s="1"/>
  <c r="K575" i="1"/>
  <c r="K575" i="3" s="1"/>
  <c r="J575" i="1"/>
  <c r="J575" i="3" s="1"/>
  <c r="Q574" i="1"/>
  <c r="Q574" i="3" s="1"/>
  <c r="P574" i="1"/>
  <c r="O574" i="1"/>
  <c r="L574" i="1"/>
  <c r="L574" i="3" s="1"/>
  <c r="K574" i="1"/>
  <c r="J574" i="1"/>
  <c r="J574" i="3" s="1"/>
  <c r="Q573" i="1"/>
  <c r="Q573" i="3" s="1"/>
  <c r="P573" i="1"/>
  <c r="P573" i="3" s="1"/>
  <c r="O573" i="1"/>
  <c r="O573" i="3" s="1"/>
  <c r="L573" i="1"/>
  <c r="L573" i="3" s="1"/>
  <c r="K573" i="1"/>
  <c r="K573" i="3" s="1"/>
  <c r="J573" i="1"/>
  <c r="J573" i="3" s="1"/>
  <c r="Q572" i="1"/>
  <c r="Q572" i="3" s="1"/>
  <c r="P572" i="1"/>
  <c r="O572" i="1"/>
  <c r="L572" i="1"/>
  <c r="L572" i="3" s="1"/>
  <c r="K572" i="1"/>
  <c r="J572" i="1"/>
  <c r="J572" i="3" s="1"/>
  <c r="Q571" i="1"/>
  <c r="Q571" i="3" s="1"/>
  <c r="P571" i="1"/>
  <c r="O571" i="1"/>
  <c r="O571" i="3" s="1"/>
  <c r="L571" i="1"/>
  <c r="L571" i="3" s="1"/>
  <c r="K571" i="1"/>
  <c r="K571" i="3" s="1"/>
  <c r="J571" i="1"/>
  <c r="J571" i="3" s="1"/>
  <c r="Q570" i="1"/>
  <c r="Q570" i="3" s="1"/>
  <c r="P570" i="1"/>
  <c r="O570" i="1"/>
  <c r="L570" i="1"/>
  <c r="L570" i="3" s="1"/>
  <c r="K570" i="1"/>
  <c r="K570" i="3" s="1"/>
  <c r="J570" i="1"/>
  <c r="Q569" i="1"/>
  <c r="Q569" i="3" s="1"/>
  <c r="P569" i="1"/>
  <c r="P569" i="3" s="1"/>
  <c r="O569" i="1"/>
  <c r="O569" i="3" s="1"/>
  <c r="L569" i="1"/>
  <c r="L569" i="3" s="1"/>
  <c r="K569" i="1"/>
  <c r="K569" i="3" s="1"/>
  <c r="J569" i="1"/>
  <c r="J569" i="3" s="1"/>
  <c r="L568" i="1"/>
  <c r="L568" i="3" s="1"/>
  <c r="K568" i="1"/>
  <c r="K568" i="3" s="1"/>
  <c r="J568" i="1"/>
  <c r="L567" i="1"/>
  <c r="K567" i="1"/>
  <c r="J567" i="1"/>
  <c r="J567" i="3" s="1"/>
  <c r="L566" i="1"/>
  <c r="L566" i="3" s="1"/>
  <c r="K566" i="1"/>
  <c r="K566" i="3" s="1"/>
  <c r="J566" i="1"/>
  <c r="J566" i="3" s="1"/>
  <c r="L565" i="1"/>
  <c r="L565" i="3" s="1"/>
  <c r="K565" i="1"/>
  <c r="K565" i="3" s="1"/>
  <c r="J565" i="1"/>
  <c r="J565" i="3" s="1"/>
  <c r="Q560" i="1"/>
  <c r="Q560" i="3" s="1"/>
  <c r="P560" i="1"/>
  <c r="P560" i="3" s="1"/>
  <c r="O560" i="1"/>
  <c r="O560" i="3" s="1"/>
  <c r="L560" i="1"/>
  <c r="L560" i="3" s="1"/>
  <c r="K560" i="1"/>
  <c r="J560" i="1"/>
  <c r="J560" i="3" s="1"/>
  <c r="Q559" i="1"/>
  <c r="Q559" i="3" s="1"/>
  <c r="P559" i="1"/>
  <c r="P559" i="3" s="1"/>
  <c r="O559" i="1"/>
  <c r="O559" i="3" s="1"/>
  <c r="L559" i="1"/>
  <c r="L559" i="3" s="1"/>
  <c r="K559" i="1"/>
  <c r="K559" i="3" s="1"/>
  <c r="J559" i="1"/>
  <c r="J559" i="3" s="1"/>
  <c r="Q558" i="1"/>
  <c r="Q558" i="3" s="1"/>
  <c r="P558" i="1"/>
  <c r="O558" i="1"/>
  <c r="L558" i="1"/>
  <c r="L558" i="3" s="1"/>
  <c r="K558" i="1"/>
  <c r="J558" i="1"/>
  <c r="J558" i="3" s="1"/>
  <c r="Q557" i="1"/>
  <c r="Q557" i="3" s="1"/>
  <c r="P557" i="1"/>
  <c r="P557" i="3" s="1"/>
  <c r="O557" i="1"/>
  <c r="O557" i="3" s="1"/>
  <c r="L557" i="1"/>
  <c r="L557" i="3" s="1"/>
  <c r="K557" i="1"/>
  <c r="K557" i="3" s="1"/>
  <c r="J557" i="1"/>
  <c r="J557" i="3" s="1"/>
  <c r="Q545" i="1"/>
  <c r="P545" i="1"/>
  <c r="P545" i="3" s="1"/>
  <c r="O545" i="1"/>
  <c r="O545" i="3" s="1"/>
  <c r="L545" i="1"/>
  <c r="K545" i="1"/>
  <c r="J545" i="1"/>
  <c r="J545" i="3" s="1"/>
  <c r="Q544" i="1"/>
  <c r="Q544" i="3" s="1"/>
  <c r="P544" i="1"/>
  <c r="P544" i="3" s="1"/>
  <c r="O544" i="1"/>
  <c r="O544" i="3" s="1"/>
  <c r="L544" i="1"/>
  <c r="L544" i="3" s="1"/>
  <c r="K544" i="1"/>
  <c r="K544" i="3" s="1"/>
  <c r="J544" i="1"/>
  <c r="J544" i="3" s="1"/>
  <c r="Q543" i="1"/>
  <c r="Q543" i="3" s="1"/>
  <c r="P543" i="1"/>
  <c r="O543" i="1"/>
  <c r="O543" i="3" s="1"/>
  <c r="L543" i="1"/>
  <c r="L543" i="3" s="1"/>
  <c r="K543" i="1"/>
  <c r="K543" i="3" s="1"/>
  <c r="J543" i="1"/>
  <c r="Q542" i="1"/>
  <c r="P542" i="1"/>
  <c r="O542" i="1"/>
  <c r="O542" i="3" s="1"/>
  <c r="L542" i="1"/>
  <c r="L542" i="3" s="1"/>
  <c r="K542" i="1"/>
  <c r="K542" i="3" s="1"/>
  <c r="J542" i="1"/>
  <c r="J542" i="3" s="1"/>
  <c r="Q541" i="1"/>
  <c r="Q541" i="3" s="1"/>
  <c r="P541" i="1"/>
  <c r="P541" i="3" s="1"/>
  <c r="O541" i="1"/>
  <c r="O541" i="3" s="1"/>
  <c r="L541" i="1"/>
  <c r="K541" i="1"/>
  <c r="J541" i="1"/>
  <c r="J541" i="3" s="1"/>
  <c r="Q540" i="1"/>
  <c r="Q540" i="3" s="1"/>
  <c r="P540" i="1"/>
  <c r="P540" i="3" s="1"/>
  <c r="O540" i="1"/>
  <c r="O540" i="3" s="1"/>
  <c r="L540" i="1"/>
  <c r="L540" i="3" s="1"/>
  <c r="K540" i="1"/>
  <c r="K540" i="3" s="1"/>
  <c r="J540" i="1"/>
  <c r="J540" i="3" s="1"/>
  <c r="Q539" i="1"/>
  <c r="Q539" i="3" s="1"/>
  <c r="P539" i="1"/>
  <c r="O539" i="1"/>
  <c r="L539" i="1"/>
  <c r="K539" i="1"/>
  <c r="J539" i="1"/>
  <c r="J539" i="3" s="1"/>
  <c r="Q538" i="1"/>
  <c r="Q538" i="3" s="1"/>
  <c r="P538" i="1"/>
  <c r="P538" i="3" s="1"/>
  <c r="O538" i="1"/>
  <c r="O538" i="3" s="1"/>
  <c r="L538" i="1"/>
  <c r="L538" i="3" s="1"/>
  <c r="K538" i="1"/>
  <c r="K538" i="3" s="1"/>
  <c r="J538" i="1"/>
  <c r="J538" i="3" s="1"/>
  <c r="Q537" i="1"/>
  <c r="Q537" i="3" s="1"/>
  <c r="P537" i="1"/>
  <c r="O537" i="1"/>
  <c r="L537" i="1"/>
  <c r="L537" i="3" s="1"/>
  <c r="K537" i="1"/>
  <c r="J537" i="1"/>
  <c r="Q536" i="1"/>
  <c r="P536" i="1"/>
  <c r="O536" i="1"/>
  <c r="O536" i="3" s="1"/>
  <c r="L536" i="1"/>
  <c r="L536" i="3" s="1"/>
  <c r="K536" i="1"/>
  <c r="K536" i="3" s="1"/>
  <c r="J536" i="1"/>
  <c r="J536" i="3" s="1"/>
  <c r="Q535" i="1"/>
  <c r="Q535" i="3" s="1"/>
  <c r="P535" i="1"/>
  <c r="P535" i="3" s="1"/>
  <c r="O535" i="1"/>
  <c r="O535" i="3" s="1"/>
  <c r="L535" i="1"/>
  <c r="L535" i="3" s="1"/>
  <c r="K535" i="1"/>
  <c r="J535" i="1"/>
  <c r="J535" i="3" s="1"/>
  <c r="Q534" i="1"/>
  <c r="Q534" i="3" s="1"/>
  <c r="P534" i="1"/>
  <c r="P534" i="3" s="1"/>
  <c r="O534" i="1"/>
  <c r="O534" i="3" s="1"/>
  <c r="L534" i="1"/>
  <c r="K534" i="1"/>
  <c r="K534" i="3" s="1"/>
  <c r="J534" i="1"/>
  <c r="J534" i="3" s="1"/>
  <c r="Q533" i="1"/>
  <c r="Q533" i="3" s="1"/>
  <c r="P533" i="1"/>
  <c r="P533" i="3" s="1"/>
  <c r="O533" i="1"/>
  <c r="O533" i="3" s="1"/>
  <c r="L533" i="1"/>
  <c r="K533" i="1"/>
  <c r="J533" i="1"/>
  <c r="J533" i="3" s="1"/>
  <c r="Q532" i="1"/>
  <c r="Q532" i="3" s="1"/>
  <c r="P532" i="1"/>
  <c r="P532" i="3" s="1"/>
  <c r="O532" i="1"/>
  <c r="O532" i="3" s="1"/>
  <c r="L532" i="1"/>
  <c r="L532" i="3" s="1"/>
  <c r="K532" i="1"/>
  <c r="K532" i="3" s="1"/>
  <c r="J532" i="1"/>
  <c r="J532" i="3" s="1"/>
  <c r="Q531" i="1"/>
  <c r="Q531" i="3" s="1"/>
  <c r="P531" i="1"/>
  <c r="O531" i="1"/>
  <c r="L531" i="1"/>
  <c r="L531" i="3" s="1"/>
  <c r="K531" i="1"/>
  <c r="J531" i="1"/>
  <c r="Q530" i="1"/>
  <c r="P530" i="1"/>
  <c r="P530" i="3" s="1"/>
  <c r="O530" i="1"/>
  <c r="O530" i="3" s="1"/>
  <c r="L530" i="1"/>
  <c r="L530" i="3" s="1"/>
  <c r="K530" i="1"/>
  <c r="K530" i="3" s="1"/>
  <c r="J530" i="1"/>
  <c r="J530" i="3" s="1"/>
  <c r="Q529" i="1"/>
  <c r="P529" i="1"/>
  <c r="P529" i="3" s="1"/>
  <c r="O529" i="1"/>
  <c r="O529" i="3" s="1"/>
  <c r="L529" i="1"/>
  <c r="L529" i="3" s="1"/>
  <c r="K529" i="1"/>
  <c r="K529" i="3" s="1"/>
  <c r="J529" i="1"/>
  <c r="J529" i="3" s="1"/>
  <c r="Q528" i="1"/>
  <c r="Q528" i="3" s="1"/>
  <c r="P528" i="1"/>
  <c r="P528" i="3" s="1"/>
  <c r="O528" i="1"/>
  <c r="O528" i="3" s="1"/>
  <c r="L528" i="1"/>
  <c r="L528" i="3" s="1"/>
  <c r="K528" i="1"/>
  <c r="K528" i="3" s="1"/>
  <c r="J528" i="1"/>
  <c r="J528" i="3" s="1"/>
  <c r="Q527" i="1"/>
  <c r="P527" i="1"/>
  <c r="O527" i="1"/>
  <c r="O527" i="3" s="1"/>
  <c r="L527" i="1"/>
  <c r="L527" i="3" s="1"/>
  <c r="K527" i="1"/>
  <c r="K527" i="3" s="1"/>
  <c r="J527" i="1"/>
  <c r="J527" i="3" s="1"/>
  <c r="Q526" i="1"/>
  <c r="Q526" i="3" s="1"/>
  <c r="P526" i="1"/>
  <c r="P526" i="3" s="1"/>
  <c r="O526" i="1"/>
  <c r="O526" i="3" s="1"/>
  <c r="L526" i="1"/>
  <c r="L526" i="3" s="1"/>
  <c r="K526" i="1"/>
  <c r="K526" i="3" s="1"/>
  <c r="J526" i="1"/>
  <c r="J526" i="3" s="1"/>
  <c r="Q525" i="1"/>
  <c r="Q525" i="3" s="1"/>
  <c r="P525" i="1"/>
  <c r="O525" i="1"/>
  <c r="O525" i="3" s="1"/>
  <c r="L525" i="1"/>
  <c r="L525" i="3" s="1"/>
  <c r="K525" i="1"/>
  <c r="K525" i="3" s="1"/>
  <c r="J525" i="1"/>
  <c r="J525" i="3" s="1"/>
  <c r="Q524" i="1"/>
  <c r="Q524" i="3" s="1"/>
  <c r="P524" i="1"/>
  <c r="O524" i="1"/>
  <c r="L524" i="1"/>
  <c r="L524" i="3" s="1"/>
  <c r="K524" i="1"/>
  <c r="K524" i="3" s="1"/>
  <c r="J524" i="1"/>
  <c r="J524" i="3" s="1"/>
  <c r="Q523" i="1"/>
  <c r="Q523" i="3" s="1"/>
  <c r="P523" i="1"/>
  <c r="P523" i="3" s="1"/>
  <c r="O523" i="1"/>
  <c r="O523" i="3" s="1"/>
  <c r="L523" i="1"/>
  <c r="L523" i="3" s="1"/>
  <c r="K523" i="1"/>
  <c r="J523" i="1"/>
  <c r="J523" i="3" s="1"/>
  <c r="Q522" i="1"/>
  <c r="Q522" i="3" s="1"/>
  <c r="P522" i="1"/>
  <c r="P522" i="3" s="1"/>
  <c r="O522" i="1"/>
  <c r="O522" i="3" s="1"/>
  <c r="L522" i="1"/>
  <c r="L522" i="3" s="1"/>
  <c r="K522" i="1"/>
  <c r="K522" i="3" s="1"/>
  <c r="J522" i="1"/>
  <c r="J522" i="3" s="1"/>
  <c r="Q509" i="1"/>
  <c r="Q509" i="3" s="1"/>
  <c r="P509" i="1"/>
  <c r="P509" i="3" s="1"/>
  <c r="O509" i="1"/>
  <c r="O509" i="3" s="1"/>
  <c r="L509" i="1"/>
  <c r="L509" i="3" s="1"/>
  <c r="K509" i="1"/>
  <c r="J509" i="1"/>
  <c r="J509" i="3" s="1"/>
  <c r="Q508" i="1"/>
  <c r="Q508" i="3" s="1"/>
  <c r="P508" i="1"/>
  <c r="P508" i="3" s="1"/>
  <c r="O508" i="1"/>
  <c r="O508" i="3" s="1"/>
  <c r="L508" i="1"/>
  <c r="L508" i="3" s="1"/>
  <c r="K508" i="1"/>
  <c r="K508" i="3" s="1"/>
  <c r="J508" i="1"/>
  <c r="J508" i="3" s="1"/>
  <c r="Q507" i="1"/>
  <c r="Q507" i="3" s="1"/>
  <c r="P507" i="1"/>
  <c r="O507" i="1"/>
  <c r="O507" i="3" s="1"/>
  <c r="L507" i="1"/>
  <c r="K507" i="1"/>
  <c r="K507" i="3" s="1"/>
  <c r="J507" i="1"/>
  <c r="Q506" i="1"/>
  <c r="P506" i="1"/>
  <c r="P506" i="3" s="1"/>
  <c r="O506" i="1"/>
  <c r="L506" i="1"/>
  <c r="L506" i="3" s="1"/>
  <c r="K506" i="1"/>
  <c r="K506" i="3" s="1"/>
  <c r="J506" i="1"/>
  <c r="J506" i="3" s="1"/>
  <c r="Q505" i="1"/>
  <c r="Q505" i="3" s="1"/>
  <c r="P505" i="1"/>
  <c r="P505" i="3" s="1"/>
  <c r="O505" i="1"/>
  <c r="L505" i="1"/>
  <c r="L505" i="3" s="1"/>
  <c r="K505" i="1"/>
  <c r="J505" i="1"/>
  <c r="Q504" i="1"/>
  <c r="P504" i="1"/>
  <c r="O504" i="1"/>
  <c r="O504" i="3" s="1"/>
  <c r="L504" i="1"/>
  <c r="K504" i="1"/>
  <c r="K504" i="3" s="1"/>
  <c r="J504" i="1"/>
  <c r="J504" i="3" s="1"/>
  <c r="Q503" i="1"/>
  <c r="Q503" i="3" s="1"/>
  <c r="P503" i="1"/>
  <c r="O503" i="1"/>
  <c r="O503" i="3" s="1"/>
  <c r="L503" i="1"/>
  <c r="K503" i="1"/>
  <c r="J503" i="1"/>
  <c r="J503" i="3" s="1"/>
  <c r="Q502" i="1"/>
  <c r="Q502" i="3" s="1"/>
  <c r="P502" i="1"/>
  <c r="P502" i="3" s="1"/>
  <c r="O502" i="1"/>
  <c r="O502" i="3" s="1"/>
  <c r="L502" i="1"/>
  <c r="L502" i="3" s="1"/>
  <c r="K502" i="1"/>
  <c r="K502" i="3" s="1"/>
  <c r="J502" i="1"/>
  <c r="J502" i="3" s="1"/>
  <c r="Q501" i="1"/>
  <c r="Q501" i="3" s="1"/>
  <c r="P501" i="1"/>
  <c r="O501" i="1"/>
  <c r="O501" i="3" s="1"/>
  <c r="L501" i="1"/>
  <c r="L501" i="3" s="1"/>
  <c r="K501" i="1"/>
  <c r="J501" i="1"/>
  <c r="Q500" i="1"/>
  <c r="P500" i="1"/>
  <c r="P500" i="3" s="1"/>
  <c r="O500" i="1"/>
  <c r="O500" i="3" s="1"/>
  <c r="L500" i="1"/>
  <c r="L500" i="3" s="1"/>
  <c r="K500" i="1"/>
  <c r="K500" i="3" s="1"/>
  <c r="J500" i="1"/>
  <c r="J500" i="3" s="1"/>
  <c r="Q499" i="1"/>
  <c r="Q499" i="3" s="1"/>
  <c r="P499" i="1"/>
  <c r="O499" i="1"/>
  <c r="O499" i="3" s="1"/>
  <c r="L499" i="1"/>
  <c r="K499" i="1"/>
  <c r="J499" i="1"/>
  <c r="Q498" i="1"/>
  <c r="P498" i="1"/>
  <c r="O498" i="1"/>
  <c r="L498" i="1"/>
  <c r="L498" i="3" s="1"/>
  <c r="K498" i="1"/>
  <c r="K498" i="3" s="1"/>
  <c r="J498" i="1"/>
  <c r="J498" i="3" s="1"/>
  <c r="Q497" i="1"/>
  <c r="Q497" i="3" s="1"/>
  <c r="P497" i="1"/>
  <c r="P497" i="3" s="1"/>
  <c r="O497" i="1"/>
  <c r="O497" i="3" s="1"/>
  <c r="L497" i="1"/>
  <c r="L497" i="3" s="1"/>
  <c r="K497" i="1"/>
  <c r="J497" i="1"/>
  <c r="Q496" i="1"/>
  <c r="Q496" i="3" s="1"/>
  <c r="P496" i="1"/>
  <c r="P496" i="3" s="1"/>
  <c r="O496" i="1"/>
  <c r="O496" i="3" s="1"/>
  <c r="L496" i="1"/>
  <c r="L496" i="3" s="1"/>
  <c r="K496" i="1"/>
  <c r="K496" i="3" s="1"/>
  <c r="J496" i="1"/>
  <c r="J496" i="3" s="1"/>
  <c r="Q495" i="1"/>
  <c r="Q495" i="3" s="1"/>
  <c r="P495" i="1"/>
  <c r="O495" i="1"/>
  <c r="L495" i="1"/>
  <c r="K495" i="1"/>
  <c r="J495" i="1"/>
  <c r="J495" i="3" s="1"/>
  <c r="Q494" i="1"/>
  <c r="Q494" i="3" s="1"/>
  <c r="P494" i="1"/>
  <c r="P494" i="3" s="1"/>
  <c r="O494" i="1"/>
  <c r="O494" i="3" s="1"/>
  <c r="L494" i="1"/>
  <c r="L494" i="3" s="1"/>
  <c r="K494" i="1"/>
  <c r="K494" i="3" s="1"/>
  <c r="J494" i="1"/>
  <c r="J494" i="3" s="1"/>
  <c r="Q493" i="1"/>
  <c r="P493" i="1"/>
  <c r="P493" i="3" s="1"/>
  <c r="O493" i="1"/>
  <c r="O493" i="3" s="1"/>
  <c r="L493" i="1"/>
  <c r="L493" i="3" s="1"/>
  <c r="K493" i="1"/>
  <c r="K493" i="3" s="1"/>
  <c r="J493" i="1"/>
  <c r="J493" i="3" s="1"/>
  <c r="Q492" i="1"/>
  <c r="Q492" i="3" s="1"/>
  <c r="P492" i="1"/>
  <c r="P492" i="3" s="1"/>
  <c r="O492" i="1"/>
  <c r="O492" i="3" s="1"/>
  <c r="L492" i="1"/>
  <c r="L492" i="3" s="1"/>
  <c r="K492" i="1"/>
  <c r="K492" i="3" s="1"/>
  <c r="J492" i="1"/>
  <c r="J492" i="3" s="1"/>
  <c r="Q491" i="1"/>
  <c r="P491" i="1"/>
  <c r="O491" i="1"/>
  <c r="O491" i="3" s="1"/>
  <c r="L491" i="1"/>
  <c r="L491" i="3" s="1"/>
  <c r="K491" i="1"/>
  <c r="K491" i="3" s="1"/>
  <c r="J491" i="1"/>
  <c r="J491" i="3" s="1"/>
  <c r="Q490" i="1"/>
  <c r="Q490" i="3" s="1"/>
  <c r="P490" i="1"/>
  <c r="P490" i="3" s="1"/>
  <c r="O490" i="1"/>
  <c r="O490" i="3" s="1"/>
  <c r="L490" i="1"/>
  <c r="L490" i="3" s="1"/>
  <c r="K490" i="1"/>
  <c r="K490" i="3" s="1"/>
  <c r="J490" i="1"/>
  <c r="J490" i="3" s="1"/>
  <c r="Q489" i="1"/>
  <c r="P489" i="1"/>
  <c r="P489" i="3" s="1"/>
  <c r="O489" i="1"/>
  <c r="L489" i="1"/>
  <c r="L489" i="3" s="1"/>
  <c r="K489" i="1"/>
  <c r="K489" i="3" s="1"/>
  <c r="J489" i="1"/>
  <c r="J489" i="3" s="1"/>
  <c r="Q488" i="1"/>
  <c r="Q488" i="3" s="1"/>
  <c r="P488" i="1"/>
  <c r="O488" i="1"/>
  <c r="L488" i="1"/>
  <c r="L488" i="3" s="1"/>
  <c r="K488" i="1"/>
  <c r="K488" i="3" s="1"/>
  <c r="J488" i="1"/>
  <c r="J488" i="3" s="1"/>
  <c r="Q487" i="1"/>
  <c r="Q487" i="3" s="1"/>
  <c r="P487" i="1"/>
  <c r="P487" i="3" s="1"/>
  <c r="O487" i="1"/>
  <c r="O487" i="3" s="1"/>
  <c r="L487" i="1"/>
  <c r="L487" i="3" s="1"/>
  <c r="K487" i="1"/>
  <c r="J487" i="1"/>
  <c r="Q486" i="1"/>
  <c r="Q486" i="3" s="1"/>
  <c r="P486" i="1"/>
  <c r="P486" i="3" s="1"/>
  <c r="O486" i="1"/>
  <c r="O486" i="3" s="1"/>
  <c r="L486" i="1"/>
  <c r="K486" i="1"/>
  <c r="K486" i="3" s="1"/>
  <c r="J486" i="1"/>
  <c r="J486" i="3" s="1"/>
  <c r="Q479" i="1"/>
  <c r="Q479" i="3" s="1"/>
  <c r="P479" i="1"/>
  <c r="P479" i="3" s="1"/>
  <c r="O479" i="1"/>
  <c r="O479" i="3" s="1"/>
  <c r="L479" i="1"/>
  <c r="K479" i="1"/>
  <c r="J479" i="1"/>
  <c r="J479" i="3" s="1"/>
  <c r="Q478" i="1"/>
  <c r="Q478" i="3" s="1"/>
  <c r="P478" i="1"/>
  <c r="P478" i="3" s="1"/>
  <c r="O478" i="1"/>
  <c r="O478" i="3" s="1"/>
  <c r="L478" i="1"/>
  <c r="L478" i="3" s="1"/>
  <c r="K478" i="1"/>
  <c r="J478" i="1"/>
  <c r="J478" i="3" s="1"/>
  <c r="Q477" i="1"/>
  <c r="Q477" i="3" s="1"/>
  <c r="P477" i="1"/>
  <c r="O477" i="1"/>
  <c r="O477" i="3" s="1"/>
  <c r="L477" i="1"/>
  <c r="L477" i="3" s="1"/>
  <c r="K477" i="1"/>
  <c r="J477" i="1"/>
  <c r="J477" i="3" s="1"/>
  <c r="Q476" i="1"/>
  <c r="Q476" i="3" s="1"/>
  <c r="P476" i="1"/>
  <c r="P476" i="3" s="1"/>
  <c r="O476" i="1"/>
  <c r="O476" i="3" s="1"/>
  <c r="L476" i="1"/>
  <c r="L476" i="3" s="1"/>
  <c r="K476" i="1"/>
  <c r="K476" i="3" s="1"/>
  <c r="J476" i="1"/>
  <c r="J476" i="3" s="1"/>
  <c r="Q475" i="1"/>
  <c r="P475" i="1"/>
  <c r="P475" i="3" s="1"/>
  <c r="O475" i="1"/>
  <c r="L475" i="1"/>
  <c r="K475" i="1"/>
  <c r="J475" i="1"/>
  <c r="J475" i="3" s="1"/>
  <c r="Q474" i="1"/>
  <c r="Q474" i="3" s="1"/>
  <c r="P474" i="1"/>
  <c r="P474" i="3" s="1"/>
  <c r="O474" i="1"/>
  <c r="O474" i="3" s="1"/>
  <c r="L474" i="1"/>
  <c r="L474" i="3" s="1"/>
  <c r="K474" i="1"/>
  <c r="K474" i="3" s="1"/>
  <c r="J474" i="1"/>
  <c r="J474" i="3" s="1"/>
  <c r="Q473" i="1"/>
  <c r="Q473" i="3" s="1"/>
  <c r="P473" i="1"/>
  <c r="P473" i="3" s="1"/>
  <c r="O473" i="1"/>
  <c r="L473" i="1"/>
  <c r="K473" i="1"/>
  <c r="K473" i="3" s="1"/>
  <c r="J473" i="1"/>
  <c r="J473" i="3" s="1"/>
  <c r="Q472" i="1"/>
  <c r="Q472" i="3" s="1"/>
  <c r="P472" i="1"/>
  <c r="O472" i="1"/>
  <c r="L472" i="1"/>
  <c r="L472" i="3" s="1"/>
  <c r="K472" i="1"/>
  <c r="K472" i="3" s="1"/>
  <c r="J472" i="1"/>
  <c r="J472" i="3" s="1"/>
  <c r="Q471" i="1"/>
  <c r="Q471" i="3" s="1"/>
  <c r="P471" i="1"/>
  <c r="P471" i="3" s="1"/>
  <c r="O471" i="1"/>
  <c r="O471" i="3" s="1"/>
  <c r="L471" i="1"/>
  <c r="L471" i="3" s="1"/>
  <c r="K471" i="1"/>
  <c r="K471" i="3" s="1"/>
  <c r="J471" i="1"/>
  <c r="J471" i="3" s="1"/>
  <c r="Q470" i="1"/>
  <c r="Q470" i="3" s="1"/>
  <c r="P470" i="1"/>
  <c r="P470" i="3" s="1"/>
  <c r="O470" i="1"/>
  <c r="O470" i="3" s="1"/>
  <c r="L470" i="1"/>
  <c r="L470" i="3" s="1"/>
  <c r="K470" i="1"/>
  <c r="K470" i="3" s="1"/>
  <c r="J470" i="1"/>
  <c r="J470" i="3" s="1"/>
  <c r="Q469" i="1"/>
  <c r="P469" i="1"/>
  <c r="O469" i="1"/>
  <c r="O469" i="3" s="1"/>
  <c r="L469" i="1"/>
  <c r="K469" i="1"/>
  <c r="J469" i="1"/>
  <c r="J469" i="3" s="1"/>
  <c r="Q468" i="1"/>
  <c r="Q468" i="3" s="1"/>
  <c r="P468" i="1"/>
  <c r="P468" i="3" s="1"/>
  <c r="O468" i="1"/>
  <c r="O468" i="3" s="1"/>
  <c r="L468" i="1"/>
  <c r="L468" i="3" s="1"/>
  <c r="K468" i="1"/>
  <c r="K468" i="3" s="1"/>
  <c r="J468" i="1"/>
  <c r="J468" i="3" s="1"/>
  <c r="Q467" i="1"/>
  <c r="P467" i="1"/>
  <c r="O467" i="1"/>
  <c r="O467" i="3" s="1"/>
  <c r="L467" i="1"/>
  <c r="L467" i="3" s="1"/>
  <c r="K467" i="1"/>
  <c r="K467" i="3" s="1"/>
  <c r="J467" i="1"/>
  <c r="J467" i="3" s="1"/>
  <c r="Q466" i="1"/>
  <c r="Q466" i="3" s="1"/>
  <c r="P466" i="1"/>
  <c r="P466" i="3" s="1"/>
  <c r="O466" i="1"/>
  <c r="O466" i="3" s="1"/>
  <c r="L466" i="1"/>
  <c r="L466" i="3" s="1"/>
  <c r="K466" i="1"/>
  <c r="K466" i="3" s="1"/>
  <c r="J466" i="1"/>
  <c r="J466" i="3" s="1"/>
  <c r="Q465" i="1"/>
  <c r="Q465" i="3" s="1"/>
  <c r="P465" i="1"/>
  <c r="P465" i="3" s="1"/>
  <c r="O465" i="1"/>
  <c r="O465" i="3" s="1"/>
  <c r="L465" i="1"/>
  <c r="L465" i="3" s="1"/>
  <c r="K465" i="1"/>
  <c r="J465" i="1"/>
  <c r="J465" i="3" s="1"/>
  <c r="Q464" i="1"/>
  <c r="Q464" i="3" s="1"/>
  <c r="P464" i="1"/>
  <c r="P464" i="3" s="1"/>
  <c r="O464" i="1"/>
  <c r="O464" i="3" s="1"/>
  <c r="L464" i="1"/>
  <c r="L464" i="3" s="1"/>
  <c r="K464" i="1"/>
  <c r="K464" i="3" s="1"/>
  <c r="J464" i="1"/>
  <c r="J464" i="3" s="1"/>
  <c r="Q463" i="1"/>
  <c r="Q463" i="3" s="1"/>
  <c r="P463" i="1"/>
  <c r="P463" i="3" s="1"/>
  <c r="O463" i="1"/>
  <c r="O463" i="3" s="1"/>
  <c r="L463" i="1"/>
  <c r="L463" i="3" s="1"/>
  <c r="K463" i="1"/>
  <c r="J463" i="1"/>
  <c r="J463" i="3" s="1"/>
  <c r="Q462" i="1"/>
  <c r="Q462" i="3" s="1"/>
  <c r="P462" i="1"/>
  <c r="P462" i="3" s="1"/>
  <c r="O462" i="1"/>
  <c r="O462" i="3" s="1"/>
  <c r="L462" i="1"/>
  <c r="L462" i="3" s="1"/>
  <c r="K462" i="1"/>
  <c r="K462" i="3" s="1"/>
  <c r="J462" i="1"/>
  <c r="J462" i="3" s="1"/>
  <c r="Q461" i="1"/>
  <c r="Q461" i="3" s="1"/>
  <c r="P461" i="1"/>
  <c r="P461" i="3" s="1"/>
  <c r="O461" i="1"/>
  <c r="O461" i="3" s="1"/>
  <c r="L461" i="1"/>
  <c r="L461" i="3" s="1"/>
  <c r="K461" i="1"/>
  <c r="J461" i="1"/>
  <c r="Q423" i="1"/>
  <c r="Q423" i="3" s="1"/>
  <c r="P423" i="1"/>
  <c r="P423" i="3" s="1"/>
  <c r="O423" i="1"/>
  <c r="O423" i="3" s="1"/>
  <c r="L423" i="1"/>
  <c r="L423" i="3" s="1"/>
  <c r="K423" i="1"/>
  <c r="K423" i="3" s="1"/>
  <c r="J423" i="1"/>
  <c r="J423" i="3" s="1"/>
  <c r="Q422" i="1"/>
  <c r="P422" i="1"/>
  <c r="O422" i="1"/>
  <c r="L422" i="1"/>
  <c r="L422" i="3" s="1"/>
  <c r="K422" i="1"/>
  <c r="J422" i="1"/>
  <c r="J422" i="3" s="1"/>
  <c r="Q421" i="1"/>
  <c r="Q421" i="3" s="1"/>
  <c r="P421" i="1"/>
  <c r="P421" i="3" s="1"/>
  <c r="O421" i="1"/>
  <c r="O421" i="3" s="1"/>
  <c r="L421" i="1"/>
  <c r="L421" i="3" s="1"/>
  <c r="K421" i="1"/>
  <c r="K421" i="3" s="1"/>
  <c r="J421" i="1"/>
  <c r="J421" i="3" s="1"/>
  <c r="Q420" i="1"/>
  <c r="Q420" i="3" s="1"/>
  <c r="P420" i="1"/>
  <c r="P420" i="3" s="1"/>
  <c r="O420" i="1"/>
  <c r="O420" i="3" s="1"/>
  <c r="L420" i="1"/>
  <c r="K420" i="1"/>
  <c r="J420" i="1"/>
  <c r="J420" i="3" s="1"/>
  <c r="Q413" i="1"/>
  <c r="Q413" i="3" s="1"/>
  <c r="P413" i="1"/>
  <c r="P413" i="3" s="1"/>
  <c r="O413" i="1"/>
  <c r="O413" i="3" s="1"/>
  <c r="L413" i="1"/>
  <c r="L413" i="3" s="1"/>
  <c r="K413" i="1"/>
  <c r="K413" i="3" s="1"/>
  <c r="J413" i="1"/>
  <c r="J413" i="3" s="1"/>
  <c r="Q412" i="1"/>
  <c r="P412" i="1"/>
  <c r="O412" i="1"/>
  <c r="O412" i="3" s="1"/>
  <c r="L412" i="1"/>
  <c r="K412" i="1"/>
  <c r="K412" i="3" s="1"/>
  <c r="J412" i="1"/>
  <c r="J412" i="3" s="1"/>
  <c r="Q411" i="1"/>
  <c r="Q411" i="3" s="1"/>
  <c r="P411" i="1"/>
  <c r="P411" i="3" s="1"/>
  <c r="O411" i="1"/>
  <c r="O411" i="3" s="1"/>
  <c r="L411" i="1"/>
  <c r="L411" i="3" s="1"/>
  <c r="K411" i="1"/>
  <c r="K411" i="3" s="1"/>
  <c r="J411" i="1"/>
  <c r="J411" i="3" s="1"/>
  <c r="Q410" i="1"/>
  <c r="Q410" i="3" s="1"/>
  <c r="P410" i="1"/>
  <c r="O410" i="1"/>
  <c r="O410" i="3" s="1"/>
  <c r="L410" i="1"/>
  <c r="L410" i="3" s="1"/>
  <c r="K410" i="1"/>
  <c r="K410" i="3" s="1"/>
  <c r="J410" i="1"/>
  <c r="J410" i="3" s="1"/>
  <c r="Q409" i="1"/>
  <c r="Q409" i="3" s="1"/>
  <c r="P409" i="1"/>
  <c r="P409" i="3" s="1"/>
  <c r="O409" i="1"/>
  <c r="O409" i="3" s="1"/>
  <c r="L409" i="1"/>
  <c r="L409" i="3" s="1"/>
  <c r="K409" i="1"/>
  <c r="K409" i="3" s="1"/>
  <c r="J409" i="1"/>
  <c r="J409" i="3" s="1"/>
  <c r="Q408" i="1"/>
  <c r="P408" i="1"/>
  <c r="P408" i="3" s="1"/>
  <c r="O408" i="1"/>
  <c r="O408" i="3" s="1"/>
  <c r="L408" i="1"/>
  <c r="L408" i="3" s="1"/>
  <c r="K408" i="1"/>
  <c r="K408" i="3" s="1"/>
  <c r="J408" i="1"/>
  <c r="Q407" i="1"/>
  <c r="Q407" i="3" s="1"/>
  <c r="P407" i="1"/>
  <c r="P407" i="3" s="1"/>
  <c r="O407" i="1"/>
  <c r="O407" i="3" s="1"/>
  <c r="L407" i="1"/>
  <c r="L407" i="3" s="1"/>
  <c r="K407" i="1"/>
  <c r="K407" i="3" s="1"/>
  <c r="J407" i="1"/>
  <c r="J407" i="3" s="1"/>
  <c r="Q406" i="1"/>
  <c r="Q406" i="3" s="1"/>
  <c r="P406" i="1"/>
  <c r="P406" i="3" s="1"/>
  <c r="O406" i="1"/>
  <c r="L406" i="1"/>
  <c r="L406" i="3" s="1"/>
  <c r="K406" i="1"/>
  <c r="K406" i="3" s="1"/>
  <c r="J406" i="1"/>
  <c r="Q405" i="1"/>
  <c r="P405" i="1"/>
  <c r="O405" i="1"/>
  <c r="O405" i="3" s="1"/>
  <c r="L405" i="1"/>
  <c r="L405" i="3" s="1"/>
  <c r="K405" i="1"/>
  <c r="K405" i="3" s="1"/>
  <c r="J405" i="1"/>
  <c r="J405" i="3" s="1"/>
  <c r="Q404" i="1"/>
  <c r="Q404" i="3" s="1"/>
  <c r="P404" i="1"/>
  <c r="P404" i="3" s="1"/>
  <c r="O404" i="1"/>
  <c r="O404" i="3" s="1"/>
  <c r="L404" i="1"/>
  <c r="L404" i="3" s="1"/>
  <c r="K404" i="1"/>
  <c r="J404" i="1"/>
  <c r="J404" i="3" s="1"/>
  <c r="Q403" i="1"/>
  <c r="Q403" i="3" s="1"/>
  <c r="P403" i="1"/>
  <c r="P403" i="3" s="1"/>
  <c r="O403" i="1"/>
  <c r="O403" i="3" s="1"/>
  <c r="L403" i="1"/>
  <c r="L403" i="3" s="1"/>
  <c r="K403" i="1"/>
  <c r="K403" i="3" s="1"/>
  <c r="J403" i="1"/>
  <c r="J403" i="3" s="1"/>
  <c r="Q402" i="1"/>
  <c r="Q402" i="3" s="1"/>
  <c r="P402" i="1"/>
  <c r="O402" i="1"/>
  <c r="O402" i="3" s="1"/>
  <c r="L402" i="1"/>
  <c r="K402" i="1"/>
  <c r="J402" i="1"/>
  <c r="J402" i="3" s="1"/>
  <c r="Q401" i="1"/>
  <c r="Q401" i="3" s="1"/>
  <c r="P401" i="1"/>
  <c r="P401" i="3" s="1"/>
  <c r="O401" i="1"/>
  <c r="O401" i="3" s="1"/>
  <c r="L401" i="1"/>
  <c r="L401" i="3" s="1"/>
  <c r="K401" i="1"/>
  <c r="K401" i="3" s="1"/>
  <c r="J401" i="1"/>
  <c r="J401" i="3" s="1"/>
  <c r="Q400" i="1"/>
  <c r="Q400" i="3" s="1"/>
  <c r="P400" i="1"/>
  <c r="P400" i="3" s="1"/>
  <c r="O400" i="1"/>
  <c r="O400" i="3" s="1"/>
  <c r="L400" i="1"/>
  <c r="L400" i="3" s="1"/>
  <c r="K400" i="1"/>
  <c r="K400" i="3" s="1"/>
  <c r="J400" i="1"/>
  <c r="J400" i="3" s="1"/>
  <c r="Q399" i="1"/>
  <c r="Q399" i="3" s="1"/>
  <c r="P399" i="1"/>
  <c r="P399" i="3" s="1"/>
  <c r="O399" i="1"/>
  <c r="O399" i="3" s="1"/>
  <c r="L399" i="1"/>
  <c r="K399" i="1"/>
  <c r="K399" i="3" s="1"/>
  <c r="J399" i="1"/>
  <c r="J399" i="3" s="1"/>
  <c r="Q398" i="1"/>
  <c r="Q398" i="3" s="1"/>
  <c r="P398" i="1"/>
  <c r="P398" i="3" s="1"/>
  <c r="O398" i="1"/>
  <c r="O398" i="3" s="1"/>
  <c r="L398" i="1"/>
  <c r="L398" i="3" s="1"/>
  <c r="K398" i="1"/>
  <c r="J398" i="1"/>
  <c r="J398" i="3" s="1"/>
  <c r="Q397" i="1"/>
  <c r="Q397" i="3" s="1"/>
  <c r="P397" i="1"/>
  <c r="P397" i="3" s="1"/>
  <c r="O397" i="1"/>
  <c r="O397" i="3" s="1"/>
  <c r="L397" i="1"/>
  <c r="L397" i="3" s="1"/>
  <c r="K397" i="1"/>
  <c r="K397" i="3" s="1"/>
  <c r="J397" i="1"/>
  <c r="J397" i="3" s="1"/>
  <c r="Q396" i="1"/>
  <c r="P396" i="1"/>
  <c r="O396" i="1"/>
  <c r="O396" i="3" s="1"/>
  <c r="L396" i="1"/>
  <c r="L396" i="3" s="1"/>
  <c r="K396" i="1"/>
  <c r="J396" i="1"/>
  <c r="J396" i="3" s="1"/>
  <c r="Q395" i="1"/>
  <c r="Q395" i="3" s="1"/>
  <c r="P395" i="1"/>
  <c r="P395" i="3" s="1"/>
  <c r="O395" i="1"/>
  <c r="O395" i="3" s="1"/>
  <c r="L395" i="1"/>
  <c r="L395" i="3" s="1"/>
  <c r="K395" i="1"/>
  <c r="K395" i="3" s="1"/>
  <c r="J395" i="1"/>
  <c r="J395" i="3" s="1"/>
  <c r="Q394" i="1"/>
  <c r="Q394" i="3" s="1"/>
  <c r="P394" i="1"/>
  <c r="O394" i="1"/>
  <c r="L394" i="1"/>
  <c r="K394" i="1"/>
  <c r="J394" i="1"/>
  <c r="J394" i="3" s="1"/>
  <c r="Q393" i="1"/>
  <c r="Q393" i="3" s="1"/>
  <c r="P393" i="1"/>
  <c r="O393" i="1"/>
  <c r="L393" i="1"/>
  <c r="L393" i="3" s="1"/>
  <c r="K393" i="1"/>
  <c r="K393" i="3" s="1"/>
  <c r="J393" i="1"/>
  <c r="J393" i="3" s="1"/>
  <c r="Q392" i="1"/>
  <c r="Q392" i="3" s="1"/>
  <c r="P392" i="1"/>
  <c r="O392" i="1"/>
  <c r="O392" i="3" s="1"/>
  <c r="L392" i="1"/>
  <c r="K392" i="1"/>
  <c r="J392" i="1"/>
  <c r="J392" i="3" s="1"/>
  <c r="Q372" i="1"/>
  <c r="Q372" i="3" s="1"/>
  <c r="P372" i="1"/>
  <c r="P372" i="3" s="1"/>
  <c r="O372" i="1"/>
  <c r="O372" i="3" s="1"/>
  <c r="L372" i="1"/>
  <c r="L372" i="3" s="1"/>
  <c r="K372" i="1"/>
  <c r="K372" i="3" s="1"/>
  <c r="J372" i="1"/>
  <c r="J372" i="3" s="1"/>
  <c r="Q371" i="1"/>
  <c r="P371" i="1"/>
  <c r="P371" i="3" s="1"/>
  <c r="O371" i="1"/>
  <c r="O371" i="3" s="1"/>
  <c r="L371" i="1"/>
  <c r="L371" i="3" s="1"/>
  <c r="K371" i="1"/>
  <c r="J371" i="1"/>
  <c r="Q370" i="1"/>
  <c r="P370" i="1"/>
  <c r="O370" i="1"/>
  <c r="O370" i="3" s="1"/>
  <c r="L370" i="1"/>
  <c r="L370" i="3" s="1"/>
  <c r="K370" i="1"/>
  <c r="K370" i="3" s="1"/>
  <c r="J370" i="1"/>
  <c r="J370" i="3" s="1"/>
  <c r="Q369" i="1"/>
  <c r="Q369" i="3" s="1"/>
  <c r="P369" i="1"/>
  <c r="P369" i="3" s="1"/>
  <c r="O369" i="1"/>
  <c r="O369" i="3" s="1"/>
  <c r="L369" i="1"/>
  <c r="L369" i="3" s="1"/>
  <c r="K369" i="1"/>
  <c r="J369" i="1"/>
  <c r="Q368" i="1"/>
  <c r="P368" i="1"/>
  <c r="O368" i="1"/>
  <c r="L368" i="1"/>
  <c r="L368" i="3" s="1"/>
  <c r="K368" i="1"/>
  <c r="K368" i="3" s="1"/>
  <c r="J368" i="1"/>
  <c r="J368" i="3" s="1"/>
  <c r="Q367" i="1"/>
  <c r="Q367" i="3" s="1"/>
  <c r="P367" i="1"/>
  <c r="P367" i="3" s="1"/>
  <c r="O367" i="1"/>
  <c r="O367" i="3" s="1"/>
  <c r="L367" i="1"/>
  <c r="L367" i="3" s="1"/>
  <c r="K367" i="1"/>
  <c r="J367" i="1"/>
  <c r="Q356" i="1"/>
  <c r="Q356" i="3" s="1"/>
  <c r="P356" i="1"/>
  <c r="P356" i="3" s="1"/>
  <c r="O356" i="1"/>
  <c r="O356" i="3" s="1"/>
  <c r="L356" i="1"/>
  <c r="L356" i="3" s="1"/>
  <c r="K356" i="1"/>
  <c r="K356" i="3" s="1"/>
  <c r="J356" i="1"/>
  <c r="J356" i="3" s="1"/>
  <c r="Q355" i="1"/>
  <c r="Q355" i="3" s="1"/>
  <c r="P355" i="1"/>
  <c r="O355" i="1"/>
  <c r="L355" i="1"/>
  <c r="L355" i="3" s="1"/>
  <c r="K355" i="1"/>
  <c r="J355" i="1"/>
  <c r="Q354" i="1"/>
  <c r="P354" i="1"/>
  <c r="P354" i="3" s="1"/>
  <c r="O354" i="1"/>
  <c r="O354" i="3" s="1"/>
  <c r="L354" i="1"/>
  <c r="L354" i="3" s="1"/>
  <c r="K354" i="1"/>
  <c r="K354" i="3" s="1"/>
  <c r="J354" i="1"/>
  <c r="J354" i="3" s="1"/>
  <c r="Q353" i="1"/>
  <c r="Q353" i="3" s="1"/>
  <c r="P353" i="1"/>
  <c r="O353" i="1"/>
  <c r="L353" i="1"/>
  <c r="L353" i="3" s="1"/>
  <c r="K353" i="1"/>
  <c r="J353" i="1"/>
  <c r="Q352" i="1"/>
  <c r="P352" i="1"/>
  <c r="P352" i="3" s="1"/>
  <c r="O352" i="1"/>
  <c r="L352" i="1"/>
  <c r="L352" i="3" s="1"/>
  <c r="K352" i="1"/>
  <c r="K352" i="3" s="1"/>
  <c r="J352" i="1"/>
  <c r="J352" i="3" s="1"/>
  <c r="Q351" i="1"/>
  <c r="Q351" i="3" s="1"/>
  <c r="P351" i="1"/>
  <c r="O351" i="1"/>
  <c r="O351" i="3" s="1"/>
  <c r="L351" i="1"/>
  <c r="K351" i="1"/>
  <c r="J351" i="1"/>
  <c r="J351" i="3" s="1"/>
  <c r="Q350" i="1"/>
  <c r="Q350" i="3" s="1"/>
  <c r="P350" i="1"/>
  <c r="P350" i="3" s="1"/>
  <c r="O350" i="1"/>
  <c r="L350" i="1"/>
  <c r="L350" i="3" s="1"/>
  <c r="K350" i="1"/>
  <c r="K350" i="3" s="1"/>
  <c r="J350" i="1"/>
  <c r="J350" i="3" s="1"/>
  <c r="Q349" i="1"/>
  <c r="Q349" i="3" s="1"/>
  <c r="P349" i="1"/>
  <c r="P349" i="3" s="1"/>
  <c r="O349" i="1"/>
  <c r="O349" i="3" s="1"/>
  <c r="L349" i="1"/>
  <c r="L349" i="3" s="1"/>
  <c r="K349" i="1"/>
  <c r="K349" i="3" s="1"/>
  <c r="J349" i="1"/>
  <c r="J349" i="3" s="1"/>
  <c r="Q348" i="1"/>
  <c r="Q348" i="3" s="1"/>
  <c r="P348" i="1"/>
  <c r="P348" i="3" s="1"/>
  <c r="O348" i="1"/>
  <c r="O348" i="3" s="1"/>
  <c r="L348" i="1"/>
  <c r="L348" i="3" s="1"/>
  <c r="K348" i="1"/>
  <c r="J348" i="1"/>
  <c r="J348" i="3" s="1"/>
  <c r="Q347" i="1"/>
  <c r="Q347" i="3" s="1"/>
  <c r="P347" i="1"/>
  <c r="P347" i="3" s="1"/>
  <c r="O347" i="1"/>
  <c r="L347" i="1"/>
  <c r="K347" i="1"/>
  <c r="J347" i="1"/>
  <c r="J347" i="3" s="1"/>
  <c r="Q346" i="1"/>
  <c r="Q346" i="3" s="1"/>
  <c r="P346" i="1"/>
  <c r="P346" i="3" s="1"/>
  <c r="O346" i="1"/>
  <c r="O346" i="3" s="1"/>
  <c r="L346" i="1"/>
  <c r="L346" i="3" s="1"/>
  <c r="K346" i="1"/>
  <c r="K346" i="3" s="1"/>
  <c r="J346" i="1"/>
  <c r="J346" i="3" s="1"/>
  <c r="Q345" i="1"/>
  <c r="P345" i="1"/>
  <c r="O345" i="1"/>
  <c r="O345" i="3" s="1"/>
  <c r="L345" i="1"/>
  <c r="K345" i="1"/>
  <c r="J345" i="1"/>
  <c r="J345" i="3" s="1"/>
  <c r="Q344" i="1"/>
  <c r="Q344" i="3" s="1"/>
  <c r="P344" i="1"/>
  <c r="P344" i="3" s="1"/>
  <c r="O344" i="1"/>
  <c r="L344" i="1"/>
  <c r="L344" i="3" s="1"/>
  <c r="K344" i="1"/>
  <c r="K344" i="3" s="1"/>
  <c r="J344" i="1"/>
  <c r="J344" i="3" s="1"/>
  <c r="Q343" i="1"/>
  <c r="Q343" i="3" s="1"/>
  <c r="P343" i="1"/>
  <c r="O343" i="1"/>
  <c r="L343" i="1"/>
  <c r="K343" i="1"/>
  <c r="J343" i="1"/>
  <c r="Q342" i="1"/>
  <c r="P342" i="1"/>
  <c r="P342" i="3" s="1"/>
  <c r="O342" i="1"/>
  <c r="O342" i="3" s="1"/>
  <c r="L342" i="1"/>
  <c r="L342" i="3" s="1"/>
  <c r="K342" i="1"/>
  <c r="K342" i="3" s="1"/>
  <c r="J342" i="1"/>
  <c r="J342" i="3" s="1"/>
  <c r="Q341" i="1"/>
  <c r="Q341" i="3" s="1"/>
  <c r="P341" i="1"/>
  <c r="O341" i="1"/>
  <c r="L341" i="1"/>
  <c r="K341" i="1"/>
  <c r="J341" i="1"/>
  <c r="J341" i="3" s="1"/>
  <c r="Q340" i="1"/>
  <c r="Q340" i="3" s="1"/>
  <c r="P340" i="1"/>
  <c r="P340" i="3" s="1"/>
  <c r="O340" i="1"/>
  <c r="O340" i="3" s="1"/>
  <c r="L340" i="1"/>
  <c r="L340" i="3" s="1"/>
  <c r="K340" i="1"/>
  <c r="K340" i="3" s="1"/>
  <c r="J340" i="1"/>
  <c r="J340" i="3" s="1"/>
  <c r="Q334" i="1"/>
  <c r="P334" i="1"/>
  <c r="O334" i="1"/>
  <c r="L334" i="1"/>
  <c r="K334" i="1"/>
  <c r="J334" i="1"/>
  <c r="J334" i="3" s="1"/>
  <c r="Q333" i="1"/>
  <c r="Q333" i="3" s="1"/>
  <c r="P333" i="1"/>
  <c r="P333" i="3" s="1"/>
  <c r="O333" i="1"/>
  <c r="O333" i="3" s="1"/>
  <c r="L333" i="1"/>
  <c r="L333" i="3" s="1"/>
  <c r="K333" i="1"/>
  <c r="K333" i="3" s="1"/>
  <c r="J333" i="1"/>
  <c r="J333" i="3" s="1"/>
  <c r="Q332" i="1"/>
  <c r="Q332" i="3" s="1"/>
  <c r="P332" i="1"/>
  <c r="O332" i="1"/>
  <c r="L332" i="1"/>
  <c r="K332" i="1"/>
  <c r="J332" i="1"/>
  <c r="J332" i="3" s="1"/>
  <c r="Q321" i="1"/>
  <c r="P321" i="1"/>
  <c r="O321" i="1"/>
  <c r="O321" i="3" s="1"/>
  <c r="L321" i="1"/>
  <c r="L321" i="3" s="1"/>
  <c r="K321" i="1"/>
  <c r="K321" i="3" s="1"/>
  <c r="J321" i="1"/>
  <c r="J321" i="3" s="1"/>
  <c r="Q320" i="1"/>
  <c r="Q320" i="3" s="1"/>
  <c r="P320" i="1"/>
  <c r="P320" i="3" s="1"/>
  <c r="O320" i="1"/>
  <c r="O320" i="3" s="1"/>
  <c r="L320" i="1"/>
  <c r="K320" i="1"/>
  <c r="J320" i="1"/>
  <c r="J320" i="3" s="1"/>
  <c r="Q317" i="1"/>
  <c r="P317" i="1"/>
  <c r="O317" i="1"/>
  <c r="O317" i="3" s="1"/>
  <c r="L317" i="1"/>
  <c r="K317" i="1"/>
  <c r="K317" i="3" s="1"/>
  <c r="J317" i="1"/>
  <c r="J317" i="3" s="1"/>
  <c r="Q314" i="1"/>
  <c r="Q314" i="3" s="1"/>
  <c r="P314" i="1"/>
  <c r="P314" i="3" s="1"/>
  <c r="O314" i="1"/>
  <c r="L314" i="1"/>
  <c r="K314" i="1"/>
  <c r="K314" i="3" s="1"/>
  <c r="J314" i="1"/>
  <c r="J314" i="3" s="1"/>
  <c r="Q310" i="1"/>
  <c r="Q310" i="3" s="1"/>
  <c r="P310" i="1"/>
  <c r="P310" i="3" s="1"/>
  <c r="O310" i="1"/>
  <c r="O310" i="3" s="1"/>
  <c r="L310" i="1"/>
  <c r="L310" i="3" s="1"/>
  <c r="K310" i="1"/>
  <c r="K310" i="3" s="1"/>
  <c r="J310" i="1"/>
  <c r="J310" i="3" s="1"/>
  <c r="Q307" i="1"/>
  <c r="Q307" i="3" s="1"/>
  <c r="P307" i="1"/>
  <c r="O307" i="1"/>
  <c r="O307" i="3" s="1"/>
  <c r="L307" i="1"/>
  <c r="K307" i="1"/>
  <c r="K307" i="3" s="1"/>
  <c r="J307" i="1"/>
  <c r="J307" i="3" s="1"/>
  <c r="Q300" i="1"/>
  <c r="Q300" i="3" s="1"/>
  <c r="P300" i="1"/>
  <c r="P300" i="3" s="1"/>
  <c r="O300" i="1"/>
  <c r="O300" i="3" s="1"/>
  <c r="L300" i="1"/>
  <c r="L300" i="3" s="1"/>
  <c r="K300" i="1"/>
  <c r="K300" i="3" s="1"/>
  <c r="J300" i="1"/>
  <c r="J300" i="3" s="1"/>
  <c r="Q299" i="1"/>
  <c r="P299" i="1"/>
  <c r="P299" i="3" s="1"/>
  <c r="O299" i="1"/>
  <c r="O299" i="3" s="1"/>
  <c r="L299" i="1"/>
  <c r="K299" i="1"/>
  <c r="K299" i="3" s="1"/>
  <c r="J299" i="1"/>
  <c r="J299" i="3" s="1"/>
  <c r="Q298" i="1"/>
  <c r="Q298" i="3" s="1"/>
  <c r="P298" i="1"/>
  <c r="P298" i="3" s="1"/>
  <c r="O298" i="1"/>
  <c r="O298" i="3" s="1"/>
  <c r="L298" i="1"/>
  <c r="L298" i="3" s="1"/>
  <c r="K298" i="1"/>
  <c r="K298" i="3" s="1"/>
  <c r="J298" i="1"/>
  <c r="J298" i="3" s="1"/>
  <c r="Q297" i="1"/>
  <c r="Q297" i="3" s="1"/>
  <c r="P297" i="1"/>
  <c r="P297" i="3" s="1"/>
  <c r="O297" i="1"/>
  <c r="L297" i="1"/>
  <c r="K297" i="1"/>
  <c r="J297" i="1"/>
  <c r="Q296" i="1"/>
  <c r="P296" i="1"/>
  <c r="P296" i="3" s="1"/>
  <c r="O296" i="1"/>
  <c r="O296" i="3" s="1"/>
  <c r="L296" i="1"/>
  <c r="L296" i="3" s="1"/>
  <c r="K296" i="1"/>
  <c r="K296" i="3" s="1"/>
  <c r="J296" i="1"/>
  <c r="J296" i="3" s="1"/>
  <c r="Q295" i="1"/>
  <c r="Q295" i="3" s="1"/>
  <c r="P295" i="1"/>
  <c r="O295" i="1"/>
  <c r="O295" i="3" s="1"/>
  <c r="L295" i="1"/>
  <c r="K295" i="1"/>
  <c r="J295" i="1"/>
  <c r="Q294" i="1"/>
  <c r="P294" i="1"/>
  <c r="O294" i="1"/>
  <c r="L294" i="1"/>
  <c r="L294" i="3" s="1"/>
  <c r="K294" i="1"/>
  <c r="K294" i="3" s="1"/>
  <c r="J294" i="1"/>
  <c r="J294" i="3" s="1"/>
  <c r="Q293" i="1"/>
  <c r="Q293" i="3" s="1"/>
  <c r="P293" i="1"/>
  <c r="P293" i="3" s="1"/>
  <c r="O293" i="1"/>
  <c r="O293" i="3" s="1"/>
  <c r="L293" i="1"/>
  <c r="L293" i="3" s="1"/>
  <c r="K293" i="1"/>
  <c r="J293" i="1"/>
  <c r="Q292" i="1"/>
  <c r="Q292" i="3" s="1"/>
  <c r="P292" i="1"/>
  <c r="P292" i="3" s="1"/>
  <c r="O292" i="1"/>
  <c r="O292" i="3" s="1"/>
  <c r="L292" i="1"/>
  <c r="L292" i="3" s="1"/>
  <c r="K292" i="1"/>
  <c r="K292" i="3" s="1"/>
  <c r="J292" i="1"/>
  <c r="J292" i="3" s="1"/>
  <c r="Q291" i="1"/>
  <c r="P291" i="1"/>
  <c r="P291" i="3" s="1"/>
  <c r="O291" i="1"/>
  <c r="O291" i="3" s="1"/>
  <c r="L291" i="1"/>
  <c r="L291" i="3" s="1"/>
  <c r="K291" i="1"/>
  <c r="J291" i="1"/>
  <c r="J291" i="3" s="1"/>
  <c r="Q290" i="1"/>
  <c r="Q290" i="3" s="1"/>
  <c r="P290" i="1"/>
  <c r="P290" i="3" s="1"/>
  <c r="O290" i="1"/>
  <c r="O290" i="3" s="1"/>
  <c r="L290" i="1"/>
  <c r="L290" i="3" s="1"/>
  <c r="K290" i="1"/>
  <c r="K290" i="3" s="1"/>
  <c r="J290" i="1"/>
  <c r="J290" i="3" s="1"/>
  <c r="Q289" i="1"/>
  <c r="Q289" i="3" s="1"/>
  <c r="P289" i="1"/>
  <c r="O289" i="1"/>
  <c r="L289" i="1"/>
  <c r="K289" i="1"/>
  <c r="J289" i="1"/>
  <c r="Q288" i="1"/>
  <c r="P288" i="1"/>
  <c r="P288" i="3" s="1"/>
  <c r="O288" i="1"/>
  <c r="O288" i="3" s="1"/>
  <c r="L288" i="1"/>
  <c r="L288" i="3" s="1"/>
  <c r="K288" i="1"/>
  <c r="K288" i="3" s="1"/>
  <c r="J288" i="1"/>
  <c r="J288" i="3" s="1"/>
  <c r="Q287" i="1"/>
  <c r="Q287" i="3" s="1"/>
  <c r="P287" i="1"/>
  <c r="O287" i="1"/>
  <c r="L287" i="1"/>
  <c r="K287" i="1"/>
  <c r="K287" i="3" s="1"/>
  <c r="J287" i="1"/>
  <c r="L286" i="1"/>
  <c r="L286" i="3" s="1"/>
  <c r="K286" i="1"/>
  <c r="K286" i="3" s="1"/>
  <c r="J286" i="1"/>
  <c r="J286" i="3" s="1"/>
  <c r="L285" i="1"/>
  <c r="L285" i="3" s="1"/>
  <c r="K285" i="1"/>
  <c r="K285" i="3" s="1"/>
  <c r="J285" i="1"/>
  <c r="J285" i="3" s="1"/>
  <c r="Q284" i="1"/>
  <c r="Q284" i="3" s="1"/>
  <c r="P284" i="1"/>
  <c r="O284" i="1"/>
  <c r="L284" i="1"/>
  <c r="K284" i="1"/>
  <c r="J284" i="1"/>
  <c r="J284" i="3" s="1"/>
  <c r="O281" i="1"/>
  <c r="O281" i="3" s="1"/>
  <c r="L281" i="1"/>
  <c r="L281" i="3" s="1"/>
  <c r="K281" i="1"/>
  <c r="K281" i="3" s="1"/>
  <c r="J281" i="1"/>
  <c r="J281" i="3" s="1"/>
  <c r="P280" i="1"/>
  <c r="P280" i="3" s="1"/>
  <c r="O280" i="1"/>
  <c r="O280" i="3" s="1"/>
  <c r="L280" i="1"/>
  <c r="K280" i="1"/>
  <c r="K280" i="3" s="1"/>
  <c r="J280" i="1"/>
  <c r="J280" i="3" s="1"/>
  <c r="L279" i="1"/>
  <c r="K279" i="1"/>
  <c r="J279" i="1"/>
  <c r="L278" i="1"/>
  <c r="L278" i="3" s="1"/>
  <c r="K278" i="1"/>
  <c r="K278" i="3" s="1"/>
  <c r="J278" i="1"/>
  <c r="J278" i="3" s="1"/>
  <c r="L277" i="1"/>
  <c r="L277" i="3" s="1"/>
  <c r="K277" i="1"/>
  <c r="K277" i="3" s="1"/>
  <c r="J277" i="1"/>
  <c r="J277" i="3" s="1"/>
  <c r="L276" i="1"/>
  <c r="L276" i="3" s="1"/>
  <c r="K276" i="1"/>
  <c r="K276" i="3" s="1"/>
  <c r="J276" i="1"/>
  <c r="J276" i="3" s="1"/>
  <c r="Q275" i="1"/>
  <c r="P275" i="1"/>
  <c r="O275" i="1"/>
  <c r="L275" i="1"/>
  <c r="L275" i="3" s="1"/>
  <c r="K275" i="1"/>
  <c r="K275" i="3" s="1"/>
  <c r="J275" i="1"/>
  <c r="J275" i="3" s="1"/>
  <c r="Q274" i="1"/>
  <c r="Q274" i="3" s="1"/>
  <c r="P274" i="1"/>
  <c r="P274" i="3" s="1"/>
  <c r="O274" i="1"/>
  <c r="O274" i="3" s="1"/>
  <c r="L274" i="1"/>
  <c r="K274" i="1"/>
  <c r="J274" i="1"/>
  <c r="Q273" i="1"/>
  <c r="P273" i="1"/>
  <c r="O273" i="1"/>
  <c r="O273" i="3" s="1"/>
  <c r="L273" i="1"/>
  <c r="L273" i="3" s="1"/>
  <c r="K273" i="1"/>
  <c r="K273" i="3" s="1"/>
  <c r="J273" i="1"/>
  <c r="J273" i="3" s="1"/>
  <c r="Q272" i="1"/>
  <c r="Q272" i="3" s="1"/>
  <c r="P272" i="1"/>
  <c r="P272" i="3" s="1"/>
  <c r="O272" i="1"/>
  <c r="O272" i="3" s="1"/>
  <c r="L272" i="1"/>
  <c r="K272" i="1"/>
  <c r="J272" i="1"/>
  <c r="Q271" i="1"/>
  <c r="P271" i="1"/>
  <c r="O271" i="1"/>
  <c r="L271" i="1"/>
  <c r="L271" i="3" s="1"/>
  <c r="K271" i="1"/>
  <c r="K271" i="3" s="1"/>
  <c r="J271" i="1"/>
  <c r="J271" i="3" s="1"/>
  <c r="Q270" i="1"/>
  <c r="Q270" i="3" s="1"/>
  <c r="P270" i="1"/>
  <c r="P270" i="3" s="1"/>
  <c r="O270" i="1"/>
  <c r="O270" i="3" s="1"/>
  <c r="L270" i="1"/>
  <c r="K270" i="1"/>
  <c r="J270" i="1"/>
  <c r="Q269" i="1"/>
  <c r="P269" i="1"/>
  <c r="O269" i="1"/>
  <c r="O269" i="3" s="1"/>
  <c r="L269" i="1"/>
  <c r="L269" i="3" s="1"/>
  <c r="K269" i="1"/>
  <c r="K269" i="3" s="1"/>
  <c r="J269" i="1"/>
  <c r="J269" i="3" s="1"/>
  <c r="Q268" i="1"/>
  <c r="Q268" i="3" s="1"/>
  <c r="P268" i="1"/>
  <c r="P268" i="3" s="1"/>
  <c r="O268" i="1"/>
  <c r="O268" i="3" s="1"/>
  <c r="L268" i="1"/>
  <c r="K268" i="1"/>
  <c r="J268" i="1"/>
  <c r="J268" i="3" s="1"/>
  <c r="Q265" i="1"/>
  <c r="Q265" i="3" s="1"/>
  <c r="P265" i="1"/>
  <c r="O265" i="1"/>
  <c r="L265" i="1"/>
  <c r="L265" i="3" s="1"/>
  <c r="K265" i="1"/>
  <c r="K265" i="3" s="1"/>
  <c r="J265" i="1"/>
  <c r="J265" i="3" s="1"/>
  <c r="Q264" i="1"/>
  <c r="Q264" i="3" s="1"/>
  <c r="P264" i="1"/>
  <c r="P264" i="3" s="1"/>
  <c r="O264" i="1"/>
  <c r="O264" i="3" s="1"/>
  <c r="L264" i="1"/>
  <c r="L264" i="3" s="1"/>
  <c r="K264" i="1"/>
  <c r="K264" i="3" s="1"/>
  <c r="J264" i="1"/>
  <c r="Q263" i="1"/>
  <c r="P263" i="1"/>
  <c r="O263" i="1"/>
  <c r="O263" i="3" s="1"/>
  <c r="L263" i="1"/>
  <c r="L263" i="3" s="1"/>
  <c r="K263" i="1"/>
  <c r="K263" i="3" s="1"/>
  <c r="J263" i="1"/>
  <c r="J263" i="3" s="1"/>
  <c r="Q246" i="1"/>
  <c r="Q246" i="3" s="1"/>
  <c r="P246" i="1"/>
  <c r="P246" i="3" s="1"/>
  <c r="O246" i="1"/>
  <c r="O246" i="3" s="1"/>
  <c r="L246" i="1"/>
  <c r="K246" i="1"/>
  <c r="J246" i="1"/>
  <c r="J246" i="3" s="1"/>
  <c r="Q245" i="1"/>
  <c r="P245" i="1"/>
  <c r="O245" i="1"/>
  <c r="O245" i="3" s="1"/>
  <c r="L245" i="1"/>
  <c r="L245" i="3" s="1"/>
  <c r="K245" i="1"/>
  <c r="K245" i="3" s="1"/>
  <c r="J245" i="1"/>
  <c r="J245" i="3" s="1"/>
  <c r="Q242" i="1"/>
  <c r="Q242" i="3" s="1"/>
  <c r="P242" i="1"/>
  <c r="P242" i="3" s="1"/>
  <c r="O242" i="1"/>
  <c r="O242" i="3" s="1"/>
  <c r="L242" i="1"/>
  <c r="L242" i="3" s="1"/>
  <c r="K242" i="1"/>
  <c r="J242" i="1"/>
  <c r="Q241" i="1"/>
  <c r="P241" i="1"/>
  <c r="O241" i="1"/>
  <c r="O241" i="3" s="1"/>
  <c r="L241" i="1"/>
  <c r="L241" i="3" s="1"/>
  <c r="K241" i="1"/>
  <c r="K241" i="3" s="1"/>
  <c r="J241" i="1"/>
  <c r="J241" i="3" s="1"/>
  <c r="Q240" i="1"/>
  <c r="Q240" i="3" s="1"/>
  <c r="P240" i="1"/>
  <c r="P240" i="3" s="1"/>
  <c r="O240" i="1"/>
  <c r="O240" i="3" s="1"/>
  <c r="L240" i="1"/>
  <c r="K240" i="1"/>
  <c r="J240" i="1"/>
  <c r="J240" i="3" s="1"/>
  <c r="Q239" i="1"/>
  <c r="P239" i="1"/>
  <c r="O239" i="1"/>
  <c r="O239" i="3" s="1"/>
  <c r="L239" i="1"/>
  <c r="L239" i="3" s="1"/>
  <c r="K239" i="1"/>
  <c r="K239" i="3" s="1"/>
  <c r="J239" i="1"/>
  <c r="J239" i="3" s="1"/>
  <c r="L238" i="1"/>
  <c r="L238" i="3" s="1"/>
  <c r="K238" i="1"/>
  <c r="K238" i="3" s="1"/>
  <c r="J238" i="1"/>
  <c r="J238" i="3" s="1"/>
  <c r="I238" i="1"/>
  <c r="H238" i="1"/>
  <c r="Q237" i="1"/>
  <c r="P237" i="1"/>
  <c r="O237" i="1"/>
  <c r="L237" i="1"/>
  <c r="K237" i="1"/>
  <c r="K237" i="3" s="1"/>
  <c r="J237" i="1"/>
  <c r="J237" i="3" s="1"/>
  <c r="L225" i="1"/>
  <c r="L225" i="3" s="1"/>
  <c r="K225" i="1"/>
  <c r="K225" i="3" s="1"/>
  <c r="J225" i="1"/>
  <c r="J225" i="3" s="1"/>
  <c r="L224" i="1"/>
  <c r="L224" i="3" s="1"/>
  <c r="K224" i="1"/>
  <c r="K224" i="3" s="1"/>
  <c r="J224" i="1"/>
  <c r="Q223" i="1"/>
  <c r="P223" i="1"/>
  <c r="O223" i="1"/>
  <c r="L223" i="1"/>
  <c r="L223" i="3" s="1"/>
  <c r="K223" i="1"/>
  <c r="K223" i="3" s="1"/>
  <c r="J223" i="1"/>
  <c r="J223" i="3" s="1"/>
  <c r="Q222" i="1"/>
  <c r="Q222" i="3" s="1"/>
  <c r="P222" i="1"/>
  <c r="P222" i="3" s="1"/>
  <c r="O222" i="1"/>
  <c r="O222" i="3" s="1"/>
  <c r="L222" i="1"/>
  <c r="L222" i="3" s="1"/>
  <c r="K222" i="1"/>
  <c r="J222" i="1"/>
  <c r="J222" i="3" s="1"/>
  <c r="Q221" i="1"/>
  <c r="Q221" i="3" s="1"/>
  <c r="P221" i="1"/>
  <c r="O221" i="1"/>
  <c r="O221" i="3" s="1"/>
  <c r="L221" i="1"/>
  <c r="L221" i="3" s="1"/>
  <c r="K221" i="1"/>
  <c r="K221" i="3" s="1"/>
  <c r="J221" i="1"/>
  <c r="J221" i="3" s="1"/>
  <c r="J109" i="1"/>
  <c r="J109" i="3" s="1"/>
  <c r="J108" i="1"/>
  <c r="J108" i="3" s="1"/>
  <c r="J107" i="1"/>
  <c r="J107" i="3" s="1"/>
  <c r="P74" i="1"/>
  <c r="P74" i="3" s="1"/>
  <c r="O74" i="1"/>
  <c r="O74" i="3" s="1"/>
  <c r="J74" i="1"/>
  <c r="P73" i="1"/>
  <c r="O73" i="1"/>
  <c r="J73" i="1"/>
  <c r="P72" i="1"/>
  <c r="O72" i="1"/>
  <c r="J72" i="1"/>
  <c r="J72" i="3" s="1"/>
  <c r="P71" i="1"/>
  <c r="P71" i="3" s="1"/>
  <c r="O71" i="1"/>
  <c r="O71" i="3" s="1"/>
  <c r="J71" i="1"/>
  <c r="J71" i="3" s="1"/>
  <c r="P70" i="1"/>
  <c r="P70" i="3" s="1"/>
  <c r="O70" i="1"/>
  <c r="J70" i="1"/>
  <c r="J70" i="3" s="1"/>
  <c r="Q24" i="1"/>
  <c r="Q24" i="3" s="1"/>
  <c r="Q23" i="1"/>
  <c r="Q22" i="1"/>
  <c r="Q21" i="1"/>
  <c r="Q21" i="3" s="1"/>
  <c r="Q20" i="1"/>
  <c r="Q19" i="1"/>
  <c r="Q19" i="3" s="1"/>
  <c r="Q18" i="1"/>
  <c r="Q17" i="1"/>
  <c r="Q17" i="3" s="1"/>
  <c r="L16" i="1"/>
  <c r="L16" i="3" s="1"/>
  <c r="K16" i="1"/>
  <c r="K16" i="3" s="1"/>
  <c r="J16" i="1"/>
  <c r="J16" i="3" s="1"/>
  <c r="L15" i="1"/>
  <c r="K15" i="1"/>
  <c r="J15" i="1"/>
  <c r="L14" i="1"/>
  <c r="L14" i="3" s="1"/>
  <c r="K14" i="1"/>
  <c r="K14" i="3" s="1"/>
  <c r="J14" i="1"/>
  <c r="J14" i="3" s="1"/>
  <c r="L13" i="1"/>
  <c r="K13" i="1"/>
  <c r="K13" i="3" s="1"/>
  <c r="J13" i="1"/>
  <c r="J13" i="3" s="1"/>
</calcChain>
</file>

<file path=xl/sharedStrings.xml><?xml version="1.0" encoding="utf-8"?>
<sst xmlns="http://schemas.openxmlformats.org/spreadsheetml/2006/main" count="9529" uniqueCount="1314">
  <si>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</si>
  <si>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</si>
  <si>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</si>
  <si>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</si>
  <si>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</si>
  <si>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</si>
  <si>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</si>
  <si>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</si>
  <si>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</si>
  <si>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FIBRA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</si>
  <si>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</si>
  <si>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</si>
  <si>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</si>
  <si>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</si>
  <si>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</si>
  <si>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</si>
  <si>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</si>
  <si>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</si>
  <si>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</si>
  <si>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</si>
  <si>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</si>
  <si>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</si>
  <si>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</si>
  <si>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</si>
  <si>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</si>
  <si>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</si>
  <si>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</si>
  <si>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</si>
  <si>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</si>
  <si>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</si>
  <si>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</si>
  <si>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</si>
  <si>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</si>
  <si>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</si>
  <si>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</si>
  <si>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</si>
  <si>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</si>
  <si>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</si>
  <si>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</si>
  <si>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300M 24</t>
  </si>
  <si>
    <t>TIM Fibra 400M 24</t>
  </si>
  <si>
    <t>TIM Fibra 500M 24 - 2</t>
  </si>
  <si>
    <t>TIM Fibra 600M 24 - 2</t>
  </si>
  <si>
    <t>TIM Fibra 600M P 24 - 2</t>
  </si>
  <si>
    <t>TIM Fibra 600M M 24 - 2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</si>
  <si>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</si>
  <si>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</si>
  <si>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</si>
  <si>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</si>
  <si>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</si>
  <si>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</si>
  <si>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</si>
  <si>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</si>
  <si>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</si>
  <si>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</si>
  <si>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</si>
  <si>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</si>
  <si>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</si>
  <si>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</si>
  <si>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</si>
  <si>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</si>
  <si>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ADM</t>
  </si>
  <si>
    <t>21X</t>
  </si>
  <si>
    <t>Alcatel Pixi 4.5 4G</t>
  </si>
  <si>
    <t>Alcatel Pixi 4.5 4G-Preto</t>
  </si>
  <si>
    <t>31.03.2026</t>
  </si>
  <si>
    <t>4G</t>
  </si>
  <si>
    <t>Alcatel Pixi 4.5 4G-Branco</t>
  </si>
  <si>
    <t>Alcatel Pixi 4.5 4G-Preto AM</t>
  </si>
  <si>
    <t>Alcatel Pixi 4.5 4G-Branco AM</t>
  </si>
  <si>
    <t>Price Oferta</t>
  </si>
  <si>
    <t>APPLE IPHONE SE 64GB 2GER</t>
  </si>
  <si>
    <t>APPLE IPHONE SE 64GB 2GER-PRETO</t>
  </si>
  <si>
    <t>Apple iPhone SE 64GB 2Ger-Branco</t>
  </si>
  <si>
    <t>Apple iPhone SE 64GB 2Ger-Vermelho</t>
  </si>
  <si>
    <t>APPLE IPHONE SE 64GB 2GE-PRETO NAC</t>
  </si>
  <si>
    <t>APPLE IPHONE SE 64GB 2GE-BRANCO NAC</t>
  </si>
  <si>
    <t>APPLE IPHONE SE 64GB 2GE-VERMELHO NAC</t>
  </si>
  <si>
    <t>APPLE IPHONE SE 64GB 2GE-PRETO NAC S.KIT</t>
  </si>
  <si>
    <t>APPLE IPHONE SE 64GB 2GE-BRANC NAC S.KIT</t>
  </si>
  <si>
    <t>APPLE IPHONE 12 64GB</t>
  </si>
  <si>
    <t>APPLE IPHONE 12 64GB-VERDE</t>
  </si>
  <si>
    <t>5G</t>
  </si>
  <si>
    <t>APPLE IPHONE 12 64GB-VERMELHO</t>
  </si>
  <si>
    <t>APPLE IPHONE 12 64GB-BRANCO</t>
  </si>
  <si>
    <t>APPLE IPHONE 12 64GB-PRETO</t>
  </si>
  <si>
    <t>APPLE IPHONE 12 64GB-AZUL</t>
  </si>
  <si>
    <t>APPLE IPHONE 12 64GB-ROXO</t>
  </si>
  <si>
    <t>APPLE IPHONE 12 64GB-AZUL NAC</t>
  </si>
  <si>
    <t>APPLE IPHONE 12 64GB-PRETO NAC</t>
  </si>
  <si>
    <t>APPLE IPHONE 12 64GB-BRANCO NAC</t>
  </si>
  <si>
    <t>APPLE IPHONE 12 128GB</t>
  </si>
  <si>
    <t>APPLE IPHONE 12 128GB-VERDE</t>
  </si>
  <si>
    <t>APPLE IPHONE 12 128GB-VERMELHO</t>
  </si>
  <si>
    <t>APPLE IPHONE 12 128GB-BRANCO</t>
  </si>
  <si>
    <t>APPLE IPHONE 12 128GB-PRETO</t>
  </si>
  <si>
    <t>APPLE IPHONE 12 128GB-AZUL</t>
  </si>
  <si>
    <t>APPLE IPHONE 12 128GB-ROXO</t>
  </si>
  <si>
    <t>APPLE IPHONE 12 128GB-PRETO NAC</t>
  </si>
  <si>
    <t>APPLE IPHONE 12 128GB-AZUL NAC</t>
  </si>
  <si>
    <t>APPLE IPHONE 12 128GB-BRANCO NAC</t>
  </si>
  <si>
    <t>APPLE IPHONE 13 128GB</t>
  </si>
  <si>
    <t>APPLE IPHONE 13 128GB-PRETO</t>
  </si>
  <si>
    <t>APPLE IPHONE 13 128GB-BRANCO</t>
  </si>
  <si>
    <t>APPLE IPHONE 13 128GB-ROSA</t>
  </si>
  <si>
    <t>APPLE IPHONE 13 128GB-VERMELHO</t>
  </si>
  <si>
    <t>APPLE IPHONE 13 128GB-AZUL</t>
  </si>
  <si>
    <t>APPLE IPHONE 13 128GB-VERDE</t>
  </si>
  <si>
    <t>APPLE IPHONE 13 128GB-AZUL NAC</t>
  </si>
  <si>
    <t>APPLE IPHONE 13 128GB-ROSA NAC</t>
  </si>
  <si>
    <t>APPLE IPHONE 13 128GB-VERMELHO NAC</t>
  </si>
  <si>
    <t>APPLE IPHONE 13 128GB-PRETO NAC</t>
  </si>
  <si>
    <t>APPLE IPHONE 13 128GB-BRANCO NAC</t>
  </si>
  <si>
    <t>APPLE IPHONE 13 128GB-VERDE NAC</t>
  </si>
  <si>
    <t>APPLE IPHONE 13 256GB</t>
  </si>
  <si>
    <t>APPLE IPHONE 13 256GB-PRETO</t>
  </si>
  <si>
    <t>APPLE IPHONE 13 256GB-BRANCO</t>
  </si>
  <si>
    <t>APPLE IPHONE 13 256GB-ROSA</t>
  </si>
  <si>
    <t>APPLE IPHONE 13 256GB-VERMELHO</t>
  </si>
  <si>
    <t>APPLE IPHONE 13 256GB-AZUL</t>
  </si>
  <si>
    <t>APPLE IPHONE 13 256GB-AZUL NAC</t>
  </si>
  <si>
    <t>APPLE IPHONE 13 256GB-BRANCO NAC</t>
  </si>
  <si>
    <t>APPLE IPHONE 13 256GB-PRETO NAC</t>
  </si>
  <si>
    <t>APPLE IPHONE 13 256GB-ROSA NAC</t>
  </si>
  <si>
    <t>APPLE IPHONE 13 256GB-VERMELHO NAC</t>
  </si>
  <si>
    <t>APPLE IPHONE 13 256GB-VERDE NAC</t>
  </si>
  <si>
    <t>APPLE IPHONE 13 PRO 256GB</t>
  </si>
  <si>
    <t>APPLE IPHONE 13 PRO 256GB-GRAFITE</t>
  </si>
  <si>
    <t>APPLE IPHONE 13 PRO 256GB-DOURADO</t>
  </si>
  <si>
    <t>APPLE IPHONE 13 PRO 256GB-AZUL SIERRA</t>
  </si>
  <si>
    <t>APPLE IPHONE 13 PRO 256GB-VERDE ALPINO</t>
  </si>
  <si>
    <t>APPLE IPHONE 13 PRO MAX 256GB</t>
  </si>
  <si>
    <t>APPLE IPHONE 13 PRO MAX 256GB-GRAFITE</t>
  </si>
  <si>
    <t>APPLE IPHONE 13 PRO MAX 256GB-PRATEADO</t>
  </si>
  <si>
    <t>APPLE IPHONE 13 PRO MAX 256GB-DOURADO</t>
  </si>
  <si>
    <t>APPLE IPHONE 13 PRO MAX 256GB-AZUL SIERR</t>
  </si>
  <si>
    <t>APPLE IPHONE 13 PRO MAX 256GB-VERDE ALP</t>
  </si>
  <si>
    <t>APPLE IPHONE 14 128GB</t>
  </si>
  <si>
    <t>APPLE IPHONE 14 128GB-AZUL</t>
  </si>
  <si>
    <t>APPLE IPHONE 14 128GB-ROXO</t>
  </si>
  <si>
    <t>APPLE IPHONE 14 128GB-BRANCO</t>
  </si>
  <si>
    <t>APPLE IPHONE 14 128GB-PRETO</t>
  </si>
  <si>
    <t>APPLE IPHONE 14 128GB-VERMELHO</t>
  </si>
  <si>
    <t>APPLE IPHONE 14 128GB-PRETO NAC</t>
  </si>
  <si>
    <t>APPLE IPHONE 14 128GB-BRANCO NAC</t>
  </si>
  <si>
    <t>APPLE IPHONE 14 128GB-ROXO NAC</t>
  </si>
  <si>
    <t>APPLE IPHONE 14 128GB-AZUL NAC</t>
  </si>
  <si>
    <t>APPLE IPHONE 14 128GB-VERMELHO NAC</t>
  </si>
  <si>
    <t>APPLE IPHONE 14 256GB</t>
  </si>
  <si>
    <t>APPLE IPHONE 14 256GB-AZUL</t>
  </si>
  <si>
    <t>APPLE IPHONE 14 256GB-ROXO</t>
  </si>
  <si>
    <t>APPLE IPHONE 14 256GB-BRANCO</t>
  </si>
  <si>
    <t>APPLE IPHONE 14 256GB-PRETO</t>
  </si>
  <si>
    <t>APPLE IPHONE 14 256GB-VERMELHO</t>
  </si>
  <si>
    <t>APPLE IPHONE 14 256GB-PRETO NAC</t>
  </si>
  <si>
    <t>APPLE IPHONE 14 256GB-AZUL NAC</t>
  </si>
  <si>
    <t>APPLE IPHONE 14 256GB-BRANCO NAC</t>
  </si>
  <si>
    <t>APPLE IPHONE 14 256GB-ROXO NAC</t>
  </si>
  <si>
    <t>APPLE IPHONE 14 256GB-VERMELHO NAC</t>
  </si>
  <si>
    <t>APPLE IPHONE 14 PLUS 256GB</t>
  </si>
  <si>
    <t>APPLE IPHONE 14 PLUS 256GB-AZUL</t>
  </si>
  <si>
    <t>APPLE IPHONE 14 PLUS 256GB-BRANCO</t>
  </si>
  <si>
    <t>APPLE IPHONE 14 PLUS 256GB-PRETO</t>
  </si>
  <si>
    <t>APPLE IPHONE 14 PLUS 256GB-ROXO</t>
  </si>
  <si>
    <t>APPLE IPHONE 14 PLUS 256GB-VERMELHO</t>
  </si>
  <si>
    <t>APPLE IPHONE 14 PLUS 256GB-PRETO NAC</t>
  </si>
  <si>
    <t>APPLE IPHONE 14 PLUS 256GB-BRANCO NAC</t>
  </si>
  <si>
    <t>APPLE IPHONE 14 PLUS 256GB-ROXO NAC</t>
  </si>
  <si>
    <t>APPLE IPHONE 14 PLUS 256GB-AZUL NAC</t>
  </si>
  <si>
    <t>APPLE IPHONE 14 PRO MAX 256GB</t>
  </si>
  <si>
    <t>APPLE IPHONE 14 PRO MAX 256GB-GRAFITE</t>
  </si>
  <si>
    <t>APPLE IPHONE 14 PRO MAX 256GB-DOURADO</t>
  </si>
  <si>
    <t>APPLE IPHONE 14 PRO MAX 256GB-ROXO</t>
  </si>
  <si>
    <t>APPLE IPHONE 14 PRO 128GB</t>
  </si>
  <si>
    <t>APPLE IPHONE 14 PRO 128GB-GRAFITE</t>
  </si>
  <si>
    <t>APPLE IPHONE 14 PRO 128GB-DOURADO</t>
  </si>
  <si>
    <t>APPLE IPHONE 14 PRO 128GB-ROXO</t>
  </si>
  <si>
    <t>APPLE IPHONE 14 PRO 256GB</t>
  </si>
  <si>
    <t>APPLE IPHONE 14 PRO 256GB-GRAFITE</t>
  </si>
  <si>
    <t>APPLE IPHONE 14 PRO 256GB-DOURADO</t>
  </si>
  <si>
    <t>APPLE IPHONE 14 PRO 256GB-ROXO</t>
  </si>
  <si>
    <t>APPLE IPHONE 15 128GB</t>
  </si>
  <si>
    <t>APPLE IPHONE 15 128GB-PRETO</t>
  </si>
  <si>
    <t>APPLE IPHONE 15 128GB-AZUL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</si>
  <si>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</si>
  <si>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</si>
  <si>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</si>
  <si>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</si>
  <si>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</si>
  <si>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</si>
  <si>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15 256GB-ROSA</t>
  </si>
  <si>
    <t>APPLE IPHONE 15 256GB-VERDE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</si>
  <si>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</si>
  <si>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</si>
  <si>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</si>
  <si>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</si>
  <si>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</si>
  <si>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</si>
  <si>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15 512GB-AZUL</t>
  </si>
  <si>
    <t>APPLE IPHONE 15 PLUS 256GB</t>
  </si>
  <si>
    <t>APPLE IPHONE 15 PLUS 256GB-PRETO</t>
  </si>
  <si>
    <t>APPLE IPHONE 15 PLUS 256GB-AZUL</t>
  </si>
  <si>
    <t>APPLE IPHONE 15 PLUS 256GB-ROSA</t>
  </si>
  <si>
    <t>APPLE IPHONE 15 PLUS 256GB-VERDE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</si>
  <si>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</si>
  <si>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</si>
  <si>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</si>
  <si>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</si>
  <si>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</si>
  <si>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</si>
  <si>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</si>
  <si>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</si>
  <si>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</si>
  <si>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</si>
  <si>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</si>
  <si>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</si>
  <si>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256GB-BRANCO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</si>
  <si>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</si>
  <si>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</si>
  <si>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</si>
  <si>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</si>
  <si>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512GB-BRANCO</t>
  </si>
  <si>
    <t>APPLE IPHONE 15 PRO MAX 512GB-AZUL</t>
  </si>
  <si>
    <t>APPLE IPHONE 15 PRO MAX 512GB-TITANIO</t>
  </si>
  <si>
    <t>APPLE IPHONE 16 128GB</t>
  </si>
  <si>
    <t>APPLE IPHONE 16 128GB-AZUL</t>
  </si>
  <si>
    <t>APPLE IPHONE 16 128GB-AZUL NAC</t>
  </si>
  <si>
    <t>APPLE IPHONE 16 128GB-BRANCO</t>
  </si>
  <si>
    <t>APPLE IPHONE 16 128GB-PRETO</t>
  </si>
  <si>
    <t>APPLE IPHONE 16 128GB-ROSA</t>
  </si>
  <si>
    <t>APPLE IPHONE 16 128GB-ROSA NAC</t>
  </si>
  <si>
    <t>APPLE IPHONE 16 128GB-VERDE</t>
  </si>
  <si>
    <t>APPLE IPHONE 16 128GB-PRETO NAC</t>
  </si>
  <si>
    <t>APPLE IPHONE 16 128GB-BRANCO NAC</t>
  </si>
  <si>
    <t>APPLE IPHONE 16 128GB-VERDE NAC</t>
  </si>
  <si>
    <t>APPLE IPHONE 16 256GB</t>
  </si>
  <si>
    <t>APPLE IPHONE 16 256GB-AZUL</t>
  </si>
  <si>
    <t>APPLE IPHONE 16 256GB-BRANCO</t>
  </si>
  <si>
    <t>APPLE IPHONE 16 256GB-PRETO</t>
  </si>
  <si>
    <t>APPLE IPHONE 16 256GB-ROSA</t>
  </si>
  <si>
    <t>APPLE IPHONE 16 256GB-ROSA NAC</t>
  </si>
  <si>
    <t>APPLE IPHONE 16 256GB-VERDE</t>
  </si>
  <si>
    <t>APPLE IPHONE 16 256GB-PRETO NAC</t>
  </si>
  <si>
    <t>APPLE IPHONE 16 256GB-BRANCO NAC</t>
  </si>
  <si>
    <t>APPLE IPHONE 16 256GB-AZUL NAC</t>
  </si>
  <si>
    <t>APPLE IPHONE 16 256GB-VERDE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</si>
  <si>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</si>
  <si>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</si>
  <si>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</si>
  <si>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</si>
  <si>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</si>
  <si>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</si>
  <si>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</si>
  <si>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</si>
  <si>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</si>
  <si>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</si>
  <si>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</si>
  <si>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</si>
  <si>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</si>
  <si>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</si>
  <si>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</si>
  <si>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</si>
  <si>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</si>
  <si>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</si>
  <si>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512GB-BRANCO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</si>
  <si>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</si>
  <si>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</si>
  <si>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</si>
  <si>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</si>
  <si>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</si>
  <si>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</si>
  <si>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</si>
  <si>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</si>
  <si>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17 256GB-AZUL NEVOA</t>
  </si>
  <si>
    <t>APPLE IPHONE 17 256GB-PRETO</t>
  </si>
  <si>
    <t>APPLE IPHONE 17 256GB-BRANCO</t>
  </si>
  <si>
    <t>APPLE IPHONE 17 256GB-SALVIA</t>
  </si>
  <si>
    <t>APPLE IPHONE 17 512GB</t>
  </si>
  <si>
    <t>APPLE IPHONE 17 512GB-BRANCO</t>
  </si>
  <si>
    <t>APPLE IPHONE 17 512GB-PRETO</t>
  </si>
  <si>
    <t>APPLE IPHONE 17 AIR 256GB</t>
  </si>
  <si>
    <t>APPLE IPHONE 17 AIR 256GB-PRETO</t>
  </si>
  <si>
    <t>APPLE IPHONE 17 AIR 256GB-BRANCO</t>
  </si>
  <si>
    <t>APPLE IPHONE 17 AIR 256GB-AZUL CEU</t>
  </si>
  <si>
    <t>APPLE IPHONE 17 AIR 256GB-DOURADO</t>
  </si>
  <si>
    <t>APPLE IPHONE 17 AIR 512GB</t>
  </si>
  <si>
    <t>APPLE IPHONE 17 AIR 512GB-BRANCO</t>
  </si>
  <si>
    <t>APPLE IPHONE 17 AIR 512GB-DOURADO</t>
  </si>
  <si>
    <t>APPLE IPHONE 17 AIR 512GB-PRETO</t>
  </si>
  <si>
    <t>APPLE IPHONE 17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</si>
  <si>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</si>
  <si>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</si>
  <si>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</si>
  <si>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</si>
  <si>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</si>
  <si>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</si>
  <si>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</si>
  <si>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</si>
  <si>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</si>
  <si>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</si>
  <si>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</si>
  <si>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</si>
  <si>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</si>
  <si>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</si>
  <si>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</si>
  <si>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</si>
  <si>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</si>
  <si>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</si>
  <si>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</si>
  <si>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</si>
  <si>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</si>
  <si>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</si>
  <si>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</si>
  <si>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</si>
  <si>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</si>
  <si>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JOVI Y29S 5G 256GB</t>
  </si>
  <si>
    <t>JOVI Y29S 5G 256GB-PRETO</t>
  </si>
  <si>
    <t>LG K8 PLUS</t>
  </si>
  <si>
    <t>LG K8 PLUS-AZUL</t>
  </si>
  <si>
    <t>LG K8 PLUS-PRETO</t>
  </si>
  <si>
    <t>LG K9 TV</t>
  </si>
  <si>
    <t>LG K9 TV-PRETO</t>
  </si>
  <si>
    <t>LG K10 NOVO</t>
  </si>
  <si>
    <t>LG K10 NOVO-PRETO</t>
  </si>
  <si>
    <t>LG K10 NOVO-DOURADO</t>
  </si>
  <si>
    <t>LG K12 PLUS</t>
  </si>
  <si>
    <t>LG K12 PLUS-PRETO</t>
  </si>
  <si>
    <t>LG K12 PLUS-PLATINUM</t>
  </si>
  <si>
    <t>LG K12 PLUS-AZUL</t>
  </si>
  <si>
    <t>LG K12 PLUS-AZUL TURQUESA</t>
  </si>
  <si>
    <t>LG K12 PLUS-PRETO FOSCO</t>
  </si>
  <si>
    <t>LG K22</t>
  </si>
  <si>
    <t>LG K22-TITANIUM</t>
  </si>
  <si>
    <t>LG K40S</t>
  </si>
  <si>
    <t>LG K40S-AZUL</t>
  </si>
  <si>
    <t>LG K40S-PRETO</t>
  </si>
  <si>
    <t>LG K41S</t>
  </si>
  <si>
    <t>LG K41S-Preto</t>
  </si>
  <si>
    <t>LG K52</t>
  </si>
  <si>
    <t>LG K52-CINZA</t>
  </si>
  <si>
    <t>LG K52-VERDE</t>
  </si>
  <si>
    <t>LG K62 PLUS</t>
  </si>
  <si>
    <t>LG K62 PLUS-BRANCO</t>
  </si>
  <si>
    <t>MOTOROLA MOTO E 4G (2A GERACAO)</t>
  </si>
  <si>
    <t>Motorola Moto E 4G(2ªGeracao)-Preto</t>
  </si>
  <si>
    <t>MOTOROLA MOTO E13 64GB</t>
  </si>
  <si>
    <t>MOTOROLA MOTO E13 64GB-GRAFITE</t>
  </si>
  <si>
    <t>MOTOROLA EDGE 20 PRO</t>
  </si>
  <si>
    <t>MOTOROLA EDGE 20 PRO-AZUL</t>
  </si>
  <si>
    <t>MOTOROLA EDGE 30</t>
  </si>
  <si>
    <t>MOTOROLA EDGE 30-GRAFITE</t>
  </si>
  <si>
    <t>MOTOROLA EDGE 30-AZUL</t>
  </si>
  <si>
    <t>MOTOROLA EDGE 30 NEO 5G</t>
  </si>
  <si>
    <t>MOTOROLA EDGE 30 NEO 5G-PRETO</t>
  </si>
  <si>
    <t>MOTOROLA EDGE 30 NEO 5G-ROXO</t>
  </si>
  <si>
    <t>MOTOROLA EDGE 30 PRO</t>
  </si>
  <si>
    <t>MOTOROLA EDGE 30 PRO-AZUL</t>
  </si>
  <si>
    <t>MOTOROLA EDGE 30 ULTRA 5G</t>
  </si>
  <si>
    <t>MOTOROLA EDGE 30 ULTRA 5G-PRETO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</si>
  <si>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</si>
  <si>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</si>
  <si>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</si>
  <si>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</si>
  <si>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</si>
  <si>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</si>
  <si>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</si>
  <si>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</si>
  <si>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</si>
  <si>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</si>
  <si>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</si>
  <si>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</si>
  <si>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</si>
  <si>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</si>
  <si>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</si>
  <si>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</si>
  <si>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</si>
  <si>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</si>
  <si>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</si>
  <si>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</si>
  <si>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</si>
  <si>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</si>
  <si>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</si>
  <si>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</si>
  <si>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MOTOROLA MOTO E6I</t>
  </si>
  <si>
    <t>MOTOROLA MOTO E6I-CINZA TITANIUM</t>
  </si>
  <si>
    <t>MOTOROLA MOTO E6S</t>
  </si>
  <si>
    <t>MOTOROLA MOTO E6S-AZUL NAVY</t>
  </si>
  <si>
    <t>MOTOROLA MOTO E6S-CINZA TITANIUM</t>
  </si>
  <si>
    <t>MOTOROLA MOTO E6 PLAY</t>
  </si>
  <si>
    <t>MOTOROLA MOTO E6 PLAY-PRETO</t>
  </si>
  <si>
    <t>MOTOROLA MOTO E6 PLAY-AZUL</t>
  </si>
  <si>
    <t>MOTOROLA MOTO E6 PLUS</t>
  </si>
  <si>
    <t>MOTOROLA MOTO E6 PLUS-CINZA METALICO</t>
  </si>
  <si>
    <t>MOTOROLA MOTO E6 PLUS-AZUL</t>
  </si>
  <si>
    <t>MOTOROLA MOTO E7 64GB</t>
  </si>
  <si>
    <t>MOTOROLA MOTO E7 64GB-CINZA</t>
  </si>
  <si>
    <t>MOTOROLA MOTO E20</t>
  </si>
  <si>
    <t>MOTOROLA MOTO E20-CINZA</t>
  </si>
  <si>
    <t>MOTOROLA MOTO E22 64GB</t>
  </si>
  <si>
    <t>MOTOROLA MOTO E22 64GB-PRETO</t>
  </si>
  <si>
    <t>MOTOROLA MOTO E22 128GB</t>
  </si>
  <si>
    <t>MOTOROLA MOTO E22 128GB-PRETO</t>
  </si>
  <si>
    <t>MOTOROLA MOTO E40</t>
  </si>
  <si>
    <t>MOTOROLA MOTO E40-GRAFITE</t>
  </si>
  <si>
    <t>MOTOROLA MOTO E40-ROSE</t>
  </si>
  <si>
    <t>Motorola Moto G 4G (3a Geracao)</t>
  </si>
  <si>
    <t>Motorola Moto G 4G(3A Geracao)-Preto</t>
  </si>
  <si>
    <t>Motorola Moto G 4G(3A Geracao)-Branco</t>
  </si>
  <si>
    <t>Motorola Moto G 4G(3A Ger)1800MHz-Preto</t>
  </si>
  <si>
    <t>Motorola Moto G 4G(3A Ger)1800MHz-Branco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</si>
  <si>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</si>
  <si>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</si>
  <si>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</si>
  <si>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</si>
  <si>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</si>
  <si>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</si>
  <si>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</si>
  <si>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</si>
  <si>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G8 POWER</t>
  </si>
  <si>
    <t>MOTOROLA MOTO G8 POWER-PRETO</t>
  </si>
  <si>
    <t>MOTOROLA MOTO G8 PLAY</t>
  </si>
  <si>
    <t>MOTOROLA MOTO G8 PLAY-PRETO</t>
  </si>
  <si>
    <t>MOTOROLA MOTO G8 PLAY-VERMELHO</t>
  </si>
  <si>
    <t>MOTOROLA MOTO G9 PLAY</t>
  </si>
  <si>
    <t>MOTOROLA MOTO G9 PLAY-AZUL SAFIRA</t>
  </si>
  <si>
    <t>MOTOROLA MOTO G9 PLAY-VERDE TURQUESA</t>
  </si>
  <si>
    <t>MOTOROLA MOTO G10</t>
  </si>
  <si>
    <t>MOTOROLA MOTO G10-CINZA</t>
  </si>
  <si>
    <t>MOTOROLA MOTO G10-BRANCO</t>
  </si>
  <si>
    <t>MOTOROLA MOTO G14</t>
  </si>
  <si>
    <t>MOTOROLA MOTO G14-CINZA</t>
  </si>
  <si>
    <t>MOTOROLA MOTO G14-LILAS</t>
  </si>
  <si>
    <t>MOTOROLA MOTO G20 64GB</t>
  </si>
  <si>
    <t>MOTOROLA MOTO G20 64GB-AZUL</t>
  </si>
  <si>
    <t>MOTOROLA MOTO G20 64GB-GRAFITE</t>
  </si>
  <si>
    <t>MOTOROLA MOTO G20 128GB</t>
  </si>
  <si>
    <t>MOTOROLA MOTO G20 128GB-VERDE</t>
  </si>
  <si>
    <t>MOTOROLA MOTO G20 128GB-AZUL</t>
  </si>
  <si>
    <t>MOTOROLA MOTO G22</t>
  </si>
  <si>
    <t>MOTOROLA MOTO G22-PRETO</t>
  </si>
  <si>
    <t>MOTOROLA MOTO G23</t>
  </si>
  <si>
    <t>MOTOROLA MOTO G23-GRAFITE</t>
  </si>
  <si>
    <t>MOTOROLA MOTO G30</t>
  </si>
  <si>
    <t>MOTOROLA MOTO G30-DARK PRISM</t>
  </si>
  <si>
    <t>MOTOROLA MOTO G32</t>
  </si>
  <si>
    <t>MOTOROLA MOTO G32-PRETO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</si>
  <si>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</si>
  <si>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</si>
  <si>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</si>
  <si>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</si>
  <si>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</si>
  <si>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</si>
  <si>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</si>
  <si>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</si>
  <si>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</si>
  <si>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G41</t>
  </si>
  <si>
    <t>MOTOROLA MOTO G41-AZUL</t>
  </si>
  <si>
    <t>MOTOROLA MOTO G53 5G</t>
  </si>
  <si>
    <t>MOTOROLA MOTO G53 5G-GRAFITE</t>
  </si>
  <si>
    <t>MOTOROLA MOTO G53 5G-PRATA</t>
  </si>
  <si>
    <t>MOTOROLA MOTO G54 5G</t>
  </si>
  <si>
    <t>MOTOROLA MOTO G54 5G-GRAFITE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</si>
  <si>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</si>
  <si>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</si>
  <si>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</si>
  <si>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</si>
  <si>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</si>
  <si>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G60S</t>
  </si>
  <si>
    <t>MOTOROLA MOTO G60S-AZUL</t>
  </si>
  <si>
    <t>MOTOROLA MOTO G67 5G 256GB</t>
  </si>
  <si>
    <t>MOTOROLA MOTO G67 5G 256GB-CHUMBO</t>
  </si>
  <si>
    <t>MOTOROLA MOTO G67 5G 256GB-VERDE CLARO</t>
  </si>
  <si>
    <t>MOTOROLA MOTO G71</t>
  </si>
  <si>
    <t>MOTOROLA MOTO G71-VERDE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</si>
  <si>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</si>
  <si>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</si>
  <si>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</si>
  <si>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</si>
  <si>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</si>
  <si>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G84 5G</t>
  </si>
  <si>
    <t>MOTOROLA MOTO G84 5G-GRAFITE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</si>
  <si>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</si>
  <si>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</si>
  <si>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</si>
  <si>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</si>
  <si>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</si>
  <si>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</si>
  <si>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</si>
  <si>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</si>
  <si>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</si>
  <si>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</si>
  <si>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</si>
  <si>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</si>
  <si>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</si>
  <si>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</si>
  <si>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SIGNATURE 512GB</t>
  </si>
  <si>
    <t>MOTOROLA SIGNATURE 512GB-PRETO</t>
  </si>
  <si>
    <t>NOKIA 2.4</t>
  </si>
  <si>
    <t>NOKIA 2.4-CINZA</t>
  </si>
  <si>
    <t>NOKIA 5.4</t>
  </si>
  <si>
    <t>NOKIA 5.4-AZUL</t>
  </si>
  <si>
    <t>NOKIA C01 PLUS</t>
  </si>
  <si>
    <t>NOKIA C01 PLUS-AZUL</t>
  </si>
  <si>
    <t>POSITIVO TWIST 2 GO</t>
  </si>
  <si>
    <t>POSITIVO TWIST 2 GO-PRETO</t>
  </si>
  <si>
    <t>SAMSUNG GALAXY A01</t>
  </si>
  <si>
    <t>SAMSUNG GALAXY A01-PRETO</t>
  </si>
  <si>
    <t>SAMSUNG GALAXY A01-PRETO AM</t>
  </si>
  <si>
    <t>SAMSUNG GALAXY A01-AZUL</t>
  </si>
  <si>
    <t>SAMSUNG GALAXY A01-AZUL AM</t>
  </si>
  <si>
    <t>SAMSUNG GALAXY A01 CORE</t>
  </si>
  <si>
    <t>SAMSUNG GALAXY A01 CORE-PRETO</t>
  </si>
  <si>
    <t>SAMSUNG GALAXY A01 CORE-PRETO AM</t>
  </si>
  <si>
    <t>SAMSUNG GALAXY A01 CORE-VERMELHO</t>
  </si>
  <si>
    <t>SAMSUNG GALAXY A01 CORE-AZUL AM</t>
  </si>
  <si>
    <t>SAMSUNG GALAXY A01 CORE-AZUL</t>
  </si>
  <si>
    <t>SAMSUNG GALAXY A02</t>
  </si>
  <si>
    <t>SAMSUNG GALAXY A02-PRETO</t>
  </si>
  <si>
    <t>SAMSUNG GALAXY A02-PRETO AM</t>
  </si>
  <si>
    <t>SAMSUNG GALAXY A02-AZUL</t>
  </si>
  <si>
    <t>SAMSUNG GALAXY A02-AZUL AM</t>
  </si>
  <si>
    <t>SAMSUNG GALAXY A02S</t>
  </si>
  <si>
    <t>SAMSUNG GALAXY A02S-PRETO</t>
  </si>
  <si>
    <t>SAMSUNG GALAXY A02S-PRETO AM</t>
  </si>
  <si>
    <t>SAMSUNG GALAXY A02S-AZUL AM</t>
  </si>
  <si>
    <t>SAMSUNG GALAXY A02S-AZUL</t>
  </si>
  <si>
    <t>SAMSUNG GALAXY A03</t>
  </si>
  <si>
    <t>SAMSUNG GALAXY A03-PRETO</t>
  </si>
  <si>
    <t>SAMSUNG GALAXY A03-PRETO AM</t>
  </si>
  <si>
    <t>SAMSUNG GALAXY A03-AZUL</t>
  </si>
  <si>
    <t>SAMSUNG GALAXY A03-AZUL AM</t>
  </si>
  <si>
    <t>SAMSUNG GALAXY A03 CORE</t>
  </si>
  <si>
    <t>SAMSUNG GALAXY A03 CORE-PRETO</t>
  </si>
  <si>
    <t>SAMSUNG GALAXY A03 CORE-PRETO AM</t>
  </si>
  <si>
    <t>SAMSUNG GALAXY A03 CORE-AZUL</t>
  </si>
  <si>
    <t>SAMSUNG GALAXY A03 CORE-AZUL AM</t>
  </si>
  <si>
    <t>SAMSUNG GALAXY A03 CORE-PRETO ONIX AM</t>
  </si>
  <si>
    <t>SAMSUNG GALAXY A03 CORE-COBRE AM</t>
  </si>
  <si>
    <t>SAMSUNG GALAXY A03 CORE-COBRE</t>
  </si>
  <si>
    <t>SAMSUNG GALAXY A03 CORE-PRETO ONIX</t>
  </si>
  <si>
    <t>SAMSUNG GALAXY A03 CORE-VERDE AM</t>
  </si>
  <si>
    <t>SAMSUNG GALAXY A03 CORE-VERDE</t>
  </si>
  <si>
    <t>SAMSUNG GALAXY A03S</t>
  </si>
  <si>
    <t>SAMSUNG GALAXY A03S-PRETO</t>
  </si>
  <si>
    <t>SAMSUNG GALAXY A03S-PRETO AM</t>
  </si>
  <si>
    <t>SAMSUNG GALAXY A03S-AZUL</t>
  </si>
  <si>
    <t>SAMSUNG GALAXY A03S-AZUL AM</t>
  </si>
  <si>
    <t>SAMSUNG GALAXY A04E</t>
  </si>
  <si>
    <t>SAMSUNG GALAXY A04E-PRETO</t>
  </si>
  <si>
    <t>SAMSUNG GALAXY A04E-PRETO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</si>
  <si>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</si>
  <si>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</si>
  <si>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</si>
  <si>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</si>
  <si>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</si>
  <si>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</si>
  <si>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</si>
  <si>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</si>
  <si>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</si>
  <si>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</si>
  <si>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</si>
  <si>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</si>
  <si>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</si>
  <si>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</si>
  <si>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</si>
  <si>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</si>
  <si>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</si>
  <si>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</si>
  <si>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</si>
  <si>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</si>
  <si>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</si>
  <si>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A10S</t>
  </si>
  <si>
    <t>SAMSUNG GALAXY A10S-PRETO</t>
  </si>
  <si>
    <t>SAMSUNG GALAXY A10S-PRETO AM</t>
  </si>
  <si>
    <t>SAMSUNG GALAXY A10S-AZUL</t>
  </si>
  <si>
    <t>SAMSUNG GALAXY A10S-AZUL AM</t>
  </si>
  <si>
    <t>SAMSUNG GALAXY A12</t>
  </si>
  <si>
    <t>SAMSUNG GALAXY A12-PRETO</t>
  </si>
  <si>
    <t>SAMSUNG GALAXY A12-PRETO AM</t>
  </si>
  <si>
    <t>SAMSUNG GALAXY A12-AZUL</t>
  </si>
  <si>
    <t>SAMSUNG GALAXY A12-AZUL AM</t>
  </si>
  <si>
    <t>SAMSUNG GALAXY A12 CHIP-PRETO</t>
  </si>
  <si>
    <t>SAMSUNG GALAXY A12 CHIP-PRETO AM</t>
  </si>
  <si>
    <t>SAMSUNG GALAXY A12 CHIP-AZUL</t>
  </si>
  <si>
    <t>SAMSUNG GALAXY A12 CHIP-AZUL AM</t>
  </si>
  <si>
    <t>SAMSUNG GALAXY A12 CHIP-BRANCO</t>
  </si>
  <si>
    <t>SAMSUNG GALAXY A12 CHIP-BRANCO AM</t>
  </si>
  <si>
    <t>SAMSUNG GALAXY A13 128GB</t>
  </si>
  <si>
    <t>SAMSUNG GALAXY A13 128GB-PRETO</t>
  </si>
  <si>
    <t>SAMSUNG GALAXY A13 128GB-PRETO AM</t>
  </si>
  <si>
    <t>SAMSUNG GALAXY A13 128GB-AZUL</t>
  </si>
  <si>
    <t>SAMSUNG GALAXY A13 128GB-AZUL AM</t>
  </si>
  <si>
    <t>SAMSUNG GALAXY A13 128GB EE-PRETO AM</t>
  </si>
  <si>
    <t>SAMSUNG GALAXY A13 128GB EE-PRETO</t>
  </si>
  <si>
    <t>SAMSUNG GALAXY A13 128GB-BRANCO AM</t>
  </si>
  <si>
    <t>SAMSUNG GALAXY A13 128GB-BRANCO</t>
  </si>
  <si>
    <t>SAMSUNG GALAXY A14</t>
  </si>
  <si>
    <t>SAMSUNG GALAXY A14-PRETO</t>
  </si>
  <si>
    <t>SAMSUNG GALAXY A14-PRETO AM</t>
  </si>
  <si>
    <t>SAMSUNG GALAXY A14-PRATA</t>
  </si>
  <si>
    <t>SAMSUNG GALAXY A14-PRATA AM</t>
  </si>
  <si>
    <t>SAMSUNG GALAXY A14 5G</t>
  </si>
  <si>
    <t>SAMSUNG GALAXY A14 5G-PRETO</t>
  </si>
  <si>
    <t>SAMSUNG GALAXY A14 5G-PRETO AM</t>
  </si>
  <si>
    <t>SAMSUNG GALAXY A14 5G-PRATA</t>
  </si>
  <si>
    <t>SAMSUNG GALAXY A14 5G-PRATA AM</t>
  </si>
  <si>
    <t>SAMSUNG GALAXY A14 5G-VERDE</t>
  </si>
  <si>
    <t>SAMSUNG GALAXY A14 5G-VERDE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</si>
  <si>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</si>
  <si>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</si>
  <si>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</si>
  <si>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</si>
  <si>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</si>
  <si>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</si>
  <si>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</si>
  <si>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</si>
  <si>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 EE-AZ ESC AM</t>
  </si>
  <si>
    <t>SAMSUNG GALAXY A15 5G 128GB EE-AZUL ESC</t>
  </si>
  <si>
    <t>SAMSUNG GALAXY A15 5G 128GB-AZUL CLA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</si>
  <si>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</si>
  <si>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</si>
  <si>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</si>
  <si>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</si>
  <si>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</si>
  <si>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</si>
  <si>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</si>
  <si>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</si>
  <si>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</si>
  <si>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</si>
  <si>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</si>
  <si>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</si>
  <si>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</si>
  <si>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</si>
  <si>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</si>
  <si>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</si>
  <si>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</si>
  <si>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</si>
  <si>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</si>
  <si>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</si>
  <si>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</si>
  <si>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</si>
  <si>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</si>
  <si>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</si>
  <si>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</si>
  <si>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</si>
  <si>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</si>
  <si>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</si>
  <si>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</si>
  <si>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</si>
  <si>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</si>
  <si>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</si>
  <si>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</si>
  <si>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</si>
  <si>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</si>
  <si>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</si>
  <si>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</si>
  <si>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</si>
  <si>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A20S</t>
  </si>
  <si>
    <t>SAMSUNG GALAXY A20S-PRETO</t>
  </si>
  <si>
    <t>SAMSUNG GALAXY A20S-PRETO AM</t>
  </si>
  <si>
    <t>SAMSUNG GALAXY A21S</t>
  </si>
  <si>
    <t>SAMSUNG GALAXY A21S-PRETO</t>
  </si>
  <si>
    <t>SAMSUNG GALAXY A21S-PRETO AM</t>
  </si>
  <si>
    <t>SAMSUNG GALAXY A21S-AZUL</t>
  </si>
  <si>
    <t>SAMSUNG GALAXY A21S-AZUL AM</t>
  </si>
  <si>
    <t>SAMSUNG GALAXY A22</t>
  </si>
  <si>
    <t>SAMSUNG GALAXY A22-PRETO</t>
  </si>
  <si>
    <t>SAMSUNG GALAXY A22-PRETO AM</t>
  </si>
  <si>
    <t>SAMSUNG GALAXY A22-BRANCO</t>
  </si>
  <si>
    <t>SAMSUNG GALAXY A22-BRANCO AM</t>
  </si>
  <si>
    <t>SAMSUNG GALAXY A22-VIOLETA</t>
  </si>
  <si>
    <t>SAMSUNG GALAXY A22 5G</t>
  </si>
  <si>
    <t>SAMSUNG GALAXY A22 5G-CINZA AM</t>
  </si>
  <si>
    <t>SAMSUNG GALAXY A22 5G-BRANCO AM</t>
  </si>
  <si>
    <t>SAMSUNG GALAXY A23</t>
  </si>
  <si>
    <t>SAMSUNG GALAXY A23-BRANCO</t>
  </si>
  <si>
    <t>SAMSUNG GALAXY A23-BRANCO AM</t>
  </si>
  <si>
    <t>SAMSUNG GALAXY A23-PRETO</t>
  </si>
  <si>
    <t>SAMSUNG GALAXY A23-PRETO AM</t>
  </si>
  <si>
    <t>SAMSUNG GALAXY A23-AZUL</t>
  </si>
  <si>
    <t>SAMSUNG GALAXY A23-AZUL AM</t>
  </si>
  <si>
    <t>SAMSUNG GALAXY A23 5G</t>
  </si>
  <si>
    <t>SAMSUNG GALAXY A23 5G-BRANCO</t>
  </si>
  <si>
    <t>SAMSUNG GALAXY A23 5G-BRANCO AM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</si>
  <si>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</si>
  <si>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</si>
  <si>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</si>
  <si>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</si>
  <si>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</si>
  <si>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</t>
  </si>
  <si>
    <t>SAMSUNG GALAXY A32-PRETO</t>
  </si>
  <si>
    <t>SAMSUNG GALAXY A32-PRETO AM</t>
  </si>
  <si>
    <t>SAMSUNG GALAXY A32-BRANCO</t>
  </si>
  <si>
    <t>SAMSUNG GALAXY A32-BRANCO AM</t>
  </si>
  <si>
    <t>SAMSUNG GALAXY A32-AZUL</t>
  </si>
  <si>
    <t>SAMSUNG GALAXY A32-AZUL AM</t>
  </si>
  <si>
    <t>SAMSUNG GALAXY A32-VIOLETA</t>
  </si>
  <si>
    <t>SAMSUNG GALAXY A32-VIOLETA AM</t>
  </si>
  <si>
    <t>SAMSUNG GALAXY A32 EE-PRETO</t>
  </si>
  <si>
    <t>SAMSUNG GALAXY A32 EE-PRETO AM</t>
  </si>
  <si>
    <t>SAMSUNG GALAXY A32 5G</t>
  </si>
  <si>
    <t>SAMSUNG GALAXY A32 5G-PRETO</t>
  </si>
  <si>
    <t>SAMSUNG GALAXY A32 5G-PRETO AM</t>
  </si>
  <si>
    <t>SAMSUNG GALAXY A32 5G-VIOLETA</t>
  </si>
  <si>
    <t>SAMSUNG GALAXY A32 5G-VIOLETA AM</t>
  </si>
  <si>
    <t>SAMSUNG GALAXY A33 5G</t>
  </si>
  <si>
    <t>SAMSUNG GALAXY A33 5G-PRETO</t>
  </si>
  <si>
    <t>SAMSUNG GALAXY A33 5G-PRETO AM</t>
  </si>
  <si>
    <t>SAMSUNG GALAXY A33 5G-BRANCO</t>
  </si>
  <si>
    <t>SAMSUNG GALAXY A33 5G-BRANCO AM</t>
  </si>
  <si>
    <t>SAMSUNG GALAXY A33 5G EE-PRETO</t>
  </si>
  <si>
    <t>SAMSUNG GALAXY A34 5G</t>
  </si>
  <si>
    <t>SAMSUNG GALAXY A34 5G-PRETO</t>
  </si>
  <si>
    <t>SAMSUNG GALAXY A34 5G-PRETO AM</t>
  </si>
  <si>
    <t>SAMSUNG GALAXY A34 5G-PRATA</t>
  </si>
  <si>
    <t>SAMSUNG GALAXY A34 5G-PRATA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</si>
  <si>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</si>
  <si>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</si>
  <si>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</si>
  <si>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</si>
  <si>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</si>
  <si>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</si>
  <si>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</si>
  <si>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</si>
  <si>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</si>
  <si>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</si>
  <si>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</si>
  <si>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</si>
  <si>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</si>
  <si>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</si>
  <si>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</si>
  <si>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A51</t>
  </si>
  <si>
    <t>SAMSUNG GALAXY A51-PRETO</t>
  </si>
  <si>
    <t>SAMSUNG GALAXY A51-PRETO AM</t>
  </si>
  <si>
    <t>SAMSUNG GALAXY A51-CINZA</t>
  </si>
  <si>
    <t>SAMSUNG GALAXY A51-CINZA AM</t>
  </si>
  <si>
    <t>SAMSUNG GALAXY A51-BRANCO</t>
  </si>
  <si>
    <t>SAMSUNG GALAXY A51-BRANCO AM</t>
  </si>
  <si>
    <t>SAMSUNG GALAXY A52S 5G</t>
  </si>
  <si>
    <t>SAMSUNG GALAXY A52S 5G-PRETO</t>
  </si>
  <si>
    <t>SAMSUNG GALAXY A52S 5G-BRANCO</t>
  </si>
  <si>
    <t>SAMSUNG GALAXY A52S 5G N-PRETO</t>
  </si>
  <si>
    <t>SAMSUNG GALAXY A52S 5G N-BRANCO</t>
  </si>
  <si>
    <t>SAMSUNG GALAXY A53 5G</t>
  </si>
  <si>
    <t>SAMSUNG GALAXY A53 5G-AZUL</t>
  </si>
  <si>
    <t>SAMSUNG GALAXY A53 5G-AZUL AM</t>
  </si>
  <si>
    <t>SAMSUNG GALAXY A53 5G-PRETO</t>
  </si>
  <si>
    <t>SAMSUNG GALAXY A53 5G-PRETO AM</t>
  </si>
  <si>
    <t>SAMSUNG GALAXY A53 5G-ROSE</t>
  </si>
  <si>
    <t>SAMSUNG GALAXY A53 5G-BRANCO AM</t>
  </si>
  <si>
    <t>SAMSUNG GALAXY A53 5G-BRANCO</t>
  </si>
  <si>
    <t>SAMSUNG GALAXY A54 5G 256GB</t>
  </si>
  <si>
    <t>SAMSUNG GALAXY A54 5G 256GB-PRETO</t>
  </si>
  <si>
    <t>SAMSUNG GALAXY A54 5G 256GB-PRETO AM</t>
  </si>
  <si>
    <t>SAMSUNG GALAXY A54 5G 256GB-BRANCO</t>
  </si>
  <si>
    <t>SAMSUNG GALAXY A54 5G 256GB-BRANCO AM</t>
  </si>
  <si>
    <t>SAMSUNG GALAXY A54 5G 256GB-VERDE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</si>
  <si>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</si>
  <si>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</si>
  <si>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</si>
  <si>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</si>
  <si>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</si>
  <si>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</si>
  <si>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</si>
  <si>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</si>
  <si>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</si>
  <si>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</si>
  <si>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</si>
  <si>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</si>
  <si>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</si>
  <si>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</si>
  <si>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</si>
  <si>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A71</t>
  </si>
  <si>
    <t>SAMSUNG GALAXY A71-PRETO</t>
  </si>
  <si>
    <t>SAMSUNG GALAXY A71-PRETO AM</t>
  </si>
  <si>
    <t>SAMSUNG GALAXY A71-CINZA</t>
  </si>
  <si>
    <t>SAMSUNG GALAXY A71-CINZA AM</t>
  </si>
  <si>
    <t>SAMSUNG GALAXY A73 5G</t>
  </si>
  <si>
    <t>SAMSUNG GALAXY A73 5G-CINZA</t>
  </si>
  <si>
    <t>SAMSUNG GALAXY A73 5G-BRANCO</t>
  </si>
  <si>
    <t>SAMSUNG GALAXY A73 5G-CINZA AM</t>
  </si>
  <si>
    <t>SAMSUNG GALAXY A73 5G-BRANCO AM</t>
  </si>
  <si>
    <t>SAMSUNG GALAXY J4</t>
  </si>
  <si>
    <t>SAMSUNG GALAXY J4-PRETO</t>
  </si>
  <si>
    <t>SAMSUNG GALAXY J4-PRETO AM</t>
  </si>
  <si>
    <t>SAMSUNG GALAXY J4-VIOLETA</t>
  </si>
  <si>
    <t>SAMSUNG GALAXY J4-VIOLETA AM</t>
  </si>
  <si>
    <t>Samsung Galaxy Note 3</t>
  </si>
  <si>
    <t>Samsung Galaxy Note 3-Branco</t>
  </si>
  <si>
    <t>Samsung Galaxy Note 3-Preto</t>
  </si>
  <si>
    <t>SAMSUNG GALAXY NOTE 10 LITE</t>
  </si>
  <si>
    <t>SAMSUNG GALAXY NOTE 10 LITE-PRETO</t>
  </si>
  <si>
    <t>SAMSUNG GALAXY NOTE 10 LITE-PRETO AM</t>
  </si>
  <si>
    <t>SAMSUNG GALAXY S20</t>
  </si>
  <si>
    <t>SAMSUNG GALAXY S20-CINZA</t>
  </si>
  <si>
    <t>SAMSUNG GALAXY S20-CINZA AM</t>
  </si>
  <si>
    <t>SAMSUNG GALAXY S20-AZUL</t>
  </si>
  <si>
    <t>SAMSUNG GALAXY S20-AZUL AM</t>
  </si>
  <si>
    <t>SAMSUNG GALAXY S21 FE</t>
  </si>
  <si>
    <t>SAMSUNG GALAXY S21 FE-BRANCO</t>
  </si>
  <si>
    <t>SAMSUNG GALAXY S21 FE-BRANCO AM</t>
  </si>
  <si>
    <t>SAMSUNG GALAXY S21 FE-PRETO</t>
  </si>
  <si>
    <t>SAMSUNG GALAXY S21 FE-PRETO AM</t>
  </si>
  <si>
    <t>SAMSUNG GALAXY S21 FE-VERDE</t>
  </si>
  <si>
    <t>SAMSUNG GALAXY S21 FE-VERDE AM</t>
  </si>
  <si>
    <t>SAMSUNG GALAXY S21 FE-VIOLETA</t>
  </si>
  <si>
    <t>SAMSUNG GALAXY S21 FE-VIOLETA AM</t>
  </si>
  <si>
    <t>SAMSUNG GALAXY S21 FE 256GB</t>
  </si>
  <si>
    <t>SAMSUNG GALAXY S21 FE 256GB-PRETO</t>
  </si>
  <si>
    <t>SAMSUNG GALAXY S21 FE 256GB-PRETO AM</t>
  </si>
  <si>
    <t>SAMSUNG GALAXY S21 FE 256GB-BRANCO</t>
  </si>
  <si>
    <t>SAMSUNG GALAXY S21 FE 256GB-BRANCO AM</t>
  </si>
  <si>
    <t>SAMSUNG GALAXY S21 FE 256GB C.KIT-PRE AM</t>
  </si>
  <si>
    <t>SAMSUNG GALAXY S21 FE 256GB C.KIT-PRETO</t>
  </si>
  <si>
    <t>SAMSUNG GALAXY S22</t>
  </si>
  <si>
    <t>SAMSUNG GALAXY S22-BRANCO</t>
  </si>
  <si>
    <t>SAMSUNG GALAXY S22-BRANCO AM</t>
  </si>
  <si>
    <t>SAMSUNG GALAXY S22-PRETO</t>
  </si>
  <si>
    <t>SAMSUNG GALAXY S22-PRETO AM</t>
  </si>
  <si>
    <t>SAMSUNG GALAXY S22-ROSE</t>
  </si>
  <si>
    <t>SAMSUNG GALAXY S22-ROSE AM</t>
  </si>
  <si>
    <t>SAMSUNG GALAXY S22-VERDE</t>
  </si>
  <si>
    <t>SAMSUNG GALAXY S22-VERDE AM</t>
  </si>
  <si>
    <t>SAMSUNG GALAXY S22 EE-PRETO AM</t>
  </si>
  <si>
    <t>SAMSUNG GALAXY S22-VIOLETA</t>
  </si>
  <si>
    <t>SAMSUNG GALAXY S22 EE-PRETO</t>
  </si>
  <si>
    <t>SAMSUNG GALAXY S22-VIOLETA AM</t>
  </si>
  <si>
    <t>SAMSUNG GALAXY S22 256GB</t>
  </si>
  <si>
    <t>SAMSUNG GALAXY S22 256GB-BRANCO</t>
  </si>
  <si>
    <t>SAMSUNG GALAXY S22 256GB-BRANCO AM</t>
  </si>
  <si>
    <t>SAMSUNG GALAXY S22 256GB-PRETO</t>
  </si>
  <si>
    <t>SAMSUNG GALAXY S22 256GB-PRETO AM</t>
  </si>
  <si>
    <t>SAMSUNG GALAXY S22 256GB-ROSE</t>
  </si>
  <si>
    <t>SAMSUNG GALAXY S22 256GB-ROSE AM</t>
  </si>
  <si>
    <t>SAMSUNG GALAXY S22 256GB-VERDE</t>
  </si>
  <si>
    <t>SAMSUNG GALAXY S22 256GB-VERDE AM</t>
  </si>
  <si>
    <t>SAMSUNG GALAXY S22 256GB-VIOLETA</t>
  </si>
  <si>
    <t>SAMSUNG GALAXY S22 256GB C.KIT-ROSE AM</t>
  </si>
  <si>
    <t>SAMSUNG GALAXY S22 256GB C.KIT-BRANCO AM</t>
  </si>
  <si>
    <t>SAMSUNG GALAXY S22 256GB C.KIT-BRANCO</t>
  </si>
  <si>
    <t>SAMSUNG GALAXY S22 256GB C.KIT-PRETO</t>
  </si>
  <si>
    <t>SAMSUNG GALAXY S22 256GB C.KIT-VERDE</t>
  </si>
  <si>
    <t>SAMSUNG GALAXY S22 PLUS</t>
  </si>
  <si>
    <t>SAMSUNG GALAXY S22 PLUS-BRANCO</t>
  </si>
  <si>
    <t>SAMSUNG GALAXY S22 PLUS-PRETO</t>
  </si>
  <si>
    <t>SAMSUNG GALAXY S22 PLUS-PRETO AM</t>
  </si>
  <si>
    <t>SAMSUNG GALAXY S22 PLUS-ROSE</t>
  </si>
  <si>
    <t>SAMSUNG GALAXY S22 PLUS-ROSE AM</t>
  </si>
  <si>
    <t>SAMSUNG GALAXY S22 PLUS-VERDE</t>
  </si>
  <si>
    <t>SAMSUNG GALAXY S22 PLUS-VERDE AM</t>
  </si>
  <si>
    <t>SAMSUNG GALAXY S22 PLUS 256GB</t>
  </si>
  <si>
    <t>SAMSUNG GALAXY S22 PLUS 256GB-BRANCO</t>
  </si>
  <si>
    <t>SAMSUNG GALAXY S22 PLUS 256GB-BRANCO AM</t>
  </si>
  <si>
    <t>SAMSUNG GALAXY S22 PLUS 256GB-PRETO</t>
  </si>
  <si>
    <t>SAMSUNG GALAXY S22 PLUS 256GB-PRETO AM</t>
  </si>
  <si>
    <t>SAMSUNG GALAXY S22 PLUS 256GB-ROSE</t>
  </si>
  <si>
    <t>SAMSUNG GALAXY S22 PLUS 256GB-ROSE AM</t>
  </si>
  <si>
    <t>SAMSUNG GALAXY S22 PLUS 256GB-VERDE</t>
  </si>
  <si>
    <t>SAMSUNG GALAXY S22 PLUS 256GB-VERDE AM</t>
  </si>
  <si>
    <t>SAMSUNG GALAXY S23</t>
  </si>
  <si>
    <t>SAMSUNG GALAXY S23-CREME</t>
  </si>
  <si>
    <t>SAMSUNG GALAXY S23-CREME AM</t>
  </si>
  <si>
    <t>SAMSUNG GALAXY S23-PRETO</t>
  </si>
  <si>
    <t>SAMSUNG GALAXY S23-PRETO AM</t>
  </si>
  <si>
    <t>SAMSUNG GALAXY S23-VERDE</t>
  </si>
  <si>
    <t>SAMSUNG GALAXY S23-VERDE AM</t>
  </si>
  <si>
    <t>SAMSUNG GALAXY S23-VIOLETA</t>
  </si>
  <si>
    <t>SAMSUNG GALAXY S23-VIOLETA AM</t>
  </si>
  <si>
    <t>SAMSUNG GALAXY S23 256GB</t>
  </si>
  <si>
    <t>SAMSUNG GALAXY S23 256GB-CREME</t>
  </si>
  <si>
    <t>SAMSUNG GALAXY S23 256GB-CREME AM</t>
  </si>
  <si>
    <t>SAMSUNG GALAXY S23 256GB-PRETO</t>
  </si>
  <si>
    <t>SAMSUNG GALAXY S23 256GB-PRETO AM</t>
  </si>
  <si>
    <t>SAMSUNG GALAXY S23 256GB-VERDE</t>
  </si>
  <si>
    <t>SAMSUNG GALAXY S23 256GB-VERDE AM</t>
  </si>
  <si>
    <t>SAMSUNG GALAXY S23 256GB-VIOLETA</t>
  </si>
  <si>
    <t>SAMSUNG GALAXY S23 256GB-VIOLETA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</si>
  <si>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</si>
  <si>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</si>
  <si>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</si>
  <si>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</si>
  <si>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</si>
  <si>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</si>
  <si>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</si>
  <si>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</si>
  <si>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</si>
  <si>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</si>
  <si>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</si>
  <si>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</si>
  <si>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</si>
  <si>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</si>
  <si>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</si>
  <si>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</si>
  <si>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</si>
  <si>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</si>
  <si>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256GB-CREME AM</t>
  </si>
  <si>
    <t>SAMSUNG GALAXY S23 FE 256GB-GRAFITE</t>
  </si>
  <si>
    <t>SAMSUNG GALAXY S23 FE 256GB-GRAFITE AM</t>
  </si>
  <si>
    <t>SAMSUNG GALAXY S23 FE 256GB-VERDE</t>
  </si>
  <si>
    <t>SAMSUNG GALAXY S23 FE 256GB-VERDE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</si>
  <si>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</si>
  <si>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</si>
  <si>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</si>
  <si>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</si>
  <si>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</si>
  <si>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</si>
  <si>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</si>
  <si>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</si>
  <si>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</si>
  <si>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</si>
  <si>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</si>
  <si>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</si>
  <si>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</si>
  <si>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</si>
  <si>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</si>
  <si>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</si>
  <si>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S24 256GB-VIOLETA</t>
  </si>
  <si>
    <t>SAMSUNG GALAXY S24 256GB-VIOLETA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</si>
  <si>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</si>
  <si>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</si>
  <si>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</si>
  <si>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</si>
  <si>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</si>
  <si>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</si>
  <si>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</si>
  <si>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</si>
  <si>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</si>
  <si>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</si>
  <si>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</si>
  <si>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</si>
  <si>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</si>
  <si>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512GB-CREME AM</t>
  </si>
  <si>
    <t>SAMSUNG GALAXY S24 PLUS 512GB-PRETO</t>
  </si>
  <si>
    <t>SAMSUNG GALAXY S24 PLUS 512GB-PRETO AM</t>
  </si>
  <si>
    <t>SAMSUNG GALAXY S24 PLUS 512GB-VIOLETA</t>
  </si>
  <si>
    <t>SAMSUNG GALAXY S24 PLUS 512GB-VIOLETA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</si>
  <si>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</si>
  <si>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</si>
  <si>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</si>
  <si>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</si>
  <si>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</si>
  <si>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</si>
  <si>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</si>
  <si>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</si>
  <si>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</si>
  <si>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</si>
  <si>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</si>
  <si>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</si>
  <si>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</si>
  <si>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</si>
  <si>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</si>
  <si>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</si>
  <si>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</si>
  <si>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</si>
  <si>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</si>
  <si>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</si>
  <si>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</si>
  <si>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</si>
  <si>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</si>
  <si>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</si>
  <si>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</si>
  <si>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</si>
  <si>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</si>
  <si>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</si>
  <si>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</si>
  <si>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</si>
  <si>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</si>
  <si>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</si>
  <si>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</si>
  <si>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</si>
  <si>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</si>
  <si>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</si>
  <si>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</si>
  <si>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</si>
  <si>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</si>
  <si>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</si>
  <si>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512GB-AZUL</t>
  </si>
  <si>
    <t>SAMSUNG GALAXY S25 ULTRA 512GB-AZUL AM</t>
  </si>
  <si>
    <t>SAMSUNG GALAXY S25 ULTRA 512GB-CINZA</t>
  </si>
  <si>
    <t>SAMSUNG GALAXY S25 ULTRA 512GB-CINZA AM</t>
  </si>
  <si>
    <t>SAMSUNG GALAXY S25 ULTRA 512GB-PRATA</t>
  </si>
  <si>
    <t>SAMSUNG GALAXY S25 ULTRA 512GB-PRATA AM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</si>
  <si>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</si>
  <si>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</si>
  <si>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</si>
  <si>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</si>
  <si>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</si>
  <si>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</si>
  <si>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</si>
  <si>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</si>
  <si>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</si>
  <si>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</si>
  <si>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</si>
  <si>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</si>
  <si>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</si>
  <si>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</si>
  <si>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</si>
  <si>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</si>
  <si>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</si>
  <si>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</si>
  <si>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</si>
  <si>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</si>
  <si>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</si>
  <si>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</si>
  <si>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</si>
  <si>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</si>
  <si>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</si>
  <si>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</si>
  <si>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</si>
  <si>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</si>
  <si>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</si>
  <si>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</si>
  <si>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</si>
  <si>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</si>
  <si>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</si>
  <si>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</si>
  <si>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</si>
  <si>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</si>
  <si>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</si>
  <si>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</si>
  <si>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</si>
  <si>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</si>
  <si>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</si>
  <si>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</si>
  <si>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</si>
  <si>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</si>
  <si>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</si>
  <si>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</si>
  <si>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</si>
  <si>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</si>
  <si>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</si>
  <si>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</si>
  <si>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</si>
  <si>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</si>
  <si>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</si>
  <si>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</si>
  <si>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</si>
  <si>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</si>
  <si>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</si>
  <si>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</si>
  <si>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</si>
  <si>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</si>
  <si>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</si>
  <si>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</si>
  <si>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</si>
  <si>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MULTILASER VITA 3G</t>
  </si>
  <si>
    <t>MULTILASER VITA 3G-PRETO</t>
  </si>
  <si>
    <t>3G</t>
  </si>
  <si>
    <t>AP.FIXO POSITIVO P35</t>
  </si>
  <si>
    <t>AP.FIXO POSITIVO P35-PRETO</t>
  </si>
  <si>
    <t>POSITIVO P36</t>
  </si>
  <si>
    <t>POSITIVO P36-PRETO</t>
  </si>
  <si>
    <t>AP. FIXO MULTILASER RE504</t>
  </si>
  <si>
    <t>AP. FIXO MULTILASER RE504-PRETO</t>
  </si>
  <si>
    <t>Modem USB D-Link DWM-158</t>
  </si>
  <si>
    <t>Modem USB Dlink DWM-158-Branco</t>
  </si>
  <si>
    <t>Modem USB Dlink DWM-158-Preto</t>
  </si>
  <si>
    <t>Modem USB Huawei E3276</t>
  </si>
  <si>
    <t>Modem USB Huawei E3276-Branco</t>
  </si>
  <si>
    <t>Modem USB Telsec TS-1K6</t>
  </si>
  <si>
    <t>Modem USB Telsec TS 1K6-Branco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</si>
  <si>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</si>
  <si>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</si>
  <si>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</si>
  <si>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</si>
  <si>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</si>
  <si>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</si>
  <si>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</si>
  <si>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</si>
  <si>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</si>
  <si>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</si>
  <si>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</si>
  <si>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</si>
  <si>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</si>
  <si>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</si>
  <si>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</si>
  <si>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</si>
  <si>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</si>
  <si>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</si>
  <si>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</si>
  <si>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</si>
  <si>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</si>
  <si>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</si>
  <si>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</si>
  <si>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</si>
  <si>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</si>
  <si>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</si>
  <si>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</si>
  <si>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</si>
  <si>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</si>
  <si>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</si>
  <si>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CAIXA DE SOM JBL BOOMBOX 3</t>
  </si>
  <si>
    <t>CAIXA DE SOM JBL BOOMBOX 3-PRETO</t>
  </si>
  <si>
    <t>CAIXA DE SOM JBL BOOMBOX 3-PRETO AM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</si>
  <si>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</si>
  <si>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</si>
  <si>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</si>
  <si>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</si>
  <si>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</si>
  <si>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</t>
  </si>
  <si>
    <t>CAIXA DE SOM JBL GO ESSENTIAL 2</t>
  </si>
  <si>
    <t>CAIXA DE SOM JBL GO ESSENTIAL 2-PRETO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</si>
  <si>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</si>
  <si>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</si>
  <si>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</si>
  <si>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</si>
  <si>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</si>
  <si>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</si>
  <si>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</si>
  <si>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</si>
  <si>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</si>
  <si>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</si>
  <si>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</si>
  <si>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</si>
  <si>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</si>
  <si>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</si>
  <si>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</si>
  <si>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</si>
  <si>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</si>
  <si>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</si>
  <si>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</si>
  <si>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</si>
  <si>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</si>
  <si>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</si>
  <si>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</si>
  <si>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</si>
  <si>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</si>
  <si>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</si>
  <si>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</si>
  <si>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</si>
  <si>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</si>
  <si>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</si>
  <si>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</si>
  <si>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</si>
  <si>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</si>
  <si>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</si>
  <si>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</si>
  <si>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</si>
  <si>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</si>
  <si>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</si>
  <si>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</si>
  <si>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</si>
  <si>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DE OUVIDO</t>
  </si>
  <si>
    <t>FONE TWS GALAXY BUDS 3 2024</t>
  </si>
  <si>
    <t>FONE TWS GALAXY BUDS 3 2024-BRANCO</t>
  </si>
  <si>
    <t>FONE TWS GALAXY BUDS 3 2024-CINZA</t>
  </si>
  <si>
    <t>FONE TWS GALAXY BUDS 3 CORE</t>
  </si>
  <si>
    <t>FONE TWS GALAXY BUDS 3 CORE-PRETO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</si>
  <si>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</si>
  <si>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</si>
  <si>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</si>
  <si>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</si>
  <si>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FE 2024</t>
  </si>
  <si>
    <t>FONE TWS GALAXY BUDS FE 2024-GRAFITE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</si>
  <si>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</si>
  <si>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</si>
  <si>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</si>
  <si>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</si>
  <si>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</si>
  <si>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</si>
  <si>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</si>
  <si>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</si>
  <si>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</si>
  <si>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</si>
  <si>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INFOTECH</t>
  </si>
  <si>
    <t>GALAXY BOOK4 I3 256GB SSD 4GB</t>
  </si>
  <si>
    <t>GALAXY BOOK4 I5 8GB 256GB-GRAFITE</t>
  </si>
  <si>
    <t>GALAXY BOOK4 I5 512GB SSD 8GB</t>
  </si>
  <si>
    <t>GALAXY BOOK4 I5 8GB 512GB-GRAFITE</t>
  </si>
  <si>
    <t>GALAXY BOOK4 I3 8GB 256GB</t>
  </si>
  <si>
    <t>GALAXY BOOK4 I3 8GB 256GB-GRAFITE</t>
  </si>
  <si>
    <t>HEADPHONE BT JBL TUNE 520</t>
  </si>
  <si>
    <t>HEADPHONE BT JBL TUNE 520-PRETO</t>
  </si>
  <si>
    <t>HEADPHONE BT JBL TUNE 720</t>
  </si>
  <si>
    <t xml:space="preserve">HEADPHONE BT JBL TUNE 720-PRETO 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</si>
  <si>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</si>
  <si>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</si>
  <si>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</si>
  <si>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</si>
  <si>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</si>
  <si>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</si>
  <si>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</si>
  <si>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</si>
  <si>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</si>
  <si>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</si>
  <si>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</si>
  <si>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</si>
  <si>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</si>
  <si>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</si>
  <si>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</si>
  <si>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</si>
  <si>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</si>
  <si>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</si>
  <si>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GAMES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</si>
  <si>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</si>
  <si>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</si>
  <si>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</si>
  <si>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</si>
  <si>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</si>
  <si>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</si>
  <si>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</si>
  <si>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</si>
  <si>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</si>
  <si>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</si>
  <si>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</si>
  <si>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</si>
  <si>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</si>
  <si>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</si>
  <si>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</si>
  <si>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</si>
  <si>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</si>
  <si>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</si>
  <si>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</si>
  <si>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</si>
  <si>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</si>
  <si>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2025-PRATA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</si>
  <si>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</si>
  <si>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</si>
  <si>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</si>
  <si>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</si>
  <si>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</si>
  <si>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</si>
  <si>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</si>
  <si>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</si>
  <si>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</si>
  <si>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</si>
  <si>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</si>
  <si>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</si>
  <si>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</si>
  <si>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</si>
  <si>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</si>
  <si>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</si>
  <si>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</si>
  <si>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</si>
  <si>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</si>
  <si>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</si>
  <si>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</si>
  <si>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</si>
  <si>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</si>
  <si>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</si>
  <si>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</si>
  <si>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</si>
  <si>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</si>
  <si>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</si>
  <si>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</si>
  <si>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</si>
  <si>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</si>
  <si>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</si>
  <si>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</si>
  <si>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</si>
  <si>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</si>
  <si>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</si>
  <si>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</si>
  <si>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</si>
  <si>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</si>
  <si>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</si>
  <si>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</si>
  <si>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</si>
  <si>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</si>
  <si>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</si>
  <si>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</si>
  <si>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</si>
  <si>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</si>
  <si>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</si>
  <si>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032</t>
  </si>
  <si>
    <t>033</t>
  </si>
  <si>
    <t>035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</si>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</sst>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17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2" applyFont="1" applyFill="1"/>
    <xf numFmtId="0" fontId="8" fillId="0" borderId="0" xfId="2" applyFont="1"/>
    <xf numFmtId="0" fontId="9" fillId="3" borderId="0" xfId="2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2" applyFont="1"/>
    <xf numFmtId="0" fontId="5" fillId="0" borderId="0" xfId="2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8" fillId="0" borderId="5" xfId="2" applyFont="1" applyBorder="1" applyAlignment="1">
      <alignment horizontal="center" vertical="center" wrapText="1"/>
    </xf>
    <xf numFmtId="0" fontId="8" fillId="9" borderId="6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9" fillId="11" borderId="7" xfId="2" applyFont="1" applyFill="1" applyBorder="1" applyAlignment="1">
      <alignment horizontal="center" vertical="center" wrapText="1"/>
    </xf>
    <xf numFmtId="0" fontId="15" fillId="12" borderId="7" xfId="2" applyFont="1" applyFill="1" applyBorder="1" applyAlignment="1">
      <alignment horizontal="center" vertical="center" wrapText="1"/>
    </xf>
    <xf numFmtId="0" fontId="15" fillId="12" borderId="5" xfId="2" applyFont="1" applyFill="1" applyBorder="1" applyAlignment="1">
      <alignment horizontal="center" vertical="center" wrapText="1"/>
    </xf>
    <xf numFmtId="0" fontId="17" fillId="13" borderId="8" xfId="2" applyFont="1" applyFill="1" applyBorder="1" applyAlignment="1">
      <alignment horizontal="center" vertical="center" wrapText="1"/>
    </xf>
    <xf numFmtId="0" fontId="19" fillId="14" borderId="8" xfId="2" applyFont="1" applyFill="1" applyBorder="1" applyAlignment="1">
      <alignment horizontal="center" vertical="center" wrapText="1"/>
    </xf>
    <xf numFmtId="0" fontId="19" fillId="15" borderId="8" xfId="2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2" applyFont="1" applyFill="1" applyBorder="1" applyAlignment="1">
      <alignment horizontal="center" vertical="center" wrapText="1"/>
    </xf>
    <xf numFmtId="0" fontId="15" fillId="7" borderId="0" xfId="2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49" fontId="19" fillId="11" borderId="10" xfId="2" applyNumberFormat="1" applyFont="1" applyFill="1" applyBorder="1" applyAlignment="1">
      <alignment horizontal="center" vertical="center" wrapText="1"/>
    </xf>
    <xf numFmtId="49" fontId="19" fillId="11" borderId="11" xfId="2" applyNumberFormat="1" applyFont="1" applyFill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7" fillId="0" borderId="12" xfId="2" applyFont="1" applyBorder="1" applyAlignment="1">
      <alignment vertical="center"/>
    </xf>
    <xf numFmtId="0" fontId="20" fillId="0" borderId="13" xfId="2" applyFont="1" applyBorder="1" applyAlignment="1">
      <alignment horizontal="center" vertical="center"/>
    </xf>
    <xf numFmtId="0" fontId="7" fillId="0" borderId="14" xfId="2" applyFont="1" applyBorder="1"/>
    <xf numFmtId="49" fontId="7" fillId="0" borderId="15" xfId="2" applyNumberFormat="1" applyFont="1" applyBorder="1"/>
    <xf numFmtId="0" fontId="7" fillId="0" borderId="15" xfId="2" applyFont="1" applyBorder="1"/>
    <xf numFmtId="3" fontId="7" fillId="0" borderId="14" xfId="2" applyNumberFormat="1" applyFont="1" applyBorder="1" applyAlignment="1">
      <alignment horizontal="center"/>
    </xf>
    <xf numFmtId="3" fontId="7" fillId="0" borderId="13" xfId="2" applyNumberFormat="1" applyFont="1" applyBorder="1" applyAlignment="1">
      <alignment horizontal="center"/>
    </xf>
    <xf numFmtId="3" fontId="7" fillId="0" borderId="0" xfId="2" applyNumberFormat="1" applyFont="1" applyAlignment="1">
      <alignment horizontal="center"/>
    </xf>
    <xf numFmtId="14" fontId="7" fillId="0" borderId="16" xfId="2" applyNumberFormat="1" applyFont="1" applyBorder="1" applyAlignment="1">
      <alignment horizontal="right"/>
    </xf>
    <xf numFmtId="0" fontId="21" fillId="0" borderId="17" xfId="0" applyFont="1" applyBorder="1" applyAlignment="1">
      <alignment horizontal="center"/>
    </xf>
    <xf numFmtId="0" fontId="17" fillId="0" borderId="13" xfId="2" applyFont="1" applyBorder="1" applyAlignment="1">
      <alignment vertical="center"/>
    </xf>
    <xf numFmtId="0" fontId="21" fillId="0" borderId="18" xfId="0" applyFont="1" applyBorder="1" applyAlignment="1">
      <alignment horizontal="center"/>
    </xf>
    <xf numFmtId="0" fontId="18" fillId="0" borderId="13" xfId="2" applyFont="1" applyBorder="1" applyAlignment="1">
      <alignment vertical="center"/>
    </xf>
    <xf numFmtId="49" fontId="7" fillId="10" borderId="15" xfId="2" applyNumberFormat="1" applyFont="1" applyFill="1" applyBorder="1"/>
    <xf numFmtId="3" fontId="7" fillId="10" borderId="13" xfId="2" applyNumberFormat="1" applyFont="1" applyFill="1" applyBorder="1" applyAlignment="1">
      <alignment horizontal="center"/>
    </xf>
    <xf numFmtId="3" fontId="7" fillId="0" borderId="19" xfId="2" applyNumberFormat="1" applyFont="1" applyBorder="1" applyAlignment="1">
      <alignment horizontal="center"/>
    </xf>
    <xf numFmtId="49" fontId="7" fillId="0" borderId="15" xfId="2" applyNumberFormat="1" applyFont="1" applyBorder="1" applyAlignment="1">
      <alignment horizontal="left"/>
    </xf>
    <xf numFmtId="3" fontId="7" fillId="0" borderId="15" xfId="2" applyNumberFormat="1" applyFont="1" applyBorder="1" applyAlignment="1">
      <alignment horizontal="left"/>
    </xf>
    <xf numFmtId="0" fontId="7" fillId="10" borderId="15" xfId="2" applyFont="1" applyFill="1" applyBorder="1"/>
    <xf numFmtId="3" fontId="7" fillId="10" borderId="14" xfId="2" applyNumberFormat="1" applyFont="1" applyFill="1" applyBorder="1" applyAlignment="1">
      <alignment horizontal="center"/>
    </xf>
    <xf numFmtId="49" fontId="7" fillId="0" borderId="20" xfId="2" applyNumberFormat="1" applyFont="1" applyBorder="1"/>
    <xf numFmtId="0" fontId="7" fillId="0" borderId="13" xfId="2" applyFont="1" applyBorder="1"/>
    <xf numFmtId="0" fontId="7" fillId="0" borderId="20" xfId="2" applyFont="1" applyBorder="1"/>
    <xf numFmtId="0" fontId="7" fillId="0" borderId="14" xfId="2" applyFont="1" applyBorder="1" applyAlignment="1">
      <alignment horizontal="left" indent="1"/>
    </xf>
    <xf numFmtId="49" fontId="7" fillId="0" borderId="13" xfId="2" applyNumberFormat="1" applyFont="1" applyBorder="1"/>
    <xf numFmtId="0" fontId="7" fillId="0" borderId="19" xfId="2" applyFont="1" applyBorder="1"/>
    <xf numFmtId="0" fontId="7" fillId="16" borderId="15" xfId="2" applyFont="1" applyFill="1" applyBorder="1"/>
    <xf numFmtId="0" fontId="7" fillId="0" borderId="16" xfId="2" applyFont="1" applyBorder="1"/>
    <xf numFmtId="0" fontId="7" fillId="0" borderId="21" xfId="2" applyFont="1" applyBorder="1"/>
    <xf numFmtId="0" fontId="7" fillId="0" borderId="22" xfId="2" applyFont="1" applyBorder="1"/>
    <xf numFmtId="0" fontId="17" fillId="0" borderId="23" xfId="2" applyFont="1" applyBorder="1" applyAlignment="1">
      <alignment vertical="center"/>
    </xf>
    <xf numFmtId="0" fontId="20" fillId="0" borderId="23" xfId="2" applyFont="1" applyBorder="1" applyAlignment="1">
      <alignment horizontal="center" vertical="center"/>
    </xf>
    <xf numFmtId="0" fontId="7" fillId="0" borderId="23" xfId="2" applyFont="1" applyBorder="1"/>
    <xf numFmtId="49" fontId="7" fillId="0" borderId="24" xfId="2" applyNumberFormat="1" applyFont="1" applyBorder="1"/>
    <xf numFmtId="3" fontId="7" fillId="0" borderId="25" xfId="2" applyNumberFormat="1" applyFont="1" applyBorder="1" applyAlignment="1">
      <alignment horizontal="center"/>
    </xf>
    <xf numFmtId="14" fontId="7" fillId="0" borderId="24" xfId="2" applyNumberFormat="1" applyFont="1" applyBorder="1" applyAlignment="1">
      <alignment horizontal="right"/>
    </xf>
    <xf numFmtId="0" fontId="21" fillId="0" borderId="26" xfId="0" applyFont="1" applyBorder="1" applyAlignment="1">
      <alignment horizontal="center"/>
    </xf>
    <xf numFmtId="0" fontId="17" fillId="0" borderId="14" xfId="2" applyFont="1" applyBorder="1" applyAlignment="1">
      <alignment vertical="center"/>
    </xf>
    <xf numFmtId="0" fontId="20" fillId="0" borderId="14" xfId="2" applyFont="1" applyBorder="1" applyAlignment="1">
      <alignment horizontal="center" vertical="center"/>
    </xf>
    <xf numFmtId="14" fontId="0" fillId="0" borderId="0" xfId="0" applyNumberFormat="1"/>
    <xf numFmtId="14" fontId="7" fillId="0" borderId="15" xfId="2" applyNumberFormat="1" applyFont="1" applyBorder="1" applyAlignment="1">
      <alignment horizontal="right"/>
    </xf>
    <xf numFmtId="0" fontId="21" fillId="0" borderId="27" xfId="0" applyFont="1" applyBorder="1" applyAlignment="1">
      <alignment horizontal="center"/>
    </xf>
    <xf numFmtId="3" fontId="7" fillId="0" borderId="15" xfId="2" applyNumberFormat="1" applyFont="1" applyBorder="1" applyAlignment="1">
      <alignment horizontal="center"/>
    </xf>
    <xf numFmtId="3" fontId="21" fillId="0" borderId="13" xfId="0" applyNumberFormat="1" applyFont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49" fontId="7" fillId="0" borderId="14" xfId="2" applyNumberFormat="1" applyFont="1" applyBorder="1"/>
    <xf numFmtId="3" fontId="7" fillId="0" borderId="16" xfId="2" applyNumberFormat="1" applyFont="1" applyBorder="1" applyAlignment="1">
      <alignment horizontal="right"/>
    </xf>
    <xf numFmtId="0" fontId="7" fillId="0" borderId="28" xfId="2" applyFont="1" applyBorder="1"/>
    <xf numFmtId="49" fontId="7" fillId="0" borderId="29" xfId="2" applyNumberFormat="1" applyFont="1" applyBorder="1"/>
    <xf numFmtId="0" fontId="7" fillId="0" borderId="29" xfId="2" applyFont="1" applyBorder="1"/>
    <xf numFmtId="3" fontId="7" fillId="0" borderId="29" xfId="2" applyNumberFormat="1" applyFont="1" applyBorder="1" applyAlignment="1">
      <alignment horizontal="center"/>
    </xf>
    <xf numFmtId="3" fontId="7" fillId="0" borderId="30" xfId="2" applyNumberFormat="1" applyFont="1" applyBorder="1" applyAlignment="1">
      <alignment horizontal="right"/>
    </xf>
    <xf numFmtId="49" fontId="7" fillId="0" borderId="16" xfId="2" applyNumberFormat="1" applyFont="1" applyBorder="1"/>
    <xf numFmtId="0" fontId="7" fillId="0" borderId="24" xfId="2" applyFont="1" applyBorder="1"/>
    <xf numFmtId="3" fontId="7" fillId="0" borderId="23" xfId="2" applyNumberFormat="1" applyFont="1" applyBorder="1" applyAlignment="1">
      <alignment horizontal="center"/>
    </xf>
    <xf numFmtId="3" fontId="7" fillId="0" borderId="24" xfId="2" applyNumberFormat="1" applyFont="1" applyBorder="1" applyAlignment="1">
      <alignment horizontal="right"/>
    </xf>
    <xf numFmtId="3" fontId="7" fillId="0" borderId="14" xfId="1" applyNumberFormat="1" applyFont="1" applyFill="1" applyBorder="1" applyAlignment="1">
      <alignment horizontal="center"/>
    </xf>
    <xf numFmtId="43" fontId="7" fillId="0" borderId="14" xfId="1" applyFont="1" applyFill="1" applyBorder="1" applyAlignment="1">
      <alignment horizontal="center"/>
    </xf>
    <xf numFmtId="0" fontId="7" fillId="0" borderId="31" xfId="2" applyFont="1" applyBorder="1"/>
    <xf numFmtId="3" fontId="7" fillId="0" borderId="23" xfId="1" applyNumberFormat="1" applyFont="1" applyFill="1" applyBorder="1" applyAlignment="1">
      <alignment horizontal="center"/>
    </xf>
    <xf numFmtId="43" fontId="7" fillId="0" borderId="23" xfId="1" applyFont="1" applyFill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7" fillId="0" borderId="0" xfId="2" applyFont="1"/>
    <xf numFmtId="0" fontId="17" fillId="0" borderId="0" xfId="0" applyFont="1"/>
    <xf numFmtId="0" fontId="0" fillId="16" borderId="0" xfId="0" applyFill="1"/>
    <xf numFmtId="0" fontId="0" fillId="10" borderId="0" xfId="0" applyFill="1"/>
    <xf numFmtId="0" fontId="18" fillId="0" borderId="5" xfId="2" applyFont="1" applyBorder="1" applyAlignment="1">
      <alignment horizontal="center" vertical="center" wrapText="1"/>
    </xf>
    <xf numFmtId="0" fontId="18" fillId="0" borderId="33" xfId="2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 wrapText="1"/>
    </xf>
    <xf numFmtId="0" fontId="17" fillId="13" borderId="7" xfId="2" applyFont="1" applyFill="1" applyBorder="1" applyAlignment="1">
      <alignment horizontal="center" vertical="center" wrapText="1"/>
    </xf>
    <xf numFmtId="0" fontId="17" fillId="13" borderId="5" xfId="2" applyFont="1" applyFill="1" applyBorder="1" applyAlignment="1">
      <alignment horizontal="center" vertical="center" wrapText="1"/>
    </xf>
    <xf numFmtId="0" fontId="19" fillId="14" borderId="7" xfId="2" applyFont="1" applyFill="1" applyBorder="1" applyAlignment="1">
      <alignment horizontal="center" vertical="center" wrapText="1"/>
    </xf>
    <xf numFmtId="49" fontId="19" fillId="11" borderId="34" xfId="2" applyNumberFormat="1" applyFont="1" applyFill="1" applyBorder="1" applyAlignment="1">
      <alignment horizontal="center" vertical="center" wrapText="1"/>
    </xf>
    <xf numFmtId="0" fontId="21" fillId="0" borderId="35" xfId="0" applyFont="1" applyBorder="1"/>
    <xf numFmtId="0" fontId="7" fillId="0" borderId="35" xfId="0" applyFont="1" applyBorder="1" applyAlignment="1">
      <alignment horizontal="right" vertical="center"/>
    </xf>
    <xf numFmtId="0" fontId="7" fillId="0" borderId="35" xfId="0" applyFont="1" applyBorder="1" applyAlignment="1">
      <alignment horizontal="left" vertical="center"/>
    </xf>
    <xf numFmtId="164" fontId="22" fillId="0" borderId="35" xfId="1" applyNumberFormat="1" applyFont="1" applyFill="1" applyBorder="1" applyAlignment="1">
      <alignment horizontal="center" vertical="center"/>
    </xf>
    <xf numFmtId="164" fontId="7" fillId="0" borderId="35" xfId="1" applyNumberFormat="1" applyFont="1" applyFill="1" applyBorder="1" applyAlignment="1">
      <alignment vertical="center"/>
    </xf>
    <xf numFmtId="164" fontId="7" fillId="0" borderId="35" xfId="1" applyNumberFormat="1" applyFont="1" applyFill="1" applyBorder="1" applyAlignment="1">
      <alignment horizontal="center" vertical="center"/>
    </xf>
    <xf numFmtId="14" fontId="7" fillId="0" borderId="35" xfId="2" applyNumberFormat="1" applyFont="1" applyBorder="1"/>
    <xf numFmtId="0" fontId="21" fillId="0" borderId="35" xfId="0" applyFont="1" applyBorder="1" applyAlignment="1">
      <alignment horizontal="left" vertical="center"/>
    </xf>
    <xf numFmtId="0" fontId="7" fillId="0" borderId="35" xfId="0" applyFont="1" applyBorder="1"/>
    <xf numFmtId="164" fontId="21" fillId="0" borderId="35" xfId="1" applyNumberFormat="1" applyFont="1" applyFill="1" applyBorder="1"/>
    <xf numFmtId="0" fontId="21" fillId="10" borderId="35" xfId="0" applyFont="1" applyFill="1" applyBorder="1"/>
    <xf numFmtId="164" fontId="22" fillId="10" borderId="35" xfId="1" applyNumberFormat="1" applyFont="1" applyFill="1" applyBorder="1" applyAlignment="1">
      <alignment horizontal="center" vertical="center"/>
    </xf>
    <xf numFmtId="164" fontId="7" fillId="10" borderId="35" xfId="1" applyNumberFormat="1" applyFont="1" applyFill="1" applyBorder="1" applyAlignment="1">
      <alignment vertical="center"/>
    </xf>
    <xf numFmtId="164" fontId="7" fillId="10" borderId="35" xfId="1" applyNumberFormat="1" applyFont="1" applyFill="1" applyBorder="1" applyAlignment="1">
      <alignment horizontal="center" vertical="center"/>
    </xf>
    <xf numFmtId="14" fontId="7" fillId="0" borderId="4" xfId="2" applyNumberFormat="1" applyFont="1" applyBorder="1"/>
    <xf numFmtId="0" fontId="2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1" fillId="0" borderId="4" xfId="0" applyFont="1" applyBorder="1"/>
    <xf numFmtId="164" fontId="22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1" fillId="0" borderId="4" xfId="1" applyNumberFormat="1" applyFont="1" applyFill="1" applyBorder="1"/>
    <xf numFmtId="164" fontId="7" fillId="0" borderId="4" xfId="1" applyNumberFormat="1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left" vertical="center"/>
    </xf>
    <xf numFmtId="0" fontId="21" fillId="10" borderId="4" xfId="0" applyFont="1" applyFill="1" applyBorder="1"/>
    <xf numFmtId="164" fontId="22" fillId="10" borderId="4" xfId="1" applyNumberFormat="1" applyFont="1" applyFill="1" applyBorder="1" applyAlignment="1">
      <alignment horizontal="center" vertical="center"/>
    </xf>
    <xf numFmtId="164" fontId="7" fillId="10" borderId="4" xfId="1" applyNumberFormat="1" applyFont="1" applyFill="1" applyBorder="1" applyAlignment="1">
      <alignment vertical="center"/>
    </xf>
    <xf numFmtId="164" fontId="21" fillId="1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0" fontId="21" fillId="17" borderId="4" xfId="0" applyFont="1" applyFill="1" applyBorder="1"/>
    <xf numFmtId="164" fontId="21" fillId="0" borderId="0" xfId="1" applyNumberFormat="1" applyFont="1" applyFill="1" applyBorder="1"/>
    <xf numFmtId="164" fontId="7" fillId="0" borderId="4" xfId="1" applyNumberFormat="1" applyFont="1" applyFill="1" applyBorder="1"/>
    <xf numFmtId="164" fontId="7" fillId="0" borderId="35" xfId="1" applyNumberFormat="1" applyFont="1" applyFill="1" applyBorder="1"/>
    <xf numFmtId="0" fontId="21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3" fontId="7" fillId="0" borderId="4" xfId="2" applyNumberFormat="1" applyFont="1" applyBorder="1" applyAlignment="1">
      <alignment horizontal="right"/>
    </xf>
    <xf numFmtId="0" fontId="7" fillId="10" borderId="4" xfId="0" applyFont="1" applyFill="1" applyBorder="1" applyAlignment="1">
      <alignment horizontal="left" vertical="center"/>
    </xf>
    <xf numFmtId="164" fontId="7" fillId="10" borderId="4" xfId="1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164" fontId="21" fillId="10" borderId="35" xfId="1" applyNumberFormat="1" applyFont="1" applyFill="1" applyBorder="1"/>
    <xf numFmtId="164" fontId="7" fillId="10" borderId="4" xfId="1" applyNumberFormat="1" applyFont="1" applyFill="1" applyBorder="1"/>
    <xf numFmtId="164" fontId="21" fillId="0" borderId="1" xfId="1" applyNumberFormat="1" applyFont="1" applyFill="1" applyBorder="1"/>
    <xf numFmtId="164" fontId="7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49" fontId="19" fillId="11" borderId="36" xfId="2" applyNumberFormat="1" applyFont="1" applyFill="1" applyBorder="1" applyAlignment="1">
      <alignment horizontal="center" vertical="center" wrapText="1"/>
    </xf>
    <xf numFmtId="0" fontId="7" fillId="0" borderId="15" xfId="2" applyFont="1" applyBorder="1" applyAlignment="1">
      <alignment horizontal="right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3" fontId="7" fillId="0" borderId="21" xfId="2" applyNumberFormat="1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3" fontId="7" fillId="0" borderId="15" xfId="2" applyNumberFormat="1" applyFont="1" applyBorder="1" applyAlignment="1">
      <alignment horizontal="right"/>
    </xf>
    <xf numFmtId="0" fontId="0" fillId="0" borderId="37" xfId="0" applyBorder="1"/>
    <xf numFmtId="0" fontId="4" fillId="19" borderId="35" xfId="0" applyFont="1" applyFill="1" applyBorder="1" applyAlignment="1">
      <alignment horizontal="center"/>
    </xf>
    <xf numFmtId="14" fontId="4" fillId="19" borderId="35" xfId="0" applyNumberFormat="1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0" fontId="10" fillId="16" borderId="4" xfId="0" applyFont="1" applyFill="1" applyBorder="1" applyAlignment="1">
      <alignment horizontal="center"/>
    </xf>
    <xf numFmtId="0" fontId="10" fillId="16" borderId="4" xfId="0" applyFont="1" applyFill="1" applyBorder="1"/>
    <xf numFmtId="43" fontId="0" fillId="16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3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/>
    <xf numFmtId="0" fontId="34" fillId="10" borderId="0" xfId="0" applyFont="1" applyFill="1" applyAlignment="1">
      <alignment vertical="center"/>
    </xf>
    <xf numFmtId="0" fontId="35" fillId="0" borderId="38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6" fillId="0" borderId="40" xfId="0" applyFont="1" applyBorder="1" applyAlignment="1">
      <alignment vertical="center"/>
    </xf>
    <xf numFmtId="0" fontId="36" fillId="0" borderId="41" xfId="0" applyFont="1" applyBorder="1" applyAlignment="1">
      <alignment horizontal="center" vertical="center"/>
    </xf>
    <xf numFmtId="0" fontId="24" fillId="21" borderId="0" xfId="0" applyFont="1" applyFill="1"/>
    <xf numFmtId="0" fontId="24" fillId="10" borderId="0" xfId="0" applyFont="1" applyFill="1"/>
    <xf numFmtId="0" fontId="34" fillId="0" borderId="0" xfId="0" applyFont="1" applyAlignment="1">
      <alignment vertical="center"/>
    </xf>
    <xf numFmtId="0" fontId="43" fillId="10" borderId="0" xfId="0" applyFont="1" applyFill="1" applyAlignment="1">
      <alignment vertical="center"/>
    </xf>
    <xf numFmtId="0" fontId="44" fillId="0" borderId="0" xfId="0" applyFont="1" applyAlignment="1">
      <alignment horizontal="left" vertical="center" indent="4"/>
    </xf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/>
    </xf>
    <xf numFmtId="0" fontId="2" fillId="18" borderId="0" xfId="0" applyFont="1" applyFill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26" fillId="0" borderId="0" xfId="0" applyFont="1"/>
    <xf numFmtId="0" fontId="27" fillId="20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_Preços Setembro XXX.09.2008 2 2" xfId="2" xr:uid="{597EB6F8-25B7-48DC-BC7A-620891BABB78}"/>
  </cellStyles>
  <dxfs count="106"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color rgb="FF9C6500"/>
      </font>
      <fill>
        <patternFill>
          <bgColor rgb="FFFFEB9C"/>
        </patternFill>
      </fill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color theme="0" tint="-4.9989318521683403E-2"/>
      </font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037D65-2C01-44C6-AEAA-B1248AEB8F25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2B0FA025-CD66-499A-8389-36616737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6C67CB99-0539-4E8E-8C5B-5CF63CB1C57A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C1DE1591-77BE-4256-9B67-06F09C42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5453F67-F942-4228-BCC3-0E142C5AE0AB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833C187-3127-474F-A42F-18C827766DF6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1691-FA43-4C3F-81D5-1A208938A13F}">
  <dimension ref="A1:AY803"/>
  <sheetViews>
    <sheetView showGridLines="0" tabSelected="1" zoomScale="80" zoomScaleNormal="80" workbookViewId="0">
      <pane xSplit="4" ySplit="12" topLeftCell="AF299" activePane="bottomRight" state="frozen"/>
      <selection activeCell="H771" sqref="H771:H772"/>
      <selection pane="topRight" activeCell="H771" sqref="H771:H772"/>
      <selection pane="bottomLeft" activeCell="H771" sqref="H771:H772"/>
      <selection pane="bottomRight" activeCell="AB303" sqref="AB303:AL304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42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1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1">
      <c r="G2" s="3"/>
      <c r="H2" s="3"/>
      <c r="I2" s="3"/>
      <c r="J2" s="3"/>
      <c r="K2" s="3"/>
      <c r="L2" s="3"/>
      <c r="M2" s="3"/>
      <c r="N2" s="3"/>
    </row>
    <row r="3" spans="1:51">
      <c r="F3" s="4"/>
      <c r="G3" s="3"/>
      <c r="H3" s="5"/>
      <c r="I3" s="3"/>
      <c r="J3" s="3"/>
      <c r="K3" s="3"/>
      <c r="L3" s="3"/>
      <c r="M3" s="3"/>
      <c r="N3" s="3"/>
    </row>
    <row r="4" spans="1:51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1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1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1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1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1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1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1" ht="16" thickBot="1">
      <c r="C11" t="s">
        <v>7</v>
      </c>
      <c r="D11" s="21">
        <v>46092</v>
      </c>
      <c r="H11" s="198"/>
      <c r="I11" s="198"/>
      <c r="J11" s="199" t="s">
        <v>8</v>
      </c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1"/>
      <c r="AB11" s="202" t="s">
        <v>9</v>
      </c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4" t="s">
        <v>10</v>
      </c>
      <c r="AN11" s="205"/>
      <c r="AO11" s="205"/>
      <c r="AP11" s="206" t="s">
        <v>11</v>
      </c>
      <c r="AQ11" s="207"/>
      <c r="AR11" s="207"/>
      <c r="AS11" s="207"/>
      <c r="AT11" s="207"/>
      <c r="AU11" s="208"/>
      <c r="AV11" s="22"/>
    </row>
    <row r="12" spans="1:51" ht="62.5" thickBot="1">
      <c r="A12" s="23" t="s">
        <v>12</v>
      </c>
      <c r="B12" s="23" t="s">
        <v>13</v>
      </c>
      <c r="C12" s="23" t="s">
        <v>14</v>
      </c>
      <c r="D12" s="23" t="s">
        <v>15</v>
      </c>
      <c r="E12" s="24" t="s">
        <v>16</v>
      </c>
      <c r="F12" s="25" t="s">
        <v>17</v>
      </c>
      <c r="G12" s="26" t="s">
        <v>18</v>
      </c>
      <c r="H12" s="27" t="s">
        <v>19</v>
      </c>
      <c r="I12" s="28" t="s">
        <v>20</v>
      </c>
      <c r="J12" s="29" t="s">
        <v>21</v>
      </c>
      <c r="K12" s="29" t="s">
        <v>22</v>
      </c>
      <c r="L12" s="29" t="s">
        <v>23</v>
      </c>
      <c r="M12" s="29" t="s">
        <v>24</v>
      </c>
      <c r="N12" s="29" t="s">
        <v>25</v>
      </c>
      <c r="O12" s="30" t="s">
        <v>26</v>
      </c>
      <c r="P12" s="30" t="s">
        <v>27</v>
      </c>
      <c r="Q12" s="30" t="s">
        <v>28</v>
      </c>
      <c r="R12" s="30" t="s">
        <v>29</v>
      </c>
      <c r="S12" s="30" t="s">
        <v>30</v>
      </c>
      <c r="T12" s="30" t="s">
        <v>31</v>
      </c>
      <c r="U12" s="30" t="s">
        <v>32</v>
      </c>
      <c r="V12" s="31" t="s">
        <v>33</v>
      </c>
      <c r="W12" s="31" t="s">
        <v>34</v>
      </c>
      <c r="X12" s="31" t="s">
        <v>35</v>
      </c>
      <c r="Y12" s="31" t="s">
        <v>36</v>
      </c>
      <c r="Z12" s="31" t="s">
        <v>37</v>
      </c>
      <c r="AA12" s="31" t="s">
        <v>38</v>
      </c>
      <c r="AB12" s="32" t="s">
        <v>39</v>
      </c>
      <c r="AC12" s="32" t="s">
        <v>40</v>
      </c>
      <c r="AD12" s="32" t="s">
        <v>41</v>
      </c>
      <c r="AE12" s="32" t="s">
        <v>42</v>
      </c>
      <c r="AF12" s="32" t="s">
        <v>43</v>
      </c>
      <c r="AG12" s="32" t="s">
        <v>44</v>
      </c>
      <c r="AH12" s="32" t="s">
        <v>45</v>
      </c>
      <c r="AI12" s="32" t="s">
        <v>46</v>
      </c>
      <c r="AJ12" s="32" t="s">
        <v>47</v>
      </c>
      <c r="AK12" s="32" t="s">
        <v>48</v>
      </c>
      <c r="AL12" s="32" t="s">
        <v>49</v>
      </c>
      <c r="AM12" s="33" t="s">
        <v>50</v>
      </c>
      <c r="AN12" s="33" t="s">
        <v>51</v>
      </c>
      <c r="AO12" s="34" t="s">
        <v>52</v>
      </c>
      <c r="AP12" s="35" t="s">
        <v>53</v>
      </c>
      <c r="AQ12" s="35" t="s">
        <v>54</v>
      </c>
      <c r="AR12" s="35" t="s">
        <v>55</v>
      </c>
      <c r="AS12" s="35" t="s">
        <v>56</v>
      </c>
      <c r="AT12" s="35" t="s">
        <v>57</v>
      </c>
      <c r="AU12" s="35" t="s">
        <v>58</v>
      </c>
      <c r="AV12" s="36"/>
      <c r="AW12" s="37" t="s">
        <v>59</v>
      </c>
      <c r="AX12" s="38" t="s">
        <v>60</v>
      </c>
      <c r="AY12" s="39"/>
    </row>
    <row r="13" spans="1:51" ht="22.5" customHeight="1">
      <c r="A13" s="40" t="s">
        <v>61</v>
      </c>
      <c r="B13" s="41" t="s">
        <v>62</v>
      </c>
      <c r="C13" s="42">
        <v>4010990</v>
      </c>
      <c r="D13" s="43" t="s">
        <v>63</v>
      </c>
      <c r="E13" s="44" t="s">
        <v>64</v>
      </c>
      <c r="F13" s="45">
        <v>479</v>
      </c>
      <c r="G13" s="45">
        <v>479</v>
      </c>
      <c r="H13" s="46">
        <v>479</v>
      </c>
      <c r="I13" s="46">
        <v>479</v>
      </c>
      <c r="J13" s="45">
        <f>M13</f>
        <v>479</v>
      </c>
      <c r="K13" s="45">
        <f t="shared" ref="K13:L16" si="0">M13</f>
        <v>479</v>
      </c>
      <c r="L13" s="45">
        <f t="shared" si="0"/>
        <v>479</v>
      </c>
      <c r="M13" s="45">
        <v>479</v>
      </c>
      <c r="N13" s="45">
        <v>479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">
        <v>65</v>
      </c>
      <c r="AX13" s="49" t="s">
        <v>66</v>
      </c>
    </row>
    <row r="14" spans="1:51" ht="22.5" customHeight="1">
      <c r="A14" s="50" t="s">
        <v>61</v>
      </c>
      <c r="B14" s="41" t="s">
        <v>62</v>
      </c>
      <c r="C14" s="42">
        <v>4010991</v>
      </c>
      <c r="D14" s="43" t="s">
        <v>63</v>
      </c>
      <c r="E14" s="44" t="s">
        <v>67</v>
      </c>
      <c r="F14" s="45">
        <v>479</v>
      </c>
      <c r="G14" s="45">
        <v>479</v>
      </c>
      <c r="H14" s="46">
        <v>479</v>
      </c>
      <c r="I14" s="46">
        <v>479</v>
      </c>
      <c r="J14" s="45">
        <f>M14</f>
        <v>479</v>
      </c>
      <c r="K14" s="45">
        <f t="shared" si="0"/>
        <v>479</v>
      </c>
      <c r="L14" s="45">
        <f t="shared" si="0"/>
        <v>479</v>
      </c>
      <c r="M14" s="45">
        <v>479</v>
      </c>
      <c r="N14" s="45">
        <v>479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">
        <v>65</v>
      </c>
      <c r="AX14" s="51" t="s">
        <v>66</v>
      </c>
    </row>
    <row r="15" spans="1:51" ht="22.5" customHeight="1">
      <c r="A15" s="50" t="s">
        <v>61</v>
      </c>
      <c r="B15" s="41" t="s">
        <v>62</v>
      </c>
      <c r="C15" s="42">
        <v>4011353</v>
      </c>
      <c r="D15" s="43" t="s">
        <v>63</v>
      </c>
      <c r="E15" s="44" t="s">
        <v>68</v>
      </c>
      <c r="F15" s="45">
        <v>479</v>
      </c>
      <c r="G15" s="45">
        <v>479</v>
      </c>
      <c r="H15" s="46">
        <v>479</v>
      </c>
      <c r="I15" s="46">
        <v>479</v>
      </c>
      <c r="J15" s="45">
        <f>M15</f>
        <v>479</v>
      </c>
      <c r="K15" s="45">
        <f t="shared" si="0"/>
        <v>479</v>
      </c>
      <c r="L15" s="45">
        <f t="shared" si="0"/>
        <v>479</v>
      </c>
      <c r="M15" s="45">
        <v>479</v>
      </c>
      <c r="N15" s="45">
        <v>479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">
        <v>65</v>
      </c>
      <c r="AX15" s="51" t="s">
        <v>66</v>
      </c>
    </row>
    <row r="16" spans="1:51" ht="22.5" customHeight="1">
      <c r="A16" s="50" t="s">
        <v>61</v>
      </c>
      <c r="B16" s="41" t="s">
        <v>62</v>
      </c>
      <c r="C16" s="42">
        <v>4011354</v>
      </c>
      <c r="D16" s="43" t="s">
        <v>63</v>
      </c>
      <c r="E16" s="44" t="s">
        <v>69</v>
      </c>
      <c r="F16" s="45">
        <v>479</v>
      </c>
      <c r="G16" s="45">
        <v>479</v>
      </c>
      <c r="H16" s="46">
        <v>479</v>
      </c>
      <c r="I16" s="46">
        <v>479</v>
      </c>
      <c r="J16" s="45">
        <f>M16</f>
        <v>479</v>
      </c>
      <c r="K16" s="45">
        <f t="shared" si="0"/>
        <v>479</v>
      </c>
      <c r="L16" s="45">
        <f t="shared" si="0"/>
        <v>479</v>
      </c>
      <c r="M16" s="45">
        <v>479</v>
      </c>
      <c r="N16" s="45">
        <v>479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">
        <v>65</v>
      </c>
      <c r="AX16" s="51" t="s">
        <v>66</v>
      </c>
    </row>
    <row r="17" spans="1:50" ht="22.5" customHeight="1">
      <c r="A17" s="52" t="s">
        <v>70</v>
      </c>
      <c r="B17" s="41" t="s">
        <v>62</v>
      </c>
      <c r="C17" s="42">
        <v>4013660</v>
      </c>
      <c r="D17" s="44" t="s">
        <v>71</v>
      </c>
      <c r="E17" s="44" t="s">
        <v>72</v>
      </c>
      <c r="F17" s="45">
        <v>999</v>
      </c>
      <c r="G17" s="45">
        <v>549</v>
      </c>
      <c r="H17" s="46">
        <v>999</v>
      </c>
      <c r="I17" s="46">
        <v>999</v>
      </c>
      <c r="J17" s="46">
        <v>799</v>
      </c>
      <c r="K17" s="46">
        <v>699</v>
      </c>
      <c r="L17" s="46">
        <v>699</v>
      </c>
      <c r="M17" s="46">
        <v>799</v>
      </c>
      <c r="N17" s="46">
        <v>799</v>
      </c>
      <c r="O17" s="46">
        <v>599</v>
      </c>
      <c r="P17" s="46">
        <v>599</v>
      </c>
      <c r="Q17" s="46">
        <f>T17</f>
        <v>599</v>
      </c>
      <c r="R17" s="46">
        <v>599</v>
      </c>
      <c r="S17" s="46">
        <v>599</v>
      </c>
      <c r="T17" s="46">
        <v>599</v>
      </c>
      <c r="U17" s="46">
        <v>599</v>
      </c>
      <c r="V17" s="46">
        <v>599</v>
      </c>
      <c r="W17" s="46">
        <v>599</v>
      </c>
      <c r="X17" s="46">
        <v>549</v>
      </c>
      <c r="Y17" s="46">
        <v>549</v>
      </c>
      <c r="Z17" s="46">
        <v>549</v>
      </c>
      <c r="AA17" s="46">
        <v>549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">
        <v>65</v>
      </c>
      <c r="AX17" s="51" t="s">
        <v>66</v>
      </c>
    </row>
    <row r="18" spans="1:50" ht="22.5" customHeight="1">
      <c r="A18" s="52" t="s">
        <v>70</v>
      </c>
      <c r="B18" s="41" t="s">
        <v>62</v>
      </c>
      <c r="C18" s="42">
        <v>4013661</v>
      </c>
      <c r="D18" s="44" t="s">
        <v>71</v>
      </c>
      <c r="E18" s="44" t="s">
        <v>73</v>
      </c>
      <c r="F18" s="45">
        <v>999</v>
      </c>
      <c r="G18" s="45">
        <v>549</v>
      </c>
      <c r="H18" s="46">
        <v>999</v>
      </c>
      <c r="I18" s="46">
        <v>999</v>
      </c>
      <c r="J18" s="46">
        <v>799</v>
      </c>
      <c r="K18" s="46">
        <v>699</v>
      </c>
      <c r="L18" s="46">
        <v>699</v>
      </c>
      <c r="M18" s="46">
        <v>799</v>
      </c>
      <c r="N18" s="46">
        <v>799</v>
      </c>
      <c r="O18" s="46">
        <v>599</v>
      </c>
      <c r="P18" s="46">
        <v>599</v>
      </c>
      <c r="Q18" s="46">
        <f t="shared" ref="Q18:Q24" si="1">T18</f>
        <v>599</v>
      </c>
      <c r="R18" s="46">
        <v>599</v>
      </c>
      <c r="S18" s="46">
        <v>599</v>
      </c>
      <c r="T18" s="46">
        <v>599</v>
      </c>
      <c r="U18" s="46">
        <v>599</v>
      </c>
      <c r="V18" s="46">
        <v>599</v>
      </c>
      <c r="W18" s="46">
        <v>599</v>
      </c>
      <c r="X18" s="46">
        <v>549</v>
      </c>
      <c r="Y18" s="46">
        <v>549</v>
      </c>
      <c r="Z18" s="46">
        <v>549</v>
      </c>
      <c r="AA18" s="46">
        <v>549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">
        <v>65</v>
      </c>
      <c r="AX18" s="51" t="s">
        <v>66</v>
      </c>
    </row>
    <row r="19" spans="1:50" ht="22.5" customHeight="1">
      <c r="A19" s="52" t="s">
        <v>70</v>
      </c>
      <c r="B19" s="41" t="s">
        <v>62</v>
      </c>
      <c r="C19" s="42">
        <v>4013662</v>
      </c>
      <c r="D19" s="44" t="s">
        <v>71</v>
      </c>
      <c r="E19" s="44" t="s">
        <v>74</v>
      </c>
      <c r="F19" s="45">
        <v>999</v>
      </c>
      <c r="G19" s="45">
        <v>549</v>
      </c>
      <c r="H19" s="46">
        <v>999</v>
      </c>
      <c r="I19" s="46">
        <v>999</v>
      </c>
      <c r="J19" s="46">
        <v>799</v>
      </c>
      <c r="K19" s="46">
        <v>699</v>
      </c>
      <c r="L19" s="46">
        <v>699</v>
      </c>
      <c r="M19" s="46">
        <v>799</v>
      </c>
      <c r="N19" s="46">
        <v>799</v>
      </c>
      <c r="O19" s="46">
        <v>599</v>
      </c>
      <c r="P19" s="46">
        <v>599</v>
      </c>
      <c r="Q19" s="46">
        <f t="shared" si="1"/>
        <v>599</v>
      </c>
      <c r="R19" s="46">
        <v>599</v>
      </c>
      <c r="S19" s="46">
        <v>599</v>
      </c>
      <c r="T19" s="46">
        <v>599</v>
      </c>
      <c r="U19" s="46">
        <v>599</v>
      </c>
      <c r="V19" s="46">
        <v>599</v>
      </c>
      <c r="W19" s="46">
        <v>599</v>
      </c>
      <c r="X19" s="46">
        <v>549</v>
      </c>
      <c r="Y19" s="46">
        <v>549</v>
      </c>
      <c r="Z19" s="46">
        <v>549</v>
      </c>
      <c r="AA19" s="46">
        <v>549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">
        <v>65</v>
      </c>
      <c r="AX19" s="51" t="s">
        <v>66</v>
      </c>
    </row>
    <row r="20" spans="1:50" ht="22.5" customHeight="1">
      <c r="A20" s="52" t="s">
        <v>70</v>
      </c>
      <c r="B20" s="41" t="s">
        <v>62</v>
      </c>
      <c r="C20" s="42">
        <v>4013981</v>
      </c>
      <c r="D20" s="44" t="s">
        <v>71</v>
      </c>
      <c r="E20" s="44" t="s">
        <v>75</v>
      </c>
      <c r="F20" s="45">
        <v>999</v>
      </c>
      <c r="G20" s="45">
        <v>549</v>
      </c>
      <c r="H20" s="46">
        <v>999</v>
      </c>
      <c r="I20" s="46">
        <v>999</v>
      </c>
      <c r="J20" s="46">
        <v>799</v>
      </c>
      <c r="K20" s="46">
        <v>699</v>
      </c>
      <c r="L20" s="46">
        <v>699</v>
      </c>
      <c r="M20" s="46">
        <v>799</v>
      </c>
      <c r="N20" s="46">
        <v>799</v>
      </c>
      <c r="O20" s="46">
        <v>599</v>
      </c>
      <c r="P20" s="46">
        <v>599</v>
      </c>
      <c r="Q20" s="46">
        <f t="shared" si="1"/>
        <v>599</v>
      </c>
      <c r="R20" s="46">
        <v>599</v>
      </c>
      <c r="S20" s="46">
        <v>599</v>
      </c>
      <c r="T20" s="46">
        <v>599</v>
      </c>
      <c r="U20" s="46">
        <v>599</v>
      </c>
      <c r="V20" s="46">
        <v>599</v>
      </c>
      <c r="W20" s="46">
        <v>599</v>
      </c>
      <c r="X20" s="46">
        <v>549</v>
      </c>
      <c r="Y20" s="46">
        <v>549</v>
      </c>
      <c r="Z20" s="46">
        <v>549</v>
      </c>
      <c r="AA20" s="46">
        <v>549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">
        <v>65</v>
      </c>
      <c r="AX20" s="51" t="s">
        <v>66</v>
      </c>
    </row>
    <row r="21" spans="1:50" ht="22.5" customHeight="1">
      <c r="A21" s="52" t="s">
        <v>70</v>
      </c>
      <c r="B21" s="41" t="s">
        <v>62</v>
      </c>
      <c r="C21" s="42">
        <v>4013984</v>
      </c>
      <c r="D21" s="44" t="s">
        <v>71</v>
      </c>
      <c r="E21" s="44" t="s">
        <v>76</v>
      </c>
      <c r="F21" s="45">
        <v>999</v>
      </c>
      <c r="G21" s="45">
        <v>549</v>
      </c>
      <c r="H21" s="46">
        <v>999</v>
      </c>
      <c r="I21" s="46">
        <v>999</v>
      </c>
      <c r="J21" s="46">
        <v>799</v>
      </c>
      <c r="K21" s="46">
        <v>699</v>
      </c>
      <c r="L21" s="46">
        <v>699</v>
      </c>
      <c r="M21" s="46">
        <v>799</v>
      </c>
      <c r="N21" s="46">
        <v>799</v>
      </c>
      <c r="O21" s="46">
        <v>599</v>
      </c>
      <c r="P21" s="46">
        <v>599</v>
      </c>
      <c r="Q21" s="46">
        <f t="shared" si="1"/>
        <v>599</v>
      </c>
      <c r="R21" s="46">
        <v>599</v>
      </c>
      <c r="S21" s="46">
        <v>599</v>
      </c>
      <c r="T21" s="46">
        <v>599</v>
      </c>
      <c r="U21" s="46">
        <v>599</v>
      </c>
      <c r="V21" s="46">
        <v>599</v>
      </c>
      <c r="W21" s="46">
        <v>599</v>
      </c>
      <c r="X21" s="46">
        <v>549</v>
      </c>
      <c r="Y21" s="46">
        <v>549</v>
      </c>
      <c r="Z21" s="46">
        <v>549</v>
      </c>
      <c r="AA21" s="46">
        <v>549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">
        <v>65</v>
      </c>
      <c r="AX21" s="51" t="s">
        <v>66</v>
      </c>
    </row>
    <row r="22" spans="1:50" ht="22.5" customHeight="1">
      <c r="A22" s="52" t="s">
        <v>70</v>
      </c>
      <c r="B22" s="41" t="s">
        <v>62</v>
      </c>
      <c r="C22" s="42">
        <v>4013986</v>
      </c>
      <c r="D22" s="44" t="s">
        <v>71</v>
      </c>
      <c r="E22" s="44" t="s">
        <v>77</v>
      </c>
      <c r="F22" s="45">
        <v>999</v>
      </c>
      <c r="G22" s="45">
        <v>549</v>
      </c>
      <c r="H22" s="46">
        <v>999</v>
      </c>
      <c r="I22" s="46">
        <v>999</v>
      </c>
      <c r="J22" s="46">
        <v>799</v>
      </c>
      <c r="K22" s="46">
        <v>699</v>
      </c>
      <c r="L22" s="46">
        <v>699</v>
      </c>
      <c r="M22" s="46">
        <v>799</v>
      </c>
      <c r="N22" s="46">
        <v>799</v>
      </c>
      <c r="O22" s="46">
        <v>599</v>
      </c>
      <c r="P22" s="46">
        <v>599</v>
      </c>
      <c r="Q22" s="46">
        <f t="shared" si="1"/>
        <v>599</v>
      </c>
      <c r="R22" s="46">
        <v>599</v>
      </c>
      <c r="S22" s="46">
        <v>599</v>
      </c>
      <c r="T22" s="46">
        <v>599</v>
      </c>
      <c r="U22" s="46">
        <v>599</v>
      </c>
      <c r="V22" s="46">
        <v>599</v>
      </c>
      <c r="W22" s="46">
        <v>599</v>
      </c>
      <c r="X22" s="46">
        <v>549</v>
      </c>
      <c r="Y22" s="46">
        <v>549</v>
      </c>
      <c r="Z22" s="46">
        <v>549</v>
      </c>
      <c r="AA22" s="46">
        <v>549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">
        <v>65</v>
      </c>
      <c r="AX22" s="51" t="s">
        <v>66</v>
      </c>
    </row>
    <row r="23" spans="1:50" ht="22.5" customHeight="1">
      <c r="A23" s="52" t="s">
        <v>70</v>
      </c>
      <c r="B23" s="41" t="s">
        <v>62</v>
      </c>
      <c r="C23" s="42">
        <v>4013852</v>
      </c>
      <c r="D23" s="44" t="s">
        <v>71</v>
      </c>
      <c r="E23" s="44" t="s">
        <v>78</v>
      </c>
      <c r="F23" s="45">
        <v>999</v>
      </c>
      <c r="G23" s="45">
        <v>549</v>
      </c>
      <c r="H23" s="46">
        <v>999</v>
      </c>
      <c r="I23" s="46">
        <v>999</v>
      </c>
      <c r="J23" s="46">
        <v>799</v>
      </c>
      <c r="K23" s="46">
        <v>699</v>
      </c>
      <c r="L23" s="46">
        <v>699</v>
      </c>
      <c r="M23" s="46">
        <v>799</v>
      </c>
      <c r="N23" s="46">
        <v>799</v>
      </c>
      <c r="O23" s="46">
        <v>599</v>
      </c>
      <c r="P23" s="46">
        <v>599</v>
      </c>
      <c r="Q23" s="46">
        <f t="shared" si="1"/>
        <v>599</v>
      </c>
      <c r="R23" s="46">
        <v>599</v>
      </c>
      <c r="S23" s="46">
        <v>599</v>
      </c>
      <c r="T23" s="46">
        <v>599</v>
      </c>
      <c r="U23" s="46">
        <v>599</v>
      </c>
      <c r="V23" s="46">
        <v>599</v>
      </c>
      <c r="W23" s="46">
        <v>599</v>
      </c>
      <c r="X23" s="46">
        <v>549</v>
      </c>
      <c r="Y23" s="46">
        <v>549</v>
      </c>
      <c r="Z23" s="46">
        <v>549</v>
      </c>
      <c r="AA23" s="46">
        <v>549</v>
      </c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">
        <v>65</v>
      </c>
      <c r="AX23" s="51" t="s">
        <v>66</v>
      </c>
    </row>
    <row r="24" spans="1:50" ht="22.5" customHeight="1">
      <c r="A24" s="52" t="s">
        <v>70</v>
      </c>
      <c r="B24" s="41" t="s">
        <v>62</v>
      </c>
      <c r="C24" s="42">
        <v>4014002</v>
      </c>
      <c r="D24" s="44" t="s">
        <v>71</v>
      </c>
      <c r="E24" s="44" t="s">
        <v>79</v>
      </c>
      <c r="F24" s="45">
        <v>999</v>
      </c>
      <c r="G24" s="45">
        <v>549</v>
      </c>
      <c r="H24" s="46">
        <v>999</v>
      </c>
      <c r="I24" s="46">
        <v>999</v>
      </c>
      <c r="J24" s="46">
        <v>799</v>
      </c>
      <c r="K24" s="46">
        <v>699</v>
      </c>
      <c r="L24" s="46">
        <v>699</v>
      </c>
      <c r="M24" s="46">
        <v>799</v>
      </c>
      <c r="N24" s="46">
        <v>799</v>
      </c>
      <c r="O24" s="46">
        <v>599</v>
      </c>
      <c r="P24" s="46">
        <v>599</v>
      </c>
      <c r="Q24" s="46">
        <f t="shared" si="1"/>
        <v>599</v>
      </c>
      <c r="R24" s="46">
        <v>599</v>
      </c>
      <c r="S24" s="46">
        <v>599</v>
      </c>
      <c r="T24" s="46">
        <v>599</v>
      </c>
      <c r="U24" s="46">
        <v>599</v>
      </c>
      <c r="V24" s="46">
        <v>599</v>
      </c>
      <c r="W24" s="46">
        <v>599</v>
      </c>
      <c r="X24" s="46">
        <v>549</v>
      </c>
      <c r="Y24" s="46">
        <v>549</v>
      </c>
      <c r="Z24" s="46">
        <v>549</v>
      </c>
      <c r="AA24" s="46">
        <v>549</v>
      </c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">
        <v>65</v>
      </c>
      <c r="AX24" s="51" t="s">
        <v>66</v>
      </c>
    </row>
    <row r="25" spans="1:50" ht="22.5" customHeight="1">
      <c r="A25" s="52" t="s">
        <v>70</v>
      </c>
      <c r="B25" s="41" t="s">
        <v>62</v>
      </c>
      <c r="C25" s="42">
        <v>4013875</v>
      </c>
      <c r="D25" s="43" t="s">
        <v>80</v>
      </c>
      <c r="E25" s="43" t="s">
        <v>81</v>
      </c>
      <c r="F25" s="45">
        <v>6499</v>
      </c>
      <c r="G25" s="45">
        <v>2599</v>
      </c>
      <c r="H25" s="46">
        <v>999</v>
      </c>
      <c r="I25" s="46">
        <v>999</v>
      </c>
      <c r="J25" s="46">
        <v>999</v>
      </c>
      <c r="K25" s="46">
        <v>999</v>
      </c>
      <c r="L25" s="46">
        <v>999</v>
      </c>
      <c r="M25" s="46">
        <v>999</v>
      </c>
      <c r="N25" s="46">
        <v>999</v>
      </c>
      <c r="O25" s="46">
        <v>999</v>
      </c>
      <c r="P25" s="46">
        <v>999</v>
      </c>
      <c r="Q25" s="46">
        <v>999</v>
      </c>
      <c r="R25" s="46">
        <v>999</v>
      </c>
      <c r="S25" s="46">
        <v>999</v>
      </c>
      <c r="T25" s="46">
        <v>999</v>
      </c>
      <c r="U25" s="46">
        <v>999</v>
      </c>
      <c r="V25" s="46">
        <v>999</v>
      </c>
      <c r="W25" s="46">
        <v>999</v>
      </c>
      <c r="X25" s="46">
        <v>999</v>
      </c>
      <c r="Y25" s="46">
        <v>999</v>
      </c>
      <c r="Z25" s="46">
        <v>999</v>
      </c>
      <c r="AA25" s="46">
        <v>999</v>
      </c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">
        <v>65</v>
      </c>
      <c r="AX25" s="51" t="s">
        <v>82</v>
      </c>
    </row>
    <row r="26" spans="1:50" ht="22.5" customHeight="1">
      <c r="A26" s="52" t="s">
        <v>70</v>
      </c>
      <c r="B26" s="41" t="s">
        <v>62</v>
      </c>
      <c r="C26" s="42">
        <v>4013877</v>
      </c>
      <c r="D26" s="43" t="s">
        <v>80</v>
      </c>
      <c r="E26" s="43" t="s">
        <v>83</v>
      </c>
      <c r="F26" s="45">
        <v>6499</v>
      </c>
      <c r="G26" s="45">
        <v>2599</v>
      </c>
      <c r="H26" s="46">
        <v>999</v>
      </c>
      <c r="I26" s="46">
        <v>999</v>
      </c>
      <c r="J26" s="46">
        <v>999</v>
      </c>
      <c r="K26" s="46">
        <v>999</v>
      </c>
      <c r="L26" s="46">
        <v>999</v>
      </c>
      <c r="M26" s="46">
        <v>999</v>
      </c>
      <c r="N26" s="46">
        <v>999</v>
      </c>
      <c r="O26" s="46">
        <v>999</v>
      </c>
      <c r="P26" s="46">
        <v>999</v>
      </c>
      <c r="Q26" s="46">
        <v>999</v>
      </c>
      <c r="R26" s="46">
        <v>999</v>
      </c>
      <c r="S26" s="46">
        <v>999</v>
      </c>
      <c r="T26" s="46">
        <v>999</v>
      </c>
      <c r="U26" s="46">
        <v>999</v>
      </c>
      <c r="V26" s="46">
        <v>999</v>
      </c>
      <c r="W26" s="46">
        <v>999</v>
      </c>
      <c r="X26" s="46">
        <v>999</v>
      </c>
      <c r="Y26" s="46">
        <v>999</v>
      </c>
      <c r="Z26" s="46">
        <v>999</v>
      </c>
      <c r="AA26" s="46">
        <v>999</v>
      </c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">
        <v>65</v>
      </c>
      <c r="AX26" s="51" t="s">
        <v>82</v>
      </c>
    </row>
    <row r="27" spans="1:50" ht="22.5" customHeight="1">
      <c r="A27" s="52" t="s">
        <v>70</v>
      </c>
      <c r="B27" s="41" t="s">
        <v>62</v>
      </c>
      <c r="C27" s="42">
        <v>4013878</v>
      </c>
      <c r="D27" s="43" t="s">
        <v>80</v>
      </c>
      <c r="E27" s="43" t="s">
        <v>84</v>
      </c>
      <c r="F27" s="45">
        <v>6499</v>
      </c>
      <c r="G27" s="45">
        <v>2599</v>
      </c>
      <c r="H27" s="46">
        <v>999</v>
      </c>
      <c r="I27" s="46">
        <v>999</v>
      </c>
      <c r="J27" s="46">
        <v>999</v>
      </c>
      <c r="K27" s="46">
        <v>999</v>
      </c>
      <c r="L27" s="46">
        <v>999</v>
      </c>
      <c r="M27" s="46">
        <v>999</v>
      </c>
      <c r="N27" s="46">
        <v>999</v>
      </c>
      <c r="O27" s="46">
        <v>999</v>
      </c>
      <c r="P27" s="46">
        <v>999</v>
      </c>
      <c r="Q27" s="46">
        <v>999</v>
      </c>
      <c r="R27" s="46">
        <v>999</v>
      </c>
      <c r="S27" s="46">
        <v>999</v>
      </c>
      <c r="T27" s="46">
        <v>999</v>
      </c>
      <c r="U27" s="46">
        <v>999</v>
      </c>
      <c r="V27" s="46">
        <v>999</v>
      </c>
      <c r="W27" s="46">
        <v>999</v>
      </c>
      <c r="X27" s="46">
        <v>999</v>
      </c>
      <c r="Y27" s="46">
        <v>999</v>
      </c>
      <c r="Z27" s="46">
        <v>999</v>
      </c>
      <c r="AA27" s="46">
        <v>999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">
        <v>65</v>
      </c>
      <c r="AX27" s="51" t="s">
        <v>82</v>
      </c>
    </row>
    <row r="28" spans="1:50" ht="22.5" customHeight="1">
      <c r="A28" s="52" t="s">
        <v>70</v>
      </c>
      <c r="B28" s="41" t="s">
        <v>62</v>
      </c>
      <c r="C28" s="42">
        <v>4013879</v>
      </c>
      <c r="D28" s="43" t="s">
        <v>80</v>
      </c>
      <c r="E28" s="43" t="s">
        <v>85</v>
      </c>
      <c r="F28" s="45">
        <v>6499</v>
      </c>
      <c r="G28" s="45">
        <v>2599</v>
      </c>
      <c r="H28" s="46">
        <v>999</v>
      </c>
      <c r="I28" s="46">
        <v>999</v>
      </c>
      <c r="J28" s="46">
        <v>999</v>
      </c>
      <c r="K28" s="46">
        <v>999</v>
      </c>
      <c r="L28" s="46">
        <v>999</v>
      </c>
      <c r="M28" s="46">
        <v>999</v>
      </c>
      <c r="N28" s="46">
        <v>999</v>
      </c>
      <c r="O28" s="46">
        <v>999</v>
      </c>
      <c r="P28" s="46">
        <v>999</v>
      </c>
      <c r="Q28" s="46">
        <v>999</v>
      </c>
      <c r="R28" s="46">
        <v>999</v>
      </c>
      <c r="S28" s="46">
        <v>999</v>
      </c>
      <c r="T28" s="46">
        <v>999</v>
      </c>
      <c r="U28" s="46">
        <v>999</v>
      </c>
      <c r="V28" s="46">
        <v>999</v>
      </c>
      <c r="W28" s="46">
        <v>999</v>
      </c>
      <c r="X28" s="46">
        <v>999</v>
      </c>
      <c r="Y28" s="46">
        <v>999</v>
      </c>
      <c r="Z28" s="46">
        <v>999</v>
      </c>
      <c r="AA28" s="46">
        <v>999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">
        <v>65</v>
      </c>
      <c r="AX28" s="51" t="s">
        <v>82</v>
      </c>
    </row>
    <row r="29" spans="1:50" ht="22.5" customHeight="1">
      <c r="A29" s="52" t="s">
        <v>70</v>
      </c>
      <c r="B29" s="41" t="s">
        <v>62</v>
      </c>
      <c r="C29" s="42">
        <v>4013880</v>
      </c>
      <c r="D29" s="43" t="s">
        <v>80</v>
      </c>
      <c r="E29" s="43" t="s">
        <v>86</v>
      </c>
      <c r="F29" s="45">
        <v>6499</v>
      </c>
      <c r="G29" s="45">
        <v>2599</v>
      </c>
      <c r="H29" s="46">
        <v>999</v>
      </c>
      <c r="I29" s="46">
        <v>999</v>
      </c>
      <c r="J29" s="46">
        <v>999</v>
      </c>
      <c r="K29" s="46">
        <v>999</v>
      </c>
      <c r="L29" s="46">
        <v>999</v>
      </c>
      <c r="M29" s="46">
        <v>999</v>
      </c>
      <c r="N29" s="46">
        <v>999</v>
      </c>
      <c r="O29" s="46">
        <v>999</v>
      </c>
      <c r="P29" s="46">
        <v>999</v>
      </c>
      <c r="Q29" s="46">
        <v>999</v>
      </c>
      <c r="R29" s="46">
        <v>999</v>
      </c>
      <c r="S29" s="46">
        <v>999</v>
      </c>
      <c r="T29" s="46">
        <v>999</v>
      </c>
      <c r="U29" s="46">
        <v>999</v>
      </c>
      <c r="V29" s="46">
        <v>999</v>
      </c>
      <c r="W29" s="46">
        <v>999</v>
      </c>
      <c r="X29" s="46">
        <v>999</v>
      </c>
      <c r="Y29" s="46">
        <v>999</v>
      </c>
      <c r="Z29" s="46">
        <v>999</v>
      </c>
      <c r="AA29" s="46">
        <v>999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">
        <v>65</v>
      </c>
      <c r="AX29" s="51" t="s">
        <v>82</v>
      </c>
    </row>
    <row r="30" spans="1:50" ht="22.5" customHeight="1">
      <c r="A30" s="52" t="s">
        <v>70</v>
      </c>
      <c r="B30" s="41" t="s">
        <v>62</v>
      </c>
      <c r="C30" s="42">
        <v>4014295</v>
      </c>
      <c r="D30" s="43" t="s">
        <v>80</v>
      </c>
      <c r="E30" s="43" t="s">
        <v>87</v>
      </c>
      <c r="F30" s="45">
        <v>6499</v>
      </c>
      <c r="G30" s="45">
        <v>2599</v>
      </c>
      <c r="H30" s="46">
        <v>999</v>
      </c>
      <c r="I30" s="46">
        <v>999</v>
      </c>
      <c r="J30" s="46">
        <v>999</v>
      </c>
      <c r="K30" s="46">
        <v>999</v>
      </c>
      <c r="L30" s="46">
        <v>999</v>
      </c>
      <c r="M30" s="46">
        <v>999</v>
      </c>
      <c r="N30" s="46">
        <v>999</v>
      </c>
      <c r="O30" s="46">
        <v>999</v>
      </c>
      <c r="P30" s="46">
        <v>999</v>
      </c>
      <c r="Q30" s="46">
        <v>999</v>
      </c>
      <c r="R30" s="46">
        <v>999</v>
      </c>
      <c r="S30" s="46">
        <v>999</v>
      </c>
      <c r="T30" s="46">
        <v>999</v>
      </c>
      <c r="U30" s="46">
        <v>999</v>
      </c>
      <c r="V30" s="46">
        <v>999</v>
      </c>
      <c r="W30" s="46">
        <v>999</v>
      </c>
      <c r="X30" s="46">
        <v>999</v>
      </c>
      <c r="Y30" s="46">
        <v>999</v>
      </c>
      <c r="Z30" s="46">
        <v>999</v>
      </c>
      <c r="AA30" s="46">
        <v>999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">
        <v>65</v>
      </c>
      <c r="AX30" s="51" t="s">
        <v>82</v>
      </c>
    </row>
    <row r="31" spans="1:50" ht="22.5" customHeight="1">
      <c r="A31" s="52" t="s">
        <v>70</v>
      </c>
      <c r="B31" s="41" t="s">
        <v>62</v>
      </c>
      <c r="C31" s="42">
        <v>4014386</v>
      </c>
      <c r="D31" s="43" t="s">
        <v>80</v>
      </c>
      <c r="E31" s="43" t="s">
        <v>88</v>
      </c>
      <c r="F31" s="45">
        <v>6499</v>
      </c>
      <c r="G31" s="45">
        <v>2599</v>
      </c>
      <c r="H31" s="46">
        <v>999</v>
      </c>
      <c r="I31" s="46">
        <v>999</v>
      </c>
      <c r="J31" s="46">
        <v>999</v>
      </c>
      <c r="K31" s="46">
        <v>999</v>
      </c>
      <c r="L31" s="46">
        <v>999</v>
      </c>
      <c r="M31" s="46">
        <v>999</v>
      </c>
      <c r="N31" s="46">
        <v>999</v>
      </c>
      <c r="O31" s="46">
        <v>999</v>
      </c>
      <c r="P31" s="46">
        <v>999</v>
      </c>
      <c r="Q31" s="46">
        <v>999</v>
      </c>
      <c r="R31" s="46">
        <v>999</v>
      </c>
      <c r="S31" s="46">
        <v>999</v>
      </c>
      <c r="T31" s="46">
        <v>999</v>
      </c>
      <c r="U31" s="46">
        <v>999</v>
      </c>
      <c r="V31" s="46">
        <v>999</v>
      </c>
      <c r="W31" s="46">
        <v>999</v>
      </c>
      <c r="X31" s="46">
        <v>999</v>
      </c>
      <c r="Y31" s="46">
        <v>999</v>
      </c>
      <c r="Z31" s="46">
        <v>999</v>
      </c>
      <c r="AA31" s="46">
        <v>999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">
        <v>65</v>
      </c>
      <c r="AX31" s="51" t="s">
        <v>82</v>
      </c>
    </row>
    <row r="32" spans="1:50" ht="22.5" customHeight="1">
      <c r="A32" s="52" t="s">
        <v>70</v>
      </c>
      <c r="B32" s="41" t="s">
        <v>62</v>
      </c>
      <c r="C32" s="42">
        <v>4014380</v>
      </c>
      <c r="D32" s="43" t="s">
        <v>80</v>
      </c>
      <c r="E32" s="43" t="s">
        <v>89</v>
      </c>
      <c r="F32" s="45">
        <v>6499</v>
      </c>
      <c r="G32" s="45">
        <v>2599</v>
      </c>
      <c r="H32" s="46">
        <v>999</v>
      </c>
      <c r="I32" s="46">
        <v>999</v>
      </c>
      <c r="J32" s="46">
        <v>999</v>
      </c>
      <c r="K32" s="46">
        <v>999</v>
      </c>
      <c r="L32" s="46">
        <v>999</v>
      </c>
      <c r="M32" s="46">
        <v>999</v>
      </c>
      <c r="N32" s="46">
        <v>999</v>
      </c>
      <c r="O32" s="46">
        <v>999</v>
      </c>
      <c r="P32" s="46">
        <v>999</v>
      </c>
      <c r="Q32" s="46">
        <v>999</v>
      </c>
      <c r="R32" s="46">
        <v>999</v>
      </c>
      <c r="S32" s="46">
        <v>999</v>
      </c>
      <c r="T32" s="46">
        <v>999</v>
      </c>
      <c r="U32" s="46">
        <v>999</v>
      </c>
      <c r="V32" s="46">
        <v>999</v>
      </c>
      <c r="W32" s="46">
        <v>999</v>
      </c>
      <c r="X32" s="46">
        <v>999</v>
      </c>
      <c r="Y32" s="46">
        <v>999</v>
      </c>
      <c r="Z32" s="46">
        <v>999</v>
      </c>
      <c r="AA32" s="46">
        <v>999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">
        <v>65</v>
      </c>
      <c r="AX32" s="51" t="s">
        <v>82</v>
      </c>
    </row>
    <row r="33" spans="1:50" ht="22.5" customHeight="1">
      <c r="A33" s="52" t="s">
        <v>70</v>
      </c>
      <c r="B33" s="41" t="s">
        <v>62</v>
      </c>
      <c r="C33" s="42">
        <v>4014382</v>
      </c>
      <c r="D33" s="43" t="s">
        <v>80</v>
      </c>
      <c r="E33" s="43" t="s">
        <v>90</v>
      </c>
      <c r="F33" s="45">
        <v>6499</v>
      </c>
      <c r="G33" s="45">
        <v>2599</v>
      </c>
      <c r="H33" s="46">
        <v>999</v>
      </c>
      <c r="I33" s="46">
        <v>999</v>
      </c>
      <c r="J33" s="46">
        <v>999</v>
      </c>
      <c r="K33" s="46">
        <v>999</v>
      </c>
      <c r="L33" s="46">
        <v>999</v>
      </c>
      <c r="M33" s="46">
        <v>999</v>
      </c>
      <c r="N33" s="46">
        <v>999</v>
      </c>
      <c r="O33" s="46">
        <v>999</v>
      </c>
      <c r="P33" s="46">
        <v>999</v>
      </c>
      <c r="Q33" s="46">
        <v>999</v>
      </c>
      <c r="R33" s="46">
        <v>999</v>
      </c>
      <c r="S33" s="46">
        <v>999</v>
      </c>
      <c r="T33" s="46">
        <v>999</v>
      </c>
      <c r="U33" s="46">
        <v>999</v>
      </c>
      <c r="V33" s="46">
        <v>999</v>
      </c>
      <c r="W33" s="46">
        <v>999</v>
      </c>
      <c r="X33" s="46">
        <v>999</v>
      </c>
      <c r="Y33" s="46">
        <v>999</v>
      </c>
      <c r="Z33" s="46">
        <v>999</v>
      </c>
      <c r="AA33" s="46">
        <v>999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">
        <v>65</v>
      </c>
      <c r="AX33" s="51" t="s">
        <v>82</v>
      </c>
    </row>
    <row r="34" spans="1:50" ht="22.5" customHeight="1">
      <c r="A34" s="52" t="s">
        <v>70</v>
      </c>
      <c r="B34" s="41" t="s">
        <v>62</v>
      </c>
      <c r="C34" s="42">
        <v>4013881</v>
      </c>
      <c r="D34" s="43" t="s">
        <v>91</v>
      </c>
      <c r="E34" s="43" t="s">
        <v>92</v>
      </c>
      <c r="F34" s="45">
        <v>4499</v>
      </c>
      <c r="G34" s="45">
        <v>2299</v>
      </c>
      <c r="H34" s="46">
        <v>999</v>
      </c>
      <c r="I34" s="46">
        <v>999</v>
      </c>
      <c r="J34" s="46">
        <v>999</v>
      </c>
      <c r="K34" s="46">
        <v>999</v>
      </c>
      <c r="L34" s="46">
        <v>999</v>
      </c>
      <c r="M34" s="46">
        <v>999</v>
      </c>
      <c r="N34" s="46">
        <v>999</v>
      </c>
      <c r="O34" s="46">
        <v>999</v>
      </c>
      <c r="P34" s="46">
        <v>999</v>
      </c>
      <c r="Q34" s="46">
        <v>999</v>
      </c>
      <c r="R34" s="46">
        <v>999</v>
      </c>
      <c r="S34" s="46">
        <v>999</v>
      </c>
      <c r="T34" s="46">
        <v>999</v>
      </c>
      <c r="U34" s="46">
        <v>999</v>
      </c>
      <c r="V34" s="46">
        <v>999</v>
      </c>
      <c r="W34" s="46">
        <v>999</v>
      </c>
      <c r="X34" s="46">
        <v>999</v>
      </c>
      <c r="Y34" s="46">
        <v>999</v>
      </c>
      <c r="Z34" s="46">
        <v>999</v>
      </c>
      <c r="AA34" s="46">
        <v>999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">
        <v>65</v>
      </c>
      <c r="AX34" s="51" t="s">
        <v>82</v>
      </c>
    </row>
    <row r="35" spans="1:50" ht="22.5" customHeight="1">
      <c r="A35" s="52" t="s">
        <v>70</v>
      </c>
      <c r="B35" s="41" t="s">
        <v>62</v>
      </c>
      <c r="C35" s="42">
        <v>4013882</v>
      </c>
      <c r="D35" s="43" t="s">
        <v>91</v>
      </c>
      <c r="E35" s="43" t="s">
        <v>93</v>
      </c>
      <c r="F35" s="45">
        <v>4499</v>
      </c>
      <c r="G35" s="45">
        <v>2299</v>
      </c>
      <c r="H35" s="46">
        <v>999</v>
      </c>
      <c r="I35" s="46">
        <v>999</v>
      </c>
      <c r="J35" s="46">
        <v>999</v>
      </c>
      <c r="K35" s="46">
        <v>999</v>
      </c>
      <c r="L35" s="46">
        <v>999</v>
      </c>
      <c r="M35" s="46">
        <v>999</v>
      </c>
      <c r="N35" s="46">
        <v>999</v>
      </c>
      <c r="O35" s="46">
        <v>999</v>
      </c>
      <c r="P35" s="46">
        <v>999</v>
      </c>
      <c r="Q35" s="46">
        <v>999</v>
      </c>
      <c r="R35" s="46">
        <v>999</v>
      </c>
      <c r="S35" s="46">
        <v>999</v>
      </c>
      <c r="T35" s="46">
        <v>999</v>
      </c>
      <c r="U35" s="46">
        <v>999</v>
      </c>
      <c r="V35" s="46">
        <v>999</v>
      </c>
      <c r="W35" s="46">
        <v>999</v>
      </c>
      <c r="X35" s="46">
        <v>999</v>
      </c>
      <c r="Y35" s="46">
        <v>999</v>
      </c>
      <c r="Z35" s="46">
        <v>999</v>
      </c>
      <c r="AA35" s="46">
        <v>999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">
        <v>65</v>
      </c>
      <c r="AX35" s="51" t="s">
        <v>82</v>
      </c>
    </row>
    <row r="36" spans="1:50" ht="22.5" customHeight="1">
      <c r="A36" s="52" t="s">
        <v>70</v>
      </c>
      <c r="B36" s="41" t="s">
        <v>62</v>
      </c>
      <c r="C36" s="42">
        <v>4013883</v>
      </c>
      <c r="D36" s="43" t="s">
        <v>91</v>
      </c>
      <c r="E36" s="43" t="s">
        <v>94</v>
      </c>
      <c r="F36" s="45">
        <v>4499</v>
      </c>
      <c r="G36" s="45">
        <v>2299</v>
      </c>
      <c r="H36" s="46">
        <v>999</v>
      </c>
      <c r="I36" s="46">
        <v>999</v>
      </c>
      <c r="J36" s="46">
        <v>999</v>
      </c>
      <c r="K36" s="46">
        <v>999</v>
      </c>
      <c r="L36" s="46">
        <v>999</v>
      </c>
      <c r="M36" s="46">
        <v>999</v>
      </c>
      <c r="N36" s="46">
        <v>999</v>
      </c>
      <c r="O36" s="46">
        <v>999</v>
      </c>
      <c r="P36" s="46">
        <v>999</v>
      </c>
      <c r="Q36" s="46">
        <v>999</v>
      </c>
      <c r="R36" s="46">
        <v>999</v>
      </c>
      <c r="S36" s="46">
        <v>999</v>
      </c>
      <c r="T36" s="46">
        <v>999</v>
      </c>
      <c r="U36" s="46">
        <v>999</v>
      </c>
      <c r="V36" s="46">
        <v>999</v>
      </c>
      <c r="W36" s="46">
        <v>999</v>
      </c>
      <c r="X36" s="46">
        <v>999</v>
      </c>
      <c r="Y36" s="46">
        <v>999</v>
      </c>
      <c r="Z36" s="46">
        <v>999</v>
      </c>
      <c r="AA36" s="46">
        <v>999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">
        <v>65</v>
      </c>
      <c r="AX36" s="51" t="s">
        <v>82</v>
      </c>
    </row>
    <row r="37" spans="1:50" ht="22.5" customHeight="1">
      <c r="A37" s="52" t="s">
        <v>70</v>
      </c>
      <c r="B37" s="41" t="s">
        <v>62</v>
      </c>
      <c r="C37" s="42">
        <v>4013884</v>
      </c>
      <c r="D37" s="43" t="s">
        <v>91</v>
      </c>
      <c r="E37" s="43" t="s">
        <v>95</v>
      </c>
      <c r="F37" s="45">
        <v>4499</v>
      </c>
      <c r="G37" s="45">
        <v>2299</v>
      </c>
      <c r="H37" s="46">
        <v>999</v>
      </c>
      <c r="I37" s="46">
        <v>999</v>
      </c>
      <c r="J37" s="46">
        <v>999</v>
      </c>
      <c r="K37" s="46">
        <v>999</v>
      </c>
      <c r="L37" s="46">
        <v>999</v>
      </c>
      <c r="M37" s="46">
        <v>999</v>
      </c>
      <c r="N37" s="46">
        <v>999</v>
      </c>
      <c r="O37" s="46">
        <v>999</v>
      </c>
      <c r="P37" s="46">
        <v>999</v>
      </c>
      <c r="Q37" s="46">
        <v>999</v>
      </c>
      <c r="R37" s="46">
        <v>999</v>
      </c>
      <c r="S37" s="46">
        <v>999</v>
      </c>
      <c r="T37" s="46">
        <v>999</v>
      </c>
      <c r="U37" s="46">
        <v>999</v>
      </c>
      <c r="V37" s="46">
        <v>999</v>
      </c>
      <c r="W37" s="46">
        <v>999</v>
      </c>
      <c r="X37" s="46">
        <v>999</v>
      </c>
      <c r="Y37" s="46">
        <v>999</v>
      </c>
      <c r="Z37" s="46">
        <v>999</v>
      </c>
      <c r="AA37" s="46">
        <v>999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">
        <v>65</v>
      </c>
      <c r="AX37" s="51" t="s">
        <v>82</v>
      </c>
    </row>
    <row r="38" spans="1:50" ht="22.5" customHeight="1">
      <c r="A38" s="52" t="s">
        <v>70</v>
      </c>
      <c r="B38" s="41" t="s">
        <v>62</v>
      </c>
      <c r="C38" s="42">
        <v>4013885</v>
      </c>
      <c r="D38" s="43" t="s">
        <v>91</v>
      </c>
      <c r="E38" s="43" t="s">
        <v>96</v>
      </c>
      <c r="F38" s="45">
        <v>4499</v>
      </c>
      <c r="G38" s="45">
        <v>2299</v>
      </c>
      <c r="H38" s="46">
        <v>999</v>
      </c>
      <c r="I38" s="46">
        <v>999</v>
      </c>
      <c r="J38" s="46">
        <v>999</v>
      </c>
      <c r="K38" s="46">
        <v>999</v>
      </c>
      <c r="L38" s="46">
        <v>999</v>
      </c>
      <c r="M38" s="46">
        <v>999</v>
      </c>
      <c r="N38" s="46">
        <v>999</v>
      </c>
      <c r="O38" s="46">
        <v>999</v>
      </c>
      <c r="P38" s="46">
        <v>999</v>
      </c>
      <c r="Q38" s="46">
        <v>999</v>
      </c>
      <c r="R38" s="46">
        <v>999</v>
      </c>
      <c r="S38" s="46">
        <v>999</v>
      </c>
      <c r="T38" s="46">
        <v>999</v>
      </c>
      <c r="U38" s="46">
        <v>999</v>
      </c>
      <c r="V38" s="46">
        <v>999</v>
      </c>
      <c r="W38" s="46">
        <v>999</v>
      </c>
      <c r="X38" s="46">
        <v>999</v>
      </c>
      <c r="Y38" s="46">
        <v>999</v>
      </c>
      <c r="Z38" s="46">
        <v>999</v>
      </c>
      <c r="AA38" s="46">
        <v>999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">
        <v>65</v>
      </c>
      <c r="AX38" s="51" t="s">
        <v>82</v>
      </c>
    </row>
    <row r="39" spans="1:50" ht="22.5" customHeight="1">
      <c r="A39" s="52" t="s">
        <v>70</v>
      </c>
      <c r="B39" s="41" t="s">
        <v>62</v>
      </c>
      <c r="C39" s="42">
        <v>4014297</v>
      </c>
      <c r="D39" s="43" t="s">
        <v>91</v>
      </c>
      <c r="E39" s="43" t="s">
        <v>97</v>
      </c>
      <c r="F39" s="45">
        <v>4499</v>
      </c>
      <c r="G39" s="45">
        <v>2299</v>
      </c>
      <c r="H39" s="46">
        <v>999</v>
      </c>
      <c r="I39" s="46">
        <v>999</v>
      </c>
      <c r="J39" s="46">
        <v>999</v>
      </c>
      <c r="K39" s="46">
        <v>999</v>
      </c>
      <c r="L39" s="46">
        <v>999</v>
      </c>
      <c r="M39" s="46">
        <v>999</v>
      </c>
      <c r="N39" s="46">
        <v>999</v>
      </c>
      <c r="O39" s="46">
        <v>999</v>
      </c>
      <c r="P39" s="46">
        <v>999</v>
      </c>
      <c r="Q39" s="46">
        <v>999</v>
      </c>
      <c r="R39" s="46">
        <v>999</v>
      </c>
      <c r="S39" s="46">
        <v>999</v>
      </c>
      <c r="T39" s="46">
        <v>999</v>
      </c>
      <c r="U39" s="46">
        <v>999</v>
      </c>
      <c r="V39" s="46">
        <v>999</v>
      </c>
      <c r="W39" s="46">
        <v>999</v>
      </c>
      <c r="X39" s="46">
        <v>999</v>
      </c>
      <c r="Y39" s="46">
        <v>999</v>
      </c>
      <c r="Z39" s="46">
        <v>999</v>
      </c>
      <c r="AA39" s="46">
        <v>999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">
        <v>65</v>
      </c>
      <c r="AX39" s="51" t="s">
        <v>82</v>
      </c>
    </row>
    <row r="40" spans="1:50" ht="22.5" customHeight="1">
      <c r="A40" s="52" t="s">
        <v>70</v>
      </c>
      <c r="B40" s="41" t="s">
        <v>62</v>
      </c>
      <c r="C40" s="42">
        <v>4014391</v>
      </c>
      <c r="D40" s="43" t="s">
        <v>91</v>
      </c>
      <c r="E40" s="43" t="s">
        <v>98</v>
      </c>
      <c r="F40" s="45">
        <v>4499</v>
      </c>
      <c r="G40" s="45">
        <v>2299</v>
      </c>
      <c r="H40" s="46">
        <v>999</v>
      </c>
      <c r="I40" s="46">
        <v>999</v>
      </c>
      <c r="J40" s="46">
        <v>999</v>
      </c>
      <c r="K40" s="46">
        <v>999</v>
      </c>
      <c r="L40" s="46">
        <v>999</v>
      </c>
      <c r="M40" s="46">
        <v>999</v>
      </c>
      <c r="N40" s="46">
        <v>999</v>
      </c>
      <c r="O40" s="46">
        <v>999</v>
      </c>
      <c r="P40" s="46">
        <v>999</v>
      </c>
      <c r="Q40" s="46">
        <v>999</v>
      </c>
      <c r="R40" s="46">
        <v>999</v>
      </c>
      <c r="S40" s="46">
        <v>999</v>
      </c>
      <c r="T40" s="46">
        <v>999</v>
      </c>
      <c r="U40" s="46">
        <v>999</v>
      </c>
      <c r="V40" s="46">
        <v>999</v>
      </c>
      <c r="W40" s="46">
        <v>999</v>
      </c>
      <c r="X40" s="46">
        <v>999</v>
      </c>
      <c r="Y40" s="46">
        <v>999</v>
      </c>
      <c r="Z40" s="46">
        <v>999</v>
      </c>
      <c r="AA40" s="46">
        <v>999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">
        <v>65</v>
      </c>
      <c r="AX40" s="51" t="s">
        <v>82</v>
      </c>
    </row>
    <row r="41" spans="1:50" ht="22.5" customHeight="1">
      <c r="A41" s="52" t="s">
        <v>70</v>
      </c>
      <c r="B41" s="41" t="s">
        <v>62</v>
      </c>
      <c r="C41" s="42">
        <v>4014396</v>
      </c>
      <c r="D41" s="43" t="s">
        <v>91</v>
      </c>
      <c r="E41" s="43" t="s">
        <v>99</v>
      </c>
      <c r="F41" s="45">
        <v>4499</v>
      </c>
      <c r="G41" s="45">
        <v>2299</v>
      </c>
      <c r="H41" s="46">
        <v>999</v>
      </c>
      <c r="I41" s="46">
        <v>999</v>
      </c>
      <c r="J41" s="46">
        <v>999</v>
      </c>
      <c r="K41" s="46">
        <v>999</v>
      </c>
      <c r="L41" s="46">
        <v>999</v>
      </c>
      <c r="M41" s="46">
        <v>999</v>
      </c>
      <c r="N41" s="46">
        <v>999</v>
      </c>
      <c r="O41" s="46">
        <v>999</v>
      </c>
      <c r="P41" s="46">
        <v>999</v>
      </c>
      <c r="Q41" s="46">
        <v>999</v>
      </c>
      <c r="R41" s="46">
        <v>999</v>
      </c>
      <c r="S41" s="46">
        <v>999</v>
      </c>
      <c r="T41" s="46">
        <v>999</v>
      </c>
      <c r="U41" s="46">
        <v>999</v>
      </c>
      <c r="V41" s="46">
        <v>999</v>
      </c>
      <c r="W41" s="46">
        <v>999</v>
      </c>
      <c r="X41" s="46">
        <v>999</v>
      </c>
      <c r="Y41" s="46">
        <v>999</v>
      </c>
      <c r="Z41" s="46">
        <v>999</v>
      </c>
      <c r="AA41" s="46">
        <v>999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">
        <v>65</v>
      </c>
      <c r="AX41" s="51" t="s">
        <v>82</v>
      </c>
    </row>
    <row r="42" spans="1:50" ht="22.5" customHeight="1">
      <c r="A42" s="52" t="s">
        <v>70</v>
      </c>
      <c r="B42" s="41" t="s">
        <v>62</v>
      </c>
      <c r="C42" s="42">
        <v>4014393</v>
      </c>
      <c r="D42" s="43" t="s">
        <v>91</v>
      </c>
      <c r="E42" s="43" t="s">
        <v>100</v>
      </c>
      <c r="F42" s="45">
        <v>4499</v>
      </c>
      <c r="G42" s="45">
        <v>2299</v>
      </c>
      <c r="H42" s="46">
        <v>999</v>
      </c>
      <c r="I42" s="46">
        <v>999</v>
      </c>
      <c r="J42" s="46">
        <v>999</v>
      </c>
      <c r="K42" s="46">
        <v>999</v>
      </c>
      <c r="L42" s="46">
        <v>999</v>
      </c>
      <c r="M42" s="46">
        <v>999</v>
      </c>
      <c r="N42" s="46">
        <v>999</v>
      </c>
      <c r="O42" s="46">
        <v>999</v>
      </c>
      <c r="P42" s="46">
        <v>999</v>
      </c>
      <c r="Q42" s="46">
        <v>999</v>
      </c>
      <c r="R42" s="46">
        <v>999</v>
      </c>
      <c r="S42" s="46">
        <v>999</v>
      </c>
      <c r="T42" s="46">
        <v>999</v>
      </c>
      <c r="U42" s="46">
        <v>999</v>
      </c>
      <c r="V42" s="46">
        <v>999</v>
      </c>
      <c r="W42" s="46">
        <v>999</v>
      </c>
      <c r="X42" s="46">
        <v>999</v>
      </c>
      <c r="Y42" s="46">
        <v>999</v>
      </c>
      <c r="Z42" s="46">
        <v>999</v>
      </c>
      <c r="AA42" s="46">
        <v>999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">
        <v>65</v>
      </c>
      <c r="AX42" s="51" t="s">
        <v>82</v>
      </c>
    </row>
    <row r="43" spans="1:50" ht="22.5" customHeight="1">
      <c r="A43" s="52" t="s">
        <v>70</v>
      </c>
      <c r="B43" s="41" t="s">
        <v>62</v>
      </c>
      <c r="C43" s="42">
        <v>4014631</v>
      </c>
      <c r="D43" s="43" t="s">
        <v>101</v>
      </c>
      <c r="E43" s="43" t="s">
        <v>102</v>
      </c>
      <c r="F43" s="45">
        <v>6099</v>
      </c>
      <c r="G43" s="45">
        <v>3199</v>
      </c>
      <c r="H43" s="46">
        <v>4499</v>
      </c>
      <c r="I43" s="46">
        <v>4499</v>
      </c>
      <c r="J43" s="45">
        <v>3599</v>
      </c>
      <c r="K43" s="45">
        <v>3499</v>
      </c>
      <c r="L43" s="45">
        <v>3499</v>
      </c>
      <c r="M43" s="45">
        <v>3599</v>
      </c>
      <c r="N43" s="45">
        <v>3499</v>
      </c>
      <c r="O43" s="46">
        <v>3099</v>
      </c>
      <c r="P43" s="46">
        <v>2999</v>
      </c>
      <c r="Q43" s="46">
        <v>2499</v>
      </c>
      <c r="R43" s="46">
        <v>3099</v>
      </c>
      <c r="S43" s="46">
        <v>2999</v>
      </c>
      <c r="T43" s="46">
        <v>2499</v>
      </c>
      <c r="U43" s="46">
        <v>2499</v>
      </c>
      <c r="V43" s="46">
        <v>2499</v>
      </c>
      <c r="W43" s="46">
        <v>2499</v>
      </c>
      <c r="X43" s="46">
        <v>2299</v>
      </c>
      <c r="Y43" s="46">
        <v>1999</v>
      </c>
      <c r="Z43" s="46">
        <v>1999</v>
      </c>
      <c r="AA43" s="46">
        <v>1999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">
        <v>65</v>
      </c>
      <c r="AX43" s="51" t="s">
        <v>82</v>
      </c>
    </row>
    <row r="44" spans="1:50" ht="22.5" customHeight="1">
      <c r="A44" s="52" t="s">
        <v>70</v>
      </c>
      <c r="B44" s="41" t="s">
        <v>62</v>
      </c>
      <c r="C44" s="42">
        <v>4014637</v>
      </c>
      <c r="D44" s="43" t="s">
        <v>101</v>
      </c>
      <c r="E44" s="43" t="s">
        <v>103</v>
      </c>
      <c r="F44" s="45">
        <v>6099</v>
      </c>
      <c r="G44" s="45">
        <v>3199</v>
      </c>
      <c r="H44" s="46">
        <v>4499</v>
      </c>
      <c r="I44" s="46">
        <v>4499</v>
      </c>
      <c r="J44" s="45">
        <v>3599</v>
      </c>
      <c r="K44" s="45">
        <v>3499</v>
      </c>
      <c r="L44" s="45">
        <v>3499</v>
      </c>
      <c r="M44" s="45">
        <v>3599</v>
      </c>
      <c r="N44" s="45">
        <v>3499</v>
      </c>
      <c r="O44" s="46">
        <v>3099</v>
      </c>
      <c r="P44" s="46">
        <v>2999</v>
      </c>
      <c r="Q44" s="46">
        <v>2499</v>
      </c>
      <c r="R44" s="46">
        <v>3099</v>
      </c>
      <c r="S44" s="46">
        <v>2999</v>
      </c>
      <c r="T44" s="46">
        <v>2499</v>
      </c>
      <c r="U44" s="46">
        <v>2499</v>
      </c>
      <c r="V44" s="46">
        <v>2499</v>
      </c>
      <c r="W44" s="46">
        <v>2499</v>
      </c>
      <c r="X44" s="46">
        <v>2299</v>
      </c>
      <c r="Y44" s="46">
        <v>1999</v>
      </c>
      <c r="Z44" s="46">
        <v>1999</v>
      </c>
      <c r="AA44" s="46">
        <v>1999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">
        <v>65</v>
      </c>
      <c r="AX44" s="51" t="s">
        <v>82</v>
      </c>
    </row>
    <row r="45" spans="1:50" ht="22.5" customHeight="1">
      <c r="A45" s="52" t="s">
        <v>70</v>
      </c>
      <c r="B45" s="41" t="s">
        <v>62</v>
      </c>
      <c r="C45" s="42">
        <v>4014643</v>
      </c>
      <c r="D45" s="43" t="s">
        <v>101</v>
      </c>
      <c r="E45" s="43" t="s">
        <v>104</v>
      </c>
      <c r="F45" s="45">
        <v>6099</v>
      </c>
      <c r="G45" s="45">
        <v>3199</v>
      </c>
      <c r="H45" s="46">
        <v>4499</v>
      </c>
      <c r="I45" s="46">
        <v>4499</v>
      </c>
      <c r="J45" s="45">
        <v>3599</v>
      </c>
      <c r="K45" s="45">
        <v>3499</v>
      </c>
      <c r="L45" s="45">
        <v>3499</v>
      </c>
      <c r="M45" s="45">
        <v>3599</v>
      </c>
      <c r="N45" s="45">
        <v>3499</v>
      </c>
      <c r="O45" s="46">
        <v>3099</v>
      </c>
      <c r="P45" s="46">
        <v>2999</v>
      </c>
      <c r="Q45" s="46">
        <v>2499</v>
      </c>
      <c r="R45" s="46">
        <v>3099</v>
      </c>
      <c r="S45" s="46">
        <v>2999</v>
      </c>
      <c r="T45" s="46">
        <v>2499</v>
      </c>
      <c r="U45" s="46">
        <v>2499</v>
      </c>
      <c r="V45" s="46">
        <v>2499</v>
      </c>
      <c r="W45" s="46">
        <v>2499</v>
      </c>
      <c r="X45" s="46">
        <v>2299</v>
      </c>
      <c r="Y45" s="46">
        <v>1999</v>
      </c>
      <c r="Z45" s="46">
        <v>1999</v>
      </c>
      <c r="AA45" s="46">
        <v>1999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">
        <v>65</v>
      </c>
      <c r="AX45" s="51" t="s">
        <v>82</v>
      </c>
    </row>
    <row r="46" spans="1:50" ht="22.5" customHeight="1">
      <c r="A46" s="52" t="s">
        <v>70</v>
      </c>
      <c r="B46" s="41" t="s">
        <v>62</v>
      </c>
      <c r="C46" s="42">
        <v>4014649</v>
      </c>
      <c r="D46" s="43" t="s">
        <v>101</v>
      </c>
      <c r="E46" s="43" t="s">
        <v>105</v>
      </c>
      <c r="F46" s="45">
        <v>6099</v>
      </c>
      <c r="G46" s="45">
        <v>3199</v>
      </c>
      <c r="H46" s="46">
        <v>4499</v>
      </c>
      <c r="I46" s="46">
        <v>4499</v>
      </c>
      <c r="J46" s="45">
        <v>3599</v>
      </c>
      <c r="K46" s="45">
        <v>3499</v>
      </c>
      <c r="L46" s="45">
        <v>3499</v>
      </c>
      <c r="M46" s="45">
        <v>3599</v>
      </c>
      <c r="N46" s="45">
        <v>3499</v>
      </c>
      <c r="O46" s="46">
        <v>3099</v>
      </c>
      <c r="P46" s="46">
        <v>2999</v>
      </c>
      <c r="Q46" s="46">
        <v>2499</v>
      </c>
      <c r="R46" s="46">
        <v>3099</v>
      </c>
      <c r="S46" s="46">
        <v>2999</v>
      </c>
      <c r="T46" s="46">
        <v>2499</v>
      </c>
      <c r="U46" s="46">
        <v>2499</v>
      </c>
      <c r="V46" s="46">
        <v>2499</v>
      </c>
      <c r="W46" s="46">
        <v>2499</v>
      </c>
      <c r="X46" s="46">
        <v>2299</v>
      </c>
      <c r="Y46" s="46">
        <v>1999</v>
      </c>
      <c r="Z46" s="46">
        <v>1999</v>
      </c>
      <c r="AA46" s="46">
        <v>1999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">
        <v>65</v>
      </c>
      <c r="AX46" s="51" t="s">
        <v>82</v>
      </c>
    </row>
    <row r="47" spans="1:50" ht="22.5" customHeight="1">
      <c r="A47" s="52" t="s">
        <v>70</v>
      </c>
      <c r="B47" s="41" t="s">
        <v>62</v>
      </c>
      <c r="C47" s="42">
        <v>4014654</v>
      </c>
      <c r="D47" s="43" t="s">
        <v>101</v>
      </c>
      <c r="E47" s="43" t="s">
        <v>106</v>
      </c>
      <c r="F47" s="45">
        <v>6099</v>
      </c>
      <c r="G47" s="45">
        <v>3199</v>
      </c>
      <c r="H47" s="46">
        <v>4499</v>
      </c>
      <c r="I47" s="46">
        <v>4499</v>
      </c>
      <c r="J47" s="45">
        <v>3599</v>
      </c>
      <c r="K47" s="45">
        <v>3499</v>
      </c>
      <c r="L47" s="45">
        <v>3499</v>
      </c>
      <c r="M47" s="45">
        <v>3599</v>
      </c>
      <c r="N47" s="45">
        <v>3499</v>
      </c>
      <c r="O47" s="46">
        <v>3099</v>
      </c>
      <c r="P47" s="46">
        <v>2999</v>
      </c>
      <c r="Q47" s="46">
        <v>2499</v>
      </c>
      <c r="R47" s="46">
        <v>3099</v>
      </c>
      <c r="S47" s="46">
        <v>2999</v>
      </c>
      <c r="T47" s="46">
        <v>2499</v>
      </c>
      <c r="U47" s="46">
        <v>2499</v>
      </c>
      <c r="V47" s="46">
        <v>2499</v>
      </c>
      <c r="W47" s="46">
        <v>2499</v>
      </c>
      <c r="X47" s="46">
        <v>2299</v>
      </c>
      <c r="Y47" s="46">
        <v>1999</v>
      </c>
      <c r="Z47" s="46">
        <v>1999</v>
      </c>
      <c r="AA47" s="46">
        <v>1999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">
        <v>65</v>
      </c>
      <c r="AX47" s="51" t="s">
        <v>82</v>
      </c>
    </row>
    <row r="48" spans="1:50" ht="22.5" customHeight="1">
      <c r="A48" s="52" t="s">
        <v>70</v>
      </c>
      <c r="B48" s="41" t="s">
        <v>62</v>
      </c>
      <c r="C48" s="42">
        <v>4014862</v>
      </c>
      <c r="D48" s="43" t="s">
        <v>101</v>
      </c>
      <c r="E48" s="43" t="s">
        <v>107</v>
      </c>
      <c r="F48" s="45">
        <v>6099</v>
      </c>
      <c r="G48" s="45">
        <v>3199</v>
      </c>
      <c r="H48" s="46">
        <v>4499</v>
      </c>
      <c r="I48" s="46">
        <v>4499</v>
      </c>
      <c r="J48" s="45">
        <v>3599</v>
      </c>
      <c r="K48" s="45">
        <v>3499</v>
      </c>
      <c r="L48" s="45">
        <v>3499</v>
      </c>
      <c r="M48" s="45">
        <v>3599</v>
      </c>
      <c r="N48" s="45">
        <v>3499</v>
      </c>
      <c r="O48" s="46">
        <v>3099</v>
      </c>
      <c r="P48" s="46">
        <v>2999</v>
      </c>
      <c r="Q48" s="46">
        <v>2499</v>
      </c>
      <c r="R48" s="46">
        <v>3099</v>
      </c>
      <c r="S48" s="46">
        <v>2999</v>
      </c>
      <c r="T48" s="46">
        <v>2499</v>
      </c>
      <c r="U48" s="46">
        <v>2499</v>
      </c>
      <c r="V48" s="46">
        <v>2499</v>
      </c>
      <c r="W48" s="46">
        <v>2499</v>
      </c>
      <c r="X48" s="46">
        <v>2299</v>
      </c>
      <c r="Y48" s="46">
        <v>1999</v>
      </c>
      <c r="Z48" s="46">
        <v>1999</v>
      </c>
      <c r="AA48" s="46">
        <v>1999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">
        <v>65</v>
      </c>
      <c r="AX48" s="51" t="s">
        <v>82</v>
      </c>
    </row>
    <row r="49" spans="1:50" ht="22.5" customHeight="1">
      <c r="A49" s="52" t="s">
        <v>70</v>
      </c>
      <c r="B49" s="41" t="s">
        <v>62</v>
      </c>
      <c r="C49" s="42">
        <v>4014831</v>
      </c>
      <c r="D49" s="43" t="s">
        <v>101</v>
      </c>
      <c r="E49" s="43" t="s">
        <v>108</v>
      </c>
      <c r="F49" s="45">
        <v>6099</v>
      </c>
      <c r="G49" s="45">
        <v>3199</v>
      </c>
      <c r="H49" s="46">
        <v>4499</v>
      </c>
      <c r="I49" s="46">
        <v>4499</v>
      </c>
      <c r="J49" s="45">
        <v>3599</v>
      </c>
      <c r="K49" s="45">
        <v>3499</v>
      </c>
      <c r="L49" s="45">
        <v>3499</v>
      </c>
      <c r="M49" s="45">
        <v>3599</v>
      </c>
      <c r="N49" s="45">
        <v>3499</v>
      </c>
      <c r="O49" s="46">
        <v>3099</v>
      </c>
      <c r="P49" s="46">
        <v>2999</v>
      </c>
      <c r="Q49" s="46">
        <v>2499</v>
      </c>
      <c r="R49" s="46">
        <v>3099</v>
      </c>
      <c r="S49" s="46">
        <v>2999</v>
      </c>
      <c r="T49" s="46">
        <v>2499</v>
      </c>
      <c r="U49" s="46">
        <v>2499</v>
      </c>
      <c r="V49" s="46">
        <v>2499</v>
      </c>
      <c r="W49" s="46">
        <v>2499</v>
      </c>
      <c r="X49" s="46">
        <v>2299</v>
      </c>
      <c r="Y49" s="46">
        <v>1999</v>
      </c>
      <c r="Z49" s="46">
        <v>1999</v>
      </c>
      <c r="AA49" s="46">
        <v>1999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">
        <v>65</v>
      </c>
      <c r="AX49" s="51" t="s">
        <v>82</v>
      </c>
    </row>
    <row r="50" spans="1:50" ht="22.5" customHeight="1">
      <c r="A50" s="52" t="s">
        <v>70</v>
      </c>
      <c r="B50" s="41" t="s">
        <v>62</v>
      </c>
      <c r="C50" s="42">
        <v>4014727</v>
      </c>
      <c r="D50" s="43" t="s">
        <v>101</v>
      </c>
      <c r="E50" s="43" t="s">
        <v>109</v>
      </c>
      <c r="F50" s="45">
        <v>6099</v>
      </c>
      <c r="G50" s="45">
        <v>3199</v>
      </c>
      <c r="H50" s="46">
        <v>4499</v>
      </c>
      <c r="I50" s="46">
        <v>4499</v>
      </c>
      <c r="J50" s="45">
        <v>3599</v>
      </c>
      <c r="K50" s="45">
        <v>3499</v>
      </c>
      <c r="L50" s="45">
        <v>3499</v>
      </c>
      <c r="M50" s="45">
        <v>3599</v>
      </c>
      <c r="N50" s="45">
        <v>3499</v>
      </c>
      <c r="O50" s="46">
        <v>3099</v>
      </c>
      <c r="P50" s="46">
        <v>2999</v>
      </c>
      <c r="Q50" s="46">
        <v>2499</v>
      </c>
      <c r="R50" s="46">
        <v>3099</v>
      </c>
      <c r="S50" s="46">
        <v>2999</v>
      </c>
      <c r="T50" s="46">
        <v>2499</v>
      </c>
      <c r="U50" s="46">
        <v>2499</v>
      </c>
      <c r="V50" s="46">
        <v>2499</v>
      </c>
      <c r="W50" s="46">
        <v>2499</v>
      </c>
      <c r="X50" s="46">
        <v>2299</v>
      </c>
      <c r="Y50" s="46">
        <v>1999</v>
      </c>
      <c r="Z50" s="46">
        <v>1999</v>
      </c>
      <c r="AA50" s="46">
        <v>1999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">
        <v>65</v>
      </c>
      <c r="AX50" s="51" t="s">
        <v>82</v>
      </c>
    </row>
    <row r="51" spans="1:50" ht="22.5" customHeight="1">
      <c r="A51" s="52" t="s">
        <v>70</v>
      </c>
      <c r="B51" s="41" t="s">
        <v>62</v>
      </c>
      <c r="C51" s="42">
        <v>4014729</v>
      </c>
      <c r="D51" s="43" t="s">
        <v>101</v>
      </c>
      <c r="E51" s="43" t="s">
        <v>110</v>
      </c>
      <c r="F51" s="45">
        <v>6099</v>
      </c>
      <c r="G51" s="45">
        <v>3199</v>
      </c>
      <c r="H51" s="46">
        <v>4499</v>
      </c>
      <c r="I51" s="46">
        <v>4499</v>
      </c>
      <c r="J51" s="45">
        <v>3599</v>
      </c>
      <c r="K51" s="45">
        <v>3499</v>
      </c>
      <c r="L51" s="45">
        <v>3499</v>
      </c>
      <c r="M51" s="45">
        <v>3599</v>
      </c>
      <c r="N51" s="45">
        <v>3499</v>
      </c>
      <c r="O51" s="46">
        <v>3099</v>
      </c>
      <c r="P51" s="46">
        <v>2999</v>
      </c>
      <c r="Q51" s="46">
        <v>2499</v>
      </c>
      <c r="R51" s="46">
        <v>3099</v>
      </c>
      <c r="S51" s="46">
        <v>2999</v>
      </c>
      <c r="T51" s="46">
        <v>2499</v>
      </c>
      <c r="U51" s="46">
        <v>2499</v>
      </c>
      <c r="V51" s="46">
        <v>2499</v>
      </c>
      <c r="W51" s="46">
        <v>2499</v>
      </c>
      <c r="X51" s="46">
        <v>2299</v>
      </c>
      <c r="Y51" s="46">
        <v>1999</v>
      </c>
      <c r="Z51" s="46">
        <v>1999</v>
      </c>
      <c r="AA51" s="46">
        <v>1999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">
        <v>65</v>
      </c>
      <c r="AX51" s="51" t="s">
        <v>82</v>
      </c>
    </row>
    <row r="52" spans="1:50" ht="22.5" customHeight="1">
      <c r="A52" s="52" t="s">
        <v>70</v>
      </c>
      <c r="B52" s="41" t="s">
        <v>62</v>
      </c>
      <c r="C52" s="42">
        <v>4014723</v>
      </c>
      <c r="D52" s="43" t="s">
        <v>101</v>
      </c>
      <c r="E52" s="43" t="s">
        <v>111</v>
      </c>
      <c r="F52" s="45">
        <v>6099</v>
      </c>
      <c r="G52" s="45">
        <v>3199</v>
      </c>
      <c r="H52" s="46">
        <v>4499</v>
      </c>
      <c r="I52" s="46">
        <v>4499</v>
      </c>
      <c r="J52" s="45">
        <v>3599</v>
      </c>
      <c r="K52" s="45">
        <v>3499</v>
      </c>
      <c r="L52" s="45">
        <v>3499</v>
      </c>
      <c r="M52" s="45">
        <v>3599</v>
      </c>
      <c r="N52" s="45">
        <v>3499</v>
      </c>
      <c r="O52" s="46">
        <v>3099</v>
      </c>
      <c r="P52" s="46">
        <v>2999</v>
      </c>
      <c r="Q52" s="46">
        <v>2499</v>
      </c>
      <c r="R52" s="46">
        <v>3099</v>
      </c>
      <c r="S52" s="46">
        <v>2999</v>
      </c>
      <c r="T52" s="46">
        <v>2499</v>
      </c>
      <c r="U52" s="46">
        <v>2499</v>
      </c>
      <c r="V52" s="46">
        <v>2499</v>
      </c>
      <c r="W52" s="46">
        <v>2499</v>
      </c>
      <c r="X52" s="46">
        <v>2299</v>
      </c>
      <c r="Y52" s="46">
        <v>1999</v>
      </c>
      <c r="Z52" s="46">
        <v>1999</v>
      </c>
      <c r="AA52" s="46">
        <v>1999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">
        <v>65</v>
      </c>
      <c r="AX52" s="51" t="s">
        <v>82</v>
      </c>
    </row>
    <row r="53" spans="1:50" ht="22.5" customHeight="1">
      <c r="A53" s="52" t="s">
        <v>70</v>
      </c>
      <c r="B53" s="41" t="s">
        <v>62</v>
      </c>
      <c r="C53" s="42">
        <v>4014725</v>
      </c>
      <c r="D53" s="43" t="s">
        <v>101</v>
      </c>
      <c r="E53" s="43" t="s">
        <v>112</v>
      </c>
      <c r="F53" s="45">
        <v>6099</v>
      </c>
      <c r="G53" s="45">
        <v>3199</v>
      </c>
      <c r="H53" s="46">
        <v>4499</v>
      </c>
      <c r="I53" s="46">
        <v>4499</v>
      </c>
      <c r="J53" s="45">
        <v>3599</v>
      </c>
      <c r="K53" s="45">
        <v>3499</v>
      </c>
      <c r="L53" s="45">
        <v>3499</v>
      </c>
      <c r="M53" s="45">
        <v>3599</v>
      </c>
      <c r="N53" s="45">
        <v>3499</v>
      </c>
      <c r="O53" s="46">
        <v>3099</v>
      </c>
      <c r="P53" s="46">
        <v>2999</v>
      </c>
      <c r="Q53" s="46">
        <v>2499</v>
      </c>
      <c r="R53" s="46">
        <v>3099</v>
      </c>
      <c r="S53" s="46">
        <v>2999</v>
      </c>
      <c r="T53" s="46">
        <v>2499</v>
      </c>
      <c r="U53" s="46">
        <v>2499</v>
      </c>
      <c r="V53" s="46">
        <v>2499</v>
      </c>
      <c r="W53" s="46">
        <v>2499</v>
      </c>
      <c r="X53" s="46">
        <v>2299</v>
      </c>
      <c r="Y53" s="46">
        <v>1999</v>
      </c>
      <c r="Z53" s="46">
        <v>1999</v>
      </c>
      <c r="AA53" s="46">
        <v>1999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">
        <v>65</v>
      </c>
      <c r="AX53" s="51" t="s">
        <v>82</v>
      </c>
    </row>
    <row r="54" spans="1:50" ht="22.5" customHeight="1">
      <c r="A54" s="52" t="s">
        <v>70</v>
      </c>
      <c r="B54" s="41" t="s">
        <v>62</v>
      </c>
      <c r="C54" s="42">
        <v>4014980</v>
      </c>
      <c r="D54" s="43" t="s">
        <v>101</v>
      </c>
      <c r="E54" s="43" t="s">
        <v>113</v>
      </c>
      <c r="F54" s="45">
        <v>6099</v>
      </c>
      <c r="G54" s="45">
        <v>3199</v>
      </c>
      <c r="H54" s="46">
        <v>4499</v>
      </c>
      <c r="I54" s="46">
        <v>4499</v>
      </c>
      <c r="J54" s="45">
        <v>3599</v>
      </c>
      <c r="K54" s="45">
        <v>3499</v>
      </c>
      <c r="L54" s="45">
        <v>3499</v>
      </c>
      <c r="M54" s="45">
        <v>3599</v>
      </c>
      <c r="N54" s="45">
        <v>3499</v>
      </c>
      <c r="O54" s="46">
        <v>3099</v>
      </c>
      <c r="P54" s="46">
        <v>2999</v>
      </c>
      <c r="Q54" s="46">
        <v>2499</v>
      </c>
      <c r="R54" s="46">
        <v>3099</v>
      </c>
      <c r="S54" s="46">
        <v>2999</v>
      </c>
      <c r="T54" s="46">
        <v>2499</v>
      </c>
      <c r="U54" s="46">
        <v>2499</v>
      </c>
      <c r="V54" s="46">
        <v>2499</v>
      </c>
      <c r="W54" s="46">
        <v>2499</v>
      </c>
      <c r="X54" s="46">
        <v>2299</v>
      </c>
      <c r="Y54" s="46">
        <v>1999</v>
      </c>
      <c r="Z54" s="46">
        <v>1999</v>
      </c>
      <c r="AA54" s="46">
        <v>1999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">
        <v>65</v>
      </c>
      <c r="AX54" s="51" t="s">
        <v>82</v>
      </c>
    </row>
    <row r="55" spans="1:50" ht="22.5" customHeight="1">
      <c r="A55" s="52" t="s">
        <v>70</v>
      </c>
      <c r="B55" s="41" t="s">
        <v>62</v>
      </c>
      <c r="C55" s="42">
        <v>4014594</v>
      </c>
      <c r="D55" s="43" t="s">
        <v>114</v>
      </c>
      <c r="E55" s="43" t="s">
        <v>115</v>
      </c>
      <c r="F55" s="45">
        <v>6299</v>
      </c>
      <c r="G55" s="45">
        <v>2799</v>
      </c>
      <c r="H55" s="46">
        <v>3899</v>
      </c>
      <c r="I55" s="46">
        <v>3899</v>
      </c>
      <c r="J55" s="45">
        <v>3799</v>
      </c>
      <c r="K55" s="45">
        <v>3799</v>
      </c>
      <c r="L55" s="45">
        <v>3799</v>
      </c>
      <c r="M55" s="45">
        <v>3799</v>
      </c>
      <c r="N55" s="45">
        <v>3799</v>
      </c>
      <c r="O55" s="46">
        <v>3599</v>
      </c>
      <c r="P55" s="46">
        <v>3499</v>
      </c>
      <c r="Q55" s="46">
        <v>2999</v>
      </c>
      <c r="R55" s="46">
        <v>3599</v>
      </c>
      <c r="S55" s="46">
        <v>3499</v>
      </c>
      <c r="T55" s="46">
        <v>2999</v>
      </c>
      <c r="U55" s="46">
        <v>2999</v>
      </c>
      <c r="V55" s="46">
        <v>2999</v>
      </c>
      <c r="W55" s="46">
        <v>2999</v>
      </c>
      <c r="X55" s="46">
        <v>2799</v>
      </c>
      <c r="Y55" s="46">
        <v>2499</v>
      </c>
      <c r="Z55" s="46">
        <v>2499</v>
      </c>
      <c r="AA55" s="46">
        <v>2499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">
        <v>65</v>
      </c>
      <c r="AX55" s="51" t="s">
        <v>82</v>
      </c>
    </row>
    <row r="56" spans="1:50" ht="22.5" customHeight="1">
      <c r="A56" s="52" t="s">
        <v>70</v>
      </c>
      <c r="B56" s="41" t="s">
        <v>62</v>
      </c>
      <c r="C56" s="42">
        <v>4014602</v>
      </c>
      <c r="D56" s="43" t="s">
        <v>114</v>
      </c>
      <c r="E56" s="43" t="s">
        <v>116</v>
      </c>
      <c r="F56" s="45">
        <v>6299</v>
      </c>
      <c r="G56" s="45">
        <v>2799</v>
      </c>
      <c r="H56" s="46">
        <v>3899</v>
      </c>
      <c r="I56" s="46">
        <v>3899</v>
      </c>
      <c r="J56" s="45">
        <v>3799</v>
      </c>
      <c r="K56" s="45">
        <v>3799</v>
      </c>
      <c r="L56" s="45">
        <v>3799</v>
      </c>
      <c r="M56" s="45">
        <v>3799</v>
      </c>
      <c r="N56" s="45">
        <v>3799</v>
      </c>
      <c r="O56" s="46">
        <v>3599</v>
      </c>
      <c r="P56" s="46">
        <v>3499</v>
      </c>
      <c r="Q56" s="46">
        <v>2999</v>
      </c>
      <c r="R56" s="46">
        <v>3599</v>
      </c>
      <c r="S56" s="46">
        <v>3499</v>
      </c>
      <c r="T56" s="46">
        <v>2999</v>
      </c>
      <c r="U56" s="46">
        <v>2999</v>
      </c>
      <c r="V56" s="46">
        <v>2999</v>
      </c>
      <c r="W56" s="46">
        <v>2999</v>
      </c>
      <c r="X56" s="46">
        <v>2799</v>
      </c>
      <c r="Y56" s="46">
        <v>2499</v>
      </c>
      <c r="Z56" s="46">
        <v>2499</v>
      </c>
      <c r="AA56" s="46">
        <v>2499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">
        <v>65</v>
      </c>
      <c r="AX56" s="51" t="s">
        <v>82</v>
      </c>
    </row>
    <row r="57" spans="1:50" ht="22.5" customHeight="1">
      <c r="A57" s="52" t="s">
        <v>70</v>
      </c>
      <c r="B57" s="41" t="s">
        <v>62</v>
      </c>
      <c r="C57" s="42">
        <v>4014608</v>
      </c>
      <c r="D57" s="43" t="s">
        <v>114</v>
      </c>
      <c r="E57" s="43" t="s">
        <v>117</v>
      </c>
      <c r="F57" s="45">
        <v>6299</v>
      </c>
      <c r="G57" s="45">
        <v>2799</v>
      </c>
      <c r="H57" s="46">
        <v>3899</v>
      </c>
      <c r="I57" s="46">
        <v>3899</v>
      </c>
      <c r="J57" s="45">
        <v>3799</v>
      </c>
      <c r="K57" s="45">
        <v>3799</v>
      </c>
      <c r="L57" s="45">
        <v>3799</v>
      </c>
      <c r="M57" s="45">
        <v>3799</v>
      </c>
      <c r="N57" s="45">
        <v>3799</v>
      </c>
      <c r="O57" s="46">
        <v>3599</v>
      </c>
      <c r="P57" s="46">
        <v>3499</v>
      </c>
      <c r="Q57" s="46">
        <v>2999</v>
      </c>
      <c r="R57" s="46">
        <v>3599</v>
      </c>
      <c r="S57" s="46">
        <v>3499</v>
      </c>
      <c r="T57" s="46">
        <v>2999</v>
      </c>
      <c r="U57" s="46">
        <v>2999</v>
      </c>
      <c r="V57" s="46">
        <v>2999</v>
      </c>
      <c r="W57" s="46">
        <v>2999</v>
      </c>
      <c r="X57" s="46">
        <v>2799</v>
      </c>
      <c r="Y57" s="46">
        <v>2499</v>
      </c>
      <c r="Z57" s="46">
        <v>2499</v>
      </c>
      <c r="AA57" s="46">
        <v>2499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">
        <v>65</v>
      </c>
      <c r="AX57" s="51" t="s">
        <v>82</v>
      </c>
    </row>
    <row r="58" spans="1:50" ht="22.5" customHeight="1">
      <c r="A58" s="52" t="s">
        <v>70</v>
      </c>
      <c r="B58" s="41" t="s">
        <v>62</v>
      </c>
      <c r="C58" s="42">
        <v>4014617</v>
      </c>
      <c r="D58" s="43" t="s">
        <v>114</v>
      </c>
      <c r="E58" s="43" t="s">
        <v>118</v>
      </c>
      <c r="F58" s="45">
        <v>6299</v>
      </c>
      <c r="G58" s="45">
        <v>2799</v>
      </c>
      <c r="H58" s="46">
        <v>3899</v>
      </c>
      <c r="I58" s="46">
        <v>3899</v>
      </c>
      <c r="J58" s="45">
        <v>3799</v>
      </c>
      <c r="K58" s="45">
        <v>3799</v>
      </c>
      <c r="L58" s="45">
        <v>3799</v>
      </c>
      <c r="M58" s="45">
        <v>3799</v>
      </c>
      <c r="N58" s="45">
        <v>3799</v>
      </c>
      <c r="O58" s="46">
        <v>3599</v>
      </c>
      <c r="P58" s="46">
        <v>3499</v>
      </c>
      <c r="Q58" s="46">
        <v>2999</v>
      </c>
      <c r="R58" s="46">
        <v>3599</v>
      </c>
      <c r="S58" s="46">
        <v>3499</v>
      </c>
      <c r="T58" s="46">
        <v>2999</v>
      </c>
      <c r="U58" s="46">
        <v>2999</v>
      </c>
      <c r="V58" s="46">
        <v>2999</v>
      </c>
      <c r="W58" s="46">
        <v>2999</v>
      </c>
      <c r="X58" s="46">
        <v>2799</v>
      </c>
      <c r="Y58" s="46">
        <v>2499</v>
      </c>
      <c r="Z58" s="46">
        <v>2499</v>
      </c>
      <c r="AA58" s="46">
        <v>2499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">
        <v>65</v>
      </c>
      <c r="AX58" s="51" t="s">
        <v>82</v>
      </c>
    </row>
    <row r="59" spans="1:50" ht="22.5" customHeight="1">
      <c r="A59" s="52" t="s">
        <v>70</v>
      </c>
      <c r="B59" s="41" t="s">
        <v>62</v>
      </c>
      <c r="C59" s="42">
        <v>4014622</v>
      </c>
      <c r="D59" s="43" t="s">
        <v>114</v>
      </c>
      <c r="E59" s="43" t="s">
        <v>119</v>
      </c>
      <c r="F59" s="45">
        <v>6299</v>
      </c>
      <c r="G59" s="45">
        <v>2799</v>
      </c>
      <c r="H59" s="46">
        <v>3899</v>
      </c>
      <c r="I59" s="46">
        <v>3899</v>
      </c>
      <c r="J59" s="45">
        <v>3799</v>
      </c>
      <c r="K59" s="45">
        <v>3799</v>
      </c>
      <c r="L59" s="45">
        <v>3799</v>
      </c>
      <c r="M59" s="45">
        <v>3799</v>
      </c>
      <c r="N59" s="45">
        <v>3799</v>
      </c>
      <c r="O59" s="46">
        <v>3599</v>
      </c>
      <c r="P59" s="46">
        <v>3499</v>
      </c>
      <c r="Q59" s="46">
        <v>2999</v>
      </c>
      <c r="R59" s="46">
        <v>3599</v>
      </c>
      <c r="S59" s="46">
        <v>3499</v>
      </c>
      <c r="T59" s="46">
        <v>2999</v>
      </c>
      <c r="U59" s="46">
        <v>2999</v>
      </c>
      <c r="V59" s="46">
        <v>2999</v>
      </c>
      <c r="W59" s="46">
        <v>2999</v>
      </c>
      <c r="X59" s="46">
        <v>2799</v>
      </c>
      <c r="Y59" s="46">
        <v>2499</v>
      </c>
      <c r="Z59" s="46">
        <v>2499</v>
      </c>
      <c r="AA59" s="46">
        <v>2499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">
        <v>65</v>
      </c>
      <c r="AX59" s="51" t="s">
        <v>82</v>
      </c>
    </row>
    <row r="60" spans="1:50" ht="22.5" customHeight="1">
      <c r="A60" s="52" t="s">
        <v>70</v>
      </c>
      <c r="B60" s="41" t="s">
        <v>62</v>
      </c>
      <c r="C60" s="42">
        <v>4014837</v>
      </c>
      <c r="D60" s="43" t="s">
        <v>114</v>
      </c>
      <c r="E60" s="43" t="s">
        <v>120</v>
      </c>
      <c r="F60" s="45">
        <v>6299</v>
      </c>
      <c r="G60" s="45">
        <v>2799</v>
      </c>
      <c r="H60" s="46">
        <v>3899</v>
      </c>
      <c r="I60" s="46">
        <v>3899</v>
      </c>
      <c r="J60" s="45">
        <v>3799</v>
      </c>
      <c r="K60" s="45">
        <v>3799</v>
      </c>
      <c r="L60" s="45">
        <v>3799</v>
      </c>
      <c r="M60" s="45">
        <v>3799</v>
      </c>
      <c r="N60" s="45">
        <v>3799</v>
      </c>
      <c r="O60" s="46">
        <v>3599</v>
      </c>
      <c r="P60" s="46">
        <v>3499</v>
      </c>
      <c r="Q60" s="46">
        <v>2999</v>
      </c>
      <c r="R60" s="46">
        <v>3599</v>
      </c>
      <c r="S60" s="46">
        <v>3499</v>
      </c>
      <c r="T60" s="46">
        <v>2999</v>
      </c>
      <c r="U60" s="46">
        <v>2999</v>
      </c>
      <c r="V60" s="46">
        <v>2999</v>
      </c>
      <c r="W60" s="46">
        <v>2999</v>
      </c>
      <c r="X60" s="46">
        <v>2799</v>
      </c>
      <c r="Y60" s="46">
        <v>2499</v>
      </c>
      <c r="Z60" s="46">
        <v>2499</v>
      </c>
      <c r="AA60" s="46">
        <v>2499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">
        <v>65</v>
      </c>
      <c r="AX60" s="51" t="s">
        <v>82</v>
      </c>
    </row>
    <row r="61" spans="1:50" ht="22.5" customHeight="1">
      <c r="A61" s="52" t="s">
        <v>70</v>
      </c>
      <c r="B61" s="41" t="s">
        <v>62</v>
      </c>
      <c r="C61" s="42">
        <v>4014834</v>
      </c>
      <c r="D61" s="43" t="s">
        <v>114</v>
      </c>
      <c r="E61" s="43" t="s">
        <v>121</v>
      </c>
      <c r="F61" s="45">
        <v>6299</v>
      </c>
      <c r="G61" s="45">
        <v>2799</v>
      </c>
      <c r="H61" s="46">
        <v>3899</v>
      </c>
      <c r="I61" s="46">
        <v>3899</v>
      </c>
      <c r="J61" s="45">
        <v>3799</v>
      </c>
      <c r="K61" s="45">
        <v>3799</v>
      </c>
      <c r="L61" s="45">
        <v>3799</v>
      </c>
      <c r="M61" s="45">
        <v>3799</v>
      </c>
      <c r="N61" s="45">
        <v>3799</v>
      </c>
      <c r="O61" s="46">
        <v>3599</v>
      </c>
      <c r="P61" s="46">
        <v>3499</v>
      </c>
      <c r="Q61" s="46">
        <v>2999</v>
      </c>
      <c r="R61" s="46">
        <v>3599</v>
      </c>
      <c r="S61" s="46">
        <v>3499</v>
      </c>
      <c r="T61" s="46">
        <v>2999</v>
      </c>
      <c r="U61" s="46">
        <v>2999</v>
      </c>
      <c r="V61" s="46">
        <v>2999</v>
      </c>
      <c r="W61" s="46">
        <v>2999</v>
      </c>
      <c r="X61" s="46">
        <v>2799</v>
      </c>
      <c r="Y61" s="46">
        <v>2499</v>
      </c>
      <c r="Z61" s="46">
        <v>2499</v>
      </c>
      <c r="AA61" s="46">
        <v>2499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">
        <v>65</v>
      </c>
      <c r="AX61" s="51" t="s">
        <v>82</v>
      </c>
    </row>
    <row r="62" spans="1:50" ht="22.5" customHeight="1">
      <c r="A62" s="52" t="s">
        <v>70</v>
      </c>
      <c r="B62" s="41" t="s">
        <v>62</v>
      </c>
      <c r="C62" s="42">
        <v>4014833</v>
      </c>
      <c r="D62" s="43" t="s">
        <v>114</v>
      </c>
      <c r="E62" s="43" t="s">
        <v>122</v>
      </c>
      <c r="F62" s="45">
        <v>6299</v>
      </c>
      <c r="G62" s="45">
        <v>2799</v>
      </c>
      <c r="H62" s="46">
        <v>3899</v>
      </c>
      <c r="I62" s="46">
        <v>3899</v>
      </c>
      <c r="J62" s="45">
        <v>3799</v>
      </c>
      <c r="K62" s="45">
        <v>3799</v>
      </c>
      <c r="L62" s="45">
        <v>3799</v>
      </c>
      <c r="M62" s="45">
        <v>3799</v>
      </c>
      <c r="N62" s="45">
        <v>3799</v>
      </c>
      <c r="O62" s="46">
        <v>3599</v>
      </c>
      <c r="P62" s="46">
        <v>3499</v>
      </c>
      <c r="Q62" s="46">
        <v>2999</v>
      </c>
      <c r="R62" s="46">
        <v>3599</v>
      </c>
      <c r="S62" s="46">
        <v>3499</v>
      </c>
      <c r="T62" s="46">
        <v>2999</v>
      </c>
      <c r="U62" s="46">
        <v>2999</v>
      </c>
      <c r="V62" s="46">
        <v>2999</v>
      </c>
      <c r="W62" s="46">
        <v>2999</v>
      </c>
      <c r="X62" s="46">
        <v>2799</v>
      </c>
      <c r="Y62" s="46">
        <v>2499</v>
      </c>
      <c r="Z62" s="46">
        <v>2499</v>
      </c>
      <c r="AA62" s="46">
        <v>2499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">
        <v>65</v>
      </c>
      <c r="AX62" s="51" t="s">
        <v>82</v>
      </c>
    </row>
    <row r="63" spans="1:50" ht="22.5" customHeight="1">
      <c r="A63" s="52" t="s">
        <v>70</v>
      </c>
      <c r="B63" s="41" t="s">
        <v>62</v>
      </c>
      <c r="C63" s="42">
        <v>4014835</v>
      </c>
      <c r="D63" s="43" t="s">
        <v>114</v>
      </c>
      <c r="E63" s="43" t="s">
        <v>123</v>
      </c>
      <c r="F63" s="45">
        <v>6299</v>
      </c>
      <c r="G63" s="45">
        <v>2799</v>
      </c>
      <c r="H63" s="46">
        <v>3899</v>
      </c>
      <c r="I63" s="46">
        <v>3899</v>
      </c>
      <c r="J63" s="45">
        <v>3799</v>
      </c>
      <c r="K63" s="45">
        <v>3799</v>
      </c>
      <c r="L63" s="45">
        <v>3799</v>
      </c>
      <c r="M63" s="45">
        <v>3799</v>
      </c>
      <c r="N63" s="45">
        <v>3799</v>
      </c>
      <c r="O63" s="46">
        <v>3599</v>
      </c>
      <c r="P63" s="46">
        <v>3499</v>
      </c>
      <c r="Q63" s="46">
        <v>2999</v>
      </c>
      <c r="R63" s="46">
        <v>3599</v>
      </c>
      <c r="S63" s="46">
        <v>3499</v>
      </c>
      <c r="T63" s="46">
        <v>2999</v>
      </c>
      <c r="U63" s="46">
        <v>2999</v>
      </c>
      <c r="V63" s="46">
        <v>2999</v>
      </c>
      <c r="W63" s="46">
        <v>2999</v>
      </c>
      <c r="X63" s="46">
        <v>2799</v>
      </c>
      <c r="Y63" s="46">
        <v>2499</v>
      </c>
      <c r="Z63" s="46">
        <v>2499</v>
      </c>
      <c r="AA63" s="46">
        <v>2499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">
        <v>65</v>
      </c>
      <c r="AX63" s="51" t="s">
        <v>82</v>
      </c>
    </row>
    <row r="64" spans="1:50" ht="22.5" customHeight="1">
      <c r="A64" s="52" t="s">
        <v>70</v>
      </c>
      <c r="B64" s="41" t="s">
        <v>62</v>
      </c>
      <c r="C64" s="42">
        <v>4014836</v>
      </c>
      <c r="D64" s="43" t="s">
        <v>114</v>
      </c>
      <c r="E64" s="43" t="s">
        <v>124</v>
      </c>
      <c r="F64" s="45">
        <v>6299</v>
      </c>
      <c r="G64" s="45">
        <v>2799</v>
      </c>
      <c r="H64" s="46">
        <v>3899</v>
      </c>
      <c r="I64" s="46">
        <v>3899</v>
      </c>
      <c r="J64" s="45">
        <v>3799</v>
      </c>
      <c r="K64" s="45">
        <v>3799</v>
      </c>
      <c r="L64" s="45">
        <v>3799</v>
      </c>
      <c r="M64" s="45">
        <v>3799</v>
      </c>
      <c r="N64" s="45">
        <v>3799</v>
      </c>
      <c r="O64" s="46">
        <v>3599</v>
      </c>
      <c r="P64" s="46">
        <v>3499</v>
      </c>
      <c r="Q64" s="46">
        <v>2999</v>
      </c>
      <c r="R64" s="46">
        <v>3599</v>
      </c>
      <c r="S64" s="46">
        <v>3499</v>
      </c>
      <c r="T64" s="46">
        <v>2999</v>
      </c>
      <c r="U64" s="46">
        <v>2999</v>
      </c>
      <c r="V64" s="46">
        <v>2999</v>
      </c>
      <c r="W64" s="46">
        <v>2999</v>
      </c>
      <c r="X64" s="46">
        <v>2799</v>
      </c>
      <c r="Y64" s="46">
        <v>2499</v>
      </c>
      <c r="Z64" s="46">
        <v>2499</v>
      </c>
      <c r="AA64" s="46">
        <v>2499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">
        <v>65</v>
      </c>
      <c r="AX64" s="51" t="s">
        <v>82</v>
      </c>
    </row>
    <row r="65" spans="1:50" ht="22.5" customHeight="1">
      <c r="A65" s="52" t="s">
        <v>70</v>
      </c>
      <c r="B65" s="41" t="s">
        <v>62</v>
      </c>
      <c r="C65" s="42">
        <v>4014981</v>
      </c>
      <c r="D65" s="43" t="s">
        <v>114</v>
      </c>
      <c r="E65" s="43" t="s">
        <v>125</v>
      </c>
      <c r="F65" s="45">
        <v>6299</v>
      </c>
      <c r="G65" s="45">
        <v>2799</v>
      </c>
      <c r="H65" s="46">
        <v>3899</v>
      </c>
      <c r="I65" s="46">
        <v>3899</v>
      </c>
      <c r="J65" s="45">
        <v>3799</v>
      </c>
      <c r="K65" s="45">
        <v>3799</v>
      </c>
      <c r="L65" s="45">
        <v>3799</v>
      </c>
      <c r="M65" s="45">
        <v>3799</v>
      </c>
      <c r="N65" s="45">
        <v>3799</v>
      </c>
      <c r="O65" s="46">
        <v>3599</v>
      </c>
      <c r="P65" s="46">
        <v>3499</v>
      </c>
      <c r="Q65" s="46">
        <v>2999</v>
      </c>
      <c r="R65" s="46">
        <v>3599</v>
      </c>
      <c r="S65" s="46">
        <v>3499</v>
      </c>
      <c r="T65" s="46">
        <v>2999</v>
      </c>
      <c r="U65" s="46">
        <v>2999</v>
      </c>
      <c r="V65" s="46">
        <v>2999</v>
      </c>
      <c r="W65" s="46">
        <v>2999</v>
      </c>
      <c r="X65" s="46">
        <v>2799</v>
      </c>
      <c r="Y65" s="46">
        <v>2499</v>
      </c>
      <c r="Z65" s="46">
        <v>2499</v>
      </c>
      <c r="AA65" s="46">
        <v>2499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">
        <v>65</v>
      </c>
      <c r="AX65" s="51" t="s">
        <v>82</v>
      </c>
    </row>
    <row r="66" spans="1:50" ht="22.5" customHeight="1">
      <c r="A66" s="52" t="s">
        <v>70</v>
      </c>
      <c r="B66" s="41" t="s">
        <v>62</v>
      </c>
      <c r="C66" s="42">
        <v>4014621</v>
      </c>
      <c r="D66" s="43" t="s">
        <v>126</v>
      </c>
      <c r="E66" s="43" t="s">
        <v>127</v>
      </c>
      <c r="F66" s="45">
        <v>10499</v>
      </c>
      <c r="G66" s="45">
        <v>5199</v>
      </c>
      <c r="H66" s="46">
        <v>3999</v>
      </c>
      <c r="I66" s="46">
        <v>3999</v>
      </c>
      <c r="J66" s="45">
        <v>3999</v>
      </c>
      <c r="K66" s="45">
        <v>3999</v>
      </c>
      <c r="L66" s="45">
        <v>3999</v>
      </c>
      <c r="M66" s="45">
        <v>3999</v>
      </c>
      <c r="N66" s="45">
        <v>3999</v>
      </c>
      <c r="O66" s="46">
        <v>3999</v>
      </c>
      <c r="P66" s="46">
        <v>3999</v>
      </c>
      <c r="Q66" s="46">
        <v>3999</v>
      </c>
      <c r="R66" s="46">
        <v>3999</v>
      </c>
      <c r="S66" s="46">
        <v>3999</v>
      </c>
      <c r="T66" s="46">
        <v>3999</v>
      </c>
      <c r="U66" s="46">
        <v>3999</v>
      </c>
      <c r="V66" s="46">
        <v>3999</v>
      </c>
      <c r="W66" s="46">
        <v>3999</v>
      </c>
      <c r="X66" s="46">
        <v>3999</v>
      </c>
      <c r="Y66" s="46">
        <v>3999</v>
      </c>
      <c r="Z66" s="46">
        <v>3999</v>
      </c>
      <c r="AA66" s="46">
        <v>3999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">
        <v>65</v>
      </c>
      <c r="AX66" s="51" t="s">
        <v>82</v>
      </c>
    </row>
    <row r="67" spans="1:50" ht="22.5" customHeight="1">
      <c r="A67" s="52" t="s">
        <v>70</v>
      </c>
      <c r="B67" s="41" t="s">
        <v>62</v>
      </c>
      <c r="C67" s="42">
        <v>4014636</v>
      </c>
      <c r="D67" s="43" t="s">
        <v>126</v>
      </c>
      <c r="E67" s="43" t="s">
        <v>128</v>
      </c>
      <c r="F67" s="45">
        <v>10499</v>
      </c>
      <c r="G67" s="45">
        <v>5199</v>
      </c>
      <c r="H67" s="46">
        <v>3999</v>
      </c>
      <c r="I67" s="46">
        <v>3999</v>
      </c>
      <c r="J67" s="45">
        <v>3999</v>
      </c>
      <c r="K67" s="45">
        <v>3999</v>
      </c>
      <c r="L67" s="45">
        <v>3999</v>
      </c>
      <c r="M67" s="45">
        <v>3999</v>
      </c>
      <c r="N67" s="45">
        <v>3999</v>
      </c>
      <c r="O67" s="46">
        <v>3999</v>
      </c>
      <c r="P67" s="46">
        <v>3999</v>
      </c>
      <c r="Q67" s="46">
        <v>3999</v>
      </c>
      <c r="R67" s="46">
        <v>3999</v>
      </c>
      <c r="S67" s="46">
        <v>3999</v>
      </c>
      <c r="T67" s="46">
        <v>3999</v>
      </c>
      <c r="U67" s="46">
        <v>3999</v>
      </c>
      <c r="V67" s="46">
        <v>3999</v>
      </c>
      <c r="W67" s="46">
        <v>3999</v>
      </c>
      <c r="X67" s="46">
        <v>3999</v>
      </c>
      <c r="Y67" s="46">
        <v>3999</v>
      </c>
      <c r="Z67" s="46">
        <v>3999</v>
      </c>
      <c r="AA67" s="46">
        <v>3999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">
        <v>65</v>
      </c>
      <c r="AX67" s="51" t="s">
        <v>82</v>
      </c>
    </row>
    <row r="68" spans="1:50" ht="22.5" customHeight="1">
      <c r="A68" s="52" t="s">
        <v>70</v>
      </c>
      <c r="B68" s="41" t="s">
        <v>62</v>
      </c>
      <c r="C68" s="42">
        <v>4014642</v>
      </c>
      <c r="D68" s="43" t="s">
        <v>126</v>
      </c>
      <c r="E68" s="43" t="s">
        <v>129</v>
      </c>
      <c r="F68" s="45">
        <v>10499</v>
      </c>
      <c r="G68" s="45">
        <v>5199</v>
      </c>
      <c r="H68" s="46">
        <v>3999</v>
      </c>
      <c r="I68" s="46">
        <v>3999</v>
      </c>
      <c r="J68" s="45">
        <v>3999</v>
      </c>
      <c r="K68" s="45">
        <v>3999</v>
      </c>
      <c r="L68" s="45">
        <v>3999</v>
      </c>
      <c r="M68" s="45">
        <v>3999</v>
      </c>
      <c r="N68" s="45">
        <v>3999</v>
      </c>
      <c r="O68" s="46">
        <v>3999</v>
      </c>
      <c r="P68" s="46">
        <v>3999</v>
      </c>
      <c r="Q68" s="46">
        <v>3999</v>
      </c>
      <c r="R68" s="46">
        <v>3999</v>
      </c>
      <c r="S68" s="46">
        <v>3999</v>
      </c>
      <c r="T68" s="46">
        <v>3999</v>
      </c>
      <c r="U68" s="46">
        <v>3999</v>
      </c>
      <c r="V68" s="46">
        <v>3999</v>
      </c>
      <c r="W68" s="46">
        <v>3999</v>
      </c>
      <c r="X68" s="46">
        <v>3999</v>
      </c>
      <c r="Y68" s="46">
        <v>3999</v>
      </c>
      <c r="Z68" s="46">
        <v>3999</v>
      </c>
      <c r="AA68" s="46">
        <v>3999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">
        <v>65</v>
      </c>
      <c r="AX68" s="51" t="s">
        <v>82</v>
      </c>
    </row>
    <row r="69" spans="1:50" ht="22.5" customHeight="1">
      <c r="A69" s="52" t="s">
        <v>70</v>
      </c>
      <c r="B69" s="41" t="s">
        <v>62</v>
      </c>
      <c r="C69" s="42">
        <v>4014884</v>
      </c>
      <c r="D69" s="43" t="s">
        <v>126</v>
      </c>
      <c r="E69" s="43" t="s">
        <v>130</v>
      </c>
      <c r="F69" s="45">
        <v>10499</v>
      </c>
      <c r="G69" s="45">
        <v>5199</v>
      </c>
      <c r="H69" s="46">
        <v>3999</v>
      </c>
      <c r="I69" s="46">
        <v>3999</v>
      </c>
      <c r="J69" s="45">
        <v>3999</v>
      </c>
      <c r="K69" s="45">
        <v>3999</v>
      </c>
      <c r="L69" s="45">
        <v>3999</v>
      </c>
      <c r="M69" s="45">
        <v>3999</v>
      </c>
      <c r="N69" s="45">
        <v>3999</v>
      </c>
      <c r="O69" s="46">
        <v>3999</v>
      </c>
      <c r="P69" s="46">
        <v>3999</v>
      </c>
      <c r="Q69" s="46">
        <v>3999</v>
      </c>
      <c r="R69" s="46">
        <v>3999</v>
      </c>
      <c r="S69" s="46">
        <v>3999</v>
      </c>
      <c r="T69" s="46">
        <v>3999</v>
      </c>
      <c r="U69" s="46">
        <v>3999</v>
      </c>
      <c r="V69" s="46">
        <v>3999</v>
      </c>
      <c r="W69" s="46">
        <v>3999</v>
      </c>
      <c r="X69" s="46">
        <v>3999</v>
      </c>
      <c r="Y69" s="46">
        <v>3999</v>
      </c>
      <c r="Z69" s="46">
        <v>3999</v>
      </c>
      <c r="AA69" s="46">
        <v>3999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">
        <v>65</v>
      </c>
      <c r="AX69" s="51" t="s">
        <v>82</v>
      </c>
    </row>
    <row r="70" spans="1:50" ht="22.5" customHeight="1">
      <c r="A70" s="52" t="s">
        <v>70</v>
      </c>
      <c r="B70" s="41" t="s">
        <v>62</v>
      </c>
      <c r="C70" s="42">
        <v>4014593</v>
      </c>
      <c r="D70" s="43" t="s">
        <v>131</v>
      </c>
      <c r="E70" s="43" t="s">
        <v>132</v>
      </c>
      <c r="F70" s="45">
        <v>11499</v>
      </c>
      <c r="G70" s="45">
        <v>6199</v>
      </c>
      <c r="H70" s="46">
        <v>6999</v>
      </c>
      <c r="I70" s="46">
        <v>6999</v>
      </c>
      <c r="J70" s="45">
        <f t="shared" ref="J70:J74" si="2">M70</f>
        <v>6799</v>
      </c>
      <c r="K70" s="45">
        <v>6699</v>
      </c>
      <c r="L70" s="45">
        <v>6699</v>
      </c>
      <c r="M70" s="45">
        <v>6799</v>
      </c>
      <c r="N70" s="45">
        <v>6799</v>
      </c>
      <c r="O70" s="46">
        <f t="shared" ref="O70:P74" si="3">R70</f>
        <v>6499</v>
      </c>
      <c r="P70" s="46">
        <f t="shared" si="3"/>
        <v>6299</v>
      </c>
      <c r="Q70" s="46">
        <v>5999</v>
      </c>
      <c r="R70" s="46">
        <v>6499</v>
      </c>
      <c r="S70" s="46">
        <v>6299</v>
      </c>
      <c r="T70" s="46">
        <v>5999</v>
      </c>
      <c r="U70" s="46">
        <v>5899</v>
      </c>
      <c r="V70" s="46">
        <v>5899</v>
      </c>
      <c r="W70" s="46">
        <v>5799</v>
      </c>
      <c r="X70" s="46">
        <v>5699</v>
      </c>
      <c r="Y70" s="46">
        <v>5499</v>
      </c>
      <c r="Z70" s="46">
        <v>5399</v>
      </c>
      <c r="AA70" s="46">
        <v>5399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">
        <v>65</v>
      </c>
      <c r="AX70" s="51" t="s">
        <v>82</v>
      </c>
    </row>
    <row r="71" spans="1:50" ht="22.5" customHeight="1">
      <c r="A71" s="52" t="s">
        <v>70</v>
      </c>
      <c r="B71" s="41" t="s">
        <v>62</v>
      </c>
      <c r="C71" s="42">
        <v>4014599</v>
      </c>
      <c r="D71" s="43" t="s">
        <v>131</v>
      </c>
      <c r="E71" s="43" t="s">
        <v>133</v>
      </c>
      <c r="F71" s="45">
        <v>11499</v>
      </c>
      <c r="G71" s="45">
        <v>6199</v>
      </c>
      <c r="H71" s="46">
        <v>6999</v>
      </c>
      <c r="I71" s="46">
        <v>6999</v>
      </c>
      <c r="J71" s="45">
        <f t="shared" si="2"/>
        <v>6799</v>
      </c>
      <c r="K71" s="45">
        <v>6699</v>
      </c>
      <c r="L71" s="45">
        <v>6699</v>
      </c>
      <c r="M71" s="45">
        <v>6799</v>
      </c>
      <c r="N71" s="45">
        <v>6799</v>
      </c>
      <c r="O71" s="46">
        <f t="shared" si="3"/>
        <v>6499</v>
      </c>
      <c r="P71" s="46">
        <f t="shared" si="3"/>
        <v>6299</v>
      </c>
      <c r="Q71" s="46">
        <v>5999</v>
      </c>
      <c r="R71" s="46">
        <v>6499</v>
      </c>
      <c r="S71" s="46">
        <v>6299</v>
      </c>
      <c r="T71" s="46">
        <v>5999</v>
      </c>
      <c r="U71" s="46">
        <v>5899</v>
      </c>
      <c r="V71" s="46">
        <v>5899</v>
      </c>
      <c r="W71" s="46">
        <v>5799</v>
      </c>
      <c r="X71" s="46">
        <v>5699</v>
      </c>
      <c r="Y71" s="46">
        <v>5499</v>
      </c>
      <c r="Z71" s="46">
        <v>5399</v>
      </c>
      <c r="AA71" s="46">
        <v>5399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">
        <v>65</v>
      </c>
      <c r="AX71" s="51" t="s">
        <v>82</v>
      </c>
    </row>
    <row r="72" spans="1:50" ht="22.5" customHeight="1">
      <c r="A72" s="52" t="s">
        <v>70</v>
      </c>
      <c r="B72" s="41" t="s">
        <v>62</v>
      </c>
      <c r="C72" s="42">
        <v>4014605</v>
      </c>
      <c r="D72" s="43" t="s">
        <v>131</v>
      </c>
      <c r="E72" s="43" t="s">
        <v>134</v>
      </c>
      <c r="F72" s="45">
        <v>11499</v>
      </c>
      <c r="G72" s="45">
        <v>6199</v>
      </c>
      <c r="H72" s="46">
        <v>6999</v>
      </c>
      <c r="I72" s="46">
        <v>6999</v>
      </c>
      <c r="J72" s="45">
        <f t="shared" si="2"/>
        <v>6799</v>
      </c>
      <c r="K72" s="45">
        <v>6699</v>
      </c>
      <c r="L72" s="45">
        <v>6699</v>
      </c>
      <c r="M72" s="45">
        <v>6799</v>
      </c>
      <c r="N72" s="45">
        <v>6799</v>
      </c>
      <c r="O72" s="46">
        <f t="shared" si="3"/>
        <v>6499</v>
      </c>
      <c r="P72" s="46">
        <f t="shared" si="3"/>
        <v>6299</v>
      </c>
      <c r="Q72" s="46">
        <v>5999</v>
      </c>
      <c r="R72" s="46">
        <v>6499</v>
      </c>
      <c r="S72" s="46">
        <v>6299</v>
      </c>
      <c r="T72" s="46">
        <v>5999</v>
      </c>
      <c r="U72" s="46">
        <v>5899</v>
      </c>
      <c r="V72" s="46">
        <v>5899</v>
      </c>
      <c r="W72" s="46">
        <v>5799</v>
      </c>
      <c r="X72" s="46">
        <v>5699</v>
      </c>
      <c r="Y72" s="46">
        <v>5499</v>
      </c>
      <c r="Z72" s="46">
        <v>5399</v>
      </c>
      <c r="AA72" s="46">
        <v>5399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">
        <v>65</v>
      </c>
      <c r="AX72" s="51" t="s">
        <v>82</v>
      </c>
    </row>
    <row r="73" spans="1:50" ht="22.5" customHeight="1">
      <c r="A73" s="52" t="s">
        <v>70</v>
      </c>
      <c r="B73" s="41" t="s">
        <v>62</v>
      </c>
      <c r="C73" s="42">
        <v>4014612</v>
      </c>
      <c r="D73" s="43" t="s">
        <v>131</v>
      </c>
      <c r="E73" s="43" t="s">
        <v>135</v>
      </c>
      <c r="F73" s="45">
        <v>11499</v>
      </c>
      <c r="G73" s="45">
        <v>6199</v>
      </c>
      <c r="H73" s="46">
        <v>6999</v>
      </c>
      <c r="I73" s="46">
        <v>6999</v>
      </c>
      <c r="J73" s="45">
        <f t="shared" si="2"/>
        <v>6799</v>
      </c>
      <c r="K73" s="45">
        <v>6699</v>
      </c>
      <c r="L73" s="45">
        <v>6699</v>
      </c>
      <c r="M73" s="45">
        <v>6799</v>
      </c>
      <c r="N73" s="45">
        <v>6799</v>
      </c>
      <c r="O73" s="46">
        <f t="shared" si="3"/>
        <v>6499</v>
      </c>
      <c r="P73" s="46">
        <f t="shared" si="3"/>
        <v>6299</v>
      </c>
      <c r="Q73" s="46">
        <v>5999</v>
      </c>
      <c r="R73" s="46">
        <v>6499</v>
      </c>
      <c r="S73" s="46">
        <v>6299</v>
      </c>
      <c r="T73" s="46">
        <v>5999</v>
      </c>
      <c r="U73" s="46">
        <v>5899</v>
      </c>
      <c r="V73" s="46">
        <v>5899</v>
      </c>
      <c r="W73" s="46">
        <v>5799</v>
      </c>
      <c r="X73" s="46">
        <v>5699</v>
      </c>
      <c r="Y73" s="46">
        <v>5499</v>
      </c>
      <c r="Z73" s="46">
        <v>5399</v>
      </c>
      <c r="AA73" s="46">
        <v>5399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">
        <v>65</v>
      </c>
      <c r="AX73" s="51" t="s">
        <v>82</v>
      </c>
    </row>
    <row r="74" spans="1:50" ht="22.5" customHeight="1">
      <c r="A74" s="52" t="s">
        <v>70</v>
      </c>
      <c r="B74" s="41" t="s">
        <v>62</v>
      </c>
      <c r="C74" s="42">
        <v>4014868</v>
      </c>
      <c r="D74" s="43" t="s">
        <v>131</v>
      </c>
      <c r="E74" s="43" t="s">
        <v>136</v>
      </c>
      <c r="F74" s="45">
        <v>11499</v>
      </c>
      <c r="G74" s="45">
        <v>6199</v>
      </c>
      <c r="H74" s="46">
        <v>6999</v>
      </c>
      <c r="I74" s="46">
        <v>6999</v>
      </c>
      <c r="J74" s="45">
        <f t="shared" si="2"/>
        <v>6799</v>
      </c>
      <c r="K74" s="45">
        <v>6699</v>
      </c>
      <c r="L74" s="45">
        <v>6699</v>
      </c>
      <c r="M74" s="45">
        <v>6799</v>
      </c>
      <c r="N74" s="45">
        <v>6799</v>
      </c>
      <c r="O74" s="46">
        <f t="shared" si="3"/>
        <v>6499</v>
      </c>
      <c r="P74" s="46">
        <f t="shared" si="3"/>
        <v>6299</v>
      </c>
      <c r="Q74" s="46">
        <v>5999</v>
      </c>
      <c r="R74" s="46">
        <v>6499</v>
      </c>
      <c r="S74" s="46">
        <v>6299</v>
      </c>
      <c r="T74" s="46">
        <v>5999</v>
      </c>
      <c r="U74" s="46">
        <v>5899</v>
      </c>
      <c r="V74" s="46">
        <v>5899</v>
      </c>
      <c r="W74" s="46">
        <v>5799</v>
      </c>
      <c r="X74" s="46">
        <v>5699</v>
      </c>
      <c r="Y74" s="46">
        <v>5499</v>
      </c>
      <c r="Z74" s="46">
        <v>5399</v>
      </c>
      <c r="AA74" s="46">
        <v>5399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">
        <v>65</v>
      </c>
      <c r="AX74" s="51" t="s">
        <v>82</v>
      </c>
    </row>
    <row r="75" spans="1:50" ht="22.5" customHeight="1">
      <c r="A75" s="52" t="s">
        <v>70</v>
      </c>
      <c r="B75" s="41" t="s">
        <v>62</v>
      </c>
      <c r="C75" s="42">
        <v>4015019</v>
      </c>
      <c r="D75" s="43" t="s">
        <v>137</v>
      </c>
      <c r="E75" s="43" t="s">
        <v>138</v>
      </c>
      <c r="F75" s="45">
        <v>7299</v>
      </c>
      <c r="G75" s="45">
        <v>3899</v>
      </c>
      <c r="H75" s="46">
        <v>5299</v>
      </c>
      <c r="I75" s="46">
        <v>5299</v>
      </c>
      <c r="J75" s="45">
        <v>4199</v>
      </c>
      <c r="K75" s="45">
        <v>4199</v>
      </c>
      <c r="L75" s="45">
        <v>4199</v>
      </c>
      <c r="M75" s="45">
        <v>4199</v>
      </c>
      <c r="N75" s="45">
        <v>4199</v>
      </c>
      <c r="O75" s="46">
        <v>3899</v>
      </c>
      <c r="P75" s="46">
        <v>3799</v>
      </c>
      <c r="Q75" s="46">
        <v>3099</v>
      </c>
      <c r="R75" s="46">
        <v>3899</v>
      </c>
      <c r="S75" s="46">
        <v>3799</v>
      </c>
      <c r="T75" s="46">
        <v>3099</v>
      </c>
      <c r="U75" s="46">
        <v>3099</v>
      </c>
      <c r="V75" s="46">
        <v>3099</v>
      </c>
      <c r="W75" s="46">
        <v>3099</v>
      </c>
      <c r="X75" s="46">
        <v>2999</v>
      </c>
      <c r="Y75" s="46">
        <v>2499</v>
      </c>
      <c r="Z75" s="46">
        <v>2499</v>
      </c>
      <c r="AA75" s="46">
        <v>2499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">
        <v>65</v>
      </c>
      <c r="AX75" s="51" t="s">
        <v>82</v>
      </c>
    </row>
    <row r="76" spans="1:50" ht="22.5" customHeight="1">
      <c r="A76" s="52" t="s">
        <v>70</v>
      </c>
      <c r="B76" s="41" t="s">
        <v>62</v>
      </c>
      <c r="C76" s="42">
        <v>4015165</v>
      </c>
      <c r="D76" s="43" t="s">
        <v>137</v>
      </c>
      <c r="E76" s="43" t="s">
        <v>139</v>
      </c>
      <c r="F76" s="45">
        <v>7299</v>
      </c>
      <c r="G76" s="45">
        <v>3899</v>
      </c>
      <c r="H76" s="46">
        <v>5299</v>
      </c>
      <c r="I76" s="46">
        <v>5299</v>
      </c>
      <c r="J76" s="45">
        <v>4199</v>
      </c>
      <c r="K76" s="45">
        <v>4199</v>
      </c>
      <c r="L76" s="45">
        <v>4199</v>
      </c>
      <c r="M76" s="45">
        <v>4199</v>
      </c>
      <c r="N76" s="45">
        <v>4199</v>
      </c>
      <c r="O76" s="46">
        <v>3899</v>
      </c>
      <c r="P76" s="46">
        <v>3799</v>
      </c>
      <c r="Q76" s="46">
        <v>3099</v>
      </c>
      <c r="R76" s="46">
        <v>3899</v>
      </c>
      <c r="S76" s="46">
        <v>3799</v>
      </c>
      <c r="T76" s="46">
        <v>3099</v>
      </c>
      <c r="U76" s="46">
        <v>3099</v>
      </c>
      <c r="V76" s="46">
        <v>3099</v>
      </c>
      <c r="W76" s="46">
        <v>3099</v>
      </c>
      <c r="X76" s="46">
        <v>2999</v>
      </c>
      <c r="Y76" s="46">
        <v>2499</v>
      </c>
      <c r="Z76" s="46">
        <v>2499</v>
      </c>
      <c r="AA76" s="46">
        <v>2499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">
        <v>65</v>
      </c>
      <c r="AX76" s="51" t="s">
        <v>82</v>
      </c>
    </row>
    <row r="77" spans="1:50" ht="22.5" customHeight="1">
      <c r="A77" s="52" t="s">
        <v>70</v>
      </c>
      <c r="B77" s="41" t="s">
        <v>62</v>
      </c>
      <c r="C77" s="42">
        <v>4015178</v>
      </c>
      <c r="D77" s="43" t="s">
        <v>137</v>
      </c>
      <c r="E77" s="43" t="s">
        <v>140</v>
      </c>
      <c r="F77" s="45">
        <v>7299</v>
      </c>
      <c r="G77" s="45">
        <v>3899</v>
      </c>
      <c r="H77" s="46">
        <v>5299</v>
      </c>
      <c r="I77" s="46">
        <v>5299</v>
      </c>
      <c r="J77" s="45">
        <v>4199</v>
      </c>
      <c r="K77" s="45">
        <v>4199</v>
      </c>
      <c r="L77" s="45">
        <v>4199</v>
      </c>
      <c r="M77" s="45">
        <v>4199</v>
      </c>
      <c r="N77" s="45">
        <v>4199</v>
      </c>
      <c r="O77" s="46">
        <v>3899</v>
      </c>
      <c r="P77" s="46">
        <v>3799</v>
      </c>
      <c r="Q77" s="46">
        <v>3099</v>
      </c>
      <c r="R77" s="46">
        <v>3899</v>
      </c>
      <c r="S77" s="46">
        <v>3799</v>
      </c>
      <c r="T77" s="46">
        <v>3099</v>
      </c>
      <c r="U77" s="46">
        <v>3099</v>
      </c>
      <c r="V77" s="46">
        <v>3099</v>
      </c>
      <c r="W77" s="46">
        <v>3099</v>
      </c>
      <c r="X77" s="46">
        <v>2999</v>
      </c>
      <c r="Y77" s="46">
        <v>2499</v>
      </c>
      <c r="Z77" s="46">
        <v>2499</v>
      </c>
      <c r="AA77" s="46">
        <v>2499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">
        <v>65</v>
      </c>
      <c r="AX77" s="51" t="s">
        <v>82</v>
      </c>
    </row>
    <row r="78" spans="1:50" ht="22.5" customHeight="1">
      <c r="A78" s="52" t="s">
        <v>70</v>
      </c>
      <c r="B78" s="41" t="s">
        <v>62</v>
      </c>
      <c r="C78" s="42">
        <v>4015185</v>
      </c>
      <c r="D78" s="43" t="s">
        <v>137</v>
      </c>
      <c r="E78" s="43" t="s">
        <v>141</v>
      </c>
      <c r="F78" s="45">
        <v>7299</v>
      </c>
      <c r="G78" s="45">
        <v>3899</v>
      </c>
      <c r="H78" s="46">
        <v>5299</v>
      </c>
      <c r="I78" s="46">
        <v>5299</v>
      </c>
      <c r="J78" s="45">
        <v>4199</v>
      </c>
      <c r="K78" s="45">
        <v>4199</v>
      </c>
      <c r="L78" s="45">
        <v>4199</v>
      </c>
      <c r="M78" s="45">
        <v>4199</v>
      </c>
      <c r="N78" s="45">
        <v>4199</v>
      </c>
      <c r="O78" s="46">
        <v>3899</v>
      </c>
      <c r="P78" s="46">
        <v>3799</v>
      </c>
      <c r="Q78" s="46">
        <v>3099</v>
      </c>
      <c r="R78" s="46">
        <v>3899</v>
      </c>
      <c r="S78" s="46">
        <v>3799</v>
      </c>
      <c r="T78" s="46">
        <v>3099</v>
      </c>
      <c r="U78" s="46">
        <v>3099</v>
      </c>
      <c r="V78" s="46">
        <v>3099</v>
      </c>
      <c r="W78" s="46">
        <v>3099</v>
      </c>
      <c r="X78" s="46">
        <v>2999</v>
      </c>
      <c r="Y78" s="46">
        <v>2499</v>
      </c>
      <c r="Z78" s="46">
        <v>2499</v>
      </c>
      <c r="AA78" s="46">
        <v>2499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">
        <v>65</v>
      </c>
      <c r="AX78" s="51" t="s">
        <v>82</v>
      </c>
    </row>
    <row r="79" spans="1:50" ht="22.5" customHeight="1">
      <c r="A79" s="52" t="s">
        <v>70</v>
      </c>
      <c r="B79" s="41" t="s">
        <v>62</v>
      </c>
      <c r="C79" s="42">
        <v>4015171</v>
      </c>
      <c r="D79" s="43" t="s">
        <v>137</v>
      </c>
      <c r="E79" s="43" t="s">
        <v>142</v>
      </c>
      <c r="F79" s="45">
        <v>7299</v>
      </c>
      <c r="G79" s="45">
        <v>3899</v>
      </c>
      <c r="H79" s="46">
        <v>5299</v>
      </c>
      <c r="I79" s="46">
        <v>5299</v>
      </c>
      <c r="J79" s="45">
        <v>4199</v>
      </c>
      <c r="K79" s="45">
        <v>4199</v>
      </c>
      <c r="L79" s="45">
        <v>4199</v>
      </c>
      <c r="M79" s="45">
        <v>4199</v>
      </c>
      <c r="N79" s="45">
        <v>4199</v>
      </c>
      <c r="O79" s="46">
        <v>3899</v>
      </c>
      <c r="P79" s="46">
        <v>3799</v>
      </c>
      <c r="Q79" s="46">
        <v>3099</v>
      </c>
      <c r="R79" s="46">
        <v>3899</v>
      </c>
      <c r="S79" s="46">
        <v>3799</v>
      </c>
      <c r="T79" s="46">
        <v>3099</v>
      </c>
      <c r="U79" s="46">
        <v>3099</v>
      </c>
      <c r="V79" s="46">
        <v>3099</v>
      </c>
      <c r="W79" s="46">
        <v>3099</v>
      </c>
      <c r="X79" s="46">
        <v>2999</v>
      </c>
      <c r="Y79" s="46">
        <v>2499</v>
      </c>
      <c r="Z79" s="46">
        <v>2499</v>
      </c>
      <c r="AA79" s="46">
        <v>2499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">
        <v>65</v>
      </c>
      <c r="AX79" s="51" t="s">
        <v>82</v>
      </c>
    </row>
    <row r="80" spans="1:50" ht="22.5" customHeight="1">
      <c r="A80" s="52" t="s">
        <v>70</v>
      </c>
      <c r="B80" s="41" t="s">
        <v>62</v>
      </c>
      <c r="C80" s="42">
        <v>4015262</v>
      </c>
      <c r="D80" s="43" t="s">
        <v>137</v>
      </c>
      <c r="E80" s="43" t="s">
        <v>143</v>
      </c>
      <c r="F80" s="45">
        <v>7299</v>
      </c>
      <c r="G80" s="45">
        <v>3899</v>
      </c>
      <c r="H80" s="46">
        <v>5299</v>
      </c>
      <c r="I80" s="46">
        <v>5299</v>
      </c>
      <c r="J80" s="45">
        <v>4199</v>
      </c>
      <c r="K80" s="45">
        <v>4199</v>
      </c>
      <c r="L80" s="45">
        <v>4199</v>
      </c>
      <c r="M80" s="45">
        <v>4199</v>
      </c>
      <c r="N80" s="45">
        <v>4199</v>
      </c>
      <c r="O80" s="46">
        <v>3899</v>
      </c>
      <c r="P80" s="46">
        <v>3799</v>
      </c>
      <c r="Q80" s="46">
        <v>3099</v>
      </c>
      <c r="R80" s="46">
        <v>3899</v>
      </c>
      <c r="S80" s="46">
        <v>3799</v>
      </c>
      <c r="T80" s="46">
        <v>3099</v>
      </c>
      <c r="U80" s="46">
        <v>3099</v>
      </c>
      <c r="V80" s="46">
        <v>3099</v>
      </c>
      <c r="W80" s="46">
        <v>3099</v>
      </c>
      <c r="X80" s="46">
        <v>2999</v>
      </c>
      <c r="Y80" s="46">
        <v>2499</v>
      </c>
      <c r="Z80" s="46">
        <v>2499</v>
      </c>
      <c r="AA80" s="46">
        <v>2499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">
        <v>65</v>
      </c>
      <c r="AX80" s="51" t="s">
        <v>82</v>
      </c>
    </row>
    <row r="81" spans="1:50" ht="22.5" customHeight="1">
      <c r="A81" s="52" t="s">
        <v>70</v>
      </c>
      <c r="B81" s="41" t="s">
        <v>62</v>
      </c>
      <c r="C81" s="42">
        <v>4015263</v>
      </c>
      <c r="D81" s="43" t="s">
        <v>137</v>
      </c>
      <c r="E81" s="43" t="s">
        <v>144</v>
      </c>
      <c r="F81" s="45">
        <v>7299</v>
      </c>
      <c r="G81" s="45">
        <v>3899</v>
      </c>
      <c r="H81" s="46">
        <v>5299</v>
      </c>
      <c r="I81" s="46">
        <v>5299</v>
      </c>
      <c r="J81" s="45">
        <v>4199</v>
      </c>
      <c r="K81" s="45">
        <v>4199</v>
      </c>
      <c r="L81" s="45">
        <v>4199</v>
      </c>
      <c r="M81" s="45">
        <v>4199</v>
      </c>
      <c r="N81" s="45">
        <v>4199</v>
      </c>
      <c r="O81" s="46">
        <v>3899</v>
      </c>
      <c r="P81" s="46">
        <v>3799</v>
      </c>
      <c r="Q81" s="46">
        <v>3099</v>
      </c>
      <c r="R81" s="46">
        <v>3899</v>
      </c>
      <c r="S81" s="46">
        <v>3799</v>
      </c>
      <c r="T81" s="46">
        <v>3099</v>
      </c>
      <c r="U81" s="46">
        <v>3099</v>
      </c>
      <c r="V81" s="46">
        <v>3099</v>
      </c>
      <c r="W81" s="46">
        <v>3099</v>
      </c>
      <c r="X81" s="46">
        <v>2999</v>
      </c>
      <c r="Y81" s="46">
        <v>2499</v>
      </c>
      <c r="Z81" s="46">
        <v>2499</v>
      </c>
      <c r="AA81" s="46">
        <v>2499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">
        <v>65</v>
      </c>
      <c r="AX81" s="51" t="s">
        <v>82</v>
      </c>
    </row>
    <row r="82" spans="1:50" ht="22.5" customHeight="1">
      <c r="A82" s="52" t="s">
        <v>70</v>
      </c>
      <c r="B82" s="41" t="s">
        <v>62</v>
      </c>
      <c r="C82" s="42">
        <v>4015264</v>
      </c>
      <c r="D82" s="43" t="s">
        <v>137</v>
      </c>
      <c r="E82" s="43" t="s">
        <v>145</v>
      </c>
      <c r="F82" s="45">
        <v>7299</v>
      </c>
      <c r="G82" s="45">
        <v>3899</v>
      </c>
      <c r="H82" s="46">
        <v>5299</v>
      </c>
      <c r="I82" s="46">
        <v>5299</v>
      </c>
      <c r="J82" s="45">
        <v>4199</v>
      </c>
      <c r="K82" s="45">
        <v>4199</v>
      </c>
      <c r="L82" s="45">
        <v>4199</v>
      </c>
      <c r="M82" s="45">
        <v>4199</v>
      </c>
      <c r="N82" s="45">
        <v>4199</v>
      </c>
      <c r="O82" s="46">
        <v>3899</v>
      </c>
      <c r="P82" s="46">
        <v>3799</v>
      </c>
      <c r="Q82" s="46">
        <v>3099</v>
      </c>
      <c r="R82" s="46">
        <v>3899</v>
      </c>
      <c r="S82" s="46">
        <v>3799</v>
      </c>
      <c r="T82" s="46">
        <v>3099</v>
      </c>
      <c r="U82" s="46">
        <v>3099</v>
      </c>
      <c r="V82" s="46">
        <v>3099</v>
      </c>
      <c r="W82" s="46">
        <v>3099</v>
      </c>
      <c r="X82" s="46">
        <v>2999</v>
      </c>
      <c r="Y82" s="46">
        <v>2499</v>
      </c>
      <c r="Z82" s="46">
        <v>2499</v>
      </c>
      <c r="AA82" s="46">
        <v>2499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">
        <v>65</v>
      </c>
      <c r="AX82" s="51" t="s">
        <v>82</v>
      </c>
    </row>
    <row r="83" spans="1:50" ht="22.5" customHeight="1">
      <c r="A83" s="52" t="s">
        <v>70</v>
      </c>
      <c r="B83" s="41" t="s">
        <v>62</v>
      </c>
      <c r="C83" s="42">
        <v>4015266</v>
      </c>
      <c r="D83" s="43" t="s">
        <v>137</v>
      </c>
      <c r="E83" s="43" t="s">
        <v>146</v>
      </c>
      <c r="F83" s="45">
        <v>7299</v>
      </c>
      <c r="G83" s="45">
        <v>3899</v>
      </c>
      <c r="H83" s="46">
        <v>5299</v>
      </c>
      <c r="I83" s="46">
        <v>5299</v>
      </c>
      <c r="J83" s="45">
        <v>4199</v>
      </c>
      <c r="K83" s="45">
        <v>4199</v>
      </c>
      <c r="L83" s="45">
        <v>4199</v>
      </c>
      <c r="M83" s="45">
        <v>4199</v>
      </c>
      <c r="N83" s="45">
        <v>4199</v>
      </c>
      <c r="O83" s="46">
        <v>3899</v>
      </c>
      <c r="P83" s="46">
        <v>3799</v>
      </c>
      <c r="Q83" s="46">
        <v>3099</v>
      </c>
      <c r="R83" s="46">
        <v>3899</v>
      </c>
      <c r="S83" s="46">
        <v>3799</v>
      </c>
      <c r="T83" s="46">
        <v>3099</v>
      </c>
      <c r="U83" s="46">
        <v>3099</v>
      </c>
      <c r="V83" s="46">
        <v>3099</v>
      </c>
      <c r="W83" s="46">
        <v>3099</v>
      </c>
      <c r="X83" s="46">
        <v>2999</v>
      </c>
      <c r="Y83" s="46">
        <v>2499</v>
      </c>
      <c r="Z83" s="46">
        <v>2499</v>
      </c>
      <c r="AA83" s="46">
        <v>2499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">
        <v>65</v>
      </c>
      <c r="AX83" s="51" t="s">
        <v>82</v>
      </c>
    </row>
    <row r="84" spans="1:50" ht="22.5" customHeight="1">
      <c r="A84" s="52" t="s">
        <v>70</v>
      </c>
      <c r="B84" s="41" t="s">
        <v>62</v>
      </c>
      <c r="C84" s="42">
        <v>4015265</v>
      </c>
      <c r="D84" s="43" t="s">
        <v>137</v>
      </c>
      <c r="E84" s="43" t="s">
        <v>147</v>
      </c>
      <c r="F84" s="45">
        <v>7299</v>
      </c>
      <c r="G84" s="45">
        <v>3899</v>
      </c>
      <c r="H84" s="46">
        <v>5299</v>
      </c>
      <c r="I84" s="46">
        <v>5299</v>
      </c>
      <c r="J84" s="45">
        <v>4199</v>
      </c>
      <c r="K84" s="45">
        <v>4199</v>
      </c>
      <c r="L84" s="45">
        <v>4199</v>
      </c>
      <c r="M84" s="45">
        <v>4199</v>
      </c>
      <c r="N84" s="45">
        <v>4199</v>
      </c>
      <c r="O84" s="46">
        <v>3899</v>
      </c>
      <c r="P84" s="46">
        <v>3799</v>
      </c>
      <c r="Q84" s="46">
        <v>3099</v>
      </c>
      <c r="R84" s="46">
        <v>3899</v>
      </c>
      <c r="S84" s="46">
        <v>3799</v>
      </c>
      <c r="T84" s="46">
        <v>3099</v>
      </c>
      <c r="U84" s="46">
        <v>3099</v>
      </c>
      <c r="V84" s="46">
        <v>3099</v>
      </c>
      <c r="W84" s="46">
        <v>3099</v>
      </c>
      <c r="X84" s="46">
        <v>2999</v>
      </c>
      <c r="Y84" s="46">
        <v>2499</v>
      </c>
      <c r="Z84" s="46">
        <v>2499</v>
      </c>
      <c r="AA84" s="46">
        <v>2499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">
        <v>65</v>
      </c>
      <c r="AX84" s="51" t="s">
        <v>82</v>
      </c>
    </row>
    <row r="85" spans="1:50" ht="22.5" customHeight="1">
      <c r="A85" s="52" t="s">
        <v>70</v>
      </c>
      <c r="B85" s="41" t="s">
        <v>62</v>
      </c>
      <c r="C85" s="42">
        <v>4015017</v>
      </c>
      <c r="D85" s="43" t="s">
        <v>148</v>
      </c>
      <c r="E85" s="43" t="s">
        <v>149</v>
      </c>
      <c r="F85" s="45">
        <v>7799</v>
      </c>
      <c r="G85" s="45">
        <v>2899</v>
      </c>
      <c r="H85" s="46">
        <v>4399</v>
      </c>
      <c r="I85" s="46">
        <v>4399</v>
      </c>
      <c r="J85" s="45">
        <v>4399</v>
      </c>
      <c r="K85" s="45">
        <v>4399</v>
      </c>
      <c r="L85" s="45">
        <v>4399</v>
      </c>
      <c r="M85" s="45">
        <v>4399</v>
      </c>
      <c r="N85" s="45">
        <v>4399</v>
      </c>
      <c r="O85" s="46">
        <v>4299</v>
      </c>
      <c r="P85" s="46">
        <v>4199</v>
      </c>
      <c r="Q85" s="46">
        <v>3499</v>
      </c>
      <c r="R85" s="46">
        <v>4299</v>
      </c>
      <c r="S85" s="46">
        <v>4199</v>
      </c>
      <c r="T85" s="46">
        <v>3499</v>
      </c>
      <c r="U85" s="46">
        <v>3499</v>
      </c>
      <c r="V85" s="46">
        <v>3499</v>
      </c>
      <c r="W85" s="46">
        <v>3499</v>
      </c>
      <c r="X85" s="46">
        <v>3399</v>
      </c>
      <c r="Y85" s="46">
        <v>2499</v>
      </c>
      <c r="Z85" s="46">
        <v>2499</v>
      </c>
      <c r="AA85" s="46">
        <v>2499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">
        <v>65</v>
      </c>
      <c r="AX85" s="51" t="s">
        <v>82</v>
      </c>
    </row>
    <row r="86" spans="1:50" ht="22.5" customHeight="1">
      <c r="A86" s="52" t="s">
        <v>70</v>
      </c>
      <c r="B86" s="41" t="s">
        <v>62</v>
      </c>
      <c r="C86" s="42">
        <v>4015163</v>
      </c>
      <c r="D86" s="43" t="s">
        <v>148</v>
      </c>
      <c r="E86" s="43" t="s">
        <v>150</v>
      </c>
      <c r="F86" s="45">
        <v>7799</v>
      </c>
      <c r="G86" s="45">
        <v>2899</v>
      </c>
      <c r="H86" s="46">
        <v>4399</v>
      </c>
      <c r="I86" s="46">
        <v>4399</v>
      </c>
      <c r="J86" s="45">
        <v>4399</v>
      </c>
      <c r="K86" s="45">
        <v>4399</v>
      </c>
      <c r="L86" s="45">
        <v>4399</v>
      </c>
      <c r="M86" s="45">
        <v>4399</v>
      </c>
      <c r="N86" s="45">
        <v>4399</v>
      </c>
      <c r="O86" s="46">
        <v>4299</v>
      </c>
      <c r="P86" s="46">
        <v>4199</v>
      </c>
      <c r="Q86" s="46">
        <v>3499</v>
      </c>
      <c r="R86" s="46">
        <v>4299</v>
      </c>
      <c r="S86" s="46">
        <v>4199</v>
      </c>
      <c r="T86" s="46">
        <v>3499</v>
      </c>
      <c r="U86" s="46">
        <v>3499</v>
      </c>
      <c r="V86" s="46">
        <v>3499</v>
      </c>
      <c r="W86" s="46">
        <v>3499</v>
      </c>
      <c r="X86" s="46">
        <v>3399</v>
      </c>
      <c r="Y86" s="46">
        <v>2499</v>
      </c>
      <c r="Z86" s="46">
        <v>2499</v>
      </c>
      <c r="AA86" s="46">
        <v>2499</v>
      </c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">
        <v>65</v>
      </c>
      <c r="AX86" s="51" t="s">
        <v>82</v>
      </c>
    </row>
    <row r="87" spans="1:50" ht="22.5" customHeight="1">
      <c r="A87" s="52" t="s">
        <v>70</v>
      </c>
      <c r="B87" s="41" t="s">
        <v>62</v>
      </c>
      <c r="C87" s="42">
        <v>4015180</v>
      </c>
      <c r="D87" s="43" t="s">
        <v>148</v>
      </c>
      <c r="E87" s="43" t="s">
        <v>151</v>
      </c>
      <c r="F87" s="45">
        <v>7799</v>
      </c>
      <c r="G87" s="45">
        <v>2899</v>
      </c>
      <c r="H87" s="46">
        <v>4399</v>
      </c>
      <c r="I87" s="46">
        <v>4399</v>
      </c>
      <c r="J87" s="45">
        <v>4399</v>
      </c>
      <c r="K87" s="45">
        <v>4399</v>
      </c>
      <c r="L87" s="45">
        <v>4399</v>
      </c>
      <c r="M87" s="45">
        <v>4399</v>
      </c>
      <c r="N87" s="45">
        <v>4399</v>
      </c>
      <c r="O87" s="46">
        <v>4299</v>
      </c>
      <c r="P87" s="46">
        <v>4199</v>
      </c>
      <c r="Q87" s="46">
        <v>3499</v>
      </c>
      <c r="R87" s="46">
        <v>4299</v>
      </c>
      <c r="S87" s="46">
        <v>4199</v>
      </c>
      <c r="T87" s="46">
        <v>3499</v>
      </c>
      <c r="U87" s="46">
        <v>3499</v>
      </c>
      <c r="V87" s="46">
        <v>3499</v>
      </c>
      <c r="W87" s="46">
        <v>3499</v>
      </c>
      <c r="X87" s="46">
        <v>3399</v>
      </c>
      <c r="Y87" s="46">
        <v>2499</v>
      </c>
      <c r="Z87" s="46">
        <v>2499</v>
      </c>
      <c r="AA87" s="46">
        <v>2499</v>
      </c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">
        <v>65</v>
      </c>
      <c r="AX87" s="51" t="s">
        <v>82</v>
      </c>
    </row>
    <row r="88" spans="1:50" ht="22.5" customHeight="1">
      <c r="A88" s="52" t="s">
        <v>70</v>
      </c>
      <c r="B88" s="41" t="s">
        <v>62</v>
      </c>
      <c r="C88" s="42">
        <v>4015186</v>
      </c>
      <c r="D88" s="43" t="s">
        <v>148</v>
      </c>
      <c r="E88" s="43" t="s">
        <v>152</v>
      </c>
      <c r="F88" s="45">
        <v>7799</v>
      </c>
      <c r="G88" s="45">
        <v>2899</v>
      </c>
      <c r="H88" s="46">
        <v>4399</v>
      </c>
      <c r="I88" s="46">
        <v>4399</v>
      </c>
      <c r="J88" s="45">
        <v>4399</v>
      </c>
      <c r="K88" s="45">
        <v>4399</v>
      </c>
      <c r="L88" s="45">
        <v>4399</v>
      </c>
      <c r="M88" s="45">
        <v>4399</v>
      </c>
      <c r="N88" s="45">
        <v>4399</v>
      </c>
      <c r="O88" s="46">
        <v>4299</v>
      </c>
      <c r="P88" s="46">
        <v>4199</v>
      </c>
      <c r="Q88" s="46">
        <v>3499</v>
      </c>
      <c r="R88" s="46">
        <v>4299</v>
      </c>
      <c r="S88" s="46">
        <v>4199</v>
      </c>
      <c r="T88" s="46">
        <v>3499</v>
      </c>
      <c r="U88" s="46">
        <v>3499</v>
      </c>
      <c r="V88" s="46">
        <v>3499</v>
      </c>
      <c r="W88" s="46">
        <v>3499</v>
      </c>
      <c r="X88" s="46">
        <v>3399</v>
      </c>
      <c r="Y88" s="46">
        <v>2499</v>
      </c>
      <c r="Z88" s="46">
        <v>2499</v>
      </c>
      <c r="AA88" s="46">
        <v>2499</v>
      </c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">
        <v>65</v>
      </c>
      <c r="AX88" s="51" t="s">
        <v>82</v>
      </c>
    </row>
    <row r="89" spans="1:50" ht="22.5" customHeight="1">
      <c r="A89" s="52" t="s">
        <v>70</v>
      </c>
      <c r="B89" s="41" t="s">
        <v>62</v>
      </c>
      <c r="C89" s="42">
        <v>4015172</v>
      </c>
      <c r="D89" s="43" t="s">
        <v>148</v>
      </c>
      <c r="E89" s="43" t="s">
        <v>153</v>
      </c>
      <c r="F89" s="45">
        <v>7799</v>
      </c>
      <c r="G89" s="45">
        <v>2899</v>
      </c>
      <c r="H89" s="46">
        <v>4399</v>
      </c>
      <c r="I89" s="46">
        <v>4399</v>
      </c>
      <c r="J89" s="45">
        <v>4399</v>
      </c>
      <c r="K89" s="45">
        <v>4399</v>
      </c>
      <c r="L89" s="45">
        <v>4399</v>
      </c>
      <c r="M89" s="45">
        <v>4399</v>
      </c>
      <c r="N89" s="45">
        <v>4399</v>
      </c>
      <c r="O89" s="46">
        <v>4299</v>
      </c>
      <c r="P89" s="46">
        <v>4199</v>
      </c>
      <c r="Q89" s="46">
        <v>3499</v>
      </c>
      <c r="R89" s="46">
        <v>4299</v>
      </c>
      <c r="S89" s="46">
        <v>4199</v>
      </c>
      <c r="T89" s="46">
        <v>3499</v>
      </c>
      <c r="U89" s="46">
        <v>3499</v>
      </c>
      <c r="V89" s="46">
        <v>3499</v>
      </c>
      <c r="W89" s="46">
        <v>3499</v>
      </c>
      <c r="X89" s="46">
        <v>3399</v>
      </c>
      <c r="Y89" s="46">
        <v>2499</v>
      </c>
      <c r="Z89" s="46">
        <v>2499</v>
      </c>
      <c r="AA89" s="46">
        <v>2499</v>
      </c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">
        <v>65</v>
      </c>
      <c r="AX89" s="51" t="s">
        <v>82</v>
      </c>
    </row>
    <row r="90" spans="1:50" ht="22.5" customHeight="1">
      <c r="A90" s="52" t="s">
        <v>70</v>
      </c>
      <c r="B90" s="41" t="s">
        <v>62</v>
      </c>
      <c r="C90" s="42">
        <v>4015267</v>
      </c>
      <c r="D90" s="43" t="s">
        <v>148</v>
      </c>
      <c r="E90" s="43" t="s">
        <v>154</v>
      </c>
      <c r="F90" s="45">
        <v>7799</v>
      </c>
      <c r="G90" s="45">
        <v>2899</v>
      </c>
      <c r="H90" s="46">
        <v>4399</v>
      </c>
      <c r="I90" s="46">
        <v>4399</v>
      </c>
      <c r="J90" s="45">
        <v>4399</v>
      </c>
      <c r="K90" s="45">
        <v>4399</v>
      </c>
      <c r="L90" s="45">
        <v>4399</v>
      </c>
      <c r="M90" s="45">
        <v>4399</v>
      </c>
      <c r="N90" s="45">
        <v>4399</v>
      </c>
      <c r="O90" s="46">
        <v>4299</v>
      </c>
      <c r="P90" s="46">
        <v>4199</v>
      </c>
      <c r="Q90" s="46">
        <v>3499</v>
      </c>
      <c r="R90" s="46">
        <v>4299</v>
      </c>
      <c r="S90" s="46">
        <v>4199</v>
      </c>
      <c r="T90" s="46">
        <v>3499</v>
      </c>
      <c r="U90" s="46">
        <v>3499</v>
      </c>
      <c r="V90" s="46">
        <v>3499</v>
      </c>
      <c r="W90" s="46">
        <v>3499</v>
      </c>
      <c r="X90" s="46">
        <v>3399</v>
      </c>
      <c r="Y90" s="46">
        <v>2499</v>
      </c>
      <c r="Z90" s="46">
        <v>2499</v>
      </c>
      <c r="AA90" s="46">
        <v>2499</v>
      </c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">
        <v>65</v>
      </c>
      <c r="AX90" s="51" t="s">
        <v>82</v>
      </c>
    </row>
    <row r="91" spans="1:50" ht="22.5" customHeight="1">
      <c r="A91" s="52" t="s">
        <v>70</v>
      </c>
      <c r="B91" s="41" t="s">
        <v>62</v>
      </c>
      <c r="C91" s="42">
        <v>4015401</v>
      </c>
      <c r="D91" s="43" t="s">
        <v>148</v>
      </c>
      <c r="E91" s="43" t="s">
        <v>155</v>
      </c>
      <c r="F91" s="45">
        <v>7799</v>
      </c>
      <c r="G91" s="45">
        <v>2899</v>
      </c>
      <c r="H91" s="46">
        <v>4399</v>
      </c>
      <c r="I91" s="46">
        <v>4399</v>
      </c>
      <c r="J91" s="45">
        <v>4399</v>
      </c>
      <c r="K91" s="45">
        <v>4399</v>
      </c>
      <c r="L91" s="45">
        <v>4399</v>
      </c>
      <c r="M91" s="45">
        <v>4399</v>
      </c>
      <c r="N91" s="45">
        <v>4399</v>
      </c>
      <c r="O91" s="46">
        <v>4299</v>
      </c>
      <c r="P91" s="46">
        <v>4199</v>
      </c>
      <c r="Q91" s="46">
        <v>3499</v>
      </c>
      <c r="R91" s="46">
        <v>4299</v>
      </c>
      <c r="S91" s="46">
        <v>4199</v>
      </c>
      <c r="T91" s="46">
        <v>3499</v>
      </c>
      <c r="U91" s="46">
        <v>3499</v>
      </c>
      <c r="V91" s="46">
        <v>3499</v>
      </c>
      <c r="W91" s="46">
        <v>3499</v>
      </c>
      <c r="X91" s="46">
        <v>3399</v>
      </c>
      <c r="Y91" s="46">
        <v>2499</v>
      </c>
      <c r="Z91" s="46">
        <v>2499</v>
      </c>
      <c r="AA91" s="46">
        <v>2499</v>
      </c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">
        <v>65</v>
      </c>
      <c r="AX91" s="51" t="s">
        <v>82</v>
      </c>
    </row>
    <row r="92" spans="1:50" ht="22.5" customHeight="1">
      <c r="A92" s="52" t="s">
        <v>70</v>
      </c>
      <c r="B92" s="41" t="s">
        <v>62</v>
      </c>
      <c r="C92" s="42">
        <v>4015268</v>
      </c>
      <c r="D92" s="43" t="s">
        <v>148</v>
      </c>
      <c r="E92" s="43" t="s">
        <v>156</v>
      </c>
      <c r="F92" s="45">
        <v>7799</v>
      </c>
      <c r="G92" s="45">
        <v>2899</v>
      </c>
      <c r="H92" s="46">
        <v>4399</v>
      </c>
      <c r="I92" s="46">
        <v>4399</v>
      </c>
      <c r="J92" s="45">
        <v>4399</v>
      </c>
      <c r="K92" s="45">
        <v>4399</v>
      </c>
      <c r="L92" s="45">
        <v>4399</v>
      </c>
      <c r="M92" s="45">
        <v>4399</v>
      </c>
      <c r="N92" s="45">
        <v>4399</v>
      </c>
      <c r="O92" s="46">
        <v>4299</v>
      </c>
      <c r="P92" s="46">
        <v>4199</v>
      </c>
      <c r="Q92" s="46">
        <v>3499</v>
      </c>
      <c r="R92" s="46">
        <v>4299</v>
      </c>
      <c r="S92" s="46">
        <v>4199</v>
      </c>
      <c r="T92" s="46">
        <v>3499</v>
      </c>
      <c r="U92" s="46">
        <v>3499</v>
      </c>
      <c r="V92" s="46">
        <v>3499</v>
      </c>
      <c r="W92" s="46">
        <v>3499</v>
      </c>
      <c r="X92" s="46">
        <v>3399</v>
      </c>
      <c r="Y92" s="46">
        <v>2499</v>
      </c>
      <c r="Z92" s="46">
        <v>2499</v>
      </c>
      <c r="AA92" s="46">
        <v>2499</v>
      </c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">
        <v>65</v>
      </c>
      <c r="AX92" s="51" t="s">
        <v>82</v>
      </c>
    </row>
    <row r="93" spans="1:50" ht="22.5" customHeight="1">
      <c r="A93" s="52" t="s">
        <v>70</v>
      </c>
      <c r="B93" s="41" t="s">
        <v>62</v>
      </c>
      <c r="C93" s="42">
        <v>4015269</v>
      </c>
      <c r="D93" s="43" t="s">
        <v>148</v>
      </c>
      <c r="E93" s="43" t="s">
        <v>157</v>
      </c>
      <c r="F93" s="45">
        <v>7799</v>
      </c>
      <c r="G93" s="45">
        <v>2899</v>
      </c>
      <c r="H93" s="46">
        <v>4399</v>
      </c>
      <c r="I93" s="46">
        <v>4399</v>
      </c>
      <c r="J93" s="45">
        <v>4399</v>
      </c>
      <c r="K93" s="45">
        <v>4399</v>
      </c>
      <c r="L93" s="45">
        <v>4399</v>
      </c>
      <c r="M93" s="45">
        <v>4399</v>
      </c>
      <c r="N93" s="45">
        <v>4399</v>
      </c>
      <c r="O93" s="46">
        <v>4299</v>
      </c>
      <c r="P93" s="46">
        <v>4199</v>
      </c>
      <c r="Q93" s="46">
        <v>3499</v>
      </c>
      <c r="R93" s="46">
        <v>4299</v>
      </c>
      <c r="S93" s="46">
        <v>4199</v>
      </c>
      <c r="T93" s="46">
        <v>3499</v>
      </c>
      <c r="U93" s="46">
        <v>3499</v>
      </c>
      <c r="V93" s="46">
        <v>3499</v>
      </c>
      <c r="W93" s="46">
        <v>3499</v>
      </c>
      <c r="X93" s="46">
        <v>3399</v>
      </c>
      <c r="Y93" s="46">
        <v>2499</v>
      </c>
      <c r="Z93" s="46">
        <v>2499</v>
      </c>
      <c r="AA93" s="46">
        <v>2499</v>
      </c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">
        <v>65</v>
      </c>
      <c r="AX93" s="51" t="s">
        <v>82</v>
      </c>
    </row>
    <row r="94" spans="1:50" ht="22.5" customHeight="1">
      <c r="A94" s="52" t="s">
        <v>70</v>
      </c>
      <c r="B94" s="41" t="s">
        <v>62</v>
      </c>
      <c r="C94" s="42">
        <v>4015400</v>
      </c>
      <c r="D94" s="43" t="s">
        <v>148</v>
      </c>
      <c r="E94" s="43" t="s">
        <v>158</v>
      </c>
      <c r="F94" s="45">
        <v>7799</v>
      </c>
      <c r="G94" s="45">
        <v>2899</v>
      </c>
      <c r="H94" s="46">
        <v>4399</v>
      </c>
      <c r="I94" s="46">
        <v>4399</v>
      </c>
      <c r="J94" s="45">
        <v>4399</v>
      </c>
      <c r="K94" s="45">
        <v>4399</v>
      </c>
      <c r="L94" s="45">
        <v>4399</v>
      </c>
      <c r="M94" s="45">
        <v>4399</v>
      </c>
      <c r="N94" s="45">
        <v>4399</v>
      </c>
      <c r="O94" s="46">
        <v>4299</v>
      </c>
      <c r="P94" s="46">
        <v>4199</v>
      </c>
      <c r="Q94" s="46">
        <v>3499</v>
      </c>
      <c r="R94" s="46">
        <v>4299</v>
      </c>
      <c r="S94" s="46">
        <v>4199</v>
      </c>
      <c r="T94" s="46">
        <v>3499</v>
      </c>
      <c r="U94" s="46">
        <v>3499</v>
      </c>
      <c r="V94" s="46">
        <v>3499</v>
      </c>
      <c r="W94" s="46">
        <v>3499</v>
      </c>
      <c r="X94" s="46">
        <v>3399</v>
      </c>
      <c r="Y94" s="46">
        <v>2499</v>
      </c>
      <c r="Z94" s="46">
        <v>2499</v>
      </c>
      <c r="AA94" s="46">
        <v>2499</v>
      </c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">
        <v>65</v>
      </c>
      <c r="AX94" s="51" t="s">
        <v>82</v>
      </c>
    </row>
    <row r="95" spans="1:50" ht="22.5" customHeight="1">
      <c r="A95" s="52" t="s">
        <v>70</v>
      </c>
      <c r="B95" s="41" t="s">
        <v>62</v>
      </c>
      <c r="C95" s="42">
        <v>4015016</v>
      </c>
      <c r="D95" s="43" t="s">
        <v>159</v>
      </c>
      <c r="E95" s="43" t="s">
        <v>160</v>
      </c>
      <c r="F95" s="45">
        <v>7299</v>
      </c>
      <c r="G95" s="45">
        <v>3899</v>
      </c>
      <c r="H95" s="46">
        <v>4599</v>
      </c>
      <c r="I95" s="46">
        <v>4599</v>
      </c>
      <c r="J95" s="45">
        <v>4499</v>
      </c>
      <c r="K95" s="45">
        <v>4499</v>
      </c>
      <c r="L95" s="45">
        <v>4499</v>
      </c>
      <c r="M95" s="45">
        <v>4499</v>
      </c>
      <c r="N95" s="45">
        <v>4499</v>
      </c>
      <c r="O95" s="46">
        <v>4399</v>
      </c>
      <c r="P95" s="46">
        <v>4299</v>
      </c>
      <c r="Q95" s="46">
        <v>3499</v>
      </c>
      <c r="R95" s="46">
        <v>4399</v>
      </c>
      <c r="S95" s="46">
        <v>4299</v>
      </c>
      <c r="T95" s="46">
        <v>3499</v>
      </c>
      <c r="U95" s="46">
        <v>3499</v>
      </c>
      <c r="V95" s="46">
        <v>3499</v>
      </c>
      <c r="W95" s="46">
        <v>3499</v>
      </c>
      <c r="X95" s="46">
        <v>3399</v>
      </c>
      <c r="Y95" s="46">
        <v>2899</v>
      </c>
      <c r="Z95" s="46">
        <v>2899</v>
      </c>
      <c r="AA95" s="46">
        <v>2899</v>
      </c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">
        <v>65</v>
      </c>
      <c r="AX95" s="51" t="s">
        <v>82</v>
      </c>
    </row>
    <row r="96" spans="1:50" ht="22.5" customHeight="1">
      <c r="A96" s="52" t="s">
        <v>70</v>
      </c>
      <c r="B96" s="41" t="s">
        <v>62</v>
      </c>
      <c r="C96" s="42">
        <v>4015179</v>
      </c>
      <c r="D96" s="43" t="s">
        <v>159</v>
      </c>
      <c r="E96" s="43" t="s">
        <v>161</v>
      </c>
      <c r="F96" s="45">
        <v>7299</v>
      </c>
      <c r="G96" s="45">
        <v>3899</v>
      </c>
      <c r="H96" s="46">
        <v>4599</v>
      </c>
      <c r="I96" s="46">
        <v>4599</v>
      </c>
      <c r="J96" s="45">
        <v>4499</v>
      </c>
      <c r="K96" s="45">
        <v>4499</v>
      </c>
      <c r="L96" s="45">
        <v>4499</v>
      </c>
      <c r="M96" s="45">
        <v>4499</v>
      </c>
      <c r="N96" s="45">
        <v>4499</v>
      </c>
      <c r="O96" s="46">
        <v>4399</v>
      </c>
      <c r="P96" s="46">
        <v>4299</v>
      </c>
      <c r="Q96" s="46">
        <v>3499</v>
      </c>
      <c r="R96" s="46">
        <v>4399</v>
      </c>
      <c r="S96" s="46">
        <v>4299</v>
      </c>
      <c r="T96" s="46">
        <v>3499</v>
      </c>
      <c r="U96" s="46">
        <v>3499</v>
      </c>
      <c r="V96" s="46">
        <v>3499</v>
      </c>
      <c r="W96" s="46">
        <v>3499</v>
      </c>
      <c r="X96" s="46">
        <v>3399</v>
      </c>
      <c r="Y96" s="46">
        <v>2899</v>
      </c>
      <c r="Z96" s="46">
        <v>2899</v>
      </c>
      <c r="AA96" s="46">
        <v>2899</v>
      </c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">
        <v>65</v>
      </c>
      <c r="AX96" s="51" t="s">
        <v>82</v>
      </c>
    </row>
    <row r="97" spans="1:50" ht="22.5" customHeight="1">
      <c r="A97" s="52" t="s">
        <v>70</v>
      </c>
      <c r="B97" s="41" t="s">
        <v>62</v>
      </c>
      <c r="C97" s="42">
        <v>4015187</v>
      </c>
      <c r="D97" s="43" t="s">
        <v>159</v>
      </c>
      <c r="E97" s="43" t="s">
        <v>162</v>
      </c>
      <c r="F97" s="45">
        <v>7299</v>
      </c>
      <c r="G97" s="45">
        <v>3899</v>
      </c>
      <c r="H97" s="46">
        <v>4599</v>
      </c>
      <c r="I97" s="46">
        <v>4599</v>
      </c>
      <c r="J97" s="45">
        <v>4499</v>
      </c>
      <c r="K97" s="45">
        <v>4499</v>
      </c>
      <c r="L97" s="45">
        <v>4499</v>
      </c>
      <c r="M97" s="45">
        <v>4499</v>
      </c>
      <c r="N97" s="45">
        <v>4499</v>
      </c>
      <c r="O97" s="46">
        <v>4399</v>
      </c>
      <c r="P97" s="46">
        <v>4299</v>
      </c>
      <c r="Q97" s="46">
        <v>3499</v>
      </c>
      <c r="R97" s="46">
        <v>4399</v>
      </c>
      <c r="S97" s="46">
        <v>4299</v>
      </c>
      <c r="T97" s="46">
        <v>3499</v>
      </c>
      <c r="U97" s="46">
        <v>3499</v>
      </c>
      <c r="V97" s="46">
        <v>3499</v>
      </c>
      <c r="W97" s="46">
        <v>3499</v>
      </c>
      <c r="X97" s="46">
        <v>3399</v>
      </c>
      <c r="Y97" s="46">
        <v>2899</v>
      </c>
      <c r="Z97" s="46">
        <v>2899</v>
      </c>
      <c r="AA97" s="46">
        <v>2899</v>
      </c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">
        <v>65</v>
      </c>
      <c r="AX97" s="51" t="s">
        <v>82</v>
      </c>
    </row>
    <row r="98" spans="1:50" ht="22.5" customHeight="1">
      <c r="A98" s="52" t="s">
        <v>70</v>
      </c>
      <c r="B98" s="41" t="s">
        <v>62</v>
      </c>
      <c r="C98" s="42">
        <v>4015166</v>
      </c>
      <c r="D98" s="43" t="s">
        <v>159</v>
      </c>
      <c r="E98" s="43" t="s">
        <v>163</v>
      </c>
      <c r="F98" s="45">
        <v>7299</v>
      </c>
      <c r="G98" s="45">
        <v>3899</v>
      </c>
      <c r="H98" s="46">
        <v>4599</v>
      </c>
      <c r="I98" s="46">
        <v>4599</v>
      </c>
      <c r="J98" s="45">
        <v>4499</v>
      </c>
      <c r="K98" s="45">
        <v>4499</v>
      </c>
      <c r="L98" s="45">
        <v>4499</v>
      </c>
      <c r="M98" s="45">
        <v>4499</v>
      </c>
      <c r="N98" s="45">
        <v>4499</v>
      </c>
      <c r="O98" s="46">
        <v>4399</v>
      </c>
      <c r="P98" s="46">
        <v>4299</v>
      </c>
      <c r="Q98" s="46">
        <v>3499</v>
      </c>
      <c r="R98" s="46">
        <v>4399</v>
      </c>
      <c r="S98" s="46">
        <v>4299</v>
      </c>
      <c r="T98" s="46">
        <v>3499</v>
      </c>
      <c r="U98" s="46">
        <v>3499</v>
      </c>
      <c r="V98" s="46">
        <v>3499</v>
      </c>
      <c r="W98" s="46">
        <v>3499</v>
      </c>
      <c r="X98" s="46">
        <v>3399</v>
      </c>
      <c r="Y98" s="46">
        <v>2899</v>
      </c>
      <c r="Z98" s="46">
        <v>2899</v>
      </c>
      <c r="AA98" s="46">
        <v>2899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">
        <v>65</v>
      </c>
      <c r="AX98" s="51" t="s">
        <v>82</v>
      </c>
    </row>
    <row r="99" spans="1:50" ht="22.5" customHeight="1">
      <c r="A99" s="52" t="s">
        <v>70</v>
      </c>
      <c r="B99" s="41" t="s">
        <v>62</v>
      </c>
      <c r="C99" s="42">
        <v>4015173</v>
      </c>
      <c r="D99" s="43" t="s">
        <v>159</v>
      </c>
      <c r="E99" s="43" t="s">
        <v>164</v>
      </c>
      <c r="F99" s="45">
        <v>7299</v>
      </c>
      <c r="G99" s="45">
        <v>3899</v>
      </c>
      <c r="H99" s="46">
        <v>4599</v>
      </c>
      <c r="I99" s="46">
        <v>4599</v>
      </c>
      <c r="J99" s="45">
        <v>4499</v>
      </c>
      <c r="K99" s="45">
        <v>4499</v>
      </c>
      <c r="L99" s="45">
        <v>4499</v>
      </c>
      <c r="M99" s="45">
        <v>4499</v>
      </c>
      <c r="N99" s="45">
        <v>4499</v>
      </c>
      <c r="O99" s="46">
        <v>4399</v>
      </c>
      <c r="P99" s="46">
        <v>4299</v>
      </c>
      <c r="Q99" s="46">
        <v>3499</v>
      </c>
      <c r="R99" s="46">
        <v>4399</v>
      </c>
      <c r="S99" s="46">
        <v>4299</v>
      </c>
      <c r="T99" s="46">
        <v>3499</v>
      </c>
      <c r="U99" s="46">
        <v>3499</v>
      </c>
      <c r="V99" s="46">
        <v>3499</v>
      </c>
      <c r="W99" s="46">
        <v>3499</v>
      </c>
      <c r="X99" s="46">
        <v>3399</v>
      </c>
      <c r="Y99" s="46">
        <v>2899</v>
      </c>
      <c r="Z99" s="46">
        <v>2899</v>
      </c>
      <c r="AA99" s="46">
        <v>2899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">
        <v>65</v>
      </c>
      <c r="AX99" s="51" t="s">
        <v>82</v>
      </c>
    </row>
    <row r="100" spans="1:50" ht="22.5" customHeight="1">
      <c r="A100" s="52" t="s">
        <v>70</v>
      </c>
      <c r="B100" s="41" t="s">
        <v>62</v>
      </c>
      <c r="C100" s="42">
        <v>4015711</v>
      </c>
      <c r="D100" s="43" t="s">
        <v>159</v>
      </c>
      <c r="E100" s="43" t="s">
        <v>165</v>
      </c>
      <c r="F100" s="45">
        <v>7299</v>
      </c>
      <c r="G100" s="45">
        <v>3899</v>
      </c>
      <c r="H100" s="46">
        <v>4599</v>
      </c>
      <c r="I100" s="46">
        <v>4599</v>
      </c>
      <c r="J100" s="45">
        <v>4499</v>
      </c>
      <c r="K100" s="45">
        <v>4499</v>
      </c>
      <c r="L100" s="45">
        <v>4499</v>
      </c>
      <c r="M100" s="45">
        <v>4499</v>
      </c>
      <c r="N100" s="45">
        <v>4499</v>
      </c>
      <c r="O100" s="46">
        <v>4399</v>
      </c>
      <c r="P100" s="46">
        <v>4299</v>
      </c>
      <c r="Q100" s="46">
        <v>3499</v>
      </c>
      <c r="R100" s="46">
        <v>4399</v>
      </c>
      <c r="S100" s="46">
        <v>4299</v>
      </c>
      <c r="T100" s="46">
        <v>3499</v>
      </c>
      <c r="U100" s="46">
        <v>3499</v>
      </c>
      <c r="V100" s="46">
        <v>3499</v>
      </c>
      <c r="W100" s="46">
        <v>3499</v>
      </c>
      <c r="X100" s="46">
        <v>3399</v>
      </c>
      <c r="Y100" s="46">
        <v>2899</v>
      </c>
      <c r="Z100" s="46">
        <v>2899</v>
      </c>
      <c r="AA100" s="46">
        <v>2899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">
        <v>65</v>
      </c>
      <c r="AX100" s="51" t="s">
        <v>82</v>
      </c>
    </row>
    <row r="101" spans="1:50" ht="22.5" customHeight="1">
      <c r="A101" s="52" t="s">
        <v>70</v>
      </c>
      <c r="B101" s="41" t="s">
        <v>62</v>
      </c>
      <c r="C101" s="42">
        <v>4015713</v>
      </c>
      <c r="D101" s="43" t="s">
        <v>159</v>
      </c>
      <c r="E101" s="43" t="s">
        <v>166</v>
      </c>
      <c r="F101" s="45">
        <v>7299</v>
      </c>
      <c r="G101" s="45">
        <v>3899</v>
      </c>
      <c r="H101" s="46">
        <v>4599</v>
      </c>
      <c r="I101" s="46">
        <v>4599</v>
      </c>
      <c r="J101" s="45">
        <v>4499</v>
      </c>
      <c r="K101" s="45">
        <v>4499</v>
      </c>
      <c r="L101" s="45">
        <v>4499</v>
      </c>
      <c r="M101" s="45">
        <v>4499</v>
      </c>
      <c r="N101" s="45">
        <v>4499</v>
      </c>
      <c r="O101" s="46">
        <v>4399</v>
      </c>
      <c r="P101" s="46">
        <v>4299</v>
      </c>
      <c r="Q101" s="46">
        <v>3499</v>
      </c>
      <c r="R101" s="46">
        <v>4399</v>
      </c>
      <c r="S101" s="46">
        <v>4299</v>
      </c>
      <c r="T101" s="46">
        <v>3499</v>
      </c>
      <c r="U101" s="46">
        <v>3499</v>
      </c>
      <c r="V101" s="46">
        <v>3499</v>
      </c>
      <c r="W101" s="46">
        <v>3499</v>
      </c>
      <c r="X101" s="46">
        <v>3399</v>
      </c>
      <c r="Y101" s="46">
        <v>2899</v>
      </c>
      <c r="Z101" s="46">
        <v>2899</v>
      </c>
      <c r="AA101" s="46">
        <v>2899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">
        <v>65</v>
      </c>
      <c r="AX101" s="51" t="s">
        <v>82</v>
      </c>
    </row>
    <row r="102" spans="1:50" ht="22.5" customHeight="1">
      <c r="A102" s="52" t="s">
        <v>70</v>
      </c>
      <c r="B102" s="41" t="s">
        <v>62</v>
      </c>
      <c r="C102" s="42">
        <v>4015715</v>
      </c>
      <c r="D102" s="43" t="s">
        <v>159</v>
      </c>
      <c r="E102" s="43" t="s">
        <v>167</v>
      </c>
      <c r="F102" s="45">
        <v>7299</v>
      </c>
      <c r="G102" s="45">
        <v>3899</v>
      </c>
      <c r="H102" s="46">
        <v>4599</v>
      </c>
      <c r="I102" s="46">
        <v>4599</v>
      </c>
      <c r="J102" s="45">
        <v>4499</v>
      </c>
      <c r="K102" s="45">
        <v>4499</v>
      </c>
      <c r="L102" s="45">
        <v>4499</v>
      </c>
      <c r="M102" s="45">
        <v>4499</v>
      </c>
      <c r="N102" s="45">
        <v>4499</v>
      </c>
      <c r="O102" s="46">
        <v>4399</v>
      </c>
      <c r="P102" s="46">
        <v>4299</v>
      </c>
      <c r="Q102" s="46">
        <v>3499</v>
      </c>
      <c r="R102" s="46">
        <v>4399</v>
      </c>
      <c r="S102" s="46">
        <v>4299</v>
      </c>
      <c r="T102" s="46">
        <v>3499</v>
      </c>
      <c r="U102" s="46">
        <v>3499</v>
      </c>
      <c r="V102" s="46">
        <v>3499</v>
      </c>
      <c r="W102" s="46">
        <v>3499</v>
      </c>
      <c r="X102" s="46">
        <v>3399</v>
      </c>
      <c r="Y102" s="46">
        <v>2899</v>
      </c>
      <c r="Z102" s="46">
        <v>2899</v>
      </c>
      <c r="AA102" s="46">
        <v>2899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">
        <v>65</v>
      </c>
      <c r="AX102" s="51" t="s">
        <v>82</v>
      </c>
    </row>
    <row r="103" spans="1:50" ht="22.5" customHeight="1">
      <c r="A103" s="52" t="s">
        <v>70</v>
      </c>
      <c r="B103" s="41" t="s">
        <v>62</v>
      </c>
      <c r="C103" s="42">
        <v>4015717</v>
      </c>
      <c r="D103" s="43" t="s">
        <v>159</v>
      </c>
      <c r="E103" s="43" t="s">
        <v>168</v>
      </c>
      <c r="F103" s="45">
        <v>7299</v>
      </c>
      <c r="G103" s="45">
        <v>3899</v>
      </c>
      <c r="H103" s="46">
        <v>4599</v>
      </c>
      <c r="I103" s="46">
        <v>4599</v>
      </c>
      <c r="J103" s="45">
        <v>4499</v>
      </c>
      <c r="K103" s="45">
        <v>4499</v>
      </c>
      <c r="L103" s="45">
        <v>4499</v>
      </c>
      <c r="M103" s="45">
        <v>4499</v>
      </c>
      <c r="N103" s="45">
        <v>4499</v>
      </c>
      <c r="O103" s="46">
        <v>4399</v>
      </c>
      <c r="P103" s="46">
        <v>4299</v>
      </c>
      <c r="Q103" s="46">
        <v>3499</v>
      </c>
      <c r="R103" s="46">
        <v>4399</v>
      </c>
      <c r="S103" s="46">
        <v>4299</v>
      </c>
      <c r="T103" s="46">
        <v>3499</v>
      </c>
      <c r="U103" s="46">
        <v>3499</v>
      </c>
      <c r="V103" s="46">
        <v>3499</v>
      </c>
      <c r="W103" s="46">
        <v>3499</v>
      </c>
      <c r="X103" s="46">
        <v>3399</v>
      </c>
      <c r="Y103" s="46">
        <v>2899</v>
      </c>
      <c r="Z103" s="46">
        <v>2899</v>
      </c>
      <c r="AA103" s="46">
        <v>2899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">
        <v>65</v>
      </c>
      <c r="AX103" s="51" t="s">
        <v>82</v>
      </c>
    </row>
    <row r="104" spans="1:50" ht="22.5" customHeight="1">
      <c r="A104" s="52" t="s">
        <v>70</v>
      </c>
      <c r="B104" s="41" t="s">
        <v>62</v>
      </c>
      <c r="C104" s="42">
        <v>4015162</v>
      </c>
      <c r="D104" s="43" t="s">
        <v>169</v>
      </c>
      <c r="E104" s="43" t="s">
        <v>170</v>
      </c>
      <c r="F104" s="45">
        <v>11499</v>
      </c>
      <c r="G104" s="45">
        <v>6899</v>
      </c>
      <c r="H104" s="46">
        <v>7999</v>
      </c>
      <c r="I104" s="46">
        <v>7999</v>
      </c>
      <c r="J104" s="45">
        <v>6399</v>
      </c>
      <c r="K104" s="45">
        <v>6399</v>
      </c>
      <c r="L104" s="45">
        <v>6399</v>
      </c>
      <c r="M104" s="45">
        <v>6399</v>
      </c>
      <c r="N104" s="45">
        <v>6399</v>
      </c>
      <c r="O104" s="46">
        <v>6299</v>
      </c>
      <c r="P104" s="46">
        <v>6199</v>
      </c>
      <c r="Q104" s="46">
        <v>5999</v>
      </c>
      <c r="R104" s="46">
        <v>6299</v>
      </c>
      <c r="S104" s="46">
        <v>6199</v>
      </c>
      <c r="T104" s="46">
        <v>5999</v>
      </c>
      <c r="U104" s="46">
        <v>5999</v>
      </c>
      <c r="V104" s="46">
        <v>5999</v>
      </c>
      <c r="W104" s="46">
        <v>5999</v>
      </c>
      <c r="X104" s="46">
        <v>5899</v>
      </c>
      <c r="Y104" s="46">
        <v>5499</v>
      </c>
      <c r="Z104" s="46">
        <v>5499</v>
      </c>
      <c r="AA104" s="46">
        <v>5499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">
        <v>65</v>
      </c>
      <c r="AX104" s="51" t="s">
        <v>82</v>
      </c>
    </row>
    <row r="105" spans="1:50" ht="22.5" customHeight="1">
      <c r="A105" s="52" t="s">
        <v>70</v>
      </c>
      <c r="B105" s="41" t="s">
        <v>62</v>
      </c>
      <c r="C105" s="42">
        <v>4015176</v>
      </c>
      <c r="D105" s="43" t="s">
        <v>169</v>
      </c>
      <c r="E105" s="43" t="s">
        <v>171</v>
      </c>
      <c r="F105" s="45">
        <v>11499</v>
      </c>
      <c r="G105" s="45">
        <v>6899</v>
      </c>
      <c r="H105" s="46">
        <v>7999</v>
      </c>
      <c r="I105" s="46">
        <v>7999</v>
      </c>
      <c r="J105" s="45">
        <v>6399</v>
      </c>
      <c r="K105" s="45">
        <v>6399</v>
      </c>
      <c r="L105" s="45">
        <v>6399</v>
      </c>
      <c r="M105" s="45">
        <v>6399</v>
      </c>
      <c r="N105" s="45">
        <v>6399</v>
      </c>
      <c r="O105" s="46">
        <v>6299</v>
      </c>
      <c r="P105" s="46">
        <v>6199</v>
      </c>
      <c r="Q105" s="46">
        <v>5999</v>
      </c>
      <c r="R105" s="46">
        <v>6299</v>
      </c>
      <c r="S105" s="46">
        <v>6199</v>
      </c>
      <c r="T105" s="46">
        <v>5999</v>
      </c>
      <c r="U105" s="46">
        <v>5999</v>
      </c>
      <c r="V105" s="46">
        <v>5999</v>
      </c>
      <c r="W105" s="46">
        <v>5999</v>
      </c>
      <c r="X105" s="46">
        <v>5899</v>
      </c>
      <c r="Y105" s="46">
        <v>5499</v>
      </c>
      <c r="Z105" s="46">
        <v>5499</v>
      </c>
      <c r="AA105" s="46">
        <v>5499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">
        <v>65</v>
      </c>
      <c r="AX105" s="51" t="s">
        <v>82</v>
      </c>
    </row>
    <row r="106" spans="1:50" ht="22.5" customHeight="1">
      <c r="A106" s="52" t="s">
        <v>70</v>
      </c>
      <c r="B106" s="41" t="s">
        <v>62</v>
      </c>
      <c r="C106" s="42">
        <v>4015183</v>
      </c>
      <c r="D106" s="43" t="s">
        <v>169</v>
      </c>
      <c r="E106" s="43" t="s">
        <v>172</v>
      </c>
      <c r="F106" s="45">
        <v>11499</v>
      </c>
      <c r="G106" s="45">
        <v>6899</v>
      </c>
      <c r="H106" s="46">
        <v>7999</v>
      </c>
      <c r="I106" s="46">
        <v>7999</v>
      </c>
      <c r="J106" s="45">
        <v>6399</v>
      </c>
      <c r="K106" s="45">
        <v>6399</v>
      </c>
      <c r="L106" s="45">
        <v>6399</v>
      </c>
      <c r="M106" s="45">
        <v>6399</v>
      </c>
      <c r="N106" s="45">
        <v>6399</v>
      </c>
      <c r="O106" s="46">
        <v>6299</v>
      </c>
      <c r="P106" s="46">
        <v>6199</v>
      </c>
      <c r="Q106" s="46">
        <v>5999</v>
      </c>
      <c r="R106" s="46">
        <v>6299</v>
      </c>
      <c r="S106" s="46">
        <v>6199</v>
      </c>
      <c r="T106" s="46">
        <v>5999</v>
      </c>
      <c r="U106" s="46">
        <v>5999</v>
      </c>
      <c r="V106" s="46">
        <v>5999</v>
      </c>
      <c r="W106" s="46">
        <v>5999</v>
      </c>
      <c r="X106" s="46">
        <v>5899</v>
      </c>
      <c r="Y106" s="46">
        <v>5499</v>
      </c>
      <c r="Z106" s="46">
        <v>5499</v>
      </c>
      <c r="AA106" s="46">
        <v>5499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">
        <v>65</v>
      </c>
      <c r="AX106" s="51" t="s">
        <v>82</v>
      </c>
    </row>
    <row r="107" spans="1:50" ht="22.5" customHeight="1">
      <c r="A107" s="52" t="s">
        <v>70</v>
      </c>
      <c r="B107" s="41" t="s">
        <v>62</v>
      </c>
      <c r="C107" s="42">
        <v>4015160</v>
      </c>
      <c r="D107" s="43" t="s">
        <v>173</v>
      </c>
      <c r="E107" s="43" t="s">
        <v>174</v>
      </c>
      <c r="F107" s="45">
        <v>9499</v>
      </c>
      <c r="G107" s="45">
        <v>5199</v>
      </c>
      <c r="H107" s="46">
        <v>5999</v>
      </c>
      <c r="I107" s="46">
        <v>5999</v>
      </c>
      <c r="J107" s="45">
        <f t="shared" ref="J107:J109" si="4">M107</f>
        <v>5999</v>
      </c>
      <c r="K107" s="45">
        <v>5899</v>
      </c>
      <c r="L107" s="45">
        <v>5899</v>
      </c>
      <c r="M107" s="45">
        <v>5999</v>
      </c>
      <c r="N107" s="45">
        <v>5999</v>
      </c>
      <c r="O107" s="46">
        <v>5799</v>
      </c>
      <c r="P107" s="46">
        <v>5699</v>
      </c>
      <c r="Q107" s="46">
        <v>4999</v>
      </c>
      <c r="R107" s="46">
        <v>5799</v>
      </c>
      <c r="S107" s="46">
        <v>5699</v>
      </c>
      <c r="T107" s="46">
        <v>4999</v>
      </c>
      <c r="U107" s="46">
        <v>4899</v>
      </c>
      <c r="V107" s="46">
        <v>4899</v>
      </c>
      <c r="W107" s="46">
        <v>4799</v>
      </c>
      <c r="X107" s="46">
        <v>4699</v>
      </c>
      <c r="Y107" s="46">
        <v>4499</v>
      </c>
      <c r="Z107" s="46">
        <v>4399</v>
      </c>
      <c r="AA107" s="46">
        <v>4399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">
        <v>65</v>
      </c>
      <c r="AX107" s="51" t="s">
        <v>82</v>
      </c>
    </row>
    <row r="108" spans="1:50" ht="22.5" customHeight="1">
      <c r="A108" s="52" t="s">
        <v>70</v>
      </c>
      <c r="B108" s="41" t="s">
        <v>62</v>
      </c>
      <c r="C108" s="42">
        <v>4015174</v>
      </c>
      <c r="D108" s="43" t="s">
        <v>173</v>
      </c>
      <c r="E108" s="43" t="s">
        <v>175</v>
      </c>
      <c r="F108" s="45">
        <v>9499</v>
      </c>
      <c r="G108" s="45">
        <v>5199</v>
      </c>
      <c r="H108" s="46">
        <v>5999</v>
      </c>
      <c r="I108" s="46">
        <v>5999</v>
      </c>
      <c r="J108" s="45">
        <f t="shared" si="4"/>
        <v>5999</v>
      </c>
      <c r="K108" s="45">
        <v>5899</v>
      </c>
      <c r="L108" s="45">
        <v>5899</v>
      </c>
      <c r="M108" s="45">
        <v>5999</v>
      </c>
      <c r="N108" s="45">
        <v>5999</v>
      </c>
      <c r="O108" s="46">
        <v>5799</v>
      </c>
      <c r="P108" s="46">
        <v>5699</v>
      </c>
      <c r="Q108" s="46">
        <v>4999</v>
      </c>
      <c r="R108" s="46">
        <v>5799</v>
      </c>
      <c r="S108" s="46">
        <v>5699</v>
      </c>
      <c r="T108" s="46">
        <v>4999</v>
      </c>
      <c r="U108" s="46">
        <v>4899</v>
      </c>
      <c r="V108" s="46">
        <v>4899</v>
      </c>
      <c r="W108" s="46">
        <v>4799</v>
      </c>
      <c r="X108" s="46">
        <v>4699</v>
      </c>
      <c r="Y108" s="46">
        <v>4499</v>
      </c>
      <c r="Z108" s="46">
        <v>4399</v>
      </c>
      <c r="AA108" s="46">
        <v>4399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">
        <v>65</v>
      </c>
      <c r="AX108" s="51" t="s">
        <v>82</v>
      </c>
    </row>
    <row r="109" spans="1:50" ht="22.5" customHeight="1">
      <c r="A109" s="52" t="s">
        <v>70</v>
      </c>
      <c r="B109" s="41" t="s">
        <v>62</v>
      </c>
      <c r="C109" s="42">
        <v>4015181</v>
      </c>
      <c r="D109" s="43" t="s">
        <v>173</v>
      </c>
      <c r="E109" s="43" t="s">
        <v>176</v>
      </c>
      <c r="F109" s="45">
        <v>9499</v>
      </c>
      <c r="G109" s="45">
        <v>5199</v>
      </c>
      <c r="H109" s="46">
        <v>5999</v>
      </c>
      <c r="I109" s="46">
        <v>5999</v>
      </c>
      <c r="J109" s="45">
        <f t="shared" si="4"/>
        <v>5999</v>
      </c>
      <c r="K109" s="45">
        <v>5899</v>
      </c>
      <c r="L109" s="45">
        <v>5899</v>
      </c>
      <c r="M109" s="45">
        <v>5999</v>
      </c>
      <c r="N109" s="45">
        <v>5999</v>
      </c>
      <c r="O109" s="46">
        <v>5799</v>
      </c>
      <c r="P109" s="46">
        <v>5699</v>
      </c>
      <c r="Q109" s="46">
        <v>4999</v>
      </c>
      <c r="R109" s="46">
        <v>5799</v>
      </c>
      <c r="S109" s="46">
        <v>5699</v>
      </c>
      <c r="T109" s="46">
        <v>4999</v>
      </c>
      <c r="U109" s="46">
        <v>4899</v>
      </c>
      <c r="V109" s="46">
        <v>4899</v>
      </c>
      <c r="W109" s="46">
        <v>4799</v>
      </c>
      <c r="X109" s="46">
        <v>4699</v>
      </c>
      <c r="Y109" s="46">
        <v>4499</v>
      </c>
      <c r="Z109" s="46">
        <v>4399</v>
      </c>
      <c r="AA109" s="46">
        <v>4399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">
        <v>65</v>
      </c>
      <c r="AX109" s="51" t="s">
        <v>82</v>
      </c>
    </row>
    <row r="110" spans="1:50" ht="22.5" customHeight="1">
      <c r="A110" s="52" t="s">
        <v>70</v>
      </c>
      <c r="B110" s="41" t="s">
        <v>62</v>
      </c>
      <c r="C110" s="42">
        <v>4015112</v>
      </c>
      <c r="D110" s="43" t="s">
        <v>177</v>
      </c>
      <c r="E110" s="43" t="s">
        <v>178</v>
      </c>
      <c r="F110" s="45">
        <v>10499</v>
      </c>
      <c r="G110" s="45">
        <v>5899</v>
      </c>
      <c r="H110" s="46">
        <v>6999</v>
      </c>
      <c r="I110" s="46">
        <v>6999</v>
      </c>
      <c r="J110" s="45">
        <v>5899</v>
      </c>
      <c r="K110" s="45">
        <v>5899</v>
      </c>
      <c r="L110" s="45">
        <v>5899</v>
      </c>
      <c r="M110" s="45">
        <v>5899</v>
      </c>
      <c r="N110" s="45">
        <v>5899</v>
      </c>
      <c r="O110" s="46">
        <v>5799</v>
      </c>
      <c r="P110" s="46">
        <v>5699</v>
      </c>
      <c r="Q110" s="46">
        <v>5499</v>
      </c>
      <c r="R110" s="46">
        <v>5799</v>
      </c>
      <c r="S110" s="46">
        <v>5699</v>
      </c>
      <c r="T110" s="46">
        <v>5499</v>
      </c>
      <c r="U110" s="46">
        <v>5499</v>
      </c>
      <c r="V110" s="46">
        <v>5499</v>
      </c>
      <c r="W110" s="46">
        <v>5499</v>
      </c>
      <c r="X110" s="46">
        <v>5399</v>
      </c>
      <c r="Y110" s="46">
        <v>4999</v>
      </c>
      <c r="Z110" s="46">
        <v>4999</v>
      </c>
      <c r="AA110" s="46">
        <v>4999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">
        <v>65</v>
      </c>
      <c r="AX110" s="51" t="s">
        <v>82</v>
      </c>
    </row>
    <row r="111" spans="1:50" ht="22.5" customHeight="1">
      <c r="A111" s="52" t="s">
        <v>70</v>
      </c>
      <c r="B111" s="41" t="s">
        <v>62</v>
      </c>
      <c r="C111" s="42">
        <v>4015116</v>
      </c>
      <c r="D111" s="43" t="s">
        <v>177</v>
      </c>
      <c r="E111" s="43" t="s">
        <v>179</v>
      </c>
      <c r="F111" s="45">
        <v>10499</v>
      </c>
      <c r="G111" s="45">
        <v>5899</v>
      </c>
      <c r="H111" s="46">
        <v>6999</v>
      </c>
      <c r="I111" s="46">
        <v>6999</v>
      </c>
      <c r="J111" s="45">
        <v>5899</v>
      </c>
      <c r="K111" s="45">
        <v>5899</v>
      </c>
      <c r="L111" s="45">
        <v>5899</v>
      </c>
      <c r="M111" s="45">
        <v>5899</v>
      </c>
      <c r="N111" s="45">
        <v>5899</v>
      </c>
      <c r="O111" s="46">
        <v>5799</v>
      </c>
      <c r="P111" s="46">
        <v>5699</v>
      </c>
      <c r="Q111" s="46">
        <v>5499</v>
      </c>
      <c r="R111" s="46">
        <v>5799</v>
      </c>
      <c r="S111" s="46">
        <v>5699</v>
      </c>
      <c r="T111" s="46">
        <v>5499</v>
      </c>
      <c r="U111" s="46">
        <v>5499</v>
      </c>
      <c r="V111" s="46">
        <v>5499</v>
      </c>
      <c r="W111" s="46">
        <v>5499</v>
      </c>
      <c r="X111" s="46">
        <v>5399</v>
      </c>
      <c r="Y111" s="46">
        <v>4999</v>
      </c>
      <c r="Z111" s="46">
        <v>4999</v>
      </c>
      <c r="AA111" s="46">
        <v>4999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">
        <v>65</v>
      </c>
      <c r="AX111" s="51" t="s">
        <v>82</v>
      </c>
    </row>
    <row r="112" spans="1:50" ht="22.5" customHeight="1">
      <c r="A112" s="52" t="s">
        <v>70</v>
      </c>
      <c r="B112" s="41" t="s">
        <v>62</v>
      </c>
      <c r="C112" s="42">
        <v>4015118</v>
      </c>
      <c r="D112" s="43" t="s">
        <v>177</v>
      </c>
      <c r="E112" s="43" t="s">
        <v>180</v>
      </c>
      <c r="F112" s="45">
        <v>10499</v>
      </c>
      <c r="G112" s="45">
        <v>5899</v>
      </c>
      <c r="H112" s="46">
        <v>6999</v>
      </c>
      <c r="I112" s="46">
        <v>6999</v>
      </c>
      <c r="J112" s="45">
        <v>5899</v>
      </c>
      <c r="K112" s="45">
        <v>5899</v>
      </c>
      <c r="L112" s="45">
        <v>5899</v>
      </c>
      <c r="M112" s="45">
        <v>5899</v>
      </c>
      <c r="N112" s="45">
        <v>5899</v>
      </c>
      <c r="O112" s="46">
        <v>5799</v>
      </c>
      <c r="P112" s="46">
        <v>5699</v>
      </c>
      <c r="Q112" s="46">
        <v>5499</v>
      </c>
      <c r="R112" s="46">
        <v>5799</v>
      </c>
      <c r="S112" s="46">
        <v>5699</v>
      </c>
      <c r="T112" s="46">
        <v>5499</v>
      </c>
      <c r="U112" s="46">
        <v>5499</v>
      </c>
      <c r="V112" s="46">
        <v>5499</v>
      </c>
      <c r="W112" s="46">
        <v>5499</v>
      </c>
      <c r="X112" s="46">
        <v>5399</v>
      </c>
      <c r="Y112" s="46">
        <v>4999</v>
      </c>
      <c r="Z112" s="46">
        <v>4999</v>
      </c>
      <c r="AA112" s="46">
        <v>4999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">
        <v>65</v>
      </c>
      <c r="AX112" s="51" t="s">
        <v>82</v>
      </c>
    </row>
    <row r="113" spans="1:50" ht="22.5" customHeight="1">
      <c r="A113" s="52" t="s">
        <v>70</v>
      </c>
      <c r="B113" s="41" t="s">
        <v>62</v>
      </c>
      <c r="C113" s="42">
        <v>4015742</v>
      </c>
      <c r="D113" s="43" t="s">
        <v>181</v>
      </c>
      <c r="E113" s="43" t="s">
        <v>182</v>
      </c>
      <c r="F113" s="45">
        <v>7299</v>
      </c>
      <c r="G113" s="45">
        <v>5399</v>
      </c>
      <c r="H113" s="46">
        <v>5699</v>
      </c>
      <c r="I113" s="46">
        <v>5699</v>
      </c>
      <c r="J113" s="45">
        <v>4999</v>
      </c>
      <c r="K113" s="45">
        <v>4899</v>
      </c>
      <c r="L113" s="45">
        <v>4899</v>
      </c>
      <c r="M113" s="45">
        <v>4999</v>
      </c>
      <c r="N113" s="45">
        <v>4899</v>
      </c>
      <c r="O113" s="46">
        <v>4799</v>
      </c>
      <c r="P113" s="46">
        <v>4699</v>
      </c>
      <c r="Q113" s="46">
        <v>4499</v>
      </c>
      <c r="R113" s="46">
        <v>4799</v>
      </c>
      <c r="S113" s="46">
        <v>4699</v>
      </c>
      <c r="T113" s="46">
        <v>4499</v>
      </c>
      <c r="U113" s="46">
        <v>4399</v>
      </c>
      <c r="V113" s="46">
        <v>4399</v>
      </c>
      <c r="W113" s="46">
        <v>4299</v>
      </c>
      <c r="X113" s="46">
        <v>4199</v>
      </c>
      <c r="Y113" s="46">
        <v>3499</v>
      </c>
      <c r="Z113" s="46">
        <v>3499</v>
      </c>
      <c r="AA113" s="46">
        <v>3499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">
        <v>65</v>
      </c>
      <c r="AX113" s="51" t="s">
        <v>82</v>
      </c>
    </row>
    <row r="114" spans="1:50" ht="22.5" customHeight="1">
      <c r="A114" s="52" t="s">
        <v>70</v>
      </c>
      <c r="B114" s="41" t="s">
        <v>62</v>
      </c>
      <c r="C114" s="42">
        <v>4015724</v>
      </c>
      <c r="D114" s="43" t="s">
        <v>181</v>
      </c>
      <c r="E114" s="43" t="s">
        <v>183</v>
      </c>
      <c r="F114" s="45">
        <v>7299</v>
      </c>
      <c r="G114" s="45">
        <v>5399</v>
      </c>
      <c r="H114" s="46">
        <v>5699</v>
      </c>
      <c r="I114" s="46">
        <v>5699</v>
      </c>
      <c r="J114" s="45">
        <v>4999</v>
      </c>
      <c r="K114" s="45">
        <v>4899</v>
      </c>
      <c r="L114" s="45">
        <v>4899</v>
      </c>
      <c r="M114" s="45">
        <v>4999</v>
      </c>
      <c r="N114" s="45">
        <v>4899</v>
      </c>
      <c r="O114" s="46">
        <v>4799</v>
      </c>
      <c r="P114" s="46">
        <v>4699</v>
      </c>
      <c r="Q114" s="46">
        <v>4499</v>
      </c>
      <c r="R114" s="46">
        <v>4799</v>
      </c>
      <c r="S114" s="46">
        <v>4699</v>
      </c>
      <c r="T114" s="46">
        <v>4499</v>
      </c>
      <c r="U114" s="46">
        <v>4399</v>
      </c>
      <c r="V114" s="46">
        <v>4399</v>
      </c>
      <c r="W114" s="46">
        <v>4299</v>
      </c>
      <c r="X114" s="46">
        <v>4199</v>
      </c>
      <c r="Y114" s="46">
        <v>3499</v>
      </c>
      <c r="Z114" s="46">
        <v>3499</v>
      </c>
      <c r="AA114" s="46">
        <v>3499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">
        <v>65</v>
      </c>
      <c r="AX114" s="51" t="s">
        <v>82</v>
      </c>
    </row>
    <row r="115" spans="1:50" ht="22.5" customHeight="1">
      <c r="A115" s="52" t="s">
        <v>70</v>
      </c>
      <c r="B115" s="41" t="s">
        <v>62</v>
      </c>
      <c r="C115" s="42">
        <v>4015725</v>
      </c>
      <c r="D115" s="43" t="s">
        <v>181</v>
      </c>
      <c r="E115" s="43" t="s">
        <v>184</v>
      </c>
      <c r="F115" s="45">
        <v>7299</v>
      </c>
      <c r="G115" s="45">
        <v>5399</v>
      </c>
      <c r="H115" s="46">
        <v>5699</v>
      </c>
      <c r="I115" s="46">
        <v>5699</v>
      </c>
      <c r="J115" s="45">
        <v>4999</v>
      </c>
      <c r="K115" s="45">
        <v>4899</v>
      </c>
      <c r="L115" s="45">
        <v>4899</v>
      </c>
      <c r="M115" s="45">
        <v>4999</v>
      </c>
      <c r="N115" s="45">
        <v>4899</v>
      </c>
      <c r="O115" s="46">
        <v>4799</v>
      </c>
      <c r="P115" s="46">
        <v>4699</v>
      </c>
      <c r="Q115" s="46">
        <v>4499</v>
      </c>
      <c r="R115" s="46">
        <v>4799</v>
      </c>
      <c r="S115" s="46">
        <v>4699</v>
      </c>
      <c r="T115" s="46">
        <v>4499</v>
      </c>
      <c r="U115" s="46">
        <v>4399</v>
      </c>
      <c r="V115" s="46">
        <v>4399</v>
      </c>
      <c r="W115" s="46">
        <v>4299</v>
      </c>
      <c r="X115" s="46">
        <v>4199</v>
      </c>
      <c r="Y115" s="46">
        <v>3499</v>
      </c>
      <c r="Z115" s="46">
        <v>3499</v>
      </c>
      <c r="AA115" s="46">
        <v>3499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">
        <v>65</v>
      </c>
      <c r="AX115" s="51" t="s">
        <v>82</v>
      </c>
    </row>
    <row r="116" spans="1:50" ht="22.5" customHeight="1">
      <c r="A116" s="52" t="s">
        <v>70</v>
      </c>
      <c r="B116" s="41" t="s">
        <v>62</v>
      </c>
      <c r="C116" s="42">
        <v>4015794</v>
      </c>
      <c r="D116" s="43" t="s">
        <v>181</v>
      </c>
      <c r="E116" s="43" t="s">
        <v>185</v>
      </c>
      <c r="F116" s="45">
        <v>7299</v>
      </c>
      <c r="G116" s="45">
        <v>5399</v>
      </c>
      <c r="H116" s="46">
        <v>5699</v>
      </c>
      <c r="I116" s="46">
        <v>5699</v>
      </c>
      <c r="J116" s="45">
        <v>4999</v>
      </c>
      <c r="K116" s="45">
        <v>4899</v>
      </c>
      <c r="L116" s="45">
        <v>4899</v>
      </c>
      <c r="M116" s="45">
        <v>4999</v>
      </c>
      <c r="N116" s="45">
        <v>4899</v>
      </c>
      <c r="O116" s="46">
        <v>4799</v>
      </c>
      <c r="P116" s="46">
        <v>4699</v>
      </c>
      <c r="Q116" s="46">
        <v>4499</v>
      </c>
      <c r="R116" s="46">
        <v>4799</v>
      </c>
      <c r="S116" s="46">
        <v>4699</v>
      </c>
      <c r="T116" s="46">
        <v>4499</v>
      </c>
      <c r="U116" s="46">
        <v>4399</v>
      </c>
      <c r="V116" s="46">
        <v>4399</v>
      </c>
      <c r="W116" s="46">
        <v>4299</v>
      </c>
      <c r="X116" s="46">
        <v>4199</v>
      </c>
      <c r="Y116" s="46">
        <v>3499</v>
      </c>
      <c r="Z116" s="46">
        <v>3499</v>
      </c>
      <c r="AA116" s="46">
        <v>3499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">
        <v>65</v>
      </c>
      <c r="AX116" s="51" t="s">
        <v>82</v>
      </c>
    </row>
    <row r="117" spans="1:50" ht="22.5" customHeight="1">
      <c r="A117" s="52" t="s">
        <v>70</v>
      </c>
      <c r="B117" s="41" t="s">
        <v>62</v>
      </c>
      <c r="C117" s="42">
        <v>4015808</v>
      </c>
      <c r="D117" s="43" t="s">
        <v>181</v>
      </c>
      <c r="E117" s="43" t="s">
        <v>186</v>
      </c>
      <c r="F117" s="45">
        <v>7299</v>
      </c>
      <c r="G117" s="45">
        <v>5399</v>
      </c>
      <c r="H117" s="46">
        <v>5699</v>
      </c>
      <c r="I117" s="46">
        <v>5699</v>
      </c>
      <c r="J117" s="45">
        <v>4999</v>
      </c>
      <c r="K117" s="45">
        <v>4899</v>
      </c>
      <c r="L117" s="45">
        <v>4899</v>
      </c>
      <c r="M117" s="45">
        <v>4999</v>
      </c>
      <c r="N117" s="45">
        <v>4899</v>
      </c>
      <c r="O117" s="46">
        <v>4799</v>
      </c>
      <c r="P117" s="46">
        <v>4699</v>
      </c>
      <c r="Q117" s="46">
        <v>4499</v>
      </c>
      <c r="R117" s="46">
        <v>4799</v>
      </c>
      <c r="S117" s="46">
        <v>4699</v>
      </c>
      <c r="T117" s="46">
        <v>4499</v>
      </c>
      <c r="U117" s="46">
        <v>4399</v>
      </c>
      <c r="V117" s="46">
        <v>4399</v>
      </c>
      <c r="W117" s="46">
        <v>4299</v>
      </c>
      <c r="X117" s="46">
        <v>4199</v>
      </c>
      <c r="Y117" s="46">
        <v>3499</v>
      </c>
      <c r="Z117" s="46">
        <v>3499</v>
      </c>
      <c r="AA117" s="46">
        <v>3499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">
        <v>65</v>
      </c>
      <c r="AX117" s="51" t="s">
        <v>82</v>
      </c>
    </row>
    <row r="118" spans="1:50" ht="22.5" customHeight="1">
      <c r="A118" s="52" t="s">
        <v>70</v>
      </c>
      <c r="B118" s="41" t="s">
        <v>62</v>
      </c>
      <c r="C118" s="42">
        <v>4015743</v>
      </c>
      <c r="D118" s="53" t="s">
        <v>187</v>
      </c>
      <c r="E118" s="43" t="s">
        <v>188</v>
      </c>
      <c r="F118" s="45">
        <v>8099</v>
      </c>
      <c r="G118" s="45">
        <v>3899</v>
      </c>
      <c r="H118" s="46">
        <v>5299</v>
      </c>
      <c r="I118" s="46">
        <v>5299</v>
      </c>
      <c r="J118" s="45">
        <v>5199</v>
      </c>
      <c r="K118" s="45">
        <v>5199</v>
      </c>
      <c r="L118" s="45">
        <v>5199</v>
      </c>
      <c r="M118" s="45">
        <v>5199</v>
      </c>
      <c r="N118" s="45">
        <v>5199</v>
      </c>
      <c r="O118" s="46">
        <v>4999</v>
      </c>
      <c r="P118" s="46">
        <v>4899</v>
      </c>
      <c r="Q118" s="46">
        <v>3999</v>
      </c>
      <c r="R118" s="46">
        <v>4999</v>
      </c>
      <c r="S118" s="46">
        <v>4899</v>
      </c>
      <c r="T118" s="46">
        <v>3999</v>
      </c>
      <c r="U118" s="46">
        <v>3999</v>
      </c>
      <c r="V118" s="46">
        <v>3999</v>
      </c>
      <c r="W118" s="46">
        <v>3999</v>
      </c>
      <c r="X118" s="46">
        <v>3899</v>
      </c>
      <c r="Y118" s="54">
        <v>3799</v>
      </c>
      <c r="Z118" s="54">
        <v>3799</v>
      </c>
      <c r="AA118" s="54">
        <v>3799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">
        <v>65</v>
      </c>
      <c r="AX118" s="51" t="s">
        <v>82</v>
      </c>
    </row>
    <row r="119" spans="1:50" ht="22.5" customHeight="1">
      <c r="A119" s="52" t="s">
        <v>70</v>
      </c>
      <c r="B119" s="41" t="s">
        <v>62</v>
      </c>
      <c r="C119" s="42">
        <v>4015770</v>
      </c>
      <c r="D119" s="53" t="s">
        <v>187</v>
      </c>
      <c r="E119" s="43" t="s">
        <v>189</v>
      </c>
      <c r="F119" s="45">
        <v>8099</v>
      </c>
      <c r="G119" s="45">
        <v>3899</v>
      </c>
      <c r="H119" s="46">
        <v>5299</v>
      </c>
      <c r="I119" s="46">
        <v>5299</v>
      </c>
      <c r="J119" s="45">
        <v>5199</v>
      </c>
      <c r="K119" s="45">
        <v>5199</v>
      </c>
      <c r="L119" s="45">
        <v>5199</v>
      </c>
      <c r="M119" s="45">
        <v>5199</v>
      </c>
      <c r="N119" s="45">
        <v>5199</v>
      </c>
      <c r="O119" s="46">
        <v>4999</v>
      </c>
      <c r="P119" s="46">
        <v>4899</v>
      </c>
      <c r="Q119" s="46">
        <v>3999</v>
      </c>
      <c r="R119" s="46">
        <v>4999</v>
      </c>
      <c r="S119" s="46">
        <v>4899</v>
      </c>
      <c r="T119" s="46">
        <v>3999</v>
      </c>
      <c r="U119" s="46">
        <v>3999</v>
      </c>
      <c r="V119" s="46">
        <v>3999</v>
      </c>
      <c r="W119" s="46">
        <v>3999</v>
      </c>
      <c r="X119" s="46">
        <v>3899</v>
      </c>
      <c r="Y119" s="54">
        <v>3799</v>
      </c>
      <c r="Z119" s="54">
        <v>3799</v>
      </c>
      <c r="AA119" s="54">
        <v>3799</v>
      </c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">
        <v>65</v>
      </c>
      <c r="AX119" s="51" t="s">
        <v>82</v>
      </c>
    </row>
    <row r="120" spans="1:50" ht="22.5" customHeight="1">
      <c r="A120" s="52" t="s">
        <v>70</v>
      </c>
      <c r="B120" s="41" t="s">
        <v>62</v>
      </c>
      <c r="C120" s="42">
        <v>4015783</v>
      </c>
      <c r="D120" s="53" t="s">
        <v>187</v>
      </c>
      <c r="E120" s="43" t="s">
        <v>190</v>
      </c>
      <c r="F120" s="45">
        <v>8099</v>
      </c>
      <c r="G120" s="45">
        <v>3899</v>
      </c>
      <c r="H120" s="46">
        <v>5299</v>
      </c>
      <c r="I120" s="46">
        <v>5299</v>
      </c>
      <c r="J120" s="45">
        <v>5199</v>
      </c>
      <c r="K120" s="45">
        <v>5199</v>
      </c>
      <c r="L120" s="45">
        <v>5199</v>
      </c>
      <c r="M120" s="45">
        <v>5199</v>
      </c>
      <c r="N120" s="45">
        <v>5199</v>
      </c>
      <c r="O120" s="46">
        <v>4999</v>
      </c>
      <c r="P120" s="46">
        <v>4899</v>
      </c>
      <c r="Q120" s="46">
        <v>3999</v>
      </c>
      <c r="R120" s="46">
        <v>4999</v>
      </c>
      <c r="S120" s="46">
        <v>4899</v>
      </c>
      <c r="T120" s="46">
        <v>3999</v>
      </c>
      <c r="U120" s="46">
        <v>3999</v>
      </c>
      <c r="V120" s="46">
        <v>3999</v>
      </c>
      <c r="W120" s="46">
        <v>3999</v>
      </c>
      <c r="X120" s="46">
        <v>3899</v>
      </c>
      <c r="Y120" s="54">
        <v>3799</v>
      </c>
      <c r="Z120" s="54">
        <v>3799</v>
      </c>
      <c r="AA120" s="54">
        <v>3799</v>
      </c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">
        <v>65</v>
      </c>
      <c r="AX120" s="51" t="s">
        <v>82</v>
      </c>
    </row>
    <row r="121" spans="1:50" ht="22.5" customHeight="1">
      <c r="A121" s="52" t="s">
        <v>70</v>
      </c>
      <c r="B121" s="41" t="s">
        <v>62</v>
      </c>
      <c r="C121" s="42">
        <v>4015800</v>
      </c>
      <c r="D121" s="53" t="s">
        <v>187</v>
      </c>
      <c r="E121" s="43" t="s">
        <v>191</v>
      </c>
      <c r="F121" s="45">
        <v>8099</v>
      </c>
      <c r="G121" s="45">
        <v>3899</v>
      </c>
      <c r="H121" s="46">
        <v>5299</v>
      </c>
      <c r="I121" s="46">
        <v>5299</v>
      </c>
      <c r="J121" s="45">
        <v>5199</v>
      </c>
      <c r="K121" s="45">
        <v>5199</v>
      </c>
      <c r="L121" s="45">
        <v>5199</v>
      </c>
      <c r="M121" s="45">
        <v>5199</v>
      </c>
      <c r="N121" s="45">
        <v>5199</v>
      </c>
      <c r="O121" s="46">
        <v>4999</v>
      </c>
      <c r="P121" s="46">
        <v>4899</v>
      </c>
      <c r="Q121" s="46">
        <v>3999</v>
      </c>
      <c r="R121" s="46">
        <v>4999</v>
      </c>
      <c r="S121" s="46">
        <v>4899</v>
      </c>
      <c r="T121" s="46">
        <v>3999</v>
      </c>
      <c r="U121" s="46">
        <v>3999</v>
      </c>
      <c r="V121" s="46">
        <v>3999</v>
      </c>
      <c r="W121" s="46">
        <v>3999</v>
      </c>
      <c r="X121" s="46">
        <v>3899</v>
      </c>
      <c r="Y121" s="54">
        <v>3799</v>
      </c>
      <c r="Z121" s="54">
        <v>3799</v>
      </c>
      <c r="AA121" s="54">
        <v>3799</v>
      </c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">
        <v>65</v>
      </c>
      <c r="AX121" s="51" t="s">
        <v>82</v>
      </c>
    </row>
    <row r="122" spans="1:50" ht="22.5" customHeight="1">
      <c r="A122" s="52" t="s">
        <v>70</v>
      </c>
      <c r="B122" s="41" t="s">
        <v>62</v>
      </c>
      <c r="C122" s="42">
        <v>4015960</v>
      </c>
      <c r="D122" s="53" t="s">
        <v>187</v>
      </c>
      <c r="E122" s="43" t="s">
        <v>192</v>
      </c>
      <c r="F122" s="45">
        <v>8099</v>
      </c>
      <c r="G122" s="45">
        <v>3899</v>
      </c>
      <c r="H122" s="46">
        <v>5299</v>
      </c>
      <c r="I122" s="46">
        <v>5299</v>
      </c>
      <c r="J122" s="45">
        <v>5199</v>
      </c>
      <c r="K122" s="45">
        <v>5199</v>
      </c>
      <c r="L122" s="45">
        <v>5199</v>
      </c>
      <c r="M122" s="45">
        <v>5199</v>
      </c>
      <c r="N122" s="45">
        <v>5199</v>
      </c>
      <c r="O122" s="46">
        <v>4999</v>
      </c>
      <c r="P122" s="46">
        <v>4899</v>
      </c>
      <c r="Q122" s="46">
        <v>3999</v>
      </c>
      <c r="R122" s="46">
        <v>4999</v>
      </c>
      <c r="S122" s="46">
        <v>4899</v>
      </c>
      <c r="T122" s="46">
        <v>3999</v>
      </c>
      <c r="U122" s="46">
        <v>3999</v>
      </c>
      <c r="V122" s="46">
        <v>3999</v>
      </c>
      <c r="W122" s="46">
        <v>3999</v>
      </c>
      <c r="X122" s="46">
        <v>3899</v>
      </c>
      <c r="Y122" s="54">
        <v>3799</v>
      </c>
      <c r="Z122" s="54">
        <v>3799</v>
      </c>
      <c r="AA122" s="54">
        <v>3799</v>
      </c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">
        <v>65</v>
      </c>
      <c r="AX122" s="51" t="s">
        <v>82</v>
      </c>
    </row>
    <row r="123" spans="1:50" ht="22.5" customHeight="1">
      <c r="A123" s="52" t="s">
        <v>70</v>
      </c>
      <c r="B123" s="41" t="s">
        <v>62</v>
      </c>
      <c r="C123" s="42">
        <v>4015961</v>
      </c>
      <c r="D123" s="53" t="s">
        <v>187</v>
      </c>
      <c r="E123" s="43" t="s">
        <v>193</v>
      </c>
      <c r="F123" s="45">
        <v>8099</v>
      </c>
      <c r="G123" s="45">
        <v>3899</v>
      </c>
      <c r="H123" s="46">
        <v>5299</v>
      </c>
      <c r="I123" s="46">
        <v>5299</v>
      </c>
      <c r="J123" s="45">
        <v>5199</v>
      </c>
      <c r="K123" s="45">
        <v>5199</v>
      </c>
      <c r="L123" s="45">
        <v>5199</v>
      </c>
      <c r="M123" s="45">
        <v>5199</v>
      </c>
      <c r="N123" s="45">
        <v>5199</v>
      </c>
      <c r="O123" s="46">
        <v>4999</v>
      </c>
      <c r="P123" s="46">
        <v>4899</v>
      </c>
      <c r="Q123" s="46">
        <v>3999</v>
      </c>
      <c r="R123" s="46">
        <v>4999</v>
      </c>
      <c r="S123" s="46">
        <v>4899</v>
      </c>
      <c r="T123" s="46">
        <v>3999</v>
      </c>
      <c r="U123" s="46">
        <v>3999</v>
      </c>
      <c r="V123" s="46">
        <v>3999</v>
      </c>
      <c r="W123" s="46">
        <v>3999</v>
      </c>
      <c r="X123" s="46">
        <v>3899</v>
      </c>
      <c r="Y123" s="54">
        <v>3799</v>
      </c>
      <c r="Z123" s="54">
        <v>3799</v>
      </c>
      <c r="AA123" s="54">
        <v>3799</v>
      </c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">
        <v>65</v>
      </c>
      <c r="AX123" s="51" t="s">
        <v>82</v>
      </c>
    </row>
    <row r="124" spans="1:50" ht="22.5" customHeight="1">
      <c r="A124" s="52" t="s">
        <v>70</v>
      </c>
      <c r="B124" s="41" t="s">
        <v>62</v>
      </c>
      <c r="C124" s="42">
        <v>4015963</v>
      </c>
      <c r="D124" s="53" t="s">
        <v>187</v>
      </c>
      <c r="E124" s="43" t="s">
        <v>194</v>
      </c>
      <c r="F124" s="45">
        <v>8099</v>
      </c>
      <c r="G124" s="45">
        <v>3899</v>
      </c>
      <c r="H124" s="46">
        <v>5299</v>
      </c>
      <c r="I124" s="46">
        <v>5299</v>
      </c>
      <c r="J124" s="45">
        <v>5199</v>
      </c>
      <c r="K124" s="45">
        <v>5199</v>
      </c>
      <c r="L124" s="45">
        <v>5199</v>
      </c>
      <c r="M124" s="45">
        <v>5199</v>
      </c>
      <c r="N124" s="45">
        <v>5199</v>
      </c>
      <c r="O124" s="46">
        <v>4999</v>
      </c>
      <c r="P124" s="46">
        <v>4899</v>
      </c>
      <c r="Q124" s="46">
        <v>3999</v>
      </c>
      <c r="R124" s="46">
        <v>4999</v>
      </c>
      <c r="S124" s="46">
        <v>4899</v>
      </c>
      <c r="T124" s="46">
        <v>3999</v>
      </c>
      <c r="U124" s="46">
        <v>3999</v>
      </c>
      <c r="V124" s="46">
        <v>3999</v>
      </c>
      <c r="W124" s="46">
        <v>3999</v>
      </c>
      <c r="X124" s="46">
        <v>3899</v>
      </c>
      <c r="Y124" s="54">
        <v>3799</v>
      </c>
      <c r="Z124" s="54">
        <v>3799</v>
      </c>
      <c r="AA124" s="54">
        <v>3799</v>
      </c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">
        <v>65</v>
      </c>
      <c r="AX124" s="51" t="s">
        <v>82</v>
      </c>
    </row>
    <row r="125" spans="1:50" ht="22.5" customHeight="1">
      <c r="A125" s="52" t="s">
        <v>70</v>
      </c>
      <c r="B125" s="41" t="s">
        <v>62</v>
      </c>
      <c r="C125" s="42">
        <v>4015744</v>
      </c>
      <c r="D125" s="43" t="s">
        <v>195</v>
      </c>
      <c r="E125" s="43" t="s">
        <v>196</v>
      </c>
      <c r="F125" s="45">
        <v>9599</v>
      </c>
      <c r="G125" s="45">
        <v>7899</v>
      </c>
      <c r="H125" s="46">
        <v>7499</v>
      </c>
      <c r="I125" s="46">
        <v>7499</v>
      </c>
      <c r="J125" s="45">
        <v>5599</v>
      </c>
      <c r="K125" s="45">
        <v>5599</v>
      </c>
      <c r="L125" s="45">
        <v>5499</v>
      </c>
      <c r="M125" s="45">
        <v>5599</v>
      </c>
      <c r="N125" s="45">
        <v>5599</v>
      </c>
      <c r="O125" s="46">
        <v>5499</v>
      </c>
      <c r="P125" s="46">
        <v>5399</v>
      </c>
      <c r="Q125" s="46">
        <v>5199</v>
      </c>
      <c r="R125" s="46">
        <v>5499</v>
      </c>
      <c r="S125" s="46">
        <v>5399</v>
      </c>
      <c r="T125" s="46">
        <v>5199</v>
      </c>
      <c r="U125" s="46">
        <v>5099</v>
      </c>
      <c r="V125" s="46">
        <v>5099</v>
      </c>
      <c r="W125" s="46">
        <v>5099</v>
      </c>
      <c r="X125" s="46">
        <v>4999</v>
      </c>
      <c r="Y125" s="46">
        <v>4599</v>
      </c>
      <c r="Z125" s="46">
        <v>4599</v>
      </c>
      <c r="AA125" s="46">
        <v>4549</v>
      </c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">
        <v>65</v>
      </c>
      <c r="AX125" s="51" t="s">
        <v>82</v>
      </c>
    </row>
    <row r="126" spans="1:50" ht="22.5" customHeight="1">
      <c r="A126" s="52" t="s">
        <v>70</v>
      </c>
      <c r="B126" s="41" t="s">
        <v>62</v>
      </c>
      <c r="C126" s="42">
        <v>4015965</v>
      </c>
      <c r="D126" s="43" t="s">
        <v>195</v>
      </c>
      <c r="E126" s="43" t="s">
        <v>197</v>
      </c>
      <c r="F126" s="45">
        <v>9599</v>
      </c>
      <c r="G126" s="45">
        <v>7899</v>
      </c>
      <c r="H126" s="46">
        <v>7499</v>
      </c>
      <c r="I126" s="46">
        <v>7499</v>
      </c>
      <c r="J126" s="45">
        <v>5599</v>
      </c>
      <c r="K126" s="45">
        <v>5599</v>
      </c>
      <c r="L126" s="45">
        <v>5499</v>
      </c>
      <c r="M126" s="45">
        <v>5599</v>
      </c>
      <c r="N126" s="45">
        <v>5599</v>
      </c>
      <c r="O126" s="46">
        <v>5499</v>
      </c>
      <c r="P126" s="46">
        <v>5399</v>
      </c>
      <c r="Q126" s="46">
        <v>5199</v>
      </c>
      <c r="R126" s="46">
        <v>5499</v>
      </c>
      <c r="S126" s="46">
        <v>5399</v>
      </c>
      <c r="T126" s="46">
        <v>5199</v>
      </c>
      <c r="U126" s="46">
        <v>5099</v>
      </c>
      <c r="V126" s="46">
        <v>5099</v>
      </c>
      <c r="W126" s="46">
        <v>5099</v>
      </c>
      <c r="X126" s="46">
        <v>4999</v>
      </c>
      <c r="Y126" s="46">
        <v>4599</v>
      </c>
      <c r="Z126" s="46">
        <v>4599</v>
      </c>
      <c r="AA126" s="46">
        <v>4549</v>
      </c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">
        <v>65</v>
      </c>
      <c r="AX126" s="51" t="s">
        <v>82</v>
      </c>
    </row>
    <row r="127" spans="1:50" ht="22.5" customHeight="1">
      <c r="A127" s="52" t="s">
        <v>70</v>
      </c>
      <c r="B127" s="41" t="s">
        <v>62</v>
      </c>
      <c r="C127" s="42">
        <v>4015778</v>
      </c>
      <c r="D127" s="43" t="s">
        <v>195</v>
      </c>
      <c r="E127" s="43" t="s">
        <v>198</v>
      </c>
      <c r="F127" s="45">
        <v>9599</v>
      </c>
      <c r="G127" s="45">
        <v>7899</v>
      </c>
      <c r="H127" s="46">
        <v>7499</v>
      </c>
      <c r="I127" s="46">
        <v>7499</v>
      </c>
      <c r="J127" s="45">
        <v>5599</v>
      </c>
      <c r="K127" s="45">
        <v>5599</v>
      </c>
      <c r="L127" s="45">
        <v>5499</v>
      </c>
      <c r="M127" s="45">
        <v>5599</v>
      </c>
      <c r="N127" s="45">
        <v>5599</v>
      </c>
      <c r="O127" s="46">
        <v>5499</v>
      </c>
      <c r="P127" s="46">
        <v>5399</v>
      </c>
      <c r="Q127" s="46">
        <v>5199</v>
      </c>
      <c r="R127" s="46">
        <v>5499</v>
      </c>
      <c r="S127" s="46">
        <v>5399</v>
      </c>
      <c r="T127" s="46">
        <v>5199</v>
      </c>
      <c r="U127" s="46">
        <v>5099</v>
      </c>
      <c r="V127" s="46">
        <v>5099</v>
      </c>
      <c r="W127" s="46">
        <v>5099</v>
      </c>
      <c r="X127" s="46">
        <v>4999</v>
      </c>
      <c r="Y127" s="46">
        <v>4599</v>
      </c>
      <c r="Z127" s="46">
        <v>4599</v>
      </c>
      <c r="AA127" s="46">
        <v>4549</v>
      </c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">
        <v>65</v>
      </c>
      <c r="AX127" s="51" t="s">
        <v>82</v>
      </c>
    </row>
    <row r="128" spans="1:50" ht="22.5" customHeight="1">
      <c r="A128" s="52" t="s">
        <v>70</v>
      </c>
      <c r="B128" s="41" t="s">
        <v>62</v>
      </c>
      <c r="C128" s="42">
        <v>4015746</v>
      </c>
      <c r="D128" s="43" t="s">
        <v>199</v>
      </c>
      <c r="E128" s="43" t="s">
        <v>200</v>
      </c>
      <c r="F128" s="45">
        <v>9099</v>
      </c>
      <c r="G128" s="45">
        <v>6099</v>
      </c>
      <c r="H128" s="46">
        <v>6999</v>
      </c>
      <c r="I128" s="46">
        <v>6999</v>
      </c>
      <c r="J128" s="45">
        <v>5899</v>
      </c>
      <c r="K128" s="45">
        <v>5899</v>
      </c>
      <c r="L128" s="45">
        <v>5899</v>
      </c>
      <c r="M128" s="45">
        <v>5899</v>
      </c>
      <c r="N128" s="45">
        <v>5899</v>
      </c>
      <c r="O128" s="46">
        <v>5799</v>
      </c>
      <c r="P128" s="46">
        <v>5699</v>
      </c>
      <c r="Q128" s="46">
        <v>5499</v>
      </c>
      <c r="R128" s="46">
        <v>5799</v>
      </c>
      <c r="S128" s="46">
        <v>5699</v>
      </c>
      <c r="T128" s="46">
        <v>5499</v>
      </c>
      <c r="U128" s="46">
        <v>5499</v>
      </c>
      <c r="V128" s="46">
        <v>5499</v>
      </c>
      <c r="W128" s="46">
        <v>5499</v>
      </c>
      <c r="X128" s="46">
        <v>5399</v>
      </c>
      <c r="Y128" s="46">
        <v>4999</v>
      </c>
      <c r="Z128" s="46">
        <v>4999</v>
      </c>
      <c r="AA128" s="46">
        <v>4999</v>
      </c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">
        <v>65</v>
      </c>
      <c r="AX128" s="51" t="s">
        <v>82</v>
      </c>
    </row>
    <row r="129" spans="1:50" ht="22.5" customHeight="1">
      <c r="A129" s="52" t="s">
        <v>70</v>
      </c>
      <c r="B129" s="41" t="s">
        <v>62</v>
      </c>
      <c r="C129" s="42">
        <v>4015773</v>
      </c>
      <c r="D129" s="43" t="s">
        <v>199</v>
      </c>
      <c r="E129" s="43" t="s">
        <v>201</v>
      </c>
      <c r="F129" s="45">
        <v>9099</v>
      </c>
      <c r="G129" s="45">
        <v>6099</v>
      </c>
      <c r="H129" s="46">
        <v>6999</v>
      </c>
      <c r="I129" s="46">
        <v>6999</v>
      </c>
      <c r="J129" s="45">
        <v>5899</v>
      </c>
      <c r="K129" s="45">
        <v>5899</v>
      </c>
      <c r="L129" s="45">
        <v>5899</v>
      </c>
      <c r="M129" s="45">
        <v>5899</v>
      </c>
      <c r="N129" s="45">
        <v>5899</v>
      </c>
      <c r="O129" s="46">
        <v>5799</v>
      </c>
      <c r="P129" s="46">
        <v>5699</v>
      </c>
      <c r="Q129" s="46">
        <v>5499</v>
      </c>
      <c r="R129" s="46">
        <v>5799</v>
      </c>
      <c r="S129" s="46">
        <v>5699</v>
      </c>
      <c r="T129" s="46">
        <v>5499</v>
      </c>
      <c r="U129" s="46">
        <v>5499</v>
      </c>
      <c r="V129" s="46">
        <v>5499</v>
      </c>
      <c r="W129" s="46">
        <v>5499</v>
      </c>
      <c r="X129" s="46">
        <v>5399</v>
      </c>
      <c r="Y129" s="46">
        <v>4999</v>
      </c>
      <c r="Z129" s="46">
        <v>4999</v>
      </c>
      <c r="AA129" s="46">
        <v>4999</v>
      </c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">
        <v>65</v>
      </c>
      <c r="AX129" s="51" t="s">
        <v>82</v>
      </c>
    </row>
    <row r="130" spans="1:50" ht="22.5" customHeight="1">
      <c r="A130" s="52" t="s">
        <v>70</v>
      </c>
      <c r="B130" s="41" t="s">
        <v>62</v>
      </c>
      <c r="C130" s="42">
        <v>4015790</v>
      </c>
      <c r="D130" s="43" t="s">
        <v>199</v>
      </c>
      <c r="E130" s="43" t="s">
        <v>202</v>
      </c>
      <c r="F130" s="45">
        <v>9099</v>
      </c>
      <c r="G130" s="45">
        <v>6099</v>
      </c>
      <c r="H130" s="46">
        <v>6999</v>
      </c>
      <c r="I130" s="46">
        <v>6999</v>
      </c>
      <c r="J130" s="45">
        <v>5899</v>
      </c>
      <c r="K130" s="45">
        <v>5899</v>
      </c>
      <c r="L130" s="45">
        <v>5899</v>
      </c>
      <c r="M130" s="45">
        <v>5899</v>
      </c>
      <c r="N130" s="45">
        <v>5899</v>
      </c>
      <c r="O130" s="46">
        <v>5799</v>
      </c>
      <c r="P130" s="46">
        <v>5699</v>
      </c>
      <c r="Q130" s="46">
        <v>5499</v>
      </c>
      <c r="R130" s="46">
        <v>5799</v>
      </c>
      <c r="S130" s="46">
        <v>5699</v>
      </c>
      <c r="T130" s="46">
        <v>5499</v>
      </c>
      <c r="U130" s="46">
        <v>5499</v>
      </c>
      <c r="V130" s="46">
        <v>5499</v>
      </c>
      <c r="W130" s="46">
        <v>5499</v>
      </c>
      <c r="X130" s="46">
        <v>5399</v>
      </c>
      <c r="Y130" s="46">
        <v>4999</v>
      </c>
      <c r="Z130" s="46">
        <v>4999</v>
      </c>
      <c r="AA130" s="46">
        <v>4999</v>
      </c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">
        <v>65</v>
      </c>
      <c r="AX130" s="51" t="s">
        <v>82</v>
      </c>
    </row>
    <row r="131" spans="1:50" ht="22.5" customHeight="1">
      <c r="A131" s="52" t="s">
        <v>70</v>
      </c>
      <c r="B131" s="41" t="s">
        <v>62</v>
      </c>
      <c r="C131" s="42">
        <v>4015806</v>
      </c>
      <c r="D131" s="43" t="s">
        <v>199</v>
      </c>
      <c r="E131" s="43" t="s">
        <v>203</v>
      </c>
      <c r="F131" s="45">
        <v>9099</v>
      </c>
      <c r="G131" s="45">
        <v>6099</v>
      </c>
      <c r="H131" s="46">
        <v>6999</v>
      </c>
      <c r="I131" s="46">
        <v>6999</v>
      </c>
      <c r="J131" s="45">
        <v>5899</v>
      </c>
      <c r="K131" s="45">
        <v>5899</v>
      </c>
      <c r="L131" s="45">
        <v>5899</v>
      </c>
      <c r="M131" s="45">
        <v>5899</v>
      </c>
      <c r="N131" s="45">
        <v>5899</v>
      </c>
      <c r="O131" s="46">
        <v>5799</v>
      </c>
      <c r="P131" s="46">
        <v>5699</v>
      </c>
      <c r="Q131" s="46">
        <v>5499</v>
      </c>
      <c r="R131" s="46">
        <v>5799</v>
      </c>
      <c r="S131" s="46">
        <v>5699</v>
      </c>
      <c r="T131" s="46">
        <v>5499</v>
      </c>
      <c r="U131" s="46">
        <v>5499</v>
      </c>
      <c r="V131" s="46">
        <v>5499</v>
      </c>
      <c r="W131" s="46">
        <v>5499</v>
      </c>
      <c r="X131" s="46">
        <v>5399</v>
      </c>
      <c r="Y131" s="46">
        <v>4999</v>
      </c>
      <c r="Z131" s="46">
        <v>4999</v>
      </c>
      <c r="AA131" s="46">
        <v>4999</v>
      </c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">
        <v>65</v>
      </c>
      <c r="AX131" s="51" t="s">
        <v>82</v>
      </c>
    </row>
    <row r="132" spans="1:50" ht="22.5" customHeight="1">
      <c r="A132" s="52" t="s">
        <v>70</v>
      </c>
      <c r="B132" s="41" t="s">
        <v>62</v>
      </c>
      <c r="C132" s="42">
        <v>4015748</v>
      </c>
      <c r="D132" s="43" t="s">
        <v>204</v>
      </c>
      <c r="E132" s="43" t="s">
        <v>205</v>
      </c>
      <c r="F132" s="45">
        <v>9299</v>
      </c>
      <c r="G132" s="45">
        <v>6399</v>
      </c>
      <c r="H132" s="46">
        <v>7099</v>
      </c>
      <c r="I132" s="46">
        <v>7099</v>
      </c>
      <c r="J132" s="45">
        <v>6399</v>
      </c>
      <c r="K132" s="45">
        <v>6399</v>
      </c>
      <c r="L132" s="45">
        <v>6399</v>
      </c>
      <c r="M132" s="45">
        <v>6399</v>
      </c>
      <c r="N132" s="45">
        <v>6399</v>
      </c>
      <c r="O132" s="45">
        <v>6299</v>
      </c>
      <c r="P132" s="46">
        <v>6199</v>
      </c>
      <c r="Q132" s="46">
        <v>5999</v>
      </c>
      <c r="R132" s="45">
        <v>6299</v>
      </c>
      <c r="S132" s="45">
        <v>6199</v>
      </c>
      <c r="T132" s="46">
        <v>5999</v>
      </c>
      <c r="U132" s="46">
        <v>5999</v>
      </c>
      <c r="V132" s="46">
        <v>5999</v>
      </c>
      <c r="W132" s="46">
        <v>5999</v>
      </c>
      <c r="X132" s="46">
        <v>5899</v>
      </c>
      <c r="Y132" s="46">
        <v>5499</v>
      </c>
      <c r="Z132" s="46">
        <v>5499</v>
      </c>
      <c r="AA132" s="46">
        <v>5499</v>
      </c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">
        <v>65</v>
      </c>
      <c r="AX132" s="51" t="s">
        <v>82</v>
      </c>
    </row>
    <row r="133" spans="1:50" ht="22.5" customHeight="1">
      <c r="A133" s="52" t="s">
        <v>70</v>
      </c>
      <c r="B133" s="41" t="s">
        <v>62</v>
      </c>
      <c r="C133" s="42">
        <v>4015796</v>
      </c>
      <c r="D133" s="43" t="s">
        <v>204</v>
      </c>
      <c r="E133" s="43" t="s">
        <v>206</v>
      </c>
      <c r="F133" s="45">
        <v>9299</v>
      </c>
      <c r="G133" s="45">
        <v>6399</v>
      </c>
      <c r="H133" s="46">
        <v>7099</v>
      </c>
      <c r="I133" s="46">
        <v>7099</v>
      </c>
      <c r="J133" s="45">
        <v>6399</v>
      </c>
      <c r="K133" s="45">
        <v>6399</v>
      </c>
      <c r="L133" s="45">
        <v>6399</v>
      </c>
      <c r="M133" s="45">
        <v>6399</v>
      </c>
      <c r="N133" s="45">
        <v>6399</v>
      </c>
      <c r="O133" s="45">
        <v>6299</v>
      </c>
      <c r="P133" s="46">
        <v>6199</v>
      </c>
      <c r="Q133" s="46">
        <v>5999</v>
      </c>
      <c r="R133" s="45">
        <v>6299</v>
      </c>
      <c r="S133" s="45">
        <v>6199</v>
      </c>
      <c r="T133" s="46">
        <v>5999</v>
      </c>
      <c r="U133" s="46">
        <v>5999</v>
      </c>
      <c r="V133" s="46">
        <v>5999</v>
      </c>
      <c r="W133" s="46">
        <v>5999</v>
      </c>
      <c r="X133" s="46">
        <v>5899</v>
      </c>
      <c r="Y133" s="46">
        <v>5499</v>
      </c>
      <c r="Z133" s="46">
        <v>5499</v>
      </c>
      <c r="AA133" s="46">
        <v>5499</v>
      </c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">
        <v>65</v>
      </c>
      <c r="AX133" s="51" t="s">
        <v>82</v>
      </c>
    </row>
    <row r="134" spans="1:50" ht="22.5" customHeight="1">
      <c r="A134" s="52" t="s">
        <v>70</v>
      </c>
      <c r="B134" s="41" t="s">
        <v>62</v>
      </c>
      <c r="C134" s="42">
        <v>4015767</v>
      </c>
      <c r="D134" s="43" t="s">
        <v>204</v>
      </c>
      <c r="E134" s="43" t="s">
        <v>207</v>
      </c>
      <c r="F134" s="45">
        <v>9299</v>
      </c>
      <c r="G134" s="45">
        <v>6399</v>
      </c>
      <c r="H134" s="46">
        <v>7099</v>
      </c>
      <c r="I134" s="46">
        <v>7099</v>
      </c>
      <c r="J134" s="45">
        <v>6399</v>
      </c>
      <c r="K134" s="45">
        <v>6399</v>
      </c>
      <c r="L134" s="45">
        <v>6399</v>
      </c>
      <c r="M134" s="45">
        <v>6399</v>
      </c>
      <c r="N134" s="45">
        <v>6399</v>
      </c>
      <c r="O134" s="45">
        <v>6299</v>
      </c>
      <c r="P134" s="46">
        <v>6199</v>
      </c>
      <c r="Q134" s="46">
        <v>5999</v>
      </c>
      <c r="R134" s="45">
        <v>6299</v>
      </c>
      <c r="S134" s="45">
        <v>6199</v>
      </c>
      <c r="T134" s="46">
        <v>5999</v>
      </c>
      <c r="U134" s="46">
        <v>5999</v>
      </c>
      <c r="V134" s="46">
        <v>5999</v>
      </c>
      <c r="W134" s="46">
        <v>5999</v>
      </c>
      <c r="X134" s="46">
        <v>5899</v>
      </c>
      <c r="Y134" s="46">
        <v>5499</v>
      </c>
      <c r="Z134" s="46">
        <v>5499</v>
      </c>
      <c r="AA134" s="46">
        <v>5499</v>
      </c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">
        <v>65</v>
      </c>
      <c r="AX134" s="51" t="s">
        <v>82</v>
      </c>
    </row>
    <row r="135" spans="1:50" ht="22.5" customHeight="1">
      <c r="A135" s="52" t="s">
        <v>70</v>
      </c>
      <c r="B135" s="41" t="s">
        <v>62</v>
      </c>
      <c r="C135" s="42">
        <v>4015782</v>
      </c>
      <c r="D135" s="43" t="s">
        <v>204</v>
      </c>
      <c r="E135" s="43" t="s">
        <v>208</v>
      </c>
      <c r="F135" s="45">
        <v>9299</v>
      </c>
      <c r="G135" s="45">
        <v>6399</v>
      </c>
      <c r="H135" s="46">
        <v>7099</v>
      </c>
      <c r="I135" s="46">
        <v>7099</v>
      </c>
      <c r="J135" s="45">
        <v>6399</v>
      </c>
      <c r="K135" s="45">
        <v>6399</v>
      </c>
      <c r="L135" s="45">
        <v>6399</v>
      </c>
      <c r="M135" s="45">
        <v>6399</v>
      </c>
      <c r="N135" s="45">
        <v>6399</v>
      </c>
      <c r="O135" s="45">
        <v>6299</v>
      </c>
      <c r="P135" s="46">
        <v>6199</v>
      </c>
      <c r="Q135" s="46">
        <v>5999</v>
      </c>
      <c r="R135" s="45">
        <v>6299</v>
      </c>
      <c r="S135" s="45">
        <v>6199</v>
      </c>
      <c r="T135" s="46">
        <v>5999</v>
      </c>
      <c r="U135" s="46">
        <v>5999</v>
      </c>
      <c r="V135" s="46">
        <v>5999</v>
      </c>
      <c r="W135" s="46">
        <v>5999</v>
      </c>
      <c r="X135" s="46">
        <v>5899</v>
      </c>
      <c r="Y135" s="46">
        <v>5499</v>
      </c>
      <c r="Z135" s="46">
        <v>5499</v>
      </c>
      <c r="AA135" s="46">
        <v>5499</v>
      </c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">
        <v>65</v>
      </c>
      <c r="AX135" s="51" t="s">
        <v>82</v>
      </c>
    </row>
    <row r="136" spans="1:50" ht="22.5" customHeight="1">
      <c r="A136" s="52" t="s">
        <v>70</v>
      </c>
      <c r="B136" s="41" t="s">
        <v>62</v>
      </c>
      <c r="C136" s="42">
        <v>4015749</v>
      </c>
      <c r="D136" s="43" t="s">
        <v>209</v>
      </c>
      <c r="E136" s="43" t="s">
        <v>210</v>
      </c>
      <c r="F136" s="45">
        <v>10099</v>
      </c>
      <c r="G136" s="45">
        <v>7999</v>
      </c>
      <c r="H136" s="46">
        <v>7799</v>
      </c>
      <c r="I136" s="46">
        <v>7799</v>
      </c>
      <c r="J136" s="45">
        <v>6899</v>
      </c>
      <c r="K136" s="45">
        <v>6899</v>
      </c>
      <c r="L136" s="45">
        <v>6899</v>
      </c>
      <c r="M136" s="45">
        <v>6899</v>
      </c>
      <c r="N136" s="45">
        <v>6899</v>
      </c>
      <c r="O136" s="45">
        <v>6799</v>
      </c>
      <c r="P136" s="46">
        <v>6699</v>
      </c>
      <c r="Q136" s="46">
        <v>6499</v>
      </c>
      <c r="R136" s="45">
        <v>6799</v>
      </c>
      <c r="S136" s="45">
        <v>6699</v>
      </c>
      <c r="T136" s="46">
        <v>6499</v>
      </c>
      <c r="U136" s="46">
        <v>6499</v>
      </c>
      <c r="V136" s="46">
        <v>6499</v>
      </c>
      <c r="W136" s="46">
        <v>6499</v>
      </c>
      <c r="X136" s="46">
        <v>6399</v>
      </c>
      <c r="Y136" s="46">
        <v>5999</v>
      </c>
      <c r="Z136" s="46">
        <v>5999</v>
      </c>
      <c r="AA136" s="46">
        <v>5999</v>
      </c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">
        <v>65</v>
      </c>
      <c r="AX136" s="51" t="s">
        <v>82</v>
      </c>
    </row>
    <row r="137" spans="1:50" ht="22.5" customHeight="1">
      <c r="A137" s="52" t="s">
        <v>70</v>
      </c>
      <c r="B137" s="41" t="s">
        <v>62</v>
      </c>
      <c r="C137" s="42">
        <v>4015797</v>
      </c>
      <c r="D137" s="43" t="s">
        <v>209</v>
      </c>
      <c r="E137" s="43" t="s">
        <v>211</v>
      </c>
      <c r="F137" s="45">
        <v>10099</v>
      </c>
      <c r="G137" s="45">
        <v>7999</v>
      </c>
      <c r="H137" s="46">
        <v>7799</v>
      </c>
      <c r="I137" s="46">
        <v>7799</v>
      </c>
      <c r="J137" s="45">
        <v>6899</v>
      </c>
      <c r="K137" s="45">
        <v>6899</v>
      </c>
      <c r="L137" s="45">
        <v>6899</v>
      </c>
      <c r="M137" s="45">
        <v>6899</v>
      </c>
      <c r="N137" s="45">
        <v>6899</v>
      </c>
      <c r="O137" s="45">
        <v>6799</v>
      </c>
      <c r="P137" s="46">
        <v>6699</v>
      </c>
      <c r="Q137" s="46">
        <v>6499</v>
      </c>
      <c r="R137" s="45">
        <v>6799</v>
      </c>
      <c r="S137" s="45">
        <v>6699</v>
      </c>
      <c r="T137" s="46">
        <v>6499</v>
      </c>
      <c r="U137" s="46">
        <v>6499</v>
      </c>
      <c r="V137" s="46">
        <v>6499</v>
      </c>
      <c r="W137" s="46">
        <v>6499</v>
      </c>
      <c r="X137" s="46">
        <v>6399</v>
      </c>
      <c r="Y137" s="46">
        <v>5999</v>
      </c>
      <c r="Z137" s="46">
        <v>5999</v>
      </c>
      <c r="AA137" s="46">
        <v>5999</v>
      </c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">
        <v>65</v>
      </c>
      <c r="AX137" s="51" t="s">
        <v>82</v>
      </c>
    </row>
    <row r="138" spans="1:50" ht="22.5" customHeight="1">
      <c r="A138" s="52" t="s">
        <v>70</v>
      </c>
      <c r="B138" s="41" t="s">
        <v>62</v>
      </c>
      <c r="C138" s="42">
        <v>4015769</v>
      </c>
      <c r="D138" s="43" t="s">
        <v>209</v>
      </c>
      <c r="E138" s="43" t="s">
        <v>212</v>
      </c>
      <c r="F138" s="45">
        <v>10099</v>
      </c>
      <c r="G138" s="45">
        <v>7999</v>
      </c>
      <c r="H138" s="46">
        <v>7799</v>
      </c>
      <c r="I138" s="46">
        <v>7799</v>
      </c>
      <c r="J138" s="45">
        <v>6899</v>
      </c>
      <c r="K138" s="45">
        <v>6899</v>
      </c>
      <c r="L138" s="45">
        <v>6899</v>
      </c>
      <c r="M138" s="45">
        <v>6899</v>
      </c>
      <c r="N138" s="45">
        <v>6899</v>
      </c>
      <c r="O138" s="45">
        <v>6799</v>
      </c>
      <c r="P138" s="46">
        <v>6699</v>
      </c>
      <c r="Q138" s="46">
        <v>6499</v>
      </c>
      <c r="R138" s="45">
        <v>6799</v>
      </c>
      <c r="S138" s="45">
        <v>6699</v>
      </c>
      <c r="T138" s="46">
        <v>6499</v>
      </c>
      <c r="U138" s="46">
        <v>6499</v>
      </c>
      <c r="V138" s="46">
        <v>6499</v>
      </c>
      <c r="W138" s="46">
        <v>6499</v>
      </c>
      <c r="X138" s="46">
        <v>6399</v>
      </c>
      <c r="Y138" s="46">
        <v>5999</v>
      </c>
      <c r="Z138" s="46">
        <v>5999</v>
      </c>
      <c r="AA138" s="46">
        <v>5999</v>
      </c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">
        <v>65</v>
      </c>
      <c r="AX138" s="51" t="s">
        <v>82</v>
      </c>
    </row>
    <row r="139" spans="1:50" ht="22.5" customHeight="1">
      <c r="A139" s="52" t="s">
        <v>70</v>
      </c>
      <c r="B139" s="41" t="s">
        <v>62</v>
      </c>
      <c r="C139" s="42">
        <v>4015784</v>
      </c>
      <c r="D139" s="43" t="s">
        <v>209</v>
      </c>
      <c r="E139" s="43" t="s">
        <v>213</v>
      </c>
      <c r="F139" s="45">
        <v>10099</v>
      </c>
      <c r="G139" s="45">
        <v>7999</v>
      </c>
      <c r="H139" s="46">
        <v>7799</v>
      </c>
      <c r="I139" s="46">
        <v>7799</v>
      </c>
      <c r="J139" s="45">
        <v>6899</v>
      </c>
      <c r="K139" s="45">
        <v>6899</v>
      </c>
      <c r="L139" s="45">
        <v>6899</v>
      </c>
      <c r="M139" s="45">
        <v>6899</v>
      </c>
      <c r="N139" s="45">
        <v>6899</v>
      </c>
      <c r="O139" s="45">
        <v>6799</v>
      </c>
      <c r="P139" s="46">
        <v>6699</v>
      </c>
      <c r="Q139" s="46">
        <v>6499</v>
      </c>
      <c r="R139" s="45">
        <v>6799</v>
      </c>
      <c r="S139" s="45">
        <v>6699</v>
      </c>
      <c r="T139" s="46">
        <v>6499</v>
      </c>
      <c r="U139" s="46">
        <v>6499</v>
      </c>
      <c r="V139" s="46">
        <v>6499</v>
      </c>
      <c r="W139" s="46">
        <v>6499</v>
      </c>
      <c r="X139" s="46">
        <v>6399</v>
      </c>
      <c r="Y139" s="46">
        <v>5999</v>
      </c>
      <c r="Z139" s="46">
        <v>5999</v>
      </c>
      <c r="AA139" s="46">
        <v>5999</v>
      </c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">
        <v>65</v>
      </c>
      <c r="AX139" s="51" t="s">
        <v>82</v>
      </c>
    </row>
    <row r="140" spans="1:50" ht="22.5" customHeight="1">
      <c r="A140" s="52" t="s">
        <v>70</v>
      </c>
      <c r="B140" s="41" t="s">
        <v>62</v>
      </c>
      <c r="C140" s="42">
        <v>4015762</v>
      </c>
      <c r="D140" s="43" t="s">
        <v>214</v>
      </c>
      <c r="E140" s="43" t="s">
        <v>215</v>
      </c>
      <c r="F140" s="45">
        <v>10999</v>
      </c>
      <c r="G140" s="45">
        <v>7899</v>
      </c>
      <c r="H140" s="46">
        <v>7499</v>
      </c>
      <c r="I140" s="46">
        <v>7499</v>
      </c>
      <c r="J140" s="45">
        <v>7399</v>
      </c>
      <c r="K140" s="45">
        <v>7399</v>
      </c>
      <c r="L140" s="45">
        <v>7399</v>
      </c>
      <c r="M140" s="45">
        <v>7399</v>
      </c>
      <c r="N140" s="45">
        <v>7399</v>
      </c>
      <c r="O140" s="45">
        <v>7299</v>
      </c>
      <c r="P140" s="46">
        <v>7199</v>
      </c>
      <c r="Q140" s="46">
        <v>6999</v>
      </c>
      <c r="R140" s="45">
        <v>7299</v>
      </c>
      <c r="S140" s="45">
        <v>7199</v>
      </c>
      <c r="T140" s="46">
        <v>6999</v>
      </c>
      <c r="U140" s="46">
        <v>6999</v>
      </c>
      <c r="V140" s="46">
        <v>6999</v>
      </c>
      <c r="W140" s="46">
        <v>6999</v>
      </c>
      <c r="X140" s="46">
        <v>6899</v>
      </c>
      <c r="Y140" s="46">
        <v>6499</v>
      </c>
      <c r="Z140" s="46">
        <v>6499</v>
      </c>
      <c r="AA140" s="46">
        <v>6499</v>
      </c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">
        <v>65</v>
      </c>
      <c r="AX140" s="51" t="s">
        <v>82</v>
      </c>
    </row>
    <row r="141" spans="1:50" ht="22.5" customHeight="1">
      <c r="A141" s="52" t="s">
        <v>70</v>
      </c>
      <c r="B141" s="41" t="s">
        <v>62</v>
      </c>
      <c r="C141" s="42">
        <v>4015799</v>
      </c>
      <c r="D141" s="43" t="s">
        <v>214</v>
      </c>
      <c r="E141" s="43" t="s">
        <v>216</v>
      </c>
      <c r="F141" s="45">
        <v>10999</v>
      </c>
      <c r="G141" s="45">
        <v>7899</v>
      </c>
      <c r="H141" s="46">
        <v>7499</v>
      </c>
      <c r="I141" s="46">
        <v>7499</v>
      </c>
      <c r="J141" s="45">
        <v>7399</v>
      </c>
      <c r="K141" s="45">
        <v>7399</v>
      </c>
      <c r="L141" s="45">
        <v>7399</v>
      </c>
      <c r="M141" s="45">
        <v>7399</v>
      </c>
      <c r="N141" s="45">
        <v>7399</v>
      </c>
      <c r="O141" s="45">
        <v>7299</v>
      </c>
      <c r="P141" s="46">
        <v>7199</v>
      </c>
      <c r="Q141" s="46">
        <v>6999</v>
      </c>
      <c r="R141" s="45">
        <v>7299</v>
      </c>
      <c r="S141" s="45">
        <v>7199</v>
      </c>
      <c r="T141" s="46">
        <v>6999</v>
      </c>
      <c r="U141" s="46">
        <v>6999</v>
      </c>
      <c r="V141" s="46">
        <v>6999</v>
      </c>
      <c r="W141" s="46">
        <v>6999</v>
      </c>
      <c r="X141" s="46">
        <v>6899</v>
      </c>
      <c r="Y141" s="46">
        <v>6499</v>
      </c>
      <c r="Z141" s="46">
        <v>6499</v>
      </c>
      <c r="AA141" s="46">
        <v>6499</v>
      </c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">
        <v>65</v>
      </c>
      <c r="AX141" s="51" t="s">
        <v>82</v>
      </c>
    </row>
    <row r="142" spans="1:50" ht="22.5" customHeight="1">
      <c r="A142" s="52" t="s">
        <v>70</v>
      </c>
      <c r="B142" s="41" t="s">
        <v>62</v>
      </c>
      <c r="C142" s="42">
        <v>4015774</v>
      </c>
      <c r="D142" s="43" t="s">
        <v>214</v>
      </c>
      <c r="E142" s="43" t="s">
        <v>217</v>
      </c>
      <c r="F142" s="45">
        <v>10999</v>
      </c>
      <c r="G142" s="45">
        <v>7899</v>
      </c>
      <c r="H142" s="46">
        <v>7499</v>
      </c>
      <c r="I142" s="46">
        <v>7499</v>
      </c>
      <c r="J142" s="45">
        <v>7399</v>
      </c>
      <c r="K142" s="45">
        <v>7399</v>
      </c>
      <c r="L142" s="45">
        <v>7399</v>
      </c>
      <c r="M142" s="45">
        <v>7399</v>
      </c>
      <c r="N142" s="45">
        <v>7399</v>
      </c>
      <c r="O142" s="45">
        <v>7299</v>
      </c>
      <c r="P142" s="46">
        <v>7199</v>
      </c>
      <c r="Q142" s="46">
        <v>6999</v>
      </c>
      <c r="R142" s="45">
        <v>7299</v>
      </c>
      <c r="S142" s="45">
        <v>7199</v>
      </c>
      <c r="T142" s="46">
        <v>6999</v>
      </c>
      <c r="U142" s="46">
        <v>6999</v>
      </c>
      <c r="V142" s="46">
        <v>6999</v>
      </c>
      <c r="W142" s="46">
        <v>6999</v>
      </c>
      <c r="X142" s="46">
        <v>6899</v>
      </c>
      <c r="Y142" s="46">
        <v>6499</v>
      </c>
      <c r="Z142" s="46">
        <v>6499</v>
      </c>
      <c r="AA142" s="46">
        <v>6499</v>
      </c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">
        <v>65</v>
      </c>
      <c r="AX142" s="51" t="s">
        <v>82</v>
      </c>
    </row>
    <row r="143" spans="1:50" ht="22.5" customHeight="1">
      <c r="A143" s="52" t="s">
        <v>70</v>
      </c>
      <c r="B143" s="41" t="s">
        <v>62</v>
      </c>
      <c r="C143" s="42">
        <v>4015788</v>
      </c>
      <c r="D143" s="43" t="s">
        <v>214</v>
      </c>
      <c r="E143" s="43" t="s">
        <v>218</v>
      </c>
      <c r="F143" s="45">
        <v>10999</v>
      </c>
      <c r="G143" s="45">
        <v>7899</v>
      </c>
      <c r="H143" s="46">
        <v>7499</v>
      </c>
      <c r="I143" s="46">
        <v>7499</v>
      </c>
      <c r="J143" s="45">
        <v>7399</v>
      </c>
      <c r="K143" s="45">
        <v>7399</v>
      </c>
      <c r="L143" s="45">
        <v>7399</v>
      </c>
      <c r="M143" s="45">
        <v>7399</v>
      </c>
      <c r="N143" s="45">
        <v>7399</v>
      </c>
      <c r="O143" s="45">
        <v>7299</v>
      </c>
      <c r="P143" s="46">
        <v>7199</v>
      </c>
      <c r="Q143" s="46">
        <v>6999</v>
      </c>
      <c r="R143" s="45">
        <v>7299</v>
      </c>
      <c r="S143" s="45">
        <v>7199</v>
      </c>
      <c r="T143" s="46">
        <v>6999</v>
      </c>
      <c r="U143" s="46">
        <v>6999</v>
      </c>
      <c r="V143" s="46">
        <v>6999</v>
      </c>
      <c r="W143" s="46">
        <v>6999</v>
      </c>
      <c r="X143" s="46">
        <v>6899</v>
      </c>
      <c r="Y143" s="46">
        <v>6499</v>
      </c>
      <c r="Z143" s="46">
        <v>6499</v>
      </c>
      <c r="AA143" s="46">
        <v>6499</v>
      </c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">
        <v>65</v>
      </c>
      <c r="AX143" s="51" t="s">
        <v>82</v>
      </c>
    </row>
    <row r="144" spans="1:50" ht="22.5" customHeight="1">
      <c r="A144" s="52" t="s">
        <v>70</v>
      </c>
      <c r="B144" s="41" t="s">
        <v>62</v>
      </c>
      <c r="C144" s="42">
        <v>4015763</v>
      </c>
      <c r="D144" s="43" t="s">
        <v>219</v>
      </c>
      <c r="E144" s="43" t="s">
        <v>220</v>
      </c>
      <c r="F144" s="45">
        <v>12499</v>
      </c>
      <c r="G144" s="45">
        <v>9999</v>
      </c>
      <c r="H144" s="46">
        <v>7999</v>
      </c>
      <c r="I144" s="46">
        <v>7999</v>
      </c>
      <c r="J144" s="45">
        <v>7899</v>
      </c>
      <c r="K144" s="45">
        <v>7899</v>
      </c>
      <c r="L144" s="45">
        <v>7899</v>
      </c>
      <c r="M144" s="45">
        <v>7899</v>
      </c>
      <c r="N144" s="45">
        <v>7899</v>
      </c>
      <c r="O144" s="45">
        <v>7799</v>
      </c>
      <c r="P144" s="46">
        <v>7699</v>
      </c>
      <c r="Q144" s="46">
        <v>7499</v>
      </c>
      <c r="R144" s="45">
        <v>7799</v>
      </c>
      <c r="S144" s="45">
        <v>7699</v>
      </c>
      <c r="T144" s="46">
        <v>7499</v>
      </c>
      <c r="U144" s="46">
        <v>7499</v>
      </c>
      <c r="V144" s="46">
        <v>7499</v>
      </c>
      <c r="W144" s="46">
        <v>7499</v>
      </c>
      <c r="X144" s="46">
        <v>7399</v>
      </c>
      <c r="Y144" s="46">
        <v>6999</v>
      </c>
      <c r="Z144" s="46">
        <v>6999</v>
      </c>
      <c r="AA144" s="46">
        <v>6999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">
        <v>65</v>
      </c>
      <c r="AX144" s="51" t="s">
        <v>82</v>
      </c>
    </row>
    <row r="145" spans="1:50" ht="22.5" customHeight="1">
      <c r="A145" s="52" t="s">
        <v>70</v>
      </c>
      <c r="B145" s="41" t="s">
        <v>62</v>
      </c>
      <c r="C145" s="42">
        <v>4015807</v>
      </c>
      <c r="D145" s="43" t="s">
        <v>219</v>
      </c>
      <c r="E145" s="43" t="s">
        <v>221</v>
      </c>
      <c r="F145" s="45">
        <v>12499</v>
      </c>
      <c r="G145" s="45">
        <v>9999</v>
      </c>
      <c r="H145" s="46">
        <v>7999</v>
      </c>
      <c r="I145" s="46">
        <v>7999</v>
      </c>
      <c r="J145" s="45">
        <v>7899</v>
      </c>
      <c r="K145" s="45">
        <v>7899</v>
      </c>
      <c r="L145" s="45">
        <v>7899</v>
      </c>
      <c r="M145" s="45">
        <v>7899</v>
      </c>
      <c r="N145" s="45">
        <v>7899</v>
      </c>
      <c r="O145" s="45">
        <v>7799</v>
      </c>
      <c r="P145" s="46">
        <v>7699</v>
      </c>
      <c r="Q145" s="46">
        <v>7499</v>
      </c>
      <c r="R145" s="45">
        <v>7799</v>
      </c>
      <c r="S145" s="45">
        <v>7699</v>
      </c>
      <c r="T145" s="46">
        <v>7499</v>
      </c>
      <c r="U145" s="46">
        <v>7499</v>
      </c>
      <c r="V145" s="46">
        <v>7499</v>
      </c>
      <c r="W145" s="46">
        <v>7499</v>
      </c>
      <c r="X145" s="46">
        <v>7399</v>
      </c>
      <c r="Y145" s="46">
        <v>6999</v>
      </c>
      <c r="Z145" s="46">
        <v>6999</v>
      </c>
      <c r="AA145" s="46">
        <v>6999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">
        <v>65</v>
      </c>
      <c r="AX145" s="51" t="s">
        <v>82</v>
      </c>
    </row>
    <row r="146" spans="1:50" ht="22.5" customHeight="1">
      <c r="A146" s="52" t="s">
        <v>70</v>
      </c>
      <c r="B146" s="41" t="s">
        <v>62</v>
      </c>
      <c r="C146" s="42">
        <v>4015779</v>
      </c>
      <c r="D146" s="43" t="s">
        <v>219</v>
      </c>
      <c r="E146" s="43" t="s">
        <v>222</v>
      </c>
      <c r="F146" s="45">
        <v>12499</v>
      </c>
      <c r="G146" s="45">
        <v>9999</v>
      </c>
      <c r="H146" s="46">
        <v>7999</v>
      </c>
      <c r="I146" s="46">
        <v>7999</v>
      </c>
      <c r="J146" s="45">
        <v>7899</v>
      </c>
      <c r="K146" s="45">
        <v>7899</v>
      </c>
      <c r="L146" s="45">
        <v>7899</v>
      </c>
      <c r="M146" s="45">
        <v>7899</v>
      </c>
      <c r="N146" s="45">
        <v>7899</v>
      </c>
      <c r="O146" s="45">
        <v>7799</v>
      </c>
      <c r="P146" s="46">
        <v>7699</v>
      </c>
      <c r="Q146" s="46">
        <v>7499</v>
      </c>
      <c r="R146" s="45">
        <v>7799</v>
      </c>
      <c r="S146" s="45">
        <v>7699</v>
      </c>
      <c r="T146" s="46">
        <v>7499</v>
      </c>
      <c r="U146" s="46">
        <v>7499</v>
      </c>
      <c r="V146" s="46">
        <v>7499</v>
      </c>
      <c r="W146" s="46">
        <v>7499</v>
      </c>
      <c r="X146" s="46">
        <v>7399</v>
      </c>
      <c r="Y146" s="46">
        <v>6999</v>
      </c>
      <c r="Z146" s="46">
        <v>6999</v>
      </c>
      <c r="AA146" s="46">
        <v>6999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">
        <v>65</v>
      </c>
      <c r="AX146" s="51" t="s">
        <v>82</v>
      </c>
    </row>
    <row r="147" spans="1:50" ht="22.5" customHeight="1">
      <c r="A147" s="52" t="s">
        <v>70</v>
      </c>
      <c r="B147" s="41" t="s">
        <v>62</v>
      </c>
      <c r="C147" s="42">
        <v>4015793</v>
      </c>
      <c r="D147" s="43" t="s">
        <v>219</v>
      </c>
      <c r="E147" s="43" t="s">
        <v>223</v>
      </c>
      <c r="F147" s="45">
        <v>12499</v>
      </c>
      <c r="G147" s="45">
        <v>9999</v>
      </c>
      <c r="H147" s="46">
        <v>7999</v>
      </c>
      <c r="I147" s="46">
        <v>7999</v>
      </c>
      <c r="J147" s="45">
        <v>7899</v>
      </c>
      <c r="K147" s="45">
        <v>7899</v>
      </c>
      <c r="L147" s="45">
        <v>7899</v>
      </c>
      <c r="M147" s="45">
        <v>7899</v>
      </c>
      <c r="N147" s="45">
        <v>7899</v>
      </c>
      <c r="O147" s="45">
        <v>7799</v>
      </c>
      <c r="P147" s="46">
        <v>7699</v>
      </c>
      <c r="Q147" s="46">
        <v>7499</v>
      </c>
      <c r="R147" s="45">
        <v>7799</v>
      </c>
      <c r="S147" s="45">
        <v>7699</v>
      </c>
      <c r="T147" s="46">
        <v>7499</v>
      </c>
      <c r="U147" s="46">
        <v>7499</v>
      </c>
      <c r="V147" s="46">
        <v>7499</v>
      </c>
      <c r="W147" s="46">
        <v>7499</v>
      </c>
      <c r="X147" s="46">
        <v>7399</v>
      </c>
      <c r="Y147" s="46">
        <v>6999</v>
      </c>
      <c r="Z147" s="46">
        <v>6999</v>
      </c>
      <c r="AA147" s="46">
        <v>6999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">
        <v>65</v>
      </c>
      <c r="AX147" s="51" t="s">
        <v>82</v>
      </c>
    </row>
    <row r="148" spans="1:50" ht="22.5" customHeight="1">
      <c r="A148" s="52" t="s">
        <v>70</v>
      </c>
      <c r="B148" s="41" t="s">
        <v>62</v>
      </c>
      <c r="C148" s="42">
        <v>4016488</v>
      </c>
      <c r="D148" s="43" t="s">
        <v>224</v>
      </c>
      <c r="E148" s="43" t="s">
        <v>225</v>
      </c>
      <c r="F148" s="45">
        <v>7799</v>
      </c>
      <c r="G148" s="45">
        <v>6099</v>
      </c>
      <c r="H148" s="46">
        <v>5999</v>
      </c>
      <c r="I148" s="46">
        <v>5999</v>
      </c>
      <c r="J148" s="45">
        <v>5799</v>
      </c>
      <c r="K148" s="45">
        <v>5799</v>
      </c>
      <c r="L148" s="45">
        <v>5799</v>
      </c>
      <c r="M148" s="45">
        <v>5799</v>
      </c>
      <c r="N148" s="45">
        <v>5799</v>
      </c>
      <c r="O148" s="45">
        <v>5299</v>
      </c>
      <c r="P148" s="46">
        <v>5199</v>
      </c>
      <c r="Q148" s="46">
        <v>4999</v>
      </c>
      <c r="R148" s="45">
        <v>5299</v>
      </c>
      <c r="S148" s="45">
        <v>5199</v>
      </c>
      <c r="T148" s="46">
        <v>4999</v>
      </c>
      <c r="U148" s="46">
        <v>4999</v>
      </c>
      <c r="V148" s="46">
        <v>4999</v>
      </c>
      <c r="W148" s="46">
        <v>4999</v>
      </c>
      <c r="X148" s="46">
        <v>4899</v>
      </c>
      <c r="Y148" s="46">
        <v>3999</v>
      </c>
      <c r="Z148" s="46">
        <v>3999</v>
      </c>
      <c r="AA148" s="46">
        <v>3999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">
        <v>65</v>
      </c>
      <c r="AX148" s="51" t="s">
        <v>82</v>
      </c>
    </row>
    <row r="149" spans="1:50" ht="22.5" customHeight="1">
      <c r="A149" s="52" t="s">
        <v>70</v>
      </c>
      <c r="B149" s="41" t="s">
        <v>62</v>
      </c>
      <c r="C149" s="42">
        <v>4016678</v>
      </c>
      <c r="D149" s="43" t="s">
        <v>224</v>
      </c>
      <c r="E149" s="43" t="s">
        <v>226</v>
      </c>
      <c r="F149" s="45">
        <v>7799</v>
      </c>
      <c r="G149" s="45">
        <v>6099</v>
      </c>
      <c r="H149" s="46">
        <v>5999</v>
      </c>
      <c r="I149" s="46">
        <v>5999</v>
      </c>
      <c r="J149" s="45">
        <v>5799</v>
      </c>
      <c r="K149" s="45">
        <v>5799</v>
      </c>
      <c r="L149" s="45">
        <v>5799</v>
      </c>
      <c r="M149" s="45">
        <v>5799</v>
      </c>
      <c r="N149" s="45">
        <v>5799</v>
      </c>
      <c r="O149" s="45">
        <v>5299</v>
      </c>
      <c r="P149" s="46">
        <v>5199</v>
      </c>
      <c r="Q149" s="46">
        <v>4999</v>
      </c>
      <c r="R149" s="45">
        <v>5299</v>
      </c>
      <c r="S149" s="45">
        <v>5199</v>
      </c>
      <c r="T149" s="46">
        <v>4999</v>
      </c>
      <c r="U149" s="46">
        <v>4999</v>
      </c>
      <c r="V149" s="46">
        <v>4999</v>
      </c>
      <c r="W149" s="46">
        <v>4999</v>
      </c>
      <c r="X149" s="46">
        <v>4899</v>
      </c>
      <c r="Y149" s="46">
        <v>3999</v>
      </c>
      <c r="Z149" s="46">
        <v>3999</v>
      </c>
      <c r="AA149" s="46">
        <v>3999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">
        <v>65</v>
      </c>
      <c r="AX149" s="51" t="s">
        <v>82</v>
      </c>
    </row>
    <row r="150" spans="1:50" ht="22.5" customHeight="1">
      <c r="A150" s="52" t="s">
        <v>70</v>
      </c>
      <c r="B150" s="41" t="s">
        <v>62</v>
      </c>
      <c r="C150" s="42">
        <v>4016485</v>
      </c>
      <c r="D150" s="43" t="s">
        <v>224</v>
      </c>
      <c r="E150" s="43" t="s">
        <v>227</v>
      </c>
      <c r="F150" s="45">
        <v>7799</v>
      </c>
      <c r="G150" s="45">
        <v>6099</v>
      </c>
      <c r="H150" s="46">
        <v>5999</v>
      </c>
      <c r="I150" s="46">
        <v>5999</v>
      </c>
      <c r="J150" s="45">
        <v>5799</v>
      </c>
      <c r="K150" s="45">
        <v>5799</v>
      </c>
      <c r="L150" s="45">
        <v>5799</v>
      </c>
      <c r="M150" s="45">
        <v>5799</v>
      </c>
      <c r="N150" s="45">
        <v>5799</v>
      </c>
      <c r="O150" s="45">
        <v>5299</v>
      </c>
      <c r="P150" s="46">
        <v>5199</v>
      </c>
      <c r="Q150" s="46">
        <v>4999</v>
      </c>
      <c r="R150" s="45">
        <v>5299</v>
      </c>
      <c r="S150" s="45">
        <v>5199</v>
      </c>
      <c r="T150" s="46">
        <v>4999</v>
      </c>
      <c r="U150" s="46">
        <v>4999</v>
      </c>
      <c r="V150" s="46">
        <v>4999</v>
      </c>
      <c r="W150" s="46">
        <v>4999</v>
      </c>
      <c r="X150" s="46">
        <v>4899</v>
      </c>
      <c r="Y150" s="46">
        <v>3999</v>
      </c>
      <c r="Z150" s="46">
        <v>3999</v>
      </c>
      <c r="AA150" s="46">
        <v>3999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">
        <v>65</v>
      </c>
      <c r="AX150" s="51" t="s">
        <v>82</v>
      </c>
    </row>
    <row r="151" spans="1:50" ht="22.5" customHeight="1">
      <c r="A151" s="52" t="s">
        <v>70</v>
      </c>
      <c r="B151" s="41" t="s">
        <v>62</v>
      </c>
      <c r="C151" s="42">
        <v>4016486</v>
      </c>
      <c r="D151" s="43" t="s">
        <v>224</v>
      </c>
      <c r="E151" s="43" t="s">
        <v>228</v>
      </c>
      <c r="F151" s="45">
        <v>7799</v>
      </c>
      <c r="G151" s="45">
        <v>6099</v>
      </c>
      <c r="H151" s="46">
        <v>5999</v>
      </c>
      <c r="I151" s="46">
        <v>5999</v>
      </c>
      <c r="J151" s="45">
        <v>5799</v>
      </c>
      <c r="K151" s="45">
        <v>5799</v>
      </c>
      <c r="L151" s="45">
        <v>5799</v>
      </c>
      <c r="M151" s="45">
        <v>5799</v>
      </c>
      <c r="N151" s="45">
        <v>5799</v>
      </c>
      <c r="O151" s="45">
        <v>5299</v>
      </c>
      <c r="P151" s="46">
        <v>5199</v>
      </c>
      <c r="Q151" s="46">
        <v>4999</v>
      </c>
      <c r="R151" s="45">
        <v>5299</v>
      </c>
      <c r="S151" s="45">
        <v>5199</v>
      </c>
      <c r="T151" s="46">
        <v>4999</v>
      </c>
      <c r="U151" s="46">
        <v>4999</v>
      </c>
      <c r="V151" s="46">
        <v>4999</v>
      </c>
      <c r="W151" s="46">
        <v>4999</v>
      </c>
      <c r="X151" s="46">
        <v>4899</v>
      </c>
      <c r="Y151" s="46">
        <v>3999</v>
      </c>
      <c r="Z151" s="46">
        <v>3999</v>
      </c>
      <c r="AA151" s="46">
        <v>3999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">
        <v>65</v>
      </c>
      <c r="AX151" s="51" t="s">
        <v>82</v>
      </c>
    </row>
    <row r="152" spans="1:50" ht="22.5" customHeight="1">
      <c r="A152" s="52" t="s">
        <v>70</v>
      </c>
      <c r="B152" s="41" t="s">
        <v>62</v>
      </c>
      <c r="C152" s="42">
        <v>4016489</v>
      </c>
      <c r="D152" s="43" t="s">
        <v>224</v>
      </c>
      <c r="E152" s="43" t="s">
        <v>229</v>
      </c>
      <c r="F152" s="45">
        <v>7799</v>
      </c>
      <c r="G152" s="45">
        <v>6099</v>
      </c>
      <c r="H152" s="46">
        <v>5999</v>
      </c>
      <c r="I152" s="46">
        <v>5999</v>
      </c>
      <c r="J152" s="45">
        <v>5799</v>
      </c>
      <c r="K152" s="45">
        <v>5799</v>
      </c>
      <c r="L152" s="45">
        <v>5799</v>
      </c>
      <c r="M152" s="45">
        <v>5799</v>
      </c>
      <c r="N152" s="45">
        <v>5799</v>
      </c>
      <c r="O152" s="45">
        <v>5299</v>
      </c>
      <c r="P152" s="46">
        <v>5199</v>
      </c>
      <c r="Q152" s="46">
        <v>4999</v>
      </c>
      <c r="R152" s="45">
        <v>5299</v>
      </c>
      <c r="S152" s="45">
        <v>5199</v>
      </c>
      <c r="T152" s="46">
        <v>4999</v>
      </c>
      <c r="U152" s="46">
        <v>4999</v>
      </c>
      <c r="V152" s="46">
        <v>4999</v>
      </c>
      <c r="W152" s="46">
        <v>4999</v>
      </c>
      <c r="X152" s="46">
        <v>4899</v>
      </c>
      <c r="Y152" s="46">
        <v>3999</v>
      </c>
      <c r="Z152" s="46">
        <v>3999</v>
      </c>
      <c r="AA152" s="46">
        <v>3999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">
        <v>65</v>
      </c>
      <c r="AX152" s="51" t="s">
        <v>82</v>
      </c>
    </row>
    <row r="153" spans="1:50" ht="22.5" customHeight="1">
      <c r="A153" s="52" t="s">
        <v>70</v>
      </c>
      <c r="B153" s="41" t="s">
        <v>62</v>
      </c>
      <c r="C153" s="42">
        <v>4016676</v>
      </c>
      <c r="D153" s="43" t="s">
        <v>224</v>
      </c>
      <c r="E153" s="43" t="s">
        <v>230</v>
      </c>
      <c r="F153" s="45">
        <v>7799</v>
      </c>
      <c r="G153" s="45">
        <v>6099</v>
      </c>
      <c r="H153" s="46">
        <v>5999</v>
      </c>
      <c r="I153" s="46">
        <v>5999</v>
      </c>
      <c r="J153" s="45">
        <v>5799</v>
      </c>
      <c r="K153" s="45">
        <v>5799</v>
      </c>
      <c r="L153" s="45">
        <v>5799</v>
      </c>
      <c r="M153" s="45">
        <v>5799</v>
      </c>
      <c r="N153" s="45">
        <v>5799</v>
      </c>
      <c r="O153" s="45">
        <v>5299</v>
      </c>
      <c r="P153" s="46">
        <v>5199</v>
      </c>
      <c r="Q153" s="46">
        <v>4999</v>
      </c>
      <c r="R153" s="45">
        <v>5299</v>
      </c>
      <c r="S153" s="45">
        <v>5199</v>
      </c>
      <c r="T153" s="46">
        <v>4999</v>
      </c>
      <c r="U153" s="46">
        <v>4999</v>
      </c>
      <c r="V153" s="46">
        <v>4999</v>
      </c>
      <c r="W153" s="46">
        <v>4999</v>
      </c>
      <c r="X153" s="46">
        <v>4899</v>
      </c>
      <c r="Y153" s="46">
        <v>3999</v>
      </c>
      <c r="Z153" s="46">
        <v>3999</v>
      </c>
      <c r="AA153" s="46">
        <v>3999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">
        <v>65</v>
      </c>
      <c r="AX153" s="51" t="s">
        <v>82</v>
      </c>
    </row>
    <row r="154" spans="1:50" ht="22.5" customHeight="1">
      <c r="A154" s="52" t="s">
        <v>70</v>
      </c>
      <c r="B154" s="41" t="s">
        <v>62</v>
      </c>
      <c r="C154" s="42">
        <v>4016487</v>
      </c>
      <c r="D154" s="43" t="s">
        <v>224</v>
      </c>
      <c r="E154" s="43" t="s">
        <v>231</v>
      </c>
      <c r="F154" s="45">
        <v>7799</v>
      </c>
      <c r="G154" s="45">
        <v>6099</v>
      </c>
      <c r="H154" s="46">
        <v>5999</v>
      </c>
      <c r="I154" s="46">
        <v>5999</v>
      </c>
      <c r="J154" s="45">
        <v>5799</v>
      </c>
      <c r="K154" s="45">
        <v>5799</v>
      </c>
      <c r="L154" s="45">
        <v>5799</v>
      </c>
      <c r="M154" s="45">
        <v>5799</v>
      </c>
      <c r="N154" s="45">
        <v>5799</v>
      </c>
      <c r="O154" s="45">
        <v>5299</v>
      </c>
      <c r="P154" s="46">
        <v>5199</v>
      </c>
      <c r="Q154" s="46">
        <v>4999</v>
      </c>
      <c r="R154" s="45">
        <v>5299</v>
      </c>
      <c r="S154" s="45">
        <v>5199</v>
      </c>
      <c r="T154" s="46">
        <v>4999</v>
      </c>
      <c r="U154" s="46">
        <v>4999</v>
      </c>
      <c r="V154" s="46">
        <v>4999</v>
      </c>
      <c r="W154" s="46">
        <v>4999</v>
      </c>
      <c r="X154" s="46">
        <v>4899</v>
      </c>
      <c r="Y154" s="46">
        <v>3999</v>
      </c>
      <c r="Z154" s="46">
        <v>3999</v>
      </c>
      <c r="AA154" s="46">
        <v>3999</v>
      </c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">
        <v>65</v>
      </c>
      <c r="AX154" s="51" t="s">
        <v>82</v>
      </c>
    </row>
    <row r="155" spans="1:50" ht="22.5" customHeight="1">
      <c r="A155" s="52" t="s">
        <v>70</v>
      </c>
      <c r="B155" s="41" t="s">
        <v>62</v>
      </c>
      <c r="C155" s="42">
        <v>4016599</v>
      </c>
      <c r="D155" s="43" t="s">
        <v>224</v>
      </c>
      <c r="E155" s="43" t="s">
        <v>232</v>
      </c>
      <c r="F155" s="45">
        <v>7799</v>
      </c>
      <c r="G155" s="45">
        <v>6099</v>
      </c>
      <c r="H155" s="46">
        <v>5999</v>
      </c>
      <c r="I155" s="46">
        <v>5999</v>
      </c>
      <c r="J155" s="45">
        <v>5799</v>
      </c>
      <c r="K155" s="45">
        <v>5799</v>
      </c>
      <c r="L155" s="45">
        <v>5799</v>
      </c>
      <c r="M155" s="45">
        <v>5799</v>
      </c>
      <c r="N155" s="45">
        <v>5799</v>
      </c>
      <c r="O155" s="45">
        <v>5299</v>
      </c>
      <c r="P155" s="46">
        <v>5199</v>
      </c>
      <c r="Q155" s="46">
        <v>4999</v>
      </c>
      <c r="R155" s="45">
        <v>5299</v>
      </c>
      <c r="S155" s="45">
        <v>5199</v>
      </c>
      <c r="T155" s="46">
        <v>4999</v>
      </c>
      <c r="U155" s="46">
        <v>4999</v>
      </c>
      <c r="V155" s="46">
        <v>4999</v>
      </c>
      <c r="W155" s="46">
        <v>4999</v>
      </c>
      <c r="X155" s="46">
        <v>4899</v>
      </c>
      <c r="Y155" s="46">
        <v>3999</v>
      </c>
      <c r="Z155" s="46">
        <v>3999</v>
      </c>
      <c r="AA155" s="46">
        <v>3999</v>
      </c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">
        <v>65</v>
      </c>
      <c r="AX155" s="51" t="s">
        <v>82</v>
      </c>
    </row>
    <row r="156" spans="1:50" ht="22.5" customHeight="1">
      <c r="A156" s="52" t="s">
        <v>70</v>
      </c>
      <c r="B156" s="41" t="s">
        <v>62</v>
      </c>
      <c r="C156" s="42">
        <v>4016672</v>
      </c>
      <c r="D156" s="43" t="s">
        <v>224</v>
      </c>
      <c r="E156" s="43" t="s">
        <v>233</v>
      </c>
      <c r="F156" s="45">
        <v>7799</v>
      </c>
      <c r="G156" s="45">
        <v>6099</v>
      </c>
      <c r="H156" s="46">
        <v>5999</v>
      </c>
      <c r="I156" s="46">
        <v>5999</v>
      </c>
      <c r="J156" s="45">
        <v>5799</v>
      </c>
      <c r="K156" s="45">
        <v>5799</v>
      </c>
      <c r="L156" s="45">
        <v>5799</v>
      </c>
      <c r="M156" s="45">
        <v>5799</v>
      </c>
      <c r="N156" s="45">
        <v>5799</v>
      </c>
      <c r="O156" s="45">
        <v>5299</v>
      </c>
      <c r="P156" s="46">
        <v>5199</v>
      </c>
      <c r="Q156" s="46">
        <v>4999</v>
      </c>
      <c r="R156" s="45">
        <v>5299</v>
      </c>
      <c r="S156" s="45">
        <v>5199</v>
      </c>
      <c r="T156" s="46">
        <v>4999</v>
      </c>
      <c r="U156" s="46">
        <v>4999</v>
      </c>
      <c r="V156" s="46">
        <v>4999</v>
      </c>
      <c r="W156" s="46">
        <v>4999</v>
      </c>
      <c r="X156" s="46">
        <v>4899</v>
      </c>
      <c r="Y156" s="46">
        <v>3999</v>
      </c>
      <c r="Z156" s="46">
        <v>3999</v>
      </c>
      <c r="AA156" s="46">
        <v>3999</v>
      </c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">
        <v>65</v>
      </c>
      <c r="AX156" s="51" t="s">
        <v>82</v>
      </c>
    </row>
    <row r="157" spans="1:50" ht="22.5" customHeight="1">
      <c r="A157" s="52" t="s">
        <v>70</v>
      </c>
      <c r="B157" s="41" t="s">
        <v>62</v>
      </c>
      <c r="C157" s="42">
        <v>4016682</v>
      </c>
      <c r="D157" s="43" t="s">
        <v>224</v>
      </c>
      <c r="E157" s="43" t="s">
        <v>234</v>
      </c>
      <c r="F157" s="45">
        <v>7799</v>
      </c>
      <c r="G157" s="45">
        <v>6099</v>
      </c>
      <c r="H157" s="46">
        <v>5999</v>
      </c>
      <c r="I157" s="46">
        <v>5999</v>
      </c>
      <c r="J157" s="45">
        <v>5799</v>
      </c>
      <c r="K157" s="45">
        <v>5799</v>
      </c>
      <c r="L157" s="45">
        <v>5799</v>
      </c>
      <c r="M157" s="45">
        <v>5799</v>
      </c>
      <c r="N157" s="45">
        <v>5799</v>
      </c>
      <c r="O157" s="45">
        <v>5299</v>
      </c>
      <c r="P157" s="46">
        <v>5199</v>
      </c>
      <c r="Q157" s="46">
        <v>4999</v>
      </c>
      <c r="R157" s="45">
        <v>5299</v>
      </c>
      <c r="S157" s="45">
        <v>5199</v>
      </c>
      <c r="T157" s="46">
        <v>4999</v>
      </c>
      <c r="U157" s="46">
        <v>4999</v>
      </c>
      <c r="V157" s="46">
        <v>4999</v>
      </c>
      <c r="W157" s="46">
        <v>4999</v>
      </c>
      <c r="X157" s="46">
        <v>4899</v>
      </c>
      <c r="Y157" s="46">
        <v>3999</v>
      </c>
      <c r="Z157" s="46">
        <v>3999</v>
      </c>
      <c r="AA157" s="46">
        <v>3999</v>
      </c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">
        <v>65</v>
      </c>
      <c r="AX157" s="51" t="s">
        <v>82</v>
      </c>
    </row>
    <row r="158" spans="1:50" ht="22.5" customHeight="1">
      <c r="A158" s="52" t="s">
        <v>70</v>
      </c>
      <c r="B158" s="41" t="s">
        <v>62</v>
      </c>
      <c r="C158" s="42">
        <v>4016563</v>
      </c>
      <c r="D158" s="53" t="s">
        <v>235</v>
      </c>
      <c r="E158" s="43" t="s">
        <v>236</v>
      </c>
      <c r="F158" s="45">
        <v>8599</v>
      </c>
      <c r="G158" s="45">
        <v>4899</v>
      </c>
      <c r="H158" s="46">
        <v>5999</v>
      </c>
      <c r="I158" s="46">
        <v>5999</v>
      </c>
      <c r="J158" s="45">
        <v>5899</v>
      </c>
      <c r="K158" s="45">
        <v>5899</v>
      </c>
      <c r="L158" s="45">
        <v>5899</v>
      </c>
      <c r="M158" s="45">
        <v>5899</v>
      </c>
      <c r="N158" s="45">
        <v>5899</v>
      </c>
      <c r="O158" s="45">
        <v>5799</v>
      </c>
      <c r="P158" s="46">
        <v>5699</v>
      </c>
      <c r="Q158" s="46">
        <v>4999</v>
      </c>
      <c r="R158" s="45">
        <v>5799</v>
      </c>
      <c r="S158" s="45">
        <v>5699</v>
      </c>
      <c r="T158" s="46">
        <v>4999</v>
      </c>
      <c r="U158" s="46">
        <v>4999</v>
      </c>
      <c r="V158" s="46">
        <v>4999</v>
      </c>
      <c r="W158" s="46">
        <v>4999</v>
      </c>
      <c r="X158" s="46">
        <v>4899</v>
      </c>
      <c r="Y158" s="54">
        <v>4499</v>
      </c>
      <c r="Z158" s="54">
        <v>4499</v>
      </c>
      <c r="AA158" s="54">
        <v>4499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">
        <v>65</v>
      </c>
      <c r="AX158" s="51" t="s">
        <v>82</v>
      </c>
    </row>
    <row r="159" spans="1:50" ht="22.5" customHeight="1">
      <c r="A159" s="52" t="s">
        <v>70</v>
      </c>
      <c r="B159" s="41" t="s">
        <v>62</v>
      </c>
      <c r="C159" s="42">
        <v>4016560</v>
      </c>
      <c r="D159" s="53" t="s">
        <v>235</v>
      </c>
      <c r="E159" s="43" t="s">
        <v>237</v>
      </c>
      <c r="F159" s="45">
        <v>8599</v>
      </c>
      <c r="G159" s="45">
        <v>4899</v>
      </c>
      <c r="H159" s="46">
        <v>5999</v>
      </c>
      <c r="I159" s="46">
        <v>5999</v>
      </c>
      <c r="J159" s="45">
        <v>5899</v>
      </c>
      <c r="K159" s="45">
        <v>5899</v>
      </c>
      <c r="L159" s="45">
        <v>5899</v>
      </c>
      <c r="M159" s="45">
        <v>5899</v>
      </c>
      <c r="N159" s="45">
        <v>5899</v>
      </c>
      <c r="O159" s="45">
        <v>5799</v>
      </c>
      <c r="P159" s="46">
        <v>5699</v>
      </c>
      <c r="Q159" s="46">
        <v>4999</v>
      </c>
      <c r="R159" s="45">
        <v>5799</v>
      </c>
      <c r="S159" s="45">
        <v>5699</v>
      </c>
      <c r="T159" s="46">
        <v>4999</v>
      </c>
      <c r="U159" s="46">
        <v>4999</v>
      </c>
      <c r="V159" s="46">
        <v>4999</v>
      </c>
      <c r="W159" s="46">
        <v>4999</v>
      </c>
      <c r="X159" s="46">
        <v>4899</v>
      </c>
      <c r="Y159" s="54">
        <v>4499</v>
      </c>
      <c r="Z159" s="54">
        <v>4499</v>
      </c>
      <c r="AA159" s="54">
        <v>4499</v>
      </c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">
        <v>65</v>
      </c>
      <c r="AX159" s="51" t="s">
        <v>82</v>
      </c>
    </row>
    <row r="160" spans="1:50" ht="22.5" customHeight="1">
      <c r="A160" s="52" t="s">
        <v>70</v>
      </c>
      <c r="B160" s="41" t="s">
        <v>62</v>
      </c>
      <c r="C160" s="42">
        <v>4016565</v>
      </c>
      <c r="D160" s="53" t="s">
        <v>235</v>
      </c>
      <c r="E160" s="43" t="s">
        <v>238</v>
      </c>
      <c r="F160" s="45">
        <v>8599</v>
      </c>
      <c r="G160" s="45">
        <v>4899</v>
      </c>
      <c r="H160" s="46">
        <v>5999</v>
      </c>
      <c r="I160" s="46">
        <v>5999</v>
      </c>
      <c r="J160" s="45">
        <v>5899</v>
      </c>
      <c r="K160" s="45">
        <v>5899</v>
      </c>
      <c r="L160" s="45">
        <v>5899</v>
      </c>
      <c r="M160" s="45">
        <v>5899</v>
      </c>
      <c r="N160" s="45">
        <v>5899</v>
      </c>
      <c r="O160" s="45">
        <v>5799</v>
      </c>
      <c r="P160" s="46">
        <v>5699</v>
      </c>
      <c r="Q160" s="46">
        <v>4999</v>
      </c>
      <c r="R160" s="45">
        <v>5799</v>
      </c>
      <c r="S160" s="45">
        <v>5699</v>
      </c>
      <c r="T160" s="46">
        <v>4999</v>
      </c>
      <c r="U160" s="46">
        <v>4999</v>
      </c>
      <c r="V160" s="46">
        <v>4999</v>
      </c>
      <c r="W160" s="46">
        <v>4999</v>
      </c>
      <c r="X160" s="46">
        <v>4899</v>
      </c>
      <c r="Y160" s="54">
        <v>4499</v>
      </c>
      <c r="Z160" s="54">
        <v>4499</v>
      </c>
      <c r="AA160" s="54">
        <v>4499</v>
      </c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">
        <v>65</v>
      </c>
      <c r="AX160" s="51" t="s">
        <v>82</v>
      </c>
    </row>
    <row r="161" spans="1:50" ht="22.5" customHeight="1">
      <c r="A161" s="52" t="s">
        <v>70</v>
      </c>
      <c r="B161" s="41" t="s">
        <v>62</v>
      </c>
      <c r="C161" s="42">
        <v>4016564</v>
      </c>
      <c r="D161" s="53" t="s">
        <v>235</v>
      </c>
      <c r="E161" s="43" t="s">
        <v>239</v>
      </c>
      <c r="F161" s="45">
        <v>8599</v>
      </c>
      <c r="G161" s="45">
        <v>4899</v>
      </c>
      <c r="H161" s="46">
        <v>5999</v>
      </c>
      <c r="I161" s="46">
        <v>5999</v>
      </c>
      <c r="J161" s="45">
        <v>5899</v>
      </c>
      <c r="K161" s="45">
        <v>5899</v>
      </c>
      <c r="L161" s="45">
        <v>5899</v>
      </c>
      <c r="M161" s="45">
        <v>5899</v>
      </c>
      <c r="N161" s="45">
        <v>5899</v>
      </c>
      <c r="O161" s="45">
        <v>5799</v>
      </c>
      <c r="P161" s="46">
        <v>5699</v>
      </c>
      <c r="Q161" s="46">
        <v>4999</v>
      </c>
      <c r="R161" s="45">
        <v>5799</v>
      </c>
      <c r="S161" s="45">
        <v>5699</v>
      </c>
      <c r="T161" s="46">
        <v>4999</v>
      </c>
      <c r="U161" s="46">
        <v>4999</v>
      </c>
      <c r="V161" s="46">
        <v>4999</v>
      </c>
      <c r="W161" s="46">
        <v>4999</v>
      </c>
      <c r="X161" s="46">
        <v>4899</v>
      </c>
      <c r="Y161" s="54">
        <v>4499</v>
      </c>
      <c r="Z161" s="54">
        <v>4499</v>
      </c>
      <c r="AA161" s="54">
        <v>4499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">
        <v>65</v>
      </c>
      <c r="AX161" s="51" t="s">
        <v>82</v>
      </c>
    </row>
    <row r="162" spans="1:50" ht="22.5" customHeight="1">
      <c r="A162" s="52" t="s">
        <v>70</v>
      </c>
      <c r="B162" s="41" t="s">
        <v>62</v>
      </c>
      <c r="C162" s="42">
        <v>4016675</v>
      </c>
      <c r="D162" s="53" t="s">
        <v>235</v>
      </c>
      <c r="E162" s="43" t="s">
        <v>240</v>
      </c>
      <c r="F162" s="45">
        <v>8599</v>
      </c>
      <c r="G162" s="45">
        <v>4899</v>
      </c>
      <c r="H162" s="46">
        <v>5999</v>
      </c>
      <c r="I162" s="46">
        <v>5999</v>
      </c>
      <c r="J162" s="45">
        <v>5899</v>
      </c>
      <c r="K162" s="45">
        <v>5899</v>
      </c>
      <c r="L162" s="45">
        <v>5899</v>
      </c>
      <c r="M162" s="45">
        <v>5899</v>
      </c>
      <c r="N162" s="45">
        <v>5899</v>
      </c>
      <c r="O162" s="45">
        <v>5799</v>
      </c>
      <c r="P162" s="46">
        <v>5699</v>
      </c>
      <c r="Q162" s="46">
        <v>4999</v>
      </c>
      <c r="R162" s="45">
        <v>5799</v>
      </c>
      <c r="S162" s="45">
        <v>5699</v>
      </c>
      <c r="T162" s="46">
        <v>4999</v>
      </c>
      <c r="U162" s="46">
        <v>4999</v>
      </c>
      <c r="V162" s="46">
        <v>4999</v>
      </c>
      <c r="W162" s="46">
        <v>4999</v>
      </c>
      <c r="X162" s="46">
        <v>4899</v>
      </c>
      <c r="Y162" s="54">
        <v>4499</v>
      </c>
      <c r="Z162" s="54">
        <v>4499</v>
      </c>
      <c r="AA162" s="54">
        <v>4499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">
        <v>65</v>
      </c>
      <c r="AX162" s="51" t="s">
        <v>82</v>
      </c>
    </row>
    <row r="163" spans="1:50" ht="22.5" customHeight="1">
      <c r="A163" s="52" t="s">
        <v>70</v>
      </c>
      <c r="B163" s="41" t="s">
        <v>62</v>
      </c>
      <c r="C163" s="42">
        <v>4016568</v>
      </c>
      <c r="D163" s="53" t="s">
        <v>235</v>
      </c>
      <c r="E163" s="43" t="s">
        <v>241</v>
      </c>
      <c r="F163" s="45">
        <v>8599</v>
      </c>
      <c r="G163" s="45">
        <v>4899</v>
      </c>
      <c r="H163" s="46">
        <v>5999</v>
      </c>
      <c r="I163" s="46">
        <v>5999</v>
      </c>
      <c r="J163" s="45">
        <v>5899</v>
      </c>
      <c r="K163" s="45">
        <v>5899</v>
      </c>
      <c r="L163" s="45">
        <v>5899</v>
      </c>
      <c r="M163" s="45">
        <v>5899</v>
      </c>
      <c r="N163" s="45">
        <v>5899</v>
      </c>
      <c r="O163" s="45">
        <v>5799</v>
      </c>
      <c r="P163" s="46">
        <v>5699</v>
      </c>
      <c r="Q163" s="46">
        <v>4999</v>
      </c>
      <c r="R163" s="45">
        <v>5799</v>
      </c>
      <c r="S163" s="45">
        <v>5699</v>
      </c>
      <c r="T163" s="46">
        <v>4999</v>
      </c>
      <c r="U163" s="46">
        <v>4999</v>
      </c>
      <c r="V163" s="46">
        <v>4999</v>
      </c>
      <c r="W163" s="46">
        <v>4999</v>
      </c>
      <c r="X163" s="46">
        <v>4899</v>
      </c>
      <c r="Y163" s="54">
        <v>4499</v>
      </c>
      <c r="Z163" s="54">
        <v>4499</v>
      </c>
      <c r="AA163" s="54">
        <v>4499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">
        <v>65</v>
      </c>
      <c r="AX163" s="51" t="s">
        <v>82</v>
      </c>
    </row>
    <row r="164" spans="1:50" ht="22.5" customHeight="1">
      <c r="A164" s="52" t="s">
        <v>70</v>
      </c>
      <c r="B164" s="41" t="s">
        <v>62</v>
      </c>
      <c r="C164" s="42">
        <v>4016670</v>
      </c>
      <c r="D164" s="53" t="s">
        <v>235</v>
      </c>
      <c r="E164" s="43" t="s">
        <v>242</v>
      </c>
      <c r="F164" s="45">
        <v>8599</v>
      </c>
      <c r="G164" s="45">
        <v>4899</v>
      </c>
      <c r="H164" s="46">
        <v>5999</v>
      </c>
      <c r="I164" s="46">
        <v>5999</v>
      </c>
      <c r="J164" s="45">
        <v>5899</v>
      </c>
      <c r="K164" s="45">
        <v>5899</v>
      </c>
      <c r="L164" s="45">
        <v>5899</v>
      </c>
      <c r="M164" s="45">
        <v>5899</v>
      </c>
      <c r="N164" s="45">
        <v>5899</v>
      </c>
      <c r="O164" s="45">
        <v>5799</v>
      </c>
      <c r="P164" s="46">
        <v>5699</v>
      </c>
      <c r="Q164" s="46">
        <v>4999</v>
      </c>
      <c r="R164" s="45">
        <v>5799</v>
      </c>
      <c r="S164" s="45">
        <v>5699</v>
      </c>
      <c r="T164" s="46">
        <v>4999</v>
      </c>
      <c r="U164" s="46">
        <v>4999</v>
      </c>
      <c r="V164" s="46">
        <v>4999</v>
      </c>
      <c r="W164" s="46">
        <v>4999</v>
      </c>
      <c r="X164" s="46">
        <v>4899</v>
      </c>
      <c r="Y164" s="54">
        <v>4499</v>
      </c>
      <c r="Z164" s="54">
        <v>4499</v>
      </c>
      <c r="AA164" s="54">
        <v>4499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">
        <v>65</v>
      </c>
      <c r="AX164" s="51" t="s">
        <v>82</v>
      </c>
    </row>
    <row r="165" spans="1:50" ht="22.5" customHeight="1">
      <c r="A165" s="52" t="s">
        <v>70</v>
      </c>
      <c r="B165" s="41" t="s">
        <v>62</v>
      </c>
      <c r="C165" s="42">
        <v>4016673</v>
      </c>
      <c r="D165" s="53" t="s">
        <v>235</v>
      </c>
      <c r="E165" s="43" t="s">
        <v>243</v>
      </c>
      <c r="F165" s="45">
        <v>8599</v>
      </c>
      <c r="G165" s="45">
        <v>4899</v>
      </c>
      <c r="H165" s="46">
        <v>5999</v>
      </c>
      <c r="I165" s="46">
        <v>5999</v>
      </c>
      <c r="J165" s="45">
        <v>5899</v>
      </c>
      <c r="K165" s="45">
        <v>5899</v>
      </c>
      <c r="L165" s="45">
        <v>5899</v>
      </c>
      <c r="M165" s="45">
        <v>5899</v>
      </c>
      <c r="N165" s="45">
        <v>5899</v>
      </c>
      <c r="O165" s="45">
        <v>5799</v>
      </c>
      <c r="P165" s="46">
        <v>5699</v>
      </c>
      <c r="Q165" s="46">
        <v>4999</v>
      </c>
      <c r="R165" s="45">
        <v>5799</v>
      </c>
      <c r="S165" s="45">
        <v>5699</v>
      </c>
      <c r="T165" s="46">
        <v>4999</v>
      </c>
      <c r="U165" s="46">
        <v>4999</v>
      </c>
      <c r="V165" s="46">
        <v>4999</v>
      </c>
      <c r="W165" s="46">
        <v>4999</v>
      </c>
      <c r="X165" s="46">
        <v>4899</v>
      </c>
      <c r="Y165" s="54">
        <v>4499</v>
      </c>
      <c r="Z165" s="54">
        <v>4499</v>
      </c>
      <c r="AA165" s="54">
        <v>4499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">
        <v>65</v>
      </c>
      <c r="AX165" s="51" t="s">
        <v>82</v>
      </c>
    </row>
    <row r="166" spans="1:50" ht="22.5" customHeight="1">
      <c r="A166" s="52" t="s">
        <v>70</v>
      </c>
      <c r="B166" s="41" t="s">
        <v>62</v>
      </c>
      <c r="C166" s="42">
        <v>4016679</v>
      </c>
      <c r="D166" s="53" t="s">
        <v>235</v>
      </c>
      <c r="E166" s="43" t="s">
        <v>244</v>
      </c>
      <c r="F166" s="45">
        <v>8599</v>
      </c>
      <c r="G166" s="45">
        <v>4899</v>
      </c>
      <c r="H166" s="46">
        <v>5999</v>
      </c>
      <c r="I166" s="46">
        <v>5999</v>
      </c>
      <c r="J166" s="45">
        <v>5899</v>
      </c>
      <c r="K166" s="45">
        <v>5899</v>
      </c>
      <c r="L166" s="45">
        <v>5899</v>
      </c>
      <c r="M166" s="45">
        <v>5899</v>
      </c>
      <c r="N166" s="45">
        <v>5899</v>
      </c>
      <c r="O166" s="45">
        <v>5799</v>
      </c>
      <c r="P166" s="46">
        <v>5699</v>
      </c>
      <c r="Q166" s="46">
        <v>4999</v>
      </c>
      <c r="R166" s="45">
        <v>5799</v>
      </c>
      <c r="S166" s="45">
        <v>5699</v>
      </c>
      <c r="T166" s="46">
        <v>4999</v>
      </c>
      <c r="U166" s="46">
        <v>4999</v>
      </c>
      <c r="V166" s="46">
        <v>4999</v>
      </c>
      <c r="W166" s="46">
        <v>4999</v>
      </c>
      <c r="X166" s="46">
        <v>4899</v>
      </c>
      <c r="Y166" s="54">
        <v>4499</v>
      </c>
      <c r="Z166" s="54">
        <v>4499</v>
      </c>
      <c r="AA166" s="54">
        <v>4499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">
        <v>65</v>
      </c>
      <c r="AX166" s="51" t="s">
        <v>82</v>
      </c>
    </row>
    <row r="167" spans="1:50" ht="22.5" customHeight="1">
      <c r="A167" s="52" t="s">
        <v>70</v>
      </c>
      <c r="B167" s="41" t="s">
        <v>62</v>
      </c>
      <c r="C167" s="42">
        <v>4016681</v>
      </c>
      <c r="D167" s="43" t="s">
        <v>235</v>
      </c>
      <c r="E167" s="43" t="s">
        <v>245</v>
      </c>
      <c r="F167" s="45">
        <v>8599</v>
      </c>
      <c r="G167" s="45">
        <v>4899</v>
      </c>
      <c r="H167" s="46">
        <v>5999</v>
      </c>
      <c r="I167" s="46">
        <v>5999</v>
      </c>
      <c r="J167" s="45">
        <v>5899</v>
      </c>
      <c r="K167" s="45">
        <v>5899</v>
      </c>
      <c r="L167" s="45">
        <v>5899</v>
      </c>
      <c r="M167" s="45">
        <v>5899</v>
      </c>
      <c r="N167" s="45">
        <v>5899</v>
      </c>
      <c r="O167" s="45">
        <v>5799</v>
      </c>
      <c r="P167" s="46">
        <v>5699</v>
      </c>
      <c r="Q167" s="46">
        <v>4999</v>
      </c>
      <c r="R167" s="45">
        <v>5799</v>
      </c>
      <c r="S167" s="45">
        <v>5699</v>
      </c>
      <c r="T167" s="46">
        <v>4999</v>
      </c>
      <c r="U167" s="46">
        <v>4999</v>
      </c>
      <c r="V167" s="46">
        <v>4999</v>
      </c>
      <c r="W167" s="46">
        <v>4999</v>
      </c>
      <c r="X167" s="46">
        <v>4899</v>
      </c>
      <c r="Y167" s="46">
        <v>4199</v>
      </c>
      <c r="Z167" s="46">
        <v>4199</v>
      </c>
      <c r="AA167" s="46">
        <v>4199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">
        <v>65</v>
      </c>
      <c r="AX167" s="51" t="s">
        <v>82</v>
      </c>
    </row>
    <row r="168" spans="1:50" ht="22.5" customHeight="1">
      <c r="A168" s="52" t="s">
        <v>70</v>
      </c>
      <c r="B168" s="41" t="s">
        <v>62</v>
      </c>
      <c r="C168" s="42">
        <v>4016594</v>
      </c>
      <c r="D168" s="43" t="s">
        <v>246</v>
      </c>
      <c r="E168" s="43" t="s">
        <v>247</v>
      </c>
      <c r="F168" s="45">
        <v>10499</v>
      </c>
      <c r="G168" s="45">
        <v>7699</v>
      </c>
      <c r="H168" s="46">
        <v>9099</v>
      </c>
      <c r="I168" s="46">
        <v>9099</v>
      </c>
      <c r="J168" s="45">
        <v>8999</v>
      </c>
      <c r="K168" s="45">
        <v>8999</v>
      </c>
      <c r="L168" s="45">
        <v>8999</v>
      </c>
      <c r="M168" s="45">
        <v>8999</v>
      </c>
      <c r="N168" s="45">
        <v>8999</v>
      </c>
      <c r="O168" s="45">
        <v>8899</v>
      </c>
      <c r="P168" s="46">
        <v>8799</v>
      </c>
      <c r="Q168" s="46">
        <v>7999</v>
      </c>
      <c r="R168" s="45">
        <v>8899</v>
      </c>
      <c r="S168" s="45">
        <v>8799</v>
      </c>
      <c r="T168" s="46">
        <v>7999</v>
      </c>
      <c r="U168" s="46">
        <v>7999</v>
      </c>
      <c r="V168" s="46">
        <v>7699</v>
      </c>
      <c r="W168" s="46">
        <v>7699</v>
      </c>
      <c r="X168" s="46">
        <v>7699</v>
      </c>
      <c r="Y168" s="46">
        <v>7499</v>
      </c>
      <c r="Z168" s="46">
        <v>7499</v>
      </c>
      <c r="AA168" s="46">
        <v>7499</v>
      </c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">
        <v>65</v>
      </c>
      <c r="AX168" s="51" t="s">
        <v>82</v>
      </c>
    </row>
    <row r="169" spans="1:50" ht="22.5" customHeight="1">
      <c r="A169" s="52" t="s">
        <v>70</v>
      </c>
      <c r="B169" s="41" t="s">
        <v>62</v>
      </c>
      <c r="C169" s="42">
        <v>4016593</v>
      </c>
      <c r="D169" s="43" t="s">
        <v>246</v>
      </c>
      <c r="E169" s="43" t="s">
        <v>248</v>
      </c>
      <c r="F169" s="45">
        <v>10499</v>
      </c>
      <c r="G169" s="45">
        <v>7699</v>
      </c>
      <c r="H169" s="46">
        <v>9099</v>
      </c>
      <c r="I169" s="46">
        <v>9099</v>
      </c>
      <c r="J169" s="45">
        <v>8999</v>
      </c>
      <c r="K169" s="45">
        <v>8999</v>
      </c>
      <c r="L169" s="45">
        <v>8999</v>
      </c>
      <c r="M169" s="45">
        <v>8999</v>
      </c>
      <c r="N169" s="45">
        <v>8999</v>
      </c>
      <c r="O169" s="45">
        <v>8899</v>
      </c>
      <c r="P169" s="46">
        <v>8799</v>
      </c>
      <c r="Q169" s="46">
        <v>7999</v>
      </c>
      <c r="R169" s="45">
        <v>8899</v>
      </c>
      <c r="S169" s="45">
        <v>8799</v>
      </c>
      <c r="T169" s="46">
        <v>7999</v>
      </c>
      <c r="U169" s="46">
        <v>7999</v>
      </c>
      <c r="V169" s="46">
        <v>7699</v>
      </c>
      <c r="W169" s="46">
        <v>7699</v>
      </c>
      <c r="X169" s="46">
        <v>7699</v>
      </c>
      <c r="Y169" s="46">
        <v>7499</v>
      </c>
      <c r="Z169" s="46">
        <v>7499</v>
      </c>
      <c r="AA169" s="46">
        <v>7499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">
        <v>65</v>
      </c>
      <c r="AX169" s="51" t="s">
        <v>82</v>
      </c>
    </row>
    <row r="170" spans="1:50" ht="22.5" customHeight="1">
      <c r="A170" s="52" t="s">
        <v>70</v>
      </c>
      <c r="B170" s="41" t="s">
        <v>62</v>
      </c>
      <c r="C170" s="42">
        <v>4016592</v>
      </c>
      <c r="D170" s="43" t="s">
        <v>246</v>
      </c>
      <c r="E170" s="43" t="s">
        <v>249</v>
      </c>
      <c r="F170" s="45">
        <v>10499</v>
      </c>
      <c r="G170" s="45">
        <v>7699</v>
      </c>
      <c r="H170" s="46">
        <v>9099</v>
      </c>
      <c r="I170" s="46">
        <v>9099</v>
      </c>
      <c r="J170" s="45">
        <v>8999</v>
      </c>
      <c r="K170" s="45">
        <v>8999</v>
      </c>
      <c r="L170" s="45">
        <v>8999</v>
      </c>
      <c r="M170" s="45">
        <v>8999</v>
      </c>
      <c r="N170" s="45">
        <v>8999</v>
      </c>
      <c r="O170" s="45">
        <v>8899</v>
      </c>
      <c r="P170" s="46">
        <v>8799</v>
      </c>
      <c r="Q170" s="46">
        <v>7999</v>
      </c>
      <c r="R170" s="45">
        <v>8899</v>
      </c>
      <c r="S170" s="45">
        <v>8799</v>
      </c>
      <c r="T170" s="46">
        <v>7999</v>
      </c>
      <c r="U170" s="46">
        <v>7999</v>
      </c>
      <c r="V170" s="46">
        <v>7699</v>
      </c>
      <c r="W170" s="46">
        <v>7699</v>
      </c>
      <c r="X170" s="46">
        <v>7699</v>
      </c>
      <c r="Y170" s="46">
        <v>7499</v>
      </c>
      <c r="Z170" s="46">
        <v>7499</v>
      </c>
      <c r="AA170" s="46">
        <v>7499</v>
      </c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">
        <v>65</v>
      </c>
      <c r="AX170" s="51" t="s">
        <v>82</v>
      </c>
    </row>
    <row r="171" spans="1:50" ht="22.5" customHeight="1">
      <c r="A171" s="52" t="s">
        <v>70</v>
      </c>
      <c r="B171" s="41" t="s">
        <v>62</v>
      </c>
      <c r="C171" s="42">
        <v>4016591</v>
      </c>
      <c r="D171" s="43" t="s">
        <v>246</v>
      </c>
      <c r="E171" s="43" t="s">
        <v>250</v>
      </c>
      <c r="F171" s="45">
        <v>10499</v>
      </c>
      <c r="G171" s="45">
        <v>7699</v>
      </c>
      <c r="H171" s="46">
        <v>9099</v>
      </c>
      <c r="I171" s="46">
        <v>9099</v>
      </c>
      <c r="J171" s="45">
        <v>8999</v>
      </c>
      <c r="K171" s="45">
        <v>8999</v>
      </c>
      <c r="L171" s="45">
        <v>8999</v>
      </c>
      <c r="M171" s="45">
        <v>8999</v>
      </c>
      <c r="N171" s="45">
        <v>8999</v>
      </c>
      <c r="O171" s="45">
        <v>8899</v>
      </c>
      <c r="P171" s="46">
        <v>8799</v>
      </c>
      <c r="Q171" s="46">
        <v>7999</v>
      </c>
      <c r="R171" s="45">
        <v>8899</v>
      </c>
      <c r="S171" s="45">
        <v>8799</v>
      </c>
      <c r="T171" s="46">
        <v>7999</v>
      </c>
      <c r="U171" s="46">
        <v>7999</v>
      </c>
      <c r="V171" s="46">
        <v>7699</v>
      </c>
      <c r="W171" s="46">
        <v>7699</v>
      </c>
      <c r="X171" s="46">
        <v>7699</v>
      </c>
      <c r="Y171" s="46">
        <v>7499</v>
      </c>
      <c r="Z171" s="46">
        <v>7499</v>
      </c>
      <c r="AA171" s="46">
        <v>7499</v>
      </c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">
        <v>65</v>
      </c>
      <c r="AX171" s="51" t="s">
        <v>82</v>
      </c>
    </row>
    <row r="172" spans="1:50" ht="22.5" customHeight="1">
      <c r="A172" s="52" t="s">
        <v>70</v>
      </c>
      <c r="B172" s="41" t="s">
        <v>62</v>
      </c>
      <c r="C172" s="42">
        <v>4016595</v>
      </c>
      <c r="D172" s="43" t="s">
        <v>251</v>
      </c>
      <c r="E172" s="43" t="s">
        <v>252</v>
      </c>
      <c r="F172" s="45">
        <v>11299</v>
      </c>
      <c r="G172" s="45">
        <v>8399</v>
      </c>
      <c r="H172" s="46">
        <v>9799</v>
      </c>
      <c r="I172" s="46">
        <v>9799</v>
      </c>
      <c r="J172" s="45">
        <v>9699</v>
      </c>
      <c r="K172" s="45">
        <v>9699</v>
      </c>
      <c r="L172" s="45">
        <v>9699</v>
      </c>
      <c r="M172" s="45">
        <v>9699</v>
      </c>
      <c r="N172" s="45">
        <v>9699</v>
      </c>
      <c r="O172" s="45">
        <v>9599</v>
      </c>
      <c r="P172" s="46">
        <v>9499</v>
      </c>
      <c r="Q172" s="46">
        <v>8699</v>
      </c>
      <c r="R172" s="45">
        <v>9599</v>
      </c>
      <c r="S172" s="45">
        <v>9499</v>
      </c>
      <c r="T172" s="46">
        <v>8699</v>
      </c>
      <c r="U172" s="46">
        <v>8699</v>
      </c>
      <c r="V172" s="46">
        <v>8399</v>
      </c>
      <c r="W172" s="46">
        <v>8399</v>
      </c>
      <c r="X172" s="46">
        <v>8399</v>
      </c>
      <c r="Y172" s="46">
        <v>8199</v>
      </c>
      <c r="Z172" s="46">
        <v>8199</v>
      </c>
      <c r="AA172" s="46">
        <v>8199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">
        <v>65</v>
      </c>
      <c r="AX172" s="51" t="s">
        <v>82</v>
      </c>
    </row>
    <row r="173" spans="1:50" ht="22.5" customHeight="1">
      <c r="A173" s="52" t="s">
        <v>70</v>
      </c>
      <c r="B173" s="41" t="s">
        <v>62</v>
      </c>
      <c r="C173" s="42">
        <v>4016596</v>
      </c>
      <c r="D173" s="43" t="s">
        <v>251</v>
      </c>
      <c r="E173" s="43" t="s">
        <v>253</v>
      </c>
      <c r="F173" s="45">
        <v>11299</v>
      </c>
      <c r="G173" s="45">
        <v>8399</v>
      </c>
      <c r="H173" s="46">
        <v>9799</v>
      </c>
      <c r="I173" s="46">
        <v>9799</v>
      </c>
      <c r="J173" s="45">
        <v>9699</v>
      </c>
      <c r="K173" s="45">
        <v>9699</v>
      </c>
      <c r="L173" s="45">
        <v>9699</v>
      </c>
      <c r="M173" s="45">
        <v>9699</v>
      </c>
      <c r="N173" s="45">
        <v>9699</v>
      </c>
      <c r="O173" s="45">
        <v>9599</v>
      </c>
      <c r="P173" s="46">
        <v>9499</v>
      </c>
      <c r="Q173" s="46">
        <v>8699</v>
      </c>
      <c r="R173" s="45">
        <v>9599</v>
      </c>
      <c r="S173" s="45">
        <v>9499</v>
      </c>
      <c r="T173" s="46">
        <v>8699</v>
      </c>
      <c r="U173" s="46">
        <v>8699</v>
      </c>
      <c r="V173" s="46">
        <v>8399</v>
      </c>
      <c r="W173" s="46">
        <v>8399</v>
      </c>
      <c r="X173" s="46">
        <v>8399</v>
      </c>
      <c r="Y173" s="46">
        <v>8199</v>
      </c>
      <c r="Z173" s="46">
        <v>8199</v>
      </c>
      <c r="AA173" s="46">
        <v>8199</v>
      </c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">
        <v>65</v>
      </c>
      <c r="AX173" s="51" t="s">
        <v>82</v>
      </c>
    </row>
    <row r="174" spans="1:50" ht="22.5" customHeight="1">
      <c r="A174" s="52" t="s">
        <v>70</v>
      </c>
      <c r="B174" s="41" t="s">
        <v>62</v>
      </c>
      <c r="C174" s="42">
        <v>4016508</v>
      </c>
      <c r="D174" s="43" t="s">
        <v>251</v>
      </c>
      <c r="E174" s="43" t="s">
        <v>254</v>
      </c>
      <c r="F174" s="45">
        <v>11299</v>
      </c>
      <c r="G174" s="45">
        <v>8399</v>
      </c>
      <c r="H174" s="46">
        <v>9799</v>
      </c>
      <c r="I174" s="46">
        <v>9799</v>
      </c>
      <c r="J174" s="45">
        <v>9699</v>
      </c>
      <c r="K174" s="45">
        <v>9699</v>
      </c>
      <c r="L174" s="45">
        <v>9699</v>
      </c>
      <c r="M174" s="45">
        <v>9699</v>
      </c>
      <c r="N174" s="45">
        <v>9699</v>
      </c>
      <c r="O174" s="45">
        <v>9599</v>
      </c>
      <c r="P174" s="46">
        <v>9499</v>
      </c>
      <c r="Q174" s="46">
        <v>8699</v>
      </c>
      <c r="R174" s="45">
        <v>9599</v>
      </c>
      <c r="S174" s="45">
        <v>9499</v>
      </c>
      <c r="T174" s="46">
        <v>8699</v>
      </c>
      <c r="U174" s="46">
        <v>8699</v>
      </c>
      <c r="V174" s="46">
        <v>8399</v>
      </c>
      <c r="W174" s="46">
        <v>8399</v>
      </c>
      <c r="X174" s="46">
        <v>8399</v>
      </c>
      <c r="Y174" s="46">
        <v>8199</v>
      </c>
      <c r="Z174" s="46">
        <v>8199</v>
      </c>
      <c r="AA174" s="46">
        <v>8199</v>
      </c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">
        <v>65</v>
      </c>
      <c r="AX174" s="51" t="s">
        <v>82</v>
      </c>
    </row>
    <row r="175" spans="1:50" ht="22.5" customHeight="1">
      <c r="A175" s="52" t="s">
        <v>70</v>
      </c>
      <c r="B175" s="41" t="s">
        <v>62</v>
      </c>
      <c r="C175" s="42">
        <v>4016507</v>
      </c>
      <c r="D175" s="43" t="s">
        <v>251</v>
      </c>
      <c r="E175" s="43" t="s">
        <v>255</v>
      </c>
      <c r="F175" s="45">
        <v>11299</v>
      </c>
      <c r="G175" s="45">
        <v>8399</v>
      </c>
      <c r="H175" s="46">
        <v>9799</v>
      </c>
      <c r="I175" s="46">
        <v>9799</v>
      </c>
      <c r="J175" s="45">
        <v>9699</v>
      </c>
      <c r="K175" s="45">
        <v>9699</v>
      </c>
      <c r="L175" s="45">
        <v>9699</v>
      </c>
      <c r="M175" s="45">
        <v>9699</v>
      </c>
      <c r="N175" s="45">
        <v>9699</v>
      </c>
      <c r="O175" s="45">
        <v>9599</v>
      </c>
      <c r="P175" s="46">
        <v>9499</v>
      </c>
      <c r="Q175" s="46">
        <v>8699</v>
      </c>
      <c r="R175" s="45">
        <v>9599</v>
      </c>
      <c r="S175" s="45">
        <v>9499</v>
      </c>
      <c r="T175" s="46">
        <v>8699</v>
      </c>
      <c r="U175" s="46">
        <v>8699</v>
      </c>
      <c r="V175" s="46">
        <v>8399</v>
      </c>
      <c r="W175" s="46">
        <v>8399</v>
      </c>
      <c r="X175" s="46">
        <v>8399</v>
      </c>
      <c r="Y175" s="46">
        <v>8199</v>
      </c>
      <c r="Z175" s="46">
        <v>8199</v>
      </c>
      <c r="AA175" s="46">
        <v>8199</v>
      </c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">
        <v>65</v>
      </c>
      <c r="AX175" s="51" t="s">
        <v>82</v>
      </c>
    </row>
    <row r="176" spans="1:50" ht="22.5" customHeight="1">
      <c r="A176" s="52" t="s">
        <v>70</v>
      </c>
      <c r="B176" s="41" t="s">
        <v>62</v>
      </c>
      <c r="C176" s="42">
        <v>4016598</v>
      </c>
      <c r="D176" s="43" t="s">
        <v>256</v>
      </c>
      <c r="E176" s="43" t="s">
        <v>257</v>
      </c>
      <c r="F176" s="45">
        <v>12799</v>
      </c>
      <c r="G176" s="45">
        <v>9699</v>
      </c>
      <c r="H176" s="46">
        <v>11799</v>
      </c>
      <c r="I176" s="46">
        <v>11799</v>
      </c>
      <c r="J176" s="45">
        <v>11799</v>
      </c>
      <c r="K176" s="45">
        <v>11799</v>
      </c>
      <c r="L176" s="45">
        <v>11799</v>
      </c>
      <c r="M176" s="45">
        <v>11799</v>
      </c>
      <c r="N176" s="45">
        <v>11799</v>
      </c>
      <c r="O176" s="45">
        <v>11699</v>
      </c>
      <c r="P176" s="46">
        <v>11599</v>
      </c>
      <c r="Q176" s="46">
        <v>10799</v>
      </c>
      <c r="R176" s="45">
        <v>11699</v>
      </c>
      <c r="S176" s="45">
        <v>11599</v>
      </c>
      <c r="T176" s="46">
        <v>10799</v>
      </c>
      <c r="U176" s="46">
        <v>10799</v>
      </c>
      <c r="V176" s="46">
        <v>10799</v>
      </c>
      <c r="W176" s="46">
        <v>10699</v>
      </c>
      <c r="X176" s="46">
        <v>10699</v>
      </c>
      <c r="Y176" s="46">
        <v>9699</v>
      </c>
      <c r="Z176" s="46">
        <v>9599</v>
      </c>
      <c r="AA176" s="46">
        <v>9599</v>
      </c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">
        <v>65</v>
      </c>
      <c r="AX176" s="51" t="s">
        <v>82</v>
      </c>
    </row>
    <row r="177" spans="1:50" ht="22.5" customHeight="1">
      <c r="A177" s="52" t="s">
        <v>70</v>
      </c>
      <c r="B177" s="41" t="s">
        <v>62</v>
      </c>
      <c r="C177" s="42">
        <v>4016606</v>
      </c>
      <c r="D177" s="43" t="s">
        <v>258</v>
      </c>
      <c r="E177" s="43" t="s">
        <v>259</v>
      </c>
      <c r="F177" s="45">
        <v>12499</v>
      </c>
      <c r="G177" s="45">
        <v>9599</v>
      </c>
      <c r="H177" s="46">
        <v>10999</v>
      </c>
      <c r="I177" s="46">
        <v>10999</v>
      </c>
      <c r="J177" s="45">
        <v>10899</v>
      </c>
      <c r="K177" s="45">
        <v>10899</v>
      </c>
      <c r="L177" s="45">
        <v>10899</v>
      </c>
      <c r="M177" s="45">
        <v>10899</v>
      </c>
      <c r="N177" s="45">
        <v>10899</v>
      </c>
      <c r="O177" s="45">
        <v>10599</v>
      </c>
      <c r="P177" s="46">
        <v>10499</v>
      </c>
      <c r="Q177" s="46">
        <v>9799</v>
      </c>
      <c r="R177" s="45">
        <v>10599</v>
      </c>
      <c r="S177" s="45">
        <v>10499</v>
      </c>
      <c r="T177" s="46">
        <v>9799</v>
      </c>
      <c r="U177" s="46">
        <v>9799</v>
      </c>
      <c r="V177" s="46">
        <v>9799</v>
      </c>
      <c r="W177" s="46">
        <v>9799</v>
      </c>
      <c r="X177" s="46">
        <v>9599</v>
      </c>
      <c r="Y177" s="46">
        <v>8999</v>
      </c>
      <c r="Z177" s="46">
        <v>8999</v>
      </c>
      <c r="AA177" s="46">
        <v>8999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">
        <v>65</v>
      </c>
      <c r="AX177" s="51" t="s">
        <v>82</v>
      </c>
    </row>
    <row r="178" spans="1:50" ht="22.5" customHeight="1">
      <c r="A178" s="52" t="s">
        <v>70</v>
      </c>
      <c r="B178" s="41" t="s">
        <v>62</v>
      </c>
      <c r="C178" s="42">
        <v>4016618</v>
      </c>
      <c r="D178" s="43" t="s">
        <v>258</v>
      </c>
      <c r="E178" s="43" t="s">
        <v>260</v>
      </c>
      <c r="F178" s="45">
        <v>12499</v>
      </c>
      <c r="G178" s="45">
        <v>9599</v>
      </c>
      <c r="H178" s="46">
        <v>10999</v>
      </c>
      <c r="I178" s="46">
        <v>10999</v>
      </c>
      <c r="J178" s="45">
        <v>10899</v>
      </c>
      <c r="K178" s="45">
        <v>10899</v>
      </c>
      <c r="L178" s="45">
        <v>10899</v>
      </c>
      <c r="M178" s="45">
        <v>10899</v>
      </c>
      <c r="N178" s="45">
        <v>10899</v>
      </c>
      <c r="O178" s="45">
        <v>10599</v>
      </c>
      <c r="P178" s="46">
        <v>10499</v>
      </c>
      <c r="Q178" s="46">
        <v>9799</v>
      </c>
      <c r="R178" s="45">
        <v>10599</v>
      </c>
      <c r="S178" s="45">
        <v>10499</v>
      </c>
      <c r="T178" s="46">
        <v>9799</v>
      </c>
      <c r="U178" s="46">
        <v>9799</v>
      </c>
      <c r="V178" s="46">
        <v>9799</v>
      </c>
      <c r="W178" s="46">
        <v>9799</v>
      </c>
      <c r="X178" s="46">
        <v>9599</v>
      </c>
      <c r="Y178" s="46">
        <v>8999</v>
      </c>
      <c r="Z178" s="46">
        <v>8999</v>
      </c>
      <c r="AA178" s="46">
        <v>8999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">
        <v>65</v>
      </c>
      <c r="AX178" s="51" t="s">
        <v>82</v>
      </c>
    </row>
    <row r="179" spans="1:50" ht="22.5" customHeight="1">
      <c r="A179" s="52" t="s">
        <v>70</v>
      </c>
      <c r="B179" s="41" t="s">
        <v>62</v>
      </c>
      <c r="C179" s="42">
        <v>4016617</v>
      </c>
      <c r="D179" s="43" t="s">
        <v>258</v>
      </c>
      <c r="E179" s="43" t="s">
        <v>261</v>
      </c>
      <c r="F179" s="45">
        <v>12499</v>
      </c>
      <c r="G179" s="45">
        <v>9599</v>
      </c>
      <c r="H179" s="46">
        <v>10999</v>
      </c>
      <c r="I179" s="46">
        <v>10999</v>
      </c>
      <c r="J179" s="45">
        <v>10899</v>
      </c>
      <c r="K179" s="45">
        <v>10899</v>
      </c>
      <c r="L179" s="45">
        <v>10899</v>
      </c>
      <c r="M179" s="45">
        <v>10899</v>
      </c>
      <c r="N179" s="45">
        <v>10899</v>
      </c>
      <c r="O179" s="45">
        <v>10599</v>
      </c>
      <c r="P179" s="46">
        <v>10499</v>
      </c>
      <c r="Q179" s="46">
        <v>9799</v>
      </c>
      <c r="R179" s="45">
        <v>10599</v>
      </c>
      <c r="S179" s="45">
        <v>10499</v>
      </c>
      <c r="T179" s="46">
        <v>9799</v>
      </c>
      <c r="U179" s="46">
        <v>9799</v>
      </c>
      <c r="V179" s="46">
        <v>9799</v>
      </c>
      <c r="W179" s="46">
        <v>9799</v>
      </c>
      <c r="X179" s="46">
        <v>9599</v>
      </c>
      <c r="Y179" s="46">
        <v>8999</v>
      </c>
      <c r="Z179" s="46">
        <v>8999</v>
      </c>
      <c r="AA179" s="46">
        <v>8999</v>
      </c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">
        <v>65</v>
      </c>
      <c r="AX179" s="51" t="s">
        <v>82</v>
      </c>
    </row>
    <row r="180" spans="1:50" ht="22.5" customHeight="1">
      <c r="A180" s="52" t="s">
        <v>70</v>
      </c>
      <c r="B180" s="41" t="s">
        <v>62</v>
      </c>
      <c r="C180" s="42">
        <v>4016605</v>
      </c>
      <c r="D180" s="43" t="s">
        <v>258</v>
      </c>
      <c r="E180" s="43" t="s">
        <v>262</v>
      </c>
      <c r="F180" s="45">
        <v>12499</v>
      </c>
      <c r="G180" s="45">
        <v>9599</v>
      </c>
      <c r="H180" s="46">
        <v>10999</v>
      </c>
      <c r="I180" s="46">
        <v>10999</v>
      </c>
      <c r="J180" s="45">
        <v>10899</v>
      </c>
      <c r="K180" s="45">
        <v>10899</v>
      </c>
      <c r="L180" s="45">
        <v>10899</v>
      </c>
      <c r="M180" s="45">
        <v>10899</v>
      </c>
      <c r="N180" s="45">
        <v>10899</v>
      </c>
      <c r="O180" s="45">
        <v>10599</v>
      </c>
      <c r="P180" s="46">
        <v>10499</v>
      </c>
      <c r="Q180" s="46">
        <v>9799</v>
      </c>
      <c r="R180" s="45">
        <v>10599</v>
      </c>
      <c r="S180" s="45">
        <v>10499</v>
      </c>
      <c r="T180" s="46">
        <v>9799</v>
      </c>
      <c r="U180" s="46">
        <v>9799</v>
      </c>
      <c r="V180" s="46">
        <v>9799</v>
      </c>
      <c r="W180" s="46">
        <v>9799</v>
      </c>
      <c r="X180" s="46">
        <v>9599</v>
      </c>
      <c r="Y180" s="46">
        <v>8999</v>
      </c>
      <c r="Z180" s="46">
        <v>8999</v>
      </c>
      <c r="AA180" s="46">
        <v>8999</v>
      </c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">
        <v>65</v>
      </c>
      <c r="AX180" s="51" t="s">
        <v>82</v>
      </c>
    </row>
    <row r="181" spans="1:50" ht="22.5" customHeight="1">
      <c r="A181" s="52" t="s">
        <v>70</v>
      </c>
      <c r="B181" s="41" t="s">
        <v>62</v>
      </c>
      <c r="C181" s="42">
        <v>4016616</v>
      </c>
      <c r="D181" s="43" t="s">
        <v>263</v>
      </c>
      <c r="E181" s="43" t="s">
        <v>264</v>
      </c>
      <c r="F181" s="45">
        <v>13999</v>
      </c>
      <c r="G181" s="45">
        <v>10799</v>
      </c>
      <c r="H181" s="46">
        <v>12099</v>
      </c>
      <c r="I181" s="46">
        <v>12099</v>
      </c>
      <c r="J181" s="45">
        <v>11999</v>
      </c>
      <c r="K181" s="45">
        <v>11999</v>
      </c>
      <c r="L181" s="45">
        <v>11999</v>
      </c>
      <c r="M181" s="45">
        <v>11999</v>
      </c>
      <c r="N181" s="45">
        <v>11999</v>
      </c>
      <c r="O181" s="45">
        <v>11699</v>
      </c>
      <c r="P181" s="46">
        <v>11599</v>
      </c>
      <c r="Q181" s="46">
        <v>10999</v>
      </c>
      <c r="R181" s="45">
        <v>11699</v>
      </c>
      <c r="S181" s="45">
        <v>11599</v>
      </c>
      <c r="T181" s="46">
        <v>10999</v>
      </c>
      <c r="U181" s="46">
        <v>10999</v>
      </c>
      <c r="V181" s="46">
        <v>10999</v>
      </c>
      <c r="W181" s="46">
        <v>10999</v>
      </c>
      <c r="X181" s="46">
        <v>10799</v>
      </c>
      <c r="Y181" s="46">
        <v>10299</v>
      </c>
      <c r="Z181" s="46">
        <v>10299</v>
      </c>
      <c r="AA181" s="46">
        <v>10299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">
        <v>65</v>
      </c>
      <c r="AX181" s="51" t="s">
        <v>82</v>
      </c>
    </row>
    <row r="182" spans="1:50" ht="22.5" customHeight="1">
      <c r="A182" s="52" t="s">
        <v>70</v>
      </c>
      <c r="B182" s="41" t="s">
        <v>62</v>
      </c>
      <c r="C182" s="42">
        <v>4016613</v>
      </c>
      <c r="D182" s="43" t="s">
        <v>263</v>
      </c>
      <c r="E182" s="43" t="s">
        <v>265</v>
      </c>
      <c r="F182" s="45">
        <v>13999</v>
      </c>
      <c r="G182" s="45">
        <v>10799</v>
      </c>
      <c r="H182" s="46">
        <v>12099</v>
      </c>
      <c r="I182" s="46">
        <v>12099</v>
      </c>
      <c r="J182" s="45">
        <v>11999</v>
      </c>
      <c r="K182" s="45">
        <v>11999</v>
      </c>
      <c r="L182" s="45">
        <v>11999</v>
      </c>
      <c r="M182" s="45">
        <v>11999</v>
      </c>
      <c r="N182" s="45">
        <v>11999</v>
      </c>
      <c r="O182" s="45">
        <v>11699</v>
      </c>
      <c r="P182" s="46">
        <v>11599</v>
      </c>
      <c r="Q182" s="46">
        <v>10999</v>
      </c>
      <c r="R182" s="45">
        <v>11699</v>
      </c>
      <c r="S182" s="45">
        <v>11599</v>
      </c>
      <c r="T182" s="46">
        <v>10999</v>
      </c>
      <c r="U182" s="46">
        <v>10999</v>
      </c>
      <c r="V182" s="46">
        <v>10999</v>
      </c>
      <c r="W182" s="46">
        <v>10999</v>
      </c>
      <c r="X182" s="46">
        <v>10799</v>
      </c>
      <c r="Y182" s="46">
        <v>10299</v>
      </c>
      <c r="Z182" s="46">
        <v>10299</v>
      </c>
      <c r="AA182" s="46">
        <v>10299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">
        <v>65</v>
      </c>
      <c r="AX182" s="51" t="s">
        <v>82</v>
      </c>
    </row>
    <row r="183" spans="1:50" ht="22.5" customHeight="1">
      <c r="A183" s="52" t="s">
        <v>70</v>
      </c>
      <c r="B183" s="41" t="s">
        <v>62</v>
      </c>
      <c r="C183" s="42">
        <v>4016619</v>
      </c>
      <c r="D183" s="43" t="s">
        <v>263</v>
      </c>
      <c r="E183" s="43" t="s">
        <v>266</v>
      </c>
      <c r="F183" s="45">
        <v>13999</v>
      </c>
      <c r="G183" s="45">
        <v>10799</v>
      </c>
      <c r="H183" s="46">
        <v>12099</v>
      </c>
      <c r="I183" s="46">
        <v>12099</v>
      </c>
      <c r="J183" s="45">
        <v>11999</v>
      </c>
      <c r="K183" s="45">
        <v>11999</v>
      </c>
      <c r="L183" s="45">
        <v>11999</v>
      </c>
      <c r="M183" s="45">
        <v>11999</v>
      </c>
      <c r="N183" s="45">
        <v>11999</v>
      </c>
      <c r="O183" s="45">
        <v>11699</v>
      </c>
      <c r="P183" s="46">
        <v>11599</v>
      </c>
      <c r="Q183" s="46">
        <v>10999</v>
      </c>
      <c r="R183" s="45">
        <v>11699</v>
      </c>
      <c r="S183" s="45">
        <v>11599</v>
      </c>
      <c r="T183" s="46">
        <v>10999</v>
      </c>
      <c r="U183" s="46">
        <v>10999</v>
      </c>
      <c r="V183" s="46">
        <v>10999</v>
      </c>
      <c r="W183" s="46">
        <v>10999</v>
      </c>
      <c r="X183" s="46">
        <v>10799</v>
      </c>
      <c r="Y183" s="46">
        <v>10299</v>
      </c>
      <c r="Z183" s="46">
        <v>10299</v>
      </c>
      <c r="AA183" s="46">
        <v>10299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">
        <v>65</v>
      </c>
      <c r="AX183" s="51" t="s">
        <v>82</v>
      </c>
    </row>
    <row r="184" spans="1:50" ht="22.5" customHeight="1">
      <c r="A184" s="52" t="s">
        <v>70</v>
      </c>
      <c r="B184" s="41" t="s">
        <v>62</v>
      </c>
      <c r="C184" s="42">
        <v>4016609</v>
      </c>
      <c r="D184" s="43" t="s">
        <v>263</v>
      </c>
      <c r="E184" s="43" t="s">
        <v>267</v>
      </c>
      <c r="F184" s="45">
        <v>13999</v>
      </c>
      <c r="G184" s="45">
        <v>10799</v>
      </c>
      <c r="H184" s="46">
        <v>12099</v>
      </c>
      <c r="I184" s="46">
        <v>12099</v>
      </c>
      <c r="J184" s="45">
        <v>11999</v>
      </c>
      <c r="K184" s="45">
        <v>11999</v>
      </c>
      <c r="L184" s="45">
        <v>11999</v>
      </c>
      <c r="M184" s="45">
        <v>11999</v>
      </c>
      <c r="N184" s="45">
        <v>11999</v>
      </c>
      <c r="O184" s="45">
        <v>11699</v>
      </c>
      <c r="P184" s="46">
        <v>11599</v>
      </c>
      <c r="Q184" s="46">
        <v>10999</v>
      </c>
      <c r="R184" s="45">
        <v>11699</v>
      </c>
      <c r="S184" s="45">
        <v>11599</v>
      </c>
      <c r="T184" s="46">
        <v>10999</v>
      </c>
      <c r="U184" s="46">
        <v>10999</v>
      </c>
      <c r="V184" s="46">
        <v>10999</v>
      </c>
      <c r="W184" s="46">
        <v>10999</v>
      </c>
      <c r="X184" s="46">
        <v>10799</v>
      </c>
      <c r="Y184" s="46">
        <v>10299</v>
      </c>
      <c r="Z184" s="46">
        <v>10299</v>
      </c>
      <c r="AA184" s="46">
        <v>10299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">
        <v>65</v>
      </c>
      <c r="AX184" s="51" t="s">
        <v>82</v>
      </c>
    </row>
    <row r="185" spans="1:50" ht="22.5" customHeight="1">
      <c r="A185" s="52" t="s">
        <v>70</v>
      </c>
      <c r="B185" s="41" t="s">
        <v>62</v>
      </c>
      <c r="C185" s="42">
        <v>4016916</v>
      </c>
      <c r="D185" s="43" t="s">
        <v>268</v>
      </c>
      <c r="E185" s="43" t="s">
        <v>269</v>
      </c>
      <c r="F185" s="45">
        <v>6599</v>
      </c>
      <c r="G185" s="45">
        <v>3499</v>
      </c>
      <c r="H185" s="46">
        <v>4799</v>
      </c>
      <c r="I185" s="46">
        <v>4799</v>
      </c>
      <c r="J185" s="45">
        <v>4799</v>
      </c>
      <c r="K185" s="45">
        <v>4799</v>
      </c>
      <c r="L185" s="45">
        <v>4799</v>
      </c>
      <c r="M185" s="45">
        <v>4799</v>
      </c>
      <c r="N185" s="45">
        <v>4799</v>
      </c>
      <c r="O185" s="45">
        <v>4699</v>
      </c>
      <c r="P185" s="46">
        <v>4599</v>
      </c>
      <c r="Q185" s="46">
        <v>3599</v>
      </c>
      <c r="R185" s="45">
        <v>4699</v>
      </c>
      <c r="S185" s="45">
        <v>4599</v>
      </c>
      <c r="T185" s="46">
        <v>3599</v>
      </c>
      <c r="U185" s="46">
        <v>3599</v>
      </c>
      <c r="V185" s="46">
        <v>3599</v>
      </c>
      <c r="W185" s="46">
        <v>3599</v>
      </c>
      <c r="X185" s="46">
        <v>3499</v>
      </c>
      <c r="Y185" s="46">
        <v>3299</v>
      </c>
      <c r="Z185" s="46">
        <v>3299</v>
      </c>
      <c r="AA185" s="46">
        <v>3299</v>
      </c>
      <c r="AB185" s="45">
        <v>4799</v>
      </c>
      <c r="AC185" s="45">
        <v>4799</v>
      </c>
      <c r="AD185" s="45">
        <v>4799</v>
      </c>
      <c r="AE185" s="45">
        <v>4799</v>
      </c>
      <c r="AF185" s="45">
        <v>4699</v>
      </c>
      <c r="AG185" s="45">
        <v>4599</v>
      </c>
      <c r="AH185" s="45">
        <v>3599</v>
      </c>
      <c r="AI185" s="45">
        <v>3599</v>
      </c>
      <c r="AJ185" s="45">
        <v>3599</v>
      </c>
      <c r="AK185" s="45">
        <v>3599</v>
      </c>
      <c r="AL185" s="45">
        <v>3299</v>
      </c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">
        <v>65</v>
      </c>
      <c r="AX185" s="51" t="s">
        <v>82</v>
      </c>
    </row>
    <row r="186" spans="1:50" ht="22.5" customHeight="1">
      <c r="A186" s="52" t="s">
        <v>70</v>
      </c>
      <c r="B186" s="41" t="s">
        <v>62</v>
      </c>
      <c r="C186" s="42">
        <v>4016917</v>
      </c>
      <c r="D186" s="43" t="s">
        <v>268</v>
      </c>
      <c r="E186" s="43" t="s">
        <v>270</v>
      </c>
      <c r="F186" s="45">
        <v>6599</v>
      </c>
      <c r="G186" s="45">
        <v>3499</v>
      </c>
      <c r="H186" s="46">
        <v>4799</v>
      </c>
      <c r="I186" s="46">
        <v>4799</v>
      </c>
      <c r="J186" s="45">
        <v>4799</v>
      </c>
      <c r="K186" s="45">
        <v>4799</v>
      </c>
      <c r="L186" s="45">
        <v>4799</v>
      </c>
      <c r="M186" s="45">
        <v>4799</v>
      </c>
      <c r="N186" s="45">
        <v>4799</v>
      </c>
      <c r="O186" s="45">
        <v>4699</v>
      </c>
      <c r="P186" s="46">
        <v>4599</v>
      </c>
      <c r="Q186" s="46">
        <v>3599</v>
      </c>
      <c r="R186" s="45">
        <v>4699</v>
      </c>
      <c r="S186" s="45">
        <v>4599</v>
      </c>
      <c r="T186" s="46">
        <v>3599</v>
      </c>
      <c r="U186" s="46">
        <v>3599</v>
      </c>
      <c r="V186" s="46">
        <v>3599</v>
      </c>
      <c r="W186" s="46">
        <v>3599</v>
      </c>
      <c r="X186" s="46">
        <v>3499</v>
      </c>
      <c r="Y186" s="46">
        <v>3299</v>
      </c>
      <c r="Z186" s="46">
        <v>3299</v>
      </c>
      <c r="AA186" s="46">
        <v>3299</v>
      </c>
      <c r="AB186" s="45">
        <v>4799</v>
      </c>
      <c r="AC186" s="45">
        <v>4799</v>
      </c>
      <c r="AD186" s="45">
        <v>4799</v>
      </c>
      <c r="AE186" s="45">
        <v>4799</v>
      </c>
      <c r="AF186" s="45">
        <v>4699</v>
      </c>
      <c r="AG186" s="45">
        <v>4599</v>
      </c>
      <c r="AH186" s="45">
        <v>3599</v>
      </c>
      <c r="AI186" s="45">
        <v>3599</v>
      </c>
      <c r="AJ186" s="45">
        <v>3599</v>
      </c>
      <c r="AK186" s="45">
        <v>3599</v>
      </c>
      <c r="AL186" s="45">
        <v>3299</v>
      </c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">
        <v>65</v>
      </c>
      <c r="AX186" s="51" t="s">
        <v>82</v>
      </c>
    </row>
    <row r="187" spans="1:50" ht="22.5" customHeight="1">
      <c r="A187" s="52" t="s">
        <v>70</v>
      </c>
      <c r="B187" s="41" t="s">
        <v>62</v>
      </c>
      <c r="C187" s="42">
        <v>4017449</v>
      </c>
      <c r="D187" s="43" t="s">
        <v>271</v>
      </c>
      <c r="E187" s="43" t="s">
        <v>272</v>
      </c>
      <c r="F187" s="45">
        <v>7999</v>
      </c>
      <c r="G187" s="45">
        <v>5799</v>
      </c>
      <c r="H187" s="46">
        <v>7499</v>
      </c>
      <c r="I187" s="46">
        <v>7499</v>
      </c>
      <c r="J187" s="45">
        <v>7499</v>
      </c>
      <c r="K187" s="45">
        <v>7499</v>
      </c>
      <c r="L187" s="45">
        <v>7499</v>
      </c>
      <c r="M187" s="45">
        <v>7499</v>
      </c>
      <c r="N187" s="45">
        <v>7499</v>
      </c>
      <c r="O187" s="45">
        <v>7399</v>
      </c>
      <c r="P187" s="46">
        <v>7299</v>
      </c>
      <c r="Q187" s="46">
        <v>6499</v>
      </c>
      <c r="R187" s="45">
        <v>7399</v>
      </c>
      <c r="S187" s="45">
        <v>7299</v>
      </c>
      <c r="T187" s="46">
        <v>6499</v>
      </c>
      <c r="U187" s="46">
        <v>6499</v>
      </c>
      <c r="V187" s="46">
        <v>6499</v>
      </c>
      <c r="W187" s="46">
        <v>6399</v>
      </c>
      <c r="X187" s="46">
        <v>6399</v>
      </c>
      <c r="Y187" s="46">
        <v>5799</v>
      </c>
      <c r="Z187" s="46">
        <v>5799</v>
      </c>
      <c r="AA187" s="46">
        <v>5799</v>
      </c>
      <c r="AB187" s="45">
        <v>7499</v>
      </c>
      <c r="AC187" s="45">
        <v>7499</v>
      </c>
      <c r="AD187" s="45">
        <v>7499</v>
      </c>
      <c r="AE187" s="45">
        <v>7499</v>
      </c>
      <c r="AF187" s="45">
        <v>7399</v>
      </c>
      <c r="AG187" s="45">
        <v>7299</v>
      </c>
      <c r="AH187" s="45">
        <v>6499</v>
      </c>
      <c r="AI187" s="45">
        <v>6499</v>
      </c>
      <c r="AJ187" s="45">
        <v>6499</v>
      </c>
      <c r="AK187" s="45">
        <v>6499</v>
      </c>
      <c r="AL187" s="45">
        <v>5799</v>
      </c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">
        <v>65</v>
      </c>
      <c r="AX187" s="51" t="s">
        <v>82</v>
      </c>
    </row>
    <row r="188" spans="1:50" ht="22.5" customHeight="1">
      <c r="A188" s="52" t="s">
        <v>70</v>
      </c>
      <c r="B188" s="41" t="s">
        <v>62</v>
      </c>
      <c r="C188" s="42">
        <v>4017480</v>
      </c>
      <c r="D188" s="43" t="s">
        <v>271</v>
      </c>
      <c r="E188" s="43" t="s">
        <v>273</v>
      </c>
      <c r="F188" s="45">
        <v>7999</v>
      </c>
      <c r="G188" s="45">
        <v>5799</v>
      </c>
      <c r="H188" s="46">
        <v>7499</v>
      </c>
      <c r="I188" s="46">
        <v>7499</v>
      </c>
      <c r="J188" s="45">
        <v>7499</v>
      </c>
      <c r="K188" s="45">
        <v>7499</v>
      </c>
      <c r="L188" s="45">
        <v>7499</v>
      </c>
      <c r="M188" s="45">
        <v>7499</v>
      </c>
      <c r="N188" s="45">
        <v>7499</v>
      </c>
      <c r="O188" s="45">
        <v>7399</v>
      </c>
      <c r="P188" s="46">
        <v>7299</v>
      </c>
      <c r="Q188" s="46">
        <v>6499</v>
      </c>
      <c r="R188" s="45">
        <v>7399</v>
      </c>
      <c r="S188" s="45">
        <v>7299</v>
      </c>
      <c r="T188" s="46">
        <v>6499</v>
      </c>
      <c r="U188" s="46">
        <v>6499</v>
      </c>
      <c r="V188" s="46">
        <v>6499</v>
      </c>
      <c r="W188" s="46">
        <v>6399</v>
      </c>
      <c r="X188" s="46">
        <v>6399</v>
      </c>
      <c r="Y188" s="46">
        <v>5799</v>
      </c>
      <c r="Z188" s="46">
        <v>5799</v>
      </c>
      <c r="AA188" s="46">
        <v>5799</v>
      </c>
      <c r="AB188" s="45">
        <v>7499</v>
      </c>
      <c r="AC188" s="45">
        <v>7499</v>
      </c>
      <c r="AD188" s="45">
        <v>7499</v>
      </c>
      <c r="AE188" s="45">
        <v>7499</v>
      </c>
      <c r="AF188" s="45">
        <v>7399</v>
      </c>
      <c r="AG188" s="45">
        <v>7299</v>
      </c>
      <c r="AH188" s="45">
        <v>6499</v>
      </c>
      <c r="AI188" s="45">
        <v>6499</v>
      </c>
      <c r="AJ188" s="45">
        <v>6499</v>
      </c>
      <c r="AK188" s="45">
        <v>6499</v>
      </c>
      <c r="AL188" s="45">
        <v>5799</v>
      </c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">
        <v>65</v>
      </c>
      <c r="AX188" s="51" t="s">
        <v>82</v>
      </c>
    </row>
    <row r="189" spans="1:50" ht="22.5" customHeight="1">
      <c r="A189" s="52" t="s">
        <v>70</v>
      </c>
      <c r="B189" s="41" t="s">
        <v>62</v>
      </c>
      <c r="C189" s="42">
        <v>4017485</v>
      </c>
      <c r="D189" s="43" t="s">
        <v>271</v>
      </c>
      <c r="E189" s="43" t="s">
        <v>274</v>
      </c>
      <c r="F189" s="45">
        <v>7999</v>
      </c>
      <c r="G189" s="45">
        <v>5799</v>
      </c>
      <c r="H189" s="46">
        <v>7499</v>
      </c>
      <c r="I189" s="46">
        <v>7499</v>
      </c>
      <c r="J189" s="45">
        <v>7499</v>
      </c>
      <c r="K189" s="45">
        <v>7499</v>
      </c>
      <c r="L189" s="45">
        <v>7499</v>
      </c>
      <c r="M189" s="45">
        <v>7499</v>
      </c>
      <c r="N189" s="45">
        <v>7499</v>
      </c>
      <c r="O189" s="45">
        <v>7399</v>
      </c>
      <c r="P189" s="46">
        <v>7299</v>
      </c>
      <c r="Q189" s="46">
        <v>6499</v>
      </c>
      <c r="R189" s="45">
        <v>7399</v>
      </c>
      <c r="S189" s="45">
        <v>7299</v>
      </c>
      <c r="T189" s="46">
        <v>6499</v>
      </c>
      <c r="U189" s="46">
        <v>6499</v>
      </c>
      <c r="V189" s="46">
        <v>6499</v>
      </c>
      <c r="W189" s="46">
        <v>6399</v>
      </c>
      <c r="X189" s="46">
        <v>6399</v>
      </c>
      <c r="Y189" s="46">
        <v>5799</v>
      </c>
      <c r="Z189" s="46">
        <v>5799</v>
      </c>
      <c r="AA189" s="46">
        <v>5799</v>
      </c>
      <c r="AB189" s="45">
        <v>7499</v>
      </c>
      <c r="AC189" s="45">
        <v>7499</v>
      </c>
      <c r="AD189" s="45">
        <v>7499</v>
      </c>
      <c r="AE189" s="45">
        <v>7499</v>
      </c>
      <c r="AF189" s="45">
        <v>7399</v>
      </c>
      <c r="AG189" s="45">
        <v>7299</v>
      </c>
      <c r="AH189" s="45">
        <v>6499</v>
      </c>
      <c r="AI189" s="45">
        <v>6499</v>
      </c>
      <c r="AJ189" s="45">
        <v>6499</v>
      </c>
      <c r="AK189" s="45">
        <v>6499</v>
      </c>
      <c r="AL189" s="45">
        <v>5799</v>
      </c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">
        <v>65</v>
      </c>
      <c r="AX189" s="51" t="s">
        <v>82</v>
      </c>
    </row>
    <row r="190" spans="1:50" ht="22.5" customHeight="1">
      <c r="A190" s="52" t="s">
        <v>70</v>
      </c>
      <c r="B190" s="41" t="s">
        <v>62</v>
      </c>
      <c r="C190" s="42">
        <v>4017486</v>
      </c>
      <c r="D190" s="43" t="s">
        <v>271</v>
      </c>
      <c r="E190" s="43" t="s">
        <v>275</v>
      </c>
      <c r="F190" s="45">
        <v>7999</v>
      </c>
      <c r="G190" s="45">
        <v>5799</v>
      </c>
      <c r="H190" s="46">
        <v>7499</v>
      </c>
      <c r="I190" s="46">
        <v>7499</v>
      </c>
      <c r="J190" s="45">
        <v>7499</v>
      </c>
      <c r="K190" s="45">
        <v>7499</v>
      </c>
      <c r="L190" s="45">
        <v>7499</v>
      </c>
      <c r="M190" s="45">
        <v>7499</v>
      </c>
      <c r="N190" s="45">
        <v>7499</v>
      </c>
      <c r="O190" s="45">
        <v>7399</v>
      </c>
      <c r="P190" s="46">
        <v>7299</v>
      </c>
      <c r="Q190" s="46">
        <v>6499</v>
      </c>
      <c r="R190" s="45">
        <v>7399</v>
      </c>
      <c r="S190" s="45">
        <v>7299</v>
      </c>
      <c r="T190" s="46">
        <v>6499</v>
      </c>
      <c r="U190" s="46">
        <v>6499</v>
      </c>
      <c r="V190" s="46">
        <v>6499</v>
      </c>
      <c r="W190" s="46">
        <v>6399</v>
      </c>
      <c r="X190" s="46">
        <v>6399</v>
      </c>
      <c r="Y190" s="46">
        <v>5799</v>
      </c>
      <c r="Z190" s="46">
        <v>5799</v>
      </c>
      <c r="AA190" s="46">
        <v>5799</v>
      </c>
      <c r="AB190" s="45">
        <v>7499</v>
      </c>
      <c r="AC190" s="45">
        <v>7499</v>
      </c>
      <c r="AD190" s="45">
        <v>7499</v>
      </c>
      <c r="AE190" s="45">
        <v>7499</v>
      </c>
      <c r="AF190" s="45">
        <v>7399</v>
      </c>
      <c r="AG190" s="45">
        <v>7299</v>
      </c>
      <c r="AH190" s="45">
        <v>6499</v>
      </c>
      <c r="AI190" s="45">
        <v>6499</v>
      </c>
      <c r="AJ190" s="45">
        <v>6499</v>
      </c>
      <c r="AK190" s="45">
        <v>6499</v>
      </c>
      <c r="AL190" s="45">
        <v>5799</v>
      </c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">
        <v>65</v>
      </c>
      <c r="AX190" s="51" t="s">
        <v>82</v>
      </c>
    </row>
    <row r="191" spans="1:50" ht="22.5" customHeight="1">
      <c r="A191" s="52" t="s">
        <v>70</v>
      </c>
      <c r="B191" s="41" t="s">
        <v>62</v>
      </c>
      <c r="C191" s="42">
        <v>4017483</v>
      </c>
      <c r="D191" s="43" t="s">
        <v>271</v>
      </c>
      <c r="E191" s="43" t="s">
        <v>276</v>
      </c>
      <c r="F191" s="45">
        <v>7999</v>
      </c>
      <c r="G191" s="45">
        <v>5799</v>
      </c>
      <c r="H191" s="46">
        <v>7499</v>
      </c>
      <c r="I191" s="46">
        <v>7499</v>
      </c>
      <c r="J191" s="45">
        <v>7499</v>
      </c>
      <c r="K191" s="45">
        <v>7499</v>
      </c>
      <c r="L191" s="45">
        <v>7499</v>
      </c>
      <c r="M191" s="45">
        <v>7499</v>
      </c>
      <c r="N191" s="45">
        <v>7499</v>
      </c>
      <c r="O191" s="45">
        <v>7399</v>
      </c>
      <c r="P191" s="46">
        <v>7299</v>
      </c>
      <c r="Q191" s="46">
        <v>6499</v>
      </c>
      <c r="R191" s="45">
        <v>7399</v>
      </c>
      <c r="S191" s="45">
        <v>7299</v>
      </c>
      <c r="T191" s="46">
        <v>6499</v>
      </c>
      <c r="U191" s="46">
        <v>6499</v>
      </c>
      <c r="V191" s="46">
        <v>6499</v>
      </c>
      <c r="W191" s="46">
        <v>6399</v>
      </c>
      <c r="X191" s="46">
        <v>6399</v>
      </c>
      <c r="Y191" s="46">
        <v>5799</v>
      </c>
      <c r="Z191" s="46">
        <v>5799</v>
      </c>
      <c r="AA191" s="46">
        <v>5799</v>
      </c>
      <c r="AB191" s="45">
        <v>7499</v>
      </c>
      <c r="AC191" s="45">
        <v>7499</v>
      </c>
      <c r="AD191" s="45">
        <v>7499</v>
      </c>
      <c r="AE191" s="45">
        <v>7499</v>
      </c>
      <c r="AF191" s="45">
        <v>7399</v>
      </c>
      <c r="AG191" s="45">
        <v>7299</v>
      </c>
      <c r="AH191" s="45">
        <v>6499</v>
      </c>
      <c r="AI191" s="45">
        <v>6499</v>
      </c>
      <c r="AJ191" s="45">
        <v>6499</v>
      </c>
      <c r="AK191" s="45">
        <v>6499</v>
      </c>
      <c r="AL191" s="45">
        <v>5799</v>
      </c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">
        <v>65</v>
      </c>
      <c r="AX191" s="51" t="s">
        <v>82</v>
      </c>
    </row>
    <row r="192" spans="1:50" ht="22.5" customHeight="1">
      <c r="A192" s="52" t="s">
        <v>70</v>
      </c>
      <c r="B192" s="41" t="s">
        <v>62</v>
      </c>
      <c r="C192" s="42">
        <v>4017484</v>
      </c>
      <c r="D192" s="43" t="s">
        <v>277</v>
      </c>
      <c r="E192" s="43" t="s">
        <v>278</v>
      </c>
      <c r="F192" s="45">
        <v>9499</v>
      </c>
      <c r="G192" s="45">
        <v>7699</v>
      </c>
      <c r="H192" s="46">
        <v>8199</v>
      </c>
      <c r="I192" s="46">
        <v>8199</v>
      </c>
      <c r="J192" s="45">
        <v>8099</v>
      </c>
      <c r="K192" s="45">
        <v>8099</v>
      </c>
      <c r="L192" s="45">
        <v>8099</v>
      </c>
      <c r="M192" s="45">
        <v>8099</v>
      </c>
      <c r="N192" s="45">
        <v>8099</v>
      </c>
      <c r="O192" s="45">
        <v>7999</v>
      </c>
      <c r="P192" s="46">
        <v>7899</v>
      </c>
      <c r="Q192" s="46">
        <v>7799</v>
      </c>
      <c r="R192" s="45">
        <v>7999</v>
      </c>
      <c r="S192" s="45">
        <v>7899</v>
      </c>
      <c r="T192" s="46">
        <v>7799</v>
      </c>
      <c r="U192" s="46">
        <v>7799</v>
      </c>
      <c r="V192" s="46">
        <v>7799</v>
      </c>
      <c r="W192" s="46">
        <v>7799</v>
      </c>
      <c r="X192" s="46">
        <v>7699</v>
      </c>
      <c r="Y192" s="46">
        <v>7499</v>
      </c>
      <c r="Z192" s="46">
        <v>7499</v>
      </c>
      <c r="AA192" s="46">
        <v>7499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">
        <v>65</v>
      </c>
      <c r="AX192" s="51" t="s">
        <v>82</v>
      </c>
    </row>
    <row r="193" spans="1:50" ht="22.5" customHeight="1">
      <c r="A193" s="52" t="s">
        <v>70</v>
      </c>
      <c r="B193" s="41" t="s">
        <v>62</v>
      </c>
      <c r="C193" s="42">
        <v>4017506</v>
      </c>
      <c r="D193" s="43" t="s">
        <v>277</v>
      </c>
      <c r="E193" s="43" t="s">
        <v>279</v>
      </c>
      <c r="F193" s="45">
        <v>9499</v>
      </c>
      <c r="G193" s="45">
        <v>7699</v>
      </c>
      <c r="H193" s="46">
        <v>8199</v>
      </c>
      <c r="I193" s="46">
        <v>8199</v>
      </c>
      <c r="J193" s="45">
        <v>8099</v>
      </c>
      <c r="K193" s="45">
        <v>8099</v>
      </c>
      <c r="L193" s="45">
        <v>8099</v>
      </c>
      <c r="M193" s="45">
        <v>8099</v>
      </c>
      <c r="N193" s="45">
        <v>8099</v>
      </c>
      <c r="O193" s="45">
        <v>7999</v>
      </c>
      <c r="P193" s="46">
        <v>7899</v>
      </c>
      <c r="Q193" s="46">
        <v>7799</v>
      </c>
      <c r="R193" s="45">
        <v>7999</v>
      </c>
      <c r="S193" s="45">
        <v>7899</v>
      </c>
      <c r="T193" s="46">
        <v>7799</v>
      </c>
      <c r="U193" s="46">
        <v>7799</v>
      </c>
      <c r="V193" s="46">
        <v>7799</v>
      </c>
      <c r="W193" s="46">
        <v>7799</v>
      </c>
      <c r="X193" s="46">
        <v>7699</v>
      </c>
      <c r="Y193" s="46">
        <v>7499</v>
      </c>
      <c r="Z193" s="46">
        <v>7499</v>
      </c>
      <c r="AA193" s="46">
        <v>7499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">
        <v>65</v>
      </c>
      <c r="AX193" s="51" t="s">
        <v>82</v>
      </c>
    </row>
    <row r="194" spans="1:50" ht="22.5" customHeight="1">
      <c r="A194" s="52" t="s">
        <v>70</v>
      </c>
      <c r="B194" s="41" t="s">
        <v>62</v>
      </c>
      <c r="C194" s="42">
        <v>4017497</v>
      </c>
      <c r="D194" s="43" t="s">
        <v>280</v>
      </c>
      <c r="E194" s="43" t="s">
        <v>281</v>
      </c>
      <c r="F194" s="45">
        <v>10499</v>
      </c>
      <c r="G194" s="45">
        <v>7299</v>
      </c>
      <c r="H194" s="46">
        <v>7799</v>
      </c>
      <c r="I194" s="46">
        <v>7799</v>
      </c>
      <c r="J194" s="45">
        <v>7699</v>
      </c>
      <c r="K194" s="45">
        <v>7699</v>
      </c>
      <c r="L194" s="45">
        <v>7699</v>
      </c>
      <c r="M194" s="45">
        <v>7699</v>
      </c>
      <c r="N194" s="45">
        <v>7699</v>
      </c>
      <c r="O194" s="45">
        <v>7599</v>
      </c>
      <c r="P194" s="46">
        <v>7499</v>
      </c>
      <c r="Q194" s="46">
        <v>7399</v>
      </c>
      <c r="R194" s="45">
        <v>7599</v>
      </c>
      <c r="S194" s="45">
        <v>7499</v>
      </c>
      <c r="T194" s="46">
        <v>7399</v>
      </c>
      <c r="U194" s="46">
        <v>7399</v>
      </c>
      <c r="V194" s="46">
        <v>7399</v>
      </c>
      <c r="W194" s="46">
        <v>7399</v>
      </c>
      <c r="X194" s="46">
        <v>7299</v>
      </c>
      <c r="Y194" s="46">
        <v>5999</v>
      </c>
      <c r="Z194" s="46">
        <v>5999</v>
      </c>
      <c r="AA194" s="46">
        <v>5999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">
        <v>65</v>
      </c>
      <c r="AX194" s="51" t="s">
        <v>82</v>
      </c>
    </row>
    <row r="195" spans="1:50" ht="22.5" customHeight="1">
      <c r="A195" s="52" t="s">
        <v>70</v>
      </c>
      <c r="B195" s="41" t="s">
        <v>62</v>
      </c>
      <c r="C195" s="42">
        <v>4017498</v>
      </c>
      <c r="D195" s="43" t="s">
        <v>280</v>
      </c>
      <c r="E195" s="43" t="s">
        <v>282</v>
      </c>
      <c r="F195" s="45">
        <v>10499</v>
      </c>
      <c r="G195" s="45">
        <v>7299</v>
      </c>
      <c r="H195" s="46">
        <v>7799</v>
      </c>
      <c r="I195" s="46">
        <v>7799</v>
      </c>
      <c r="J195" s="45">
        <v>7699</v>
      </c>
      <c r="K195" s="45">
        <v>7699</v>
      </c>
      <c r="L195" s="45">
        <v>7699</v>
      </c>
      <c r="M195" s="45">
        <v>7699</v>
      </c>
      <c r="N195" s="45">
        <v>7699</v>
      </c>
      <c r="O195" s="45">
        <v>7599</v>
      </c>
      <c r="P195" s="46">
        <v>7499</v>
      </c>
      <c r="Q195" s="46">
        <v>7399</v>
      </c>
      <c r="R195" s="45">
        <v>7599</v>
      </c>
      <c r="S195" s="45">
        <v>7499</v>
      </c>
      <c r="T195" s="46">
        <v>7399</v>
      </c>
      <c r="U195" s="46">
        <v>7399</v>
      </c>
      <c r="V195" s="46">
        <v>7399</v>
      </c>
      <c r="W195" s="46">
        <v>7399</v>
      </c>
      <c r="X195" s="46">
        <v>7299</v>
      </c>
      <c r="Y195" s="46">
        <v>5999</v>
      </c>
      <c r="Z195" s="46">
        <v>5999</v>
      </c>
      <c r="AA195" s="46">
        <v>5999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">
        <v>65</v>
      </c>
      <c r="AX195" s="51" t="s">
        <v>82</v>
      </c>
    </row>
    <row r="196" spans="1:50" ht="22.5" customHeight="1">
      <c r="A196" s="52" t="s">
        <v>70</v>
      </c>
      <c r="B196" s="41" t="s">
        <v>62</v>
      </c>
      <c r="C196" s="42">
        <v>4017499</v>
      </c>
      <c r="D196" s="43" t="s">
        <v>280</v>
      </c>
      <c r="E196" s="43" t="s">
        <v>283</v>
      </c>
      <c r="F196" s="45">
        <v>10499</v>
      </c>
      <c r="G196" s="45">
        <v>7299</v>
      </c>
      <c r="H196" s="46">
        <v>7799</v>
      </c>
      <c r="I196" s="46">
        <v>7799</v>
      </c>
      <c r="J196" s="45">
        <v>7699</v>
      </c>
      <c r="K196" s="45">
        <v>7699</v>
      </c>
      <c r="L196" s="45">
        <v>7699</v>
      </c>
      <c r="M196" s="45">
        <v>7699</v>
      </c>
      <c r="N196" s="45">
        <v>7699</v>
      </c>
      <c r="O196" s="45">
        <v>7599</v>
      </c>
      <c r="P196" s="46">
        <v>7499</v>
      </c>
      <c r="Q196" s="46">
        <v>7399</v>
      </c>
      <c r="R196" s="45">
        <v>7599</v>
      </c>
      <c r="S196" s="45">
        <v>7499</v>
      </c>
      <c r="T196" s="46">
        <v>7399</v>
      </c>
      <c r="U196" s="46">
        <v>7399</v>
      </c>
      <c r="V196" s="46">
        <v>7399</v>
      </c>
      <c r="W196" s="46">
        <v>7399</v>
      </c>
      <c r="X196" s="46">
        <v>7299</v>
      </c>
      <c r="Y196" s="46">
        <v>5999</v>
      </c>
      <c r="Z196" s="46">
        <v>5999</v>
      </c>
      <c r="AA196" s="46">
        <v>5999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">
        <v>65</v>
      </c>
      <c r="AX196" s="51" t="s">
        <v>82</v>
      </c>
    </row>
    <row r="197" spans="1:50" ht="22.5" customHeight="1">
      <c r="A197" s="52" t="s">
        <v>70</v>
      </c>
      <c r="B197" s="41" t="s">
        <v>62</v>
      </c>
      <c r="C197" s="42">
        <v>4017521</v>
      </c>
      <c r="D197" s="43" t="s">
        <v>280</v>
      </c>
      <c r="E197" s="43" t="s">
        <v>284</v>
      </c>
      <c r="F197" s="45">
        <v>10499</v>
      </c>
      <c r="G197" s="45">
        <v>7299</v>
      </c>
      <c r="H197" s="46">
        <v>7799</v>
      </c>
      <c r="I197" s="46">
        <v>7799</v>
      </c>
      <c r="J197" s="45">
        <v>7699</v>
      </c>
      <c r="K197" s="45">
        <v>7699</v>
      </c>
      <c r="L197" s="45">
        <v>7699</v>
      </c>
      <c r="M197" s="45">
        <v>7699</v>
      </c>
      <c r="N197" s="45">
        <v>7699</v>
      </c>
      <c r="O197" s="45">
        <v>7599</v>
      </c>
      <c r="P197" s="46">
        <v>7499</v>
      </c>
      <c r="Q197" s="46">
        <v>7399</v>
      </c>
      <c r="R197" s="45">
        <v>7599</v>
      </c>
      <c r="S197" s="45">
        <v>7499</v>
      </c>
      <c r="T197" s="46">
        <v>7399</v>
      </c>
      <c r="U197" s="46">
        <v>7399</v>
      </c>
      <c r="V197" s="46">
        <v>7399</v>
      </c>
      <c r="W197" s="46">
        <v>7399</v>
      </c>
      <c r="X197" s="46">
        <v>7299</v>
      </c>
      <c r="Y197" s="46">
        <v>5999</v>
      </c>
      <c r="Z197" s="46">
        <v>5999</v>
      </c>
      <c r="AA197" s="46">
        <v>5999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">
        <v>65</v>
      </c>
      <c r="AX197" s="51" t="s">
        <v>82</v>
      </c>
    </row>
    <row r="198" spans="1:50" ht="22.5" customHeight="1">
      <c r="A198" s="52" t="s">
        <v>70</v>
      </c>
      <c r="B198" s="41" t="s">
        <v>62</v>
      </c>
      <c r="C198" s="42">
        <v>4017496</v>
      </c>
      <c r="D198" s="43" t="s">
        <v>285</v>
      </c>
      <c r="E198" s="43" t="s">
        <v>286</v>
      </c>
      <c r="F198" s="46">
        <v>11999</v>
      </c>
      <c r="G198" s="46">
        <v>8399</v>
      </c>
      <c r="H198" s="46">
        <v>9099</v>
      </c>
      <c r="I198" s="46">
        <v>9099</v>
      </c>
      <c r="J198" s="46">
        <v>8999</v>
      </c>
      <c r="K198" s="46">
        <v>8999</v>
      </c>
      <c r="L198" s="46">
        <v>8999</v>
      </c>
      <c r="M198" s="46">
        <v>8999</v>
      </c>
      <c r="N198" s="46">
        <v>8999</v>
      </c>
      <c r="O198" s="46">
        <v>8899</v>
      </c>
      <c r="P198" s="46">
        <v>8799</v>
      </c>
      <c r="Q198" s="46">
        <v>8499</v>
      </c>
      <c r="R198" s="46">
        <v>8899</v>
      </c>
      <c r="S198" s="46">
        <v>8799</v>
      </c>
      <c r="T198" s="46">
        <v>8499</v>
      </c>
      <c r="U198" s="46">
        <v>8499</v>
      </c>
      <c r="V198" s="46">
        <v>8499</v>
      </c>
      <c r="W198" s="46">
        <v>8499</v>
      </c>
      <c r="X198" s="46">
        <v>8399</v>
      </c>
      <c r="Y198" s="46">
        <v>7799</v>
      </c>
      <c r="Z198" s="46">
        <v>7799</v>
      </c>
      <c r="AA198" s="46">
        <v>7799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">
        <v>65</v>
      </c>
      <c r="AX198" s="51" t="s">
        <v>82</v>
      </c>
    </row>
    <row r="199" spans="1:50" ht="22.5" customHeight="1">
      <c r="A199" s="52" t="s">
        <v>70</v>
      </c>
      <c r="B199" s="41" t="s">
        <v>62</v>
      </c>
      <c r="C199" s="42">
        <v>4017519</v>
      </c>
      <c r="D199" s="43" t="s">
        <v>285</v>
      </c>
      <c r="E199" s="43" t="s">
        <v>287</v>
      </c>
      <c r="F199" s="46">
        <v>11999</v>
      </c>
      <c r="G199" s="46">
        <v>8399</v>
      </c>
      <c r="H199" s="46">
        <v>9099</v>
      </c>
      <c r="I199" s="46">
        <v>9099</v>
      </c>
      <c r="J199" s="46">
        <v>8999</v>
      </c>
      <c r="K199" s="46">
        <v>8999</v>
      </c>
      <c r="L199" s="46">
        <v>8999</v>
      </c>
      <c r="M199" s="46">
        <v>8999</v>
      </c>
      <c r="N199" s="46">
        <v>8999</v>
      </c>
      <c r="O199" s="46">
        <v>8899</v>
      </c>
      <c r="P199" s="46">
        <v>8799</v>
      </c>
      <c r="Q199" s="46">
        <v>8499</v>
      </c>
      <c r="R199" s="46">
        <v>8899</v>
      </c>
      <c r="S199" s="46">
        <v>8799</v>
      </c>
      <c r="T199" s="46">
        <v>8499</v>
      </c>
      <c r="U199" s="46">
        <v>8499</v>
      </c>
      <c r="V199" s="46">
        <v>8499</v>
      </c>
      <c r="W199" s="46">
        <v>8499</v>
      </c>
      <c r="X199" s="46">
        <v>8399</v>
      </c>
      <c r="Y199" s="46">
        <v>7799</v>
      </c>
      <c r="Z199" s="46">
        <v>7799</v>
      </c>
      <c r="AA199" s="46">
        <v>7799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">
        <v>65</v>
      </c>
      <c r="AX199" s="51" t="s">
        <v>82</v>
      </c>
    </row>
    <row r="200" spans="1:50" ht="22.5" customHeight="1">
      <c r="A200" s="52" t="s">
        <v>70</v>
      </c>
      <c r="B200" s="41" t="s">
        <v>62</v>
      </c>
      <c r="C200" s="42">
        <v>4017525</v>
      </c>
      <c r="D200" s="43" t="s">
        <v>285</v>
      </c>
      <c r="E200" s="43" t="s">
        <v>288</v>
      </c>
      <c r="F200" s="46">
        <v>11999</v>
      </c>
      <c r="G200" s="46">
        <v>8399</v>
      </c>
      <c r="H200" s="46">
        <v>9099</v>
      </c>
      <c r="I200" s="46">
        <v>9099</v>
      </c>
      <c r="J200" s="46">
        <v>8999</v>
      </c>
      <c r="K200" s="46">
        <v>8999</v>
      </c>
      <c r="L200" s="46">
        <v>8999</v>
      </c>
      <c r="M200" s="46">
        <v>8999</v>
      </c>
      <c r="N200" s="46">
        <v>8999</v>
      </c>
      <c r="O200" s="46">
        <v>8899</v>
      </c>
      <c r="P200" s="46">
        <v>8799</v>
      </c>
      <c r="Q200" s="46">
        <v>8499</v>
      </c>
      <c r="R200" s="46">
        <v>8899</v>
      </c>
      <c r="S200" s="46">
        <v>8799</v>
      </c>
      <c r="T200" s="46">
        <v>8499</v>
      </c>
      <c r="U200" s="46">
        <v>8499</v>
      </c>
      <c r="V200" s="46">
        <v>8499</v>
      </c>
      <c r="W200" s="46">
        <v>8499</v>
      </c>
      <c r="X200" s="46">
        <v>8399</v>
      </c>
      <c r="Y200" s="46">
        <v>7799</v>
      </c>
      <c r="Z200" s="46">
        <v>7799</v>
      </c>
      <c r="AA200" s="46">
        <v>7799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">
        <v>65</v>
      </c>
      <c r="AX200" s="51" t="s">
        <v>82</v>
      </c>
    </row>
    <row r="201" spans="1:50" ht="22.5" customHeight="1">
      <c r="A201" s="52" t="s">
        <v>70</v>
      </c>
      <c r="B201" s="41" t="s">
        <v>62</v>
      </c>
      <c r="C201" s="42">
        <v>4017518</v>
      </c>
      <c r="D201" s="43" t="s">
        <v>285</v>
      </c>
      <c r="E201" s="43" t="s">
        <v>289</v>
      </c>
      <c r="F201" s="46">
        <v>11999</v>
      </c>
      <c r="G201" s="46">
        <v>8399</v>
      </c>
      <c r="H201" s="46">
        <v>9099</v>
      </c>
      <c r="I201" s="46">
        <v>9099</v>
      </c>
      <c r="J201" s="46">
        <v>8999</v>
      </c>
      <c r="K201" s="46">
        <v>8999</v>
      </c>
      <c r="L201" s="46">
        <v>8999</v>
      </c>
      <c r="M201" s="46">
        <v>8999</v>
      </c>
      <c r="N201" s="46">
        <v>8999</v>
      </c>
      <c r="O201" s="46">
        <v>8899</v>
      </c>
      <c r="P201" s="46">
        <v>8799</v>
      </c>
      <c r="Q201" s="46">
        <v>8499</v>
      </c>
      <c r="R201" s="46">
        <v>8899</v>
      </c>
      <c r="S201" s="46">
        <v>8799</v>
      </c>
      <c r="T201" s="46">
        <v>8499</v>
      </c>
      <c r="U201" s="46">
        <v>8499</v>
      </c>
      <c r="V201" s="46">
        <v>8499</v>
      </c>
      <c r="W201" s="46">
        <v>8499</v>
      </c>
      <c r="X201" s="46">
        <v>8399</v>
      </c>
      <c r="Y201" s="46">
        <v>7799</v>
      </c>
      <c r="Z201" s="46">
        <v>7799</v>
      </c>
      <c r="AA201" s="46">
        <v>7799</v>
      </c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">
        <v>65</v>
      </c>
      <c r="AX201" s="51" t="s">
        <v>82</v>
      </c>
    </row>
    <row r="202" spans="1:50" ht="22.5" customHeight="1">
      <c r="A202" s="52" t="s">
        <v>70</v>
      </c>
      <c r="B202" s="41" t="s">
        <v>62</v>
      </c>
      <c r="C202" s="42">
        <v>4017487</v>
      </c>
      <c r="D202" s="43" t="s">
        <v>290</v>
      </c>
      <c r="E202" s="43" t="s">
        <v>291</v>
      </c>
      <c r="F202" s="45">
        <v>11499</v>
      </c>
      <c r="G202" s="45">
        <v>8799</v>
      </c>
      <c r="H202" s="46">
        <v>10799</v>
      </c>
      <c r="I202" s="46">
        <v>10799</v>
      </c>
      <c r="J202" s="45">
        <v>10799</v>
      </c>
      <c r="K202" s="45">
        <v>10799</v>
      </c>
      <c r="L202" s="45">
        <v>10799</v>
      </c>
      <c r="M202" s="45">
        <v>10799</v>
      </c>
      <c r="N202" s="45">
        <v>10799</v>
      </c>
      <c r="O202" s="45">
        <v>10699</v>
      </c>
      <c r="P202" s="46">
        <v>10599</v>
      </c>
      <c r="Q202" s="46">
        <v>9799</v>
      </c>
      <c r="R202" s="45">
        <v>10699</v>
      </c>
      <c r="S202" s="45">
        <v>10599</v>
      </c>
      <c r="T202" s="46">
        <v>9799</v>
      </c>
      <c r="U202" s="46">
        <v>9799</v>
      </c>
      <c r="V202" s="46">
        <v>9799</v>
      </c>
      <c r="W202" s="46">
        <v>9699</v>
      </c>
      <c r="X202" s="46">
        <v>9699</v>
      </c>
      <c r="Y202" s="46">
        <v>8799</v>
      </c>
      <c r="Z202" s="46">
        <v>8799</v>
      </c>
      <c r="AA202" s="46">
        <v>8799</v>
      </c>
      <c r="AB202" s="45">
        <v>10799</v>
      </c>
      <c r="AC202" s="45">
        <v>10799</v>
      </c>
      <c r="AD202" s="45">
        <v>10799</v>
      </c>
      <c r="AE202" s="45">
        <v>10799</v>
      </c>
      <c r="AF202" s="45">
        <v>10699</v>
      </c>
      <c r="AG202" s="45">
        <v>10599</v>
      </c>
      <c r="AH202" s="45">
        <v>9799</v>
      </c>
      <c r="AI202" s="45">
        <v>9799</v>
      </c>
      <c r="AJ202" s="45">
        <v>9799</v>
      </c>
      <c r="AK202" s="45">
        <v>9799</v>
      </c>
      <c r="AL202" s="45">
        <v>8799</v>
      </c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">
        <v>65</v>
      </c>
      <c r="AX202" s="51" t="s">
        <v>82</v>
      </c>
    </row>
    <row r="203" spans="1:50" ht="22.5" customHeight="1">
      <c r="A203" s="52" t="s">
        <v>70</v>
      </c>
      <c r="B203" s="41" t="s">
        <v>62</v>
      </c>
      <c r="C203" s="42">
        <v>4017510</v>
      </c>
      <c r="D203" s="43" t="s">
        <v>290</v>
      </c>
      <c r="E203" s="43" t="s">
        <v>292</v>
      </c>
      <c r="F203" s="45">
        <v>11499</v>
      </c>
      <c r="G203" s="45">
        <v>8799</v>
      </c>
      <c r="H203" s="46">
        <v>10799</v>
      </c>
      <c r="I203" s="46">
        <v>10799</v>
      </c>
      <c r="J203" s="45">
        <v>10799</v>
      </c>
      <c r="K203" s="45">
        <v>10799</v>
      </c>
      <c r="L203" s="45">
        <v>10799</v>
      </c>
      <c r="M203" s="45">
        <v>10799</v>
      </c>
      <c r="N203" s="45">
        <v>10799</v>
      </c>
      <c r="O203" s="45">
        <v>10699</v>
      </c>
      <c r="P203" s="46">
        <v>10599</v>
      </c>
      <c r="Q203" s="46">
        <v>9799</v>
      </c>
      <c r="R203" s="45">
        <v>10699</v>
      </c>
      <c r="S203" s="45">
        <v>10599</v>
      </c>
      <c r="T203" s="46">
        <v>9799</v>
      </c>
      <c r="U203" s="46">
        <v>9799</v>
      </c>
      <c r="V203" s="46">
        <v>9799</v>
      </c>
      <c r="W203" s="46">
        <v>9699</v>
      </c>
      <c r="X203" s="46">
        <v>9699</v>
      </c>
      <c r="Y203" s="46">
        <v>8799</v>
      </c>
      <c r="Z203" s="46">
        <v>8799</v>
      </c>
      <c r="AA203" s="46">
        <v>8799</v>
      </c>
      <c r="AB203" s="45">
        <v>10799</v>
      </c>
      <c r="AC203" s="45">
        <v>10799</v>
      </c>
      <c r="AD203" s="45">
        <v>10799</v>
      </c>
      <c r="AE203" s="45">
        <v>10799</v>
      </c>
      <c r="AF203" s="45">
        <v>10699</v>
      </c>
      <c r="AG203" s="45">
        <v>10599</v>
      </c>
      <c r="AH203" s="45">
        <v>9799</v>
      </c>
      <c r="AI203" s="45">
        <v>9799</v>
      </c>
      <c r="AJ203" s="45">
        <v>9799</v>
      </c>
      <c r="AK203" s="45">
        <v>9799</v>
      </c>
      <c r="AL203" s="45">
        <v>8799</v>
      </c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">
        <v>65</v>
      </c>
      <c r="AX203" s="51" t="s">
        <v>82</v>
      </c>
    </row>
    <row r="204" spans="1:50" ht="22.5" customHeight="1">
      <c r="A204" s="52" t="s">
        <v>70</v>
      </c>
      <c r="B204" s="41" t="s">
        <v>62</v>
      </c>
      <c r="C204" s="42">
        <v>4017513</v>
      </c>
      <c r="D204" s="43" t="s">
        <v>290</v>
      </c>
      <c r="E204" s="43" t="s">
        <v>293</v>
      </c>
      <c r="F204" s="45">
        <v>11499</v>
      </c>
      <c r="G204" s="45">
        <v>8799</v>
      </c>
      <c r="H204" s="46">
        <v>10799</v>
      </c>
      <c r="I204" s="46">
        <v>10799</v>
      </c>
      <c r="J204" s="45">
        <v>10799</v>
      </c>
      <c r="K204" s="45">
        <v>10799</v>
      </c>
      <c r="L204" s="45">
        <v>10799</v>
      </c>
      <c r="M204" s="45">
        <v>10799</v>
      </c>
      <c r="N204" s="45">
        <v>10799</v>
      </c>
      <c r="O204" s="45">
        <v>10699</v>
      </c>
      <c r="P204" s="46">
        <v>10599</v>
      </c>
      <c r="Q204" s="46">
        <v>9799</v>
      </c>
      <c r="R204" s="45">
        <v>10699</v>
      </c>
      <c r="S204" s="45">
        <v>10599</v>
      </c>
      <c r="T204" s="46">
        <v>9799</v>
      </c>
      <c r="U204" s="46">
        <v>9799</v>
      </c>
      <c r="V204" s="46">
        <v>9799</v>
      </c>
      <c r="W204" s="46">
        <v>9699</v>
      </c>
      <c r="X204" s="46">
        <v>9699</v>
      </c>
      <c r="Y204" s="46">
        <v>8799</v>
      </c>
      <c r="Z204" s="46">
        <v>8799</v>
      </c>
      <c r="AA204" s="46">
        <v>8799</v>
      </c>
      <c r="AB204" s="45">
        <v>10799</v>
      </c>
      <c r="AC204" s="45">
        <v>10799</v>
      </c>
      <c r="AD204" s="45">
        <v>10799</v>
      </c>
      <c r="AE204" s="45">
        <v>10799</v>
      </c>
      <c r="AF204" s="45">
        <v>10699</v>
      </c>
      <c r="AG204" s="45">
        <v>10599</v>
      </c>
      <c r="AH204" s="45">
        <v>9799</v>
      </c>
      <c r="AI204" s="45">
        <v>9799</v>
      </c>
      <c r="AJ204" s="45">
        <v>9799</v>
      </c>
      <c r="AK204" s="45">
        <v>9799</v>
      </c>
      <c r="AL204" s="45">
        <v>8799</v>
      </c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">
        <v>65</v>
      </c>
      <c r="AX204" s="51" t="s">
        <v>82</v>
      </c>
    </row>
    <row r="205" spans="1:50" ht="22.5" customHeight="1">
      <c r="A205" s="52" t="s">
        <v>70</v>
      </c>
      <c r="B205" s="41" t="s">
        <v>62</v>
      </c>
      <c r="C205" s="42">
        <v>4017488</v>
      </c>
      <c r="D205" s="43" t="s">
        <v>294</v>
      </c>
      <c r="E205" s="43" t="s">
        <v>295</v>
      </c>
      <c r="F205" s="45">
        <v>12999</v>
      </c>
      <c r="G205" s="45">
        <v>9999</v>
      </c>
      <c r="H205" s="46">
        <v>12199</v>
      </c>
      <c r="I205" s="46">
        <v>12199</v>
      </c>
      <c r="J205" s="45">
        <v>12199</v>
      </c>
      <c r="K205" s="45">
        <v>12199</v>
      </c>
      <c r="L205" s="45">
        <v>12199</v>
      </c>
      <c r="M205" s="45">
        <v>12199</v>
      </c>
      <c r="N205" s="45">
        <v>12199</v>
      </c>
      <c r="O205" s="45">
        <v>12099</v>
      </c>
      <c r="P205" s="46">
        <v>11999</v>
      </c>
      <c r="Q205" s="46">
        <v>11199</v>
      </c>
      <c r="R205" s="45">
        <v>12099</v>
      </c>
      <c r="S205" s="45">
        <v>11999</v>
      </c>
      <c r="T205" s="46">
        <v>11199</v>
      </c>
      <c r="U205" s="46">
        <v>11199</v>
      </c>
      <c r="V205" s="46">
        <v>11199</v>
      </c>
      <c r="W205" s="46">
        <v>11099</v>
      </c>
      <c r="X205" s="46">
        <v>11099</v>
      </c>
      <c r="Y205" s="46">
        <v>9999</v>
      </c>
      <c r="Z205" s="46">
        <v>9999</v>
      </c>
      <c r="AA205" s="46">
        <v>9899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">
        <v>65</v>
      </c>
      <c r="AX205" s="51" t="s">
        <v>82</v>
      </c>
    </row>
    <row r="206" spans="1:50" ht="22.5" customHeight="1">
      <c r="A206" s="52" t="s">
        <v>70</v>
      </c>
      <c r="B206" s="41" t="s">
        <v>62</v>
      </c>
      <c r="C206" s="42">
        <v>4017508</v>
      </c>
      <c r="D206" s="43" t="s">
        <v>294</v>
      </c>
      <c r="E206" s="43" t="s">
        <v>296</v>
      </c>
      <c r="F206" s="45">
        <v>12999</v>
      </c>
      <c r="G206" s="45">
        <v>9999</v>
      </c>
      <c r="H206" s="46">
        <v>12199</v>
      </c>
      <c r="I206" s="46">
        <v>12199</v>
      </c>
      <c r="J206" s="45">
        <v>12199</v>
      </c>
      <c r="K206" s="45">
        <v>12199</v>
      </c>
      <c r="L206" s="45">
        <v>12199</v>
      </c>
      <c r="M206" s="45">
        <v>12199</v>
      </c>
      <c r="N206" s="45">
        <v>12199</v>
      </c>
      <c r="O206" s="45">
        <v>12099</v>
      </c>
      <c r="P206" s="46">
        <v>11999</v>
      </c>
      <c r="Q206" s="46">
        <v>11199</v>
      </c>
      <c r="R206" s="45">
        <v>12099</v>
      </c>
      <c r="S206" s="45">
        <v>11999</v>
      </c>
      <c r="T206" s="46">
        <v>11199</v>
      </c>
      <c r="U206" s="46">
        <v>11199</v>
      </c>
      <c r="V206" s="46">
        <v>11199</v>
      </c>
      <c r="W206" s="46">
        <v>11099</v>
      </c>
      <c r="X206" s="46">
        <v>11099</v>
      </c>
      <c r="Y206" s="46">
        <v>9999</v>
      </c>
      <c r="Z206" s="46">
        <v>9999</v>
      </c>
      <c r="AA206" s="46">
        <v>9899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">
        <v>65</v>
      </c>
      <c r="AX206" s="51" t="s">
        <v>82</v>
      </c>
    </row>
    <row r="207" spans="1:50" ht="22.5" customHeight="1">
      <c r="A207" s="52" t="s">
        <v>70</v>
      </c>
      <c r="B207" s="41" t="s">
        <v>62</v>
      </c>
      <c r="C207" s="42">
        <v>4017489</v>
      </c>
      <c r="D207" s="43" t="s">
        <v>294</v>
      </c>
      <c r="E207" s="43" t="s">
        <v>297</v>
      </c>
      <c r="F207" s="45">
        <v>12999</v>
      </c>
      <c r="G207" s="45">
        <v>9999</v>
      </c>
      <c r="H207" s="46">
        <v>12199</v>
      </c>
      <c r="I207" s="46">
        <v>12199</v>
      </c>
      <c r="J207" s="45">
        <v>12199</v>
      </c>
      <c r="K207" s="45">
        <v>12199</v>
      </c>
      <c r="L207" s="45">
        <v>12199</v>
      </c>
      <c r="M207" s="45">
        <v>12199</v>
      </c>
      <c r="N207" s="45">
        <v>12199</v>
      </c>
      <c r="O207" s="45">
        <v>12099</v>
      </c>
      <c r="P207" s="46">
        <v>11999</v>
      </c>
      <c r="Q207" s="46">
        <v>11199</v>
      </c>
      <c r="R207" s="45">
        <v>12099</v>
      </c>
      <c r="S207" s="45">
        <v>11999</v>
      </c>
      <c r="T207" s="46">
        <v>11199</v>
      </c>
      <c r="U207" s="46">
        <v>11199</v>
      </c>
      <c r="V207" s="46">
        <v>11199</v>
      </c>
      <c r="W207" s="46">
        <v>11099</v>
      </c>
      <c r="X207" s="46">
        <v>11099</v>
      </c>
      <c r="Y207" s="46">
        <v>9999</v>
      </c>
      <c r="Z207" s="46">
        <v>9999</v>
      </c>
      <c r="AA207" s="46">
        <v>9899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">
        <v>65</v>
      </c>
      <c r="AX207" s="51" t="s">
        <v>82</v>
      </c>
    </row>
    <row r="208" spans="1:50" ht="22.5" customHeight="1">
      <c r="A208" s="52" t="s">
        <v>70</v>
      </c>
      <c r="B208" s="41" t="s">
        <v>62</v>
      </c>
      <c r="C208" s="42">
        <v>4017493</v>
      </c>
      <c r="D208" s="43" t="s">
        <v>298</v>
      </c>
      <c r="E208" s="43" t="s">
        <v>299</v>
      </c>
      <c r="F208" s="45">
        <v>12499</v>
      </c>
      <c r="G208" s="45">
        <v>9799</v>
      </c>
      <c r="H208" s="46">
        <v>11699</v>
      </c>
      <c r="I208" s="46">
        <v>11699</v>
      </c>
      <c r="J208" s="45">
        <v>11699</v>
      </c>
      <c r="K208" s="45">
        <v>11699</v>
      </c>
      <c r="L208" s="45">
        <v>11699</v>
      </c>
      <c r="M208" s="45">
        <v>11699</v>
      </c>
      <c r="N208" s="45">
        <v>11699</v>
      </c>
      <c r="O208" s="45">
        <v>11599</v>
      </c>
      <c r="P208" s="46">
        <v>11499</v>
      </c>
      <c r="Q208" s="46">
        <v>10699</v>
      </c>
      <c r="R208" s="45">
        <v>11599</v>
      </c>
      <c r="S208" s="45">
        <v>11499</v>
      </c>
      <c r="T208" s="46">
        <v>10699</v>
      </c>
      <c r="U208" s="46">
        <v>10699</v>
      </c>
      <c r="V208" s="46">
        <v>10699</v>
      </c>
      <c r="W208" s="46">
        <v>10599</v>
      </c>
      <c r="X208" s="46">
        <v>10599</v>
      </c>
      <c r="Y208" s="46">
        <v>9799</v>
      </c>
      <c r="Z208" s="46">
        <v>9799</v>
      </c>
      <c r="AA208" s="46">
        <v>9799</v>
      </c>
      <c r="AB208" s="45">
        <v>11699</v>
      </c>
      <c r="AC208" s="45">
        <v>11699</v>
      </c>
      <c r="AD208" s="45">
        <v>11699</v>
      </c>
      <c r="AE208" s="45">
        <v>11699</v>
      </c>
      <c r="AF208" s="45">
        <v>11599</v>
      </c>
      <c r="AG208" s="45">
        <v>11499</v>
      </c>
      <c r="AH208" s="45">
        <v>10699</v>
      </c>
      <c r="AI208" s="45">
        <v>10699</v>
      </c>
      <c r="AJ208" s="45">
        <v>10699</v>
      </c>
      <c r="AK208" s="45">
        <v>10699</v>
      </c>
      <c r="AL208" s="45">
        <v>9799</v>
      </c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">
        <v>65</v>
      </c>
      <c r="AX208" s="51" t="s">
        <v>82</v>
      </c>
    </row>
    <row r="209" spans="1:50" ht="22.5" customHeight="1">
      <c r="A209" s="52" t="s">
        <v>70</v>
      </c>
      <c r="B209" s="41" t="s">
        <v>62</v>
      </c>
      <c r="C209" s="42">
        <v>4017494</v>
      </c>
      <c r="D209" s="43" t="s">
        <v>298</v>
      </c>
      <c r="E209" s="43" t="s">
        <v>300</v>
      </c>
      <c r="F209" s="45">
        <v>12499</v>
      </c>
      <c r="G209" s="45">
        <v>9799</v>
      </c>
      <c r="H209" s="46">
        <v>11699</v>
      </c>
      <c r="I209" s="46">
        <v>11699</v>
      </c>
      <c r="J209" s="45">
        <v>11699</v>
      </c>
      <c r="K209" s="45">
        <v>11699</v>
      </c>
      <c r="L209" s="45">
        <v>11699</v>
      </c>
      <c r="M209" s="45">
        <v>11699</v>
      </c>
      <c r="N209" s="45">
        <v>11699</v>
      </c>
      <c r="O209" s="45">
        <v>11599</v>
      </c>
      <c r="P209" s="46">
        <v>11499</v>
      </c>
      <c r="Q209" s="46">
        <v>10699</v>
      </c>
      <c r="R209" s="45">
        <v>11599</v>
      </c>
      <c r="S209" s="45">
        <v>11499</v>
      </c>
      <c r="T209" s="46">
        <v>10699</v>
      </c>
      <c r="U209" s="46">
        <v>10699</v>
      </c>
      <c r="V209" s="46">
        <v>10699</v>
      </c>
      <c r="W209" s="46">
        <v>10599</v>
      </c>
      <c r="X209" s="46">
        <v>10599</v>
      </c>
      <c r="Y209" s="46">
        <v>9799</v>
      </c>
      <c r="Z209" s="46">
        <v>9799</v>
      </c>
      <c r="AA209" s="46">
        <v>9799</v>
      </c>
      <c r="AB209" s="45">
        <v>11699</v>
      </c>
      <c r="AC209" s="45">
        <v>11699</v>
      </c>
      <c r="AD209" s="45">
        <v>11699</v>
      </c>
      <c r="AE209" s="45">
        <v>11699</v>
      </c>
      <c r="AF209" s="45">
        <v>11599</v>
      </c>
      <c r="AG209" s="45">
        <v>11499</v>
      </c>
      <c r="AH209" s="45">
        <v>10699</v>
      </c>
      <c r="AI209" s="45">
        <v>10699</v>
      </c>
      <c r="AJ209" s="45">
        <v>10699</v>
      </c>
      <c r="AK209" s="45">
        <v>10699</v>
      </c>
      <c r="AL209" s="45">
        <v>9799</v>
      </c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">
        <v>65</v>
      </c>
      <c r="AX209" s="51" t="s">
        <v>82</v>
      </c>
    </row>
    <row r="210" spans="1:50" ht="22.5" customHeight="1">
      <c r="A210" s="52" t="s">
        <v>70</v>
      </c>
      <c r="B210" s="41" t="s">
        <v>62</v>
      </c>
      <c r="C210" s="42">
        <v>4017514</v>
      </c>
      <c r="D210" s="43" t="s">
        <v>298</v>
      </c>
      <c r="E210" s="43" t="s">
        <v>301</v>
      </c>
      <c r="F210" s="45">
        <v>12499</v>
      </c>
      <c r="G210" s="45">
        <v>9799</v>
      </c>
      <c r="H210" s="46">
        <v>11699</v>
      </c>
      <c r="I210" s="46">
        <v>11699</v>
      </c>
      <c r="J210" s="45">
        <v>11699</v>
      </c>
      <c r="K210" s="45">
        <v>11699</v>
      </c>
      <c r="L210" s="45">
        <v>11699</v>
      </c>
      <c r="M210" s="45">
        <v>11699</v>
      </c>
      <c r="N210" s="45">
        <v>11699</v>
      </c>
      <c r="O210" s="45">
        <v>11599</v>
      </c>
      <c r="P210" s="46">
        <v>11499</v>
      </c>
      <c r="Q210" s="46">
        <v>10699</v>
      </c>
      <c r="R210" s="45">
        <v>11599</v>
      </c>
      <c r="S210" s="45">
        <v>11499</v>
      </c>
      <c r="T210" s="46">
        <v>10699</v>
      </c>
      <c r="U210" s="46">
        <v>10699</v>
      </c>
      <c r="V210" s="46">
        <v>10699</v>
      </c>
      <c r="W210" s="46">
        <v>10599</v>
      </c>
      <c r="X210" s="46">
        <v>10599</v>
      </c>
      <c r="Y210" s="46">
        <v>9799</v>
      </c>
      <c r="Z210" s="46">
        <v>9799</v>
      </c>
      <c r="AA210" s="46">
        <v>9799</v>
      </c>
      <c r="AB210" s="45">
        <v>11699</v>
      </c>
      <c r="AC210" s="45">
        <v>11699</v>
      </c>
      <c r="AD210" s="45">
        <v>11699</v>
      </c>
      <c r="AE210" s="45">
        <v>11699</v>
      </c>
      <c r="AF210" s="45">
        <v>11599</v>
      </c>
      <c r="AG210" s="45">
        <v>11499</v>
      </c>
      <c r="AH210" s="45">
        <v>10699</v>
      </c>
      <c r="AI210" s="45">
        <v>10699</v>
      </c>
      <c r="AJ210" s="45">
        <v>10699</v>
      </c>
      <c r="AK210" s="45">
        <v>10699</v>
      </c>
      <c r="AL210" s="45">
        <v>9799</v>
      </c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">
        <v>65</v>
      </c>
      <c r="AX210" s="51" t="s">
        <v>82</v>
      </c>
    </row>
    <row r="211" spans="1:50" ht="22.5" customHeight="1">
      <c r="A211" s="52" t="s">
        <v>70</v>
      </c>
      <c r="B211" s="41" t="s">
        <v>62</v>
      </c>
      <c r="C211" s="42">
        <v>4017503</v>
      </c>
      <c r="D211" s="43" t="s">
        <v>302</v>
      </c>
      <c r="E211" s="43" t="s">
        <v>303</v>
      </c>
      <c r="F211" s="45">
        <v>13999</v>
      </c>
      <c r="G211" s="45">
        <v>10999</v>
      </c>
      <c r="H211" s="46">
        <v>13099</v>
      </c>
      <c r="I211" s="46">
        <v>13099</v>
      </c>
      <c r="J211" s="45">
        <v>13099</v>
      </c>
      <c r="K211" s="45">
        <v>13099</v>
      </c>
      <c r="L211" s="45">
        <v>13099</v>
      </c>
      <c r="M211" s="45">
        <v>13099</v>
      </c>
      <c r="N211" s="45">
        <v>13099</v>
      </c>
      <c r="O211" s="45">
        <v>12999</v>
      </c>
      <c r="P211" s="46">
        <v>12899</v>
      </c>
      <c r="Q211" s="46">
        <v>12099</v>
      </c>
      <c r="R211" s="45">
        <v>12999</v>
      </c>
      <c r="S211" s="45">
        <v>12899</v>
      </c>
      <c r="T211" s="46">
        <v>12099</v>
      </c>
      <c r="U211" s="46">
        <v>12099</v>
      </c>
      <c r="V211" s="46">
        <v>12099</v>
      </c>
      <c r="W211" s="46">
        <v>11999</v>
      </c>
      <c r="X211" s="46">
        <v>11999</v>
      </c>
      <c r="Y211" s="46">
        <v>10999</v>
      </c>
      <c r="Z211" s="46">
        <v>10999</v>
      </c>
      <c r="AA211" s="46">
        <v>10899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">
        <v>65</v>
      </c>
      <c r="AX211" s="51" t="s">
        <v>82</v>
      </c>
    </row>
    <row r="212" spans="1:50" ht="22.5" customHeight="1">
      <c r="A212" s="52" t="s">
        <v>70</v>
      </c>
      <c r="B212" s="41" t="s">
        <v>62</v>
      </c>
      <c r="C212" s="42">
        <v>4017520</v>
      </c>
      <c r="D212" s="43" t="s">
        <v>302</v>
      </c>
      <c r="E212" s="43" t="s">
        <v>304</v>
      </c>
      <c r="F212" s="45">
        <v>13999</v>
      </c>
      <c r="G212" s="45">
        <v>10999</v>
      </c>
      <c r="H212" s="46">
        <v>13099</v>
      </c>
      <c r="I212" s="46">
        <v>13099</v>
      </c>
      <c r="J212" s="45">
        <v>13099</v>
      </c>
      <c r="K212" s="45">
        <v>13099</v>
      </c>
      <c r="L212" s="45">
        <v>13099</v>
      </c>
      <c r="M212" s="45">
        <v>13099</v>
      </c>
      <c r="N212" s="45">
        <v>13099</v>
      </c>
      <c r="O212" s="45">
        <v>12999</v>
      </c>
      <c r="P212" s="46">
        <v>12899</v>
      </c>
      <c r="Q212" s="46">
        <v>12099</v>
      </c>
      <c r="R212" s="45">
        <v>12999</v>
      </c>
      <c r="S212" s="45">
        <v>12899</v>
      </c>
      <c r="T212" s="46">
        <v>12099</v>
      </c>
      <c r="U212" s="46">
        <v>12099</v>
      </c>
      <c r="V212" s="46">
        <v>12099</v>
      </c>
      <c r="W212" s="46">
        <v>11999</v>
      </c>
      <c r="X212" s="46">
        <v>11999</v>
      </c>
      <c r="Y212" s="46">
        <v>10999</v>
      </c>
      <c r="Z212" s="46">
        <v>10999</v>
      </c>
      <c r="AA212" s="46">
        <v>10899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">
        <v>65</v>
      </c>
      <c r="AX212" s="51" t="s">
        <v>82</v>
      </c>
    </row>
    <row r="213" spans="1:50" ht="22.5" customHeight="1">
      <c r="A213" s="52" t="s">
        <v>70</v>
      </c>
      <c r="B213" s="41" t="s">
        <v>62</v>
      </c>
      <c r="C213" s="42">
        <v>4017522</v>
      </c>
      <c r="D213" s="43" t="s">
        <v>302</v>
      </c>
      <c r="E213" s="43" t="s">
        <v>305</v>
      </c>
      <c r="F213" s="45">
        <v>13999</v>
      </c>
      <c r="G213" s="45">
        <v>10999</v>
      </c>
      <c r="H213" s="46">
        <v>13099</v>
      </c>
      <c r="I213" s="46">
        <v>13099</v>
      </c>
      <c r="J213" s="45">
        <v>13099</v>
      </c>
      <c r="K213" s="45">
        <v>13099</v>
      </c>
      <c r="L213" s="45">
        <v>13099</v>
      </c>
      <c r="M213" s="45">
        <v>13099</v>
      </c>
      <c r="N213" s="45">
        <v>13099</v>
      </c>
      <c r="O213" s="45">
        <v>12999</v>
      </c>
      <c r="P213" s="46">
        <v>12899</v>
      </c>
      <c r="Q213" s="46">
        <v>12099</v>
      </c>
      <c r="R213" s="45">
        <v>12999</v>
      </c>
      <c r="S213" s="45">
        <v>12899</v>
      </c>
      <c r="T213" s="46">
        <v>12099</v>
      </c>
      <c r="U213" s="46">
        <v>12099</v>
      </c>
      <c r="V213" s="46">
        <v>12099</v>
      </c>
      <c r="W213" s="46">
        <v>11999</v>
      </c>
      <c r="X213" s="46">
        <v>11999</v>
      </c>
      <c r="Y213" s="46">
        <v>10999</v>
      </c>
      <c r="Z213" s="46">
        <v>10999</v>
      </c>
      <c r="AA213" s="46">
        <v>10899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">
        <v>65</v>
      </c>
      <c r="AX213" s="51" t="s">
        <v>82</v>
      </c>
    </row>
    <row r="214" spans="1:50" ht="22.5" customHeight="1">
      <c r="A214" s="52" t="s">
        <v>70</v>
      </c>
      <c r="B214" s="41" t="s">
        <v>62</v>
      </c>
      <c r="C214" s="42">
        <v>4017020</v>
      </c>
      <c r="D214" s="43" t="s">
        <v>306</v>
      </c>
      <c r="E214" s="43" t="s">
        <v>307</v>
      </c>
      <c r="F214" s="45">
        <v>4999</v>
      </c>
      <c r="G214" s="45">
        <v>2399</v>
      </c>
      <c r="H214" s="46">
        <v>3399</v>
      </c>
      <c r="I214" s="46">
        <v>3399</v>
      </c>
      <c r="J214" s="46">
        <v>3299</v>
      </c>
      <c r="K214" s="46">
        <v>3299</v>
      </c>
      <c r="L214" s="46">
        <v>3299</v>
      </c>
      <c r="M214" s="46">
        <v>3299</v>
      </c>
      <c r="N214" s="46">
        <v>3299</v>
      </c>
      <c r="O214" s="46">
        <v>3249</v>
      </c>
      <c r="P214" s="46">
        <v>3199</v>
      </c>
      <c r="Q214" s="46">
        <v>2499</v>
      </c>
      <c r="R214" s="46">
        <v>3249</v>
      </c>
      <c r="S214" s="46">
        <v>3199</v>
      </c>
      <c r="T214" s="46">
        <v>2499</v>
      </c>
      <c r="U214" s="46">
        <v>2499</v>
      </c>
      <c r="V214" s="46">
        <v>2499</v>
      </c>
      <c r="W214" s="46">
        <v>2499</v>
      </c>
      <c r="X214" s="46">
        <v>2399</v>
      </c>
      <c r="Y214" s="46">
        <v>1799</v>
      </c>
      <c r="Z214" s="46">
        <v>1799</v>
      </c>
      <c r="AA214" s="46">
        <v>1799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">
        <v>65</v>
      </c>
      <c r="AX214" s="51" t="s">
        <v>82</v>
      </c>
    </row>
    <row r="215" spans="1:50" ht="22.5" customHeight="1">
      <c r="A215" s="52" t="s">
        <v>70</v>
      </c>
      <c r="B215" s="41" t="s">
        <v>62</v>
      </c>
      <c r="C215" s="42">
        <v>4017022</v>
      </c>
      <c r="D215" s="43" t="s">
        <v>306</v>
      </c>
      <c r="E215" s="43" t="s">
        <v>308</v>
      </c>
      <c r="F215" s="45">
        <v>4999</v>
      </c>
      <c r="G215" s="45">
        <v>2399</v>
      </c>
      <c r="H215" s="46">
        <v>3399</v>
      </c>
      <c r="I215" s="46">
        <v>3399</v>
      </c>
      <c r="J215" s="46">
        <v>3299</v>
      </c>
      <c r="K215" s="46">
        <v>3299</v>
      </c>
      <c r="L215" s="46">
        <v>3299</v>
      </c>
      <c r="M215" s="46">
        <v>3299</v>
      </c>
      <c r="N215" s="46">
        <v>3299</v>
      </c>
      <c r="O215" s="46">
        <v>3249</v>
      </c>
      <c r="P215" s="46">
        <v>3199</v>
      </c>
      <c r="Q215" s="46">
        <v>2499</v>
      </c>
      <c r="R215" s="46">
        <v>3249</v>
      </c>
      <c r="S215" s="46">
        <v>3199</v>
      </c>
      <c r="T215" s="46">
        <v>2499</v>
      </c>
      <c r="U215" s="46">
        <v>2499</v>
      </c>
      <c r="V215" s="46">
        <v>2499</v>
      </c>
      <c r="W215" s="46">
        <v>2499</v>
      </c>
      <c r="X215" s="46">
        <v>2399</v>
      </c>
      <c r="Y215" s="46">
        <v>1799</v>
      </c>
      <c r="Z215" s="46">
        <v>1799</v>
      </c>
      <c r="AA215" s="46">
        <v>1799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">
        <v>65</v>
      </c>
      <c r="AX215" s="51" t="s">
        <v>82</v>
      </c>
    </row>
    <row r="216" spans="1:50" ht="22.5" customHeight="1">
      <c r="A216" s="52" t="s">
        <v>70</v>
      </c>
      <c r="B216" s="41" t="s">
        <v>62</v>
      </c>
      <c r="C216" s="42">
        <v>4017045</v>
      </c>
      <c r="D216" s="43" t="s">
        <v>309</v>
      </c>
      <c r="E216" s="43" t="s">
        <v>310</v>
      </c>
      <c r="F216" s="45">
        <v>3199</v>
      </c>
      <c r="G216" s="46">
        <v>999</v>
      </c>
      <c r="H216" s="46">
        <v>1919</v>
      </c>
      <c r="I216" s="46">
        <v>1919</v>
      </c>
      <c r="J216" s="46">
        <v>1799</v>
      </c>
      <c r="K216" s="46">
        <v>1799</v>
      </c>
      <c r="L216" s="46">
        <v>1799</v>
      </c>
      <c r="M216" s="46">
        <v>1799</v>
      </c>
      <c r="N216" s="46">
        <v>1799</v>
      </c>
      <c r="O216" s="46">
        <v>1699</v>
      </c>
      <c r="P216" s="46">
        <v>1599</v>
      </c>
      <c r="Q216" s="46">
        <v>999</v>
      </c>
      <c r="R216" s="46">
        <v>1699</v>
      </c>
      <c r="S216" s="46">
        <v>1599</v>
      </c>
      <c r="T216" s="46">
        <v>999</v>
      </c>
      <c r="U216" s="46">
        <v>999</v>
      </c>
      <c r="V216" s="46">
        <v>999</v>
      </c>
      <c r="W216" s="46">
        <v>999</v>
      </c>
      <c r="X216" s="46">
        <v>999</v>
      </c>
      <c r="Y216" s="46">
        <v>799</v>
      </c>
      <c r="Z216" s="46">
        <v>799</v>
      </c>
      <c r="AA216" s="46">
        <v>799</v>
      </c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">
        <v>65</v>
      </c>
      <c r="AX216" s="51" t="s">
        <v>82</v>
      </c>
    </row>
    <row r="217" spans="1:50" ht="22.5" customHeight="1">
      <c r="A217" s="52" t="s">
        <v>70</v>
      </c>
      <c r="B217" s="41" t="s">
        <v>62</v>
      </c>
      <c r="C217" s="42">
        <v>4017047</v>
      </c>
      <c r="D217" s="43" t="s">
        <v>309</v>
      </c>
      <c r="E217" s="43" t="s">
        <v>311</v>
      </c>
      <c r="F217" s="45">
        <v>3199</v>
      </c>
      <c r="G217" s="46">
        <v>999</v>
      </c>
      <c r="H217" s="46">
        <v>1919</v>
      </c>
      <c r="I217" s="46">
        <v>1919</v>
      </c>
      <c r="J217" s="46">
        <v>1799</v>
      </c>
      <c r="K217" s="46">
        <v>1799</v>
      </c>
      <c r="L217" s="46">
        <v>1799</v>
      </c>
      <c r="M217" s="46">
        <v>1799</v>
      </c>
      <c r="N217" s="46">
        <v>1799</v>
      </c>
      <c r="O217" s="46">
        <v>1699</v>
      </c>
      <c r="P217" s="46">
        <v>1599</v>
      </c>
      <c r="Q217" s="46">
        <v>999</v>
      </c>
      <c r="R217" s="46">
        <v>1699</v>
      </c>
      <c r="S217" s="46">
        <v>1599</v>
      </c>
      <c r="T217" s="46">
        <v>999</v>
      </c>
      <c r="U217" s="46">
        <v>999</v>
      </c>
      <c r="V217" s="46">
        <v>999</v>
      </c>
      <c r="W217" s="46">
        <v>999</v>
      </c>
      <c r="X217" s="46">
        <v>999</v>
      </c>
      <c r="Y217" s="46">
        <v>799</v>
      </c>
      <c r="Z217" s="46">
        <v>799</v>
      </c>
      <c r="AA217" s="46">
        <v>799</v>
      </c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">
        <v>65</v>
      </c>
      <c r="AX217" s="51" t="s">
        <v>82</v>
      </c>
    </row>
    <row r="218" spans="1:50" ht="22.5" customHeight="1">
      <c r="A218" s="52" t="s">
        <v>70</v>
      </c>
      <c r="B218" s="41" t="s">
        <v>62</v>
      </c>
      <c r="C218" s="42">
        <v>4017758</v>
      </c>
      <c r="D218" s="43" t="s">
        <v>312</v>
      </c>
      <c r="E218" s="43" t="s">
        <v>313</v>
      </c>
      <c r="F218" s="45">
        <v>3999</v>
      </c>
      <c r="G218" s="45">
        <v>2399</v>
      </c>
      <c r="H218" s="45">
        <v>3099</v>
      </c>
      <c r="I218" s="45">
        <v>3099</v>
      </c>
      <c r="J218" s="45">
        <v>2999</v>
      </c>
      <c r="K218" s="45">
        <v>2999</v>
      </c>
      <c r="L218" s="45">
        <v>2999</v>
      </c>
      <c r="M218" s="45">
        <v>2999</v>
      </c>
      <c r="N218" s="45">
        <v>2999</v>
      </c>
      <c r="O218" s="45">
        <v>2899</v>
      </c>
      <c r="P218" s="45">
        <v>2799</v>
      </c>
      <c r="Q218" s="45">
        <v>2499</v>
      </c>
      <c r="R218" s="45">
        <v>2899</v>
      </c>
      <c r="S218" s="45">
        <v>2799</v>
      </c>
      <c r="T218" s="45">
        <v>2499</v>
      </c>
      <c r="U218" s="45">
        <v>2499</v>
      </c>
      <c r="V218" s="45">
        <v>2499</v>
      </c>
      <c r="W218" s="45">
        <v>2499</v>
      </c>
      <c r="X218" s="45">
        <v>2399</v>
      </c>
      <c r="Y218" s="45">
        <v>1999</v>
      </c>
      <c r="Z218" s="45">
        <v>1999</v>
      </c>
      <c r="AA218" s="45">
        <v>1999</v>
      </c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">
        <v>65</v>
      </c>
      <c r="AX218" s="51" t="s">
        <v>82</v>
      </c>
    </row>
    <row r="219" spans="1:50" ht="22.5" customHeight="1">
      <c r="A219" s="52" t="s">
        <v>70</v>
      </c>
      <c r="B219" s="41" t="s">
        <v>62</v>
      </c>
      <c r="C219" s="42">
        <v>4017773</v>
      </c>
      <c r="D219" s="43" t="s">
        <v>312</v>
      </c>
      <c r="E219" s="43" t="s">
        <v>314</v>
      </c>
      <c r="F219" s="45">
        <v>3999</v>
      </c>
      <c r="G219" s="45">
        <v>2399</v>
      </c>
      <c r="H219" s="45">
        <v>3099</v>
      </c>
      <c r="I219" s="45">
        <v>3099</v>
      </c>
      <c r="J219" s="45">
        <v>2999</v>
      </c>
      <c r="K219" s="45">
        <v>2999</v>
      </c>
      <c r="L219" s="45">
        <v>2999</v>
      </c>
      <c r="M219" s="45">
        <v>2999</v>
      </c>
      <c r="N219" s="45">
        <v>2999</v>
      </c>
      <c r="O219" s="45">
        <v>2899</v>
      </c>
      <c r="P219" s="45">
        <v>2799</v>
      </c>
      <c r="Q219" s="45">
        <v>2499</v>
      </c>
      <c r="R219" s="45">
        <v>2899</v>
      </c>
      <c r="S219" s="45">
        <v>2799</v>
      </c>
      <c r="T219" s="45">
        <v>2499</v>
      </c>
      <c r="U219" s="45">
        <v>2499</v>
      </c>
      <c r="V219" s="45">
        <v>2499</v>
      </c>
      <c r="W219" s="45">
        <v>2499</v>
      </c>
      <c r="X219" s="45">
        <v>2399</v>
      </c>
      <c r="Y219" s="45">
        <v>1999</v>
      </c>
      <c r="Z219" s="45">
        <v>1999</v>
      </c>
      <c r="AA219" s="45">
        <v>1999</v>
      </c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">
        <v>65</v>
      </c>
      <c r="AX219" s="51" t="s">
        <v>82</v>
      </c>
    </row>
    <row r="220" spans="1:50" ht="22.5" customHeight="1">
      <c r="A220" s="50" t="s">
        <v>61</v>
      </c>
      <c r="B220" s="41" t="s">
        <v>62</v>
      </c>
      <c r="C220" s="42">
        <v>4017200</v>
      </c>
      <c r="D220" s="43" t="s">
        <v>315</v>
      </c>
      <c r="E220" s="43" t="s">
        <v>316</v>
      </c>
      <c r="F220" s="45">
        <v>2099</v>
      </c>
      <c r="G220" s="45">
        <v>1419</v>
      </c>
      <c r="H220" s="45">
        <v>1419</v>
      </c>
      <c r="I220" s="45">
        <v>1419</v>
      </c>
      <c r="J220" s="45">
        <v>1299</v>
      </c>
      <c r="K220" s="45">
        <v>999</v>
      </c>
      <c r="L220" s="45">
        <v>999</v>
      </c>
      <c r="M220" s="45">
        <v>1299</v>
      </c>
      <c r="N220" s="45">
        <v>999</v>
      </c>
      <c r="O220" s="45">
        <v>999</v>
      </c>
      <c r="P220" s="45">
        <v>999</v>
      </c>
      <c r="Q220" s="45">
        <v>899</v>
      </c>
      <c r="R220" s="45">
        <v>999</v>
      </c>
      <c r="S220" s="45">
        <v>999</v>
      </c>
      <c r="T220" s="45">
        <v>899</v>
      </c>
      <c r="U220" s="45">
        <v>899</v>
      </c>
      <c r="V220" s="45">
        <v>899</v>
      </c>
      <c r="W220" s="45">
        <v>899</v>
      </c>
      <c r="X220" s="45">
        <v>899</v>
      </c>
      <c r="Y220" s="45">
        <v>899</v>
      </c>
      <c r="Z220" s="45">
        <v>899</v>
      </c>
      <c r="AA220" s="45">
        <v>899</v>
      </c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">
        <v>65</v>
      </c>
      <c r="AX220" s="51" t="s">
        <v>82</v>
      </c>
    </row>
    <row r="221" spans="1:50" ht="22.5" customHeight="1">
      <c r="A221" s="50" t="s">
        <v>61</v>
      </c>
      <c r="B221" s="41" t="s">
        <v>62</v>
      </c>
      <c r="C221" s="42">
        <v>4013450</v>
      </c>
      <c r="D221" s="44" t="s">
        <v>317</v>
      </c>
      <c r="E221" s="44" t="s">
        <v>318</v>
      </c>
      <c r="F221" s="45">
        <v>19</v>
      </c>
      <c r="G221" s="45">
        <v>9</v>
      </c>
      <c r="H221" s="45">
        <v>9</v>
      </c>
      <c r="I221" s="45">
        <v>9</v>
      </c>
      <c r="J221" s="45">
        <f>M221</f>
        <v>9</v>
      </c>
      <c r="K221" s="45">
        <f t="shared" ref="K221:L225" si="5">M221</f>
        <v>9</v>
      </c>
      <c r="L221" s="45">
        <f t="shared" si="5"/>
        <v>9</v>
      </c>
      <c r="M221" s="45">
        <v>9</v>
      </c>
      <c r="N221" s="45">
        <v>9</v>
      </c>
      <c r="O221" s="45">
        <f t="shared" ref="O221:Q223" si="6">R221</f>
        <v>9</v>
      </c>
      <c r="P221" s="46">
        <f t="shared" si="6"/>
        <v>9</v>
      </c>
      <c r="Q221" s="46">
        <f t="shared" si="6"/>
        <v>9</v>
      </c>
      <c r="R221" s="45">
        <v>9</v>
      </c>
      <c r="S221" s="45">
        <v>9</v>
      </c>
      <c r="T221" s="45">
        <v>9</v>
      </c>
      <c r="U221" s="45">
        <v>9</v>
      </c>
      <c r="V221" s="45">
        <v>9</v>
      </c>
      <c r="W221" s="45">
        <v>9</v>
      </c>
      <c r="X221" s="45">
        <v>9</v>
      </c>
      <c r="Y221" s="45">
        <v>9</v>
      </c>
      <c r="Z221" s="45">
        <v>9</v>
      </c>
      <c r="AA221" s="45">
        <v>9</v>
      </c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">
        <v>65</v>
      </c>
      <c r="AX221" s="51" t="s">
        <v>66</v>
      </c>
    </row>
    <row r="222" spans="1:50" ht="22.5" customHeight="1">
      <c r="A222" s="50" t="s">
        <v>61</v>
      </c>
      <c r="B222" s="41" t="s">
        <v>62</v>
      </c>
      <c r="C222" s="42">
        <v>4013752</v>
      </c>
      <c r="D222" s="44" t="s">
        <v>317</v>
      </c>
      <c r="E222" s="44" t="s">
        <v>319</v>
      </c>
      <c r="F222" s="45">
        <v>19</v>
      </c>
      <c r="G222" s="45">
        <v>9</v>
      </c>
      <c r="H222" s="45">
        <v>9</v>
      </c>
      <c r="I222" s="45">
        <v>9</v>
      </c>
      <c r="J222" s="45">
        <f>M222</f>
        <v>9</v>
      </c>
      <c r="K222" s="45">
        <f t="shared" si="5"/>
        <v>9</v>
      </c>
      <c r="L222" s="45">
        <f t="shared" si="5"/>
        <v>9</v>
      </c>
      <c r="M222" s="45">
        <v>9</v>
      </c>
      <c r="N222" s="45">
        <v>9</v>
      </c>
      <c r="O222" s="45">
        <f t="shared" si="6"/>
        <v>9</v>
      </c>
      <c r="P222" s="46">
        <f t="shared" si="6"/>
        <v>9</v>
      </c>
      <c r="Q222" s="46">
        <f t="shared" si="6"/>
        <v>9</v>
      </c>
      <c r="R222" s="45">
        <v>9</v>
      </c>
      <c r="S222" s="45">
        <v>9</v>
      </c>
      <c r="T222" s="45">
        <v>9</v>
      </c>
      <c r="U222" s="45">
        <v>9</v>
      </c>
      <c r="V222" s="45">
        <v>9</v>
      </c>
      <c r="W222" s="45">
        <v>9</v>
      </c>
      <c r="X222" s="45">
        <v>9</v>
      </c>
      <c r="Y222" s="45">
        <v>9</v>
      </c>
      <c r="Z222" s="45">
        <v>9</v>
      </c>
      <c r="AA222" s="45">
        <v>9</v>
      </c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">
        <v>65</v>
      </c>
      <c r="AX222" s="51" t="s">
        <v>66</v>
      </c>
    </row>
    <row r="223" spans="1:50" ht="22.5" customHeight="1">
      <c r="A223" s="50" t="s">
        <v>61</v>
      </c>
      <c r="B223" s="41" t="s">
        <v>62</v>
      </c>
      <c r="C223" s="42">
        <v>4012640</v>
      </c>
      <c r="D223" s="44" t="s">
        <v>320</v>
      </c>
      <c r="E223" s="44" t="s">
        <v>321</v>
      </c>
      <c r="F223" s="45">
        <v>19</v>
      </c>
      <c r="G223" s="45">
        <v>9</v>
      </c>
      <c r="H223" s="45">
        <v>9</v>
      </c>
      <c r="I223" s="45">
        <v>9</v>
      </c>
      <c r="J223" s="45">
        <f>M223</f>
        <v>9</v>
      </c>
      <c r="K223" s="45">
        <f t="shared" si="5"/>
        <v>9</v>
      </c>
      <c r="L223" s="45">
        <f t="shared" si="5"/>
        <v>9</v>
      </c>
      <c r="M223" s="45">
        <v>9</v>
      </c>
      <c r="N223" s="45">
        <v>9</v>
      </c>
      <c r="O223" s="45">
        <f t="shared" si="6"/>
        <v>9</v>
      </c>
      <c r="P223" s="46">
        <f t="shared" si="6"/>
        <v>9</v>
      </c>
      <c r="Q223" s="46">
        <f t="shared" si="6"/>
        <v>9</v>
      </c>
      <c r="R223" s="45">
        <v>9</v>
      </c>
      <c r="S223" s="45">
        <v>9</v>
      </c>
      <c r="T223" s="45">
        <v>9</v>
      </c>
      <c r="U223" s="45">
        <v>9</v>
      </c>
      <c r="V223" s="45">
        <v>9</v>
      </c>
      <c r="W223" s="45">
        <v>9</v>
      </c>
      <c r="X223" s="45">
        <v>9</v>
      </c>
      <c r="Y223" s="45">
        <v>9</v>
      </c>
      <c r="Z223" s="45">
        <v>9</v>
      </c>
      <c r="AA223" s="45">
        <v>9</v>
      </c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">
        <v>65</v>
      </c>
      <c r="AX223" s="51" t="s">
        <v>66</v>
      </c>
    </row>
    <row r="224" spans="1:50" ht="22.5" customHeight="1">
      <c r="A224" s="50" t="s">
        <v>61</v>
      </c>
      <c r="B224" s="41" t="s">
        <v>62</v>
      </c>
      <c r="C224" s="42">
        <v>4011931</v>
      </c>
      <c r="D224" s="43" t="s">
        <v>322</v>
      </c>
      <c r="E224" s="44" t="s">
        <v>323</v>
      </c>
      <c r="F224" s="45">
        <v>149</v>
      </c>
      <c r="G224" s="45">
        <v>149</v>
      </c>
      <c r="H224" s="45">
        <v>149</v>
      </c>
      <c r="I224" s="45">
        <v>149</v>
      </c>
      <c r="J224" s="45">
        <f>M224</f>
        <v>149</v>
      </c>
      <c r="K224" s="45">
        <f t="shared" si="5"/>
        <v>149</v>
      </c>
      <c r="L224" s="45">
        <f t="shared" si="5"/>
        <v>149</v>
      </c>
      <c r="M224" s="45">
        <v>149</v>
      </c>
      <c r="N224" s="45">
        <v>149</v>
      </c>
      <c r="O224" s="45"/>
      <c r="P224" s="46"/>
      <c r="Q224" s="46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">
        <v>65</v>
      </c>
      <c r="AX224" s="51" t="s">
        <v>66</v>
      </c>
    </row>
    <row r="225" spans="1:50" ht="22.5" customHeight="1">
      <c r="A225" s="50" t="s">
        <v>61</v>
      </c>
      <c r="B225" s="41" t="s">
        <v>62</v>
      </c>
      <c r="C225" s="42">
        <v>4011932</v>
      </c>
      <c r="D225" s="43" t="s">
        <v>322</v>
      </c>
      <c r="E225" s="44" t="s">
        <v>324</v>
      </c>
      <c r="F225" s="45">
        <v>149</v>
      </c>
      <c r="G225" s="45">
        <v>149</v>
      </c>
      <c r="H225" s="45">
        <v>149</v>
      </c>
      <c r="I225" s="45">
        <v>149</v>
      </c>
      <c r="J225" s="45">
        <f>M225</f>
        <v>149</v>
      </c>
      <c r="K225" s="45">
        <f t="shared" si="5"/>
        <v>149</v>
      </c>
      <c r="L225" s="45">
        <f t="shared" si="5"/>
        <v>149</v>
      </c>
      <c r="M225" s="45">
        <v>149</v>
      </c>
      <c r="N225" s="45">
        <v>149</v>
      </c>
      <c r="O225" s="45"/>
      <c r="P225" s="46"/>
      <c r="Q225" s="46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">
        <v>65</v>
      </c>
      <c r="AX225" s="51" t="s">
        <v>66</v>
      </c>
    </row>
    <row r="226" spans="1:50" ht="22.5" customHeight="1">
      <c r="A226" s="50" t="s">
        <v>61</v>
      </c>
      <c r="B226" s="41" t="s">
        <v>62</v>
      </c>
      <c r="C226" s="42">
        <v>4012941</v>
      </c>
      <c r="D226" s="43" t="s">
        <v>325</v>
      </c>
      <c r="E226" s="43" t="s">
        <v>326</v>
      </c>
      <c r="F226" s="45">
        <v>19</v>
      </c>
      <c r="G226" s="45">
        <v>9</v>
      </c>
      <c r="H226" s="45">
        <v>9</v>
      </c>
      <c r="I226" s="45">
        <v>9</v>
      </c>
      <c r="J226" s="45"/>
      <c r="K226" s="45"/>
      <c r="L226" s="45"/>
      <c r="M226" s="45"/>
      <c r="N226" s="45"/>
      <c r="O226" s="45"/>
      <c r="P226" s="46"/>
      <c r="Q226" s="46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">
        <v>65</v>
      </c>
      <c r="AX226" s="51" t="s">
        <v>66</v>
      </c>
    </row>
    <row r="227" spans="1:50" ht="22.5" customHeight="1">
      <c r="A227" s="50" t="s">
        <v>61</v>
      </c>
      <c r="B227" s="41" t="s">
        <v>62</v>
      </c>
      <c r="C227" s="42">
        <v>4012942</v>
      </c>
      <c r="D227" s="43" t="s">
        <v>325</v>
      </c>
      <c r="E227" s="43" t="s">
        <v>327</v>
      </c>
      <c r="F227" s="45">
        <v>19</v>
      </c>
      <c r="G227" s="45">
        <v>9</v>
      </c>
      <c r="H227" s="45">
        <v>9</v>
      </c>
      <c r="I227" s="45">
        <v>9</v>
      </c>
      <c r="J227" s="45"/>
      <c r="K227" s="45"/>
      <c r="L227" s="45"/>
      <c r="M227" s="45"/>
      <c r="N227" s="45"/>
      <c r="O227" s="45"/>
      <c r="P227" s="46"/>
      <c r="Q227" s="46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">
        <v>65</v>
      </c>
      <c r="AX227" s="51" t="s">
        <v>66</v>
      </c>
    </row>
    <row r="228" spans="1:50" ht="22.5" customHeight="1">
      <c r="A228" s="50" t="s">
        <v>61</v>
      </c>
      <c r="B228" s="41" t="s">
        <v>62</v>
      </c>
      <c r="C228" s="42">
        <v>4013060</v>
      </c>
      <c r="D228" s="43" t="s">
        <v>325</v>
      </c>
      <c r="E228" s="43" t="s">
        <v>328</v>
      </c>
      <c r="F228" s="45">
        <v>19</v>
      </c>
      <c r="G228" s="45">
        <v>9</v>
      </c>
      <c r="H228" s="45">
        <v>9</v>
      </c>
      <c r="I228" s="45">
        <v>9</v>
      </c>
      <c r="J228" s="45"/>
      <c r="K228" s="45"/>
      <c r="L228" s="45"/>
      <c r="M228" s="45"/>
      <c r="N228" s="45"/>
      <c r="O228" s="45"/>
      <c r="P228" s="46"/>
      <c r="Q228" s="46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">
        <v>65</v>
      </c>
      <c r="AX228" s="51" t="s">
        <v>66</v>
      </c>
    </row>
    <row r="229" spans="1:50" ht="22.5" customHeight="1">
      <c r="A229" s="50" t="s">
        <v>61</v>
      </c>
      <c r="B229" s="41" t="s">
        <v>62</v>
      </c>
      <c r="C229" s="42">
        <v>4013172</v>
      </c>
      <c r="D229" s="43" t="s">
        <v>325</v>
      </c>
      <c r="E229" s="43" t="s">
        <v>329</v>
      </c>
      <c r="F229" s="45">
        <v>19</v>
      </c>
      <c r="G229" s="45">
        <v>9</v>
      </c>
      <c r="H229" s="45">
        <v>9</v>
      </c>
      <c r="I229" s="45">
        <v>9</v>
      </c>
      <c r="J229" s="45"/>
      <c r="K229" s="45"/>
      <c r="L229" s="45"/>
      <c r="M229" s="45"/>
      <c r="N229" s="45"/>
      <c r="O229" s="45"/>
      <c r="P229" s="46"/>
      <c r="Q229" s="46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">
        <v>65</v>
      </c>
      <c r="AX229" s="51" t="s">
        <v>66</v>
      </c>
    </row>
    <row r="230" spans="1:50" ht="22.5" customHeight="1">
      <c r="A230" s="50" t="s">
        <v>61</v>
      </c>
      <c r="B230" s="41" t="s">
        <v>62</v>
      </c>
      <c r="C230" s="42">
        <v>4013162</v>
      </c>
      <c r="D230" s="43" t="s">
        <v>325</v>
      </c>
      <c r="E230" s="43" t="s">
        <v>330</v>
      </c>
      <c r="F230" s="45">
        <v>19</v>
      </c>
      <c r="G230" s="45">
        <v>9</v>
      </c>
      <c r="H230" s="45">
        <v>9</v>
      </c>
      <c r="I230" s="45">
        <v>9</v>
      </c>
      <c r="J230" s="45"/>
      <c r="K230" s="45"/>
      <c r="L230" s="45"/>
      <c r="M230" s="45"/>
      <c r="N230" s="45"/>
      <c r="O230" s="45"/>
      <c r="P230" s="46"/>
      <c r="Q230" s="46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">
        <v>65</v>
      </c>
      <c r="AX230" s="51" t="s">
        <v>66</v>
      </c>
    </row>
    <row r="231" spans="1:50" ht="22.5" customHeight="1">
      <c r="A231" s="50" t="s">
        <v>61</v>
      </c>
      <c r="B231" s="41" t="s">
        <v>62</v>
      </c>
      <c r="C231" s="42">
        <v>4013730</v>
      </c>
      <c r="D231" s="43" t="s">
        <v>331</v>
      </c>
      <c r="E231" s="43" t="s">
        <v>332</v>
      </c>
      <c r="F231" s="45">
        <v>799</v>
      </c>
      <c r="G231" s="45">
        <v>209</v>
      </c>
      <c r="H231" s="45">
        <v>209</v>
      </c>
      <c r="I231" s="45">
        <v>209</v>
      </c>
      <c r="J231" s="45"/>
      <c r="K231" s="45"/>
      <c r="L231" s="45"/>
      <c r="M231" s="45"/>
      <c r="N231" s="45"/>
      <c r="O231" s="55"/>
      <c r="P231" s="46"/>
      <c r="Q231" s="46"/>
      <c r="R231" s="5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">
        <v>65</v>
      </c>
      <c r="AX231" s="51" t="s">
        <v>66</v>
      </c>
    </row>
    <row r="232" spans="1:50" ht="22.5" customHeight="1">
      <c r="A232" s="50" t="s">
        <v>61</v>
      </c>
      <c r="B232" s="41" t="s">
        <v>62</v>
      </c>
      <c r="C232" s="42">
        <v>4013331</v>
      </c>
      <c r="D232" s="43" t="s">
        <v>333</v>
      </c>
      <c r="E232" s="43" t="s">
        <v>334</v>
      </c>
      <c r="F232" s="45">
        <v>159</v>
      </c>
      <c r="G232" s="45">
        <v>149</v>
      </c>
      <c r="H232" s="45">
        <v>149</v>
      </c>
      <c r="I232" s="45">
        <v>149</v>
      </c>
      <c r="J232" s="45"/>
      <c r="K232" s="45"/>
      <c r="L232" s="45"/>
      <c r="M232" s="45"/>
      <c r="N232" s="45"/>
      <c r="O232" s="45"/>
      <c r="P232" s="46"/>
      <c r="Q232" s="46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">
        <v>65</v>
      </c>
      <c r="AX232" s="51" t="s">
        <v>66</v>
      </c>
    </row>
    <row r="233" spans="1:50" ht="22.5" customHeight="1">
      <c r="A233" s="50" t="s">
        <v>61</v>
      </c>
      <c r="B233" s="41" t="s">
        <v>62</v>
      </c>
      <c r="C233" s="42">
        <v>4013333</v>
      </c>
      <c r="D233" s="43" t="s">
        <v>333</v>
      </c>
      <c r="E233" s="43" t="s">
        <v>335</v>
      </c>
      <c r="F233" s="45">
        <v>159</v>
      </c>
      <c r="G233" s="45">
        <v>149</v>
      </c>
      <c r="H233" s="45">
        <v>149</v>
      </c>
      <c r="I233" s="45">
        <v>149</v>
      </c>
      <c r="J233" s="45"/>
      <c r="K233" s="45"/>
      <c r="L233" s="45"/>
      <c r="M233" s="45"/>
      <c r="N233" s="45"/>
      <c r="O233" s="45"/>
      <c r="P233" s="46"/>
      <c r="Q233" s="46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">
        <v>65</v>
      </c>
      <c r="AX233" s="51" t="s">
        <v>66</v>
      </c>
    </row>
    <row r="234" spans="1:50" ht="22.5" customHeight="1">
      <c r="A234" s="50" t="s">
        <v>61</v>
      </c>
      <c r="B234" s="41" t="s">
        <v>62</v>
      </c>
      <c r="C234" s="42">
        <v>4013568</v>
      </c>
      <c r="D234" s="43" t="s">
        <v>336</v>
      </c>
      <c r="E234" s="43" t="s">
        <v>337</v>
      </c>
      <c r="F234" s="45">
        <v>19</v>
      </c>
      <c r="G234" s="45">
        <v>9</v>
      </c>
      <c r="H234" s="45">
        <v>9</v>
      </c>
      <c r="I234" s="45">
        <v>9</v>
      </c>
      <c r="J234" s="45"/>
      <c r="K234" s="45"/>
      <c r="L234" s="45"/>
      <c r="M234" s="45"/>
      <c r="N234" s="45"/>
      <c r="O234" s="45"/>
      <c r="P234" s="46"/>
      <c r="Q234" s="46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">
        <v>65</v>
      </c>
      <c r="AX234" s="51" t="s">
        <v>66</v>
      </c>
    </row>
    <row r="235" spans="1:50" ht="22.5" customHeight="1">
      <c r="A235" s="50" t="s">
        <v>61</v>
      </c>
      <c r="B235" s="41" t="s">
        <v>62</v>
      </c>
      <c r="C235" s="42">
        <v>4013770</v>
      </c>
      <c r="D235" s="43" t="s">
        <v>338</v>
      </c>
      <c r="E235" s="43" t="s">
        <v>339</v>
      </c>
      <c r="F235" s="45">
        <v>19</v>
      </c>
      <c r="G235" s="45">
        <v>9</v>
      </c>
      <c r="H235" s="45">
        <v>9</v>
      </c>
      <c r="I235" s="45">
        <v>9</v>
      </c>
      <c r="J235" s="45"/>
      <c r="K235" s="45"/>
      <c r="L235" s="45"/>
      <c r="M235" s="45"/>
      <c r="N235" s="45"/>
      <c r="O235" s="55"/>
      <c r="P235" s="46"/>
      <c r="Q235" s="46"/>
      <c r="R235" s="5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">
        <v>65</v>
      </c>
      <c r="AX235" s="51" t="s">
        <v>66</v>
      </c>
    </row>
    <row r="236" spans="1:50" ht="22.5" customHeight="1">
      <c r="A236" s="50" t="s">
        <v>61</v>
      </c>
      <c r="B236" s="41" t="s">
        <v>62</v>
      </c>
      <c r="C236" s="42">
        <v>4013771</v>
      </c>
      <c r="D236" s="43" t="s">
        <v>338</v>
      </c>
      <c r="E236" s="43" t="s">
        <v>340</v>
      </c>
      <c r="F236" s="45">
        <v>19</v>
      </c>
      <c r="G236" s="45">
        <v>9</v>
      </c>
      <c r="H236" s="45">
        <v>9</v>
      </c>
      <c r="I236" s="45">
        <v>9</v>
      </c>
      <c r="J236" s="45"/>
      <c r="K236" s="45"/>
      <c r="L236" s="45"/>
      <c r="M236" s="45"/>
      <c r="N236" s="45"/>
      <c r="O236" s="55"/>
      <c r="P236" s="46"/>
      <c r="Q236" s="46"/>
      <c r="R236" s="5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">
        <v>65</v>
      </c>
      <c r="AX236" s="51" t="s">
        <v>66</v>
      </c>
    </row>
    <row r="237" spans="1:50" ht="22.5" customHeight="1">
      <c r="A237" s="50" t="s">
        <v>61</v>
      </c>
      <c r="B237" s="41" t="s">
        <v>62</v>
      </c>
      <c r="C237" s="42">
        <v>4013776</v>
      </c>
      <c r="D237" s="43" t="s">
        <v>341</v>
      </c>
      <c r="E237" s="43" t="s">
        <v>342</v>
      </c>
      <c r="F237" s="45">
        <v>19</v>
      </c>
      <c r="G237" s="45">
        <v>9</v>
      </c>
      <c r="H237" s="45">
        <v>9</v>
      </c>
      <c r="I237" s="45">
        <v>9</v>
      </c>
      <c r="J237" s="45">
        <f>M237</f>
        <v>9</v>
      </c>
      <c r="K237" s="45">
        <f>M237</f>
        <v>9</v>
      </c>
      <c r="L237" s="45">
        <f>N237</f>
        <v>9</v>
      </c>
      <c r="M237" s="45">
        <v>9</v>
      </c>
      <c r="N237" s="45">
        <v>9</v>
      </c>
      <c r="O237" s="55">
        <f>R237</f>
        <v>9</v>
      </c>
      <c r="P237" s="46">
        <f>S237</f>
        <v>9</v>
      </c>
      <c r="Q237" s="46">
        <f>T237</f>
        <v>9</v>
      </c>
      <c r="R237" s="55">
        <v>9</v>
      </c>
      <c r="S237" s="45">
        <v>9</v>
      </c>
      <c r="T237" s="45">
        <v>9</v>
      </c>
      <c r="U237" s="45">
        <v>9</v>
      </c>
      <c r="V237" s="45">
        <v>9</v>
      </c>
      <c r="W237" s="45">
        <v>9</v>
      </c>
      <c r="X237" s="45">
        <v>9</v>
      </c>
      <c r="Y237" s="45">
        <v>9</v>
      </c>
      <c r="Z237" s="45">
        <v>9</v>
      </c>
      <c r="AA237" s="45">
        <v>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">
        <v>65</v>
      </c>
      <c r="AX237" s="51" t="s">
        <v>66</v>
      </c>
    </row>
    <row r="238" spans="1:50" ht="22.5" customHeight="1">
      <c r="A238" s="50" t="s">
        <v>61</v>
      </c>
      <c r="B238" s="41" t="s">
        <v>62</v>
      </c>
      <c r="C238" s="42">
        <v>4010572</v>
      </c>
      <c r="D238" s="56" t="s">
        <v>343</v>
      </c>
      <c r="E238" s="57" t="s">
        <v>344</v>
      </c>
      <c r="F238" s="45">
        <v>599</v>
      </c>
      <c r="G238" s="45">
        <v>599</v>
      </c>
      <c r="H238" s="46">
        <f>F238</f>
        <v>599</v>
      </c>
      <c r="I238" s="46">
        <f>G238</f>
        <v>599</v>
      </c>
      <c r="J238" s="45">
        <f t="shared" ref="J238:J300" si="7">M238</f>
        <v>599</v>
      </c>
      <c r="K238" s="45">
        <f t="shared" ref="K238:L291" si="8">M238</f>
        <v>599</v>
      </c>
      <c r="L238" s="45">
        <f t="shared" si="8"/>
        <v>599</v>
      </c>
      <c r="M238" s="45">
        <v>599</v>
      </c>
      <c r="N238" s="45">
        <v>599</v>
      </c>
      <c r="O238" s="45"/>
      <c r="P238" s="46"/>
      <c r="Q238" s="46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">
        <v>65</v>
      </c>
      <c r="AX238" s="51" t="s">
        <v>66</v>
      </c>
    </row>
    <row r="239" spans="1:50" ht="22.5" customHeight="1">
      <c r="A239" s="50" t="s">
        <v>61</v>
      </c>
      <c r="B239" s="41" t="s">
        <v>62</v>
      </c>
      <c r="C239" s="42">
        <v>4015390</v>
      </c>
      <c r="D239" s="44" t="s">
        <v>345</v>
      </c>
      <c r="E239" s="44" t="s">
        <v>346</v>
      </c>
      <c r="F239" s="45">
        <v>799</v>
      </c>
      <c r="G239" s="45">
        <v>549</v>
      </c>
      <c r="H239" s="45">
        <v>549</v>
      </c>
      <c r="I239" s="45">
        <v>549</v>
      </c>
      <c r="J239" s="45">
        <f t="shared" si="7"/>
        <v>449</v>
      </c>
      <c r="K239" s="45">
        <f t="shared" si="8"/>
        <v>449</v>
      </c>
      <c r="L239" s="45">
        <f t="shared" si="8"/>
        <v>449</v>
      </c>
      <c r="M239" s="45">
        <v>449</v>
      </c>
      <c r="N239" s="45">
        <v>449</v>
      </c>
      <c r="O239" s="45">
        <f t="shared" ref="O239:Q242" si="9">R239</f>
        <v>399</v>
      </c>
      <c r="P239" s="46">
        <f t="shared" si="9"/>
        <v>349</v>
      </c>
      <c r="Q239" s="46">
        <f t="shared" si="9"/>
        <v>299</v>
      </c>
      <c r="R239" s="45">
        <v>399</v>
      </c>
      <c r="S239" s="45">
        <v>349</v>
      </c>
      <c r="T239" s="45">
        <v>299</v>
      </c>
      <c r="U239" s="45">
        <v>299</v>
      </c>
      <c r="V239" s="45">
        <v>299</v>
      </c>
      <c r="W239" s="45">
        <v>299</v>
      </c>
      <c r="X239" s="45">
        <v>299</v>
      </c>
      <c r="Y239" s="45">
        <v>299</v>
      </c>
      <c r="Z239" s="45">
        <v>299</v>
      </c>
      <c r="AA239" s="45">
        <v>299</v>
      </c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">
        <v>65</v>
      </c>
      <c r="AX239" s="51" t="s">
        <v>66</v>
      </c>
    </row>
    <row r="240" spans="1:50" ht="22.5" customHeight="1">
      <c r="A240" s="52" t="s">
        <v>70</v>
      </c>
      <c r="B240" s="41" t="s">
        <v>62</v>
      </c>
      <c r="C240" s="42">
        <v>4014438</v>
      </c>
      <c r="D240" s="44" t="s">
        <v>347</v>
      </c>
      <c r="E240" s="44" t="s">
        <v>348</v>
      </c>
      <c r="F240" s="45">
        <v>899</v>
      </c>
      <c r="G240" s="45">
        <v>499</v>
      </c>
      <c r="H240" s="45">
        <v>899</v>
      </c>
      <c r="I240" s="45">
        <v>899</v>
      </c>
      <c r="J240" s="46">
        <f t="shared" si="7"/>
        <v>899</v>
      </c>
      <c r="K240" s="46">
        <f t="shared" si="8"/>
        <v>899</v>
      </c>
      <c r="L240" s="46">
        <f t="shared" si="8"/>
        <v>899</v>
      </c>
      <c r="M240" s="46">
        <v>899</v>
      </c>
      <c r="N240" s="46">
        <v>899</v>
      </c>
      <c r="O240" s="46">
        <f t="shared" si="9"/>
        <v>799</v>
      </c>
      <c r="P240" s="46">
        <f t="shared" si="9"/>
        <v>699</v>
      </c>
      <c r="Q240" s="46">
        <f t="shared" si="9"/>
        <v>599</v>
      </c>
      <c r="R240" s="46">
        <v>799</v>
      </c>
      <c r="S240" s="46">
        <v>699</v>
      </c>
      <c r="T240" s="46">
        <v>599</v>
      </c>
      <c r="U240" s="46">
        <v>599</v>
      </c>
      <c r="V240" s="46">
        <v>599</v>
      </c>
      <c r="W240" s="46">
        <v>599</v>
      </c>
      <c r="X240" s="46">
        <v>499</v>
      </c>
      <c r="Y240" s="46">
        <v>449</v>
      </c>
      <c r="Z240" s="46">
        <v>449</v>
      </c>
      <c r="AA240" s="46">
        <v>449</v>
      </c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">
        <v>65</v>
      </c>
      <c r="AX240" s="51" t="s">
        <v>82</v>
      </c>
    </row>
    <row r="241" spans="1:50" ht="22.5" customHeight="1">
      <c r="A241" s="52" t="s">
        <v>70</v>
      </c>
      <c r="B241" s="41" t="s">
        <v>62</v>
      </c>
      <c r="C241" s="42">
        <v>4014911</v>
      </c>
      <c r="D241" s="44" t="s">
        <v>349</v>
      </c>
      <c r="E241" s="44" t="s">
        <v>350</v>
      </c>
      <c r="F241" s="45">
        <v>899</v>
      </c>
      <c r="G241" s="45">
        <v>499</v>
      </c>
      <c r="H241" s="45">
        <v>899</v>
      </c>
      <c r="I241" s="45">
        <v>899</v>
      </c>
      <c r="J241" s="45">
        <f t="shared" si="7"/>
        <v>899</v>
      </c>
      <c r="K241" s="45">
        <f t="shared" si="8"/>
        <v>899</v>
      </c>
      <c r="L241" s="45">
        <f t="shared" si="8"/>
        <v>899</v>
      </c>
      <c r="M241" s="45">
        <v>899</v>
      </c>
      <c r="N241" s="45">
        <v>899</v>
      </c>
      <c r="O241" s="45">
        <f t="shared" si="9"/>
        <v>799</v>
      </c>
      <c r="P241" s="46">
        <f t="shared" si="9"/>
        <v>699</v>
      </c>
      <c r="Q241" s="46">
        <f t="shared" si="9"/>
        <v>599</v>
      </c>
      <c r="R241" s="45">
        <v>799</v>
      </c>
      <c r="S241" s="45">
        <v>699</v>
      </c>
      <c r="T241" s="45">
        <v>599</v>
      </c>
      <c r="U241" s="45">
        <v>599</v>
      </c>
      <c r="V241" s="45">
        <v>599</v>
      </c>
      <c r="W241" s="45">
        <v>599</v>
      </c>
      <c r="X241" s="45">
        <v>499</v>
      </c>
      <c r="Y241" s="45">
        <v>449</v>
      </c>
      <c r="Z241" s="45">
        <v>449</v>
      </c>
      <c r="AA241" s="45">
        <v>449</v>
      </c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">
        <v>65</v>
      </c>
      <c r="AX241" s="51" t="s">
        <v>82</v>
      </c>
    </row>
    <row r="242" spans="1:50" ht="22.5" customHeight="1">
      <c r="A242" s="52" t="s">
        <v>70</v>
      </c>
      <c r="B242" s="41" t="s">
        <v>62</v>
      </c>
      <c r="C242" s="42">
        <v>4014914</v>
      </c>
      <c r="D242" s="44" t="s">
        <v>349</v>
      </c>
      <c r="E242" s="44" t="s">
        <v>351</v>
      </c>
      <c r="F242" s="45">
        <v>899</v>
      </c>
      <c r="G242" s="45">
        <v>499</v>
      </c>
      <c r="H242" s="45">
        <v>899</v>
      </c>
      <c r="I242" s="45">
        <v>899</v>
      </c>
      <c r="J242" s="45">
        <f t="shared" si="7"/>
        <v>899</v>
      </c>
      <c r="K242" s="45">
        <f t="shared" si="8"/>
        <v>899</v>
      </c>
      <c r="L242" s="45">
        <f t="shared" si="8"/>
        <v>899</v>
      </c>
      <c r="M242" s="45">
        <v>899</v>
      </c>
      <c r="N242" s="45">
        <v>899</v>
      </c>
      <c r="O242" s="45">
        <f t="shared" si="9"/>
        <v>799</v>
      </c>
      <c r="P242" s="46">
        <f t="shared" si="9"/>
        <v>699</v>
      </c>
      <c r="Q242" s="46">
        <f t="shared" si="9"/>
        <v>599</v>
      </c>
      <c r="R242" s="45">
        <v>799</v>
      </c>
      <c r="S242" s="45">
        <v>699</v>
      </c>
      <c r="T242" s="45">
        <v>599</v>
      </c>
      <c r="U242" s="45">
        <v>599</v>
      </c>
      <c r="V242" s="45">
        <v>599</v>
      </c>
      <c r="W242" s="45">
        <v>599</v>
      </c>
      <c r="X242" s="45">
        <v>499</v>
      </c>
      <c r="Y242" s="45">
        <v>449</v>
      </c>
      <c r="Z242" s="45">
        <v>449</v>
      </c>
      <c r="AA242" s="45">
        <v>449</v>
      </c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">
        <v>65</v>
      </c>
      <c r="AX242" s="51" t="s">
        <v>82</v>
      </c>
    </row>
    <row r="243" spans="1:50" ht="22.5" customHeight="1">
      <c r="A243" s="52" t="s">
        <v>70</v>
      </c>
      <c r="B243" s="41" t="s">
        <v>62</v>
      </c>
      <c r="C243" s="42">
        <v>4015070</v>
      </c>
      <c r="D243" s="44" t="s">
        <v>352</v>
      </c>
      <c r="E243" s="44" t="s">
        <v>353</v>
      </c>
      <c r="F243" s="45">
        <v>3499</v>
      </c>
      <c r="G243" s="45">
        <v>799</v>
      </c>
      <c r="H243" s="45">
        <v>1099</v>
      </c>
      <c r="I243" s="45">
        <v>1099</v>
      </c>
      <c r="J243" s="45">
        <v>899</v>
      </c>
      <c r="K243" s="45">
        <v>799</v>
      </c>
      <c r="L243" s="45">
        <v>799</v>
      </c>
      <c r="M243" s="45">
        <v>899</v>
      </c>
      <c r="N243" s="45">
        <v>899</v>
      </c>
      <c r="O243" s="45">
        <v>749</v>
      </c>
      <c r="P243" s="46">
        <v>749</v>
      </c>
      <c r="Q243" s="46">
        <v>749</v>
      </c>
      <c r="R243" s="45">
        <v>749</v>
      </c>
      <c r="S243" s="45">
        <v>749</v>
      </c>
      <c r="T243" s="45">
        <v>749</v>
      </c>
      <c r="U243" s="45">
        <v>749</v>
      </c>
      <c r="V243" s="45">
        <v>749</v>
      </c>
      <c r="W243" s="45">
        <v>749</v>
      </c>
      <c r="X243" s="45">
        <v>749</v>
      </c>
      <c r="Y243" s="45">
        <v>749</v>
      </c>
      <c r="Z243" s="45">
        <v>749</v>
      </c>
      <c r="AA243" s="45">
        <v>749</v>
      </c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">
        <v>65</v>
      </c>
      <c r="AX243" s="51" t="s">
        <v>82</v>
      </c>
    </row>
    <row r="244" spans="1:50" ht="22.5" customHeight="1">
      <c r="A244" s="52" t="s">
        <v>70</v>
      </c>
      <c r="B244" s="41" t="s">
        <v>62</v>
      </c>
      <c r="C244" s="42">
        <v>4015071</v>
      </c>
      <c r="D244" s="44" t="s">
        <v>352</v>
      </c>
      <c r="E244" s="44" t="s">
        <v>354</v>
      </c>
      <c r="F244" s="45">
        <v>3499</v>
      </c>
      <c r="G244" s="45">
        <v>799</v>
      </c>
      <c r="H244" s="45">
        <v>1099</v>
      </c>
      <c r="I244" s="45">
        <v>1099</v>
      </c>
      <c r="J244" s="45">
        <v>899</v>
      </c>
      <c r="K244" s="45">
        <v>799</v>
      </c>
      <c r="L244" s="45">
        <v>799</v>
      </c>
      <c r="M244" s="45">
        <v>899</v>
      </c>
      <c r="N244" s="45">
        <v>899</v>
      </c>
      <c r="O244" s="45">
        <v>749</v>
      </c>
      <c r="P244" s="46">
        <v>749</v>
      </c>
      <c r="Q244" s="46">
        <v>749</v>
      </c>
      <c r="R244" s="45">
        <v>749</v>
      </c>
      <c r="S244" s="45">
        <v>749</v>
      </c>
      <c r="T244" s="45">
        <v>749</v>
      </c>
      <c r="U244" s="45">
        <v>749</v>
      </c>
      <c r="V244" s="45">
        <v>749</v>
      </c>
      <c r="W244" s="45">
        <v>749</v>
      </c>
      <c r="X244" s="45">
        <v>749</v>
      </c>
      <c r="Y244" s="45">
        <v>749</v>
      </c>
      <c r="Z244" s="45">
        <v>749</v>
      </c>
      <c r="AA244" s="45">
        <v>749</v>
      </c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">
        <v>65</v>
      </c>
      <c r="AX244" s="51" t="s">
        <v>82</v>
      </c>
    </row>
    <row r="245" spans="1:50" ht="22.5" customHeight="1">
      <c r="A245" s="52" t="s">
        <v>70</v>
      </c>
      <c r="B245" s="41" t="s">
        <v>62</v>
      </c>
      <c r="C245" s="42">
        <v>4014800</v>
      </c>
      <c r="D245" s="44" t="s">
        <v>355</v>
      </c>
      <c r="E245" s="44" t="s">
        <v>356</v>
      </c>
      <c r="F245" s="45">
        <v>6499</v>
      </c>
      <c r="G245" s="45">
        <v>1399</v>
      </c>
      <c r="H245" s="45">
        <v>2499</v>
      </c>
      <c r="I245" s="45">
        <v>2499</v>
      </c>
      <c r="J245" s="45">
        <f t="shared" si="7"/>
        <v>2299</v>
      </c>
      <c r="K245" s="45">
        <f t="shared" si="8"/>
        <v>2299</v>
      </c>
      <c r="L245" s="45">
        <f t="shared" si="8"/>
        <v>2299</v>
      </c>
      <c r="M245" s="45">
        <v>2299</v>
      </c>
      <c r="N245" s="45">
        <v>2299</v>
      </c>
      <c r="O245" s="45">
        <f t="shared" ref="O245:Q246" si="10">R245</f>
        <v>1899</v>
      </c>
      <c r="P245" s="46">
        <f t="shared" si="10"/>
        <v>1799</v>
      </c>
      <c r="Q245" s="46">
        <f t="shared" si="10"/>
        <v>1499</v>
      </c>
      <c r="R245" s="45">
        <v>1899</v>
      </c>
      <c r="S245" s="45">
        <v>1799</v>
      </c>
      <c r="T245" s="45">
        <v>1499</v>
      </c>
      <c r="U245" s="45">
        <v>1499</v>
      </c>
      <c r="V245" s="45">
        <v>1499</v>
      </c>
      <c r="W245" s="45">
        <v>1499</v>
      </c>
      <c r="X245" s="45">
        <v>1399</v>
      </c>
      <c r="Y245" s="45">
        <v>999</v>
      </c>
      <c r="Z245" s="45">
        <v>999</v>
      </c>
      <c r="AA245" s="45">
        <v>949</v>
      </c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">
        <v>65</v>
      </c>
      <c r="AX245" s="51" t="s">
        <v>82</v>
      </c>
    </row>
    <row r="246" spans="1:50" ht="22.5" customHeight="1">
      <c r="A246" s="52" t="s">
        <v>70</v>
      </c>
      <c r="B246" s="41" t="s">
        <v>62</v>
      </c>
      <c r="C246" s="42">
        <v>4015038</v>
      </c>
      <c r="D246" s="44" t="s">
        <v>357</v>
      </c>
      <c r="E246" s="44" t="s">
        <v>358</v>
      </c>
      <c r="F246" s="45">
        <v>6999</v>
      </c>
      <c r="G246" s="45">
        <v>1899</v>
      </c>
      <c r="H246" s="45">
        <v>2999</v>
      </c>
      <c r="I246" s="45">
        <v>2999</v>
      </c>
      <c r="J246" s="45">
        <f t="shared" si="7"/>
        <v>2799</v>
      </c>
      <c r="K246" s="45">
        <f t="shared" si="8"/>
        <v>2799</v>
      </c>
      <c r="L246" s="45">
        <f t="shared" si="8"/>
        <v>2799</v>
      </c>
      <c r="M246" s="45">
        <v>2799</v>
      </c>
      <c r="N246" s="45">
        <v>2799</v>
      </c>
      <c r="O246" s="45">
        <f t="shared" si="10"/>
        <v>2499</v>
      </c>
      <c r="P246" s="46">
        <f t="shared" si="10"/>
        <v>2299</v>
      </c>
      <c r="Q246" s="46">
        <f t="shared" si="10"/>
        <v>1999</v>
      </c>
      <c r="R246" s="45">
        <v>2499</v>
      </c>
      <c r="S246" s="45">
        <v>2299</v>
      </c>
      <c r="T246" s="45">
        <v>1999</v>
      </c>
      <c r="U246" s="45">
        <v>1999</v>
      </c>
      <c r="V246" s="45">
        <v>1999</v>
      </c>
      <c r="W246" s="45">
        <v>1999</v>
      </c>
      <c r="X246" s="45">
        <v>1899</v>
      </c>
      <c r="Y246" s="45">
        <v>1499</v>
      </c>
      <c r="Z246" s="45">
        <v>1499</v>
      </c>
      <c r="AA246" s="45">
        <v>1449</v>
      </c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">
        <v>65</v>
      </c>
      <c r="AX246" s="51" t="s">
        <v>82</v>
      </c>
    </row>
    <row r="247" spans="1:50" ht="22.5" customHeight="1">
      <c r="A247" s="52" t="s">
        <v>70</v>
      </c>
      <c r="B247" s="41" t="s">
        <v>62</v>
      </c>
      <c r="C247" s="42">
        <v>4015553</v>
      </c>
      <c r="D247" s="44" t="s">
        <v>359</v>
      </c>
      <c r="E247" s="44" t="s">
        <v>360</v>
      </c>
      <c r="F247" s="45">
        <v>3699</v>
      </c>
      <c r="G247" s="45">
        <v>1279</v>
      </c>
      <c r="H247" s="45">
        <v>2299</v>
      </c>
      <c r="I247" s="45">
        <v>2299</v>
      </c>
      <c r="J247" s="45">
        <v>1599</v>
      </c>
      <c r="K247" s="45">
        <v>1499</v>
      </c>
      <c r="L247" s="45">
        <v>1499</v>
      </c>
      <c r="M247" s="45">
        <v>1599</v>
      </c>
      <c r="N247" s="45">
        <v>1599</v>
      </c>
      <c r="O247" s="45">
        <v>1399</v>
      </c>
      <c r="P247" s="46">
        <v>1299</v>
      </c>
      <c r="Q247" s="46">
        <v>1099</v>
      </c>
      <c r="R247" s="45">
        <v>1399</v>
      </c>
      <c r="S247" s="45">
        <v>1299</v>
      </c>
      <c r="T247" s="45">
        <v>1099</v>
      </c>
      <c r="U247" s="45">
        <v>1099</v>
      </c>
      <c r="V247" s="45">
        <v>1099</v>
      </c>
      <c r="W247" s="45">
        <v>1099</v>
      </c>
      <c r="X247" s="45">
        <v>999</v>
      </c>
      <c r="Y247" s="45">
        <v>899</v>
      </c>
      <c r="Z247" s="45">
        <v>899</v>
      </c>
      <c r="AA247" s="45">
        <v>899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">
        <v>65</v>
      </c>
      <c r="AX247" s="51" t="s">
        <v>82</v>
      </c>
    </row>
    <row r="248" spans="1:50" ht="22.5" customHeight="1">
      <c r="A248" s="52" t="s">
        <v>70</v>
      </c>
      <c r="B248" s="41" t="s">
        <v>62</v>
      </c>
      <c r="C248" s="42">
        <v>4015555</v>
      </c>
      <c r="D248" s="44" t="s">
        <v>359</v>
      </c>
      <c r="E248" s="44" t="s">
        <v>361</v>
      </c>
      <c r="F248" s="45">
        <v>3699</v>
      </c>
      <c r="G248" s="45">
        <v>1279</v>
      </c>
      <c r="H248" s="45">
        <v>2299</v>
      </c>
      <c r="I248" s="45">
        <v>2299</v>
      </c>
      <c r="J248" s="45">
        <v>1599</v>
      </c>
      <c r="K248" s="45">
        <v>1499</v>
      </c>
      <c r="L248" s="45">
        <v>1499</v>
      </c>
      <c r="M248" s="45">
        <v>1599</v>
      </c>
      <c r="N248" s="45">
        <v>1599</v>
      </c>
      <c r="O248" s="45">
        <v>1399</v>
      </c>
      <c r="P248" s="46">
        <v>1299</v>
      </c>
      <c r="Q248" s="46">
        <v>1099</v>
      </c>
      <c r="R248" s="45">
        <v>1399</v>
      </c>
      <c r="S248" s="45">
        <v>1299</v>
      </c>
      <c r="T248" s="45">
        <v>1099</v>
      </c>
      <c r="U248" s="45">
        <v>1099</v>
      </c>
      <c r="V248" s="45">
        <v>1099</v>
      </c>
      <c r="W248" s="45">
        <v>1099</v>
      </c>
      <c r="X248" s="45">
        <v>999</v>
      </c>
      <c r="Y248" s="45">
        <v>899</v>
      </c>
      <c r="Z248" s="45">
        <v>899</v>
      </c>
      <c r="AA248" s="45">
        <v>899</v>
      </c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">
        <v>65</v>
      </c>
      <c r="AX248" s="51" t="s">
        <v>82</v>
      </c>
    </row>
    <row r="249" spans="1:50" ht="22.5" customHeight="1">
      <c r="A249" s="52" t="s">
        <v>70</v>
      </c>
      <c r="B249" s="41" t="s">
        <v>62</v>
      </c>
      <c r="C249" s="42">
        <v>4015692</v>
      </c>
      <c r="D249" s="44" t="s">
        <v>362</v>
      </c>
      <c r="E249" s="44" t="s">
        <v>363</v>
      </c>
      <c r="F249" s="45">
        <v>2999</v>
      </c>
      <c r="G249" s="45">
        <v>1099</v>
      </c>
      <c r="H249" s="45">
        <v>2099</v>
      </c>
      <c r="I249" s="45">
        <v>2099</v>
      </c>
      <c r="J249" s="45">
        <v>1499</v>
      </c>
      <c r="K249" s="45">
        <v>1399</v>
      </c>
      <c r="L249" s="45">
        <v>1399</v>
      </c>
      <c r="M249" s="45">
        <v>1499</v>
      </c>
      <c r="N249" s="45">
        <v>1499</v>
      </c>
      <c r="O249" s="45">
        <v>1299</v>
      </c>
      <c r="P249" s="46">
        <v>1199</v>
      </c>
      <c r="Q249" s="46">
        <v>1099</v>
      </c>
      <c r="R249" s="45">
        <v>1299</v>
      </c>
      <c r="S249" s="45">
        <v>1199</v>
      </c>
      <c r="T249" s="45">
        <v>1099</v>
      </c>
      <c r="U249" s="45">
        <v>1099</v>
      </c>
      <c r="V249" s="45">
        <v>1099</v>
      </c>
      <c r="W249" s="45">
        <v>1099</v>
      </c>
      <c r="X249" s="45">
        <v>999</v>
      </c>
      <c r="Y249" s="45">
        <v>899</v>
      </c>
      <c r="Z249" s="45">
        <v>899</v>
      </c>
      <c r="AA249" s="45">
        <v>899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">
        <v>65</v>
      </c>
      <c r="AX249" s="51" t="s">
        <v>82</v>
      </c>
    </row>
    <row r="250" spans="1:50" ht="22.5" customHeight="1">
      <c r="A250" s="52" t="s">
        <v>70</v>
      </c>
      <c r="B250" s="41" t="s">
        <v>62</v>
      </c>
      <c r="C250" s="42">
        <v>4016016</v>
      </c>
      <c r="D250" s="44" t="s">
        <v>362</v>
      </c>
      <c r="E250" s="44" t="s">
        <v>364</v>
      </c>
      <c r="F250" s="45">
        <v>2999</v>
      </c>
      <c r="G250" s="45">
        <v>1099</v>
      </c>
      <c r="H250" s="45">
        <v>2099</v>
      </c>
      <c r="I250" s="45">
        <v>2099</v>
      </c>
      <c r="J250" s="45">
        <v>1499</v>
      </c>
      <c r="K250" s="45">
        <v>1399</v>
      </c>
      <c r="L250" s="45">
        <v>1399</v>
      </c>
      <c r="M250" s="45">
        <v>1499</v>
      </c>
      <c r="N250" s="45">
        <v>1499</v>
      </c>
      <c r="O250" s="45">
        <v>1299</v>
      </c>
      <c r="P250" s="46">
        <v>1199</v>
      </c>
      <c r="Q250" s="46">
        <v>1099</v>
      </c>
      <c r="R250" s="45">
        <v>1299</v>
      </c>
      <c r="S250" s="45">
        <v>1199</v>
      </c>
      <c r="T250" s="45">
        <v>1099</v>
      </c>
      <c r="U250" s="45">
        <v>1099</v>
      </c>
      <c r="V250" s="45">
        <v>1099</v>
      </c>
      <c r="W250" s="45">
        <v>1099</v>
      </c>
      <c r="X250" s="45">
        <v>999</v>
      </c>
      <c r="Y250" s="45">
        <v>899</v>
      </c>
      <c r="Z250" s="45">
        <v>899</v>
      </c>
      <c r="AA250" s="45">
        <v>899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">
        <v>65</v>
      </c>
      <c r="AX250" s="51" t="s">
        <v>82</v>
      </c>
    </row>
    <row r="251" spans="1:50" ht="22.5" customHeight="1">
      <c r="A251" s="52" t="s">
        <v>70</v>
      </c>
      <c r="B251" s="41" t="s">
        <v>62</v>
      </c>
      <c r="C251" s="42">
        <v>4016501</v>
      </c>
      <c r="D251" s="44" t="s">
        <v>365</v>
      </c>
      <c r="E251" s="44" t="s">
        <v>366</v>
      </c>
      <c r="F251" s="45">
        <v>3299</v>
      </c>
      <c r="G251" s="45">
        <v>1399</v>
      </c>
      <c r="H251" s="45">
        <v>2499</v>
      </c>
      <c r="I251" s="45">
        <v>2499</v>
      </c>
      <c r="J251" s="45">
        <v>2199</v>
      </c>
      <c r="K251" s="45">
        <v>1999</v>
      </c>
      <c r="L251" s="45">
        <v>1999</v>
      </c>
      <c r="M251" s="45">
        <v>2199</v>
      </c>
      <c r="N251" s="45">
        <v>1999</v>
      </c>
      <c r="O251" s="45">
        <v>1899</v>
      </c>
      <c r="P251" s="46">
        <v>1799</v>
      </c>
      <c r="Q251" s="46">
        <v>1299</v>
      </c>
      <c r="R251" s="45">
        <v>1899</v>
      </c>
      <c r="S251" s="45">
        <v>1799</v>
      </c>
      <c r="T251" s="45">
        <v>1299</v>
      </c>
      <c r="U251" s="45">
        <v>1299</v>
      </c>
      <c r="V251" s="45">
        <v>1299</v>
      </c>
      <c r="W251" s="45">
        <v>1299</v>
      </c>
      <c r="X251" s="45">
        <v>1199</v>
      </c>
      <c r="Y251" s="45">
        <v>799</v>
      </c>
      <c r="Z251" s="45">
        <v>799</v>
      </c>
      <c r="AA251" s="45">
        <v>799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">
        <v>65</v>
      </c>
      <c r="AX251" s="51" t="s">
        <v>82</v>
      </c>
    </row>
    <row r="252" spans="1:50" ht="22.5" customHeight="1">
      <c r="A252" s="52" t="s">
        <v>70</v>
      </c>
      <c r="B252" s="41" t="s">
        <v>62</v>
      </c>
      <c r="C252" s="42">
        <v>4016503</v>
      </c>
      <c r="D252" s="44" t="s">
        <v>365</v>
      </c>
      <c r="E252" s="44" t="s">
        <v>367</v>
      </c>
      <c r="F252" s="45">
        <v>3299</v>
      </c>
      <c r="G252" s="45">
        <v>1399</v>
      </c>
      <c r="H252" s="45">
        <v>2499</v>
      </c>
      <c r="I252" s="45">
        <v>2499</v>
      </c>
      <c r="J252" s="45">
        <v>2199</v>
      </c>
      <c r="K252" s="45">
        <v>1999</v>
      </c>
      <c r="L252" s="45">
        <v>1999</v>
      </c>
      <c r="M252" s="45">
        <v>2199</v>
      </c>
      <c r="N252" s="45">
        <v>1999</v>
      </c>
      <c r="O252" s="45">
        <v>1899</v>
      </c>
      <c r="P252" s="46">
        <v>1799</v>
      </c>
      <c r="Q252" s="46">
        <v>1299</v>
      </c>
      <c r="R252" s="45">
        <v>1899</v>
      </c>
      <c r="S252" s="45">
        <v>1799</v>
      </c>
      <c r="T252" s="45">
        <v>1299</v>
      </c>
      <c r="U252" s="45">
        <v>1299</v>
      </c>
      <c r="V252" s="45">
        <v>1299</v>
      </c>
      <c r="W252" s="45">
        <v>1299</v>
      </c>
      <c r="X252" s="45">
        <v>1199</v>
      </c>
      <c r="Y252" s="45">
        <v>799</v>
      </c>
      <c r="Z252" s="45">
        <v>799</v>
      </c>
      <c r="AA252" s="45">
        <v>799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">
        <v>65</v>
      </c>
      <c r="AX252" s="51" t="s">
        <v>82</v>
      </c>
    </row>
    <row r="253" spans="1:50" ht="22.5" customHeight="1">
      <c r="A253" s="52" t="s">
        <v>70</v>
      </c>
      <c r="B253" s="41" t="s">
        <v>62</v>
      </c>
      <c r="C253" s="42">
        <v>4016505</v>
      </c>
      <c r="D253" s="44" t="s">
        <v>365</v>
      </c>
      <c r="E253" s="44" t="s">
        <v>368</v>
      </c>
      <c r="F253" s="45">
        <v>3299</v>
      </c>
      <c r="G253" s="45">
        <v>1399</v>
      </c>
      <c r="H253" s="45">
        <v>2499</v>
      </c>
      <c r="I253" s="45">
        <v>2499</v>
      </c>
      <c r="J253" s="45">
        <v>2199</v>
      </c>
      <c r="K253" s="45">
        <v>1999</v>
      </c>
      <c r="L253" s="45">
        <v>1999</v>
      </c>
      <c r="M253" s="45">
        <v>2199</v>
      </c>
      <c r="N253" s="45">
        <v>1999</v>
      </c>
      <c r="O253" s="45">
        <v>1899</v>
      </c>
      <c r="P253" s="46">
        <v>1799</v>
      </c>
      <c r="Q253" s="46">
        <v>1299</v>
      </c>
      <c r="R253" s="45">
        <v>1899</v>
      </c>
      <c r="S253" s="45">
        <v>1799</v>
      </c>
      <c r="T253" s="45">
        <v>1299</v>
      </c>
      <c r="U253" s="45">
        <v>1299</v>
      </c>
      <c r="V253" s="45">
        <v>1299</v>
      </c>
      <c r="W253" s="45">
        <v>1299</v>
      </c>
      <c r="X253" s="45">
        <v>1199</v>
      </c>
      <c r="Y253" s="45">
        <v>799</v>
      </c>
      <c r="Z253" s="45">
        <v>799</v>
      </c>
      <c r="AA253" s="45">
        <v>799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">
        <v>65</v>
      </c>
      <c r="AX253" s="51" t="s">
        <v>82</v>
      </c>
    </row>
    <row r="254" spans="1:50" ht="22" customHeight="1">
      <c r="A254" s="52" t="s">
        <v>70</v>
      </c>
      <c r="B254" s="41" t="s">
        <v>62</v>
      </c>
      <c r="C254" s="42">
        <v>4016284</v>
      </c>
      <c r="D254" s="44" t="s">
        <v>369</v>
      </c>
      <c r="E254" s="44" t="s">
        <v>370</v>
      </c>
      <c r="F254" s="45">
        <v>2999</v>
      </c>
      <c r="G254" s="45">
        <v>1199</v>
      </c>
      <c r="H254" s="45">
        <v>2299</v>
      </c>
      <c r="I254" s="45">
        <v>2299</v>
      </c>
      <c r="J254" s="45">
        <v>1799</v>
      </c>
      <c r="K254" s="45">
        <v>1799</v>
      </c>
      <c r="L254" s="45">
        <v>1799</v>
      </c>
      <c r="M254" s="45">
        <v>1799</v>
      </c>
      <c r="N254" s="45">
        <v>1799</v>
      </c>
      <c r="O254" s="45">
        <v>1699</v>
      </c>
      <c r="P254" s="46">
        <v>1649</v>
      </c>
      <c r="Q254" s="46">
        <v>1299</v>
      </c>
      <c r="R254" s="45">
        <v>1699</v>
      </c>
      <c r="S254" s="45">
        <v>1649</v>
      </c>
      <c r="T254" s="45">
        <v>1299</v>
      </c>
      <c r="U254" s="45">
        <v>1299</v>
      </c>
      <c r="V254" s="45">
        <v>1299</v>
      </c>
      <c r="W254" s="45">
        <v>1299</v>
      </c>
      <c r="X254" s="45">
        <v>1199</v>
      </c>
      <c r="Y254" s="45">
        <v>1199</v>
      </c>
      <c r="Z254" s="45">
        <v>1199</v>
      </c>
      <c r="AA254" s="45">
        <v>1199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">
        <v>65</v>
      </c>
      <c r="AX254" s="51" t="s">
        <v>82</v>
      </c>
    </row>
    <row r="255" spans="1:50" ht="22" customHeight="1">
      <c r="A255" s="52" t="s">
        <v>70</v>
      </c>
      <c r="B255" s="41" t="s">
        <v>62</v>
      </c>
      <c r="C255" s="42">
        <v>4016285</v>
      </c>
      <c r="D255" s="44" t="s">
        <v>369</v>
      </c>
      <c r="E255" s="44" t="s">
        <v>371</v>
      </c>
      <c r="F255" s="45">
        <v>2999</v>
      </c>
      <c r="G255" s="45">
        <v>1199</v>
      </c>
      <c r="H255" s="45">
        <v>2299</v>
      </c>
      <c r="I255" s="45">
        <v>2299</v>
      </c>
      <c r="J255" s="45">
        <v>1799</v>
      </c>
      <c r="K255" s="45">
        <v>1799</v>
      </c>
      <c r="L255" s="45">
        <v>1799</v>
      </c>
      <c r="M255" s="45">
        <v>1799</v>
      </c>
      <c r="N255" s="45">
        <v>1799</v>
      </c>
      <c r="O255" s="45">
        <v>1699</v>
      </c>
      <c r="P255" s="46">
        <v>1649</v>
      </c>
      <c r="Q255" s="46">
        <v>1299</v>
      </c>
      <c r="R255" s="45">
        <v>1699</v>
      </c>
      <c r="S255" s="45">
        <v>1649</v>
      </c>
      <c r="T255" s="45">
        <v>1299</v>
      </c>
      <c r="U255" s="45">
        <v>1299</v>
      </c>
      <c r="V255" s="45">
        <v>1299</v>
      </c>
      <c r="W255" s="45">
        <v>1299</v>
      </c>
      <c r="X255" s="45">
        <v>1199</v>
      </c>
      <c r="Y255" s="45">
        <v>1199</v>
      </c>
      <c r="Z255" s="45">
        <v>1199</v>
      </c>
      <c r="AA255" s="45">
        <v>1199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">
        <v>65</v>
      </c>
      <c r="AX255" s="51" t="s">
        <v>82</v>
      </c>
    </row>
    <row r="256" spans="1:50" ht="22" customHeight="1">
      <c r="A256" s="52" t="s">
        <v>70</v>
      </c>
      <c r="B256" s="41" t="s">
        <v>62</v>
      </c>
      <c r="C256" s="42">
        <v>4016922</v>
      </c>
      <c r="D256" s="44" t="s">
        <v>372</v>
      </c>
      <c r="E256" s="44" t="s">
        <v>373</v>
      </c>
      <c r="F256" s="45">
        <v>2999</v>
      </c>
      <c r="G256" s="46">
        <v>1499</v>
      </c>
      <c r="H256" s="46">
        <v>2499</v>
      </c>
      <c r="I256" s="46">
        <v>2499</v>
      </c>
      <c r="J256" s="46">
        <v>2399</v>
      </c>
      <c r="K256" s="46">
        <v>2399</v>
      </c>
      <c r="L256" s="46">
        <v>2399</v>
      </c>
      <c r="M256" s="46">
        <v>2399</v>
      </c>
      <c r="N256" s="46">
        <v>2399</v>
      </c>
      <c r="O256" s="46">
        <v>2299</v>
      </c>
      <c r="P256" s="46">
        <v>2199</v>
      </c>
      <c r="Q256" s="46">
        <v>1499</v>
      </c>
      <c r="R256" s="46">
        <v>2299</v>
      </c>
      <c r="S256" s="46">
        <v>2199</v>
      </c>
      <c r="T256" s="46">
        <v>1499</v>
      </c>
      <c r="U256" s="46">
        <v>1499</v>
      </c>
      <c r="V256" s="46">
        <v>1499</v>
      </c>
      <c r="W256" s="46">
        <v>1499</v>
      </c>
      <c r="X256" s="46">
        <v>1399</v>
      </c>
      <c r="Y256" s="46">
        <v>1199</v>
      </c>
      <c r="Z256" s="46">
        <v>1199</v>
      </c>
      <c r="AA256" s="46">
        <v>1199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">
        <v>65</v>
      </c>
      <c r="AX256" s="51" t="s">
        <v>82</v>
      </c>
    </row>
    <row r="257" spans="1:50" ht="22" customHeight="1">
      <c r="A257" s="52" t="s">
        <v>70</v>
      </c>
      <c r="B257" s="41" t="s">
        <v>62</v>
      </c>
      <c r="C257" s="42">
        <v>4016923</v>
      </c>
      <c r="D257" s="44" t="s">
        <v>372</v>
      </c>
      <c r="E257" s="44" t="s">
        <v>374</v>
      </c>
      <c r="F257" s="45">
        <v>2999</v>
      </c>
      <c r="G257" s="46">
        <v>1499</v>
      </c>
      <c r="H257" s="46">
        <v>2499</v>
      </c>
      <c r="I257" s="46">
        <v>2499</v>
      </c>
      <c r="J257" s="46">
        <v>2399</v>
      </c>
      <c r="K257" s="46">
        <v>2399</v>
      </c>
      <c r="L257" s="46">
        <v>2399</v>
      </c>
      <c r="M257" s="46">
        <v>2399</v>
      </c>
      <c r="N257" s="46">
        <v>2399</v>
      </c>
      <c r="O257" s="46">
        <v>2299</v>
      </c>
      <c r="P257" s="46">
        <v>2199</v>
      </c>
      <c r="Q257" s="46">
        <v>1499</v>
      </c>
      <c r="R257" s="46">
        <v>2299</v>
      </c>
      <c r="S257" s="46">
        <v>2199</v>
      </c>
      <c r="T257" s="46">
        <v>1499</v>
      </c>
      <c r="U257" s="46">
        <v>1499</v>
      </c>
      <c r="V257" s="46">
        <v>1499</v>
      </c>
      <c r="W257" s="46">
        <v>1499</v>
      </c>
      <c r="X257" s="46">
        <v>1399</v>
      </c>
      <c r="Y257" s="46">
        <v>1199</v>
      </c>
      <c r="Z257" s="46">
        <v>1199</v>
      </c>
      <c r="AA257" s="46">
        <v>1199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">
        <v>65</v>
      </c>
      <c r="AX257" s="51" t="s">
        <v>82</v>
      </c>
    </row>
    <row r="258" spans="1:50" ht="22" customHeight="1">
      <c r="A258" s="52" t="s">
        <v>70</v>
      </c>
      <c r="B258" s="41" t="s">
        <v>62</v>
      </c>
      <c r="C258" s="42">
        <v>4017420</v>
      </c>
      <c r="D258" s="58" t="s">
        <v>375</v>
      </c>
      <c r="E258" s="44" t="s">
        <v>376</v>
      </c>
      <c r="F258" s="45">
        <v>3999</v>
      </c>
      <c r="G258" s="45">
        <v>999</v>
      </c>
      <c r="H258" s="45">
        <v>2799</v>
      </c>
      <c r="I258" s="45">
        <v>2799</v>
      </c>
      <c r="J258" s="45">
        <v>2699</v>
      </c>
      <c r="K258" s="45">
        <v>2699</v>
      </c>
      <c r="L258" s="45">
        <v>2699</v>
      </c>
      <c r="M258" s="45">
        <v>2699</v>
      </c>
      <c r="N258" s="45">
        <v>2699</v>
      </c>
      <c r="O258" s="45">
        <v>2399</v>
      </c>
      <c r="P258" s="46">
        <v>2299</v>
      </c>
      <c r="Q258" s="46">
        <v>1499</v>
      </c>
      <c r="R258" s="45">
        <v>2399</v>
      </c>
      <c r="S258" s="45">
        <v>2299</v>
      </c>
      <c r="T258" s="45">
        <v>1499</v>
      </c>
      <c r="U258" s="45">
        <v>1499</v>
      </c>
      <c r="V258" s="45">
        <v>1499</v>
      </c>
      <c r="W258" s="45">
        <v>1499</v>
      </c>
      <c r="X258" s="45">
        <v>1399</v>
      </c>
      <c r="Y258" s="59">
        <v>1299</v>
      </c>
      <c r="Z258" s="59">
        <v>1299</v>
      </c>
      <c r="AA258" s="59">
        <v>1299</v>
      </c>
      <c r="AB258" s="45">
        <v>2699</v>
      </c>
      <c r="AC258" s="45">
        <v>2699</v>
      </c>
      <c r="AD258" s="45">
        <v>2699</v>
      </c>
      <c r="AE258" s="45">
        <v>2699</v>
      </c>
      <c r="AF258" s="45">
        <v>2399</v>
      </c>
      <c r="AG258" s="45">
        <v>2299</v>
      </c>
      <c r="AH258" s="45">
        <v>1499</v>
      </c>
      <c r="AI258" s="45">
        <v>1499</v>
      </c>
      <c r="AJ258" s="45">
        <v>1499</v>
      </c>
      <c r="AK258" s="45">
        <v>1499</v>
      </c>
      <c r="AL258" s="59">
        <v>1299</v>
      </c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">
        <v>65</v>
      </c>
      <c r="AX258" s="51" t="s">
        <v>82</v>
      </c>
    </row>
    <row r="259" spans="1:50" ht="22" customHeight="1">
      <c r="A259" s="52" t="s">
        <v>70</v>
      </c>
      <c r="B259" s="41" t="s">
        <v>62</v>
      </c>
      <c r="C259" s="42">
        <v>4017415</v>
      </c>
      <c r="D259" s="58" t="s">
        <v>375</v>
      </c>
      <c r="E259" s="44" t="s">
        <v>377</v>
      </c>
      <c r="F259" s="45">
        <v>3999</v>
      </c>
      <c r="G259" s="45">
        <v>999</v>
      </c>
      <c r="H259" s="45">
        <v>2799</v>
      </c>
      <c r="I259" s="45">
        <v>2799</v>
      </c>
      <c r="J259" s="45">
        <v>2699</v>
      </c>
      <c r="K259" s="45">
        <v>2699</v>
      </c>
      <c r="L259" s="45">
        <v>2699</v>
      </c>
      <c r="M259" s="45">
        <v>2699</v>
      </c>
      <c r="N259" s="45">
        <v>2699</v>
      </c>
      <c r="O259" s="45">
        <v>2399</v>
      </c>
      <c r="P259" s="46">
        <v>2299</v>
      </c>
      <c r="Q259" s="46">
        <v>1499</v>
      </c>
      <c r="R259" s="45">
        <v>2399</v>
      </c>
      <c r="S259" s="45">
        <v>2299</v>
      </c>
      <c r="T259" s="45">
        <v>1499</v>
      </c>
      <c r="U259" s="45">
        <v>1499</v>
      </c>
      <c r="V259" s="45">
        <v>1499</v>
      </c>
      <c r="W259" s="45">
        <v>1499</v>
      </c>
      <c r="X259" s="45">
        <v>1399</v>
      </c>
      <c r="Y259" s="59">
        <v>1299</v>
      </c>
      <c r="Z259" s="59">
        <v>1299</v>
      </c>
      <c r="AA259" s="59">
        <v>1299</v>
      </c>
      <c r="AB259" s="45">
        <v>2699</v>
      </c>
      <c r="AC259" s="45">
        <v>2699</v>
      </c>
      <c r="AD259" s="45">
        <v>2699</v>
      </c>
      <c r="AE259" s="45">
        <v>2699</v>
      </c>
      <c r="AF259" s="45">
        <v>2399</v>
      </c>
      <c r="AG259" s="45">
        <v>2299</v>
      </c>
      <c r="AH259" s="45">
        <v>1499</v>
      </c>
      <c r="AI259" s="45">
        <v>1499</v>
      </c>
      <c r="AJ259" s="45">
        <v>1499</v>
      </c>
      <c r="AK259" s="45">
        <v>1499</v>
      </c>
      <c r="AL259" s="59">
        <v>1299</v>
      </c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">
        <v>65</v>
      </c>
      <c r="AX259" s="51" t="s">
        <v>82</v>
      </c>
    </row>
    <row r="260" spans="1:50" ht="22" customHeight="1">
      <c r="A260" s="52" t="s">
        <v>70</v>
      </c>
      <c r="B260" s="41" t="s">
        <v>62</v>
      </c>
      <c r="C260" s="42">
        <v>4017041</v>
      </c>
      <c r="D260" s="44" t="s">
        <v>378</v>
      </c>
      <c r="E260" s="44" t="s">
        <v>379</v>
      </c>
      <c r="F260" s="45">
        <v>4999</v>
      </c>
      <c r="G260" s="45">
        <v>2599</v>
      </c>
      <c r="H260" s="45">
        <v>3759</v>
      </c>
      <c r="I260" s="45">
        <v>3759</v>
      </c>
      <c r="J260" s="45">
        <v>3699</v>
      </c>
      <c r="K260" s="45">
        <v>3599</v>
      </c>
      <c r="L260" s="45">
        <v>3599</v>
      </c>
      <c r="M260" s="45">
        <v>3699</v>
      </c>
      <c r="N260" s="45">
        <v>3599</v>
      </c>
      <c r="O260" s="45">
        <v>3499</v>
      </c>
      <c r="P260" s="46">
        <v>3399</v>
      </c>
      <c r="Q260" s="46">
        <v>2799</v>
      </c>
      <c r="R260" s="45">
        <v>3499</v>
      </c>
      <c r="S260" s="45">
        <v>3399</v>
      </c>
      <c r="T260" s="45">
        <v>2799</v>
      </c>
      <c r="U260" s="45">
        <v>2799</v>
      </c>
      <c r="V260" s="45">
        <v>2799</v>
      </c>
      <c r="W260" s="45">
        <v>2799</v>
      </c>
      <c r="X260" s="45">
        <v>2599</v>
      </c>
      <c r="Y260" s="45">
        <v>1799</v>
      </c>
      <c r="Z260" s="45">
        <v>1799</v>
      </c>
      <c r="AA260" s="45">
        <v>1799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">
        <v>65</v>
      </c>
      <c r="AX260" s="51" t="s">
        <v>82</v>
      </c>
    </row>
    <row r="261" spans="1:50" ht="22" customHeight="1">
      <c r="A261" s="52" t="s">
        <v>70</v>
      </c>
      <c r="B261" s="41" t="s">
        <v>62</v>
      </c>
      <c r="C261" s="42">
        <v>4017646</v>
      </c>
      <c r="D261" s="44" t="s">
        <v>380</v>
      </c>
      <c r="E261" s="44" t="s">
        <v>381</v>
      </c>
      <c r="F261" s="45">
        <v>4999</v>
      </c>
      <c r="G261" s="45">
        <v>4399</v>
      </c>
      <c r="H261" s="45">
        <v>4999</v>
      </c>
      <c r="I261" s="45">
        <v>4999</v>
      </c>
      <c r="J261" s="45">
        <v>4899</v>
      </c>
      <c r="K261" s="45">
        <v>4899</v>
      </c>
      <c r="L261" s="45">
        <v>4899</v>
      </c>
      <c r="M261" s="45">
        <v>4899</v>
      </c>
      <c r="N261" s="45">
        <v>4899</v>
      </c>
      <c r="O261" s="45">
        <v>4799</v>
      </c>
      <c r="P261" s="46">
        <v>4699</v>
      </c>
      <c r="Q261" s="46">
        <v>4499</v>
      </c>
      <c r="R261" s="45">
        <v>4799</v>
      </c>
      <c r="S261" s="45">
        <v>4699</v>
      </c>
      <c r="T261" s="45">
        <v>4499</v>
      </c>
      <c r="U261" s="45">
        <v>4499</v>
      </c>
      <c r="V261" s="45">
        <v>4499</v>
      </c>
      <c r="W261" s="45">
        <v>4499</v>
      </c>
      <c r="X261" s="45">
        <v>4399</v>
      </c>
      <c r="Y261" s="45">
        <v>3999</v>
      </c>
      <c r="Z261" s="45">
        <v>3999</v>
      </c>
      <c r="AA261" s="45">
        <v>3999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">
        <v>65</v>
      </c>
      <c r="AX261" s="51" t="s">
        <v>82</v>
      </c>
    </row>
    <row r="262" spans="1:50" ht="22" customHeight="1">
      <c r="A262" s="52" t="s">
        <v>70</v>
      </c>
      <c r="B262" s="41" t="s">
        <v>62</v>
      </c>
      <c r="C262" s="42">
        <v>4017644</v>
      </c>
      <c r="D262" s="44" t="s">
        <v>380</v>
      </c>
      <c r="E262" s="44" t="s">
        <v>382</v>
      </c>
      <c r="F262" s="45">
        <v>4999</v>
      </c>
      <c r="G262" s="45">
        <v>4399</v>
      </c>
      <c r="H262" s="45">
        <v>4999</v>
      </c>
      <c r="I262" s="45">
        <v>4999</v>
      </c>
      <c r="J262" s="45">
        <v>4899</v>
      </c>
      <c r="K262" s="45">
        <v>4899</v>
      </c>
      <c r="L262" s="45">
        <v>4899</v>
      </c>
      <c r="M262" s="45">
        <v>4899</v>
      </c>
      <c r="N262" s="45">
        <v>4899</v>
      </c>
      <c r="O262" s="45">
        <v>4799</v>
      </c>
      <c r="P262" s="46">
        <v>4699</v>
      </c>
      <c r="Q262" s="46">
        <v>4499</v>
      </c>
      <c r="R262" s="45">
        <v>4799</v>
      </c>
      <c r="S262" s="45">
        <v>4699</v>
      </c>
      <c r="T262" s="45">
        <v>4499</v>
      </c>
      <c r="U262" s="45">
        <v>4499</v>
      </c>
      <c r="V262" s="45">
        <v>4499</v>
      </c>
      <c r="W262" s="45">
        <v>4499</v>
      </c>
      <c r="X262" s="45">
        <v>4399</v>
      </c>
      <c r="Y262" s="45">
        <v>3999</v>
      </c>
      <c r="Z262" s="45">
        <v>3999</v>
      </c>
      <c r="AA262" s="45">
        <v>3999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">
        <v>65</v>
      </c>
      <c r="AX262" s="51" t="s">
        <v>82</v>
      </c>
    </row>
    <row r="263" spans="1:50" ht="22" customHeight="1">
      <c r="A263" s="50" t="s">
        <v>61</v>
      </c>
      <c r="B263" s="41" t="s">
        <v>62</v>
      </c>
      <c r="C263" s="42">
        <v>4014113</v>
      </c>
      <c r="D263" s="44" t="s">
        <v>383</v>
      </c>
      <c r="E263" s="44" t="s">
        <v>384</v>
      </c>
      <c r="F263" s="45">
        <v>59</v>
      </c>
      <c r="G263" s="45">
        <v>49</v>
      </c>
      <c r="H263" s="45">
        <v>49</v>
      </c>
      <c r="I263" s="45">
        <v>49</v>
      </c>
      <c r="J263" s="45">
        <f t="shared" si="7"/>
        <v>49</v>
      </c>
      <c r="K263" s="45">
        <f t="shared" si="8"/>
        <v>49</v>
      </c>
      <c r="L263" s="45">
        <f t="shared" si="8"/>
        <v>49</v>
      </c>
      <c r="M263" s="45">
        <v>49</v>
      </c>
      <c r="N263" s="45">
        <v>49</v>
      </c>
      <c r="O263" s="45">
        <f t="shared" ref="O263:Q265" si="11">R263</f>
        <v>49</v>
      </c>
      <c r="P263" s="46">
        <f t="shared" si="11"/>
        <v>49</v>
      </c>
      <c r="Q263" s="46">
        <f t="shared" si="11"/>
        <v>49</v>
      </c>
      <c r="R263" s="45">
        <v>49</v>
      </c>
      <c r="S263" s="45">
        <v>49</v>
      </c>
      <c r="T263" s="45">
        <v>49</v>
      </c>
      <c r="U263" s="45">
        <v>49</v>
      </c>
      <c r="V263" s="45">
        <v>49</v>
      </c>
      <c r="W263" s="45">
        <v>49</v>
      </c>
      <c r="X263" s="45">
        <v>49</v>
      </c>
      <c r="Y263" s="45">
        <v>49</v>
      </c>
      <c r="Z263" s="45">
        <v>49</v>
      </c>
      <c r="AA263" s="45">
        <v>49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">
        <v>65</v>
      </c>
      <c r="AX263" s="51" t="s">
        <v>66</v>
      </c>
    </row>
    <row r="264" spans="1:50" ht="22.5" customHeight="1">
      <c r="A264" s="50" t="s">
        <v>61</v>
      </c>
      <c r="B264" s="41" t="s">
        <v>62</v>
      </c>
      <c r="C264" s="42">
        <v>4013567</v>
      </c>
      <c r="D264" s="44" t="s">
        <v>385</v>
      </c>
      <c r="E264" s="44" t="s">
        <v>386</v>
      </c>
      <c r="F264" s="45">
        <v>29</v>
      </c>
      <c r="G264" s="45">
        <v>19</v>
      </c>
      <c r="H264" s="45">
        <v>19</v>
      </c>
      <c r="I264" s="45">
        <v>19</v>
      </c>
      <c r="J264" s="45">
        <f t="shared" si="7"/>
        <v>19</v>
      </c>
      <c r="K264" s="45">
        <f t="shared" si="8"/>
        <v>19</v>
      </c>
      <c r="L264" s="45">
        <f t="shared" si="8"/>
        <v>19</v>
      </c>
      <c r="M264" s="45">
        <v>19</v>
      </c>
      <c r="N264" s="45">
        <v>19</v>
      </c>
      <c r="O264" s="45">
        <f t="shared" si="11"/>
        <v>19</v>
      </c>
      <c r="P264" s="46">
        <f t="shared" si="11"/>
        <v>19</v>
      </c>
      <c r="Q264" s="46">
        <f t="shared" si="11"/>
        <v>19</v>
      </c>
      <c r="R264" s="45">
        <v>19</v>
      </c>
      <c r="S264" s="45">
        <v>19</v>
      </c>
      <c r="T264" s="45">
        <v>19</v>
      </c>
      <c r="U264" s="45">
        <v>19</v>
      </c>
      <c r="V264" s="45">
        <v>19</v>
      </c>
      <c r="W264" s="45">
        <v>19</v>
      </c>
      <c r="X264" s="45">
        <v>19</v>
      </c>
      <c r="Y264" s="45">
        <v>19</v>
      </c>
      <c r="Z264" s="45">
        <v>19</v>
      </c>
      <c r="AA264" s="45">
        <v>19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">
        <v>65</v>
      </c>
      <c r="AX264" s="51" t="s">
        <v>66</v>
      </c>
    </row>
    <row r="265" spans="1:50" ht="22.5" customHeight="1">
      <c r="A265" s="50" t="s">
        <v>61</v>
      </c>
      <c r="B265" s="41" t="s">
        <v>62</v>
      </c>
      <c r="C265" s="42">
        <v>4013643</v>
      </c>
      <c r="D265" s="44" t="s">
        <v>385</v>
      </c>
      <c r="E265" s="44" t="s">
        <v>387</v>
      </c>
      <c r="F265" s="45">
        <v>29</v>
      </c>
      <c r="G265" s="45">
        <v>19</v>
      </c>
      <c r="H265" s="45">
        <v>19</v>
      </c>
      <c r="I265" s="45">
        <v>19</v>
      </c>
      <c r="J265" s="45">
        <f t="shared" si="7"/>
        <v>19</v>
      </c>
      <c r="K265" s="45">
        <f t="shared" si="8"/>
        <v>19</v>
      </c>
      <c r="L265" s="45">
        <f t="shared" si="8"/>
        <v>19</v>
      </c>
      <c r="M265" s="45">
        <v>19</v>
      </c>
      <c r="N265" s="45">
        <v>19</v>
      </c>
      <c r="O265" s="45">
        <f t="shared" si="11"/>
        <v>19</v>
      </c>
      <c r="P265" s="46">
        <f t="shared" si="11"/>
        <v>19</v>
      </c>
      <c r="Q265" s="46">
        <f t="shared" si="11"/>
        <v>19</v>
      </c>
      <c r="R265" s="45">
        <v>19</v>
      </c>
      <c r="S265" s="45">
        <v>19</v>
      </c>
      <c r="T265" s="45">
        <v>19</v>
      </c>
      <c r="U265" s="45">
        <v>19</v>
      </c>
      <c r="V265" s="45">
        <v>19</v>
      </c>
      <c r="W265" s="45">
        <v>19</v>
      </c>
      <c r="X265" s="45">
        <v>19</v>
      </c>
      <c r="Y265" s="45">
        <v>19</v>
      </c>
      <c r="Z265" s="45">
        <v>19</v>
      </c>
      <c r="AA265" s="45">
        <v>19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">
        <v>65</v>
      </c>
      <c r="AX265" s="51" t="s">
        <v>66</v>
      </c>
    </row>
    <row r="266" spans="1:50" ht="22.5" customHeight="1">
      <c r="A266" s="50" t="s">
        <v>61</v>
      </c>
      <c r="B266" s="41" t="s">
        <v>62</v>
      </c>
      <c r="C266" s="42">
        <v>4013336</v>
      </c>
      <c r="D266" s="44" t="s">
        <v>388</v>
      </c>
      <c r="E266" s="44" t="s">
        <v>389</v>
      </c>
      <c r="F266" s="45">
        <v>59</v>
      </c>
      <c r="G266" s="45">
        <v>49</v>
      </c>
      <c r="H266" s="45">
        <v>49</v>
      </c>
      <c r="I266" s="45">
        <v>49</v>
      </c>
      <c r="J266" s="45"/>
      <c r="K266" s="45"/>
      <c r="L266" s="45"/>
      <c r="M266" s="45"/>
      <c r="N266" s="45"/>
      <c r="O266" s="45"/>
      <c r="P266" s="46"/>
      <c r="Q266" s="46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">
        <v>65</v>
      </c>
      <c r="AX266" s="51" t="s">
        <v>66</v>
      </c>
    </row>
    <row r="267" spans="1:50" ht="22.5" customHeight="1">
      <c r="A267" s="50" t="s">
        <v>61</v>
      </c>
      <c r="B267" s="41" t="s">
        <v>62</v>
      </c>
      <c r="C267" s="42">
        <v>4013337</v>
      </c>
      <c r="D267" s="57" t="s">
        <v>388</v>
      </c>
      <c r="E267" s="57" t="s">
        <v>390</v>
      </c>
      <c r="F267" s="45">
        <v>59</v>
      </c>
      <c r="G267" s="45">
        <v>49</v>
      </c>
      <c r="H267" s="45">
        <v>49</v>
      </c>
      <c r="I267" s="45">
        <v>49</v>
      </c>
      <c r="J267" s="45"/>
      <c r="K267" s="45"/>
      <c r="L267" s="45"/>
      <c r="M267" s="45"/>
      <c r="N267" s="45"/>
      <c r="O267" s="45"/>
      <c r="P267" s="46"/>
      <c r="Q267" s="46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">
        <v>65</v>
      </c>
      <c r="AX267" s="51" t="s">
        <v>66</v>
      </c>
    </row>
    <row r="268" spans="1:50" ht="22.5" customHeight="1">
      <c r="A268" s="50" t="s">
        <v>61</v>
      </c>
      <c r="B268" s="41" t="s">
        <v>62</v>
      </c>
      <c r="C268" s="42">
        <v>4013194</v>
      </c>
      <c r="D268" s="44" t="s">
        <v>391</v>
      </c>
      <c r="E268" s="44" t="s">
        <v>392</v>
      </c>
      <c r="F268" s="45">
        <v>999</v>
      </c>
      <c r="G268" s="45">
        <v>699</v>
      </c>
      <c r="H268" s="45">
        <v>699</v>
      </c>
      <c r="I268" s="45">
        <v>699</v>
      </c>
      <c r="J268" s="45">
        <f t="shared" si="7"/>
        <v>549</v>
      </c>
      <c r="K268" s="45">
        <f t="shared" si="8"/>
        <v>549</v>
      </c>
      <c r="L268" s="45">
        <f t="shared" si="8"/>
        <v>549</v>
      </c>
      <c r="M268" s="45">
        <v>549</v>
      </c>
      <c r="N268" s="45">
        <v>549</v>
      </c>
      <c r="O268" s="45">
        <f t="shared" ref="O268:Q280" si="12">R268</f>
        <v>469</v>
      </c>
      <c r="P268" s="46">
        <f t="shared" si="12"/>
        <v>459</v>
      </c>
      <c r="Q268" s="46">
        <f t="shared" si="12"/>
        <v>449</v>
      </c>
      <c r="R268" s="45">
        <v>469</v>
      </c>
      <c r="S268" s="45">
        <v>459</v>
      </c>
      <c r="T268" s="45">
        <v>449</v>
      </c>
      <c r="U268" s="45">
        <v>449</v>
      </c>
      <c r="V268" s="45">
        <v>449</v>
      </c>
      <c r="W268" s="45">
        <v>449</v>
      </c>
      <c r="X268" s="45">
        <v>429</v>
      </c>
      <c r="Y268" s="45">
        <v>399</v>
      </c>
      <c r="Z268" s="45">
        <v>399</v>
      </c>
      <c r="AA268" s="45">
        <v>389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">
        <v>65</v>
      </c>
      <c r="AX268" s="51" t="s">
        <v>66</v>
      </c>
    </row>
    <row r="269" spans="1:50" ht="22.5" customHeight="1">
      <c r="A269" s="50" t="s">
        <v>61</v>
      </c>
      <c r="B269" s="41" t="s">
        <v>62</v>
      </c>
      <c r="C269" s="42">
        <v>4013410</v>
      </c>
      <c r="D269" s="44" t="s">
        <v>391</v>
      </c>
      <c r="E269" s="44" t="s">
        <v>393</v>
      </c>
      <c r="F269" s="45">
        <v>999</v>
      </c>
      <c r="G269" s="45">
        <v>699</v>
      </c>
      <c r="H269" s="45">
        <v>699</v>
      </c>
      <c r="I269" s="45">
        <v>699</v>
      </c>
      <c r="J269" s="45">
        <f t="shared" si="7"/>
        <v>549</v>
      </c>
      <c r="K269" s="45">
        <f t="shared" si="8"/>
        <v>549</v>
      </c>
      <c r="L269" s="45">
        <f t="shared" si="8"/>
        <v>549</v>
      </c>
      <c r="M269" s="45">
        <v>549</v>
      </c>
      <c r="N269" s="45">
        <v>549</v>
      </c>
      <c r="O269" s="45">
        <f t="shared" si="12"/>
        <v>469</v>
      </c>
      <c r="P269" s="46">
        <f t="shared" si="12"/>
        <v>459</v>
      </c>
      <c r="Q269" s="46">
        <f t="shared" si="12"/>
        <v>449</v>
      </c>
      <c r="R269" s="45">
        <v>469</v>
      </c>
      <c r="S269" s="45">
        <v>459</v>
      </c>
      <c r="T269" s="45">
        <v>449</v>
      </c>
      <c r="U269" s="45">
        <v>449</v>
      </c>
      <c r="V269" s="45">
        <v>449</v>
      </c>
      <c r="W269" s="45">
        <v>449</v>
      </c>
      <c r="X269" s="45">
        <v>429</v>
      </c>
      <c r="Y269" s="45">
        <v>399</v>
      </c>
      <c r="Z269" s="45">
        <v>399</v>
      </c>
      <c r="AA269" s="45">
        <v>389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">
        <v>65</v>
      </c>
      <c r="AX269" s="51" t="s">
        <v>66</v>
      </c>
    </row>
    <row r="270" spans="1:50" ht="22.5" customHeight="1">
      <c r="A270" s="50" t="s">
        <v>61</v>
      </c>
      <c r="B270" s="41" t="s">
        <v>62</v>
      </c>
      <c r="C270" s="42">
        <v>4014090</v>
      </c>
      <c r="D270" s="44" t="s">
        <v>394</v>
      </c>
      <c r="E270" s="44" t="s">
        <v>395</v>
      </c>
      <c r="F270" s="45">
        <v>499</v>
      </c>
      <c r="G270" s="45">
        <v>499</v>
      </c>
      <c r="H270" s="45">
        <v>499</v>
      </c>
      <c r="I270" s="45">
        <v>499</v>
      </c>
      <c r="J270" s="45">
        <f t="shared" si="7"/>
        <v>399</v>
      </c>
      <c r="K270" s="45">
        <f t="shared" si="8"/>
        <v>399</v>
      </c>
      <c r="L270" s="45">
        <f t="shared" si="8"/>
        <v>399</v>
      </c>
      <c r="M270" s="45">
        <v>399</v>
      </c>
      <c r="N270" s="45">
        <v>399</v>
      </c>
      <c r="O270" s="45">
        <f t="shared" si="12"/>
        <v>299</v>
      </c>
      <c r="P270" s="46">
        <f t="shared" si="12"/>
        <v>249</v>
      </c>
      <c r="Q270" s="46">
        <f t="shared" si="12"/>
        <v>249</v>
      </c>
      <c r="R270" s="45">
        <v>299</v>
      </c>
      <c r="S270" s="45">
        <v>249</v>
      </c>
      <c r="T270" s="45">
        <v>249</v>
      </c>
      <c r="U270" s="45">
        <v>249</v>
      </c>
      <c r="V270" s="45">
        <v>249</v>
      </c>
      <c r="W270" s="45">
        <v>249</v>
      </c>
      <c r="X270" s="45">
        <v>249</v>
      </c>
      <c r="Y270" s="45">
        <v>249</v>
      </c>
      <c r="Z270" s="45">
        <v>249</v>
      </c>
      <c r="AA270" s="45">
        <v>249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">
        <v>65</v>
      </c>
      <c r="AX270" s="51" t="s">
        <v>66</v>
      </c>
    </row>
    <row r="271" spans="1:50" ht="22.5" customHeight="1">
      <c r="A271" s="50" t="s">
        <v>61</v>
      </c>
      <c r="B271" s="41" t="s">
        <v>62</v>
      </c>
      <c r="C271" s="42">
        <v>4014447</v>
      </c>
      <c r="D271" s="44" t="s">
        <v>396</v>
      </c>
      <c r="E271" s="44" t="s">
        <v>397</v>
      </c>
      <c r="F271" s="45">
        <v>499</v>
      </c>
      <c r="G271" s="45">
        <v>449</v>
      </c>
      <c r="H271" s="45">
        <v>449</v>
      </c>
      <c r="I271" s="45">
        <v>449</v>
      </c>
      <c r="J271" s="45">
        <f t="shared" si="7"/>
        <v>349</v>
      </c>
      <c r="K271" s="45">
        <f t="shared" si="8"/>
        <v>349</v>
      </c>
      <c r="L271" s="45">
        <f t="shared" si="8"/>
        <v>349</v>
      </c>
      <c r="M271" s="45">
        <v>349</v>
      </c>
      <c r="N271" s="45">
        <v>349</v>
      </c>
      <c r="O271" s="45">
        <f t="shared" si="12"/>
        <v>299</v>
      </c>
      <c r="P271" s="46">
        <f t="shared" si="12"/>
        <v>299</v>
      </c>
      <c r="Q271" s="46">
        <f t="shared" si="12"/>
        <v>299</v>
      </c>
      <c r="R271" s="45">
        <v>299</v>
      </c>
      <c r="S271" s="45">
        <v>299</v>
      </c>
      <c r="T271" s="45">
        <v>299</v>
      </c>
      <c r="U271" s="45">
        <v>299</v>
      </c>
      <c r="V271" s="45">
        <v>299</v>
      </c>
      <c r="W271" s="45">
        <v>299</v>
      </c>
      <c r="X271" s="45">
        <v>299</v>
      </c>
      <c r="Y271" s="45">
        <v>299</v>
      </c>
      <c r="Z271" s="45">
        <v>299</v>
      </c>
      <c r="AA271" s="45">
        <v>299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">
        <v>65</v>
      </c>
      <c r="AX271" s="51" t="s">
        <v>66</v>
      </c>
    </row>
    <row r="272" spans="1:50" ht="22.5" customHeight="1">
      <c r="A272" s="50" t="s">
        <v>61</v>
      </c>
      <c r="B272" s="41" t="s">
        <v>62</v>
      </c>
      <c r="C272" s="42">
        <v>4015041</v>
      </c>
      <c r="D272" s="44" t="s">
        <v>398</v>
      </c>
      <c r="E272" s="44" t="s">
        <v>399</v>
      </c>
      <c r="F272" s="45">
        <v>749</v>
      </c>
      <c r="G272" s="45">
        <v>549</v>
      </c>
      <c r="H272" s="45">
        <v>549</v>
      </c>
      <c r="I272" s="45">
        <v>549</v>
      </c>
      <c r="J272" s="45">
        <f t="shared" si="7"/>
        <v>449</v>
      </c>
      <c r="K272" s="45">
        <f t="shared" si="8"/>
        <v>449</v>
      </c>
      <c r="L272" s="45">
        <f t="shared" si="8"/>
        <v>449</v>
      </c>
      <c r="M272" s="45">
        <v>449</v>
      </c>
      <c r="N272" s="45">
        <v>449</v>
      </c>
      <c r="O272" s="45">
        <f t="shared" si="12"/>
        <v>399</v>
      </c>
      <c r="P272" s="46">
        <f t="shared" si="12"/>
        <v>349</v>
      </c>
      <c r="Q272" s="46">
        <f t="shared" si="12"/>
        <v>349</v>
      </c>
      <c r="R272" s="45">
        <v>399</v>
      </c>
      <c r="S272" s="45">
        <v>349</v>
      </c>
      <c r="T272" s="45">
        <v>349</v>
      </c>
      <c r="U272" s="45">
        <v>349</v>
      </c>
      <c r="V272" s="45">
        <v>349</v>
      </c>
      <c r="W272" s="45">
        <v>349</v>
      </c>
      <c r="X272" s="45">
        <v>349</v>
      </c>
      <c r="Y272" s="45">
        <v>349</v>
      </c>
      <c r="Z272" s="45">
        <v>349</v>
      </c>
      <c r="AA272" s="45">
        <v>349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">
        <v>65</v>
      </c>
      <c r="AX272" s="51" t="s">
        <v>66</v>
      </c>
    </row>
    <row r="273" spans="1:50" ht="22.5" customHeight="1">
      <c r="A273" s="50" t="s">
        <v>61</v>
      </c>
      <c r="B273" s="41" t="s">
        <v>62</v>
      </c>
      <c r="C273" s="42">
        <v>4015393</v>
      </c>
      <c r="D273" s="44" t="s">
        <v>400</v>
      </c>
      <c r="E273" s="44" t="s">
        <v>401</v>
      </c>
      <c r="F273" s="45">
        <v>899</v>
      </c>
      <c r="G273" s="45">
        <v>699</v>
      </c>
      <c r="H273" s="45">
        <v>699</v>
      </c>
      <c r="I273" s="45">
        <v>699</v>
      </c>
      <c r="J273" s="45">
        <f t="shared" si="7"/>
        <v>599</v>
      </c>
      <c r="K273" s="45">
        <f t="shared" si="8"/>
        <v>599</v>
      </c>
      <c r="L273" s="45">
        <f t="shared" si="8"/>
        <v>599</v>
      </c>
      <c r="M273" s="45">
        <v>599</v>
      </c>
      <c r="N273" s="45">
        <v>599</v>
      </c>
      <c r="O273" s="45">
        <f t="shared" si="12"/>
        <v>549</v>
      </c>
      <c r="P273" s="46">
        <f t="shared" si="12"/>
        <v>499</v>
      </c>
      <c r="Q273" s="46">
        <f t="shared" si="12"/>
        <v>449</v>
      </c>
      <c r="R273" s="45">
        <v>549</v>
      </c>
      <c r="S273" s="45">
        <v>499</v>
      </c>
      <c r="T273" s="45">
        <v>449</v>
      </c>
      <c r="U273" s="45">
        <v>449</v>
      </c>
      <c r="V273" s="45">
        <v>449</v>
      </c>
      <c r="W273" s="45">
        <v>449</v>
      </c>
      <c r="X273" s="45">
        <v>449</v>
      </c>
      <c r="Y273" s="45">
        <v>449</v>
      </c>
      <c r="Z273" s="45">
        <v>449</v>
      </c>
      <c r="AA273" s="45">
        <v>449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">
        <v>65</v>
      </c>
      <c r="AX273" s="51" t="s">
        <v>66</v>
      </c>
    </row>
    <row r="274" spans="1:50" ht="22.5" customHeight="1">
      <c r="A274" s="50" t="s">
        <v>61</v>
      </c>
      <c r="B274" s="41" t="s">
        <v>62</v>
      </c>
      <c r="C274" s="42">
        <v>4014667</v>
      </c>
      <c r="D274" s="44" t="s">
        <v>402</v>
      </c>
      <c r="E274" s="44" t="s">
        <v>403</v>
      </c>
      <c r="F274" s="45">
        <v>899</v>
      </c>
      <c r="G274" s="45">
        <v>499</v>
      </c>
      <c r="H274" s="45">
        <v>499</v>
      </c>
      <c r="I274" s="45">
        <v>499</v>
      </c>
      <c r="J274" s="45">
        <f t="shared" si="7"/>
        <v>399</v>
      </c>
      <c r="K274" s="45">
        <f t="shared" si="8"/>
        <v>399</v>
      </c>
      <c r="L274" s="45">
        <f t="shared" si="8"/>
        <v>399</v>
      </c>
      <c r="M274" s="45">
        <v>399</v>
      </c>
      <c r="N274" s="45">
        <v>399</v>
      </c>
      <c r="O274" s="45">
        <f t="shared" si="12"/>
        <v>349</v>
      </c>
      <c r="P274" s="46">
        <f t="shared" si="12"/>
        <v>299</v>
      </c>
      <c r="Q274" s="46">
        <f t="shared" si="12"/>
        <v>299</v>
      </c>
      <c r="R274" s="45">
        <v>349</v>
      </c>
      <c r="S274" s="45">
        <v>299</v>
      </c>
      <c r="T274" s="45">
        <v>299</v>
      </c>
      <c r="U274" s="45">
        <v>299</v>
      </c>
      <c r="V274" s="45">
        <v>299</v>
      </c>
      <c r="W274" s="45">
        <v>299</v>
      </c>
      <c r="X274" s="45">
        <v>299</v>
      </c>
      <c r="Y274" s="45">
        <v>299</v>
      </c>
      <c r="Z274" s="45">
        <v>299</v>
      </c>
      <c r="AA274" s="45">
        <v>299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">
        <v>65</v>
      </c>
      <c r="AX274" s="51" t="s">
        <v>66</v>
      </c>
    </row>
    <row r="275" spans="1:50" ht="22.5" customHeight="1">
      <c r="A275" s="50" t="s">
        <v>61</v>
      </c>
      <c r="B275" s="41" t="s">
        <v>62</v>
      </c>
      <c r="C275" s="42">
        <v>4014668</v>
      </c>
      <c r="D275" s="44" t="s">
        <v>402</v>
      </c>
      <c r="E275" s="44" t="s">
        <v>404</v>
      </c>
      <c r="F275" s="45">
        <v>899</v>
      </c>
      <c r="G275" s="45">
        <v>499</v>
      </c>
      <c r="H275" s="45">
        <v>499</v>
      </c>
      <c r="I275" s="45">
        <v>499</v>
      </c>
      <c r="J275" s="45">
        <f t="shared" si="7"/>
        <v>399</v>
      </c>
      <c r="K275" s="45">
        <f t="shared" si="8"/>
        <v>399</v>
      </c>
      <c r="L275" s="45">
        <f t="shared" si="8"/>
        <v>399</v>
      </c>
      <c r="M275" s="45">
        <v>399</v>
      </c>
      <c r="N275" s="45">
        <v>399</v>
      </c>
      <c r="O275" s="45">
        <f t="shared" si="12"/>
        <v>349</v>
      </c>
      <c r="P275" s="46">
        <f t="shared" si="12"/>
        <v>299</v>
      </c>
      <c r="Q275" s="46">
        <f t="shared" si="12"/>
        <v>299</v>
      </c>
      <c r="R275" s="45">
        <v>349</v>
      </c>
      <c r="S275" s="45">
        <v>299</v>
      </c>
      <c r="T275" s="45">
        <v>299</v>
      </c>
      <c r="U275" s="45">
        <v>299</v>
      </c>
      <c r="V275" s="45">
        <v>299</v>
      </c>
      <c r="W275" s="45">
        <v>299</v>
      </c>
      <c r="X275" s="45">
        <v>299</v>
      </c>
      <c r="Y275" s="45">
        <v>299</v>
      </c>
      <c r="Z275" s="45">
        <v>299</v>
      </c>
      <c r="AA275" s="45">
        <v>299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">
        <v>65</v>
      </c>
      <c r="AX275" s="51" t="s">
        <v>66</v>
      </c>
    </row>
    <row r="276" spans="1:50" ht="22.5" customHeight="1">
      <c r="A276" s="50" t="s">
        <v>61</v>
      </c>
      <c r="B276" s="41" t="s">
        <v>62</v>
      </c>
      <c r="C276" s="42">
        <v>4010890</v>
      </c>
      <c r="D276" s="43" t="s">
        <v>405</v>
      </c>
      <c r="E276" s="44" t="s">
        <v>406</v>
      </c>
      <c r="F276" s="45">
        <v>399</v>
      </c>
      <c r="G276" s="45">
        <v>399</v>
      </c>
      <c r="H276" s="46">
        <v>249</v>
      </c>
      <c r="I276" s="46">
        <v>249</v>
      </c>
      <c r="J276" s="46">
        <f t="shared" si="7"/>
        <v>249</v>
      </c>
      <c r="K276" s="46">
        <f t="shared" si="8"/>
        <v>249</v>
      </c>
      <c r="L276" s="46">
        <f t="shared" si="8"/>
        <v>249</v>
      </c>
      <c r="M276" s="46">
        <v>249</v>
      </c>
      <c r="N276" s="46">
        <v>249</v>
      </c>
      <c r="O276" s="45"/>
      <c r="P276" s="46"/>
      <c r="Q276" s="46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">
        <v>65</v>
      </c>
      <c r="AX276" s="51" t="s">
        <v>66</v>
      </c>
    </row>
    <row r="277" spans="1:50" ht="22.5" customHeight="1">
      <c r="A277" s="50" t="s">
        <v>61</v>
      </c>
      <c r="B277" s="41" t="s">
        <v>62</v>
      </c>
      <c r="C277" s="42">
        <v>4010891</v>
      </c>
      <c r="D277" s="43" t="s">
        <v>405</v>
      </c>
      <c r="E277" s="44" t="s">
        <v>407</v>
      </c>
      <c r="F277" s="45">
        <v>399</v>
      </c>
      <c r="G277" s="45">
        <v>399</v>
      </c>
      <c r="H277" s="46">
        <v>249</v>
      </c>
      <c r="I277" s="46">
        <v>249</v>
      </c>
      <c r="J277" s="46">
        <f t="shared" si="7"/>
        <v>249</v>
      </c>
      <c r="K277" s="46">
        <f t="shared" si="8"/>
        <v>249</v>
      </c>
      <c r="L277" s="46">
        <f t="shared" si="8"/>
        <v>249</v>
      </c>
      <c r="M277" s="46">
        <v>249</v>
      </c>
      <c r="N277" s="46">
        <v>249</v>
      </c>
      <c r="O277" s="45"/>
      <c r="P277" s="46"/>
      <c r="Q277" s="46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">
        <v>65</v>
      </c>
      <c r="AX277" s="51" t="s">
        <v>66</v>
      </c>
    </row>
    <row r="278" spans="1:50" ht="22.5" customHeight="1">
      <c r="A278" s="50" t="s">
        <v>61</v>
      </c>
      <c r="B278" s="41" t="s">
        <v>62</v>
      </c>
      <c r="C278" s="42">
        <v>4010901</v>
      </c>
      <c r="D278" s="43" t="s">
        <v>405</v>
      </c>
      <c r="E278" s="44" t="s">
        <v>408</v>
      </c>
      <c r="F278" s="45">
        <v>399</v>
      </c>
      <c r="G278" s="45">
        <v>399</v>
      </c>
      <c r="H278" s="46">
        <v>249</v>
      </c>
      <c r="I278" s="46">
        <v>249</v>
      </c>
      <c r="J278" s="46">
        <f t="shared" si="7"/>
        <v>249</v>
      </c>
      <c r="K278" s="46">
        <f t="shared" si="8"/>
        <v>249</v>
      </c>
      <c r="L278" s="46">
        <f t="shared" si="8"/>
        <v>249</v>
      </c>
      <c r="M278" s="46">
        <v>249</v>
      </c>
      <c r="N278" s="46">
        <v>249</v>
      </c>
      <c r="O278" s="45"/>
      <c r="P278" s="46"/>
      <c r="Q278" s="46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">
        <v>65</v>
      </c>
      <c r="AX278" s="51" t="s">
        <v>66</v>
      </c>
    </row>
    <row r="279" spans="1:50" ht="22.5" customHeight="1">
      <c r="A279" s="50" t="s">
        <v>61</v>
      </c>
      <c r="B279" s="41" t="s">
        <v>62</v>
      </c>
      <c r="C279" s="42">
        <v>4010902</v>
      </c>
      <c r="D279" s="43" t="s">
        <v>405</v>
      </c>
      <c r="E279" s="44" t="s">
        <v>409</v>
      </c>
      <c r="F279" s="45">
        <v>399</v>
      </c>
      <c r="G279" s="45">
        <v>399</v>
      </c>
      <c r="H279" s="46">
        <v>249</v>
      </c>
      <c r="I279" s="46">
        <v>249</v>
      </c>
      <c r="J279" s="46">
        <f t="shared" si="7"/>
        <v>249</v>
      </c>
      <c r="K279" s="46">
        <f t="shared" si="8"/>
        <v>249</v>
      </c>
      <c r="L279" s="46">
        <f t="shared" si="8"/>
        <v>249</v>
      </c>
      <c r="M279" s="46">
        <v>249</v>
      </c>
      <c r="N279" s="46">
        <v>249</v>
      </c>
      <c r="O279" s="45"/>
      <c r="P279" s="46"/>
      <c r="Q279" s="46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">
        <v>65</v>
      </c>
      <c r="AX279" s="51" t="s">
        <v>66</v>
      </c>
    </row>
    <row r="280" spans="1:50" ht="22.5" customHeight="1">
      <c r="A280" s="50" t="s">
        <v>61</v>
      </c>
      <c r="B280" s="41" t="s">
        <v>62</v>
      </c>
      <c r="C280" s="42">
        <v>4016017</v>
      </c>
      <c r="D280" s="43" t="s">
        <v>410</v>
      </c>
      <c r="E280" s="43" t="s">
        <v>411</v>
      </c>
      <c r="F280" s="45">
        <v>899</v>
      </c>
      <c r="G280" s="45">
        <v>799</v>
      </c>
      <c r="H280" s="45">
        <v>799</v>
      </c>
      <c r="I280" s="45">
        <v>799</v>
      </c>
      <c r="J280" s="45">
        <f t="shared" si="7"/>
        <v>699</v>
      </c>
      <c r="K280" s="45">
        <f t="shared" si="8"/>
        <v>699</v>
      </c>
      <c r="L280" s="45">
        <f t="shared" si="8"/>
        <v>699</v>
      </c>
      <c r="M280" s="45">
        <v>699</v>
      </c>
      <c r="N280" s="45">
        <v>699</v>
      </c>
      <c r="O280" s="45">
        <f t="shared" ref="O280:Q295" si="13">R280</f>
        <v>649</v>
      </c>
      <c r="P280" s="46">
        <f t="shared" si="12"/>
        <v>599</v>
      </c>
      <c r="Q280" s="46">
        <v>599</v>
      </c>
      <c r="R280" s="45">
        <v>649</v>
      </c>
      <c r="S280" s="45">
        <v>599</v>
      </c>
      <c r="T280" s="45">
        <v>599</v>
      </c>
      <c r="U280" s="45">
        <v>599</v>
      </c>
      <c r="V280" s="45">
        <v>599</v>
      </c>
      <c r="W280" s="45">
        <v>599</v>
      </c>
      <c r="X280" s="45">
        <v>599</v>
      </c>
      <c r="Y280" s="45">
        <v>599</v>
      </c>
      <c r="Z280" s="45">
        <v>599</v>
      </c>
      <c r="AA280" s="45">
        <v>599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">
        <v>65</v>
      </c>
      <c r="AX280" s="51" t="s">
        <v>66</v>
      </c>
    </row>
    <row r="281" spans="1:50" ht="22.5" customHeight="1">
      <c r="A281" s="50" t="s">
        <v>61</v>
      </c>
      <c r="B281" s="41" t="s">
        <v>62</v>
      </c>
      <c r="C281" s="42">
        <v>4016281</v>
      </c>
      <c r="D281" s="43" t="s">
        <v>412</v>
      </c>
      <c r="E281" s="43" t="s">
        <v>413</v>
      </c>
      <c r="F281" s="45">
        <v>899</v>
      </c>
      <c r="G281" s="45">
        <v>799</v>
      </c>
      <c r="H281" s="45">
        <v>799</v>
      </c>
      <c r="I281" s="45">
        <v>799</v>
      </c>
      <c r="J281" s="45">
        <f t="shared" si="7"/>
        <v>699</v>
      </c>
      <c r="K281" s="45">
        <f t="shared" si="8"/>
        <v>699</v>
      </c>
      <c r="L281" s="45">
        <f t="shared" si="8"/>
        <v>699</v>
      </c>
      <c r="M281" s="45">
        <v>699</v>
      </c>
      <c r="N281" s="45">
        <v>699</v>
      </c>
      <c r="O281" s="45">
        <f t="shared" si="13"/>
        <v>649</v>
      </c>
      <c r="P281" s="46">
        <v>649</v>
      </c>
      <c r="Q281" s="46">
        <v>649</v>
      </c>
      <c r="R281" s="45">
        <v>649</v>
      </c>
      <c r="S281" s="45">
        <v>649</v>
      </c>
      <c r="T281" s="45">
        <v>649</v>
      </c>
      <c r="U281" s="45">
        <v>649</v>
      </c>
      <c r="V281" s="45">
        <v>649</v>
      </c>
      <c r="W281" s="45">
        <v>649</v>
      </c>
      <c r="X281" s="45">
        <v>649</v>
      </c>
      <c r="Y281" s="45">
        <v>649</v>
      </c>
      <c r="Z281" s="45">
        <v>649</v>
      </c>
      <c r="AA281" s="45">
        <v>649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">
        <v>65</v>
      </c>
      <c r="AX281" s="51" t="s">
        <v>66</v>
      </c>
    </row>
    <row r="282" spans="1:50" ht="22.5" customHeight="1">
      <c r="A282" s="50" t="s">
        <v>61</v>
      </c>
      <c r="B282" s="41" t="s">
        <v>62</v>
      </c>
      <c r="C282" s="42">
        <v>4016801</v>
      </c>
      <c r="D282" s="60" t="s">
        <v>414</v>
      </c>
      <c r="E282" s="60" t="s">
        <v>415</v>
      </c>
      <c r="F282" s="45">
        <v>1099</v>
      </c>
      <c r="G282" s="45">
        <v>699</v>
      </c>
      <c r="H282" s="45">
        <v>699</v>
      </c>
      <c r="I282" s="45">
        <v>699</v>
      </c>
      <c r="J282" s="45">
        <v>599</v>
      </c>
      <c r="K282" s="45">
        <v>499</v>
      </c>
      <c r="L282" s="45">
        <v>499</v>
      </c>
      <c r="M282" s="45">
        <v>599</v>
      </c>
      <c r="N282" s="45">
        <v>499</v>
      </c>
      <c r="O282" s="45">
        <v>499</v>
      </c>
      <c r="P282" s="46">
        <v>499</v>
      </c>
      <c r="Q282" s="46">
        <v>499</v>
      </c>
      <c r="R282" s="45">
        <v>499</v>
      </c>
      <c r="S282" s="45">
        <v>499</v>
      </c>
      <c r="T282" s="45">
        <v>499</v>
      </c>
      <c r="U282" s="45">
        <v>499</v>
      </c>
      <c r="V282" s="45">
        <v>499</v>
      </c>
      <c r="W282" s="45">
        <v>499</v>
      </c>
      <c r="X282" s="45">
        <v>499</v>
      </c>
      <c r="Y282" s="45">
        <v>499</v>
      </c>
      <c r="Z282" s="45">
        <v>499</v>
      </c>
      <c r="AA282" s="45">
        <v>499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">
        <v>65</v>
      </c>
      <c r="AX282" s="51" t="s">
        <v>66</v>
      </c>
    </row>
    <row r="283" spans="1:50" ht="22.5" customHeight="1">
      <c r="A283" s="50" t="s">
        <v>61</v>
      </c>
      <c r="B283" s="41" t="s">
        <v>62</v>
      </c>
      <c r="C283" s="42">
        <v>4017405</v>
      </c>
      <c r="D283" s="60" t="s">
        <v>416</v>
      </c>
      <c r="E283" s="60" t="s">
        <v>417</v>
      </c>
      <c r="F283" s="46">
        <v>999</v>
      </c>
      <c r="G283" s="46">
        <v>699</v>
      </c>
      <c r="H283" s="46">
        <v>699</v>
      </c>
      <c r="I283" s="46">
        <v>699</v>
      </c>
      <c r="J283" s="46">
        <v>599</v>
      </c>
      <c r="K283" s="46">
        <v>499</v>
      </c>
      <c r="L283" s="46">
        <v>499</v>
      </c>
      <c r="M283" s="46">
        <v>599</v>
      </c>
      <c r="N283" s="46">
        <v>499</v>
      </c>
      <c r="O283" s="46">
        <v>499</v>
      </c>
      <c r="P283" s="46">
        <v>499</v>
      </c>
      <c r="Q283" s="46">
        <v>499</v>
      </c>
      <c r="R283" s="46">
        <v>499</v>
      </c>
      <c r="S283" s="46">
        <v>499</v>
      </c>
      <c r="T283" s="46">
        <v>499</v>
      </c>
      <c r="U283" s="46">
        <v>499</v>
      </c>
      <c r="V283" s="46">
        <v>499</v>
      </c>
      <c r="W283" s="46">
        <v>499</v>
      </c>
      <c r="X283" s="46">
        <v>499</v>
      </c>
      <c r="Y283" s="46">
        <v>499</v>
      </c>
      <c r="Z283" s="46">
        <v>499</v>
      </c>
      <c r="AA283" s="46">
        <v>499</v>
      </c>
      <c r="AB283" s="45">
        <v>499</v>
      </c>
      <c r="AC283" s="45">
        <v>499</v>
      </c>
      <c r="AD283" s="45">
        <v>499</v>
      </c>
      <c r="AE283" s="45">
        <v>499</v>
      </c>
      <c r="AF283" s="45">
        <v>499</v>
      </c>
      <c r="AG283" s="45">
        <v>499</v>
      </c>
      <c r="AH283" s="45">
        <v>499</v>
      </c>
      <c r="AI283" s="45">
        <v>499</v>
      </c>
      <c r="AJ283" s="45">
        <v>499</v>
      </c>
      <c r="AK283" s="45">
        <v>499</v>
      </c>
      <c r="AL283" s="45">
        <v>499</v>
      </c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">
        <v>65</v>
      </c>
      <c r="AX283" s="51" t="s">
        <v>66</v>
      </c>
    </row>
    <row r="284" spans="1:50" ht="22.5" customHeight="1">
      <c r="A284" s="50" t="s">
        <v>61</v>
      </c>
      <c r="B284" s="41" t="s">
        <v>62</v>
      </c>
      <c r="C284" s="42">
        <v>4013483</v>
      </c>
      <c r="D284" s="44" t="s">
        <v>418</v>
      </c>
      <c r="E284" s="44" t="s">
        <v>419</v>
      </c>
      <c r="F284" s="45">
        <v>59</v>
      </c>
      <c r="G284" s="45">
        <v>49</v>
      </c>
      <c r="H284" s="45">
        <v>49</v>
      </c>
      <c r="I284" s="45">
        <v>49</v>
      </c>
      <c r="J284" s="45">
        <f t="shared" si="7"/>
        <v>49</v>
      </c>
      <c r="K284" s="45">
        <f t="shared" si="8"/>
        <v>49</v>
      </c>
      <c r="L284" s="45">
        <f t="shared" si="8"/>
        <v>49</v>
      </c>
      <c r="M284" s="45">
        <v>49</v>
      </c>
      <c r="N284" s="45">
        <v>49</v>
      </c>
      <c r="O284" s="45">
        <f t="shared" si="13"/>
        <v>49</v>
      </c>
      <c r="P284" s="46">
        <f t="shared" si="13"/>
        <v>49</v>
      </c>
      <c r="Q284" s="46">
        <f t="shared" si="13"/>
        <v>49</v>
      </c>
      <c r="R284" s="45">
        <v>49</v>
      </c>
      <c r="S284" s="45">
        <v>49</v>
      </c>
      <c r="T284" s="45">
        <v>49</v>
      </c>
      <c r="U284" s="45">
        <v>49</v>
      </c>
      <c r="V284" s="45">
        <v>49</v>
      </c>
      <c r="W284" s="45">
        <v>49</v>
      </c>
      <c r="X284" s="45">
        <v>49</v>
      </c>
      <c r="Y284" s="45">
        <v>49</v>
      </c>
      <c r="Z284" s="45">
        <v>49</v>
      </c>
      <c r="AA284" s="45">
        <v>49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">
        <v>65</v>
      </c>
      <c r="AX284" s="51" t="s">
        <v>66</v>
      </c>
    </row>
    <row r="285" spans="1:50" ht="22.5" customHeight="1">
      <c r="A285" s="50" t="s">
        <v>61</v>
      </c>
      <c r="B285" s="41" t="s">
        <v>62</v>
      </c>
      <c r="C285" s="42">
        <v>4013262</v>
      </c>
      <c r="D285" s="44" t="s">
        <v>420</v>
      </c>
      <c r="E285" s="44" t="s">
        <v>421</v>
      </c>
      <c r="F285" s="45">
        <v>1099</v>
      </c>
      <c r="G285" s="45">
        <v>399</v>
      </c>
      <c r="H285" s="45">
        <v>399</v>
      </c>
      <c r="I285" s="45">
        <v>399</v>
      </c>
      <c r="J285" s="45">
        <f t="shared" si="7"/>
        <v>399</v>
      </c>
      <c r="K285" s="45">
        <f t="shared" si="8"/>
        <v>399</v>
      </c>
      <c r="L285" s="45">
        <f t="shared" si="8"/>
        <v>399</v>
      </c>
      <c r="M285" s="45">
        <v>399</v>
      </c>
      <c r="N285" s="45">
        <v>399</v>
      </c>
      <c r="O285" s="45"/>
      <c r="P285" s="46"/>
      <c r="Q285" s="46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">
        <v>65</v>
      </c>
      <c r="AX285" s="51" t="s">
        <v>66</v>
      </c>
    </row>
    <row r="286" spans="1:50" ht="22.5" customHeight="1">
      <c r="A286" s="50" t="s">
        <v>61</v>
      </c>
      <c r="B286" s="41" t="s">
        <v>62</v>
      </c>
      <c r="C286" s="42">
        <v>4013265</v>
      </c>
      <c r="D286" s="44" t="s">
        <v>420</v>
      </c>
      <c r="E286" s="44" t="s">
        <v>422</v>
      </c>
      <c r="F286" s="45">
        <v>1099</v>
      </c>
      <c r="G286" s="45">
        <v>399</v>
      </c>
      <c r="H286" s="45">
        <v>399</v>
      </c>
      <c r="I286" s="45">
        <v>399</v>
      </c>
      <c r="J286" s="45">
        <f t="shared" si="7"/>
        <v>399</v>
      </c>
      <c r="K286" s="45">
        <f t="shared" si="8"/>
        <v>399</v>
      </c>
      <c r="L286" s="45">
        <f t="shared" si="8"/>
        <v>399</v>
      </c>
      <c r="M286" s="45">
        <v>399</v>
      </c>
      <c r="N286" s="45">
        <v>399</v>
      </c>
      <c r="O286" s="45"/>
      <c r="P286" s="46"/>
      <c r="Q286" s="46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">
        <v>65</v>
      </c>
      <c r="AX286" s="51" t="s">
        <v>66</v>
      </c>
    </row>
    <row r="287" spans="1:50" ht="22.5" customHeight="1">
      <c r="A287" s="50" t="s">
        <v>61</v>
      </c>
      <c r="B287" s="41" t="s">
        <v>62</v>
      </c>
      <c r="C287" s="42">
        <v>4013751</v>
      </c>
      <c r="D287" s="44" t="s">
        <v>423</v>
      </c>
      <c r="E287" s="44" t="s">
        <v>424</v>
      </c>
      <c r="F287" s="45">
        <v>49</v>
      </c>
      <c r="G287" s="45">
        <v>39</v>
      </c>
      <c r="H287" s="45">
        <v>39</v>
      </c>
      <c r="I287" s="45">
        <v>39</v>
      </c>
      <c r="J287" s="45">
        <f t="shared" si="7"/>
        <v>39</v>
      </c>
      <c r="K287" s="45">
        <f t="shared" si="8"/>
        <v>39</v>
      </c>
      <c r="L287" s="45">
        <f t="shared" si="8"/>
        <v>39</v>
      </c>
      <c r="M287" s="45">
        <v>39</v>
      </c>
      <c r="N287" s="45">
        <v>39</v>
      </c>
      <c r="O287" s="45">
        <f t="shared" ref="O287:Q334" si="14">R287</f>
        <v>39</v>
      </c>
      <c r="P287" s="46">
        <f t="shared" si="13"/>
        <v>39</v>
      </c>
      <c r="Q287" s="46">
        <f t="shared" si="13"/>
        <v>39</v>
      </c>
      <c r="R287" s="45">
        <v>39</v>
      </c>
      <c r="S287" s="45">
        <v>39</v>
      </c>
      <c r="T287" s="45">
        <v>39</v>
      </c>
      <c r="U287" s="45">
        <v>39</v>
      </c>
      <c r="V287" s="45">
        <v>39</v>
      </c>
      <c r="W287" s="45">
        <v>39</v>
      </c>
      <c r="X287" s="45">
        <v>39</v>
      </c>
      <c r="Y287" s="45">
        <v>39</v>
      </c>
      <c r="Z287" s="45">
        <v>39</v>
      </c>
      <c r="AA287" s="45">
        <v>39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">
        <v>65</v>
      </c>
      <c r="AX287" s="51" t="s">
        <v>66</v>
      </c>
    </row>
    <row r="288" spans="1:50" ht="22.5" customHeight="1">
      <c r="A288" s="50" t="s">
        <v>61</v>
      </c>
      <c r="B288" s="41" t="s">
        <v>62</v>
      </c>
      <c r="C288" s="42">
        <v>4013760</v>
      </c>
      <c r="D288" s="44" t="s">
        <v>423</v>
      </c>
      <c r="E288" s="44" t="s">
        <v>425</v>
      </c>
      <c r="F288" s="45">
        <v>49</v>
      </c>
      <c r="G288" s="45">
        <v>39</v>
      </c>
      <c r="H288" s="45">
        <v>39</v>
      </c>
      <c r="I288" s="45">
        <v>39</v>
      </c>
      <c r="J288" s="45">
        <f t="shared" si="7"/>
        <v>39</v>
      </c>
      <c r="K288" s="45">
        <f t="shared" si="8"/>
        <v>39</v>
      </c>
      <c r="L288" s="45">
        <f t="shared" si="8"/>
        <v>39</v>
      </c>
      <c r="M288" s="45">
        <v>39</v>
      </c>
      <c r="N288" s="45">
        <v>39</v>
      </c>
      <c r="O288" s="45">
        <f t="shared" si="14"/>
        <v>39</v>
      </c>
      <c r="P288" s="46">
        <f t="shared" si="13"/>
        <v>39</v>
      </c>
      <c r="Q288" s="46">
        <f t="shared" si="13"/>
        <v>39</v>
      </c>
      <c r="R288" s="45">
        <v>39</v>
      </c>
      <c r="S288" s="45">
        <v>39</v>
      </c>
      <c r="T288" s="45">
        <v>39</v>
      </c>
      <c r="U288" s="45">
        <v>39</v>
      </c>
      <c r="V288" s="45">
        <v>39</v>
      </c>
      <c r="W288" s="45">
        <v>39</v>
      </c>
      <c r="X288" s="45">
        <v>39</v>
      </c>
      <c r="Y288" s="45">
        <v>39</v>
      </c>
      <c r="Z288" s="45">
        <v>39</v>
      </c>
      <c r="AA288" s="45">
        <v>39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">
        <v>65</v>
      </c>
      <c r="AX288" s="51" t="s">
        <v>66</v>
      </c>
    </row>
    <row r="289" spans="1:50" ht="21.75" customHeight="1">
      <c r="A289" s="50" t="s">
        <v>61</v>
      </c>
      <c r="B289" s="41" t="s">
        <v>62</v>
      </c>
      <c r="C289" s="42">
        <v>4014180</v>
      </c>
      <c r="D289" s="44" t="s">
        <v>426</v>
      </c>
      <c r="E289" s="44" t="s">
        <v>427</v>
      </c>
      <c r="F289" s="45">
        <v>19</v>
      </c>
      <c r="G289" s="45">
        <v>9</v>
      </c>
      <c r="H289" s="45">
        <v>9</v>
      </c>
      <c r="I289" s="45">
        <v>9</v>
      </c>
      <c r="J289" s="45">
        <f t="shared" si="7"/>
        <v>9</v>
      </c>
      <c r="K289" s="45">
        <f t="shared" si="8"/>
        <v>9</v>
      </c>
      <c r="L289" s="45">
        <f t="shared" si="8"/>
        <v>9</v>
      </c>
      <c r="M289" s="45">
        <v>9</v>
      </c>
      <c r="N289" s="45">
        <v>9</v>
      </c>
      <c r="O289" s="45">
        <f t="shared" si="14"/>
        <v>9</v>
      </c>
      <c r="P289" s="46">
        <f t="shared" si="13"/>
        <v>9</v>
      </c>
      <c r="Q289" s="46">
        <f t="shared" si="13"/>
        <v>9</v>
      </c>
      <c r="R289" s="45">
        <v>9</v>
      </c>
      <c r="S289" s="45">
        <v>9</v>
      </c>
      <c r="T289" s="45">
        <v>9</v>
      </c>
      <c r="U289" s="45">
        <v>9</v>
      </c>
      <c r="V289" s="45">
        <v>9</v>
      </c>
      <c r="W289" s="45">
        <v>9</v>
      </c>
      <c r="X289" s="45">
        <v>9</v>
      </c>
      <c r="Y289" s="45">
        <v>9</v>
      </c>
      <c r="Z289" s="45">
        <v>9</v>
      </c>
      <c r="AA289" s="45">
        <v>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">
        <v>65</v>
      </c>
      <c r="AX289" s="51" t="s">
        <v>66</v>
      </c>
    </row>
    <row r="290" spans="1:50" ht="21.75" customHeight="1">
      <c r="A290" s="50" t="s">
        <v>61</v>
      </c>
      <c r="B290" s="41" t="s">
        <v>62</v>
      </c>
      <c r="C290" s="42">
        <v>4014181</v>
      </c>
      <c r="D290" s="44" t="s">
        <v>426</v>
      </c>
      <c r="E290" s="44" t="s">
        <v>428</v>
      </c>
      <c r="F290" s="45">
        <v>19</v>
      </c>
      <c r="G290" s="45">
        <v>9</v>
      </c>
      <c r="H290" s="45">
        <v>9</v>
      </c>
      <c r="I290" s="45">
        <v>9</v>
      </c>
      <c r="J290" s="45">
        <f t="shared" si="7"/>
        <v>9</v>
      </c>
      <c r="K290" s="45">
        <f t="shared" si="8"/>
        <v>9</v>
      </c>
      <c r="L290" s="45">
        <f t="shared" si="8"/>
        <v>9</v>
      </c>
      <c r="M290" s="45">
        <v>9</v>
      </c>
      <c r="N290" s="45">
        <v>9</v>
      </c>
      <c r="O290" s="45">
        <f t="shared" si="14"/>
        <v>9</v>
      </c>
      <c r="P290" s="46">
        <f t="shared" si="13"/>
        <v>9</v>
      </c>
      <c r="Q290" s="46">
        <f t="shared" si="13"/>
        <v>9</v>
      </c>
      <c r="R290" s="45">
        <v>9</v>
      </c>
      <c r="S290" s="45">
        <v>9</v>
      </c>
      <c r="T290" s="45">
        <v>9</v>
      </c>
      <c r="U290" s="45">
        <v>9</v>
      </c>
      <c r="V290" s="45">
        <v>9</v>
      </c>
      <c r="W290" s="45">
        <v>9</v>
      </c>
      <c r="X290" s="45">
        <v>9</v>
      </c>
      <c r="Y290" s="45">
        <v>9</v>
      </c>
      <c r="Z290" s="45">
        <v>9</v>
      </c>
      <c r="AA290" s="45">
        <v>9</v>
      </c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">
        <v>65</v>
      </c>
      <c r="AX290" s="51" t="s">
        <v>66</v>
      </c>
    </row>
    <row r="291" spans="1:50" ht="22.5" customHeight="1">
      <c r="A291" s="50" t="s">
        <v>61</v>
      </c>
      <c r="B291" s="41" t="s">
        <v>62</v>
      </c>
      <c r="C291" s="42">
        <v>4015640</v>
      </c>
      <c r="D291" s="43" t="s">
        <v>429</v>
      </c>
      <c r="E291" s="43" t="s">
        <v>430</v>
      </c>
      <c r="F291" s="45">
        <v>999</v>
      </c>
      <c r="G291" s="45">
        <v>649</v>
      </c>
      <c r="H291" s="46">
        <v>649</v>
      </c>
      <c r="I291" s="46">
        <v>649</v>
      </c>
      <c r="J291" s="46">
        <f t="shared" si="7"/>
        <v>549</v>
      </c>
      <c r="K291" s="46">
        <f t="shared" si="8"/>
        <v>549</v>
      </c>
      <c r="L291" s="46">
        <f t="shared" si="8"/>
        <v>549</v>
      </c>
      <c r="M291" s="46">
        <v>549</v>
      </c>
      <c r="N291" s="46">
        <v>549</v>
      </c>
      <c r="O291" s="45">
        <f t="shared" si="14"/>
        <v>549</v>
      </c>
      <c r="P291" s="46">
        <f t="shared" si="13"/>
        <v>549</v>
      </c>
      <c r="Q291" s="46">
        <f t="shared" si="13"/>
        <v>499</v>
      </c>
      <c r="R291" s="45">
        <v>549</v>
      </c>
      <c r="S291" s="45">
        <v>549</v>
      </c>
      <c r="T291" s="45">
        <v>499</v>
      </c>
      <c r="U291" s="45">
        <v>499</v>
      </c>
      <c r="V291" s="45">
        <v>499</v>
      </c>
      <c r="W291" s="45">
        <v>499</v>
      </c>
      <c r="X291" s="45">
        <v>499</v>
      </c>
      <c r="Y291" s="45">
        <v>499</v>
      </c>
      <c r="Z291" s="45">
        <v>499</v>
      </c>
      <c r="AA291" s="45">
        <v>499</v>
      </c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">
        <v>65</v>
      </c>
      <c r="AX291" s="51" t="s">
        <v>66</v>
      </c>
    </row>
    <row r="292" spans="1:50" ht="22.5" customHeight="1">
      <c r="A292" s="50" t="s">
        <v>61</v>
      </c>
      <c r="B292" s="41" t="s">
        <v>62</v>
      </c>
      <c r="C292" s="42">
        <v>4015641</v>
      </c>
      <c r="D292" s="43" t="s">
        <v>429</v>
      </c>
      <c r="E292" s="43" t="s">
        <v>431</v>
      </c>
      <c r="F292" s="45">
        <v>999</v>
      </c>
      <c r="G292" s="45">
        <v>649</v>
      </c>
      <c r="H292" s="46">
        <v>649</v>
      </c>
      <c r="I292" s="46">
        <v>649</v>
      </c>
      <c r="J292" s="46">
        <f t="shared" si="7"/>
        <v>549</v>
      </c>
      <c r="K292" s="46">
        <f t="shared" ref="K292:L356" si="15">M292</f>
        <v>549</v>
      </c>
      <c r="L292" s="46">
        <f t="shared" si="15"/>
        <v>549</v>
      </c>
      <c r="M292" s="46">
        <v>549</v>
      </c>
      <c r="N292" s="46">
        <v>549</v>
      </c>
      <c r="O292" s="45">
        <f t="shared" si="14"/>
        <v>549</v>
      </c>
      <c r="P292" s="46">
        <f t="shared" si="13"/>
        <v>549</v>
      </c>
      <c r="Q292" s="46">
        <f t="shared" si="13"/>
        <v>499</v>
      </c>
      <c r="R292" s="45">
        <v>549</v>
      </c>
      <c r="S292" s="45">
        <v>549</v>
      </c>
      <c r="T292" s="45">
        <v>499</v>
      </c>
      <c r="U292" s="45">
        <v>499</v>
      </c>
      <c r="V292" s="45">
        <v>499</v>
      </c>
      <c r="W292" s="45">
        <v>499</v>
      </c>
      <c r="X292" s="45">
        <v>499</v>
      </c>
      <c r="Y292" s="45">
        <v>499</v>
      </c>
      <c r="Z292" s="45">
        <v>499</v>
      </c>
      <c r="AA292" s="45">
        <v>499</v>
      </c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">
        <v>65</v>
      </c>
      <c r="AX292" s="51" t="s">
        <v>66</v>
      </c>
    </row>
    <row r="293" spans="1:50" ht="21.75" customHeight="1">
      <c r="A293" s="50" t="s">
        <v>61</v>
      </c>
      <c r="B293" s="41" t="s">
        <v>62</v>
      </c>
      <c r="C293" s="42">
        <v>4014510</v>
      </c>
      <c r="D293" s="44" t="s">
        <v>432</v>
      </c>
      <c r="E293" s="44" t="s">
        <v>433</v>
      </c>
      <c r="F293" s="45">
        <v>79</v>
      </c>
      <c r="G293" s="45">
        <v>69</v>
      </c>
      <c r="H293" s="45">
        <v>69</v>
      </c>
      <c r="I293" s="45">
        <v>69</v>
      </c>
      <c r="J293" s="45">
        <f t="shared" si="7"/>
        <v>69</v>
      </c>
      <c r="K293" s="45">
        <f t="shared" si="15"/>
        <v>69</v>
      </c>
      <c r="L293" s="45">
        <f t="shared" si="15"/>
        <v>69</v>
      </c>
      <c r="M293" s="45">
        <v>69</v>
      </c>
      <c r="N293" s="45">
        <v>69</v>
      </c>
      <c r="O293" s="45">
        <f t="shared" si="14"/>
        <v>69</v>
      </c>
      <c r="P293" s="46">
        <f t="shared" si="13"/>
        <v>69</v>
      </c>
      <c r="Q293" s="46">
        <f t="shared" si="13"/>
        <v>69</v>
      </c>
      <c r="R293" s="45">
        <v>69</v>
      </c>
      <c r="S293" s="45">
        <v>69</v>
      </c>
      <c r="T293" s="45">
        <v>69</v>
      </c>
      <c r="U293" s="45">
        <v>69</v>
      </c>
      <c r="V293" s="45">
        <v>69</v>
      </c>
      <c r="W293" s="45">
        <v>69</v>
      </c>
      <c r="X293" s="45">
        <v>69</v>
      </c>
      <c r="Y293" s="45">
        <v>69</v>
      </c>
      <c r="Z293" s="45">
        <v>69</v>
      </c>
      <c r="AA293" s="45">
        <v>69</v>
      </c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">
        <v>65</v>
      </c>
      <c r="AX293" s="51" t="s">
        <v>66</v>
      </c>
    </row>
    <row r="294" spans="1:50" ht="21.75" customHeight="1">
      <c r="A294" s="50" t="s">
        <v>61</v>
      </c>
      <c r="B294" s="41" t="s">
        <v>62</v>
      </c>
      <c r="C294" s="42">
        <v>4014512</v>
      </c>
      <c r="D294" s="44" t="s">
        <v>432</v>
      </c>
      <c r="E294" s="44" t="s">
        <v>434</v>
      </c>
      <c r="F294" s="45">
        <v>79</v>
      </c>
      <c r="G294" s="45">
        <v>69</v>
      </c>
      <c r="H294" s="45">
        <v>69</v>
      </c>
      <c r="I294" s="45">
        <v>69</v>
      </c>
      <c r="J294" s="45">
        <f t="shared" si="7"/>
        <v>69</v>
      </c>
      <c r="K294" s="45">
        <f t="shared" si="15"/>
        <v>69</v>
      </c>
      <c r="L294" s="45">
        <f t="shared" si="15"/>
        <v>69</v>
      </c>
      <c r="M294" s="45">
        <v>69</v>
      </c>
      <c r="N294" s="45">
        <v>69</v>
      </c>
      <c r="O294" s="45">
        <f t="shared" si="14"/>
        <v>69</v>
      </c>
      <c r="P294" s="46">
        <f t="shared" si="13"/>
        <v>69</v>
      </c>
      <c r="Q294" s="46">
        <f t="shared" si="13"/>
        <v>69</v>
      </c>
      <c r="R294" s="45">
        <v>69</v>
      </c>
      <c r="S294" s="45">
        <v>69</v>
      </c>
      <c r="T294" s="45">
        <v>69</v>
      </c>
      <c r="U294" s="45">
        <v>69</v>
      </c>
      <c r="V294" s="45">
        <v>69</v>
      </c>
      <c r="W294" s="45">
        <v>69</v>
      </c>
      <c r="X294" s="45">
        <v>69</v>
      </c>
      <c r="Y294" s="45">
        <v>69</v>
      </c>
      <c r="Z294" s="45">
        <v>69</v>
      </c>
      <c r="AA294" s="45">
        <v>69</v>
      </c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">
        <v>65</v>
      </c>
      <c r="AX294" s="51" t="s">
        <v>66</v>
      </c>
    </row>
    <row r="295" spans="1:50" ht="21.75" customHeight="1">
      <c r="A295" s="50" t="s">
        <v>61</v>
      </c>
      <c r="B295" s="41" t="s">
        <v>62</v>
      </c>
      <c r="C295" s="42">
        <v>4014513</v>
      </c>
      <c r="D295" s="44" t="s">
        <v>435</v>
      </c>
      <c r="E295" s="44" t="s">
        <v>436</v>
      </c>
      <c r="F295" s="45">
        <v>499</v>
      </c>
      <c r="G295" s="45">
        <v>499</v>
      </c>
      <c r="H295" s="45">
        <v>499</v>
      </c>
      <c r="I295" s="45">
        <v>499</v>
      </c>
      <c r="J295" s="45">
        <f t="shared" si="7"/>
        <v>399</v>
      </c>
      <c r="K295" s="45">
        <f t="shared" si="15"/>
        <v>399</v>
      </c>
      <c r="L295" s="45">
        <f t="shared" si="15"/>
        <v>399</v>
      </c>
      <c r="M295" s="45">
        <v>399</v>
      </c>
      <c r="N295" s="45">
        <v>399</v>
      </c>
      <c r="O295" s="45">
        <f t="shared" si="14"/>
        <v>299</v>
      </c>
      <c r="P295" s="46">
        <f t="shared" si="13"/>
        <v>249</v>
      </c>
      <c r="Q295" s="46">
        <f t="shared" si="13"/>
        <v>249</v>
      </c>
      <c r="R295" s="45">
        <v>299</v>
      </c>
      <c r="S295" s="45">
        <v>249</v>
      </c>
      <c r="T295" s="45">
        <v>249</v>
      </c>
      <c r="U295" s="45">
        <v>249</v>
      </c>
      <c r="V295" s="45">
        <v>249</v>
      </c>
      <c r="W295" s="45">
        <v>249</v>
      </c>
      <c r="X295" s="45">
        <v>249</v>
      </c>
      <c r="Y295" s="45">
        <v>249</v>
      </c>
      <c r="Z295" s="45">
        <v>249</v>
      </c>
      <c r="AA295" s="45">
        <v>249</v>
      </c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">
        <v>65</v>
      </c>
      <c r="AX295" s="51" t="s">
        <v>66</v>
      </c>
    </row>
    <row r="296" spans="1:50" ht="21.75" customHeight="1">
      <c r="A296" s="50" t="s">
        <v>61</v>
      </c>
      <c r="B296" s="41" t="s">
        <v>62</v>
      </c>
      <c r="C296" s="42">
        <v>4014514</v>
      </c>
      <c r="D296" s="44" t="s">
        <v>435</v>
      </c>
      <c r="E296" s="44" t="s">
        <v>437</v>
      </c>
      <c r="F296" s="45">
        <v>499</v>
      </c>
      <c r="G296" s="45">
        <v>499</v>
      </c>
      <c r="H296" s="45">
        <v>499</v>
      </c>
      <c r="I296" s="45">
        <v>499</v>
      </c>
      <c r="J296" s="45">
        <f t="shared" si="7"/>
        <v>399</v>
      </c>
      <c r="K296" s="45">
        <f t="shared" si="15"/>
        <v>399</v>
      </c>
      <c r="L296" s="45">
        <f t="shared" si="15"/>
        <v>399</v>
      </c>
      <c r="M296" s="45">
        <v>399</v>
      </c>
      <c r="N296" s="45">
        <v>399</v>
      </c>
      <c r="O296" s="45">
        <f t="shared" si="14"/>
        <v>299</v>
      </c>
      <c r="P296" s="46">
        <f t="shared" si="14"/>
        <v>249</v>
      </c>
      <c r="Q296" s="46">
        <f t="shared" si="14"/>
        <v>249</v>
      </c>
      <c r="R296" s="45">
        <v>299</v>
      </c>
      <c r="S296" s="45">
        <v>249</v>
      </c>
      <c r="T296" s="45">
        <v>249</v>
      </c>
      <c r="U296" s="45">
        <v>249</v>
      </c>
      <c r="V296" s="45">
        <v>249</v>
      </c>
      <c r="W296" s="45">
        <v>249</v>
      </c>
      <c r="X296" s="45">
        <v>249</v>
      </c>
      <c r="Y296" s="45">
        <v>249</v>
      </c>
      <c r="Z296" s="45">
        <v>249</v>
      </c>
      <c r="AA296" s="45">
        <v>249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">
        <v>65</v>
      </c>
      <c r="AX296" s="51" t="s">
        <v>66</v>
      </c>
    </row>
    <row r="297" spans="1:50" ht="21.75" customHeight="1">
      <c r="A297" s="50" t="s">
        <v>61</v>
      </c>
      <c r="B297" s="41" t="s">
        <v>62</v>
      </c>
      <c r="C297" s="42">
        <v>4014713</v>
      </c>
      <c r="D297" s="44" t="s">
        <v>438</v>
      </c>
      <c r="E297" s="44" t="s">
        <v>439</v>
      </c>
      <c r="F297" s="45">
        <v>499</v>
      </c>
      <c r="G297" s="45">
        <v>399</v>
      </c>
      <c r="H297" s="45">
        <v>399</v>
      </c>
      <c r="I297" s="45">
        <v>399</v>
      </c>
      <c r="J297" s="45">
        <f t="shared" si="7"/>
        <v>299</v>
      </c>
      <c r="K297" s="45">
        <f t="shared" si="15"/>
        <v>299</v>
      </c>
      <c r="L297" s="45">
        <f t="shared" si="15"/>
        <v>299</v>
      </c>
      <c r="M297" s="45">
        <v>299</v>
      </c>
      <c r="N297" s="45">
        <v>299</v>
      </c>
      <c r="O297" s="45">
        <f t="shared" si="14"/>
        <v>249</v>
      </c>
      <c r="P297" s="46">
        <f t="shared" si="14"/>
        <v>249</v>
      </c>
      <c r="Q297" s="46">
        <f t="shared" si="14"/>
        <v>249</v>
      </c>
      <c r="R297" s="45">
        <v>249</v>
      </c>
      <c r="S297" s="45">
        <v>249</v>
      </c>
      <c r="T297" s="45">
        <v>249</v>
      </c>
      <c r="U297" s="45">
        <v>249</v>
      </c>
      <c r="V297" s="45">
        <v>249</v>
      </c>
      <c r="W297" s="45">
        <v>249</v>
      </c>
      <c r="X297" s="45">
        <v>249</v>
      </c>
      <c r="Y297" s="45">
        <v>249</v>
      </c>
      <c r="Z297" s="45">
        <v>249</v>
      </c>
      <c r="AA297" s="45">
        <v>249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">
        <v>65</v>
      </c>
      <c r="AX297" s="51" t="s">
        <v>66</v>
      </c>
    </row>
    <row r="298" spans="1:50" ht="21.75" customHeight="1">
      <c r="A298" s="50" t="s">
        <v>61</v>
      </c>
      <c r="B298" s="41" t="s">
        <v>62</v>
      </c>
      <c r="C298" s="42">
        <v>4015303</v>
      </c>
      <c r="D298" s="44" t="s">
        <v>440</v>
      </c>
      <c r="E298" s="44" t="s">
        <v>441</v>
      </c>
      <c r="F298" s="45">
        <v>999</v>
      </c>
      <c r="G298" s="45">
        <v>699</v>
      </c>
      <c r="H298" s="45">
        <v>699</v>
      </c>
      <c r="I298" s="45">
        <v>699</v>
      </c>
      <c r="J298" s="45">
        <f t="shared" si="7"/>
        <v>599</v>
      </c>
      <c r="K298" s="45">
        <f t="shared" si="15"/>
        <v>599</v>
      </c>
      <c r="L298" s="45">
        <f t="shared" si="15"/>
        <v>599</v>
      </c>
      <c r="M298" s="45">
        <v>599</v>
      </c>
      <c r="N298" s="45">
        <v>599</v>
      </c>
      <c r="O298" s="45">
        <f t="shared" si="14"/>
        <v>549</v>
      </c>
      <c r="P298" s="46">
        <f t="shared" si="14"/>
        <v>499</v>
      </c>
      <c r="Q298" s="46">
        <f t="shared" si="14"/>
        <v>449</v>
      </c>
      <c r="R298" s="45">
        <v>549</v>
      </c>
      <c r="S298" s="45">
        <v>499</v>
      </c>
      <c r="T298" s="45">
        <v>449</v>
      </c>
      <c r="U298" s="45">
        <v>449</v>
      </c>
      <c r="V298" s="45">
        <v>449</v>
      </c>
      <c r="W298" s="45">
        <v>449</v>
      </c>
      <c r="X298" s="45">
        <v>449</v>
      </c>
      <c r="Y298" s="45">
        <v>449</v>
      </c>
      <c r="Z298" s="45">
        <v>449</v>
      </c>
      <c r="AA298" s="45">
        <v>449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">
        <v>65</v>
      </c>
      <c r="AX298" s="51" t="s">
        <v>66</v>
      </c>
    </row>
    <row r="299" spans="1:50" ht="21.75" customHeight="1">
      <c r="A299" s="50" t="s">
        <v>61</v>
      </c>
      <c r="B299" s="41" t="s">
        <v>62</v>
      </c>
      <c r="C299" s="42">
        <v>4014200</v>
      </c>
      <c r="D299" s="44" t="s">
        <v>442</v>
      </c>
      <c r="E299" s="44" t="s">
        <v>443</v>
      </c>
      <c r="F299" s="45">
        <v>499</v>
      </c>
      <c r="G299" s="45">
        <v>499</v>
      </c>
      <c r="H299" s="45">
        <v>499</v>
      </c>
      <c r="I299" s="45">
        <v>499</v>
      </c>
      <c r="J299" s="45">
        <f t="shared" si="7"/>
        <v>399</v>
      </c>
      <c r="K299" s="45">
        <f t="shared" si="15"/>
        <v>399</v>
      </c>
      <c r="L299" s="45">
        <f t="shared" si="15"/>
        <v>399</v>
      </c>
      <c r="M299" s="45">
        <v>399</v>
      </c>
      <c r="N299" s="45">
        <v>399</v>
      </c>
      <c r="O299" s="45">
        <f t="shared" si="14"/>
        <v>299</v>
      </c>
      <c r="P299" s="46">
        <f t="shared" si="14"/>
        <v>249</v>
      </c>
      <c r="Q299" s="46">
        <f t="shared" si="14"/>
        <v>249</v>
      </c>
      <c r="R299" s="45">
        <v>299</v>
      </c>
      <c r="S299" s="45">
        <v>249</v>
      </c>
      <c r="T299" s="45">
        <v>249</v>
      </c>
      <c r="U299" s="45">
        <v>249</v>
      </c>
      <c r="V299" s="45">
        <v>249</v>
      </c>
      <c r="W299" s="45">
        <v>249</v>
      </c>
      <c r="X299" s="45">
        <v>249</v>
      </c>
      <c r="Y299" s="45">
        <v>249</v>
      </c>
      <c r="Z299" s="45">
        <v>249</v>
      </c>
      <c r="AA299" s="45">
        <v>249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">
        <v>65</v>
      </c>
      <c r="AX299" s="51" t="s">
        <v>66</v>
      </c>
    </row>
    <row r="300" spans="1:50" ht="21.75" customHeight="1">
      <c r="A300" s="50" t="s">
        <v>61</v>
      </c>
      <c r="B300" s="41" t="s">
        <v>62</v>
      </c>
      <c r="C300" s="42">
        <v>4015001</v>
      </c>
      <c r="D300" s="44" t="s">
        <v>444</v>
      </c>
      <c r="E300" s="44" t="s">
        <v>445</v>
      </c>
      <c r="F300" s="45">
        <v>999</v>
      </c>
      <c r="G300" s="45">
        <v>699</v>
      </c>
      <c r="H300" s="45">
        <v>699</v>
      </c>
      <c r="I300" s="45">
        <v>699</v>
      </c>
      <c r="J300" s="45">
        <f t="shared" si="7"/>
        <v>599</v>
      </c>
      <c r="K300" s="45">
        <f t="shared" si="15"/>
        <v>599</v>
      </c>
      <c r="L300" s="45">
        <f t="shared" si="15"/>
        <v>599</v>
      </c>
      <c r="M300" s="45">
        <v>599</v>
      </c>
      <c r="N300" s="45">
        <v>599</v>
      </c>
      <c r="O300" s="45">
        <f t="shared" si="14"/>
        <v>549</v>
      </c>
      <c r="P300" s="46">
        <f t="shared" si="14"/>
        <v>499</v>
      </c>
      <c r="Q300" s="46">
        <f t="shared" si="14"/>
        <v>399</v>
      </c>
      <c r="R300" s="45">
        <v>549</v>
      </c>
      <c r="S300" s="45">
        <v>499</v>
      </c>
      <c r="T300" s="45">
        <v>399</v>
      </c>
      <c r="U300" s="45">
        <v>399</v>
      </c>
      <c r="V300" s="45">
        <v>399</v>
      </c>
      <c r="W300" s="45">
        <v>399</v>
      </c>
      <c r="X300" s="45">
        <v>399</v>
      </c>
      <c r="Y300" s="45">
        <v>399</v>
      </c>
      <c r="Z300" s="45">
        <v>399</v>
      </c>
      <c r="AA300" s="45">
        <v>399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">
        <v>65</v>
      </c>
      <c r="AX300" s="51" t="s">
        <v>66</v>
      </c>
    </row>
    <row r="301" spans="1:50" ht="21.75" customHeight="1">
      <c r="A301" s="50" t="s">
        <v>61</v>
      </c>
      <c r="B301" s="41" t="s">
        <v>62</v>
      </c>
      <c r="C301" s="42">
        <v>4015983</v>
      </c>
      <c r="D301" s="44" t="s">
        <v>446</v>
      </c>
      <c r="E301" s="44" t="s">
        <v>447</v>
      </c>
      <c r="F301" s="45">
        <v>1299</v>
      </c>
      <c r="G301" s="45">
        <v>899</v>
      </c>
      <c r="H301" s="45">
        <v>899</v>
      </c>
      <c r="I301" s="45">
        <v>899</v>
      </c>
      <c r="J301" s="45">
        <v>799</v>
      </c>
      <c r="K301" s="45">
        <v>799</v>
      </c>
      <c r="L301" s="45">
        <v>799</v>
      </c>
      <c r="M301" s="45">
        <v>799</v>
      </c>
      <c r="N301" s="45">
        <v>799</v>
      </c>
      <c r="O301" s="45">
        <v>749</v>
      </c>
      <c r="P301" s="46">
        <v>749</v>
      </c>
      <c r="Q301" s="46">
        <v>749</v>
      </c>
      <c r="R301" s="45">
        <v>749</v>
      </c>
      <c r="S301" s="45">
        <v>749</v>
      </c>
      <c r="T301" s="45">
        <v>749</v>
      </c>
      <c r="U301" s="45">
        <v>749</v>
      </c>
      <c r="V301" s="45">
        <v>749</v>
      </c>
      <c r="W301" s="45">
        <v>749</v>
      </c>
      <c r="X301" s="45">
        <v>749</v>
      </c>
      <c r="Y301" s="45">
        <v>749</v>
      </c>
      <c r="Z301" s="45">
        <v>749</v>
      </c>
      <c r="AA301" s="45">
        <v>749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">
        <v>65</v>
      </c>
      <c r="AX301" s="51" t="s">
        <v>82</v>
      </c>
    </row>
    <row r="302" spans="1:50" ht="21.75" customHeight="1">
      <c r="A302" s="50" t="s">
        <v>61</v>
      </c>
      <c r="B302" s="41" t="s">
        <v>62</v>
      </c>
      <c r="C302" s="42">
        <v>4015985</v>
      </c>
      <c r="D302" s="44" t="s">
        <v>446</v>
      </c>
      <c r="E302" s="44" t="s">
        <v>448</v>
      </c>
      <c r="F302" s="45">
        <v>1299</v>
      </c>
      <c r="G302" s="45">
        <v>899</v>
      </c>
      <c r="H302" s="45">
        <v>899</v>
      </c>
      <c r="I302" s="45">
        <v>899</v>
      </c>
      <c r="J302" s="45">
        <v>799</v>
      </c>
      <c r="K302" s="45">
        <v>799</v>
      </c>
      <c r="L302" s="45">
        <v>799</v>
      </c>
      <c r="M302" s="45">
        <v>799</v>
      </c>
      <c r="N302" s="45">
        <v>799</v>
      </c>
      <c r="O302" s="45">
        <v>749</v>
      </c>
      <c r="P302" s="46">
        <v>749</v>
      </c>
      <c r="Q302" s="46">
        <v>749</v>
      </c>
      <c r="R302" s="45">
        <v>749</v>
      </c>
      <c r="S302" s="45">
        <v>749</v>
      </c>
      <c r="T302" s="45">
        <v>749</v>
      </c>
      <c r="U302" s="45">
        <v>749</v>
      </c>
      <c r="V302" s="45">
        <v>749</v>
      </c>
      <c r="W302" s="45">
        <v>749</v>
      </c>
      <c r="X302" s="45">
        <v>749</v>
      </c>
      <c r="Y302" s="45">
        <v>749</v>
      </c>
      <c r="Z302" s="45">
        <v>749</v>
      </c>
      <c r="AA302" s="45">
        <v>749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">
        <v>65</v>
      </c>
      <c r="AX302" s="51" t="s">
        <v>82</v>
      </c>
    </row>
    <row r="303" spans="1:50" ht="21.75" customHeight="1">
      <c r="A303" s="50" t="s">
        <v>61</v>
      </c>
      <c r="B303" s="41" t="s">
        <v>62</v>
      </c>
      <c r="C303" s="42">
        <v>4016578</v>
      </c>
      <c r="D303" s="58" t="s">
        <v>449</v>
      </c>
      <c r="E303" s="44" t="s">
        <v>450</v>
      </c>
      <c r="F303" s="45">
        <v>1499</v>
      </c>
      <c r="G303" s="45">
        <v>799</v>
      </c>
      <c r="H303" s="45">
        <v>899</v>
      </c>
      <c r="I303" s="45">
        <v>899</v>
      </c>
      <c r="J303" s="45">
        <v>799</v>
      </c>
      <c r="K303" s="59">
        <v>499</v>
      </c>
      <c r="L303" s="59">
        <v>499</v>
      </c>
      <c r="M303" s="59">
        <v>799</v>
      </c>
      <c r="N303" s="59">
        <v>499</v>
      </c>
      <c r="O303" s="59">
        <v>499</v>
      </c>
      <c r="P303" s="54">
        <v>499</v>
      </c>
      <c r="Q303" s="54">
        <v>499</v>
      </c>
      <c r="R303" s="59">
        <v>499</v>
      </c>
      <c r="S303" s="59">
        <v>499</v>
      </c>
      <c r="T303" s="59">
        <v>499</v>
      </c>
      <c r="U303" s="59">
        <v>499</v>
      </c>
      <c r="V303" s="59">
        <v>499</v>
      </c>
      <c r="W303" s="59">
        <v>499</v>
      </c>
      <c r="X303" s="59">
        <v>499</v>
      </c>
      <c r="Y303" s="59">
        <v>499</v>
      </c>
      <c r="Z303" s="59">
        <v>499</v>
      </c>
      <c r="AA303" s="59">
        <v>499</v>
      </c>
      <c r="AB303" s="59">
        <v>499</v>
      </c>
      <c r="AC303" s="59">
        <v>499</v>
      </c>
      <c r="AD303" s="59">
        <v>499</v>
      </c>
      <c r="AE303" s="59">
        <v>499</v>
      </c>
      <c r="AF303" s="59">
        <v>499</v>
      </c>
      <c r="AG303" s="59">
        <v>499</v>
      </c>
      <c r="AH303" s="59">
        <v>499</v>
      </c>
      <c r="AI303" s="59">
        <v>499</v>
      </c>
      <c r="AJ303" s="59">
        <v>499</v>
      </c>
      <c r="AK303" s="59">
        <v>499</v>
      </c>
      <c r="AL303" s="59">
        <v>499</v>
      </c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">
        <v>65</v>
      </c>
      <c r="AX303" s="51" t="s">
        <v>82</v>
      </c>
    </row>
    <row r="304" spans="1:50" ht="21.75" customHeight="1">
      <c r="A304" s="50" t="s">
        <v>61</v>
      </c>
      <c r="B304" s="41" t="s">
        <v>62</v>
      </c>
      <c r="C304" s="42">
        <v>4016661</v>
      </c>
      <c r="D304" s="58" t="s">
        <v>449</v>
      </c>
      <c r="E304" s="44" t="s">
        <v>451</v>
      </c>
      <c r="F304" s="45">
        <v>1499</v>
      </c>
      <c r="G304" s="45">
        <v>799</v>
      </c>
      <c r="H304" s="45">
        <v>899</v>
      </c>
      <c r="I304" s="45">
        <v>899</v>
      </c>
      <c r="J304" s="45">
        <v>799</v>
      </c>
      <c r="K304" s="59">
        <v>499</v>
      </c>
      <c r="L304" s="59">
        <v>499</v>
      </c>
      <c r="M304" s="59">
        <v>799</v>
      </c>
      <c r="N304" s="59">
        <v>499</v>
      </c>
      <c r="O304" s="59">
        <v>499</v>
      </c>
      <c r="P304" s="54">
        <v>499</v>
      </c>
      <c r="Q304" s="54">
        <v>499</v>
      </c>
      <c r="R304" s="59">
        <v>499</v>
      </c>
      <c r="S304" s="59">
        <v>499</v>
      </c>
      <c r="T304" s="59">
        <v>499</v>
      </c>
      <c r="U304" s="59">
        <v>499</v>
      </c>
      <c r="V304" s="59">
        <v>499</v>
      </c>
      <c r="W304" s="59">
        <v>499</v>
      </c>
      <c r="X304" s="59">
        <v>499</v>
      </c>
      <c r="Y304" s="59">
        <v>499</v>
      </c>
      <c r="Z304" s="59">
        <v>499</v>
      </c>
      <c r="AA304" s="59">
        <v>499</v>
      </c>
      <c r="AB304" s="59">
        <v>499</v>
      </c>
      <c r="AC304" s="59">
        <v>499</v>
      </c>
      <c r="AD304" s="59">
        <v>499</v>
      </c>
      <c r="AE304" s="59">
        <v>499</v>
      </c>
      <c r="AF304" s="59">
        <v>499</v>
      </c>
      <c r="AG304" s="59">
        <v>499</v>
      </c>
      <c r="AH304" s="59">
        <v>499</v>
      </c>
      <c r="AI304" s="59">
        <v>499</v>
      </c>
      <c r="AJ304" s="59">
        <v>499</v>
      </c>
      <c r="AK304" s="59">
        <v>499</v>
      </c>
      <c r="AL304" s="59">
        <v>499</v>
      </c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">
        <v>65</v>
      </c>
      <c r="AX304" s="51" t="s">
        <v>82</v>
      </c>
    </row>
    <row r="305" spans="1:50" ht="21.75" customHeight="1">
      <c r="A305" s="50" t="s">
        <v>61</v>
      </c>
      <c r="B305" s="41" t="s">
        <v>62</v>
      </c>
      <c r="C305" s="42">
        <v>4016660</v>
      </c>
      <c r="D305" s="44" t="s">
        <v>452</v>
      </c>
      <c r="E305" s="44" t="s">
        <v>453</v>
      </c>
      <c r="F305" s="45">
        <v>1699</v>
      </c>
      <c r="G305" s="45">
        <v>1099</v>
      </c>
      <c r="H305" s="45">
        <v>1199</v>
      </c>
      <c r="I305" s="45">
        <v>1199</v>
      </c>
      <c r="J305" s="45">
        <v>1099</v>
      </c>
      <c r="K305" s="45">
        <v>899</v>
      </c>
      <c r="L305" s="45">
        <v>899</v>
      </c>
      <c r="M305" s="45">
        <v>1099</v>
      </c>
      <c r="N305" s="45">
        <v>899</v>
      </c>
      <c r="O305" s="45">
        <v>849</v>
      </c>
      <c r="P305" s="46">
        <v>849</v>
      </c>
      <c r="Q305" s="46">
        <v>799</v>
      </c>
      <c r="R305" s="45">
        <v>849</v>
      </c>
      <c r="S305" s="45">
        <v>849</v>
      </c>
      <c r="T305" s="45">
        <v>799</v>
      </c>
      <c r="U305" s="45">
        <v>799</v>
      </c>
      <c r="V305" s="45">
        <v>799</v>
      </c>
      <c r="W305" s="45">
        <v>799</v>
      </c>
      <c r="X305" s="45">
        <v>799</v>
      </c>
      <c r="Y305" s="45">
        <v>799</v>
      </c>
      <c r="Z305" s="45">
        <v>799</v>
      </c>
      <c r="AA305" s="45">
        <v>799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">
        <v>65</v>
      </c>
      <c r="AX305" s="51" t="s">
        <v>82</v>
      </c>
    </row>
    <row r="306" spans="1:50" ht="21.75" customHeight="1">
      <c r="A306" s="50" t="s">
        <v>61</v>
      </c>
      <c r="B306" s="41" t="s">
        <v>62</v>
      </c>
      <c r="C306" s="42">
        <v>4016663</v>
      </c>
      <c r="D306" s="44" t="s">
        <v>452</v>
      </c>
      <c r="E306" s="44" t="s">
        <v>454</v>
      </c>
      <c r="F306" s="45">
        <v>1699</v>
      </c>
      <c r="G306" s="45">
        <v>1099</v>
      </c>
      <c r="H306" s="45">
        <v>1199</v>
      </c>
      <c r="I306" s="45">
        <v>1199</v>
      </c>
      <c r="J306" s="45">
        <v>1099</v>
      </c>
      <c r="K306" s="45">
        <v>899</v>
      </c>
      <c r="L306" s="45">
        <v>899</v>
      </c>
      <c r="M306" s="45">
        <v>1099</v>
      </c>
      <c r="N306" s="45">
        <v>899</v>
      </c>
      <c r="O306" s="45">
        <v>849</v>
      </c>
      <c r="P306" s="46">
        <v>849</v>
      </c>
      <c r="Q306" s="46">
        <v>799</v>
      </c>
      <c r="R306" s="45">
        <v>849</v>
      </c>
      <c r="S306" s="45">
        <v>849</v>
      </c>
      <c r="T306" s="45">
        <v>799</v>
      </c>
      <c r="U306" s="45">
        <v>799</v>
      </c>
      <c r="V306" s="45">
        <v>799</v>
      </c>
      <c r="W306" s="45">
        <v>799</v>
      </c>
      <c r="X306" s="45">
        <v>799</v>
      </c>
      <c r="Y306" s="45">
        <v>799</v>
      </c>
      <c r="Z306" s="45">
        <v>799</v>
      </c>
      <c r="AA306" s="45">
        <v>799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">
        <v>65</v>
      </c>
      <c r="AX306" s="51" t="s">
        <v>82</v>
      </c>
    </row>
    <row r="307" spans="1:50" ht="21.75" customHeight="1">
      <c r="A307" s="50" t="s">
        <v>61</v>
      </c>
      <c r="B307" s="41" t="s">
        <v>62</v>
      </c>
      <c r="C307" s="42">
        <v>4014515</v>
      </c>
      <c r="D307" s="44" t="s">
        <v>455</v>
      </c>
      <c r="E307" s="44" t="s">
        <v>456</v>
      </c>
      <c r="F307" s="45">
        <v>699</v>
      </c>
      <c r="G307" s="45">
        <v>699</v>
      </c>
      <c r="H307" s="45">
        <v>699</v>
      </c>
      <c r="I307" s="45">
        <v>699</v>
      </c>
      <c r="J307" s="45">
        <f t="shared" ref="J307:J356" si="16">M307</f>
        <v>599</v>
      </c>
      <c r="K307" s="45">
        <f t="shared" si="15"/>
        <v>599</v>
      </c>
      <c r="L307" s="45">
        <f t="shared" si="15"/>
        <v>599</v>
      </c>
      <c r="M307" s="45">
        <v>599</v>
      </c>
      <c r="N307" s="45">
        <v>599</v>
      </c>
      <c r="O307" s="45">
        <f t="shared" si="14"/>
        <v>549</v>
      </c>
      <c r="P307" s="46">
        <f t="shared" si="14"/>
        <v>499</v>
      </c>
      <c r="Q307" s="46">
        <f t="shared" si="14"/>
        <v>399</v>
      </c>
      <c r="R307" s="45">
        <v>549</v>
      </c>
      <c r="S307" s="45">
        <v>499</v>
      </c>
      <c r="T307" s="45">
        <v>399</v>
      </c>
      <c r="U307" s="45">
        <v>399</v>
      </c>
      <c r="V307" s="45">
        <v>399</v>
      </c>
      <c r="W307" s="45">
        <v>399</v>
      </c>
      <c r="X307" s="45">
        <v>349</v>
      </c>
      <c r="Y307" s="45">
        <v>349</v>
      </c>
      <c r="Z307" s="45">
        <v>349</v>
      </c>
      <c r="AA307" s="45">
        <v>349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">
        <v>65</v>
      </c>
      <c r="AX307" s="51" t="s">
        <v>66</v>
      </c>
    </row>
    <row r="308" spans="1:50" ht="21.75" customHeight="1">
      <c r="A308" s="50" t="s">
        <v>61</v>
      </c>
      <c r="B308" s="41" t="s">
        <v>62</v>
      </c>
      <c r="C308" s="42">
        <v>4015328</v>
      </c>
      <c r="D308" s="44" t="s">
        <v>457</v>
      </c>
      <c r="E308" s="44" t="s">
        <v>458</v>
      </c>
      <c r="F308" s="45">
        <v>956</v>
      </c>
      <c r="G308" s="45">
        <v>756</v>
      </c>
      <c r="H308" s="45">
        <v>956</v>
      </c>
      <c r="I308" s="45">
        <v>956</v>
      </c>
      <c r="J308" s="45">
        <v>529</v>
      </c>
      <c r="K308" s="45">
        <v>529</v>
      </c>
      <c r="L308" s="45">
        <v>529</v>
      </c>
      <c r="M308" s="45">
        <v>529</v>
      </c>
      <c r="N308" s="45">
        <v>529</v>
      </c>
      <c r="O308" s="45">
        <v>529</v>
      </c>
      <c r="P308" s="45">
        <v>529</v>
      </c>
      <c r="Q308" s="45">
        <v>529</v>
      </c>
      <c r="R308" s="45">
        <v>529</v>
      </c>
      <c r="S308" s="45">
        <v>529</v>
      </c>
      <c r="T308" s="45">
        <v>529</v>
      </c>
      <c r="U308" s="45">
        <v>529</v>
      </c>
      <c r="V308" s="45">
        <v>529</v>
      </c>
      <c r="W308" s="45">
        <v>529</v>
      </c>
      <c r="X308" s="45">
        <v>529</v>
      </c>
      <c r="Y308" s="45">
        <v>529</v>
      </c>
      <c r="Z308" s="45">
        <v>529</v>
      </c>
      <c r="AA308" s="45">
        <v>529</v>
      </c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">
        <v>65</v>
      </c>
      <c r="AX308" s="51" t="s">
        <v>82</v>
      </c>
    </row>
    <row r="309" spans="1:50" ht="21.75" customHeight="1">
      <c r="A309" s="50" t="s">
        <v>61</v>
      </c>
      <c r="B309" s="41" t="s">
        <v>62</v>
      </c>
      <c r="C309" s="42">
        <v>4015336</v>
      </c>
      <c r="D309" s="44" t="s">
        <v>457</v>
      </c>
      <c r="E309" s="44" t="s">
        <v>459</v>
      </c>
      <c r="F309" s="45">
        <v>956</v>
      </c>
      <c r="G309" s="45">
        <v>756</v>
      </c>
      <c r="H309" s="45">
        <v>956</v>
      </c>
      <c r="I309" s="45">
        <v>956</v>
      </c>
      <c r="J309" s="45">
        <v>529</v>
      </c>
      <c r="K309" s="45">
        <v>529</v>
      </c>
      <c r="L309" s="45">
        <v>529</v>
      </c>
      <c r="M309" s="45">
        <v>529</v>
      </c>
      <c r="N309" s="45">
        <v>529</v>
      </c>
      <c r="O309" s="45">
        <v>529</v>
      </c>
      <c r="P309" s="45">
        <v>529</v>
      </c>
      <c r="Q309" s="45">
        <v>529</v>
      </c>
      <c r="R309" s="45">
        <v>529</v>
      </c>
      <c r="S309" s="45">
        <v>529</v>
      </c>
      <c r="T309" s="45">
        <v>529</v>
      </c>
      <c r="U309" s="45">
        <v>529</v>
      </c>
      <c r="V309" s="45">
        <v>529</v>
      </c>
      <c r="W309" s="45">
        <v>529</v>
      </c>
      <c r="X309" s="45">
        <v>529</v>
      </c>
      <c r="Y309" s="45">
        <v>529</v>
      </c>
      <c r="Z309" s="45">
        <v>529</v>
      </c>
      <c r="AA309" s="45">
        <v>529</v>
      </c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">
        <v>65</v>
      </c>
      <c r="AX309" s="51" t="s">
        <v>82</v>
      </c>
    </row>
    <row r="310" spans="1:50" ht="21.75" customHeight="1">
      <c r="A310" s="50" t="s">
        <v>61</v>
      </c>
      <c r="B310" s="41" t="s">
        <v>62</v>
      </c>
      <c r="C310" s="42">
        <v>4015667</v>
      </c>
      <c r="D310" s="44" t="s">
        <v>460</v>
      </c>
      <c r="E310" s="44" t="s">
        <v>461</v>
      </c>
      <c r="F310" s="45">
        <v>1499</v>
      </c>
      <c r="G310" s="45">
        <v>899</v>
      </c>
      <c r="H310" s="45">
        <v>899</v>
      </c>
      <c r="I310" s="45">
        <v>899</v>
      </c>
      <c r="J310" s="45">
        <f t="shared" si="16"/>
        <v>799</v>
      </c>
      <c r="K310" s="45">
        <f t="shared" si="15"/>
        <v>799</v>
      </c>
      <c r="L310" s="45">
        <f t="shared" si="15"/>
        <v>799</v>
      </c>
      <c r="M310" s="45">
        <v>799</v>
      </c>
      <c r="N310" s="45">
        <v>799</v>
      </c>
      <c r="O310" s="45">
        <f t="shared" si="14"/>
        <v>749</v>
      </c>
      <c r="P310" s="46">
        <f t="shared" si="14"/>
        <v>699</v>
      </c>
      <c r="Q310" s="46">
        <f t="shared" si="14"/>
        <v>499</v>
      </c>
      <c r="R310" s="45">
        <v>749</v>
      </c>
      <c r="S310" s="45">
        <v>699</v>
      </c>
      <c r="T310" s="45">
        <v>499</v>
      </c>
      <c r="U310" s="45">
        <v>499</v>
      </c>
      <c r="V310" s="45">
        <v>499</v>
      </c>
      <c r="W310" s="45">
        <v>499</v>
      </c>
      <c r="X310" s="45">
        <v>399</v>
      </c>
      <c r="Y310" s="45">
        <v>399</v>
      </c>
      <c r="Z310" s="45">
        <v>399</v>
      </c>
      <c r="AA310" s="45">
        <v>399</v>
      </c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">
        <v>65</v>
      </c>
      <c r="AX310" s="51" t="s">
        <v>82</v>
      </c>
    </row>
    <row r="311" spans="1:50" ht="21.75" customHeight="1">
      <c r="A311" s="50" t="s">
        <v>61</v>
      </c>
      <c r="B311" s="41" t="s">
        <v>62</v>
      </c>
      <c r="C311" s="42">
        <v>4015989</v>
      </c>
      <c r="D311" s="44" t="s">
        <v>462</v>
      </c>
      <c r="E311" s="44" t="s">
        <v>463</v>
      </c>
      <c r="F311" s="45">
        <v>1699</v>
      </c>
      <c r="G311" s="45">
        <v>1399</v>
      </c>
      <c r="H311" s="45">
        <v>1399</v>
      </c>
      <c r="I311" s="45">
        <v>1399</v>
      </c>
      <c r="J311" s="45">
        <v>1199</v>
      </c>
      <c r="K311" s="45">
        <v>1199</v>
      </c>
      <c r="L311" s="45">
        <v>1199</v>
      </c>
      <c r="M311" s="45">
        <v>1199</v>
      </c>
      <c r="N311" s="45">
        <v>1199</v>
      </c>
      <c r="O311" s="45">
        <v>1099</v>
      </c>
      <c r="P311" s="46">
        <v>1049</v>
      </c>
      <c r="Q311" s="46">
        <v>899</v>
      </c>
      <c r="R311" s="45">
        <v>1099</v>
      </c>
      <c r="S311" s="45">
        <v>1049</v>
      </c>
      <c r="T311" s="45">
        <v>899</v>
      </c>
      <c r="U311" s="45">
        <v>899</v>
      </c>
      <c r="V311" s="45">
        <v>899</v>
      </c>
      <c r="W311" s="45">
        <v>899</v>
      </c>
      <c r="X311" s="45">
        <v>849</v>
      </c>
      <c r="Y311" s="45">
        <v>829</v>
      </c>
      <c r="Z311" s="45">
        <v>829</v>
      </c>
      <c r="AA311" s="45">
        <v>819</v>
      </c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">
        <v>65</v>
      </c>
      <c r="AX311" s="51" t="s">
        <v>82</v>
      </c>
    </row>
    <row r="312" spans="1:50" ht="21.75" customHeight="1">
      <c r="A312" s="50" t="s">
        <v>61</v>
      </c>
      <c r="B312" s="41" t="s">
        <v>62</v>
      </c>
      <c r="C312" s="42">
        <v>4017123</v>
      </c>
      <c r="D312" s="58" t="s">
        <v>464</v>
      </c>
      <c r="E312" s="44" t="s">
        <v>465</v>
      </c>
      <c r="F312" s="45">
        <v>1999</v>
      </c>
      <c r="G312" s="45">
        <v>1499</v>
      </c>
      <c r="H312" s="45">
        <v>1499</v>
      </c>
      <c r="I312" s="45">
        <v>1499</v>
      </c>
      <c r="J312" s="45">
        <v>1299</v>
      </c>
      <c r="K312" s="45">
        <v>1199</v>
      </c>
      <c r="L312" s="45">
        <v>1199</v>
      </c>
      <c r="M312" s="45">
        <v>1299</v>
      </c>
      <c r="N312" s="45">
        <v>1199</v>
      </c>
      <c r="O312" s="45">
        <v>1149</v>
      </c>
      <c r="P312" s="46">
        <v>1049</v>
      </c>
      <c r="Q312" s="46">
        <v>999</v>
      </c>
      <c r="R312" s="45">
        <v>1149</v>
      </c>
      <c r="S312" s="45">
        <v>1049</v>
      </c>
      <c r="T312" s="45">
        <v>999</v>
      </c>
      <c r="U312" s="45">
        <v>999</v>
      </c>
      <c r="V312" s="45">
        <v>999</v>
      </c>
      <c r="W312" s="45">
        <v>999</v>
      </c>
      <c r="X312" s="45">
        <v>999</v>
      </c>
      <c r="Y312" s="59">
        <v>999</v>
      </c>
      <c r="Z312" s="59">
        <v>999</v>
      </c>
      <c r="AA312" s="59">
        <v>999</v>
      </c>
      <c r="AB312" s="45">
        <v>1199</v>
      </c>
      <c r="AC312" s="45">
        <v>1199</v>
      </c>
      <c r="AD312" s="45">
        <v>1199</v>
      </c>
      <c r="AE312" s="45">
        <v>1199</v>
      </c>
      <c r="AF312" s="45">
        <v>1149</v>
      </c>
      <c r="AG312" s="45">
        <v>1049</v>
      </c>
      <c r="AH312" s="45">
        <v>999</v>
      </c>
      <c r="AI312" s="45">
        <v>999</v>
      </c>
      <c r="AJ312" s="45">
        <v>999</v>
      </c>
      <c r="AK312" s="45">
        <v>999</v>
      </c>
      <c r="AL312" s="59">
        <v>999</v>
      </c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">
        <v>65</v>
      </c>
      <c r="AX312" s="51" t="s">
        <v>82</v>
      </c>
    </row>
    <row r="313" spans="1:50" ht="21.75" customHeight="1">
      <c r="A313" s="50" t="s">
        <v>61</v>
      </c>
      <c r="B313" s="41" t="s">
        <v>62</v>
      </c>
      <c r="C313" s="42">
        <v>4017120</v>
      </c>
      <c r="D313" s="58" t="s">
        <v>464</v>
      </c>
      <c r="E313" s="44" t="s">
        <v>466</v>
      </c>
      <c r="F313" s="45">
        <v>1999</v>
      </c>
      <c r="G313" s="45">
        <v>1499</v>
      </c>
      <c r="H313" s="45">
        <v>1499</v>
      </c>
      <c r="I313" s="45">
        <v>1499</v>
      </c>
      <c r="J313" s="45">
        <v>1299</v>
      </c>
      <c r="K313" s="45">
        <v>1199</v>
      </c>
      <c r="L313" s="45">
        <v>1199</v>
      </c>
      <c r="M313" s="45">
        <v>1299</v>
      </c>
      <c r="N313" s="45">
        <v>1199</v>
      </c>
      <c r="O313" s="45">
        <v>1149</v>
      </c>
      <c r="P313" s="46">
        <v>1049</v>
      </c>
      <c r="Q313" s="46">
        <v>999</v>
      </c>
      <c r="R313" s="45">
        <v>1149</v>
      </c>
      <c r="S313" s="45">
        <v>1049</v>
      </c>
      <c r="T313" s="45">
        <v>999</v>
      </c>
      <c r="U313" s="45">
        <v>999</v>
      </c>
      <c r="V313" s="45">
        <v>999</v>
      </c>
      <c r="W313" s="45">
        <v>999</v>
      </c>
      <c r="X313" s="45">
        <v>999</v>
      </c>
      <c r="Y313" s="59">
        <v>999</v>
      </c>
      <c r="Z313" s="59">
        <v>999</v>
      </c>
      <c r="AA313" s="59">
        <v>999</v>
      </c>
      <c r="AB313" s="45">
        <v>1199</v>
      </c>
      <c r="AC313" s="45">
        <v>1199</v>
      </c>
      <c r="AD313" s="45">
        <v>1199</v>
      </c>
      <c r="AE313" s="45">
        <v>1199</v>
      </c>
      <c r="AF313" s="45">
        <v>1149</v>
      </c>
      <c r="AG313" s="45">
        <v>1049</v>
      </c>
      <c r="AH313" s="45">
        <v>999</v>
      </c>
      <c r="AI313" s="45">
        <v>999</v>
      </c>
      <c r="AJ313" s="45">
        <v>999</v>
      </c>
      <c r="AK313" s="45">
        <v>999</v>
      </c>
      <c r="AL313" s="59">
        <v>999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">
        <v>65</v>
      </c>
      <c r="AX313" s="51" t="s">
        <v>82</v>
      </c>
    </row>
    <row r="314" spans="1:50" ht="21.75" customHeight="1">
      <c r="A314" s="50" t="s">
        <v>61</v>
      </c>
      <c r="B314" s="41" t="s">
        <v>62</v>
      </c>
      <c r="C314" s="42">
        <v>4014410</v>
      </c>
      <c r="D314" s="44" t="s">
        <v>467</v>
      </c>
      <c r="E314" s="44" t="s">
        <v>468</v>
      </c>
      <c r="F314" s="45">
        <v>499</v>
      </c>
      <c r="G314" s="45">
        <v>499</v>
      </c>
      <c r="H314" s="45">
        <v>499</v>
      </c>
      <c r="I314" s="45">
        <v>499</v>
      </c>
      <c r="J314" s="45">
        <f t="shared" si="16"/>
        <v>399</v>
      </c>
      <c r="K314" s="45">
        <f t="shared" si="15"/>
        <v>399</v>
      </c>
      <c r="L314" s="45">
        <f t="shared" si="15"/>
        <v>399</v>
      </c>
      <c r="M314" s="45">
        <v>399</v>
      </c>
      <c r="N314" s="45">
        <v>399</v>
      </c>
      <c r="O314" s="45">
        <f t="shared" si="14"/>
        <v>299</v>
      </c>
      <c r="P314" s="46">
        <f t="shared" si="14"/>
        <v>249</v>
      </c>
      <c r="Q314" s="46">
        <f t="shared" si="14"/>
        <v>249</v>
      </c>
      <c r="R314" s="45">
        <v>299</v>
      </c>
      <c r="S314" s="45">
        <v>249</v>
      </c>
      <c r="T314" s="45">
        <v>249</v>
      </c>
      <c r="U314" s="45">
        <v>249</v>
      </c>
      <c r="V314" s="45">
        <v>249</v>
      </c>
      <c r="W314" s="45">
        <v>249</v>
      </c>
      <c r="X314" s="45">
        <v>249</v>
      </c>
      <c r="Y314" s="45">
        <v>249</v>
      </c>
      <c r="Z314" s="45">
        <v>249</v>
      </c>
      <c r="AA314" s="45">
        <v>249</v>
      </c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">
        <v>65</v>
      </c>
      <c r="AX314" s="51" t="s">
        <v>66</v>
      </c>
    </row>
    <row r="315" spans="1:50" ht="21.75" customHeight="1">
      <c r="A315" s="50" t="s">
        <v>61</v>
      </c>
      <c r="B315" s="41" t="s">
        <v>62</v>
      </c>
      <c r="C315" s="42">
        <v>4017684</v>
      </c>
      <c r="D315" s="44" t="s">
        <v>469</v>
      </c>
      <c r="E315" s="44" t="s">
        <v>470</v>
      </c>
      <c r="F315" s="45">
        <v>2199</v>
      </c>
      <c r="G315" s="45">
        <v>2199</v>
      </c>
      <c r="H315" s="45">
        <v>2199</v>
      </c>
      <c r="I315" s="45">
        <v>2199</v>
      </c>
      <c r="J315" s="45">
        <v>2099</v>
      </c>
      <c r="K315" s="45">
        <v>2099</v>
      </c>
      <c r="L315" s="45">
        <v>2099</v>
      </c>
      <c r="M315" s="45">
        <v>2099</v>
      </c>
      <c r="N315" s="45">
        <v>2099</v>
      </c>
      <c r="O315" s="45">
        <v>1999</v>
      </c>
      <c r="P315" s="46">
        <v>1899</v>
      </c>
      <c r="Q315" s="46">
        <v>1799</v>
      </c>
      <c r="R315" s="45">
        <v>1999</v>
      </c>
      <c r="S315" s="45">
        <v>1899</v>
      </c>
      <c r="T315" s="45">
        <v>1799</v>
      </c>
      <c r="U315" s="45">
        <v>1799</v>
      </c>
      <c r="V315" s="45">
        <v>1799</v>
      </c>
      <c r="W315" s="45">
        <v>1799</v>
      </c>
      <c r="X315" s="45">
        <v>1699</v>
      </c>
      <c r="Y315" s="45">
        <v>1499</v>
      </c>
      <c r="Z315" s="45">
        <v>1499</v>
      </c>
      <c r="AA315" s="45">
        <v>1499</v>
      </c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">
        <v>65</v>
      </c>
      <c r="AX315" s="51" t="s">
        <v>82</v>
      </c>
    </row>
    <row r="316" spans="1:50" ht="21.75" customHeight="1">
      <c r="A316" s="50" t="s">
        <v>61</v>
      </c>
      <c r="B316" s="41" t="s">
        <v>62</v>
      </c>
      <c r="C316" s="42">
        <v>4017687</v>
      </c>
      <c r="D316" s="44" t="s">
        <v>469</v>
      </c>
      <c r="E316" s="44" t="s">
        <v>471</v>
      </c>
      <c r="F316" s="45">
        <v>2199</v>
      </c>
      <c r="G316" s="45">
        <v>2199</v>
      </c>
      <c r="H316" s="45">
        <v>2199</v>
      </c>
      <c r="I316" s="45">
        <v>2199</v>
      </c>
      <c r="J316" s="45">
        <v>2099</v>
      </c>
      <c r="K316" s="45">
        <v>2099</v>
      </c>
      <c r="L316" s="45">
        <v>2099</v>
      </c>
      <c r="M316" s="45">
        <v>2099</v>
      </c>
      <c r="N316" s="45">
        <v>2099</v>
      </c>
      <c r="O316" s="45">
        <v>1999</v>
      </c>
      <c r="P316" s="46">
        <v>1899</v>
      </c>
      <c r="Q316" s="46">
        <v>1799</v>
      </c>
      <c r="R316" s="45">
        <v>1999</v>
      </c>
      <c r="S316" s="45">
        <v>1899</v>
      </c>
      <c r="T316" s="45">
        <v>1799</v>
      </c>
      <c r="U316" s="45">
        <v>1799</v>
      </c>
      <c r="V316" s="45">
        <v>1799</v>
      </c>
      <c r="W316" s="45">
        <v>1799</v>
      </c>
      <c r="X316" s="45">
        <v>1699</v>
      </c>
      <c r="Y316" s="45">
        <v>1499</v>
      </c>
      <c r="Z316" s="45">
        <v>1499</v>
      </c>
      <c r="AA316" s="45">
        <v>1499</v>
      </c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">
        <v>65</v>
      </c>
      <c r="AX316" s="51" t="s">
        <v>82</v>
      </c>
    </row>
    <row r="317" spans="1:50" ht="22" customHeight="1">
      <c r="A317" s="50" t="s">
        <v>61</v>
      </c>
      <c r="B317" s="41" t="s">
        <v>62</v>
      </c>
      <c r="C317" s="42">
        <v>4014518</v>
      </c>
      <c r="D317" s="44" t="s">
        <v>472</v>
      </c>
      <c r="E317" s="44" t="s">
        <v>473</v>
      </c>
      <c r="F317" s="45">
        <v>599</v>
      </c>
      <c r="G317" s="45">
        <v>599</v>
      </c>
      <c r="H317" s="45">
        <v>599</v>
      </c>
      <c r="I317" s="45">
        <v>599</v>
      </c>
      <c r="J317" s="45">
        <f t="shared" si="16"/>
        <v>499</v>
      </c>
      <c r="K317" s="45">
        <f t="shared" si="15"/>
        <v>499</v>
      </c>
      <c r="L317" s="45">
        <f t="shared" si="15"/>
        <v>499</v>
      </c>
      <c r="M317" s="45">
        <v>499</v>
      </c>
      <c r="N317" s="45">
        <v>499</v>
      </c>
      <c r="O317" s="45">
        <f t="shared" si="14"/>
        <v>449</v>
      </c>
      <c r="P317" s="46">
        <f t="shared" si="14"/>
        <v>399</v>
      </c>
      <c r="Q317" s="46">
        <f t="shared" si="14"/>
        <v>299</v>
      </c>
      <c r="R317" s="45">
        <v>449</v>
      </c>
      <c r="S317" s="45">
        <v>399</v>
      </c>
      <c r="T317" s="45">
        <v>299</v>
      </c>
      <c r="U317" s="45">
        <v>299</v>
      </c>
      <c r="V317" s="45">
        <v>299</v>
      </c>
      <c r="W317" s="45">
        <v>299</v>
      </c>
      <c r="X317" s="45">
        <v>299</v>
      </c>
      <c r="Y317" s="45">
        <v>299</v>
      </c>
      <c r="Z317" s="45">
        <v>299</v>
      </c>
      <c r="AA317" s="45">
        <v>299</v>
      </c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">
        <v>65</v>
      </c>
      <c r="AX317" s="51" t="s">
        <v>82</v>
      </c>
    </row>
    <row r="318" spans="1:50" ht="22" customHeight="1">
      <c r="A318" s="50" t="s">
        <v>61</v>
      </c>
      <c r="B318" s="41" t="s">
        <v>62</v>
      </c>
      <c r="C318" s="42">
        <v>4016652</v>
      </c>
      <c r="D318" s="44" t="s">
        <v>474</v>
      </c>
      <c r="E318" s="44" t="s">
        <v>475</v>
      </c>
      <c r="F318" s="45">
        <v>2299</v>
      </c>
      <c r="G318" s="45">
        <v>1799</v>
      </c>
      <c r="H318" s="45">
        <v>1799</v>
      </c>
      <c r="I318" s="45">
        <v>1799</v>
      </c>
      <c r="J318" s="45">
        <v>1699</v>
      </c>
      <c r="K318" s="45">
        <v>1699</v>
      </c>
      <c r="L318" s="45">
        <v>1699</v>
      </c>
      <c r="M318" s="45">
        <v>1699</v>
      </c>
      <c r="N318" s="45">
        <v>1699</v>
      </c>
      <c r="O318" s="45">
        <v>1599</v>
      </c>
      <c r="P318" s="46">
        <v>1499</v>
      </c>
      <c r="Q318" s="46">
        <v>999</v>
      </c>
      <c r="R318" s="45">
        <v>1599</v>
      </c>
      <c r="S318" s="45">
        <v>1499</v>
      </c>
      <c r="T318" s="45">
        <v>999</v>
      </c>
      <c r="U318" s="45">
        <v>999</v>
      </c>
      <c r="V318" s="45">
        <v>999</v>
      </c>
      <c r="W318" s="45">
        <v>999</v>
      </c>
      <c r="X318" s="45">
        <v>999</v>
      </c>
      <c r="Y318" s="45">
        <v>899</v>
      </c>
      <c r="Z318" s="45">
        <v>899</v>
      </c>
      <c r="AA318" s="45">
        <v>899</v>
      </c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">
        <v>65</v>
      </c>
      <c r="AX318" s="51" t="s">
        <v>82</v>
      </c>
    </row>
    <row r="319" spans="1:50" ht="22" customHeight="1">
      <c r="A319" s="50" t="s">
        <v>61</v>
      </c>
      <c r="B319" s="41" t="s">
        <v>62</v>
      </c>
      <c r="C319" s="42">
        <v>4016654</v>
      </c>
      <c r="D319" s="44" t="s">
        <v>474</v>
      </c>
      <c r="E319" s="44" t="s">
        <v>476</v>
      </c>
      <c r="F319" s="45">
        <v>2299</v>
      </c>
      <c r="G319" s="45">
        <v>1799</v>
      </c>
      <c r="H319" s="45">
        <v>1799</v>
      </c>
      <c r="I319" s="45">
        <v>1799</v>
      </c>
      <c r="J319" s="45">
        <v>1699</v>
      </c>
      <c r="K319" s="45">
        <v>1699</v>
      </c>
      <c r="L319" s="45">
        <v>1699</v>
      </c>
      <c r="M319" s="45">
        <v>1699</v>
      </c>
      <c r="N319" s="45">
        <v>1699</v>
      </c>
      <c r="O319" s="45">
        <v>1599</v>
      </c>
      <c r="P319" s="46">
        <v>1499</v>
      </c>
      <c r="Q319" s="46">
        <v>999</v>
      </c>
      <c r="R319" s="45">
        <v>1599</v>
      </c>
      <c r="S319" s="45">
        <v>1499</v>
      </c>
      <c r="T319" s="45">
        <v>999</v>
      </c>
      <c r="U319" s="45">
        <v>999</v>
      </c>
      <c r="V319" s="45">
        <v>999</v>
      </c>
      <c r="W319" s="45">
        <v>999</v>
      </c>
      <c r="X319" s="45">
        <v>999</v>
      </c>
      <c r="Y319" s="45">
        <v>899</v>
      </c>
      <c r="Z319" s="45">
        <v>899</v>
      </c>
      <c r="AA319" s="45">
        <v>899</v>
      </c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">
        <v>65</v>
      </c>
      <c r="AX319" s="51" t="s">
        <v>82</v>
      </c>
    </row>
    <row r="320" spans="1:50" ht="22" customHeight="1">
      <c r="A320" s="50" t="s">
        <v>61</v>
      </c>
      <c r="B320" s="41" t="s">
        <v>62</v>
      </c>
      <c r="C320" s="42">
        <v>4014955</v>
      </c>
      <c r="D320" s="44" t="s">
        <v>477</v>
      </c>
      <c r="E320" s="44" t="s">
        <v>478</v>
      </c>
      <c r="F320" s="45">
        <v>999</v>
      </c>
      <c r="G320" s="45">
        <v>799</v>
      </c>
      <c r="H320" s="45">
        <v>799</v>
      </c>
      <c r="I320" s="45">
        <v>799</v>
      </c>
      <c r="J320" s="45">
        <f t="shared" si="16"/>
        <v>699</v>
      </c>
      <c r="K320" s="45">
        <f t="shared" si="15"/>
        <v>699</v>
      </c>
      <c r="L320" s="45">
        <f t="shared" si="15"/>
        <v>699</v>
      </c>
      <c r="M320" s="45">
        <v>699</v>
      </c>
      <c r="N320" s="45">
        <v>699</v>
      </c>
      <c r="O320" s="45">
        <f t="shared" si="14"/>
        <v>649</v>
      </c>
      <c r="P320" s="46">
        <f t="shared" si="14"/>
        <v>599</v>
      </c>
      <c r="Q320" s="46">
        <f t="shared" si="14"/>
        <v>549</v>
      </c>
      <c r="R320" s="45">
        <v>649</v>
      </c>
      <c r="S320" s="45">
        <v>599</v>
      </c>
      <c r="T320" s="45">
        <v>549</v>
      </c>
      <c r="U320" s="45">
        <v>549</v>
      </c>
      <c r="V320" s="45">
        <v>549</v>
      </c>
      <c r="W320" s="45">
        <v>549</v>
      </c>
      <c r="X320" s="45">
        <v>549</v>
      </c>
      <c r="Y320" s="45">
        <v>549</v>
      </c>
      <c r="Z320" s="45">
        <v>549</v>
      </c>
      <c r="AA320" s="45">
        <v>549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">
        <v>65</v>
      </c>
      <c r="AX320" s="51" t="s">
        <v>82</v>
      </c>
    </row>
    <row r="321" spans="1:50" ht="22" customHeight="1">
      <c r="A321" s="50" t="s">
        <v>61</v>
      </c>
      <c r="B321" s="41" t="s">
        <v>62</v>
      </c>
      <c r="C321" s="42">
        <v>4015669</v>
      </c>
      <c r="D321" s="44" t="s">
        <v>479</v>
      </c>
      <c r="E321" s="44" t="s">
        <v>480</v>
      </c>
      <c r="F321" s="45">
        <v>1999</v>
      </c>
      <c r="G321" s="45">
        <v>1599</v>
      </c>
      <c r="H321" s="45">
        <v>1499</v>
      </c>
      <c r="I321" s="45">
        <v>1499</v>
      </c>
      <c r="J321" s="45">
        <f t="shared" si="16"/>
        <v>1299</v>
      </c>
      <c r="K321" s="45">
        <f t="shared" si="15"/>
        <v>1299</v>
      </c>
      <c r="L321" s="45">
        <f t="shared" si="15"/>
        <v>1199</v>
      </c>
      <c r="M321" s="45">
        <v>1299</v>
      </c>
      <c r="N321" s="45">
        <v>1199</v>
      </c>
      <c r="O321" s="45">
        <f t="shared" si="14"/>
        <v>1099</v>
      </c>
      <c r="P321" s="46">
        <f t="shared" si="14"/>
        <v>999</v>
      </c>
      <c r="Q321" s="46">
        <f t="shared" si="14"/>
        <v>899</v>
      </c>
      <c r="R321" s="45">
        <v>1099</v>
      </c>
      <c r="S321" s="45">
        <v>999</v>
      </c>
      <c r="T321" s="45">
        <v>899</v>
      </c>
      <c r="U321" s="45">
        <v>899</v>
      </c>
      <c r="V321" s="45">
        <v>899</v>
      </c>
      <c r="W321" s="45">
        <v>899</v>
      </c>
      <c r="X321" s="45">
        <v>849</v>
      </c>
      <c r="Y321" s="45">
        <v>829</v>
      </c>
      <c r="Z321" s="45">
        <v>829</v>
      </c>
      <c r="AA321" s="45">
        <v>809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">
        <v>65</v>
      </c>
      <c r="AX321" s="51" t="s">
        <v>82</v>
      </c>
    </row>
    <row r="322" spans="1:50" ht="22" customHeight="1">
      <c r="A322" s="50" t="s">
        <v>61</v>
      </c>
      <c r="B322" s="41" t="s">
        <v>62</v>
      </c>
      <c r="C322" s="42">
        <v>4017126</v>
      </c>
      <c r="D322" s="44" t="s">
        <v>481</v>
      </c>
      <c r="E322" s="44" t="s">
        <v>482</v>
      </c>
      <c r="F322" s="45">
        <v>2799</v>
      </c>
      <c r="G322" s="45">
        <v>2199</v>
      </c>
      <c r="H322" s="45">
        <v>2199</v>
      </c>
      <c r="I322" s="45">
        <v>2199</v>
      </c>
      <c r="J322" s="45">
        <v>1999</v>
      </c>
      <c r="K322" s="45">
        <v>1999</v>
      </c>
      <c r="L322" s="45">
        <v>1999</v>
      </c>
      <c r="M322" s="45">
        <v>1999</v>
      </c>
      <c r="N322" s="45">
        <v>1999</v>
      </c>
      <c r="O322" s="45">
        <v>1949</v>
      </c>
      <c r="P322" s="46">
        <v>1949</v>
      </c>
      <c r="Q322" s="46">
        <v>1399</v>
      </c>
      <c r="R322" s="45">
        <v>1949</v>
      </c>
      <c r="S322" s="45">
        <v>1949</v>
      </c>
      <c r="T322" s="45">
        <v>1399</v>
      </c>
      <c r="U322" s="45">
        <v>1399</v>
      </c>
      <c r="V322" s="45">
        <v>1399</v>
      </c>
      <c r="W322" s="45">
        <v>1399</v>
      </c>
      <c r="X322" s="45">
        <v>1349</v>
      </c>
      <c r="Y322" s="45">
        <v>1099</v>
      </c>
      <c r="Z322" s="45">
        <v>1099</v>
      </c>
      <c r="AA322" s="45">
        <v>1099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">
        <v>65</v>
      </c>
      <c r="AX322" s="51" t="s">
        <v>82</v>
      </c>
    </row>
    <row r="323" spans="1:50" ht="22" customHeight="1">
      <c r="A323" s="50" t="s">
        <v>61</v>
      </c>
      <c r="B323" s="41" t="s">
        <v>62</v>
      </c>
      <c r="C323" s="42">
        <v>4017127</v>
      </c>
      <c r="D323" s="44" t="s">
        <v>481</v>
      </c>
      <c r="E323" s="44" t="s">
        <v>483</v>
      </c>
      <c r="F323" s="45">
        <v>2799</v>
      </c>
      <c r="G323" s="45">
        <v>2199</v>
      </c>
      <c r="H323" s="45">
        <v>2199</v>
      </c>
      <c r="I323" s="45">
        <v>2199</v>
      </c>
      <c r="J323" s="45">
        <v>1999</v>
      </c>
      <c r="K323" s="45">
        <v>1999</v>
      </c>
      <c r="L323" s="45">
        <v>1999</v>
      </c>
      <c r="M323" s="45">
        <v>1999</v>
      </c>
      <c r="N323" s="45">
        <v>1999</v>
      </c>
      <c r="O323" s="45">
        <v>1949</v>
      </c>
      <c r="P323" s="46">
        <v>1949</v>
      </c>
      <c r="Q323" s="46">
        <v>1399</v>
      </c>
      <c r="R323" s="45">
        <v>1949</v>
      </c>
      <c r="S323" s="45">
        <v>1949</v>
      </c>
      <c r="T323" s="45">
        <v>1399</v>
      </c>
      <c r="U323" s="45">
        <v>1399</v>
      </c>
      <c r="V323" s="45">
        <v>1399</v>
      </c>
      <c r="W323" s="45">
        <v>1399</v>
      </c>
      <c r="X323" s="45">
        <v>1349</v>
      </c>
      <c r="Y323" s="45">
        <v>1099</v>
      </c>
      <c r="Z323" s="45">
        <v>1099</v>
      </c>
      <c r="AA323" s="45">
        <v>1099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">
        <v>65</v>
      </c>
      <c r="AX323" s="51" t="s">
        <v>82</v>
      </c>
    </row>
    <row r="324" spans="1:50" ht="22" customHeight="1">
      <c r="A324" s="50" t="s">
        <v>61</v>
      </c>
      <c r="B324" s="41" t="s">
        <v>62</v>
      </c>
      <c r="C324" s="42">
        <v>4017672</v>
      </c>
      <c r="D324" s="44" t="s">
        <v>481</v>
      </c>
      <c r="E324" s="44" t="s">
        <v>484</v>
      </c>
      <c r="F324" s="45">
        <v>2799</v>
      </c>
      <c r="G324" s="45">
        <v>2199</v>
      </c>
      <c r="H324" s="45">
        <v>2199</v>
      </c>
      <c r="I324" s="45">
        <v>2199</v>
      </c>
      <c r="J324" s="45">
        <v>1999</v>
      </c>
      <c r="K324" s="45">
        <v>1999</v>
      </c>
      <c r="L324" s="45">
        <v>1999</v>
      </c>
      <c r="M324" s="45">
        <v>1999</v>
      </c>
      <c r="N324" s="45">
        <v>1999</v>
      </c>
      <c r="O324" s="45">
        <v>1949</v>
      </c>
      <c r="P324" s="46">
        <v>1949</v>
      </c>
      <c r="Q324" s="46">
        <v>1399</v>
      </c>
      <c r="R324" s="45">
        <v>1949</v>
      </c>
      <c r="S324" s="45">
        <v>1949</v>
      </c>
      <c r="T324" s="45">
        <v>1399</v>
      </c>
      <c r="U324" s="45">
        <v>1399</v>
      </c>
      <c r="V324" s="45">
        <v>1399</v>
      </c>
      <c r="W324" s="45">
        <v>1399</v>
      </c>
      <c r="X324" s="45">
        <v>1349</v>
      </c>
      <c r="Y324" s="45">
        <v>1099</v>
      </c>
      <c r="Z324" s="45">
        <v>1099</v>
      </c>
      <c r="AA324" s="45">
        <v>1099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">
        <v>65</v>
      </c>
      <c r="AX324" s="51" t="s">
        <v>82</v>
      </c>
    </row>
    <row r="325" spans="1:50" ht="22" customHeight="1">
      <c r="A325" s="50" t="s">
        <v>61</v>
      </c>
      <c r="B325" s="41" t="s">
        <v>62</v>
      </c>
      <c r="C325" s="42">
        <v>4017673</v>
      </c>
      <c r="D325" s="44" t="s">
        <v>481</v>
      </c>
      <c r="E325" s="44" t="s">
        <v>485</v>
      </c>
      <c r="F325" s="45">
        <v>2799</v>
      </c>
      <c r="G325" s="45">
        <v>2199</v>
      </c>
      <c r="H325" s="45">
        <v>2199</v>
      </c>
      <c r="I325" s="45">
        <v>2199</v>
      </c>
      <c r="J325" s="45">
        <v>1999</v>
      </c>
      <c r="K325" s="45">
        <v>1999</v>
      </c>
      <c r="L325" s="45">
        <v>1999</v>
      </c>
      <c r="M325" s="45">
        <v>1999</v>
      </c>
      <c r="N325" s="45">
        <v>1999</v>
      </c>
      <c r="O325" s="45">
        <v>1949</v>
      </c>
      <c r="P325" s="46">
        <v>1949</v>
      </c>
      <c r="Q325" s="46">
        <v>1399</v>
      </c>
      <c r="R325" s="45">
        <v>1949</v>
      </c>
      <c r="S325" s="45">
        <v>1949</v>
      </c>
      <c r="T325" s="45">
        <v>1399</v>
      </c>
      <c r="U325" s="45">
        <v>1399</v>
      </c>
      <c r="V325" s="45">
        <v>1399</v>
      </c>
      <c r="W325" s="45">
        <v>1399</v>
      </c>
      <c r="X325" s="45">
        <v>1349</v>
      </c>
      <c r="Y325" s="45">
        <v>1099</v>
      </c>
      <c r="Z325" s="45">
        <v>1099</v>
      </c>
      <c r="AA325" s="45">
        <v>1099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">
        <v>65</v>
      </c>
      <c r="AX325" s="51" t="s">
        <v>82</v>
      </c>
    </row>
    <row r="326" spans="1:50" ht="22.5" customHeight="1">
      <c r="A326" s="52" t="s">
        <v>70</v>
      </c>
      <c r="B326" s="41" t="s">
        <v>62</v>
      </c>
      <c r="C326" s="42">
        <v>4015582</v>
      </c>
      <c r="D326" s="44" t="s">
        <v>486</v>
      </c>
      <c r="E326" s="44" t="s">
        <v>487</v>
      </c>
      <c r="F326" s="45">
        <v>5499</v>
      </c>
      <c r="G326" s="45">
        <v>1899</v>
      </c>
      <c r="H326" s="45">
        <v>2799</v>
      </c>
      <c r="I326" s="45">
        <v>2799</v>
      </c>
      <c r="J326" s="45">
        <v>2499</v>
      </c>
      <c r="K326" s="45">
        <v>2399</v>
      </c>
      <c r="L326" s="45">
        <v>2399</v>
      </c>
      <c r="M326" s="45">
        <v>2499</v>
      </c>
      <c r="N326" s="45">
        <v>2499</v>
      </c>
      <c r="O326" s="45">
        <v>2299</v>
      </c>
      <c r="P326" s="46">
        <v>2199</v>
      </c>
      <c r="Q326" s="46">
        <v>1699</v>
      </c>
      <c r="R326" s="45">
        <v>2299</v>
      </c>
      <c r="S326" s="45">
        <v>2199</v>
      </c>
      <c r="T326" s="45">
        <v>1699</v>
      </c>
      <c r="U326" s="45">
        <v>1699</v>
      </c>
      <c r="V326" s="45">
        <v>1699</v>
      </c>
      <c r="W326" s="45">
        <v>1699</v>
      </c>
      <c r="X326" s="45">
        <v>1599</v>
      </c>
      <c r="Y326" s="45">
        <v>1399</v>
      </c>
      <c r="Z326" s="45">
        <v>1399</v>
      </c>
      <c r="AA326" s="45">
        <v>1399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">
        <v>65</v>
      </c>
      <c r="AX326" s="51" t="s">
        <v>82</v>
      </c>
    </row>
    <row r="327" spans="1:50" ht="22.5" customHeight="1">
      <c r="A327" s="52" t="s">
        <v>70</v>
      </c>
      <c r="B327" s="41" t="s">
        <v>62</v>
      </c>
      <c r="C327" s="42">
        <v>4015584</v>
      </c>
      <c r="D327" s="44" t="s">
        <v>486</v>
      </c>
      <c r="E327" s="44" t="s">
        <v>488</v>
      </c>
      <c r="F327" s="45">
        <v>5499</v>
      </c>
      <c r="G327" s="45">
        <v>1899</v>
      </c>
      <c r="H327" s="45">
        <v>2799</v>
      </c>
      <c r="I327" s="45">
        <v>2799</v>
      </c>
      <c r="J327" s="45">
        <v>2499</v>
      </c>
      <c r="K327" s="45">
        <v>2399</v>
      </c>
      <c r="L327" s="45">
        <v>2399</v>
      </c>
      <c r="M327" s="45">
        <v>2499</v>
      </c>
      <c r="N327" s="45">
        <v>2499</v>
      </c>
      <c r="O327" s="45">
        <v>2299</v>
      </c>
      <c r="P327" s="46">
        <v>2199</v>
      </c>
      <c r="Q327" s="46">
        <v>1699</v>
      </c>
      <c r="R327" s="45">
        <v>2299</v>
      </c>
      <c r="S327" s="45">
        <v>2199</v>
      </c>
      <c r="T327" s="45">
        <v>1699</v>
      </c>
      <c r="U327" s="45">
        <v>1699</v>
      </c>
      <c r="V327" s="45">
        <v>1699</v>
      </c>
      <c r="W327" s="45">
        <v>1699</v>
      </c>
      <c r="X327" s="45">
        <v>1599</v>
      </c>
      <c r="Y327" s="45">
        <v>1399</v>
      </c>
      <c r="Z327" s="45">
        <v>1399</v>
      </c>
      <c r="AA327" s="45">
        <v>1399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">
        <v>65</v>
      </c>
      <c r="AX327" s="51" t="s">
        <v>82</v>
      </c>
    </row>
    <row r="328" spans="1:50" ht="22.5" customHeight="1">
      <c r="A328" s="52" t="s">
        <v>70</v>
      </c>
      <c r="B328" s="41" t="s">
        <v>62</v>
      </c>
      <c r="C328" s="42">
        <v>4015556</v>
      </c>
      <c r="D328" s="44" t="s">
        <v>489</v>
      </c>
      <c r="E328" s="44" t="s">
        <v>490</v>
      </c>
      <c r="F328" s="45">
        <v>7999</v>
      </c>
      <c r="G328" s="45">
        <v>3399</v>
      </c>
      <c r="H328" s="45">
        <v>4299</v>
      </c>
      <c r="I328" s="45">
        <v>4299</v>
      </c>
      <c r="J328" s="45">
        <v>3099</v>
      </c>
      <c r="K328" s="45">
        <v>2999</v>
      </c>
      <c r="L328" s="45">
        <v>2999</v>
      </c>
      <c r="M328" s="45">
        <v>3099</v>
      </c>
      <c r="N328" s="45">
        <v>3099</v>
      </c>
      <c r="O328" s="45">
        <v>2899</v>
      </c>
      <c r="P328" s="46">
        <v>2799</v>
      </c>
      <c r="Q328" s="46">
        <v>2599</v>
      </c>
      <c r="R328" s="45">
        <v>2899</v>
      </c>
      <c r="S328" s="45">
        <v>2799</v>
      </c>
      <c r="T328" s="45">
        <v>2599</v>
      </c>
      <c r="U328" s="45">
        <v>2599</v>
      </c>
      <c r="V328" s="45">
        <v>2599</v>
      </c>
      <c r="W328" s="45">
        <v>2599</v>
      </c>
      <c r="X328" s="45">
        <v>2499</v>
      </c>
      <c r="Y328" s="45">
        <v>2399</v>
      </c>
      <c r="Z328" s="45">
        <v>2399</v>
      </c>
      <c r="AA328" s="45">
        <v>2399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">
        <v>65</v>
      </c>
      <c r="AX328" s="51" t="s">
        <v>82</v>
      </c>
    </row>
    <row r="329" spans="1:50" ht="22.5" customHeight="1">
      <c r="A329" s="52" t="s">
        <v>70</v>
      </c>
      <c r="B329" s="41" t="s">
        <v>62</v>
      </c>
      <c r="C329" s="42">
        <v>4016294</v>
      </c>
      <c r="D329" s="44" t="s">
        <v>491</v>
      </c>
      <c r="E329" s="44" t="s">
        <v>492</v>
      </c>
      <c r="F329" s="45">
        <v>7999</v>
      </c>
      <c r="G329" s="45">
        <v>3299</v>
      </c>
      <c r="H329" s="45">
        <v>5069</v>
      </c>
      <c r="I329" s="45">
        <v>5069</v>
      </c>
      <c r="J329" s="45">
        <v>4999</v>
      </c>
      <c r="K329" s="45">
        <v>4999</v>
      </c>
      <c r="L329" s="45">
        <v>4999</v>
      </c>
      <c r="M329" s="45">
        <v>4999</v>
      </c>
      <c r="N329" s="45">
        <v>4999</v>
      </c>
      <c r="O329" s="45">
        <v>4899</v>
      </c>
      <c r="P329" s="46">
        <v>4799</v>
      </c>
      <c r="Q329" s="46">
        <v>3599</v>
      </c>
      <c r="R329" s="45">
        <v>4899</v>
      </c>
      <c r="S329" s="45">
        <v>4799</v>
      </c>
      <c r="T329" s="45">
        <v>3599</v>
      </c>
      <c r="U329" s="45">
        <v>3599</v>
      </c>
      <c r="V329" s="45">
        <v>3599</v>
      </c>
      <c r="W329" s="45">
        <v>3599</v>
      </c>
      <c r="X329" s="45">
        <v>3299</v>
      </c>
      <c r="Y329" s="45">
        <v>1999</v>
      </c>
      <c r="Z329" s="45">
        <v>1999</v>
      </c>
      <c r="AA329" s="45">
        <v>1999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">
        <v>65</v>
      </c>
      <c r="AX329" s="51" t="s">
        <v>82</v>
      </c>
    </row>
    <row r="330" spans="1:50" ht="22.5" customHeight="1">
      <c r="A330" s="52" t="s">
        <v>70</v>
      </c>
      <c r="B330" s="41" t="s">
        <v>62</v>
      </c>
      <c r="C330" s="42">
        <v>4016925</v>
      </c>
      <c r="D330" s="44" t="s">
        <v>493</v>
      </c>
      <c r="E330" s="44" t="s">
        <v>494</v>
      </c>
      <c r="F330" s="45">
        <v>9999</v>
      </c>
      <c r="G330" s="45">
        <v>6299</v>
      </c>
      <c r="H330" s="45">
        <v>6779</v>
      </c>
      <c r="I330" s="45">
        <v>6779</v>
      </c>
      <c r="J330" s="45">
        <v>6699</v>
      </c>
      <c r="K330" s="45">
        <v>6699</v>
      </c>
      <c r="L330" s="45">
        <v>6699</v>
      </c>
      <c r="M330" s="45">
        <v>6699</v>
      </c>
      <c r="N330" s="45">
        <v>6699</v>
      </c>
      <c r="O330" s="45">
        <v>6599</v>
      </c>
      <c r="P330" s="46">
        <v>6499</v>
      </c>
      <c r="Q330" s="46">
        <v>6399</v>
      </c>
      <c r="R330" s="45">
        <v>6599</v>
      </c>
      <c r="S330" s="45">
        <v>6499</v>
      </c>
      <c r="T330" s="45">
        <v>6399</v>
      </c>
      <c r="U330" s="45">
        <v>6399</v>
      </c>
      <c r="V330" s="45">
        <v>6399</v>
      </c>
      <c r="W330" s="45">
        <v>6399</v>
      </c>
      <c r="X330" s="45">
        <v>6299</v>
      </c>
      <c r="Y330" s="45">
        <v>4999</v>
      </c>
      <c r="Z330" s="45">
        <v>4999</v>
      </c>
      <c r="AA330" s="45">
        <v>4999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">
        <v>65</v>
      </c>
      <c r="AX330" s="51" t="s">
        <v>82</v>
      </c>
    </row>
    <row r="331" spans="1:50" ht="22.5" customHeight="1">
      <c r="A331" s="52" t="s">
        <v>70</v>
      </c>
      <c r="B331" s="41" t="s">
        <v>62</v>
      </c>
      <c r="C331" s="42">
        <v>4017738</v>
      </c>
      <c r="D331" s="44" t="s">
        <v>495</v>
      </c>
      <c r="E331" s="44" t="s">
        <v>496</v>
      </c>
      <c r="F331" s="45">
        <v>8999</v>
      </c>
      <c r="G331" s="45">
        <v>6899</v>
      </c>
      <c r="H331" s="45">
        <v>7599</v>
      </c>
      <c r="I331" s="45">
        <v>7599</v>
      </c>
      <c r="J331" s="45">
        <v>7499</v>
      </c>
      <c r="K331" s="45">
        <v>7499</v>
      </c>
      <c r="L331" s="45">
        <v>7499</v>
      </c>
      <c r="M331" s="45">
        <v>7499</v>
      </c>
      <c r="N331" s="45">
        <v>7499</v>
      </c>
      <c r="O331" s="45">
        <v>7399</v>
      </c>
      <c r="P331" s="46">
        <v>7299</v>
      </c>
      <c r="Q331" s="46">
        <v>6999</v>
      </c>
      <c r="R331" s="45">
        <v>7399</v>
      </c>
      <c r="S331" s="45">
        <v>7299</v>
      </c>
      <c r="T331" s="45">
        <v>6999</v>
      </c>
      <c r="U331" s="45">
        <v>6999</v>
      </c>
      <c r="V331" s="45">
        <v>6999</v>
      </c>
      <c r="W331" s="45">
        <v>6999</v>
      </c>
      <c r="X331" s="45">
        <v>6899</v>
      </c>
      <c r="Y331" s="45">
        <v>5999</v>
      </c>
      <c r="Z331" s="45">
        <v>5999</v>
      </c>
      <c r="AA331" s="45">
        <v>5999</v>
      </c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">
        <v>65</v>
      </c>
      <c r="AX331" s="51" t="s">
        <v>82</v>
      </c>
    </row>
    <row r="332" spans="1:50" ht="22.5" customHeight="1">
      <c r="A332" s="50" t="s">
        <v>61</v>
      </c>
      <c r="B332" s="41" t="s">
        <v>62</v>
      </c>
      <c r="C332" s="42">
        <v>4014370</v>
      </c>
      <c r="D332" s="44" t="s">
        <v>497</v>
      </c>
      <c r="E332" s="44" t="s">
        <v>498</v>
      </c>
      <c r="F332" s="45">
        <v>59</v>
      </c>
      <c r="G332" s="45">
        <v>49</v>
      </c>
      <c r="H332" s="45">
        <v>49</v>
      </c>
      <c r="I332" s="45">
        <v>49</v>
      </c>
      <c r="J332" s="45">
        <f t="shared" si="16"/>
        <v>49</v>
      </c>
      <c r="K332" s="45">
        <f t="shared" si="15"/>
        <v>49</v>
      </c>
      <c r="L332" s="45">
        <f t="shared" si="15"/>
        <v>49</v>
      </c>
      <c r="M332" s="45">
        <v>49</v>
      </c>
      <c r="N332" s="45">
        <v>49</v>
      </c>
      <c r="O332" s="45">
        <f t="shared" si="14"/>
        <v>49</v>
      </c>
      <c r="P332" s="46">
        <f t="shared" si="14"/>
        <v>49</v>
      </c>
      <c r="Q332" s="46">
        <f t="shared" si="14"/>
        <v>49</v>
      </c>
      <c r="R332" s="45">
        <v>49</v>
      </c>
      <c r="S332" s="45">
        <v>49</v>
      </c>
      <c r="T332" s="45">
        <v>49</v>
      </c>
      <c r="U332" s="45">
        <v>49</v>
      </c>
      <c r="V332" s="45">
        <v>49</v>
      </c>
      <c r="W332" s="45">
        <v>49</v>
      </c>
      <c r="X332" s="45">
        <v>49</v>
      </c>
      <c r="Y332" s="45">
        <v>49</v>
      </c>
      <c r="Z332" s="45">
        <v>49</v>
      </c>
      <c r="AA332" s="45">
        <v>49</v>
      </c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">
        <v>65</v>
      </c>
      <c r="AX332" s="51" t="s">
        <v>66</v>
      </c>
    </row>
    <row r="333" spans="1:50" ht="22.5" customHeight="1">
      <c r="A333" s="50" t="s">
        <v>61</v>
      </c>
      <c r="B333" s="41" t="s">
        <v>62</v>
      </c>
      <c r="C333" s="42">
        <v>4014215</v>
      </c>
      <c r="D333" s="44" t="s">
        <v>499</v>
      </c>
      <c r="E333" s="44" t="s">
        <v>500</v>
      </c>
      <c r="F333" s="45">
        <v>499</v>
      </c>
      <c r="G333" s="45">
        <v>399</v>
      </c>
      <c r="H333" s="45">
        <v>399</v>
      </c>
      <c r="I333" s="45">
        <v>399</v>
      </c>
      <c r="J333" s="45">
        <f t="shared" si="16"/>
        <v>299</v>
      </c>
      <c r="K333" s="45">
        <f t="shared" si="15"/>
        <v>299</v>
      </c>
      <c r="L333" s="45">
        <f t="shared" si="15"/>
        <v>299</v>
      </c>
      <c r="M333" s="45">
        <v>299</v>
      </c>
      <c r="N333" s="45">
        <v>299</v>
      </c>
      <c r="O333" s="45">
        <f t="shared" si="14"/>
        <v>299</v>
      </c>
      <c r="P333" s="46">
        <f t="shared" si="14"/>
        <v>299</v>
      </c>
      <c r="Q333" s="46">
        <f t="shared" si="14"/>
        <v>299</v>
      </c>
      <c r="R333" s="45">
        <v>299</v>
      </c>
      <c r="S333" s="45">
        <v>299</v>
      </c>
      <c r="T333" s="45">
        <v>299</v>
      </c>
      <c r="U333" s="45">
        <v>299</v>
      </c>
      <c r="V333" s="45">
        <v>299</v>
      </c>
      <c r="W333" s="45">
        <v>299</v>
      </c>
      <c r="X333" s="45">
        <v>299</v>
      </c>
      <c r="Y333" s="45">
        <v>299</v>
      </c>
      <c r="Z333" s="45">
        <v>299</v>
      </c>
      <c r="AA333" s="45">
        <v>299</v>
      </c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">
        <v>65</v>
      </c>
      <c r="AX333" s="51" t="s">
        <v>66</v>
      </c>
    </row>
    <row r="334" spans="1:50" ht="22.5" customHeight="1">
      <c r="A334" s="50" t="s">
        <v>61</v>
      </c>
      <c r="B334" s="41" t="s">
        <v>62</v>
      </c>
      <c r="C334" s="42">
        <v>4014569</v>
      </c>
      <c r="D334" s="44" t="s">
        <v>501</v>
      </c>
      <c r="E334" s="44" t="s">
        <v>502</v>
      </c>
      <c r="F334" s="45">
        <v>299</v>
      </c>
      <c r="G334" s="45">
        <v>199</v>
      </c>
      <c r="H334" s="45">
        <v>199</v>
      </c>
      <c r="I334" s="45">
        <v>199</v>
      </c>
      <c r="J334" s="45">
        <f t="shared" si="16"/>
        <v>199</v>
      </c>
      <c r="K334" s="45">
        <f t="shared" si="15"/>
        <v>199</v>
      </c>
      <c r="L334" s="45">
        <f t="shared" si="15"/>
        <v>199</v>
      </c>
      <c r="M334" s="45">
        <v>199</v>
      </c>
      <c r="N334" s="45">
        <v>199</v>
      </c>
      <c r="O334" s="45">
        <f t="shared" si="14"/>
        <v>199</v>
      </c>
      <c r="P334" s="46">
        <f t="shared" si="14"/>
        <v>199</v>
      </c>
      <c r="Q334" s="46">
        <f t="shared" si="14"/>
        <v>199</v>
      </c>
      <c r="R334" s="45">
        <v>199</v>
      </c>
      <c r="S334" s="45">
        <v>199</v>
      </c>
      <c r="T334" s="45">
        <v>199</v>
      </c>
      <c r="U334" s="45">
        <v>199</v>
      </c>
      <c r="V334" s="45">
        <v>199</v>
      </c>
      <c r="W334" s="45">
        <v>199</v>
      </c>
      <c r="X334" s="45">
        <v>199</v>
      </c>
      <c r="Y334" s="45">
        <v>199</v>
      </c>
      <c r="Z334" s="45">
        <v>199</v>
      </c>
      <c r="AA334" s="45">
        <v>199</v>
      </c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">
        <v>65</v>
      </c>
      <c r="AX334" s="51" t="s">
        <v>66</v>
      </c>
    </row>
    <row r="335" spans="1:50" ht="22.5" customHeight="1">
      <c r="A335" s="50" t="s">
        <v>61</v>
      </c>
      <c r="B335" s="41" t="s">
        <v>62</v>
      </c>
      <c r="C335" s="42">
        <v>4012910</v>
      </c>
      <c r="D335" s="44" t="s">
        <v>503</v>
      </c>
      <c r="E335" s="44" t="s">
        <v>504</v>
      </c>
      <c r="F335" s="45">
        <v>19</v>
      </c>
      <c r="G335" s="45">
        <v>9</v>
      </c>
      <c r="H335" s="45">
        <v>9</v>
      </c>
      <c r="I335" s="45">
        <v>9</v>
      </c>
      <c r="J335" s="45"/>
      <c r="K335" s="45"/>
      <c r="L335" s="45"/>
      <c r="M335" s="45"/>
      <c r="N335" s="45"/>
      <c r="O335" s="45"/>
      <c r="P335" s="46"/>
      <c r="Q335" s="46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">
        <v>65</v>
      </c>
      <c r="AX335" s="51" t="s">
        <v>66</v>
      </c>
    </row>
    <row r="336" spans="1:50" ht="22.5" customHeight="1">
      <c r="A336" s="50" t="s">
        <v>61</v>
      </c>
      <c r="B336" s="41" t="s">
        <v>62</v>
      </c>
      <c r="C336" s="42">
        <v>4013531</v>
      </c>
      <c r="D336" s="61" t="s">
        <v>505</v>
      </c>
      <c r="E336" s="62" t="s">
        <v>506</v>
      </c>
      <c r="F336" s="45">
        <v>799</v>
      </c>
      <c r="G336" s="45">
        <v>499</v>
      </c>
      <c r="H336" s="45">
        <v>499</v>
      </c>
      <c r="I336" s="45">
        <v>499</v>
      </c>
      <c r="J336" s="45"/>
      <c r="K336" s="45"/>
      <c r="L336" s="45"/>
      <c r="M336" s="45"/>
      <c r="N336" s="45"/>
      <c r="O336" s="45"/>
      <c r="P336" s="46"/>
      <c r="Q336" s="46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">
        <v>65</v>
      </c>
      <c r="AX336" s="51" t="s">
        <v>66</v>
      </c>
    </row>
    <row r="337" spans="1:50" ht="22.5" customHeight="1">
      <c r="A337" s="50" t="s">
        <v>61</v>
      </c>
      <c r="B337" s="41" t="s">
        <v>62</v>
      </c>
      <c r="C337" s="42">
        <v>4013532</v>
      </c>
      <c r="D337" s="42" t="s">
        <v>505</v>
      </c>
      <c r="E337" s="62" t="s">
        <v>507</v>
      </c>
      <c r="F337" s="45">
        <v>799</v>
      </c>
      <c r="G337" s="45">
        <v>499</v>
      </c>
      <c r="H337" s="45">
        <v>499</v>
      </c>
      <c r="I337" s="45">
        <v>499</v>
      </c>
      <c r="J337" s="45"/>
      <c r="K337" s="45"/>
      <c r="L337" s="45"/>
      <c r="M337" s="45"/>
      <c r="N337" s="45"/>
      <c r="O337" s="45"/>
      <c r="P337" s="46"/>
      <c r="Q337" s="46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">
        <v>65</v>
      </c>
      <c r="AX337" s="51" t="s">
        <v>66</v>
      </c>
    </row>
    <row r="338" spans="1:50" ht="22.5" customHeight="1">
      <c r="A338" s="50" t="s">
        <v>61</v>
      </c>
      <c r="B338" s="41" t="s">
        <v>62</v>
      </c>
      <c r="C338" s="42">
        <v>4013533</v>
      </c>
      <c r="D338" s="42" t="s">
        <v>505</v>
      </c>
      <c r="E338" s="62" t="s">
        <v>508</v>
      </c>
      <c r="F338" s="45">
        <v>799</v>
      </c>
      <c r="G338" s="45">
        <v>499</v>
      </c>
      <c r="H338" s="45">
        <v>499</v>
      </c>
      <c r="I338" s="45">
        <v>499</v>
      </c>
      <c r="J338" s="45"/>
      <c r="K338" s="45"/>
      <c r="L338" s="45"/>
      <c r="M338" s="45"/>
      <c r="N338" s="45"/>
      <c r="O338" s="45"/>
      <c r="P338" s="46"/>
      <c r="Q338" s="46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">
        <v>65</v>
      </c>
      <c r="AX338" s="51" t="s">
        <v>66</v>
      </c>
    </row>
    <row r="339" spans="1:50" ht="22.5" customHeight="1">
      <c r="A339" s="50" t="s">
        <v>61</v>
      </c>
      <c r="B339" s="41" t="s">
        <v>62</v>
      </c>
      <c r="C339" s="42">
        <v>4013534</v>
      </c>
      <c r="D339" s="42" t="s">
        <v>505</v>
      </c>
      <c r="E339" s="62" t="s">
        <v>509</v>
      </c>
      <c r="F339" s="45">
        <v>799</v>
      </c>
      <c r="G339" s="45">
        <v>499</v>
      </c>
      <c r="H339" s="45">
        <v>499</v>
      </c>
      <c r="I339" s="45">
        <v>499</v>
      </c>
      <c r="J339" s="45"/>
      <c r="K339" s="45"/>
      <c r="L339" s="45"/>
      <c r="M339" s="45"/>
      <c r="N339" s="45"/>
      <c r="O339" s="45"/>
      <c r="P339" s="46"/>
      <c r="Q339" s="46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">
        <v>65</v>
      </c>
      <c r="AX339" s="51" t="s">
        <v>66</v>
      </c>
    </row>
    <row r="340" spans="1:50" ht="22.5" customHeight="1">
      <c r="A340" s="50" t="s">
        <v>61</v>
      </c>
      <c r="B340" s="41" t="s">
        <v>62</v>
      </c>
      <c r="C340" s="42">
        <v>4013642</v>
      </c>
      <c r="D340" s="42" t="s">
        <v>510</v>
      </c>
      <c r="E340" s="62" t="s">
        <v>511</v>
      </c>
      <c r="F340" s="45">
        <v>79</v>
      </c>
      <c r="G340" s="45">
        <v>69</v>
      </c>
      <c r="H340" s="45">
        <v>69</v>
      </c>
      <c r="I340" s="45">
        <v>69</v>
      </c>
      <c r="J340" s="45">
        <f t="shared" si="16"/>
        <v>69</v>
      </c>
      <c r="K340" s="45">
        <f t="shared" si="15"/>
        <v>69</v>
      </c>
      <c r="L340" s="45">
        <f t="shared" si="15"/>
        <v>69</v>
      </c>
      <c r="M340" s="45">
        <v>69</v>
      </c>
      <c r="N340" s="45">
        <v>69</v>
      </c>
      <c r="O340" s="45">
        <f t="shared" ref="O340:Q372" si="17">R340</f>
        <v>69</v>
      </c>
      <c r="P340" s="46">
        <f t="shared" si="17"/>
        <v>69</v>
      </c>
      <c r="Q340" s="46">
        <f t="shared" si="17"/>
        <v>69</v>
      </c>
      <c r="R340" s="45">
        <v>69</v>
      </c>
      <c r="S340" s="45">
        <v>69</v>
      </c>
      <c r="T340" s="45">
        <v>69</v>
      </c>
      <c r="U340" s="45">
        <v>69</v>
      </c>
      <c r="V340" s="45">
        <v>69</v>
      </c>
      <c r="W340" s="45">
        <v>69</v>
      </c>
      <c r="X340" s="45">
        <v>69</v>
      </c>
      <c r="Y340" s="45">
        <v>69</v>
      </c>
      <c r="Z340" s="45">
        <v>69</v>
      </c>
      <c r="AA340" s="45">
        <v>69</v>
      </c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">
        <v>65</v>
      </c>
      <c r="AX340" s="51" t="s">
        <v>66</v>
      </c>
    </row>
    <row r="341" spans="1:50" ht="22.5" customHeight="1">
      <c r="A341" s="50" t="s">
        <v>61</v>
      </c>
      <c r="B341" s="41" t="s">
        <v>62</v>
      </c>
      <c r="C341" s="42">
        <v>4013644</v>
      </c>
      <c r="D341" s="42" t="s">
        <v>510</v>
      </c>
      <c r="E341" s="62" t="s">
        <v>512</v>
      </c>
      <c r="F341" s="45">
        <v>79</v>
      </c>
      <c r="G341" s="45">
        <v>69</v>
      </c>
      <c r="H341" s="45">
        <v>69</v>
      </c>
      <c r="I341" s="45">
        <v>69</v>
      </c>
      <c r="J341" s="45">
        <f t="shared" si="16"/>
        <v>69</v>
      </c>
      <c r="K341" s="45">
        <f t="shared" si="15"/>
        <v>69</v>
      </c>
      <c r="L341" s="45">
        <f t="shared" si="15"/>
        <v>69</v>
      </c>
      <c r="M341" s="45">
        <v>69</v>
      </c>
      <c r="N341" s="45">
        <v>69</v>
      </c>
      <c r="O341" s="45">
        <f t="shared" si="17"/>
        <v>69</v>
      </c>
      <c r="P341" s="46">
        <f t="shared" si="17"/>
        <v>69</v>
      </c>
      <c r="Q341" s="46">
        <f t="shared" si="17"/>
        <v>69</v>
      </c>
      <c r="R341" s="45">
        <v>69</v>
      </c>
      <c r="S341" s="45">
        <v>69</v>
      </c>
      <c r="T341" s="45">
        <v>69</v>
      </c>
      <c r="U341" s="45">
        <v>69</v>
      </c>
      <c r="V341" s="45">
        <v>69</v>
      </c>
      <c r="W341" s="45">
        <v>69</v>
      </c>
      <c r="X341" s="45">
        <v>69</v>
      </c>
      <c r="Y341" s="45">
        <v>69</v>
      </c>
      <c r="Z341" s="45">
        <v>69</v>
      </c>
      <c r="AA341" s="45">
        <v>69</v>
      </c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">
        <v>65</v>
      </c>
      <c r="AX341" s="51" t="s">
        <v>66</v>
      </c>
    </row>
    <row r="342" spans="1:50" ht="22.5" customHeight="1">
      <c r="A342" s="50" t="s">
        <v>61</v>
      </c>
      <c r="B342" s="41" t="s">
        <v>62</v>
      </c>
      <c r="C342" s="42">
        <v>4013649</v>
      </c>
      <c r="D342" s="42" t="s">
        <v>510</v>
      </c>
      <c r="E342" s="62" t="s">
        <v>513</v>
      </c>
      <c r="F342" s="45">
        <v>79</v>
      </c>
      <c r="G342" s="45">
        <v>69</v>
      </c>
      <c r="H342" s="45">
        <v>69</v>
      </c>
      <c r="I342" s="45">
        <v>69</v>
      </c>
      <c r="J342" s="45">
        <f t="shared" si="16"/>
        <v>69</v>
      </c>
      <c r="K342" s="45">
        <f t="shared" si="15"/>
        <v>69</v>
      </c>
      <c r="L342" s="45">
        <f t="shared" si="15"/>
        <v>69</v>
      </c>
      <c r="M342" s="45">
        <v>69</v>
      </c>
      <c r="N342" s="45">
        <v>69</v>
      </c>
      <c r="O342" s="45">
        <f t="shared" si="17"/>
        <v>69</v>
      </c>
      <c r="P342" s="46">
        <f t="shared" si="17"/>
        <v>69</v>
      </c>
      <c r="Q342" s="46">
        <f t="shared" si="17"/>
        <v>69</v>
      </c>
      <c r="R342" s="45">
        <v>69</v>
      </c>
      <c r="S342" s="45">
        <v>69</v>
      </c>
      <c r="T342" s="45">
        <v>69</v>
      </c>
      <c r="U342" s="45">
        <v>69</v>
      </c>
      <c r="V342" s="45">
        <v>69</v>
      </c>
      <c r="W342" s="45">
        <v>69</v>
      </c>
      <c r="X342" s="45">
        <v>69</v>
      </c>
      <c r="Y342" s="45">
        <v>69</v>
      </c>
      <c r="Z342" s="45">
        <v>69</v>
      </c>
      <c r="AA342" s="45">
        <v>69</v>
      </c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">
        <v>65</v>
      </c>
      <c r="AX342" s="51" t="s">
        <v>66</v>
      </c>
    </row>
    <row r="343" spans="1:50" ht="22.5" customHeight="1">
      <c r="A343" s="50" t="s">
        <v>61</v>
      </c>
      <c r="B343" s="41" t="s">
        <v>62</v>
      </c>
      <c r="C343" s="42">
        <v>4013648</v>
      </c>
      <c r="D343" s="42" t="s">
        <v>510</v>
      </c>
      <c r="E343" s="62" t="s">
        <v>514</v>
      </c>
      <c r="F343" s="45">
        <v>79</v>
      </c>
      <c r="G343" s="45">
        <v>69</v>
      </c>
      <c r="H343" s="45">
        <v>69</v>
      </c>
      <c r="I343" s="45">
        <v>69</v>
      </c>
      <c r="J343" s="45">
        <f t="shared" si="16"/>
        <v>69</v>
      </c>
      <c r="K343" s="45">
        <f t="shared" si="15"/>
        <v>69</v>
      </c>
      <c r="L343" s="45">
        <f t="shared" si="15"/>
        <v>69</v>
      </c>
      <c r="M343" s="45">
        <v>69</v>
      </c>
      <c r="N343" s="45">
        <v>69</v>
      </c>
      <c r="O343" s="45">
        <f t="shared" si="17"/>
        <v>69</v>
      </c>
      <c r="P343" s="46">
        <f t="shared" si="17"/>
        <v>69</v>
      </c>
      <c r="Q343" s="46">
        <f t="shared" si="17"/>
        <v>69</v>
      </c>
      <c r="R343" s="45">
        <v>69</v>
      </c>
      <c r="S343" s="45">
        <v>69</v>
      </c>
      <c r="T343" s="45">
        <v>69</v>
      </c>
      <c r="U343" s="45">
        <v>69</v>
      </c>
      <c r="V343" s="45">
        <v>69</v>
      </c>
      <c r="W343" s="45">
        <v>69</v>
      </c>
      <c r="X343" s="45">
        <v>69</v>
      </c>
      <c r="Y343" s="45">
        <v>69</v>
      </c>
      <c r="Z343" s="45">
        <v>69</v>
      </c>
      <c r="AA343" s="45">
        <v>69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">
        <v>65</v>
      </c>
      <c r="AX343" s="51" t="s">
        <v>66</v>
      </c>
    </row>
    <row r="344" spans="1:50" ht="22.5" customHeight="1">
      <c r="A344" s="50" t="s">
        <v>61</v>
      </c>
      <c r="B344" s="41" t="s">
        <v>62</v>
      </c>
      <c r="C344" s="42">
        <v>4013646</v>
      </c>
      <c r="D344" s="42" t="s">
        <v>510</v>
      </c>
      <c r="E344" s="62" t="s">
        <v>515</v>
      </c>
      <c r="F344" s="45">
        <v>79</v>
      </c>
      <c r="G344" s="45">
        <v>69</v>
      </c>
      <c r="H344" s="45">
        <v>69</v>
      </c>
      <c r="I344" s="45">
        <v>69</v>
      </c>
      <c r="J344" s="45">
        <f t="shared" si="16"/>
        <v>69</v>
      </c>
      <c r="K344" s="45">
        <f t="shared" si="15"/>
        <v>69</v>
      </c>
      <c r="L344" s="45">
        <f t="shared" si="15"/>
        <v>69</v>
      </c>
      <c r="M344" s="45">
        <v>69</v>
      </c>
      <c r="N344" s="45">
        <v>69</v>
      </c>
      <c r="O344" s="45">
        <f t="shared" si="17"/>
        <v>69</v>
      </c>
      <c r="P344" s="46">
        <f t="shared" si="17"/>
        <v>69</v>
      </c>
      <c r="Q344" s="46">
        <f t="shared" si="17"/>
        <v>69</v>
      </c>
      <c r="R344" s="45">
        <v>69</v>
      </c>
      <c r="S344" s="45">
        <v>69</v>
      </c>
      <c r="T344" s="45">
        <v>69</v>
      </c>
      <c r="U344" s="45">
        <v>69</v>
      </c>
      <c r="V344" s="45">
        <v>69</v>
      </c>
      <c r="W344" s="45">
        <v>69</v>
      </c>
      <c r="X344" s="45">
        <v>69</v>
      </c>
      <c r="Y344" s="45">
        <v>69</v>
      </c>
      <c r="Z344" s="45">
        <v>69</v>
      </c>
      <c r="AA344" s="45">
        <v>69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">
        <v>65</v>
      </c>
      <c r="AX344" s="51" t="s">
        <v>66</v>
      </c>
    </row>
    <row r="345" spans="1:50" ht="22.5" customHeight="1">
      <c r="A345" s="50" t="s">
        <v>61</v>
      </c>
      <c r="B345" s="41" t="s">
        <v>62</v>
      </c>
      <c r="C345" s="42">
        <v>4014160</v>
      </c>
      <c r="D345" s="42" t="s">
        <v>516</v>
      </c>
      <c r="E345" s="62" t="s">
        <v>517</v>
      </c>
      <c r="F345" s="45">
        <v>159</v>
      </c>
      <c r="G345" s="45">
        <v>149</v>
      </c>
      <c r="H345" s="45">
        <v>149</v>
      </c>
      <c r="I345" s="45">
        <v>149</v>
      </c>
      <c r="J345" s="45">
        <f t="shared" si="16"/>
        <v>149</v>
      </c>
      <c r="K345" s="45">
        <f t="shared" si="15"/>
        <v>149</v>
      </c>
      <c r="L345" s="45">
        <f t="shared" si="15"/>
        <v>149</v>
      </c>
      <c r="M345" s="45">
        <v>149</v>
      </c>
      <c r="N345" s="45">
        <v>149</v>
      </c>
      <c r="O345" s="45">
        <f t="shared" si="17"/>
        <v>149</v>
      </c>
      <c r="P345" s="46">
        <f t="shared" si="17"/>
        <v>149</v>
      </c>
      <c r="Q345" s="46">
        <f t="shared" si="17"/>
        <v>149</v>
      </c>
      <c r="R345" s="45">
        <v>149</v>
      </c>
      <c r="S345" s="45">
        <v>149</v>
      </c>
      <c r="T345" s="45">
        <v>149</v>
      </c>
      <c r="U345" s="45">
        <v>149</v>
      </c>
      <c r="V345" s="45">
        <v>149</v>
      </c>
      <c r="W345" s="45">
        <v>149</v>
      </c>
      <c r="X345" s="45">
        <v>149</v>
      </c>
      <c r="Y345" s="45">
        <v>149</v>
      </c>
      <c r="Z345" s="45">
        <v>149</v>
      </c>
      <c r="AA345" s="45">
        <v>149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">
        <v>65</v>
      </c>
      <c r="AX345" s="51" t="s">
        <v>66</v>
      </c>
    </row>
    <row r="346" spans="1:50" ht="22.5" customHeight="1">
      <c r="A346" s="50" t="s">
        <v>61</v>
      </c>
      <c r="B346" s="41" t="s">
        <v>62</v>
      </c>
      <c r="C346" s="42">
        <v>4014162</v>
      </c>
      <c r="D346" s="42" t="s">
        <v>516</v>
      </c>
      <c r="E346" s="62" t="s">
        <v>518</v>
      </c>
      <c r="F346" s="45">
        <v>159</v>
      </c>
      <c r="G346" s="45">
        <v>149</v>
      </c>
      <c r="H346" s="45">
        <v>149</v>
      </c>
      <c r="I346" s="45">
        <v>149</v>
      </c>
      <c r="J346" s="45">
        <f t="shared" si="16"/>
        <v>149</v>
      </c>
      <c r="K346" s="45">
        <f t="shared" si="15"/>
        <v>149</v>
      </c>
      <c r="L346" s="45">
        <f t="shared" si="15"/>
        <v>149</v>
      </c>
      <c r="M346" s="45">
        <v>149</v>
      </c>
      <c r="N346" s="45">
        <v>149</v>
      </c>
      <c r="O346" s="45">
        <f t="shared" si="17"/>
        <v>149</v>
      </c>
      <c r="P346" s="46">
        <f t="shared" si="17"/>
        <v>149</v>
      </c>
      <c r="Q346" s="46">
        <f t="shared" si="17"/>
        <v>149</v>
      </c>
      <c r="R346" s="45">
        <v>149</v>
      </c>
      <c r="S346" s="45">
        <v>149</v>
      </c>
      <c r="T346" s="45">
        <v>149</v>
      </c>
      <c r="U346" s="45">
        <v>149</v>
      </c>
      <c r="V346" s="45">
        <v>149</v>
      </c>
      <c r="W346" s="45">
        <v>149</v>
      </c>
      <c r="X346" s="45">
        <v>149</v>
      </c>
      <c r="Y346" s="45">
        <v>149</v>
      </c>
      <c r="Z346" s="45">
        <v>149</v>
      </c>
      <c r="AA346" s="45">
        <v>149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">
        <v>65</v>
      </c>
      <c r="AX346" s="51" t="s">
        <v>66</v>
      </c>
    </row>
    <row r="347" spans="1:50" ht="22.5" customHeight="1">
      <c r="A347" s="50" t="s">
        <v>61</v>
      </c>
      <c r="B347" s="41" t="s">
        <v>62</v>
      </c>
      <c r="C347" s="42">
        <v>4014164</v>
      </c>
      <c r="D347" s="42" t="s">
        <v>516</v>
      </c>
      <c r="E347" s="62" t="s">
        <v>519</v>
      </c>
      <c r="F347" s="45">
        <v>159</v>
      </c>
      <c r="G347" s="45">
        <v>149</v>
      </c>
      <c r="H347" s="45">
        <v>149</v>
      </c>
      <c r="I347" s="45">
        <v>149</v>
      </c>
      <c r="J347" s="45">
        <f t="shared" si="16"/>
        <v>149</v>
      </c>
      <c r="K347" s="45">
        <f t="shared" si="15"/>
        <v>149</v>
      </c>
      <c r="L347" s="45">
        <f t="shared" si="15"/>
        <v>149</v>
      </c>
      <c r="M347" s="45">
        <v>149</v>
      </c>
      <c r="N347" s="45">
        <v>149</v>
      </c>
      <c r="O347" s="45">
        <f t="shared" si="17"/>
        <v>149</v>
      </c>
      <c r="P347" s="46">
        <f t="shared" si="17"/>
        <v>149</v>
      </c>
      <c r="Q347" s="46">
        <f t="shared" si="17"/>
        <v>149</v>
      </c>
      <c r="R347" s="45">
        <v>149</v>
      </c>
      <c r="S347" s="45">
        <v>149</v>
      </c>
      <c r="T347" s="45">
        <v>149</v>
      </c>
      <c r="U347" s="45">
        <v>149</v>
      </c>
      <c r="V347" s="45">
        <v>149</v>
      </c>
      <c r="W347" s="45">
        <v>149</v>
      </c>
      <c r="X347" s="45">
        <v>149</v>
      </c>
      <c r="Y347" s="45">
        <v>149</v>
      </c>
      <c r="Z347" s="45">
        <v>149</v>
      </c>
      <c r="AA347" s="45">
        <v>149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">
        <v>65</v>
      </c>
      <c r="AX347" s="51" t="s">
        <v>66</v>
      </c>
    </row>
    <row r="348" spans="1:50" ht="22.5" customHeight="1">
      <c r="A348" s="50" t="s">
        <v>61</v>
      </c>
      <c r="B348" s="41" t="s">
        <v>62</v>
      </c>
      <c r="C348" s="42">
        <v>4014166</v>
      </c>
      <c r="D348" s="42" t="s">
        <v>516</v>
      </c>
      <c r="E348" s="62" t="s">
        <v>520</v>
      </c>
      <c r="F348" s="45">
        <v>159</v>
      </c>
      <c r="G348" s="45">
        <v>149</v>
      </c>
      <c r="H348" s="45">
        <v>149</v>
      </c>
      <c r="I348" s="45">
        <v>149</v>
      </c>
      <c r="J348" s="45">
        <f t="shared" si="16"/>
        <v>149</v>
      </c>
      <c r="K348" s="45">
        <f t="shared" si="15"/>
        <v>149</v>
      </c>
      <c r="L348" s="45">
        <f t="shared" si="15"/>
        <v>149</v>
      </c>
      <c r="M348" s="45">
        <v>149</v>
      </c>
      <c r="N348" s="45">
        <v>149</v>
      </c>
      <c r="O348" s="45">
        <f t="shared" si="17"/>
        <v>149</v>
      </c>
      <c r="P348" s="46">
        <f t="shared" si="17"/>
        <v>149</v>
      </c>
      <c r="Q348" s="46">
        <f t="shared" si="17"/>
        <v>149</v>
      </c>
      <c r="R348" s="45">
        <v>149</v>
      </c>
      <c r="S348" s="45">
        <v>149</v>
      </c>
      <c r="T348" s="45">
        <v>149</v>
      </c>
      <c r="U348" s="45">
        <v>149</v>
      </c>
      <c r="V348" s="45">
        <v>149</v>
      </c>
      <c r="W348" s="45">
        <v>149</v>
      </c>
      <c r="X348" s="45">
        <v>149</v>
      </c>
      <c r="Y348" s="45">
        <v>149</v>
      </c>
      <c r="Z348" s="45">
        <v>149</v>
      </c>
      <c r="AA348" s="45">
        <v>149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">
        <v>65</v>
      </c>
      <c r="AX348" s="51" t="s">
        <v>66</v>
      </c>
    </row>
    <row r="349" spans="1:50" ht="22.5" customHeight="1">
      <c r="A349" s="50" t="s">
        <v>61</v>
      </c>
      <c r="B349" s="41" t="s">
        <v>62</v>
      </c>
      <c r="C349" s="42">
        <v>4014062</v>
      </c>
      <c r="D349" s="42" t="s">
        <v>521</v>
      </c>
      <c r="E349" s="62" t="s">
        <v>522</v>
      </c>
      <c r="F349" s="45">
        <v>399</v>
      </c>
      <c r="G349" s="45">
        <v>399</v>
      </c>
      <c r="H349" s="45">
        <v>399</v>
      </c>
      <c r="I349" s="45">
        <v>399</v>
      </c>
      <c r="J349" s="45">
        <f t="shared" si="16"/>
        <v>299</v>
      </c>
      <c r="K349" s="45">
        <f t="shared" si="15"/>
        <v>299</v>
      </c>
      <c r="L349" s="45">
        <f t="shared" si="15"/>
        <v>299</v>
      </c>
      <c r="M349" s="45">
        <v>299</v>
      </c>
      <c r="N349" s="45">
        <v>299</v>
      </c>
      <c r="O349" s="45">
        <f t="shared" si="17"/>
        <v>249</v>
      </c>
      <c r="P349" s="46">
        <f t="shared" si="17"/>
        <v>249</v>
      </c>
      <c r="Q349" s="46">
        <f t="shared" si="17"/>
        <v>249</v>
      </c>
      <c r="R349" s="45">
        <v>249</v>
      </c>
      <c r="S349" s="45">
        <v>249</v>
      </c>
      <c r="T349" s="45">
        <v>249</v>
      </c>
      <c r="U349" s="45">
        <v>249</v>
      </c>
      <c r="V349" s="45">
        <v>249</v>
      </c>
      <c r="W349" s="45">
        <v>249</v>
      </c>
      <c r="X349" s="45">
        <v>249</v>
      </c>
      <c r="Y349" s="45">
        <v>249</v>
      </c>
      <c r="Z349" s="45">
        <v>249</v>
      </c>
      <c r="AA349" s="45">
        <v>249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">
        <v>65</v>
      </c>
      <c r="AX349" s="51" t="s">
        <v>66</v>
      </c>
    </row>
    <row r="350" spans="1:50" ht="22.5" customHeight="1">
      <c r="A350" s="50" t="s">
        <v>61</v>
      </c>
      <c r="B350" s="41" t="s">
        <v>62</v>
      </c>
      <c r="C350" s="42">
        <v>4014063</v>
      </c>
      <c r="D350" s="42" t="s">
        <v>521</v>
      </c>
      <c r="E350" s="62" t="s">
        <v>523</v>
      </c>
      <c r="F350" s="45">
        <v>399</v>
      </c>
      <c r="G350" s="45">
        <v>399</v>
      </c>
      <c r="H350" s="45">
        <v>399</v>
      </c>
      <c r="I350" s="45">
        <v>399</v>
      </c>
      <c r="J350" s="45">
        <f t="shared" si="16"/>
        <v>299</v>
      </c>
      <c r="K350" s="45">
        <f t="shared" si="15"/>
        <v>299</v>
      </c>
      <c r="L350" s="45">
        <f t="shared" si="15"/>
        <v>299</v>
      </c>
      <c r="M350" s="45">
        <v>299</v>
      </c>
      <c r="N350" s="45">
        <v>299</v>
      </c>
      <c r="O350" s="45">
        <f t="shared" si="17"/>
        <v>249</v>
      </c>
      <c r="P350" s="46">
        <f t="shared" si="17"/>
        <v>249</v>
      </c>
      <c r="Q350" s="46">
        <f t="shared" si="17"/>
        <v>249</v>
      </c>
      <c r="R350" s="45">
        <v>249</v>
      </c>
      <c r="S350" s="45">
        <v>249</v>
      </c>
      <c r="T350" s="45">
        <v>249</v>
      </c>
      <c r="U350" s="45">
        <v>249</v>
      </c>
      <c r="V350" s="45">
        <v>249</v>
      </c>
      <c r="W350" s="45">
        <v>249</v>
      </c>
      <c r="X350" s="45">
        <v>249</v>
      </c>
      <c r="Y350" s="45">
        <v>249</v>
      </c>
      <c r="Z350" s="45">
        <v>249</v>
      </c>
      <c r="AA350" s="45">
        <v>249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">
        <v>65</v>
      </c>
      <c r="AX350" s="51" t="s">
        <v>66</v>
      </c>
    </row>
    <row r="351" spans="1:50" ht="22.5" customHeight="1">
      <c r="A351" s="50" t="s">
        <v>61</v>
      </c>
      <c r="B351" s="41" t="s">
        <v>62</v>
      </c>
      <c r="C351" s="42">
        <v>4014067</v>
      </c>
      <c r="D351" s="42" t="s">
        <v>521</v>
      </c>
      <c r="E351" s="62" t="s">
        <v>524</v>
      </c>
      <c r="F351" s="45">
        <v>399</v>
      </c>
      <c r="G351" s="45">
        <v>399</v>
      </c>
      <c r="H351" s="45">
        <v>399</v>
      </c>
      <c r="I351" s="45">
        <v>399</v>
      </c>
      <c r="J351" s="45">
        <f t="shared" si="16"/>
        <v>299</v>
      </c>
      <c r="K351" s="45">
        <f t="shared" si="15"/>
        <v>299</v>
      </c>
      <c r="L351" s="45">
        <f t="shared" si="15"/>
        <v>299</v>
      </c>
      <c r="M351" s="45">
        <v>299</v>
      </c>
      <c r="N351" s="45">
        <v>299</v>
      </c>
      <c r="O351" s="45">
        <f t="shared" si="17"/>
        <v>249</v>
      </c>
      <c r="P351" s="46">
        <f t="shared" si="17"/>
        <v>249</v>
      </c>
      <c r="Q351" s="46">
        <f t="shared" si="17"/>
        <v>249</v>
      </c>
      <c r="R351" s="45">
        <v>249</v>
      </c>
      <c r="S351" s="45">
        <v>249</v>
      </c>
      <c r="T351" s="45">
        <v>249</v>
      </c>
      <c r="U351" s="45">
        <v>249</v>
      </c>
      <c r="V351" s="45">
        <v>249</v>
      </c>
      <c r="W351" s="45">
        <v>249</v>
      </c>
      <c r="X351" s="45">
        <v>249</v>
      </c>
      <c r="Y351" s="45">
        <v>249</v>
      </c>
      <c r="Z351" s="45">
        <v>249</v>
      </c>
      <c r="AA351" s="45">
        <v>249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">
        <v>65</v>
      </c>
      <c r="AX351" s="51" t="s">
        <v>66</v>
      </c>
    </row>
    <row r="352" spans="1:50" ht="22.5" customHeight="1">
      <c r="A352" s="50" t="s">
        <v>61</v>
      </c>
      <c r="B352" s="41" t="s">
        <v>62</v>
      </c>
      <c r="C352" s="42">
        <v>4014066</v>
      </c>
      <c r="D352" s="42" t="s">
        <v>521</v>
      </c>
      <c r="E352" s="62" t="s">
        <v>525</v>
      </c>
      <c r="F352" s="45">
        <v>399</v>
      </c>
      <c r="G352" s="45">
        <v>399</v>
      </c>
      <c r="H352" s="45">
        <v>399</v>
      </c>
      <c r="I352" s="45">
        <v>399</v>
      </c>
      <c r="J352" s="45">
        <f t="shared" si="16"/>
        <v>299</v>
      </c>
      <c r="K352" s="45">
        <f t="shared" si="15"/>
        <v>299</v>
      </c>
      <c r="L352" s="45">
        <f t="shared" si="15"/>
        <v>299</v>
      </c>
      <c r="M352" s="45">
        <v>299</v>
      </c>
      <c r="N352" s="45">
        <v>299</v>
      </c>
      <c r="O352" s="45">
        <f t="shared" si="17"/>
        <v>249</v>
      </c>
      <c r="P352" s="46">
        <f t="shared" si="17"/>
        <v>249</v>
      </c>
      <c r="Q352" s="46">
        <f t="shared" si="17"/>
        <v>249</v>
      </c>
      <c r="R352" s="45">
        <v>249</v>
      </c>
      <c r="S352" s="45">
        <v>249</v>
      </c>
      <c r="T352" s="45">
        <v>249</v>
      </c>
      <c r="U352" s="45">
        <v>249</v>
      </c>
      <c r="V352" s="45">
        <v>249</v>
      </c>
      <c r="W352" s="45">
        <v>249</v>
      </c>
      <c r="X352" s="45">
        <v>249</v>
      </c>
      <c r="Y352" s="45">
        <v>249</v>
      </c>
      <c r="Z352" s="45">
        <v>249</v>
      </c>
      <c r="AA352" s="45">
        <v>249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">
        <v>65</v>
      </c>
      <c r="AX352" s="51" t="s">
        <v>66</v>
      </c>
    </row>
    <row r="353" spans="1:50" ht="22.5" customHeight="1">
      <c r="A353" s="50" t="s">
        <v>61</v>
      </c>
      <c r="B353" s="41" t="s">
        <v>62</v>
      </c>
      <c r="C353" s="42">
        <v>4014669</v>
      </c>
      <c r="D353" s="42" t="s">
        <v>526</v>
      </c>
      <c r="E353" s="62" t="s">
        <v>527</v>
      </c>
      <c r="F353" s="45">
        <v>399</v>
      </c>
      <c r="G353" s="45">
        <v>299</v>
      </c>
      <c r="H353" s="45">
        <v>299</v>
      </c>
      <c r="I353" s="45">
        <v>299</v>
      </c>
      <c r="J353" s="45">
        <f t="shared" si="16"/>
        <v>299</v>
      </c>
      <c r="K353" s="45">
        <f t="shared" si="15"/>
        <v>299</v>
      </c>
      <c r="L353" s="45">
        <f t="shared" si="15"/>
        <v>299</v>
      </c>
      <c r="M353" s="45">
        <v>299</v>
      </c>
      <c r="N353" s="45">
        <v>299</v>
      </c>
      <c r="O353" s="45">
        <f t="shared" si="17"/>
        <v>249</v>
      </c>
      <c r="P353" s="46">
        <f t="shared" si="17"/>
        <v>249</v>
      </c>
      <c r="Q353" s="46">
        <f t="shared" si="17"/>
        <v>249</v>
      </c>
      <c r="R353" s="45">
        <v>249</v>
      </c>
      <c r="S353" s="45">
        <v>249</v>
      </c>
      <c r="T353" s="45">
        <v>249</v>
      </c>
      <c r="U353" s="45">
        <v>249</v>
      </c>
      <c r="V353" s="45">
        <v>249</v>
      </c>
      <c r="W353" s="45">
        <v>249</v>
      </c>
      <c r="X353" s="45">
        <v>249</v>
      </c>
      <c r="Y353" s="45">
        <v>249</v>
      </c>
      <c r="Z353" s="45">
        <v>249</v>
      </c>
      <c r="AA353" s="45">
        <v>249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">
        <v>65</v>
      </c>
      <c r="AX353" s="51" t="s">
        <v>66</v>
      </c>
    </row>
    <row r="354" spans="1:50" ht="22.5" customHeight="1">
      <c r="A354" s="50" t="s">
        <v>61</v>
      </c>
      <c r="B354" s="41" t="s">
        <v>62</v>
      </c>
      <c r="C354" s="42">
        <v>4014696</v>
      </c>
      <c r="D354" s="42" t="s">
        <v>526</v>
      </c>
      <c r="E354" s="62" t="s">
        <v>528</v>
      </c>
      <c r="F354" s="45">
        <v>399</v>
      </c>
      <c r="G354" s="45">
        <v>299</v>
      </c>
      <c r="H354" s="45">
        <v>299</v>
      </c>
      <c r="I354" s="45">
        <v>299</v>
      </c>
      <c r="J354" s="45">
        <f t="shared" si="16"/>
        <v>299</v>
      </c>
      <c r="K354" s="45">
        <f t="shared" si="15"/>
        <v>299</v>
      </c>
      <c r="L354" s="45">
        <f t="shared" si="15"/>
        <v>299</v>
      </c>
      <c r="M354" s="45">
        <v>299</v>
      </c>
      <c r="N354" s="45">
        <v>299</v>
      </c>
      <c r="O354" s="45">
        <f t="shared" si="17"/>
        <v>249</v>
      </c>
      <c r="P354" s="46">
        <f t="shared" si="17"/>
        <v>249</v>
      </c>
      <c r="Q354" s="46">
        <f t="shared" si="17"/>
        <v>249</v>
      </c>
      <c r="R354" s="45">
        <v>249</v>
      </c>
      <c r="S354" s="45">
        <v>249</v>
      </c>
      <c r="T354" s="45">
        <v>249</v>
      </c>
      <c r="U354" s="45">
        <v>249</v>
      </c>
      <c r="V354" s="45">
        <v>249</v>
      </c>
      <c r="W354" s="45">
        <v>249</v>
      </c>
      <c r="X354" s="45">
        <v>249</v>
      </c>
      <c r="Y354" s="45">
        <v>249</v>
      </c>
      <c r="Z354" s="45">
        <v>249</v>
      </c>
      <c r="AA354" s="45">
        <v>249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">
        <v>65</v>
      </c>
      <c r="AX354" s="51" t="s">
        <v>66</v>
      </c>
    </row>
    <row r="355" spans="1:50" ht="22.5" customHeight="1">
      <c r="A355" s="50" t="s">
        <v>61</v>
      </c>
      <c r="B355" s="41" t="s">
        <v>62</v>
      </c>
      <c r="C355" s="42">
        <v>4014692</v>
      </c>
      <c r="D355" s="42" t="s">
        <v>526</v>
      </c>
      <c r="E355" s="62" t="s">
        <v>529</v>
      </c>
      <c r="F355" s="45">
        <v>399</v>
      </c>
      <c r="G355" s="45">
        <v>299</v>
      </c>
      <c r="H355" s="45">
        <v>299</v>
      </c>
      <c r="I355" s="45">
        <v>299</v>
      </c>
      <c r="J355" s="45">
        <f t="shared" si="16"/>
        <v>299</v>
      </c>
      <c r="K355" s="45">
        <f t="shared" si="15"/>
        <v>299</v>
      </c>
      <c r="L355" s="45">
        <f t="shared" si="15"/>
        <v>299</v>
      </c>
      <c r="M355" s="45">
        <v>299</v>
      </c>
      <c r="N355" s="45">
        <v>299</v>
      </c>
      <c r="O355" s="45">
        <f t="shared" si="17"/>
        <v>249</v>
      </c>
      <c r="P355" s="46">
        <f t="shared" si="17"/>
        <v>249</v>
      </c>
      <c r="Q355" s="46">
        <f t="shared" si="17"/>
        <v>249</v>
      </c>
      <c r="R355" s="45">
        <v>249</v>
      </c>
      <c r="S355" s="45">
        <v>249</v>
      </c>
      <c r="T355" s="45">
        <v>249</v>
      </c>
      <c r="U355" s="45">
        <v>249</v>
      </c>
      <c r="V355" s="45">
        <v>249</v>
      </c>
      <c r="W355" s="45">
        <v>249</v>
      </c>
      <c r="X355" s="45">
        <v>249</v>
      </c>
      <c r="Y355" s="45">
        <v>249</v>
      </c>
      <c r="Z355" s="45">
        <v>249</v>
      </c>
      <c r="AA355" s="45">
        <v>249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">
        <v>65</v>
      </c>
      <c r="AX355" s="51" t="s">
        <v>66</v>
      </c>
    </row>
    <row r="356" spans="1:50" ht="22.5" customHeight="1">
      <c r="A356" s="50" t="s">
        <v>61</v>
      </c>
      <c r="B356" s="41" t="s">
        <v>62</v>
      </c>
      <c r="C356" s="42">
        <v>4014698</v>
      </c>
      <c r="D356" s="42" t="s">
        <v>526</v>
      </c>
      <c r="E356" s="62" t="s">
        <v>530</v>
      </c>
      <c r="F356" s="45">
        <v>399</v>
      </c>
      <c r="G356" s="45">
        <v>299</v>
      </c>
      <c r="H356" s="45">
        <v>299</v>
      </c>
      <c r="I356" s="45">
        <v>299</v>
      </c>
      <c r="J356" s="45">
        <f t="shared" si="16"/>
        <v>299</v>
      </c>
      <c r="K356" s="45">
        <f t="shared" si="15"/>
        <v>299</v>
      </c>
      <c r="L356" s="45">
        <f t="shared" si="15"/>
        <v>299</v>
      </c>
      <c r="M356" s="45">
        <v>299</v>
      </c>
      <c r="N356" s="45">
        <v>299</v>
      </c>
      <c r="O356" s="45">
        <f t="shared" si="17"/>
        <v>249</v>
      </c>
      <c r="P356" s="46">
        <f t="shared" si="17"/>
        <v>249</v>
      </c>
      <c r="Q356" s="46">
        <f t="shared" si="17"/>
        <v>249</v>
      </c>
      <c r="R356" s="45">
        <v>249</v>
      </c>
      <c r="S356" s="45">
        <v>249</v>
      </c>
      <c r="T356" s="45">
        <v>249</v>
      </c>
      <c r="U356" s="45">
        <v>249</v>
      </c>
      <c r="V356" s="45">
        <v>249</v>
      </c>
      <c r="W356" s="45">
        <v>249</v>
      </c>
      <c r="X356" s="45">
        <v>249</v>
      </c>
      <c r="Y356" s="45">
        <v>249</v>
      </c>
      <c r="Z356" s="45">
        <v>249</v>
      </c>
      <c r="AA356" s="45">
        <v>249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">
        <v>65</v>
      </c>
      <c r="AX356" s="51" t="s">
        <v>66</v>
      </c>
    </row>
    <row r="357" spans="1:50" ht="22.5" customHeight="1">
      <c r="A357" s="50" t="s">
        <v>61</v>
      </c>
      <c r="B357" s="41" t="s">
        <v>62</v>
      </c>
      <c r="C357" s="42">
        <v>4014681</v>
      </c>
      <c r="D357" s="42" t="s">
        <v>531</v>
      </c>
      <c r="E357" s="62" t="s">
        <v>532</v>
      </c>
      <c r="F357" s="45">
        <v>699</v>
      </c>
      <c r="G357" s="45">
        <v>499</v>
      </c>
      <c r="H357" s="45">
        <v>699</v>
      </c>
      <c r="I357" s="45">
        <v>699</v>
      </c>
      <c r="J357" s="45">
        <v>349</v>
      </c>
      <c r="K357" s="45">
        <v>349</v>
      </c>
      <c r="L357" s="45">
        <v>349</v>
      </c>
      <c r="M357" s="45">
        <v>349</v>
      </c>
      <c r="N357" s="45">
        <v>349</v>
      </c>
      <c r="O357" s="45">
        <v>349</v>
      </c>
      <c r="P357" s="45">
        <v>349</v>
      </c>
      <c r="Q357" s="45">
        <v>349</v>
      </c>
      <c r="R357" s="45">
        <v>349</v>
      </c>
      <c r="S357" s="45">
        <v>349</v>
      </c>
      <c r="T357" s="45">
        <v>349</v>
      </c>
      <c r="U357" s="45">
        <v>349</v>
      </c>
      <c r="V357" s="45">
        <v>349</v>
      </c>
      <c r="W357" s="45">
        <v>349</v>
      </c>
      <c r="X357" s="45">
        <v>349</v>
      </c>
      <c r="Y357" s="45">
        <v>349</v>
      </c>
      <c r="Z357" s="45">
        <v>349</v>
      </c>
      <c r="AA357" s="45">
        <v>349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">
        <v>65</v>
      </c>
      <c r="AX357" s="51" t="s">
        <v>66</v>
      </c>
    </row>
    <row r="358" spans="1:50" ht="22.5" customHeight="1">
      <c r="A358" s="50" t="s">
        <v>61</v>
      </c>
      <c r="B358" s="41" t="s">
        <v>62</v>
      </c>
      <c r="C358" s="42">
        <v>4014682</v>
      </c>
      <c r="D358" s="42" t="s">
        <v>531</v>
      </c>
      <c r="E358" s="62" t="s">
        <v>533</v>
      </c>
      <c r="F358" s="45">
        <v>699</v>
      </c>
      <c r="G358" s="45">
        <v>499</v>
      </c>
      <c r="H358" s="45">
        <v>699</v>
      </c>
      <c r="I358" s="45">
        <v>699</v>
      </c>
      <c r="J358" s="45">
        <v>349</v>
      </c>
      <c r="K358" s="45">
        <v>349</v>
      </c>
      <c r="L358" s="45">
        <v>349</v>
      </c>
      <c r="M358" s="45">
        <v>349</v>
      </c>
      <c r="N358" s="45">
        <v>349</v>
      </c>
      <c r="O358" s="45">
        <v>349</v>
      </c>
      <c r="P358" s="45">
        <v>349</v>
      </c>
      <c r="Q358" s="45">
        <v>349</v>
      </c>
      <c r="R358" s="45">
        <v>349</v>
      </c>
      <c r="S358" s="45">
        <v>349</v>
      </c>
      <c r="T358" s="45">
        <v>349</v>
      </c>
      <c r="U358" s="45">
        <v>349</v>
      </c>
      <c r="V358" s="45">
        <v>349</v>
      </c>
      <c r="W358" s="45">
        <v>349</v>
      </c>
      <c r="X358" s="45">
        <v>349</v>
      </c>
      <c r="Y358" s="45">
        <v>349</v>
      </c>
      <c r="Z358" s="45">
        <v>349</v>
      </c>
      <c r="AA358" s="45">
        <v>349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">
        <v>65</v>
      </c>
      <c r="AX358" s="51" t="s">
        <v>66</v>
      </c>
    </row>
    <row r="359" spans="1:50" ht="22.5" customHeight="1">
      <c r="A359" s="50" t="s">
        <v>61</v>
      </c>
      <c r="B359" s="41" t="s">
        <v>62</v>
      </c>
      <c r="C359" s="42">
        <v>4014683</v>
      </c>
      <c r="D359" s="42" t="s">
        <v>531</v>
      </c>
      <c r="E359" s="62" t="s">
        <v>534</v>
      </c>
      <c r="F359" s="45">
        <v>699</v>
      </c>
      <c r="G359" s="45">
        <v>499</v>
      </c>
      <c r="H359" s="45">
        <v>699</v>
      </c>
      <c r="I359" s="45">
        <v>699</v>
      </c>
      <c r="J359" s="45">
        <v>349</v>
      </c>
      <c r="K359" s="45">
        <v>349</v>
      </c>
      <c r="L359" s="45">
        <v>349</v>
      </c>
      <c r="M359" s="45">
        <v>349</v>
      </c>
      <c r="N359" s="45">
        <v>349</v>
      </c>
      <c r="O359" s="45">
        <v>349</v>
      </c>
      <c r="P359" s="45">
        <v>349</v>
      </c>
      <c r="Q359" s="45">
        <v>349</v>
      </c>
      <c r="R359" s="45">
        <v>349</v>
      </c>
      <c r="S359" s="45">
        <v>349</v>
      </c>
      <c r="T359" s="45">
        <v>349</v>
      </c>
      <c r="U359" s="45">
        <v>349</v>
      </c>
      <c r="V359" s="45">
        <v>349</v>
      </c>
      <c r="W359" s="45">
        <v>349</v>
      </c>
      <c r="X359" s="45">
        <v>349</v>
      </c>
      <c r="Y359" s="45">
        <v>349</v>
      </c>
      <c r="Z359" s="45">
        <v>349</v>
      </c>
      <c r="AA359" s="45">
        <v>349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">
        <v>65</v>
      </c>
      <c r="AX359" s="51" t="s">
        <v>66</v>
      </c>
    </row>
    <row r="360" spans="1:50" ht="22.5" customHeight="1">
      <c r="A360" s="50" t="s">
        <v>61</v>
      </c>
      <c r="B360" s="41" t="s">
        <v>62</v>
      </c>
      <c r="C360" s="42">
        <v>4014684</v>
      </c>
      <c r="D360" s="42" t="s">
        <v>531</v>
      </c>
      <c r="E360" s="62" t="s">
        <v>535</v>
      </c>
      <c r="F360" s="45">
        <v>699</v>
      </c>
      <c r="G360" s="45">
        <v>499</v>
      </c>
      <c r="H360" s="45">
        <v>699</v>
      </c>
      <c r="I360" s="45">
        <v>699</v>
      </c>
      <c r="J360" s="45">
        <v>349</v>
      </c>
      <c r="K360" s="45">
        <v>349</v>
      </c>
      <c r="L360" s="45">
        <v>349</v>
      </c>
      <c r="M360" s="45">
        <v>349</v>
      </c>
      <c r="N360" s="45">
        <v>349</v>
      </c>
      <c r="O360" s="45">
        <v>349</v>
      </c>
      <c r="P360" s="45">
        <v>349</v>
      </c>
      <c r="Q360" s="45">
        <v>349</v>
      </c>
      <c r="R360" s="45">
        <v>349</v>
      </c>
      <c r="S360" s="45">
        <v>349</v>
      </c>
      <c r="T360" s="45">
        <v>349</v>
      </c>
      <c r="U360" s="45">
        <v>349</v>
      </c>
      <c r="V360" s="45">
        <v>349</v>
      </c>
      <c r="W360" s="45">
        <v>349</v>
      </c>
      <c r="X360" s="45">
        <v>349</v>
      </c>
      <c r="Y360" s="45">
        <v>349</v>
      </c>
      <c r="Z360" s="45">
        <v>349</v>
      </c>
      <c r="AA360" s="45">
        <v>349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">
        <v>65</v>
      </c>
      <c r="AX360" s="51" t="s">
        <v>66</v>
      </c>
    </row>
    <row r="361" spans="1:50" ht="22.5" customHeight="1">
      <c r="A361" s="50" t="s">
        <v>61</v>
      </c>
      <c r="B361" s="41" t="s">
        <v>62</v>
      </c>
      <c r="C361" s="42">
        <v>4015002</v>
      </c>
      <c r="D361" s="42" t="s">
        <v>531</v>
      </c>
      <c r="E361" s="62" t="s">
        <v>536</v>
      </c>
      <c r="F361" s="45">
        <v>699</v>
      </c>
      <c r="G361" s="45">
        <v>499</v>
      </c>
      <c r="H361" s="45">
        <v>699</v>
      </c>
      <c r="I361" s="45">
        <v>699</v>
      </c>
      <c r="J361" s="45">
        <v>349</v>
      </c>
      <c r="K361" s="45">
        <v>349</v>
      </c>
      <c r="L361" s="45">
        <v>349</v>
      </c>
      <c r="M361" s="45">
        <v>349</v>
      </c>
      <c r="N361" s="45">
        <v>349</v>
      </c>
      <c r="O361" s="45">
        <v>349</v>
      </c>
      <c r="P361" s="45">
        <v>349</v>
      </c>
      <c r="Q361" s="45">
        <v>349</v>
      </c>
      <c r="R361" s="45">
        <v>349</v>
      </c>
      <c r="S361" s="45">
        <v>349</v>
      </c>
      <c r="T361" s="45">
        <v>349</v>
      </c>
      <c r="U361" s="45">
        <v>349</v>
      </c>
      <c r="V361" s="45">
        <v>349</v>
      </c>
      <c r="W361" s="45">
        <v>349</v>
      </c>
      <c r="X361" s="45">
        <v>349</v>
      </c>
      <c r="Y361" s="45">
        <v>349</v>
      </c>
      <c r="Z361" s="45">
        <v>349</v>
      </c>
      <c r="AA361" s="45">
        <v>349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">
        <v>65</v>
      </c>
      <c r="AX361" s="51" t="s">
        <v>66</v>
      </c>
    </row>
    <row r="362" spans="1:50" ht="22.5" customHeight="1">
      <c r="A362" s="50" t="s">
        <v>61</v>
      </c>
      <c r="B362" s="41" t="s">
        <v>62</v>
      </c>
      <c r="C362" s="42">
        <v>4015008</v>
      </c>
      <c r="D362" s="42" t="s">
        <v>531</v>
      </c>
      <c r="E362" s="62" t="s">
        <v>537</v>
      </c>
      <c r="F362" s="45">
        <v>699</v>
      </c>
      <c r="G362" s="45">
        <v>499</v>
      </c>
      <c r="H362" s="45">
        <v>699</v>
      </c>
      <c r="I362" s="45">
        <v>699</v>
      </c>
      <c r="J362" s="45">
        <v>349</v>
      </c>
      <c r="K362" s="45">
        <v>349</v>
      </c>
      <c r="L362" s="45">
        <v>349</v>
      </c>
      <c r="M362" s="45">
        <v>349</v>
      </c>
      <c r="N362" s="45">
        <v>349</v>
      </c>
      <c r="O362" s="45">
        <v>349</v>
      </c>
      <c r="P362" s="45">
        <v>349</v>
      </c>
      <c r="Q362" s="45">
        <v>349</v>
      </c>
      <c r="R362" s="45">
        <v>349</v>
      </c>
      <c r="S362" s="45">
        <v>349</v>
      </c>
      <c r="T362" s="45">
        <v>349</v>
      </c>
      <c r="U362" s="45">
        <v>349</v>
      </c>
      <c r="V362" s="45">
        <v>349</v>
      </c>
      <c r="W362" s="45">
        <v>349</v>
      </c>
      <c r="X362" s="45">
        <v>349</v>
      </c>
      <c r="Y362" s="45">
        <v>349</v>
      </c>
      <c r="Z362" s="45">
        <v>349</v>
      </c>
      <c r="AA362" s="45">
        <v>349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">
        <v>65</v>
      </c>
      <c r="AX362" s="51" t="s">
        <v>66</v>
      </c>
    </row>
    <row r="363" spans="1:50" ht="22.5" customHeight="1">
      <c r="A363" s="50" t="s">
        <v>61</v>
      </c>
      <c r="B363" s="41" t="s">
        <v>62</v>
      </c>
      <c r="C363" s="42">
        <v>4015007</v>
      </c>
      <c r="D363" s="42" t="s">
        <v>531</v>
      </c>
      <c r="E363" s="62" t="s">
        <v>538</v>
      </c>
      <c r="F363" s="45">
        <v>699</v>
      </c>
      <c r="G363" s="45">
        <v>499</v>
      </c>
      <c r="H363" s="45">
        <v>699</v>
      </c>
      <c r="I363" s="45">
        <v>699</v>
      </c>
      <c r="J363" s="45">
        <v>349</v>
      </c>
      <c r="K363" s="45">
        <v>349</v>
      </c>
      <c r="L363" s="45">
        <v>349</v>
      </c>
      <c r="M363" s="45">
        <v>349</v>
      </c>
      <c r="N363" s="45">
        <v>349</v>
      </c>
      <c r="O363" s="45">
        <v>349</v>
      </c>
      <c r="P363" s="45">
        <v>349</v>
      </c>
      <c r="Q363" s="45">
        <v>349</v>
      </c>
      <c r="R363" s="45">
        <v>349</v>
      </c>
      <c r="S363" s="45">
        <v>349</v>
      </c>
      <c r="T363" s="45">
        <v>349</v>
      </c>
      <c r="U363" s="45">
        <v>349</v>
      </c>
      <c r="V363" s="45">
        <v>349</v>
      </c>
      <c r="W363" s="45">
        <v>349</v>
      </c>
      <c r="X363" s="45">
        <v>349</v>
      </c>
      <c r="Y363" s="45">
        <v>349</v>
      </c>
      <c r="Z363" s="45">
        <v>349</v>
      </c>
      <c r="AA363" s="45">
        <v>349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">
        <v>65</v>
      </c>
      <c r="AX363" s="51" t="s">
        <v>66</v>
      </c>
    </row>
    <row r="364" spans="1:50" ht="22.5" customHeight="1">
      <c r="A364" s="50" t="s">
        <v>61</v>
      </c>
      <c r="B364" s="41" t="s">
        <v>62</v>
      </c>
      <c r="C364" s="42">
        <v>4015000</v>
      </c>
      <c r="D364" s="42" t="s">
        <v>531</v>
      </c>
      <c r="E364" s="44" t="s">
        <v>539</v>
      </c>
      <c r="F364" s="45">
        <v>699</v>
      </c>
      <c r="G364" s="45">
        <v>499</v>
      </c>
      <c r="H364" s="45">
        <v>699</v>
      </c>
      <c r="I364" s="45">
        <v>699</v>
      </c>
      <c r="J364" s="45">
        <v>349</v>
      </c>
      <c r="K364" s="45">
        <v>349</v>
      </c>
      <c r="L364" s="45">
        <v>349</v>
      </c>
      <c r="M364" s="45">
        <v>349</v>
      </c>
      <c r="N364" s="45">
        <v>349</v>
      </c>
      <c r="O364" s="45">
        <v>349</v>
      </c>
      <c r="P364" s="45">
        <v>349</v>
      </c>
      <c r="Q364" s="45">
        <v>349</v>
      </c>
      <c r="R364" s="45">
        <v>349</v>
      </c>
      <c r="S364" s="45">
        <v>349</v>
      </c>
      <c r="T364" s="45">
        <v>349</v>
      </c>
      <c r="U364" s="45">
        <v>349</v>
      </c>
      <c r="V364" s="45">
        <v>349</v>
      </c>
      <c r="W364" s="45">
        <v>349</v>
      </c>
      <c r="X364" s="45">
        <v>349</v>
      </c>
      <c r="Y364" s="45">
        <v>349</v>
      </c>
      <c r="Z364" s="45">
        <v>349</v>
      </c>
      <c r="AA364" s="45">
        <v>349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">
        <v>65</v>
      </c>
      <c r="AX364" s="51" t="s">
        <v>66</v>
      </c>
    </row>
    <row r="365" spans="1:50" ht="22.5" customHeight="1">
      <c r="A365" s="50" t="s">
        <v>61</v>
      </c>
      <c r="B365" s="41" t="s">
        <v>62</v>
      </c>
      <c r="C365" s="42">
        <v>4015006</v>
      </c>
      <c r="D365" s="42" t="s">
        <v>531</v>
      </c>
      <c r="E365" s="44" t="s">
        <v>540</v>
      </c>
      <c r="F365" s="45">
        <v>699</v>
      </c>
      <c r="G365" s="45">
        <v>499</v>
      </c>
      <c r="H365" s="45">
        <v>699</v>
      </c>
      <c r="I365" s="45">
        <v>699</v>
      </c>
      <c r="J365" s="45">
        <v>349</v>
      </c>
      <c r="K365" s="45">
        <v>349</v>
      </c>
      <c r="L365" s="45">
        <v>349</v>
      </c>
      <c r="M365" s="45">
        <v>349</v>
      </c>
      <c r="N365" s="45">
        <v>349</v>
      </c>
      <c r="O365" s="45">
        <v>349</v>
      </c>
      <c r="P365" s="45">
        <v>349</v>
      </c>
      <c r="Q365" s="45">
        <v>349</v>
      </c>
      <c r="R365" s="45">
        <v>349</v>
      </c>
      <c r="S365" s="45">
        <v>349</v>
      </c>
      <c r="T365" s="45">
        <v>349</v>
      </c>
      <c r="U365" s="45">
        <v>349</v>
      </c>
      <c r="V365" s="45">
        <v>349</v>
      </c>
      <c r="W365" s="45">
        <v>349</v>
      </c>
      <c r="X365" s="45">
        <v>349</v>
      </c>
      <c r="Y365" s="45">
        <v>349</v>
      </c>
      <c r="Z365" s="45">
        <v>349</v>
      </c>
      <c r="AA365" s="45">
        <v>349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">
        <v>65</v>
      </c>
      <c r="AX365" s="51" t="s">
        <v>66</v>
      </c>
    </row>
    <row r="366" spans="1:50" ht="22.5" customHeight="1">
      <c r="A366" s="50" t="s">
        <v>61</v>
      </c>
      <c r="B366" s="41" t="s">
        <v>62</v>
      </c>
      <c r="C366" s="42">
        <v>4015004</v>
      </c>
      <c r="D366" s="44" t="s">
        <v>531</v>
      </c>
      <c r="E366" s="44" t="s">
        <v>541</v>
      </c>
      <c r="F366" s="45">
        <v>699</v>
      </c>
      <c r="G366" s="45">
        <v>499</v>
      </c>
      <c r="H366" s="45">
        <v>699</v>
      </c>
      <c r="I366" s="45">
        <v>699</v>
      </c>
      <c r="J366" s="45">
        <v>349</v>
      </c>
      <c r="K366" s="45">
        <v>349</v>
      </c>
      <c r="L366" s="45">
        <v>349</v>
      </c>
      <c r="M366" s="45">
        <v>349</v>
      </c>
      <c r="N366" s="45">
        <v>349</v>
      </c>
      <c r="O366" s="45">
        <v>349</v>
      </c>
      <c r="P366" s="45">
        <v>349</v>
      </c>
      <c r="Q366" s="45">
        <v>349</v>
      </c>
      <c r="R366" s="45">
        <v>349</v>
      </c>
      <c r="S366" s="45">
        <v>349</v>
      </c>
      <c r="T366" s="45">
        <v>349</v>
      </c>
      <c r="U366" s="45">
        <v>349</v>
      </c>
      <c r="V366" s="45">
        <v>349</v>
      </c>
      <c r="W366" s="45">
        <v>349</v>
      </c>
      <c r="X366" s="45">
        <v>349</v>
      </c>
      <c r="Y366" s="45">
        <v>349</v>
      </c>
      <c r="Z366" s="45">
        <v>349</v>
      </c>
      <c r="AA366" s="45">
        <v>349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">
        <v>65</v>
      </c>
      <c r="AX366" s="51" t="s">
        <v>66</v>
      </c>
    </row>
    <row r="367" spans="1:50" ht="22.5" customHeight="1">
      <c r="A367" s="50" t="s">
        <v>61</v>
      </c>
      <c r="B367" s="41" t="s">
        <v>62</v>
      </c>
      <c r="C367" s="42">
        <v>4014430</v>
      </c>
      <c r="D367" s="44" t="s">
        <v>542</v>
      </c>
      <c r="E367" s="44" t="s">
        <v>543</v>
      </c>
      <c r="F367" s="45">
        <v>499</v>
      </c>
      <c r="G367" s="45">
        <v>349</v>
      </c>
      <c r="H367" s="45">
        <v>499</v>
      </c>
      <c r="I367" s="45">
        <v>499</v>
      </c>
      <c r="J367" s="45">
        <f t="shared" ref="J367:J423" si="18">M367</f>
        <v>399</v>
      </c>
      <c r="K367" s="45">
        <f t="shared" ref="K367:L423" si="19">M367</f>
        <v>399</v>
      </c>
      <c r="L367" s="45">
        <f t="shared" si="19"/>
        <v>399</v>
      </c>
      <c r="M367" s="45">
        <v>399</v>
      </c>
      <c r="N367" s="45">
        <v>399</v>
      </c>
      <c r="O367" s="45">
        <f t="shared" si="17"/>
        <v>349</v>
      </c>
      <c r="P367" s="46">
        <f t="shared" si="17"/>
        <v>349</v>
      </c>
      <c r="Q367" s="46">
        <f t="shared" si="17"/>
        <v>349</v>
      </c>
      <c r="R367" s="45">
        <v>349</v>
      </c>
      <c r="S367" s="45">
        <v>349</v>
      </c>
      <c r="T367" s="45">
        <v>349</v>
      </c>
      <c r="U367" s="45">
        <v>349</v>
      </c>
      <c r="V367" s="45">
        <v>349</v>
      </c>
      <c r="W367" s="45">
        <v>349</v>
      </c>
      <c r="X367" s="45">
        <v>349</v>
      </c>
      <c r="Y367" s="45">
        <v>349</v>
      </c>
      <c r="Z367" s="45">
        <v>349</v>
      </c>
      <c r="AA367" s="45">
        <v>349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">
        <v>65</v>
      </c>
      <c r="AX367" s="51" t="s">
        <v>66</v>
      </c>
    </row>
    <row r="368" spans="1:50" ht="22.5" customHeight="1">
      <c r="A368" s="50" t="s">
        <v>61</v>
      </c>
      <c r="B368" s="41" t="s">
        <v>62</v>
      </c>
      <c r="C368" s="42">
        <v>4014434</v>
      </c>
      <c r="D368" s="44" t="s">
        <v>542</v>
      </c>
      <c r="E368" s="44" t="s">
        <v>544</v>
      </c>
      <c r="F368" s="45">
        <v>499</v>
      </c>
      <c r="G368" s="45">
        <v>349</v>
      </c>
      <c r="H368" s="45">
        <v>499</v>
      </c>
      <c r="I368" s="45">
        <v>499</v>
      </c>
      <c r="J368" s="45">
        <f t="shared" si="18"/>
        <v>399</v>
      </c>
      <c r="K368" s="45">
        <f t="shared" si="19"/>
        <v>399</v>
      </c>
      <c r="L368" s="45">
        <f t="shared" si="19"/>
        <v>399</v>
      </c>
      <c r="M368" s="45">
        <v>399</v>
      </c>
      <c r="N368" s="45">
        <v>399</v>
      </c>
      <c r="O368" s="45">
        <f t="shared" si="17"/>
        <v>349</v>
      </c>
      <c r="P368" s="46">
        <f t="shared" si="17"/>
        <v>349</v>
      </c>
      <c r="Q368" s="46">
        <f t="shared" si="17"/>
        <v>349</v>
      </c>
      <c r="R368" s="45">
        <v>349</v>
      </c>
      <c r="S368" s="45">
        <v>349</v>
      </c>
      <c r="T368" s="45">
        <v>349</v>
      </c>
      <c r="U368" s="45">
        <v>349</v>
      </c>
      <c r="V368" s="45">
        <v>349</v>
      </c>
      <c r="W368" s="45">
        <v>349</v>
      </c>
      <c r="X368" s="45">
        <v>349</v>
      </c>
      <c r="Y368" s="45">
        <v>349</v>
      </c>
      <c r="Z368" s="45">
        <v>349</v>
      </c>
      <c r="AA368" s="45">
        <v>349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">
        <v>65</v>
      </c>
      <c r="AX368" s="51" t="s">
        <v>66</v>
      </c>
    </row>
    <row r="369" spans="1:50" ht="22.5" customHeight="1">
      <c r="A369" s="50" t="s">
        <v>61</v>
      </c>
      <c r="B369" s="41" t="s">
        <v>62</v>
      </c>
      <c r="C369" s="42">
        <v>4014437</v>
      </c>
      <c r="D369" s="44" t="s">
        <v>542</v>
      </c>
      <c r="E369" s="44" t="s">
        <v>545</v>
      </c>
      <c r="F369" s="45">
        <v>499</v>
      </c>
      <c r="G369" s="45">
        <v>349</v>
      </c>
      <c r="H369" s="45">
        <v>499</v>
      </c>
      <c r="I369" s="45">
        <v>499</v>
      </c>
      <c r="J369" s="45">
        <f t="shared" si="18"/>
        <v>399</v>
      </c>
      <c r="K369" s="45">
        <f t="shared" si="19"/>
        <v>399</v>
      </c>
      <c r="L369" s="45">
        <f t="shared" si="19"/>
        <v>399</v>
      </c>
      <c r="M369" s="45">
        <v>399</v>
      </c>
      <c r="N369" s="45">
        <v>399</v>
      </c>
      <c r="O369" s="45">
        <f t="shared" si="17"/>
        <v>349</v>
      </c>
      <c r="P369" s="46">
        <f t="shared" si="17"/>
        <v>349</v>
      </c>
      <c r="Q369" s="46">
        <f t="shared" si="17"/>
        <v>349</v>
      </c>
      <c r="R369" s="45">
        <v>349</v>
      </c>
      <c r="S369" s="45">
        <v>349</v>
      </c>
      <c r="T369" s="45">
        <v>349</v>
      </c>
      <c r="U369" s="45">
        <v>349</v>
      </c>
      <c r="V369" s="45">
        <v>349</v>
      </c>
      <c r="W369" s="45">
        <v>349</v>
      </c>
      <c r="X369" s="45">
        <v>349</v>
      </c>
      <c r="Y369" s="45">
        <v>349</v>
      </c>
      <c r="Z369" s="45">
        <v>349</v>
      </c>
      <c r="AA369" s="45">
        <v>349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">
        <v>65</v>
      </c>
      <c r="AX369" s="51" t="s">
        <v>66</v>
      </c>
    </row>
    <row r="370" spans="1:50" ht="22.5" customHeight="1">
      <c r="A370" s="50" t="s">
        <v>61</v>
      </c>
      <c r="B370" s="41" t="s">
        <v>62</v>
      </c>
      <c r="C370" s="42">
        <v>4014440</v>
      </c>
      <c r="D370" s="44" t="s">
        <v>542</v>
      </c>
      <c r="E370" s="44" t="s">
        <v>546</v>
      </c>
      <c r="F370" s="45">
        <v>499</v>
      </c>
      <c r="G370" s="45">
        <v>349</v>
      </c>
      <c r="H370" s="45">
        <v>499</v>
      </c>
      <c r="I370" s="45">
        <v>499</v>
      </c>
      <c r="J370" s="45">
        <f t="shared" si="18"/>
        <v>399</v>
      </c>
      <c r="K370" s="45">
        <f t="shared" si="19"/>
        <v>399</v>
      </c>
      <c r="L370" s="45">
        <f t="shared" si="19"/>
        <v>399</v>
      </c>
      <c r="M370" s="45">
        <v>399</v>
      </c>
      <c r="N370" s="45">
        <v>399</v>
      </c>
      <c r="O370" s="45">
        <f t="shared" si="17"/>
        <v>349</v>
      </c>
      <c r="P370" s="46">
        <f t="shared" si="17"/>
        <v>349</v>
      </c>
      <c r="Q370" s="46">
        <f t="shared" si="17"/>
        <v>349</v>
      </c>
      <c r="R370" s="45">
        <v>349</v>
      </c>
      <c r="S370" s="45">
        <v>349</v>
      </c>
      <c r="T370" s="45">
        <v>349</v>
      </c>
      <c r="U370" s="45">
        <v>349</v>
      </c>
      <c r="V370" s="45">
        <v>349</v>
      </c>
      <c r="W370" s="45">
        <v>349</v>
      </c>
      <c r="X370" s="45">
        <v>349</v>
      </c>
      <c r="Y370" s="45">
        <v>349</v>
      </c>
      <c r="Z370" s="45">
        <v>349</v>
      </c>
      <c r="AA370" s="45">
        <v>349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">
        <v>65</v>
      </c>
      <c r="AX370" s="51" t="s">
        <v>66</v>
      </c>
    </row>
    <row r="371" spans="1:50" ht="22.5" customHeight="1">
      <c r="A371" s="50" t="s">
        <v>61</v>
      </c>
      <c r="B371" s="41" t="s">
        <v>62</v>
      </c>
      <c r="C371" s="42">
        <v>4015046</v>
      </c>
      <c r="D371" s="44" t="s">
        <v>547</v>
      </c>
      <c r="E371" s="44" t="s">
        <v>548</v>
      </c>
      <c r="F371" s="45">
        <v>799</v>
      </c>
      <c r="G371" s="45">
        <v>599</v>
      </c>
      <c r="H371" s="45">
        <v>599</v>
      </c>
      <c r="I371" s="45">
        <v>599</v>
      </c>
      <c r="J371" s="45">
        <f t="shared" si="18"/>
        <v>499</v>
      </c>
      <c r="K371" s="45">
        <f t="shared" si="19"/>
        <v>499</v>
      </c>
      <c r="L371" s="45">
        <f t="shared" si="19"/>
        <v>499</v>
      </c>
      <c r="M371" s="45">
        <v>499</v>
      </c>
      <c r="N371" s="45">
        <v>499</v>
      </c>
      <c r="O371" s="45">
        <f t="shared" si="17"/>
        <v>449</v>
      </c>
      <c r="P371" s="46">
        <f t="shared" si="17"/>
        <v>449</v>
      </c>
      <c r="Q371" s="46">
        <f t="shared" si="17"/>
        <v>399</v>
      </c>
      <c r="R371" s="45">
        <v>449</v>
      </c>
      <c r="S371" s="45">
        <v>449</v>
      </c>
      <c r="T371" s="45">
        <v>399</v>
      </c>
      <c r="U371" s="45">
        <v>399</v>
      </c>
      <c r="V371" s="45">
        <v>399</v>
      </c>
      <c r="W371" s="45">
        <v>399</v>
      </c>
      <c r="X371" s="45">
        <v>399</v>
      </c>
      <c r="Y371" s="45">
        <v>399</v>
      </c>
      <c r="Z371" s="45">
        <v>399</v>
      </c>
      <c r="AA371" s="45">
        <v>399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">
        <v>65</v>
      </c>
      <c r="AX371" s="51" t="s">
        <v>66</v>
      </c>
    </row>
    <row r="372" spans="1:50" ht="22.5" customHeight="1">
      <c r="A372" s="50" t="s">
        <v>61</v>
      </c>
      <c r="B372" s="41" t="s">
        <v>62</v>
      </c>
      <c r="C372" s="42">
        <v>4015222</v>
      </c>
      <c r="D372" s="44" t="s">
        <v>547</v>
      </c>
      <c r="E372" s="44" t="s">
        <v>549</v>
      </c>
      <c r="F372" s="45">
        <v>799</v>
      </c>
      <c r="G372" s="45">
        <v>599</v>
      </c>
      <c r="H372" s="45">
        <v>599</v>
      </c>
      <c r="I372" s="45">
        <v>599</v>
      </c>
      <c r="J372" s="45">
        <f t="shared" si="18"/>
        <v>499</v>
      </c>
      <c r="K372" s="45">
        <f t="shared" si="19"/>
        <v>499</v>
      </c>
      <c r="L372" s="45">
        <f t="shared" si="19"/>
        <v>499</v>
      </c>
      <c r="M372" s="45">
        <v>499</v>
      </c>
      <c r="N372" s="45">
        <v>499</v>
      </c>
      <c r="O372" s="45">
        <f t="shared" si="17"/>
        <v>449</v>
      </c>
      <c r="P372" s="46">
        <f t="shared" si="17"/>
        <v>449</v>
      </c>
      <c r="Q372" s="46">
        <f t="shared" si="17"/>
        <v>399</v>
      </c>
      <c r="R372" s="45">
        <v>449</v>
      </c>
      <c r="S372" s="45">
        <v>449</v>
      </c>
      <c r="T372" s="45">
        <v>399</v>
      </c>
      <c r="U372" s="45">
        <v>399</v>
      </c>
      <c r="V372" s="45">
        <v>399</v>
      </c>
      <c r="W372" s="45">
        <v>399</v>
      </c>
      <c r="X372" s="45">
        <v>399</v>
      </c>
      <c r="Y372" s="45">
        <v>399</v>
      </c>
      <c r="Z372" s="45">
        <v>399</v>
      </c>
      <c r="AA372" s="45">
        <v>399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">
        <v>65</v>
      </c>
      <c r="AX372" s="51" t="s">
        <v>66</v>
      </c>
    </row>
    <row r="373" spans="1:50" ht="22.5" customHeight="1">
      <c r="A373" s="50" t="s">
        <v>61</v>
      </c>
      <c r="B373" s="41" t="s">
        <v>62</v>
      </c>
      <c r="C373" s="42">
        <v>4015992</v>
      </c>
      <c r="D373" s="44" t="s">
        <v>550</v>
      </c>
      <c r="E373" s="44" t="s">
        <v>551</v>
      </c>
      <c r="F373" s="45">
        <v>641</v>
      </c>
      <c r="G373" s="45">
        <v>441</v>
      </c>
      <c r="H373" s="45">
        <v>641</v>
      </c>
      <c r="I373" s="45">
        <v>641</v>
      </c>
      <c r="J373" s="45">
        <v>309</v>
      </c>
      <c r="K373" s="45">
        <v>309</v>
      </c>
      <c r="L373" s="45">
        <v>309</v>
      </c>
      <c r="M373" s="45">
        <v>309</v>
      </c>
      <c r="N373" s="45">
        <v>309</v>
      </c>
      <c r="O373" s="45">
        <v>309</v>
      </c>
      <c r="P373" s="45">
        <v>309</v>
      </c>
      <c r="Q373" s="45">
        <v>309</v>
      </c>
      <c r="R373" s="45">
        <v>309</v>
      </c>
      <c r="S373" s="45">
        <v>309</v>
      </c>
      <c r="T373" s="45">
        <v>309</v>
      </c>
      <c r="U373" s="45">
        <v>309</v>
      </c>
      <c r="V373" s="45">
        <v>309</v>
      </c>
      <c r="W373" s="45">
        <v>309</v>
      </c>
      <c r="X373" s="45">
        <v>309</v>
      </c>
      <c r="Y373" s="45">
        <v>309</v>
      </c>
      <c r="Z373" s="45">
        <v>309</v>
      </c>
      <c r="AA373" s="45">
        <v>309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">
        <v>65</v>
      </c>
      <c r="AX373" s="51" t="s">
        <v>66</v>
      </c>
    </row>
    <row r="374" spans="1:50" ht="22.5" customHeight="1">
      <c r="A374" s="50" t="s">
        <v>61</v>
      </c>
      <c r="B374" s="41" t="s">
        <v>62</v>
      </c>
      <c r="C374" s="42">
        <v>4015995</v>
      </c>
      <c r="D374" s="44" t="s">
        <v>550</v>
      </c>
      <c r="E374" s="44" t="s">
        <v>552</v>
      </c>
      <c r="F374" s="45">
        <v>641</v>
      </c>
      <c r="G374" s="45">
        <v>441</v>
      </c>
      <c r="H374" s="45">
        <v>641</v>
      </c>
      <c r="I374" s="45">
        <v>641</v>
      </c>
      <c r="J374" s="45">
        <v>309</v>
      </c>
      <c r="K374" s="45">
        <v>309</v>
      </c>
      <c r="L374" s="45">
        <v>309</v>
      </c>
      <c r="M374" s="45">
        <v>309</v>
      </c>
      <c r="N374" s="45">
        <v>309</v>
      </c>
      <c r="O374" s="45">
        <v>309</v>
      </c>
      <c r="P374" s="45">
        <v>309</v>
      </c>
      <c r="Q374" s="45">
        <v>309</v>
      </c>
      <c r="R374" s="45">
        <v>309</v>
      </c>
      <c r="S374" s="45">
        <v>309</v>
      </c>
      <c r="T374" s="45">
        <v>309</v>
      </c>
      <c r="U374" s="45">
        <v>309</v>
      </c>
      <c r="V374" s="45">
        <v>309</v>
      </c>
      <c r="W374" s="45">
        <v>309</v>
      </c>
      <c r="X374" s="45">
        <v>309</v>
      </c>
      <c r="Y374" s="45">
        <v>309</v>
      </c>
      <c r="Z374" s="45">
        <v>309</v>
      </c>
      <c r="AA374" s="45">
        <v>309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">
        <v>65</v>
      </c>
      <c r="AX374" s="51" t="s">
        <v>66</v>
      </c>
    </row>
    <row r="375" spans="1:50" ht="22.5" customHeight="1">
      <c r="A375" s="50" t="s">
        <v>61</v>
      </c>
      <c r="B375" s="41" t="s">
        <v>62</v>
      </c>
      <c r="C375" s="42">
        <v>4016000</v>
      </c>
      <c r="D375" s="44" t="s">
        <v>553</v>
      </c>
      <c r="E375" s="44" t="s">
        <v>554</v>
      </c>
      <c r="F375" s="45">
        <v>999</v>
      </c>
      <c r="G375" s="45">
        <v>899</v>
      </c>
      <c r="H375" s="45">
        <v>899</v>
      </c>
      <c r="I375" s="45">
        <v>899</v>
      </c>
      <c r="J375" s="45">
        <v>799</v>
      </c>
      <c r="K375" s="45">
        <v>799</v>
      </c>
      <c r="L375" s="45">
        <v>799</v>
      </c>
      <c r="M375" s="45">
        <v>799</v>
      </c>
      <c r="N375" s="45">
        <v>799</v>
      </c>
      <c r="O375" s="45">
        <v>749</v>
      </c>
      <c r="P375" s="46">
        <v>749</v>
      </c>
      <c r="Q375" s="46">
        <v>749</v>
      </c>
      <c r="R375" s="45">
        <v>749</v>
      </c>
      <c r="S375" s="45">
        <v>749</v>
      </c>
      <c r="T375" s="45">
        <v>749</v>
      </c>
      <c r="U375" s="45">
        <v>749</v>
      </c>
      <c r="V375" s="45">
        <v>749</v>
      </c>
      <c r="W375" s="45">
        <v>749</v>
      </c>
      <c r="X375" s="45">
        <v>749</v>
      </c>
      <c r="Y375" s="45">
        <v>749</v>
      </c>
      <c r="Z375" s="45">
        <v>749</v>
      </c>
      <c r="AA375" s="45">
        <v>749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">
        <v>65</v>
      </c>
      <c r="AX375" s="51" t="s">
        <v>66</v>
      </c>
    </row>
    <row r="376" spans="1:50" ht="22.5" customHeight="1">
      <c r="A376" s="50" t="s">
        <v>61</v>
      </c>
      <c r="B376" s="41" t="s">
        <v>62</v>
      </c>
      <c r="C376" s="42">
        <v>4016003</v>
      </c>
      <c r="D376" s="44" t="s">
        <v>553</v>
      </c>
      <c r="E376" s="44" t="s">
        <v>555</v>
      </c>
      <c r="F376" s="45">
        <v>999</v>
      </c>
      <c r="G376" s="45">
        <v>899</v>
      </c>
      <c r="H376" s="45">
        <v>899</v>
      </c>
      <c r="I376" s="45">
        <v>899</v>
      </c>
      <c r="J376" s="45">
        <v>799</v>
      </c>
      <c r="K376" s="45">
        <v>799</v>
      </c>
      <c r="L376" s="45">
        <v>799</v>
      </c>
      <c r="M376" s="45">
        <v>799</v>
      </c>
      <c r="N376" s="45">
        <v>799</v>
      </c>
      <c r="O376" s="45">
        <v>749</v>
      </c>
      <c r="P376" s="46">
        <v>749</v>
      </c>
      <c r="Q376" s="46">
        <v>749</v>
      </c>
      <c r="R376" s="45">
        <v>749</v>
      </c>
      <c r="S376" s="45">
        <v>749</v>
      </c>
      <c r="T376" s="45">
        <v>749</v>
      </c>
      <c r="U376" s="45">
        <v>749</v>
      </c>
      <c r="V376" s="45">
        <v>749</v>
      </c>
      <c r="W376" s="45">
        <v>749</v>
      </c>
      <c r="X376" s="45">
        <v>749</v>
      </c>
      <c r="Y376" s="45">
        <v>749</v>
      </c>
      <c r="Z376" s="45">
        <v>749</v>
      </c>
      <c r="AA376" s="45">
        <v>749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">
        <v>65</v>
      </c>
      <c r="AX376" s="51" t="s">
        <v>66</v>
      </c>
    </row>
    <row r="377" spans="1:50" ht="22.5" customHeight="1">
      <c r="A377" s="50" t="s">
        <v>61</v>
      </c>
      <c r="B377" s="41" t="s">
        <v>62</v>
      </c>
      <c r="C377" s="42">
        <v>4016641</v>
      </c>
      <c r="D377" s="44" t="s">
        <v>556</v>
      </c>
      <c r="E377" s="44" t="s">
        <v>557</v>
      </c>
      <c r="F377" s="45">
        <v>899</v>
      </c>
      <c r="G377" s="45">
        <v>899</v>
      </c>
      <c r="H377" s="45">
        <v>899</v>
      </c>
      <c r="I377" s="45">
        <v>899</v>
      </c>
      <c r="J377" s="45">
        <v>799</v>
      </c>
      <c r="K377" s="45">
        <v>799</v>
      </c>
      <c r="L377" s="45">
        <v>799</v>
      </c>
      <c r="M377" s="45">
        <v>799</v>
      </c>
      <c r="N377" s="45">
        <v>799</v>
      </c>
      <c r="O377" s="45">
        <v>699</v>
      </c>
      <c r="P377" s="46">
        <v>699</v>
      </c>
      <c r="Q377" s="45">
        <v>699</v>
      </c>
      <c r="R377" s="45">
        <v>699</v>
      </c>
      <c r="S377" s="45">
        <v>699</v>
      </c>
      <c r="T377" s="45">
        <v>699</v>
      </c>
      <c r="U377" s="45">
        <v>699</v>
      </c>
      <c r="V377" s="45">
        <v>699</v>
      </c>
      <c r="W377" s="45">
        <v>699</v>
      </c>
      <c r="X377" s="45">
        <v>699</v>
      </c>
      <c r="Y377" s="45">
        <v>699</v>
      </c>
      <c r="Z377" s="45">
        <v>699</v>
      </c>
      <c r="AA377" s="45">
        <v>699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">
        <v>65</v>
      </c>
      <c r="AX377" s="51" t="s">
        <v>66</v>
      </c>
    </row>
    <row r="378" spans="1:50" ht="22.5" customHeight="1">
      <c r="A378" s="50" t="s">
        <v>61</v>
      </c>
      <c r="B378" s="41" t="s">
        <v>62</v>
      </c>
      <c r="C378" s="42">
        <v>4016642</v>
      </c>
      <c r="D378" s="44" t="s">
        <v>556</v>
      </c>
      <c r="E378" s="44" t="s">
        <v>558</v>
      </c>
      <c r="F378" s="45">
        <v>899</v>
      </c>
      <c r="G378" s="45">
        <v>899</v>
      </c>
      <c r="H378" s="45">
        <v>899</v>
      </c>
      <c r="I378" s="45">
        <v>899</v>
      </c>
      <c r="J378" s="45">
        <v>799</v>
      </c>
      <c r="K378" s="45">
        <v>799</v>
      </c>
      <c r="L378" s="45">
        <v>799</v>
      </c>
      <c r="M378" s="45">
        <v>799</v>
      </c>
      <c r="N378" s="45">
        <v>799</v>
      </c>
      <c r="O378" s="45">
        <v>699</v>
      </c>
      <c r="P378" s="46">
        <v>699</v>
      </c>
      <c r="Q378" s="45">
        <v>699</v>
      </c>
      <c r="R378" s="45">
        <v>699</v>
      </c>
      <c r="S378" s="45">
        <v>699</v>
      </c>
      <c r="T378" s="45">
        <v>699</v>
      </c>
      <c r="U378" s="45">
        <v>699</v>
      </c>
      <c r="V378" s="45">
        <v>699</v>
      </c>
      <c r="W378" s="45">
        <v>699</v>
      </c>
      <c r="X378" s="45">
        <v>699</v>
      </c>
      <c r="Y378" s="45">
        <v>699</v>
      </c>
      <c r="Z378" s="45">
        <v>699</v>
      </c>
      <c r="AA378" s="45">
        <v>699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">
        <v>65</v>
      </c>
      <c r="AX378" s="51" t="s">
        <v>66</v>
      </c>
    </row>
    <row r="379" spans="1:50" ht="22.5" customHeight="1">
      <c r="A379" s="50" t="s">
        <v>61</v>
      </c>
      <c r="B379" s="41" t="s">
        <v>62</v>
      </c>
      <c r="C379" s="42">
        <v>4016976</v>
      </c>
      <c r="D379" s="44" t="s">
        <v>559</v>
      </c>
      <c r="E379" s="44" t="s">
        <v>560</v>
      </c>
      <c r="F379" s="45">
        <v>1099</v>
      </c>
      <c r="G379" s="45">
        <v>829</v>
      </c>
      <c r="H379" s="45">
        <v>829</v>
      </c>
      <c r="I379" s="45">
        <v>829</v>
      </c>
      <c r="J379" s="45">
        <v>799</v>
      </c>
      <c r="K379" s="45">
        <v>549</v>
      </c>
      <c r="L379" s="45">
        <v>549</v>
      </c>
      <c r="M379" s="45">
        <v>799</v>
      </c>
      <c r="N379" s="45">
        <v>549</v>
      </c>
      <c r="O379" s="45">
        <v>549</v>
      </c>
      <c r="P379" s="46">
        <v>549</v>
      </c>
      <c r="Q379" s="45">
        <v>549</v>
      </c>
      <c r="R379" s="45">
        <v>549</v>
      </c>
      <c r="S379" s="45">
        <v>549</v>
      </c>
      <c r="T379" s="45">
        <v>549</v>
      </c>
      <c r="U379" s="45">
        <v>549</v>
      </c>
      <c r="V379" s="45">
        <v>549</v>
      </c>
      <c r="W379" s="45">
        <v>549</v>
      </c>
      <c r="X379" s="45">
        <v>549</v>
      </c>
      <c r="Y379" s="45">
        <v>549</v>
      </c>
      <c r="Z379" s="45">
        <v>549</v>
      </c>
      <c r="AA379" s="45">
        <v>549</v>
      </c>
      <c r="AB379" s="45">
        <v>549</v>
      </c>
      <c r="AC379" s="45">
        <v>549</v>
      </c>
      <c r="AD379" s="45">
        <v>549</v>
      </c>
      <c r="AE379" s="45">
        <v>549</v>
      </c>
      <c r="AF379" s="45">
        <v>549</v>
      </c>
      <c r="AG379" s="45">
        <v>549</v>
      </c>
      <c r="AH379" s="45">
        <v>549</v>
      </c>
      <c r="AI379" s="45">
        <v>549</v>
      </c>
      <c r="AJ379" s="45">
        <v>549</v>
      </c>
      <c r="AK379" s="45">
        <v>549</v>
      </c>
      <c r="AL379" s="45">
        <v>549</v>
      </c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">
        <v>65</v>
      </c>
      <c r="AX379" s="51" t="s">
        <v>82</v>
      </c>
    </row>
    <row r="380" spans="1:50" ht="22.5" customHeight="1">
      <c r="A380" s="50" t="s">
        <v>61</v>
      </c>
      <c r="B380" s="41" t="s">
        <v>62</v>
      </c>
      <c r="C380" s="42">
        <v>4016987</v>
      </c>
      <c r="D380" s="44" t="s">
        <v>559</v>
      </c>
      <c r="E380" s="44" t="s">
        <v>561</v>
      </c>
      <c r="F380" s="45">
        <v>1099</v>
      </c>
      <c r="G380" s="45">
        <v>829</v>
      </c>
      <c r="H380" s="45">
        <v>829</v>
      </c>
      <c r="I380" s="45">
        <v>829</v>
      </c>
      <c r="J380" s="45">
        <v>799</v>
      </c>
      <c r="K380" s="45">
        <v>549</v>
      </c>
      <c r="L380" s="45">
        <v>549</v>
      </c>
      <c r="M380" s="45">
        <v>799</v>
      </c>
      <c r="N380" s="45">
        <v>549</v>
      </c>
      <c r="O380" s="45">
        <v>549</v>
      </c>
      <c r="P380" s="46">
        <v>549</v>
      </c>
      <c r="Q380" s="45">
        <v>549</v>
      </c>
      <c r="R380" s="45">
        <v>549</v>
      </c>
      <c r="S380" s="45">
        <v>549</v>
      </c>
      <c r="T380" s="45">
        <v>549</v>
      </c>
      <c r="U380" s="45">
        <v>549</v>
      </c>
      <c r="V380" s="45">
        <v>549</v>
      </c>
      <c r="W380" s="45">
        <v>549</v>
      </c>
      <c r="X380" s="45">
        <v>549</v>
      </c>
      <c r="Y380" s="45">
        <v>549</v>
      </c>
      <c r="Z380" s="45">
        <v>549</v>
      </c>
      <c r="AA380" s="45">
        <v>549</v>
      </c>
      <c r="AB380" s="45">
        <v>549</v>
      </c>
      <c r="AC380" s="45">
        <v>549</v>
      </c>
      <c r="AD380" s="45">
        <v>549</v>
      </c>
      <c r="AE380" s="45">
        <v>549</v>
      </c>
      <c r="AF380" s="45">
        <v>549</v>
      </c>
      <c r="AG380" s="45">
        <v>549</v>
      </c>
      <c r="AH380" s="45">
        <v>549</v>
      </c>
      <c r="AI380" s="45">
        <v>549</v>
      </c>
      <c r="AJ380" s="45">
        <v>549</v>
      </c>
      <c r="AK380" s="45">
        <v>549</v>
      </c>
      <c r="AL380" s="45">
        <v>549</v>
      </c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">
        <v>65</v>
      </c>
      <c r="AX380" s="51" t="s">
        <v>82</v>
      </c>
    </row>
    <row r="381" spans="1:50" ht="22.5" customHeight="1">
      <c r="A381" s="50" t="s">
        <v>61</v>
      </c>
      <c r="B381" s="41" t="s">
        <v>62</v>
      </c>
      <c r="C381" s="42">
        <v>4016981</v>
      </c>
      <c r="D381" s="44" t="s">
        <v>559</v>
      </c>
      <c r="E381" s="44" t="s">
        <v>562</v>
      </c>
      <c r="F381" s="45">
        <v>1099</v>
      </c>
      <c r="G381" s="45">
        <v>829</v>
      </c>
      <c r="H381" s="45">
        <v>829</v>
      </c>
      <c r="I381" s="45">
        <v>829</v>
      </c>
      <c r="J381" s="45">
        <v>799</v>
      </c>
      <c r="K381" s="45">
        <v>549</v>
      </c>
      <c r="L381" s="45">
        <v>549</v>
      </c>
      <c r="M381" s="45">
        <v>799</v>
      </c>
      <c r="N381" s="45">
        <v>549</v>
      </c>
      <c r="O381" s="45">
        <v>549</v>
      </c>
      <c r="P381" s="46">
        <v>549</v>
      </c>
      <c r="Q381" s="45">
        <v>549</v>
      </c>
      <c r="R381" s="45">
        <v>549</v>
      </c>
      <c r="S381" s="45">
        <v>549</v>
      </c>
      <c r="T381" s="45">
        <v>549</v>
      </c>
      <c r="U381" s="45">
        <v>549</v>
      </c>
      <c r="V381" s="45">
        <v>549</v>
      </c>
      <c r="W381" s="45">
        <v>549</v>
      </c>
      <c r="X381" s="45">
        <v>549</v>
      </c>
      <c r="Y381" s="45">
        <v>549</v>
      </c>
      <c r="Z381" s="45">
        <v>549</v>
      </c>
      <c r="AA381" s="45">
        <v>549</v>
      </c>
      <c r="AB381" s="45">
        <v>549</v>
      </c>
      <c r="AC381" s="45">
        <v>549</v>
      </c>
      <c r="AD381" s="45">
        <v>549</v>
      </c>
      <c r="AE381" s="45">
        <v>549</v>
      </c>
      <c r="AF381" s="45">
        <v>549</v>
      </c>
      <c r="AG381" s="45">
        <v>549</v>
      </c>
      <c r="AH381" s="45">
        <v>549</v>
      </c>
      <c r="AI381" s="45">
        <v>549</v>
      </c>
      <c r="AJ381" s="45">
        <v>549</v>
      </c>
      <c r="AK381" s="45">
        <v>549</v>
      </c>
      <c r="AL381" s="45">
        <v>549</v>
      </c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">
        <v>65</v>
      </c>
      <c r="AX381" s="51" t="s">
        <v>82</v>
      </c>
    </row>
    <row r="382" spans="1:50" ht="22.5" customHeight="1">
      <c r="A382" s="50" t="s">
        <v>61</v>
      </c>
      <c r="B382" s="41" t="s">
        <v>62</v>
      </c>
      <c r="C382" s="42">
        <v>4016995</v>
      </c>
      <c r="D382" s="44" t="s">
        <v>559</v>
      </c>
      <c r="E382" s="44" t="s">
        <v>563</v>
      </c>
      <c r="F382" s="45">
        <v>1099</v>
      </c>
      <c r="G382" s="45">
        <v>829</v>
      </c>
      <c r="H382" s="45">
        <v>829</v>
      </c>
      <c r="I382" s="45">
        <v>829</v>
      </c>
      <c r="J382" s="45">
        <v>799</v>
      </c>
      <c r="K382" s="45">
        <v>549</v>
      </c>
      <c r="L382" s="45">
        <v>549</v>
      </c>
      <c r="M382" s="45">
        <v>799</v>
      </c>
      <c r="N382" s="45">
        <v>549</v>
      </c>
      <c r="O382" s="45">
        <v>549</v>
      </c>
      <c r="P382" s="46">
        <v>549</v>
      </c>
      <c r="Q382" s="45">
        <v>549</v>
      </c>
      <c r="R382" s="45">
        <v>549</v>
      </c>
      <c r="S382" s="45">
        <v>549</v>
      </c>
      <c r="T382" s="45">
        <v>549</v>
      </c>
      <c r="U382" s="45">
        <v>549</v>
      </c>
      <c r="V382" s="45">
        <v>549</v>
      </c>
      <c r="W382" s="45">
        <v>549</v>
      </c>
      <c r="X382" s="45">
        <v>549</v>
      </c>
      <c r="Y382" s="45">
        <v>549</v>
      </c>
      <c r="Z382" s="45">
        <v>549</v>
      </c>
      <c r="AA382" s="45">
        <v>549</v>
      </c>
      <c r="AB382" s="45">
        <v>549</v>
      </c>
      <c r="AC382" s="45">
        <v>549</v>
      </c>
      <c r="AD382" s="45">
        <v>549</v>
      </c>
      <c r="AE382" s="45">
        <v>549</v>
      </c>
      <c r="AF382" s="45">
        <v>549</v>
      </c>
      <c r="AG382" s="45">
        <v>549</v>
      </c>
      <c r="AH382" s="45">
        <v>549</v>
      </c>
      <c r="AI382" s="45">
        <v>549</v>
      </c>
      <c r="AJ382" s="45">
        <v>549</v>
      </c>
      <c r="AK382" s="45">
        <v>549</v>
      </c>
      <c r="AL382" s="45">
        <v>549</v>
      </c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">
        <v>65</v>
      </c>
      <c r="AX382" s="51" t="s">
        <v>82</v>
      </c>
    </row>
    <row r="383" spans="1:50" ht="22.5" customHeight="1">
      <c r="A383" s="50" t="s">
        <v>61</v>
      </c>
      <c r="B383" s="41" t="s">
        <v>62</v>
      </c>
      <c r="C383" s="63">
        <v>4017375</v>
      </c>
      <c r="D383" s="44" t="s">
        <v>564</v>
      </c>
      <c r="E383" s="44" t="s">
        <v>565</v>
      </c>
      <c r="F383" s="45">
        <v>1049</v>
      </c>
      <c r="G383" s="45">
        <v>1049</v>
      </c>
      <c r="H383" s="45">
        <v>1049</v>
      </c>
      <c r="I383" s="45">
        <v>1049</v>
      </c>
      <c r="J383" s="45">
        <v>999</v>
      </c>
      <c r="K383" s="45">
        <v>899</v>
      </c>
      <c r="L383" s="45">
        <v>899</v>
      </c>
      <c r="M383" s="45">
        <v>999</v>
      </c>
      <c r="N383" s="45">
        <v>899</v>
      </c>
      <c r="O383" s="45">
        <v>899</v>
      </c>
      <c r="P383" s="46">
        <v>899</v>
      </c>
      <c r="Q383" s="45">
        <v>799</v>
      </c>
      <c r="R383" s="45">
        <v>899</v>
      </c>
      <c r="S383" s="45">
        <v>899</v>
      </c>
      <c r="T383" s="45">
        <v>799</v>
      </c>
      <c r="U383" s="45">
        <v>799</v>
      </c>
      <c r="V383" s="45">
        <v>799</v>
      </c>
      <c r="W383" s="45">
        <v>799</v>
      </c>
      <c r="X383" s="45">
        <v>799</v>
      </c>
      <c r="Y383" s="45">
        <v>799</v>
      </c>
      <c r="Z383" s="45">
        <v>799</v>
      </c>
      <c r="AA383" s="45">
        <v>799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">
        <v>65</v>
      </c>
      <c r="AX383" s="51" t="s">
        <v>82</v>
      </c>
    </row>
    <row r="384" spans="1:50" ht="22.5" customHeight="1">
      <c r="A384" s="50" t="s">
        <v>61</v>
      </c>
      <c r="B384" s="41" t="s">
        <v>62</v>
      </c>
      <c r="C384" s="63">
        <v>4017537</v>
      </c>
      <c r="D384" s="44" t="s">
        <v>564</v>
      </c>
      <c r="E384" s="44" t="s">
        <v>566</v>
      </c>
      <c r="F384" s="45">
        <v>1049</v>
      </c>
      <c r="G384" s="45">
        <v>1049</v>
      </c>
      <c r="H384" s="45">
        <v>1049</v>
      </c>
      <c r="I384" s="45">
        <v>1049</v>
      </c>
      <c r="J384" s="45">
        <v>999</v>
      </c>
      <c r="K384" s="45">
        <v>899</v>
      </c>
      <c r="L384" s="45">
        <v>899</v>
      </c>
      <c r="M384" s="45">
        <v>999</v>
      </c>
      <c r="N384" s="45">
        <v>899</v>
      </c>
      <c r="O384" s="45">
        <v>899</v>
      </c>
      <c r="P384" s="46">
        <v>899</v>
      </c>
      <c r="Q384" s="45">
        <v>799</v>
      </c>
      <c r="R384" s="45">
        <v>899</v>
      </c>
      <c r="S384" s="45">
        <v>899</v>
      </c>
      <c r="T384" s="45">
        <v>799</v>
      </c>
      <c r="U384" s="45">
        <v>799</v>
      </c>
      <c r="V384" s="45">
        <v>799</v>
      </c>
      <c r="W384" s="45">
        <v>799</v>
      </c>
      <c r="X384" s="45">
        <v>799</v>
      </c>
      <c r="Y384" s="45">
        <v>799</v>
      </c>
      <c r="Z384" s="45">
        <v>799</v>
      </c>
      <c r="AA384" s="45">
        <v>799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">
        <v>65</v>
      </c>
      <c r="AX384" s="51" t="s">
        <v>82</v>
      </c>
    </row>
    <row r="385" spans="1:50" ht="22.5" customHeight="1">
      <c r="A385" s="50" t="s">
        <v>61</v>
      </c>
      <c r="B385" s="41" t="s">
        <v>62</v>
      </c>
      <c r="C385" s="42">
        <v>4017541</v>
      </c>
      <c r="D385" s="44" t="s">
        <v>567</v>
      </c>
      <c r="E385" s="44" t="s">
        <v>568</v>
      </c>
      <c r="F385" s="45">
        <v>1099</v>
      </c>
      <c r="G385" s="45">
        <v>1069</v>
      </c>
      <c r="H385" s="45">
        <v>1069</v>
      </c>
      <c r="I385" s="45">
        <v>1069</v>
      </c>
      <c r="J385" s="45">
        <v>999</v>
      </c>
      <c r="K385" s="45">
        <v>799</v>
      </c>
      <c r="L385" s="45">
        <v>799</v>
      </c>
      <c r="M385" s="45">
        <v>999</v>
      </c>
      <c r="N385" s="45">
        <v>799</v>
      </c>
      <c r="O385" s="45">
        <v>749</v>
      </c>
      <c r="P385" s="46">
        <v>749</v>
      </c>
      <c r="Q385" s="45">
        <v>699</v>
      </c>
      <c r="R385" s="45">
        <v>749</v>
      </c>
      <c r="S385" s="45">
        <v>749</v>
      </c>
      <c r="T385" s="45">
        <v>699</v>
      </c>
      <c r="U385" s="45">
        <v>699</v>
      </c>
      <c r="V385" s="45">
        <v>699</v>
      </c>
      <c r="W385" s="45">
        <v>699</v>
      </c>
      <c r="X385" s="45">
        <v>699</v>
      </c>
      <c r="Y385" s="45">
        <v>699</v>
      </c>
      <c r="Z385" s="45">
        <v>699</v>
      </c>
      <c r="AA385" s="45">
        <v>699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">
        <v>65</v>
      </c>
      <c r="AX385" s="51" t="s">
        <v>66</v>
      </c>
    </row>
    <row r="386" spans="1:50" ht="22.5" customHeight="1">
      <c r="A386" s="50" t="s">
        <v>61</v>
      </c>
      <c r="B386" s="41" t="s">
        <v>62</v>
      </c>
      <c r="C386" s="42">
        <v>4017544</v>
      </c>
      <c r="D386" s="44" t="s">
        <v>567</v>
      </c>
      <c r="E386" s="44" t="s">
        <v>569</v>
      </c>
      <c r="F386" s="45">
        <v>1099</v>
      </c>
      <c r="G386" s="45">
        <v>1069</v>
      </c>
      <c r="H386" s="45">
        <v>1069</v>
      </c>
      <c r="I386" s="45">
        <v>1069</v>
      </c>
      <c r="J386" s="45">
        <v>999</v>
      </c>
      <c r="K386" s="45">
        <v>799</v>
      </c>
      <c r="L386" s="45">
        <v>799</v>
      </c>
      <c r="M386" s="45">
        <v>999</v>
      </c>
      <c r="N386" s="45">
        <v>799</v>
      </c>
      <c r="O386" s="45">
        <v>749</v>
      </c>
      <c r="P386" s="46">
        <v>749</v>
      </c>
      <c r="Q386" s="45">
        <v>699</v>
      </c>
      <c r="R386" s="45">
        <v>749</v>
      </c>
      <c r="S386" s="45">
        <v>749</v>
      </c>
      <c r="T386" s="45">
        <v>699</v>
      </c>
      <c r="U386" s="45">
        <v>699</v>
      </c>
      <c r="V386" s="45">
        <v>699</v>
      </c>
      <c r="W386" s="45">
        <v>699</v>
      </c>
      <c r="X386" s="45">
        <v>699</v>
      </c>
      <c r="Y386" s="45">
        <v>699</v>
      </c>
      <c r="Z386" s="45">
        <v>699</v>
      </c>
      <c r="AA386" s="45">
        <v>699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">
        <v>65</v>
      </c>
      <c r="AX386" s="51" t="s">
        <v>66</v>
      </c>
    </row>
    <row r="387" spans="1:50" ht="22.5" customHeight="1">
      <c r="A387" s="50" t="s">
        <v>61</v>
      </c>
      <c r="B387" s="41" t="s">
        <v>62</v>
      </c>
      <c r="C387" s="42">
        <v>4017566</v>
      </c>
      <c r="D387" s="44" t="s">
        <v>567</v>
      </c>
      <c r="E387" s="44" t="s">
        <v>570</v>
      </c>
      <c r="F387" s="45">
        <v>1099</v>
      </c>
      <c r="G387" s="45">
        <v>1069</v>
      </c>
      <c r="H387" s="45">
        <v>1069</v>
      </c>
      <c r="I387" s="45">
        <v>1069</v>
      </c>
      <c r="J387" s="45">
        <v>999</v>
      </c>
      <c r="K387" s="45">
        <v>799</v>
      </c>
      <c r="L387" s="45">
        <v>799</v>
      </c>
      <c r="M387" s="45">
        <v>999</v>
      </c>
      <c r="N387" s="45">
        <v>799</v>
      </c>
      <c r="O387" s="45">
        <v>749</v>
      </c>
      <c r="P387" s="46">
        <v>749</v>
      </c>
      <c r="Q387" s="45">
        <v>699</v>
      </c>
      <c r="R387" s="45">
        <v>749</v>
      </c>
      <c r="S387" s="45">
        <v>749</v>
      </c>
      <c r="T387" s="45">
        <v>699</v>
      </c>
      <c r="U387" s="45">
        <v>699</v>
      </c>
      <c r="V387" s="45">
        <v>699</v>
      </c>
      <c r="W387" s="45">
        <v>699</v>
      </c>
      <c r="X387" s="45">
        <v>699</v>
      </c>
      <c r="Y387" s="45">
        <v>699</v>
      </c>
      <c r="Z387" s="45">
        <v>699</v>
      </c>
      <c r="AA387" s="45">
        <v>699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">
        <v>65</v>
      </c>
      <c r="AX387" s="51" t="s">
        <v>66</v>
      </c>
    </row>
    <row r="388" spans="1:50" ht="22.5" customHeight="1">
      <c r="A388" s="50" t="s">
        <v>61</v>
      </c>
      <c r="B388" s="41" t="s">
        <v>62</v>
      </c>
      <c r="C388" s="42">
        <v>4013400</v>
      </c>
      <c r="D388" s="44" t="s">
        <v>571</v>
      </c>
      <c r="E388" s="44" t="s">
        <v>572</v>
      </c>
      <c r="F388" s="45">
        <v>29</v>
      </c>
      <c r="G388" s="45">
        <v>19</v>
      </c>
      <c r="H388" s="45">
        <v>19</v>
      </c>
      <c r="I388" s="45">
        <v>19</v>
      </c>
      <c r="J388" s="45"/>
      <c r="K388" s="45"/>
      <c r="L388" s="45"/>
      <c r="M388" s="45"/>
      <c r="N388" s="45"/>
      <c r="O388" s="45"/>
      <c r="P388" s="46"/>
      <c r="Q388" s="46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">
        <v>65</v>
      </c>
      <c r="AX388" s="51" t="s">
        <v>66</v>
      </c>
    </row>
    <row r="389" spans="1:50" ht="22.5" customHeight="1">
      <c r="A389" s="50" t="s">
        <v>61</v>
      </c>
      <c r="B389" s="41" t="s">
        <v>62</v>
      </c>
      <c r="C389" s="42">
        <v>4013403</v>
      </c>
      <c r="D389" s="44" t="s">
        <v>571</v>
      </c>
      <c r="E389" s="44" t="s">
        <v>573</v>
      </c>
      <c r="F389" s="45">
        <v>29</v>
      </c>
      <c r="G389" s="45">
        <v>19</v>
      </c>
      <c r="H389" s="45">
        <v>19</v>
      </c>
      <c r="I389" s="45">
        <v>19</v>
      </c>
      <c r="J389" s="45"/>
      <c r="K389" s="45"/>
      <c r="L389" s="45"/>
      <c r="M389" s="45"/>
      <c r="N389" s="45"/>
      <c r="O389" s="45"/>
      <c r="P389" s="46"/>
      <c r="Q389" s="46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">
        <v>65</v>
      </c>
      <c r="AX389" s="51" t="s">
        <v>66</v>
      </c>
    </row>
    <row r="390" spans="1:50" ht="22.5" customHeight="1">
      <c r="A390" s="50" t="s">
        <v>61</v>
      </c>
      <c r="B390" s="41" t="s">
        <v>62</v>
      </c>
      <c r="C390" s="42">
        <v>4013405</v>
      </c>
      <c r="D390" s="44" t="s">
        <v>571</v>
      </c>
      <c r="E390" s="44" t="s">
        <v>574</v>
      </c>
      <c r="F390" s="45">
        <v>29</v>
      </c>
      <c r="G390" s="45">
        <v>19</v>
      </c>
      <c r="H390" s="45">
        <v>19</v>
      </c>
      <c r="I390" s="45">
        <v>19</v>
      </c>
      <c r="J390" s="45"/>
      <c r="K390" s="45"/>
      <c r="L390" s="45"/>
      <c r="M390" s="45"/>
      <c r="N390" s="45"/>
      <c r="O390" s="45"/>
      <c r="P390" s="46"/>
      <c r="Q390" s="46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">
        <v>65</v>
      </c>
      <c r="AX390" s="51" t="s">
        <v>66</v>
      </c>
    </row>
    <row r="391" spans="1:50" ht="22.5" customHeight="1">
      <c r="A391" s="50" t="s">
        <v>61</v>
      </c>
      <c r="B391" s="41" t="s">
        <v>62</v>
      </c>
      <c r="C391" s="42">
        <v>4013407</v>
      </c>
      <c r="D391" s="44" t="s">
        <v>571</v>
      </c>
      <c r="E391" s="44" t="s">
        <v>575</v>
      </c>
      <c r="F391" s="45">
        <v>29</v>
      </c>
      <c r="G391" s="45">
        <v>19</v>
      </c>
      <c r="H391" s="45">
        <v>19</v>
      </c>
      <c r="I391" s="45">
        <v>19</v>
      </c>
      <c r="J391" s="45"/>
      <c r="K391" s="45"/>
      <c r="L391" s="45"/>
      <c r="M391" s="45"/>
      <c r="N391" s="45"/>
      <c r="O391" s="45"/>
      <c r="P391" s="46"/>
      <c r="Q391" s="46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">
        <v>65</v>
      </c>
      <c r="AX391" s="51" t="s">
        <v>66</v>
      </c>
    </row>
    <row r="392" spans="1:50" ht="22.5" customHeight="1">
      <c r="A392" s="50" t="s">
        <v>61</v>
      </c>
      <c r="B392" s="41" t="s">
        <v>62</v>
      </c>
      <c r="C392" s="42">
        <v>4014068</v>
      </c>
      <c r="D392" s="44" t="s">
        <v>576</v>
      </c>
      <c r="E392" s="44" t="s">
        <v>577</v>
      </c>
      <c r="F392" s="45">
        <v>499</v>
      </c>
      <c r="G392" s="45">
        <v>499</v>
      </c>
      <c r="H392" s="45">
        <v>499</v>
      </c>
      <c r="I392" s="45">
        <v>499</v>
      </c>
      <c r="J392" s="45">
        <f t="shared" si="18"/>
        <v>399</v>
      </c>
      <c r="K392" s="45">
        <f t="shared" si="19"/>
        <v>399</v>
      </c>
      <c r="L392" s="45">
        <f t="shared" si="19"/>
        <v>399</v>
      </c>
      <c r="M392" s="45">
        <v>399</v>
      </c>
      <c r="N392" s="45">
        <v>399</v>
      </c>
      <c r="O392" s="45">
        <f t="shared" ref="O392:Q476" si="20">R392</f>
        <v>299</v>
      </c>
      <c r="P392" s="46">
        <f t="shared" si="20"/>
        <v>249</v>
      </c>
      <c r="Q392" s="46">
        <f t="shared" si="20"/>
        <v>249</v>
      </c>
      <c r="R392" s="45">
        <v>299</v>
      </c>
      <c r="S392" s="45">
        <v>249</v>
      </c>
      <c r="T392" s="45">
        <v>249</v>
      </c>
      <c r="U392" s="45">
        <v>249</v>
      </c>
      <c r="V392" s="45">
        <v>249</v>
      </c>
      <c r="W392" s="45">
        <v>249</v>
      </c>
      <c r="X392" s="45">
        <v>249</v>
      </c>
      <c r="Y392" s="45">
        <v>249</v>
      </c>
      <c r="Z392" s="45">
        <v>249</v>
      </c>
      <c r="AA392" s="45">
        <v>249</v>
      </c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">
        <v>65</v>
      </c>
      <c r="AX392" s="51" t="s">
        <v>66</v>
      </c>
    </row>
    <row r="393" spans="1:50" ht="22.5" customHeight="1">
      <c r="A393" s="50" t="s">
        <v>61</v>
      </c>
      <c r="B393" s="41" t="s">
        <v>62</v>
      </c>
      <c r="C393" s="42">
        <v>4014069</v>
      </c>
      <c r="D393" s="44" t="s">
        <v>576</v>
      </c>
      <c r="E393" s="44" t="s">
        <v>578</v>
      </c>
      <c r="F393" s="45">
        <v>499</v>
      </c>
      <c r="G393" s="45">
        <v>499</v>
      </c>
      <c r="H393" s="45">
        <v>499</v>
      </c>
      <c r="I393" s="45">
        <v>499</v>
      </c>
      <c r="J393" s="45">
        <f t="shared" si="18"/>
        <v>399</v>
      </c>
      <c r="K393" s="45">
        <f t="shared" si="19"/>
        <v>399</v>
      </c>
      <c r="L393" s="45">
        <f t="shared" si="19"/>
        <v>399</v>
      </c>
      <c r="M393" s="45">
        <v>399</v>
      </c>
      <c r="N393" s="45">
        <v>399</v>
      </c>
      <c r="O393" s="45">
        <f t="shared" si="20"/>
        <v>299</v>
      </c>
      <c r="P393" s="46">
        <f t="shared" si="20"/>
        <v>249</v>
      </c>
      <c r="Q393" s="46">
        <f t="shared" si="20"/>
        <v>249</v>
      </c>
      <c r="R393" s="45">
        <v>299</v>
      </c>
      <c r="S393" s="45">
        <v>249</v>
      </c>
      <c r="T393" s="45">
        <v>249</v>
      </c>
      <c r="U393" s="45">
        <v>249</v>
      </c>
      <c r="V393" s="45">
        <v>249</v>
      </c>
      <c r="W393" s="45">
        <v>249</v>
      </c>
      <c r="X393" s="45">
        <v>249</v>
      </c>
      <c r="Y393" s="45">
        <v>249</v>
      </c>
      <c r="Z393" s="45">
        <v>249</v>
      </c>
      <c r="AA393" s="45">
        <v>249</v>
      </c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">
        <v>65</v>
      </c>
      <c r="AX393" s="51" t="s">
        <v>66</v>
      </c>
    </row>
    <row r="394" spans="1:50" ht="22.5" customHeight="1">
      <c r="A394" s="50" t="s">
        <v>61</v>
      </c>
      <c r="B394" s="41" t="s">
        <v>62</v>
      </c>
      <c r="C394" s="42">
        <v>4014072</v>
      </c>
      <c r="D394" s="44" t="s">
        <v>576</v>
      </c>
      <c r="E394" s="44" t="s">
        <v>579</v>
      </c>
      <c r="F394" s="45">
        <v>499</v>
      </c>
      <c r="G394" s="45">
        <v>499</v>
      </c>
      <c r="H394" s="45">
        <v>499</v>
      </c>
      <c r="I394" s="45">
        <v>499</v>
      </c>
      <c r="J394" s="45">
        <f t="shared" si="18"/>
        <v>399</v>
      </c>
      <c r="K394" s="45">
        <f t="shared" si="19"/>
        <v>399</v>
      </c>
      <c r="L394" s="45">
        <f t="shared" si="19"/>
        <v>399</v>
      </c>
      <c r="M394" s="45">
        <v>399</v>
      </c>
      <c r="N394" s="45">
        <v>399</v>
      </c>
      <c r="O394" s="45">
        <f t="shared" si="20"/>
        <v>299</v>
      </c>
      <c r="P394" s="46">
        <f t="shared" si="20"/>
        <v>249</v>
      </c>
      <c r="Q394" s="46">
        <f t="shared" si="20"/>
        <v>249</v>
      </c>
      <c r="R394" s="45">
        <v>299</v>
      </c>
      <c r="S394" s="45">
        <v>249</v>
      </c>
      <c r="T394" s="45">
        <v>249</v>
      </c>
      <c r="U394" s="45">
        <v>249</v>
      </c>
      <c r="V394" s="45">
        <v>249</v>
      </c>
      <c r="W394" s="45">
        <v>249</v>
      </c>
      <c r="X394" s="45">
        <v>249</v>
      </c>
      <c r="Y394" s="45">
        <v>249</v>
      </c>
      <c r="Z394" s="45">
        <v>249</v>
      </c>
      <c r="AA394" s="45">
        <v>249</v>
      </c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">
        <v>65</v>
      </c>
      <c r="AX394" s="51" t="s">
        <v>66</v>
      </c>
    </row>
    <row r="395" spans="1:50" ht="22.5" customHeight="1">
      <c r="A395" s="50" t="s">
        <v>61</v>
      </c>
      <c r="B395" s="41" t="s">
        <v>62</v>
      </c>
      <c r="C395" s="42">
        <v>4014073</v>
      </c>
      <c r="D395" s="44" t="s">
        <v>576</v>
      </c>
      <c r="E395" s="44" t="s">
        <v>580</v>
      </c>
      <c r="F395" s="45">
        <v>499</v>
      </c>
      <c r="G395" s="45">
        <v>499</v>
      </c>
      <c r="H395" s="45">
        <v>499</v>
      </c>
      <c r="I395" s="45">
        <v>499</v>
      </c>
      <c r="J395" s="45">
        <f t="shared" si="18"/>
        <v>399</v>
      </c>
      <c r="K395" s="45">
        <f t="shared" si="19"/>
        <v>399</v>
      </c>
      <c r="L395" s="45">
        <f t="shared" si="19"/>
        <v>399</v>
      </c>
      <c r="M395" s="45">
        <v>399</v>
      </c>
      <c r="N395" s="45">
        <v>399</v>
      </c>
      <c r="O395" s="45">
        <f t="shared" si="20"/>
        <v>299</v>
      </c>
      <c r="P395" s="46">
        <f t="shared" si="20"/>
        <v>249</v>
      </c>
      <c r="Q395" s="46">
        <f t="shared" si="20"/>
        <v>249</v>
      </c>
      <c r="R395" s="45">
        <v>299</v>
      </c>
      <c r="S395" s="45">
        <v>249</v>
      </c>
      <c r="T395" s="45">
        <v>249</v>
      </c>
      <c r="U395" s="45">
        <v>249</v>
      </c>
      <c r="V395" s="45">
        <v>249</v>
      </c>
      <c r="W395" s="45">
        <v>249</v>
      </c>
      <c r="X395" s="45">
        <v>249</v>
      </c>
      <c r="Y395" s="45">
        <v>249</v>
      </c>
      <c r="Z395" s="45">
        <v>249</v>
      </c>
      <c r="AA395" s="45">
        <v>249</v>
      </c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">
        <v>65</v>
      </c>
      <c r="AX395" s="51" t="s">
        <v>66</v>
      </c>
    </row>
    <row r="396" spans="1:50" ht="22.5" customHeight="1">
      <c r="A396" s="50" t="s">
        <v>61</v>
      </c>
      <c r="B396" s="41" t="s">
        <v>62</v>
      </c>
      <c r="C396" s="42">
        <v>4014411</v>
      </c>
      <c r="D396" s="44" t="s">
        <v>576</v>
      </c>
      <c r="E396" s="44" t="s">
        <v>581</v>
      </c>
      <c r="F396" s="45">
        <v>499</v>
      </c>
      <c r="G396" s="45">
        <v>499</v>
      </c>
      <c r="H396" s="45">
        <v>499</v>
      </c>
      <c r="I396" s="45">
        <v>499</v>
      </c>
      <c r="J396" s="45">
        <f t="shared" si="18"/>
        <v>399</v>
      </c>
      <c r="K396" s="45">
        <f t="shared" si="19"/>
        <v>399</v>
      </c>
      <c r="L396" s="45">
        <f t="shared" si="19"/>
        <v>399</v>
      </c>
      <c r="M396" s="45">
        <v>399</v>
      </c>
      <c r="N396" s="45">
        <v>399</v>
      </c>
      <c r="O396" s="45">
        <f t="shared" si="20"/>
        <v>299</v>
      </c>
      <c r="P396" s="46">
        <f t="shared" si="20"/>
        <v>249</v>
      </c>
      <c r="Q396" s="46">
        <f t="shared" si="20"/>
        <v>249</v>
      </c>
      <c r="R396" s="45">
        <v>299</v>
      </c>
      <c r="S396" s="45">
        <v>249</v>
      </c>
      <c r="T396" s="45">
        <v>249</v>
      </c>
      <c r="U396" s="45">
        <v>249</v>
      </c>
      <c r="V396" s="45">
        <v>249</v>
      </c>
      <c r="W396" s="45">
        <v>249</v>
      </c>
      <c r="X396" s="45">
        <v>249</v>
      </c>
      <c r="Y396" s="45">
        <v>249</v>
      </c>
      <c r="Z396" s="45">
        <v>249</v>
      </c>
      <c r="AA396" s="45">
        <v>249</v>
      </c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">
        <v>65</v>
      </c>
      <c r="AX396" s="51" t="s">
        <v>66</v>
      </c>
    </row>
    <row r="397" spans="1:50" ht="22.5" customHeight="1">
      <c r="A397" s="50" t="s">
        <v>61</v>
      </c>
      <c r="B397" s="41" t="s">
        <v>62</v>
      </c>
      <c r="C397" s="42">
        <v>4014413</v>
      </c>
      <c r="D397" s="44" t="s">
        <v>576</v>
      </c>
      <c r="E397" s="44" t="s">
        <v>582</v>
      </c>
      <c r="F397" s="45">
        <v>499</v>
      </c>
      <c r="G397" s="45">
        <v>499</v>
      </c>
      <c r="H397" s="45">
        <v>499</v>
      </c>
      <c r="I397" s="45">
        <v>499</v>
      </c>
      <c r="J397" s="45">
        <f t="shared" si="18"/>
        <v>399</v>
      </c>
      <c r="K397" s="45">
        <f t="shared" si="19"/>
        <v>399</v>
      </c>
      <c r="L397" s="45">
        <f t="shared" si="19"/>
        <v>399</v>
      </c>
      <c r="M397" s="45">
        <v>399</v>
      </c>
      <c r="N397" s="45">
        <v>399</v>
      </c>
      <c r="O397" s="45">
        <f t="shared" si="20"/>
        <v>299</v>
      </c>
      <c r="P397" s="46">
        <f t="shared" si="20"/>
        <v>249</v>
      </c>
      <c r="Q397" s="46">
        <f t="shared" si="20"/>
        <v>249</v>
      </c>
      <c r="R397" s="45">
        <v>299</v>
      </c>
      <c r="S397" s="45">
        <v>249</v>
      </c>
      <c r="T397" s="45">
        <v>249</v>
      </c>
      <c r="U397" s="45">
        <v>249</v>
      </c>
      <c r="V397" s="45">
        <v>249</v>
      </c>
      <c r="W397" s="45">
        <v>249</v>
      </c>
      <c r="X397" s="45">
        <v>249</v>
      </c>
      <c r="Y397" s="45">
        <v>249</v>
      </c>
      <c r="Z397" s="45">
        <v>249</v>
      </c>
      <c r="AA397" s="45">
        <v>249</v>
      </c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">
        <v>65</v>
      </c>
      <c r="AX397" s="51" t="s">
        <v>66</v>
      </c>
    </row>
    <row r="398" spans="1:50" ht="22.5" customHeight="1">
      <c r="A398" s="50" t="s">
        <v>61</v>
      </c>
      <c r="B398" s="41" t="s">
        <v>62</v>
      </c>
      <c r="C398" s="42">
        <v>4014415</v>
      </c>
      <c r="D398" s="44" t="s">
        <v>576</v>
      </c>
      <c r="E398" s="44" t="s">
        <v>583</v>
      </c>
      <c r="F398" s="45">
        <v>499</v>
      </c>
      <c r="G398" s="45">
        <v>499</v>
      </c>
      <c r="H398" s="45">
        <v>499</v>
      </c>
      <c r="I398" s="45">
        <v>499</v>
      </c>
      <c r="J398" s="45">
        <f t="shared" si="18"/>
        <v>399</v>
      </c>
      <c r="K398" s="45">
        <f t="shared" si="19"/>
        <v>399</v>
      </c>
      <c r="L398" s="45">
        <f t="shared" si="19"/>
        <v>399</v>
      </c>
      <c r="M398" s="45">
        <v>399</v>
      </c>
      <c r="N398" s="45">
        <v>399</v>
      </c>
      <c r="O398" s="45">
        <f t="shared" si="20"/>
        <v>299</v>
      </c>
      <c r="P398" s="46">
        <f t="shared" si="20"/>
        <v>249</v>
      </c>
      <c r="Q398" s="46">
        <f t="shared" si="20"/>
        <v>249</v>
      </c>
      <c r="R398" s="45">
        <v>299</v>
      </c>
      <c r="S398" s="45">
        <v>249</v>
      </c>
      <c r="T398" s="45">
        <v>249</v>
      </c>
      <c r="U398" s="45">
        <v>249</v>
      </c>
      <c r="V398" s="45">
        <v>249</v>
      </c>
      <c r="W398" s="45">
        <v>249</v>
      </c>
      <c r="X398" s="45">
        <v>249</v>
      </c>
      <c r="Y398" s="45">
        <v>249</v>
      </c>
      <c r="Z398" s="45">
        <v>249</v>
      </c>
      <c r="AA398" s="45">
        <v>249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">
        <v>65</v>
      </c>
      <c r="AX398" s="51" t="s">
        <v>66</v>
      </c>
    </row>
    <row r="399" spans="1:50" ht="22.5" customHeight="1">
      <c r="A399" s="50" t="s">
        <v>61</v>
      </c>
      <c r="B399" s="41" t="s">
        <v>62</v>
      </c>
      <c r="C399" s="42">
        <v>4014416</v>
      </c>
      <c r="D399" s="44" t="s">
        <v>576</v>
      </c>
      <c r="E399" s="44" t="s">
        <v>584</v>
      </c>
      <c r="F399" s="45">
        <v>499</v>
      </c>
      <c r="G399" s="45">
        <v>499</v>
      </c>
      <c r="H399" s="45">
        <v>499</v>
      </c>
      <c r="I399" s="45">
        <v>499</v>
      </c>
      <c r="J399" s="45">
        <f t="shared" si="18"/>
        <v>399</v>
      </c>
      <c r="K399" s="45">
        <f t="shared" si="19"/>
        <v>399</v>
      </c>
      <c r="L399" s="45">
        <f t="shared" si="19"/>
        <v>399</v>
      </c>
      <c r="M399" s="45">
        <v>399</v>
      </c>
      <c r="N399" s="45">
        <v>399</v>
      </c>
      <c r="O399" s="45">
        <f t="shared" si="20"/>
        <v>299</v>
      </c>
      <c r="P399" s="46">
        <f t="shared" si="20"/>
        <v>249</v>
      </c>
      <c r="Q399" s="46">
        <f t="shared" si="20"/>
        <v>249</v>
      </c>
      <c r="R399" s="45">
        <v>299</v>
      </c>
      <c r="S399" s="45">
        <v>249</v>
      </c>
      <c r="T399" s="45">
        <v>249</v>
      </c>
      <c r="U399" s="45">
        <v>249</v>
      </c>
      <c r="V399" s="45">
        <v>249</v>
      </c>
      <c r="W399" s="45">
        <v>249</v>
      </c>
      <c r="X399" s="45">
        <v>249</v>
      </c>
      <c r="Y399" s="45">
        <v>249</v>
      </c>
      <c r="Z399" s="45">
        <v>249</v>
      </c>
      <c r="AA399" s="45">
        <v>249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">
        <v>65</v>
      </c>
      <c r="AX399" s="51" t="s">
        <v>66</v>
      </c>
    </row>
    <row r="400" spans="1:50" ht="22.5" customHeight="1">
      <c r="A400" s="50" t="s">
        <v>61</v>
      </c>
      <c r="B400" s="41" t="s">
        <v>62</v>
      </c>
      <c r="C400" s="42">
        <v>4014420</v>
      </c>
      <c r="D400" s="44" t="s">
        <v>576</v>
      </c>
      <c r="E400" s="44" t="s">
        <v>585</v>
      </c>
      <c r="F400" s="45">
        <v>499</v>
      </c>
      <c r="G400" s="45">
        <v>499</v>
      </c>
      <c r="H400" s="45">
        <v>499</v>
      </c>
      <c r="I400" s="45">
        <v>499</v>
      </c>
      <c r="J400" s="45">
        <f t="shared" si="18"/>
        <v>399</v>
      </c>
      <c r="K400" s="45">
        <f t="shared" si="19"/>
        <v>399</v>
      </c>
      <c r="L400" s="45">
        <f t="shared" si="19"/>
        <v>399</v>
      </c>
      <c r="M400" s="45">
        <v>399</v>
      </c>
      <c r="N400" s="45">
        <v>399</v>
      </c>
      <c r="O400" s="45">
        <f t="shared" si="20"/>
        <v>299</v>
      </c>
      <c r="P400" s="46">
        <f t="shared" si="20"/>
        <v>249</v>
      </c>
      <c r="Q400" s="46">
        <f t="shared" si="20"/>
        <v>249</v>
      </c>
      <c r="R400" s="45">
        <v>299</v>
      </c>
      <c r="S400" s="45">
        <v>249</v>
      </c>
      <c r="T400" s="45">
        <v>249</v>
      </c>
      <c r="U400" s="45">
        <v>249</v>
      </c>
      <c r="V400" s="45">
        <v>249</v>
      </c>
      <c r="W400" s="45">
        <v>249</v>
      </c>
      <c r="X400" s="45">
        <v>249</v>
      </c>
      <c r="Y400" s="45">
        <v>249</v>
      </c>
      <c r="Z400" s="45">
        <v>249</v>
      </c>
      <c r="AA400" s="45">
        <v>249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">
        <v>65</v>
      </c>
      <c r="AX400" s="51" t="s">
        <v>66</v>
      </c>
    </row>
    <row r="401" spans="1:50" ht="22.5" customHeight="1">
      <c r="A401" s="50" t="s">
        <v>61</v>
      </c>
      <c r="B401" s="41" t="s">
        <v>62</v>
      </c>
      <c r="C401" s="42">
        <v>4014421</v>
      </c>
      <c r="D401" s="44" t="s">
        <v>576</v>
      </c>
      <c r="E401" s="44" t="s">
        <v>586</v>
      </c>
      <c r="F401" s="45">
        <v>499</v>
      </c>
      <c r="G401" s="45">
        <v>499</v>
      </c>
      <c r="H401" s="45">
        <v>499</v>
      </c>
      <c r="I401" s="45">
        <v>499</v>
      </c>
      <c r="J401" s="45">
        <f t="shared" si="18"/>
        <v>399</v>
      </c>
      <c r="K401" s="45">
        <f t="shared" si="19"/>
        <v>399</v>
      </c>
      <c r="L401" s="45">
        <f t="shared" si="19"/>
        <v>399</v>
      </c>
      <c r="M401" s="45">
        <v>399</v>
      </c>
      <c r="N401" s="45">
        <v>399</v>
      </c>
      <c r="O401" s="45">
        <f t="shared" si="20"/>
        <v>299</v>
      </c>
      <c r="P401" s="46">
        <f t="shared" si="20"/>
        <v>249</v>
      </c>
      <c r="Q401" s="46">
        <f t="shared" si="20"/>
        <v>249</v>
      </c>
      <c r="R401" s="45">
        <v>299</v>
      </c>
      <c r="S401" s="45">
        <v>249</v>
      </c>
      <c r="T401" s="45">
        <v>249</v>
      </c>
      <c r="U401" s="45">
        <v>249</v>
      </c>
      <c r="V401" s="45">
        <v>249</v>
      </c>
      <c r="W401" s="45">
        <v>249</v>
      </c>
      <c r="X401" s="45">
        <v>249</v>
      </c>
      <c r="Y401" s="45">
        <v>249</v>
      </c>
      <c r="Z401" s="45">
        <v>249</v>
      </c>
      <c r="AA401" s="45">
        <v>249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">
        <v>65</v>
      </c>
      <c r="AX401" s="51" t="s">
        <v>66</v>
      </c>
    </row>
    <row r="402" spans="1:50" ht="22.5" customHeight="1">
      <c r="A402" s="50" t="s">
        <v>61</v>
      </c>
      <c r="B402" s="41" t="s">
        <v>62</v>
      </c>
      <c r="C402" s="42">
        <v>4014846</v>
      </c>
      <c r="D402" s="44" t="s">
        <v>587</v>
      </c>
      <c r="E402" s="44" t="s">
        <v>588</v>
      </c>
      <c r="F402" s="45">
        <v>699</v>
      </c>
      <c r="G402" s="45">
        <v>599</v>
      </c>
      <c r="H402" s="45">
        <v>599</v>
      </c>
      <c r="I402" s="45">
        <v>599</v>
      </c>
      <c r="J402" s="45">
        <f t="shared" si="18"/>
        <v>499</v>
      </c>
      <c r="K402" s="45">
        <f t="shared" si="19"/>
        <v>499</v>
      </c>
      <c r="L402" s="45">
        <f t="shared" si="19"/>
        <v>499</v>
      </c>
      <c r="M402" s="45">
        <v>499</v>
      </c>
      <c r="N402" s="45">
        <v>499</v>
      </c>
      <c r="O402" s="45">
        <f t="shared" si="20"/>
        <v>449</v>
      </c>
      <c r="P402" s="46">
        <f t="shared" si="20"/>
        <v>449</v>
      </c>
      <c r="Q402" s="46">
        <f t="shared" si="20"/>
        <v>399</v>
      </c>
      <c r="R402" s="45">
        <v>449</v>
      </c>
      <c r="S402" s="45">
        <v>449</v>
      </c>
      <c r="T402" s="45">
        <v>399</v>
      </c>
      <c r="U402" s="45">
        <v>399</v>
      </c>
      <c r="V402" s="45">
        <v>399</v>
      </c>
      <c r="W402" s="45">
        <v>399</v>
      </c>
      <c r="X402" s="45">
        <v>399</v>
      </c>
      <c r="Y402" s="45">
        <v>399</v>
      </c>
      <c r="Z402" s="45">
        <v>399</v>
      </c>
      <c r="AA402" s="45">
        <v>399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">
        <v>65</v>
      </c>
      <c r="AX402" s="51" t="s">
        <v>66</v>
      </c>
    </row>
    <row r="403" spans="1:50" ht="22.5" customHeight="1">
      <c r="A403" s="50" t="s">
        <v>61</v>
      </c>
      <c r="B403" s="41" t="s">
        <v>62</v>
      </c>
      <c r="C403" s="42">
        <v>4014848</v>
      </c>
      <c r="D403" s="44" t="s">
        <v>587</v>
      </c>
      <c r="E403" s="44" t="s">
        <v>589</v>
      </c>
      <c r="F403" s="45">
        <v>699</v>
      </c>
      <c r="G403" s="45">
        <v>599</v>
      </c>
      <c r="H403" s="45">
        <v>599</v>
      </c>
      <c r="I403" s="45">
        <v>599</v>
      </c>
      <c r="J403" s="45">
        <f t="shared" si="18"/>
        <v>499</v>
      </c>
      <c r="K403" s="45">
        <f t="shared" si="19"/>
        <v>499</v>
      </c>
      <c r="L403" s="45">
        <f t="shared" si="19"/>
        <v>499</v>
      </c>
      <c r="M403" s="45">
        <v>499</v>
      </c>
      <c r="N403" s="45">
        <v>499</v>
      </c>
      <c r="O403" s="45">
        <f t="shared" si="20"/>
        <v>449</v>
      </c>
      <c r="P403" s="46">
        <f t="shared" si="20"/>
        <v>449</v>
      </c>
      <c r="Q403" s="46">
        <f t="shared" si="20"/>
        <v>399</v>
      </c>
      <c r="R403" s="45">
        <v>449</v>
      </c>
      <c r="S403" s="45">
        <v>449</v>
      </c>
      <c r="T403" s="45">
        <v>399</v>
      </c>
      <c r="U403" s="45">
        <v>399</v>
      </c>
      <c r="V403" s="45">
        <v>399</v>
      </c>
      <c r="W403" s="45">
        <v>399</v>
      </c>
      <c r="X403" s="45">
        <v>399</v>
      </c>
      <c r="Y403" s="45">
        <v>399</v>
      </c>
      <c r="Z403" s="45">
        <v>399</v>
      </c>
      <c r="AA403" s="45">
        <v>399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">
        <v>65</v>
      </c>
      <c r="AX403" s="51" t="s">
        <v>66</v>
      </c>
    </row>
    <row r="404" spans="1:50" ht="22.5" customHeight="1">
      <c r="A404" s="50" t="s">
        <v>61</v>
      </c>
      <c r="B404" s="41" t="s">
        <v>62</v>
      </c>
      <c r="C404" s="42">
        <v>4014678</v>
      </c>
      <c r="D404" s="44" t="s">
        <v>587</v>
      </c>
      <c r="E404" s="44" t="s">
        <v>590</v>
      </c>
      <c r="F404" s="45">
        <v>699</v>
      </c>
      <c r="G404" s="45">
        <v>599</v>
      </c>
      <c r="H404" s="45">
        <v>599</v>
      </c>
      <c r="I404" s="45">
        <v>599</v>
      </c>
      <c r="J404" s="45">
        <f t="shared" si="18"/>
        <v>499</v>
      </c>
      <c r="K404" s="45">
        <f t="shared" si="19"/>
        <v>499</v>
      </c>
      <c r="L404" s="45">
        <f t="shared" si="19"/>
        <v>499</v>
      </c>
      <c r="M404" s="45">
        <v>499</v>
      </c>
      <c r="N404" s="45">
        <v>499</v>
      </c>
      <c r="O404" s="45">
        <f t="shared" si="20"/>
        <v>449</v>
      </c>
      <c r="P404" s="46">
        <f t="shared" si="20"/>
        <v>449</v>
      </c>
      <c r="Q404" s="46">
        <f t="shared" si="20"/>
        <v>399</v>
      </c>
      <c r="R404" s="45">
        <v>449</v>
      </c>
      <c r="S404" s="45">
        <v>449</v>
      </c>
      <c r="T404" s="45">
        <v>399</v>
      </c>
      <c r="U404" s="45">
        <v>399</v>
      </c>
      <c r="V404" s="45">
        <v>399</v>
      </c>
      <c r="W404" s="45">
        <v>399</v>
      </c>
      <c r="X404" s="45">
        <v>399</v>
      </c>
      <c r="Y404" s="45">
        <v>399</v>
      </c>
      <c r="Z404" s="45">
        <v>399</v>
      </c>
      <c r="AA404" s="45">
        <v>399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">
        <v>65</v>
      </c>
      <c r="AX404" s="51" t="s">
        <v>66</v>
      </c>
    </row>
    <row r="405" spans="1:50" ht="22.5" customHeight="1">
      <c r="A405" s="50" t="s">
        <v>61</v>
      </c>
      <c r="B405" s="41" t="s">
        <v>62</v>
      </c>
      <c r="C405" s="42">
        <v>4014840</v>
      </c>
      <c r="D405" s="44" t="s">
        <v>587</v>
      </c>
      <c r="E405" s="44" t="s">
        <v>591</v>
      </c>
      <c r="F405" s="45">
        <v>699</v>
      </c>
      <c r="G405" s="45">
        <v>599</v>
      </c>
      <c r="H405" s="45">
        <v>599</v>
      </c>
      <c r="I405" s="45">
        <v>599</v>
      </c>
      <c r="J405" s="45">
        <f t="shared" si="18"/>
        <v>499</v>
      </c>
      <c r="K405" s="45">
        <f t="shared" si="19"/>
        <v>499</v>
      </c>
      <c r="L405" s="45">
        <f t="shared" si="19"/>
        <v>499</v>
      </c>
      <c r="M405" s="45">
        <v>499</v>
      </c>
      <c r="N405" s="45">
        <v>499</v>
      </c>
      <c r="O405" s="45">
        <f t="shared" si="20"/>
        <v>449</v>
      </c>
      <c r="P405" s="46">
        <f t="shared" si="20"/>
        <v>449</v>
      </c>
      <c r="Q405" s="46">
        <f t="shared" si="20"/>
        <v>399</v>
      </c>
      <c r="R405" s="45">
        <v>449</v>
      </c>
      <c r="S405" s="45">
        <v>449</v>
      </c>
      <c r="T405" s="45">
        <v>399</v>
      </c>
      <c r="U405" s="45">
        <v>399</v>
      </c>
      <c r="V405" s="45">
        <v>399</v>
      </c>
      <c r="W405" s="45">
        <v>399</v>
      </c>
      <c r="X405" s="45">
        <v>399</v>
      </c>
      <c r="Y405" s="45">
        <v>399</v>
      </c>
      <c r="Z405" s="45">
        <v>399</v>
      </c>
      <c r="AA405" s="45">
        <v>399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">
        <v>65</v>
      </c>
      <c r="AX405" s="51" t="s">
        <v>66</v>
      </c>
    </row>
    <row r="406" spans="1:50" ht="22.5" customHeight="1">
      <c r="A406" s="50" t="s">
        <v>61</v>
      </c>
      <c r="B406" s="41" t="s">
        <v>62</v>
      </c>
      <c r="C406" s="42">
        <v>4014922</v>
      </c>
      <c r="D406" s="44" t="s">
        <v>587</v>
      </c>
      <c r="E406" s="44" t="s">
        <v>592</v>
      </c>
      <c r="F406" s="45">
        <v>699</v>
      </c>
      <c r="G406" s="45">
        <v>599</v>
      </c>
      <c r="H406" s="45">
        <v>599</v>
      </c>
      <c r="I406" s="45">
        <v>599</v>
      </c>
      <c r="J406" s="45">
        <f t="shared" si="18"/>
        <v>499</v>
      </c>
      <c r="K406" s="45">
        <f t="shared" si="19"/>
        <v>499</v>
      </c>
      <c r="L406" s="45">
        <f t="shared" si="19"/>
        <v>499</v>
      </c>
      <c r="M406" s="45">
        <v>499</v>
      </c>
      <c r="N406" s="45">
        <v>499</v>
      </c>
      <c r="O406" s="45">
        <f t="shared" si="20"/>
        <v>449</v>
      </c>
      <c r="P406" s="46">
        <f t="shared" si="20"/>
        <v>449</v>
      </c>
      <c r="Q406" s="46">
        <f t="shared" si="20"/>
        <v>399</v>
      </c>
      <c r="R406" s="45">
        <v>449</v>
      </c>
      <c r="S406" s="45">
        <v>449</v>
      </c>
      <c r="T406" s="45">
        <v>399</v>
      </c>
      <c r="U406" s="45">
        <v>399</v>
      </c>
      <c r="V406" s="45">
        <v>399</v>
      </c>
      <c r="W406" s="45">
        <v>399</v>
      </c>
      <c r="X406" s="45">
        <v>399</v>
      </c>
      <c r="Y406" s="45">
        <v>399</v>
      </c>
      <c r="Z406" s="45">
        <v>399</v>
      </c>
      <c r="AA406" s="45">
        <v>399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">
        <v>65</v>
      </c>
      <c r="AX406" s="51" t="s">
        <v>66</v>
      </c>
    </row>
    <row r="407" spans="1:50" ht="22.5" customHeight="1">
      <c r="A407" s="50" t="s">
        <v>61</v>
      </c>
      <c r="B407" s="41" t="s">
        <v>62</v>
      </c>
      <c r="C407" s="42">
        <v>4014920</v>
      </c>
      <c r="D407" s="44" t="s">
        <v>587</v>
      </c>
      <c r="E407" s="44" t="s">
        <v>593</v>
      </c>
      <c r="F407" s="45">
        <v>699</v>
      </c>
      <c r="G407" s="45">
        <v>599</v>
      </c>
      <c r="H407" s="45">
        <v>599</v>
      </c>
      <c r="I407" s="45">
        <v>599</v>
      </c>
      <c r="J407" s="45">
        <f t="shared" si="18"/>
        <v>499</v>
      </c>
      <c r="K407" s="45">
        <f t="shared" si="19"/>
        <v>499</v>
      </c>
      <c r="L407" s="45">
        <f t="shared" si="19"/>
        <v>499</v>
      </c>
      <c r="M407" s="45">
        <v>499</v>
      </c>
      <c r="N407" s="45">
        <v>499</v>
      </c>
      <c r="O407" s="45">
        <f t="shared" si="20"/>
        <v>449</v>
      </c>
      <c r="P407" s="46">
        <f t="shared" si="20"/>
        <v>449</v>
      </c>
      <c r="Q407" s="46">
        <f t="shared" si="20"/>
        <v>399</v>
      </c>
      <c r="R407" s="45">
        <v>449</v>
      </c>
      <c r="S407" s="45">
        <v>449</v>
      </c>
      <c r="T407" s="45">
        <v>399</v>
      </c>
      <c r="U407" s="45">
        <v>399</v>
      </c>
      <c r="V407" s="45">
        <v>399</v>
      </c>
      <c r="W407" s="45">
        <v>399</v>
      </c>
      <c r="X407" s="45">
        <v>399</v>
      </c>
      <c r="Y407" s="45">
        <v>399</v>
      </c>
      <c r="Z407" s="45">
        <v>399</v>
      </c>
      <c r="AA407" s="45">
        <v>399</v>
      </c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">
        <v>65</v>
      </c>
      <c r="AX407" s="51" t="s">
        <v>66</v>
      </c>
    </row>
    <row r="408" spans="1:50" ht="22.5" customHeight="1">
      <c r="A408" s="50" t="s">
        <v>61</v>
      </c>
      <c r="B408" s="41" t="s">
        <v>62</v>
      </c>
      <c r="C408" s="42">
        <v>4014844</v>
      </c>
      <c r="D408" s="44" t="s">
        <v>587</v>
      </c>
      <c r="E408" s="44" t="s">
        <v>594</v>
      </c>
      <c r="F408" s="45">
        <v>699</v>
      </c>
      <c r="G408" s="45">
        <v>599</v>
      </c>
      <c r="H408" s="45">
        <v>599</v>
      </c>
      <c r="I408" s="45">
        <v>599</v>
      </c>
      <c r="J408" s="45">
        <f t="shared" si="18"/>
        <v>499</v>
      </c>
      <c r="K408" s="45">
        <f t="shared" si="19"/>
        <v>499</v>
      </c>
      <c r="L408" s="45">
        <f t="shared" si="19"/>
        <v>499</v>
      </c>
      <c r="M408" s="45">
        <v>499</v>
      </c>
      <c r="N408" s="45">
        <v>499</v>
      </c>
      <c r="O408" s="45">
        <f t="shared" si="20"/>
        <v>449</v>
      </c>
      <c r="P408" s="46">
        <f t="shared" si="20"/>
        <v>449</v>
      </c>
      <c r="Q408" s="46">
        <f t="shared" si="20"/>
        <v>399</v>
      </c>
      <c r="R408" s="45">
        <v>449</v>
      </c>
      <c r="S408" s="45">
        <v>449</v>
      </c>
      <c r="T408" s="45">
        <v>399</v>
      </c>
      <c r="U408" s="45">
        <v>399</v>
      </c>
      <c r="V408" s="45">
        <v>399</v>
      </c>
      <c r="W408" s="45">
        <v>399</v>
      </c>
      <c r="X408" s="45">
        <v>399</v>
      </c>
      <c r="Y408" s="45">
        <v>399</v>
      </c>
      <c r="Z408" s="45">
        <v>399</v>
      </c>
      <c r="AA408" s="45">
        <v>399</v>
      </c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">
        <v>65</v>
      </c>
      <c r="AX408" s="51" t="s">
        <v>66</v>
      </c>
    </row>
    <row r="409" spans="1:50" ht="22.5" customHeight="1">
      <c r="A409" s="50" t="s">
        <v>61</v>
      </c>
      <c r="B409" s="41" t="s">
        <v>62</v>
      </c>
      <c r="C409" s="42">
        <v>4014843</v>
      </c>
      <c r="D409" s="44" t="s">
        <v>587</v>
      </c>
      <c r="E409" s="44" t="s">
        <v>595</v>
      </c>
      <c r="F409" s="45">
        <v>699</v>
      </c>
      <c r="G409" s="45">
        <v>599</v>
      </c>
      <c r="H409" s="45">
        <v>599</v>
      </c>
      <c r="I409" s="45">
        <v>599</v>
      </c>
      <c r="J409" s="45">
        <f t="shared" si="18"/>
        <v>499</v>
      </c>
      <c r="K409" s="45">
        <f t="shared" si="19"/>
        <v>499</v>
      </c>
      <c r="L409" s="45">
        <f t="shared" si="19"/>
        <v>499</v>
      </c>
      <c r="M409" s="45">
        <v>499</v>
      </c>
      <c r="N409" s="45">
        <v>499</v>
      </c>
      <c r="O409" s="45">
        <f t="shared" si="20"/>
        <v>449</v>
      </c>
      <c r="P409" s="46">
        <f t="shared" si="20"/>
        <v>449</v>
      </c>
      <c r="Q409" s="46">
        <f t="shared" si="20"/>
        <v>399</v>
      </c>
      <c r="R409" s="45">
        <v>449</v>
      </c>
      <c r="S409" s="45">
        <v>449</v>
      </c>
      <c r="T409" s="45">
        <v>399</v>
      </c>
      <c r="U409" s="45">
        <v>399</v>
      </c>
      <c r="V409" s="45">
        <v>399</v>
      </c>
      <c r="W409" s="45">
        <v>399</v>
      </c>
      <c r="X409" s="45">
        <v>399</v>
      </c>
      <c r="Y409" s="45">
        <v>399</v>
      </c>
      <c r="Z409" s="45">
        <v>399</v>
      </c>
      <c r="AA409" s="45">
        <v>399</v>
      </c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">
        <v>65</v>
      </c>
      <c r="AX409" s="51" t="s">
        <v>66</v>
      </c>
    </row>
    <row r="410" spans="1:50" ht="22.5" customHeight="1">
      <c r="A410" s="50" t="s">
        <v>61</v>
      </c>
      <c r="B410" s="41" t="s">
        <v>62</v>
      </c>
      <c r="C410" s="42">
        <v>4015397</v>
      </c>
      <c r="D410" s="44" t="s">
        <v>596</v>
      </c>
      <c r="E410" s="44" t="s">
        <v>597</v>
      </c>
      <c r="F410" s="45">
        <v>1099</v>
      </c>
      <c r="G410" s="45">
        <v>699</v>
      </c>
      <c r="H410" s="45">
        <v>699</v>
      </c>
      <c r="I410" s="45">
        <v>699</v>
      </c>
      <c r="J410" s="45">
        <f t="shared" si="18"/>
        <v>599</v>
      </c>
      <c r="K410" s="45">
        <f t="shared" si="19"/>
        <v>599</v>
      </c>
      <c r="L410" s="45">
        <f t="shared" si="19"/>
        <v>599</v>
      </c>
      <c r="M410" s="45">
        <v>599</v>
      </c>
      <c r="N410" s="45">
        <v>599</v>
      </c>
      <c r="O410" s="45">
        <f t="shared" si="20"/>
        <v>549</v>
      </c>
      <c r="P410" s="46">
        <f t="shared" si="20"/>
        <v>499</v>
      </c>
      <c r="Q410" s="46">
        <f t="shared" si="20"/>
        <v>449</v>
      </c>
      <c r="R410" s="45">
        <v>549</v>
      </c>
      <c r="S410" s="45">
        <v>499</v>
      </c>
      <c r="T410" s="45">
        <v>449</v>
      </c>
      <c r="U410" s="45">
        <v>449</v>
      </c>
      <c r="V410" s="45">
        <v>449</v>
      </c>
      <c r="W410" s="45">
        <v>449</v>
      </c>
      <c r="X410" s="45">
        <v>449</v>
      </c>
      <c r="Y410" s="45">
        <v>449</v>
      </c>
      <c r="Z410" s="45">
        <v>449</v>
      </c>
      <c r="AA410" s="45">
        <v>449</v>
      </c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">
        <v>65</v>
      </c>
      <c r="AX410" s="51" t="s">
        <v>66</v>
      </c>
    </row>
    <row r="411" spans="1:50" ht="22.5" customHeight="1">
      <c r="A411" s="50" t="s">
        <v>61</v>
      </c>
      <c r="B411" s="41" t="s">
        <v>62</v>
      </c>
      <c r="C411" s="42">
        <v>4015398</v>
      </c>
      <c r="D411" s="44" t="s">
        <v>596</v>
      </c>
      <c r="E411" s="44" t="s">
        <v>598</v>
      </c>
      <c r="F411" s="45">
        <v>1099</v>
      </c>
      <c r="G411" s="45">
        <v>699</v>
      </c>
      <c r="H411" s="45">
        <v>699</v>
      </c>
      <c r="I411" s="45">
        <v>699</v>
      </c>
      <c r="J411" s="45">
        <f t="shared" si="18"/>
        <v>599</v>
      </c>
      <c r="K411" s="45">
        <f t="shared" si="19"/>
        <v>599</v>
      </c>
      <c r="L411" s="45">
        <f t="shared" si="19"/>
        <v>599</v>
      </c>
      <c r="M411" s="45">
        <v>599</v>
      </c>
      <c r="N411" s="45">
        <v>599</v>
      </c>
      <c r="O411" s="45">
        <f t="shared" si="20"/>
        <v>549</v>
      </c>
      <c r="P411" s="46">
        <f t="shared" si="20"/>
        <v>499</v>
      </c>
      <c r="Q411" s="46">
        <f t="shared" si="20"/>
        <v>449</v>
      </c>
      <c r="R411" s="45">
        <v>549</v>
      </c>
      <c r="S411" s="45">
        <v>499</v>
      </c>
      <c r="T411" s="45">
        <v>449</v>
      </c>
      <c r="U411" s="45">
        <v>449</v>
      </c>
      <c r="V411" s="45">
        <v>449</v>
      </c>
      <c r="W411" s="45">
        <v>449</v>
      </c>
      <c r="X411" s="45">
        <v>449</v>
      </c>
      <c r="Y411" s="45">
        <v>449</v>
      </c>
      <c r="Z411" s="45">
        <v>449</v>
      </c>
      <c r="AA411" s="45">
        <v>449</v>
      </c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">
        <v>65</v>
      </c>
      <c r="AX411" s="51" t="s">
        <v>66</v>
      </c>
    </row>
    <row r="412" spans="1:50" ht="22.5" customHeight="1">
      <c r="A412" s="50" t="s">
        <v>61</v>
      </c>
      <c r="B412" s="41" t="s">
        <v>62</v>
      </c>
      <c r="C412" s="42">
        <v>4015399</v>
      </c>
      <c r="D412" s="44" t="s">
        <v>596</v>
      </c>
      <c r="E412" s="44" t="s">
        <v>599</v>
      </c>
      <c r="F412" s="45">
        <v>1099</v>
      </c>
      <c r="G412" s="45">
        <v>699</v>
      </c>
      <c r="H412" s="45">
        <v>699</v>
      </c>
      <c r="I412" s="45">
        <v>699</v>
      </c>
      <c r="J412" s="45">
        <f t="shared" si="18"/>
        <v>599</v>
      </c>
      <c r="K412" s="45">
        <f t="shared" si="19"/>
        <v>599</v>
      </c>
      <c r="L412" s="45">
        <f t="shared" si="19"/>
        <v>599</v>
      </c>
      <c r="M412" s="45">
        <v>599</v>
      </c>
      <c r="N412" s="45">
        <v>599</v>
      </c>
      <c r="O412" s="45">
        <f t="shared" si="20"/>
        <v>549</v>
      </c>
      <c r="P412" s="46">
        <f t="shared" si="20"/>
        <v>499</v>
      </c>
      <c r="Q412" s="46">
        <f t="shared" si="20"/>
        <v>449</v>
      </c>
      <c r="R412" s="45">
        <v>549</v>
      </c>
      <c r="S412" s="45">
        <v>499</v>
      </c>
      <c r="T412" s="45">
        <v>449</v>
      </c>
      <c r="U412" s="45">
        <v>449</v>
      </c>
      <c r="V412" s="45">
        <v>449</v>
      </c>
      <c r="W412" s="45">
        <v>449</v>
      </c>
      <c r="X412" s="45">
        <v>449</v>
      </c>
      <c r="Y412" s="45">
        <v>449</v>
      </c>
      <c r="Z412" s="45">
        <v>449</v>
      </c>
      <c r="AA412" s="45">
        <v>449</v>
      </c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">
        <v>65</v>
      </c>
      <c r="AX412" s="51" t="s">
        <v>66</v>
      </c>
    </row>
    <row r="413" spans="1:50" ht="22.5" customHeight="1">
      <c r="A413" s="50" t="s">
        <v>61</v>
      </c>
      <c r="B413" s="41" t="s">
        <v>62</v>
      </c>
      <c r="C413" s="42">
        <v>4015420</v>
      </c>
      <c r="D413" s="44" t="s">
        <v>596</v>
      </c>
      <c r="E413" s="44" t="s">
        <v>600</v>
      </c>
      <c r="F413" s="45">
        <v>1099</v>
      </c>
      <c r="G413" s="45">
        <v>699</v>
      </c>
      <c r="H413" s="45">
        <v>699</v>
      </c>
      <c r="I413" s="45">
        <v>699</v>
      </c>
      <c r="J413" s="45">
        <f t="shared" si="18"/>
        <v>599</v>
      </c>
      <c r="K413" s="45">
        <f t="shared" si="19"/>
        <v>599</v>
      </c>
      <c r="L413" s="45">
        <f t="shared" si="19"/>
        <v>599</v>
      </c>
      <c r="M413" s="45">
        <v>599</v>
      </c>
      <c r="N413" s="45">
        <v>599</v>
      </c>
      <c r="O413" s="45">
        <f t="shared" si="20"/>
        <v>549</v>
      </c>
      <c r="P413" s="46">
        <f t="shared" si="20"/>
        <v>499</v>
      </c>
      <c r="Q413" s="46">
        <f t="shared" si="20"/>
        <v>449</v>
      </c>
      <c r="R413" s="45">
        <v>549</v>
      </c>
      <c r="S413" s="45">
        <v>499</v>
      </c>
      <c r="T413" s="45">
        <v>449</v>
      </c>
      <c r="U413" s="45">
        <v>449</v>
      </c>
      <c r="V413" s="45">
        <v>449</v>
      </c>
      <c r="W413" s="45">
        <v>449</v>
      </c>
      <c r="X413" s="45">
        <v>449</v>
      </c>
      <c r="Y413" s="45">
        <v>449</v>
      </c>
      <c r="Z413" s="45">
        <v>449</v>
      </c>
      <c r="AA413" s="45">
        <v>449</v>
      </c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">
        <v>65</v>
      </c>
      <c r="AX413" s="51" t="s">
        <v>66</v>
      </c>
    </row>
    <row r="414" spans="1:50" ht="22.5" customHeight="1">
      <c r="A414" s="50" t="s">
        <v>61</v>
      </c>
      <c r="B414" s="41" t="s">
        <v>62</v>
      </c>
      <c r="C414" s="42">
        <v>4015256</v>
      </c>
      <c r="D414" s="44" t="s">
        <v>601</v>
      </c>
      <c r="E414" s="44" t="s">
        <v>602</v>
      </c>
      <c r="F414" s="45">
        <v>1056</v>
      </c>
      <c r="G414" s="45">
        <v>856</v>
      </c>
      <c r="H414" s="45">
        <v>1056</v>
      </c>
      <c r="I414" s="45">
        <v>1056</v>
      </c>
      <c r="J414" s="45">
        <v>599</v>
      </c>
      <c r="K414" s="45">
        <v>599</v>
      </c>
      <c r="L414" s="45">
        <v>599</v>
      </c>
      <c r="M414" s="45">
        <v>599</v>
      </c>
      <c r="N414" s="45">
        <v>599</v>
      </c>
      <c r="O414" s="45">
        <v>599</v>
      </c>
      <c r="P414" s="45">
        <v>599</v>
      </c>
      <c r="Q414" s="45">
        <v>599</v>
      </c>
      <c r="R414" s="45">
        <v>599</v>
      </c>
      <c r="S414" s="45">
        <v>599</v>
      </c>
      <c r="T414" s="45">
        <v>599</v>
      </c>
      <c r="U414" s="45">
        <v>599</v>
      </c>
      <c r="V414" s="45">
        <v>599</v>
      </c>
      <c r="W414" s="45">
        <v>599</v>
      </c>
      <c r="X414" s="45">
        <v>599</v>
      </c>
      <c r="Y414" s="45">
        <v>599</v>
      </c>
      <c r="Z414" s="45">
        <v>599</v>
      </c>
      <c r="AA414" s="45">
        <v>599</v>
      </c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">
        <v>65</v>
      </c>
      <c r="AX414" s="51" t="s">
        <v>82</v>
      </c>
    </row>
    <row r="415" spans="1:50" ht="22.5" customHeight="1">
      <c r="A415" s="50" t="s">
        <v>61</v>
      </c>
      <c r="B415" s="41" t="s">
        <v>62</v>
      </c>
      <c r="C415" s="42">
        <v>4015257</v>
      </c>
      <c r="D415" s="44" t="s">
        <v>601</v>
      </c>
      <c r="E415" s="44" t="s">
        <v>603</v>
      </c>
      <c r="F415" s="45">
        <v>1056</v>
      </c>
      <c r="G415" s="45">
        <v>856</v>
      </c>
      <c r="H415" s="45">
        <v>1056</v>
      </c>
      <c r="I415" s="45">
        <v>1056</v>
      </c>
      <c r="J415" s="45">
        <v>599</v>
      </c>
      <c r="K415" s="45">
        <v>599</v>
      </c>
      <c r="L415" s="45">
        <v>599</v>
      </c>
      <c r="M415" s="45">
        <v>599</v>
      </c>
      <c r="N415" s="45">
        <v>599</v>
      </c>
      <c r="O415" s="45">
        <v>599</v>
      </c>
      <c r="P415" s="45">
        <v>599</v>
      </c>
      <c r="Q415" s="45">
        <v>599</v>
      </c>
      <c r="R415" s="45">
        <v>599</v>
      </c>
      <c r="S415" s="45">
        <v>599</v>
      </c>
      <c r="T415" s="45">
        <v>599</v>
      </c>
      <c r="U415" s="45">
        <v>599</v>
      </c>
      <c r="V415" s="45">
        <v>599</v>
      </c>
      <c r="W415" s="45">
        <v>599</v>
      </c>
      <c r="X415" s="45">
        <v>599</v>
      </c>
      <c r="Y415" s="45">
        <v>599</v>
      </c>
      <c r="Z415" s="45">
        <v>599</v>
      </c>
      <c r="AA415" s="45">
        <v>599</v>
      </c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">
        <v>65</v>
      </c>
      <c r="AX415" s="51" t="s">
        <v>82</v>
      </c>
    </row>
    <row r="416" spans="1:50" ht="22.5" customHeight="1">
      <c r="A416" s="50" t="s">
        <v>61</v>
      </c>
      <c r="B416" s="41" t="s">
        <v>62</v>
      </c>
      <c r="C416" s="42">
        <v>4015258</v>
      </c>
      <c r="D416" s="44" t="s">
        <v>601</v>
      </c>
      <c r="E416" s="44" t="s">
        <v>604</v>
      </c>
      <c r="F416" s="45">
        <v>1056</v>
      </c>
      <c r="G416" s="45">
        <v>856</v>
      </c>
      <c r="H416" s="45">
        <v>1056</v>
      </c>
      <c r="I416" s="45">
        <v>1056</v>
      </c>
      <c r="J416" s="45">
        <v>599</v>
      </c>
      <c r="K416" s="45">
        <v>599</v>
      </c>
      <c r="L416" s="45">
        <v>599</v>
      </c>
      <c r="M416" s="45">
        <v>599</v>
      </c>
      <c r="N416" s="45">
        <v>599</v>
      </c>
      <c r="O416" s="45">
        <v>599</v>
      </c>
      <c r="P416" s="45">
        <v>599</v>
      </c>
      <c r="Q416" s="45">
        <v>599</v>
      </c>
      <c r="R416" s="45">
        <v>599</v>
      </c>
      <c r="S416" s="45">
        <v>599</v>
      </c>
      <c r="T416" s="45">
        <v>599</v>
      </c>
      <c r="U416" s="45">
        <v>599</v>
      </c>
      <c r="V416" s="45">
        <v>599</v>
      </c>
      <c r="W416" s="45">
        <v>599</v>
      </c>
      <c r="X416" s="45">
        <v>599</v>
      </c>
      <c r="Y416" s="45">
        <v>599</v>
      </c>
      <c r="Z416" s="45">
        <v>599</v>
      </c>
      <c r="AA416" s="45">
        <v>599</v>
      </c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">
        <v>65</v>
      </c>
      <c r="AX416" s="51" t="s">
        <v>82</v>
      </c>
    </row>
    <row r="417" spans="1:50" ht="22.5" customHeight="1">
      <c r="A417" s="50" t="s">
        <v>61</v>
      </c>
      <c r="B417" s="41" t="s">
        <v>62</v>
      </c>
      <c r="C417" s="42">
        <v>4015259</v>
      </c>
      <c r="D417" s="44" t="s">
        <v>601</v>
      </c>
      <c r="E417" s="44" t="s">
        <v>605</v>
      </c>
      <c r="F417" s="45">
        <v>1056</v>
      </c>
      <c r="G417" s="45">
        <v>856</v>
      </c>
      <c r="H417" s="45">
        <v>1056</v>
      </c>
      <c r="I417" s="45">
        <v>1056</v>
      </c>
      <c r="J417" s="45">
        <v>599</v>
      </c>
      <c r="K417" s="45">
        <v>599</v>
      </c>
      <c r="L417" s="45">
        <v>599</v>
      </c>
      <c r="M417" s="45">
        <v>599</v>
      </c>
      <c r="N417" s="45">
        <v>599</v>
      </c>
      <c r="O417" s="45">
        <v>599</v>
      </c>
      <c r="P417" s="45">
        <v>599</v>
      </c>
      <c r="Q417" s="45">
        <v>599</v>
      </c>
      <c r="R417" s="45">
        <v>599</v>
      </c>
      <c r="S417" s="45">
        <v>599</v>
      </c>
      <c r="T417" s="45">
        <v>599</v>
      </c>
      <c r="U417" s="45">
        <v>599</v>
      </c>
      <c r="V417" s="45">
        <v>599</v>
      </c>
      <c r="W417" s="45">
        <v>599</v>
      </c>
      <c r="X417" s="45">
        <v>599</v>
      </c>
      <c r="Y417" s="45">
        <v>599</v>
      </c>
      <c r="Z417" s="45">
        <v>599</v>
      </c>
      <c r="AA417" s="45">
        <v>599</v>
      </c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">
        <v>65</v>
      </c>
      <c r="AX417" s="51" t="s">
        <v>82</v>
      </c>
    </row>
    <row r="418" spans="1:50" ht="22.5" customHeight="1">
      <c r="A418" s="50" t="s">
        <v>61</v>
      </c>
      <c r="B418" s="41" t="s">
        <v>62</v>
      </c>
      <c r="C418" s="42">
        <v>4015260</v>
      </c>
      <c r="D418" s="44" t="s">
        <v>601</v>
      </c>
      <c r="E418" s="44" t="s">
        <v>606</v>
      </c>
      <c r="F418" s="45">
        <v>1056</v>
      </c>
      <c r="G418" s="45">
        <v>856</v>
      </c>
      <c r="H418" s="45">
        <v>1056</v>
      </c>
      <c r="I418" s="45">
        <v>1056</v>
      </c>
      <c r="J418" s="45">
        <v>599</v>
      </c>
      <c r="K418" s="45">
        <v>599</v>
      </c>
      <c r="L418" s="45">
        <v>599</v>
      </c>
      <c r="M418" s="45">
        <v>599</v>
      </c>
      <c r="N418" s="45">
        <v>599</v>
      </c>
      <c r="O418" s="45">
        <v>599</v>
      </c>
      <c r="P418" s="45">
        <v>599</v>
      </c>
      <c r="Q418" s="45">
        <v>599</v>
      </c>
      <c r="R418" s="45">
        <v>599</v>
      </c>
      <c r="S418" s="45">
        <v>599</v>
      </c>
      <c r="T418" s="45">
        <v>599</v>
      </c>
      <c r="U418" s="45">
        <v>599</v>
      </c>
      <c r="V418" s="45">
        <v>599</v>
      </c>
      <c r="W418" s="45">
        <v>599</v>
      </c>
      <c r="X418" s="45">
        <v>599</v>
      </c>
      <c r="Y418" s="45">
        <v>599</v>
      </c>
      <c r="Z418" s="45">
        <v>599</v>
      </c>
      <c r="AA418" s="45">
        <v>599</v>
      </c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">
        <v>65</v>
      </c>
      <c r="AX418" s="51" t="s">
        <v>82</v>
      </c>
    </row>
    <row r="419" spans="1:50" ht="22.5" customHeight="1">
      <c r="A419" s="50" t="s">
        <v>61</v>
      </c>
      <c r="B419" s="41" t="s">
        <v>62</v>
      </c>
      <c r="C419" s="42">
        <v>4015261</v>
      </c>
      <c r="D419" s="44" t="s">
        <v>601</v>
      </c>
      <c r="E419" s="44" t="s">
        <v>607</v>
      </c>
      <c r="F419" s="45">
        <v>1056</v>
      </c>
      <c r="G419" s="45">
        <v>856</v>
      </c>
      <c r="H419" s="45">
        <v>1056</v>
      </c>
      <c r="I419" s="45">
        <v>1056</v>
      </c>
      <c r="J419" s="45">
        <v>599</v>
      </c>
      <c r="K419" s="45">
        <v>599</v>
      </c>
      <c r="L419" s="45">
        <v>599</v>
      </c>
      <c r="M419" s="45">
        <v>599</v>
      </c>
      <c r="N419" s="45">
        <v>599</v>
      </c>
      <c r="O419" s="45">
        <v>599</v>
      </c>
      <c r="P419" s="45">
        <v>599</v>
      </c>
      <c r="Q419" s="45">
        <v>599</v>
      </c>
      <c r="R419" s="45">
        <v>599</v>
      </c>
      <c r="S419" s="45">
        <v>599</v>
      </c>
      <c r="T419" s="45">
        <v>599</v>
      </c>
      <c r="U419" s="45">
        <v>599</v>
      </c>
      <c r="V419" s="45">
        <v>599</v>
      </c>
      <c r="W419" s="45">
        <v>599</v>
      </c>
      <c r="X419" s="45">
        <v>599</v>
      </c>
      <c r="Y419" s="45">
        <v>599</v>
      </c>
      <c r="Z419" s="45">
        <v>599</v>
      </c>
      <c r="AA419" s="45">
        <v>599</v>
      </c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">
        <v>65</v>
      </c>
      <c r="AX419" s="51" t="s">
        <v>82</v>
      </c>
    </row>
    <row r="420" spans="1:50" ht="22" customHeight="1">
      <c r="A420" s="50" t="s">
        <v>61</v>
      </c>
      <c r="B420" s="41" t="s">
        <v>62</v>
      </c>
      <c r="C420" s="42">
        <v>4015563</v>
      </c>
      <c r="D420" s="44" t="s">
        <v>608</v>
      </c>
      <c r="E420" s="44" t="s">
        <v>609</v>
      </c>
      <c r="F420" s="45">
        <v>999</v>
      </c>
      <c r="G420" s="45">
        <v>699</v>
      </c>
      <c r="H420" s="45">
        <v>699</v>
      </c>
      <c r="I420" s="45">
        <v>699</v>
      </c>
      <c r="J420" s="45">
        <f t="shared" si="18"/>
        <v>599</v>
      </c>
      <c r="K420" s="45">
        <f t="shared" si="19"/>
        <v>599</v>
      </c>
      <c r="L420" s="45">
        <f t="shared" si="19"/>
        <v>599</v>
      </c>
      <c r="M420" s="45">
        <v>599</v>
      </c>
      <c r="N420" s="45">
        <v>599</v>
      </c>
      <c r="O420" s="45">
        <f t="shared" si="20"/>
        <v>549</v>
      </c>
      <c r="P420" s="46">
        <f t="shared" si="20"/>
        <v>549</v>
      </c>
      <c r="Q420" s="46">
        <f t="shared" si="20"/>
        <v>499</v>
      </c>
      <c r="R420" s="45">
        <v>549</v>
      </c>
      <c r="S420" s="45">
        <v>549</v>
      </c>
      <c r="T420" s="45">
        <v>499</v>
      </c>
      <c r="U420" s="45">
        <v>499</v>
      </c>
      <c r="V420" s="45">
        <v>499</v>
      </c>
      <c r="W420" s="45">
        <v>499</v>
      </c>
      <c r="X420" s="45">
        <v>499</v>
      </c>
      <c r="Y420" s="45">
        <v>499</v>
      </c>
      <c r="Z420" s="45">
        <v>499</v>
      </c>
      <c r="AA420" s="45">
        <v>499</v>
      </c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">
        <v>65</v>
      </c>
      <c r="AX420" s="51" t="s">
        <v>82</v>
      </c>
    </row>
    <row r="421" spans="1:50" ht="22.5" customHeight="1">
      <c r="A421" s="50" t="s">
        <v>61</v>
      </c>
      <c r="B421" s="41" t="s">
        <v>62</v>
      </c>
      <c r="C421" s="42">
        <v>4015565</v>
      </c>
      <c r="D421" s="44" t="s">
        <v>608</v>
      </c>
      <c r="E421" s="44" t="s">
        <v>610</v>
      </c>
      <c r="F421" s="45">
        <v>999</v>
      </c>
      <c r="G421" s="45">
        <v>699</v>
      </c>
      <c r="H421" s="45">
        <v>699</v>
      </c>
      <c r="I421" s="45">
        <v>699</v>
      </c>
      <c r="J421" s="45">
        <f t="shared" si="18"/>
        <v>599</v>
      </c>
      <c r="K421" s="45">
        <f t="shared" si="19"/>
        <v>599</v>
      </c>
      <c r="L421" s="45">
        <f t="shared" si="19"/>
        <v>599</v>
      </c>
      <c r="M421" s="45">
        <v>599</v>
      </c>
      <c r="N421" s="45">
        <v>599</v>
      </c>
      <c r="O421" s="45">
        <f t="shared" si="20"/>
        <v>549</v>
      </c>
      <c r="P421" s="46">
        <f t="shared" si="20"/>
        <v>549</v>
      </c>
      <c r="Q421" s="46">
        <f t="shared" si="20"/>
        <v>499</v>
      </c>
      <c r="R421" s="45">
        <v>549</v>
      </c>
      <c r="S421" s="45">
        <v>549</v>
      </c>
      <c r="T421" s="45">
        <v>499</v>
      </c>
      <c r="U421" s="45">
        <v>499</v>
      </c>
      <c r="V421" s="45">
        <v>499</v>
      </c>
      <c r="W421" s="45">
        <v>499</v>
      </c>
      <c r="X421" s="45">
        <v>499</v>
      </c>
      <c r="Y421" s="45">
        <v>499</v>
      </c>
      <c r="Z421" s="45">
        <v>499</v>
      </c>
      <c r="AA421" s="45">
        <v>499</v>
      </c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">
        <v>65</v>
      </c>
      <c r="AX421" s="51" t="s">
        <v>82</v>
      </c>
    </row>
    <row r="422" spans="1:50" ht="22.5" customHeight="1">
      <c r="A422" s="50" t="s">
        <v>61</v>
      </c>
      <c r="B422" s="41" t="s">
        <v>62</v>
      </c>
      <c r="C422" s="42">
        <v>4015567</v>
      </c>
      <c r="D422" s="44" t="s">
        <v>608</v>
      </c>
      <c r="E422" s="44" t="s">
        <v>611</v>
      </c>
      <c r="F422" s="45">
        <v>999</v>
      </c>
      <c r="G422" s="45">
        <v>699</v>
      </c>
      <c r="H422" s="45">
        <v>699</v>
      </c>
      <c r="I422" s="45">
        <v>699</v>
      </c>
      <c r="J422" s="45">
        <f t="shared" si="18"/>
        <v>599</v>
      </c>
      <c r="K422" s="45">
        <f t="shared" si="19"/>
        <v>599</v>
      </c>
      <c r="L422" s="45">
        <f t="shared" si="19"/>
        <v>599</v>
      </c>
      <c r="M422" s="45">
        <v>599</v>
      </c>
      <c r="N422" s="45">
        <v>599</v>
      </c>
      <c r="O422" s="45">
        <f t="shared" si="20"/>
        <v>549</v>
      </c>
      <c r="P422" s="46">
        <f t="shared" si="20"/>
        <v>549</v>
      </c>
      <c r="Q422" s="46">
        <f t="shared" si="20"/>
        <v>499</v>
      </c>
      <c r="R422" s="45">
        <v>549</v>
      </c>
      <c r="S422" s="45">
        <v>549</v>
      </c>
      <c r="T422" s="45">
        <v>499</v>
      </c>
      <c r="U422" s="45">
        <v>499</v>
      </c>
      <c r="V422" s="45">
        <v>499</v>
      </c>
      <c r="W422" s="45">
        <v>499</v>
      </c>
      <c r="X422" s="45">
        <v>499</v>
      </c>
      <c r="Y422" s="45">
        <v>499</v>
      </c>
      <c r="Z422" s="45">
        <v>499</v>
      </c>
      <c r="AA422" s="45">
        <v>499</v>
      </c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">
        <v>65</v>
      </c>
      <c r="AX422" s="51" t="s">
        <v>82</v>
      </c>
    </row>
    <row r="423" spans="1:50" ht="22.5" customHeight="1">
      <c r="A423" s="50" t="s">
        <v>61</v>
      </c>
      <c r="B423" s="41" t="s">
        <v>62</v>
      </c>
      <c r="C423" s="42">
        <v>4015569</v>
      </c>
      <c r="D423" s="44" t="s">
        <v>608</v>
      </c>
      <c r="E423" s="44" t="s">
        <v>612</v>
      </c>
      <c r="F423" s="45">
        <v>999</v>
      </c>
      <c r="G423" s="45">
        <v>699</v>
      </c>
      <c r="H423" s="45">
        <v>699</v>
      </c>
      <c r="I423" s="45">
        <v>699</v>
      </c>
      <c r="J423" s="45">
        <f t="shared" si="18"/>
        <v>599</v>
      </c>
      <c r="K423" s="45">
        <f t="shared" si="19"/>
        <v>599</v>
      </c>
      <c r="L423" s="45">
        <f t="shared" si="19"/>
        <v>599</v>
      </c>
      <c r="M423" s="45">
        <v>599</v>
      </c>
      <c r="N423" s="45">
        <v>599</v>
      </c>
      <c r="O423" s="45">
        <f t="shared" si="20"/>
        <v>549</v>
      </c>
      <c r="P423" s="46">
        <f t="shared" si="20"/>
        <v>549</v>
      </c>
      <c r="Q423" s="46">
        <f t="shared" si="20"/>
        <v>499</v>
      </c>
      <c r="R423" s="45">
        <v>549</v>
      </c>
      <c r="S423" s="45">
        <v>549</v>
      </c>
      <c r="T423" s="45">
        <v>499</v>
      </c>
      <c r="U423" s="45">
        <v>499</v>
      </c>
      <c r="V423" s="45">
        <v>499</v>
      </c>
      <c r="W423" s="45">
        <v>499</v>
      </c>
      <c r="X423" s="45">
        <v>499</v>
      </c>
      <c r="Y423" s="45">
        <v>499</v>
      </c>
      <c r="Z423" s="45">
        <v>499</v>
      </c>
      <c r="AA423" s="45">
        <v>499</v>
      </c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">
        <v>65</v>
      </c>
      <c r="AX423" s="51" t="s">
        <v>82</v>
      </c>
    </row>
    <row r="424" spans="1:50" ht="22.5" customHeight="1">
      <c r="A424" s="50" t="s">
        <v>61</v>
      </c>
      <c r="B424" s="41" t="s">
        <v>62</v>
      </c>
      <c r="C424" s="42">
        <v>4016078</v>
      </c>
      <c r="D424" s="44" t="s">
        <v>613</v>
      </c>
      <c r="E424" s="44" t="s">
        <v>614</v>
      </c>
      <c r="F424" s="45">
        <v>927</v>
      </c>
      <c r="G424" s="45">
        <v>727</v>
      </c>
      <c r="H424" s="45">
        <v>927</v>
      </c>
      <c r="I424" s="45">
        <v>927</v>
      </c>
      <c r="J424" s="45">
        <v>509</v>
      </c>
      <c r="K424" s="45">
        <v>509</v>
      </c>
      <c r="L424" s="45">
        <v>509</v>
      </c>
      <c r="M424" s="45">
        <v>509</v>
      </c>
      <c r="N424" s="45">
        <v>509</v>
      </c>
      <c r="O424" s="45">
        <v>509</v>
      </c>
      <c r="P424" s="45">
        <v>509</v>
      </c>
      <c r="Q424" s="45">
        <v>509</v>
      </c>
      <c r="R424" s="45">
        <v>509</v>
      </c>
      <c r="S424" s="45">
        <v>509</v>
      </c>
      <c r="T424" s="45">
        <v>509</v>
      </c>
      <c r="U424" s="45">
        <v>509</v>
      </c>
      <c r="V424" s="45">
        <v>509</v>
      </c>
      <c r="W424" s="45">
        <v>509</v>
      </c>
      <c r="X424" s="45">
        <v>509</v>
      </c>
      <c r="Y424" s="45">
        <v>509</v>
      </c>
      <c r="Z424" s="45">
        <v>509</v>
      </c>
      <c r="AA424" s="45">
        <v>509</v>
      </c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">
        <v>65</v>
      </c>
      <c r="AX424" s="51" t="s">
        <v>82</v>
      </c>
    </row>
    <row r="425" spans="1:50" ht="22.5" customHeight="1">
      <c r="A425" s="50" t="s">
        <v>61</v>
      </c>
      <c r="B425" s="41" t="s">
        <v>62</v>
      </c>
      <c r="C425" s="42">
        <v>4016081</v>
      </c>
      <c r="D425" s="44" t="s">
        <v>613</v>
      </c>
      <c r="E425" s="44" t="s">
        <v>615</v>
      </c>
      <c r="F425" s="45">
        <v>927</v>
      </c>
      <c r="G425" s="45">
        <v>727</v>
      </c>
      <c r="H425" s="45">
        <v>927</v>
      </c>
      <c r="I425" s="45">
        <v>927</v>
      </c>
      <c r="J425" s="45">
        <v>509</v>
      </c>
      <c r="K425" s="45">
        <v>509</v>
      </c>
      <c r="L425" s="45">
        <v>509</v>
      </c>
      <c r="M425" s="45">
        <v>509</v>
      </c>
      <c r="N425" s="45">
        <v>509</v>
      </c>
      <c r="O425" s="45">
        <v>509</v>
      </c>
      <c r="P425" s="45">
        <v>509</v>
      </c>
      <c r="Q425" s="45">
        <v>509</v>
      </c>
      <c r="R425" s="45">
        <v>509</v>
      </c>
      <c r="S425" s="45">
        <v>509</v>
      </c>
      <c r="T425" s="45">
        <v>509</v>
      </c>
      <c r="U425" s="45">
        <v>509</v>
      </c>
      <c r="V425" s="45">
        <v>509</v>
      </c>
      <c r="W425" s="45">
        <v>509</v>
      </c>
      <c r="X425" s="45">
        <v>509</v>
      </c>
      <c r="Y425" s="45">
        <v>509</v>
      </c>
      <c r="Z425" s="45">
        <v>509</v>
      </c>
      <c r="AA425" s="45">
        <v>509</v>
      </c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">
        <v>65</v>
      </c>
      <c r="AX425" s="51" t="s">
        <v>82</v>
      </c>
    </row>
    <row r="426" spans="1:50" ht="22.5" customHeight="1">
      <c r="A426" s="50" t="s">
        <v>61</v>
      </c>
      <c r="B426" s="41" t="s">
        <v>62</v>
      </c>
      <c r="C426" s="42">
        <v>4016142</v>
      </c>
      <c r="D426" s="44" t="s">
        <v>613</v>
      </c>
      <c r="E426" s="44" t="s">
        <v>616</v>
      </c>
      <c r="F426" s="45">
        <v>927</v>
      </c>
      <c r="G426" s="45">
        <v>727</v>
      </c>
      <c r="H426" s="45">
        <v>927</v>
      </c>
      <c r="I426" s="45">
        <v>927</v>
      </c>
      <c r="J426" s="45">
        <v>509</v>
      </c>
      <c r="K426" s="45">
        <v>509</v>
      </c>
      <c r="L426" s="45">
        <v>509</v>
      </c>
      <c r="M426" s="45">
        <v>509</v>
      </c>
      <c r="N426" s="45">
        <v>509</v>
      </c>
      <c r="O426" s="45">
        <v>509</v>
      </c>
      <c r="P426" s="45">
        <v>509</v>
      </c>
      <c r="Q426" s="45">
        <v>509</v>
      </c>
      <c r="R426" s="45">
        <v>509</v>
      </c>
      <c r="S426" s="45">
        <v>509</v>
      </c>
      <c r="T426" s="45">
        <v>509</v>
      </c>
      <c r="U426" s="45">
        <v>509</v>
      </c>
      <c r="V426" s="45">
        <v>509</v>
      </c>
      <c r="W426" s="45">
        <v>509</v>
      </c>
      <c r="X426" s="45">
        <v>509</v>
      </c>
      <c r="Y426" s="45">
        <v>509</v>
      </c>
      <c r="Z426" s="45">
        <v>509</v>
      </c>
      <c r="AA426" s="45">
        <v>509</v>
      </c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">
        <v>65</v>
      </c>
      <c r="AX426" s="51" t="s">
        <v>82</v>
      </c>
    </row>
    <row r="427" spans="1:50" ht="22.5" customHeight="1">
      <c r="A427" s="50" t="s">
        <v>61</v>
      </c>
      <c r="B427" s="41" t="s">
        <v>62</v>
      </c>
      <c r="C427" s="42">
        <v>4015937</v>
      </c>
      <c r="D427" s="44" t="s">
        <v>613</v>
      </c>
      <c r="E427" s="44" t="s">
        <v>617</v>
      </c>
      <c r="F427" s="45">
        <v>927</v>
      </c>
      <c r="G427" s="45">
        <v>727</v>
      </c>
      <c r="H427" s="45">
        <v>927</v>
      </c>
      <c r="I427" s="45">
        <v>927</v>
      </c>
      <c r="J427" s="45">
        <v>509</v>
      </c>
      <c r="K427" s="45">
        <v>509</v>
      </c>
      <c r="L427" s="45">
        <v>509</v>
      </c>
      <c r="M427" s="45">
        <v>509</v>
      </c>
      <c r="N427" s="45">
        <v>509</v>
      </c>
      <c r="O427" s="45">
        <v>509</v>
      </c>
      <c r="P427" s="45">
        <v>509</v>
      </c>
      <c r="Q427" s="45">
        <v>509</v>
      </c>
      <c r="R427" s="45">
        <v>509</v>
      </c>
      <c r="S427" s="45">
        <v>509</v>
      </c>
      <c r="T427" s="45">
        <v>509</v>
      </c>
      <c r="U427" s="45">
        <v>509</v>
      </c>
      <c r="V427" s="45">
        <v>509</v>
      </c>
      <c r="W427" s="45">
        <v>509</v>
      </c>
      <c r="X427" s="45">
        <v>509</v>
      </c>
      <c r="Y427" s="45">
        <v>509</v>
      </c>
      <c r="Z427" s="45">
        <v>509</v>
      </c>
      <c r="AA427" s="45">
        <v>509</v>
      </c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">
        <v>65</v>
      </c>
      <c r="AX427" s="51" t="s">
        <v>82</v>
      </c>
    </row>
    <row r="428" spans="1:50" ht="22.5" customHeight="1">
      <c r="A428" s="50" t="s">
        <v>61</v>
      </c>
      <c r="B428" s="41" t="s">
        <v>62</v>
      </c>
      <c r="C428" s="42">
        <v>4016083</v>
      </c>
      <c r="D428" s="44" t="s">
        <v>613</v>
      </c>
      <c r="E428" s="44" t="s">
        <v>618</v>
      </c>
      <c r="F428" s="45">
        <v>927</v>
      </c>
      <c r="G428" s="45">
        <v>727</v>
      </c>
      <c r="H428" s="45">
        <v>927</v>
      </c>
      <c r="I428" s="45">
        <v>927</v>
      </c>
      <c r="J428" s="45">
        <v>509</v>
      </c>
      <c r="K428" s="45">
        <v>509</v>
      </c>
      <c r="L428" s="45">
        <v>509</v>
      </c>
      <c r="M428" s="45">
        <v>509</v>
      </c>
      <c r="N428" s="45">
        <v>509</v>
      </c>
      <c r="O428" s="45">
        <v>509</v>
      </c>
      <c r="P428" s="45">
        <v>509</v>
      </c>
      <c r="Q428" s="45">
        <v>509</v>
      </c>
      <c r="R428" s="45">
        <v>509</v>
      </c>
      <c r="S428" s="45">
        <v>509</v>
      </c>
      <c r="T428" s="45">
        <v>509</v>
      </c>
      <c r="U428" s="45">
        <v>509</v>
      </c>
      <c r="V428" s="45">
        <v>509</v>
      </c>
      <c r="W428" s="45">
        <v>509</v>
      </c>
      <c r="X428" s="45">
        <v>509</v>
      </c>
      <c r="Y428" s="45">
        <v>509</v>
      </c>
      <c r="Z428" s="45">
        <v>509</v>
      </c>
      <c r="AA428" s="45">
        <v>509</v>
      </c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">
        <v>65</v>
      </c>
      <c r="AX428" s="51" t="s">
        <v>82</v>
      </c>
    </row>
    <row r="429" spans="1:50" ht="22.5" customHeight="1">
      <c r="A429" s="50" t="s">
        <v>61</v>
      </c>
      <c r="B429" s="41" t="s">
        <v>62</v>
      </c>
      <c r="C429" s="42">
        <v>4016080</v>
      </c>
      <c r="D429" s="44" t="s">
        <v>613</v>
      </c>
      <c r="E429" s="44" t="s">
        <v>619</v>
      </c>
      <c r="F429" s="45">
        <v>927</v>
      </c>
      <c r="G429" s="45">
        <v>727</v>
      </c>
      <c r="H429" s="45">
        <v>927</v>
      </c>
      <c r="I429" s="45">
        <v>927</v>
      </c>
      <c r="J429" s="45">
        <v>509</v>
      </c>
      <c r="K429" s="45">
        <v>509</v>
      </c>
      <c r="L429" s="45">
        <v>509</v>
      </c>
      <c r="M429" s="45">
        <v>509</v>
      </c>
      <c r="N429" s="45">
        <v>509</v>
      </c>
      <c r="O429" s="45">
        <v>509</v>
      </c>
      <c r="P429" s="45">
        <v>509</v>
      </c>
      <c r="Q429" s="45">
        <v>509</v>
      </c>
      <c r="R429" s="45">
        <v>509</v>
      </c>
      <c r="S429" s="45">
        <v>509</v>
      </c>
      <c r="T429" s="45">
        <v>509</v>
      </c>
      <c r="U429" s="45">
        <v>509</v>
      </c>
      <c r="V429" s="45">
        <v>509</v>
      </c>
      <c r="W429" s="45">
        <v>509</v>
      </c>
      <c r="X429" s="45">
        <v>509</v>
      </c>
      <c r="Y429" s="45">
        <v>509</v>
      </c>
      <c r="Z429" s="45">
        <v>509</v>
      </c>
      <c r="AA429" s="45">
        <v>509</v>
      </c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">
        <v>65</v>
      </c>
      <c r="AX429" s="51" t="s">
        <v>82</v>
      </c>
    </row>
    <row r="430" spans="1:50" ht="22.5" customHeight="1">
      <c r="A430" s="50" t="s">
        <v>61</v>
      </c>
      <c r="B430" s="41" t="s">
        <v>62</v>
      </c>
      <c r="C430" s="42">
        <v>4016086</v>
      </c>
      <c r="D430" s="44" t="s">
        <v>620</v>
      </c>
      <c r="E430" s="44" t="s">
        <v>621</v>
      </c>
      <c r="F430" s="45">
        <v>1041</v>
      </c>
      <c r="G430" s="45">
        <v>841</v>
      </c>
      <c r="H430" s="45">
        <v>1041</v>
      </c>
      <c r="I430" s="45">
        <v>1041</v>
      </c>
      <c r="J430" s="45">
        <v>589</v>
      </c>
      <c r="K430" s="45">
        <v>589</v>
      </c>
      <c r="L430" s="45">
        <v>589</v>
      </c>
      <c r="M430" s="45">
        <v>589</v>
      </c>
      <c r="N430" s="45">
        <v>589</v>
      </c>
      <c r="O430" s="45">
        <v>589</v>
      </c>
      <c r="P430" s="45">
        <v>589</v>
      </c>
      <c r="Q430" s="45">
        <v>589</v>
      </c>
      <c r="R430" s="45">
        <v>589</v>
      </c>
      <c r="S430" s="45">
        <v>589</v>
      </c>
      <c r="T430" s="45">
        <v>589</v>
      </c>
      <c r="U430" s="45">
        <v>589</v>
      </c>
      <c r="V430" s="45">
        <v>589</v>
      </c>
      <c r="W430" s="45">
        <v>589</v>
      </c>
      <c r="X430" s="45">
        <v>589</v>
      </c>
      <c r="Y430" s="45">
        <v>589</v>
      </c>
      <c r="Z430" s="45">
        <v>589</v>
      </c>
      <c r="AA430" s="45">
        <v>589</v>
      </c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">
        <v>65</v>
      </c>
      <c r="AX430" s="51" t="s">
        <v>82</v>
      </c>
    </row>
    <row r="431" spans="1:50" ht="22.5" customHeight="1">
      <c r="A431" s="50" t="s">
        <v>61</v>
      </c>
      <c r="B431" s="41" t="s">
        <v>62</v>
      </c>
      <c r="C431" s="42">
        <v>4016089</v>
      </c>
      <c r="D431" s="44" t="s">
        <v>620</v>
      </c>
      <c r="E431" s="44" t="s">
        <v>622</v>
      </c>
      <c r="F431" s="45">
        <v>1041</v>
      </c>
      <c r="G431" s="45">
        <v>841</v>
      </c>
      <c r="H431" s="45">
        <v>1041</v>
      </c>
      <c r="I431" s="45">
        <v>1041</v>
      </c>
      <c r="J431" s="45">
        <v>589</v>
      </c>
      <c r="K431" s="45">
        <v>589</v>
      </c>
      <c r="L431" s="45">
        <v>589</v>
      </c>
      <c r="M431" s="45">
        <v>589</v>
      </c>
      <c r="N431" s="45">
        <v>589</v>
      </c>
      <c r="O431" s="45">
        <v>589</v>
      </c>
      <c r="P431" s="45">
        <v>589</v>
      </c>
      <c r="Q431" s="45">
        <v>589</v>
      </c>
      <c r="R431" s="45">
        <v>589</v>
      </c>
      <c r="S431" s="45">
        <v>589</v>
      </c>
      <c r="T431" s="45">
        <v>589</v>
      </c>
      <c r="U431" s="45">
        <v>589</v>
      </c>
      <c r="V431" s="45">
        <v>589</v>
      </c>
      <c r="W431" s="45">
        <v>589</v>
      </c>
      <c r="X431" s="45">
        <v>589</v>
      </c>
      <c r="Y431" s="45">
        <v>589</v>
      </c>
      <c r="Z431" s="45">
        <v>589</v>
      </c>
      <c r="AA431" s="45">
        <v>589</v>
      </c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">
        <v>65</v>
      </c>
      <c r="AX431" s="51" t="s">
        <v>82</v>
      </c>
    </row>
    <row r="432" spans="1:50" ht="22.5" customHeight="1">
      <c r="A432" s="50" t="s">
        <v>61</v>
      </c>
      <c r="B432" s="41" t="s">
        <v>62</v>
      </c>
      <c r="C432" s="42">
        <v>4016084</v>
      </c>
      <c r="D432" s="44" t="s">
        <v>620</v>
      </c>
      <c r="E432" s="44" t="s">
        <v>623</v>
      </c>
      <c r="F432" s="45">
        <v>1041</v>
      </c>
      <c r="G432" s="45">
        <v>841</v>
      </c>
      <c r="H432" s="45">
        <v>1041</v>
      </c>
      <c r="I432" s="45">
        <v>1041</v>
      </c>
      <c r="J432" s="45">
        <v>589</v>
      </c>
      <c r="K432" s="45">
        <v>589</v>
      </c>
      <c r="L432" s="45">
        <v>589</v>
      </c>
      <c r="M432" s="45">
        <v>589</v>
      </c>
      <c r="N432" s="45">
        <v>589</v>
      </c>
      <c r="O432" s="45">
        <v>589</v>
      </c>
      <c r="P432" s="45">
        <v>589</v>
      </c>
      <c r="Q432" s="45">
        <v>589</v>
      </c>
      <c r="R432" s="45">
        <v>589</v>
      </c>
      <c r="S432" s="45">
        <v>589</v>
      </c>
      <c r="T432" s="45">
        <v>589</v>
      </c>
      <c r="U432" s="45">
        <v>589</v>
      </c>
      <c r="V432" s="45">
        <v>589</v>
      </c>
      <c r="W432" s="45">
        <v>589</v>
      </c>
      <c r="X432" s="45">
        <v>589</v>
      </c>
      <c r="Y432" s="45">
        <v>589</v>
      </c>
      <c r="Z432" s="45">
        <v>589</v>
      </c>
      <c r="AA432" s="45">
        <v>589</v>
      </c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">
        <v>65</v>
      </c>
      <c r="AX432" s="51" t="s">
        <v>82</v>
      </c>
    </row>
    <row r="433" spans="1:50" ht="22.5" customHeight="1">
      <c r="A433" s="50" t="s">
        <v>61</v>
      </c>
      <c r="B433" s="41" t="s">
        <v>62</v>
      </c>
      <c r="C433" s="42">
        <v>4016087</v>
      </c>
      <c r="D433" s="44" t="s">
        <v>620</v>
      </c>
      <c r="E433" s="44" t="s">
        <v>624</v>
      </c>
      <c r="F433" s="45">
        <v>1041</v>
      </c>
      <c r="G433" s="45">
        <v>841</v>
      </c>
      <c r="H433" s="45">
        <v>1041</v>
      </c>
      <c r="I433" s="45">
        <v>1041</v>
      </c>
      <c r="J433" s="45">
        <v>589</v>
      </c>
      <c r="K433" s="45">
        <v>589</v>
      </c>
      <c r="L433" s="45">
        <v>589</v>
      </c>
      <c r="M433" s="45">
        <v>589</v>
      </c>
      <c r="N433" s="45">
        <v>589</v>
      </c>
      <c r="O433" s="45">
        <v>589</v>
      </c>
      <c r="P433" s="45">
        <v>589</v>
      </c>
      <c r="Q433" s="45">
        <v>589</v>
      </c>
      <c r="R433" s="45">
        <v>589</v>
      </c>
      <c r="S433" s="45">
        <v>589</v>
      </c>
      <c r="T433" s="45">
        <v>589</v>
      </c>
      <c r="U433" s="45">
        <v>589</v>
      </c>
      <c r="V433" s="45">
        <v>589</v>
      </c>
      <c r="W433" s="45">
        <v>589</v>
      </c>
      <c r="X433" s="45">
        <v>589</v>
      </c>
      <c r="Y433" s="45">
        <v>589</v>
      </c>
      <c r="Z433" s="45">
        <v>589</v>
      </c>
      <c r="AA433" s="45">
        <v>589</v>
      </c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">
        <v>65</v>
      </c>
      <c r="AX433" s="51" t="s">
        <v>82</v>
      </c>
    </row>
    <row r="434" spans="1:50" ht="22.5" customHeight="1">
      <c r="A434" s="50" t="s">
        <v>61</v>
      </c>
      <c r="B434" s="41" t="s">
        <v>62</v>
      </c>
      <c r="C434" s="42">
        <v>4016668</v>
      </c>
      <c r="D434" s="44" t="s">
        <v>625</v>
      </c>
      <c r="E434" s="44" t="s">
        <v>626</v>
      </c>
      <c r="F434" s="45">
        <v>1599</v>
      </c>
      <c r="G434" s="46">
        <v>1099</v>
      </c>
      <c r="H434" s="46">
        <v>1099</v>
      </c>
      <c r="I434" s="46">
        <v>1099</v>
      </c>
      <c r="J434" s="46">
        <v>999</v>
      </c>
      <c r="K434" s="46">
        <v>899</v>
      </c>
      <c r="L434" s="46">
        <v>899</v>
      </c>
      <c r="M434" s="46">
        <v>999</v>
      </c>
      <c r="N434" s="46">
        <v>899</v>
      </c>
      <c r="O434" s="46">
        <v>899</v>
      </c>
      <c r="P434" s="46">
        <v>899</v>
      </c>
      <c r="Q434" s="46">
        <v>799</v>
      </c>
      <c r="R434" s="46">
        <v>899</v>
      </c>
      <c r="S434" s="46">
        <v>899</v>
      </c>
      <c r="T434" s="46">
        <v>799</v>
      </c>
      <c r="U434" s="46">
        <v>799</v>
      </c>
      <c r="V434" s="46">
        <v>799</v>
      </c>
      <c r="W434" s="46">
        <v>799</v>
      </c>
      <c r="X434" s="46">
        <v>799</v>
      </c>
      <c r="Y434" s="46">
        <v>699</v>
      </c>
      <c r="Z434" s="46">
        <v>699</v>
      </c>
      <c r="AA434" s="46">
        <v>699</v>
      </c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">
        <v>65</v>
      </c>
      <c r="AX434" s="51" t="s">
        <v>82</v>
      </c>
    </row>
    <row r="435" spans="1:50" ht="22.5" customHeight="1">
      <c r="A435" s="50" t="s">
        <v>61</v>
      </c>
      <c r="B435" s="41" t="s">
        <v>62</v>
      </c>
      <c r="C435" s="42">
        <v>4016714</v>
      </c>
      <c r="D435" s="44" t="s">
        <v>625</v>
      </c>
      <c r="E435" s="44" t="s">
        <v>627</v>
      </c>
      <c r="F435" s="45">
        <v>1599</v>
      </c>
      <c r="G435" s="46">
        <v>1099</v>
      </c>
      <c r="H435" s="46">
        <v>1099</v>
      </c>
      <c r="I435" s="46">
        <v>1099</v>
      </c>
      <c r="J435" s="46">
        <v>999</v>
      </c>
      <c r="K435" s="46">
        <v>899</v>
      </c>
      <c r="L435" s="46">
        <v>899</v>
      </c>
      <c r="M435" s="46">
        <v>999</v>
      </c>
      <c r="N435" s="46">
        <v>899</v>
      </c>
      <c r="O435" s="46">
        <v>899</v>
      </c>
      <c r="P435" s="46">
        <v>899</v>
      </c>
      <c r="Q435" s="46">
        <v>799</v>
      </c>
      <c r="R435" s="46">
        <v>899</v>
      </c>
      <c r="S435" s="46">
        <v>899</v>
      </c>
      <c r="T435" s="46">
        <v>799</v>
      </c>
      <c r="U435" s="46">
        <v>799</v>
      </c>
      <c r="V435" s="46">
        <v>799</v>
      </c>
      <c r="W435" s="46">
        <v>799</v>
      </c>
      <c r="X435" s="46">
        <v>799</v>
      </c>
      <c r="Y435" s="46">
        <v>699</v>
      </c>
      <c r="Z435" s="46">
        <v>699</v>
      </c>
      <c r="AA435" s="46">
        <v>699</v>
      </c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">
        <v>65</v>
      </c>
      <c r="AX435" s="51" t="s">
        <v>82</v>
      </c>
    </row>
    <row r="436" spans="1:50" ht="22.5" customHeight="1">
      <c r="A436" s="50" t="s">
        <v>61</v>
      </c>
      <c r="B436" s="41" t="s">
        <v>62</v>
      </c>
      <c r="C436" s="42">
        <v>4016710</v>
      </c>
      <c r="D436" s="44" t="s">
        <v>625</v>
      </c>
      <c r="E436" s="44" t="s">
        <v>628</v>
      </c>
      <c r="F436" s="45">
        <v>1599</v>
      </c>
      <c r="G436" s="46">
        <v>1099</v>
      </c>
      <c r="H436" s="46">
        <v>1099</v>
      </c>
      <c r="I436" s="46">
        <v>1099</v>
      </c>
      <c r="J436" s="46">
        <v>999</v>
      </c>
      <c r="K436" s="46">
        <v>899</v>
      </c>
      <c r="L436" s="46">
        <v>899</v>
      </c>
      <c r="M436" s="46">
        <v>999</v>
      </c>
      <c r="N436" s="46">
        <v>899</v>
      </c>
      <c r="O436" s="46">
        <v>899</v>
      </c>
      <c r="P436" s="46">
        <v>899</v>
      </c>
      <c r="Q436" s="46">
        <v>799</v>
      </c>
      <c r="R436" s="46">
        <v>899</v>
      </c>
      <c r="S436" s="46">
        <v>899</v>
      </c>
      <c r="T436" s="46">
        <v>799</v>
      </c>
      <c r="U436" s="46">
        <v>799</v>
      </c>
      <c r="V436" s="46">
        <v>799</v>
      </c>
      <c r="W436" s="46">
        <v>799</v>
      </c>
      <c r="X436" s="46">
        <v>799</v>
      </c>
      <c r="Y436" s="46">
        <v>699</v>
      </c>
      <c r="Z436" s="46">
        <v>699</v>
      </c>
      <c r="AA436" s="46">
        <v>699</v>
      </c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">
        <v>65</v>
      </c>
      <c r="AX436" s="51" t="s">
        <v>82</v>
      </c>
    </row>
    <row r="437" spans="1:50" ht="22.5" customHeight="1">
      <c r="A437" s="50" t="s">
        <v>61</v>
      </c>
      <c r="B437" s="41" t="s">
        <v>62</v>
      </c>
      <c r="C437" s="42">
        <v>4016716</v>
      </c>
      <c r="D437" s="44" t="s">
        <v>625</v>
      </c>
      <c r="E437" s="44" t="s">
        <v>629</v>
      </c>
      <c r="F437" s="45">
        <v>1599</v>
      </c>
      <c r="G437" s="46">
        <v>1099</v>
      </c>
      <c r="H437" s="46">
        <v>1099</v>
      </c>
      <c r="I437" s="46">
        <v>1099</v>
      </c>
      <c r="J437" s="46">
        <v>999</v>
      </c>
      <c r="K437" s="46">
        <v>899</v>
      </c>
      <c r="L437" s="46">
        <v>899</v>
      </c>
      <c r="M437" s="46">
        <v>999</v>
      </c>
      <c r="N437" s="46">
        <v>899</v>
      </c>
      <c r="O437" s="46">
        <v>899</v>
      </c>
      <c r="P437" s="46">
        <v>899</v>
      </c>
      <c r="Q437" s="46">
        <v>799</v>
      </c>
      <c r="R437" s="46">
        <v>899</v>
      </c>
      <c r="S437" s="46">
        <v>899</v>
      </c>
      <c r="T437" s="46">
        <v>799</v>
      </c>
      <c r="U437" s="46">
        <v>799</v>
      </c>
      <c r="V437" s="46">
        <v>799</v>
      </c>
      <c r="W437" s="46">
        <v>799</v>
      </c>
      <c r="X437" s="46">
        <v>799</v>
      </c>
      <c r="Y437" s="46">
        <v>699</v>
      </c>
      <c r="Z437" s="46">
        <v>699</v>
      </c>
      <c r="AA437" s="46">
        <v>699</v>
      </c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">
        <v>65</v>
      </c>
      <c r="AX437" s="51" t="s">
        <v>82</v>
      </c>
    </row>
    <row r="438" spans="1:50" ht="22.5" customHeight="1">
      <c r="A438" s="50" t="s">
        <v>61</v>
      </c>
      <c r="B438" s="41" t="s">
        <v>62</v>
      </c>
      <c r="C438" s="42">
        <v>4016753</v>
      </c>
      <c r="D438" s="44" t="s">
        <v>625</v>
      </c>
      <c r="E438" s="44" t="s">
        <v>630</v>
      </c>
      <c r="F438" s="45">
        <v>1599</v>
      </c>
      <c r="G438" s="46">
        <v>1099</v>
      </c>
      <c r="H438" s="46">
        <v>1099</v>
      </c>
      <c r="I438" s="46">
        <v>1099</v>
      </c>
      <c r="J438" s="46">
        <v>999</v>
      </c>
      <c r="K438" s="46">
        <v>899</v>
      </c>
      <c r="L438" s="46">
        <v>899</v>
      </c>
      <c r="M438" s="46">
        <v>999</v>
      </c>
      <c r="N438" s="46">
        <v>899</v>
      </c>
      <c r="O438" s="46">
        <v>899</v>
      </c>
      <c r="P438" s="46">
        <v>899</v>
      </c>
      <c r="Q438" s="46">
        <v>799</v>
      </c>
      <c r="R438" s="46">
        <v>899</v>
      </c>
      <c r="S438" s="46">
        <v>899</v>
      </c>
      <c r="T438" s="46">
        <v>799</v>
      </c>
      <c r="U438" s="46">
        <v>799</v>
      </c>
      <c r="V438" s="46">
        <v>799</v>
      </c>
      <c r="W438" s="46">
        <v>799</v>
      </c>
      <c r="X438" s="46">
        <v>799</v>
      </c>
      <c r="Y438" s="46">
        <v>699</v>
      </c>
      <c r="Z438" s="46">
        <v>699</v>
      </c>
      <c r="AA438" s="46">
        <v>699</v>
      </c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">
        <v>65</v>
      </c>
      <c r="AX438" s="51" t="s">
        <v>82</v>
      </c>
    </row>
    <row r="439" spans="1:50" ht="22.5" customHeight="1">
      <c r="A439" s="50" t="s">
        <v>61</v>
      </c>
      <c r="B439" s="41" t="s">
        <v>62</v>
      </c>
      <c r="C439" s="42">
        <v>4016762</v>
      </c>
      <c r="D439" s="44" t="s">
        <v>625</v>
      </c>
      <c r="E439" s="44" t="s">
        <v>631</v>
      </c>
      <c r="F439" s="45">
        <v>1599</v>
      </c>
      <c r="G439" s="46">
        <v>1099</v>
      </c>
      <c r="H439" s="46">
        <v>1099</v>
      </c>
      <c r="I439" s="46">
        <v>1099</v>
      </c>
      <c r="J439" s="46">
        <v>999</v>
      </c>
      <c r="K439" s="46">
        <v>899</v>
      </c>
      <c r="L439" s="46">
        <v>899</v>
      </c>
      <c r="M439" s="46">
        <v>999</v>
      </c>
      <c r="N439" s="46">
        <v>899</v>
      </c>
      <c r="O439" s="46">
        <v>899</v>
      </c>
      <c r="P439" s="46">
        <v>899</v>
      </c>
      <c r="Q439" s="46">
        <v>799</v>
      </c>
      <c r="R439" s="46">
        <v>899</v>
      </c>
      <c r="S439" s="46">
        <v>899</v>
      </c>
      <c r="T439" s="46">
        <v>799</v>
      </c>
      <c r="U439" s="46">
        <v>799</v>
      </c>
      <c r="V439" s="46">
        <v>799</v>
      </c>
      <c r="W439" s="46">
        <v>799</v>
      </c>
      <c r="X439" s="46">
        <v>799</v>
      </c>
      <c r="Y439" s="46">
        <v>699</v>
      </c>
      <c r="Z439" s="46">
        <v>699</v>
      </c>
      <c r="AA439" s="46">
        <v>699</v>
      </c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">
        <v>65</v>
      </c>
      <c r="AX439" s="51" t="s">
        <v>82</v>
      </c>
    </row>
    <row r="440" spans="1:50" ht="22.5" customHeight="1">
      <c r="A440" s="50" t="s">
        <v>61</v>
      </c>
      <c r="B440" s="41" t="s">
        <v>62</v>
      </c>
      <c r="C440" s="42">
        <v>4016667</v>
      </c>
      <c r="D440" s="44" t="s">
        <v>632</v>
      </c>
      <c r="E440" s="44" t="s">
        <v>633</v>
      </c>
      <c r="F440" s="45">
        <v>1899</v>
      </c>
      <c r="G440" s="46">
        <v>1499</v>
      </c>
      <c r="H440" s="46">
        <v>1499</v>
      </c>
      <c r="I440" s="46">
        <v>1499</v>
      </c>
      <c r="J440" s="46">
        <v>1399</v>
      </c>
      <c r="K440" s="46">
        <v>1299</v>
      </c>
      <c r="L440" s="46">
        <v>1299</v>
      </c>
      <c r="M440" s="46">
        <v>1399</v>
      </c>
      <c r="N440" s="46">
        <v>1299</v>
      </c>
      <c r="O440" s="46">
        <v>1249</v>
      </c>
      <c r="P440" s="46">
        <v>1199</v>
      </c>
      <c r="Q440" s="46">
        <v>999</v>
      </c>
      <c r="R440" s="46">
        <v>1249</v>
      </c>
      <c r="S440" s="46">
        <v>1199</v>
      </c>
      <c r="T440" s="46">
        <v>999</v>
      </c>
      <c r="U440" s="46">
        <v>999</v>
      </c>
      <c r="V440" s="46">
        <v>999</v>
      </c>
      <c r="W440" s="46">
        <v>999</v>
      </c>
      <c r="X440" s="46">
        <v>999</v>
      </c>
      <c r="Y440" s="46">
        <v>999</v>
      </c>
      <c r="Z440" s="46">
        <v>999</v>
      </c>
      <c r="AA440" s="46">
        <v>999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">
        <v>65</v>
      </c>
      <c r="AX440" s="51" t="s">
        <v>82</v>
      </c>
    </row>
    <row r="441" spans="1:50" ht="22.5" customHeight="1">
      <c r="A441" s="50" t="s">
        <v>61</v>
      </c>
      <c r="B441" s="41" t="s">
        <v>62</v>
      </c>
      <c r="C441" s="42">
        <v>4016713</v>
      </c>
      <c r="D441" s="44" t="s">
        <v>632</v>
      </c>
      <c r="E441" s="44" t="s">
        <v>634</v>
      </c>
      <c r="F441" s="45">
        <v>1899</v>
      </c>
      <c r="G441" s="46">
        <v>1499</v>
      </c>
      <c r="H441" s="46">
        <v>1499</v>
      </c>
      <c r="I441" s="46">
        <v>1499</v>
      </c>
      <c r="J441" s="46">
        <v>1399</v>
      </c>
      <c r="K441" s="46">
        <v>1299</v>
      </c>
      <c r="L441" s="46">
        <v>1299</v>
      </c>
      <c r="M441" s="46">
        <v>1399</v>
      </c>
      <c r="N441" s="46">
        <v>1299</v>
      </c>
      <c r="O441" s="46">
        <v>1249</v>
      </c>
      <c r="P441" s="46">
        <v>1199</v>
      </c>
      <c r="Q441" s="46">
        <v>999</v>
      </c>
      <c r="R441" s="46">
        <v>1249</v>
      </c>
      <c r="S441" s="46">
        <v>1199</v>
      </c>
      <c r="T441" s="46">
        <v>999</v>
      </c>
      <c r="U441" s="46">
        <v>999</v>
      </c>
      <c r="V441" s="46">
        <v>999</v>
      </c>
      <c r="W441" s="46">
        <v>999</v>
      </c>
      <c r="X441" s="46">
        <v>999</v>
      </c>
      <c r="Y441" s="46">
        <v>999</v>
      </c>
      <c r="Z441" s="46">
        <v>999</v>
      </c>
      <c r="AA441" s="46">
        <v>999</v>
      </c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">
        <v>65</v>
      </c>
      <c r="AX441" s="51" t="s">
        <v>82</v>
      </c>
    </row>
    <row r="442" spans="1:50" ht="22.5" customHeight="1">
      <c r="A442" s="50" t="s">
        <v>61</v>
      </c>
      <c r="B442" s="41" t="s">
        <v>62</v>
      </c>
      <c r="C442" s="42">
        <v>4016669</v>
      </c>
      <c r="D442" s="44" t="s">
        <v>632</v>
      </c>
      <c r="E442" s="44" t="s">
        <v>635</v>
      </c>
      <c r="F442" s="45">
        <v>1899</v>
      </c>
      <c r="G442" s="46">
        <v>1499</v>
      </c>
      <c r="H442" s="46">
        <v>1499</v>
      </c>
      <c r="I442" s="46">
        <v>1499</v>
      </c>
      <c r="J442" s="46">
        <v>1399</v>
      </c>
      <c r="K442" s="46">
        <v>1299</v>
      </c>
      <c r="L442" s="46">
        <v>1299</v>
      </c>
      <c r="M442" s="46">
        <v>1399</v>
      </c>
      <c r="N442" s="46">
        <v>1299</v>
      </c>
      <c r="O442" s="46">
        <v>1249</v>
      </c>
      <c r="P442" s="46">
        <v>1199</v>
      </c>
      <c r="Q442" s="46">
        <v>999</v>
      </c>
      <c r="R442" s="46">
        <v>1249</v>
      </c>
      <c r="S442" s="46">
        <v>1199</v>
      </c>
      <c r="T442" s="46">
        <v>999</v>
      </c>
      <c r="U442" s="46">
        <v>999</v>
      </c>
      <c r="V442" s="46">
        <v>999</v>
      </c>
      <c r="W442" s="46">
        <v>999</v>
      </c>
      <c r="X442" s="46">
        <v>999</v>
      </c>
      <c r="Y442" s="46">
        <v>999</v>
      </c>
      <c r="Z442" s="46">
        <v>999</v>
      </c>
      <c r="AA442" s="46">
        <v>999</v>
      </c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">
        <v>65</v>
      </c>
      <c r="AX442" s="51" t="s">
        <v>82</v>
      </c>
    </row>
    <row r="443" spans="1:50" ht="22.5" customHeight="1">
      <c r="A443" s="50" t="s">
        <v>61</v>
      </c>
      <c r="B443" s="41" t="s">
        <v>62</v>
      </c>
      <c r="C443" s="42">
        <v>4016715</v>
      </c>
      <c r="D443" s="44" t="s">
        <v>632</v>
      </c>
      <c r="E443" s="44" t="s">
        <v>636</v>
      </c>
      <c r="F443" s="45">
        <v>1899</v>
      </c>
      <c r="G443" s="46">
        <v>1499</v>
      </c>
      <c r="H443" s="46">
        <v>1499</v>
      </c>
      <c r="I443" s="46">
        <v>1499</v>
      </c>
      <c r="J443" s="46">
        <v>1399</v>
      </c>
      <c r="K443" s="46">
        <v>1299</v>
      </c>
      <c r="L443" s="46">
        <v>1299</v>
      </c>
      <c r="M443" s="46">
        <v>1399</v>
      </c>
      <c r="N443" s="46">
        <v>1299</v>
      </c>
      <c r="O443" s="46">
        <v>1249</v>
      </c>
      <c r="P443" s="46">
        <v>1199</v>
      </c>
      <c r="Q443" s="46">
        <v>999</v>
      </c>
      <c r="R443" s="46">
        <v>1249</v>
      </c>
      <c r="S443" s="46">
        <v>1199</v>
      </c>
      <c r="T443" s="46">
        <v>999</v>
      </c>
      <c r="U443" s="46">
        <v>999</v>
      </c>
      <c r="V443" s="46">
        <v>999</v>
      </c>
      <c r="W443" s="46">
        <v>999</v>
      </c>
      <c r="X443" s="46">
        <v>999</v>
      </c>
      <c r="Y443" s="46">
        <v>999</v>
      </c>
      <c r="Z443" s="46">
        <v>999</v>
      </c>
      <c r="AA443" s="46">
        <v>999</v>
      </c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">
        <v>65</v>
      </c>
      <c r="AX443" s="51" t="s">
        <v>82</v>
      </c>
    </row>
    <row r="444" spans="1:50" ht="22.5" customHeight="1">
      <c r="A444" s="50" t="s">
        <v>61</v>
      </c>
      <c r="B444" s="41" t="s">
        <v>62</v>
      </c>
      <c r="C444" s="42">
        <v>4017357</v>
      </c>
      <c r="D444" s="44" t="s">
        <v>637</v>
      </c>
      <c r="E444" s="44" t="s">
        <v>638</v>
      </c>
      <c r="F444" s="45">
        <v>1399</v>
      </c>
      <c r="G444" s="45">
        <v>1249</v>
      </c>
      <c r="H444" s="45">
        <v>1249</v>
      </c>
      <c r="I444" s="45">
        <v>1249</v>
      </c>
      <c r="J444" s="45">
        <v>1149</v>
      </c>
      <c r="K444" s="45">
        <v>899</v>
      </c>
      <c r="L444" s="45">
        <v>899</v>
      </c>
      <c r="M444" s="45">
        <v>1149</v>
      </c>
      <c r="N444" s="45">
        <v>899</v>
      </c>
      <c r="O444" s="45">
        <v>899</v>
      </c>
      <c r="P444" s="46">
        <v>899</v>
      </c>
      <c r="Q444" s="46">
        <v>849</v>
      </c>
      <c r="R444" s="45">
        <v>899</v>
      </c>
      <c r="S444" s="45">
        <v>899</v>
      </c>
      <c r="T444" s="45">
        <v>849</v>
      </c>
      <c r="U444" s="45">
        <v>849</v>
      </c>
      <c r="V444" s="45">
        <v>849</v>
      </c>
      <c r="W444" s="45">
        <v>849</v>
      </c>
      <c r="X444" s="45">
        <v>849</v>
      </c>
      <c r="Y444" s="45">
        <v>849</v>
      </c>
      <c r="Z444" s="45">
        <v>849</v>
      </c>
      <c r="AA444" s="45">
        <v>849</v>
      </c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">
        <v>65</v>
      </c>
      <c r="AX444" s="51" t="s">
        <v>66</v>
      </c>
    </row>
    <row r="445" spans="1:50" ht="22.5" customHeight="1">
      <c r="A445" s="50" t="s">
        <v>61</v>
      </c>
      <c r="B445" s="41" t="s">
        <v>62</v>
      </c>
      <c r="C445" s="42">
        <v>4017377</v>
      </c>
      <c r="D445" s="44" t="s">
        <v>637</v>
      </c>
      <c r="E445" s="44" t="s">
        <v>639</v>
      </c>
      <c r="F445" s="45">
        <v>1399</v>
      </c>
      <c r="G445" s="45">
        <v>1249</v>
      </c>
      <c r="H445" s="45">
        <v>1249</v>
      </c>
      <c r="I445" s="45">
        <v>1249</v>
      </c>
      <c r="J445" s="45">
        <v>1149</v>
      </c>
      <c r="K445" s="45">
        <v>899</v>
      </c>
      <c r="L445" s="45">
        <v>899</v>
      </c>
      <c r="M445" s="45">
        <v>1149</v>
      </c>
      <c r="N445" s="45">
        <v>899</v>
      </c>
      <c r="O445" s="45">
        <v>899</v>
      </c>
      <c r="P445" s="46">
        <v>899</v>
      </c>
      <c r="Q445" s="46">
        <v>849</v>
      </c>
      <c r="R445" s="45">
        <v>899</v>
      </c>
      <c r="S445" s="45">
        <v>899</v>
      </c>
      <c r="T445" s="45">
        <v>849</v>
      </c>
      <c r="U445" s="45">
        <v>849</v>
      </c>
      <c r="V445" s="45">
        <v>849</v>
      </c>
      <c r="W445" s="45">
        <v>849</v>
      </c>
      <c r="X445" s="45">
        <v>849</v>
      </c>
      <c r="Y445" s="45">
        <v>849</v>
      </c>
      <c r="Z445" s="45">
        <v>849</v>
      </c>
      <c r="AA445" s="45">
        <v>849</v>
      </c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">
        <v>65</v>
      </c>
      <c r="AX445" s="51" t="s">
        <v>66</v>
      </c>
    </row>
    <row r="446" spans="1:50" ht="22.5" customHeight="1">
      <c r="A446" s="50" t="s">
        <v>61</v>
      </c>
      <c r="B446" s="41" t="s">
        <v>62</v>
      </c>
      <c r="C446" s="42">
        <v>4017363</v>
      </c>
      <c r="D446" s="44" t="s">
        <v>637</v>
      </c>
      <c r="E446" s="44" t="s">
        <v>640</v>
      </c>
      <c r="F446" s="45">
        <v>1399</v>
      </c>
      <c r="G446" s="45">
        <v>1249</v>
      </c>
      <c r="H446" s="45">
        <v>1249</v>
      </c>
      <c r="I446" s="45">
        <v>1249</v>
      </c>
      <c r="J446" s="45">
        <v>1149</v>
      </c>
      <c r="K446" s="45">
        <v>899</v>
      </c>
      <c r="L446" s="45">
        <v>899</v>
      </c>
      <c r="M446" s="45">
        <v>1149</v>
      </c>
      <c r="N446" s="45">
        <v>899</v>
      </c>
      <c r="O446" s="45">
        <v>899</v>
      </c>
      <c r="P446" s="46">
        <v>899</v>
      </c>
      <c r="Q446" s="46">
        <v>849</v>
      </c>
      <c r="R446" s="45">
        <v>899</v>
      </c>
      <c r="S446" s="45">
        <v>899</v>
      </c>
      <c r="T446" s="45">
        <v>849</v>
      </c>
      <c r="U446" s="45">
        <v>849</v>
      </c>
      <c r="V446" s="45">
        <v>849</v>
      </c>
      <c r="W446" s="45">
        <v>849</v>
      </c>
      <c r="X446" s="45">
        <v>849</v>
      </c>
      <c r="Y446" s="45">
        <v>849</v>
      </c>
      <c r="Z446" s="45">
        <v>849</v>
      </c>
      <c r="AA446" s="45">
        <v>849</v>
      </c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">
        <v>65</v>
      </c>
      <c r="AX446" s="51" t="s">
        <v>66</v>
      </c>
    </row>
    <row r="447" spans="1:50" ht="22.5" customHeight="1">
      <c r="A447" s="50" t="s">
        <v>61</v>
      </c>
      <c r="B447" s="41" t="s">
        <v>62</v>
      </c>
      <c r="C447" s="42">
        <v>4017383</v>
      </c>
      <c r="D447" s="44" t="s">
        <v>637</v>
      </c>
      <c r="E447" s="44" t="s">
        <v>641</v>
      </c>
      <c r="F447" s="45">
        <v>1399</v>
      </c>
      <c r="G447" s="45">
        <v>1249</v>
      </c>
      <c r="H447" s="45">
        <v>1249</v>
      </c>
      <c r="I447" s="45">
        <v>1249</v>
      </c>
      <c r="J447" s="45">
        <v>1149</v>
      </c>
      <c r="K447" s="45">
        <v>899</v>
      </c>
      <c r="L447" s="45">
        <v>899</v>
      </c>
      <c r="M447" s="45">
        <v>1149</v>
      </c>
      <c r="N447" s="45">
        <v>899</v>
      </c>
      <c r="O447" s="45">
        <v>899</v>
      </c>
      <c r="P447" s="46">
        <v>899</v>
      </c>
      <c r="Q447" s="46">
        <v>849</v>
      </c>
      <c r="R447" s="45">
        <v>899</v>
      </c>
      <c r="S447" s="45">
        <v>899</v>
      </c>
      <c r="T447" s="45">
        <v>849</v>
      </c>
      <c r="U447" s="45">
        <v>849</v>
      </c>
      <c r="V447" s="45">
        <v>849</v>
      </c>
      <c r="W447" s="45">
        <v>849</v>
      </c>
      <c r="X447" s="45">
        <v>849</v>
      </c>
      <c r="Y447" s="45">
        <v>849</v>
      </c>
      <c r="Z447" s="45">
        <v>849</v>
      </c>
      <c r="AA447" s="45">
        <v>849</v>
      </c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">
        <v>65</v>
      </c>
      <c r="AX447" s="51" t="s">
        <v>66</v>
      </c>
    </row>
    <row r="448" spans="1:50" ht="22.5" customHeight="1">
      <c r="A448" s="50" t="s">
        <v>61</v>
      </c>
      <c r="B448" s="41" t="s">
        <v>62</v>
      </c>
      <c r="C448" s="42">
        <v>4017358</v>
      </c>
      <c r="D448" s="44" t="s">
        <v>642</v>
      </c>
      <c r="E448" s="44" t="s">
        <v>643</v>
      </c>
      <c r="F448" s="45">
        <v>1699</v>
      </c>
      <c r="G448" s="45">
        <v>1419</v>
      </c>
      <c r="H448" s="45">
        <v>1419</v>
      </c>
      <c r="I448" s="45">
        <v>1419</v>
      </c>
      <c r="J448" s="45">
        <v>1319</v>
      </c>
      <c r="K448" s="45">
        <v>1099</v>
      </c>
      <c r="L448" s="45">
        <v>1099</v>
      </c>
      <c r="M448" s="45">
        <v>1319</v>
      </c>
      <c r="N448" s="45">
        <v>1099</v>
      </c>
      <c r="O448" s="45">
        <v>1049</v>
      </c>
      <c r="P448" s="46">
        <v>999</v>
      </c>
      <c r="Q448" s="46">
        <v>899</v>
      </c>
      <c r="R448" s="45">
        <v>1049</v>
      </c>
      <c r="S448" s="45">
        <v>999</v>
      </c>
      <c r="T448" s="45">
        <v>899</v>
      </c>
      <c r="U448" s="45">
        <v>899</v>
      </c>
      <c r="V448" s="45">
        <v>899</v>
      </c>
      <c r="W448" s="45">
        <v>899</v>
      </c>
      <c r="X448" s="45">
        <v>899</v>
      </c>
      <c r="Y448" s="45">
        <v>799</v>
      </c>
      <c r="Z448" s="45">
        <v>799</v>
      </c>
      <c r="AA448" s="45">
        <v>799</v>
      </c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">
        <v>65</v>
      </c>
      <c r="AX448" s="51" t="s">
        <v>82</v>
      </c>
    </row>
    <row r="449" spans="1:50" ht="22.5" customHeight="1">
      <c r="A449" s="50" t="s">
        <v>61</v>
      </c>
      <c r="B449" s="41" t="s">
        <v>62</v>
      </c>
      <c r="C449" s="42">
        <v>4017365</v>
      </c>
      <c r="D449" s="44" t="s">
        <v>642</v>
      </c>
      <c r="E449" s="44" t="s">
        <v>644</v>
      </c>
      <c r="F449" s="45">
        <v>1699</v>
      </c>
      <c r="G449" s="45">
        <v>1419</v>
      </c>
      <c r="H449" s="45">
        <v>1419</v>
      </c>
      <c r="I449" s="45">
        <v>1419</v>
      </c>
      <c r="J449" s="45">
        <v>1319</v>
      </c>
      <c r="K449" s="45">
        <v>1099</v>
      </c>
      <c r="L449" s="45">
        <v>1099</v>
      </c>
      <c r="M449" s="45">
        <v>1319</v>
      </c>
      <c r="N449" s="45">
        <v>1099</v>
      </c>
      <c r="O449" s="45">
        <v>1049</v>
      </c>
      <c r="P449" s="46">
        <v>999</v>
      </c>
      <c r="Q449" s="46">
        <v>899</v>
      </c>
      <c r="R449" s="45">
        <v>1049</v>
      </c>
      <c r="S449" s="45">
        <v>999</v>
      </c>
      <c r="T449" s="45">
        <v>899</v>
      </c>
      <c r="U449" s="45">
        <v>899</v>
      </c>
      <c r="V449" s="45">
        <v>899</v>
      </c>
      <c r="W449" s="45">
        <v>899</v>
      </c>
      <c r="X449" s="45">
        <v>899</v>
      </c>
      <c r="Y449" s="45">
        <v>799</v>
      </c>
      <c r="Z449" s="45">
        <v>799</v>
      </c>
      <c r="AA449" s="45">
        <v>799</v>
      </c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">
        <v>65</v>
      </c>
      <c r="AX449" s="51" t="s">
        <v>82</v>
      </c>
    </row>
    <row r="450" spans="1:50" ht="22.5" customHeight="1">
      <c r="A450" s="50" t="s">
        <v>61</v>
      </c>
      <c r="B450" s="41" t="s">
        <v>62</v>
      </c>
      <c r="C450" s="42">
        <v>4017378</v>
      </c>
      <c r="D450" s="44" t="s">
        <v>642</v>
      </c>
      <c r="E450" s="44" t="s">
        <v>645</v>
      </c>
      <c r="F450" s="45">
        <v>1699</v>
      </c>
      <c r="G450" s="45">
        <v>1419</v>
      </c>
      <c r="H450" s="45">
        <v>1419</v>
      </c>
      <c r="I450" s="45">
        <v>1419</v>
      </c>
      <c r="J450" s="45">
        <v>1319</v>
      </c>
      <c r="K450" s="45">
        <v>1099</v>
      </c>
      <c r="L450" s="45">
        <v>1099</v>
      </c>
      <c r="M450" s="45">
        <v>1319</v>
      </c>
      <c r="N450" s="45">
        <v>1099</v>
      </c>
      <c r="O450" s="45">
        <v>1049</v>
      </c>
      <c r="P450" s="46">
        <v>999</v>
      </c>
      <c r="Q450" s="46">
        <v>899</v>
      </c>
      <c r="R450" s="45">
        <v>1049</v>
      </c>
      <c r="S450" s="45">
        <v>999</v>
      </c>
      <c r="T450" s="45">
        <v>899</v>
      </c>
      <c r="U450" s="45">
        <v>899</v>
      </c>
      <c r="V450" s="45">
        <v>899</v>
      </c>
      <c r="W450" s="45">
        <v>899</v>
      </c>
      <c r="X450" s="45">
        <v>899</v>
      </c>
      <c r="Y450" s="45">
        <v>799</v>
      </c>
      <c r="Z450" s="45">
        <v>799</v>
      </c>
      <c r="AA450" s="45">
        <v>799</v>
      </c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">
        <v>65</v>
      </c>
      <c r="AX450" s="51" t="s">
        <v>82</v>
      </c>
    </row>
    <row r="451" spans="1:50" ht="22.5" customHeight="1">
      <c r="A451" s="50" t="s">
        <v>61</v>
      </c>
      <c r="B451" s="41" t="s">
        <v>62</v>
      </c>
      <c r="C451" s="42">
        <v>4017384</v>
      </c>
      <c r="D451" s="44" t="s">
        <v>642</v>
      </c>
      <c r="E451" s="44" t="s">
        <v>646</v>
      </c>
      <c r="F451" s="45">
        <v>1699</v>
      </c>
      <c r="G451" s="45">
        <v>1419</v>
      </c>
      <c r="H451" s="45">
        <v>1419</v>
      </c>
      <c r="I451" s="45">
        <v>1419</v>
      </c>
      <c r="J451" s="45">
        <v>1319</v>
      </c>
      <c r="K451" s="45">
        <v>1099</v>
      </c>
      <c r="L451" s="45">
        <v>1099</v>
      </c>
      <c r="M451" s="45">
        <v>1319</v>
      </c>
      <c r="N451" s="45">
        <v>1099</v>
      </c>
      <c r="O451" s="45">
        <v>1049</v>
      </c>
      <c r="P451" s="46">
        <v>999</v>
      </c>
      <c r="Q451" s="46">
        <v>899</v>
      </c>
      <c r="R451" s="45">
        <v>1049</v>
      </c>
      <c r="S451" s="45">
        <v>999</v>
      </c>
      <c r="T451" s="45">
        <v>899</v>
      </c>
      <c r="U451" s="45">
        <v>899</v>
      </c>
      <c r="V451" s="45">
        <v>899</v>
      </c>
      <c r="W451" s="45">
        <v>899</v>
      </c>
      <c r="X451" s="45">
        <v>899</v>
      </c>
      <c r="Y451" s="45">
        <v>799</v>
      </c>
      <c r="Z451" s="45">
        <v>799</v>
      </c>
      <c r="AA451" s="45">
        <v>799</v>
      </c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">
        <v>65</v>
      </c>
      <c r="AX451" s="51" t="s">
        <v>82</v>
      </c>
    </row>
    <row r="452" spans="1:50" ht="22.5" customHeight="1">
      <c r="A452" s="50" t="s">
        <v>61</v>
      </c>
      <c r="B452" s="41" t="s">
        <v>62</v>
      </c>
      <c r="C452" s="42">
        <v>4017371</v>
      </c>
      <c r="D452" s="44" t="s">
        <v>642</v>
      </c>
      <c r="E452" s="44" t="s">
        <v>647</v>
      </c>
      <c r="F452" s="45">
        <v>1699</v>
      </c>
      <c r="G452" s="45">
        <v>1419</v>
      </c>
      <c r="H452" s="45">
        <v>1419</v>
      </c>
      <c r="I452" s="45">
        <v>1419</v>
      </c>
      <c r="J452" s="45">
        <v>1319</v>
      </c>
      <c r="K452" s="45">
        <v>1099</v>
      </c>
      <c r="L452" s="45">
        <v>1099</v>
      </c>
      <c r="M452" s="45">
        <v>1319</v>
      </c>
      <c r="N452" s="45">
        <v>1099</v>
      </c>
      <c r="O452" s="45">
        <v>1049</v>
      </c>
      <c r="P452" s="46">
        <v>999</v>
      </c>
      <c r="Q452" s="46">
        <v>899</v>
      </c>
      <c r="R452" s="45">
        <v>1049</v>
      </c>
      <c r="S452" s="45">
        <v>999</v>
      </c>
      <c r="T452" s="45">
        <v>899</v>
      </c>
      <c r="U452" s="45">
        <v>899</v>
      </c>
      <c r="V452" s="45">
        <v>899</v>
      </c>
      <c r="W452" s="45">
        <v>899</v>
      </c>
      <c r="X452" s="45">
        <v>899</v>
      </c>
      <c r="Y452" s="45">
        <v>799</v>
      </c>
      <c r="Z452" s="45">
        <v>799</v>
      </c>
      <c r="AA452" s="45">
        <v>799</v>
      </c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">
        <v>65</v>
      </c>
      <c r="AX452" s="51" t="s">
        <v>82</v>
      </c>
    </row>
    <row r="453" spans="1:50" ht="22.5" customHeight="1">
      <c r="A453" s="50" t="s">
        <v>61</v>
      </c>
      <c r="B453" s="41" t="s">
        <v>62</v>
      </c>
      <c r="C453" s="42">
        <v>4017350</v>
      </c>
      <c r="D453" s="44" t="s">
        <v>642</v>
      </c>
      <c r="E453" s="44" t="s">
        <v>648</v>
      </c>
      <c r="F453" s="45">
        <v>1699</v>
      </c>
      <c r="G453" s="45">
        <v>1419</v>
      </c>
      <c r="H453" s="45">
        <v>1419</v>
      </c>
      <c r="I453" s="45">
        <v>1419</v>
      </c>
      <c r="J453" s="45">
        <v>1319</v>
      </c>
      <c r="K453" s="45">
        <v>1099</v>
      </c>
      <c r="L453" s="45">
        <v>1099</v>
      </c>
      <c r="M453" s="45">
        <v>1319</v>
      </c>
      <c r="N453" s="45">
        <v>1099</v>
      </c>
      <c r="O453" s="45">
        <v>1049</v>
      </c>
      <c r="P453" s="46">
        <v>999</v>
      </c>
      <c r="Q453" s="46">
        <v>899</v>
      </c>
      <c r="R453" s="45">
        <v>1049</v>
      </c>
      <c r="S453" s="45">
        <v>999</v>
      </c>
      <c r="T453" s="45">
        <v>899</v>
      </c>
      <c r="U453" s="45">
        <v>899</v>
      </c>
      <c r="V453" s="45">
        <v>899</v>
      </c>
      <c r="W453" s="45">
        <v>899</v>
      </c>
      <c r="X453" s="45">
        <v>899</v>
      </c>
      <c r="Y453" s="45">
        <v>799</v>
      </c>
      <c r="Z453" s="45">
        <v>799</v>
      </c>
      <c r="AA453" s="45">
        <v>799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">
        <v>65</v>
      </c>
      <c r="AX453" s="51" t="s">
        <v>82</v>
      </c>
    </row>
    <row r="454" spans="1:50" ht="22.5" customHeight="1">
      <c r="A454" s="50" t="s">
        <v>61</v>
      </c>
      <c r="B454" s="41" t="s">
        <v>62</v>
      </c>
      <c r="C454" s="42">
        <v>4017360</v>
      </c>
      <c r="D454" s="44" t="s">
        <v>642</v>
      </c>
      <c r="E454" s="44" t="s">
        <v>649</v>
      </c>
      <c r="F454" s="45">
        <v>1699</v>
      </c>
      <c r="G454" s="45">
        <v>1419</v>
      </c>
      <c r="H454" s="45">
        <v>1419</v>
      </c>
      <c r="I454" s="45">
        <v>1419</v>
      </c>
      <c r="J454" s="45">
        <v>1319</v>
      </c>
      <c r="K454" s="45">
        <v>1099</v>
      </c>
      <c r="L454" s="45">
        <v>1099</v>
      </c>
      <c r="M454" s="45">
        <v>1319</v>
      </c>
      <c r="N454" s="45">
        <v>1099</v>
      </c>
      <c r="O454" s="45">
        <v>1049</v>
      </c>
      <c r="P454" s="46">
        <v>999</v>
      </c>
      <c r="Q454" s="46">
        <v>899</v>
      </c>
      <c r="R454" s="45">
        <v>1049</v>
      </c>
      <c r="S454" s="45">
        <v>999</v>
      </c>
      <c r="T454" s="45">
        <v>899</v>
      </c>
      <c r="U454" s="45">
        <v>899</v>
      </c>
      <c r="V454" s="45">
        <v>899</v>
      </c>
      <c r="W454" s="45">
        <v>899</v>
      </c>
      <c r="X454" s="45">
        <v>899</v>
      </c>
      <c r="Y454" s="45">
        <v>799</v>
      </c>
      <c r="Z454" s="45">
        <v>799</v>
      </c>
      <c r="AA454" s="45">
        <v>799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">
        <v>65</v>
      </c>
      <c r="AX454" s="51" t="s">
        <v>82</v>
      </c>
    </row>
    <row r="455" spans="1:50" ht="22.5" customHeight="1">
      <c r="A455" s="50" t="s">
        <v>61</v>
      </c>
      <c r="B455" s="41" t="s">
        <v>62</v>
      </c>
      <c r="C455" s="42">
        <v>4017352</v>
      </c>
      <c r="D455" s="44" t="s">
        <v>642</v>
      </c>
      <c r="E455" s="44" t="s">
        <v>650</v>
      </c>
      <c r="F455" s="45">
        <v>1699</v>
      </c>
      <c r="G455" s="45">
        <v>1419</v>
      </c>
      <c r="H455" s="45">
        <v>1419</v>
      </c>
      <c r="I455" s="45">
        <v>1419</v>
      </c>
      <c r="J455" s="45">
        <v>1319</v>
      </c>
      <c r="K455" s="45">
        <v>1099</v>
      </c>
      <c r="L455" s="45">
        <v>1099</v>
      </c>
      <c r="M455" s="45">
        <v>1319</v>
      </c>
      <c r="N455" s="45">
        <v>1099</v>
      </c>
      <c r="O455" s="45">
        <v>1049</v>
      </c>
      <c r="P455" s="46">
        <v>999</v>
      </c>
      <c r="Q455" s="46">
        <v>899</v>
      </c>
      <c r="R455" s="45">
        <v>1049</v>
      </c>
      <c r="S455" s="45">
        <v>999</v>
      </c>
      <c r="T455" s="45">
        <v>899</v>
      </c>
      <c r="U455" s="45">
        <v>899</v>
      </c>
      <c r="V455" s="45">
        <v>899</v>
      </c>
      <c r="W455" s="45">
        <v>899</v>
      </c>
      <c r="X455" s="45">
        <v>899</v>
      </c>
      <c r="Y455" s="45">
        <v>799</v>
      </c>
      <c r="Z455" s="45">
        <v>799</v>
      </c>
      <c r="AA455" s="45">
        <v>799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">
        <v>65</v>
      </c>
      <c r="AX455" s="51" t="s">
        <v>82</v>
      </c>
    </row>
    <row r="456" spans="1:50" ht="22.5" customHeight="1">
      <c r="A456" s="50" t="s">
        <v>61</v>
      </c>
      <c r="B456" s="41" t="s">
        <v>62</v>
      </c>
      <c r="C456" s="42">
        <v>4017359</v>
      </c>
      <c r="D456" s="44" t="s">
        <v>651</v>
      </c>
      <c r="E456" s="44" t="s">
        <v>652</v>
      </c>
      <c r="F456" s="45">
        <v>1849</v>
      </c>
      <c r="G456" s="45">
        <v>1749</v>
      </c>
      <c r="H456" s="45">
        <v>1749</v>
      </c>
      <c r="I456" s="45">
        <v>1749</v>
      </c>
      <c r="J456" s="45">
        <v>1649</v>
      </c>
      <c r="K456" s="45">
        <v>1399</v>
      </c>
      <c r="L456" s="45">
        <v>1399</v>
      </c>
      <c r="M456" s="45">
        <v>1649</v>
      </c>
      <c r="N456" s="45">
        <v>1399</v>
      </c>
      <c r="O456" s="45">
        <v>1349</v>
      </c>
      <c r="P456" s="46">
        <v>1349</v>
      </c>
      <c r="Q456" s="46">
        <v>1299</v>
      </c>
      <c r="R456" s="45">
        <v>1349</v>
      </c>
      <c r="S456" s="45">
        <v>1349</v>
      </c>
      <c r="T456" s="45">
        <v>1299</v>
      </c>
      <c r="U456" s="45">
        <v>1299</v>
      </c>
      <c r="V456" s="45">
        <v>1299</v>
      </c>
      <c r="W456" s="45">
        <v>1299</v>
      </c>
      <c r="X456" s="45">
        <v>1199</v>
      </c>
      <c r="Y456" s="45">
        <v>1099</v>
      </c>
      <c r="Z456" s="45">
        <v>1099</v>
      </c>
      <c r="AA456" s="45">
        <v>1099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">
        <v>65</v>
      </c>
      <c r="AX456" s="51" t="s">
        <v>82</v>
      </c>
    </row>
    <row r="457" spans="1:50" ht="22.5" customHeight="1">
      <c r="A457" s="50" t="s">
        <v>61</v>
      </c>
      <c r="B457" s="41" t="s">
        <v>62</v>
      </c>
      <c r="C457" s="42">
        <v>4017366</v>
      </c>
      <c r="D457" s="44" t="s">
        <v>651</v>
      </c>
      <c r="E457" s="44" t="s">
        <v>653</v>
      </c>
      <c r="F457" s="45">
        <v>1849</v>
      </c>
      <c r="G457" s="45">
        <v>1749</v>
      </c>
      <c r="H457" s="45">
        <v>1749</v>
      </c>
      <c r="I457" s="45">
        <v>1749</v>
      </c>
      <c r="J457" s="45">
        <v>1649</v>
      </c>
      <c r="K457" s="45">
        <v>1399</v>
      </c>
      <c r="L457" s="45">
        <v>1399</v>
      </c>
      <c r="M457" s="45">
        <v>1649</v>
      </c>
      <c r="N457" s="45">
        <v>1399</v>
      </c>
      <c r="O457" s="45">
        <v>1349</v>
      </c>
      <c r="P457" s="46">
        <v>1349</v>
      </c>
      <c r="Q457" s="46">
        <v>1299</v>
      </c>
      <c r="R457" s="45">
        <v>1349</v>
      </c>
      <c r="S457" s="45">
        <v>1349</v>
      </c>
      <c r="T457" s="45">
        <v>1299</v>
      </c>
      <c r="U457" s="45">
        <v>1299</v>
      </c>
      <c r="V457" s="45">
        <v>1299</v>
      </c>
      <c r="W457" s="45">
        <v>1299</v>
      </c>
      <c r="X457" s="45">
        <v>1199</v>
      </c>
      <c r="Y457" s="45">
        <v>1099</v>
      </c>
      <c r="Z457" s="45">
        <v>1099</v>
      </c>
      <c r="AA457" s="45">
        <v>1099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">
        <v>65</v>
      </c>
      <c r="AX457" s="51" t="s">
        <v>82</v>
      </c>
    </row>
    <row r="458" spans="1:50" ht="22.5" customHeight="1">
      <c r="A458" s="50" t="s">
        <v>61</v>
      </c>
      <c r="B458" s="41" t="s">
        <v>62</v>
      </c>
      <c r="C458" s="42">
        <v>4017379</v>
      </c>
      <c r="D458" s="44" t="s">
        <v>651</v>
      </c>
      <c r="E458" s="44" t="s">
        <v>654</v>
      </c>
      <c r="F458" s="45">
        <v>1849</v>
      </c>
      <c r="G458" s="45">
        <v>1749</v>
      </c>
      <c r="H458" s="45">
        <v>1749</v>
      </c>
      <c r="I458" s="45">
        <v>1749</v>
      </c>
      <c r="J458" s="45">
        <v>1649</v>
      </c>
      <c r="K458" s="45">
        <v>1399</v>
      </c>
      <c r="L458" s="45">
        <v>1399</v>
      </c>
      <c r="M458" s="45">
        <v>1649</v>
      </c>
      <c r="N458" s="45">
        <v>1399</v>
      </c>
      <c r="O458" s="45">
        <v>1349</v>
      </c>
      <c r="P458" s="46">
        <v>1349</v>
      </c>
      <c r="Q458" s="46">
        <v>1299</v>
      </c>
      <c r="R458" s="45">
        <v>1349</v>
      </c>
      <c r="S458" s="45">
        <v>1349</v>
      </c>
      <c r="T458" s="45">
        <v>1299</v>
      </c>
      <c r="U458" s="45">
        <v>1299</v>
      </c>
      <c r="V458" s="45">
        <v>1299</v>
      </c>
      <c r="W458" s="45">
        <v>1299</v>
      </c>
      <c r="X458" s="45">
        <v>1199</v>
      </c>
      <c r="Y458" s="45">
        <v>1099</v>
      </c>
      <c r="Z458" s="45">
        <v>1099</v>
      </c>
      <c r="AA458" s="45">
        <v>1099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">
        <v>65</v>
      </c>
      <c r="AX458" s="51" t="s">
        <v>82</v>
      </c>
    </row>
    <row r="459" spans="1:50" ht="22.5" customHeight="1">
      <c r="A459" s="50" t="s">
        <v>61</v>
      </c>
      <c r="B459" s="41" t="s">
        <v>62</v>
      </c>
      <c r="C459" s="42">
        <v>4017385</v>
      </c>
      <c r="D459" s="44" t="s">
        <v>651</v>
      </c>
      <c r="E459" s="44" t="s">
        <v>655</v>
      </c>
      <c r="F459" s="45">
        <v>1849</v>
      </c>
      <c r="G459" s="45">
        <v>1749</v>
      </c>
      <c r="H459" s="45">
        <v>1749</v>
      </c>
      <c r="I459" s="45">
        <v>1749</v>
      </c>
      <c r="J459" s="45">
        <v>1649</v>
      </c>
      <c r="K459" s="45">
        <v>1399</v>
      </c>
      <c r="L459" s="45">
        <v>1399</v>
      </c>
      <c r="M459" s="45">
        <v>1649</v>
      </c>
      <c r="N459" s="45">
        <v>1399</v>
      </c>
      <c r="O459" s="45">
        <v>1349</v>
      </c>
      <c r="P459" s="46">
        <v>1349</v>
      </c>
      <c r="Q459" s="46">
        <v>1299</v>
      </c>
      <c r="R459" s="45">
        <v>1349</v>
      </c>
      <c r="S459" s="45">
        <v>1349</v>
      </c>
      <c r="T459" s="45">
        <v>1299</v>
      </c>
      <c r="U459" s="45">
        <v>1299</v>
      </c>
      <c r="V459" s="45">
        <v>1299</v>
      </c>
      <c r="W459" s="45">
        <v>1299</v>
      </c>
      <c r="X459" s="45">
        <v>1199</v>
      </c>
      <c r="Y459" s="45">
        <v>1099</v>
      </c>
      <c r="Z459" s="45">
        <v>1099</v>
      </c>
      <c r="AA459" s="45">
        <v>1099</v>
      </c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">
        <v>65</v>
      </c>
      <c r="AX459" s="51" t="s">
        <v>82</v>
      </c>
    </row>
    <row r="460" spans="1:50" ht="22.5" customHeight="1">
      <c r="A460" s="50" t="s">
        <v>61</v>
      </c>
      <c r="B460" s="41" t="s">
        <v>62</v>
      </c>
      <c r="C460" s="42">
        <v>4017372</v>
      </c>
      <c r="D460" s="44" t="s">
        <v>651</v>
      </c>
      <c r="E460" s="44" t="s">
        <v>656</v>
      </c>
      <c r="F460" s="45">
        <v>1849</v>
      </c>
      <c r="G460" s="45">
        <v>1749</v>
      </c>
      <c r="H460" s="45">
        <v>1749</v>
      </c>
      <c r="I460" s="45">
        <v>1749</v>
      </c>
      <c r="J460" s="45">
        <v>1649</v>
      </c>
      <c r="K460" s="45">
        <v>1399</v>
      </c>
      <c r="L460" s="45">
        <v>1399</v>
      </c>
      <c r="M460" s="45">
        <v>1649</v>
      </c>
      <c r="N460" s="45">
        <v>1399</v>
      </c>
      <c r="O460" s="45">
        <v>1349</v>
      </c>
      <c r="P460" s="46">
        <v>1349</v>
      </c>
      <c r="Q460" s="46">
        <v>1299</v>
      </c>
      <c r="R460" s="45">
        <v>1349</v>
      </c>
      <c r="S460" s="45">
        <v>1349</v>
      </c>
      <c r="T460" s="45">
        <v>1299</v>
      </c>
      <c r="U460" s="45">
        <v>1299</v>
      </c>
      <c r="V460" s="45">
        <v>1299</v>
      </c>
      <c r="W460" s="45">
        <v>1299</v>
      </c>
      <c r="X460" s="45">
        <v>1199</v>
      </c>
      <c r="Y460" s="45">
        <v>1099</v>
      </c>
      <c r="Z460" s="45">
        <v>1099</v>
      </c>
      <c r="AA460" s="45">
        <v>1099</v>
      </c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">
        <v>65</v>
      </c>
      <c r="AX460" s="51" t="s">
        <v>82</v>
      </c>
    </row>
    <row r="461" spans="1:50" ht="22.5" customHeight="1">
      <c r="A461" s="50" t="s">
        <v>61</v>
      </c>
      <c r="B461" s="41" t="s">
        <v>62</v>
      </c>
      <c r="C461" s="42">
        <v>4013420</v>
      </c>
      <c r="D461" s="44" t="s">
        <v>657</v>
      </c>
      <c r="E461" s="44" t="s">
        <v>658</v>
      </c>
      <c r="F461" s="45">
        <v>499</v>
      </c>
      <c r="G461" s="45">
        <v>499</v>
      </c>
      <c r="H461" s="45">
        <v>499</v>
      </c>
      <c r="I461" s="45">
        <v>499</v>
      </c>
      <c r="J461" s="45">
        <f t="shared" ref="J461:J524" si="21">M461</f>
        <v>399</v>
      </c>
      <c r="K461" s="45">
        <f t="shared" ref="K461:L502" si="22">M461</f>
        <v>399</v>
      </c>
      <c r="L461" s="45">
        <f t="shared" si="22"/>
        <v>399</v>
      </c>
      <c r="M461" s="45">
        <v>399</v>
      </c>
      <c r="N461" s="45">
        <v>399</v>
      </c>
      <c r="O461" s="45">
        <f t="shared" si="20"/>
        <v>299</v>
      </c>
      <c r="P461" s="46">
        <f t="shared" si="20"/>
        <v>249</v>
      </c>
      <c r="Q461" s="46">
        <f t="shared" si="20"/>
        <v>249</v>
      </c>
      <c r="R461" s="45">
        <v>299</v>
      </c>
      <c r="S461" s="45">
        <v>249</v>
      </c>
      <c r="T461" s="45">
        <v>249</v>
      </c>
      <c r="U461" s="45">
        <v>249</v>
      </c>
      <c r="V461" s="45">
        <v>249</v>
      </c>
      <c r="W461" s="45">
        <v>249</v>
      </c>
      <c r="X461" s="45">
        <v>249</v>
      </c>
      <c r="Y461" s="45">
        <v>249</v>
      </c>
      <c r="Z461" s="45">
        <v>249</v>
      </c>
      <c r="AA461" s="45">
        <v>249</v>
      </c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">
        <v>65</v>
      </c>
      <c r="AX461" s="51" t="s">
        <v>66</v>
      </c>
    </row>
    <row r="462" spans="1:50" ht="22.5" customHeight="1">
      <c r="A462" s="50" t="s">
        <v>61</v>
      </c>
      <c r="B462" s="41" t="s">
        <v>62</v>
      </c>
      <c r="C462" s="42">
        <v>4013421</v>
      </c>
      <c r="D462" s="44" t="s">
        <v>657</v>
      </c>
      <c r="E462" s="44" t="s">
        <v>659</v>
      </c>
      <c r="F462" s="45">
        <v>499</v>
      </c>
      <c r="G462" s="45">
        <v>499</v>
      </c>
      <c r="H462" s="45">
        <v>499</v>
      </c>
      <c r="I462" s="45">
        <v>499</v>
      </c>
      <c r="J462" s="45">
        <f t="shared" si="21"/>
        <v>399</v>
      </c>
      <c r="K462" s="45">
        <f t="shared" si="22"/>
        <v>399</v>
      </c>
      <c r="L462" s="45">
        <f t="shared" si="22"/>
        <v>399</v>
      </c>
      <c r="M462" s="45">
        <v>399</v>
      </c>
      <c r="N462" s="45">
        <v>399</v>
      </c>
      <c r="O462" s="45">
        <f t="shared" si="20"/>
        <v>299</v>
      </c>
      <c r="P462" s="46">
        <f t="shared" si="20"/>
        <v>249</v>
      </c>
      <c r="Q462" s="46">
        <f t="shared" si="20"/>
        <v>249</v>
      </c>
      <c r="R462" s="45">
        <v>299</v>
      </c>
      <c r="S462" s="45">
        <v>249</v>
      </c>
      <c r="T462" s="45">
        <v>249</v>
      </c>
      <c r="U462" s="45">
        <v>249</v>
      </c>
      <c r="V462" s="45">
        <v>249</v>
      </c>
      <c r="W462" s="45">
        <v>249</v>
      </c>
      <c r="X462" s="45">
        <v>249</v>
      </c>
      <c r="Y462" s="45">
        <v>249</v>
      </c>
      <c r="Z462" s="45">
        <v>249</v>
      </c>
      <c r="AA462" s="45">
        <v>249</v>
      </c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7"/>
      <c r="AW462" s="48" t="s">
        <v>65</v>
      </c>
      <c r="AX462" s="51" t="s">
        <v>66</v>
      </c>
    </row>
    <row r="463" spans="1:50" ht="22.5" customHeight="1">
      <c r="A463" s="50" t="s">
        <v>61</v>
      </c>
      <c r="B463" s="41" t="s">
        <v>62</v>
      </c>
      <c r="C463" s="42">
        <v>4013596</v>
      </c>
      <c r="D463" s="44" t="s">
        <v>660</v>
      </c>
      <c r="E463" s="44" t="s">
        <v>661</v>
      </c>
      <c r="F463" s="45">
        <v>59</v>
      </c>
      <c r="G463" s="45">
        <v>49</v>
      </c>
      <c r="H463" s="45">
        <v>49</v>
      </c>
      <c r="I463" s="45">
        <v>49</v>
      </c>
      <c r="J463" s="45">
        <f t="shared" si="21"/>
        <v>49</v>
      </c>
      <c r="K463" s="45">
        <f t="shared" si="22"/>
        <v>49</v>
      </c>
      <c r="L463" s="45">
        <f t="shared" si="22"/>
        <v>49</v>
      </c>
      <c r="M463" s="45">
        <v>49</v>
      </c>
      <c r="N463" s="45">
        <v>49</v>
      </c>
      <c r="O463" s="45">
        <f t="shared" si="20"/>
        <v>49</v>
      </c>
      <c r="P463" s="46">
        <f t="shared" si="20"/>
        <v>49</v>
      </c>
      <c r="Q463" s="46">
        <f t="shared" si="20"/>
        <v>49</v>
      </c>
      <c r="R463" s="45">
        <v>49</v>
      </c>
      <c r="S463" s="45">
        <v>49</v>
      </c>
      <c r="T463" s="45">
        <v>49</v>
      </c>
      <c r="U463" s="45">
        <v>49</v>
      </c>
      <c r="V463" s="45">
        <v>49</v>
      </c>
      <c r="W463" s="45">
        <v>49</v>
      </c>
      <c r="X463" s="45">
        <v>49</v>
      </c>
      <c r="Y463" s="45">
        <v>49</v>
      </c>
      <c r="Z463" s="45">
        <v>49</v>
      </c>
      <c r="AA463" s="45">
        <v>49</v>
      </c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7"/>
      <c r="AW463" s="48" t="s">
        <v>65</v>
      </c>
      <c r="AX463" s="51" t="s">
        <v>66</v>
      </c>
    </row>
    <row r="464" spans="1:50" ht="22.5" customHeight="1">
      <c r="A464" s="50" t="s">
        <v>61</v>
      </c>
      <c r="B464" s="41" t="s">
        <v>62</v>
      </c>
      <c r="C464" s="42">
        <v>4013597</v>
      </c>
      <c r="D464" s="44" t="s">
        <v>660</v>
      </c>
      <c r="E464" s="44" t="s">
        <v>662</v>
      </c>
      <c r="F464" s="45">
        <v>59</v>
      </c>
      <c r="G464" s="45">
        <v>49</v>
      </c>
      <c r="H464" s="45">
        <v>49</v>
      </c>
      <c r="I464" s="45">
        <v>49</v>
      </c>
      <c r="J464" s="45">
        <f t="shared" si="21"/>
        <v>49</v>
      </c>
      <c r="K464" s="45">
        <f t="shared" si="22"/>
        <v>49</v>
      </c>
      <c r="L464" s="45">
        <f t="shared" si="22"/>
        <v>49</v>
      </c>
      <c r="M464" s="45">
        <v>49</v>
      </c>
      <c r="N464" s="45">
        <v>49</v>
      </c>
      <c r="O464" s="45">
        <f t="shared" si="20"/>
        <v>49</v>
      </c>
      <c r="P464" s="46">
        <f t="shared" si="20"/>
        <v>49</v>
      </c>
      <c r="Q464" s="46">
        <f t="shared" si="20"/>
        <v>49</v>
      </c>
      <c r="R464" s="45">
        <v>49</v>
      </c>
      <c r="S464" s="45">
        <v>49</v>
      </c>
      <c r="T464" s="45">
        <v>49</v>
      </c>
      <c r="U464" s="45">
        <v>49</v>
      </c>
      <c r="V464" s="45">
        <v>49</v>
      </c>
      <c r="W464" s="45">
        <v>49</v>
      </c>
      <c r="X464" s="45">
        <v>49</v>
      </c>
      <c r="Y464" s="45">
        <v>49</v>
      </c>
      <c r="Z464" s="45">
        <v>49</v>
      </c>
      <c r="AA464" s="45">
        <v>49</v>
      </c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7"/>
      <c r="AW464" s="48" t="s">
        <v>65</v>
      </c>
      <c r="AX464" s="51" t="s">
        <v>66</v>
      </c>
    </row>
    <row r="465" spans="1:50" ht="22.5" customHeight="1">
      <c r="A465" s="50" t="s">
        <v>61</v>
      </c>
      <c r="B465" s="41" t="s">
        <v>62</v>
      </c>
      <c r="C465" s="42">
        <v>4013598</v>
      </c>
      <c r="D465" s="44" t="s">
        <v>660</v>
      </c>
      <c r="E465" s="44" t="s">
        <v>663</v>
      </c>
      <c r="F465" s="45">
        <v>59</v>
      </c>
      <c r="G465" s="45">
        <v>49</v>
      </c>
      <c r="H465" s="45">
        <v>49</v>
      </c>
      <c r="I465" s="45">
        <v>49</v>
      </c>
      <c r="J465" s="45">
        <f t="shared" si="21"/>
        <v>49</v>
      </c>
      <c r="K465" s="45">
        <f t="shared" si="22"/>
        <v>49</v>
      </c>
      <c r="L465" s="45">
        <f t="shared" si="22"/>
        <v>49</v>
      </c>
      <c r="M465" s="45">
        <v>49</v>
      </c>
      <c r="N465" s="45">
        <v>49</v>
      </c>
      <c r="O465" s="45">
        <f t="shared" si="20"/>
        <v>49</v>
      </c>
      <c r="P465" s="46">
        <f t="shared" si="20"/>
        <v>49</v>
      </c>
      <c r="Q465" s="46">
        <f t="shared" si="20"/>
        <v>49</v>
      </c>
      <c r="R465" s="45">
        <v>49</v>
      </c>
      <c r="S465" s="45">
        <v>49</v>
      </c>
      <c r="T465" s="45">
        <v>49</v>
      </c>
      <c r="U465" s="45">
        <v>49</v>
      </c>
      <c r="V465" s="45">
        <v>49</v>
      </c>
      <c r="W465" s="45">
        <v>49</v>
      </c>
      <c r="X465" s="45">
        <v>49</v>
      </c>
      <c r="Y465" s="45">
        <v>49</v>
      </c>
      <c r="Z465" s="45">
        <v>49</v>
      </c>
      <c r="AA465" s="45">
        <v>49</v>
      </c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7"/>
      <c r="AW465" s="48" t="s">
        <v>65</v>
      </c>
      <c r="AX465" s="51" t="s">
        <v>66</v>
      </c>
    </row>
    <row r="466" spans="1:50" ht="22.5" customHeight="1">
      <c r="A466" s="50" t="s">
        <v>61</v>
      </c>
      <c r="B466" s="41" t="s">
        <v>62</v>
      </c>
      <c r="C466" s="42">
        <v>4013599</v>
      </c>
      <c r="D466" s="44" t="s">
        <v>660</v>
      </c>
      <c r="E466" s="44" t="s">
        <v>664</v>
      </c>
      <c r="F466" s="45">
        <v>59</v>
      </c>
      <c r="G466" s="45">
        <v>49</v>
      </c>
      <c r="H466" s="45">
        <v>49</v>
      </c>
      <c r="I466" s="45">
        <v>49</v>
      </c>
      <c r="J466" s="45">
        <f t="shared" si="21"/>
        <v>49</v>
      </c>
      <c r="K466" s="45">
        <f t="shared" si="22"/>
        <v>49</v>
      </c>
      <c r="L466" s="45">
        <f t="shared" si="22"/>
        <v>49</v>
      </c>
      <c r="M466" s="45">
        <v>49</v>
      </c>
      <c r="N466" s="45">
        <v>49</v>
      </c>
      <c r="O466" s="45">
        <f t="shared" si="20"/>
        <v>49</v>
      </c>
      <c r="P466" s="46">
        <f t="shared" si="20"/>
        <v>49</v>
      </c>
      <c r="Q466" s="46">
        <f t="shared" si="20"/>
        <v>49</v>
      </c>
      <c r="R466" s="45">
        <v>49</v>
      </c>
      <c r="S466" s="45">
        <v>49</v>
      </c>
      <c r="T466" s="45">
        <v>49</v>
      </c>
      <c r="U466" s="45">
        <v>49</v>
      </c>
      <c r="V466" s="45">
        <v>49</v>
      </c>
      <c r="W466" s="45">
        <v>49</v>
      </c>
      <c r="X466" s="45">
        <v>49</v>
      </c>
      <c r="Y466" s="45">
        <v>49</v>
      </c>
      <c r="Z466" s="45">
        <v>49</v>
      </c>
      <c r="AA466" s="45">
        <v>49</v>
      </c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7"/>
      <c r="AW466" s="48" t="s">
        <v>65</v>
      </c>
      <c r="AX466" s="51" t="s">
        <v>66</v>
      </c>
    </row>
    <row r="467" spans="1:50" ht="22.5" customHeight="1">
      <c r="A467" s="50" t="s">
        <v>61</v>
      </c>
      <c r="B467" s="41" t="s">
        <v>62</v>
      </c>
      <c r="C467" s="42">
        <v>4014362</v>
      </c>
      <c r="D467" s="44" t="s">
        <v>665</v>
      </c>
      <c r="E467" s="44" t="s">
        <v>666</v>
      </c>
      <c r="F467" s="45">
        <v>79</v>
      </c>
      <c r="G467" s="45">
        <v>69</v>
      </c>
      <c r="H467" s="45">
        <v>69</v>
      </c>
      <c r="I467" s="45">
        <v>69</v>
      </c>
      <c r="J467" s="45">
        <f t="shared" si="21"/>
        <v>69</v>
      </c>
      <c r="K467" s="45">
        <f t="shared" si="22"/>
        <v>69</v>
      </c>
      <c r="L467" s="45">
        <f t="shared" si="22"/>
        <v>69</v>
      </c>
      <c r="M467" s="45">
        <v>69</v>
      </c>
      <c r="N467" s="45">
        <v>69</v>
      </c>
      <c r="O467" s="45">
        <f t="shared" si="20"/>
        <v>69</v>
      </c>
      <c r="P467" s="46">
        <f t="shared" si="20"/>
        <v>69</v>
      </c>
      <c r="Q467" s="46">
        <f t="shared" si="20"/>
        <v>69</v>
      </c>
      <c r="R467" s="45">
        <v>69</v>
      </c>
      <c r="S467" s="45">
        <v>69</v>
      </c>
      <c r="T467" s="45">
        <v>69</v>
      </c>
      <c r="U467" s="45">
        <v>69</v>
      </c>
      <c r="V467" s="45">
        <v>69</v>
      </c>
      <c r="W467" s="45">
        <v>69</v>
      </c>
      <c r="X467" s="45">
        <v>69</v>
      </c>
      <c r="Y467" s="45">
        <v>69</v>
      </c>
      <c r="Z467" s="45">
        <v>69</v>
      </c>
      <c r="AA467" s="45">
        <v>69</v>
      </c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7"/>
      <c r="AW467" s="48" t="s">
        <v>65</v>
      </c>
      <c r="AX467" s="51" t="s">
        <v>66</v>
      </c>
    </row>
    <row r="468" spans="1:50" ht="22.5" customHeight="1">
      <c r="A468" s="50" t="s">
        <v>61</v>
      </c>
      <c r="B468" s="41" t="s">
        <v>62</v>
      </c>
      <c r="C468" s="42">
        <v>4014363</v>
      </c>
      <c r="D468" s="44" t="s">
        <v>665</v>
      </c>
      <c r="E468" s="44" t="s">
        <v>667</v>
      </c>
      <c r="F468" s="45">
        <v>79</v>
      </c>
      <c r="G468" s="45">
        <v>69</v>
      </c>
      <c r="H468" s="45">
        <v>69</v>
      </c>
      <c r="I468" s="45">
        <v>69</v>
      </c>
      <c r="J468" s="45">
        <f t="shared" si="21"/>
        <v>69</v>
      </c>
      <c r="K468" s="45">
        <f t="shared" si="22"/>
        <v>69</v>
      </c>
      <c r="L468" s="45">
        <f t="shared" si="22"/>
        <v>69</v>
      </c>
      <c r="M468" s="45">
        <v>69</v>
      </c>
      <c r="N468" s="45">
        <v>69</v>
      </c>
      <c r="O468" s="45">
        <f t="shared" si="20"/>
        <v>69</v>
      </c>
      <c r="P468" s="46">
        <f t="shared" si="20"/>
        <v>69</v>
      </c>
      <c r="Q468" s="46">
        <f t="shared" si="20"/>
        <v>69</v>
      </c>
      <c r="R468" s="45">
        <v>69</v>
      </c>
      <c r="S468" s="45">
        <v>69</v>
      </c>
      <c r="T468" s="45">
        <v>69</v>
      </c>
      <c r="U468" s="45">
        <v>69</v>
      </c>
      <c r="V468" s="45">
        <v>69</v>
      </c>
      <c r="W468" s="45">
        <v>69</v>
      </c>
      <c r="X468" s="45">
        <v>69</v>
      </c>
      <c r="Y468" s="45">
        <v>69</v>
      </c>
      <c r="Z468" s="45">
        <v>69</v>
      </c>
      <c r="AA468" s="45">
        <v>69</v>
      </c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7"/>
      <c r="AW468" s="48" t="s">
        <v>65</v>
      </c>
      <c r="AX468" s="51" t="s">
        <v>66</v>
      </c>
    </row>
    <row r="469" spans="1:50" ht="22.5" customHeight="1">
      <c r="A469" s="50" t="s">
        <v>61</v>
      </c>
      <c r="B469" s="41" t="s">
        <v>62</v>
      </c>
      <c r="C469" s="42">
        <v>4014364</v>
      </c>
      <c r="D469" s="44" t="s">
        <v>665</v>
      </c>
      <c r="E469" s="44" t="s">
        <v>668</v>
      </c>
      <c r="F469" s="45">
        <v>79</v>
      </c>
      <c r="G469" s="45">
        <v>69</v>
      </c>
      <c r="H469" s="45">
        <v>69</v>
      </c>
      <c r="I469" s="45">
        <v>69</v>
      </c>
      <c r="J469" s="45">
        <f t="shared" si="21"/>
        <v>69</v>
      </c>
      <c r="K469" s="45">
        <f t="shared" si="22"/>
        <v>69</v>
      </c>
      <c r="L469" s="45">
        <f t="shared" si="22"/>
        <v>69</v>
      </c>
      <c r="M469" s="45">
        <v>69</v>
      </c>
      <c r="N469" s="45">
        <v>69</v>
      </c>
      <c r="O469" s="45">
        <f t="shared" si="20"/>
        <v>69</v>
      </c>
      <c r="P469" s="46">
        <f t="shared" si="20"/>
        <v>69</v>
      </c>
      <c r="Q469" s="46">
        <f t="shared" si="20"/>
        <v>69</v>
      </c>
      <c r="R469" s="45">
        <v>69</v>
      </c>
      <c r="S469" s="45">
        <v>69</v>
      </c>
      <c r="T469" s="45">
        <v>69</v>
      </c>
      <c r="U469" s="45">
        <v>69</v>
      </c>
      <c r="V469" s="45">
        <v>69</v>
      </c>
      <c r="W469" s="45">
        <v>69</v>
      </c>
      <c r="X469" s="45">
        <v>69</v>
      </c>
      <c r="Y469" s="45">
        <v>69</v>
      </c>
      <c r="Z469" s="45">
        <v>69</v>
      </c>
      <c r="AA469" s="45">
        <v>69</v>
      </c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7"/>
      <c r="AW469" s="48" t="s">
        <v>65</v>
      </c>
      <c r="AX469" s="51" t="s">
        <v>66</v>
      </c>
    </row>
    <row r="470" spans="1:50" ht="22.5" customHeight="1">
      <c r="A470" s="50" t="s">
        <v>61</v>
      </c>
      <c r="B470" s="41" t="s">
        <v>62</v>
      </c>
      <c r="C470" s="42">
        <v>4014365</v>
      </c>
      <c r="D470" s="44" t="s">
        <v>665</v>
      </c>
      <c r="E470" s="44" t="s">
        <v>669</v>
      </c>
      <c r="F470" s="45">
        <v>79</v>
      </c>
      <c r="G470" s="45">
        <v>69</v>
      </c>
      <c r="H470" s="45">
        <v>69</v>
      </c>
      <c r="I470" s="45">
        <v>69</v>
      </c>
      <c r="J470" s="45">
        <f t="shared" si="21"/>
        <v>69</v>
      </c>
      <c r="K470" s="45">
        <f t="shared" si="22"/>
        <v>69</v>
      </c>
      <c r="L470" s="45">
        <f t="shared" si="22"/>
        <v>69</v>
      </c>
      <c r="M470" s="45">
        <v>69</v>
      </c>
      <c r="N470" s="45">
        <v>69</v>
      </c>
      <c r="O470" s="45">
        <f t="shared" si="20"/>
        <v>69</v>
      </c>
      <c r="P470" s="46">
        <f t="shared" si="20"/>
        <v>69</v>
      </c>
      <c r="Q470" s="46">
        <f t="shared" si="20"/>
        <v>69</v>
      </c>
      <c r="R470" s="45">
        <v>69</v>
      </c>
      <c r="S470" s="45">
        <v>69</v>
      </c>
      <c r="T470" s="45">
        <v>69</v>
      </c>
      <c r="U470" s="45">
        <v>69</v>
      </c>
      <c r="V470" s="45">
        <v>69</v>
      </c>
      <c r="W470" s="45">
        <v>69</v>
      </c>
      <c r="X470" s="45">
        <v>69</v>
      </c>
      <c r="Y470" s="45">
        <v>69</v>
      </c>
      <c r="Z470" s="45">
        <v>69</v>
      </c>
      <c r="AA470" s="45">
        <v>69</v>
      </c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7"/>
      <c r="AW470" s="48" t="s">
        <v>65</v>
      </c>
      <c r="AX470" s="51" t="s">
        <v>66</v>
      </c>
    </row>
    <row r="471" spans="1:50" ht="22.5" customHeight="1">
      <c r="A471" s="50" t="s">
        <v>61</v>
      </c>
      <c r="B471" s="41" t="s">
        <v>62</v>
      </c>
      <c r="C471" s="42">
        <v>4014368</v>
      </c>
      <c r="D471" s="44" t="s">
        <v>665</v>
      </c>
      <c r="E471" s="44" t="s">
        <v>670</v>
      </c>
      <c r="F471" s="45">
        <v>79</v>
      </c>
      <c r="G471" s="45">
        <v>69</v>
      </c>
      <c r="H471" s="45">
        <v>69</v>
      </c>
      <c r="I471" s="45">
        <v>69</v>
      </c>
      <c r="J471" s="45">
        <f t="shared" si="21"/>
        <v>69</v>
      </c>
      <c r="K471" s="45">
        <f t="shared" si="22"/>
        <v>69</v>
      </c>
      <c r="L471" s="45">
        <f t="shared" si="22"/>
        <v>69</v>
      </c>
      <c r="M471" s="45">
        <v>69</v>
      </c>
      <c r="N471" s="45">
        <v>69</v>
      </c>
      <c r="O471" s="45">
        <f t="shared" si="20"/>
        <v>69</v>
      </c>
      <c r="P471" s="46">
        <f t="shared" si="20"/>
        <v>69</v>
      </c>
      <c r="Q471" s="46">
        <f t="shared" si="20"/>
        <v>69</v>
      </c>
      <c r="R471" s="45">
        <v>69</v>
      </c>
      <c r="S471" s="45">
        <v>69</v>
      </c>
      <c r="T471" s="45">
        <v>69</v>
      </c>
      <c r="U471" s="45">
        <v>69</v>
      </c>
      <c r="V471" s="45">
        <v>69</v>
      </c>
      <c r="W471" s="45">
        <v>69</v>
      </c>
      <c r="X471" s="45">
        <v>69</v>
      </c>
      <c r="Y471" s="45">
        <v>69</v>
      </c>
      <c r="Z471" s="45">
        <v>69</v>
      </c>
      <c r="AA471" s="45">
        <v>69</v>
      </c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7"/>
      <c r="AW471" s="48" t="s">
        <v>65</v>
      </c>
      <c r="AX471" s="51" t="s">
        <v>66</v>
      </c>
    </row>
    <row r="472" spans="1:50" ht="22.5" customHeight="1">
      <c r="A472" s="50" t="s">
        <v>61</v>
      </c>
      <c r="B472" s="41" t="s">
        <v>62</v>
      </c>
      <c r="C472" s="42">
        <v>4014841</v>
      </c>
      <c r="D472" s="44" t="s">
        <v>671</v>
      </c>
      <c r="E472" s="44" t="s">
        <v>672</v>
      </c>
      <c r="F472" s="45">
        <v>799</v>
      </c>
      <c r="G472" s="45">
        <v>599</v>
      </c>
      <c r="H472" s="45">
        <v>599</v>
      </c>
      <c r="I472" s="45">
        <v>599</v>
      </c>
      <c r="J472" s="45">
        <f t="shared" si="21"/>
        <v>499</v>
      </c>
      <c r="K472" s="45">
        <f t="shared" si="22"/>
        <v>499</v>
      </c>
      <c r="L472" s="45">
        <f t="shared" si="22"/>
        <v>499</v>
      </c>
      <c r="M472" s="45">
        <v>499</v>
      </c>
      <c r="N472" s="45">
        <v>499</v>
      </c>
      <c r="O472" s="45">
        <f t="shared" si="20"/>
        <v>449</v>
      </c>
      <c r="P472" s="46">
        <f t="shared" si="20"/>
        <v>449</v>
      </c>
      <c r="Q472" s="46">
        <f t="shared" si="20"/>
        <v>449</v>
      </c>
      <c r="R472" s="45">
        <v>449</v>
      </c>
      <c r="S472" s="45">
        <v>449</v>
      </c>
      <c r="T472" s="45">
        <v>449</v>
      </c>
      <c r="U472" s="45">
        <v>449</v>
      </c>
      <c r="V472" s="45">
        <v>449</v>
      </c>
      <c r="W472" s="45">
        <v>449</v>
      </c>
      <c r="X472" s="45">
        <v>449</v>
      </c>
      <c r="Y472" s="45">
        <v>449</v>
      </c>
      <c r="Z472" s="45">
        <v>449</v>
      </c>
      <c r="AA472" s="45">
        <v>449</v>
      </c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7"/>
      <c r="AW472" s="48" t="s">
        <v>65</v>
      </c>
      <c r="AX472" s="51" t="s">
        <v>82</v>
      </c>
    </row>
    <row r="473" spans="1:50" ht="22.5" customHeight="1">
      <c r="A473" s="50" t="s">
        <v>61</v>
      </c>
      <c r="B473" s="41" t="s">
        <v>62</v>
      </c>
      <c r="C473" s="42">
        <v>4014679</v>
      </c>
      <c r="D473" s="44" t="s">
        <v>671</v>
      </c>
      <c r="E473" s="44" t="s">
        <v>673</v>
      </c>
      <c r="F473" s="45">
        <v>799</v>
      </c>
      <c r="G473" s="45">
        <v>599</v>
      </c>
      <c r="H473" s="45">
        <v>599</v>
      </c>
      <c r="I473" s="45">
        <v>599</v>
      </c>
      <c r="J473" s="45">
        <f t="shared" si="21"/>
        <v>499</v>
      </c>
      <c r="K473" s="45">
        <f t="shared" si="22"/>
        <v>499</v>
      </c>
      <c r="L473" s="45">
        <f t="shared" si="22"/>
        <v>499</v>
      </c>
      <c r="M473" s="45">
        <v>499</v>
      </c>
      <c r="N473" s="45">
        <v>499</v>
      </c>
      <c r="O473" s="45">
        <f t="shared" si="20"/>
        <v>449</v>
      </c>
      <c r="P473" s="46">
        <f t="shared" si="20"/>
        <v>449</v>
      </c>
      <c r="Q473" s="46">
        <f t="shared" si="20"/>
        <v>449</v>
      </c>
      <c r="R473" s="45">
        <v>449</v>
      </c>
      <c r="S473" s="45">
        <v>449</v>
      </c>
      <c r="T473" s="45">
        <v>449</v>
      </c>
      <c r="U473" s="45">
        <v>449</v>
      </c>
      <c r="V473" s="45">
        <v>449</v>
      </c>
      <c r="W473" s="45">
        <v>449</v>
      </c>
      <c r="X473" s="45">
        <v>449</v>
      </c>
      <c r="Y473" s="45">
        <v>449</v>
      </c>
      <c r="Z473" s="45">
        <v>449</v>
      </c>
      <c r="AA473" s="45">
        <v>449</v>
      </c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7"/>
      <c r="AW473" s="48" t="s">
        <v>65</v>
      </c>
      <c r="AX473" s="51" t="s">
        <v>82</v>
      </c>
    </row>
    <row r="474" spans="1:50" ht="22.5" customHeight="1">
      <c r="A474" s="50" t="s">
        <v>61</v>
      </c>
      <c r="B474" s="41" t="s">
        <v>62</v>
      </c>
      <c r="C474" s="42">
        <v>4014855</v>
      </c>
      <c r="D474" s="44" t="s">
        <v>674</v>
      </c>
      <c r="E474" s="44" t="s">
        <v>675</v>
      </c>
      <c r="F474" s="45">
        <v>1899</v>
      </c>
      <c r="G474" s="45">
        <v>599</v>
      </c>
      <c r="H474" s="45">
        <v>599</v>
      </c>
      <c r="I474" s="45">
        <v>599</v>
      </c>
      <c r="J474" s="45">
        <f t="shared" si="21"/>
        <v>499</v>
      </c>
      <c r="K474" s="45">
        <f t="shared" si="22"/>
        <v>499</v>
      </c>
      <c r="L474" s="45">
        <f t="shared" si="22"/>
        <v>499</v>
      </c>
      <c r="M474" s="45">
        <v>499</v>
      </c>
      <c r="N474" s="45">
        <v>499</v>
      </c>
      <c r="O474" s="45">
        <f t="shared" si="20"/>
        <v>449</v>
      </c>
      <c r="P474" s="46">
        <f t="shared" si="20"/>
        <v>399</v>
      </c>
      <c r="Q474" s="46">
        <f t="shared" si="20"/>
        <v>349</v>
      </c>
      <c r="R474" s="45">
        <v>449</v>
      </c>
      <c r="S474" s="45">
        <v>399</v>
      </c>
      <c r="T474" s="45">
        <v>349</v>
      </c>
      <c r="U474" s="45">
        <v>349</v>
      </c>
      <c r="V474" s="45">
        <v>349</v>
      </c>
      <c r="W474" s="45">
        <v>349</v>
      </c>
      <c r="X474" s="45">
        <v>349</v>
      </c>
      <c r="Y474" s="45">
        <v>349</v>
      </c>
      <c r="Z474" s="45">
        <v>349</v>
      </c>
      <c r="AA474" s="45">
        <v>349</v>
      </c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7"/>
      <c r="AW474" s="48" t="s">
        <v>65</v>
      </c>
      <c r="AX474" s="51" t="s">
        <v>66</v>
      </c>
    </row>
    <row r="475" spans="1:50" ht="22.5" customHeight="1">
      <c r="A475" s="50" t="s">
        <v>61</v>
      </c>
      <c r="B475" s="41" t="s">
        <v>62</v>
      </c>
      <c r="C475" s="42">
        <v>4014856</v>
      </c>
      <c r="D475" s="44" t="s">
        <v>674</v>
      </c>
      <c r="E475" s="44" t="s">
        <v>676</v>
      </c>
      <c r="F475" s="45">
        <v>1899</v>
      </c>
      <c r="G475" s="45">
        <v>599</v>
      </c>
      <c r="H475" s="45">
        <v>599</v>
      </c>
      <c r="I475" s="45">
        <v>599</v>
      </c>
      <c r="J475" s="45">
        <f t="shared" si="21"/>
        <v>499</v>
      </c>
      <c r="K475" s="45">
        <f t="shared" si="22"/>
        <v>499</v>
      </c>
      <c r="L475" s="45">
        <f t="shared" si="22"/>
        <v>499</v>
      </c>
      <c r="M475" s="45">
        <v>499</v>
      </c>
      <c r="N475" s="45">
        <v>499</v>
      </c>
      <c r="O475" s="45">
        <f t="shared" si="20"/>
        <v>449</v>
      </c>
      <c r="P475" s="46">
        <f t="shared" si="20"/>
        <v>399</v>
      </c>
      <c r="Q475" s="46">
        <f t="shared" si="20"/>
        <v>349</v>
      </c>
      <c r="R475" s="45">
        <v>449</v>
      </c>
      <c r="S475" s="45">
        <v>399</v>
      </c>
      <c r="T475" s="45">
        <v>349</v>
      </c>
      <c r="U475" s="45">
        <v>349</v>
      </c>
      <c r="V475" s="45">
        <v>349</v>
      </c>
      <c r="W475" s="45">
        <v>349</v>
      </c>
      <c r="X475" s="45">
        <v>349</v>
      </c>
      <c r="Y475" s="45">
        <v>349</v>
      </c>
      <c r="Z475" s="45">
        <v>349</v>
      </c>
      <c r="AA475" s="45">
        <v>349</v>
      </c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7"/>
      <c r="AW475" s="48" t="s">
        <v>65</v>
      </c>
      <c r="AX475" s="51" t="s">
        <v>66</v>
      </c>
    </row>
    <row r="476" spans="1:50" ht="22.5" customHeight="1">
      <c r="A476" s="50" t="s">
        <v>61</v>
      </c>
      <c r="B476" s="41" t="s">
        <v>62</v>
      </c>
      <c r="C476" s="42">
        <v>4014858</v>
      </c>
      <c r="D476" s="44" t="s">
        <v>674</v>
      </c>
      <c r="E476" s="44" t="s">
        <v>677</v>
      </c>
      <c r="F476" s="45">
        <v>1899</v>
      </c>
      <c r="G476" s="45">
        <v>599</v>
      </c>
      <c r="H476" s="45">
        <v>599</v>
      </c>
      <c r="I476" s="45">
        <v>599</v>
      </c>
      <c r="J476" s="45">
        <f t="shared" si="21"/>
        <v>499</v>
      </c>
      <c r="K476" s="45">
        <f t="shared" si="22"/>
        <v>499</v>
      </c>
      <c r="L476" s="45">
        <f t="shared" si="22"/>
        <v>499</v>
      </c>
      <c r="M476" s="45">
        <v>499</v>
      </c>
      <c r="N476" s="45">
        <v>499</v>
      </c>
      <c r="O476" s="45">
        <f t="shared" si="20"/>
        <v>449</v>
      </c>
      <c r="P476" s="46">
        <f t="shared" si="20"/>
        <v>399</v>
      </c>
      <c r="Q476" s="46">
        <f t="shared" si="20"/>
        <v>349</v>
      </c>
      <c r="R476" s="45">
        <v>449</v>
      </c>
      <c r="S476" s="45">
        <v>399</v>
      </c>
      <c r="T476" s="45">
        <v>349</v>
      </c>
      <c r="U476" s="45">
        <v>349</v>
      </c>
      <c r="V476" s="45">
        <v>349</v>
      </c>
      <c r="W476" s="45">
        <v>349</v>
      </c>
      <c r="X476" s="45">
        <v>349</v>
      </c>
      <c r="Y476" s="45">
        <v>349</v>
      </c>
      <c r="Z476" s="45">
        <v>349</v>
      </c>
      <c r="AA476" s="45">
        <v>349</v>
      </c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7"/>
      <c r="AW476" s="48" t="s">
        <v>65</v>
      </c>
      <c r="AX476" s="51" t="s">
        <v>66</v>
      </c>
    </row>
    <row r="477" spans="1:50" ht="22.5" customHeight="1">
      <c r="A477" s="50" t="s">
        <v>61</v>
      </c>
      <c r="B477" s="41" t="s">
        <v>62</v>
      </c>
      <c r="C477" s="42">
        <v>4014859</v>
      </c>
      <c r="D477" s="44" t="s">
        <v>674</v>
      </c>
      <c r="E477" s="44" t="s">
        <v>678</v>
      </c>
      <c r="F477" s="45">
        <v>1899</v>
      </c>
      <c r="G477" s="45">
        <v>599</v>
      </c>
      <c r="H477" s="45">
        <v>599</v>
      </c>
      <c r="I477" s="45">
        <v>599</v>
      </c>
      <c r="J477" s="45">
        <f t="shared" si="21"/>
        <v>499</v>
      </c>
      <c r="K477" s="45">
        <f t="shared" si="22"/>
        <v>499</v>
      </c>
      <c r="L477" s="45">
        <f t="shared" si="22"/>
        <v>499</v>
      </c>
      <c r="M477" s="45">
        <v>499</v>
      </c>
      <c r="N477" s="45">
        <v>499</v>
      </c>
      <c r="O477" s="45">
        <f t="shared" ref="O477:Q533" si="23">R477</f>
        <v>449</v>
      </c>
      <c r="P477" s="46">
        <f t="shared" si="23"/>
        <v>399</v>
      </c>
      <c r="Q477" s="46">
        <f t="shared" si="23"/>
        <v>349</v>
      </c>
      <c r="R477" s="45">
        <v>449</v>
      </c>
      <c r="S477" s="45">
        <v>399</v>
      </c>
      <c r="T477" s="45">
        <v>349</v>
      </c>
      <c r="U477" s="45">
        <v>349</v>
      </c>
      <c r="V477" s="45">
        <v>349</v>
      </c>
      <c r="W477" s="45">
        <v>349</v>
      </c>
      <c r="X477" s="45">
        <v>349</v>
      </c>
      <c r="Y477" s="45">
        <v>349</v>
      </c>
      <c r="Z477" s="45">
        <v>349</v>
      </c>
      <c r="AA477" s="45">
        <v>349</v>
      </c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7"/>
      <c r="AW477" s="48" t="s">
        <v>65</v>
      </c>
      <c r="AX477" s="51" t="s">
        <v>66</v>
      </c>
    </row>
    <row r="478" spans="1:50" ht="22.5" customHeight="1">
      <c r="A478" s="50" t="s">
        <v>61</v>
      </c>
      <c r="B478" s="41" t="s">
        <v>62</v>
      </c>
      <c r="C478" s="42">
        <v>4014850</v>
      </c>
      <c r="D478" s="44" t="s">
        <v>674</v>
      </c>
      <c r="E478" s="44" t="s">
        <v>679</v>
      </c>
      <c r="F478" s="45">
        <v>1899</v>
      </c>
      <c r="G478" s="45">
        <v>599</v>
      </c>
      <c r="H478" s="45">
        <v>599</v>
      </c>
      <c r="I478" s="45">
        <v>599</v>
      </c>
      <c r="J478" s="45">
        <f t="shared" si="21"/>
        <v>499</v>
      </c>
      <c r="K478" s="45">
        <f t="shared" si="22"/>
        <v>499</v>
      </c>
      <c r="L478" s="45">
        <f t="shared" si="22"/>
        <v>499</v>
      </c>
      <c r="M478" s="45">
        <v>499</v>
      </c>
      <c r="N478" s="45">
        <v>499</v>
      </c>
      <c r="O478" s="45">
        <f t="shared" si="23"/>
        <v>449</v>
      </c>
      <c r="P478" s="46">
        <f t="shared" si="23"/>
        <v>399</v>
      </c>
      <c r="Q478" s="46">
        <f t="shared" si="23"/>
        <v>349</v>
      </c>
      <c r="R478" s="45">
        <v>449</v>
      </c>
      <c r="S478" s="45">
        <v>399</v>
      </c>
      <c r="T478" s="45">
        <v>349</v>
      </c>
      <c r="U478" s="45">
        <v>349</v>
      </c>
      <c r="V478" s="45">
        <v>349</v>
      </c>
      <c r="W478" s="45">
        <v>349</v>
      </c>
      <c r="X478" s="45">
        <v>349</v>
      </c>
      <c r="Y478" s="45">
        <v>349</v>
      </c>
      <c r="Z478" s="45">
        <v>349</v>
      </c>
      <c r="AA478" s="45">
        <v>349</v>
      </c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7"/>
      <c r="AW478" s="48" t="s">
        <v>65</v>
      </c>
      <c r="AX478" s="51" t="s">
        <v>66</v>
      </c>
    </row>
    <row r="479" spans="1:50" ht="22.5" customHeight="1">
      <c r="A479" s="50" t="s">
        <v>61</v>
      </c>
      <c r="B479" s="41" t="s">
        <v>62</v>
      </c>
      <c r="C479" s="42">
        <v>4014852</v>
      </c>
      <c r="D479" s="44" t="s">
        <v>674</v>
      </c>
      <c r="E479" s="44" t="s">
        <v>680</v>
      </c>
      <c r="F479" s="45">
        <v>1899</v>
      </c>
      <c r="G479" s="45">
        <v>599</v>
      </c>
      <c r="H479" s="45">
        <v>599</v>
      </c>
      <c r="I479" s="45">
        <v>599</v>
      </c>
      <c r="J479" s="45">
        <f t="shared" si="21"/>
        <v>499</v>
      </c>
      <c r="K479" s="45">
        <f t="shared" si="22"/>
        <v>499</v>
      </c>
      <c r="L479" s="45">
        <f t="shared" si="22"/>
        <v>499</v>
      </c>
      <c r="M479" s="45">
        <v>499</v>
      </c>
      <c r="N479" s="45">
        <v>499</v>
      </c>
      <c r="O479" s="45">
        <f t="shared" si="23"/>
        <v>449</v>
      </c>
      <c r="P479" s="46">
        <f t="shared" si="23"/>
        <v>399</v>
      </c>
      <c r="Q479" s="46">
        <f t="shared" si="23"/>
        <v>349</v>
      </c>
      <c r="R479" s="45">
        <v>449</v>
      </c>
      <c r="S479" s="45">
        <v>399</v>
      </c>
      <c r="T479" s="45">
        <v>349</v>
      </c>
      <c r="U479" s="45">
        <v>349</v>
      </c>
      <c r="V479" s="45">
        <v>349</v>
      </c>
      <c r="W479" s="45">
        <v>349</v>
      </c>
      <c r="X479" s="45">
        <v>349</v>
      </c>
      <c r="Y479" s="45">
        <v>349</v>
      </c>
      <c r="Z479" s="45">
        <v>349</v>
      </c>
      <c r="AA479" s="45">
        <v>349</v>
      </c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7"/>
      <c r="AW479" s="48" t="s">
        <v>65</v>
      </c>
      <c r="AX479" s="51" t="s">
        <v>66</v>
      </c>
    </row>
    <row r="480" spans="1:50" ht="22.5" customHeight="1">
      <c r="A480" s="50" t="s">
        <v>61</v>
      </c>
      <c r="B480" s="41" t="s">
        <v>62</v>
      </c>
      <c r="C480" s="42">
        <v>4015254</v>
      </c>
      <c r="D480" s="44" t="s">
        <v>681</v>
      </c>
      <c r="E480" s="44" t="s">
        <v>682</v>
      </c>
      <c r="F480" s="45">
        <v>1299</v>
      </c>
      <c r="G480" s="45">
        <v>1099</v>
      </c>
      <c r="H480" s="45">
        <v>1299</v>
      </c>
      <c r="I480" s="45">
        <v>1299</v>
      </c>
      <c r="J480" s="45">
        <v>769</v>
      </c>
      <c r="K480" s="45">
        <v>769</v>
      </c>
      <c r="L480" s="45">
        <v>769</v>
      </c>
      <c r="M480" s="45">
        <v>769</v>
      </c>
      <c r="N480" s="45">
        <v>769</v>
      </c>
      <c r="O480" s="45">
        <v>769</v>
      </c>
      <c r="P480" s="45">
        <v>769</v>
      </c>
      <c r="Q480" s="45">
        <v>769</v>
      </c>
      <c r="R480" s="45">
        <v>769</v>
      </c>
      <c r="S480" s="45">
        <v>769</v>
      </c>
      <c r="T480" s="45">
        <v>769</v>
      </c>
      <c r="U480" s="45">
        <v>769</v>
      </c>
      <c r="V480" s="45">
        <v>769</v>
      </c>
      <c r="W480" s="45">
        <v>769</v>
      </c>
      <c r="X480" s="45">
        <v>769</v>
      </c>
      <c r="Y480" s="45">
        <v>769</v>
      </c>
      <c r="Z480" s="45">
        <v>769</v>
      </c>
      <c r="AA480" s="45">
        <v>769</v>
      </c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7"/>
      <c r="AW480" s="48" t="s">
        <v>65</v>
      </c>
      <c r="AX480" s="51" t="s">
        <v>82</v>
      </c>
    </row>
    <row r="481" spans="1:50" ht="22.5" customHeight="1">
      <c r="A481" s="50" t="s">
        <v>61</v>
      </c>
      <c r="B481" s="41" t="s">
        <v>62</v>
      </c>
      <c r="C481" s="42">
        <v>4015255</v>
      </c>
      <c r="D481" s="44" t="s">
        <v>681</v>
      </c>
      <c r="E481" s="44" t="s">
        <v>683</v>
      </c>
      <c r="F481" s="45">
        <v>1299</v>
      </c>
      <c r="G481" s="45">
        <v>1099</v>
      </c>
      <c r="H481" s="45">
        <v>1299</v>
      </c>
      <c r="I481" s="45">
        <v>1299</v>
      </c>
      <c r="J481" s="45">
        <v>769</v>
      </c>
      <c r="K481" s="45">
        <v>769</v>
      </c>
      <c r="L481" s="45">
        <v>769</v>
      </c>
      <c r="M481" s="45">
        <v>769</v>
      </c>
      <c r="N481" s="45">
        <v>769</v>
      </c>
      <c r="O481" s="45">
        <v>769</v>
      </c>
      <c r="P481" s="45">
        <v>769</v>
      </c>
      <c r="Q481" s="45">
        <v>769</v>
      </c>
      <c r="R481" s="45">
        <v>769</v>
      </c>
      <c r="S481" s="45">
        <v>769</v>
      </c>
      <c r="T481" s="45">
        <v>769</v>
      </c>
      <c r="U481" s="45">
        <v>769</v>
      </c>
      <c r="V481" s="45">
        <v>769</v>
      </c>
      <c r="W481" s="45">
        <v>769</v>
      </c>
      <c r="X481" s="45">
        <v>769</v>
      </c>
      <c r="Y481" s="45">
        <v>769</v>
      </c>
      <c r="Z481" s="45">
        <v>769</v>
      </c>
      <c r="AA481" s="45">
        <v>769</v>
      </c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7"/>
      <c r="AW481" s="48" t="s">
        <v>65</v>
      </c>
      <c r="AX481" s="51" t="s">
        <v>82</v>
      </c>
    </row>
    <row r="482" spans="1:50" ht="22.5" customHeight="1">
      <c r="A482" s="50" t="s">
        <v>61</v>
      </c>
      <c r="B482" s="41" t="s">
        <v>62</v>
      </c>
      <c r="C482" s="42">
        <v>4015250</v>
      </c>
      <c r="D482" s="44" t="s">
        <v>681</v>
      </c>
      <c r="E482" s="44" t="s">
        <v>684</v>
      </c>
      <c r="F482" s="45">
        <v>1299</v>
      </c>
      <c r="G482" s="45">
        <v>1099</v>
      </c>
      <c r="H482" s="45">
        <v>1299</v>
      </c>
      <c r="I482" s="45">
        <v>1299</v>
      </c>
      <c r="J482" s="45">
        <v>769</v>
      </c>
      <c r="K482" s="45">
        <v>769</v>
      </c>
      <c r="L482" s="45">
        <v>769</v>
      </c>
      <c r="M482" s="45">
        <v>769</v>
      </c>
      <c r="N482" s="45">
        <v>769</v>
      </c>
      <c r="O482" s="45">
        <v>769</v>
      </c>
      <c r="P482" s="45">
        <v>769</v>
      </c>
      <c r="Q482" s="45">
        <v>769</v>
      </c>
      <c r="R482" s="45">
        <v>769</v>
      </c>
      <c r="S482" s="45">
        <v>769</v>
      </c>
      <c r="T482" s="45">
        <v>769</v>
      </c>
      <c r="U482" s="45">
        <v>769</v>
      </c>
      <c r="V482" s="45">
        <v>769</v>
      </c>
      <c r="W482" s="45">
        <v>769</v>
      </c>
      <c r="X482" s="45">
        <v>769</v>
      </c>
      <c r="Y482" s="45">
        <v>769</v>
      </c>
      <c r="Z482" s="45">
        <v>769</v>
      </c>
      <c r="AA482" s="45">
        <v>769</v>
      </c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7"/>
      <c r="AW482" s="48" t="s">
        <v>65</v>
      </c>
      <c r="AX482" s="51" t="s">
        <v>82</v>
      </c>
    </row>
    <row r="483" spans="1:50" ht="22.5" customHeight="1">
      <c r="A483" s="50" t="s">
        <v>61</v>
      </c>
      <c r="B483" s="41" t="s">
        <v>62</v>
      </c>
      <c r="C483" s="42">
        <v>4015251</v>
      </c>
      <c r="D483" s="44" t="s">
        <v>681</v>
      </c>
      <c r="E483" s="44" t="s">
        <v>685</v>
      </c>
      <c r="F483" s="45">
        <v>1299</v>
      </c>
      <c r="G483" s="45">
        <v>1099</v>
      </c>
      <c r="H483" s="45">
        <v>1299</v>
      </c>
      <c r="I483" s="45">
        <v>1299</v>
      </c>
      <c r="J483" s="45">
        <v>769</v>
      </c>
      <c r="K483" s="45">
        <v>769</v>
      </c>
      <c r="L483" s="45">
        <v>769</v>
      </c>
      <c r="M483" s="45">
        <v>769</v>
      </c>
      <c r="N483" s="45">
        <v>769</v>
      </c>
      <c r="O483" s="45">
        <v>769</v>
      </c>
      <c r="P483" s="45">
        <v>769</v>
      </c>
      <c r="Q483" s="45">
        <v>769</v>
      </c>
      <c r="R483" s="45">
        <v>769</v>
      </c>
      <c r="S483" s="45">
        <v>769</v>
      </c>
      <c r="T483" s="45">
        <v>769</v>
      </c>
      <c r="U483" s="45">
        <v>769</v>
      </c>
      <c r="V483" s="45">
        <v>769</v>
      </c>
      <c r="W483" s="45">
        <v>769</v>
      </c>
      <c r="X483" s="45">
        <v>769</v>
      </c>
      <c r="Y483" s="45">
        <v>769</v>
      </c>
      <c r="Z483" s="45">
        <v>769</v>
      </c>
      <c r="AA483" s="45">
        <v>769</v>
      </c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7"/>
      <c r="AW483" s="48" t="s">
        <v>65</v>
      </c>
      <c r="AX483" s="51" t="s">
        <v>82</v>
      </c>
    </row>
    <row r="484" spans="1:50" ht="22.5" customHeight="1">
      <c r="A484" s="50" t="s">
        <v>61</v>
      </c>
      <c r="B484" s="41" t="s">
        <v>62</v>
      </c>
      <c r="C484" s="42">
        <v>4016092</v>
      </c>
      <c r="D484" s="44" t="s">
        <v>686</v>
      </c>
      <c r="E484" s="44" t="s">
        <v>687</v>
      </c>
      <c r="F484" s="45">
        <v>1199</v>
      </c>
      <c r="G484" s="45">
        <v>999</v>
      </c>
      <c r="H484" s="45">
        <v>1199</v>
      </c>
      <c r="I484" s="45">
        <v>1199</v>
      </c>
      <c r="J484" s="45">
        <v>699</v>
      </c>
      <c r="K484" s="45">
        <v>699</v>
      </c>
      <c r="L484" s="45">
        <v>699</v>
      </c>
      <c r="M484" s="45">
        <v>699</v>
      </c>
      <c r="N484" s="45">
        <v>699</v>
      </c>
      <c r="O484" s="45">
        <v>699</v>
      </c>
      <c r="P484" s="45">
        <v>699</v>
      </c>
      <c r="Q484" s="45">
        <v>699</v>
      </c>
      <c r="R484" s="45">
        <v>699</v>
      </c>
      <c r="S484" s="45">
        <v>699</v>
      </c>
      <c r="T484" s="45">
        <v>699</v>
      </c>
      <c r="U484" s="45">
        <v>699</v>
      </c>
      <c r="V484" s="45">
        <v>699</v>
      </c>
      <c r="W484" s="45">
        <v>699</v>
      </c>
      <c r="X484" s="45">
        <v>699</v>
      </c>
      <c r="Y484" s="45">
        <v>699</v>
      </c>
      <c r="Z484" s="45">
        <v>699</v>
      </c>
      <c r="AA484" s="45">
        <v>699</v>
      </c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7"/>
      <c r="AW484" s="48" t="s">
        <v>65</v>
      </c>
      <c r="AX484" s="51" t="s">
        <v>82</v>
      </c>
    </row>
    <row r="485" spans="1:50" ht="22.5" customHeight="1">
      <c r="A485" s="50" t="s">
        <v>61</v>
      </c>
      <c r="B485" s="41" t="s">
        <v>62</v>
      </c>
      <c r="C485" s="42">
        <v>4016095</v>
      </c>
      <c r="D485" s="44" t="s">
        <v>686</v>
      </c>
      <c r="E485" s="44" t="s">
        <v>688</v>
      </c>
      <c r="F485" s="45">
        <v>1199</v>
      </c>
      <c r="G485" s="45">
        <v>999</v>
      </c>
      <c r="H485" s="45">
        <v>1199</v>
      </c>
      <c r="I485" s="45">
        <v>1199</v>
      </c>
      <c r="J485" s="45">
        <v>699</v>
      </c>
      <c r="K485" s="45">
        <v>699</v>
      </c>
      <c r="L485" s="45">
        <v>699</v>
      </c>
      <c r="M485" s="45">
        <v>699</v>
      </c>
      <c r="N485" s="45">
        <v>699</v>
      </c>
      <c r="O485" s="45">
        <v>699</v>
      </c>
      <c r="P485" s="45">
        <v>699</v>
      </c>
      <c r="Q485" s="45">
        <v>699</v>
      </c>
      <c r="R485" s="45">
        <v>699</v>
      </c>
      <c r="S485" s="45">
        <v>699</v>
      </c>
      <c r="T485" s="45">
        <v>699</v>
      </c>
      <c r="U485" s="45">
        <v>699</v>
      </c>
      <c r="V485" s="45">
        <v>699</v>
      </c>
      <c r="W485" s="45">
        <v>699</v>
      </c>
      <c r="X485" s="45">
        <v>699</v>
      </c>
      <c r="Y485" s="45">
        <v>699</v>
      </c>
      <c r="Z485" s="45">
        <v>699</v>
      </c>
      <c r="AA485" s="45">
        <v>699</v>
      </c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7"/>
      <c r="AW485" s="48" t="s">
        <v>65</v>
      </c>
      <c r="AX485" s="51" t="s">
        <v>82</v>
      </c>
    </row>
    <row r="486" spans="1:50" ht="22.5" customHeight="1">
      <c r="A486" s="50" t="s">
        <v>61</v>
      </c>
      <c r="B486" s="41" t="s">
        <v>62</v>
      </c>
      <c r="C486" s="42">
        <v>4014201</v>
      </c>
      <c r="D486" s="44" t="s">
        <v>689</v>
      </c>
      <c r="E486" s="44" t="s">
        <v>690</v>
      </c>
      <c r="F486" s="45">
        <v>699</v>
      </c>
      <c r="G486" s="45">
        <v>599</v>
      </c>
      <c r="H486" s="45">
        <v>599</v>
      </c>
      <c r="I486" s="45">
        <v>599</v>
      </c>
      <c r="J486" s="45">
        <f t="shared" si="21"/>
        <v>499</v>
      </c>
      <c r="K486" s="45">
        <f t="shared" si="22"/>
        <v>499</v>
      </c>
      <c r="L486" s="45">
        <f t="shared" si="22"/>
        <v>499</v>
      </c>
      <c r="M486" s="45">
        <v>499</v>
      </c>
      <c r="N486" s="45">
        <v>499</v>
      </c>
      <c r="O486" s="45">
        <f t="shared" si="23"/>
        <v>449</v>
      </c>
      <c r="P486" s="46">
        <f t="shared" si="23"/>
        <v>399</v>
      </c>
      <c r="Q486" s="46">
        <f t="shared" si="23"/>
        <v>349</v>
      </c>
      <c r="R486" s="45">
        <v>449</v>
      </c>
      <c r="S486" s="45">
        <v>399</v>
      </c>
      <c r="T486" s="45">
        <v>349</v>
      </c>
      <c r="U486" s="45">
        <v>349</v>
      </c>
      <c r="V486" s="45">
        <v>349</v>
      </c>
      <c r="W486" s="45">
        <v>349</v>
      </c>
      <c r="X486" s="45">
        <v>349</v>
      </c>
      <c r="Y486" s="45">
        <v>349</v>
      </c>
      <c r="Z486" s="45">
        <v>349</v>
      </c>
      <c r="AA486" s="45">
        <v>349</v>
      </c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7"/>
      <c r="AW486" s="48" t="s">
        <v>65</v>
      </c>
      <c r="AX486" s="51" t="s">
        <v>66</v>
      </c>
    </row>
    <row r="487" spans="1:50" ht="22.5" customHeight="1">
      <c r="A487" s="50" t="s">
        <v>61</v>
      </c>
      <c r="B487" s="41" t="s">
        <v>62</v>
      </c>
      <c r="C487" s="42">
        <v>4014202</v>
      </c>
      <c r="D487" s="44" t="s">
        <v>689</v>
      </c>
      <c r="E487" s="44" t="s">
        <v>691</v>
      </c>
      <c r="F487" s="45">
        <v>699</v>
      </c>
      <c r="G487" s="45">
        <v>599</v>
      </c>
      <c r="H487" s="45">
        <v>599</v>
      </c>
      <c r="I487" s="45">
        <v>599</v>
      </c>
      <c r="J487" s="45">
        <f t="shared" si="21"/>
        <v>499</v>
      </c>
      <c r="K487" s="45">
        <f t="shared" si="22"/>
        <v>499</v>
      </c>
      <c r="L487" s="45">
        <f t="shared" si="22"/>
        <v>499</v>
      </c>
      <c r="M487" s="45">
        <v>499</v>
      </c>
      <c r="N487" s="45">
        <v>499</v>
      </c>
      <c r="O487" s="45">
        <f t="shared" si="23"/>
        <v>449</v>
      </c>
      <c r="P487" s="46">
        <f t="shared" si="23"/>
        <v>399</v>
      </c>
      <c r="Q487" s="46">
        <f t="shared" si="23"/>
        <v>349</v>
      </c>
      <c r="R487" s="45">
        <v>449</v>
      </c>
      <c r="S487" s="45">
        <v>399</v>
      </c>
      <c r="T487" s="45">
        <v>349</v>
      </c>
      <c r="U487" s="45">
        <v>349</v>
      </c>
      <c r="V487" s="45">
        <v>349</v>
      </c>
      <c r="W487" s="45">
        <v>349</v>
      </c>
      <c r="X487" s="45">
        <v>349</v>
      </c>
      <c r="Y487" s="45">
        <v>349</v>
      </c>
      <c r="Z487" s="45">
        <v>349</v>
      </c>
      <c r="AA487" s="45">
        <v>349</v>
      </c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7"/>
      <c r="AW487" s="48" t="s">
        <v>65</v>
      </c>
      <c r="AX487" s="51" t="s">
        <v>66</v>
      </c>
    </row>
    <row r="488" spans="1:50" ht="22.5" customHeight="1">
      <c r="A488" s="50" t="s">
        <v>61</v>
      </c>
      <c r="B488" s="41" t="s">
        <v>62</v>
      </c>
      <c r="C488" s="42">
        <v>4014203</v>
      </c>
      <c r="D488" s="44" t="s">
        <v>689</v>
      </c>
      <c r="E488" s="44" t="s">
        <v>692</v>
      </c>
      <c r="F488" s="45">
        <v>699</v>
      </c>
      <c r="G488" s="45">
        <v>599</v>
      </c>
      <c r="H488" s="45">
        <v>599</v>
      </c>
      <c r="I488" s="45">
        <v>599</v>
      </c>
      <c r="J488" s="45">
        <f t="shared" si="21"/>
        <v>499</v>
      </c>
      <c r="K488" s="45">
        <f t="shared" si="22"/>
        <v>499</v>
      </c>
      <c r="L488" s="45">
        <f t="shared" si="22"/>
        <v>499</v>
      </c>
      <c r="M488" s="45">
        <v>499</v>
      </c>
      <c r="N488" s="45">
        <v>499</v>
      </c>
      <c r="O488" s="45">
        <f t="shared" si="23"/>
        <v>449</v>
      </c>
      <c r="P488" s="46">
        <f t="shared" si="23"/>
        <v>399</v>
      </c>
      <c r="Q488" s="46">
        <f t="shared" si="23"/>
        <v>349</v>
      </c>
      <c r="R488" s="45">
        <v>449</v>
      </c>
      <c r="S488" s="45">
        <v>399</v>
      </c>
      <c r="T488" s="45">
        <v>349</v>
      </c>
      <c r="U488" s="45">
        <v>349</v>
      </c>
      <c r="V488" s="45">
        <v>349</v>
      </c>
      <c r="W488" s="45">
        <v>349</v>
      </c>
      <c r="X488" s="45">
        <v>349</v>
      </c>
      <c r="Y488" s="45">
        <v>349</v>
      </c>
      <c r="Z488" s="45">
        <v>349</v>
      </c>
      <c r="AA488" s="45">
        <v>349</v>
      </c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7"/>
      <c r="AW488" s="48" t="s">
        <v>65</v>
      </c>
      <c r="AX488" s="51" t="s">
        <v>66</v>
      </c>
    </row>
    <row r="489" spans="1:50" ht="22.5" customHeight="1">
      <c r="A489" s="50" t="s">
        <v>61</v>
      </c>
      <c r="B489" s="41" t="s">
        <v>62</v>
      </c>
      <c r="C489" s="42">
        <v>4014204</v>
      </c>
      <c r="D489" s="44" t="s">
        <v>689</v>
      </c>
      <c r="E489" s="44" t="s">
        <v>693</v>
      </c>
      <c r="F489" s="45">
        <v>699</v>
      </c>
      <c r="G489" s="45">
        <v>599</v>
      </c>
      <c r="H489" s="45">
        <v>599</v>
      </c>
      <c r="I489" s="45">
        <v>599</v>
      </c>
      <c r="J489" s="45">
        <f t="shared" si="21"/>
        <v>499</v>
      </c>
      <c r="K489" s="45">
        <f t="shared" si="22"/>
        <v>499</v>
      </c>
      <c r="L489" s="45">
        <f t="shared" si="22"/>
        <v>499</v>
      </c>
      <c r="M489" s="45">
        <v>499</v>
      </c>
      <c r="N489" s="45">
        <v>499</v>
      </c>
      <c r="O489" s="45">
        <f t="shared" si="23"/>
        <v>449</v>
      </c>
      <c r="P489" s="46">
        <f t="shared" si="23"/>
        <v>399</v>
      </c>
      <c r="Q489" s="46">
        <f t="shared" si="23"/>
        <v>349</v>
      </c>
      <c r="R489" s="45">
        <v>449</v>
      </c>
      <c r="S489" s="45">
        <v>399</v>
      </c>
      <c r="T489" s="45">
        <v>349</v>
      </c>
      <c r="U489" s="45">
        <v>349</v>
      </c>
      <c r="V489" s="45">
        <v>349</v>
      </c>
      <c r="W489" s="45">
        <v>349</v>
      </c>
      <c r="X489" s="45">
        <v>349</v>
      </c>
      <c r="Y489" s="45">
        <v>349</v>
      </c>
      <c r="Z489" s="45">
        <v>349</v>
      </c>
      <c r="AA489" s="45">
        <v>349</v>
      </c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7"/>
      <c r="AW489" s="48" t="s">
        <v>65</v>
      </c>
      <c r="AX489" s="51" t="s">
        <v>66</v>
      </c>
    </row>
    <row r="490" spans="1:50" ht="22.5" customHeight="1">
      <c r="A490" s="50" t="s">
        <v>61</v>
      </c>
      <c r="B490" s="41" t="s">
        <v>62</v>
      </c>
      <c r="C490" s="42">
        <v>4014205</v>
      </c>
      <c r="D490" s="44" t="s">
        <v>689</v>
      </c>
      <c r="E490" s="44" t="s">
        <v>694</v>
      </c>
      <c r="F490" s="45">
        <v>699</v>
      </c>
      <c r="G490" s="45">
        <v>599</v>
      </c>
      <c r="H490" s="45">
        <v>599</v>
      </c>
      <c r="I490" s="45">
        <v>599</v>
      </c>
      <c r="J490" s="45">
        <f t="shared" si="21"/>
        <v>499</v>
      </c>
      <c r="K490" s="45">
        <f t="shared" si="22"/>
        <v>499</v>
      </c>
      <c r="L490" s="45">
        <f t="shared" si="22"/>
        <v>499</v>
      </c>
      <c r="M490" s="45">
        <v>499</v>
      </c>
      <c r="N490" s="45">
        <v>499</v>
      </c>
      <c r="O490" s="45">
        <f t="shared" si="23"/>
        <v>449</v>
      </c>
      <c r="P490" s="46">
        <f t="shared" si="23"/>
        <v>399</v>
      </c>
      <c r="Q490" s="46">
        <f t="shared" si="23"/>
        <v>349</v>
      </c>
      <c r="R490" s="45">
        <v>449</v>
      </c>
      <c r="S490" s="45">
        <v>399</v>
      </c>
      <c r="T490" s="45">
        <v>349</v>
      </c>
      <c r="U490" s="45">
        <v>349</v>
      </c>
      <c r="V490" s="45">
        <v>349</v>
      </c>
      <c r="W490" s="45">
        <v>349</v>
      </c>
      <c r="X490" s="45">
        <v>349</v>
      </c>
      <c r="Y490" s="45">
        <v>349</v>
      </c>
      <c r="Z490" s="45">
        <v>349</v>
      </c>
      <c r="AA490" s="45">
        <v>349</v>
      </c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7"/>
      <c r="AW490" s="48" t="s">
        <v>65</v>
      </c>
      <c r="AX490" s="51" t="s">
        <v>66</v>
      </c>
    </row>
    <row r="491" spans="1:50" ht="22.5" customHeight="1">
      <c r="A491" s="50" t="s">
        <v>61</v>
      </c>
      <c r="B491" s="41" t="s">
        <v>62</v>
      </c>
      <c r="C491" s="42">
        <v>4014206</v>
      </c>
      <c r="D491" s="44" t="s">
        <v>689</v>
      </c>
      <c r="E491" s="44" t="s">
        <v>695</v>
      </c>
      <c r="F491" s="45">
        <v>699</v>
      </c>
      <c r="G491" s="45">
        <v>599</v>
      </c>
      <c r="H491" s="45">
        <v>599</v>
      </c>
      <c r="I491" s="45">
        <v>599</v>
      </c>
      <c r="J491" s="45">
        <f t="shared" si="21"/>
        <v>499</v>
      </c>
      <c r="K491" s="45">
        <f t="shared" si="22"/>
        <v>499</v>
      </c>
      <c r="L491" s="45">
        <f t="shared" si="22"/>
        <v>499</v>
      </c>
      <c r="M491" s="45">
        <v>499</v>
      </c>
      <c r="N491" s="45">
        <v>499</v>
      </c>
      <c r="O491" s="45">
        <f t="shared" si="23"/>
        <v>449</v>
      </c>
      <c r="P491" s="46">
        <f t="shared" si="23"/>
        <v>399</v>
      </c>
      <c r="Q491" s="46">
        <f t="shared" si="23"/>
        <v>349</v>
      </c>
      <c r="R491" s="45">
        <v>449</v>
      </c>
      <c r="S491" s="45">
        <v>399</v>
      </c>
      <c r="T491" s="45">
        <v>349</v>
      </c>
      <c r="U491" s="45">
        <v>349</v>
      </c>
      <c r="V491" s="45">
        <v>349</v>
      </c>
      <c r="W491" s="45">
        <v>349</v>
      </c>
      <c r="X491" s="45">
        <v>349</v>
      </c>
      <c r="Y491" s="45">
        <v>349</v>
      </c>
      <c r="Z491" s="45">
        <v>349</v>
      </c>
      <c r="AA491" s="45">
        <v>349</v>
      </c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7"/>
      <c r="AW491" s="48" t="s">
        <v>65</v>
      </c>
      <c r="AX491" s="51" t="s">
        <v>66</v>
      </c>
    </row>
    <row r="492" spans="1:50" ht="22.5" customHeight="1">
      <c r="A492" s="50" t="s">
        <v>61</v>
      </c>
      <c r="B492" s="41" t="s">
        <v>62</v>
      </c>
      <c r="C492" s="42">
        <v>4014207</v>
      </c>
      <c r="D492" s="44" t="s">
        <v>689</v>
      </c>
      <c r="E492" s="44" t="s">
        <v>696</v>
      </c>
      <c r="F492" s="45">
        <v>699</v>
      </c>
      <c r="G492" s="45">
        <v>599</v>
      </c>
      <c r="H492" s="45">
        <v>599</v>
      </c>
      <c r="I492" s="45">
        <v>599</v>
      </c>
      <c r="J492" s="45">
        <f t="shared" si="21"/>
        <v>499</v>
      </c>
      <c r="K492" s="45">
        <f t="shared" si="22"/>
        <v>499</v>
      </c>
      <c r="L492" s="45">
        <f t="shared" si="22"/>
        <v>499</v>
      </c>
      <c r="M492" s="45">
        <v>499</v>
      </c>
      <c r="N492" s="45">
        <v>499</v>
      </c>
      <c r="O492" s="45">
        <f t="shared" si="23"/>
        <v>449</v>
      </c>
      <c r="P492" s="46">
        <f t="shared" si="23"/>
        <v>399</v>
      </c>
      <c r="Q492" s="46">
        <f t="shared" si="23"/>
        <v>349</v>
      </c>
      <c r="R492" s="45">
        <v>449</v>
      </c>
      <c r="S492" s="45">
        <v>399</v>
      </c>
      <c r="T492" s="45">
        <v>349</v>
      </c>
      <c r="U492" s="45">
        <v>349</v>
      </c>
      <c r="V492" s="45">
        <v>349</v>
      </c>
      <c r="W492" s="45">
        <v>349</v>
      </c>
      <c r="X492" s="45">
        <v>349</v>
      </c>
      <c r="Y492" s="45">
        <v>349</v>
      </c>
      <c r="Z492" s="45">
        <v>349</v>
      </c>
      <c r="AA492" s="45">
        <v>349</v>
      </c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7"/>
      <c r="AW492" s="48" t="s">
        <v>65</v>
      </c>
      <c r="AX492" s="51" t="s">
        <v>66</v>
      </c>
    </row>
    <row r="493" spans="1:50" ht="22.5" customHeight="1">
      <c r="A493" s="50" t="s">
        <v>61</v>
      </c>
      <c r="B493" s="41" t="s">
        <v>62</v>
      </c>
      <c r="C493" s="42">
        <v>4014208</v>
      </c>
      <c r="D493" s="44" t="s">
        <v>689</v>
      </c>
      <c r="E493" s="44" t="s">
        <v>697</v>
      </c>
      <c r="F493" s="45">
        <v>699</v>
      </c>
      <c r="G493" s="45">
        <v>599</v>
      </c>
      <c r="H493" s="45">
        <v>599</v>
      </c>
      <c r="I493" s="45">
        <v>599</v>
      </c>
      <c r="J493" s="45">
        <f t="shared" si="21"/>
        <v>499</v>
      </c>
      <c r="K493" s="45">
        <f t="shared" si="22"/>
        <v>499</v>
      </c>
      <c r="L493" s="45">
        <f t="shared" si="22"/>
        <v>499</v>
      </c>
      <c r="M493" s="45">
        <v>499</v>
      </c>
      <c r="N493" s="45">
        <v>499</v>
      </c>
      <c r="O493" s="45">
        <f t="shared" si="23"/>
        <v>449</v>
      </c>
      <c r="P493" s="46">
        <f t="shared" si="23"/>
        <v>399</v>
      </c>
      <c r="Q493" s="46">
        <f t="shared" si="23"/>
        <v>349</v>
      </c>
      <c r="R493" s="45">
        <v>449</v>
      </c>
      <c r="S493" s="45">
        <v>399</v>
      </c>
      <c r="T493" s="45">
        <v>349</v>
      </c>
      <c r="U493" s="45">
        <v>349</v>
      </c>
      <c r="V493" s="45">
        <v>349</v>
      </c>
      <c r="W493" s="45">
        <v>349</v>
      </c>
      <c r="X493" s="45">
        <v>349</v>
      </c>
      <c r="Y493" s="45">
        <v>349</v>
      </c>
      <c r="Z493" s="45">
        <v>349</v>
      </c>
      <c r="AA493" s="45">
        <v>349</v>
      </c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7"/>
      <c r="AW493" s="48" t="s">
        <v>65</v>
      </c>
      <c r="AX493" s="51" t="s">
        <v>66</v>
      </c>
    </row>
    <row r="494" spans="1:50" ht="22.5" customHeight="1">
      <c r="A494" s="50" t="s">
        <v>61</v>
      </c>
      <c r="B494" s="41" t="s">
        <v>62</v>
      </c>
      <c r="C494" s="42">
        <v>4014360</v>
      </c>
      <c r="D494" s="44" t="s">
        <v>689</v>
      </c>
      <c r="E494" s="44" t="s">
        <v>698</v>
      </c>
      <c r="F494" s="45">
        <v>699</v>
      </c>
      <c r="G494" s="45">
        <v>599</v>
      </c>
      <c r="H494" s="45">
        <v>599</v>
      </c>
      <c r="I494" s="45">
        <v>599</v>
      </c>
      <c r="J494" s="45">
        <f t="shared" si="21"/>
        <v>499</v>
      </c>
      <c r="K494" s="45">
        <f t="shared" si="22"/>
        <v>499</v>
      </c>
      <c r="L494" s="45">
        <f t="shared" si="22"/>
        <v>499</v>
      </c>
      <c r="M494" s="45">
        <v>499</v>
      </c>
      <c r="N494" s="45">
        <v>499</v>
      </c>
      <c r="O494" s="45">
        <f t="shared" si="23"/>
        <v>449</v>
      </c>
      <c r="P494" s="46">
        <f t="shared" si="23"/>
        <v>399</v>
      </c>
      <c r="Q494" s="46">
        <f t="shared" si="23"/>
        <v>349</v>
      </c>
      <c r="R494" s="45">
        <v>449</v>
      </c>
      <c r="S494" s="45">
        <v>399</v>
      </c>
      <c r="T494" s="45">
        <v>349</v>
      </c>
      <c r="U494" s="45">
        <v>349</v>
      </c>
      <c r="V494" s="45">
        <v>349</v>
      </c>
      <c r="W494" s="45">
        <v>349</v>
      </c>
      <c r="X494" s="45">
        <v>349</v>
      </c>
      <c r="Y494" s="45">
        <v>349</v>
      </c>
      <c r="Z494" s="45">
        <v>349</v>
      </c>
      <c r="AA494" s="45">
        <v>349</v>
      </c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7"/>
      <c r="AW494" s="48" t="s">
        <v>65</v>
      </c>
      <c r="AX494" s="51" t="s">
        <v>66</v>
      </c>
    </row>
    <row r="495" spans="1:50" ht="22.5" customHeight="1">
      <c r="A495" s="50" t="s">
        <v>61</v>
      </c>
      <c r="B495" s="41" t="s">
        <v>62</v>
      </c>
      <c r="C495" s="42">
        <v>4014361</v>
      </c>
      <c r="D495" s="44" t="s">
        <v>689</v>
      </c>
      <c r="E495" s="44" t="s">
        <v>699</v>
      </c>
      <c r="F495" s="45">
        <v>699</v>
      </c>
      <c r="G495" s="45">
        <v>599</v>
      </c>
      <c r="H495" s="45">
        <v>599</v>
      </c>
      <c r="I495" s="45">
        <v>599</v>
      </c>
      <c r="J495" s="45">
        <f t="shared" si="21"/>
        <v>499</v>
      </c>
      <c r="K495" s="45">
        <f t="shared" si="22"/>
        <v>499</v>
      </c>
      <c r="L495" s="45">
        <f t="shared" si="22"/>
        <v>499</v>
      </c>
      <c r="M495" s="45">
        <v>499</v>
      </c>
      <c r="N495" s="45">
        <v>499</v>
      </c>
      <c r="O495" s="45">
        <f t="shared" si="23"/>
        <v>449</v>
      </c>
      <c r="P495" s="46">
        <f t="shared" si="23"/>
        <v>399</v>
      </c>
      <c r="Q495" s="46">
        <f t="shared" si="23"/>
        <v>349</v>
      </c>
      <c r="R495" s="45">
        <v>449</v>
      </c>
      <c r="S495" s="45">
        <v>399</v>
      </c>
      <c r="T495" s="45">
        <v>349</v>
      </c>
      <c r="U495" s="45">
        <v>349</v>
      </c>
      <c r="V495" s="45">
        <v>349</v>
      </c>
      <c r="W495" s="45">
        <v>349</v>
      </c>
      <c r="X495" s="45">
        <v>349</v>
      </c>
      <c r="Y495" s="45">
        <v>349</v>
      </c>
      <c r="Z495" s="45">
        <v>349</v>
      </c>
      <c r="AA495" s="45">
        <v>349</v>
      </c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7"/>
      <c r="AW495" s="48" t="s">
        <v>65</v>
      </c>
      <c r="AX495" s="51" t="s">
        <v>66</v>
      </c>
    </row>
    <row r="496" spans="1:50" ht="22.5" customHeight="1">
      <c r="A496" s="50" t="s">
        <v>61</v>
      </c>
      <c r="B496" s="41" t="s">
        <v>62</v>
      </c>
      <c r="C496" s="42">
        <v>4014161</v>
      </c>
      <c r="D496" s="44" t="s">
        <v>700</v>
      </c>
      <c r="E496" s="44" t="s">
        <v>701</v>
      </c>
      <c r="F496" s="45">
        <v>2699</v>
      </c>
      <c r="G496" s="45">
        <v>699</v>
      </c>
      <c r="H496" s="45">
        <v>699</v>
      </c>
      <c r="I496" s="45">
        <v>699</v>
      </c>
      <c r="J496" s="45">
        <f t="shared" si="21"/>
        <v>599</v>
      </c>
      <c r="K496" s="45">
        <f t="shared" si="22"/>
        <v>599</v>
      </c>
      <c r="L496" s="45">
        <f t="shared" si="22"/>
        <v>599</v>
      </c>
      <c r="M496" s="45">
        <v>599</v>
      </c>
      <c r="N496" s="45">
        <v>599</v>
      </c>
      <c r="O496" s="45">
        <f t="shared" si="23"/>
        <v>549</v>
      </c>
      <c r="P496" s="46">
        <f t="shared" si="23"/>
        <v>499</v>
      </c>
      <c r="Q496" s="46">
        <f t="shared" si="23"/>
        <v>399</v>
      </c>
      <c r="R496" s="45">
        <v>549</v>
      </c>
      <c r="S496" s="45">
        <v>499</v>
      </c>
      <c r="T496" s="45">
        <v>399</v>
      </c>
      <c r="U496" s="45">
        <v>399</v>
      </c>
      <c r="V496" s="45">
        <v>399</v>
      </c>
      <c r="W496" s="45">
        <v>399</v>
      </c>
      <c r="X496" s="45">
        <v>399</v>
      </c>
      <c r="Y496" s="45">
        <v>399</v>
      </c>
      <c r="Z496" s="45">
        <v>399</v>
      </c>
      <c r="AA496" s="45">
        <v>399</v>
      </c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7"/>
      <c r="AW496" s="48" t="s">
        <v>65</v>
      </c>
      <c r="AX496" s="51" t="s">
        <v>82</v>
      </c>
    </row>
    <row r="497" spans="1:50" ht="22.5" customHeight="1">
      <c r="A497" s="50" t="s">
        <v>61</v>
      </c>
      <c r="B497" s="41" t="s">
        <v>62</v>
      </c>
      <c r="C497" s="42">
        <v>4014163</v>
      </c>
      <c r="D497" s="44" t="s">
        <v>700</v>
      </c>
      <c r="E497" s="44" t="s">
        <v>702</v>
      </c>
      <c r="F497" s="45">
        <v>2699</v>
      </c>
      <c r="G497" s="45">
        <v>699</v>
      </c>
      <c r="H497" s="45">
        <v>699</v>
      </c>
      <c r="I497" s="45">
        <v>699</v>
      </c>
      <c r="J497" s="45">
        <f t="shared" si="21"/>
        <v>599</v>
      </c>
      <c r="K497" s="45">
        <f t="shared" si="22"/>
        <v>599</v>
      </c>
      <c r="L497" s="45">
        <f t="shared" si="22"/>
        <v>599</v>
      </c>
      <c r="M497" s="45">
        <v>599</v>
      </c>
      <c r="N497" s="45">
        <v>599</v>
      </c>
      <c r="O497" s="45">
        <f t="shared" si="23"/>
        <v>549</v>
      </c>
      <c r="P497" s="46">
        <f t="shared" si="23"/>
        <v>499</v>
      </c>
      <c r="Q497" s="46">
        <f t="shared" si="23"/>
        <v>399</v>
      </c>
      <c r="R497" s="45">
        <v>549</v>
      </c>
      <c r="S497" s="45">
        <v>499</v>
      </c>
      <c r="T497" s="45">
        <v>399</v>
      </c>
      <c r="U497" s="45">
        <v>399</v>
      </c>
      <c r="V497" s="45">
        <v>399</v>
      </c>
      <c r="W497" s="45">
        <v>399</v>
      </c>
      <c r="X497" s="45">
        <v>399</v>
      </c>
      <c r="Y497" s="45">
        <v>399</v>
      </c>
      <c r="Z497" s="45">
        <v>399</v>
      </c>
      <c r="AA497" s="45">
        <v>399</v>
      </c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7"/>
      <c r="AW497" s="48" t="s">
        <v>65</v>
      </c>
      <c r="AX497" s="51" t="s">
        <v>82</v>
      </c>
    </row>
    <row r="498" spans="1:50" ht="22.5" customHeight="1">
      <c r="A498" s="50" t="s">
        <v>61</v>
      </c>
      <c r="B498" s="41" t="s">
        <v>62</v>
      </c>
      <c r="C498" s="42">
        <v>4014165</v>
      </c>
      <c r="D498" s="44" t="s">
        <v>700</v>
      </c>
      <c r="E498" s="44" t="s">
        <v>703</v>
      </c>
      <c r="F498" s="45">
        <v>2699</v>
      </c>
      <c r="G498" s="45">
        <v>699</v>
      </c>
      <c r="H498" s="45">
        <v>699</v>
      </c>
      <c r="I498" s="45">
        <v>699</v>
      </c>
      <c r="J498" s="45">
        <f t="shared" si="21"/>
        <v>599</v>
      </c>
      <c r="K498" s="45">
        <f t="shared" si="22"/>
        <v>599</v>
      </c>
      <c r="L498" s="45">
        <f t="shared" si="22"/>
        <v>599</v>
      </c>
      <c r="M498" s="45">
        <v>599</v>
      </c>
      <c r="N498" s="45">
        <v>599</v>
      </c>
      <c r="O498" s="45">
        <f t="shared" si="23"/>
        <v>549</v>
      </c>
      <c r="P498" s="46">
        <f t="shared" si="23"/>
        <v>499</v>
      </c>
      <c r="Q498" s="46">
        <f t="shared" si="23"/>
        <v>399</v>
      </c>
      <c r="R498" s="45">
        <v>549</v>
      </c>
      <c r="S498" s="45">
        <v>499</v>
      </c>
      <c r="T498" s="45">
        <v>399</v>
      </c>
      <c r="U498" s="45">
        <v>399</v>
      </c>
      <c r="V498" s="45">
        <v>399</v>
      </c>
      <c r="W498" s="45">
        <v>399</v>
      </c>
      <c r="X498" s="45">
        <v>399</v>
      </c>
      <c r="Y498" s="45">
        <v>399</v>
      </c>
      <c r="Z498" s="45">
        <v>399</v>
      </c>
      <c r="AA498" s="45">
        <v>399</v>
      </c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7"/>
      <c r="AW498" s="48" t="s">
        <v>65</v>
      </c>
      <c r="AX498" s="51" t="s">
        <v>82</v>
      </c>
    </row>
    <row r="499" spans="1:50" ht="22.5" customHeight="1">
      <c r="A499" s="50" t="s">
        <v>61</v>
      </c>
      <c r="B499" s="41" t="s">
        <v>62</v>
      </c>
      <c r="C499" s="42">
        <v>4014167</v>
      </c>
      <c r="D499" s="44" t="s">
        <v>700</v>
      </c>
      <c r="E499" s="44" t="s">
        <v>704</v>
      </c>
      <c r="F499" s="45">
        <v>2699</v>
      </c>
      <c r="G499" s="45">
        <v>699</v>
      </c>
      <c r="H499" s="45">
        <v>699</v>
      </c>
      <c r="I499" s="45">
        <v>699</v>
      </c>
      <c r="J499" s="45">
        <f t="shared" si="21"/>
        <v>599</v>
      </c>
      <c r="K499" s="45">
        <f t="shared" si="22"/>
        <v>599</v>
      </c>
      <c r="L499" s="45">
        <f t="shared" si="22"/>
        <v>599</v>
      </c>
      <c r="M499" s="45">
        <v>599</v>
      </c>
      <c r="N499" s="45">
        <v>599</v>
      </c>
      <c r="O499" s="45">
        <f t="shared" si="23"/>
        <v>549</v>
      </c>
      <c r="P499" s="46">
        <f t="shared" si="23"/>
        <v>499</v>
      </c>
      <c r="Q499" s="46">
        <f t="shared" si="23"/>
        <v>399</v>
      </c>
      <c r="R499" s="45">
        <v>549</v>
      </c>
      <c r="S499" s="45">
        <v>499</v>
      </c>
      <c r="T499" s="45">
        <v>399</v>
      </c>
      <c r="U499" s="45">
        <v>399</v>
      </c>
      <c r="V499" s="45">
        <v>399</v>
      </c>
      <c r="W499" s="45">
        <v>399</v>
      </c>
      <c r="X499" s="45">
        <v>399</v>
      </c>
      <c r="Y499" s="45">
        <v>399</v>
      </c>
      <c r="Z499" s="45">
        <v>399</v>
      </c>
      <c r="AA499" s="45">
        <v>399</v>
      </c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7"/>
      <c r="AW499" s="48" t="s">
        <v>65</v>
      </c>
      <c r="AX499" s="51" t="s">
        <v>82</v>
      </c>
    </row>
    <row r="500" spans="1:50" ht="22.5" customHeight="1">
      <c r="A500" s="50" t="s">
        <v>61</v>
      </c>
      <c r="B500" s="41" t="s">
        <v>62</v>
      </c>
      <c r="C500" s="42">
        <v>4014801</v>
      </c>
      <c r="D500" s="44" t="s">
        <v>705</v>
      </c>
      <c r="E500" s="44" t="s">
        <v>706</v>
      </c>
      <c r="F500" s="45">
        <v>1299</v>
      </c>
      <c r="G500" s="45">
        <v>899</v>
      </c>
      <c r="H500" s="45">
        <v>899</v>
      </c>
      <c r="I500" s="45">
        <v>899</v>
      </c>
      <c r="J500" s="45">
        <f t="shared" si="21"/>
        <v>799</v>
      </c>
      <c r="K500" s="45">
        <f t="shared" si="22"/>
        <v>799</v>
      </c>
      <c r="L500" s="45">
        <f t="shared" si="22"/>
        <v>799</v>
      </c>
      <c r="M500" s="45">
        <v>799</v>
      </c>
      <c r="N500" s="45">
        <v>799</v>
      </c>
      <c r="O500" s="45">
        <f t="shared" si="23"/>
        <v>749</v>
      </c>
      <c r="P500" s="46">
        <f t="shared" si="23"/>
        <v>699</v>
      </c>
      <c r="Q500" s="46">
        <f t="shared" si="23"/>
        <v>499</v>
      </c>
      <c r="R500" s="45">
        <v>749</v>
      </c>
      <c r="S500" s="45">
        <v>699</v>
      </c>
      <c r="T500" s="45">
        <v>499</v>
      </c>
      <c r="U500" s="45">
        <v>499</v>
      </c>
      <c r="V500" s="45">
        <v>499</v>
      </c>
      <c r="W500" s="45">
        <v>499</v>
      </c>
      <c r="X500" s="45">
        <v>499</v>
      </c>
      <c r="Y500" s="45">
        <v>499</v>
      </c>
      <c r="Z500" s="45">
        <v>499</v>
      </c>
      <c r="AA500" s="45">
        <v>499</v>
      </c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7"/>
      <c r="AW500" s="48" t="s">
        <v>65</v>
      </c>
      <c r="AX500" s="51" t="s">
        <v>82</v>
      </c>
    </row>
    <row r="501" spans="1:50" ht="22.5" customHeight="1">
      <c r="A501" s="50" t="s">
        <v>61</v>
      </c>
      <c r="B501" s="41" t="s">
        <v>62</v>
      </c>
      <c r="C501" s="42">
        <v>4014810</v>
      </c>
      <c r="D501" s="44" t="s">
        <v>705</v>
      </c>
      <c r="E501" s="44" t="s">
        <v>707</v>
      </c>
      <c r="F501" s="45">
        <v>1299</v>
      </c>
      <c r="G501" s="45">
        <v>899</v>
      </c>
      <c r="H501" s="45">
        <v>899</v>
      </c>
      <c r="I501" s="45">
        <v>899</v>
      </c>
      <c r="J501" s="45">
        <f t="shared" si="21"/>
        <v>799</v>
      </c>
      <c r="K501" s="45">
        <f t="shared" si="22"/>
        <v>799</v>
      </c>
      <c r="L501" s="45">
        <f t="shared" si="22"/>
        <v>799</v>
      </c>
      <c r="M501" s="45">
        <v>799</v>
      </c>
      <c r="N501" s="45">
        <v>799</v>
      </c>
      <c r="O501" s="45">
        <f t="shared" si="23"/>
        <v>749</v>
      </c>
      <c r="P501" s="46">
        <f t="shared" si="23"/>
        <v>699</v>
      </c>
      <c r="Q501" s="46">
        <f t="shared" si="23"/>
        <v>499</v>
      </c>
      <c r="R501" s="45">
        <v>749</v>
      </c>
      <c r="S501" s="45">
        <v>699</v>
      </c>
      <c r="T501" s="45">
        <v>499</v>
      </c>
      <c r="U501" s="45">
        <v>499</v>
      </c>
      <c r="V501" s="45">
        <v>499</v>
      </c>
      <c r="W501" s="45">
        <v>499</v>
      </c>
      <c r="X501" s="45">
        <v>499</v>
      </c>
      <c r="Y501" s="45">
        <v>499</v>
      </c>
      <c r="Z501" s="45">
        <v>499</v>
      </c>
      <c r="AA501" s="45">
        <v>499</v>
      </c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7"/>
      <c r="AW501" s="48" t="s">
        <v>65</v>
      </c>
      <c r="AX501" s="51" t="s">
        <v>82</v>
      </c>
    </row>
    <row r="502" spans="1:50" ht="22.5" customHeight="1">
      <c r="A502" s="50" t="s">
        <v>61</v>
      </c>
      <c r="B502" s="41" t="s">
        <v>62</v>
      </c>
      <c r="C502" s="42">
        <v>4014804</v>
      </c>
      <c r="D502" s="44" t="s">
        <v>705</v>
      </c>
      <c r="E502" s="44" t="s">
        <v>708</v>
      </c>
      <c r="F502" s="45">
        <v>1299</v>
      </c>
      <c r="G502" s="45">
        <v>899</v>
      </c>
      <c r="H502" s="45">
        <v>899</v>
      </c>
      <c r="I502" s="45">
        <v>899</v>
      </c>
      <c r="J502" s="45">
        <f t="shared" si="21"/>
        <v>799</v>
      </c>
      <c r="K502" s="45">
        <f t="shared" si="22"/>
        <v>799</v>
      </c>
      <c r="L502" s="45">
        <f t="shared" si="22"/>
        <v>799</v>
      </c>
      <c r="M502" s="45">
        <v>799</v>
      </c>
      <c r="N502" s="45">
        <v>799</v>
      </c>
      <c r="O502" s="45">
        <f t="shared" si="23"/>
        <v>749</v>
      </c>
      <c r="P502" s="46">
        <f t="shared" si="23"/>
        <v>699</v>
      </c>
      <c r="Q502" s="46">
        <f t="shared" si="23"/>
        <v>499</v>
      </c>
      <c r="R502" s="45">
        <v>749</v>
      </c>
      <c r="S502" s="45">
        <v>699</v>
      </c>
      <c r="T502" s="45">
        <v>499</v>
      </c>
      <c r="U502" s="45">
        <v>499</v>
      </c>
      <c r="V502" s="45">
        <v>499</v>
      </c>
      <c r="W502" s="45">
        <v>499</v>
      </c>
      <c r="X502" s="45">
        <v>499</v>
      </c>
      <c r="Y502" s="45">
        <v>499</v>
      </c>
      <c r="Z502" s="45">
        <v>499</v>
      </c>
      <c r="AA502" s="45">
        <v>499</v>
      </c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7"/>
      <c r="AW502" s="48" t="s">
        <v>65</v>
      </c>
      <c r="AX502" s="51" t="s">
        <v>82</v>
      </c>
    </row>
    <row r="503" spans="1:50" ht="22.5" customHeight="1">
      <c r="A503" s="50" t="s">
        <v>61</v>
      </c>
      <c r="B503" s="41" t="s">
        <v>62</v>
      </c>
      <c r="C503" s="42">
        <v>4014812</v>
      </c>
      <c r="D503" s="44" t="s">
        <v>705</v>
      </c>
      <c r="E503" s="44" t="s">
        <v>709</v>
      </c>
      <c r="F503" s="45">
        <v>1299</v>
      </c>
      <c r="G503" s="45">
        <v>899</v>
      </c>
      <c r="H503" s="45">
        <v>899</v>
      </c>
      <c r="I503" s="45">
        <v>899</v>
      </c>
      <c r="J503" s="45">
        <f t="shared" si="21"/>
        <v>799</v>
      </c>
      <c r="K503" s="45">
        <f t="shared" ref="K503:L560" si="24">M503</f>
        <v>799</v>
      </c>
      <c r="L503" s="45">
        <f t="shared" si="24"/>
        <v>799</v>
      </c>
      <c r="M503" s="45">
        <v>799</v>
      </c>
      <c r="N503" s="45">
        <v>799</v>
      </c>
      <c r="O503" s="45">
        <f t="shared" si="23"/>
        <v>749</v>
      </c>
      <c r="P503" s="46">
        <f t="shared" si="23"/>
        <v>699</v>
      </c>
      <c r="Q503" s="46">
        <f t="shared" si="23"/>
        <v>499</v>
      </c>
      <c r="R503" s="45">
        <v>749</v>
      </c>
      <c r="S503" s="45">
        <v>699</v>
      </c>
      <c r="T503" s="45">
        <v>499</v>
      </c>
      <c r="U503" s="45">
        <v>499</v>
      </c>
      <c r="V503" s="45">
        <v>499</v>
      </c>
      <c r="W503" s="45">
        <v>499</v>
      </c>
      <c r="X503" s="45">
        <v>499</v>
      </c>
      <c r="Y503" s="45">
        <v>499</v>
      </c>
      <c r="Z503" s="45">
        <v>499</v>
      </c>
      <c r="AA503" s="45">
        <v>499</v>
      </c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7"/>
      <c r="AW503" s="48" t="s">
        <v>65</v>
      </c>
      <c r="AX503" s="51" t="s">
        <v>82</v>
      </c>
    </row>
    <row r="504" spans="1:50" ht="22.5" customHeight="1">
      <c r="A504" s="50" t="s">
        <v>61</v>
      </c>
      <c r="B504" s="41" t="s">
        <v>62</v>
      </c>
      <c r="C504" s="42">
        <v>4014915</v>
      </c>
      <c r="D504" s="44" t="s">
        <v>705</v>
      </c>
      <c r="E504" s="44" t="s">
        <v>710</v>
      </c>
      <c r="F504" s="45">
        <v>1299</v>
      </c>
      <c r="G504" s="45">
        <v>899</v>
      </c>
      <c r="H504" s="45">
        <v>899</v>
      </c>
      <c r="I504" s="45">
        <v>899</v>
      </c>
      <c r="J504" s="45">
        <f t="shared" si="21"/>
        <v>799</v>
      </c>
      <c r="K504" s="45">
        <f t="shared" si="24"/>
        <v>799</v>
      </c>
      <c r="L504" s="45">
        <f t="shared" si="24"/>
        <v>799</v>
      </c>
      <c r="M504" s="45">
        <v>799</v>
      </c>
      <c r="N504" s="45">
        <v>799</v>
      </c>
      <c r="O504" s="45">
        <f t="shared" si="23"/>
        <v>749</v>
      </c>
      <c r="P504" s="46">
        <f t="shared" si="23"/>
        <v>699</v>
      </c>
      <c r="Q504" s="46">
        <f t="shared" si="23"/>
        <v>499</v>
      </c>
      <c r="R504" s="45">
        <v>749</v>
      </c>
      <c r="S504" s="45">
        <v>699</v>
      </c>
      <c r="T504" s="45">
        <v>499</v>
      </c>
      <c r="U504" s="45">
        <v>499</v>
      </c>
      <c r="V504" s="45">
        <v>499</v>
      </c>
      <c r="W504" s="45">
        <v>499</v>
      </c>
      <c r="X504" s="45">
        <v>499</v>
      </c>
      <c r="Y504" s="45">
        <v>499</v>
      </c>
      <c r="Z504" s="45">
        <v>499</v>
      </c>
      <c r="AA504" s="45">
        <v>499</v>
      </c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7"/>
      <c r="AW504" s="48" t="s">
        <v>65</v>
      </c>
      <c r="AX504" s="51" t="s">
        <v>82</v>
      </c>
    </row>
    <row r="505" spans="1:50" ht="22.5" customHeight="1">
      <c r="A505" s="50" t="s">
        <v>61</v>
      </c>
      <c r="B505" s="41" t="s">
        <v>62</v>
      </c>
      <c r="C505" s="42">
        <v>4015441</v>
      </c>
      <c r="D505" s="44" t="s">
        <v>711</v>
      </c>
      <c r="E505" s="44" t="s">
        <v>712</v>
      </c>
      <c r="F505" s="45">
        <v>1599</v>
      </c>
      <c r="G505" s="45">
        <v>1299</v>
      </c>
      <c r="H505" s="45">
        <v>1299</v>
      </c>
      <c r="I505" s="45">
        <v>1299</v>
      </c>
      <c r="J505" s="45">
        <f t="shared" si="21"/>
        <v>999</v>
      </c>
      <c r="K505" s="45">
        <f t="shared" si="24"/>
        <v>999</v>
      </c>
      <c r="L505" s="45">
        <f t="shared" si="24"/>
        <v>999</v>
      </c>
      <c r="M505" s="45">
        <v>999</v>
      </c>
      <c r="N505" s="45">
        <v>999</v>
      </c>
      <c r="O505" s="45">
        <f t="shared" si="23"/>
        <v>899</v>
      </c>
      <c r="P505" s="46">
        <f t="shared" si="23"/>
        <v>799</v>
      </c>
      <c r="Q505" s="46">
        <f t="shared" si="23"/>
        <v>699</v>
      </c>
      <c r="R505" s="45">
        <v>899</v>
      </c>
      <c r="S505" s="45">
        <v>799</v>
      </c>
      <c r="T505" s="45">
        <v>699</v>
      </c>
      <c r="U505" s="45">
        <v>699</v>
      </c>
      <c r="V505" s="45">
        <v>699</v>
      </c>
      <c r="W505" s="45">
        <v>699</v>
      </c>
      <c r="X505" s="45">
        <v>649</v>
      </c>
      <c r="Y505" s="45">
        <v>599</v>
      </c>
      <c r="Z505" s="45">
        <v>599</v>
      </c>
      <c r="AA505" s="45">
        <v>579</v>
      </c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7"/>
      <c r="AW505" s="48" t="s">
        <v>65</v>
      </c>
      <c r="AX505" s="51" t="s">
        <v>82</v>
      </c>
    </row>
    <row r="506" spans="1:50" ht="22.5" customHeight="1">
      <c r="A506" s="50" t="s">
        <v>61</v>
      </c>
      <c r="B506" s="41" t="s">
        <v>62</v>
      </c>
      <c r="C506" s="42">
        <v>4015447</v>
      </c>
      <c r="D506" s="44" t="s">
        <v>711</v>
      </c>
      <c r="E506" s="44" t="s">
        <v>713</v>
      </c>
      <c r="F506" s="45">
        <v>1599</v>
      </c>
      <c r="G506" s="45">
        <v>1299</v>
      </c>
      <c r="H506" s="45">
        <v>1299</v>
      </c>
      <c r="I506" s="45">
        <v>1299</v>
      </c>
      <c r="J506" s="45">
        <f t="shared" si="21"/>
        <v>999</v>
      </c>
      <c r="K506" s="45">
        <f t="shared" si="24"/>
        <v>999</v>
      </c>
      <c r="L506" s="45">
        <f t="shared" si="24"/>
        <v>999</v>
      </c>
      <c r="M506" s="45">
        <v>999</v>
      </c>
      <c r="N506" s="45">
        <v>999</v>
      </c>
      <c r="O506" s="45">
        <f t="shared" si="23"/>
        <v>899</v>
      </c>
      <c r="P506" s="46">
        <f t="shared" si="23"/>
        <v>799</v>
      </c>
      <c r="Q506" s="46">
        <f t="shared" si="23"/>
        <v>699</v>
      </c>
      <c r="R506" s="45">
        <v>899</v>
      </c>
      <c r="S506" s="45">
        <v>799</v>
      </c>
      <c r="T506" s="45">
        <v>699</v>
      </c>
      <c r="U506" s="45">
        <v>699</v>
      </c>
      <c r="V506" s="45">
        <v>699</v>
      </c>
      <c r="W506" s="45">
        <v>699</v>
      </c>
      <c r="X506" s="45">
        <v>649</v>
      </c>
      <c r="Y506" s="45">
        <v>599</v>
      </c>
      <c r="Z506" s="45">
        <v>599</v>
      </c>
      <c r="AA506" s="45">
        <v>579</v>
      </c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7"/>
      <c r="AW506" s="48" t="s">
        <v>65</v>
      </c>
      <c r="AX506" s="51" t="s">
        <v>82</v>
      </c>
    </row>
    <row r="507" spans="1:50" ht="22.5" customHeight="1">
      <c r="A507" s="50" t="s">
        <v>61</v>
      </c>
      <c r="B507" s="41" t="s">
        <v>62</v>
      </c>
      <c r="C507" s="42">
        <v>4015469</v>
      </c>
      <c r="D507" s="44" t="s">
        <v>711</v>
      </c>
      <c r="E507" s="44" t="s">
        <v>714</v>
      </c>
      <c r="F507" s="45">
        <v>1599</v>
      </c>
      <c r="G507" s="45">
        <v>1299</v>
      </c>
      <c r="H507" s="45">
        <v>1299</v>
      </c>
      <c r="I507" s="45">
        <v>1299</v>
      </c>
      <c r="J507" s="45">
        <f t="shared" si="21"/>
        <v>999</v>
      </c>
      <c r="K507" s="45">
        <f t="shared" si="24"/>
        <v>999</v>
      </c>
      <c r="L507" s="45">
        <f t="shared" si="24"/>
        <v>999</v>
      </c>
      <c r="M507" s="45">
        <v>999</v>
      </c>
      <c r="N507" s="45">
        <v>999</v>
      </c>
      <c r="O507" s="45">
        <f t="shared" si="23"/>
        <v>899</v>
      </c>
      <c r="P507" s="46">
        <f t="shared" si="23"/>
        <v>799</v>
      </c>
      <c r="Q507" s="46">
        <f t="shared" si="23"/>
        <v>699</v>
      </c>
      <c r="R507" s="45">
        <v>899</v>
      </c>
      <c r="S507" s="45">
        <v>799</v>
      </c>
      <c r="T507" s="45">
        <v>699</v>
      </c>
      <c r="U507" s="45">
        <v>699</v>
      </c>
      <c r="V507" s="45">
        <v>699</v>
      </c>
      <c r="W507" s="45">
        <v>699</v>
      </c>
      <c r="X507" s="45">
        <v>649</v>
      </c>
      <c r="Y507" s="45">
        <v>599</v>
      </c>
      <c r="Z507" s="45">
        <v>599</v>
      </c>
      <c r="AA507" s="45">
        <v>579</v>
      </c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7"/>
      <c r="AW507" s="48" t="s">
        <v>65</v>
      </c>
      <c r="AX507" s="51" t="s">
        <v>82</v>
      </c>
    </row>
    <row r="508" spans="1:50" ht="22.5" customHeight="1">
      <c r="A508" s="50" t="s">
        <v>61</v>
      </c>
      <c r="B508" s="41" t="s">
        <v>62</v>
      </c>
      <c r="C508" s="42">
        <v>4015473</v>
      </c>
      <c r="D508" s="44" t="s">
        <v>711</v>
      </c>
      <c r="E508" s="44" t="s">
        <v>715</v>
      </c>
      <c r="F508" s="45">
        <v>1599</v>
      </c>
      <c r="G508" s="45">
        <v>1299</v>
      </c>
      <c r="H508" s="45">
        <v>1299</v>
      </c>
      <c r="I508" s="45">
        <v>1299</v>
      </c>
      <c r="J508" s="45">
        <f t="shared" si="21"/>
        <v>999</v>
      </c>
      <c r="K508" s="45">
        <f t="shared" si="24"/>
        <v>999</v>
      </c>
      <c r="L508" s="45">
        <f t="shared" si="24"/>
        <v>999</v>
      </c>
      <c r="M508" s="45">
        <v>999</v>
      </c>
      <c r="N508" s="45">
        <v>999</v>
      </c>
      <c r="O508" s="45">
        <f t="shared" si="23"/>
        <v>899</v>
      </c>
      <c r="P508" s="46">
        <f t="shared" si="23"/>
        <v>799</v>
      </c>
      <c r="Q508" s="46">
        <f t="shared" si="23"/>
        <v>699</v>
      </c>
      <c r="R508" s="45">
        <v>899</v>
      </c>
      <c r="S508" s="45">
        <v>799</v>
      </c>
      <c r="T508" s="45">
        <v>699</v>
      </c>
      <c r="U508" s="45">
        <v>699</v>
      </c>
      <c r="V508" s="45">
        <v>699</v>
      </c>
      <c r="W508" s="45">
        <v>699</v>
      </c>
      <c r="X508" s="45">
        <v>649</v>
      </c>
      <c r="Y508" s="45">
        <v>599</v>
      </c>
      <c r="Z508" s="45">
        <v>599</v>
      </c>
      <c r="AA508" s="45">
        <v>579</v>
      </c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7"/>
      <c r="AW508" s="48" t="s">
        <v>65</v>
      </c>
      <c r="AX508" s="51" t="s">
        <v>82</v>
      </c>
    </row>
    <row r="509" spans="1:50" ht="22.5" customHeight="1">
      <c r="A509" s="50" t="s">
        <v>61</v>
      </c>
      <c r="B509" s="41" t="s">
        <v>62</v>
      </c>
      <c r="C509" s="42">
        <v>4015915</v>
      </c>
      <c r="D509" s="44" t="s">
        <v>711</v>
      </c>
      <c r="E509" s="44" t="s">
        <v>716</v>
      </c>
      <c r="F509" s="45">
        <v>1599</v>
      </c>
      <c r="G509" s="45">
        <v>1299</v>
      </c>
      <c r="H509" s="45">
        <v>1299</v>
      </c>
      <c r="I509" s="45">
        <v>1299</v>
      </c>
      <c r="J509" s="45">
        <f t="shared" si="21"/>
        <v>999</v>
      </c>
      <c r="K509" s="45">
        <f t="shared" si="24"/>
        <v>999</v>
      </c>
      <c r="L509" s="45">
        <f t="shared" si="24"/>
        <v>999</v>
      </c>
      <c r="M509" s="45">
        <v>999</v>
      </c>
      <c r="N509" s="45">
        <v>999</v>
      </c>
      <c r="O509" s="45">
        <f t="shared" si="23"/>
        <v>899</v>
      </c>
      <c r="P509" s="46">
        <f t="shared" si="23"/>
        <v>799</v>
      </c>
      <c r="Q509" s="46">
        <f t="shared" si="23"/>
        <v>699</v>
      </c>
      <c r="R509" s="45">
        <v>899</v>
      </c>
      <c r="S509" s="45">
        <v>799</v>
      </c>
      <c r="T509" s="45">
        <v>699</v>
      </c>
      <c r="U509" s="45">
        <v>699</v>
      </c>
      <c r="V509" s="45">
        <v>699</v>
      </c>
      <c r="W509" s="45">
        <v>699</v>
      </c>
      <c r="X509" s="45">
        <v>649</v>
      </c>
      <c r="Y509" s="45">
        <v>599</v>
      </c>
      <c r="Z509" s="45">
        <v>599</v>
      </c>
      <c r="AA509" s="45">
        <v>579</v>
      </c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7"/>
      <c r="AW509" s="48" t="s">
        <v>65</v>
      </c>
      <c r="AX509" s="51" t="s">
        <v>82</v>
      </c>
    </row>
    <row r="510" spans="1:50" ht="22.5" customHeight="1">
      <c r="A510" s="50" t="s">
        <v>61</v>
      </c>
      <c r="B510" s="41" t="s">
        <v>62</v>
      </c>
      <c r="C510" s="42">
        <v>4015935</v>
      </c>
      <c r="D510" s="44" t="s">
        <v>717</v>
      </c>
      <c r="E510" s="44" t="s">
        <v>718</v>
      </c>
      <c r="F510" s="45">
        <v>2999</v>
      </c>
      <c r="G510" s="45">
        <v>1649</v>
      </c>
      <c r="H510" s="45">
        <v>1649</v>
      </c>
      <c r="I510" s="45">
        <v>1649</v>
      </c>
      <c r="J510" s="45">
        <v>1599</v>
      </c>
      <c r="K510" s="45">
        <v>1499</v>
      </c>
      <c r="L510" s="45">
        <v>1499</v>
      </c>
      <c r="M510" s="45">
        <v>1599</v>
      </c>
      <c r="N510" s="45">
        <v>1499</v>
      </c>
      <c r="O510" s="45">
        <v>1399</v>
      </c>
      <c r="P510" s="46">
        <v>1299</v>
      </c>
      <c r="Q510" s="46">
        <v>999</v>
      </c>
      <c r="R510" s="45">
        <v>1399</v>
      </c>
      <c r="S510" s="45">
        <v>1299</v>
      </c>
      <c r="T510" s="45">
        <v>999</v>
      </c>
      <c r="U510" s="45">
        <v>999</v>
      </c>
      <c r="V510" s="45">
        <v>999</v>
      </c>
      <c r="W510" s="45">
        <v>999</v>
      </c>
      <c r="X510" s="45">
        <v>999</v>
      </c>
      <c r="Y510" s="45">
        <v>999</v>
      </c>
      <c r="Z510" s="45">
        <v>999</v>
      </c>
      <c r="AA510" s="45">
        <v>999</v>
      </c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7"/>
      <c r="AW510" s="48" t="s">
        <v>65</v>
      </c>
      <c r="AX510" s="51" t="s">
        <v>82</v>
      </c>
    </row>
    <row r="511" spans="1:50" ht="22.5" customHeight="1">
      <c r="A511" s="50" t="s">
        <v>61</v>
      </c>
      <c r="B511" s="41" t="s">
        <v>62</v>
      </c>
      <c r="C511" s="42">
        <v>4016155</v>
      </c>
      <c r="D511" s="44" t="s">
        <v>717</v>
      </c>
      <c r="E511" s="44" t="s">
        <v>719</v>
      </c>
      <c r="F511" s="45">
        <v>2999</v>
      </c>
      <c r="G511" s="45">
        <v>1649</v>
      </c>
      <c r="H511" s="45">
        <v>1649</v>
      </c>
      <c r="I511" s="45">
        <v>1649</v>
      </c>
      <c r="J511" s="45">
        <v>1599</v>
      </c>
      <c r="K511" s="45">
        <v>1499</v>
      </c>
      <c r="L511" s="45">
        <v>1499</v>
      </c>
      <c r="M511" s="45">
        <v>1599</v>
      </c>
      <c r="N511" s="45">
        <v>1499</v>
      </c>
      <c r="O511" s="45">
        <v>1399</v>
      </c>
      <c r="P511" s="46">
        <v>1299</v>
      </c>
      <c r="Q511" s="46">
        <v>999</v>
      </c>
      <c r="R511" s="45">
        <v>1399</v>
      </c>
      <c r="S511" s="45">
        <v>1299</v>
      </c>
      <c r="T511" s="45">
        <v>999</v>
      </c>
      <c r="U511" s="45">
        <v>999</v>
      </c>
      <c r="V511" s="45">
        <v>999</v>
      </c>
      <c r="W511" s="45">
        <v>999</v>
      </c>
      <c r="X511" s="45">
        <v>999</v>
      </c>
      <c r="Y511" s="45">
        <v>999</v>
      </c>
      <c r="Z511" s="45">
        <v>999</v>
      </c>
      <c r="AA511" s="45">
        <v>999</v>
      </c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7"/>
      <c r="AW511" s="48" t="s">
        <v>65</v>
      </c>
      <c r="AX511" s="51" t="s">
        <v>82</v>
      </c>
    </row>
    <row r="512" spans="1:50" ht="22.5" customHeight="1">
      <c r="A512" s="50" t="s">
        <v>61</v>
      </c>
      <c r="B512" s="41" t="s">
        <v>62</v>
      </c>
      <c r="C512" s="42">
        <v>4015939</v>
      </c>
      <c r="D512" s="44" t="s">
        <v>717</v>
      </c>
      <c r="E512" s="44" t="s">
        <v>720</v>
      </c>
      <c r="F512" s="45">
        <v>2999</v>
      </c>
      <c r="G512" s="45">
        <v>1649</v>
      </c>
      <c r="H512" s="45">
        <v>1649</v>
      </c>
      <c r="I512" s="45">
        <v>1649</v>
      </c>
      <c r="J512" s="45">
        <v>1599</v>
      </c>
      <c r="K512" s="45">
        <v>1499</v>
      </c>
      <c r="L512" s="45">
        <v>1499</v>
      </c>
      <c r="M512" s="45">
        <v>1599</v>
      </c>
      <c r="N512" s="45">
        <v>1499</v>
      </c>
      <c r="O512" s="45">
        <v>1399</v>
      </c>
      <c r="P512" s="46">
        <v>1299</v>
      </c>
      <c r="Q512" s="46">
        <v>999</v>
      </c>
      <c r="R512" s="45">
        <v>1399</v>
      </c>
      <c r="S512" s="45">
        <v>1299</v>
      </c>
      <c r="T512" s="45">
        <v>999</v>
      </c>
      <c r="U512" s="45">
        <v>999</v>
      </c>
      <c r="V512" s="45">
        <v>999</v>
      </c>
      <c r="W512" s="45">
        <v>999</v>
      </c>
      <c r="X512" s="45">
        <v>999</v>
      </c>
      <c r="Y512" s="45">
        <v>999</v>
      </c>
      <c r="Z512" s="45">
        <v>999</v>
      </c>
      <c r="AA512" s="45">
        <v>999</v>
      </c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7"/>
      <c r="AW512" s="48" t="s">
        <v>65</v>
      </c>
      <c r="AX512" s="51" t="s">
        <v>82</v>
      </c>
    </row>
    <row r="513" spans="1:50" ht="22.5" customHeight="1">
      <c r="A513" s="50" t="s">
        <v>61</v>
      </c>
      <c r="B513" s="41" t="s">
        <v>62</v>
      </c>
      <c r="C513" s="42">
        <v>4016152</v>
      </c>
      <c r="D513" s="44" t="s">
        <v>717</v>
      </c>
      <c r="E513" s="44" t="s">
        <v>721</v>
      </c>
      <c r="F513" s="45">
        <v>2999</v>
      </c>
      <c r="G513" s="45">
        <v>1649</v>
      </c>
      <c r="H513" s="45">
        <v>1649</v>
      </c>
      <c r="I513" s="45">
        <v>1649</v>
      </c>
      <c r="J513" s="45">
        <v>1599</v>
      </c>
      <c r="K513" s="45">
        <v>1499</v>
      </c>
      <c r="L513" s="45">
        <v>1499</v>
      </c>
      <c r="M513" s="45">
        <v>1599</v>
      </c>
      <c r="N513" s="45">
        <v>1499</v>
      </c>
      <c r="O513" s="45">
        <v>1399</v>
      </c>
      <c r="P513" s="46">
        <v>1299</v>
      </c>
      <c r="Q513" s="46">
        <v>999</v>
      </c>
      <c r="R513" s="45">
        <v>1399</v>
      </c>
      <c r="S513" s="45">
        <v>1299</v>
      </c>
      <c r="T513" s="45">
        <v>999</v>
      </c>
      <c r="U513" s="45">
        <v>999</v>
      </c>
      <c r="V513" s="45">
        <v>999</v>
      </c>
      <c r="W513" s="45">
        <v>999</v>
      </c>
      <c r="X513" s="45">
        <v>999</v>
      </c>
      <c r="Y513" s="45">
        <v>999</v>
      </c>
      <c r="Z513" s="45">
        <v>999</v>
      </c>
      <c r="AA513" s="45">
        <v>999</v>
      </c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7"/>
      <c r="AW513" s="48" t="s">
        <v>65</v>
      </c>
      <c r="AX513" s="51" t="s">
        <v>82</v>
      </c>
    </row>
    <row r="514" spans="1:50" ht="22.5" customHeight="1">
      <c r="A514" s="50" t="s">
        <v>61</v>
      </c>
      <c r="B514" s="41" t="s">
        <v>62</v>
      </c>
      <c r="C514" s="42">
        <v>4016159</v>
      </c>
      <c r="D514" s="44" t="s">
        <v>717</v>
      </c>
      <c r="E514" s="44" t="s">
        <v>722</v>
      </c>
      <c r="F514" s="45">
        <v>2999</v>
      </c>
      <c r="G514" s="45">
        <v>1649</v>
      </c>
      <c r="H514" s="45">
        <v>1649</v>
      </c>
      <c r="I514" s="45">
        <v>1649</v>
      </c>
      <c r="J514" s="45">
        <v>1599</v>
      </c>
      <c r="K514" s="45">
        <v>1499</v>
      </c>
      <c r="L514" s="45">
        <v>1499</v>
      </c>
      <c r="M514" s="45">
        <v>1599</v>
      </c>
      <c r="N514" s="45">
        <v>1499</v>
      </c>
      <c r="O514" s="45">
        <v>1399</v>
      </c>
      <c r="P514" s="46">
        <v>1299</v>
      </c>
      <c r="Q514" s="46">
        <v>999</v>
      </c>
      <c r="R514" s="45">
        <v>1399</v>
      </c>
      <c r="S514" s="45">
        <v>1299</v>
      </c>
      <c r="T514" s="45">
        <v>999</v>
      </c>
      <c r="U514" s="45">
        <v>999</v>
      </c>
      <c r="V514" s="45">
        <v>999</v>
      </c>
      <c r="W514" s="45">
        <v>999</v>
      </c>
      <c r="X514" s="45">
        <v>999</v>
      </c>
      <c r="Y514" s="45">
        <v>999</v>
      </c>
      <c r="Z514" s="45">
        <v>999</v>
      </c>
      <c r="AA514" s="45">
        <v>999</v>
      </c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7"/>
      <c r="AW514" s="48" t="s">
        <v>65</v>
      </c>
      <c r="AX514" s="51" t="s">
        <v>82</v>
      </c>
    </row>
    <row r="515" spans="1:50" ht="22.5" customHeight="1">
      <c r="A515" s="50" t="s">
        <v>61</v>
      </c>
      <c r="B515" s="41" t="s">
        <v>62</v>
      </c>
      <c r="C515" s="42">
        <v>4016147</v>
      </c>
      <c r="D515" s="44" t="s">
        <v>717</v>
      </c>
      <c r="E515" s="44" t="s">
        <v>723</v>
      </c>
      <c r="F515" s="45">
        <v>2999</v>
      </c>
      <c r="G515" s="45">
        <v>1649</v>
      </c>
      <c r="H515" s="45">
        <v>1649</v>
      </c>
      <c r="I515" s="45">
        <v>1649</v>
      </c>
      <c r="J515" s="45">
        <v>1599</v>
      </c>
      <c r="K515" s="45">
        <v>1499</v>
      </c>
      <c r="L515" s="45">
        <v>1499</v>
      </c>
      <c r="M515" s="45">
        <v>1599</v>
      </c>
      <c r="N515" s="45">
        <v>1499</v>
      </c>
      <c r="O515" s="45">
        <v>1399</v>
      </c>
      <c r="P515" s="46">
        <v>1299</v>
      </c>
      <c r="Q515" s="46">
        <v>999</v>
      </c>
      <c r="R515" s="45">
        <v>1399</v>
      </c>
      <c r="S515" s="45">
        <v>1299</v>
      </c>
      <c r="T515" s="45">
        <v>999</v>
      </c>
      <c r="U515" s="45">
        <v>999</v>
      </c>
      <c r="V515" s="45">
        <v>999</v>
      </c>
      <c r="W515" s="45">
        <v>999</v>
      </c>
      <c r="X515" s="45">
        <v>999</v>
      </c>
      <c r="Y515" s="45">
        <v>999</v>
      </c>
      <c r="Z515" s="45">
        <v>999</v>
      </c>
      <c r="AA515" s="45">
        <v>999</v>
      </c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7"/>
      <c r="AW515" s="48" t="s">
        <v>65</v>
      </c>
      <c r="AX515" s="51" t="s">
        <v>82</v>
      </c>
    </row>
    <row r="516" spans="1:50" ht="22.5" customHeight="1">
      <c r="A516" s="50" t="s">
        <v>61</v>
      </c>
      <c r="B516" s="41" t="s">
        <v>62</v>
      </c>
      <c r="C516" s="42">
        <v>4016974</v>
      </c>
      <c r="D516" s="44" t="s">
        <v>724</v>
      </c>
      <c r="E516" s="44" t="s">
        <v>725</v>
      </c>
      <c r="F516" s="45">
        <v>3099</v>
      </c>
      <c r="G516" s="46">
        <v>2119</v>
      </c>
      <c r="H516" s="46">
        <v>2119</v>
      </c>
      <c r="I516" s="46">
        <v>2119</v>
      </c>
      <c r="J516" s="46">
        <v>1999</v>
      </c>
      <c r="K516" s="46">
        <v>1799</v>
      </c>
      <c r="L516" s="46">
        <v>1799</v>
      </c>
      <c r="M516" s="46">
        <v>1999</v>
      </c>
      <c r="N516" s="46">
        <v>1799</v>
      </c>
      <c r="O516" s="46">
        <v>1749</v>
      </c>
      <c r="P516" s="46">
        <v>1699</v>
      </c>
      <c r="Q516" s="46">
        <v>1299</v>
      </c>
      <c r="R516" s="46">
        <v>1749</v>
      </c>
      <c r="S516" s="46">
        <v>1699</v>
      </c>
      <c r="T516" s="46">
        <v>1299</v>
      </c>
      <c r="U516" s="46">
        <v>1299</v>
      </c>
      <c r="V516" s="46">
        <v>1299</v>
      </c>
      <c r="W516" s="46">
        <v>1299</v>
      </c>
      <c r="X516" s="46">
        <v>1199</v>
      </c>
      <c r="Y516" s="46">
        <v>1199</v>
      </c>
      <c r="Z516" s="46">
        <v>1199</v>
      </c>
      <c r="AA516" s="46">
        <v>1199</v>
      </c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7"/>
      <c r="AW516" s="48" t="s">
        <v>65</v>
      </c>
      <c r="AX516" s="51" t="s">
        <v>82</v>
      </c>
    </row>
    <row r="517" spans="1:50" ht="22.5" customHeight="1">
      <c r="A517" s="50" t="s">
        <v>61</v>
      </c>
      <c r="B517" s="41" t="s">
        <v>62</v>
      </c>
      <c r="C517" s="42">
        <v>4016989</v>
      </c>
      <c r="D517" s="44" t="s">
        <v>724</v>
      </c>
      <c r="E517" s="44" t="s">
        <v>726</v>
      </c>
      <c r="F517" s="45">
        <v>3099</v>
      </c>
      <c r="G517" s="46">
        <v>2119</v>
      </c>
      <c r="H517" s="46">
        <v>2119</v>
      </c>
      <c r="I517" s="46">
        <v>2119</v>
      </c>
      <c r="J517" s="46">
        <v>1999</v>
      </c>
      <c r="K517" s="46">
        <v>1799</v>
      </c>
      <c r="L517" s="46">
        <v>1799</v>
      </c>
      <c r="M517" s="46">
        <v>1999</v>
      </c>
      <c r="N517" s="46">
        <v>1799</v>
      </c>
      <c r="O517" s="46">
        <v>1749</v>
      </c>
      <c r="P517" s="46">
        <v>1699</v>
      </c>
      <c r="Q517" s="46">
        <v>1299</v>
      </c>
      <c r="R517" s="46">
        <v>1749</v>
      </c>
      <c r="S517" s="46">
        <v>1699</v>
      </c>
      <c r="T517" s="46">
        <v>1299</v>
      </c>
      <c r="U517" s="46">
        <v>1299</v>
      </c>
      <c r="V517" s="46">
        <v>1299</v>
      </c>
      <c r="W517" s="46">
        <v>1299</v>
      </c>
      <c r="X517" s="46">
        <v>1199</v>
      </c>
      <c r="Y517" s="46">
        <v>1199</v>
      </c>
      <c r="Z517" s="46">
        <v>1199</v>
      </c>
      <c r="AA517" s="46">
        <v>1199</v>
      </c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7"/>
      <c r="AW517" s="48" t="s">
        <v>65</v>
      </c>
      <c r="AX517" s="51" t="s">
        <v>82</v>
      </c>
    </row>
    <row r="518" spans="1:50" ht="22.5" customHeight="1">
      <c r="A518" s="50" t="s">
        <v>61</v>
      </c>
      <c r="B518" s="41" t="s">
        <v>62</v>
      </c>
      <c r="C518" s="42">
        <v>4016978</v>
      </c>
      <c r="D518" s="44" t="s">
        <v>724</v>
      </c>
      <c r="E518" s="44" t="s">
        <v>727</v>
      </c>
      <c r="F518" s="45">
        <v>3099</v>
      </c>
      <c r="G518" s="46">
        <v>2119</v>
      </c>
      <c r="H518" s="46">
        <v>2119</v>
      </c>
      <c r="I518" s="46">
        <v>2119</v>
      </c>
      <c r="J518" s="46">
        <v>1999</v>
      </c>
      <c r="K518" s="46">
        <v>1799</v>
      </c>
      <c r="L518" s="46">
        <v>1799</v>
      </c>
      <c r="M518" s="46">
        <v>1999</v>
      </c>
      <c r="N518" s="46">
        <v>1799</v>
      </c>
      <c r="O518" s="46">
        <v>1749</v>
      </c>
      <c r="P518" s="46">
        <v>1699</v>
      </c>
      <c r="Q518" s="46">
        <v>1299</v>
      </c>
      <c r="R518" s="46">
        <v>1749</v>
      </c>
      <c r="S518" s="46">
        <v>1699</v>
      </c>
      <c r="T518" s="46">
        <v>1299</v>
      </c>
      <c r="U518" s="46">
        <v>1299</v>
      </c>
      <c r="V518" s="46">
        <v>1299</v>
      </c>
      <c r="W518" s="46">
        <v>1299</v>
      </c>
      <c r="X518" s="46">
        <v>1199</v>
      </c>
      <c r="Y518" s="46">
        <v>1199</v>
      </c>
      <c r="Z518" s="46">
        <v>1199</v>
      </c>
      <c r="AA518" s="46">
        <v>1199</v>
      </c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7"/>
      <c r="AW518" s="48" t="s">
        <v>65</v>
      </c>
      <c r="AX518" s="51" t="s">
        <v>82</v>
      </c>
    </row>
    <row r="519" spans="1:50" ht="22.5" customHeight="1">
      <c r="A519" s="50" t="s">
        <v>61</v>
      </c>
      <c r="B519" s="41" t="s">
        <v>62</v>
      </c>
      <c r="C519" s="42">
        <v>4016994</v>
      </c>
      <c r="D519" s="44" t="s">
        <v>724</v>
      </c>
      <c r="E519" s="44" t="s">
        <v>728</v>
      </c>
      <c r="F519" s="45">
        <v>3099</v>
      </c>
      <c r="G519" s="46">
        <v>2119</v>
      </c>
      <c r="H519" s="46">
        <v>2119</v>
      </c>
      <c r="I519" s="46">
        <v>2119</v>
      </c>
      <c r="J519" s="46">
        <v>1999</v>
      </c>
      <c r="K519" s="46">
        <v>1799</v>
      </c>
      <c r="L519" s="46">
        <v>1799</v>
      </c>
      <c r="M519" s="46">
        <v>1999</v>
      </c>
      <c r="N519" s="46">
        <v>1799</v>
      </c>
      <c r="O519" s="46">
        <v>1749</v>
      </c>
      <c r="P519" s="46">
        <v>1699</v>
      </c>
      <c r="Q519" s="46">
        <v>1299</v>
      </c>
      <c r="R519" s="46">
        <v>1749</v>
      </c>
      <c r="S519" s="46">
        <v>1699</v>
      </c>
      <c r="T519" s="46">
        <v>1299</v>
      </c>
      <c r="U519" s="46">
        <v>1299</v>
      </c>
      <c r="V519" s="46">
        <v>1299</v>
      </c>
      <c r="W519" s="46">
        <v>1299</v>
      </c>
      <c r="X519" s="46">
        <v>1199</v>
      </c>
      <c r="Y519" s="46">
        <v>1199</v>
      </c>
      <c r="Z519" s="46">
        <v>1199</v>
      </c>
      <c r="AA519" s="46">
        <v>1199</v>
      </c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7"/>
      <c r="AW519" s="48" t="s">
        <v>65</v>
      </c>
      <c r="AX519" s="51" t="s">
        <v>82</v>
      </c>
    </row>
    <row r="520" spans="1:50" ht="22.5" customHeight="1">
      <c r="A520" s="50" t="s">
        <v>61</v>
      </c>
      <c r="B520" s="41" t="s">
        <v>62</v>
      </c>
      <c r="C520" s="42">
        <v>4017060</v>
      </c>
      <c r="D520" s="44" t="s">
        <v>724</v>
      </c>
      <c r="E520" s="44" t="s">
        <v>729</v>
      </c>
      <c r="F520" s="45">
        <v>3099</v>
      </c>
      <c r="G520" s="46">
        <v>2119</v>
      </c>
      <c r="H520" s="46">
        <v>2119</v>
      </c>
      <c r="I520" s="46">
        <v>2119</v>
      </c>
      <c r="J520" s="46">
        <v>1999</v>
      </c>
      <c r="K520" s="46">
        <v>1799</v>
      </c>
      <c r="L520" s="46">
        <v>1799</v>
      </c>
      <c r="M520" s="46">
        <v>1999</v>
      </c>
      <c r="N520" s="46">
        <v>1799</v>
      </c>
      <c r="O520" s="46">
        <v>1749</v>
      </c>
      <c r="P520" s="46">
        <v>1699</v>
      </c>
      <c r="Q520" s="46">
        <v>1299</v>
      </c>
      <c r="R520" s="46">
        <v>1749</v>
      </c>
      <c r="S520" s="46">
        <v>1699</v>
      </c>
      <c r="T520" s="46">
        <v>1299</v>
      </c>
      <c r="U520" s="46">
        <v>1299</v>
      </c>
      <c r="V520" s="46">
        <v>1299</v>
      </c>
      <c r="W520" s="46">
        <v>1299</v>
      </c>
      <c r="X520" s="46">
        <v>1199</v>
      </c>
      <c r="Y520" s="46">
        <v>1199</v>
      </c>
      <c r="Z520" s="46">
        <v>1199</v>
      </c>
      <c r="AA520" s="46">
        <v>1199</v>
      </c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7"/>
      <c r="AW520" s="48" t="s">
        <v>65</v>
      </c>
      <c r="AX520" s="51" t="s">
        <v>82</v>
      </c>
    </row>
    <row r="521" spans="1:50" ht="22.5" customHeight="1">
      <c r="A521" s="50" t="s">
        <v>61</v>
      </c>
      <c r="B521" s="41" t="s">
        <v>62</v>
      </c>
      <c r="C521" s="42">
        <v>4017063</v>
      </c>
      <c r="D521" s="44" t="s">
        <v>724</v>
      </c>
      <c r="E521" s="44" t="s">
        <v>730</v>
      </c>
      <c r="F521" s="45">
        <v>3099</v>
      </c>
      <c r="G521" s="46">
        <v>2119</v>
      </c>
      <c r="H521" s="46">
        <v>2119</v>
      </c>
      <c r="I521" s="46">
        <v>2119</v>
      </c>
      <c r="J521" s="46">
        <v>1999</v>
      </c>
      <c r="K521" s="46">
        <v>1799</v>
      </c>
      <c r="L521" s="46">
        <v>1799</v>
      </c>
      <c r="M521" s="46">
        <v>1999</v>
      </c>
      <c r="N521" s="46">
        <v>1799</v>
      </c>
      <c r="O521" s="46">
        <v>1749</v>
      </c>
      <c r="P521" s="46">
        <v>1699</v>
      </c>
      <c r="Q521" s="46">
        <v>1299</v>
      </c>
      <c r="R521" s="46">
        <v>1749</v>
      </c>
      <c r="S521" s="46">
        <v>1699</v>
      </c>
      <c r="T521" s="46">
        <v>1299</v>
      </c>
      <c r="U521" s="46">
        <v>1299</v>
      </c>
      <c r="V521" s="46">
        <v>1299</v>
      </c>
      <c r="W521" s="46">
        <v>1299</v>
      </c>
      <c r="X521" s="46">
        <v>1199</v>
      </c>
      <c r="Y521" s="46">
        <v>1199</v>
      </c>
      <c r="Z521" s="46">
        <v>1199</v>
      </c>
      <c r="AA521" s="46">
        <v>1199</v>
      </c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7"/>
      <c r="AW521" s="48" t="s">
        <v>65</v>
      </c>
      <c r="AX521" s="51" t="s">
        <v>82</v>
      </c>
    </row>
    <row r="522" spans="1:50" ht="22.5" customHeight="1">
      <c r="A522" s="50" t="s">
        <v>61</v>
      </c>
      <c r="B522" s="41" t="s">
        <v>62</v>
      </c>
      <c r="C522" s="42">
        <v>4013461</v>
      </c>
      <c r="D522" s="44" t="s">
        <v>731</v>
      </c>
      <c r="E522" s="44" t="s">
        <v>732</v>
      </c>
      <c r="F522" s="45">
        <v>79</v>
      </c>
      <c r="G522" s="45">
        <v>69</v>
      </c>
      <c r="H522" s="45">
        <v>69</v>
      </c>
      <c r="I522" s="45">
        <v>69</v>
      </c>
      <c r="J522" s="45">
        <f t="shared" si="21"/>
        <v>69</v>
      </c>
      <c r="K522" s="45">
        <f t="shared" si="24"/>
        <v>69</v>
      </c>
      <c r="L522" s="45">
        <f t="shared" si="24"/>
        <v>69</v>
      </c>
      <c r="M522" s="45">
        <v>69</v>
      </c>
      <c r="N522" s="45">
        <v>69</v>
      </c>
      <c r="O522" s="45">
        <f t="shared" si="23"/>
        <v>69</v>
      </c>
      <c r="P522" s="46">
        <f t="shared" si="23"/>
        <v>69</v>
      </c>
      <c r="Q522" s="46">
        <f t="shared" si="23"/>
        <v>69</v>
      </c>
      <c r="R522" s="45">
        <v>69</v>
      </c>
      <c r="S522" s="45">
        <v>69</v>
      </c>
      <c r="T522" s="45">
        <v>69</v>
      </c>
      <c r="U522" s="45">
        <v>69</v>
      </c>
      <c r="V522" s="45">
        <v>69</v>
      </c>
      <c r="W522" s="45">
        <v>69</v>
      </c>
      <c r="X522" s="45">
        <v>69</v>
      </c>
      <c r="Y522" s="45">
        <v>69</v>
      </c>
      <c r="Z522" s="45">
        <v>69</v>
      </c>
      <c r="AA522" s="45">
        <v>69</v>
      </c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7"/>
      <c r="AW522" s="48" t="s">
        <v>65</v>
      </c>
      <c r="AX522" s="51" t="s">
        <v>66</v>
      </c>
    </row>
    <row r="523" spans="1:50" ht="22.5" customHeight="1">
      <c r="A523" s="50" t="s">
        <v>61</v>
      </c>
      <c r="B523" s="41" t="s">
        <v>62</v>
      </c>
      <c r="C523" s="42">
        <v>4013464</v>
      </c>
      <c r="D523" s="44" t="s">
        <v>731</v>
      </c>
      <c r="E523" s="44" t="s">
        <v>733</v>
      </c>
      <c r="F523" s="45">
        <v>79</v>
      </c>
      <c r="G523" s="45">
        <v>69</v>
      </c>
      <c r="H523" s="45">
        <v>69</v>
      </c>
      <c r="I523" s="45">
        <v>69</v>
      </c>
      <c r="J523" s="45">
        <f t="shared" si="21"/>
        <v>69</v>
      </c>
      <c r="K523" s="45">
        <f t="shared" si="24"/>
        <v>69</v>
      </c>
      <c r="L523" s="45">
        <f t="shared" si="24"/>
        <v>69</v>
      </c>
      <c r="M523" s="45">
        <v>69</v>
      </c>
      <c r="N523" s="45">
        <v>69</v>
      </c>
      <c r="O523" s="45">
        <f t="shared" si="23"/>
        <v>69</v>
      </c>
      <c r="P523" s="46">
        <f t="shared" si="23"/>
        <v>69</v>
      </c>
      <c r="Q523" s="46">
        <f t="shared" si="23"/>
        <v>69</v>
      </c>
      <c r="R523" s="45">
        <v>69</v>
      </c>
      <c r="S523" s="45">
        <v>69</v>
      </c>
      <c r="T523" s="45">
        <v>69</v>
      </c>
      <c r="U523" s="45">
        <v>69</v>
      </c>
      <c r="V523" s="45">
        <v>69</v>
      </c>
      <c r="W523" s="45">
        <v>69</v>
      </c>
      <c r="X523" s="45">
        <v>69</v>
      </c>
      <c r="Y523" s="45">
        <v>69</v>
      </c>
      <c r="Z523" s="45">
        <v>69</v>
      </c>
      <c r="AA523" s="45">
        <v>69</v>
      </c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7"/>
      <c r="AW523" s="48" t="s">
        <v>65</v>
      </c>
      <c r="AX523" s="51" t="s">
        <v>66</v>
      </c>
    </row>
    <row r="524" spans="1:50" ht="22.5" customHeight="1">
      <c r="A524" s="50" t="s">
        <v>61</v>
      </c>
      <c r="B524" s="41" t="s">
        <v>62</v>
      </c>
      <c r="C524" s="42">
        <v>4013710</v>
      </c>
      <c r="D524" s="44" t="s">
        <v>731</v>
      </c>
      <c r="E524" s="44" t="s">
        <v>734</v>
      </c>
      <c r="F524" s="45">
        <v>79</v>
      </c>
      <c r="G524" s="45">
        <v>69</v>
      </c>
      <c r="H524" s="45">
        <v>69</v>
      </c>
      <c r="I524" s="45">
        <v>69</v>
      </c>
      <c r="J524" s="45">
        <f t="shared" si="21"/>
        <v>69</v>
      </c>
      <c r="K524" s="45">
        <f t="shared" si="24"/>
        <v>69</v>
      </c>
      <c r="L524" s="45">
        <f t="shared" si="24"/>
        <v>69</v>
      </c>
      <c r="M524" s="45">
        <v>69</v>
      </c>
      <c r="N524" s="45">
        <v>69</v>
      </c>
      <c r="O524" s="45">
        <f t="shared" si="23"/>
        <v>69</v>
      </c>
      <c r="P524" s="46">
        <f t="shared" si="23"/>
        <v>69</v>
      </c>
      <c r="Q524" s="46">
        <f t="shared" si="23"/>
        <v>69</v>
      </c>
      <c r="R524" s="45">
        <v>69</v>
      </c>
      <c r="S524" s="45">
        <v>69</v>
      </c>
      <c r="T524" s="45">
        <v>69</v>
      </c>
      <c r="U524" s="45">
        <v>69</v>
      </c>
      <c r="V524" s="45">
        <v>69</v>
      </c>
      <c r="W524" s="45">
        <v>69</v>
      </c>
      <c r="X524" s="45">
        <v>69</v>
      </c>
      <c r="Y524" s="45">
        <v>69</v>
      </c>
      <c r="Z524" s="45">
        <v>69</v>
      </c>
      <c r="AA524" s="45">
        <v>69</v>
      </c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7"/>
      <c r="AW524" s="48" t="s">
        <v>65</v>
      </c>
      <c r="AX524" s="51" t="s">
        <v>66</v>
      </c>
    </row>
    <row r="525" spans="1:50" ht="22.5" customHeight="1">
      <c r="A525" s="50" t="s">
        <v>61</v>
      </c>
      <c r="B525" s="41" t="s">
        <v>62</v>
      </c>
      <c r="C525" s="42">
        <v>4013711</v>
      </c>
      <c r="D525" s="44" t="s">
        <v>731</v>
      </c>
      <c r="E525" s="44" t="s">
        <v>735</v>
      </c>
      <c r="F525" s="45">
        <v>79</v>
      </c>
      <c r="G525" s="45">
        <v>69</v>
      </c>
      <c r="H525" s="45">
        <v>69</v>
      </c>
      <c r="I525" s="45">
        <v>69</v>
      </c>
      <c r="J525" s="45">
        <f t="shared" ref="J525:J560" si="25">M525</f>
        <v>69</v>
      </c>
      <c r="K525" s="45">
        <f t="shared" si="24"/>
        <v>69</v>
      </c>
      <c r="L525" s="45">
        <f t="shared" si="24"/>
        <v>69</v>
      </c>
      <c r="M525" s="45">
        <v>69</v>
      </c>
      <c r="N525" s="45">
        <v>69</v>
      </c>
      <c r="O525" s="45">
        <f t="shared" si="23"/>
        <v>69</v>
      </c>
      <c r="P525" s="46">
        <f t="shared" si="23"/>
        <v>69</v>
      </c>
      <c r="Q525" s="46">
        <f t="shared" si="23"/>
        <v>69</v>
      </c>
      <c r="R525" s="45">
        <v>69</v>
      </c>
      <c r="S525" s="45">
        <v>69</v>
      </c>
      <c r="T525" s="45">
        <v>69</v>
      </c>
      <c r="U525" s="45">
        <v>69</v>
      </c>
      <c r="V525" s="45">
        <v>69</v>
      </c>
      <c r="W525" s="45">
        <v>69</v>
      </c>
      <c r="X525" s="45">
        <v>69</v>
      </c>
      <c r="Y525" s="45">
        <v>69</v>
      </c>
      <c r="Z525" s="45">
        <v>69</v>
      </c>
      <c r="AA525" s="45">
        <v>69</v>
      </c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7"/>
      <c r="AW525" s="48" t="s">
        <v>65</v>
      </c>
      <c r="AX525" s="51" t="s">
        <v>66</v>
      </c>
    </row>
    <row r="526" spans="1:50" ht="22.5" customHeight="1">
      <c r="A526" s="50" t="s">
        <v>61</v>
      </c>
      <c r="B526" s="41" t="s">
        <v>62</v>
      </c>
      <c r="C526" s="42">
        <v>4013417</v>
      </c>
      <c r="D526" s="44" t="s">
        <v>731</v>
      </c>
      <c r="E526" s="44" t="s">
        <v>736</v>
      </c>
      <c r="F526" s="45">
        <v>79</v>
      </c>
      <c r="G526" s="45">
        <v>69</v>
      </c>
      <c r="H526" s="45">
        <v>69</v>
      </c>
      <c r="I526" s="45">
        <v>69</v>
      </c>
      <c r="J526" s="45">
        <f t="shared" si="25"/>
        <v>69</v>
      </c>
      <c r="K526" s="45">
        <f t="shared" si="24"/>
        <v>69</v>
      </c>
      <c r="L526" s="45">
        <f t="shared" si="24"/>
        <v>69</v>
      </c>
      <c r="M526" s="45">
        <v>69</v>
      </c>
      <c r="N526" s="45">
        <v>69</v>
      </c>
      <c r="O526" s="45">
        <f t="shared" si="23"/>
        <v>69</v>
      </c>
      <c r="P526" s="46">
        <f t="shared" si="23"/>
        <v>69</v>
      </c>
      <c r="Q526" s="46">
        <f t="shared" si="23"/>
        <v>69</v>
      </c>
      <c r="R526" s="45">
        <v>69</v>
      </c>
      <c r="S526" s="45">
        <v>69</v>
      </c>
      <c r="T526" s="45">
        <v>69</v>
      </c>
      <c r="U526" s="45">
        <v>69</v>
      </c>
      <c r="V526" s="45">
        <v>69</v>
      </c>
      <c r="W526" s="45">
        <v>69</v>
      </c>
      <c r="X526" s="45">
        <v>69</v>
      </c>
      <c r="Y526" s="45">
        <v>69</v>
      </c>
      <c r="Z526" s="45">
        <v>69</v>
      </c>
      <c r="AA526" s="45">
        <v>69</v>
      </c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7"/>
      <c r="AW526" s="48" t="s">
        <v>65</v>
      </c>
      <c r="AX526" s="51" t="s">
        <v>66</v>
      </c>
    </row>
    <row r="527" spans="1:50" ht="22.5" customHeight="1">
      <c r="A527" s="50" t="s">
        <v>61</v>
      </c>
      <c r="B527" s="41" t="s">
        <v>62</v>
      </c>
      <c r="C527" s="42">
        <v>4013419</v>
      </c>
      <c r="D527" s="44" t="s">
        <v>731</v>
      </c>
      <c r="E527" s="44" t="s">
        <v>737</v>
      </c>
      <c r="F527" s="45">
        <v>79</v>
      </c>
      <c r="G527" s="45">
        <v>69</v>
      </c>
      <c r="H527" s="45">
        <v>69</v>
      </c>
      <c r="I527" s="45">
        <v>69</v>
      </c>
      <c r="J527" s="45">
        <f t="shared" si="25"/>
        <v>69</v>
      </c>
      <c r="K527" s="45">
        <f t="shared" si="24"/>
        <v>69</v>
      </c>
      <c r="L527" s="45">
        <f t="shared" si="24"/>
        <v>69</v>
      </c>
      <c r="M527" s="45">
        <v>69</v>
      </c>
      <c r="N527" s="45">
        <v>69</v>
      </c>
      <c r="O527" s="45">
        <f t="shared" si="23"/>
        <v>69</v>
      </c>
      <c r="P527" s="46">
        <f t="shared" si="23"/>
        <v>69</v>
      </c>
      <c r="Q527" s="46">
        <f t="shared" si="23"/>
        <v>69</v>
      </c>
      <c r="R527" s="45">
        <v>69</v>
      </c>
      <c r="S527" s="45">
        <v>69</v>
      </c>
      <c r="T527" s="45">
        <v>69</v>
      </c>
      <c r="U527" s="45">
        <v>69</v>
      </c>
      <c r="V527" s="45">
        <v>69</v>
      </c>
      <c r="W527" s="45">
        <v>69</v>
      </c>
      <c r="X527" s="45">
        <v>69</v>
      </c>
      <c r="Y527" s="45">
        <v>69</v>
      </c>
      <c r="Z527" s="45">
        <v>69</v>
      </c>
      <c r="AA527" s="45">
        <v>69</v>
      </c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7"/>
      <c r="AW527" s="48" t="s">
        <v>65</v>
      </c>
      <c r="AX527" s="51" t="s">
        <v>66</v>
      </c>
    </row>
    <row r="528" spans="1:50" ht="22.5" customHeight="1">
      <c r="A528" s="50" t="s">
        <v>61</v>
      </c>
      <c r="B528" s="41" t="s">
        <v>62</v>
      </c>
      <c r="C528" s="42">
        <v>4014478</v>
      </c>
      <c r="D528" s="44" t="s">
        <v>738</v>
      </c>
      <c r="E528" s="44" t="s">
        <v>739</v>
      </c>
      <c r="F528" s="45">
        <v>899</v>
      </c>
      <c r="G528" s="45">
        <v>599</v>
      </c>
      <c r="H528" s="45">
        <v>599</v>
      </c>
      <c r="I528" s="45">
        <v>599</v>
      </c>
      <c r="J528" s="45">
        <f t="shared" si="25"/>
        <v>499</v>
      </c>
      <c r="K528" s="45">
        <f t="shared" si="24"/>
        <v>499</v>
      </c>
      <c r="L528" s="45">
        <f t="shared" si="24"/>
        <v>499</v>
      </c>
      <c r="M528" s="45">
        <v>499</v>
      </c>
      <c r="N528" s="45">
        <v>499</v>
      </c>
      <c r="O528" s="45">
        <f t="shared" si="23"/>
        <v>449</v>
      </c>
      <c r="P528" s="46">
        <f t="shared" si="23"/>
        <v>449</v>
      </c>
      <c r="Q528" s="46">
        <f t="shared" si="23"/>
        <v>449</v>
      </c>
      <c r="R528" s="45">
        <v>449</v>
      </c>
      <c r="S528" s="45">
        <v>449</v>
      </c>
      <c r="T528" s="45">
        <v>449</v>
      </c>
      <c r="U528" s="45">
        <v>449</v>
      </c>
      <c r="V528" s="45">
        <v>449</v>
      </c>
      <c r="W528" s="45">
        <v>449</v>
      </c>
      <c r="X528" s="45">
        <v>449</v>
      </c>
      <c r="Y528" s="45">
        <v>449</v>
      </c>
      <c r="Z528" s="45">
        <v>449</v>
      </c>
      <c r="AA528" s="45">
        <v>449</v>
      </c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7"/>
      <c r="AW528" s="48" t="s">
        <v>65</v>
      </c>
      <c r="AX528" s="51" t="s">
        <v>82</v>
      </c>
    </row>
    <row r="529" spans="1:50" ht="22.5" customHeight="1">
      <c r="A529" s="50" t="s">
        <v>61</v>
      </c>
      <c r="B529" s="41" t="s">
        <v>62</v>
      </c>
      <c r="C529" s="42">
        <v>4014480</v>
      </c>
      <c r="D529" s="44" t="s">
        <v>738</v>
      </c>
      <c r="E529" s="44" t="s">
        <v>740</v>
      </c>
      <c r="F529" s="45">
        <v>899</v>
      </c>
      <c r="G529" s="45">
        <v>599</v>
      </c>
      <c r="H529" s="45">
        <v>599</v>
      </c>
      <c r="I529" s="45">
        <v>599</v>
      </c>
      <c r="J529" s="45">
        <f t="shared" si="25"/>
        <v>499</v>
      </c>
      <c r="K529" s="45">
        <f t="shared" si="24"/>
        <v>499</v>
      </c>
      <c r="L529" s="45">
        <f t="shared" si="24"/>
        <v>499</v>
      </c>
      <c r="M529" s="45">
        <v>499</v>
      </c>
      <c r="N529" s="45">
        <v>499</v>
      </c>
      <c r="O529" s="45">
        <f t="shared" si="23"/>
        <v>449</v>
      </c>
      <c r="P529" s="46">
        <f t="shared" si="23"/>
        <v>449</v>
      </c>
      <c r="Q529" s="46">
        <f t="shared" si="23"/>
        <v>449</v>
      </c>
      <c r="R529" s="45">
        <v>449</v>
      </c>
      <c r="S529" s="45">
        <v>449</v>
      </c>
      <c r="T529" s="45">
        <v>449</v>
      </c>
      <c r="U529" s="45">
        <v>449</v>
      </c>
      <c r="V529" s="45">
        <v>449</v>
      </c>
      <c r="W529" s="45">
        <v>449</v>
      </c>
      <c r="X529" s="45">
        <v>449</v>
      </c>
      <c r="Y529" s="45">
        <v>449</v>
      </c>
      <c r="Z529" s="45">
        <v>449</v>
      </c>
      <c r="AA529" s="45">
        <v>449</v>
      </c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7"/>
      <c r="AW529" s="48" t="s">
        <v>65</v>
      </c>
      <c r="AX529" s="51" t="s">
        <v>82</v>
      </c>
    </row>
    <row r="530" spans="1:50" ht="22.5" customHeight="1">
      <c r="A530" s="50" t="s">
        <v>61</v>
      </c>
      <c r="B530" s="41" t="s">
        <v>62</v>
      </c>
      <c r="C530" s="42">
        <v>4014519</v>
      </c>
      <c r="D530" s="44" t="s">
        <v>738</v>
      </c>
      <c r="E530" s="44" t="s">
        <v>741</v>
      </c>
      <c r="F530" s="45">
        <v>899</v>
      </c>
      <c r="G530" s="45">
        <v>599</v>
      </c>
      <c r="H530" s="45">
        <v>599</v>
      </c>
      <c r="I530" s="45">
        <v>599</v>
      </c>
      <c r="J530" s="45">
        <f t="shared" si="25"/>
        <v>499</v>
      </c>
      <c r="K530" s="45">
        <f t="shared" si="24"/>
        <v>499</v>
      </c>
      <c r="L530" s="45">
        <f t="shared" si="24"/>
        <v>499</v>
      </c>
      <c r="M530" s="45">
        <v>499</v>
      </c>
      <c r="N530" s="45">
        <v>499</v>
      </c>
      <c r="O530" s="45">
        <f t="shared" si="23"/>
        <v>449</v>
      </c>
      <c r="P530" s="46">
        <f t="shared" si="23"/>
        <v>449</v>
      </c>
      <c r="Q530" s="46">
        <f t="shared" si="23"/>
        <v>449</v>
      </c>
      <c r="R530" s="45">
        <v>449</v>
      </c>
      <c r="S530" s="45">
        <v>449</v>
      </c>
      <c r="T530" s="45">
        <v>449</v>
      </c>
      <c r="U530" s="45">
        <v>449</v>
      </c>
      <c r="V530" s="45">
        <v>449</v>
      </c>
      <c r="W530" s="45">
        <v>449</v>
      </c>
      <c r="X530" s="45">
        <v>449</v>
      </c>
      <c r="Y530" s="45">
        <v>449</v>
      </c>
      <c r="Z530" s="45">
        <v>449</v>
      </c>
      <c r="AA530" s="45">
        <v>449</v>
      </c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7"/>
      <c r="AW530" s="48" t="s">
        <v>65</v>
      </c>
      <c r="AX530" s="51" t="s">
        <v>82</v>
      </c>
    </row>
    <row r="531" spans="1:50" ht="22.5" customHeight="1">
      <c r="A531" s="50" t="s">
        <v>61</v>
      </c>
      <c r="B531" s="41" t="s">
        <v>62</v>
      </c>
      <c r="C531" s="42">
        <v>4014680</v>
      </c>
      <c r="D531" s="44" t="s">
        <v>738</v>
      </c>
      <c r="E531" s="44" t="s">
        <v>742</v>
      </c>
      <c r="F531" s="45">
        <v>899</v>
      </c>
      <c r="G531" s="45">
        <v>599</v>
      </c>
      <c r="H531" s="45">
        <v>599</v>
      </c>
      <c r="I531" s="45">
        <v>599</v>
      </c>
      <c r="J531" s="45">
        <f t="shared" si="25"/>
        <v>499</v>
      </c>
      <c r="K531" s="45">
        <f t="shared" si="24"/>
        <v>499</v>
      </c>
      <c r="L531" s="45">
        <f t="shared" si="24"/>
        <v>499</v>
      </c>
      <c r="M531" s="45">
        <v>499</v>
      </c>
      <c r="N531" s="45">
        <v>499</v>
      </c>
      <c r="O531" s="45">
        <f t="shared" si="23"/>
        <v>449</v>
      </c>
      <c r="P531" s="46">
        <f t="shared" si="23"/>
        <v>449</v>
      </c>
      <c r="Q531" s="46">
        <f t="shared" si="23"/>
        <v>449</v>
      </c>
      <c r="R531" s="45">
        <v>449</v>
      </c>
      <c r="S531" s="45">
        <v>449</v>
      </c>
      <c r="T531" s="45">
        <v>449</v>
      </c>
      <c r="U531" s="45">
        <v>449</v>
      </c>
      <c r="V531" s="45">
        <v>449</v>
      </c>
      <c r="W531" s="45">
        <v>449</v>
      </c>
      <c r="X531" s="45">
        <v>449</v>
      </c>
      <c r="Y531" s="45">
        <v>449</v>
      </c>
      <c r="Z531" s="45">
        <v>449</v>
      </c>
      <c r="AA531" s="45">
        <v>449</v>
      </c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7"/>
      <c r="AW531" s="48" t="s">
        <v>65</v>
      </c>
      <c r="AX531" s="51" t="s">
        <v>82</v>
      </c>
    </row>
    <row r="532" spans="1:50" ht="22.5" customHeight="1">
      <c r="A532" s="50" t="s">
        <v>61</v>
      </c>
      <c r="B532" s="41" t="s">
        <v>62</v>
      </c>
      <c r="C532" s="42">
        <v>4014807</v>
      </c>
      <c r="D532" s="44" t="s">
        <v>743</v>
      </c>
      <c r="E532" s="44" t="s">
        <v>744</v>
      </c>
      <c r="F532" s="45">
        <v>999</v>
      </c>
      <c r="G532" s="45">
        <v>699</v>
      </c>
      <c r="H532" s="45">
        <v>699</v>
      </c>
      <c r="I532" s="45">
        <v>699</v>
      </c>
      <c r="J532" s="45">
        <f t="shared" si="25"/>
        <v>599</v>
      </c>
      <c r="K532" s="45">
        <f t="shared" si="24"/>
        <v>599</v>
      </c>
      <c r="L532" s="45">
        <f t="shared" si="24"/>
        <v>599</v>
      </c>
      <c r="M532" s="45">
        <v>599</v>
      </c>
      <c r="N532" s="45">
        <v>599</v>
      </c>
      <c r="O532" s="45">
        <f t="shared" si="23"/>
        <v>549</v>
      </c>
      <c r="P532" s="46">
        <f t="shared" si="23"/>
        <v>549</v>
      </c>
      <c r="Q532" s="46">
        <f t="shared" si="23"/>
        <v>549</v>
      </c>
      <c r="R532" s="45">
        <v>549</v>
      </c>
      <c r="S532" s="45">
        <v>549</v>
      </c>
      <c r="T532" s="45">
        <v>549</v>
      </c>
      <c r="U532" s="45">
        <v>549</v>
      </c>
      <c r="V532" s="45">
        <v>549</v>
      </c>
      <c r="W532" s="45">
        <v>549</v>
      </c>
      <c r="X532" s="45">
        <v>549</v>
      </c>
      <c r="Y532" s="45">
        <v>549</v>
      </c>
      <c r="Z532" s="45">
        <v>549</v>
      </c>
      <c r="AA532" s="45">
        <v>549</v>
      </c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7"/>
      <c r="AW532" s="48" t="s">
        <v>65</v>
      </c>
      <c r="AX532" s="51" t="s">
        <v>82</v>
      </c>
    </row>
    <row r="533" spans="1:50" ht="22.5" customHeight="1">
      <c r="A533" s="50" t="s">
        <v>61</v>
      </c>
      <c r="B533" s="41" t="s">
        <v>62</v>
      </c>
      <c r="C533" s="42">
        <v>4014815</v>
      </c>
      <c r="D533" s="44" t="s">
        <v>743</v>
      </c>
      <c r="E533" s="44" t="s">
        <v>745</v>
      </c>
      <c r="F533" s="45">
        <v>999</v>
      </c>
      <c r="G533" s="45">
        <v>699</v>
      </c>
      <c r="H533" s="45">
        <v>699</v>
      </c>
      <c r="I533" s="45">
        <v>699</v>
      </c>
      <c r="J533" s="45">
        <f t="shared" si="25"/>
        <v>599</v>
      </c>
      <c r="K533" s="45">
        <f t="shared" si="24"/>
        <v>599</v>
      </c>
      <c r="L533" s="45">
        <f t="shared" si="24"/>
        <v>599</v>
      </c>
      <c r="M533" s="45">
        <v>599</v>
      </c>
      <c r="N533" s="45">
        <v>599</v>
      </c>
      <c r="O533" s="45">
        <f t="shared" si="23"/>
        <v>549</v>
      </c>
      <c r="P533" s="46">
        <f t="shared" si="23"/>
        <v>549</v>
      </c>
      <c r="Q533" s="46">
        <f t="shared" si="23"/>
        <v>549</v>
      </c>
      <c r="R533" s="45">
        <v>549</v>
      </c>
      <c r="S533" s="45">
        <v>549</v>
      </c>
      <c r="T533" s="45">
        <v>549</v>
      </c>
      <c r="U533" s="45">
        <v>549</v>
      </c>
      <c r="V533" s="45">
        <v>549</v>
      </c>
      <c r="W533" s="45">
        <v>549</v>
      </c>
      <c r="X533" s="45">
        <v>549</v>
      </c>
      <c r="Y533" s="45">
        <v>549</v>
      </c>
      <c r="Z533" s="45">
        <v>549</v>
      </c>
      <c r="AA533" s="45">
        <v>549</v>
      </c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7"/>
      <c r="AW533" s="48" t="s">
        <v>65</v>
      </c>
      <c r="AX533" s="51" t="s">
        <v>82</v>
      </c>
    </row>
    <row r="534" spans="1:50" ht="22.5" customHeight="1">
      <c r="A534" s="50" t="s">
        <v>61</v>
      </c>
      <c r="B534" s="41" t="s">
        <v>62</v>
      </c>
      <c r="C534" s="42">
        <v>4014802</v>
      </c>
      <c r="D534" s="44" t="s">
        <v>743</v>
      </c>
      <c r="E534" s="44" t="s">
        <v>746</v>
      </c>
      <c r="F534" s="45">
        <v>999</v>
      </c>
      <c r="G534" s="45">
        <v>699</v>
      </c>
      <c r="H534" s="45">
        <v>699</v>
      </c>
      <c r="I534" s="45">
        <v>699</v>
      </c>
      <c r="J534" s="45">
        <f t="shared" si="25"/>
        <v>599</v>
      </c>
      <c r="K534" s="45">
        <f t="shared" si="24"/>
        <v>599</v>
      </c>
      <c r="L534" s="45">
        <f t="shared" si="24"/>
        <v>599</v>
      </c>
      <c r="M534" s="45">
        <v>599</v>
      </c>
      <c r="N534" s="45">
        <v>599</v>
      </c>
      <c r="O534" s="45">
        <f t="shared" ref="O534:Q560" si="26">R534</f>
        <v>549</v>
      </c>
      <c r="P534" s="46">
        <f t="shared" si="26"/>
        <v>549</v>
      </c>
      <c r="Q534" s="46">
        <f t="shared" si="26"/>
        <v>549</v>
      </c>
      <c r="R534" s="45">
        <v>549</v>
      </c>
      <c r="S534" s="45">
        <v>549</v>
      </c>
      <c r="T534" s="45">
        <v>549</v>
      </c>
      <c r="U534" s="45">
        <v>549</v>
      </c>
      <c r="V534" s="45">
        <v>549</v>
      </c>
      <c r="W534" s="45">
        <v>549</v>
      </c>
      <c r="X534" s="45">
        <v>549</v>
      </c>
      <c r="Y534" s="45">
        <v>549</v>
      </c>
      <c r="Z534" s="45">
        <v>549</v>
      </c>
      <c r="AA534" s="45">
        <v>549</v>
      </c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7"/>
      <c r="AW534" s="48" t="s">
        <v>65</v>
      </c>
      <c r="AX534" s="51" t="s">
        <v>82</v>
      </c>
    </row>
    <row r="535" spans="1:50" ht="22.5" customHeight="1">
      <c r="A535" s="50" t="s">
        <v>61</v>
      </c>
      <c r="B535" s="41" t="s">
        <v>62</v>
      </c>
      <c r="C535" s="42">
        <v>4014811</v>
      </c>
      <c r="D535" s="44" t="s">
        <v>743</v>
      </c>
      <c r="E535" s="44" t="s">
        <v>747</v>
      </c>
      <c r="F535" s="45">
        <v>999</v>
      </c>
      <c r="G535" s="45">
        <v>699</v>
      </c>
      <c r="H535" s="45">
        <v>699</v>
      </c>
      <c r="I535" s="45">
        <v>699</v>
      </c>
      <c r="J535" s="45">
        <f t="shared" si="25"/>
        <v>599</v>
      </c>
      <c r="K535" s="45">
        <f t="shared" si="24"/>
        <v>599</v>
      </c>
      <c r="L535" s="45">
        <f t="shared" si="24"/>
        <v>599</v>
      </c>
      <c r="M535" s="45">
        <v>599</v>
      </c>
      <c r="N535" s="45">
        <v>599</v>
      </c>
      <c r="O535" s="45">
        <f t="shared" si="26"/>
        <v>549</v>
      </c>
      <c r="P535" s="46">
        <f t="shared" si="26"/>
        <v>549</v>
      </c>
      <c r="Q535" s="46">
        <f t="shared" si="26"/>
        <v>549</v>
      </c>
      <c r="R535" s="45">
        <v>549</v>
      </c>
      <c r="S535" s="45">
        <v>549</v>
      </c>
      <c r="T535" s="45">
        <v>549</v>
      </c>
      <c r="U535" s="45">
        <v>549</v>
      </c>
      <c r="V535" s="45">
        <v>549</v>
      </c>
      <c r="W535" s="45">
        <v>549</v>
      </c>
      <c r="X535" s="45">
        <v>549</v>
      </c>
      <c r="Y535" s="45">
        <v>549</v>
      </c>
      <c r="Z535" s="45">
        <v>549</v>
      </c>
      <c r="AA535" s="45">
        <v>549</v>
      </c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7"/>
      <c r="AW535" s="48" t="s">
        <v>65</v>
      </c>
      <c r="AX535" s="51" t="s">
        <v>82</v>
      </c>
    </row>
    <row r="536" spans="1:50" ht="22.5" customHeight="1">
      <c r="A536" s="50" t="s">
        <v>61</v>
      </c>
      <c r="B536" s="41" t="s">
        <v>62</v>
      </c>
      <c r="C536" s="42">
        <v>4014809</v>
      </c>
      <c r="D536" s="44" t="s">
        <v>743</v>
      </c>
      <c r="E536" s="44" t="s">
        <v>748</v>
      </c>
      <c r="F536" s="45">
        <v>999</v>
      </c>
      <c r="G536" s="45">
        <v>699</v>
      </c>
      <c r="H536" s="45">
        <v>699</v>
      </c>
      <c r="I536" s="45">
        <v>699</v>
      </c>
      <c r="J536" s="45">
        <f t="shared" si="25"/>
        <v>599</v>
      </c>
      <c r="K536" s="45">
        <f t="shared" si="24"/>
        <v>599</v>
      </c>
      <c r="L536" s="45">
        <f t="shared" si="24"/>
        <v>599</v>
      </c>
      <c r="M536" s="45">
        <v>599</v>
      </c>
      <c r="N536" s="45">
        <v>599</v>
      </c>
      <c r="O536" s="45">
        <f t="shared" si="26"/>
        <v>549</v>
      </c>
      <c r="P536" s="46">
        <f t="shared" si="26"/>
        <v>549</v>
      </c>
      <c r="Q536" s="46">
        <f t="shared" si="26"/>
        <v>549</v>
      </c>
      <c r="R536" s="45">
        <v>549</v>
      </c>
      <c r="S536" s="45">
        <v>549</v>
      </c>
      <c r="T536" s="45">
        <v>549</v>
      </c>
      <c r="U536" s="45">
        <v>549</v>
      </c>
      <c r="V536" s="45">
        <v>549</v>
      </c>
      <c r="W536" s="45">
        <v>549</v>
      </c>
      <c r="X536" s="45">
        <v>549</v>
      </c>
      <c r="Y536" s="45">
        <v>549</v>
      </c>
      <c r="Z536" s="45">
        <v>549</v>
      </c>
      <c r="AA536" s="45">
        <v>549</v>
      </c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7"/>
      <c r="AW536" s="48" t="s">
        <v>65</v>
      </c>
      <c r="AX536" s="51" t="s">
        <v>82</v>
      </c>
    </row>
    <row r="537" spans="1:50" ht="22.5" customHeight="1">
      <c r="A537" s="50" t="s">
        <v>61</v>
      </c>
      <c r="B537" s="41" t="s">
        <v>62</v>
      </c>
      <c r="C537" s="42">
        <v>4014813</v>
      </c>
      <c r="D537" s="44" t="s">
        <v>743</v>
      </c>
      <c r="E537" s="44" t="s">
        <v>749</v>
      </c>
      <c r="F537" s="45">
        <v>999</v>
      </c>
      <c r="G537" s="45">
        <v>699</v>
      </c>
      <c r="H537" s="45">
        <v>699</v>
      </c>
      <c r="I537" s="45">
        <v>699</v>
      </c>
      <c r="J537" s="45">
        <f t="shared" si="25"/>
        <v>599</v>
      </c>
      <c r="K537" s="45">
        <f t="shared" si="24"/>
        <v>599</v>
      </c>
      <c r="L537" s="45">
        <f t="shared" si="24"/>
        <v>599</v>
      </c>
      <c r="M537" s="45">
        <v>599</v>
      </c>
      <c r="N537" s="45">
        <v>599</v>
      </c>
      <c r="O537" s="45">
        <f t="shared" si="26"/>
        <v>549</v>
      </c>
      <c r="P537" s="46">
        <f t="shared" si="26"/>
        <v>549</v>
      </c>
      <c r="Q537" s="46">
        <f t="shared" si="26"/>
        <v>549</v>
      </c>
      <c r="R537" s="45">
        <v>549</v>
      </c>
      <c r="S537" s="45">
        <v>549</v>
      </c>
      <c r="T537" s="45">
        <v>549</v>
      </c>
      <c r="U537" s="45">
        <v>549</v>
      </c>
      <c r="V537" s="45">
        <v>549</v>
      </c>
      <c r="W537" s="45">
        <v>549</v>
      </c>
      <c r="X537" s="45">
        <v>549</v>
      </c>
      <c r="Y537" s="45">
        <v>549</v>
      </c>
      <c r="Z537" s="45">
        <v>549</v>
      </c>
      <c r="AA537" s="45">
        <v>549</v>
      </c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7"/>
      <c r="AW537" s="48" t="s">
        <v>65</v>
      </c>
      <c r="AX537" s="51" t="s">
        <v>82</v>
      </c>
    </row>
    <row r="538" spans="1:50" ht="22.5" customHeight="1">
      <c r="A538" s="50" t="s">
        <v>61</v>
      </c>
      <c r="B538" s="41" t="s">
        <v>62</v>
      </c>
      <c r="C538" s="42">
        <v>4014805</v>
      </c>
      <c r="D538" s="44" t="s">
        <v>743</v>
      </c>
      <c r="E538" s="44" t="s">
        <v>750</v>
      </c>
      <c r="F538" s="45">
        <v>999</v>
      </c>
      <c r="G538" s="45">
        <v>699</v>
      </c>
      <c r="H538" s="45">
        <v>699</v>
      </c>
      <c r="I538" s="45">
        <v>699</v>
      </c>
      <c r="J538" s="45">
        <f t="shared" si="25"/>
        <v>599</v>
      </c>
      <c r="K538" s="45">
        <f t="shared" si="24"/>
        <v>599</v>
      </c>
      <c r="L538" s="45">
        <f t="shared" si="24"/>
        <v>599</v>
      </c>
      <c r="M538" s="45">
        <v>599</v>
      </c>
      <c r="N538" s="45">
        <v>599</v>
      </c>
      <c r="O538" s="45">
        <f t="shared" si="26"/>
        <v>549</v>
      </c>
      <c r="P538" s="46">
        <f t="shared" si="26"/>
        <v>549</v>
      </c>
      <c r="Q538" s="46">
        <f t="shared" si="26"/>
        <v>549</v>
      </c>
      <c r="R538" s="45">
        <v>549</v>
      </c>
      <c r="S538" s="45">
        <v>549</v>
      </c>
      <c r="T538" s="45">
        <v>549</v>
      </c>
      <c r="U538" s="45">
        <v>549</v>
      </c>
      <c r="V538" s="45">
        <v>549</v>
      </c>
      <c r="W538" s="45">
        <v>549</v>
      </c>
      <c r="X538" s="45">
        <v>549</v>
      </c>
      <c r="Y538" s="45">
        <v>549</v>
      </c>
      <c r="Z538" s="45">
        <v>549</v>
      </c>
      <c r="AA538" s="45">
        <v>549</v>
      </c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7"/>
      <c r="AW538" s="48" t="s">
        <v>65</v>
      </c>
      <c r="AX538" s="51" t="s">
        <v>82</v>
      </c>
    </row>
    <row r="539" spans="1:50" ht="22.5" customHeight="1">
      <c r="A539" s="50" t="s">
        <v>61</v>
      </c>
      <c r="B539" s="41" t="s">
        <v>62</v>
      </c>
      <c r="C539" s="42">
        <v>4015468</v>
      </c>
      <c r="D539" s="44" t="s">
        <v>751</v>
      </c>
      <c r="E539" s="44" t="s">
        <v>752</v>
      </c>
      <c r="F539" s="45">
        <v>3199</v>
      </c>
      <c r="G539" s="45">
        <v>1899</v>
      </c>
      <c r="H539" s="45">
        <v>1899</v>
      </c>
      <c r="I539" s="45">
        <v>1899</v>
      </c>
      <c r="J539" s="45">
        <f t="shared" si="25"/>
        <v>1699</v>
      </c>
      <c r="K539" s="45">
        <f t="shared" si="24"/>
        <v>1699</v>
      </c>
      <c r="L539" s="45">
        <f t="shared" si="24"/>
        <v>1699</v>
      </c>
      <c r="M539" s="45">
        <v>1699</v>
      </c>
      <c r="N539" s="45">
        <v>1699</v>
      </c>
      <c r="O539" s="45">
        <f t="shared" si="26"/>
        <v>1649</v>
      </c>
      <c r="P539" s="46">
        <f t="shared" si="26"/>
        <v>1499</v>
      </c>
      <c r="Q539" s="46">
        <f t="shared" si="26"/>
        <v>1299</v>
      </c>
      <c r="R539" s="45">
        <v>1649</v>
      </c>
      <c r="S539" s="45">
        <v>1499</v>
      </c>
      <c r="T539" s="45">
        <v>1299</v>
      </c>
      <c r="U539" s="45">
        <v>1299</v>
      </c>
      <c r="V539" s="45">
        <v>1299</v>
      </c>
      <c r="W539" s="45">
        <v>1299</v>
      </c>
      <c r="X539" s="45">
        <v>1199</v>
      </c>
      <c r="Y539" s="45">
        <v>999</v>
      </c>
      <c r="Z539" s="45">
        <v>999</v>
      </c>
      <c r="AA539" s="45">
        <v>949</v>
      </c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7"/>
      <c r="AW539" s="48" t="s">
        <v>65</v>
      </c>
      <c r="AX539" s="51" t="s">
        <v>82</v>
      </c>
    </row>
    <row r="540" spans="1:50" ht="22.5" customHeight="1">
      <c r="A540" s="50" t="s">
        <v>61</v>
      </c>
      <c r="B540" s="41" t="s">
        <v>62</v>
      </c>
      <c r="C540" s="42">
        <v>4015472</v>
      </c>
      <c r="D540" s="44" t="s">
        <v>751</v>
      </c>
      <c r="E540" s="44" t="s">
        <v>753</v>
      </c>
      <c r="F540" s="45">
        <v>3199</v>
      </c>
      <c r="G540" s="45">
        <v>1899</v>
      </c>
      <c r="H540" s="45">
        <v>1899</v>
      </c>
      <c r="I540" s="45">
        <v>1899</v>
      </c>
      <c r="J540" s="45">
        <f t="shared" si="25"/>
        <v>1699</v>
      </c>
      <c r="K540" s="45">
        <f t="shared" si="24"/>
        <v>1699</v>
      </c>
      <c r="L540" s="45">
        <f t="shared" si="24"/>
        <v>1699</v>
      </c>
      <c r="M540" s="45">
        <v>1699</v>
      </c>
      <c r="N540" s="45">
        <v>1699</v>
      </c>
      <c r="O540" s="45">
        <f t="shared" si="26"/>
        <v>1649</v>
      </c>
      <c r="P540" s="46">
        <f t="shared" si="26"/>
        <v>1499</v>
      </c>
      <c r="Q540" s="46">
        <f t="shared" si="26"/>
        <v>1299</v>
      </c>
      <c r="R540" s="45">
        <v>1649</v>
      </c>
      <c r="S540" s="45">
        <v>1499</v>
      </c>
      <c r="T540" s="45">
        <v>1299</v>
      </c>
      <c r="U540" s="45">
        <v>1299</v>
      </c>
      <c r="V540" s="45">
        <v>1299</v>
      </c>
      <c r="W540" s="45">
        <v>1299</v>
      </c>
      <c r="X540" s="45">
        <v>1199</v>
      </c>
      <c r="Y540" s="45">
        <v>999</v>
      </c>
      <c r="Z540" s="45">
        <v>999</v>
      </c>
      <c r="AA540" s="45">
        <v>949</v>
      </c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7"/>
      <c r="AW540" s="48" t="s">
        <v>65</v>
      </c>
      <c r="AX540" s="51" t="s">
        <v>82</v>
      </c>
    </row>
    <row r="541" spans="1:50" ht="22.5" customHeight="1">
      <c r="A541" s="50" t="s">
        <v>61</v>
      </c>
      <c r="B541" s="41" t="s">
        <v>62</v>
      </c>
      <c r="C541" s="42">
        <v>4015476</v>
      </c>
      <c r="D541" s="44" t="s">
        <v>751</v>
      </c>
      <c r="E541" s="44" t="s">
        <v>754</v>
      </c>
      <c r="F541" s="45">
        <v>3199</v>
      </c>
      <c r="G541" s="45">
        <v>1899</v>
      </c>
      <c r="H541" s="45">
        <v>1899</v>
      </c>
      <c r="I541" s="45">
        <v>1899</v>
      </c>
      <c r="J541" s="45">
        <f t="shared" si="25"/>
        <v>1699</v>
      </c>
      <c r="K541" s="45">
        <f t="shared" si="24"/>
        <v>1699</v>
      </c>
      <c r="L541" s="45">
        <f t="shared" si="24"/>
        <v>1699</v>
      </c>
      <c r="M541" s="45">
        <v>1699</v>
      </c>
      <c r="N541" s="45">
        <v>1699</v>
      </c>
      <c r="O541" s="45">
        <f t="shared" si="26"/>
        <v>1649</v>
      </c>
      <c r="P541" s="46">
        <f t="shared" si="26"/>
        <v>1499</v>
      </c>
      <c r="Q541" s="46">
        <f t="shared" si="26"/>
        <v>1299</v>
      </c>
      <c r="R541" s="45">
        <v>1649</v>
      </c>
      <c r="S541" s="45">
        <v>1499</v>
      </c>
      <c r="T541" s="45">
        <v>1299</v>
      </c>
      <c r="U541" s="45">
        <v>1299</v>
      </c>
      <c r="V541" s="45">
        <v>1299</v>
      </c>
      <c r="W541" s="45">
        <v>1299</v>
      </c>
      <c r="X541" s="45">
        <v>1199</v>
      </c>
      <c r="Y541" s="45">
        <v>999</v>
      </c>
      <c r="Z541" s="45">
        <v>999</v>
      </c>
      <c r="AA541" s="45">
        <v>949</v>
      </c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7"/>
      <c r="AW541" s="48" t="s">
        <v>65</v>
      </c>
      <c r="AX541" s="51" t="s">
        <v>82</v>
      </c>
    </row>
    <row r="542" spans="1:50" ht="22.5" customHeight="1">
      <c r="A542" s="50" t="s">
        <v>61</v>
      </c>
      <c r="B542" s="41" t="s">
        <v>62</v>
      </c>
      <c r="C542" s="42">
        <v>4015478</v>
      </c>
      <c r="D542" s="44" t="s">
        <v>751</v>
      </c>
      <c r="E542" s="44" t="s">
        <v>755</v>
      </c>
      <c r="F542" s="45">
        <v>3199</v>
      </c>
      <c r="G542" s="45">
        <v>1899</v>
      </c>
      <c r="H542" s="45">
        <v>1899</v>
      </c>
      <c r="I542" s="45">
        <v>1899</v>
      </c>
      <c r="J542" s="45">
        <f t="shared" si="25"/>
        <v>1699</v>
      </c>
      <c r="K542" s="45">
        <f t="shared" si="24"/>
        <v>1699</v>
      </c>
      <c r="L542" s="45">
        <f t="shared" si="24"/>
        <v>1699</v>
      </c>
      <c r="M542" s="45">
        <v>1699</v>
      </c>
      <c r="N542" s="45">
        <v>1699</v>
      </c>
      <c r="O542" s="45">
        <f t="shared" si="26"/>
        <v>1649</v>
      </c>
      <c r="P542" s="46">
        <f t="shared" si="26"/>
        <v>1499</v>
      </c>
      <c r="Q542" s="46">
        <f t="shared" si="26"/>
        <v>1299</v>
      </c>
      <c r="R542" s="45">
        <v>1649</v>
      </c>
      <c r="S542" s="45">
        <v>1499</v>
      </c>
      <c r="T542" s="45">
        <v>1299</v>
      </c>
      <c r="U542" s="45">
        <v>1299</v>
      </c>
      <c r="V542" s="45">
        <v>1299</v>
      </c>
      <c r="W542" s="45">
        <v>1299</v>
      </c>
      <c r="X542" s="45">
        <v>1199</v>
      </c>
      <c r="Y542" s="45">
        <v>999</v>
      </c>
      <c r="Z542" s="45">
        <v>999</v>
      </c>
      <c r="AA542" s="45">
        <v>949</v>
      </c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7"/>
      <c r="AW542" s="48" t="s">
        <v>65</v>
      </c>
      <c r="AX542" s="51" t="s">
        <v>82</v>
      </c>
    </row>
    <row r="543" spans="1:50" ht="22.5" customHeight="1">
      <c r="A543" s="50" t="s">
        <v>61</v>
      </c>
      <c r="B543" s="41" t="s">
        <v>62</v>
      </c>
      <c r="C543" s="42">
        <v>4015480</v>
      </c>
      <c r="D543" s="44" t="s">
        <v>751</v>
      </c>
      <c r="E543" s="44" t="s">
        <v>756</v>
      </c>
      <c r="F543" s="45">
        <v>3199</v>
      </c>
      <c r="G543" s="45">
        <v>1899</v>
      </c>
      <c r="H543" s="45">
        <v>1899</v>
      </c>
      <c r="I543" s="45">
        <v>1899</v>
      </c>
      <c r="J543" s="45">
        <f t="shared" si="25"/>
        <v>1699</v>
      </c>
      <c r="K543" s="45">
        <f t="shared" si="24"/>
        <v>1699</v>
      </c>
      <c r="L543" s="45">
        <f t="shared" si="24"/>
        <v>1699</v>
      </c>
      <c r="M543" s="45">
        <v>1699</v>
      </c>
      <c r="N543" s="45">
        <v>1699</v>
      </c>
      <c r="O543" s="45">
        <f t="shared" si="26"/>
        <v>1649</v>
      </c>
      <c r="P543" s="46">
        <f t="shared" si="26"/>
        <v>1499</v>
      </c>
      <c r="Q543" s="46">
        <f t="shared" si="26"/>
        <v>1299</v>
      </c>
      <c r="R543" s="45">
        <v>1649</v>
      </c>
      <c r="S543" s="45">
        <v>1499</v>
      </c>
      <c r="T543" s="45">
        <v>1299</v>
      </c>
      <c r="U543" s="45">
        <v>1299</v>
      </c>
      <c r="V543" s="45">
        <v>1299</v>
      </c>
      <c r="W543" s="45">
        <v>1299</v>
      </c>
      <c r="X543" s="45">
        <v>1199</v>
      </c>
      <c r="Y543" s="45">
        <v>999</v>
      </c>
      <c r="Z543" s="45">
        <v>999</v>
      </c>
      <c r="AA543" s="45">
        <v>949</v>
      </c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7"/>
      <c r="AW543" s="48" t="s">
        <v>65</v>
      </c>
      <c r="AX543" s="51" t="s">
        <v>82</v>
      </c>
    </row>
    <row r="544" spans="1:50" ht="22.5" customHeight="1">
      <c r="A544" s="50" t="s">
        <v>61</v>
      </c>
      <c r="B544" s="41" t="s">
        <v>62</v>
      </c>
      <c r="C544" s="42">
        <v>4015481</v>
      </c>
      <c r="D544" s="44" t="s">
        <v>751</v>
      </c>
      <c r="E544" s="44" t="s">
        <v>757</v>
      </c>
      <c r="F544" s="45">
        <v>3199</v>
      </c>
      <c r="G544" s="45">
        <v>1899</v>
      </c>
      <c r="H544" s="45">
        <v>1899</v>
      </c>
      <c r="I544" s="45">
        <v>1899</v>
      </c>
      <c r="J544" s="45">
        <f t="shared" si="25"/>
        <v>1699</v>
      </c>
      <c r="K544" s="45">
        <f t="shared" si="24"/>
        <v>1699</v>
      </c>
      <c r="L544" s="45">
        <f t="shared" si="24"/>
        <v>1699</v>
      </c>
      <c r="M544" s="45">
        <v>1699</v>
      </c>
      <c r="N544" s="45">
        <v>1699</v>
      </c>
      <c r="O544" s="45">
        <f t="shared" si="26"/>
        <v>1649</v>
      </c>
      <c r="P544" s="46">
        <f t="shared" si="26"/>
        <v>1499</v>
      </c>
      <c r="Q544" s="46">
        <f t="shared" si="26"/>
        <v>1299</v>
      </c>
      <c r="R544" s="45">
        <v>1649</v>
      </c>
      <c r="S544" s="45">
        <v>1499</v>
      </c>
      <c r="T544" s="45">
        <v>1299</v>
      </c>
      <c r="U544" s="45">
        <v>1299</v>
      </c>
      <c r="V544" s="45">
        <v>1299</v>
      </c>
      <c r="W544" s="45">
        <v>1299</v>
      </c>
      <c r="X544" s="45">
        <v>1199</v>
      </c>
      <c r="Y544" s="45">
        <v>999</v>
      </c>
      <c r="Z544" s="45">
        <v>999</v>
      </c>
      <c r="AA544" s="45">
        <v>949</v>
      </c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7"/>
      <c r="AW544" s="48" t="s">
        <v>65</v>
      </c>
      <c r="AX544" s="51" t="s">
        <v>82</v>
      </c>
    </row>
    <row r="545" spans="1:50" ht="22.5" customHeight="1">
      <c r="A545" s="50" t="s">
        <v>61</v>
      </c>
      <c r="B545" s="41" t="s">
        <v>62</v>
      </c>
      <c r="C545" s="42">
        <v>4015914</v>
      </c>
      <c r="D545" s="44" t="s">
        <v>751</v>
      </c>
      <c r="E545" s="44" t="s">
        <v>758</v>
      </c>
      <c r="F545" s="45">
        <v>3199</v>
      </c>
      <c r="G545" s="45">
        <v>1899</v>
      </c>
      <c r="H545" s="45">
        <v>1899</v>
      </c>
      <c r="I545" s="45">
        <v>1899</v>
      </c>
      <c r="J545" s="45">
        <f t="shared" si="25"/>
        <v>1699</v>
      </c>
      <c r="K545" s="45">
        <f t="shared" si="24"/>
        <v>1699</v>
      </c>
      <c r="L545" s="45">
        <f t="shared" si="24"/>
        <v>1699</v>
      </c>
      <c r="M545" s="45">
        <v>1699</v>
      </c>
      <c r="N545" s="45">
        <v>1699</v>
      </c>
      <c r="O545" s="45">
        <f t="shared" si="26"/>
        <v>1649</v>
      </c>
      <c r="P545" s="46">
        <f t="shared" si="26"/>
        <v>1499</v>
      </c>
      <c r="Q545" s="46">
        <f t="shared" si="26"/>
        <v>1299</v>
      </c>
      <c r="R545" s="45">
        <v>1649</v>
      </c>
      <c r="S545" s="45">
        <v>1499</v>
      </c>
      <c r="T545" s="45">
        <v>1299</v>
      </c>
      <c r="U545" s="45">
        <v>1299</v>
      </c>
      <c r="V545" s="45">
        <v>1299</v>
      </c>
      <c r="W545" s="45">
        <v>1299</v>
      </c>
      <c r="X545" s="45">
        <v>1199</v>
      </c>
      <c r="Y545" s="45">
        <v>999</v>
      </c>
      <c r="Z545" s="45">
        <v>999</v>
      </c>
      <c r="AA545" s="45">
        <v>949</v>
      </c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7"/>
      <c r="AW545" s="48" t="s">
        <v>65</v>
      </c>
      <c r="AX545" s="51" t="s">
        <v>82</v>
      </c>
    </row>
    <row r="546" spans="1:50" ht="22.5" customHeight="1">
      <c r="A546" s="50" t="s">
        <v>61</v>
      </c>
      <c r="B546" s="41" t="s">
        <v>62</v>
      </c>
      <c r="C546" s="42">
        <v>4015938</v>
      </c>
      <c r="D546" s="44" t="s">
        <v>759</v>
      </c>
      <c r="E546" s="44" t="s">
        <v>760</v>
      </c>
      <c r="F546" s="45">
        <v>3499</v>
      </c>
      <c r="G546" s="45">
        <v>1999</v>
      </c>
      <c r="H546" s="45">
        <v>1999</v>
      </c>
      <c r="I546" s="45">
        <v>1999</v>
      </c>
      <c r="J546" s="45">
        <v>1899</v>
      </c>
      <c r="K546" s="45">
        <v>1799</v>
      </c>
      <c r="L546" s="45">
        <v>1799</v>
      </c>
      <c r="M546" s="45">
        <v>1899</v>
      </c>
      <c r="N546" s="45">
        <v>1799</v>
      </c>
      <c r="O546" s="45">
        <v>1749</v>
      </c>
      <c r="P546" s="46">
        <v>1699</v>
      </c>
      <c r="Q546" s="46">
        <v>1299</v>
      </c>
      <c r="R546" s="45">
        <v>1749</v>
      </c>
      <c r="S546" s="45">
        <v>1699</v>
      </c>
      <c r="T546" s="45">
        <v>1299</v>
      </c>
      <c r="U546" s="45">
        <v>1299</v>
      </c>
      <c r="V546" s="45">
        <v>1299</v>
      </c>
      <c r="W546" s="45">
        <v>1299</v>
      </c>
      <c r="X546" s="45">
        <v>1299</v>
      </c>
      <c r="Y546" s="45">
        <v>1199</v>
      </c>
      <c r="Z546" s="45">
        <v>1199</v>
      </c>
      <c r="AA546" s="45">
        <v>1199</v>
      </c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7"/>
      <c r="AW546" s="48" t="s">
        <v>65</v>
      </c>
      <c r="AX546" s="51" t="s">
        <v>82</v>
      </c>
    </row>
    <row r="547" spans="1:50" ht="22.5" customHeight="1">
      <c r="A547" s="50" t="s">
        <v>61</v>
      </c>
      <c r="B547" s="41" t="s">
        <v>62</v>
      </c>
      <c r="C547" s="42">
        <v>4016161</v>
      </c>
      <c r="D547" s="44" t="s">
        <v>759</v>
      </c>
      <c r="E547" s="44" t="s">
        <v>761</v>
      </c>
      <c r="F547" s="45">
        <v>3499</v>
      </c>
      <c r="G547" s="45">
        <v>1999</v>
      </c>
      <c r="H547" s="45">
        <v>1999</v>
      </c>
      <c r="I547" s="45">
        <v>1999</v>
      </c>
      <c r="J547" s="45">
        <v>1899</v>
      </c>
      <c r="K547" s="45">
        <v>1799</v>
      </c>
      <c r="L547" s="45">
        <v>1799</v>
      </c>
      <c r="M547" s="45">
        <v>1899</v>
      </c>
      <c r="N547" s="45">
        <v>1799</v>
      </c>
      <c r="O547" s="45">
        <v>1749</v>
      </c>
      <c r="P547" s="46">
        <v>1699</v>
      </c>
      <c r="Q547" s="46">
        <v>1299</v>
      </c>
      <c r="R547" s="45">
        <v>1749</v>
      </c>
      <c r="S547" s="45">
        <v>1699</v>
      </c>
      <c r="T547" s="45">
        <v>1299</v>
      </c>
      <c r="U547" s="45">
        <v>1299</v>
      </c>
      <c r="V547" s="45">
        <v>1299</v>
      </c>
      <c r="W547" s="45">
        <v>1299</v>
      </c>
      <c r="X547" s="45">
        <v>1299</v>
      </c>
      <c r="Y547" s="45">
        <v>1199</v>
      </c>
      <c r="Z547" s="45">
        <v>1199</v>
      </c>
      <c r="AA547" s="45">
        <v>1199</v>
      </c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7"/>
      <c r="AW547" s="48" t="s">
        <v>65</v>
      </c>
      <c r="AX547" s="51" t="s">
        <v>82</v>
      </c>
    </row>
    <row r="548" spans="1:50" ht="22.5" customHeight="1">
      <c r="A548" s="50" t="s">
        <v>61</v>
      </c>
      <c r="B548" s="41" t="s">
        <v>62</v>
      </c>
      <c r="C548" s="42">
        <v>4015933</v>
      </c>
      <c r="D548" s="44" t="s">
        <v>759</v>
      </c>
      <c r="E548" s="44" t="s">
        <v>762</v>
      </c>
      <c r="F548" s="45">
        <v>3499</v>
      </c>
      <c r="G548" s="45">
        <v>1999</v>
      </c>
      <c r="H548" s="45">
        <v>1999</v>
      </c>
      <c r="I548" s="45">
        <v>1999</v>
      </c>
      <c r="J548" s="45">
        <v>1899</v>
      </c>
      <c r="K548" s="45">
        <v>1799</v>
      </c>
      <c r="L548" s="45">
        <v>1799</v>
      </c>
      <c r="M548" s="45">
        <v>1899</v>
      </c>
      <c r="N548" s="45">
        <v>1799</v>
      </c>
      <c r="O548" s="45">
        <v>1749</v>
      </c>
      <c r="P548" s="46">
        <v>1699</v>
      </c>
      <c r="Q548" s="46">
        <v>1299</v>
      </c>
      <c r="R548" s="45">
        <v>1749</v>
      </c>
      <c r="S548" s="45">
        <v>1699</v>
      </c>
      <c r="T548" s="45">
        <v>1299</v>
      </c>
      <c r="U548" s="45">
        <v>1299</v>
      </c>
      <c r="V548" s="45">
        <v>1299</v>
      </c>
      <c r="W548" s="45">
        <v>1299</v>
      </c>
      <c r="X548" s="45">
        <v>1299</v>
      </c>
      <c r="Y548" s="45">
        <v>1199</v>
      </c>
      <c r="Z548" s="45">
        <v>1199</v>
      </c>
      <c r="AA548" s="45">
        <v>1199</v>
      </c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7"/>
      <c r="AW548" s="48" t="s">
        <v>65</v>
      </c>
      <c r="AX548" s="51" t="s">
        <v>82</v>
      </c>
    </row>
    <row r="549" spans="1:50" ht="22.5" customHeight="1">
      <c r="A549" s="50" t="s">
        <v>61</v>
      </c>
      <c r="B549" s="41" t="s">
        <v>62</v>
      </c>
      <c r="C549" s="42">
        <v>4016156</v>
      </c>
      <c r="D549" s="44" t="s">
        <v>759</v>
      </c>
      <c r="E549" s="44" t="s">
        <v>763</v>
      </c>
      <c r="F549" s="45">
        <v>3499</v>
      </c>
      <c r="G549" s="45">
        <v>1999</v>
      </c>
      <c r="H549" s="45">
        <v>1999</v>
      </c>
      <c r="I549" s="45">
        <v>1999</v>
      </c>
      <c r="J549" s="45">
        <v>1899</v>
      </c>
      <c r="K549" s="45">
        <v>1799</v>
      </c>
      <c r="L549" s="45">
        <v>1799</v>
      </c>
      <c r="M549" s="45">
        <v>1899</v>
      </c>
      <c r="N549" s="45">
        <v>1799</v>
      </c>
      <c r="O549" s="45">
        <v>1749</v>
      </c>
      <c r="P549" s="46">
        <v>1699</v>
      </c>
      <c r="Q549" s="46">
        <v>1299</v>
      </c>
      <c r="R549" s="45">
        <v>1749</v>
      </c>
      <c r="S549" s="45">
        <v>1699</v>
      </c>
      <c r="T549" s="45">
        <v>1299</v>
      </c>
      <c r="U549" s="45">
        <v>1299</v>
      </c>
      <c r="V549" s="45">
        <v>1299</v>
      </c>
      <c r="W549" s="45">
        <v>1299</v>
      </c>
      <c r="X549" s="45">
        <v>1299</v>
      </c>
      <c r="Y549" s="45">
        <v>1199</v>
      </c>
      <c r="Z549" s="45">
        <v>1199</v>
      </c>
      <c r="AA549" s="45">
        <v>1199</v>
      </c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7"/>
      <c r="AW549" s="48" t="s">
        <v>65</v>
      </c>
      <c r="AX549" s="51" t="s">
        <v>82</v>
      </c>
    </row>
    <row r="550" spans="1:50" ht="22.5" customHeight="1">
      <c r="A550" s="50" t="s">
        <v>61</v>
      </c>
      <c r="B550" s="41" t="s">
        <v>62</v>
      </c>
      <c r="C550" s="42">
        <v>4016157</v>
      </c>
      <c r="D550" s="44" t="s">
        <v>759</v>
      </c>
      <c r="E550" s="44" t="s">
        <v>764</v>
      </c>
      <c r="F550" s="45">
        <v>3499</v>
      </c>
      <c r="G550" s="45">
        <v>1999</v>
      </c>
      <c r="H550" s="45">
        <v>1999</v>
      </c>
      <c r="I550" s="45">
        <v>1999</v>
      </c>
      <c r="J550" s="45">
        <v>1899</v>
      </c>
      <c r="K550" s="45">
        <v>1799</v>
      </c>
      <c r="L550" s="45">
        <v>1799</v>
      </c>
      <c r="M550" s="45">
        <v>1899</v>
      </c>
      <c r="N550" s="45">
        <v>1799</v>
      </c>
      <c r="O550" s="45">
        <v>1749</v>
      </c>
      <c r="P550" s="46">
        <v>1699</v>
      </c>
      <c r="Q550" s="46">
        <v>1299</v>
      </c>
      <c r="R550" s="45">
        <v>1749</v>
      </c>
      <c r="S550" s="45">
        <v>1699</v>
      </c>
      <c r="T550" s="45">
        <v>1299</v>
      </c>
      <c r="U550" s="45">
        <v>1299</v>
      </c>
      <c r="V550" s="45">
        <v>1299</v>
      </c>
      <c r="W550" s="45">
        <v>1299</v>
      </c>
      <c r="X550" s="45">
        <v>1299</v>
      </c>
      <c r="Y550" s="45">
        <v>1199</v>
      </c>
      <c r="Z550" s="45">
        <v>1199</v>
      </c>
      <c r="AA550" s="45">
        <v>1199</v>
      </c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7"/>
      <c r="AW550" s="48" t="s">
        <v>65</v>
      </c>
      <c r="AX550" s="51" t="s">
        <v>82</v>
      </c>
    </row>
    <row r="551" spans="1:50" ht="22.5" customHeight="1">
      <c r="A551" s="50" t="s">
        <v>61</v>
      </c>
      <c r="B551" s="41" t="s">
        <v>62</v>
      </c>
      <c r="C551" s="42">
        <v>4016985</v>
      </c>
      <c r="D551" s="44" t="s">
        <v>765</v>
      </c>
      <c r="E551" s="44" t="s">
        <v>766</v>
      </c>
      <c r="F551" s="45">
        <v>3599</v>
      </c>
      <c r="G551" s="46">
        <v>2669</v>
      </c>
      <c r="H551" s="46">
        <v>2669</v>
      </c>
      <c r="I551" s="46">
        <v>2669</v>
      </c>
      <c r="J551" s="46">
        <v>2599</v>
      </c>
      <c r="K551" s="46">
        <v>2299</v>
      </c>
      <c r="L551" s="46">
        <v>2299</v>
      </c>
      <c r="M551" s="46">
        <v>2599</v>
      </c>
      <c r="N551" s="46">
        <v>2299</v>
      </c>
      <c r="O551" s="46">
        <v>2249</v>
      </c>
      <c r="P551" s="46">
        <v>2199</v>
      </c>
      <c r="Q551" s="46">
        <v>1899</v>
      </c>
      <c r="R551" s="46">
        <v>2249</v>
      </c>
      <c r="S551" s="46">
        <v>2199</v>
      </c>
      <c r="T551" s="46">
        <v>1899</v>
      </c>
      <c r="U551" s="46">
        <v>1899</v>
      </c>
      <c r="V551" s="46">
        <v>1899</v>
      </c>
      <c r="W551" s="46">
        <v>1899</v>
      </c>
      <c r="X551" s="46">
        <v>1849</v>
      </c>
      <c r="Y551" s="46">
        <v>1799</v>
      </c>
      <c r="Z551" s="46">
        <v>1799</v>
      </c>
      <c r="AA551" s="46">
        <v>1799</v>
      </c>
      <c r="AB551" s="45">
        <v>2299</v>
      </c>
      <c r="AC551" s="45">
        <v>2299</v>
      </c>
      <c r="AD551" s="45">
        <v>2299</v>
      </c>
      <c r="AE551" s="45">
        <v>2299</v>
      </c>
      <c r="AF551" s="45">
        <v>2249</v>
      </c>
      <c r="AG551" s="45">
        <v>2199</v>
      </c>
      <c r="AH551" s="45">
        <v>1899</v>
      </c>
      <c r="AI551" s="45">
        <v>1899</v>
      </c>
      <c r="AJ551" s="45">
        <v>1899</v>
      </c>
      <c r="AK551" s="45">
        <v>1899</v>
      </c>
      <c r="AL551" s="45">
        <v>1799</v>
      </c>
      <c r="AM551" s="45"/>
      <c r="AN551" s="45"/>
      <c r="AO551" s="45"/>
      <c r="AP551" s="45"/>
      <c r="AQ551" s="45"/>
      <c r="AR551" s="45"/>
      <c r="AS551" s="45"/>
      <c r="AT551" s="45"/>
      <c r="AU551" s="45"/>
      <c r="AV551" s="47"/>
      <c r="AW551" s="48" t="s">
        <v>65</v>
      </c>
      <c r="AX551" s="51" t="s">
        <v>82</v>
      </c>
    </row>
    <row r="552" spans="1:50" ht="22.5" customHeight="1">
      <c r="A552" s="50" t="s">
        <v>61</v>
      </c>
      <c r="B552" s="41" t="s">
        <v>62</v>
      </c>
      <c r="C552" s="42">
        <v>4016999</v>
      </c>
      <c r="D552" s="44" t="s">
        <v>765</v>
      </c>
      <c r="E552" s="44" t="s">
        <v>767</v>
      </c>
      <c r="F552" s="45">
        <v>3599</v>
      </c>
      <c r="G552" s="46">
        <v>2669</v>
      </c>
      <c r="H552" s="46">
        <v>2669</v>
      </c>
      <c r="I552" s="46">
        <v>2669</v>
      </c>
      <c r="J552" s="46">
        <v>2599</v>
      </c>
      <c r="K552" s="46">
        <v>2299</v>
      </c>
      <c r="L552" s="46">
        <v>2299</v>
      </c>
      <c r="M552" s="46">
        <v>2599</v>
      </c>
      <c r="N552" s="46">
        <v>2299</v>
      </c>
      <c r="O552" s="46">
        <v>2249</v>
      </c>
      <c r="P552" s="46">
        <v>2199</v>
      </c>
      <c r="Q552" s="46">
        <v>1899</v>
      </c>
      <c r="R552" s="46">
        <v>2249</v>
      </c>
      <c r="S552" s="46">
        <v>2199</v>
      </c>
      <c r="T552" s="46">
        <v>1899</v>
      </c>
      <c r="U552" s="46">
        <v>1899</v>
      </c>
      <c r="V552" s="46">
        <v>1899</v>
      </c>
      <c r="W552" s="46">
        <v>1899</v>
      </c>
      <c r="X552" s="46">
        <v>1849</v>
      </c>
      <c r="Y552" s="46">
        <v>1799</v>
      </c>
      <c r="Z552" s="46">
        <v>1799</v>
      </c>
      <c r="AA552" s="46">
        <v>1799</v>
      </c>
      <c r="AB552" s="45">
        <v>2299</v>
      </c>
      <c r="AC552" s="45">
        <v>2299</v>
      </c>
      <c r="AD552" s="45">
        <v>2299</v>
      </c>
      <c r="AE552" s="45">
        <v>2299</v>
      </c>
      <c r="AF552" s="45">
        <v>2249</v>
      </c>
      <c r="AG552" s="45">
        <v>2199</v>
      </c>
      <c r="AH552" s="45">
        <v>1899</v>
      </c>
      <c r="AI552" s="45">
        <v>1899</v>
      </c>
      <c r="AJ552" s="45">
        <v>1899</v>
      </c>
      <c r="AK552" s="45">
        <v>1899</v>
      </c>
      <c r="AL552" s="45">
        <v>1799</v>
      </c>
      <c r="AM552" s="45"/>
      <c r="AN552" s="45"/>
      <c r="AO552" s="45"/>
      <c r="AP552" s="45"/>
      <c r="AQ552" s="45"/>
      <c r="AR552" s="45"/>
      <c r="AS552" s="45"/>
      <c r="AT552" s="45"/>
      <c r="AU552" s="45"/>
      <c r="AV552" s="47"/>
      <c r="AW552" s="48" t="s">
        <v>65</v>
      </c>
      <c r="AX552" s="51" t="s">
        <v>82</v>
      </c>
    </row>
    <row r="553" spans="1:50" ht="22.5" customHeight="1">
      <c r="A553" s="50" t="s">
        <v>61</v>
      </c>
      <c r="B553" s="41" t="s">
        <v>62</v>
      </c>
      <c r="C553" s="42">
        <v>4017065</v>
      </c>
      <c r="D553" s="44" t="s">
        <v>765</v>
      </c>
      <c r="E553" s="44" t="s">
        <v>768</v>
      </c>
      <c r="F553" s="45">
        <v>3599</v>
      </c>
      <c r="G553" s="46">
        <v>2669</v>
      </c>
      <c r="H553" s="46">
        <v>2669</v>
      </c>
      <c r="I553" s="46">
        <v>2669</v>
      </c>
      <c r="J553" s="46">
        <v>2599</v>
      </c>
      <c r="K553" s="46">
        <v>2299</v>
      </c>
      <c r="L553" s="46">
        <v>2299</v>
      </c>
      <c r="M553" s="46">
        <v>2599</v>
      </c>
      <c r="N553" s="46">
        <v>2299</v>
      </c>
      <c r="O553" s="46">
        <v>2249</v>
      </c>
      <c r="P553" s="46">
        <v>2199</v>
      </c>
      <c r="Q553" s="46">
        <v>1899</v>
      </c>
      <c r="R553" s="46">
        <v>2249</v>
      </c>
      <c r="S553" s="46">
        <v>2199</v>
      </c>
      <c r="T553" s="46">
        <v>1899</v>
      </c>
      <c r="U553" s="46">
        <v>1899</v>
      </c>
      <c r="V553" s="46">
        <v>1899</v>
      </c>
      <c r="W553" s="46">
        <v>1899</v>
      </c>
      <c r="X553" s="46">
        <v>1849</v>
      </c>
      <c r="Y553" s="46">
        <v>1799</v>
      </c>
      <c r="Z553" s="46">
        <v>1799</v>
      </c>
      <c r="AA553" s="46">
        <v>1799</v>
      </c>
      <c r="AB553" s="45">
        <v>2299</v>
      </c>
      <c r="AC553" s="45">
        <v>2299</v>
      </c>
      <c r="AD553" s="45">
        <v>2299</v>
      </c>
      <c r="AE553" s="45">
        <v>2299</v>
      </c>
      <c r="AF553" s="45">
        <v>2249</v>
      </c>
      <c r="AG553" s="45">
        <v>2199</v>
      </c>
      <c r="AH553" s="45">
        <v>1899</v>
      </c>
      <c r="AI553" s="45">
        <v>1899</v>
      </c>
      <c r="AJ553" s="45">
        <v>1899</v>
      </c>
      <c r="AK553" s="45">
        <v>1899</v>
      </c>
      <c r="AL553" s="45">
        <v>1799</v>
      </c>
      <c r="AM553" s="45"/>
      <c r="AN553" s="45"/>
      <c r="AO553" s="45"/>
      <c r="AP553" s="45"/>
      <c r="AQ553" s="45"/>
      <c r="AR553" s="45"/>
      <c r="AS553" s="45"/>
      <c r="AT553" s="45"/>
      <c r="AU553" s="45"/>
      <c r="AV553" s="47"/>
      <c r="AW553" s="48" t="s">
        <v>65</v>
      </c>
      <c r="AX553" s="51" t="s">
        <v>82</v>
      </c>
    </row>
    <row r="554" spans="1:50" ht="22.5" customHeight="1">
      <c r="A554" s="50" t="s">
        <v>61</v>
      </c>
      <c r="B554" s="41" t="s">
        <v>62</v>
      </c>
      <c r="C554" s="42">
        <v>4016977</v>
      </c>
      <c r="D554" s="44" t="s">
        <v>765</v>
      </c>
      <c r="E554" s="44" t="s">
        <v>769</v>
      </c>
      <c r="F554" s="45">
        <v>3599</v>
      </c>
      <c r="G554" s="46">
        <v>2669</v>
      </c>
      <c r="H554" s="46">
        <v>2669</v>
      </c>
      <c r="I554" s="46">
        <v>2669</v>
      </c>
      <c r="J554" s="46">
        <v>2599</v>
      </c>
      <c r="K554" s="46">
        <v>2299</v>
      </c>
      <c r="L554" s="46">
        <v>2299</v>
      </c>
      <c r="M554" s="46">
        <v>2599</v>
      </c>
      <c r="N554" s="46">
        <v>2299</v>
      </c>
      <c r="O554" s="46">
        <v>2249</v>
      </c>
      <c r="P554" s="46">
        <v>2199</v>
      </c>
      <c r="Q554" s="46">
        <v>1899</v>
      </c>
      <c r="R554" s="46">
        <v>2249</v>
      </c>
      <c r="S554" s="46">
        <v>2199</v>
      </c>
      <c r="T554" s="46">
        <v>1899</v>
      </c>
      <c r="U554" s="46">
        <v>1899</v>
      </c>
      <c r="V554" s="46">
        <v>1899</v>
      </c>
      <c r="W554" s="46">
        <v>1899</v>
      </c>
      <c r="X554" s="46">
        <v>1849</v>
      </c>
      <c r="Y554" s="46">
        <v>1799</v>
      </c>
      <c r="Z554" s="46">
        <v>1799</v>
      </c>
      <c r="AA554" s="46">
        <v>1799</v>
      </c>
      <c r="AB554" s="45">
        <v>2299</v>
      </c>
      <c r="AC554" s="45">
        <v>2299</v>
      </c>
      <c r="AD554" s="45">
        <v>2299</v>
      </c>
      <c r="AE554" s="45">
        <v>2299</v>
      </c>
      <c r="AF554" s="45">
        <v>2249</v>
      </c>
      <c r="AG554" s="45">
        <v>2199</v>
      </c>
      <c r="AH554" s="45">
        <v>1899</v>
      </c>
      <c r="AI554" s="45">
        <v>1899</v>
      </c>
      <c r="AJ554" s="45">
        <v>1899</v>
      </c>
      <c r="AK554" s="45">
        <v>1899</v>
      </c>
      <c r="AL554" s="45">
        <v>1799</v>
      </c>
      <c r="AM554" s="45"/>
      <c r="AN554" s="45"/>
      <c r="AO554" s="45"/>
      <c r="AP554" s="45"/>
      <c r="AQ554" s="45"/>
      <c r="AR554" s="45"/>
      <c r="AS554" s="45"/>
      <c r="AT554" s="45"/>
      <c r="AU554" s="45"/>
      <c r="AV554" s="47"/>
      <c r="AW554" s="48" t="s">
        <v>65</v>
      </c>
      <c r="AX554" s="51" t="s">
        <v>82</v>
      </c>
    </row>
    <row r="555" spans="1:50" ht="22.5" customHeight="1">
      <c r="A555" s="50" t="s">
        <v>61</v>
      </c>
      <c r="B555" s="41" t="s">
        <v>62</v>
      </c>
      <c r="C555" s="42">
        <v>4016993</v>
      </c>
      <c r="D555" s="44" t="s">
        <v>765</v>
      </c>
      <c r="E555" s="44" t="s">
        <v>770</v>
      </c>
      <c r="F555" s="45">
        <v>3599</v>
      </c>
      <c r="G555" s="46">
        <v>2669</v>
      </c>
      <c r="H555" s="46">
        <v>2669</v>
      </c>
      <c r="I555" s="46">
        <v>2669</v>
      </c>
      <c r="J555" s="46">
        <v>2599</v>
      </c>
      <c r="K555" s="46">
        <v>2299</v>
      </c>
      <c r="L555" s="46">
        <v>2299</v>
      </c>
      <c r="M555" s="46">
        <v>2599</v>
      </c>
      <c r="N555" s="46">
        <v>2299</v>
      </c>
      <c r="O555" s="46">
        <v>2249</v>
      </c>
      <c r="P555" s="46">
        <v>2199</v>
      </c>
      <c r="Q555" s="46">
        <v>1899</v>
      </c>
      <c r="R555" s="46">
        <v>2249</v>
      </c>
      <c r="S555" s="46">
        <v>2199</v>
      </c>
      <c r="T555" s="46">
        <v>1899</v>
      </c>
      <c r="U555" s="46">
        <v>1899</v>
      </c>
      <c r="V555" s="46">
        <v>1899</v>
      </c>
      <c r="W555" s="46">
        <v>1899</v>
      </c>
      <c r="X555" s="46">
        <v>1849</v>
      </c>
      <c r="Y555" s="46">
        <v>1799</v>
      </c>
      <c r="Z555" s="46">
        <v>1799</v>
      </c>
      <c r="AA555" s="46">
        <v>1799</v>
      </c>
      <c r="AB555" s="45">
        <v>2299</v>
      </c>
      <c r="AC555" s="45">
        <v>2299</v>
      </c>
      <c r="AD555" s="45">
        <v>2299</v>
      </c>
      <c r="AE555" s="45">
        <v>2299</v>
      </c>
      <c r="AF555" s="45">
        <v>2249</v>
      </c>
      <c r="AG555" s="45">
        <v>2199</v>
      </c>
      <c r="AH555" s="45">
        <v>1899</v>
      </c>
      <c r="AI555" s="45">
        <v>1899</v>
      </c>
      <c r="AJ555" s="45">
        <v>1899</v>
      </c>
      <c r="AK555" s="45">
        <v>1899</v>
      </c>
      <c r="AL555" s="45">
        <v>1799</v>
      </c>
      <c r="AM555" s="45"/>
      <c r="AN555" s="45"/>
      <c r="AO555" s="45"/>
      <c r="AP555" s="45"/>
      <c r="AQ555" s="45"/>
      <c r="AR555" s="45"/>
      <c r="AS555" s="45"/>
      <c r="AT555" s="45"/>
      <c r="AU555" s="45"/>
      <c r="AV555" s="47"/>
      <c r="AW555" s="48" t="s">
        <v>65</v>
      </c>
      <c r="AX555" s="51" t="s">
        <v>82</v>
      </c>
    </row>
    <row r="556" spans="1:50" ht="22.5" customHeight="1">
      <c r="A556" s="50" t="s">
        <v>61</v>
      </c>
      <c r="B556" s="41" t="s">
        <v>62</v>
      </c>
      <c r="C556" s="42">
        <v>4017064</v>
      </c>
      <c r="D556" s="44" t="s">
        <v>765</v>
      </c>
      <c r="E556" s="44" t="s">
        <v>771</v>
      </c>
      <c r="F556" s="45">
        <v>3599</v>
      </c>
      <c r="G556" s="46">
        <v>2669</v>
      </c>
      <c r="H556" s="46">
        <v>2669</v>
      </c>
      <c r="I556" s="46">
        <v>2669</v>
      </c>
      <c r="J556" s="46">
        <v>2599</v>
      </c>
      <c r="K556" s="46">
        <v>2299</v>
      </c>
      <c r="L556" s="46">
        <v>2299</v>
      </c>
      <c r="M556" s="46">
        <v>2599</v>
      </c>
      <c r="N556" s="46">
        <v>2299</v>
      </c>
      <c r="O556" s="46">
        <v>2249</v>
      </c>
      <c r="P556" s="46">
        <v>2199</v>
      </c>
      <c r="Q556" s="46">
        <v>1899</v>
      </c>
      <c r="R556" s="46">
        <v>2249</v>
      </c>
      <c r="S556" s="46">
        <v>2199</v>
      </c>
      <c r="T556" s="46">
        <v>1899</v>
      </c>
      <c r="U556" s="46">
        <v>1899</v>
      </c>
      <c r="V556" s="46">
        <v>1899</v>
      </c>
      <c r="W556" s="46">
        <v>1899</v>
      </c>
      <c r="X556" s="46">
        <v>1849</v>
      </c>
      <c r="Y556" s="46">
        <v>1799</v>
      </c>
      <c r="Z556" s="46">
        <v>1799</v>
      </c>
      <c r="AA556" s="46">
        <v>1799</v>
      </c>
      <c r="AB556" s="45">
        <v>2299</v>
      </c>
      <c r="AC556" s="45">
        <v>2299</v>
      </c>
      <c r="AD556" s="45">
        <v>2299</v>
      </c>
      <c r="AE556" s="45">
        <v>2299</v>
      </c>
      <c r="AF556" s="45">
        <v>2249</v>
      </c>
      <c r="AG556" s="45">
        <v>2199</v>
      </c>
      <c r="AH556" s="45">
        <v>1899</v>
      </c>
      <c r="AI556" s="45">
        <v>1899</v>
      </c>
      <c r="AJ556" s="45">
        <v>1899</v>
      </c>
      <c r="AK556" s="45">
        <v>1899</v>
      </c>
      <c r="AL556" s="45">
        <v>1799</v>
      </c>
      <c r="AM556" s="45"/>
      <c r="AN556" s="45"/>
      <c r="AO556" s="45"/>
      <c r="AP556" s="45"/>
      <c r="AQ556" s="45"/>
      <c r="AR556" s="45"/>
      <c r="AS556" s="45"/>
      <c r="AT556" s="45"/>
      <c r="AU556" s="45"/>
      <c r="AV556" s="47"/>
      <c r="AW556" s="48" t="s">
        <v>65</v>
      </c>
      <c r="AX556" s="51" t="s">
        <v>82</v>
      </c>
    </row>
    <row r="557" spans="1:50" ht="22.5" customHeight="1">
      <c r="A557" s="50" t="s">
        <v>61</v>
      </c>
      <c r="B557" s="41" t="s">
        <v>62</v>
      </c>
      <c r="C557" s="42">
        <v>4013486</v>
      </c>
      <c r="D557" s="44" t="s">
        <v>772</v>
      </c>
      <c r="E557" s="44" t="s">
        <v>773</v>
      </c>
      <c r="F557" s="45">
        <v>79</v>
      </c>
      <c r="G557" s="45">
        <v>69</v>
      </c>
      <c r="H557" s="45">
        <v>69</v>
      </c>
      <c r="I557" s="45">
        <v>69</v>
      </c>
      <c r="J557" s="45">
        <f t="shared" si="25"/>
        <v>69</v>
      </c>
      <c r="K557" s="45">
        <f t="shared" si="24"/>
        <v>69</v>
      </c>
      <c r="L557" s="45">
        <f t="shared" si="24"/>
        <v>69</v>
      </c>
      <c r="M557" s="45">
        <v>69</v>
      </c>
      <c r="N557" s="45">
        <v>69</v>
      </c>
      <c r="O557" s="45">
        <f t="shared" si="26"/>
        <v>69</v>
      </c>
      <c r="P557" s="46">
        <f t="shared" si="26"/>
        <v>69</v>
      </c>
      <c r="Q557" s="46">
        <f t="shared" si="26"/>
        <v>69</v>
      </c>
      <c r="R557" s="45">
        <v>69</v>
      </c>
      <c r="S557" s="45">
        <v>69</v>
      </c>
      <c r="T557" s="45">
        <v>69</v>
      </c>
      <c r="U557" s="45">
        <v>69</v>
      </c>
      <c r="V557" s="45">
        <v>69</v>
      </c>
      <c r="W557" s="45">
        <v>69</v>
      </c>
      <c r="X557" s="45">
        <v>69</v>
      </c>
      <c r="Y557" s="45">
        <v>69</v>
      </c>
      <c r="Z557" s="45">
        <v>69</v>
      </c>
      <c r="AA557" s="45">
        <v>69</v>
      </c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7"/>
      <c r="AW557" s="48" t="s">
        <v>65</v>
      </c>
      <c r="AX557" s="51" t="s">
        <v>66</v>
      </c>
    </row>
    <row r="558" spans="1:50" ht="22.5" customHeight="1">
      <c r="A558" s="50" t="s">
        <v>61</v>
      </c>
      <c r="B558" s="41" t="s">
        <v>62</v>
      </c>
      <c r="C558" s="42">
        <v>4013487</v>
      </c>
      <c r="D558" s="44" t="s">
        <v>772</v>
      </c>
      <c r="E558" s="44" t="s">
        <v>774</v>
      </c>
      <c r="F558" s="45">
        <v>79</v>
      </c>
      <c r="G558" s="45">
        <v>69</v>
      </c>
      <c r="H558" s="45">
        <v>69</v>
      </c>
      <c r="I558" s="45">
        <v>69</v>
      </c>
      <c r="J558" s="45">
        <f t="shared" si="25"/>
        <v>69</v>
      </c>
      <c r="K558" s="45">
        <f t="shared" si="24"/>
        <v>69</v>
      </c>
      <c r="L558" s="45">
        <f t="shared" si="24"/>
        <v>69</v>
      </c>
      <c r="M558" s="45">
        <v>69</v>
      </c>
      <c r="N558" s="45">
        <v>69</v>
      </c>
      <c r="O558" s="45">
        <f t="shared" si="26"/>
        <v>69</v>
      </c>
      <c r="P558" s="46">
        <f t="shared" si="26"/>
        <v>69</v>
      </c>
      <c r="Q558" s="46">
        <f t="shared" si="26"/>
        <v>69</v>
      </c>
      <c r="R558" s="45">
        <v>69</v>
      </c>
      <c r="S558" s="45">
        <v>69</v>
      </c>
      <c r="T558" s="45">
        <v>69</v>
      </c>
      <c r="U558" s="45">
        <v>69</v>
      </c>
      <c r="V558" s="45">
        <v>69</v>
      </c>
      <c r="W558" s="45">
        <v>69</v>
      </c>
      <c r="X558" s="45">
        <v>69</v>
      </c>
      <c r="Y558" s="45">
        <v>69</v>
      </c>
      <c r="Z558" s="45">
        <v>69</v>
      </c>
      <c r="AA558" s="45">
        <v>69</v>
      </c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7"/>
      <c r="AW558" s="48" t="s">
        <v>65</v>
      </c>
      <c r="AX558" s="51" t="s">
        <v>66</v>
      </c>
    </row>
    <row r="559" spans="1:50" ht="22.5" customHeight="1">
      <c r="A559" s="50" t="s">
        <v>61</v>
      </c>
      <c r="B559" s="41" t="s">
        <v>62</v>
      </c>
      <c r="C559" s="42">
        <v>4013712</v>
      </c>
      <c r="D559" s="44" t="s">
        <v>772</v>
      </c>
      <c r="E559" s="44" t="s">
        <v>775</v>
      </c>
      <c r="F559" s="45">
        <v>79</v>
      </c>
      <c r="G559" s="45">
        <v>69</v>
      </c>
      <c r="H559" s="45">
        <v>69</v>
      </c>
      <c r="I559" s="45">
        <v>69</v>
      </c>
      <c r="J559" s="45">
        <f t="shared" si="25"/>
        <v>69</v>
      </c>
      <c r="K559" s="45">
        <f t="shared" si="24"/>
        <v>69</v>
      </c>
      <c r="L559" s="45">
        <f t="shared" si="24"/>
        <v>69</v>
      </c>
      <c r="M559" s="45">
        <v>69</v>
      </c>
      <c r="N559" s="45">
        <v>69</v>
      </c>
      <c r="O559" s="45">
        <f t="shared" si="26"/>
        <v>69</v>
      </c>
      <c r="P559" s="46">
        <f t="shared" si="26"/>
        <v>69</v>
      </c>
      <c r="Q559" s="46">
        <f t="shared" si="26"/>
        <v>69</v>
      </c>
      <c r="R559" s="45">
        <v>69</v>
      </c>
      <c r="S559" s="45">
        <v>69</v>
      </c>
      <c r="T559" s="45">
        <v>69</v>
      </c>
      <c r="U559" s="45">
        <v>69</v>
      </c>
      <c r="V559" s="45">
        <v>69</v>
      </c>
      <c r="W559" s="45">
        <v>69</v>
      </c>
      <c r="X559" s="45">
        <v>69</v>
      </c>
      <c r="Y559" s="45">
        <v>69</v>
      </c>
      <c r="Z559" s="45">
        <v>69</v>
      </c>
      <c r="AA559" s="45">
        <v>69</v>
      </c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7"/>
      <c r="AW559" s="48" t="s">
        <v>65</v>
      </c>
      <c r="AX559" s="51" t="s">
        <v>66</v>
      </c>
    </row>
    <row r="560" spans="1:50" ht="22.5" customHeight="1">
      <c r="A560" s="50" t="s">
        <v>61</v>
      </c>
      <c r="B560" s="41" t="s">
        <v>62</v>
      </c>
      <c r="C560" s="42">
        <v>4013713</v>
      </c>
      <c r="D560" s="44" t="s">
        <v>772</v>
      </c>
      <c r="E560" s="44" t="s">
        <v>776</v>
      </c>
      <c r="F560" s="45">
        <v>79</v>
      </c>
      <c r="G560" s="45">
        <v>69</v>
      </c>
      <c r="H560" s="45">
        <v>69</v>
      </c>
      <c r="I560" s="45">
        <v>69</v>
      </c>
      <c r="J560" s="45">
        <f t="shared" si="25"/>
        <v>69</v>
      </c>
      <c r="K560" s="45">
        <f t="shared" si="24"/>
        <v>69</v>
      </c>
      <c r="L560" s="45">
        <f t="shared" si="24"/>
        <v>69</v>
      </c>
      <c r="M560" s="45">
        <v>69</v>
      </c>
      <c r="N560" s="45">
        <v>69</v>
      </c>
      <c r="O560" s="45">
        <f t="shared" si="26"/>
        <v>69</v>
      </c>
      <c r="P560" s="46">
        <f t="shared" si="26"/>
        <v>69</v>
      </c>
      <c r="Q560" s="46">
        <f t="shared" si="26"/>
        <v>69</v>
      </c>
      <c r="R560" s="45">
        <v>69</v>
      </c>
      <c r="S560" s="45">
        <v>69</v>
      </c>
      <c r="T560" s="45">
        <v>69</v>
      </c>
      <c r="U560" s="45">
        <v>69</v>
      </c>
      <c r="V560" s="45">
        <v>69</v>
      </c>
      <c r="W560" s="45">
        <v>69</v>
      </c>
      <c r="X560" s="45">
        <v>69</v>
      </c>
      <c r="Y560" s="45">
        <v>69</v>
      </c>
      <c r="Z560" s="45">
        <v>69</v>
      </c>
      <c r="AA560" s="45">
        <v>69</v>
      </c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7"/>
      <c r="AW560" s="48" t="s">
        <v>65</v>
      </c>
      <c r="AX560" s="51" t="s">
        <v>66</v>
      </c>
    </row>
    <row r="561" spans="1:50" ht="22.5" customHeight="1">
      <c r="A561" s="50" t="s">
        <v>61</v>
      </c>
      <c r="B561" s="41" t="s">
        <v>62</v>
      </c>
      <c r="C561" s="42">
        <v>4014900</v>
      </c>
      <c r="D561" s="44" t="s">
        <v>777</v>
      </c>
      <c r="E561" s="44" t="s">
        <v>778</v>
      </c>
      <c r="F561" s="45">
        <v>3799</v>
      </c>
      <c r="G561" s="45">
        <v>1399</v>
      </c>
      <c r="H561" s="45">
        <v>1399</v>
      </c>
      <c r="I561" s="45">
        <v>1399</v>
      </c>
      <c r="J561" s="45">
        <v>749</v>
      </c>
      <c r="K561" s="45">
        <v>749</v>
      </c>
      <c r="L561" s="45">
        <v>749</v>
      </c>
      <c r="M561" s="45">
        <v>749</v>
      </c>
      <c r="N561" s="45">
        <v>749</v>
      </c>
      <c r="O561" s="45">
        <v>749</v>
      </c>
      <c r="P561" s="46">
        <v>749</v>
      </c>
      <c r="Q561" s="46">
        <v>749</v>
      </c>
      <c r="R561" s="45">
        <v>749</v>
      </c>
      <c r="S561" s="45">
        <v>749</v>
      </c>
      <c r="T561" s="45">
        <v>749</v>
      </c>
      <c r="U561" s="45">
        <v>749</v>
      </c>
      <c r="V561" s="45">
        <v>749</v>
      </c>
      <c r="W561" s="45">
        <v>749</v>
      </c>
      <c r="X561" s="45">
        <v>749</v>
      </c>
      <c r="Y561" s="45">
        <v>749</v>
      </c>
      <c r="Z561" s="45">
        <v>749</v>
      </c>
      <c r="AA561" s="45">
        <v>749</v>
      </c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7"/>
      <c r="AW561" s="48" t="s">
        <v>65</v>
      </c>
      <c r="AX561" s="51" t="s">
        <v>82</v>
      </c>
    </row>
    <row r="562" spans="1:50" ht="22.5" customHeight="1">
      <c r="A562" s="50" t="s">
        <v>61</v>
      </c>
      <c r="B562" s="41" t="s">
        <v>62</v>
      </c>
      <c r="C562" s="42">
        <v>4014902</v>
      </c>
      <c r="D562" s="44" t="s">
        <v>777</v>
      </c>
      <c r="E562" s="44" t="s">
        <v>779</v>
      </c>
      <c r="F562" s="45">
        <v>3799</v>
      </c>
      <c r="G562" s="45">
        <v>1399</v>
      </c>
      <c r="H562" s="45">
        <v>1399</v>
      </c>
      <c r="I562" s="45">
        <v>1399</v>
      </c>
      <c r="J562" s="45">
        <v>749</v>
      </c>
      <c r="K562" s="45">
        <v>749</v>
      </c>
      <c r="L562" s="45">
        <v>749</v>
      </c>
      <c r="M562" s="45">
        <v>749</v>
      </c>
      <c r="N562" s="45">
        <v>749</v>
      </c>
      <c r="O562" s="45">
        <v>749</v>
      </c>
      <c r="P562" s="46">
        <v>749</v>
      </c>
      <c r="Q562" s="46">
        <v>749</v>
      </c>
      <c r="R562" s="45">
        <v>749</v>
      </c>
      <c r="S562" s="45">
        <v>749</v>
      </c>
      <c r="T562" s="45">
        <v>749</v>
      </c>
      <c r="U562" s="45">
        <v>749</v>
      </c>
      <c r="V562" s="45">
        <v>749</v>
      </c>
      <c r="W562" s="45">
        <v>749</v>
      </c>
      <c r="X562" s="45">
        <v>749</v>
      </c>
      <c r="Y562" s="45">
        <v>749</v>
      </c>
      <c r="Z562" s="45">
        <v>749</v>
      </c>
      <c r="AA562" s="45">
        <v>749</v>
      </c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7"/>
      <c r="AW562" s="48" t="s">
        <v>65</v>
      </c>
      <c r="AX562" s="51" t="s">
        <v>82</v>
      </c>
    </row>
    <row r="563" spans="1:50" ht="22.5" customHeight="1">
      <c r="A563" s="50" t="s">
        <v>61</v>
      </c>
      <c r="B563" s="41" t="s">
        <v>62</v>
      </c>
      <c r="C563" s="42">
        <v>4014901</v>
      </c>
      <c r="D563" s="44" t="s">
        <v>777</v>
      </c>
      <c r="E563" s="44" t="s">
        <v>780</v>
      </c>
      <c r="F563" s="45">
        <v>3799</v>
      </c>
      <c r="G563" s="45">
        <v>1399</v>
      </c>
      <c r="H563" s="45">
        <v>1399</v>
      </c>
      <c r="I563" s="45">
        <v>1399</v>
      </c>
      <c r="J563" s="45">
        <v>749</v>
      </c>
      <c r="K563" s="45">
        <v>749</v>
      </c>
      <c r="L563" s="45">
        <v>749</v>
      </c>
      <c r="M563" s="45">
        <v>749</v>
      </c>
      <c r="N563" s="45">
        <v>749</v>
      </c>
      <c r="O563" s="45">
        <v>749</v>
      </c>
      <c r="P563" s="46">
        <v>749</v>
      </c>
      <c r="Q563" s="46">
        <v>749</v>
      </c>
      <c r="R563" s="45">
        <v>749</v>
      </c>
      <c r="S563" s="45">
        <v>749</v>
      </c>
      <c r="T563" s="45">
        <v>749</v>
      </c>
      <c r="U563" s="45">
        <v>749</v>
      </c>
      <c r="V563" s="45">
        <v>749</v>
      </c>
      <c r="W563" s="45">
        <v>749</v>
      </c>
      <c r="X563" s="45">
        <v>749</v>
      </c>
      <c r="Y563" s="45">
        <v>749</v>
      </c>
      <c r="Z563" s="45">
        <v>749</v>
      </c>
      <c r="AA563" s="45">
        <v>749</v>
      </c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7"/>
      <c r="AW563" s="48" t="s">
        <v>65</v>
      </c>
      <c r="AX563" s="51" t="s">
        <v>82</v>
      </c>
    </row>
    <row r="564" spans="1:50" ht="22.5" customHeight="1">
      <c r="A564" s="50" t="s">
        <v>61</v>
      </c>
      <c r="B564" s="41" t="s">
        <v>62</v>
      </c>
      <c r="C564" s="42">
        <v>4014903</v>
      </c>
      <c r="D564" s="44" t="s">
        <v>777</v>
      </c>
      <c r="E564" s="44" t="s">
        <v>781</v>
      </c>
      <c r="F564" s="45">
        <v>3799</v>
      </c>
      <c r="G564" s="45">
        <v>1399</v>
      </c>
      <c r="H564" s="45">
        <v>1399</v>
      </c>
      <c r="I564" s="45">
        <v>1399</v>
      </c>
      <c r="J564" s="45">
        <v>749</v>
      </c>
      <c r="K564" s="45">
        <v>749</v>
      </c>
      <c r="L564" s="45">
        <v>749</v>
      </c>
      <c r="M564" s="45">
        <v>749</v>
      </c>
      <c r="N564" s="45">
        <v>749</v>
      </c>
      <c r="O564" s="45">
        <v>749</v>
      </c>
      <c r="P564" s="46">
        <v>749</v>
      </c>
      <c r="Q564" s="46">
        <v>749</v>
      </c>
      <c r="R564" s="45">
        <v>749</v>
      </c>
      <c r="S564" s="45">
        <v>749</v>
      </c>
      <c r="T564" s="45">
        <v>749</v>
      </c>
      <c r="U564" s="45">
        <v>749</v>
      </c>
      <c r="V564" s="45">
        <v>749</v>
      </c>
      <c r="W564" s="45">
        <v>749</v>
      </c>
      <c r="X564" s="45">
        <v>749</v>
      </c>
      <c r="Y564" s="45">
        <v>749</v>
      </c>
      <c r="Z564" s="45">
        <v>749</v>
      </c>
      <c r="AA564" s="45">
        <v>749</v>
      </c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7"/>
      <c r="AW564" s="48" t="s">
        <v>65</v>
      </c>
      <c r="AX564" s="51" t="s">
        <v>82</v>
      </c>
    </row>
    <row r="565" spans="1:50" ht="22.5" customHeight="1">
      <c r="A565" s="50" t="s">
        <v>61</v>
      </c>
      <c r="B565" s="41" t="s">
        <v>62</v>
      </c>
      <c r="C565" s="42">
        <v>4012622</v>
      </c>
      <c r="D565" s="60" t="s">
        <v>782</v>
      </c>
      <c r="E565" s="42" t="s">
        <v>783</v>
      </c>
      <c r="F565" s="45">
        <v>1099</v>
      </c>
      <c r="G565" s="45">
        <v>399</v>
      </c>
      <c r="H565" s="45">
        <v>399</v>
      </c>
      <c r="I565" s="45">
        <v>399</v>
      </c>
      <c r="J565" s="45">
        <f t="shared" ref="J565:J576" si="27">M565</f>
        <v>399</v>
      </c>
      <c r="K565" s="45">
        <f t="shared" ref="K565:L576" si="28">M565</f>
        <v>399</v>
      </c>
      <c r="L565" s="45">
        <f t="shared" si="28"/>
        <v>399</v>
      </c>
      <c r="M565" s="45">
        <v>399</v>
      </c>
      <c r="N565" s="45">
        <v>399</v>
      </c>
      <c r="O565" s="45"/>
      <c r="P565" s="46"/>
      <c r="Q565" s="46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7"/>
      <c r="AW565" s="48" t="s">
        <v>65</v>
      </c>
      <c r="AX565" s="51" t="s">
        <v>66</v>
      </c>
    </row>
    <row r="566" spans="1:50" ht="22.5" customHeight="1">
      <c r="A566" s="50" t="s">
        <v>61</v>
      </c>
      <c r="B566" s="41" t="s">
        <v>62</v>
      </c>
      <c r="C566" s="42">
        <v>4012623</v>
      </c>
      <c r="D566" s="60" t="s">
        <v>782</v>
      </c>
      <c r="E566" s="42" t="s">
        <v>784</v>
      </c>
      <c r="F566" s="45">
        <v>1099</v>
      </c>
      <c r="G566" s="45">
        <v>399</v>
      </c>
      <c r="H566" s="45">
        <v>399</v>
      </c>
      <c r="I566" s="45">
        <v>399</v>
      </c>
      <c r="J566" s="45">
        <f t="shared" si="27"/>
        <v>399</v>
      </c>
      <c r="K566" s="45">
        <f t="shared" si="28"/>
        <v>399</v>
      </c>
      <c r="L566" s="45">
        <f t="shared" si="28"/>
        <v>399</v>
      </c>
      <c r="M566" s="45">
        <v>399</v>
      </c>
      <c r="N566" s="45">
        <v>399</v>
      </c>
      <c r="O566" s="45"/>
      <c r="P566" s="46"/>
      <c r="Q566" s="46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7"/>
      <c r="AW566" s="48" t="s">
        <v>65</v>
      </c>
      <c r="AX566" s="51" t="s">
        <v>66</v>
      </c>
    </row>
    <row r="567" spans="1:50" ht="22.5" customHeight="1">
      <c r="A567" s="50" t="s">
        <v>61</v>
      </c>
      <c r="B567" s="41" t="s">
        <v>62</v>
      </c>
      <c r="C567" s="42">
        <v>4012628</v>
      </c>
      <c r="D567" s="60" t="s">
        <v>782</v>
      </c>
      <c r="E567" s="42" t="s">
        <v>785</v>
      </c>
      <c r="F567" s="45">
        <v>1099</v>
      </c>
      <c r="G567" s="45">
        <v>399</v>
      </c>
      <c r="H567" s="45">
        <v>399</v>
      </c>
      <c r="I567" s="45">
        <v>399</v>
      </c>
      <c r="J567" s="45">
        <f t="shared" si="27"/>
        <v>399</v>
      </c>
      <c r="K567" s="45">
        <f t="shared" si="28"/>
        <v>399</v>
      </c>
      <c r="L567" s="45">
        <f t="shared" si="28"/>
        <v>399</v>
      </c>
      <c r="M567" s="45">
        <v>399</v>
      </c>
      <c r="N567" s="45">
        <v>399</v>
      </c>
      <c r="O567" s="45"/>
      <c r="P567" s="46"/>
      <c r="Q567" s="46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7"/>
      <c r="AW567" s="48" t="s">
        <v>65</v>
      </c>
      <c r="AX567" s="51" t="s">
        <v>66</v>
      </c>
    </row>
    <row r="568" spans="1:50" ht="22.5" customHeight="1">
      <c r="A568" s="50" t="s">
        <v>61</v>
      </c>
      <c r="B568" s="41" t="s">
        <v>62</v>
      </c>
      <c r="C568" s="42">
        <v>4012629</v>
      </c>
      <c r="D568" s="60" t="s">
        <v>782</v>
      </c>
      <c r="E568" s="42" t="s">
        <v>786</v>
      </c>
      <c r="F568" s="45">
        <v>1099</v>
      </c>
      <c r="G568" s="45">
        <v>399</v>
      </c>
      <c r="H568" s="45">
        <v>399</v>
      </c>
      <c r="I568" s="45">
        <v>399</v>
      </c>
      <c r="J568" s="45">
        <f t="shared" si="27"/>
        <v>399</v>
      </c>
      <c r="K568" s="45">
        <f t="shared" si="28"/>
        <v>399</v>
      </c>
      <c r="L568" s="45">
        <f t="shared" si="28"/>
        <v>399</v>
      </c>
      <c r="M568" s="45">
        <v>399</v>
      </c>
      <c r="N568" s="45">
        <v>399</v>
      </c>
      <c r="O568" s="45"/>
      <c r="P568" s="46"/>
      <c r="Q568" s="46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7"/>
      <c r="AW568" s="48" t="s">
        <v>65</v>
      </c>
      <c r="AX568" s="51" t="s">
        <v>66</v>
      </c>
    </row>
    <row r="569" spans="1:50" ht="22.5" customHeight="1">
      <c r="A569" s="50" t="s">
        <v>61</v>
      </c>
      <c r="B569" s="41" t="s">
        <v>62</v>
      </c>
      <c r="C569" s="42">
        <v>4008626</v>
      </c>
      <c r="D569" s="64" t="s">
        <v>787</v>
      </c>
      <c r="E569" s="65" t="s">
        <v>788</v>
      </c>
      <c r="F569" s="45">
        <v>1099</v>
      </c>
      <c r="G569" s="45">
        <v>799</v>
      </c>
      <c r="H569" s="46">
        <v>799</v>
      </c>
      <c r="I569" s="46">
        <v>799</v>
      </c>
      <c r="J569" s="46">
        <f t="shared" si="27"/>
        <v>799</v>
      </c>
      <c r="K569" s="46">
        <f t="shared" si="28"/>
        <v>799</v>
      </c>
      <c r="L569" s="46">
        <f t="shared" si="28"/>
        <v>799</v>
      </c>
      <c r="M569" s="46">
        <v>799</v>
      </c>
      <c r="N569" s="46">
        <v>799</v>
      </c>
      <c r="O569" s="45">
        <f t="shared" ref="O569:Q576" si="29">R569</f>
        <v>699</v>
      </c>
      <c r="P569" s="46">
        <f t="shared" si="29"/>
        <v>579</v>
      </c>
      <c r="Q569" s="46">
        <f t="shared" si="29"/>
        <v>449</v>
      </c>
      <c r="R569" s="45">
        <v>699</v>
      </c>
      <c r="S569" s="45">
        <v>579</v>
      </c>
      <c r="T569" s="45">
        <v>449</v>
      </c>
      <c r="U569" s="45">
        <v>449</v>
      </c>
      <c r="V569" s="45">
        <v>449</v>
      </c>
      <c r="W569" s="45">
        <v>449</v>
      </c>
      <c r="X569" s="45">
        <v>399</v>
      </c>
      <c r="Y569" s="45">
        <v>349</v>
      </c>
      <c r="Z569" s="45">
        <v>349</v>
      </c>
      <c r="AA569" s="45">
        <v>309</v>
      </c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7"/>
      <c r="AW569" s="48" t="s">
        <v>65</v>
      </c>
      <c r="AX569" s="51" t="s">
        <v>66</v>
      </c>
    </row>
    <row r="570" spans="1:50" ht="22.5" customHeight="1">
      <c r="A570" s="50" t="s">
        <v>61</v>
      </c>
      <c r="B570" s="41" t="s">
        <v>62</v>
      </c>
      <c r="C570" s="42">
        <v>4008625</v>
      </c>
      <c r="D570" s="64" t="s">
        <v>787</v>
      </c>
      <c r="E570" s="65" t="s">
        <v>789</v>
      </c>
      <c r="F570" s="45">
        <v>1099</v>
      </c>
      <c r="G570" s="45">
        <v>799</v>
      </c>
      <c r="H570" s="46">
        <v>799</v>
      </c>
      <c r="I570" s="46">
        <v>799</v>
      </c>
      <c r="J570" s="46">
        <f t="shared" si="27"/>
        <v>799</v>
      </c>
      <c r="K570" s="46">
        <f t="shared" si="28"/>
        <v>799</v>
      </c>
      <c r="L570" s="46">
        <f t="shared" si="28"/>
        <v>799</v>
      </c>
      <c r="M570" s="46">
        <v>799</v>
      </c>
      <c r="N570" s="46">
        <v>799</v>
      </c>
      <c r="O570" s="45">
        <f t="shared" si="29"/>
        <v>699</v>
      </c>
      <c r="P570" s="46">
        <f t="shared" si="29"/>
        <v>579</v>
      </c>
      <c r="Q570" s="46">
        <f t="shared" si="29"/>
        <v>449</v>
      </c>
      <c r="R570" s="45">
        <v>699</v>
      </c>
      <c r="S570" s="45">
        <v>579</v>
      </c>
      <c r="T570" s="45">
        <v>449</v>
      </c>
      <c r="U570" s="45">
        <v>449</v>
      </c>
      <c r="V570" s="45">
        <v>449</v>
      </c>
      <c r="W570" s="45">
        <v>449</v>
      </c>
      <c r="X570" s="45">
        <v>399</v>
      </c>
      <c r="Y570" s="45">
        <v>349</v>
      </c>
      <c r="Z570" s="45">
        <v>349</v>
      </c>
      <c r="AA570" s="45">
        <v>309</v>
      </c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7"/>
      <c r="AW570" s="48" t="s">
        <v>65</v>
      </c>
      <c r="AX570" s="51" t="s">
        <v>66</v>
      </c>
    </row>
    <row r="571" spans="1:50" ht="22.5" customHeight="1">
      <c r="A571" s="50" t="s">
        <v>61</v>
      </c>
      <c r="B571" s="41" t="s">
        <v>62</v>
      </c>
      <c r="C571" s="42">
        <v>4013494</v>
      </c>
      <c r="D571" s="65" t="s">
        <v>790</v>
      </c>
      <c r="E571" s="65" t="s">
        <v>791</v>
      </c>
      <c r="F571" s="45">
        <v>499</v>
      </c>
      <c r="G571" s="45">
        <v>249</v>
      </c>
      <c r="H571" s="45">
        <v>499</v>
      </c>
      <c r="I571" s="45">
        <v>499</v>
      </c>
      <c r="J571" s="45">
        <f t="shared" si="27"/>
        <v>399</v>
      </c>
      <c r="K571" s="45">
        <f t="shared" si="28"/>
        <v>399</v>
      </c>
      <c r="L571" s="45">
        <f t="shared" si="28"/>
        <v>399</v>
      </c>
      <c r="M571" s="45">
        <v>399</v>
      </c>
      <c r="N571" s="45">
        <v>399</v>
      </c>
      <c r="O571" s="45">
        <f t="shared" si="29"/>
        <v>299</v>
      </c>
      <c r="P571" s="46">
        <f t="shared" si="29"/>
        <v>249</v>
      </c>
      <c r="Q571" s="46">
        <f t="shared" si="29"/>
        <v>249</v>
      </c>
      <c r="R571" s="45">
        <v>299</v>
      </c>
      <c r="S571" s="45">
        <v>249</v>
      </c>
      <c r="T571" s="45">
        <v>249</v>
      </c>
      <c r="U571" s="45">
        <v>249</v>
      </c>
      <c r="V571" s="45">
        <v>249</v>
      </c>
      <c r="W571" s="45">
        <v>249</v>
      </c>
      <c r="X571" s="45">
        <v>249</v>
      </c>
      <c r="Y571" s="45">
        <v>249</v>
      </c>
      <c r="Z571" s="45">
        <v>249</v>
      </c>
      <c r="AA571" s="45">
        <v>249</v>
      </c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7"/>
      <c r="AW571" s="48" t="s">
        <v>65</v>
      </c>
      <c r="AX571" s="51" t="s">
        <v>66</v>
      </c>
    </row>
    <row r="572" spans="1:50" ht="22.5" customHeight="1">
      <c r="A572" s="50" t="s">
        <v>61</v>
      </c>
      <c r="B572" s="41" t="s">
        <v>62</v>
      </c>
      <c r="C572" s="42">
        <v>4013497</v>
      </c>
      <c r="D572" s="65" t="s">
        <v>790</v>
      </c>
      <c r="E572" s="65" t="s">
        <v>792</v>
      </c>
      <c r="F572" s="45">
        <v>499</v>
      </c>
      <c r="G572" s="45">
        <v>249</v>
      </c>
      <c r="H572" s="45">
        <v>499</v>
      </c>
      <c r="I572" s="45">
        <v>499</v>
      </c>
      <c r="J572" s="45">
        <f t="shared" si="27"/>
        <v>399</v>
      </c>
      <c r="K572" s="45">
        <f t="shared" si="28"/>
        <v>399</v>
      </c>
      <c r="L572" s="45">
        <f t="shared" si="28"/>
        <v>399</v>
      </c>
      <c r="M572" s="45">
        <v>399</v>
      </c>
      <c r="N572" s="45">
        <v>399</v>
      </c>
      <c r="O572" s="45">
        <f t="shared" si="29"/>
        <v>299</v>
      </c>
      <c r="P572" s="46">
        <f t="shared" si="29"/>
        <v>249</v>
      </c>
      <c r="Q572" s="46">
        <f t="shared" si="29"/>
        <v>249</v>
      </c>
      <c r="R572" s="45">
        <v>299</v>
      </c>
      <c r="S572" s="45">
        <v>249</v>
      </c>
      <c r="T572" s="45">
        <v>249</v>
      </c>
      <c r="U572" s="45">
        <v>249</v>
      </c>
      <c r="V572" s="45">
        <v>249</v>
      </c>
      <c r="W572" s="45">
        <v>249</v>
      </c>
      <c r="X572" s="45">
        <v>249</v>
      </c>
      <c r="Y572" s="45">
        <v>249</v>
      </c>
      <c r="Z572" s="45">
        <v>249</v>
      </c>
      <c r="AA572" s="45">
        <v>249</v>
      </c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7"/>
      <c r="AW572" s="48" t="s">
        <v>65</v>
      </c>
      <c r="AX572" s="51" t="s">
        <v>66</v>
      </c>
    </row>
    <row r="573" spans="1:50" ht="22.5" customHeight="1">
      <c r="A573" s="52" t="s">
        <v>70</v>
      </c>
      <c r="B573" s="41" t="s">
        <v>62</v>
      </c>
      <c r="C573" s="42">
        <v>4013512</v>
      </c>
      <c r="D573" s="44" t="s">
        <v>793</v>
      </c>
      <c r="E573" s="44" t="s">
        <v>794</v>
      </c>
      <c r="F573" s="45">
        <v>899</v>
      </c>
      <c r="G573" s="45">
        <v>499</v>
      </c>
      <c r="H573" s="46">
        <v>899</v>
      </c>
      <c r="I573" s="46">
        <v>899</v>
      </c>
      <c r="J573" s="46">
        <f t="shared" si="27"/>
        <v>899</v>
      </c>
      <c r="K573" s="46">
        <f t="shared" si="28"/>
        <v>899</v>
      </c>
      <c r="L573" s="46">
        <f t="shared" si="28"/>
        <v>899</v>
      </c>
      <c r="M573" s="46">
        <v>899</v>
      </c>
      <c r="N573" s="46">
        <v>899</v>
      </c>
      <c r="O573" s="46">
        <f t="shared" si="29"/>
        <v>799</v>
      </c>
      <c r="P573" s="46">
        <f t="shared" si="29"/>
        <v>699</v>
      </c>
      <c r="Q573" s="46">
        <f t="shared" si="29"/>
        <v>599</v>
      </c>
      <c r="R573" s="46">
        <v>799</v>
      </c>
      <c r="S573" s="46">
        <v>699</v>
      </c>
      <c r="T573" s="46">
        <v>599</v>
      </c>
      <c r="U573" s="46">
        <v>599</v>
      </c>
      <c r="V573" s="46">
        <v>599</v>
      </c>
      <c r="W573" s="46">
        <v>599</v>
      </c>
      <c r="X573" s="46">
        <v>499</v>
      </c>
      <c r="Y573" s="46">
        <v>449</v>
      </c>
      <c r="Z573" s="46">
        <v>449</v>
      </c>
      <c r="AA573" s="46">
        <v>449</v>
      </c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7"/>
      <c r="AW573" s="48" t="s">
        <v>65</v>
      </c>
      <c r="AX573" s="51" t="s">
        <v>66</v>
      </c>
    </row>
    <row r="574" spans="1:50" ht="22.5" customHeight="1">
      <c r="A574" s="52" t="s">
        <v>70</v>
      </c>
      <c r="B574" s="41" t="s">
        <v>62</v>
      </c>
      <c r="C574" s="42">
        <v>4013513</v>
      </c>
      <c r="D574" s="44" t="s">
        <v>793</v>
      </c>
      <c r="E574" s="44" t="s">
        <v>795</v>
      </c>
      <c r="F574" s="45">
        <v>899</v>
      </c>
      <c r="G574" s="45">
        <v>499</v>
      </c>
      <c r="H574" s="46">
        <v>899</v>
      </c>
      <c r="I574" s="46">
        <v>899</v>
      </c>
      <c r="J574" s="46">
        <f t="shared" si="27"/>
        <v>899</v>
      </c>
      <c r="K574" s="46">
        <f t="shared" si="28"/>
        <v>899</v>
      </c>
      <c r="L574" s="46">
        <f t="shared" si="28"/>
        <v>899</v>
      </c>
      <c r="M574" s="46">
        <v>899</v>
      </c>
      <c r="N574" s="46">
        <v>899</v>
      </c>
      <c r="O574" s="46">
        <f t="shared" si="29"/>
        <v>799</v>
      </c>
      <c r="P574" s="46">
        <f t="shared" si="29"/>
        <v>699</v>
      </c>
      <c r="Q574" s="46">
        <f t="shared" si="29"/>
        <v>599</v>
      </c>
      <c r="R574" s="46">
        <v>799</v>
      </c>
      <c r="S574" s="46">
        <v>699</v>
      </c>
      <c r="T574" s="46">
        <v>599</v>
      </c>
      <c r="U574" s="46">
        <v>599</v>
      </c>
      <c r="V574" s="46">
        <v>599</v>
      </c>
      <c r="W574" s="46">
        <v>599</v>
      </c>
      <c r="X574" s="46">
        <v>499</v>
      </c>
      <c r="Y574" s="46">
        <v>449</v>
      </c>
      <c r="Z574" s="46">
        <v>449</v>
      </c>
      <c r="AA574" s="46">
        <v>449</v>
      </c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7"/>
      <c r="AW574" s="48" t="s">
        <v>65</v>
      </c>
      <c r="AX574" s="51" t="s">
        <v>66</v>
      </c>
    </row>
    <row r="575" spans="1:50" ht="22.5" customHeight="1">
      <c r="A575" s="52" t="s">
        <v>70</v>
      </c>
      <c r="B575" s="41" t="s">
        <v>62</v>
      </c>
      <c r="C575" s="42">
        <v>4013514</v>
      </c>
      <c r="D575" s="44" t="s">
        <v>793</v>
      </c>
      <c r="E575" s="44" t="s">
        <v>796</v>
      </c>
      <c r="F575" s="45">
        <v>899</v>
      </c>
      <c r="G575" s="45">
        <v>499</v>
      </c>
      <c r="H575" s="46">
        <v>899</v>
      </c>
      <c r="I575" s="46">
        <v>899</v>
      </c>
      <c r="J575" s="46">
        <f t="shared" si="27"/>
        <v>899</v>
      </c>
      <c r="K575" s="46">
        <f t="shared" si="28"/>
        <v>899</v>
      </c>
      <c r="L575" s="46">
        <f t="shared" si="28"/>
        <v>899</v>
      </c>
      <c r="M575" s="46">
        <v>899</v>
      </c>
      <c r="N575" s="46">
        <v>899</v>
      </c>
      <c r="O575" s="46">
        <f t="shared" si="29"/>
        <v>799</v>
      </c>
      <c r="P575" s="46">
        <f t="shared" si="29"/>
        <v>699</v>
      </c>
      <c r="Q575" s="46">
        <f t="shared" si="29"/>
        <v>599</v>
      </c>
      <c r="R575" s="46">
        <v>799</v>
      </c>
      <c r="S575" s="46">
        <v>699</v>
      </c>
      <c r="T575" s="46">
        <v>599</v>
      </c>
      <c r="U575" s="46">
        <v>599</v>
      </c>
      <c r="V575" s="46">
        <v>599</v>
      </c>
      <c r="W575" s="46">
        <v>599</v>
      </c>
      <c r="X575" s="46">
        <v>499</v>
      </c>
      <c r="Y575" s="46">
        <v>449</v>
      </c>
      <c r="Z575" s="46">
        <v>449</v>
      </c>
      <c r="AA575" s="46">
        <v>449</v>
      </c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7"/>
      <c r="AW575" s="48" t="s">
        <v>65</v>
      </c>
      <c r="AX575" s="51" t="s">
        <v>66</v>
      </c>
    </row>
    <row r="576" spans="1:50" ht="22.5" customHeight="1">
      <c r="A576" s="52" t="s">
        <v>70</v>
      </c>
      <c r="B576" s="41" t="s">
        <v>62</v>
      </c>
      <c r="C576" s="42">
        <v>4013515</v>
      </c>
      <c r="D576" s="44" t="s">
        <v>793</v>
      </c>
      <c r="E576" s="44" t="s">
        <v>797</v>
      </c>
      <c r="F576" s="45">
        <v>899</v>
      </c>
      <c r="G576" s="45">
        <v>499</v>
      </c>
      <c r="H576" s="46">
        <v>899</v>
      </c>
      <c r="I576" s="46">
        <v>899</v>
      </c>
      <c r="J576" s="46">
        <f t="shared" si="27"/>
        <v>899</v>
      </c>
      <c r="K576" s="46">
        <f t="shared" si="28"/>
        <v>899</v>
      </c>
      <c r="L576" s="46">
        <f t="shared" si="28"/>
        <v>899</v>
      </c>
      <c r="M576" s="46">
        <v>899</v>
      </c>
      <c r="N576" s="46">
        <v>899</v>
      </c>
      <c r="O576" s="46">
        <f t="shared" si="29"/>
        <v>799</v>
      </c>
      <c r="P576" s="46">
        <f t="shared" si="29"/>
        <v>699</v>
      </c>
      <c r="Q576" s="46">
        <f t="shared" si="29"/>
        <v>599</v>
      </c>
      <c r="R576" s="46">
        <v>799</v>
      </c>
      <c r="S576" s="46">
        <v>699</v>
      </c>
      <c r="T576" s="46">
        <v>599</v>
      </c>
      <c r="U576" s="46">
        <v>599</v>
      </c>
      <c r="V576" s="46">
        <v>599</v>
      </c>
      <c r="W576" s="46">
        <v>599</v>
      </c>
      <c r="X576" s="46">
        <v>499</v>
      </c>
      <c r="Y576" s="46">
        <v>449</v>
      </c>
      <c r="Z576" s="46">
        <v>449</v>
      </c>
      <c r="AA576" s="46">
        <v>449</v>
      </c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7"/>
      <c r="AW576" s="48" t="s">
        <v>65</v>
      </c>
      <c r="AX576" s="51" t="s">
        <v>66</v>
      </c>
    </row>
    <row r="577" spans="1:50" ht="22.5" customHeight="1">
      <c r="A577" s="52" t="s">
        <v>70</v>
      </c>
      <c r="B577" s="41" t="s">
        <v>62</v>
      </c>
      <c r="C577" s="42">
        <v>4014585</v>
      </c>
      <c r="D577" s="44" t="s">
        <v>798</v>
      </c>
      <c r="E577" s="44" t="s">
        <v>799</v>
      </c>
      <c r="F577" s="45">
        <v>2299</v>
      </c>
      <c r="G577" s="45">
        <v>999</v>
      </c>
      <c r="H577" s="45">
        <v>1899</v>
      </c>
      <c r="I577" s="45">
        <v>1899</v>
      </c>
      <c r="J577" s="45">
        <v>899</v>
      </c>
      <c r="K577" s="45">
        <v>899</v>
      </c>
      <c r="L577" s="45">
        <v>899</v>
      </c>
      <c r="M577" s="45">
        <v>899</v>
      </c>
      <c r="N577" s="45">
        <v>899</v>
      </c>
      <c r="O577" s="45">
        <v>899</v>
      </c>
      <c r="P577" s="46">
        <v>899</v>
      </c>
      <c r="Q577" s="46">
        <v>899</v>
      </c>
      <c r="R577" s="45">
        <v>899</v>
      </c>
      <c r="S577" s="45">
        <v>899</v>
      </c>
      <c r="T577" s="45">
        <v>899</v>
      </c>
      <c r="U577" s="45">
        <v>899</v>
      </c>
      <c r="V577" s="45">
        <v>899</v>
      </c>
      <c r="W577" s="45">
        <v>899</v>
      </c>
      <c r="X577" s="45">
        <v>899</v>
      </c>
      <c r="Y577" s="45">
        <v>899</v>
      </c>
      <c r="Z577" s="45">
        <v>899</v>
      </c>
      <c r="AA577" s="45">
        <v>899</v>
      </c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7"/>
      <c r="AW577" s="48" t="s">
        <v>65</v>
      </c>
      <c r="AX577" s="51" t="s">
        <v>82</v>
      </c>
    </row>
    <row r="578" spans="1:50" ht="22.5" customHeight="1">
      <c r="A578" s="52" t="s">
        <v>70</v>
      </c>
      <c r="B578" s="41" t="s">
        <v>62</v>
      </c>
      <c r="C578" s="42">
        <v>4014589</v>
      </c>
      <c r="D578" s="44" t="s">
        <v>798</v>
      </c>
      <c r="E578" s="44" t="s">
        <v>800</v>
      </c>
      <c r="F578" s="45">
        <v>2299</v>
      </c>
      <c r="G578" s="45">
        <v>999</v>
      </c>
      <c r="H578" s="45">
        <v>1899</v>
      </c>
      <c r="I578" s="45">
        <v>1899</v>
      </c>
      <c r="J578" s="45">
        <v>899</v>
      </c>
      <c r="K578" s="45">
        <v>899</v>
      </c>
      <c r="L578" s="45">
        <v>899</v>
      </c>
      <c r="M578" s="45">
        <v>899</v>
      </c>
      <c r="N578" s="45">
        <v>899</v>
      </c>
      <c r="O578" s="45">
        <v>899</v>
      </c>
      <c r="P578" s="46">
        <v>899</v>
      </c>
      <c r="Q578" s="46">
        <v>899</v>
      </c>
      <c r="R578" s="45">
        <v>899</v>
      </c>
      <c r="S578" s="45">
        <v>899</v>
      </c>
      <c r="T578" s="45">
        <v>899</v>
      </c>
      <c r="U578" s="45">
        <v>899</v>
      </c>
      <c r="V578" s="45">
        <v>899</v>
      </c>
      <c r="W578" s="45">
        <v>899</v>
      </c>
      <c r="X578" s="45">
        <v>899</v>
      </c>
      <c r="Y578" s="45">
        <v>899</v>
      </c>
      <c r="Z578" s="45">
        <v>899</v>
      </c>
      <c r="AA578" s="45">
        <v>899</v>
      </c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7"/>
      <c r="AW578" s="48" t="s">
        <v>65</v>
      </c>
      <c r="AX578" s="51" t="s">
        <v>82</v>
      </c>
    </row>
    <row r="579" spans="1:50" ht="22.5" customHeight="1">
      <c r="A579" s="52" t="s">
        <v>70</v>
      </c>
      <c r="B579" s="41" t="s">
        <v>62</v>
      </c>
      <c r="C579" s="42">
        <v>4014584</v>
      </c>
      <c r="D579" s="44" t="s">
        <v>798</v>
      </c>
      <c r="E579" s="44" t="s">
        <v>801</v>
      </c>
      <c r="F579" s="45">
        <v>2299</v>
      </c>
      <c r="G579" s="45">
        <v>999</v>
      </c>
      <c r="H579" s="45">
        <v>1899</v>
      </c>
      <c r="I579" s="45">
        <v>1899</v>
      </c>
      <c r="J579" s="45">
        <v>899</v>
      </c>
      <c r="K579" s="45">
        <v>899</v>
      </c>
      <c r="L579" s="45">
        <v>899</v>
      </c>
      <c r="M579" s="45">
        <v>899</v>
      </c>
      <c r="N579" s="45">
        <v>899</v>
      </c>
      <c r="O579" s="45">
        <v>899</v>
      </c>
      <c r="P579" s="46">
        <v>899</v>
      </c>
      <c r="Q579" s="46">
        <v>899</v>
      </c>
      <c r="R579" s="45">
        <v>899</v>
      </c>
      <c r="S579" s="45">
        <v>899</v>
      </c>
      <c r="T579" s="45">
        <v>899</v>
      </c>
      <c r="U579" s="45">
        <v>899</v>
      </c>
      <c r="V579" s="45">
        <v>899</v>
      </c>
      <c r="W579" s="45">
        <v>899</v>
      </c>
      <c r="X579" s="45">
        <v>899</v>
      </c>
      <c r="Y579" s="45">
        <v>899</v>
      </c>
      <c r="Z579" s="45">
        <v>899</v>
      </c>
      <c r="AA579" s="45">
        <v>899</v>
      </c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7"/>
      <c r="AW579" s="48" t="s">
        <v>65</v>
      </c>
      <c r="AX579" s="51" t="s">
        <v>82</v>
      </c>
    </row>
    <row r="580" spans="1:50" ht="22.5" customHeight="1">
      <c r="A580" s="52" t="s">
        <v>70</v>
      </c>
      <c r="B580" s="41" t="s">
        <v>62</v>
      </c>
      <c r="C580" s="42">
        <v>4014588</v>
      </c>
      <c r="D580" s="44" t="s">
        <v>798</v>
      </c>
      <c r="E580" s="44" t="s">
        <v>802</v>
      </c>
      <c r="F580" s="45">
        <v>2299</v>
      </c>
      <c r="G580" s="45">
        <v>999</v>
      </c>
      <c r="H580" s="45">
        <v>1899</v>
      </c>
      <c r="I580" s="45">
        <v>1899</v>
      </c>
      <c r="J580" s="45">
        <v>899</v>
      </c>
      <c r="K580" s="45">
        <v>899</v>
      </c>
      <c r="L580" s="45">
        <v>899</v>
      </c>
      <c r="M580" s="45">
        <v>899</v>
      </c>
      <c r="N580" s="45">
        <v>899</v>
      </c>
      <c r="O580" s="45">
        <v>899</v>
      </c>
      <c r="P580" s="46">
        <v>899</v>
      </c>
      <c r="Q580" s="46">
        <v>899</v>
      </c>
      <c r="R580" s="45">
        <v>899</v>
      </c>
      <c r="S580" s="45">
        <v>899</v>
      </c>
      <c r="T580" s="45">
        <v>899</v>
      </c>
      <c r="U580" s="45">
        <v>899</v>
      </c>
      <c r="V580" s="45">
        <v>899</v>
      </c>
      <c r="W580" s="45">
        <v>899</v>
      </c>
      <c r="X580" s="45">
        <v>899</v>
      </c>
      <c r="Y580" s="45">
        <v>899</v>
      </c>
      <c r="Z580" s="45">
        <v>899</v>
      </c>
      <c r="AA580" s="45">
        <v>899</v>
      </c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7"/>
      <c r="AW580" s="48" t="s">
        <v>65</v>
      </c>
      <c r="AX580" s="51" t="s">
        <v>82</v>
      </c>
    </row>
    <row r="581" spans="1:50" ht="22.5" customHeight="1">
      <c r="A581" s="52" t="s">
        <v>70</v>
      </c>
      <c r="B581" s="41" t="s">
        <v>62</v>
      </c>
      <c r="C581" s="42">
        <v>4014583</v>
      </c>
      <c r="D581" s="44" t="s">
        <v>798</v>
      </c>
      <c r="E581" s="44" t="s">
        <v>803</v>
      </c>
      <c r="F581" s="45">
        <v>2299</v>
      </c>
      <c r="G581" s="45">
        <v>999</v>
      </c>
      <c r="H581" s="45">
        <v>1899</v>
      </c>
      <c r="I581" s="45">
        <v>1899</v>
      </c>
      <c r="J581" s="45">
        <v>899</v>
      </c>
      <c r="K581" s="45">
        <v>899</v>
      </c>
      <c r="L581" s="45">
        <v>899</v>
      </c>
      <c r="M581" s="45">
        <v>899</v>
      </c>
      <c r="N581" s="45">
        <v>899</v>
      </c>
      <c r="O581" s="45">
        <v>899</v>
      </c>
      <c r="P581" s="46">
        <v>899</v>
      </c>
      <c r="Q581" s="46">
        <v>899</v>
      </c>
      <c r="R581" s="45">
        <v>899</v>
      </c>
      <c r="S581" s="45">
        <v>899</v>
      </c>
      <c r="T581" s="45">
        <v>899</v>
      </c>
      <c r="U581" s="45">
        <v>899</v>
      </c>
      <c r="V581" s="45">
        <v>899</v>
      </c>
      <c r="W581" s="45">
        <v>899</v>
      </c>
      <c r="X581" s="45">
        <v>899</v>
      </c>
      <c r="Y581" s="45">
        <v>899</v>
      </c>
      <c r="Z581" s="45">
        <v>899</v>
      </c>
      <c r="AA581" s="45">
        <v>899</v>
      </c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7"/>
      <c r="AW581" s="48" t="s">
        <v>65</v>
      </c>
      <c r="AX581" s="51" t="s">
        <v>82</v>
      </c>
    </row>
    <row r="582" spans="1:50" ht="22.5" customHeight="1">
      <c r="A582" s="52" t="s">
        <v>70</v>
      </c>
      <c r="B582" s="41" t="s">
        <v>62</v>
      </c>
      <c r="C582" s="42">
        <v>4014587</v>
      </c>
      <c r="D582" s="44" t="s">
        <v>798</v>
      </c>
      <c r="E582" s="44" t="s">
        <v>804</v>
      </c>
      <c r="F582" s="45">
        <v>2299</v>
      </c>
      <c r="G582" s="45">
        <v>999</v>
      </c>
      <c r="H582" s="45">
        <v>1899</v>
      </c>
      <c r="I582" s="45">
        <v>1899</v>
      </c>
      <c r="J582" s="45">
        <v>899</v>
      </c>
      <c r="K582" s="45">
        <v>899</v>
      </c>
      <c r="L582" s="45">
        <v>899</v>
      </c>
      <c r="M582" s="45">
        <v>899</v>
      </c>
      <c r="N582" s="45">
        <v>899</v>
      </c>
      <c r="O582" s="45">
        <v>899</v>
      </c>
      <c r="P582" s="46">
        <v>899</v>
      </c>
      <c r="Q582" s="46">
        <v>899</v>
      </c>
      <c r="R582" s="45">
        <v>899</v>
      </c>
      <c r="S582" s="45">
        <v>899</v>
      </c>
      <c r="T582" s="45">
        <v>899</v>
      </c>
      <c r="U582" s="45">
        <v>899</v>
      </c>
      <c r="V582" s="45">
        <v>899</v>
      </c>
      <c r="W582" s="45">
        <v>899</v>
      </c>
      <c r="X582" s="45">
        <v>899</v>
      </c>
      <c r="Y582" s="45">
        <v>899</v>
      </c>
      <c r="Z582" s="45">
        <v>899</v>
      </c>
      <c r="AA582" s="45">
        <v>899</v>
      </c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7"/>
      <c r="AW582" s="48" t="s">
        <v>65</v>
      </c>
      <c r="AX582" s="51" t="s">
        <v>82</v>
      </c>
    </row>
    <row r="583" spans="1:50" ht="22.5" customHeight="1">
      <c r="A583" s="52" t="s">
        <v>70</v>
      </c>
      <c r="B583" s="41" t="s">
        <v>62</v>
      </c>
      <c r="C583" s="42">
        <v>4014586</v>
      </c>
      <c r="D583" s="44" t="s">
        <v>798</v>
      </c>
      <c r="E583" s="44" t="s">
        <v>805</v>
      </c>
      <c r="F583" s="45">
        <v>2299</v>
      </c>
      <c r="G583" s="45">
        <v>999</v>
      </c>
      <c r="H583" s="45">
        <v>1899</v>
      </c>
      <c r="I583" s="45">
        <v>1899</v>
      </c>
      <c r="J583" s="45">
        <v>899</v>
      </c>
      <c r="K583" s="45">
        <v>899</v>
      </c>
      <c r="L583" s="45">
        <v>899</v>
      </c>
      <c r="M583" s="45">
        <v>899</v>
      </c>
      <c r="N583" s="45">
        <v>899</v>
      </c>
      <c r="O583" s="45">
        <v>899</v>
      </c>
      <c r="P583" s="46">
        <v>899</v>
      </c>
      <c r="Q583" s="46">
        <v>899</v>
      </c>
      <c r="R583" s="45">
        <v>899</v>
      </c>
      <c r="S583" s="45">
        <v>899</v>
      </c>
      <c r="T583" s="45">
        <v>899</v>
      </c>
      <c r="U583" s="45">
        <v>899</v>
      </c>
      <c r="V583" s="45">
        <v>899</v>
      </c>
      <c r="W583" s="45">
        <v>899</v>
      </c>
      <c r="X583" s="45">
        <v>899</v>
      </c>
      <c r="Y583" s="45">
        <v>899</v>
      </c>
      <c r="Z583" s="45">
        <v>899</v>
      </c>
      <c r="AA583" s="45">
        <v>899</v>
      </c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7"/>
      <c r="AW583" s="48" t="s">
        <v>65</v>
      </c>
      <c r="AX583" s="51" t="s">
        <v>82</v>
      </c>
    </row>
    <row r="584" spans="1:50" ht="22.5" customHeight="1">
      <c r="A584" s="52" t="s">
        <v>70</v>
      </c>
      <c r="B584" s="41" t="s">
        <v>62</v>
      </c>
      <c r="C584" s="42">
        <v>4014710</v>
      </c>
      <c r="D584" s="44" t="s">
        <v>798</v>
      </c>
      <c r="E584" s="44" t="s">
        <v>806</v>
      </c>
      <c r="F584" s="45">
        <v>2299</v>
      </c>
      <c r="G584" s="45">
        <v>999</v>
      </c>
      <c r="H584" s="45">
        <v>1899</v>
      </c>
      <c r="I584" s="45">
        <v>1899</v>
      </c>
      <c r="J584" s="45">
        <v>899</v>
      </c>
      <c r="K584" s="45">
        <v>899</v>
      </c>
      <c r="L584" s="45">
        <v>899</v>
      </c>
      <c r="M584" s="45">
        <v>899</v>
      </c>
      <c r="N584" s="45">
        <v>899</v>
      </c>
      <c r="O584" s="45">
        <v>899</v>
      </c>
      <c r="P584" s="46">
        <v>899</v>
      </c>
      <c r="Q584" s="46">
        <v>899</v>
      </c>
      <c r="R584" s="45">
        <v>899</v>
      </c>
      <c r="S584" s="45">
        <v>899</v>
      </c>
      <c r="T584" s="45">
        <v>899</v>
      </c>
      <c r="U584" s="45">
        <v>899</v>
      </c>
      <c r="V584" s="45">
        <v>899</v>
      </c>
      <c r="W584" s="45">
        <v>899</v>
      </c>
      <c r="X584" s="45">
        <v>899</v>
      </c>
      <c r="Y584" s="45">
        <v>899</v>
      </c>
      <c r="Z584" s="45">
        <v>899</v>
      </c>
      <c r="AA584" s="45">
        <v>899</v>
      </c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7"/>
      <c r="AW584" s="48" t="s">
        <v>65</v>
      </c>
      <c r="AX584" s="51" t="s">
        <v>82</v>
      </c>
    </row>
    <row r="585" spans="1:50" ht="22.5" customHeight="1">
      <c r="A585" s="52" t="s">
        <v>70</v>
      </c>
      <c r="B585" s="41" t="s">
        <v>62</v>
      </c>
      <c r="C585" s="42">
        <v>4015427</v>
      </c>
      <c r="D585" s="44" t="s">
        <v>807</v>
      </c>
      <c r="E585" s="44" t="s">
        <v>808</v>
      </c>
      <c r="F585" s="45">
        <v>2227</v>
      </c>
      <c r="G585" s="45">
        <v>2027</v>
      </c>
      <c r="H585" s="45">
        <v>2227</v>
      </c>
      <c r="I585" s="45">
        <v>2227</v>
      </c>
      <c r="J585" s="45">
        <v>1419</v>
      </c>
      <c r="K585" s="45">
        <v>1419</v>
      </c>
      <c r="L585" s="45">
        <v>1419</v>
      </c>
      <c r="M585" s="45">
        <v>1419</v>
      </c>
      <c r="N585" s="45">
        <v>1419</v>
      </c>
      <c r="O585" s="45">
        <v>1419</v>
      </c>
      <c r="P585" s="45">
        <v>1419</v>
      </c>
      <c r="Q585" s="45">
        <v>1419</v>
      </c>
      <c r="R585" s="45">
        <v>1419</v>
      </c>
      <c r="S585" s="45">
        <v>1419</v>
      </c>
      <c r="T585" s="45">
        <v>1419</v>
      </c>
      <c r="U585" s="45">
        <v>1419</v>
      </c>
      <c r="V585" s="45">
        <v>1419</v>
      </c>
      <c r="W585" s="45">
        <v>1419</v>
      </c>
      <c r="X585" s="45">
        <v>1419</v>
      </c>
      <c r="Y585" s="45">
        <v>1419</v>
      </c>
      <c r="Z585" s="45">
        <v>1419</v>
      </c>
      <c r="AA585" s="45">
        <v>1419</v>
      </c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7"/>
      <c r="AW585" s="48" t="s">
        <v>65</v>
      </c>
      <c r="AX585" s="51" t="s">
        <v>82</v>
      </c>
    </row>
    <row r="586" spans="1:50" ht="22.5" customHeight="1">
      <c r="A586" s="52" t="s">
        <v>70</v>
      </c>
      <c r="B586" s="41" t="s">
        <v>62</v>
      </c>
      <c r="C586" s="42">
        <v>4015428</v>
      </c>
      <c r="D586" s="44" t="s">
        <v>807</v>
      </c>
      <c r="E586" s="44" t="s">
        <v>809</v>
      </c>
      <c r="F586" s="45">
        <v>2227</v>
      </c>
      <c r="G586" s="45">
        <v>2027</v>
      </c>
      <c r="H586" s="45">
        <v>2227</v>
      </c>
      <c r="I586" s="45">
        <v>2227</v>
      </c>
      <c r="J586" s="45">
        <v>1419</v>
      </c>
      <c r="K586" s="45">
        <v>1419</v>
      </c>
      <c r="L586" s="45">
        <v>1419</v>
      </c>
      <c r="M586" s="45">
        <v>1419</v>
      </c>
      <c r="N586" s="45">
        <v>1419</v>
      </c>
      <c r="O586" s="45">
        <v>1419</v>
      </c>
      <c r="P586" s="45">
        <v>1419</v>
      </c>
      <c r="Q586" s="45">
        <v>1419</v>
      </c>
      <c r="R586" s="45">
        <v>1419</v>
      </c>
      <c r="S586" s="45">
        <v>1419</v>
      </c>
      <c r="T586" s="45">
        <v>1419</v>
      </c>
      <c r="U586" s="45">
        <v>1419</v>
      </c>
      <c r="V586" s="45">
        <v>1419</v>
      </c>
      <c r="W586" s="45">
        <v>1419</v>
      </c>
      <c r="X586" s="45">
        <v>1419</v>
      </c>
      <c r="Y586" s="45">
        <v>1419</v>
      </c>
      <c r="Z586" s="45">
        <v>1419</v>
      </c>
      <c r="AA586" s="45">
        <v>1419</v>
      </c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7"/>
      <c r="AW586" s="48" t="s">
        <v>65</v>
      </c>
      <c r="AX586" s="51" t="s">
        <v>82</v>
      </c>
    </row>
    <row r="587" spans="1:50" ht="22.5" customHeight="1">
      <c r="A587" s="52" t="s">
        <v>70</v>
      </c>
      <c r="B587" s="41" t="s">
        <v>62</v>
      </c>
      <c r="C587" s="42">
        <v>4015429</v>
      </c>
      <c r="D587" s="44" t="s">
        <v>807</v>
      </c>
      <c r="E587" s="44" t="s">
        <v>810</v>
      </c>
      <c r="F587" s="45">
        <v>2227</v>
      </c>
      <c r="G587" s="45">
        <v>2027</v>
      </c>
      <c r="H587" s="45">
        <v>2227</v>
      </c>
      <c r="I587" s="45">
        <v>2227</v>
      </c>
      <c r="J587" s="45">
        <v>1419</v>
      </c>
      <c r="K587" s="45">
        <v>1419</v>
      </c>
      <c r="L587" s="45">
        <v>1419</v>
      </c>
      <c r="M587" s="45">
        <v>1419</v>
      </c>
      <c r="N587" s="45">
        <v>1419</v>
      </c>
      <c r="O587" s="45">
        <v>1419</v>
      </c>
      <c r="P587" s="45">
        <v>1419</v>
      </c>
      <c r="Q587" s="45">
        <v>1419</v>
      </c>
      <c r="R587" s="45">
        <v>1419</v>
      </c>
      <c r="S587" s="45">
        <v>1419</v>
      </c>
      <c r="T587" s="45">
        <v>1419</v>
      </c>
      <c r="U587" s="45">
        <v>1419</v>
      </c>
      <c r="V587" s="45">
        <v>1419</v>
      </c>
      <c r="W587" s="45">
        <v>1419</v>
      </c>
      <c r="X587" s="45">
        <v>1419</v>
      </c>
      <c r="Y587" s="45">
        <v>1419</v>
      </c>
      <c r="Z587" s="45">
        <v>1419</v>
      </c>
      <c r="AA587" s="45">
        <v>1419</v>
      </c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7"/>
      <c r="AW587" s="48" t="s">
        <v>65</v>
      </c>
      <c r="AX587" s="51" t="s">
        <v>82</v>
      </c>
    </row>
    <row r="588" spans="1:50" ht="22.5" customHeight="1">
      <c r="A588" s="52" t="s">
        <v>70</v>
      </c>
      <c r="B588" s="41" t="s">
        <v>62</v>
      </c>
      <c r="C588" s="42">
        <v>4015430</v>
      </c>
      <c r="D588" s="44" t="s">
        <v>807</v>
      </c>
      <c r="E588" s="44" t="s">
        <v>811</v>
      </c>
      <c r="F588" s="45">
        <v>2227</v>
      </c>
      <c r="G588" s="45">
        <v>2027</v>
      </c>
      <c r="H588" s="45">
        <v>2227</v>
      </c>
      <c r="I588" s="45">
        <v>2227</v>
      </c>
      <c r="J588" s="45">
        <v>1419</v>
      </c>
      <c r="K588" s="45">
        <v>1419</v>
      </c>
      <c r="L588" s="45">
        <v>1419</v>
      </c>
      <c r="M588" s="45">
        <v>1419</v>
      </c>
      <c r="N588" s="45">
        <v>1419</v>
      </c>
      <c r="O588" s="45">
        <v>1419</v>
      </c>
      <c r="P588" s="45">
        <v>1419</v>
      </c>
      <c r="Q588" s="45">
        <v>1419</v>
      </c>
      <c r="R588" s="45">
        <v>1419</v>
      </c>
      <c r="S588" s="45">
        <v>1419</v>
      </c>
      <c r="T588" s="45">
        <v>1419</v>
      </c>
      <c r="U588" s="45">
        <v>1419</v>
      </c>
      <c r="V588" s="45">
        <v>1419</v>
      </c>
      <c r="W588" s="45">
        <v>1419</v>
      </c>
      <c r="X588" s="45">
        <v>1419</v>
      </c>
      <c r="Y588" s="45">
        <v>1419</v>
      </c>
      <c r="Z588" s="45">
        <v>1419</v>
      </c>
      <c r="AA588" s="45">
        <v>1419</v>
      </c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7"/>
      <c r="AW588" s="48" t="s">
        <v>65</v>
      </c>
      <c r="AX588" s="51" t="s">
        <v>82</v>
      </c>
    </row>
    <row r="589" spans="1:50" ht="22.5" customHeight="1">
      <c r="A589" s="52" t="s">
        <v>70</v>
      </c>
      <c r="B589" s="41" t="s">
        <v>62</v>
      </c>
      <c r="C589" s="42">
        <v>4015449</v>
      </c>
      <c r="D589" s="44" t="s">
        <v>807</v>
      </c>
      <c r="E589" s="44" t="s">
        <v>812</v>
      </c>
      <c r="F589" s="45">
        <v>2227</v>
      </c>
      <c r="G589" s="45">
        <v>2027</v>
      </c>
      <c r="H589" s="45">
        <v>2227</v>
      </c>
      <c r="I589" s="45">
        <v>2227</v>
      </c>
      <c r="J589" s="45">
        <v>1419</v>
      </c>
      <c r="K589" s="45">
        <v>1419</v>
      </c>
      <c r="L589" s="45">
        <v>1419</v>
      </c>
      <c r="M589" s="45">
        <v>1419</v>
      </c>
      <c r="N589" s="45">
        <v>1419</v>
      </c>
      <c r="O589" s="45">
        <v>1419</v>
      </c>
      <c r="P589" s="45">
        <v>1419</v>
      </c>
      <c r="Q589" s="45">
        <v>1419</v>
      </c>
      <c r="R589" s="45">
        <v>1419</v>
      </c>
      <c r="S589" s="45">
        <v>1419</v>
      </c>
      <c r="T589" s="45">
        <v>1419</v>
      </c>
      <c r="U589" s="45">
        <v>1419</v>
      </c>
      <c r="V589" s="45">
        <v>1419</v>
      </c>
      <c r="W589" s="45">
        <v>1419</v>
      </c>
      <c r="X589" s="45">
        <v>1419</v>
      </c>
      <c r="Y589" s="45">
        <v>1419</v>
      </c>
      <c r="Z589" s="45">
        <v>1419</v>
      </c>
      <c r="AA589" s="45">
        <v>1419</v>
      </c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7"/>
      <c r="AW589" s="48" t="s">
        <v>65</v>
      </c>
      <c r="AX589" s="51" t="s">
        <v>82</v>
      </c>
    </row>
    <row r="590" spans="1:50" ht="22.5" customHeight="1">
      <c r="A590" s="52" t="s">
        <v>70</v>
      </c>
      <c r="B590" s="41" t="s">
        <v>62</v>
      </c>
      <c r="C590" s="42">
        <v>4015443</v>
      </c>
      <c r="D590" s="44" t="s">
        <v>807</v>
      </c>
      <c r="E590" s="44" t="s">
        <v>813</v>
      </c>
      <c r="F590" s="45">
        <v>2227</v>
      </c>
      <c r="G590" s="45">
        <v>2027</v>
      </c>
      <c r="H590" s="45">
        <v>2227</v>
      </c>
      <c r="I590" s="45">
        <v>2227</v>
      </c>
      <c r="J590" s="45">
        <v>1419</v>
      </c>
      <c r="K590" s="45">
        <v>1419</v>
      </c>
      <c r="L590" s="45">
        <v>1419</v>
      </c>
      <c r="M590" s="45">
        <v>1419</v>
      </c>
      <c r="N590" s="45">
        <v>1419</v>
      </c>
      <c r="O590" s="45">
        <v>1419</v>
      </c>
      <c r="P590" s="45">
        <v>1419</v>
      </c>
      <c r="Q590" s="45">
        <v>1419</v>
      </c>
      <c r="R590" s="45">
        <v>1419</v>
      </c>
      <c r="S590" s="45">
        <v>1419</v>
      </c>
      <c r="T590" s="45">
        <v>1419</v>
      </c>
      <c r="U590" s="45">
        <v>1419</v>
      </c>
      <c r="V590" s="45">
        <v>1419</v>
      </c>
      <c r="W590" s="45">
        <v>1419</v>
      </c>
      <c r="X590" s="45">
        <v>1419</v>
      </c>
      <c r="Y590" s="45">
        <v>1419</v>
      </c>
      <c r="Z590" s="45">
        <v>1419</v>
      </c>
      <c r="AA590" s="45">
        <v>1419</v>
      </c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7"/>
      <c r="AW590" s="48" t="s">
        <v>65</v>
      </c>
      <c r="AX590" s="51" t="s">
        <v>82</v>
      </c>
    </row>
    <row r="591" spans="1:50" ht="22.5" customHeight="1">
      <c r="A591" s="52" t="s">
        <v>70</v>
      </c>
      <c r="B591" s="41" t="s">
        <v>62</v>
      </c>
      <c r="C591" s="42">
        <v>4014738</v>
      </c>
      <c r="D591" s="44" t="s">
        <v>814</v>
      </c>
      <c r="E591" s="44" t="s">
        <v>815</v>
      </c>
      <c r="F591" s="45">
        <v>2999</v>
      </c>
      <c r="G591" s="45">
        <v>1299</v>
      </c>
      <c r="H591" s="45">
        <v>2399</v>
      </c>
      <c r="I591" s="45">
        <v>2399</v>
      </c>
      <c r="J591" s="45">
        <v>749</v>
      </c>
      <c r="K591" s="45">
        <v>749</v>
      </c>
      <c r="L591" s="45">
        <v>749</v>
      </c>
      <c r="M591" s="45">
        <v>749</v>
      </c>
      <c r="N591" s="45">
        <v>749</v>
      </c>
      <c r="O591" s="45">
        <v>749</v>
      </c>
      <c r="P591" s="46">
        <v>749</v>
      </c>
      <c r="Q591" s="46">
        <v>749</v>
      </c>
      <c r="R591" s="45">
        <v>749</v>
      </c>
      <c r="S591" s="45">
        <v>749</v>
      </c>
      <c r="T591" s="45">
        <v>749</v>
      </c>
      <c r="U591" s="45">
        <v>749</v>
      </c>
      <c r="V591" s="45">
        <v>749</v>
      </c>
      <c r="W591" s="45">
        <v>749</v>
      </c>
      <c r="X591" s="45">
        <v>749</v>
      </c>
      <c r="Y591" s="45">
        <v>749</v>
      </c>
      <c r="Z591" s="45">
        <v>749</v>
      </c>
      <c r="AA591" s="45">
        <v>749</v>
      </c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7"/>
      <c r="AW591" s="48" t="s">
        <v>65</v>
      </c>
      <c r="AX591" s="51" t="s">
        <v>82</v>
      </c>
    </row>
    <row r="592" spans="1:50" ht="22.5" customHeight="1">
      <c r="A592" s="52" t="s">
        <v>70</v>
      </c>
      <c r="B592" s="41" t="s">
        <v>62</v>
      </c>
      <c r="C592" s="42">
        <v>4014767</v>
      </c>
      <c r="D592" s="44" t="s">
        <v>814</v>
      </c>
      <c r="E592" s="44" t="s">
        <v>816</v>
      </c>
      <c r="F592" s="45">
        <v>2999</v>
      </c>
      <c r="G592" s="45">
        <v>1299</v>
      </c>
      <c r="H592" s="45">
        <v>2399</v>
      </c>
      <c r="I592" s="45">
        <v>2399</v>
      </c>
      <c r="J592" s="45">
        <v>749</v>
      </c>
      <c r="K592" s="45">
        <v>749</v>
      </c>
      <c r="L592" s="45">
        <v>749</v>
      </c>
      <c r="M592" s="45">
        <v>749</v>
      </c>
      <c r="N592" s="45">
        <v>749</v>
      </c>
      <c r="O592" s="45">
        <v>749</v>
      </c>
      <c r="P592" s="46">
        <v>749</v>
      </c>
      <c r="Q592" s="46">
        <v>749</v>
      </c>
      <c r="R592" s="45">
        <v>749</v>
      </c>
      <c r="S592" s="45">
        <v>749</v>
      </c>
      <c r="T592" s="45">
        <v>749</v>
      </c>
      <c r="U592" s="45">
        <v>749</v>
      </c>
      <c r="V592" s="45">
        <v>749</v>
      </c>
      <c r="W592" s="45">
        <v>749</v>
      </c>
      <c r="X592" s="45">
        <v>749</v>
      </c>
      <c r="Y592" s="45">
        <v>749</v>
      </c>
      <c r="Z592" s="45">
        <v>749</v>
      </c>
      <c r="AA592" s="45">
        <v>749</v>
      </c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7"/>
      <c r="AW592" s="48" t="s">
        <v>65</v>
      </c>
      <c r="AX592" s="51" t="s">
        <v>82</v>
      </c>
    </row>
    <row r="593" spans="1:50" ht="22.5" customHeight="1">
      <c r="A593" s="52" t="s">
        <v>70</v>
      </c>
      <c r="B593" s="41" t="s">
        <v>62</v>
      </c>
      <c r="C593" s="42">
        <v>4014709</v>
      </c>
      <c r="D593" s="44" t="s">
        <v>814</v>
      </c>
      <c r="E593" s="44" t="s">
        <v>817</v>
      </c>
      <c r="F593" s="45">
        <v>2999</v>
      </c>
      <c r="G593" s="45">
        <v>1299</v>
      </c>
      <c r="H593" s="45">
        <v>2399</v>
      </c>
      <c r="I593" s="45">
        <v>2399</v>
      </c>
      <c r="J593" s="45">
        <v>749</v>
      </c>
      <c r="K593" s="45">
        <v>749</v>
      </c>
      <c r="L593" s="45">
        <v>749</v>
      </c>
      <c r="M593" s="45">
        <v>749</v>
      </c>
      <c r="N593" s="45">
        <v>749</v>
      </c>
      <c r="O593" s="45">
        <v>749</v>
      </c>
      <c r="P593" s="46">
        <v>749</v>
      </c>
      <c r="Q593" s="46">
        <v>749</v>
      </c>
      <c r="R593" s="45">
        <v>749</v>
      </c>
      <c r="S593" s="45">
        <v>749</v>
      </c>
      <c r="T593" s="45">
        <v>749</v>
      </c>
      <c r="U593" s="45">
        <v>749</v>
      </c>
      <c r="V593" s="45">
        <v>749</v>
      </c>
      <c r="W593" s="45">
        <v>749</v>
      </c>
      <c r="X593" s="45">
        <v>749</v>
      </c>
      <c r="Y593" s="45">
        <v>749</v>
      </c>
      <c r="Z593" s="45">
        <v>749</v>
      </c>
      <c r="AA593" s="45">
        <v>749</v>
      </c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7"/>
      <c r="AW593" s="48" t="s">
        <v>65</v>
      </c>
      <c r="AX593" s="51" t="s">
        <v>82</v>
      </c>
    </row>
    <row r="594" spans="1:50" ht="22.5" customHeight="1">
      <c r="A594" s="52" t="s">
        <v>70</v>
      </c>
      <c r="B594" s="41" t="s">
        <v>62</v>
      </c>
      <c r="C594" s="42">
        <v>4014758</v>
      </c>
      <c r="D594" s="44" t="s">
        <v>814</v>
      </c>
      <c r="E594" s="44" t="s">
        <v>818</v>
      </c>
      <c r="F594" s="45">
        <v>2999</v>
      </c>
      <c r="G594" s="45">
        <v>1299</v>
      </c>
      <c r="H594" s="45">
        <v>2399</v>
      </c>
      <c r="I594" s="45">
        <v>2399</v>
      </c>
      <c r="J594" s="45">
        <v>749</v>
      </c>
      <c r="K594" s="45">
        <v>749</v>
      </c>
      <c r="L594" s="45">
        <v>749</v>
      </c>
      <c r="M594" s="45">
        <v>749</v>
      </c>
      <c r="N594" s="45">
        <v>749</v>
      </c>
      <c r="O594" s="45">
        <v>749</v>
      </c>
      <c r="P594" s="46">
        <v>749</v>
      </c>
      <c r="Q594" s="46">
        <v>749</v>
      </c>
      <c r="R594" s="45">
        <v>749</v>
      </c>
      <c r="S594" s="45">
        <v>749</v>
      </c>
      <c r="T594" s="45">
        <v>749</v>
      </c>
      <c r="U594" s="45">
        <v>749</v>
      </c>
      <c r="V594" s="45">
        <v>749</v>
      </c>
      <c r="W594" s="45">
        <v>749</v>
      </c>
      <c r="X594" s="45">
        <v>749</v>
      </c>
      <c r="Y594" s="45">
        <v>749</v>
      </c>
      <c r="Z594" s="45">
        <v>749</v>
      </c>
      <c r="AA594" s="45">
        <v>749</v>
      </c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7"/>
      <c r="AW594" s="48" t="s">
        <v>65</v>
      </c>
      <c r="AX594" s="51" t="s">
        <v>82</v>
      </c>
    </row>
    <row r="595" spans="1:50" ht="22.5" customHeight="1">
      <c r="A595" s="52" t="s">
        <v>70</v>
      </c>
      <c r="B595" s="41" t="s">
        <v>62</v>
      </c>
      <c r="C595" s="42">
        <v>4014735</v>
      </c>
      <c r="D595" s="44" t="s">
        <v>814</v>
      </c>
      <c r="E595" s="44" t="s">
        <v>819</v>
      </c>
      <c r="F595" s="45">
        <v>2999</v>
      </c>
      <c r="G595" s="45">
        <v>1299</v>
      </c>
      <c r="H595" s="45">
        <v>2399</v>
      </c>
      <c r="I595" s="45">
        <v>2399</v>
      </c>
      <c r="J595" s="45">
        <v>749</v>
      </c>
      <c r="K595" s="45">
        <v>749</v>
      </c>
      <c r="L595" s="45">
        <v>749</v>
      </c>
      <c r="M595" s="45">
        <v>749</v>
      </c>
      <c r="N595" s="45">
        <v>749</v>
      </c>
      <c r="O595" s="45">
        <v>749</v>
      </c>
      <c r="P595" s="46">
        <v>749</v>
      </c>
      <c r="Q595" s="46">
        <v>749</v>
      </c>
      <c r="R595" s="45">
        <v>749</v>
      </c>
      <c r="S595" s="45">
        <v>749</v>
      </c>
      <c r="T595" s="45">
        <v>749</v>
      </c>
      <c r="U595" s="45">
        <v>749</v>
      </c>
      <c r="V595" s="45">
        <v>749</v>
      </c>
      <c r="W595" s="45">
        <v>749</v>
      </c>
      <c r="X595" s="45">
        <v>749</v>
      </c>
      <c r="Y595" s="45">
        <v>749</v>
      </c>
      <c r="Z595" s="45">
        <v>749</v>
      </c>
      <c r="AA595" s="45">
        <v>749</v>
      </c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7"/>
      <c r="AW595" s="48" t="s">
        <v>65</v>
      </c>
      <c r="AX595" s="51" t="s">
        <v>82</v>
      </c>
    </row>
    <row r="596" spans="1:50" ht="22.5" customHeight="1">
      <c r="A596" s="52" t="s">
        <v>70</v>
      </c>
      <c r="B596" s="41" t="s">
        <v>62</v>
      </c>
      <c r="C596" s="42">
        <v>4014764</v>
      </c>
      <c r="D596" s="44" t="s">
        <v>814</v>
      </c>
      <c r="E596" s="44" t="s">
        <v>820</v>
      </c>
      <c r="F596" s="45">
        <v>2999</v>
      </c>
      <c r="G596" s="45">
        <v>1299</v>
      </c>
      <c r="H596" s="45">
        <v>2399</v>
      </c>
      <c r="I596" s="45">
        <v>2399</v>
      </c>
      <c r="J596" s="45">
        <v>749</v>
      </c>
      <c r="K596" s="45">
        <v>749</v>
      </c>
      <c r="L596" s="45">
        <v>749</v>
      </c>
      <c r="M596" s="45">
        <v>749</v>
      </c>
      <c r="N596" s="45">
        <v>749</v>
      </c>
      <c r="O596" s="45">
        <v>749</v>
      </c>
      <c r="P596" s="46">
        <v>749</v>
      </c>
      <c r="Q596" s="46">
        <v>749</v>
      </c>
      <c r="R596" s="45">
        <v>749</v>
      </c>
      <c r="S596" s="45">
        <v>749</v>
      </c>
      <c r="T596" s="45">
        <v>749</v>
      </c>
      <c r="U596" s="45">
        <v>749</v>
      </c>
      <c r="V596" s="45">
        <v>749</v>
      </c>
      <c r="W596" s="45">
        <v>749</v>
      </c>
      <c r="X596" s="45">
        <v>749</v>
      </c>
      <c r="Y596" s="45">
        <v>749</v>
      </c>
      <c r="Z596" s="45">
        <v>749</v>
      </c>
      <c r="AA596" s="45">
        <v>749</v>
      </c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7"/>
      <c r="AW596" s="48" t="s">
        <v>65</v>
      </c>
      <c r="AX596" s="51" t="s">
        <v>82</v>
      </c>
    </row>
    <row r="597" spans="1:50" ht="22.5" customHeight="1">
      <c r="A597" s="52" t="s">
        <v>70</v>
      </c>
      <c r="B597" s="41" t="s">
        <v>62</v>
      </c>
      <c r="C597" s="42">
        <v>4014732</v>
      </c>
      <c r="D597" s="44" t="s">
        <v>814</v>
      </c>
      <c r="E597" s="44" t="s">
        <v>821</v>
      </c>
      <c r="F597" s="45">
        <v>2999</v>
      </c>
      <c r="G597" s="45">
        <v>1299</v>
      </c>
      <c r="H597" s="45">
        <v>2399</v>
      </c>
      <c r="I597" s="45">
        <v>2399</v>
      </c>
      <c r="J597" s="45">
        <v>749</v>
      </c>
      <c r="K597" s="45">
        <v>749</v>
      </c>
      <c r="L597" s="45">
        <v>749</v>
      </c>
      <c r="M597" s="45">
        <v>749</v>
      </c>
      <c r="N597" s="45">
        <v>749</v>
      </c>
      <c r="O597" s="45">
        <v>749</v>
      </c>
      <c r="P597" s="46">
        <v>749</v>
      </c>
      <c r="Q597" s="46">
        <v>749</v>
      </c>
      <c r="R597" s="45">
        <v>749</v>
      </c>
      <c r="S597" s="45">
        <v>749</v>
      </c>
      <c r="T597" s="45">
        <v>749</v>
      </c>
      <c r="U597" s="45">
        <v>749</v>
      </c>
      <c r="V597" s="45">
        <v>749</v>
      </c>
      <c r="W597" s="45">
        <v>749</v>
      </c>
      <c r="X597" s="45">
        <v>749</v>
      </c>
      <c r="Y597" s="45">
        <v>749</v>
      </c>
      <c r="Z597" s="45">
        <v>749</v>
      </c>
      <c r="AA597" s="45">
        <v>749</v>
      </c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7"/>
      <c r="AW597" s="48" t="s">
        <v>65</v>
      </c>
      <c r="AX597" s="51" t="s">
        <v>82</v>
      </c>
    </row>
    <row r="598" spans="1:50" ht="22.5" customHeight="1">
      <c r="A598" s="52" t="s">
        <v>70</v>
      </c>
      <c r="B598" s="41" t="s">
        <v>62</v>
      </c>
      <c r="C598" s="42">
        <v>4014761</v>
      </c>
      <c r="D598" s="44" t="s">
        <v>814</v>
      </c>
      <c r="E598" s="44" t="s">
        <v>822</v>
      </c>
      <c r="F598" s="45">
        <v>2999</v>
      </c>
      <c r="G598" s="45">
        <v>1299</v>
      </c>
      <c r="H598" s="45">
        <v>2399</v>
      </c>
      <c r="I598" s="45">
        <v>2399</v>
      </c>
      <c r="J598" s="45">
        <v>749</v>
      </c>
      <c r="K598" s="45">
        <v>749</v>
      </c>
      <c r="L598" s="45">
        <v>749</v>
      </c>
      <c r="M598" s="45">
        <v>749</v>
      </c>
      <c r="N598" s="45">
        <v>749</v>
      </c>
      <c r="O598" s="45">
        <v>749</v>
      </c>
      <c r="P598" s="46">
        <v>749</v>
      </c>
      <c r="Q598" s="46">
        <v>749</v>
      </c>
      <c r="R598" s="45">
        <v>749</v>
      </c>
      <c r="S598" s="45">
        <v>749</v>
      </c>
      <c r="T598" s="45">
        <v>749</v>
      </c>
      <c r="U598" s="45">
        <v>749</v>
      </c>
      <c r="V598" s="45">
        <v>749</v>
      </c>
      <c r="W598" s="45">
        <v>749</v>
      </c>
      <c r="X598" s="45">
        <v>749</v>
      </c>
      <c r="Y598" s="45">
        <v>749</v>
      </c>
      <c r="Z598" s="45">
        <v>749</v>
      </c>
      <c r="AA598" s="45">
        <v>749</v>
      </c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7"/>
      <c r="AW598" s="48" t="s">
        <v>65</v>
      </c>
      <c r="AX598" s="51" t="s">
        <v>82</v>
      </c>
    </row>
    <row r="599" spans="1:50" ht="22.5" customHeight="1">
      <c r="A599" s="52" t="s">
        <v>70</v>
      </c>
      <c r="B599" s="41" t="s">
        <v>62</v>
      </c>
      <c r="C599" s="42">
        <v>4014896</v>
      </c>
      <c r="D599" s="44" t="s">
        <v>814</v>
      </c>
      <c r="E599" s="44" t="s">
        <v>823</v>
      </c>
      <c r="F599" s="45">
        <v>2999</v>
      </c>
      <c r="G599" s="45">
        <v>1299</v>
      </c>
      <c r="H599" s="45">
        <v>2399</v>
      </c>
      <c r="I599" s="45">
        <v>2399</v>
      </c>
      <c r="J599" s="45">
        <v>749</v>
      </c>
      <c r="K599" s="45">
        <v>749</v>
      </c>
      <c r="L599" s="45">
        <v>749</v>
      </c>
      <c r="M599" s="45">
        <v>749</v>
      </c>
      <c r="N599" s="45">
        <v>749</v>
      </c>
      <c r="O599" s="45">
        <v>749</v>
      </c>
      <c r="P599" s="46">
        <v>749</v>
      </c>
      <c r="Q599" s="46">
        <v>749</v>
      </c>
      <c r="R599" s="45">
        <v>749</v>
      </c>
      <c r="S599" s="45">
        <v>749</v>
      </c>
      <c r="T599" s="45">
        <v>749</v>
      </c>
      <c r="U599" s="45">
        <v>749</v>
      </c>
      <c r="V599" s="45">
        <v>749</v>
      </c>
      <c r="W599" s="45">
        <v>749</v>
      </c>
      <c r="X599" s="45">
        <v>749</v>
      </c>
      <c r="Y599" s="45">
        <v>749</v>
      </c>
      <c r="Z599" s="45">
        <v>749</v>
      </c>
      <c r="AA599" s="45">
        <v>749</v>
      </c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7"/>
      <c r="AW599" s="48" t="s">
        <v>65</v>
      </c>
      <c r="AX599" s="51" t="s">
        <v>82</v>
      </c>
    </row>
    <row r="600" spans="1:50" ht="22.5" customHeight="1">
      <c r="A600" s="52" t="s">
        <v>70</v>
      </c>
      <c r="B600" s="41" t="s">
        <v>62</v>
      </c>
      <c r="C600" s="42">
        <v>4014985</v>
      </c>
      <c r="D600" s="44" t="s">
        <v>814</v>
      </c>
      <c r="E600" s="44" t="s">
        <v>824</v>
      </c>
      <c r="F600" s="45">
        <v>2999</v>
      </c>
      <c r="G600" s="45">
        <v>1299</v>
      </c>
      <c r="H600" s="45">
        <v>2399</v>
      </c>
      <c r="I600" s="45">
        <v>2399</v>
      </c>
      <c r="J600" s="45">
        <v>749</v>
      </c>
      <c r="K600" s="45">
        <v>749</v>
      </c>
      <c r="L600" s="45">
        <v>749</v>
      </c>
      <c r="M600" s="45">
        <v>749</v>
      </c>
      <c r="N600" s="45">
        <v>749</v>
      </c>
      <c r="O600" s="45">
        <v>749</v>
      </c>
      <c r="P600" s="46">
        <v>749</v>
      </c>
      <c r="Q600" s="46">
        <v>749</v>
      </c>
      <c r="R600" s="45">
        <v>749</v>
      </c>
      <c r="S600" s="45">
        <v>749</v>
      </c>
      <c r="T600" s="45">
        <v>749</v>
      </c>
      <c r="U600" s="45">
        <v>749</v>
      </c>
      <c r="V600" s="45">
        <v>749</v>
      </c>
      <c r="W600" s="45">
        <v>749</v>
      </c>
      <c r="X600" s="45">
        <v>749</v>
      </c>
      <c r="Y600" s="45">
        <v>749</v>
      </c>
      <c r="Z600" s="45">
        <v>749</v>
      </c>
      <c r="AA600" s="45">
        <v>749</v>
      </c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7"/>
      <c r="AW600" s="48" t="s">
        <v>65</v>
      </c>
      <c r="AX600" s="51" t="s">
        <v>82</v>
      </c>
    </row>
    <row r="601" spans="1:50" ht="22.5" customHeight="1">
      <c r="A601" s="52" t="s">
        <v>70</v>
      </c>
      <c r="B601" s="41" t="s">
        <v>62</v>
      </c>
      <c r="C601" s="42">
        <v>4014893</v>
      </c>
      <c r="D601" s="44" t="s">
        <v>814</v>
      </c>
      <c r="E601" s="44" t="s">
        <v>825</v>
      </c>
      <c r="F601" s="45">
        <v>2999</v>
      </c>
      <c r="G601" s="45">
        <v>1299</v>
      </c>
      <c r="H601" s="45">
        <v>2399</v>
      </c>
      <c r="I601" s="45">
        <v>2399</v>
      </c>
      <c r="J601" s="45">
        <v>749</v>
      </c>
      <c r="K601" s="45">
        <v>749</v>
      </c>
      <c r="L601" s="45">
        <v>749</v>
      </c>
      <c r="M601" s="45">
        <v>749</v>
      </c>
      <c r="N601" s="45">
        <v>749</v>
      </c>
      <c r="O601" s="45">
        <v>749</v>
      </c>
      <c r="P601" s="46">
        <v>749</v>
      </c>
      <c r="Q601" s="46">
        <v>749</v>
      </c>
      <c r="R601" s="45">
        <v>749</v>
      </c>
      <c r="S601" s="45">
        <v>749</v>
      </c>
      <c r="T601" s="45">
        <v>749</v>
      </c>
      <c r="U601" s="45">
        <v>749</v>
      </c>
      <c r="V601" s="45">
        <v>749</v>
      </c>
      <c r="W601" s="45">
        <v>749</v>
      </c>
      <c r="X601" s="45">
        <v>749</v>
      </c>
      <c r="Y601" s="45">
        <v>749</v>
      </c>
      <c r="Z601" s="45">
        <v>749</v>
      </c>
      <c r="AA601" s="45">
        <v>749</v>
      </c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7"/>
      <c r="AW601" s="48" t="s">
        <v>65</v>
      </c>
      <c r="AX601" s="51" t="s">
        <v>82</v>
      </c>
    </row>
    <row r="602" spans="1:50" ht="22.5" customHeight="1">
      <c r="A602" s="52" t="s">
        <v>70</v>
      </c>
      <c r="B602" s="41" t="s">
        <v>62</v>
      </c>
      <c r="C602" s="42">
        <v>4014986</v>
      </c>
      <c r="D602" s="44" t="s">
        <v>814</v>
      </c>
      <c r="E602" s="44" t="s">
        <v>826</v>
      </c>
      <c r="F602" s="45">
        <v>2999</v>
      </c>
      <c r="G602" s="45">
        <v>1299</v>
      </c>
      <c r="H602" s="45">
        <v>2399</v>
      </c>
      <c r="I602" s="45">
        <v>2399</v>
      </c>
      <c r="J602" s="45">
        <v>749</v>
      </c>
      <c r="K602" s="45">
        <v>749</v>
      </c>
      <c r="L602" s="45">
        <v>749</v>
      </c>
      <c r="M602" s="45">
        <v>749</v>
      </c>
      <c r="N602" s="45">
        <v>749</v>
      </c>
      <c r="O602" s="45">
        <v>749</v>
      </c>
      <c r="P602" s="46">
        <v>749</v>
      </c>
      <c r="Q602" s="46">
        <v>749</v>
      </c>
      <c r="R602" s="45">
        <v>749</v>
      </c>
      <c r="S602" s="45">
        <v>749</v>
      </c>
      <c r="T602" s="45">
        <v>749</v>
      </c>
      <c r="U602" s="45">
        <v>749</v>
      </c>
      <c r="V602" s="45">
        <v>749</v>
      </c>
      <c r="W602" s="45">
        <v>749</v>
      </c>
      <c r="X602" s="45">
        <v>749</v>
      </c>
      <c r="Y602" s="45">
        <v>749</v>
      </c>
      <c r="Z602" s="45">
        <v>749</v>
      </c>
      <c r="AA602" s="45">
        <v>749</v>
      </c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7"/>
      <c r="AW602" s="48" t="s">
        <v>65</v>
      </c>
      <c r="AX602" s="51" t="s">
        <v>82</v>
      </c>
    </row>
    <row r="603" spans="1:50" ht="22.5" customHeight="1">
      <c r="A603" s="52" t="s">
        <v>70</v>
      </c>
      <c r="B603" s="41" t="s">
        <v>62</v>
      </c>
      <c r="C603" s="42">
        <v>4014754</v>
      </c>
      <c r="D603" s="44" t="s">
        <v>827</v>
      </c>
      <c r="E603" s="44" t="s">
        <v>828</v>
      </c>
      <c r="F603" s="45">
        <v>2199</v>
      </c>
      <c r="G603" s="45">
        <v>1099</v>
      </c>
      <c r="H603" s="45">
        <v>2199</v>
      </c>
      <c r="I603" s="45">
        <v>2199</v>
      </c>
      <c r="J603" s="45">
        <v>799</v>
      </c>
      <c r="K603" s="45">
        <v>799</v>
      </c>
      <c r="L603" s="45">
        <v>799</v>
      </c>
      <c r="M603" s="45">
        <v>799</v>
      </c>
      <c r="N603" s="45">
        <v>799</v>
      </c>
      <c r="O603" s="45">
        <v>799</v>
      </c>
      <c r="P603" s="46">
        <v>799</v>
      </c>
      <c r="Q603" s="46">
        <v>799</v>
      </c>
      <c r="R603" s="45">
        <v>799</v>
      </c>
      <c r="S603" s="45">
        <v>799</v>
      </c>
      <c r="T603" s="45">
        <v>799</v>
      </c>
      <c r="U603" s="45">
        <v>799</v>
      </c>
      <c r="V603" s="45">
        <v>799</v>
      </c>
      <c r="W603" s="45">
        <v>799</v>
      </c>
      <c r="X603" s="45">
        <v>799</v>
      </c>
      <c r="Y603" s="45">
        <v>799</v>
      </c>
      <c r="Z603" s="45">
        <v>799</v>
      </c>
      <c r="AA603" s="45">
        <v>799</v>
      </c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7"/>
      <c r="AW603" s="48" t="s">
        <v>65</v>
      </c>
      <c r="AX603" s="51" t="s">
        <v>82</v>
      </c>
    </row>
    <row r="604" spans="1:50" ht="22.5" customHeight="1">
      <c r="A604" s="52" t="s">
        <v>70</v>
      </c>
      <c r="B604" s="41" t="s">
        <v>62</v>
      </c>
      <c r="C604" s="42">
        <v>4014741</v>
      </c>
      <c r="D604" s="44" t="s">
        <v>827</v>
      </c>
      <c r="E604" s="44" t="s">
        <v>829</v>
      </c>
      <c r="F604" s="45">
        <v>2199</v>
      </c>
      <c r="G604" s="45">
        <v>1099</v>
      </c>
      <c r="H604" s="45">
        <v>2199</v>
      </c>
      <c r="I604" s="45">
        <v>2199</v>
      </c>
      <c r="J604" s="45">
        <v>799</v>
      </c>
      <c r="K604" s="45">
        <v>799</v>
      </c>
      <c r="L604" s="45">
        <v>799</v>
      </c>
      <c r="M604" s="45">
        <v>799</v>
      </c>
      <c r="N604" s="45">
        <v>799</v>
      </c>
      <c r="O604" s="45">
        <v>799</v>
      </c>
      <c r="P604" s="46">
        <v>799</v>
      </c>
      <c r="Q604" s="46">
        <v>799</v>
      </c>
      <c r="R604" s="45">
        <v>799</v>
      </c>
      <c r="S604" s="45">
        <v>799</v>
      </c>
      <c r="T604" s="45">
        <v>799</v>
      </c>
      <c r="U604" s="45">
        <v>799</v>
      </c>
      <c r="V604" s="45">
        <v>799</v>
      </c>
      <c r="W604" s="45">
        <v>799</v>
      </c>
      <c r="X604" s="45">
        <v>799</v>
      </c>
      <c r="Y604" s="45">
        <v>799</v>
      </c>
      <c r="Z604" s="45">
        <v>799</v>
      </c>
      <c r="AA604" s="45">
        <v>799</v>
      </c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7"/>
      <c r="AW604" s="48" t="s">
        <v>65</v>
      </c>
      <c r="AX604" s="51" t="s">
        <v>82</v>
      </c>
    </row>
    <row r="605" spans="1:50" ht="22.5" customHeight="1">
      <c r="A605" s="52" t="s">
        <v>70</v>
      </c>
      <c r="B605" s="41" t="s">
        <v>62</v>
      </c>
      <c r="C605" s="42">
        <v>4014742</v>
      </c>
      <c r="D605" s="44" t="s">
        <v>827</v>
      </c>
      <c r="E605" s="44" t="s">
        <v>830</v>
      </c>
      <c r="F605" s="45">
        <v>2199</v>
      </c>
      <c r="G605" s="45">
        <v>1099</v>
      </c>
      <c r="H605" s="45">
        <v>2199</v>
      </c>
      <c r="I605" s="45">
        <v>2199</v>
      </c>
      <c r="J605" s="45">
        <v>799</v>
      </c>
      <c r="K605" s="45">
        <v>799</v>
      </c>
      <c r="L605" s="45">
        <v>799</v>
      </c>
      <c r="M605" s="45">
        <v>799</v>
      </c>
      <c r="N605" s="45">
        <v>799</v>
      </c>
      <c r="O605" s="45">
        <v>799</v>
      </c>
      <c r="P605" s="46">
        <v>799</v>
      </c>
      <c r="Q605" s="46">
        <v>799</v>
      </c>
      <c r="R605" s="45">
        <v>799</v>
      </c>
      <c r="S605" s="45">
        <v>799</v>
      </c>
      <c r="T605" s="45">
        <v>799</v>
      </c>
      <c r="U605" s="45">
        <v>799</v>
      </c>
      <c r="V605" s="45">
        <v>799</v>
      </c>
      <c r="W605" s="45">
        <v>799</v>
      </c>
      <c r="X605" s="45">
        <v>799</v>
      </c>
      <c r="Y605" s="45">
        <v>799</v>
      </c>
      <c r="Z605" s="45">
        <v>799</v>
      </c>
      <c r="AA605" s="45">
        <v>799</v>
      </c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7"/>
      <c r="AW605" s="48" t="s">
        <v>65</v>
      </c>
      <c r="AX605" s="51" t="s">
        <v>82</v>
      </c>
    </row>
    <row r="606" spans="1:50" ht="22.5" customHeight="1">
      <c r="A606" s="52" t="s">
        <v>70</v>
      </c>
      <c r="B606" s="41" t="s">
        <v>62</v>
      </c>
      <c r="C606" s="42">
        <v>4014708</v>
      </c>
      <c r="D606" s="44" t="s">
        <v>827</v>
      </c>
      <c r="E606" s="44" t="s">
        <v>831</v>
      </c>
      <c r="F606" s="45">
        <v>2199</v>
      </c>
      <c r="G606" s="45">
        <v>1099</v>
      </c>
      <c r="H606" s="45">
        <v>2199</v>
      </c>
      <c r="I606" s="45">
        <v>2199</v>
      </c>
      <c r="J606" s="45">
        <v>799</v>
      </c>
      <c r="K606" s="45">
        <v>799</v>
      </c>
      <c r="L606" s="45">
        <v>799</v>
      </c>
      <c r="M606" s="45">
        <v>799</v>
      </c>
      <c r="N606" s="45">
        <v>799</v>
      </c>
      <c r="O606" s="45">
        <v>799</v>
      </c>
      <c r="P606" s="46">
        <v>799</v>
      </c>
      <c r="Q606" s="46">
        <v>799</v>
      </c>
      <c r="R606" s="45">
        <v>799</v>
      </c>
      <c r="S606" s="45">
        <v>799</v>
      </c>
      <c r="T606" s="45">
        <v>799</v>
      </c>
      <c r="U606" s="45">
        <v>799</v>
      </c>
      <c r="V606" s="45">
        <v>799</v>
      </c>
      <c r="W606" s="45">
        <v>799</v>
      </c>
      <c r="X606" s="45">
        <v>799</v>
      </c>
      <c r="Y606" s="45">
        <v>799</v>
      </c>
      <c r="Z606" s="45">
        <v>799</v>
      </c>
      <c r="AA606" s="45">
        <v>799</v>
      </c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7"/>
      <c r="AW606" s="48" t="s">
        <v>65</v>
      </c>
      <c r="AX606" s="51" t="s">
        <v>82</v>
      </c>
    </row>
    <row r="607" spans="1:50" ht="22.5" customHeight="1">
      <c r="A607" s="52" t="s">
        <v>70</v>
      </c>
      <c r="B607" s="41" t="s">
        <v>62</v>
      </c>
      <c r="C607" s="42">
        <v>4014750</v>
      </c>
      <c r="D607" s="44" t="s">
        <v>827</v>
      </c>
      <c r="E607" s="44" t="s">
        <v>832</v>
      </c>
      <c r="F607" s="45">
        <v>2199</v>
      </c>
      <c r="G607" s="45">
        <v>1099</v>
      </c>
      <c r="H607" s="45">
        <v>2199</v>
      </c>
      <c r="I607" s="45">
        <v>2199</v>
      </c>
      <c r="J607" s="45">
        <v>799</v>
      </c>
      <c r="K607" s="45">
        <v>799</v>
      </c>
      <c r="L607" s="45">
        <v>799</v>
      </c>
      <c r="M607" s="45">
        <v>799</v>
      </c>
      <c r="N607" s="45">
        <v>799</v>
      </c>
      <c r="O607" s="45">
        <v>799</v>
      </c>
      <c r="P607" s="46">
        <v>799</v>
      </c>
      <c r="Q607" s="46">
        <v>799</v>
      </c>
      <c r="R607" s="45">
        <v>799</v>
      </c>
      <c r="S607" s="45">
        <v>799</v>
      </c>
      <c r="T607" s="45">
        <v>799</v>
      </c>
      <c r="U607" s="45">
        <v>799</v>
      </c>
      <c r="V607" s="45">
        <v>799</v>
      </c>
      <c r="W607" s="45">
        <v>799</v>
      </c>
      <c r="X607" s="45">
        <v>799</v>
      </c>
      <c r="Y607" s="45">
        <v>799</v>
      </c>
      <c r="Z607" s="45">
        <v>799</v>
      </c>
      <c r="AA607" s="45">
        <v>799</v>
      </c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7"/>
      <c r="AW607" s="48" t="s">
        <v>65</v>
      </c>
      <c r="AX607" s="51" t="s">
        <v>82</v>
      </c>
    </row>
    <row r="608" spans="1:50" ht="22.5" customHeight="1">
      <c r="A608" s="52" t="s">
        <v>70</v>
      </c>
      <c r="B608" s="41" t="s">
        <v>62</v>
      </c>
      <c r="C608" s="42">
        <v>4014737</v>
      </c>
      <c r="D608" s="44" t="s">
        <v>827</v>
      </c>
      <c r="E608" s="44" t="s">
        <v>833</v>
      </c>
      <c r="F608" s="45">
        <v>2199</v>
      </c>
      <c r="G608" s="45">
        <v>1099</v>
      </c>
      <c r="H608" s="45">
        <v>2199</v>
      </c>
      <c r="I608" s="45">
        <v>2199</v>
      </c>
      <c r="J608" s="45">
        <v>799</v>
      </c>
      <c r="K608" s="45">
        <v>799</v>
      </c>
      <c r="L608" s="45">
        <v>799</v>
      </c>
      <c r="M608" s="45">
        <v>799</v>
      </c>
      <c r="N608" s="45">
        <v>799</v>
      </c>
      <c r="O608" s="45">
        <v>799</v>
      </c>
      <c r="P608" s="46">
        <v>799</v>
      </c>
      <c r="Q608" s="46">
        <v>799</v>
      </c>
      <c r="R608" s="45">
        <v>799</v>
      </c>
      <c r="S608" s="45">
        <v>799</v>
      </c>
      <c r="T608" s="45">
        <v>799</v>
      </c>
      <c r="U608" s="45">
        <v>799</v>
      </c>
      <c r="V608" s="45">
        <v>799</v>
      </c>
      <c r="W608" s="45">
        <v>799</v>
      </c>
      <c r="X608" s="45">
        <v>799</v>
      </c>
      <c r="Y608" s="45">
        <v>799</v>
      </c>
      <c r="Z608" s="45">
        <v>799</v>
      </c>
      <c r="AA608" s="45">
        <v>799</v>
      </c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7"/>
      <c r="AW608" s="48" t="s">
        <v>65</v>
      </c>
      <c r="AX608" s="51" t="s">
        <v>82</v>
      </c>
    </row>
    <row r="609" spans="1:50" ht="22.5" customHeight="1">
      <c r="A609" s="52" t="s">
        <v>70</v>
      </c>
      <c r="B609" s="41" t="s">
        <v>62</v>
      </c>
      <c r="C609" s="42">
        <v>4014746</v>
      </c>
      <c r="D609" s="44" t="s">
        <v>827</v>
      </c>
      <c r="E609" s="44" t="s">
        <v>834</v>
      </c>
      <c r="F609" s="45">
        <v>2199</v>
      </c>
      <c r="G609" s="45">
        <v>1099</v>
      </c>
      <c r="H609" s="45">
        <v>2199</v>
      </c>
      <c r="I609" s="45">
        <v>2199</v>
      </c>
      <c r="J609" s="45">
        <v>799</v>
      </c>
      <c r="K609" s="45">
        <v>799</v>
      </c>
      <c r="L609" s="45">
        <v>799</v>
      </c>
      <c r="M609" s="45">
        <v>799</v>
      </c>
      <c r="N609" s="45">
        <v>799</v>
      </c>
      <c r="O609" s="45">
        <v>799</v>
      </c>
      <c r="P609" s="46">
        <v>799</v>
      </c>
      <c r="Q609" s="46">
        <v>799</v>
      </c>
      <c r="R609" s="45">
        <v>799</v>
      </c>
      <c r="S609" s="45">
        <v>799</v>
      </c>
      <c r="T609" s="45">
        <v>799</v>
      </c>
      <c r="U609" s="45">
        <v>799</v>
      </c>
      <c r="V609" s="45">
        <v>799</v>
      </c>
      <c r="W609" s="45">
        <v>799</v>
      </c>
      <c r="X609" s="45">
        <v>799</v>
      </c>
      <c r="Y609" s="45">
        <v>799</v>
      </c>
      <c r="Z609" s="45">
        <v>799</v>
      </c>
      <c r="AA609" s="45">
        <v>799</v>
      </c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7"/>
      <c r="AW609" s="48" t="s">
        <v>65</v>
      </c>
      <c r="AX609" s="51" t="s">
        <v>82</v>
      </c>
    </row>
    <row r="610" spans="1:50" ht="22.5" customHeight="1">
      <c r="A610" s="52" t="s">
        <v>70</v>
      </c>
      <c r="B610" s="41" t="s">
        <v>62</v>
      </c>
      <c r="C610" s="42">
        <v>4014733</v>
      </c>
      <c r="D610" s="44" t="s">
        <v>827</v>
      </c>
      <c r="E610" s="44" t="s">
        <v>835</v>
      </c>
      <c r="F610" s="45">
        <v>2199</v>
      </c>
      <c r="G610" s="45">
        <v>1099</v>
      </c>
      <c r="H610" s="45">
        <v>2199</v>
      </c>
      <c r="I610" s="45">
        <v>2199</v>
      </c>
      <c r="J610" s="45">
        <v>799</v>
      </c>
      <c r="K610" s="45">
        <v>799</v>
      </c>
      <c r="L610" s="45">
        <v>799</v>
      </c>
      <c r="M610" s="45">
        <v>799</v>
      </c>
      <c r="N610" s="45">
        <v>799</v>
      </c>
      <c r="O610" s="45">
        <v>799</v>
      </c>
      <c r="P610" s="46">
        <v>799</v>
      </c>
      <c r="Q610" s="46">
        <v>799</v>
      </c>
      <c r="R610" s="45">
        <v>799</v>
      </c>
      <c r="S610" s="45">
        <v>799</v>
      </c>
      <c r="T610" s="45">
        <v>799</v>
      </c>
      <c r="U610" s="45">
        <v>799</v>
      </c>
      <c r="V610" s="45">
        <v>799</v>
      </c>
      <c r="W610" s="45">
        <v>799</v>
      </c>
      <c r="X610" s="45">
        <v>799</v>
      </c>
      <c r="Y610" s="45">
        <v>799</v>
      </c>
      <c r="Z610" s="45">
        <v>799</v>
      </c>
      <c r="AA610" s="45">
        <v>799</v>
      </c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7"/>
      <c r="AW610" s="48" t="s">
        <v>65</v>
      </c>
      <c r="AX610" s="51" t="s">
        <v>82</v>
      </c>
    </row>
    <row r="611" spans="1:50" ht="22.5" customHeight="1">
      <c r="A611" s="52" t="s">
        <v>70</v>
      </c>
      <c r="B611" s="41" t="s">
        <v>62</v>
      </c>
      <c r="C611" s="42">
        <v>4014987</v>
      </c>
      <c r="D611" s="44" t="s">
        <v>827</v>
      </c>
      <c r="E611" s="44" t="s">
        <v>836</v>
      </c>
      <c r="F611" s="45">
        <v>2199</v>
      </c>
      <c r="G611" s="45">
        <v>1099</v>
      </c>
      <c r="H611" s="45">
        <v>2199</v>
      </c>
      <c r="I611" s="45">
        <v>2199</v>
      </c>
      <c r="J611" s="45">
        <v>799</v>
      </c>
      <c r="K611" s="45">
        <v>799</v>
      </c>
      <c r="L611" s="45">
        <v>799</v>
      </c>
      <c r="M611" s="45">
        <v>799</v>
      </c>
      <c r="N611" s="45">
        <v>799</v>
      </c>
      <c r="O611" s="45">
        <v>799</v>
      </c>
      <c r="P611" s="46">
        <v>799</v>
      </c>
      <c r="Q611" s="46">
        <v>799</v>
      </c>
      <c r="R611" s="45">
        <v>799</v>
      </c>
      <c r="S611" s="45">
        <v>799</v>
      </c>
      <c r="T611" s="45">
        <v>799</v>
      </c>
      <c r="U611" s="45">
        <v>799</v>
      </c>
      <c r="V611" s="45">
        <v>799</v>
      </c>
      <c r="W611" s="45">
        <v>799</v>
      </c>
      <c r="X611" s="45">
        <v>799</v>
      </c>
      <c r="Y611" s="45">
        <v>799</v>
      </c>
      <c r="Z611" s="45">
        <v>799</v>
      </c>
      <c r="AA611" s="45">
        <v>799</v>
      </c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7"/>
      <c r="AW611" s="48" t="s">
        <v>65</v>
      </c>
      <c r="AX611" s="51" t="s">
        <v>82</v>
      </c>
    </row>
    <row r="612" spans="1:50" ht="22.5" customHeight="1">
      <c r="A612" s="52" t="s">
        <v>70</v>
      </c>
      <c r="B612" s="41" t="s">
        <v>62</v>
      </c>
      <c r="C612" s="42">
        <v>4015527</v>
      </c>
      <c r="D612" s="44" t="s">
        <v>827</v>
      </c>
      <c r="E612" s="44" t="s">
        <v>837</v>
      </c>
      <c r="F612" s="45">
        <v>2199</v>
      </c>
      <c r="G612" s="45">
        <v>1099</v>
      </c>
      <c r="H612" s="45">
        <v>2199</v>
      </c>
      <c r="I612" s="45">
        <v>2199</v>
      </c>
      <c r="J612" s="45">
        <v>799</v>
      </c>
      <c r="K612" s="45">
        <v>799</v>
      </c>
      <c r="L612" s="45">
        <v>799</v>
      </c>
      <c r="M612" s="45">
        <v>799</v>
      </c>
      <c r="N612" s="45">
        <v>799</v>
      </c>
      <c r="O612" s="45">
        <v>799</v>
      </c>
      <c r="P612" s="46">
        <v>799</v>
      </c>
      <c r="Q612" s="46">
        <v>799</v>
      </c>
      <c r="R612" s="45">
        <v>799</v>
      </c>
      <c r="S612" s="45">
        <v>799</v>
      </c>
      <c r="T612" s="45">
        <v>799</v>
      </c>
      <c r="U612" s="45">
        <v>799</v>
      </c>
      <c r="V612" s="45">
        <v>799</v>
      </c>
      <c r="W612" s="45">
        <v>799</v>
      </c>
      <c r="X612" s="45">
        <v>799</v>
      </c>
      <c r="Y612" s="45">
        <v>799</v>
      </c>
      <c r="Z612" s="45">
        <v>799</v>
      </c>
      <c r="AA612" s="45">
        <v>799</v>
      </c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7"/>
      <c r="AW612" s="48" t="s">
        <v>65</v>
      </c>
      <c r="AX612" s="51" t="s">
        <v>82</v>
      </c>
    </row>
    <row r="613" spans="1:50" ht="22.5" customHeight="1">
      <c r="A613" s="52" t="s">
        <v>70</v>
      </c>
      <c r="B613" s="41" t="s">
        <v>62</v>
      </c>
      <c r="C613" s="42">
        <v>4015523</v>
      </c>
      <c r="D613" s="44" t="s">
        <v>827</v>
      </c>
      <c r="E613" s="44" t="s">
        <v>838</v>
      </c>
      <c r="F613" s="45">
        <v>2199</v>
      </c>
      <c r="G613" s="45">
        <v>1099</v>
      </c>
      <c r="H613" s="45">
        <v>2199</v>
      </c>
      <c r="I613" s="45">
        <v>2199</v>
      </c>
      <c r="J613" s="45">
        <v>799</v>
      </c>
      <c r="K613" s="45">
        <v>799</v>
      </c>
      <c r="L613" s="45">
        <v>799</v>
      </c>
      <c r="M613" s="45">
        <v>799</v>
      </c>
      <c r="N613" s="45">
        <v>799</v>
      </c>
      <c r="O613" s="45">
        <v>799</v>
      </c>
      <c r="P613" s="46">
        <v>799</v>
      </c>
      <c r="Q613" s="46">
        <v>799</v>
      </c>
      <c r="R613" s="45">
        <v>799</v>
      </c>
      <c r="S613" s="45">
        <v>799</v>
      </c>
      <c r="T613" s="45">
        <v>799</v>
      </c>
      <c r="U613" s="45">
        <v>799</v>
      </c>
      <c r="V613" s="45">
        <v>799</v>
      </c>
      <c r="W613" s="45">
        <v>799</v>
      </c>
      <c r="X613" s="45">
        <v>799</v>
      </c>
      <c r="Y613" s="45">
        <v>799</v>
      </c>
      <c r="Z613" s="45">
        <v>799</v>
      </c>
      <c r="AA613" s="45">
        <v>799</v>
      </c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7"/>
      <c r="AW613" s="48" t="s">
        <v>65</v>
      </c>
      <c r="AX613" s="51" t="s">
        <v>82</v>
      </c>
    </row>
    <row r="614" spans="1:50" ht="22.5" customHeight="1">
      <c r="A614" s="52" t="s">
        <v>70</v>
      </c>
      <c r="B614" s="41" t="s">
        <v>62</v>
      </c>
      <c r="C614" s="42">
        <v>4015522</v>
      </c>
      <c r="D614" s="44" t="s">
        <v>827</v>
      </c>
      <c r="E614" s="44" t="s">
        <v>839</v>
      </c>
      <c r="F614" s="45">
        <v>2199</v>
      </c>
      <c r="G614" s="45">
        <v>1099</v>
      </c>
      <c r="H614" s="45">
        <v>2199</v>
      </c>
      <c r="I614" s="45">
        <v>2199</v>
      </c>
      <c r="J614" s="45">
        <v>799</v>
      </c>
      <c r="K614" s="45">
        <v>799</v>
      </c>
      <c r="L614" s="45">
        <v>799</v>
      </c>
      <c r="M614" s="45">
        <v>799</v>
      </c>
      <c r="N614" s="45">
        <v>799</v>
      </c>
      <c r="O614" s="45">
        <v>799</v>
      </c>
      <c r="P614" s="46">
        <v>799</v>
      </c>
      <c r="Q614" s="46">
        <v>799</v>
      </c>
      <c r="R614" s="45">
        <v>799</v>
      </c>
      <c r="S614" s="45">
        <v>799</v>
      </c>
      <c r="T614" s="45">
        <v>799</v>
      </c>
      <c r="U614" s="45">
        <v>799</v>
      </c>
      <c r="V614" s="45">
        <v>799</v>
      </c>
      <c r="W614" s="45">
        <v>799</v>
      </c>
      <c r="X614" s="45">
        <v>799</v>
      </c>
      <c r="Y614" s="45">
        <v>799</v>
      </c>
      <c r="Z614" s="45">
        <v>799</v>
      </c>
      <c r="AA614" s="45">
        <v>799</v>
      </c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7"/>
      <c r="AW614" s="48" t="s">
        <v>65</v>
      </c>
      <c r="AX614" s="51" t="s">
        <v>82</v>
      </c>
    </row>
    <row r="615" spans="1:50" ht="22.5" customHeight="1">
      <c r="A615" s="52" t="s">
        <v>70</v>
      </c>
      <c r="B615" s="41" t="s">
        <v>62</v>
      </c>
      <c r="C615" s="42">
        <v>4015520</v>
      </c>
      <c r="D615" s="44" t="s">
        <v>827</v>
      </c>
      <c r="E615" s="44" t="s">
        <v>840</v>
      </c>
      <c r="F615" s="45">
        <v>2199</v>
      </c>
      <c r="G615" s="45">
        <v>1099</v>
      </c>
      <c r="H615" s="45">
        <v>2199</v>
      </c>
      <c r="I615" s="45">
        <v>2199</v>
      </c>
      <c r="J615" s="45">
        <v>799</v>
      </c>
      <c r="K615" s="45">
        <v>799</v>
      </c>
      <c r="L615" s="45">
        <v>799</v>
      </c>
      <c r="M615" s="45">
        <v>799</v>
      </c>
      <c r="N615" s="45">
        <v>799</v>
      </c>
      <c r="O615" s="45">
        <v>799</v>
      </c>
      <c r="P615" s="46">
        <v>799</v>
      </c>
      <c r="Q615" s="46">
        <v>799</v>
      </c>
      <c r="R615" s="45">
        <v>799</v>
      </c>
      <c r="S615" s="45">
        <v>799</v>
      </c>
      <c r="T615" s="45">
        <v>799</v>
      </c>
      <c r="U615" s="45">
        <v>799</v>
      </c>
      <c r="V615" s="45">
        <v>799</v>
      </c>
      <c r="W615" s="45">
        <v>799</v>
      </c>
      <c r="X615" s="45">
        <v>799</v>
      </c>
      <c r="Y615" s="45">
        <v>799</v>
      </c>
      <c r="Z615" s="45">
        <v>799</v>
      </c>
      <c r="AA615" s="45">
        <v>799</v>
      </c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7"/>
      <c r="AW615" s="48" t="s">
        <v>65</v>
      </c>
      <c r="AX615" s="51" t="s">
        <v>82</v>
      </c>
    </row>
    <row r="616" spans="1:50" ht="22.5" customHeight="1">
      <c r="A616" s="52" t="s">
        <v>70</v>
      </c>
      <c r="B616" s="41" t="s">
        <v>62</v>
      </c>
      <c r="C616" s="42">
        <v>4015524</v>
      </c>
      <c r="D616" s="44" t="s">
        <v>827</v>
      </c>
      <c r="E616" s="44" t="s">
        <v>841</v>
      </c>
      <c r="F616" s="45">
        <v>2199</v>
      </c>
      <c r="G616" s="45">
        <v>1099</v>
      </c>
      <c r="H616" s="45">
        <v>2199</v>
      </c>
      <c r="I616" s="45">
        <v>2199</v>
      </c>
      <c r="J616" s="45">
        <v>799</v>
      </c>
      <c r="K616" s="45">
        <v>799</v>
      </c>
      <c r="L616" s="45">
        <v>799</v>
      </c>
      <c r="M616" s="45">
        <v>799</v>
      </c>
      <c r="N616" s="45">
        <v>799</v>
      </c>
      <c r="O616" s="45">
        <v>799</v>
      </c>
      <c r="P616" s="46">
        <v>799</v>
      </c>
      <c r="Q616" s="46">
        <v>799</v>
      </c>
      <c r="R616" s="45">
        <v>799</v>
      </c>
      <c r="S616" s="45">
        <v>799</v>
      </c>
      <c r="T616" s="45">
        <v>799</v>
      </c>
      <c r="U616" s="45">
        <v>799</v>
      </c>
      <c r="V616" s="45">
        <v>799</v>
      </c>
      <c r="W616" s="45">
        <v>799</v>
      </c>
      <c r="X616" s="45">
        <v>799</v>
      </c>
      <c r="Y616" s="45">
        <v>799</v>
      </c>
      <c r="Z616" s="45">
        <v>799</v>
      </c>
      <c r="AA616" s="45">
        <v>799</v>
      </c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7"/>
      <c r="AW616" s="48" t="s">
        <v>65</v>
      </c>
      <c r="AX616" s="51" t="s">
        <v>82</v>
      </c>
    </row>
    <row r="617" spans="1:50" ht="22.5" customHeight="1">
      <c r="A617" s="52" t="s">
        <v>70</v>
      </c>
      <c r="B617" s="41" t="s">
        <v>62</v>
      </c>
      <c r="C617" s="42">
        <v>4014757</v>
      </c>
      <c r="D617" s="44" t="s">
        <v>842</v>
      </c>
      <c r="E617" s="44" t="s">
        <v>843</v>
      </c>
      <c r="F617" s="45">
        <v>6999</v>
      </c>
      <c r="G617" s="45">
        <v>1899</v>
      </c>
      <c r="H617" s="45">
        <v>3499</v>
      </c>
      <c r="I617" s="45">
        <v>3499</v>
      </c>
      <c r="J617" s="45">
        <v>1199</v>
      </c>
      <c r="K617" s="45">
        <v>1199</v>
      </c>
      <c r="L617" s="45">
        <v>1199</v>
      </c>
      <c r="M617" s="45">
        <v>1199</v>
      </c>
      <c r="N617" s="45">
        <v>1199</v>
      </c>
      <c r="O617" s="45">
        <v>1199</v>
      </c>
      <c r="P617" s="46">
        <v>1199</v>
      </c>
      <c r="Q617" s="46">
        <v>1099</v>
      </c>
      <c r="R617" s="45">
        <v>1199</v>
      </c>
      <c r="S617" s="45">
        <v>1199</v>
      </c>
      <c r="T617" s="45">
        <v>1099</v>
      </c>
      <c r="U617" s="45">
        <v>1099</v>
      </c>
      <c r="V617" s="45">
        <v>1099</v>
      </c>
      <c r="W617" s="45">
        <v>1099</v>
      </c>
      <c r="X617" s="45">
        <v>1099</v>
      </c>
      <c r="Y617" s="45">
        <v>1099</v>
      </c>
      <c r="Z617" s="45">
        <v>1099</v>
      </c>
      <c r="AA617" s="45">
        <v>1099</v>
      </c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7"/>
      <c r="AW617" s="48" t="s">
        <v>65</v>
      </c>
      <c r="AX617" s="51" t="s">
        <v>82</v>
      </c>
    </row>
    <row r="618" spans="1:50" ht="22.5" customHeight="1">
      <c r="A618" s="52" t="s">
        <v>70</v>
      </c>
      <c r="B618" s="41" t="s">
        <v>62</v>
      </c>
      <c r="C618" s="42">
        <v>4014745</v>
      </c>
      <c r="D618" s="44" t="s">
        <v>842</v>
      </c>
      <c r="E618" s="44" t="s">
        <v>844</v>
      </c>
      <c r="F618" s="45">
        <v>6999</v>
      </c>
      <c r="G618" s="45">
        <v>1899</v>
      </c>
      <c r="H618" s="45">
        <v>3499</v>
      </c>
      <c r="I618" s="45">
        <v>3499</v>
      </c>
      <c r="J618" s="45">
        <v>1199</v>
      </c>
      <c r="K618" s="45">
        <v>1199</v>
      </c>
      <c r="L618" s="45">
        <v>1199</v>
      </c>
      <c r="M618" s="45">
        <v>1199</v>
      </c>
      <c r="N618" s="45">
        <v>1199</v>
      </c>
      <c r="O618" s="45">
        <v>1199</v>
      </c>
      <c r="P618" s="46">
        <v>1199</v>
      </c>
      <c r="Q618" s="46">
        <v>1099</v>
      </c>
      <c r="R618" s="45">
        <v>1199</v>
      </c>
      <c r="S618" s="45">
        <v>1199</v>
      </c>
      <c r="T618" s="45">
        <v>1099</v>
      </c>
      <c r="U618" s="45">
        <v>1099</v>
      </c>
      <c r="V618" s="45">
        <v>1099</v>
      </c>
      <c r="W618" s="45">
        <v>1099</v>
      </c>
      <c r="X618" s="45">
        <v>1099</v>
      </c>
      <c r="Y618" s="45">
        <v>1099</v>
      </c>
      <c r="Z618" s="45">
        <v>1099</v>
      </c>
      <c r="AA618" s="45">
        <v>1099</v>
      </c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7"/>
      <c r="AW618" s="48" t="s">
        <v>65</v>
      </c>
      <c r="AX618" s="51" t="s">
        <v>82</v>
      </c>
    </row>
    <row r="619" spans="1:50" ht="22.5" customHeight="1">
      <c r="A619" s="52" t="s">
        <v>70</v>
      </c>
      <c r="B619" s="41" t="s">
        <v>62</v>
      </c>
      <c r="C619" s="42">
        <v>4014707</v>
      </c>
      <c r="D619" s="44" t="s">
        <v>842</v>
      </c>
      <c r="E619" s="44" t="s">
        <v>845</v>
      </c>
      <c r="F619" s="45">
        <v>6999</v>
      </c>
      <c r="G619" s="45">
        <v>1899</v>
      </c>
      <c r="H619" s="45">
        <v>3499</v>
      </c>
      <c r="I619" s="45">
        <v>3499</v>
      </c>
      <c r="J619" s="45">
        <v>1199</v>
      </c>
      <c r="K619" s="45">
        <v>1199</v>
      </c>
      <c r="L619" s="45">
        <v>1199</v>
      </c>
      <c r="M619" s="45">
        <v>1199</v>
      </c>
      <c r="N619" s="45">
        <v>1199</v>
      </c>
      <c r="O619" s="45">
        <v>1199</v>
      </c>
      <c r="P619" s="46">
        <v>1199</v>
      </c>
      <c r="Q619" s="46">
        <v>1099</v>
      </c>
      <c r="R619" s="45">
        <v>1199</v>
      </c>
      <c r="S619" s="45">
        <v>1199</v>
      </c>
      <c r="T619" s="45">
        <v>1099</v>
      </c>
      <c r="U619" s="45">
        <v>1099</v>
      </c>
      <c r="V619" s="45">
        <v>1099</v>
      </c>
      <c r="W619" s="45">
        <v>1099</v>
      </c>
      <c r="X619" s="45">
        <v>1099</v>
      </c>
      <c r="Y619" s="45">
        <v>1099</v>
      </c>
      <c r="Z619" s="45">
        <v>1099</v>
      </c>
      <c r="AA619" s="45">
        <v>1099</v>
      </c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7"/>
      <c r="AW619" s="48" t="s">
        <v>65</v>
      </c>
      <c r="AX619" s="51" t="s">
        <v>82</v>
      </c>
    </row>
    <row r="620" spans="1:50" ht="22.5" customHeight="1">
      <c r="A620" s="52" t="s">
        <v>70</v>
      </c>
      <c r="B620" s="41" t="s">
        <v>62</v>
      </c>
      <c r="C620" s="42">
        <v>4014753</v>
      </c>
      <c r="D620" s="44" t="s">
        <v>842</v>
      </c>
      <c r="E620" s="44" t="s">
        <v>846</v>
      </c>
      <c r="F620" s="45">
        <v>6999</v>
      </c>
      <c r="G620" s="45">
        <v>1899</v>
      </c>
      <c r="H620" s="45">
        <v>3499</v>
      </c>
      <c r="I620" s="45">
        <v>3499</v>
      </c>
      <c r="J620" s="45">
        <v>1199</v>
      </c>
      <c r="K620" s="45">
        <v>1199</v>
      </c>
      <c r="L620" s="45">
        <v>1199</v>
      </c>
      <c r="M620" s="45">
        <v>1199</v>
      </c>
      <c r="N620" s="45">
        <v>1199</v>
      </c>
      <c r="O620" s="45">
        <v>1199</v>
      </c>
      <c r="P620" s="46">
        <v>1199</v>
      </c>
      <c r="Q620" s="46">
        <v>1099</v>
      </c>
      <c r="R620" s="45">
        <v>1199</v>
      </c>
      <c r="S620" s="45">
        <v>1199</v>
      </c>
      <c r="T620" s="45">
        <v>1099</v>
      </c>
      <c r="U620" s="45">
        <v>1099</v>
      </c>
      <c r="V620" s="45">
        <v>1099</v>
      </c>
      <c r="W620" s="45">
        <v>1099</v>
      </c>
      <c r="X620" s="45">
        <v>1099</v>
      </c>
      <c r="Y620" s="45">
        <v>1099</v>
      </c>
      <c r="Z620" s="45">
        <v>1099</v>
      </c>
      <c r="AA620" s="45">
        <v>1099</v>
      </c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7"/>
      <c r="AW620" s="48" t="s">
        <v>65</v>
      </c>
      <c r="AX620" s="51" t="s">
        <v>82</v>
      </c>
    </row>
    <row r="621" spans="1:50" ht="22.5" customHeight="1">
      <c r="A621" s="52" t="s">
        <v>70</v>
      </c>
      <c r="B621" s="41" t="s">
        <v>62</v>
      </c>
      <c r="C621" s="42">
        <v>4014734</v>
      </c>
      <c r="D621" s="44" t="s">
        <v>842</v>
      </c>
      <c r="E621" s="44" t="s">
        <v>847</v>
      </c>
      <c r="F621" s="45">
        <v>6999</v>
      </c>
      <c r="G621" s="45">
        <v>1899</v>
      </c>
      <c r="H621" s="45">
        <v>3499</v>
      </c>
      <c r="I621" s="45">
        <v>3499</v>
      </c>
      <c r="J621" s="45">
        <v>1199</v>
      </c>
      <c r="K621" s="45">
        <v>1199</v>
      </c>
      <c r="L621" s="45">
        <v>1199</v>
      </c>
      <c r="M621" s="45">
        <v>1199</v>
      </c>
      <c r="N621" s="45">
        <v>1199</v>
      </c>
      <c r="O621" s="45">
        <v>1199</v>
      </c>
      <c r="P621" s="46">
        <v>1199</v>
      </c>
      <c r="Q621" s="46">
        <v>1099</v>
      </c>
      <c r="R621" s="45">
        <v>1199</v>
      </c>
      <c r="S621" s="45">
        <v>1199</v>
      </c>
      <c r="T621" s="45">
        <v>1099</v>
      </c>
      <c r="U621" s="45">
        <v>1099</v>
      </c>
      <c r="V621" s="45">
        <v>1099</v>
      </c>
      <c r="W621" s="45">
        <v>1099</v>
      </c>
      <c r="X621" s="45">
        <v>1099</v>
      </c>
      <c r="Y621" s="45">
        <v>1099</v>
      </c>
      <c r="Z621" s="45">
        <v>1099</v>
      </c>
      <c r="AA621" s="45">
        <v>1099</v>
      </c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7"/>
      <c r="AW621" s="48" t="s">
        <v>65</v>
      </c>
      <c r="AX621" s="51" t="s">
        <v>82</v>
      </c>
    </row>
    <row r="622" spans="1:50" ht="22.5" customHeight="1">
      <c r="A622" s="52" t="s">
        <v>70</v>
      </c>
      <c r="B622" s="41" t="s">
        <v>62</v>
      </c>
      <c r="C622" s="42">
        <v>4014749</v>
      </c>
      <c r="D622" s="44" t="s">
        <v>842</v>
      </c>
      <c r="E622" s="44" t="s">
        <v>848</v>
      </c>
      <c r="F622" s="45">
        <v>6999</v>
      </c>
      <c r="G622" s="45">
        <v>1899</v>
      </c>
      <c r="H622" s="45">
        <v>3499</v>
      </c>
      <c r="I622" s="45">
        <v>3499</v>
      </c>
      <c r="J622" s="45">
        <v>1199</v>
      </c>
      <c r="K622" s="45">
        <v>1199</v>
      </c>
      <c r="L622" s="45">
        <v>1199</v>
      </c>
      <c r="M622" s="45">
        <v>1199</v>
      </c>
      <c r="N622" s="45">
        <v>1199</v>
      </c>
      <c r="O622" s="45">
        <v>1199</v>
      </c>
      <c r="P622" s="46">
        <v>1199</v>
      </c>
      <c r="Q622" s="46">
        <v>1099</v>
      </c>
      <c r="R622" s="45">
        <v>1199</v>
      </c>
      <c r="S622" s="45">
        <v>1199</v>
      </c>
      <c r="T622" s="45">
        <v>1099</v>
      </c>
      <c r="U622" s="45">
        <v>1099</v>
      </c>
      <c r="V622" s="45">
        <v>1099</v>
      </c>
      <c r="W622" s="45">
        <v>1099</v>
      </c>
      <c r="X622" s="45">
        <v>1099</v>
      </c>
      <c r="Y622" s="45">
        <v>1099</v>
      </c>
      <c r="Z622" s="45">
        <v>1099</v>
      </c>
      <c r="AA622" s="45">
        <v>1099</v>
      </c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7"/>
      <c r="AW622" s="48" t="s">
        <v>65</v>
      </c>
      <c r="AX622" s="51" t="s">
        <v>82</v>
      </c>
    </row>
    <row r="623" spans="1:50" ht="22.5" customHeight="1">
      <c r="A623" s="52" t="s">
        <v>70</v>
      </c>
      <c r="B623" s="41" t="s">
        <v>62</v>
      </c>
      <c r="C623" s="42">
        <v>4014731</v>
      </c>
      <c r="D623" s="44" t="s">
        <v>842</v>
      </c>
      <c r="E623" s="44" t="s">
        <v>849</v>
      </c>
      <c r="F623" s="45">
        <v>6999</v>
      </c>
      <c r="G623" s="45">
        <v>1899</v>
      </c>
      <c r="H623" s="45">
        <v>3499</v>
      </c>
      <c r="I623" s="45">
        <v>3499</v>
      </c>
      <c r="J623" s="45">
        <v>1199</v>
      </c>
      <c r="K623" s="45">
        <v>1199</v>
      </c>
      <c r="L623" s="45">
        <v>1199</v>
      </c>
      <c r="M623" s="45">
        <v>1199</v>
      </c>
      <c r="N623" s="45">
        <v>1199</v>
      </c>
      <c r="O623" s="45">
        <v>1199</v>
      </c>
      <c r="P623" s="46">
        <v>1199</v>
      </c>
      <c r="Q623" s="46">
        <v>1099</v>
      </c>
      <c r="R623" s="45">
        <v>1199</v>
      </c>
      <c r="S623" s="45">
        <v>1199</v>
      </c>
      <c r="T623" s="45">
        <v>1099</v>
      </c>
      <c r="U623" s="45">
        <v>1099</v>
      </c>
      <c r="V623" s="45">
        <v>1099</v>
      </c>
      <c r="W623" s="45">
        <v>1099</v>
      </c>
      <c r="X623" s="45">
        <v>1099</v>
      </c>
      <c r="Y623" s="45">
        <v>1099</v>
      </c>
      <c r="Z623" s="45">
        <v>1099</v>
      </c>
      <c r="AA623" s="45">
        <v>1099</v>
      </c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7"/>
      <c r="AW623" s="48" t="s">
        <v>65</v>
      </c>
      <c r="AX623" s="51" t="s">
        <v>82</v>
      </c>
    </row>
    <row r="624" spans="1:50" ht="22.5" customHeight="1">
      <c r="A624" s="52" t="s">
        <v>70</v>
      </c>
      <c r="B624" s="41" t="s">
        <v>62</v>
      </c>
      <c r="C624" s="42">
        <v>4014768</v>
      </c>
      <c r="D624" s="44" t="s">
        <v>850</v>
      </c>
      <c r="E624" s="44" t="s">
        <v>851</v>
      </c>
      <c r="F624" s="45">
        <v>7499</v>
      </c>
      <c r="G624" s="45">
        <v>2399</v>
      </c>
      <c r="H624" s="45">
        <v>3999</v>
      </c>
      <c r="I624" s="45">
        <v>3999</v>
      </c>
      <c r="J624" s="45">
        <v>1299</v>
      </c>
      <c r="K624" s="45">
        <v>1299</v>
      </c>
      <c r="L624" s="45">
        <v>1299</v>
      </c>
      <c r="M624" s="45">
        <v>1299</v>
      </c>
      <c r="N624" s="45">
        <v>1299</v>
      </c>
      <c r="O624" s="45">
        <v>1299</v>
      </c>
      <c r="P624" s="46">
        <v>1299</v>
      </c>
      <c r="Q624" s="46">
        <v>1199</v>
      </c>
      <c r="R624" s="45">
        <v>1299</v>
      </c>
      <c r="S624" s="45">
        <v>1299</v>
      </c>
      <c r="T624" s="45">
        <v>1199</v>
      </c>
      <c r="U624" s="45">
        <v>1199</v>
      </c>
      <c r="V624" s="45">
        <v>1199</v>
      </c>
      <c r="W624" s="45">
        <v>1199</v>
      </c>
      <c r="X624" s="45">
        <v>1199</v>
      </c>
      <c r="Y624" s="45">
        <v>1199</v>
      </c>
      <c r="Z624" s="45">
        <v>1199</v>
      </c>
      <c r="AA624" s="45">
        <v>1199</v>
      </c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7"/>
      <c r="AW624" s="48" t="s">
        <v>65</v>
      </c>
      <c r="AX624" s="51" t="s">
        <v>82</v>
      </c>
    </row>
    <row r="625" spans="1:50" ht="22.5" customHeight="1">
      <c r="A625" s="52" t="s">
        <v>70</v>
      </c>
      <c r="B625" s="41" t="s">
        <v>62</v>
      </c>
      <c r="C625" s="42">
        <v>4014756</v>
      </c>
      <c r="D625" s="44" t="s">
        <v>850</v>
      </c>
      <c r="E625" s="44" t="s">
        <v>852</v>
      </c>
      <c r="F625" s="45">
        <v>7499</v>
      </c>
      <c r="G625" s="45">
        <v>2399</v>
      </c>
      <c r="H625" s="45">
        <v>3999</v>
      </c>
      <c r="I625" s="45">
        <v>3999</v>
      </c>
      <c r="J625" s="45">
        <v>1299</v>
      </c>
      <c r="K625" s="45">
        <v>1299</v>
      </c>
      <c r="L625" s="45">
        <v>1299</v>
      </c>
      <c r="M625" s="45">
        <v>1299</v>
      </c>
      <c r="N625" s="45">
        <v>1299</v>
      </c>
      <c r="O625" s="45">
        <v>1299</v>
      </c>
      <c r="P625" s="46">
        <v>1299</v>
      </c>
      <c r="Q625" s="46">
        <v>1199</v>
      </c>
      <c r="R625" s="45">
        <v>1299</v>
      </c>
      <c r="S625" s="45">
        <v>1299</v>
      </c>
      <c r="T625" s="45">
        <v>1199</v>
      </c>
      <c r="U625" s="45">
        <v>1199</v>
      </c>
      <c r="V625" s="45">
        <v>1199</v>
      </c>
      <c r="W625" s="45">
        <v>1199</v>
      </c>
      <c r="X625" s="45">
        <v>1199</v>
      </c>
      <c r="Y625" s="45">
        <v>1199</v>
      </c>
      <c r="Z625" s="45">
        <v>1199</v>
      </c>
      <c r="AA625" s="45">
        <v>1199</v>
      </c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7"/>
      <c r="AW625" s="48" t="s">
        <v>65</v>
      </c>
      <c r="AX625" s="51" t="s">
        <v>82</v>
      </c>
    </row>
    <row r="626" spans="1:50" ht="22.5" customHeight="1">
      <c r="A626" s="52" t="s">
        <v>70</v>
      </c>
      <c r="B626" s="41" t="s">
        <v>62</v>
      </c>
      <c r="C626" s="42">
        <v>4014759</v>
      </c>
      <c r="D626" s="44" t="s">
        <v>850</v>
      </c>
      <c r="E626" s="44" t="s">
        <v>853</v>
      </c>
      <c r="F626" s="45">
        <v>7499</v>
      </c>
      <c r="G626" s="45">
        <v>2399</v>
      </c>
      <c r="H626" s="45">
        <v>3999</v>
      </c>
      <c r="I626" s="45">
        <v>3999</v>
      </c>
      <c r="J626" s="45">
        <v>1299</v>
      </c>
      <c r="K626" s="45">
        <v>1299</v>
      </c>
      <c r="L626" s="45">
        <v>1299</v>
      </c>
      <c r="M626" s="45">
        <v>1299</v>
      </c>
      <c r="N626" s="45">
        <v>1299</v>
      </c>
      <c r="O626" s="45">
        <v>1299</v>
      </c>
      <c r="P626" s="46">
        <v>1299</v>
      </c>
      <c r="Q626" s="46">
        <v>1199</v>
      </c>
      <c r="R626" s="45">
        <v>1299</v>
      </c>
      <c r="S626" s="45">
        <v>1299</v>
      </c>
      <c r="T626" s="45">
        <v>1199</v>
      </c>
      <c r="U626" s="45">
        <v>1199</v>
      </c>
      <c r="V626" s="45">
        <v>1199</v>
      </c>
      <c r="W626" s="45">
        <v>1199</v>
      </c>
      <c r="X626" s="45">
        <v>1199</v>
      </c>
      <c r="Y626" s="45">
        <v>1199</v>
      </c>
      <c r="Z626" s="45">
        <v>1199</v>
      </c>
      <c r="AA626" s="45">
        <v>1199</v>
      </c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7"/>
      <c r="AW626" s="48" t="s">
        <v>65</v>
      </c>
      <c r="AX626" s="51" t="s">
        <v>82</v>
      </c>
    </row>
    <row r="627" spans="1:50" ht="22.5" customHeight="1">
      <c r="A627" s="52" t="s">
        <v>70</v>
      </c>
      <c r="B627" s="41" t="s">
        <v>62</v>
      </c>
      <c r="C627" s="42">
        <v>4014743</v>
      </c>
      <c r="D627" s="44" t="s">
        <v>850</v>
      </c>
      <c r="E627" s="44" t="s">
        <v>854</v>
      </c>
      <c r="F627" s="45">
        <v>7499</v>
      </c>
      <c r="G627" s="45">
        <v>2399</v>
      </c>
      <c r="H627" s="45">
        <v>3999</v>
      </c>
      <c r="I627" s="45">
        <v>3999</v>
      </c>
      <c r="J627" s="45">
        <v>1299</v>
      </c>
      <c r="K627" s="45">
        <v>1299</v>
      </c>
      <c r="L627" s="45">
        <v>1299</v>
      </c>
      <c r="M627" s="45">
        <v>1299</v>
      </c>
      <c r="N627" s="45">
        <v>1299</v>
      </c>
      <c r="O627" s="45">
        <v>1299</v>
      </c>
      <c r="P627" s="46">
        <v>1299</v>
      </c>
      <c r="Q627" s="46">
        <v>1199</v>
      </c>
      <c r="R627" s="45">
        <v>1299</v>
      </c>
      <c r="S627" s="45">
        <v>1299</v>
      </c>
      <c r="T627" s="45">
        <v>1199</v>
      </c>
      <c r="U627" s="45">
        <v>1199</v>
      </c>
      <c r="V627" s="45">
        <v>1199</v>
      </c>
      <c r="W627" s="45">
        <v>1199</v>
      </c>
      <c r="X627" s="45">
        <v>1199</v>
      </c>
      <c r="Y627" s="45">
        <v>1199</v>
      </c>
      <c r="Z627" s="45">
        <v>1199</v>
      </c>
      <c r="AA627" s="45">
        <v>1199</v>
      </c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7"/>
      <c r="AW627" s="48" t="s">
        <v>65</v>
      </c>
      <c r="AX627" s="51" t="s">
        <v>82</v>
      </c>
    </row>
    <row r="628" spans="1:50" ht="22.5" customHeight="1">
      <c r="A628" s="52" t="s">
        <v>70</v>
      </c>
      <c r="B628" s="41" t="s">
        <v>62</v>
      </c>
      <c r="C628" s="42">
        <v>4014765</v>
      </c>
      <c r="D628" s="44" t="s">
        <v>850</v>
      </c>
      <c r="E628" s="44" t="s">
        <v>855</v>
      </c>
      <c r="F628" s="45">
        <v>7499</v>
      </c>
      <c r="G628" s="45">
        <v>2399</v>
      </c>
      <c r="H628" s="45">
        <v>3999</v>
      </c>
      <c r="I628" s="45">
        <v>3999</v>
      </c>
      <c r="J628" s="45">
        <v>1299</v>
      </c>
      <c r="K628" s="45">
        <v>1299</v>
      </c>
      <c r="L628" s="45">
        <v>1299</v>
      </c>
      <c r="M628" s="45">
        <v>1299</v>
      </c>
      <c r="N628" s="45">
        <v>1299</v>
      </c>
      <c r="O628" s="45">
        <v>1299</v>
      </c>
      <c r="P628" s="46">
        <v>1299</v>
      </c>
      <c r="Q628" s="46">
        <v>1199</v>
      </c>
      <c r="R628" s="45">
        <v>1299</v>
      </c>
      <c r="S628" s="45">
        <v>1299</v>
      </c>
      <c r="T628" s="45">
        <v>1199</v>
      </c>
      <c r="U628" s="45">
        <v>1199</v>
      </c>
      <c r="V628" s="45">
        <v>1199</v>
      </c>
      <c r="W628" s="45">
        <v>1199</v>
      </c>
      <c r="X628" s="45">
        <v>1199</v>
      </c>
      <c r="Y628" s="45">
        <v>1199</v>
      </c>
      <c r="Z628" s="45">
        <v>1199</v>
      </c>
      <c r="AA628" s="45">
        <v>1199</v>
      </c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7"/>
      <c r="AW628" s="48" t="s">
        <v>65</v>
      </c>
      <c r="AX628" s="51" t="s">
        <v>82</v>
      </c>
    </row>
    <row r="629" spans="1:50" ht="22.5" customHeight="1">
      <c r="A629" s="52" t="s">
        <v>70</v>
      </c>
      <c r="B629" s="41" t="s">
        <v>62</v>
      </c>
      <c r="C629" s="42">
        <v>4014751</v>
      </c>
      <c r="D629" s="44" t="s">
        <v>850</v>
      </c>
      <c r="E629" s="44" t="s">
        <v>856</v>
      </c>
      <c r="F629" s="45">
        <v>7499</v>
      </c>
      <c r="G629" s="45">
        <v>2399</v>
      </c>
      <c r="H629" s="45">
        <v>3999</v>
      </c>
      <c r="I629" s="45">
        <v>3999</v>
      </c>
      <c r="J629" s="45">
        <v>1299</v>
      </c>
      <c r="K629" s="45">
        <v>1299</v>
      </c>
      <c r="L629" s="45">
        <v>1299</v>
      </c>
      <c r="M629" s="45">
        <v>1299</v>
      </c>
      <c r="N629" s="45">
        <v>1299</v>
      </c>
      <c r="O629" s="45">
        <v>1299</v>
      </c>
      <c r="P629" s="46">
        <v>1299</v>
      </c>
      <c r="Q629" s="46">
        <v>1199</v>
      </c>
      <c r="R629" s="45">
        <v>1299</v>
      </c>
      <c r="S629" s="45">
        <v>1299</v>
      </c>
      <c r="T629" s="45">
        <v>1199</v>
      </c>
      <c r="U629" s="45">
        <v>1199</v>
      </c>
      <c r="V629" s="45">
        <v>1199</v>
      </c>
      <c r="W629" s="45">
        <v>1199</v>
      </c>
      <c r="X629" s="45">
        <v>1199</v>
      </c>
      <c r="Y629" s="45">
        <v>1199</v>
      </c>
      <c r="Z629" s="45">
        <v>1199</v>
      </c>
      <c r="AA629" s="45">
        <v>1199</v>
      </c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7"/>
      <c r="AW629" s="48" t="s">
        <v>65</v>
      </c>
      <c r="AX629" s="51" t="s">
        <v>82</v>
      </c>
    </row>
    <row r="630" spans="1:50" ht="22.5" customHeight="1">
      <c r="A630" s="52" t="s">
        <v>70</v>
      </c>
      <c r="B630" s="41" t="s">
        <v>62</v>
      </c>
      <c r="C630" s="42">
        <v>4014762</v>
      </c>
      <c r="D630" s="44" t="s">
        <v>850</v>
      </c>
      <c r="E630" s="44" t="s">
        <v>857</v>
      </c>
      <c r="F630" s="45">
        <v>7499</v>
      </c>
      <c r="G630" s="45">
        <v>2399</v>
      </c>
      <c r="H630" s="45">
        <v>3999</v>
      </c>
      <c r="I630" s="45">
        <v>3999</v>
      </c>
      <c r="J630" s="45">
        <v>1299</v>
      </c>
      <c r="K630" s="45">
        <v>1299</v>
      </c>
      <c r="L630" s="45">
        <v>1299</v>
      </c>
      <c r="M630" s="45">
        <v>1299</v>
      </c>
      <c r="N630" s="45">
        <v>1299</v>
      </c>
      <c r="O630" s="45">
        <v>1299</v>
      </c>
      <c r="P630" s="46">
        <v>1299</v>
      </c>
      <c r="Q630" s="46">
        <v>1199</v>
      </c>
      <c r="R630" s="45">
        <v>1299</v>
      </c>
      <c r="S630" s="45">
        <v>1299</v>
      </c>
      <c r="T630" s="45">
        <v>1199</v>
      </c>
      <c r="U630" s="45">
        <v>1199</v>
      </c>
      <c r="V630" s="45">
        <v>1199</v>
      </c>
      <c r="W630" s="45">
        <v>1199</v>
      </c>
      <c r="X630" s="45">
        <v>1199</v>
      </c>
      <c r="Y630" s="45">
        <v>1199</v>
      </c>
      <c r="Z630" s="45">
        <v>1199</v>
      </c>
      <c r="AA630" s="45">
        <v>1199</v>
      </c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7"/>
      <c r="AW630" s="48" t="s">
        <v>65</v>
      </c>
      <c r="AX630" s="51" t="s">
        <v>82</v>
      </c>
    </row>
    <row r="631" spans="1:50" ht="22.5" customHeight="1">
      <c r="A631" s="52" t="s">
        <v>70</v>
      </c>
      <c r="B631" s="41" t="s">
        <v>62</v>
      </c>
      <c r="C631" s="42">
        <v>4014747</v>
      </c>
      <c r="D631" s="44" t="s">
        <v>850</v>
      </c>
      <c r="E631" s="44" t="s">
        <v>858</v>
      </c>
      <c r="F631" s="45">
        <v>7499</v>
      </c>
      <c r="G631" s="45">
        <v>2399</v>
      </c>
      <c r="H631" s="45">
        <v>3999</v>
      </c>
      <c r="I631" s="45">
        <v>3999</v>
      </c>
      <c r="J631" s="45">
        <v>1299</v>
      </c>
      <c r="K631" s="45">
        <v>1299</v>
      </c>
      <c r="L631" s="45">
        <v>1299</v>
      </c>
      <c r="M631" s="45">
        <v>1299</v>
      </c>
      <c r="N631" s="45">
        <v>1299</v>
      </c>
      <c r="O631" s="45">
        <v>1299</v>
      </c>
      <c r="P631" s="46">
        <v>1299</v>
      </c>
      <c r="Q631" s="46">
        <v>1199</v>
      </c>
      <c r="R631" s="45">
        <v>1299</v>
      </c>
      <c r="S631" s="45">
        <v>1299</v>
      </c>
      <c r="T631" s="45">
        <v>1199</v>
      </c>
      <c r="U631" s="45">
        <v>1199</v>
      </c>
      <c r="V631" s="45">
        <v>1199</v>
      </c>
      <c r="W631" s="45">
        <v>1199</v>
      </c>
      <c r="X631" s="45">
        <v>1199</v>
      </c>
      <c r="Y631" s="45">
        <v>1199</v>
      </c>
      <c r="Z631" s="45">
        <v>1199</v>
      </c>
      <c r="AA631" s="45">
        <v>1199</v>
      </c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7"/>
      <c r="AW631" s="48" t="s">
        <v>65</v>
      </c>
      <c r="AX631" s="51" t="s">
        <v>82</v>
      </c>
    </row>
    <row r="632" spans="1:50" ht="22.5" customHeight="1">
      <c r="A632" s="52" t="s">
        <v>70</v>
      </c>
      <c r="B632" s="41" t="s">
        <v>62</v>
      </c>
      <c r="C632" s="42">
        <v>4015288</v>
      </c>
      <c r="D632" s="44" t="s">
        <v>859</v>
      </c>
      <c r="E632" s="44" t="s">
        <v>860</v>
      </c>
      <c r="F632" s="45">
        <v>5499</v>
      </c>
      <c r="G632" s="45">
        <v>2399</v>
      </c>
      <c r="H632" s="45">
        <v>3899</v>
      </c>
      <c r="I632" s="45">
        <v>3899</v>
      </c>
      <c r="J632" s="45">
        <v>2899</v>
      </c>
      <c r="K632" s="45">
        <v>2799</v>
      </c>
      <c r="L632" s="45">
        <v>2799</v>
      </c>
      <c r="M632" s="45">
        <v>2899</v>
      </c>
      <c r="N632" s="45">
        <v>2899</v>
      </c>
      <c r="O632" s="45">
        <v>2599</v>
      </c>
      <c r="P632" s="46">
        <v>2399</v>
      </c>
      <c r="Q632" s="46">
        <v>1599</v>
      </c>
      <c r="R632" s="45">
        <v>2599</v>
      </c>
      <c r="S632" s="45">
        <v>2399</v>
      </c>
      <c r="T632" s="45">
        <v>1599</v>
      </c>
      <c r="U632" s="45">
        <v>1599</v>
      </c>
      <c r="V632" s="45">
        <v>1599</v>
      </c>
      <c r="W632" s="45">
        <v>1599</v>
      </c>
      <c r="X632" s="45">
        <v>1499</v>
      </c>
      <c r="Y632" s="45">
        <v>1299</v>
      </c>
      <c r="Z632" s="45">
        <v>1299</v>
      </c>
      <c r="AA632" s="45">
        <v>1299</v>
      </c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7"/>
      <c r="AW632" s="48" t="s">
        <v>65</v>
      </c>
      <c r="AX632" s="51" t="s">
        <v>82</v>
      </c>
    </row>
    <row r="633" spans="1:50" ht="22.5" customHeight="1">
      <c r="A633" s="52" t="s">
        <v>70</v>
      </c>
      <c r="B633" s="41" t="s">
        <v>62</v>
      </c>
      <c r="C633" s="42">
        <v>4015319</v>
      </c>
      <c r="D633" s="44" t="s">
        <v>859</v>
      </c>
      <c r="E633" s="44" t="s">
        <v>861</v>
      </c>
      <c r="F633" s="45">
        <v>5499</v>
      </c>
      <c r="G633" s="45">
        <v>2399</v>
      </c>
      <c r="H633" s="45">
        <v>3899</v>
      </c>
      <c r="I633" s="45">
        <v>3899</v>
      </c>
      <c r="J633" s="45">
        <v>2899</v>
      </c>
      <c r="K633" s="45">
        <v>2799</v>
      </c>
      <c r="L633" s="45">
        <v>2799</v>
      </c>
      <c r="M633" s="45">
        <v>2899</v>
      </c>
      <c r="N633" s="45">
        <v>2899</v>
      </c>
      <c r="O633" s="45">
        <v>2599</v>
      </c>
      <c r="P633" s="46">
        <v>2399</v>
      </c>
      <c r="Q633" s="46">
        <v>1599</v>
      </c>
      <c r="R633" s="45">
        <v>2599</v>
      </c>
      <c r="S633" s="45">
        <v>2399</v>
      </c>
      <c r="T633" s="45">
        <v>1599</v>
      </c>
      <c r="U633" s="45">
        <v>1599</v>
      </c>
      <c r="V633" s="45">
        <v>1599</v>
      </c>
      <c r="W633" s="45">
        <v>1599</v>
      </c>
      <c r="X633" s="45">
        <v>1499</v>
      </c>
      <c r="Y633" s="45">
        <v>1299</v>
      </c>
      <c r="Z633" s="45">
        <v>1299</v>
      </c>
      <c r="AA633" s="45">
        <v>1299</v>
      </c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7"/>
      <c r="AW633" s="48" t="s">
        <v>65</v>
      </c>
      <c r="AX633" s="51" t="s">
        <v>82</v>
      </c>
    </row>
    <row r="634" spans="1:50" ht="22.5" customHeight="1">
      <c r="A634" s="52" t="s">
        <v>70</v>
      </c>
      <c r="B634" s="41" t="s">
        <v>62</v>
      </c>
      <c r="C634" s="42">
        <v>4015280</v>
      </c>
      <c r="D634" s="44" t="s">
        <v>859</v>
      </c>
      <c r="E634" s="44" t="s">
        <v>862</v>
      </c>
      <c r="F634" s="45">
        <v>5499</v>
      </c>
      <c r="G634" s="45">
        <v>2399</v>
      </c>
      <c r="H634" s="45">
        <v>3899</v>
      </c>
      <c r="I634" s="45">
        <v>3899</v>
      </c>
      <c r="J634" s="45">
        <v>2899</v>
      </c>
      <c r="K634" s="45">
        <v>2799</v>
      </c>
      <c r="L634" s="45">
        <v>2799</v>
      </c>
      <c r="M634" s="45">
        <v>2899</v>
      </c>
      <c r="N634" s="45">
        <v>2899</v>
      </c>
      <c r="O634" s="45">
        <v>2599</v>
      </c>
      <c r="P634" s="46">
        <v>2399</v>
      </c>
      <c r="Q634" s="46">
        <v>1599</v>
      </c>
      <c r="R634" s="45">
        <v>2599</v>
      </c>
      <c r="S634" s="45">
        <v>2399</v>
      </c>
      <c r="T634" s="45">
        <v>1599</v>
      </c>
      <c r="U634" s="45">
        <v>1599</v>
      </c>
      <c r="V634" s="45">
        <v>1599</v>
      </c>
      <c r="W634" s="45">
        <v>1599</v>
      </c>
      <c r="X634" s="45">
        <v>1499</v>
      </c>
      <c r="Y634" s="45">
        <v>1299</v>
      </c>
      <c r="Z634" s="45">
        <v>1299</v>
      </c>
      <c r="AA634" s="45">
        <v>1299</v>
      </c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7"/>
      <c r="AW634" s="48" t="s">
        <v>65</v>
      </c>
      <c r="AX634" s="51" t="s">
        <v>82</v>
      </c>
    </row>
    <row r="635" spans="1:50" ht="22.5" customHeight="1">
      <c r="A635" s="52" t="s">
        <v>70</v>
      </c>
      <c r="B635" s="41" t="s">
        <v>62</v>
      </c>
      <c r="C635" s="42">
        <v>4015312</v>
      </c>
      <c r="D635" s="44" t="s">
        <v>859</v>
      </c>
      <c r="E635" s="44" t="s">
        <v>863</v>
      </c>
      <c r="F635" s="45">
        <v>5499</v>
      </c>
      <c r="G635" s="45">
        <v>2399</v>
      </c>
      <c r="H635" s="45">
        <v>3899</v>
      </c>
      <c r="I635" s="45">
        <v>3899</v>
      </c>
      <c r="J635" s="45">
        <v>2899</v>
      </c>
      <c r="K635" s="45">
        <v>2799</v>
      </c>
      <c r="L635" s="45">
        <v>2799</v>
      </c>
      <c r="M635" s="45">
        <v>2899</v>
      </c>
      <c r="N635" s="45">
        <v>2899</v>
      </c>
      <c r="O635" s="45">
        <v>2599</v>
      </c>
      <c r="P635" s="46">
        <v>2399</v>
      </c>
      <c r="Q635" s="46">
        <v>1599</v>
      </c>
      <c r="R635" s="45">
        <v>2599</v>
      </c>
      <c r="S635" s="45">
        <v>2399</v>
      </c>
      <c r="T635" s="45">
        <v>1599</v>
      </c>
      <c r="U635" s="45">
        <v>1599</v>
      </c>
      <c r="V635" s="45">
        <v>1599</v>
      </c>
      <c r="W635" s="45">
        <v>1599</v>
      </c>
      <c r="X635" s="45">
        <v>1499</v>
      </c>
      <c r="Y635" s="45">
        <v>1299</v>
      </c>
      <c r="Z635" s="45">
        <v>1299</v>
      </c>
      <c r="AA635" s="45">
        <v>1299</v>
      </c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7"/>
      <c r="AW635" s="48" t="s">
        <v>65</v>
      </c>
      <c r="AX635" s="51" t="s">
        <v>82</v>
      </c>
    </row>
    <row r="636" spans="1:50" ht="22.5" customHeight="1">
      <c r="A636" s="52" t="s">
        <v>70</v>
      </c>
      <c r="B636" s="41" t="s">
        <v>62</v>
      </c>
      <c r="C636" s="42">
        <v>4015296</v>
      </c>
      <c r="D636" s="44" t="s">
        <v>859</v>
      </c>
      <c r="E636" s="44" t="s">
        <v>864</v>
      </c>
      <c r="F636" s="45">
        <v>5499</v>
      </c>
      <c r="G636" s="45">
        <v>2399</v>
      </c>
      <c r="H636" s="45">
        <v>3899</v>
      </c>
      <c r="I636" s="45">
        <v>3899</v>
      </c>
      <c r="J636" s="45">
        <v>2899</v>
      </c>
      <c r="K636" s="45">
        <v>2799</v>
      </c>
      <c r="L636" s="45">
        <v>2799</v>
      </c>
      <c r="M636" s="45">
        <v>2899</v>
      </c>
      <c r="N636" s="45">
        <v>2899</v>
      </c>
      <c r="O636" s="45">
        <v>2599</v>
      </c>
      <c r="P636" s="46">
        <v>2399</v>
      </c>
      <c r="Q636" s="46">
        <v>1599</v>
      </c>
      <c r="R636" s="45">
        <v>2599</v>
      </c>
      <c r="S636" s="45">
        <v>2399</v>
      </c>
      <c r="T636" s="45">
        <v>1599</v>
      </c>
      <c r="U636" s="45">
        <v>1599</v>
      </c>
      <c r="V636" s="45">
        <v>1599</v>
      </c>
      <c r="W636" s="45">
        <v>1599</v>
      </c>
      <c r="X636" s="45">
        <v>1499</v>
      </c>
      <c r="Y636" s="45">
        <v>1299</v>
      </c>
      <c r="Z636" s="45">
        <v>1299</v>
      </c>
      <c r="AA636" s="45">
        <v>1299</v>
      </c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7"/>
      <c r="AW636" s="48" t="s">
        <v>65</v>
      </c>
      <c r="AX636" s="51" t="s">
        <v>82</v>
      </c>
    </row>
    <row r="637" spans="1:50" ht="22.5" customHeight="1">
      <c r="A637" s="52" t="s">
        <v>70</v>
      </c>
      <c r="B637" s="41" t="s">
        <v>62</v>
      </c>
      <c r="C637" s="42">
        <v>4015327</v>
      </c>
      <c r="D637" s="44" t="s">
        <v>859</v>
      </c>
      <c r="E637" s="44" t="s">
        <v>865</v>
      </c>
      <c r="F637" s="45">
        <v>5499</v>
      </c>
      <c r="G637" s="45">
        <v>2399</v>
      </c>
      <c r="H637" s="45">
        <v>3899</v>
      </c>
      <c r="I637" s="45">
        <v>3899</v>
      </c>
      <c r="J637" s="45">
        <v>2899</v>
      </c>
      <c r="K637" s="45">
        <v>2799</v>
      </c>
      <c r="L637" s="45">
        <v>2799</v>
      </c>
      <c r="M637" s="45">
        <v>2899</v>
      </c>
      <c r="N637" s="45">
        <v>2899</v>
      </c>
      <c r="O637" s="45">
        <v>2599</v>
      </c>
      <c r="P637" s="46">
        <v>2399</v>
      </c>
      <c r="Q637" s="46">
        <v>1599</v>
      </c>
      <c r="R637" s="45">
        <v>2599</v>
      </c>
      <c r="S637" s="45">
        <v>2399</v>
      </c>
      <c r="T637" s="45">
        <v>1599</v>
      </c>
      <c r="U637" s="45">
        <v>1599</v>
      </c>
      <c r="V637" s="45">
        <v>1599</v>
      </c>
      <c r="W637" s="45">
        <v>1599</v>
      </c>
      <c r="X637" s="45">
        <v>1499</v>
      </c>
      <c r="Y637" s="45">
        <v>1299</v>
      </c>
      <c r="Z637" s="45">
        <v>1299</v>
      </c>
      <c r="AA637" s="45">
        <v>1299</v>
      </c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7"/>
      <c r="AW637" s="48" t="s">
        <v>65</v>
      </c>
      <c r="AX637" s="51" t="s">
        <v>82</v>
      </c>
    </row>
    <row r="638" spans="1:50" ht="22.5" customHeight="1">
      <c r="A638" s="52" t="s">
        <v>70</v>
      </c>
      <c r="B638" s="41" t="s">
        <v>62</v>
      </c>
      <c r="C638" s="42">
        <v>4015304</v>
      </c>
      <c r="D638" s="44" t="s">
        <v>859</v>
      </c>
      <c r="E638" s="44" t="s">
        <v>866</v>
      </c>
      <c r="F638" s="45">
        <v>5499</v>
      </c>
      <c r="G638" s="45">
        <v>2399</v>
      </c>
      <c r="H638" s="45">
        <v>3899</v>
      </c>
      <c r="I638" s="45">
        <v>3899</v>
      </c>
      <c r="J638" s="45">
        <v>2899</v>
      </c>
      <c r="K638" s="45">
        <v>2799</v>
      </c>
      <c r="L638" s="45">
        <v>2799</v>
      </c>
      <c r="M638" s="45">
        <v>2899</v>
      </c>
      <c r="N638" s="45">
        <v>2899</v>
      </c>
      <c r="O638" s="45">
        <v>2599</v>
      </c>
      <c r="P638" s="46">
        <v>2399</v>
      </c>
      <c r="Q638" s="46">
        <v>1599</v>
      </c>
      <c r="R638" s="45">
        <v>2599</v>
      </c>
      <c r="S638" s="45">
        <v>2399</v>
      </c>
      <c r="T638" s="45">
        <v>1599</v>
      </c>
      <c r="U638" s="45">
        <v>1599</v>
      </c>
      <c r="V638" s="45">
        <v>1599</v>
      </c>
      <c r="W638" s="45">
        <v>1599</v>
      </c>
      <c r="X638" s="45">
        <v>1499</v>
      </c>
      <c r="Y638" s="45">
        <v>1299</v>
      </c>
      <c r="Z638" s="45">
        <v>1299</v>
      </c>
      <c r="AA638" s="45">
        <v>1299</v>
      </c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7"/>
      <c r="AW638" s="48" t="s">
        <v>65</v>
      </c>
      <c r="AX638" s="51" t="s">
        <v>82</v>
      </c>
    </row>
    <row r="639" spans="1:50" ht="22.5" customHeight="1">
      <c r="A639" s="52" t="s">
        <v>70</v>
      </c>
      <c r="B639" s="41" t="s">
        <v>62</v>
      </c>
      <c r="C639" s="42">
        <v>4015335</v>
      </c>
      <c r="D639" s="44" t="s">
        <v>859</v>
      </c>
      <c r="E639" s="44" t="s">
        <v>867</v>
      </c>
      <c r="F639" s="45">
        <v>5499</v>
      </c>
      <c r="G639" s="45">
        <v>2399</v>
      </c>
      <c r="H639" s="45">
        <v>3899</v>
      </c>
      <c r="I639" s="45">
        <v>3899</v>
      </c>
      <c r="J639" s="45">
        <v>2899</v>
      </c>
      <c r="K639" s="45">
        <v>2799</v>
      </c>
      <c r="L639" s="45">
        <v>2799</v>
      </c>
      <c r="M639" s="45">
        <v>2899</v>
      </c>
      <c r="N639" s="45">
        <v>2899</v>
      </c>
      <c r="O639" s="45">
        <v>2599</v>
      </c>
      <c r="P639" s="46">
        <v>2399</v>
      </c>
      <c r="Q639" s="46">
        <v>1599</v>
      </c>
      <c r="R639" s="45">
        <v>2599</v>
      </c>
      <c r="S639" s="45">
        <v>2399</v>
      </c>
      <c r="T639" s="45">
        <v>1599</v>
      </c>
      <c r="U639" s="45">
        <v>1599</v>
      </c>
      <c r="V639" s="45">
        <v>1599</v>
      </c>
      <c r="W639" s="45">
        <v>1599</v>
      </c>
      <c r="X639" s="45">
        <v>1499</v>
      </c>
      <c r="Y639" s="45">
        <v>1299</v>
      </c>
      <c r="Z639" s="45">
        <v>1299</v>
      </c>
      <c r="AA639" s="45">
        <v>1299</v>
      </c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7"/>
      <c r="AW639" s="48" t="s">
        <v>65</v>
      </c>
      <c r="AX639" s="51" t="s">
        <v>82</v>
      </c>
    </row>
    <row r="640" spans="1:50" ht="22.5" customHeight="1">
      <c r="A640" s="52" t="s">
        <v>70</v>
      </c>
      <c r="B640" s="41" t="s">
        <v>62</v>
      </c>
      <c r="C640" s="42">
        <v>4015289</v>
      </c>
      <c r="D640" s="44" t="s">
        <v>868</v>
      </c>
      <c r="E640" s="44" t="s">
        <v>869</v>
      </c>
      <c r="F640" s="45">
        <v>5999</v>
      </c>
      <c r="G640" s="45">
        <v>2899</v>
      </c>
      <c r="H640" s="45">
        <v>4399</v>
      </c>
      <c r="I640" s="45">
        <v>4399</v>
      </c>
      <c r="J640" s="45">
        <v>2999</v>
      </c>
      <c r="K640" s="45">
        <v>2899</v>
      </c>
      <c r="L640" s="45">
        <v>2899</v>
      </c>
      <c r="M640" s="45">
        <v>2999</v>
      </c>
      <c r="N640" s="45">
        <v>2999</v>
      </c>
      <c r="O640" s="45">
        <v>2799</v>
      </c>
      <c r="P640" s="46">
        <v>2599</v>
      </c>
      <c r="Q640" s="46">
        <v>1999</v>
      </c>
      <c r="R640" s="45">
        <v>2799</v>
      </c>
      <c r="S640" s="45">
        <v>2599</v>
      </c>
      <c r="T640" s="45">
        <v>1999</v>
      </c>
      <c r="U640" s="45">
        <v>1999</v>
      </c>
      <c r="V640" s="45">
        <v>1999</v>
      </c>
      <c r="W640" s="45">
        <v>1999</v>
      </c>
      <c r="X640" s="45">
        <v>1899</v>
      </c>
      <c r="Y640" s="45">
        <v>1499</v>
      </c>
      <c r="Z640" s="45">
        <v>1499</v>
      </c>
      <c r="AA640" s="45">
        <v>1499</v>
      </c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7"/>
      <c r="AW640" s="48" t="s">
        <v>65</v>
      </c>
      <c r="AX640" s="51" t="s">
        <v>82</v>
      </c>
    </row>
    <row r="641" spans="1:50" ht="22.5" customHeight="1">
      <c r="A641" s="52" t="s">
        <v>70</v>
      </c>
      <c r="B641" s="41" t="s">
        <v>62</v>
      </c>
      <c r="C641" s="42">
        <v>4015323</v>
      </c>
      <c r="D641" s="44" t="s">
        <v>868</v>
      </c>
      <c r="E641" s="44" t="s">
        <v>870</v>
      </c>
      <c r="F641" s="45">
        <v>5999</v>
      </c>
      <c r="G641" s="45">
        <v>2899</v>
      </c>
      <c r="H641" s="45">
        <v>4399</v>
      </c>
      <c r="I641" s="45">
        <v>4399</v>
      </c>
      <c r="J641" s="45">
        <v>2999</v>
      </c>
      <c r="K641" s="45">
        <v>2899</v>
      </c>
      <c r="L641" s="45">
        <v>2899</v>
      </c>
      <c r="M641" s="45">
        <v>2999</v>
      </c>
      <c r="N641" s="45">
        <v>2999</v>
      </c>
      <c r="O641" s="45">
        <v>2799</v>
      </c>
      <c r="P641" s="46">
        <v>2599</v>
      </c>
      <c r="Q641" s="46">
        <v>1999</v>
      </c>
      <c r="R641" s="45">
        <v>2799</v>
      </c>
      <c r="S641" s="45">
        <v>2599</v>
      </c>
      <c r="T641" s="45">
        <v>1999</v>
      </c>
      <c r="U641" s="45">
        <v>1999</v>
      </c>
      <c r="V641" s="45">
        <v>1999</v>
      </c>
      <c r="W641" s="45">
        <v>1999</v>
      </c>
      <c r="X641" s="45">
        <v>1899</v>
      </c>
      <c r="Y641" s="45">
        <v>1499</v>
      </c>
      <c r="Z641" s="45">
        <v>1499</v>
      </c>
      <c r="AA641" s="45">
        <v>1499</v>
      </c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7"/>
      <c r="AW641" s="48" t="s">
        <v>65</v>
      </c>
      <c r="AX641" s="51" t="s">
        <v>82</v>
      </c>
    </row>
    <row r="642" spans="1:50" ht="22.5" customHeight="1">
      <c r="A642" s="52" t="s">
        <v>70</v>
      </c>
      <c r="B642" s="41" t="s">
        <v>62</v>
      </c>
      <c r="C642" s="42">
        <v>4015281</v>
      </c>
      <c r="D642" s="44" t="s">
        <v>868</v>
      </c>
      <c r="E642" s="44" t="s">
        <v>871</v>
      </c>
      <c r="F642" s="45">
        <v>5999</v>
      </c>
      <c r="G642" s="45">
        <v>2899</v>
      </c>
      <c r="H642" s="45">
        <v>4399</v>
      </c>
      <c r="I642" s="45">
        <v>4399</v>
      </c>
      <c r="J642" s="45">
        <v>2999</v>
      </c>
      <c r="K642" s="45">
        <v>2899</v>
      </c>
      <c r="L642" s="45">
        <v>2899</v>
      </c>
      <c r="M642" s="45">
        <v>2999</v>
      </c>
      <c r="N642" s="45">
        <v>2999</v>
      </c>
      <c r="O642" s="45">
        <v>2799</v>
      </c>
      <c r="P642" s="46">
        <v>2599</v>
      </c>
      <c r="Q642" s="46">
        <v>1999</v>
      </c>
      <c r="R642" s="45">
        <v>2799</v>
      </c>
      <c r="S642" s="45">
        <v>2599</v>
      </c>
      <c r="T642" s="45">
        <v>1999</v>
      </c>
      <c r="U642" s="45">
        <v>1999</v>
      </c>
      <c r="V642" s="45">
        <v>1999</v>
      </c>
      <c r="W642" s="45">
        <v>1999</v>
      </c>
      <c r="X642" s="45">
        <v>1899</v>
      </c>
      <c r="Y642" s="45">
        <v>1499</v>
      </c>
      <c r="Z642" s="45">
        <v>1499</v>
      </c>
      <c r="AA642" s="45">
        <v>1499</v>
      </c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7"/>
      <c r="AW642" s="48" t="s">
        <v>65</v>
      </c>
      <c r="AX642" s="51" t="s">
        <v>82</v>
      </c>
    </row>
    <row r="643" spans="1:50" ht="22.5" customHeight="1">
      <c r="A643" s="52" t="s">
        <v>70</v>
      </c>
      <c r="B643" s="41" t="s">
        <v>62</v>
      </c>
      <c r="C643" s="42">
        <v>4015315</v>
      </c>
      <c r="D643" s="44" t="s">
        <v>868</v>
      </c>
      <c r="E643" s="44" t="s">
        <v>872</v>
      </c>
      <c r="F643" s="45">
        <v>5999</v>
      </c>
      <c r="G643" s="45">
        <v>2899</v>
      </c>
      <c r="H643" s="45">
        <v>4399</v>
      </c>
      <c r="I643" s="45">
        <v>4399</v>
      </c>
      <c r="J643" s="45">
        <v>2999</v>
      </c>
      <c r="K643" s="45">
        <v>2899</v>
      </c>
      <c r="L643" s="45">
        <v>2899</v>
      </c>
      <c r="M643" s="45">
        <v>2999</v>
      </c>
      <c r="N643" s="45">
        <v>2999</v>
      </c>
      <c r="O643" s="45">
        <v>2799</v>
      </c>
      <c r="P643" s="46">
        <v>2599</v>
      </c>
      <c r="Q643" s="46">
        <v>1999</v>
      </c>
      <c r="R643" s="45">
        <v>2799</v>
      </c>
      <c r="S643" s="45">
        <v>2599</v>
      </c>
      <c r="T643" s="45">
        <v>1999</v>
      </c>
      <c r="U643" s="45">
        <v>1999</v>
      </c>
      <c r="V643" s="45">
        <v>1999</v>
      </c>
      <c r="W643" s="45">
        <v>1999</v>
      </c>
      <c r="X643" s="45">
        <v>1899</v>
      </c>
      <c r="Y643" s="45">
        <v>1499</v>
      </c>
      <c r="Z643" s="45">
        <v>1499</v>
      </c>
      <c r="AA643" s="45">
        <v>1499</v>
      </c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7"/>
      <c r="AW643" s="48" t="s">
        <v>65</v>
      </c>
      <c r="AX643" s="51" t="s">
        <v>82</v>
      </c>
    </row>
    <row r="644" spans="1:50" ht="22.5" customHeight="1">
      <c r="A644" s="52" t="s">
        <v>70</v>
      </c>
      <c r="B644" s="41" t="s">
        <v>62</v>
      </c>
      <c r="C644" s="42">
        <v>4015299</v>
      </c>
      <c r="D644" s="44" t="s">
        <v>868</v>
      </c>
      <c r="E644" s="44" t="s">
        <v>873</v>
      </c>
      <c r="F644" s="45">
        <v>5999</v>
      </c>
      <c r="G644" s="45">
        <v>2899</v>
      </c>
      <c r="H644" s="45">
        <v>4399</v>
      </c>
      <c r="I644" s="45">
        <v>4399</v>
      </c>
      <c r="J644" s="45">
        <v>2999</v>
      </c>
      <c r="K644" s="45">
        <v>2899</v>
      </c>
      <c r="L644" s="45">
        <v>2899</v>
      </c>
      <c r="M644" s="45">
        <v>2999</v>
      </c>
      <c r="N644" s="45">
        <v>2999</v>
      </c>
      <c r="O644" s="45">
        <v>2799</v>
      </c>
      <c r="P644" s="46">
        <v>2599</v>
      </c>
      <c r="Q644" s="46">
        <v>1999</v>
      </c>
      <c r="R644" s="45">
        <v>2799</v>
      </c>
      <c r="S644" s="45">
        <v>2599</v>
      </c>
      <c r="T644" s="45">
        <v>1999</v>
      </c>
      <c r="U644" s="45">
        <v>1999</v>
      </c>
      <c r="V644" s="45">
        <v>1999</v>
      </c>
      <c r="W644" s="45">
        <v>1999</v>
      </c>
      <c r="X644" s="45">
        <v>1899</v>
      </c>
      <c r="Y644" s="45">
        <v>1499</v>
      </c>
      <c r="Z644" s="45">
        <v>1499</v>
      </c>
      <c r="AA644" s="45">
        <v>1499</v>
      </c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7"/>
      <c r="AW644" s="48" t="s">
        <v>65</v>
      </c>
      <c r="AX644" s="51" t="s">
        <v>82</v>
      </c>
    </row>
    <row r="645" spans="1:50" ht="22.5" customHeight="1">
      <c r="A645" s="52" t="s">
        <v>70</v>
      </c>
      <c r="B645" s="41" t="s">
        <v>62</v>
      </c>
      <c r="C645" s="42">
        <v>4015331</v>
      </c>
      <c r="D645" s="44" t="s">
        <v>868</v>
      </c>
      <c r="E645" s="44" t="s">
        <v>874</v>
      </c>
      <c r="F645" s="45">
        <v>5999</v>
      </c>
      <c r="G645" s="45">
        <v>2899</v>
      </c>
      <c r="H645" s="45">
        <v>4399</v>
      </c>
      <c r="I645" s="45">
        <v>4399</v>
      </c>
      <c r="J645" s="45">
        <v>2999</v>
      </c>
      <c r="K645" s="45">
        <v>2899</v>
      </c>
      <c r="L645" s="45">
        <v>2899</v>
      </c>
      <c r="M645" s="45">
        <v>2999</v>
      </c>
      <c r="N645" s="45">
        <v>2999</v>
      </c>
      <c r="O645" s="45">
        <v>2799</v>
      </c>
      <c r="P645" s="46">
        <v>2599</v>
      </c>
      <c r="Q645" s="46">
        <v>1999</v>
      </c>
      <c r="R645" s="45">
        <v>2799</v>
      </c>
      <c r="S645" s="45">
        <v>2599</v>
      </c>
      <c r="T645" s="45">
        <v>1999</v>
      </c>
      <c r="U645" s="45">
        <v>1999</v>
      </c>
      <c r="V645" s="45">
        <v>1999</v>
      </c>
      <c r="W645" s="45">
        <v>1999</v>
      </c>
      <c r="X645" s="45">
        <v>1899</v>
      </c>
      <c r="Y645" s="45">
        <v>1499</v>
      </c>
      <c r="Z645" s="45">
        <v>1499</v>
      </c>
      <c r="AA645" s="45">
        <v>1499</v>
      </c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7"/>
      <c r="AW645" s="48" t="s">
        <v>65</v>
      </c>
      <c r="AX645" s="51" t="s">
        <v>82</v>
      </c>
    </row>
    <row r="646" spans="1:50" ht="22.5" customHeight="1">
      <c r="A646" s="52" t="s">
        <v>70</v>
      </c>
      <c r="B646" s="41" t="s">
        <v>62</v>
      </c>
      <c r="C646" s="42">
        <v>4015307</v>
      </c>
      <c r="D646" s="44" t="s">
        <v>868</v>
      </c>
      <c r="E646" s="44" t="s">
        <v>875</v>
      </c>
      <c r="F646" s="45">
        <v>5999</v>
      </c>
      <c r="G646" s="45">
        <v>2899</v>
      </c>
      <c r="H646" s="45">
        <v>4399</v>
      </c>
      <c r="I646" s="45">
        <v>4399</v>
      </c>
      <c r="J646" s="45">
        <v>2999</v>
      </c>
      <c r="K646" s="45">
        <v>2899</v>
      </c>
      <c r="L646" s="45">
        <v>2899</v>
      </c>
      <c r="M646" s="45">
        <v>2999</v>
      </c>
      <c r="N646" s="45">
        <v>2999</v>
      </c>
      <c r="O646" s="45">
        <v>2799</v>
      </c>
      <c r="P646" s="46">
        <v>2599</v>
      </c>
      <c r="Q646" s="46">
        <v>1999</v>
      </c>
      <c r="R646" s="45">
        <v>2799</v>
      </c>
      <c r="S646" s="45">
        <v>2599</v>
      </c>
      <c r="T646" s="45">
        <v>1999</v>
      </c>
      <c r="U646" s="45">
        <v>1999</v>
      </c>
      <c r="V646" s="45">
        <v>1999</v>
      </c>
      <c r="W646" s="45">
        <v>1999</v>
      </c>
      <c r="X646" s="45">
        <v>1899</v>
      </c>
      <c r="Y646" s="45">
        <v>1499</v>
      </c>
      <c r="Z646" s="45">
        <v>1499</v>
      </c>
      <c r="AA646" s="45">
        <v>1499</v>
      </c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7"/>
      <c r="AW646" s="48" t="s">
        <v>65</v>
      </c>
      <c r="AX646" s="51" t="s">
        <v>82</v>
      </c>
    </row>
    <row r="647" spans="1:50" ht="22.5" customHeight="1">
      <c r="A647" s="52" t="s">
        <v>70</v>
      </c>
      <c r="B647" s="41" t="s">
        <v>62</v>
      </c>
      <c r="C647" s="42">
        <v>4015339</v>
      </c>
      <c r="D647" s="44" t="s">
        <v>868</v>
      </c>
      <c r="E647" s="44" t="s">
        <v>876</v>
      </c>
      <c r="F647" s="45">
        <v>5999</v>
      </c>
      <c r="G647" s="45">
        <v>2899</v>
      </c>
      <c r="H647" s="45">
        <v>4399</v>
      </c>
      <c r="I647" s="45">
        <v>4399</v>
      </c>
      <c r="J647" s="45">
        <v>2999</v>
      </c>
      <c r="K647" s="45">
        <v>2899</v>
      </c>
      <c r="L647" s="45">
        <v>2899</v>
      </c>
      <c r="M647" s="45">
        <v>2999</v>
      </c>
      <c r="N647" s="45">
        <v>2999</v>
      </c>
      <c r="O647" s="45">
        <v>2799</v>
      </c>
      <c r="P647" s="46">
        <v>2599</v>
      </c>
      <c r="Q647" s="46">
        <v>1999</v>
      </c>
      <c r="R647" s="45">
        <v>2799</v>
      </c>
      <c r="S647" s="45">
        <v>2599</v>
      </c>
      <c r="T647" s="45">
        <v>1999</v>
      </c>
      <c r="U647" s="45">
        <v>1999</v>
      </c>
      <c r="V647" s="45">
        <v>1999</v>
      </c>
      <c r="W647" s="45">
        <v>1999</v>
      </c>
      <c r="X647" s="45">
        <v>1899</v>
      </c>
      <c r="Y647" s="45">
        <v>1499</v>
      </c>
      <c r="Z647" s="45">
        <v>1499</v>
      </c>
      <c r="AA647" s="45">
        <v>1499</v>
      </c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7"/>
      <c r="AW647" s="48" t="s">
        <v>65</v>
      </c>
      <c r="AX647" s="51" t="s">
        <v>82</v>
      </c>
    </row>
    <row r="648" spans="1:50" ht="22.5" customHeight="1">
      <c r="A648" s="52" t="s">
        <v>70</v>
      </c>
      <c r="B648" s="41" t="s">
        <v>62</v>
      </c>
      <c r="C648" s="42">
        <v>4015291</v>
      </c>
      <c r="D648" s="44" t="s">
        <v>877</v>
      </c>
      <c r="E648" s="44" t="s">
        <v>878</v>
      </c>
      <c r="F648" s="45">
        <v>6499</v>
      </c>
      <c r="G648" s="45">
        <v>3399</v>
      </c>
      <c r="H648" s="45">
        <v>4999</v>
      </c>
      <c r="I648" s="45">
        <v>4999</v>
      </c>
      <c r="J648" s="45">
        <v>4099</v>
      </c>
      <c r="K648" s="45">
        <v>3999</v>
      </c>
      <c r="L648" s="45">
        <v>3999</v>
      </c>
      <c r="M648" s="45">
        <v>4099</v>
      </c>
      <c r="N648" s="45">
        <v>4099</v>
      </c>
      <c r="O648" s="45">
        <v>3899</v>
      </c>
      <c r="P648" s="46">
        <v>3799</v>
      </c>
      <c r="Q648" s="46">
        <v>3399</v>
      </c>
      <c r="R648" s="45">
        <v>3899</v>
      </c>
      <c r="S648" s="45">
        <v>3799</v>
      </c>
      <c r="T648" s="45">
        <v>3399</v>
      </c>
      <c r="U648" s="45">
        <v>3399</v>
      </c>
      <c r="V648" s="45">
        <v>3399</v>
      </c>
      <c r="W648" s="45">
        <v>3399</v>
      </c>
      <c r="X648" s="45">
        <v>3299</v>
      </c>
      <c r="Y648" s="45">
        <v>2899</v>
      </c>
      <c r="Z648" s="45">
        <v>2899</v>
      </c>
      <c r="AA648" s="45">
        <v>2899</v>
      </c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7"/>
      <c r="AW648" s="48" t="s">
        <v>65</v>
      </c>
      <c r="AX648" s="51" t="s">
        <v>82</v>
      </c>
    </row>
    <row r="649" spans="1:50" ht="22.5" customHeight="1">
      <c r="A649" s="52" t="s">
        <v>70</v>
      </c>
      <c r="B649" s="41" t="s">
        <v>62</v>
      </c>
      <c r="C649" s="42">
        <v>4015322</v>
      </c>
      <c r="D649" s="44" t="s">
        <v>877</v>
      </c>
      <c r="E649" s="44" t="s">
        <v>879</v>
      </c>
      <c r="F649" s="45">
        <v>6499</v>
      </c>
      <c r="G649" s="45">
        <v>3399</v>
      </c>
      <c r="H649" s="45">
        <v>4999</v>
      </c>
      <c r="I649" s="45">
        <v>4999</v>
      </c>
      <c r="J649" s="45">
        <v>4099</v>
      </c>
      <c r="K649" s="45">
        <v>3999</v>
      </c>
      <c r="L649" s="45">
        <v>3999</v>
      </c>
      <c r="M649" s="45">
        <v>4099</v>
      </c>
      <c r="N649" s="45">
        <v>4099</v>
      </c>
      <c r="O649" s="45">
        <v>3899</v>
      </c>
      <c r="P649" s="46">
        <v>3799</v>
      </c>
      <c r="Q649" s="46">
        <v>3399</v>
      </c>
      <c r="R649" s="45">
        <v>3899</v>
      </c>
      <c r="S649" s="45">
        <v>3799</v>
      </c>
      <c r="T649" s="45">
        <v>3399</v>
      </c>
      <c r="U649" s="45">
        <v>3399</v>
      </c>
      <c r="V649" s="45">
        <v>3399</v>
      </c>
      <c r="W649" s="45">
        <v>3399</v>
      </c>
      <c r="X649" s="45">
        <v>3299</v>
      </c>
      <c r="Y649" s="45">
        <v>2899</v>
      </c>
      <c r="Z649" s="45">
        <v>2899</v>
      </c>
      <c r="AA649" s="45">
        <v>2899</v>
      </c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7"/>
      <c r="AW649" s="48" t="s">
        <v>65</v>
      </c>
      <c r="AX649" s="51" t="s">
        <v>82</v>
      </c>
    </row>
    <row r="650" spans="1:50" ht="22.5" customHeight="1">
      <c r="A650" s="52" t="s">
        <v>70</v>
      </c>
      <c r="B650" s="41" t="s">
        <v>62</v>
      </c>
      <c r="C650" s="42">
        <v>4015282</v>
      </c>
      <c r="D650" s="44" t="s">
        <v>877</v>
      </c>
      <c r="E650" s="44" t="s">
        <v>880</v>
      </c>
      <c r="F650" s="45">
        <v>6499</v>
      </c>
      <c r="G650" s="45">
        <v>3399</v>
      </c>
      <c r="H650" s="45">
        <v>4999</v>
      </c>
      <c r="I650" s="45">
        <v>4999</v>
      </c>
      <c r="J650" s="45">
        <v>4099</v>
      </c>
      <c r="K650" s="45">
        <v>3999</v>
      </c>
      <c r="L650" s="45">
        <v>3999</v>
      </c>
      <c r="M650" s="45">
        <v>4099</v>
      </c>
      <c r="N650" s="45">
        <v>4099</v>
      </c>
      <c r="O650" s="45">
        <v>3899</v>
      </c>
      <c r="P650" s="46">
        <v>3799</v>
      </c>
      <c r="Q650" s="46">
        <v>3399</v>
      </c>
      <c r="R650" s="45">
        <v>3899</v>
      </c>
      <c r="S650" s="45">
        <v>3799</v>
      </c>
      <c r="T650" s="45">
        <v>3399</v>
      </c>
      <c r="U650" s="45">
        <v>3399</v>
      </c>
      <c r="V650" s="45">
        <v>3399</v>
      </c>
      <c r="W650" s="45">
        <v>3399</v>
      </c>
      <c r="X650" s="45">
        <v>3299</v>
      </c>
      <c r="Y650" s="45">
        <v>2899</v>
      </c>
      <c r="Z650" s="45">
        <v>2899</v>
      </c>
      <c r="AA650" s="45">
        <v>2899</v>
      </c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7"/>
      <c r="AW650" s="48" t="s">
        <v>65</v>
      </c>
      <c r="AX650" s="51" t="s">
        <v>82</v>
      </c>
    </row>
    <row r="651" spans="1:50" ht="22.5" customHeight="1">
      <c r="A651" s="52" t="s">
        <v>70</v>
      </c>
      <c r="B651" s="41" t="s">
        <v>62</v>
      </c>
      <c r="C651" s="42">
        <v>4015314</v>
      </c>
      <c r="D651" s="44" t="s">
        <v>877</v>
      </c>
      <c r="E651" s="44" t="s">
        <v>881</v>
      </c>
      <c r="F651" s="45">
        <v>6499</v>
      </c>
      <c r="G651" s="45">
        <v>3399</v>
      </c>
      <c r="H651" s="45">
        <v>4999</v>
      </c>
      <c r="I651" s="45">
        <v>4999</v>
      </c>
      <c r="J651" s="45">
        <v>4099</v>
      </c>
      <c r="K651" s="45">
        <v>3999</v>
      </c>
      <c r="L651" s="45">
        <v>3999</v>
      </c>
      <c r="M651" s="45">
        <v>4099</v>
      </c>
      <c r="N651" s="45">
        <v>4099</v>
      </c>
      <c r="O651" s="45">
        <v>3899</v>
      </c>
      <c r="P651" s="46">
        <v>3799</v>
      </c>
      <c r="Q651" s="46">
        <v>3399</v>
      </c>
      <c r="R651" s="45">
        <v>3899</v>
      </c>
      <c r="S651" s="45">
        <v>3799</v>
      </c>
      <c r="T651" s="45">
        <v>3399</v>
      </c>
      <c r="U651" s="45">
        <v>3399</v>
      </c>
      <c r="V651" s="45">
        <v>3399</v>
      </c>
      <c r="W651" s="45">
        <v>3399</v>
      </c>
      <c r="X651" s="45">
        <v>3299</v>
      </c>
      <c r="Y651" s="45">
        <v>2899</v>
      </c>
      <c r="Z651" s="45">
        <v>2899</v>
      </c>
      <c r="AA651" s="45">
        <v>2899</v>
      </c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7"/>
      <c r="AW651" s="48" t="s">
        <v>65</v>
      </c>
      <c r="AX651" s="51" t="s">
        <v>82</v>
      </c>
    </row>
    <row r="652" spans="1:50" ht="22.5" customHeight="1">
      <c r="A652" s="52" t="s">
        <v>70</v>
      </c>
      <c r="B652" s="41" t="s">
        <v>62</v>
      </c>
      <c r="C652" s="42">
        <v>4015298</v>
      </c>
      <c r="D652" s="44" t="s">
        <v>877</v>
      </c>
      <c r="E652" s="44" t="s">
        <v>882</v>
      </c>
      <c r="F652" s="45">
        <v>6499</v>
      </c>
      <c r="G652" s="45">
        <v>3399</v>
      </c>
      <c r="H652" s="45">
        <v>4999</v>
      </c>
      <c r="I652" s="45">
        <v>4999</v>
      </c>
      <c r="J652" s="45">
        <v>4099</v>
      </c>
      <c r="K652" s="45">
        <v>3999</v>
      </c>
      <c r="L652" s="45">
        <v>3999</v>
      </c>
      <c r="M652" s="45">
        <v>4099</v>
      </c>
      <c r="N652" s="45">
        <v>4099</v>
      </c>
      <c r="O652" s="45">
        <v>3899</v>
      </c>
      <c r="P652" s="46">
        <v>3799</v>
      </c>
      <c r="Q652" s="46">
        <v>3399</v>
      </c>
      <c r="R652" s="45">
        <v>3899</v>
      </c>
      <c r="S652" s="45">
        <v>3799</v>
      </c>
      <c r="T652" s="45">
        <v>3399</v>
      </c>
      <c r="U652" s="45">
        <v>3399</v>
      </c>
      <c r="V652" s="45">
        <v>3399</v>
      </c>
      <c r="W652" s="45">
        <v>3399</v>
      </c>
      <c r="X652" s="45">
        <v>3299</v>
      </c>
      <c r="Y652" s="45">
        <v>2899</v>
      </c>
      <c r="Z652" s="45">
        <v>2899</v>
      </c>
      <c r="AA652" s="45">
        <v>2899</v>
      </c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7"/>
      <c r="AW652" s="48" t="s">
        <v>65</v>
      </c>
      <c r="AX652" s="51" t="s">
        <v>82</v>
      </c>
    </row>
    <row r="653" spans="1:50" ht="22.5" customHeight="1">
      <c r="A653" s="52" t="s">
        <v>70</v>
      </c>
      <c r="B653" s="41" t="s">
        <v>62</v>
      </c>
      <c r="C653" s="42">
        <v>4015330</v>
      </c>
      <c r="D653" s="44" t="s">
        <v>877</v>
      </c>
      <c r="E653" s="44" t="s">
        <v>883</v>
      </c>
      <c r="F653" s="45">
        <v>6499</v>
      </c>
      <c r="G653" s="45">
        <v>3399</v>
      </c>
      <c r="H653" s="45">
        <v>4999</v>
      </c>
      <c r="I653" s="45">
        <v>4999</v>
      </c>
      <c r="J653" s="45">
        <v>4099</v>
      </c>
      <c r="K653" s="45">
        <v>3999</v>
      </c>
      <c r="L653" s="45">
        <v>3999</v>
      </c>
      <c r="M653" s="45">
        <v>4099</v>
      </c>
      <c r="N653" s="45">
        <v>4099</v>
      </c>
      <c r="O653" s="45">
        <v>3899</v>
      </c>
      <c r="P653" s="46">
        <v>3799</v>
      </c>
      <c r="Q653" s="46">
        <v>3399</v>
      </c>
      <c r="R653" s="45">
        <v>3899</v>
      </c>
      <c r="S653" s="45">
        <v>3799</v>
      </c>
      <c r="T653" s="45">
        <v>3399</v>
      </c>
      <c r="U653" s="45">
        <v>3399</v>
      </c>
      <c r="V653" s="45">
        <v>3399</v>
      </c>
      <c r="W653" s="45">
        <v>3399</v>
      </c>
      <c r="X653" s="45">
        <v>3299</v>
      </c>
      <c r="Y653" s="45">
        <v>2899</v>
      </c>
      <c r="Z653" s="45">
        <v>2899</v>
      </c>
      <c r="AA653" s="45">
        <v>2899</v>
      </c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7"/>
      <c r="AW653" s="48" t="s">
        <v>65</v>
      </c>
      <c r="AX653" s="51" t="s">
        <v>82</v>
      </c>
    </row>
    <row r="654" spans="1:50" ht="22.5" customHeight="1">
      <c r="A654" s="52" t="s">
        <v>70</v>
      </c>
      <c r="B654" s="41" t="s">
        <v>62</v>
      </c>
      <c r="C654" s="42">
        <v>4015290</v>
      </c>
      <c r="D654" s="44" t="s">
        <v>884</v>
      </c>
      <c r="E654" s="44" t="s">
        <v>885</v>
      </c>
      <c r="F654" s="45">
        <v>7499</v>
      </c>
      <c r="G654" s="45">
        <v>4399</v>
      </c>
      <c r="H654" s="45">
        <v>5999</v>
      </c>
      <c r="I654" s="45">
        <v>5999</v>
      </c>
      <c r="J654" s="45">
        <v>4999</v>
      </c>
      <c r="K654" s="45">
        <v>4899</v>
      </c>
      <c r="L654" s="45">
        <v>4899</v>
      </c>
      <c r="M654" s="45">
        <v>4999</v>
      </c>
      <c r="N654" s="45">
        <v>4999</v>
      </c>
      <c r="O654" s="45">
        <v>4799</v>
      </c>
      <c r="P654" s="46">
        <v>4699</v>
      </c>
      <c r="Q654" s="46">
        <v>3799</v>
      </c>
      <c r="R654" s="45">
        <v>4799</v>
      </c>
      <c r="S654" s="45">
        <v>4699</v>
      </c>
      <c r="T654" s="45">
        <v>3799</v>
      </c>
      <c r="U654" s="45">
        <v>3799</v>
      </c>
      <c r="V654" s="45">
        <v>3799</v>
      </c>
      <c r="W654" s="45">
        <v>3799</v>
      </c>
      <c r="X654" s="45">
        <v>3699</v>
      </c>
      <c r="Y654" s="45">
        <v>3499</v>
      </c>
      <c r="Z654" s="45">
        <v>3499</v>
      </c>
      <c r="AA654" s="45">
        <v>3499</v>
      </c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7"/>
      <c r="AW654" s="48" t="s">
        <v>65</v>
      </c>
      <c r="AX654" s="51" t="s">
        <v>82</v>
      </c>
    </row>
    <row r="655" spans="1:50" ht="22.5" customHeight="1">
      <c r="A655" s="52" t="s">
        <v>70</v>
      </c>
      <c r="B655" s="41" t="s">
        <v>62</v>
      </c>
      <c r="C655" s="42">
        <v>4015321</v>
      </c>
      <c r="D655" s="44" t="s">
        <v>884</v>
      </c>
      <c r="E655" s="44" t="s">
        <v>886</v>
      </c>
      <c r="F655" s="45">
        <v>7499</v>
      </c>
      <c r="G655" s="45">
        <v>4399</v>
      </c>
      <c r="H655" s="45">
        <v>5999</v>
      </c>
      <c r="I655" s="45">
        <v>5999</v>
      </c>
      <c r="J655" s="45">
        <v>4999</v>
      </c>
      <c r="K655" s="45">
        <v>4899</v>
      </c>
      <c r="L655" s="45">
        <v>4899</v>
      </c>
      <c r="M655" s="45">
        <v>4999</v>
      </c>
      <c r="N655" s="45">
        <v>4999</v>
      </c>
      <c r="O655" s="45">
        <v>4799</v>
      </c>
      <c r="P655" s="46">
        <v>4699</v>
      </c>
      <c r="Q655" s="46">
        <v>3799</v>
      </c>
      <c r="R655" s="45">
        <v>4799</v>
      </c>
      <c r="S655" s="45">
        <v>4699</v>
      </c>
      <c r="T655" s="45">
        <v>3799</v>
      </c>
      <c r="U655" s="45">
        <v>3799</v>
      </c>
      <c r="V655" s="45">
        <v>3799</v>
      </c>
      <c r="W655" s="45">
        <v>3799</v>
      </c>
      <c r="X655" s="45">
        <v>3699</v>
      </c>
      <c r="Y655" s="45">
        <v>3499</v>
      </c>
      <c r="Z655" s="45">
        <v>3499</v>
      </c>
      <c r="AA655" s="45">
        <v>3499</v>
      </c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7"/>
      <c r="AW655" s="48" t="s">
        <v>65</v>
      </c>
      <c r="AX655" s="51" t="s">
        <v>82</v>
      </c>
    </row>
    <row r="656" spans="1:50" ht="22.5" customHeight="1">
      <c r="A656" s="52" t="s">
        <v>70</v>
      </c>
      <c r="B656" s="41" t="s">
        <v>62</v>
      </c>
      <c r="C656" s="42">
        <v>4015283</v>
      </c>
      <c r="D656" s="44" t="s">
        <v>884</v>
      </c>
      <c r="E656" s="44" t="s">
        <v>887</v>
      </c>
      <c r="F656" s="45">
        <v>7499</v>
      </c>
      <c r="G656" s="45">
        <v>4399</v>
      </c>
      <c r="H656" s="45">
        <v>5999</v>
      </c>
      <c r="I656" s="45">
        <v>5999</v>
      </c>
      <c r="J656" s="45">
        <v>4999</v>
      </c>
      <c r="K656" s="45">
        <v>4899</v>
      </c>
      <c r="L656" s="45">
        <v>4899</v>
      </c>
      <c r="M656" s="45">
        <v>4999</v>
      </c>
      <c r="N656" s="45">
        <v>4999</v>
      </c>
      <c r="O656" s="45">
        <v>4799</v>
      </c>
      <c r="P656" s="46">
        <v>4699</v>
      </c>
      <c r="Q656" s="46">
        <v>3799</v>
      </c>
      <c r="R656" s="45">
        <v>4799</v>
      </c>
      <c r="S656" s="45">
        <v>4699</v>
      </c>
      <c r="T656" s="45">
        <v>3799</v>
      </c>
      <c r="U656" s="45">
        <v>3799</v>
      </c>
      <c r="V656" s="45">
        <v>3799</v>
      </c>
      <c r="W656" s="45">
        <v>3799</v>
      </c>
      <c r="X656" s="45">
        <v>3699</v>
      </c>
      <c r="Y656" s="45">
        <v>3499</v>
      </c>
      <c r="Z656" s="45">
        <v>3499</v>
      </c>
      <c r="AA656" s="45">
        <v>3499</v>
      </c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7"/>
      <c r="AW656" s="48" t="s">
        <v>65</v>
      </c>
      <c r="AX656" s="51" t="s">
        <v>82</v>
      </c>
    </row>
    <row r="657" spans="1:50" ht="22.5" customHeight="1">
      <c r="A657" s="52" t="s">
        <v>70</v>
      </c>
      <c r="B657" s="41" t="s">
        <v>62</v>
      </c>
      <c r="C657" s="42">
        <v>4015313</v>
      </c>
      <c r="D657" s="44" t="s">
        <v>884</v>
      </c>
      <c r="E657" s="44" t="s">
        <v>888</v>
      </c>
      <c r="F657" s="45">
        <v>7499</v>
      </c>
      <c r="G657" s="45">
        <v>4399</v>
      </c>
      <c r="H657" s="45">
        <v>5999</v>
      </c>
      <c r="I657" s="45">
        <v>5999</v>
      </c>
      <c r="J657" s="45">
        <v>4999</v>
      </c>
      <c r="K657" s="45">
        <v>4899</v>
      </c>
      <c r="L657" s="45">
        <v>4899</v>
      </c>
      <c r="M657" s="45">
        <v>4999</v>
      </c>
      <c r="N657" s="45">
        <v>4999</v>
      </c>
      <c r="O657" s="45">
        <v>4799</v>
      </c>
      <c r="P657" s="46">
        <v>4699</v>
      </c>
      <c r="Q657" s="46">
        <v>3799</v>
      </c>
      <c r="R657" s="45">
        <v>4799</v>
      </c>
      <c r="S657" s="45">
        <v>4699</v>
      </c>
      <c r="T657" s="45">
        <v>3799</v>
      </c>
      <c r="U657" s="45">
        <v>3799</v>
      </c>
      <c r="V657" s="45">
        <v>3799</v>
      </c>
      <c r="W657" s="45">
        <v>3799</v>
      </c>
      <c r="X657" s="45">
        <v>3699</v>
      </c>
      <c r="Y657" s="45">
        <v>3499</v>
      </c>
      <c r="Z657" s="45">
        <v>3499</v>
      </c>
      <c r="AA657" s="45">
        <v>3499</v>
      </c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7"/>
      <c r="AW657" s="48" t="s">
        <v>65</v>
      </c>
      <c r="AX657" s="51" t="s">
        <v>82</v>
      </c>
    </row>
    <row r="658" spans="1:50" ht="22.5" customHeight="1">
      <c r="A658" s="52" t="s">
        <v>70</v>
      </c>
      <c r="B658" s="41" t="s">
        <v>62</v>
      </c>
      <c r="C658" s="42">
        <v>4015297</v>
      </c>
      <c r="D658" s="44" t="s">
        <v>884</v>
      </c>
      <c r="E658" s="44" t="s">
        <v>889</v>
      </c>
      <c r="F658" s="45">
        <v>7499</v>
      </c>
      <c r="G658" s="45">
        <v>4399</v>
      </c>
      <c r="H658" s="45">
        <v>5999</v>
      </c>
      <c r="I658" s="45">
        <v>5999</v>
      </c>
      <c r="J658" s="45">
        <v>4999</v>
      </c>
      <c r="K658" s="45">
        <v>4899</v>
      </c>
      <c r="L658" s="45">
        <v>4899</v>
      </c>
      <c r="M658" s="45">
        <v>4999</v>
      </c>
      <c r="N658" s="45">
        <v>4999</v>
      </c>
      <c r="O658" s="45">
        <v>4799</v>
      </c>
      <c r="P658" s="46">
        <v>4699</v>
      </c>
      <c r="Q658" s="46">
        <v>3799</v>
      </c>
      <c r="R658" s="45">
        <v>4799</v>
      </c>
      <c r="S658" s="45">
        <v>4699</v>
      </c>
      <c r="T658" s="45">
        <v>3799</v>
      </c>
      <c r="U658" s="45">
        <v>3799</v>
      </c>
      <c r="V658" s="45">
        <v>3799</v>
      </c>
      <c r="W658" s="45">
        <v>3799</v>
      </c>
      <c r="X658" s="45">
        <v>3699</v>
      </c>
      <c r="Y658" s="45">
        <v>3499</v>
      </c>
      <c r="Z658" s="45">
        <v>3499</v>
      </c>
      <c r="AA658" s="45">
        <v>3499</v>
      </c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7"/>
      <c r="AW658" s="48" t="s">
        <v>65</v>
      </c>
      <c r="AX658" s="51" t="s">
        <v>82</v>
      </c>
    </row>
    <row r="659" spans="1:50" ht="22.5" customHeight="1">
      <c r="A659" s="52" t="s">
        <v>70</v>
      </c>
      <c r="B659" s="41" t="s">
        <v>62</v>
      </c>
      <c r="C659" s="42">
        <v>4015329</v>
      </c>
      <c r="D659" s="44" t="s">
        <v>884</v>
      </c>
      <c r="E659" s="44" t="s">
        <v>890</v>
      </c>
      <c r="F659" s="45">
        <v>7499</v>
      </c>
      <c r="G659" s="45">
        <v>4399</v>
      </c>
      <c r="H659" s="45">
        <v>5999</v>
      </c>
      <c r="I659" s="45">
        <v>5999</v>
      </c>
      <c r="J659" s="45">
        <v>4999</v>
      </c>
      <c r="K659" s="45">
        <v>4899</v>
      </c>
      <c r="L659" s="45">
        <v>4899</v>
      </c>
      <c r="M659" s="45">
        <v>4999</v>
      </c>
      <c r="N659" s="45">
        <v>4999</v>
      </c>
      <c r="O659" s="45">
        <v>4799</v>
      </c>
      <c r="P659" s="46">
        <v>4699</v>
      </c>
      <c r="Q659" s="46">
        <v>3799</v>
      </c>
      <c r="R659" s="45">
        <v>4799</v>
      </c>
      <c r="S659" s="45">
        <v>4699</v>
      </c>
      <c r="T659" s="45">
        <v>3799</v>
      </c>
      <c r="U659" s="45">
        <v>3799</v>
      </c>
      <c r="V659" s="45">
        <v>3799</v>
      </c>
      <c r="W659" s="45">
        <v>3799</v>
      </c>
      <c r="X659" s="45">
        <v>3699</v>
      </c>
      <c r="Y659" s="45">
        <v>3499</v>
      </c>
      <c r="Z659" s="45">
        <v>3499</v>
      </c>
      <c r="AA659" s="45">
        <v>3499</v>
      </c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7"/>
      <c r="AW659" s="48" t="s">
        <v>65</v>
      </c>
      <c r="AX659" s="51" t="s">
        <v>82</v>
      </c>
    </row>
    <row r="660" spans="1:50" ht="22.5" customHeight="1">
      <c r="A660" s="52" t="s">
        <v>70</v>
      </c>
      <c r="B660" s="41" t="s">
        <v>62</v>
      </c>
      <c r="C660" s="42">
        <v>4015305</v>
      </c>
      <c r="D660" s="44" t="s">
        <v>884</v>
      </c>
      <c r="E660" s="44" t="s">
        <v>891</v>
      </c>
      <c r="F660" s="45">
        <v>7499</v>
      </c>
      <c r="G660" s="45">
        <v>4399</v>
      </c>
      <c r="H660" s="45">
        <v>5999</v>
      </c>
      <c r="I660" s="45">
        <v>5999</v>
      </c>
      <c r="J660" s="45">
        <v>4999</v>
      </c>
      <c r="K660" s="45">
        <v>4899</v>
      </c>
      <c r="L660" s="45">
        <v>4899</v>
      </c>
      <c r="M660" s="45">
        <v>4999</v>
      </c>
      <c r="N660" s="45">
        <v>4999</v>
      </c>
      <c r="O660" s="45">
        <v>4799</v>
      </c>
      <c r="P660" s="46">
        <v>4699</v>
      </c>
      <c r="Q660" s="46">
        <v>3799</v>
      </c>
      <c r="R660" s="45">
        <v>4799</v>
      </c>
      <c r="S660" s="45">
        <v>4699</v>
      </c>
      <c r="T660" s="45">
        <v>3799</v>
      </c>
      <c r="U660" s="45">
        <v>3799</v>
      </c>
      <c r="V660" s="45">
        <v>3799</v>
      </c>
      <c r="W660" s="45">
        <v>3799</v>
      </c>
      <c r="X660" s="45">
        <v>3699</v>
      </c>
      <c r="Y660" s="45">
        <v>3499</v>
      </c>
      <c r="Z660" s="45">
        <v>3499</v>
      </c>
      <c r="AA660" s="45">
        <v>3499</v>
      </c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7"/>
      <c r="AW660" s="48" t="s">
        <v>65</v>
      </c>
      <c r="AX660" s="51" t="s">
        <v>82</v>
      </c>
    </row>
    <row r="661" spans="1:50" ht="22.5" customHeight="1">
      <c r="A661" s="52" t="s">
        <v>70</v>
      </c>
      <c r="B661" s="41" t="s">
        <v>62</v>
      </c>
      <c r="C661" s="42">
        <v>4015337</v>
      </c>
      <c r="D661" s="44" t="s">
        <v>884</v>
      </c>
      <c r="E661" s="44" t="s">
        <v>892</v>
      </c>
      <c r="F661" s="45">
        <v>7499</v>
      </c>
      <c r="G661" s="45">
        <v>4399</v>
      </c>
      <c r="H661" s="45">
        <v>5999</v>
      </c>
      <c r="I661" s="45">
        <v>5999</v>
      </c>
      <c r="J661" s="45">
        <v>4999</v>
      </c>
      <c r="K661" s="45">
        <v>4899</v>
      </c>
      <c r="L661" s="45">
        <v>4899</v>
      </c>
      <c r="M661" s="45">
        <v>4999</v>
      </c>
      <c r="N661" s="45">
        <v>4999</v>
      </c>
      <c r="O661" s="45">
        <v>4799</v>
      </c>
      <c r="P661" s="46">
        <v>4699</v>
      </c>
      <c r="Q661" s="46">
        <v>3799</v>
      </c>
      <c r="R661" s="45">
        <v>4799</v>
      </c>
      <c r="S661" s="45">
        <v>4699</v>
      </c>
      <c r="T661" s="45">
        <v>3799</v>
      </c>
      <c r="U661" s="45">
        <v>3799</v>
      </c>
      <c r="V661" s="45">
        <v>3799</v>
      </c>
      <c r="W661" s="45">
        <v>3799</v>
      </c>
      <c r="X661" s="45">
        <v>3699</v>
      </c>
      <c r="Y661" s="45">
        <v>3499</v>
      </c>
      <c r="Z661" s="45">
        <v>3499</v>
      </c>
      <c r="AA661" s="45">
        <v>3499</v>
      </c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7"/>
      <c r="AW661" s="48" t="s">
        <v>65</v>
      </c>
      <c r="AX661" s="51" t="s">
        <v>82</v>
      </c>
    </row>
    <row r="662" spans="1:50" ht="22.5" customHeight="1">
      <c r="A662" s="52" t="s">
        <v>70</v>
      </c>
      <c r="B662" s="41" t="s">
        <v>62</v>
      </c>
      <c r="C662" s="42">
        <v>4015663</v>
      </c>
      <c r="D662" s="44" t="s">
        <v>893</v>
      </c>
      <c r="E662" s="44" t="s">
        <v>894</v>
      </c>
      <c r="F662" s="45">
        <v>4499</v>
      </c>
      <c r="G662" s="45">
        <v>1699</v>
      </c>
      <c r="H662" s="45">
        <v>2999</v>
      </c>
      <c r="I662" s="45">
        <v>2999</v>
      </c>
      <c r="J662" s="45">
        <v>2799</v>
      </c>
      <c r="K662" s="45">
        <v>2699</v>
      </c>
      <c r="L662" s="45">
        <v>2699</v>
      </c>
      <c r="M662" s="45">
        <v>2799</v>
      </c>
      <c r="N662" s="45">
        <v>2799</v>
      </c>
      <c r="O662" s="45">
        <f t="shared" ref="O662:P667" si="30">R662</f>
        <v>2499</v>
      </c>
      <c r="P662" s="46">
        <f t="shared" si="30"/>
        <v>2299</v>
      </c>
      <c r="Q662" s="46">
        <v>1499</v>
      </c>
      <c r="R662" s="45">
        <v>2499</v>
      </c>
      <c r="S662" s="45">
        <v>2299</v>
      </c>
      <c r="T662" s="45">
        <v>1499</v>
      </c>
      <c r="U662" s="45">
        <v>1499</v>
      </c>
      <c r="V662" s="45">
        <v>1499</v>
      </c>
      <c r="W662" s="45">
        <v>1499</v>
      </c>
      <c r="X662" s="45">
        <v>1399</v>
      </c>
      <c r="Y662" s="45">
        <v>1199</v>
      </c>
      <c r="Z662" s="45">
        <v>1199</v>
      </c>
      <c r="AA662" s="45">
        <v>1199</v>
      </c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7"/>
      <c r="AW662" s="48" t="s">
        <v>65</v>
      </c>
      <c r="AX662" s="51" t="s">
        <v>82</v>
      </c>
    </row>
    <row r="663" spans="1:50" ht="22.5" customHeight="1">
      <c r="A663" s="52" t="s">
        <v>70</v>
      </c>
      <c r="B663" s="41" t="s">
        <v>62</v>
      </c>
      <c r="C663" s="42">
        <v>4015664</v>
      </c>
      <c r="D663" s="44" t="s">
        <v>893</v>
      </c>
      <c r="E663" s="44" t="s">
        <v>895</v>
      </c>
      <c r="F663" s="45">
        <v>4499</v>
      </c>
      <c r="G663" s="45">
        <v>1699</v>
      </c>
      <c r="H663" s="45">
        <v>2999</v>
      </c>
      <c r="I663" s="45">
        <v>2999</v>
      </c>
      <c r="J663" s="45">
        <v>2799</v>
      </c>
      <c r="K663" s="45">
        <v>2699</v>
      </c>
      <c r="L663" s="45">
        <v>2699</v>
      </c>
      <c r="M663" s="45">
        <v>2799</v>
      </c>
      <c r="N663" s="45">
        <v>2799</v>
      </c>
      <c r="O663" s="45">
        <f t="shared" si="30"/>
        <v>2499</v>
      </c>
      <c r="P663" s="46">
        <f t="shared" si="30"/>
        <v>2299</v>
      </c>
      <c r="Q663" s="46">
        <v>1499</v>
      </c>
      <c r="R663" s="45">
        <v>2499</v>
      </c>
      <c r="S663" s="45">
        <v>2299</v>
      </c>
      <c r="T663" s="45">
        <v>1499</v>
      </c>
      <c r="U663" s="45">
        <v>1499</v>
      </c>
      <c r="V663" s="45">
        <v>1499</v>
      </c>
      <c r="W663" s="45">
        <v>1499</v>
      </c>
      <c r="X663" s="45">
        <v>1399</v>
      </c>
      <c r="Y663" s="45">
        <v>1199</v>
      </c>
      <c r="Z663" s="45">
        <v>1199</v>
      </c>
      <c r="AA663" s="45">
        <v>1199</v>
      </c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7"/>
      <c r="AW663" s="48" t="s">
        <v>65</v>
      </c>
      <c r="AX663" s="51" t="s">
        <v>82</v>
      </c>
    </row>
    <row r="664" spans="1:50" ht="22.5" customHeight="1">
      <c r="A664" s="52" t="s">
        <v>70</v>
      </c>
      <c r="B664" s="41" t="s">
        <v>62</v>
      </c>
      <c r="C664" s="42">
        <v>4015665</v>
      </c>
      <c r="D664" s="44" t="s">
        <v>893</v>
      </c>
      <c r="E664" s="44" t="s">
        <v>896</v>
      </c>
      <c r="F664" s="45">
        <v>4499</v>
      </c>
      <c r="G664" s="45">
        <v>1699</v>
      </c>
      <c r="H664" s="45">
        <v>2999</v>
      </c>
      <c r="I664" s="45">
        <v>2999</v>
      </c>
      <c r="J664" s="45">
        <v>2799</v>
      </c>
      <c r="K664" s="45">
        <v>2699</v>
      </c>
      <c r="L664" s="45">
        <v>2699</v>
      </c>
      <c r="M664" s="45">
        <v>2799</v>
      </c>
      <c r="N664" s="45">
        <v>2799</v>
      </c>
      <c r="O664" s="45">
        <f t="shared" si="30"/>
        <v>2499</v>
      </c>
      <c r="P664" s="46">
        <f t="shared" si="30"/>
        <v>2299</v>
      </c>
      <c r="Q664" s="46">
        <v>1499</v>
      </c>
      <c r="R664" s="45">
        <v>2499</v>
      </c>
      <c r="S664" s="45">
        <v>2299</v>
      </c>
      <c r="T664" s="45">
        <v>1499</v>
      </c>
      <c r="U664" s="45">
        <v>1499</v>
      </c>
      <c r="V664" s="45">
        <v>1499</v>
      </c>
      <c r="W664" s="45">
        <v>1499</v>
      </c>
      <c r="X664" s="45">
        <v>1399</v>
      </c>
      <c r="Y664" s="45">
        <v>1199</v>
      </c>
      <c r="Z664" s="45">
        <v>1199</v>
      </c>
      <c r="AA664" s="45">
        <v>1199</v>
      </c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7"/>
      <c r="AW664" s="48" t="s">
        <v>65</v>
      </c>
      <c r="AX664" s="51" t="s">
        <v>82</v>
      </c>
    </row>
    <row r="665" spans="1:50" ht="22.5" customHeight="1">
      <c r="A665" s="52" t="s">
        <v>70</v>
      </c>
      <c r="B665" s="41" t="s">
        <v>62</v>
      </c>
      <c r="C665" s="42">
        <v>4015666</v>
      </c>
      <c r="D665" s="44" t="s">
        <v>893</v>
      </c>
      <c r="E665" s="44" t="s">
        <v>897</v>
      </c>
      <c r="F665" s="45">
        <v>4499</v>
      </c>
      <c r="G665" s="45">
        <v>1699</v>
      </c>
      <c r="H665" s="45">
        <v>2999</v>
      </c>
      <c r="I665" s="45">
        <v>2999</v>
      </c>
      <c r="J665" s="45">
        <v>2799</v>
      </c>
      <c r="K665" s="45">
        <v>2699</v>
      </c>
      <c r="L665" s="45">
        <v>2699</v>
      </c>
      <c r="M665" s="45">
        <v>2799</v>
      </c>
      <c r="N665" s="45">
        <v>2799</v>
      </c>
      <c r="O665" s="45">
        <f t="shared" si="30"/>
        <v>2499</v>
      </c>
      <c r="P665" s="46">
        <f t="shared" si="30"/>
        <v>2299</v>
      </c>
      <c r="Q665" s="46">
        <v>1499</v>
      </c>
      <c r="R665" s="45">
        <v>2499</v>
      </c>
      <c r="S665" s="45">
        <v>2299</v>
      </c>
      <c r="T665" s="45">
        <v>1499</v>
      </c>
      <c r="U665" s="45">
        <v>1499</v>
      </c>
      <c r="V665" s="45">
        <v>1499</v>
      </c>
      <c r="W665" s="45">
        <v>1499</v>
      </c>
      <c r="X665" s="45">
        <v>1399</v>
      </c>
      <c r="Y665" s="45">
        <v>1199</v>
      </c>
      <c r="Z665" s="45">
        <v>1199</v>
      </c>
      <c r="AA665" s="45">
        <v>1199</v>
      </c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7"/>
      <c r="AW665" s="48" t="s">
        <v>65</v>
      </c>
      <c r="AX665" s="51" t="s">
        <v>82</v>
      </c>
    </row>
    <row r="666" spans="1:50" ht="22.5" customHeight="1">
      <c r="A666" s="52" t="s">
        <v>70</v>
      </c>
      <c r="B666" s="41" t="s">
        <v>62</v>
      </c>
      <c r="C666" s="42">
        <v>4015649</v>
      </c>
      <c r="D666" s="44" t="s">
        <v>893</v>
      </c>
      <c r="E666" s="44" t="s">
        <v>898</v>
      </c>
      <c r="F666" s="45">
        <v>4499</v>
      </c>
      <c r="G666" s="45">
        <v>1699</v>
      </c>
      <c r="H666" s="45">
        <v>2999</v>
      </c>
      <c r="I666" s="45">
        <v>2999</v>
      </c>
      <c r="J666" s="45">
        <v>2799</v>
      </c>
      <c r="K666" s="45">
        <v>2699</v>
      </c>
      <c r="L666" s="45">
        <v>2699</v>
      </c>
      <c r="M666" s="45">
        <v>2799</v>
      </c>
      <c r="N666" s="45">
        <v>2799</v>
      </c>
      <c r="O666" s="45">
        <f t="shared" si="30"/>
        <v>2499</v>
      </c>
      <c r="P666" s="46">
        <f t="shared" si="30"/>
        <v>2299</v>
      </c>
      <c r="Q666" s="46">
        <v>1499</v>
      </c>
      <c r="R666" s="45">
        <v>2499</v>
      </c>
      <c r="S666" s="45">
        <v>2299</v>
      </c>
      <c r="T666" s="45">
        <v>1499</v>
      </c>
      <c r="U666" s="45">
        <v>1499</v>
      </c>
      <c r="V666" s="45">
        <v>1499</v>
      </c>
      <c r="W666" s="45">
        <v>1499</v>
      </c>
      <c r="X666" s="45">
        <v>1399</v>
      </c>
      <c r="Y666" s="45">
        <v>1199</v>
      </c>
      <c r="Z666" s="45">
        <v>1199</v>
      </c>
      <c r="AA666" s="45">
        <v>1199</v>
      </c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7"/>
      <c r="AW666" s="48" t="s">
        <v>65</v>
      </c>
      <c r="AX666" s="51" t="s">
        <v>82</v>
      </c>
    </row>
    <row r="667" spans="1:50" ht="22.5" customHeight="1">
      <c r="A667" s="52" t="s">
        <v>70</v>
      </c>
      <c r="B667" s="41" t="s">
        <v>62</v>
      </c>
      <c r="C667" s="42">
        <v>4015660</v>
      </c>
      <c r="D667" s="44" t="s">
        <v>893</v>
      </c>
      <c r="E667" s="44" t="s">
        <v>899</v>
      </c>
      <c r="F667" s="45">
        <v>4499</v>
      </c>
      <c r="G667" s="45">
        <v>1699</v>
      </c>
      <c r="H667" s="45">
        <v>2999</v>
      </c>
      <c r="I667" s="45">
        <v>2999</v>
      </c>
      <c r="J667" s="45">
        <v>2799</v>
      </c>
      <c r="K667" s="45">
        <v>2699</v>
      </c>
      <c r="L667" s="45">
        <v>2699</v>
      </c>
      <c r="M667" s="45">
        <v>2799</v>
      </c>
      <c r="N667" s="45">
        <v>2799</v>
      </c>
      <c r="O667" s="45">
        <f t="shared" si="30"/>
        <v>2499</v>
      </c>
      <c r="P667" s="46">
        <f t="shared" si="30"/>
        <v>2299</v>
      </c>
      <c r="Q667" s="46">
        <v>1499</v>
      </c>
      <c r="R667" s="45">
        <v>2499</v>
      </c>
      <c r="S667" s="45">
        <v>2299</v>
      </c>
      <c r="T667" s="45">
        <v>1499</v>
      </c>
      <c r="U667" s="45">
        <v>1499</v>
      </c>
      <c r="V667" s="45">
        <v>1499</v>
      </c>
      <c r="W667" s="45">
        <v>1499</v>
      </c>
      <c r="X667" s="45">
        <v>1399</v>
      </c>
      <c r="Y667" s="45">
        <v>1199</v>
      </c>
      <c r="Z667" s="45">
        <v>1199</v>
      </c>
      <c r="AA667" s="45">
        <v>1199</v>
      </c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7"/>
      <c r="AW667" s="48" t="s">
        <v>65</v>
      </c>
      <c r="AX667" s="51" t="s">
        <v>82</v>
      </c>
    </row>
    <row r="668" spans="1:50" ht="22.5" customHeight="1">
      <c r="A668" s="52" t="s">
        <v>70</v>
      </c>
      <c r="B668" s="41" t="s">
        <v>62</v>
      </c>
      <c r="C668" s="42">
        <v>4016031</v>
      </c>
      <c r="D668" s="44" t="s">
        <v>900</v>
      </c>
      <c r="E668" s="44" t="s">
        <v>901</v>
      </c>
      <c r="F668" s="45">
        <v>5999</v>
      </c>
      <c r="G668" s="45">
        <v>1399</v>
      </c>
      <c r="H668" s="45">
        <v>3049</v>
      </c>
      <c r="I668" s="45">
        <v>3049</v>
      </c>
      <c r="J668" s="45">
        <v>2999</v>
      </c>
      <c r="K668" s="45">
        <v>2999</v>
      </c>
      <c r="L668" s="45">
        <v>2999</v>
      </c>
      <c r="M668" s="45">
        <v>2999</v>
      </c>
      <c r="N668" s="45">
        <v>2999</v>
      </c>
      <c r="O668" s="45">
        <v>2899</v>
      </c>
      <c r="P668" s="46">
        <v>2799</v>
      </c>
      <c r="Q668" s="46">
        <v>1499</v>
      </c>
      <c r="R668" s="46">
        <v>2899</v>
      </c>
      <c r="S668" s="46">
        <v>2799</v>
      </c>
      <c r="T668" s="45">
        <v>1499</v>
      </c>
      <c r="U668" s="45">
        <v>1499</v>
      </c>
      <c r="V668" s="45">
        <v>1499</v>
      </c>
      <c r="W668" s="45">
        <v>1499</v>
      </c>
      <c r="X668" s="45">
        <v>1399</v>
      </c>
      <c r="Y668" s="45">
        <v>999</v>
      </c>
      <c r="Z668" s="45">
        <v>999</v>
      </c>
      <c r="AA668" s="45">
        <v>999</v>
      </c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7"/>
      <c r="AW668" s="48" t="s">
        <v>65</v>
      </c>
      <c r="AX668" s="51" t="s">
        <v>82</v>
      </c>
    </row>
    <row r="669" spans="1:50" ht="22.5" customHeight="1">
      <c r="A669" s="52" t="s">
        <v>70</v>
      </c>
      <c r="B669" s="41" t="s">
        <v>62</v>
      </c>
      <c r="C669" s="42">
        <v>4016063</v>
      </c>
      <c r="D669" s="44" t="s">
        <v>900</v>
      </c>
      <c r="E669" s="44" t="s">
        <v>902</v>
      </c>
      <c r="F669" s="45">
        <v>5999</v>
      </c>
      <c r="G669" s="45">
        <v>1399</v>
      </c>
      <c r="H669" s="45">
        <v>3049</v>
      </c>
      <c r="I669" s="45">
        <v>3049</v>
      </c>
      <c r="J669" s="45">
        <v>2999</v>
      </c>
      <c r="K669" s="45">
        <v>2999</v>
      </c>
      <c r="L669" s="45">
        <v>2999</v>
      </c>
      <c r="M669" s="45">
        <v>2999</v>
      </c>
      <c r="N669" s="45">
        <v>2999</v>
      </c>
      <c r="O669" s="45">
        <v>2899</v>
      </c>
      <c r="P669" s="46">
        <v>2799</v>
      </c>
      <c r="Q669" s="46">
        <v>1499</v>
      </c>
      <c r="R669" s="46">
        <v>2899</v>
      </c>
      <c r="S669" s="46">
        <v>2799</v>
      </c>
      <c r="T669" s="45">
        <v>1499</v>
      </c>
      <c r="U669" s="45">
        <v>1499</v>
      </c>
      <c r="V669" s="45">
        <v>1499</v>
      </c>
      <c r="W669" s="45">
        <v>1499</v>
      </c>
      <c r="X669" s="45">
        <v>1399</v>
      </c>
      <c r="Y669" s="45">
        <v>999</v>
      </c>
      <c r="Z669" s="45">
        <v>999</v>
      </c>
      <c r="AA669" s="45">
        <v>999</v>
      </c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7"/>
      <c r="AW669" s="48" t="s">
        <v>65</v>
      </c>
      <c r="AX669" s="51" t="s">
        <v>82</v>
      </c>
    </row>
    <row r="670" spans="1:50" ht="22.5" customHeight="1">
      <c r="A670" s="52" t="s">
        <v>70</v>
      </c>
      <c r="B670" s="41" t="s">
        <v>62</v>
      </c>
      <c r="C670" s="42">
        <v>4015884</v>
      </c>
      <c r="D670" s="44" t="s">
        <v>900</v>
      </c>
      <c r="E670" s="44" t="s">
        <v>903</v>
      </c>
      <c r="F670" s="45">
        <v>5999</v>
      </c>
      <c r="G670" s="45">
        <v>1399</v>
      </c>
      <c r="H670" s="45">
        <v>3049</v>
      </c>
      <c r="I670" s="45">
        <v>3049</v>
      </c>
      <c r="J670" s="45">
        <v>2999</v>
      </c>
      <c r="K670" s="45">
        <v>2999</v>
      </c>
      <c r="L670" s="45">
        <v>2999</v>
      </c>
      <c r="M670" s="45">
        <v>2999</v>
      </c>
      <c r="N670" s="45">
        <v>2999</v>
      </c>
      <c r="O670" s="45">
        <v>2899</v>
      </c>
      <c r="P670" s="46">
        <v>2799</v>
      </c>
      <c r="Q670" s="46">
        <v>1499</v>
      </c>
      <c r="R670" s="46">
        <v>2899</v>
      </c>
      <c r="S670" s="46">
        <v>2799</v>
      </c>
      <c r="T670" s="45">
        <v>1499</v>
      </c>
      <c r="U670" s="45">
        <v>1499</v>
      </c>
      <c r="V670" s="45">
        <v>1499</v>
      </c>
      <c r="W670" s="45">
        <v>1499</v>
      </c>
      <c r="X670" s="45">
        <v>1399</v>
      </c>
      <c r="Y670" s="45">
        <v>999</v>
      </c>
      <c r="Z670" s="45">
        <v>999</v>
      </c>
      <c r="AA670" s="45">
        <v>999</v>
      </c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7"/>
      <c r="AW670" s="48" t="s">
        <v>65</v>
      </c>
      <c r="AX670" s="51" t="s">
        <v>82</v>
      </c>
    </row>
    <row r="671" spans="1:50" ht="22.5" customHeight="1">
      <c r="A671" s="52" t="s">
        <v>70</v>
      </c>
      <c r="B671" s="41" t="s">
        <v>62</v>
      </c>
      <c r="C671" s="42">
        <v>4016047</v>
      </c>
      <c r="D671" s="44" t="s">
        <v>900</v>
      </c>
      <c r="E671" s="44" t="s">
        <v>904</v>
      </c>
      <c r="F671" s="45">
        <v>5999</v>
      </c>
      <c r="G671" s="45">
        <v>1399</v>
      </c>
      <c r="H671" s="45">
        <v>3049</v>
      </c>
      <c r="I671" s="45">
        <v>3049</v>
      </c>
      <c r="J671" s="45">
        <v>2999</v>
      </c>
      <c r="K671" s="45">
        <v>2999</v>
      </c>
      <c r="L671" s="45">
        <v>2999</v>
      </c>
      <c r="M671" s="45">
        <v>2999</v>
      </c>
      <c r="N671" s="45">
        <v>2999</v>
      </c>
      <c r="O671" s="45">
        <v>2899</v>
      </c>
      <c r="P671" s="46">
        <v>2799</v>
      </c>
      <c r="Q671" s="46">
        <v>1499</v>
      </c>
      <c r="R671" s="46">
        <v>2899</v>
      </c>
      <c r="S671" s="46">
        <v>2799</v>
      </c>
      <c r="T671" s="45">
        <v>1499</v>
      </c>
      <c r="U671" s="45">
        <v>1499</v>
      </c>
      <c r="V671" s="45">
        <v>1499</v>
      </c>
      <c r="W671" s="45">
        <v>1499</v>
      </c>
      <c r="X671" s="45">
        <v>1399</v>
      </c>
      <c r="Y671" s="45">
        <v>999</v>
      </c>
      <c r="Z671" s="45">
        <v>999</v>
      </c>
      <c r="AA671" s="45">
        <v>999</v>
      </c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7"/>
      <c r="AW671" s="48" t="s">
        <v>65</v>
      </c>
      <c r="AX671" s="51" t="s">
        <v>82</v>
      </c>
    </row>
    <row r="672" spans="1:50" ht="22.5" customHeight="1">
      <c r="A672" s="52" t="s">
        <v>70</v>
      </c>
      <c r="B672" s="41" t="s">
        <v>62</v>
      </c>
      <c r="C672" s="42">
        <v>4016039</v>
      </c>
      <c r="D672" s="44" t="s">
        <v>900</v>
      </c>
      <c r="E672" s="44" t="s">
        <v>905</v>
      </c>
      <c r="F672" s="45">
        <v>5999</v>
      </c>
      <c r="G672" s="45">
        <v>1399</v>
      </c>
      <c r="H672" s="45">
        <v>3049</v>
      </c>
      <c r="I672" s="45">
        <v>3049</v>
      </c>
      <c r="J672" s="45">
        <v>2999</v>
      </c>
      <c r="K672" s="45">
        <v>2999</v>
      </c>
      <c r="L672" s="45">
        <v>2999</v>
      </c>
      <c r="M672" s="45">
        <v>2999</v>
      </c>
      <c r="N672" s="45">
        <v>2999</v>
      </c>
      <c r="O672" s="45">
        <v>2899</v>
      </c>
      <c r="P672" s="46">
        <v>2799</v>
      </c>
      <c r="Q672" s="46">
        <v>1499</v>
      </c>
      <c r="R672" s="46">
        <v>2899</v>
      </c>
      <c r="S672" s="46">
        <v>2799</v>
      </c>
      <c r="T672" s="45">
        <v>1499</v>
      </c>
      <c r="U672" s="45">
        <v>1499</v>
      </c>
      <c r="V672" s="45">
        <v>1499</v>
      </c>
      <c r="W672" s="45">
        <v>1499</v>
      </c>
      <c r="X672" s="45">
        <v>1399</v>
      </c>
      <c r="Y672" s="45">
        <v>999</v>
      </c>
      <c r="Z672" s="45">
        <v>999</v>
      </c>
      <c r="AA672" s="45">
        <v>999</v>
      </c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7"/>
      <c r="AW672" s="48" t="s">
        <v>65</v>
      </c>
      <c r="AX672" s="51" t="s">
        <v>82</v>
      </c>
    </row>
    <row r="673" spans="1:50" ht="22.5" customHeight="1">
      <c r="A673" s="52" t="s">
        <v>70</v>
      </c>
      <c r="B673" s="41" t="s">
        <v>62</v>
      </c>
      <c r="C673" s="42">
        <v>4016071</v>
      </c>
      <c r="D673" s="44" t="s">
        <v>900</v>
      </c>
      <c r="E673" s="44" t="s">
        <v>906</v>
      </c>
      <c r="F673" s="45">
        <v>5999</v>
      </c>
      <c r="G673" s="45">
        <v>1399</v>
      </c>
      <c r="H673" s="45">
        <v>3049</v>
      </c>
      <c r="I673" s="45">
        <v>3049</v>
      </c>
      <c r="J673" s="45">
        <v>2999</v>
      </c>
      <c r="K673" s="45">
        <v>2999</v>
      </c>
      <c r="L673" s="45">
        <v>2999</v>
      </c>
      <c r="M673" s="45">
        <v>2999</v>
      </c>
      <c r="N673" s="45">
        <v>2999</v>
      </c>
      <c r="O673" s="45">
        <v>2899</v>
      </c>
      <c r="P673" s="46">
        <v>2799</v>
      </c>
      <c r="Q673" s="46">
        <v>1499</v>
      </c>
      <c r="R673" s="46">
        <v>2899</v>
      </c>
      <c r="S673" s="46">
        <v>2799</v>
      </c>
      <c r="T673" s="45">
        <v>1499</v>
      </c>
      <c r="U673" s="45">
        <v>1499</v>
      </c>
      <c r="V673" s="45">
        <v>1499</v>
      </c>
      <c r="W673" s="45">
        <v>1499</v>
      </c>
      <c r="X673" s="45">
        <v>1399</v>
      </c>
      <c r="Y673" s="45">
        <v>999</v>
      </c>
      <c r="Z673" s="45">
        <v>999</v>
      </c>
      <c r="AA673" s="45">
        <v>999</v>
      </c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7"/>
      <c r="AW673" s="48" t="s">
        <v>65</v>
      </c>
      <c r="AX673" s="51" t="s">
        <v>82</v>
      </c>
    </row>
    <row r="674" spans="1:50" ht="22.5" customHeight="1">
      <c r="A674" s="52" t="s">
        <v>70</v>
      </c>
      <c r="B674" s="41" t="s">
        <v>62</v>
      </c>
      <c r="C674" s="42">
        <v>4016023</v>
      </c>
      <c r="D674" s="44" t="s">
        <v>900</v>
      </c>
      <c r="E674" s="44" t="s">
        <v>907</v>
      </c>
      <c r="F674" s="45">
        <v>5999</v>
      </c>
      <c r="G674" s="45">
        <v>1399</v>
      </c>
      <c r="H674" s="45">
        <v>3049</v>
      </c>
      <c r="I674" s="45">
        <v>3049</v>
      </c>
      <c r="J674" s="45">
        <v>2999</v>
      </c>
      <c r="K674" s="45">
        <v>2999</v>
      </c>
      <c r="L674" s="45">
        <v>2999</v>
      </c>
      <c r="M674" s="45">
        <v>2999</v>
      </c>
      <c r="N674" s="45">
        <v>2999</v>
      </c>
      <c r="O674" s="45">
        <v>2899</v>
      </c>
      <c r="P674" s="46">
        <v>2799</v>
      </c>
      <c r="Q674" s="46">
        <v>1499</v>
      </c>
      <c r="R674" s="46">
        <v>2899</v>
      </c>
      <c r="S674" s="46">
        <v>2799</v>
      </c>
      <c r="T674" s="45">
        <v>1499</v>
      </c>
      <c r="U674" s="45">
        <v>1499</v>
      </c>
      <c r="V674" s="45">
        <v>1499</v>
      </c>
      <c r="W674" s="45">
        <v>1499</v>
      </c>
      <c r="X674" s="45">
        <v>1399</v>
      </c>
      <c r="Y674" s="45">
        <v>999</v>
      </c>
      <c r="Z674" s="45">
        <v>999</v>
      </c>
      <c r="AA674" s="45">
        <v>999</v>
      </c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7"/>
      <c r="AW674" s="48" t="s">
        <v>65</v>
      </c>
      <c r="AX674" s="51" t="s">
        <v>82</v>
      </c>
    </row>
    <row r="675" spans="1:50" ht="22.5" customHeight="1">
      <c r="A675" s="52" t="s">
        <v>70</v>
      </c>
      <c r="B675" s="41" t="s">
        <v>62</v>
      </c>
      <c r="C675" s="42">
        <v>4016055</v>
      </c>
      <c r="D675" s="44" t="s">
        <v>900</v>
      </c>
      <c r="E675" s="44" t="s">
        <v>908</v>
      </c>
      <c r="F675" s="45">
        <v>5999</v>
      </c>
      <c r="G675" s="45">
        <v>1399</v>
      </c>
      <c r="H675" s="45">
        <v>3049</v>
      </c>
      <c r="I675" s="45">
        <v>3049</v>
      </c>
      <c r="J675" s="45">
        <v>2999</v>
      </c>
      <c r="K675" s="45">
        <v>2999</v>
      </c>
      <c r="L675" s="45">
        <v>2999</v>
      </c>
      <c r="M675" s="45">
        <v>2999</v>
      </c>
      <c r="N675" s="45">
        <v>2999</v>
      </c>
      <c r="O675" s="45">
        <v>2899</v>
      </c>
      <c r="P675" s="46">
        <v>2799</v>
      </c>
      <c r="Q675" s="46">
        <v>1499</v>
      </c>
      <c r="R675" s="46">
        <v>2899</v>
      </c>
      <c r="S675" s="46">
        <v>2799</v>
      </c>
      <c r="T675" s="45">
        <v>1499</v>
      </c>
      <c r="U675" s="45">
        <v>1499</v>
      </c>
      <c r="V675" s="45">
        <v>1499</v>
      </c>
      <c r="W675" s="45">
        <v>1499</v>
      </c>
      <c r="X675" s="45">
        <v>1399</v>
      </c>
      <c r="Y675" s="45">
        <v>999</v>
      </c>
      <c r="Z675" s="45">
        <v>999</v>
      </c>
      <c r="AA675" s="45">
        <v>999</v>
      </c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7"/>
      <c r="AW675" s="48" t="s">
        <v>65</v>
      </c>
      <c r="AX675" s="51" t="s">
        <v>82</v>
      </c>
    </row>
    <row r="676" spans="1:50" ht="22.5" customHeight="1">
      <c r="A676" s="52" t="s">
        <v>70</v>
      </c>
      <c r="B676" s="41" t="s">
        <v>62</v>
      </c>
      <c r="C676" s="42">
        <v>4016034</v>
      </c>
      <c r="D676" s="44" t="s">
        <v>909</v>
      </c>
      <c r="E676" s="44" t="s">
        <v>910</v>
      </c>
      <c r="F676" s="45">
        <v>6499</v>
      </c>
      <c r="G676" s="45">
        <v>1699</v>
      </c>
      <c r="H676" s="45">
        <v>3349</v>
      </c>
      <c r="I676" s="45">
        <v>3349</v>
      </c>
      <c r="J676" s="45">
        <v>3299</v>
      </c>
      <c r="K676" s="45">
        <v>3299</v>
      </c>
      <c r="L676" s="45">
        <v>3299</v>
      </c>
      <c r="M676" s="45">
        <v>3299</v>
      </c>
      <c r="N676" s="45">
        <v>3299</v>
      </c>
      <c r="O676" s="45">
        <v>3199</v>
      </c>
      <c r="P676" s="46">
        <v>3099</v>
      </c>
      <c r="Q676" s="46">
        <v>1799</v>
      </c>
      <c r="R676" s="45">
        <v>3199</v>
      </c>
      <c r="S676" s="45">
        <v>3099</v>
      </c>
      <c r="T676" s="45">
        <v>1799</v>
      </c>
      <c r="U676" s="45">
        <v>1799</v>
      </c>
      <c r="V676" s="45">
        <v>1799</v>
      </c>
      <c r="W676" s="45">
        <v>1799</v>
      </c>
      <c r="X676" s="45">
        <v>1699</v>
      </c>
      <c r="Y676" s="45">
        <v>1499</v>
      </c>
      <c r="Z676" s="45">
        <v>1499</v>
      </c>
      <c r="AA676" s="45">
        <v>1499</v>
      </c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7"/>
      <c r="AW676" s="48" t="s">
        <v>65</v>
      </c>
      <c r="AX676" s="51" t="s">
        <v>82</v>
      </c>
    </row>
    <row r="677" spans="1:50" ht="22.5" customHeight="1">
      <c r="A677" s="52" t="s">
        <v>70</v>
      </c>
      <c r="B677" s="41" t="s">
        <v>62</v>
      </c>
      <c r="C677" s="42">
        <v>4016066</v>
      </c>
      <c r="D677" s="44" t="s">
        <v>909</v>
      </c>
      <c r="E677" s="44" t="s">
        <v>911</v>
      </c>
      <c r="F677" s="45">
        <v>6499</v>
      </c>
      <c r="G677" s="45">
        <v>1699</v>
      </c>
      <c r="H677" s="45">
        <v>3349</v>
      </c>
      <c r="I677" s="45">
        <v>3349</v>
      </c>
      <c r="J677" s="45">
        <v>3299</v>
      </c>
      <c r="K677" s="45">
        <v>3299</v>
      </c>
      <c r="L677" s="45">
        <v>3299</v>
      </c>
      <c r="M677" s="45">
        <v>3299</v>
      </c>
      <c r="N677" s="45">
        <v>3299</v>
      </c>
      <c r="O677" s="45">
        <v>3199</v>
      </c>
      <c r="P677" s="46">
        <v>3099</v>
      </c>
      <c r="Q677" s="46">
        <v>1799</v>
      </c>
      <c r="R677" s="45">
        <v>3199</v>
      </c>
      <c r="S677" s="45">
        <v>3099</v>
      </c>
      <c r="T677" s="45">
        <v>1799</v>
      </c>
      <c r="U677" s="45">
        <v>1799</v>
      </c>
      <c r="V677" s="45">
        <v>1799</v>
      </c>
      <c r="W677" s="45">
        <v>1799</v>
      </c>
      <c r="X677" s="45">
        <v>1699</v>
      </c>
      <c r="Y677" s="45">
        <v>1499</v>
      </c>
      <c r="Z677" s="45">
        <v>1499</v>
      </c>
      <c r="AA677" s="45">
        <v>1499</v>
      </c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7"/>
      <c r="AW677" s="48" t="s">
        <v>65</v>
      </c>
      <c r="AX677" s="51" t="s">
        <v>82</v>
      </c>
    </row>
    <row r="678" spans="1:50" ht="22.5" customHeight="1">
      <c r="A678" s="52" t="s">
        <v>70</v>
      </c>
      <c r="B678" s="41" t="s">
        <v>62</v>
      </c>
      <c r="C678" s="42">
        <v>4016020</v>
      </c>
      <c r="D678" s="44" t="s">
        <v>909</v>
      </c>
      <c r="E678" s="44" t="s">
        <v>912</v>
      </c>
      <c r="F678" s="45">
        <v>6499</v>
      </c>
      <c r="G678" s="45">
        <v>1699</v>
      </c>
      <c r="H678" s="45">
        <v>3349</v>
      </c>
      <c r="I678" s="45">
        <v>3349</v>
      </c>
      <c r="J678" s="45">
        <v>3299</v>
      </c>
      <c r="K678" s="45">
        <v>3299</v>
      </c>
      <c r="L678" s="45">
        <v>3299</v>
      </c>
      <c r="M678" s="45">
        <v>3299</v>
      </c>
      <c r="N678" s="45">
        <v>3299</v>
      </c>
      <c r="O678" s="45">
        <v>3199</v>
      </c>
      <c r="P678" s="46">
        <v>3099</v>
      </c>
      <c r="Q678" s="46">
        <v>1799</v>
      </c>
      <c r="R678" s="45">
        <v>3199</v>
      </c>
      <c r="S678" s="45">
        <v>3099</v>
      </c>
      <c r="T678" s="45">
        <v>1799</v>
      </c>
      <c r="U678" s="45">
        <v>1799</v>
      </c>
      <c r="V678" s="45">
        <v>1799</v>
      </c>
      <c r="W678" s="45">
        <v>1799</v>
      </c>
      <c r="X678" s="45">
        <v>1699</v>
      </c>
      <c r="Y678" s="45">
        <v>1499</v>
      </c>
      <c r="Z678" s="45">
        <v>1499</v>
      </c>
      <c r="AA678" s="45">
        <v>1499</v>
      </c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7"/>
      <c r="AW678" s="48" t="s">
        <v>65</v>
      </c>
      <c r="AX678" s="51" t="s">
        <v>82</v>
      </c>
    </row>
    <row r="679" spans="1:50" ht="22.5" customHeight="1">
      <c r="A679" s="52" t="s">
        <v>70</v>
      </c>
      <c r="B679" s="41" t="s">
        <v>62</v>
      </c>
      <c r="C679" s="42">
        <v>4016048</v>
      </c>
      <c r="D679" s="44" t="s">
        <v>909</v>
      </c>
      <c r="E679" s="44" t="s">
        <v>913</v>
      </c>
      <c r="F679" s="45">
        <v>6499</v>
      </c>
      <c r="G679" s="45">
        <v>1699</v>
      </c>
      <c r="H679" s="45">
        <v>3349</v>
      </c>
      <c r="I679" s="45">
        <v>3349</v>
      </c>
      <c r="J679" s="45">
        <v>3299</v>
      </c>
      <c r="K679" s="45">
        <v>3299</v>
      </c>
      <c r="L679" s="45">
        <v>3299</v>
      </c>
      <c r="M679" s="45">
        <v>3299</v>
      </c>
      <c r="N679" s="45">
        <v>3299</v>
      </c>
      <c r="O679" s="45">
        <v>3199</v>
      </c>
      <c r="P679" s="46">
        <v>3099</v>
      </c>
      <c r="Q679" s="46">
        <v>1799</v>
      </c>
      <c r="R679" s="45">
        <v>3199</v>
      </c>
      <c r="S679" s="45">
        <v>3099</v>
      </c>
      <c r="T679" s="45">
        <v>1799</v>
      </c>
      <c r="U679" s="45">
        <v>1799</v>
      </c>
      <c r="V679" s="45">
        <v>1799</v>
      </c>
      <c r="W679" s="45">
        <v>1799</v>
      </c>
      <c r="X679" s="45">
        <v>1699</v>
      </c>
      <c r="Y679" s="45">
        <v>1499</v>
      </c>
      <c r="Z679" s="45">
        <v>1499</v>
      </c>
      <c r="AA679" s="45">
        <v>1499</v>
      </c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7"/>
      <c r="AW679" s="48" t="s">
        <v>65</v>
      </c>
      <c r="AX679" s="51" t="s">
        <v>82</v>
      </c>
    </row>
    <row r="680" spans="1:50" ht="22.5" customHeight="1">
      <c r="A680" s="52" t="s">
        <v>70</v>
      </c>
      <c r="B680" s="41" t="s">
        <v>62</v>
      </c>
      <c r="C680" s="42">
        <v>4016042</v>
      </c>
      <c r="D680" s="44" t="s">
        <v>909</v>
      </c>
      <c r="E680" s="44" t="s">
        <v>914</v>
      </c>
      <c r="F680" s="45">
        <v>6499</v>
      </c>
      <c r="G680" s="45">
        <v>1699</v>
      </c>
      <c r="H680" s="45">
        <v>3349</v>
      </c>
      <c r="I680" s="45">
        <v>3349</v>
      </c>
      <c r="J680" s="45">
        <v>3299</v>
      </c>
      <c r="K680" s="45">
        <v>3299</v>
      </c>
      <c r="L680" s="45">
        <v>3299</v>
      </c>
      <c r="M680" s="45">
        <v>3299</v>
      </c>
      <c r="N680" s="45">
        <v>3299</v>
      </c>
      <c r="O680" s="45">
        <v>3199</v>
      </c>
      <c r="P680" s="46">
        <v>3099</v>
      </c>
      <c r="Q680" s="46">
        <v>1799</v>
      </c>
      <c r="R680" s="45">
        <v>3199</v>
      </c>
      <c r="S680" s="45">
        <v>3099</v>
      </c>
      <c r="T680" s="45">
        <v>1799</v>
      </c>
      <c r="U680" s="45">
        <v>1799</v>
      </c>
      <c r="V680" s="45">
        <v>1799</v>
      </c>
      <c r="W680" s="45">
        <v>1799</v>
      </c>
      <c r="X680" s="45">
        <v>1699</v>
      </c>
      <c r="Y680" s="45">
        <v>1499</v>
      </c>
      <c r="Z680" s="45">
        <v>1499</v>
      </c>
      <c r="AA680" s="45">
        <v>1499</v>
      </c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7"/>
      <c r="AW680" s="48" t="s">
        <v>65</v>
      </c>
      <c r="AX680" s="51" t="s">
        <v>82</v>
      </c>
    </row>
    <row r="681" spans="1:50" ht="22.5" customHeight="1">
      <c r="A681" s="52" t="s">
        <v>70</v>
      </c>
      <c r="B681" s="41" t="s">
        <v>62</v>
      </c>
      <c r="C681" s="42">
        <v>4016076</v>
      </c>
      <c r="D681" s="44" t="s">
        <v>909</v>
      </c>
      <c r="E681" s="44" t="s">
        <v>915</v>
      </c>
      <c r="F681" s="45">
        <v>6499</v>
      </c>
      <c r="G681" s="45">
        <v>1699</v>
      </c>
      <c r="H681" s="45">
        <v>3349</v>
      </c>
      <c r="I681" s="45">
        <v>3349</v>
      </c>
      <c r="J681" s="45">
        <v>3299</v>
      </c>
      <c r="K681" s="45">
        <v>3299</v>
      </c>
      <c r="L681" s="45">
        <v>3299</v>
      </c>
      <c r="M681" s="45">
        <v>3299</v>
      </c>
      <c r="N681" s="45">
        <v>3299</v>
      </c>
      <c r="O681" s="45">
        <v>3199</v>
      </c>
      <c r="P681" s="46">
        <v>3099</v>
      </c>
      <c r="Q681" s="46">
        <v>1799</v>
      </c>
      <c r="R681" s="45">
        <v>3199</v>
      </c>
      <c r="S681" s="45">
        <v>3099</v>
      </c>
      <c r="T681" s="45">
        <v>1799</v>
      </c>
      <c r="U681" s="45">
        <v>1799</v>
      </c>
      <c r="V681" s="45">
        <v>1799</v>
      </c>
      <c r="W681" s="45">
        <v>1799</v>
      </c>
      <c r="X681" s="45">
        <v>1699</v>
      </c>
      <c r="Y681" s="45">
        <v>1499</v>
      </c>
      <c r="Z681" s="45">
        <v>1499</v>
      </c>
      <c r="AA681" s="45">
        <v>1499</v>
      </c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7"/>
      <c r="AW681" s="48" t="s">
        <v>65</v>
      </c>
      <c r="AX681" s="51" t="s">
        <v>82</v>
      </c>
    </row>
    <row r="682" spans="1:50" ht="22.5" customHeight="1">
      <c r="A682" s="52" t="s">
        <v>70</v>
      </c>
      <c r="B682" s="41" t="s">
        <v>62</v>
      </c>
      <c r="C682" s="42">
        <v>4016027</v>
      </c>
      <c r="D682" s="44" t="s">
        <v>909</v>
      </c>
      <c r="E682" s="44" t="s">
        <v>916</v>
      </c>
      <c r="F682" s="45">
        <v>6499</v>
      </c>
      <c r="G682" s="45">
        <v>1699</v>
      </c>
      <c r="H682" s="45">
        <v>3349</v>
      </c>
      <c r="I682" s="45">
        <v>3349</v>
      </c>
      <c r="J682" s="45">
        <v>3299</v>
      </c>
      <c r="K682" s="45">
        <v>3299</v>
      </c>
      <c r="L682" s="45">
        <v>3299</v>
      </c>
      <c r="M682" s="45">
        <v>3299</v>
      </c>
      <c r="N682" s="45">
        <v>3299</v>
      </c>
      <c r="O682" s="45">
        <v>3199</v>
      </c>
      <c r="P682" s="46">
        <v>3099</v>
      </c>
      <c r="Q682" s="46">
        <v>1799</v>
      </c>
      <c r="R682" s="45">
        <v>3199</v>
      </c>
      <c r="S682" s="45">
        <v>3099</v>
      </c>
      <c r="T682" s="45">
        <v>1799</v>
      </c>
      <c r="U682" s="45">
        <v>1799</v>
      </c>
      <c r="V682" s="45">
        <v>1799</v>
      </c>
      <c r="W682" s="45">
        <v>1799</v>
      </c>
      <c r="X682" s="45">
        <v>1699</v>
      </c>
      <c r="Y682" s="45">
        <v>1499</v>
      </c>
      <c r="Z682" s="45">
        <v>1499</v>
      </c>
      <c r="AA682" s="45">
        <v>1499</v>
      </c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7"/>
      <c r="AW682" s="48" t="s">
        <v>65</v>
      </c>
      <c r="AX682" s="51" t="s">
        <v>82</v>
      </c>
    </row>
    <row r="683" spans="1:50" ht="22.5" customHeight="1">
      <c r="A683" s="52" t="s">
        <v>70</v>
      </c>
      <c r="B683" s="41" t="s">
        <v>62</v>
      </c>
      <c r="C683" s="42">
        <v>4016057</v>
      </c>
      <c r="D683" s="44" t="s">
        <v>909</v>
      </c>
      <c r="E683" s="44" t="s">
        <v>917</v>
      </c>
      <c r="F683" s="45">
        <v>6499</v>
      </c>
      <c r="G683" s="45">
        <v>1699</v>
      </c>
      <c r="H683" s="45">
        <v>3349</v>
      </c>
      <c r="I683" s="45">
        <v>3349</v>
      </c>
      <c r="J683" s="45">
        <v>3299</v>
      </c>
      <c r="K683" s="45">
        <v>3299</v>
      </c>
      <c r="L683" s="45">
        <v>3299</v>
      </c>
      <c r="M683" s="45">
        <v>3299</v>
      </c>
      <c r="N683" s="45">
        <v>3299</v>
      </c>
      <c r="O683" s="45">
        <v>3199</v>
      </c>
      <c r="P683" s="46">
        <v>3099</v>
      </c>
      <c r="Q683" s="46">
        <v>1799</v>
      </c>
      <c r="R683" s="45">
        <v>3199</v>
      </c>
      <c r="S683" s="45">
        <v>3099</v>
      </c>
      <c r="T683" s="45">
        <v>1799</v>
      </c>
      <c r="U683" s="45">
        <v>1799</v>
      </c>
      <c r="V683" s="45">
        <v>1799</v>
      </c>
      <c r="W683" s="45">
        <v>1799</v>
      </c>
      <c r="X683" s="45">
        <v>1699</v>
      </c>
      <c r="Y683" s="45">
        <v>1499</v>
      </c>
      <c r="Z683" s="45">
        <v>1499</v>
      </c>
      <c r="AA683" s="45">
        <v>1499</v>
      </c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7"/>
      <c r="AW683" s="48" t="s">
        <v>65</v>
      </c>
      <c r="AX683" s="51" t="s">
        <v>82</v>
      </c>
    </row>
    <row r="684" spans="1:50" ht="22.5" customHeight="1">
      <c r="A684" s="52" t="s">
        <v>70</v>
      </c>
      <c r="B684" s="41" t="s">
        <v>62</v>
      </c>
      <c r="C684" s="42">
        <v>4016040</v>
      </c>
      <c r="D684" s="44" t="s">
        <v>918</v>
      </c>
      <c r="E684" s="44" t="s">
        <v>919</v>
      </c>
      <c r="F684" s="45">
        <v>6999</v>
      </c>
      <c r="G684" s="45">
        <v>2899</v>
      </c>
      <c r="H684" s="45">
        <v>4349</v>
      </c>
      <c r="I684" s="45">
        <v>4349</v>
      </c>
      <c r="J684" s="45">
        <v>4299</v>
      </c>
      <c r="K684" s="45">
        <v>4299</v>
      </c>
      <c r="L684" s="45">
        <v>4299</v>
      </c>
      <c r="M684" s="45">
        <v>4299</v>
      </c>
      <c r="N684" s="45">
        <v>4299</v>
      </c>
      <c r="O684" s="45">
        <v>4199</v>
      </c>
      <c r="P684" s="46">
        <v>4099</v>
      </c>
      <c r="Q684" s="46">
        <v>2999</v>
      </c>
      <c r="R684" s="45">
        <v>4199</v>
      </c>
      <c r="S684" s="45">
        <v>4099</v>
      </c>
      <c r="T684" s="45">
        <v>2999</v>
      </c>
      <c r="U684" s="45">
        <v>2999</v>
      </c>
      <c r="V684" s="45">
        <v>2999</v>
      </c>
      <c r="W684" s="45">
        <v>2999</v>
      </c>
      <c r="X684" s="45">
        <v>2899</v>
      </c>
      <c r="Y684" s="45">
        <v>1999</v>
      </c>
      <c r="Z684" s="45">
        <v>1999</v>
      </c>
      <c r="AA684" s="45">
        <v>1999</v>
      </c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7"/>
      <c r="AW684" s="48" t="s">
        <v>65</v>
      </c>
      <c r="AX684" s="51" t="s">
        <v>82</v>
      </c>
    </row>
    <row r="685" spans="1:50" ht="22.5" customHeight="1">
      <c r="A685" s="52" t="s">
        <v>70</v>
      </c>
      <c r="B685" s="41" t="s">
        <v>62</v>
      </c>
      <c r="C685" s="42">
        <v>4015889</v>
      </c>
      <c r="D685" s="44" t="s">
        <v>918</v>
      </c>
      <c r="E685" s="44" t="s">
        <v>920</v>
      </c>
      <c r="F685" s="45">
        <v>6999</v>
      </c>
      <c r="G685" s="45">
        <v>2899</v>
      </c>
      <c r="H685" s="45">
        <v>4349</v>
      </c>
      <c r="I685" s="45">
        <v>4349</v>
      </c>
      <c r="J685" s="45">
        <v>4299</v>
      </c>
      <c r="K685" s="45">
        <v>4299</v>
      </c>
      <c r="L685" s="45">
        <v>4299</v>
      </c>
      <c r="M685" s="45">
        <v>4299</v>
      </c>
      <c r="N685" s="45">
        <v>4299</v>
      </c>
      <c r="O685" s="45">
        <v>4199</v>
      </c>
      <c r="P685" s="46">
        <v>4099</v>
      </c>
      <c r="Q685" s="46">
        <v>2999</v>
      </c>
      <c r="R685" s="45">
        <v>4199</v>
      </c>
      <c r="S685" s="45">
        <v>4099</v>
      </c>
      <c r="T685" s="45">
        <v>2999</v>
      </c>
      <c r="U685" s="45">
        <v>2999</v>
      </c>
      <c r="V685" s="45">
        <v>2999</v>
      </c>
      <c r="W685" s="45">
        <v>2999</v>
      </c>
      <c r="X685" s="45">
        <v>2899</v>
      </c>
      <c r="Y685" s="45">
        <v>1999</v>
      </c>
      <c r="Z685" s="45">
        <v>1999</v>
      </c>
      <c r="AA685" s="45">
        <v>1999</v>
      </c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7"/>
      <c r="AW685" s="48" t="s">
        <v>65</v>
      </c>
      <c r="AX685" s="51" t="s">
        <v>82</v>
      </c>
    </row>
    <row r="686" spans="1:50" ht="22.5" customHeight="1">
      <c r="A686" s="52" t="s">
        <v>70</v>
      </c>
      <c r="B686" s="41" t="s">
        <v>62</v>
      </c>
      <c r="C686" s="42">
        <v>4016049</v>
      </c>
      <c r="D686" s="44" t="s">
        <v>918</v>
      </c>
      <c r="E686" s="44" t="s">
        <v>921</v>
      </c>
      <c r="F686" s="45">
        <v>6999</v>
      </c>
      <c r="G686" s="45">
        <v>2899</v>
      </c>
      <c r="H686" s="45">
        <v>4349</v>
      </c>
      <c r="I686" s="45">
        <v>4349</v>
      </c>
      <c r="J686" s="45">
        <v>4299</v>
      </c>
      <c r="K686" s="45">
        <v>4299</v>
      </c>
      <c r="L686" s="45">
        <v>4299</v>
      </c>
      <c r="M686" s="45">
        <v>4299</v>
      </c>
      <c r="N686" s="45">
        <v>4299</v>
      </c>
      <c r="O686" s="45">
        <v>4199</v>
      </c>
      <c r="P686" s="46">
        <v>4099</v>
      </c>
      <c r="Q686" s="46">
        <v>2999</v>
      </c>
      <c r="R686" s="45">
        <v>4199</v>
      </c>
      <c r="S686" s="45">
        <v>4099</v>
      </c>
      <c r="T686" s="45">
        <v>2999</v>
      </c>
      <c r="U686" s="45">
        <v>2999</v>
      </c>
      <c r="V686" s="45">
        <v>2999</v>
      </c>
      <c r="W686" s="45">
        <v>2999</v>
      </c>
      <c r="X686" s="45">
        <v>2899</v>
      </c>
      <c r="Y686" s="45">
        <v>1999</v>
      </c>
      <c r="Z686" s="45">
        <v>1999</v>
      </c>
      <c r="AA686" s="45">
        <v>1999</v>
      </c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7"/>
      <c r="AW686" s="48" t="s">
        <v>65</v>
      </c>
      <c r="AX686" s="51" t="s">
        <v>82</v>
      </c>
    </row>
    <row r="687" spans="1:50" ht="22.5" customHeight="1">
      <c r="A687" s="52" t="s">
        <v>70</v>
      </c>
      <c r="B687" s="41" t="s">
        <v>62</v>
      </c>
      <c r="C687" s="42">
        <v>4016072</v>
      </c>
      <c r="D687" s="44" t="s">
        <v>918</v>
      </c>
      <c r="E687" s="44" t="s">
        <v>922</v>
      </c>
      <c r="F687" s="45">
        <v>6999</v>
      </c>
      <c r="G687" s="45">
        <v>2899</v>
      </c>
      <c r="H687" s="45">
        <v>4349</v>
      </c>
      <c r="I687" s="45">
        <v>4349</v>
      </c>
      <c r="J687" s="45">
        <v>4299</v>
      </c>
      <c r="K687" s="45">
        <v>4299</v>
      </c>
      <c r="L687" s="45">
        <v>4299</v>
      </c>
      <c r="M687" s="45">
        <v>4299</v>
      </c>
      <c r="N687" s="45">
        <v>4299</v>
      </c>
      <c r="O687" s="45">
        <v>4199</v>
      </c>
      <c r="P687" s="46">
        <v>4099</v>
      </c>
      <c r="Q687" s="46">
        <v>2999</v>
      </c>
      <c r="R687" s="45">
        <v>4199</v>
      </c>
      <c r="S687" s="45">
        <v>4099</v>
      </c>
      <c r="T687" s="45">
        <v>2999</v>
      </c>
      <c r="U687" s="45">
        <v>2999</v>
      </c>
      <c r="V687" s="45">
        <v>2999</v>
      </c>
      <c r="W687" s="45">
        <v>2999</v>
      </c>
      <c r="X687" s="45">
        <v>2899</v>
      </c>
      <c r="Y687" s="45">
        <v>1999</v>
      </c>
      <c r="Z687" s="45">
        <v>1999</v>
      </c>
      <c r="AA687" s="45">
        <v>1999</v>
      </c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7"/>
      <c r="AW687" s="48" t="s">
        <v>65</v>
      </c>
      <c r="AX687" s="51" t="s">
        <v>82</v>
      </c>
    </row>
    <row r="688" spans="1:50" ht="22.5" customHeight="1">
      <c r="A688" s="52" t="s">
        <v>70</v>
      </c>
      <c r="B688" s="41" t="s">
        <v>62</v>
      </c>
      <c r="C688" s="42">
        <v>4016064</v>
      </c>
      <c r="D688" s="44" t="s">
        <v>918</v>
      </c>
      <c r="E688" s="44" t="s">
        <v>923</v>
      </c>
      <c r="F688" s="45">
        <v>6999</v>
      </c>
      <c r="G688" s="45">
        <v>2899</v>
      </c>
      <c r="H688" s="45">
        <v>4349</v>
      </c>
      <c r="I688" s="45">
        <v>4349</v>
      </c>
      <c r="J688" s="45">
        <v>4299</v>
      </c>
      <c r="K688" s="45">
        <v>4299</v>
      </c>
      <c r="L688" s="45">
        <v>4299</v>
      </c>
      <c r="M688" s="45">
        <v>4299</v>
      </c>
      <c r="N688" s="45">
        <v>4299</v>
      </c>
      <c r="O688" s="45">
        <v>4199</v>
      </c>
      <c r="P688" s="46">
        <v>4099</v>
      </c>
      <c r="Q688" s="46">
        <v>2999</v>
      </c>
      <c r="R688" s="45">
        <v>4199</v>
      </c>
      <c r="S688" s="45">
        <v>4099</v>
      </c>
      <c r="T688" s="45">
        <v>2999</v>
      </c>
      <c r="U688" s="45">
        <v>2999</v>
      </c>
      <c r="V688" s="45">
        <v>2999</v>
      </c>
      <c r="W688" s="45">
        <v>2999</v>
      </c>
      <c r="X688" s="45">
        <v>2899</v>
      </c>
      <c r="Y688" s="45">
        <v>1999</v>
      </c>
      <c r="Z688" s="45">
        <v>1999</v>
      </c>
      <c r="AA688" s="45">
        <v>1999</v>
      </c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7"/>
      <c r="AW688" s="48" t="s">
        <v>65</v>
      </c>
      <c r="AX688" s="51" t="s">
        <v>82</v>
      </c>
    </row>
    <row r="689" spans="1:50" ht="22.5" customHeight="1">
      <c r="A689" s="52" t="s">
        <v>70</v>
      </c>
      <c r="B689" s="41" t="s">
        <v>62</v>
      </c>
      <c r="C689" s="42">
        <v>4016033</v>
      </c>
      <c r="D689" s="44" t="s">
        <v>918</v>
      </c>
      <c r="E689" s="44" t="s">
        <v>924</v>
      </c>
      <c r="F689" s="45">
        <v>6999</v>
      </c>
      <c r="G689" s="45">
        <v>2899</v>
      </c>
      <c r="H689" s="45">
        <v>4349</v>
      </c>
      <c r="I689" s="45">
        <v>4349</v>
      </c>
      <c r="J689" s="45">
        <v>4299</v>
      </c>
      <c r="K689" s="45">
        <v>4299</v>
      </c>
      <c r="L689" s="45">
        <v>4299</v>
      </c>
      <c r="M689" s="45">
        <v>4299</v>
      </c>
      <c r="N689" s="45">
        <v>4299</v>
      </c>
      <c r="O689" s="45">
        <v>4199</v>
      </c>
      <c r="P689" s="46">
        <v>4099</v>
      </c>
      <c r="Q689" s="46">
        <v>2999</v>
      </c>
      <c r="R689" s="45">
        <v>4199</v>
      </c>
      <c r="S689" s="45">
        <v>4099</v>
      </c>
      <c r="T689" s="45">
        <v>2999</v>
      </c>
      <c r="U689" s="45">
        <v>2999</v>
      </c>
      <c r="V689" s="45">
        <v>2999</v>
      </c>
      <c r="W689" s="45">
        <v>2999</v>
      </c>
      <c r="X689" s="45">
        <v>2899</v>
      </c>
      <c r="Y689" s="45">
        <v>1999</v>
      </c>
      <c r="Z689" s="45">
        <v>1999</v>
      </c>
      <c r="AA689" s="45">
        <v>1999</v>
      </c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7"/>
      <c r="AW689" s="48" t="s">
        <v>65</v>
      </c>
      <c r="AX689" s="51" t="s">
        <v>82</v>
      </c>
    </row>
    <row r="690" spans="1:50" ht="22.5" customHeight="1">
      <c r="A690" s="52" t="s">
        <v>70</v>
      </c>
      <c r="B690" s="41" t="s">
        <v>62</v>
      </c>
      <c r="C690" s="42">
        <v>4016026</v>
      </c>
      <c r="D690" s="44" t="s">
        <v>918</v>
      </c>
      <c r="E690" s="44" t="s">
        <v>925</v>
      </c>
      <c r="F690" s="45">
        <v>6999</v>
      </c>
      <c r="G690" s="45">
        <v>2899</v>
      </c>
      <c r="H690" s="45">
        <v>4349</v>
      </c>
      <c r="I690" s="45">
        <v>4349</v>
      </c>
      <c r="J690" s="45">
        <v>4299</v>
      </c>
      <c r="K690" s="45">
        <v>4299</v>
      </c>
      <c r="L690" s="45">
        <v>4299</v>
      </c>
      <c r="M690" s="45">
        <v>4299</v>
      </c>
      <c r="N690" s="45">
        <v>4299</v>
      </c>
      <c r="O690" s="45">
        <v>4199</v>
      </c>
      <c r="P690" s="46">
        <v>4099</v>
      </c>
      <c r="Q690" s="46">
        <v>2999</v>
      </c>
      <c r="R690" s="45">
        <v>4199</v>
      </c>
      <c r="S690" s="45">
        <v>4099</v>
      </c>
      <c r="T690" s="45">
        <v>2999</v>
      </c>
      <c r="U690" s="45">
        <v>2999</v>
      </c>
      <c r="V690" s="45">
        <v>2999</v>
      </c>
      <c r="W690" s="45">
        <v>2999</v>
      </c>
      <c r="X690" s="45">
        <v>2899</v>
      </c>
      <c r="Y690" s="45">
        <v>1999</v>
      </c>
      <c r="Z690" s="45">
        <v>1999</v>
      </c>
      <c r="AA690" s="45">
        <v>1999</v>
      </c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7"/>
      <c r="AW690" s="48" t="s">
        <v>65</v>
      </c>
      <c r="AX690" s="51" t="s">
        <v>82</v>
      </c>
    </row>
    <row r="691" spans="1:50" ht="22.5" customHeight="1">
      <c r="A691" s="52" t="s">
        <v>70</v>
      </c>
      <c r="B691" s="41" t="s">
        <v>62</v>
      </c>
      <c r="C691" s="42">
        <v>4016056</v>
      </c>
      <c r="D691" s="44" t="s">
        <v>918</v>
      </c>
      <c r="E691" s="44" t="s">
        <v>926</v>
      </c>
      <c r="F691" s="45">
        <v>6999</v>
      </c>
      <c r="G691" s="45">
        <v>2899</v>
      </c>
      <c r="H691" s="45">
        <v>4349</v>
      </c>
      <c r="I691" s="45">
        <v>4349</v>
      </c>
      <c r="J691" s="45">
        <v>4299</v>
      </c>
      <c r="K691" s="45">
        <v>4299</v>
      </c>
      <c r="L691" s="45">
        <v>4299</v>
      </c>
      <c r="M691" s="45">
        <v>4299</v>
      </c>
      <c r="N691" s="45">
        <v>4299</v>
      </c>
      <c r="O691" s="45">
        <v>4199</v>
      </c>
      <c r="P691" s="46">
        <v>4099</v>
      </c>
      <c r="Q691" s="46">
        <v>2999</v>
      </c>
      <c r="R691" s="45">
        <v>4199</v>
      </c>
      <c r="S691" s="45">
        <v>4099</v>
      </c>
      <c r="T691" s="45">
        <v>2999</v>
      </c>
      <c r="U691" s="45">
        <v>2999</v>
      </c>
      <c r="V691" s="45">
        <v>2999</v>
      </c>
      <c r="W691" s="45">
        <v>2999</v>
      </c>
      <c r="X691" s="45">
        <v>2899</v>
      </c>
      <c r="Y691" s="45">
        <v>1999</v>
      </c>
      <c r="Z691" s="45">
        <v>1999</v>
      </c>
      <c r="AA691" s="45">
        <v>1999</v>
      </c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7"/>
      <c r="AW691" s="48" t="s">
        <v>65</v>
      </c>
      <c r="AX691" s="51" t="s">
        <v>82</v>
      </c>
    </row>
    <row r="692" spans="1:50" ht="22.5" customHeight="1">
      <c r="A692" s="52" t="s">
        <v>70</v>
      </c>
      <c r="B692" s="41" t="s">
        <v>62</v>
      </c>
      <c r="C692" s="42">
        <v>4016036</v>
      </c>
      <c r="D692" s="44" t="s">
        <v>927</v>
      </c>
      <c r="E692" s="44" t="s">
        <v>928</v>
      </c>
      <c r="F692" s="45">
        <v>7999</v>
      </c>
      <c r="G692" s="45">
        <v>4499</v>
      </c>
      <c r="H692" s="45">
        <v>5999</v>
      </c>
      <c r="I692" s="45">
        <v>5999</v>
      </c>
      <c r="J692" s="45">
        <f t="shared" ref="J692:J699" si="31">M692</f>
        <v>5799</v>
      </c>
      <c r="K692" s="45">
        <f t="shared" ref="K692:L699" si="32">M692</f>
        <v>5799</v>
      </c>
      <c r="L692" s="45">
        <f t="shared" si="32"/>
        <v>5799</v>
      </c>
      <c r="M692" s="45">
        <v>5799</v>
      </c>
      <c r="N692" s="45">
        <v>5799</v>
      </c>
      <c r="O692" s="45">
        <f t="shared" ref="O692:Q699" si="33">R692</f>
        <v>4899</v>
      </c>
      <c r="P692" s="46">
        <f t="shared" si="33"/>
        <v>4799</v>
      </c>
      <c r="Q692" s="46">
        <f t="shared" si="33"/>
        <v>4599</v>
      </c>
      <c r="R692" s="45">
        <v>4899</v>
      </c>
      <c r="S692" s="45">
        <v>4799</v>
      </c>
      <c r="T692" s="45">
        <v>4599</v>
      </c>
      <c r="U692" s="45">
        <v>4599</v>
      </c>
      <c r="V692" s="45">
        <v>4599</v>
      </c>
      <c r="W692" s="45">
        <v>4599</v>
      </c>
      <c r="X692" s="45">
        <v>4499</v>
      </c>
      <c r="Y692" s="45">
        <v>4299</v>
      </c>
      <c r="Z692" s="45">
        <v>4299</v>
      </c>
      <c r="AA692" s="45">
        <v>4249</v>
      </c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7"/>
      <c r="AW692" s="48" t="s">
        <v>65</v>
      </c>
      <c r="AX692" s="51" t="s">
        <v>82</v>
      </c>
    </row>
    <row r="693" spans="1:50" ht="22.5" customHeight="1">
      <c r="A693" s="52" t="s">
        <v>70</v>
      </c>
      <c r="B693" s="41" t="s">
        <v>62</v>
      </c>
      <c r="C693" s="42">
        <v>4016068</v>
      </c>
      <c r="D693" s="44" t="s">
        <v>927</v>
      </c>
      <c r="E693" s="44" t="s">
        <v>929</v>
      </c>
      <c r="F693" s="45">
        <v>7999</v>
      </c>
      <c r="G693" s="45">
        <v>4499</v>
      </c>
      <c r="H693" s="45">
        <v>5999</v>
      </c>
      <c r="I693" s="45">
        <v>5999</v>
      </c>
      <c r="J693" s="45">
        <f t="shared" si="31"/>
        <v>5799</v>
      </c>
      <c r="K693" s="45">
        <f t="shared" si="32"/>
        <v>5799</v>
      </c>
      <c r="L693" s="45">
        <f t="shared" si="32"/>
        <v>5799</v>
      </c>
      <c r="M693" s="45">
        <v>5799</v>
      </c>
      <c r="N693" s="45">
        <v>5799</v>
      </c>
      <c r="O693" s="45">
        <f t="shared" si="33"/>
        <v>4899</v>
      </c>
      <c r="P693" s="46">
        <f t="shared" si="33"/>
        <v>4799</v>
      </c>
      <c r="Q693" s="46">
        <f t="shared" si="33"/>
        <v>4599</v>
      </c>
      <c r="R693" s="45">
        <v>4899</v>
      </c>
      <c r="S693" s="45">
        <v>4799</v>
      </c>
      <c r="T693" s="45">
        <v>4599</v>
      </c>
      <c r="U693" s="45">
        <v>4599</v>
      </c>
      <c r="V693" s="45">
        <v>4599</v>
      </c>
      <c r="W693" s="45">
        <v>4599</v>
      </c>
      <c r="X693" s="45">
        <v>4499</v>
      </c>
      <c r="Y693" s="45">
        <v>4299</v>
      </c>
      <c r="Z693" s="45">
        <v>4299</v>
      </c>
      <c r="AA693" s="45">
        <v>4249</v>
      </c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7"/>
      <c r="AW693" s="48" t="s">
        <v>65</v>
      </c>
      <c r="AX693" s="51" t="s">
        <v>82</v>
      </c>
    </row>
    <row r="694" spans="1:50" ht="22.5" customHeight="1">
      <c r="A694" s="52" t="s">
        <v>70</v>
      </c>
      <c r="B694" s="41" t="s">
        <v>62</v>
      </c>
      <c r="C694" s="42">
        <v>4015888</v>
      </c>
      <c r="D694" s="44" t="s">
        <v>927</v>
      </c>
      <c r="E694" s="44" t="s">
        <v>930</v>
      </c>
      <c r="F694" s="45">
        <v>7999</v>
      </c>
      <c r="G694" s="45">
        <v>4499</v>
      </c>
      <c r="H694" s="45">
        <v>5999</v>
      </c>
      <c r="I694" s="45">
        <v>5999</v>
      </c>
      <c r="J694" s="45">
        <f t="shared" si="31"/>
        <v>5799</v>
      </c>
      <c r="K694" s="45">
        <f t="shared" si="32"/>
        <v>5799</v>
      </c>
      <c r="L694" s="45">
        <f t="shared" si="32"/>
        <v>5799</v>
      </c>
      <c r="M694" s="45">
        <v>5799</v>
      </c>
      <c r="N694" s="45">
        <v>5799</v>
      </c>
      <c r="O694" s="45">
        <f t="shared" si="33"/>
        <v>4899</v>
      </c>
      <c r="P694" s="46">
        <f t="shared" si="33"/>
        <v>4799</v>
      </c>
      <c r="Q694" s="46">
        <f t="shared" si="33"/>
        <v>4599</v>
      </c>
      <c r="R694" s="45">
        <v>4899</v>
      </c>
      <c r="S694" s="45">
        <v>4799</v>
      </c>
      <c r="T694" s="45">
        <v>4599</v>
      </c>
      <c r="U694" s="45">
        <v>4599</v>
      </c>
      <c r="V694" s="45">
        <v>4599</v>
      </c>
      <c r="W694" s="45">
        <v>4599</v>
      </c>
      <c r="X694" s="45">
        <v>4499</v>
      </c>
      <c r="Y694" s="45">
        <v>4299</v>
      </c>
      <c r="Z694" s="45">
        <v>4299</v>
      </c>
      <c r="AA694" s="45">
        <v>4249</v>
      </c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7"/>
      <c r="AW694" s="48" t="s">
        <v>65</v>
      </c>
      <c r="AX694" s="51" t="s">
        <v>82</v>
      </c>
    </row>
    <row r="695" spans="1:50" ht="22.5" customHeight="1">
      <c r="A695" s="52" t="s">
        <v>70</v>
      </c>
      <c r="B695" s="41" t="s">
        <v>62</v>
      </c>
      <c r="C695" s="42">
        <v>4016051</v>
      </c>
      <c r="D695" s="44" t="s">
        <v>927</v>
      </c>
      <c r="E695" s="44" t="s">
        <v>931</v>
      </c>
      <c r="F695" s="45">
        <v>7999</v>
      </c>
      <c r="G695" s="45">
        <v>4499</v>
      </c>
      <c r="H695" s="45">
        <v>5999</v>
      </c>
      <c r="I695" s="45">
        <v>5999</v>
      </c>
      <c r="J695" s="45">
        <f t="shared" si="31"/>
        <v>5799</v>
      </c>
      <c r="K695" s="45">
        <f t="shared" si="32"/>
        <v>5799</v>
      </c>
      <c r="L695" s="45">
        <f t="shared" si="32"/>
        <v>5799</v>
      </c>
      <c r="M695" s="45">
        <v>5799</v>
      </c>
      <c r="N695" s="45">
        <v>5799</v>
      </c>
      <c r="O695" s="45">
        <f t="shared" si="33"/>
        <v>4899</v>
      </c>
      <c r="P695" s="46">
        <f t="shared" si="33"/>
        <v>4799</v>
      </c>
      <c r="Q695" s="46">
        <f t="shared" si="33"/>
        <v>4599</v>
      </c>
      <c r="R695" s="45">
        <v>4899</v>
      </c>
      <c r="S695" s="45">
        <v>4799</v>
      </c>
      <c r="T695" s="45">
        <v>4599</v>
      </c>
      <c r="U695" s="45">
        <v>4599</v>
      </c>
      <c r="V695" s="45">
        <v>4599</v>
      </c>
      <c r="W695" s="45">
        <v>4599</v>
      </c>
      <c r="X695" s="45">
        <v>4499</v>
      </c>
      <c r="Y695" s="45">
        <v>4299</v>
      </c>
      <c r="Z695" s="45">
        <v>4299</v>
      </c>
      <c r="AA695" s="45">
        <v>4249</v>
      </c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7"/>
      <c r="AW695" s="48" t="s">
        <v>65</v>
      </c>
      <c r="AX695" s="51" t="s">
        <v>82</v>
      </c>
    </row>
    <row r="696" spans="1:50" ht="22.5" customHeight="1">
      <c r="A696" s="52" t="s">
        <v>70</v>
      </c>
      <c r="B696" s="41" t="s">
        <v>62</v>
      </c>
      <c r="C696" s="42">
        <v>4016044</v>
      </c>
      <c r="D696" s="44" t="s">
        <v>927</v>
      </c>
      <c r="E696" s="44" t="s">
        <v>932</v>
      </c>
      <c r="F696" s="45">
        <v>7999</v>
      </c>
      <c r="G696" s="45">
        <v>4499</v>
      </c>
      <c r="H696" s="45">
        <v>5999</v>
      </c>
      <c r="I696" s="45">
        <v>5999</v>
      </c>
      <c r="J696" s="45">
        <f t="shared" si="31"/>
        <v>5799</v>
      </c>
      <c r="K696" s="45">
        <f t="shared" si="32"/>
        <v>5799</v>
      </c>
      <c r="L696" s="45">
        <f t="shared" si="32"/>
        <v>5799</v>
      </c>
      <c r="M696" s="45">
        <v>5799</v>
      </c>
      <c r="N696" s="45">
        <v>5799</v>
      </c>
      <c r="O696" s="45">
        <f t="shared" si="33"/>
        <v>4899</v>
      </c>
      <c r="P696" s="46">
        <f t="shared" si="33"/>
        <v>4799</v>
      </c>
      <c r="Q696" s="46">
        <f t="shared" si="33"/>
        <v>4599</v>
      </c>
      <c r="R696" s="45">
        <v>4899</v>
      </c>
      <c r="S696" s="45">
        <v>4799</v>
      </c>
      <c r="T696" s="45">
        <v>4599</v>
      </c>
      <c r="U696" s="45">
        <v>4599</v>
      </c>
      <c r="V696" s="45">
        <v>4599</v>
      </c>
      <c r="W696" s="45">
        <v>4599</v>
      </c>
      <c r="X696" s="45">
        <v>4499</v>
      </c>
      <c r="Y696" s="45">
        <v>4299</v>
      </c>
      <c r="Z696" s="45">
        <v>4299</v>
      </c>
      <c r="AA696" s="45">
        <v>4249</v>
      </c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7"/>
      <c r="AW696" s="48" t="s">
        <v>65</v>
      </c>
      <c r="AX696" s="51" t="s">
        <v>82</v>
      </c>
    </row>
    <row r="697" spans="1:50" ht="22.5" customHeight="1">
      <c r="A697" s="52" t="s">
        <v>70</v>
      </c>
      <c r="B697" s="41" t="s">
        <v>62</v>
      </c>
      <c r="C697" s="42">
        <v>4016074</v>
      </c>
      <c r="D697" s="44" t="s">
        <v>927</v>
      </c>
      <c r="E697" s="44" t="s">
        <v>933</v>
      </c>
      <c r="F697" s="45">
        <v>7999</v>
      </c>
      <c r="G697" s="45">
        <v>4499</v>
      </c>
      <c r="H697" s="45">
        <v>5999</v>
      </c>
      <c r="I697" s="45">
        <v>5999</v>
      </c>
      <c r="J697" s="45">
        <f t="shared" si="31"/>
        <v>5799</v>
      </c>
      <c r="K697" s="45">
        <f t="shared" si="32"/>
        <v>5799</v>
      </c>
      <c r="L697" s="45">
        <f t="shared" si="32"/>
        <v>5799</v>
      </c>
      <c r="M697" s="45">
        <v>5799</v>
      </c>
      <c r="N697" s="45">
        <v>5799</v>
      </c>
      <c r="O697" s="45">
        <f t="shared" si="33"/>
        <v>4899</v>
      </c>
      <c r="P697" s="46">
        <f t="shared" si="33"/>
        <v>4799</v>
      </c>
      <c r="Q697" s="46">
        <f t="shared" si="33"/>
        <v>4599</v>
      </c>
      <c r="R697" s="45">
        <v>4899</v>
      </c>
      <c r="S697" s="45">
        <v>4799</v>
      </c>
      <c r="T697" s="45">
        <v>4599</v>
      </c>
      <c r="U697" s="45">
        <v>4599</v>
      </c>
      <c r="V697" s="45">
        <v>4599</v>
      </c>
      <c r="W697" s="45">
        <v>4599</v>
      </c>
      <c r="X697" s="45">
        <v>4499</v>
      </c>
      <c r="Y697" s="45">
        <v>4299</v>
      </c>
      <c r="Z697" s="45">
        <v>4299</v>
      </c>
      <c r="AA697" s="45">
        <v>4249</v>
      </c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7"/>
      <c r="AW697" s="48" t="s">
        <v>65</v>
      </c>
      <c r="AX697" s="51" t="s">
        <v>82</v>
      </c>
    </row>
    <row r="698" spans="1:50" ht="22.5" customHeight="1">
      <c r="A698" s="52" t="s">
        <v>70</v>
      </c>
      <c r="B698" s="41" t="s">
        <v>62</v>
      </c>
      <c r="C698" s="42">
        <v>4016028</v>
      </c>
      <c r="D698" s="44" t="s">
        <v>927</v>
      </c>
      <c r="E698" s="44" t="s">
        <v>934</v>
      </c>
      <c r="F698" s="45">
        <v>7999</v>
      </c>
      <c r="G698" s="45">
        <v>4499</v>
      </c>
      <c r="H698" s="45">
        <v>5999</v>
      </c>
      <c r="I698" s="45">
        <v>5999</v>
      </c>
      <c r="J698" s="45">
        <f t="shared" si="31"/>
        <v>5799</v>
      </c>
      <c r="K698" s="45">
        <f t="shared" si="32"/>
        <v>5799</v>
      </c>
      <c r="L698" s="45">
        <f t="shared" si="32"/>
        <v>5799</v>
      </c>
      <c r="M698" s="45">
        <v>5799</v>
      </c>
      <c r="N698" s="45">
        <v>5799</v>
      </c>
      <c r="O698" s="45">
        <f t="shared" si="33"/>
        <v>4899</v>
      </c>
      <c r="P698" s="46">
        <f t="shared" si="33"/>
        <v>4799</v>
      </c>
      <c r="Q698" s="46">
        <f t="shared" si="33"/>
        <v>4599</v>
      </c>
      <c r="R698" s="45">
        <v>4899</v>
      </c>
      <c r="S698" s="45">
        <v>4799</v>
      </c>
      <c r="T698" s="45">
        <v>4599</v>
      </c>
      <c r="U698" s="45">
        <v>4599</v>
      </c>
      <c r="V698" s="45">
        <v>4599</v>
      </c>
      <c r="W698" s="45">
        <v>4599</v>
      </c>
      <c r="X698" s="45">
        <v>4499</v>
      </c>
      <c r="Y698" s="45">
        <v>4299</v>
      </c>
      <c r="Z698" s="45">
        <v>4299</v>
      </c>
      <c r="AA698" s="45">
        <v>4249</v>
      </c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7"/>
      <c r="AW698" s="48" t="s">
        <v>65</v>
      </c>
      <c r="AX698" s="51" t="s">
        <v>82</v>
      </c>
    </row>
    <row r="699" spans="1:50" ht="22.5" customHeight="1">
      <c r="A699" s="52" t="s">
        <v>70</v>
      </c>
      <c r="B699" s="41" t="s">
        <v>62</v>
      </c>
      <c r="C699" s="42">
        <v>4016059</v>
      </c>
      <c r="D699" s="44" t="s">
        <v>927</v>
      </c>
      <c r="E699" s="44" t="s">
        <v>935</v>
      </c>
      <c r="F699" s="45">
        <v>7999</v>
      </c>
      <c r="G699" s="45">
        <v>4499</v>
      </c>
      <c r="H699" s="45">
        <v>5999</v>
      </c>
      <c r="I699" s="45">
        <v>5999</v>
      </c>
      <c r="J699" s="45">
        <f t="shared" si="31"/>
        <v>5799</v>
      </c>
      <c r="K699" s="45">
        <f t="shared" si="32"/>
        <v>5799</v>
      </c>
      <c r="L699" s="45">
        <f t="shared" si="32"/>
        <v>5799</v>
      </c>
      <c r="M699" s="45">
        <v>5799</v>
      </c>
      <c r="N699" s="45">
        <v>5799</v>
      </c>
      <c r="O699" s="45">
        <f t="shared" si="33"/>
        <v>4899</v>
      </c>
      <c r="P699" s="46">
        <f t="shared" si="33"/>
        <v>4799</v>
      </c>
      <c r="Q699" s="46">
        <f t="shared" si="33"/>
        <v>4599</v>
      </c>
      <c r="R699" s="45">
        <v>4899</v>
      </c>
      <c r="S699" s="45">
        <v>4799</v>
      </c>
      <c r="T699" s="45">
        <v>4599</v>
      </c>
      <c r="U699" s="45">
        <v>4599</v>
      </c>
      <c r="V699" s="45">
        <v>4599</v>
      </c>
      <c r="W699" s="45">
        <v>4599</v>
      </c>
      <c r="X699" s="45">
        <v>4499</v>
      </c>
      <c r="Y699" s="45">
        <v>4299</v>
      </c>
      <c r="Z699" s="45">
        <v>4299</v>
      </c>
      <c r="AA699" s="45">
        <v>4249</v>
      </c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7"/>
      <c r="AW699" s="48" t="s">
        <v>65</v>
      </c>
      <c r="AX699" s="51" t="s">
        <v>82</v>
      </c>
    </row>
    <row r="700" spans="1:50" ht="22.5" customHeight="1">
      <c r="A700" s="52" t="s">
        <v>70</v>
      </c>
      <c r="B700" s="41" t="s">
        <v>62</v>
      </c>
      <c r="C700" s="42">
        <v>4016032</v>
      </c>
      <c r="D700" s="44" t="s">
        <v>936</v>
      </c>
      <c r="E700" s="44" t="s">
        <v>937</v>
      </c>
      <c r="F700" s="45">
        <v>9999</v>
      </c>
      <c r="G700" s="45">
        <v>5399</v>
      </c>
      <c r="H700" s="45">
        <v>6099</v>
      </c>
      <c r="I700" s="45">
        <v>6099</v>
      </c>
      <c r="J700" s="45">
        <v>5999</v>
      </c>
      <c r="K700" s="45">
        <v>5999</v>
      </c>
      <c r="L700" s="45">
        <v>5999</v>
      </c>
      <c r="M700" s="45">
        <v>5999</v>
      </c>
      <c r="N700" s="45">
        <v>5999</v>
      </c>
      <c r="O700" s="45">
        <v>5899</v>
      </c>
      <c r="P700" s="46">
        <v>5799</v>
      </c>
      <c r="Q700" s="46">
        <v>5499</v>
      </c>
      <c r="R700" s="45">
        <v>5899</v>
      </c>
      <c r="S700" s="45">
        <v>5799</v>
      </c>
      <c r="T700" s="45">
        <v>5499</v>
      </c>
      <c r="U700" s="45">
        <v>5499</v>
      </c>
      <c r="V700" s="45">
        <v>5499</v>
      </c>
      <c r="W700" s="45">
        <v>5499</v>
      </c>
      <c r="X700" s="45">
        <v>5399</v>
      </c>
      <c r="Y700" s="45">
        <v>3999</v>
      </c>
      <c r="Z700" s="45">
        <v>3999</v>
      </c>
      <c r="AA700" s="45">
        <v>3999</v>
      </c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7"/>
      <c r="AW700" s="48" t="s">
        <v>65</v>
      </c>
      <c r="AX700" s="51" t="s">
        <v>82</v>
      </c>
    </row>
    <row r="701" spans="1:50" ht="22.5" customHeight="1">
      <c r="A701" s="52" t="s">
        <v>70</v>
      </c>
      <c r="B701" s="41" t="s">
        <v>62</v>
      </c>
      <c r="C701" s="42">
        <v>4016065</v>
      </c>
      <c r="D701" s="44" t="s">
        <v>936</v>
      </c>
      <c r="E701" s="44" t="s">
        <v>938</v>
      </c>
      <c r="F701" s="45">
        <v>9999</v>
      </c>
      <c r="G701" s="45">
        <v>5399</v>
      </c>
      <c r="H701" s="45">
        <v>6099</v>
      </c>
      <c r="I701" s="45">
        <v>6099</v>
      </c>
      <c r="J701" s="45">
        <v>5999</v>
      </c>
      <c r="K701" s="45">
        <v>5999</v>
      </c>
      <c r="L701" s="45">
        <v>5999</v>
      </c>
      <c r="M701" s="45">
        <v>5999</v>
      </c>
      <c r="N701" s="45">
        <v>5999</v>
      </c>
      <c r="O701" s="45">
        <v>5899</v>
      </c>
      <c r="P701" s="46">
        <v>5799</v>
      </c>
      <c r="Q701" s="46">
        <v>5499</v>
      </c>
      <c r="R701" s="45">
        <v>5899</v>
      </c>
      <c r="S701" s="45">
        <v>5799</v>
      </c>
      <c r="T701" s="45">
        <v>5499</v>
      </c>
      <c r="U701" s="45">
        <v>5499</v>
      </c>
      <c r="V701" s="45">
        <v>5499</v>
      </c>
      <c r="W701" s="45">
        <v>5499</v>
      </c>
      <c r="X701" s="45">
        <v>5399</v>
      </c>
      <c r="Y701" s="45">
        <v>3999</v>
      </c>
      <c r="Z701" s="45">
        <v>3999</v>
      </c>
      <c r="AA701" s="45">
        <v>3999</v>
      </c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7"/>
      <c r="AW701" s="48" t="s">
        <v>65</v>
      </c>
      <c r="AX701" s="51" t="s">
        <v>82</v>
      </c>
    </row>
    <row r="702" spans="1:50" ht="22.5" customHeight="1">
      <c r="A702" s="52" t="s">
        <v>70</v>
      </c>
      <c r="B702" s="41" t="s">
        <v>62</v>
      </c>
      <c r="C702" s="42">
        <v>4016041</v>
      </c>
      <c r="D702" s="44" t="s">
        <v>936</v>
      </c>
      <c r="E702" s="44" t="s">
        <v>939</v>
      </c>
      <c r="F702" s="45">
        <v>9999</v>
      </c>
      <c r="G702" s="45">
        <v>5399</v>
      </c>
      <c r="H702" s="45">
        <v>6099</v>
      </c>
      <c r="I702" s="45">
        <v>6099</v>
      </c>
      <c r="J702" s="45">
        <v>5999</v>
      </c>
      <c r="K702" s="45">
        <v>5999</v>
      </c>
      <c r="L702" s="45">
        <v>5999</v>
      </c>
      <c r="M702" s="45">
        <v>5999</v>
      </c>
      <c r="N702" s="45">
        <v>5999</v>
      </c>
      <c r="O702" s="45">
        <v>5899</v>
      </c>
      <c r="P702" s="46">
        <v>5799</v>
      </c>
      <c r="Q702" s="46">
        <v>5499</v>
      </c>
      <c r="R702" s="45">
        <v>5899</v>
      </c>
      <c r="S702" s="45">
        <v>5799</v>
      </c>
      <c r="T702" s="45">
        <v>5499</v>
      </c>
      <c r="U702" s="45">
        <v>5499</v>
      </c>
      <c r="V702" s="45">
        <v>5499</v>
      </c>
      <c r="W702" s="45">
        <v>5499</v>
      </c>
      <c r="X702" s="45">
        <v>5399</v>
      </c>
      <c r="Y702" s="45">
        <v>3999</v>
      </c>
      <c r="Z702" s="45">
        <v>3999</v>
      </c>
      <c r="AA702" s="45">
        <v>3999</v>
      </c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7"/>
      <c r="AW702" s="48" t="s">
        <v>65</v>
      </c>
      <c r="AX702" s="51" t="s">
        <v>82</v>
      </c>
    </row>
    <row r="703" spans="1:50" ht="22.5" customHeight="1">
      <c r="A703" s="52" t="s">
        <v>70</v>
      </c>
      <c r="B703" s="41" t="s">
        <v>62</v>
      </c>
      <c r="C703" s="42">
        <v>4016073</v>
      </c>
      <c r="D703" s="44" t="s">
        <v>936</v>
      </c>
      <c r="E703" s="44" t="s">
        <v>940</v>
      </c>
      <c r="F703" s="45">
        <v>9999</v>
      </c>
      <c r="G703" s="45">
        <v>5399</v>
      </c>
      <c r="H703" s="45">
        <v>6099</v>
      </c>
      <c r="I703" s="45">
        <v>6099</v>
      </c>
      <c r="J703" s="45">
        <v>5999</v>
      </c>
      <c r="K703" s="45">
        <v>5999</v>
      </c>
      <c r="L703" s="45">
        <v>5999</v>
      </c>
      <c r="M703" s="45">
        <v>5999</v>
      </c>
      <c r="N703" s="45">
        <v>5999</v>
      </c>
      <c r="O703" s="45">
        <v>5899</v>
      </c>
      <c r="P703" s="46">
        <v>5799</v>
      </c>
      <c r="Q703" s="46">
        <v>5499</v>
      </c>
      <c r="R703" s="45">
        <v>5899</v>
      </c>
      <c r="S703" s="45">
        <v>5799</v>
      </c>
      <c r="T703" s="45">
        <v>5499</v>
      </c>
      <c r="U703" s="45">
        <v>5499</v>
      </c>
      <c r="V703" s="45">
        <v>5499</v>
      </c>
      <c r="W703" s="45">
        <v>5499</v>
      </c>
      <c r="X703" s="45">
        <v>5399</v>
      </c>
      <c r="Y703" s="45">
        <v>3999</v>
      </c>
      <c r="Z703" s="45">
        <v>3999</v>
      </c>
      <c r="AA703" s="45">
        <v>3999</v>
      </c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7"/>
      <c r="AW703" s="48" t="s">
        <v>65</v>
      </c>
      <c r="AX703" s="51" t="s">
        <v>82</v>
      </c>
    </row>
    <row r="704" spans="1:50" ht="22.5" customHeight="1">
      <c r="A704" s="52" t="s">
        <v>70</v>
      </c>
      <c r="B704" s="41" t="s">
        <v>62</v>
      </c>
      <c r="C704" s="42">
        <v>4016554</v>
      </c>
      <c r="D704" s="44" t="s">
        <v>941</v>
      </c>
      <c r="E704" s="44" t="s">
        <v>942</v>
      </c>
      <c r="F704" s="45">
        <v>5099</v>
      </c>
      <c r="G704" s="45">
        <v>1399</v>
      </c>
      <c r="H704" s="45">
        <v>2699</v>
      </c>
      <c r="I704" s="45">
        <v>2699</v>
      </c>
      <c r="J704" s="45">
        <v>2599</v>
      </c>
      <c r="K704" s="45">
        <v>2599</v>
      </c>
      <c r="L704" s="45">
        <v>2599</v>
      </c>
      <c r="M704" s="45">
        <v>2599</v>
      </c>
      <c r="N704" s="45">
        <v>2599</v>
      </c>
      <c r="O704" s="45">
        <v>2499</v>
      </c>
      <c r="P704" s="46">
        <v>2399</v>
      </c>
      <c r="Q704" s="46">
        <v>1499</v>
      </c>
      <c r="R704" s="45">
        <v>2499</v>
      </c>
      <c r="S704" s="45">
        <v>2399</v>
      </c>
      <c r="T704" s="45">
        <v>1499</v>
      </c>
      <c r="U704" s="45">
        <v>1499</v>
      </c>
      <c r="V704" s="45">
        <v>1499</v>
      </c>
      <c r="W704" s="45">
        <v>1499</v>
      </c>
      <c r="X704" s="45">
        <v>1399</v>
      </c>
      <c r="Y704" s="45">
        <v>999</v>
      </c>
      <c r="Z704" s="45">
        <v>999</v>
      </c>
      <c r="AA704" s="45">
        <v>999</v>
      </c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7"/>
      <c r="AW704" s="48" t="s">
        <v>65</v>
      </c>
      <c r="AX704" s="51" t="s">
        <v>82</v>
      </c>
    </row>
    <row r="705" spans="1:50" ht="22.5" customHeight="1">
      <c r="A705" s="52" t="s">
        <v>70</v>
      </c>
      <c r="B705" s="41" t="s">
        <v>62</v>
      </c>
      <c r="C705" s="42">
        <v>4016558</v>
      </c>
      <c r="D705" s="44" t="s">
        <v>941</v>
      </c>
      <c r="E705" s="44" t="s">
        <v>943</v>
      </c>
      <c r="F705" s="45">
        <v>5099</v>
      </c>
      <c r="G705" s="45">
        <v>1399</v>
      </c>
      <c r="H705" s="45">
        <v>2699</v>
      </c>
      <c r="I705" s="45">
        <v>2699</v>
      </c>
      <c r="J705" s="45">
        <v>2599</v>
      </c>
      <c r="K705" s="45">
        <v>2599</v>
      </c>
      <c r="L705" s="45">
        <v>2599</v>
      </c>
      <c r="M705" s="45">
        <v>2599</v>
      </c>
      <c r="N705" s="45">
        <v>2599</v>
      </c>
      <c r="O705" s="45">
        <v>2499</v>
      </c>
      <c r="P705" s="46">
        <v>2399</v>
      </c>
      <c r="Q705" s="46">
        <v>1499</v>
      </c>
      <c r="R705" s="45">
        <v>2499</v>
      </c>
      <c r="S705" s="45">
        <v>2399</v>
      </c>
      <c r="T705" s="45">
        <v>1499</v>
      </c>
      <c r="U705" s="45">
        <v>1499</v>
      </c>
      <c r="V705" s="45">
        <v>1499</v>
      </c>
      <c r="W705" s="45">
        <v>1499</v>
      </c>
      <c r="X705" s="45">
        <v>1399</v>
      </c>
      <c r="Y705" s="45">
        <v>999</v>
      </c>
      <c r="Z705" s="45">
        <v>999</v>
      </c>
      <c r="AA705" s="45">
        <v>999</v>
      </c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7"/>
      <c r="AW705" s="48" t="s">
        <v>65</v>
      </c>
      <c r="AX705" s="51" t="s">
        <v>82</v>
      </c>
    </row>
    <row r="706" spans="1:50" ht="22.5" customHeight="1">
      <c r="A706" s="52" t="s">
        <v>70</v>
      </c>
      <c r="B706" s="41" t="s">
        <v>62</v>
      </c>
      <c r="C706" s="42">
        <v>4016555</v>
      </c>
      <c r="D706" s="44" t="s">
        <v>941</v>
      </c>
      <c r="E706" s="44" t="s">
        <v>944</v>
      </c>
      <c r="F706" s="45">
        <v>5099</v>
      </c>
      <c r="G706" s="45">
        <v>1399</v>
      </c>
      <c r="H706" s="45">
        <v>2699</v>
      </c>
      <c r="I706" s="45">
        <v>2699</v>
      </c>
      <c r="J706" s="45">
        <v>2599</v>
      </c>
      <c r="K706" s="45">
        <v>2599</v>
      </c>
      <c r="L706" s="45">
        <v>2599</v>
      </c>
      <c r="M706" s="45">
        <v>2599</v>
      </c>
      <c r="N706" s="45">
        <v>2599</v>
      </c>
      <c r="O706" s="45">
        <v>2499</v>
      </c>
      <c r="P706" s="46">
        <v>2399</v>
      </c>
      <c r="Q706" s="46">
        <v>1499</v>
      </c>
      <c r="R706" s="45">
        <v>2499</v>
      </c>
      <c r="S706" s="45">
        <v>2399</v>
      </c>
      <c r="T706" s="45">
        <v>1499</v>
      </c>
      <c r="U706" s="45">
        <v>1499</v>
      </c>
      <c r="V706" s="45">
        <v>1499</v>
      </c>
      <c r="W706" s="45">
        <v>1499</v>
      </c>
      <c r="X706" s="45">
        <v>1399</v>
      </c>
      <c r="Y706" s="45">
        <v>999</v>
      </c>
      <c r="Z706" s="45">
        <v>999</v>
      </c>
      <c r="AA706" s="45">
        <v>999</v>
      </c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7"/>
      <c r="AW706" s="48" t="s">
        <v>65</v>
      </c>
      <c r="AX706" s="51" t="s">
        <v>82</v>
      </c>
    </row>
    <row r="707" spans="1:50" ht="22.5" customHeight="1">
      <c r="A707" s="52" t="s">
        <v>70</v>
      </c>
      <c r="B707" s="41" t="s">
        <v>62</v>
      </c>
      <c r="C707" s="42">
        <v>4016559</v>
      </c>
      <c r="D707" s="44" t="s">
        <v>941</v>
      </c>
      <c r="E707" s="44" t="s">
        <v>945</v>
      </c>
      <c r="F707" s="45">
        <v>5099</v>
      </c>
      <c r="G707" s="45">
        <v>1399</v>
      </c>
      <c r="H707" s="45">
        <v>2699</v>
      </c>
      <c r="I707" s="45">
        <v>2699</v>
      </c>
      <c r="J707" s="45">
        <v>2599</v>
      </c>
      <c r="K707" s="45">
        <v>2599</v>
      </c>
      <c r="L707" s="45">
        <v>2599</v>
      </c>
      <c r="M707" s="45">
        <v>2599</v>
      </c>
      <c r="N707" s="45">
        <v>2599</v>
      </c>
      <c r="O707" s="45">
        <v>2499</v>
      </c>
      <c r="P707" s="46">
        <v>2399</v>
      </c>
      <c r="Q707" s="46">
        <v>1499</v>
      </c>
      <c r="R707" s="45">
        <v>2499</v>
      </c>
      <c r="S707" s="45">
        <v>2399</v>
      </c>
      <c r="T707" s="45">
        <v>1499</v>
      </c>
      <c r="U707" s="45">
        <v>1499</v>
      </c>
      <c r="V707" s="45">
        <v>1499</v>
      </c>
      <c r="W707" s="45">
        <v>1499</v>
      </c>
      <c r="X707" s="45">
        <v>1399</v>
      </c>
      <c r="Y707" s="45">
        <v>999</v>
      </c>
      <c r="Z707" s="45">
        <v>999</v>
      </c>
      <c r="AA707" s="45">
        <v>999</v>
      </c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7"/>
      <c r="AW707" s="48" t="s">
        <v>65</v>
      </c>
      <c r="AX707" s="51" t="s">
        <v>82</v>
      </c>
    </row>
    <row r="708" spans="1:50" ht="22.5" customHeight="1">
      <c r="A708" s="52" t="s">
        <v>70</v>
      </c>
      <c r="B708" s="41" t="s">
        <v>62</v>
      </c>
      <c r="C708" s="42">
        <v>4016552</v>
      </c>
      <c r="D708" s="44" t="s">
        <v>941</v>
      </c>
      <c r="E708" s="44" t="s">
        <v>946</v>
      </c>
      <c r="F708" s="45">
        <v>5099</v>
      </c>
      <c r="G708" s="45">
        <v>1399</v>
      </c>
      <c r="H708" s="45">
        <v>2699</v>
      </c>
      <c r="I708" s="45">
        <v>2699</v>
      </c>
      <c r="J708" s="45">
        <v>2599</v>
      </c>
      <c r="K708" s="45">
        <v>2599</v>
      </c>
      <c r="L708" s="45">
        <v>2599</v>
      </c>
      <c r="M708" s="45">
        <v>2599</v>
      </c>
      <c r="N708" s="45">
        <v>2599</v>
      </c>
      <c r="O708" s="45">
        <v>2499</v>
      </c>
      <c r="P708" s="46">
        <v>2399</v>
      </c>
      <c r="Q708" s="46">
        <v>1499</v>
      </c>
      <c r="R708" s="45">
        <v>2499</v>
      </c>
      <c r="S708" s="45">
        <v>2399</v>
      </c>
      <c r="T708" s="45">
        <v>1499</v>
      </c>
      <c r="U708" s="45">
        <v>1499</v>
      </c>
      <c r="V708" s="45">
        <v>1499</v>
      </c>
      <c r="W708" s="45">
        <v>1499</v>
      </c>
      <c r="X708" s="45">
        <v>1399</v>
      </c>
      <c r="Y708" s="45">
        <v>999</v>
      </c>
      <c r="Z708" s="45">
        <v>999</v>
      </c>
      <c r="AA708" s="45">
        <v>999</v>
      </c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7"/>
      <c r="AW708" s="48" t="s">
        <v>65</v>
      </c>
      <c r="AX708" s="51" t="s">
        <v>82</v>
      </c>
    </row>
    <row r="709" spans="1:50" ht="22.5" customHeight="1">
      <c r="A709" s="52" t="s">
        <v>70</v>
      </c>
      <c r="B709" s="41" t="s">
        <v>62</v>
      </c>
      <c r="C709" s="42">
        <v>4016551</v>
      </c>
      <c r="D709" s="44" t="s">
        <v>941</v>
      </c>
      <c r="E709" s="44" t="s">
        <v>947</v>
      </c>
      <c r="F709" s="45">
        <v>5099</v>
      </c>
      <c r="G709" s="45">
        <v>1399</v>
      </c>
      <c r="H709" s="45">
        <v>2699</v>
      </c>
      <c r="I709" s="45">
        <v>2699</v>
      </c>
      <c r="J709" s="45">
        <v>2599</v>
      </c>
      <c r="K709" s="45">
        <v>2599</v>
      </c>
      <c r="L709" s="45">
        <v>2599</v>
      </c>
      <c r="M709" s="45">
        <v>2599</v>
      </c>
      <c r="N709" s="45">
        <v>2599</v>
      </c>
      <c r="O709" s="45">
        <v>2499</v>
      </c>
      <c r="P709" s="46">
        <v>2399</v>
      </c>
      <c r="Q709" s="46">
        <v>1499</v>
      </c>
      <c r="R709" s="45">
        <v>2499</v>
      </c>
      <c r="S709" s="45">
        <v>2399</v>
      </c>
      <c r="T709" s="45">
        <v>1499</v>
      </c>
      <c r="U709" s="45">
        <v>1499</v>
      </c>
      <c r="V709" s="45">
        <v>1499</v>
      </c>
      <c r="W709" s="45">
        <v>1499</v>
      </c>
      <c r="X709" s="45">
        <v>1399</v>
      </c>
      <c r="Y709" s="45">
        <v>999</v>
      </c>
      <c r="Z709" s="45">
        <v>999</v>
      </c>
      <c r="AA709" s="45">
        <v>999</v>
      </c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7"/>
      <c r="AW709" s="48" t="s">
        <v>65</v>
      </c>
      <c r="AX709" s="51" t="s">
        <v>82</v>
      </c>
    </row>
    <row r="710" spans="1:50" ht="22.5" customHeight="1">
      <c r="A710" s="52" t="s">
        <v>70</v>
      </c>
      <c r="B710" s="41" t="s">
        <v>62</v>
      </c>
      <c r="C710" s="42">
        <v>4016839</v>
      </c>
      <c r="D710" s="44" t="s">
        <v>948</v>
      </c>
      <c r="E710" s="44" t="s">
        <v>949</v>
      </c>
      <c r="F710" s="45">
        <v>6499</v>
      </c>
      <c r="G710" s="45">
        <v>3899</v>
      </c>
      <c r="H710" s="45">
        <v>4669</v>
      </c>
      <c r="I710" s="45">
        <v>4669</v>
      </c>
      <c r="J710" s="45">
        <v>4599</v>
      </c>
      <c r="K710" s="45">
        <v>4599</v>
      </c>
      <c r="L710" s="45">
        <v>4599</v>
      </c>
      <c r="M710" s="45">
        <v>4599</v>
      </c>
      <c r="N710" s="45">
        <v>4599</v>
      </c>
      <c r="O710" s="45">
        <v>4499</v>
      </c>
      <c r="P710" s="46">
        <v>4399</v>
      </c>
      <c r="Q710" s="46">
        <v>3999</v>
      </c>
      <c r="R710" s="45">
        <v>4499</v>
      </c>
      <c r="S710" s="45">
        <v>4399</v>
      </c>
      <c r="T710" s="45">
        <v>3999</v>
      </c>
      <c r="U710" s="45">
        <v>3999</v>
      </c>
      <c r="V710" s="45">
        <v>3999</v>
      </c>
      <c r="W710" s="45">
        <v>3999</v>
      </c>
      <c r="X710" s="45">
        <v>3899</v>
      </c>
      <c r="Y710" s="45">
        <v>2999</v>
      </c>
      <c r="Z710" s="45">
        <v>2999</v>
      </c>
      <c r="AA710" s="45">
        <v>2999</v>
      </c>
      <c r="AB710" s="45">
        <v>4599</v>
      </c>
      <c r="AC710" s="45">
        <v>4599</v>
      </c>
      <c r="AD710" s="45">
        <v>4599</v>
      </c>
      <c r="AE710" s="45">
        <v>4599</v>
      </c>
      <c r="AF710" s="45">
        <v>4499</v>
      </c>
      <c r="AG710" s="45">
        <v>4399</v>
      </c>
      <c r="AH710" s="45">
        <v>3999</v>
      </c>
      <c r="AI710" s="45">
        <v>3999</v>
      </c>
      <c r="AJ710" s="45">
        <v>3999</v>
      </c>
      <c r="AK710" s="45">
        <v>3999</v>
      </c>
      <c r="AL710" s="45">
        <v>2999</v>
      </c>
      <c r="AM710" s="45"/>
      <c r="AN710" s="45"/>
      <c r="AO710" s="45"/>
      <c r="AP710" s="45"/>
      <c r="AQ710" s="45"/>
      <c r="AR710" s="45"/>
      <c r="AS710" s="45"/>
      <c r="AT710" s="45"/>
      <c r="AU710" s="45"/>
      <c r="AV710" s="47"/>
      <c r="AW710" s="48" t="s">
        <v>65</v>
      </c>
      <c r="AX710" s="51" t="s">
        <v>82</v>
      </c>
    </row>
    <row r="711" spans="1:50" ht="22.5" customHeight="1">
      <c r="A711" s="52" t="s">
        <v>70</v>
      </c>
      <c r="B711" s="41" t="s">
        <v>62</v>
      </c>
      <c r="C711" s="42">
        <v>4016872</v>
      </c>
      <c r="D711" s="44" t="s">
        <v>948</v>
      </c>
      <c r="E711" s="44" t="s">
        <v>950</v>
      </c>
      <c r="F711" s="45">
        <v>6499</v>
      </c>
      <c r="G711" s="45">
        <v>3899</v>
      </c>
      <c r="H711" s="45">
        <v>4669</v>
      </c>
      <c r="I711" s="45">
        <v>4669</v>
      </c>
      <c r="J711" s="45">
        <v>4599</v>
      </c>
      <c r="K711" s="45">
        <v>4599</v>
      </c>
      <c r="L711" s="45">
        <v>4599</v>
      </c>
      <c r="M711" s="45">
        <v>4599</v>
      </c>
      <c r="N711" s="45">
        <v>4599</v>
      </c>
      <c r="O711" s="45">
        <v>4499</v>
      </c>
      <c r="P711" s="46">
        <v>4399</v>
      </c>
      <c r="Q711" s="46">
        <v>3999</v>
      </c>
      <c r="R711" s="45">
        <v>4499</v>
      </c>
      <c r="S711" s="45">
        <v>4399</v>
      </c>
      <c r="T711" s="45">
        <v>3999</v>
      </c>
      <c r="U711" s="45">
        <v>3999</v>
      </c>
      <c r="V711" s="45">
        <v>3999</v>
      </c>
      <c r="W711" s="45">
        <v>3999</v>
      </c>
      <c r="X711" s="45">
        <v>3899</v>
      </c>
      <c r="Y711" s="45">
        <v>2999</v>
      </c>
      <c r="Z711" s="45">
        <v>2999</v>
      </c>
      <c r="AA711" s="45">
        <v>2999</v>
      </c>
      <c r="AB711" s="45">
        <v>4599</v>
      </c>
      <c r="AC711" s="45">
        <v>4599</v>
      </c>
      <c r="AD711" s="45">
        <v>4599</v>
      </c>
      <c r="AE711" s="45">
        <v>4599</v>
      </c>
      <c r="AF711" s="45">
        <v>4499</v>
      </c>
      <c r="AG711" s="45">
        <v>4399</v>
      </c>
      <c r="AH711" s="45">
        <v>3999</v>
      </c>
      <c r="AI711" s="45">
        <v>3999</v>
      </c>
      <c r="AJ711" s="45">
        <v>3999</v>
      </c>
      <c r="AK711" s="45">
        <v>3999</v>
      </c>
      <c r="AL711" s="45">
        <v>2999</v>
      </c>
      <c r="AM711" s="45"/>
      <c r="AN711" s="45"/>
      <c r="AO711" s="45"/>
      <c r="AP711" s="45"/>
      <c r="AQ711" s="45"/>
      <c r="AR711" s="45"/>
      <c r="AS711" s="45"/>
      <c r="AT711" s="45"/>
      <c r="AU711" s="45"/>
      <c r="AV711" s="47"/>
      <c r="AW711" s="48" t="s">
        <v>65</v>
      </c>
      <c r="AX711" s="51" t="s">
        <v>82</v>
      </c>
    </row>
    <row r="712" spans="1:50" ht="22.5" customHeight="1">
      <c r="A712" s="52" t="s">
        <v>70</v>
      </c>
      <c r="B712" s="41" t="s">
        <v>62</v>
      </c>
      <c r="C712" s="42">
        <v>4016858</v>
      </c>
      <c r="D712" s="44" t="s">
        <v>948</v>
      </c>
      <c r="E712" s="44" t="s">
        <v>951</v>
      </c>
      <c r="F712" s="45">
        <v>6499</v>
      </c>
      <c r="G712" s="45">
        <v>3899</v>
      </c>
      <c r="H712" s="45">
        <v>4669</v>
      </c>
      <c r="I712" s="45">
        <v>4669</v>
      </c>
      <c r="J712" s="45">
        <v>4599</v>
      </c>
      <c r="K712" s="45">
        <v>4599</v>
      </c>
      <c r="L712" s="45">
        <v>4599</v>
      </c>
      <c r="M712" s="45">
        <v>4599</v>
      </c>
      <c r="N712" s="45">
        <v>4599</v>
      </c>
      <c r="O712" s="45">
        <v>4499</v>
      </c>
      <c r="P712" s="46">
        <v>4399</v>
      </c>
      <c r="Q712" s="46">
        <v>3999</v>
      </c>
      <c r="R712" s="45">
        <v>4499</v>
      </c>
      <c r="S712" s="45">
        <v>4399</v>
      </c>
      <c r="T712" s="45">
        <v>3999</v>
      </c>
      <c r="U712" s="45">
        <v>3999</v>
      </c>
      <c r="V712" s="45">
        <v>3999</v>
      </c>
      <c r="W712" s="45">
        <v>3999</v>
      </c>
      <c r="X712" s="45">
        <v>3899</v>
      </c>
      <c r="Y712" s="45">
        <v>2999</v>
      </c>
      <c r="Z712" s="45">
        <v>2999</v>
      </c>
      <c r="AA712" s="45">
        <v>2999</v>
      </c>
      <c r="AB712" s="45">
        <v>4599</v>
      </c>
      <c r="AC712" s="45">
        <v>4599</v>
      </c>
      <c r="AD712" s="45">
        <v>4599</v>
      </c>
      <c r="AE712" s="45">
        <v>4599</v>
      </c>
      <c r="AF712" s="45">
        <v>4499</v>
      </c>
      <c r="AG712" s="45">
        <v>4399</v>
      </c>
      <c r="AH712" s="45">
        <v>3999</v>
      </c>
      <c r="AI712" s="45">
        <v>3999</v>
      </c>
      <c r="AJ712" s="45">
        <v>3999</v>
      </c>
      <c r="AK712" s="45">
        <v>3999</v>
      </c>
      <c r="AL712" s="45">
        <v>2999</v>
      </c>
      <c r="AM712" s="45"/>
      <c r="AN712" s="45"/>
      <c r="AO712" s="45"/>
      <c r="AP712" s="45"/>
      <c r="AQ712" s="45"/>
      <c r="AR712" s="45"/>
      <c r="AS712" s="45"/>
      <c r="AT712" s="45"/>
      <c r="AU712" s="45"/>
      <c r="AV712" s="47"/>
      <c r="AW712" s="48" t="s">
        <v>65</v>
      </c>
      <c r="AX712" s="51" t="s">
        <v>82</v>
      </c>
    </row>
    <row r="713" spans="1:50" ht="22.5" customHeight="1">
      <c r="A713" s="52" t="s">
        <v>70</v>
      </c>
      <c r="B713" s="41" t="s">
        <v>62</v>
      </c>
      <c r="C713" s="42">
        <v>4016863</v>
      </c>
      <c r="D713" s="44" t="s">
        <v>948</v>
      </c>
      <c r="E713" s="44" t="s">
        <v>952</v>
      </c>
      <c r="F713" s="45">
        <v>6499</v>
      </c>
      <c r="G713" s="45">
        <v>3899</v>
      </c>
      <c r="H713" s="45">
        <v>4669</v>
      </c>
      <c r="I713" s="45">
        <v>4669</v>
      </c>
      <c r="J713" s="45">
        <v>4599</v>
      </c>
      <c r="K713" s="45">
        <v>4599</v>
      </c>
      <c r="L713" s="45">
        <v>4599</v>
      </c>
      <c r="M713" s="45">
        <v>4599</v>
      </c>
      <c r="N713" s="45">
        <v>4599</v>
      </c>
      <c r="O713" s="45">
        <v>4499</v>
      </c>
      <c r="P713" s="46">
        <v>4399</v>
      </c>
      <c r="Q713" s="46">
        <v>3999</v>
      </c>
      <c r="R713" s="45">
        <v>4499</v>
      </c>
      <c r="S713" s="45">
        <v>4399</v>
      </c>
      <c r="T713" s="45">
        <v>3999</v>
      </c>
      <c r="U713" s="45">
        <v>3999</v>
      </c>
      <c r="V713" s="45">
        <v>3999</v>
      </c>
      <c r="W713" s="45">
        <v>3999</v>
      </c>
      <c r="X713" s="45">
        <v>3899</v>
      </c>
      <c r="Y713" s="45">
        <v>2999</v>
      </c>
      <c r="Z713" s="45">
        <v>2999</v>
      </c>
      <c r="AA713" s="45">
        <v>2999</v>
      </c>
      <c r="AB713" s="45">
        <v>4599</v>
      </c>
      <c r="AC713" s="45">
        <v>4599</v>
      </c>
      <c r="AD713" s="45">
        <v>4599</v>
      </c>
      <c r="AE713" s="45">
        <v>4599</v>
      </c>
      <c r="AF713" s="45">
        <v>4499</v>
      </c>
      <c r="AG713" s="45">
        <v>4399</v>
      </c>
      <c r="AH713" s="45">
        <v>3999</v>
      </c>
      <c r="AI713" s="45">
        <v>3999</v>
      </c>
      <c r="AJ713" s="45">
        <v>3999</v>
      </c>
      <c r="AK713" s="45">
        <v>3999</v>
      </c>
      <c r="AL713" s="45">
        <v>2999</v>
      </c>
      <c r="AM713" s="45"/>
      <c r="AN713" s="45"/>
      <c r="AO713" s="45"/>
      <c r="AP713" s="45"/>
      <c r="AQ713" s="45"/>
      <c r="AR713" s="45"/>
      <c r="AS713" s="45"/>
      <c r="AT713" s="45"/>
      <c r="AU713" s="45"/>
      <c r="AV713" s="47"/>
      <c r="AW713" s="48" t="s">
        <v>65</v>
      </c>
      <c r="AX713" s="51" t="s">
        <v>82</v>
      </c>
    </row>
    <row r="714" spans="1:50" ht="22.5" customHeight="1">
      <c r="A714" s="52" t="s">
        <v>70</v>
      </c>
      <c r="B714" s="41" t="s">
        <v>62</v>
      </c>
      <c r="C714" s="42">
        <v>4016886</v>
      </c>
      <c r="D714" s="44" t="s">
        <v>948</v>
      </c>
      <c r="E714" s="44" t="s">
        <v>953</v>
      </c>
      <c r="F714" s="45">
        <v>6499</v>
      </c>
      <c r="G714" s="45">
        <v>3899</v>
      </c>
      <c r="H714" s="45">
        <v>4669</v>
      </c>
      <c r="I714" s="45">
        <v>4669</v>
      </c>
      <c r="J714" s="45">
        <v>4599</v>
      </c>
      <c r="K714" s="45">
        <v>4599</v>
      </c>
      <c r="L714" s="45">
        <v>4599</v>
      </c>
      <c r="M714" s="45">
        <v>4599</v>
      </c>
      <c r="N714" s="45">
        <v>4599</v>
      </c>
      <c r="O714" s="45">
        <v>4499</v>
      </c>
      <c r="P714" s="46">
        <v>4399</v>
      </c>
      <c r="Q714" s="46">
        <v>3999</v>
      </c>
      <c r="R714" s="45">
        <v>4499</v>
      </c>
      <c r="S714" s="45">
        <v>4399</v>
      </c>
      <c r="T714" s="45">
        <v>3999</v>
      </c>
      <c r="U714" s="45">
        <v>3999</v>
      </c>
      <c r="V714" s="45">
        <v>3999</v>
      </c>
      <c r="W714" s="45">
        <v>3999</v>
      </c>
      <c r="X714" s="45">
        <v>3899</v>
      </c>
      <c r="Y714" s="45">
        <v>2999</v>
      </c>
      <c r="Z714" s="45">
        <v>2999</v>
      </c>
      <c r="AA714" s="45">
        <v>2999</v>
      </c>
      <c r="AB714" s="45">
        <v>4599</v>
      </c>
      <c r="AC714" s="45">
        <v>4599</v>
      </c>
      <c r="AD714" s="45">
        <v>4599</v>
      </c>
      <c r="AE714" s="45">
        <v>4599</v>
      </c>
      <c r="AF714" s="45">
        <v>4499</v>
      </c>
      <c r="AG714" s="45">
        <v>4399</v>
      </c>
      <c r="AH714" s="45">
        <v>3999</v>
      </c>
      <c r="AI714" s="45">
        <v>3999</v>
      </c>
      <c r="AJ714" s="45">
        <v>3999</v>
      </c>
      <c r="AK714" s="45">
        <v>3999</v>
      </c>
      <c r="AL714" s="45">
        <v>2999</v>
      </c>
      <c r="AM714" s="45"/>
      <c r="AN714" s="45"/>
      <c r="AO714" s="45"/>
      <c r="AP714" s="45"/>
      <c r="AQ714" s="45"/>
      <c r="AR714" s="45"/>
      <c r="AS714" s="45"/>
      <c r="AT714" s="45"/>
      <c r="AU714" s="45"/>
      <c r="AV714" s="47"/>
      <c r="AW714" s="48" t="s">
        <v>65</v>
      </c>
      <c r="AX714" s="51" t="s">
        <v>82</v>
      </c>
    </row>
    <row r="715" spans="1:50" ht="22.5" customHeight="1">
      <c r="A715" s="52" t="s">
        <v>70</v>
      </c>
      <c r="B715" s="41" t="s">
        <v>62</v>
      </c>
      <c r="C715" s="42">
        <v>4016901</v>
      </c>
      <c r="D715" s="44" t="s">
        <v>948</v>
      </c>
      <c r="E715" s="44" t="s">
        <v>954</v>
      </c>
      <c r="F715" s="45">
        <v>6499</v>
      </c>
      <c r="G715" s="45">
        <v>3899</v>
      </c>
      <c r="H715" s="45">
        <v>4669</v>
      </c>
      <c r="I715" s="45">
        <v>4669</v>
      </c>
      <c r="J715" s="45">
        <v>4599</v>
      </c>
      <c r="K715" s="45">
        <v>4599</v>
      </c>
      <c r="L715" s="45">
        <v>4599</v>
      </c>
      <c r="M715" s="45">
        <v>4599</v>
      </c>
      <c r="N715" s="45">
        <v>4599</v>
      </c>
      <c r="O715" s="45">
        <v>4499</v>
      </c>
      <c r="P715" s="46">
        <v>4399</v>
      </c>
      <c r="Q715" s="46">
        <v>3999</v>
      </c>
      <c r="R715" s="45">
        <v>4499</v>
      </c>
      <c r="S715" s="45">
        <v>4399</v>
      </c>
      <c r="T715" s="45">
        <v>3999</v>
      </c>
      <c r="U715" s="45">
        <v>3999</v>
      </c>
      <c r="V715" s="45">
        <v>3999</v>
      </c>
      <c r="W715" s="45">
        <v>3999</v>
      </c>
      <c r="X715" s="45">
        <v>3899</v>
      </c>
      <c r="Y715" s="45">
        <v>2999</v>
      </c>
      <c r="Z715" s="45">
        <v>2999</v>
      </c>
      <c r="AA715" s="45">
        <v>2999</v>
      </c>
      <c r="AB715" s="45">
        <v>4599</v>
      </c>
      <c r="AC715" s="45">
        <v>4599</v>
      </c>
      <c r="AD715" s="45">
        <v>4599</v>
      </c>
      <c r="AE715" s="45">
        <v>4599</v>
      </c>
      <c r="AF715" s="45">
        <v>4499</v>
      </c>
      <c r="AG715" s="45">
        <v>4399</v>
      </c>
      <c r="AH715" s="45">
        <v>3999</v>
      </c>
      <c r="AI715" s="45">
        <v>3999</v>
      </c>
      <c r="AJ715" s="45">
        <v>3999</v>
      </c>
      <c r="AK715" s="45">
        <v>3999</v>
      </c>
      <c r="AL715" s="45">
        <v>2999</v>
      </c>
      <c r="AM715" s="45"/>
      <c r="AN715" s="45"/>
      <c r="AO715" s="45"/>
      <c r="AP715" s="45"/>
      <c r="AQ715" s="45"/>
      <c r="AR715" s="45"/>
      <c r="AS715" s="45"/>
      <c r="AT715" s="45"/>
      <c r="AU715" s="45"/>
      <c r="AV715" s="47"/>
      <c r="AW715" s="48" t="s">
        <v>65</v>
      </c>
      <c r="AX715" s="51" t="s">
        <v>82</v>
      </c>
    </row>
    <row r="716" spans="1:50" ht="22.5" customHeight="1">
      <c r="A716" s="52" t="s">
        <v>70</v>
      </c>
      <c r="B716" s="41" t="s">
        <v>62</v>
      </c>
      <c r="C716" s="42">
        <v>4016895</v>
      </c>
      <c r="D716" s="44" t="s">
        <v>948</v>
      </c>
      <c r="E716" s="44" t="s">
        <v>955</v>
      </c>
      <c r="F716" s="45">
        <v>6499</v>
      </c>
      <c r="G716" s="45">
        <v>3899</v>
      </c>
      <c r="H716" s="45">
        <v>4669</v>
      </c>
      <c r="I716" s="45">
        <v>4669</v>
      </c>
      <c r="J716" s="45">
        <v>4599</v>
      </c>
      <c r="K716" s="45">
        <v>4599</v>
      </c>
      <c r="L716" s="45">
        <v>4599</v>
      </c>
      <c r="M716" s="45">
        <v>4599</v>
      </c>
      <c r="N716" s="45">
        <v>4599</v>
      </c>
      <c r="O716" s="45">
        <v>4499</v>
      </c>
      <c r="P716" s="46">
        <v>4399</v>
      </c>
      <c r="Q716" s="46">
        <v>3999</v>
      </c>
      <c r="R716" s="45">
        <v>4499</v>
      </c>
      <c r="S716" s="45">
        <v>4399</v>
      </c>
      <c r="T716" s="45">
        <v>3999</v>
      </c>
      <c r="U716" s="45">
        <v>3999</v>
      </c>
      <c r="V716" s="45">
        <v>3999</v>
      </c>
      <c r="W716" s="45">
        <v>3999</v>
      </c>
      <c r="X716" s="45">
        <v>3899</v>
      </c>
      <c r="Y716" s="45">
        <v>2999</v>
      </c>
      <c r="Z716" s="45">
        <v>2999</v>
      </c>
      <c r="AA716" s="45">
        <v>2999</v>
      </c>
      <c r="AB716" s="45">
        <v>4599</v>
      </c>
      <c r="AC716" s="45">
        <v>4599</v>
      </c>
      <c r="AD716" s="45">
        <v>4599</v>
      </c>
      <c r="AE716" s="45">
        <v>4599</v>
      </c>
      <c r="AF716" s="45">
        <v>4499</v>
      </c>
      <c r="AG716" s="45">
        <v>4399</v>
      </c>
      <c r="AH716" s="45">
        <v>3999</v>
      </c>
      <c r="AI716" s="45">
        <v>3999</v>
      </c>
      <c r="AJ716" s="45">
        <v>3999</v>
      </c>
      <c r="AK716" s="45">
        <v>3999</v>
      </c>
      <c r="AL716" s="45">
        <v>2999</v>
      </c>
      <c r="AM716" s="45"/>
      <c r="AN716" s="45"/>
      <c r="AO716" s="45"/>
      <c r="AP716" s="45"/>
      <c r="AQ716" s="45"/>
      <c r="AR716" s="45"/>
      <c r="AS716" s="45"/>
      <c r="AT716" s="45"/>
      <c r="AU716" s="45"/>
      <c r="AV716" s="47"/>
      <c r="AW716" s="48" t="s">
        <v>65</v>
      </c>
      <c r="AX716" s="51" t="s">
        <v>82</v>
      </c>
    </row>
    <row r="717" spans="1:50" ht="22.5" customHeight="1">
      <c r="A717" s="52" t="s">
        <v>70</v>
      </c>
      <c r="B717" s="41" t="s">
        <v>62</v>
      </c>
      <c r="C717" s="42">
        <v>4016880</v>
      </c>
      <c r="D717" s="44" t="s">
        <v>948</v>
      </c>
      <c r="E717" s="44" t="s">
        <v>956</v>
      </c>
      <c r="F717" s="45">
        <v>6499</v>
      </c>
      <c r="G717" s="45">
        <v>3899</v>
      </c>
      <c r="H717" s="45">
        <v>4669</v>
      </c>
      <c r="I717" s="45">
        <v>4669</v>
      </c>
      <c r="J717" s="45">
        <v>4599</v>
      </c>
      <c r="K717" s="45">
        <v>4599</v>
      </c>
      <c r="L717" s="45">
        <v>4599</v>
      </c>
      <c r="M717" s="45">
        <v>4599</v>
      </c>
      <c r="N717" s="45">
        <v>4599</v>
      </c>
      <c r="O717" s="45">
        <v>4499</v>
      </c>
      <c r="P717" s="46">
        <v>4399</v>
      </c>
      <c r="Q717" s="46">
        <v>3999</v>
      </c>
      <c r="R717" s="45">
        <v>4499</v>
      </c>
      <c r="S717" s="45">
        <v>4399</v>
      </c>
      <c r="T717" s="45">
        <v>3999</v>
      </c>
      <c r="U717" s="45">
        <v>3999</v>
      </c>
      <c r="V717" s="45">
        <v>3999</v>
      </c>
      <c r="W717" s="45">
        <v>3999</v>
      </c>
      <c r="X717" s="45">
        <v>3899</v>
      </c>
      <c r="Y717" s="45">
        <v>2999</v>
      </c>
      <c r="Z717" s="45">
        <v>2999</v>
      </c>
      <c r="AA717" s="45">
        <v>2999</v>
      </c>
      <c r="AB717" s="45">
        <v>4599</v>
      </c>
      <c r="AC717" s="45">
        <v>4599</v>
      </c>
      <c r="AD717" s="45">
        <v>4599</v>
      </c>
      <c r="AE717" s="45">
        <v>4599</v>
      </c>
      <c r="AF717" s="45">
        <v>4499</v>
      </c>
      <c r="AG717" s="45">
        <v>4399</v>
      </c>
      <c r="AH717" s="45">
        <v>3999</v>
      </c>
      <c r="AI717" s="45">
        <v>3999</v>
      </c>
      <c r="AJ717" s="45">
        <v>3999</v>
      </c>
      <c r="AK717" s="45">
        <v>3999</v>
      </c>
      <c r="AL717" s="45">
        <v>2999</v>
      </c>
      <c r="AM717" s="45"/>
      <c r="AN717" s="45"/>
      <c r="AO717" s="45"/>
      <c r="AP717" s="45"/>
      <c r="AQ717" s="45"/>
      <c r="AR717" s="45"/>
      <c r="AS717" s="45"/>
      <c r="AT717" s="45"/>
      <c r="AU717" s="45"/>
      <c r="AV717" s="47"/>
      <c r="AW717" s="48" t="s">
        <v>65</v>
      </c>
      <c r="AX717" s="51" t="s">
        <v>82</v>
      </c>
    </row>
    <row r="718" spans="1:50" ht="22.5" customHeight="1">
      <c r="A718" s="52" t="s">
        <v>70</v>
      </c>
      <c r="B718" s="41" t="s">
        <v>62</v>
      </c>
      <c r="C718" s="42">
        <v>4016871</v>
      </c>
      <c r="D718" s="44" t="s">
        <v>957</v>
      </c>
      <c r="E718" s="44" t="s">
        <v>958</v>
      </c>
      <c r="F718" s="45">
        <v>8499</v>
      </c>
      <c r="G718" s="45">
        <v>4899</v>
      </c>
      <c r="H718" s="45">
        <v>5699</v>
      </c>
      <c r="I718" s="45">
        <v>5699</v>
      </c>
      <c r="J718" s="45">
        <v>5599</v>
      </c>
      <c r="K718" s="45">
        <v>5599</v>
      </c>
      <c r="L718" s="45">
        <v>5599</v>
      </c>
      <c r="M718" s="45">
        <v>5599</v>
      </c>
      <c r="N718" s="45">
        <v>5599</v>
      </c>
      <c r="O718" s="45">
        <v>5499</v>
      </c>
      <c r="P718" s="46">
        <v>5399</v>
      </c>
      <c r="Q718" s="46">
        <v>4999</v>
      </c>
      <c r="R718" s="45">
        <v>5499</v>
      </c>
      <c r="S718" s="45">
        <v>5399</v>
      </c>
      <c r="T718" s="45">
        <v>4999</v>
      </c>
      <c r="U718" s="45">
        <v>4999</v>
      </c>
      <c r="V718" s="45">
        <v>4999</v>
      </c>
      <c r="W718" s="45">
        <v>4999</v>
      </c>
      <c r="X718" s="45">
        <v>4899</v>
      </c>
      <c r="Y718" s="45">
        <v>4199</v>
      </c>
      <c r="Z718" s="45">
        <v>4199</v>
      </c>
      <c r="AA718" s="45">
        <v>4199</v>
      </c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7"/>
      <c r="AW718" s="48" t="s">
        <v>65</v>
      </c>
      <c r="AX718" s="51" t="s">
        <v>82</v>
      </c>
    </row>
    <row r="719" spans="1:50" ht="22.5" customHeight="1">
      <c r="A719" s="52" t="s">
        <v>70</v>
      </c>
      <c r="B719" s="41" t="s">
        <v>62</v>
      </c>
      <c r="C719" s="42">
        <v>4016851</v>
      </c>
      <c r="D719" s="44" t="s">
        <v>957</v>
      </c>
      <c r="E719" s="44" t="s">
        <v>959</v>
      </c>
      <c r="F719" s="45">
        <v>8499</v>
      </c>
      <c r="G719" s="45">
        <v>4899</v>
      </c>
      <c r="H719" s="45">
        <v>5699</v>
      </c>
      <c r="I719" s="45">
        <v>5699</v>
      </c>
      <c r="J719" s="45">
        <v>5599</v>
      </c>
      <c r="K719" s="45">
        <v>5599</v>
      </c>
      <c r="L719" s="45">
        <v>5599</v>
      </c>
      <c r="M719" s="45">
        <v>5599</v>
      </c>
      <c r="N719" s="45">
        <v>5599</v>
      </c>
      <c r="O719" s="45">
        <v>5499</v>
      </c>
      <c r="P719" s="46">
        <v>5399</v>
      </c>
      <c r="Q719" s="46">
        <v>4999</v>
      </c>
      <c r="R719" s="45">
        <v>5499</v>
      </c>
      <c r="S719" s="45">
        <v>5399</v>
      </c>
      <c r="T719" s="45">
        <v>4999</v>
      </c>
      <c r="U719" s="45">
        <v>4999</v>
      </c>
      <c r="V719" s="45">
        <v>4999</v>
      </c>
      <c r="W719" s="45">
        <v>4999</v>
      </c>
      <c r="X719" s="45">
        <v>4899</v>
      </c>
      <c r="Y719" s="45">
        <v>4199</v>
      </c>
      <c r="Z719" s="45">
        <v>4199</v>
      </c>
      <c r="AA719" s="45">
        <v>4199</v>
      </c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7"/>
      <c r="AW719" s="48" t="s">
        <v>65</v>
      </c>
      <c r="AX719" s="51" t="s">
        <v>82</v>
      </c>
    </row>
    <row r="720" spans="1:50" ht="22.5" customHeight="1">
      <c r="A720" s="52" t="s">
        <v>70</v>
      </c>
      <c r="B720" s="41" t="s">
        <v>62</v>
      </c>
      <c r="C720" s="42">
        <v>4016864</v>
      </c>
      <c r="D720" s="44" t="s">
        <v>957</v>
      </c>
      <c r="E720" s="44" t="s">
        <v>960</v>
      </c>
      <c r="F720" s="45">
        <v>8499</v>
      </c>
      <c r="G720" s="45">
        <v>4899</v>
      </c>
      <c r="H720" s="45">
        <v>5699</v>
      </c>
      <c r="I720" s="45">
        <v>5699</v>
      </c>
      <c r="J720" s="45">
        <v>5599</v>
      </c>
      <c r="K720" s="45">
        <v>5599</v>
      </c>
      <c r="L720" s="45">
        <v>5599</v>
      </c>
      <c r="M720" s="45">
        <v>5599</v>
      </c>
      <c r="N720" s="45">
        <v>5599</v>
      </c>
      <c r="O720" s="45">
        <v>5499</v>
      </c>
      <c r="P720" s="46">
        <v>5399</v>
      </c>
      <c r="Q720" s="46">
        <v>4999</v>
      </c>
      <c r="R720" s="45">
        <v>5499</v>
      </c>
      <c r="S720" s="45">
        <v>5399</v>
      </c>
      <c r="T720" s="45">
        <v>4999</v>
      </c>
      <c r="U720" s="45">
        <v>4999</v>
      </c>
      <c r="V720" s="45">
        <v>4999</v>
      </c>
      <c r="W720" s="45">
        <v>4999</v>
      </c>
      <c r="X720" s="45">
        <v>4899</v>
      </c>
      <c r="Y720" s="45">
        <v>4199</v>
      </c>
      <c r="Z720" s="45">
        <v>4199</v>
      </c>
      <c r="AA720" s="45">
        <v>4199</v>
      </c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7"/>
      <c r="AW720" s="48" t="s">
        <v>65</v>
      </c>
      <c r="AX720" s="51" t="s">
        <v>82</v>
      </c>
    </row>
    <row r="721" spans="1:50" ht="22.5" customHeight="1">
      <c r="A721" s="52" t="s">
        <v>70</v>
      </c>
      <c r="B721" s="41" t="s">
        <v>62</v>
      </c>
      <c r="C721" s="42">
        <v>4016900</v>
      </c>
      <c r="D721" s="44" t="s">
        <v>957</v>
      </c>
      <c r="E721" s="44" t="s">
        <v>961</v>
      </c>
      <c r="F721" s="45">
        <v>8499</v>
      </c>
      <c r="G721" s="45">
        <v>4899</v>
      </c>
      <c r="H721" s="45">
        <v>5699</v>
      </c>
      <c r="I721" s="45">
        <v>5699</v>
      </c>
      <c r="J721" s="45">
        <v>5599</v>
      </c>
      <c r="K721" s="45">
        <v>5599</v>
      </c>
      <c r="L721" s="45">
        <v>5599</v>
      </c>
      <c r="M721" s="45">
        <v>5599</v>
      </c>
      <c r="N721" s="45">
        <v>5599</v>
      </c>
      <c r="O721" s="45">
        <v>5499</v>
      </c>
      <c r="P721" s="46">
        <v>5399</v>
      </c>
      <c r="Q721" s="46">
        <v>4999</v>
      </c>
      <c r="R721" s="45">
        <v>5499</v>
      </c>
      <c r="S721" s="45">
        <v>5399</v>
      </c>
      <c r="T721" s="45">
        <v>4999</v>
      </c>
      <c r="U721" s="45">
        <v>4999</v>
      </c>
      <c r="V721" s="45">
        <v>4999</v>
      </c>
      <c r="W721" s="45">
        <v>4999</v>
      </c>
      <c r="X721" s="45">
        <v>4899</v>
      </c>
      <c r="Y721" s="45">
        <v>4199</v>
      </c>
      <c r="Z721" s="45">
        <v>4199</v>
      </c>
      <c r="AA721" s="45">
        <v>4199</v>
      </c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7"/>
      <c r="AW721" s="48" t="s">
        <v>65</v>
      </c>
      <c r="AX721" s="51" t="s">
        <v>82</v>
      </c>
    </row>
    <row r="722" spans="1:50" ht="22.5" customHeight="1">
      <c r="A722" s="52" t="s">
        <v>70</v>
      </c>
      <c r="B722" s="41" t="s">
        <v>62</v>
      </c>
      <c r="C722" s="42">
        <v>4016893</v>
      </c>
      <c r="D722" s="44" t="s">
        <v>957</v>
      </c>
      <c r="E722" s="44" t="s">
        <v>962</v>
      </c>
      <c r="F722" s="45">
        <v>8499</v>
      </c>
      <c r="G722" s="45">
        <v>4899</v>
      </c>
      <c r="H722" s="45">
        <v>5699</v>
      </c>
      <c r="I722" s="45">
        <v>5699</v>
      </c>
      <c r="J722" s="45">
        <v>5599</v>
      </c>
      <c r="K722" s="45">
        <v>5599</v>
      </c>
      <c r="L722" s="45">
        <v>5599</v>
      </c>
      <c r="M722" s="45">
        <v>5599</v>
      </c>
      <c r="N722" s="45">
        <v>5599</v>
      </c>
      <c r="O722" s="45">
        <v>5499</v>
      </c>
      <c r="P722" s="46">
        <v>5399</v>
      </c>
      <c r="Q722" s="46">
        <v>4999</v>
      </c>
      <c r="R722" s="45">
        <v>5499</v>
      </c>
      <c r="S722" s="45">
        <v>5399</v>
      </c>
      <c r="T722" s="45">
        <v>4999</v>
      </c>
      <c r="U722" s="45">
        <v>4999</v>
      </c>
      <c r="V722" s="45">
        <v>4999</v>
      </c>
      <c r="W722" s="45">
        <v>4999</v>
      </c>
      <c r="X722" s="45">
        <v>4899</v>
      </c>
      <c r="Y722" s="45">
        <v>4199</v>
      </c>
      <c r="Z722" s="45">
        <v>4199</v>
      </c>
      <c r="AA722" s="45">
        <v>4199</v>
      </c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7"/>
      <c r="AW722" s="48" t="s">
        <v>65</v>
      </c>
      <c r="AX722" s="51" t="s">
        <v>82</v>
      </c>
    </row>
    <row r="723" spans="1:50" ht="22.5" customHeight="1">
      <c r="A723" s="52" t="s">
        <v>70</v>
      </c>
      <c r="B723" s="41" t="s">
        <v>62</v>
      </c>
      <c r="C723" s="42">
        <v>4016879</v>
      </c>
      <c r="D723" s="44" t="s">
        <v>957</v>
      </c>
      <c r="E723" s="44" t="s">
        <v>963</v>
      </c>
      <c r="F723" s="45">
        <v>8499</v>
      </c>
      <c r="G723" s="45">
        <v>4899</v>
      </c>
      <c r="H723" s="45">
        <v>5699</v>
      </c>
      <c r="I723" s="45">
        <v>5699</v>
      </c>
      <c r="J723" s="45">
        <v>5599</v>
      </c>
      <c r="K723" s="45">
        <v>5599</v>
      </c>
      <c r="L723" s="45">
        <v>5599</v>
      </c>
      <c r="M723" s="45">
        <v>5599</v>
      </c>
      <c r="N723" s="45">
        <v>5599</v>
      </c>
      <c r="O723" s="45">
        <v>5499</v>
      </c>
      <c r="P723" s="46">
        <v>5399</v>
      </c>
      <c r="Q723" s="46">
        <v>4999</v>
      </c>
      <c r="R723" s="45">
        <v>5499</v>
      </c>
      <c r="S723" s="45">
        <v>5399</v>
      </c>
      <c r="T723" s="45">
        <v>4999</v>
      </c>
      <c r="U723" s="45">
        <v>4999</v>
      </c>
      <c r="V723" s="45">
        <v>4999</v>
      </c>
      <c r="W723" s="45">
        <v>4999</v>
      </c>
      <c r="X723" s="45">
        <v>4899</v>
      </c>
      <c r="Y723" s="45">
        <v>4199</v>
      </c>
      <c r="Z723" s="45">
        <v>4199</v>
      </c>
      <c r="AA723" s="45">
        <v>4199</v>
      </c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7"/>
      <c r="AW723" s="48" t="s">
        <v>65</v>
      </c>
      <c r="AX723" s="51" t="s">
        <v>82</v>
      </c>
    </row>
    <row r="724" spans="1:50" ht="22.5" customHeight="1">
      <c r="A724" s="52" t="s">
        <v>70</v>
      </c>
      <c r="B724" s="41" t="s">
        <v>62</v>
      </c>
      <c r="C724" s="42">
        <v>4016902</v>
      </c>
      <c r="D724" s="44" t="s">
        <v>964</v>
      </c>
      <c r="E724" s="44" t="s">
        <v>965</v>
      </c>
      <c r="F724" s="45">
        <v>9499</v>
      </c>
      <c r="G724" s="45">
        <v>5499</v>
      </c>
      <c r="H724" s="45">
        <v>6399</v>
      </c>
      <c r="I724" s="45">
        <v>6399</v>
      </c>
      <c r="J724" s="45">
        <v>6299</v>
      </c>
      <c r="K724" s="45">
        <v>6299</v>
      </c>
      <c r="L724" s="45">
        <v>6299</v>
      </c>
      <c r="M724" s="45">
        <v>6299</v>
      </c>
      <c r="N724" s="45">
        <v>6299</v>
      </c>
      <c r="O724" s="45">
        <v>6199</v>
      </c>
      <c r="P724" s="46">
        <v>6099</v>
      </c>
      <c r="Q724" s="46">
        <v>5799</v>
      </c>
      <c r="R724" s="45">
        <v>6199</v>
      </c>
      <c r="S724" s="45">
        <v>6099</v>
      </c>
      <c r="T724" s="45">
        <v>5799</v>
      </c>
      <c r="U724" s="45">
        <v>5799</v>
      </c>
      <c r="V724" s="45">
        <v>5799</v>
      </c>
      <c r="W724" s="45">
        <v>5799</v>
      </c>
      <c r="X724" s="45">
        <v>5499</v>
      </c>
      <c r="Y724" s="45">
        <v>4999</v>
      </c>
      <c r="Z724" s="45">
        <v>4999</v>
      </c>
      <c r="AA724" s="45">
        <v>4999</v>
      </c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7"/>
      <c r="AW724" s="48" t="s">
        <v>65</v>
      </c>
      <c r="AX724" s="51" t="s">
        <v>82</v>
      </c>
    </row>
    <row r="725" spans="1:50" ht="22.5" customHeight="1">
      <c r="A725" s="52" t="s">
        <v>70</v>
      </c>
      <c r="B725" s="41" t="s">
        <v>62</v>
      </c>
      <c r="C725" s="42">
        <v>4016881</v>
      </c>
      <c r="D725" s="44" t="s">
        <v>964</v>
      </c>
      <c r="E725" s="44" t="s">
        <v>966</v>
      </c>
      <c r="F725" s="45">
        <v>9499</v>
      </c>
      <c r="G725" s="45">
        <v>5499</v>
      </c>
      <c r="H725" s="45">
        <v>6399</v>
      </c>
      <c r="I725" s="45">
        <v>6399</v>
      </c>
      <c r="J725" s="45">
        <v>6299</v>
      </c>
      <c r="K725" s="45">
        <v>6299</v>
      </c>
      <c r="L725" s="45">
        <v>6299</v>
      </c>
      <c r="M725" s="45">
        <v>6299</v>
      </c>
      <c r="N725" s="45">
        <v>6299</v>
      </c>
      <c r="O725" s="45">
        <v>6199</v>
      </c>
      <c r="P725" s="46">
        <v>6099</v>
      </c>
      <c r="Q725" s="46">
        <v>5799</v>
      </c>
      <c r="R725" s="45">
        <v>6199</v>
      </c>
      <c r="S725" s="45">
        <v>6099</v>
      </c>
      <c r="T725" s="45">
        <v>5799</v>
      </c>
      <c r="U725" s="45">
        <v>5799</v>
      </c>
      <c r="V725" s="45">
        <v>5799</v>
      </c>
      <c r="W725" s="45">
        <v>5799</v>
      </c>
      <c r="X725" s="45">
        <v>5499</v>
      </c>
      <c r="Y725" s="45">
        <v>4999</v>
      </c>
      <c r="Z725" s="45">
        <v>4999</v>
      </c>
      <c r="AA725" s="45">
        <v>4999</v>
      </c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7"/>
      <c r="AW725" s="48" t="s">
        <v>65</v>
      </c>
      <c r="AX725" s="51" t="s">
        <v>82</v>
      </c>
    </row>
    <row r="726" spans="1:50" ht="22.5" customHeight="1">
      <c r="A726" s="52" t="s">
        <v>70</v>
      </c>
      <c r="B726" s="41" t="s">
        <v>62</v>
      </c>
      <c r="C726" s="42">
        <v>4016894</v>
      </c>
      <c r="D726" s="44" t="s">
        <v>964</v>
      </c>
      <c r="E726" s="44" t="s">
        <v>967</v>
      </c>
      <c r="F726" s="45">
        <v>9499</v>
      </c>
      <c r="G726" s="45">
        <v>5499</v>
      </c>
      <c r="H726" s="45">
        <v>6399</v>
      </c>
      <c r="I726" s="45">
        <v>6399</v>
      </c>
      <c r="J726" s="45">
        <v>6299</v>
      </c>
      <c r="K726" s="45">
        <v>6299</v>
      </c>
      <c r="L726" s="45">
        <v>6299</v>
      </c>
      <c r="M726" s="45">
        <v>6299</v>
      </c>
      <c r="N726" s="45">
        <v>6299</v>
      </c>
      <c r="O726" s="45">
        <v>6199</v>
      </c>
      <c r="P726" s="46">
        <v>6099</v>
      </c>
      <c r="Q726" s="46">
        <v>5799</v>
      </c>
      <c r="R726" s="45">
        <v>6199</v>
      </c>
      <c r="S726" s="45">
        <v>6099</v>
      </c>
      <c r="T726" s="45">
        <v>5799</v>
      </c>
      <c r="U726" s="45">
        <v>5799</v>
      </c>
      <c r="V726" s="45">
        <v>5799</v>
      </c>
      <c r="W726" s="45">
        <v>5799</v>
      </c>
      <c r="X726" s="45">
        <v>5499</v>
      </c>
      <c r="Y726" s="45">
        <v>4999</v>
      </c>
      <c r="Z726" s="45">
        <v>4999</v>
      </c>
      <c r="AA726" s="45">
        <v>4999</v>
      </c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7"/>
      <c r="AW726" s="48" t="s">
        <v>65</v>
      </c>
      <c r="AX726" s="51" t="s">
        <v>82</v>
      </c>
    </row>
    <row r="727" spans="1:50" ht="22.5" customHeight="1">
      <c r="A727" s="52" t="s">
        <v>70</v>
      </c>
      <c r="B727" s="41" t="s">
        <v>62</v>
      </c>
      <c r="C727" s="42">
        <v>4016875</v>
      </c>
      <c r="D727" s="44" t="s">
        <v>968</v>
      </c>
      <c r="E727" s="44" t="s">
        <v>969</v>
      </c>
      <c r="F727" s="45">
        <v>11499</v>
      </c>
      <c r="G727" s="46">
        <v>6799</v>
      </c>
      <c r="H727" s="46">
        <v>7499</v>
      </c>
      <c r="I727" s="46">
        <v>7499</v>
      </c>
      <c r="J727" s="46">
        <v>7399</v>
      </c>
      <c r="K727" s="46">
        <v>7399</v>
      </c>
      <c r="L727" s="46">
        <v>7399</v>
      </c>
      <c r="M727" s="46">
        <v>7399</v>
      </c>
      <c r="N727" s="46">
        <v>7399</v>
      </c>
      <c r="O727" s="46">
        <v>7349</v>
      </c>
      <c r="P727" s="46">
        <v>7299</v>
      </c>
      <c r="Q727" s="46">
        <v>6899</v>
      </c>
      <c r="R727" s="46">
        <v>7349</v>
      </c>
      <c r="S727" s="46">
        <v>7299</v>
      </c>
      <c r="T727" s="46">
        <v>6899</v>
      </c>
      <c r="U727" s="46">
        <v>6899</v>
      </c>
      <c r="V727" s="46">
        <v>6899</v>
      </c>
      <c r="W727" s="46">
        <v>6899</v>
      </c>
      <c r="X727" s="46">
        <v>6799</v>
      </c>
      <c r="Y727" s="46">
        <v>5799</v>
      </c>
      <c r="Z727" s="46">
        <v>5799</v>
      </c>
      <c r="AA727" s="46">
        <v>5799</v>
      </c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7"/>
      <c r="AW727" s="48" t="s">
        <v>65</v>
      </c>
      <c r="AX727" s="51" t="s">
        <v>82</v>
      </c>
    </row>
    <row r="728" spans="1:50" ht="22.5" customHeight="1">
      <c r="A728" s="52" t="s">
        <v>70</v>
      </c>
      <c r="B728" s="41" t="s">
        <v>62</v>
      </c>
      <c r="C728" s="42">
        <v>4016859</v>
      </c>
      <c r="D728" s="44" t="s">
        <v>968</v>
      </c>
      <c r="E728" s="44" t="s">
        <v>970</v>
      </c>
      <c r="F728" s="45">
        <v>11499</v>
      </c>
      <c r="G728" s="46">
        <v>6799</v>
      </c>
      <c r="H728" s="46">
        <v>7499</v>
      </c>
      <c r="I728" s="46">
        <v>7499</v>
      </c>
      <c r="J728" s="46">
        <v>7399</v>
      </c>
      <c r="K728" s="46">
        <v>7399</v>
      </c>
      <c r="L728" s="46">
        <v>7399</v>
      </c>
      <c r="M728" s="46">
        <v>7399</v>
      </c>
      <c r="N728" s="46">
        <v>7399</v>
      </c>
      <c r="O728" s="46">
        <v>7349</v>
      </c>
      <c r="P728" s="46">
        <v>7299</v>
      </c>
      <c r="Q728" s="46">
        <v>6899</v>
      </c>
      <c r="R728" s="46">
        <v>7349</v>
      </c>
      <c r="S728" s="46">
        <v>7299</v>
      </c>
      <c r="T728" s="46">
        <v>6899</v>
      </c>
      <c r="U728" s="46">
        <v>6899</v>
      </c>
      <c r="V728" s="46">
        <v>6899</v>
      </c>
      <c r="W728" s="46">
        <v>6899</v>
      </c>
      <c r="X728" s="46">
        <v>6799</v>
      </c>
      <c r="Y728" s="46">
        <v>5799</v>
      </c>
      <c r="Z728" s="46">
        <v>5799</v>
      </c>
      <c r="AA728" s="46">
        <v>5799</v>
      </c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7"/>
      <c r="AW728" s="48" t="s">
        <v>65</v>
      </c>
      <c r="AX728" s="51" t="s">
        <v>82</v>
      </c>
    </row>
    <row r="729" spans="1:50" ht="22.5" customHeight="1">
      <c r="A729" s="52" t="s">
        <v>70</v>
      </c>
      <c r="B729" s="41" t="s">
        <v>62</v>
      </c>
      <c r="C729" s="42">
        <v>4016852</v>
      </c>
      <c r="D729" s="44" t="s">
        <v>968</v>
      </c>
      <c r="E729" s="44" t="s">
        <v>971</v>
      </c>
      <c r="F729" s="45">
        <v>11499</v>
      </c>
      <c r="G729" s="46">
        <v>6799</v>
      </c>
      <c r="H729" s="46">
        <v>7499</v>
      </c>
      <c r="I729" s="46">
        <v>7499</v>
      </c>
      <c r="J729" s="46">
        <v>7399</v>
      </c>
      <c r="K729" s="46">
        <v>7399</v>
      </c>
      <c r="L729" s="46">
        <v>7399</v>
      </c>
      <c r="M729" s="46">
        <v>7399</v>
      </c>
      <c r="N729" s="46">
        <v>7399</v>
      </c>
      <c r="O729" s="46">
        <v>7349</v>
      </c>
      <c r="P729" s="46">
        <v>7299</v>
      </c>
      <c r="Q729" s="46">
        <v>6899</v>
      </c>
      <c r="R729" s="46">
        <v>7349</v>
      </c>
      <c r="S729" s="46">
        <v>7299</v>
      </c>
      <c r="T729" s="46">
        <v>6899</v>
      </c>
      <c r="U729" s="46">
        <v>6899</v>
      </c>
      <c r="V729" s="46">
        <v>6899</v>
      </c>
      <c r="W729" s="46">
        <v>6899</v>
      </c>
      <c r="X729" s="46">
        <v>6799</v>
      </c>
      <c r="Y729" s="46">
        <v>5799</v>
      </c>
      <c r="Z729" s="46">
        <v>5799</v>
      </c>
      <c r="AA729" s="46">
        <v>5799</v>
      </c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7"/>
      <c r="AW729" s="48" t="s">
        <v>65</v>
      </c>
      <c r="AX729" s="51" t="s">
        <v>82</v>
      </c>
    </row>
    <row r="730" spans="1:50" ht="22.5" customHeight="1">
      <c r="A730" s="52" t="s">
        <v>70</v>
      </c>
      <c r="B730" s="41" t="s">
        <v>62</v>
      </c>
      <c r="C730" s="42">
        <v>4016905</v>
      </c>
      <c r="D730" s="44" t="s">
        <v>968</v>
      </c>
      <c r="E730" s="44" t="s">
        <v>972</v>
      </c>
      <c r="F730" s="45">
        <v>11499</v>
      </c>
      <c r="G730" s="46">
        <v>6799</v>
      </c>
      <c r="H730" s="46">
        <v>7499</v>
      </c>
      <c r="I730" s="46">
        <v>7499</v>
      </c>
      <c r="J730" s="46">
        <v>7399</v>
      </c>
      <c r="K730" s="46">
        <v>7399</v>
      </c>
      <c r="L730" s="46">
        <v>7399</v>
      </c>
      <c r="M730" s="46">
        <v>7399</v>
      </c>
      <c r="N730" s="46">
        <v>7399</v>
      </c>
      <c r="O730" s="46">
        <v>7349</v>
      </c>
      <c r="P730" s="46">
        <v>7299</v>
      </c>
      <c r="Q730" s="46">
        <v>6899</v>
      </c>
      <c r="R730" s="46">
        <v>7349</v>
      </c>
      <c r="S730" s="46">
        <v>7299</v>
      </c>
      <c r="T730" s="46">
        <v>6899</v>
      </c>
      <c r="U730" s="46">
        <v>6899</v>
      </c>
      <c r="V730" s="46">
        <v>6899</v>
      </c>
      <c r="W730" s="46">
        <v>6899</v>
      </c>
      <c r="X730" s="46">
        <v>6799</v>
      </c>
      <c r="Y730" s="46">
        <v>5799</v>
      </c>
      <c r="Z730" s="46">
        <v>5799</v>
      </c>
      <c r="AA730" s="46">
        <v>5799</v>
      </c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7"/>
      <c r="AW730" s="48" t="s">
        <v>65</v>
      </c>
      <c r="AX730" s="51" t="s">
        <v>82</v>
      </c>
    </row>
    <row r="731" spans="1:50" ht="22.5" customHeight="1">
      <c r="A731" s="52" t="s">
        <v>70</v>
      </c>
      <c r="B731" s="41" t="s">
        <v>62</v>
      </c>
      <c r="C731" s="42">
        <v>4016890</v>
      </c>
      <c r="D731" s="44" t="s">
        <v>968</v>
      </c>
      <c r="E731" s="44" t="s">
        <v>973</v>
      </c>
      <c r="F731" s="45">
        <v>11499</v>
      </c>
      <c r="G731" s="46">
        <v>6799</v>
      </c>
      <c r="H731" s="46">
        <v>7499</v>
      </c>
      <c r="I731" s="46">
        <v>7499</v>
      </c>
      <c r="J731" s="46">
        <v>7399</v>
      </c>
      <c r="K731" s="46">
        <v>7399</v>
      </c>
      <c r="L731" s="46">
        <v>7399</v>
      </c>
      <c r="M731" s="46">
        <v>7399</v>
      </c>
      <c r="N731" s="46">
        <v>7399</v>
      </c>
      <c r="O731" s="46">
        <v>7349</v>
      </c>
      <c r="P731" s="46">
        <v>7299</v>
      </c>
      <c r="Q731" s="46">
        <v>6899</v>
      </c>
      <c r="R731" s="46">
        <v>7349</v>
      </c>
      <c r="S731" s="46">
        <v>7299</v>
      </c>
      <c r="T731" s="46">
        <v>6899</v>
      </c>
      <c r="U731" s="46">
        <v>6899</v>
      </c>
      <c r="V731" s="46">
        <v>6899</v>
      </c>
      <c r="W731" s="46">
        <v>6899</v>
      </c>
      <c r="X731" s="46">
        <v>6799</v>
      </c>
      <c r="Y731" s="46">
        <v>5799</v>
      </c>
      <c r="Z731" s="46">
        <v>5799</v>
      </c>
      <c r="AA731" s="46">
        <v>5799</v>
      </c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7"/>
      <c r="AW731" s="48" t="s">
        <v>65</v>
      </c>
      <c r="AX731" s="51" t="s">
        <v>82</v>
      </c>
    </row>
    <row r="732" spans="1:50" ht="22.5" customHeight="1">
      <c r="A732" s="52" t="s">
        <v>70</v>
      </c>
      <c r="B732" s="41" t="s">
        <v>62</v>
      </c>
      <c r="C732" s="42">
        <v>4016883</v>
      </c>
      <c r="D732" s="44" t="s">
        <v>968</v>
      </c>
      <c r="E732" s="44" t="s">
        <v>974</v>
      </c>
      <c r="F732" s="45">
        <v>11499</v>
      </c>
      <c r="G732" s="46">
        <v>6799</v>
      </c>
      <c r="H732" s="46">
        <v>7499</v>
      </c>
      <c r="I732" s="46">
        <v>7499</v>
      </c>
      <c r="J732" s="46">
        <v>7399</v>
      </c>
      <c r="K732" s="46">
        <v>7399</v>
      </c>
      <c r="L732" s="46">
        <v>7399</v>
      </c>
      <c r="M732" s="46">
        <v>7399</v>
      </c>
      <c r="N732" s="46">
        <v>7399</v>
      </c>
      <c r="O732" s="46">
        <v>7349</v>
      </c>
      <c r="P732" s="46">
        <v>7299</v>
      </c>
      <c r="Q732" s="46">
        <v>6899</v>
      </c>
      <c r="R732" s="46">
        <v>7349</v>
      </c>
      <c r="S732" s="46">
        <v>7299</v>
      </c>
      <c r="T732" s="46">
        <v>6899</v>
      </c>
      <c r="U732" s="46">
        <v>6899</v>
      </c>
      <c r="V732" s="46">
        <v>6899</v>
      </c>
      <c r="W732" s="46">
        <v>6899</v>
      </c>
      <c r="X732" s="46">
        <v>6799</v>
      </c>
      <c r="Y732" s="46">
        <v>5799</v>
      </c>
      <c r="Z732" s="46">
        <v>5799</v>
      </c>
      <c r="AA732" s="46">
        <v>5799</v>
      </c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7"/>
      <c r="AW732" s="48" t="s">
        <v>65</v>
      </c>
      <c r="AX732" s="51" t="s">
        <v>82</v>
      </c>
    </row>
    <row r="733" spans="1:50" ht="22.5" customHeight="1">
      <c r="A733" s="52" t="s">
        <v>70</v>
      </c>
      <c r="B733" s="41" t="s">
        <v>62</v>
      </c>
      <c r="C733" s="42">
        <v>4016876</v>
      </c>
      <c r="D733" s="44" t="s">
        <v>975</v>
      </c>
      <c r="E733" s="44" t="s">
        <v>976</v>
      </c>
      <c r="F733" s="45">
        <v>11499</v>
      </c>
      <c r="G733" s="46">
        <v>6799</v>
      </c>
      <c r="H733" s="46">
        <v>7499</v>
      </c>
      <c r="I733" s="46">
        <v>7499</v>
      </c>
      <c r="J733" s="46">
        <v>7399</v>
      </c>
      <c r="K733" s="46">
        <v>7399</v>
      </c>
      <c r="L733" s="46">
        <v>7399</v>
      </c>
      <c r="M733" s="46">
        <v>7399</v>
      </c>
      <c r="N733" s="46">
        <v>7399</v>
      </c>
      <c r="O733" s="46">
        <v>7349</v>
      </c>
      <c r="P733" s="46">
        <v>7299</v>
      </c>
      <c r="Q733" s="46">
        <v>6899</v>
      </c>
      <c r="R733" s="46">
        <v>7349</v>
      </c>
      <c r="S733" s="46">
        <v>7299</v>
      </c>
      <c r="T733" s="46">
        <v>6899</v>
      </c>
      <c r="U733" s="46">
        <v>6899</v>
      </c>
      <c r="V733" s="46">
        <v>6899</v>
      </c>
      <c r="W733" s="46">
        <v>6899</v>
      </c>
      <c r="X733" s="46">
        <v>6799</v>
      </c>
      <c r="Y733" s="46">
        <v>5799</v>
      </c>
      <c r="Z733" s="46">
        <v>5799</v>
      </c>
      <c r="AA733" s="46">
        <v>5799</v>
      </c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7"/>
      <c r="AW733" s="48" t="s">
        <v>65</v>
      </c>
      <c r="AX733" s="51" t="s">
        <v>82</v>
      </c>
    </row>
    <row r="734" spans="1:50" ht="22.5" customHeight="1">
      <c r="A734" s="52" t="s">
        <v>70</v>
      </c>
      <c r="B734" s="41" t="s">
        <v>62</v>
      </c>
      <c r="C734" s="42">
        <v>4016904</v>
      </c>
      <c r="D734" s="44" t="s">
        <v>975</v>
      </c>
      <c r="E734" s="44" t="s">
        <v>977</v>
      </c>
      <c r="F734" s="45">
        <v>11499</v>
      </c>
      <c r="G734" s="46">
        <v>6799</v>
      </c>
      <c r="H734" s="46">
        <v>7499</v>
      </c>
      <c r="I734" s="46">
        <v>7499</v>
      </c>
      <c r="J734" s="46">
        <v>7399</v>
      </c>
      <c r="K734" s="46">
        <v>7399</v>
      </c>
      <c r="L734" s="46">
        <v>7399</v>
      </c>
      <c r="M734" s="46">
        <v>7399</v>
      </c>
      <c r="N734" s="46">
        <v>7399</v>
      </c>
      <c r="O734" s="46">
        <v>7349</v>
      </c>
      <c r="P734" s="46">
        <v>7299</v>
      </c>
      <c r="Q734" s="46">
        <v>6899</v>
      </c>
      <c r="R734" s="46">
        <v>7349</v>
      </c>
      <c r="S734" s="46">
        <v>7299</v>
      </c>
      <c r="T734" s="46">
        <v>6899</v>
      </c>
      <c r="U734" s="46">
        <v>6899</v>
      </c>
      <c r="V734" s="46">
        <v>6899</v>
      </c>
      <c r="W734" s="46">
        <v>6899</v>
      </c>
      <c r="X734" s="46">
        <v>6799</v>
      </c>
      <c r="Y734" s="46">
        <v>5799</v>
      </c>
      <c r="Z734" s="46">
        <v>5799</v>
      </c>
      <c r="AA734" s="46">
        <v>5799</v>
      </c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7"/>
      <c r="AW734" s="48" t="s">
        <v>65</v>
      </c>
      <c r="AX734" s="51" t="s">
        <v>82</v>
      </c>
    </row>
    <row r="735" spans="1:50" ht="22.5" customHeight="1">
      <c r="A735" s="52" t="s">
        <v>70</v>
      </c>
      <c r="B735" s="41" t="s">
        <v>62</v>
      </c>
      <c r="C735" s="42">
        <v>4016861</v>
      </c>
      <c r="D735" s="44" t="s">
        <v>975</v>
      </c>
      <c r="E735" s="44" t="s">
        <v>978</v>
      </c>
      <c r="F735" s="45">
        <v>11499</v>
      </c>
      <c r="G735" s="46">
        <v>6799</v>
      </c>
      <c r="H735" s="46">
        <v>7499</v>
      </c>
      <c r="I735" s="46">
        <v>7499</v>
      </c>
      <c r="J735" s="46">
        <v>7399</v>
      </c>
      <c r="K735" s="46">
        <v>7399</v>
      </c>
      <c r="L735" s="46">
        <v>7399</v>
      </c>
      <c r="M735" s="46">
        <v>7399</v>
      </c>
      <c r="N735" s="46">
        <v>7399</v>
      </c>
      <c r="O735" s="46">
        <v>7349</v>
      </c>
      <c r="P735" s="46">
        <v>7299</v>
      </c>
      <c r="Q735" s="46">
        <v>6899</v>
      </c>
      <c r="R735" s="46">
        <v>7349</v>
      </c>
      <c r="S735" s="46">
        <v>7299</v>
      </c>
      <c r="T735" s="46">
        <v>6899</v>
      </c>
      <c r="U735" s="46">
        <v>6899</v>
      </c>
      <c r="V735" s="46">
        <v>6899</v>
      </c>
      <c r="W735" s="46">
        <v>6899</v>
      </c>
      <c r="X735" s="46">
        <v>6799</v>
      </c>
      <c r="Y735" s="46">
        <v>5799</v>
      </c>
      <c r="Z735" s="46">
        <v>5799</v>
      </c>
      <c r="AA735" s="46">
        <v>5799</v>
      </c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7"/>
      <c r="AW735" s="48" t="s">
        <v>65</v>
      </c>
      <c r="AX735" s="51" t="s">
        <v>82</v>
      </c>
    </row>
    <row r="736" spans="1:50" ht="22.5" customHeight="1">
      <c r="A736" s="52" t="s">
        <v>70</v>
      </c>
      <c r="B736" s="41" t="s">
        <v>62</v>
      </c>
      <c r="C736" s="42">
        <v>4016891</v>
      </c>
      <c r="D736" s="44" t="s">
        <v>975</v>
      </c>
      <c r="E736" s="44" t="s">
        <v>979</v>
      </c>
      <c r="F736" s="45">
        <v>11499</v>
      </c>
      <c r="G736" s="46">
        <v>6799</v>
      </c>
      <c r="H736" s="46">
        <v>7499</v>
      </c>
      <c r="I736" s="46">
        <v>7499</v>
      </c>
      <c r="J736" s="46">
        <v>7399</v>
      </c>
      <c r="K736" s="46">
        <v>7399</v>
      </c>
      <c r="L736" s="46">
        <v>7399</v>
      </c>
      <c r="M736" s="46">
        <v>7399</v>
      </c>
      <c r="N736" s="46">
        <v>7399</v>
      </c>
      <c r="O736" s="46">
        <v>7349</v>
      </c>
      <c r="P736" s="46">
        <v>7299</v>
      </c>
      <c r="Q736" s="46">
        <v>6899</v>
      </c>
      <c r="R736" s="46">
        <v>7349</v>
      </c>
      <c r="S736" s="46">
        <v>7299</v>
      </c>
      <c r="T736" s="46">
        <v>6899</v>
      </c>
      <c r="U736" s="46">
        <v>6899</v>
      </c>
      <c r="V736" s="46">
        <v>6899</v>
      </c>
      <c r="W736" s="46">
        <v>6899</v>
      </c>
      <c r="X736" s="46">
        <v>6799</v>
      </c>
      <c r="Y736" s="46">
        <v>5799</v>
      </c>
      <c r="Z736" s="46">
        <v>5799</v>
      </c>
      <c r="AA736" s="46">
        <v>5799</v>
      </c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7"/>
      <c r="AW736" s="48" t="s">
        <v>65</v>
      </c>
      <c r="AX736" s="51" t="s">
        <v>82</v>
      </c>
    </row>
    <row r="737" spans="1:50" ht="22.5" customHeight="1">
      <c r="A737" s="52" t="s">
        <v>70</v>
      </c>
      <c r="B737" s="41" t="s">
        <v>62</v>
      </c>
      <c r="C737" s="42">
        <v>4016869</v>
      </c>
      <c r="D737" s="44" t="s">
        <v>975</v>
      </c>
      <c r="E737" s="44" t="s">
        <v>980</v>
      </c>
      <c r="F737" s="45">
        <v>11499</v>
      </c>
      <c r="G737" s="46">
        <v>6799</v>
      </c>
      <c r="H737" s="46">
        <v>7499</v>
      </c>
      <c r="I737" s="46">
        <v>7499</v>
      </c>
      <c r="J737" s="46">
        <v>7399</v>
      </c>
      <c r="K737" s="46">
        <v>7399</v>
      </c>
      <c r="L737" s="46">
        <v>7399</v>
      </c>
      <c r="M737" s="46">
        <v>7399</v>
      </c>
      <c r="N737" s="46">
        <v>7399</v>
      </c>
      <c r="O737" s="46">
        <v>7349</v>
      </c>
      <c r="P737" s="46">
        <v>7299</v>
      </c>
      <c r="Q737" s="46">
        <v>6899</v>
      </c>
      <c r="R737" s="46">
        <v>7349</v>
      </c>
      <c r="S737" s="46">
        <v>7299</v>
      </c>
      <c r="T737" s="46">
        <v>6899</v>
      </c>
      <c r="U737" s="46">
        <v>6899</v>
      </c>
      <c r="V737" s="46">
        <v>6899</v>
      </c>
      <c r="W737" s="46">
        <v>6899</v>
      </c>
      <c r="X737" s="46">
        <v>6799</v>
      </c>
      <c r="Y737" s="46">
        <v>5799</v>
      </c>
      <c r="Z737" s="46">
        <v>5799</v>
      </c>
      <c r="AA737" s="46">
        <v>5799</v>
      </c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7"/>
      <c r="AW737" s="48" t="s">
        <v>65</v>
      </c>
      <c r="AX737" s="51" t="s">
        <v>82</v>
      </c>
    </row>
    <row r="738" spans="1:50" ht="22.5" customHeight="1">
      <c r="A738" s="52" t="s">
        <v>70</v>
      </c>
      <c r="B738" s="41" t="s">
        <v>62</v>
      </c>
      <c r="C738" s="42">
        <v>4016898</v>
      </c>
      <c r="D738" s="44" t="s">
        <v>975</v>
      </c>
      <c r="E738" s="44" t="s">
        <v>981</v>
      </c>
      <c r="F738" s="45">
        <v>11499</v>
      </c>
      <c r="G738" s="46">
        <v>6799</v>
      </c>
      <c r="H738" s="46">
        <v>7499</v>
      </c>
      <c r="I738" s="46">
        <v>7499</v>
      </c>
      <c r="J738" s="46">
        <v>7399</v>
      </c>
      <c r="K738" s="46">
        <v>7399</v>
      </c>
      <c r="L738" s="46">
        <v>7399</v>
      </c>
      <c r="M738" s="46">
        <v>7399</v>
      </c>
      <c r="N738" s="46">
        <v>7399</v>
      </c>
      <c r="O738" s="46">
        <v>7349</v>
      </c>
      <c r="P738" s="46">
        <v>7299</v>
      </c>
      <c r="Q738" s="46">
        <v>6899</v>
      </c>
      <c r="R738" s="46">
        <v>7349</v>
      </c>
      <c r="S738" s="46">
        <v>7299</v>
      </c>
      <c r="T738" s="46">
        <v>6899</v>
      </c>
      <c r="U738" s="46">
        <v>6899</v>
      </c>
      <c r="V738" s="46">
        <v>6899</v>
      </c>
      <c r="W738" s="46">
        <v>6899</v>
      </c>
      <c r="X738" s="46">
        <v>6799</v>
      </c>
      <c r="Y738" s="46">
        <v>5799</v>
      </c>
      <c r="Z738" s="46">
        <v>5799</v>
      </c>
      <c r="AA738" s="46">
        <v>5799</v>
      </c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7"/>
      <c r="AW738" s="48" t="s">
        <v>65</v>
      </c>
      <c r="AX738" s="51" t="s">
        <v>82</v>
      </c>
    </row>
    <row r="739" spans="1:50" ht="22.5" customHeight="1">
      <c r="A739" s="52" t="s">
        <v>70</v>
      </c>
      <c r="B739" s="41" t="s">
        <v>62</v>
      </c>
      <c r="C739" s="42">
        <v>4016853</v>
      </c>
      <c r="D739" s="44" t="s">
        <v>975</v>
      </c>
      <c r="E739" s="44" t="s">
        <v>982</v>
      </c>
      <c r="F739" s="45">
        <v>11499</v>
      </c>
      <c r="G739" s="46">
        <v>6799</v>
      </c>
      <c r="H739" s="46">
        <v>7499</v>
      </c>
      <c r="I739" s="46">
        <v>7499</v>
      </c>
      <c r="J739" s="46">
        <v>7399</v>
      </c>
      <c r="K739" s="46">
        <v>7399</v>
      </c>
      <c r="L739" s="46">
        <v>7399</v>
      </c>
      <c r="M739" s="46">
        <v>7399</v>
      </c>
      <c r="N739" s="46">
        <v>7399</v>
      </c>
      <c r="O739" s="46">
        <v>7349</v>
      </c>
      <c r="P739" s="46">
        <v>7299</v>
      </c>
      <c r="Q739" s="46">
        <v>6899</v>
      </c>
      <c r="R739" s="46">
        <v>7349</v>
      </c>
      <c r="S739" s="46">
        <v>7299</v>
      </c>
      <c r="T739" s="46">
        <v>6899</v>
      </c>
      <c r="U739" s="46">
        <v>6899</v>
      </c>
      <c r="V739" s="46">
        <v>6899</v>
      </c>
      <c r="W739" s="46">
        <v>6899</v>
      </c>
      <c r="X739" s="46">
        <v>6799</v>
      </c>
      <c r="Y739" s="46">
        <v>5799</v>
      </c>
      <c r="Z739" s="46">
        <v>5799</v>
      </c>
      <c r="AA739" s="46">
        <v>5799</v>
      </c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7"/>
      <c r="AW739" s="48" t="s">
        <v>65</v>
      </c>
      <c r="AX739" s="51" t="s">
        <v>82</v>
      </c>
    </row>
    <row r="740" spans="1:50" ht="22.5" customHeight="1">
      <c r="A740" s="52" t="s">
        <v>70</v>
      </c>
      <c r="B740" s="41" t="s">
        <v>62</v>
      </c>
      <c r="C740" s="42">
        <v>4016884</v>
      </c>
      <c r="D740" s="44" t="s">
        <v>975</v>
      </c>
      <c r="E740" s="44" t="s">
        <v>983</v>
      </c>
      <c r="F740" s="45">
        <v>11499</v>
      </c>
      <c r="G740" s="46">
        <v>6799</v>
      </c>
      <c r="H740" s="46">
        <v>7499</v>
      </c>
      <c r="I740" s="46">
        <v>7499</v>
      </c>
      <c r="J740" s="46">
        <v>7399</v>
      </c>
      <c r="K740" s="46">
        <v>7399</v>
      </c>
      <c r="L740" s="46">
        <v>7399</v>
      </c>
      <c r="M740" s="46">
        <v>7399</v>
      </c>
      <c r="N740" s="46">
        <v>7399</v>
      </c>
      <c r="O740" s="46">
        <v>7349</v>
      </c>
      <c r="P740" s="46">
        <v>7299</v>
      </c>
      <c r="Q740" s="46">
        <v>6899</v>
      </c>
      <c r="R740" s="46">
        <v>7349</v>
      </c>
      <c r="S740" s="46">
        <v>7299</v>
      </c>
      <c r="T740" s="46">
        <v>6899</v>
      </c>
      <c r="U740" s="46">
        <v>6899</v>
      </c>
      <c r="V740" s="46">
        <v>6899</v>
      </c>
      <c r="W740" s="46">
        <v>6899</v>
      </c>
      <c r="X740" s="46">
        <v>6799</v>
      </c>
      <c r="Y740" s="46">
        <v>5799</v>
      </c>
      <c r="Z740" s="46">
        <v>5799</v>
      </c>
      <c r="AA740" s="46">
        <v>5799</v>
      </c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7"/>
      <c r="AW740" s="48" t="s">
        <v>65</v>
      </c>
      <c r="AX740" s="51" t="s">
        <v>82</v>
      </c>
    </row>
    <row r="741" spans="1:50" ht="22.5" customHeight="1">
      <c r="A741" s="52" t="s">
        <v>70</v>
      </c>
      <c r="B741" s="41" t="s">
        <v>62</v>
      </c>
      <c r="C741" s="42">
        <v>4016724</v>
      </c>
      <c r="D741" s="44" t="s">
        <v>984</v>
      </c>
      <c r="E741" s="44" t="s">
        <v>985</v>
      </c>
      <c r="F741" s="45">
        <v>8499</v>
      </c>
      <c r="G741" s="45">
        <v>5799</v>
      </c>
      <c r="H741" s="45">
        <v>6499</v>
      </c>
      <c r="I741" s="45">
        <v>6499</v>
      </c>
      <c r="J741" s="45">
        <v>6399</v>
      </c>
      <c r="K741" s="45">
        <v>6399</v>
      </c>
      <c r="L741" s="45">
        <v>6399</v>
      </c>
      <c r="M741" s="45">
        <v>6399</v>
      </c>
      <c r="N741" s="45">
        <v>6399</v>
      </c>
      <c r="O741" s="45">
        <v>6299</v>
      </c>
      <c r="P741" s="46">
        <v>6199</v>
      </c>
      <c r="Q741" s="46">
        <v>5899</v>
      </c>
      <c r="R741" s="45">
        <v>6299</v>
      </c>
      <c r="S741" s="45">
        <v>6199</v>
      </c>
      <c r="T741" s="45">
        <v>5899</v>
      </c>
      <c r="U741" s="45">
        <v>5899</v>
      </c>
      <c r="V741" s="45">
        <v>5899</v>
      </c>
      <c r="W741" s="45">
        <v>5899</v>
      </c>
      <c r="X741" s="45">
        <v>5799</v>
      </c>
      <c r="Y741" s="45">
        <v>4799</v>
      </c>
      <c r="Z741" s="45">
        <v>4799</v>
      </c>
      <c r="AA741" s="45">
        <v>4799</v>
      </c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7"/>
      <c r="AW741" s="48" t="s">
        <v>65</v>
      </c>
      <c r="AX741" s="51" t="s">
        <v>82</v>
      </c>
    </row>
    <row r="742" spans="1:50" ht="22.5" customHeight="1">
      <c r="A742" s="52" t="s">
        <v>70</v>
      </c>
      <c r="B742" s="41" t="s">
        <v>62</v>
      </c>
      <c r="C742" s="42">
        <v>4017407</v>
      </c>
      <c r="D742" s="44" t="s">
        <v>986</v>
      </c>
      <c r="E742" s="44" t="s">
        <v>987</v>
      </c>
      <c r="F742" s="45">
        <v>4499</v>
      </c>
      <c r="G742" s="45">
        <v>2199</v>
      </c>
      <c r="H742" s="45">
        <v>3299</v>
      </c>
      <c r="I742" s="45">
        <v>3299</v>
      </c>
      <c r="J742" s="45">
        <v>3199</v>
      </c>
      <c r="K742" s="45">
        <v>3199</v>
      </c>
      <c r="L742" s="45">
        <v>3199</v>
      </c>
      <c r="M742" s="45">
        <v>3199</v>
      </c>
      <c r="N742" s="45">
        <v>3199</v>
      </c>
      <c r="O742" s="45">
        <v>3099</v>
      </c>
      <c r="P742" s="46">
        <v>3049</v>
      </c>
      <c r="Q742" s="46">
        <v>2299</v>
      </c>
      <c r="R742" s="45">
        <v>3099</v>
      </c>
      <c r="S742" s="45">
        <v>3049</v>
      </c>
      <c r="T742" s="45">
        <v>2299</v>
      </c>
      <c r="U742" s="45">
        <v>2299</v>
      </c>
      <c r="V742" s="45">
        <v>2299</v>
      </c>
      <c r="W742" s="45">
        <v>2299</v>
      </c>
      <c r="X742" s="45">
        <v>2199</v>
      </c>
      <c r="Y742" s="45">
        <v>1799</v>
      </c>
      <c r="Z742" s="45">
        <v>1799</v>
      </c>
      <c r="AA742" s="45">
        <v>1799</v>
      </c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7"/>
      <c r="AW742" s="48" t="s">
        <v>65</v>
      </c>
      <c r="AX742" s="51" t="s">
        <v>82</v>
      </c>
    </row>
    <row r="743" spans="1:50" ht="22.5" customHeight="1">
      <c r="A743" s="52" t="s">
        <v>70</v>
      </c>
      <c r="B743" s="41" t="s">
        <v>62</v>
      </c>
      <c r="C743" s="42">
        <v>4017422</v>
      </c>
      <c r="D743" s="44" t="s">
        <v>986</v>
      </c>
      <c r="E743" s="44" t="s">
        <v>988</v>
      </c>
      <c r="F743" s="45">
        <v>4499</v>
      </c>
      <c r="G743" s="45">
        <v>2199</v>
      </c>
      <c r="H743" s="45">
        <v>3299</v>
      </c>
      <c r="I743" s="45">
        <v>3299</v>
      </c>
      <c r="J743" s="45">
        <v>3199</v>
      </c>
      <c r="K743" s="45">
        <v>3199</v>
      </c>
      <c r="L743" s="45">
        <v>3199</v>
      </c>
      <c r="M743" s="45">
        <v>3199</v>
      </c>
      <c r="N743" s="45">
        <v>3199</v>
      </c>
      <c r="O743" s="45">
        <v>3099</v>
      </c>
      <c r="P743" s="46">
        <v>3049</v>
      </c>
      <c r="Q743" s="46">
        <v>2299</v>
      </c>
      <c r="R743" s="45">
        <v>3099</v>
      </c>
      <c r="S743" s="45">
        <v>3049</v>
      </c>
      <c r="T743" s="45">
        <v>2299</v>
      </c>
      <c r="U743" s="45">
        <v>2299</v>
      </c>
      <c r="V743" s="45">
        <v>2299</v>
      </c>
      <c r="W743" s="45">
        <v>2299</v>
      </c>
      <c r="X743" s="45">
        <v>2199</v>
      </c>
      <c r="Y743" s="45">
        <v>1799</v>
      </c>
      <c r="Z743" s="45">
        <v>1799</v>
      </c>
      <c r="AA743" s="45">
        <v>1799</v>
      </c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7"/>
      <c r="AW743" s="48" t="s">
        <v>65</v>
      </c>
      <c r="AX743" s="51" t="s">
        <v>82</v>
      </c>
    </row>
    <row r="744" spans="1:50" ht="22.5" customHeight="1">
      <c r="A744" s="52" t="s">
        <v>70</v>
      </c>
      <c r="B744" s="41" t="s">
        <v>62</v>
      </c>
      <c r="C744" s="42">
        <v>4017391</v>
      </c>
      <c r="D744" s="58" t="s">
        <v>989</v>
      </c>
      <c r="E744" s="44" t="s">
        <v>990</v>
      </c>
      <c r="F744" s="45">
        <v>5699</v>
      </c>
      <c r="G744" s="45">
        <v>2399</v>
      </c>
      <c r="H744" s="45">
        <v>3599</v>
      </c>
      <c r="I744" s="45">
        <v>3599</v>
      </c>
      <c r="J744" s="45">
        <v>3499</v>
      </c>
      <c r="K744" s="45">
        <v>3499</v>
      </c>
      <c r="L744" s="45">
        <v>3499</v>
      </c>
      <c r="M744" s="45">
        <v>3499</v>
      </c>
      <c r="N744" s="45">
        <v>3499</v>
      </c>
      <c r="O744" s="45">
        <v>3399</v>
      </c>
      <c r="P744" s="46">
        <v>3299</v>
      </c>
      <c r="Q744" s="46">
        <v>2499</v>
      </c>
      <c r="R744" s="45">
        <v>3399</v>
      </c>
      <c r="S744" s="45">
        <v>3299</v>
      </c>
      <c r="T744" s="45">
        <v>2499</v>
      </c>
      <c r="U744" s="45">
        <v>2499</v>
      </c>
      <c r="V744" s="45">
        <v>2499</v>
      </c>
      <c r="W744" s="45">
        <v>2499</v>
      </c>
      <c r="X744" s="45">
        <v>2399</v>
      </c>
      <c r="Y744" s="59">
        <v>2299</v>
      </c>
      <c r="Z744" s="59">
        <v>2299</v>
      </c>
      <c r="AA744" s="59">
        <v>2299</v>
      </c>
      <c r="AB744" s="45">
        <v>3499</v>
      </c>
      <c r="AC744" s="45">
        <v>3499</v>
      </c>
      <c r="AD744" s="45">
        <v>3499</v>
      </c>
      <c r="AE744" s="45">
        <v>3499</v>
      </c>
      <c r="AF744" s="45">
        <v>3399</v>
      </c>
      <c r="AG744" s="45">
        <v>3299</v>
      </c>
      <c r="AH744" s="45">
        <v>2499</v>
      </c>
      <c r="AI744" s="45">
        <v>2499</v>
      </c>
      <c r="AJ744" s="45">
        <v>2499</v>
      </c>
      <c r="AK744" s="45">
        <v>2499</v>
      </c>
      <c r="AL744" s="59">
        <v>2299</v>
      </c>
      <c r="AM744" s="45"/>
      <c r="AN744" s="45"/>
      <c r="AO744" s="45"/>
      <c r="AP744" s="45"/>
      <c r="AQ744" s="45"/>
      <c r="AR744" s="45"/>
      <c r="AS744" s="45"/>
      <c r="AT744" s="45"/>
      <c r="AU744" s="45"/>
      <c r="AV744" s="47"/>
      <c r="AW744" s="48" t="s">
        <v>65</v>
      </c>
      <c r="AX744" s="51" t="s">
        <v>82</v>
      </c>
    </row>
    <row r="745" spans="1:50" ht="22.5" customHeight="1">
      <c r="A745" s="52" t="s">
        <v>70</v>
      </c>
      <c r="B745" s="41" t="s">
        <v>62</v>
      </c>
      <c r="C745" s="42">
        <v>4017406</v>
      </c>
      <c r="D745" s="58" t="s">
        <v>989</v>
      </c>
      <c r="E745" s="44" t="s">
        <v>991</v>
      </c>
      <c r="F745" s="45">
        <v>5699</v>
      </c>
      <c r="G745" s="45">
        <v>2399</v>
      </c>
      <c r="H745" s="45">
        <v>3599</v>
      </c>
      <c r="I745" s="45">
        <v>3599</v>
      </c>
      <c r="J745" s="45">
        <v>3499</v>
      </c>
      <c r="K745" s="45">
        <v>3499</v>
      </c>
      <c r="L745" s="45">
        <v>3499</v>
      </c>
      <c r="M745" s="45">
        <v>3499</v>
      </c>
      <c r="N745" s="45">
        <v>3499</v>
      </c>
      <c r="O745" s="45">
        <v>3399</v>
      </c>
      <c r="P745" s="46">
        <v>3299</v>
      </c>
      <c r="Q745" s="46">
        <v>2499</v>
      </c>
      <c r="R745" s="45">
        <v>3399</v>
      </c>
      <c r="S745" s="45">
        <v>3299</v>
      </c>
      <c r="T745" s="45">
        <v>2499</v>
      </c>
      <c r="U745" s="45">
        <v>2499</v>
      </c>
      <c r="V745" s="45">
        <v>2499</v>
      </c>
      <c r="W745" s="45">
        <v>2499</v>
      </c>
      <c r="X745" s="45">
        <v>2399</v>
      </c>
      <c r="Y745" s="59">
        <v>2299</v>
      </c>
      <c r="Z745" s="59">
        <v>2299</v>
      </c>
      <c r="AA745" s="59">
        <v>2299</v>
      </c>
      <c r="AB745" s="45">
        <v>3499</v>
      </c>
      <c r="AC745" s="45">
        <v>3499</v>
      </c>
      <c r="AD745" s="45">
        <v>3499</v>
      </c>
      <c r="AE745" s="45">
        <v>3499</v>
      </c>
      <c r="AF745" s="45">
        <v>3399</v>
      </c>
      <c r="AG745" s="45">
        <v>3299</v>
      </c>
      <c r="AH745" s="45">
        <v>2499</v>
      </c>
      <c r="AI745" s="45">
        <v>2499</v>
      </c>
      <c r="AJ745" s="45">
        <v>2499</v>
      </c>
      <c r="AK745" s="45">
        <v>2499</v>
      </c>
      <c r="AL745" s="59">
        <v>2299</v>
      </c>
      <c r="AM745" s="45"/>
      <c r="AN745" s="45"/>
      <c r="AO745" s="45"/>
      <c r="AP745" s="45"/>
      <c r="AQ745" s="45"/>
      <c r="AR745" s="45"/>
      <c r="AS745" s="45"/>
      <c r="AT745" s="45"/>
      <c r="AU745" s="45"/>
      <c r="AV745" s="47"/>
      <c r="AW745" s="48" t="s">
        <v>65</v>
      </c>
      <c r="AX745" s="51" t="s">
        <v>82</v>
      </c>
    </row>
    <row r="746" spans="1:50" ht="22.5" customHeight="1">
      <c r="A746" s="52" t="s">
        <v>70</v>
      </c>
      <c r="B746" s="41" t="s">
        <v>62</v>
      </c>
      <c r="C746" s="42">
        <v>4017411</v>
      </c>
      <c r="D746" s="58" t="s">
        <v>989</v>
      </c>
      <c r="E746" s="44" t="s">
        <v>992</v>
      </c>
      <c r="F746" s="45">
        <v>5699</v>
      </c>
      <c r="G746" s="45">
        <v>2399</v>
      </c>
      <c r="H746" s="45">
        <v>3599</v>
      </c>
      <c r="I746" s="45">
        <v>3599</v>
      </c>
      <c r="J746" s="45">
        <v>3499</v>
      </c>
      <c r="K746" s="45">
        <v>3499</v>
      </c>
      <c r="L746" s="45">
        <v>3499</v>
      </c>
      <c r="M746" s="45">
        <v>3499</v>
      </c>
      <c r="N746" s="45">
        <v>3499</v>
      </c>
      <c r="O746" s="45">
        <v>3399</v>
      </c>
      <c r="P746" s="46">
        <v>3299</v>
      </c>
      <c r="Q746" s="46">
        <v>2499</v>
      </c>
      <c r="R746" s="45">
        <v>3399</v>
      </c>
      <c r="S746" s="45">
        <v>3299</v>
      </c>
      <c r="T746" s="45">
        <v>2499</v>
      </c>
      <c r="U746" s="45">
        <v>2499</v>
      </c>
      <c r="V746" s="45">
        <v>2499</v>
      </c>
      <c r="W746" s="45">
        <v>2499</v>
      </c>
      <c r="X746" s="45">
        <v>2399</v>
      </c>
      <c r="Y746" s="59">
        <v>2299</v>
      </c>
      <c r="Z746" s="59">
        <v>2299</v>
      </c>
      <c r="AA746" s="59">
        <v>2299</v>
      </c>
      <c r="AB746" s="45">
        <v>3499</v>
      </c>
      <c r="AC746" s="45">
        <v>3499</v>
      </c>
      <c r="AD746" s="45">
        <v>3499</v>
      </c>
      <c r="AE746" s="45">
        <v>3499</v>
      </c>
      <c r="AF746" s="45">
        <v>3399</v>
      </c>
      <c r="AG746" s="45">
        <v>3299</v>
      </c>
      <c r="AH746" s="45">
        <v>2499</v>
      </c>
      <c r="AI746" s="45">
        <v>2499</v>
      </c>
      <c r="AJ746" s="45">
        <v>2499</v>
      </c>
      <c r="AK746" s="45">
        <v>2499</v>
      </c>
      <c r="AL746" s="59">
        <v>2299</v>
      </c>
      <c r="AM746" s="45"/>
      <c r="AN746" s="45"/>
      <c r="AO746" s="45"/>
      <c r="AP746" s="45"/>
      <c r="AQ746" s="45"/>
      <c r="AR746" s="45"/>
      <c r="AS746" s="45"/>
      <c r="AT746" s="45"/>
      <c r="AU746" s="45"/>
      <c r="AV746" s="47"/>
      <c r="AW746" s="48" t="s">
        <v>65</v>
      </c>
      <c r="AX746" s="51" t="s">
        <v>82</v>
      </c>
    </row>
    <row r="747" spans="1:50" ht="22.5" customHeight="1">
      <c r="A747" s="52" t="s">
        <v>70</v>
      </c>
      <c r="B747" s="41" t="s">
        <v>62</v>
      </c>
      <c r="C747" s="42">
        <v>4017421</v>
      </c>
      <c r="D747" s="58" t="s">
        <v>989</v>
      </c>
      <c r="E747" s="44" t="s">
        <v>993</v>
      </c>
      <c r="F747" s="45">
        <v>5699</v>
      </c>
      <c r="G747" s="45">
        <v>2399</v>
      </c>
      <c r="H747" s="45">
        <v>3599</v>
      </c>
      <c r="I747" s="45">
        <v>3599</v>
      </c>
      <c r="J747" s="45">
        <v>3499</v>
      </c>
      <c r="K747" s="45">
        <v>3499</v>
      </c>
      <c r="L747" s="45">
        <v>3499</v>
      </c>
      <c r="M747" s="45">
        <v>3499</v>
      </c>
      <c r="N747" s="45">
        <v>3499</v>
      </c>
      <c r="O747" s="45">
        <v>3399</v>
      </c>
      <c r="P747" s="46">
        <v>3299</v>
      </c>
      <c r="Q747" s="46">
        <v>2499</v>
      </c>
      <c r="R747" s="45">
        <v>3399</v>
      </c>
      <c r="S747" s="45">
        <v>3299</v>
      </c>
      <c r="T747" s="45">
        <v>2499</v>
      </c>
      <c r="U747" s="45">
        <v>2499</v>
      </c>
      <c r="V747" s="45">
        <v>2499</v>
      </c>
      <c r="W747" s="45">
        <v>2499</v>
      </c>
      <c r="X747" s="45">
        <v>2399</v>
      </c>
      <c r="Y747" s="59">
        <v>2299</v>
      </c>
      <c r="Z747" s="59">
        <v>2299</v>
      </c>
      <c r="AA747" s="59">
        <v>2299</v>
      </c>
      <c r="AB747" s="45">
        <v>3499</v>
      </c>
      <c r="AC747" s="45">
        <v>3499</v>
      </c>
      <c r="AD747" s="45">
        <v>3499</v>
      </c>
      <c r="AE747" s="45">
        <v>3499</v>
      </c>
      <c r="AF747" s="45">
        <v>3399</v>
      </c>
      <c r="AG747" s="45">
        <v>3299</v>
      </c>
      <c r="AH747" s="45">
        <v>2499</v>
      </c>
      <c r="AI747" s="45">
        <v>2499</v>
      </c>
      <c r="AJ747" s="45">
        <v>2499</v>
      </c>
      <c r="AK747" s="45">
        <v>2499</v>
      </c>
      <c r="AL747" s="59">
        <v>2299</v>
      </c>
      <c r="AM747" s="45"/>
      <c r="AN747" s="45"/>
      <c r="AO747" s="45"/>
      <c r="AP747" s="45"/>
      <c r="AQ747" s="45"/>
      <c r="AR747" s="45"/>
      <c r="AS747" s="45"/>
      <c r="AT747" s="45"/>
      <c r="AU747" s="45"/>
      <c r="AV747" s="47"/>
      <c r="AW747" s="48" t="s">
        <v>65</v>
      </c>
      <c r="AX747" s="51" t="s">
        <v>82</v>
      </c>
    </row>
    <row r="748" spans="1:50" ht="22.5" customHeight="1">
      <c r="A748" s="52" t="s">
        <v>70</v>
      </c>
      <c r="B748" s="41" t="s">
        <v>62</v>
      </c>
      <c r="C748" s="42">
        <v>4017678</v>
      </c>
      <c r="D748" s="66" t="s">
        <v>994</v>
      </c>
      <c r="E748" s="44" t="s">
        <v>995</v>
      </c>
      <c r="F748" s="45">
        <v>7499</v>
      </c>
      <c r="G748" s="45">
        <v>5899</v>
      </c>
      <c r="H748" s="45">
        <v>6699</v>
      </c>
      <c r="I748" s="45">
        <v>6699</v>
      </c>
      <c r="J748" s="45">
        <v>6599</v>
      </c>
      <c r="K748" s="45">
        <v>6599</v>
      </c>
      <c r="L748" s="45">
        <v>6599</v>
      </c>
      <c r="M748" s="45">
        <v>6599</v>
      </c>
      <c r="N748" s="45">
        <v>6599</v>
      </c>
      <c r="O748" s="45">
        <v>6499</v>
      </c>
      <c r="P748" s="46">
        <v>6399</v>
      </c>
      <c r="Q748" s="46">
        <v>5999</v>
      </c>
      <c r="R748" s="45">
        <v>6499</v>
      </c>
      <c r="S748" s="45">
        <v>6399</v>
      </c>
      <c r="T748" s="45">
        <v>5999</v>
      </c>
      <c r="U748" s="45">
        <v>5999</v>
      </c>
      <c r="V748" s="45">
        <v>5999</v>
      </c>
      <c r="W748" s="45">
        <v>5999</v>
      </c>
      <c r="X748" s="45">
        <v>5899</v>
      </c>
      <c r="Y748" s="45">
        <v>3999</v>
      </c>
      <c r="Z748" s="45">
        <v>3999</v>
      </c>
      <c r="AA748" s="45">
        <v>3999</v>
      </c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7"/>
      <c r="AW748" s="48" t="s">
        <v>65</v>
      </c>
      <c r="AX748" s="51" t="s">
        <v>82</v>
      </c>
    </row>
    <row r="749" spans="1:50" ht="22.5" customHeight="1">
      <c r="A749" s="52" t="s">
        <v>70</v>
      </c>
      <c r="B749" s="41" t="s">
        <v>62</v>
      </c>
      <c r="C749" s="42">
        <v>4017679</v>
      </c>
      <c r="D749" s="66" t="s">
        <v>994</v>
      </c>
      <c r="E749" s="44" t="s">
        <v>996</v>
      </c>
      <c r="F749" s="45">
        <v>7499</v>
      </c>
      <c r="G749" s="45">
        <v>5899</v>
      </c>
      <c r="H749" s="45">
        <v>6699</v>
      </c>
      <c r="I749" s="45">
        <v>6699</v>
      </c>
      <c r="J749" s="45">
        <v>6599</v>
      </c>
      <c r="K749" s="45">
        <v>6599</v>
      </c>
      <c r="L749" s="45">
        <v>6599</v>
      </c>
      <c r="M749" s="45">
        <v>6599</v>
      </c>
      <c r="N749" s="45">
        <v>6599</v>
      </c>
      <c r="O749" s="45">
        <v>6499</v>
      </c>
      <c r="P749" s="46">
        <v>6399</v>
      </c>
      <c r="Q749" s="46">
        <v>5999</v>
      </c>
      <c r="R749" s="45">
        <v>6499</v>
      </c>
      <c r="S749" s="45">
        <v>6399</v>
      </c>
      <c r="T749" s="45">
        <v>5999</v>
      </c>
      <c r="U749" s="45">
        <v>5999</v>
      </c>
      <c r="V749" s="45">
        <v>5999</v>
      </c>
      <c r="W749" s="45">
        <v>5999</v>
      </c>
      <c r="X749" s="45">
        <v>5899</v>
      </c>
      <c r="Y749" s="45">
        <v>3999</v>
      </c>
      <c r="Z749" s="45">
        <v>3999</v>
      </c>
      <c r="AA749" s="45">
        <v>3999</v>
      </c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7"/>
      <c r="AW749" s="48" t="s">
        <v>65</v>
      </c>
      <c r="AX749" s="51" t="s">
        <v>82</v>
      </c>
    </row>
    <row r="750" spans="1:50" ht="22.5" customHeight="1">
      <c r="A750" s="52" t="s">
        <v>70</v>
      </c>
      <c r="B750" s="41" t="s">
        <v>62</v>
      </c>
      <c r="C750" s="42">
        <v>4017750</v>
      </c>
      <c r="D750" s="66" t="s">
        <v>994</v>
      </c>
      <c r="E750" s="44" t="s">
        <v>997</v>
      </c>
      <c r="F750" s="45">
        <v>7499</v>
      </c>
      <c r="G750" s="45">
        <v>5899</v>
      </c>
      <c r="H750" s="45">
        <v>6699</v>
      </c>
      <c r="I750" s="45">
        <v>6699</v>
      </c>
      <c r="J750" s="45">
        <v>6599</v>
      </c>
      <c r="K750" s="45">
        <v>6599</v>
      </c>
      <c r="L750" s="45">
        <v>6599</v>
      </c>
      <c r="M750" s="45">
        <v>6599</v>
      </c>
      <c r="N750" s="45">
        <v>6599</v>
      </c>
      <c r="O750" s="45">
        <v>6499</v>
      </c>
      <c r="P750" s="46">
        <v>6399</v>
      </c>
      <c r="Q750" s="46">
        <v>5999</v>
      </c>
      <c r="R750" s="45">
        <v>6499</v>
      </c>
      <c r="S750" s="45">
        <v>6399</v>
      </c>
      <c r="T750" s="45">
        <v>5999</v>
      </c>
      <c r="U750" s="45">
        <v>5999</v>
      </c>
      <c r="V750" s="45">
        <v>5999</v>
      </c>
      <c r="W750" s="45">
        <v>5999</v>
      </c>
      <c r="X750" s="45">
        <v>5899</v>
      </c>
      <c r="Y750" s="45">
        <v>3999</v>
      </c>
      <c r="Z750" s="45">
        <v>3999</v>
      </c>
      <c r="AA750" s="45">
        <v>3999</v>
      </c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7"/>
      <c r="AW750" s="48" t="s">
        <v>65</v>
      </c>
      <c r="AX750" s="51" t="s">
        <v>82</v>
      </c>
    </row>
    <row r="751" spans="1:50" ht="22.5" customHeight="1">
      <c r="A751" s="52" t="s">
        <v>70</v>
      </c>
      <c r="B751" s="41" t="s">
        <v>62</v>
      </c>
      <c r="C751" s="42">
        <v>4017751</v>
      </c>
      <c r="D751" s="66" t="s">
        <v>994</v>
      </c>
      <c r="E751" s="44" t="s">
        <v>998</v>
      </c>
      <c r="F751" s="45">
        <v>7499</v>
      </c>
      <c r="G751" s="45">
        <v>5899</v>
      </c>
      <c r="H751" s="45">
        <v>6699</v>
      </c>
      <c r="I751" s="45">
        <v>6699</v>
      </c>
      <c r="J751" s="45">
        <v>6599</v>
      </c>
      <c r="K751" s="45">
        <v>6599</v>
      </c>
      <c r="L751" s="45">
        <v>6599</v>
      </c>
      <c r="M751" s="45">
        <v>6599</v>
      </c>
      <c r="N751" s="45">
        <v>6599</v>
      </c>
      <c r="O751" s="45">
        <v>6499</v>
      </c>
      <c r="P751" s="46">
        <v>6399</v>
      </c>
      <c r="Q751" s="46">
        <v>5999</v>
      </c>
      <c r="R751" s="45">
        <v>6499</v>
      </c>
      <c r="S751" s="45">
        <v>6399</v>
      </c>
      <c r="T751" s="45">
        <v>5999</v>
      </c>
      <c r="U751" s="45">
        <v>5999</v>
      </c>
      <c r="V751" s="45">
        <v>5999</v>
      </c>
      <c r="W751" s="45">
        <v>5999</v>
      </c>
      <c r="X751" s="45">
        <v>5899</v>
      </c>
      <c r="Y751" s="45">
        <v>3999</v>
      </c>
      <c r="Z751" s="45">
        <v>3999</v>
      </c>
      <c r="AA751" s="45">
        <v>3999</v>
      </c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7"/>
      <c r="AW751" s="48" t="s">
        <v>65</v>
      </c>
      <c r="AX751" s="51" t="s">
        <v>82</v>
      </c>
    </row>
    <row r="752" spans="1:50" ht="22.5" customHeight="1">
      <c r="A752" s="52" t="s">
        <v>70</v>
      </c>
      <c r="B752" s="41" t="s">
        <v>62</v>
      </c>
      <c r="C752" s="42">
        <v>4017756</v>
      </c>
      <c r="D752" s="66" t="s">
        <v>994</v>
      </c>
      <c r="E752" s="44" t="s">
        <v>999</v>
      </c>
      <c r="F752" s="45">
        <v>7499</v>
      </c>
      <c r="G752" s="45">
        <v>5899</v>
      </c>
      <c r="H752" s="45">
        <v>6699</v>
      </c>
      <c r="I752" s="45">
        <v>6699</v>
      </c>
      <c r="J752" s="45">
        <v>6599</v>
      </c>
      <c r="K752" s="45">
        <v>6599</v>
      </c>
      <c r="L752" s="45">
        <v>6599</v>
      </c>
      <c r="M752" s="45">
        <v>6599</v>
      </c>
      <c r="N752" s="45">
        <v>6599</v>
      </c>
      <c r="O752" s="45">
        <v>6499</v>
      </c>
      <c r="P752" s="46">
        <v>6399</v>
      </c>
      <c r="Q752" s="46">
        <v>5999</v>
      </c>
      <c r="R752" s="45">
        <v>6499</v>
      </c>
      <c r="S752" s="45">
        <v>6399</v>
      </c>
      <c r="T752" s="45">
        <v>5999</v>
      </c>
      <c r="U752" s="45">
        <v>5999</v>
      </c>
      <c r="V752" s="45">
        <v>5999</v>
      </c>
      <c r="W752" s="45">
        <v>5999</v>
      </c>
      <c r="X752" s="45">
        <v>5899</v>
      </c>
      <c r="Y752" s="45">
        <v>3999</v>
      </c>
      <c r="Z752" s="45">
        <v>3999</v>
      </c>
      <c r="AA752" s="45">
        <v>3999</v>
      </c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7"/>
      <c r="AW752" s="48" t="s">
        <v>65</v>
      </c>
      <c r="AX752" s="51" t="s">
        <v>82</v>
      </c>
    </row>
    <row r="753" spans="1:50" ht="22.5" customHeight="1">
      <c r="A753" s="52" t="s">
        <v>70</v>
      </c>
      <c r="B753" s="41" t="s">
        <v>62</v>
      </c>
      <c r="C753" s="42">
        <v>4017757</v>
      </c>
      <c r="D753" s="66" t="s">
        <v>994</v>
      </c>
      <c r="E753" s="44" t="s">
        <v>1000</v>
      </c>
      <c r="F753" s="45">
        <v>7499</v>
      </c>
      <c r="G753" s="45">
        <v>5899</v>
      </c>
      <c r="H753" s="45">
        <v>6699</v>
      </c>
      <c r="I753" s="45">
        <v>6699</v>
      </c>
      <c r="J753" s="45">
        <v>6599</v>
      </c>
      <c r="K753" s="45">
        <v>6599</v>
      </c>
      <c r="L753" s="45">
        <v>6599</v>
      </c>
      <c r="M753" s="45">
        <v>6599</v>
      </c>
      <c r="N753" s="45">
        <v>6599</v>
      </c>
      <c r="O753" s="45">
        <v>6499</v>
      </c>
      <c r="P753" s="46">
        <v>6399</v>
      </c>
      <c r="Q753" s="46">
        <v>5999</v>
      </c>
      <c r="R753" s="45">
        <v>6499</v>
      </c>
      <c r="S753" s="45">
        <v>6399</v>
      </c>
      <c r="T753" s="45">
        <v>5999</v>
      </c>
      <c r="U753" s="45">
        <v>5999</v>
      </c>
      <c r="V753" s="45">
        <v>5999</v>
      </c>
      <c r="W753" s="45">
        <v>5999</v>
      </c>
      <c r="X753" s="45">
        <v>5899</v>
      </c>
      <c r="Y753" s="45">
        <v>3999</v>
      </c>
      <c r="Z753" s="45">
        <v>3999</v>
      </c>
      <c r="AA753" s="45">
        <v>3999</v>
      </c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7"/>
      <c r="AW753" s="48" t="s">
        <v>65</v>
      </c>
      <c r="AX753" s="51" t="s">
        <v>82</v>
      </c>
    </row>
    <row r="754" spans="1:50" ht="22.5" customHeight="1">
      <c r="A754" s="52" t="s">
        <v>70</v>
      </c>
      <c r="B754" s="41" t="s">
        <v>62</v>
      </c>
      <c r="C754" s="42">
        <v>4017746</v>
      </c>
      <c r="D754" s="66" t="s">
        <v>1001</v>
      </c>
      <c r="E754" s="44" t="s">
        <v>1002</v>
      </c>
      <c r="F754" s="45">
        <v>9099</v>
      </c>
      <c r="G754" s="45">
        <v>5899</v>
      </c>
      <c r="H754" s="45">
        <v>6699</v>
      </c>
      <c r="I754" s="45">
        <v>6699</v>
      </c>
      <c r="J754" s="45">
        <v>6599</v>
      </c>
      <c r="K754" s="45">
        <v>6599</v>
      </c>
      <c r="L754" s="45">
        <v>6599</v>
      </c>
      <c r="M754" s="45">
        <v>6599</v>
      </c>
      <c r="N754" s="45">
        <v>6599</v>
      </c>
      <c r="O754" s="45">
        <v>6499</v>
      </c>
      <c r="P754" s="46">
        <v>6399</v>
      </c>
      <c r="Q754" s="46">
        <v>5999</v>
      </c>
      <c r="R754" s="45">
        <v>6499</v>
      </c>
      <c r="S754" s="45">
        <v>6399</v>
      </c>
      <c r="T754" s="45">
        <v>5999</v>
      </c>
      <c r="U754" s="45">
        <v>5999</v>
      </c>
      <c r="V754" s="45">
        <v>5999</v>
      </c>
      <c r="W754" s="45">
        <v>5999</v>
      </c>
      <c r="X754" s="45">
        <v>5899</v>
      </c>
      <c r="Y754" s="45">
        <v>3999</v>
      </c>
      <c r="Z754" s="45">
        <v>3999</v>
      </c>
      <c r="AA754" s="45">
        <v>3999</v>
      </c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7"/>
      <c r="AW754" s="48" t="s">
        <v>65</v>
      </c>
      <c r="AX754" s="51" t="s">
        <v>82</v>
      </c>
    </row>
    <row r="755" spans="1:50" ht="22.5" customHeight="1">
      <c r="A755" s="52" t="s">
        <v>70</v>
      </c>
      <c r="B755" s="41" t="s">
        <v>62</v>
      </c>
      <c r="C755" s="42">
        <v>4017748</v>
      </c>
      <c r="D755" s="66" t="s">
        <v>1001</v>
      </c>
      <c r="E755" s="44" t="s">
        <v>1003</v>
      </c>
      <c r="F755" s="45">
        <v>9099</v>
      </c>
      <c r="G755" s="45">
        <v>5899</v>
      </c>
      <c r="H755" s="45">
        <v>6699</v>
      </c>
      <c r="I755" s="45">
        <v>6699</v>
      </c>
      <c r="J755" s="45">
        <v>6599</v>
      </c>
      <c r="K755" s="45">
        <v>6599</v>
      </c>
      <c r="L755" s="45">
        <v>6599</v>
      </c>
      <c r="M755" s="45">
        <v>6599</v>
      </c>
      <c r="N755" s="45">
        <v>6599</v>
      </c>
      <c r="O755" s="45">
        <v>6499</v>
      </c>
      <c r="P755" s="46">
        <v>6399</v>
      </c>
      <c r="Q755" s="46">
        <v>5999</v>
      </c>
      <c r="R755" s="45">
        <v>6499</v>
      </c>
      <c r="S755" s="45">
        <v>6399</v>
      </c>
      <c r="T755" s="45">
        <v>5999</v>
      </c>
      <c r="U755" s="45">
        <v>5999</v>
      </c>
      <c r="V755" s="45">
        <v>5999</v>
      </c>
      <c r="W755" s="45">
        <v>5999</v>
      </c>
      <c r="X755" s="45">
        <v>5899</v>
      </c>
      <c r="Y755" s="45">
        <v>3999</v>
      </c>
      <c r="Z755" s="45">
        <v>3999</v>
      </c>
      <c r="AA755" s="45">
        <v>3999</v>
      </c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7"/>
      <c r="AW755" s="48" t="s">
        <v>65</v>
      </c>
      <c r="AX755" s="51" t="s">
        <v>82</v>
      </c>
    </row>
    <row r="756" spans="1:50" ht="22.5" customHeight="1">
      <c r="A756" s="52" t="s">
        <v>70</v>
      </c>
      <c r="B756" s="41" t="s">
        <v>62</v>
      </c>
      <c r="C756" s="42">
        <v>4017752</v>
      </c>
      <c r="D756" s="66" t="s">
        <v>1001</v>
      </c>
      <c r="E756" s="44" t="s">
        <v>1004</v>
      </c>
      <c r="F756" s="45">
        <v>9099</v>
      </c>
      <c r="G756" s="45">
        <v>5899</v>
      </c>
      <c r="H756" s="45">
        <v>6699</v>
      </c>
      <c r="I756" s="45">
        <v>6699</v>
      </c>
      <c r="J756" s="45">
        <v>6599</v>
      </c>
      <c r="K756" s="45">
        <v>6599</v>
      </c>
      <c r="L756" s="45">
        <v>6599</v>
      </c>
      <c r="M756" s="45">
        <v>6599</v>
      </c>
      <c r="N756" s="45">
        <v>6599</v>
      </c>
      <c r="O756" s="45">
        <v>6499</v>
      </c>
      <c r="P756" s="46">
        <v>6399</v>
      </c>
      <c r="Q756" s="46">
        <v>5999</v>
      </c>
      <c r="R756" s="45">
        <v>6499</v>
      </c>
      <c r="S756" s="45">
        <v>6399</v>
      </c>
      <c r="T756" s="45">
        <v>5999</v>
      </c>
      <c r="U756" s="45">
        <v>5999</v>
      </c>
      <c r="V756" s="45">
        <v>5999</v>
      </c>
      <c r="W756" s="45">
        <v>5999</v>
      </c>
      <c r="X756" s="45">
        <v>5899</v>
      </c>
      <c r="Y756" s="45">
        <v>3999</v>
      </c>
      <c r="Z756" s="45">
        <v>3999</v>
      </c>
      <c r="AA756" s="45">
        <v>3999</v>
      </c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7"/>
      <c r="AW756" s="48" t="s">
        <v>65</v>
      </c>
      <c r="AX756" s="51" t="s">
        <v>82</v>
      </c>
    </row>
    <row r="757" spans="1:50" ht="22.5" customHeight="1">
      <c r="A757" s="52" t="s">
        <v>70</v>
      </c>
      <c r="B757" s="41" t="s">
        <v>62</v>
      </c>
      <c r="C757" s="42">
        <v>4017754</v>
      </c>
      <c r="D757" s="66" t="s">
        <v>1001</v>
      </c>
      <c r="E757" s="44" t="s">
        <v>1005</v>
      </c>
      <c r="F757" s="45">
        <v>9099</v>
      </c>
      <c r="G757" s="45">
        <v>5899</v>
      </c>
      <c r="H757" s="45">
        <v>6699</v>
      </c>
      <c r="I757" s="45">
        <v>6699</v>
      </c>
      <c r="J757" s="45">
        <v>6599</v>
      </c>
      <c r="K757" s="45">
        <v>6599</v>
      </c>
      <c r="L757" s="45">
        <v>6599</v>
      </c>
      <c r="M757" s="45">
        <v>6599</v>
      </c>
      <c r="N757" s="45">
        <v>6599</v>
      </c>
      <c r="O757" s="45">
        <v>6499</v>
      </c>
      <c r="P757" s="46">
        <v>6399</v>
      </c>
      <c r="Q757" s="46">
        <v>5999</v>
      </c>
      <c r="R757" s="45">
        <v>6499</v>
      </c>
      <c r="S757" s="45">
        <v>6399</v>
      </c>
      <c r="T757" s="45">
        <v>5999</v>
      </c>
      <c r="U757" s="45">
        <v>5999</v>
      </c>
      <c r="V757" s="45">
        <v>5999</v>
      </c>
      <c r="W757" s="45">
        <v>5999</v>
      </c>
      <c r="X757" s="45">
        <v>5899</v>
      </c>
      <c r="Y757" s="45">
        <v>3999</v>
      </c>
      <c r="Z757" s="45">
        <v>3999</v>
      </c>
      <c r="AA757" s="45">
        <v>3999</v>
      </c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7"/>
      <c r="AW757" s="48" t="s">
        <v>65</v>
      </c>
      <c r="AX757" s="51" t="s">
        <v>82</v>
      </c>
    </row>
    <row r="758" spans="1:50" ht="22.5" customHeight="1">
      <c r="A758" s="52" t="s">
        <v>70</v>
      </c>
      <c r="B758" s="41" t="s">
        <v>62</v>
      </c>
      <c r="C758" s="42">
        <v>4017762</v>
      </c>
      <c r="D758" s="66" t="s">
        <v>1006</v>
      </c>
      <c r="E758" s="44" t="s">
        <v>1007</v>
      </c>
      <c r="F758" s="45">
        <v>9199</v>
      </c>
      <c r="G758" s="45">
        <v>6399</v>
      </c>
      <c r="H758" s="45">
        <v>7699</v>
      </c>
      <c r="I758" s="45">
        <v>7699</v>
      </c>
      <c r="J758" s="45">
        <v>7599</v>
      </c>
      <c r="K758" s="45">
        <v>7599</v>
      </c>
      <c r="L758" s="45">
        <v>7599</v>
      </c>
      <c r="M758" s="45">
        <v>7599</v>
      </c>
      <c r="N758" s="45">
        <v>7599</v>
      </c>
      <c r="O758" s="45">
        <v>7499</v>
      </c>
      <c r="P758" s="46">
        <v>7399</v>
      </c>
      <c r="Q758" s="46">
        <v>6999</v>
      </c>
      <c r="R758" s="45">
        <v>7499</v>
      </c>
      <c r="S758" s="45">
        <v>7399</v>
      </c>
      <c r="T758" s="45">
        <v>6999</v>
      </c>
      <c r="U758" s="45">
        <v>6999</v>
      </c>
      <c r="V758" s="45">
        <v>6999</v>
      </c>
      <c r="W758" s="45">
        <v>6999</v>
      </c>
      <c r="X758" s="45">
        <v>6399</v>
      </c>
      <c r="Y758" s="45">
        <v>4999</v>
      </c>
      <c r="Z758" s="45">
        <v>4999</v>
      </c>
      <c r="AA758" s="45">
        <v>4999</v>
      </c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7"/>
      <c r="AW758" s="48" t="s">
        <v>65</v>
      </c>
      <c r="AX758" s="51" t="s">
        <v>82</v>
      </c>
    </row>
    <row r="759" spans="1:50" ht="22.5" customHeight="1">
      <c r="A759" s="52" t="s">
        <v>70</v>
      </c>
      <c r="B759" s="41" t="s">
        <v>62</v>
      </c>
      <c r="C759" s="42">
        <v>4017763</v>
      </c>
      <c r="D759" s="66" t="s">
        <v>1006</v>
      </c>
      <c r="E759" s="44" t="s">
        <v>1008</v>
      </c>
      <c r="F759" s="45">
        <v>9199</v>
      </c>
      <c r="G759" s="45">
        <v>6399</v>
      </c>
      <c r="H759" s="45">
        <v>7699</v>
      </c>
      <c r="I759" s="45">
        <v>7699</v>
      </c>
      <c r="J759" s="45">
        <v>7599</v>
      </c>
      <c r="K759" s="45">
        <v>7599</v>
      </c>
      <c r="L759" s="45">
        <v>7599</v>
      </c>
      <c r="M759" s="45">
        <v>7599</v>
      </c>
      <c r="N759" s="45">
        <v>7599</v>
      </c>
      <c r="O759" s="45">
        <v>7499</v>
      </c>
      <c r="P759" s="46">
        <v>7399</v>
      </c>
      <c r="Q759" s="46">
        <v>6999</v>
      </c>
      <c r="R759" s="45">
        <v>7499</v>
      </c>
      <c r="S759" s="45">
        <v>7399</v>
      </c>
      <c r="T759" s="45">
        <v>6999</v>
      </c>
      <c r="U759" s="45">
        <v>6999</v>
      </c>
      <c r="V759" s="45">
        <v>6999</v>
      </c>
      <c r="W759" s="45">
        <v>6999</v>
      </c>
      <c r="X759" s="45">
        <v>6399</v>
      </c>
      <c r="Y759" s="45">
        <v>4999</v>
      </c>
      <c r="Z759" s="45">
        <v>4999</v>
      </c>
      <c r="AA759" s="45">
        <v>4999</v>
      </c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7"/>
      <c r="AW759" s="48" t="s">
        <v>65</v>
      </c>
      <c r="AX759" s="51" t="s">
        <v>82</v>
      </c>
    </row>
    <row r="760" spans="1:50" ht="22.5" customHeight="1">
      <c r="A760" s="52" t="s">
        <v>70</v>
      </c>
      <c r="B760" s="41" t="s">
        <v>62</v>
      </c>
      <c r="C760" s="42">
        <v>4017766</v>
      </c>
      <c r="D760" s="66" t="s">
        <v>1006</v>
      </c>
      <c r="E760" s="44" t="s">
        <v>1009</v>
      </c>
      <c r="F760" s="45">
        <v>9199</v>
      </c>
      <c r="G760" s="45">
        <v>6399</v>
      </c>
      <c r="H760" s="45">
        <v>7699</v>
      </c>
      <c r="I760" s="45">
        <v>7699</v>
      </c>
      <c r="J760" s="45">
        <v>7599</v>
      </c>
      <c r="K760" s="45">
        <v>7599</v>
      </c>
      <c r="L760" s="45">
        <v>7599</v>
      </c>
      <c r="M760" s="45">
        <v>7599</v>
      </c>
      <c r="N760" s="45">
        <v>7599</v>
      </c>
      <c r="O760" s="45">
        <v>7499</v>
      </c>
      <c r="P760" s="46">
        <v>7399</v>
      </c>
      <c r="Q760" s="46">
        <v>6999</v>
      </c>
      <c r="R760" s="45">
        <v>7499</v>
      </c>
      <c r="S760" s="45">
        <v>7399</v>
      </c>
      <c r="T760" s="45">
        <v>6999</v>
      </c>
      <c r="U760" s="45">
        <v>6999</v>
      </c>
      <c r="V760" s="45">
        <v>6999</v>
      </c>
      <c r="W760" s="45">
        <v>6999</v>
      </c>
      <c r="X760" s="45">
        <v>6399</v>
      </c>
      <c r="Y760" s="45">
        <v>4999</v>
      </c>
      <c r="Z760" s="45">
        <v>4999</v>
      </c>
      <c r="AA760" s="45">
        <v>4999</v>
      </c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7"/>
      <c r="AW760" s="48" t="s">
        <v>65</v>
      </c>
      <c r="AX760" s="51" t="s">
        <v>82</v>
      </c>
    </row>
    <row r="761" spans="1:50" ht="22.5" customHeight="1">
      <c r="A761" s="52" t="s">
        <v>70</v>
      </c>
      <c r="B761" s="41" t="s">
        <v>62</v>
      </c>
      <c r="C761" s="42">
        <v>4017769</v>
      </c>
      <c r="D761" s="66" t="s">
        <v>1006</v>
      </c>
      <c r="E761" s="44" t="s">
        <v>1010</v>
      </c>
      <c r="F761" s="45">
        <v>9199</v>
      </c>
      <c r="G761" s="45">
        <v>6399</v>
      </c>
      <c r="H761" s="45">
        <v>7699</v>
      </c>
      <c r="I761" s="45">
        <v>7699</v>
      </c>
      <c r="J761" s="45">
        <v>7599</v>
      </c>
      <c r="K761" s="45">
        <v>7599</v>
      </c>
      <c r="L761" s="45">
        <v>7599</v>
      </c>
      <c r="M761" s="45">
        <v>7599</v>
      </c>
      <c r="N761" s="45">
        <v>7599</v>
      </c>
      <c r="O761" s="45">
        <v>7499</v>
      </c>
      <c r="P761" s="46">
        <v>7399</v>
      </c>
      <c r="Q761" s="46">
        <v>6999</v>
      </c>
      <c r="R761" s="45">
        <v>7499</v>
      </c>
      <c r="S761" s="45">
        <v>7399</v>
      </c>
      <c r="T761" s="45">
        <v>6999</v>
      </c>
      <c r="U761" s="45">
        <v>6999</v>
      </c>
      <c r="V761" s="45">
        <v>6999</v>
      </c>
      <c r="W761" s="45">
        <v>6999</v>
      </c>
      <c r="X761" s="45">
        <v>6399</v>
      </c>
      <c r="Y761" s="45">
        <v>4999</v>
      </c>
      <c r="Z761" s="45">
        <v>4999</v>
      </c>
      <c r="AA761" s="45">
        <v>4999</v>
      </c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7"/>
      <c r="AW761" s="48" t="s">
        <v>65</v>
      </c>
      <c r="AX761" s="51" t="s">
        <v>82</v>
      </c>
    </row>
    <row r="762" spans="1:50" ht="22.5" customHeight="1">
      <c r="A762" s="52" t="s">
        <v>70</v>
      </c>
      <c r="B762" s="41" t="s">
        <v>62</v>
      </c>
      <c r="C762" s="42">
        <v>4017764</v>
      </c>
      <c r="D762" s="66" t="s">
        <v>1011</v>
      </c>
      <c r="E762" s="44" t="s">
        <v>1012</v>
      </c>
      <c r="F762" s="45">
        <v>10799</v>
      </c>
      <c r="G762" s="45">
        <v>6399</v>
      </c>
      <c r="H762" s="45">
        <v>7699</v>
      </c>
      <c r="I762" s="45">
        <v>7699</v>
      </c>
      <c r="J762" s="45">
        <v>7599</v>
      </c>
      <c r="K762" s="45">
        <v>7599</v>
      </c>
      <c r="L762" s="45">
        <v>7599</v>
      </c>
      <c r="M762" s="45">
        <v>7599</v>
      </c>
      <c r="N762" s="45">
        <v>7599</v>
      </c>
      <c r="O762" s="45">
        <v>7499</v>
      </c>
      <c r="P762" s="46">
        <v>7399</v>
      </c>
      <c r="Q762" s="46">
        <v>6999</v>
      </c>
      <c r="R762" s="45">
        <v>7499</v>
      </c>
      <c r="S762" s="45">
        <v>7399</v>
      </c>
      <c r="T762" s="45">
        <v>6999</v>
      </c>
      <c r="U762" s="45">
        <v>6999</v>
      </c>
      <c r="V762" s="45">
        <v>6999</v>
      </c>
      <c r="W762" s="45">
        <v>6999</v>
      </c>
      <c r="X762" s="45">
        <v>6399</v>
      </c>
      <c r="Y762" s="45">
        <v>4999</v>
      </c>
      <c r="Z762" s="45">
        <v>4999</v>
      </c>
      <c r="AA762" s="45">
        <v>4999</v>
      </c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7"/>
      <c r="AW762" s="48" t="s">
        <v>65</v>
      </c>
      <c r="AX762" s="51" t="s">
        <v>82</v>
      </c>
    </row>
    <row r="763" spans="1:50" ht="22.5" customHeight="1">
      <c r="A763" s="52" t="s">
        <v>70</v>
      </c>
      <c r="B763" s="41" t="s">
        <v>62</v>
      </c>
      <c r="C763" s="42">
        <v>4017765</v>
      </c>
      <c r="D763" s="66" t="s">
        <v>1011</v>
      </c>
      <c r="E763" s="44" t="s">
        <v>1013</v>
      </c>
      <c r="F763" s="45">
        <v>10799</v>
      </c>
      <c r="G763" s="45">
        <v>6399</v>
      </c>
      <c r="H763" s="45">
        <v>7699</v>
      </c>
      <c r="I763" s="45">
        <v>7699</v>
      </c>
      <c r="J763" s="45">
        <v>7599</v>
      </c>
      <c r="K763" s="45">
        <v>7599</v>
      </c>
      <c r="L763" s="45">
        <v>7599</v>
      </c>
      <c r="M763" s="45">
        <v>7599</v>
      </c>
      <c r="N763" s="45">
        <v>7599</v>
      </c>
      <c r="O763" s="45">
        <v>7499</v>
      </c>
      <c r="P763" s="46">
        <v>7399</v>
      </c>
      <c r="Q763" s="46">
        <v>6999</v>
      </c>
      <c r="R763" s="45">
        <v>7499</v>
      </c>
      <c r="S763" s="45">
        <v>7399</v>
      </c>
      <c r="T763" s="45">
        <v>6999</v>
      </c>
      <c r="U763" s="45">
        <v>6999</v>
      </c>
      <c r="V763" s="45">
        <v>6999</v>
      </c>
      <c r="W763" s="45">
        <v>6999</v>
      </c>
      <c r="X763" s="45">
        <v>6399</v>
      </c>
      <c r="Y763" s="45">
        <v>4999</v>
      </c>
      <c r="Z763" s="45">
        <v>4999</v>
      </c>
      <c r="AA763" s="45">
        <v>4999</v>
      </c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7"/>
      <c r="AW763" s="48" t="s">
        <v>65</v>
      </c>
      <c r="AX763" s="51" t="s">
        <v>82</v>
      </c>
    </row>
    <row r="764" spans="1:50" ht="22.5" customHeight="1">
      <c r="A764" s="52" t="s">
        <v>70</v>
      </c>
      <c r="B764" s="41" t="s">
        <v>62</v>
      </c>
      <c r="C764" s="42">
        <v>4017767</v>
      </c>
      <c r="D764" s="66" t="s">
        <v>1011</v>
      </c>
      <c r="E764" s="44" t="s">
        <v>1014</v>
      </c>
      <c r="F764" s="45">
        <v>10799</v>
      </c>
      <c r="G764" s="45">
        <v>6399</v>
      </c>
      <c r="H764" s="45">
        <v>7699</v>
      </c>
      <c r="I764" s="45">
        <v>7699</v>
      </c>
      <c r="J764" s="45">
        <v>7599</v>
      </c>
      <c r="K764" s="45">
        <v>7599</v>
      </c>
      <c r="L764" s="45">
        <v>7599</v>
      </c>
      <c r="M764" s="45">
        <v>7599</v>
      </c>
      <c r="N764" s="45">
        <v>7599</v>
      </c>
      <c r="O764" s="45">
        <v>7499</v>
      </c>
      <c r="P764" s="46">
        <v>7399</v>
      </c>
      <c r="Q764" s="46">
        <v>6999</v>
      </c>
      <c r="R764" s="45">
        <v>7499</v>
      </c>
      <c r="S764" s="45">
        <v>7399</v>
      </c>
      <c r="T764" s="45">
        <v>6999</v>
      </c>
      <c r="U764" s="45">
        <v>6999</v>
      </c>
      <c r="V764" s="45">
        <v>6999</v>
      </c>
      <c r="W764" s="45">
        <v>6999</v>
      </c>
      <c r="X764" s="45">
        <v>6399</v>
      </c>
      <c r="Y764" s="45">
        <v>4999</v>
      </c>
      <c r="Z764" s="45">
        <v>4999</v>
      </c>
      <c r="AA764" s="45">
        <v>4999</v>
      </c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7"/>
      <c r="AW764" s="48" t="s">
        <v>65</v>
      </c>
      <c r="AX764" s="51" t="s">
        <v>82</v>
      </c>
    </row>
    <row r="765" spans="1:50" ht="22.5" customHeight="1">
      <c r="A765" s="52" t="s">
        <v>70</v>
      </c>
      <c r="B765" s="41" t="s">
        <v>62</v>
      </c>
      <c r="C765" s="42">
        <v>4017768</v>
      </c>
      <c r="D765" s="66" t="s">
        <v>1011</v>
      </c>
      <c r="E765" s="44" t="s">
        <v>1015</v>
      </c>
      <c r="F765" s="45">
        <v>10799</v>
      </c>
      <c r="G765" s="45">
        <v>6399</v>
      </c>
      <c r="H765" s="45">
        <v>7699</v>
      </c>
      <c r="I765" s="45">
        <v>7699</v>
      </c>
      <c r="J765" s="45">
        <v>7599</v>
      </c>
      <c r="K765" s="45">
        <v>7599</v>
      </c>
      <c r="L765" s="45">
        <v>7599</v>
      </c>
      <c r="M765" s="45">
        <v>7599</v>
      </c>
      <c r="N765" s="45">
        <v>7599</v>
      </c>
      <c r="O765" s="45">
        <v>7499</v>
      </c>
      <c r="P765" s="46">
        <v>7399</v>
      </c>
      <c r="Q765" s="46">
        <v>6999</v>
      </c>
      <c r="R765" s="45">
        <v>7499</v>
      </c>
      <c r="S765" s="45">
        <v>7399</v>
      </c>
      <c r="T765" s="45">
        <v>6999</v>
      </c>
      <c r="U765" s="45">
        <v>6999</v>
      </c>
      <c r="V765" s="45">
        <v>6999</v>
      </c>
      <c r="W765" s="45">
        <v>6999</v>
      </c>
      <c r="X765" s="45">
        <v>6399</v>
      </c>
      <c r="Y765" s="45">
        <v>4999</v>
      </c>
      <c r="Z765" s="45">
        <v>4999</v>
      </c>
      <c r="AA765" s="45">
        <v>4999</v>
      </c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7"/>
      <c r="AW765" s="48" t="s">
        <v>65</v>
      </c>
      <c r="AX765" s="51" t="s">
        <v>82</v>
      </c>
    </row>
    <row r="766" spans="1:50" ht="22.5" customHeight="1">
      <c r="A766" s="52" t="s">
        <v>70</v>
      </c>
      <c r="B766" s="41" t="s">
        <v>62</v>
      </c>
      <c r="C766" s="42">
        <v>4017614</v>
      </c>
      <c r="D766" s="66" t="s">
        <v>1016</v>
      </c>
      <c r="E766" s="44" t="s">
        <v>1017</v>
      </c>
      <c r="F766" s="45">
        <v>11499</v>
      </c>
      <c r="G766" s="45">
        <v>8399</v>
      </c>
      <c r="H766" s="45">
        <v>9299</v>
      </c>
      <c r="I766" s="45">
        <v>9299</v>
      </c>
      <c r="J766" s="45">
        <v>9199</v>
      </c>
      <c r="K766" s="45">
        <v>9199</v>
      </c>
      <c r="L766" s="45">
        <v>9199</v>
      </c>
      <c r="M766" s="45">
        <v>9199</v>
      </c>
      <c r="N766" s="45">
        <v>9199</v>
      </c>
      <c r="O766" s="45">
        <v>9099</v>
      </c>
      <c r="P766" s="46">
        <v>8999</v>
      </c>
      <c r="Q766" s="46">
        <v>8499</v>
      </c>
      <c r="R766" s="45">
        <v>9099</v>
      </c>
      <c r="S766" s="45">
        <v>8999</v>
      </c>
      <c r="T766" s="45">
        <v>8499</v>
      </c>
      <c r="U766" s="45">
        <v>8499</v>
      </c>
      <c r="V766" s="45">
        <v>8499</v>
      </c>
      <c r="W766" s="45">
        <v>8499</v>
      </c>
      <c r="X766" s="45">
        <v>8399</v>
      </c>
      <c r="Y766" s="45">
        <v>5999</v>
      </c>
      <c r="Z766" s="45">
        <v>5999</v>
      </c>
      <c r="AA766" s="45">
        <v>5999</v>
      </c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7"/>
      <c r="AW766" s="48" t="s">
        <v>65</v>
      </c>
      <c r="AX766" s="51" t="s">
        <v>82</v>
      </c>
    </row>
    <row r="767" spans="1:50" ht="22.5" customHeight="1">
      <c r="A767" s="52" t="s">
        <v>70</v>
      </c>
      <c r="B767" s="41" t="s">
        <v>62</v>
      </c>
      <c r="C767" s="42">
        <v>4017616</v>
      </c>
      <c r="D767" s="66" t="s">
        <v>1016</v>
      </c>
      <c r="E767" s="44" t="s">
        <v>1018</v>
      </c>
      <c r="F767" s="45">
        <v>11499</v>
      </c>
      <c r="G767" s="45">
        <v>8399</v>
      </c>
      <c r="H767" s="45">
        <v>9299</v>
      </c>
      <c r="I767" s="45">
        <v>9299</v>
      </c>
      <c r="J767" s="45">
        <v>9199</v>
      </c>
      <c r="K767" s="45">
        <v>9199</v>
      </c>
      <c r="L767" s="45">
        <v>9199</v>
      </c>
      <c r="M767" s="45">
        <v>9199</v>
      </c>
      <c r="N767" s="45">
        <v>9199</v>
      </c>
      <c r="O767" s="45">
        <v>9099</v>
      </c>
      <c r="P767" s="46">
        <v>8999</v>
      </c>
      <c r="Q767" s="46">
        <v>8499</v>
      </c>
      <c r="R767" s="45">
        <v>9099</v>
      </c>
      <c r="S767" s="45">
        <v>8999</v>
      </c>
      <c r="T767" s="45">
        <v>8499</v>
      </c>
      <c r="U767" s="45">
        <v>8499</v>
      </c>
      <c r="V767" s="45">
        <v>8499</v>
      </c>
      <c r="W767" s="45">
        <v>8499</v>
      </c>
      <c r="X767" s="45">
        <v>8399</v>
      </c>
      <c r="Y767" s="45">
        <v>5999</v>
      </c>
      <c r="Z767" s="45">
        <v>5999</v>
      </c>
      <c r="AA767" s="45">
        <v>5999</v>
      </c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7"/>
      <c r="AW767" s="48" t="s">
        <v>65</v>
      </c>
      <c r="AX767" s="51" t="s">
        <v>82</v>
      </c>
    </row>
    <row r="768" spans="1:50" ht="22.5" customHeight="1">
      <c r="A768" s="52" t="s">
        <v>70</v>
      </c>
      <c r="B768" s="41" t="s">
        <v>62</v>
      </c>
      <c r="C768" s="42">
        <v>4017725</v>
      </c>
      <c r="D768" s="66" t="s">
        <v>1016</v>
      </c>
      <c r="E768" s="44" t="s">
        <v>1019</v>
      </c>
      <c r="F768" s="45">
        <v>11499</v>
      </c>
      <c r="G768" s="45">
        <v>8399</v>
      </c>
      <c r="H768" s="45">
        <v>9299</v>
      </c>
      <c r="I768" s="45">
        <v>9299</v>
      </c>
      <c r="J768" s="45">
        <v>9199</v>
      </c>
      <c r="K768" s="45">
        <v>9199</v>
      </c>
      <c r="L768" s="45">
        <v>9199</v>
      </c>
      <c r="M768" s="45">
        <v>9199</v>
      </c>
      <c r="N768" s="45">
        <v>9199</v>
      </c>
      <c r="O768" s="45">
        <v>9099</v>
      </c>
      <c r="P768" s="46">
        <v>8999</v>
      </c>
      <c r="Q768" s="46">
        <v>8499</v>
      </c>
      <c r="R768" s="45">
        <v>9099</v>
      </c>
      <c r="S768" s="45">
        <v>8999</v>
      </c>
      <c r="T768" s="45">
        <v>8499</v>
      </c>
      <c r="U768" s="45">
        <v>8499</v>
      </c>
      <c r="V768" s="45">
        <v>8499</v>
      </c>
      <c r="W768" s="45">
        <v>8499</v>
      </c>
      <c r="X768" s="45">
        <v>8399</v>
      </c>
      <c r="Y768" s="45">
        <v>5999</v>
      </c>
      <c r="Z768" s="45">
        <v>5999</v>
      </c>
      <c r="AA768" s="45">
        <v>5999</v>
      </c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7"/>
      <c r="AW768" s="48" t="s">
        <v>65</v>
      </c>
      <c r="AX768" s="51" t="s">
        <v>82</v>
      </c>
    </row>
    <row r="769" spans="1:50" ht="22.5" customHeight="1">
      <c r="A769" s="52" t="s">
        <v>70</v>
      </c>
      <c r="B769" s="41" t="s">
        <v>62</v>
      </c>
      <c r="C769" s="42">
        <v>4017731</v>
      </c>
      <c r="D769" s="66" t="s">
        <v>1016</v>
      </c>
      <c r="E769" s="44" t="s">
        <v>1020</v>
      </c>
      <c r="F769" s="45">
        <v>11499</v>
      </c>
      <c r="G769" s="45">
        <v>8399</v>
      </c>
      <c r="H769" s="45">
        <v>9299</v>
      </c>
      <c r="I769" s="45">
        <v>9299</v>
      </c>
      <c r="J769" s="45">
        <v>9199</v>
      </c>
      <c r="K769" s="45">
        <v>9199</v>
      </c>
      <c r="L769" s="45">
        <v>9199</v>
      </c>
      <c r="M769" s="45">
        <v>9199</v>
      </c>
      <c r="N769" s="45">
        <v>9199</v>
      </c>
      <c r="O769" s="45">
        <v>9099</v>
      </c>
      <c r="P769" s="46">
        <v>8999</v>
      </c>
      <c r="Q769" s="46">
        <v>8499</v>
      </c>
      <c r="R769" s="45">
        <v>9099</v>
      </c>
      <c r="S769" s="45">
        <v>8999</v>
      </c>
      <c r="T769" s="45">
        <v>8499</v>
      </c>
      <c r="U769" s="45">
        <v>8499</v>
      </c>
      <c r="V769" s="45">
        <v>8499</v>
      </c>
      <c r="W769" s="45">
        <v>8499</v>
      </c>
      <c r="X769" s="45">
        <v>8399</v>
      </c>
      <c r="Y769" s="45">
        <v>5999</v>
      </c>
      <c r="Z769" s="45">
        <v>5999</v>
      </c>
      <c r="AA769" s="45">
        <v>5999</v>
      </c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7"/>
      <c r="AW769" s="48" t="s">
        <v>65</v>
      </c>
      <c r="AX769" s="51" t="s">
        <v>82</v>
      </c>
    </row>
    <row r="770" spans="1:50" ht="22.5" customHeight="1">
      <c r="A770" s="52" t="s">
        <v>70</v>
      </c>
      <c r="B770" s="41" t="s">
        <v>62</v>
      </c>
      <c r="C770" s="42">
        <v>4017734</v>
      </c>
      <c r="D770" s="66" t="s">
        <v>1016</v>
      </c>
      <c r="E770" s="44" t="s">
        <v>1021</v>
      </c>
      <c r="F770" s="45">
        <v>11499</v>
      </c>
      <c r="G770" s="45">
        <v>8399</v>
      </c>
      <c r="H770" s="45">
        <v>9299</v>
      </c>
      <c r="I770" s="45">
        <v>9299</v>
      </c>
      <c r="J770" s="45">
        <v>9199</v>
      </c>
      <c r="K770" s="45">
        <v>9199</v>
      </c>
      <c r="L770" s="45">
        <v>9199</v>
      </c>
      <c r="M770" s="45">
        <v>9199</v>
      </c>
      <c r="N770" s="45">
        <v>9199</v>
      </c>
      <c r="O770" s="45">
        <v>9099</v>
      </c>
      <c r="P770" s="46">
        <v>8999</v>
      </c>
      <c r="Q770" s="46">
        <v>8499</v>
      </c>
      <c r="R770" s="45">
        <v>9099</v>
      </c>
      <c r="S770" s="45">
        <v>8999</v>
      </c>
      <c r="T770" s="45">
        <v>8499</v>
      </c>
      <c r="U770" s="45">
        <v>8499</v>
      </c>
      <c r="V770" s="45">
        <v>8499</v>
      </c>
      <c r="W770" s="45">
        <v>8499</v>
      </c>
      <c r="X770" s="45">
        <v>8399</v>
      </c>
      <c r="Y770" s="45">
        <v>5999</v>
      </c>
      <c r="Z770" s="45">
        <v>5999</v>
      </c>
      <c r="AA770" s="45">
        <v>5999</v>
      </c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7"/>
      <c r="AW770" s="48" t="s">
        <v>65</v>
      </c>
      <c r="AX770" s="51" t="s">
        <v>82</v>
      </c>
    </row>
    <row r="771" spans="1:50" ht="22.5" customHeight="1">
      <c r="A771" s="52" t="s">
        <v>70</v>
      </c>
      <c r="B771" s="41" t="s">
        <v>62</v>
      </c>
      <c r="C771" s="42">
        <v>4017728</v>
      </c>
      <c r="D771" s="66" t="s">
        <v>1016</v>
      </c>
      <c r="E771" s="44" t="s">
        <v>1022</v>
      </c>
      <c r="F771" s="45">
        <v>11499</v>
      </c>
      <c r="G771" s="45">
        <v>8399</v>
      </c>
      <c r="H771" s="45">
        <v>9299</v>
      </c>
      <c r="I771" s="45">
        <v>9299</v>
      </c>
      <c r="J771" s="45">
        <v>9199</v>
      </c>
      <c r="K771" s="45">
        <v>9199</v>
      </c>
      <c r="L771" s="45">
        <v>9199</v>
      </c>
      <c r="M771" s="45">
        <v>9199</v>
      </c>
      <c r="N771" s="45">
        <v>9199</v>
      </c>
      <c r="O771" s="45">
        <v>9099</v>
      </c>
      <c r="P771" s="46">
        <v>8999</v>
      </c>
      <c r="Q771" s="46">
        <v>8499</v>
      </c>
      <c r="R771" s="45">
        <v>9099</v>
      </c>
      <c r="S771" s="45">
        <v>8999</v>
      </c>
      <c r="T771" s="45">
        <v>8499</v>
      </c>
      <c r="U771" s="45">
        <v>8499</v>
      </c>
      <c r="V771" s="45">
        <v>8499</v>
      </c>
      <c r="W771" s="45">
        <v>8499</v>
      </c>
      <c r="X771" s="45">
        <v>8399</v>
      </c>
      <c r="Y771" s="45">
        <v>5999</v>
      </c>
      <c r="Z771" s="45">
        <v>5999</v>
      </c>
      <c r="AA771" s="45">
        <v>5999</v>
      </c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7"/>
      <c r="AW771" s="48" t="s">
        <v>65</v>
      </c>
      <c r="AX771" s="51" t="s">
        <v>82</v>
      </c>
    </row>
    <row r="772" spans="1:50" ht="22.5" customHeight="1">
      <c r="A772" s="52" t="s">
        <v>70</v>
      </c>
      <c r="B772" s="41" t="s">
        <v>62</v>
      </c>
      <c r="C772" s="42">
        <v>4017611</v>
      </c>
      <c r="D772" s="66" t="s">
        <v>1023</v>
      </c>
      <c r="E772" s="44" t="s">
        <v>1024</v>
      </c>
      <c r="F772" s="45">
        <v>13099</v>
      </c>
      <c r="G772" s="45">
        <v>8399</v>
      </c>
      <c r="H772" s="45">
        <v>9299</v>
      </c>
      <c r="I772" s="45">
        <v>9299</v>
      </c>
      <c r="J772" s="45">
        <v>9199</v>
      </c>
      <c r="K772" s="45">
        <v>9199</v>
      </c>
      <c r="L772" s="45">
        <v>9199</v>
      </c>
      <c r="M772" s="45">
        <v>9199</v>
      </c>
      <c r="N772" s="45">
        <v>9199</v>
      </c>
      <c r="O772" s="45">
        <v>9099</v>
      </c>
      <c r="P772" s="46">
        <v>8999</v>
      </c>
      <c r="Q772" s="46">
        <v>8499</v>
      </c>
      <c r="R772" s="45">
        <v>9099</v>
      </c>
      <c r="S772" s="45">
        <v>8999</v>
      </c>
      <c r="T772" s="45">
        <v>8499</v>
      </c>
      <c r="U772" s="45">
        <v>8499</v>
      </c>
      <c r="V772" s="45">
        <v>8499</v>
      </c>
      <c r="W772" s="45">
        <v>8499</v>
      </c>
      <c r="X772" s="45">
        <v>8399</v>
      </c>
      <c r="Y772" s="45">
        <v>5999</v>
      </c>
      <c r="Z772" s="45">
        <v>5999</v>
      </c>
      <c r="AA772" s="45">
        <v>5999</v>
      </c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7"/>
      <c r="AW772" s="48" t="s">
        <v>65</v>
      </c>
      <c r="AX772" s="51" t="s">
        <v>82</v>
      </c>
    </row>
    <row r="773" spans="1:50" ht="22.5" customHeight="1">
      <c r="A773" s="52" t="s">
        <v>70</v>
      </c>
      <c r="B773" s="41" t="s">
        <v>62</v>
      </c>
      <c r="C773" s="42">
        <v>4017613</v>
      </c>
      <c r="D773" s="66" t="s">
        <v>1023</v>
      </c>
      <c r="E773" s="44" t="s">
        <v>1025</v>
      </c>
      <c r="F773" s="45">
        <v>13099</v>
      </c>
      <c r="G773" s="45">
        <v>8399</v>
      </c>
      <c r="H773" s="45">
        <v>9299</v>
      </c>
      <c r="I773" s="45">
        <v>9299</v>
      </c>
      <c r="J773" s="45">
        <v>9199</v>
      </c>
      <c r="K773" s="45">
        <v>9199</v>
      </c>
      <c r="L773" s="45">
        <v>9199</v>
      </c>
      <c r="M773" s="45">
        <v>9199</v>
      </c>
      <c r="N773" s="45">
        <v>9199</v>
      </c>
      <c r="O773" s="45">
        <v>9099</v>
      </c>
      <c r="P773" s="46">
        <v>8999</v>
      </c>
      <c r="Q773" s="46">
        <v>8499</v>
      </c>
      <c r="R773" s="45">
        <v>9099</v>
      </c>
      <c r="S773" s="45">
        <v>8999</v>
      </c>
      <c r="T773" s="45">
        <v>8499</v>
      </c>
      <c r="U773" s="45">
        <v>8499</v>
      </c>
      <c r="V773" s="45">
        <v>8499</v>
      </c>
      <c r="W773" s="45">
        <v>8499</v>
      </c>
      <c r="X773" s="45">
        <v>8399</v>
      </c>
      <c r="Y773" s="45">
        <v>5999</v>
      </c>
      <c r="Z773" s="45">
        <v>5999</v>
      </c>
      <c r="AA773" s="45">
        <v>5999</v>
      </c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7"/>
      <c r="AW773" s="48" t="s">
        <v>65</v>
      </c>
      <c r="AX773" s="51" t="s">
        <v>82</v>
      </c>
    </row>
    <row r="774" spans="1:50" ht="22.5" customHeight="1">
      <c r="A774" s="52" t="s">
        <v>70</v>
      </c>
      <c r="B774" s="41" t="s">
        <v>62</v>
      </c>
      <c r="C774" s="42">
        <v>4017723</v>
      </c>
      <c r="D774" s="66" t="s">
        <v>1023</v>
      </c>
      <c r="E774" s="44" t="s">
        <v>1026</v>
      </c>
      <c r="F774" s="45">
        <v>13099</v>
      </c>
      <c r="G774" s="45">
        <v>8399</v>
      </c>
      <c r="H774" s="45">
        <v>9299</v>
      </c>
      <c r="I774" s="45">
        <v>9299</v>
      </c>
      <c r="J774" s="45">
        <v>9199</v>
      </c>
      <c r="K774" s="45">
        <v>9199</v>
      </c>
      <c r="L774" s="45">
        <v>9199</v>
      </c>
      <c r="M774" s="45">
        <v>9199</v>
      </c>
      <c r="N774" s="45">
        <v>9199</v>
      </c>
      <c r="O774" s="45">
        <v>9099</v>
      </c>
      <c r="P774" s="46">
        <v>8999</v>
      </c>
      <c r="Q774" s="46">
        <v>8499</v>
      </c>
      <c r="R774" s="45">
        <v>9099</v>
      </c>
      <c r="S774" s="45">
        <v>8999</v>
      </c>
      <c r="T774" s="45">
        <v>8499</v>
      </c>
      <c r="U774" s="45">
        <v>8499</v>
      </c>
      <c r="V774" s="45">
        <v>8499</v>
      </c>
      <c r="W774" s="45">
        <v>8499</v>
      </c>
      <c r="X774" s="45">
        <v>8399</v>
      </c>
      <c r="Y774" s="45">
        <v>5999</v>
      </c>
      <c r="Z774" s="45">
        <v>5999</v>
      </c>
      <c r="AA774" s="45">
        <v>5999</v>
      </c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7"/>
      <c r="AW774" s="48" t="s">
        <v>65</v>
      </c>
      <c r="AX774" s="51" t="s">
        <v>82</v>
      </c>
    </row>
    <row r="775" spans="1:50" ht="22.5" customHeight="1">
      <c r="A775" s="52" t="s">
        <v>70</v>
      </c>
      <c r="B775" s="41" t="s">
        <v>62</v>
      </c>
      <c r="C775" s="42">
        <v>4017726</v>
      </c>
      <c r="D775" s="66" t="s">
        <v>1023</v>
      </c>
      <c r="E775" s="44" t="s">
        <v>1027</v>
      </c>
      <c r="F775" s="45">
        <v>13099</v>
      </c>
      <c r="G775" s="45">
        <v>8399</v>
      </c>
      <c r="H775" s="45">
        <v>9299</v>
      </c>
      <c r="I775" s="45">
        <v>9299</v>
      </c>
      <c r="J775" s="45">
        <v>9199</v>
      </c>
      <c r="K775" s="45">
        <v>9199</v>
      </c>
      <c r="L775" s="45">
        <v>9199</v>
      </c>
      <c r="M775" s="45">
        <v>9199</v>
      </c>
      <c r="N775" s="45">
        <v>9199</v>
      </c>
      <c r="O775" s="45">
        <v>9099</v>
      </c>
      <c r="P775" s="46">
        <v>8999</v>
      </c>
      <c r="Q775" s="46">
        <v>8499</v>
      </c>
      <c r="R775" s="45">
        <v>9099</v>
      </c>
      <c r="S775" s="45">
        <v>8999</v>
      </c>
      <c r="T775" s="45">
        <v>8499</v>
      </c>
      <c r="U775" s="45">
        <v>8499</v>
      </c>
      <c r="V775" s="45">
        <v>8499</v>
      </c>
      <c r="W775" s="45">
        <v>8499</v>
      </c>
      <c r="X775" s="45">
        <v>8399</v>
      </c>
      <c r="Y775" s="45">
        <v>5999</v>
      </c>
      <c r="Z775" s="45">
        <v>5999</v>
      </c>
      <c r="AA775" s="45">
        <v>5999</v>
      </c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7"/>
      <c r="AW775" s="48" t="s">
        <v>65</v>
      </c>
      <c r="AX775" s="51" t="s">
        <v>82</v>
      </c>
    </row>
    <row r="776" spans="1:50" ht="22.5" customHeight="1">
      <c r="A776" s="52" t="s">
        <v>70</v>
      </c>
      <c r="B776" s="41" t="s">
        <v>62</v>
      </c>
      <c r="C776" s="42">
        <v>4017730</v>
      </c>
      <c r="D776" s="66" t="s">
        <v>1023</v>
      </c>
      <c r="E776" s="44" t="s">
        <v>1028</v>
      </c>
      <c r="F776" s="45">
        <v>13099</v>
      </c>
      <c r="G776" s="45">
        <v>8399</v>
      </c>
      <c r="H776" s="45">
        <v>9299</v>
      </c>
      <c r="I776" s="45">
        <v>9299</v>
      </c>
      <c r="J776" s="45">
        <v>9199</v>
      </c>
      <c r="K776" s="45">
        <v>9199</v>
      </c>
      <c r="L776" s="45">
        <v>9199</v>
      </c>
      <c r="M776" s="45">
        <v>9199</v>
      </c>
      <c r="N776" s="45">
        <v>9199</v>
      </c>
      <c r="O776" s="45">
        <v>9099</v>
      </c>
      <c r="P776" s="46">
        <v>8999</v>
      </c>
      <c r="Q776" s="46">
        <v>8499</v>
      </c>
      <c r="R776" s="45">
        <v>9099</v>
      </c>
      <c r="S776" s="45">
        <v>8999</v>
      </c>
      <c r="T776" s="45">
        <v>8499</v>
      </c>
      <c r="U776" s="45">
        <v>8499</v>
      </c>
      <c r="V776" s="45">
        <v>8499</v>
      </c>
      <c r="W776" s="45">
        <v>8499</v>
      </c>
      <c r="X776" s="45">
        <v>8399</v>
      </c>
      <c r="Y776" s="45">
        <v>5999</v>
      </c>
      <c r="Z776" s="45">
        <v>5999</v>
      </c>
      <c r="AA776" s="45">
        <v>5999</v>
      </c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7"/>
      <c r="AW776" s="48" t="s">
        <v>65</v>
      </c>
      <c r="AX776" s="51" t="s">
        <v>82</v>
      </c>
    </row>
    <row r="777" spans="1:50" ht="22.5" customHeight="1">
      <c r="A777" s="52" t="s">
        <v>70</v>
      </c>
      <c r="B777" s="41" t="s">
        <v>62</v>
      </c>
      <c r="C777" s="42">
        <v>4017732</v>
      </c>
      <c r="D777" s="66" t="s">
        <v>1023</v>
      </c>
      <c r="E777" s="44" t="s">
        <v>1029</v>
      </c>
      <c r="F777" s="45">
        <v>13099</v>
      </c>
      <c r="G777" s="45">
        <v>8399</v>
      </c>
      <c r="H777" s="45">
        <v>9299</v>
      </c>
      <c r="I777" s="45">
        <v>9299</v>
      </c>
      <c r="J777" s="45">
        <v>9199</v>
      </c>
      <c r="K777" s="45">
        <v>9199</v>
      </c>
      <c r="L777" s="45">
        <v>9199</v>
      </c>
      <c r="M777" s="45">
        <v>9199</v>
      </c>
      <c r="N777" s="45">
        <v>9199</v>
      </c>
      <c r="O777" s="45">
        <v>9099</v>
      </c>
      <c r="P777" s="46">
        <v>8999</v>
      </c>
      <c r="Q777" s="46">
        <v>8499</v>
      </c>
      <c r="R777" s="45">
        <v>9099</v>
      </c>
      <c r="S777" s="45">
        <v>8999</v>
      </c>
      <c r="T777" s="45">
        <v>8499</v>
      </c>
      <c r="U777" s="45">
        <v>8499</v>
      </c>
      <c r="V777" s="45">
        <v>8499</v>
      </c>
      <c r="W777" s="45">
        <v>8499</v>
      </c>
      <c r="X777" s="45">
        <v>8399</v>
      </c>
      <c r="Y777" s="45">
        <v>5999</v>
      </c>
      <c r="Z777" s="45">
        <v>5999</v>
      </c>
      <c r="AA777" s="45">
        <v>5999</v>
      </c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7"/>
      <c r="AW777" s="48" t="s">
        <v>65</v>
      </c>
      <c r="AX777" s="51" t="s">
        <v>82</v>
      </c>
    </row>
    <row r="778" spans="1:50" ht="22.5" customHeight="1">
      <c r="A778" s="52" t="s">
        <v>70</v>
      </c>
      <c r="B778" s="41" t="s">
        <v>62</v>
      </c>
      <c r="C778" s="42">
        <v>4016325</v>
      </c>
      <c r="D778" s="44" t="s">
        <v>1030</v>
      </c>
      <c r="E778" s="44" t="s">
        <v>1031</v>
      </c>
      <c r="F778" s="45">
        <v>7999</v>
      </c>
      <c r="G778" s="45">
        <v>3399</v>
      </c>
      <c r="H778" s="45">
        <v>3999</v>
      </c>
      <c r="I778" s="45">
        <v>3999</v>
      </c>
      <c r="J778" s="45">
        <v>3899</v>
      </c>
      <c r="K778" s="45">
        <v>3899</v>
      </c>
      <c r="L778" s="45">
        <v>3899</v>
      </c>
      <c r="M778" s="45">
        <v>3899</v>
      </c>
      <c r="N778" s="45">
        <v>3899</v>
      </c>
      <c r="O778" s="45">
        <v>3799</v>
      </c>
      <c r="P778" s="46">
        <v>3699</v>
      </c>
      <c r="Q778" s="46">
        <v>3499</v>
      </c>
      <c r="R778" s="45">
        <v>3799</v>
      </c>
      <c r="S778" s="45">
        <v>3699</v>
      </c>
      <c r="T778" s="45">
        <v>3499</v>
      </c>
      <c r="U778" s="45">
        <v>3499</v>
      </c>
      <c r="V778" s="45">
        <v>3499</v>
      </c>
      <c r="W778" s="45">
        <v>3499</v>
      </c>
      <c r="X778" s="45">
        <v>3399</v>
      </c>
      <c r="Y778" s="45">
        <v>2999</v>
      </c>
      <c r="Z778" s="45">
        <v>2999</v>
      </c>
      <c r="AA778" s="45">
        <v>2999</v>
      </c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7"/>
      <c r="AW778" s="48" t="s">
        <v>65</v>
      </c>
      <c r="AX778" s="51" t="s">
        <v>82</v>
      </c>
    </row>
    <row r="779" spans="1:50" ht="22.5" customHeight="1">
      <c r="A779" s="52" t="s">
        <v>70</v>
      </c>
      <c r="B779" s="41" t="s">
        <v>62</v>
      </c>
      <c r="C779" s="42">
        <v>4016327</v>
      </c>
      <c r="D779" s="44" t="s">
        <v>1030</v>
      </c>
      <c r="E779" s="44" t="s">
        <v>1032</v>
      </c>
      <c r="F779" s="45">
        <v>7999</v>
      </c>
      <c r="G779" s="45">
        <v>3399</v>
      </c>
      <c r="H779" s="45">
        <v>3999</v>
      </c>
      <c r="I779" s="45">
        <v>3999</v>
      </c>
      <c r="J779" s="45">
        <v>3899</v>
      </c>
      <c r="K779" s="45">
        <v>3899</v>
      </c>
      <c r="L779" s="45">
        <v>3899</v>
      </c>
      <c r="M779" s="45">
        <v>3899</v>
      </c>
      <c r="N779" s="45">
        <v>3899</v>
      </c>
      <c r="O779" s="45">
        <v>3799</v>
      </c>
      <c r="P779" s="46">
        <v>3699</v>
      </c>
      <c r="Q779" s="46">
        <v>3499</v>
      </c>
      <c r="R779" s="45">
        <v>3799</v>
      </c>
      <c r="S779" s="45">
        <v>3699</v>
      </c>
      <c r="T779" s="45">
        <v>3499</v>
      </c>
      <c r="U779" s="45">
        <v>3499</v>
      </c>
      <c r="V779" s="45">
        <v>3499</v>
      </c>
      <c r="W779" s="45">
        <v>3499</v>
      </c>
      <c r="X779" s="45">
        <v>3399</v>
      </c>
      <c r="Y779" s="45">
        <v>2999</v>
      </c>
      <c r="Z779" s="45">
        <v>2999</v>
      </c>
      <c r="AA779" s="45">
        <v>2999</v>
      </c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7"/>
      <c r="AW779" s="48" t="s">
        <v>65</v>
      </c>
      <c r="AX779" s="51" t="s">
        <v>82</v>
      </c>
    </row>
    <row r="780" spans="1:50" ht="22.5" customHeight="1">
      <c r="A780" s="52" t="s">
        <v>70</v>
      </c>
      <c r="B780" s="41" t="s">
        <v>62</v>
      </c>
      <c r="C780" s="42">
        <v>4017179</v>
      </c>
      <c r="D780" s="44" t="s">
        <v>1033</v>
      </c>
      <c r="E780" s="44" t="s">
        <v>1034</v>
      </c>
      <c r="F780" s="45">
        <v>8499</v>
      </c>
      <c r="G780" s="45">
        <v>6099</v>
      </c>
      <c r="H780" s="45">
        <v>6799</v>
      </c>
      <c r="I780" s="45">
        <v>6799</v>
      </c>
      <c r="J780" s="45">
        <v>6699</v>
      </c>
      <c r="K780" s="45">
        <v>6699</v>
      </c>
      <c r="L780" s="45">
        <v>6699</v>
      </c>
      <c r="M780" s="45">
        <v>6699</v>
      </c>
      <c r="N780" s="45">
        <v>6699</v>
      </c>
      <c r="O780" s="45">
        <v>6599</v>
      </c>
      <c r="P780" s="46">
        <v>6499</v>
      </c>
      <c r="Q780" s="46">
        <v>6199</v>
      </c>
      <c r="R780" s="45">
        <v>6599</v>
      </c>
      <c r="S780" s="45">
        <v>6499</v>
      </c>
      <c r="T780" s="45">
        <v>6199</v>
      </c>
      <c r="U780" s="45">
        <v>6199</v>
      </c>
      <c r="V780" s="45">
        <v>6199</v>
      </c>
      <c r="W780" s="45">
        <v>6199</v>
      </c>
      <c r="X780" s="45">
        <v>6099</v>
      </c>
      <c r="Y780" s="45">
        <v>4499</v>
      </c>
      <c r="Z780" s="45">
        <v>4499</v>
      </c>
      <c r="AA780" s="45">
        <v>4499</v>
      </c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7"/>
      <c r="AW780" s="48" t="s">
        <v>65</v>
      </c>
      <c r="AX780" s="51" t="s">
        <v>82</v>
      </c>
    </row>
    <row r="781" spans="1:50" ht="22.5" customHeight="1">
      <c r="A781" s="52" t="s">
        <v>70</v>
      </c>
      <c r="B781" s="41" t="s">
        <v>62</v>
      </c>
      <c r="C781" s="42">
        <v>4017187</v>
      </c>
      <c r="D781" s="44" t="s">
        <v>1035</v>
      </c>
      <c r="E781" s="44" t="s">
        <v>1036</v>
      </c>
      <c r="F781" s="45">
        <v>9499</v>
      </c>
      <c r="G781" s="45">
        <v>6299</v>
      </c>
      <c r="H781" s="45">
        <v>6999</v>
      </c>
      <c r="I781" s="45">
        <v>6999</v>
      </c>
      <c r="J781" s="45">
        <v>6899</v>
      </c>
      <c r="K781" s="45">
        <v>6899</v>
      </c>
      <c r="L781" s="45">
        <v>6899</v>
      </c>
      <c r="M781" s="45">
        <v>6899</v>
      </c>
      <c r="N781" s="45">
        <v>6899</v>
      </c>
      <c r="O781" s="45">
        <v>6799</v>
      </c>
      <c r="P781" s="46">
        <v>6699</v>
      </c>
      <c r="Q781" s="46">
        <v>6399</v>
      </c>
      <c r="R781" s="45">
        <v>6799</v>
      </c>
      <c r="S781" s="45">
        <v>6699</v>
      </c>
      <c r="T781" s="45">
        <v>6399</v>
      </c>
      <c r="U781" s="45">
        <v>6399</v>
      </c>
      <c r="V781" s="45">
        <v>6399</v>
      </c>
      <c r="W781" s="45">
        <v>6399</v>
      </c>
      <c r="X781" s="45">
        <v>6299</v>
      </c>
      <c r="Y781" s="45">
        <v>4699</v>
      </c>
      <c r="Z781" s="45">
        <v>4699</v>
      </c>
      <c r="AA781" s="45">
        <v>4699</v>
      </c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7"/>
      <c r="AW781" s="48" t="s">
        <v>65</v>
      </c>
      <c r="AX781" s="51" t="s">
        <v>82</v>
      </c>
    </row>
    <row r="782" spans="1:50" ht="22.5" customHeight="1">
      <c r="A782" s="52" t="s">
        <v>70</v>
      </c>
      <c r="B782" s="41" t="s">
        <v>62</v>
      </c>
      <c r="C782" s="42">
        <v>4017183</v>
      </c>
      <c r="D782" s="44" t="s">
        <v>1037</v>
      </c>
      <c r="E782" s="44" t="s">
        <v>1038</v>
      </c>
      <c r="F782" s="45">
        <v>7399</v>
      </c>
      <c r="G782" s="45">
        <v>3899</v>
      </c>
      <c r="H782" s="45">
        <v>4449</v>
      </c>
      <c r="I782" s="45">
        <v>4449</v>
      </c>
      <c r="J782" s="45">
        <v>4399</v>
      </c>
      <c r="K782" s="45">
        <v>4399</v>
      </c>
      <c r="L782" s="45">
        <v>4399</v>
      </c>
      <c r="M782" s="45">
        <v>4399</v>
      </c>
      <c r="N782" s="45">
        <v>4399</v>
      </c>
      <c r="O782" s="45">
        <v>4299</v>
      </c>
      <c r="P782" s="46">
        <v>4199</v>
      </c>
      <c r="Q782" s="46">
        <v>3999</v>
      </c>
      <c r="R782" s="45">
        <v>4299</v>
      </c>
      <c r="S782" s="45">
        <v>4199</v>
      </c>
      <c r="T782" s="45">
        <v>3999</v>
      </c>
      <c r="U782" s="45">
        <v>3999</v>
      </c>
      <c r="V782" s="45">
        <v>3999</v>
      </c>
      <c r="W782" s="45">
        <v>3999</v>
      </c>
      <c r="X782" s="45">
        <v>3899</v>
      </c>
      <c r="Y782" s="45">
        <v>2999</v>
      </c>
      <c r="Z782" s="45">
        <v>2999</v>
      </c>
      <c r="AA782" s="45">
        <v>2999</v>
      </c>
      <c r="AB782" s="45">
        <v>4399</v>
      </c>
      <c r="AC782" s="45">
        <v>4399</v>
      </c>
      <c r="AD782" s="45">
        <v>4399</v>
      </c>
      <c r="AE782" s="45">
        <v>4399</v>
      </c>
      <c r="AF782" s="45">
        <v>4299</v>
      </c>
      <c r="AG782" s="45">
        <v>4199</v>
      </c>
      <c r="AH782" s="45">
        <v>3999</v>
      </c>
      <c r="AI782" s="45">
        <v>3999</v>
      </c>
      <c r="AJ782" s="45">
        <v>3999</v>
      </c>
      <c r="AK782" s="45">
        <v>3999</v>
      </c>
      <c r="AL782" s="45">
        <v>2999</v>
      </c>
      <c r="AM782" s="45"/>
      <c r="AN782" s="45"/>
      <c r="AO782" s="45"/>
      <c r="AP782" s="45"/>
      <c r="AQ782" s="45"/>
      <c r="AR782" s="45"/>
      <c r="AS782" s="45"/>
      <c r="AT782" s="45"/>
      <c r="AU782" s="45"/>
      <c r="AV782" s="47"/>
      <c r="AW782" s="48" t="s">
        <v>65</v>
      </c>
      <c r="AX782" s="51" t="s">
        <v>82</v>
      </c>
    </row>
    <row r="783" spans="1:50" ht="22.5" customHeight="1">
      <c r="A783" s="52" t="s">
        <v>70</v>
      </c>
      <c r="B783" s="41" t="s">
        <v>62</v>
      </c>
      <c r="C783" s="42">
        <v>4016326</v>
      </c>
      <c r="D783" s="44" t="s">
        <v>1039</v>
      </c>
      <c r="E783" s="44" t="s">
        <v>1040</v>
      </c>
      <c r="F783" s="45">
        <v>13799</v>
      </c>
      <c r="G783" s="45">
        <v>6699</v>
      </c>
      <c r="H783" s="45">
        <v>7399</v>
      </c>
      <c r="I783" s="45">
        <v>7399</v>
      </c>
      <c r="J783" s="45">
        <v>7299</v>
      </c>
      <c r="K783" s="45">
        <v>7299</v>
      </c>
      <c r="L783" s="45">
        <v>7299</v>
      </c>
      <c r="M783" s="45">
        <v>7299</v>
      </c>
      <c r="N783" s="45">
        <v>7299</v>
      </c>
      <c r="O783" s="45">
        <v>7199</v>
      </c>
      <c r="P783" s="46">
        <v>7099</v>
      </c>
      <c r="Q783" s="46">
        <v>6799</v>
      </c>
      <c r="R783" s="45">
        <v>7199</v>
      </c>
      <c r="S783" s="45">
        <v>7099</v>
      </c>
      <c r="T783" s="45">
        <v>6799</v>
      </c>
      <c r="U783" s="45">
        <v>6799</v>
      </c>
      <c r="V783" s="45">
        <v>6799</v>
      </c>
      <c r="W783" s="45">
        <v>6799</v>
      </c>
      <c r="X783" s="45">
        <v>6699</v>
      </c>
      <c r="Y783" s="45">
        <v>4999</v>
      </c>
      <c r="Z783" s="45">
        <v>4999</v>
      </c>
      <c r="AA783" s="45">
        <v>4999</v>
      </c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7"/>
      <c r="AW783" s="48" t="s">
        <v>65</v>
      </c>
      <c r="AX783" s="51" t="s">
        <v>82</v>
      </c>
    </row>
    <row r="784" spans="1:50" ht="22.5" customHeight="1">
      <c r="A784" s="52" t="s">
        <v>70</v>
      </c>
      <c r="B784" s="41" t="s">
        <v>62</v>
      </c>
      <c r="C784" s="61">
        <v>4017186</v>
      </c>
      <c r="D784" s="67" t="s">
        <v>1041</v>
      </c>
      <c r="E784" s="67" t="s">
        <v>1042</v>
      </c>
      <c r="F784" s="46">
        <v>14799</v>
      </c>
      <c r="G784" s="46">
        <v>9449</v>
      </c>
      <c r="H784" s="46">
        <v>9899</v>
      </c>
      <c r="I784" s="46">
        <v>9899</v>
      </c>
      <c r="J784" s="46">
        <v>9799</v>
      </c>
      <c r="K784" s="46">
        <v>9799</v>
      </c>
      <c r="L784" s="46">
        <v>9799</v>
      </c>
      <c r="M784" s="46">
        <v>9799</v>
      </c>
      <c r="N784" s="46">
        <v>9799</v>
      </c>
      <c r="O784" s="46">
        <v>9749</v>
      </c>
      <c r="P784" s="46">
        <v>9699</v>
      </c>
      <c r="Q784" s="46">
        <v>9499</v>
      </c>
      <c r="R784" s="46">
        <v>9749</v>
      </c>
      <c r="S784" s="46">
        <v>9699</v>
      </c>
      <c r="T784" s="46">
        <v>9499</v>
      </c>
      <c r="U784" s="46">
        <v>9499</v>
      </c>
      <c r="V784" s="46">
        <v>9499</v>
      </c>
      <c r="W784" s="46">
        <v>9499</v>
      </c>
      <c r="X784" s="46">
        <v>9449</v>
      </c>
      <c r="Y784" s="46">
        <v>7999</v>
      </c>
      <c r="Z784" s="46">
        <v>7999</v>
      </c>
      <c r="AA784" s="46">
        <v>7999</v>
      </c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7"/>
      <c r="AW784" s="48" t="s">
        <v>65</v>
      </c>
      <c r="AX784" s="51" t="s">
        <v>82</v>
      </c>
    </row>
    <row r="785" spans="1:50" ht="22.5" customHeight="1">
      <c r="A785" s="52" t="s">
        <v>70</v>
      </c>
      <c r="B785" s="41" t="s">
        <v>62</v>
      </c>
      <c r="C785" s="68">
        <v>4017191</v>
      </c>
      <c r="D785" s="69" t="s">
        <v>1043</v>
      </c>
      <c r="E785" s="69" t="s">
        <v>1044</v>
      </c>
      <c r="F785" s="46">
        <v>15799</v>
      </c>
      <c r="G785" s="46">
        <v>9449</v>
      </c>
      <c r="H785" s="46">
        <v>9899</v>
      </c>
      <c r="I785" s="46">
        <v>9899</v>
      </c>
      <c r="J785" s="46">
        <v>9799</v>
      </c>
      <c r="K785" s="46">
        <v>9799</v>
      </c>
      <c r="L785" s="46">
        <v>9799</v>
      </c>
      <c r="M785" s="46">
        <v>9799</v>
      </c>
      <c r="N785" s="46">
        <v>9799</v>
      </c>
      <c r="O785" s="46">
        <v>9749</v>
      </c>
      <c r="P785" s="46">
        <v>9699</v>
      </c>
      <c r="Q785" s="46">
        <v>9499</v>
      </c>
      <c r="R785" s="46">
        <v>9749</v>
      </c>
      <c r="S785" s="46">
        <v>9699</v>
      </c>
      <c r="T785" s="46">
        <v>9499</v>
      </c>
      <c r="U785" s="46">
        <v>9499</v>
      </c>
      <c r="V785" s="46">
        <v>9499</v>
      </c>
      <c r="W785" s="46">
        <v>9499</v>
      </c>
      <c r="X785" s="46">
        <v>9449</v>
      </c>
      <c r="Y785" s="46">
        <v>8499</v>
      </c>
      <c r="Z785" s="46">
        <v>8499</v>
      </c>
      <c r="AA785" s="46">
        <v>8499</v>
      </c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7"/>
      <c r="AW785" s="48" t="s">
        <v>65</v>
      </c>
      <c r="AX785" s="51" t="s">
        <v>82</v>
      </c>
    </row>
    <row r="786" spans="1:50" ht="22.5" customHeight="1" thickBot="1">
      <c r="A786" s="70" t="s">
        <v>61</v>
      </c>
      <c r="B786" s="71" t="s">
        <v>62</v>
      </c>
      <c r="C786" s="72">
        <v>4013638</v>
      </c>
      <c r="D786" s="73" t="s">
        <v>1045</v>
      </c>
      <c r="E786" s="73" t="s">
        <v>1046</v>
      </c>
      <c r="F786" s="74">
        <v>341</v>
      </c>
      <c r="G786" s="74">
        <v>141</v>
      </c>
      <c r="H786" s="74">
        <v>341</v>
      </c>
      <c r="I786" s="74">
        <v>341</v>
      </c>
      <c r="J786" s="74">
        <v>99</v>
      </c>
      <c r="K786" s="74">
        <v>99</v>
      </c>
      <c r="L786" s="74">
        <v>99</v>
      </c>
      <c r="M786" s="74">
        <v>99</v>
      </c>
      <c r="N786" s="74">
        <v>99</v>
      </c>
      <c r="O786" s="74">
        <v>99</v>
      </c>
      <c r="P786" s="74">
        <v>99</v>
      </c>
      <c r="Q786" s="74">
        <v>99</v>
      </c>
      <c r="R786" s="74">
        <v>99</v>
      </c>
      <c r="S786" s="74">
        <v>99</v>
      </c>
      <c r="T786" s="74">
        <v>99</v>
      </c>
      <c r="U786" s="74">
        <v>99</v>
      </c>
      <c r="V786" s="74">
        <v>99</v>
      </c>
      <c r="W786" s="74">
        <v>99</v>
      </c>
      <c r="X786" s="74">
        <v>99</v>
      </c>
      <c r="Y786" s="74">
        <v>99</v>
      </c>
      <c r="Z786" s="74">
        <v>99</v>
      </c>
      <c r="AA786" s="74">
        <v>99</v>
      </c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>
        <v>199</v>
      </c>
      <c r="AN786" s="74">
        <v>159</v>
      </c>
      <c r="AO786" s="74">
        <v>129</v>
      </c>
      <c r="AP786" s="74"/>
      <c r="AQ786" s="74"/>
      <c r="AR786" s="74"/>
      <c r="AS786" s="74"/>
      <c r="AT786" s="74"/>
      <c r="AU786" s="74"/>
      <c r="AW786" s="75" t="s">
        <v>65</v>
      </c>
      <c r="AX786" s="76" t="s">
        <v>1047</v>
      </c>
    </row>
    <row r="787" spans="1:50" ht="22.5" customHeight="1">
      <c r="A787" s="77" t="s">
        <v>61</v>
      </c>
      <c r="B787" s="78" t="s">
        <v>62</v>
      </c>
      <c r="C787" s="42">
        <v>4011530</v>
      </c>
      <c r="D787" s="43" t="s">
        <v>1048</v>
      </c>
      <c r="E787" s="44" t="s">
        <v>1049</v>
      </c>
      <c r="F787" s="45">
        <v>19</v>
      </c>
      <c r="G787" s="45">
        <v>9</v>
      </c>
      <c r="H787" s="45">
        <v>9</v>
      </c>
      <c r="I787" s="45">
        <v>9</v>
      </c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79"/>
      <c r="AW787" s="80" t="s">
        <v>65</v>
      </c>
      <c r="AX787" s="81" t="s">
        <v>66</v>
      </c>
    </row>
    <row r="788" spans="1:50" ht="22.5" customHeight="1">
      <c r="A788" s="50" t="s">
        <v>61</v>
      </c>
      <c r="B788" s="41" t="s">
        <v>62</v>
      </c>
      <c r="C788" s="61">
        <v>4013131</v>
      </c>
      <c r="D788" s="67" t="s">
        <v>1050</v>
      </c>
      <c r="E788" s="67" t="s">
        <v>1051</v>
      </c>
      <c r="F788" s="82">
        <v>349</v>
      </c>
      <c r="G788" s="83">
        <v>299</v>
      </c>
      <c r="H788" s="55">
        <v>299</v>
      </c>
      <c r="I788" s="45">
        <v>299</v>
      </c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>
        <v>199</v>
      </c>
      <c r="AN788" s="45">
        <v>159</v>
      </c>
      <c r="AO788" s="45">
        <v>129</v>
      </c>
      <c r="AP788" s="45"/>
      <c r="AQ788" s="45"/>
      <c r="AR788" s="45"/>
      <c r="AS788" s="45"/>
      <c r="AT788" s="45"/>
      <c r="AU788" s="45"/>
      <c r="AW788" s="48" t="s">
        <v>65</v>
      </c>
      <c r="AX788" s="51" t="s">
        <v>1047</v>
      </c>
    </row>
    <row r="789" spans="1:50" ht="22.5" customHeight="1">
      <c r="A789" s="50" t="s">
        <v>61</v>
      </c>
      <c r="B789" s="41" t="s">
        <v>62</v>
      </c>
      <c r="C789" s="61">
        <v>4013033</v>
      </c>
      <c r="D789" s="67" t="s">
        <v>1052</v>
      </c>
      <c r="E789" s="67" t="s">
        <v>1053</v>
      </c>
      <c r="F789" s="82">
        <v>299</v>
      </c>
      <c r="G789" s="84">
        <v>299</v>
      </c>
      <c r="H789" s="55">
        <v>299</v>
      </c>
      <c r="I789" s="45">
        <v>299</v>
      </c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>
        <v>199</v>
      </c>
      <c r="AN789" s="45">
        <v>159</v>
      </c>
      <c r="AO789" s="45">
        <v>129</v>
      </c>
      <c r="AP789" s="45"/>
      <c r="AQ789" s="45"/>
      <c r="AR789" s="45"/>
      <c r="AS789" s="45"/>
      <c r="AT789" s="45"/>
      <c r="AU789" s="45"/>
      <c r="AW789" s="48" t="s">
        <v>65</v>
      </c>
      <c r="AX789" s="51" t="s">
        <v>66</v>
      </c>
    </row>
    <row r="790" spans="1:50" ht="22.5" customHeight="1">
      <c r="A790" s="50" t="s">
        <v>61</v>
      </c>
      <c r="B790" s="41" t="s">
        <v>62</v>
      </c>
      <c r="C790" s="44">
        <v>4008826</v>
      </c>
      <c r="D790" s="85" t="s">
        <v>1054</v>
      </c>
      <c r="E790" s="62" t="s">
        <v>1055</v>
      </c>
      <c r="F790" s="45">
        <v>49</v>
      </c>
      <c r="G790" s="45">
        <v>49</v>
      </c>
      <c r="H790" s="45">
        <v>49</v>
      </c>
      <c r="I790" s="45">
        <v>49</v>
      </c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W790" s="86" t="s">
        <v>65</v>
      </c>
      <c r="AX790" s="51" t="s">
        <v>1047</v>
      </c>
    </row>
    <row r="791" spans="1:50" ht="22.5" customHeight="1">
      <c r="A791" s="50" t="s">
        <v>61</v>
      </c>
      <c r="B791" s="41" t="s">
        <v>62</v>
      </c>
      <c r="C791" s="67">
        <v>4008605</v>
      </c>
      <c r="D791" s="64" t="s">
        <v>1054</v>
      </c>
      <c r="E791" s="87" t="s">
        <v>1056</v>
      </c>
      <c r="F791" s="46">
        <v>49</v>
      </c>
      <c r="G791" s="45">
        <v>49</v>
      </c>
      <c r="H791" s="45">
        <v>49</v>
      </c>
      <c r="I791" s="45">
        <v>49</v>
      </c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W791" s="86" t="s">
        <v>65</v>
      </c>
      <c r="AX791" s="51" t="s">
        <v>1047</v>
      </c>
    </row>
    <row r="792" spans="1:50" ht="22.5" customHeight="1">
      <c r="A792" s="50" t="s">
        <v>61</v>
      </c>
      <c r="B792" s="41" t="s">
        <v>62</v>
      </c>
      <c r="C792" s="61">
        <v>4008182</v>
      </c>
      <c r="D792" s="88" t="s">
        <v>1057</v>
      </c>
      <c r="E792" s="89" t="s">
        <v>1058</v>
      </c>
      <c r="F792" s="90">
        <v>299</v>
      </c>
      <c r="G792" s="45">
        <v>299</v>
      </c>
      <c r="H792" s="45">
        <v>299</v>
      </c>
      <c r="I792" s="45">
        <v>299</v>
      </c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W792" s="91" t="s">
        <v>65</v>
      </c>
      <c r="AX792" s="51" t="s">
        <v>66</v>
      </c>
    </row>
    <row r="793" spans="1:50" ht="22.5" customHeight="1">
      <c r="A793" s="50" t="s">
        <v>61</v>
      </c>
      <c r="B793" s="41" t="s">
        <v>62</v>
      </c>
      <c r="C793" s="61">
        <v>4008903</v>
      </c>
      <c r="D793" s="92" t="s">
        <v>1059</v>
      </c>
      <c r="E793" s="67" t="s">
        <v>1060</v>
      </c>
      <c r="F793" s="46">
        <v>299</v>
      </c>
      <c r="G793" s="45">
        <v>299</v>
      </c>
      <c r="H793" s="45">
        <v>299</v>
      </c>
      <c r="I793" s="45">
        <v>299</v>
      </c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W793" s="86" t="s">
        <v>65</v>
      </c>
      <c r="AX793" s="51" t="s">
        <v>66</v>
      </c>
    </row>
    <row r="794" spans="1:50" ht="22.5" customHeight="1" thickBot="1">
      <c r="A794" s="70" t="s">
        <v>61</v>
      </c>
      <c r="B794" s="71" t="s">
        <v>62</v>
      </c>
      <c r="C794" s="72">
        <v>4011551</v>
      </c>
      <c r="D794" s="73" t="s">
        <v>1061</v>
      </c>
      <c r="E794" s="93" t="s">
        <v>1062</v>
      </c>
      <c r="F794" s="94">
        <v>329</v>
      </c>
      <c r="G794" s="94">
        <v>329</v>
      </c>
      <c r="H794" s="94">
        <v>329</v>
      </c>
      <c r="I794" s="94">
        <v>329</v>
      </c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W794" s="95" t="s">
        <v>65</v>
      </c>
      <c r="AX794" s="76" t="s">
        <v>66</v>
      </c>
    </row>
    <row r="795" spans="1:50" ht="23" customHeight="1">
      <c r="A795" s="50" t="s">
        <v>61</v>
      </c>
      <c r="B795" s="41" t="s">
        <v>62</v>
      </c>
      <c r="C795" s="44">
        <v>4011550</v>
      </c>
      <c r="D795" s="85" t="s">
        <v>1063</v>
      </c>
      <c r="E795" s="44" t="s">
        <v>1063</v>
      </c>
      <c r="F795" s="45">
        <v>575</v>
      </c>
      <c r="G795" s="45">
        <v>299</v>
      </c>
      <c r="H795" s="45">
        <v>575</v>
      </c>
      <c r="I795" s="45">
        <v>575</v>
      </c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>
        <v>575</v>
      </c>
      <c r="AQ795" s="45">
        <v>575</v>
      </c>
      <c r="AR795" s="45">
        <v>575</v>
      </c>
      <c r="AS795" s="96">
        <v>199</v>
      </c>
      <c r="AT795" s="96">
        <v>159</v>
      </c>
      <c r="AU795" s="97">
        <v>99.9</v>
      </c>
      <c r="AW795" s="48" t="s">
        <v>65</v>
      </c>
      <c r="AX795" s="51" t="s">
        <v>66</v>
      </c>
    </row>
    <row r="796" spans="1:50" ht="23" customHeight="1">
      <c r="A796" s="50" t="s">
        <v>61</v>
      </c>
      <c r="B796" s="41" t="s">
        <v>62</v>
      </c>
      <c r="C796" s="61">
        <v>4012041</v>
      </c>
      <c r="D796" s="65" t="s">
        <v>1064</v>
      </c>
      <c r="E796" s="44" t="s">
        <v>1064</v>
      </c>
      <c r="F796" s="45">
        <v>575</v>
      </c>
      <c r="G796" s="45">
        <v>299</v>
      </c>
      <c r="H796" s="45">
        <v>575</v>
      </c>
      <c r="I796" s="45">
        <v>575</v>
      </c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>
        <v>575</v>
      </c>
      <c r="AQ796" s="45">
        <v>575</v>
      </c>
      <c r="AR796" s="45">
        <v>575</v>
      </c>
      <c r="AS796" s="96">
        <v>199</v>
      </c>
      <c r="AT796" s="96">
        <v>159</v>
      </c>
      <c r="AU796" s="97">
        <v>99.9</v>
      </c>
      <c r="AW796" s="48" t="s">
        <v>65</v>
      </c>
      <c r="AX796" s="51" t="s">
        <v>66</v>
      </c>
    </row>
    <row r="797" spans="1:50" ht="23" customHeight="1">
      <c r="A797" s="50" t="s">
        <v>61</v>
      </c>
      <c r="B797" s="41" t="s">
        <v>62</v>
      </c>
      <c r="C797" s="42">
        <v>4012242</v>
      </c>
      <c r="D797" s="65" t="s">
        <v>1065</v>
      </c>
      <c r="E797" s="44" t="s">
        <v>1065</v>
      </c>
      <c r="F797" s="45">
        <v>575</v>
      </c>
      <c r="G797" s="45">
        <v>299</v>
      </c>
      <c r="H797" s="45">
        <v>575</v>
      </c>
      <c r="I797" s="45">
        <v>575</v>
      </c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>
        <v>575</v>
      </c>
      <c r="AQ797" s="45">
        <v>575</v>
      </c>
      <c r="AR797" s="45">
        <v>575</v>
      </c>
      <c r="AS797" s="96">
        <v>199</v>
      </c>
      <c r="AT797" s="96">
        <v>159</v>
      </c>
      <c r="AU797" s="97">
        <v>99.9</v>
      </c>
      <c r="AW797" s="48" t="s">
        <v>65</v>
      </c>
      <c r="AX797" s="51" t="s">
        <v>66</v>
      </c>
    </row>
    <row r="798" spans="1:50" ht="23" customHeight="1">
      <c r="A798" s="50" t="s">
        <v>61</v>
      </c>
      <c r="B798" s="41" t="s">
        <v>62</v>
      </c>
      <c r="C798" s="42">
        <v>4012590</v>
      </c>
      <c r="D798" s="65" t="s">
        <v>1066</v>
      </c>
      <c r="E798" s="44" t="s">
        <v>1066</v>
      </c>
      <c r="F798" s="45">
        <v>575</v>
      </c>
      <c r="G798" s="45">
        <v>299</v>
      </c>
      <c r="H798" s="45">
        <v>575</v>
      </c>
      <c r="I798" s="45">
        <v>575</v>
      </c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>
        <v>575</v>
      </c>
      <c r="AQ798" s="45">
        <v>575</v>
      </c>
      <c r="AR798" s="45">
        <v>575</v>
      </c>
      <c r="AS798" s="96">
        <v>199</v>
      </c>
      <c r="AT798" s="96">
        <v>159</v>
      </c>
      <c r="AU798" s="97">
        <v>99.9</v>
      </c>
      <c r="AW798" s="48" t="s">
        <v>65</v>
      </c>
      <c r="AX798" s="51" t="s">
        <v>66</v>
      </c>
    </row>
    <row r="799" spans="1:50" ht="23" customHeight="1">
      <c r="A799" s="50" t="s">
        <v>61</v>
      </c>
      <c r="B799" s="41" t="s">
        <v>62</v>
      </c>
      <c r="C799" s="42">
        <v>4012681</v>
      </c>
      <c r="D799" s="65" t="s">
        <v>1067</v>
      </c>
      <c r="E799" s="44" t="s">
        <v>1067</v>
      </c>
      <c r="F799" s="45">
        <v>575</v>
      </c>
      <c r="G799" s="45">
        <v>299</v>
      </c>
      <c r="H799" s="45">
        <v>575</v>
      </c>
      <c r="I799" s="45">
        <v>575</v>
      </c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>
        <v>575</v>
      </c>
      <c r="AQ799" s="45">
        <v>575</v>
      </c>
      <c r="AR799" s="45">
        <v>575</v>
      </c>
      <c r="AS799" s="96">
        <v>199</v>
      </c>
      <c r="AT799" s="96">
        <v>159</v>
      </c>
      <c r="AU799" s="97">
        <v>99.9</v>
      </c>
      <c r="AW799" s="48" t="s">
        <v>65</v>
      </c>
      <c r="AX799" s="51" t="s">
        <v>66</v>
      </c>
    </row>
    <row r="800" spans="1:50" ht="23" customHeight="1" thickBot="1">
      <c r="A800" s="70" t="s">
        <v>61</v>
      </c>
      <c r="B800" s="71" t="s">
        <v>62</v>
      </c>
      <c r="C800" s="72">
        <v>4012680</v>
      </c>
      <c r="D800" s="98" t="s">
        <v>1068</v>
      </c>
      <c r="E800" s="93" t="s">
        <v>1068</v>
      </c>
      <c r="F800" s="94">
        <v>575</v>
      </c>
      <c r="G800" s="94">
        <v>299</v>
      </c>
      <c r="H800" s="94">
        <v>575</v>
      </c>
      <c r="I800" s="94">
        <v>575</v>
      </c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>
        <v>575</v>
      </c>
      <c r="AQ800" s="94">
        <v>575</v>
      </c>
      <c r="AR800" s="94">
        <v>575</v>
      </c>
      <c r="AS800" s="99">
        <v>199</v>
      </c>
      <c r="AT800" s="99">
        <v>159</v>
      </c>
      <c r="AU800" s="100">
        <v>99.9</v>
      </c>
      <c r="AW800" s="75" t="s">
        <v>65</v>
      </c>
      <c r="AX800" s="101" t="s">
        <v>66</v>
      </c>
    </row>
    <row r="803" spans="3:36" ht="15.5">
      <c r="C803" s="102"/>
      <c r="F803" s="102"/>
      <c r="I803" s="102"/>
      <c r="L803" s="102"/>
      <c r="O803" s="102"/>
      <c r="R803" s="102"/>
      <c r="U803" s="102"/>
      <c r="X803" s="102"/>
      <c r="AA803" s="102"/>
      <c r="AD803" s="102"/>
      <c r="AG803" s="102"/>
      <c r="AJ803" s="102"/>
    </row>
  </sheetData>
  <autoFilter ref="A12:AY800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790:G794 G13:G16">
    <cfRule type="cellIs" dxfId="105" priority="77" operator="lessThan">
      <formula>F13</formula>
    </cfRule>
  </conditionalFormatting>
  <conditionalFormatting sqref="G790:G794">
    <cfRule type="cellIs" dxfId="104" priority="75" operator="equal">
      <formula>0</formula>
    </cfRule>
  </conditionalFormatting>
  <conditionalFormatting sqref="H558:H561 AV573:AV785">
    <cfRule type="expression" dxfId="103" priority="63" stopIfTrue="1">
      <formula>#REF!&lt;&gt;#REF!</formula>
    </cfRule>
  </conditionalFormatting>
  <conditionalFormatting sqref="H26:I33">
    <cfRule type="cellIs" dxfId="102" priority="59" operator="greaterThan">
      <formula>$G26</formula>
    </cfRule>
    <cfRule type="cellIs" dxfId="101" priority="58" operator="lessThan">
      <formula>$G26</formula>
    </cfRule>
    <cfRule type="cellIs" dxfId="100" priority="57" operator="equal">
      <formula>$G26</formula>
    </cfRule>
  </conditionalFormatting>
  <conditionalFormatting sqref="H388:I391">
    <cfRule type="expression" dxfId="99" priority="76" stopIfTrue="1">
      <formula>#REF!&lt;&gt;#REF!</formula>
    </cfRule>
  </conditionalFormatting>
  <conditionalFormatting sqref="H461:I466">
    <cfRule type="expression" dxfId="98" priority="61" stopIfTrue="1">
      <formula>#REF!&lt;&gt;#REF!</formula>
    </cfRule>
  </conditionalFormatting>
  <conditionalFormatting sqref="H557:I564">
    <cfRule type="expression" dxfId="97" priority="35" stopIfTrue="1">
      <formula>#REF!&lt;&gt;#REF!</formula>
    </cfRule>
  </conditionalFormatting>
  <conditionalFormatting sqref="H604:I616">
    <cfRule type="cellIs" dxfId="96" priority="48" operator="greaterThan">
      <formula>$G604</formula>
    </cfRule>
    <cfRule type="cellIs" dxfId="95" priority="47" operator="lessThan">
      <formula>$G604</formula>
    </cfRule>
    <cfRule type="cellIs" dxfId="94" priority="46" operator="equal">
      <formula>$G604</formula>
    </cfRule>
  </conditionalFormatting>
  <conditionalFormatting sqref="H786:I786">
    <cfRule type="expression" dxfId="93" priority="4" stopIfTrue="1">
      <formula>#REF!&lt;&gt;#REF!</formula>
    </cfRule>
  </conditionalFormatting>
  <conditionalFormatting sqref="H277:N279">
    <cfRule type="expression" dxfId="92" priority="21" stopIfTrue="1">
      <formula>#REF!&lt;&gt;#REF!</formula>
    </cfRule>
  </conditionalFormatting>
  <conditionalFormatting sqref="H291:N292">
    <cfRule type="expression" dxfId="91" priority="13" stopIfTrue="1">
      <formula>#REF!&lt;&gt;#REF!</formula>
    </cfRule>
  </conditionalFormatting>
  <conditionalFormatting sqref="H25:Q42 R17:AL33 R34:S42 U34:AL42 H43:AL219 H220:I220 J240:O253 R240:AL253 H326:O331 R326:AL331 P377:P387 P388:Q576 J573:O576 Y573:AL576 H573:I584 R574:X576 J577:Q590 R585:AL590 H591:AL743 H17:P24">
    <cfRule type="cellIs" dxfId="90" priority="62" operator="greaterThan">
      <formula>$G17</formula>
    </cfRule>
  </conditionalFormatting>
  <conditionalFormatting sqref="H17:AL24">
    <cfRule type="cellIs" dxfId="89" priority="6" operator="equal">
      <formula>$G17</formula>
    </cfRule>
    <cfRule type="cellIs" dxfId="88" priority="8" operator="lessThan">
      <formula>$G17</formula>
    </cfRule>
  </conditionalFormatting>
  <conditionalFormatting sqref="H25:AL219 H220:I220 J240:O253 R240:AL253 H326:O331 R326:AL331 P377:P387 P388:Q576 J573:O576 Y573:AL576 H573:I584 R574:X576 J577:Q590 R585:AL590 H591:AL743 P221:Q376">
    <cfRule type="cellIs" dxfId="87" priority="56" operator="lessThan">
      <formula>$G25</formula>
    </cfRule>
  </conditionalFormatting>
  <conditionalFormatting sqref="H25:AL219 R574:AL576 H591:AL743 J585:AL590 R240:AL253 J573:O576 P388:Q576 H220:I220 J240:O253 H326:O331 R326:AL331 P377:P387 H573:I584 J577:Q584 P221:Q376">
    <cfRule type="cellIs" dxfId="86" priority="55" operator="equal">
      <formula>$G25</formula>
    </cfRule>
  </conditionalFormatting>
  <conditionalFormatting sqref="H744:AL785">
    <cfRule type="cellIs" dxfId="85" priority="1" operator="equal">
      <formula>$G744</formula>
    </cfRule>
    <cfRule type="cellIs" dxfId="84" priority="2" operator="lessThan">
      <formula>$G744</formula>
    </cfRule>
    <cfRule type="cellIs" dxfId="83" priority="3" operator="greaterThan">
      <formula>$G744</formula>
    </cfRule>
  </conditionalFormatting>
  <conditionalFormatting sqref="I561:I564">
    <cfRule type="expression" dxfId="82" priority="60" stopIfTrue="1">
      <formula>#REF!&lt;&gt;#REF!</formula>
    </cfRule>
  </conditionalFormatting>
  <conditionalFormatting sqref="I26:O33">
    <cfRule type="cellIs" dxfId="81" priority="18" operator="equal">
      <formula>$G26</formula>
    </cfRule>
    <cfRule type="cellIs" dxfId="80" priority="19" operator="lessThan">
      <formula>$G26</formula>
    </cfRule>
    <cfRule type="cellIs" dxfId="79" priority="20" operator="greaterThan">
      <formula>$G26</formula>
    </cfRule>
  </conditionalFormatting>
  <conditionalFormatting sqref="J26:L33">
    <cfRule type="cellIs" dxfId="78" priority="15" operator="equal">
      <formula>$G26</formula>
    </cfRule>
    <cfRule type="cellIs" dxfId="77" priority="16" operator="lessThan">
      <formula>$G26</formula>
    </cfRule>
    <cfRule type="cellIs" dxfId="76" priority="17" operator="greaterThan">
      <formula>$G26</formula>
    </cfRule>
  </conditionalFormatting>
  <conditionalFormatting sqref="J573:L576">
    <cfRule type="cellIs" dxfId="75" priority="22" operator="lessThan">
      <formula>$G573</formula>
    </cfRule>
    <cfRule type="cellIs" dxfId="74" priority="23" operator="greaterThan">
      <formula>$G573</formula>
    </cfRule>
  </conditionalFormatting>
  <conditionalFormatting sqref="J388:N414 H486:I527 H565:N568 F786:F791">
    <cfRule type="expression" dxfId="73" priority="64" stopIfTrue="1">
      <formula>#REF!&lt;&gt;#REF!</formula>
    </cfRule>
  </conditionalFormatting>
  <conditionalFormatting sqref="J496:N564 F795:G800">
    <cfRule type="expression" dxfId="72" priority="5" stopIfTrue="1">
      <formula>#REF!&lt;&gt;#REF!</formula>
    </cfRule>
  </conditionalFormatting>
  <conditionalFormatting sqref="J414:AL419 J420:N462 O424:AL433">
    <cfRule type="expression" dxfId="71" priority="14" stopIfTrue="1">
      <formula>#REF!&lt;&gt;#REF!</formula>
    </cfRule>
  </conditionalFormatting>
  <conditionalFormatting sqref="K70:L74">
    <cfRule type="cellIs" dxfId="70" priority="9" operator="equal">
      <formula>$G70</formula>
    </cfRule>
    <cfRule type="cellIs" dxfId="69" priority="11" operator="greaterThan">
      <formula>$G70</formula>
    </cfRule>
    <cfRule type="cellIs" dxfId="68" priority="10" operator="lessThan">
      <formula>$G70</formula>
    </cfRule>
  </conditionalFormatting>
  <conditionalFormatting sqref="M26:N33">
    <cfRule type="cellIs" dxfId="67" priority="53" operator="lessThan">
      <formula>$G26</formula>
    </cfRule>
    <cfRule type="cellIs" dxfId="66" priority="54" operator="greaterThan">
      <formula>$G26</formula>
    </cfRule>
    <cfRule type="cellIs" dxfId="65" priority="52" operator="equal">
      <formula>$G26</formula>
    </cfRule>
  </conditionalFormatting>
  <conditionalFormatting sqref="O573:O576">
    <cfRule type="cellIs" dxfId="64" priority="32" operator="greaterThan">
      <formula>$G573</formula>
    </cfRule>
    <cfRule type="cellIs" dxfId="63" priority="30" operator="equal">
      <formula>$G573</formula>
    </cfRule>
    <cfRule type="cellIs" dxfId="62" priority="31" operator="lessThan">
      <formula>$G573</formula>
    </cfRule>
  </conditionalFormatting>
  <conditionalFormatting sqref="O574:O576">
    <cfRule type="cellIs" dxfId="61" priority="28" operator="lessThan">
      <formula>$G574</formula>
    </cfRule>
    <cfRule type="cellIs" dxfId="60" priority="26" operator="greaterThan">
      <formula>$G574</formula>
    </cfRule>
    <cfRule type="cellIs" dxfId="59" priority="27" operator="equal">
      <formula>$G574</formula>
    </cfRule>
    <cfRule type="cellIs" dxfId="58" priority="29" operator="greaterThan">
      <formula>$G574</formula>
    </cfRule>
    <cfRule type="cellIs" dxfId="57" priority="24" operator="equal">
      <formula>$G574</formula>
    </cfRule>
    <cfRule type="cellIs" dxfId="56" priority="25" operator="lessThan">
      <formula>$G574</formula>
    </cfRule>
  </conditionalFormatting>
  <conditionalFormatting sqref="H611:I616 P221:Q376">
    <cfRule type="cellIs" dxfId="55" priority="45" operator="greaterThan">
      <formula>$G221</formula>
    </cfRule>
  </conditionalFormatting>
  <conditionalFormatting sqref="Q17:Q24">
    <cfRule type="cellIs" dxfId="54" priority="7" operator="greaterThan">
      <formula>$G17</formula>
    </cfRule>
  </conditionalFormatting>
  <conditionalFormatting sqref="R573:R576">
    <cfRule type="cellIs" dxfId="53" priority="71" operator="equal">
      <formula>$G573</formula>
    </cfRule>
    <cfRule type="cellIs" dxfId="52" priority="69" operator="lessThan">
      <formula>$G573</formula>
    </cfRule>
    <cfRule type="cellIs" dxfId="51" priority="70" operator="greaterThan">
      <formula>$G573</formula>
    </cfRule>
    <cfRule type="cellIs" dxfId="50" priority="68" operator="equal">
      <formula>$G573</formula>
    </cfRule>
    <cfRule type="cellIs" dxfId="49" priority="72" operator="lessThan">
      <formula>$G573</formula>
    </cfRule>
    <cfRule type="cellIs" dxfId="48" priority="73" operator="greaterThan">
      <formula>$G573</formula>
    </cfRule>
  </conditionalFormatting>
  <conditionalFormatting sqref="R574:R576">
    <cfRule type="cellIs" dxfId="47" priority="66" operator="lessThan">
      <formula>$G574</formula>
    </cfRule>
    <cfRule type="cellIs" dxfId="46" priority="67" operator="greaterThan">
      <formula>$G574</formula>
    </cfRule>
    <cfRule type="cellIs" dxfId="45" priority="65" operator="equal">
      <formula>$G574</formula>
    </cfRule>
  </conditionalFormatting>
  <conditionalFormatting sqref="R577:X590">
    <cfRule type="cellIs" dxfId="44" priority="40" operator="lessThan">
      <formula>$G577</formula>
    </cfRule>
    <cfRule type="cellIs" dxfId="43" priority="41" operator="greaterThan">
      <formula>$G577</formula>
    </cfRule>
    <cfRule type="cellIs" dxfId="42" priority="39" operator="equal">
      <formula>$G577</formula>
    </cfRule>
  </conditionalFormatting>
  <conditionalFormatting sqref="R242:AL242">
    <cfRule type="cellIs" dxfId="41" priority="33" operator="equal">
      <formula>$G242</formula>
    </cfRule>
    <cfRule type="cellIs" dxfId="40" priority="34" operator="lessThan">
      <formula>$G242</formula>
    </cfRule>
  </conditionalFormatting>
  <conditionalFormatting sqref="S577:W590">
    <cfRule type="cellIs" dxfId="39" priority="38" operator="greaterThan">
      <formula>$G577</formula>
    </cfRule>
    <cfRule type="cellIs" dxfId="38" priority="37" operator="lessThan">
      <formula>$G577</formula>
    </cfRule>
    <cfRule type="cellIs" dxfId="37" priority="36" operator="equal">
      <formula>$G577</formula>
    </cfRule>
  </conditionalFormatting>
  <conditionalFormatting sqref="S573:X576">
    <cfRule type="cellIs" dxfId="36" priority="51" operator="greaterThan">
      <formula>$G573</formula>
    </cfRule>
    <cfRule type="cellIs" dxfId="35" priority="50" operator="lessThan">
      <formula>$G573</formula>
    </cfRule>
  </conditionalFormatting>
  <conditionalFormatting sqref="S573:AL576">
    <cfRule type="cellIs" dxfId="34" priority="49" operator="equal">
      <formula>$G573</formula>
    </cfRule>
  </conditionalFormatting>
  <conditionalFormatting sqref="T34:T42">
    <cfRule type="cellIs" dxfId="33" priority="12" operator="greaterThan">
      <formula>$G34</formula>
    </cfRule>
  </conditionalFormatting>
  <conditionalFormatting sqref="X577:AL590">
    <cfRule type="cellIs" dxfId="32" priority="42" operator="equal">
      <formula>$G577</formula>
    </cfRule>
    <cfRule type="cellIs" dxfId="31" priority="43" operator="lessThan">
      <formula>$G577</formula>
    </cfRule>
    <cfRule type="cellIs" dxfId="30" priority="44" operator="greaterThan">
      <formula>$G577</formula>
    </cfRule>
  </conditionalFormatting>
  <conditionalFormatting sqref="AW790:AW791">
    <cfRule type="expression" dxfId="29" priority="74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4AC-E116-4D33-BC77-6D063130903B}">
  <dimension ref="B1:AN604"/>
  <sheetViews>
    <sheetView showGridLines="0" zoomScale="84" zoomScaleNormal="80" workbookViewId="0">
      <pane xSplit="5" ySplit="7" topLeftCell="F12" activePane="bottomRight" state="frozen"/>
      <selection activeCell="H771" sqref="H771:H772"/>
      <selection pane="topRight" activeCell="H771" sqref="H771:H772"/>
      <selection pane="bottomLeft" activeCell="H771" sqref="H771:H772"/>
      <selection pane="bottomRight" activeCell="H771" sqref="H771:H772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52.1796875" customWidth="1"/>
    <col min="5" max="5" width="57.36328125" bestFit="1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31" width="11.90625" customWidth="1"/>
    <col min="32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3" t="s">
        <v>1069</v>
      </c>
    </row>
    <row r="3" spans="2:40">
      <c r="B3" t="s">
        <v>5</v>
      </c>
      <c r="C3" t="s">
        <v>6</v>
      </c>
    </row>
    <row r="4" spans="2:40">
      <c r="B4" s="104" t="s">
        <v>1070</v>
      </c>
    </row>
    <row r="5" spans="2:40">
      <c r="B5" s="105" t="s">
        <v>1071</v>
      </c>
    </row>
    <row r="6" spans="2:40" ht="16" thickBot="1">
      <c r="C6" t="s">
        <v>7</v>
      </c>
      <c r="D6" s="21">
        <f>REV!D11</f>
        <v>46092</v>
      </c>
      <c r="AB6" s="209" t="s">
        <v>9</v>
      </c>
      <c r="AC6" s="209"/>
      <c r="AD6" s="209"/>
      <c r="AE6" s="209"/>
      <c r="AF6" s="209"/>
      <c r="AG6" s="209"/>
      <c r="AH6" s="209"/>
      <c r="AI6" s="209"/>
      <c r="AJ6" s="209"/>
      <c r="AK6" s="209"/>
      <c r="AL6" s="209"/>
    </row>
    <row r="7" spans="2:40" ht="93.5" thickBot="1">
      <c r="B7" s="106" t="s">
        <v>13</v>
      </c>
      <c r="C7" s="106" t="s">
        <v>14</v>
      </c>
      <c r="D7" s="107" t="s">
        <v>15</v>
      </c>
      <c r="E7" s="108" t="s">
        <v>16</v>
      </c>
      <c r="F7" s="25" t="s">
        <v>17</v>
      </c>
      <c r="G7" s="26" t="s">
        <v>18</v>
      </c>
      <c r="H7" s="27" t="s">
        <v>19</v>
      </c>
      <c r="I7" s="28" t="s">
        <v>20</v>
      </c>
      <c r="J7" s="29" t="s">
        <v>21</v>
      </c>
      <c r="K7" s="29" t="s">
        <v>22</v>
      </c>
      <c r="L7" s="29" t="s">
        <v>23</v>
      </c>
      <c r="M7" s="109" t="s">
        <v>24</v>
      </c>
      <c r="N7" s="110" t="s">
        <v>25</v>
      </c>
      <c r="O7" s="30" t="s">
        <v>26</v>
      </c>
      <c r="P7" s="30" t="s">
        <v>27</v>
      </c>
      <c r="Q7" s="30" t="s">
        <v>28</v>
      </c>
      <c r="R7" s="111" t="s">
        <v>29</v>
      </c>
      <c r="S7" s="111" t="s">
        <v>30</v>
      </c>
      <c r="T7" s="111" t="s">
        <v>31</v>
      </c>
      <c r="U7" s="111" t="s">
        <v>32</v>
      </c>
      <c r="V7" s="31" t="s">
        <v>33</v>
      </c>
      <c r="W7" s="31" t="s">
        <v>34</v>
      </c>
      <c r="X7" s="31" t="s">
        <v>35</v>
      </c>
      <c r="Y7" s="31" t="s">
        <v>36</v>
      </c>
      <c r="Z7" s="31" t="s">
        <v>37</v>
      </c>
      <c r="AA7" s="31" t="s">
        <v>38</v>
      </c>
      <c r="AB7" s="32" t="s">
        <v>39</v>
      </c>
      <c r="AC7" s="32" t="s">
        <v>40</v>
      </c>
      <c r="AD7" s="32" t="s">
        <v>41</v>
      </c>
      <c r="AE7" s="32" t="s">
        <v>42</v>
      </c>
      <c r="AF7" s="32" t="s">
        <v>43</v>
      </c>
      <c r="AG7" s="32" t="s">
        <v>44</v>
      </c>
      <c r="AH7" s="32" t="s">
        <v>45</v>
      </c>
      <c r="AI7" s="32" t="s">
        <v>46</v>
      </c>
      <c r="AJ7" s="32" t="s">
        <v>47</v>
      </c>
      <c r="AK7" s="32" t="s">
        <v>48</v>
      </c>
      <c r="AL7" s="32" t="s">
        <v>49</v>
      </c>
      <c r="AM7" s="112" t="s">
        <v>59</v>
      </c>
      <c r="AN7" s="39"/>
    </row>
    <row r="8" spans="2:40" ht="15.5">
      <c r="B8" s="113" t="s">
        <v>1072</v>
      </c>
      <c r="C8" s="114">
        <v>4014927</v>
      </c>
      <c r="D8" s="115" t="s">
        <v>1073</v>
      </c>
      <c r="E8" s="115" t="s">
        <v>1074</v>
      </c>
      <c r="F8" s="116">
        <v>199</v>
      </c>
      <c r="G8" s="116">
        <v>199</v>
      </c>
      <c r="H8" s="116"/>
      <c r="I8" s="116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8"/>
      <c r="W8" s="118"/>
      <c r="X8" s="118"/>
      <c r="Y8" s="118"/>
      <c r="Z8" s="118"/>
      <c r="AA8" s="118"/>
      <c r="AB8" s="118">
        <v>169</v>
      </c>
      <c r="AC8" s="118">
        <v>169</v>
      </c>
      <c r="AD8" s="118">
        <v>169</v>
      </c>
      <c r="AE8" s="118">
        <v>169</v>
      </c>
      <c r="AF8" s="118">
        <v>169</v>
      </c>
      <c r="AG8" s="118">
        <v>169</v>
      </c>
      <c r="AH8" s="118">
        <v>169</v>
      </c>
      <c r="AI8" s="118">
        <v>169</v>
      </c>
      <c r="AJ8" s="118">
        <v>169</v>
      </c>
      <c r="AK8" s="118">
        <v>169</v>
      </c>
      <c r="AL8" s="118">
        <v>169</v>
      </c>
      <c r="AM8" s="119" t="s">
        <v>1075</v>
      </c>
    </row>
    <row r="9" spans="2:40" ht="15.5">
      <c r="B9" s="113" t="s">
        <v>1076</v>
      </c>
      <c r="C9" s="114">
        <v>4016500</v>
      </c>
      <c r="D9" s="115" t="s">
        <v>1077</v>
      </c>
      <c r="E9" s="115" t="s">
        <v>1078</v>
      </c>
      <c r="F9" s="116">
        <v>199</v>
      </c>
      <c r="G9" s="116">
        <v>199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8"/>
      <c r="Z9" s="118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9" t="s">
        <v>1075</v>
      </c>
    </row>
    <row r="10" spans="2:40" ht="15.5">
      <c r="B10" s="120" t="s">
        <v>1079</v>
      </c>
      <c r="C10" s="114">
        <v>4014444</v>
      </c>
      <c r="D10" s="121" t="s">
        <v>1080</v>
      </c>
      <c r="E10" s="115" t="s">
        <v>1081</v>
      </c>
      <c r="F10" s="118">
        <v>799</v>
      </c>
      <c r="G10" s="118">
        <v>799</v>
      </c>
      <c r="H10" s="117">
        <v>799</v>
      </c>
      <c r="I10" s="117">
        <v>799</v>
      </c>
      <c r="J10" s="117">
        <v>749</v>
      </c>
      <c r="K10" s="117">
        <v>749</v>
      </c>
      <c r="L10" s="117">
        <v>749</v>
      </c>
      <c r="M10" s="122">
        <v>749</v>
      </c>
      <c r="N10" s="122">
        <v>749</v>
      </c>
      <c r="O10" s="117">
        <v>699</v>
      </c>
      <c r="P10" s="117">
        <v>599</v>
      </c>
      <c r="Q10" s="117">
        <v>449</v>
      </c>
      <c r="R10" s="122">
        <v>699</v>
      </c>
      <c r="S10" s="122">
        <v>599</v>
      </c>
      <c r="T10" s="122">
        <v>449</v>
      </c>
      <c r="U10" s="122">
        <v>449</v>
      </c>
      <c r="V10" s="122">
        <v>449</v>
      </c>
      <c r="W10" s="122">
        <v>449</v>
      </c>
      <c r="X10" s="122">
        <v>449</v>
      </c>
      <c r="Y10" s="122">
        <v>449</v>
      </c>
      <c r="Z10" s="122">
        <v>449</v>
      </c>
      <c r="AA10" s="122">
        <v>449</v>
      </c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19" t="s">
        <v>1075</v>
      </c>
    </row>
    <row r="11" spans="2:40" ht="15.5">
      <c r="B11" s="120" t="s">
        <v>1079</v>
      </c>
      <c r="C11" s="114">
        <v>4017142</v>
      </c>
      <c r="D11" s="121" t="s">
        <v>1082</v>
      </c>
      <c r="E11" s="115" t="s">
        <v>1083</v>
      </c>
      <c r="F11" s="118">
        <v>999</v>
      </c>
      <c r="G11" s="118">
        <v>999</v>
      </c>
      <c r="H11" s="117">
        <v>999</v>
      </c>
      <c r="I11" s="117">
        <v>999</v>
      </c>
      <c r="J11" s="117">
        <v>949</v>
      </c>
      <c r="K11" s="117">
        <v>949</v>
      </c>
      <c r="L11" s="117">
        <v>949</v>
      </c>
      <c r="M11" s="122">
        <v>949</v>
      </c>
      <c r="N11" s="122">
        <v>949</v>
      </c>
      <c r="O11" s="117">
        <v>899</v>
      </c>
      <c r="P11" s="117">
        <v>799</v>
      </c>
      <c r="Q11" s="117">
        <v>599</v>
      </c>
      <c r="R11" s="122">
        <v>899</v>
      </c>
      <c r="S11" s="122">
        <v>799</v>
      </c>
      <c r="T11" s="122">
        <v>599</v>
      </c>
      <c r="U11" s="122">
        <v>599</v>
      </c>
      <c r="V11" s="122">
        <v>599</v>
      </c>
      <c r="W11" s="122">
        <v>599</v>
      </c>
      <c r="X11" s="122">
        <v>549</v>
      </c>
      <c r="Y11" s="122">
        <v>549</v>
      </c>
      <c r="Z11" s="122">
        <v>549</v>
      </c>
      <c r="AA11" s="122">
        <v>549</v>
      </c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19" t="s">
        <v>1075</v>
      </c>
    </row>
    <row r="12" spans="2:40" ht="15.5">
      <c r="B12" s="120" t="s">
        <v>1079</v>
      </c>
      <c r="C12" s="114">
        <v>4014958</v>
      </c>
      <c r="D12" s="123" t="s">
        <v>1084</v>
      </c>
      <c r="E12" s="115" t="s">
        <v>1085</v>
      </c>
      <c r="F12" s="124">
        <v>399</v>
      </c>
      <c r="G12" s="124">
        <v>399</v>
      </c>
      <c r="H12" s="125">
        <v>399</v>
      </c>
      <c r="I12" s="125">
        <v>399</v>
      </c>
      <c r="J12" s="125">
        <v>349</v>
      </c>
      <c r="K12" s="125">
        <v>349</v>
      </c>
      <c r="L12" s="125">
        <v>349</v>
      </c>
      <c r="M12" s="125">
        <v>349</v>
      </c>
      <c r="N12" s="125">
        <v>349</v>
      </c>
      <c r="O12" s="125">
        <v>299</v>
      </c>
      <c r="P12" s="125">
        <v>299</v>
      </c>
      <c r="Q12" s="125">
        <v>249</v>
      </c>
      <c r="R12" s="125">
        <v>299</v>
      </c>
      <c r="S12" s="125">
        <v>249</v>
      </c>
      <c r="T12" s="125">
        <v>249</v>
      </c>
      <c r="U12" s="125">
        <v>249</v>
      </c>
      <c r="V12" s="126">
        <v>249</v>
      </c>
      <c r="W12" s="126">
        <v>249</v>
      </c>
      <c r="X12" s="126">
        <v>249</v>
      </c>
      <c r="Y12" s="126">
        <v>249</v>
      </c>
      <c r="Z12" s="126">
        <v>249</v>
      </c>
      <c r="AA12" s="126">
        <v>249</v>
      </c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9" t="s">
        <v>1075</v>
      </c>
    </row>
    <row r="13" spans="2:40" ht="15.5">
      <c r="B13" s="120" t="s">
        <v>1086</v>
      </c>
      <c r="C13" s="114">
        <v>4017062</v>
      </c>
      <c r="D13" s="121" t="s">
        <v>1087</v>
      </c>
      <c r="E13" s="115" t="s">
        <v>1088</v>
      </c>
      <c r="F13" s="118">
        <v>899</v>
      </c>
      <c r="G13" s="118">
        <v>899</v>
      </c>
      <c r="H13" s="117">
        <v>899</v>
      </c>
      <c r="I13" s="117">
        <v>899</v>
      </c>
      <c r="J13" s="117">
        <v>849</v>
      </c>
      <c r="K13" s="117">
        <v>849</v>
      </c>
      <c r="L13" s="117">
        <v>849</v>
      </c>
      <c r="M13" s="122">
        <v>849</v>
      </c>
      <c r="N13" s="122">
        <v>849</v>
      </c>
      <c r="O13" s="117">
        <v>799</v>
      </c>
      <c r="P13" s="117">
        <v>799</v>
      </c>
      <c r="Q13" s="117">
        <v>699</v>
      </c>
      <c r="R13" s="122">
        <v>799</v>
      </c>
      <c r="S13" s="122">
        <v>699</v>
      </c>
      <c r="T13" s="122">
        <v>499</v>
      </c>
      <c r="U13" s="122">
        <v>499</v>
      </c>
      <c r="V13" s="122">
        <v>499</v>
      </c>
      <c r="W13" s="122">
        <v>499</v>
      </c>
      <c r="X13" s="122">
        <v>499</v>
      </c>
      <c r="Y13" s="122">
        <v>499</v>
      </c>
      <c r="Z13" s="122">
        <v>499</v>
      </c>
      <c r="AA13" s="122">
        <v>499</v>
      </c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19" t="s">
        <v>1075</v>
      </c>
    </row>
    <row r="14" spans="2:40" ht="15.5">
      <c r="B14" s="120" t="s">
        <v>1079</v>
      </c>
      <c r="C14" s="114">
        <v>4016330</v>
      </c>
      <c r="D14" s="113" t="s">
        <v>1089</v>
      </c>
      <c r="E14" s="115" t="s">
        <v>1090</v>
      </c>
      <c r="F14" s="116">
        <v>299</v>
      </c>
      <c r="G14" s="116">
        <v>199</v>
      </c>
      <c r="H14" s="117">
        <v>299</v>
      </c>
      <c r="I14" s="117">
        <v>299</v>
      </c>
      <c r="J14" s="117">
        <v>249</v>
      </c>
      <c r="K14" s="117">
        <v>249</v>
      </c>
      <c r="L14" s="117">
        <v>249</v>
      </c>
      <c r="M14" s="117">
        <v>249</v>
      </c>
      <c r="N14" s="117">
        <v>249</v>
      </c>
      <c r="O14" s="117">
        <v>199</v>
      </c>
      <c r="P14" s="117">
        <v>199</v>
      </c>
      <c r="Q14" s="117">
        <v>199</v>
      </c>
      <c r="R14" s="117">
        <v>199</v>
      </c>
      <c r="S14" s="117">
        <v>199</v>
      </c>
      <c r="T14" s="117">
        <v>199</v>
      </c>
      <c r="U14" s="117">
        <v>199</v>
      </c>
      <c r="V14" s="117">
        <v>199</v>
      </c>
      <c r="W14" s="117">
        <v>199</v>
      </c>
      <c r="X14" s="117">
        <v>199</v>
      </c>
      <c r="Y14" s="117">
        <v>199</v>
      </c>
      <c r="Z14" s="117">
        <v>199</v>
      </c>
      <c r="AA14" s="117">
        <v>199</v>
      </c>
      <c r="AB14" s="117">
        <v>249</v>
      </c>
      <c r="AC14" s="117">
        <v>249</v>
      </c>
      <c r="AD14" s="117">
        <v>249</v>
      </c>
      <c r="AE14" s="117">
        <v>249</v>
      </c>
      <c r="AF14" s="117">
        <v>249</v>
      </c>
      <c r="AG14" s="117">
        <v>249</v>
      </c>
      <c r="AH14" s="117">
        <v>249</v>
      </c>
      <c r="AI14" s="117">
        <v>249</v>
      </c>
      <c r="AJ14" s="117">
        <v>249</v>
      </c>
      <c r="AK14" s="117">
        <v>249</v>
      </c>
      <c r="AL14" s="117">
        <v>249</v>
      </c>
      <c r="AM14" s="127" t="s">
        <v>1075</v>
      </c>
    </row>
    <row r="15" spans="2:40" ht="15.5">
      <c r="B15" s="128" t="s">
        <v>1079</v>
      </c>
      <c r="C15" s="129">
        <v>4015270</v>
      </c>
      <c r="D15" s="130" t="s">
        <v>1091</v>
      </c>
      <c r="E15" s="115" t="s">
        <v>1092</v>
      </c>
      <c r="F15" s="131">
        <v>2499</v>
      </c>
      <c r="G15" s="131">
        <v>999</v>
      </c>
      <c r="H15" s="132">
        <v>2499</v>
      </c>
      <c r="I15" s="132">
        <v>2499</v>
      </c>
      <c r="J15" s="132">
        <v>2449</v>
      </c>
      <c r="K15" s="132">
        <v>2449</v>
      </c>
      <c r="L15" s="132">
        <v>2449</v>
      </c>
      <c r="M15" s="133">
        <v>2449</v>
      </c>
      <c r="N15" s="133">
        <v>2449</v>
      </c>
      <c r="O15" s="132">
        <v>2399</v>
      </c>
      <c r="P15" s="132">
        <v>2299</v>
      </c>
      <c r="Q15" s="132">
        <v>1299</v>
      </c>
      <c r="R15" s="133">
        <v>2399</v>
      </c>
      <c r="S15" s="133">
        <v>2299</v>
      </c>
      <c r="T15" s="133">
        <v>1299</v>
      </c>
      <c r="U15" s="133">
        <v>1299</v>
      </c>
      <c r="V15" s="133">
        <v>1299</v>
      </c>
      <c r="W15" s="133">
        <v>1299</v>
      </c>
      <c r="X15" s="133">
        <v>1299</v>
      </c>
      <c r="Y15" s="133">
        <v>999</v>
      </c>
      <c r="Z15" s="133">
        <v>999</v>
      </c>
      <c r="AA15" s="133">
        <v>949</v>
      </c>
      <c r="AB15" s="133">
        <v>2449</v>
      </c>
      <c r="AC15" s="133">
        <v>2449</v>
      </c>
      <c r="AD15" s="133">
        <v>2449</v>
      </c>
      <c r="AE15" s="133">
        <v>2449</v>
      </c>
      <c r="AF15" s="133">
        <v>2399</v>
      </c>
      <c r="AG15" s="133">
        <v>2399</v>
      </c>
      <c r="AH15" s="133">
        <v>1299</v>
      </c>
      <c r="AI15" s="133">
        <v>1299</v>
      </c>
      <c r="AJ15" s="133">
        <v>1299</v>
      </c>
      <c r="AK15" s="133">
        <v>1299</v>
      </c>
      <c r="AL15" s="133">
        <v>999</v>
      </c>
      <c r="AM15" s="127" t="s">
        <v>1075</v>
      </c>
    </row>
    <row r="16" spans="2:40" ht="15.5">
      <c r="B16" s="128" t="s">
        <v>1079</v>
      </c>
      <c r="C16" s="129">
        <v>4015688</v>
      </c>
      <c r="D16" s="130" t="s">
        <v>1091</v>
      </c>
      <c r="E16" s="115" t="s">
        <v>1093</v>
      </c>
      <c r="F16" s="131">
        <v>2499</v>
      </c>
      <c r="G16" s="131">
        <v>999</v>
      </c>
      <c r="H16" s="132">
        <v>2499</v>
      </c>
      <c r="I16" s="132">
        <v>2499</v>
      </c>
      <c r="J16" s="132">
        <v>2449</v>
      </c>
      <c r="K16" s="132">
        <v>2449</v>
      </c>
      <c r="L16" s="132">
        <v>2449</v>
      </c>
      <c r="M16" s="133">
        <v>2449</v>
      </c>
      <c r="N16" s="133">
        <v>2449</v>
      </c>
      <c r="O16" s="132">
        <v>2399</v>
      </c>
      <c r="P16" s="132">
        <v>2299</v>
      </c>
      <c r="Q16" s="132">
        <v>1299</v>
      </c>
      <c r="R16" s="133">
        <v>2399</v>
      </c>
      <c r="S16" s="133">
        <v>2299</v>
      </c>
      <c r="T16" s="133">
        <v>1299</v>
      </c>
      <c r="U16" s="133">
        <v>1299</v>
      </c>
      <c r="V16" s="133">
        <v>1299</v>
      </c>
      <c r="W16" s="133">
        <v>1299</v>
      </c>
      <c r="X16" s="133">
        <v>1299</v>
      </c>
      <c r="Y16" s="133">
        <v>999</v>
      </c>
      <c r="Z16" s="133">
        <v>999</v>
      </c>
      <c r="AA16" s="133">
        <v>949</v>
      </c>
      <c r="AB16" s="133">
        <v>2449</v>
      </c>
      <c r="AC16" s="133">
        <v>2449</v>
      </c>
      <c r="AD16" s="133">
        <v>2449</v>
      </c>
      <c r="AE16" s="133">
        <v>2449</v>
      </c>
      <c r="AF16" s="133">
        <v>2399</v>
      </c>
      <c r="AG16" s="133">
        <v>2399</v>
      </c>
      <c r="AH16" s="133">
        <v>1299</v>
      </c>
      <c r="AI16" s="133">
        <v>1299</v>
      </c>
      <c r="AJ16" s="133">
        <v>1299</v>
      </c>
      <c r="AK16" s="133">
        <v>1299</v>
      </c>
      <c r="AL16" s="133">
        <v>999</v>
      </c>
      <c r="AM16" s="127" t="s">
        <v>1075</v>
      </c>
    </row>
    <row r="17" spans="2:40" ht="15.5">
      <c r="B17" s="128" t="s">
        <v>1079</v>
      </c>
      <c r="C17" s="129">
        <v>4016341</v>
      </c>
      <c r="D17" s="130" t="s">
        <v>1094</v>
      </c>
      <c r="E17" s="115" t="s">
        <v>1095</v>
      </c>
      <c r="F17" s="131">
        <v>1199</v>
      </c>
      <c r="G17" s="131">
        <v>1199</v>
      </c>
      <c r="H17" s="132">
        <v>1199</v>
      </c>
      <c r="I17" s="132">
        <v>1199</v>
      </c>
      <c r="J17" s="117">
        <v>1149</v>
      </c>
      <c r="K17" s="117">
        <v>1149</v>
      </c>
      <c r="L17" s="117">
        <v>1149</v>
      </c>
      <c r="M17" s="133">
        <v>1149</v>
      </c>
      <c r="N17" s="133">
        <v>1149</v>
      </c>
      <c r="O17" s="117">
        <v>1099</v>
      </c>
      <c r="P17" s="117">
        <v>1099</v>
      </c>
      <c r="Q17" s="117">
        <v>999</v>
      </c>
      <c r="R17" s="133">
        <v>1099</v>
      </c>
      <c r="S17" s="133">
        <v>999</v>
      </c>
      <c r="T17" s="133">
        <v>799</v>
      </c>
      <c r="U17" s="133">
        <v>799</v>
      </c>
      <c r="V17" s="133">
        <v>799</v>
      </c>
      <c r="W17" s="133">
        <v>799</v>
      </c>
      <c r="X17" s="133">
        <v>699</v>
      </c>
      <c r="Y17" s="133">
        <v>649</v>
      </c>
      <c r="Z17" s="133">
        <v>649</v>
      </c>
      <c r="AA17" s="133">
        <v>649</v>
      </c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27" t="s">
        <v>1075</v>
      </c>
    </row>
    <row r="18" spans="2:40" ht="15.5">
      <c r="B18" s="128" t="s">
        <v>1079</v>
      </c>
      <c r="C18" s="129">
        <v>4015273</v>
      </c>
      <c r="D18" s="130" t="s">
        <v>1094</v>
      </c>
      <c r="E18" s="115" t="s">
        <v>1096</v>
      </c>
      <c r="F18" s="131">
        <v>1199</v>
      </c>
      <c r="G18" s="131">
        <v>1199</v>
      </c>
      <c r="H18" s="132">
        <v>1199</v>
      </c>
      <c r="I18" s="132">
        <v>1199</v>
      </c>
      <c r="J18" s="117">
        <v>1149</v>
      </c>
      <c r="K18" s="117">
        <v>1149</v>
      </c>
      <c r="L18" s="117">
        <v>1149</v>
      </c>
      <c r="M18" s="133">
        <v>1149</v>
      </c>
      <c r="N18" s="133">
        <v>1149</v>
      </c>
      <c r="O18" s="117">
        <v>1099</v>
      </c>
      <c r="P18" s="117">
        <v>1099</v>
      </c>
      <c r="Q18" s="117">
        <v>999</v>
      </c>
      <c r="R18" s="133">
        <v>1099</v>
      </c>
      <c r="S18" s="133">
        <v>999</v>
      </c>
      <c r="T18" s="133">
        <v>799</v>
      </c>
      <c r="U18" s="133">
        <v>799</v>
      </c>
      <c r="V18" s="133">
        <v>799</v>
      </c>
      <c r="W18" s="133">
        <v>799</v>
      </c>
      <c r="X18" s="133">
        <v>699</v>
      </c>
      <c r="Y18" s="133">
        <v>649</v>
      </c>
      <c r="Z18" s="133">
        <v>649</v>
      </c>
      <c r="AA18" s="133">
        <v>649</v>
      </c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27" t="s">
        <v>1075</v>
      </c>
    </row>
    <row r="19" spans="2:40" ht="15.5">
      <c r="B19" s="128" t="s">
        <v>1079</v>
      </c>
      <c r="C19" s="129">
        <v>4017250</v>
      </c>
      <c r="D19" s="130" t="s">
        <v>1097</v>
      </c>
      <c r="E19" s="115" t="s">
        <v>1098</v>
      </c>
      <c r="F19" s="131">
        <v>1699</v>
      </c>
      <c r="G19" s="131">
        <v>999</v>
      </c>
      <c r="H19" s="132">
        <v>1699</v>
      </c>
      <c r="I19" s="132">
        <v>1699</v>
      </c>
      <c r="J19" s="117">
        <v>1649</v>
      </c>
      <c r="K19" s="117">
        <v>1649</v>
      </c>
      <c r="L19" s="117">
        <v>1649</v>
      </c>
      <c r="M19" s="133">
        <v>1649</v>
      </c>
      <c r="N19" s="133">
        <v>1649</v>
      </c>
      <c r="O19" s="117">
        <v>1599</v>
      </c>
      <c r="P19" s="117">
        <v>1499</v>
      </c>
      <c r="Q19" s="117">
        <v>999</v>
      </c>
      <c r="R19" s="133">
        <v>1599</v>
      </c>
      <c r="S19" s="133">
        <v>1499</v>
      </c>
      <c r="T19" s="133">
        <v>999</v>
      </c>
      <c r="U19" s="133">
        <v>999</v>
      </c>
      <c r="V19" s="133">
        <v>999</v>
      </c>
      <c r="W19" s="133">
        <v>999</v>
      </c>
      <c r="X19" s="133">
        <v>999</v>
      </c>
      <c r="Y19" s="133">
        <v>899</v>
      </c>
      <c r="Z19" s="133">
        <v>899</v>
      </c>
      <c r="AA19" s="133">
        <v>899</v>
      </c>
      <c r="AB19" s="133">
        <v>1649</v>
      </c>
      <c r="AC19" s="133">
        <v>1649</v>
      </c>
      <c r="AD19" s="133">
        <v>1649</v>
      </c>
      <c r="AE19" s="133">
        <v>1649</v>
      </c>
      <c r="AF19" s="133">
        <v>1599</v>
      </c>
      <c r="AG19" s="133">
        <v>1599</v>
      </c>
      <c r="AH19" s="133">
        <v>1599</v>
      </c>
      <c r="AI19" s="133">
        <v>999</v>
      </c>
      <c r="AJ19" s="133">
        <v>999</v>
      </c>
      <c r="AK19" s="133">
        <v>999</v>
      </c>
      <c r="AL19" s="133">
        <v>899</v>
      </c>
      <c r="AM19" s="127" t="s">
        <v>1075</v>
      </c>
    </row>
    <row r="20" spans="2:40" ht="15.5">
      <c r="B20" s="128" t="s">
        <v>1099</v>
      </c>
      <c r="C20" s="129">
        <v>4017581</v>
      </c>
      <c r="D20" s="130" t="s">
        <v>1100</v>
      </c>
      <c r="E20" s="115" t="s">
        <v>1101</v>
      </c>
      <c r="F20" s="131">
        <v>219</v>
      </c>
      <c r="G20" s="131">
        <v>219</v>
      </c>
      <c r="H20" s="131">
        <v>219</v>
      </c>
      <c r="I20" s="131">
        <v>219</v>
      </c>
      <c r="J20" s="117">
        <v>149</v>
      </c>
      <c r="K20" s="117">
        <v>149</v>
      </c>
      <c r="L20" s="117">
        <v>149</v>
      </c>
      <c r="M20" s="132">
        <v>149</v>
      </c>
      <c r="N20" s="132">
        <v>149</v>
      </c>
      <c r="O20" s="117">
        <v>99</v>
      </c>
      <c r="P20" s="117">
        <v>99</v>
      </c>
      <c r="Q20" s="117">
        <v>99</v>
      </c>
      <c r="R20" s="132">
        <v>99</v>
      </c>
      <c r="S20" s="132">
        <v>99</v>
      </c>
      <c r="T20" s="132">
        <v>99</v>
      </c>
      <c r="U20" s="132">
        <v>99</v>
      </c>
      <c r="V20" s="134">
        <v>99</v>
      </c>
      <c r="W20" s="134">
        <v>99</v>
      </c>
      <c r="X20" s="134">
        <v>99</v>
      </c>
      <c r="Y20" s="134">
        <v>99</v>
      </c>
      <c r="Z20" s="134">
        <v>99</v>
      </c>
      <c r="AA20" s="134">
        <v>99</v>
      </c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19" t="s">
        <v>1075</v>
      </c>
    </row>
    <row r="21" spans="2:40" ht="15.5">
      <c r="B21" s="135" t="s">
        <v>1079</v>
      </c>
      <c r="C21" s="129">
        <v>4016351</v>
      </c>
      <c r="D21" s="136" t="s">
        <v>1102</v>
      </c>
      <c r="E21" s="115" t="s">
        <v>1102</v>
      </c>
      <c r="F21" s="137">
        <v>999</v>
      </c>
      <c r="G21" s="137">
        <v>999</v>
      </c>
      <c r="H21" s="138">
        <v>999</v>
      </c>
      <c r="I21" s="138">
        <v>999</v>
      </c>
      <c r="J21" s="125">
        <v>949</v>
      </c>
      <c r="K21" s="125">
        <v>949</v>
      </c>
      <c r="L21" s="125">
        <v>949</v>
      </c>
      <c r="M21" s="139">
        <v>949</v>
      </c>
      <c r="N21" s="139">
        <v>949</v>
      </c>
      <c r="O21" s="125">
        <v>899</v>
      </c>
      <c r="P21" s="125">
        <v>899</v>
      </c>
      <c r="Q21" s="125">
        <v>799</v>
      </c>
      <c r="R21" s="139">
        <v>899</v>
      </c>
      <c r="S21" s="139">
        <v>799</v>
      </c>
      <c r="T21" s="139">
        <v>599</v>
      </c>
      <c r="U21" s="139">
        <v>599</v>
      </c>
      <c r="V21" s="139">
        <v>599</v>
      </c>
      <c r="W21" s="139">
        <v>599</v>
      </c>
      <c r="X21" s="139">
        <v>549</v>
      </c>
      <c r="Y21" s="139">
        <v>549</v>
      </c>
      <c r="Z21" s="139">
        <v>549</v>
      </c>
      <c r="AA21" s="139">
        <v>549</v>
      </c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27" t="s">
        <v>1075</v>
      </c>
    </row>
    <row r="22" spans="2:40" ht="15.5">
      <c r="B22" s="130" t="s">
        <v>1103</v>
      </c>
      <c r="C22" s="129">
        <v>4016004</v>
      </c>
      <c r="D22" s="140" t="s">
        <v>1104</v>
      </c>
      <c r="E22" s="115" t="s">
        <v>1105</v>
      </c>
      <c r="F22" s="131">
        <v>129</v>
      </c>
      <c r="G22" s="131">
        <v>129</v>
      </c>
      <c r="H22" s="132"/>
      <c r="I22" s="132"/>
      <c r="J22" s="117"/>
      <c r="K22" s="117"/>
      <c r="L22" s="117"/>
      <c r="M22" s="132"/>
      <c r="N22" s="132"/>
      <c r="O22" s="117"/>
      <c r="P22" s="117"/>
      <c r="Q22" s="117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27" t="s">
        <v>1075</v>
      </c>
    </row>
    <row r="23" spans="2:40" ht="15.5">
      <c r="B23" s="130" t="s">
        <v>1103</v>
      </c>
      <c r="C23" s="129">
        <v>4016005</v>
      </c>
      <c r="D23" s="140" t="s">
        <v>1106</v>
      </c>
      <c r="E23" s="140" t="s">
        <v>1107</v>
      </c>
      <c r="F23" s="131">
        <v>129</v>
      </c>
      <c r="G23" s="131">
        <v>129</v>
      </c>
      <c r="H23" s="132"/>
      <c r="I23" s="132"/>
      <c r="J23" s="117"/>
      <c r="K23" s="117"/>
      <c r="L23" s="117"/>
      <c r="M23" s="132"/>
      <c r="N23" s="132"/>
      <c r="O23" s="117"/>
      <c r="P23" s="117"/>
      <c r="Q23" s="117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27" t="s">
        <v>1075</v>
      </c>
    </row>
    <row r="24" spans="2:40" ht="15.5">
      <c r="B24" s="130" t="s">
        <v>1103</v>
      </c>
      <c r="C24" s="129">
        <v>4016006</v>
      </c>
      <c r="D24" s="140" t="s">
        <v>1108</v>
      </c>
      <c r="E24" s="115" t="s">
        <v>1109</v>
      </c>
      <c r="F24" s="131">
        <v>129</v>
      </c>
      <c r="G24" s="131">
        <v>129</v>
      </c>
      <c r="H24" s="132"/>
      <c r="I24" s="132"/>
      <c r="J24" s="117"/>
      <c r="K24" s="117"/>
      <c r="L24" s="117"/>
      <c r="M24" s="132"/>
      <c r="N24" s="132"/>
      <c r="O24" s="117"/>
      <c r="P24" s="117"/>
      <c r="Q24" s="117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27" t="s">
        <v>1075</v>
      </c>
    </row>
    <row r="25" spans="2:40" ht="15.5">
      <c r="B25" s="130" t="s">
        <v>1103</v>
      </c>
      <c r="C25" s="129">
        <v>4015729</v>
      </c>
      <c r="D25" s="140" t="s">
        <v>1110</v>
      </c>
      <c r="E25" s="115" t="s">
        <v>1111</v>
      </c>
      <c r="F25" s="131">
        <v>10</v>
      </c>
      <c r="G25" s="131">
        <v>10</v>
      </c>
      <c r="H25" s="132"/>
      <c r="I25" s="132"/>
      <c r="J25" s="117"/>
      <c r="K25" s="117"/>
      <c r="L25" s="117"/>
      <c r="M25" s="132"/>
      <c r="N25" s="132"/>
      <c r="O25" s="117"/>
      <c r="P25" s="117"/>
      <c r="Q25" s="117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27" t="s">
        <v>1075</v>
      </c>
    </row>
    <row r="26" spans="2:40" ht="15.5">
      <c r="B26" s="141" t="s">
        <v>1103</v>
      </c>
      <c r="C26" s="129">
        <v>4013975</v>
      </c>
      <c r="D26" s="140" t="s">
        <v>1112</v>
      </c>
      <c r="E26" s="115" t="s">
        <v>1113</v>
      </c>
      <c r="F26" s="131">
        <v>219</v>
      </c>
      <c r="G26" s="131">
        <v>219</v>
      </c>
      <c r="H26" s="132"/>
      <c r="I26" s="132"/>
      <c r="J26" s="117"/>
      <c r="K26" s="117"/>
      <c r="L26" s="117"/>
      <c r="M26" s="132"/>
      <c r="N26" s="132"/>
      <c r="O26" s="117"/>
      <c r="P26" s="117"/>
      <c r="Q26" s="117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27" t="s">
        <v>1075</v>
      </c>
      <c r="AN26" s="142"/>
    </row>
    <row r="27" spans="2:40" ht="15.5">
      <c r="B27" s="130" t="s">
        <v>1114</v>
      </c>
      <c r="C27" s="129">
        <v>4016254</v>
      </c>
      <c r="D27" s="140" t="s">
        <v>1115</v>
      </c>
      <c r="E27" s="115" t="s">
        <v>1116</v>
      </c>
      <c r="F27" s="131">
        <v>219</v>
      </c>
      <c r="G27" s="131">
        <v>219</v>
      </c>
      <c r="H27" s="132"/>
      <c r="I27" s="132"/>
      <c r="J27" s="117"/>
      <c r="K27" s="117"/>
      <c r="L27" s="117"/>
      <c r="M27" s="132"/>
      <c r="N27" s="132"/>
      <c r="O27" s="117"/>
      <c r="P27" s="117"/>
      <c r="Q27" s="117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27" t="s">
        <v>1075</v>
      </c>
      <c r="AN27" s="142"/>
    </row>
    <row r="28" spans="2:40" ht="15.5">
      <c r="B28" s="130" t="s">
        <v>1076</v>
      </c>
      <c r="C28" s="129">
        <v>4016340</v>
      </c>
      <c r="D28" s="140" t="s">
        <v>1117</v>
      </c>
      <c r="E28" s="115" t="s">
        <v>1118</v>
      </c>
      <c r="F28" s="143">
        <v>499</v>
      </c>
      <c r="G28" s="143">
        <v>399</v>
      </c>
      <c r="H28" s="143">
        <v>499</v>
      </c>
      <c r="I28" s="143">
        <v>499</v>
      </c>
      <c r="J28" s="143">
        <v>449</v>
      </c>
      <c r="K28" s="143">
        <v>449</v>
      </c>
      <c r="L28" s="143">
        <v>449</v>
      </c>
      <c r="M28" s="143">
        <v>449</v>
      </c>
      <c r="N28" s="143">
        <v>449</v>
      </c>
      <c r="O28" s="143">
        <v>399</v>
      </c>
      <c r="P28" s="144">
        <v>299</v>
      </c>
      <c r="Q28" s="144">
        <v>299</v>
      </c>
      <c r="R28" s="143">
        <v>399</v>
      </c>
      <c r="S28" s="143">
        <v>299</v>
      </c>
      <c r="T28" s="143">
        <v>299</v>
      </c>
      <c r="U28" s="143">
        <v>299</v>
      </c>
      <c r="V28" s="143">
        <v>299</v>
      </c>
      <c r="W28" s="143">
        <v>299</v>
      </c>
      <c r="X28" s="143">
        <v>299</v>
      </c>
      <c r="Y28" s="143">
        <v>299</v>
      </c>
      <c r="Z28" s="143">
        <v>299</v>
      </c>
      <c r="AA28" s="143">
        <v>299</v>
      </c>
      <c r="AB28" s="143">
        <v>449</v>
      </c>
      <c r="AC28" s="143">
        <v>449</v>
      </c>
      <c r="AD28" s="143">
        <v>449</v>
      </c>
      <c r="AE28" s="143">
        <v>449</v>
      </c>
      <c r="AF28" s="143">
        <v>399</v>
      </c>
      <c r="AG28" s="143">
        <v>399</v>
      </c>
      <c r="AH28" s="143">
        <v>299</v>
      </c>
      <c r="AI28" s="143">
        <v>299</v>
      </c>
      <c r="AJ28" s="143">
        <v>299</v>
      </c>
      <c r="AK28" s="143">
        <v>299</v>
      </c>
      <c r="AL28" s="143">
        <v>299</v>
      </c>
      <c r="AM28" s="127" t="s">
        <v>1075</v>
      </c>
      <c r="AN28" s="142"/>
    </row>
    <row r="29" spans="2:40" ht="15.5">
      <c r="B29" s="130" t="s">
        <v>1076</v>
      </c>
      <c r="C29" s="129">
        <v>4016494</v>
      </c>
      <c r="D29" s="140" t="s">
        <v>1117</v>
      </c>
      <c r="E29" s="115" t="s">
        <v>1119</v>
      </c>
      <c r="F29" s="143">
        <v>499</v>
      </c>
      <c r="G29" s="143">
        <v>399</v>
      </c>
      <c r="H29" s="143">
        <v>499</v>
      </c>
      <c r="I29" s="143">
        <v>499</v>
      </c>
      <c r="J29" s="143">
        <v>449</v>
      </c>
      <c r="K29" s="143">
        <v>449</v>
      </c>
      <c r="L29" s="143">
        <v>449</v>
      </c>
      <c r="M29" s="143">
        <v>449</v>
      </c>
      <c r="N29" s="143">
        <v>449</v>
      </c>
      <c r="O29" s="143">
        <v>399</v>
      </c>
      <c r="P29" s="144">
        <v>299</v>
      </c>
      <c r="Q29" s="144">
        <v>299</v>
      </c>
      <c r="R29" s="143">
        <v>399</v>
      </c>
      <c r="S29" s="143">
        <v>299</v>
      </c>
      <c r="T29" s="143">
        <v>299</v>
      </c>
      <c r="U29" s="143">
        <v>299</v>
      </c>
      <c r="V29" s="143">
        <v>299</v>
      </c>
      <c r="W29" s="143">
        <v>299</v>
      </c>
      <c r="X29" s="143">
        <v>299</v>
      </c>
      <c r="Y29" s="143">
        <v>299</v>
      </c>
      <c r="Z29" s="143">
        <v>299</v>
      </c>
      <c r="AA29" s="143">
        <v>299</v>
      </c>
      <c r="AB29" s="143">
        <v>449</v>
      </c>
      <c r="AC29" s="143">
        <v>449</v>
      </c>
      <c r="AD29" s="143">
        <v>449</v>
      </c>
      <c r="AE29" s="143">
        <v>449</v>
      </c>
      <c r="AF29" s="143">
        <v>399</v>
      </c>
      <c r="AG29" s="143">
        <v>399</v>
      </c>
      <c r="AH29" s="143">
        <v>299</v>
      </c>
      <c r="AI29" s="143">
        <v>299</v>
      </c>
      <c r="AJ29" s="143">
        <v>299</v>
      </c>
      <c r="AK29" s="143">
        <v>299</v>
      </c>
      <c r="AL29" s="143">
        <v>299</v>
      </c>
      <c r="AM29" s="127" t="s">
        <v>1075</v>
      </c>
      <c r="AN29" s="142"/>
    </row>
    <row r="30" spans="2:40" ht="15.5">
      <c r="B30" s="130" t="s">
        <v>1076</v>
      </c>
      <c r="C30" s="129">
        <v>4017140</v>
      </c>
      <c r="D30" s="140" t="s">
        <v>1117</v>
      </c>
      <c r="E30" s="115" t="s">
        <v>1120</v>
      </c>
      <c r="F30" s="143">
        <v>499</v>
      </c>
      <c r="G30" s="143">
        <v>399</v>
      </c>
      <c r="H30" s="143">
        <v>499</v>
      </c>
      <c r="I30" s="143">
        <v>499</v>
      </c>
      <c r="J30" s="143">
        <v>449</v>
      </c>
      <c r="K30" s="143">
        <v>449</v>
      </c>
      <c r="L30" s="143">
        <v>449</v>
      </c>
      <c r="M30" s="143">
        <v>449</v>
      </c>
      <c r="N30" s="143">
        <v>449</v>
      </c>
      <c r="O30" s="143">
        <v>399</v>
      </c>
      <c r="P30" s="144">
        <v>299</v>
      </c>
      <c r="Q30" s="144">
        <v>299</v>
      </c>
      <c r="R30" s="143">
        <v>399</v>
      </c>
      <c r="S30" s="143">
        <v>299</v>
      </c>
      <c r="T30" s="143">
        <v>299</v>
      </c>
      <c r="U30" s="143">
        <v>299</v>
      </c>
      <c r="V30" s="143">
        <v>299</v>
      </c>
      <c r="W30" s="143">
        <v>299</v>
      </c>
      <c r="X30" s="143">
        <v>299</v>
      </c>
      <c r="Y30" s="143">
        <v>299</v>
      </c>
      <c r="Z30" s="143">
        <v>299</v>
      </c>
      <c r="AA30" s="143">
        <v>299</v>
      </c>
      <c r="AB30" s="143">
        <v>449</v>
      </c>
      <c r="AC30" s="143">
        <v>449</v>
      </c>
      <c r="AD30" s="143">
        <v>449</v>
      </c>
      <c r="AE30" s="143">
        <v>449</v>
      </c>
      <c r="AF30" s="143">
        <v>399</v>
      </c>
      <c r="AG30" s="143">
        <v>399</v>
      </c>
      <c r="AH30" s="143">
        <v>299</v>
      </c>
      <c r="AI30" s="143">
        <v>299</v>
      </c>
      <c r="AJ30" s="143">
        <v>299</v>
      </c>
      <c r="AK30" s="143">
        <v>299</v>
      </c>
      <c r="AL30" s="143">
        <v>299</v>
      </c>
      <c r="AM30" s="127" t="s">
        <v>1075</v>
      </c>
      <c r="AN30" s="142"/>
    </row>
    <row r="31" spans="2:40" ht="15.5">
      <c r="B31" s="130" t="s">
        <v>1076</v>
      </c>
      <c r="C31" s="145">
        <v>4015506</v>
      </c>
      <c r="D31" s="130" t="s">
        <v>1121</v>
      </c>
      <c r="E31" s="115" t="s">
        <v>1122</v>
      </c>
      <c r="F31" s="131">
        <v>299</v>
      </c>
      <c r="G31" s="131">
        <v>299</v>
      </c>
      <c r="H31" s="132">
        <v>299</v>
      </c>
      <c r="I31" s="132">
        <v>299</v>
      </c>
      <c r="J31" s="132">
        <v>249</v>
      </c>
      <c r="K31" s="132">
        <v>249</v>
      </c>
      <c r="L31" s="132">
        <v>249</v>
      </c>
      <c r="M31" s="132">
        <v>249</v>
      </c>
      <c r="N31" s="132">
        <v>249</v>
      </c>
      <c r="O31" s="132">
        <v>199</v>
      </c>
      <c r="P31" s="117">
        <v>199</v>
      </c>
      <c r="Q31" s="117">
        <v>199</v>
      </c>
      <c r="R31" s="132">
        <v>199</v>
      </c>
      <c r="S31" s="132">
        <v>199</v>
      </c>
      <c r="T31" s="132">
        <v>199</v>
      </c>
      <c r="U31" s="132">
        <v>199</v>
      </c>
      <c r="V31" s="132">
        <v>199</v>
      </c>
      <c r="W31" s="132">
        <v>199</v>
      </c>
      <c r="X31" s="132">
        <v>199</v>
      </c>
      <c r="Y31" s="134">
        <v>199</v>
      </c>
      <c r="Z31" s="134">
        <v>199</v>
      </c>
      <c r="AA31" s="132">
        <v>199</v>
      </c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27" t="s">
        <v>1075</v>
      </c>
    </row>
    <row r="32" spans="2:40" ht="15.5">
      <c r="B32" s="130" t="s">
        <v>1123</v>
      </c>
      <c r="C32" s="129">
        <v>4015637</v>
      </c>
      <c r="D32" s="140" t="s">
        <v>1124</v>
      </c>
      <c r="E32" s="115" t="s">
        <v>1125</v>
      </c>
      <c r="F32" s="131">
        <v>999</v>
      </c>
      <c r="G32" s="131">
        <v>999</v>
      </c>
      <c r="H32" s="132">
        <v>999</v>
      </c>
      <c r="I32" s="132">
        <v>999</v>
      </c>
      <c r="J32" s="117">
        <v>949</v>
      </c>
      <c r="K32" s="117">
        <v>949</v>
      </c>
      <c r="L32" s="117">
        <v>949</v>
      </c>
      <c r="M32" s="132">
        <v>949</v>
      </c>
      <c r="N32" s="132">
        <v>949</v>
      </c>
      <c r="O32" s="117">
        <v>899</v>
      </c>
      <c r="P32" s="117">
        <v>799</v>
      </c>
      <c r="Q32" s="117">
        <v>599</v>
      </c>
      <c r="R32" s="134">
        <v>899</v>
      </c>
      <c r="S32" s="134">
        <v>799</v>
      </c>
      <c r="T32" s="132">
        <v>599</v>
      </c>
      <c r="U32" s="132">
        <v>599</v>
      </c>
      <c r="V32" s="134">
        <v>599</v>
      </c>
      <c r="W32" s="134">
        <v>599</v>
      </c>
      <c r="X32" s="134">
        <v>549</v>
      </c>
      <c r="Y32" s="134">
        <v>549</v>
      </c>
      <c r="Z32" s="134">
        <v>549</v>
      </c>
      <c r="AA32" s="134">
        <v>549</v>
      </c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27" t="s">
        <v>1075</v>
      </c>
    </row>
    <row r="33" spans="2:40" ht="15.5">
      <c r="B33" s="141" t="s">
        <v>1123</v>
      </c>
      <c r="C33" s="129">
        <v>4015591</v>
      </c>
      <c r="D33" s="140" t="s">
        <v>1126</v>
      </c>
      <c r="E33" s="115" t="s">
        <v>1127</v>
      </c>
      <c r="F33" s="131">
        <v>49</v>
      </c>
      <c r="G33" s="131">
        <v>49</v>
      </c>
      <c r="H33" s="132"/>
      <c r="I33" s="132"/>
      <c r="J33" s="117"/>
      <c r="K33" s="117"/>
      <c r="L33" s="117"/>
      <c r="M33" s="132"/>
      <c r="N33" s="132"/>
      <c r="O33" s="117"/>
      <c r="P33" s="117"/>
      <c r="Q33" s="117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27" t="s">
        <v>1075</v>
      </c>
    </row>
    <row r="34" spans="2:40" ht="15.5">
      <c r="B34" s="135" t="s">
        <v>1123</v>
      </c>
      <c r="C34" s="145">
        <v>4015592</v>
      </c>
      <c r="D34" s="130" t="s">
        <v>1128</v>
      </c>
      <c r="E34" s="115" t="s">
        <v>1129</v>
      </c>
      <c r="F34" s="131">
        <v>89</v>
      </c>
      <c r="G34" s="131">
        <v>89</v>
      </c>
      <c r="H34" s="132"/>
      <c r="I34" s="132"/>
      <c r="J34" s="132"/>
      <c r="K34" s="132"/>
      <c r="L34" s="132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27" t="s">
        <v>1075</v>
      </c>
      <c r="AN34" s="146"/>
    </row>
    <row r="35" spans="2:40" ht="15.5">
      <c r="B35" s="128" t="s">
        <v>1079</v>
      </c>
      <c r="C35" s="145">
        <v>4013141</v>
      </c>
      <c r="D35" s="130" t="s">
        <v>1130</v>
      </c>
      <c r="E35" s="115" t="s">
        <v>1131</v>
      </c>
      <c r="F35" s="131">
        <v>199</v>
      </c>
      <c r="G35" s="131">
        <v>199</v>
      </c>
      <c r="H35" s="132"/>
      <c r="I35" s="132"/>
      <c r="J35" s="132"/>
      <c r="K35" s="132"/>
      <c r="L35" s="132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27" t="s">
        <v>1075</v>
      </c>
      <c r="AN35" s="146"/>
    </row>
    <row r="36" spans="2:40" ht="15.5">
      <c r="B36" s="128" t="s">
        <v>1079</v>
      </c>
      <c r="C36" s="145">
        <v>4015880</v>
      </c>
      <c r="D36" s="130" t="s">
        <v>1132</v>
      </c>
      <c r="E36" s="115" t="s">
        <v>1133</v>
      </c>
      <c r="F36" s="131">
        <v>199</v>
      </c>
      <c r="G36" s="131">
        <v>199</v>
      </c>
      <c r="H36" s="132"/>
      <c r="I36" s="132"/>
      <c r="J36" s="132"/>
      <c r="K36" s="132"/>
      <c r="L36" s="132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27" t="s">
        <v>1075</v>
      </c>
      <c r="AN36" s="146"/>
    </row>
    <row r="37" spans="2:40" ht="15.5">
      <c r="B37" s="128" t="s">
        <v>1079</v>
      </c>
      <c r="C37" s="145">
        <v>4016971</v>
      </c>
      <c r="D37" s="130" t="s">
        <v>1134</v>
      </c>
      <c r="E37" s="115" t="s">
        <v>1135</v>
      </c>
      <c r="F37" s="131">
        <v>199</v>
      </c>
      <c r="G37" s="131">
        <v>199</v>
      </c>
      <c r="H37" s="132"/>
      <c r="I37" s="132"/>
      <c r="J37" s="132"/>
      <c r="K37" s="132"/>
      <c r="L37" s="132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27" t="s">
        <v>1075</v>
      </c>
      <c r="AN37" s="146"/>
    </row>
    <row r="38" spans="2:40" ht="15.5">
      <c r="B38" s="135" t="s">
        <v>1079</v>
      </c>
      <c r="C38" s="129">
        <v>4013617</v>
      </c>
      <c r="D38" s="130" t="s">
        <v>1136</v>
      </c>
      <c r="E38" s="115" t="s">
        <v>1137</v>
      </c>
      <c r="F38" s="131">
        <v>99</v>
      </c>
      <c r="G38" s="131">
        <v>99</v>
      </c>
      <c r="H38" s="132"/>
      <c r="I38" s="132"/>
      <c r="J38" s="117"/>
      <c r="K38" s="117"/>
      <c r="L38" s="117"/>
      <c r="M38" s="133"/>
      <c r="N38" s="133"/>
      <c r="O38" s="122"/>
      <c r="P38" s="122"/>
      <c r="Q38" s="122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27" t="s">
        <v>1075</v>
      </c>
      <c r="AN38" s="146"/>
    </row>
    <row r="39" spans="2:40" ht="15.5">
      <c r="B39" s="135" t="s">
        <v>1079</v>
      </c>
      <c r="C39" s="129">
        <v>4014261</v>
      </c>
      <c r="D39" s="130" t="s">
        <v>1138</v>
      </c>
      <c r="E39" s="115" t="s">
        <v>1139</v>
      </c>
      <c r="F39" s="131">
        <v>149</v>
      </c>
      <c r="G39" s="131">
        <v>149</v>
      </c>
      <c r="H39" s="132"/>
      <c r="I39" s="132"/>
      <c r="J39" s="117"/>
      <c r="K39" s="117"/>
      <c r="L39" s="117"/>
      <c r="M39" s="133"/>
      <c r="N39" s="133"/>
      <c r="O39" s="122"/>
      <c r="P39" s="122"/>
      <c r="Q39" s="122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27" t="s">
        <v>1075</v>
      </c>
      <c r="AN39" s="146"/>
    </row>
    <row r="40" spans="2:40" ht="15.5">
      <c r="B40" s="130" t="s">
        <v>1079</v>
      </c>
      <c r="C40" s="129">
        <v>4015696</v>
      </c>
      <c r="D40" s="140" t="s">
        <v>1140</v>
      </c>
      <c r="E40" s="115" t="s">
        <v>1141</v>
      </c>
      <c r="F40" s="131">
        <v>449</v>
      </c>
      <c r="G40" s="131">
        <v>449</v>
      </c>
      <c r="H40" s="132">
        <v>449</v>
      </c>
      <c r="I40" s="132">
        <v>449</v>
      </c>
      <c r="J40" s="117">
        <v>399</v>
      </c>
      <c r="K40" s="117">
        <v>399</v>
      </c>
      <c r="L40" s="117">
        <v>399</v>
      </c>
      <c r="M40" s="132">
        <v>399</v>
      </c>
      <c r="N40" s="132">
        <v>399</v>
      </c>
      <c r="O40" s="117">
        <v>349</v>
      </c>
      <c r="P40" s="117">
        <v>249</v>
      </c>
      <c r="Q40" s="117">
        <v>249</v>
      </c>
      <c r="R40" s="134">
        <v>349</v>
      </c>
      <c r="S40" s="134">
        <v>249</v>
      </c>
      <c r="T40" s="132">
        <v>249</v>
      </c>
      <c r="U40" s="132">
        <v>249</v>
      </c>
      <c r="V40" s="134">
        <v>249</v>
      </c>
      <c r="W40" s="134">
        <v>249</v>
      </c>
      <c r="X40" s="134">
        <v>249</v>
      </c>
      <c r="Y40" s="134">
        <v>249</v>
      </c>
      <c r="Z40" s="134">
        <v>249</v>
      </c>
      <c r="AA40" s="134">
        <v>249</v>
      </c>
      <c r="AB40" s="147">
        <f>$H40-70</f>
        <v>379</v>
      </c>
      <c r="AC40" s="147">
        <f>$H40-70</f>
        <v>379</v>
      </c>
      <c r="AD40" s="147">
        <f>$H40-70</f>
        <v>379</v>
      </c>
      <c r="AE40" s="147">
        <f>$H40-100</f>
        <v>349</v>
      </c>
      <c r="AF40" s="147">
        <f>$H40-100</f>
        <v>349</v>
      </c>
      <c r="AG40" s="147">
        <f>$H40-100</f>
        <v>349</v>
      </c>
      <c r="AH40" s="147">
        <v>249</v>
      </c>
      <c r="AI40" s="147">
        <f>$H40-200</f>
        <v>249</v>
      </c>
      <c r="AJ40" s="147">
        <f>$H40-200</f>
        <v>249</v>
      </c>
      <c r="AK40" s="147">
        <f>$H40-200</f>
        <v>249</v>
      </c>
      <c r="AL40" s="147">
        <f>$H40-200</f>
        <v>249</v>
      </c>
      <c r="AM40" s="127" t="s">
        <v>1075</v>
      </c>
    </row>
    <row r="41" spans="2:40" ht="15.5">
      <c r="B41" s="130" t="s">
        <v>1142</v>
      </c>
      <c r="C41" s="129">
        <v>4016533</v>
      </c>
      <c r="D41" s="140" t="s">
        <v>1143</v>
      </c>
      <c r="E41" s="115" t="s">
        <v>1144</v>
      </c>
      <c r="F41" s="131">
        <v>799</v>
      </c>
      <c r="G41" s="131">
        <v>799</v>
      </c>
      <c r="H41" s="132">
        <v>799</v>
      </c>
      <c r="I41" s="132">
        <v>799</v>
      </c>
      <c r="J41" s="132">
        <v>749</v>
      </c>
      <c r="K41" s="132">
        <v>749</v>
      </c>
      <c r="L41" s="132">
        <v>749</v>
      </c>
      <c r="M41" s="132">
        <v>749</v>
      </c>
      <c r="N41" s="132">
        <v>749</v>
      </c>
      <c r="O41" s="132">
        <v>699</v>
      </c>
      <c r="P41" s="117">
        <v>599</v>
      </c>
      <c r="Q41" s="117">
        <v>399</v>
      </c>
      <c r="R41" s="134">
        <v>699</v>
      </c>
      <c r="S41" s="134">
        <v>599</v>
      </c>
      <c r="T41" s="132">
        <v>399</v>
      </c>
      <c r="U41" s="132">
        <v>399</v>
      </c>
      <c r="V41" s="134">
        <v>399</v>
      </c>
      <c r="W41" s="134">
        <v>399</v>
      </c>
      <c r="X41" s="134">
        <v>399</v>
      </c>
      <c r="Y41" s="134">
        <v>399</v>
      </c>
      <c r="Z41" s="134">
        <v>399</v>
      </c>
      <c r="AA41" s="134">
        <v>399</v>
      </c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27" t="s">
        <v>1075</v>
      </c>
    </row>
    <row r="42" spans="2:40" ht="15.5">
      <c r="B42" s="130" t="s">
        <v>1142</v>
      </c>
      <c r="C42" s="129">
        <v>4016531</v>
      </c>
      <c r="D42" s="140" t="s">
        <v>1143</v>
      </c>
      <c r="E42" s="115" t="s">
        <v>1145</v>
      </c>
      <c r="F42" s="131">
        <v>799</v>
      </c>
      <c r="G42" s="131">
        <v>799</v>
      </c>
      <c r="H42" s="132">
        <v>799</v>
      </c>
      <c r="I42" s="132">
        <v>799</v>
      </c>
      <c r="J42" s="117">
        <v>749</v>
      </c>
      <c r="K42" s="117">
        <v>749</v>
      </c>
      <c r="L42" s="117">
        <v>749</v>
      </c>
      <c r="M42" s="132">
        <v>749</v>
      </c>
      <c r="N42" s="132">
        <v>749</v>
      </c>
      <c r="O42" s="117">
        <v>699</v>
      </c>
      <c r="P42" s="117">
        <v>599</v>
      </c>
      <c r="Q42" s="117">
        <v>399</v>
      </c>
      <c r="R42" s="134">
        <v>699</v>
      </c>
      <c r="S42" s="134">
        <v>599</v>
      </c>
      <c r="T42" s="132">
        <v>399</v>
      </c>
      <c r="U42" s="132">
        <v>399</v>
      </c>
      <c r="V42" s="134">
        <v>399</v>
      </c>
      <c r="W42" s="134">
        <v>399</v>
      </c>
      <c r="X42" s="134">
        <v>399</v>
      </c>
      <c r="Y42" s="134">
        <v>399</v>
      </c>
      <c r="Z42" s="134">
        <v>399</v>
      </c>
      <c r="AA42" s="134">
        <v>399</v>
      </c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27" t="s">
        <v>1075</v>
      </c>
    </row>
    <row r="43" spans="2:40" ht="15.5">
      <c r="B43" s="130" t="s">
        <v>1142</v>
      </c>
      <c r="C43" s="129">
        <v>4017339</v>
      </c>
      <c r="D43" s="148" t="s">
        <v>1146</v>
      </c>
      <c r="E43" s="115" t="s">
        <v>1147</v>
      </c>
      <c r="F43" s="137">
        <v>299</v>
      </c>
      <c r="G43" s="137">
        <v>299</v>
      </c>
      <c r="H43" s="138">
        <v>299</v>
      </c>
      <c r="I43" s="138">
        <v>299</v>
      </c>
      <c r="J43" s="125">
        <v>249</v>
      </c>
      <c r="K43" s="125">
        <v>249</v>
      </c>
      <c r="L43" s="125">
        <v>249</v>
      </c>
      <c r="M43" s="138">
        <v>249</v>
      </c>
      <c r="N43" s="138">
        <v>249</v>
      </c>
      <c r="O43" s="125">
        <v>199</v>
      </c>
      <c r="P43" s="125">
        <v>199</v>
      </c>
      <c r="Q43" s="125">
        <v>199</v>
      </c>
      <c r="R43" s="138">
        <v>199</v>
      </c>
      <c r="S43" s="138">
        <v>199</v>
      </c>
      <c r="T43" s="138">
        <v>199</v>
      </c>
      <c r="U43" s="138">
        <v>199</v>
      </c>
      <c r="V43" s="138">
        <v>199</v>
      </c>
      <c r="W43" s="138">
        <v>199</v>
      </c>
      <c r="X43" s="138">
        <v>199</v>
      </c>
      <c r="Y43" s="149">
        <v>199</v>
      </c>
      <c r="Z43" s="149">
        <v>199</v>
      </c>
      <c r="AA43" s="138">
        <v>199</v>
      </c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27" t="s">
        <v>1075</v>
      </c>
    </row>
    <row r="44" spans="2:40" ht="15.5">
      <c r="B44" s="130" t="s">
        <v>1142</v>
      </c>
      <c r="C44" s="129">
        <v>4017404</v>
      </c>
      <c r="D44" s="140" t="s">
        <v>1148</v>
      </c>
      <c r="E44" s="115" t="s">
        <v>1149</v>
      </c>
      <c r="F44" s="131">
        <v>1099</v>
      </c>
      <c r="G44" s="131">
        <v>1099</v>
      </c>
      <c r="H44" s="132">
        <v>1099</v>
      </c>
      <c r="I44" s="132">
        <v>1099</v>
      </c>
      <c r="J44" s="117">
        <v>1049</v>
      </c>
      <c r="K44" s="117">
        <v>1049</v>
      </c>
      <c r="L44" s="117">
        <v>1049</v>
      </c>
      <c r="M44" s="132">
        <v>1049</v>
      </c>
      <c r="N44" s="132">
        <v>1049</v>
      </c>
      <c r="O44" s="117">
        <v>999</v>
      </c>
      <c r="P44" s="117">
        <v>899</v>
      </c>
      <c r="Q44" s="117">
        <v>699</v>
      </c>
      <c r="R44" s="132">
        <v>999</v>
      </c>
      <c r="S44" s="132">
        <v>899</v>
      </c>
      <c r="T44" s="132">
        <v>699</v>
      </c>
      <c r="U44" s="132">
        <v>699</v>
      </c>
      <c r="V44" s="132">
        <v>699</v>
      </c>
      <c r="W44" s="132">
        <v>699</v>
      </c>
      <c r="X44" s="132">
        <v>599</v>
      </c>
      <c r="Y44" s="134">
        <v>599</v>
      </c>
      <c r="Z44" s="134">
        <v>599</v>
      </c>
      <c r="AA44" s="132">
        <v>599</v>
      </c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27" t="s">
        <v>1075</v>
      </c>
    </row>
    <row r="45" spans="2:40" ht="15.5">
      <c r="B45" s="130" t="s">
        <v>1142</v>
      </c>
      <c r="C45" s="129">
        <v>4016537</v>
      </c>
      <c r="D45" s="140" t="s">
        <v>1150</v>
      </c>
      <c r="E45" s="115" t="s">
        <v>1151</v>
      </c>
      <c r="F45" s="131">
        <v>1199</v>
      </c>
      <c r="G45" s="131">
        <v>1199</v>
      </c>
      <c r="H45" s="132">
        <v>1199</v>
      </c>
      <c r="I45" s="132">
        <v>1199</v>
      </c>
      <c r="J45" s="132">
        <v>1149</v>
      </c>
      <c r="K45" s="132">
        <v>1149</v>
      </c>
      <c r="L45" s="132">
        <v>1149</v>
      </c>
      <c r="M45" s="132">
        <v>1149</v>
      </c>
      <c r="N45" s="132">
        <v>1149</v>
      </c>
      <c r="O45" s="132">
        <v>1099</v>
      </c>
      <c r="P45" s="132">
        <v>999</v>
      </c>
      <c r="Q45" s="132">
        <v>799</v>
      </c>
      <c r="R45" s="132">
        <v>1099</v>
      </c>
      <c r="S45" s="132">
        <v>999</v>
      </c>
      <c r="T45" s="132">
        <v>799</v>
      </c>
      <c r="U45" s="132">
        <v>799</v>
      </c>
      <c r="V45" s="132">
        <v>799</v>
      </c>
      <c r="W45" s="132">
        <v>799</v>
      </c>
      <c r="X45" s="132">
        <v>799</v>
      </c>
      <c r="Y45" s="134">
        <v>799</v>
      </c>
      <c r="Z45" s="134">
        <v>799</v>
      </c>
      <c r="AA45" s="132">
        <v>799</v>
      </c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27" t="s">
        <v>1075</v>
      </c>
    </row>
    <row r="46" spans="2:40" ht="15.5">
      <c r="B46" s="130" t="s">
        <v>1079</v>
      </c>
      <c r="C46" s="129">
        <v>4016523</v>
      </c>
      <c r="D46" s="140" t="s">
        <v>1152</v>
      </c>
      <c r="E46" s="115" t="s">
        <v>1153</v>
      </c>
      <c r="F46" s="131">
        <v>449</v>
      </c>
      <c r="G46" s="131">
        <v>449</v>
      </c>
      <c r="H46" s="132">
        <v>449</v>
      </c>
      <c r="I46" s="132">
        <v>449</v>
      </c>
      <c r="J46" s="132">
        <v>399</v>
      </c>
      <c r="K46" s="132">
        <v>399</v>
      </c>
      <c r="L46" s="132">
        <v>399</v>
      </c>
      <c r="M46" s="132">
        <v>399</v>
      </c>
      <c r="N46" s="132">
        <v>399</v>
      </c>
      <c r="O46" s="132">
        <v>349</v>
      </c>
      <c r="P46" s="132">
        <v>249</v>
      </c>
      <c r="Q46" s="132">
        <v>249</v>
      </c>
      <c r="R46" s="134">
        <v>349</v>
      </c>
      <c r="S46" s="134">
        <v>249</v>
      </c>
      <c r="T46" s="132">
        <v>249</v>
      </c>
      <c r="U46" s="132">
        <v>249</v>
      </c>
      <c r="V46" s="134">
        <v>249</v>
      </c>
      <c r="W46" s="134">
        <v>249</v>
      </c>
      <c r="X46" s="134">
        <v>249</v>
      </c>
      <c r="Y46" s="134">
        <v>249</v>
      </c>
      <c r="Z46" s="134">
        <v>249</v>
      </c>
      <c r="AA46" s="134">
        <v>249</v>
      </c>
      <c r="AB46" s="147">
        <f>$H46-70</f>
        <v>379</v>
      </c>
      <c r="AC46" s="147">
        <f>$H46-70</f>
        <v>379</v>
      </c>
      <c r="AD46" s="147">
        <f>$H46-70</f>
        <v>379</v>
      </c>
      <c r="AE46" s="147">
        <f>$H46-100</f>
        <v>349</v>
      </c>
      <c r="AF46" s="147">
        <f>$H46-100</f>
        <v>349</v>
      </c>
      <c r="AG46" s="147">
        <f>$H46-100</f>
        <v>349</v>
      </c>
      <c r="AH46" s="147">
        <v>249</v>
      </c>
      <c r="AI46" s="147">
        <f>$H46-200</f>
        <v>249</v>
      </c>
      <c r="AJ46" s="147">
        <f>$H46-200</f>
        <v>249</v>
      </c>
      <c r="AK46" s="147">
        <f>$H46-200</f>
        <v>249</v>
      </c>
      <c r="AL46" s="147">
        <f>$H46-200</f>
        <v>249</v>
      </c>
      <c r="AM46" s="127" t="s">
        <v>1075</v>
      </c>
    </row>
    <row r="47" spans="2:40" ht="15.5">
      <c r="B47" s="130" t="s">
        <v>1142</v>
      </c>
      <c r="C47" s="129">
        <v>4016310</v>
      </c>
      <c r="D47" s="140" t="s">
        <v>1154</v>
      </c>
      <c r="E47" s="140" t="s">
        <v>1155</v>
      </c>
      <c r="F47" s="131">
        <v>399</v>
      </c>
      <c r="G47" s="131">
        <v>399</v>
      </c>
      <c r="H47" s="132">
        <v>399</v>
      </c>
      <c r="I47" s="132">
        <v>399</v>
      </c>
      <c r="J47" s="132">
        <v>349</v>
      </c>
      <c r="K47" s="132">
        <v>349</v>
      </c>
      <c r="L47" s="132">
        <v>349</v>
      </c>
      <c r="M47" s="132">
        <v>349</v>
      </c>
      <c r="N47" s="132">
        <v>349</v>
      </c>
      <c r="O47" s="132">
        <v>299</v>
      </c>
      <c r="P47" s="132">
        <v>299</v>
      </c>
      <c r="Q47" s="132">
        <v>249</v>
      </c>
      <c r="R47" s="134">
        <v>299</v>
      </c>
      <c r="S47" s="134">
        <v>249</v>
      </c>
      <c r="T47" s="132">
        <v>249</v>
      </c>
      <c r="U47" s="132">
        <v>249</v>
      </c>
      <c r="V47" s="134">
        <v>249</v>
      </c>
      <c r="W47" s="134">
        <v>249</v>
      </c>
      <c r="X47" s="134">
        <v>249</v>
      </c>
      <c r="Y47" s="134">
        <v>249</v>
      </c>
      <c r="Z47" s="134">
        <v>249</v>
      </c>
      <c r="AA47" s="134">
        <v>249</v>
      </c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27" t="s">
        <v>1075</v>
      </c>
    </row>
    <row r="48" spans="2:40" ht="15.5">
      <c r="B48" s="130" t="s">
        <v>1142</v>
      </c>
      <c r="C48" s="129">
        <v>4016311</v>
      </c>
      <c r="D48" s="140" t="s">
        <v>1154</v>
      </c>
      <c r="E48" s="115" t="s">
        <v>1156</v>
      </c>
      <c r="F48" s="131">
        <v>399</v>
      </c>
      <c r="G48" s="131">
        <v>399</v>
      </c>
      <c r="H48" s="132">
        <v>399</v>
      </c>
      <c r="I48" s="132">
        <v>399</v>
      </c>
      <c r="J48" s="117">
        <v>349</v>
      </c>
      <c r="K48" s="117">
        <v>349</v>
      </c>
      <c r="L48" s="117">
        <v>349</v>
      </c>
      <c r="M48" s="132">
        <v>349</v>
      </c>
      <c r="N48" s="132">
        <v>349</v>
      </c>
      <c r="O48" s="117">
        <v>299</v>
      </c>
      <c r="P48" s="117">
        <v>299</v>
      </c>
      <c r="Q48" s="117">
        <v>249</v>
      </c>
      <c r="R48" s="134">
        <v>299</v>
      </c>
      <c r="S48" s="134">
        <v>249</v>
      </c>
      <c r="T48" s="132">
        <v>249</v>
      </c>
      <c r="U48" s="132">
        <v>249</v>
      </c>
      <c r="V48" s="134">
        <v>249</v>
      </c>
      <c r="W48" s="134">
        <v>249</v>
      </c>
      <c r="X48" s="134">
        <v>249</v>
      </c>
      <c r="Y48" s="134">
        <v>249</v>
      </c>
      <c r="Z48" s="134">
        <v>249</v>
      </c>
      <c r="AA48" s="134">
        <v>249</v>
      </c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27" t="s">
        <v>1075</v>
      </c>
    </row>
    <row r="49" spans="2:39" ht="15" customHeight="1">
      <c r="B49" s="130" t="s">
        <v>1079</v>
      </c>
      <c r="C49" s="129">
        <v>4016544</v>
      </c>
      <c r="D49" s="140" t="s">
        <v>1157</v>
      </c>
      <c r="E49" s="115" t="s">
        <v>1158</v>
      </c>
      <c r="F49" s="131">
        <v>199</v>
      </c>
      <c r="G49" s="131">
        <v>199</v>
      </c>
      <c r="H49" s="132">
        <v>199</v>
      </c>
      <c r="I49" s="132">
        <v>199</v>
      </c>
      <c r="J49" s="132">
        <v>149</v>
      </c>
      <c r="K49" s="132">
        <v>149</v>
      </c>
      <c r="L49" s="132">
        <v>149</v>
      </c>
      <c r="M49" s="132">
        <v>149</v>
      </c>
      <c r="N49" s="132">
        <v>149</v>
      </c>
      <c r="O49" s="132">
        <v>99</v>
      </c>
      <c r="P49" s="132">
        <v>99</v>
      </c>
      <c r="Q49" s="132">
        <v>99</v>
      </c>
      <c r="R49" s="134">
        <v>99</v>
      </c>
      <c r="S49" s="134">
        <v>99</v>
      </c>
      <c r="T49" s="132">
        <v>99</v>
      </c>
      <c r="U49" s="132">
        <v>99</v>
      </c>
      <c r="V49" s="134">
        <v>99</v>
      </c>
      <c r="W49" s="134">
        <v>99</v>
      </c>
      <c r="X49" s="134">
        <v>99</v>
      </c>
      <c r="Y49" s="134">
        <v>99</v>
      </c>
      <c r="Z49" s="134">
        <v>99</v>
      </c>
      <c r="AA49" s="134">
        <v>99</v>
      </c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27" t="s">
        <v>1075</v>
      </c>
    </row>
    <row r="50" spans="2:39" ht="15.5">
      <c r="B50" s="130" t="s">
        <v>1123</v>
      </c>
      <c r="C50" s="129">
        <v>4016406</v>
      </c>
      <c r="D50" s="140" t="s">
        <v>1159</v>
      </c>
      <c r="E50" s="115" t="s">
        <v>1160</v>
      </c>
      <c r="F50" s="131">
        <v>799</v>
      </c>
      <c r="G50" s="131">
        <v>799</v>
      </c>
      <c r="H50" s="132">
        <v>799</v>
      </c>
      <c r="I50" s="132">
        <v>799</v>
      </c>
      <c r="J50" s="132">
        <v>749</v>
      </c>
      <c r="K50" s="132">
        <v>749</v>
      </c>
      <c r="L50" s="132">
        <v>749</v>
      </c>
      <c r="M50" s="132">
        <v>749</v>
      </c>
      <c r="N50" s="132">
        <v>749</v>
      </c>
      <c r="O50" s="132">
        <v>699</v>
      </c>
      <c r="P50" s="132">
        <v>599</v>
      </c>
      <c r="Q50" s="132">
        <v>399</v>
      </c>
      <c r="R50" s="132">
        <v>699</v>
      </c>
      <c r="S50" s="132">
        <v>599</v>
      </c>
      <c r="T50" s="132">
        <v>399</v>
      </c>
      <c r="U50" s="132">
        <v>399</v>
      </c>
      <c r="V50" s="132">
        <v>399</v>
      </c>
      <c r="W50" s="132">
        <v>399</v>
      </c>
      <c r="X50" s="132">
        <v>399</v>
      </c>
      <c r="Y50" s="134">
        <v>399</v>
      </c>
      <c r="Z50" s="134">
        <v>399</v>
      </c>
      <c r="AA50" s="132">
        <v>399</v>
      </c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27" t="s">
        <v>1075</v>
      </c>
    </row>
    <row r="51" spans="2:39" ht="15.5">
      <c r="B51" s="130" t="s">
        <v>1123</v>
      </c>
      <c r="C51" s="129">
        <v>4016403</v>
      </c>
      <c r="D51" s="140" t="s">
        <v>1159</v>
      </c>
      <c r="E51" s="115" t="s">
        <v>1161</v>
      </c>
      <c r="F51" s="131">
        <v>799</v>
      </c>
      <c r="G51" s="131">
        <v>799</v>
      </c>
      <c r="H51" s="132">
        <v>799</v>
      </c>
      <c r="I51" s="132">
        <v>799</v>
      </c>
      <c r="J51" s="132">
        <v>749</v>
      </c>
      <c r="K51" s="132">
        <v>749</v>
      </c>
      <c r="L51" s="132">
        <v>749</v>
      </c>
      <c r="M51" s="132">
        <v>749</v>
      </c>
      <c r="N51" s="132">
        <v>749</v>
      </c>
      <c r="O51" s="132">
        <v>699</v>
      </c>
      <c r="P51" s="132">
        <v>599</v>
      </c>
      <c r="Q51" s="132">
        <v>399</v>
      </c>
      <c r="R51" s="132">
        <v>699</v>
      </c>
      <c r="S51" s="132">
        <v>599</v>
      </c>
      <c r="T51" s="132">
        <v>399</v>
      </c>
      <c r="U51" s="132">
        <v>399</v>
      </c>
      <c r="V51" s="132">
        <v>399</v>
      </c>
      <c r="W51" s="132">
        <v>399</v>
      </c>
      <c r="X51" s="132">
        <v>399</v>
      </c>
      <c r="Y51" s="134">
        <v>399</v>
      </c>
      <c r="Z51" s="134">
        <v>399</v>
      </c>
      <c r="AA51" s="132">
        <v>399</v>
      </c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27" t="s">
        <v>1075</v>
      </c>
    </row>
    <row r="52" spans="2:39" ht="15.5">
      <c r="B52" s="130" t="s">
        <v>1142</v>
      </c>
      <c r="C52" s="129">
        <v>4016367</v>
      </c>
      <c r="D52" s="140" t="s">
        <v>1162</v>
      </c>
      <c r="E52" s="115" t="s">
        <v>1163</v>
      </c>
      <c r="F52" s="132">
        <v>129</v>
      </c>
      <c r="G52" s="131">
        <v>129</v>
      </c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4"/>
      <c r="S52" s="134"/>
      <c r="T52" s="132"/>
      <c r="U52" s="132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27" t="s">
        <v>1075</v>
      </c>
    </row>
    <row r="53" spans="2:39" ht="15.5">
      <c r="B53" s="130" t="s">
        <v>1164</v>
      </c>
      <c r="C53" s="129">
        <v>4016407</v>
      </c>
      <c r="D53" s="140" t="s">
        <v>1165</v>
      </c>
      <c r="E53" s="115" t="s">
        <v>1166</v>
      </c>
      <c r="F53" s="131">
        <v>3499</v>
      </c>
      <c r="G53" s="131">
        <v>2699</v>
      </c>
      <c r="H53" s="132">
        <v>3499</v>
      </c>
      <c r="I53" s="132">
        <v>3499</v>
      </c>
      <c r="J53" s="132">
        <v>3449</v>
      </c>
      <c r="K53" s="132">
        <v>3449</v>
      </c>
      <c r="L53" s="132">
        <v>3449</v>
      </c>
      <c r="M53" s="132">
        <v>3449</v>
      </c>
      <c r="N53" s="132">
        <v>3449</v>
      </c>
      <c r="O53" s="132">
        <v>3399</v>
      </c>
      <c r="P53" s="132">
        <v>3299</v>
      </c>
      <c r="Q53" s="132">
        <v>3099</v>
      </c>
      <c r="R53" s="134">
        <v>3399</v>
      </c>
      <c r="S53" s="134">
        <v>3299</v>
      </c>
      <c r="T53" s="132">
        <v>3099</v>
      </c>
      <c r="U53" s="132">
        <v>3099</v>
      </c>
      <c r="V53" s="134">
        <v>3099</v>
      </c>
      <c r="W53" s="134">
        <v>3099</v>
      </c>
      <c r="X53" s="134">
        <v>2999</v>
      </c>
      <c r="Y53" s="134">
        <v>2699</v>
      </c>
      <c r="Z53" s="134">
        <v>2699</v>
      </c>
      <c r="AA53" s="134">
        <v>2649</v>
      </c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27" t="s">
        <v>1075</v>
      </c>
    </row>
    <row r="54" spans="2:39" ht="15.5">
      <c r="B54" s="130" t="s">
        <v>1164</v>
      </c>
      <c r="C54" s="129">
        <v>4016404</v>
      </c>
      <c r="D54" s="140" t="s">
        <v>1167</v>
      </c>
      <c r="E54" s="115" t="s">
        <v>1168</v>
      </c>
      <c r="F54" s="131">
        <v>3799</v>
      </c>
      <c r="G54" s="131">
        <v>2999</v>
      </c>
      <c r="H54" s="132">
        <v>3799</v>
      </c>
      <c r="I54" s="132">
        <v>3799</v>
      </c>
      <c r="J54" s="132">
        <v>3749</v>
      </c>
      <c r="K54" s="132">
        <v>3749</v>
      </c>
      <c r="L54" s="132">
        <v>3749</v>
      </c>
      <c r="M54" s="132">
        <v>3749</v>
      </c>
      <c r="N54" s="132">
        <v>3749</v>
      </c>
      <c r="O54" s="132">
        <v>3699</v>
      </c>
      <c r="P54" s="132">
        <v>3599</v>
      </c>
      <c r="Q54" s="132">
        <v>3399</v>
      </c>
      <c r="R54" s="134">
        <v>3699</v>
      </c>
      <c r="S54" s="134">
        <v>3599</v>
      </c>
      <c r="T54" s="132">
        <v>3399</v>
      </c>
      <c r="U54" s="132">
        <v>3399</v>
      </c>
      <c r="V54" s="134">
        <v>3399</v>
      </c>
      <c r="W54" s="134">
        <v>3399</v>
      </c>
      <c r="X54" s="134">
        <v>3299</v>
      </c>
      <c r="Y54" s="134">
        <v>2999</v>
      </c>
      <c r="Z54" s="134">
        <v>2999</v>
      </c>
      <c r="AA54" s="134">
        <v>2949</v>
      </c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27" t="s">
        <v>1075</v>
      </c>
    </row>
    <row r="55" spans="2:39" ht="15.5">
      <c r="B55" s="130" t="s">
        <v>1164</v>
      </c>
      <c r="C55" s="129">
        <v>4016410</v>
      </c>
      <c r="D55" s="140" t="s">
        <v>1169</v>
      </c>
      <c r="E55" s="115" t="s">
        <v>1170</v>
      </c>
      <c r="F55" s="131">
        <v>2999</v>
      </c>
      <c r="G55" s="131">
        <v>2199</v>
      </c>
      <c r="H55" s="132">
        <v>2999</v>
      </c>
      <c r="I55" s="132">
        <v>2999</v>
      </c>
      <c r="J55" s="132">
        <v>2949</v>
      </c>
      <c r="K55" s="132">
        <v>2949</v>
      </c>
      <c r="L55" s="132">
        <v>2949</v>
      </c>
      <c r="M55" s="132">
        <v>2949</v>
      </c>
      <c r="N55" s="132">
        <v>2949</v>
      </c>
      <c r="O55" s="132">
        <v>2899</v>
      </c>
      <c r="P55" s="132">
        <v>2799</v>
      </c>
      <c r="Q55" s="132">
        <v>2599</v>
      </c>
      <c r="R55" s="132">
        <v>2899</v>
      </c>
      <c r="S55" s="132">
        <v>2799</v>
      </c>
      <c r="T55" s="132">
        <v>2599</v>
      </c>
      <c r="U55" s="132">
        <v>2599</v>
      </c>
      <c r="V55" s="132">
        <v>2599</v>
      </c>
      <c r="W55" s="132">
        <v>2599</v>
      </c>
      <c r="X55" s="132">
        <v>2499</v>
      </c>
      <c r="Y55" s="134">
        <v>2199</v>
      </c>
      <c r="Z55" s="134">
        <v>2199</v>
      </c>
      <c r="AA55" s="134">
        <v>2149</v>
      </c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27" t="s">
        <v>1075</v>
      </c>
    </row>
    <row r="56" spans="2:39" ht="15.5">
      <c r="B56" s="135" t="s">
        <v>1079</v>
      </c>
      <c r="C56" s="129">
        <v>4015498</v>
      </c>
      <c r="D56" s="136" t="s">
        <v>1171</v>
      </c>
      <c r="E56" s="115" t="s">
        <v>1172</v>
      </c>
      <c r="F56" s="137">
        <v>199</v>
      </c>
      <c r="G56" s="137">
        <v>199</v>
      </c>
      <c r="H56" s="138">
        <v>0</v>
      </c>
      <c r="I56" s="138">
        <v>0</v>
      </c>
      <c r="J56" s="138">
        <v>0</v>
      </c>
      <c r="K56" s="138">
        <v>0</v>
      </c>
      <c r="L56" s="138">
        <v>0</v>
      </c>
      <c r="M56" s="139">
        <v>0</v>
      </c>
      <c r="N56" s="139">
        <v>0</v>
      </c>
      <c r="O56" s="138">
        <v>0</v>
      </c>
      <c r="P56" s="138">
        <v>0</v>
      </c>
      <c r="Q56" s="138">
        <v>0</v>
      </c>
      <c r="R56" s="139">
        <v>0</v>
      </c>
      <c r="S56" s="139">
        <v>0</v>
      </c>
      <c r="T56" s="139">
        <v>0</v>
      </c>
      <c r="U56" s="139">
        <v>0</v>
      </c>
      <c r="V56" s="139">
        <v>0</v>
      </c>
      <c r="W56" s="139">
        <v>0</v>
      </c>
      <c r="X56" s="139">
        <v>0</v>
      </c>
      <c r="Y56" s="139">
        <v>0</v>
      </c>
      <c r="Z56" s="139">
        <v>0</v>
      </c>
      <c r="AA56" s="139">
        <v>0</v>
      </c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27" t="s">
        <v>1075</v>
      </c>
    </row>
    <row r="57" spans="2:39" ht="15.5">
      <c r="B57" s="128" t="s">
        <v>1079</v>
      </c>
      <c r="C57" s="129">
        <v>4016014</v>
      </c>
      <c r="D57" s="130" t="s">
        <v>1173</v>
      </c>
      <c r="E57" s="115" t="s">
        <v>1174</v>
      </c>
      <c r="F57" s="131">
        <v>399</v>
      </c>
      <c r="G57" s="131">
        <v>399</v>
      </c>
      <c r="H57" s="132">
        <v>399</v>
      </c>
      <c r="I57" s="132">
        <v>399</v>
      </c>
      <c r="J57" s="117">
        <v>349</v>
      </c>
      <c r="K57" s="117">
        <v>349</v>
      </c>
      <c r="L57" s="117">
        <v>349</v>
      </c>
      <c r="M57" s="133">
        <v>349</v>
      </c>
      <c r="N57" s="133">
        <v>349</v>
      </c>
      <c r="O57" s="117">
        <v>299</v>
      </c>
      <c r="P57" s="117">
        <v>299</v>
      </c>
      <c r="Q57" s="117">
        <v>249</v>
      </c>
      <c r="R57" s="133">
        <v>299</v>
      </c>
      <c r="S57" s="133">
        <v>249</v>
      </c>
      <c r="T57" s="133">
        <v>249</v>
      </c>
      <c r="U57" s="133">
        <v>249</v>
      </c>
      <c r="V57" s="133">
        <v>249</v>
      </c>
      <c r="W57" s="133">
        <v>249</v>
      </c>
      <c r="X57" s="133">
        <v>249</v>
      </c>
      <c r="Y57" s="133">
        <v>249</v>
      </c>
      <c r="Z57" s="133">
        <v>249</v>
      </c>
      <c r="AA57" s="133">
        <v>249</v>
      </c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27" t="s">
        <v>1075</v>
      </c>
    </row>
    <row r="58" spans="2:39" ht="15.5">
      <c r="B58" s="128" t="s">
        <v>1076</v>
      </c>
      <c r="C58" s="129">
        <v>4016400</v>
      </c>
      <c r="D58" s="150" t="s">
        <v>1175</v>
      </c>
      <c r="E58" s="115" t="s">
        <v>1176</v>
      </c>
      <c r="F58" s="131">
        <v>299</v>
      </c>
      <c r="G58" s="131">
        <v>299</v>
      </c>
      <c r="H58" s="132">
        <v>299</v>
      </c>
      <c r="I58" s="132">
        <v>299</v>
      </c>
      <c r="J58" s="117">
        <v>249</v>
      </c>
      <c r="K58" s="117">
        <v>249</v>
      </c>
      <c r="L58" s="117">
        <v>249</v>
      </c>
      <c r="M58" s="133">
        <v>249</v>
      </c>
      <c r="N58" s="133">
        <v>249</v>
      </c>
      <c r="O58" s="117">
        <v>199</v>
      </c>
      <c r="P58" s="117">
        <v>199</v>
      </c>
      <c r="Q58" s="117">
        <v>199</v>
      </c>
      <c r="R58" s="133">
        <v>199</v>
      </c>
      <c r="S58" s="133">
        <v>199</v>
      </c>
      <c r="T58" s="133">
        <v>199</v>
      </c>
      <c r="U58" s="133">
        <v>199</v>
      </c>
      <c r="V58" s="133">
        <v>199</v>
      </c>
      <c r="W58" s="133">
        <v>199</v>
      </c>
      <c r="X58" s="133">
        <v>199</v>
      </c>
      <c r="Y58" s="133">
        <v>199</v>
      </c>
      <c r="Z58" s="133">
        <v>199</v>
      </c>
      <c r="AA58" s="133">
        <v>199</v>
      </c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27" t="s">
        <v>1075</v>
      </c>
    </row>
    <row r="59" spans="2:39" ht="15.5">
      <c r="B59" s="130" t="s">
        <v>1076</v>
      </c>
      <c r="C59" s="129">
        <v>4016502</v>
      </c>
      <c r="D59" s="140" t="s">
        <v>1177</v>
      </c>
      <c r="E59" s="115" t="s">
        <v>1178</v>
      </c>
      <c r="F59" s="131">
        <v>599</v>
      </c>
      <c r="G59" s="131">
        <v>599</v>
      </c>
      <c r="H59" s="132">
        <v>599</v>
      </c>
      <c r="I59" s="132">
        <v>599</v>
      </c>
      <c r="J59" s="117">
        <v>549</v>
      </c>
      <c r="K59" s="117">
        <v>549</v>
      </c>
      <c r="L59" s="117">
        <v>549</v>
      </c>
      <c r="M59" s="132">
        <v>549</v>
      </c>
      <c r="N59" s="132">
        <v>549</v>
      </c>
      <c r="O59" s="117">
        <v>499</v>
      </c>
      <c r="P59" s="117">
        <v>399</v>
      </c>
      <c r="Q59" s="117">
        <v>349</v>
      </c>
      <c r="R59" s="117">
        <v>499</v>
      </c>
      <c r="S59" s="132">
        <v>399</v>
      </c>
      <c r="T59" s="132">
        <v>349</v>
      </c>
      <c r="U59" s="132">
        <v>349</v>
      </c>
      <c r="V59" s="132">
        <v>349</v>
      </c>
      <c r="W59" s="132">
        <v>349</v>
      </c>
      <c r="X59" s="132">
        <v>349</v>
      </c>
      <c r="Y59" s="134">
        <v>349</v>
      </c>
      <c r="Z59" s="134">
        <v>349</v>
      </c>
      <c r="AA59" s="132">
        <v>349</v>
      </c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27" t="s">
        <v>1075</v>
      </c>
    </row>
    <row r="60" spans="2:39" ht="15.5">
      <c r="B60" s="128" t="s">
        <v>1179</v>
      </c>
      <c r="C60" s="145">
        <v>4015538</v>
      </c>
      <c r="D60" s="130" t="s">
        <v>1180</v>
      </c>
      <c r="E60" s="115" t="s">
        <v>1181</v>
      </c>
      <c r="F60" s="131">
        <v>699</v>
      </c>
      <c r="G60" s="131">
        <v>699</v>
      </c>
      <c r="H60" s="132">
        <v>699</v>
      </c>
      <c r="I60" s="132">
        <v>699</v>
      </c>
      <c r="J60" s="117">
        <v>649</v>
      </c>
      <c r="K60" s="117">
        <v>649</v>
      </c>
      <c r="L60" s="117">
        <v>649</v>
      </c>
      <c r="M60" s="133">
        <v>649</v>
      </c>
      <c r="N60" s="133">
        <v>649</v>
      </c>
      <c r="O60" s="117">
        <v>599</v>
      </c>
      <c r="P60" s="117">
        <v>599</v>
      </c>
      <c r="Q60" s="117">
        <v>499</v>
      </c>
      <c r="R60" s="133">
        <v>599</v>
      </c>
      <c r="S60" s="133">
        <v>499</v>
      </c>
      <c r="T60" s="122">
        <v>399</v>
      </c>
      <c r="U60" s="133">
        <v>399</v>
      </c>
      <c r="V60" s="133">
        <v>399</v>
      </c>
      <c r="W60" s="133">
        <v>399</v>
      </c>
      <c r="X60" s="133">
        <v>399</v>
      </c>
      <c r="Y60" s="133">
        <v>399</v>
      </c>
      <c r="Z60" s="133">
        <v>399</v>
      </c>
      <c r="AA60" s="133">
        <v>399</v>
      </c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27" t="s">
        <v>1075</v>
      </c>
    </row>
    <row r="61" spans="2:39" ht="15.5">
      <c r="B61" s="128" t="s">
        <v>1179</v>
      </c>
      <c r="C61" s="129">
        <v>4016434</v>
      </c>
      <c r="D61" s="140" t="s">
        <v>1182</v>
      </c>
      <c r="E61" s="115" t="s">
        <v>1183</v>
      </c>
      <c r="F61" s="131">
        <v>699</v>
      </c>
      <c r="G61" s="131">
        <v>699</v>
      </c>
      <c r="H61" s="132">
        <v>699</v>
      </c>
      <c r="I61" s="132">
        <v>699</v>
      </c>
      <c r="J61" s="117">
        <v>649</v>
      </c>
      <c r="K61" s="117">
        <v>649</v>
      </c>
      <c r="L61" s="117">
        <v>649</v>
      </c>
      <c r="M61" s="133">
        <v>649</v>
      </c>
      <c r="N61" s="133">
        <v>649</v>
      </c>
      <c r="O61" s="117">
        <v>599</v>
      </c>
      <c r="P61" s="117">
        <v>599</v>
      </c>
      <c r="Q61" s="117">
        <v>499</v>
      </c>
      <c r="R61" s="133">
        <v>599</v>
      </c>
      <c r="S61" s="133">
        <v>499</v>
      </c>
      <c r="T61" s="133">
        <v>399</v>
      </c>
      <c r="U61" s="133">
        <v>399</v>
      </c>
      <c r="V61" s="133">
        <v>399</v>
      </c>
      <c r="W61" s="133">
        <v>399</v>
      </c>
      <c r="X61" s="133">
        <v>399</v>
      </c>
      <c r="Y61" s="133">
        <v>399</v>
      </c>
      <c r="Z61" s="133">
        <v>399</v>
      </c>
      <c r="AA61" s="133">
        <v>399</v>
      </c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27" t="s">
        <v>1075</v>
      </c>
    </row>
    <row r="62" spans="2:39" ht="15.5">
      <c r="B62" s="128" t="s">
        <v>1072</v>
      </c>
      <c r="C62" s="145">
        <v>4014960</v>
      </c>
      <c r="D62" s="130" t="s">
        <v>1184</v>
      </c>
      <c r="E62" s="115" t="s">
        <v>1185</v>
      </c>
      <c r="F62" s="131">
        <v>299</v>
      </c>
      <c r="G62" s="131">
        <v>299</v>
      </c>
      <c r="H62" s="132"/>
      <c r="I62" s="132"/>
      <c r="J62" s="117"/>
      <c r="K62" s="117"/>
      <c r="L62" s="117"/>
      <c r="M62" s="133"/>
      <c r="N62" s="133"/>
      <c r="O62" s="117"/>
      <c r="P62" s="117"/>
      <c r="Q62" s="117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>
        <v>289</v>
      </c>
      <c r="AC62" s="133">
        <v>289</v>
      </c>
      <c r="AD62" s="133">
        <v>289</v>
      </c>
      <c r="AE62" s="133">
        <v>289</v>
      </c>
      <c r="AF62" s="133">
        <v>289</v>
      </c>
      <c r="AG62" s="133">
        <v>289</v>
      </c>
      <c r="AH62" s="133">
        <v>289</v>
      </c>
      <c r="AI62" s="133">
        <v>289</v>
      </c>
      <c r="AJ62" s="133">
        <v>289</v>
      </c>
      <c r="AK62" s="133">
        <v>289</v>
      </c>
      <c r="AL62" s="133">
        <v>289</v>
      </c>
      <c r="AM62" s="127" t="s">
        <v>1075</v>
      </c>
    </row>
    <row r="63" spans="2:39" ht="15.5">
      <c r="B63" s="130" t="s">
        <v>1076</v>
      </c>
      <c r="C63" s="129">
        <v>4015580</v>
      </c>
      <c r="D63" s="140" t="s">
        <v>1186</v>
      </c>
      <c r="E63" s="115" t="s">
        <v>1187</v>
      </c>
      <c r="F63" s="131">
        <v>2499</v>
      </c>
      <c r="G63" s="131">
        <v>2499</v>
      </c>
      <c r="H63" s="132">
        <v>2499</v>
      </c>
      <c r="I63" s="132">
        <v>2499</v>
      </c>
      <c r="J63" s="117">
        <v>2449</v>
      </c>
      <c r="K63" s="117">
        <v>2449</v>
      </c>
      <c r="L63" s="117">
        <v>2449</v>
      </c>
      <c r="M63" s="132">
        <v>2449</v>
      </c>
      <c r="N63" s="132">
        <v>2449</v>
      </c>
      <c r="O63" s="117">
        <v>2399</v>
      </c>
      <c r="P63" s="117">
        <v>2399</v>
      </c>
      <c r="Q63" s="117">
        <v>2299</v>
      </c>
      <c r="R63" s="132">
        <v>2399</v>
      </c>
      <c r="S63" s="132">
        <v>2299</v>
      </c>
      <c r="T63" s="132">
        <v>2099</v>
      </c>
      <c r="U63" s="132">
        <v>2099</v>
      </c>
      <c r="V63" s="132">
        <v>2099</v>
      </c>
      <c r="W63" s="132">
        <v>2099</v>
      </c>
      <c r="X63" s="132">
        <v>1999</v>
      </c>
      <c r="Y63" s="134">
        <v>1699</v>
      </c>
      <c r="Z63" s="134">
        <v>1699</v>
      </c>
      <c r="AA63" s="132">
        <v>1649</v>
      </c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27" t="s">
        <v>1075</v>
      </c>
    </row>
    <row r="64" spans="2:39" ht="15.5">
      <c r="B64" s="135" t="s">
        <v>1123</v>
      </c>
      <c r="C64" s="129">
        <v>4016307</v>
      </c>
      <c r="D64" s="148" t="s">
        <v>1188</v>
      </c>
      <c r="E64" s="115" t="s">
        <v>1189</v>
      </c>
      <c r="F64" s="137">
        <v>699</v>
      </c>
      <c r="G64" s="137">
        <v>699</v>
      </c>
      <c r="H64" s="137">
        <v>699</v>
      </c>
      <c r="I64" s="137">
        <v>699</v>
      </c>
      <c r="J64" s="138">
        <v>649</v>
      </c>
      <c r="K64" s="138">
        <v>649</v>
      </c>
      <c r="L64" s="138">
        <v>649</v>
      </c>
      <c r="M64" s="138">
        <v>649</v>
      </c>
      <c r="N64" s="138">
        <v>649</v>
      </c>
      <c r="O64" s="138">
        <v>599</v>
      </c>
      <c r="P64" s="138">
        <v>599</v>
      </c>
      <c r="Q64" s="138">
        <v>499</v>
      </c>
      <c r="R64" s="139">
        <v>599</v>
      </c>
      <c r="S64" s="139">
        <v>499</v>
      </c>
      <c r="T64" s="139">
        <v>399</v>
      </c>
      <c r="U64" s="139">
        <v>399</v>
      </c>
      <c r="V64" s="139">
        <v>399</v>
      </c>
      <c r="W64" s="139">
        <v>399</v>
      </c>
      <c r="X64" s="139">
        <v>399</v>
      </c>
      <c r="Y64" s="139">
        <v>399</v>
      </c>
      <c r="Z64" s="139">
        <v>399</v>
      </c>
      <c r="AA64" s="139">
        <v>399</v>
      </c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27" t="s">
        <v>1075</v>
      </c>
    </row>
    <row r="65" spans="2:40" ht="15.5">
      <c r="B65" s="135" t="s">
        <v>1123</v>
      </c>
      <c r="C65" s="145">
        <v>4016308</v>
      </c>
      <c r="D65" s="136" t="s">
        <v>1188</v>
      </c>
      <c r="E65" s="115" t="s">
        <v>1190</v>
      </c>
      <c r="F65" s="137">
        <v>699</v>
      </c>
      <c r="G65" s="137">
        <v>699</v>
      </c>
      <c r="H65" s="138">
        <v>699</v>
      </c>
      <c r="I65" s="138">
        <v>699</v>
      </c>
      <c r="J65" s="125">
        <v>649</v>
      </c>
      <c r="K65" s="125">
        <v>649</v>
      </c>
      <c r="L65" s="125">
        <v>649</v>
      </c>
      <c r="M65" s="151">
        <v>649</v>
      </c>
      <c r="N65" s="151">
        <v>649</v>
      </c>
      <c r="O65" s="125">
        <v>599</v>
      </c>
      <c r="P65" s="125">
        <v>599</v>
      </c>
      <c r="Q65" s="125">
        <v>499</v>
      </c>
      <c r="R65" s="151">
        <v>599</v>
      </c>
      <c r="S65" s="151">
        <v>499</v>
      </c>
      <c r="T65" s="151">
        <v>399</v>
      </c>
      <c r="U65" s="151">
        <v>399</v>
      </c>
      <c r="V65" s="151">
        <v>399</v>
      </c>
      <c r="W65" s="151">
        <v>399</v>
      </c>
      <c r="X65" s="151">
        <v>399</v>
      </c>
      <c r="Y65" s="151">
        <v>399</v>
      </c>
      <c r="Z65" s="151">
        <v>399</v>
      </c>
      <c r="AA65" s="151">
        <v>399</v>
      </c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7" t="s">
        <v>1075</v>
      </c>
    </row>
    <row r="66" spans="2:40" ht="15.5">
      <c r="B66" s="128" t="s">
        <v>1164</v>
      </c>
      <c r="C66" s="129">
        <v>4016180</v>
      </c>
      <c r="D66" s="130" t="s">
        <v>1191</v>
      </c>
      <c r="E66" s="115" t="s">
        <v>1192</v>
      </c>
      <c r="F66" s="131">
        <v>1699</v>
      </c>
      <c r="G66" s="131">
        <v>1699</v>
      </c>
      <c r="H66" s="132">
        <v>1699</v>
      </c>
      <c r="I66" s="132">
        <v>1699</v>
      </c>
      <c r="J66" s="117">
        <v>1649</v>
      </c>
      <c r="K66" s="117">
        <v>1649</v>
      </c>
      <c r="L66" s="117">
        <v>1649</v>
      </c>
      <c r="M66" s="122">
        <v>1649</v>
      </c>
      <c r="N66" s="122">
        <v>1649</v>
      </c>
      <c r="O66" s="117">
        <v>1599</v>
      </c>
      <c r="P66" s="117">
        <v>1599</v>
      </c>
      <c r="Q66" s="117">
        <v>1499</v>
      </c>
      <c r="R66" s="122">
        <v>1599</v>
      </c>
      <c r="S66" s="122">
        <v>1499</v>
      </c>
      <c r="T66" s="117">
        <v>1299</v>
      </c>
      <c r="U66" s="122">
        <v>1299</v>
      </c>
      <c r="V66" s="122">
        <v>1299</v>
      </c>
      <c r="W66" s="122">
        <v>1299</v>
      </c>
      <c r="X66" s="122">
        <v>1199</v>
      </c>
      <c r="Y66" s="122">
        <v>899</v>
      </c>
      <c r="Z66" s="122">
        <v>899</v>
      </c>
      <c r="AA66" s="122">
        <v>899</v>
      </c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7" t="s">
        <v>1075</v>
      </c>
    </row>
    <row r="67" spans="2:40" ht="15.5">
      <c r="B67" s="130" t="s">
        <v>1193</v>
      </c>
      <c r="C67" s="129">
        <v>4017353</v>
      </c>
      <c r="D67" s="148" t="s">
        <v>1194</v>
      </c>
      <c r="E67" s="115" t="s">
        <v>1195</v>
      </c>
      <c r="F67" s="143">
        <v>3999</v>
      </c>
      <c r="G67" s="152">
        <v>2999</v>
      </c>
      <c r="H67" s="143">
        <v>3999</v>
      </c>
      <c r="I67" s="143">
        <v>3999</v>
      </c>
      <c r="J67" s="144">
        <v>3949</v>
      </c>
      <c r="K67" s="144">
        <v>3949</v>
      </c>
      <c r="L67" s="144">
        <v>3949</v>
      </c>
      <c r="M67" s="143">
        <v>3949</v>
      </c>
      <c r="N67" s="143">
        <v>3949</v>
      </c>
      <c r="O67" s="144">
        <v>3899</v>
      </c>
      <c r="P67" s="144">
        <v>3799</v>
      </c>
      <c r="Q67" s="144">
        <v>3599</v>
      </c>
      <c r="R67" s="143">
        <v>3899</v>
      </c>
      <c r="S67" s="143">
        <v>3799</v>
      </c>
      <c r="T67" s="143">
        <v>3599</v>
      </c>
      <c r="U67" s="143">
        <v>3599</v>
      </c>
      <c r="V67" s="143">
        <v>3599</v>
      </c>
      <c r="W67" s="143">
        <v>3599</v>
      </c>
      <c r="X67" s="143">
        <v>3499</v>
      </c>
      <c r="Y67" s="152">
        <v>2999</v>
      </c>
      <c r="Z67" s="152">
        <v>2999</v>
      </c>
      <c r="AA67" s="152">
        <v>2949</v>
      </c>
      <c r="AB67" s="143">
        <v>3949</v>
      </c>
      <c r="AC67" s="143">
        <v>3949</v>
      </c>
      <c r="AD67" s="143">
        <v>3949</v>
      </c>
      <c r="AE67" s="143">
        <v>3949</v>
      </c>
      <c r="AF67" s="143">
        <v>3899</v>
      </c>
      <c r="AG67" s="143">
        <v>3899</v>
      </c>
      <c r="AH67" s="143">
        <v>3599</v>
      </c>
      <c r="AI67" s="143">
        <v>3599</v>
      </c>
      <c r="AJ67" s="143">
        <v>3599</v>
      </c>
      <c r="AK67" s="143">
        <v>3599</v>
      </c>
      <c r="AL67" s="152">
        <v>2999</v>
      </c>
      <c r="AM67" s="127" t="s">
        <v>1075</v>
      </c>
    </row>
    <row r="68" spans="2:40" ht="15.5">
      <c r="B68" s="130" t="s">
        <v>1076</v>
      </c>
      <c r="C68" s="129">
        <v>4016511</v>
      </c>
      <c r="D68" s="148" t="s">
        <v>1196</v>
      </c>
      <c r="E68" s="115" t="s">
        <v>1197</v>
      </c>
      <c r="F68" s="143">
        <v>3999</v>
      </c>
      <c r="G68" s="152">
        <v>2999</v>
      </c>
      <c r="H68" s="143">
        <v>3999</v>
      </c>
      <c r="I68" s="143">
        <v>3999</v>
      </c>
      <c r="J68" s="144">
        <v>3949</v>
      </c>
      <c r="K68" s="144">
        <v>3949</v>
      </c>
      <c r="L68" s="144">
        <v>3949</v>
      </c>
      <c r="M68" s="143">
        <v>3949</v>
      </c>
      <c r="N68" s="143">
        <v>3949</v>
      </c>
      <c r="O68" s="144">
        <v>3899</v>
      </c>
      <c r="P68" s="144">
        <v>3799</v>
      </c>
      <c r="Q68" s="144">
        <v>3599</v>
      </c>
      <c r="R68" s="143">
        <v>3899</v>
      </c>
      <c r="S68" s="143">
        <v>3799</v>
      </c>
      <c r="T68" s="143">
        <v>3599</v>
      </c>
      <c r="U68" s="143">
        <v>3599</v>
      </c>
      <c r="V68" s="143">
        <v>3599</v>
      </c>
      <c r="W68" s="143">
        <v>3599</v>
      </c>
      <c r="X68" s="143">
        <v>3499</v>
      </c>
      <c r="Y68" s="152">
        <v>2999</v>
      </c>
      <c r="Z68" s="152">
        <v>2999</v>
      </c>
      <c r="AA68" s="152">
        <v>2949</v>
      </c>
      <c r="AB68" s="143">
        <v>3949</v>
      </c>
      <c r="AC68" s="143">
        <v>3949</v>
      </c>
      <c r="AD68" s="143">
        <v>3949</v>
      </c>
      <c r="AE68" s="143">
        <v>3949</v>
      </c>
      <c r="AF68" s="143">
        <v>3899</v>
      </c>
      <c r="AG68" s="143">
        <v>3899</v>
      </c>
      <c r="AH68" s="143">
        <v>3599</v>
      </c>
      <c r="AI68" s="143">
        <v>3599</v>
      </c>
      <c r="AJ68" s="143">
        <v>3599</v>
      </c>
      <c r="AK68" s="143">
        <v>3599</v>
      </c>
      <c r="AL68" s="152">
        <v>2999</v>
      </c>
      <c r="AM68" s="127" t="s">
        <v>1075</v>
      </c>
    </row>
    <row r="69" spans="2:40" ht="15.5">
      <c r="B69" s="130" t="s">
        <v>1076</v>
      </c>
      <c r="C69" s="129">
        <v>4016960</v>
      </c>
      <c r="D69" s="148" t="s">
        <v>1198</v>
      </c>
      <c r="E69" s="115" t="s">
        <v>1199</v>
      </c>
      <c r="F69" s="143">
        <v>3999</v>
      </c>
      <c r="G69" s="152">
        <v>2999</v>
      </c>
      <c r="H69" s="143">
        <v>3999</v>
      </c>
      <c r="I69" s="143">
        <v>3999</v>
      </c>
      <c r="J69" s="144">
        <v>3949</v>
      </c>
      <c r="K69" s="144">
        <v>3949</v>
      </c>
      <c r="L69" s="144">
        <v>3949</v>
      </c>
      <c r="M69" s="143">
        <v>3949</v>
      </c>
      <c r="N69" s="143">
        <v>3949</v>
      </c>
      <c r="O69" s="144">
        <v>3899</v>
      </c>
      <c r="P69" s="144">
        <v>3799</v>
      </c>
      <c r="Q69" s="144">
        <v>3599</v>
      </c>
      <c r="R69" s="143">
        <v>3899</v>
      </c>
      <c r="S69" s="143">
        <v>3799</v>
      </c>
      <c r="T69" s="143">
        <v>3599</v>
      </c>
      <c r="U69" s="143">
        <v>3599</v>
      </c>
      <c r="V69" s="143">
        <v>3599</v>
      </c>
      <c r="W69" s="143">
        <v>3599</v>
      </c>
      <c r="X69" s="143">
        <v>3499</v>
      </c>
      <c r="Y69" s="152">
        <v>2999</v>
      </c>
      <c r="Z69" s="152">
        <v>2999</v>
      </c>
      <c r="AA69" s="152">
        <v>2949</v>
      </c>
      <c r="AB69" s="143">
        <v>3949</v>
      </c>
      <c r="AC69" s="143">
        <v>3949</v>
      </c>
      <c r="AD69" s="143">
        <v>3949</v>
      </c>
      <c r="AE69" s="143">
        <v>3949</v>
      </c>
      <c r="AF69" s="143">
        <v>3899</v>
      </c>
      <c r="AG69" s="143">
        <v>3899</v>
      </c>
      <c r="AH69" s="143">
        <v>3599</v>
      </c>
      <c r="AI69" s="143">
        <v>3599</v>
      </c>
      <c r="AJ69" s="143">
        <v>3599</v>
      </c>
      <c r="AK69" s="143">
        <v>3599</v>
      </c>
      <c r="AL69" s="152">
        <v>2999</v>
      </c>
      <c r="AM69" s="127" t="s">
        <v>1075</v>
      </c>
    </row>
    <row r="70" spans="2:40" ht="15.5">
      <c r="B70" s="130" t="s">
        <v>1076</v>
      </c>
      <c r="C70" s="129">
        <v>4017129</v>
      </c>
      <c r="D70" s="148" t="s">
        <v>1200</v>
      </c>
      <c r="E70" s="115" t="s">
        <v>1201</v>
      </c>
      <c r="F70" s="143">
        <v>3999</v>
      </c>
      <c r="G70" s="152">
        <v>2999</v>
      </c>
      <c r="H70" s="143">
        <v>3999</v>
      </c>
      <c r="I70" s="143">
        <v>3999</v>
      </c>
      <c r="J70" s="144">
        <v>3949</v>
      </c>
      <c r="K70" s="144">
        <v>3949</v>
      </c>
      <c r="L70" s="144">
        <v>3949</v>
      </c>
      <c r="M70" s="143">
        <v>3949</v>
      </c>
      <c r="N70" s="143">
        <v>3949</v>
      </c>
      <c r="O70" s="144">
        <v>3899</v>
      </c>
      <c r="P70" s="144">
        <v>3799</v>
      </c>
      <c r="Q70" s="144">
        <v>3599</v>
      </c>
      <c r="R70" s="143">
        <v>3899</v>
      </c>
      <c r="S70" s="143">
        <v>3799</v>
      </c>
      <c r="T70" s="143">
        <v>3599</v>
      </c>
      <c r="U70" s="143">
        <v>3599</v>
      </c>
      <c r="V70" s="143">
        <v>3599</v>
      </c>
      <c r="W70" s="143">
        <v>3599</v>
      </c>
      <c r="X70" s="143">
        <v>3499</v>
      </c>
      <c r="Y70" s="152">
        <v>2999</v>
      </c>
      <c r="Z70" s="152">
        <v>2999</v>
      </c>
      <c r="AA70" s="152">
        <v>2949</v>
      </c>
      <c r="AB70" s="143">
        <v>3949</v>
      </c>
      <c r="AC70" s="143">
        <v>3949</v>
      </c>
      <c r="AD70" s="143">
        <v>3949</v>
      </c>
      <c r="AE70" s="143">
        <v>3949</v>
      </c>
      <c r="AF70" s="143">
        <v>3899</v>
      </c>
      <c r="AG70" s="143">
        <v>3899</v>
      </c>
      <c r="AH70" s="143">
        <v>3599</v>
      </c>
      <c r="AI70" s="143">
        <v>3599</v>
      </c>
      <c r="AJ70" s="143">
        <v>3599</v>
      </c>
      <c r="AK70" s="143">
        <v>3599</v>
      </c>
      <c r="AL70" s="152">
        <v>2999</v>
      </c>
      <c r="AM70" s="127" t="s">
        <v>1075</v>
      </c>
    </row>
    <row r="71" spans="2:40" ht="15.5">
      <c r="B71" s="130" t="s">
        <v>1076</v>
      </c>
      <c r="C71" s="129">
        <v>4016309</v>
      </c>
      <c r="D71" s="140" t="s">
        <v>1202</v>
      </c>
      <c r="E71" s="115" t="s">
        <v>1203</v>
      </c>
      <c r="F71" s="143">
        <v>4499</v>
      </c>
      <c r="G71" s="143">
        <v>3499</v>
      </c>
      <c r="H71" s="143">
        <v>4499</v>
      </c>
      <c r="I71" s="143">
        <v>4499</v>
      </c>
      <c r="J71" s="144">
        <v>4449</v>
      </c>
      <c r="K71" s="144">
        <v>4449</v>
      </c>
      <c r="L71" s="144">
        <v>4449</v>
      </c>
      <c r="M71" s="143">
        <v>4449</v>
      </c>
      <c r="N71" s="143">
        <v>4449</v>
      </c>
      <c r="O71" s="144">
        <v>4399</v>
      </c>
      <c r="P71" s="144">
        <v>4399</v>
      </c>
      <c r="Q71" s="144">
        <v>4299</v>
      </c>
      <c r="R71" s="143">
        <v>4399</v>
      </c>
      <c r="S71" s="143">
        <v>4299</v>
      </c>
      <c r="T71" s="143">
        <v>4099</v>
      </c>
      <c r="U71" s="143">
        <v>4099</v>
      </c>
      <c r="V71" s="143">
        <v>4099</v>
      </c>
      <c r="W71" s="143">
        <v>4099</v>
      </c>
      <c r="X71" s="143">
        <v>3999</v>
      </c>
      <c r="Y71" s="143">
        <v>3499</v>
      </c>
      <c r="Z71" s="143">
        <v>3499</v>
      </c>
      <c r="AA71" s="143">
        <v>3349</v>
      </c>
      <c r="AB71" s="143">
        <v>4449</v>
      </c>
      <c r="AC71" s="143">
        <v>4449</v>
      </c>
      <c r="AD71" s="143">
        <v>4449</v>
      </c>
      <c r="AE71" s="143">
        <v>4449</v>
      </c>
      <c r="AF71" s="143">
        <v>4399</v>
      </c>
      <c r="AG71" s="143">
        <v>4399</v>
      </c>
      <c r="AH71" s="143">
        <v>4099</v>
      </c>
      <c r="AI71" s="143">
        <v>4099</v>
      </c>
      <c r="AJ71" s="143">
        <v>4099</v>
      </c>
      <c r="AK71" s="143">
        <v>4099</v>
      </c>
      <c r="AL71" s="143">
        <v>3499</v>
      </c>
      <c r="AM71" s="127" t="s">
        <v>1075</v>
      </c>
    </row>
    <row r="72" spans="2:40" ht="15.5">
      <c r="B72" s="130" t="s">
        <v>1193</v>
      </c>
      <c r="C72" s="129">
        <v>4016958</v>
      </c>
      <c r="D72" s="140" t="s">
        <v>1204</v>
      </c>
      <c r="E72" s="115" t="s">
        <v>1205</v>
      </c>
      <c r="F72" s="143">
        <v>4499</v>
      </c>
      <c r="G72" s="143">
        <v>3499</v>
      </c>
      <c r="H72" s="143">
        <v>4499</v>
      </c>
      <c r="I72" s="143">
        <v>4499</v>
      </c>
      <c r="J72" s="144">
        <v>4449</v>
      </c>
      <c r="K72" s="144">
        <v>4449</v>
      </c>
      <c r="L72" s="144">
        <v>4449</v>
      </c>
      <c r="M72" s="143">
        <v>4449</v>
      </c>
      <c r="N72" s="143">
        <v>4449</v>
      </c>
      <c r="O72" s="144">
        <v>4399</v>
      </c>
      <c r="P72" s="144">
        <v>4399</v>
      </c>
      <c r="Q72" s="144">
        <v>4299</v>
      </c>
      <c r="R72" s="143">
        <v>4399</v>
      </c>
      <c r="S72" s="143">
        <v>4299</v>
      </c>
      <c r="T72" s="143">
        <v>4099</v>
      </c>
      <c r="U72" s="143">
        <v>4099</v>
      </c>
      <c r="V72" s="143">
        <v>4099</v>
      </c>
      <c r="W72" s="143">
        <v>4099</v>
      </c>
      <c r="X72" s="143">
        <v>3999</v>
      </c>
      <c r="Y72" s="143">
        <v>3499</v>
      </c>
      <c r="Z72" s="143">
        <v>3499</v>
      </c>
      <c r="AA72" s="143">
        <v>3349</v>
      </c>
      <c r="AB72" s="143">
        <v>4449</v>
      </c>
      <c r="AC72" s="143">
        <v>4449</v>
      </c>
      <c r="AD72" s="143">
        <v>4449</v>
      </c>
      <c r="AE72" s="143">
        <v>4449</v>
      </c>
      <c r="AF72" s="143">
        <v>4399</v>
      </c>
      <c r="AG72" s="143">
        <v>4399</v>
      </c>
      <c r="AH72" s="143">
        <v>4099</v>
      </c>
      <c r="AI72" s="143">
        <v>4099</v>
      </c>
      <c r="AJ72" s="143">
        <v>4099</v>
      </c>
      <c r="AK72" s="143">
        <v>4099</v>
      </c>
      <c r="AL72" s="143">
        <v>3499</v>
      </c>
      <c r="AM72" s="127" t="s">
        <v>1075</v>
      </c>
    </row>
    <row r="73" spans="2:40" ht="15.5">
      <c r="B73" s="130" t="s">
        <v>1076</v>
      </c>
      <c r="C73" s="129">
        <v>4017128</v>
      </c>
      <c r="D73" s="140" t="s">
        <v>1206</v>
      </c>
      <c r="E73" s="115" t="s">
        <v>1207</v>
      </c>
      <c r="F73" s="143">
        <v>4499</v>
      </c>
      <c r="G73" s="143">
        <v>3499</v>
      </c>
      <c r="H73" s="143">
        <v>4499</v>
      </c>
      <c r="I73" s="143">
        <v>4499</v>
      </c>
      <c r="J73" s="143">
        <v>4449</v>
      </c>
      <c r="K73" s="143">
        <v>4449</v>
      </c>
      <c r="L73" s="143">
        <v>4449</v>
      </c>
      <c r="M73" s="143">
        <v>4449</v>
      </c>
      <c r="N73" s="143">
        <v>4449</v>
      </c>
      <c r="O73" s="143">
        <v>4399</v>
      </c>
      <c r="P73" s="143">
        <v>4399</v>
      </c>
      <c r="Q73" s="143">
        <v>4299</v>
      </c>
      <c r="R73" s="143">
        <v>4399</v>
      </c>
      <c r="S73" s="143">
        <v>4299</v>
      </c>
      <c r="T73" s="143">
        <v>4099</v>
      </c>
      <c r="U73" s="143">
        <v>4099</v>
      </c>
      <c r="V73" s="143">
        <v>4099</v>
      </c>
      <c r="W73" s="143">
        <v>4099</v>
      </c>
      <c r="X73" s="143">
        <v>3999</v>
      </c>
      <c r="Y73" s="143">
        <v>3499</v>
      </c>
      <c r="Z73" s="143">
        <v>3499</v>
      </c>
      <c r="AA73" s="143">
        <v>3349</v>
      </c>
      <c r="AB73" s="143">
        <v>4449</v>
      </c>
      <c r="AC73" s="143">
        <v>4449</v>
      </c>
      <c r="AD73" s="143">
        <v>4449</v>
      </c>
      <c r="AE73" s="143">
        <v>4449</v>
      </c>
      <c r="AF73" s="143">
        <v>4399</v>
      </c>
      <c r="AG73" s="143">
        <v>4399</v>
      </c>
      <c r="AH73" s="143">
        <v>4099</v>
      </c>
      <c r="AI73" s="143">
        <v>4099</v>
      </c>
      <c r="AJ73" s="143">
        <v>4099</v>
      </c>
      <c r="AK73" s="143">
        <v>4099</v>
      </c>
      <c r="AL73" s="143">
        <v>3499</v>
      </c>
      <c r="AM73" s="127" t="s">
        <v>1075</v>
      </c>
    </row>
    <row r="74" spans="2:40" ht="15.5">
      <c r="B74" s="130" t="s">
        <v>1193</v>
      </c>
      <c r="C74" s="129">
        <v>4017326</v>
      </c>
      <c r="D74" s="140" t="s">
        <v>1208</v>
      </c>
      <c r="E74" s="115" t="s">
        <v>1209</v>
      </c>
      <c r="F74" s="143">
        <v>4499</v>
      </c>
      <c r="G74" s="143">
        <v>3499</v>
      </c>
      <c r="H74" s="143">
        <v>4499</v>
      </c>
      <c r="I74" s="143">
        <v>4499</v>
      </c>
      <c r="J74" s="143">
        <v>4449</v>
      </c>
      <c r="K74" s="143">
        <v>4449</v>
      </c>
      <c r="L74" s="143">
        <v>4449</v>
      </c>
      <c r="M74" s="143">
        <v>4449</v>
      </c>
      <c r="N74" s="143">
        <v>4449</v>
      </c>
      <c r="O74" s="143">
        <v>4399</v>
      </c>
      <c r="P74" s="143">
        <v>4399</v>
      </c>
      <c r="Q74" s="143">
        <v>4299</v>
      </c>
      <c r="R74" s="143">
        <v>4399</v>
      </c>
      <c r="S74" s="143">
        <v>4299</v>
      </c>
      <c r="T74" s="143">
        <v>4099</v>
      </c>
      <c r="U74" s="143">
        <v>4099</v>
      </c>
      <c r="V74" s="143">
        <v>4099</v>
      </c>
      <c r="W74" s="143">
        <v>4099</v>
      </c>
      <c r="X74" s="143">
        <v>3999</v>
      </c>
      <c r="Y74" s="143">
        <v>3499</v>
      </c>
      <c r="Z74" s="143">
        <v>3499</v>
      </c>
      <c r="AA74" s="143">
        <v>3349</v>
      </c>
      <c r="AB74" s="143">
        <v>4449</v>
      </c>
      <c r="AC74" s="143">
        <v>4449</v>
      </c>
      <c r="AD74" s="143">
        <v>4449</v>
      </c>
      <c r="AE74" s="143">
        <v>4449</v>
      </c>
      <c r="AF74" s="143">
        <v>4399</v>
      </c>
      <c r="AG74" s="143">
        <v>4399</v>
      </c>
      <c r="AH74" s="143">
        <v>4099</v>
      </c>
      <c r="AI74" s="143">
        <v>4099</v>
      </c>
      <c r="AJ74" s="143">
        <v>4099</v>
      </c>
      <c r="AK74" s="143">
        <v>4099</v>
      </c>
      <c r="AL74" s="143">
        <v>3499</v>
      </c>
      <c r="AM74" s="127" t="s">
        <v>1075</v>
      </c>
    </row>
    <row r="75" spans="2:40" ht="15.5">
      <c r="B75" s="128" t="s">
        <v>1072</v>
      </c>
      <c r="C75" s="129">
        <v>4016298</v>
      </c>
      <c r="D75" s="130" t="s">
        <v>1210</v>
      </c>
      <c r="E75" s="115" t="s">
        <v>1210</v>
      </c>
      <c r="F75" s="131">
        <v>649</v>
      </c>
      <c r="G75" s="131">
        <v>649</v>
      </c>
      <c r="H75" s="132">
        <v>649</v>
      </c>
      <c r="I75" s="132">
        <v>649</v>
      </c>
      <c r="J75" s="132">
        <v>599</v>
      </c>
      <c r="K75" s="132">
        <v>599</v>
      </c>
      <c r="L75" s="132">
        <v>599</v>
      </c>
      <c r="M75" s="133">
        <v>599</v>
      </c>
      <c r="N75" s="133">
        <v>599</v>
      </c>
      <c r="O75" s="132">
        <v>549</v>
      </c>
      <c r="P75" s="132">
        <v>449</v>
      </c>
      <c r="Q75" s="132">
        <v>349</v>
      </c>
      <c r="R75" s="133">
        <v>549</v>
      </c>
      <c r="S75" s="133">
        <v>449</v>
      </c>
      <c r="T75" s="133">
        <v>349</v>
      </c>
      <c r="U75" s="133">
        <v>349</v>
      </c>
      <c r="V75" s="133">
        <v>349</v>
      </c>
      <c r="W75" s="133">
        <v>349</v>
      </c>
      <c r="X75" s="133">
        <v>349</v>
      </c>
      <c r="Y75" s="133">
        <v>349</v>
      </c>
      <c r="Z75" s="133">
        <v>349</v>
      </c>
      <c r="AA75" s="133">
        <v>349</v>
      </c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27" t="s">
        <v>1075</v>
      </c>
    </row>
    <row r="76" spans="2:40" ht="15.5">
      <c r="B76" s="128" t="s">
        <v>1123</v>
      </c>
      <c r="C76" s="129">
        <v>4015924</v>
      </c>
      <c r="D76" s="130" t="s">
        <v>1211</v>
      </c>
      <c r="E76" s="115" t="s">
        <v>1212</v>
      </c>
      <c r="F76" s="131">
        <v>399</v>
      </c>
      <c r="G76" s="131">
        <v>399</v>
      </c>
      <c r="H76" s="132">
        <v>399</v>
      </c>
      <c r="I76" s="132">
        <v>399</v>
      </c>
      <c r="J76" s="132">
        <v>349</v>
      </c>
      <c r="K76" s="132">
        <v>349</v>
      </c>
      <c r="L76" s="132">
        <v>349</v>
      </c>
      <c r="M76" s="133">
        <v>349</v>
      </c>
      <c r="N76" s="133">
        <v>349</v>
      </c>
      <c r="O76" s="132">
        <v>299</v>
      </c>
      <c r="P76" s="132">
        <v>249</v>
      </c>
      <c r="Q76" s="132">
        <v>249</v>
      </c>
      <c r="R76" s="133">
        <v>299</v>
      </c>
      <c r="S76" s="133">
        <v>249</v>
      </c>
      <c r="T76" s="133">
        <v>249</v>
      </c>
      <c r="U76" s="133">
        <v>249</v>
      </c>
      <c r="V76" s="133">
        <v>249</v>
      </c>
      <c r="W76" s="133">
        <v>249</v>
      </c>
      <c r="X76" s="133">
        <v>249</v>
      </c>
      <c r="Y76" s="133">
        <v>249</v>
      </c>
      <c r="Z76" s="133">
        <v>249</v>
      </c>
      <c r="AA76" s="133">
        <v>249</v>
      </c>
      <c r="AB76" s="133">
        <v>379</v>
      </c>
      <c r="AC76" s="133">
        <v>379</v>
      </c>
      <c r="AD76" s="133">
        <v>379</v>
      </c>
      <c r="AE76" s="133">
        <v>299</v>
      </c>
      <c r="AF76" s="133">
        <v>249</v>
      </c>
      <c r="AG76" s="133">
        <v>249</v>
      </c>
      <c r="AH76" s="133">
        <v>199</v>
      </c>
      <c r="AI76" s="133">
        <v>199</v>
      </c>
      <c r="AJ76" s="133">
        <v>199</v>
      </c>
      <c r="AK76" s="133">
        <v>199</v>
      </c>
      <c r="AL76" s="133">
        <v>199</v>
      </c>
      <c r="AM76" s="127" t="s">
        <v>1075</v>
      </c>
    </row>
    <row r="77" spans="2:40" ht="15.5">
      <c r="B77" s="128" t="s">
        <v>1123</v>
      </c>
      <c r="C77" s="129">
        <v>4015922</v>
      </c>
      <c r="D77" s="130" t="s">
        <v>1211</v>
      </c>
      <c r="E77" s="115" t="s">
        <v>1213</v>
      </c>
      <c r="F77" s="131">
        <v>399</v>
      </c>
      <c r="G77" s="131">
        <v>399</v>
      </c>
      <c r="H77" s="132">
        <v>399</v>
      </c>
      <c r="I77" s="132">
        <v>399</v>
      </c>
      <c r="J77" s="132">
        <v>349</v>
      </c>
      <c r="K77" s="132">
        <v>349</v>
      </c>
      <c r="L77" s="132">
        <v>349</v>
      </c>
      <c r="M77" s="133">
        <v>349</v>
      </c>
      <c r="N77" s="133">
        <v>349</v>
      </c>
      <c r="O77" s="132">
        <v>299</v>
      </c>
      <c r="P77" s="132">
        <v>249</v>
      </c>
      <c r="Q77" s="132">
        <v>249</v>
      </c>
      <c r="R77" s="133">
        <v>299</v>
      </c>
      <c r="S77" s="133">
        <v>249</v>
      </c>
      <c r="T77" s="133">
        <v>249</v>
      </c>
      <c r="U77" s="133">
        <v>249</v>
      </c>
      <c r="V77" s="133">
        <v>249</v>
      </c>
      <c r="W77" s="133">
        <v>249</v>
      </c>
      <c r="X77" s="133">
        <v>249</v>
      </c>
      <c r="Y77" s="133">
        <v>249</v>
      </c>
      <c r="Z77" s="133">
        <v>249</v>
      </c>
      <c r="AA77" s="133">
        <v>249</v>
      </c>
      <c r="AB77" s="133">
        <v>379</v>
      </c>
      <c r="AC77" s="133">
        <v>379</v>
      </c>
      <c r="AD77" s="133">
        <v>379</v>
      </c>
      <c r="AE77" s="133">
        <v>299</v>
      </c>
      <c r="AF77" s="133">
        <v>249</v>
      </c>
      <c r="AG77" s="133">
        <v>249</v>
      </c>
      <c r="AH77" s="133">
        <v>199</v>
      </c>
      <c r="AI77" s="133">
        <v>199</v>
      </c>
      <c r="AJ77" s="133">
        <v>199</v>
      </c>
      <c r="AK77" s="133">
        <v>199</v>
      </c>
      <c r="AL77" s="133">
        <v>199</v>
      </c>
      <c r="AM77" s="127" t="s">
        <v>1075</v>
      </c>
    </row>
    <row r="78" spans="2:40" ht="15.5">
      <c r="B78" s="128" t="s">
        <v>1123</v>
      </c>
      <c r="C78" s="129">
        <v>4017424</v>
      </c>
      <c r="D78" s="130" t="s">
        <v>1214</v>
      </c>
      <c r="E78" s="115" t="s">
        <v>1215</v>
      </c>
      <c r="F78" s="131">
        <v>399</v>
      </c>
      <c r="G78" s="131">
        <v>399</v>
      </c>
      <c r="H78" s="132">
        <v>399</v>
      </c>
      <c r="I78" s="132">
        <v>399</v>
      </c>
      <c r="J78" s="117">
        <v>349</v>
      </c>
      <c r="K78" s="117">
        <v>349</v>
      </c>
      <c r="L78" s="117">
        <v>349</v>
      </c>
      <c r="M78" s="133">
        <v>349</v>
      </c>
      <c r="N78" s="133">
        <v>349</v>
      </c>
      <c r="O78" s="117">
        <v>299</v>
      </c>
      <c r="P78" s="117">
        <v>249</v>
      </c>
      <c r="Q78" s="117">
        <v>249</v>
      </c>
      <c r="R78" s="133">
        <v>299</v>
      </c>
      <c r="S78" s="133">
        <v>249</v>
      </c>
      <c r="T78" s="133">
        <v>249</v>
      </c>
      <c r="U78" s="133">
        <v>249</v>
      </c>
      <c r="V78" s="133">
        <v>249</v>
      </c>
      <c r="W78" s="133">
        <v>249</v>
      </c>
      <c r="X78" s="133">
        <v>249</v>
      </c>
      <c r="Y78" s="133">
        <v>249</v>
      </c>
      <c r="Z78" s="133">
        <v>249</v>
      </c>
      <c r="AA78" s="153">
        <v>249</v>
      </c>
      <c r="AB78" s="133">
        <v>379</v>
      </c>
      <c r="AC78" s="133">
        <v>379</v>
      </c>
      <c r="AD78" s="133">
        <v>379</v>
      </c>
      <c r="AE78" s="133">
        <v>299</v>
      </c>
      <c r="AF78" s="133">
        <v>249</v>
      </c>
      <c r="AG78" s="133">
        <v>249</v>
      </c>
      <c r="AH78" s="133">
        <v>199</v>
      </c>
      <c r="AI78" s="133">
        <v>199</v>
      </c>
      <c r="AJ78" s="133">
        <v>199</v>
      </c>
      <c r="AK78" s="133">
        <v>199</v>
      </c>
      <c r="AL78" s="133">
        <v>199</v>
      </c>
      <c r="AM78" s="127" t="s">
        <v>1075</v>
      </c>
      <c r="AN78" s="154"/>
    </row>
    <row r="79" spans="2:40" ht="15.5">
      <c r="B79" s="128" t="s">
        <v>1123</v>
      </c>
      <c r="C79" s="129">
        <v>4017419</v>
      </c>
      <c r="D79" s="130" t="s">
        <v>1214</v>
      </c>
      <c r="E79" s="115" t="s">
        <v>1216</v>
      </c>
      <c r="F79" s="131">
        <v>399</v>
      </c>
      <c r="G79" s="131">
        <v>399</v>
      </c>
      <c r="H79" s="132">
        <v>399</v>
      </c>
      <c r="I79" s="132">
        <v>399</v>
      </c>
      <c r="J79" s="117">
        <v>349</v>
      </c>
      <c r="K79" s="117">
        <v>349</v>
      </c>
      <c r="L79" s="117">
        <v>349</v>
      </c>
      <c r="M79" s="133">
        <v>349</v>
      </c>
      <c r="N79" s="133">
        <v>349</v>
      </c>
      <c r="O79" s="117">
        <v>299</v>
      </c>
      <c r="P79" s="117">
        <v>249</v>
      </c>
      <c r="Q79" s="117">
        <v>249</v>
      </c>
      <c r="R79" s="133">
        <v>299</v>
      </c>
      <c r="S79" s="133">
        <v>249</v>
      </c>
      <c r="T79" s="133">
        <v>249</v>
      </c>
      <c r="U79" s="133">
        <v>249</v>
      </c>
      <c r="V79" s="133">
        <v>249</v>
      </c>
      <c r="W79" s="133">
        <v>249</v>
      </c>
      <c r="X79" s="133">
        <v>249</v>
      </c>
      <c r="Y79" s="133">
        <v>249</v>
      </c>
      <c r="Z79" s="133">
        <v>249</v>
      </c>
      <c r="AA79" s="133">
        <v>249</v>
      </c>
      <c r="AB79" s="133">
        <v>379</v>
      </c>
      <c r="AC79" s="133">
        <v>379</v>
      </c>
      <c r="AD79" s="133">
        <v>379</v>
      </c>
      <c r="AE79" s="133">
        <v>299</v>
      </c>
      <c r="AF79" s="133">
        <v>249</v>
      </c>
      <c r="AG79" s="133">
        <v>249</v>
      </c>
      <c r="AH79" s="133">
        <v>199</v>
      </c>
      <c r="AI79" s="133">
        <v>199</v>
      </c>
      <c r="AJ79" s="133">
        <v>199</v>
      </c>
      <c r="AK79" s="133">
        <v>199</v>
      </c>
      <c r="AL79" s="133">
        <v>199</v>
      </c>
      <c r="AM79" s="127" t="s">
        <v>1075</v>
      </c>
      <c r="AN79" s="154"/>
    </row>
    <row r="80" spans="2:40" ht="15.5">
      <c r="B80" s="128" t="s">
        <v>1123</v>
      </c>
      <c r="C80" s="129">
        <v>4017414</v>
      </c>
      <c r="D80" s="130" t="s">
        <v>1214</v>
      </c>
      <c r="E80" s="115" t="s">
        <v>1217</v>
      </c>
      <c r="F80" s="131">
        <v>399</v>
      </c>
      <c r="G80" s="131">
        <v>399</v>
      </c>
      <c r="H80" s="132">
        <v>399</v>
      </c>
      <c r="I80" s="132">
        <v>399</v>
      </c>
      <c r="J80" s="117">
        <v>349</v>
      </c>
      <c r="K80" s="117">
        <v>349</v>
      </c>
      <c r="L80" s="117">
        <v>349</v>
      </c>
      <c r="M80" s="133">
        <v>349</v>
      </c>
      <c r="N80" s="133">
        <v>349</v>
      </c>
      <c r="O80" s="117">
        <v>299</v>
      </c>
      <c r="P80" s="117">
        <v>249</v>
      </c>
      <c r="Q80" s="117">
        <v>249</v>
      </c>
      <c r="R80" s="133">
        <v>299</v>
      </c>
      <c r="S80" s="133">
        <v>249</v>
      </c>
      <c r="T80" s="133">
        <v>249</v>
      </c>
      <c r="U80" s="133">
        <v>249</v>
      </c>
      <c r="V80" s="133">
        <v>249</v>
      </c>
      <c r="W80" s="133">
        <v>249</v>
      </c>
      <c r="X80" s="133">
        <v>249</v>
      </c>
      <c r="Y80" s="133">
        <v>249</v>
      </c>
      <c r="Z80" s="133">
        <v>249</v>
      </c>
      <c r="AA80" s="133">
        <v>249</v>
      </c>
      <c r="AB80" s="133">
        <v>379</v>
      </c>
      <c r="AC80" s="133">
        <v>379</v>
      </c>
      <c r="AD80" s="133">
        <v>379</v>
      </c>
      <c r="AE80" s="133">
        <v>299</v>
      </c>
      <c r="AF80" s="133">
        <v>249</v>
      </c>
      <c r="AG80" s="133">
        <v>249</v>
      </c>
      <c r="AH80" s="133">
        <v>199</v>
      </c>
      <c r="AI80" s="133">
        <v>199</v>
      </c>
      <c r="AJ80" s="133">
        <v>199</v>
      </c>
      <c r="AK80" s="133">
        <v>199</v>
      </c>
      <c r="AL80" s="133">
        <v>199</v>
      </c>
      <c r="AM80" s="127" t="s">
        <v>1075</v>
      </c>
      <c r="AN80" s="155"/>
    </row>
    <row r="81" spans="2:40" ht="15.5">
      <c r="B81" s="128" t="s">
        <v>1123</v>
      </c>
      <c r="C81" s="145">
        <v>4015728</v>
      </c>
      <c r="D81" s="130" t="s">
        <v>1218</v>
      </c>
      <c r="E81" s="115" t="s">
        <v>1219</v>
      </c>
      <c r="F81" s="131">
        <v>199</v>
      </c>
      <c r="G81" s="131">
        <v>199</v>
      </c>
      <c r="H81" s="132"/>
      <c r="I81" s="132"/>
      <c r="J81" s="117"/>
      <c r="K81" s="117"/>
      <c r="L81" s="117"/>
      <c r="M81" s="133"/>
      <c r="N81" s="133"/>
      <c r="O81" s="122"/>
      <c r="P81" s="117"/>
      <c r="Q81" s="117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27" t="s">
        <v>1075</v>
      </c>
      <c r="AN81" s="155"/>
    </row>
    <row r="82" spans="2:40" ht="15.5">
      <c r="B82" s="128" t="s">
        <v>1123</v>
      </c>
      <c r="C82" s="145">
        <v>4015883</v>
      </c>
      <c r="D82" s="130" t="s">
        <v>1218</v>
      </c>
      <c r="E82" s="115" t="s">
        <v>1220</v>
      </c>
      <c r="F82" s="131">
        <v>199</v>
      </c>
      <c r="G82" s="131">
        <v>199</v>
      </c>
      <c r="H82" s="132"/>
      <c r="I82" s="132"/>
      <c r="J82" s="117"/>
      <c r="K82" s="117"/>
      <c r="L82" s="117"/>
      <c r="M82" s="133"/>
      <c r="N82" s="133"/>
      <c r="O82" s="122"/>
      <c r="P82" s="117"/>
      <c r="Q82" s="117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27" t="s">
        <v>1075</v>
      </c>
      <c r="AN82" s="155"/>
    </row>
    <row r="83" spans="2:40" ht="15.5">
      <c r="B83" s="130" t="s">
        <v>1123</v>
      </c>
      <c r="C83" s="129">
        <v>4015882</v>
      </c>
      <c r="D83" s="140" t="s">
        <v>1218</v>
      </c>
      <c r="E83" s="115" t="s">
        <v>1221</v>
      </c>
      <c r="F83" s="131">
        <v>199</v>
      </c>
      <c r="G83" s="131">
        <v>199</v>
      </c>
      <c r="H83" s="132"/>
      <c r="I83" s="132"/>
      <c r="J83" s="117"/>
      <c r="K83" s="117"/>
      <c r="L83" s="117"/>
      <c r="M83" s="132"/>
      <c r="N83" s="132"/>
      <c r="O83" s="117"/>
      <c r="P83" s="117"/>
      <c r="Q83" s="117"/>
      <c r="R83" s="132"/>
      <c r="S83" s="132"/>
      <c r="T83" s="132"/>
      <c r="U83" s="132"/>
      <c r="V83" s="132"/>
      <c r="W83" s="132"/>
      <c r="X83" s="132"/>
      <c r="Y83" s="134"/>
      <c r="Z83" s="134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27" t="s">
        <v>1075</v>
      </c>
      <c r="AN83" s="155"/>
    </row>
    <row r="84" spans="2:40" ht="15.5">
      <c r="B84" s="130" t="s">
        <v>1123</v>
      </c>
      <c r="C84" s="129">
        <v>4016401</v>
      </c>
      <c r="D84" s="140" t="s">
        <v>1222</v>
      </c>
      <c r="E84" s="115" t="s">
        <v>1223</v>
      </c>
      <c r="F84" s="131">
        <v>1299</v>
      </c>
      <c r="G84" s="131">
        <v>899</v>
      </c>
      <c r="H84" s="131">
        <v>1299</v>
      </c>
      <c r="I84" s="132">
        <v>1299</v>
      </c>
      <c r="J84" s="117">
        <v>1249</v>
      </c>
      <c r="K84" s="117">
        <v>1249</v>
      </c>
      <c r="L84" s="117">
        <v>1249</v>
      </c>
      <c r="M84" s="132">
        <v>1249</v>
      </c>
      <c r="N84" s="132">
        <v>1249</v>
      </c>
      <c r="O84" s="117">
        <v>1199</v>
      </c>
      <c r="P84" s="117">
        <v>1199</v>
      </c>
      <c r="Q84" s="117">
        <v>899</v>
      </c>
      <c r="R84" s="132">
        <v>1199</v>
      </c>
      <c r="S84" s="132">
        <v>1099</v>
      </c>
      <c r="T84" s="132">
        <v>899</v>
      </c>
      <c r="U84" s="132">
        <v>899</v>
      </c>
      <c r="V84" s="132">
        <v>899</v>
      </c>
      <c r="W84" s="132">
        <v>899</v>
      </c>
      <c r="X84" s="132">
        <v>799</v>
      </c>
      <c r="Y84" s="132">
        <v>699</v>
      </c>
      <c r="Z84" s="132">
        <v>699</v>
      </c>
      <c r="AA84" s="132">
        <v>699</v>
      </c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27" t="s">
        <v>1075</v>
      </c>
      <c r="AN84" s="155"/>
    </row>
    <row r="85" spans="2:40" ht="15.5">
      <c r="B85" s="130" t="s">
        <v>1123</v>
      </c>
      <c r="C85" s="129">
        <v>4016405</v>
      </c>
      <c r="D85" s="140" t="s">
        <v>1222</v>
      </c>
      <c r="E85" s="115" t="s">
        <v>1224</v>
      </c>
      <c r="F85" s="131">
        <v>1299</v>
      </c>
      <c r="G85" s="131">
        <v>899</v>
      </c>
      <c r="H85" s="131">
        <v>1299</v>
      </c>
      <c r="I85" s="132">
        <v>1299</v>
      </c>
      <c r="J85" s="117">
        <v>1249</v>
      </c>
      <c r="K85" s="117">
        <v>1249</v>
      </c>
      <c r="L85" s="117">
        <v>1249</v>
      </c>
      <c r="M85" s="117">
        <v>1249</v>
      </c>
      <c r="N85" s="117">
        <v>1249</v>
      </c>
      <c r="O85" s="117">
        <v>1199</v>
      </c>
      <c r="P85" s="117">
        <v>1199</v>
      </c>
      <c r="Q85" s="117">
        <v>899</v>
      </c>
      <c r="R85" s="132">
        <v>1199</v>
      </c>
      <c r="S85" s="132">
        <v>1099</v>
      </c>
      <c r="T85" s="132">
        <v>899</v>
      </c>
      <c r="U85" s="132">
        <v>899</v>
      </c>
      <c r="V85" s="132">
        <v>899</v>
      </c>
      <c r="W85" s="132">
        <v>899</v>
      </c>
      <c r="X85" s="132">
        <v>799</v>
      </c>
      <c r="Y85" s="132">
        <v>699</v>
      </c>
      <c r="Z85" s="132">
        <v>699</v>
      </c>
      <c r="AA85" s="132">
        <v>699</v>
      </c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27" t="s">
        <v>1075</v>
      </c>
      <c r="AN85" s="155"/>
    </row>
    <row r="86" spans="2:40" ht="15.5">
      <c r="B86" s="130" t="s">
        <v>1123</v>
      </c>
      <c r="C86" s="129">
        <v>4016413</v>
      </c>
      <c r="D86" s="140" t="s">
        <v>1225</v>
      </c>
      <c r="E86" s="115" t="s">
        <v>1226</v>
      </c>
      <c r="F86" s="131">
        <v>1499</v>
      </c>
      <c r="G86" s="131">
        <v>999</v>
      </c>
      <c r="H86" s="131">
        <v>1499</v>
      </c>
      <c r="I86" s="132">
        <v>1499</v>
      </c>
      <c r="J86" s="117">
        <v>1449</v>
      </c>
      <c r="K86" s="117">
        <v>1449</v>
      </c>
      <c r="L86" s="117">
        <v>1449</v>
      </c>
      <c r="M86" s="132">
        <v>1449</v>
      </c>
      <c r="N86" s="132">
        <v>1449</v>
      </c>
      <c r="O86" s="117">
        <v>1399</v>
      </c>
      <c r="P86" s="117">
        <v>1399</v>
      </c>
      <c r="Q86" s="117">
        <v>999</v>
      </c>
      <c r="R86" s="132">
        <v>1399</v>
      </c>
      <c r="S86" s="132">
        <v>1299</v>
      </c>
      <c r="T86" s="132">
        <v>999</v>
      </c>
      <c r="U86" s="132">
        <v>999</v>
      </c>
      <c r="V86" s="132">
        <v>1099</v>
      </c>
      <c r="W86" s="132">
        <v>1099</v>
      </c>
      <c r="X86" s="132">
        <v>999</v>
      </c>
      <c r="Y86" s="132">
        <v>799</v>
      </c>
      <c r="Z86" s="132">
        <v>799</v>
      </c>
      <c r="AA86" s="132">
        <v>799</v>
      </c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27" t="s">
        <v>1075</v>
      </c>
    </row>
    <row r="87" spans="2:40" ht="15.5">
      <c r="B87" s="130" t="s">
        <v>1123</v>
      </c>
      <c r="C87" s="129">
        <v>4016414</v>
      </c>
      <c r="D87" s="140" t="s">
        <v>1225</v>
      </c>
      <c r="E87" s="115" t="s">
        <v>1227</v>
      </c>
      <c r="F87" s="131">
        <v>1499</v>
      </c>
      <c r="G87" s="131">
        <v>999</v>
      </c>
      <c r="H87" s="131">
        <v>1499</v>
      </c>
      <c r="I87" s="132">
        <v>1499</v>
      </c>
      <c r="J87" s="117">
        <v>1449</v>
      </c>
      <c r="K87" s="117">
        <v>1449</v>
      </c>
      <c r="L87" s="117">
        <v>1449</v>
      </c>
      <c r="M87" s="132">
        <v>1449</v>
      </c>
      <c r="N87" s="132">
        <v>1449</v>
      </c>
      <c r="O87" s="117">
        <v>1399</v>
      </c>
      <c r="P87" s="117">
        <v>1399</v>
      </c>
      <c r="Q87" s="117">
        <v>999</v>
      </c>
      <c r="R87" s="132">
        <v>1399</v>
      </c>
      <c r="S87" s="132">
        <v>1299</v>
      </c>
      <c r="T87" s="132">
        <v>999</v>
      </c>
      <c r="U87" s="132">
        <v>999</v>
      </c>
      <c r="V87" s="132">
        <v>1099</v>
      </c>
      <c r="W87" s="132">
        <v>1099</v>
      </c>
      <c r="X87" s="132">
        <v>999</v>
      </c>
      <c r="Y87" s="132">
        <v>799</v>
      </c>
      <c r="Z87" s="132">
        <v>799</v>
      </c>
      <c r="AA87" s="132">
        <v>799</v>
      </c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27" t="s">
        <v>1075</v>
      </c>
    </row>
    <row r="88" spans="2:40" ht="15.5">
      <c r="B88" s="130" t="s">
        <v>1123</v>
      </c>
      <c r="C88" s="129">
        <v>4017227</v>
      </c>
      <c r="D88" s="140" t="s">
        <v>1228</v>
      </c>
      <c r="E88" s="115" t="s">
        <v>1229</v>
      </c>
      <c r="F88" s="131">
        <v>1899</v>
      </c>
      <c r="G88" s="131">
        <v>1899</v>
      </c>
      <c r="H88" s="131">
        <v>1899</v>
      </c>
      <c r="I88" s="131">
        <v>1899</v>
      </c>
      <c r="J88" s="117">
        <v>1849</v>
      </c>
      <c r="K88" s="117">
        <v>1849</v>
      </c>
      <c r="L88" s="117">
        <v>1849</v>
      </c>
      <c r="M88" s="132">
        <v>1849</v>
      </c>
      <c r="N88" s="132">
        <v>1849</v>
      </c>
      <c r="O88" s="117">
        <v>1799</v>
      </c>
      <c r="P88" s="117">
        <v>1699</v>
      </c>
      <c r="Q88" s="117">
        <v>1499</v>
      </c>
      <c r="R88" s="132">
        <v>1799</v>
      </c>
      <c r="S88" s="132">
        <v>1699</v>
      </c>
      <c r="T88" s="132">
        <v>1499</v>
      </c>
      <c r="U88" s="132">
        <v>1499</v>
      </c>
      <c r="V88" s="132">
        <v>1499</v>
      </c>
      <c r="W88" s="132">
        <v>1499</v>
      </c>
      <c r="X88" s="132">
        <v>1399</v>
      </c>
      <c r="Y88" s="132">
        <v>1099</v>
      </c>
      <c r="Z88" s="132">
        <v>1099</v>
      </c>
      <c r="AA88" s="132">
        <v>1049</v>
      </c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27" t="s">
        <v>1075</v>
      </c>
    </row>
    <row r="89" spans="2:40" ht="15.5">
      <c r="B89" s="130" t="s">
        <v>1123</v>
      </c>
      <c r="C89" s="129">
        <v>4017223</v>
      </c>
      <c r="D89" s="140" t="s">
        <v>1230</v>
      </c>
      <c r="E89" s="115" t="s">
        <v>1231</v>
      </c>
      <c r="F89" s="131">
        <v>2099</v>
      </c>
      <c r="G89" s="131">
        <v>2099</v>
      </c>
      <c r="H89" s="131">
        <v>2099</v>
      </c>
      <c r="I89" s="131">
        <v>2099</v>
      </c>
      <c r="J89" s="117">
        <v>2049</v>
      </c>
      <c r="K89" s="117">
        <v>2049</v>
      </c>
      <c r="L89" s="117">
        <v>2049</v>
      </c>
      <c r="M89" s="132">
        <v>2049</v>
      </c>
      <c r="N89" s="132">
        <v>2049</v>
      </c>
      <c r="O89" s="117">
        <v>1999</v>
      </c>
      <c r="P89" s="117">
        <v>1899</v>
      </c>
      <c r="Q89" s="117">
        <v>1699</v>
      </c>
      <c r="R89" s="132">
        <v>1999</v>
      </c>
      <c r="S89" s="132">
        <v>1899</v>
      </c>
      <c r="T89" s="132">
        <v>1699</v>
      </c>
      <c r="U89" s="132">
        <v>1699</v>
      </c>
      <c r="V89" s="132">
        <v>1699</v>
      </c>
      <c r="W89" s="132">
        <v>1699</v>
      </c>
      <c r="X89" s="132">
        <v>1599</v>
      </c>
      <c r="Y89" s="132">
        <v>1299</v>
      </c>
      <c r="Z89" s="132">
        <v>1299</v>
      </c>
      <c r="AA89" s="132">
        <v>1249</v>
      </c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27" t="s">
        <v>1075</v>
      </c>
    </row>
    <row r="90" spans="2:40" ht="15.5">
      <c r="B90" s="128" t="s">
        <v>1072</v>
      </c>
      <c r="C90" s="129">
        <v>4014008</v>
      </c>
      <c r="D90" s="130" t="s">
        <v>1232</v>
      </c>
      <c r="E90" s="115" t="s">
        <v>1233</v>
      </c>
      <c r="F90" s="131">
        <v>49</v>
      </c>
      <c r="G90" s="131">
        <v>49</v>
      </c>
      <c r="H90" s="132"/>
      <c r="I90" s="132"/>
      <c r="J90" s="117"/>
      <c r="K90" s="117"/>
      <c r="L90" s="117"/>
      <c r="M90" s="133"/>
      <c r="N90" s="133"/>
      <c r="O90" s="122"/>
      <c r="P90" s="117"/>
      <c r="Q90" s="117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>
        <v>39</v>
      </c>
      <c r="AC90" s="133">
        <v>39</v>
      </c>
      <c r="AD90" s="133">
        <v>39</v>
      </c>
      <c r="AE90" s="133">
        <v>39</v>
      </c>
      <c r="AF90" s="133">
        <v>39</v>
      </c>
      <c r="AG90" s="133">
        <v>39</v>
      </c>
      <c r="AH90" s="133">
        <v>39</v>
      </c>
      <c r="AI90" s="133">
        <v>39</v>
      </c>
      <c r="AJ90" s="133">
        <v>39</v>
      </c>
      <c r="AK90" s="133">
        <v>39</v>
      </c>
      <c r="AL90" s="133">
        <v>39</v>
      </c>
      <c r="AM90" s="127" t="s">
        <v>1075</v>
      </c>
    </row>
    <row r="91" spans="2:40" ht="15.5">
      <c r="B91" s="128" t="s">
        <v>1072</v>
      </c>
      <c r="C91" s="145">
        <v>4013980</v>
      </c>
      <c r="D91" s="130" t="s">
        <v>1234</v>
      </c>
      <c r="E91" s="115" t="s">
        <v>1235</v>
      </c>
      <c r="F91" s="131">
        <v>299</v>
      </c>
      <c r="G91" s="131">
        <v>299</v>
      </c>
      <c r="H91" s="132"/>
      <c r="I91" s="132"/>
      <c r="J91" s="132"/>
      <c r="K91" s="132"/>
      <c r="L91" s="132"/>
      <c r="M91" s="133"/>
      <c r="N91" s="133"/>
      <c r="O91" s="132"/>
      <c r="P91" s="117"/>
      <c r="Q91" s="117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>
        <v>289</v>
      </c>
      <c r="AC91" s="133">
        <v>289</v>
      </c>
      <c r="AD91" s="133">
        <v>289</v>
      </c>
      <c r="AE91" s="133">
        <v>289</v>
      </c>
      <c r="AF91" s="133">
        <v>289</v>
      </c>
      <c r="AG91" s="133">
        <v>289</v>
      </c>
      <c r="AH91" s="133">
        <v>289</v>
      </c>
      <c r="AI91" s="133">
        <v>289</v>
      </c>
      <c r="AJ91" s="133">
        <v>289</v>
      </c>
      <c r="AK91" s="133">
        <v>289</v>
      </c>
      <c r="AL91" s="133">
        <v>289</v>
      </c>
      <c r="AM91" s="127" t="s">
        <v>1075</v>
      </c>
    </row>
    <row r="92" spans="2:40" ht="15.5">
      <c r="B92" s="130" t="s">
        <v>1076</v>
      </c>
      <c r="C92" s="129">
        <v>4016356</v>
      </c>
      <c r="D92" s="140" t="s">
        <v>1236</v>
      </c>
      <c r="E92" s="115" t="s">
        <v>1237</v>
      </c>
      <c r="F92" s="131">
        <v>149</v>
      </c>
      <c r="G92" s="131">
        <v>149</v>
      </c>
      <c r="H92" s="132"/>
      <c r="I92" s="132"/>
      <c r="J92" s="117"/>
      <c r="K92" s="117"/>
      <c r="L92" s="117"/>
      <c r="M92" s="132"/>
      <c r="N92" s="132"/>
      <c r="O92" s="117"/>
      <c r="P92" s="117"/>
      <c r="Q92" s="117"/>
      <c r="R92" s="132"/>
      <c r="S92" s="132"/>
      <c r="T92" s="132"/>
      <c r="U92" s="132"/>
      <c r="V92" s="132"/>
      <c r="W92" s="132"/>
      <c r="X92" s="132"/>
      <c r="Y92" s="134"/>
      <c r="Z92" s="134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27" t="s">
        <v>1075</v>
      </c>
    </row>
    <row r="93" spans="2:40" ht="15.5">
      <c r="B93" s="130" t="s">
        <v>1123</v>
      </c>
      <c r="C93" s="129">
        <v>4017692</v>
      </c>
      <c r="D93" s="148" t="s">
        <v>1238</v>
      </c>
      <c r="E93" s="115" t="s">
        <v>1239</v>
      </c>
      <c r="F93" s="137">
        <v>2499</v>
      </c>
      <c r="G93" s="137">
        <v>1999</v>
      </c>
      <c r="H93" s="138">
        <v>2499</v>
      </c>
      <c r="I93" s="138">
        <v>2499</v>
      </c>
      <c r="J93" s="125">
        <v>2449</v>
      </c>
      <c r="K93" s="125">
        <v>2449</v>
      </c>
      <c r="L93" s="125">
        <v>2449</v>
      </c>
      <c r="M93" s="138">
        <v>2449</v>
      </c>
      <c r="N93" s="138">
        <v>2449</v>
      </c>
      <c r="O93" s="125">
        <v>2399</v>
      </c>
      <c r="P93" s="125">
        <v>2299</v>
      </c>
      <c r="Q93" s="125">
        <v>2099</v>
      </c>
      <c r="R93" s="138">
        <v>2399</v>
      </c>
      <c r="S93" s="138">
        <v>2299</v>
      </c>
      <c r="T93" s="138">
        <v>2099</v>
      </c>
      <c r="U93" s="138">
        <v>2099</v>
      </c>
      <c r="V93" s="138">
        <v>2099</v>
      </c>
      <c r="W93" s="138">
        <v>2099</v>
      </c>
      <c r="X93" s="138">
        <v>1999</v>
      </c>
      <c r="Y93" s="149">
        <v>1399</v>
      </c>
      <c r="Z93" s="149">
        <v>1399</v>
      </c>
      <c r="AA93" s="138">
        <v>1349</v>
      </c>
      <c r="AB93" s="138">
        <v>2449</v>
      </c>
      <c r="AC93" s="138">
        <v>2449</v>
      </c>
      <c r="AD93" s="138">
        <v>2449</v>
      </c>
      <c r="AE93" s="138">
        <v>2449</v>
      </c>
      <c r="AF93" s="138">
        <v>2449</v>
      </c>
      <c r="AG93" s="138">
        <v>2449</v>
      </c>
      <c r="AH93" s="138">
        <v>2449</v>
      </c>
      <c r="AI93" s="138">
        <v>2099</v>
      </c>
      <c r="AJ93" s="138">
        <v>2099</v>
      </c>
      <c r="AK93" s="138">
        <v>2099</v>
      </c>
      <c r="AL93" s="138">
        <v>1399</v>
      </c>
      <c r="AM93" s="127" t="s">
        <v>1075</v>
      </c>
    </row>
    <row r="264" spans="4:4">
      <c r="D264" s="11"/>
    </row>
    <row r="265" spans="4:4">
      <c r="D265" s="11"/>
    </row>
    <row r="266" spans="4:4">
      <c r="D266" s="11"/>
    </row>
    <row r="267" spans="4:4">
      <c r="D267" s="11"/>
    </row>
    <row r="268" spans="4:4">
      <c r="D268" s="11"/>
    </row>
    <row r="269" spans="4:4">
      <c r="D269" s="11"/>
    </row>
    <row r="270" spans="4:4">
      <c r="D270" s="11"/>
    </row>
    <row r="271" spans="4:4">
      <c r="D271" s="11"/>
    </row>
    <row r="272" spans="4:4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500" spans="13:24">
      <c r="M500">
        <v>1249</v>
      </c>
      <c r="N500">
        <v>1049</v>
      </c>
      <c r="R500">
        <v>949</v>
      </c>
      <c r="S500">
        <v>849</v>
      </c>
      <c r="T500">
        <v>749</v>
      </c>
      <c r="U500">
        <v>749</v>
      </c>
      <c r="V500">
        <v>699</v>
      </c>
      <c r="W500">
        <v>649</v>
      </c>
      <c r="X500">
        <v>599</v>
      </c>
    </row>
    <row r="501" spans="13:24">
      <c r="M501">
        <v>1249</v>
      </c>
      <c r="N501">
        <v>1049</v>
      </c>
      <c r="R501">
        <v>949</v>
      </c>
      <c r="S501">
        <v>849</v>
      </c>
      <c r="T501">
        <v>749</v>
      </c>
      <c r="U501">
        <v>749</v>
      </c>
      <c r="V501">
        <v>699</v>
      </c>
      <c r="W501">
        <v>649</v>
      </c>
      <c r="X501">
        <v>599</v>
      </c>
    </row>
    <row r="502" spans="13:24">
      <c r="M502">
        <v>1249</v>
      </c>
      <c r="N502">
        <v>1049</v>
      </c>
      <c r="R502">
        <v>949</v>
      </c>
      <c r="S502">
        <v>849</v>
      </c>
      <c r="T502">
        <v>749</v>
      </c>
      <c r="U502">
        <v>749</v>
      </c>
      <c r="V502">
        <v>699</v>
      </c>
      <c r="W502">
        <v>649</v>
      </c>
      <c r="X502">
        <v>599</v>
      </c>
    </row>
    <row r="503" spans="13:24">
      <c r="M503">
        <v>1249</v>
      </c>
      <c r="N503">
        <v>1049</v>
      </c>
      <c r="R503">
        <v>949</v>
      </c>
      <c r="S503">
        <v>849</v>
      </c>
      <c r="T503">
        <v>749</v>
      </c>
      <c r="U503">
        <v>749</v>
      </c>
      <c r="V503">
        <v>699</v>
      </c>
      <c r="W503">
        <v>649</v>
      </c>
      <c r="X503">
        <v>599</v>
      </c>
    </row>
    <row r="504" spans="13:24">
      <c r="M504">
        <v>1249</v>
      </c>
      <c r="N504">
        <v>1049</v>
      </c>
      <c r="R504">
        <v>949</v>
      </c>
      <c r="S504">
        <v>849</v>
      </c>
      <c r="T504">
        <v>749</v>
      </c>
      <c r="U504">
        <v>749</v>
      </c>
      <c r="V504">
        <v>699</v>
      </c>
      <c r="W504">
        <v>649</v>
      </c>
      <c r="X504">
        <v>599</v>
      </c>
    </row>
    <row r="505" spans="13:24">
      <c r="M505">
        <v>1249</v>
      </c>
      <c r="N505">
        <v>1049</v>
      </c>
      <c r="R505">
        <v>949</v>
      </c>
      <c r="S505">
        <v>849</v>
      </c>
      <c r="T505">
        <v>749</v>
      </c>
      <c r="U505">
        <v>749</v>
      </c>
      <c r="V505">
        <v>699</v>
      </c>
      <c r="W505">
        <v>649</v>
      </c>
      <c r="X505">
        <v>599</v>
      </c>
    </row>
    <row r="506" spans="13:24">
      <c r="M506">
        <v>1249</v>
      </c>
      <c r="N506">
        <v>1049</v>
      </c>
      <c r="R506">
        <v>949</v>
      </c>
      <c r="S506">
        <v>849</v>
      </c>
      <c r="T506">
        <v>749</v>
      </c>
      <c r="U506">
        <v>749</v>
      </c>
      <c r="V506">
        <v>699</v>
      </c>
      <c r="W506">
        <v>649</v>
      </c>
      <c r="X506">
        <v>599</v>
      </c>
    </row>
    <row r="507" spans="13:24">
      <c r="M507">
        <v>1249</v>
      </c>
      <c r="N507">
        <v>1049</v>
      </c>
      <c r="R507">
        <v>949</v>
      </c>
      <c r="S507">
        <v>849</v>
      </c>
      <c r="T507">
        <v>749</v>
      </c>
      <c r="U507">
        <v>749</v>
      </c>
      <c r="V507">
        <v>699</v>
      </c>
      <c r="W507">
        <v>649</v>
      </c>
      <c r="X507">
        <v>599</v>
      </c>
    </row>
    <row r="525" spans="13:24">
      <c r="M525">
        <v>1349</v>
      </c>
      <c r="N525">
        <v>1249</v>
      </c>
      <c r="R525">
        <v>1149</v>
      </c>
      <c r="S525">
        <v>999</v>
      </c>
      <c r="T525">
        <v>799</v>
      </c>
      <c r="U525">
        <v>799</v>
      </c>
      <c r="V525">
        <v>749</v>
      </c>
      <c r="W525">
        <v>699</v>
      </c>
      <c r="X525">
        <v>649</v>
      </c>
    </row>
    <row r="526" spans="13:24">
      <c r="M526">
        <v>1349</v>
      </c>
      <c r="N526">
        <v>1249</v>
      </c>
      <c r="R526">
        <v>1149</v>
      </c>
      <c r="S526">
        <v>999</v>
      </c>
      <c r="T526">
        <v>799</v>
      </c>
      <c r="U526">
        <v>799</v>
      </c>
      <c r="V526">
        <v>749</v>
      </c>
      <c r="W526">
        <v>699</v>
      </c>
      <c r="X526">
        <v>649</v>
      </c>
    </row>
    <row r="527" spans="13:24">
      <c r="M527">
        <v>1349</v>
      </c>
      <c r="N527">
        <v>1249</v>
      </c>
      <c r="R527">
        <v>1149</v>
      </c>
      <c r="S527">
        <v>999</v>
      </c>
      <c r="T527">
        <v>799</v>
      </c>
      <c r="U527">
        <v>799</v>
      </c>
      <c r="V527">
        <v>749</v>
      </c>
      <c r="W527">
        <v>699</v>
      </c>
      <c r="X527">
        <v>649</v>
      </c>
    </row>
    <row r="528" spans="13:24">
      <c r="M528">
        <v>1349</v>
      </c>
      <c r="N528">
        <v>1249</v>
      </c>
      <c r="R528">
        <v>1149</v>
      </c>
      <c r="S528">
        <v>999</v>
      </c>
      <c r="T528">
        <v>799</v>
      </c>
      <c r="U528">
        <v>799</v>
      </c>
      <c r="V528">
        <v>749</v>
      </c>
      <c r="W528">
        <v>699</v>
      </c>
      <c r="X528">
        <v>649</v>
      </c>
    </row>
    <row r="529" spans="13:24">
      <c r="M529">
        <v>1349</v>
      </c>
      <c r="N529">
        <v>1249</v>
      </c>
      <c r="R529">
        <v>1149</v>
      </c>
      <c r="S529">
        <v>999</v>
      </c>
      <c r="T529">
        <v>799</v>
      </c>
      <c r="U529">
        <v>799</v>
      </c>
      <c r="V529">
        <v>749</v>
      </c>
      <c r="W529">
        <v>699</v>
      </c>
      <c r="X529">
        <v>649</v>
      </c>
    </row>
    <row r="530" spans="13:24">
      <c r="M530">
        <v>1349</v>
      </c>
      <c r="N530">
        <v>1249</v>
      </c>
      <c r="R530">
        <v>1149</v>
      </c>
      <c r="S530">
        <v>999</v>
      </c>
      <c r="T530">
        <v>799</v>
      </c>
      <c r="U530">
        <v>799</v>
      </c>
      <c r="V530">
        <v>749</v>
      </c>
      <c r="W530">
        <v>699</v>
      </c>
      <c r="X530">
        <v>649</v>
      </c>
    </row>
    <row r="601" spans="13:24">
      <c r="M601">
        <v>2799</v>
      </c>
      <c r="N601">
        <v>2699</v>
      </c>
      <c r="R601">
        <v>2599</v>
      </c>
      <c r="S601">
        <v>2449</v>
      </c>
      <c r="T601">
        <v>2199</v>
      </c>
      <c r="U601">
        <v>2199</v>
      </c>
      <c r="V601">
        <v>2099</v>
      </c>
      <c r="W601">
        <v>1899</v>
      </c>
      <c r="X601">
        <v>1849</v>
      </c>
    </row>
    <row r="602" spans="13:24">
      <c r="M602">
        <v>2799</v>
      </c>
      <c r="N602">
        <v>2699</v>
      </c>
      <c r="R602">
        <v>2599</v>
      </c>
      <c r="S602">
        <v>2449</v>
      </c>
      <c r="T602">
        <v>2199</v>
      </c>
      <c r="U602">
        <v>2199</v>
      </c>
      <c r="V602">
        <v>2099</v>
      </c>
      <c r="W602">
        <v>1899</v>
      </c>
      <c r="X602">
        <v>1849</v>
      </c>
    </row>
    <row r="603" spans="13:24">
      <c r="M603">
        <v>2799</v>
      </c>
      <c r="N603">
        <v>2699</v>
      </c>
      <c r="R603">
        <v>2599</v>
      </c>
      <c r="S603">
        <v>2449</v>
      </c>
      <c r="T603">
        <v>2199</v>
      </c>
      <c r="U603">
        <v>2199</v>
      </c>
      <c r="V603">
        <v>2099</v>
      </c>
      <c r="W603">
        <v>1899</v>
      </c>
      <c r="X603">
        <v>1849</v>
      </c>
    </row>
    <row r="604" spans="13:24">
      <c r="M604">
        <v>2799</v>
      </c>
      <c r="N604">
        <v>2699</v>
      </c>
      <c r="R604">
        <v>2599</v>
      </c>
      <c r="S604">
        <v>2449</v>
      </c>
      <c r="T604">
        <v>2199</v>
      </c>
      <c r="U604">
        <v>2199</v>
      </c>
      <c r="V604">
        <v>2099</v>
      </c>
      <c r="W604">
        <v>1899</v>
      </c>
      <c r="X604">
        <v>1849</v>
      </c>
    </row>
  </sheetData>
  <autoFilter ref="B7:AO93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B9F-1C4D-4878-96AE-ECCA1F1D9D2D}">
  <dimension ref="A1:AX800"/>
  <sheetViews>
    <sheetView showGridLines="0" zoomScale="75" zoomScaleNormal="75" workbookViewId="0">
      <pane xSplit="5" ySplit="12" topLeftCell="F770" activePane="bottomRight" state="frozen"/>
      <selection activeCell="H771" sqref="H771:H772"/>
      <selection pane="topRight" activeCell="H771" sqref="H771:H772"/>
      <selection pane="bottomLeft" activeCell="H771" sqref="H771:H772"/>
      <selection pane="bottomRight" activeCell="H771" sqref="H771:H77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42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46092</v>
      </c>
      <c r="H11" s="198"/>
      <c r="I11" s="198"/>
      <c r="J11" s="199" t="s">
        <v>8</v>
      </c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1"/>
      <c r="AB11" s="202" t="s">
        <v>9</v>
      </c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4" t="s">
        <v>10</v>
      </c>
      <c r="AN11" s="205"/>
      <c r="AO11" s="205"/>
      <c r="AP11" s="206" t="s">
        <v>11</v>
      </c>
      <c r="AQ11" s="207"/>
      <c r="AR11" s="207"/>
      <c r="AS11" s="207"/>
      <c r="AT11" s="207"/>
      <c r="AU11" s="208"/>
      <c r="AV11" s="22"/>
    </row>
    <row r="12" spans="1:50" ht="62.5" thickBot="1">
      <c r="A12" s="23" t="s">
        <v>12</v>
      </c>
      <c r="B12" s="23" t="s">
        <v>13</v>
      </c>
      <c r="C12" s="23" t="s">
        <v>14</v>
      </c>
      <c r="D12" s="23" t="s">
        <v>15</v>
      </c>
      <c r="E12" s="24" t="s">
        <v>16</v>
      </c>
      <c r="F12" s="25" t="s">
        <v>1240</v>
      </c>
      <c r="G12" s="26" t="s">
        <v>18</v>
      </c>
      <c r="H12" s="27" t="s">
        <v>19</v>
      </c>
      <c r="I12" s="28" t="s">
        <v>20</v>
      </c>
      <c r="J12" s="29" t="s">
        <v>21</v>
      </c>
      <c r="K12" s="29" t="s">
        <v>22</v>
      </c>
      <c r="L12" s="29" t="s">
        <v>23</v>
      </c>
      <c r="M12" s="29" t="s">
        <v>24</v>
      </c>
      <c r="N12" s="29" t="s">
        <v>25</v>
      </c>
      <c r="O12" s="30" t="s">
        <v>26</v>
      </c>
      <c r="P12" s="30" t="s">
        <v>27</v>
      </c>
      <c r="Q12" s="30" t="s">
        <v>28</v>
      </c>
      <c r="R12" s="30" t="s">
        <v>29</v>
      </c>
      <c r="S12" s="30" t="s">
        <v>30</v>
      </c>
      <c r="T12" s="30" t="s">
        <v>31</v>
      </c>
      <c r="U12" s="30" t="s">
        <v>32</v>
      </c>
      <c r="V12" s="31" t="s">
        <v>33</v>
      </c>
      <c r="W12" s="31" t="s">
        <v>34</v>
      </c>
      <c r="X12" s="31" t="s">
        <v>35</v>
      </c>
      <c r="Y12" s="31" t="s">
        <v>36</v>
      </c>
      <c r="Z12" s="31" t="s">
        <v>37</v>
      </c>
      <c r="AA12" s="31" t="s">
        <v>38</v>
      </c>
      <c r="AB12" s="32" t="s">
        <v>39</v>
      </c>
      <c r="AC12" s="32" t="s">
        <v>40</v>
      </c>
      <c r="AD12" s="32" t="s">
        <v>41</v>
      </c>
      <c r="AE12" s="32" t="s">
        <v>42</v>
      </c>
      <c r="AF12" s="32" t="s">
        <v>43</v>
      </c>
      <c r="AG12" s="32" t="s">
        <v>44</v>
      </c>
      <c r="AH12" s="32" t="s">
        <v>45</v>
      </c>
      <c r="AI12" s="32" t="s">
        <v>46</v>
      </c>
      <c r="AJ12" s="32" t="s">
        <v>47</v>
      </c>
      <c r="AK12" s="32" t="s">
        <v>48</v>
      </c>
      <c r="AL12" s="32" t="s">
        <v>49</v>
      </c>
      <c r="AM12" s="33" t="s">
        <v>50</v>
      </c>
      <c r="AN12" s="33" t="s">
        <v>51</v>
      </c>
      <c r="AO12" s="34" t="s">
        <v>52</v>
      </c>
      <c r="AP12" s="35" t="s">
        <v>53</v>
      </c>
      <c r="AQ12" s="35" t="s">
        <v>54</v>
      </c>
      <c r="AR12" s="35" t="s">
        <v>55</v>
      </c>
      <c r="AS12" s="35" t="s">
        <v>56</v>
      </c>
      <c r="AT12" s="35" t="s">
        <v>57</v>
      </c>
      <c r="AU12" s="35" t="s">
        <v>58</v>
      </c>
      <c r="AV12" s="36"/>
      <c r="AW12" s="156" t="s">
        <v>59</v>
      </c>
      <c r="AX12" s="156" t="s">
        <v>60</v>
      </c>
    </row>
    <row r="13" spans="1:50" ht="22.5" customHeight="1">
      <c r="A13" s="40" t="s">
        <v>61</v>
      </c>
      <c r="B13" s="41" t="s">
        <v>62</v>
      </c>
      <c r="C13" s="42">
        <v>4010990</v>
      </c>
      <c r="D13" s="43" t="s">
        <v>63</v>
      </c>
      <c r="E13" s="44" t="s">
        <v>64</v>
      </c>
      <c r="F13" s="45"/>
      <c r="G13" s="45"/>
      <c r="H13" s="46"/>
      <c r="I13" s="46"/>
      <c r="J13" s="45">
        <f>IF(VLOOKUP($C13,REV!$C:$AA,8,0)-'TRADE IN'!$F13=0,"",(VLOOKUP($C13,REV!$C:$AA,8,0)-'TRADE IN'!$F13))</f>
        <v>479</v>
      </c>
      <c r="K13" s="45">
        <f>IF(VLOOKUP($C13,REV!$C:$AA,9,0)-'TRADE IN'!$F13=0,"",(VLOOKUP($C13,REV!$C:$AA,9,0)-'TRADE IN'!$F13))</f>
        <v>479</v>
      </c>
      <c r="L13" s="45">
        <f>IF(VLOOKUP($C13,REV!$C:$AA,10,0)-'TRADE IN'!$F22=0,"",(VLOOKUP($C13,REV!$C:$AA,10,0)-'TRADE IN'!$F13))</f>
        <v>479</v>
      </c>
      <c r="M13" s="45">
        <f>IF(VLOOKUP($C13,REV!$C:$AA,11,0)-'TRADE IN'!$F22=0,"",(VLOOKUP($C13,REV!$C:$AA,11,0)-'TRADE IN'!$F13))</f>
        <v>479</v>
      </c>
      <c r="N13" s="45">
        <f>IF(VLOOKUP($C13,REV!$C:$AA,12,0)-'TRADE IN'!$F22=0,"",(VLOOKUP($C13,REV!$C:$AA,12,0)-'TRADE IN'!$F13))</f>
        <v>479</v>
      </c>
      <c r="O13" s="45" t="str">
        <f>IF(VLOOKUP($C13,REV!$C:$AA,13,0)-'TRADE IN'!$F22=0,"",(VLOOKUP($C13,REV!$C:$AA,13,0)-'TRADE IN'!$F13))</f>
        <v/>
      </c>
      <c r="P13" s="45" t="str">
        <f>IF(VLOOKUP($C13,REV!$C:$AA,14,0)-'TRADE IN'!$F22=0,"",(VLOOKUP($C13,REV!$C:$AA,14,0)-'TRADE IN'!$F13))</f>
        <v/>
      </c>
      <c r="Q13" s="45" t="str">
        <f>IF(VLOOKUP($C13,REV!$C:$AA,15,0)-'TRADE IN'!$F22=0,"",(VLOOKUP($C13,REV!$C:$AA,15,0)-'TRADE IN'!$F13))</f>
        <v/>
      </c>
      <c r="R13" s="45" t="str">
        <f>IF(VLOOKUP($C13,REV!$C:$AA,16,0)-'TRADE IN'!$F22=0,"",(VLOOKUP($C13,REV!$C:$AA,16,0)-'TRADE IN'!$F13))</f>
        <v/>
      </c>
      <c r="S13" s="45" t="str">
        <f>IF(VLOOKUP($C13,REV!$C:$AA,17,0)-'TRADE IN'!$F22=0,"",(VLOOKUP($C13,REV!$C:$AA,17,0)-'TRADE IN'!$F13))</f>
        <v/>
      </c>
      <c r="T13" s="45" t="str">
        <f>IF(VLOOKUP($C13,REV!$C:$AA,18,0)-'TRADE IN'!$F22=0,"",(VLOOKUP($C13,REV!$C:$AA,18,0)-'TRADE IN'!$F13))</f>
        <v/>
      </c>
      <c r="U13" s="45" t="str">
        <f>IF(VLOOKUP($C13,REV!$C:$AA,19,0)-'TRADE IN'!$F22=0,"",(VLOOKUP($C13,REV!$C:$AA,19,0)-'TRADE IN'!$F13))</f>
        <v/>
      </c>
      <c r="V13" s="45" t="str">
        <f>IF(VLOOKUP($C13,REV!$C:$AA,20,0)-'TRADE IN'!$F22=0,"",(VLOOKUP($C13,REV!$C:$AA,20,0)-'TRADE IN'!$F13))</f>
        <v/>
      </c>
      <c r="W13" s="45" t="str">
        <f>IF(VLOOKUP($C13,REV!$C:$AA,21,0)-'TRADE IN'!$F22=0,"",(VLOOKUP($C13,REV!$C:$AA,21,0)-'TRADE IN'!$F13))</f>
        <v/>
      </c>
      <c r="X13" s="45" t="str">
        <f>IF(VLOOKUP($C13,REV!$C:$AA,22,0)-'TRADE IN'!$F22=0,"",(VLOOKUP($C13,REV!$C:$AA,22,0)-'TRADE IN'!$F13))</f>
        <v/>
      </c>
      <c r="Y13" s="45" t="str">
        <f>IF(VLOOKUP($C13,REV!$C:$AA,23,0)-'TRADE IN'!$F22=0,"",(VLOOKUP($C13,REV!$C:$AA,23,0)-'TRADE IN'!$F13))</f>
        <v/>
      </c>
      <c r="Z13" s="45" t="str">
        <f>IF(VLOOKUP($C13,REV!$C:$AA,24,0)-'TRADE IN'!$F22=0,"",(VLOOKUP($C13,REV!$C:$AA,24,0)-'TRADE IN'!$F13))</f>
        <v/>
      </c>
      <c r="AA13" s="45" t="str">
        <f>IF(VLOOKUP($C13,REV!$C:$AA,25,0)-'TRADE IN'!$F22=0,"",(VLOOKUP($C13,REV!$C:$AA,25,0)-'TRADE IN'!$F13))</f>
        <v/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157" t="str">
        <f>IF(REV!AW13=0,"",REV!AW13)</f>
        <v>31.03.2026</v>
      </c>
      <c r="AX13" s="158" t="s">
        <v>66</v>
      </c>
    </row>
    <row r="14" spans="1:50" ht="22.5" customHeight="1">
      <c r="A14" s="50" t="s">
        <v>61</v>
      </c>
      <c r="B14" s="41" t="s">
        <v>62</v>
      </c>
      <c r="C14" s="42">
        <v>4010991</v>
      </c>
      <c r="D14" s="43" t="s">
        <v>63</v>
      </c>
      <c r="E14" s="44" t="s">
        <v>67</v>
      </c>
      <c r="F14" s="45"/>
      <c r="G14" s="45"/>
      <c r="H14" s="46"/>
      <c r="I14" s="46"/>
      <c r="J14" s="45">
        <f>IF(VLOOKUP($C14,REV!$C:$AA,8,0)-'TRADE IN'!$F14=0,"",(VLOOKUP($C14,REV!$C:$AA,8,0)-'TRADE IN'!$F14))</f>
        <v>479</v>
      </c>
      <c r="K14" s="45">
        <f>IF(VLOOKUP($C14,REV!$C:$AA,9,0)-'TRADE IN'!$F14=0,"",(VLOOKUP($C14,REV!$C:$AA,9,0)-'TRADE IN'!$F14))</f>
        <v>479</v>
      </c>
      <c r="L14" s="45">
        <f>IF(VLOOKUP($C14,REV!$C:$AA,10,0)-'TRADE IN'!$F23=0,"",(VLOOKUP($C14,REV!$C:$AA,10,0)-'TRADE IN'!$F14))</f>
        <v>479</v>
      </c>
      <c r="M14" s="45">
        <f>IF(VLOOKUP($C14,REV!$C:$AA,11,0)-'TRADE IN'!$F23=0,"",(VLOOKUP($C14,REV!$C:$AA,11,0)-'TRADE IN'!$F14))</f>
        <v>479</v>
      </c>
      <c r="N14" s="45">
        <f>IF(VLOOKUP($C14,REV!$C:$AA,12,0)-'TRADE IN'!$F23=0,"",(VLOOKUP($C14,REV!$C:$AA,12,0)-'TRADE IN'!$F14))</f>
        <v>479</v>
      </c>
      <c r="O14" s="45" t="str">
        <f>IF(VLOOKUP($C14,REV!$C:$AA,13,0)-'TRADE IN'!$F23=0,"",(VLOOKUP($C14,REV!$C:$AA,13,0)-'TRADE IN'!$F14))</f>
        <v/>
      </c>
      <c r="P14" s="45" t="str">
        <f>IF(VLOOKUP($C14,REV!$C:$AA,14,0)-'TRADE IN'!$F23=0,"",(VLOOKUP($C14,REV!$C:$AA,14,0)-'TRADE IN'!$F14))</f>
        <v/>
      </c>
      <c r="Q14" s="45" t="str">
        <f>IF(VLOOKUP($C14,REV!$C:$AA,15,0)-'TRADE IN'!$F23=0,"",(VLOOKUP($C14,REV!$C:$AA,15,0)-'TRADE IN'!$F14))</f>
        <v/>
      </c>
      <c r="R14" s="45" t="str">
        <f>IF(VLOOKUP($C14,REV!$C:$AA,16,0)-'TRADE IN'!$F23=0,"",(VLOOKUP($C14,REV!$C:$AA,16,0)-'TRADE IN'!$F14))</f>
        <v/>
      </c>
      <c r="S14" s="45" t="str">
        <f>IF(VLOOKUP($C14,REV!$C:$AA,17,0)-'TRADE IN'!$F23=0,"",(VLOOKUP($C14,REV!$C:$AA,17,0)-'TRADE IN'!$F14))</f>
        <v/>
      </c>
      <c r="T14" s="45" t="str">
        <f>IF(VLOOKUP($C14,REV!$C:$AA,18,0)-'TRADE IN'!$F23=0,"",(VLOOKUP($C14,REV!$C:$AA,18,0)-'TRADE IN'!$F14))</f>
        <v/>
      </c>
      <c r="U14" s="45" t="str">
        <f>IF(VLOOKUP($C14,REV!$C:$AA,19,0)-'TRADE IN'!$F23=0,"",(VLOOKUP($C14,REV!$C:$AA,19,0)-'TRADE IN'!$F14))</f>
        <v/>
      </c>
      <c r="V14" s="45" t="str">
        <f>IF(VLOOKUP($C14,REV!$C:$AA,20,0)-'TRADE IN'!$F23=0,"",(VLOOKUP($C14,REV!$C:$AA,20,0)-'TRADE IN'!$F14))</f>
        <v/>
      </c>
      <c r="W14" s="45" t="str">
        <f>IF(VLOOKUP($C14,REV!$C:$AA,21,0)-'TRADE IN'!$F23=0,"",(VLOOKUP($C14,REV!$C:$AA,21,0)-'TRADE IN'!$F14))</f>
        <v/>
      </c>
      <c r="X14" s="45" t="str">
        <f>IF(VLOOKUP($C14,REV!$C:$AA,22,0)-'TRADE IN'!$F23=0,"",(VLOOKUP($C14,REV!$C:$AA,22,0)-'TRADE IN'!$F14))</f>
        <v/>
      </c>
      <c r="Y14" s="45" t="str">
        <f>IF(VLOOKUP($C14,REV!$C:$AA,23,0)-'TRADE IN'!$F23=0,"",(VLOOKUP($C14,REV!$C:$AA,23,0)-'TRADE IN'!$F14))</f>
        <v/>
      </c>
      <c r="Z14" s="45" t="str">
        <f>IF(VLOOKUP($C14,REV!$C:$AA,24,0)-'TRADE IN'!$F23=0,"",(VLOOKUP($C14,REV!$C:$AA,24,0)-'TRADE IN'!$F14))</f>
        <v/>
      </c>
      <c r="AA14" s="45" t="str">
        <f>IF(VLOOKUP($C14,REV!$C:$AA,25,0)-'TRADE IN'!$F23=0,"",(VLOOKUP($C14,REV!$C:$AA,25,0)-'TRADE IN'!$F14))</f>
        <v/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157" t="str">
        <f>IF(REV!AW14=0,"",REV!AW14)</f>
        <v>31.03.2026</v>
      </c>
      <c r="AX14" s="159" t="s">
        <v>66</v>
      </c>
    </row>
    <row r="15" spans="1:50" ht="22.5" customHeight="1">
      <c r="A15" s="50" t="s">
        <v>61</v>
      </c>
      <c r="B15" s="41" t="s">
        <v>62</v>
      </c>
      <c r="C15" s="42">
        <v>4011353</v>
      </c>
      <c r="D15" s="43" t="s">
        <v>63</v>
      </c>
      <c r="E15" s="44" t="s">
        <v>68</v>
      </c>
      <c r="F15" s="45"/>
      <c r="G15" s="45"/>
      <c r="H15" s="46"/>
      <c r="I15" s="46"/>
      <c r="J15" s="45">
        <f>IF(VLOOKUP($C15,REV!$C:$AA,8,0)-'TRADE IN'!$F15=0,"",(VLOOKUP($C15,REV!$C:$AA,8,0)-'TRADE IN'!$F15))</f>
        <v>479</v>
      </c>
      <c r="K15" s="45">
        <f>IF(VLOOKUP($C15,REV!$C:$AA,9,0)-'TRADE IN'!$F15=0,"",(VLOOKUP($C15,REV!$C:$AA,9,0)-'TRADE IN'!$F15))</f>
        <v>479</v>
      </c>
      <c r="L15" s="45">
        <f>IF(VLOOKUP($C15,REV!$C:$AA,10,0)-'TRADE IN'!$F24=0,"",(VLOOKUP($C15,REV!$C:$AA,10,0)-'TRADE IN'!$F15))</f>
        <v>479</v>
      </c>
      <c r="M15" s="45">
        <f>IF(VLOOKUP($C15,REV!$C:$AA,11,0)-'TRADE IN'!$F24=0,"",(VLOOKUP($C15,REV!$C:$AA,11,0)-'TRADE IN'!$F15))</f>
        <v>479</v>
      </c>
      <c r="N15" s="45">
        <f>IF(VLOOKUP($C15,REV!$C:$AA,12,0)-'TRADE IN'!$F24=0,"",(VLOOKUP($C15,REV!$C:$AA,12,0)-'TRADE IN'!$F15))</f>
        <v>479</v>
      </c>
      <c r="O15" s="45" t="str">
        <f>IF(VLOOKUP($C15,REV!$C:$AA,13,0)-'TRADE IN'!$F24=0,"",(VLOOKUP($C15,REV!$C:$AA,13,0)-'TRADE IN'!$F15))</f>
        <v/>
      </c>
      <c r="P15" s="45" t="str">
        <f>IF(VLOOKUP($C15,REV!$C:$AA,14,0)-'TRADE IN'!$F24=0,"",(VLOOKUP($C15,REV!$C:$AA,14,0)-'TRADE IN'!$F15))</f>
        <v/>
      </c>
      <c r="Q15" s="45" t="str">
        <f>IF(VLOOKUP($C15,REV!$C:$AA,15,0)-'TRADE IN'!$F24=0,"",(VLOOKUP($C15,REV!$C:$AA,15,0)-'TRADE IN'!$F15))</f>
        <v/>
      </c>
      <c r="R15" s="45" t="str">
        <f>IF(VLOOKUP($C15,REV!$C:$AA,16,0)-'TRADE IN'!$F24=0,"",(VLOOKUP($C15,REV!$C:$AA,16,0)-'TRADE IN'!$F15))</f>
        <v/>
      </c>
      <c r="S15" s="45" t="str">
        <f>IF(VLOOKUP($C15,REV!$C:$AA,17,0)-'TRADE IN'!$F24=0,"",(VLOOKUP($C15,REV!$C:$AA,17,0)-'TRADE IN'!$F15))</f>
        <v/>
      </c>
      <c r="T15" s="45" t="str">
        <f>IF(VLOOKUP($C15,REV!$C:$AA,18,0)-'TRADE IN'!$F24=0,"",(VLOOKUP($C15,REV!$C:$AA,18,0)-'TRADE IN'!$F15))</f>
        <v/>
      </c>
      <c r="U15" s="45" t="str">
        <f>IF(VLOOKUP($C15,REV!$C:$AA,19,0)-'TRADE IN'!$F24=0,"",(VLOOKUP($C15,REV!$C:$AA,19,0)-'TRADE IN'!$F15))</f>
        <v/>
      </c>
      <c r="V15" s="45" t="str">
        <f>IF(VLOOKUP($C15,REV!$C:$AA,20,0)-'TRADE IN'!$F24=0,"",(VLOOKUP($C15,REV!$C:$AA,20,0)-'TRADE IN'!$F15))</f>
        <v/>
      </c>
      <c r="W15" s="45" t="str">
        <f>IF(VLOOKUP($C15,REV!$C:$AA,21,0)-'TRADE IN'!$F24=0,"",(VLOOKUP($C15,REV!$C:$AA,21,0)-'TRADE IN'!$F15))</f>
        <v/>
      </c>
      <c r="X15" s="45" t="str">
        <f>IF(VLOOKUP($C15,REV!$C:$AA,22,0)-'TRADE IN'!$F24=0,"",(VLOOKUP($C15,REV!$C:$AA,22,0)-'TRADE IN'!$F15))</f>
        <v/>
      </c>
      <c r="Y15" s="45" t="str">
        <f>IF(VLOOKUP($C15,REV!$C:$AA,23,0)-'TRADE IN'!$F24=0,"",(VLOOKUP($C15,REV!$C:$AA,23,0)-'TRADE IN'!$F15))</f>
        <v/>
      </c>
      <c r="Z15" s="45" t="str">
        <f>IF(VLOOKUP($C15,REV!$C:$AA,24,0)-'TRADE IN'!$F24=0,"",(VLOOKUP($C15,REV!$C:$AA,24,0)-'TRADE IN'!$F15))</f>
        <v/>
      </c>
      <c r="AA15" s="45" t="str">
        <f>IF(VLOOKUP($C15,REV!$C:$AA,25,0)-'TRADE IN'!$F24=0,"",(VLOOKUP($C15,REV!$C:$AA,25,0)-'TRADE IN'!$F15))</f>
        <v/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157" t="str">
        <f>IF(REV!AW15=0,"",REV!AW15)</f>
        <v>31.03.2026</v>
      </c>
      <c r="AX15" s="159" t="s">
        <v>66</v>
      </c>
    </row>
    <row r="16" spans="1:50" ht="22.5" customHeight="1">
      <c r="A16" s="50" t="s">
        <v>61</v>
      </c>
      <c r="B16" s="41" t="s">
        <v>62</v>
      </c>
      <c r="C16" s="42">
        <v>4011354</v>
      </c>
      <c r="D16" s="43" t="s">
        <v>63</v>
      </c>
      <c r="E16" s="44" t="s">
        <v>69</v>
      </c>
      <c r="F16" s="45"/>
      <c r="G16" s="45"/>
      <c r="H16" s="46"/>
      <c r="I16" s="46"/>
      <c r="J16" s="45">
        <f>IF(VLOOKUP($C16,REV!$C:$AA,8,0)-'TRADE IN'!$F16=0,"",(VLOOKUP($C16,REV!$C:$AA,8,0)-'TRADE IN'!$F16))</f>
        <v>479</v>
      </c>
      <c r="K16" s="45">
        <f>IF(VLOOKUP($C16,REV!$C:$AA,9,0)-'TRADE IN'!$F16=0,"",(VLOOKUP($C16,REV!$C:$AA,9,0)-'TRADE IN'!$F16))</f>
        <v>479</v>
      </c>
      <c r="L16" s="45">
        <f>IF(VLOOKUP($C16,REV!$C:$AA,10,0)-'TRADE IN'!$F25=0,"",(VLOOKUP($C16,REV!$C:$AA,10,0)-'TRADE IN'!$F16))</f>
        <v>479</v>
      </c>
      <c r="M16" s="45">
        <f>IF(VLOOKUP($C16,REV!$C:$AA,11,0)-'TRADE IN'!$F25=0,"",(VLOOKUP($C16,REV!$C:$AA,11,0)-'TRADE IN'!$F16))</f>
        <v>479</v>
      </c>
      <c r="N16" s="45">
        <f>IF(VLOOKUP($C16,REV!$C:$AA,12,0)-'TRADE IN'!$F25=0,"",(VLOOKUP($C16,REV!$C:$AA,12,0)-'TRADE IN'!$F16))</f>
        <v>479</v>
      </c>
      <c r="O16" s="45" t="str">
        <f>IF(VLOOKUP($C16,REV!$C:$AA,13,0)-'TRADE IN'!$F25=0,"",(VLOOKUP($C16,REV!$C:$AA,13,0)-'TRADE IN'!$F16))</f>
        <v/>
      </c>
      <c r="P16" s="45" t="str">
        <f>IF(VLOOKUP($C16,REV!$C:$AA,14,0)-'TRADE IN'!$F25=0,"",(VLOOKUP($C16,REV!$C:$AA,14,0)-'TRADE IN'!$F16))</f>
        <v/>
      </c>
      <c r="Q16" s="45" t="str">
        <f>IF(VLOOKUP($C16,REV!$C:$AA,15,0)-'TRADE IN'!$F25=0,"",(VLOOKUP($C16,REV!$C:$AA,15,0)-'TRADE IN'!$F16))</f>
        <v/>
      </c>
      <c r="R16" s="45" t="str">
        <f>IF(VLOOKUP($C16,REV!$C:$AA,16,0)-'TRADE IN'!$F25=0,"",(VLOOKUP($C16,REV!$C:$AA,16,0)-'TRADE IN'!$F16))</f>
        <v/>
      </c>
      <c r="S16" s="45" t="str">
        <f>IF(VLOOKUP($C16,REV!$C:$AA,17,0)-'TRADE IN'!$F25=0,"",(VLOOKUP($C16,REV!$C:$AA,17,0)-'TRADE IN'!$F16))</f>
        <v/>
      </c>
      <c r="T16" s="45" t="str">
        <f>IF(VLOOKUP($C16,REV!$C:$AA,18,0)-'TRADE IN'!$F25=0,"",(VLOOKUP($C16,REV!$C:$AA,18,0)-'TRADE IN'!$F16))</f>
        <v/>
      </c>
      <c r="U16" s="45" t="str">
        <f>IF(VLOOKUP($C16,REV!$C:$AA,19,0)-'TRADE IN'!$F25=0,"",(VLOOKUP($C16,REV!$C:$AA,19,0)-'TRADE IN'!$F16))</f>
        <v/>
      </c>
      <c r="V16" s="45" t="str">
        <f>IF(VLOOKUP($C16,REV!$C:$AA,20,0)-'TRADE IN'!$F25=0,"",(VLOOKUP($C16,REV!$C:$AA,20,0)-'TRADE IN'!$F16))</f>
        <v/>
      </c>
      <c r="W16" s="45" t="str">
        <f>IF(VLOOKUP($C16,REV!$C:$AA,21,0)-'TRADE IN'!$F25=0,"",(VLOOKUP($C16,REV!$C:$AA,21,0)-'TRADE IN'!$F16))</f>
        <v/>
      </c>
      <c r="X16" s="45" t="str">
        <f>IF(VLOOKUP($C16,REV!$C:$AA,22,0)-'TRADE IN'!$F25=0,"",(VLOOKUP($C16,REV!$C:$AA,22,0)-'TRADE IN'!$F16))</f>
        <v/>
      </c>
      <c r="Y16" s="45" t="str">
        <f>IF(VLOOKUP($C16,REV!$C:$AA,23,0)-'TRADE IN'!$F25=0,"",(VLOOKUP($C16,REV!$C:$AA,23,0)-'TRADE IN'!$F16))</f>
        <v/>
      </c>
      <c r="Z16" s="45" t="str">
        <f>IF(VLOOKUP($C16,REV!$C:$AA,24,0)-'TRADE IN'!$F25=0,"",(VLOOKUP($C16,REV!$C:$AA,24,0)-'TRADE IN'!$F16))</f>
        <v/>
      </c>
      <c r="AA16" s="45" t="str">
        <f>IF(VLOOKUP($C16,REV!$C:$AA,25,0)-'TRADE IN'!$F25=0,"",(VLOOKUP($C16,REV!$C:$AA,25,0)-'TRADE IN'!$F16))</f>
        <v/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157" t="str">
        <f>IF(REV!AW16=0,"",REV!AW16)</f>
        <v>31.03.2026</v>
      </c>
      <c r="AX16" s="159" t="s">
        <v>66</v>
      </c>
    </row>
    <row r="17" spans="1:50" ht="22.5" customHeight="1">
      <c r="A17" s="52" t="s">
        <v>70</v>
      </c>
      <c r="B17" s="41" t="s">
        <v>62</v>
      </c>
      <c r="C17" s="42">
        <v>4013660</v>
      </c>
      <c r="D17" s="44" t="s">
        <v>71</v>
      </c>
      <c r="E17" s="44" t="s">
        <v>72</v>
      </c>
      <c r="F17" s="45"/>
      <c r="G17" s="45"/>
      <c r="H17" s="46"/>
      <c r="I17" s="46"/>
      <c r="J17" s="46">
        <f>IF(VLOOKUP($C17,REV!$C:$AA,8,0)-'TRADE IN'!$F17=0,"",(VLOOKUP($C17,REV!$C:$AA,8,0)-'TRADE IN'!$F17))</f>
        <v>799</v>
      </c>
      <c r="K17" s="46">
        <f>IF(VLOOKUP($C17,REV!$C:$AA,9,0)-'TRADE IN'!$F17=0,"",(VLOOKUP($C17,REV!$C:$AA,9,0)-'TRADE IN'!$F17))</f>
        <v>699</v>
      </c>
      <c r="L17" s="46">
        <f>IF(VLOOKUP($C17,REV!$C:$AA,10,0)-'TRADE IN'!$F26=0,"",(VLOOKUP($C17,REV!$C:$AA,10,0)-'TRADE IN'!$F17))</f>
        <v>699</v>
      </c>
      <c r="M17" s="46">
        <f>IF(VLOOKUP($C17,REV!$C:$AA,11,0)-'TRADE IN'!$F26=0,"",(VLOOKUP($C17,REV!$C:$AA,11,0)-'TRADE IN'!$F17))</f>
        <v>799</v>
      </c>
      <c r="N17" s="46">
        <f>IF(VLOOKUP($C17,REV!$C:$AA,12,0)-'TRADE IN'!$F26=0,"",(VLOOKUP($C17,REV!$C:$AA,12,0)-'TRADE IN'!$F17))</f>
        <v>799</v>
      </c>
      <c r="O17" s="46">
        <f>IF(VLOOKUP($C17,REV!$C:$AA,13,0)-'TRADE IN'!$F26=0,"",(VLOOKUP($C17,REV!$C:$AA,13,0)-'TRADE IN'!$F17))</f>
        <v>599</v>
      </c>
      <c r="P17" s="46">
        <f>IF(VLOOKUP($C17,REV!$C:$AA,14,0)-'TRADE IN'!$F26=0,"",(VLOOKUP($C17,REV!$C:$AA,14,0)-'TRADE IN'!$F17))</f>
        <v>599</v>
      </c>
      <c r="Q17" s="46">
        <f>IF(VLOOKUP($C17,REV!$C:$AA,15,0)-'TRADE IN'!$F26=0,"",(VLOOKUP($C17,REV!$C:$AA,15,0)-'TRADE IN'!$F17))</f>
        <v>599</v>
      </c>
      <c r="R17" s="46">
        <f>IF(VLOOKUP($C17,REV!$C:$AA,16,0)-'TRADE IN'!$F26=0,"",(VLOOKUP($C17,REV!$C:$AA,16,0)-'TRADE IN'!$F17))</f>
        <v>599</v>
      </c>
      <c r="S17" s="46">
        <f>IF(VLOOKUP($C17,REV!$C:$AA,17,0)-'TRADE IN'!$F26=0,"",(VLOOKUP($C17,REV!$C:$AA,17,0)-'TRADE IN'!$F17))</f>
        <v>599</v>
      </c>
      <c r="T17" s="46">
        <f>IF(VLOOKUP($C17,REV!$C:$AA,18,0)-'TRADE IN'!$F26=0,"",(VLOOKUP($C17,REV!$C:$AA,18,0)-'TRADE IN'!$F17))</f>
        <v>599</v>
      </c>
      <c r="U17" s="46">
        <f>IF(VLOOKUP($C17,REV!$C:$AA,19,0)-'TRADE IN'!$F26=0,"",(VLOOKUP($C17,REV!$C:$AA,19,0)-'TRADE IN'!$F17))</f>
        <v>599</v>
      </c>
      <c r="V17" s="46">
        <f>IF(VLOOKUP($C17,REV!$C:$AA,20,0)-'TRADE IN'!$F26=0,"",(VLOOKUP($C17,REV!$C:$AA,20,0)-'TRADE IN'!$F17))</f>
        <v>599</v>
      </c>
      <c r="W17" s="46">
        <f>IF(VLOOKUP($C17,REV!$C:$AA,21,0)-'TRADE IN'!$F26=0,"",(VLOOKUP($C17,REV!$C:$AA,21,0)-'TRADE IN'!$F17))</f>
        <v>599</v>
      </c>
      <c r="X17" s="46">
        <f>IF(VLOOKUP($C17,REV!$C:$AA,22,0)-'TRADE IN'!$F26=0,"",(VLOOKUP($C17,REV!$C:$AA,22,0)-'TRADE IN'!$F17))</f>
        <v>549</v>
      </c>
      <c r="Y17" s="46">
        <f>IF(VLOOKUP($C17,REV!$C:$AA,23,0)-'TRADE IN'!$F26=0,"",(VLOOKUP($C17,REV!$C:$AA,23,0)-'TRADE IN'!$F17))</f>
        <v>549</v>
      </c>
      <c r="Z17" s="46">
        <f>IF(VLOOKUP($C17,REV!$C:$AA,24,0)-'TRADE IN'!$F26=0,"",(VLOOKUP($C17,REV!$C:$AA,24,0)-'TRADE IN'!$F17))</f>
        <v>549</v>
      </c>
      <c r="AA17" s="46">
        <f>IF(VLOOKUP($C17,REV!$C:$AA,25,0)-'TRADE IN'!$F26=0,"",(VLOOKUP($C17,REV!$C:$AA,25,0)-'TRADE IN'!$F17))</f>
        <v>549</v>
      </c>
      <c r="AB17" s="46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tr">
        <f>IF(REV!AW17=0,"",REV!AW17)</f>
        <v>31.03.2026</v>
      </c>
      <c r="AX17" s="159" t="s">
        <v>66</v>
      </c>
    </row>
    <row r="18" spans="1:50" ht="22.5" customHeight="1">
      <c r="A18" s="52" t="s">
        <v>70</v>
      </c>
      <c r="B18" s="41" t="s">
        <v>62</v>
      </c>
      <c r="C18" s="42">
        <v>4013661</v>
      </c>
      <c r="D18" s="44" t="s">
        <v>71</v>
      </c>
      <c r="E18" s="44" t="s">
        <v>73</v>
      </c>
      <c r="F18" s="45"/>
      <c r="G18" s="45"/>
      <c r="H18" s="46"/>
      <c r="I18" s="46"/>
      <c r="J18" s="46">
        <f>IF(VLOOKUP($C18,REV!$C:$AA,8,0)-'TRADE IN'!$F18=0,"",(VLOOKUP($C18,REV!$C:$AA,8,0)-'TRADE IN'!$F18))</f>
        <v>799</v>
      </c>
      <c r="K18" s="46">
        <f>IF(VLOOKUP($C18,REV!$C:$AA,9,0)-'TRADE IN'!$F18=0,"",(VLOOKUP($C18,REV!$C:$AA,9,0)-'TRADE IN'!$F18))</f>
        <v>699</v>
      </c>
      <c r="L18" s="46">
        <f>IF(VLOOKUP($C18,REV!$C:$AA,10,0)-'TRADE IN'!$F27=0,"",(VLOOKUP($C18,REV!$C:$AA,10,0)-'TRADE IN'!$F18))</f>
        <v>699</v>
      </c>
      <c r="M18" s="46">
        <f>IF(VLOOKUP($C18,REV!$C:$AA,11,0)-'TRADE IN'!$F27=0,"",(VLOOKUP($C18,REV!$C:$AA,11,0)-'TRADE IN'!$F18))</f>
        <v>799</v>
      </c>
      <c r="N18" s="46">
        <f>IF(VLOOKUP($C18,REV!$C:$AA,12,0)-'TRADE IN'!$F27=0,"",(VLOOKUP($C18,REV!$C:$AA,12,0)-'TRADE IN'!$F18))</f>
        <v>799</v>
      </c>
      <c r="O18" s="46">
        <f>IF(VLOOKUP($C18,REV!$C:$AA,13,0)-'TRADE IN'!$F27=0,"",(VLOOKUP($C18,REV!$C:$AA,13,0)-'TRADE IN'!$F18))</f>
        <v>599</v>
      </c>
      <c r="P18" s="46">
        <f>IF(VLOOKUP($C18,REV!$C:$AA,14,0)-'TRADE IN'!$F27=0,"",(VLOOKUP($C18,REV!$C:$AA,14,0)-'TRADE IN'!$F18))</f>
        <v>599</v>
      </c>
      <c r="Q18" s="46">
        <f>IF(VLOOKUP($C18,REV!$C:$AA,15,0)-'TRADE IN'!$F27=0,"",(VLOOKUP($C18,REV!$C:$AA,15,0)-'TRADE IN'!$F18))</f>
        <v>599</v>
      </c>
      <c r="R18" s="46">
        <f>IF(VLOOKUP($C18,REV!$C:$AA,16,0)-'TRADE IN'!$F27=0,"",(VLOOKUP($C18,REV!$C:$AA,16,0)-'TRADE IN'!$F18))</f>
        <v>599</v>
      </c>
      <c r="S18" s="46">
        <f>IF(VLOOKUP($C18,REV!$C:$AA,17,0)-'TRADE IN'!$F27=0,"",(VLOOKUP($C18,REV!$C:$AA,17,0)-'TRADE IN'!$F18))</f>
        <v>599</v>
      </c>
      <c r="T18" s="46">
        <f>IF(VLOOKUP($C18,REV!$C:$AA,18,0)-'TRADE IN'!$F27=0,"",(VLOOKUP($C18,REV!$C:$AA,18,0)-'TRADE IN'!$F18))</f>
        <v>599</v>
      </c>
      <c r="U18" s="46">
        <f>IF(VLOOKUP($C18,REV!$C:$AA,19,0)-'TRADE IN'!$F27=0,"",(VLOOKUP($C18,REV!$C:$AA,19,0)-'TRADE IN'!$F18))</f>
        <v>599</v>
      </c>
      <c r="V18" s="46">
        <f>IF(VLOOKUP($C18,REV!$C:$AA,20,0)-'TRADE IN'!$F27=0,"",(VLOOKUP($C18,REV!$C:$AA,20,0)-'TRADE IN'!$F18))</f>
        <v>599</v>
      </c>
      <c r="W18" s="46">
        <f>IF(VLOOKUP($C18,REV!$C:$AA,21,0)-'TRADE IN'!$F27=0,"",(VLOOKUP($C18,REV!$C:$AA,21,0)-'TRADE IN'!$F18))</f>
        <v>599</v>
      </c>
      <c r="X18" s="46">
        <f>IF(VLOOKUP($C18,REV!$C:$AA,22,0)-'TRADE IN'!$F27=0,"",(VLOOKUP($C18,REV!$C:$AA,22,0)-'TRADE IN'!$F18))</f>
        <v>549</v>
      </c>
      <c r="Y18" s="46">
        <f>IF(VLOOKUP($C18,REV!$C:$AA,23,0)-'TRADE IN'!$F27=0,"",(VLOOKUP($C18,REV!$C:$AA,23,0)-'TRADE IN'!$F18))</f>
        <v>549</v>
      </c>
      <c r="Z18" s="46">
        <f>IF(VLOOKUP($C18,REV!$C:$AA,24,0)-'TRADE IN'!$F27=0,"",(VLOOKUP($C18,REV!$C:$AA,24,0)-'TRADE IN'!$F18))</f>
        <v>549</v>
      </c>
      <c r="AA18" s="46">
        <f>IF(VLOOKUP($C18,REV!$C:$AA,25,0)-'TRADE IN'!$F27=0,"",(VLOOKUP($C18,REV!$C:$AA,25,0)-'TRADE IN'!$F18))</f>
        <v>549</v>
      </c>
      <c r="AB18" s="46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tr">
        <f>IF(REV!AW18=0,"",REV!AW18)</f>
        <v>31.03.2026</v>
      </c>
      <c r="AX18" s="159" t="s">
        <v>66</v>
      </c>
    </row>
    <row r="19" spans="1:50" ht="22.5" customHeight="1">
      <c r="A19" s="52" t="s">
        <v>70</v>
      </c>
      <c r="B19" s="41" t="s">
        <v>62</v>
      </c>
      <c r="C19" s="42">
        <v>4013662</v>
      </c>
      <c r="D19" s="44" t="s">
        <v>71</v>
      </c>
      <c r="E19" s="44" t="s">
        <v>74</v>
      </c>
      <c r="F19" s="45"/>
      <c r="G19" s="45"/>
      <c r="H19" s="46"/>
      <c r="I19" s="46"/>
      <c r="J19" s="46">
        <f>IF(VLOOKUP($C19,REV!$C:$AA,8,0)-'TRADE IN'!$F19=0,"",(VLOOKUP($C19,REV!$C:$AA,8,0)-'TRADE IN'!$F19))</f>
        <v>799</v>
      </c>
      <c r="K19" s="46">
        <f>IF(VLOOKUP($C19,REV!$C:$AA,9,0)-'TRADE IN'!$F19=0,"",(VLOOKUP($C19,REV!$C:$AA,9,0)-'TRADE IN'!$F19))</f>
        <v>699</v>
      </c>
      <c r="L19" s="46">
        <f>IF(VLOOKUP($C19,REV!$C:$AA,10,0)-'TRADE IN'!$F28=0,"",(VLOOKUP($C19,REV!$C:$AA,10,0)-'TRADE IN'!$F19))</f>
        <v>699</v>
      </c>
      <c r="M19" s="46">
        <f>IF(VLOOKUP($C19,REV!$C:$AA,11,0)-'TRADE IN'!$F28=0,"",(VLOOKUP($C19,REV!$C:$AA,11,0)-'TRADE IN'!$F19))</f>
        <v>799</v>
      </c>
      <c r="N19" s="46">
        <f>IF(VLOOKUP($C19,REV!$C:$AA,12,0)-'TRADE IN'!$F28=0,"",(VLOOKUP($C19,REV!$C:$AA,12,0)-'TRADE IN'!$F19))</f>
        <v>799</v>
      </c>
      <c r="O19" s="46">
        <f>IF(VLOOKUP($C19,REV!$C:$AA,13,0)-'TRADE IN'!$F28=0,"",(VLOOKUP($C19,REV!$C:$AA,13,0)-'TRADE IN'!$F19))</f>
        <v>599</v>
      </c>
      <c r="P19" s="46">
        <f>IF(VLOOKUP($C19,REV!$C:$AA,14,0)-'TRADE IN'!$F28=0,"",(VLOOKUP($C19,REV!$C:$AA,14,0)-'TRADE IN'!$F19))</f>
        <v>599</v>
      </c>
      <c r="Q19" s="46">
        <f>IF(VLOOKUP($C19,REV!$C:$AA,15,0)-'TRADE IN'!$F28=0,"",(VLOOKUP($C19,REV!$C:$AA,15,0)-'TRADE IN'!$F19))</f>
        <v>599</v>
      </c>
      <c r="R19" s="46">
        <f>IF(VLOOKUP($C19,REV!$C:$AA,16,0)-'TRADE IN'!$F28=0,"",(VLOOKUP($C19,REV!$C:$AA,16,0)-'TRADE IN'!$F19))</f>
        <v>599</v>
      </c>
      <c r="S19" s="46">
        <f>IF(VLOOKUP($C19,REV!$C:$AA,17,0)-'TRADE IN'!$F28=0,"",(VLOOKUP($C19,REV!$C:$AA,17,0)-'TRADE IN'!$F19))</f>
        <v>599</v>
      </c>
      <c r="T19" s="46">
        <f>IF(VLOOKUP($C19,REV!$C:$AA,18,0)-'TRADE IN'!$F28=0,"",(VLOOKUP($C19,REV!$C:$AA,18,0)-'TRADE IN'!$F19))</f>
        <v>599</v>
      </c>
      <c r="U19" s="46">
        <f>IF(VLOOKUP($C19,REV!$C:$AA,19,0)-'TRADE IN'!$F28=0,"",(VLOOKUP($C19,REV!$C:$AA,19,0)-'TRADE IN'!$F19))</f>
        <v>599</v>
      </c>
      <c r="V19" s="46">
        <f>IF(VLOOKUP($C19,REV!$C:$AA,20,0)-'TRADE IN'!$F28=0,"",(VLOOKUP($C19,REV!$C:$AA,20,0)-'TRADE IN'!$F19))</f>
        <v>599</v>
      </c>
      <c r="W19" s="46">
        <f>IF(VLOOKUP($C19,REV!$C:$AA,21,0)-'TRADE IN'!$F28=0,"",(VLOOKUP($C19,REV!$C:$AA,21,0)-'TRADE IN'!$F19))</f>
        <v>599</v>
      </c>
      <c r="X19" s="46">
        <f>IF(VLOOKUP($C19,REV!$C:$AA,22,0)-'TRADE IN'!$F28=0,"",(VLOOKUP($C19,REV!$C:$AA,22,0)-'TRADE IN'!$F19))</f>
        <v>549</v>
      </c>
      <c r="Y19" s="46">
        <f>IF(VLOOKUP($C19,REV!$C:$AA,23,0)-'TRADE IN'!$F28=0,"",(VLOOKUP($C19,REV!$C:$AA,23,0)-'TRADE IN'!$F19))</f>
        <v>549</v>
      </c>
      <c r="Z19" s="46">
        <f>IF(VLOOKUP($C19,REV!$C:$AA,24,0)-'TRADE IN'!$F28=0,"",(VLOOKUP($C19,REV!$C:$AA,24,0)-'TRADE IN'!$F19))</f>
        <v>549</v>
      </c>
      <c r="AA19" s="46">
        <f>IF(VLOOKUP($C19,REV!$C:$AA,25,0)-'TRADE IN'!$F28=0,"",(VLOOKUP($C19,REV!$C:$AA,25,0)-'TRADE IN'!$F19))</f>
        <v>549</v>
      </c>
      <c r="AB19" s="46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tr">
        <f>IF(REV!AW19=0,"",REV!AW19)</f>
        <v>31.03.2026</v>
      </c>
      <c r="AX19" s="159" t="s">
        <v>66</v>
      </c>
    </row>
    <row r="20" spans="1:50" ht="22.5" customHeight="1">
      <c r="A20" s="52" t="s">
        <v>70</v>
      </c>
      <c r="B20" s="41" t="s">
        <v>62</v>
      </c>
      <c r="C20" s="42">
        <v>4013981</v>
      </c>
      <c r="D20" s="44" t="s">
        <v>71</v>
      </c>
      <c r="E20" s="44" t="s">
        <v>75</v>
      </c>
      <c r="F20" s="45"/>
      <c r="G20" s="45"/>
      <c r="H20" s="46"/>
      <c r="I20" s="46"/>
      <c r="J20" s="46">
        <f>IF(VLOOKUP($C20,REV!$C:$AA,8,0)-'TRADE IN'!$F20=0,"",(VLOOKUP($C20,REV!$C:$AA,8,0)-'TRADE IN'!$F20))</f>
        <v>799</v>
      </c>
      <c r="K20" s="46">
        <f>IF(VLOOKUP($C20,REV!$C:$AA,9,0)-'TRADE IN'!$F20=0,"",(VLOOKUP($C20,REV!$C:$AA,9,0)-'TRADE IN'!$F20))</f>
        <v>699</v>
      </c>
      <c r="L20" s="46">
        <f>IF(VLOOKUP($C20,REV!$C:$AA,10,0)-'TRADE IN'!$F29=0,"",(VLOOKUP($C20,REV!$C:$AA,10,0)-'TRADE IN'!$F20))</f>
        <v>699</v>
      </c>
      <c r="M20" s="46">
        <f>IF(VLOOKUP($C20,REV!$C:$AA,11,0)-'TRADE IN'!$F29=0,"",(VLOOKUP($C20,REV!$C:$AA,11,0)-'TRADE IN'!$F20))</f>
        <v>799</v>
      </c>
      <c r="N20" s="46">
        <f>IF(VLOOKUP($C20,REV!$C:$AA,12,0)-'TRADE IN'!$F29=0,"",(VLOOKUP($C20,REV!$C:$AA,12,0)-'TRADE IN'!$F20))</f>
        <v>799</v>
      </c>
      <c r="O20" s="46">
        <f>IF(VLOOKUP($C20,REV!$C:$AA,13,0)-'TRADE IN'!$F29=0,"",(VLOOKUP($C20,REV!$C:$AA,13,0)-'TRADE IN'!$F20))</f>
        <v>599</v>
      </c>
      <c r="P20" s="46">
        <f>IF(VLOOKUP($C20,REV!$C:$AA,14,0)-'TRADE IN'!$F29=0,"",(VLOOKUP($C20,REV!$C:$AA,14,0)-'TRADE IN'!$F20))</f>
        <v>599</v>
      </c>
      <c r="Q20" s="46">
        <f>IF(VLOOKUP($C20,REV!$C:$AA,15,0)-'TRADE IN'!$F29=0,"",(VLOOKUP($C20,REV!$C:$AA,15,0)-'TRADE IN'!$F20))</f>
        <v>599</v>
      </c>
      <c r="R20" s="46">
        <f>IF(VLOOKUP($C20,REV!$C:$AA,16,0)-'TRADE IN'!$F29=0,"",(VLOOKUP($C20,REV!$C:$AA,16,0)-'TRADE IN'!$F20))</f>
        <v>599</v>
      </c>
      <c r="S20" s="46">
        <f>IF(VLOOKUP($C20,REV!$C:$AA,17,0)-'TRADE IN'!$F29=0,"",(VLOOKUP($C20,REV!$C:$AA,17,0)-'TRADE IN'!$F20))</f>
        <v>599</v>
      </c>
      <c r="T20" s="46">
        <f>IF(VLOOKUP($C20,REV!$C:$AA,18,0)-'TRADE IN'!$F29=0,"",(VLOOKUP($C20,REV!$C:$AA,18,0)-'TRADE IN'!$F20))</f>
        <v>599</v>
      </c>
      <c r="U20" s="46">
        <f>IF(VLOOKUP($C20,REV!$C:$AA,19,0)-'TRADE IN'!$F29=0,"",(VLOOKUP($C20,REV!$C:$AA,19,0)-'TRADE IN'!$F20))</f>
        <v>599</v>
      </c>
      <c r="V20" s="46">
        <f>IF(VLOOKUP($C20,REV!$C:$AA,20,0)-'TRADE IN'!$F29=0,"",(VLOOKUP($C20,REV!$C:$AA,20,0)-'TRADE IN'!$F20))</f>
        <v>599</v>
      </c>
      <c r="W20" s="46">
        <f>IF(VLOOKUP($C20,REV!$C:$AA,21,0)-'TRADE IN'!$F29=0,"",(VLOOKUP($C20,REV!$C:$AA,21,0)-'TRADE IN'!$F20))</f>
        <v>599</v>
      </c>
      <c r="X20" s="46">
        <f>IF(VLOOKUP($C20,REV!$C:$AA,22,0)-'TRADE IN'!$F29=0,"",(VLOOKUP($C20,REV!$C:$AA,22,0)-'TRADE IN'!$F20))</f>
        <v>549</v>
      </c>
      <c r="Y20" s="46">
        <f>IF(VLOOKUP($C20,REV!$C:$AA,23,0)-'TRADE IN'!$F29=0,"",(VLOOKUP($C20,REV!$C:$AA,23,0)-'TRADE IN'!$F20))</f>
        <v>549</v>
      </c>
      <c r="Z20" s="46">
        <f>IF(VLOOKUP($C20,REV!$C:$AA,24,0)-'TRADE IN'!$F29=0,"",(VLOOKUP($C20,REV!$C:$AA,24,0)-'TRADE IN'!$F20))</f>
        <v>549</v>
      </c>
      <c r="AA20" s="46">
        <f>IF(VLOOKUP($C20,REV!$C:$AA,25,0)-'TRADE IN'!$F29=0,"",(VLOOKUP($C20,REV!$C:$AA,25,0)-'TRADE IN'!$F20))</f>
        <v>549</v>
      </c>
      <c r="AB20" s="46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tr">
        <f>IF(REV!AW20=0,"",REV!AW20)</f>
        <v>31.03.2026</v>
      </c>
      <c r="AX20" s="159" t="s">
        <v>66</v>
      </c>
    </row>
    <row r="21" spans="1:50" ht="22.5" customHeight="1">
      <c r="A21" s="52" t="s">
        <v>70</v>
      </c>
      <c r="B21" s="41" t="s">
        <v>62</v>
      </c>
      <c r="C21" s="42">
        <v>4013984</v>
      </c>
      <c r="D21" s="44" t="s">
        <v>71</v>
      </c>
      <c r="E21" s="44" t="s">
        <v>76</v>
      </c>
      <c r="F21" s="45"/>
      <c r="G21" s="45"/>
      <c r="H21" s="46"/>
      <c r="I21" s="46"/>
      <c r="J21" s="46">
        <f>IF(VLOOKUP($C21,REV!$C:$AA,8,0)-'TRADE IN'!$F21=0,"",(VLOOKUP($C21,REV!$C:$AA,8,0)-'TRADE IN'!$F21))</f>
        <v>799</v>
      </c>
      <c r="K21" s="46">
        <f>IF(VLOOKUP($C21,REV!$C:$AA,9,0)-'TRADE IN'!$F21=0,"",(VLOOKUP($C21,REV!$C:$AA,9,0)-'TRADE IN'!$F21))</f>
        <v>699</v>
      </c>
      <c r="L21" s="46">
        <f>IF(VLOOKUP($C21,REV!$C:$AA,10,0)-'TRADE IN'!$F30=0,"",(VLOOKUP($C21,REV!$C:$AA,10,0)-'TRADE IN'!$F21))</f>
        <v>699</v>
      </c>
      <c r="M21" s="46">
        <f>IF(VLOOKUP($C21,REV!$C:$AA,11,0)-'TRADE IN'!$F30=0,"",(VLOOKUP($C21,REV!$C:$AA,11,0)-'TRADE IN'!$F21))</f>
        <v>799</v>
      </c>
      <c r="N21" s="46">
        <f>IF(VLOOKUP($C21,REV!$C:$AA,12,0)-'TRADE IN'!$F30=0,"",(VLOOKUP($C21,REV!$C:$AA,12,0)-'TRADE IN'!$F21))</f>
        <v>799</v>
      </c>
      <c r="O21" s="46">
        <f>IF(VLOOKUP($C21,REV!$C:$AA,13,0)-'TRADE IN'!$F30=0,"",(VLOOKUP($C21,REV!$C:$AA,13,0)-'TRADE IN'!$F21))</f>
        <v>599</v>
      </c>
      <c r="P21" s="46">
        <f>IF(VLOOKUP($C21,REV!$C:$AA,14,0)-'TRADE IN'!$F30=0,"",(VLOOKUP($C21,REV!$C:$AA,14,0)-'TRADE IN'!$F21))</f>
        <v>599</v>
      </c>
      <c r="Q21" s="46">
        <f>IF(VLOOKUP($C21,REV!$C:$AA,15,0)-'TRADE IN'!$F30=0,"",(VLOOKUP($C21,REV!$C:$AA,15,0)-'TRADE IN'!$F21))</f>
        <v>599</v>
      </c>
      <c r="R21" s="46">
        <f>IF(VLOOKUP($C21,REV!$C:$AA,16,0)-'TRADE IN'!$F30=0,"",(VLOOKUP($C21,REV!$C:$AA,16,0)-'TRADE IN'!$F21))</f>
        <v>599</v>
      </c>
      <c r="S21" s="46">
        <f>IF(VLOOKUP($C21,REV!$C:$AA,17,0)-'TRADE IN'!$F30=0,"",(VLOOKUP($C21,REV!$C:$AA,17,0)-'TRADE IN'!$F21))</f>
        <v>599</v>
      </c>
      <c r="T21" s="46">
        <f>IF(VLOOKUP($C21,REV!$C:$AA,18,0)-'TRADE IN'!$F30=0,"",(VLOOKUP($C21,REV!$C:$AA,18,0)-'TRADE IN'!$F21))</f>
        <v>599</v>
      </c>
      <c r="U21" s="46">
        <f>IF(VLOOKUP($C21,REV!$C:$AA,19,0)-'TRADE IN'!$F30=0,"",(VLOOKUP($C21,REV!$C:$AA,19,0)-'TRADE IN'!$F21))</f>
        <v>599</v>
      </c>
      <c r="V21" s="46">
        <f>IF(VLOOKUP($C21,REV!$C:$AA,20,0)-'TRADE IN'!$F30=0,"",(VLOOKUP($C21,REV!$C:$AA,20,0)-'TRADE IN'!$F21))</f>
        <v>599</v>
      </c>
      <c r="W21" s="46">
        <f>IF(VLOOKUP($C21,REV!$C:$AA,21,0)-'TRADE IN'!$F30=0,"",(VLOOKUP($C21,REV!$C:$AA,21,0)-'TRADE IN'!$F21))</f>
        <v>599</v>
      </c>
      <c r="X21" s="46">
        <f>IF(VLOOKUP($C21,REV!$C:$AA,22,0)-'TRADE IN'!$F30=0,"",(VLOOKUP($C21,REV!$C:$AA,22,0)-'TRADE IN'!$F21))</f>
        <v>549</v>
      </c>
      <c r="Y21" s="46">
        <f>IF(VLOOKUP($C21,REV!$C:$AA,23,0)-'TRADE IN'!$F30=0,"",(VLOOKUP($C21,REV!$C:$AA,23,0)-'TRADE IN'!$F21))</f>
        <v>549</v>
      </c>
      <c r="Z21" s="46">
        <f>IF(VLOOKUP($C21,REV!$C:$AA,24,0)-'TRADE IN'!$F30=0,"",(VLOOKUP($C21,REV!$C:$AA,24,0)-'TRADE IN'!$F21))</f>
        <v>549</v>
      </c>
      <c r="AA21" s="46">
        <f>IF(VLOOKUP($C21,REV!$C:$AA,25,0)-'TRADE IN'!$F30=0,"",(VLOOKUP($C21,REV!$C:$AA,25,0)-'TRADE IN'!$F21))</f>
        <v>549</v>
      </c>
      <c r="AB21" s="46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tr">
        <f>IF(REV!AW21=0,"",REV!AW21)</f>
        <v>31.03.2026</v>
      </c>
      <c r="AX21" s="159" t="s">
        <v>66</v>
      </c>
    </row>
    <row r="22" spans="1:50" ht="22.5" customHeight="1">
      <c r="A22" s="52" t="s">
        <v>70</v>
      </c>
      <c r="B22" s="41" t="s">
        <v>62</v>
      </c>
      <c r="C22" s="42">
        <v>4013986</v>
      </c>
      <c r="D22" s="44" t="s">
        <v>71</v>
      </c>
      <c r="E22" s="44" t="s">
        <v>77</v>
      </c>
      <c r="F22" s="45"/>
      <c r="G22" s="45"/>
      <c r="H22" s="46"/>
      <c r="I22" s="46"/>
      <c r="J22" s="46">
        <f>IF(VLOOKUP($C22,REV!$C:$AA,8,0)-'TRADE IN'!$F22=0,"",(VLOOKUP($C22,REV!$C:$AA,8,0)-'TRADE IN'!$F22))</f>
        <v>799</v>
      </c>
      <c r="K22" s="46">
        <f>IF(VLOOKUP($C22,REV!$C:$AA,9,0)-'TRADE IN'!$F22=0,"",(VLOOKUP($C22,REV!$C:$AA,9,0)-'TRADE IN'!$F22))</f>
        <v>699</v>
      </c>
      <c r="L22" s="46">
        <f>IF(VLOOKUP($C22,REV!$C:$AA,10,0)-'TRADE IN'!$F31=0,"",(VLOOKUP($C22,REV!$C:$AA,10,0)-'TRADE IN'!$F22))</f>
        <v>699</v>
      </c>
      <c r="M22" s="46">
        <f>IF(VLOOKUP($C22,REV!$C:$AA,11,0)-'TRADE IN'!$F31=0,"",(VLOOKUP($C22,REV!$C:$AA,11,0)-'TRADE IN'!$F22))</f>
        <v>799</v>
      </c>
      <c r="N22" s="46">
        <f>IF(VLOOKUP($C22,REV!$C:$AA,12,0)-'TRADE IN'!$F31=0,"",(VLOOKUP($C22,REV!$C:$AA,12,0)-'TRADE IN'!$F22))</f>
        <v>799</v>
      </c>
      <c r="O22" s="46">
        <f>IF(VLOOKUP($C22,REV!$C:$AA,13,0)-'TRADE IN'!$F31=0,"",(VLOOKUP($C22,REV!$C:$AA,13,0)-'TRADE IN'!$F22))</f>
        <v>599</v>
      </c>
      <c r="P22" s="46">
        <f>IF(VLOOKUP($C22,REV!$C:$AA,14,0)-'TRADE IN'!$F31=0,"",(VLOOKUP($C22,REV!$C:$AA,14,0)-'TRADE IN'!$F22))</f>
        <v>599</v>
      </c>
      <c r="Q22" s="46">
        <f>IF(VLOOKUP($C22,REV!$C:$AA,15,0)-'TRADE IN'!$F31=0,"",(VLOOKUP($C22,REV!$C:$AA,15,0)-'TRADE IN'!$F22))</f>
        <v>599</v>
      </c>
      <c r="R22" s="46">
        <f>IF(VLOOKUP($C22,REV!$C:$AA,16,0)-'TRADE IN'!$F31=0,"",(VLOOKUP($C22,REV!$C:$AA,16,0)-'TRADE IN'!$F22))</f>
        <v>599</v>
      </c>
      <c r="S22" s="46">
        <f>IF(VLOOKUP($C22,REV!$C:$AA,17,0)-'TRADE IN'!$F31=0,"",(VLOOKUP($C22,REV!$C:$AA,17,0)-'TRADE IN'!$F22))</f>
        <v>599</v>
      </c>
      <c r="T22" s="46">
        <f>IF(VLOOKUP($C22,REV!$C:$AA,18,0)-'TRADE IN'!$F31=0,"",(VLOOKUP($C22,REV!$C:$AA,18,0)-'TRADE IN'!$F22))</f>
        <v>599</v>
      </c>
      <c r="U22" s="46">
        <f>IF(VLOOKUP($C22,REV!$C:$AA,19,0)-'TRADE IN'!$F31=0,"",(VLOOKUP($C22,REV!$C:$AA,19,0)-'TRADE IN'!$F22))</f>
        <v>599</v>
      </c>
      <c r="V22" s="46">
        <f>IF(VLOOKUP($C22,REV!$C:$AA,20,0)-'TRADE IN'!$F31=0,"",(VLOOKUP($C22,REV!$C:$AA,20,0)-'TRADE IN'!$F22))</f>
        <v>599</v>
      </c>
      <c r="W22" s="46">
        <f>IF(VLOOKUP($C22,REV!$C:$AA,21,0)-'TRADE IN'!$F31=0,"",(VLOOKUP($C22,REV!$C:$AA,21,0)-'TRADE IN'!$F22))</f>
        <v>599</v>
      </c>
      <c r="X22" s="46">
        <f>IF(VLOOKUP($C22,REV!$C:$AA,22,0)-'TRADE IN'!$F31=0,"",(VLOOKUP($C22,REV!$C:$AA,22,0)-'TRADE IN'!$F22))</f>
        <v>549</v>
      </c>
      <c r="Y22" s="46">
        <f>IF(VLOOKUP($C22,REV!$C:$AA,23,0)-'TRADE IN'!$F31=0,"",(VLOOKUP($C22,REV!$C:$AA,23,0)-'TRADE IN'!$F22))</f>
        <v>549</v>
      </c>
      <c r="Z22" s="46">
        <f>IF(VLOOKUP($C22,REV!$C:$AA,24,0)-'TRADE IN'!$F31=0,"",(VLOOKUP($C22,REV!$C:$AA,24,0)-'TRADE IN'!$F22))</f>
        <v>549</v>
      </c>
      <c r="AA22" s="46">
        <f>IF(VLOOKUP($C22,REV!$C:$AA,25,0)-'TRADE IN'!$F31=0,"",(VLOOKUP($C22,REV!$C:$AA,25,0)-'TRADE IN'!$F22))</f>
        <v>549</v>
      </c>
      <c r="AB22" s="46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tr">
        <f>IF(REV!AW22=0,"",REV!AW22)</f>
        <v>31.03.2026</v>
      </c>
      <c r="AX22" s="159" t="s">
        <v>66</v>
      </c>
    </row>
    <row r="23" spans="1:50" ht="22.5" customHeight="1">
      <c r="A23" s="52" t="s">
        <v>70</v>
      </c>
      <c r="B23" s="41" t="s">
        <v>62</v>
      </c>
      <c r="C23" s="42">
        <v>4013852</v>
      </c>
      <c r="D23" s="44" t="s">
        <v>71</v>
      </c>
      <c r="E23" s="44" t="s">
        <v>78</v>
      </c>
      <c r="F23" s="45"/>
      <c r="G23" s="45"/>
      <c r="H23" s="46"/>
      <c r="I23" s="46"/>
      <c r="J23" s="46">
        <f>IF(VLOOKUP($C23,REV!$C:$AA,8,0)-'TRADE IN'!$F23=0,"",(VLOOKUP($C23,REV!$C:$AA,8,0)-'TRADE IN'!$F23))</f>
        <v>799</v>
      </c>
      <c r="K23" s="46">
        <f>IF(VLOOKUP($C23,REV!$C:$AA,9,0)-'TRADE IN'!$F23=0,"",(VLOOKUP($C23,REV!$C:$AA,9,0)-'TRADE IN'!$F23))</f>
        <v>699</v>
      </c>
      <c r="L23" s="46">
        <f>IF(VLOOKUP($C23,REV!$C:$AA,10,0)-'TRADE IN'!$F32=0,"",(VLOOKUP($C23,REV!$C:$AA,10,0)-'TRADE IN'!$F23))</f>
        <v>699</v>
      </c>
      <c r="M23" s="46">
        <f>IF(VLOOKUP($C23,REV!$C:$AA,11,0)-'TRADE IN'!$F32=0,"",(VLOOKUP($C23,REV!$C:$AA,11,0)-'TRADE IN'!$F23))</f>
        <v>799</v>
      </c>
      <c r="N23" s="46">
        <f>IF(VLOOKUP($C23,REV!$C:$AA,12,0)-'TRADE IN'!$F32=0,"",(VLOOKUP($C23,REV!$C:$AA,12,0)-'TRADE IN'!$F23))</f>
        <v>799</v>
      </c>
      <c r="O23" s="46">
        <f>IF(VLOOKUP($C23,REV!$C:$AA,13,0)-'TRADE IN'!$F32=0,"",(VLOOKUP($C23,REV!$C:$AA,13,0)-'TRADE IN'!$F23))</f>
        <v>599</v>
      </c>
      <c r="P23" s="46">
        <f>IF(VLOOKUP($C23,REV!$C:$AA,14,0)-'TRADE IN'!$F32=0,"",(VLOOKUP($C23,REV!$C:$AA,14,0)-'TRADE IN'!$F23))</f>
        <v>599</v>
      </c>
      <c r="Q23" s="46">
        <f>IF(VLOOKUP($C23,REV!$C:$AA,15,0)-'TRADE IN'!$F32=0,"",(VLOOKUP($C23,REV!$C:$AA,15,0)-'TRADE IN'!$F23))</f>
        <v>599</v>
      </c>
      <c r="R23" s="46">
        <f>IF(VLOOKUP($C23,REV!$C:$AA,16,0)-'TRADE IN'!$F32=0,"",(VLOOKUP($C23,REV!$C:$AA,16,0)-'TRADE IN'!$F23))</f>
        <v>599</v>
      </c>
      <c r="S23" s="46">
        <f>IF(VLOOKUP($C23,REV!$C:$AA,17,0)-'TRADE IN'!$F32=0,"",(VLOOKUP($C23,REV!$C:$AA,17,0)-'TRADE IN'!$F23))</f>
        <v>599</v>
      </c>
      <c r="T23" s="46">
        <f>IF(VLOOKUP($C23,REV!$C:$AA,18,0)-'TRADE IN'!$F32=0,"",(VLOOKUP($C23,REV!$C:$AA,18,0)-'TRADE IN'!$F23))</f>
        <v>599</v>
      </c>
      <c r="U23" s="46">
        <f>IF(VLOOKUP($C23,REV!$C:$AA,19,0)-'TRADE IN'!$F32=0,"",(VLOOKUP($C23,REV!$C:$AA,19,0)-'TRADE IN'!$F23))</f>
        <v>599</v>
      </c>
      <c r="V23" s="46">
        <f>IF(VLOOKUP($C23,REV!$C:$AA,20,0)-'TRADE IN'!$F32=0,"",(VLOOKUP($C23,REV!$C:$AA,20,0)-'TRADE IN'!$F23))</f>
        <v>599</v>
      </c>
      <c r="W23" s="46">
        <f>IF(VLOOKUP($C23,REV!$C:$AA,21,0)-'TRADE IN'!$F32=0,"",(VLOOKUP($C23,REV!$C:$AA,21,0)-'TRADE IN'!$F23))</f>
        <v>599</v>
      </c>
      <c r="X23" s="46">
        <f>IF(VLOOKUP($C23,REV!$C:$AA,22,0)-'TRADE IN'!$F32=0,"",(VLOOKUP($C23,REV!$C:$AA,22,0)-'TRADE IN'!$F23))</f>
        <v>549</v>
      </c>
      <c r="Y23" s="46">
        <f>IF(VLOOKUP($C23,REV!$C:$AA,23,0)-'TRADE IN'!$F32=0,"",(VLOOKUP($C23,REV!$C:$AA,23,0)-'TRADE IN'!$F23))</f>
        <v>549</v>
      </c>
      <c r="Z23" s="46">
        <f>IF(VLOOKUP($C23,REV!$C:$AA,24,0)-'TRADE IN'!$F32=0,"",(VLOOKUP($C23,REV!$C:$AA,24,0)-'TRADE IN'!$F23))</f>
        <v>549</v>
      </c>
      <c r="AA23" s="46">
        <f>IF(VLOOKUP($C23,REV!$C:$AA,25,0)-'TRADE IN'!$F32=0,"",(VLOOKUP($C23,REV!$C:$AA,25,0)-'TRADE IN'!$F23))</f>
        <v>549</v>
      </c>
      <c r="AB23" s="46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tr">
        <f>IF(REV!AW23=0,"",REV!AW23)</f>
        <v>31.03.2026</v>
      </c>
      <c r="AX23" s="159" t="s">
        <v>66</v>
      </c>
    </row>
    <row r="24" spans="1:50" ht="22.5" customHeight="1">
      <c r="A24" s="52" t="s">
        <v>70</v>
      </c>
      <c r="B24" s="41" t="s">
        <v>62</v>
      </c>
      <c r="C24" s="42">
        <v>4014002</v>
      </c>
      <c r="D24" s="44" t="s">
        <v>71</v>
      </c>
      <c r="E24" s="44" t="s">
        <v>79</v>
      </c>
      <c r="F24" s="45"/>
      <c r="G24" s="45"/>
      <c r="H24" s="46"/>
      <c r="I24" s="46"/>
      <c r="J24" s="46">
        <f>IF(VLOOKUP($C24,REV!$C:$AA,8,0)-'TRADE IN'!$F24=0,"",(VLOOKUP($C24,REV!$C:$AA,8,0)-'TRADE IN'!$F24))</f>
        <v>799</v>
      </c>
      <c r="K24" s="46">
        <f>IF(VLOOKUP($C24,REV!$C:$AA,9,0)-'TRADE IN'!$F24=0,"",(VLOOKUP($C24,REV!$C:$AA,9,0)-'TRADE IN'!$F24))</f>
        <v>699</v>
      </c>
      <c r="L24" s="46">
        <f>IF(VLOOKUP($C24,REV!$C:$AA,10,0)-'TRADE IN'!$F33=0,"",(VLOOKUP($C24,REV!$C:$AA,10,0)-'TRADE IN'!$F24))</f>
        <v>699</v>
      </c>
      <c r="M24" s="46">
        <f>IF(VLOOKUP($C24,REV!$C:$AA,11,0)-'TRADE IN'!$F33=0,"",(VLOOKUP($C24,REV!$C:$AA,11,0)-'TRADE IN'!$F24))</f>
        <v>799</v>
      </c>
      <c r="N24" s="46">
        <f>IF(VLOOKUP($C24,REV!$C:$AA,12,0)-'TRADE IN'!$F33=0,"",(VLOOKUP($C24,REV!$C:$AA,12,0)-'TRADE IN'!$F24))</f>
        <v>799</v>
      </c>
      <c r="O24" s="46">
        <f>IF(VLOOKUP($C24,REV!$C:$AA,13,0)-'TRADE IN'!$F33=0,"",(VLOOKUP($C24,REV!$C:$AA,13,0)-'TRADE IN'!$F24))</f>
        <v>599</v>
      </c>
      <c r="P24" s="46">
        <f>IF(VLOOKUP($C24,REV!$C:$AA,14,0)-'TRADE IN'!$F33=0,"",(VLOOKUP($C24,REV!$C:$AA,14,0)-'TRADE IN'!$F24))</f>
        <v>599</v>
      </c>
      <c r="Q24" s="46">
        <f>IF(VLOOKUP($C24,REV!$C:$AA,15,0)-'TRADE IN'!$F33=0,"",(VLOOKUP($C24,REV!$C:$AA,15,0)-'TRADE IN'!$F24))</f>
        <v>599</v>
      </c>
      <c r="R24" s="46">
        <f>IF(VLOOKUP($C24,REV!$C:$AA,16,0)-'TRADE IN'!$F33=0,"",(VLOOKUP($C24,REV!$C:$AA,16,0)-'TRADE IN'!$F24))</f>
        <v>599</v>
      </c>
      <c r="S24" s="46">
        <f>IF(VLOOKUP($C24,REV!$C:$AA,17,0)-'TRADE IN'!$F33=0,"",(VLOOKUP($C24,REV!$C:$AA,17,0)-'TRADE IN'!$F24))</f>
        <v>599</v>
      </c>
      <c r="T24" s="46">
        <f>IF(VLOOKUP($C24,REV!$C:$AA,18,0)-'TRADE IN'!$F33=0,"",(VLOOKUP($C24,REV!$C:$AA,18,0)-'TRADE IN'!$F24))</f>
        <v>599</v>
      </c>
      <c r="U24" s="46">
        <f>IF(VLOOKUP($C24,REV!$C:$AA,19,0)-'TRADE IN'!$F33=0,"",(VLOOKUP($C24,REV!$C:$AA,19,0)-'TRADE IN'!$F24))</f>
        <v>599</v>
      </c>
      <c r="V24" s="46">
        <f>IF(VLOOKUP($C24,REV!$C:$AA,20,0)-'TRADE IN'!$F33=0,"",(VLOOKUP($C24,REV!$C:$AA,20,0)-'TRADE IN'!$F24))</f>
        <v>599</v>
      </c>
      <c r="W24" s="46">
        <f>IF(VLOOKUP($C24,REV!$C:$AA,21,0)-'TRADE IN'!$F33=0,"",(VLOOKUP($C24,REV!$C:$AA,21,0)-'TRADE IN'!$F24))</f>
        <v>599</v>
      </c>
      <c r="X24" s="46">
        <f>IF(VLOOKUP($C24,REV!$C:$AA,22,0)-'TRADE IN'!$F33=0,"",(VLOOKUP($C24,REV!$C:$AA,22,0)-'TRADE IN'!$F24))</f>
        <v>549</v>
      </c>
      <c r="Y24" s="46">
        <f>IF(VLOOKUP($C24,REV!$C:$AA,23,0)-'TRADE IN'!$F33=0,"",(VLOOKUP($C24,REV!$C:$AA,23,0)-'TRADE IN'!$F24))</f>
        <v>549</v>
      </c>
      <c r="Z24" s="46">
        <f>IF(VLOOKUP($C24,REV!$C:$AA,24,0)-'TRADE IN'!$F33=0,"",(VLOOKUP($C24,REV!$C:$AA,24,0)-'TRADE IN'!$F24))</f>
        <v>549</v>
      </c>
      <c r="AA24" s="46">
        <f>IF(VLOOKUP($C24,REV!$C:$AA,25,0)-'TRADE IN'!$F33=0,"",(VLOOKUP($C24,REV!$C:$AA,25,0)-'TRADE IN'!$F24))</f>
        <v>549</v>
      </c>
      <c r="AB24" s="46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tr">
        <f>IF(REV!AW24=0,"",REV!AW24)</f>
        <v>31.03.2026</v>
      </c>
      <c r="AX24" s="159" t="s">
        <v>66</v>
      </c>
    </row>
    <row r="25" spans="1:50" ht="22.5" customHeight="1">
      <c r="A25" s="52" t="s">
        <v>70</v>
      </c>
      <c r="B25" s="41" t="s">
        <v>62</v>
      </c>
      <c r="C25" s="42">
        <v>4013875</v>
      </c>
      <c r="D25" s="43" t="s">
        <v>80</v>
      </c>
      <c r="E25" s="43" t="s">
        <v>81</v>
      </c>
      <c r="F25" s="45"/>
      <c r="G25" s="45"/>
      <c r="H25" s="46"/>
      <c r="I25" s="46"/>
      <c r="J25" s="46">
        <f>IF(VLOOKUP($C25,REV!$C:$AA,8,0)-'TRADE IN'!$F25=0,"",(VLOOKUP($C25,REV!$C:$AA,8,0)-'TRADE IN'!$F25))</f>
        <v>999</v>
      </c>
      <c r="K25" s="46">
        <f>IF(VLOOKUP($C25,REV!$C:$AA,9,0)-'TRADE IN'!$F25=0,"",(VLOOKUP($C25,REV!$C:$AA,9,0)-'TRADE IN'!$F25))</f>
        <v>999</v>
      </c>
      <c r="L25" s="46">
        <f>IF(VLOOKUP($C25,REV!$C:$AA,10,0)-'TRADE IN'!$F34=0,"",(VLOOKUP($C25,REV!$C:$AA,10,0)-'TRADE IN'!$F25))</f>
        <v>999</v>
      </c>
      <c r="M25" s="46">
        <f>IF(VLOOKUP($C25,REV!$C:$AA,11,0)-'TRADE IN'!$F34=0,"",(VLOOKUP($C25,REV!$C:$AA,11,0)-'TRADE IN'!$F25))</f>
        <v>999</v>
      </c>
      <c r="N25" s="46">
        <f>IF(VLOOKUP($C25,REV!$C:$AA,12,0)-'TRADE IN'!$F34=0,"",(VLOOKUP($C25,REV!$C:$AA,12,0)-'TRADE IN'!$F25))</f>
        <v>999</v>
      </c>
      <c r="O25" s="46">
        <f>IF(VLOOKUP($C25,REV!$C:$AA,13,0)-'TRADE IN'!$F34=0,"",(VLOOKUP($C25,REV!$C:$AA,13,0)-'TRADE IN'!$F25))</f>
        <v>999</v>
      </c>
      <c r="P25" s="46">
        <f>IF(VLOOKUP($C25,REV!$C:$AA,14,0)-'TRADE IN'!$F34=0,"",(VLOOKUP($C25,REV!$C:$AA,14,0)-'TRADE IN'!$F25))</f>
        <v>999</v>
      </c>
      <c r="Q25" s="46">
        <f>IF(VLOOKUP($C25,REV!$C:$AA,15,0)-'TRADE IN'!$F34=0,"",(VLOOKUP($C25,REV!$C:$AA,15,0)-'TRADE IN'!$F25))</f>
        <v>999</v>
      </c>
      <c r="R25" s="46">
        <f>IF(VLOOKUP($C25,REV!$C:$AA,16,0)-'TRADE IN'!$F34=0,"",(VLOOKUP($C25,REV!$C:$AA,16,0)-'TRADE IN'!$F25))</f>
        <v>999</v>
      </c>
      <c r="S25" s="46">
        <f>IF(VLOOKUP($C25,REV!$C:$AA,17,0)-'TRADE IN'!$F34=0,"",(VLOOKUP($C25,REV!$C:$AA,17,0)-'TRADE IN'!$F25))</f>
        <v>999</v>
      </c>
      <c r="T25" s="46">
        <f>IF(VLOOKUP($C25,REV!$C:$AA,18,0)-'TRADE IN'!$F34=0,"",(VLOOKUP($C25,REV!$C:$AA,18,0)-'TRADE IN'!$F25))</f>
        <v>999</v>
      </c>
      <c r="U25" s="46">
        <f>IF(VLOOKUP($C25,REV!$C:$AA,19,0)-'TRADE IN'!$F34=0,"",(VLOOKUP($C25,REV!$C:$AA,19,0)-'TRADE IN'!$F25))</f>
        <v>999</v>
      </c>
      <c r="V25" s="46">
        <f>IF(VLOOKUP($C25,REV!$C:$AA,20,0)-'TRADE IN'!$F34=0,"",(VLOOKUP($C25,REV!$C:$AA,20,0)-'TRADE IN'!$F25))</f>
        <v>999</v>
      </c>
      <c r="W25" s="46">
        <f>IF(VLOOKUP($C25,REV!$C:$AA,21,0)-'TRADE IN'!$F34=0,"",(VLOOKUP($C25,REV!$C:$AA,21,0)-'TRADE IN'!$F25))</f>
        <v>999</v>
      </c>
      <c r="X25" s="46">
        <f>IF(VLOOKUP($C25,REV!$C:$AA,22,0)-'TRADE IN'!$F34=0,"",(VLOOKUP($C25,REV!$C:$AA,22,0)-'TRADE IN'!$F25))</f>
        <v>999</v>
      </c>
      <c r="Y25" s="46">
        <f>IF(VLOOKUP($C25,REV!$C:$AA,23,0)-'TRADE IN'!$F34=0,"",(VLOOKUP($C25,REV!$C:$AA,23,0)-'TRADE IN'!$F25))</f>
        <v>999</v>
      </c>
      <c r="Z25" s="46">
        <f>IF(VLOOKUP($C25,REV!$C:$AA,24,0)-'TRADE IN'!$F34=0,"",(VLOOKUP($C25,REV!$C:$AA,24,0)-'TRADE IN'!$F25))</f>
        <v>999</v>
      </c>
      <c r="AA25" s="46">
        <f>IF(VLOOKUP($C25,REV!$C:$AA,25,0)-'TRADE IN'!$F34=0,"",(VLOOKUP($C25,REV!$C:$AA,25,0)-'TRADE IN'!$F25))</f>
        <v>999</v>
      </c>
      <c r="AB25" s="46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tr">
        <f>IF(REV!AW25=0,"",REV!AW25)</f>
        <v>31.03.2026</v>
      </c>
      <c r="AX25" s="159" t="s">
        <v>82</v>
      </c>
    </row>
    <row r="26" spans="1:50" ht="22.5" customHeight="1">
      <c r="A26" s="52" t="s">
        <v>70</v>
      </c>
      <c r="B26" s="41" t="s">
        <v>62</v>
      </c>
      <c r="C26" s="42">
        <v>4013877</v>
      </c>
      <c r="D26" s="43" t="s">
        <v>80</v>
      </c>
      <c r="E26" s="43" t="s">
        <v>83</v>
      </c>
      <c r="F26" s="45"/>
      <c r="G26" s="45"/>
      <c r="H26" s="46"/>
      <c r="I26" s="46"/>
      <c r="J26" s="46">
        <f>IF(VLOOKUP($C26,REV!$C:$AA,8,0)-'TRADE IN'!$F26=0,"",(VLOOKUP($C26,REV!$C:$AA,8,0)-'TRADE IN'!$F26))</f>
        <v>999</v>
      </c>
      <c r="K26" s="46">
        <f>IF(VLOOKUP($C26,REV!$C:$AA,9,0)-'TRADE IN'!$F26=0,"",(VLOOKUP($C26,REV!$C:$AA,9,0)-'TRADE IN'!$F26))</f>
        <v>999</v>
      </c>
      <c r="L26" s="46">
        <f>IF(VLOOKUP($C26,REV!$C:$AA,10,0)-'TRADE IN'!$F35=0,"",(VLOOKUP($C26,REV!$C:$AA,10,0)-'TRADE IN'!$F26))</f>
        <v>999</v>
      </c>
      <c r="M26" s="46">
        <f>IF(VLOOKUP($C26,REV!$C:$AA,11,0)-'TRADE IN'!$F35=0,"",(VLOOKUP($C26,REV!$C:$AA,11,0)-'TRADE IN'!$F26))</f>
        <v>999</v>
      </c>
      <c r="N26" s="46">
        <f>IF(VLOOKUP($C26,REV!$C:$AA,12,0)-'TRADE IN'!$F35=0,"",(VLOOKUP($C26,REV!$C:$AA,12,0)-'TRADE IN'!$F26))</f>
        <v>999</v>
      </c>
      <c r="O26" s="46">
        <f>IF(VLOOKUP($C26,REV!$C:$AA,13,0)-'TRADE IN'!$F35=0,"",(VLOOKUP($C26,REV!$C:$AA,13,0)-'TRADE IN'!$F26))</f>
        <v>999</v>
      </c>
      <c r="P26" s="46">
        <f>IF(VLOOKUP($C26,REV!$C:$AA,14,0)-'TRADE IN'!$F35=0,"",(VLOOKUP($C26,REV!$C:$AA,14,0)-'TRADE IN'!$F26))</f>
        <v>999</v>
      </c>
      <c r="Q26" s="46">
        <f>IF(VLOOKUP($C26,REV!$C:$AA,15,0)-'TRADE IN'!$F35=0,"",(VLOOKUP($C26,REV!$C:$AA,15,0)-'TRADE IN'!$F26))</f>
        <v>999</v>
      </c>
      <c r="R26" s="46">
        <f>IF(VLOOKUP($C26,REV!$C:$AA,16,0)-'TRADE IN'!$F35=0,"",(VLOOKUP($C26,REV!$C:$AA,16,0)-'TRADE IN'!$F26))</f>
        <v>999</v>
      </c>
      <c r="S26" s="46">
        <f>IF(VLOOKUP($C26,REV!$C:$AA,17,0)-'TRADE IN'!$F35=0,"",(VLOOKUP($C26,REV!$C:$AA,17,0)-'TRADE IN'!$F26))</f>
        <v>999</v>
      </c>
      <c r="T26" s="46">
        <f>IF(VLOOKUP($C26,REV!$C:$AA,18,0)-'TRADE IN'!$F35=0,"",(VLOOKUP($C26,REV!$C:$AA,18,0)-'TRADE IN'!$F26))</f>
        <v>999</v>
      </c>
      <c r="U26" s="46">
        <f>IF(VLOOKUP($C26,REV!$C:$AA,19,0)-'TRADE IN'!$F35=0,"",(VLOOKUP($C26,REV!$C:$AA,19,0)-'TRADE IN'!$F26))</f>
        <v>999</v>
      </c>
      <c r="V26" s="46">
        <f>IF(VLOOKUP($C26,REV!$C:$AA,20,0)-'TRADE IN'!$F35=0,"",(VLOOKUP($C26,REV!$C:$AA,20,0)-'TRADE IN'!$F26))</f>
        <v>999</v>
      </c>
      <c r="W26" s="46">
        <f>IF(VLOOKUP($C26,REV!$C:$AA,21,0)-'TRADE IN'!$F35=0,"",(VLOOKUP($C26,REV!$C:$AA,21,0)-'TRADE IN'!$F26))</f>
        <v>999</v>
      </c>
      <c r="X26" s="46">
        <f>IF(VLOOKUP($C26,REV!$C:$AA,22,0)-'TRADE IN'!$F35=0,"",(VLOOKUP($C26,REV!$C:$AA,22,0)-'TRADE IN'!$F26))</f>
        <v>999</v>
      </c>
      <c r="Y26" s="46">
        <f>IF(VLOOKUP($C26,REV!$C:$AA,23,0)-'TRADE IN'!$F35=0,"",(VLOOKUP($C26,REV!$C:$AA,23,0)-'TRADE IN'!$F26))</f>
        <v>999</v>
      </c>
      <c r="Z26" s="46">
        <f>IF(VLOOKUP($C26,REV!$C:$AA,24,0)-'TRADE IN'!$F35=0,"",(VLOOKUP($C26,REV!$C:$AA,24,0)-'TRADE IN'!$F26))</f>
        <v>999</v>
      </c>
      <c r="AA26" s="46">
        <f>IF(VLOOKUP($C26,REV!$C:$AA,25,0)-'TRADE IN'!$F35=0,"",(VLOOKUP($C26,REV!$C:$AA,25,0)-'TRADE IN'!$F26))</f>
        <v>999</v>
      </c>
      <c r="AB26" s="46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tr">
        <f>IF(REV!AW26=0,"",REV!AW26)</f>
        <v>31.03.2026</v>
      </c>
      <c r="AX26" s="159" t="s">
        <v>82</v>
      </c>
    </row>
    <row r="27" spans="1:50" ht="22.5" customHeight="1">
      <c r="A27" s="52" t="s">
        <v>70</v>
      </c>
      <c r="B27" s="41" t="s">
        <v>62</v>
      </c>
      <c r="C27" s="42">
        <v>4013878</v>
      </c>
      <c r="D27" s="43" t="s">
        <v>80</v>
      </c>
      <c r="E27" s="43" t="s">
        <v>84</v>
      </c>
      <c r="F27" s="45"/>
      <c r="G27" s="45"/>
      <c r="H27" s="46"/>
      <c r="I27" s="46"/>
      <c r="J27" s="46">
        <f>IF(VLOOKUP($C27,REV!$C:$AA,8,0)-'TRADE IN'!$F27=0,"",(VLOOKUP($C27,REV!$C:$AA,8,0)-'TRADE IN'!$F27))</f>
        <v>999</v>
      </c>
      <c r="K27" s="46">
        <f>IF(VLOOKUP($C27,REV!$C:$AA,9,0)-'TRADE IN'!$F27=0,"",(VLOOKUP($C27,REV!$C:$AA,9,0)-'TRADE IN'!$F27))</f>
        <v>999</v>
      </c>
      <c r="L27" s="46">
        <f>IF(VLOOKUP($C27,REV!$C:$AA,10,0)-'TRADE IN'!$F36=0,"",(VLOOKUP($C27,REV!$C:$AA,10,0)-'TRADE IN'!$F27))</f>
        <v>999</v>
      </c>
      <c r="M27" s="46">
        <f>IF(VLOOKUP($C27,REV!$C:$AA,11,0)-'TRADE IN'!$F36=0,"",(VLOOKUP($C27,REV!$C:$AA,11,0)-'TRADE IN'!$F27))</f>
        <v>999</v>
      </c>
      <c r="N27" s="46">
        <f>IF(VLOOKUP($C27,REV!$C:$AA,12,0)-'TRADE IN'!$F36=0,"",(VLOOKUP($C27,REV!$C:$AA,12,0)-'TRADE IN'!$F27))</f>
        <v>999</v>
      </c>
      <c r="O27" s="46">
        <f>IF(VLOOKUP($C27,REV!$C:$AA,13,0)-'TRADE IN'!$F36=0,"",(VLOOKUP($C27,REV!$C:$AA,13,0)-'TRADE IN'!$F27))</f>
        <v>999</v>
      </c>
      <c r="P27" s="46">
        <f>IF(VLOOKUP($C27,REV!$C:$AA,14,0)-'TRADE IN'!$F36=0,"",(VLOOKUP($C27,REV!$C:$AA,14,0)-'TRADE IN'!$F27))</f>
        <v>999</v>
      </c>
      <c r="Q27" s="46">
        <f>IF(VLOOKUP($C27,REV!$C:$AA,15,0)-'TRADE IN'!$F36=0,"",(VLOOKUP($C27,REV!$C:$AA,15,0)-'TRADE IN'!$F27))</f>
        <v>999</v>
      </c>
      <c r="R27" s="46">
        <f>IF(VLOOKUP($C27,REV!$C:$AA,16,0)-'TRADE IN'!$F36=0,"",(VLOOKUP($C27,REV!$C:$AA,16,0)-'TRADE IN'!$F27))</f>
        <v>999</v>
      </c>
      <c r="S27" s="46">
        <f>IF(VLOOKUP($C27,REV!$C:$AA,17,0)-'TRADE IN'!$F36=0,"",(VLOOKUP($C27,REV!$C:$AA,17,0)-'TRADE IN'!$F27))</f>
        <v>999</v>
      </c>
      <c r="T27" s="46">
        <f>IF(VLOOKUP($C27,REV!$C:$AA,18,0)-'TRADE IN'!$F36=0,"",(VLOOKUP($C27,REV!$C:$AA,18,0)-'TRADE IN'!$F27))</f>
        <v>999</v>
      </c>
      <c r="U27" s="46">
        <f>IF(VLOOKUP($C27,REV!$C:$AA,19,0)-'TRADE IN'!$F36=0,"",(VLOOKUP($C27,REV!$C:$AA,19,0)-'TRADE IN'!$F27))</f>
        <v>999</v>
      </c>
      <c r="V27" s="46">
        <f>IF(VLOOKUP($C27,REV!$C:$AA,20,0)-'TRADE IN'!$F36=0,"",(VLOOKUP($C27,REV!$C:$AA,20,0)-'TRADE IN'!$F27))</f>
        <v>999</v>
      </c>
      <c r="W27" s="46">
        <f>IF(VLOOKUP($C27,REV!$C:$AA,21,0)-'TRADE IN'!$F36=0,"",(VLOOKUP($C27,REV!$C:$AA,21,0)-'TRADE IN'!$F27))</f>
        <v>999</v>
      </c>
      <c r="X27" s="46">
        <f>IF(VLOOKUP($C27,REV!$C:$AA,22,0)-'TRADE IN'!$F36=0,"",(VLOOKUP($C27,REV!$C:$AA,22,0)-'TRADE IN'!$F27))</f>
        <v>999</v>
      </c>
      <c r="Y27" s="46">
        <f>IF(VLOOKUP($C27,REV!$C:$AA,23,0)-'TRADE IN'!$F36=0,"",(VLOOKUP($C27,REV!$C:$AA,23,0)-'TRADE IN'!$F27))</f>
        <v>999</v>
      </c>
      <c r="Z27" s="46">
        <f>IF(VLOOKUP($C27,REV!$C:$AA,24,0)-'TRADE IN'!$F36=0,"",(VLOOKUP($C27,REV!$C:$AA,24,0)-'TRADE IN'!$F27))</f>
        <v>999</v>
      </c>
      <c r="AA27" s="46">
        <f>IF(VLOOKUP($C27,REV!$C:$AA,25,0)-'TRADE IN'!$F36=0,"",(VLOOKUP($C27,REV!$C:$AA,25,0)-'TRADE IN'!$F27))</f>
        <v>999</v>
      </c>
      <c r="AB27" s="46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tr">
        <f>IF(REV!AW27=0,"",REV!AW27)</f>
        <v>31.03.2026</v>
      </c>
      <c r="AX27" s="159" t="s">
        <v>82</v>
      </c>
    </row>
    <row r="28" spans="1:50" ht="22.5" customHeight="1">
      <c r="A28" s="52" t="s">
        <v>70</v>
      </c>
      <c r="B28" s="41" t="s">
        <v>62</v>
      </c>
      <c r="C28" s="42">
        <v>4013879</v>
      </c>
      <c r="D28" s="43" t="s">
        <v>80</v>
      </c>
      <c r="E28" s="43" t="s">
        <v>85</v>
      </c>
      <c r="F28" s="45"/>
      <c r="G28" s="45"/>
      <c r="H28" s="46"/>
      <c r="I28" s="46"/>
      <c r="J28" s="46">
        <f>IF(VLOOKUP($C28,REV!$C:$AA,8,0)-'TRADE IN'!$F28=0,"",(VLOOKUP($C28,REV!$C:$AA,8,0)-'TRADE IN'!$F28))</f>
        <v>999</v>
      </c>
      <c r="K28" s="46">
        <f>IF(VLOOKUP($C28,REV!$C:$AA,9,0)-'TRADE IN'!$F28=0,"",(VLOOKUP($C28,REV!$C:$AA,9,0)-'TRADE IN'!$F28))</f>
        <v>999</v>
      </c>
      <c r="L28" s="46">
        <f>IF(VLOOKUP($C28,REV!$C:$AA,10,0)-'TRADE IN'!$F37=0,"",(VLOOKUP($C28,REV!$C:$AA,10,0)-'TRADE IN'!$F28))</f>
        <v>999</v>
      </c>
      <c r="M28" s="46">
        <f>IF(VLOOKUP($C28,REV!$C:$AA,11,0)-'TRADE IN'!$F37=0,"",(VLOOKUP($C28,REV!$C:$AA,11,0)-'TRADE IN'!$F28))</f>
        <v>999</v>
      </c>
      <c r="N28" s="46">
        <f>IF(VLOOKUP($C28,REV!$C:$AA,12,0)-'TRADE IN'!$F37=0,"",(VLOOKUP($C28,REV!$C:$AA,12,0)-'TRADE IN'!$F28))</f>
        <v>999</v>
      </c>
      <c r="O28" s="46">
        <f>IF(VLOOKUP($C28,REV!$C:$AA,13,0)-'TRADE IN'!$F37=0,"",(VLOOKUP($C28,REV!$C:$AA,13,0)-'TRADE IN'!$F28))</f>
        <v>999</v>
      </c>
      <c r="P28" s="46">
        <f>IF(VLOOKUP($C28,REV!$C:$AA,14,0)-'TRADE IN'!$F37=0,"",(VLOOKUP($C28,REV!$C:$AA,14,0)-'TRADE IN'!$F28))</f>
        <v>999</v>
      </c>
      <c r="Q28" s="46">
        <f>IF(VLOOKUP($C28,REV!$C:$AA,15,0)-'TRADE IN'!$F37=0,"",(VLOOKUP($C28,REV!$C:$AA,15,0)-'TRADE IN'!$F28))</f>
        <v>999</v>
      </c>
      <c r="R28" s="46">
        <f>IF(VLOOKUP($C28,REV!$C:$AA,16,0)-'TRADE IN'!$F37=0,"",(VLOOKUP($C28,REV!$C:$AA,16,0)-'TRADE IN'!$F28))</f>
        <v>999</v>
      </c>
      <c r="S28" s="46">
        <f>IF(VLOOKUP($C28,REV!$C:$AA,17,0)-'TRADE IN'!$F37=0,"",(VLOOKUP($C28,REV!$C:$AA,17,0)-'TRADE IN'!$F28))</f>
        <v>999</v>
      </c>
      <c r="T28" s="46">
        <f>IF(VLOOKUP($C28,REV!$C:$AA,18,0)-'TRADE IN'!$F37=0,"",(VLOOKUP($C28,REV!$C:$AA,18,0)-'TRADE IN'!$F28))</f>
        <v>999</v>
      </c>
      <c r="U28" s="46">
        <f>IF(VLOOKUP($C28,REV!$C:$AA,19,0)-'TRADE IN'!$F37=0,"",(VLOOKUP($C28,REV!$C:$AA,19,0)-'TRADE IN'!$F28))</f>
        <v>999</v>
      </c>
      <c r="V28" s="46">
        <f>IF(VLOOKUP($C28,REV!$C:$AA,20,0)-'TRADE IN'!$F37=0,"",(VLOOKUP($C28,REV!$C:$AA,20,0)-'TRADE IN'!$F28))</f>
        <v>999</v>
      </c>
      <c r="W28" s="46">
        <f>IF(VLOOKUP($C28,REV!$C:$AA,21,0)-'TRADE IN'!$F37=0,"",(VLOOKUP($C28,REV!$C:$AA,21,0)-'TRADE IN'!$F28))</f>
        <v>999</v>
      </c>
      <c r="X28" s="46">
        <f>IF(VLOOKUP($C28,REV!$C:$AA,22,0)-'TRADE IN'!$F37=0,"",(VLOOKUP($C28,REV!$C:$AA,22,0)-'TRADE IN'!$F28))</f>
        <v>999</v>
      </c>
      <c r="Y28" s="46">
        <f>IF(VLOOKUP($C28,REV!$C:$AA,23,0)-'TRADE IN'!$F37=0,"",(VLOOKUP($C28,REV!$C:$AA,23,0)-'TRADE IN'!$F28))</f>
        <v>999</v>
      </c>
      <c r="Z28" s="46">
        <f>IF(VLOOKUP($C28,REV!$C:$AA,24,0)-'TRADE IN'!$F37=0,"",(VLOOKUP($C28,REV!$C:$AA,24,0)-'TRADE IN'!$F28))</f>
        <v>999</v>
      </c>
      <c r="AA28" s="46">
        <f>IF(VLOOKUP($C28,REV!$C:$AA,25,0)-'TRADE IN'!$F37=0,"",(VLOOKUP($C28,REV!$C:$AA,25,0)-'TRADE IN'!$F28))</f>
        <v>999</v>
      </c>
      <c r="AB28" s="46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tr">
        <f>IF(REV!AW28=0,"",REV!AW28)</f>
        <v>31.03.2026</v>
      </c>
      <c r="AX28" s="159" t="s">
        <v>82</v>
      </c>
    </row>
    <row r="29" spans="1:50" ht="22.5" customHeight="1">
      <c r="A29" s="52" t="s">
        <v>70</v>
      </c>
      <c r="B29" s="41" t="s">
        <v>62</v>
      </c>
      <c r="C29" s="42">
        <v>4013880</v>
      </c>
      <c r="D29" s="43" t="s">
        <v>80</v>
      </c>
      <c r="E29" s="43" t="s">
        <v>86</v>
      </c>
      <c r="F29" s="45"/>
      <c r="G29" s="45"/>
      <c r="H29" s="46"/>
      <c r="I29" s="46"/>
      <c r="J29" s="46">
        <f>IF(VLOOKUP($C29,REV!$C:$AA,8,0)-'TRADE IN'!$F29=0,"",(VLOOKUP($C29,REV!$C:$AA,8,0)-'TRADE IN'!$F29))</f>
        <v>999</v>
      </c>
      <c r="K29" s="46">
        <f>IF(VLOOKUP($C29,REV!$C:$AA,9,0)-'TRADE IN'!$F29=0,"",(VLOOKUP($C29,REV!$C:$AA,9,0)-'TRADE IN'!$F29))</f>
        <v>999</v>
      </c>
      <c r="L29" s="46">
        <f>IF(VLOOKUP($C29,REV!$C:$AA,10,0)-'TRADE IN'!$F38=0,"",(VLOOKUP($C29,REV!$C:$AA,10,0)-'TRADE IN'!$F29))</f>
        <v>999</v>
      </c>
      <c r="M29" s="46">
        <f>IF(VLOOKUP($C29,REV!$C:$AA,11,0)-'TRADE IN'!$F38=0,"",(VLOOKUP($C29,REV!$C:$AA,11,0)-'TRADE IN'!$F29))</f>
        <v>999</v>
      </c>
      <c r="N29" s="46">
        <f>IF(VLOOKUP($C29,REV!$C:$AA,12,0)-'TRADE IN'!$F38=0,"",(VLOOKUP($C29,REV!$C:$AA,12,0)-'TRADE IN'!$F29))</f>
        <v>999</v>
      </c>
      <c r="O29" s="46">
        <f>IF(VLOOKUP($C29,REV!$C:$AA,13,0)-'TRADE IN'!$F38=0,"",(VLOOKUP($C29,REV!$C:$AA,13,0)-'TRADE IN'!$F29))</f>
        <v>999</v>
      </c>
      <c r="P29" s="46">
        <f>IF(VLOOKUP($C29,REV!$C:$AA,14,0)-'TRADE IN'!$F38=0,"",(VLOOKUP($C29,REV!$C:$AA,14,0)-'TRADE IN'!$F29))</f>
        <v>999</v>
      </c>
      <c r="Q29" s="46">
        <f>IF(VLOOKUP($C29,REV!$C:$AA,15,0)-'TRADE IN'!$F38=0,"",(VLOOKUP($C29,REV!$C:$AA,15,0)-'TRADE IN'!$F29))</f>
        <v>999</v>
      </c>
      <c r="R29" s="46">
        <f>IF(VLOOKUP($C29,REV!$C:$AA,16,0)-'TRADE IN'!$F38=0,"",(VLOOKUP($C29,REV!$C:$AA,16,0)-'TRADE IN'!$F29))</f>
        <v>999</v>
      </c>
      <c r="S29" s="46">
        <f>IF(VLOOKUP($C29,REV!$C:$AA,17,0)-'TRADE IN'!$F38=0,"",(VLOOKUP($C29,REV!$C:$AA,17,0)-'TRADE IN'!$F29))</f>
        <v>999</v>
      </c>
      <c r="T29" s="46">
        <f>IF(VLOOKUP($C29,REV!$C:$AA,18,0)-'TRADE IN'!$F38=0,"",(VLOOKUP($C29,REV!$C:$AA,18,0)-'TRADE IN'!$F29))</f>
        <v>999</v>
      </c>
      <c r="U29" s="46">
        <f>IF(VLOOKUP($C29,REV!$C:$AA,19,0)-'TRADE IN'!$F38=0,"",(VLOOKUP($C29,REV!$C:$AA,19,0)-'TRADE IN'!$F29))</f>
        <v>999</v>
      </c>
      <c r="V29" s="46">
        <f>IF(VLOOKUP($C29,REV!$C:$AA,20,0)-'TRADE IN'!$F38=0,"",(VLOOKUP($C29,REV!$C:$AA,20,0)-'TRADE IN'!$F29))</f>
        <v>999</v>
      </c>
      <c r="W29" s="46">
        <f>IF(VLOOKUP($C29,REV!$C:$AA,21,0)-'TRADE IN'!$F38=0,"",(VLOOKUP($C29,REV!$C:$AA,21,0)-'TRADE IN'!$F29))</f>
        <v>999</v>
      </c>
      <c r="X29" s="46">
        <f>IF(VLOOKUP($C29,REV!$C:$AA,22,0)-'TRADE IN'!$F38=0,"",(VLOOKUP($C29,REV!$C:$AA,22,0)-'TRADE IN'!$F29))</f>
        <v>999</v>
      </c>
      <c r="Y29" s="46">
        <f>IF(VLOOKUP($C29,REV!$C:$AA,23,0)-'TRADE IN'!$F38=0,"",(VLOOKUP($C29,REV!$C:$AA,23,0)-'TRADE IN'!$F29))</f>
        <v>999</v>
      </c>
      <c r="Z29" s="46">
        <f>IF(VLOOKUP($C29,REV!$C:$AA,24,0)-'TRADE IN'!$F38=0,"",(VLOOKUP($C29,REV!$C:$AA,24,0)-'TRADE IN'!$F29))</f>
        <v>999</v>
      </c>
      <c r="AA29" s="46">
        <f>IF(VLOOKUP($C29,REV!$C:$AA,25,0)-'TRADE IN'!$F38=0,"",(VLOOKUP($C29,REV!$C:$AA,25,0)-'TRADE IN'!$F29))</f>
        <v>999</v>
      </c>
      <c r="AB29" s="46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tr">
        <f>IF(REV!AW29=0,"",REV!AW29)</f>
        <v>31.03.2026</v>
      </c>
      <c r="AX29" s="159" t="s">
        <v>82</v>
      </c>
    </row>
    <row r="30" spans="1:50" ht="22.5" customHeight="1">
      <c r="A30" s="52" t="s">
        <v>70</v>
      </c>
      <c r="B30" s="41" t="s">
        <v>62</v>
      </c>
      <c r="C30" s="42">
        <v>4014295</v>
      </c>
      <c r="D30" s="43" t="s">
        <v>80</v>
      </c>
      <c r="E30" s="43" t="s">
        <v>87</v>
      </c>
      <c r="F30" s="45"/>
      <c r="G30" s="45"/>
      <c r="H30" s="46"/>
      <c r="I30" s="46"/>
      <c r="J30" s="46">
        <f>IF(VLOOKUP($C30,REV!$C:$AA,8,0)-'TRADE IN'!$F30=0,"",(VLOOKUP($C30,REV!$C:$AA,8,0)-'TRADE IN'!$F30))</f>
        <v>999</v>
      </c>
      <c r="K30" s="46">
        <f>IF(VLOOKUP($C30,REV!$C:$AA,9,0)-'TRADE IN'!$F30=0,"",(VLOOKUP($C30,REV!$C:$AA,9,0)-'TRADE IN'!$F30))</f>
        <v>999</v>
      </c>
      <c r="L30" s="46">
        <f>IF(VLOOKUP($C30,REV!$C:$AA,10,0)-'TRADE IN'!$F39=0,"",(VLOOKUP($C30,REV!$C:$AA,10,0)-'TRADE IN'!$F30))</f>
        <v>999</v>
      </c>
      <c r="M30" s="46">
        <f>IF(VLOOKUP($C30,REV!$C:$AA,11,0)-'TRADE IN'!$F39=0,"",(VLOOKUP($C30,REV!$C:$AA,11,0)-'TRADE IN'!$F30))</f>
        <v>999</v>
      </c>
      <c r="N30" s="46">
        <f>IF(VLOOKUP($C30,REV!$C:$AA,12,0)-'TRADE IN'!$F39=0,"",(VLOOKUP($C30,REV!$C:$AA,12,0)-'TRADE IN'!$F30))</f>
        <v>999</v>
      </c>
      <c r="O30" s="46">
        <f>IF(VLOOKUP($C30,REV!$C:$AA,13,0)-'TRADE IN'!$F39=0,"",(VLOOKUP($C30,REV!$C:$AA,13,0)-'TRADE IN'!$F30))</f>
        <v>999</v>
      </c>
      <c r="P30" s="46">
        <f>IF(VLOOKUP($C30,REV!$C:$AA,14,0)-'TRADE IN'!$F39=0,"",(VLOOKUP($C30,REV!$C:$AA,14,0)-'TRADE IN'!$F30))</f>
        <v>999</v>
      </c>
      <c r="Q30" s="46">
        <f>IF(VLOOKUP($C30,REV!$C:$AA,15,0)-'TRADE IN'!$F39=0,"",(VLOOKUP($C30,REV!$C:$AA,15,0)-'TRADE IN'!$F30))</f>
        <v>999</v>
      </c>
      <c r="R30" s="46">
        <f>IF(VLOOKUP($C30,REV!$C:$AA,16,0)-'TRADE IN'!$F39=0,"",(VLOOKUP($C30,REV!$C:$AA,16,0)-'TRADE IN'!$F30))</f>
        <v>999</v>
      </c>
      <c r="S30" s="46">
        <f>IF(VLOOKUP($C30,REV!$C:$AA,17,0)-'TRADE IN'!$F39=0,"",(VLOOKUP($C30,REV!$C:$AA,17,0)-'TRADE IN'!$F30))</f>
        <v>999</v>
      </c>
      <c r="T30" s="46">
        <f>IF(VLOOKUP($C30,REV!$C:$AA,18,0)-'TRADE IN'!$F39=0,"",(VLOOKUP($C30,REV!$C:$AA,18,0)-'TRADE IN'!$F30))</f>
        <v>999</v>
      </c>
      <c r="U30" s="46">
        <f>IF(VLOOKUP($C30,REV!$C:$AA,19,0)-'TRADE IN'!$F39=0,"",(VLOOKUP($C30,REV!$C:$AA,19,0)-'TRADE IN'!$F30))</f>
        <v>999</v>
      </c>
      <c r="V30" s="46">
        <f>IF(VLOOKUP($C30,REV!$C:$AA,20,0)-'TRADE IN'!$F39=0,"",(VLOOKUP($C30,REV!$C:$AA,20,0)-'TRADE IN'!$F30))</f>
        <v>999</v>
      </c>
      <c r="W30" s="46">
        <f>IF(VLOOKUP($C30,REV!$C:$AA,21,0)-'TRADE IN'!$F39=0,"",(VLOOKUP($C30,REV!$C:$AA,21,0)-'TRADE IN'!$F30))</f>
        <v>999</v>
      </c>
      <c r="X30" s="46">
        <f>IF(VLOOKUP($C30,REV!$C:$AA,22,0)-'TRADE IN'!$F39=0,"",(VLOOKUP($C30,REV!$C:$AA,22,0)-'TRADE IN'!$F30))</f>
        <v>999</v>
      </c>
      <c r="Y30" s="46">
        <f>IF(VLOOKUP($C30,REV!$C:$AA,23,0)-'TRADE IN'!$F39=0,"",(VLOOKUP($C30,REV!$C:$AA,23,0)-'TRADE IN'!$F30))</f>
        <v>999</v>
      </c>
      <c r="Z30" s="46">
        <f>IF(VLOOKUP($C30,REV!$C:$AA,24,0)-'TRADE IN'!$F39=0,"",(VLOOKUP($C30,REV!$C:$AA,24,0)-'TRADE IN'!$F30))</f>
        <v>999</v>
      </c>
      <c r="AA30" s="46">
        <f>IF(VLOOKUP($C30,REV!$C:$AA,25,0)-'TRADE IN'!$F39=0,"",(VLOOKUP($C30,REV!$C:$AA,25,0)-'TRADE IN'!$F30))</f>
        <v>999</v>
      </c>
      <c r="AB30" s="46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tr">
        <f>IF(REV!AW30=0,"",REV!AW30)</f>
        <v>31.03.2026</v>
      </c>
      <c r="AX30" s="159" t="s">
        <v>82</v>
      </c>
    </row>
    <row r="31" spans="1:50" ht="22.5" customHeight="1">
      <c r="A31" s="52" t="s">
        <v>70</v>
      </c>
      <c r="B31" s="41" t="s">
        <v>62</v>
      </c>
      <c r="C31" s="42">
        <v>4014386</v>
      </c>
      <c r="D31" s="43" t="s">
        <v>80</v>
      </c>
      <c r="E31" s="43" t="s">
        <v>88</v>
      </c>
      <c r="F31" s="45"/>
      <c r="G31" s="45"/>
      <c r="H31" s="46"/>
      <c r="I31" s="46"/>
      <c r="J31" s="46">
        <f>IF(VLOOKUP($C31,REV!$C:$AA,8,0)-'TRADE IN'!$F31=0,"",(VLOOKUP($C31,REV!$C:$AA,8,0)-'TRADE IN'!$F31))</f>
        <v>999</v>
      </c>
      <c r="K31" s="46">
        <f>IF(VLOOKUP($C31,REV!$C:$AA,9,0)-'TRADE IN'!$F31=0,"",(VLOOKUP($C31,REV!$C:$AA,9,0)-'TRADE IN'!$F31))</f>
        <v>999</v>
      </c>
      <c r="L31" s="46">
        <f>IF(VLOOKUP($C31,REV!$C:$AA,10,0)-'TRADE IN'!$F40=0,"",(VLOOKUP($C31,REV!$C:$AA,10,0)-'TRADE IN'!$F31))</f>
        <v>999</v>
      </c>
      <c r="M31" s="46">
        <f>IF(VLOOKUP($C31,REV!$C:$AA,11,0)-'TRADE IN'!$F40=0,"",(VLOOKUP($C31,REV!$C:$AA,11,0)-'TRADE IN'!$F31))</f>
        <v>999</v>
      </c>
      <c r="N31" s="46">
        <f>IF(VLOOKUP($C31,REV!$C:$AA,12,0)-'TRADE IN'!$F40=0,"",(VLOOKUP($C31,REV!$C:$AA,12,0)-'TRADE IN'!$F31))</f>
        <v>999</v>
      </c>
      <c r="O31" s="46">
        <f>IF(VLOOKUP($C31,REV!$C:$AA,13,0)-'TRADE IN'!$F40=0,"",(VLOOKUP($C31,REV!$C:$AA,13,0)-'TRADE IN'!$F31))</f>
        <v>999</v>
      </c>
      <c r="P31" s="46">
        <f>IF(VLOOKUP($C31,REV!$C:$AA,14,0)-'TRADE IN'!$F40=0,"",(VLOOKUP($C31,REV!$C:$AA,14,0)-'TRADE IN'!$F31))</f>
        <v>999</v>
      </c>
      <c r="Q31" s="46">
        <f>IF(VLOOKUP($C31,REV!$C:$AA,15,0)-'TRADE IN'!$F40=0,"",(VLOOKUP($C31,REV!$C:$AA,15,0)-'TRADE IN'!$F31))</f>
        <v>999</v>
      </c>
      <c r="R31" s="46">
        <f>IF(VLOOKUP($C31,REV!$C:$AA,16,0)-'TRADE IN'!$F40=0,"",(VLOOKUP($C31,REV!$C:$AA,16,0)-'TRADE IN'!$F31))</f>
        <v>999</v>
      </c>
      <c r="S31" s="46">
        <f>IF(VLOOKUP($C31,REV!$C:$AA,17,0)-'TRADE IN'!$F40=0,"",(VLOOKUP($C31,REV!$C:$AA,17,0)-'TRADE IN'!$F31))</f>
        <v>999</v>
      </c>
      <c r="T31" s="46">
        <f>IF(VLOOKUP($C31,REV!$C:$AA,18,0)-'TRADE IN'!$F40=0,"",(VLOOKUP($C31,REV!$C:$AA,18,0)-'TRADE IN'!$F31))</f>
        <v>999</v>
      </c>
      <c r="U31" s="46">
        <f>IF(VLOOKUP($C31,REV!$C:$AA,19,0)-'TRADE IN'!$F40=0,"",(VLOOKUP($C31,REV!$C:$AA,19,0)-'TRADE IN'!$F31))</f>
        <v>999</v>
      </c>
      <c r="V31" s="46">
        <f>IF(VLOOKUP($C31,REV!$C:$AA,20,0)-'TRADE IN'!$F40=0,"",(VLOOKUP($C31,REV!$C:$AA,20,0)-'TRADE IN'!$F31))</f>
        <v>999</v>
      </c>
      <c r="W31" s="46">
        <f>IF(VLOOKUP($C31,REV!$C:$AA,21,0)-'TRADE IN'!$F40=0,"",(VLOOKUP($C31,REV!$C:$AA,21,0)-'TRADE IN'!$F31))</f>
        <v>999</v>
      </c>
      <c r="X31" s="46">
        <f>IF(VLOOKUP($C31,REV!$C:$AA,22,0)-'TRADE IN'!$F40=0,"",(VLOOKUP($C31,REV!$C:$AA,22,0)-'TRADE IN'!$F31))</f>
        <v>999</v>
      </c>
      <c r="Y31" s="46">
        <f>IF(VLOOKUP($C31,REV!$C:$AA,23,0)-'TRADE IN'!$F40=0,"",(VLOOKUP($C31,REV!$C:$AA,23,0)-'TRADE IN'!$F31))</f>
        <v>999</v>
      </c>
      <c r="Z31" s="46">
        <f>IF(VLOOKUP($C31,REV!$C:$AA,24,0)-'TRADE IN'!$F40=0,"",(VLOOKUP($C31,REV!$C:$AA,24,0)-'TRADE IN'!$F31))</f>
        <v>999</v>
      </c>
      <c r="AA31" s="46">
        <f>IF(VLOOKUP($C31,REV!$C:$AA,25,0)-'TRADE IN'!$F40=0,"",(VLOOKUP($C31,REV!$C:$AA,25,0)-'TRADE IN'!$F31))</f>
        <v>999</v>
      </c>
      <c r="AB31" s="46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tr">
        <f>IF(REV!AW31=0,"",REV!AW31)</f>
        <v>31.03.2026</v>
      </c>
      <c r="AX31" s="159" t="s">
        <v>82</v>
      </c>
    </row>
    <row r="32" spans="1:50" ht="22.5" customHeight="1">
      <c r="A32" s="52" t="s">
        <v>70</v>
      </c>
      <c r="B32" s="41" t="s">
        <v>62</v>
      </c>
      <c r="C32" s="42">
        <v>4014380</v>
      </c>
      <c r="D32" s="43" t="s">
        <v>80</v>
      </c>
      <c r="E32" s="43" t="s">
        <v>89</v>
      </c>
      <c r="F32" s="45"/>
      <c r="G32" s="45"/>
      <c r="H32" s="46"/>
      <c r="I32" s="46"/>
      <c r="J32" s="46">
        <f>IF(VLOOKUP($C32,REV!$C:$AA,8,0)-'TRADE IN'!$F32=0,"",(VLOOKUP($C32,REV!$C:$AA,8,0)-'TRADE IN'!$F32))</f>
        <v>999</v>
      </c>
      <c r="K32" s="46">
        <f>IF(VLOOKUP($C32,REV!$C:$AA,9,0)-'TRADE IN'!$F32=0,"",(VLOOKUP($C32,REV!$C:$AA,9,0)-'TRADE IN'!$F32))</f>
        <v>999</v>
      </c>
      <c r="L32" s="46">
        <f>IF(VLOOKUP($C32,REV!$C:$AA,10,0)-'TRADE IN'!$F41=0,"",(VLOOKUP($C32,REV!$C:$AA,10,0)-'TRADE IN'!$F32))</f>
        <v>999</v>
      </c>
      <c r="M32" s="46">
        <f>IF(VLOOKUP($C32,REV!$C:$AA,11,0)-'TRADE IN'!$F41=0,"",(VLOOKUP($C32,REV!$C:$AA,11,0)-'TRADE IN'!$F32))</f>
        <v>999</v>
      </c>
      <c r="N32" s="46">
        <f>IF(VLOOKUP($C32,REV!$C:$AA,12,0)-'TRADE IN'!$F41=0,"",(VLOOKUP($C32,REV!$C:$AA,12,0)-'TRADE IN'!$F32))</f>
        <v>999</v>
      </c>
      <c r="O32" s="46">
        <f>IF(VLOOKUP($C32,REV!$C:$AA,13,0)-'TRADE IN'!$F41=0,"",(VLOOKUP($C32,REV!$C:$AA,13,0)-'TRADE IN'!$F32))</f>
        <v>999</v>
      </c>
      <c r="P32" s="46">
        <f>IF(VLOOKUP($C32,REV!$C:$AA,14,0)-'TRADE IN'!$F41=0,"",(VLOOKUP($C32,REV!$C:$AA,14,0)-'TRADE IN'!$F32))</f>
        <v>999</v>
      </c>
      <c r="Q32" s="46">
        <f>IF(VLOOKUP($C32,REV!$C:$AA,15,0)-'TRADE IN'!$F41=0,"",(VLOOKUP($C32,REV!$C:$AA,15,0)-'TRADE IN'!$F32))</f>
        <v>999</v>
      </c>
      <c r="R32" s="46">
        <f>IF(VLOOKUP($C32,REV!$C:$AA,16,0)-'TRADE IN'!$F41=0,"",(VLOOKUP($C32,REV!$C:$AA,16,0)-'TRADE IN'!$F32))</f>
        <v>999</v>
      </c>
      <c r="S32" s="46">
        <f>IF(VLOOKUP($C32,REV!$C:$AA,17,0)-'TRADE IN'!$F41=0,"",(VLOOKUP($C32,REV!$C:$AA,17,0)-'TRADE IN'!$F32))</f>
        <v>999</v>
      </c>
      <c r="T32" s="46">
        <f>IF(VLOOKUP($C32,REV!$C:$AA,18,0)-'TRADE IN'!$F41=0,"",(VLOOKUP($C32,REV!$C:$AA,18,0)-'TRADE IN'!$F32))</f>
        <v>999</v>
      </c>
      <c r="U32" s="46">
        <f>IF(VLOOKUP($C32,REV!$C:$AA,19,0)-'TRADE IN'!$F41=0,"",(VLOOKUP($C32,REV!$C:$AA,19,0)-'TRADE IN'!$F32))</f>
        <v>999</v>
      </c>
      <c r="V32" s="46">
        <f>IF(VLOOKUP($C32,REV!$C:$AA,20,0)-'TRADE IN'!$F41=0,"",(VLOOKUP($C32,REV!$C:$AA,20,0)-'TRADE IN'!$F32))</f>
        <v>999</v>
      </c>
      <c r="W32" s="46">
        <f>IF(VLOOKUP($C32,REV!$C:$AA,21,0)-'TRADE IN'!$F41=0,"",(VLOOKUP($C32,REV!$C:$AA,21,0)-'TRADE IN'!$F32))</f>
        <v>999</v>
      </c>
      <c r="X32" s="46">
        <f>IF(VLOOKUP($C32,REV!$C:$AA,22,0)-'TRADE IN'!$F41=0,"",(VLOOKUP($C32,REV!$C:$AA,22,0)-'TRADE IN'!$F32))</f>
        <v>999</v>
      </c>
      <c r="Y32" s="46">
        <f>IF(VLOOKUP($C32,REV!$C:$AA,23,0)-'TRADE IN'!$F41=0,"",(VLOOKUP($C32,REV!$C:$AA,23,0)-'TRADE IN'!$F32))</f>
        <v>999</v>
      </c>
      <c r="Z32" s="46">
        <f>IF(VLOOKUP($C32,REV!$C:$AA,24,0)-'TRADE IN'!$F41=0,"",(VLOOKUP($C32,REV!$C:$AA,24,0)-'TRADE IN'!$F32))</f>
        <v>999</v>
      </c>
      <c r="AA32" s="46">
        <f>IF(VLOOKUP($C32,REV!$C:$AA,25,0)-'TRADE IN'!$F41=0,"",(VLOOKUP($C32,REV!$C:$AA,25,0)-'TRADE IN'!$F32))</f>
        <v>999</v>
      </c>
      <c r="AB32" s="46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tr">
        <f>IF(REV!AW32=0,"",REV!AW32)</f>
        <v>31.03.2026</v>
      </c>
      <c r="AX32" s="159" t="s">
        <v>82</v>
      </c>
    </row>
    <row r="33" spans="1:50" ht="22.5" customHeight="1">
      <c r="A33" s="52" t="s">
        <v>70</v>
      </c>
      <c r="B33" s="41" t="s">
        <v>62</v>
      </c>
      <c r="C33" s="42">
        <v>4014382</v>
      </c>
      <c r="D33" s="43" t="s">
        <v>80</v>
      </c>
      <c r="E33" s="43" t="s">
        <v>90</v>
      </c>
      <c r="F33" s="45"/>
      <c r="G33" s="45"/>
      <c r="H33" s="46"/>
      <c r="I33" s="46"/>
      <c r="J33" s="46">
        <f>IF(VLOOKUP($C33,REV!$C:$AA,8,0)-'TRADE IN'!$F33=0,"",(VLOOKUP($C33,REV!$C:$AA,8,0)-'TRADE IN'!$F33))</f>
        <v>999</v>
      </c>
      <c r="K33" s="46">
        <f>IF(VLOOKUP($C33,REV!$C:$AA,9,0)-'TRADE IN'!$F33=0,"",(VLOOKUP($C33,REV!$C:$AA,9,0)-'TRADE IN'!$F33))</f>
        <v>999</v>
      </c>
      <c r="L33" s="46">
        <f>IF(VLOOKUP($C33,REV!$C:$AA,10,0)-'TRADE IN'!$F42=0,"",(VLOOKUP($C33,REV!$C:$AA,10,0)-'TRADE IN'!$F33))</f>
        <v>999</v>
      </c>
      <c r="M33" s="46">
        <f>IF(VLOOKUP($C33,REV!$C:$AA,11,0)-'TRADE IN'!$F42=0,"",(VLOOKUP($C33,REV!$C:$AA,11,0)-'TRADE IN'!$F33))</f>
        <v>999</v>
      </c>
      <c r="N33" s="46">
        <f>IF(VLOOKUP($C33,REV!$C:$AA,12,0)-'TRADE IN'!$F42=0,"",(VLOOKUP($C33,REV!$C:$AA,12,0)-'TRADE IN'!$F33))</f>
        <v>999</v>
      </c>
      <c r="O33" s="46">
        <f>IF(VLOOKUP($C33,REV!$C:$AA,13,0)-'TRADE IN'!$F42=0,"",(VLOOKUP($C33,REV!$C:$AA,13,0)-'TRADE IN'!$F33))</f>
        <v>999</v>
      </c>
      <c r="P33" s="46">
        <f>IF(VLOOKUP($C33,REV!$C:$AA,14,0)-'TRADE IN'!$F42=0,"",(VLOOKUP($C33,REV!$C:$AA,14,0)-'TRADE IN'!$F33))</f>
        <v>999</v>
      </c>
      <c r="Q33" s="46">
        <f>IF(VLOOKUP($C33,REV!$C:$AA,15,0)-'TRADE IN'!$F42=0,"",(VLOOKUP($C33,REV!$C:$AA,15,0)-'TRADE IN'!$F33))</f>
        <v>999</v>
      </c>
      <c r="R33" s="46">
        <f>IF(VLOOKUP($C33,REV!$C:$AA,16,0)-'TRADE IN'!$F42=0,"",(VLOOKUP($C33,REV!$C:$AA,16,0)-'TRADE IN'!$F33))</f>
        <v>999</v>
      </c>
      <c r="S33" s="46">
        <f>IF(VLOOKUP($C33,REV!$C:$AA,17,0)-'TRADE IN'!$F42=0,"",(VLOOKUP($C33,REV!$C:$AA,17,0)-'TRADE IN'!$F33))</f>
        <v>999</v>
      </c>
      <c r="T33" s="46">
        <f>IF(VLOOKUP($C33,REV!$C:$AA,18,0)-'TRADE IN'!$F42=0,"",(VLOOKUP($C33,REV!$C:$AA,18,0)-'TRADE IN'!$F33))</f>
        <v>999</v>
      </c>
      <c r="U33" s="46">
        <f>IF(VLOOKUP($C33,REV!$C:$AA,19,0)-'TRADE IN'!$F42=0,"",(VLOOKUP($C33,REV!$C:$AA,19,0)-'TRADE IN'!$F33))</f>
        <v>999</v>
      </c>
      <c r="V33" s="46">
        <f>IF(VLOOKUP($C33,REV!$C:$AA,20,0)-'TRADE IN'!$F42=0,"",(VLOOKUP($C33,REV!$C:$AA,20,0)-'TRADE IN'!$F33))</f>
        <v>999</v>
      </c>
      <c r="W33" s="46">
        <f>IF(VLOOKUP($C33,REV!$C:$AA,21,0)-'TRADE IN'!$F42=0,"",(VLOOKUP($C33,REV!$C:$AA,21,0)-'TRADE IN'!$F33))</f>
        <v>999</v>
      </c>
      <c r="X33" s="46">
        <f>IF(VLOOKUP($C33,REV!$C:$AA,22,0)-'TRADE IN'!$F42=0,"",(VLOOKUP($C33,REV!$C:$AA,22,0)-'TRADE IN'!$F33))</f>
        <v>999</v>
      </c>
      <c r="Y33" s="46">
        <f>IF(VLOOKUP($C33,REV!$C:$AA,23,0)-'TRADE IN'!$F42=0,"",(VLOOKUP($C33,REV!$C:$AA,23,0)-'TRADE IN'!$F33))</f>
        <v>999</v>
      </c>
      <c r="Z33" s="46">
        <f>IF(VLOOKUP($C33,REV!$C:$AA,24,0)-'TRADE IN'!$F42=0,"",(VLOOKUP($C33,REV!$C:$AA,24,0)-'TRADE IN'!$F33))</f>
        <v>999</v>
      </c>
      <c r="AA33" s="46">
        <f>IF(VLOOKUP($C33,REV!$C:$AA,25,0)-'TRADE IN'!$F42=0,"",(VLOOKUP($C33,REV!$C:$AA,25,0)-'TRADE IN'!$F33))</f>
        <v>999</v>
      </c>
      <c r="AB33" s="46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tr">
        <f>IF(REV!AW33=0,"",REV!AW33)</f>
        <v>31.03.2026</v>
      </c>
      <c r="AX33" s="159" t="s">
        <v>82</v>
      </c>
    </row>
    <row r="34" spans="1:50" ht="22.5" customHeight="1">
      <c r="A34" s="52" t="s">
        <v>70</v>
      </c>
      <c r="B34" s="41" t="s">
        <v>62</v>
      </c>
      <c r="C34" s="42">
        <v>4013881</v>
      </c>
      <c r="D34" s="43" t="s">
        <v>91</v>
      </c>
      <c r="E34" s="43" t="s">
        <v>92</v>
      </c>
      <c r="F34" s="45"/>
      <c r="G34" s="45"/>
      <c r="H34" s="46"/>
      <c r="I34" s="46"/>
      <c r="J34" s="46">
        <f>IF(VLOOKUP($C34,REV!$C:$AA,8,0)-'TRADE IN'!$F34=0,"",(VLOOKUP($C34,REV!$C:$AA,8,0)-'TRADE IN'!$F34))</f>
        <v>999</v>
      </c>
      <c r="K34" s="46">
        <f>IF(VLOOKUP($C34,REV!$C:$AA,9,0)-'TRADE IN'!$F34=0,"",(VLOOKUP($C34,REV!$C:$AA,9,0)-'TRADE IN'!$F34))</f>
        <v>999</v>
      </c>
      <c r="L34" s="46">
        <f>IF(VLOOKUP($C34,REV!$C:$AA,10,0)-'TRADE IN'!$F43=0,"",(VLOOKUP($C34,REV!$C:$AA,10,0)-'TRADE IN'!$F34))</f>
        <v>999</v>
      </c>
      <c r="M34" s="46">
        <f>IF(VLOOKUP($C34,REV!$C:$AA,11,0)-'TRADE IN'!$F43=0,"",(VLOOKUP($C34,REV!$C:$AA,11,0)-'TRADE IN'!$F34))</f>
        <v>999</v>
      </c>
      <c r="N34" s="46">
        <f>IF(VLOOKUP($C34,REV!$C:$AA,12,0)-'TRADE IN'!$F43=0,"",(VLOOKUP($C34,REV!$C:$AA,12,0)-'TRADE IN'!$F34))</f>
        <v>999</v>
      </c>
      <c r="O34" s="46">
        <f>IF(VLOOKUP($C34,REV!$C:$AA,13,0)-'TRADE IN'!$F43=0,"",(VLOOKUP($C34,REV!$C:$AA,13,0)-'TRADE IN'!$F34))</f>
        <v>999</v>
      </c>
      <c r="P34" s="46">
        <f>IF(VLOOKUP($C34,REV!$C:$AA,14,0)-'TRADE IN'!$F43=0,"",(VLOOKUP($C34,REV!$C:$AA,14,0)-'TRADE IN'!$F34))</f>
        <v>999</v>
      </c>
      <c r="Q34" s="46">
        <f>IF(VLOOKUP($C34,REV!$C:$AA,15,0)-'TRADE IN'!$F43=0,"",(VLOOKUP($C34,REV!$C:$AA,15,0)-'TRADE IN'!$F34))</f>
        <v>999</v>
      </c>
      <c r="R34" s="46">
        <f>IF(VLOOKUP($C34,REV!$C:$AA,16,0)-'TRADE IN'!$F43=0,"",(VLOOKUP($C34,REV!$C:$AA,16,0)-'TRADE IN'!$F34))</f>
        <v>999</v>
      </c>
      <c r="S34" s="46">
        <f>IF(VLOOKUP($C34,REV!$C:$AA,17,0)-'TRADE IN'!$F43=0,"",(VLOOKUP($C34,REV!$C:$AA,17,0)-'TRADE IN'!$F34))</f>
        <v>999</v>
      </c>
      <c r="T34" s="46">
        <f>IF(VLOOKUP($C34,REV!$C:$AA,18,0)-'TRADE IN'!$F43=0,"",(VLOOKUP($C34,REV!$C:$AA,18,0)-'TRADE IN'!$F34))</f>
        <v>999</v>
      </c>
      <c r="U34" s="46">
        <f>IF(VLOOKUP($C34,REV!$C:$AA,19,0)-'TRADE IN'!$F43=0,"",(VLOOKUP($C34,REV!$C:$AA,19,0)-'TRADE IN'!$F34))</f>
        <v>999</v>
      </c>
      <c r="V34" s="46">
        <f>IF(VLOOKUP($C34,REV!$C:$AA,20,0)-'TRADE IN'!$F43=0,"",(VLOOKUP($C34,REV!$C:$AA,20,0)-'TRADE IN'!$F34))</f>
        <v>999</v>
      </c>
      <c r="W34" s="46">
        <f>IF(VLOOKUP($C34,REV!$C:$AA,21,0)-'TRADE IN'!$F43=0,"",(VLOOKUP($C34,REV!$C:$AA,21,0)-'TRADE IN'!$F34))</f>
        <v>999</v>
      </c>
      <c r="X34" s="46">
        <f>IF(VLOOKUP($C34,REV!$C:$AA,22,0)-'TRADE IN'!$F43=0,"",(VLOOKUP($C34,REV!$C:$AA,22,0)-'TRADE IN'!$F34))</f>
        <v>999</v>
      </c>
      <c r="Y34" s="46">
        <f>IF(VLOOKUP($C34,REV!$C:$AA,23,0)-'TRADE IN'!$F43=0,"",(VLOOKUP($C34,REV!$C:$AA,23,0)-'TRADE IN'!$F34))</f>
        <v>999</v>
      </c>
      <c r="Z34" s="46">
        <f>IF(VLOOKUP($C34,REV!$C:$AA,24,0)-'TRADE IN'!$F43=0,"",(VLOOKUP($C34,REV!$C:$AA,24,0)-'TRADE IN'!$F34))</f>
        <v>999</v>
      </c>
      <c r="AA34" s="46">
        <f>IF(VLOOKUP($C34,REV!$C:$AA,25,0)-'TRADE IN'!$F43=0,"",(VLOOKUP($C34,REV!$C:$AA,25,0)-'TRADE IN'!$F34))</f>
        <v>999</v>
      </c>
      <c r="AB34" s="46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tr">
        <f>IF(REV!AW34=0,"",REV!AW34)</f>
        <v>31.03.2026</v>
      </c>
      <c r="AX34" s="159" t="s">
        <v>82</v>
      </c>
    </row>
    <row r="35" spans="1:50" ht="22.5" customHeight="1">
      <c r="A35" s="52" t="s">
        <v>70</v>
      </c>
      <c r="B35" s="41" t="s">
        <v>62</v>
      </c>
      <c r="C35" s="42">
        <v>4013882</v>
      </c>
      <c r="D35" s="43" t="s">
        <v>91</v>
      </c>
      <c r="E35" s="43" t="s">
        <v>93</v>
      </c>
      <c r="F35" s="45"/>
      <c r="G35" s="45"/>
      <c r="H35" s="46"/>
      <c r="I35" s="46"/>
      <c r="J35" s="46">
        <f>IF(VLOOKUP($C35,REV!$C:$AA,8,0)-'TRADE IN'!$F35=0,"",(VLOOKUP($C35,REV!$C:$AA,8,0)-'TRADE IN'!$F35))</f>
        <v>999</v>
      </c>
      <c r="K35" s="46">
        <f>IF(VLOOKUP($C35,REV!$C:$AA,9,0)-'TRADE IN'!$F35=0,"",(VLOOKUP($C35,REV!$C:$AA,9,0)-'TRADE IN'!$F35))</f>
        <v>999</v>
      </c>
      <c r="L35" s="46">
        <f>IF(VLOOKUP($C35,REV!$C:$AA,10,0)-'TRADE IN'!$F44=0,"",(VLOOKUP($C35,REV!$C:$AA,10,0)-'TRADE IN'!$F35))</f>
        <v>999</v>
      </c>
      <c r="M35" s="46">
        <f>IF(VLOOKUP($C35,REV!$C:$AA,11,0)-'TRADE IN'!$F44=0,"",(VLOOKUP($C35,REV!$C:$AA,11,0)-'TRADE IN'!$F35))</f>
        <v>999</v>
      </c>
      <c r="N35" s="46">
        <f>IF(VLOOKUP($C35,REV!$C:$AA,12,0)-'TRADE IN'!$F44=0,"",(VLOOKUP($C35,REV!$C:$AA,12,0)-'TRADE IN'!$F35))</f>
        <v>999</v>
      </c>
      <c r="O35" s="46">
        <f>IF(VLOOKUP($C35,REV!$C:$AA,13,0)-'TRADE IN'!$F44=0,"",(VLOOKUP($C35,REV!$C:$AA,13,0)-'TRADE IN'!$F35))</f>
        <v>999</v>
      </c>
      <c r="P35" s="46">
        <f>IF(VLOOKUP($C35,REV!$C:$AA,14,0)-'TRADE IN'!$F44=0,"",(VLOOKUP($C35,REV!$C:$AA,14,0)-'TRADE IN'!$F35))</f>
        <v>999</v>
      </c>
      <c r="Q35" s="46">
        <f>IF(VLOOKUP($C35,REV!$C:$AA,15,0)-'TRADE IN'!$F44=0,"",(VLOOKUP($C35,REV!$C:$AA,15,0)-'TRADE IN'!$F35))</f>
        <v>999</v>
      </c>
      <c r="R35" s="46">
        <f>IF(VLOOKUP($C35,REV!$C:$AA,16,0)-'TRADE IN'!$F44=0,"",(VLOOKUP($C35,REV!$C:$AA,16,0)-'TRADE IN'!$F35))</f>
        <v>999</v>
      </c>
      <c r="S35" s="46">
        <f>IF(VLOOKUP($C35,REV!$C:$AA,17,0)-'TRADE IN'!$F44=0,"",(VLOOKUP($C35,REV!$C:$AA,17,0)-'TRADE IN'!$F35))</f>
        <v>999</v>
      </c>
      <c r="T35" s="46">
        <f>IF(VLOOKUP($C35,REV!$C:$AA,18,0)-'TRADE IN'!$F44=0,"",(VLOOKUP($C35,REV!$C:$AA,18,0)-'TRADE IN'!$F35))</f>
        <v>999</v>
      </c>
      <c r="U35" s="46">
        <f>IF(VLOOKUP($C35,REV!$C:$AA,19,0)-'TRADE IN'!$F44=0,"",(VLOOKUP($C35,REV!$C:$AA,19,0)-'TRADE IN'!$F35))</f>
        <v>999</v>
      </c>
      <c r="V35" s="46">
        <f>IF(VLOOKUP($C35,REV!$C:$AA,20,0)-'TRADE IN'!$F44=0,"",(VLOOKUP($C35,REV!$C:$AA,20,0)-'TRADE IN'!$F35))</f>
        <v>999</v>
      </c>
      <c r="W35" s="46">
        <f>IF(VLOOKUP($C35,REV!$C:$AA,21,0)-'TRADE IN'!$F44=0,"",(VLOOKUP($C35,REV!$C:$AA,21,0)-'TRADE IN'!$F35))</f>
        <v>999</v>
      </c>
      <c r="X35" s="46">
        <f>IF(VLOOKUP($C35,REV!$C:$AA,22,0)-'TRADE IN'!$F44=0,"",(VLOOKUP($C35,REV!$C:$AA,22,0)-'TRADE IN'!$F35))</f>
        <v>999</v>
      </c>
      <c r="Y35" s="46">
        <f>IF(VLOOKUP($C35,REV!$C:$AA,23,0)-'TRADE IN'!$F44=0,"",(VLOOKUP($C35,REV!$C:$AA,23,0)-'TRADE IN'!$F35))</f>
        <v>999</v>
      </c>
      <c r="Z35" s="46">
        <f>IF(VLOOKUP($C35,REV!$C:$AA,24,0)-'TRADE IN'!$F44=0,"",(VLOOKUP($C35,REV!$C:$AA,24,0)-'TRADE IN'!$F35))</f>
        <v>999</v>
      </c>
      <c r="AA35" s="46">
        <f>IF(VLOOKUP($C35,REV!$C:$AA,25,0)-'TRADE IN'!$F44=0,"",(VLOOKUP($C35,REV!$C:$AA,25,0)-'TRADE IN'!$F35))</f>
        <v>999</v>
      </c>
      <c r="AB35" s="46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tr">
        <f>IF(REV!AW35=0,"",REV!AW35)</f>
        <v>31.03.2026</v>
      </c>
      <c r="AX35" s="159" t="s">
        <v>82</v>
      </c>
    </row>
    <row r="36" spans="1:50" ht="22.5" customHeight="1">
      <c r="A36" s="52" t="s">
        <v>70</v>
      </c>
      <c r="B36" s="41" t="s">
        <v>62</v>
      </c>
      <c r="C36" s="42">
        <v>4013883</v>
      </c>
      <c r="D36" s="43" t="s">
        <v>91</v>
      </c>
      <c r="E36" s="43" t="s">
        <v>94</v>
      </c>
      <c r="F36" s="45"/>
      <c r="G36" s="45"/>
      <c r="H36" s="46"/>
      <c r="I36" s="46"/>
      <c r="J36" s="46">
        <f>IF(VLOOKUP($C36,REV!$C:$AA,8,0)-'TRADE IN'!$F36=0,"",(VLOOKUP($C36,REV!$C:$AA,8,0)-'TRADE IN'!$F36))</f>
        <v>999</v>
      </c>
      <c r="K36" s="46">
        <f>IF(VLOOKUP($C36,REV!$C:$AA,9,0)-'TRADE IN'!$F36=0,"",(VLOOKUP($C36,REV!$C:$AA,9,0)-'TRADE IN'!$F36))</f>
        <v>999</v>
      </c>
      <c r="L36" s="46">
        <f>IF(VLOOKUP($C36,REV!$C:$AA,10,0)-'TRADE IN'!$F45=0,"",(VLOOKUP($C36,REV!$C:$AA,10,0)-'TRADE IN'!$F36))</f>
        <v>999</v>
      </c>
      <c r="M36" s="46">
        <f>IF(VLOOKUP($C36,REV!$C:$AA,11,0)-'TRADE IN'!$F45=0,"",(VLOOKUP($C36,REV!$C:$AA,11,0)-'TRADE IN'!$F36))</f>
        <v>999</v>
      </c>
      <c r="N36" s="46">
        <f>IF(VLOOKUP($C36,REV!$C:$AA,12,0)-'TRADE IN'!$F45=0,"",(VLOOKUP($C36,REV!$C:$AA,12,0)-'TRADE IN'!$F36))</f>
        <v>999</v>
      </c>
      <c r="O36" s="46">
        <f>IF(VLOOKUP($C36,REV!$C:$AA,13,0)-'TRADE IN'!$F45=0,"",(VLOOKUP($C36,REV!$C:$AA,13,0)-'TRADE IN'!$F36))</f>
        <v>999</v>
      </c>
      <c r="P36" s="46">
        <f>IF(VLOOKUP($C36,REV!$C:$AA,14,0)-'TRADE IN'!$F45=0,"",(VLOOKUP($C36,REV!$C:$AA,14,0)-'TRADE IN'!$F36))</f>
        <v>999</v>
      </c>
      <c r="Q36" s="46">
        <f>IF(VLOOKUP($C36,REV!$C:$AA,15,0)-'TRADE IN'!$F45=0,"",(VLOOKUP($C36,REV!$C:$AA,15,0)-'TRADE IN'!$F36))</f>
        <v>999</v>
      </c>
      <c r="R36" s="46">
        <f>IF(VLOOKUP($C36,REV!$C:$AA,16,0)-'TRADE IN'!$F45=0,"",(VLOOKUP($C36,REV!$C:$AA,16,0)-'TRADE IN'!$F36))</f>
        <v>999</v>
      </c>
      <c r="S36" s="46">
        <f>IF(VLOOKUP($C36,REV!$C:$AA,17,0)-'TRADE IN'!$F45=0,"",(VLOOKUP($C36,REV!$C:$AA,17,0)-'TRADE IN'!$F36))</f>
        <v>999</v>
      </c>
      <c r="T36" s="46">
        <f>IF(VLOOKUP($C36,REV!$C:$AA,18,0)-'TRADE IN'!$F45=0,"",(VLOOKUP($C36,REV!$C:$AA,18,0)-'TRADE IN'!$F36))</f>
        <v>999</v>
      </c>
      <c r="U36" s="46">
        <f>IF(VLOOKUP($C36,REV!$C:$AA,19,0)-'TRADE IN'!$F45=0,"",(VLOOKUP($C36,REV!$C:$AA,19,0)-'TRADE IN'!$F36))</f>
        <v>999</v>
      </c>
      <c r="V36" s="46">
        <f>IF(VLOOKUP($C36,REV!$C:$AA,20,0)-'TRADE IN'!$F45=0,"",(VLOOKUP($C36,REV!$C:$AA,20,0)-'TRADE IN'!$F36))</f>
        <v>999</v>
      </c>
      <c r="W36" s="46">
        <f>IF(VLOOKUP($C36,REV!$C:$AA,21,0)-'TRADE IN'!$F45=0,"",(VLOOKUP($C36,REV!$C:$AA,21,0)-'TRADE IN'!$F36))</f>
        <v>999</v>
      </c>
      <c r="X36" s="46">
        <f>IF(VLOOKUP($C36,REV!$C:$AA,22,0)-'TRADE IN'!$F45=0,"",(VLOOKUP($C36,REV!$C:$AA,22,0)-'TRADE IN'!$F36))</f>
        <v>999</v>
      </c>
      <c r="Y36" s="46">
        <f>IF(VLOOKUP($C36,REV!$C:$AA,23,0)-'TRADE IN'!$F45=0,"",(VLOOKUP($C36,REV!$C:$AA,23,0)-'TRADE IN'!$F36))</f>
        <v>999</v>
      </c>
      <c r="Z36" s="46">
        <f>IF(VLOOKUP($C36,REV!$C:$AA,24,0)-'TRADE IN'!$F45=0,"",(VLOOKUP($C36,REV!$C:$AA,24,0)-'TRADE IN'!$F36))</f>
        <v>999</v>
      </c>
      <c r="AA36" s="46">
        <f>IF(VLOOKUP($C36,REV!$C:$AA,25,0)-'TRADE IN'!$F45=0,"",(VLOOKUP($C36,REV!$C:$AA,25,0)-'TRADE IN'!$F36))</f>
        <v>999</v>
      </c>
      <c r="AB36" s="46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tr">
        <f>IF(REV!AW36=0,"",REV!AW36)</f>
        <v>31.03.2026</v>
      </c>
      <c r="AX36" s="159" t="s">
        <v>82</v>
      </c>
    </row>
    <row r="37" spans="1:50" ht="22.5" customHeight="1">
      <c r="A37" s="52" t="s">
        <v>70</v>
      </c>
      <c r="B37" s="41" t="s">
        <v>62</v>
      </c>
      <c r="C37" s="42">
        <v>4013884</v>
      </c>
      <c r="D37" s="43" t="s">
        <v>91</v>
      </c>
      <c r="E37" s="43" t="s">
        <v>95</v>
      </c>
      <c r="F37" s="45"/>
      <c r="G37" s="45"/>
      <c r="H37" s="46"/>
      <c r="I37" s="46"/>
      <c r="J37" s="46">
        <f>IF(VLOOKUP($C37,REV!$C:$AA,8,0)-'TRADE IN'!$F37=0,"",(VLOOKUP($C37,REV!$C:$AA,8,0)-'TRADE IN'!$F37))</f>
        <v>999</v>
      </c>
      <c r="K37" s="46">
        <f>IF(VLOOKUP($C37,REV!$C:$AA,9,0)-'TRADE IN'!$F37=0,"",(VLOOKUP($C37,REV!$C:$AA,9,0)-'TRADE IN'!$F37))</f>
        <v>999</v>
      </c>
      <c r="L37" s="46">
        <f>IF(VLOOKUP($C37,REV!$C:$AA,10,0)-'TRADE IN'!$F46=0,"",(VLOOKUP($C37,REV!$C:$AA,10,0)-'TRADE IN'!$F37))</f>
        <v>999</v>
      </c>
      <c r="M37" s="46">
        <f>IF(VLOOKUP($C37,REV!$C:$AA,11,0)-'TRADE IN'!$F46=0,"",(VLOOKUP($C37,REV!$C:$AA,11,0)-'TRADE IN'!$F37))</f>
        <v>999</v>
      </c>
      <c r="N37" s="46">
        <f>IF(VLOOKUP($C37,REV!$C:$AA,12,0)-'TRADE IN'!$F46=0,"",(VLOOKUP($C37,REV!$C:$AA,12,0)-'TRADE IN'!$F37))</f>
        <v>999</v>
      </c>
      <c r="O37" s="46">
        <f>IF(VLOOKUP($C37,REV!$C:$AA,13,0)-'TRADE IN'!$F46=0,"",(VLOOKUP($C37,REV!$C:$AA,13,0)-'TRADE IN'!$F37))</f>
        <v>999</v>
      </c>
      <c r="P37" s="46">
        <f>IF(VLOOKUP($C37,REV!$C:$AA,14,0)-'TRADE IN'!$F46=0,"",(VLOOKUP($C37,REV!$C:$AA,14,0)-'TRADE IN'!$F37))</f>
        <v>999</v>
      </c>
      <c r="Q37" s="46">
        <f>IF(VLOOKUP($C37,REV!$C:$AA,15,0)-'TRADE IN'!$F46=0,"",(VLOOKUP($C37,REV!$C:$AA,15,0)-'TRADE IN'!$F37))</f>
        <v>999</v>
      </c>
      <c r="R37" s="46">
        <f>IF(VLOOKUP($C37,REV!$C:$AA,16,0)-'TRADE IN'!$F46=0,"",(VLOOKUP($C37,REV!$C:$AA,16,0)-'TRADE IN'!$F37))</f>
        <v>999</v>
      </c>
      <c r="S37" s="46">
        <f>IF(VLOOKUP($C37,REV!$C:$AA,17,0)-'TRADE IN'!$F46=0,"",(VLOOKUP($C37,REV!$C:$AA,17,0)-'TRADE IN'!$F37))</f>
        <v>999</v>
      </c>
      <c r="T37" s="46">
        <f>IF(VLOOKUP($C37,REV!$C:$AA,18,0)-'TRADE IN'!$F46=0,"",(VLOOKUP($C37,REV!$C:$AA,18,0)-'TRADE IN'!$F37))</f>
        <v>999</v>
      </c>
      <c r="U37" s="46">
        <f>IF(VLOOKUP($C37,REV!$C:$AA,19,0)-'TRADE IN'!$F46=0,"",(VLOOKUP($C37,REV!$C:$AA,19,0)-'TRADE IN'!$F37))</f>
        <v>999</v>
      </c>
      <c r="V37" s="46">
        <f>IF(VLOOKUP($C37,REV!$C:$AA,20,0)-'TRADE IN'!$F46=0,"",(VLOOKUP($C37,REV!$C:$AA,20,0)-'TRADE IN'!$F37))</f>
        <v>999</v>
      </c>
      <c r="W37" s="46">
        <f>IF(VLOOKUP($C37,REV!$C:$AA,21,0)-'TRADE IN'!$F46=0,"",(VLOOKUP($C37,REV!$C:$AA,21,0)-'TRADE IN'!$F37))</f>
        <v>999</v>
      </c>
      <c r="X37" s="46">
        <f>IF(VLOOKUP($C37,REV!$C:$AA,22,0)-'TRADE IN'!$F46=0,"",(VLOOKUP($C37,REV!$C:$AA,22,0)-'TRADE IN'!$F37))</f>
        <v>999</v>
      </c>
      <c r="Y37" s="46">
        <f>IF(VLOOKUP($C37,REV!$C:$AA,23,0)-'TRADE IN'!$F46=0,"",(VLOOKUP($C37,REV!$C:$AA,23,0)-'TRADE IN'!$F37))</f>
        <v>999</v>
      </c>
      <c r="Z37" s="46">
        <f>IF(VLOOKUP($C37,REV!$C:$AA,24,0)-'TRADE IN'!$F46=0,"",(VLOOKUP($C37,REV!$C:$AA,24,0)-'TRADE IN'!$F37))</f>
        <v>999</v>
      </c>
      <c r="AA37" s="46">
        <f>IF(VLOOKUP($C37,REV!$C:$AA,25,0)-'TRADE IN'!$F46=0,"",(VLOOKUP($C37,REV!$C:$AA,25,0)-'TRADE IN'!$F37))</f>
        <v>999</v>
      </c>
      <c r="AB37" s="46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tr">
        <f>IF(REV!AW37=0,"",REV!AW37)</f>
        <v>31.03.2026</v>
      </c>
      <c r="AX37" s="159" t="s">
        <v>82</v>
      </c>
    </row>
    <row r="38" spans="1:50" ht="22.5" customHeight="1">
      <c r="A38" s="52" t="s">
        <v>70</v>
      </c>
      <c r="B38" s="41" t="s">
        <v>62</v>
      </c>
      <c r="C38" s="42">
        <v>4013885</v>
      </c>
      <c r="D38" s="43" t="s">
        <v>91</v>
      </c>
      <c r="E38" s="43" t="s">
        <v>96</v>
      </c>
      <c r="F38" s="45"/>
      <c r="G38" s="45"/>
      <c r="H38" s="46"/>
      <c r="I38" s="46"/>
      <c r="J38" s="46">
        <f>IF(VLOOKUP($C38,REV!$C:$AA,8,0)-'TRADE IN'!$F38=0,"",(VLOOKUP($C38,REV!$C:$AA,8,0)-'TRADE IN'!$F38))</f>
        <v>999</v>
      </c>
      <c r="K38" s="46">
        <f>IF(VLOOKUP($C38,REV!$C:$AA,9,0)-'TRADE IN'!$F38=0,"",(VLOOKUP($C38,REV!$C:$AA,9,0)-'TRADE IN'!$F38))</f>
        <v>999</v>
      </c>
      <c r="L38" s="46">
        <f>IF(VLOOKUP($C38,REV!$C:$AA,10,0)-'TRADE IN'!$F47=0,"",(VLOOKUP($C38,REV!$C:$AA,10,0)-'TRADE IN'!$F38))</f>
        <v>999</v>
      </c>
      <c r="M38" s="46">
        <f>IF(VLOOKUP($C38,REV!$C:$AA,11,0)-'TRADE IN'!$F47=0,"",(VLOOKUP($C38,REV!$C:$AA,11,0)-'TRADE IN'!$F38))</f>
        <v>999</v>
      </c>
      <c r="N38" s="46">
        <f>IF(VLOOKUP($C38,REV!$C:$AA,12,0)-'TRADE IN'!$F47=0,"",(VLOOKUP($C38,REV!$C:$AA,12,0)-'TRADE IN'!$F38))</f>
        <v>999</v>
      </c>
      <c r="O38" s="46">
        <f>IF(VLOOKUP($C38,REV!$C:$AA,13,0)-'TRADE IN'!$F47=0,"",(VLOOKUP($C38,REV!$C:$AA,13,0)-'TRADE IN'!$F38))</f>
        <v>999</v>
      </c>
      <c r="P38" s="46">
        <f>IF(VLOOKUP($C38,REV!$C:$AA,14,0)-'TRADE IN'!$F47=0,"",(VLOOKUP($C38,REV!$C:$AA,14,0)-'TRADE IN'!$F38))</f>
        <v>999</v>
      </c>
      <c r="Q38" s="46">
        <f>IF(VLOOKUP($C38,REV!$C:$AA,15,0)-'TRADE IN'!$F47=0,"",(VLOOKUP($C38,REV!$C:$AA,15,0)-'TRADE IN'!$F38))</f>
        <v>999</v>
      </c>
      <c r="R38" s="46">
        <f>IF(VLOOKUP($C38,REV!$C:$AA,16,0)-'TRADE IN'!$F47=0,"",(VLOOKUP($C38,REV!$C:$AA,16,0)-'TRADE IN'!$F38))</f>
        <v>999</v>
      </c>
      <c r="S38" s="46">
        <f>IF(VLOOKUP($C38,REV!$C:$AA,17,0)-'TRADE IN'!$F47=0,"",(VLOOKUP($C38,REV!$C:$AA,17,0)-'TRADE IN'!$F38))</f>
        <v>999</v>
      </c>
      <c r="T38" s="46">
        <f>IF(VLOOKUP($C38,REV!$C:$AA,18,0)-'TRADE IN'!$F47=0,"",(VLOOKUP($C38,REV!$C:$AA,18,0)-'TRADE IN'!$F38))</f>
        <v>999</v>
      </c>
      <c r="U38" s="46">
        <f>IF(VLOOKUP($C38,REV!$C:$AA,19,0)-'TRADE IN'!$F47=0,"",(VLOOKUP($C38,REV!$C:$AA,19,0)-'TRADE IN'!$F38))</f>
        <v>999</v>
      </c>
      <c r="V38" s="46">
        <f>IF(VLOOKUP($C38,REV!$C:$AA,20,0)-'TRADE IN'!$F47=0,"",(VLOOKUP($C38,REV!$C:$AA,20,0)-'TRADE IN'!$F38))</f>
        <v>999</v>
      </c>
      <c r="W38" s="46">
        <f>IF(VLOOKUP($C38,REV!$C:$AA,21,0)-'TRADE IN'!$F47=0,"",(VLOOKUP($C38,REV!$C:$AA,21,0)-'TRADE IN'!$F38))</f>
        <v>999</v>
      </c>
      <c r="X38" s="46">
        <f>IF(VLOOKUP($C38,REV!$C:$AA,22,0)-'TRADE IN'!$F47=0,"",(VLOOKUP($C38,REV!$C:$AA,22,0)-'TRADE IN'!$F38))</f>
        <v>999</v>
      </c>
      <c r="Y38" s="46">
        <f>IF(VLOOKUP($C38,REV!$C:$AA,23,0)-'TRADE IN'!$F47=0,"",(VLOOKUP($C38,REV!$C:$AA,23,0)-'TRADE IN'!$F38))</f>
        <v>999</v>
      </c>
      <c r="Z38" s="46">
        <f>IF(VLOOKUP($C38,REV!$C:$AA,24,0)-'TRADE IN'!$F47=0,"",(VLOOKUP($C38,REV!$C:$AA,24,0)-'TRADE IN'!$F38))</f>
        <v>999</v>
      </c>
      <c r="AA38" s="46">
        <f>IF(VLOOKUP($C38,REV!$C:$AA,25,0)-'TRADE IN'!$F47=0,"",(VLOOKUP($C38,REV!$C:$AA,25,0)-'TRADE IN'!$F38))</f>
        <v>999</v>
      </c>
      <c r="AB38" s="46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tr">
        <f>IF(REV!AW38=0,"",REV!AW38)</f>
        <v>31.03.2026</v>
      </c>
      <c r="AX38" s="159" t="s">
        <v>82</v>
      </c>
    </row>
    <row r="39" spans="1:50" ht="22.5" customHeight="1">
      <c r="A39" s="52" t="s">
        <v>70</v>
      </c>
      <c r="B39" s="41" t="s">
        <v>62</v>
      </c>
      <c r="C39" s="42">
        <v>4014297</v>
      </c>
      <c r="D39" s="43" t="s">
        <v>91</v>
      </c>
      <c r="E39" s="43" t="s">
        <v>97</v>
      </c>
      <c r="F39" s="45"/>
      <c r="G39" s="45"/>
      <c r="H39" s="46"/>
      <c r="I39" s="46"/>
      <c r="J39" s="46">
        <f>IF(VLOOKUP($C39,REV!$C:$AA,8,0)-'TRADE IN'!$F39=0,"",(VLOOKUP($C39,REV!$C:$AA,8,0)-'TRADE IN'!$F39))</f>
        <v>999</v>
      </c>
      <c r="K39" s="46">
        <f>IF(VLOOKUP($C39,REV!$C:$AA,9,0)-'TRADE IN'!$F39=0,"",(VLOOKUP($C39,REV!$C:$AA,9,0)-'TRADE IN'!$F39))</f>
        <v>999</v>
      </c>
      <c r="L39" s="46">
        <f>IF(VLOOKUP($C39,REV!$C:$AA,10,0)-'TRADE IN'!$F48=0,"",(VLOOKUP($C39,REV!$C:$AA,10,0)-'TRADE IN'!$F39))</f>
        <v>999</v>
      </c>
      <c r="M39" s="46">
        <f>IF(VLOOKUP($C39,REV!$C:$AA,11,0)-'TRADE IN'!$F48=0,"",(VLOOKUP($C39,REV!$C:$AA,11,0)-'TRADE IN'!$F39))</f>
        <v>999</v>
      </c>
      <c r="N39" s="46">
        <f>IF(VLOOKUP($C39,REV!$C:$AA,12,0)-'TRADE IN'!$F48=0,"",(VLOOKUP($C39,REV!$C:$AA,12,0)-'TRADE IN'!$F39))</f>
        <v>999</v>
      </c>
      <c r="O39" s="46">
        <f>IF(VLOOKUP($C39,REV!$C:$AA,13,0)-'TRADE IN'!$F48=0,"",(VLOOKUP($C39,REV!$C:$AA,13,0)-'TRADE IN'!$F39))</f>
        <v>999</v>
      </c>
      <c r="P39" s="46">
        <f>IF(VLOOKUP($C39,REV!$C:$AA,14,0)-'TRADE IN'!$F48=0,"",(VLOOKUP($C39,REV!$C:$AA,14,0)-'TRADE IN'!$F39))</f>
        <v>999</v>
      </c>
      <c r="Q39" s="46">
        <f>IF(VLOOKUP($C39,REV!$C:$AA,15,0)-'TRADE IN'!$F48=0,"",(VLOOKUP($C39,REV!$C:$AA,15,0)-'TRADE IN'!$F39))</f>
        <v>999</v>
      </c>
      <c r="R39" s="46">
        <f>IF(VLOOKUP($C39,REV!$C:$AA,16,0)-'TRADE IN'!$F48=0,"",(VLOOKUP($C39,REV!$C:$AA,16,0)-'TRADE IN'!$F39))</f>
        <v>999</v>
      </c>
      <c r="S39" s="46">
        <f>IF(VLOOKUP($C39,REV!$C:$AA,17,0)-'TRADE IN'!$F48=0,"",(VLOOKUP($C39,REV!$C:$AA,17,0)-'TRADE IN'!$F39))</f>
        <v>999</v>
      </c>
      <c r="T39" s="46">
        <f>IF(VLOOKUP($C39,REV!$C:$AA,18,0)-'TRADE IN'!$F48=0,"",(VLOOKUP($C39,REV!$C:$AA,18,0)-'TRADE IN'!$F39))</f>
        <v>999</v>
      </c>
      <c r="U39" s="46">
        <f>IF(VLOOKUP($C39,REV!$C:$AA,19,0)-'TRADE IN'!$F48=0,"",(VLOOKUP($C39,REV!$C:$AA,19,0)-'TRADE IN'!$F39))</f>
        <v>999</v>
      </c>
      <c r="V39" s="46">
        <f>IF(VLOOKUP($C39,REV!$C:$AA,20,0)-'TRADE IN'!$F48=0,"",(VLOOKUP($C39,REV!$C:$AA,20,0)-'TRADE IN'!$F39))</f>
        <v>999</v>
      </c>
      <c r="W39" s="46">
        <f>IF(VLOOKUP($C39,REV!$C:$AA,21,0)-'TRADE IN'!$F48=0,"",(VLOOKUP($C39,REV!$C:$AA,21,0)-'TRADE IN'!$F39))</f>
        <v>999</v>
      </c>
      <c r="X39" s="46">
        <f>IF(VLOOKUP($C39,REV!$C:$AA,22,0)-'TRADE IN'!$F48=0,"",(VLOOKUP($C39,REV!$C:$AA,22,0)-'TRADE IN'!$F39))</f>
        <v>999</v>
      </c>
      <c r="Y39" s="46">
        <f>IF(VLOOKUP($C39,REV!$C:$AA,23,0)-'TRADE IN'!$F48=0,"",(VLOOKUP($C39,REV!$C:$AA,23,0)-'TRADE IN'!$F39))</f>
        <v>999</v>
      </c>
      <c r="Z39" s="46">
        <f>IF(VLOOKUP($C39,REV!$C:$AA,24,0)-'TRADE IN'!$F48=0,"",(VLOOKUP($C39,REV!$C:$AA,24,0)-'TRADE IN'!$F39))</f>
        <v>999</v>
      </c>
      <c r="AA39" s="46">
        <f>IF(VLOOKUP($C39,REV!$C:$AA,25,0)-'TRADE IN'!$F48=0,"",(VLOOKUP($C39,REV!$C:$AA,25,0)-'TRADE IN'!$F39))</f>
        <v>999</v>
      </c>
      <c r="AB39" s="46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tr">
        <f>IF(REV!AW39=0,"",REV!AW39)</f>
        <v>31.03.2026</v>
      </c>
      <c r="AX39" s="159" t="s">
        <v>82</v>
      </c>
    </row>
    <row r="40" spans="1:50" ht="22.5" customHeight="1">
      <c r="A40" s="52" t="s">
        <v>70</v>
      </c>
      <c r="B40" s="41" t="s">
        <v>62</v>
      </c>
      <c r="C40" s="42">
        <v>4014391</v>
      </c>
      <c r="D40" s="43" t="s">
        <v>91</v>
      </c>
      <c r="E40" s="43" t="s">
        <v>98</v>
      </c>
      <c r="F40" s="45"/>
      <c r="G40" s="45"/>
      <c r="H40" s="46"/>
      <c r="I40" s="46"/>
      <c r="J40" s="46">
        <f>IF(VLOOKUP($C40,REV!$C:$AA,8,0)-'TRADE IN'!$F40=0,"",(VLOOKUP($C40,REV!$C:$AA,8,0)-'TRADE IN'!$F40))</f>
        <v>999</v>
      </c>
      <c r="K40" s="46">
        <f>IF(VLOOKUP($C40,REV!$C:$AA,9,0)-'TRADE IN'!$F40=0,"",(VLOOKUP($C40,REV!$C:$AA,9,0)-'TRADE IN'!$F40))</f>
        <v>999</v>
      </c>
      <c r="L40" s="46">
        <f>IF(VLOOKUP($C40,REV!$C:$AA,10,0)-'TRADE IN'!$F49=0,"",(VLOOKUP($C40,REV!$C:$AA,10,0)-'TRADE IN'!$F40))</f>
        <v>999</v>
      </c>
      <c r="M40" s="46">
        <f>IF(VLOOKUP($C40,REV!$C:$AA,11,0)-'TRADE IN'!$F49=0,"",(VLOOKUP($C40,REV!$C:$AA,11,0)-'TRADE IN'!$F40))</f>
        <v>999</v>
      </c>
      <c r="N40" s="46">
        <f>IF(VLOOKUP($C40,REV!$C:$AA,12,0)-'TRADE IN'!$F49=0,"",(VLOOKUP($C40,REV!$C:$AA,12,0)-'TRADE IN'!$F40))</f>
        <v>999</v>
      </c>
      <c r="O40" s="46">
        <f>IF(VLOOKUP($C40,REV!$C:$AA,13,0)-'TRADE IN'!$F49=0,"",(VLOOKUP($C40,REV!$C:$AA,13,0)-'TRADE IN'!$F40))</f>
        <v>999</v>
      </c>
      <c r="P40" s="46">
        <f>IF(VLOOKUP($C40,REV!$C:$AA,14,0)-'TRADE IN'!$F49=0,"",(VLOOKUP($C40,REV!$C:$AA,14,0)-'TRADE IN'!$F40))</f>
        <v>999</v>
      </c>
      <c r="Q40" s="46">
        <f>IF(VLOOKUP($C40,REV!$C:$AA,15,0)-'TRADE IN'!$F49=0,"",(VLOOKUP($C40,REV!$C:$AA,15,0)-'TRADE IN'!$F40))</f>
        <v>999</v>
      </c>
      <c r="R40" s="46">
        <f>IF(VLOOKUP($C40,REV!$C:$AA,16,0)-'TRADE IN'!$F49=0,"",(VLOOKUP($C40,REV!$C:$AA,16,0)-'TRADE IN'!$F40))</f>
        <v>999</v>
      </c>
      <c r="S40" s="46">
        <f>IF(VLOOKUP($C40,REV!$C:$AA,17,0)-'TRADE IN'!$F49=0,"",(VLOOKUP($C40,REV!$C:$AA,17,0)-'TRADE IN'!$F40))</f>
        <v>999</v>
      </c>
      <c r="T40" s="46">
        <f>IF(VLOOKUP($C40,REV!$C:$AA,18,0)-'TRADE IN'!$F49=0,"",(VLOOKUP($C40,REV!$C:$AA,18,0)-'TRADE IN'!$F40))</f>
        <v>999</v>
      </c>
      <c r="U40" s="46">
        <f>IF(VLOOKUP($C40,REV!$C:$AA,19,0)-'TRADE IN'!$F49=0,"",(VLOOKUP($C40,REV!$C:$AA,19,0)-'TRADE IN'!$F40))</f>
        <v>999</v>
      </c>
      <c r="V40" s="46">
        <f>IF(VLOOKUP($C40,REV!$C:$AA,20,0)-'TRADE IN'!$F49=0,"",(VLOOKUP($C40,REV!$C:$AA,20,0)-'TRADE IN'!$F40))</f>
        <v>999</v>
      </c>
      <c r="W40" s="46">
        <f>IF(VLOOKUP($C40,REV!$C:$AA,21,0)-'TRADE IN'!$F49=0,"",(VLOOKUP($C40,REV!$C:$AA,21,0)-'TRADE IN'!$F40))</f>
        <v>999</v>
      </c>
      <c r="X40" s="46">
        <f>IF(VLOOKUP($C40,REV!$C:$AA,22,0)-'TRADE IN'!$F49=0,"",(VLOOKUP($C40,REV!$C:$AA,22,0)-'TRADE IN'!$F40))</f>
        <v>999</v>
      </c>
      <c r="Y40" s="46">
        <f>IF(VLOOKUP($C40,REV!$C:$AA,23,0)-'TRADE IN'!$F49=0,"",(VLOOKUP($C40,REV!$C:$AA,23,0)-'TRADE IN'!$F40))</f>
        <v>999</v>
      </c>
      <c r="Z40" s="46">
        <f>IF(VLOOKUP($C40,REV!$C:$AA,24,0)-'TRADE IN'!$F49=0,"",(VLOOKUP($C40,REV!$C:$AA,24,0)-'TRADE IN'!$F40))</f>
        <v>999</v>
      </c>
      <c r="AA40" s="46">
        <f>IF(VLOOKUP($C40,REV!$C:$AA,25,0)-'TRADE IN'!$F49=0,"",(VLOOKUP($C40,REV!$C:$AA,25,0)-'TRADE IN'!$F40))</f>
        <v>999</v>
      </c>
      <c r="AB40" s="46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tr">
        <f>IF(REV!AW40=0,"",REV!AW40)</f>
        <v>31.03.2026</v>
      </c>
      <c r="AX40" s="159" t="s">
        <v>82</v>
      </c>
    </row>
    <row r="41" spans="1:50" ht="22.5" customHeight="1">
      <c r="A41" s="52" t="s">
        <v>70</v>
      </c>
      <c r="B41" s="41" t="s">
        <v>62</v>
      </c>
      <c r="C41" s="42">
        <v>4014396</v>
      </c>
      <c r="D41" s="43" t="s">
        <v>91</v>
      </c>
      <c r="E41" s="43" t="s">
        <v>99</v>
      </c>
      <c r="F41" s="45"/>
      <c r="G41" s="45"/>
      <c r="H41" s="46"/>
      <c r="I41" s="46"/>
      <c r="J41" s="46">
        <f>IF(VLOOKUP($C41,REV!$C:$AA,8,0)-'TRADE IN'!$F41=0,"",(VLOOKUP($C41,REV!$C:$AA,8,0)-'TRADE IN'!$F41))</f>
        <v>999</v>
      </c>
      <c r="K41" s="46">
        <f>IF(VLOOKUP($C41,REV!$C:$AA,9,0)-'TRADE IN'!$F41=0,"",(VLOOKUP($C41,REV!$C:$AA,9,0)-'TRADE IN'!$F41))</f>
        <v>999</v>
      </c>
      <c r="L41" s="46">
        <f>IF(VLOOKUP($C41,REV!$C:$AA,10,0)-'TRADE IN'!$F50=0,"",(VLOOKUP($C41,REV!$C:$AA,10,0)-'TRADE IN'!$F41))</f>
        <v>999</v>
      </c>
      <c r="M41" s="46">
        <f>IF(VLOOKUP($C41,REV!$C:$AA,11,0)-'TRADE IN'!$F50=0,"",(VLOOKUP($C41,REV!$C:$AA,11,0)-'TRADE IN'!$F41))</f>
        <v>999</v>
      </c>
      <c r="N41" s="46">
        <f>IF(VLOOKUP($C41,REV!$C:$AA,12,0)-'TRADE IN'!$F50=0,"",(VLOOKUP($C41,REV!$C:$AA,12,0)-'TRADE IN'!$F41))</f>
        <v>999</v>
      </c>
      <c r="O41" s="46">
        <f>IF(VLOOKUP($C41,REV!$C:$AA,13,0)-'TRADE IN'!$F50=0,"",(VLOOKUP($C41,REV!$C:$AA,13,0)-'TRADE IN'!$F41))</f>
        <v>999</v>
      </c>
      <c r="P41" s="46">
        <f>IF(VLOOKUP($C41,REV!$C:$AA,14,0)-'TRADE IN'!$F50=0,"",(VLOOKUP($C41,REV!$C:$AA,14,0)-'TRADE IN'!$F41))</f>
        <v>999</v>
      </c>
      <c r="Q41" s="46">
        <f>IF(VLOOKUP($C41,REV!$C:$AA,15,0)-'TRADE IN'!$F50=0,"",(VLOOKUP($C41,REV!$C:$AA,15,0)-'TRADE IN'!$F41))</f>
        <v>999</v>
      </c>
      <c r="R41" s="46">
        <f>IF(VLOOKUP($C41,REV!$C:$AA,16,0)-'TRADE IN'!$F50=0,"",(VLOOKUP($C41,REV!$C:$AA,16,0)-'TRADE IN'!$F41))</f>
        <v>999</v>
      </c>
      <c r="S41" s="46">
        <f>IF(VLOOKUP($C41,REV!$C:$AA,17,0)-'TRADE IN'!$F50=0,"",(VLOOKUP($C41,REV!$C:$AA,17,0)-'TRADE IN'!$F41))</f>
        <v>999</v>
      </c>
      <c r="T41" s="46">
        <f>IF(VLOOKUP($C41,REV!$C:$AA,18,0)-'TRADE IN'!$F50=0,"",(VLOOKUP($C41,REV!$C:$AA,18,0)-'TRADE IN'!$F41))</f>
        <v>999</v>
      </c>
      <c r="U41" s="46">
        <f>IF(VLOOKUP($C41,REV!$C:$AA,19,0)-'TRADE IN'!$F50=0,"",(VLOOKUP($C41,REV!$C:$AA,19,0)-'TRADE IN'!$F41))</f>
        <v>999</v>
      </c>
      <c r="V41" s="46">
        <f>IF(VLOOKUP($C41,REV!$C:$AA,20,0)-'TRADE IN'!$F50=0,"",(VLOOKUP($C41,REV!$C:$AA,20,0)-'TRADE IN'!$F41))</f>
        <v>999</v>
      </c>
      <c r="W41" s="46">
        <f>IF(VLOOKUP($C41,REV!$C:$AA,21,0)-'TRADE IN'!$F50=0,"",(VLOOKUP($C41,REV!$C:$AA,21,0)-'TRADE IN'!$F41))</f>
        <v>999</v>
      </c>
      <c r="X41" s="46">
        <f>IF(VLOOKUP($C41,REV!$C:$AA,22,0)-'TRADE IN'!$F50=0,"",(VLOOKUP($C41,REV!$C:$AA,22,0)-'TRADE IN'!$F41))</f>
        <v>999</v>
      </c>
      <c r="Y41" s="46">
        <f>IF(VLOOKUP($C41,REV!$C:$AA,23,0)-'TRADE IN'!$F50=0,"",(VLOOKUP($C41,REV!$C:$AA,23,0)-'TRADE IN'!$F41))</f>
        <v>999</v>
      </c>
      <c r="Z41" s="46">
        <f>IF(VLOOKUP($C41,REV!$C:$AA,24,0)-'TRADE IN'!$F50=0,"",(VLOOKUP($C41,REV!$C:$AA,24,0)-'TRADE IN'!$F41))</f>
        <v>999</v>
      </c>
      <c r="AA41" s="46">
        <f>IF(VLOOKUP($C41,REV!$C:$AA,25,0)-'TRADE IN'!$F50=0,"",(VLOOKUP($C41,REV!$C:$AA,25,0)-'TRADE IN'!$F41))</f>
        <v>999</v>
      </c>
      <c r="AB41" s="46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tr">
        <f>IF(REV!AW41=0,"",REV!AW41)</f>
        <v>31.03.2026</v>
      </c>
      <c r="AX41" s="159" t="s">
        <v>82</v>
      </c>
    </row>
    <row r="42" spans="1:50" ht="22.5" customHeight="1">
      <c r="A42" s="52" t="s">
        <v>70</v>
      </c>
      <c r="B42" s="41" t="s">
        <v>62</v>
      </c>
      <c r="C42" s="42">
        <v>4014393</v>
      </c>
      <c r="D42" s="43" t="s">
        <v>91</v>
      </c>
      <c r="E42" s="43" t="s">
        <v>100</v>
      </c>
      <c r="F42" s="45"/>
      <c r="G42" s="45"/>
      <c r="H42" s="46"/>
      <c r="I42" s="46"/>
      <c r="J42" s="46">
        <f>IF(VLOOKUP($C42,REV!$C:$AA,8,0)-'TRADE IN'!$F42=0,"",(VLOOKUP($C42,REV!$C:$AA,8,0)-'TRADE IN'!$F42))</f>
        <v>999</v>
      </c>
      <c r="K42" s="46">
        <f>IF(VLOOKUP($C42,REV!$C:$AA,9,0)-'TRADE IN'!$F42=0,"",(VLOOKUP($C42,REV!$C:$AA,9,0)-'TRADE IN'!$F42))</f>
        <v>999</v>
      </c>
      <c r="L42" s="46">
        <f>IF(VLOOKUP($C42,REV!$C:$AA,10,0)-'TRADE IN'!$F51=0,"",(VLOOKUP($C42,REV!$C:$AA,10,0)-'TRADE IN'!$F42))</f>
        <v>999</v>
      </c>
      <c r="M42" s="46">
        <f>IF(VLOOKUP($C42,REV!$C:$AA,11,0)-'TRADE IN'!$F51=0,"",(VLOOKUP($C42,REV!$C:$AA,11,0)-'TRADE IN'!$F42))</f>
        <v>999</v>
      </c>
      <c r="N42" s="46">
        <f>IF(VLOOKUP($C42,REV!$C:$AA,12,0)-'TRADE IN'!$F51=0,"",(VLOOKUP($C42,REV!$C:$AA,12,0)-'TRADE IN'!$F42))</f>
        <v>999</v>
      </c>
      <c r="O42" s="46">
        <f>IF(VLOOKUP($C42,REV!$C:$AA,13,0)-'TRADE IN'!$F51=0,"",(VLOOKUP($C42,REV!$C:$AA,13,0)-'TRADE IN'!$F42))</f>
        <v>999</v>
      </c>
      <c r="P42" s="46">
        <f>IF(VLOOKUP($C42,REV!$C:$AA,14,0)-'TRADE IN'!$F51=0,"",(VLOOKUP($C42,REV!$C:$AA,14,0)-'TRADE IN'!$F42))</f>
        <v>999</v>
      </c>
      <c r="Q42" s="46">
        <f>IF(VLOOKUP($C42,REV!$C:$AA,15,0)-'TRADE IN'!$F51=0,"",(VLOOKUP($C42,REV!$C:$AA,15,0)-'TRADE IN'!$F42))</f>
        <v>999</v>
      </c>
      <c r="R42" s="46">
        <f>IF(VLOOKUP($C42,REV!$C:$AA,16,0)-'TRADE IN'!$F51=0,"",(VLOOKUP($C42,REV!$C:$AA,16,0)-'TRADE IN'!$F42))</f>
        <v>999</v>
      </c>
      <c r="S42" s="46">
        <f>IF(VLOOKUP($C42,REV!$C:$AA,17,0)-'TRADE IN'!$F51=0,"",(VLOOKUP($C42,REV!$C:$AA,17,0)-'TRADE IN'!$F42))</f>
        <v>999</v>
      </c>
      <c r="T42" s="46">
        <f>IF(VLOOKUP($C42,REV!$C:$AA,18,0)-'TRADE IN'!$F51=0,"",(VLOOKUP($C42,REV!$C:$AA,18,0)-'TRADE IN'!$F42))</f>
        <v>999</v>
      </c>
      <c r="U42" s="46">
        <f>IF(VLOOKUP($C42,REV!$C:$AA,19,0)-'TRADE IN'!$F51=0,"",(VLOOKUP($C42,REV!$C:$AA,19,0)-'TRADE IN'!$F42))</f>
        <v>999</v>
      </c>
      <c r="V42" s="46">
        <f>IF(VLOOKUP($C42,REV!$C:$AA,20,0)-'TRADE IN'!$F51=0,"",(VLOOKUP($C42,REV!$C:$AA,20,0)-'TRADE IN'!$F42))</f>
        <v>999</v>
      </c>
      <c r="W42" s="46">
        <f>IF(VLOOKUP($C42,REV!$C:$AA,21,0)-'TRADE IN'!$F51=0,"",(VLOOKUP($C42,REV!$C:$AA,21,0)-'TRADE IN'!$F42))</f>
        <v>999</v>
      </c>
      <c r="X42" s="46">
        <f>IF(VLOOKUP($C42,REV!$C:$AA,22,0)-'TRADE IN'!$F51=0,"",(VLOOKUP($C42,REV!$C:$AA,22,0)-'TRADE IN'!$F42))</f>
        <v>999</v>
      </c>
      <c r="Y42" s="46">
        <f>IF(VLOOKUP($C42,REV!$C:$AA,23,0)-'TRADE IN'!$F51=0,"",(VLOOKUP($C42,REV!$C:$AA,23,0)-'TRADE IN'!$F42))</f>
        <v>999</v>
      </c>
      <c r="Z42" s="46">
        <f>IF(VLOOKUP($C42,REV!$C:$AA,24,0)-'TRADE IN'!$F51=0,"",(VLOOKUP($C42,REV!$C:$AA,24,0)-'TRADE IN'!$F42))</f>
        <v>999</v>
      </c>
      <c r="AA42" s="46">
        <f>IF(VLOOKUP($C42,REV!$C:$AA,25,0)-'TRADE IN'!$F51=0,"",(VLOOKUP($C42,REV!$C:$AA,25,0)-'TRADE IN'!$F42))</f>
        <v>999</v>
      </c>
      <c r="AB42" s="46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tr">
        <f>IF(REV!AW42=0,"",REV!AW42)</f>
        <v>31.03.2026</v>
      </c>
      <c r="AX42" s="159" t="s">
        <v>82</v>
      </c>
    </row>
    <row r="43" spans="1:50" ht="22.5" customHeight="1">
      <c r="A43" s="52" t="s">
        <v>70</v>
      </c>
      <c r="B43" s="41" t="s">
        <v>62</v>
      </c>
      <c r="C43" s="42">
        <v>4014631</v>
      </c>
      <c r="D43" s="43" t="s">
        <v>101</v>
      </c>
      <c r="E43" s="43" t="s">
        <v>102</v>
      </c>
      <c r="F43" s="45"/>
      <c r="G43" s="45"/>
      <c r="H43" s="46"/>
      <c r="I43" s="46"/>
      <c r="J43" s="46">
        <f>IF(VLOOKUP($C43,REV!$C:$AA,8,0)-'TRADE IN'!$F43=0,"",(VLOOKUP($C43,REV!$C:$AA,8,0)-'TRADE IN'!$F43))</f>
        <v>3599</v>
      </c>
      <c r="K43" s="46">
        <f>IF(VLOOKUP($C43,REV!$C:$AA,9,0)-'TRADE IN'!$F43=0,"",(VLOOKUP($C43,REV!$C:$AA,9,0)-'TRADE IN'!$F43))</f>
        <v>3499</v>
      </c>
      <c r="L43" s="46">
        <f>IF(VLOOKUP($C43,REV!$C:$AA,10,0)-'TRADE IN'!$F52=0,"",(VLOOKUP($C43,REV!$C:$AA,10,0)-'TRADE IN'!$F43))</f>
        <v>3499</v>
      </c>
      <c r="M43" s="46">
        <f>IF(VLOOKUP($C43,REV!$C:$AA,11,0)-'TRADE IN'!$F52=0,"",(VLOOKUP($C43,REV!$C:$AA,11,0)-'TRADE IN'!$F43))</f>
        <v>3599</v>
      </c>
      <c r="N43" s="46">
        <f>IF(VLOOKUP($C43,REV!$C:$AA,12,0)-'TRADE IN'!$F52=0,"",(VLOOKUP($C43,REV!$C:$AA,12,0)-'TRADE IN'!$F43))</f>
        <v>3499</v>
      </c>
      <c r="O43" s="46">
        <f>IF(VLOOKUP($C43,REV!$C:$AA,13,0)-'TRADE IN'!$F52=0,"",(VLOOKUP($C43,REV!$C:$AA,13,0)-'TRADE IN'!$F43))</f>
        <v>3099</v>
      </c>
      <c r="P43" s="46">
        <f>IF(VLOOKUP($C43,REV!$C:$AA,14,0)-'TRADE IN'!$F52=0,"",(VLOOKUP($C43,REV!$C:$AA,14,0)-'TRADE IN'!$F43))</f>
        <v>2999</v>
      </c>
      <c r="Q43" s="46">
        <f>IF(VLOOKUP($C43,REV!$C:$AA,15,0)-'TRADE IN'!$F52=0,"",(VLOOKUP($C43,REV!$C:$AA,15,0)-'TRADE IN'!$F43))</f>
        <v>2499</v>
      </c>
      <c r="R43" s="46">
        <f>IF(VLOOKUP($C43,REV!$C:$AA,16,0)-'TRADE IN'!$F52=0,"",(VLOOKUP($C43,REV!$C:$AA,16,0)-'TRADE IN'!$F43))</f>
        <v>3099</v>
      </c>
      <c r="S43" s="46">
        <f>IF(VLOOKUP($C43,REV!$C:$AA,17,0)-'TRADE IN'!$F52=0,"",(VLOOKUP($C43,REV!$C:$AA,17,0)-'TRADE IN'!$F43))</f>
        <v>2999</v>
      </c>
      <c r="T43" s="46">
        <f>IF(VLOOKUP($C43,REV!$C:$AA,18,0)-'TRADE IN'!$F52=0,"",(VLOOKUP($C43,REV!$C:$AA,18,0)-'TRADE IN'!$F43))</f>
        <v>2499</v>
      </c>
      <c r="U43" s="46">
        <f>IF(VLOOKUP($C43,REV!$C:$AA,19,0)-'TRADE IN'!$F52=0,"",(VLOOKUP($C43,REV!$C:$AA,19,0)-'TRADE IN'!$F43))</f>
        <v>2499</v>
      </c>
      <c r="V43" s="46">
        <f>IF(VLOOKUP($C43,REV!$C:$AA,20,0)-'TRADE IN'!$F52=0,"",(VLOOKUP($C43,REV!$C:$AA,20,0)-'TRADE IN'!$F43))</f>
        <v>2499</v>
      </c>
      <c r="W43" s="46">
        <f>IF(VLOOKUP($C43,REV!$C:$AA,21,0)-'TRADE IN'!$F52=0,"",(VLOOKUP($C43,REV!$C:$AA,21,0)-'TRADE IN'!$F43))</f>
        <v>2499</v>
      </c>
      <c r="X43" s="46">
        <f>IF(VLOOKUP($C43,REV!$C:$AA,22,0)-'TRADE IN'!$F52=0,"",(VLOOKUP($C43,REV!$C:$AA,22,0)-'TRADE IN'!$F43))</f>
        <v>2299</v>
      </c>
      <c r="Y43" s="46">
        <f>IF(VLOOKUP($C43,REV!$C:$AA,23,0)-'TRADE IN'!$F52=0,"",(VLOOKUP($C43,REV!$C:$AA,23,0)-'TRADE IN'!$F43))</f>
        <v>1999</v>
      </c>
      <c r="Z43" s="46">
        <f>IF(VLOOKUP($C43,REV!$C:$AA,24,0)-'TRADE IN'!$F52=0,"",(VLOOKUP($C43,REV!$C:$AA,24,0)-'TRADE IN'!$F43))</f>
        <v>1999</v>
      </c>
      <c r="AA43" s="46">
        <f>IF(VLOOKUP($C43,REV!$C:$AA,25,0)-'TRADE IN'!$F52=0,"",(VLOOKUP($C43,REV!$C:$AA,25,0)-'TRADE IN'!$F43))</f>
        <v>1999</v>
      </c>
      <c r="AB43" s="46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tr">
        <f>IF(REV!AW43=0,"",REV!AW43)</f>
        <v>31.03.2026</v>
      </c>
      <c r="AX43" s="159" t="s">
        <v>82</v>
      </c>
    </row>
    <row r="44" spans="1:50" ht="22.5" customHeight="1">
      <c r="A44" s="52" t="s">
        <v>70</v>
      </c>
      <c r="B44" s="41" t="s">
        <v>62</v>
      </c>
      <c r="C44" s="42">
        <v>4014637</v>
      </c>
      <c r="D44" s="43" t="s">
        <v>101</v>
      </c>
      <c r="E44" s="43" t="s">
        <v>103</v>
      </c>
      <c r="F44" s="45"/>
      <c r="G44" s="45"/>
      <c r="H44" s="46"/>
      <c r="I44" s="46"/>
      <c r="J44" s="46">
        <f>IF(VLOOKUP($C44,REV!$C:$AA,8,0)-'TRADE IN'!$F44=0,"",(VLOOKUP($C44,REV!$C:$AA,8,0)-'TRADE IN'!$F44))</f>
        <v>3599</v>
      </c>
      <c r="K44" s="46">
        <f>IF(VLOOKUP($C44,REV!$C:$AA,9,0)-'TRADE IN'!$F44=0,"",(VLOOKUP($C44,REV!$C:$AA,9,0)-'TRADE IN'!$F44))</f>
        <v>3499</v>
      </c>
      <c r="L44" s="46">
        <f>IF(VLOOKUP($C44,REV!$C:$AA,10,0)-'TRADE IN'!$F53=0,"",(VLOOKUP($C44,REV!$C:$AA,10,0)-'TRADE IN'!$F44))</f>
        <v>3499</v>
      </c>
      <c r="M44" s="46">
        <f>IF(VLOOKUP($C44,REV!$C:$AA,11,0)-'TRADE IN'!$F53=0,"",(VLOOKUP($C44,REV!$C:$AA,11,0)-'TRADE IN'!$F44))</f>
        <v>3599</v>
      </c>
      <c r="N44" s="46">
        <f>IF(VLOOKUP($C44,REV!$C:$AA,12,0)-'TRADE IN'!$F53=0,"",(VLOOKUP($C44,REV!$C:$AA,12,0)-'TRADE IN'!$F44))</f>
        <v>3499</v>
      </c>
      <c r="O44" s="46">
        <f>IF(VLOOKUP($C44,REV!$C:$AA,13,0)-'TRADE IN'!$F53=0,"",(VLOOKUP($C44,REV!$C:$AA,13,0)-'TRADE IN'!$F44))</f>
        <v>3099</v>
      </c>
      <c r="P44" s="46">
        <f>IF(VLOOKUP($C44,REV!$C:$AA,14,0)-'TRADE IN'!$F53=0,"",(VLOOKUP($C44,REV!$C:$AA,14,0)-'TRADE IN'!$F44))</f>
        <v>2999</v>
      </c>
      <c r="Q44" s="46">
        <f>IF(VLOOKUP($C44,REV!$C:$AA,15,0)-'TRADE IN'!$F53=0,"",(VLOOKUP($C44,REV!$C:$AA,15,0)-'TRADE IN'!$F44))</f>
        <v>2499</v>
      </c>
      <c r="R44" s="46">
        <f>IF(VLOOKUP($C44,REV!$C:$AA,16,0)-'TRADE IN'!$F53=0,"",(VLOOKUP($C44,REV!$C:$AA,16,0)-'TRADE IN'!$F44))</f>
        <v>3099</v>
      </c>
      <c r="S44" s="46">
        <f>IF(VLOOKUP($C44,REV!$C:$AA,17,0)-'TRADE IN'!$F53=0,"",(VLOOKUP($C44,REV!$C:$AA,17,0)-'TRADE IN'!$F44))</f>
        <v>2999</v>
      </c>
      <c r="T44" s="46">
        <f>IF(VLOOKUP($C44,REV!$C:$AA,18,0)-'TRADE IN'!$F53=0,"",(VLOOKUP($C44,REV!$C:$AA,18,0)-'TRADE IN'!$F44))</f>
        <v>2499</v>
      </c>
      <c r="U44" s="46">
        <f>IF(VLOOKUP($C44,REV!$C:$AA,19,0)-'TRADE IN'!$F53=0,"",(VLOOKUP($C44,REV!$C:$AA,19,0)-'TRADE IN'!$F44))</f>
        <v>2499</v>
      </c>
      <c r="V44" s="46">
        <f>IF(VLOOKUP($C44,REV!$C:$AA,20,0)-'TRADE IN'!$F53=0,"",(VLOOKUP($C44,REV!$C:$AA,20,0)-'TRADE IN'!$F44))</f>
        <v>2499</v>
      </c>
      <c r="W44" s="46">
        <f>IF(VLOOKUP($C44,REV!$C:$AA,21,0)-'TRADE IN'!$F53=0,"",(VLOOKUP($C44,REV!$C:$AA,21,0)-'TRADE IN'!$F44))</f>
        <v>2499</v>
      </c>
      <c r="X44" s="46">
        <f>IF(VLOOKUP($C44,REV!$C:$AA,22,0)-'TRADE IN'!$F53=0,"",(VLOOKUP($C44,REV!$C:$AA,22,0)-'TRADE IN'!$F44))</f>
        <v>2299</v>
      </c>
      <c r="Y44" s="46">
        <f>IF(VLOOKUP($C44,REV!$C:$AA,23,0)-'TRADE IN'!$F53=0,"",(VLOOKUP($C44,REV!$C:$AA,23,0)-'TRADE IN'!$F44))</f>
        <v>1999</v>
      </c>
      <c r="Z44" s="46">
        <f>IF(VLOOKUP($C44,REV!$C:$AA,24,0)-'TRADE IN'!$F53=0,"",(VLOOKUP($C44,REV!$C:$AA,24,0)-'TRADE IN'!$F44))</f>
        <v>1999</v>
      </c>
      <c r="AA44" s="46">
        <f>IF(VLOOKUP($C44,REV!$C:$AA,25,0)-'TRADE IN'!$F53=0,"",(VLOOKUP($C44,REV!$C:$AA,25,0)-'TRADE IN'!$F44))</f>
        <v>1999</v>
      </c>
      <c r="AB44" s="46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tr">
        <f>IF(REV!AW44=0,"",REV!AW44)</f>
        <v>31.03.2026</v>
      </c>
      <c r="AX44" s="159" t="s">
        <v>82</v>
      </c>
    </row>
    <row r="45" spans="1:50" ht="22.5" customHeight="1">
      <c r="A45" s="52" t="s">
        <v>70</v>
      </c>
      <c r="B45" s="41" t="s">
        <v>62</v>
      </c>
      <c r="C45" s="42">
        <v>4014643</v>
      </c>
      <c r="D45" s="43" t="s">
        <v>101</v>
      </c>
      <c r="E45" s="43" t="s">
        <v>104</v>
      </c>
      <c r="F45" s="45"/>
      <c r="G45" s="45"/>
      <c r="H45" s="46"/>
      <c r="I45" s="46"/>
      <c r="J45" s="46">
        <f>IF(VLOOKUP($C45,REV!$C:$AA,8,0)-'TRADE IN'!$F45=0,"",(VLOOKUP($C45,REV!$C:$AA,8,0)-'TRADE IN'!$F45))</f>
        <v>3599</v>
      </c>
      <c r="K45" s="46">
        <f>IF(VLOOKUP($C45,REV!$C:$AA,9,0)-'TRADE IN'!$F45=0,"",(VLOOKUP($C45,REV!$C:$AA,9,0)-'TRADE IN'!$F45))</f>
        <v>3499</v>
      </c>
      <c r="L45" s="46">
        <f>IF(VLOOKUP($C45,REV!$C:$AA,10,0)-'TRADE IN'!$F54=0,"",(VLOOKUP($C45,REV!$C:$AA,10,0)-'TRADE IN'!$F45))</f>
        <v>3499</v>
      </c>
      <c r="M45" s="46">
        <f>IF(VLOOKUP($C45,REV!$C:$AA,11,0)-'TRADE IN'!$F54=0,"",(VLOOKUP($C45,REV!$C:$AA,11,0)-'TRADE IN'!$F45))</f>
        <v>3599</v>
      </c>
      <c r="N45" s="46">
        <f>IF(VLOOKUP($C45,REV!$C:$AA,12,0)-'TRADE IN'!$F54=0,"",(VLOOKUP($C45,REV!$C:$AA,12,0)-'TRADE IN'!$F45))</f>
        <v>3499</v>
      </c>
      <c r="O45" s="46">
        <f>IF(VLOOKUP($C45,REV!$C:$AA,13,0)-'TRADE IN'!$F54=0,"",(VLOOKUP($C45,REV!$C:$AA,13,0)-'TRADE IN'!$F45))</f>
        <v>3099</v>
      </c>
      <c r="P45" s="46">
        <f>IF(VLOOKUP($C45,REV!$C:$AA,14,0)-'TRADE IN'!$F54=0,"",(VLOOKUP($C45,REV!$C:$AA,14,0)-'TRADE IN'!$F45))</f>
        <v>2999</v>
      </c>
      <c r="Q45" s="46">
        <f>IF(VLOOKUP($C45,REV!$C:$AA,15,0)-'TRADE IN'!$F54=0,"",(VLOOKUP($C45,REV!$C:$AA,15,0)-'TRADE IN'!$F45))</f>
        <v>2499</v>
      </c>
      <c r="R45" s="46">
        <f>IF(VLOOKUP($C45,REV!$C:$AA,16,0)-'TRADE IN'!$F54=0,"",(VLOOKUP($C45,REV!$C:$AA,16,0)-'TRADE IN'!$F45))</f>
        <v>3099</v>
      </c>
      <c r="S45" s="46">
        <f>IF(VLOOKUP($C45,REV!$C:$AA,17,0)-'TRADE IN'!$F54=0,"",(VLOOKUP($C45,REV!$C:$AA,17,0)-'TRADE IN'!$F45))</f>
        <v>2999</v>
      </c>
      <c r="T45" s="46">
        <f>IF(VLOOKUP($C45,REV!$C:$AA,18,0)-'TRADE IN'!$F54=0,"",(VLOOKUP($C45,REV!$C:$AA,18,0)-'TRADE IN'!$F45))</f>
        <v>2499</v>
      </c>
      <c r="U45" s="46">
        <f>IF(VLOOKUP($C45,REV!$C:$AA,19,0)-'TRADE IN'!$F54=0,"",(VLOOKUP($C45,REV!$C:$AA,19,0)-'TRADE IN'!$F45))</f>
        <v>2499</v>
      </c>
      <c r="V45" s="46">
        <f>IF(VLOOKUP($C45,REV!$C:$AA,20,0)-'TRADE IN'!$F54=0,"",(VLOOKUP($C45,REV!$C:$AA,20,0)-'TRADE IN'!$F45))</f>
        <v>2499</v>
      </c>
      <c r="W45" s="46">
        <f>IF(VLOOKUP($C45,REV!$C:$AA,21,0)-'TRADE IN'!$F54=0,"",(VLOOKUP($C45,REV!$C:$AA,21,0)-'TRADE IN'!$F45))</f>
        <v>2499</v>
      </c>
      <c r="X45" s="46">
        <f>IF(VLOOKUP($C45,REV!$C:$AA,22,0)-'TRADE IN'!$F54=0,"",(VLOOKUP($C45,REV!$C:$AA,22,0)-'TRADE IN'!$F45))</f>
        <v>2299</v>
      </c>
      <c r="Y45" s="46">
        <f>IF(VLOOKUP($C45,REV!$C:$AA,23,0)-'TRADE IN'!$F54=0,"",(VLOOKUP($C45,REV!$C:$AA,23,0)-'TRADE IN'!$F45))</f>
        <v>1999</v>
      </c>
      <c r="Z45" s="46">
        <f>IF(VLOOKUP($C45,REV!$C:$AA,24,0)-'TRADE IN'!$F54=0,"",(VLOOKUP($C45,REV!$C:$AA,24,0)-'TRADE IN'!$F45))</f>
        <v>1999</v>
      </c>
      <c r="AA45" s="46">
        <f>IF(VLOOKUP($C45,REV!$C:$AA,25,0)-'TRADE IN'!$F54=0,"",(VLOOKUP($C45,REV!$C:$AA,25,0)-'TRADE IN'!$F45))</f>
        <v>1999</v>
      </c>
      <c r="AB45" s="46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tr">
        <f>IF(REV!AW45=0,"",REV!AW45)</f>
        <v>31.03.2026</v>
      </c>
      <c r="AX45" s="159" t="s">
        <v>82</v>
      </c>
    </row>
    <row r="46" spans="1:50" ht="22.5" customHeight="1">
      <c r="A46" s="52" t="s">
        <v>70</v>
      </c>
      <c r="B46" s="41" t="s">
        <v>62</v>
      </c>
      <c r="C46" s="42">
        <v>4014649</v>
      </c>
      <c r="D46" s="43" t="s">
        <v>101</v>
      </c>
      <c r="E46" s="43" t="s">
        <v>105</v>
      </c>
      <c r="F46" s="45"/>
      <c r="G46" s="45"/>
      <c r="H46" s="46"/>
      <c r="I46" s="46"/>
      <c r="J46" s="46">
        <f>IF(VLOOKUP($C46,REV!$C:$AA,8,0)-'TRADE IN'!$F46=0,"",(VLOOKUP($C46,REV!$C:$AA,8,0)-'TRADE IN'!$F46))</f>
        <v>3599</v>
      </c>
      <c r="K46" s="46">
        <f>IF(VLOOKUP($C46,REV!$C:$AA,9,0)-'TRADE IN'!$F46=0,"",(VLOOKUP($C46,REV!$C:$AA,9,0)-'TRADE IN'!$F46))</f>
        <v>3499</v>
      </c>
      <c r="L46" s="46">
        <f>IF(VLOOKUP($C46,REV!$C:$AA,10,0)-'TRADE IN'!$F55=0,"",(VLOOKUP($C46,REV!$C:$AA,10,0)-'TRADE IN'!$F46))</f>
        <v>3499</v>
      </c>
      <c r="M46" s="46">
        <f>IF(VLOOKUP($C46,REV!$C:$AA,11,0)-'TRADE IN'!$F55=0,"",(VLOOKUP($C46,REV!$C:$AA,11,0)-'TRADE IN'!$F46))</f>
        <v>3599</v>
      </c>
      <c r="N46" s="46">
        <f>IF(VLOOKUP($C46,REV!$C:$AA,12,0)-'TRADE IN'!$F55=0,"",(VLOOKUP($C46,REV!$C:$AA,12,0)-'TRADE IN'!$F46))</f>
        <v>3499</v>
      </c>
      <c r="O46" s="46">
        <f>IF(VLOOKUP($C46,REV!$C:$AA,13,0)-'TRADE IN'!$F55=0,"",(VLOOKUP($C46,REV!$C:$AA,13,0)-'TRADE IN'!$F46))</f>
        <v>3099</v>
      </c>
      <c r="P46" s="46">
        <f>IF(VLOOKUP($C46,REV!$C:$AA,14,0)-'TRADE IN'!$F55=0,"",(VLOOKUP($C46,REV!$C:$AA,14,0)-'TRADE IN'!$F46))</f>
        <v>2999</v>
      </c>
      <c r="Q46" s="46">
        <f>IF(VLOOKUP($C46,REV!$C:$AA,15,0)-'TRADE IN'!$F55=0,"",(VLOOKUP($C46,REV!$C:$AA,15,0)-'TRADE IN'!$F46))</f>
        <v>2499</v>
      </c>
      <c r="R46" s="46">
        <f>IF(VLOOKUP($C46,REV!$C:$AA,16,0)-'TRADE IN'!$F55=0,"",(VLOOKUP($C46,REV!$C:$AA,16,0)-'TRADE IN'!$F46))</f>
        <v>3099</v>
      </c>
      <c r="S46" s="46">
        <f>IF(VLOOKUP($C46,REV!$C:$AA,17,0)-'TRADE IN'!$F55=0,"",(VLOOKUP($C46,REV!$C:$AA,17,0)-'TRADE IN'!$F46))</f>
        <v>2999</v>
      </c>
      <c r="T46" s="46">
        <f>IF(VLOOKUP($C46,REV!$C:$AA,18,0)-'TRADE IN'!$F55=0,"",(VLOOKUP($C46,REV!$C:$AA,18,0)-'TRADE IN'!$F46))</f>
        <v>2499</v>
      </c>
      <c r="U46" s="46">
        <f>IF(VLOOKUP($C46,REV!$C:$AA,19,0)-'TRADE IN'!$F55=0,"",(VLOOKUP($C46,REV!$C:$AA,19,0)-'TRADE IN'!$F46))</f>
        <v>2499</v>
      </c>
      <c r="V46" s="46">
        <f>IF(VLOOKUP($C46,REV!$C:$AA,20,0)-'TRADE IN'!$F55=0,"",(VLOOKUP($C46,REV!$C:$AA,20,0)-'TRADE IN'!$F46))</f>
        <v>2499</v>
      </c>
      <c r="W46" s="46">
        <f>IF(VLOOKUP($C46,REV!$C:$AA,21,0)-'TRADE IN'!$F55=0,"",(VLOOKUP($C46,REV!$C:$AA,21,0)-'TRADE IN'!$F46))</f>
        <v>2499</v>
      </c>
      <c r="X46" s="46">
        <f>IF(VLOOKUP($C46,REV!$C:$AA,22,0)-'TRADE IN'!$F55=0,"",(VLOOKUP($C46,REV!$C:$AA,22,0)-'TRADE IN'!$F46))</f>
        <v>2299</v>
      </c>
      <c r="Y46" s="46">
        <f>IF(VLOOKUP($C46,REV!$C:$AA,23,0)-'TRADE IN'!$F55=0,"",(VLOOKUP($C46,REV!$C:$AA,23,0)-'TRADE IN'!$F46))</f>
        <v>1999</v>
      </c>
      <c r="Z46" s="46">
        <f>IF(VLOOKUP($C46,REV!$C:$AA,24,0)-'TRADE IN'!$F55=0,"",(VLOOKUP($C46,REV!$C:$AA,24,0)-'TRADE IN'!$F46))</f>
        <v>1999</v>
      </c>
      <c r="AA46" s="46">
        <f>IF(VLOOKUP($C46,REV!$C:$AA,25,0)-'TRADE IN'!$F55=0,"",(VLOOKUP($C46,REV!$C:$AA,25,0)-'TRADE IN'!$F46))</f>
        <v>1999</v>
      </c>
      <c r="AB46" s="46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tr">
        <f>IF(REV!AW46=0,"",REV!AW46)</f>
        <v>31.03.2026</v>
      </c>
      <c r="AX46" s="159" t="s">
        <v>82</v>
      </c>
    </row>
    <row r="47" spans="1:50" ht="22.5" customHeight="1">
      <c r="A47" s="52" t="s">
        <v>70</v>
      </c>
      <c r="B47" s="41" t="s">
        <v>62</v>
      </c>
      <c r="C47" s="42">
        <v>4014654</v>
      </c>
      <c r="D47" s="43" t="s">
        <v>101</v>
      </c>
      <c r="E47" s="43" t="s">
        <v>106</v>
      </c>
      <c r="F47" s="45"/>
      <c r="G47" s="45"/>
      <c r="H47" s="46"/>
      <c r="I47" s="46"/>
      <c r="J47" s="46">
        <f>IF(VLOOKUP($C47,REV!$C:$AA,8,0)-'TRADE IN'!$F47=0,"",(VLOOKUP($C47,REV!$C:$AA,8,0)-'TRADE IN'!$F47))</f>
        <v>3599</v>
      </c>
      <c r="K47" s="46">
        <f>IF(VLOOKUP($C47,REV!$C:$AA,9,0)-'TRADE IN'!$F47=0,"",(VLOOKUP($C47,REV!$C:$AA,9,0)-'TRADE IN'!$F47))</f>
        <v>3499</v>
      </c>
      <c r="L47" s="46">
        <f>IF(VLOOKUP($C47,REV!$C:$AA,10,0)-'TRADE IN'!$F56=0,"",(VLOOKUP($C47,REV!$C:$AA,10,0)-'TRADE IN'!$F47))</f>
        <v>3499</v>
      </c>
      <c r="M47" s="46">
        <f>IF(VLOOKUP($C47,REV!$C:$AA,11,0)-'TRADE IN'!$F56=0,"",(VLOOKUP($C47,REV!$C:$AA,11,0)-'TRADE IN'!$F47))</f>
        <v>3599</v>
      </c>
      <c r="N47" s="46">
        <f>IF(VLOOKUP($C47,REV!$C:$AA,12,0)-'TRADE IN'!$F56=0,"",(VLOOKUP($C47,REV!$C:$AA,12,0)-'TRADE IN'!$F47))</f>
        <v>3499</v>
      </c>
      <c r="O47" s="46">
        <f>IF(VLOOKUP($C47,REV!$C:$AA,13,0)-'TRADE IN'!$F56=0,"",(VLOOKUP($C47,REV!$C:$AA,13,0)-'TRADE IN'!$F47))</f>
        <v>3099</v>
      </c>
      <c r="P47" s="46">
        <f>IF(VLOOKUP($C47,REV!$C:$AA,14,0)-'TRADE IN'!$F56=0,"",(VLOOKUP($C47,REV!$C:$AA,14,0)-'TRADE IN'!$F47))</f>
        <v>2999</v>
      </c>
      <c r="Q47" s="46">
        <f>IF(VLOOKUP($C47,REV!$C:$AA,15,0)-'TRADE IN'!$F56=0,"",(VLOOKUP($C47,REV!$C:$AA,15,0)-'TRADE IN'!$F47))</f>
        <v>2499</v>
      </c>
      <c r="R47" s="46">
        <f>IF(VLOOKUP($C47,REV!$C:$AA,16,0)-'TRADE IN'!$F56=0,"",(VLOOKUP($C47,REV!$C:$AA,16,0)-'TRADE IN'!$F47))</f>
        <v>3099</v>
      </c>
      <c r="S47" s="46">
        <f>IF(VLOOKUP($C47,REV!$C:$AA,17,0)-'TRADE IN'!$F56=0,"",(VLOOKUP($C47,REV!$C:$AA,17,0)-'TRADE IN'!$F47))</f>
        <v>2999</v>
      </c>
      <c r="T47" s="46">
        <f>IF(VLOOKUP($C47,REV!$C:$AA,18,0)-'TRADE IN'!$F56=0,"",(VLOOKUP($C47,REV!$C:$AA,18,0)-'TRADE IN'!$F47))</f>
        <v>2499</v>
      </c>
      <c r="U47" s="46">
        <f>IF(VLOOKUP($C47,REV!$C:$AA,19,0)-'TRADE IN'!$F56=0,"",(VLOOKUP($C47,REV!$C:$AA,19,0)-'TRADE IN'!$F47))</f>
        <v>2499</v>
      </c>
      <c r="V47" s="46">
        <f>IF(VLOOKUP($C47,REV!$C:$AA,20,0)-'TRADE IN'!$F56=0,"",(VLOOKUP($C47,REV!$C:$AA,20,0)-'TRADE IN'!$F47))</f>
        <v>2499</v>
      </c>
      <c r="W47" s="46">
        <f>IF(VLOOKUP($C47,REV!$C:$AA,21,0)-'TRADE IN'!$F56=0,"",(VLOOKUP($C47,REV!$C:$AA,21,0)-'TRADE IN'!$F47))</f>
        <v>2499</v>
      </c>
      <c r="X47" s="46">
        <f>IF(VLOOKUP($C47,REV!$C:$AA,22,0)-'TRADE IN'!$F56=0,"",(VLOOKUP($C47,REV!$C:$AA,22,0)-'TRADE IN'!$F47))</f>
        <v>2299</v>
      </c>
      <c r="Y47" s="46">
        <f>IF(VLOOKUP($C47,REV!$C:$AA,23,0)-'TRADE IN'!$F56=0,"",(VLOOKUP($C47,REV!$C:$AA,23,0)-'TRADE IN'!$F47))</f>
        <v>1999</v>
      </c>
      <c r="Z47" s="46">
        <f>IF(VLOOKUP($C47,REV!$C:$AA,24,0)-'TRADE IN'!$F56=0,"",(VLOOKUP($C47,REV!$C:$AA,24,0)-'TRADE IN'!$F47))</f>
        <v>1999</v>
      </c>
      <c r="AA47" s="46">
        <f>IF(VLOOKUP($C47,REV!$C:$AA,25,0)-'TRADE IN'!$F56=0,"",(VLOOKUP($C47,REV!$C:$AA,25,0)-'TRADE IN'!$F47))</f>
        <v>1999</v>
      </c>
      <c r="AB47" s="46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tr">
        <f>IF(REV!AW47=0,"",REV!AW47)</f>
        <v>31.03.2026</v>
      </c>
      <c r="AX47" s="159" t="s">
        <v>82</v>
      </c>
    </row>
    <row r="48" spans="1:50" ht="22.5" customHeight="1">
      <c r="A48" s="52" t="s">
        <v>70</v>
      </c>
      <c r="B48" s="41" t="s">
        <v>62</v>
      </c>
      <c r="C48" s="42">
        <v>4014862</v>
      </c>
      <c r="D48" s="43" t="s">
        <v>101</v>
      </c>
      <c r="E48" s="43" t="s">
        <v>107</v>
      </c>
      <c r="F48" s="45"/>
      <c r="G48" s="45"/>
      <c r="H48" s="46"/>
      <c r="I48" s="46"/>
      <c r="J48" s="46">
        <f>IF(VLOOKUP($C48,REV!$C:$AA,8,0)-'TRADE IN'!$F48=0,"",(VLOOKUP($C48,REV!$C:$AA,8,0)-'TRADE IN'!$F48))</f>
        <v>3599</v>
      </c>
      <c r="K48" s="46">
        <f>IF(VLOOKUP($C48,REV!$C:$AA,9,0)-'TRADE IN'!$F48=0,"",(VLOOKUP($C48,REV!$C:$AA,9,0)-'TRADE IN'!$F48))</f>
        <v>3499</v>
      </c>
      <c r="L48" s="46">
        <f>IF(VLOOKUP($C48,REV!$C:$AA,10,0)-'TRADE IN'!$F57=0,"",(VLOOKUP($C48,REV!$C:$AA,10,0)-'TRADE IN'!$F48))</f>
        <v>3499</v>
      </c>
      <c r="M48" s="46">
        <f>IF(VLOOKUP($C48,REV!$C:$AA,11,0)-'TRADE IN'!$F57=0,"",(VLOOKUP($C48,REV!$C:$AA,11,0)-'TRADE IN'!$F48))</f>
        <v>3599</v>
      </c>
      <c r="N48" s="46">
        <f>IF(VLOOKUP($C48,REV!$C:$AA,12,0)-'TRADE IN'!$F57=0,"",(VLOOKUP($C48,REV!$C:$AA,12,0)-'TRADE IN'!$F48))</f>
        <v>3499</v>
      </c>
      <c r="O48" s="46">
        <f>IF(VLOOKUP($C48,REV!$C:$AA,13,0)-'TRADE IN'!$F57=0,"",(VLOOKUP($C48,REV!$C:$AA,13,0)-'TRADE IN'!$F48))</f>
        <v>3099</v>
      </c>
      <c r="P48" s="46">
        <f>IF(VLOOKUP($C48,REV!$C:$AA,14,0)-'TRADE IN'!$F57=0,"",(VLOOKUP($C48,REV!$C:$AA,14,0)-'TRADE IN'!$F48))</f>
        <v>2999</v>
      </c>
      <c r="Q48" s="46">
        <f>IF(VLOOKUP($C48,REV!$C:$AA,15,0)-'TRADE IN'!$F57=0,"",(VLOOKUP($C48,REV!$C:$AA,15,0)-'TRADE IN'!$F48))</f>
        <v>2499</v>
      </c>
      <c r="R48" s="46">
        <f>IF(VLOOKUP($C48,REV!$C:$AA,16,0)-'TRADE IN'!$F57=0,"",(VLOOKUP($C48,REV!$C:$AA,16,0)-'TRADE IN'!$F48))</f>
        <v>3099</v>
      </c>
      <c r="S48" s="46">
        <f>IF(VLOOKUP($C48,REV!$C:$AA,17,0)-'TRADE IN'!$F57=0,"",(VLOOKUP($C48,REV!$C:$AA,17,0)-'TRADE IN'!$F48))</f>
        <v>2999</v>
      </c>
      <c r="T48" s="46">
        <f>IF(VLOOKUP($C48,REV!$C:$AA,18,0)-'TRADE IN'!$F57=0,"",(VLOOKUP($C48,REV!$C:$AA,18,0)-'TRADE IN'!$F48))</f>
        <v>2499</v>
      </c>
      <c r="U48" s="46">
        <f>IF(VLOOKUP($C48,REV!$C:$AA,19,0)-'TRADE IN'!$F57=0,"",(VLOOKUP($C48,REV!$C:$AA,19,0)-'TRADE IN'!$F48))</f>
        <v>2499</v>
      </c>
      <c r="V48" s="46">
        <f>IF(VLOOKUP($C48,REV!$C:$AA,20,0)-'TRADE IN'!$F57=0,"",(VLOOKUP($C48,REV!$C:$AA,20,0)-'TRADE IN'!$F48))</f>
        <v>2499</v>
      </c>
      <c r="W48" s="46">
        <f>IF(VLOOKUP($C48,REV!$C:$AA,21,0)-'TRADE IN'!$F57=0,"",(VLOOKUP($C48,REV!$C:$AA,21,0)-'TRADE IN'!$F48))</f>
        <v>2499</v>
      </c>
      <c r="X48" s="46">
        <f>IF(VLOOKUP($C48,REV!$C:$AA,22,0)-'TRADE IN'!$F57=0,"",(VLOOKUP($C48,REV!$C:$AA,22,0)-'TRADE IN'!$F48))</f>
        <v>2299</v>
      </c>
      <c r="Y48" s="46">
        <f>IF(VLOOKUP($C48,REV!$C:$AA,23,0)-'TRADE IN'!$F57=0,"",(VLOOKUP($C48,REV!$C:$AA,23,0)-'TRADE IN'!$F48))</f>
        <v>1999</v>
      </c>
      <c r="Z48" s="46">
        <f>IF(VLOOKUP($C48,REV!$C:$AA,24,0)-'TRADE IN'!$F57=0,"",(VLOOKUP($C48,REV!$C:$AA,24,0)-'TRADE IN'!$F48))</f>
        <v>1999</v>
      </c>
      <c r="AA48" s="46">
        <f>IF(VLOOKUP($C48,REV!$C:$AA,25,0)-'TRADE IN'!$F57=0,"",(VLOOKUP($C48,REV!$C:$AA,25,0)-'TRADE IN'!$F48))</f>
        <v>1999</v>
      </c>
      <c r="AB48" s="46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tr">
        <f>IF(REV!AW48=0,"",REV!AW48)</f>
        <v>31.03.2026</v>
      </c>
      <c r="AX48" s="159" t="s">
        <v>82</v>
      </c>
    </row>
    <row r="49" spans="1:50" ht="22.5" customHeight="1">
      <c r="A49" s="52" t="s">
        <v>70</v>
      </c>
      <c r="B49" s="41" t="s">
        <v>62</v>
      </c>
      <c r="C49" s="42">
        <v>4014831</v>
      </c>
      <c r="D49" s="43" t="s">
        <v>101</v>
      </c>
      <c r="E49" s="43" t="s">
        <v>108</v>
      </c>
      <c r="F49" s="45"/>
      <c r="G49" s="45"/>
      <c r="H49" s="46"/>
      <c r="I49" s="46"/>
      <c r="J49" s="46">
        <f>IF(VLOOKUP($C49,REV!$C:$AA,8,0)-'TRADE IN'!$F49=0,"",(VLOOKUP($C49,REV!$C:$AA,8,0)-'TRADE IN'!$F49))</f>
        <v>3599</v>
      </c>
      <c r="K49" s="46">
        <f>IF(VLOOKUP($C49,REV!$C:$AA,9,0)-'TRADE IN'!$F49=0,"",(VLOOKUP($C49,REV!$C:$AA,9,0)-'TRADE IN'!$F49))</f>
        <v>3499</v>
      </c>
      <c r="L49" s="46">
        <f>IF(VLOOKUP($C49,REV!$C:$AA,10,0)-'TRADE IN'!$F58=0,"",(VLOOKUP($C49,REV!$C:$AA,10,0)-'TRADE IN'!$F49))</f>
        <v>3499</v>
      </c>
      <c r="M49" s="46">
        <f>IF(VLOOKUP($C49,REV!$C:$AA,11,0)-'TRADE IN'!$F58=0,"",(VLOOKUP($C49,REV!$C:$AA,11,0)-'TRADE IN'!$F49))</f>
        <v>3599</v>
      </c>
      <c r="N49" s="46">
        <f>IF(VLOOKUP($C49,REV!$C:$AA,12,0)-'TRADE IN'!$F58=0,"",(VLOOKUP($C49,REV!$C:$AA,12,0)-'TRADE IN'!$F49))</f>
        <v>3499</v>
      </c>
      <c r="O49" s="46">
        <f>IF(VLOOKUP($C49,REV!$C:$AA,13,0)-'TRADE IN'!$F58=0,"",(VLOOKUP($C49,REV!$C:$AA,13,0)-'TRADE IN'!$F49))</f>
        <v>3099</v>
      </c>
      <c r="P49" s="46">
        <f>IF(VLOOKUP($C49,REV!$C:$AA,14,0)-'TRADE IN'!$F58=0,"",(VLOOKUP($C49,REV!$C:$AA,14,0)-'TRADE IN'!$F49))</f>
        <v>2999</v>
      </c>
      <c r="Q49" s="46">
        <f>IF(VLOOKUP($C49,REV!$C:$AA,15,0)-'TRADE IN'!$F58=0,"",(VLOOKUP($C49,REV!$C:$AA,15,0)-'TRADE IN'!$F49))</f>
        <v>2499</v>
      </c>
      <c r="R49" s="46">
        <f>IF(VLOOKUP($C49,REV!$C:$AA,16,0)-'TRADE IN'!$F58=0,"",(VLOOKUP($C49,REV!$C:$AA,16,0)-'TRADE IN'!$F49))</f>
        <v>3099</v>
      </c>
      <c r="S49" s="46">
        <f>IF(VLOOKUP($C49,REV!$C:$AA,17,0)-'TRADE IN'!$F58=0,"",(VLOOKUP($C49,REV!$C:$AA,17,0)-'TRADE IN'!$F49))</f>
        <v>2999</v>
      </c>
      <c r="T49" s="46">
        <f>IF(VLOOKUP($C49,REV!$C:$AA,18,0)-'TRADE IN'!$F58=0,"",(VLOOKUP($C49,REV!$C:$AA,18,0)-'TRADE IN'!$F49))</f>
        <v>2499</v>
      </c>
      <c r="U49" s="46">
        <f>IF(VLOOKUP($C49,REV!$C:$AA,19,0)-'TRADE IN'!$F58=0,"",(VLOOKUP($C49,REV!$C:$AA,19,0)-'TRADE IN'!$F49))</f>
        <v>2499</v>
      </c>
      <c r="V49" s="46">
        <f>IF(VLOOKUP($C49,REV!$C:$AA,20,0)-'TRADE IN'!$F58=0,"",(VLOOKUP($C49,REV!$C:$AA,20,0)-'TRADE IN'!$F49))</f>
        <v>2499</v>
      </c>
      <c r="W49" s="46">
        <f>IF(VLOOKUP($C49,REV!$C:$AA,21,0)-'TRADE IN'!$F58=0,"",(VLOOKUP($C49,REV!$C:$AA,21,0)-'TRADE IN'!$F49))</f>
        <v>2499</v>
      </c>
      <c r="X49" s="46">
        <f>IF(VLOOKUP($C49,REV!$C:$AA,22,0)-'TRADE IN'!$F58=0,"",(VLOOKUP($C49,REV!$C:$AA,22,0)-'TRADE IN'!$F49))</f>
        <v>2299</v>
      </c>
      <c r="Y49" s="46">
        <f>IF(VLOOKUP($C49,REV!$C:$AA,23,0)-'TRADE IN'!$F58=0,"",(VLOOKUP($C49,REV!$C:$AA,23,0)-'TRADE IN'!$F49))</f>
        <v>1999</v>
      </c>
      <c r="Z49" s="46">
        <f>IF(VLOOKUP($C49,REV!$C:$AA,24,0)-'TRADE IN'!$F58=0,"",(VLOOKUP($C49,REV!$C:$AA,24,0)-'TRADE IN'!$F49))</f>
        <v>1999</v>
      </c>
      <c r="AA49" s="46">
        <f>IF(VLOOKUP($C49,REV!$C:$AA,25,0)-'TRADE IN'!$F58=0,"",(VLOOKUP($C49,REV!$C:$AA,25,0)-'TRADE IN'!$F49))</f>
        <v>1999</v>
      </c>
      <c r="AB49" s="46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tr">
        <f>IF(REV!AW49=0,"",REV!AW49)</f>
        <v>31.03.2026</v>
      </c>
      <c r="AX49" s="159" t="s">
        <v>82</v>
      </c>
    </row>
    <row r="50" spans="1:50" ht="22.5" customHeight="1">
      <c r="A50" s="52" t="s">
        <v>70</v>
      </c>
      <c r="B50" s="41" t="s">
        <v>62</v>
      </c>
      <c r="C50" s="42">
        <v>4014727</v>
      </c>
      <c r="D50" s="43" t="s">
        <v>101</v>
      </c>
      <c r="E50" s="43" t="s">
        <v>109</v>
      </c>
      <c r="F50" s="45"/>
      <c r="G50" s="45"/>
      <c r="H50" s="46"/>
      <c r="I50" s="46"/>
      <c r="J50" s="46">
        <f>IF(VLOOKUP($C50,REV!$C:$AA,8,0)-'TRADE IN'!$F50=0,"",(VLOOKUP($C50,REV!$C:$AA,8,0)-'TRADE IN'!$F50))</f>
        <v>3599</v>
      </c>
      <c r="K50" s="46">
        <f>IF(VLOOKUP($C50,REV!$C:$AA,9,0)-'TRADE IN'!$F50=0,"",(VLOOKUP($C50,REV!$C:$AA,9,0)-'TRADE IN'!$F50))</f>
        <v>3499</v>
      </c>
      <c r="L50" s="46">
        <f>IF(VLOOKUP($C50,REV!$C:$AA,10,0)-'TRADE IN'!$F59=0,"",(VLOOKUP($C50,REV!$C:$AA,10,0)-'TRADE IN'!$F50))</f>
        <v>3499</v>
      </c>
      <c r="M50" s="46">
        <f>IF(VLOOKUP($C50,REV!$C:$AA,11,0)-'TRADE IN'!$F59=0,"",(VLOOKUP($C50,REV!$C:$AA,11,0)-'TRADE IN'!$F50))</f>
        <v>3599</v>
      </c>
      <c r="N50" s="46">
        <f>IF(VLOOKUP($C50,REV!$C:$AA,12,0)-'TRADE IN'!$F59=0,"",(VLOOKUP($C50,REV!$C:$AA,12,0)-'TRADE IN'!$F50))</f>
        <v>3499</v>
      </c>
      <c r="O50" s="46">
        <f>IF(VLOOKUP($C50,REV!$C:$AA,13,0)-'TRADE IN'!$F59=0,"",(VLOOKUP($C50,REV!$C:$AA,13,0)-'TRADE IN'!$F50))</f>
        <v>3099</v>
      </c>
      <c r="P50" s="46">
        <f>IF(VLOOKUP($C50,REV!$C:$AA,14,0)-'TRADE IN'!$F59=0,"",(VLOOKUP($C50,REV!$C:$AA,14,0)-'TRADE IN'!$F50))</f>
        <v>2999</v>
      </c>
      <c r="Q50" s="46">
        <f>IF(VLOOKUP($C50,REV!$C:$AA,15,0)-'TRADE IN'!$F59=0,"",(VLOOKUP($C50,REV!$C:$AA,15,0)-'TRADE IN'!$F50))</f>
        <v>2499</v>
      </c>
      <c r="R50" s="46">
        <f>IF(VLOOKUP($C50,REV!$C:$AA,16,0)-'TRADE IN'!$F59=0,"",(VLOOKUP($C50,REV!$C:$AA,16,0)-'TRADE IN'!$F50))</f>
        <v>3099</v>
      </c>
      <c r="S50" s="46">
        <f>IF(VLOOKUP($C50,REV!$C:$AA,17,0)-'TRADE IN'!$F59=0,"",(VLOOKUP($C50,REV!$C:$AA,17,0)-'TRADE IN'!$F50))</f>
        <v>2999</v>
      </c>
      <c r="T50" s="46">
        <f>IF(VLOOKUP($C50,REV!$C:$AA,18,0)-'TRADE IN'!$F59=0,"",(VLOOKUP($C50,REV!$C:$AA,18,0)-'TRADE IN'!$F50))</f>
        <v>2499</v>
      </c>
      <c r="U50" s="46">
        <f>IF(VLOOKUP($C50,REV!$C:$AA,19,0)-'TRADE IN'!$F59=0,"",(VLOOKUP($C50,REV!$C:$AA,19,0)-'TRADE IN'!$F50))</f>
        <v>2499</v>
      </c>
      <c r="V50" s="46">
        <f>IF(VLOOKUP($C50,REV!$C:$AA,20,0)-'TRADE IN'!$F59=0,"",(VLOOKUP($C50,REV!$C:$AA,20,0)-'TRADE IN'!$F50))</f>
        <v>2499</v>
      </c>
      <c r="W50" s="46">
        <f>IF(VLOOKUP($C50,REV!$C:$AA,21,0)-'TRADE IN'!$F59=0,"",(VLOOKUP($C50,REV!$C:$AA,21,0)-'TRADE IN'!$F50))</f>
        <v>2499</v>
      </c>
      <c r="X50" s="46">
        <f>IF(VLOOKUP($C50,REV!$C:$AA,22,0)-'TRADE IN'!$F59=0,"",(VLOOKUP($C50,REV!$C:$AA,22,0)-'TRADE IN'!$F50))</f>
        <v>2299</v>
      </c>
      <c r="Y50" s="46">
        <f>IF(VLOOKUP($C50,REV!$C:$AA,23,0)-'TRADE IN'!$F59=0,"",(VLOOKUP($C50,REV!$C:$AA,23,0)-'TRADE IN'!$F50))</f>
        <v>1999</v>
      </c>
      <c r="Z50" s="46">
        <f>IF(VLOOKUP($C50,REV!$C:$AA,24,0)-'TRADE IN'!$F59=0,"",(VLOOKUP($C50,REV!$C:$AA,24,0)-'TRADE IN'!$F50))</f>
        <v>1999</v>
      </c>
      <c r="AA50" s="46">
        <f>IF(VLOOKUP($C50,REV!$C:$AA,25,0)-'TRADE IN'!$F59=0,"",(VLOOKUP($C50,REV!$C:$AA,25,0)-'TRADE IN'!$F50))</f>
        <v>1999</v>
      </c>
      <c r="AB50" s="46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tr">
        <f>IF(REV!AW50=0,"",REV!AW50)</f>
        <v>31.03.2026</v>
      </c>
      <c r="AX50" s="159" t="s">
        <v>82</v>
      </c>
    </row>
    <row r="51" spans="1:50" ht="22.5" customHeight="1">
      <c r="A51" s="52" t="s">
        <v>70</v>
      </c>
      <c r="B51" s="41" t="s">
        <v>62</v>
      </c>
      <c r="C51" s="42">
        <v>4014729</v>
      </c>
      <c r="D51" s="43" t="s">
        <v>101</v>
      </c>
      <c r="E51" s="43" t="s">
        <v>110</v>
      </c>
      <c r="F51" s="45"/>
      <c r="G51" s="45"/>
      <c r="H51" s="46"/>
      <c r="I51" s="46"/>
      <c r="J51" s="46">
        <f>IF(VLOOKUP($C51,REV!$C:$AA,8,0)-'TRADE IN'!$F51=0,"",(VLOOKUP($C51,REV!$C:$AA,8,0)-'TRADE IN'!$F51))</f>
        <v>3599</v>
      </c>
      <c r="K51" s="46">
        <f>IF(VLOOKUP($C51,REV!$C:$AA,9,0)-'TRADE IN'!$F51=0,"",(VLOOKUP($C51,REV!$C:$AA,9,0)-'TRADE IN'!$F51))</f>
        <v>3499</v>
      </c>
      <c r="L51" s="46">
        <f>IF(VLOOKUP($C51,REV!$C:$AA,10,0)-'TRADE IN'!$F60=0,"",(VLOOKUP($C51,REV!$C:$AA,10,0)-'TRADE IN'!$F51))</f>
        <v>3499</v>
      </c>
      <c r="M51" s="46">
        <f>IF(VLOOKUP($C51,REV!$C:$AA,11,0)-'TRADE IN'!$F60=0,"",(VLOOKUP($C51,REV!$C:$AA,11,0)-'TRADE IN'!$F51))</f>
        <v>3599</v>
      </c>
      <c r="N51" s="46">
        <f>IF(VLOOKUP($C51,REV!$C:$AA,12,0)-'TRADE IN'!$F60=0,"",(VLOOKUP($C51,REV!$C:$AA,12,0)-'TRADE IN'!$F51))</f>
        <v>3499</v>
      </c>
      <c r="O51" s="46">
        <f>IF(VLOOKUP($C51,REV!$C:$AA,13,0)-'TRADE IN'!$F60=0,"",(VLOOKUP($C51,REV!$C:$AA,13,0)-'TRADE IN'!$F51))</f>
        <v>3099</v>
      </c>
      <c r="P51" s="46">
        <f>IF(VLOOKUP($C51,REV!$C:$AA,14,0)-'TRADE IN'!$F60=0,"",(VLOOKUP($C51,REV!$C:$AA,14,0)-'TRADE IN'!$F51))</f>
        <v>2999</v>
      </c>
      <c r="Q51" s="46">
        <f>IF(VLOOKUP($C51,REV!$C:$AA,15,0)-'TRADE IN'!$F60=0,"",(VLOOKUP($C51,REV!$C:$AA,15,0)-'TRADE IN'!$F51))</f>
        <v>2499</v>
      </c>
      <c r="R51" s="46">
        <f>IF(VLOOKUP($C51,REV!$C:$AA,16,0)-'TRADE IN'!$F60=0,"",(VLOOKUP($C51,REV!$C:$AA,16,0)-'TRADE IN'!$F51))</f>
        <v>3099</v>
      </c>
      <c r="S51" s="46">
        <f>IF(VLOOKUP($C51,REV!$C:$AA,17,0)-'TRADE IN'!$F60=0,"",(VLOOKUP($C51,REV!$C:$AA,17,0)-'TRADE IN'!$F51))</f>
        <v>2999</v>
      </c>
      <c r="T51" s="46">
        <f>IF(VLOOKUP($C51,REV!$C:$AA,18,0)-'TRADE IN'!$F60=0,"",(VLOOKUP($C51,REV!$C:$AA,18,0)-'TRADE IN'!$F51))</f>
        <v>2499</v>
      </c>
      <c r="U51" s="46">
        <f>IF(VLOOKUP($C51,REV!$C:$AA,19,0)-'TRADE IN'!$F60=0,"",(VLOOKUP($C51,REV!$C:$AA,19,0)-'TRADE IN'!$F51))</f>
        <v>2499</v>
      </c>
      <c r="V51" s="46">
        <f>IF(VLOOKUP($C51,REV!$C:$AA,20,0)-'TRADE IN'!$F60=0,"",(VLOOKUP($C51,REV!$C:$AA,20,0)-'TRADE IN'!$F51))</f>
        <v>2499</v>
      </c>
      <c r="W51" s="46">
        <f>IF(VLOOKUP($C51,REV!$C:$AA,21,0)-'TRADE IN'!$F60=0,"",(VLOOKUP($C51,REV!$C:$AA,21,0)-'TRADE IN'!$F51))</f>
        <v>2499</v>
      </c>
      <c r="X51" s="46">
        <f>IF(VLOOKUP($C51,REV!$C:$AA,22,0)-'TRADE IN'!$F60=0,"",(VLOOKUP($C51,REV!$C:$AA,22,0)-'TRADE IN'!$F51))</f>
        <v>2299</v>
      </c>
      <c r="Y51" s="46">
        <f>IF(VLOOKUP($C51,REV!$C:$AA,23,0)-'TRADE IN'!$F60=0,"",(VLOOKUP($C51,REV!$C:$AA,23,0)-'TRADE IN'!$F51))</f>
        <v>1999</v>
      </c>
      <c r="Z51" s="46">
        <f>IF(VLOOKUP($C51,REV!$C:$AA,24,0)-'TRADE IN'!$F60=0,"",(VLOOKUP($C51,REV!$C:$AA,24,0)-'TRADE IN'!$F51))</f>
        <v>1999</v>
      </c>
      <c r="AA51" s="46">
        <f>IF(VLOOKUP($C51,REV!$C:$AA,25,0)-'TRADE IN'!$F60=0,"",(VLOOKUP($C51,REV!$C:$AA,25,0)-'TRADE IN'!$F51))</f>
        <v>1999</v>
      </c>
      <c r="AB51" s="46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tr">
        <f>IF(REV!AW51=0,"",REV!AW51)</f>
        <v>31.03.2026</v>
      </c>
      <c r="AX51" s="159" t="s">
        <v>82</v>
      </c>
    </row>
    <row r="52" spans="1:50" ht="22.5" customHeight="1">
      <c r="A52" s="52" t="s">
        <v>70</v>
      </c>
      <c r="B52" s="41" t="s">
        <v>62</v>
      </c>
      <c r="C52" s="42">
        <v>4014723</v>
      </c>
      <c r="D52" s="43" t="s">
        <v>101</v>
      </c>
      <c r="E52" s="43" t="s">
        <v>111</v>
      </c>
      <c r="F52" s="45"/>
      <c r="G52" s="45"/>
      <c r="H52" s="46"/>
      <c r="I52" s="46"/>
      <c r="J52" s="46">
        <f>IF(VLOOKUP($C52,REV!$C:$AA,8,0)-'TRADE IN'!$F52=0,"",(VLOOKUP($C52,REV!$C:$AA,8,0)-'TRADE IN'!$F52))</f>
        <v>3599</v>
      </c>
      <c r="K52" s="46">
        <f>IF(VLOOKUP($C52,REV!$C:$AA,9,0)-'TRADE IN'!$F52=0,"",(VLOOKUP($C52,REV!$C:$AA,9,0)-'TRADE IN'!$F52))</f>
        <v>3499</v>
      </c>
      <c r="L52" s="46">
        <f>IF(VLOOKUP($C52,REV!$C:$AA,10,0)-'TRADE IN'!$F61=0,"",(VLOOKUP($C52,REV!$C:$AA,10,0)-'TRADE IN'!$F52))</f>
        <v>3499</v>
      </c>
      <c r="M52" s="46">
        <f>IF(VLOOKUP($C52,REV!$C:$AA,11,0)-'TRADE IN'!$F61=0,"",(VLOOKUP($C52,REV!$C:$AA,11,0)-'TRADE IN'!$F52))</f>
        <v>3599</v>
      </c>
      <c r="N52" s="46">
        <f>IF(VLOOKUP($C52,REV!$C:$AA,12,0)-'TRADE IN'!$F61=0,"",(VLOOKUP($C52,REV!$C:$AA,12,0)-'TRADE IN'!$F52))</f>
        <v>3499</v>
      </c>
      <c r="O52" s="46">
        <f>IF(VLOOKUP($C52,REV!$C:$AA,13,0)-'TRADE IN'!$F61=0,"",(VLOOKUP($C52,REV!$C:$AA,13,0)-'TRADE IN'!$F52))</f>
        <v>3099</v>
      </c>
      <c r="P52" s="46">
        <f>IF(VLOOKUP($C52,REV!$C:$AA,14,0)-'TRADE IN'!$F61=0,"",(VLOOKUP($C52,REV!$C:$AA,14,0)-'TRADE IN'!$F52))</f>
        <v>2999</v>
      </c>
      <c r="Q52" s="46">
        <f>IF(VLOOKUP($C52,REV!$C:$AA,15,0)-'TRADE IN'!$F61=0,"",(VLOOKUP($C52,REV!$C:$AA,15,0)-'TRADE IN'!$F52))</f>
        <v>2499</v>
      </c>
      <c r="R52" s="46">
        <f>IF(VLOOKUP($C52,REV!$C:$AA,16,0)-'TRADE IN'!$F61=0,"",(VLOOKUP($C52,REV!$C:$AA,16,0)-'TRADE IN'!$F52))</f>
        <v>3099</v>
      </c>
      <c r="S52" s="46">
        <f>IF(VLOOKUP($C52,REV!$C:$AA,17,0)-'TRADE IN'!$F61=0,"",(VLOOKUP($C52,REV!$C:$AA,17,0)-'TRADE IN'!$F52))</f>
        <v>2999</v>
      </c>
      <c r="T52" s="46">
        <f>IF(VLOOKUP($C52,REV!$C:$AA,18,0)-'TRADE IN'!$F61=0,"",(VLOOKUP($C52,REV!$C:$AA,18,0)-'TRADE IN'!$F52))</f>
        <v>2499</v>
      </c>
      <c r="U52" s="46">
        <f>IF(VLOOKUP($C52,REV!$C:$AA,19,0)-'TRADE IN'!$F61=0,"",(VLOOKUP($C52,REV!$C:$AA,19,0)-'TRADE IN'!$F52))</f>
        <v>2499</v>
      </c>
      <c r="V52" s="46">
        <f>IF(VLOOKUP($C52,REV!$C:$AA,20,0)-'TRADE IN'!$F61=0,"",(VLOOKUP($C52,REV!$C:$AA,20,0)-'TRADE IN'!$F52))</f>
        <v>2499</v>
      </c>
      <c r="W52" s="46">
        <f>IF(VLOOKUP($C52,REV!$C:$AA,21,0)-'TRADE IN'!$F61=0,"",(VLOOKUP($C52,REV!$C:$AA,21,0)-'TRADE IN'!$F52))</f>
        <v>2499</v>
      </c>
      <c r="X52" s="46">
        <f>IF(VLOOKUP($C52,REV!$C:$AA,22,0)-'TRADE IN'!$F61=0,"",(VLOOKUP($C52,REV!$C:$AA,22,0)-'TRADE IN'!$F52))</f>
        <v>2299</v>
      </c>
      <c r="Y52" s="46">
        <f>IF(VLOOKUP($C52,REV!$C:$AA,23,0)-'TRADE IN'!$F61=0,"",(VLOOKUP($C52,REV!$C:$AA,23,0)-'TRADE IN'!$F52))</f>
        <v>1999</v>
      </c>
      <c r="Z52" s="46">
        <f>IF(VLOOKUP($C52,REV!$C:$AA,24,0)-'TRADE IN'!$F61=0,"",(VLOOKUP($C52,REV!$C:$AA,24,0)-'TRADE IN'!$F52))</f>
        <v>1999</v>
      </c>
      <c r="AA52" s="46">
        <f>IF(VLOOKUP($C52,REV!$C:$AA,25,0)-'TRADE IN'!$F61=0,"",(VLOOKUP($C52,REV!$C:$AA,25,0)-'TRADE IN'!$F52))</f>
        <v>1999</v>
      </c>
      <c r="AB52" s="46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tr">
        <f>IF(REV!AW52=0,"",REV!AW52)</f>
        <v>31.03.2026</v>
      </c>
      <c r="AX52" s="159" t="s">
        <v>82</v>
      </c>
    </row>
    <row r="53" spans="1:50" ht="22.5" customHeight="1">
      <c r="A53" s="52" t="s">
        <v>70</v>
      </c>
      <c r="B53" s="41" t="s">
        <v>62</v>
      </c>
      <c r="C53" s="42">
        <v>4014725</v>
      </c>
      <c r="D53" s="43" t="s">
        <v>101</v>
      </c>
      <c r="E53" s="43" t="s">
        <v>112</v>
      </c>
      <c r="F53" s="45"/>
      <c r="G53" s="45"/>
      <c r="H53" s="46"/>
      <c r="I53" s="46"/>
      <c r="J53" s="46">
        <f>IF(VLOOKUP($C53,REV!$C:$AA,8,0)-'TRADE IN'!$F53=0,"",(VLOOKUP($C53,REV!$C:$AA,8,0)-'TRADE IN'!$F53))</f>
        <v>3599</v>
      </c>
      <c r="K53" s="46">
        <f>IF(VLOOKUP($C53,REV!$C:$AA,9,0)-'TRADE IN'!$F53=0,"",(VLOOKUP($C53,REV!$C:$AA,9,0)-'TRADE IN'!$F53))</f>
        <v>3499</v>
      </c>
      <c r="L53" s="46">
        <f>IF(VLOOKUP($C53,REV!$C:$AA,10,0)-'TRADE IN'!$F62=0,"",(VLOOKUP($C53,REV!$C:$AA,10,0)-'TRADE IN'!$F53))</f>
        <v>3499</v>
      </c>
      <c r="M53" s="46">
        <f>IF(VLOOKUP($C53,REV!$C:$AA,11,0)-'TRADE IN'!$F62=0,"",(VLOOKUP($C53,REV!$C:$AA,11,0)-'TRADE IN'!$F53))</f>
        <v>3599</v>
      </c>
      <c r="N53" s="46">
        <f>IF(VLOOKUP($C53,REV!$C:$AA,12,0)-'TRADE IN'!$F62=0,"",(VLOOKUP($C53,REV!$C:$AA,12,0)-'TRADE IN'!$F53))</f>
        <v>3499</v>
      </c>
      <c r="O53" s="46">
        <f>IF(VLOOKUP($C53,REV!$C:$AA,13,0)-'TRADE IN'!$F62=0,"",(VLOOKUP($C53,REV!$C:$AA,13,0)-'TRADE IN'!$F53))</f>
        <v>3099</v>
      </c>
      <c r="P53" s="46">
        <f>IF(VLOOKUP($C53,REV!$C:$AA,14,0)-'TRADE IN'!$F62=0,"",(VLOOKUP($C53,REV!$C:$AA,14,0)-'TRADE IN'!$F53))</f>
        <v>2999</v>
      </c>
      <c r="Q53" s="46">
        <f>IF(VLOOKUP($C53,REV!$C:$AA,15,0)-'TRADE IN'!$F62=0,"",(VLOOKUP($C53,REV!$C:$AA,15,0)-'TRADE IN'!$F53))</f>
        <v>2499</v>
      </c>
      <c r="R53" s="46">
        <f>IF(VLOOKUP($C53,REV!$C:$AA,16,0)-'TRADE IN'!$F62=0,"",(VLOOKUP($C53,REV!$C:$AA,16,0)-'TRADE IN'!$F53))</f>
        <v>3099</v>
      </c>
      <c r="S53" s="46">
        <f>IF(VLOOKUP($C53,REV!$C:$AA,17,0)-'TRADE IN'!$F62=0,"",(VLOOKUP($C53,REV!$C:$AA,17,0)-'TRADE IN'!$F53))</f>
        <v>2999</v>
      </c>
      <c r="T53" s="46">
        <f>IF(VLOOKUP($C53,REV!$C:$AA,18,0)-'TRADE IN'!$F62=0,"",(VLOOKUP($C53,REV!$C:$AA,18,0)-'TRADE IN'!$F53))</f>
        <v>2499</v>
      </c>
      <c r="U53" s="46">
        <f>IF(VLOOKUP($C53,REV!$C:$AA,19,0)-'TRADE IN'!$F62=0,"",(VLOOKUP($C53,REV!$C:$AA,19,0)-'TRADE IN'!$F53))</f>
        <v>2499</v>
      </c>
      <c r="V53" s="46">
        <f>IF(VLOOKUP($C53,REV!$C:$AA,20,0)-'TRADE IN'!$F62=0,"",(VLOOKUP($C53,REV!$C:$AA,20,0)-'TRADE IN'!$F53))</f>
        <v>2499</v>
      </c>
      <c r="W53" s="46">
        <f>IF(VLOOKUP($C53,REV!$C:$AA,21,0)-'TRADE IN'!$F62=0,"",(VLOOKUP($C53,REV!$C:$AA,21,0)-'TRADE IN'!$F53))</f>
        <v>2499</v>
      </c>
      <c r="X53" s="46">
        <f>IF(VLOOKUP($C53,REV!$C:$AA,22,0)-'TRADE IN'!$F62=0,"",(VLOOKUP($C53,REV!$C:$AA,22,0)-'TRADE IN'!$F53))</f>
        <v>2299</v>
      </c>
      <c r="Y53" s="46">
        <f>IF(VLOOKUP($C53,REV!$C:$AA,23,0)-'TRADE IN'!$F62=0,"",(VLOOKUP($C53,REV!$C:$AA,23,0)-'TRADE IN'!$F53))</f>
        <v>1999</v>
      </c>
      <c r="Z53" s="46">
        <f>IF(VLOOKUP($C53,REV!$C:$AA,24,0)-'TRADE IN'!$F62=0,"",(VLOOKUP($C53,REV!$C:$AA,24,0)-'TRADE IN'!$F53))</f>
        <v>1999</v>
      </c>
      <c r="AA53" s="46">
        <f>IF(VLOOKUP($C53,REV!$C:$AA,25,0)-'TRADE IN'!$F62=0,"",(VLOOKUP($C53,REV!$C:$AA,25,0)-'TRADE IN'!$F53))</f>
        <v>1999</v>
      </c>
      <c r="AB53" s="46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tr">
        <f>IF(REV!AW53=0,"",REV!AW53)</f>
        <v>31.03.2026</v>
      </c>
      <c r="AX53" s="159" t="s">
        <v>82</v>
      </c>
    </row>
    <row r="54" spans="1:50" ht="22.5" customHeight="1">
      <c r="A54" s="52" t="s">
        <v>70</v>
      </c>
      <c r="B54" s="41" t="s">
        <v>62</v>
      </c>
      <c r="C54" s="42">
        <v>4014980</v>
      </c>
      <c r="D54" s="43" t="s">
        <v>101</v>
      </c>
      <c r="E54" s="43" t="s">
        <v>113</v>
      </c>
      <c r="F54" s="45"/>
      <c r="G54" s="45"/>
      <c r="H54" s="46"/>
      <c r="I54" s="46"/>
      <c r="J54" s="46">
        <f>IF(VLOOKUP($C54,REV!$C:$AA,8,0)-'TRADE IN'!$F54=0,"",(VLOOKUP($C54,REV!$C:$AA,8,0)-'TRADE IN'!$F54))</f>
        <v>3599</v>
      </c>
      <c r="K54" s="46">
        <f>IF(VLOOKUP($C54,REV!$C:$AA,9,0)-'TRADE IN'!$F54=0,"",(VLOOKUP($C54,REV!$C:$AA,9,0)-'TRADE IN'!$F54))</f>
        <v>3499</v>
      </c>
      <c r="L54" s="46">
        <f>IF(VLOOKUP($C54,REV!$C:$AA,10,0)-'TRADE IN'!$F63=0,"",(VLOOKUP($C54,REV!$C:$AA,10,0)-'TRADE IN'!$F54))</f>
        <v>3499</v>
      </c>
      <c r="M54" s="46">
        <f>IF(VLOOKUP($C54,REV!$C:$AA,11,0)-'TRADE IN'!$F63=0,"",(VLOOKUP($C54,REV!$C:$AA,11,0)-'TRADE IN'!$F54))</f>
        <v>3599</v>
      </c>
      <c r="N54" s="46">
        <f>IF(VLOOKUP($C54,REV!$C:$AA,12,0)-'TRADE IN'!$F63=0,"",(VLOOKUP($C54,REV!$C:$AA,12,0)-'TRADE IN'!$F54))</f>
        <v>3499</v>
      </c>
      <c r="O54" s="46">
        <f>IF(VLOOKUP($C54,REV!$C:$AA,13,0)-'TRADE IN'!$F63=0,"",(VLOOKUP($C54,REV!$C:$AA,13,0)-'TRADE IN'!$F54))</f>
        <v>3099</v>
      </c>
      <c r="P54" s="46">
        <f>IF(VLOOKUP($C54,REV!$C:$AA,14,0)-'TRADE IN'!$F63=0,"",(VLOOKUP($C54,REV!$C:$AA,14,0)-'TRADE IN'!$F54))</f>
        <v>2999</v>
      </c>
      <c r="Q54" s="46">
        <f>IF(VLOOKUP($C54,REV!$C:$AA,15,0)-'TRADE IN'!$F63=0,"",(VLOOKUP($C54,REV!$C:$AA,15,0)-'TRADE IN'!$F54))</f>
        <v>2499</v>
      </c>
      <c r="R54" s="46">
        <f>IF(VLOOKUP($C54,REV!$C:$AA,16,0)-'TRADE IN'!$F63=0,"",(VLOOKUP($C54,REV!$C:$AA,16,0)-'TRADE IN'!$F54))</f>
        <v>3099</v>
      </c>
      <c r="S54" s="46">
        <f>IF(VLOOKUP($C54,REV!$C:$AA,17,0)-'TRADE IN'!$F63=0,"",(VLOOKUP($C54,REV!$C:$AA,17,0)-'TRADE IN'!$F54))</f>
        <v>2999</v>
      </c>
      <c r="T54" s="46">
        <f>IF(VLOOKUP($C54,REV!$C:$AA,18,0)-'TRADE IN'!$F63=0,"",(VLOOKUP($C54,REV!$C:$AA,18,0)-'TRADE IN'!$F54))</f>
        <v>2499</v>
      </c>
      <c r="U54" s="46">
        <f>IF(VLOOKUP($C54,REV!$C:$AA,19,0)-'TRADE IN'!$F63=0,"",(VLOOKUP($C54,REV!$C:$AA,19,0)-'TRADE IN'!$F54))</f>
        <v>2499</v>
      </c>
      <c r="V54" s="46">
        <f>IF(VLOOKUP($C54,REV!$C:$AA,20,0)-'TRADE IN'!$F63=0,"",(VLOOKUP($C54,REV!$C:$AA,20,0)-'TRADE IN'!$F54))</f>
        <v>2499</v>
      </c>
      <c r="W54" s="46">
        <f>IF(VLOOKUP($C54,REV!$C:$AA,21,0)-'TRADE IN'!$F63=0,"",(VLOOKUP($C54,REV!$C:$AA,21,0)-'TRADE IN'!$F54))</f>
        <v>2499</v>
      </c>
      <c r="X54" s="46">
        <f>IF(VLOOKUP($C54,REV!$C:$AA,22,0)-'TRADE IN'!$F63=0,"",(VLOOKUP($C54,REV!$C:$AA,22,0)-'TRADE IN'!$F54))</f>
        <v>2299</v>
      </c>
      <c r="Y54" s="46">
        <f>IF(VLOOKUP($C54,REV!$C:$AA,23,0)-'TRADE IN'!$F63=0,"",(VLOOKUP($C54,REV!$C:$AA,23,0)-'TRADE IN'!$F54))</f>
        <v>1999</v>
      </c>
      <c r="Z54" s="46">
        <f>IF(VLOOKUP($C54,REV!$C:$AA,24,0)-'TRADE IN'!$F63=0,"",(VLOOKUP($C54,REV!$C:$AA,24,0)-'TRADE IN'!$F54))</f>
        <v>1999</v>
      </c>
      <c r="AA54" s="46">
        <f>IF(VLOOKUP($C54,REV!$C:$AA,25,0)-'TRADE IN'!$F63=0,"",(VLOOKUP($C54,REV!$C:$AA,25,0)-'TRADE IN'!$F54))</f>
        <v>1999</v>
      </c>
      <c r="AB54" s="46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tr">
        <f>IF(REV!AW54=0,"",REV!AW54)</f>
        <v>31.03.2026</v>
      </c>
      <c r="AX54" s="159" t="s">
        <v>82</v>
      </c>
    </row>
    <row r="55" spans="1:50" ht="22.5" customHeight="1">
      <c r="A55" s="52" t="s">
        <v>70</v>
      </c>
      <c r="B55" s="41" t="s">
        <v>62</v>
      </c>
      <c r="C55" s="42">
        <v>4014594</v>
      </c>
      <c r="D55" s="43" t="s">
        <v>114</v>
      </c>
      <c r="E55" s="43" t="s">
        <v>115</v>
      </c>
      <c r="F55" s="45"/>
      <c r="G55" s="45"/>
      <c r="H55" s="46"/>
      <c r="I55" s="46"/>
      <c r="J55" s="46">
        <f>IF(VLOOKUP($C55,REV!$C:$AA,8,0)-'TRADE IN'!$F55=0,"",(VLOOKUP($C55,REV!$C:$AA,8,0)-'TRADE IN'!$F55))</f>
        <v>3799</v>
      </c>
      <c r="K55" s="46">
        <f>IF(VLOOKUP($C55,REV!$C:$AA,9,0)-'TRADE IN'!$F55=0,"",(VLOOKUP($C55,REV!$C:$AA,9,0)-'TRADE IN'!$F55))</f>
        <v>3799</v>
      </c>
      <c r="L55" s="46">
        <f>IF(VLOOKUP($C55,REV!$C:$AA,10,0)-'TRADE IN'!$F64=0,"",(VLOOKUP($C55,REV!$C:$AA,10,0)-'TRADE IN'!$F55))</f>
        <v>3799</v>
      </c>
      <c r="M55" s="46">
        <f>IF(VLOOKUP($C55,REV!$C:$AA,11,0)-'TRADE IN'!$F64=0,"",(VLOOKUP($C55,REV!$C:$AA,11,0)-'TRADE IN'!$F55))</f>
        <v>3799</v>
      </c>
      <c r="N55" s="46">
        <f>IF(VLOOKUP($C55,REV!$C:$AA,12,0)-'TRADE IN'!$F64=0,"",(VLOOKUP($C55,REV!$C:$AA,12,0)-'TRADE IN'!$F55))</f>
        <v>3799</v>
      </c>
      <c r="O55" s="46">
        <f>IF(VLOOKUP($C55,REV!$C:$AA,13,0)-'TRADE IN'!$F64=0,"",(VLOOKUP($C55,REV!$C:$AA,13,0)-'TRADE IN'!$F55))</f>
        <v>3599</v>
      </c>
      <c r="P55" s="46">
        <f>IF(VLOOKUP($C55,REV!$C:$AA,14,0)-'TRADE IN'!$F64=0,"",(VLOOKUP($C55,REV!$C:$AA,14,0)-'TRADE IN'!$F55))</f>
        <v>3499</v>
      </c>
      <c r="Q55" s="46">
        <f>IF(VLOOKUP($C55,REV!$C:$AA,15,0)-'TRADE IN'!$F64=0,"",(VLOOKUP($C55,REV!$C:$AA,15,0)-'TRADE IN'!$F55))</f>
        <v>2999</v>
      </c>
      <c r="R55" s="46">
        <f>IF(VLOOKUP($C55,REV!$C:$AA,16,0)-'TRADE IN'!$F64=0,"",(VLOOKUP($C55,REV!$C:$AA,16,0)-'TRADE IN'!$F55))</f>
        <v>3599</v>
      </c>
      <c r="S55" s="46">
        <f>IF(VLOOKUP($C55,REV!$C:$AA,17,0)-'TRADE IN'!$F64=0,"",(VLOOKUP($C55,REV!$C:$AA,17,0)-'TRADE IN'!$F55))</f>
        <v>3499</v>
      </c>
      <c r="T55" s="46">
        <f>IF(VLOOKUP($C55,REV!$C:$AA,18,0)-'TRADE IN'!$F64=0,"",(VLOOKUP($C55,REV!$C:$AA,18,0)-'TRADE IN'!$F55))</f>
        <v>2999</v>
      </c>
      <c r="U55" s="46">
        <f>IF(VLOOKUP($C55,REV!$C:$AA,19,0)-'TRADE IN'!$F64=0,"",(VLOOKUP($C55,REV!$C:$AA,19,0)-'TRADE IN'!$F55))</f>
        <v>2999</v>
      </c>
      <c r="V55" s="46">
        <f>IF(VLOOKUP($C55,REV!$C:$AA,20,0)-'TRADE IN'!$F64=0,"",(VLOOKUP($C55,REV!$C:$AA,20,0)-'TRADE IN'!$F55))</f>
        <v>2999</v>
      </c>
      <c r="W55" s="46">
        <f>IF(VLOOKUP($C55,REV!$C:$AA,21,0)-'TRADE IN'!$F64=0,"",(VLOOKUP($C55,REV!$C:$AA,21,0)-'TRADE IN'!$F55))</f>
        <v>2999</v>
      </c>
      <c r="X55" s="46">
        <f>IF(VLOOKUP($C55,REV!$C:$AA,22,0)-'TRADE IN'!$F64=0,"",(VLOOKUP($C55,REV!$C:$AA,22,0)-'TRADE IN'!$F55))</f>
        <v>2799</v>
      </c>
      <c r="Y55" s="46">
        <f>IF(VLOOKUP($C55,REV!$C:$AA,23,0)-'TRADE IN'!$F64=0,"",(VLOOKUP($C55,REV!$C:$AA,23,0)-'TRADE IN'!$F55))</f>
        <v>2499</v>
      </c>
      <c r="Z55" s="46">
        <f>IF(VLOOKUP($C55,REV!$C:$AA,24,0)-'TRADE IN'!$F64=0,"",(VLOOKUP($C55,REV!$C:$AA,24,0)-'TRADE IN'!$F55))</f>
        <v>2499</v>
      </c>
      <c r="AA55" s="46">
        <f>IF(VLOOKUP($C55,REV!$C:$AA,25,0)-'TRADE IN'!$F64=0,"",(VLOOKUP($C55,REV!$C:$AA,25,0)-'TRADE IN'!$F55))</f>
        <v>2499</v>
      </c>
      <c r="AB55" s="46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tr">
        <f>IF(REV!AW55=0,"",REV!AW55)</f>
        <v>31.03.2026</v>
      </c>
      <c r="AX55" s="159" t="s">
        <v>82</v>
      </c>
    </row>
    <row r="56" spans="1:50" ht="22.5" customHeight="1">
      <c r="A56" s="52" t="s">
        <v>70</v>
      </c>
      <c r="B56" s="41" t="s">
        <v>62</v>
      </c>
      <c r="C56" s="42">
        <v>4014602</v>
      </c>
      <c r="D56" s="43" t="s">
        <v>114</v>
      </c>
      <c r="E56" s="43" t="s">
        <v>116</v>
      </c>
      <c r="F56" s="45"/>
      <c r="G56" s="45"/>
      <c r="H56" s="46"/>
      <c r="I56" s="46"/>
      <c r="J56" s="46">
        <f>IF(VLOOKUP($C56,REV!$C:$AA,8,0)-'TRADE IN'!$F56=0,"",(VLOOKUP($C56,REV!$C:$AA,8,0)-'TRADE IN'!$F56))</f>
        <v>3799</v>
      </c>
      <c r="K56" s="46">
        <f>IF(VLOOKUP($C56,REV!$C:$AA,9,0)-'TRADE IN'!$F56=0,"",(VLOOKUP($C56,REV!$C:$AA,9,0)-'TRADE IN'!$F56))</f>
        <v>3799</v>
      </c>
      <c r="L56" s="46">
        <f>IF(VLOOKUP($C56,REV!$C:$AA,10,0)-'TRADE IN'!$F65=0,"",(VLOOKUP($C56,REV!$C:$AA,10,0)-'TRADE IN'!$F56))</f>
        <v>3799</v>
      </c>
      <c r="M56" s="46">
        <f>IF(VLOOKUP($C56,REV!$C:$AA,11,0)-'TRADE IN'!$F65=0,"",(VLOOKUP($C56,REV!$C:$AA,11,0)-'TRADE IN'!$F56))</f>
        <v>3799</v>
      </c>
      <c r="N56" s="46">
        <f>IF(VLOOKUP($C56,REV!$C:$AA,12,0)-'TRADE IN'!$F65=0,"",(VLOOKUP($C56,REV!$C:$AA,12,0)-'TRADE IN'!$F56))</f>
        <v>3799</v>
      </c>
      <c r="O56" s="46">
        <f>IF(VLOOKUP($C56,REV!$C:$AA,13,0)-'TRADE IN'!$F65=0,"",(VLOOKUP($C56,REV!$C:$AA,13,0)-'TRADE IN'!$F56))</f>
        <v>3599</v>
      </c>
      <c r="P56" s="46">
        <f>IF(VLOOKUP($C56,REV!$C:$AA,14,0)-'TRADE IN'!$F65=0,"",(VLOOKUP($C56,REV!$C:$AA,14,0)-'TRADE IN'!$F56))</f>
        <v>3499</v>
      </c>
      <c r="Q56" s="46">
        <f>IF(VLOOKUP($C56,REV!$C:$AA,15,0)-'TRADE IN'!$F65=0,"",(VLOOKUP($C56,REV!$C:$AA,15,0)-'TRADE IN'!$F56))</f>
        <v>2999</v>
      </c>
      <c r="R56" s="46">
        <f>IF(VLOOKUP($C56,REV!$C:$AA,16,0)-'TRADE IN'!$F65=0,"",(VLOOKUP($C56,REV!$C:$AA,16,0)-'TRADE IN'!$F56))</f>
        <v>3599</v>
      </c>
      <c r="S56" s="46">
        <f>IF(VLOOKUP($C56,REV!$C:$AA,17,0)-'TRADE IN'!$F65=0,"",(VLOOKUP($C56,REV!$C:$AA,17,0)-'TRADE IN'!$F56))</f>
        <v>3499</v>
      </c>
      <c r="T56" s="46">
        <f>IF(VLOOKUP($C56,REV!$C:$AA,18,0)-'TRADE IN'!$F65=0,"",(VLOOKUP($C56,REV!$C:$AA,18,0)-'TRADE IN'!$F56))</f>
        <v>2999</v>
      </c>
      <c r="U56" s="46">
        <f>IF(VLOOKUP($C56,REV!$C:$AA,19,0)-'TRADE IN'!$F65=0,"",(VLOOKUP($C56,REV!$C:$AA,19,0)-'TRADE IN'!$F56))</f>
        <v>2999</v>
      </c>
      <c r="V56" s="46">
        <f>IF(VLOOKUP($C56,REV!$C:$AA,20,0)-'TRADE IN'!$F65=0,"",(VLOOKUP($C56,REV!$C:$AA,20,0)-'TRADE IN'!$F56))</f>
        <v>2999</v>
      </c>
      <c r="W56" s="46">
        <f>IF(VLOOKUP($C56,REV!$C:$AA,21,0)-'TRADE IN'!$F65=0,"",(VLOOKUP($C56,REV!$C:$AA,21,0)-'TRADE IN'!$F56))</f>
        <v>2999</v>
      </c>
      <c r="X56" s="46">
        <f>IF(VLOOKUP($C56,REV!$C:$AA,22,0)-'TRADE IN'!$F65=0,"",(VLOOKUP($C56,REV!$C:$AA,22,0)-'TRADE IN'!$F56))</f>
        <v>2799</v>
      </c>
      <c r="Y56" s="46">
        <f>IF(VLOOKUP($C56,REV!$C:$AA,23,0)-'TRADE IN'!$F65=0,"",(VLOOKUP($C56,REV!$C:$AA,23,0)-'TRADE IN'!$F56))</f>
        <v>2499</v>
      </c>
      <c r="Z56" s="46">
        <f>IF(VLOOKUP($C56,REV!$C:$AA,24,0)-'TRADE IN'!$F65=0,"",(VLOOKUP($C56,REV!$C:$AA,24,0)-'TRADE IN'!$F56))</f>
        <v>2499</v>
      </c>
      <c r="AA56" s="46">
        <f>IF(VLOOKUP($C56,REV!$C:$AA,25,0)-'TRADE IN'!$F65=0,"",(VLOOKUP($C56,REV!$C:$AA,25,0)-'TRADE IN'!$F56))</f>
        <v>2499</v>
      </c>
      <c r="AB56" s="46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tr">
        <f>IF(REV!AW56=0,"",REV!AW56)</f>
        <v>31.03.2026</v>
      </c>
      <c r="AX56" s="159" t="s">
        <v>82</v>
      </c>
    </row>
    <row r="57" spans="1:50" ht="22.5" customHeight="1">
      <c r="A57" s="52" t="s">
        <v>70</v>
      </c>
      <c r="B57" s="41" t="s">
        <v>62</v>
      </c>
      <c r="C57" s="42">
        <v>4014608</v>
      </c>
      <c r="D57" s="43" t="s">
        <v>114</v>
      </c>
      <c r="E57" s="43" t="s">
        <v>117</v>
      </c>
      <c r="F57" s="45"/>
      <c r="G57" s="45"/>
      <c r="H57" s="46"/>
      <c r="I57" s="46"/>
      <c r="J57" s="46">
        <f>IF(VLOOKUP($C57,REV!$C:$AA,8,0)-'TRADE IN'!$F57=0,"",(VLOOKUP($C57,REV!$C:$AA,8,0)-'TRADE IN'!$F57))</f>
        <v>3799</v>
      </c>
      <c r="K57" s="46">
        <f>IF(VLOOKUP($C57,REV!$C:$AA,9,0)-'TRADE IN'!$F57=0,"",(VLOOKUP($C57,REV!$C:$AA,9,0)-'TRADE IN'!$F57))</f>
        <v>3799</v>
      </c>
      <c r="L57" s="46">
        <f>IF(VLOOKUP($C57,REV!$C:$AA,10,0)-'TRADE IN'!$F66=0,"",(VLOOKUP($C57,REV!$C:$AA,10,0)-'TRADE IN'!$F57))</f>
        <v>3799</v>
      </c>
      <c r="M57" s="46">
        <f>IF(VLOOKUP($C57,REV!$C:$AA,11,0)-'TRADE IN'!$F66=0,"",(VLOOKUP($C57,REV!$C:$AA,11,0)-'TRADE IN'!$F57))</f>
        <v>3799</v>
      </c>
      <c r="N57" s="46">
        <f>IF(VLOOKUP($C57,REV!$C:$AA,12,0)-'TRADE IN'!$F66=0,"",(VLOOKUP($C57,REV!$C:$AA,12,0)-'TRADE IN'!$F57))</f>
        <v>3799</v>
      </c>
      <c r="O57" s="46">
        <f>IF(VLOOKUP($C57,REV!$C:$AA,13,0)-'TRADE IN'!$F66=0,"",(VLOOKUP($C57,REV!$C:$AA,13,0)-'TRADE IN'!$F57))</f>
        <v>3599</v>
      </c>
      <c r="P57" s="46">
        <f>IF(VLOOKUP($C57,REV!$C:$AA,14,0)-'TRADE IN'!$F66=0,"",(VLOOKUP($C57,REV!$C:$AA,14,0)-'TRADE IN'!$F57))</f>
        <v>3499</v>
      </c>
      <c r="Q57" s="46">
        <f>IF(VLOOKUP($C57,REV!$C:$AA,15,0)-'TRADE IN'!$F66=0,"",(VLOOKUP($C57,REV!$C:$AA,15,0)-'TRADE IN'!$F57))</f>
        <v>2999</v>
      </c>
      <c r="R57" s="46">
        <f>IF(VLOOKUP($C57,REV!$C:$AA,16,0)-'TRADE IN'!$F66=0,"",(VLOOKUP($C57,REV!$C:$AA,16,0)-'TRADE IN'!$F57))</f>
        <v>3599</v>
      </c>
      <c r="S57" s="46">
        <f>IF(VLOOKUP($C57,REV!$C:$AA,17,0)-'TRADE IN'!$F66=0,"",(VLOOKUP($C57,REV!$C:$AA,17,0)-'TRADE IN'!$F57))</f>
        <v>3499</v>
      </c>
      <c r="T57" s="46">
        <f>IF(VLOOKUP($C57,REV!$C:$AA,18,0)-'TRADE IN'!$F66=0,"",(VLOOKUP($C57,REV!$C:$AA,18,0)-'TRADE IN'!$F57))</f>
        <v>2999</v>
      </c>
      <c r="U57" s="46">
        <f>IF(VLOOKUP($C57,REV!$C:$AA,19,0)-'TRADE IN'!$F66=0,"",(VLOOKUP($C57,REV!$C:$AA,19,0)-'TRADE IN'!$F57))</f>
        <v>2999</v>
      </c>
      <c r="V57" s="46">
        <f>IF(VLOOKUP($C57,REV!$C:$AA,20,0)-'TRADE IN'!$F66=0,"",(VLOOKUP($C57,REV!$C:$AA,20,0)-'TRADE IN'!$F57))</f>
        <v>2999</v>
      </c>
      <c r="W57" s="46">
        <f>IF(VLOOKUP($C57,REV!$C:$AA,21,0)-'TRADE IN'!$F66=0,"",(VLOOKUP($C57,REV!$C:$AA,21,0)-'TRADE IN'!$F57))</f>
        <v>2999</v>
      </c>
      <c r="X57" s="46">
        <f>IF(VLOOKUP($C57,REV!$C:$AA,22,0)-'TRADE IN'!$F66=0,"",(VLOOKUP($C57,REV!$C:$AA,22,0)-'TRADE IN'!$F57))</f>
        <v>2799</v>
      </c>
      <c r="Y57" s="46">
        <f>IF(VLOOKUP($C57,REV!$C:$AA,23,0)-'TRADE IN'!$F66=0,"",(VLOOKUP($C57,REV!$C:$AA,23,0)-'TRADE IN'!$F57))</f>
        <v>2499</v>
      </c>
      <c r="Z57" s="46">
        <f>IF(VLOOKUP($C57,REV!$C:$AA,24,0)-'TRADE IN'!$F66=0,"",(VLOOKUP($C57,REV!$C:$AA,24,0)-'TRADE IN'!$F57))</f>
        <v>2499</v>
      </c>
      <c r="AA57" s="46">
        <f>IF(VLOOKUP($C57,REV!$C:$AA,25,0)-'TRADE IN'!$F66=0,"",(VLOOKUP($C57,REV!$C:$AA,25,0)-'TRADE IN'!$F57))</f>
        <v>2499</v>
      </c>
      <c r="AB57" s="46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tr">
        <f>IF(REV!AW57=0,"",REV!AW57)</f>
        <v>31.03.2026</v>
      </c>
      <c r="AX57" s="159" t="s">
        <v>82</v>
      </c>
    </row>
    <row r="58" spans="1:50" ht="22.5" customHeight="1">
      <c r="A58" s="52" t="s">
        <v>70</v>
      </c>
      <c r="B58" s="41" t="s">
        <v>62</v>
      </c>
      <c r="C58" s="42">
        <v>4014617</v>
      </c>
      <c r="D58" s="43" t="s">
        <v>114</v>
      </c>
      <c r="E58" s="43" t="s">
        <v>118</v>
      </c>
      <c r="F58" s="45"/>
      <c r="G58" s="45"/>
      <c r="H58" s="46"/>
      <c r="I58" s="46"/>
      <c r="J58" s="46">
        <f>IF(VLOOKUP($C58,REV!$C:$AA,8,0)-'TRADE IN'!$F58=0,"",(VLOOKUP($C58,REV!$C:$AA,8,0)-'TRADE IN'!$F58))</f>
        <v>3799</v>
      </c>
      <c r="K58" s="46">
        <f>IF(VLOOKUP($C58,REV!$C:$AA,9,0)-'TRADE IN'!$F58=0,"",(VLOOKUP($C58,REV!$C:$AA,9,0)-'TRADE IN'!$F58))</f>
        <v>3799</v>
      </c>
      <c r="L58" s="46">
        <f>IF(VLOOKUP($C58,REV!$C:$AA,10,0)-'TRADE IN'!$F67=0,"",(VLOOKUP($C58,REV!$C:$AA,10,0)-'TRADE IN'!$F58))</f>
        <v>3799</v>
      </c>
      <c r="M58" s="46">
        <f>IF(VLOOKUP($C58,REV!$C:$AA,11,0)-'TRADE IN'!$F67=0,"",(VLOOKUP($C58,REV!$C:$AA,11,0)-'TRADE IN'!$F58))</f>
        <v>3799</v>
      </c>
      <c r="N58" s="46">
        <f>IF(VLOOKUP($C58,REV!$C:$AA,12,0)-'TRADE IN'!$F67=0,"",(VLOOKUP($C58,REV!$C:$AA,12,0)-'TRADE IN'!$F58))</f>
        <v>3799</v>
      </c>
      <c r="O58" s="46">
        <f>IF(VLOOKUP($C58,REV!$C:$AA,13,0)-'TRADE IN'!$F67=0,"",(VLOOKUP($C58,REV!$C:$AA,13,0)-'TRADE IN'!$F58))</f>
        <v>3599</v>
      </c>
      <c r="P58" s="46">
        <f>IF(VLOOKUP($C58,REV!$C:$AA,14,0)-'TRADE IN'!$F67=0,"",(VLOOKUP($C58,REV!$C:$AA,14,0)-'TRADE IN'!$F58))</f>
        <v>3499</v>
      </c>
      <c r="Q58" s="46">
        <f>IF(VLOOKUP($C58,REV!$C:$AA,15,0)-'TRADE IN'!$F67=0,"",(VLOOKUP($C58,REV!$C:$AA,15,0)-'TRADE IN'!$F58))</f>
        <v>2999</v>
      </c>
      <c r="R58" s="46">
        <f>IF(VLOOKUP($C58,REV!$C:$AA,16,0)-'TRADE IN'!$F67=0,"",(VLOOKUP($C58,REV!$C:$AA,16,0)-'TRADE IN'!$F58))</f>
        <v>3599</v>
      </c>
      <c r="S58" s="46">
        <f>IF(VLOOKUP($C58,REV!$C:$AA,17,0)-'TRADE IN'!$F67=0,"",(VLOOKUP($C58,REV!$C:$AA,17,0)-'TRADE IN'!$F58))</f>
        <v>3499</v>
      </c>
      <c r="T58" s="46">
        <f>IF(VLOOKUP($C58,REV!$C:$AA,18,0)-'TRADE IN'!$F67=0,"",(VLOOKUP($C58,REV!$C:$AA,18,0)-'TRADE IN'!$F58))</f>
        <v>2999</v>
      </c>
      <c r="U58" s="46">
        <f>IF(VLOOKUP($C58,REV!$C:$AA,19,0)-'TRADE IN'!$F67=0,"",(VLOOKUP($C58,REV!$C:$AA,19,0)-'TRADE IN'!$F58))</f>
        <v>2999</v>
      </c>
      <c r="V58" s="46">
        <f>IF(VLOOKUP($C58,REV!$C:$AA,20,0)-'TRADE IN'!$F67=0,"",(VLOOKUP($C58,REV!$C:$AA,20,0)-'TRADE IN'!$F58))</f>
        <v>2999</v>
      </c>
      <c r="W58" s="46">
        <f>IF(VLOOKUP($C58,REV!$C:$AA,21,0)-'TRADE IN'!$F67=0,"",(VLOOKUP($C58,REV!$C:$AA,21,0)-'TRADE IN'!$F58))</f>
        <v>2999</v>
      </c>
      <c r="X58" s="46">
        <f>IF(VLOOKUP($C58,REV!$C:$AA,22,0)-'TRADE IN'!$F67=0,"",(VLOOKUP($C58,REV!$C:$AA,22,0)-'TRADE IN'!$F58))</f>
        <v>2799</v>
      </c>
      <c r="Y58" s="46">
        <f>IF(VLOOKUP($C58,REV!$C:$AA,23,0)-'TRADE IN'!$F67=0,"",(VLOOKUP($C58,REV!$C:$AA,23,0)-'TRADE IN'!$F58))</f>
        <v>2499</v>
      </c>
      <c r="Z58" s="46">
        <f>IF(VLOOKUP($C58,REV!$C:$AA,24,0)-'TRADE IN'!$F67=0,"",(VLOOKUP($C58,REV!$C:$AA,24,0)-'TRADE IN'!$F58))</f>
        <v>2499</v>
      </c>
      <c r="AA58" s="46">
        <f>IF(VLOOKUP($C58,REV!$C:$AA,25,0)-'TRADE IN'!$F67=0,"",(VLOOKUP($C58,REV!$C:$AA,25,0)-'TRADE IN'!$F58))</f>
        <v>2499</v>
      </c>
      <c r="AB58" s="46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tr">
        <f>IF(REV!AW58=0,"",REV!AW58)</f>
        <v>31.03.2026</v>
      </c>
      <c r="AX58" s="159" t="s">
        <v>82</v>
      </c>
    </row>
    <row r="59" spans="1:50" ht="22.5" customHeight="1">
      <c r="A59" s="52" t="s">
        <v>70</v>
      </c>
      <c r="B59" s="41" t="s">
        <v>62</v>
      </c>
      <c r="C59" s="42">
        <v>4014622</v>
      </c>
      <c r="D59" s="43" t="s">
        <v>114</v>
      </c>
      <c r="E59" s="43" t="s">
        <v>119</v>
      </c>
      <c r="F59" s="45"/>
      <c r="G59" s="45"/>
      <c r="H59" s="46"/>
      <c r="I59" s="46"/>
      <c r="J59" s="46">
        <f>IF(VLOOKUP($C59,REV!$C:$AA,8,0)-'TRADE IN'!$F59=0,"",(VLOOKUP($C59,REV!$C:$AA,8,0)-'TRADE IN'!$F59))</f>
        <v>3799</v>
      </c>
      <c r="K59" s="46">
        <f>IF(VLOOKUP($C59,REV!$C:$AA,9,0)-'TRADE IN'!$F59=0,"",(VLOOKUP($C59,REV!$C:$AA,9,0)-'TRADE IN'!$F59))</f>
        <v>3799</v>
      </c>
      <c r="L59" s="46">
        <f>IF(VLOOKUP($C59,REV!$C:$AA,10,0)-'TRADE IN'!$F68=0,"",(VLOOKUP($C59,REV!$C:$AA,10,0)-'TRADE IN'!$F59))</f>
        <v>3799</v>
      </c>
      <c r="M59" s="46">
        <f>IF(VLOOKUP($C59,REV!$C:$AA,11,0)-'TRADE IN'!$F68=0,"",(VLOOKUP($C59,REV!$C:$AA,11,0)-'TRADE IN'!$F59))</f>
        <v>3799</v>
      </c>
      <c r="N59" s="46">
        <f>IF(VLOOKUP($C59,REV!$C:$AA,12,0)-'TRADE IN'!$F68=0,"",(VLOOKUP($C59,REV!$C:$AA,12,0)-'TRADE IN'!$F59))</f>
        <v>3799</v>
      </c>
      <c r="O59" s="46">
        <f>IF(VLOOKUP($C59,REV!$C:$AA,13,0)-'TRADE IN'!$F68=0,"",(VLOOKUP($C59,REV!$C:$AA,13,0)-'TRADE IN'!$F59))</f>
        <v>3599</v>
      </c>
      <c r="P59" s="46">
        <f>IF(VLOOKUP($C59,REV!$C:$AA,14,0)-'TRADE IN'!$F68=0,"",(VLOOKUP($C59,REV!$C:$AA,14,0)-'TRADE IN'!$F59))</f>
        <v>3499</v>
      </c>
      <c r="Q59" s="46">
        <f>IF(VLOOKUP($C59,REV!$C:$AA,15,0)-'TRADE IN'!$F68=0,"",(VLOOKUP($C59,REV!$C:$AA,15,0)-'TRADE IN'!$F59))</f>
        <v>2999</v>
      </c>
      <c r="R59" s="46">
        <f>IF(VLOOKUP($C59,REV!$C:$AA,16,0)-'TRADE IN'!$F68=0,"",(VLOOKUP($C59,REV!$C:$AA,16,0)-'TRADE IN'!$F59))</f>
        <v>3599</v>
      </c>
      <c r="S59" s="46">
        <f>IF(VLOOKUP($C59,REV!$C:$AA,17,0)-'TRADE IN'!$F68=0,"",(VLOOKUP($C59,REV!$C:$AA,17,0)-'TRADE IN'!$F59))</f>
        <v>3499</v>
      </c>
      <c r="T59" s="46">
        <f>IF(VLOOKUP($C59,REV!$C:$AA,18,0)-'TRADE IN'!$F68=0,"",(VLOOKUP($C59,REV!$C:$AA,18,0)-'TRADE IN'!$F59))</f>
        <v>2999</v>
      </c>
      <c r="U59" s="46">
        <f>IF(VLOOKUP($C59,REV!$C:$AA,19,0)-'TRADE IN'!$F68=0,"",(VLOOKUP($C59,REV!$C:$AA,19,0)-'TRADE IN'!$F59))</f>
        <v>2999</v>
      </c>
      <c r="V59" s="46">
        <f>IF(VLOOKUP($C59,REV!$C:$AA,20,0)-'TRADE IN'!$F68=0,"",(VLOOKUP($C59,REV!$C:$AA,20,0)-'TRADE IN'!$F59))</f>
        <v>2999</v>
      </c>
      <c r="W59" s="46">
        <f>IF(VLOOKUP($C59,REV!$C:$AA,21,0)-'TRADE IN'!$F68=0,"",(VLOOKUP($C59,REV!$C:$AA,21,0)-'TRADE IN'!$F59))</f>
        <v>2999</v>
      </c>
      <c r="X59" s="46">
        <f>IF(VLOOKUP($C59,REV!$C:$AA,22,0)-'TRADE IN'!$F68=0,"",(VLOOKUP($C59,REV!$C:$AA,22,0)-'TRADE IN'!$F59))</f>
        <v>2799</v>
      </c>
      <c r="Y59" s="46">
        <f>IF(VLOOKUP($C59,REV!$C:$AA,23,0)-'TRADE IN'!$F68=0,"",(VLOOKUP($C59,REV!$C:$AA,23,0)-'TRADE IN'!$F59))</f>
        <v>2499</v>
      </c>
      <c r="Z59" s="46">
        <f>IF(VLOOKUP($C59,REV!$C:$AA,24,0)-'TRADE IN'!$F68=0,"",(VLOOKUP($C59,REV!$C:$AA,24,0)-'TRADE IN'!$F59))</f>
        <v>2499</v>
      </c>
      <c r="AA59" s="46">
        <f>IF(VLOOKUP($C59,REV!$C:$AA,25,0)-'TRADE IN'!$F68=0,"",(VLOOKUP($C59,REV!$C:$AA,25,0)-'TRADE IN'!$F59))</f>
        <v>2499</v>
      </c>
      <c r="AB59" s="46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tr">
        <f>IF(REV!AW59=0,"",REV!AW59)</f>
        <v>31.03.2026</v>
      </c>
      <c r="AX59" s="159" t="s">
        <v>82</v>
      </c>
    </row>
    <row r="60" spans="1:50" ht="22.5" customHeight="1">
      <c r="A60" s="52" t="s">
        <v>70</v>
      </c>
      <c r="B60" s="41" t="s">
        <v>62</v>
      </c>
      <c r="C60" s="42">
        <v>4014837</v>
      </c>
      <c r="D60" s="43" t="s">
        <v>114</v>
      </c>
      <c r="E60" s="43" t="s">
        <v>120</v>
      </c>
      <c r="F60" s="45"/>
      <c r="G60" s="45"/>
      <c r="H60" s="46"/>
      <c r="I60" s="46"/>
      <c r="J60" s="46">
        <f>IF(VLOOKUP($C60,REV!$C:$AA,8,0)-'TRADE IN'!$F60=0,"",(VLOOKUP($C60,REV!$C:$AA,8,0)-'TRADE IN'!$F60))</f>
        <v>3799</v>
      </c>
      <c r="K60" s="46">
        <f>IF(VLOOKUP($C60,REV!$C:$AA,9,0)-'TRADE IN'!$F60=0,"",(VLOOKUP($C60,REV!$C:$AA,9,0)-'TRADE IN'!$F60))</f>
        <v>3799</v>
      </c>
      <c r="L60" s="46">
        <f>IF(VLOOKUP($C60,REV!$C:$AA,10,0)-'TRADE IN'!$F69=0,"",(VLOOKUP($C60,REV!$C:$AA,10,0)-'TRADE IN'!$F60))</f>
        <v>3799</v>
      </c>
      <c r="M60" s="46">
        <f>IF(VLOOKUP($C60,REV!$C:$AA,11,0)-'TRADE IN'!$F69=0,"",(VLOOKUP($C60,REV!$C:$AA,11,0)-'TRADE IN'!$F60))</f>
        <v>3799</v>
      </c>
      <c r="N60" s="46">
        <f>IF(VLOOKUP($C60,REV!$C:$AA,12,0)-'TRADE IN'!$F69=0,"",(VLOOKUP($C60,REV!$C:$AA,12,0)-'TRADE IN'!$F60))</f>
        <v>3799</v>
      </c>
      <c r="O60" s="46">
        <f>IF(VLOOKUP($C60,REV!$C:$AA,13,0)-'TRADE IN'!$F69=0,"",(VLOOKUP($C60,REV!$C:$AA,13,0)-'TRADE IN'!$F60))</f>
        <v>3599</v>
      </c>
      <c r="P60" s="46">
        <f>IF(VLOOKUP($C60,REV!$C:$AA,14,0)-'TRADE IN'!$F69=0,"",(VLOOKUP($C60,REV!$C:$AA,14,0)-'TRADE IN'!$F60))</f>
        <v>3499</v>
      </c>
      <c r="Q60" s="46">
        <f>IF(VLOOKUP($C60,REV!$C:$AA,15,0)-'TRADE IN'!$F69=0,"",(VLOOKUP($C60,REV!$C:$AA,15,0)-'TRADE IN'!$F60))</f>
        <v>2999</v>
      </c>
      <c r="R60" s="46">
        <f>IF(VLOOKUP($C60,REV!$C:$AA,16,0)-'TRADE IN'!$F69=0,"",(VLOOKUP($C60,REV!$C:$AA,16,0)-'TRADE IN'!$F60))</f>
        <v>3599</v>
      </c>
      <c r="S60" s="46">
        <f>IF(VLOOKUP($C60,REV!$C:$AA,17,0)-'TRADE IN'!$F69=0,"",(VLOOKUP($C60,REV!$C:$AA,17,0)-'TRADE IN'!$F60))</f>
        <v>3499</v>
      </c>
      <c r="T60" s="46">
        <f>IF(VLOOKUP($C60,REV!$C:$AA,18,0)-'TRADE IN'!$F69=0,"",(VLOOKUP($C60,REV!$C:$AA,18,0)-'TRADE IN'!$F60))</f>
        <v>2999</v>
      </c>
      <c r="U60" s="46">
        <f>IF(VLOOKUP($C60,REV!$C:$AA,19,0)-'TRADE IN'!$F69=0,"",(VLOOKUP($C60,REV!$C:$AA,19,0)-'TRADE IN'!$F60))</f>
        <v>2999</v>
      </c>
      <c r="V60" s="46">
        <f>IF(VLOOKUP($C60,REV!$C:$AA,20,0)-'TRADE IN'!$F69=0,"",(VLOOKUP($C60,REV!$C:$AA,20,0)-'TRADE IN'!$F60))</f>
        <v>2999</v>
      </c>
      <c r="W60" s="46">
        <f>IF(VLOOKUP($C60,REV!$C:$AA,21,0)-'TRADE IN'!$F69=0,"",(VLOOKUP($C60,REV!$C:$AA,21,0)-'TRADE IN'!$F60))</f>
        <v>2999</v>
      </c>
      <c r="X60" s="46">
        <f>IF(VLOOKUP($C60,REV!$C:$AA,22,0)-'TRADE IN'!$F69=0,"",(VLOOKUP($C60,REV!$C:$AA,22,0)-'TRADE IN'!$F60))</f>
        <v>2799</v>
      </c>
      <c r="Y60" s="46">
        <f>IF(VLOOKUP($C60,REV!$C:$AA,23,0)-'TRADE IN'!$F69=0,"",(VLOOKUP($C60,REV!$C:$AA,23,0)-'TRADE IN'!$F60))</f>
        <v>2499</v>
      </c>
      <c r="Z60" s="46">
        <f>IF(VLOOKUP($C60,REV!$C:$AA,24,0)-'TRADE IN'!$F69=0,"",(VLOOKUP($C60,REV!$C:$AA,24,0)-'TRADE IN'!$F60))</f>
        <v>2499</v>
      </c>
      <c r="AA60" s="46">
        <f>IF(VLOOKUP($C60,REV!$C:$AA,25,0)-'TRADE IN'!$F69=0,"",(VLOOKUP($C60,REV!$C:$AA,25,0)-'TRADE IN'!$F60))</f>
        <v>2499</v>
      </c>
      <c r="AB60" s="46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tr">
        <f>IF(REV!AW60=0,"",REV!AW60)</f>
        <v>31.03.2026</v>
      </c>
      <c r="AX60" s="159" t="s">
        <v>82</v>
      </c>
    </row>
    <row r="61" spans="1:50" ht="22.5" customHeight="1">
      <c r="A61" s="52" t="s">
        <v>70</v>
      </c>
      <c r="B61" s="41" t="s">
        <v>62</v>
      </c>
      <c r="C61" s="42">
        <v>4014834</v>
      </c>
      <c r="D61" s="43" t="s">
        <v>114</v>
      </c>
      <c r="E61" s="43" t="s">
        <v>121</v>
      </c>
      <c r="F61" s="45"/>
      <c r="G61" s="45"/>
      <c r="H61" s="46"/>
      <c r="I61" s="46"/>
      <c r="J61" s="46">
        <f>IF(VLOOKUP($C61,REV!$C:$AA,8,0)-'TRADE IN'!$F61=0,"",(VLOOKUP($C61,REV!$C:$AA,8,0)-'TRADE IN'!$F61))</f>
        <v>3799</v>
      </c>
      <c r="K61" s="46">
        <f>IF(VLOOKUP($C61,REV!$C:$AA,9,0)-'TRADE IN'!$F61=0,"",(VLOOKUP($C61,REV!$C:$AA,9,0)-'TRADE IN'!$F61))</f>
        <v>3799</v>
      </c>
      <c r="L61" s="46">
        <f>IF(VLOOKUP($C61,REV!$C:$AA,10,0)-'TRADE IN'!$F70=0,"",(VLOOKUP($C61,REV!$C:$AA,10,0)-'TRADE IN'!$F61))</f>
        <v>3799</v>
      </c>
      <c r="M61" s="46">
        <f>IF(VLOOKUP($C61,REV!$C:$AA,11,0)-'TRADE IN'!$F70=0,"",(VLOOKUP($C61,REV!$C:$AA,11,0)-'TRADE IN'!$F61))</f>
        <v>3799</v>
      </c>
      <c r="N61" s="46">
        <f>IF(VLOOKUP($C61,REV!$C:$AA,12,0)-'TRADE IN'!$F70=0,"",(VLOOKUP($C61,REV!$C:$AA,12,0)-'TRADE IN'!$F61))</f>
        <v>3799</v>
      </c>
      <c r="O61" s="46">
        <f>IF(VLOOKUP($C61,REV!$C:$AA,13,0)-'TRADE IN'!$F70=0,"",(VLOOKUP($C61,REV!$C:$AA,13,0)-'TRADE IN'!$F61))</f>
        <v>3599</v>
      </c>
      <c r="P61" s="46">
        <f>IF(VLOOKUP($C61,REV!$C:$AA,14,0)-'TRADE IN'!$F70=0,"",(VLOOKUP($C61,REV!$C:$AA,14,0)-'TRADE IN'!$F61))</f>
        <v>3499</v>
      </c>
      <c r="Q61" s="46">
        <f>IF(VLOOKUP($C61,REV!$C:$AA,15,0)-'TRADE IN'!$F70=0,"",(VLOOKUP($C61,REV!$C:$AA,15,0)-'TRADE IN'!$F61))</f>
        <v>2999</v>
      </c>
      <c r="R61" s="46">
        <f>IF(VLOOKUP($C61,REV!$C:$AA,16,0)-'TRADE IN'!$F70=0,"",(VLOOKUP($C61,REV!$C:$AA,16,0)-'TRADE IN'!$F61))</f>
        <v>3599</v>
      </c>
      <c r="S61" s="46">
        <f>IF(VLOOKUP($C61,REV!$C:$AA,17,0)-'TRADE IN'!$F70=0,"",(VLOOKUP($C61,REV!$C:$AA,17,0)-'TRADE IN'!$F61))</f>
        <v>3499</v>
      </c>
      <c r="T61" s="46">
        <f>IF(VLOOKUP($C61,REV!$C:$AA,18,0)-'TRADE IN'!$F70=0,"",(VLOOKUP($C61,REV!$C:$AA,18,0)-'TRADE IN'!$F61))</f>
        <v>2999</v>
      </c>
      <c r="U61" s="46">
        <f>IF(VLOOKUP($C61,REV!$C:$AA,19,0)-'TRADE IN'!$F70=0,"",(VLOOKUP($C61,REV!$C:$AA,19,0)-'TRADE IN'!$F61))</f>
        <v>2999</v>
      </c>
      <c r="V61" s="46">
        <f>IF(VLOOKUP($C61,REV!$C:$AA,20,0)-'TRADE IN'!$F70=0,"",(VLOOKUP($C61,REV!$C:$AA,20,0)-'TRADE IN'!$F61))</f>
        <v>2999</v>
      </c>
      <c r="W61" s="46">
        <f>IF(VLOOKUP($C61,REV!$C:$AA,21,0)-'TRADE IN'!$F70=0,"",(VLOOKUP($C61,REV!$C:$AA,21,0)-'TRADE IN'!$F61))</f>
        <v>2999</v>
      </c>
      <c r="X61" s="46">
        <f>IF(VLOOKUP($C61,REV!$C:$AA,22,0)-'TRADE IN'!$F70=0,"",(VLOOKUP($C61,REV!$C:$AA,22,0)-'TRADE IN'!$F61))</f>
        <v>2799</v>
      </c>
      <c r="Y61" s="46">
        <f>IF(VLOOKUP($C61,REV!$C:$AA,23,0)-'TRADE IN'!$F70=0,"",(VLOOKUP($C61,REV!$C:$AA,23,0)-'TRADE IN'!$F61))</f>
        <v>2499</v>
      </c>
      <c r="Z61" s="46">
        <f>IF(VLOOKUP($C61,REV!$C:$AA,24,0)-'TRADE IN'!$F70=0,"",(VLOOKUP($C61,REV!$C:$AA,24,0)-'TRADE IN'!$F61))</f>
        <v>2499</v>
      </c>
      <c r="AA61" s="46">
        <f>IF(VLOOKUP($C61,REV!$C:$AA,25,0)-'TRADE IN'!$F70=0,"",(VLOOKUP($C61,REV!$C:$AA,25,0)-'TRADE IN'!$F61))</f>
        <v>2499</v>
      </c>
      <c r="AB61" s="46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tr">
        <f>IF(REV!AW61=0,"",REV!AW61)</f>
        <v>31.03.2026</v>
      </c>
      <c r="AX61" s="159" t="s">
        <v>82</v>
      </c>
    </row>
    <row r="62" spans="1:50" ht="22.5" customHeight="1">
      <c r="A62" s="52" t="s">
        <v>70</v>
      </c>
      <c r="B62" s="41" t="s">
        <v>62</v>
      </c>
      <c r="C62" s="42">
        <v>4014833</v>
      </c>
      <c r="D62" s="43" t="s">
        <v>114</v>
      </c>
      <c r="E62" s="43" t="s">
        <v>122</v>
      </c>
      <c r="F62" s="45"/>
      <c r="G62" s="45"/>
      <c r="H62" s="46"/>
      <c r="I62" s="46"/>
      <c r="J62" s="46">
        <f>IF(VLOOKUP($C62,REV!$C:$AA,8,0)-'TRADE IN'!$F62=0,"",(VLOOKUP($C62,REV!$C:$AA,8,0)-'TRADE IN'!$F62))</f>
        <v>3799</v>
      </c>
      <c r="K62" s="46">
        <f>IF(VLOOKUP($C62,REV!$C:$AA,9,0)-'TRADE IN'!$F62=0,"",(VLOOKUP($C62,REV!$C:$AA,9,0)-'TRADE IN'!$F62))</f>
        <v>3799</v>
      </c>
      <c r="L62" s="46">
        <f>IF(VLOOKUP($C62,REV!$C:$AA,10,0)-'TRADE IN'!$F71=0,"",(VLOOKUP($C62,REV!$C:$AA,10,0)-'TRADE IN'!$F62))</f>
        <v>3799</v>
      </c>
      <c r="M62" s="46">
        <f>IF(VLOOKUP($C62,REV!$C:$AA,11,0)-'TRADE IN'!$F71=0,"",(VLOOKUP($C62,REV!$C:$AA,11,0)-'TRADE IN'!$F62))</f>
        <v>3799</v>
      </c>
      <c r="N62" s="46">
        <f>IF(VLOOKUP($C62,REV!$C:$AA,12,0)-'TRADE IN'!$F71=0,"",(VLOOKUP($C62,REV!$C:$AA,12,0)-'TRADE IN'!$F62))</f>
        <v>3799</v>
      </c>
      <c r="O62" s="46">
        <f>IF(VLOOKUP($C62,REV!$C:$AA,13,0)-'TRADE IN'!$F71=0,"",(VLOOKUP($C62,REV!$C:$AA,13,0)-'TRADE IN'!$F62))</f>
        <v>3599</v>
      </c>
      <c r="P62" s="46">
        <f>IF(VLOOKUP($C62,REV!$C:$AA,14,0)-'TRADE IN'!$F71=0,"",(VLOOKUP($C62,REV!$C:$AA,14,0)-'TRADE IN'!$F62))</f>
        <v>3499</v>
      </c>
      <c r="Q62" s="46">
        <f>IF(VLOOKUP($C62,REV!$C:$AA,15,0)-'TRADE IN'!$F71=0,"",(VLOOKUP($C62,REV!$C:$AA,15,0)-'TRADE IN'!$F62))</f>
        <v>2999</v>
      </c>
      <c r="R62" s="46">
        <f>IF(VLOOKUP($C62,REV!$C:$AA,16,0)-'TRADE IN'!$F71=0,"",(VLOOKUP($C62,REV!$C:$AA,16,0)-'TRADE IN'!$F62))</f>
        <v>3599</v>
      </c>
      <c r="S62" s="46">
        <f>IF(VLOOKUP($C62,REV!$C:$AA,17,0)-'TRADE IN'!$F71=0,"",(VLOOKUP($C62,REV!$C:$AA,17,0)-'TRADE IN'!$F62))</f>
        <v>3499</v>
      </c>
      <c r="T62" s="46">
        <f>IF(VLOOKUP($C62,REV!$C:$AA,18,0)-'TRADE IN'!$F71=0,"",(VLOOKUP($C62,REV!$C:$AA,18,0)-'TRADE IN'!$F62))</f>
        <v>2999</v>
      </c>
      <c r="U62" s="46">
        <f>IF(VLOOKUP($C62,REV!$C:$AA,19,0)-'TRADE IN'!$F71=0,"",(VLOOKUP($C62,REV!$C:$AA,19,0)-'TRADE IN'!$F62))</f>
        <v>2999</v>
      </c>
      <c r="V62" s="46">
        <f>IF(VLOOKUP($C62,REV!$C:$AA,20,0)-'TRADE IN'!$F71=0,"",(VLOOKUP($C62,REV!$C:$AA,20,0)-'TRADE IN'!$F62))</f>
        <v>2999</v>
      </c>
      <c r="W62" s="46">
        <f>IF(VLOOKUP($C62,REV!$C:$AA,21,0)-'TRADE IN'!$F71=0,"",(VLOOKUP($C62,REV!$C:$AA,21,0)-'TRADE IN'!$F62))</f>
        <v>2999</v>
      </c>
      <c r="X62" s="46">
        <f>IF(VLOOKUP($C62,REV!$C:$AA,22,0)-'TRADE IN'!$F71=0,"",(VLOOKUP($C62,REV!$C:$AA,22,0)-'TRADE IN'!$F62))</f>
        <v>2799</v>
      </c>
      <c r="Y62" s="46">
        <f>IF(VLOOKUP($C62,REV!$C:$AA,23,0)-'TRADE IN'!$F71=0,"",(VLOOKUP($C62,REV!$C:$AA,23,0)-'TRADE IN'!$F62))</f>
        <v>2499</v>
      </c>
      <c r="Z62" s="46">
        <f>IF(VLOOKUP($C62,REV!$C:$AA,24,0)-'TRADE IN'!$F71=0,"",(VLOOKUP($C62,REV!$C:$AA,24,0)-'TRADE IN'!$F62))</f>
        <v>2499</v>
      </c>
      <c r="AA62" s="46">
        <f>IF(VLOOKUP($C62,REV!$C:$AA,25,0)-'TRADE IN'!$F71=0,"",(VLOOKUP($C62,REV!$C:$AA,25,0)-'TRADE IN'!$F62))</f>
        <v>2499</v>
      </c>
      <c r="AB62" s="46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tr">
        <f>IF(REV!AW62=0,"",REV!AW62)</f>
        <v>31.03.2026</v>
      </c>
      <c r="AX62" s="159" t="s">
        <v>82</v>
      </c>
    </row>
    <row r="63" spans="1:50" ht="22.5" customHeight="1">
      <c r="A63" s="52" t="s">
        <v>70</v>
      </c>
      <c r="B63" s="41" t="s">
        <v>62</v>
      </c>
      <c r="C63" s="42">
        <v>4014835</v>
      </c>
      <c r="D63" s="43" t="s">
        <v>114</v>
      </c>
      <c r="E63" s="43" t="s">
        <v>123</v>
      </c>
      <c r="F63" s="45"/>
      <c r="G63" s="45"/>
      <c r="H63" s="46"/>
      <c r="I63" s="46"/>
      <c r="J63" s="46">
        <f>IF(VLOOKUP($C63,REV!$C:$AA,8,0)-'TRADE IN'!$F63=0,"",(VLOOKUP($C63,REV!$C:$AA,8,0)-'TRADE IN'!$F63))</f>
        <v>3799</v>
      </c>
      <c r="K63" s="46">
        <f>IF(VLOOKUP($C63,REV!$C:$AA,9,0)-'TRADE IN'!$F63=0,"",(VLOOKUP($C63,REV!$C:$AA,9,0)-'TRADE IN'!$F63))</f>
        <v>3799</v>
      </c>
      <c r="L63" s="46">
        <f>IF(VLOOKUP($C63,REV!$C:$AA,10,0)-'TRADE IN'!$F72=0,"",(VLOOKUP($C63,REV!$C:$AA,10,0)-'TRADE IN'!$F63))</f>
        <v>3799</v>
      </c>
      <c r="M63" s="46">
        <f>IF(VLOOKUP($C63,REV!$C:$AA,11,0)-'TRADE IN'!$F72=0,"",(VLOOKUP($C63,REV!$C:$AA,11,0)-'TRADE IN'!$F63))</f>
        <v>3799</v>
      </c>
      <c r="N63" s="46">
        <f>IF(VLOOKUP($C63,REV!$C:$AA,12,0)-'TRADE IN'!$F72=0,"",(VLOOKUP($C63,REV!$C:$AA,12,0)-'TRADE IN'!$F63))</f>
        <v>3799</v>
      </c>
      <c r="O63" s="46">
        <f>IF(VLOOKUP($C63,REV!$C:$AA,13,0)-'TRADE IN'!$F72=0,"",(VLOOKUP($C63,REV!$C:$AA,13,0)-'TRADE IN'!$F63))</f>
        <v>3599</v>
      </c>
      <c r="P63" s="46">
        <f>IF(VLOOKUP($C63,REV!$C:$AA,14,0)-'TRADE IN'!$F72=0,"",(VLOOKUP($C63,REV!$C:$AA,14,0)-'TRADE IN'!$F63))</f>
        <v>3499</v>
      </c>
      <c r="Q63" s="46">
        <f>IF(VLOOKUP($C63,REV!$C:$AA,15,0)-'TRADE IN'!$F72=0,"",(VLOOKUP($C63,REV!$C:$AA,15,0)-'TRADE IN'!$F63))</f>
        <v>2999</v>
      </c>
      <c r="R63" s="46">
        <f>IF(VLOOKUP($C63,REV!$C:$AA,16,0)-'TRADE IN'!$F72=0,"",(VLOOKUP($C63,REV!$C:$AA,16,0)-'TRADE IN'!$F63))</f>
        <v>3599</v>
      </c>
      <c r="S63" s="46">
        <f>IF(VLOOKUP($C63,REV!$C:$AA,17,0)-'TRADE IN'!$F72=0,"",(VLOOKUP($C63,REV!$C:$AA,17,0)-'TRADE IN'!$F63))</f>
        <v>3499</v>
      </c>
      <c r="T63" s="46">
        <f>IF(VLOOKUP($C63,REV!$C:$AA,18,0)-'TRADE IN'!$F72=0,"",(VLOOKUP($C63,REV!$C:$AA,18,0)-'TRADE IN'!$F63))</f>
        <v>2999</v>
      </c>
      <c r="U63" s="46">
        <f>IF(VLOOKUP($C63,REV!$C:$AA,19,0)-'TRADE IN'!$F72=0,"",(VLOOKUP($C63,REV!$C:$AA,19,0)-'TRADE IN'!$F63))</f>
        <v>2999</v>
      </c>
      <c r="V63" s="46">
        <f>IF(VLOOKUP($C63,REV!$C:$AA,20,0)-'TRADE IN'!$F72=0,"",(VLOOKUP($C63,REV!$C:$AA,20,0)-'TRADE IN'!$F63))</f>
        <v>2999</v>
      </c>
      <c r="W63" s="46">
        <f>IF(VLOOKUP($C63,REV!$C:$AA,21,0)-'TRADE IN'!$F72=0,"",(VLOOKUP($C63,REV!$C:$AA,21,0)-'TRADE IN'!$F63))</f>
        <v>2999</v>
      </c>
      <c r="X63" s="46">
        <f>IF(VLOOKUP($C63,REV!$C:$AA,22,0)-'TRADE IN'!$F72=0,"",(VLOOKUP($C63,REV!$C:$AA,22,0)-'TRADE IN'!$F63))</f>
        <v>2799</v>
      </c>
      <c r="Y63" s="46">
        <f>IF(VLOOKUP($C63,REV!$C:$AA,23,0)-'TRADE IN'!$F72=0,"",(VLOOKUP($C63,REV!$C:$AA,23,0)-'TRADE IN'!$F63))</f>
        <v>2499</v>
      </c>
      <c r="Z63" s="46">
        <f>IF(VLOOKUP($C63,REV!$C:$AA,24,0)-'TRADE IN'!$F72=0,"",(VLOOKUP($C63,REV!$C:$AA,24,0)-'TRADE IN'!$F63))</f>
        <v>2499</v>
      </c>
      <c r="AA63" s="46">
        <f>IF(VLOOKUP($C63,REV!$C:$AA,25,0)-'TRADE IN'!$F72=0,"",(VLOOKUP($C63,REV!$C:$AA,25,0)-'TRADE IN'!$F63))</f>
        <v>2499</v>
      </c>
      <c r="AB63" s="46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tr">
        <f>IF(REV!AW63=0,"",REV!AW63)</f>
        <v>31.03.2026</v>
      </c>
      <c r="AX63" s="159" t="s">
        <v>82</v>
      </c>
    </row>
    <row r="64" spans="1:50" ht="22.5" customHeight="1">
      <c r="A64" s="52" t="s">
        <v>70</v>
      </c>
      <c r="B64" s="41" t="s">
        <v>62</v>
      </c>
      <c r="C64" s="42">
        <v>4014836</v>
      </c>
      <c r="D64" s="43" t="s">
        <v>114</v>
      </c>
      <c r="E64" s="43" t="s">
        <v>124</v>
      </c>
      <c r="F64" s="45"/>
      <c r="G64" s="45"/>
      <c r="H64" s="46"/>
      <c r="I64" s="46"/>
      <c r="J64" s="46">
        <f>IF(VLOOKUP($C64,REV!$C:$AA,8,0)-'TRADE IN'!$F64=0,"",(VLOOKUP($C64,REV!$C:$AA,8,0)-'TRADE IN'!$F64))</f>
        <v>3799</v>
      </c>
      <c r="K64" s="46">
        <f>IF(VLOOKUP($C64,REV!$C:$AA,9,0)-'TRADE IN'!$F64=0,"",(VLOOKUP($C64,REV!$C:$AA,9,0)-'TRADE IN'!$F64))</f>
        <v>3799</v>
      </c>
      <c r="L64" s="46">
        <f>IF(VLOOKUP($C64,REV!$C:$AA,10,0)-'TRADE IN'!$F73=0,"",(VLOOKUP($C64,REV!$C:$AA,10,0)-'TRADE IN'!$F64))</f>
        <v>3799</v>
      </c>
      <c r="M64" s="46">
        <f>IF(VLOOKUP($C64,REV!$C:$AA,11,0)-'TRADE IN'!$F73=0,"",(VLOOKUP($C64,REV!$C:$AA,11,0)-'TRADE IN'!$F64))</f>
        <v>3799</v>
      </c>
      <c r="N64" s="46">
        <f>IF(VLOOKUP($C64,REV!$C:$AA,12,0)-'TRADE IN'!$F73=0,"",(VLOOKUP($C64,REV!$C:$AA,12,0)-'TRADE IN'!$F64))</f>
        <v>3799</v>
      </c>
      <c r="O64" s="46">
        <f>IF(VLOOKUP($C64,REV!$C:$AA,13,0)-'TRADE IN'!$F73=0,"",(VLOOKUP($C64,REV!$C:$AA,13,0)-'TRADE IN'!$F64))</f>
        <v>3599</v>
      </c>
      <c r="P64" s="46">
        <f>IF(VLOOKUP($C64,REV!$C:$AA,14,0)-'TRADE IN'!$F73=0,"",(VLOOKUP($C64,REV!$C:$AA,14,0)-'TRADE IN'!$F64))</f>
        <v>3499</v>
      </c>
      <c r="Q64" s="46">
        <f>IF(VLOOKUP($C64,REV!$C:$AA,15,0)-'TRADE IN'!$F73=0,"",(VLOOKUP($C64,REV!$C:$AA,15,0)-'TRADE IN'!$F64))</f>
        <v>2999</v>
      </c>
      <c r="R64" s="46">
        <f>IF(VLOOKUP($C64,REV!$C:$AA,16,0)-'TRADE IN'!$F73=0,"",(VLOOKUP($C64,REV!$C:$AA,16,0)-'TRADE IN'!$F64))</f>
        <v>3599</v>
      </c>
      <c r="S64" s="46">
        <f>IF(VLOOKUP($C64,REV!$C:$AA,17,0)-'TRADE IN'!$F73=0,"",(VLOOKUP($C64,REV!$C:$AA,17,0)-'TRADE IN'!$F64))</f>
        <v>3499</v>
      </c>
      <c r="T64" s="46">
        <f>IF(VLOOKUP($C64,REV!$C:$AA,18,0)-'TRADE IN'!$F73=0,"",(VLOOKUP($C64,REV!$C:$AA,18,0)-'TRADE IN'!$F64))</f>
        <v>2999</v>
      </c>
      <c r="U64" s="46">
        <f>IF(VLOOKUP($C64,REV!$C:$AA,19,0)-'TRADE IN'!$F73=0,"",(VLOOKUP($C64,REV!$C:$AA,19,0)-'TRADE IN'!$F64))</f>
        <v>2999</v>
      </c>
      <c r="V64" s="46">
        <f>IF(VLOOKUP($C64,REV!$C:$AA,20,0)-'TRADE IN'!$F73=0,"",(VLOOKUP($C64,REV!$C:$AA,20,0)-'TRADE IN'!$F64))</f>
        <v>2999</v>
      </c>
      <c r="W64" s="46">
        <f>IF(VLOOKUP($C64,REV!$C:$AA,21,0)-'TRADE IN'!$F73=0,"",(VLOOKUP($C64,REV!$C:$AA,21,0)-'TRADE IN'!$F64))</f>
        <v>2999</v>
      </c>
      <c r="X64" s="46">
        <f>IF(VLOOKUP($C64,REV!$C:$AA,22,0)-'TRADE IN'!$F73=0,"",(VLOOKUP($C64,REV!$C:$AA,22,0)-'TRADE IN'!$F64))</f>
        <v>2799</v>
      </c>
      <c r="Y64" s="46">
        <f>IF(VLOOKUP($C64,REV!$C:$AA,23,0)-'TRADE IN'!$F73=0,"",(VLOOKUP($C64,REV!$C:$AA,23,0)-'TRADE IN'!$F64))</f>
        <v>2499</v>
      </c>
      <c r="Z64" s="46">
        <f>IF(VLOOKUP($C64,REV!$C:$AA,24,0)-'TRADE IN'!$F73=0,"",(VLOOKUP($C64,REV!$C:$AA,24,0)-'TRADE IN'!$F64))</f>
        <v>2499</v>
      </c>
      <c r="AA64" s="46">
        <f>IF(VLOOKUP($C64,REV!$C:$AA,25,0)-'TRADE IN'!$F73=0,"",(VLOOKUP($C64,REV!$C:$AA,25,0)-'TRADE IN'!$F64))</f>
        <v>2499</v>
      </c>
      <c r="AB64" s="46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tr">
        <f>IF(REV!AW64=0,"",REV!AW64)</f>
        <v>31.03.2026</v>
      </c>
      <c r="AX64" s="159" t="s">
        <v>82</v>
      </c>
    </row>
    <row r="65" spans="1:50" ht="22.5" customHeight="1">
      <c r="A65" s="52" t="s">
        <v>70</v>
      </c>
      <c r="B65" s="41" t="s">
        <v>62</v>
      </c>
      <c r="C65" s="42">
        <v>4014981</v>
      </c>
      <c r="D65" s="43" t="s">
        <v>114</v>
      </c>
      <c r="E65" s="43" t="s">
        <v>125</v>
      </c>
      <c r="F65" s="45"/>
      <c r="G65" s="45"/>
      <c r="H65" s="46"/>
      <c r="I65" s="46"/>
      <c r="J65" s="46">
        <f>IF(VLOOKUP($C65,REV!$C:$AA,8,0)-'TRADE IN'!$F65=0,"",(VLOOKUP($C65,REV!$C:$AA,8,0)-'TRADE IN'!$F65))</f>
        <v>3799</v>
      </c>
      <c r="K65" s="46">
        <f>IF(VLOOKUP($C65,REV!$C:$AA,9,0)-'TRADE IN'!$F65=0,"",(VLOOKUP($C65,REV!$C:$AA,9,0)-'TRADE IN'!$F65))</f>
        <v>3799</v>
      </c>
      <c r="L65" s="46">
        <f>IF(VLOOKUP($C65,REV!$C:$AA,10,0)-'TRADE IN'!$F74=0,"",(VLOOKUP($C65,REV!$C:$AA,10,0)-'TRADE IN'!$F65))</f>
        <v>3799</v>
      </c>
      <c r="M65" s="46">
        <f>IF(VLOOKUP($C65,REV!$C:$AA,11,0)-'TRADE IN'!$F74=0,"",(VLOOKUP($C65,REV!$C:$AA,11,0)-'TRADE IN'!$F65))</f>
        <v>3799</v>
      </c>
      <c r="N65" s="46">
        <f>IF(VLOOKUP($C65,REV!$C:$AA,12,0)-'TRADE IN'!$F74=0,"",(VLOOKUP($C65,REV!$C:$AA,12,0)-'TRADE IN'!$F65))</f>
        <v>3799</v>
      </c>
      <c r="O65" s="46">
        <f>IF(VLOOKUP($C65,REV!$C:$AA,13,0)-'TRADE IN'!$F74=0,"",(VLOOKUP($C65,REV!$C:$AA,13,0)-'TRADE IN'!$F65))</f>
        <v>3599</v>
      </c>
      <c r="P65" s="46">
        <f>IF(VLOOKUP($C65,REV!$C:$AA,14,0)-'TRADE IN'!$F74=0,"",(VLOOKUP($C65,REV!$C:$AA,14,0)-'TRADE IN'!$F65))</f>
        <v>3499</v>
      </c>
      <c r="Q65" s="46">
        <f>IF(VLOOKUP($C65,REV!$C:$AA,15,0)-'TRADE IN'!$F74=0,"",(VLOOKUP($C65,REV!$C:$AA,15,0)-'TRADE IN'!$F65))</f>
        <v>2999</v>
      </c>
      <c r="R65" s="46">
        <f>IF(VLOOKUP($C65,REV!$C:$AA,16,0)-'TRADE IN'!$F74=0,"",(VLOOKUP($C65,REV!$C:$AA,16,0)-'TRADE IN'!$F65))</f>
        <v>3599</v>
      </c>
      <c r="S65" s="46">
        <f>IF(VLOOKUP($C65,REV!$C:$AA,17,0)-'TRADE IN'!$F74=0,"",(VLOOKUP($C65,REV!$C:$AA,17,0)-'TRADE IN'!$F65))</f>
        <v>3499</v>
      </c>
      <c r="T65" s="46">
        <f>IF(VLOOKUP($C65,REV!$C:$AA,18,0)-'TRADE IN'!$F74=0,"",(VLOOKUP($C65,REV!$C:$AA,18,0)-'TRADE IN'!$F65))</f>
        <v>2999</v>
      </c>
      <c r="U65" s="46">
        <f>IF(VLOOKUP($C65,REV!$C:$AA,19,0)-'TRADE IN'!$F74=0,"",(VLOOKUP($C65,REV!$C:$AA,19,0)-'TRADE IN'!$F65))</f>
        <v>2999</v>
      </c>
      <c r="V65" s="46">
        <f>IF(VLOOKUP($C65,REV!$C:$AA,20,0)-'TRADE IN'!$F74=0,"",(VLOOKUP($C65,REV!$C:$AA,20,0)-'TRADE IN'!$F65))</f>
        <v>2999</v>
      </c>
      <c r="W65" s="46">
        <f>IF(VLOOKUP($C65,REV!$C:$AA,21,0)-'TRADE IN'!$F74=0,"",(VLOOKUP($C65,REV!$C:$AA,21,0)-'TRADE IN'!$F65))</f>
        <v>2999</v>
      </c>
      <c r="X65" s="46">
        <f>IF(VLOOKUP($C65,REV!$C:$AA,22,0)-'TRADE IN'!$F74=0,"",(VLOOKUP($C65,REV!$C:$AA,22,0)-'TRADE IN'!$F65))</f>
        <v>2799</v>
      </c>
      <c r="Y65" s="46">
        <f>IF(VLOOKUP($C65,REV!$C:$AA,23,0)-'TRADE IN'!$F74=0,"",(VLOOKUP($C65,REV!$C:$AA,23,0)-'TRADE IN'!$F65))</f>
        <v>2499</v>
      </c>
      <c r="Z65" s="46">
        <f>IF(VLOOKUP($C65,REV!$C:$AA,24,0)-'TRADE IN'!$F74=0,"",(VLOOKUP($C65,REV!$C:$AA,24,0)-'TRADE IN'!$F65))</f>
        <v>2499</v>
      </c>
      <c r="AA65" s="46">
        <f>IF(VLOOKUP($C65,REV!$C:$AA,25,0)-'TRADE IN'!$F74=0,"",(VLOOKUP($C65,REV!$C:$AA,25,0)-'TRADE IN'!$F65))</f>
        <v>2499</v>
      </c>
      <c r="AB65" s="46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tr">
        <f>IF(REV!AW65=0,"",REV!AW65)</f>
        <v>31.03.2026</v>
      </c>
      <c r="AX65" s="159" t="s">
        <v>82</v>
      </c>
    </row>
    <row r="66" spans="1:50" ht="22.5" customHeight="1">
      <c r="A66" s="52" t="s">
        <v>70</v>
      </c>
      <c r="B66" s="41" t="s">
        <v>62</v>
      </c>
      <c r="C66" s="42">
        <v>4014621</v>
      </c>
      <c r="D66" s="43" t="s">
        <v>126</v>
      </c>
      <c r="E66" s="43" t="s">
        <v>127</v>
      </c>
      <c r="F66" s="45"/>
      <c r="G66" s="45"/>
      <c r="H66" s="46"/>
      <c r="I66" s="46"/>
      <c r="J66" s="46">
        <f>IF(VLOOKUP($C66,REV!$C:$AA,8,0)-'TRADE IN'!$F66=0,"",(VLOOKUP($C66,REV!$C:$AA,8,0)-'TRADE IN'!$F66))</f>
        <v>3999</v>
      </c>
      <c r="K66" s="46">
        <f>IF(VLOOKUP($C66,REV!$C:$AA,9,0)-'TRADE IN'!$F66=0,"",(VLOOKUP($C66,REV!$C:$AA,9,0)-'TRADE IN'!$F66))</f>
        <v>3999</v>
      </c>
      <c r="L66" s="46">
        <f>IF(VLOOKUP($C66,REV!$C:$AA,10,0)-'TRADE IN'!$F75=0,"",(VLOOKUP($C66,REV!$C:$AA,10,0)-'TRADE IN'!$F66))</f>
        <v>3999</v>
      </c>
      <c r="M66" s="46">
        <f>IF(VLOOKUP($C66,REV!$C:$AA,11,0)-'TRADE IN'!$F75=0,"",(VLOOKUP($C66,REV!$C:$AA,11,0)-'TRADE IN'!$F66))</f>
        <v>3999</v>
      </c>
      <c r="N66" s="46">
        <f>IF(VLOOKUP($C66,REV!$C:$AA,12,0)-'TRADE IN'!$F75=0,"",(VLOOKUP($C66,REV!$C:$AA,12,0)-'TRADE IN'!$F66))</f>
        <v>3999</v>
      </c>
      <c r="O66" s="46">
        <f>IF(VLOOKUP($C66,REV!$C:$AA,13,0)-'TRADE IN'!$F75=0,"",(VLOOKUP($C66,REV!$C:$AA,13,0)-'TRADE IN'!$F66))</f>
        <v>3999</v>
      </c>
      <c r="P66" s="46">
        <f>IF(VLOOKUP($C66,REV!$C:$AA,14,0)-'TRADE IN'!$F75=0,"",(VLOOKUP($C66,REV!$C:$AA,14,0)-'TRADE IN'!$F66))</f>
        <v>3999</v>
      </c>
      <c r="Q66" s="46">
        <f>IF(VLOOKUP($C66,REV!$C:$AA,15,0)-'TRADE IN'!$F75=0,"",(VLOOKUP($C66,REV!$C:$AA,15,0)-'TRADE IN'!$F66))</f>
        <v>3999</v>
      </c>
      <c r="R66" s="46">
        <f>IF(VLOOKUP($C66,REV!$C:$AA,16,0)-'TRADE IN'!$F75=0,"",(VLOOKUP($C66,REV!$C:$AA,16,0)-'TRADE IN'!$F66))</f>
        <v>3999</v>
      </c>
      <c r="S66" s="46">
        <f>IF(VLOOKUP($C66,REV!$C:$AA,17,0)-'TRADE IN'!$F75=0,"",(VLOOKUP($C66,REV!$C:$AA,17,0)-'TRADE IN'!$F66))</f>
        <v>3999</v>
      </c>
      <c r="T66" s="46">
        <f>IF(VLOOKUP($C66,REV!$C:$AA,18,0)-'TRADE IN'!$F75=0,"",(VLOOKUP($C66,REV!$C:$AA,18,0)-'TRADE IN'!$F66))</f>
        <v>3999</v>
      </c>
      <c r="U66" s="46">
        <f>IF(VLOOKUP($C66,REV!$C:$AA,19,0)-'TRADE IN'!$F75=0,"",(VLOOKUP($C66,REV!$C:$AA,19,0)-'TRADE IN'!$F66))</f>
        <v>3999</v>
      </c>
      <c r="V66" s="46">
        <f>IF(VLOOKUP($C66,REV!$C:$AA,20,0)-'TRADE IN'!$F75=0,"",(VLOOKUP($C66,REV!$C:$AA,20,0)-'TRADE IN'!$F66))</f>
        <v>3999</v>
      </c>
      <c r="W66" s="46">
        <f>IF(VLOOKUP($C66,REV!$C:$AA,21,0)-'TRADE IN'!$F75=0,"",(VLOOKUP($C66,REV!$C:$AA,21,0)-'TRADE IN'!$F66))</f>
        <v>3999</v>
      </c>
      <c r="X66" s="46">
        <f>IF(VLOOKUP($C66,REV!$C:$AA,22,0)-'TRADE IN'!$F75=0,"",(VLOOKUP($C66,REV!$C:$AA,22,0)-'TRADE IN'!$F66))</f>
        <v>3999</v>
      </c>
      <c r="Y66" s="46">
        <f>IF(VLOOKUP($C66,REV!$C:$AA,23,0)-'TRADE IN'!$F75=0,"",(VLOOKUP($C66,REV!$C:$AA,23,0)-'TRADE IN'!$F66))</f>
        <v>3999</v>
      </c>
      <c r="Z66" s="46">
        <f>IF(VLOOKUP($C66,REV!$C:$AA,24,0)-'TRADE IN'!$F75=0,"",(VLOOKUP($C66,REV!$C:$AA,24,0)-'TRADE IN'!$F66))</f>
        <v>3999</v>
      </c>
      <c r="AA66" s="46">
        <f>IF(VLOOKUP($C66,REV!$C:$AA,25,0)-'TRADE IN'!$F75=0,"",(VLOOKUP($C66,REV!$C:$AA,25,0)-'TRADE IN'!$F66))</f>
        <v>3999</v>
      </c>
      <c r="AB66" s="46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tr">
        <f>IF(REV!AW66=0,"",REV!AW66)</f>
        <v>31.03.2026</v>
      </c>
      <c r="AX66" s="159" t="s">
        <v>82</v>
      </c>
    </row>
    <row r="67" spans="1:50" ht="22.5" customHeight="1">
      <c r="A67" s="52" t="s">
        <v>70</v>
      </c>
      <c r="B67" s="41" t="s">
        <v>62</v>
      </c>
      <c r="C67" s="42">
        <v>4014636</v>
      </c>
      <c r="D67" s="43" t="s">
        <v>126</v>
      </c>
      <c r="E67" s="43" t="s">
        <v>128</v>
      </c>
      <c r="F67" s="45"/>
      <c r="G67" s="45"/>
      <c r="H67" s="46"/>
      <c r="I67" s="46"/>
      <c r="J67" s="46">
        <f>IF(VLOOKUP($C67,REV!$C:$AA,8,0)-'TRADE IN'!$F67=0,"",(VLOOKUP($C67,REV!$C:$AA,8,0)-'TRADE IN'!$F67))</f>
        <v>3999</v>
      </c>
      <c r="K67" s="46">
        <f>IF(VLOOKUP($C67,REV!$C:$AA,9,0)-'TRADE IN'!$F67=0,"",(VLOOKUP($C67,REV!$C:$AA,9,0)-'TRADE IN'!$F67))</f>
        <v>3999</v>
      </c>
      <c r="L67" s="46">
        <f>IF(VLOOKUP($C67,REV!$C:$AA,10,0)-'TRADE IN'!$F76=0,"",(VLOOKUP($C67,REV!$C:$AA,10,0)-'TRADE IN'!$F67))</f>
        <v>3999</v>
      </c>
      <c r="M67" s="46">
        <f>IF(VLOOKUP($C67,REV!$C:$AA,11,0)-'TRADE IN'!$F76=0,"",(VLOOKUP($C67,REV!$C:$AA,11,0)-'TRADE IN'!$F67))</f>
        <v>3999</v>
      </c>
      <c r="N67" s="46">
        <f>IF(VLOOKUP($C67,REV!$C:$AA,12,0)-'TRADE IN'!$F76=0,"",(VLOOKUP($C67,REV!$C:$AA,12,0)-'TRADE IN'!$F67))</f>
        <v>3999</v>
      </c>
      <c r="O67" s="46">
        <f>IF(VLOOKUP($C67,REV!$C:$AA,13,0)-'TRADE IN'!$F76=0,"",(VLOOKUP($C67,REV!$C:$AA,13,0)-'TRADE IN'!$F67))</f>
        <v>3999</v>
      </c>
      <c r="P67" s="46">
        <f>IF(VLOOKUP($C67,REV!$C:$AA,14,0)-'TRADE IN'!$F76=0,"",(VLOOKUP($C67,REV!$C:$AA,14,0)-'TRADE IN'!$F67))</f>
        <v>3999</v>
      </c>
      <c r="Q67" s="46">
        <f>IF(VLOOKUP($C67,REV!$C:$AA,15,0)-'TRADE IN'!$F76=0,"",(VLOOKUP($C67,REV!$C:$AA,15,0)-'TRADE IN'!$F67))</f>
        <v>3999</v>
      </c>
      <c r="R67" s="46">
        <f>IF(VLOOKUP($C67,REV!$C:$AA,16,0)-'TRADE IN'!$F76=0,"",(VLOOKUP($C67,REV!$C:$AA,16,0)-'TRADE IN'!$F67))</f>
        <v>3999</v>
      </c>
      <c r="S67" s="46">
        <f>IF(VLOOKUP($C67,REV!$C:$AA,17,0)-'TRADE IN'!$F76=0,"",(VLOOKUP($C67,REV!$C:$AA,17,0)-'TRADE IN'!$F67))</f>
        <v>3999</v>
      </c>
      <c r="T67" s="46">
        <f>IF(VLOOKUP($C67,REV!$C:$AA,18,0)-'TRADE IN'!$F76=0,"",(VLOOKUP($C67,REV!$C:$AA,18,0)-'TRADE IN'!$F67))</f>
        <v>3999</v>
      </c>
      <c r="U67" s="46">
        <f>IF(VLOOKUP($C67,REV!$C:$AA,19,0)-'TRADE IN'!$F76=0,"",(VLOOKUP($C67,REV!$C:$AA,19,0)-'TRADE IN'!$F67))</f>
        <v>3999</v>
      </c>
      <c r="V67" s="46">
        <f>IF(VLOOKUP($C67,REV!$C:$AA,20,0)-'TRADE IN'!$F76=0,"",(VLOOKUP($C67,REV!$C:$AA,20,0)-'TRADE IN'!$F67))</f>
        <v>3999</v>
      </c>
      <c r="W67" s="46">
        <f>IF(VLOOKUP($C67,REV!$C:$AA,21,0)-'TRADE IN'!$F76=0,"",(VLOOKUP($C67,REV!$C:$AA,21,0)-'TRADE IN'!$F67))</f>
        <v>3999</v>
      </c>
      <c r="X67" s="46">
        <f>IF(VLOOKUP($C67,REV!$C:$AA,22,0)-'TRADE IN'!$F76=0,"",(VLOOKUP($C67,REV!$C:$AA,22,0)-'TRADE IN'!$F67))</f>
        <v>3999</v>
      </c>
      <c r="Y67" s="46">
        <f>IF(VLOOKUP($C67,REV!$C:$AA,23,0)-'TRADE IN'!$F76=0,"",(VLOOKUP($C67,REV!$C:$AA,23,0)-'TRADE IN'!$F67))</f>
        <v>3999</v>
      </c>
      <c r="Z67" s="46">
        <f>IF(VLOOKUP($C67,REV!$C:$AA,24,0)-'TRADE IN'!$F76=0,"",(VLOOKUP($C67,REV!$C:$AA,24,0)-'TRADE IN'!$F67))</f>
        <v>3999</v>
      </c>
      <c r="AA67" s="46">
        <f>IF(VLOOKUP($C67,REV!$C:$AA,25,0)-'TRADE IN'!$F76=0,"",(VLOOKUP($C67,REV!$C:$AA,25,0)-'TRADE IN'!$F67))</f>
        <v>3999</v>
      </c>
      <c r="AB67" s="46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tr">
        <f>IF(REV!AW67=0,"",REV!AW67)</f>
        <v>31.03.2026</v>
      </c>
      <c r="AX67" s="159" t="s">
        <v>82</v>
      </c>
    </row>
    <row r="68" spans="1:50" ht="22.5" customHeight="1">
      <c r="A68" s="52" t="s">
        <v>70</v>
      </c>
      <c r="B68" s="41" t="s">
        <v>62</v>
      </c>
      <c r="C68" s="42">
        <v>4014642</v>
      </c>
      <c r="D68" s="43" t="s">
        <v>126</v>
      </c>
      <c r="E68" s="43" t="s">
        <v>129</v>
      </c>
      <c r="F68" s="45"/>
      <c r="G68" s="45"/>
      <c r="H68" s="46"/>
      <c r="I68" s="46"/>
      <c r="J68" s="46">
        <f>IF(VLOOKUP($C68,REV!$C:$AA,8,0)-'TRADE IN'!$F68=0,"",(VLOOKUP($C68,REV!$C:$AA,8,0)-'TRADE IN'!$F68))</f>
        <v>3999</v>
      </c>
      <c r="K68" s="46">
        <f>IF(VLOOKUP($C68,REV!$C:$AA,9,0)-'TRADE IN'!$F68=0,"",(VLOOKUP($C68,REV!$C:$AA,9,0)-'TRADE IN'!$F68))</f>
        <v>3999</v>
      </c>
      <c r="L68" s="46">
        <f>IF(VLOOKUP($C68,REV!$C:$AA,10,0)-'TRADE IN'!$F77=0,"",(VLOOKUP($C68,REV!$C:$AA,10,0)-'TRADE IN'!$F68))</f>
        <v>3999</v>
      </c>
      <c r="M68" s="46">
        <f>IF(VLOOKUP($C68,REV!$C:$AA,11,0)-'TRADE IN'!$F77=0,"",(VLOOKUP($C68,REV!$C:$AA,11,0)-'TRADE IN'!$F68))</f>
        <v>3999</v>
      </c>
      <c r="N68" s="46">
        <f>IF(VLOOKUP($C68,REV!$C:$AA,12,0)-'TRADE IN'!$F77=0,"",(VLOOKUP($C68,REV!$C:$AA,12,0)-'TRADE IN'!$F68))</f>
        <v>3999</v>
      </c>
      <c r="O68" s="46">
        <f>IF(VLOOKUP($C68,REV!$C:$AA,13,0)-'TRADE IN'!$F77=0,"",(VLOOKUP($C68,REV!$C:$AA,13,0)-'TRADE IN'!$F68))</f>
        <v>3999</v>
      </c>
      <c r="P68" s="46">
        <f>IF(VLOOKUP($C68,REV!$C:$AA,14,0)-'TRADE IN'!$F77=0,"",(VLOOKUP($C68,REV!$C:$AA,14,0)-'TRADE IN'!$F68))</f>
        <v>3999</v>
      </c>
      <c r="Q68" s="46">
        <f>IF(VLOOKUP($C68,REV!$C:$AA,15,0)-'TRADE IN'!$F77=0,"",(VLOOKUP($C68,REV!$C:$AA,15,0)-'TRADE IN'!$F68))</f>
        <v>3999</v>
      </c>
      <c r="R68" s="46">
        <f>IF(VLOOKUP($C68,REV!$C:$AA,16,0)-'TRADE IN'!$F77=0,"",(VLOOKUP($C68,REV!$C:$AA,16,0)-'TRADE IN'!$F68))</f>
        <v>3999</v>
      </c>
      <c r="S68" s="46">
        <f>IF(VLOOKUP($C68,REV!$C:$AA,17,0)-'TRADE IN'!$F77=0,"",(VLOOKUP($C68,REV!$C:$AA,17,0)-'TRADE IN'!$F68))</f>
        <v>3999</v>
      </c>
      <c r="T68" s="46">
        <f>IF(VLOOKUP($C68,REV!$C:$AA,18,0)-'TRADE IN'!$F77=0,"",(VLOOKUP($C68,REV!$C:$AA,18,0)-'TRADE IN'!$F68))</f>
        <v>3999</v>
      </c>
      <c r="U68" s="46">
        <f>IF(VLOOKUP($C68,REV!$C:$AA,19,0)-'TRADE IN'!$F77=0,"",(VLOOKUP($C68,REV!$C:$AA,19,0)-'TRADE IN'!$F68))</f>
        <v>3999</v>
      </c>
      <c r="V68" s="46">
        <f>IF(VLOOKUP($C68,REV!$C:$AA,20,0)-'TRADE IN'!$F77=0,"",(VLOOKUP($C68,REV!$C:$AA,20,0)-'TRADE IN'!$F68))</f>
        <v>3999</v>
      </c>
      <c r="W68" s="46">
        <f>IF(VLOOKUP($C68,REV!$C:$AA,21,0)-'TRADE IN'!$F77=0,"",(VLOOKUP($C68,REV!$C:$AA,21,0)-'TRADE IN'!$F68))</f>
        <v>3999</v>
      </c>
      <c r="X68" s="46">
        <f>IF(VLOOKUP($C68,REV!$C:$AA,22,0)-'TRADE IN'!$F77=0,"",(VLOOKUP($C68,REV!$C:$AA,22,0)-'TRADE IN'!$F68))</f>
        <v>3999</v>
      </c>
      <c r="Y68" s="46">
        <f>IF(VLOOKUP($C68,REV!$C:$AA,23,0)-'TRADE IN'!$F77=0,"",(VLOOKUP($C68,REV!$C:$AA,23,0)-'TRADE IN'!$F68))</f>
        <v>3999</v>
      </c>
      <c r="Z68" s="46">
        <f>IF(VLOOKUP($C68,REV!$C:$AA,24,0)-'TRADE IN'!$F77=0,"",(VLOOKUP($C68,REV!$C:$AA,24,0)-'TRADE IN'!$F68))</f>
        <v>3999</v>
      </c>
      <c r="AA68" s="46">
        <f>IF(VLOOKUP($C68,REV!$C:$AA,25,0)-'TRADE IN'!$F77=0,"",(VLOOKUP($C68,REV!$C:$AA,25,0)-'TRADE IN'!$F68))</f>
        <v>3999</v>
      </c>
      <c r="AB68" s="46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tr">
        <f>IF(REV!AW68=0,"",REV!AW68)</f>
        <v>31.03.2026</v>
      </c>
      <c r="AX68" s="159" t="s">
        <v>82</v>
      </c>
    </row>
    <row r="69" spans="1:50" ht="22.5" customHeight="1">
      <c r="A69" s="52" t="s">
        <v>70</v>
      </c>
      <c r="B69" s="41" t="s">
        <v>62</v>
      </c>
      <c r="C69" s="42">
        <v>4014884</v>
      </c>
      <c r="D69" s="43" t="s">
        <v>126</v>
      </c>
      <c r="E69" s="43" t="s">
        <v>130</v>
      </c>
      <c r="F69" s="45"/>
      <c r="G69" s="45"/>
      <c r="H69" s="46"/>
      <c r="I69" s="46"/>
      <c r="J69" s="46">
        <f>IF(VLOOKUP($C69,REV!$C:$AA,8,0)-'TRADE IN'!$F69=0,"",(VLOOKUP($C69,REV!$C:$AA,8,0)-'TRADE IN'!$F69))</f>
        <v>3999</v>
      </c>
      <c r="K69" s="46">
        <f>IF(VLOOKUP($C69,REV!$C:$AA,9,0)-'TRADE IN'!$F69=0,"",(VLOOKUP($C69,REV!$C:$AA,9,0)-'TRADE IN'!$F69))</f>
        <v>3999</v>
      </c>
      <c r="L69" s="46">
        <f>IF(VLOOKUP($C69,REV!$C:$AA,10,0)-'TRADE IN'!$F78=0,"",(VLOOKUP($C69,REV!$C:$AA,10,0)-'TRADE IN'!$F69))</f>
        <v>3999</v>
      </c>
      <c r="M69" s="46">
        <f>IF(VLOOKUP($C69,REV!$C:$AA,11,0)-'TRADE IN'!$F78=0,"",(VLOOKUP($C69,REV!$C:$AA,11,0)-'TRADE IN'!$F69))</f>
        <v>3999</v>
      </c>
      <c r="N69" s="46">
        <f>IF(VLOOKUP($C69,REV!$C:$AA,12,0)-'TRADE IN'!$F78=0,"",(VLOOKUP($C69,REV!$C:$AA,12,0)-'TRADE IN'!$F69))</f>
        <v>3999</v>
      </c>
      <c r="O69" s="46">
        <f>IF(VLOOKUP($C69,REV!$C:$AA,13,0)-'TRADE IN'!$F78=0,"",(VLOOKUP($C69,REV!$C:$AA,13,0)-'TRADE IN'!$F69))</f>
        <v>3999</v>
      </c>
      <c r="P69" s="46">
        <f>IF(VLOOKUP($C69,REV!$C:$AA,14,0)-'TRADE IN'!$F78=0,"",(VLOOKUP($C69,REV!$C:$AA,14,0)-'TRADE IN'!$F69))</f>
        <v>3999</v>
      </c>
      <c r="Q69" s="46">
        <f>IF(VLOOKUP($C69,REV!$C:$AA,15,0)-'TRADE IN'!$F78=0,"",(VLOOKUP($C69,REV!$C:$AA,15,0)-'TRADE IN'!$F69))</f>
        <v>3999</v>
      </c>
      <c r="R69" s="46">
        <f>IF(VLOOKUP($C69,REV!$C:$AA,16,0)-'TRADE IN'!$F78=0,"",(VLOOKUP($C69,REV!$C:$AA,16,0)-'TRADE IN'!$F69))</f>
        <v>3999</v>
      </c>
      <c r="S69" s="46">
        <f>IF(VLOOKUP($C69,REV!$C:$AA,17,0)-'TRADE IN'!$F78=0,"",(VLOOKUP($C69,REV!$C:$AA,17,0)-'TRADE IN'!$F69))</f>
        <v>3999</v>
      </c>
      <c r="T69" s="46">
        <f>IF(VLOOKUP($C69,REV!$C:$AA,18,0)-'TRADE IN'!$F78=0,"",(VLOOKUP($C69,REV!$C:$AA,18,0)-'TRADE IN'!$F69))</f>
        <v>3999</v>
      </c>
      <c r="U69" s="46">
        <f>IF(VLOOKUP($C69,REV!$C:$AA,19,0)-'TRADE IN'!$F78=0,"",(VLOOKUP($C69,REV!$C:$AA,19,0)-'TRADE IN'!$F69))</f>
        <v>3999</v>
      </c>
      <c r="V69" s="46">
        <f>IF(VLOOKUP($C69,REV!$C:$AA,20,0)-'TRADE IN'!$F78=0,"",(VLOOKUP($C69,REV!$C:$AA,20,0)-'TRADE IN'!$F69))</f>
        <v>3999</v>
      </c>
      <c r="W69" s="46">
        <f>IF(VLOOKUP($C69,REV!$C:$AA,21,0)-'TRADE IN'!$F78=0,"",(VLOOKUP($C69,REV!$C:$AA,21,0)-'TRADE IN'!$F69))</f>
        <v>3999</v>
      </c>
      <c r="X69" s="46">
        <f>IF(VLOOKUP($C69,REV!$C:$AA,22,0)-'TRADE IN'!$F78=0,"",(VLOOKUP($C69,REV!$C:$AA,22,0)-'TRADE IN'!$F69))</f>
        <v>3999</v>
      </c>
      <c r="Y69" s="46">
        <f>IF(VLOOKUP($C69,REV!$C:$AA,23,0)-'TRADE IN'!$F78=0,"",(VLOOKUP($C69,REV!$C:$AA,23,0)-'TRADE IN'!$F69))</f>
        <v>3999</v>
      </c>
      <c r="Z69" s="46">
        <f>IF(VLOOKUP($C69,REV!$C:$AA,24,0)-'TRADE IN'!$F78=0,"",(VLOOKUP($C69,REV!$C:$AA,24,0)-'TRADE IN'!$F69))</f>
        <v>3999</v>
      </c>
      <c r="AA69" s="46">
        <f>IF(VLOOKUP($C69,REV!$C:$AA,25,0)-'TRADE IN'!$F78=0,"",(VLOOKUP($C69,REV!$C:$AA,25,0)-'TRADE IN'!$F69))</f>
        <v>3999</v>
      </c>
      <c r="AB69" s="46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tr">
        <f>IF(REV!AW69=0,"",REV!AW69)</f>
        <v>31.03.2026</v>
      </c>
      <c r="AX69" s="159" t="s">
        <v>82</v>
      </c>
    </row>
    <row r="70" spans="1:50" ht="22.5" customHeight="1">
      <c r="A70" s="52" t="s">
        <v>70</v>
      </c>
      <c r="B70" s="41" t="s">
        <v>62</v>
      </c>
      <c r="C70" s="42">
        <v>4014593</v>
      </c>
      <c r="D70" s="43" t="s">
        <v>131</v>
      </c>
      <c r="E70" s="43" t="s">
        <v>132</v>
      </c>
      <c r="F70" s="45"/>
      <c r="G70" s="45"/>
      <c r="H70" s="46"/>
      <c r="I70" s="46"/>
      <c r="J70" s="46">
        <f>IF(VLOOKUP($C70,REV!$C:$AA,8,0)-'TRADE IN'!$F70=0,"",(VLOOKUP($C70,REV!$C:$AA,8,0)-'TRADE IN'!$F70))</f>
        <v>6799</v>
      </c>
      <c r="K70" s="46">
        <f>IF(VLOOKUP($C70,REV!$C:$AA,9,0)-'TRADE IN'!$F70=0,"",(VLOOKUP($C70,REV!$C:$AA,9,0)-'TRADE IN'!$F70))</f>
        <v>6699</v>
      </c>
      <c r="L70" s="46">
        <f>IF(VLOOKUP($C70,REV!$C:$AA,10,0)-'TRADE IN'!$F79=0,"",(VLOOKUP($C70,REV!$C:$AA,10,0)-'TRADE IN'!$F70))</f>
        <v>6699</v>
      </c>
      <c r="M70" s="46">
        <f>IF(VLOOKUP($C70,REV!$C:$AA,11,0)-'TRADE IN'!$F79=0,"",(VLOOKUP($C70,REV!$C:$AA,11,0)-'TRADE IN'!$F70))</f>
        <v>6799</v>
      </c>
      <c r="N70" s="46">
        <f>IF(VLOOKUP($C70,REV!$C:$AA,12,0)-'TRADE IN'!$F79=0,"",(VLOOKUP($C70,REV!$C:$AA,12,0)-'TRADE IN'!$F70))</f>
        <v>6799</v>
      </c>
      <c r="O70" s="46">
        <f>IF(VLOOKUP($C70,REV!$C:$AA,13,0)-'TRADE IN'!$F79=0,"",(VLOOKUP($C70,REV!$C:$AA,13,0)-'TRADE IN'!$F70))</f>
        <v>6499</v>
      </c>
      <c r="P70" s="46">
        <f>IF(VLOOKUP($C70,REV!$C:$AA,14,0)-'TRADE IN'!$F79=0,"",(VLOOKUP($C70,REV!$C:$AA,14,0)-'TRADE IN'!$F70))</f>
        <v>6299</v>
      </c>
      <c r="Q70" s="46">
        <f>IF(VLOOKUP($C70,REV!$C:$AA,15,0)-'TRADE IN'!$F79=0,"",(VLOOKUP($C70,REV!$C:$AA,15,0)-'TRADE IN'!$F70))</f>
        <v>5999</v>
      </c>
      <c r="R70" s="46">
        <f>IF(VLOOKUP($C70,REV!$C:$AA,16,0)-'TRADE IN'!$F79=0,"",(VLOOKUP($C70,REV!$C:$AA,16,0)-'TRADE IN'!$F70))</f>
        <v>6499</v>
      </c>
      <c r="S70" s="46">
        <f>IF(VLOOKUP($C70,REV!$C:$AA,17,0)-'TRADE IN'!$F79=0,"",(VLOOKUP($C70,REV!$C:$AA,17,0)-'TRADE IN'!$F70))</f>
        <v>6299</v>
      </c>
      <c r="T70" s="46">
        <f>IF(VLOOKUP($C70,REV!$C:$AA,18,0)-'TRADE IN'!$F79=0,"",(VLOOKUP($C70,REV!$C:$AA,18,0)-'TRADE IN'!$F70))</f>
        <v>5999</v>
      </c>
      <c r="U70" s="46">
        <f>IF(VLOOKUP($C70,REV!$C:$AA,19,0)-'TRADE IN'!$F79=0,"",(VLOOKUP($C70,REV!$C:$AA,19,0)-'TRADE IN'!$F70))</f>
        <v>5899</v>
      </c>
      <c r="V70" s="46">
        <f>IF(VLOOKUP($C70,REV!$C:$AA,20,0)-'TRADE IN'!$F79=0,"",(VLOOKUP($C70,REV!$C:$AA,20,0)-'TRADE IN'!$F70))</f>
        <v>5899</v>
      </c>
      <c r="W70" s="46">
        <f>IF(VLOOKUP($C70,REV!$C:$AA,21,0)-'TRADE IN'!$F79=0,"",(VLOOKUP($C70,REV!$C:$AA,21,0)-'TRADE IN'!$F70))</f>
        <v>5799</v>
      </c>
      <c r="X70" s="46">
        <f>IF(VLOOKUP($C70,REV!$C:$AA,22,0)-'TRADE IN'!$F79=0,"",(VLOOKUP($C70,REV!$C:$AA,22,0)-'TRADE IN'!$F70))</f>
        <v>5699</v>
      </c>
      <c r="Y70" s="46">
        <f>IF(VLOOKUP($C70,REV!$C:$AA,23,0)-'TRADE IN'!$F79=0,"",(VLOOKUP($C70,REV!$C:$AA,23,0)-'TRADE IN'!$F70))</f>
        <v>5499</v>
      </c>
      <c r="Z70" s="46">
        <f>IF(VLOOKUP($C70,REV!$C:$AA,24,0)-'TRADE IN'!$F79=0,"",(VLOOKUP($C70,REV!$C:$AA,24,0)-'TRADE IN'!$F70))</f>
        <v>5399</v>
      </c>
      <c r="AA70" s="46">
        <f>IF(VLOOKUP($C70,REV!$C:$AA,25,0)-'TRADE IN'!$F79=0,"",(VLOOKUP($C70,REV!$C:$AA,25,0)-'TRADE IN'!$F70))</f>
        <v>5399</v>
      </c>
      <c r="AB70" s="46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tr">
        <f>IF(REV!AW70=0,"",REV!AW70)</f>
        <v>31.03.2026</v>
      </c>
      <c r="AX70" s="159" t="s">
        <v>82</v>
      </c>
    </row>
    <row r="71" spans="1:50" ht="22.5" customHeight="1">
      <c r="A71" s="52" t="s">
        <v>70</v>
      </c>
      <c r="B71" s="41" t="s">
        <v>62</v>
      </c>
      <c r="C71" s="42">
        <v>4014599</v>
      </c>
      <c r="D71" s="43" t="s">
        <v>131</v>
      </c>
      <c r="E71" s="43" t="s">
        <v>133</v>
      </c>
      <c r="F71" s="45"/>
      <c r="G71" s="45"/>
      <c r="H71" s="46"/>
      <c r="I71" s="46"/>
      <c r="J71" s="46">
        <f>IF(VLOOKUP($C71,REV!$C:$AA,8,0)-'TRADE IN'!$F71=0,"",(VLOOKUP($C71,REV!$C:$AA,8,0)-'TRADE IN'!$F71))</f>
        <v>6799</v>
      </c>
      <c r="K71" s="46">
        <f>IF(VLOOKUP($C71,REV!$C:$AA,9,0)-'TRADE IN'!$F71=0,"",(VLOOKUP($C71,REV!$C:$AA,9,0)-'TRADE IN'!$F71))</f>
        <v>6699</v>
      </c>
      <c r="L71" s="46">
        <f>IF(VLOOKUP($C71,REV!$C:$AA,10,0)-'TRADE IN'!$F80=0,"",(VLOOKUP($C71,REV!$C:$AA,10,0)-'TRADE IN'!$F71))</f>
        <v>6699</v>
      </c>
      <c r="M71" s="46">
        <f>IF(VLOOKUP($C71,REV!$C:$AA,11,0)-'TRADE IN'!$F80=0,"",(VLOOKUP($C71,REV!$C:$AA,11,0)-'TRADE IN'!$F71))</f>
        <v>6799</v>
      </c>
      <c r="N71" s="46">
        <f>IF(VLOOKUP($C71,REV!$C:$AA,12,0)-'TRADE IN'!$F80=0,"",(VLOOKUP($C71,REV!$C:$AA,12,0)-'TRADE IN'!$F71))</f>
        <v>6799</v>
      </c>
      <c r="O71" s="46">
        <f>IF(VLOOKUP($C71,REV!$C:$AA,13,0)-'TRADE IN'!$F80=0,"",(VLOOKUP($C71,REV!$C:$AA,13,0)-'TRADE IN'!$F71))</f>
        <v>6499</v>
      </c>
      <c r="P71" s="46">
        <f>IF(VLOOKUP($C71,REV!$C:$AA,14,0)-'TRADE IN'!$F80=0,"",(VLOOKUP($C71,REV!$C:$AA,14,0)-'TRADE IN'!$F71))</f>
        <v>6299</v>
      </c>
      <c r="Q71" s="46">
        <f>IF(VLOOKUP($C71,REV!$C:$AA,15,0)-'TRADE IN'!$F80=0,"",(VLOOKUP($C71,REV!$C:$AA,15,0)-'TRADE IN'!$F71))</f>
        <v>5999</v>
      </c>
      <c r="R71" s="46">
        <f>IF(VLOOKUP($C71,REV!$C:$AA,16,0)-'TRADE IN'!$F80=0,"",(VLOOKUP($C71,REV!$C:$AA,16,0)-'TRADE IN'!$F71))</f>
        <v>6499</v>
      </c>
      <c r="S71" s="46">
        <f>IF(VLOOKUP($C71,REV!$C:$AA,17,0)-'TRADE IN'!$F80=0,"",(VLOOKUP($C71,REV!$C:$AA,17,0)-'TRADE IN'!$F71))</f>
        <v>6299</v>
      </c>
      <c r="T71" s="46">
        <f>IF(VLOOKUP($C71,REV!$C:$AA,18,0)-'TRADE IN'!$F80=0,"",(VLOOKUP($C71,REV!$C:$AA,18,0)-'TRADE IN'!$F71))</f>
        <v>5999</v>
      </c>
      <c r="U71" s="46">
        <f>IF(VLOOKUP($C71,REV!$C:$AA,19,0)-'TRADE IN'!$F80=0,"",(VLOOKUP($C71,REV!$C:$AA,19,0)-'TRADE IN'!$F71))</f>
        <v>5899</v>
      </c>
      <c r="V71" s="46">
        <f>IF(VLOOKUP($C71,REV!$C:$AA,20,0)-'TRADE IN'!$F80=0,"",(VLOOKUP($C71,REV!$C:$AA,20,0)-'TRADE IN'!$F71))</f>
        <v>5899</v>
      </c>
      <c r="W71" s="46">
        <f>IF(VLOOKUP($C71,REV!$C:$AA,21,0)-'TRADE IN'!$F80=0,"",(VLOOKUP($C71,REV!$C:$AA,21,0)-'TRADE IN'!$F71))</f>
        <v>5799</v>
      </c>
      <c r="X71" s="46">
        <f>IF(VLOOKUP($C71,REV!$C:$AA,22,0)-'TRADE IN'!$F80=0,"",(VLOOKUP($C71,REV!$C:$AA,22,0)-'TRADE IN'!$F71))</f>
        <v>5699</v>
      </c>
      <c r="Y71" s="46">
        <f>IF(VLOOKUP($C71,REV!$C:$AA,23,0)-'TRADE IN'!$F80=0,"",(VLOOKUP($C71,REV!$C:$AA,23,0)-'TRADE IN'!$F71))</f>
        <v>5499</v>
      </c>
      <c r="Z71" s="46">
        <f>IF(VLOOKUP($C71,REV!$C:$AA,24,0)-'TRADE IN'!$F80=0,"",(VLOOKUP($C71,REV!$C:$AA,24,0)-'TRADE IN'!$F71))</f>
        <v>5399</v>
      </c>
      <c r="AA71" s="46">
        <f>IF(VLOOKUP($C71,REV!$C:$AA,25,0)-'TRADE IN'!$F80=0,"",(VLOOKUP($C71,REV!$C:$AA,25,0)-'TRADE IN'!$F71))</f>
        <v>5399</v>
      </c>
      <c r="AB71" s="46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tr">
        <f>IF(REV!AW71=0,"",REV!AW71)</f>
        <v>31.03.2026</v>
      </c>
      <c r="AX71" s="159" t="s">
        <v>82</v>
      </c>
    </row>
    <row r="72" spans="1:50" ht="22.5" customHeight="1">
      <c r="A72" s="52" t="s">
        <v>70</v>
      </c>
      <c r="B72" s="41" t="s">
        <v>62</v>
      </c>
      <c r="C72" s="42">
        <v>4014605</v>
      </c>
      <c r="D72" s="43" t="s">
        <v>131</v>
      </c>
      <c r="E72" s="43" t="s">
        <v>134</v>
      </c>
      <c r="F72" s="45"/>
      <c r="G72" s="45"/>
      <c r="H72" s="46"/>
      <c r="I72" s="46"/>
      <c r="J72" s="46">
        <f>IF(VLOOKUP($C72,REV!$C:$AA,8,0)-'TRADE IN'!$F72=0,"",(VLOOKUP($C72,REV!$C:$AA,8,0)-'TRADE IN'!$F72))</f>
        <v>6799</v>
      </c>
      <c r="K72" s="46">
        <f>IF(VLOOKUP($C72,REV!$C:$AA,9,0)-'TRADE IN'!$F72=0,"",(VLOOKUP($C72,REV!$C:$AA,9,0)-'TRADE IN'!$F72))</f>
        <v>6699</v>
      </c>
      <c r="L72" s="46">
        <f>IF(VLOOKUP($C72,REV!$C:$AA,10,0)-'TRADE IN'!$F81=0,"",(VLOOKUP($C72,REV!$C:$AA,10,0)-'TRADE IN'!$F72))</f>
        <v>6699</v>
      </c>
      <c r="M72" s="46">
        <f>IF(VLOOKUP($C72,REV!$C:$AA,11,0)-'TRADE IN'!$F81=0,"",(VLOOKUP($C72,REV!$C:$AA,11,0)-'TRADE IN'!$F72))</f>
        <v>6799</v>
      </c>
      <c r="N72" s="46">
        <f>IF(VLOOKUP($C72,REV!$C:$AA,12,0)-'TRADE IN'!$F81=0,"",(VLOOKUP($C72,REV!$C:$AA,12,0)-'TRADE IN'!$F72))</f>
        <v>6799</v>
      </c>
      <c r="O72" s="46">
        <f>IF(VLOOKUP($C72,REV!$C:$AA,13,0)-'TRADE IN'!$F81=0,"",(VLOOKUP($C72,REV!$C:$AA,13,0)-'TRADE IN'!$F72))</f>
        <v>6499</v>
      </c>
      <c r="P72" s="46">
        <f>IF(VLOOKUP($C72,REV!$C:$AA,14,0)-'TRADE IN'!$F81=0,"",(VLOOKUP($C72,REV!$C:$AA,14,0)-'TRADE IN'!$F72))</f>
        <v>6299</v>
      </c>
      <c r="Q72" s="46">
        <f>IF(VLOOKUP($C72,REV!$C:$AA,15,0)-'TRADE IN'!$F81=0,"",(VLOOKUP($C72,REV!$C:$AA,15,0)-'TRADE IN'!$F72))</f>
        <v>5999</v>
      </c>
      <c r="R72" s="46">
        <f>IF(VLOOKUP($C72,REV!$C:$AA,16,0)-'TRADE IN'!$F81=0,"",(VLOOKUP($C72,REV!$C:$AA,16,0)-'TRADE IN'!$F72))</f>
        <v>6499</v>
      </c>
      <c r="S72" s="46">
        <f>IF(VLOOKUP($C72,REV!$C:$AA,17,0)-'TRADE IN'!$F81=0,"",(VLOOKUP($C72,REV!$C:$AA,17,0)-'TRADE IN'!$F72))</f>
        <v>6299</v>
      </c>
      <c r="T72" s="46">
        <f>IF(VLOOKUP($C72,REV!$C:$AA,18,0)-'TRADE IN'!$F81=0,"",(VLOOKUP($C72,REV!$C:$AA,18,0)-'TRADE IN'!$F72))</f>
        <v>5999</v>
      </c>
      <c r="U72" s="46">
        <f>IF(VLOOKUP($C72,REV!$C:$AA,19,0)-'TRADE IN'!$F81=0,"",(VLOOKUP($C72,REV!$C:$AA,19,0)-'TRADE IN'!$F72))</f>
        <v>5899</v>
      </c>
      <c r="V72" s="46">
        <f>IF(VLOOKUP($C72,REV!$C:$AA,20,0)-'TRADE IN'!$F81=0,"",(VLOOKUP($C72,REV!$C:$AA,20,0)-'TRADE IN'!$F72))</f>
        <v>5899</v>
      </c>
      <c r="W72" s="46">
        <f>IF(VLOOKUP($C72,REV!$C:$AA,21,0)-'TRADE IN'!$F81=0,"",(VLOOKUP($C72,REV!$C:$AA,21,0)-'TRADE IN'!$F72))</f>
        <v>5799</v>
      </c>
      <c r="X72" s="46">
        <f>IF(VLOOKUP($C72,REV!$C:$AA,22,0)-'TRADE IN'!$F81=0,"",(VLOOKUP($C72,REV!$C:$AA,22,0)-'TRADE IN'!$F72))</f>
        <v>5699</v>
      </c>
      <c r="Y72" s="46">
        <f>IF(VLOOKUP($C72,REV!$C:$AA,23,0)-'TRADE IN'!$F81=0,"",(VLOOKUP($C72,REV!$C:$AA,23,0)-'TRADE IN'!$F72))</f>
        <v>5499</v>
      </c>
      <c r="Z72" s="46">
        <f>IF(VLOOKUP($C72,REV!$C:$AA,24,0)-'TRADE IN'!$F81=0,"",(VLOOKUP($C72,REV!$C:$AA,24,0)-'TRADE IN'!$F72))</f>
        <v>5399</v>
      </c>
      <c r="AA72" s="46">
        <f>IF(VLOOKUP($C72,REV!$C:$AA,25,0)-'TRADE IN'!$F81=0,"",(VLOOKUP($C72,REV!$C:$AA,25,0)-'TRADE IN'!$F72))</f>
        <v>5399</v>
      </c>
      <c r="AB72" s="46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tr">
        <f>IF(REV!AW72=0,"",REV!AW72)</f>
        <v>31.03.2026</v>
      </c>
      <c r="AX72" s="159" t="s">
        <v>82</v>
      </c>
    </row>
    <row r="73" spans="1:50" ht="22.5" customHeight="1">
      <c r="A73" s="52" t="s">
        <v>70</v>
      </c>
      <c r="B73" s="41" t="s">
        <v>62</v>
      </c>
      <c r="C73" s="42">
        <v>4014612</v>
      </c>
      <c r="D73" s="43" t="s">
        <v>131</v>
      </c>
      <c r="E73" s="43" t="s">
        <v>135</v>
      </c>
      <c r="F73" s="45"/>
      <c r="G73" s="45"/>
      <c r="H73" s="46"/>
      <c r="I73" s="46"/>
      <c r="J73" s="46">
        <f>IF(VLOOKUP($C73,REV!$C:$AA,8,0)-'TRADE IN'!$F73=0,"",(VLOOKUP($C73,REV!$C:$AA,8,0)-'TRADE IN'!$F73))</f>
        <v>6799</v>
      </c>
      <c r="K73" s="46">
        <f>IF(VLOOKUP($C73,REV!$C:$AA,9,0)-'TRADE IN'!$F73=0,"",(VLOOKUP($C73,REV!$C:$AA,9,0)-'TRADE IN'!$F73))</f>
        <v>6699</v>
      </c>
      <c r="L73" s="46">
        <f>IF(VLOOKUP($C73,REV!$C:$AA,10,0)-'TRADE IN'!$F82=0,"",(VLOOKUP($C73,REV!$C:$AA,10,0)-'TRADE IN'!$F73))</f>
        <v>6699</v>
      </c>
      <c r="M73" s="46">
        <f>IF(VLOOKUP($C73,REV!$C:$AA,11,0)-'TRADE IN'!$F82=0,"",(VLOOKUP($C73,REV!$C:$AA,11,0)-'TRADE IN'!$F73))</f>
        <v>6799</v>
      </c>
      <c r="N73" s="46">
        <f>IF(VLOOKUP($C73,REV!$C:$AA,12,0)-'TRADE IN'!$F82=0,"",(VLOOKUP($C73,REV!$C:$AA,12,0)-'TRADE IN'!$F73))</f>
        <v>6799</v>
      </c>
      <c r="O73" s="46">
        <f>IF(VLOOKUP($C73,REV!$C:$AA,13,0)-'TRADE IN'!$F82=0,"",(VLOOKUP($C73,REV!$C:$AA,13,0)-'TRADE IN'!$F73))</f>
        <v>6499</v>
      </c>
      <c r="P73" s="46">
        <f>IF(VLOOKUP($C73,REV!$C:$AA,14,0)-'TRADE IN'!$F82=0,"",(VLOOKUP($C73,REV!$C:$AA,14,0)-'TRADE IN'!$F73))</f>
        <v>6299</v>
      </c>
      <c r="Q73" s="46">
        <f>IF(VLOOKUP($C73,REV!$C:$AA,15,0)-'TRADE IN'!$F82=0,"",(VLOOKUP($C73,REV!$C:$AA,15,0)-'TRADE IN'!$F73))</f>
        <v>5999</v>
      </c>
      <c r="R73" s="46">
        <f>IF(VLOOKUP($C73,REV!$C:$AA,16,0)-'TRADE IN'!$F82=0,"",(VLOOKUP($C73,REV!$C:$AA,16,0)-'TRADE IN'!$F73))</f>
        <v>6499</v>
      </c>
      <c r="S73" s="46">
        <f>IF(VLOOKUP($C73,REV!$C:$AA,17,0)-'TRADE IN'!$F82=0,"",(VLOOKUP($C73,REV!$C:$AA,17,0)-'TRADE IN'!$F73))</f>
        <v>6299</v>
      </c>
      <c r="T73" s="46">
        <f>IF(VLOOKUP($C73,REV!$C:$AA,18,0)-'TRADE IN'!$F82=0,"",(VLOOKUP($C73,REV!$C:$AA,18,0)-'TRADE IN'!$F73))</f>
        <v>5999</v>
      </c>
      <c r="U73" s="46">
        <f>IF(VLOOKUP($C73,REV!$C:$AA,19,0)-'TRADE IN'!$F82=0,"",(VLOOKUP($C73,REV!$C:$AA,19,0)-'TRADE IN'!$F73))</f>
        <v>5899</v>
      </c>
      <c r="V73" s="46">
        <f>IF(VLOOKUP($C73,REV!$C:$AA,20,0)-'TRADE IN'!$F82=0,"",(VLOOKUP($C73,REV!$C:$AA,20,0)-'TRADE IN'!$F73))</f>
        <v>5899</v>
      </c>
      <c r="W73" s="46">
        <f>IF(VLOOKUP($C73,REV!$C:$AA,21,0)-'TRADE IN'!$F82=0,"",(VLOOKUP($C73,REV!$C:$AA,21,0)-'TRADE IN'!$F73))</f>
        <v>5799</v>
      </c>
      <c r="X73" s="46">
        <f>IF(VLOOKUP($C73,REV!$C:$AA,22,0)-'TRADE IN'!$F82=0,"",(VLOOKUP($C73,REV!$C:$AA,22,0)-'TRADE IN'!$F73))</f>
        <v>5699</v>
      </c>
      <c r="Y73" s="46">
        <f>IF(VLOOKUP($C73,REV!$C:$AA,23,0)-'TRADE IN'!$F82=0,"",(VLOOKUP($C73,REV!$C:$AA,23,0)-'TRADE IN'!$F73))</f>
        <v>5499</v>
      </c>
      <c r="Z73" s="46">
        <f>IF(VLOOKUP($C73,REV!$C:$AA,24,0)-'TRADE IN'!$F82=0,"",(VLOOKUP($C73,REV!$C:$AA,24,0)-'TRADE IN'!$F73))</f>
        <v>5399</v>
      </c>
      <c r="AA73" s="46">
        <f>IF(VLOOKUP($C73,REV!$C:$AA,25,0)-'TRADE IN'!$F82=0,"",(VLOOKUP($C73,REV!$C:$AA,25,0)-'TRADE IN'!$F73))</f>
        <v>5399</v>
      </c>
      <c r="AB73" s="46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tr">
        <f>IF(REV!AW73=0,"",REV!AW73)</f>
        <v>31.03.2026</v>
      </c>
      <c r="AX73" s="159" t="s">
        <v>82</v>
      </c>
    </row>
    <row r="74" spans="1:50" ht="22.5" customHeight="1">
      <c r="A74" s="52" t="s">
        <v>70</v>
      </c>
      <c r="B74" s="41" t="s">
        <v>62</v>
      </c>
      <c r="C74" s="42">
        <v>4014868</v>
      </c>
      <c r="D74" s="43" t="s">
        <v>131</v>
      </c>
      <c r="E74" s="43" t="s">
        <v>136</v>
      </c>
      <c r="F74" s="45"/>
      <c r="G74" s="45"/>
      <c r="H74" s="46"/>
      <c r="I74" s="46"/>
      <c r="J74" s="46">
        <f>IF(VLOOKUP($C74,REV!$C:$AA,8,0)-'TRADE IN'!$F74=0,"",(VLOOKUP($C74,REV!$C:$AA,8,0)-'TRADE IN'!$F74))</f>
        <v>6799</v>
      </c>
      <c r="K74" s="46">
        <f>IF(VLOOKUP($C74,REV!$C:$AA,9,0)-'TRADE IN'!$F74=0,"",(VLOOKUP($C74,REV!$C:$AA,9,0)-'TRADE IN'!$F74))</f>
        <v>6699</v>
      </c>
      <c r="L74" s="46">
        <f>IF(VLOOKUP($C74,REV!$C:$AA,10,0)-'TRADE IN'!$F83=0,"",(VLOOKUP($C74,REV!$C:$AA,10,0)-'TRADE IN'!$F74))</f>
        <v>6699</v>
      </c>
      <c r="M74" s="46">
        <f>IF(VLOOKUP($C74,REV!$C:$AA,11,0)-'TRADE IN'!$F83=0,"",(VLOOKUP($C74,REV!$C:$AA,11,0)-'TRADE IN'!$F74))</f>
        <v>6799</v>
      </c>
      <c r="N74" s="46">
        <f>IF(VLOOKUP($C74,REV!$C:$AA,12,0)-'TRADE IN'!$F83=0,"",(VLOOKUP($C74,REV!$C:$AA,12,0)-'TRADE IN'!$F74))</f>
        <v>6799</v>
      </c>
      <c r="O74" s="46">
        <f>IF(VLOOKUP($C74,REV!$C:$AA,13,0)-'TRADE IN'!$F83=0,"",(VLOOKUP($C74,REV!$C:$AA,13,0)-'TRADE IN'!$F74))</f>
        <v>6499</v>
      </c>
      <c r="P74" s="46">
        <f>IF(VLOOKUP($C74,REV!$C:$AA,14,0)-'TRADE IN'!$F83=0,"",(VLOOKUP($C74,REV!$C:$AA,14,0)-'TRADE IN'!$F74))</f>
        <v>6299</v>
      </c>
      <c r="Q74" s="46">
        <f>IF(VLOOKUP($C74,REV!$C:$AA,15,0)-'TRADE IN'!$F83=0,"",(VLOOKUP($C74,REV!$C:$AA,15,0)-'TRADE IN'!$F74))</f>
        <v>5999</v>
      </c>
      <c r="R74" s="46">
        <f>IF(VLOOKUP($C74,REV!$C:$AA,16,0)-'TRADE IN'!$F83=0,"",(VLOOKUP($C74,REV!$C:$AA,16,0)-'TRADE IN'!$F74))</f>
        <v>6499</v>
      </c>
      <c r="S74" s="46">
        <f>IF(VLOOKUP($C74,REV!$C:$AA,17,0)-'TRADE IN'!$F83=0,"",(VLOOKUP($C74,REV!$C:$AA,17,0)-'TRADE IN'!$F74))</f>
        <v>6299</v>
      </c>
      <c r="T74" s="46">
        <f>IF(VLOOKUP($C74,REV!$C:$AA,18,0)-'TRADE IN'!$F83=0,"",(VLOOKUP($C74,REV!$C:$AA,18,0)-'TRADE IN'!$F74))</f>
        <v>5999</v>
      </c>
      <c r="U74" s="46">
        <f>IF(VLOOKUP($C74,REV!$C:$AA,19,0)-'TRADE IN'!$F83=0,"",(VLOOKUP($C74,REV!$C:$AA,19,0)-'TRADE IN'!$F74))</f>
        <v>5899</v>
      </c>
      <c r="V74" s="46">
        <f>IF(VLOOKUP($C74,REV!$C:$AA,20,0)-'TRADE IN'!$F83=0,"",(VLOOKUP($C74,REV!$C:$AA,20,0)-'TRADE IN'!$F74))</f>
        <v>5899</v>
      </c>
      <c r="W74" s="46">
        <f>IF(VLOOKUP($C74,REV!$C:$AA,21,0)-'TRADE IN'!$F83=0,"",(VLOOKUP($C74,REV!$C:$AA,21,0)-'TRADE IN'!$F74))</f>
        <v>5799</v>
      </c>
      <c r="X74" s="46">
        <f>IF(VLOOKUP($C74,REV!$C:$AA,22,0)-'TRADE IN'!$F83=0,"",(VLOOKUP($C74,REV!$C:$AA,22,0)-'TRADE IN'!$F74))</f>
        <v>5699</v>
      </c>
      <c r="Y74" s="46">
        <f>IF(VLOOKUP($C74,REV!$C:$AA,23,0)-'TRADE IN'!$F83=0,"",(VLOOKUP($C74,REV!$C:$AA,23,0)-'TRADE IN'!$F74))</f>
        <v>5499</v>
      </c>
      <c r="Z74" s="46">
        <f>IF(VLOOKUP($C74,REV!$C:$AA,24,0)-'TRADE IN'!$F83=0,"",(VLOOKUP($C74,REV!$C:$AA,24,0)-'TRADE IN'!$F74))</f>
        <v>5399</v>
      </c>
      <c r="AA74" s="46">
        <f>IF(VLOOKUP($C74,REV!$C:$AA,25,0)-'TRADE IN'!$F83=0,"",(VLOOKUP($C74,REV!$C:$AA,25,0)-'TRADE IN'!$F74))</f>
        <v>5399</v>
      </c>
      <c r="AB74" s="46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tr">
        <f>IF(REV!AW74=0,"",REV!AW74)</f>
        <v>31.03.2026</v>
      </c>
      <c r="AX74" s="159" t="s">
        <v>82</v>
      </c>
    </row>
    <row r="75" spans="1:50" ht="22.5" customHeight="1">
      <c r="A75" s="52" t="s">
        <v>70</v>
      </c>
      <c r="B75" s="41" t="s">
        <v>62</v>
      </c>
      <c r="C75" s="42">
        <v>4015019</v>
      </c>
      <c r="D75" s="43" t="s">
        <v>137</v>
      </c>
      <c r="E75" s="43" t="s">
        <v>138</v>
      </c>
      <c r="F75" s="45"/>
      <c r="G75" s="45"/>
      <c r="H75" s="46"/>
      <c r="I75" s="46"/>
      <c r="J75" s="46">
        <f>IF(VLOOKUP($C75,REV!$C:$AA,8,0)-'TRADE IN'!$F75=0,"",(VLOOKUP($C75,REV!$C:$AA,8,0)-'TRADE IN'!$F75))</f>
        <v>4199</v>
      </c>
      <c r="K75" s="46">
        <f>IF(VLOOKUP($C75,REV!$C:$AA,9,0)-'TRADE IN'!$F75=0,"",(VLOOKUP($C75,REV!$C:$AA,9,0)-'TRADE IN'!$F75))</f>
        <v>4199</v>
      </c>
      <c r="L75" s="46">
        <f>IF(VLOOKUP($C75,REV!$C:$AA,10,0)-'TRADE IN'!$F84=0,"",(VLOOKUP($C75,REV!$C:$AA,10,0)-'TRADE IN'!$F75))</f>
        <v>4199</v>
      </c>
      <c r="M75" s="46">
        <f>IF(VLOOKUP($C75,REV!$C:$AA,11,0)-'TRADE IN'!$F84=0,"",(VLOOKUP($C75,REV!$C:$AA,11,0)-'TRADE IN'!$F75))</f>
        <v>4199</v>
      </c>
      <c r="N75" s="46">
        <f>IF(VLOOKUP($C75,REV!$C:$AA,12,0)-'TRADE IN'!$F84=0,"",(VLOOKUP($C75,REV!$C:$AA,12,0)-'TRADE IN'!$F75))</f>
        <v>4199</v>
      </c>
      <c r="O75" s="46">
        <f>IF(VLOOKUP($C75,REV!$C:$AA,13,0)-'TRADE IN'!$F84=0,"",(VLOOKUP($C75,REV!$C:$AA,13,0)-'TRADE IN'!$F75))</f>
        <v>3899</v>
      </c>
      <c r="P75" s="46">
        <f>IF(VLOOKUP($C75,REV!$C:$AA,14,0)-'TRADE IN'!$F84=0,"",(VLOOKUP($C75,REV!$C:$AA,14,0)-'TRADE IN'!$F75))</f>
        <v>3799</v>
      </c>
      <c r="Q75" s="46">
        <f>IF(VLOOKUP($C75,REV!$C:$AA,15,0)-'TRADE IN'!$F84=0,"",(VLOOKUP($C75,REV!$C:$AA,15,0)-'TRADE IN'!$F75))</f>
        <v>3099</v>
      </c>
      <c r="R75" s="46">
        <f>IF(VLOOKUP($C75,REV!$C:$AA,16,0)-'TRADE IN'!$F84=0,"",(VLOOKUP($C75,REV!$C:$AA,16,0)-'TRADE IN'!$F75))</f>
        <v>3899</v>
      </c>
      <c r="S75" s="46">
        <f>IF(VLOOKUP($C75,REV!$C:$AA,17,0)-'TRADE IN'!$F84=0,"",(VLOOKUP($C75,REV!$C:$AA,17,0)-'TRADE IN'!$F75))</f>
        <v>3799</v>
      </c>
      <c r="T75" s="46">
        <f>IF(VLOOKUP($C75,REV!$C:$AA,18,0)-'TRADE IN'!$F84=0,"",(VLOOKUP($C75,REV!$C:$AA,18,0)-'TRADE IN'!$F75))</f>
        <v>3099</v>
      </c>
      <c r="U75" s="46">
        <f>IF(VLOOKUP($C75,REV!$C:$AA,19,0)-'TRADE IN'!$F84=0,"",(VLOOKUP($C75,REV!$C:$AA,19,0)-'TRADE IN'!$F75))</f>
        <v>3099</v>
      </c>
      <c r="V75" s="46">
        <f>IF(VLOOKUP($C75,REV!$C:$AA,20,0)-'TRADE IN'!$F84=0,"",(VLOOKUP($C75,REV!$C:$AA,20,0)-'TRADE IN'!$F75))</f>
        <v>3099</v>
      </c>
      <c r="W75" s="46">
        <f>IF(VLOOKUP($C75,REV!$C:$AA,21,0)-'TRADE IN'!$F84=0,"",(VLOOKUP($C75,REV!$C:$AA,21,0)-'TRADE IN'!$F75))</f>
        <v>3099</v>
      </c>
      <c r="X75" s="46">
        <f>IF(VLOOKUP($C75,REV!$C:$AA,22,0)-'TRADE IN'!$F84=0,"",(VLOOKUP($C75,REV!$C:$AA,22,0)-'TRADE IN'!$F75))</f>
        <v>2999</v>
      </c>
      <c r="Y75" s="46">
        <f>IF(VLOOKUP($C75,REV!$C:$AA,23,0)-'TRADE IN'!$F84=0,"",(VLOOKUP($C75,REV!$C:$AA,23,0)-'TRADE IN'!$F75))</f>
        <v>2499</v>
      </c>
      <c r="Z75" s="46">
        <f>IF(VLOOKUP($C75,REV!$C:$AA,24,0)-'TRADE IN'!$F84=0,"",(VLOOKUP($C75,REV!$C:$AA,24,0)-'TRADE IN'!$F75))</f>
        <v>2499</v>
      </c>
      <c r="AA75" s="46">
        <f>IF(VLOOKUP($C75,REV!$C:$AA,25,0)-'TRADE IN'!$F84=0,"",(VLOOKUP($C75,REV!$C:$AA,25,0)-'TRADE IN'!$F75))</f>
        <v>2499</v>
      </c>
      <c r="AB75" s="46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tr">
        <f>IF(REV!AW75=0,"",REV!AW75)</f>
        <v>31.03.2026</v>
      </c>
      <c r="AX75" s="159" t="s">
        <v>82</v>
      </c>
    </row>
    <row r="76" spans="1:50" ht="22.5" customHeight="1">
      <c r="A76" s="52" t="s">
        <v>70</v>
      </c>
      <c r="B76" s="41" t="s">
        <v>62</v>
      </c>
      <c r="C76" s="42">
        <v>4015165</v>
      </c>
      <c r="D76" s="43" t="s">
        <v>137</v>
      </c>
      <c r="E76" s="43" t="s">
        <v>139</v>
      </c>
      <c r="F76" s="45"/>
      <c r="G76" s="45"/>
      <c r="H76" s="46"/>
      <c r="I76" s="46"/>
      <c r="J76" s="46">
        <f>IF(VLOOKUP($C76,REV!$C:$AA,8,0)-'TRADE IN'!$F76=0,"",(VLOOKUP($C76,REV!$C:$AA,8,0)-'TRADE IN'!$F76))</f>
        <v>4199</v>
      </c>
      <c r="K76" s="46">
        <f>IF(VLOOKUP($C76,REV!$C:$AA,9,0)-'TRADE IN'!$F76=0,"",(VLOOKUP($C76,REV!$C:$AA,9,0)-'TRADE IN'!$F76))</f>
        <v>4199</v>
      </c>
      <c r="L76" s="46">
        <f>IF(VLOOKUP($C76,REV!$C:$AA,10,0)-'TRADE IN'!$F85=0,"",(VLOOKUP($C76,REV!$C:$AA,10,0)-'TRADE IN'!$F76))</f>
        <v>4199</v>
      </c>
      <c r="M76" s="46">
        <f>IF(VLOOKUP($C76,REV!$C:$AA,11,0)-'TRADE IN'!$F85=0,"",(VLOOKUP($C76,REV!$C:$AA,11,0)-'TRADE IN'!$F76))</f>
        <v>4199</v>
      </c>
      <c r="N76" s="46">
        <f>IF(VLOOKUP($C76,REV!$C:$AA,12,0)-'TRADE IN'!$F85=0,"",(VLOOKUP($C76,REV!$C:$AA,12,0)-'TRADE IN'!$F76))</f>
        <v>4199</v>
      </c>
      <c r="O76" s="46">
        <f>IF(VLOOKUP($C76,REV!$C:$AA,13,0)-'TRADE IN'!$F85=0,"",(VLOOKUP($C76,REV!$C:$AA,13,0)-'TRADE IN'!$F76))</f>
        <v>3899</v>
      </c>
      <c r="P76" s="46">
        <f>IF(VLOOKUP($C76,REV!$C:$AA,14,0)-'TRADE IN'!$F85=0,"",(VLOOKUP($C76,REV!$C:$AA,14,0)-'TRADE IN'!$F76))</f>
        <v>3799</v>
      </c>
      <c r="Q76" s="46">
        <f>IF(VLOOKUP($C76,REV!$C:$AA,15,0)-'TRADE IN'!$F85=0,"",(VLOOKUP($C76,REV!$C:$AA,15,0)-'TRADE IN'!$F76))</f>
        <v>3099</v>
      </c>
      <c r="R76" s="46">
        <f>IF(VLOOKUP($C76,REV!$C:$AA,16,0)-'TRADE IN'!$F85=0,"",(VLOOKUP($C76,REV!$C:$AA,16,0)-'TRADE IN'!$F76))</f>
        <v>3899</v>
      </c>
      <c r="S76" s="46">
        <f>IF(VLOOKUP($C76,REV!$C:$AA,17,0)-'TRADE IN'!$F85=0,"",(VLOOKUP($C76,REV!$C:$AA,17,0)-'TRADE IN'!$F76))</f>
        <v>3799</v>
      </c>
      <c r="T76" s="46">
        <f>IF(VLOOKUP($C76,REV!$C:$AA,18,0)-'TRADE IN'!$F85=0,"",(VLOOKUP($C76,REV!$C:$AA,18,0)-'TRADE IN'!$F76))</f>
        <v>3099</v>
      </c>
      <c r="U76" s="46">
        <f>IF(VLOOKUP($C76,REV!$C:$AA,19,0)-'TRADE IN'!$F85=0,"",(VLOOKUP($C76,REV!$C:$AA,19,0)-'TRADE IN'!$F76))</f>
        <v>3099</v>
      </c>
      <c r="V76" s="46">
        <f>IF(VLOOKUP($C76,REV!$C:$AA,20,0)-'TRADE IN'!$F85=0,"",(VLOOKUP($C76,REV!$C:$AA,20,0)-'TRADE IN'!$F76))</f>
        <v>3099</v>
      </c>
      <c r="W76" s="46">
        <f>IF(VLOOKUP($C76,REV!$C:$AA,21,0)-'TRADE IN'!$F85=0,"",(VLOOKUP($C76,REV!$C:$AA,21,0)-'TRADE IN'!$F76))</f>
        <v>3099</v>
      </c>
      <c r="X76" s="46">
        <f>IF(VLOOKUP($C76,REV!$C:$AA,22,0)-'TRADE IN'!$F85=0,"",(VLOOKUP($C76,REV!$C:$AA,22,0)-'TRADE IN'!$F76))</f>
        <v>2999</v>
      </c>
      <c r="Y76" s="46">
        <f>IF(VLOOKUP($C76,REV!$C:$AA,23,0)-'TRADE IN'!$F85=0,"",(VLOOKUP($C76,REV!$C:$AA,23,0)-'TRADE IN'!$F76))</f>
        <v>2499</v>
      </c>
      <c r="Z76" s="46">
        <f>IF(VLOOKUP($C76,REV!$C:$AA,24,0)-'TRADE IN'!$F85=0,"",(VLOOKUP($C76,REV!$C:$AA,24,0)-'TRADE IN'!$F76))</f>
        <v>2499</v>
      </c>
      <c r="AA76" s="46">
        <f>IF(VLOOKUP($C76,REV!$C:$AA,25,0)-'TRADE IN'!$F85=0,"",(VLOOKUP($C76,REV!$C:$AA,25,0)-'TRADE IN'!$F76))</f>
        <v>2499</v>
      </c>
      <c r="AB76" s="46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tr">
        <f>IF(REV!AW76=0,"",REV!AW76)</f>
        <v>31.03.2026</v>
      </c>
      <c r="AX76" s="159" t="s">
        <v>82</v>
      </c>
    </row>
    <row r="77" spans="1:50" ht="22.5" customHeight="1">
      <c r="A77" s="52" t="s">
        <v>70</v>
      </c>
      <c r="B77" s="41" t="s">
        <v>62</v>
      </c>
      <c r="C77" s="42">
        <v>4015178</v>
      </c>
      <c r="D77" s="43" t="s">
        <v>137</v>
      </c>
      <c r="E77" s="43" t="s">
        <v>140</v>
      </c>
      <c r="F77" s="45"/>
      <c r="G77" s="45"/>
      <c r="H77" s="46"/>
      <c r="I77" s="46"/>
      <c r="J77" s="46">
        <f>IF(VLOOKUP($C77,REV!$C:$AA,8,0)-'TRADE IN'!$F77=0,"",(VLOOKUP($C77,REV!$C:$AA,8,0)-'TRADE IN'!$F77))</f>
        <v>4199</v>
      </c>
      <c r="K77" s="46">
        <f>IF(VLOOKUP($C77,REV!$C:$AA,9,0)-'TRADE IN'!$F77=0,"",(VLOOKUP($C77,REV!$C:$AA,9,0)-'TRADE IN'!$F77))</f>
        <v>4199</v>
      </c>
      <c r="L77" s="46">
        <f>IF(VLOOKUP($C77,REV!$C:$AA,10,0)-'TRADE IN'!$F86=0,"",(VLOOKUP($C77,REV!$C:$AA,10,0)-'TRADE IN'!$F77))</f>
        <v>4199</v>
      </c>
      <c r="M77" s="46">
        <f>IF(VLOOKUP($C77,REV!$C:$AA,11,0)-'TRADE IN'!$F86=0,"",(VLOOKUP($C77,REV!$C:$AA,11,0)-'TRADE IN'!$F77))</f>
        <v>4199</v>
      </c>
      <c r="N77" s="46">
        <f>IF(VLOOKUP($C77,REV!$C:$AA,12,0)-'TRADE IN'!$F86=0,"",(VLOOKUP($C77,REV!$C:$AA,12,0)-'TRADE IN'!$F77))</f>
        <v>4199</v>
      </c>
      <c r="O77" s="46">
        <f>IF(VLOOKUP($C77,REV!$C:$AA,13,0)-'TRADE IN'!$F86=0,"",(VLOOKUP($C77,REV!$C:$AA,13,0)-'TRADE IN'!$F77))</f>
        <v>3899</v>
      </c>
      <c r="P77" s="46">
        <f>IF(VLOOKUP($C77,REV!$C:$AA,14,0)-'TRADE IN'!$F86=0,"",(VLOOKUP($C77,REV!$C:$AA,14,0)-'TRADE IN'!$F77))</f>
        <v>3799</v>
      </c>
      <c r="Q77" s="46">
        <f>IF(VLOOKUP($C77,REV!$C:$AA,15,0)-'TRADE IN'!$F86=0,"",(VLOOKUP($C77,REV!$C:$AA,15,0)-'TRADE IN'!$F77))</f>
        <v>3099</v>
      </c>
      <c r="R77" s="46">
        <f>IF(VLOOKUP($C77,REV!$C:$AA,16,0)-'TRADE IN'!$F86=0,"",(VLOOKUP($C77,REV!$C:$AA,16,0)-'TRADE IN'!$F77))</f>
        <v>3899</v>
      </c>
      <c r="S77" s="46">
        <f>IF(VLOOKUP($C77,REV!$C:$AA,17,0)-'TRADE IN'!$F86=0,"",(VLOOKUP($C77,REV!$C:$AA,17,0)-'TRADE IN'!$F77))</f>
        <v>3799</v>
      </c>
      <c r="T77" s="46">
        <f>IF(VLOOKUP($C77,REV!$C:$AA,18,0)-'TRADE IN'!$F86=0,"",(VLOOKUP($C77,REV!$C:$AA,18,0)-'TRADE IN'!$F77))</f>
        <v>3099</v>
      </c>
      <c r="U77" s="46">
        <f>IF(VLOOKUP($C77,REV!$C:$AA,19,0)-'TRADE IN'!$F86=0,"",(VLOOKUP($C77,REV!$C:$AA,19,0)-'TRADE IN'!$F77))</f>
        <v>3099</v>
      </c>
      <c r="V77" s="46">
        <f>IF(VLOOKUP($C77,REV!$C:$AA,20,0)-'TRADE IN'!$F86=0,"",(VLOOKUP($C77,REV!$C:$AA,20,0)-'TRADE IN'!$F77))</f>
        <v>3099</v>
      </c>
      <c r="W77" s="46">
        <f>IF(VLOOKUP($C77,REV!$C:$AA,21,0)-'TRADE IN'!$F86=0,"",(VLOOKUP($C77,REV!$C:$AA,21,0)-'TRADE IN'!$F77))</f>
        <v>3099</v>
      </c>
      <c r="X77" s="46">
        <f>IF(VLOOKUP($C77,REV!$C:$AA,22,0)-'TRADE IN'!$F86=0,"",(VLOOKUP($C77,REV!$C:$AA,22,0)-'TRADE IN'!$F77))</f>
        <v>2999</v>
      </c>
      <c r="Y77" s="46">
        <f>IF(VLOOKUP($C77,REV!$C:$AA,23,0)-'TRADE IN'!$F86=0,"",(VLOOKUP($C77,REV!$C:$AA,23,0)-'TRADE IN'!$F77))</f>
        <v>2499</v>
      </c>
      <c r="Z77" s="46">
        <f>IF(VLOOKUP($C77,REV!$C:$AA,24,0)-'TRADE IN'!$F86=0,"",(VLOOKUP($C77,REV!$C:$AA,24,0)-'TRADE IN'!$F77))</f>
        <v>2499</v>
      </c>
      <c r="AA77" s="46">
        <f>IF(VLOOKUP($C77,REV!$C:$AA,25,0)-'TRADE IN'!$F86=0,"",(VLOOKUP($C77,REV!$C:$AA,25,0)-'TRADE IN'!$F77))</f>
        <v>2499</v>
      </c>
      <c r="AB77" s="46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tr">
        <f>IF(REV!AW77=0,"",REV!AW77)</f>
        <v>31.03.2026</v>
      </c>
      <c r="AX77" s="159" t="s">
        <v>82</v>
      </c>
    </row>
    <row r="78" spans="1:50" ht="22.5" customHeight="1">
      <c r="A78" s="52" t="s">
        <v>70</v>
      </c>
      <c r="B78" s="41" t="s">
        <v>62</v>
      </c>
      <c r="C78" s="42">
        <v>4015185</v>
      </c>
      <c r="D78" s="43" t="s">
        <v>137</v>
      </c>
      <c r="E78" s="43" t="s">
        <v>141</v>
      </c>
      <c r="F78" s="45"/>
      <c r="G78" s="45"/>
      <c r="H78" s="46"/>
      <c r="I78" s="46"/>
      <c r="J78" s="46">
        <f>IF(VLOOKUP($C78,REV!$C:$AA,8,0)-'TRADE IN'!$F78=0,"",(VLOOKUP($C78,REV!$C:$AA,8,0)-'TRADE IN'!$F78))</f>
        <v>4199</v>
      </c>
      <c r="K78" s="46">
        <f>IF(VLOOKUP($C78,REV!$C:$AA,9,0)-'TRADE IN'!$F78=0,"",(VLOOKUP($C78,REV!$C:$AA,9,0)-'TRADE IN'!$F78))</f>
        <v>4199</v>
      </c>
      <c r="L78" s="46">
        <f>IF(VLOOKUP($C78,REV!$C:$AA,10,0)-'TRADE IN'!$F87=0,"",(VLOOKUP($C78,REV!$C:$AA,10,0)-'TRADE IN'!$F78))</f>
        <v>4199</v>
      </c>
      <c r="M78" s="46">
        <f>IF(VLOOKUP($C78,REV!$C:$AA,11,0)-'TRADE IN'!$F87=0,"",(VLOOKUP($C78,REV!$C:$AA,11,0)-'TRADE IN'!$F78))</f>
        <v>4199</v>
      </c>
      <c r="N78" s="46">
        <f>IF(VLOOKUP($C78,REV!$C:$AA,12,0)-'TRADE IN'!$F87=0,"",(VLOOKUP($C78,REV!$C:$AA,12,0)-'TRADE IN'!$F78))</f>
        <v>4199</v>
      </c>
      <c r="O78" s="46">
        <f>IF(VLOOKUP($C78,REV!$C:$AA,13,0)-'TRADE IN'!$F87=0,"",(VLOOKUP($C78,REV!$C:$AA,13,0)-'TRADE IN'!$F78))</f>
        <v>3899</v>
      </c>
      <c r="P78" s="46">
        <f>IF(VLOOKUP($C78,REV!$C:$AA,14,0)-'TRADE IN'!$F87=0,"",(VLOOKUP($C78,REV!$C:$AA,14,0)-'TRADE IN'!$F78))</f>
        <v>3799</v>
      </c>
      <c r="Q78" s="46">
        <f>IF(VLOOKUP($C78,REV!$C:$AA,15,0)-'TRADE IN'!$F87=0,"",(VLOOKUP($C78,REV!$C:$AA,15,0)-'TRADE IN'!$F78))</f>
        <v>3099</v>
      </c>
      <c r="R78" s="46">
        <f>IF(VLOOKUP($C78,REV!$C:$AA,16,0)-'TRADE IN'!$F87=0,"",(VLOOKUP($C78,REV!$C:$AA,16,0)-'TRADE IN'!$F78))</f>
        <v>3899</v>
      </c>
      <c r="S78" s="46">
        <f>IF(VLOOKUP($C78,REV!$C:$AA,17,0)-'TRADE IN'!$F87=0,"",(VLOOKUP($C78,REV!$C:$AA,17,0)-'TRADE IN'!$F78))</f>
        <v>3799</v>
      </c>
      <c r="T78" s="46">
        <f>IF(VLOOKUP($C78,REV!$C:$AA,18,0)-'TRADE IN'!$F87=0,"",(VLOOKUP($C78,REV!$C:$AA,18,0)-'TRADE IN'!$F78))</f>
        <v>3099</v>
      </c>
      <c r="U78" s="46">
        <f>IF(VLOOKUP($C78,REV!$C:$AA,19,0)-'TRADE IN'!$F87=0,"",(VLOOKUP($C78,REV!$C:$AA,19,0)-'TRADE IN'!$F78))</f>
        <v>3099</v>
      </c>
      <c r="V78" s="46">
        <f>IF(VLOOKUP($C78,REV!$C:$AA,20,0)-'TRADE IN'!$F87=0,"",(VLOOKUP($C78,REV!$C:$AA,20,0)-'TRADE IN'!$F78))</f>
        <v>3099</v>
      </c>
      <c r="W78" s="46">
        <f>IF(VLOOKUP($C78,REV!$C:$AA,21,0)-'TRADE IN'!$F87=0,"",(VLOOKUP($C78,REV!$C:$AA,21,0)-'TRADE IN'!$F78))</f>
        <v>3099</v>
      </c>
      <c r="X78" s="46">
        <f>IF(VLOOKUP($C78,REV!$C:$AA,22,0)-'TRADE IN'!$F87=0,"",(VLOOKUP($C78,REV!$C:$AA,22,0)-'TRADE IN'!$F78))</f>
        <v>2999</v>
      </c>
      <c r="Y78" s="46">
        <f>IF(VLOOKUP($C78,REV!$C:$AA,23,0)-'TRADE IN'!$F87=0,"",(VLOOKUP($C78,REV!$C:$AA,23,0)-'TRADE IN'!$F78))</f>
        <v>2499</v>
      </c>
      <c r="Z78" s="46">
        <f>IF(VLOOKUP($C78,REV!$C:$AA,24,0)-'TRADE IN'!$F87=0,"",(VLOOKUP($C78,REV!$C:$AA,24,0)-'TRADE IN'!$F78))</f>
        <v>2499</v>
      </c>
      <c r="AA78" s="46">
        <f>IF(VLOOKUP($C78,REV!$C:$AA,25,0)-'TRADE IN'!$F87=0,"",(VLOOKUP($C78,REV!$C:$AA,25,0)-'TRADE IN'!$F78))</f>
        <v>2499</v>
      </c>
      <c r="AB78" s="46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tr">
        <f>IF(REV!AW78=0,"",REV!AW78)</f>
        <v>31.03.2026</v>
      </c>
      <c r="AX78" s="159" t="s">
        <v>82</v>
      </c>
    </row>
    <row r="79" spans="1:50" ht="22.5" customHeight="1">
      <c r="A79" s="52" t="s">
        <v>70</v>
      </c>
      <c r="B79" s="41" t="s">
        <v>62</v>
      </c>
      <c r="C79" s="42">
        <v>4015171</v>
      </c>
      <c r="D79" s="43" t="s">
        <v>137</v>
      </c>
      <c r="E79" s="43" t="s">
        <v>142</v>
      </c>
      <c r="F79" s="45"/>
      <c r="G79" s="45"/>
      <c r="H79" s="46"/>
      <c r="I79" s="46"/>
      <c r="J79" s="46">
        <f>IF(VLOOKUP($C79,REV!$C:$AA,8,0)-'TRADE IN'!$F79=0,"",(VLOOKUP($C79,REV!$C:$AA,8,0)-'TRADE IN'!$F79))</f>
        <v>4199</v>
      </c>
      <c r="K79" s="46">
        <f>IF(VLOOKUP($C79,REV!$C:$AA,9,0)-'TRADE IN'!$F79=0,"",(VLOOKUP($C79,REV!$C:$AA,9,0)-'TRADE IN'!$F79))</f>
        <v>4199</v>
      </c>
      <c r="L79" s="46">
        <f>IF(VLOOKUP($C79,REV!$C:$AA,10,0)-'TRADE IN'!$F88=0,"",(VLOOKUP($C79,REV!$C:$AA,10,0)-'TRADE IN'!$F79))</f>
        <v>4199</v>
      </c>
      <c r="M79" s="46">
        <f>IF(VLOOKUP($C79,REV!$C:$AA,11,0)-'TRADE IN'!$F88=0,"",(VLOOKUP($C79,REV!$C:$AA,11,0)-'TRADE IN'!$F79))</f>
        <v>4199</v>
      </c>
      <c r="N79" s="46">
        <f>IF(VLOOKUP($C79,REV!$C:$AA,12,0)-'TRADE IN'!$F88=0,"",(VLOOKUP($C79,REV!$C:$AA,12,0)-'TRADE IN'!$F79))</f>
        <v>4199</v>
      </c>
      <c r="O79" s="46">
        <f>IF(VLOOKUP($C79,REV!$C:$AA,13,0)-'TRADE IN'!$F88=0,"",(VLOOKUP($C79,REV!$C:$AA,13,0)-'TRADE IN'!$F79))</f>
        <v>3899</v>
      </c>
      <c r="P79" s="46">
        <f>IF(VLOOKUP($C79,REV!$C:$AA,14,0)-'TRADE IN'!$F88=0,"",(VLOOKUP($C79,REV!$C:$AA,14,0)-'TRADE IN'!$F79))</f>
        <v>3799</v>
      </c>
      <c r="Q79" s="46">
        <f>IF(VLOOKUP($C79,REV!$C:$AA,15,0)-'TRADE IN'!$F88=0,"",(VLOOKUP($C79,REV!$C:$AA,15,0)-'TRADE IN'!$F79))</f>
        <v>3099</v>
      </c>
      <c r="R79" s="46">
        <f>IF(VLOOKUP($C79,REV!$C:$AA,16,0)-'TRADE IN'!$F88=0,"",(VLOOKUP($C79,REV!$C:$AA,16,0)-'TRADE IN'!$F79))</f>
        <v>3899</v>
      </c>
      <c r="S79" s="46">
        <f>IF(VLOOKUP($C79,REV!$C:$AA,17,0)-'TRADE IN'!$F88=0,"",(VLOOKUP($C79,REV!$C:$AA,17,0)-'TRADE IN'!$F79))</f>
        <v>3799</v>
      </c>
      <c r="T79" s="46">
        <f>IF(VLOOKUP($C79,REV!$C:$AA,18,0)-'TRADE IN'!$F88=0,"",(VLOOKUP($C79,REV!$C:$AA,18,0)-'TRADE IN'!$F79))</f>
        <v>3099</v>
      </c>
      <c r="U79" s="46">
        <f>IF(VLOOKUP($C79,REV!$C:$AA,19,0)-'TRADE IN'!$F88=0,"",(VLOOKUP($C79,REV!$C:$AA,19,0)-'TRADE IN'!$F79))</f>
        <v>3099</v>
      </c>
      <c r="V79" s="46">
        <f>IF(VLOOKUP($C79,REV!$C:$AA,20,0)-'TRADE IN'!$F88=0,"",(VLOOKUP($C79,REV!$C:$AA,20,0)-'TRADE IN'!$F79))</f>
        <v>3099</v>
      </c>
      <c r="W79" s="46">
        <f>IF(VLOOKUP($C79,REV!$C:$AA,21,0)-'TRADE IN'!$F88=0,"",(VLOOKUP($C79,REV!$C:$AA,21,0)-'TRADE IN'!$F79))</f>
        <v>3099</v>
      </c>
      <c r="X79" s="46">
        <f>IF(VLOOKUP($C79,REV!$C:$AA,22,0)-'TRADE IN'!$F88=0,"",(VLOOKUP($C79,REV!$C:$AA,22,0)-'TRADE IN'!$F79))</f>
        <v>2999</v>
      </c>
      <c r="Y79" s="46">
        <f>IF(VLOOKUP($C79,REV!$C:$AA,23,0)-'TRADE IN'!$F88=0,"",(VLOOKUP($C79,REV!$C:$AA,23,0)-'TRADE IN'!$F79))</f>
        <v>2499</v>
      </c>
      <c r="Z79" s="46">
        <f>IF(VLOOKUP($C79,REV!$C:$AA,24,0)-'TRADE IN'!$F88=0,"",(VLOOKUP($C79,REV!$C:$AA,24,0)-'TRADE IN'!$F79))</f>
        <v>2499</v>
      </c>
      <c r="AA79" s="46">
        <f>IF(VLOOKUP($C79,REV!$C:$AA,25,0)-'TRADE IN'!$F88=0,"",(VLOOKUP($C79,REV!$C:$AA,25,0)-'TRADE IN'!$F79))</f>
        <v>2499</v>
      </c>
      <c r="AB79" s="46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tr">
        <f>IF(REV!AW79=0,"",REV!AW79)</f>
        <v>31.03.2026</v>
      </c>
      <c r="AX79" s="159" t="s">
        <v>82</v>
      </c>
    </row>
    <row r="80" spans="1:50" ht="22.5" customHeight="1">
      <c r="A80" s="52" t="s">
        <v>70</v>
      </c>
      <c r="B80" s="41" t="s">
        <v>62</v>
      </c>
      <c r="C80" s="42">
        <v>4015262</v>
      </c>
      <c r="D80" s="43" t="s">
        <v>137</v>
      </c>
      <c r="E80" s="43" t="s">
        <v>143</v>
      </c>
      <c r="F80" s="45"/>
      <c r="G80" s="45"/>
      <c r="H80" s="46"/>
      <c r="I80" s="46"/>
      <c r="J80" s="46">
        <f>IF(VLOOKUP($C80,REV!$C:$AA,8,0)-'TRADE IN'!$F80=0,"",(VLOOKUP($C80,REV!$C:$AA,8,0)-'TRADE IN'!$F80))</f>
        <v>4199</v>
      </c>
      <c r="K80" s="46">
        <f>IF(VLOOKUP($C80,REV!$C:$AA,9,0)-'TRADE IN'!$F80=0,"",(VLOOKUP($C80,REV!$C:$AA,9,0)-'TRADE IN'!$F80))</f>
        <v>4199</v>
      </c>
      <c r="L80" s="46">
        <f>IF(VLOOKUP($C80,REV!$C:$AA,10,0)-'TRADE IN'!$F89=0,"",(VLOOKUP($C80,REV!$C:$AA,10,0)-'TRADE IN'!$F80))</f>
        <v>4199</v>
      </c>
      <c r="M80" s="46">
        <f>IF(VLOOKUP($C80,REV!$C:$AA,11,0)-'TRADE IN'!$F89=0,"",(VLOOKUP($C80,REV!$C:$AA,11,0)-'TRADE IN'!$F80))</f>
        <v>4199</v>
      </c>
      <c r="N80" s="46">
        <f>IF(VLOOKUP($C80,REV!$C:$AA,12,0)-'TRADE IN'!$F89=0,"",(VLOOKUP($C80,REV!$C:$AA,12,0)-'TRADE IN'!$F80))</f>
        <v>4199</v>
      </c>
      <c r="O80" s="46">
        <f>IF(VLOOKUP($C80,REV!$C:$AA,13,0)-'TRADE IN'!$F89=0,"",(VLOOKUP($C80,REV!$C:$AA,13,0)-'TRADE IN'!$F80))</f>
        <v>3899</v>
      </c>
      <c r="P80" s="46">
        <f>IF(VLOOKUP($C80,REV!$C:$AA,14,0)-'TRADE IN'!$F89=0,"",(VLOOKUP($C80,REV!$C:$AA,14,0)-'TRADE IN'!$F80))</f>
        <v>3799</v>
      </c>
      <c r="Q80" s="46">
        <f>IF(VLOOKUP($C80,REV!$C:$AA,15,0)-'TRADE IN'!$F89=0,"",(VLOOKUP($C80,REV!$C:$AA,15,0)-'TRADE IN'!$F80))</f>
        <v>3099</v>
      </c>
      <c r="R80" s="46">
        <f>IF(VLOOKUP($C80,REV!$C:$AA,16,0)-'TRADE IN'!$F89=0,"",(VLOOKUP($C80,REV!$C:$AA,16,0)-'TRADE IN'!$F80))</f>
        <v>3899</v>
      </c>
      <c r="S80" s="46">
        <f>IF(VLOOKUP($C80,REV!$C:$AA,17,0)-'TRADE IN'!$F89=0,"",(VLOOKUP($C80,REV!$C:$AA,17,0)-'TRADE IN'!$F80))</f>
        <v>3799</v>
      </c>
      <c r="T80" s="46">
        <f>IF(VLOOKUP($C80,REV!$C:$AA,18,0)-'TRADE IN'!$F89=0,"",(VLOOKUP($C80,REV!$C:$AA,18,0)-'TRADE IN'!$F80))</f>
        <v>3099</v>
      </c>
      <c r="U80" s="46">
        <f>IF(VLOOKUP($C80,REV!$C:$AA,19,0)-'TRADE IN'!$F89=0,"",(VLOOKUP($C80,REV!$C:$AA,19,0)-'TRADE IN'!$F80))</f>
        <v>3099</v>
      </c>
      <c r="V80" s="46">
        <f>IF(VLOOKUP($C80,REV!$C:$AA,20,0)-'TRADE IN'!$F89=0,"",(VLOOKUP($C80,REV!$C:$AA,20,0)-'TRADE IN'!$F80))</f>
        <v>3099</v>
      </c>
      <c r="W80" s="46">
        <f>IF(VLOOKUP($C80,REV!$C:$AA,21,0)-'TRADE IN'!$F89=0,"",(VLOOKUP($C80,REV!$C:$AA,21,0)-'TRADE IN'!$F80))</f>
        <v>3099</v>
      </c>
      <c r="X80" s="46">
        <f>IF(VLOOKUP($C80,REV!$C:$AA,22,0)-'TRADE IN'!$F89=0,"",(VLOOKUP($C80,REV!$C:$AA,22,0)-'TRADE IN'!$F80))</f>
        <v>2999</v>
      </c>
      <c r="Y80" s="46">
        <f>IF(VLOOKUP($C80,REV!$C:$AA,23,0)-'TRADE IN'!$F89=0,"",(VLOOKUP($C80,REV!$C:$AA,23,0)-'TRADE IN'!$F80))</f>
        <v>2499</v>
      </c>
      <c r="Z80" s="46">
        <f>IF(VLOOKUP($C80,REV!$C:$AA,24,0)-'TRADE IN'!$F89=0,"",(VLOOKUP($C80,REV!$C:$AA,24,0)-'TRADE IN'!$F80))</f>
        <v>2499</v>
      </c>
      <c r="AA80" s="46">
        <f>IF(VLOOKUP($C80,REV!$C:$AA,25,0)-'TRADE IN'!$F89=0,"",(VLOOKUP($C80,REV!$C:$AA,25,0)-'TRADE IN'!$F80))</f>
        <v>2499</v>
      </c>
      <c r="AB80" s="46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tr">
        <f>IF(REV!AW80=0,"",REV!AW80)</f>
        <v>31.03.2026</v>
      </c>
      <c r="AX80" s="159" t="s">
        <v>82</v>
      </c>
    </row>
    <row r="81" spans="1:50" ht="22.5" customHeight="1">
      <c r="A81" s="52" t="s">
        <v>70</v>
      </c>
      <c r="B81" s="41" t="s">
        <v>62</v>
      </c>
      <c r="C81" s="42">
        <v>4015263</v>
      </c>
      <c r="D81" s="43" t="s">
        <v>137</v>
      </c>
      <c r="E81" s="43" t="s">
        <v>144</v>
      </c>
      <c r="F81" s="45"/>
      <c r="G81" s="45"/>
      <c r="H81" s="46"/>
      <c r="I81" s="46"/>
      <c r="J81" s="46">
        <f>IF(VLOOKUP($C81,REV!$C:$AA,8,0)-'TRADE IN'!$F81=0,"",(VLOOKUP($C81,REV!$C:$AA,8,0)-'TRADE IN'!$F81))</f>
        <v>4199</v>
      </c>
      <c r="K81" s="46">
        <f>IF(VLOOKUP($C81,REV!$C:$AA,9,0)-'TRADE IN'!$F81=0,"",(VLOOKUP($C81,REV!$C:$AA,9,0)-'TRADE IN'!$F81))</f>
        <v>4199</v>
      </c>
      <c r="L81" s="46">
        <f>IF(VLOOKUP($C81,REV!$C:$AA,10,0)-'TRADE IN'!$F90=0,"",(VLOOKUP($C81,REV!$C:$AA,10,0)-'TRADE IN'!$F81))</f>
        <v>4199</v>
      </c>
      <c r="M81" s="46">
        <f>IF(VLOOKUP($C81,REV!$C:$AA,11,0)-'TRADE IN'!$F90=0,"",(VLOOKUP($C81,REV!$C:$AA,11,0)-'TRADE IN'!$F81))</f>
        <v>4199</v>
      </c>
      <c r="N81" s="46">
        <f>IF(VLOOKUP($C81,REV!$C:$AA,12,0)-'TRADE IN'!$F90=0,"",(VLOOKUP($C81,REV!$C:$AA,12,0)-'TRADE IN'!$F81))</f>
        <v>4199</v>
      </c>
      <c r="O81" s="46">
        <f>IF(VLOOKUP($C81,REV!$C:$AA,13,0)-'TRADE IN'!$F90=0,"",(VLOOKUP($C81,REV!$C:$AA,13,0)-'TRADE IN'!$F81))</f>
        <v>3899</v>
      </c>
      <c r="P81" s="46">
        <f>IF(VLOOKUP($C81,REV!$C:$AA,14,0)-'TRADE IN'!$F90=0,"",(VLOOKUP($C81,REV!$C:$AA,14,0)-'TRADE IN'!$F81))</f>
        <v>3799</v>
      </c>
      <c r="Q81" s="46">
        <f>IF(VLOOKUP($C81,REV!$C:$AA,15,0)-'TRADE IN'!$F90=0,"",(VLOOKUP($C81,REV!$C:$AA,15,0)-'TRADE IN'!$F81))</f>
        <v>3099</v>
      </c>
      <c r="R81" s="46">
        <f>IF(VLOOKUP($C81,REV!$C:$AA,16,0)-'TRADE IN'!$F90=0,"",(VLOOKUP($C81,REV!$C:$AA,16,0)-'TRADE IN'!$F81))</f>
        <v>3899</v>
      </c>
      <c r="S81" s="46">
        <f>IF(VLOOKUP($C81,REV!$C:$AA,17,0)-'TRADE IN'!$F90=0,"",(VLOOKUP($C81,REV!$C:$AA,17,0)-'TRADE IN'!$F81))</f>
        <v>3799</v>
      </c>
      <c r="T81" s="46">
        <f>IF(VLOOKUP($C81,REV!$C:$AA,18,0)-'TRADE IN'!$F90=0,"",(VLOOKUP($C81,REV!$C:$AA,18,0)-'TRADE IN'!$F81))</f>
        <v>3099</v>
      </c>
      <c r="U81" s="46">
        <f>IF(VLOOKUP($C81,REV!$C:$AA,19,0)-'TRADE IN'!$F90=0,"",(VLOOKUP($C81,REV!$C:$AA,19,0)-'TRADE IN'!$F81))</f>
        <v>3099</v>
      </c>
      <c r="V81" s="46">
        <f>IF(VLOOKUP($C81,REV!$C:$AA,20,0)-'TRADE IN'!$F90=0,"",(VLOOKUP($C81,REV!$C:$AA,20,0)-'TRADE IN'!$F81))</f>
        <v>3099</v>
      </c>
      <c r="W81" s="46">
        <f>IF(VLOOKUP($C81,REV!$C:$AA,21,0)-'TRADE IN'!$F90=0,"",(VLOOKUP($C81,REV!$C:$AA,21,0)-'TRADE IN'!$F81))</f>
        <v>3099</v>
      </c>
      <c r="X81" s="46">
        <f>IF(VLOOKUP($C81,REV!$C:$AA,22,0)-'TRADE IN'!$F90=0,"",(VLOOKUP($C81,REV!$C:$AA,22,0)-'TRADE IN'!$F81))</f>
        <v>2999</v>
      </c>
      <c r="Y81" s="46">
        <f>IF(VLOOKUP($C81,REV!$C:$AA,23,0)-'TRADE IN'!$F90=0,"",(VLOOKUP($C81,REV!$C:$AA,23,0)-'TRADE IN'!$F81))</f>
        <v>2499</v>
      </c>
      <c r="Z81" s="46">
        <f>IF(VLOOKUP($C81,REV!$C:$AA,24,0)-'TRADE IN'!$F90=0,"",(VLOOKUP($C81,REV!$C:$AA,24,0)-'TRADE IN'!$F81))</f>
        <v>2499</v>
      </c>
      <c r="AA81" s="46">
        <f>IF(VLOOKUP($C81,REV!$C:$AA,25,0)-'TRADE IN'!$F90=0,"",(VLOOKUP($C81,REV!$C:$AA,25,0)-'TRADE IN'!$F81))</f>
        <v>2499</v>
      </c>
      <c r="AB81" s="46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tr">
        <f>IF(REV!AW81=0,"",REV!AW81)</f>
        <v>31.03.2026</v>
      </c>
      <c r="AX81" s="159" t="s">
        <v>82</v>
      </c>
    </row>
    <row r="82" spans="1:50" ht="22.5" customHeight="1">
      <c r="A82" s="52" t="s">
        <v>70</v>
      </c>
      <c r="B82" s="41" t="s">
        <v>62</v>
      </c>
      <c r="C82" s="42">
        <v>4015264</v>
      </c>
      <c r="D82" s="43" t="s">
        <v>137</v>
      </c>
      <c r="E82" s="43" t="s">
        <v>145</v>
      </c>
      <c r="F82" s="45"/>
      <c r="G82" s="45"/>
      <c r="H82" s="46"/>
      <c r="I82" s="46"/>
      <c r="J82" s="46">
        <f>IF(VLOOKUP($C82,REV!$C:$AA,8,0)-'TRADE IN'!$F82=0,"",(VLOOKUP($C82,REV!$C:$AA,8,0)-'TRADE IN'!$F82))</f>
        <v>4199</v>
      </c>
      <c r="K82" s="46">
        <f>IF(VLOOKUP($C82,REV!$C:$AA,9,0)-'TRADE IN'!$F82=0,"",(VLOOKUP($C82,REV!$C:$AA,9,0)-'TRADE IN'!$F82))</f>
        <v>4199</v>
      </c>
      <c r="L82" s="46">
        <f>IF(VLOOKUP($C82,REV!$C:$AA,10,0)-'TRADE IN'!$F91=0,"",(VLOOKUP($C82,REV!$C:$AA,10,0)-'TRADE IN'!$F82))</f>
        <v>4199</v>
      </c>
      <c r="M82" s="46">
        <f>IF(VLOOKUP($C82,REV!$C:$AA,11,0)-'TRADE IN'!$F91=0,"",(VLOOKUP($C82,REV!$C:$AA,11,0)-'TRADE IN'!$F82))</f>
        <v>4199</v>
      </c>
      <c r="N82" s="46">
        <f>IF(VLOOKUP($C82,REV!$C:$AA,12,0)-'TRADE IN'!$F91=0,"",(VLOOKUP($C82,REV!$C:$AA,12,0)-'TRADE IN'!$F82))</f>
        <v>4199</v>
      </c>
      <c r="O82" s="46">
        <f>IF(VLOOKUP($C82,REV!$C:$AA,13,0)-'TRADE IN'!$F91=0,"",(VLOOKUP($C82,REV!$C:$AA,13,0)-'TRADE IN'!$F82))</f>
        <v>3899</v>
      </c>
      <c r="P82" s="46">
        <f>IF(VLOOKUP($C82,REV!$C:$AA,14,0)-'TRADE IN'!$F91=0,"",(VLOOKUP($C82,REV!$C:$AA,14,0)-'TRADE IN'!$F82))</f>
        <v>3799</v>
      </c>
      <c r="Q82" s="46">
        <f>IF(VLOOKUP($C82,REV!$C:$AA,15,0)-'TRADE IN'!$F91=0,"",(VLOOKUP($C82,REV!$C:$AA,15,0)-'TRADE IN'!$F82))</f>
        <v>3099</v>
      </c>
      <c r="R82" s="46">
        <f>IF(VLOOKUP($C82,REV!$C:$AA,16,0)-'TRADE IN'!$F91=0,"",(VLOOKUP($C82,REV!$C:$AA,16,0)-'TRADE IN'!$F82))</f>
        <v>3899</v>
      </c>
      <c r="S82" s="46">
        <f>IF(VLOOKUP($C82,REV!$C:$AA,17,0)-'TRADE IN'!$F91=0,"",(VLOOKUP($C82,REV!$C:$AA,17,0)-'TRADE IN'!$F82))</f>
        <v>3799</v>
      </c>
      <c r="T82" s="46">
        <f>IF(VLOOKUP($C82,REV!$C:$AA,18,0)-'TRADE IN'!$F91=0,"",(VLOOKUP($C82,REV!$C:$AA,18,0)-'TRADE IN'!$F82))</f>
        <v>3099</v>
      </c>
      <c r="U82" s="46">
        <f>IF(VLOOKUP($C82,REV!$C:$AA,19,0)-'TRADE IN'!$F91=0,"",(VLOOKUP($C82,REV!$C:$AA,19,0)-'TRADE IN'!$F82))</f>
        <v>3099</v>
      </c>
      <c r="V82" s="46">
        <f>IF(VLOOKUP($C82,REV!$C:$AA,20,0)-'TRADE IN'!$F91=0,"",(VLOOKUP($C82,REV!$C:$AA,20,0)-'TRADE IN'!$F82))</f>
        <v>3099</v>
      </c>
      <c r="W82" s="46">
        <f>IF(VLOOKUP($C82,REV!$C:$AA,21,0)-'TRADE IN'!$F91=0,"",(VLOOKUP($C82,REV!$C:$AA,21,0)-'TRADE IN'!$F82))</f>
        <v>3099</v>
      </c>
      <c r="X82" s="46">
        <f>IF(VLOOKUP($C82,REV!$C:$AA,22,0)-'TRADE IN'!$F91=0,"",(VLOOKUP($C82,REV!$C:$AA,22,0)-'TRADE IN'!$F82))</f>
        <v>2999</v>
      </c>
      <c r="Y82" s="46">
        <f>IF(VLOOKUP($C82,REV!$C:$AA,23,0)-'TRADE IN'!$F91=0,"",(VLOOKUP($C82,REV!$C:$AA,23,0)-'TRADE IN'!$F82))</f>
        <v>2499</v>
      </c>
      <c r="Z82" s="46">
        <f>IF(VLOOKUP($C82,REV!$C:$AA,24,0)-'TRADE IN'!$F91=0,"",(VLOOKUP($C82,REV!$C:$AA,24,0)-'TRADE IN'!$F82))</f>
        <v>2499</v>
      </c>
      <c r="AA82" s="46">
        <f>IF(VLOOKUP($C82,REV!$C:$AA,25,0)-'TRADE IN'!$F91=0,"",(VLOOKUP($C82,REV!$C:$AA,25,0)-'TRADE IN'!$F82))</f>
        <v>2499</v>
      </c>
      <c r="AB82" s="46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tr">
        <f>IF(REV!AW82=0,"",REV!AW82)</f>
        <v>31.03.2026</v>
      </c>
      <c r="AX82" s="159" t="s">
        <v>82</v>
      </c>
    </row>
    <row r="83" spans="1:50" ht="22.5" customHeight="1">
      <c r="A83" s="52" t="s">
        <v>70</v>
      </c>
      <c r="B83" s="41" t="s">
        <v>62</v>
      </c>
      <c r="C83" s="42">
        <v>4015266</v>
      </c>
      <c r="D83" s="43" t="s">
        <v>137</v>
      </c>
      <c r="E83" s="43" t="s">
        <v>146</v>
      </c>
      <c r="F83" s="45"/>
      <c r="G83" s="45"/>
      <c r="H83" s="46"/>
      <c r="I83" s="46"/>
      <c r="J83" s="46">
        <f>IF(VLOOKUP($C83,REV!$C:$AA,8,0)-'TRADE IN'!$F83=0,"",(VLOOKUP($C83,REV!$C:$AA,8,0)-'TRADE IN'!$F83))</f>
        <v>4199</v>
      </c>
      <c r="K83" s="46">
        <f>IF(VLOOKUP($C83,REV!$C:$AA,9,0)-'TRADE IN'!$F83=0,"",(VLOOKUP($C83,REV!$C:$AA,9,0)-'TRADE IN'!$F83))</f>
        <v>4199</v>
      </c>
      <c r="L83" s="46">
        <f>IF(VLOOKUP($C83,REV!$C:$AA,10,0)-'TRADE IN'!$F92=0,"",(VLOOKUP($C83,REV!$C:$AA,10,0)-'TRADE IN'!$F83))</f>
        <v>4199</v>
      </c>
      <c r="M83" s="46">
        <f>IF(VLOOKUP($C83,REV!$C:$AA,11,0)-'TRADE IN'!$F92=0,"",(VLOOKUP($C83,REV!$C:$AA,11,0)-'TRADE IN'!$F83))</f>
        <v>4199</v>
      </c>
      <c r="N83" s="46">
        <f>IF(VLOOKUP($C83,REV!$C:$AA,12,0)-'TRADE IN'!$F92=0,"",(VLOOKUP($C83,REV!$C:$AA,12,0)-'TRADE IN'!$F83))</f>
        <v>4199</v>
      </c>
      <c r="O83" s="46">
        <f>IF(VLOOKUP($C83,REV!$C:$AA,13,0)-'TRADE IN'!$F92=0,"",(VLOOKUP($C83,REV!$C:$AA,13,0)-'TRADE IN'!$F83))</f>
        <v>3899</v>
      </c>
      <c r="P83" s="46">
        <f>IF(VLOOKUP($C83,REV!$C:$AA,14,0)-'TRADE IN'!$F92=0,"",(VLOOKUP($C83,REV!$C:$AA,14,0)-'TRADE IN'!$F83))</f>
        <v>3799</v>
      </c>
      <c r="Q83" s="46">
        <f>IF(VLOOKUP($C83,REV!$C:$AA,15,0)-'TRADE IN'!$F92=0,"",(VLOOKUP($C83,REV!$C:$AA,15,0)-'TRADE IN'!$F83))</f>
        <v>3099</v>
      </c>
      <c r="R83" s="46">
        <f>IF(VLOOKUP($C83,REV!$C:$AA,16,0)-'TRADE IN'!$F92=0,"",(VLOOKUP($C83,REV!$C:$AA,16,0)-'TRADE IN'!$F83))</f>
        <v>3899</v>
      </c>
      <c r="S83" s="46">
        <f>IF(VLOOKUP($C83,REV!$C:$AA,17,0)-'TRADE IN'!$F92=0,"",(VLOOKUP($C83,REV!$C:$AA,17,0)-'TRADE IN'!$F83))</f>
        <v>3799</v>
      </c>
      <c r="T83" s="46">
        <f>IF(VLOOKUP($C83,REV!$C:$AA,18,0)-'TRADE IN'!$F92=0,"",(VLOOKUP($C83,REV!$C:$AA,18,0)-'TRADE IN'!$F83))</f>
        <v>3099</v>
      </c>
      <c r="U83" s="46">
        <f>IF(VLOOKUP($C83,REV!$C:$AA,19,0)-'TRADE IN'!$F92=0,"",(VLOOKUP($C83,REV!$C:$AA,19,0)-'TRADE IN'!$F83))</f>
        <v>3099</v>
      </c>
      <c r="V83" s="46">
        <f>IF(VLOOKUP($C83,REV!$C:$AA,20,0)-'TRADE IN'!$F92=0,"",(VLOOKUP($C83,REV!$C:$AA,20,0)-'TRADE IN'!$F83))</f>
        <v>3099</v>
      </c>
      <c r="W83" s="46">
        <f>IF(VLOOKUP($C83,REV!$C:$AA,21,0)-'TRADE IN'!$F92=0,"",(VLOOKUP($C83,REV!$C:$AA,21,0)-'TRADE IN'!$F83))</f>
        <v>3099</v>
      </c>
      <c r="X83" s="46">
        <f>IF(VLOOKUP($C83,REV!$C:$AA,22,0)-'TRADE IN'!$F92=0,"",(VLOOKUP($C83,REV!$C:$AA,22,0)-'TRADE IN'!$F83))</f>
        <v>2999</v>
      </c>
      <c r="Y83" s="46">
        <f>IF(VLOOKUP($C83,REV!$C:$AA,23,0)-'TRADE IN'!$F92=0,"",(VLOOKUP($C83,REV!$C:$AA,23,0)-'TRADE IN'!$F83))</f>
        <v>2499</v>
      </c>
      <c r="Z83" s="46">
        <f>IF(VLOOKUP($C83,REV!$C:$AA,24,0)-'TRADE IN'!$F92=0,"",(VLOOKUP($C83,REV!$C:$AA,24,0)-'TRADE IN'!$F83))</f>
        <v>2499</v>
      </c>
      <c r="AA83" s="46">
        <f>IF(VLOOKUP($C83,REV!$C:$AA,25,0)-'TRADE IN'!$F92=0,"",(VLOOKUP($C83,REV!$C:$AA,25,0)-'TRADE IN'!$F83))</f>
        <v>2499</v>
      </c>
      <c r="AB83" s="46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tr">
        <f>IF(REV!AW83=0,"",REV!AW83)</f>
        <v>31.03.2026</v>
      </c>
      <c r="AX83" s="159" t="s">
        <v>82</v>
      </c>
    </row>
    <row r="84" spans="1:50" ht="22.5" customHeight="1">
      <c r="A84" s="52" t="s">
        <v>70</v>
      </c>
      <c r="B84" s="41" t="s">
        <v>62</v>
      </c>
      <c r="C84" s="42">
        <v>4015265</v>
      </c>
      <c r="D84" s="43" t="s">
        <v>137</v>
      </c>
      <c r="E84" s="43" t="s">
        <v>147</v>
      </c>
      <c r="F84" s="45"/>
      <c r="G84" s="45"/>
      <c r="H84" s="46"/>
      <c r="I84" s="46"/>
      <c r="J84" s="46">
        <f>IF(VLOOKUP($C84,REV!$C:$AA,8,0)-'TRADE IN'!$F84=0,"",(VLOOKUP($C84,REV!$C:$AA,8,0)-'TRADE IN'!$F84))</f>
        <v>4199</v>
      </c>
      <c r="K84" s="46">
        <f>IF(VLOOKUP($C84,REV!$C:$AA,9,0)-'TRADE IN'!$F84=0,"",(VLOOKUP($C84,REV!$C:$AA,9,0)-'TRADE IN'!$F84))</f>
        <v>4199</v>
      </c>
      <c r="L84" s="46">
        <f>IF(VLOOKUP($C84,REV!$C:$AA,10,0)-'TRADE IN'!$F93=0,"",(VLOOKUP($C84,REV!$C:$AA,10,0)-'TRADE IN'!$F84))</f>
        <v>4199</v>
      </c>
      <c r="M84" s="46">
        <f>IF(VLOOKUP($C84,REV!$C:$AA,11,0)-'TRADE IN'!$F93=0,"",(VLOOKUP($C84,REV!$C:$AA,11,0)-'TRADE IN'!$F84))</f>
        <v>4199</v>
      </c>
      <c r="N84" s="46">
        <f>IF(VLOOKUP($C84,REV!$C:$AA,12,0)-'TRADE IN'!$F93=0,"",(VLOOKUP($C84,REV!$C:$AA,12,0)-'TRADE IN'!$F84))</f>
        <v>4199</v>
      </c>
      <c r="O84" s="46">
        <f>IF(VLOOKUP($C84,REV!$C:$AA,13,0)-'TRADE IN'!$F93=0,"",(VLOOKUP($C84,REV!$C:$AA,13,0)-'TRADE IN'!$F84))</f>
        <v>3899</v>
      </c>
      <c r="P84" s="46">
        <f>IF(VLOOKUP($C84,REV!$C:$AA,14,0)-'TRADE IN'!$F93=0,"",(VLOOKUP($C84,REV!$C:$AA,14,0)-'TRADE IN'!$F84))</f>
        <v>3799</v>
      </c>
      <c r="Q84" s="46">
        <f>IF(VLOOKUP($C84,REV!$C:$AA,15,0)-'TRADE IN'!$F93=0,"",(VLOOKUP($C84,REV!$C:$AA,15,0)-'TRADE IN'!$F84))</f>
        <v>3099</v>
      </c>
      <c r="R84" s="46">
        <f>IF(VLOOKUP($C84,REV!$C:$AA,16,0)-'TRADE IN'!$F93=0,"",(VLOOKUP($C84,REV!$C:$AA,16,0)-'TRADE IN'!$F84))</f>
        <v>3899</v>
      </c>
      <c r="S84" s="46">
        <f>IF(VLOOKUP($C84,REV!$C:$AA,17,0)-'TRADE IN'!$F93=0,"",(VLOOKUP($C84,REV!$C:$AA,17,0)-'TRADE IN'!$F84))</f>
        <v>3799</v>
      </c>
      <c r="T84" s="46">
        <f>IF(VLOOKUP($C84,REV!$C:$AA,18,0)-'TRADE IN'!$F93=0,"",(VLOOKUP($C84,REV!$C:$AA,18,0)-'TRADE IN'!$F84))</f>
        <v>3099</v>
      </c>
      <c r="U84" s="46">
        <f>IF(VLOOKUP($C84,REV!$C:$AA,19,0)-'TRADE IN'!$F93=0,"",(VLOOKUP($C84,REV!$C:$AA,19,0)-'TRADE IN'!$F84))</f>
        <v>3099</v>
      </c>
      <c r="V84" s="46">
        <f>IF(VLOOKUP($C84,REV!$C:$AA,20,0)-'TRADE IN'!$F93=0,"",(VLOOKUP($C84,REV!$C:$AA,20,0)-'TRADE IN'!$F84))</f>
        <v>3099</v>
      </c>
      <c r="W84" s="46">
        <f>IF(VLOOKUP($C84,REV!$C:$AA,21,0)-'TRADE IN'!$F93=0,"",(VLOOKUP($C84,REV!$C:$AA,21,0)-'TRADE IN'!$F84))</f>
        <v>3099</v>
      </c>
      <c r="X84" s="46">
        <f>IF(VLOOKUP($C84,REV!$C:$AA,22,0)-'TRADE IN'!$F93=0,"",(VLOOKUP($C84,REV!$C:$AA,22,0)-'TRADE IN'!$F84))</f>
        <v>2999</v>
      </c>
      <c r="Y84" s="46">
        <f>IF(VLOOKUP($C84,REV!$C:$AA,23,0)-'TRADE IN'!$F93=0,"",(VLOOKUP($C84,REV!$C:$AA,23,0)-'TRADE IN'!$F84))</f>
        <v>2499</v>
      </c>
      <c r="Z84" s="46">
        <f>IF(VLOOKUP($C84,REV!$C:$AA,24,0)-'TRADE IN'!$F93=0,"",(VLOOKUP($C84,REV!$C:$AA,24,0)-'TRADE IN'!$F84))</f>
        <v>2499</v>
      </c>
      <c r="AA84" s="46">
        <f>IF(VLOOKUP($C84,REV!$C:$AA,25,0)-'TRADE IN'!$F93=0,"",(VLOOKUP($C84,REV!$C:$AA,25,0)-'TRADE IN'!$F84))</f>
        <v>2499</v>
      </c>
      <c r="AB84" s="46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tr">
        <f>IF(REV!AW84=0,"",REV!AW84)</f>
        <v>31.03.2026</v>
      </c>
      <c r="AX84" s="159" t="s">
        <v>82</v>
      </c>
    </row>
    <row r="85" spans="1:50" ht="22.5" customHeight="1">
      <c r="A85" s="52" t="s">
        <v>70</v>
      </c>
      <c r="B85" s="41" t="s">
        <v>62</v>
      </c>
      <c r="C85" s="42">
        <v>4015017</v>
      </c>
      <c r="D85" s="43" t="s">
        <v>148</v>
      </c>
      <c r="E85" s="43" t="s">
        <v>149</v>
      </c>
      <c r="F85" s="45"/>
      <c r="G85" s="45"/>
      <c r="H85" s="46"/>
      <c r="I85" s="46"/>
      <c r="J85" s="46">
        <f>IF(VLOOKUP($C85,REV!$C:$AA,8,0)-'TRADE IN'!$F85=0,"",(VLOOKUP($C85,REV!$C:$AA,8,0)-'TRADE IN'!$F85))</f>
        <v>4399</v>
      </c>
      <c r="K85" s="46">
        <f>IF(VLOOKUP($C85,REV!$C:$AA,9,0)-'TRADE IN'!$F85=0,"",(VLOOKUP($C85,REV!$C:$AA,9,0)-'TRADE IN'!$F85))</f>
        <v>4399</v>
      </c>
      <c r="L85" s="46">
        <f>IF(VLOOKUP($C85,REV!$C:$AA,10,0)-'TRADE IN'!$F94=0,"",(VLOOKUP($C85,REV!$C:$AA,10,0)-'TRADE IN'!$F85))</f>
        <v>4399</v>
      </c>
      <c r="M85" s="46">
        <f>IF(VLOOKUP($C85,REV!$C:$AA,11,0)-'TRADE IN'!$F94=0,"",(VLOOKUP($C85,REV!$C:$AA,11,0)-'TRADE IN'!$F85))</f>
        <v>4399</v>
      </c>
      <c r="N85" s="46">
        <f>IF(VLOOKUP($C85,REV!$C:$AA,12,0)-'TRADE IN'!$F94=0,"",(VLOOKUP($C85,REV!$C:$AA,12,0)-'TRADE IN'!$F85))</f>
        <v>4399</v>
      </c>
      <c r="O85" s="46">
        <f>IF(VLOOKUP($C85,REV!$C:$AA,13,0)-'TRADE IN'!$F94=0,"",(VLOOKUP($C85,REV!$C:$AA,13,0)-'TRADE IN'!$F85))</f>
        <v>4299</v>
      </c>
      <c r="P85" s="46">
        <f>IF(VLOOKUP($C85,REV!$C:$AA,14,0)-'TRADE IN'!$F94=0,"",(VLOOKUP($C85,REV!$C:$AA,14,0)-'TRADE IN'!$F85))</f>
        <v>4199</v>
      </c>
      <c r="Q85" s="46">
        <f>IF(VLOOKUP($C85,REV!$C:$AA,15,0)-'TRADE IN'!$F94=0,"",(VLOOKUP($C85,REV!$C:$AA,15,0)-'TRADE IN'!$F85))</f>
        <v>3499</v>
      </c>
      <c r="R85" s="46">
        <f>IF(VLOOKUP($C85,REV!$C:$AA,16,0)-'TRADE IN'!$F94=0,"",(VLOOKUP($C85,REV!$C:$AA,16,0)-'TRADE IN'!$F85))</f>
        <v>4299</v>
      </c>
      <c r="S85" s="46">
        <f>IF(VLOOKUP($C85,REV!$C:$AA,17,0)-'TRADE IN'!$F94=0,"",(VLOOKUP($C85,REV!$C:$AA,17,0)-'TRADE IN'!$F85))</f>
        <v>4199</v>
      </c>
      <c r="T85" s="46">
        <f>IF(VLOOKUP($C85,REV!$C:$AA,18,0)-'TRADE IN'!$F94=0,"",(VLOOKUP($C85,REV!$C:$AA,18,0)-'TRADE IN'!$F85))</f>
        <v>3499</v>
      </c>
      <c r="U85" s="46">
        <f>IF(VLOOKUP($C85,REV!$C:$AA,19,0)-'TRADE IN'!$F94=0,"",(VLOOKUP($C85,REV!$C:$AA,19,0)-'TRADE IN'!$F85))</f>
        <v>3499</v>
      </c>
      <c r="V85" s="46">
        <f>IF(VLOOKUP($C85,REV!$C:$AA,20,0)-'TRADE IN'!$F94=0,"",(VLOOKUP($C85,REV!$C:$AA,20,0)-'TRADE IN'!$F85))</f>
        <v>3499</v>
      </c>
      <c r="W85" s="46">
        <f>IF(VLOOKUP($C85,REV!$C:$AA,21,0)-'TRADE IN'!$F94=0,"",(VLOOKUP($C85,REV!$C:$AA,21,0)-'TRADE IN'!$F85))</f>
        <v>3499</v>
      </c>
      <c r="X85" s="46">
        <f>IF(VLOOKUP($C85,REV!$C:$AA,22,0)-'TRADE IN'!$F94=0,"",(VLOOKUP($C85,REV!$C:$AA,22,0)-'TRADE IN'!$F85))</f>
        <v>3399</v>
      </c>
      <c r="Y85" s="46">
        <f>IF(VLOOKUP($C85,REV!$C:$AA,23,0)-'TRADE IN'!$F94=0,"",(VLOOKUP($C85,REV!$C:$AA,23,0)-'TRADE IN'!$F85))</f>
        <v>2499</v>
      </c>
      <c r="Z85" s="46">
        <f>IF(VLOOKUP($C85,REV!$C:$AA,24,0)-'TRADE IN'!$F94=0,"",(VLOOKUP($C85,REV!$C:$AA,24,0)-'TRADE IN'!$F85))</f>
        <v>2499</v>
      </c>
      <c r="AA85" s="46">
        <f>IF(VLOOKUP($C85,REV!$C:$AA,25,0)-'TRADE IN'!$F94=0,"",(VLOOKUP($C85,REV!$C:$AA,25,0)-'TRADE IN'!$F85))</f>
        <v>2499</v>
      </c>
      <c r="AB85" s="46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tr">
        <f>IF(REV!AW85=0,"",REV!AW85)</f>
        <v>31.03.2026</v>
      </c>
      <c r="AX85" s="159" t="s">
        <v>82</v>
      </c>
    </row>
    <row r="86" spans="1:50" ht="22.5" customHeight="1">
      <c r="A86" s="52" t="s">
        <v>70</v>
      </c>
      <c r="B86" s="41" t="s">
        <v>62</v>
      </c>
      <c r="C86" s="42">
        <v>4015163</v>
      </c>
      <c r="D86" s="43" t="s">
        <v>148</v>
      </c>
      <c r="E86" s="43" t="s">
        <v>150</v>
      </c>
      <c r="F86" s="45"/>
      <c r="G86" s="45"/>
      <c r="H86" s="46"/>
      <c r="I86" s="46"/>
      <c r="J86" s="46">
        <f>IF(VLOOKUP($C86,REV!$C:$AA,8,0)-'TRADE IN'!$F86=0,"",(VLOOKUP($C86,REV!$C:$AA,8,0)-'TRADE IN'!$F86))</f>
        <v>4399</v>
      </c>
      <c r="K86" s="46">
        <f>IF(VLOOKUP($C86,REV!$C:$AA,9,0)-'TRADE IN'!$F86=0,"",(VLOOKUP($C86,REV!$C:$AA,9,0)-'TRADE IN'!$F86))</f>
        <v>4399</v>
      </c>
      <c r="L86" s="46">
        <f>IF(VLOOKUP($C86,REV!$C:$AA,10,0)-'TRADE IN'!$F95=0,"",(VLOOKUP($C86,REV!$C:$AA,10,0)-'TRADE IN'!$F86))</f>
        <v>4399</v>
      </c>
      <c r="M86" s="46">
        <f>IF(VLOOKUP($C86,REV!$C:$AA,11,0)-'TRADE IN'!$F95=0,"",(VLOOKUP($C86,REV!$C:$AA,11,0)-'TRADE IN'!$F86))</f>
        <v>4399</v>
      </c>
      <c r="N86" s="46">
        <f>IF(VLOOKUP($C86,REV!$C:$AA,12,0)-'TRADE IN'!$F95=0,"",(VLOOKUP($C86,REV!$C:$AA,12,0)-'TRADE IN'!$F86))</f>
        <v>4399</v>
      </c>
      <c r="O86" s="46">
        <f>IF(VLOOKUP($C86,REV!$C:$AA,13,0)-'TRADE IN'!$F95=0,"",(VLOOKUP($C86,REV!$C:$AA,13,0)-'TRADE IN'!$F86))</f>
        <v>4299</v>
      </c>
      <c r="P86" s="46">
        <f>IF(VLOOKUP($C86,REV!$C:$AA,14,0)-'TRADE IN'!$F95=0,"",(VLOOKUP($C86,REV!$C:$AA,14,0)-'TRADE IN'!$F86))</f>
        <v>4199</v>
      </c>
      <c r="Q86" s="46">
        <f>IF(VLOOKUP($C86,REV!$C:$AA,15,0)-'TRADE IN'!$F95=0,"",(VLOOKUP($C86,REV!$C:$AA,15,0)-'TRADE IN'!$F86))</f>
        <v>3499</v>
      </c>
      <c r="R86" s="46">
        <f>IF(VLOOKUP($C86,REV!$C:$AA,16,0)-'TRADE IN'!$F95=0,"",(VLOOKUP($C86,REV!$C:$AA,16,0)-'TRADE IN'!$F86))</f>
        <v>4299</v>
      </c>
      <c r="S86" s="46">
        <f>IF(VLOOKUP($C86,REV!$C:$AA,17,0)-'TRADE IN'!$F95=0,"",(VLOOKUP($C86,REV!$C:$AA,17,0)-'TRADE IN'!$F86))</f>
        <v>4199</v>
      </c>
      <c r="T86" s="46">
        <f>IF(VLOOKUP($C86,REV!$C:$AA,18,0)-'TRADE IN'!$F95=0,"",(VLOOKUP($C86,REV!$C:$AA,18,0)-'TRADE IN'!$F86))</f>
        <v>3499</v>
      </c>
      <c r="U86" s="46">
        <f>IF(VLOOKUP($C86,REV!$C:$AA,19,0)-'TRADE IN'!$F95=0,"",(VLOOKUP($C86,REV!$C:$AA,19,0)-'TRADE IN'!$F86))</f>
        <v>3499</v>
      </c>
      <c r="V86" s="46">
        <f>IF(VLOOKUP($C86,REV!$C:$AA,20,0)-'TRADE IN'!$F95=0,"",(VLOOKUP($C86,REV!$C:$AA,20,0)-'TRADE IN'!$F86))</f>
        <v>3499</v>
      </c>
      <c r="W86" s="46">
        <f>IF(VLOOKUP($C86,REV!$C:$AA,21,0)-'TRADE IN'!$F95=0,"",(VLOOKUP($C86,REV!$C:$AA,21,0)-'TRADE IN'!$F86))</f>
        <v>3499</v>
      </c>
      <c r="X86" s="46">
        <f>IF(VLOOKUP($C86,REV!$C:$AA,22,0)-'TRADE IN'!$F95=0,"",(VLOOKUP($C86,REV!$C:$AA,22,0)-'TRADE IN'!$F86))</f>
        <v>3399</v>
      </c>
      <c r="Y86" s="46">
        <f>IF(VLOOKUP($C86,REV!$C:$AA,23,0)-'TRADE IN'!$F95=0,"",(VLOOKUP($C86,REV!$C:$AA,23,0)-'TRADE IN'!$F86))</f>
        <v>2499</v>
      </c>
      <c r="Z86" s="46">
        <f>IF(VLOOKUP($C86,REV!$C:$AA,24,0)-'TRADE IN'!$F95=0,"",(VLOOKUP($C86,REV!$C:$AA,24,0)-'TRADE IN'!$F86))</f>
        <v>2499</v>
      </c>
      <c r="AA86" s="46">
        <f>IF(VLOOKUP($C86,REV!$C:$AA,25,0)-'TRADE IN'!$F95=0,"",(VLOOKUP($C86,REV!$C:$AA,25,0)-'TRADE IN'!$F86))</f>
        <v>2499</v>
      </c>
      <c r="AB86" s="46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tr">
        <f>IF(REV!AW86=0,"",REV!AW86)</f>
        <v>31.03.2026</v>
      </c>
      <c r="AX86" s="159" t="s">
        <v>82</v>
      </c>
    </row>
    <row r="87" spans="1:50" ht="22.5" customHeight="1">
      <c r="A87" s="52" t="s">
        <v>70</v>
      </c>
      <c r="B87" s="41" t="s">
        <v>62</v>
      </c>
      <c r="C87" s="42">
        <v>4015180</v>
      </c>
      <c r="D87" s="43" t="s">
        <v>148</v>
      </c>
      <c r="E87" s="43" t="s">
        <v>151</v>
      </c>
      <c r="F87" s="45"/>
      <c r="G87" s="45"/>
      <c r="H87" s="46"/>
      <c r="I87" s="46"/>
      <c r="J87" s="46">
        <f>IF(VLOOKUP($C87,REV!$C:$AA,8,0)-'TRADE IN'!$F87=0,"",(VLOOKUP($C87,REV!$C:$AA,8,0)-'TRADE IN'!$F87))</f>
        <v>4399</v>
      </c>
      <c r="K87" s="46">
        <f>IF(VLOOKUP($C87,REV!$C:$AA,9,0)-'TRADE IN'!$F87=0,"",(VLOOKUP($C87,REV!$C:$AA,9,0)-'TRADE IN'!$F87))</f>
        <v>4399</v>
      </c>
      <c r="L87" s="46">
        <f>IF(VLOOKUP($C87,REV!$C:$AA,10,0)-'TRADE IN'!$F96=0,"",(VLOOKUP($C87,REV!$C:$AA,10,0)-'TRADE IN'!$F87))</f>
        <v>4399</v>
      </c>
      <c r="M87" s="46">
        <f>IF(VLOOKUP($C87,REV!$C:$AA,11,0)-'TRADE IN'!$F96=0,"",(VLOOKUP($C87,REV!$C:$AA,11,0)-'TRADE IN'!$F87))</f>
        <v>4399</v>
      </c>
      <c r="N87" s="46">
        <f>IF(VLOOKUP($C87,REV!$C:$AA,12,0)-'TRADE IN'!$F96=0,"",(VLOOKUP($C87,REV!$C:$AA,12,0)-'TRADE IN'!$F87))</f>
        <v>4399</v>
      </c>
      <c r="O87" s="46">
        <f>IF(VLOOKUP($C87,REV!$C:$AA,13,0)-'TRADE IN'!$F96=0,"",(VLOOKUP($C87,REV!$C:$AA,13,0)-'TRADE IN'!$F87))</f>
        <v>4299</v>
      </c>
      <c r="P87" s="46">
        <f>IF(VLOOKUP($C87,REV!$C:$AA,14,0)-'TRADE IN'!$F96=0,"",(VLOOKUP($C87,REV!$C:$AA,14,0)-'TRADE IN'!$F87))</f>
        <v>4199</v>
      </c>
      <c r="Q87" s="46">
        <f>IF(VLOOKUP($C87,REV!$C:$AA,15,0)-'TRADE IN'!$F96=0,"",(VLOOKUP($C87,REV!$C:$AA,15,0)-'TRADE IN'!$F87))</f>
        <v>3499</v>
      </c>
      <c r="R87" s="46">
        <f>IF(VLOOKUP($C87,REV!$C:$AA,16,0)-'TRADE IN'!$F96=0,"",(VLOOKUP($C87,REV!$C:$AA,16,0)-'TRADE IN'!$F87))</f>
        <v>4299</v>
      </c>
      <c r="S87" s="46">
        <f>IF(VLOOKUP($C87,REV!$C:$AA,17,0)-'TRADE IN'!$F96=0,"",(VLOOKUP($C87,REV!$C:$AA,17,0)-'TRADE IN'!$F87))</f>
        <v>4199</v>
      </c>
      <c r="T87" s="46">
        <f>IF(VLOOKUP($C87,REV!$C:$AA,18,0)-'TRADE IN'!$F96=0,"",(VLOOKUP($C87,REV!$C:$AA,18,0)-'TRADE IN'!$F87))</f>
        <v>3499</v>
      </c>
      <c r="U87" s="46">
        <f>IF(VLOOKUP($C87,REV!$C:$AA,19,0)-'TRADE IN'!$F96=0,"",(VLOOKUP($C87,REV!$C:$AA,19,0)-'TRADE IN'!$F87))</f>
        <v>3499</v>
      </c>
      <c r="V87" s="46">
        <f>IF(VLOOKUP($C87,REV!$C:$AA,20,0)-'TRADE IN'!$F96=0,"",(VLOOKUP($C87,REV!$C:$AA,20,0)-'TRADE IN'!$F87))</f>
        <v>3499</v>
      </c>
      <c r="W87" s="46">
        <f>IF(VLOOKUP($C87,REV!$C:$AA,21,0)-'TRADE IN'!$F96=0,"",(VLOOKUP($C87,REV!$C:$AA,21,0)-'TRADE IN'!$F87))</f>
        <v>3499</v>
      </c>
      <c r="X87" s="46">
        <f>IF(VLOOKUP($C87,REV!$C:$AA,22,0)-'TRADE IN'!$F96=0,"",(VLOOKUP($C87,REV!$C:$AA,22,0)-'TRADE IN'!$F87))</f>
        <v>3399</v>
      </c>
      <c r="Y87" s="46">
        <f>IF(VLOOKUP($C87,REV!$C:$AA,23,0)-'TRADE IN'!$F96=0,"",(VLOOKUP($C87,REV!$C:$AA,23,0)-'TRADE IN'!$F87))</f>
        <v>2499</v>
      </c>
      <c r="Z87" s="46">
        <f>IF(VLOOKUP($C87,REV!$C:$AA,24,0)-'TRADE IN'!$F96=0,"",(VLOOKUP($C87,REV!$C:$AA,24,0)-'TRADE IN'!$F87))</f>
        <v>2499</v>
      </c>
      <c r="AA87" s="46">
        <f>IF(VLOOKUP($C87,REV!$C:$AA,25,0)-'TRADE IN'!$F96=0,"",(VLOOKUP($C87,REV!$C:$AA,25,0)-'TRADE IN'!$F87))</f>
        <v>2499</v>
      </c>
      <c r="AB87" s="46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tr">
        <f>IF(REV!AW87=0,"",REV!AW87)</f>
        <v>31.03.2026</v>
      </c>
      <c r="AX87" s="159" t="s">
        <v>82</v>
      </c>
    </row>
    <row r="88" spans="1:50" ht="22.5" customHeight="1">
      <c r="A88" s="52" t="s">
        <v>70</v>
      </c>
      <c r="B88" s="41" t="s">
        <v>62</v>
      </c>
      <c r="C88" s="42">
        <v>4015186</v>
      </c>
      <c r="D88" s="43" t="s">
        <v>148</v>
      </c>
      <c r="E88" s="43" t="s">
        <v>152</v>
      </c>
      <c r="F88" s="45"/>
      <c r="G88" s="45"/>
      <c r="H88" s="46"/>
      <c r="I88" s="46"/>
      <c r="J88" s="46">
        <f>IF(VLOOKUP($C88,REV!$C:$AA,8,0)-'TRADE IN'!$F88=0,"",(VLOOKUP($C88,REV!$C:$AA,8,0)-'TRADE IN'!$F88))</f>
        <v>4399</v>
      </c>
      <c r="K88" s="46">
        <f>IF(VLOOKUP($C88,REV!$C:$AA,9,0)-'TRADE IN'!$F88=0,"",(VLOOKUP($C88,REV!$C:$AA,9,0)-'TRADE IN'!$F88))</f>
        <v>4399</v>
      </c>
      <c r="L88" s="46">
        <f>IF(VLOOKUP($C88,REV!$C:$AA,10,0)-'TRADE IN'!$F97=0,"",(VLOOKUP($C88,REV!$C:$AA,10,0)-'TRADE IN'!$F88))</f>
        <v>4399</v>
      </c>
      <c r="M88" s="46">
        <f>IF(VLOOKUP($C88,REV!$C:$AA,11,0)-'TRADE IN'!$F97=0,"",(VLOOKUP($C88,REV!$C:$AA,11,0)-'TRADE IN'!$F88))</f>
        <v>4399</v>
      </c>
      <c r="N88" s="46">
        <f>IF(VLOOKUP($C88,REV!$C:$AA,12,0)-'TRADE IN'!$F97=0,"",(VLOOKUP($C88,REV!$C:$AA,12,0)-'TRADE IN'!$F88))</f>
        <v>4399</v>
      </c>
      <c r="O88" s="46">
        <f>IF(VLOOKUP($C88,REV!$C:$AA,13,0)-'TRADE IN'!$F97=0,"",(VLOOKUP($C88,REV!$C:$AA,13,0)-'TRADE IN'!$F88))</f>
        <v>4299</v>
      </c>
      <c r="P88" s="46">
        <f>IF(VLOOKUP($C88,REV!$C:$AA,14,0)-'TRADE IN'!$F97=0,"",(VLOOKUP($C88,REV!$C:$AA,14,0)-'TRADE IN'!$F88))</f>
        <v>4199</v>
      </c>
      <c r="Q88" s="46">
        <f>IF(VLOOKUP($C88,REV!$C:$AA,15,0)-'TRADE IN'!$F97=0,"",(VLOOKUP($C88,REV!$C:$AA,15,0)-'TRADE IN'!$F88))</f>
        <v>3499</v>
      </c>
      <c r="R88" s="46">
        <f>IF(VLOOKUP($C88,REV!$C:$AA,16,0)-'TRADE IN'!$F97=0,"",(VLOOKUP($C88,REV!$C:$AA,16,0)-'TRADE IN'!$F88))</f>
        <v>4299</v>
      </c>
      <c r="S88" s="46">
        <f>IF(VLOOKUP($C88,REV!$C:$AA,17,0)-'TRADE IN'!$F97=0,"",(VLOOKUP($C88,REV!$C:$AA,17,0)-'TRADE IN'!$F88))</f>
        <v>4199</v>
      </c>
      <c r="T88" s="46">
        <f>IF(VLOOKUP($C88,REV!$C:$AA,18,0)-'TRADE IN'!$F97=0,"",(VLOOKUP($C88,REV!$C:$AA,18,0)-'TRADE IN'!$F88))</f>
        <v>3499</v>
      </c>
      <c r="U88" s="46">
        <f>IF(VLOOKUP($C88,REV!$C:$AA,19,0)-'TRADE IN'!$F97=0,"",(VLOOKUP($C88,REV!$C:$AA,19,0)-'TRADE IN'!$F88))</f>
        <v>3499</v>
      </c>
      <c r="V88" s="46">
        <f>IF(VLOOKUP($C88,REV!$C:$AA,20,0)-'TRADE IN'!$F97=0,"",(VLOOKUP($C88,REV!$C:$AA,20,0)-'TRADE IN'!$F88))</f>
        <v>3499</v>
      </c>
      <c r="W88" s="46">
        <f>IF(VLOOKUP($C88,REV!$C:$AA,21,0)-'TRADE IN'!$F97=0,"",(VLOOKUP($C88,REV!$C:$AA,21,0)-'TRADE IN'!$F88))</f>
        <v>3499</v>
      </c>
      <c r="X88" s="46">
        <f>IF(VLOOKUP($C88,REV!$C:$AA,22,0)-'TRADE IN'!$F97=0,"",(VLOOKUP($C88,REV!$C:$AA,22,0)-'TRADE IN'!$F88))</f>
        <v>3399</v>
      </c>
      <c r="Y88" s="46">
        <f>IF(VLOOKUP($C88,REV!$C:$AA,23,0)-'TRADE IN'!$F97=0,"",(VLOOKUP($C88,REV!$C:$AA,23,0)-'TRADE IN'!$F88))</f>
        <v>2499</v>
      </c>
      <c r="Z88" s="46">
        <f>IF(VLOOKUP($C88,REV!$C:$AA,24,0)-'TRADE IN'!$F97=0,"",(VLOOKUP($C88,REV!$C:$AA,24,0)-'TRADE IN'!$F88))</f>
        <v>2499</v>
      </c>
      <c r="AA88" s="46">
        <f>IF(VLOOKUP($C88,REV!$C:$AA,25,0)-'TRADE IN'!$F97=0,"",(VLOOKUP($C88,REV!$C:$AA,25,0)-'TRADE IN'!$F88))</f>
        <v>2499</v>
      </c>
      <c r="AB88" s="46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tr">
        <f>IF(REV!AW88=0,"",REV!AW88)</f>
        <v>31.03.2026</v>
      </c>
      <c r="AX88" s="159" t="s">
        <v>82</v>
      </c>
    </row>
    <row r="89" spans="1:50" ht="22.5" customHeight="1">
      <c r="A89" s="52" t="s">
        <v>70</v>
      </c>
      <c r="B89" s="41" t="s">
        <v>62</v>
      </c>
      <c r="C89" s="42">
        <v>4015172</v>
      </c>
      <c r="D89" s="43" t="s">
        <v>148</v>
      </c>
      <c r="E89" s="43" t="s">
        <v>153</v>
      </c>
      <c r="F89" s="45"/>
      <c r="G89" s="45"/>
      <c r="H89" s="46"/>
      <c r="I89" s="46"/>
      <c r="J89" s="46">
        <f>IF(VLOOKUP($C89,REV!$C:$AA,8,0)-'TRADE IN'!$F89=0,"",(VLOOKUP($C89,REV!$C:$AA,8,0)-'TRADE IN'!$F89))</f>
        <v>4399</v>
      </c>
      <c r="K89" s="46">
        <f>IF(VLOOKUP($C89,REV!$C:$AA,9,0)-'TRADE IN'!$F89=0,"",(VLOOKUP($C89,REV!$C:$AA,9,0)-'TRADE IN'!$F89))</f>
        <v>4399</v>
      </c>
      <c r="L89" s="46">
        <f>IF(VLOOKUP($C89,REV!$C:$AA,10,0)-'TRADE IN'!$F98=0,"",(VLOOKUP($C89,REV!$C:$AA,10,0)-'TRADE IN'!$F89))</f>
        <v>4399</v>
      </c>
      <c r="M89" s="46">
        <f>IF(VLOOKUP($C89,REV!$C:$AA,11,0)-'TRADE IN'!$F98=0,"",(VLOOKUP($C89,REV!$C:$AA,11,0)-'TRADE IN'!$F89))</f>
        <v>4399</v>
      </c>
      <c r="N89" s="46">
        <f>IF(VLOOKUP($C89,REV!$C:$AA,12,0)-'TRADE IN'!$F98=0,"",(VLOOKUP($C89,REV!$C:$AA,12,0)-'TRADE IN'!$F89))</f>
        <v>4399</v>
      </c>
      <c r="O89" s="46">
        <f>IF(VLOOKUP($C89,REV!$C:$AA,13,0)-'TRADE IN'!$F98=0,"",(VLOOKUP($C89,REV!$C:$AA,13,0)-'TRADE IN'!$F89))</f>
        <v>4299</v>
      </c>
      <c r="P89" s="46">
        <f>IF(VLOOKUP($C89,REV!$C:$AA,14,0)-'TRADE IN'!$F98=0,"",(VLOOKUP($C89,REV!$C:$AA,14,0)-'TRADE IN'!$F89))</f>
        <v>4199</v>
      </c>
      <c r="Q89" s="46">
        <f>IF(VLOOKUP($C89,REV!$C:$AA,15,0)-'TRADE IN'!$F98=0,"",(VLOOKUP($C89,REV!$C:$AA,15,0)-'TRADE IN'!$F89))</f>
        <v>3499</v>
      </c>
      <c r="R89" s="46">
        <f>IF(VLOOKUP($C89,REV!$C:$AA,16,0)-'TRADE IN'!$F98=0,"",(VLOOKUP($C89,REV!$C:$AA,16,0)-'TRADE IN'!$F89))</f>
        <v>4299</v>
      </c>
      <c r="S89" s="46">
        <f>IF(VLOOKUP($C89,REV!$C:$AA,17,0)-'TRADE IN'!$F98=0,"",(VLOOKUP($C89,REV!$C:$AA,17,0)-'TRADE IN'!$F89))</f>
        <v>4199</v>
      </c>
      <c r="T89" s="46">
        <f>IF(VLOOKUP($C89,REV!$C:$AA,18,0)-'TRADE IN'!$F98=0,"",(VLOOKUP($C89,REV!$C:$AA,18,0)-'TRADE IN'!$F89))</f>
        <v>3499</v>
      </c>
      <c r="U89" s="46">
        <f>IF(VLOOKUP($C89,REV!$C:$AA,19,0)-'TRADE IN'!$F98=0,"",(VLOOKUP($C89,REV!$C:$AA,19,0)-'TRADE IN'!$F89))</f>
        <v>3499</v>
      </c>
      <c r="V89" s="46">
        <f>IF(VLOOKUP($C89,REV!$C:$AA,20,0)-'TRADE IN'!$F98=0,"",(VLOOKUP($C89,REV!$C:$AA,20,0)-'TRADE IN'!$F89))</f>
        <v>3499</v>
      </c>
      <c r="W89" s="46">
        <f>IF(VLOOKUP($C89,REV!$C:$AA,21,0)-'TRADE IN'!$F98=0,"",(VLOOKUP($C89,REV!$C:$AA,21,0)-'TRADE IN'!$F89))</f>
        <v>3499</v>
      </c>
      <c r="X89" s="46">
        <f>IF(VLOOKUP($C89,REV!$C:$AA,22,0)-'TRADE IN'!$F98=0,"",(VLOOKUP($C89,REV!$C:$AA,22,0)-'TRADE IN'!$F89))</f>
        <v>3399</v>
      </c>
      <c r="Y89" s="46">
        <f>IF(VLOOKUP($C89,REV!$C:$AA,23,0)-'TRADE IN'!$F98=0,"",(VLOOKUP($C89,REV!$C:$AA,23,0)-'TRADE IN'!$F89))</f>
        <v>2499</v>
      </c>
      <c r="Z89" s="46">
        <f>IF(VLOOKUP($C89,REV!$C:$AA,24,0)-'TRADE IN'!$F98=0,"",(VLOOKUP($C89,REV!$C:$AA,24,0)-'TRADE IN'!$F89))</f>
        <v>2499</v>
      </c>
      <c r="AA89" s="46">
        <f>IF(VLOOKUP($C89,REV!$C:$AA,25,0)-'TRADE IN'!$F98=0,"",(VLOOKUP($C89,REV!$C:$AA,25,0)-'TRADE IN'!$F89))</f>
        <v>2499</v>
      </c>
      <c r="AB89" s="46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tr">
        <f>IF(REV!AW89=0,"",REV!AW89)</f>
        <v>31.03.2026</v>
      </c>
      <c r="AX89" s="159" t="s">
        <v>82</v>
      </c>
    </row>
    <row r="90" spans="1:50" ht="22.5" customHeight="1">
      <c r="A90" s="52" t="s">
        <v>70</v>
      </c>
      <c r="B90" s="41" t="s">
        <v>62</v>
      </c>
      <c r="C90" s="42">
        <v>4015267</v>
      </c>
      <c r="D90" s="43" t="s">
        <v>148</v>
      </c>
      <c r="E90" s="43" t="s">
        <v>154</v>
      </c>
      <c r="F90" s="45"/>
      <c r="G90" s="45"/>
      <c r="H90" s="46"/>
      <c r="I90" s="46"/>
      <c r="J90" s="46">
        <f>IF(VLOOKUP($C90,REV!$C:$AA,8,0)-'TRADE IN'!$F90=0,"",(VLOOKUP($C90,REV!$C:$AA,8,0)-'TRADE IN'!$F90))</f>
        <v>4399</v>
      </c>
      <c r="K90" s="46">
        <f>IF(VLOOKUP($C90,REV!$C:$AA,9,0)-'TRADE IN'!$F90=0,"",(VLOOKUP($C90,REV!$C:$AA,9,0)-'TRADE IN'!$F90))</f>
        <v>4399</v>
      </c>
      <c r="L90" s="46">
        <f>IF(VLOOKUP($C90,REV!$C:$AA,10,0)-'TRADE IN'!$F99=0,"",(VLOOKUP($C90,REV!$C:$AA,10,0)-'TRADE IN'!$F90))</f>
        <v>4399</v>
      </c>
      <c r="M90" s="46">
        <f>IF(VLOOKUP($C90,REV!$C:$AA,11,0)-'TRADE IN'!$F99=0,"",(VLOOKUP($C90,REV!$C:$AA,11,0)-'TRADE IN'!$F90))</f>
        <v>4399</v>
      </c>
      <c r="N90" s="46">
        <f>IF(VLOOKUP($C90,REV!$C:$AA,12,0)-'TRADE IN'!$F99=0,"",(VLOOKUP($C90,REV!$C:$AA,12,0)-'TRADE IN'!$F90))</f>
        <v>4399</v>
      </c>
      <c r="O90" s="46">
        <f>IF(VLOOKUP($C90,REV!$C:$AA,13,0)-'TRADE IN'!$F99=0,"",(VLOOKUP($C90,REV!$C:$AA,13,0)-'TRADE IN'!$F90))</f>
        <v>4299</v>
      </c>
      <c r="P90" s="46">
        <f>IF(VLOOKUP($C90,REV!$C:$AA,14,0)-'TRADE IN'!$F99=0,"",(VLOOKUP($C90,REV!$C:$AA,14,0)-'TRADE IN'!$F90))</f>
        <v>4199</v>
      </c>
      <c r="Q90" s="46">
        <f>IF(VLOOKUP($C90,REV!$C:$AA,15,0)-'TRADE IN'!$F99=0,"",(VLOOKUP($C90,REV!$C:$AA,15,0)-'TRADE IN'!$F90))</f>
        <v>3499</v>
      </c>
      <c r="R90" s="46">
        <f>IF(VLOOKUP($C90,REV!$C:$AA,16,0)-'TRADE IN'!$F99=0,"",(VLOOKUP($C90,REV!$C:$AA,16,0)-'TRADE IN'!$F90))</f>
        <v>4299</v>
      </c>
      <c r="S90" s="46">
        <f>IF(VLOOKUP($C90,REV!$C:$AA,17,0)-'TRADE IN'!$F99=0,"",(VLOOKUP($C90,REV!$C:$AA,17,0)-'TRADE IN'!$F90))</f>
        <v>4199</v>
      </c>
      <c r="T90" s="46">
        <f>IF(VLOOKUP($C90,REV!$C:$AA,18,0)-'TRADE IN'!$F99=0,"",(VLOOKUP($C90,REV!$C:$AA,18,0)-'TRADE IN'!$F90))</f>
        <v>3499</v>
      </c>
      <c r="U90" s="46">
        <f>IF(VLOOKUP($C90,REV!$C:$AA,19,0)-'TRADE IN'!$F99=0,"",(VLOOKUP($C90,REV!$C:$AA,19,0)-'TRADE IN'!$F90))</f>
        <v>3499</v>
      </c>
      <c r="V90" s="46">
        <f>IF(VLOOKUP($C90,REV!$C:$AA,20,0)-'TRADE IN'!$F99=0,"",(VLOOKUP($C90,REV!$C:$AA,20,0)-'TRADE IN'!$F90))</f>
        <v>3499</v>
      </c>
      <c r="W90" s="46">
        <f>IF(VLOOKUP($C90,REV!$C:$AA,21,0)-'TRADE IN'!$F99=0,"",(VLOOKUP($C90,REV!$C:$AA,21,0)-'TRADE IN'!$F90))</f>
        <v>3499</v>
      </c>
      <c r="X90" s="46">
        <f>IF(VLOOKUP($C90,REV!$C:$AA,22,0)-'TRADE IN'!$F99=0,"",(VLOOKUP($C90,REV!$C:$AA,22,0)-'TRADE IN'!$F90))</f>
        <v>3399</v>
      </c>
      <c r="Y90" s="46">
        <f>IF(VLOOKUP($C90,REV!$C:$AA,23,0)-'TRADE IN'!$F99=0,"",(VLOOKUP($C90,REV!$C:$AA,23,0)-'TRADE IN'!$F90))</f>
        <v>2499</v>
      </c>
      <c r="Z90" s="46">
        <f>IF(VLOOKUP($C90,REV!$C:$AA,24,0)-'TRADE IN'!$F99=0,"",(VLOOKUP($C90,REV!$C:$AA,24,0)-'TRADE IN'!$F90))</f>
        <v>2499</v>
      </c>
      <c r="AA90" s="46">
        <f>IF(VLOOKUP($C90,REV!$C:$AA,25,0)-'TRADE IN'!$F99=0,"",(VLOOKUP($C90,REV!$C:$AA,25,0)-'TRADE IN'!$F90))</f>
        <v>2499</v>
      </c>
      <c r="AB90" s="46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tr">
        <f>IF(REV!AW90=0,"",REV!AW90)</f>
        <v>31.03.2026</v>
      </c>
      <c r="AX90" s="159" t="s">
        <v>82</v>
      </c>
    </row>
    <row r="91" spans="1:50" ht="22.5" customHeight="1">
      <c r="A91" s="52" t="s">
        <v>70</v>
      </c>
      <c r="B91" s="41" t="s">
        <v>62</v>
      </c>
      <c r="C91" s="42">
        <v>4015401</v>
      </c>
      <c r="D91" s="43" t="s">
        <v>148</v>
      </c>
      <c r="E91" s="43" t="s">
        <v>155</v>
      </c>
      <c r="F91" s="45"/>
      <c r="G91" s="45"/>
      <c r="H91" s="46"/>
      <c r="I91" s="46"/>
      <c r="J91" s="46">
        <f>IF(VLOOKUP($C91,REV!$C:$AA,8,0)-'TRADE IN'!$F91=0,"",(VLOOKUP($C91,REV!$C:$AA,8,0)-'TRADE IN'!$F91))</f>
        <v>4399</v>
      </c>
      <c r="K91" s="46">
        <f>IF(VLOOKUP($C91,REV!$C:$AA,9,0)-'TRADE IN'!$F91=0,"",(VLOOKUP($C91,REV!$C:$AA,9,0)-'TRADE IN'!$F91))</f>
        <v>4399</v>
      </c>
      <c r="L91" s="46">
        <f>IF(VLOOKUP($C91,REV!$C:$AA,10,0)-'TRADE IN'!$F100=0,"",(VLOOKUP($C91,REV!$C:$AA,10,0)-'TRADE IN'!$F91))</f>
        <v>4399</v>
      </c>
      <c r="M91" s="46">
        <f>IF(VLOOKUP($C91,REV!$C:$AA,11,0)-'TRADE IN'!$F100=0,"",(VLOOKUP($C91,REV!$C:$AA,11,0)-'TRADE IN'!$F91))</f>
        <v>4399</v>
      </c>
      <c r="N91" s="46">
        <f>IF(VLOOKUP($C91,REV!$C:$AA,12,0)-'TRADE IN'!$F100=0,"",(VLOOKUP($C91,REV!$C:$AA,12,0)-'TRADE IN'!$F91))</f>
        <v>4399</v>
      </c>
      <c r="O91" s="46">
        <f>IF(VLOOKUP($C91,REV!$C:$AA,13,0)-'TRADE IN'!$F100=0,"",(VLOOKUP($C91,REV!$C:$AA,13,0)-'TRADE IN'!$F91))</f>
        <v>4299</v>
      </c>
      <c r="P91" s="46">
        <f>IF(VLOOKUP($C91,REV!$C:$AA,14,0)-'TRADE IN'!$F100=0,"",(VLOOKUP($C91,REV!$C:$AA,14,0)-'TRADE IN'!$F91))</f>
        <v>4199</v>
      </c>
      <c r="Q91" s="46">
        <f>IF(VLOOKUP($C91,REV!$C:$AA,15,0)-'TRADE IN'!$F100=0,"",(VLOOKUP($C91,REV!$C:$AA,15,0)-'TRADE IN'!$F91))</f>
        <v>3499</v>
      </c>
      <c r="R91" s="46">
        <f>IF(VLOOKUP($C91,REV!$C:$AA,16,0)-'TRADE IN'!$F100=0,"",(VLOOKUP($C91,REV!$C:$AA,16,0)-'TRADE IN'!$F91))</f>
        <v>4299</v>
      </c>
      <c r="S91" s="46">
        <f>IF(VLOOKUP($C91,REV!$C:$AA,17,0)-'TRADE IN'!$F100=0,"",(VLOOKUP($C91,REV!$C:$AA,17,0)-'TRADE IN'!$F91))</f>
        <v>4199</v>
      </c>
      <c r="T91" s="46">
        <f>IF(VLOOKUP($C91,REV!$C:$AA,18,0)-'TRADE IN'!$F100=0,"",(VLOOKUP($C91,REV!$C:$AA,18,0)-'TRADE IN'!$F91))</f>
        <v>3499</v>
      </c>
      <c r="U91" s="46">
        <f>IF(VLOOKUP($C91,REV!$C:$AA,19,0)-'TRADE IN'!$F100=0,"",(VLOOKUP($C91,REV!$C:$AA,19,0)-'TRADE IN'!$F91))</f>
        <v>3499</v>
      </c>
      <c r="V91" s="46">
        <f>IF(VLOOKUP($C91,REV!$C:$AA,20,0)-'TRADE IN'!$F100=0,"",(VLOOKUP($C91,REV!$C:$AA,20,0)-'TRADE IN'!$F91))</f>
        <v>3499</v>
      </c>
      <c r="W91" s="46">
        <f>IF(VLOOKUP($C91,REV!$C:$AA,21,0)-'TRADE IN'!$F100=0,"",(VLOOKUP($C91,REV!$C:$AA,21,0)-'TRADE IN'!$F91))</f>
        <v>3499</v>
      </c>
      <c r="X91" s="46">
        <f>IF(VLOOKUP($C91,REV!$C:$AA,22,0)-'TRADE IN'!$F100=0,"",(VLOOKUP($C91,REV!$C:$AA,22,0)-'TRADE IN'!$F91))</f>
        <v>3399</v>
      </c>
      <c r="Y91" s="46">
        <f>IF(VLOOKUP($C91,REV!$C:$AA,23,0)-'TRADE IN'!$F100=0,"",(VLOOKUP($C91,REV!$C:$AA,23,0)-'TRADE IN'!$F91))</f>
        <v>2499</v>
      </c>
      <c r="Z91" s="46">
        <f>IF(VLOOKUP($C91,REV!$C:$AA,24,0)-'TRADE IN'!$F100=0,"",(VLOOKUP($C91,REV!$C:$AA,24,0)-'TRADE IN'!$F91))</f>
        <v>2499</v>
      </c>
      <c r="AA91" s="46">
        <f>IF(VLOOKUP($C91,REV!$C:$AA,25,0)-'TRADE IN'!$F100=0,"",(VLOOKUP($C91,REV!$C:$AA,25,0)-'TRADE IN'!$F91))</f>
        <v>2499</v>
      </c>
      <c r="AB91" s="46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tr">
        <f>IF(REV!AW91=0,"",REV!AW91)</f>
        <v>31.03.2026</v>
      </c>
      <c r="AX91" s="159" t="s">
        <v>82</v>
      </c>
    </row>
    <row r="92" spans="1:50" ht="22.5" customHeight="1">
      <c r="A92" s="52" t="s">
        <v>70</v>
      </c>
      <c r="B92" s="41" t="s">
        <v>62</v>
      </c>
      <c r="C92" s="42">
        <v>4015268</v>
      </c>
      <c r="D92" s="43" t="s">
        <v>148</v>
      </c>
      <c r="E92" s="43" t="s">
        <v>156</v>
      </c>
      <c r="F92" s="45"/>
      <c r="G92" s="45"/>
      <c r="H92" s="46"/>
      <c r="I92" s="46"/>
      <c r="J92" s="46">
        <f>IF(VLOOKUP($C92,REV!$C:$AA,8,0)-'TRADE IN'!$F92=0,"",(VLOOKUP($C92,REV!$C:$AA,8,0)-'TRADE IN'!$F92))</f>
        <v>4399</v>
      </c>
      <c r="K92" s="46">
        <f>IF(VLOOKUP($C92,REV!$C:$AA,9,0)-'TRADE IN'!$F92=0,"",(VLOOKUP($C92,REV!$C:$AA,9,0)-'TRADE IN'!$F92))</f>
        <v>4399</v>
      </c>
      <c r="L92" s="46">
        <f>IF(VLOOKUP($C92,REV!$C:$AA,10,0)-'TRADE IN'!$F101=0,"",(VLOOKUP($C92,REV!$C:$AA,10,0)-'TRADE IN'!$F92))</f>
        <v>4399</v>
      </c>
      <c r="M92" s="46">
        <f>IF(VLOOKUP($C92,REV!$C:$AA,11,0)-'TRADE IN'!$F101=0,"",(VLOOKUP($C92,REV!$C:$AA,11,0)-'TRADE IN'!$F92))</f>
        <v>4399</v>
      </c>
      <c r="N92" s="46">
        <f>IF(VLOOKUP($C92,REV!$C:$AA,12,0)-'TRADE IN'!$F101=0,"",(VLOOKUP($C92,REV!$C:$AA,12,0)-'TRADE IN'!$F92))</f>
        <v>4399</v>
      </c>
      <c r="O92" s="46">
        <f>IF(VLOOKUP($C92,REV!$C:$AA,13,0)-'TRADE IN'!$F101=0,"",(VLOOKUP($C92,REV!$C:$AA,13,0)-'TRADE IN'!$F92))</f>
        <v>4299</v>
      </c>
      <c r="P92" s="46">
        <f>IF(VLOOKUP($C92,REV!$C:$AA,14,0)-'TRADE IN'!$F101=0,"",(VLOOKUP($C92,REV!$C:$AA,14,0)-'TRADE IN'!$F92))</f>
        <v>4199</v>
      </c>
      <c r="Q92" s="46">
        <f>IF(VLOOKUP($C92,REV!$C:$AA,15,0)-'TRADE IN'!$F101=0,"",(VLOOKUP($C92,REV!$C:$AA,15,0)-'TRADE IN'!$F92))</f>
        <v>3499</v>
      </c>
      <c r="R92" s="46">
        <f>IF(VLOOKUP($C92,REV!$C:$AA,16,0)-'TRADE IN'!$F101=0,"",(VLOOKUP($C92,REV!$C:$AA,16,0)-'TRADE IN'!$F92))</f>
        <v>4299</v>
      </c>
      <c r="S92" s="46">
        <f>IF(VLOOKUP($C92,REV!$C:$AA,17,0)-'TRADE IN'!$F101=0,"",(VLOOKUP($C92,REV!$C:$AA,17,0)-'TRADE IN'!$F92))</f>
        <v>4199</v>
      </c>
      <c r="T92" s="46">
        <f>IF(VLOOKUP($C92,REV!$C:$AA,18,0)-'TRADE IN'!$F101=0,"",(VLOOKUP($C92,REV!$C:$AA,18,0)-'TRADE IN'!$F92))</f>
        <v>3499</v>
      </c>
      <c r="U92" s="46">
        <f>IF(VLOOKUP($C92,REV!$C:$AA,19,0)-'TRADE IN'!$F101=0,"",(VLOOKUP($C92,REV!$C:$AA,19,0)-'TRADE IN'!$F92))</f>
        <v>3499</v>
      </c>
      <c r="V92" s="46">
        <f>IF(VLOOKUP($C92,REV!$C:$AA,20,0)-'TRADE IN'!$F101=0,"",(VLOOKUP($C92,REV!$C:$AA,20,0)-'TRADE IN'!$F92))</f>
        <v>3499</v>
      </c>
      <c r="W92" s="46">
        <f>IF(VLOOKUP($C92,REV!$C:$AA,21,0)-'TRADE IN'!$F101=0,"",(VLOOKUP($C92,REV!$C:$AA,21,0)-'TRADE IN'!$F92))</f>
        <v>3499</v>
      </c>
      <c r="X92" s="46">
        <f>IF(VLOOKUP($C92,REV!$C:$AA,22,0)-'TRADE IN'!$F101=0,"",(VLOOKUP($C92,REV!$C:$AA,22,0)-'TRADE IN'!$F92))</f>
        <v>3399</v>
      </c>
      <c r="Y92" s="46">
        <f>IF(VLOOKUP($C92,REV!$C:$AA,23,0)-'TRADE IN'!$F101=0,"",(VLOOKUP($C92,REV!$C:$AA,23,0)-'TRADE IN'!$F92))</f>
        <v>2499</v>
      </c>
      <c r="Z92" s="46">
        <f>IF(VLOOKUP($C92,REV!$C:$AA,24,0)-'TRADE IN'!$F101=0,"",(VLOOKUP($C92,REV!$C:$AA,24,0)-'TRADE IN'!$F92))</f>
        <v>2499</v>
      </c>
      <c r="AA92" s="46">
        <f>IF(VLOOKUP($C92,REV!$C:$AA,25,0)-'TRADE IN'!$F101=0,"",(VLOOKUP($C92,REV!$C:$AA,25,0)-'TRADE IN'!$F92))</f>
        <v>2499</v>
      </c>
      <c r="AB92" s="46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tr">
        <f>IF(REV!AW92=0,"",REV!AW92)</f>
        <v>31.03.2026</v>
      </c>
      <c r="AX92" s="159" t="s">
        <v>82</v>
      </c>
    </row>
    <row r="93" spans="1:50" ht="22.5" customHeight="1">
      <c r="A93" s="52" t="s">
        <v>70</v>
      </c>
      <c r="B93" s="41" t="s">
        <v>62</v>
      </c>
      <c r="C93" s="42">
        <v>4015269</v>
      </c>
      <c r="D93" s="43" t="s">
        <v>148</v>
      </c>
      <c r="E93" s="43" t="s">
        <v>157</v>
      </c>
      <c r="F93" s="45"/>
      <c r="G93" s="45"/>
      <c r="H93" s="46"/>
      <c r="I93" s="46"/>
      <c r="J93" s="46">
        <f>IF(VLOOKUP($C93,REV!$C:$AA,8,0)-'TRADE IN'!$F93=0,"",(VLOOKUP($C93,REV!$C:$AA,8,0)-'TRADE IN'!$F93))</f>
        <v>4399</v>
      </c>
      <c r="K93" s="46">
        <f>IF(VLOOKUP($C93,REV!$C:$AA,9,0)-'TRADE IN'!$F93=0,"",(VLOOKUP($C93,REV!$C:$AA,9,0)-'TRADE IN'!$F93))</f>
        <v>4399</v>
      </c>
      <c r="L93" s="46">
        <f>IF(VLOOKUP($C93,REV!$C:$AA,10,0)-'TRADE IN'!$F102=0,"",(VLOOKUP($C93,REV!$C:$AA,10,0)-'TRADE IN'!$F93))</f>
        <v>4399</v>
      </c>
      <c r="M93" s="46">
        <f>IF(VLOOKUP($C93,REV!$C:$AA,11,0)-'TRADE IN'!$F102=0,"",(VLOOKUP($C93,REV!$C:$AA,11,0)-'TRADE IN'!$F93))</f>
        <v>4399</v>
      </c>
      <c r="N93" s="46">
        <f>IF(VLOOKUP($C93,REV!$C:$AA,12,0)-'TRADE IN'!$F102=0,"",(VLOOKUP($C93,REV!$C:$AA,12,0)-'TRADE IN'!$F93))</f>
        <v>4399</v>
      </c>
      <c r="O93" s="46">
        <f>IF(VLOOKUP($C93,REV!$C:$AA,13,0)-'TRADE IN'!$F102=0,"",(VLOOKUP($C93,REV!$C:$AA,13,0)-'TRADE IN'!$F93))</f>
        <v>4299</v>
      </c>
      <c r="P93" s="46">
        <f>IF(VLOOKUP($C93,REV!$C:$AA,14,0)-'TRADE IN'!$F102=0,"",(VLOOKUP($C93,REV!$C:$AA,14,0)-'TRADE IN'!$F93))</f>
        <v>4199</v>
      </c>
      <c r="Q93" s="46">
        <f>IF(VLOOKUP($C93,REV!$C:$AA,15,0)-'TRADE IN'!$F102=0,"",(VLOOKUP($C93,REV!$C:$AA,15,0)-'TRADE IN'!$F93))</f>
        <v>3499</v>
      </c>
      <c r="R93" s="46">
        <f>IF(VLOOKUP($C93,REV!$C:$AA,16,0)-'TRADE IN'!$F102=0,"",(VLOOKUP($C93,REV!$C:$AA,16,0)-'TRADE IN'!$F93))</f>
        <v>4299</v>
      </c>
      <c r="S93" s="46">
        <f>IF(VLOOKUP($C93,REV!$C:$AA,17,0)-'TRADE IN'!$F102=0,"",(VLOOKUP($C93,REV!$C:$AA,17,0)-'TRADE IN'!$F93))</f>
        <v>4199</v>
      </c>
      <c r="T93" s="46">
        <f>IF(VLOOKUP($C93,REV!$C:$AA,18,0)-'TRADE IN'!$F102=0,"",(VLOOKUP($C93,REV!$C:$AA,18,0)-'TRADE IN'!$F93))</f>
        <v>3499</v>
      </c>
      <c r="U93" s="46">
        <f>IF(VLOOKUP($C93,REV!$C:$AA,19,0)-'TRADE IN'!$F102=0,"",(VLOOKUP($C93,REV!$C:$AA,19,0)-'TRADE IN'!$F93))</f>
        <v>3499</v>
      </c>
      <c r="V93" s="46">
        <f>IF(VLOOKUP($C93,REV!$C:$AA,20,0)-'TRADE IN'!$F102=0,"",(VLOOKUP($C93,REV!$C:$AA,20,0)-'TRADE IN'!$F93))</f>
        <v>3499</v>
      </c>
      <c r="W93" s="46">
        <f>IF(VLOOKUP($C93,REV!$C:$AA,21,0)-'TRADE IN'!$F102=0,"",(VLOOKUP($C93,REV!$C:$AA,21,0)-'TRADE IN'!$F93))</f>
        <v>3499</v>
      </c>
      <c r="X93" s="46">
        <f>IF(VLOOKUP($C93,REV!$C:$AA,22,0)-'TRADE IN'!$F102=0,"",(VLOOKUP($C93,REV!$C:$AA,22,0)-'TRADE IN'!$F93))</f>
        <v>3399</v>
      </c>
      <c r="Y93" s="46">
        <f>IF(VLOOKUP($C93,REV!$C:$AA,23,0)-'TRADE IN'!$F102=0,"",(VLOOKUP($C93,REV!$C:$AA,23,0)-'TRADE IN'!$F93))</f>
        <v>2499</v>
      </c>
      <c r="Z93" s="46">
        <f>IF(VLOOKUP($C93,REV!$C:$AA,24,0)-'TRADE IN'!$F102=0,"",(VLOOKUP($C93,REV!$C:$AA,24,0)-'TRADE IN'!$F93))</f>
        <v>2499</v>
      </c>
      <c r="AA93" s="46">
        <f>IF(VLOOKUP($C93,REV!$C:$AA,25,0)-'TRADE IN'!$F102=0,"",(VLOOKUP($C93,REV!$C:$AA,25,0)-'TRADE IN'!$F93))</f>
        <v>2499</v>
      </c>
      <c r="AB93" s="46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tr">
        <f>IF(REV!AW93=0,"",REV!AW93)</f>
        <v>31.03.2026</v>
      </c>
      <c r="AX93" s="159" t="s">
        <v>82</v>
      </c>
    </row>
    <row r="94" spans="1:50" ht="22.5" customHeight="1">
      <c r="A94" s="52" t="s">
        <v>70</v>
      </c>
      <c r="B94" s="41" t="s">
        <v>62</v>
      </c>
      <c r="C94" s="42">
        <v>4015400</v>
      </c>
      <c r="D94" s="43" t="s">
        <v>148</v>
      </c>
      <c r="E94" s="43" t="s">
        <v>158</v>
      </c>
      <c r="F94" s="45"/>
      <c r="G94" s="45"/>
      <c r="H94" s="46"/>
      <c r="I94" s="46"/>
      <c r="J94" s="46">
        <f>IF(VLOOKUP($C94,REV!$C:$AA,8,0)-'TRADE IN'!$F94=0,"",(VLOOKUP($C94,REV!$C:$AA,8,0)-'TRADE IN'!$F94))</f>
        <v>4399</v>
      </c>
      <c r="K94" s="46">
        <f>IF(VLOOKUP($C94,REV!$C:$AA,9,0)-'TRADE IN'!$F94=0,"",(VLOOKUP($C94,REV!$C:$AA,9,0)-'TRADE IN'!$F94))</f>
        <v>4399</v>
      </c>
      <c r="L94" s="46">
        <f>IF(VLOOKUP($C94,REV!$C:$AA,10,0)-'TRADE IN'!$F103=0,"",(VLOOKUP($C94,REV!$C:$AA,10,0)-'TRADE IN'!$F94))</f>
        <v>4399</v>
      </c>
      <c r="M94" s="46">
        <f>IF(VLOOKUP($C94,REV!$C:$AA,11,0)-'TRADE IN'!$F103=0,"",(VLOOKUP($C94,REV!$C:$AA,11,0)-'TRADE IN'!$F94))</f>
        <v>4399</v>
      </c>
      <c r="N94" s="46">
        <f>IF(VLOOKUP($C94,REV!$C:$AA,12,0)-'TRADE IN'!$F103=0,"",(VLOOKUP($C94,REV!$C:$AA,12,0)-'TRADE IN'!$F94))</f>
        <v>4399</v>
      </c>
      <c r="O94" s="46">
        <f>IF(VLOOKUP($C94,REV!$C:$AA,13,0)-'TRADE IN'!$F103=0,"",(VLOOKUP($C94,REV!$C:$AA,13,0)-'TRADE IN'!$F94))</f>
        <v>4299</v>
      </c>
      <c r="P94" s="46">
        <f>IF(VLOOKUP($C94,REV!$C:$AA,14,0)-'TRADE IN'!$F103=0,"",(VLOOKUP($C94,REV!$C:$AA,14,0)-'TRADE IN'!$F94))</f>
        <v>4199</v>
      </c>
      <c r="Q94" s="46">
        <f>IF(VLOOKUP($C94,REV!$C:$AA,15,0)-'TRADE IN'!$F103=0,"",(VLOOKUP($C94,REV!$C:$AA,15,0)-'TRADE IN'!$F94))</f>
        <v>3499</v>
      </c>
      <c r="R94" s="46">
        <f>IF(VLOOKUP($C94,REV!$C:$AA,16,0)-'TRADE IN'!$F103=0,"",(VLOOKUP($C94,REV!$C:$AA,16,0)-'TRADE IN'!$F94))</f>
        <v>4299</v>
      </c>
      <c r="S94" s="46">
        <f>IF(VLOOKUP($C94,REV!$C:$AA,17,0)-'TRADE IN'!$F103=0,"",(VLOOKUP($C94,REV!$C:$AA,17,0)-'TRADE IN'!$F94))</f>
        <v>4199</v>
      </c>
      <c r="T94" s="46">
        <f>IF(VLOOKUP($C94,REV!$C:$AA,18,0)-'TRADE IN'!$F103=0,"",(VLOOKUP($C94,REV!$C:$AA,18,0)-'TRADE IN'!$F94))</f>
        <v>3499</v>
      </c>
      <c r="U94" s="46">
        <f>IF(VLOOKUP($C94,REV!$C:$AA,19,0)-'TRADE IN'!$F103=0,"",(VLOOKUP($C94,REV!$C:$AA,19,0)-'TRADE IN'!$F94))</f>
        <v>3499</v>
      </c>
      <c r="V94" s="46">
        <f>IF(VLOOKUP($C94,REV!$C:$AA,20,0)-'TRADE IN'!$F103=0,"",(VLOOKUP($C94,REV!$C:$AA,20,0)-'TRADE IN'!$F94))</f>
        <v>3499</v>
      </c>
      <c r="W94" s="46">
        <f>IF(VLOOKUP($C94,REV!$C:$AA,21,0)-'TRADE IN'!$F103=0,"",(VLOOKUP($C94,REV!$C:$AA,21,0)-'TRADE IN'!$F94))</f>
        <v>3499</v>
      </c>
      <c r="X94" s="46">
        <f>IF(VLOOKUP($C94,REV!$C:$AA,22,0)-'TRADE IN'!$F103=0,"",(VLOOKUP($C94,REV!$C:$AA,22,0)-'TRADE IN'!$F94))</f>
        <v>3399</v>
      </c>
      <c r="Y94" s="46">
        <f>IF(VLOOKUP($C94,REV!$C:$AA,23,0)-'TRADE IN'!$F103=0,"",(VLOOKUP($C94,REV!$C:$AA,23,0)-'TRADE IN'!$F94))</f>
        <v>2499</v>
      </c>
      <c r="Z94" s="46">
        <f>IF(VLOOKUP($C94,REV!$C:$AA,24,0)-'TRADE IN'!$F103=0,"",(VLOOKUP($C94,REV!$C:$AA,24,0)-'TRADE IN'!$F94))</f>
        <v>2499</v>
      </c>
      <c r="AA94" s="46">
        <f>IF(VLOOKUP($C94,REV!$C:$AA,25,0)-'TRADE IN'!$F103=0,"",(VLOOKUP($C94,REV!$C:$AA,25,0)-'TRADE IN'!$F94))</f>
        <v>2499</v>
      </c>
      <c r="AB94" s="46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tr">
        <f>IF(REV!AW94=0,"",REV!AW94)</f>
        <v>31.03.2026</v>
      </c>
      <c r="AX94" s="159" t="s">
        <v>82</v>
      </c>
    </row>
    <row r="95" spans="1:50" ht="22.5" customHeight="1">
      <c r="A95" s="52" t="s">
        <v>70</v>
      </c>
      <c r="B95" s="41" t="s">
        <v>62</v>
      </c>
      <c r="C95" s="42">
        <v>4015016</v>
      </c>
      <c r="D95" s="43" t="s">
        <v>159</v>
      </c>
      <c r="E95" s="43" t="s">
        <v>160</v>
      </c>
      <c r="F95" s="45"/>
      <c r="G95" s="45"/>
      <c r="H95" s="46"/>
      <c r="I95" s="46"/>
      <c r="J95" s="46">
        <f>IF(VLOOKUP($C95,REV!$C:$AA,8,0)-'TRADE IN'!$F95=0,"",(VLOOKUP($C95,REV!$C:$AA,8,0)-'TRADE IN'!$F95))</f>
        <v>4499</v>
      </c>
      <c r="K95" s="46">
        <f>IF(VLOOKUP($C95,REV!$C:$AA,9,0)-'TRADE IN'!$F95=0,"",(VLOOKUP($C95,REV!$C:$AA,9,0)-'TRADE IN'!$F95))</f>
        <v>4499</v>
      </c>
      <c r="L95" s="46">
        <f>IF(VLOOKUP($C95,REV!$C:$AA,10,0)-'TRADE IN'!$F104=0,"",(VLOOKUP($C95,REV!$C:$AA,10,0)-'TRADE IN'!$F95))</f>
        <v>4499</v>
      </c>
      <c r="M95" s="46">
        <f>IF(VLOOKUP($C95,REV!$C:$AA,11,0)-'TRADE IN'!$F104=0,"",(VLOOKUP($C95,REV!$C:$AA,11,0)-'TRADE IN'!$F95))</f>
        <v>4499</v>
      </c>
      <c r="N95" s="46">
        <f>IF(VLOOKUP($C95,REV!$C:$AA,12,0)-'TRADE IN'!$F104=0,"",(VLOOKUP($C95,REV!$C:$AA,12,0)-'TRADE IN'!$F95))</f>
        <v>4499</v>
      </c>
      <c r="O95" s="46">
        <f>IF(VLOOKUP($C95,REV!$C:$AA,13,0)-'TRADE IN'!$F104=0,"",(VLOOKUP($C95,REV!$C:$AA,13,0)-'TRADE IN'!$F95))</f>
        <v>4399</v>
      </c>
      <c r="P95" s="46">
        <f>IF(VLOOKUP($C95,REV!$C:$AA,14,0)-'TRADE IN'!$F104=0,"",(VLOOKUP($C95,REV!$C:$AA,14,0)-'TRADE IN'!$F95))</f>
        <v>4299</v>
      </c>
      <c r="Q95" s="46">
        <f>IF(VLOOKUP($C95,REV!$C:$AA,15,0)-'TRADE IN'!$F104=0,"",(VLOOKUP($C95,REV!$C:$AA,15,0)-'TRADE IN'!$F95))</f>
        <v>3499</v>
      </c>
      <c r="R95" s="46">
        <f>IF(VLOOKUP($C95,REV!$C:$AA,16,0)-'TRADE IN'!$F104=0,"",(VLOOKUP($C95,REV!$C:$AA,16,0)-'TRADE IN'!$F95))</f>
        <v>4399</v>
      </c>
      <c r="S95" s="46">
        <f>IF(VLOOKUP($C95,REV!$C:$AA,17,0)-'TRADE IN'!$F104=0,"",(VLOOKUP($C95,REV!$C:$AA,17,0)-'TRADE IN'!$F95))</f>
        <v>4299</v>
      </c>
      <c r="T95" s="46">
        <f>IF(VLOOKUP($C95,REV!$C:$AA,18,0)-'TRADE IN'!$F104=0,"",(VLOOKUP($C95,REV!$C:$AA,18,0)-'TRADE IN'!$F95))</f>
        <v>3499</v>
      </c>
      <c r="U95" s="46">
        <f>IF(VLOOKUP($C95,REV!$C:$AA,19,0)-'TRADE IN'!$F104=0,"",(VLOOKUP($C95,REV!$C:$AA,19,0)-'TRADE IN'!$F95))</f>
        <v>3499</v>
      </c>
      <c r="V95" s="46">
        <f>IF(VLOOKUP($C95,REV!$C:$AA,20,0)-'TRADE IN'!$F104=0,"",(VLOOKUP($C95,REV!$C:$AA,20,0)-'TRADE IN'!$F95))</f>
        <v>3499</v>
      </c>
      <c r="W95" s="46">
        <f>IF(VLOOKUP($C95,REV!$C:$AA,21,0)-'TRADE IN'!$F104=0,"",(VLOOKUP($C95,REV!$C:$AA,21,0)-'TRADE IN'!$F95))</f>
        <v>3499</v>
      </c>
      <c r="X95" s="46">
        <f>IF(VLOOKUP($C95,REV!$C:$AA,22,0)-'TRADE IN'!$F104=0,"",(VLOOKUP($C95,REV!$C:$AA,22,0)-'TRADE IN'!$F95))</f>
        <v>3399</v>
      </c>
      <c r="Y95" s="46">
        <f>IF(VLOOKUP($C95,REV!$C:$AA,23,0)-'TRADE IN'!$F104=0,"",(VLOOKUP($C95,REV!$C:$AA,23,0)-'TRADE IN'!$F95))</f>
        <v>2899</v>
      </c>
      <c r="Z95" s="46">
        <f>IF(VLOOKUP($C95,REV!$C:$AA,24,0)-'TRADE IN'!$F104=0,"",(VLOOKUP($C95,REV!$C:$AA,24,0)-'TRADE IN'!$F95))</f>
        <v>2899</v>
      </c>
      <c r="AA95" s="46">
        <f>IF(VLOOKUP($C95,REV!$C:$AA,25,0)-'TRADE IN'!$F104=0,"",(VLOOKUP($C95,REV!$C:$AA,25,0)-'TRADE IN'!$F95))</f>
        <v>2899</v>
      </c>
      <c r="AB95" s="46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tr">
        <f>IF(REV!AW95=0,"",REV!AW95)</f>
        <v>31.03.2026</v>
      </c>
      <c r="AX95" s="159" t="s">
        <v>82</v>
      </c>
    </row>
    <row r="96" spans="1:50" ht="22.5" customHeight="1">
      <c r="A96" s="52" t="s">
        <v>70</v>
      </c>
      <c r="B96" s="41" t="s">
        <v>62</v>
      </c>
      <c r="C96" s="42">
        <v>4015179</v>
      </c>
      <c r="D96" s="43" t="s">
        <v>159</v>
      </c>
      <c r="E96" s="43" t="s">
        <v>161</v>
      </c>
      <c r="F96" s="45"/>
      <c r="G96" s="45"/>
      <c r="H96" s="46"/>
      <c r="I96" s="46"/>
      <c r="J96" s="46">
        <f>IF(VLOOKUP($C96,REV!$C:$AA,8,0)-'TRADE IN'!$F96=0,"",(VLOOKUP($C96,REV!$C:$AA,8,0)-'TRADE IN'!$F96))</f>
        <v>4499</v>
      </c>
      <c r="K96" s="46">
        <f>IF(VLOOKUP($C96,REV!$C:$AA,9,0)-'TRADE IN'!$F96=0,"",(VLOOKUP($C96,REV!$C:$AA,9,0)-'TRADE IN'!$F96))</f>
        <v>4499</v>
      </c>
      <c r="L96" s="46">
        <f>IF(VLOOKUP($C96,REV!$C:$AA,10,0)-'TRADE IN'!$F105=0,"",(VLOOKUP($C96,REV!$C:$AA,10,0)-'TRADE IN'!$F96))</f>
        <v>4499</v>
      </c>
      <c r="M96" s="46">
        <f>IF(VLOOKUP($C96,REV!$C:$AA,11,0)-'TRADE IN'!$F105=0,"",(VLOOKUP($C96,REV!$C:$AA,11,0)-'TRADE IN'!$F96))</f>
        <v>4499</v>
      </c>
      <c r="N96" s="46">
        <f>IF(VLOOKUP($C96,REV!$C:$AA,12,0)-'TRADE IN'!$F105=0,"",(VLOOKUP($C96,REV!$C:$AA,12,0)-'TRADE IN'!$F96))</f>
        <v>4499</v>
      </c>
      <c r="O96" s="46">
        <f>IF(VLOOKUP($C96,REV!$C:$AA,13,0)-'TRADE IN'!$F105=0,"",(VLOOKUP($C96,REV!$C:$AA,13,0)-'TRADE IN'!$F96))</f>
        <v>4399</v>
      </c>
      <c r="P96" s="46">
        <f>IF(VLOOKUP($C96,REV!$C:$AA,14,0)-'TRADE IN'!$F105=0,"",(VLOOKUP($C96,REV!$C:$AA,14,0)-'TRADE IN'!$F96))</f>
        <v>4299</v>
      </c>
      <c r="Q96" s="46">
        <f>IF(VLOOKUP($C96,REV!$C:$AA,15,0)-'TRADE IN'!$F105=0,"",(VLOOKUP($C96,REV!$C:$AA,15,0)-'TRADE IN'!$F96))</f>
        <v>3499</v>
      </c>
      <c r="R96" s="46">
        <f>IF(VLOOKUP($C96,REV!$C:$AA,16,0)-'TRADE IN'!$F105=0,"",(VLOOKUP($C96,REV!$C:$AA,16,0)-'TRADE IN'!$F96))</f>
        <v>4399</v>
      </c>
      <c r="S96" s="46">
        <f>IF(VLOOKUP($C96,REV!$C:$AA,17,0)-'TRADE IN'!$F105=0,"",(VLOOKUP($C96,REV!$C:$AA,17,0)-'TRADE IN'!$F96))</f>
        <v>4299</v>
      </c>
      <c r="T96" s="46">
        <f>IF(VLOOKUP($C96,REV!$C:$AA,18,0)-'TRADE IN'!$F105=0,"",(VLOOKUP($C96,REV!$C:$AA,18,0)-'TRADE IN'!$F96))</f>
        <v>3499</v>
      </c>
      <c r="U96" s="46">
        <f>IF(VLOOKUP($C96,REV!$C:$AA,19,0)-'TRADE IN'!$F105=0,"",(VLOOKUP($C96,REV!$C:$AA,19,0)-'TRADE IN'!$F96))</f>
        <v>3499</v>
      </c>
      <c r="V96" s="46">
        <f>IF(VLOOKUP($C96,REV!$C:$AA,20,0)-'TRADE IN'!$F105=0,"",(VLOOKUP($C96,REV!$C:$AA,20,0)-'TRADE IN'!$F96))</f>
        <v>3499</v>
      </c>
      <c r="W96" s="46">
        <f>IF(VLOOKUP($C96,REV!$C:$AA,21,0)-'TRADE IN'!$F105=0,"",(VLOOKUP($C96,REV!$C:$AA,21,0)-'TRADE IN'!$F96))</f>
        <v>3499</v>
      </c>
      <c r="X96" s="46">
        <f>IF(VLOOKUP($C96,REV!$C:$AA,22,0)-'TRADE IN'!$F105=0,"",(VLOOKUP($C96,REV!$C:$AA,22,0)-'TRADE IN'!$F96))</f>
        <v>3399</v>
      </c>
      <c r="Y96" s="46">
        <f>IF(VLOOKUP($C96,REV!$C:$AA,23,0)-'TRADE IN'!$F105=0,"",(VLOOKUP($C96,REV!$C:$AA,23,0)-'TRADE IN'!$F96))</f>
        <v>2899</v>
      </c>
      <c r="Z96" s="46">
        <f>IF(VLOOKUP($C96,REV!$C:$AA,24,0)-'TRADE IN'!$F105=0,"",(VLOOKUP($C96,REV!$C:$AA,24,0)-'TRADE IN'!$F96))</f>
        <v>2899</v>
      </c>
      <c r="AA96" s="46">
        <f>IF(VLOOKUP($C96,REV!$C:$AA,25,0)-'TRADE IN'!$F105=0,"",(VLOOKUP($C96,REV!$C:$AA,25,0)-'TRADE IN'!$F96))</f>
        <v>2899</v>
      </c>
      <c r="AB96" s="46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tr">
        <f>IF(REV!AW96=0,"",REV!AW96)</f>
        <v>31.03.2026</v>
      </c>
      <c r="AX96" s="159" t="s">
        <v>82</v>
      </c>
    </row>
    <row r="97" spans="1:50" ht="22.5" customHeight="1">
      <c r="A97" s="52" t="s">
        <v>70</v>
      </c>
      <c r="B97" s="41" t="s">
        <v>62</v>
      </c>
      <c r="C97" s="42">
        <v>4015187</v>
      </c>
      <c r="D97" s="43" t="s">
        <v>159</v>
      </c>
      <c r="E97" s="43" t="s">
        <v>162</v>
      </c>
      <c r="F97" s="45"/>
      <c r="G97" s="45"/>
      <c r="H97" s="46"/>
      <c r="I97" s="46"/>
      <c r="J97" s="46">
        <f>IF(VLOOKUP($C97,REV!$C:$AA,8,0)-'TRADE IN'!$F97=0,"",(VLOOKUP($C97,REV!$C:$AA,8,0)-'TRADE IN'!$F97))</f>
        <v>4499</v>
      </c>
      <c r="K97" s="46">
        <f>IF(VLOOKUP($C97,REV!$C:$AA,9,0)-'TRADE IN'!$F97=0,"",(VLOOKUP($C97,REV!$C:$AA,9,0)-'TRADE IN'!$F97))</f>
        <v>4499</v>
      </c>
      <c r="L97" s="46">
        <f>IF(VLOOKUP($C97,REV!$C:$AA,10,0)-'TRADE IN'!$F106=0,"",(VLOOKUP($C97,REV!$C:$AA,10,0)-'TRADE IN'!$F97))</f>
        <v>4499</v>
      </c>
      <c r="M97" s="46">
        <f>IF(VLOOKUP($C97,REV!$C:$AA,11,0)-'TRADE IN'!$F106=0,"",(VLOOKUP($C97,REV!$C:$AA,11,0)-'TRADE IN'!$F97))</f>
        <v>4499</v>
      </c>
      <c r="N97" s="46">
        <f>IF(VLOOKUP($C97,REV!$C:$AA,12,0)-'TRADE IN'!$F106=0,"",(VLOOKUP($C97,REV!$C:$AA,12,0)-'TRADE IN'!$F97))</f>
        <v>4499</v>
      </c>
      <c r="O97" s="46">
        <f>IF(VLOOKUP($C97,REV!$C:$AA,13,0)-'TRADE IN'!$F106=0,"",(VLOOKUP($C97,REV!$C:$AA,13,0)-'TRADE IN'!$F97))</f>
        <v>4399</v>
      </c>
      <c r="P97" s="46">
        <f>IF(VLOOKUP($C97,REV!$C:$AA,14,0)-'TRADE IN'!$F106=0,"",(VLOOKUP($C97,REV!$C:$AA,14,0)-'TRADE IN'!$F97))</f>
        <v>4299</v>
      </c>
      <c r="Q97" s="46">
        <f>IF(VLOOKUP($C97,REV!$C:$AA,15,0)-'TRADE IN'!$F106=0,"",(VLOOKUP($C97,REV!$C:$AA,15,0)-'TRADE IN'!$F97))</f>
        <v>3499</v>
      </c>
      <c r="R97" s="46">
        <f>IF(VLOOKUP($C97,REV!$C:$AA,16,0)-'TRADE IN'!$F106=0,"",(VLOOKUP($C97,REV!$C:$AA,16,0)-'TRADE IN'!$F97))</f>
        <v>4399</v>
      </c>
      <c r="S97" s="46">
        <f>IF(VLOOKUP($C97,REV!$C:$AA,17,0)-'TRADE IN'!$F106=0,"",(VLOOKUP($C97,REV!$C:$AA,17,0)-'TRADE IN'!$F97))</f>
        <v>4299</v>
      </c>
      <c r="T97" s="46">
        <f>IF(VLOOKUP($C97,REV!$C:$AA,18,0)-'TRADE IN'!$F106=0,"",(VLOOKUP($C97,REV!$C:$AA,18,0)-'TRADE IN'!$F97))</f>
        <v>3499</v>
      </c>
      <c r="U97" s="46">
        <f>IF(VLOOKUP($C97,REV!$C:$AA,19,0)-'TRADE IN'!$F106=0,"",(VLOOKUP($C97,REV!$C:$AA,19,0)-'TRADE IN'!$F97))</f>
        <v>3499</v>
      </c>
      <c r="V97" s="46">
        <f>IF(VLOOKUP($C97,REV!$C:$AA,20,0)-'TRADE IN'!$F106=0,"",(VLOOKUP($C97,REV!$C:$AA,20,0)-'TRADE IN'!$F97))</f>
        <v>3499</v>
      </c>
      <c r="W97" s="46">
        <f>IF(VLOOKUP($C97,REV!$C:$AA,21,0)-'TRADE IN'!$F106=0,"",(VLOOKUP($C97,REV!$C:$AA,21,0)-'TRADE IN'!$F97))</f>
        <v>3499</v>
      </c>
      <c r="X97" s="46">
        <f>IF(VLOOKUP($C97,REV!$C:$AA,22,0)-'TRADE IN'!$F106=0,"",(VLOOKUP($C97,REV!$C:$AA,22,0)-'TRADE IN'!$F97))</f>
        <v>3399</v>
      </c>
      <c r="Y97" s="46">
        <f>IF(VLOOKUP($C97,REV!$C:$AA,23,0)-'TRADE IN'!$F106=0,"",(VLOOKUP($C97,REV!$C:$AA,23,0)-'TRADE IN'!$F97))</f>
        <v>2899</v>
      </c>
      <c r="Z97" s="46">
        <f>IF(VLOOKUP($C97,REV!$C:$AA,24,0)-'TRADE IN'!$F106=0,"",(VLOOKUP($C97,REV!$C:$AA,24,0)-'TRADE IN'!$F97))</f>
        <v>2899</v>
      </c>
      <c r="AA97" s="46">
        <f>IF(VLOOKUP($C97,REV!$C:$AA,25,0)-'TRADE IN'!$F106=0,"",(VLOOKUP($C97,REV!$C:$AA,25,0)-'TRADE IN'!$F97))</f>
        <v>2899</v>
      </c>
      <c r="AB97" s="46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tr">
        <f>IF(REV!AW97=0,"",REV!AW97)</f>
        <v>31.03.2026</v>
      </c>
      <c r="AX97" s="159" t="s">
        <v>82</v>
      </c>
    </row>
    <row r="98" spans="1:50" ht="22.5" customHeight="1">
      <c r="A98" s="52" t="s">
        <v>70</v>
      </c>
      <c r="B98" s="41" t="s">
        <v>62</v>
      </c>
      <c r="C98" s="42">
        <v>4015166</v>
      </c>
      <c r="D98" s="43" t="s">
        <v>159</v>
      </c>
      <c r="E98" s="43" t="s">
        <v>163</v>
      </c>
      <c r="F98" s="45"/>
      <c r="G98" s="45"/>
      <c r="H98" s="46"/>
      <c r="I98" s="46"/>
      <c r="J98" s="46">
        <f>IF(VLOOKUP($C98,REV!$C:$AA,8,0)-'TRADE IN'!$F98=0,"",(VLOOKUP($C98,REV!$C:$AA,8,0)-'TRADE IN'!$F98))</f>
        <v>4499</v>
      </c>
      <c r="K98" s="46">
        <f>IF(VLOOKUP($C98,REV!$C:$AA,9,0)-'TRADE IN'!$F98=0,"",(VLOOKUP($C98,REV!$C:$AA,9,0)-'TRADE IN'!$F98))</f>
        <v>4499</v>
      </c>
      <c r="L98" s="46">
        <f>IF(VLOOKUP($C98,REV!$C:$AA,10,0)-'TRADE IN'!$F107=0,"",(VLOOKUP($C98,REV!$C:$AA,10,0)-'TRADE IN'!$F98))</f>
        <v>4499</v>
      </c>
      <c r="M98" s="46">
        <f>IF(VLOOKUP($C98,REV!$C:$AA,11,0)-'TRADE IN'!$F107=0,"",(VLOOKUP($C98,REV!$C:$AA,11,0)-'TRADE IN'!$F98))</f>
        <v>4499</v>
      </c>
      <c r="N98" s="46">
        <f>IF(VLOOKUP($C98,REV!$C:$AA,12,0)-'TRADE IN'!$F107=0,"",(VLOOKUP($C98,REV!$C:$AA,12,0)-'TRADE IN'!$F98))</f>
        <v>4499</v>
      </c>
      <c r="O98" s="46">
        <f>IF(VLOOKUP($C98,REV!$C:$AA,13,0)-'TRADE IN'!$F107=0,"",(VLOOKUP($C98,REV!$C:$AA,13,0)-'TRADE IN'!$F98))</f>
        <v>4399</v>
      </c>
      <c r="P98" s="46">
        <f>IF(VLOOKUP($C98,REV!$C:$AA,14,0)-'TRADE IN'!$F107=0,"",(VLOOKUP($C98,REV!$C:$AA,14,0)-'TRADE IN'!$F98))</f>
        <v>4299</v>
      </c>
      <c r="Q98" s="46">
        <f>IF(VLOOKUP($C98,REV!$C:$AA,15,0)-'TRADE IN'!$F107=0,"",(VLOOKUP($C98,REV!$C:$AA,15,0)-'TRADE IN'!$F98))</f>
        <v>3499</v>
      </c>
      <c r="R98" s="46">
        <f>IF(VLOOKUP($C98,REV!$C:$AA,16,0)-'TRADE IN'!$F107=0,"",(VLOOKUP($C98,REV!$C:$AA,16,0)-'TRADE IN'!$F98))</f>
        <v>4399</v>
      </c>
      <c r="S98" s="46">
        <f>IF(VLOOKUP($C98,REV!$C:$AA,17,0)-'TRADE IN'!$F107=0,"",(VLOOKUP($C98,REV!$C:$AA,17,0)-'TRADE IN'!$F98))</f>
        <v>4299</v>
      </c>
      <c r="T98" s="46">
        <f>IF(VLOOKUP($C98,REV!$C:$AA,18,0)-'TRADE IN'!$F107=0,"",(VLOOKUP($C98,REV!$C:$AA,18,0)-'TRADE IN'!$F98))</f>
        <v>3499</v>
      </c>
      <c r="U98" s="46">
        <f>IF(VLOOKUP($C98,REV!$C:$AA,19,0)-'TRADE IN'!$F107=0,"",(VLOOKUP($C98,REV!$C:$AA,19,0)-'TRADE IN'!$F98))</f>
        <v>3499</v>
      </c>
      <c r="V98" s="46">
        <f>IF(VLOOKUP($C98,REV!$C:$AA,20,0)-'TRADE IN'!$F107=0,"",(VLOOKUP($C98,REV!$C:$AA,20,0)-'TRADE IN'!$F98))</f>
        <v>3499</v>
      </c>
      <c r="W98" s="46">
        <f>IF(VLOOKUP($C98,REV!$C:$AA,21,0)-'TRADE IN'!$F107=0,"",(VLOOKUP($C98,REV!$C:$AA,21,0)-'TRADE IN'!$F98))</f>
        <v>3499</v>
      </c>
      <c r="X98" s="46">
        <f>IF(VLOOKUP($C98,REV!$C:$AA,22,0)-'TRADE IN'!$F107=0,"",(VLOOKUP($C98,REV!$C:$AA,22,0)-'TRADE IN'!$F98))</f>
        <v>3399</v>
      </c>
      <c r="Y98" s="46">
        <f>IF(VLOOKUP($C98,REV!$C:$AA,23,0)-'TRADE IN'!$F107=0,"",(VLOOKUP($C98,REV!$C:$AA,23,0)-'TRADE IN'!$F98))</f>
        <v>2899</v>
      </c>
      <c r="Z98" s="46">
        <f>IF(VLOOKUP($C98,REV!$C:$AA,24,0)-'TRADE IN'!$F107=0,"",(VLOOKUP($C98,REV!$C:$AA,24,0)-'TRADE IN'!$F98))</f>
        <v>2899</v>
      </c>
      <c r="AA98" s="46">
        <f>IF(VLOOKUP($C98,REV!$C:$AA,25,0)-'TRADE IN'!$F107=0,"",(VLOOKUP($C98,REV!$C:$AA,25,0)-'TRADE IN'!$F98))</f>
        <v>2899</v>
      </c>
      <c r="AB98" s="46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tr">
        <f>IF(REV!AW98=0,"",REV!AW98)</f>
        <v>31.03.2026</v>
      </c>
      <c r="AX98" s="159" t="s">
        <v>82</v>
      </c>
    </row>
    <row r="99" spans="1:50" ht="22.5" customHeight="1">
      <c r="A99" s="52" t="s">
        <v>70</v>
      </c>
      <c r="B99" s="41" t="s">
        <v>62</v>
      </c>
      <c r="C99" s="42">
        <v>4015173</v>
      </c>
      <c r="D99" s="43" t="s">
        <v>159</v>
      </c>
      <c r="E99" s="43" t="s">
        <v>164</v>
      </c>
      <c r="F99" s="45"/>
      <c r="G99" s="45"/>
      <c r="H99" s="46"/>
      <c r="I99" s="46"/>
      <c r="J99" s="46">
        <f>IF(VLOOKUP($C99,REV!$C:$AA,8,0)-'TRADE IN'!$F99=0,"",(VLOOKUP($C99,REV!$C:$AA,8,0)-'TRADE IN'!$F99))</f>
        <v>4499</v>
      </c>
      <c r="K99" s="46">
        <f>IF(VLOOKUP($C99,REV!$C:$AA,9,0)-'TRADE IN'!$F99=0,"",(VLOOKUP($C99,REV!$C:$AA,9,0)-'TRADE IN'!$F99))</f>
        <v>4499</v>
      </c>
      <c r="L99" s="46">
        <f>IF(VLOOKUP($C99,REV!$C:$AA,10,0)-'TRADE IN'!$F108=0,"",(VLOOKUP($C99,REV!$C:$AA,10,0)-'TRADE IN'!$F99))</f>
        <v>4499</v>
      </c>
      <c r="M99" s="46">
        <f>IF(VLOOKUP($C99,REV!$C:$AA,11,0)-'TRADE IN'!$F108=0,"",(VLOOKUP($C99,REV!$C:$AA,11,0)-'TRADE IN'!$F99))</f>
        <v>4499</v>
      </c>
      <c r="N99" s="46">
        <f>IF(VLOOKUP($C99,REV!$C:$AA,12,0)-'TRADE IN'!$F108=0,"",(VLOOKUP($C99,REV!$C:$AA,12,0)-'TRADE IN'!$F99))</f>
        <v>4499</v>
      </c>
      <c r="O99" s="46">
        <f>IF(VLOOKUP($C99,REV!$C:$AA,13,0)-'TRADE IN'!$F108=0,"",(VLOOKUP($C99,REV!$C:$AA,13,0)-'TRADE IN'!$F99))</f>
        <v>4399</v>
      </c>
      <c r="P99" s="46">
        <f>IF(VLOOKUP($C99,REV!$C:$AA,14,0)-'TRADE IN'!$F108=0,"",(VLOOKUP($C99,REV!$C:$AA,14,0)-'TRADE IN'!$F99))</f>
        <v>4299</v>
      </c>
      <c r="Q99" s="46">
        <f>IF(VLOOKUP($C99,REV!$C:$AA,15,0)-'TRADE IN'!$F108=0,"",(VLOOKUP($C99,REV!$C:$AA,15,0)-'TRADE IN'!$F99))</f>
        <v>3499</v>
      </c>
      <c r="R99" s="46">
        <f>IF(VLOOKUP($C99,REV!$C:$AA,16,0)-'TRADE IN'!$F108=0,"",(VLOOKUP($C99,REV!$C:$AA,16,0)-'TRADE IN'!$F99))</f>
        <v>4399</v>
      </c>
      <c r="S99" s="46">
        <f>IF(VLOOKUP($C99,REV!$C:$AA,17,0)-'TRADE IN'!$F108=0,"",(VLOOKUP($C99,REV!$C:$AA,17,0)-'TRADE IN'!$F99))</f>
        <v>4299</v>
      </c>
      <c r="T99" s="46">
        <f>IF(VLOOKUP($C99,REV!$C:$AA,18,0)-'TRADE IN'!$F108=0,"",(VLOOKUP($C99,REV!$C:$AA,18,0)-'TRADE IN'!$F99))</f>
        <v>3499</v>
      </c>
      <c r="U99" s="46">
        <f>IF(VLOOKUP($C99,REV!$C:$AA,19,0)-'TRADE IN'!$F108=0,"",(VLOOKUP($C99,REV!$C:$AA,19,0)-'TRADE IN'!$F99))</f>
        <v>3499</v>
      </c>
      <c r="V99" s="46">
        <f>IF(VLOOKUP($C99,REV!$C:$AA,20,0)-'TRADE IN'!$F108=0,"",(VLOOKUP($C99,REV!$C:$AA,20,0)-'TRADE IN'!$F99))</f>
        <v>3499</v>
      </c>
      <c r="W99" s="46">
        <f>IF(VLOOKUP($C99,REV!$C:$AA,21,0)-'TRADE IN'!$F108=0,"",(VLOOKUP($C99,REV!$C:$AA,21,0)-'TRADE IN'!$F99))</f>
        <v>3499</v>
      </c>
      <c r="X99" s="46">
        <f>IF(VLOOKUP($C99,REV!$C:$AA,22,0)-'TRADE IN'!$F108=0,"",(VLOOKUP($C99,REV!$C:$AA,22,0)-'TRADE IN'!$F99))</f>
        <v>3399</v>
      </c>
      <c r="Y99" s="46">
        <f>IF(VLOOKUP($C99,REV!$C:$AA,23,0)-'TRADE IN'!$F108=0,"",(VLOOKUP($C99,REV!$C:$AA,23,0)-'TRADE IN'!$F99))</f>
        <v>2899</v>
      </c>
      <c r="Z99" s="46">
        <f>IF(VLOOKUP($C99,REV!$C:$AA,24,0)-'TRADE IN'!$F108=0,"",(VLOOKUP($C99,REV!$C:$AA,24,0)-'TRADE IN'!$F99))</f>
        <v>2899</v>
      </c>
      <c r="AA99" s="46">
        <f>IF(VLOOKUP($C99,REV!$C:$AA,25,0)-'TRADE IN'!$F108=0,"",(VLOOKUP($C99,REV!$C:$AA,25,0)-'TRADE IN'!$F99))</f>
        <v>2899</v>
      </c>
      <c r="AB99" s="46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tr">
        <f>IF(REV!AW99=0,"",REV!AW99)</f>
        <v>31.03.2026</v>
      </c>
      <c r="AX99" s="159" t="s">
        <v>82</v>
      </c>
    </row>
    <row r="100" spans="1:50" ht="22.5" customHeight="1">
      <c r="A100" s="52" t="s">
        <v>70</v>
      </c>
      <c r="B100" s="41" t="s">
        <v>62</v>
      </c>
      <c r="C100" s="42">
        <v>4015711</v>
      </c>
      <c r="D100" s="43" t="s">
        <v>159</v>
      </c>
      <c r="E100" s="43" t="s">
        <v>165</v>
      </c>
      <c r="F100" s="45"/>
      <c r="G100" s="45"/>
      <c r="H100" s="46"/>
      <c r="I100" s="46"/>
      <c r="J100" s="46">
        <f>IF(VLOOKUP($C100,REV!$C:$AA,8,0)-'TRADE IN'!$F100=0,"",(VLOOKUP($C100,REV!$C:$AA,8,0)-'TRADE IN'!$F100))</f>
        <v>4499</v>
      </c>
      <c r="K100" s="46">
        <f>IF(VLOOKUP($C100,REV!$C:$AA,9,0)-'TRADE IN'!$F100=0,"",(VLOOKUP($C100,REV!$C:$AA,9,0)-'TRADE IN'!$F100))</f>
        <v>4499</v>
      </c>
      <c r="L100" s="46">
        <f>IF(VLOOKUP($C100,REV!$C:$AA,10,0)-'TRADE IN'!$F109=0,"",(VLOOKUP($C100,REV!$C:$AA,10,0)-'TRADE IN'!$F100))</f>
        <v>4499</v>
      </c>
      <c r="M100" s="46">
        <f>IF(VLOOKUP($C100,REV!$C:$AA,11,0)-'TRADE IN'!$F109=0,"",(VLOOKUP($C100,REV!$C:$AA,11,0)-'TRADE IN'!$F100))</f>
        <v>4499</v>
      </c>
      <c r="N100" s="46">
        <f>IF(VLOOKUP($C100,REV!$C:$AA,12,0)-'TRADE IN'!$F109=0,"",(VLOOKUP($C100,REV!$C:$AA,12,0)-'TRADE IN'!$F100))</f>
        <v>4499</v>
      </c>
      <c r="O100" s="46">
        <f>IF(VLOOKUP($C100,REV!$C:$AA,13,0)-'TRADE IN'!$F109=0,"",(VLOOKUP($C100,REV!$C:$AA,13,0)-'TRADE IN'!$F100))</f>
        <v>4399</v>
      </c>
      <c r="P100" s="46">
        <f>IF(VLOOKUP($C100,REV!$C:$AA,14,0)-'TRADE IN'!$F109=0,"",(VLOOKUP($C100,REV!$C:$AA,14,0)-'TRADE IN'!$F100))</f>
        <v>4299</v>
      </c>
      <c r="Q100" s="46">
        <f>IF(VLOOKUP($C100,REV!$C:$AA,15,0)-'TRADE IN'!$F109=0,"",(VLOOKUP($C100,REV!$C:$AA,15,0)-'TRADE IN'!$F100))</f>
        <v>3499</v>
      </c>
      <c r="R100" s="46">
        <f>IF(VLOOKUP($C100,REV!$C:$AA,16,0)-'TRADE IN'!$F109=0,"",(VLOOKUP($C100,REV!$C:$AA,16,0)-'TRADE IN'!$F100))</f>
        <v>4399</v>
      </c>
      <c r="S100" s="46">
        <f>IF(VLOOKUP($C100,REV!$C:$AA,17,0)-'TRADE IN'!$F109=0,"",(VLOOKUP($C100,REV!$C:$AA,17,0)-'TRADE IN'!$F100))</f>
        <v>4299</v>
      </c>
      <c r="T100" s="46">
        <f>IF(VLOOKUP($C100,REV!$C:$AA,18,0)-'TRADE IN'!$F109=0,"",(VLOOKUP($C100,REV!$C:$AA,18,0)-'TRADE IN'!$F100))</f>
        <v>3499</v>
      </c>
      <c r="U100" s="46">
        <f>IF(VLOOKUP($C100,REV!$C:$AA,19,0)-'TRADE IN'!$F109=0,"",(VLOOKUP($C100,REV!$C:$AA,19,0)-'TRADE IN'!$F100))</f>
        <v>3499</v>
      </c>
      <c r="V100" s="46">
        <f>IF(VLOOKUP($C100,REV!$C:$AA,20,0)-'TRADE IN'!$F109=0,"",(VLOOKUP($C100,REV!$C:$AA,20,0)-'TRADE IN'!$F100))</f>
        <v>3499</v>
      </c>
      <c r="W100" s="46">
        <f>IF(VLOOKUP($C100,REV!$C:$AA,21,0)-'TRADE IN'!$F109=0,"",(VLOOKUP($C100,REV!$C:$AA,21,0)-'TRADE IN'!$F100))</f>
        <v>3499</v>
      </c>
      <c r="X100" s="46">
        <f>IF(VLOOKUP($C100,REV!$C:$AA,22,0)-'TRADE IN'!$F109=0,"",(VLOOKUP($C100,REV!$C:$AA,22,0)-'TRADE IN'!$F100))</f>
        <v>3399</v>
      </c>
      <c r="Y100" s="46">
        <f>IF(VLOOKUP($C100,REV!$C:$AA,23,0)-'TRADE IN'!$F109=0,"",(VLOOKUP($C100,REV!$C:$AA,23,0)-'TRADE IN'!$F100))</f>
        <v>2899</v>
      </c>
      <c r="Z100" s="46">
        <f>IF(VLOOKUP($C100,REV!$C:$AA,24,0)-'TRADE IN'!$F109=0,"",(VLOOKUP($C100,REV!$C:$AA,24,0)-'TRADE IN'!$F100))</f>
        <v>2899</v>
      </c>
      <c r="AA100" s="46">
        <f>IF(VLOOKUP($C100,REV!$C:$AA,25,0)-'TRADE IN'!$F109=0,"",(VLOOKUP($C100,REV!$C:$AA,25,0)-'TRADE IN'!$F100))</f>
        <v>2899</v>
      </c>
      <c r="AB100" s="46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tr">
        <f>IF(REV!AW100=0,"",REV!AW100)</f>
        <v>31.03.2026</v>
      </c>
      <c r="AX100" s="159" t="s">
        <v>82</v>
      </c>
    </row>
    <row r="101" spans="1:50" ht="22.5" customHeight="1">
      <c r="A101" s="52" t="s">
        <v>70</v>
      </c>
      <c r="B101" s="41" t="s">
        <v>62</v>
      </c>
      <c r="C101" s="42">
        <v>4015713</v>
      </c>
      <c r="D101" s="43" t="s">
        <v>159</v>
      </c>
      <c r="E101" s="43" t="s">
        <v>166</v>
      </c>
      <c r="F101" s="45"/>
      <c r="G101" s="45"/>
      <c r="H101" s="46"/>
      <c r="I101" s="46"/>
      <c r="J101" s="46">
        <f>IF(VLOOKUP($C101,REV!$C:$AA,8,0)-'TRADE IN'!$F101=0,"",(VLOOKUP($C101,REV!$C:$AA,8,0)-'TRADE IN'!$F101))</f>
        <v>4499</v>
      </c>
      <c r="K101" s="46">
        <f>IF(VLOOKUP($C101,REV!$C:$AA,9,0)-'TRADE IN'!$F101=0,"",(VLOOKUP($C101,REV!$C:$AA,9,0)-'TRADE IN'!$F101))</f>
        <v>4499</v>
      </c>
      <c r="L101" s="46">
        <f>IF(VLOOKUP($C101,REV!$C:$AA,10,0)-'TRADE IN'!$F110=0,"",(VLOOKUP($C101,REV!$C:$AA,10,0)-'TRADE IN'!$F101))</f>
        <v>4499</v>
      </c>
      <c r="M101" s="46">
        <f>IF(VLOOKUP($C101,REV!$C:$AA,11,0)-'TRADE IN'!$F110=0,"",(VLOOKUP($C101,REV!$C:$AA,11,0)-'TRADE IN'!$F101))</f>
        <v>4499</v>
      </c>
      <c r="N101" s="46">
        <f>IF(VLOOKUP($C101,REV!$C:$AA,12,0)-'TRADE IN'!$F110=0,"",(VLOOKUP($C101,REV!$C:$AA,12,0)-'TRADE IN'!$F101))</f>
        <v>4499</v>
      </c>
      <c r="O101" s="46">
        <f>IF(VLOOKUP($C101,REV!$C:$AA,13,0)-'TRADE IN'!$F110=0,"",(VLOOKUP($C101,REV!$C:$AA,13,0)-'TRADE IN'!$F101))</f>
        <v>4399</v>
      </c>
      <c r="P101" s="46">
        <f>IF(VLOOKUP($C101,REV!$C:$AA,14,0)-'TRADE IN'!$F110=0,"",(VLOOKUP($C101,REV!$C:$AA,14,0)-'TRADE IN'!$F101))</f>
        <v>4299</v>
      </c>
      <c r="Q101" s="46">
        <f>IF(VLOOKUP($C101,REV!$C:$AA,15,0)-'TRADE IN'!$F110=0,"",(VLOOKUP($C101,REV!$C:$AA,15,0)-'TRADE IN'!$F101))</f>
        <v>3499</v>
      </c>
      <c r="R101" s="46">
        <f>IF(VLOOKUP($C101,REV!$C:$AA,16,0)-'TRADE IN'!$F110=0,"",(VLOOKUP($C101,REV!$C:$AA,16,0)-'TRADE IN'!$F101))</f>
        <v>4399</v>
      </c>
      <c r="S101" s="46">
        <f>IF(VLOOKUP($C101,REV!$C:$AA,17,0)-'TRADE IN'!$F110=0,"",(VLOOKUP($C101,REV!$C:$AA,17,0)-'TRADE IN'!$F101))</f>
        <v>4299</v>
      </c>
      <c r="T101" s="46">
        <f>IF(VLOOKUP($C101,REV!$C:$AA,18,0)-'TRADE IN'!$F110=0,"",(VLOOKUP($C101,REV!$C:$AA,18,0)-'TRADE IN'!$F101))</f>
        <v>3499</v>
      </c>
      <c r="U101" s="46">
        <f>IF(VLOOKUP($C101,REV!$C:$AA,19,0)-'TRADE IN'!$F110=0,"",(VLOOKUP($C101,REV!$C:$AA,19,0)-'TRADE IN'!$F101))</f>
        <v>3499</v>
      </c>
      <c r="V101" s="46">
        <f>IF(VLOOKUP($C101,REV!$C:$AA,20,0)-'TRADE IN'!$F110=0,"",(VLOOKUP($C101,REV!$C:$AA,20,0)-'TRADE IN'!$F101))</f>
        <v>3499</v>
      </c>
      <c r="W101" s="46">
        <f>IF(VLOOKUP($C101,REV!$C:$AA,21,0)-'TRADE IN'!$F110=0,"",(VLOOKUP($C101,REV!$C:$AA,21,0)-'TRADE IN'!$F101))</f>
        <v>3499</v>
      </c>
      <c r="X101" s="46">
        <f>IF(VLOOKUP($C101,REV!$C:$AA,22,0)-'TRADE IN'!$F110=0,"",(VLOOKUP($C101,REV!$C:$AA,22,0)-'TRADE IN'!$F101))</f>
        <v>3399</v>
      </c>
      <c r="Y101" s="46">
        <f>IF(VLOOKUP($C101,REV!$C:$AA,23,0)-'TRADE IN'!$F110=0,"",(VLOOKUP($C101,REV!$C:$AA,23,0)-'TRADE IN'!$F101))</f>
        <v>2899</v>
      </c>
      <c r="Z101" s="46">
        <f>IF(VLOOKUP($C101,REV!$C:$AA,24,0)-'TRADE IN'!$F110=0,"",(VLOOKUP($C101,REV!$C:$AA,24,0)-'TRADE IN'!$F101))</f>
        <v>2899</v>
      </c>
      <c r="AA101" s="46">
        <f>IF(VLOOKUP($C101,REV!$C:$AA,25,0)-'TRADE IN'!$F110=0,"",(VLOOKUP($C101,REV!$C:$AA,25,0)-'TRADE IN'!$F101))</f>
        <v>2899</v>
      </c>
      <c r="AB101" s="46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tr">
        <f>IF(REV!AW101=0,"",REV!AW101)</f>
        <v>31.03.2026</v>
      </c>
      <c r="AX101" s="159" t="s">
        <v>82</v>
      </c>
    </row>
    <row r="102" spans="1:50" ht="22.5" customHeight="1">
      <c r="A102" s="52" t="s">
        <v>70</v>
      </c>
      <c r="B102" s="41" t="s">
        <v>62</v>
      </c>
      <c r="C102" s="42">
        <v>4015715</v>
      </c>
      <c r="D102" s="43" t="s">
        <v>159</v>
      </c>
      <c r="E102" s="43" t="s">
        <v>167</v>
      </c>
      <c r="F102" s="45"/>
      <c r="G102" s="45"/>
      <c r="H102" s="46"/>
      <c r="I102" s="46"/>
      <c r="J102" s="46">
        <f>IF(VLOOKUP($C102,REV!$C:$AA,8,0)-'TRADE IN'!$F102=0,"",(VLOOKUP($C102,REV!$C:$AA,8,0)-'TRADE IN'!$F102))</f>
        <v>4499</v>
      </c>
      <c r="K102" s="46">
        <f>IF(VLOOKUP($C102,REV!$C:$AA,9,0)-'TRADE IN'!$F102=0,"",(VLOOKUP($C102,REV!$C:$AA,9,0)-'TRADE IN'!$F102))</f>
        <v>4499</v>
      </c>
      <c r="L102" s="46">
        <f>IF(VLOOKUP($C102,REV!$C:$AA,10,0)-'TRADE IN'!$F111=0,"",(VLOOKUP($C102,REV!$C:$AA,10,0)-'TRADE IN'!$F102))</f>
        <v>4499</v>
      </c>
      <c r="M102" s="46">
        <f>IF(VLOOKUP($C102,REV!$C:$AA,11,0)-'TRADE IN'!$F111=0,"",(VLOOKUP($C102,REV!$C:$AA,11,0)-'TRADE IN'!$F102))</f>
        <v>4499</v>
      </c>
      <c r="N102" s="46">
        <f>IF(VLOOKUP($C102,REV!$C:$AA,12,0)-'TRADE IN'!$F111=0,"",(VLOOKUP($C102,REV!$C:$AA,12,0)-'TRADE IN'!$F102))</f>
        <v>4499</v>
      </c>
      <c r="O102" s="46">
        <f>IF(VLOOKUP($C102,REV!$C:$AA,13,0)-'TRADE IN'!$F111=0,"",(VLOOKUP($C102,REV!$C:$AA,13,0)-'TRADE IN'!$F102))</f>
        <v>4399</v>
      </c>
      <c r="P102" s="46">
        <f>IF(VLOOKUP($C102,REV!$C:$AA,14,0)-'TRADE IN'!$F111=0,"",(VLOOKUP($C102,REV!$C:$AA,14,0)-'TRADE IN'!$F102))</f>
        <v>4299</v>
      </c>
      <c r="Q102" s="46">
        <f>IF(VLOOKUP($C102,REV!$C:$AA,15,0)-'TRADE IN'!$F111=0,"",(VLOOKUP($C102,REV!$C:$AA,15,0)-'TRADE IN'!$F102))</f>
        <v>3499</v>
      </c>
      <c r="R102" s="46">
        <f>IF(VLOOKUP($C102,REV!$C:$AA,16,0)-'TRADE IN'!$F111=0,"",(VLOOKUP($C102,REV!$C:$AA,16,0)-'TRADE IN'!$F102))</f>
        <v>4399</v>
      </c>
      <c r="S102" s="46">
        <f>IF(VLOOKUP($C102,REV!$C:$AA,17,0)-'TRADE IN'!$F111=0,"",(VLOOKUP($C102,REV!$C:$AA,17,0)-'TRADE IN'!$F102))</f>
        <v>4299</v>
      </c>
      <c r="T102" s="46">
        <f>IF(VLOOKUP($C102,REV!$C:$AA,18,0)-'TRADE IN'!$F111=0,"",(VLOOKUP($C102,REV!$C:$AA,18,0)-'TRADE IN'!$F102))</f>
        <v>3499</v>
      </c>
      <c r="U102" s="46">
        <f>IF(VLOOKUP($C102,REV!$C:$AA,19,0)-'TRADE IN'!$F111=0,"",(VLOOKUP($C102,REV!$C:$AA,19,0)-'TRADE IN'!$F102))</f>
        <v>3499</v>
      </c>
      <c r="V102" s="46">
        <f>IF(VLOOKUP($C102,REV!$C:$AA,20,0)-'TRADE IN'!$F111=0,"",(VLOOKUP($C102,REV!$C:$AA,20,0)-'TRADE IN'!$F102))</f>
        <v>3499</v>
      </c>
      <c r="W102" s="46">
        <f>IF(VLOOKUP($C102,REV!$C:$AA,21,0)-'TRADE IN'!$F111=0,"",(VLOOKUP($C102,REV!$C:$AA,21,0)-'TRADE IN'!$F102))</f>
        <v>3499</v>
      </c>
      <c r="X102" s="46">
        <f>IF(VLOOKUP($C102,REV!$C:$AA,22,0)-'TRADE IN'!$F111=0,"",(VLOOKUP($C102,REV!$C:$AA,22,0)-'TRADE IN'!$F102))</f>
        <v>3399</v>
      </c>
      <c r="Y102" s="46">
        <f>IF(VLOOKUP($C102,REV!$C:$AA,23,0)-'TRADE IN'!$F111=0,"",(VLOOKUP($C102,REV!$C:$AA,23,0)-'TRADE IN'!$F102))</f>
        <v>2899</v>
      </c>
      <c r="Z102" s="46">
        <f>IF(VLOOKUP($C102,REV!$C:$AA,24,0)-'TRADE IN'!$F111=0,"",(VLOOKUP($C102,REV!$C:$AA,24,0)-'TRADE IN'!$F102))</f>
        <v>2899</v>
      </c>
      <c r="AA102" s="46">
        <f>IF(VLOOKUP($C102,REV!$C:$AA,25,0)-'TRADE IN'!$F111=0,"",(VLOOKUP($C102,REV!$C:$AA,25,0)-'TRADE IN'!$F102))</f>
        <v>2899</v>
      </c>
      <c r="AB102" s="46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tr">
        <f>IF(REV!AW102=0,"",REV!AW102)</f>
        <v>31.03.2026</v>
      </c>
      <c r="AX102" s="159" t="s">
        <v>82</v>
      </c>
    </row>
    <row r="103" spans="1:50" ht="22.5" customHeight="1">
      <c r="A103" s="52" t="s">
        <v>70</v>
      </c>
      <c r="B103" s="41" t="s">
        <v>62</v>
      </c>
      <c r="C103" s="42">
        <v>4015717</v>
      </c>
      <c r="D103" s="43" t="s">
        <v>159</v>
      </c>
      <c r="E103" s="43" t="s">
        <v>168</v>
      </c>
      <c r="F103" s="45"/>
      <c r="G103" s="45"/>
      <c r="H103" s="46"/>
      <c r="I103" s="46"/>
      <c r="J103" s="46">
        <f>IF(VLOOKUP($C103,REV!$C:$AA,8,0)-'TRADE IN'!$F103=0,"",(VLOOKUP($C103,REV!$C:$AA,8,0)-'TRADE IN'!$F103))</f>
        <v>4499</v>
      </c>
      <c r="K103" s="46">
        <f>IF(VLOOKUP($C103,REV!$C:$AA,9,0)-'TRADE IN'!$F103=0,"",(VLOOKUP($C103,REV!$C:$AA,9,0)-'TRADE IN'!$F103))</f>
        <v>4499</v>
      </c>
      <c r="L103" s="46">
        <f>IF(VLOOKUP($C103,REV!$C:$AA,10,0)-'TRADE IN'!$F112=0,"",(VLOOKUP($C103,REV!$C:$AA,10,0)-'TRADE IN'!$F103))</f>
        <v>4499</v>
      </c>
      <c r="M103" s="46">
        <f>IF(VLOOKUP($C103,REV!$C:$AA,11,0)-'TRADE IN'!$F112=0,"",(VLOOKUP($C103,REV!$C:$AA,11,0)-'TRADE IN'!$F103))</f>
        <v>4499</v>
      </c>
      <c r="N103" s="46">
        <f>IF(VLOOKUP($C103,REV!$C:$AA,12,0)-'TRADE IN'!$F112=0,"",(VLOOKUP($C103,REV!$C:$AA,12,0)-'TRADE IN'!$F103))</f>
        <v>4499</v>
      </c>
      <c r="O103" s="46">
        <f>IF(VLOOKUP($C103,REV!$C:$AA,13,0)-'TRADE IN'!$F112=0,"",(VLOOKUP($C103,REV!$C:$AA,13,0)-'TRADE IN'!$F103))</f>
        <v>4399</v>
      </c>
      <c r="P103" s="46">
        <f>IF(VLOOKUP($C103,REV!$C:$AA,14,0)-'TRADE IN'!$F112=0,"",(VLOOKUP($C103,REV!$C:$AA,14,0)-'TRADE IN'!$F103))</f>
        <v>4299</v>
      </c>
      <c r="Q103" s="46">
        <f>IF(VLOOKUP($C103,REV!$C:$AA,15,0)-'TRADE IN'!$F112=0,"",(VLOOKUP($C103,REV!$C:$AA,15,0)-'TRADE IN'!$F103))</f>
        <v>3499</v>
      </c>
      <c r="R103" s="46">
        <f>IF(VLOOKUP($C103,REV!$C:$AA,16,0)-'TRADE IN'!$F112=0,"",(VLOOKUP($C103,REV!$C:$AA,16,0)-'TRADE IN'!$F103))</f>
        <v>4399</v>
      </c>
      <c r="S103" s="46">
        <f>IF(VLOOKUP($C103,REV!$C:$AA,17,0)-'TRADE IN'!$F112=0,"",(VLOOKUP($C103,REV!$C:$AA,17,0)-'TRADE IN'!$F103))</f>
        <v>4299</v>
      </c>
      <c r="T103" s="46">
        <f>IF(VLOOKUP($C103,REV!$C:$AA,18,0)-'TRADE IN'!$F112=0,"",(VLOOKUP($C103,REV!$C:$AA,18,0)-'TRADE IN'!$F103))</f>
        <v>3499</v>
      </c>
      <c r="U103" s="46">
        <f>IF(VLOOKUP($C103,REV!$C:$AA,19,0)-'TRADE IN'!$F112=0,"",(VLOOKUP($C103,REV!$C:$AA,19,0)-'TRADE IN'!$F103))</f>
        <v>3499</v>
      </c>
      <c r="V103" s="46">
        <f>IF(VLOOKUP($C103,REV!$C:$AA,20,0)-'TRADE IN'!$F112=0,"",(VLOOKUP($C103,REV!$C:$AA,20,0)-'TRADE IN'!$F103))</f>
        <v>3499</v>
      </c>
      <c r="W103" s="46">
        <f>IF(VLOOKUP($C103,REV!$C:$AA,21,0)-'TRADE IN'!$F112=0,"",(VLOOKUP($C103,REV!$C:$AA,21,0)-'TRADE IN'!$F103))</f>
        <v>3499</v>
      </c>
      <c r="X103" s="46">
        <f>IF(VLOOKUP($C103,REV!$C:$AA,22,0)-'TRADE IN'!$F112=0,"",(VLOOKUP($C103,REV!$C:$AA,22,0)-'TRADE IN'!$F103))</f>
        <v>3399</v>
      </c>
      <c r="Y103" s="46">
        <f>IF(VLOOKUP($C103,REV!$C:$AA,23,0)-'TRADE IN'!$F112=0,"",(VLOOKUP($C103,REV!$C:$AA,23,0)-'TRADE IN'!$F103))</f>
        <v>2899</v>
      </c>
      <c r="Z103" s="46">
        <f>IF(VLOOKUP($C103,REV!$C:$AA,24,0)-'TRADE IN'!$F112=0,"",(VLOOKUP($C103,REV!$C:$AA,24,0)-'TRADE IN'!$F103))</f>
        <v>2899</v>
      </c>
      <c r="AA103" s="46">
        <f>IF(VLOOKUP($C103,REV!$C:$AA,25,0)-'TRADE IN'!$F112=0,"",(VLOOKUP($C103,REV!$C:$AA,25,0)-'TRADE IN'!$F103))</f>
        <v>2899</v>
      </c>
      <c r="AB103" s="46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tr">
        <f>IF(REV!AW103=0,"",REV!AW103)</f>
        <v>31.03.2026</v>
      </c>
      <c r="AX103" s="159" t="s">
        <v>82</v>
      </c>
    </row>
    <row r="104" spans="1:50" ht="22.5" customHeight="1">
      <c r="A104" s="52" t="s">
        <v>70</v>
      </c>
      <c r="B104" s="41" t="s">
        <v>62</v>
      </c>
      <c r="C104" s="42">
        <v>4015162</v>
      </c>
      <c r="D104" s="43" t="s">
        <v>169</v>
      </c>
      <c r="E104" s="43" t="s">
        <v>170</v>
      </c>
      <c r="F104" s="45"/>
      <c r="G104" s="45"/>
      <c r="H104" s="46"/>
      <c r="I104" s="46"/>
      <c r="J104" s="46">
        <f>IF(VLOOKUP($C104,REV!$C:$AA,8,0)-'TRADE IN'!$F104=0,"",(VLOOKUP($C104,REV!$C:$AA,8,0)-'TRADE IN'!$F104))</f>
        <v>6399</v>
      </c>
      <c r="K104" s="46">
        <f>IF(VLOOKUP($C104,REV!$C:$AA,9,0)-'TRADE IN'!$F104=0,"",(VLOOKUP($C104,REV!$C:$AA,9,0)-'TRADE IN'!$F104))</f>
        <v>6399</v>
      </c>
      <c r="L104" s="46">
        <f>IF(VLOOKUP($C104,REV!$C:$AA,10,0)-'TRADE IN'!$F113=0,"",(VLOOKUP($C104,REV!$C:$AA,10,0)-'TRADE IN'!$F104))</f>
        <v>6399</v>
      </c>
      <c r="M104" s="46">
        <f>IF(VLOOKUP($C104,REV!$C:$AA,11,0)-'TRADE IN'!$F113=0,"",(VLOOKUP($C104,REV!$C:$AA,11,0)-'TRADE IN'!$F104))</f>
        <v>6399</v>
      </c>
      <c r="N104" s="46">
        <f>IF(VLOOKUP($C104,REV!$C:$AA,12,0)-'TRADE IN'!$F113=0,"",(VLOOKUP($C104,REV!$C:$AA,12,0)-'TRADE IN'!$F104))</f>
        <v>6399</v>
      </c>
      <c r="O104" s="46">
        <f>IF(VLOOKUP($C104,REV!$C:$AA,13,0)-'TRADE IN'!$F113=0,"",(VLOOKUP($C104,REV!$C:$AA,13,0)-'TRADE IN'!$F104))</f>
        <v>6299</v>
      </c>
      <c r="P104" s="46">
        <f>IF(VLOOKUP($C104,REV!$C:$AA,14,0)-'TRADE IN'!$F113=0,"",(VLOOKUP($C104,REV!$C:$AA,14,0)-'TRADE IN'!$F104))</f>
        <v>6199</v>
      </c>
      <c r="Q104" s="46">
        <f>IF(VLOOKUP($C104,REV!$C:$AA,15,0)-'TRADE IN'!$F113=0,"",(VLOOKUP($C104,REV!$C:$AA,15,0)-'TRADE IN'!$F104))</f>
        <v>5999</v>
      </c>
      <c r="R104" s="46">
        <f>IF(VLOOKUP($C104,REV!$C:$AA,16,0)-'TRADE IN'!$F113=0,"",(VLOOKUP($C104,REV!$C:$AA,16,0)-'TRADE IN'!$F104))</f>
        <v>6299</v>
      </c>
      <c r="S104" s="46">
        <f>IF(VLOOKUP($C104,REV!$C:$AA,17,0)-'TRADE IN'!$F113=0,"",(VLOOKUP($C104,REV!$C:$AA,17,0)-'TRADE IN'!$F104))</f>
        <v>6199</v>
      </c>
      <c r="T104" s="46">
        <f>IF(VLOOKUP($C104,REV!$C:$AA,18,0)-'TRADE IN'!$F113=0,"",(VLOOKUP($C104,REV!$C:$AA,18,0)-'TRADE IN'!$F104))</f>
        <v>5999</v>
      </c>
      <c r="U104" s="46">
        <f>IF(VLOOKUP($C104,REV!$C:$AA,19,0)-'TRADE IN'!$F113=0,"",(VLOOKUP($C104,REV!$C:$AA,19,0)-'TRADE IN'!$F104))</f>
        <v>5999</v>
      </c>
      <c r="V104" s="46">
        <f>IF(VLOOKUP($C104,REV!$C:$AA,20,0)-'TRADE IN'!$F113=0,"",(VLOOKUP($C104,REV!$C:$AA,20,0)-'TRADE IN'!$F104))</f>
        <v>5999</v>
      </c>
      <c r="W104" s="46">
        <f>IF(VLOOKUP($C104,REV!$C:$AA,21,0)-'TRADE IN'!$F113=0,"",(VLOOKUP($C104,REV!$C:$AA,21,0)-'TRADE IN'!$F104))</f>
        <v>5999</v>
      </c>
      <c r="X104" s="46">
        <f>IF(VLOOKUP($C104,REV!$C:$AA,22,0)-'TRADE IN'!$F113=0,"",(VLOOKUP($C104,REV!$C:$AA,22,0)-'TRADE IN'!$F104))</f>
        <v>5899</v>
      </c>
      <c r="Y104" s="46">
        <f>IF(VLOOKUP($C104,REV!$C:$AA,23,0)-'TRADE IN'!$F113=0,"",(VLOOKUP($C104,REV!$C:$AA,23,0)-'TRADE IN'!$F104))</f>
        <v>5499</v>
      </c>
      <c r="Z104" s="46">
        <f>IF(VLOOKUP($C104,REV!$C:$AA,24,0)-'TRADE IN'!$F113=0,"",(VLOOKUP($C104,REV!$C:$AA,24,0)-'TRADE IN'!$F104))</f>
        <v>5499</v>
      </c>
      <c r="AA104" s="46">
        <f>IF(VLOOKUP($C104,REV!$C:$AA,25,0)-'TRADE IN'!$F113=0,"",(VLOOKUP($C104,REV!$C:$AA,25,0)-'TRADE IN'!$F104))</f>
        <v>5499</v>
      </c>
      <c r="AB104" s="46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tr">
        <f>IF(REV!AW104=0,"",REV!AW104)</f>
        <v>31.03.2026</v>
      </c>
      <c r="AX104" s="159" t="s">
        <v>82</v>
      </c>
    </row>
    <row r="105" spans="1:50" ht="22.5" customHeight="1">
      <c r="A105" s="52" t="s">
        <v>70</v>
      </c>
      <c r="B105" s="41" t="s">
        <v>62</v>
      </c>
      <c r="C105" s="42">
        <v>4015176</v>
      </c>
      <c r="D105" s="43" t="s">
        <v>169</v>
      </c>
      <c r="E105" s="43" t="s">
        <v>171</v>
      </c>
      <c r="F105" s="45"/>
      <c r="G105" s="45"/>
      <c r="H105" s="46"/>
      <c r="I105" s="46"/>
      <c r="J105" s="46">
        <f>IF(VLOOKUP($C105,REV!$C:$AA,8,0)-'TRADE IN'!$F105=0,"",(VLOOKUP($C105,REV!$C:$AA,8,0)-'TRADE IN'!$F105))</f>
        <v>6399</v>
      </c>
      <c r="K105" s="46">
        <f>IF(VLOOKUP($C105,REV!$C:$AA,9,0)-'TRADE IN'!$F105=0,"",(VLOOKUP($C105,REV!$C:$AA,9,0)-'TRADE IN'!$F105))</f>
        <v>6399</v>
      </c>
      <c r="L105" s="46">
        <f>IF(VLOOKUP($C105,REV!$C:$AA,10,0)-'TRADE IN'!$F114=0,"",(VLOOKUP($C105,REV!$C:$AA,10,0)-'TRADE IN'!$F105))</f>
        <v>6399</v>
      </c>
      <c r="M105" s="46">
        <f>IF(VLOOKUP($C105,REV!$C:$AA,11,0)-'TRADE IN'!$F114=0,"",(VLOOKUP($C105,REV!$C:$AA,11,0)-'TRADE IN'!$F105))</f>
        <v>6399</v>
      </c>
      <c r="N105" s="46">
        <f>IF(VLOOKUP($C105,REV!$C:$AA,12,0)-'TRADE IN'!$F114=0,"",(VLOOKUP($C105,REV!$C:$AA,12,0)-'TRADE IN'!$F105))</f>
        <v>6399</v>
      </c>
      <c r="O105" s="46">
        <f>IF(VLOOKUP($C105,REV!$C:$AA,13,0)-'TRADE IN'!$F114=0,"",(VLOOKUP($C105,REV!$C:$AA,13,0)-'TRADE IN'!$F105))</f>
        <v>6299</v>
      </c>
      <c r="P105" s="46">
        <f>IF(VLOOKUP($C105,REV!$C:$AA,14,0)-'TRADE IN'!$F114=0,"",(VLOOKUP($C105,REV!$C:$AA,14,0)-'TRADE IN'!$F105))</f>
        <v>6199</v>
      </c>
      <c r="Q105" s="46">
        <f>IF(VLOOKUP($C105,REV!$C:$AA,15,0)-'TRADE IN'!$F114=0,"",(VLOOKUP($C105,REV!$C:$AA,15,0)-'TRADE IN'!$F105))</f>
        <v>5999</v>
      </c>
      <c r="R105" s="46">
        <f>IF(VLOOKUP($C105,REV!$C:$AA,16,0)-'TRADE IN'!$F114=0,"",(VLOOKUP($C105,REV!$C:$AA,16,0)-'TRADE IN'!$F105))</f>
        <v>6299</v>
      </c>
      <c r="S105" s="46">
        <f>IF(VLOOKUP($C105,REV!$C:$AA,17,0)-'TRADE IN'!$F114=0,"",(VLOOKUP($C105,REV!$C:$AA,17,0)-'TRADE IN'!$F105))</f>
        <v>6199</v>
      </c>
      <c r="T105" s="46">
        <f>IF(VLOOKUP($C105,REV!$C:$AA,18,0)-'TRADE IN'!$F114=0,"",(VLOOKUP($C105,REV!$C:$AA,18,0)-'TRADE IN'!$F105))</f>
        <v>5999</v>
      </c>
      <c r="U105" s="46">
        <f>IF(VLOOKUP($C105,REV!$C:$AA,19,0)-'TRADE IN'!$F114=0,"",(VLOOKUP($C105,REV!$C:$AA,19,0)-'TRADE IN'!$F105))</f>
        <v>5999</v>
      </c>
      <c r="V105" s="46">
        <f>IF(VLOOKUP($C105,REV!$C:$AA,20,0)-'TRADE IN'!$F114=0,"",(VLOOKUP($C105,REV!$C:$AA,20,0)-'TRADE IN'!$F105))</f>
        <v>5999</v>
      </c>
      <c r="W105" s="46">
        <f>IF(VLOOKUP($C105,REV!$C:$AA,21,0)-'TRADE IN'!$F114=0,"",(VLOOKUP($C105,REV!$C:$AA,21,0)-'TRADE IN'!$F105))</f>
        <v>5999</v>
      </c>
      <c r="X105" s="46">
        <f>IF(VLOOKUP($C105,REV!$C:$AA,22,0)-'TRADE IN'!$F114=0,"",(VLOOKUP($C105,REV!$C:$AA,22,0)-'TRADE IN'!$F105))</f>
        <v>5899</v>
      </c>
      <c r="Y105" s="46">
        <f>IF(VLOOKUP($C105,REV!$C:$AA,23,0)-'TRADE IN'!$F114=0,"",(VLOOKUP($C105,REV!$C:$AA,23,0)-'TRADE IN'!$F105))</f>
        <v>5499</v>
      </c>
      <c r="Z105" s="46">
        <f>IF(VLOOKUP($C105,REV!$C:$AA,24,0)-'TRADE IN'!$F114=0,"",(VLOOKUP($C105,REV!$C:$AA,24,0)-'TRADE IN'!$F105))</f>
        <v>5499</v>
      </c>
      <c r="AA105" s="46">
        <f>IF(VLOOKUP($C105,REV!$C:$AA,25,0)-'TRADE IN'!$F114=0,"",(VLOOKUP($C105,REV!$C:$AA,25,0)-'TRADE IN'!$F105))</f>
        <v>5499</v>
      </c>
      <c r="AB105" s="46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tr">
        <f>IF(REV!AW105=0,"",REV!AW105)</f>
        <v>31.03.2026</v>
      </c>
      <c r="AX105" s="159" t="s">
        <v>82</v>
      </c>
    </row>
    <row r="106" spans="1:50" ht="22.5" customHeight="1">
      <c r="A106" s="52" t="s">
        <v>70</v>
      </c>
      <c r="B106" s="41" t="s">
        <v>62</v>
      </c>
      <c r="C106" s="42">
        <v>4015183</v>
      </c>
      <c r="D106" s="43" t="s">
        <v>169</v>
      </c>
      <c r="E106" s="43" t="s">
        <v>172</v>
      </c>
      <c r="F106" s="45"/>
      <c r="G106" s="45"/>
      <c r="H106" s="46"/>
      <c r="I106" s="46"/>
      <c r="J106" s="46">
        <f>IF(VLOOKUP($C106,REV!$C:$AA,8,0)-'TRADE IN'!$F106=0,"",(VLOOKUP($C106,REV!$C:$AA,8,0)-'TRADE IN'!$F106))</f>
        <v>6399</v>
      </c>
      <c r="K106" s="46">
        <f>IF(VLOOKUP($C106,REV!$C:$AA,9,0)-'TRADE IN'!$F106=0,"",(VLOOKUP($C106,REV!$C:$AA,9,0)-'TRADE IN'!$F106))</f>
        <v>6399</v>
      </c>
      <c r="L106" s="46">
        <f>IF(VLOOKUP($C106,REV!$C:$AA,10,0)-'TRADE IN'!$F115=0,"",(VLOOKUP($C106,REV!$C:$AA,10,0)-'TRADE IN'!$F106))</f>
        <v>6399</v>
      </c>
      <c r="M106" s="46">
        <f>IF(VLOOKUP($C106,REV!$C:$AA,11,0)-'TRADE IN'!$F115=0,"",(VLOOKUP($C106,REV!$C:$AA,11,0)-'TRADE IN'!$F106))</f>
        <v>6399</v>
      </c>
      <c r="N106" s="46">
        <f>IF(VLOOKUP($C106,REV!$C:$AA,12,0)-'TRADE IN'!$F115=0,"",(VLOOKUP($C106,REV!$C:$AA,12,0)-'TRADE IN'!$F106))</f>
        <v>6399</v>
      </c>
      <c r="O106" s="46">
        <f>IF(VLOOKUP($C106,REV!$C:$AA,13,0)-'TRADE IN'!$F115=0,"",(VLOOKUP($C106,REV!$C:$AA,13,0)-'TRADE IN'!$F106))</f>
        <v>6299</v>
      </c>
      <c r="P106" s="46">
        <f>IF(VLOOKUP($C106,REV!$C:$AA,14,0)-'TRADE IN'!$F115=0,"",(VLOOKUP($C106,REV!$C:$AA,14,0)-'TRADE IN'!$F106))</f>
        <v>6199</v>
      </c>
      <c r="Q106" s="46">
        <f>IF(VLOOKUP($C106,REV!$C:$AA,15,0)-'TRADE IN'!$F115=0,"",(VLOOKUP($C106,REV!$C:$AA,15,0)-'TRADE IN'!$F106))</f>
        <v>5999</v>
      </c>
      <c r="R106" s="46">
        <f>IF(VLOOKUP($C106,REV!$C:$AA,16,0)-'TRADE IN'!$F115=0,"",(VLOOKUP($C106,REV!$C:$AA,16,0)-'TRADE IN'!$F106))</f>
        <v>6299</v>
      </c>
      <c r="S106" s="46">
        <f>IF(VLOOKUP($C106,REV!$C:$AA,17,0)-'TRADE IN'!$F115=0,"",(VLOOKUP($C106,REV!$C:$AA,17,0)-'TRADE IN'!$F106))</f>
        <v>6199</v>
      </c>
      <c r="T106" s="46">
        <f>IF(VLOOKUP($C106,REV!$C:$AA,18,0)-'TRADE IN'!$F115=0,"",(VLOOKUP($C106,REV!$C:$AA,18,0)-'TRADE IN'!$F106))</f>
        <v>5999</v>
      </c>
      <c r="U106" s="46">
        <f>IF(VLOOKUP($C106,REV!$C:$AA,19,0)-'TRADE IN'!$F115=0,"",(VLOOKUP($C106,REV!$C:$AA,19,0)-'TRADE IN'!$F106))</f>
        <v>5999</v>
      </c>
      <c r="V106" s="46">
        <f>IF(VLOOKUP($C106,REV!$C:$AA,20,0)-'TRADE IN'!$F115=0,"",(VLOOKUP($C106,REV!$C:$AA,20,0)-'TRADE IN'!$F106))</f>
        <v>5999</v>
      </c>
      <c r="W106" s="46">
        <f>IF(VLOOKUP($C106,REV!$C:$AA,21,0)-'TRADE IN'!$F115=0,"",(VLOOKUP($C106,REV!$C:$AA,21,0)-'TRADE IN'!$F106))</f>
        <v>5999</v>
      </c>
      <c r="X106" s="46">
        <f>IF(VLOOKUP($C106,REV!$C:$AA,22,0)-'TRADE IN'!$F115=0,"",(VLOOKUP($C106,REV!$C:$AA,22,0)-'TRADE IN'!$F106))</f>
        <v>5899</v>
      </c>
      <c r="Y106" s="46">
        <f>IF(VLOOKUP($C106,REV!$C:$AA,23,0)-'TRADE IN'!$F115=0,"",(VLOOKUP($C106,REV!$C:$AA,23,0)-'TRADE IN'!$F106))</f>
        <v>5499</v>
      </c>
      <c r="Z106" s="46">
        <f>IF(VLOOKUP($C106,REV!$C:$AA,24,0)-'TRADE IN'!$F115=0,"",(VLOOKUP($C106,REV!$C:$AA,24,0)-'TRADE IN'!$F106))</f>
        <v>5499</v>
      </c>
      <c r="AA106" s="46">
        <f>IF(VLOOKUP($C106,REV!$C:$AA,25,0)-'TRADE IN'!$F115=0,"",(VLOOKUP($C106,REV!$C:$AA,25,0)-'TRADE IN'!$F106))</f>
        <v>5499</v>
      </c>
      <c r="AB106" s="46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tr">
        <f>IF(REV!AW106=0,"",REV!AW106)</f>
        <v>31.03.2026</v>
      </c>
      <c r="AX106" s="159" t="s">
        <v>82</v>
      </c>
    </row>
    <row r="107" spans="1:50" ht="22.5" customHeight="1">
      <c r="A107" s="52" t="s">
        <v>70</v>
      </c>
      <c r="B107" s="41" t="s">
        <v>62</v>
      </c>
      <c r="C107" s="42">
        <v>4015160</v>
      </c>
      <c r="D107" s="43" t="s">
        <v>173</v>
      </c>
      <c r="E107" s="43" t="s">
        <v>174</v>
      </c>
      <c r="F107" s="45"/>
      <c r="G107" s="45"/>
      <c r="H107" s="46"/>
      <c r="I107" s="46"/>
      <c r="J107" s="46">
        <f>IF(VLOOKUP($C107,REV!$C:$AA,8,0)-'TRADE IN'!$F107=0,"",(VLOOKUP($C107,REV!$C:$AA,8,0)-'TRADE IN'!$F107))</f>
        <v>5999</v>
      </c>
      <c r="K107" s="46">
        <f>IF(VLOOKUP($C107,REV!$C:$AA,9,0)-'TRADE IN'!$F107=0,"",(VLOOKUP($C107,REV!$C:$AA,9,0)-'TRADE IN'!$F107))</f>
        <v>5899</v>
      </c>
      <c r="L107" s="46">
        <f>IF(VLOOKUP($C107,REV!$C:$AA,10,0)-'TRADE IN'!$F116=0,"",(VLOOKUP($C107,REV!$C:$AA,10,0)-'TRADE IN'!$F107))</f>
        <v>5899</v>
      </c>
      <c r="M107" s="46">
        <f>IF(VLOOKUP($C107,REV!$C:$AA,11,0)-'TRADE IN'!$F116=0,"",(VLOOKUP($C107,REV!$C:$AA,11,0)-'TRADE IN'!$F107))</f>
        <v>5999</v>
      </c>
      <c r="N107" s="46">
        <f>IF(VLOOKUP($C107,REV!$C:$AA,12,0)-'TRADE IN'!$F116=0,"",(VLOOKUP($C107,REV!$C:$AA,12,0)-'TRADE IN'!$F107))</f>
        <v>5999</v>
      </c>
      <c r="O107" s="46">
        <f>IF(VLOOKUP($C107,REV!$C:$AA,13,0)-'TRADE IN'!$F116=0,"",(VLOOKUP($C107,REV!$C:$AA,13,0)-'TRADE IN'!$F107))</f>
        <v>5799</v>
      </c>
      <c r="P107" s="46">
        <f>IF(VLOOKUP($C107,REV!$C:$AA,14,0)-'TRADE IN'!$F116=0,"",(VLOOKUP($C107,REV!$C:$AA,14,0)-'TRADE IN'!$F107))</f>
        <v>5699</v>
      </c>
      <c r="Q107" s="46">
        <f>IF(VLOOKUP($C107,REV!$C:$AA,15,0)-'TRADE IN'!$F116=0,"",(VLOOKUP($C107,REV!$C:$AA,15,0)-'TRADE IN'!$F107))</f>
        <v>4999</v>
      </c>
      <c r="R107" s="46">
        <f>IF(VLOOKUP($C107,REV!$C:$AA,16,0)-'TRADE IN'!$F116=0,"",(VLOOKUP($C107,REV!$C:$AA,16,0)-'TRADE IN'!$F107))</f>
        <v>5799</v>
      </c>
      <c r="S107" s="46">
        <f>IF(VLOOKUP($C107,REV!$C:$AA,17,0)-'TRADE IN'!$F116=0,"",(VLOOKUP($C107,REV!$C:$AA,17,0)-'TRADE IN'!$F107))</f>
        <v>5699</v>
      </c>
      <c r="T107" s="46">
        <f>IF(VLOOKUP($C107,REV!$C:$AA,18,0)-'TRADE IN'!$F116=0,"",(VLOOKUP($C107,REV!$C:$AA,18,0)-'TRADE IN'!$F107))</f>
        <v>4999</v>
      </c>
      <c r="U107" s="46">
        <f>IF(VLOOKUP($C107,REV!$C:$AA,19,0)-'TRADE IN'!$F116=0,"",(VLOOKUP($C107,REV!$C:$AA,19,0)-'TRADE IN'!$F107))</f>
        <v>4899</v>
      </c>
      <c r="V107" s="46">
        <f>IF(VLOOKUP($C107,REV!$C:$AA,20,0)-'TRADE IN'!$F116=0,"",(VLOOKUP($C107,REV!$C:$AA,20,0)-'TRADE IN'!$F107))</f>
        <v>4899</v>
      </c>
      <c r="W107" s="46">
        <f>IF(VLOOKUP($C107,REV!$C:$AA,21,0)-'TRADE IN'!$F116=0,"",(VLOOKUP($C107,REV!$C:$AA,21,0)-'TRADE IN'!$F107))</f>
        <v>4799</v>
      </c>
      <c r="X107" s="46">
        <f>IF(VLOOKUP($C107,REV!$C:$AA,22,0)-'TRADE IN'!$F116=0,"",(VLOOKUP($C107,REV!$C:$AA,22,0)-'TRADE IN'!$F107))</f>
        <v>4699</v>
      </c>
      <c r="Y107" s="46">
        <f>IF(VLOOKUP($C107,REV!$C:$AA,23,0)-'TRADE IN'!$F116=0,"",(VLOOKUP($C107,REV!$C:$AA,23,0)-'TRADE IN'!$F107))</f>
        <v>4499</v>
      </c>
      <c r="Z107" s="46">
        <f>IF(VLOOKUP($C107,REV!$C:$AA,24,0)-'TRADE IN'!$F116=0,"",(VLOOKUP($C107,REV!$C:$AA,24,0)-'TRADE IN'!$F107))</f>
        <v>4399</v>
      </c>
      <c r="AA107" s="46">
        <f>IF(VLOOKUP($C107,REV!$C:$AA,25,0)-'TRADE IN'!$F116=0,"",(VLOOKUP($C107,REV!$C:$AA,25,0)-'TRADE IN'!$F107))</f>
        <v>4399</v>
      </c>
      <c r="AB107" s="46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tr">
        <f>IF(REV!AW107=0,"",REV!AW107)</f>
        <v>31.03.2026</v>
      </c>
      <c r="AX107" s="159" t="s">
        <v>82</v>
      </c>
    </row>
    <row r="108" spans="1:50" ht="22.5" customHeight="1">
      <c r="A108" s="52" t="s">
        <v>70</v>
      </c>
      <c r="B108" s="41" t="s">
        <v>62</v>
      </c>
      <c r="C108" s="42">
        <v>4015174</v>
      </c>
      <c r="D108" s="43" t="s">
        <v>173</v>
      </c>
      <c r="E108" s="43" t="s">
        <v>175</v>
      </c>
      <c r="F108" s="45"/>
      <c r="G108" s="45"/>
      <c r="H108" s="46"/>
      <c r="I108" s="46"/>
      <c r="J108" s="46">
        <f>IF(VLOOKUP($C108,REV!$C:$AA,8,0)-'TRADE IN'!$F108=0,"",(VLOOKUP($C108,REV!$C:$AA,8,0)-'TRADE IN'!$F108))</f>
        <v>5999</v>
      </c>
      <c r="K108" s="46">
        <f>IF(VLOOKUP($C108,REV!$C:$AA,9,0)-'TRADE IN'!$F108=0,"",(VLOOKUP($C108,REV!$C:$AA,9,0)-'TRADE IN'!$F108))</f>
        <v>5899</v>
      </c>
      <c r="L108" s="46">
        <f>IF(VLOOKUP($C108,REV!$C:$AA,10,0)-'TRADE IN'!$F117=0,"",(VLOOKUP($C108,REV!$C:$AA,10,0)-'TRADE IN'!$F108))</f>
        <v>5899</v>
      </c>
      <c r="M108" s="46">
        <f>IF(VLOOKUP($C108,REV!$C:$AA,11,0)-'TRADE IN'!$F117=0,"",(VLOOKUP($C108,REV!$C:$AA,11,0)-'TRADE IN'!$F108))</f>
        <v>5999</v>
      </c>
      <c r="N108" s="46">
        <f>IF(VLOOKUP($C108,REV!$C:$AA,12,0)-'TRADE IN'!$F117=0,"",(VLOOKUP($C108,REV!$C:$AA,12,0)-'TRADE IN'!$F108))</f>
        <v>5999</v>
      </c>
      <c r="O108" s="46">
        <f>IF(VLOOKUP($C108,REV!$C:$AA,13,0)-'TRADE IN'!$F117=0,"",(VLOOKUP($C108,REV!$C:$AA,13,0)-'TRADE IN'!$F108))</f>
        <v>5799</v>
      </c>
      <c r="P108" s="46">
        <f>IF(VLOOKUP($C108,REV!$C:$AA,14,0)-'TRADE IN'!$F117=0,"",(VLOOKUP($C108,REV!$C:$AA,14,0)-'TRADE IN'!$F108))</f>
        <v>5699</v>
      </c>
      <c r="Q108" s="46">
        <f>IF(VLOOKUP($C108,REV!$C:$AA,15,0)-'TRADE IN'!$F117=0,"",(VLOOKUP($C108,REV!$C:$AA,15,0)-'TRADE IN'!$F108))</f>
        <v>4999</v>
      </c>
      <c r="R108" s="46">
        <f>IF(VLOOKUP($C108,REV!$C:$AA,16,0)-'TRADE IN'!$F117=0,"",(VLOOKUP($C108,REV!$C:$AA,16,0)-'TRADE IN'!$F108))</f>
        <v>5799</v>
      </c>
      <c r="S108" s="46">
        <f>IF(VLOOKUP($C108,REV!$C:$AA,17,0)-'TRADE IN'!$F117=0,"",(VLOOKUP($C108,REV!$C:$AA,17,0)-'TRADE IN'!$F108))</f>
        <v>5699</v>
      </c>
      <c r="T108" s="46">
        <f>IF(VLOOKUP($C108,REV!$C:$AA,18,0)-'TRADE IN'!$F117=0,"",(VLOOKUP($C108,REV!$C:$AA,18,0)-'TRADE IN'!$F108))</f>
        <v>4999</v>
      </c>
      <c r="U108" s="46">
        <f>IF(VLOOKUP($C108,REV!$C:$AA,19,0)-'TRADE IN'!$F117=0,"",(VLOOKUP($C108,REV!$C:$AA,19,0)-'TRADE IN'!$F108))</f>
        <v>4899</v>
      </c>
      <c r="V108" s="46">
        <f>IF(VLOOKUP($C108,REV!$C:$AA,20,0)-'TRADE IN'!$F117=0,"",(VLOOKUP($C108,REV!$C:$AA,20,0)-'TRADE IN'!$F108))</f>
        <v>4899</v>
      </c>
      <c r="W108" s="46">
        <f>IF(VLOOKUP($C108,REV!$C:$AA,21,0)-'TRADE IN'!$F117=0,"",(VLOOKUP($C108,REV!$C:$AA,21,0)-'TRADE IN'!$F108))</f>
        <v>4799</v>
      </c>
      <c r="X108" s="46">
        <f>IF(VLOOKUP($C108,REV!$C:$AA,22,0)-'TRADE IN'!$F117=0,"",(VLOOKUP($C108,REV!$C:$AA,22,0)-'TRADE IN'!$F108))</f>
        <v>4699</v>
      </c>
      <c r="Y108" s="46">
        <f>IF(VLOOKUP($C108,REV!$C:$AA,23,0)-'TRADE IN'!$F117=0,"",(VLOOKUP($C108,REV!$C:$AA,23,0)-'TRADE IN'!$F108))</f>
        <v>4499</v>
      </c>
      <c r="Z108" s="46">
        <f>IF(VLOOKUP($C108,REV!$C:$AA,24,0)-'TRADE IN'!$F117=0,"",(VLOOKUP($C108,REV!$C:$AA,24,0)-'TRADE IN'!$F108))</f>
        <v>4399</v>
      </c>
      <c r="AA108" s="46">
        <f>IF(VLOOKUP($C108,REV!$C:$AA,25,0)-'TRADE IN'!$F117=0,"",(VLOOKUP($C108,REV!$C:$AA,25,0)-'TRADE IN'!$F108))</f>
        <v>4399</v>
      </c>
      <c r="AB108" s="46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tr">
        <f>IF(REV!AW108=0,"",REV!AW108)</f>
        <v>31.03.2026</v>
      </c>
      <c r="AX108" s="159" t="s">
        <v>82</v>
      </c>
    </row>
    <row r="109" spans="1:50" ht="22.5" customHeight="1">
      <c r="A109" s="52" t="s">
        <v>70</v>
      </c>
      <c r="B109" s="41" t="s">
        <v>62</v>
      </c>
      <c r="C109" s="42">
        <v>4015181</v>
      </c>
      <c r="D109" s="43" t="s">
        <v>173</v>
      </c>
      <c r="E109" s="43" t="s">
        <v>176</v>
      </c>
      <c r="F109" s="45"/>
      <c r="G109" s="45"/>
      <c r="H109" s="46"/>
      <c r="I109" s="46"/>
      <c r="J109" s="46">
        <f>IF(VLOOKUP($C109,REV!$C:$AA,8,0)-'TRADE IN'!$F109=0,"",(VLOOKUP($C109,REV!$C:$AA,8,0)-'TRADE IN'!$F109))</f>
        <v>5999</v>
      </c>
      <c r="K109" s="46">
        <f>IF(VLOOKUP($C109,REV!$C:$AA,9,0)-'TRADE IN'!$F109=0,"",(VLOOKUP($C109,REV!$C:$AA,9,0)-'TRADE IN'!$F109))</f>
        <v>5899</v>
      </c>
      <c r="L109" s="46">
        <f>IF(VLOOKUP($C109,REV!$C:$AA,10,0)-'TRADE IN'!$F118=0,"",(VLOOKUP($C109,REV!$C:$AA,10,0)-'TRADE IN'!$F109))</f>
        <v>5899</v>
      </c>
      <c r="M109" s="46">
        <f>IF(VLOOKUP($C109,REV!$C:$AA,11,0)-'TRADE IN'!$F118=0,"",(VLOOKUP($C109,REV!$C:$AA,11,0)-'TRADE IN'!$F109))</f>
        <v>5999</v>
      </c>
      <c r="N109" s="46">
        <f>IF(VLOOKUP($C109,REV!$C:$AA,12,0)-'TRADE IN'!$F118=0,"",(VLOOKUP($C109,REV!$C:$AA,12,0)-'TRADE IN'!$F109))</f>
        <v>5999</v>
      </c>
      <c r="O109" s="46">
        <f>IF(VLOOKUP($C109,REV!$C:$AA,13,0)-'TRADE IN'!$F118=0,"",(VLOOKUP($C109,REV!$C:$AA,13,0)-'TRADE IN'!$F109))</f>
        <v>5799</v>
      </c>
      <c r="P109" s="46">
        <f>IF(VLOOKUP($C109,REV!$C:$AA,14,0)-'TRADE IN'!$F118=0,"",(VLOOKUP($C109,REV!$C:$AA,14,0)-'TRADE IN'!$F109))</f>
        <v>5699</v>
      </c>
      <c r="Q109" s="46">
        <f>IF(VLOOKUP($C109,REV!$C:$AA,15,0)-'TRADE IN'!$F118=0,"",(VLOOKUP($C109,REV!$C:$AA,15,0)-'TRADE IN'!$F109))</f>
        <v>4999</v>
      </c>
      <c r="R109" s="46">
        <f>IF(VLOOKUP($C109,REV!$C:$AA,16,0)-'TRADE IN'!$F118=0,"",(VLOOKUP($C109,REV!$C:$AA,16,0)-'TRADE IN'!$F109))</f>
        <v>5799</v>
      </c>
      <c r="S109" s="46">
        <f>IF(VLOOKUP($C109,REV!$C:$AA,17,0)-'TRADE IN'!$F118=0,"",(VLOOKUP($C109,REV!$C:$AA,17,0)-'TRADE IN'!$F109))</f>
        <v>5699</v>
      </c>
      <c r="T109" s="46">
        <f>IF(VLOOKUP($C109,REV!$C:$AA,18,0)-'TRADE IN'!$F118=0,"",(VLOOKUP($C109,REV!$C:$AA,18,0)-'TRADE IN'!$F109))</f>
        <v>4999</v>
      </c>
      <c r="U109" s="46">
        <f>IF(VLOOKUP($C109,REV!$C:$AA,19,0)-'TRADE IN'!$F118=0,"",(VLOOKUP($C109,REV!$C:$AA,19,0)-'TRADE IN'!$F109))</f>
        <v>4899</v>
      </c>
      <c r="V109" s="46">
        <f>IF(VLOOKUP($C109,REV!$C:$AA,20,0)-'TRADE IN'!$F118=0,"",(VLOOKUP($C109,REV!$C:$AA,20,0)-'TRADE IN'!$F109))</f>
        <v>4899</v>
      </c>
      <c r="W109" s="46">
        <f>IF(VLOOKUP($C109,REV!$C:$AA,21,0)-'TRADE IN'!$F118=0,"",(VLOOKUP($C109,REV!$C:$AA,21,0)-'TRADE IN'!$F109))</f>
        <v>4799</v>
      </c>
      <c r="X109" s="46">
        <f>IF(VLOOKUP($C109,REV!$C:$AA,22,0)-'TRADE IN'!$F118=0,"",(VLOOKUP($C109,REV!$C:$AA,22,0)-'TRADE IN'!$F109))</f>
        <v>4699</v>
      </c>
      <c r="Y109" s="46">
        <f>IF(VLOOKUP($C109,REV!$C:$AA,23,0)-'TRADE IN'!$F118=0,"",(VLOOKUP($C109,REV!$C:$AA,23,0)-'TRADE IN'!$F109))</f>
        <v>4499</v>
      </c>
      <c r="Z109" s="46">
        <f>IF(VLOOKUP($C109,REV!$C:$AA,24,0)-'TRADE IN'!$F118=0,"",(VLOOKUP($C109,REV!$C:$AA,24,0)-'TRADE IN'!$F109))</f>
        <v>4399</v>
      </c>
      <c r="AA109" s="46">
        <f>IF(VLOOKUP($C109,REV!$C:$AA,25,0)-'TRADE IN'!$F118=0,"",(VLOOKUP($C109,REV!$C:$AA,25,0)-'TRADE IN'!$F109))</f>
        <v>4399</v>
      </c>
      <c r="AB109" s="46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tr">
        <f>IF(REV!AW109=0,"",REV!AW109)</f>
        <v>31.03.2026</v>
      </c>
      <c r="AX109" s="159" t="s">
        <v>82</v>
      </c>
    </row>
    <row r="110" spans="1:50" ht="22.5" customHeight="1">
      <c r="A110" s="52" t="s">
        <v>70</v>
      </c>
      <c r="B110" s="41" t="s">
        <v>62</v>
      </c>
      <c r="C110" s="42">
        <v>4015112</v>
      </c>
      <c r="D110" s="43" t="s">
        <v>177</v>
      </c>
      <c r="E110" s="43" t="s">
        <v>178</v>
      </c>
      <c r="F110" s="45"/>
      <c r="G110" s="45"/>
      <c r="H110" s="46"/>
      <c r="I110" s="46"/>
      <c r="J110" s="46">
        <f>IF(VLOOKUP($C110,REV!$C:$AA,8,0)-'TRADE IN'!$F110=0,"",(VLOOKUP($C110,REV!$C:$AA,8,0)-'TRADE IN'!$F110))</f>
        <v>5899</v>
      </c>
      <c r="K110" s="46">
        <f>IF(VLOOKUP($C110,REV!$C:$AA,9,0)-'TRADE IN'!$F110=0,"",(VLOOKUP($C110,REV!$C:$AA,9,0)-'TRADE IN'!$F110))</f>
        <v>5899</v>
      </c>
      <c r="L110" s="46">
        <f>IF(VLOOKUP($C110,REV!$C:$AA,10,0)-'TRADE IN'!$F119=0,"",(VLOOKUP($C110,REV!$C:$AA,10,0)-'TRADE IN'!$F110))</f>
        <v>5899</v>
      </c>
      <c r="M110" s="46">
        <f>IF(VLOOKUP($C110,REV!$C:$AA,11,0)-'TRADE IN'!$F119=0,"",(VLOOKUP($C110,REV!$C:$AA,11,0)-'TRADE IN'!$F110))</f>
        <v>5899</v>
      </c>
      <c r="N110" s="46">
        <f>IF(VLOOKUP($C110,REV!$C:$AA,12,0)-'TRADE IN'!$F119=0,"",(VLOOKUP($C110,REV!$C:$AA,12,0)-'TRADE IN'!$F110))</f>
        <v>5899</v>
      </c>
      <c r="O110" s="46">
        <f>IF(VLOOKUP($C110,REV!$C:$AA,13,0)-'TRADE IN'!$F119=0,"",(VLOOKUP($C110,REV!$C:$AA,13,0)-'TRADE IN'!$F110))</f>
        <v>5799</v>
      </c>
      <c r="P110" s="46">
        <f>IF(VLOOKUP($C110,REV!$C:$AA,14,0)-'TRADE IN'!$F119=0,"",(VLOOKUP($C110,REV!$C:$AA,14,0)-'TRADE IN'!$F110))</f>
        <v>5699</v>
      </c>
      <c r="Q110" s="46">
        <f>IF(VLOOKUP($C110,REV!$C:$AA,15,0)-'TRADE IN'!$F119=0,"",(VLOOKUP($C110,REV!$C:$AA,15,0)-'TRADE IN'!$F110))</f>
        <v>5499</v>
      </c>
      <c r="R110" s="46">
        <f>IF(VLOOKUP($C110,REV!$C:$AA,16,0)-'TRADE IN'!$F119=0,"",(VLOOKUP($C110,REV!$C:$AA,16,0)-'TRADE IN'!$F110))</f>
        <v>5799</v>
      </c>
      <c r="S110" s="46">
        <f>IF(VLOOKUP($C110,REV!$C:$AA,17,0)-'TRADE IN'!$F119=0,"",(VLOOKUP($C110,REV!$C:$AA,17,0)-'TRADE IN'!$F110))</f>
        <v>5699</v>
      </c>
      <c r="T110" s="46">
        <f>IF(VLOOKUP($C110,REV!$C:$AA,18,0)-'TRADE IN'!$F119=0,"",(VLOOKUP($C110,REV!$C:$AA,18,0)-'TRADE IN'!$F110))</f>
        <v>5499</v>
      </c>
      <c r="U110" s="46">
        <f>IF(VLOOKUP($C110,REV!$C:$AA,19,0)-'TRADE IN'!$F119=0,"",(VLOOKUP($C110,REV!$C:$AA,19,0)-'TRADE IN'!$F110))</f>
        <v>5499</v>
      </c>
      <c r="V110" s="46">
        <f>IF(VLOOKUP($C110,REV!$C:$AA,20,0)-'TRADE IN'!$F119=0,"",(VLOOKUP($C110,REV!$C:$AA,20,0)-'TRADE IN'!$F110))</f>
        <v>5499</v>
      </c>
      <c r="W110" s="46">
        <f>IF(VLOOKUP($C110,REV!$C:$AA,21,0)-'TRADE IN'!$F119=0,"",(VLOOKUP($C110,REV!$C:$AA,21,0)-'TRADE IN'!$F110))</f>
        <v>5499</v>
      </c>
      <c r="X110" s="46">
        <f>IF(VLOOKUP($C110,REV!$C:$AA,22,0)-'TRADE IN'!$F119=0,"",(VLOOKUP($C110,REV!$C:$AA,22,0)-'TRADE IN'!$F110))</f>
        <v>5399</v>
      </c>
      <c r="Y110" s="46">
        <f>IF(VLOOKUP($C110,REV!$C:$AA,23,0)-'TRADE IN'!$F119=0,"",(VLOOKUP($C110,REV!$C:$AA,23,0)-'TRADE IN'!$F110))</f>
        <v>4999</v>
      </c>
      <c r="Z110" s="46">
        <f>IF(VLOOKUP($C110,REV!$C:$AA,24,0)-'TRADE IN'!$F119=0,"",(VLOOKUP($C110,REV!$C:$AA,24,0)-'TRADE IN'!$F110))</f>
        <v>4999</v>
      </c>
      <c r="AA110" s="46">
        <f>IF(VLOOKUP($C110,REV!$C:$AA,25,0)-'TRADE IN'!$F119=0,"",(VLOOKUP($C110,REV!$C:$AA,25,0)-'TRADE IN'!$F110))</f>
        <v>4999</v>
      </c>
      <c r="AB110" s="46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tr">
        <f>IF(REV!AW110=0,"",REV!AW110)</f>
        <v>31.03.2026</v>
      </c>
      <c r="AX110" s="159" t="s">
        <v>82</v>
      </c>
    </row>
    <row r="111" spans="1:50" ht="22.5" customHeight="1">
      <c r="A111" s="52" t="s">
        <v>70</v>
      </c>
      <c r="B111" s="41" t="s">
        <v>62</v>
      </c>
      <c r="C111" s="42">
        <v>4015116</v>
      </c>
      <c r="D111" s="43" t="s">
        <v>177</v>
      </c>
      <c r="E111" s="43" t="s">
        <v>179</v>
      </c>
      <c r="F111" s="45"/>
      <c r="G111" s="45"/>
      <c r="H111" s="46"/>
      <c r="I111" s="46"/>
      <c r="J111" s="46">
        <f>IF(VLOOKUP($C111,REV!$C:$AA,8,0)-'TRADE IN'!$F111=0,"",(VLOOKUP($C111,REV!$C:$AA,8,0)-'TRADE IN'!$F111))</f>
        <v>5899</v>
      </c>
      <c r="K111" s="46">
        <f>IF(VLOOKUP($C111,REV!$C:$AA,9,0)-'TRADE IN'!$F111=0,"",(VLOOKUP($C111,REV!$C:$AA,9,0)-'TRADE IN'!$F111))</f>
        <v>5899</v>
      </c>
      <c r="L111" s="46">
        <f>IF(VLOOKUP($C111,REV!$C:$AA,10,0)-'TRADE IN'!$F120=0,"",(VLOOKUP($C111,REV!$C:$AA,10,0)-'TRADE IN'!$F111))</f>
        <v>5899</v>
      </c>
      <c r="M111" s="46">
        <f>IF(VLOOKUP($C111,REV!$C:$AA,11,0)-'TRADE IN'!$F120=0,"",(VLOOKUP($C111,REV!$C:$AA,11,0)-'TRADE IN'!$F111))</f>
        <v>5899</v>
      </c>
      <c r="N111" s="46">
        <f>IF(VLOOKUP($C111,REV!$C:$AA,12,0)-'TRADE IN'!$F120=0,"",(VLOOKUP($C111,REV!$C:$AA,12,0)-'TRADE IN'!$F111))</f>
        <v>5899</v>
      </c>
      <c r="O111" s="46">
        <f>IF(VLOOKUP($C111,REV!$C:$AA,13,0)-'TRADE IN'!$F120=0,"",(VLOOKUP($C111,REV!$C:$AA,13,0)-'TRADE IN'!$F111))</f>
        <v>5799</v>
      </c>
      <c r="P111" s="46">
        <f>IF(VLOOKUP($C111,REV!$C:$AA,14,0)-'TRADE IN'!$F120=0,"",(VLOOKUP($C111,REV!$C:$AA,14,0)-'TRADE IN'!$F111))</f>
        <v>5699</v>
      </c>
      <c r="Q111" s="46">
        <f>IF(VLOOKUP($C111,REV!$C:$AA,15,0)-'TRADE IN'!$F120=0,"",(VLOOKUP($C111,REV!$C:$AA,15,0)-'TRADE IN'!$F111))</f>
        <v>5499</v>
      </c>
      <c r="R111" s="46">
        <f>IF(VLOOKUP($C111,REV!$C:$AA,16,0)-'TRADE IN'!$F120=0,"",(VLOOKUP($C111,REV!$C:$AA,16,0)-'TRADE IN'!$F111))</f>
        <v>5799</v>
      </c>
      <c r="S111" s="46">
        <f>IF(VLOOKUP($C111,REV!$C:$AA,17,0)-'TRADE IN'!$F120=0,"",(VLOOKUP($C111,REV!$C:$AA,17,0)-'TRADE IN'!$F111))</f>
        <v>5699</v>
      </c>
      <c r="T111" s="46">
        <f>IF(VLOOKUP($C111,REV!$C:$AA,18,0)-'TRADE IN'!$F120=0,"",(VLOOKUP($C111,REV!$C:$AA,18,0)-'TRADE IN'!$F111))</f>
        <v>5499</v>
      </c>
      <c r="U111" s="46">
        <f>IF(VLOOKUP($C111,REV!$C:$AA,19,0)-'TRADE IN'!$F120=0,"",(VLOOKUP($C111,REV!$C:$AA,19,0)-'TRADE IN'!$F111))</f>
        <v>5499</v>
      </c>
      <c r="V111" s="46">
        <f>IF(VLOOKUP($C111,REV!$C:$AA,20,0)-'TRADE IN'!$F120=0,"",(VLOOKUP($C111,REV!$C:$AA,20,0)-'TRADE IN'!$F111))</f>
        <v>5499</v>
      </c>
      <c r="W111" s="46">
        <f>IF(VLOOKUP($C111,REV!$C:$AA,21,0)-'TRADE IN'!$F120=0,"",(VLOOKUP($C111,REV!$C:$AA,21,0)-'TRADE IN'!$F111))</f>
        <v>5499</v>
      </c>
      <c r="X111" s="46">
        <f>IF(VLOOKUP($C111,REV!$C:$AA,22,0)-'TRADE IN'!$F120=0,"",(VLOOKUP($C111,REV!$C:$AA,22,0)-'TRADE IN'!$F111))</f>
        <v>5399</v>
      </c>
      <c r="Y111" s="46">
        <f>IF(VLOOKUP($C111,REV!$C:$AA,23,0)-'TRADE IN'!$F120=0,"",(VLOOKUP($C111,REV!$C:$AA,23,0)-'TRADE IN'!$F111))</f>
        <v>4999</v>
      </c>
      <c r="Z111" s="46">
        <f>IF(VLOOKUP($C111,REV!$C:$AA,24,0)-'TRADE IN'!$F120=0,"",(VLOOKUP($C111,REV!$C:$AA,24,0)-'TRADE IN'!$F111))</f>
        <v>4999</v>
      </c>
      <c r="AA111" s="46">
        <f>IF(VLOOKUP($C111,REV!$C:$AA,25,0)-'TRADE IN'!$F120=0,"",(VLOOKUP($C111,REV!$C:$AA,25,0)-'TRADE IN'!$F111))</f>
        <v>4999</v>
      </c>
      <c r="AB111" s="46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tr">
        <f>IF(REV!AW111=0,"",REV!AW111)</f>
        <v>31.03.2026</v>
      </c>
      <c r="AX111" s="159" t="s">
        <v>82</v>
      </c>
    </row>
    <row r="112" spans="1:50" ht="22.5" customHeight="1">
      <c r="A112" s="52" t="s">
        <v>70</v>
      </c>
      <c r="B112" s="41" t="s">
        <v>62</v>
      </c>
      <c r="C112" s="42">
        <v>4015118</v>
      </c>
      <c r="D112" s="43" t="s">
        <v>177</v>
      </c>
      <c r="E112" s="43" t="s">
        <v>180</v>
      </c>
      <c r="F112" s="45"/>
      <c r="G112" s="45"/>
      <c r="H112" s="46"/>
      <c r="I112" s="46"/>
      <c r="J112" s="46">
        <f>IF(VLOOKUP($C112,REV!$C:$AA,8,0)-'TRADE IN'!$F112=0,"",(VLOOKUP($C112,REV!$C:$AA,8,0)-'TRADE IN'!$F112))</f>
        <v>5899</v>
      </c>
      <c r="K112" s="46">
        <f>IF(VLOOKUP($C112,REV!$C:$AA,9,0)-'TRADE IN'!$F112=0,"",(VLOOKUP($C112,REV!$C:$AA,9,0)-'TRADE IN'!$F112))</f>
        <v>5899</v>
      </c>
      <c r="L112" s="46">
        <f>IF(VLOOKUP($C112,REV!$C:$AA,10,0)-'TRADE IN'!$F121=0,"",(VLOOKUP($C112,REV!$C:$AA,10,0)-'TRADE IN'!$F112))</f>
        <v>5899</v>
      </c>
      <c r="M112" s="46">
        <f>IF(VLOOKUP($C112,REV!$C:$AA,11,0)-'TRADE IN'!$F121=0,"",(VLOOKUP($C112,REV!$C:$AA,11,0)-'TRADE IN'!$F112))</f>
        <v>5899</v>
      </c>
      <c r="N112" s="46">
        <f>IF(VLOOKUP($C112,REV!$C:$AA,12,0)-'TRADE IN'!$F121=0,"",(VLOOKUP($C112,REV!$C:$AA,12,0)-'TRADE IN'!$F112))</f>
        <v>5899</v>
      </c>
      <c r="O112" s="46">
        <f>IF(VLOOKUP($C112,REV!$C:$AA,13,0)-'TRADE IN'!$F121=0,"",(VLOOKUP($C112,REV!$C:$AA,13,0)-'TRADE IN'!$F112))</f>
        <v>5799</v>
      </c>
      <c r="P112" s="46">
        <f>IF(VLOOKUP($C112,REV!$C:$AA,14,0)-'TRADE IN'!$F121=0,"",(VLOOKUP($C112,REV!$C:$AA,14,0)-'TRADE IN'!$F112))</f>
        <v>5699</v>
      </c>
      <c r="Q112" s="46">
        <f>IF(VLOOKUP($C112,REV!$C:$AA,15,0)-'TRADE IN'!$F121=0,"",(VLOOKUP($C112,REV!$C:$AA,15,0)-'TRADE IN'!$F112))</f>
        <v>5499</v>
      </c>
      <c r="R112" s="46">
        <f>IF(VLOOKUP($C112,REV!$C:$AA,16,0)-'TRADE IN'!$F121=0,"",(VLOOKUP($C112,REV!$C:$AA,16,0)-'TRADE IN'!$F112))</f>
        <v>5799</v>
      </c>
      <c r="S112" s="46">
        <f>IF(VLOOKUP($C112,REV!$C:$AA,17,0)-'TRADE IN'!$F121=0,"",(VLOOKUP($C112,REV!$C:$AA,17,0)-'TRADE IN'!$F112))</f>
        <v>5699</v>
      </c>
      <c r="T112" s="46">
        <f>IF(VLOOKUP($C112,REV!$C:$AA,18,0)-'TRADE IN'!$F121=0,"",(VLOOKUP($C112,REV!$C:$AA,18,0)-'TRADE IN'!$F112))</f>
        <v>5499</v>
      </c>
      <c r="U112" s="46">
        <f>IF(VLOOKUP($C112,REV!$C:$AA,19,0)-'TRADE IN'!$F121=0,"",(VLOOKUP($C112,REV!$C:$AA,19,0)-'TRADE IN'!$F112))</f>
        <v>5499</v>
      </c>
      <c r="V112" s="46">
        <f>IF(VLOOKUP($C112,REV!$C:$AA,20,0)-'TRADE IN'!$F121=0,"",(VLOOKUP($C112,REV!$C:$AA,20,0)-'TRADE IN'!$F112))</f>
        <v>5499</v>
      </c>
      <c r="W112" s="46">
        <f>IF(VLOOKUP($C112,REV!$C:$AA,21,0)-'TRADE IN'!$F121=0,"",(VLOOKUP($C112,REV!$C:$AA,21,0)-'TRADE IN'!$F112))</f>
        <v>5499</v>
      </c>
      <c r="X112" s="46">
        <f>IF(VLOOKUP($C112,REV!$C:$AA,22,0)-'TRADE IN'!$F121=0,"",(VLOOKUP($C112,REV!$C:$AA,22,0)-'TRADE IN'!$F112))</f>
        <v>5399</v>
      </c>
      <c r="Y112" s="46">
        <f>IF(VLOOKUP($C112,REV!$C:$AA,23,0)-'TRADE IN'!$F121=0,"",(VLOOKUP($C112,REV!$C:$AA,23,0)-'TRADE IN'!$F112))</f>
        <v>4999</v>
      </c>
      <c r="Z112" s="46">
        <f>IF(VLOOKUP($C112,REV!$C:$AA,24,0)-'TRADE IN'!$F121=0,"",(VLOOKUP($C112,REV!$C:$AA,24,0)-'TRADE IN'!$F112))</f>
        <v>4999</v>
      </c>
      <c r="AA112" s="46">
        <f>IF(VLOOKUP($C112,REV!$C:$AA,25,0)-'TRADE IN'!$F121=0,"",(VLOOKUP($C112,REV!$C:$AA,25,0)-'TRADE IN'!$F112))</f>
        <v>4999</v>
      </c>
      <c r="AB112" s="46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tr">
        <f>IF(REV!AW112=0,"",REV!AW112)</f>
        <v>31.03.2026</v>
      </c>
      <c r="AX112" s="159" t="s">
        <v>82</v>
      </c>
    </row>
    <row r="113" spans="1:50" ht="22.5" customHeight="1">
      <c r="A113" s="52" t="s">
        <v>70</v>
      </c>
      <c r="B113" s="41" t="s">
        <v>62</v>
      </c>
      <c r="C113" s="42">
        <v>4015742</v>
      </c>
      <c r="D113" s="43" t="s">
        <v>181</v>
      </c>
      <c r="E113" s="43" t="s">
        <v>182</v>
      </c>
      <c r="F113" s="45"/>
      <c r="G113" s="45"/>
      <c r="H113" s="46"/>
      <c r="I113" s="46"/>
      <c r="J113" s="46">
        <f>IF(VLOOKUP($C113,REV!$C:$AA,8,0)-'TRADE IN'!$F113=0,"",(VLOOKUP($C113,REV!$C:$AA,8,0)-'TRADE IN'!$F113))</f>
        <v>4999</v>
      </c>
      <c r="K113" s="46">
        <f>IF(VLOOKUP($C113,REV!$C:$AA,9,0)-'TRADE IN'!$F113=0,"",(VLOOKUP($C113,REV!$C:$AA,9,0)-'TRADE IN'!$F113))</f>
        <v>4899</v>
      </c>
      <c r="L113" s="46">
        <f>IF(VLOOKUP($C113,REV!$C:$AA,10,0)-'TRADE IN'!$F122=0,"",(VLOOKUP($C113,REV!$C:$AA,10,0)-'TRADE IN'!$F113))</f>
        <v>4899</v>
      </c>
      <c r="M113" s="46">
        <f>IF(VLOOKUP($C113,REV!$C:$AA,11,0)-'TRADE IN'!$F122=0,"",(VLOOKUP($C113,REV!$C:$AA,11,0)-'TRADE IN'!$F113))</f>
        <v>4999</v>
      </c>
      <c r="N113" s="46">
        <f>IF(VLOOKUP($C113,REV!$C:$AA,12,0)-'TRADE IN'!$F122=0,"",(VLOOKUP($C113,REV!$C:$AA,12,0)-'TRADE IN'!$F113))</f>
        <v>4899</v>
      </c>
      <c r="O113" s="46">
        <f>IF(VLOOKUP($C113,REV!$C:$AA,13,0)-'TRADE IN'!$F122=0,"",(VLOOKUP($C113,REV!$C:$AA,13,0)-'TRADE IN'!$F113))</f>
        <v>4799</v>
      </c>
      <c r="P113" s="46">
        <f>IF(VLOOKUP($C113,REV!$C:$AA,14,0)-'TRADE IN'!$F122=0,"",(VLOOKUP($C113,REV!$C:$AA,14,0)-'TRADE IN'!$F113))</f>
        <v>4699</v>
      </c>
      <c r="Q113" s="46">
        <f>IF(VLOOKUP($C113,REV!$C:$AA,15,0)-'TRADE IN'!$F122=0,"",(VLOOKUP($C113,REV!$C:$AA,15,0)-'TRADE IN'!$F113))</f>
        <v>4499</v>
      </c>
      <c r="R113" s="46">
        <f>IF(VLOOKUP($C113,REV!$C:$AA,16,0)-'TRADE IN'!$F122=0,"",(VLOOKUP($C113,REV!$C:$AA,16,0)-'TRADE IN'!$F113))</f>
        <v>4799</v>
      </c>
      <c r="S113" s="46">
        <f>IF(VLOOKUP($C113,REV!$C:$AA,17,0)-'TRADE IN'!$F122=0,"",(VLOOKUP($C113,REV!$C:$AA,17,0)-'TRADE IN'!$F113))</f>
        <v>4699</v>
      </c>
      <c r="T113" s="46">
        <f>IF(VLOOKUP($C113,REV!$C:$AA,18,0)-'TRADE IN'!$F122=0,"",(VLOOKUP($C113,REV!$C:$AA,18,0)-'TRADE IN'!$F113))</f>
        <v>4499</v>
      </c>
      <c r="U113" s="46">
        <f>IF(VLOOKUP($C113,REV!$C:$AA,19,0)-'TRADE IN'!$F122=0,"",(VLOOKUP($C113,REV!$C:$AA,19,0)-'TRADE IN'!$F113))</f>
        <v>4399</v>
      </c>
      <c r="V113" s="46">
        <f>IF(VLOOKUP($C113,REV!$C:$AA,20,0)-'TRADE IN'!$F122=0,"",(VLOOKUP($C113,REV!$C:$AA,20,0)-'TRADE IN'!$F113))</f>
        <v>4399</v>
      </c>
      <c r="W113" s="46">
        <f>IF(VLOOKUP($C113,REV!$C:$AA,21,0)-'TRADE IN'!$F122=0,"",(VLOOKUP($C113,REV!$C:$AA,21,0)-'TRADE IN'!$F113))</f>
        <v>4299</v>
      </c>
      <c r="X113" s="46">
        <f>IF(VLOOKUP($C113,REV!$C:$AA,22,0)-'TRADE IN'!$F122=0,"",(VLOOKUP($C113,REV!$C:$AA,22,0)-'TRADE IN'!$F113))</f>
        <v>4199</v>
      </c>
      <c r="Y113" s="46">
        <f>IF(VLOOKUP($C113,REV!$C:$AA,23,0)-'TRADE IN'!$F122=0,"",(VLOOKUP($C113,REV!$C:$AA,23,0)-'TRADE IN'!$F113))</f>
        <v>3499</v>
      </c>
      <c r="Z113" s="46">
        <f>IF(VLOOKUP($C113,REV!$C:$AA,24,0)-'TRADE IN'!$F122=0,"",(VLOOKUP($C113,REV!$C:$AA,24,0)-'TRADE IN'!$F113))</f>
        <v>3499</v>
      </c>
      <c r="AA113" s="46">
        <f>IF(VLOOKUP($C113,REV!$C:$AA,25,0)-'TRADE IN'!$F122=0,"",(VLOOKUP($C113,REV!$C:$AA,25,0)-'TRADE IN'!$F113))</f>
        <v>3499</v>
      </c>
      <c r="AB113" s="46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tr">
        <f>IF(REV!AW113=0,"",REV!AW113)</f>
        <v>31.03.2026</v>
      </c>
      <c r="AX113" s="159" t="s">
        <v>82</v>
      </c>
    </row>
    <row r="114" spans="1:50" ht="22.5" customHeight="1">
      <c r="A114" s="52" t="s">
        <v>70</v>
      </c>
      <c r="B114" s="41" t="s">
        <v>62</v>
      </c>
      <c r="C114" s="42">
        <v>4015724</v>
      </c>
      <c r="D114" s="43" t="s">
        <v>181</v>
      </c>
      <c r="E114" s="43" t="s">
        <v>183</v>
      </c>
      <c r="F114" s="45"/>
      <c r="G114" s="45"/>
      <c r="H114" s="46"/>
      <c r="I114" s="46"/>
      <c r="J114" s="46">
        <f>IF(VLOOKUP($C114,REV!$C:$AA,8,0)-'TRADE IN'!$F114=0,"",(VLOOKUP($C114,REV!$C:$AA,8,0)-'TRADE IN'!$F114))</f>
        <v>4999</v>
      </c>
      <c r="K114" s="46">
        <f>IF(VLOOKUP($C114,REV!$C:$AA,9,0)-'TRADE IN'!$F114=0,"",(VLOOKUP($C114,REV!$C:$AA,9,0)-'TRADE IN'!$F114))</f>
        <v>4899</v>
      </c>
      <c r="L114" s="46">
        <f>IF(VLOOKUP($C114,REV!$C:$AA,10,0)-'TRADE IN'!$F123=0,"",(VLOOKUP($C114,REV!$C:$AA,10,0)-'TRADE IN'!$F114))</f>
        <v>4899</v>
      </c>
      <c r="M114" s="46">
        <f>IF(VLOOKUP($C114,REV!$C:$AA,11,0)-'TRADE IN'!$F123=0,"",(VLOOKUP($C114,REV!$C:$AA,11,0)-'TRADE IN'!$F114))</f>
        <v>4999</v>
      </c>
      <c r="N114" s="46">
        <f>IF(VLOOKUP($C114,REV!$C:$AA,12,0)-'TRADE IN'!$F123=0,"",(VLOOKUP($C114,REV!$C:$AA,12,0)-'TRADE IN'!$F114))</f>
        <v>4899</v>
      </c>
      <c r="O114" s="46">
        <f>IF(VLOOKUP($C114,REV!$C:$AA,13,0)-'TRADE IN'!$F123=0,"",(VLOOKUP($C114,REV!$C:$AA,13,0)-'TRADE IN'!$F114))</f>
        <v>4799</v>
      </c>
      <c r="P114" s="46">
        <f>IF(VLOOKUP($C114,REV!$C:$AA,14,0)-'TRADE IN'!$F123=0,"",(VLOOKUP($C114,REV!$C:$AA,14,0)-'TRADE IN'!$F114))</f>
        <v>4699</v>
      </c>
      <c r="Q114" s="46">
        <f>IF(VLOOKUP($C114,REV!$C:$AA,15,0)-'TRADE IN'!$F123=0,"",(VLOOKUP($C114,REV!$C:$AA,15,0)-'TRADE IN'!$F114))</f>
        <v>4499</v>
      </c>
      <c r="R114" s="46">
        <f>IF(VLOOKUP($C114,REV!$C:$AA,16,0)-'TRADE IN'!$F123=0,"",(VLOOKUP($C114,REV!$C:$AA,16,0)-'TRADE IN'!$F114))</f>
        <v>4799</v>
      </c>
      <c r="S114" s="46">
        <f>IF(VLOOKUP($C114,REV!$C:$AA,17,0)-'TRADE IN'!$F123=0,"",(VLOOKUP($C114,REV!$C:$AA,17,0)-'TRADE IN'!$F114))</f>
        <v>4699</v>
      </c>
      <c r="T114" s="46">
        <f>IF(VLOOKUP($C114,REV!$C:$AA,18,0)-'TRADE IN'!$F123=0,"",(VLOOKUP($C114,REV!$C:$AA,18,0)-'TRADE IN'!$F114))</f>
        <v>4499</v>
      </c>
      <c r="U114" s="46">
        <f>IF(VLOOKUP($C114,REV!$C:$AA,19,0)-'TRADE IN'!$F123=0,"",(VLOOKUP($C114,REV!$C:$AA,19,0)-'TRADE IN'!$F114))</f>
        <v>4399</v>
      </c>
      <c r="V114" s="46">
        <f>IF(VLOOKUP($C114,REV!$C:$AA,20,0)-'TRADE IN'!$F123=0,"",(VLOOKUP($C114,REV!$C:$AA,20,0)-'TRADE IN'!$F114))</f>
        <v>4399</v>
      </c>
      <c r="W114" s="46">
        <f>IF(VLOOKUP($C114,REV!$C:$AA,21,0)-'TRADE IN'!$F123=0,"",(VLOOKUP($C114,REV!$C:$AA,21,0)-'TRADE IN'!$F114))</f>
        <v>4299</v>
      </c>
      <c r="X114" s="46">
        <f>IF(VLOOKUP($C114,REV!$C:$AA,22,0)-'TRADE IN'!$F123=0,"",(VLOOKUP($C114,REV!$C:$AA,22,0)-'TRADE IN'!$F114))</f>
        <v>4199</v>
      </c>
      <c r="Y114" s="46">
        <f>IF(VLOOKUP($C114,REV!$C:$AA,23,0)-'TRADE IN'!$F123=0,"",(VLOOKUP($C114,REV!$C:$AA,23,0)-'TRADE IN'!$F114))</f>
        <v>3499</v>
      </c>
      <c r="Z114" s="46">
        <f>IF(VLOOKUP($C114,REV!$C:$AA,24,0)-'TRADE IN'!$F123=0,"",(VLOOKUP($C114,REV!$C:$AA,24,0)-'TRADE IN'!$F114))</f>
        <v>3499</v>
      </c>
      <c r="AA114" s="46">
        <f>IF(VLOOKUP($C114,REV!$C:$AA,25,0)-'TRADE IN'!$F123=0,"",(VLOOKUP($C114,REV!$C:$AA,25,0)-'TRADE IN'!$F114))</f>
        <v>3499</v>
      </c>
      <c r="AB114" s="46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tr">
        <f>IF(REV!AW114=0,"",REV!AW114)</f>
        <v>31.03.2026</v>
      </c>
      <c r="AX114" s="159" t="s">
        <v>82</v>
      </c>
    </row>
    <row r="115" spans="1:50" ht="22.5" customHeight="1">
      <c r="A115" s="52" t="s">
        <v>70</v>
      </c>
      <c r="B115" s="41" t="s">
        <v>62</v>
      </c>
      <c r="C115" s="42">
        <v>4015725</v>
      </c>
      <c r="D115" s="43" t="s">
        <v>181</v>
      </c>
      <c r="E115" s="43" t="s">
        <v>184</v>
      </c>
      <c r="F115" s="45"/>
      <c r="G115" s="45"/>
      <c r="H115" s="46"/>
      <c r="I115" s="46"/>
      <c r="J115" s="46">
        <f>IF(VLOOKUP($C115,REV!$C:$AA,8,0)-'TRADE IN'!$F115=0,"",(VLOOKUP($C115,REV!$C:$AA,8,0)-'TRADE IN'!$F115))</f>
        <v>4999</v>
      </c>
      <c r="K115" s="46">
        <f>IF(VLOOKUP($C115,REV!$C:$AA,9,0)-'TRADE IN'!$F115=0,"",(VLOOKUP($C115,REV!$C:$AA,9,0)-'TRADE IN'!$F115))</f>
        <v>4899</v>
      </c>
      <c r="L115" s="46">
        <f>IF(VLOOKUP($C115,REV!$C:$AA,10,0)-'TRADE IN'!$F124=0,"",(VLOOKUP($C115,REV!$C:$AA,10,0)-'TRADE IN'!$F115))</f>
        <v>4899</v>
      </c>
      <c r="M115" s="46">
        <f>IF(VLOOKUP($C115,REV!$C:$AA,11,0)-'TRADE IN'!$F124=0,"",(VLOOKUP($C115,REV!$C:$AA,11,0)-'TRADE IN'!$F115))</f>
        <v>4999</v>
      </c>
      <c r="N115" s="46">
        <f>IF(VLOOKUP($C115,REV!$C:$AA,12,0)-'TRADE IN'!$F124=0,"",(VLOOKUP($C115,REV!$C:$AA,12,0)-'TRADE IN'!$F115))</f>
        <v>4899</v>
      </c>
      <c r="O115" s="46">
        <f>IF(VLOOKUP($C115,REV!$C:$AA,13,0)-'TRADE IN'!$F124=0,"",(VLOOKUP($C115,REV!$C:$AA,13,0)-'TRADE IN'!$F115))</f>
        <v>4799</v>
      </c>
      <c r="P115" s="46">
        <f>IF(VLOOKUP($C115,REV!$C:$AA,14,0)-'TRADE IN'!$F124=0,"",(VLOOKUP($C115,REV!$C:$AA,14,0)-'TRADE IN'!$F115))</f>
        <v>4699</v>
      </c>
      <c r="Q115" s="46">
        <f>IF(VLOOKUP($C115,REV!$C:$AA,15,0)-'TRADE IN'!$F124=0,"",(VLOOKUP($C115,REV!$C:$AA,15,0)-'TRADE IN'!$F115))</f>
        <v>4499</v>
      </c>
      <c r="R115" s="46">
        <f>IF(VLOOKUP($C115,REV!$C:$AA,16,0)-'TRADE IN'!$F124=0,"",(VLOOKUP($C115,REV!$C:$AA,16,0)-'TRADE IN'!$F115))</f>
        <v>4799</v>
      </c>
      <c r="S115" s="46">
        <f>IF(VLOOKUP($C115,REV!$C:$AA,17,0)-'TRADE IN'!$F124=0,"",(VLOOKUP($C115,REV!$C:$AA,17,0)-'TRADE IN'!$F115))</f>
        <v>4699</v>
      </c>
      <c r="T115" s="46">
        <f>IF(VLOOKUP($C115,REV!$C:$AA,18,0)-'TRADE IN'!$F124=0,"",(VLOOKUP($C115,REV!$C:$AA,18,0)-'TRADE IN'!$F115))</f>
        <v>4499</v>
      </c>
      <c r="U115" s="46">
        <f>IF(VLOOKUP($C115,REV!$C:$AA,19,0)-'TRADE IN'!$F124=0,"",(VLOOKUP($C115,REV!$C:$AA,19,0)-'TRADE IN'!$F115))</f>
        <v>4399</v>
      </c>
      <c r="V115" s="46">
        <f>IF(VLOOKUP($C115,REV!$C:$AA,20,0)-'TRADE IN'!$F124=0,"",(VLOOKUP($C115,REV!$C:$AA,20,0)-'TRADE IN'!$F115))</f>
        <v>4399</v>
      </c>
      <c r="W115" s="46">
        <f>IF(VLOOKUP($C115,REV!$C:$AA,21,0)-'TRADE IN'!$F124=0,"",(VLOOKUP($C115,REV!$C:$AA,21,0)-'TRADE IN'!$F115))</f>
        <v>4299</v>
      </c>
      <c r="X115" s="46">
        <f>IF(VLOOKUP($C115,REV!$C:$AA,22,0)-'TRADE IN'!$F124=0,"",(VLOOKUP($C115,REV!$C:$AA,22,0)-'TRADE IN'!$F115))</f>
        <v>4199</v>
      </c>
      <c r="Y115" s="46">
        <f>IF(VLOOKUP($C115,REV!$C:$AA,23,0)-'TRADE IN'!$F124=0,"",(VLOOKUP($C115,REV!$C:$AA,23,0)-'TRADE IN'!$F115))</f>
        <v>3499</v>
      </c>
      <c r="Z115" s="46">
        <f>IF(VLOOKUP($C115,REV!$C:$AA,24,0)-'TRADE IN'!$F124=0,"",(VLOOKUP($C115,REV!$C:$AA,24,0)-'TRADE IN'!$F115))</f>
        <v>3499</v>
      </c>
      <c r="AA115" s="46">
        <f>IF(VLOOKUP($C115,REV!$C:$AA,25,0)-'TRADE IN'!$F124=0,"",(VLOOKUP($C115,REV!$C:$AA,25,0)-'TRADE IN'!$F115))</f>
        <v>3499</v>
      </c>
      <c r="AB115" s="46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tr">
        <f>IF(REV!AW115=0,"",REV!AW115)</f>
        <v>31.03.2026</v>
      </c>
      <c r="AX115" s="159" t="s">
        <v>82</v>
      </c>
    </row>
    <row r="116" spans="1:50" ht="22.5" customHeight="1">
      <c r="A116" s="52" t="s">
        <v>70</v>
      </c>
      <c r="B116" s="41" t="s">
        <v>62</v>
      </c>
      <c r="C116" s="42">
        <v>4015794</v>
      </c>
      <c r="D116" s="43" t="s">
        <v>181</v>
      </c>
      <c r="E116" s="43" t="s">
        <v>185</v>
      </c>
      <c r="F116" s="45"/>
      <c r="G116" s="45"/>
      <c r="H116" s="46"/>
      <c r="I116" s="46"/>
      <c r="J116" s="46">
        <f>IF(VLOOKUP($C116,REV!$C:$AA,8,0)-'TRADE IN'!$F116=0,"",(VLOOKUP($C116,REV!$C:$AA,8,0)-'TRADE IN'!$F116))</f>
        <v>4999</v>
      </c>
      <c r="K116" s="46">
        <f>IF(VLOOKUP($C116,REV!$C:$AA,9,0)-'TRADE IN'!$F116=0,"",(VLOOKUP($C116,REV!$C:$AA,9,0)-'TRADE IN'!$F116))</f>
        <v>4899</v>
      </c>
      <c r="L116" s="46">
        <f>IF(VLOOKUP($C116,REV!$C:$AA,10,0)-'TRADE IN'!$F125=0,"",(VLOOKUP($C116,REV!$C:$AA,10,0)-'TRADE IN'!$F116))</f>
        <v>4899</v>
      </c>
      <c r="M116" s="46">
        <f>IF(VLOOKUP($C116,REV!$C:$AA,11,0)-'TRADE IN'!$F125=0,"",(VLOOKUP($C116,REV!$C:$AA,11,0)-'TRADE IN'!$F116))</f>
        <v>4999</v>
      </c>
      <c r="N116" s="46">
        <f>IF(VLOOKUP($C116,REV!$C:$AA,12,0)-'TRADE IN'!$F125=0,"",(VLOOKUP($C116,REV!$C:$AA,12,0)-'TRADE IN'!$F116))</f>
        <v>4899</v>
      </c>
      <c r="O116" s="46">
        <f>IF(VLOOKUP($C116,REV!$C:$AA,13,0)-'TRADE IN'!$F125=0,"",(VLOOKUP($C116,REV!$C:$AA,13,0)-'TRADE IN'!$F116))</f>
        <v>4799</v>
      </c>
      <c r="P116" s="46">
        <f>IF(VLOOKUP($C116,REV!$C:$AA,14,0)-'TRADE IN'!$F125=0,"",(VLOOKUP($C116,REV!$C:$AA,14,0)-'TRADE IN'!$F116))</f>
        <v>4699</v>
      </c>
      <c r="Q116" s="46">
        <f>IF(VLOOKUP($C116,REV!$C:$AA,15,0)-'TRADE IN'!$F125=0,"",(VLOOKUP($C116,REV!$C:$AA,15,0)-'TRADE IN'!$F116))</f>
        <v>4499</v>
      </c>
      <c r="R116" s="46">
        <f>IF(VLOOKUP($C116,REV!$C:$AA,16,0)-'TRADE IN'!$F125=0,"",(VLOOKUP($C116,REV!$C:$AA,16,0)-'TRADE IN'!$F116))</f>
        <v>4799</v>
      </c>
      <c r="S116" s="46">
        <f>IF(VLOOKUP($C116,REV!$C:$AA,17,0)-'TRADE IN'!$F125=0,"",(VLOOKUP($C116,REV!$C:$AA,17,0)-'TRADE IN'!$F116))</f>
        <v>4699</v>
      </c>
      <c r="T116" s="46">
        <f>IF(VLOOKUP($C116,REV!$C:$AA,18,0)-'TRADE IN'!$F125=0,"",(VLOOKUP($C116,REV!$C:$AA,18,0)-'TRADE IN'!$F116))</f>
        <v>4499</v>
      </c>
      <c r="U116" s="46">
        <f>IF(VLOOKUP($C116,REV!$C:$AA,19,0)-'TRADE IN'!$F125=0,"",(VLOOKUP($C116,REV!$C:$AA,19,0)-'TRADE IN'!$F116))</f>
        <v>4399</v>
      </c>
      <c r="V116" s="46">
        <f>IF(VLOOKUP($C116,REV!$C:$AA,20,0)-'TRADE IN'!$F125=0,"",(VLOOKUP($C116,REV!$C:$AA,20,0)-'TRADE IN'!$F116))</f>
        <v>4399</v>
      </c>
      <c r="W116" s="46">
        <f>IF(VLOOKUP($C116,REV!$C:$AA,21,0)-'TRADE IN'!$F125=0,"",(VLOOKUP($C116,REV!$C:$AA,21,0)-'TRADE IN'!$F116))</f>
        <v>4299</v>
      </c>
      <c r="X116" s="46">
        <f>IF(VLOOKUP($C116,REV!$C:$AA,22,0)-'TRADE IN'!$F125=0,"",(VLOOKUP($C116,REV!$C:$AA,22,0)-'TRADE IN'!$F116))</f>
        <v>4199</v>
      </c>
      <c r="Y116" s="46">
        <f>IF(VLOOKUP($C116,REV!$C:$AA,23,0)-'TRADE IN'!$F125=0,"",(VLOOKUP($C116,REV!$C:$AA,23,0)-'TRADE IN'!$F116))</f>
        <v>3499</v>
      </c>
      <c r="Z116" s="46">
        <f>IF(VLOOKUP($C116,REV!$C:$AA,24,0)-'TRADE IN'!$F125=0,"",(VLOOKUP($C116,REV!$C:$AA,24,0)-'TRADE IN'!$F116))</f>
        <v>3499</v>
      </c>
      <c r="AA116" s="46">
        <f>IF(VLOOKUP($C116,REV!$C:$AA,25,0)-'TRADE IN'!$F125=0,"",(VLOOKUP($C116,REV!$C:$AA,25,0)-'TRADE IN'!$F116))</f>
        <v>3499</v>
      </c>
      <c r="AB116" s="46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tr">
        <f>IF(REV!AW116=0,"",REV!AW116)</f>
        <v>31.03.2026</v>
      </c>
      <c r="AX116" s="159" t="s">
        <v>82</v>
      </c>
    </row>
    <row r="117" spans="1:50" ht="22.5" customHeight="1">
      <c r="A117" s="52" t="s">
        <v>70</v>
      </c>
      <c r="B117" s="41" t="s">
        <v>62</v>
      </c>
      <c r="C117" s="42">
        <v>4015808</v>
      </c>
      <c r="D117" s="43" t="s">
        <v>181</v>
      </c>
      <c r="E117" s="43" t="s">
        <v>186</v>
      </c>
      <c r="F117" s="45"/>
      <c r="G117" s="45"/>
      <c r="H117" s="46"/>
      <c r="I117" s="46"/>
      <c r="J117" s="46">
        <f>IF(VLOOKUP($C117,REV!$C:$AA,8,0)-'TRADE IN'!$F117=0,"",(VLOOKUP($C117,REV!$C:$AA,8,0)-'TRADE IN'!$F117))</f>
        <v>4999</v>
      </c>
      <c r="K117" s="46">
        <f>IF(VLOOKUP($C117,REV!$C:$AA,9,0)-'TRADE IN'!$F117=0,"",(VLOOKUP($C117,REV!$C:$AA,9,0)-'TRADE IN'!$F117))</f>
        <v>4899</v>
      </c>
      <c r="L117" s="46">
        <f>IF(VLOOKUP($C117,REV!$C:$AA,10,0)-'TRADE IN'!$F126=0,"",(VLOOKUP($C117,REV!$C:$AA,10,0)-'TRADE IN'!$F117))</f>
        <v>4899</v>
      </c>
      <c r="M117" s="46">
        <f>IF(VLOOKUP($C117,REV!$C:$AA,11,0)-'TRADE IN'!$F126=0,"",(VLOOKUP($C117,REV!$C:$AA,11,0)-'TRADE IN'!$F117))</f>
        <v>4999</v>
      </c>
      <c r="N117" s="46">
        <f>IF(VLOOKUP($C117,REV!$C:$AA,12,0)-'TRADE IN'!$F126=0,"",(VLOOKUP($C117,REV!$C:$AA,12,0)-'TRADE IN'!$F117))</f>
        <v>4899</v>
      </c>
      <c r="O117" s="46">
        <f>IF(VLOOKUP($C117,REV!$C:$AA,13,0)-'TRADE IN'!$F126=0,"",(VLOOKUP($C117,REV!$C:$AA,13,0)-'TRADE IN'!$F117))</f>
        <v>4799</v>
      </c>
      <c r="P117" s="46">
        <f>IF(VLOOKUP($C117,REV!$C:$AA,14,0)-'TRADE IN'!$F126=0,"",(VLOOKUP($C117,REV!$C:$AA,14,0)-'TRADE IN'!$F117))</f>
        <v>4699</v>
      </c>
      <c r="Q117" s="46">
        <f>IF(VLOOKUP($C117,REV!$C:$AA,15,0)-'TRADE IN'!$F126=0,"",(VLOOKUP($C117,REV!$C:$AA,15,0)-'TRADE IN'!$F117))</f>
        <v>4499</v>
      </c>
      <c r="R117" s="46">
        <f>IF(VLOOKUP($C117,REV!$C:$AA,16,0)-'TRADE IN'!$F126=0,"",(VLOOKUP($C117,REV!$C:$AA,16,0)-'TRADE IN'!$F117))</f>
        <v>4799</v>
      </c>
      <c r="S117" s="46">
        <f>IF(VLOOKUP($C117,REV!$C:$AA,17,0)-'TRADE IN'!$F126=0,"",(VLOOKUP($C117,REV!$C:$AA,17,0)-'TRADE IN'!$F117))</f>
        <v>4699</v>
      </c>
      <c r="T117" s="46">
        <f>IF(VLOOKUP($C117,REV!$C:$AA,18,0)-'TRADE IN'!$F126=0,"",(VLOOKUP($C117,REV!$C:$AA,18,0)-'TRADE IN'!$F117))</f>
        <v>4499</v>
      </c>
      <c r="U117" s="46">
        <f>IF(VLOOKUP($C117,REV!$C:$AA,19,0)-'TRADE IN'!$F126=0,"",(VLOOKUP($C117,REV!$C:$AA,19,0)-'TRADE IN'!$F117))</f>
        <v>4399</v>
      </c>
      <c r="V117" s="46">
        <f>IF(VLOOKUP($C117,REV!$C:$AA,20,0)-'TRADE IN'!$F126=0,"",(VLOOKUP($C117,REV!$C:$AA,20,0)-'TRADE IN'!$F117))</f>
        <v>4399</v>
      </c>
      <c r="W117" s="46">
        <f>IF(VLOOKUP($C117,REV!$C:$AA,21,0)-'TRADE IN'!$F126=0,"",(VLOOKUP($C117,REV!$C:$AA,21,0)-'TRADE IN'!$F117))</f>
        <v>4299</v>
      </c>
      <c r="X117" s="46">
        <f>IF(VLOOKUP($C117,REV!$C:$AA,22,0)-'TRADE IN'!$F126=0,"",(VLOOKUP($C117,REV!$C:$AA,22,0)-'TRADE IN'!$F117))</f>
        <v>4199</v>
      </c>
      <c r="Y117" s="46">
        <f>IF(VLOOKUP($C117,REV!$C:$AA,23,0)-'TRADE IN'!$F126=0,"",(VLOOKUP($C117,REV!$C:$AA,23,0)-'TRADE IN'!$F117))</f>
        <v>3499</v>
      </c>
      <c r="Z117" s="46">
        <f>IF(VLOOKUP($C117,REV!$C:$AA,24,0)-'TRADE IN'!$F126=0,"",(VLOOKUP($C117,REV!$C:$AA,24,0)-'TRADE IN'!$F117))</f>
        <v>3499</v>
      </c>
      <c r="AA117" s="46">
        <f>IF(VLOOKUP($C117,REV!$C:$AA,25,0)-'TRADE IN'!$F126=0,"",(VLOOKUP($C117,REV!$C:$AA,25,0)-'TRADE IN'!$F117))</f>
        <v>3499</v>
      </c>
      <c r="AB117" s="46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tr">
        <f>IF(REV!AW117=0,"",REV!AW117)</f>
        <v>31.03.2026</v>
      </c>
      <c r="AX117" s="159" t="s">
        <v>82</v>
      </c>
    </row>
    <row r="118" spans="1:50" ht="22.5" customHeight="1">
      <c r="A118" s="52" t="s">
        <v>70</v>
      </c>
      <c r="B118" s="41" t="s">
        <v>62</v>
      </c>
      <c r="C118" s="42">
        <v>4015743</v>
      </c>
      <c r="D118" s="43" t="s">
        <v>187</v>
      </c>
      <c r="E118" s="43" t="s">
        <v>188</v>
      </c>
      <c r="F118" s="45"/>
      <c r="G118" s="45"/>
      <c r="H118" s="46"/>
      <c r="I118" s="46"/>
      <c r="J118" s="46">
        <f>IF(VLOOKUP($C118,REV!$C:$AA,8,0)-'TRADE IN'!$F118=0,"",(VLOOKUP($C118,REV!$C:$AA,8,0)-'TRADE IN'!$F118))</f>
        <v>5199</v>
      </c>
      <c r="K118" s="46">
        <f>IF(VLOOKUP($C118,REV!$C:$AA,9,0)-'TRADE IN'!$F118=0,"",(VLOOKUP($C118,REV!$C:$AA,9,0)-'TRADE IN'!$F118))</f>
        <v>5199</v>
      </c>
      <c r="L118" s="46">
        <f>IF(VLOOKUP($C118,REV!$C:$AA,10,0)-'TRADE IN'!$F127=0,"",(VLOOKUP($C118,REV!$C:$AA,10,0)-'TRADE IN'!$F118))</f>
        <v>5199</v>
      </c>
      <c r="M118" s="46">
        <f>IF(VLOOKUP($C118,REV!$C:$AA,11,0)-'TRADE IN'!$F127=0,"",(VLOOKUP($C118,REV!$C:$AA,11,0)-'TRADE IN'!$F118))</f>
        <v>5199</v>
      </c>
      <c r="N118" s="46">
        <f>IF(VLOOKUP($C118,REV!$C:$AA,12,0)-'TRADE IN'!$F127=0,"",(VLOOKUP($C118,REV!$C:$AA,12,0)-'TRADE IN'!$F118))</f>
        <v>5199</v>
      </c>
      <c r="O118" s="46">
        <f>IF(VLOOKUP($C118,REV!$C:$AA,13,0)-'TRADE IN'!$F127=0,"",(VLOOKUP($C118,REV!$C:$AA,13,0)-'TRADE IN'!$F118))</f>
        <v>4999</v>
      </c>
      <c r="P118" s="46">
        <f>IF(VLOOKUP($C118,REV!$C:$AA,14,0)-'TRADE IN'!$F127=0,"",(VLOOKUP($C118,REV!$C:$AA,14,0)-'TRADE IN'!$F118))</f>
        <v>4899</v>
      </c>
      <c r="Q118" s="46">
        <f>IF(VLOOKUP($C118,REV!$C:$AA,15,0)-'TRADE IN'!$F127=0,"",(VLOOKUP($C118,REV!$C:$AA,15,0)-'TRADE IN'!$F118))</f>
        <v>3999</v>
      </c>
      <c r="R118" s="46">
        <f>IF(VLOOKUP($C118,REV!$C:$AA,16,0)-'TRADE IN'!$F127=0,"",(VLOOKUP($C118,REV!$C:$AA,16,0)-'TRADE IN'!$F118))</f>
        <v>4999</v>
      </c>
      <c r="S118" s="46">
        <f>IF(VLOOKUP($C118,REV!$C:$AA,17,0)-'TRADE IN'!$F127=0,"",(VLOOKUP($C118,REV!$C:$AA,17,0)-'TRADE IN'!$F118))</f>
        <v>4899</v>
      </c>
      <c r="T118" s="46">
        <f>IF(VLOOKUP($C118,REV!$C:$AA,18,0)-'TRADE IN'!$F127=0,"",(VLOOKUP($C118,REV!$C:$AA,18,0)-'TRADE IN'!$F118))</f>
        <v>3999</v>
      </c>
      <c r="U118" s="46">
        <f>IF(VLOOKUP($C118,REV!$C:$AA,19,0)-'TRADE IN'!$F127=0,"",(VLOOKUP($C118,REV!$C:$AA,19,0)-'TRADE IN'!$F118))</f>
        <v>3999</v>
      </c>
      <c r="V118" s="46">
        <f>IF(VLOOKUP($C118,REV!$C:$AA,20,0)-'TRADE IN'!$F127=0,"",(VLOOKUP($C118,REV!$C:$AA,20,0)-'TRADE IN'!$F118))</f>
        <v>3999</v>
      </c>
      <c r="W118" s="46">
        <f>IF(VLOOKUP($C118,REV!$C:$AA,21,0)-'TRADE IN'!$F127=0,"",(VLOOKUP($C118,REV!$C:$AA,21,0)-'TRADE IN'!$F118))</f>
        <v>3999</v>
      </c>
      <c r="X118" s="46">
        <f>IF(VLOOKUP($C118,REV!$C:$AA,22,0)-'TRADE IN'!$F127=0,"",(VLOOKUP($C118,REV!$C:$AA,22,0)-'TRADE IN'!$F118))</f>
        <v>3899</v>
      </c>
      <c r="Y118" s="46">
        <f>IF(VLOOKUP($C118,REV!$C:$AA,23,0)-'TRADE IN'!$F127=0,"",(VLOOKUP($C118,REV!$C:$AA,23,0)-'TRADE IN'!$F118))</f>
        <v>3799</v>
      </c>
      <c r="Z118" s="46">
        <f>IF(VLOOKUP($C118,REV!$C:$AA,24,0)-'TRADE IN'!$F127=0,"",(VLOOKUP($C118,REV!$C:$AA,24,0)-'TRADE IN'!$F118))</f>
        <v>3799</v>
      </c>
      <c r="AA118" s="46">
        <f>IF(VLOOKUP($C118,REV!$C:$AA,25,0)-'TRADE IN'!$F127=0,"",(VLOOKUP($C118,REV!$C:$AA,25,0)-'TRADE IN'!$F118))</f>
        <v>3799</v>
      </c>
      <c r="AB118" s="46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tr">
        <f>IF(REV!AW118=0,"",REV!AW118)</f>
        <v>31.03.2026</v>
      </c>
      <c r="AX118" s="159" t="s">
        <v>82</v>
      </c>
    </row>
    <row r="119" spans="1:50" ht="22.5" customHeight="1">
      <c r="A119" s="52" t="s">
        <v>70</v>
      </c>
      <c r="B119" s="41" t="s">
        <v>62</v>
      </c>
      <c r="C119" s="42">
        <v>4015770</v>
      </c>
      <c r="D119" s="43" t="s">
        <v>187</v>
      </c>
      <c r="E119" s="43" t="s">
        <v>189</v>
      </c>
      <c r="F119" s="45"/>
      <c r="G119" s="45"/>
      <c r="H119" s="46"/>
      <c r="I119" s="46"/>
      <c r="J119" s="46">
        <f>IF(VLOOKUP($C119,REV!$C:$AA,8,0)-'TRADE IN'!$F119=0,"",(VLOOKUP($C119,REV!$C:$AA,8,0)-'TRADE IN'!$F119))</f>
        <v>5199</v>
      </c>
      <c r="K119" s="46">
        <f>IF(VLOOKUP($C119,REV!$C:$AA,9,0)-'TRADE IN'!$F119=0,"",(VLOOKUP($C119,REV!$C:$AA,9,0)-'TRADE IN'!$F119))</f>
        <v>5199</v>
      </c>
      <c r="L119" s="46">
        <f>IF(VLOOKUP($C119,REV!$C:$AA,10,0)-'TRADE IN'!$F128=0,"",(VLOOKUP($C119,REV!$C:$AA,10,0)-'TRADE IN'!$F119))</f>
        <v>5199</v>
      </c>
      <c r="M119" s="46">
        <f>IF(VLOOKUP($C119,REV!$C:$AA,11,0)-'TRADE IN'!$F128=0,"",(VLOOKUP($C119,REV!$C:$AA,11,0)-'TRADE IN'!$F119))</f>
        <v>5199</v>
      </c>
      <c r="N119" s="46">
        <f>IF(VLOOKUP($C119,REV!$C:$AA,12,0)-'TRADE IN'!$F128=0,"",(VLOOKUP($C119,REV!$C:$AA,12,0)-'TRADE IN'!$F119))</f>
        <v>5199</v>
      </c>
      <c r="O119" s="46">
        <f>IF(VLOOKUP($C119,REV!$C:$AA,13,0)-'TRADE IN'!$F128=0,"",(VLOOKUP($C119,REV!$C:$AA,13,0)-'TRADE IN'!$F119))</f>
        <v>4999</v>
      </c>
      <c r="P119" s="46">
        <f>IF(VLOOKUP($C119,REV!$C:$AA,14,0)-'TRADE IN'!$F128=0,"",(VLOOKUP($C119,REV!$C:$AA,14,0)-'TRADE IN'!$F119))</f>
        <v>4899</v>
      </c>
      <c r="Q119" s="46">
        <f>IF(VLOOKUP($C119,REV!$C:$AA,15,0)-'TRADE IN'!$F128=0,"",(VLOOKUP($C119,REV!$C:$AA,15,0)-'TRADE IN'!$F119))</f>
        <v>3999</v>
      </c>
      <c r="R119" s="46">
        <f>IF(VLOOKUP($C119,REV!$C:$AA,16,0)-'TRADE IN'!$F128=0,"",(VLOOKUP($C119,REV!$C:$AA,16,0)-'TRADE IN'!$F119))</f>
        <v>4999</v>
      </c>
      <c r="S119" s="46">
        <f>IF(VLOOKUP($C119,REV!$C:$AA,17,0)-'TRADE IN'!$F128=0,"",(VLOOKUP($C119,REV!$C:$AA,17,0)-'TRADE IN'!$F119))</f>
        <v>4899</v>
      </c>
      <c r="T119" s="46">
        <f>IF(VLOOKUP($C119,REV!$C:$AA,18,0)-'TRADE IN'!$F128=0,"",(VLOOKUP($C119,REV!$C:$AA,18,0)-'TRADE IN'!$F119))</f>
        <v>3999</v>
      </c>
      <c r="U119" s="46">
        <f>IF(VLOOKUP($C119,REV!$C:$AA,19,0)-'TRADE IN'!$F128=0,"",(VLOOKUP($C119,REV!$C:$AA,19,0)-'TRADE IN'!$F119))</f>
        <v>3999</v>
      </c>
      <c r="V119" s="46">
        <f>IF(VLOOKUP($C119,REV!$C:$AA,20,0)-'TRADE IN'!$F128=0,"",(VLOOKUP($C119,REV!$C:$AA,20,0)-'TRADE IN'!$F119))</f>
        <v>3999</v>
      </c>
      <c r="W119" s="46">
        <f>IF(VLOOKUP($C119,REV!$C:$AA,21,0)-'TRADE IN'!$F128=0,"",(VLOOKUP($C119,REV!$C:$AA,21,0)-'TRADE IN'!$F119))</f>
        <v>3999</v>
      </c>
      <c r="X119" s="46">
        <f>IF(VLOOKUP($C119,REV!$C:$AA,22,0)-'TRADE IN'!$F128=0,"",(VLOOKUP($C119,REV!$C:$AA,22,0)-'TRADE IN'!$F119))</f>
        <v>3899</v>
      </c>
      <c r="Y119" s="46">
        <f>IF(VLOOKUP($C119,REV!$C:$AA,23,0)-'TRADE IN'!$F128=0,"",(VLOOKUP($C119,REV!$C:$AA,23,0)-'TRADE IN'!$F119))</f>
        <v>3799</v>
      </c>
      <c r="Z119" s="46">
        <f>IF(VLOOKUP($C119,REV!$C:$AA,24,0)-'TRADE IN'!$F128=0,"",(VLOOKUP($C119,REV!$C:$AA,24,0)-'TRADE IN'!$F119))</f>
        <v>3799</v>
      </c>
      <c r="AA119" s="46">
        <f>IF(VLOOKUP($C119,REV!$C:$AA,25,0)-'TRADE IN'!$F128=0,"",(VLOOKUP($C119,REV!$C:$AA,25,0)-'TRADE IN'!$F119))</f>
        <v>3799</v>
      </c>
      <c r="AB119" s="46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tr">
        <f>IF(REV!AW119=0,"",REV!AW119)</f>
        <v>31.03.2026</v>
      </c>
      <c r="AX119" s="159" t="s">
        <v>82</v>
      </c>
    </row>
    <row r="120" spans="1:50" ht="22.5" customHeight="1">
      <c r="A120" s="52" t="s">
        <v>70</v>
      </c>
      <c r="B120" s="41" t="s">
        <v>62</v>
      </c>
      <c r="C120" s="42">
        <v>4015783</v>
      </c>
      <c r="D120" s="43" t="s">
        <v>187</v>
      </c>
      <c r="E120" s="43" t="s">
        <v>190</v>
      </c>
      <c r="F120" s="45"/>
      <c r="G120" s="45"/>
      <c r="H120" s="46"/>
      <c r="I120" s="46"/>
      <c r="J120" s="46">
        <f>IF(VLOOKUP($C120,REV!$C:$AA,8,0)-'TRADE IN'!$F120=0,"",(VLOOKUP($C120,REV!$C:$AA,8,0)-'TRADE IN'!$F120))</f>
        <v>5199</v>
      </c>
      <c r="K120" s="46">
        <f>IF(VLOOKUP($C120,REV!$C:$AA,9,0)-'TRADE IN'!$F120=0,"",(VLOOKUP($C120,REV!$C:$AA,9,0)-'TRADE IN'!$F120))</f>
        <v>5199</v>
      </c>
      <c r="L120" s="46">
        <f>IF(VLOOKUP($C120,REV!$C:$AA,10,0)-'TRADE IN'!$F129=0,"",(VLOOKUP($C120,REV!$C:$AA,10,0)-'TRADE IN'!$F120))</f>
        <v>5199</v>
      </c>
      <c r="M120" s="46">
        <f>IF(VLOOKUP($C120,REV!$C:$AA,11,0)-'TRADE IN'!$F129=0,"",(VLOOKUP($C120,REV!$C:$AA,11,0)-'TRADE IN'!$F120))</f>
        <v>5199</v>
      </c>
      <c r="N120" s="46">
        <f>IF(VLOOKUP($C120,REV!$C:$AA,12,0)-'TRADE IN'!$F129=0,"",(VLOOKUP($C120,REV!$C:$AA,12,0)-'TRADE IN'!$F120))</f>
        <v>5199</v>
      </c>
      <c r="O120" s="46">
        <f>IF(VLOOKUP($C120,REV!$C:$AA,13,0)-'TRADE IN'!$F129=0,"",(VLOOKUP($C120,REV!$C:$AA,13,0)-'TRADE IN'!$F120))</f>
        <v>4999</v>
      </c>
      <c r="P120" s="46">
        <f>IF(VLOOKUP($C120,REV!$C:$AA,14,0)-'TRADE IN'!$F129=0,"",(VLOOKUP($C120,REV!$C:$AA,14,0)-'TRADE IN'!$F120))</f>
        <v>4899</v>
      </c>
      <c r="Q120" s="46">
        <f>IF(VLOOKUP($C120,REV!$C:$AA,15,0)-'TRADE IN'!$F129=0,"",(VLOOKUP($C120,REV!$C:$AA,15,0)-'TRADE IN'!$F120))</f>
        <v>3999</v>
      </c>
      <c r="R120" s="46">
        <f>IF(VLOOKUP($C120,REV!$C:$AA,16,0)-'TRADE IN'!$F129=0,"",(VLOOKUP($C120,REV!$C:$AA,16,0)-'TRADE IN'!$F120))</f>
        <v>4999</v>
      </c>
      <c r="S120" s="46">
        <f>IF(VLOOKUP($C120,REV!$C:$AA,17,0)-'TRADE IN'!$F129=0,"",(VLOOKUP($C120,REV!$C:$AA,17,0)-'TRADE IN'!$F120))</f>
        <v>4899</v>
      </c>
      <c r="T120" s="46">
        <f>IF(VLOOKUP($C120,REV!$C:$AA,18,0)-'TRADE IN'!$F129=0,"",(VLOOKUP($C120,REV!$C:$AA,18,0)-'TRADE IN'!$F120))</f>
        <v>3999</v>
      </c>
      <c r="U120" s="46">
        <f>IF(VLOOKUP($C120,REV!$C:$AA,19,0)-'TRADE IN'!$F129=0,"",(VLOOKUP($C120,REV!$C:$AA,19,0)-'TRADE IN'!$F120))</f>
        <v>3999</v>
      </c>
      <c r="V120" s="46">
        <f>IF(VLOOKUP($C120,REV!$C:$AA,20,0)-'TRADE IN'!$F129=0,"",(VLOOKUP($C120,REV!$C:$AA,20,0)-'TRADE IN'!$F120))</f>
        <v>3999</v>
      </c>
      <c r="W120" s="46">
        <f>IF(VLOOKUP($C120,REV!$C:$AA,21,0)-'TRADE IN'!$F129=0,"",(VLOOKUP($C120,REV!$C:$AA,21,0)-'TRADE IN'!$F120))</f>
        <v>3999</v>
      </c>
      <c r="X120" s="46">
        <f>IF(VLOOKUP($C120,REV!$C:$AA,22,0)-'TRADE IN'!$F129=0,"",(VLOOKUP($C120,REV!$C:$AA,22,0)-'TRADE IN'!$F120))</f>
        <v>3899</v>
      </c>
      <c r="Y120" s="46">
        <f>IF(VLOOKUP($C120,REV!$C:$AA,23,0)-'TRADE IN'!$F129=0,"",(VLOOKUP($C120,REV!$C:$AA,23,0)-'TRADE IN'!$F120))</f>
        <v>3799</v>
      </c>
      <c r="Z120" s="46">
        <f>IF(VLOOKUP($C120,REV!$C:$AA,24,0)-'TRADE IN'!$F129=0,"",(VLOOKUP($C120,REV!$C:$AA,24,0)-'TRADE IN'!$F120))</f>
        <v>3799</v>
      </c>
      <c r="AA120" s="46">
        <f>IF(VLOOKUP($C120,REV!$C:$AA,25,0)-'TRADE IN'!$F129=0,"",(VLOOKUP($C120,REV!$C:$AA,25,0)-'TRADE IN'!$F120))</f>
        <v>3799</v>
      </c>
      <c r="AB120" s="46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tr">
        <f>IF(REV!AW120=0,"",REV!AW120)</f>
        <v>31.03.2026</v>
      </c>
      <c r="AX120" s="159" t="s">
        <v>82</v>
      </c>
    </row>
    <row r="121" spans="1:50" ht="22.5" customHeight="1">
      <c r="A121" s="52" t="s">
        <v>70</v>
      </c>
      <c r="B121" s="41" t="s">
        <v>62</v>
      </c>
      <c r="C121" s="42">
        <v>4015800</v>
      </c>
      <c r="D121" s="43" t="s">
        <v>187</v>
      </c>
      <c r="E121" s="43" t="s">
        <v>191</v>
      </c>
      <c r="F121" s="45"/>
      <c r="G121" s="45"/>
      <c r="H121" s="46"/>
      <c r="I121" s="46"/>
      <c r="J121" s="46">
        <f>IF(VLOOKUP($C121,REV!$C:$AA,8,0)-'TRADE IN'!$F121=0,"",(VLOOKUP($C121,REV!$C:$AA,8,0)-'TRADE IN'!$F121))</f>
        <v>5199</v>
      </c>
      <c r="K121" s="46">
        <f>IF(VLOOKUP($C121,REV!$C:$AA,9,0)-'TRADE IN'!$F121=0,"",(VLOOKUP($C121,REV!$C:$AA,9,0)-'TRADE IN'!$F121))</f>
        <v>5199</v>
      </c>
      <c r="L121" s="46">
        <f>IF(VLOOKUP($C121,REV!$C:$AA,10,0)-'TRADE IN'!$F130=0,"",(VLOOKUP($C121,REV!$C:$AA,10,0)-'TRADE IN'!$F121))</f>
        <v>5199</v>
      </c>
      <c r="M121" s="46">
        <f>IF(VLOOKUP($C121,REV!$C:$AA,11,0)-'TRADE IN'!$F130=0,"",(VLOOKUP($C121,REV!$C:$AA,11,0)-'TRADE IN'!$F121))</f>
        <v>5199</v>
      </c>
      <c r="N121" s="46">
        <f>IF(VLOOKUP($C121,REV!$C:$AA,12,0)-'TRADE IN'!$F130=0,"",(VLOOKUP($C121,REV!$C:$AA,12,0)-'TRADE IN'!$F121))</f>
        <v>5199</v>
      </c>
      <c r="O121" s="46">
        <f>IF(VLOOKUP($C121,REV!$C:$AA,13,0)-'TRADE IN'!$F130=0,"",(VLOOKUP($C121,REV!$C:$AA,13,0)-'TRADE IN'!$F121))</f>
        <v>4999</v>
      </c>
      <c r="P121" s="46">
        <f>IF(VLOOKUP($C121,REV!$C:$AA,14,0)-'TRADE IN'!$F130=0,"",(VLOOKUP($C121,REV!$C:$AA,14,0)-'TRADE IN'!$F121))</f>
        <v>4899</v>
      </c>
      <c r="Q121" s="46">
        <f>IF(VLOOKUP($C121,REV!$C:$AA,15,0)-'TRADE IN'!$F130=0,"",(VLOOKUP($C121,REV!$C:$AA,15,0)-'TRADE IN'!$F121))</f>
        <v>3999</v>
      </c>
      <c r="R121" s="46">
        <f>IF(VLOOKUP($C121,REV!$C:$AA,16,0)-'TRADE IN'!$F130=0,"",(VLOOKUP($C121,REV!$C:$AA,16,0)-'TRADE IN'!$F121))</f>
        <v>4999</v>
      </c>
      <c r="S121" s="46">
        <f>IF(VLOOKUP($C121,REV!$C:$AA,17,0)-'TRADE IN'!$F130=0,"",(VLOOKUP($C121,REV!$C:$AA,17,0)-'TRADE IN'!$F121))</f>
        <v>4899</v>
      </c>
      <c r="T121" s="46">
        <f>IF(VLOOKUP($C121,REV!$C:$AA,18,0)-'TRADE IN'!$F130=0,"",(VLOOKUP($C121,REV!$C:$AA,18,0)-'TRADE IN'!$F121))</f>
        <v>3999</v>
      </c>
      <c r="U121" s="46">
        <f>IF(VLOOKUP($C121,REV!$C:$AA,19,0)-'TRADE IN'!$F130=0,"",(VLOOKUP($C121,REV!$C:$AA,19,0)-'TRADE IN'!$F121))</f>
        <v>3999</v>
      </c>
      <c r="V121" s="46">
        <f>IF(VLOOKUP($C121,REV!$C:$AA,20,0)-'TRADE IN'!$F130=0,"",(VLOOKUP($C121,REV!$C:$AA,20,0)-'TRADE IN'!$F121))</f>
        <v>3999</v>
      </c>
      <c r="W121" s="46">
        <f>IF(VLOOKUP($C121,REV!$C:$AA,21,0)-'TRADE IN'!$F130=0,"",(VLOOKUP($C121,REV!$C:$AA,21,0)-'TRADE IN'!$F121))</f>
        <v>3999</v>
      </c>
      <c r="X121" s="46">
        <f>IF(VLOOKUP($C121,REV!$C:$AA,22,0)-'TRADE IN'!$F130=0,"",(VLOOKUP($C121,REV!$C:$AA,22,0)-'TRADE IN'!$F121))</f>
        <v>3899</v>
      </c>
      <c r="Y121" s="46">
        <f>IF(VLOOKUP($C121,REV!$C:$AA,23,0)-'TRADE IN'!$F130=0,"",(VLOOKUP($C121,REV!$C:$AA,23,0)-'TRADE IN'!$F121))</f>
        <v>3799</v>
      </c>
      <c r="Z121" s="46">
        <f>IF(VLOOKUP($C121,REV!$C:$AA,24,0)-'TRADE IN'!$F130=0,"",(VLOOKUP($C121,REV!$C:$AA,24,0)-'TRADE IN'!$F121))</f>
        <v>3799</v>
      </c>
      <c r="AA121" s="46">
        <f>IF(VLOOKUP($C121,REV!$C:$AA,25,0)-'TRADE IN'!$F130=0,"",(VLOOKUP($C121,REV!$C:$AA,25,0)-'TRADE IN'!$F121))</f>
        <v>3799</v>
      </c>
      <c r="AB121" s="46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tr">
        <f>IF(REV!AW121=0,"",REV!AW121)</f>
        <v>31.03.2026</v>
      </c>
      <c r="AX121" s="159" t="s">
        <v>82</v>
      </c>
    </row>
    <row r="122" spans="1:50" ht="22.5" customHeight="1">
      <c r="A122" s="52" t="s">
        <v>70</v>
      </c>
      <c r="B122" s="41" t="s">
        <v>62</v>
      </c>
      <c r="C122" s="42">
        <v>4015960</v>
      </c>
      <c r="D122" s="43" t="s">
        <v>187</v>
      </c>
      <c r="E122" s="43" t="s">
        <v>192</v>
      </c>
      <c r="F122" s="45"/>
      <c r="G122" s="45"/>
      <c r="H122" s="46"/>
      <c r="I122" s="46"/>
      <c r="J122" s="46">
        <f>IF(VLOOKUP($C122,REV!$C:$AA,8,0)-'TRADE IN'!$F122=0,"",(VLOOKUP($C122,REV!$C:$AA,8,0)-'TRADE IN'!$F122))</f>
        <v>5199</v>
      </c>
      <c r="K122" s="46">
        <f>IF(VLOOKUP($C122,REV!$C:$AA,9,0)-'TRADE IN'!$F122=0,"",(VLOOKUP($C122,REV!$C:$AA,9,0)-'TRADE IN'!$F122))</f>
        <v>5199</v>
      </c>
      <c r="L122" s="46">
        <f>IF(VLOOKUP($C122,REV!$C:$AA,10,0)-'TRADE IN'!$F131=0,"",(VLOOKUP($C122,REV!$C:$AA,10,0)-'TRADE IN'!$F122))</f>
        <v>5199</v>
      </c>
      <c r="M122" s="46">
        <f>IF(VLOOKUP($C122,REV!$C:$AA,11,0)-'TRADE IN'!$F131=0,"",(VLOOKUP($C122,REV!$C:$AA,11,0)-'TRADE IN'!$F122))</f>
        <v>5199</v>
      </c>
      <c r="N122" s="46">
        <f>IF(VLOOKUP($C122,REV!$C:$AA,12,0)-'TRADE IN'!$F131=0,"",(VLOOKUP($C122,REV!$C:$AA,12,0)-'TRADE IN'!$F122))</f>
        <v>5199</v>
      </c>
      <c r="O122" s="46">
        <f>IF(VLOOKUP($C122,REV!$C:$AA,13,0)-'TRADE IN'!$F131=0,"",(VLOOKUP($C122,REV!$C:$AA,13,0)-'TRADE IN'!$F122))</f>
        <v>4999</v>
      </c>
      <c r="P122" s="46">
        <f>IF(VLOOKUP($C122,REV!$C:$AA,14,0)-'TRADE IN'!$F131=0,"",(VLOOKUP($C122,REV!$C:$AA,14,0)-'TRADE IN'!$F122))</f>
        <v>4899</v>
      </c>
      <c r="Q122" s="46">
        <f>IF(VLOOKUP($C122,REV!$C:$AA,15,0)-'TRADE IN'!$F131=0,"",(VLOOKUP($C122,REV!$C:$AA,15,0)-'TRADE IN'!$F122))</f>
        <v>3999</v>
      </c>
      <c r="R122" s="46">
        <f>IF(VLOOKUP($C122,REV!$C:$AA,16,0)-'TRADE IN'!$F131=0,"",(VLOOKUP($C122,REV!$C:$AA,16,0)-'TRADE IN'!$F122))</f>
        <v>4999</v>
      </c>
      <c r="S122" s="46">
        <f>IF(VLOOKUP($C122,REV!$C:$AA,17,0)-'TRADE IN'!$F131=0,"",(VLOOKUP($C122,REV!$C:$AA,17,0)-'TRADE IN'!$F122))</f>
        <v>4899</v>
      </c>
      <c r="T122" s="46">
        <f>IF(VLOOKUP($C122,REV!$C:$AA,18,0)-'TRADE IN'!$F131=0,"",(VLOOKUP($C122,REV!$C:$AA,18,0)-'TRADE IN'!$F122))</f>
        <v>3999</v>
      </c>
      <c r="U122" s="46">
        <f>IF(VLOOKUP($C122,REV!$C:$AA,19,0)-'TRADE IN'!$F131=0,"",(VLOOKUP($C122,REV!$C:$AA,19,0)-'TRADE IN'!$F122))</f>
        <v>3999</v>
      </c>
      <c r="V122" s="46">
        <f>IF(VLOOKUP($C122,REV!$C:$AA,20,0)-'TRADE IN'!$F131=0,"",(VLOOKUP($C122,REV!$C:$AA,20,0)-'TRADE IN'!$F122))</f>
        <v>3999</v>
      </c>
      <c r="W122" s="46">
        <f>IF(VLOOKUP($C122,REV!$C:$AA,21,0)-'TRADE IN'!$F131=0,"",(VLOOKUP($C122,REV!$C:$AA,21,0)-'TRADE IN'!$F122))</f>
        <v>3999</v>
      </c>
      <c r="X122" s="46">
        <f>IF(VLOOKUP($C122,REV!$C:$AA,22,0)-'TRADE IN'!$F131=0,"",(VLOOKUP($C122,REV!$C:$AA,22,0)-'TRADE IN'!$F122))</f>
        <v>3899</v>
      </c>
      <c r="Y122" s="46">
        <f>IF(VLOOKUP($C122,REV!$C:$AA,23,0)-'TRADE IN'!$F131=0,"",(VLOOKUP($C122,REV!$C:$AA,23,0)-'TRADE IN'!$F122))</f>
        <v>3799</v>
      </c>
      <c r="Z122" s="46">
        <f>IF(VLOOKUP($C122,REV!$C:$AA,24,0)-'TRADE IN'!$F131=0,"",(VLOOKUP($C122,REV!$C:$AA,24,0)-'TRADE IN'!$F122))</f>
        <v>3799</v>
      </c>
      <c r="AA122" s="46">
        <f>IF(VLOOKUP($C122,REV!$C:$AA,25,0)-'TRADE IN'!$F131=0,"",(VLOOKUP($C122,REV!$C:$AA,25,0)-'TRADE IN'!$F122))</f>
        <v>3799</v>
      </c>
      <c r="AB122" s="46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tr">
        <f>IF(REV!AW122=0,"",REV!AW122)</f>
        <v>31.03.2026</v>
      </c>
      <c r="AX122" s="159" t="s">
        <v>82</v>
      </c>
    </row>
    <row r="123" spans="1:50" ht="22.5" customHeight="1">
      <c r="A123" s="52" t="s">
        <v>70</v>
      </c>
      <c r="B123" s="41" t="s">
        <v>62</v>
      </c>
      <c r="C123" s="42">
        <v>4015961</v>
      </c>
      <c r="D123" s="43" t="s">
        <v>187</v>
      </c>
      <c r="E123" s="43" t="s">
        <v>193</v>
      </c>
      <c r="F123" s="45"/>
      <c r="G123" s="45"/>
      <c r="H123" s="46"/>
      <c r="I123" s="46"/>
      <c r="J123" s="46">
        <f>IF(VLOOKUP($C123,REV!$C:$AA,8,0)-'TRADE IN'!$F123=0,"",(VLOOKUP($C123,REV!$C:$AA,8,0)-'TRADE IN'!$F123))</f>
        <v>5199</v>
      </c>
      <c r="K123" s="46">
        <f>IF(VLOOKUP($C123,REV!$C:$AA,9,0)-'TRADE IN'!$F123=0,"",(VLOOKUP($C123,REV!$C:$AA,9,0)-'TRADE IN'!$F123))</f>
        <v>5199</v>
      </c>
      <c r="L123" s="46">
        <f>IF(VLOOKUP($C123,REV!$C:$AA,10,0)-'TRADE IN'!$F132=0,"",(VLOOKUP($C123,REV!$C:$AA,10,0)-'TRADE IN'!$F123))</f>
        <v>5199</v>
      </c>
      <c r="M123" s="46">
        <f>IF(VLOOKUP($C123,REV!$C:$AA,11,0)-'TRADE IN'!$F132=0,"",(VLOOKUP($C123,REV!$C:$AA,11,0)-'TRADE IN'!$F123))</f>
        <v>5199</v>
      </c>
      <c r="N123" s="46">
        <f>IF(VLOOKUP($C123,REV!$C:$AA,12,0)-'TRADE IN'!$F132=0,"",(VLOOKUP($C123,REV!$C:$AA,12,0)-'TRADE IN'!$F123))</f>
        <v>5199</v>
      </c>
      <c r="O123" s="46">
        <f>IF(VLOOKUP($C123,REV!$C:$AA,13,0)-'TRADE IN'!$F132=0,"",(VLOOKUP($C123,REV!$C:$AA,13,0)-'TRADE IN'!$F123))</f>
        <v>4999</v>
      </c>
      <c r="P123" s="46">
        <f>IF(VLOOKUP($C123,REV!$C:$AA,14,0)-'TRADE IN'!$F132=0,"",(VLOOKUP($C123,REV!$C:$AA,14,0)-'TRADE IN'!$F123))</f>
        <v>4899</v>
      </c>
      <c r="Q123" s="46">
        <f>IF(VLOOKUP($C123,REV!$C:$AA,15,0)-'TRADE IN'!$F132=0,"",(VLOOKUP($C123,REV!$C:$AA,15,0)-'TRADE IN'!$F123))</f>
        <v>3999</v>
      </c>
      <c r="R123" s="46">
        <f>IF(VLOOKUP($C123,REV!$C:$AA,16,0)-'TRADE IN'!$F132=0,"",(VLOOKUP($C123,REV!$C:$AA,16,0)-'TRADE IN'!$F123))</f>
        <v>4999</v>
      </c>
      <c r="S123" s="46">
        <f>IF(VLOOKUP($C123,REV!$C:$AA,17,0)-'TRADE IN'!$F132=0,"",(VLOOKUP($C123,REV!$C:$AA,17,0)-'TRADE IN'!$F123))</f>
        <v>4899</v>
      </c>
      <c r="T123" s="46">
        <f>IF(VLOOKUP($C123,REV!$C:$AA,18,0)-'TRADE IN'!$F132=0,"",(VLOOKUP($C123,REV!$C:$AA,18,0)-'TRADE IN'!$F123))</f>
        <v>3999</v>
      </c>
      <c r="U123" s="46">
        <f>IF(VLOOKUP($C123,REV!$C:$AA,19,0)-'TRADE IN'!$F132=0,"",(VLOOKUP($C123,REV!$C:$AA,19,0)-'TRADE IN'!$F123))</f>
        <v>3999</v>
      </c>
      <c r="V123" s="46">
        <f>IF(VLOOKUP($C123,REV!$C:$AA,20,0)-'TRADE IN'!$F132=0,"",(VLOOKUP($C123,REV!$C:$AA,20,0)-'TRADE IN'!$F123))</f>
        <v>3999</v>
      </c>
      <c r="W123" s="46">
        <f>IF(VLOOKUP($C123,REV!$C:$AA,21,0)-'TRADE IN'!$F132=0,"",(VLOOKUP($C123,REV!$C:$AA,21,0)-'TRADE IN'!$F123))</f>
        <v>3999</v>
      </c>
      <c r="X123" s="46">
        <f>IF(VLOOKUP($C123,REV!$C:$AA,22,0)-'TRADE IN'!$F132=0,"",(VLOOKUP($C123,REV!$C:$AA,22,0)-'TRADE IN'!$F123))</f>
        <v>3899</v>
      </c>
      <c r="Y123" s="46">
        <f>IF(VLOOKUP($C123,REV!$C:$AA,23,0)-'TRADE IN'!$F132=0,"",(VLOOKUP($C123,REV!$C:$AA,23,0)-'TRADE IN'!$F123))</f>
        <v>3799</v>
      </c>
      <c r="Z123" s="46">
        <f>IF(VLOOKUP($C123,REV!$C:$AA,24,0)-'TRADE IN'!$F132=0,"",(VLOOKUP($C123,REV!$C:$AA,24,0)-'TRADE IN'!$F123))</f>
        <v>3799</v>
      </c>
      <c r="AA123" s="46">
        <f>IF(VLOOKUP($C123,REV!$C:$AA,25,0)-'TRADE IN'!$F132=0,"",(VLOOKUP($C123,REV!$C:$AA,25,0)-'TRADE IN'!$F123))</f>
        <v>3799</v>
      </c>
      <c r="AB123" s="46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tr">
        <f>IF(REV!AW123=0,"",REV!AW123)</f>
        <v>31.03.2026</v>
      </c>
      <c r="AX123" s="159" t="s">
        <v>82</v>
      </c>
    </row>
    <row r="124" spans="1:50" ht="22.5" customHeight="1">
      <c r="A124" s="52" t="s">
        <v>70</v>
      </c>
      <c r="B124" s="41" t="s">
        <v>62</v>
      </c>
      <c r="C124" s="42">
        <v>4015963</v>
      </c>
      <c r="D124" s="43" t="s">
        <v>187</v>
      </c>
      <c r="E124" s="43" t="s">
        <v>194</v>
      </c>
      <c r="F124" s="45"/>
      <c r="G124" s="45"/>
      <c r="H124" s="46"/>
      <c r="I124" s="46"/>
      <c r="J124" s="46">
        <f>IF(VLOOKUP($C124,REV!$C:$AA,8,0)-'TRADE IN'!$F124=0,"",(VLOOKUP($C124,REV!$C:$AA,8,0)-'TRADE IN'!$F124))</f>
        <v>5199</v>
      </c>
      <c r="K124" s="46">
        <f>IF(VLOOKUP($C124,REV!$C:$AA,9,0)-'TRADE IN'!$F124=0,"",(VLOOKUP($C124,REV!$C:$AA,9,0)-'TRADE IN'!$F124))</f>
        <v>5199</v>
      </c>
      <c r="L124" s="46">
        <f>IF(VLOOKUP($C124,REV!$C:$AA,10,0)-'TRADE IN'!$F133=0,"",(VLOOKUP($C124,REV!$C:$AA,10,0)-'TRADE IN'!$F124))</f>
        <v>5199</v>
      </c>
      <c r="M124" s="46">
        <f>IF(VLOOKUP($C124,REV!$C:$AA,11,0)-'TRADE IN'!$F133=0,"",(VLOOKUP($C124,REV!$C:$AA,11,0)-'TRADE IN'!$F124))</f>
        <v>5199</v>
      </c>
      <c r="N124" s="46">
        <f>IF(VLOOKUP($C124,REV!$C:$AA,12,0)-'TRADE IN'!$F133=0,"",(VLOOKUP($C124,REV!$C:$AA,12,0)-'TRADE IN'!$F124))</f>
        <v>5199</v>
      </c>
      <c r="O124" s="46">
        <f>IF(VLOOKUP($C124,REV!$C:$AA,13,0)-'TRADE IN'!$F133=0,"",(VLOOKUP($C124,REV!$C:$AA,13,0)-'TRADE IN'!$F124))</f>
        <v>4999</v>
      </c>
      <c r="P124" s="46">
        <f>IF(VLOOKUP($C124,REV!$C:$AA,14,0)-'TRADE IN'!$F133=0,"",(VLOOKUP($C124,REV!$C:$AA,14,0)-'TRADE IN'!$F124))</f>
        <v>4899</v>
      </c>
      <c r="Q124" s="46">
        <f>IF(VLOOKUP($C124,REV!$C:$AA,15,0)-'TRADE IN'!$F133=0,"",(VLOOKUP($C124,REV!$C:$AA,15,0)-'TRADE IN'!$F124))</f>
        <v>3999</v>
      </c>
      <c r="R124" s="46">
        <f>IF(VLOOKUP($C124,REV!$C:$AA,16,0)-'TRADE IN'!$F133=0,"",(VLOOKUP($C124,REV!$C:$AA,16,0)-'TRADE IN'!$F124))</f>
        <v>4999</v>
      </c>
      <c r="S124" s="46">
        <f>IF(VLOOKUP($C124,REV!$C:$AA,17,0)-'TRADE IN'!$F133=0,"",(VLOOKUP($C124,REV!$C:$AA,17,0)-'TRADE IN'!$F124))</f>
        <v>4899</v>
      </c>
      <c r="T124" s="46">
        <f>IF(VLOOKUP($C124,REV!$C:$AA,18,0)-'TRADE IN'!$F133=0,"",(VLOOKUP($C124,REV!$C:$AA,18,0)-'TRADE IN'!$F124))</f>
        <v>3999</v>
      </c>
      <c r="U124" s="46">
        <f>IF(VLOOKUP($C124,REV!$C:$AA,19,0)-'TRADE IN'!$F133=0,"",(VLOOKUP($C124,REV!$C:$AA,19,0)-'TRADE IN'!$F124))</f>
        <v>3999</v>
      </c>
      <c r="V124" s="46">
        <f>IF(VLOOKUP($C124,REV!$C:$AA,20,0)-'TRADE IN'!$F133=0,"",(VLOOKUP($C124,REV!$C:$AA,20,0)-'TRADE IN'!$F124))</f>
        <v>3999</v>
      </c>
      <c r="W124" s="46">
        <f>IF(VLOOKUP($C124,REV!$C:$AA,21,0)-'TRADE IN'!$F133=0,"",(VLOOKUP($C124,REV!$C:$AA,21,0)-'TRADE IN'!$F124))</f>
        <v>3999</v>
      </c>
      <c r="X124" s="46">
        <f>IF(VLOOKUP($C124,REV!$C:$AA,22,0)-'TRADE IN'!$F133=0,"",(VLOOKUP($C124,REV!$C:$AA,22,0)-'TRADE IN'!$F124))</f>
        <v>3899</v>
      </c>
      <c r="Y124" s="46">
        <f>IF(VLOOKUP($C124,REV!$C:$AA,23,0)-'TRADE IN'!$F133=0,"",(VLOOKUP($C124,REV!$C:$AA,23,0)-'TRADE IN'!$F124))</f>
        <v>3799</v>
      </c>
      <c r="Z124" s="46">
        <f>IF(VLOOKUP($C124,REV!$C:$AA,24,0)-'TRADE IN'!$F133=0,"",(VLOOKUP($C124,REV!$C:$AA,24,0)-'TRADE IN'!$F124))</f>
        <v>3799</v>
      </c>
      <c r="AA124" s="46">
        <f>IF(VLOOKUP($C124,REV!$C:$AA,25,0)-'TRADE IN'!$F133=0,"",(VLOOKUP($C124,REV!$C:$AA,25,0)-'TRADE IN'!$F124))</f>
        <v>3799</v>
      </c>
      <c r="AB124" s="46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tr">
        <f>IF(REV!AW124=0,"",REV!AW124)</f>
        <v>31.03.2026</v>
      </c>
      <c r="AX124" s="159" t="s">
        <v>82</v>
      </c>
    </row>
    <row r="125" spans="1:50" ht="22.5" customHeight="1">
      <c r="A125" s="52" t="s">
        <v>70</v>
      </c>
      <c r="B125" s="41" t="s">
        <v>62</v>
      </c>
      <c r="C125" s="42">
        <v>4015744</v>
      </c>
      <c r="D125" s="43" t="s">
        <v>195</v>
      </c>
      <c r="E125" s="43" t="s">
        <v>196</v>
      </c>
      <c r="F125" s="45"/>
      <c r="G125" s="45"/>
      <c r="H125" s="46"/>
      <c r="I125" s="46"/>
      <c r="J125" s="46">
        <f>IF(VLOOKUP($C125,REV!$C:$AA,8,0)-'TRADE IN'!$F125=0,"",(VLOOKUP($C125,REV!$C:$AA,8,0)-'TRADE IN'!$F125))</f>
        <v>5599</v>
      </c>
      <c r="K125" s="46">
        <f>IF(VLOOKUP($C125,REV!$C:$AA,9,0)-'TRADE IN'!$F125=0,"",(VLOOKUP($C125,REV!$C:$AA,9,0)-'TRADE IN'!$F125))</f>
        <v>5599</v>
      </c>
      <c r="L125" s="46">
        <f>IF(VLOOKUP($C125,REV!$C:$AA,10,0)-'TRADE IN'!$F134=0,"",(VLOOKUP($C125,REV!$C:$AA,10,0)-'TRADE IN'!$F125))</f>
        <v>5499</v>
      </c>
      <c r="M125" s="46">
        <f>IF(VLOOKUP($C125,REV!$C:$AA,11,0)-'TRADE IN'!$F134=0,"",(VLOOKUP($C125,REV!$C:$AA,11,0)-'TRADE IN'!$F125))</f>
        <v>5599</v>
      </c>
      <c r="N125" s="46">
        <f>IF(VLOOKUP($C125,REV!$C:$AA,12,0)-'TRADE IN'!$F134=0,"",(VLOOKUP($C125,REV!$C:$AA,12,0)-'TRADE IN'!$F125))</f>
        <v>5599</v>
      </c>
      <c r="O125" s="46">
        <f>IF(VLOOKUP($C125,REV!$C:$AA,13,0)-'TRADE IN'!$F134=0,"",(VLOOKUP($C125,REV!$C:$AA,13,0)-'TRADE IN'!$F125))</f>
        <v>5499</v>
      </c>
      <c r="P125" s="46">
        <f>IF(VLOOKUP($C125,REV!$C:$AA,14,0)-'TRADE IN'!$F134=0,"",(VLOOKUP($C125,REV!$C:$AA,14,0)-'TRADE IN'!$F125))</f>
        <v>5399</v>
      </c>
      <c r="Q125" s="46">
        <f>IF(VLOOKUP($C125,REV!$C:$AA,15,0)-'TRADE IN'!$F134=0,"",(VLOOKUP($C125,REV!$C:$AA,15,0)-'TRADE IN'!$F125))</f>
        <v>5199</v>
      </c>
      <c r="R125" s="46">
        <f>IF(VLOOKUP($C125,REV!$C:$AA,16,0)-'TRADE IN'!$F134=0,"",(VLOOKUP($C125,REV!$C:$AA,16,0)-'TRADE IN'!$F125))</f>
        <v>5499</v>
      </c>
      <c r="S125" s="46">
        <f>IF(VLOOKUP($C125,REV!$C:$AA,17,0)-'TRADE IN'!$F134=0,"",(VLOOKUP($C125,REV!$C:$AA,17,0)-'TRADE IN'!$F125))</f>
        <v>5399</v>
      </c>
      <c r="T125" s="46">
        <f>IF(VLOOKUP($C125,REV!$C:$AA,18,0)-'TRADE IN'!$F134=0,"",(VLOOKUP($C125,REV!$C:$AA,18,0)-'TRADE IN'!$F125))</f>
        <v>5199</v>
      </c>
      <c r="U125" s="46">
        <f>IF(VLOOKUP($C125,REV!$C:$AA,19,0)-'TRADE IN'!$F134=0,"",(VLOOKUP($C125,REV!$C:$AA,19,0)-'TRADE IN'!$F125))</f>
        <v>5099</v>
      </c>
      <c r="V125" s="46">
        <f>IF(VLOOKUP($C125,REV!$C:$AA,20,0)-'TRADE IN'!$F134=0,"",(VLOOKUP($C125,REV!$C:$AA,20,0)-'TRADE IN'!$F125))</f>
        <v>5099</v>
      </c>
      <c r="W125" s="46">
        <f>IF(VLOOKUP($C125,REV!$C:$AA,21,0)-'TRADE IN'!$F134=0,"",(VLOOKUP($C125,REV!$C:$AA,21,0)-'TRADE IN'!$F125))</f>
        <v>5099</v>
      </c>
      <c r="X125" s="46">
        <f>IF(VLOOKUP($C125,REV!$C:$AA,22,0)-'TRADE IN'!$F134=0,"",(VLOOKUP($C125,REV!$C:$AA,22,0)-'TRADE IN'!$F125))</f>
        <v>4999</v>
      </c>
      <c r="Y125" s="46">
        <f>IF(VLOOKUP($C125,REV!$C:$AA,23,0)-'TRADE IN'!$F134=0,"",(VLOOKUP($C125,REV!$C:$AA,23,0)-'TRADE IN'!$F125))</f>
        <v>4599</v>
      </c>
      <c r="Z125" s="46">
        <f>IF(VLOOKUP($C125,REV!$C:$AA,24,0)-'TRADE IN'!$F134=0,"",(VLOOKUP($C125,REV!$C:$AA,24,0)-'TRADE IN'!$F125))</f>
        <v>4599</v>
      </c>
      <c r="AA125" s="46">
        <f>IF(VLOOKUP($C125,REV!$C:$AA,25,0)-'TRADE IN'!$F134=0,"",(VLOOKUP($C125,REV!$C:$AA,25,0)-'TRADE IN'!$F125))</f>
        <v>4549</v>
      </c>
      <c r="AB125" s="46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tr">
        <f>IF(REV!AW125=0,"",REV!AW125)</f>
        <v>31.03.2026</v>
      </c>
      <c r="AX125" s="159" t="s">
        <v>82</v>
      </c>
    </row>
    <row r="126" spans="1:50" ht="22.5" customHeight="1">
      <c r="A126" s="52" t="s">
        <v>70</v>
      </c>
      <c r="B126" s="41" t="s">
        <v>62</v>
      </c>
      <c r="C126" s="42">
        <v>4015965</v>
      </c>
      <c r="D126" s="43" t="s">
        <v>195</v>
      </c>
      <c r="E126" s="43" t="s">
        <v>197</v>
      </c>
      <c r="F126" s="45"/>
      <c r="G126" s="45"/>
      <c r="H126" s="46"/>
      <c r="I126" s="46"/>
      <c r="J126" s="46">
        <f>IF(VLOOKUP($C126,REV!$C:$AA,8,0)-'TRADE IN'!$F126=0,"",(VLOOKUP($C126,REV!$C:$AA,8,0)-'TRADE IN'!$F126))</f>
        <v>5599</v>
      </c>
      <c r="K126" s="46">
        <f>IF(VLOOKUP($C126,REV!$C:$AA,9,0)-'TRADE IN'!$F126=0,"",(VLOOKUP($C126,REV!$C:$AA,9,0)-'TRADE IN'!$F126))</f>
        <v>5599</v>
      </c>
      <c r="L126" s="46">
        <f>IF(VLOOKUP($C126,REV!$C:$AA,10,0)-'TRADE IN'!$F135=0,"",(VLOOKUP($C126,REV!$C:$AA,10,0)-'TRADE IN'!$F126))</f>
        <v>5499</v>
      </c>
      <c r="M126" s="46">
        <f>IF(VLOOKUP($C126,REV!$C:$AA,11,0)-'TRADE IN'!$F135=0,"",(VLOOKUP($C126,REV!$C:$AA,11,0)-'TRADE IN'!$F126))</f>
        <v>5599</v>
      </c>
      <c r="N126" s="46">
        <f>IF(VLOOKUP($C126,REV!$C:$AA,12,0)-'TRADE IN'!$F135=0,"",(VLOOKUP($C126,REV!$C:$AA,12,0)-'TRADE IN'!$F126))</f>
        <v>5599</v>
      </c>
      <c r="O126" s="46">
        <f>IF(VLOOKUP($C126,REV!$C:$AA,13,0)-'TRADE IN'!$F135=0,"",(VLOOKUP($C126,REV!$C:$AA,13,0)-'TRADE IN'!$F126))</f>
        <v>5499</v>
      </c>
      <c r="P126" s="46">
        <f>IF(VLOOKUP($C126,REV!$C:$AA,14,0)-'TRADE IN'!$F135=0,"",(VLOOKUP($C126,REV!$C:$AA,14,0)-'TRADE IN'!$F126))</f>
        <v>5399</v>
      </c>
      <c r="Q126" s="46">
        <f>IF(VLOOKUP($C126,REV!$C:$AA,15,0)-'TRADE IN'!$F135=0,"",(VLOOKUP($C126,REV!$C:$AA,15,0)-'TRADE IN'!$F126))</f>
        <v>5199</v>
      </c>
      <c r="R126" s="46">
        <f>IF(VLOOKUP($C126,REV!$C:$AA,16,0)-'TRADE IN'!$F135=0,"",(VLOOKUP($C126,REV!$C:$AA,16,0)-'TRADE IN'!$F126))</f>
        <v>5499</v>
      </c>
      <c r="S126" s="46">
        <f>IF(VLOOKUP($C126,REV!$C:$AA,17,0)-'TRADE IN'!$F135=0,"",(VLOOKUP($C126,REV!$C:$AA,17,0)-'TRADE IN'!$F126))</f>
        <v>5399</v>
      </c>
      <c r="T126" s="46">
        <f>IF(VLOOKUP($C126,REV!$C:$AA,18,0)-'TRADE IN'!$F135=0,"",(VLOOKUP($C126,REV!$C:$AA,18,0)-'TRADE IN'!$F126))</f>
        <v>5199</v>
      </c>
      <c r="U126" s="46">
        <f>IF(VLOOKUP($C126,REV!$C:$AA,19,0)-'TRADE IN'!$F135=0,"",(VLOOKUP($C126,REV!$C:$AA,19,0)-'TRADE IN'!$F126))</f>
        <v>5099</v>
      </c>
      <c r="V126" s="46">
        <f>IF(VLOOKUP($C126,REV!$C:$AA,20,0)-'TRADE IN'!$F135=0,"",(VLOOKUP($C126,REV!$C:$AA,20,0)-'TRADE IN'!$F126))</f>
        <v>5099</v>
      </c>
      <c r="W126" s="46">
        <f>IF(VLOOKUP($C126,REV!$C:$AA,21,0)-'TRADE IN'!$F135=0,"",(VLOOKUP($C126,REV!$C:$AA,21,0)-'TRADE IN'!$F126))</f>
        <v>5099</v>
      </c>
      <c r="X126" s="46">
        <f>IF(VLOOKUP($C126,REV!$C:$AA,22,0)-'TRADE IN'!$F135=0,"",(VLOOKUP($C126,REV!$C:$AA,22,0)-'TRADE IN'!$F126))</f>
        <v>4999</v>
      </c>
      <c r="Y126" s="46">
        <f>IF(VLOOKUP($C126,REV!$C:$AA,23,0)-'TRADE IN'!$F135=0,"",(VLOOKUP($C126,REV!$C:$AA,23,0)-'TRADE IN'!$F126))</f>
        <v>4599</v>
      </c>
      <c r="Z126" s="46">
        <f>IF(VLOOKUP($C126,REV!$C:$AA,24,0)-'TRADE IN'!$F135=0,"",(VLOOKUP($C126,REV!$C:$AA,24,0)-'TRADE IN'!$F126))</f>
        <v>4599</v>
      </c>
      <c r="AA126" s="46">
        <f>IF(VLOOKUP($C126,REV!$C:$AA,25,0)-'TRADE IN'!$F135=0,"",(VLOOKUP($C126,REV!$C:$AA,25,0)-'TRADE IN'!$F126))</f>
        <v>4549</v>
      </c>
      <c r="AB126" s="46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tr">
        <f>IF(REV!AW126=0,"",REV!AW126)</f>
        <v>31.03.2026</v>
      </c>
      <c r="AX126" s="159" t="s">
        <v>82</v>
      </c>
    </row>
    <row r="127" spans="1:50" ht="22.5" customHeight="1">
      <c r="A127" s="52" t="s">
        <v>70</v>
      </c>
      <c r="B127" s="41" t="s">
        <v>62</v>
      </c>
      <c r="C127" s="42">
        <v>4015778</v>
      </c>
      <c r="D127" s="43" t="s">
        <v>195</v>
      </c>
      <c r="E127" s="43" t="s">
        <v>198</v>
      </c>
      <c r="F127" s="45"/>
      <c r="G127" s="45"/>
      <c r="H127" s="46"/>
      <c r="I127" s="46"/>
      <c r="J127" s="46">
        <f>IF(VLOOKUP($C127,REV!$C:$AA,8,0)-'TRADE IN'!$F127=0,"",(VLOOKUP($C127,REV!$C:$AA,8,0)-'TRADE IN'!$F127))</f>
        <v>5599</v>
      </c>
      <c r="K127" s="46">
        <f>IF(VLOOKUP($C127,REV!$C:$AA,9,0)-'TRADE IN'!$F127=0,"",(VLOOKUP($C127,REV!$C:$AA,9,0)-'TRADE IN'!$F127))</f>
        <v>5599</v>
      </c>
      <c r="L127" s="46">
        <f>IF(VLOOKUP($C127,REV!$C:$AA,10,0)-'TRADE IN'!$F136=0,"",(VLOOKUP($C127,REV!$C:$AA,10,0)-'TRADE IN'!$F127))</f>
        <v>5499</v>
      </c>
      <c r="M127" s="46">
        <f>IF(VLOOKUP($C127,REV!$C:$AA,11,0)-'TRADE IN'!$F136=0,"",(VLOOKUP($C127,REV!$C:$AA,11,0)-'TRADE IN'!$F127))</f>
        <v>5599</v>
      </c>
      <c r="N127" s="46">
        <f>IF(VLOOKUP($C127,REV!$C:$AA,12,0)-'TRADE IN'!$F136=0,"",(VLOOKUP($C127,REV!$C:$AA,12,0)-'TRADE IN'!$F127))</f>
        <v>5599</v>
      </c>
      <c r="O127" s="46">
        <f>IF(VLOOKUP($C127,REV!$C:$AA,13,0)-'TRADE IN'!$F136=0,"",(VLOOKUP($C127,REV!$C:$AA,13,0)-'TRADE IN'!$F127))</f>
        <v>5499</v>
      </c>
      <c r="P127" s="46">
        <f>IF(VLOOKUP($C127,REV!$C:$AA,14,0)-'TRADE IN'!$F136=0,"",(VLOOKUP($C127,REV!$C:$AA,14,0)-'TRADE IN'!$F127))</f>
        <v>5399</v>
      </c>
      <c r="Q127" s="46">
        <f>IF(VLOOKUP($C127,REV!$C:$AA,15,0)-'TRADE IN'!$F136=0,"",(VLOOKUP($C127,REV!$C:$AA,15,0)-'TRADE IN'!$F127))</f>
        <v>5199</v>
      </c>
      <c r="R127" s="46">
        <f>IF(VLOOKUP($C127,REV!$C:$AA,16,0)-'TRADE IN'!$F136=0,"",(VLOOKUP($C127,REV!$C:$AA,16,0)-'TRADE IN'!$F127))</f>
        <v>5499</v>
      </c>
      <c r="S127" s="46">
        <f>IF(VLOOKUP($C127,REV!$C:$AA,17,0)-'TRADE IN'!$F136=0,"",(VLOOKUP($C127,REV!$C:$AA,17,0)-'TRADE IN'!$F127))</f>
        <v>5399</v>
      </c>
      <c r="T127" s="46">
        <f>IF(VLOOKUP($C127,REV!$C:$AA,18,0)-'TRADE IN'!$F136=0,"",(VLOOKUP($C127,REV!$C:$AA,18,0)-'TRADE IN'!$F127))</f>
        <v>5199</v>
      </c>
      <c r="U127" s="46">
        <f>IF(VLOOKUP($C127,REV!$C:$AA,19,0)-'TRADE IN'!$F136=0,"",(VLOOKUP($C127,REV!$C:$AA,19,0)-'TRADE IN'!$F127))</f>
        <v>5099</v>
      </c>
      <c r="V127" s="46">
        <f>IF(VLOOKUP($C127,REV!$C:$AA,20,0)-'TRADE IN'!$F136=0,"",(VLOOKUP($C127,REV!$C:$AA,20,0)-'TRADE IN'!$F127))</f>
        <v>5099</v>
      </c>
      <c r="W127" s="46">
        <f>IF(VLOOKUP($C127,REV!$C:$AA,21,0)-'TRADE IN'!$F136=0,"",(VLOOKUP($C127,REV!$C:$AA,21,0)-'TRADE IN'!$F127))</f>
        <v>5099</v>
      </c>
      <c r="X127" s="46">
        <f>IF(VLOOKUP($C127,REV!$C:$AA,22,0)-'TRADE IN'!$F136=0,"",(VLOOKUP($C127,REV!$C:$AA,22,0)-'TRADE IN'!$F127))</f>
        <v>4999</v>
      </c>
      <c r="Y127" s="46">
        <f>IF(VLOOKUP($C127,REV!$C:$AA,23,0)-'TRADE IN'!$F136=0,"",(VLOOKUP($C127,REV!$C:$AA,23,0)-'TRADE IN'!$F127))</f>
        <v>4599</v>
      </c>
      <c r="Z127" s="46">
        <f>IF(VLOOKUP($C127,REV!$C:$AA,24,0)-'TRADE IN'!$F136=0,"",(VLOOKUP($C127,REV!$C:$AA,24,0)-'TRADE IN'!$F127))</f>
        <v>4599</v>
      </c>
      <c r="AA127" s="46">
        <f>IF(VLOOKUP($C127,REV!$C:$AA,25,0)-'TRADE IN'!$F136=0,"",(VLOOKUP($C127,REV!$C:$AA,25,0)-'TRADE IN'!$F127))</f>
        <v>4549</v>
      </c>
      <c r="AB127" s="46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tr">
        <f>IF(REV!AW127=0,"",REV!AW127)</f>
        <v>31.03.2026</v>
      </c>
      <c r="AX127" s="159" t="s">
        <v>82</v>
      </c>
    </row>
    <row r="128" spans="1:50" ht="22.5" customHeight="1">
      <c r="A128" s="52" t="s">
        <v>70</v>
      </c>
      <c r="B128" s="41" t="s">
        <v>62</v>
      </c>
      <c r="C128" s="42">
        <v>4015746</v>
      </c>
      <c r="D128" s="43" t="s">
        <v>199</v>
      </c>
      <c r="E128" s="43" t="s">
        <v>200</v>
      </c>
      <c r="F128" s="45"/>
      <c r="G128" s="45"/>
      <c r="H128" s="46"/>
      <c r="I128" s="46"/>
      <c r="J128" s="46">
        <f>IF(VLOOKUP($C128,REV!$C:$AA,8,0)-'TRADE IN'!$F128=0,"",(VLOOKUP($C128,REV!$C:$AA,8,0)-'TRADE IN'!$F128))</f>
        <v>5899</v>
      </c>
      <c r="K128" s="46">
        <f>IF(VLOOKUP($C128,REV!$C:$AA,9,0)-'TRADE IN'!$F128=0,"",(VLOOKUP($C128,REV!$C:$AA,9,0)-'TRADE IN'!$F128))</f>
        <v>5899</v>
      </c>
      <c r="L128" s="46">
        <f>IF(VLOOKUP($C128,REV!$C:$AA,10,0)-'TRADE IN'!$F137=0,"",(VLOOKUP($C128,REV!$C:$AA,10,0)-'TRADE IN'!$F128))</f>
        <v>5899</v>
      </c>
      <c r="M128" s="46">
        <f>IF(VLOOKUP($C128,REV!$C:$AA,11,0)-'TRADE IN'!$F137=0,"",(VLOOKUP($C128,REV!$C:$AA,11,0)-'TRADE IN'!$F128))</f>
        <v>5899</v>
      </c>
      <c r="N128" s="46">
        <f>IF(VLOOKUP($C128,REV!$C:$AA,12,0)-'TRADE IN'!$F137=0,"",(VLOOKUP($C128,REV!$C:$AA,12,0)-'TRADE IN'!$F128))</f>
        <v>5899</v>
      </c>
      <c r="O128" s="46">
        <f>IF(VLOOKUP($C128,REV!$C:$AA,13,0)-'TRADE IN'!$F137=0,"",(VLOOKUP($C128,REV!$C:$AA,13,0)-'TRADE IN'!$F128))</f>
        <v>5799</v>
      </c>
      <c r="P128" s="46">
        <f>IF(VLOOKUP($C128,REV!$C:$AA,14,0)-'TRADE IN'!$F137=0,"",(VLOOKUP($C128,REV!$C:$AA,14,0)-'TRADE IN'!$F128))</f>
        <v>5699</v>
      </c>
      <c r="Q128" s="46">
        <f>IF(VLOOKUP($C128,REV!$C:$AA,15,0)-'TRADE IN'!$F137=0,"",(VLOOKUP($C128,REV!$C:$AA,15,0)-'TRADE IN'!$F128))</f>
        <v>5499</v>
      </c>
      <c r="R128" s="46">
        <f>IF(VLOOKUP($C128,REV!$C:$AA,16,0)-'TRADE IN'!$F137=0,"",(VLOOKUP($C128,REV!$C:$AA,16,0)-'TRADE IN'!$F128))</f>
        <v>5799</v>
      </c>
      <c r="S128" s="46">
        <f>IF(VLOOKUP($C128,REV!$C:$AA,17,0)-'TRADE IN'!$F137=0,"",(VLOOKUP($C128,REV!$C:$AA,17,0)-'TRADE IN'!$F128))</f>
        <v>5699</v>
      </c>
      <c r="T128" s="46">
        <f>IF(VLOOKUP($C128,REV!$C:$AA,18,0)-'TRADE IN'!$F137=0,"",(VLOOKUP($C128,REV!$C:$AA,18,0)-'TRADE IN'!$F128))</f>
        <v>5499</v>
      </c>
      <c r="U128" s="46">
        <f>IF(VLOOKUP($C128,REV!$C:$AA,19,0)-'TRADE IN'!$F137=0,"",(VLOOKUP($C128,REV!$C:$AA,19,0)-'TRADE IN'!$F128))</f>
        <v>5499</v>
      </c>
      <c r="V128" s="46">
        <f>IF(VLOOKUP($C128,REV!$C:$AA,20,0)-'TRADE IN'!$F137=0,"",(VLOOKUP($C128,REV!$C:$AA,20,0)-'TRADE IN'!$F128))</f>
        <v>5499</v>
      </c>
      <c r="W128" s="46">
        <f>IF(VLOOKUP($C128,REV!$C:$AA,21,0)-'TRADE IN'!$F137=0,"",(VLOOKUP($C128,REV!$C:$AA,21,0)-'TRADE IN'!$F128))</f>
        <v>5499</v>
      </c>
      <c r="X128" s="46">
        <f>IF(VLOOKUP($C128,REV!$C:$AA,22,0)-'TRADE IN'!$F137=0,"",(VLOOKUP($C128,REV!$C:$AA,22,0)-'TRADE IN'!$F128))</f>
        <v>5399</v>
      </c>
      <c r="Y128" s="46">
        <f>IF(VLOOKUP($C128,REV!$C:$AA,23,0)-'TRADE IN'!$F137=0,"",(VLOOKUP($C128,REV!$C:$AA,23,0)-'TRADE IN'!$F128))</f>
        <v>4999</v>
      </c>
      <c r="Z128" s="46">
        <f>IF(VLOOKUP($C128,REV!$C:$AA,24,0)-'TRADE IN'!$F137=0,"",(VLOOKUP($C128,REV!$C:$AA,24,0)-'TRADE IN'!$F128))</f>
        <v>4999</v>
      </c>
      <c r="AA128" s="46">
        <f>IF(VLOOKUP($C128,REV!$C:$AA,25,0)-'TRADE IN'!$F137=0,"",(VLOOKUP($C128,REV!$C:$AA,25,0)-'TRADE IN'!$F128))</f>
        <v>4999</v>
      </c>
      <c r="AB128" s="46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tr">
        <f>IF(REV!AW128=0,"",REV!AW128)</f>
        <v>31.03.2026</v>
      </c>
      <c r="AX128" s="159" t="s">
        <v>82</v>
      </c>
    </row>
    <row r="129" spans="1:50" ht="22.5" customHeight="1">
      <c r="A129" s="52" t="s">
        <v>70</v>
      </c>
      <c r="B129" s="41" t="s">
        <v>62</v>
      </c>
      <c r="C129" s="42">
        <v>4015773</v>
      </c>
      <c r="D129" s="43" t="s">
        <v>199</v>
      </c>
      <c r="E129" s="43" t="s">
        <v>201</v>
      </c>
      <c r="F129" s="45"/>
      <c r="G129" s="45"/>
      <c r="H129" s="46"/>
      <c r="I129" s="46"/>
      <c r="J129" s="46">
        <f>IF(VLOOKUP($C129,REV!$C:$AA,8,0)-'TRADE IN'!$F129=0,"",(VLOOKUP($C129,REV!$C:$AA,8,0)-'TRADE IN'!$F129))</f>
        <v>5899</v>
      </c>
      <c r="K129" s="46">
        <f>IF(VLOOKUP($C129,REV!$C:$AA,9,0)-'TRADE IN'!$F129=0,"",(VLOOKUP($C129,REV!$C:$AA,9,0)-'TRADE IN'!$F129))</f>
        <v>5899</v>
      </c>
      <c r="L129" s="46">
        <f>IF(VLOOKUP($C129,REV!$C:$AA,10,0)-'TRADE IN'!$F138=0,"",(VLOOKUP($C129,REV!$C:$AA,10,0)-'TRADE IN'!$F129))</f>
        <v>5899</v>
      </c>
      <c r="M129" s="46">
        <f>IF(VLOOKUP($C129,REV!$C:$AA,11,0)-'TRADE IN'!$F138=0,"",(VLOOKUP($C129,REV!$C:$AA,11,0)-'TRADE IN'!$F129))</f>
        <v>5899</v>
      </c>
      <c r="N129" s="46">
        <f>IF(VLOOKUP($C129,REV!$C:$AA,12,0)-'TRADE IN'!$F138=0,"",(VLOOKUP($C129,REV!$C:$AA,12,0)-'TRADE IN'!$F129))</f>
        <v>5899</v>
      </c>
      <c r="O129" s="46">
        <f>IF(VLOOKUP($C129,REV!$C:$AA,13,0)-'TRADE IN'!$F138=0,"",(VLOOKUP($C129,REV!$C:$AA,13,0)-'TRADE IN'!$F129))</f>
        <v>5799</v>
      </c>
      <c r="P129" s="46">
        <f>IF(VLOOKUP($C129,REV!$C:$AA,14,0)-'TRADE IN'!$F138=0,"",(VLOOKUP($C129,REV!$C:$AA,14,0)-'TRADE IN'!$F129))</f>
        <v>5699</v>
      </c>
      <c r="Q129" s="46">
        <f>IF(VLOOKUP($C129,REV!$C:$AA,15,0)-'TRADE IN'!$F138=0,"",(VLOOKUP($C129,REV!$C:$AA,15,0)-'TRADE IN'!$F129))</f>
        <v>5499</v>
      </c>
      <c r="R129" s="46">
        <f>IF(VLOOKUP($C129,REV!$C:$AA,16,0)-'TRADE IN'!$F138=0,"",(VLOOKUP($C129,REV!$C:$AA,16,0)-'TRADE IN'!$F129))</f>
        <v>5799</v>
      </c>
      <c r="S129" s="46">
        <f>IF(VLOOKUP($C129,REV!$C:$AA,17,0)-'TRADE IN'!$F138=0,"",(VLOOKUP($C129,REV!$C:$AA,17,0)-'TRADE IN'!$F129))</f>
        <v>5699</v>
      </c>
      <c r="T129" s="46">
        <f>IF(VLOOKUP($C129,REV!$C:$AA,18,0)-'TRADE IN'!$F138=0,"",(VLOOKUP($C129,REV!$C:$AA,18,0)-'TRADE IN'!$F129))</f>
        <v>5499</v>
      </c>
      <c r="U129" s="46">
        <f>IF(VLOOKUP($C129,REV!$C:$AA,19,0)-'TRADE IN'!$F138=0,"",(VLOOKUP($C129,REV!$C:$AA,19,0)-'TRADE IN'!$F129))</f>
        <v>5499</v>
      </c>
      <c r="V129" s="46">
        <f>IF(VLOOKUP($C129,REV!$C:$AA,20,0)-'TRADE IN'!$F138=0,"",(VLOOKUP($C129,REV!$C:$AA,20,0)-'TRADE IN'!$F129))</f>
        <v>5499</v>
      </c>
      <c r="W129" s="46">
        <f>IF(VLOOKUP($C129,REV!$C:$AA,21,0)-'TRADE IN'!$F138=0,"",(VLOOKUP($C129,REV!$C:$AA,21,0)-'TRADE IN'!$F129))</f>
        <v>5499</v>
      </c>
      <c r="X129" s="46">
        <f>IF(VLOOKUP($C129,REV!$C:$AA,22,0)-'TRADE IN'!$F138=0,"",(VLOOKUP($C129,REV!$C:$AA,22,0)-'TRADE IN'!$F129))</f>
        <v>5399</v>
      </c>
      <c r="Y129" s="46">
        <f>IF(VLOOKUP($C129,REV!$C:$AA,23,0)-'TRADE IN'!$F138=0,"",(VLOOKUP($C129,REV!$C:$AA,23,0)-'TRADE IN'!$F129))</f>
        <v>4999</v>
      </c>
      <c r="Z129" s="46">
        <f>IF(VLOOKUP($C129,REV!$C:$AA,24,0)-'TRADE IN'!$F138=0,"",(VLOOKUP($C129,REV!$C:$AA,24,0)-'TRADE IN'!$F129))</f>
        <v>4999</v>
      </c>
      <c r="AA129" s="46">
        <f>IF(VLOOKUP($C129,REV!$C:$AA,25,0)-'TRADE IN'!$F138=0,"",(VLOOKUP($C129,REV!$C:$AA,25,0)-'TRADE IN'!$F129))</f>
        <v>4999</v>
      </c>
      <c r="AB129" s="46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tr">
        <f>IF(REV!AW129=0,"",REV!AW129)</f>
        <v>31.03.2026</v>
      </c>
      <c r="AX129" s="159" t="s">
        <v>82</v>
      </c>
    </row>
    <row r="130" spans="1:50" ht="22.5" customHeight="1">
      <c r="A130" s="52" t="s">
        <v>70</v>
      </c>
      <c r="B130" s="41" t="s">
        <v>62</v>
      </c>
      <c r="C130" s="42">
        <v>4015790</v>
      </c>
      <c r="D130" s="43" t="s">
        <v>199</v>
      </c>
      <c r="E130" s="43" t="s">
        <v>202</v>
      </c>
      <c r="F130" s="45"/>
      <c r="G130" s="45"/>
      <c r="H130" s="46"/>
      <c r="I130" s="46"/>
      <c r="J130" s="46">
        <f>IF(VLOOKUP($C130,REV!$C:$AA,8,0)-'TRADE IN'!$F130=0,"",(VLOOKUP($C130,REV!$C:$AA,8,0)-'TRADE IN'!$F130))</f>
        <v>5899</v>
      </c>
      <c r="K130" s="46">
        <f>IF(VLOOKUP($C130,REV!$C:$AA,9,0)-'TRADE IN'!$F130=0,"",(VLOOKUP($C130,REV!$C:$AA,9,0)-'TRADE IN'!$F130))</f>
        <v>5899</v>
      </c>
      <c r="L130" s="46">
        <f>IF(VLOOKUP($C130,REV!$C:$AA,10,0)-'TRADE IN'!$F139=0,"",(VLOOKUP($C130,REV!$C:$AA,10,0)-'TRADE IN'!$F130))</f>
        <v>5899</v>
      </c>
      <c r="M130" s="46">
        <f>IF(VLOOKUP($C130,REV!$C:$AA,11,0)-'TRADE IN'!$F139=0,"",(VLOOKUP($C130,REV!$C:$AA,11,0)-'TRADE IN'!$F130))</f>
        <v>5899</v>
      </c>
      <c r="N130" s="46">
        <f>IF(VLOOKUP($C130,REV!$C:$AA,12,0)-'TRADE IN'!$F139=0,"",(VLOOKUP($C130,REV!$C:$AA,12,0)-'TRADE IN'!$F130))</f>
        <v>5899</v>
      </c>
      <c r="O130" s="46">
        <f>IF(VLOOKUP($C130,REV!$C:$AA,13,0)-'TRADE IN'!$F139=0,"",(VLOOKUP($C130,REV!$C:$AA,13,0)-'TRADE IN'!$F130))</f>
        <v>5799</v>
      </c>
      <c r="P130" s="46">
        <f>IF(VLOOKUP($C130,REV!$C:$AA,14,0)-'TRADE IN'!$F139=0,"",(VLOOKUP($C130,REV!$C:$AA,14,0)-'TRADE IN'!$F130))</f>
        <v>5699</v>
      </c>
      <c r="Q130" s="46">
        <f>IF(VLOOKUP($C130,REV!$C:$AA,15,0)-'TRADE IN'!$F139=0,"",(VLOOKUP($C130,REV!$C:$AA,15,0)-'TRADE IN'!$F130))</f>
        <v>5499</v>
      </c>
      <c r="R130" s="46">
        <f>IF(VLOOKUP($C130,REV!$C:$AA,16,0)-'TRADE IN'!$F139=0,"",(VLOOKUP($C130,REV!$C:$AA,16,0)-'TRADE IN'!$F130))</f>
        <v>5799</v>
      </c>
      <c r="S130" s="46">
        <f>IF(VLOOKUP($C130,REV!$C:$AA,17,0)-'TRADE IN'!$F139=0,"",(VLOOKUP($C130,REV!$C:$AA,17,0)-'TRADE IN'!$F130))</f>
        <v>5699</v>
      </c>
      <c r="T130" s="46">
        <f>IF(VLOOKUP($C130,REV!$C:$AA,18,0)-'TRADE IN'!$F139=0,"",(VLOOKUP($C130,REV!$C:$AA,18,0)-'TRADE IN'!$F130))</f>
        <v>5499</v>
      </c>
      <c r="U130" s="46">
        <f>IF(VLOOKUP($C130,REV!$C:$AA,19,0)-'TRADE IN'!$F139=0,"",(VLOOKUP($C130,REV!$C:$AA,19,0)-'TRADE IN'!$F130))</f>
        <v>5499</v>
      </c>
      <c r="V130" s="46">
        <f>IF(VLOOKUP($C130,REV!$C:$AA,20,0)-'TRADE IN'!$F139=0,"",(VLOOKUP($C130,REV!$C:$AA,20,0)-'TRADE IN'!$F130))</f>
        <v>5499</v>
      </c>
      <c r="W130" s="46">
        <f>IF(VLOOKUP($C130,REV!$C:$AA,21,0)-'TRADE IN'!$F139=0,"",(VLOOKUP($C130,REV!$C:$AA,21,0)-'TRADE IN'!$F130))</f>
        <v>5499</v>
      </c>
      <c r="X130" s="46">
        <f>IF(VLOOKUP($C130,REV!$C:$AA,22,0)-'TRADE IN'!$F139=0,"",(VLOOKUP($C130,REV!$C:$AA,22,0)-'TRADE IN'!$F130))</f>
        <v>5399</v>
      </c>
      <c r="Y130" s="46">
        <f>IF(VLOOKUP($C130,REV!$C:$AA,23,0)-'TRADE IN'!$F139=0,"",(VLOOKUP($C130,REV!$C:$AA,23,0)-'TRADE IN'!$F130))</f>
        <v>4999</v>
      </c>
      <c r="Z130" s="46">
        <f>IF(VLOOKUP($C130,REV!$C:$AA,24,0)-'TRADE IN'!$F139=0,"",(VLOOKUP($C130,REV!$C:$AA,24,0)-'TRADE IN'!$F130))</f>
        <v>4999</v>
      </c>
      <c r="AA130" s="46">
        <f>IF(VLOOKUP($C130,REV!$C:$AA,25,0)-'TRADE IN'!$F139=0,"",(VLOOKUP($C130,REV!$C:$AA,25,0)-'TRADE IN'!$F130))</f>
        <v>4999</v>
      </c>
      <c r="AB130" s="46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tr">
        <f>IF(REV!AW130=0,"",REV!AW130)</f>
        <v>31.03.2026</v>
      </c>
      <c r="AX130" s="159" t="s">
        <v>82</v>
      </c>
    </row>
    <row r="131" spans="1:50" ht="22.5" customHeight="1">
      <c r="A131" s="52" t="s">
        <v>70</v>
      </c>
      <c r="B131" s="41" t="s">
        <v>62</v>
      </c>
      <c r="C131" s="42">
        <v>4015806</v>
      </c>
      <c r="D131" s="43" t="s">
        <v>199</v>
      </c>
      <c r="E131" s="43" t="s">
        <v>203</v>
      </c>
      <c r="F131" s="45"/>
      <c r="G131" s="45"/>
      <c r="H131" s="46"/>
      <c r="I131" s="46"/>
      <c r="J131" s="46">
        <f>IF(VLOOKUP($C131,REV!$C:$AA,8,0)-'TRADE IN'!$F131=0,"",(VLOOKUP($C131,REV!$C:$AA,8,0)-'TRADE IN'!$F131))</f>
        <v>5899</v>
      </c>
      <c r="K131" s="46">
        <f>IF(VLOOKUP($C131,REV!$C:$AA,9,0)-'TRADE IN'!$F131=0,"",(VLOOKUP($C131,REV!$C:$AA,9,0)-'TRADE IN'!$F131))</f>
        <v>5899</v>
      </c>
      <c r="L131" s="46">
        <f>IF(VLOOKUP($C131,REV!$C:$AA,10,0)-'TRADE IN'!$F140=0,"",(VLOOKUP($C131,REV!$C:$AA,10,0)-'TRADE IN'!$F131))</f>
        <v>5899</v>
      </c>
      <c r="M131" s="46">
        <f>IF(VLOOKUP($C131,REV!$C:$AA,11,0)-'TRADE IN'!$F140=0,"",(VLOOKUP($C131,REV!$C:$AA,11,0)-'TRADE IN'!$F131))</f>
        <v>5899</v>
      </c>
      <c r="N131" s="46">
        <f>IF(VLOOKUP($C131,REV!$C:$AA,12,0)-'TRADE IN'!$F140=0,"",(VLOOKUP($C131,REV!$C:$AA,12,0)-'TRADE IN'!$F131))</f>
        <v>5899</v>
      </c>
      <c r="O131" s="46">
        <f>IF(VLOOKUP($C131,REV!$C:$AA,13,0)-'TRADE IN'!$F140=0,"",(VLOOKUP($C131,REV!$C:$AA,13,0)-'TRADE IN'!$F131))</f>
        <v>5799</v>
      </c>
      <c r="P131" s="46">
        <f>IF(VLOOKUP($C131,REV!$C:$AA,14,0)-'TRADE IN'!$F140=0,"",(VLOOKUP($C131,REV!$C:$AA,14,0)-'TRADE IN'!$F131))</f>
        <v>5699</v>
      </c>
      <c r="Q131" s="46">
        <f>IF(VLOOKUP($C131,REV!$C:$AA,15,0)-'TRADE IN'!$F140=0,"",(VLOOKUP($C131,REV!$C:$AA,15,0)-'TRADE IN'!$F131))</f>
        <v>5499</v>
      </c>
      <c r="R131" s="46">
        <f>IF(VLOOKUP($C131,REV!$C:$AA,16,0)-'TRADE IN'!$F140=0,"",(VLOOKUP($C131,REV!$C:$AA,16,0)-'TRADE IN'!$F131))</f>
        <v>5799</v>
      </c>
      <c r="S131" s="46">
        <f>IF(VLOOKUP($C131,REV!$C:$AA,17,0)-'TRADE IN'!$F140=0,"",(VLOOKUP($C131,REV!$C:$AA,17,0)-'TRADE IN'!$F131))</f>
        <v>5699</v>
      </c>
      <c r="T131" s="46">
        <f>IF(VLOOKUP($C131,REV!$C:$AA,18,0)-'TRADE IN'!$F140=0,"",(VLOOKUP($C131,REV!$C:$AA,18,0)-'TRADE IN'!$F131))</f>
        <v>5499</v>
      </c>
      <c r="U131" s="46">
        <f>IF(VLOOKUP($C131,REV!$C:$AA,19,0)-'TRADE IN'!$F140=0,"",(VLOOKUP($C131,REV!$C:$AA,19,0)-'TRADE IN'!$F131))</f>
        <v>5499</v>
      </c>
      <c r="V131" s="46">
        <f>IF(VLOOKUP($C131,REV!$C:$AA,20,0)-'TRADE IN'!$F140=0,"",(VLOOKUP($C131,REV!$C:$AA,20,0)-'TRADE IN'!$F131))</f>
        <v>5499</v>
      </c>
      <c r="W131" s="46">
        <f>IF(VLOOKUP($C131,REV!$C:$AA,21,0)-'TRADE IN'!$F140=0,"",(VLOOKUP($C131,REV!$C:$AA,21,0)-'TRADE IN'!$F131))</f>
        <v>5499</v>
      </c>
      <c r="X131" s="46">
        <f>IF(VLOOKUP($C131,REV!$C:$AA,22,0)-'TRADE IN'!$F140=0,"",(VLOOKUP($C131,REV!$C:$AA,22,0)-'TRADE IN'!$F131))</f>
        <v>5399</v>
      </c>
      <c r="Y131" s="46">
        <f>IF(VLOOKUP($C131,REV!$C:$AA,23,0)-'TRADE IN'!$F140=0,"",(VLOOKUP($C131,REV!$C:$AA,23,0)-'TRADE IN'!$F131))</f>
        <v>4999</v>
      </c>
      <c r="Z131" s="46">
        <f>IF(VLOOKUP($C131,REV!$C:$AA,24,0)-'TRADE IN'!$F140=0,"",(VLOOKUP($C131,REV!$C:$AA,24,0)-'TRADE IN'!$F131))</f>
        <v>4999</v>
      </c>
      <c r="AA131" s="46">
        <f>IF(VLOOKUP($C131,REV!$C:$AA,25,0)-'TRADE IN'!$F140=0,"",(VLOOKUP($C131,REV!$C:$AA,25,0)-'TRADE IN'!$F131))</f>
        <v>4999</v>
      </c>
      <c r="AB131" s="46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tr">
        <f>IF(REV!AW131=0,"",REV!AW131)</f>
        <v>31.03.2026</v>
      </c>
      <c r="AX131" s="159" t="s">
        <v>82</v>
      </c>
    </row>
    <row r="132" spans="1:50" ht="22.5" customHeight="1">
      <c r="A132" s="52" t="s">
        <v>70</v>
      </c>
      <c r="B132" s="41" t="s">
        <v>62</v>
      </c>
      <c r="C132" s="42">
        <v>4015748</v>
      </c>
      <c r="D132" s="43" t="s">
        <v>204</v>
      </c>
      <c r="E132" s="43" t="s">
        <v>205</v>
      </c>
      <c r="F132" s="45"/>
      <c r="G132" s="45"/>
      <c r="H132" s="46"/>
      <c r="I132" s="46"/>
      <c r="J132" s="46">
        <f>IF(VLOOKUP($C132,REV!$C:$AA,8,0)-'TRADE IN'!$F132=0,"",(VLOOKUP($C132,REV!$C:$AA,8,0)-'TRADE IN'!$F132))</f>
        <v>6399</v>
      </c>
      <c r="K132" s="46">
        <f>IF(VLOOKUP($C132,REV!$C:$AA,9,0)-'TRADE IN'!$F132=0,"",(VLOOKUP($C132,REV!$C:$AA,9,0)-'TRADE IN'!$F132))</f>
        <v>6399</v>
      </c>
      <c r="L132" s="46">
        <f>IF(VLOOKUP($C132,REV!$C:$AA,10,0)-'TRADE IN'!$F141=0,"",(VLOOKUP($C132,REV!$C:$AA,10,0)-'TRADE IN'!$F132))</f>
        <v>6399</v>
      </c>
      <c r="M132" s="46">
        <f>IF(VLOOKUP($C132,REV!$C:$AA,11,0)-'TRADE IN'!$F141=0,"",(VLOOKUP($C132,REV!$C:$AA,11,0)-'TRADE IN'!$F132))</f>
        <v>6399</v>
      </c>
      <c r="N132" s="46">
        <f>IF(VLOOKUP($C132,REV!$C:$AA,12,0)-'TRADE IN'!$F141=0,"",(VLOOKUP($C132,REV!$C:$AA,12,0)-'TRADE IN'!$F132))</f>
        <v>6399</v>
      </c>
      <c r="O132" s="46">
        <f>IF(VLOOKUP($C132,REV!$C:$AA,13,0)-'TRADE IN'!$F141=0,"",(VLOOKUP($C132,REV!$C:$AA,13,0)-'TRADE IN'!$F132))</f>
        <v>6299</v>
      </c>
      <c r="P132" s="46">
        <f>IF(VLOOKUP($C132,REV!$C:$AA,14,0)-'TRADE IN'!$F141=0,"",(VLOOKUP($C132,REV!$C:$AA,14,0)-'TRADE IN'!$F132))</f>
        <v>6199</v>
      </c>
      <c r="Q132" s="46">
        <f>IF(VLOOKUP($C132,REV!$C:$AA,15,0)-'TRADE IN'!$F141=0,"",(VLOOKUP($C132,REV!$C:$AA,15,0)-'TRADE IN'!$F132))</f>
        <v>5999</v>
      </c>
      <c r="R132" s="46">
        <f>IF(VLOOKUP($C132,REV!$C:$AA,16,0)-'TRADE IN'!$F141=0,"",(VLOOKUP($C132,REV!$C:$AA,16,0)-'TRADE IN'!$F132))</f>
        <v>6299</v>
      </c>
      <c r="S132" s="46">
        <f>IF(VLOOKUP($C132,REV!$C:$AA,17,0)-'TRADE IN'!$F141=0,"",(VLOOKUP($C132,REV!$C:$AA,17,0)-'TRADE IN'!$F132))</f>
        <v>6199</v>
      </c>
      <c r="T132" s="46">
        <f>IF(VLOOKUP($C132,REV!$C:$AA,18,0)-'TRADE IN'!$F141=0,"",(VLOOKUP($C132,REV!$C:$AA,18,0)-'TRADE IN'!$F132))</f>
        <v>5999</v>
      </c>
      <c r="U132" s="46">
        <f>IF(VLOOKUP($C132,REV!$C:$AA,19,0)-'TRADE IN'!$F141=0,"",(VLOOKUP($C132,REV!$C:$AA,19,0)-'TRADE IN'!$F132))</f>
        <v>5999</v>
      </c>
      <c r="V132" s="46">
        <f>IF(VLOOKUP($C132,REV!$C:$AA,20,0)-'TRADE IN'!$F141=0,"",(VLOOKUP($C132,REV!$C:$AA,20,0)-'TRADE IN'!$F132))</f>
        <v>5999</v>
      </c>
      <c r="W132" s="46">
        <f>IF(VLOOKUP($C132,REV!$C:$AA,21,0)-'TRADE IN'!$F141=0,"",(VLOOKUP($C132,REV!$C:$AA,21,0)-'TRADE IN'!$F132))</f>
        <v>5999</v>
      </c>
      <c r="X132" s="46">
        <f>IF(VLOOKUP($C132,REV!$C:$AA,22,0)-'TRADE IN'!$F141=0,"",(VLOOKUP($C132,REV!$C:$AA,22,0)-'TRADE IN'!$F132))</f>
        <v>5899</v>
      </c>
      <c r="Y132" s="46">
        <f>IF(VLOOKUP($C132,REV!$C:$AA,23,0)-'TRADE IN'!$F141=0,"",(VLOOKUP($C132,REV!$C:$AA,23,0)-'TRADE IN'!$F132))</f>
        <v>5499</v>
      </c>
      <c r="Z132" s="46">
        <f>IF(VLOOKUP($C132,REV!$C:$AA,24,0)-'TRADE IN'!$F141=0,"",(VLOOKUP($C132,REV!$C:$AA,24,0)-'TRADE IN'!$F132))</f>
        <v>5499</v>
      </c>
      <c r="AA132" s="46">
        <f>IF(VLOOKUP($C132,REV!$C:$AA,25,0)-'TRADE IN'!$F141=0,"",(VLOOKUP($C132,REV!$C:$AA,25,0)-'TRADE IN'!$F132))</f>
        <v>5499</v>
      </c>
      <c r="AB132" s="46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tr">
        <f>IF(REV!AW132=0,"",REV!AW132)</f>
        <v>31.03.2026</v>
      </c>
      <c r="AX132" s="159" t="s">
        <v>82</v>
      </c>
    </row>
    <row r="133" spans="1:50" ht="22.5" customHeight="1">
      <c r="A133" s="52" t="s">
        <v>70</v>
      </c>
      <c r="B133" s="41" t="s">
        <v>62</v>
      </c>
      <c r="C133" s="42">
        <v>4015796</v>
      </c>
      <c r="D133" s="43" t="s">
        <v>204</v>
      </c>
      <c r="E133" s="43" t="s">
        <v>206</v>
      </c>
      <c r="F133" s="45"/>
      <c r="G133" s="45"/>
      <c r="H133" s="46"/>
      <c r="I133" s="46"/>
      <c r="J133" s="46">
        <f>IF(VLOOKUP($C133,REV!$C:$AA,8,0)-'TRADE IN'!$F133=0,"",(VLOOKUP($C133,REV!$C:$AA,8,0)-'TRADE IN'!$F133))</f>
        <v>6399</v>
      </c>
      <c r="K133" s="46">
        <f>IF(VLOOKUP($C133,REV!$C:$AA,9,0)-'TRADE IN'!$F133=0,"",(VLOOKUP($C133,REV!$C:$AA,9,0)-'TRADE IN'!$F133))</f>
        <v>6399</v>
      </c>
      <c r="L133" s="46">
        <f>IF(VLOOKUP($C133,REV!$C:$AA,10,0)-'TRADE IN'!$F142=0,"",(VLOOKUP($C133,REV!$C:$AA,10,0)-'TRADE IN'!$F133))</f>
        <v>6399</v>
      </c>
      <c r="M133" s="46">
        <f>IF(VLOOKUP($C133,REV!$C:$AA,11,0)-'TRADE IN'!$F142=0,"",(VLOOKUP($C133,REV!$C:$AA,11,0)-'TRADE IN'!$F133))</f>
        <v>6399</v>
      </c>
      <c r="N133" s="46">
        <f>IF(VLOOKUP($C133,REV!$C:$AA,12,0)-'TRADE IN'!$F142=0,"",(VLOOKUP($C133,REV!$C:$AA,12,0)-'TRADE IN'!$F133))</f>
        <v>6399</v>
      </c>
      <c r="O133" s="46">
        <f>IF(VLOOKUP($C133,REV!$C:$AA,13,0)-'TRADE IN'!$F142=0,"",(VLOOKUP($C133,REV!$C:$AA,13,0)-'TRADE IN'!$F133))</f>
        <v>6299</v>
      </c>
      <c r="P133" s="46">
        <f>IF(VLOOKUP($C133,REV!$C:$AA,14,0)-'TRADE IN'!$F142=0,"",(VLOOKUP($C133,REV!$C:$AA,14,0)-'TRADE IN'!$F133))</f>
        <v>6199</v>
      </c>
      <c r="Q133" s="46">
        <f>IF(VLOOKUP($C133,REV!$C:$AA,15,0)-'TRADE IN'!$F142=0,"",(VLOOKUP($C133,REV!$C:$AA,15,0)-'TRADE IN'!$F133))</f>
        <v>5999</v>
      </c>
      <c r="R133" s="46">
        <f>IF(VLOOKUP($C133,REV!$C:$AA,16,0)-'TRADE IN'!$F142=0,"",(VLOOKUP($C133,REV!$C:$AA,16,0)-'TRADE IN'!$F133))</f>
        <v>6299</v>
      </c>
      <c r="S133" s="46">
        <f>IF(VLOOKUP($C133,REV!$C:$AA,17,0)-'TRADE IN'!$F142=0,"",(VLOOKUP($C133,REV!$C:$AA,17,0)-'TRADE IN'!$F133))</f>
        <v>6199</v>
      </c>
      <c r="T133" s="46">
        <f>IF(VLOOKUP($C133,REV!$C:$AA,18,0)-'TRADE IN'!$F142=0,"",(VLOOKUP($C133,REV!$C:$AA,18,0)-'TRADE IN'!$F133))</f>
        <v>5999</v>
      </c>
      <c r="U133" s="46">
        <f>IF(VLOOKUP($C133,REV!$C:$AA,19,0)-'TRADE IN'!$F142=0,"",(VLOOKUP($C133,REV!$C:$AA,19,0)-'TRADE IN'!$F133))</f>
        <v>5999</v>
      </c>
      <c r="V133" s="46">
        <f>IF(VLOOKUP($C133,REV!$C:$AA,20,0)-'TRADE IN'!$F142=0,"",(VLOOKUP($C133,REV!$C:$AA,20,0)-'TRADE IN'!$F133))</f>
        <v>5999</v>
      </c>
      <c r="W133" s="46">
        <f>IF(VLOOKUP($C133,REV!$C:$AA,21,0)-'TRADE IN'!$F142=0,"",(VLOOKUP($C133,REV!$C:$AA,21,0)-'TRADE IN'!$F133))</f>
        <v>5999</v>
      </c>
      <c r="X133" s="46">
        <f>IF(VLOOKUP($C133,REV!$C:$AA,22,0)-'TRADE IN'!$F142=0,"",(VLOOKUP($C133,REV!$C:$AA,22,0)-'TRADE IN'!$F133))</f>
        <v>5899</v>
      </c>
      <c r="Y133" s="46">
        <f>IF(VLOOKUP($C133,REV!$C:$AA,23,0)-'TRADE IN'!$F142=0,"",(VLOOKUP($C133,REV!$C:$AA,23,0)-'TRADE IN'!$F133))</f>
        <v>5499</v>
      </c>
      <c r="Z133" s="46">
        <f>IF(VLOOKUP($C133,REV!$C:$AA,24,0)-'TRADE IN'!$F142=0,"",(VLOOKUP($C133,REV!$C:$AA,24,0)-'TRADE IN'!$F133))</f>
        <v>5499</v>
      </c>
      <c r="AA133" s="46">
        <f>IF(VLOOKUP($C133,REV!$C:$AA,25,0)-'TRADE IN'!$F142=0,"",(VLOOKUP($C133,REV!$C:$AA,25,0)-'TRADE IN'!$F133))</f>
        <v>5499</v>
      </c>
      <c r="AB133" s="46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tr">
        <f>IF(REV!AW133=0,"",REV!AW133)</f>
        <v>31.03.2026</v>
      </c>
      <c r="AX133" s="159" t="s">
        <v>82</v>
      </c>
    </row>
    <row r="134" spans="1:50" ht="22.5" customHeight="1">
      <c r="A134" s="52" t="s">
        <v>70</v>
      </c>
      <c r="B134" s="41" t="s">
        <v>62</v>
      </c>
      <c r="C134" s="42">
        <v>4015767</v>
      </c>
      <c r="D134" s="43" t="s">
        <v>204</v>
      </c>
      <c r="E134" s="43" t="s">
        <v>207</v>
      </c>
      <c r="F134" s="45"/>
      <c r="G134" s="45"/>
      <c r="H134" s="46"/>
      <c r="I134" s="46"/>
      <c r="J134" s="46">
        <f>IF(VLOOKUP($C134,REV!$C:$AA,8,0)-'TRADE IN'!$F134=0,"",(VLOOKUP($C134,REV!$C:$AA,8,0)-'TRADE IN'!$F134))</f>
        <v>6399</v>
      </c>
      <c r="K134" s="46">
        <f>IF(VLOOKUP($C134,REV!$C:$AA,9,0)-'TRADE IN'!$F134=0,"",(VLOOKUP($C134,REV!$C:$AA,9,0)-'TRADE IN'!$F134))</f>
        <v>6399</v>
      </c>
      <c r="L134" s="46">
        <f>IF(VLOOKUP($C134,REV!$C:$AA,10,0)-'TRADE IN'!$F143=0,"",(VLOOKUP($C134,REV!$C:$AA,10,0)-'TRADE IN'!$F134))</f>
        <v>6399</v>
      </c>
      <c r="M134" s="46">
        <f>IF(VLOOKUP($C134,REV!$C:$AA,11,0)-'TRADE IN'!$F143=0,"",(VLOOKUP($C134,REV!$C:$AA,11,0)-'TRADE IN'!$F134))</f>
        <v>6399</v>
      </c>
      <c r="N134" s="46">
        <f>IF(VLOOKUP($C134,REV!$C:$AA,12,0)-'TRADE IN'!$F143=0,"",(VLOOKUP($C134,REV!$C:$AA,12,0)-'TRADE IN'!$F134))</f>
        <v>6399</v>
      </c>
      <c r="O134" s="46">
        <f>IF(VLOOKUP($C134,REV!$C:$AA,13,0)-'TRADE IN'!$F143=0,"",(VLOOKUP($C134,REV!$C:$AA,13,0)-'TRADE IN'!$F134))</f>
        <v>6299</v>
      </c>
      <c r="P134" s="46">
        <f>IF(VLOOKUP($C134,REV!$C:$AA,14,0)-'TRADE IN'!$F143=0,"",(VLOOKUP($C134,REV!$C:$AA,14,0)-'TRADE IN'!$F134))</f>
        <v>6199</v>
      </c>
      <c r="Q134" s="46">
        <f>IF(VLOOKUP($C134,REV!$C:$AA,15,0)-'TRADE IN'!$F143=0,"",(VLOOKUP($C134,REV!$C:$AA,15,0)-'TRADE IN'!$F134))</f>
        <v>5999</v>
      </c>
      <c r="R134" s="46">
        <f>IF(VLOOKUP($C134,REV!$C:$AA,16,0)-'TRADE IN'!$F143=0,"",(VLOOKUP($C134,REV!$C:$AA,16,0)-'TRADE IN'!$F134))</f>
        <v>6299</v>
      </c>
      <c r="S134" s="46">
        <f>IF(VLOOKUP($C134,REV!$C:$AA,17,0)-'TRADE IN'!$F143=0,"",(VLOOKUP($C134,REV!$C:$AA,17,0)-'TRADE IN'!$F134))</f>
        <v>6199</v>
      </c>
      <c r="T134" s="46">
        <f>IF(VLOOKUP($C134,REV!$C:$AA,18,0)-'TRADE IN'!$F143=0,"",(VLOOKUP($C134,REV!$C:$AA,18,0)-'TRADE IN'!$F134))</f>
        <v>5999</v>
      </c>
      <c r="U134" s="46">
        <f>IF(VLOOKUP($C134,REV!$C:$AA,19,0)-'TRADE IN'!$F143=0,"",(VLOOKUP($C134,REV!$C:$AA,19,0)-'TRADE IN'!$F134))</f>
        <v>5999</v>
      </c>
      <c r="V134" s="46">
        <f>IF(VLOOKUP($C134,REV!$C:$AA,20,0)-'TRADE IN'!$F143=0,"",(VLOOKUP($C134,REV!$C:$AA,20,0)-'TRADE IN'!$F134))</f>
        <v>5999</v>
      </c>
      <c r="W134" s="46">
        <f>IF(VLOOKUP($C134,REV!$C:$AA,21,0)-'TRADE IN'!$F143=0,"",(VLOOKUP($C134,REV!$C:$AA,21,0)-'TRADE IN'!$F134))</f>
        <v>5999</v>
      </c>
      <c r="X134" s="46">
        <f>IF(VLOOKUP($C134,REV!$C:$AA,22,0)-'TRADE IN'!$F143=0,"",(VLOOKUP($C134,REV!$C:$AA,22,0)-'TRADE IN'!$F134))</f>
        <v>5899</v>
      </c>
      <c r="Y134" s="46">
        <f>IF(VLOOKUP($C134,REV!$C:$AA,23,0)-'TRADE IN'!$F143=0,"",(VLOOKUP($C134,REV!$C:$AA,23,0)-'TRADE IN'!$F134))</f>
        <v>5499</v>
      </c>
      <c r="Z134" s="46">
        <f>IF(VLOOKUP($C134,REV!$C:$AA,24,0)-'TRADE IN'!$F143=0,"",(VLOOKUP($C134,REV!$C:$AA,24,0)-'TRADE IN'!$F134))</f>
        <v>5499</v>
      </c>
      <c r="AA134" s="46">
        <f>IF(VLOOKUP($C134,REV!$C:$AA,25,0)-'TRADE IN'!$F143=0,"",(VLOOKUP($C134,REV!$C:$AA,25,0)-'TRADE IN'!$F134))</f>
        <v>5499</v>
      </c>
      <c r="AB134" s="46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tr">
        <f>IF(REV!AW134=0,"",REV!AW134)</f>
        <v>31.03.2026</v>
      </c>
      <c r="AX134" s="159" t="s">
        <v>82</v>
      </c>
    </row>
    <row r="135" spans="1:50" ht="22.5" customHeight="1">
      <c r="A135" s="52" t="s">
        <v>70</v>
      </c>
      <c r="B135" s="41" t="s">
        <v>62</v>
      </c>
      <c r="C135" s="42">
        <v>4015782</v>
      </c>
      <c r="D135" s="43" t="s">
        <v>204</v>
      </c>
      <c r="E135" s="43" t="s">
        <v>208</v>
      </c>
      <c r="F135" s="45"/>
      <c r="G135" s="45"/>
      <c r="H135" s="46"/>
      <c r="I135" s="46"/>
      <c r="J135" s="46">
        <f>IF(VLOOKUP($C135,REV!$C:$AA,8,0)-'TRADE IN'!$F135=0,"",(VLOOKUP($C135,REV!$C:$AA,8,0)-'TRADE IN'!$F135))</f>
        <v>6399</v>
      </c>
      <c r="K135" s="46">
        <f>IF(VLOOKUP($C135,REV!$C:$AA,9,0)-'TRADE IN'!$F135=0,"",(VLOOKUP($C135,REV!$C:$AA,9,0)-'TRADE IN'!$F135))</f>
        <v>6399</v>
      </c>
      <c r="L135" s="46">
        <f>IF(VLOOKUP($C135,REV!$C:$AA,10,0)-'TRADE IN'!$F144=0,"",(VLOOKUP($C135,REV!$C:$AA,10,0)-'TRADE IN'!$F135))</f>
        <v>6399</v>
      </c>
      <c r="M135" s="46">
        <f>IF(VLOOKUP($C135,REV!$C:$AA,11,0)-'TRADE IN'!$F144=0,"",(VLOOKUP($C135,REV!$C:$AA,11,0)-'TRADE IN'!$F135))</f>
        <v>6399</v>
      </c>
      <c r="N135" s="46">
        <f>IF(VLOOKUP($C135,REV!$C:$AA,12,0)-'TRADE IN'!$F144=0,"",(VLOOKUP($C135,REV!$C:$AA,12,0)-'TRADE IN'!$F135))</f>
        <v>6399</v>
      </c>
      <c r="O135" s="46">
        <f>IF(VLOOKUP($C135,REV!$C:$AA,13,0)-'TRADE IN'!$F144=0,"",(VLOOKUP($C135,REV!$C:$AA,13,0)-'TRADE IN'!$F135))</f>
        <v>6299</v>
      </c>
      <c r="P135" s="46">
        <f>IF(VLOOKUP($C135,REV!$C:$AA,14,0)-'TRADE IN'!$F144=0,"",(VLOOKUP($C135,REV!$C:$AA,14,0)-'TRADE IN'!$F135))</f>
        <v>6199</v>
      </c>
      <c r="Q135" s="46">
        <f>IF(VLOOKUP($C135,REV!$C:$AA,15,0)-'TRADE IN'!$F144=0,"",(VLOOKUP($C135,REV!$C:$AA,15,0)-'TRADE IN'!$F135))</f>
        <v>5999</v>
      </c>
      <c r="R135" s="46">
        <f>IF(VLOOKUP($C135,REV!$C:$AA,16,0)-'TRADE IN'!$F144=0,"",(VLOOKUP($C135,REV!$C:$AA,16,0)-'TRADE IN'!$F135))</f>
        <v>6299</v>
      </c>
      <c r="S135" s="46">
        <f>IF(VLOOKUP($C135,REV!$C:$AA,17,0)-'TRADE IN'!$F144=0,"",(VLOOKUP($C135,REV!$C:$AA,17,0)-'TRADE IN'!$F135))</f>
        <v>6199</v>
      </c>
      <c r="T135" s="46">
        <f>IF(VLOOKUP($C135,REV!$C:$AA,18,0)-'TRADE IN'!$F144=0,"",(VLOOKUP($C135,REV!$C:$AA,18,0)-'TRADE IN'!$F135))</f>
        <v>5999</v>
      </c>
      <c r="U135" s="46">
        <f>IF(VLOOKUP($C135,REV!$C:$AA,19,0)-'TRADE IN'!$F144=0,"",(VLOOKUP($C135,REV!$C:$AA,19,0)-'TRADE IN'!$F135))</f>
        <v>5999</v>
      </c>
      <c r="V135" s="46">
        <f>IF(VLOOKUP($C135,REV!$C:$AA,20,0)-'TRADE IN'!$F144=0,"",(VLOOKUP($C135,REV!$C:$AA,20,0)-'TRADE IN'!$F135))</f>
        <v>5999</v>
      </c>
      <c r="W135" s="46">
        <f>IF(VLOOKUP($C135,REV!$C:$AA,21,0)-'TRADE IN'!$F144=0,"",(VLOOKUP($C135,REV!$C:$AA,21,0)-'TRADE IN'!$F135))</f>
        <v>5999</v>
      </c>
      <c r="X135" s="46">
        <f>IF(VLOOKUP($C135,REV!$C:$AA,22,0)-'TRADE IN'!$F144=0,"",(VLOOKUP($C135,REV!$C:$AA,22,0)-'TRADE IN'!$F135))</f>
        <v>5899</v>
      </c>
      <c r="Y135" s="46">
        <f>IF(VLOOKUP($C135,REV!$C:$AA,23,0)-'TRADE IN'!$F144=0,"",(VLOOKUP($C135,REV!$C:$AA,23,0)-'TRADE IN'!$F135))</f>
        <v>5499</v>
      </c>
      <c r="Z135" s="46">
        <f>IF(VLOOKUP($C135,REV!$C:$AA,24,0)-'TRADE IN'!$F144=0,"",(VLOOKUP($C135,REV!$C:$AA,24,0)-'TRADE IN'!$F135))</f>
        <v>5499</v>
      </c>
      <c r="AA135" s="46">
        <f>IF(VLOOKUP($C135,REV!$C:$AA,25,0)-'TRADE IN'!$F144=0,"",(VLOOKUP($C135,REV!$C:$AA,25,0)-'TRADE IN'!$F135))</f>
        <v>5499</v>
      </c>
      <c r="AB135" s="46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tr">
        <f>IF(REV!AW135=0,"",REV!AW135)</f>
        <v>31.03.2026</v>
      </c>
      <c r="AX135" s="159" t="s">
        <v>82</v>
      </c>
    </row>
    <row r="136" spans="1:50" ht="22.5" customHeight="1">
      <c r="A136" s="52" t="s">
        <v>70</v>
      </c>
      <c r="B136" s="41" t="s">
        <v>62</v>
      </c>
      <c r="C136" s="42">
        <v>4015749</v>
      </c>
      <c r="D136" s="43" t="s">
        <v>209</v>
      </c>
      <c r="E136" s="43" t="s">
        <v>210</v>
      </c>
      <c r="F136" s="45"/>
      <c r="G136" s="45"/>
      <c r="H136" s="46"/>
      <c r="I136" s="46"/>
      <c r="J136" s="46">
        <f>IF(VLOOKUP($C136,REV!$C:$AA,8,0)-'TRADE IN'!$F136=0,"",(VLOOKUP($C136,REV!$C:$AA,8,0)-'TRADE IN'!$F136))</f>
        <v>6899</v>
      </c>
      <c r="K136" s="46">
        <f>IF(VLOOKUP($C136,REV!$C:$AA,9,0)-'TRADE IN'!$F136=0,"",(VLOOKUP($C136,REV!$C:$AA,9,0)-'TRADE IN'!$F136))</f>
        <v>6899</v>
      </c>
      <c r="L136" s="46">
        <f>IF(VLOOKUP($C136,REV!$C:$AA,10,0)-'TRADE IN'!$F145=0,"",(VLOOKUP($C136,REV!$C:$AA,10,0)-'TRADE IN'!$F136))</f>
        <v>6899</v>
      </c>
      <c r="M136" s="46">
        <f>IF(VLOOKUP($C136,REV!$C:$AA,11,0)-'TRADE IN'!$F145=0,"",(VLOOKUP($C136,REV!$C:$AA,11,0)-'TRADE IN'!$F136))</f>
        <v>6899</v>
      </c>
      <c r="N136" s="46">
        <f>IF(VLOOKUP($C136,REV!$C:$AA,12,0)-'TRADE IN'!$F145=0,"",(VLOOKUP($C136,REV!$C:$AA,12,0)-'TRADE IN'!$F136))</f>
        <v>6899</v>
      </c>
      <c r="O136" s="46">
        <f>IF(VLOOKUP($C136,REV!$C:$AA,13,0)-'TRADE IN'!$F145=0,"",(VLOOKUP($C136,REV!$C:$AA,13,0)-'TRADE IN'!$F136))</f>
        <v>6799</v>
      </c>
      <c r="P136" s="46">
        <f>IF(VLOOKUP($C136,REV!$C:$AA,14,0)-'TRADE IN'!$F145=0,"",(VLOOKUP($C136,REV!$C:$AA,14,0)-'TRADE IN'!$F136))</f>
        <v>6699</v>
      </c>
      <c r="Q136" s="46">
        <f>IF(VLOOKUP($C136,REV!$C:$AA,15,0)-'TRADE IN'!$F145=0,"",(VLOOKUP($C136,REV!$C:$AA,15,0)-'TRADE IN'!$F136))</f>
        <v>6499</v>
      </c>
      <c r="R136" s="46">
        <f>IF(VLOOKUP($C136,REV!$C:$AA,16,0)-'TRADE IN'!$F145=0,"",(VLOOKUP($C136,REV!$C:$AA,16,0)-'TRADE IN'!$F136))</f>
        <v>6799</v>
      </c>
      <c r="S136" s="46">
        <f>IF(VLOOKUP($C136,REV!$C:$AA,17,0)-'TRADE IN'!$F145=0,"",(VLOOKUP($C136,REV!$C:$AA,17,0)-'TRADE IN'!$F136))</f>
        <v>6699</v>
      </c>
      <c r="T136" s="46">
        <f>IF(VLOOKUP($C136,REV!$C:$AA,18,0)-'TRADE IN'!$F145=0,"",(VLOOKUP($C136,REV!$C:$AA,18,0)-'TRADE IN'!$F136))</f>
        <v>6499</v>
      </c>
      <c r="U136" s="46">
        <f>IF(VLOOKUP($C136,REV!$C:$AA,19,0)-'TRADE IN'!$F145=0,"",(VLOOKUP($C136,REV!$C:$AA,19,0)-'TRADE IN'!$F136))</f>
        <v>6499</v>
      </c>
      <c r="V136" s="46">
        <f>IF(VLOOKUP($C136,REV!$C:$AA,20,0)-'TRADE IN'!$F145=0,"",(VLOOKUP($C136,REV!$C:$AA,20,0)-'TRADE IN'!$F136))</f>
        <v>6499</v>
      </c>
      <c r="W136" s="46">
        <f>IF(VLOOKUP($C136,REV!$C:$AA,21,0)-'TRADE IN'!$F145=0,"",(VLOOKUP($C136,REV!$C:$AA,21,0)-'TRADE IN'!$F136))</f>
        <v>6499</v>
      </c>
      <c r="X136" s="46">
        <f>IF(VLOOKUP($C136,REV!$C:$AA,22,0)-'TRADE IN'!$F145=0,"",(VLOOKUP($C136,REV!$C:$AA,22,0)-'TRADE IN'!$F136))</f>
        <v>6399</v>
      </c>
      <c r="Y136" s="46">
        <f>IF(VLOOKUP($C136,REV!$C:$AA,23,0)-'TRADE IN'!$F145=0,"",(VLOOKUP($C136,REV!$C:$AA,23,0)-'TRADE IN'!$F136))</f>
        <v>5999</v>
      </c>
      <c r="Z136" s="46">
        <f>IF(VLOOKUP($C136,REV!$C:$AA,24,0)-'TRADE IN'!$F145=0,"",(VLOOKUP($C136,REV!$C:$AA,24,0)-'TRADE IN'!$F136))</f>
        <v>5999</v>
      </c>
      <c r="AA136" s="46">
        <f>IF(VLOOKUP($C136,REV!$C:$AA,25,0)-'TRADE IN'!$F145=0,"",(VLOOKUP($C136,REV!$C:$AA,25,0)-'TRADE IN'!$F136))</f>
        <v>5999</v>
      </c>
      <c r="AB136" s="46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tr">
        <f>IF(REV!AW136=0,"",REV!AW136)</f>
        <v>31.03.2026</v>
      </c>
      <c r="AX136" s="159" t="s">
        <v>82</v>
      </c>
    </row>
    <row r="137" spans="1:50" ht="22.5" customHeight="1">
      <c r="A137" s="52" t="s">
        <v>70</v>
      </c>
      <c r="B137" s="41" t="s">
        <v>62</v>
      </c>
      <c r="C137" s="42">
        <v>4015797</v>
      </c>
      <c r="D137" s="43" t="s">
        <v>209</v>
      </c>
      <c r="E137" s="43" t="s">
        <v>211</v>
      </c>
      <c r="F137" s="45"/>
      <c r="G137" s="45"/>
      <c r="H137" s="46"/>
      <c r="I137" s="46"/>
      <c r="J137" s="46">
        <f>IF(VLOOKUP($C137,REV!$C:$AA,8,0)-'TRADE IN'!$F137=0,"",(VLOOKUP($C137,REV!$C:$AA,8,0)-'TRADE IN'!$F137))</f>
        <v>6899</v>
      </c>
      <c r="K137" s="46">
        <f>IF(VLOOKUP($C137,REV!$C:$AA,9,0)-'TRADE IN'!$F137=0,"",(VLOOKUP($C137,REV!$C:$AA,9,0)-'TRADE IN'!$F137))</f>
        <v>6899</v>
      </c>
      <c r="L137" s="46">
        <f>IF(VLOOKUP($C137,REV!$C:$AA,10,0)-'TRADE IN'!$F146=0,"",(VLOOKUP($C137,REV!$C:$AA,10,0)-'TRADE IN'!$F137))</f>
        <v>6899</v>
      </c>
      <c r="M137" s="46">
        <f>IF(VLOOKUP($C137,REV!$C:$AA,11,0)-'TRADE IN'!$F146=0,"",(VLOOKUP($C137,REV!$C:$AA,11,0)-'TRADE IN'!$F137))</f>
        <v>6899</v>
      </c>
      <c r="N137" s="46">
        <f>IF(VLOOKUP($C137,REV!$C:$AA,12,0)-'TRADE IN'!$F146=0,"",(VLOOKUP($C137,REV!$C:$AA,12,0)-'TRADE IN'!$F137))</f>
        <v>6899</v>
      </c>
      <c r="O137" s="46">
        <f>IF(VLOOKUP($C137,REV!$C:$AA,13,0)-'TRADE IN'!$F146=0,"",(VLOOKUP($C137,REV!$C:$AA,13,0)-'TRADE IN'!$F137))</f>
        <v>6799</v>
      </c>
      <c r="P137" s="46">
        <f>IF(VLOOKUP($C137,REV!$C:$AA,14,0)-'TRADE IN'!$F146=0,"",(VLOOKUP($C137,REV!$C:$AA,14,0)-'TRADE IN'!$F137))</f>
        <v>6699</v>
      </c>
      <c r="Q137" s="46">
        <f>IF(VLOOKUP($C137,REV!$C:$AA,15,0)-'TRADE IN'!$F146=0,"",(VLOOKUP($C137,REV!$C:$AA,15,0)-'TRADE IN'!$F137))</f>
        <v>6499</v>
      </c>
      <c r="R137" s="46">
        <f>IF(VLOOKUP($C137,REV!$C:$AA,16,0)-'TRADE IN'!$F146=0,"",(VLOOKUP($C137,REV!$C:$AA,16,0)-'TRADE IN'!$F137))</f>
        <v>6799</v>
      </c>
      <c r="S137" s="46">
        <f>IF(VLOOKUP($C137,REV!$C:$AA,17,0)-'TRADE IN'!$F146=0,"",(VLOOKUP($C137,REV!$C:$AA,17,0)-'TRADE IN'!$F137))</f>
        <v>6699</v>
      </c>
      <c r="T137" s="46">
        <f>IF(VLOOKUP($C137,REV!$C:$AA,18,0)-'TRADE IN'!$F146=0,"",(VLOOKUP($C137,REV!$C:$AA,18,0)-'TRADE IN'!$F137))</f>
        <v>6499</v>
      </c>
      <c r="U137" s="46">
        <f>IF(VLOOKUP($C137,REV!$C:$AA,19,0)-'TRADE IN'!$F146=0,"",(VLOOKUP($C137,REV!$C:$AA,19,0)-'TRADE IN'!$F137))</f>
        <v>6499</v>
      </c>
      <c r="V137" s="46">
        <f>IF(VLOOKUP($C137,REV!$C:$AA,20,0)-'TRADE IN'!$F146=0,"",(VLOOKUP($C137,REV!$C:$AA,20,0)-'TRADE IN'!$F137))</f>
        <v>6499</v>
      </c>
      <c r="W137" s="46">
        <f>IF(VLOOKUP($C137,REV!$C:$AA,21,0)-'TRADE IN'!$F146=0,"",(VLOOKUP($C137,REV!$C:$AA,21,0)-'TRADE IN'!$F137))</f>
        <v>6499</v>
      </c>
      <c r="X137" s="46">
        <f>IF(VLOOKUP($C137,REV!$C:$AA,22,0)-'TRADE IN'!$F146=0,"",(VLOOKUP($C137,REV!$C:$AA,22,0)-'TRADE IN'!$F137))</f>
        <v>6399</v>
      </c>
      <c r="Y137" s="46">
        <f>IF(VLOOKUP($C137,REV!$C:$AA,23,0)-'TRADE IN'!$F146=0,"",(VLOOKUP($C137,REV!$C:$AA,23,0)-'TRADE IN'!$F137))</f>
        <v>5999</v>
      </c>
      <c r="Z137" s="46">
        <f>IF(VLOOKUP($C137,REV!$C:$AA,24,0)-'TRADE IN'!$F146=0,"",(VLOOKUP($C137,REV!$C:$AA,24,0)-'TRADE IN'!$F137))</f>
        <v>5999</v>
      </c>
      <c r="AA137" s="46">
        <f>IF(VLOOKUP($C137,REV!$C:$AA,25,0)-'TRADE IN'!$F146=0,"",(VLOOKUP($C137,REV!$C:$AA,25,0)-'TRADE IN'!$F137))</f>
        <v>5999</v>
      </c>
      <c r="AB137" s="46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tr">
        <f>IF(REV!AW137=0,"",REV!AW137)</f>
        <v>31.03.2026</v>
      </c>
      <c r="AX137" s="159" t="s">
        <v>82</v>
      </c>
    </row>
    <row r="138" spans="1:50" ht="22.5" customHeight="1">
      <c r="A138" s="52" t="s">
        <v>70</v>
      </c>
      <c r="B138" s="41" t="s">
        <v>62</v>
      </c>
      <c r="C138" s="42">
        <v>4015769</v>
      </c>
      <c r="D138" s="43" t="s">
        <v>209</v>
      </c>
      <c r="E138" s="43" t="s">
        <v>212</v>
      </c>
      <c r="F138" s="45"/>
      <c r="G138" s="45"/>
      <c r="H138" s="46"/>
      <c r="I138" s="46"/>
      <c r="J138" s="46">
        <f>IF(VLOOKUP($C138,REV!$C:$AA,8,0)-'TRADE IN'!$F138=0,"",(VLOOKUP($C138,REV!$C:$AA,8,0)-'TRADE IN'!$F138))</f>
        <v>6899</v>
      </c>
      <c r="K138" s="46">
        <f>IF(VLOOKUP($C138,REV!$C:$AA,9,0)-'TRADE IN'!$F138=0,"",(VLOOKUP($C138,REV!$C:$AA,9,0)-'TRADE IN'!$F138))</f>
        <v>6899</v>
      </c>
      <c r="L138" s="46">
        <f>IF(VLOOKUP($C138,REV!$C:$AA,10,0)-'TRADE IN'!$F147=0,"",(VLOOKUP($C138,REV!$C:$AA,10,0)-'TRADE IN'!$F138))</f>
        <v>6899</v>
      </c>
      <c r="M138" s="46">
        <f>IF(VLOOKUP($C138,REV!$C:$AA,11,0)-'TRADE IN'!$F147=0,"",(VLOOKUP($C138,REV!$C:$AA,11,0)-'TRADE IN'!$F138))</f>
        <v>6899</v>
      </c>
      <c r="N138" s="46">
        <f>IF(VLOOKUP($C138,REV!$C:$AA,12,0)-'TRADE IN'!$F147=0,"",(VLOOKUP($C138,REV!$C:$AA,12,0)-'TRADE IN'!$F138))</f>
        <v>6899</v>
      </c>
      <c r="O138" s="46">
        <f>IF(VLOOKUP($C138,REV!$C:$AA,13,0)-'TRADE IN'!$F147=0,"",(VLOOKUP($C138,REV!$C:$AA,13,0)-'TRADE IN'!$F138))</f>
        <v>6799</v>
      </c>
      <c r="P138" s="46">
        <f>IF(VLOOKUP($C138,REV!$C:$AA,14,0)-'TRADE IN'!$F147=0,"",(VLOOKUP($C138,REV!$C:$AA,14,0)-'TRADE IN'!$F138))</f>
        <v>6699</v>
      </c>
      <c r="Q138" s="46">
        <f>IF(VLOOKUP($C138,REV!$C:$AA,15,0)-'TRADE IN'!$F147=0,"",(VLOOKUP($C138,REV!$C:$AA,15,0)-'TRADE IN'!$F138))</f>
        <v>6499</v>
      </c>
      <c r="R138" s="46">
        <f>IF(VLOOKUP($C138,REV!$C:$AA,16,0)-'TRADE IN'!$F147=0,"",(VLOOKUP($C138,REV!$C:$AA,16,0)-'TRADE IN'!$F138))</f>
        <v>6799</v>
      </c>
      <c r="S138" s="46">
        <f>IF(VLOOKUP($C138,REV!$C:$AA,17,0)-'TRADE IN'!$F147=0,"",(VLOOKUP($C138,REV!$C:$AA,17,0)-'TRADE IN'!$F138))</f>
        <v>6699</v>
      </c>
      <c r="T138" s="46">
        <f>IF(VLOOKUP($C138,REV!$C:$AA,18,0)-'TRADE IN'!$F147=0,"",(VLOOKUP($C138,REV!$C:$AA,18,0)-'TRADE IN'!$F138))</f>
        <v>6499</v>
      </c>
      <c r="U138" s="46">
        <f>IF(VLOOKUP($C138,REV!$C:$AA,19,0)-'TRADE IN'!$F147=0,"",(VLOOKUP($C138,REV!$C:$AA,19,0)-'TRADE IN'!$F138))</f>
        <v>6499</v>
      </c>
      <c r="V138" s="46">
        <f>IF(VLOOKUP($C138,REV!$C:$AA,20,0)-'TRADE IN'!$F147=0,"",(VLOOKUP($C138,REV!$C:$AA,20,0)-'TRADE IN'!$F138))</f>
        <v>6499</v>
      </c>
      <c r="W138" s="46">
        <f>IF(VLOOKUP($C138,REV!$C:$AA,21,0)-'TRADE IN'!$F147=0,"",(VLOOKUP($C138,REV!$C:$AA,21,0)-'TRADE IN'!$F138))</f>
        <v>6499</v>
      </c>
      <c r="X138" s="46">
        <f>IF(VLOOKUP($C138,REV!$C:$AA,22,0)-'TRADE IN'!$F147=0,"",(VLOOKUP($C138,REV!$C:$AA,22,0)-'TRADE IN'!$F138))</f>
        <v>6399</v>
      </c>
      <c r="Y138" s="46">
        <f>IF(VLOOKUP($C138,REV!$C:$AA,23,0)-'TRADE IN'!$F147=0,"",(VLOOKUP($C138,REV!$C:$AA,23,0)-'TRADE IN'!$F138))</f>
        <v>5999</v>
      </c>
      <c r="Z138" s="46">
        <f>IF(VLOOKUP($C138,REV!$C:$AA,24,0)-'TRADE IN'!$F147=0,"",(VLOOKUP($C138,REV!$C:$AA,24,0)-'TRADE IN'!$F138))</f>
        <v>5999</v>
      </c>
      <c r="AA138" s="46">
        <f>IF(VLOOKUP($C138,REV!$C:$AA,25,0)-'TRADE IN'!$F147=0,"",(VLOOKUP($C138,REV!$C:$AA,25,0)-'TRADE IN'!$F138))</f>
        <v>5999</v>
      </c>
      <c r="AB138" s="46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tr">
        <f>IF(REV!AW138=0,"",REV!AW138)</f>
        <v>31.03.2026</v>
      </c>
      <c r="AX138" s="159" t="s">
        <v>82</v>
      </c>
    </row>
    <row r="139" spans="1:50" ht="22.5" customHeight="1">
      <c r="A139" s="52" t="s">
        <v>70</v>
      </c>
      <c r="B139" s="41" t="s">
        <v>62</v>
      </c>
      <c r="C139" s="42">
        <v>4015784</v>
      </c>
      <c r="D139" s="43" t="s">
        <v>209</v>
      </c>
      <c r="E139" s="43" t="s">
        <v>213</v>
      </c>
      <c r="F139" s="45"/>
      <c r="G139" s="45"/>
      <c r="H139" s="46"/>
      <c r="I139" s="46"/>
      <c r="J139" s="46">
        <f>IF(VLOOKUP($C139,REV!$C:$AA,8,0)-'TRADE IN'!$F139=0,"",(VLOOKUP($C139,REV!$C:$AA,8,0)-'TRADE IN'!$F139))</f>
        <v>6899</v>
      </c>
      <c r="K139" s="46">
        <f>IF(VLOOKUP($C139,REV!$C:$AA,9,0)-'TRADE IN'!$F139=0,"",(VLOOKUP($C139,REV!$C:$AA,9,0)-'TRADE IN'!$F139))</f>
        <v>6899</v>
      </c>
      <c r="L139" s="46">
        <f>IF(VLOOKUP($C139,REV!$C:$AA,10,0)-'TRADE IN'!$F148=0,"",(VLOOKUP($C139,REV!$C:$AA,10,0)-'TRADE IN'!$F139))</f>
        <v>6899</v>
      </c>
      <c r="M139" s="46">
        <f>IF(VLOOKUP($C139,REV!$C:$AA,11,0)-'TRADE IN'!$F148=0,"",(VLOOKUP($C139,REV!$C:$AA,11,0)-'TRADE IN'!$F139))</f>
        <v>6899</v>
      </c>
      <c r="N139" s="46">
        <f>IF(VLOOKUP($C139,REV!$C:$AA,12,0)-'TRADE IN'!$F148=0,"",(VLOOKUP($C139,REV!$C:$AA,12,0)-'TRADE IN'!$F139))</f>
        <v>6899</v>
      </c>
      <c r="O139" s="46">
        <f>IF(VLOOKUP($C139,REV!$C:$AA,13,0)-'TRADE IN'!$F148=0,"",(VLOOKUP($C139,REV!$C:$AA,13,0)-'TRADE IN'!$F139))</f>
        <v>6799</v>
      </c>
      <c r="P139" s="46">
        <f>IF(VLOOKUP($C139,REV!$C:$AA,14,0)-'TRADE IN'!$F148=0,"",(VLOOKUP($C139,REV!$C:$AA,14,0)-'TRADE IN'!$F139))</f>
        <v>6699</v>
      </c>
      <c r="Q139" s="46">
        <f>IF(VLOOKUP($C139,REV!$C:$AA,15,0)-'TRADE IN'!$F148=0,"",(VLOOKUP($C139,REV!$C:$AA,15,0)-'TRADE IN'!$F139))</f>
        <v>6499</v>
      </c>
      <c r="R139" s="46">
        <f>IF(VLOOKUP($C139,REV!$C:$AA,16,0)-'TRADE IN'!$F148=0,"",(VLOOKUP($C139,REV!$C:$AA,16,0)-'TRADE IN'!$F139))</f>
        <v>6799</v>
      </c>
      <c r="S139" s="46">
        <f>IF(VLOOKUP($C139,REV!$C:$AA,17,0)-'TRADE IN'!$F148=0,"",(VLOOKUP($C139,REV!$C:$AA,17,0)-'TRADE IN'!$F139))</f>
        <v>6699</v>
      </c>
      <c r="T139" s="46">
        <f>IF(VLOOKUP($C139,REV!$C:$AA,18,0)-'TRADE IN'!$F148=0,"",(VLOOKUP($C139,REV!$C:$AA,18,0)-'TRADE IN'!$F139))</f>
        <v>6499</v>
      </c>
      <c r="U139" s="46">
        <f>IF(VLOOKUP($C139,REV!$C:$AA,19,0)-'TRADE IN'!$F148=0,"",(VLOOKUP($C139,REV!$C:$AA,19,0)-'TRADE IN'!$F139))</f>
        <v>6499</v>
      </c>
      <c r="V139" s="46">
        <f>IF(VLOOKUP($C139,REV!$C:$AA,20,0)-'TRADE IN'!$F148=0,"",(VLOOKUP($C139,REV!$C:$AA,20,0)-'TRADE IN'!$F139))</f>
        <v>6499</v>
      </c>
      <c r="W139" s="46">
        <f>IF(VLOOKUP($C139,REV!$C:$AA,21,0)-'TRADE IN'!$F148=0,"",(VLOOKUP($C139,REV!$C:$AA,21,0)-'TRADE IN'!$F139))</f>
        <v>6499</v>
      </c>
      <c r="X139" s="46">
        <f>IF(VLOOKUP($C139,REV!$C:$AA,22,0)-'TRADE IN'!$F148=0,"",(VLOOKUP($C139,REV!$C:$AA,22,0)-'TRADE IN'!$F139))</f>
        <v>6399</v>
      </c>
      <c r="Y139" s="46">
        <f>IF(VLOOKUP($C139,REV!$C:$AA,23,0)-'TRADE IN'!$F148=0,"",(VLOOKUP($C139,REV!$C:$AA,23,0)-'TRADE IN'!$F139))</f>
        <v>5999</v>
      </c>
      <c r="Z139" s="46">
        <f>IF(VLOOKUP($C139,REV!$C:$AA,24,0)-'TRADE IN'!$F148=0,"",(VLOOKUP($C139,REV!$C:$AA,24,0)-'TRADE IN'!$F139))</f>
        <v>5999</v>
      </c>
      <c r="AA139" s="46">
        <f>IF(VLOOKUP($C139,REV!$C:$AA,25,0)-'TRADE IN'!$F148=0,"",(VLOOKUP($C139,REV!$C:$AA,25,0)-'TRADE IN'!$F139))</f>
        <v>5999</v>
      </c>
      <c r="AB139" s="46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tr">
        <f>IF(REV!AW139=0,"",REV!AW139)</f>
        <v>31.03.2026</v>
      </c>
      <c r="AX139" s="159" t="s">
        <v>82</v>
      </c>
    </row>
    <row r="140" spans="1:50" ht="22.5" customHeight="1">
      <c r="A140" s="52" t="s">
        <v>70</v>
      </c>
      <c r="B140" s="41" t="s">
        <v>62</v>
      </c>
      <c r="C140" s="42">
        <v>4015762</v>
      </c>
      <c r="D140" s="43" t="s">
        <v>214</v>
      </c>
      <c r="E140" s="43" t="s">
        <v>215</v>
      </c>
      <c r="F140" s="45"/>
      <c r="G140" s="45"/>
      <c r="H140" s="46"/>
      <c r="I140" s="46"/>
      <c r="J140" s="46">
        <f>IF(VLOOKUP($C140,REV!$C:$AA,8,0)-'TRADE IN'!$F140=0,"",(VLOOKUP($C140,REV!$C:$AA,8,0)-'TRADE IN'!$F140))</f>
        <v>7399</v>
      </c>
      <c r="K140" s="46">
        <f>IF(VLOOKUP($C140,REV!$C:$AA,9,0)-'TRADE IN'!$F140=0,"",(VLOOKUP($C140,REV!$C:$AA,9,0)-'TRADE IN'!$F140))</f>
        <v>7399</v>
      </c>
      <c r="L140" s="46">
        <f>IF(VLOOKUP($C140,REV!$C:$AA,10,0)-'TRADE IN'!$F149=0,"",(VLOOKUP($C140,REV!$C:$AA,10,0)-'TRADE IN'!$F140))</f>
        <v>7399</v>
      </c>
      <c r="M140" s="46">
        <f>IF(VLOOKUP($C140,REV!$C:$AA,11,0)-'TRADE IN'!$F149=0,"",(VLOOKUP($C140,REV!$C:$AA,11,0)-'TRADE IN'!$F140))</f>
        <v>7399</v>
      </c>
      <c r="N140" s="46">
        <f>IF(VLOOKUP($C140,REV!$C:$AA,12,0)-'TRADE IN'!$F149=0,"",(VLOOKUP($C140,REV!$C:$AA,12,0)-'TRADE IN'!$F140))</f>
        <v>7399</v>
      </c>
      <c r="O140" s="46">
        <f>IF(VLOOKUP($C140,REV!$C:$AA,13,0)-'TRADE IN'!$F149=0,"",(VLOOKUP($C140,REV!$C:$AA,13,0)-'TRADE IN'!$F140))</f>
        <v>7299</v>
      </c>
      <c r="P140" s="46">
        <f>IF(VLOOKUP($C140,REV!$C:$AA,14,0)-'TRADE IN'!$F149=0,"",(VLOOKUP($C140,REV!$C:$AA,14,0)-'TRADE IN'!$F140))</f>
        <v>7199</v>
      </c>
      <c r="Q140" s="46">
        <f>IF(VLOOKUP($C140,REV!$C:$AA,15,0)-'TRADE IN'!$F149=0,"",(VLOOKUP($C140,REV!$C:$AA,15,0)-'TRADE IN'!$F140))</f>
        <v>6999</v>
      </c>
      <c r="R140" s="46">
        <f>IF(VLOOKUP($C140,REV!$C:$AA,16,0)-'TRADE IN'!$F149=0,"",(VLOOKUP($C140,REV!$C:$AA,16,0)-'TRADE IN'!$F140))</f>
        <v>7299</v>
      </c>
      <c r="S140" s="46">
        <f>IF(VLOOKUP($C140,REV!$C:$AA,17,0)-'TRADE IN'!$F149=0,"",(VLOOKUP($C140,REV!$C:$AA,17,0)-'TRADE IN'!$F140))</f>
        <v>7199</v>
      </c>
      <c r="T140" s="46">
        <f>IF(VLOOKUP($C140,REV!$C:$AA,18,0)-'TRADE IN'!$F149=0,"",(VLOOKUP($C140,REV!$C:$AA,18,0)-'TRADE IN'!$F140))</f>
        <v>6999</v>
      </c>
      <c r="U140" s="46">
        <f>IF(VLOOKUP($C140,REV!$C:$AA,19,0)-'TRADE IN'!$F149=0,"",(VLOOKUP($C140,REV!$C:$AA,19,0)-'TRADE IN'!$F140))</f>
        <v>6999</v>
      </c>
      <c r="V140" s="46">
        <f>IF(VLOOKUP($C140,REV!$C:$AA,20,0)-'TRADE IN'!$F149=0,"",(VLOOKUP($C140,REV!$C:$AA,20,0)-'TRADE IN'!$F140))</f>
        <v>6999</v>
      </c>
      <c r="W140" s="46">
        <f>IF(VLOOKUP($C140,REV!$C:$AA,21,0)-'TRADE IN'!$F149=0,"",(VLOOKUP($C140,REV!$C:$AA,21,0)-'TRADE IN'!$F140))</f>
        <v>6999</v>
      </c>
      <c r="X140" s="46">
        <f>IF(VLOOKUP($C140,REV!$C:$AA,22,0)-'TRADE IN'!$F149=0,"",(VLOOKUP($C140,REV!$C:$AA,22,0)-'TRADE IN'!$F140))</f>
        <v>6899</v>
      </c>
      <c r="Y140" s="46">
        <f>IF(VLOOKUP($C140,REV!$C:$AA,23,0)-'TRADE IN'!$F149=0,"",(VLOOKUP($C140,REV!$C:$AA,23,0)-'TRADE IN'!$F140))</f>
        <v>6499</v>
      </c>
      <c r="Z140" s="46">
        <f>IF(VLOOKUP($C140,REV!$C:$AA,24,0)-'TRADE IN'!$F149=0,"",(VLOOKUP($C140,REV!$C:$AA,24,0)-'TRADE IN'!$F140))</f>
        <v>6499</v>
      </c>
      <c r="AA140" s="46">
        <f>IF(VLOOKUP($C140,REV!$C:$AA,25,0)-'TRADE IN'!$F149=0,"",(VLOOKUP($C140,REV!$C:$AA,25,0)-'TRADE IN'!$F140))</f>
        <v>6499</v>
      </c>
      <c r="AB140" s="46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tr">
        <f>IF(REV!AW140=0,"",REV!AW140)</f>
        <v>31.03.2026</v>
      </c>
      <c r="AX140" s="159" t="s">
        <v>82</v>
      </c>
    </row>
    <row r="141" spans="1:50" ht="22.5" customHeight="1">
      <c r="A141" s="52" t="s">
        <v>70</v>
      </c>
      <c r="B141" s="41" t="s">
        <v>62</v>
      </c>
      <c r="C141" s="42">
        <v>4015799</v>
      </c>
      <c r="D141" s="43" t="s">
        <v>214</v>
      </c>
      <c r="E141" s="43" t="s">
        <v>216</v>
      </c>
      <c r="F141" s="45"/>
      <c r="G141" s="45"/>
      <c r="H141" s="46"/>
      <c r="I141" s="46"/>
      <c r="J141" s="46">
        <f>IF(VLOOKUP($C141,REV!$C:$AA,8,0)-'TRADE IN'!$F141=0,"",(VLOOKUP($C141,REV!$C:$AA,8,0)-'TRADE IN'!$F141))</f>
        <v>7399</v>
      </c>
      <c r="K141" s="46">
        <f>IF(VLOOKUP($C141,REV!$C:$AA,9,0)-'TRADE IN'!$F141=0,"",(VLOOKUP($C141,REV!$C:$AA,9,0)-'TRADE IN'!$F141))</f>
        <v>7399</v>
      </c>
      <c r="L141" s="46">
        <f>IF(VLOOKUP($C141,REV!$C:$AA,10,0)-'TRADE IN'!$F150=0,"",(VLOOKUP($C141,REV!$C:$AA,10,0)-'TRADE IN'!$F141))</f>
        <v>7399</v>
      </c>
      <c r="M141" s="46">
        <f>IF(VLOOKUP($C141,REV!$C:$AA,11,0)-'TRADE IN'!$F150=0,"",(VLOOKUP($C141,REV!$C:$AA,11,0)-'TRADE IN'!$F141))</f>
        <v>7399</v>
      </c>
      <c r="N141" s="46">
        <f>IF(VLOOKUP($C141,REV!$C:$AA,12,0)-'TRADE IN'!$F150=0,"",(VLOOKUP($C141,REV!$C:$AA,12,0)-'TRADE IN'!$F141))</f>
        <v>7399</v>
      </c>
      <c r="O141" s="46">
        <f>IF(VLOOKUP($C141,REV!$C:$AA,13,0)-'TRADE IN'!$F150=0,"",(VLOOKUP($C141,REV!$C:$AA,13,0)-'TRADE IN'!$F141))</f>
        <v>7299</v>
      </c>
      <c r="P141" s="46">
        <f>IF(VLOOKUP($C141,REV!$C:$AA,14,0)-'TRADE IN'!$F150=0,"",(VLOOKUP($C141,REV!$C:$AA,14,0)-'TRADE IN'!$F141))</f>
        <v>7199</v>
      </c>
      <c r="Q141" s="46">
        <f>IF(VLOOKUP($C141,REV!$C:$AA,15,0)-'TRADE IN'!$F150=0,"",(VLOOKUP($C141,REV!$C:$AA,15,0)-'TRADE IN'!$F141))</f>
        <v>6999</v>
      </c>
      <c r="R141" s="46">
        <f>IF(VLOOKUP($C141,REV!$C:$AA,16,0)-'TRADE IN'!$F150=0,"",(VLOOKUP($C141,REV!$C:$AA,16,0)-'TRADE IN'!$F141))</f>
        <v>7299</v>
      </c>
      <c r="S141" s="46">
        <f>IF(VLOOKUP($C141,REV!$C:$AA,17,0)-'TRADE IN'!$F150=0,"",(VLOOKUP($C141,REV!$C:$AA,17,0)-'TRADE IN'!$F141))</f>
        <v>7199</v>
      </c>
      <c r="T141" s="46">
        <f>IF(VLOOKUP($C141,REV!$C:$AA,18,0)-'TRADE IN'!$F150=0,"",(VLOOKUP($C141,REV!$C:$AA,18,0)-'TRADE IN'!$F141))</f>
        <v>6999</v>
      </c>
      <c r="U141" s="46">
        <f>IF(VLOOKUP($C141,REV!$C:$AA,19,0)-'TRADE IN'!$F150=0,"",(VLOOKUP($C141,REV!$C:$AA,19,0)-'TRADE IN'!$F141))</f>
        <v>6999</v>
      </c>
      <c r="V141" s="46">
        <f>IF(VLOOKUP($C141,REV!$C:$AA,20,0)-'TRADE IN'!$F150=0,"",(VLOOKUP($C141,REV!$C:$AA,20,0)-'TRADE IN'!$F141))</f>
        <v>6999</v>
      </c>
      <c r="W141" s="46">
        <f>IF(VLOOKUP($C141,REV!$C:$AA,21,0)-'TRADE IN'!$F150=0,"",(VLOOKUP($C141,REV!$C:$AA,21,0)-'TRADE IN'!$F141))</f>
        <v>6999</v>
      </c>
      <c r="X141" s="46">
        <f>IF(VLOOKUP($C141,REV!$C:$AA,22,0)-'TRADE IN'!$F150=0,"",(VLOOKUP($C141,REV!$C:$AA,22,0)-'TRADE IN'!$F141))</f>
        <v>6899</v>
      </c>
      <c r="Y141" s="46">
        <f>IF(VLOOKUP($C141,REV!$C:$AA,23,0)-'TRADE IN'!$F150=0,"",(VLOOKUP($C141,REV!$C:$AA,23,0)-'TRADE IN'!$F141))</f>
        <v>6499</v>
      </c>
      <c r="Z141" s="46">
        <f>IF(VLOOKUP($C141,REV!$C:$AA,24,0)-'TRADE IN'!$F150=0,"",(VLOOKUP($C141,REV!$C:$AA,24,0)-'TRADE IN'!$F141))</f>
        <v>6499</v>
      </c>
      <c r="AA141" s="46">
        <f>IF(VLOOKUP($C141,REV!$C:$AA,25,0)-'TRADE IN'!$F150=0,"",(VLOOKUP($C141,REV!$C:$AA,25,0)-'TRADE IN'!$F141))</f>
        <v>6499</v>
      </c>
      <c r="AB141" s="46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tr">
        <f>IF(REV!AW141=0,"",REV!AW141)</f>
        <v>31.03.2026</v>
      </c>
      <c r="AX141" s="159" t="s">
        <v>82</v>
      </c>
    </row>
    <row r="142" spans="1:50" ht="22.5" customHeight="1">
      <c r="A142" s="52" t="s">
        <v>70</v>
      </c>
      <c r="B142" s="41" t="s">
        <v>62</v>
      </c>
      <c r="C142" s="42">
        <v>4015774</v>
      </c>
      <c r="D142" s="43" t="s">
        <v>214</v>
      </c>
      <c r="E142" s="43" t="s">
        <v>217</v>
      </c>
      <c r="F142" s="45"/>
      <c r="G142" s="45"/>
      <c r="H142" s="46"/>
      <c r="I142" s="46"/>
      <c r="J142" s="46">
        <f>IF(VLOOKUP($C142,REV!$C:$AA,8,0)-'TRADE IN'!$F142=0,"",(VLOOKUP($C142,REV!$C:$AA,8,0)-'TRADE IN'!$F142))</f>
        <v>7399</v>
      </c>
      <c r="K142" s="46">
        <f>IF(VLOOKUP($C142,REV!$C:$AA,9,0)-'TRADE IN'!$F142=0,"",(VLOOKUP($C142,REV!$C:$AA,9,0)-'TRADE IN'!$F142))</f>
        <v>7399</v>
      </c>
      <c r="L142" s="46">
        <f>IF(VLOOKUP($C142,REV!$C:$AA,10,0)-'TRADE IN'!$F151=0,"",(VLOOKUP($C142,REV!$C:$AA,10,0)-'TRADE IN'!$F142))</f>
        <v>7399</v>
      </c>
      <c r="M142" s="46">
        <f>IF(VLOOKUP($C142,REV!$C:$AA,11,0)-'TRADE IN'!$F151=0,"",(VLOOKUP($C142,REV!$C:$AA,11,0)-'TRADE IN'!$F142))</f>
        <v>7399</v>
      </c>
      <c r="N142" s="46">
        <f>IF(VLOOKUP($C142,REV!$C:$AA,12,0)-'TRADE IN'!$F151=0,"",(VLOOKUP($C142,REV!$C:$AA,12,0)-'TRADE IN'!$F142))</f>
        <v>7399</v>
      </c>
      <c r="O142" s="46">
        <f>IF(VLOOKUP($C142,REV!$C:$AA,13,0)-'TRADE IN'!$F151=0,"",(VLOOKUP($C142,REV!$C:$AA,13,0)-'TRADE IN'!$F142))</f>
        <v>7299</v>
      </c>
      <c r="P142" s="46">
        <f>IF(VLOOKUP($C142,REV!$C:$AA,14,0)-'TRADE IN'!$F151=0,"",(VLOOKUP($C142,REV!$C:$AA,14,0)-'TRADE IN'!$F142))</f>
        <v>7199</v>
      </c>
      <c r="Q142" s="46">
        <f>IF(VLOOKUP($C142,REV!$C:$AA,15,0)-'TRADE IN'!$F151=0,"",(VLOOKUP($C142,REV!$C:$AA,15,0)-'TRADE IN'!$F142))</f>
        <v>6999</v>
      </c>
      <c r="R142" s="46">
        <f>IF(VLOOKUP($C142,REV!$C:$AA,16,0)-'TRADE IN'!$F151=0,"",(VLOOKUP($C142,REV!$C:$AA,16,0)-'TRADE IN'!$F142))</f>
        <v>7299</v>
      </c>
      <c r="S142" s="46">
        <f>IF(VLOOKUP($C142,REV!$C:$AA,17,0)-'TRADE IN'!$F151=0,"",(VLOOKUP($C142,REV!$C:$AA,17,0)-'TRADE IN'!$F142))</f>
        <v>7199</v>
      </c>
      <c r="T142" s="46">
        <f>IF(VLOOKUP($C142,REV!$C:$AA,18,0)-'TRADE IN'!$F151=0,"",(VLOOKUP($C142,REV!$C:$AA,18,0)-'TRADE IN'!$F142))</f>
        <v>6999</v>
      </c>
      <c r="U142" s="46">
        <f>IF(VLOOKUP($C142,REV!$C:$AA,19,0)-'TRADE IN'!$F151=0,"",(VLOOKUP($C142,REV!$C:$AA,19,0)-'TRADE IN'!$F142))</f>
        <v>6999</v>
      </c>
      <c r="V142" s="46">
        <f>IF(VLOOKUP($C142,REV!$C:$AA,20,0)-'TRADE IN'!$F151=0,"",(VLOOKUP($C142,REV!$C:$AA,20,0)-'TRADE IN'!$F142))</f>
        <v>6999</v>
      </c>
      <c r="W142" s="46">
        <f>IF(VLOOKUP($C142,REV!$C:$AA,21,0)-'TRADE IN'!$F151=0,"",(VLOOKUP($C142,REV!$C:$AA,21,0)-'TRADE IN'!$F142))</f>
        <v>6999</v>
      </c>
      <c r="X142" s="46">
        <f>IF(VLOOKUP($C142,REV!$C:$AA,22,0)-'TRADE IN'!$F151=0,"",(VLOOKUP($C142,REV!$C:$AA,22,0)-'TRADE IN'!$F142))</f>
        <v>6899</v>
      </c>
      <c r="Y142" s="46">
        <f>IF(VLOOKUP($C142,REV!$C:$AA,23,0)-'TRADE IN'!$F151=0,"",(VLOOKUP($C142,REV!$C:$AA,23,0)-'TRADE IN'!$F142))</f>
        <v>6499</v>
      </c>
      <c r="Z142" s="46">
        <f>IF(VLOOKUP($C142,REV!$C:$AA,24,0)-'TRADE IN'!$F151=0,"",(VLOOKUP($C142,REV!$C:$AA,24,0)-'TRADE IN'!$F142))</f>
        <v>6499</v>
      </c>
      <c r="AA142" s="46">
        <f>IF(VLOOKUP($C142,REV!$C:$AA,25,0)-'TRADE IN'!$F151=0,"",(VLOOKUP($C142,REV!$C:$AA,25,0)-'TRADE IN'!$F142))</f>
        <v>6499</v>
      </c>
      <c r="AB142" s="46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tr">
        <f>IF(REV!AW142=0,"",REV!AW142)</f>
        <v>31.03.2026</v>
      </c>
      <c r="AX142" s="159" t="s">
        <v>82</v>
      </c>
    </row>
    <row r="143" spans="1:50" ht="22.5" customHeight="1">
      <c r="A143" s="52" t="s">
        <v>70</v>
      </c>
      <c r="B143" s="41" t="s">
        <v>62</v>
      </c>
      <c r="C143" s="42">
        <v>4015788</v>
      </c>
      <c r="D143" s="43" t="s">
        <v>214</v>
      </c>
      <c r="E143" s="43" t="s">
        <v>218</v>
      </c>
      <c r="F143" s="45"/>
      <c r="G143" s="45"/>
      <c r="H143" s="46"/>
      <c r="I143" s="46"/>
      <c r="J143" s="46">
        <f>IF(VLOOKUP($C143,REV!$C:$AA,8,0)-'TRADE IN'!$F143=0,"",(VLOOKUP($C143,REV!$C:$AA,8,0)-'TRADE IN'!$F143))</f>
        <v>7399</v>
      </c>
      <c r="K143" s="46">
        <f>IF(VLOOKUP($C143,REV!$C:$AA,9,0)-'TRADE IN'!$F143=0,"",(VLOOKUP($C143,REV!$C:$AA,9,0)-'TRADE IN'!$F143))</f>
        <v>7399</v>
      </c>
      <c r="L143" s="46">
        <f>IF(VLOOKUP($C143,REV!$C:$AA,10,0)-'TRADE IN'!$F152=0,"",(VLOOKUP($C143,REV!$C:$AA,10,0)-'TRADE IN'!$F143))</f>
        <v>7399</v>
      </c>
      <c r="M143" s="46">
        <f>IF(VLOOKUP($C143,REV!$C:$AA,11,0)-'TRADE IN'!$F152=0,"",(VLOOKUP($C143,REV!$C:$AA,11,0)-'TRADE IN'!$F143))</f>
        <v>7399</v>
      </c>
      <c r="N143" s="46">
        <f>IF(VLOOKUP($C143,REV!$C:$AA,12,0)-'TRADE IN'!$F152=0,"",(VLOOKUP($C143,REV!$C:$AA,12,0)-'TRADE IN'!$F143))</f>
        <v>7399</v>
      </c>
      <c r="O143" s="46">
        <f>IF(VLOOKUP($C143,REV!$C:$AA,13,0)-'TRADE IN'!$F152=0,"",(VLOOKUP($C143,REV!$C:$AA,13,0)-'TRADE IN'!$F143))</f>
        <v>7299</v>
      </c>
      <c r="P143" s="46">
        <f>IF(VLOOKUP($C143,REV!$C:$AA,14,0)-'TRADE IN'!$F152=0,"",(VLOOKUP($C143,REV!$C:$AA,14,0)-'TRADE IN'!$F143))</f>
        <v>7199</v>
      </c>
      <c r="Q143" s="46">
        <f>IF(VLOOKUP($C143,REV!$C:$AA,15,0)-'TRADE IN'!$F152=0,"",(VLOOKUP($C143,REV!$C:$AA,15,0)-'TRADE IN'!$F143))</f>
        <v>6999</v>
      </c>
      <c r="R143" s="46">
        <f>IF(VLOOKUP($C143,REV!$C:$AA,16,0)-'TRADE IN'!$F152=0,"",(VLOOKUP($C143,REV!$C:$AA,16,0)-'TRADE IN'!$F143))</f>
        <v>7299</v>
      </c>
      <c r="S143" s="46">
        <f>IF(VLOOKUP($C143,REV!$C:$AA,17,0)-'TRADE IN'!$F152=0,"",(VLOOKUP($C143,REV!$C:$AA,17,0)-'TRADE IN'!$F143))</f>
        <v>7199</v>
      </c>
      <c r="T143" s="46">
        <f>IF(VLOOKUP($C143,REV!$C:$AA,18,0)-'TRADE IN'!$F152=0,"",(VLOOKUP($C143,REV!$C:$AA,18,0)-'TRADE IN'!$F143))</f>
        <v>6999</v>
      </c>
      <c r="U143" s="46">
        <f>IF(VLOOKUP($C143,REV!$C:$AA,19,0)-'TRADE IN'!$F152=0,"",(VLOOKUP($C143,REV!$C:$AA,19,0)-'TRADE IN'!$F143))</f>
        <v>6999</v>
      </c>
      <c r="V143" s="46">
        <f>IF(VLOOKUP($C143,REV!$C:$AA,20,0)-'TRADE IN'!$F152=0,"",(VLOOKUP($C143,REV!$C:$AA,20,0)-'TRADE IN'!$F143))</f>
        <v>6999</v>
      </c>
      <c r="W143" s="46">
        <f>IF(VLOOKUP($C143,REV!$C:$AA,21,0)-'TRADE IN'!$F152=0,"",(VLOOKUP($C143,REV!$C:$AA,21,0)-'TRADE IN'!$F143))</f>
        <v>6999</v>
      </c>
      <c r="X143" s="46">
        <f>IF(VLOOKUP($C143,REV!$C:$AA,22,0)-'TRADE IN'!$F152=0,"",(VLOOKUP($C143,REV!$C:$AA,22,0)-'TRADE IN'!$F143))</f>
        <v>6899</v>
      </c>
      <c r="Y143" s="46">
        <f>IF(VLOOKUP($C143,REV!$C:$AA,23,0)-'TRADE IN'!$F152=0,"",(VLOOKUP($C143,REV!$C:$AA,23,0)-'TRADE IN'!$F143))</f>
        <v>6499</v>
      </c>
      <c r="Z143" s="46">
        <f>IF(VLOOKUP($C143,REV!$C:$AA,24,0)-'TRADE IN'!$F152=0,"",(VLOOKUP($C143,REV!$C:$AA,24,0)-'TRADE IN'!$F143))</f>
        <v>6499</v>
      </c>
      <c r="AA143" s="46">
        <f>IF(VLOOKUP($C143,REV!$C:$AA,25,0)-'TRADE IN'!$F152=0,"",(VLOOKUP($C143,REV!$C:$AA,25,0)-'TRADE IN'!$F143))</f>
        <v>6499</v>
      </c>
      <c r="AB143" s="46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tr">
        <f>IF(REV!AW143=0,"",REV!AW143)</f>
        <v>31.03.2026</v>
      </c>
      <c r="AX143" s="159" t="s">
        <v>82</v>
      </c>
    </row>
    <row r="144" spans="1:50" ht="22.5" customHeight="1">
      <c r="A144" s="52" t="s">
        <v>70</v>
      </c>
      <c r="B144" s="41" t="s">
        <v>62</v>
      </c>
      <c r="C144" s="42">
        <v>4015763</v>
      </c>
      <c r="D144" s="43" t="s">
        <v>219</v>
      </c>
      <c r="E144" s="43" t="s">
        <v>220</v>
      </c>
      <c r="F144" s="45"/>
      <c r="G144" s="45"/>
      <c r="H144" s="46"/>
      <c r="I144" s="46"/>
      <c r="J144" s="46">
        <f>IF(VLOOKUP($C144,REV!$C:$AA,8,0)-'TRADE IN'!$F144=0,"",(VLOOKUP($C144,REV!$C:$AA,8,0)-'TRADE IN'!$F144))</f>
        <v>7899</v>
      </c>
      <c r="K144" s="46">
        <f>IF(VLOOKUP($C144,REV!$C:$AA,9,0)-'TRADE IN'!$F144=0,"",(VLOOKUP($C144,REV!$C:$AA,9,0)-'TRADE IN'!$F144))</f>
        <v>7899</v>
      </c>
      <c r="L144" s="46">
        <f>IF(VLOOKUP($C144,REV!$C:$AA,10,0)-'TRADE IN'!$F153=0,"",(VLOOKUP($C144,REV!$C:$AA,10,0)-'TRADE IN'!$F144))</f>
        <v>7899</v>
      </c>
      <c r="M144" s="46">
        <f>IF(VLOOKUP($C144,REV!$C:$AA,11,0)-'TRADE IN'!$F153=0,"",(VLOOKUP($C144,REV!$C:$AA,11,0)-'TRADE IN'!$F144))</f>
        <v>7899</v>
      </c>
      <c r="N144" s="46">
        <f>IF(VLOOKUP($C144,REV!$C:$AA,12,0)-'TRADE IN'!$F153=0,"",(VLOOKUP($C144,REV!$C:$AA,12,0)-'TRADE IN'!$F144))</f>
        <v>7899</v>
      </c>
      <c r="O144" s="46">
        <f>IF(VLOOKUP($C144,REV!$C:$AA,13,0)-'TRADE IN'!$F153=0,"",(VLOOKUP($C144,REV!$C:$AA,13,0)-'TRADE IN'!$F144))</f>
        <v>7799</v>
      </c>
      <c r="P144" s="46">
        <f>IF(VLOOKUP($C144,REV!$C:$AA,14,0)-'TRADE IN'!$F153=0,"",(VLOOKUP($C144,REV!$C:$AA,14,0)-'TRADE IN'!$F144))</f>
        <v>7699</v>
      </c>
      <c r="Q144" s="46">
        <f>IF(VLOOKUP($C144,REV!$C:$AA,15,0)-'TRADE IN'!$F153=0,"",(VLOOKUP($C144,REV!$C:$AA,15,0)-'TRADE IN'!$F144))</f>
        <v>7499</v>
      </c>
      <c r="R144" s="46">
        <f>IF(VLOOKUP($C144,REV!$C:$AA,16,0)-'TRADE IN'!$F153=0,"",(VLOOKUP($C144,REV!$C:$AA,16,0)-'TRADE IN'!$F144))</f>
        <v>7799</v>
      </c>
      <c r="S144" s="46">
        <f>IF(VLOOKUP($C144,REV!$C:$AA,17,0)-'TRADE IN'!$F153=0,"",(VLOOKUP($C144,REV!$C:$AA,17,0)-'TRADE IN'!$F144))</f>
        <v>7699</v>
      </c>
      <c r="T144" s="46">
        <f>IF(VLOOKUP($C144,REV!$C:$AA,18,0)-'TRADE IN'!$F153=0,"",(VLOOKUP($C144,REV!$C:$AA,18,0)-'TRADE IN'!$F144))</f>
        <v>7499</v>
      </c>
      <c r="U144" s="46">
        <f>IF(VLOOKUP($C144,REV!$C:$AA,19,0)-'TRADE IN'!$F153=0,"",(VLOOKUP($C144,REV!$C:$AA,19,0)-'TRADE IN'!$F144))</f>
        <v>7499</v>
      </c>
      <c r="V144" s="46">
        <f>IF(VLOOKUP($C144,REV!$C:$AA,20,0)-'TRADE IN'!$F153=0,"",(VLOOKUP($C144,REV!$C:$AA,20,0)-'TRADE IN'!$F144))</f>
        <v>7499</v>
      </c>
      <c r="W144" s="46">
        <f>IF(VLOOKUP($C144,REV!$C:$AA,21,0)-'TRADE IN'!$F153=0,"",(VLOOKUP($C144,REV!$C:$AA,21,0)-'TRADE IN'!$F144))</f>
        <v>7499</v>
      </c>
      <c r="X144" s="46">
        <f>IF(VLOOKUP($C144,REV!$C:$AA,22,0)-'TRADE IN'!$F153=0,"",(VLOOKUP($C144,REV!$C:$AA,22,0)-'TRADE IN'!$F144))</f>
        <v>7399</v>
      </c>
      <c r="Y144" s="46">
        <f>IF(VLOOKUP($C144,REV!$C:$AA,23,0)-'TRADE IN'!$F153=0,"",(VLOOKUP($C144,REV!$C:$AA,23,0)-'TRADE IN'!$F144))</f>
        <v>6999</v>
      </c>
      <c r="Z144" s="46">
        <f>IF(VLOOKUP($C144,REV!$C:$AA,24,0)-'TRADE IN'!$F153=0,"",(VLOOKUP($C144,REV!$C:$AA,24,0)-'TRADE IN'!$F144))</f>
        <v>6999</v>
      </c>
      <c r="AA144" s="46">
        <f>IF(VLOOKUP($C144,REV!$C:$AA,25,0)-'TRADE IN'!$F153=0,"",(VLOOKUP($C144,REV!$C:$AA,25,0)-'TRADE IN'!$F144))</f>
        <v>6999</v>
      </c>
      <c r="AB144" s="46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tr">
        <f>IF(REV!AW144=0,"",REV!AW144)</f>
        <v>31.03.2026</v>
      </c>
      <c r="AX144" s="159" t="s">
        <v>82</v>
      </c>
    </row>
    <row r="145" spans="1:50" ht="22.5" customHeight="1">
      <c r="A145" s="52" t="s">
        <v>70</v>
      </c>
      <c r="B145" s="41" t="s">
        <v>62</v>
      </c>
      <c r="C145" s="42">
        <v>4015807</v>
      </c>
      <c r="D145" s="43" t="s">
        <v>219</v>
      </c>
      <c r="E145" s="43" t="s">
        <v>221</v>
      </c>
      <c r="F145" s="45"/>
      <c r="G145" s="45"/>
      <c r="H145" s="46"/>
      <c r="I145" s="46"/>
      <c r="J145" s="46">
        <f>IF(VLOOKUP($C145,REV!$C:$AA,8,0)-'TRADE IN'!$F145=0,"",(VLOOKUP($C145,REV!$C:$AA,8,0)-'TRADE IN'!$F145))</f>
        <v>7899</v>
      </c>
      <c r="K145" s="46">
        <f>IF(VLOOKUP($C145,REV!$C:$AA,9,0)-'TRADE IN'!$F145=0,"",(VLOOKUP($C145,REV!$C:$AA,9,0)-'TRADE IN'!$F145))</f>
        <v>7899</v>
      </c>
      <c r="L145" s="46">
        <f>IF(VLOOKUP($C145,REV!$C:$AA,10,0)-'TRADE IN'!$F154=0,"",(VLOOKUP($C145,REV!$C:$AA,10,0)-'TRADE IN'!$F145))</f>
        <v>7899</v>
      </c>
      <c r="M145" s="46">
        <f>IF(VLOOKUP($C145,REV!$C:$AA,11,0)-'TRADE IN'!$F154=0,"",(VLOOKUP($C145,REV!$C:$AA,11,0)-'TRADE IN'!$F145))</f>
        <v>7899</v>
      </c>
      <c r="N145" s="46">
        <f>IF(VLOOKUP($C145,REV!$C:$AA,12,0)-'TRADE IN'!$F154=0,"",(VLOOKUP($C145,REV!$C:$AA,12,0)-'TRADE IN'!$F145))</f>
        <v>7899</v>
      </c>
      <c r="O145" s="46">
        <f>IF(VLOOKUP($C145,REV!$C:$AA,13,0)-'TRADE IN'!$F154=0,"",(VLOOKUP($C145,REV!$C:$AA,13,0)-'TRADE IN'!$F145))</f>
        <v>7799</v>
      </c>
      <c r="P145" s="46">
        <f>IF(VLOOKUP($C145,REV!$C:$AA,14,0)-'TRADE IN'!$F154=0,"",(VLOOKUP($C145,REV!$C:$AA,14,0)-'TRADE IN'!$F145))</f>
        <v>7699</v>
      </c>
      <c r="Q145" s="46">
        <f>IF(VLOOKUP($C145,REV!$C:$AA,15,0)-'TRADE IN'!$F154=0,"",(VLOOKUP($C145,REV!$C:$AA,15,0)-'TRADE IN'!$F145))</f>
        <v>7499</v>
      </c>
      <c r="R145" s="46">
        <f>IF(VLOOKUP($C145,REV!$C:$AA,16,0)-'TRADE IN'!$F154=0,"",(VLOOKUP($C145,REV!$C:$AA,16,0)-'TRADE IN'!$F145))</f>
        <v>7799</v>
      </c>
      <c r="S145" s="46">
        <f>IF(VLOOKUP($C145,REV!$C:$AA,17,0)-'TRADE IN'!$F154=0,"",(VLOOKUP($C145,REV!$C:$AA,17,0)-'TRADE IN'!$F145))</f>
        <v>7699</v>
      </c>
      <c r="T145" s="46">
        <f>IF(VLOOKUP($C145,REV!$C:$AA,18,0)-'TRADE IN'!$F154=0,"",(VLOOKUP($C145,REV!$C:$AA,18,0)-'TRADE IN'!$F145))</f>
        <v>7499</v>
      </c>
      <c r="U145" s="46">
        <f>IF(VLOOKUP($C145,REV!$C:$AA,19,0)-'TRADE IN'!$F154=0,"",(VLOOKUP($C145,REV!$C:$AA,19,0)-'TRADE IN'!$F145))</f>
        <v>7499</v>
      </c>
      <c r="V145" s="46">
        <f>IF(VLOOKUP($C145,REV!$C:$AA,20,0)-'TRADE IN'!$F154=0,"",(VLOOKUP($C145,REV!$C:$AA,20,0)-'TRADE IN'!$F145))</f>
        <v>7499</v>
      </c>
      <c r="W145" s="46">
        <f>IF(VLOOKUP($C145,REV!$C:$AA,21,0)-'TRADE IN'!$F154=0,"",(VLOOKUP($C145,REV!$C:$AA,21,0)-'TRADE IN'!$F145))</f>
        <v>7499</v>
      </c>
      <c r="X145" s="46">
        <f>IF(VLOOKUP($C145,REV!$C:$AA,22,0)-'TRADE IN'!$F154=0,"",(VLOOKUP($C145,REV!$C:$AA,22,0)-'TRADE IN'!$F145))</f>
        <v>7399</v>
      </c>
      <c r="Y145" s="46">
        <f>IF(VLOOKUP($C145,REV!$C:$AA,23,0)-'TRADE IN'!$F154=0,"",(VLOOKUP($C145,REV!$C:$AA,23,0)-'TRADE IN'!$F145))</f>
        <v>6999</v>
      </c>
      <c r="Z145" s="46">
        <f>IF(VLOOKUP($C145,REV!$C:$AA,24,0)-'TRADE IN'!$F154=0,"",(VLOOKUP($C145,REV!$C:$AA,24,0)-'TRADE IN'!$F145))</f>
        <v>6999</v>
      </c>
      <c r="AA145" s="46">
        <f>IF(VLOOKUP($C145,REV!$C:$AA,25,0)-'TRADE IN'!$F154=0,"",(VLOOKUP($C145,REV!$C:$AA,25,0)-'TRADE IN'!$F145))</f>
        <v>6999</v>
      </c>
      <c r="AB145" s="46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tr">
        <f>IF(REV!AW145=0,"",REV!AW145)</f>
        <v>31.03.2026</v>
      </c>
      <c r="AX145" s="159" t="s">
        <v>82</v>
      </c>
    </row>
    <row r="146" spans="1:50" ht="22.5" customHeight="1">
      <c r="A146" s="52" t="s">
        <v>70</v>
      </c>
      <c r="B146" s="41" t="s">
        <v>62</v>
      </c>
      <c r="C146" s="42">
        <v>4015779</v>
      </c>
      <c r="D146" s="43" t="s">
        <v>219</v>
      </c>
      <c r="E146" s="43" t="s">
        <v>222</v>
      </c>
      <c r="F146" s="45"/>
      <c r="G146" s="45"/>
      <c r="H146" s="46"/>
      <c r="I146" s="46"/>
      <c r="J146" s="46">
        <f>IF(VLOOKUP($C146,REV!$C:$AA,8,0)-'TRADE IN'!$F146=0,"",(VLOOKUP($C146,REV!$C:$AA,8,0)-'TRADE IN'!$F146))</f>
        <v>7899</v>
      </c>
      <c r="K146" s="46">
        <f>IF(VLOOKUP($C146,REV!$C:$AA,9,0)-'TRADE IN'!$F146=0,"",(VLOOKUP($C146,REV!$C:$AA,9,0)-'TRADE IN'!$F146))</f>
        <v>7899</v>
      </c>
      <c r="L146" s="46">
        <f>IF(VLOOKUP($C146,REV!$C:$AA,10,0)-'TRADE IN'!$F155=0,"",(VLOOKUP($C146,REV!$C:$AA,10,0)-'TRADE IN'!$F146))</f>
        <v>7899</v>
      </c>
      <c r="M146" s="46">
        <f>IF(VLOOKUP($C146,REV!$C:$AA,11,0)-'TRADE IN'!$F155=0,"",(VLOOKUP($C146,REV!$C:$AA,11,0)-'TRADE IN'!$F146))</f>
        <v>7899</v>
      </c>
      <c r="N146" s="46">
        <f>IF(VLOOKUP($C146,REV!$C:$AA,12,0)-'TRADE IN'!$F155=0,"",(VLOOKUP($C146,REV!$C:$AA,12,0)-'TRADE IN'!$F146))</f>
        <v>7899</v>
      </c>
      <c r="O146" s="46">
        <f>IF(VLOOKUP($C146,REV!$C:$AA,13,0)-'TRADE IN'!$F155=0,"",(VLOOKUP($C146,REV!$C:$AA,13,0)-'TRADE IN'!$F146))</f>
        <v>7799</v>
      </c>
      <c r="P146" s="46">
        <f>IF(VLOOKUP($C146,REV!$C:$AA,14,0)-'TRADE IN'!$F155=0,"",(VLOOKUP($C146,REV!$C:$AA,14,0)-'TRADE IN'!$F146))</f>
        <v>7699</v>
      </c>
      <c r="Q146" s="46">
        <f>IF(VLOOKUP($C146,REV!$C:$AA,15,0)-'TRADE IN'!$F155=0,"",(VLOOKUP($C146,REV!$C:$AA,15,0)-'TRADE IN'!$F146))</f>
        <v>7499</v>
      </c>
      <c r="R146" s="46">
        <f>IF(VLOOKUP($C146,REV!$C:$AA,16,0)-'TRADE IN'!$F155=0,"",(VLOOKUP($C146,REV!$C:$AA,16,0)-'TRADE IN'!$F146))</f>
        <v>7799</v>
      </c>
      <c r="S146" s="46">
        <f>IF(VLOOKUP($C146,REV!$C:$AA,17,0)-'TRADE IN'!$F155=0,"",(VLOOKUP($C146,REV!$C:$AA,17,0)-'TRADE IN'!$F146))</f>
        <v>7699</v>
      </c>
      <c r="T146" s="46">
        <f>IF(VLOOKUP($C146,REV!$C:$AA,18,0)-'TRADE IN'!$F155=0,"",(VLOOKUP($C146,REV!$C:$AA,18,0)-'TRADE IN'!$F146))</f>
        <v>7499</v>
      </c>
      <c r="U146" s="46">
        <f>IF(VLOOKUP($C146,REV!$C:$AA,19,0)-'TRADE IN'!$F155=0,"",(VLOOKUP($C146,REV!$C:$AA,19,0)-'TRADE IN'!$F146))</f>
        <v>7499</v>
      </c>
      <c r="V146" s="46">
        <f>IF(VLOOKUP($C146,REV!$C:$AA,20,0)-'TRADE IN'!$F155=0,"",(VLOOKUP($C146,REV!$C:$AA,20,0)-'TRADE IN'!$F146))</f>
        <v>7499</v>
      </c>
      <c r="W146" s="46">
        <f>IF(VLOOKUP($C146,REV!$C:$AA,21,0)-'TRADE IN'!$F155=0,"",(VLOOKUP($C146,REV!$C:$AA,21,0)-'TRADE IN'!$F146))</f>
        <v>7499</v>
      </c>
      <c r="X146" s="46">
        <f>IF(VLOOKUP($C146,REV!$C:$AA,22,0)-'TRADE IN'!$F155=0,"",(VLOOKUP($C146,REV!$C:$AA,22,0)-'TRADE IN'!$F146))</f>
        <v>7399</v>
      </c>
      <c r="Y146" s="46">
        <f>IF(VLOOKUP($C146,REV!$C:$AA,23,0)-'TRADE IN'!$F155=0,"",(VLOOKUP($C146,REV!$C:$AA,23,0)-'TRADE IN'!$F146))</f>
        <v>6999</v>
      </c>
      <c r="Z146" s="46">
        <f>IF(VLOOKUP($C146,REV!$C:$AA,24,0)-'TRADE IN'!$F155=0,"",(VLOOKUP($C146,REV!$C:$AA,24,0)-'TRADE IN'!$F146))</f>
        <v>6999</v>
      </c>
      <c r="AA146" s="46">
        <f>IF(VLOOKUP($C146,REV!$C:$AA,25,0)-'TRADE IN'!$F155=0,"",(VLOOKUP($C146,REV!$C:$AA,25,0)-'TRADE IN'!$F146))</f>
        <v>6999</v>
      </c>
      <c r="AB146" s="46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tr">
        <f>IF(REV!AW146=0,"",REV!AW146)</f>
        <v>31.03.2026</v>
      </c>
      <c r="AX146" s="159" t="s">
        <v>82</v>
      </c>
    </row>
    <row r="147" spans="1:50" ht="22.5" customHeight="1">
      <c r="A147" s="52" t="s">
        <v>70</v>
      </c>
      <c r="B147" s="41" t="s">
        <v>62</v>
      </c>
      <c r="C147" s="42">
        <v>4015793</v>
      </c>
      <c r="D147" s="43" t="s">
        <v>219</v>
      </c>
      <c r="E147" s="43" t="s">
        <v>223</v>
      </c>
      <c r="F147" s="45"/>
      <c r="G147" s="45"/>
      <c r="H147" s="46"/>
      <c r="I147" s="46"/>
      <c r="J147" s="46">
        <f>IF(VLOOKUP($C147,REV!$C:$AA,8,0)-'TRADE IN'!$F147=0,"",(VLOOKUP($C147,REV!$C:$AA,8,0)-'TRADE IN'!$F147))</f>
        <v>7899</v>
      </c>
      <c r="K147" s="46">
        <f>IF(VLOOKUP($C147,REV!$C:$AA,9,0)-'TRADE IN'!$F147=0,"",(VLOOKUP($C147,REV!$C:$AA,9,0)-'TRADE IN'!$F147))</f>
        <v>7899</v>
      </c>
      <c r="L147" s="46">
        <f>IF(VLOOKUP($C147,REV!$C:$AA,10,0)-'TRADE IN'!$F156=0,"",(VLOOKUP($C147,REV!$C:$AA,10,0)-'TRADE IN'!$F147))</f>
        <v>7899</v>
      </c>
      <c r="M147" s="46">
        <f>IF(VLOOKUP($C147,REV!$C:$AA,11,0)-'TRADE IN'!$F156=0,"",(VLOOKUP($C147,REV!$C:$AA,11,0)-'TRADE IN'!$F147))</f>
        <v>7899</v>
      </c>
      <c r="N147" s="46">
        <f>IF(VLOOKUP($C147,REV!$C:$AA,12,0)-'TRADE IN'!$F156=0,"",(VLOOKUP($C147,REV!$C:$AA,12,0)-'TRADE IN'!$F147))</f>
        <v>7899</v>
      </c>
      <c r="O147" s="46">
        <f>IF(VLOOKUP($C147,REV!$C:$AA,13,0)-'TRADE IN'!$F156=0,"",(VLOOKUP($C147,REV!$C:$AA,13,0)-'TRADE IN'!$F147))</f>
        <v>7799</v>
      </c>
      <c r="P147" s="46">
        <f>IF(VLOOKUP($C147,REV!$C:$AA,14,0)-'TRADE IN'!$F156=0,"",(VLOOKUP($C147,REV!$C:$AA,14,0)-'TRADE IN'!$F147))</f>
        <v>7699</v>
      </c>
      <c r="Q147" s="46">
        <f>IF(VLOOKUP($C147,REV!$C:$AA,15,0)-'TRADE IN'!$F156=0,"",(VLOOKUP($C147,REV!$C:$AA,15,0)-'TRADE IN'!$F147))</f>
        <v>7499</v>
      </c>
      <c r="R147" s="46">
        <f>IF(VLOOKUP($C147,REV!$C:$AA,16,0)-'TRADE IN'!$F156=0,"",(VLOOKUP($C147,REV!$C:$AA,16,0)-'TRADE IN'!$F147))</f>
        <v>7799</v>
      </c>
      <c r="S147" s="46">
        <f>IF(VLOOKUP($C147,REV!$C:$AA,17,0)-'TRADE IN'!$F156=0,"",(VLOOKUP($C147,REV!$C:$AA,17,0)-'TRADE IN'!$F147))</f>
        <v>7699</v>
      </c>
      <c r="T147" s="46">
        <f>IF(VLOOKUP($C147,REV!$C:$AA,18,0)-'TRADE IN'!$F156=0,"",(VLOOKUP($C147,REV!$C:$AA,18,0)-'TRADE IN'!$F147))</f>
        <v>7499</v>
      </c>
      <c r="U147" s="46">
        <f>IF(VLOOKUP($C147,REV!$C:$AA,19,0)-'TRADE IN'!$F156=0,"",(VLOOKUP($C147,REV!$C:$AA,19,0)-'TRADE IN'!$F147))</f>
        <v>7499</v>
      </c>
      <c r="V147" s="46">
        <f>IF(VLOOKUP($C147,REV!$C:$AA,20,0)-'TRADE IN'!$F156=0,"",(VLOOKUP($C147,REV!$C:$AA,20,0)-'TRADE IN'!$F147))</f>
        <v>7499</v>
      </c>
      <c r="W147" s="46">
        <f>IF(VLOOKUP($C147,REV!$C:$AA,21,0)-'TRADE IN'!$F156=0,"",(VLOOKUP($C147,REV!$C:$AA,21,0)-'TRADE IN'!$F147))</f>
        <v>7499</v>
      </c>
      <c r="X147" s="46">
        <f>IF(VLOOKUP($C147,REV!$C:$AA,22,0)-'TRADE IN'!$F156=0,"",(VLOOKUP($C147,REV!$C:$AA,22,0)-'TRADE IN'!$F147))</f>
        <v>7399</v>
      </c>
      <c r="Y147" s="46">
        <f>IF(VLOOKUP($C147,REV!$C:$AA,23,0)-'TRADE IN'!$F156=0,"",(VLOOKUP($C147,REV!$C:$AA,23,0)-'TRADE IN'!$F147))</f>
        <v>6999</v>
      </c>
      <c r="Z147" s="46">
        <f>IF(VLOOKUP($C147,REV!$C:$AA,24,0)-'TRADE IN'!$F156=0,"",(VLOOKUP($C147,REV!$C:$AA,24,0)-'TRADE IN'!$F147))</f>
        <v>6999</v>
      </c>
      <c r="AA147" s="46">
        <f>IF(VLOOKUP($C147,REV!$C:$AA,25,0)-'TRADE IN'!$F156=0,"",(VLOOKUP($C147,REV!$C:$AA,25,0)-'TRADE IN'!$F147))</f>
        <v>6999</v>
      </c>
      <c r="AB147" s="46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tr">
        <f>IF(REV!AW147=0,"",REV!AW147)</f>
        <v>31.03.2026</v>
      </c>
      <c r="AX147" s="159" t="s">
        <v>82</v>
      </c>
    </row>
    <row r="148" spans="1:50" ht="22.5" customHeight="1">
      <c r="A148" s="52" t="s">
        <v>70</v>
      </c>
      <c r="B148" s="41" t="s">
        <v>62</v>
      </c>
      <c r="C148" s="42">
        <v>4016488</v>
      </c>
      <c r="D148" s="43" t="s">
        <v>224</v>
      </c>
      <c r="E148" s="43" t="s">
        <v>225</v>
      </c>
      <c r="F148" s="45"/>
      <c r="G148" s="45"/>
      <c r="H148" s="46"/>
      <c r="I148" s="46"/>
      <c r="J148" s="46">
        <f>IF(VLOOKUP($C148,REV!$C:$AA,8,0)-'TRADE IN'!$F148=0,"",(VLOOKUP($C148,REV!$C:$AA,8,0)-'TRADE IN'!$F148))</f>
        <v>5799</v>
      </c>
      <c r="K148" s="46">
        <f>IF(VLOOKUP($C148,REV!$C:$AA,9,0)-'TRADE IN'!$F148=0,"",(VLOOKUP($C148,REV!$C:$AA,9,0)-'TRADE IN'!$F148))</f>
        <v>5799</v>
      </c>
      <c r="L148" s="46">
        <f>IF(VLOOKUP($C148,REV!$C:$AA,10,0)-'TRADE IN'!$F157=0,"",(VLOOKUP($C148,REV!$C:$AA,10,0)-'TRADE IN'!$F148))</f>
        <v>5799</v>
      </c>
      <c r="M148" s="46">
        <f>IF(VLOOKUP($C148,REV!$C:$AA,11,0)-'TRADE IN'!$F157=0,"",(VLOOKUP($C148,REV!$C:$AA,11,0)-'TRADE IN'!$F148))</f>
        <v>5799</v>
      </c>
      <c r="N148" s="46">
        <f>IF(VLOOKUP($C148,REV!$C:$AA,12,0)-'TRADE IN'!$F157=0,"",(VLOOKUP($C148,REV!$C:$AA,12,0)-'TRADE IN'!$F148))</f>
        <v>5799</v>
      </c>
      <c r="O148" s="46">
        <f>IF(VLOOKUP($C148,REV!$C:$AA,13,0)-'TRADE IN'!$F157=0,"",(VLOOKUP($C148,REV!$C:$AA,13,0)-'TRADE IN'!$F148))</f>
        <v>5299</v>
      </c>
      <c r="P148" s="46">
        <f>IF(VLOOKUP($C148,REV!$C:$AA,14,0)-'TRADE IN'!$F157=0,"",(VLOOKUP($C148,REV!$C:$AA,14,0)-'TRADE IN'!$F148))</f>
        <v>5199</v>
      </c>
      <c r="Q148" s="46">
        <f>IF(VLOOKUP($C148,REV!$C:$AA,15,0)-'TRADE IN'!$F157=0,"",(VLOOKUP($C148,REV!$C:$AA,15,0)-'TRADE IN'!$F148))</f>
        <v>4999</v>
      </c>
      <c r="R148" s="46">
        <f>IF(VLOOKUP($C148,REV!$C:$AA,16,0)-'TRADE IN'!$F157=0,"",(VLOOKUP($C148,REV!$C:$AA,16,0)-'TRADE IN'!$F148))</f>
        <v>5299</v>
      </c>
      <c r="S148" s="46">
        <f>IF(VLOOKUP($C148,REV!$C:$AA,17,0)-'TRADE IN'!$F157=0,"",(VLOOKUP($C148,REV!$C:$AA,17,0)-'TRADE IN'!$F148))</f>
        <v>5199</v>
      </c>
      <c r="T148" s="46">
        <f>IF(VLOOKUP($C148,REV!$C:$AA,18,0)-'TRADE IN'!$F157=0,"",(VLOOKUP($C148,REV!$C:$AA,18,0)-'TRADE IN'!$F148))</f>
        <v>4999</v>
      </c>
      <c r="U148" s="46">
        <f>IF(VLOOKUP($C148,REV!$C:$AA,19,0)-'TRADE IN'!$F157=0,"",(VLOOKUP($C148,REV!$C:$AA,19,0)-'TRADE IN'!$F148))</f>
        <v>4999</v>
      </c>
      <c r="V148" s="46">
        <f>IF(VLOOKUP($C148,REV!$C:$AA,20,0)-'TRADE IN'!$F157=0,"",(VLOOKUP($C148,REV!$C:$AA,20,0)-'TRADE IN'!$F148))</f>
        <v>4999</v>
      </c>
      <c r="W148" s="46">
        <f>IF(VLOOKUP($C148,REV!$C:$AA,21,0)-'TRADE IN'!$F157=0,"",(VLOOKUP($C148,REV!$C:$AA,21,0)-'TRADE IN'!$F148))</f>
        <v>4999</v>
      </c>
      <c r="X148" s="46">
        <f>IF(VLOOKUP($C148,REV!$C:$AA,22,0)-'TRADE IN'!$F157=0,"",(VLOOKUP($C148,REV!$C:$AA,22,0)-'TRADE IN'!$F148))</f>
        <v>4899</v>
      </c>
      <c r="Y148" s="46">
        <f>IF(VLOOKUP($C148,REV!$C:$AA,23,0)-'TRADE IN'!$F157=0,"",(VLOOKUP($C148,REV!$C:$AA,23,0)-'TRADE IN'!$F148))</f>
        <v>3999</v>
      </c>
      <c r="Z148" s="46">
        <f>IF(VLOOKUP($C148,REV!$C:$AA,24,0)-'TRADE IN'!$F157=0,"",(VLOOKUP($C148,REV!$C:$AA,24,0)-'TRADE IN'!$F148))</f>
        <v>3999</v>
      </c>
      <c r="AA148" s="46">
        <f>IF(VLOOKUP($C148,REV!$C:$AA,25,0)-'TRADE IN'!$F157=0,"",(VLOOKUP($C148,REV!$C:$AA,25,0)-'TRADE IN'!$F148))</f>
        <v>3999</v>
      </c>
      <c r="AB148" s="46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tr">
        <f>IF(REV!AW148=0,"",REV!AW148)</f>
        <v>31.03.2026</v>
      </c>
      <c r="AX148" s="159" t="s">
        <v>82</v>
      </c>
    </row>
    <row r="149" spans="1:50" ht="22.5" customHeight="1">
      <c r="A149" s="52" t="s">
        <v>70</v>
      </c>
      <c r="B149" s="41" t="s">
        <v>62</v>
      </c>
      <c r="C149" s="42">
        <v>4016678</v>
      </c>
      <c r="D149" s="43" t="s">
        <v>224</v>
      </c>
      <c r="E149" s="43" t="s">
        <v>226</v>
      </c>
      <c r="F149" s="45"/>
      <c r="G149" s="45"/>
      <c r="H149" s="46"/>
      <c r="I149" s="46"/>
      <c r="J149" s="46">
        <f>IF(VLOOKUP($C149,REV!$C:$AA,8,0)-'TRADE IN'!$F149=0,"",(VLOOKUP($C149,REV!$C:$AA,8,0)-'TRADE IN'!$F149))</f>
        <v>5799</v>
      </c>
      <c r="K149" s="46">
        <f>IF(VLOOKUP($C149,REV!$C:$AA,9,0)-'TRADE IN'!$F149=0,"",(VLOOKUP($C149,REV!$C:$AA,9,0)-'TRADE IN'!$F149))</f>
        <v>5799</v>
      </c>
      <c r="L149" s="46">
        <f>IF(VLOOKUP($C149,REV!$C:$AA,10,0)-'TRADE IN'!$F158=0,"",(VLOOKUP($C149,REV!$C:$AA,10,0)-'TRADE IN'!$F149))</f>
        <v>5799</v>
      </c>
      <c r="M149" s="46">
        <f>IF(VLOOKUP($C149,REV!$C:$AA,11,0)-'TRADE IN'!$F158=0,"",(VLOOKUP($C149,REV!$C:$AA,11,0)-'TRADE IN'!$F149))</f>
        <v>5799</v>
      </c>
      <c r="N149" s="46">
        <f>IF(VLOOKUP($C149,REV!$C:$AA,12,0)-'TRADE IN'!$F158=0,"",(VLOOKUP($C149,REV!$C:$AA,12,0)-'TRADE IN'!$F149))</f>
        <v>5799</v>
      </c>
      <c r="O149" s="46">
        <f>IF(VLOOKUP($C149,REV!$C:$AA,13,0)-'TRADE IN'!$F158=0,"",(VLOOKUP($C149,REV!$C:$AA,13,0)-'TRADE IN'!$F149))</f>
        <v>5299</v>
      </c>
      <c r="P149" s="46">
        <f>IF(VLOOKUP($C149,REV!$C:$AA,14,0)-'TRADE IN'!$F158=0,"",(VLOOKUP($C149,REV!$C:$AA,14,0)-'TRADE IN'!$F149))</f>
        <v>5199</v>
      </c>
      <c r="Q149" s="46">
        <f>IF(VLOOKUP($C149,REV!$C:$AA,15,0)-'TRADE IN'!$F158=0,"",(VLOOKUP($C149,REV!$C:$AA,15,0)-'TRADE IN'!$F149))</f>
        <v>4999</v>
      </c>
      <c r="R149" s="46">
        <f>IF(VLOOKUP($C149,REV!$C:$AA,16,0)-'TRADE IN'!$F158=0,"",(VLOOKUP($C149,REV!$C:$AA,16,0)-'TRADE IN'!$F149))</f>
        <v>5299</v>
      </c>
      <c r="S149" s="46">
        <f>IF(VLOOKUP($C149,REV!$C:$AA,17,0)-'TRADE IN'!$F158=0,"",(VLOOKUP($C149,REV!$C:$AA,17,0)-'TRADE IN'!$F149))</f>
        <v>5199</v>
      </c>
      <c r="T149" s="46">
        <f>IF(VLOOKUP($C149,REV!$C:$AA,18,0)-'TRADE IN'!$F158=0,"",(VLOOKUP($C149,REV!$C:$AA,18,0)-'TRADE IN'!$F149))</f>
        <v>4999</v>
      </c>
      <c r="U149" s="46">
        <f>IF(VLOOKUP($C149,REV!$C:$AA,19,0)-'TRADE IN'!$F158=0,"",(VLOOKUP($C149,REV!$C:$AA,19,0)-'TRADE IN'!$F149))</f>
        <v>4999</v>
      </c>
      <c r="V149" s="46">
        <f>IF(VLOOKUP($C149,REV!$C:$AA,20,0)-'TRADE IN'!$F158=0,"",(VLOOKUP($C149,REV!$C:$AA,20,0)-'TRADE IN'!$F149))</f>
        <v>4999</v>
      </c>
      <c r="W149" s="46">
        <f>IF(VLOOKUP($C149,REV!$C:$AA,21,0)-'TRADE IN'!$F158=0,"",(VLOOKUP($C149,REV!$C:$AA,21,0)-'TRADE IN'!$F149))</f>
        <v>4999</v>
      </c>
      <c r="X149" s="46">
        <f>IF(VLOOKUP($C149,REV!$C:$AA,22,0)-'TRADE IN'!$F158=0,"",(VLOOKUP($C149,REV!$C:$AA,22,0)-'TRADE IN'!$F149))</f>
        <v>4899</v>
      </c>
      <c r="Y149" s="46">
        <f>IF(VLOOKUP($C149,REV!$C:$AA,23,0)-'TRADE IN'!$F158=0,"",(VLOOKUP($C149,REV!$C:$AA,23,0)-'TRADE IN'!$F149))</f>
        <v>3999</v>
      </c>
      <c r="Z149" s="46">
        <f>IF(VLOOKUP($C149,REV!$C:$AA,24,0)-'TRADE IN'!$F158=0,"",(VLOOKUP($C149,REV!$C:$AA,24,0)-'TRADE IN'!$F149))</f>
        <v>3999</v>
      </c>
      <c r="AA149" s="46">
        <f>IF(VLOOKUP($C149,REV!$C:$AA,25,0)-'TRADE IN'!$F158=0,"",(VLOOKUP($C149,REV!$C:$AA,25,0)-'TRADE IN'!$F149))</f>
        <v>3999</v>
      </c>
      <c r="AB149" s="46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tr">
        <f>IF(REV!AW149=0,"",REV!AW149)</f>
        <v>31.03.2026</v>
      </c>
      <c r="AX149" s="159" t="s">
        <v>82</v>
      </c>
    </row>
    <row r="150" spans="1:50" ht="22.5" customHeight="1">
      <c r="A150" s="52" t="s">
        <v>70</v>
      </c>
      <c r="B150" s="41" t="s">
        <v>62</v>
      </c>
      <c r="C150" s="42">
        <v>4016485</v>
      </c>
      <c r="D150" s="43" t="s">
        <v>224</v>
      </c>
      <c r="E150" s="43" t="s">
        <v>227</v>
      </c>
      <c r="F150" s="45"/>
      <c r="G150" s="45"/>
      <c r="H150" s="46"/>
      <c r="I150" s="46"/>
      <c r="J150" s="46">
        <f>IF(VLOOKUP($C150,REV!$C:$AA,8,0)-'TRADE IN'!$F150=0,"",(VLOOKUP($C150,REV!$C:$AA,8,0)-'TRADE IN'!$F150))</f>
        <v>5799</v>
      </c>
      <c r="K150" s="46">
        <f>IF(VLOOKUP($C150,REV!$C:$AA,9,0)-'TRADE IN'!$F150=0,"",(VLOOKUP($C150,REV!$C:$AA,9,0)-'TRADE IN'!$F150))</f>
        <v>5799</v>
      </c>
      <c r="L150" s="46">
        <f>IF(VLOOKUP($C150,REV!$C:$AA,10,0)-'TRADE IN'!$F159=0,"",(VLOOKUP($C150,REV!$C:$AA,10,0)-'TRADE IN'!$F150))</f>
        <v>5799</v>
      </c>
      <c r="M150" s="46">
        <f>IF(VLOOKUP($C150,REV!$C:$AA,11,0)-'TRADE IN'!$F159=0,"",(VLOOKUP($C150,REV!$C:$AA,11,0)-'TRADE IN'!$F150))</f>
        <v>5799</v>
      </c>
      <c r="N150" s="46">
        <f>IF(VLOOKUP($C150,REV!$C:$AA,12,0)-'TRADE IN'!$F159=0,"",(VLOOKUP($C150,REV!$C:$AA,12,0)-'TRADE IN'!$F150))</f>
        <v>5799</v>
      </c>
      <c r="O150" s="46">
        <f>IF(VLOOKUP($C150,REV!$C:$AA,13,0)-'TRADE IN'!$F159=0,"",(VLOOKUP($C150,REV!$C:$AA,13,0)-'TRADE IN'!$F150))</f>
        <v>5299</v>
      </c>
      <c r="P150" s="46">
        <f>IF(VLOOKUP($C150,REV!$C:$AA,14,0)-'TRADE IN'!$F159=0,"",(VLOOKUP($C150,REV!$C:$AA,14,0)-'TRADE IN'!$F150))</f>
        <v>5199</v>
      </c>
      <c r="Q150" s="46">
        <f>IF(VLOOKUP($C150,REV!$C:$AA,15,0)-'TRADE IN'!$F159=0,"",(VLOOKUP($C150,REV!$C:$AA,15,0)-'TRADE IN'!$F150))</f>
        <v>4999</v>
      </c>
      <c r="R150" s="46">
        <f>IF(VLOOKUP($C150,REV!$C:$AA,16,0)-'TRADE IN'!$F159=0,"",(VLOOKUP($C150,REV!$C:$AA,16,0)-'TRADE IN'!$F150))</f>
        <v>5299</v>
      </c>
      <c r="S150" s="46">
        <f>IF(VLOOKUP($C150,REV!$C:$AA,17,0)-'TRADE IN'!$F159=0,"",(VLOOKUP($C150,REV!$C:$AA,17,0)-'TRADE IN'!$F150))</f>
        <v>5199</v>
      </c>
      <c r="T150" s="46">
        <f>IF(VLOOKUP($C150,REV!$C:$AA,18,0)-'TRADE IN'!$F159=0,"",(VLOOKUP($C150,REV!$C:$AA,18,0)-'TRADE IN'!$F150))</f>
        <v>4999</v>
      </c>
      <c r="U150" s="46">
        <f>IF(VLOOKUP($C150,REV!$C:$AA,19,0)-'TRADE IN'!$F159=0,"",(VLOOKUP($C150,REV!$C:$AA,19,0)-'TRADE IN'!$F150))</f>
        <v>4999</v>
      </c>
      <c r="V150" s="46">
        <f>IF(VLOOKUP($C150,REV!$C:$AA,20,0)-'TRADE IN'!$F159=0,"",(VLOOKUP($C150,REV!$C:$AA,20,0)-'TRADE IN'!$F150))</f>
        <v>4999</v>
      </c>
      <c r="W150" s="46">
        <f>IF(VLOOKUP($C150,REV!$C:$AA,21,0)-'TRADE IN'!$F159=0,"",(VLOOKUP($C150,REV!$C:$AA,21,0)-'TRADE IN'!$F150))</f>
        <v>4999</v>
      </c>
      <c r="X150" s="46">
        <f>IF(VLOOKUP($C150,REV!$C:$AA,22,0)-'TRADE IN'!$F159=0,"",(VLOOKUP($C150,REV!$C:$AA,22,0)-'TRADE IN'!$F150))</f>
        <v>4899</v>
      </c>
      <c r="Y150" s="46">
        <f>IF(VLOOKUP($C150,REV!$C:$AA,23,0)-'TRADE IN'!$F159=0,"",(VLOOKUP($C150,REV!$C:$AA,23,0)-'TRADE IN'!$F150))</f>
        <v>3999</v>
      </c>
      <c r="Z150" s="46">
        <f>IF(VLOOKUP($C150,REV!$C:$AA,24,0)-'TRADE IN'!$F159=0,"",(VLOOKUP($C150,REV!$C:$AA,24,0)-'TRADE IN'!$F150))</f>
        <v>3999</v>
      </c>
      <c r="AA150" s="46">
        <f>IF(VLOOKUP($C150,REV!$C:$AA,25,0)-'TRADE IN'!$F159=0,"",(VLOOKUP($C150,REV!$C:$AA,25,0)-'TRADE IN'!$F150))</f>
        <v>3999</v>
      </c>
      <c r="AB150" s="46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tr">
        <f>IF(REV!AW150=0,"",REV!AW150)</f>
        <v>31.03.2026</v>
      </c>
      <c r="AX150" s="159" t="s">
        <v>82</v>
      </c>
    </row>
    <row r="151" spans="1:50" ht="22.5" customHeight="1">
      <c r="A151" s="52" t="s">
        <v>70</v>
      </c>
      <c r="B151" s="41" t="s">
        <v>62</v>
      </c>
      <c r="C151" s="42">
        <v>4016486</v>
      </c>
      <c r="D151" s="43" t="s">
        <v>224</v>
      </c>
      <c r="E151" s="43" t="s">
        <v>228</v>
      </c>
      <c r="F151" s="45"/>
      <c r="G151" s="45"/>
      <c r="H151" s="46"/>
      <c r="I151" s="46"/>
      <c r="J151" s="46">
        <f>IF(VLOOKUP($C151,REV!$C:$AA,8,0)-'TRADE IN'!$F151=0,"",(VLOOKUP($C151,REV!$C:$AA,8,0)-'TRADE IN'!$F151))</f>
        <v>5799</v>
      </c>
      <c r="K151" s="46">
        <f>IF(VLOOKUP($C151,REV!$C:$AA,9,0)-'TRADE IN'!$F151=0,"",(VLOOKUP($C151,REV!$C:$AA,9,0)-'TRADE IN'!$F151))</f>
        <v>5799</v>
      </c>
      <c r="L151" s="46">
        <f>IF(VLOOKUP($C151,REV!$C:$AA,10,0)-'TRADE IN'!$F160=0,"",(VLOOKUP($C151,REV!$C:$AA,10,0)-'TRADE IN'!$F151))</f>
        <v>5799</v>
      </c>
      <c r="M151" s="46">
        <f>IF(VLOOKUP($C151,REV!$C:$AA,11,0)-'TRADE IN'!$F160=0,"",(VLOOKUP($C151,REV!$C:$AA,11,0)-'TRADE IN'!$F151))</f>
        <v>5799</v>
      </c>
      <c r="N151" s="46">
        <f>IF(VLOOKUP($C151,REV!$C:$AA,12,0)-'TRADE IN'!$F160=0,"",(VLOOKUP($C151,REV!$C:$AA,12,0)-'TRADE IN'!$F151))</f>
        <v>5799</v>
      </c>
      <c r="O151" s="46">
        <f>IF(VLOOKUP($C151,REV!$C:$AA,13,0)-'TRADE IN'!$F160=0,"",(VLOOKUP($C151,REV!$C:$AA,13,0)-'TRADE IN'!$F151))</f>
        <v>5299</v>
      </c>
      <c r="P151" s="46">
        <f>IF(VLOOKUP($C151,REV!$C:$AA,14,0)-'TRADE IN'!$F160=0,"",(VLOOKUP($C151,REV!$C:$AA,14,0)-'TRADE IN'!$F151))</f>
        <v>5199</v>
      </c>
      <c r="Q151" s="46">
        <f>IF(VLOOKUP($C151,REV!$C:$AA,15,0)-'TRADE IN'!$F160=0,"",(VLOOKUP($C151,REV!$C:$AA,15,0)-'TRADE IN'!$F151))</f>
        <v>4999</v>
      </c>
      <c r="R151" s="46">
        <f>IF(VLOOKUP($C151,REV!$C:$AA,16,0)-'TRADE IN'!$F160=0,"",(VLOOKUP($C151,REV!$C:$AA,16,0)-'TRADE IN'!$F151))</f>
        <v>5299</v>
      </c>
      <c r="S151" s="46">
        <f>IF(VLOOKUP($C151,REV!$C:$AA,17,0)-'TRADE IN'!$F160=0,"",(VLOOKUP($C151,REV!$C:$AA,17,0)-'TRADE IN'!$F151))</f>
        <v>5199</v>
      </c>
      <c r="T151" s="46">
        <f>IF(VLOOKUP($C151,REV!$C:$AA,18,0)-'TRADE IN'!$F160=0,"",(VLOOKUP($C151,REV!$C:$AA,18,0)-'TRADE IN'!$F151))</f>
        <v>4999</v>
      </c>
      <c r="U151" s="46">
        <f>IF(VLOOKUP($C151,REV!$C:$AA,19,0)-'TRADE IN'!$F160=0,"",(VLOOKUP($C151,REV!$C:$AA,19,0)-'TRADE IN'!$F151))</f>
        <v>4999</v>
      </c>
      <c r="V151" s="46">
        <f>IF(VLOOKUP($C151,REV!$C:$AA,20,0)-'TRADE IN'!$F160=0,"",(VLOOKUP($C151,REV!$C:$AA,20,0)-'TRADE IN'!$F151))</f>
        <v>4999</v>
      </c>
      <c r="W151" s="46">
        <f>IF(VLOOKUP($C151,REV!$C:$AA,21,0)-'TRADE IN'!$F160=0,"",(VLOOKUP($C151,REV!$C:$AA,21,0)-'TRADE IN'!$F151))</f>
        <v>4999</v>
      </c>
      <c r="X151" s="46">
        <f>IF(VLOOKUP($C151,REV!$C:$AA,22,0)-'TRADE IN'!$F160=0,"",(VLOOKUP($C151,REV!$C:$AA,22,0)-'TRADE IN'!$F151))</f>
        <v>4899</v>
      </c>
      <c r="Y151" s="46">
        <f>IF(VLOOKUP($C151,REV!$C:$AA,23,0)-'TRADE IN'!$F160=0,"",(VLOOKUP($C151,REV!$C:$AA,23,0)-'TRADE IN'!$F151))</f>
        <v>3999</v>
      </c>
      <c r="Z151" s="46">
        <f>IF(VLOOKUP($C151,REV!$C:$AA,24,0)-'TRADE IN'!$F160=0,"",(VLOOKUP($C151,REV!$C:$AA,24,0)-'TRADE IN'!$F151))</f>
        <v>3999</v>
      </c>
      <c r="AA151" s="46">
        <f>IF(VLOOKUP($C151,REV!$C:$AA,25,0)-'TRADE IN'!$F160=0,"",(VLOOKUP($C151,REV!$C:$AA,25,0)-'TRADE IN'!$F151))</f>
        <v>3999</v>
      </c>
      <c r="AB151" s="46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tr">
        <f>IF(REV!AW151=0,"",REV!AW151)</f>
        <v>31.03.2026</v>
      </c>
      <c r="AX151" s="159" t="s">
        <v>82</v>
      </c>
    </row>
    <row r="152" spans="1:50" ht="22.5" customHeight="1">
      <c r="A152" s="52" t="s">
        <v>70</v>
      </c>
      <c r="B152" s="41" t="s">
        <v>62</v>
      </c>
      <c r="C152" s="42">
        <v>4016489</v>
      </c>
      <c r="D152" s="43" t="s">
        <v>224</v>
      </c>
      <c r="E152" s="43" t="s">
        <v>229</v>
      </c>
      <c r="F152" s="45"/>
      <c r="G152" s="45"/>
      <c r="H152" s="46"/>
      <c r="I152" s="46"/>
      <c r="J152" s="46">
        <f>IF(VLOOKUP($C152,REV!$C:$AA,8,0)-'TRADE IN'!$F152=0,"",(VLOOKUP($C152,REV!$C:$AA,8,0)-'TRADE IN'!$F152))</f>
        <v>5799</v>
      </c>
      <c r="K152" s="46">
        <f>IF(VLOOKUP($C152,REV!$C:$AA,9,0)-'TRADE IN'!$F152=0,"",(VLOOKUP($C152,REV!$C:$AA,9,0)-'TRADE IN'!$F152))</f>
        <v>5799</v>
      </c>
      <c r="L152" s="46">
        <f>IF(VLOOKUP($C152,REV!$C:$AA,10,0)-'TRADE IN'!$F161=0,"",(VLOOKUP($C152,REV!$C:$AA,10,0)-'TRADE IN'!$F152))</f>
        <v>5799</v>
      </c>
      <c r="M152" s="46">
        <f>IF(VLOOKUP($C152,REV!$C:$AA,11,0)-'TRADE IN'!$F161=0,"",(VLOOKUP($C152,REV!$C:$AA,11,0)-'TRADE IN'!$F152))</f>
        <v>5799</v>
      </c>
      <c r="N152" s="46">
        <f>IF(VLOOKUP($C152,REV!$C:$AA,12,0)-'TRADE IN'!$F161=0,"",(VLOOKUP($C152,REV!$C:$AA,12,0)-'TRADE IN'!$F152))</f>
        <v>5799</v>
      </c>
      <c r="O152" s="46">
        <f>IF(VLOOKUP($C152,REV!$C:$AA,13,0)-'TRADE IN'!$F161=0,"",(VLOOKUP($C152,REV!$C:$AA,13,0)-'TRADE IN'!$F152))</f>
        <v>5299</v>
      </c>
      <c r="P152" s="46">
        <f>IF(VLOOKUP($C152,REV!$C:$AA,14,0)-'TRADE IN'!$F161=0,"",(VLOOKUP($C152,REV!$C:$AA,14,0)-'TRADE IN'!$F152))</f>
        <v>5199</v>
      </c>
      <c r="Q152" s="46">
        <f>IF(VLOOKUP($C152,REV!$C:$AA,15,0)-'TRADE IN'!$F161=0,"",(VLOOKUP($C152,REV!$C:$AA,15,0)-'TRADE IN'!$F152))</f>
        <v>4999</v>
      </c>
      <c r="R152" s="46">
        <f>IF(VLOOKUP($C152,REV!$C:$AA,16,0)-'TRADE IN'!$F161=0,"",(VLOOKUP($C152,REV!$C:$AA,16,0)-'TRADE IN'!$F152))</f>
        <v>5299</v>
      </c>
      <c r="S152" s="46">
        <f>IF(VLOOKUP($C152,REV!$C:$AA,17,0)-'TRADE IN'!$F161=0,"",(VLOOKUP($C152,REV!$C:$AA,17,0)-'TRADE IN'!$F152))</f>
        <v>5199</v>
      </c>
      <c r="T152" s="46">
        <f>IF(VLOOKUP($C152,REV!$C:$AA,18,0)-'TRADE IN'!$F161=0,"",(VLOOKUP($C152,REV!$C:$AA,18,0)-'TRADE IN'!$F152))</f>
        <v>4999</v>
      </c>
      <c r="U152" s="46">
        <f>IF(VLOOKUP($C152,REV!$C:$AA,19,0)-'TRADE IN'!$F161=0,"",(VLOOKUP($C152,REV!$C:$AA,19,0)-'TRADE IN'!$F152))</f>
        <v>4999</v>
      </c>
      <c r="V152" s="46">
        <f>IF(VLOOKUP($C152,REV!$C:$AA,20,0)-'TRADE IN'!$F161=0,"",(VLOOKUP($C152,REV!$C:$AA,20,0)-'TRADE IN'!$F152))</f>
        <v>4999</v>
      </c>
      <c r="W152" s="46">
        <f>IF(VLOOKUP($C152,REV!$C:$AA,21,0)-'TRADE IN'!$F161=0,"",(VLOOKUP($C152,REV!$C:$AA,21,0)-'TRADE IN'!$F152))</f>
        <v>4999</v>
      </c>
      <c r="X152" s="46">
        <f>IF(VLOOKUP($C152,REV!$C:$AA,22,0)-'TRADE IN'!$F161=0,"",(VLOOKUP($C152,REV!$C:$AA,22,0)-'TRADE IN'!$F152))</f>
        <v>4899</v>
      </c>
      <c r="Y152" s="46">
        <f>IF(VLOOKUP($C152,REV!$C:$AA,23,0)-'TRADE IN'!$F161=0,"",(VLOOKUP($C152,REV!$C:$AA,23,0)-'TRADE IN'!$F152))</f>
        <v>3999</v>
      </c>
      <c r="Z152" s="46">
        <f>IF(VLOOKUP($C152,REV!$C:$AA,24,0)-'TRADE IN'!$F161=0,"",(VLOOKUP($C152,REV!$C:$AA,24,0)-'TRADE IN'!$F152))</f>
        <v>3999</v>
      </c>
      <c r="AA152" s="46">
        <f>IF(VLOOKUP($C152,REV!$C:$AA,25,0)-'TRADE IN'!$F161=0,"",(VLOOKUP($C152,REV!$C:$AA,25,0)-'TRADE IN'!$F152))</f>
        <v>3999</v>
      </c>
      <c r="AB152" s="46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tr">
        <f>IF(REV!AW152=0,"",REV!AW152)</f>
        <v>31.03.2026</v>
      </c>
      <c r="AX152" s="159" t="s">
        <v>82</v>
      </c>
    </row>
    <row r="153" spans="1:50" ht="22.5" customHeight="1">
      <c r="A153" s="52" t="s">
        <v>70</v>
      </c>
      <c r="B153" s="41" t="s">
        <v>62</v>
      </c>
      <c r="C153" s="42">
        <v>4016676</v>
      </c>
      <c r="D153" s="43" t="s">
        <v>224</v>
      </c>
      <c r="E153" s="43" t="s">
        <v>230</v>
      </c>
      <c r="F153" s="45"/>
      <c r="G153" s="45"/>
      <c r="H153" s="46"/>
      <c r="I153" s="46"/>
      <c r="J153" s="46">
        <f>IF(VLOOKUP($C153,REV!$C:$AA,8,0)-'TRADE IN'!$F153=0,"",(VLOOKUP($C153,REV!$C:$AA,8,0)-'TRADE IN'!$F153))</f>
        <v>5799</v>
      </c>
      <c r="K153" s="46">
        <f>IF(VLOOKUP($C153,REV!$C:$AA,9,0)-'TRADE IN'!$F153=0,"",(VLOOKUP($C153,REV!$C:$AA,9,0)-'TRADE IN'!$F153))</f>
        <v>5799</v>
      </c>
      <c r="L153" s="46">
        <f>IF(VLOOKUP($C153,REV!$C:$AA,10,0)-'TRADE IN'!$F162=0,"",(VLOOKUP($C153,REV!$C:$AA,10,0)-'TRADE IN'!$F153))</f>
        <v>5799</v>
      </c>
      <c r="M153" s="46">
        <f>IF(VLOOKUP($C153,REV!$C:$AA,11,0)-'TRADE IN'!$F162=0,"",(VLOOKUP($C153,REV!$C:$AA,11,0)-'TRADE IN'!$F153))</f>
        <v>5799</v>
      </c>
      <c r="N153" s="46">
        <f>IF(VLOOKUP($C153,REV!$C:$AA,12,0)-'TRADE IN'!$F162=0,"",(VLOOKUP($C153,REV!$C:$AA,12,0)-'TRADE IN'!$F153))</f>
        <v>5799</v>
      </c>
      <c r="O153" s="46">
        <f>IF(VLOOKUP($C153,REV!$C:$AA,13,0)-'TRADE IN'!$F162=0,"",(VLOOKUP($C153,REV!$C:$AA,13,0)-'TRADE IN'!$F153))</f>
        <v>5299</v>
      </c>
      <c r="P153" s="46">
        <f>IF(VLOOKUP($C153,REV!$C:$AA,14,0)-'TRADE IN'!$F162=0,"",(VLOOKUP($C153,REV!$C:$AA,14,0)-'TRADE IN'!$F153))</f>
        <v>5199</v>
      </c>
      <c r="Q153" s="46">
        <f>IF(VLOOKUP($C153,REV!$C:$AA,15,0)-'TRADE IN'!$F162=0,"",(VLOOKUP($C153,REV!$C:$AA,15,0)-'TRADE IN'!$F153))</f>
        <v>4999</v>
      </c>
      <c r="R153" s="46">
        <f>IF(VLOOKUP($C153,REV!$C:$AA,16,0)-'TRADE IN'!$F162=0,"",(VLOOKUP($C153,REV!$C:$AA,16,0)-'TRADE IN'!$F153))</f>
        <v>5299</v>
      </c>
      <c r="S153" s="46">
        <f>IF(VLOOKUP($C153,REV!$C:$AA,17,0)-'TRADE IN'!$F162=0,"",(VLOOKUP($C153,REV!$C:$AA,17,0)-'TRADE IN'!$F153))</f>
        <v>5199</v>
      </c>
      <c r="T153" s="46">
        <f>IF(VLOOKUP($C153,REV!$C:$AA,18,0)-'TRADE IN'!$F162=0,"",(VLOOKUP($C153,REV!$C:$AA,18,0)-'TRADE IN'!$F153))</f>
        <v>4999</v>
      </c>
      <c r="U153" s="46">
        <f>IF(VLOOKUP($C153,REV!$C:$AA,19,0)-'TRADE IN'!$F162=0,"",(VLOOKUP($C153,REV!$C:$AA,19,0)-'TRADE IN'!$F153))</f>
        <v>4999</v>
      </c>
      <c r="V153" s="46">
        <f>IF(VLOOKUP($C153,REV!$C:$AA,20,0)-'TRADE IN'!$F162=0,"",(VLOOKUP($C153,REV!$C:$AA,20,0)-'TRADE IN'!$F153))</f>
        <v>4999</v>
      </c>
      <c r="W153" s="46">
        <f>IF(VLOOKUP($C153,REV!$C:$AA,21,0)-'TRADE IN'!$F162=0,"",(VLOOKUP($C153,REV!$C:$AA,21,0)-'TRADE IN'!$F153))</f>
        <v>4999</v>
      </c>
      <c r="X153" s="46">
        <f>IF(VLOOKUP($C153,REV!$C:$AA,22,0)-'TRADE IN'!$F162=0,"",(VLOOKUP($C153,REV!$C:$AA,22,0)-'TRADE IN'!$F153))</f>
        <v>4899</v>
      </c>
      <c r="Y153" s="46">
        <f>IF(VLOOKUP($C153,REV!$C:$AA,23,0)-'TRADE IN'!$F162=0,"",(VLOOKUP($C153,REV!$C:$AA,23,0)-'TRADE IN'!$F153))</f>
        <v>3999</v>
      </c>
      <c r="Z153" s="46">
        <f>IF(VLOOKUP($C153,REV!$C:$AA,24,0)-'TRADE IN'!$F162=0,"",(VLOOKUP($C153,REV!$C:$AA,24,0)-'TRADE IN'!$F153))</f>
        <v>3999</v>
      </c>
      <c r="AA153" s="46">
        <f>IF(VLOOKUP($C153,REV!$C:$AA,25,0)-'TRADE IN'!$F162=0,"",(VLOOKUP($C153,REV!$C:$AA,25,0)-'TRADE IN'!$F153))</f>
        <v>3999</v>
      </c>
      <c r="AB153" s="46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tr">
        <f>IF(REV!AW153=0,"",REV!AW153)</f>
        <v>31.03.2026</v>
      </c>
      <c r="AX153" s="159" t="s">
        <v>82</v>
      </c>
    </row>
    <row r="154" spans="1:50" ht="22.5" customHeight="1">
      <c r="A154" s="52" t="s">
        <v>70</v>
      </c>
      <c r="B154" s="41" t="s">
        <v>62</v>
      </c>
      <c r="C154" s="42">
        <v>4016487</v>
      </c>
      <c r="D154" s="43" t="s">
        <v>224</v>
      </c>
      <c r="E154" s="43" t="s">
        <v>231</v>
      </c>
      <c r="F154" s="45"/>
      <c r="G154" s="45"/>
      <c r="H154" s="46"/>
      <c r="I154" s="46"/>
      <c r="J154" s="46">
        <f>IF(VLOOKUP($C154,REV!$C:$AA,8,0)-'TRADE IN'!$F154=0,"",(VLOOKUP($C154,REV!$C:$AA,8,0)-'TRADE IN'!$F154))</f>
        <v>5799</v>
      </c>
      <c r="K154" s="46">
        <f>IF(VLOOKUP($C154,REV!$C:$AA,9,0)-'TRADE IN'!$F154=0,"",(VLOOKUP($C154,REV!$C:$AA,9,0)-'TRADE IN'!$F154))</f>
        <v>5799</v>
      </c>
      <c r="L154" s="46">
        <f>IF(VLOOKUP($C154,REV!$C:$AA,10,0)-'TRADE IN'!$F163=0,"",(VLOOKUP($C154,REV!$C:$AA,10,0)-'TRADE IN'!$F154))</f>
        <v>5799</v>
      </c>
      <c r="M154" s="46">
        <f>IF(VLOOKUP($C154,REV!$C:$AA,11,0)-'TRADE IN'!$F163=0,"",(VLOOKUP($C154,REV!$C:$AA,11,0)-'TRADE IN'!$F154))</f>
        <v>5799</v>
      </c>
      <c r="N154" s="46">
        <f>IF(VLOOKUP($C154,REV!$C:$AA,12,0)-'TRADE IN'!$F163=0,"",(VLOOKUP($C154,REV!$C:$AA,12,0)-'TRADE IN'!$F154))</f>
        <v>5799</v>
      </c>
      <c r="O154" s="46">
        <f>IF(VLOOKUP($C154,REV!$C:$AA,13,0)-'TRADE IN'!$F163=0,"",(VLOOKUP($C154,REV!$C:$AA,13,0)-'TRADE IN'!$F154))</f>
        <v>5299</v>
      </c>
      <c r="P154" s="46">
        <f>IF(VLOOKUP($C154,REV!$C:$AA,14,0)-'TRADE IN'!$F163=0,"",(VLOOKUP($C154,REV!$C:$AA,14,0)-'TRADE IN'!$F154))</f>
        <v>5199</v>
      </c>
      <c r="Q154" s="46">
        <f>IF(VLOOKUP($C154,REV!$C:$AA,15,0)-'TRADE IN'!$F163=0,"",(VLOOKUP($C154,REV!$C:$AA,15,0)-'TRADE IN'!$F154))</f>
        <v>4999</v>
      </c>
      <c r="R154" s="46">
        <f>IF(VLOOKUP($C154,REV!$C:$AA,16,0)-'TRADE IN'!$F163=0,"",(VLOOKUP($C154,REV!$C:$AA,16,0)-'TRADE IN'!$F154))</f>
        <v>5299</v>
      </c>
      <c r="S154" s="46">
        <f>IF(VLOOKUP($C154,REV!$C:$AA,17,0)-'TRADE IN'!$F163=0,"",(VLOOKUP($C154,REV!$C:$AA,17,0)-'TRADE IN'!$F154))</f>
        <v>5199</v>
      </c>
      <c r="T154" s="46">
        <f>IF(VLOOKUP($C154,REV!$C:$AA,18,0)-'TRADE IN'!$F163=0,"",(VLOOKUP($C154,REV!$C:$AA,18,0)-'TRADE IN'!$F154))</f>
        <v>4999</v>
      </c>
      <c r="U154" s="46">
        <f>IF(VLOOKUP($C154,REV!$C:$AA,19,0)-'TRADE IN'!$F163=0,"",(VLOOKUP($C154,REV!$C:$AA,19,0)-'TRADE IN'!$F154))</f>
        <v>4999</v>
      </c>
      <c r="V154" s="46">
        <f>IF(VLOOKUP($C154,REV!$C:$AA,20,0)-'TRADE IN'!$F163=0,"",(VLOOKUP($C154,REV!$C:$AA,20,0)-'TRADE IN'!$F154))</f>
        <v>4999</v>
      </c>
      <c r="W154" s="46">
        <f>IF(VLOOKUP($C154,REV!$C:$AA,21,0)-'TRADE IN'!$F163=0,"",(VLOOKUP($C154,REV!$C:$AA,21,0)-'TRADE IN'!$F154))</f>
        <v>4999</v>
      </c>
      <c r="X154" s="46">
        <f>IF(VLOOKUP($C154,REV!$C:$AA,22,0)-'TRADE IN'!$F163=0,"",(VLOOKUP($C154,REV!$C:$AA,22,0)-'TRADE IN'!$F154))</f>
        <v>4899</v>
      </c>
      <c r="Y154" s="46">
        <f>IF(VLOOKUP($C154,REV!$C:$AA,23,0)-'TRADE IN'!$F163=0,"",(VLOOKUP($C154,REV!$C:$AA,23,0)-'TRADE IN'!$F154))</f>
        <v>3999</v>
      </c>
      <c r="Z154" s="46">
        <f>IF(VLOOKUP($C154,REV!$C:$AA,24,0)-'TRADE IN'!$F163=0,"",(VLOOKUP($C154,REV!$C:$AA,24,0)-'TRADE IN'!$F154))</f>
        <v>3999</v>
      </c>
      <c r="AA154" s="46">
        <f>IF(VLOOKUP($C154,REV!$C:$AA,25,0)-'TRADE IN'!$F163=0,"",(VLOOKUP($C154,REV!$C:$AA,25,0)-'TRADE IN'!$F154))</f>
        <v>3999</v>
      </c>
      <c r="AB154" s="46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tr">
        <f>IF(REV!AW154=0,"",REV!AW154)</f>
        <v>31.03.2026</v>
      </c>
      <c r="AX154" s="159" t="s">
        <v>82</v>
      </c>
    </row>
    <row r="155" spans="1:50" ht="22.5" customHeight="1">
      <c r="A155" s="52" t="s">
        <v>70</v>
      </c>
      <c r="B155" s="41" t="s">
        <v>62</v>
      </c>
      <c r="C155" s="42">
        <v>4016599</v>
      </c>
      <c r="D155" s="43" t="s">
        <v>224</v>
      </c>
      <c r="E155" s="43" t="s">
        <v>232</v>
      </c>
      <c r="F155" s="45"/>
      <c r="G155" s="45"/>
      <c r="H155" s="46"/>
      <c r="I155" s="46"/>
      <c r="J155" s="46">
        <f>IF(VLOOKUP($C155,REV!$C:$AA,8,0)-'TRADE IN'!$F155=0,"",(VLOOKUP($C155,REV!$C:$AA,8,0)-'TRADE IN'!$F155))</f>
        <v>5799</v>
      </c>
      <c r="K155" s="46">
        <f>IF(VLOOKUP($C155,REV!$C:$AA,9,0)-'TRADE IN'!$F155=0,"",(VLOOKUP($C155,REV!$C:$AA,9,0)-'TRADE IN'!$F155))</f>
        <v>5799</v>
      </c>
      <c r="L155" s="46">
        <f>IF(VLOOKUP($C155,REV!$C:$AA,10,0)-'TRADE IN'!$F164=0,"",(VLOOKUP($C155,REV!$C:$AA,10,0)-'TRADE IN'!$F155))</f>
        <v>5799</v>
      </c>
      <c r="M155" s="46">
        <f>IF(VLOOKUP($C155,REV!$C:$AA,11,0)-'TRADE IN'!$F164=0,"",(VLOOKUP($C155,REV!$C:$AA,11,0)-'TRADE IN'!$F155))</f>
        <v>5799</v>
      </c>
      <c r="N155" s="46">
        <f>IF(VLOOKUP($C155,REV!$C:$AA,12,0)-'TRADE IN'!$F164=0,"",(VLOOKUP($C155,REV!$C:$AA,12,0)-'TRADE IN'!$F155))</f>
        <v>5799</v>
      </c>
      <c r="O155" s="46">
        <f>IF(VLOOKUP($C155,REV!$C:$AA,13,0)-'TRADE IN'!$F164=0,"",(VLOOKUP($C155,REV!$C:$AA,13,0)-'TRADE IN'!$F155))</f>
        <v>5299</v>
      </c>
      <c r="P155" s="46">
        <f>IF(VLOOKUP($C155,REV!$C:$AA,14,0)-'TRADE IN'!$F164=0,"",(VLOOKUP($C155,REV!$C:$AA,14,0)-'TRADE IN'!$F155))</f>
        <v>5199</v>
      </c>
      <c r="Q155" s="46">
        <f>IF(VLOOKUP($C155,REV!$C:$AA,15,0)-'TRADE IN'!$F164=0,"",(VLOOKUP($C155,REV!$C:$AA,15,0)-'TRADE IN'!$F155))</f>
        <v>4999</v>
      </c>
      <c r="R155" s="46">
        <f>IF(VLOOKUP($C155,REV!$C:$AA,16,0)-'TRADE IN'!$F164=0,"",(VLOOKUP($C155,REV!$C:$AA,16,0)-'TRADE IN'!$F155))</f>
        <v>5299</v>
      </c>
      <c r="S155" s="46">
        <f>IF(VLOOKUP($C155,REV!$C:$AA,17,0)-'TRADE IN'!$F164=0,"",(VLOOKUP($C155,REV!$C:$AA,17,0)-'TRADE IN'!$F155))</f>
        <v>5199</v>
      </c>
      <c r="T155" s="46">
        <f>IF(VLOOKUP($C155,REV!$C:$AA,18,0)-'TRADE IN'!$F164=0,"",(VLOOKUP($C155,REV!$C:$AA,18,0)-'TRADE IN'!$F155))</f>
        <v>4999</v>
      </c>
      <c r="U155" s="46">
        <f>IF(VLOOKUP($C155,REV!$C:$AA,19,0)-'TRADE IN'!$F164=0,"",(VLOOKUP($C155,REV!$C:$AA,19,0)-'TRADE IN'!$F155))</f>
        <v>4999</v>
      </c>
      <c r="V155" s="46">
        <f>IF(VLOOKUP($C155,REV!$C:$AA,20,0)-'TRADE IN'!$F164=0,"",(VLOOKUP($C155,REV!$C:$AA,20,0)-'TRADE IN'!$F155))</f>
        <v>4999</v>
      </c>
      <c r="W155" s="46">
        <f>IF(VLOOKUP($C155,REV!$C:$AA,21,0)-'TRADE IN'!$F164=0,"",(VLOOKUP($C155,REV!$C:$AA,21,0)-'TRADE IN'!$F155))</f>
        <v>4999</v>
      </c>
      <c r="X155" s="46">
        <f>IF(VLOOKUP($C155,REV!$C:$AA,22,0)-'TRADE IN'!$F164=0,"",(VLOOKUP($C155,REV!$C:$AA,22,0)-'TRADE IN'!$F155))</f>
        <v>4899</v>
      </c>
      <c r="Y155" s="46">
        <f>IF(VLOOKUP($C155,REV!$C:$AA,23,0)-'TRADE IN'!$F164=0,"",(VLOOKUP($C155,REV!$C:$AA,23,0)-'TRADE IN'!$F155))</f>
        <v>3999</v>
      </c>
      <c r="Z155" s="46">
        <f>IF(VLOOKUP($C155,REV!$C:$AA,24,0)-'TRADE IN'!$F164=0,"",(VLOOKUP($C155,REV!$C:$AA,24,0)-'TRADE IN'!$F155))</f>
        <v>3999</v>
      </c>
      <c r="AA155" s="46">
        <f>IF(VLOOKUP($C155,REV!$C:$AA,25,0)-'TRADE IN'!$F164=0,"",(VLOOKUP($C155,REV!$C:$AA,25,0)-'TRADE IN'!$F155))</f>
        <v>3999</v>
      </c>
      <c r="AB155" s="46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tr">
        <f>IF(REV!AW155=0,"",REV!AW155)</f>
        <v>31.03.2026</v>
      </c>
      <c r="AX155" s="159" t="s">
        <v>82</v>
      </c>
    </row>
    <row r="156" spans="1:50" ht="22.5" customHeight="1">
      <c r="A156" s="52" t="s">
        <v>70</v>
      </c>
      <c r="B156" s="41" t="s">
        <v>62</v>
      </c>
      <c r="C156" s="42">
        <v>4016672</v>
      </c>
      <c r="D156" s="43" t="s">
        <v>224</v>
      </c>
      <c r="E156" s="43" t="s">
        <v>233</v>
      </c>
      <c r="F156" s="45"/>
      <c r="G156" s="45"/>
      <c r="H156" s="46"/>
      <c r="I156" s="46"/>
      <c r="J156" s="46">
        <f>IF(VLOOKUP($C156,REV!$C:$AA,8,0)-'TRADE IN'!$F156=0,"",(VLOOKUP($C156,REV!$C:$AA,8,0)-'TRADE IN'!$F156))</f>
        <v>5799</v>
      </c>
      <c r="K156" s="46">
        <f>IF(VLOOKUP($C156,REV!$C:$AA,9,0)-'TRADE IN'!$F156=0,"",(VLOOKUP($C156,REV!$C:$AA,9,0)-'TRADE IN'!$F156))</f>
        <v>5799</v>
      </c>
      <c r="L156" s="46">
        <f>IF(VLOOKUP($C156,REV!$C:$AA,10,0)-'TRADE IN'!$F165=0,"",(VLOOKUP($C156,REV!$C:$AA,10,0)-'TRADE IN'!$F156))</f>
        <v>5799</v>
      </c>
      <c r="M156" s="46">
        <f>IF(VLOOKUP($C156,REV!$C:$AA,11,0)-'TRADE IN'!$F165=0,"",(VLOOKUP($C156,REV!$C:$AA,11,0)-'TRADE IN'!$F156))</f>
        <v>5799</v>
      </c>
      <c r="N156" s="46">
        <f>IF(VLOOKUP($C156,REV!$C:$AA,12,0)-'TRADE IN'!$F165=0,"",(VLOOKUP($C156,REV!$C:$AA,12,0)-'TRADE IN'!$F156))</f>
        <v>5799</v>
      </c>
      <c r="O156" s="46">
        <f>IF(VLOOKUP($C156,REV!$C:$AA,13,0)-'TRADE IN'!$F165=0,"",(VLOOKUP($C156,REV!$C:$AA,13,0)-'TRADE IN'!$F156))</f>
        <v>5299</v>
      </c>
      <c r="P156" s="46">
        <f>IF(VLOOKUP($C156,REV!$C:$AA,14,0)-'TRADE IN'!$F165=0,"",(VLOOKUP($C156,REV!$C:$AA,14,0)-'TRADE IN'!$F156))</f>
        <v>5199</v>
      </c>
      <c r="Q156" s="46">
        <f>IF(VLOOKUP($C156,REV!$C:$AA,15,0)-'TRADE IN'!$F165=0,"",(VLOOKUP($C156,REV!$C:$AA,15,0)-'TRADE IN'!$F156))</f>
        <v>4999</v>
      </c>
      <c r="R156" s="46">
        <f>IF(VLOOKUP($C156,REV!$C:$AA,16,0)-'TRADE IN'!$F165=0,"",(VLOOKUP($C156,REV!$C:$AA,16,0)-'TRADE IN'!$F156))</f>
        <v>5299</v>
      </c>
      <c r="S156" s="46">
        <f>IF(VLOOKUP($C156,REV!$C:$AA,17,0)-'TRADE IN'!$F165=0,"",(VLOOKUP($C156,REV!$C:$AA,17,0)-'TRADE IN'!$F156))</f>
        <v>5199</v>
      </c>
      <c r="T156" s="46">
        <f>IF(VLOOKUP($C156,REV!$C:$AA,18,0)-'TRADE IN'!$F165=0,"",(VLOOKUP($C156,REV!$C:$AA,18,0)-'TRADE IN'!$F156))</f>
        <v>4999</v>
      </c>
      <c r="U156" s="46">
        <f>IF(VLOOKUP($C156,REV!$C:$AA,19,0)-'TRADE IN'!$F165=0,"",(VLOOKUP($C156,REV!$C:$AA,19,0)-'TRADE IN'!$F156))</f>
        <v>4999</v>
      </c>
      <c r="V156" s="46">
        <f>IF(VLOOKUP($C156,REV!$C:$AA,20,0)-'TRADE IN'!$F165=0,"",(VLOOKUP($C156,REV!$C:$AA,20,0)-'TRADE IN'!$F156))</f>
        <v>4999</v>
      </c>
      <c r="W156" s="46">
        <f>IF(VLOOKUP($C156,REV!$C:$AA,21,0)-'TRADE IN'!$F165=0,"",(VLOOKUP($C156,REV!$C:$AA,21,0)-'TRADE IN'!$F156))</f>
        <v>4999</v>
      </c>
      <c r="X156" s="46">
        <f>IF(VLOOKUP($C156,REV!$C:$AA,22,0)-'TRADE IN'!$F165=0,"",(VLOOKUP($C156,REV!$C:$AA,22,0)-'TRADE IN'!$F156))</f>
        <v>4899</v>
      </c>
      <c r="Y156" s="46">
        <f>IF(VLOOKUP($C156,REV!$C:$AA,23,0)-'TRADE IN'!$F165=0,"",(VLOOKUP($C156,REV!$C:$AA,23,0)-'TRADE IN'!$F156))</f>
        <v>3999</v>
      </c>
      <c r="Z156" s="46">
        <f>IF(VLOOKUP($C156,REV!$C:$AA,24,0)-'TRADE IN'!$F165=0,"",(VLOOKUP($C156,REV!$C:$AA,24,0)-'TRADE IN'!$F156))</f>
        <v>3999</v>
      </c>
      <c r="AA156" s="46">
        <f>IF(VLOOKUP($C156,REV!$C:$AA,25,0)-'TRADE IN'!$F165=0,"",(VLOOKUP($C156,REV!$C:$AA,25,0)-'TRADE IN'!$F156))</f>
        <v>3999</v>
      </c>
      <c r="AB156" s="46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tr">
        <f>IF(REV!AW156=0,"",REV!AW156)</f>
        <v>31.03.2026</v>
      </c>
      <c r="AX156" s="159" t="s">
        <v>82</v>
      </c>
    </row>
    <row r="157" spans="1:50" ht="22.5" customHeight="1">
      <c r="A157" s="52" t="s">
        <v>70</v>
      </c>
      <c r="B157" s="41" t="s">
        <v>62</v>
      </c>
      <c r="C157" s="42">
        <v>4016682</v>
      </c>
      <c r="D157" s="43" t="s">
        <v>224</v>
      </c>
      <c r="E157" s="43" t="s">
        <v>234</v>
      </c>
      <c r="F157" s="45"/>
      <c r="G157" s="45"/>
      <c r="H157" s="46"/>
      <c r="I157" s="46"/>
      <c r="J157" s="46">
        <f>IF(VLOOKUP($C157,REV!$C:$AA,8,0)-'TRADE IN'!$F157=0,"",(VLOOKUP($C157,REV!$C:$AA,8,0)-'TRADE IN'!$F157))</f>
        <v>5799</v>
      </c>
      <c r="K157" s="46">
        <f>IF(VLOOKUP($C157,REV!$C:$AA,9,0)-'TRADE IN'!$F157=0,"",(VLOOKUP($C157,REV!$C:$AA,9,0)-'TRADE IN'!$F157))</f>
        <v>5799</v>
      </c>
      <c r="L157" s="46">
        <f>IF(VLOOKUP($C157,REV!$C:$AA,10,0)-'TRADE IN'!$F166=0,"",(VLOOKUP($C157,REV!$C:$AA,10,0)-'TRADE IN'!$F157))</f>
        <v>5799</v>
      </c>
      <c r="M157" s="46">
        <f>IF(VLOOKUP($C157,REV!$C:$AA,11,0)-'TRADE IN'!$F166=0,"",(VLOOKUP($C157,REV!$C:$AA,11,0)-'TRADE IN'!$F157))</f>
        <v>5799</v>
      </c>
      <c r="N157" s="46">
        <f>IF(VLOOKUP($C157,REV!$C:$AA,12,0)-'TRADE IN'!$F166=0,"",(VLOOKUP($C157,REV!$C:$AA,12,0)-'TRADE IN'!$F157))</f>
        <v>5799</v>
      </c>
      <c r="O157" s="46">
        <f>IF(VLOOKUP($C157,REV!$C:$AA,13,0)-'TRADE IN'!$F166=0,"",(VLOOKUP($C157,REV!$C:$AA,13,0)-'TRADE IN'!$F157))</f>
        <v>5299</v>
      </c>
      <c r="P157" s="46">
        <f>IF(VLOOKUP($C157,REV!$C:$AA,14,0)-'TRADE IN'!$F166=0,"",(VLOOKUP($C157,REV!$C:$AA,14,0)-'TRADE IN'!$F157))</f>
        <v>5199</v>
      </c>
      <c r="Q157" s="46">
        <f>IF(VLOOKUP($C157,REV!$C:$AA,15,0)-'TRADE IN'!$F166=0,"",(VLOOKUP($C157,REV!$C:$AA,15,0)-'TRADE IN'!$F157))</f>
        <v>4999</v>
      </c>
      <c r="R157" s="46">
        <f>IF(VLOOKUP($C157,REV!$C:$AA,16,0)-'TRADE IN'!$F166=0,"",(VLOOKUP($C157,REV!$C:$AA,16,0)-'TRADE IN'!$F157))</f>
        <v>5299</v>
      </c>
      <c r="S157" s="46">
        <f>IF(VLOOKUP($C157,REV!$C:$AA,17,0)-'TRADE IN'!$F166=0,"",(VLOOKUP($C157,REV!$C:$AA,17,0)-'TRADE IN'!$F157))</f>
        <v>5199</v>
      </c>
      <c r="T157" s="46">
        <f>IF(VLOOKUP($C157,REV!$C:$AA,18,0)-'TRADE IN'!$F166=0,"",(VLOOKUP($C157,REV!$C:$AA,18,0)-'TRADE IN'!$F157))</f>
        <v>4999</v>
      </c>
      <c r="U157" s="46">
        <f>IF(VLOOKUP($C157,REV!$C:$AA,19,0)-'TRADE IN'!$F166=0,"",(VLOOKUP($C157,REV!$C:$AA,19,0)-'TRADE IN'!$F157))</f>
        <v>4999</v>
      </c>
      <c r="V157" s="46">
        <f>IF(VLOOKUP($C157,REV!$C:$AA,20,0)-'TRADE IN'!$F166=0,"",(VLOOKUP($C157,REV!$C:$AA,20,0)-'TRADE IN'!$F157))</f>
        <v>4999</v>
      </c>
      <c r="W157" s="46">
        <f>IF(VLOOKUP($C157,REV!$C:$AA,21,0)-'TRADE IN'!$F166=0,"",(VLOOKUP($C157,REV!$C:$AA,21,0)-'TRADE IN'!$F157))</f>
        <v>4999</v>
      </c>
      <c r="X157" s="46">
        <f>IF(VLOOKUP($C157,REV!$C:$AA,22,0)-'TRADE IN'!$F166=0,"",(VLOOKUP($C157,REV!$C:$AA,22,0)-'TRADE IN'!$F157))</f>
        <v>4899</v>
      </c>
      <c r="Y157" s="46">
        <f>IF(VLOOKUP($C157,REV!$C:$AA,23,0)-'TRADE IN'!$F166=0,"",(VLOOKUP($C157,REV!$C:$AA,23,0)-'TRADE IN'!$F157))</f>
        <v>3999</v>
      </c>
      <c r="Z157" s="46">
        <f>IF(VLOOKUP($C157,REV!$C:$AA,24,0)-'TRADE IN'!$F166=0,"",(VLOOKUP($C157,REV!$C:$AA,24,0)-'TRADE IN'!$F157))</f>
        <v>3999</v>
      </c>
      <c r="AA157" s="46">
        <f>IF(VLOOKUP($C157,REV!$C:$AA,25,0)-'TRADE IN'!$F166=0,"",(VLOOKUP($C157,REV!$C:$AA,25,0)-'TRADE IN'!$F157))</f>
        <v>3999</v>
      </c>
      <c r="AB157" s="46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tr">
        <f>IF(REV!AW157=0,"",REV!AW157)</f>
        <v>31.03.2026</v>
      </c>
      <c r="AX157" s="159" t="s">
        <v>82</v>
      </c>
    </row>
    <row r="158" spans="1:50" ht="22.5" customHeight="1">
      <c r="A158" s="52" t="s">
        <v>70</v>
      </c>
      <c r="B158" s="41" t="s">
        <v>62</v>
      </c>
      <c r="C158" s="42">
        <v>4016563</v>
      </c>
      <c r="D158" s="43" t="s">
        <v>235</v>
      </c>
      <c r="E158" s="43" t="s">
        <v>236</v>
      </c>
      <c r="F158" s="45"/>
      <c r="G158" s="45"/>
      <c r="H158" s="46"/>
      <c r="I158" s="46"/>
      <c r="J158" s="46">
        <f>IF(VLOOKUP($C158,REV!$C:$AA,8,0)-'TRADE IN'!$F158=0,"",(VLOOKUP($C158,REV!$C:$AA,8,0)-'TRADE IN'!$F158))</f>
        <v>5899</v>
      </c>
      <c r="K158" s="46">
        <f>IF(VLOOKUP($C158,REV!$C:$AA,9,0)-'TRADE IN'!$F158=0,"",(VLOOKUP($C158,REV!$C:$AA,9,0)-'TRADE IN'!$F158))</f>
        <v>5899</v>
      </c>
      <c r="L158" s="46">
        <f>IF(VLOOKUP($C158,REV!$C:$AA,10,0)-'TRADE IN'!$F167=0,"",(VLOOKUP($C158,REV!$C:$AA,10,0)-'TRADE IN'!$F158))</f>
        <v>5899</v>
      </c>
      <c r="M158" s="46">
        <f>IF(VLOOKUP($C158,REV!$C:$AA,11,0)-'TRADE IN'!$F167=0,"",(VLOOKUP($C158,REV!$C:$AA,11,0)-'TRADE IN'!$F158))</f>
        <v>5899</v>
      </c>
      <c r="N158" s="46">
        <f>IF(VLOOKUP($C158,REV!$C:$AA,12,0)-'TRADE IN'!$F167=0,"",(VLOOKUP($C158,REV!$C:$AA,12,0)-'TRADE IN'!$F158))</f>
        <v>5899</v>
      </c>
      <c r="O158" s="46">
        <f>IF(VLOOKUP($C158,REV!$C:$AA,13,0)-'TRADE IN'!$F167=0,"",(VLOOKUP($C158,REV!$C:$AA,13,0)-'TRADE IN'!$F158))</f>
        <v>5799</v>
      </c>
      <c r="P158" s="46">
        <f>IF(VLOOKUP($C158,REV!$C:$AA,14,0)-'TRADE IN'!$F167=0,"",(VLOOKUP($C158,REV!$C:$AA,14,0)-'TRADE IN'!$F158))</f>
        <v>5699</v>
      </c>
      <c r="Q158" s="46">
        <f>IF(VLOOKUP($C158,REV!$C:$AA,15,0)-'TRADE IN'!$F167=0,"",(VLOOKUP($C158,REV!$C:$AA,15,0)-'TRADE IN'!$F158))</f>
        <v>4999</v>
      </c>
      <c r="R158" s="46">
        <f>IF(VLOOKUP($C158,REV!$C:$AA,16,0)-'TRADE IN'!$F167=0,"",(VLOOKUP($C158,REV!$C:$AA,16,0)-'TRADE IN'!$F158))</f>
        <v>5799</v>
      </c>
      <c r="S158" s="46">
        <f>IF(VLOOKUP($C158,REV!$C:$AA,17,0)-'TRADE IN'!$F167=0,"",(VLOOKUP($C158,REV!$C:$AA,17,0)-'TRADE IN'!$F158))</f>
        <v>5699</v>
      </c>
      <c r="T158" s="46">
        <f>IF(VLOOKUP($C158,REV!$C:$AA,18,0)-'TRADE IN'!$F167=0,"",(VLOOKUP($C158,REV!$C:$AA,18,0)-'TRADE IN'!$F158))</f>
        <v>4999</v>
      </c>
      <c r="U158" s="46">
        <f>IF(VLOOKUP($C158,REV!$C:$AA,19,0)-'TRADE IN'!$F167=0,"",(VLOOKUP($C158,REV!$C:$AA,19,0)-'TRADE IN'!$F158))</f>
        <v>4999</v>
      </c>
      <c r="V158" s="46">
        <f>IF(VLOOKUP($C158,REV!$C:$AA,20,0)-'TRADE IN'!$F167=0,"",(VLOOKUP($C158,REV!$C:$AA,20,0)-'TRADE IN'!$F158))</f>
        <v>4999</v>
      </c>
      <c r="W158" s="46">
        <f>IF(VLOOKUP($C158,REV!$C:$AA,21,0)-'TRADE IN'!$F167=0,"",(VLOOKUP($C158,REV!$C:$AA,21,0)-'TRADE IN'!$F158))</f>
        <v>4999</v>
      </c>
      <c r="X158" s="46">
        <f>IF(VLOOKUP($C158,REV!$C:$AA,22,0)-'TRADE IN'!$F167=0,"",(VLOOKUP($C158,REV!$C:$AA,22,0)-'TRADE IN'!$F158))</f>
        <v>4899</v>
      </c>
      <c r="Y158" s="46">
        <f>IF(VLOOKUP($C158,REV!$C:$AA,23,0)-'TRADE IN'!$F167=0,"",(VLOOKUP($C158,REV!$C:$AA,23,0)-'TRADE IN'!$F158))</f>
        <v>4499</v>
      </c>
      <c r="Z158" s="46">
        <f>IF(VLOOKUP($C158,REV!$C:$AA,24,0)-'TRADE IN'!$F167=0,"",(VLOOKUP($C158,REV!$C:$AA,24,0)-'TRADE IN'!$F158))</f>
        <v>4499</v>
      </c>
      <c r="AA158" s="46">
        <f>IF(VLOOKUP($C158,REV!$C:$AA,25,0)-'TRADE IN'!$F167=0,"",(VLOOKUP($C158,REV!$C:$AA,25,0)-'TRADE IN'!$F158))</f>
        <v>4499</v>
      </c>
      <c r="AB158" s="46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tr">
        <f>IF(REV!AW158=0,"",REV!AW158)</f>
        <v>31.03.2026</v>
      </c>
      <c r="AX158" s="159" t="s">
        <v>82</v>
      </c>
    </row>
    <row r="159" spans="1:50" ht="22.5" customHeight="1">
      <c r="A159" s="52" t="s">
        <v>70</v>
      </c>
      <c r="B159" s="41" t="s">
        <v>62</v>
      </c>
      <c r="C159" s="42">
        <v>4016560</v>
      </c>
      <c r="D159" s="43" t="s">
        <v>235</v>
      </c>
      <c r="E159" s="43" t="s">
        <v>237</v>
      </c>
      <c r="F159" s="45"/>
      <c r="G159" s="45"/>
      <c r="H159" s="46"/>
      <c r="I159" s="46"/>
      <c r="J159" s="46">
        <f>IF(VLOOKUP($C159,REV!$C:$AA,8,0)-'TRADE IN'!$F159=0,"",(VLOOKUP($C159,REV!$C:$AA,8,0)-'TRADE IN'!$F159))</f>
        <v>5899</v>
      </c>
      <c r="K159" s="46">
        <f>IF(VLOOKUP($C159,REV!$C:$AA,9,0)-'TRADE IN'!$F159=0,"",(VLOOKUP($C159,REV!$C:$AA,9,0)-'TRADE IN'!$F159))</f>
        <v>5899</v>
      </c>
      <c r="L159" s="46">
        <f>IF(VLOOKUP($C159,REV!$C:$AA,10,0)-'TRADE IN'!$F168=0,"",(VLOOKUP($C159,REV!$C:$AA,10,0)-'TRADE IN'!$F159))</f>
        <v>5899</v>
      </c>
      <c r="M159" s="46">
        <f>IF(VLOOKUP($C159,REV!$C:$AA,11,0)-'TRADE IN'!$F168=0,"",(VLOOKUP($C159,REV!$C:$AA,11,0)-'TRADE IN'!$F159))</f>
        <v>5899</v>
      </c>
      <c r="N159" s="46">
        <f>IF(VLOOKUP($C159,REV!$C:$AA,12,0)-'TRADE IN'!$F168=0,"",(VLOOKUP($C159,REV!$C:$AA,12,0)-'TRADE IN'!$F159))</f>
        <v>5899</v>
      </c>
      <c r="O159" s="46">
        <f>IF(VLOOKUP($C159,REV!$C:$AA,13,0)-'TRADE IN'!$F168=0,"",(VLOOKUP($C159,REV!$C:$AA,13,0)-'TRADE IN'!$F159))</f>
        <v>5799</v>
      </c>
      <c r="P159" s="46">
        <f>IF(VLOOKUP($C159,REV!$C:$AA,14,0)-'TRADE IN'!$F168=0,"",(VLOOKUP($C159,REV!$C:$AA,14,0)-'TRADE IN'!$F159))</f>
        <v>5699</v>
      </c>
      <c r="Q159" s="46">
        <f>IF(VLOOKUP($C159,REV!$C:$AA,15,0)-'TRADE IN'!$F168=0,"",(VLOOKUP($C159,REV!$C:$AA,15,0)-'TRADE IN'!$F159))</f>
        <v>4999</v>
      </c>
      <c r="R159" s="46">
        <f>IF(VLOOKUP($C159,REV!$C:$AA,16,0)-'TRADE IN'!$F168=0,"",(VLOOKUP($C159,REV!$C:$AA,16,0)-'TRADE IN'!$F159))</f>
        <v>5799</v>
      </c>
      <c r="S159" s="46">
        <f>IF(VLOOKUP($C159,REV!$C:$AA,17,0)-'TRADE IN'!$F168=0,"",(VLOOKUP($C159,REV!$C:$AA,17,0)-'TRADE IN'!$F159))</f>
        <v>5699</v>
      </c>
      <c r="T159" s="46">
        <f>IF(VLOOKUP($C159,REV!$C:$AA,18,0)-'TRADE IN'!$F168=0,"",(VLOOKUP($C159,REV!$C:$AA,18,0)-'TRADE IN'!$F159))</f>
        <v>4999</v>
      </c>
      <c r="U159" s="46">
        <f>IF(VLOOKUP($C159,REV!$C:$AA,19,0)-'TRADE IN'!$F168=0,"",(VLOOKUP($C159,REV!$C:$AA,19,0)-'TRADE IN'!$F159))</f>
        <v>4999</v>
      </c>
      <c r="V159" s="46">
        <f>IF(VLOOKUP($C159,REV!$C:$AA,20,0)-'TRADE IN'!$F168=0,"",(VLOOKUP($C159,REV!$C:$AA,20,0)-'TRADE IN'!$F159))</f>
        <v>4999</v>
      </c>
      <c r="W159" s="46">
        <f>IF(VLOOKUP($C159,REV!$C:$AA,21,0)-'TRADE IN'!$F168=0,"",(VLOOKUP($C159,REV!$C:$AA,21,0)-'TRADE IN'!$F159))</f>
        <v>4999</v>
      </c>
      <c r="X159" s="46">
        <f>IF(VLOOKUP($C159,REV!$C:$AA,22,0)-'TRADE IN'!$F168=0,"",(VLOOKUP($C159,REV!$C:$AA,22,0)-'TRADE IN'!$F159))</f>
        <v>4899</v>
      </c>
      <c r="Y159" s="46">
        <f>IF(VLOOKUP($C159,REV!$C:$AA,23,0)-'TRADE IN'!$F168=0,"",(VLOOKUP($C159,REV!$C:$AA,23,0)-'TRADE IN'!$F159))</f>
        <v>4499</v>
      </c>
      <c r="Z159" s="46">
        <f>IF(VLOOKUP($C159,REV!$C:$AA,24,0)-'TRADE IN'!$F168=0,"",(VLOOKUP($C159,REV!$C:$AA,24,0)-'TRADE IN'!$F159))</f>
        <v>4499</v>
      </c>
      <c r="AA159" s="46">
        <f>IF(VLOOKUP($C159,REV!$C:$AA,25,0)-'TRADE IN'!$F168=0,"",(VLOOKUP($C159,REV!$C:$AA,25,0)-'TRADE IN'!$F159))</f>
        <v>4499</v>
      </c>
      <c r="AB159" s="46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tr">
        <f>IF(REV!AW159=0,"",REV!AW159)</f>
        <v>31.03.2026</v>
      </c>
      <c r="AX159" s="159" t="s">
        <v>82</v>
      </c>
    </row>
    <row r="160" spans="1:50" ht="22.5" customHeight="1">
      <c r="A160" s="52" t="s">
        <v>70</v>
      </c>
      <c r="B160" s="41" t="s">
        <v>62</v>
      </c>
      <c r="C160" s="42">
        <v>4016565</v>
      </c>
      <c r="D160" s="43" t="s">
        <v>235</v>
      </c>
      <c r="E160" s="43" t="s">
        <v>238</v>
      </c>
      <c r="F160" s="45"/>
      <c r="G160" s="45"/>
      <c r="H160" s="46"/>
      <c r="I160" s="46"/>
      <c r="J160" s="46">
        <f>IF(VLOOKUP($C160,REV!$C:$AA,8,0)-'TRADE IN'!$F160=0,"",(VLOOKUP($C160,REV!$C:$AA,8,0)-'TRADE IN'!$F160))</f>
        <v>5899</v>
      </c>
      <c r="K160" s="46">
        <f>IF(VLOOKUP($C160,REV!$C:$AA,9,0)-'TRADE IN'!$F160=0,"",(VLOOKUP($C160,REV!$C:$AA,9,0)-'TRADE IN'!$F160))</f>
        <v>5899</v>
      </c>
      <c r="L160" s="46">
        <f>IF(VLOOKUP($C160,REV!$C:$AA,10,0)-'TRADE IN'!$F169=0,"",(VLOOKUP($C160,REV!$C:$AA,10,0)-'TRADE IN'!$F160))</f>
        <v>5899</v>
      </c>
      <c r="M160" s="46">
        <f>IF(VLOOKUP($C160,REV!$C:$AA,11,0)-'TRADE IN'!$F169=0,"",(VLOOKUP($C160,REV!$C:$AA,11,0)-'TRADE IN'!$F160))</f>
        <v>5899</v>
      </c>
      <c r="N160" s="46">
        <f>IF(VLOOKUP($C160,REV!$C:$AA,12,0)-'TRADE IN'!$F169=0,"",(VLOOKUP($C160,REV!$C:$AA,12,0)-'TRADE IN'!$F160))</f>
        <v>5899</v>
      </c>
      <c r="O160" s="46">
        <f>IF(VLOOKUP($C160,REV!$C:$AA,13,0)-'TRADE IN'!$F169=0,"",(VLOOKUP($C160,REV!$C:$AA,13,0)-'TRADE IN'!$F160))</f>
        <v>5799</v>
      </c>
      <c r="P160" s="46">
        <f>IF(VLOOKUP($C160,REV!$C:$AA,14,0)-'TRADE IN'!$F169=0,"",(VLOOKUP($C160,REV!$C:$AA,14,0)-'TRADE IN'!$F160))</f>
        <v>5699</v>
      </c>
      <c r="Q160" s="46">
        <f>IF(VLOOKUP($C160,REV!$C:$AA,15,0)-'TRADE IN'!$F169=0,"",(VLOOKUP($C160,REV!$C:$AA,15,0)-'TRADE IN'!$F160))</f>
        <v>4999</v>
      </c>
      <c r="R160" s="46">
        <f>IF(VLOOKUP($C160,REV!$C:$AA,16,0)-'TRADE IN'!$F169=0,"",(VLOOKUP($C160,REV!$C:$AA,16,0)-'TRADE IN'!$F160))</f>
        <v>5799</v>
      </c>
      <c r="S160" s="46">
        <f>IF(VLOOKUP($C160,REV!$C:$AA,17,0)-'TRADE IN'!$F169=0,"",(VLOOKUP($C160,REV!$C:$AA,17,0)-'TRADE IN'!$F160))</f>
        <v>5699</v>
      </c>
      <c r="T160" s="46">
        <f>IF(VLOOKUP($C160,REV!$C:$AA,18,0)-'TRADE IN'!$F169=0,"",(VLOOKUP($C160,REV!$C:$AA,18,0)-'TRADE IN'!$F160))</f>
        <v>4999</v>
      </c>
      <c r="U160" s="46">
        <f>IF(VLOOKUP($C160,REV!$C:$AA,19,0)-'TRADE IN'!$F169=0,"",(VLOOKUP($C160,REV!$C:$AA,19,0)-'TRADE IN'!$F160))</f>
        <v>4999</v>
      </c>
      <c r="V160" s="46">
        <f>IF(VLOOKUP($C160,REV!$C:$AA,20,0)-'TRADE IN'!$F169=0,"",(VLOOKUP($C160,REV!$C:$AA,20,0)-'TRADE IN'!$F160))</f>
        <v>4999</v>
      </c>
      <c r="W160" s="46">
        <f>IF(VLOOKUP($C160,REV!$C:$AA,21,0)-'TRADE IN'!$F169=0,"",(VLOOKUP($C160,REV!$C:$AA,21,0)-'TRADE IN'!$F160))</f>
        <v>4999</v>
      </c>
      <c r="X160" s="46">
        <f>IF(VLOOKUP($C160,REV!$C:$AA,22,0)-'TRADE IN'!$F169=0,"",(VLOOKUP($C160,REV!$C:$AA,22,0)-'TRADE IN'!$F160))</f>
        <v>4899</v>
      </c>
      <c r="Y160" s="46">
        <f>IF(VLOOKUP($C160,REV!$C:$AA,23,0)-'TRADE IN'!$F169=0,"",(VLOOKUP($C160,REV!$C:$AA,23,0)-'TRADE IN'!$F160))</f>
        <v>4499</v>
      </c>
      <c r="Z160" s="46">
        <f>IF(VLOOKUP($C160,REV!$C:$AA,24,0)-'TRADE IN'!$F169=0,"",(VLOOKUP($C160,REV!$C:$AA,24,0)-'TRADE IN'!$F160))</f>
        <v>4499</v>
      </c>
      <c r="AA160" s="46">
        <f>IF(VLOOKUP($C160,REV!$C:$AA,25,0)-'TRADE IN'!$F169=0,"",(VLOOKUP($C160,REV!$C:$AA,25,0)-'TRADE IN'!$F160))</f>
        <v>4499</v>
      </c>
      <c r="AB160" s="46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tr">
        <f>IF(REV!AW160=0,"",REV!AW160)</f>
        <v>31.03.2026</v>
      </c>
      <c r="AX160" s="159" t="s">
        <v>82</v>
      </c>
    </row>
    <row r="161" spans="1:50" ht="22.5" customHeight="1">
      <c r="A161" s="52" t="s">
        <v>70</v>
      </c>
      <c r="B161" s="41" t="s">
        <v>62</v>
      </c>
      <c r="C161" s="42">
        <v>4016564</v>
      </c>
      <c r="D161" s="43" t="s">
        <v>235</v>
      </c>
      <c r="E161" s="43" t="s">
        <v>239</v>
      </c>
      <c r="F161" s="45"/>
      <c r="G161" s="45"/>
      <c r="H161" s="46"/>
      <c r="I161" s="46"/>
      <c r="J161" s="46">
        <f>IF(VLOOKUP($C161,REV!$C:$AA,8,0)-'TRADE IN'!$F161=0,"",(VLOOKUP($C161,REV!$C:$AA,8,0)-'TRADE IN'!$F161))</f>
        <v>5899</v>
      </c>
      <c r="K161" s="46">
        <f>IF(VLOOKUP($C161,REV!$C:$AA,9,0)-'TRADE IN'!$F161=0,"",(VLOOKUP($C161,REV!$C:$AA,9,0)-'TRADE IN'!$F161))</f>
        <v>5899</v>
      </c>
      <c r="L161" s="46">
        <f>IF(VLOOKUP($C161,REV!$C:$AA,10,0)-'TRADE IN'!$F170=0,"",(VLOOKUP($C161,REV!$C:$AA,10,0)-'TRADE IN'!$F161))</f>
        <v>5899</v>
      </c>
      <c r="M161" s="46">
        <f>IF(VLOOKUP($C161,REV!$C:$AA,11,0)-'TRADE IN'!$F170=0,"",(VLOOKUP($C161,REV!$C:$AA,11,0)-'TRADE IN'!$F161))</f>
        <v>5899</v>
      </c>
      <c r="N161" s="46">
        <f>IF(VLOOKUP($C161,REV!$C:$AA,12,0)-'TRADE IN'!$F170=0,"",(VLOOKUP($C161,REV!$C:$AA,12,0)-'TRADE IN'!$F161))</f>
        <v>5899</v>
      </c>
      <c r="O161" s="46">
        <f>IF(VLOOKUP($C161,REV!$C:$AA,13,0)-'TRADE IN'!$F170=0,"",(VLOOKUP($C161,REV!$C:$AA,13,0)-'TRADE IN'!$F161))</f>
        <v>5799</v>
      </c>
      <c r="P161" s="46">
        <f>IF(VLOOKUP($C161,REV!$C:$AA,14,0)-'TRADE IN'!$F170=0,"",(VLOOKUP($C161,REV!$C:$AA,14,0)-'TRADE IN'!$F161))</f>
        <v>5699</v>
      </c>
      <c r="Q161" s="46">
        <f>IF(VLOOKUP($C161,REV!$C:$AA,15,0)-'TRADE IN'!$F170=0,"",(VLOOKUP($C161,REV!$C:$AA,15,0)-'TRADE IN'!$F161))</f>
        <v>4999</v>
      </c>
      <c r="R161" s="46">
        <f>IF(VLOOKUP($C161,REV!$C:$AA,16,0)-'TRADE IN'!$F170=0,"",(VLOOKUP($C161,REV!$C:$AA,16,0)-'TRADE IN'!$F161))</f>
        <v>5799</v>
      </c>
      <c r="S161" s="46">
        <f>IF(VLOOKUP($C161,REV!$C:$AA,17,0)-'TRADE IN'!$F170=0,"",(VLOOKUP($C161,REV!$C:$AA,17,0)-'TRADE IN'!$F161))</f>
        <v>5699</v>
      </c>
      <c r="T161" s="46">
        <f>IF(VLOOKUP($C161,REV!$C:$AA,18,0)-'TRADE IN'!$F170=0,"",(VLOOKUP($C161,REV!$C:$AA,18,0)-'TRADE IN'!$F161))</f>
        <v>4999</v>
      </c>
      <c r="U161" s="46">
        <f>IF(VLOOKUP($C161,REV!$C:$AA,19,0)-'TRADE IN'!$F170=0,"",(VLOOKUP($C161,REV!$C:$AA,19,0)-'TRADE IN'!$F161))</f>
        <v>4999</v>
      </c>
      <c r="V161" s="46">
        <f>IF(VLOOKUP($C161,REV!$C:$AA,20,0)-'TRADE IN'!$F170=0,"",(VLOOKUP($C161,REV!$C:$AA,20,0)-'TRADE IN'!$F161))</f>
        <v>4999</v>
      </c>
      <c r="W161" s="46">
        <f>IF(VLOOKUP($C161,REV!$C:$AA,21,0)-'TRADE IN'!$F170=0,"",(VLOOKUP($C161,REV!$C:$AA,21,0)-'TRADE IN'!$F161))</f>
        <v>4999</v>
      </c>
      <c r="X161" s="46">
        <f>IF(VLOOKUP($C161,REV!$C:$AA,22,0)-'TRADE IN'!$F170=0,"",(VLOOKUP($C161,REV!$C:$AA,22,0)-'TRADE IN'!$F161))</f>
        <v>4899</v>
      </c>
      <c r="Y161" s="46">
        <f>IF(VLOOKUP($C161,REV!$C:$AA,23,0)-'TRADE IN'!$F170=0,"",(VLOOKUP($C161,REV!$C:$AA,23,0)-'TRADE IN'!$F161))</f>
        <v>4499</v>
      </c>
      <c r="Z161" s="46">
        <f>IF(VLOOKUP($C161,REV!$C:$AA,24,0)-'TRADE IN'!$F170=0,"",(VLOOKUP($C161,REV!$C:$AA,24,0)-'TRADE IN'!$F161))</f>
        <v>4499</v>
      </c>
      <c r="AA161" s="46">
        <f>IF(VLOOKUP($C161,REV!$C:$AA,25,0)-'TRADE IN'!$F170=0,"",(VLOOKUP($C161,REV!$C:$AA,25,0)-'TRADE IN'!$F161))</f>
        <v>4499</v>
      </c>
      <c r="AB161" s="46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tr">
        <f>IF(REV!AW161=0,"",REV!AW161)</f>
        <v>31.03.2026</v>
      </c>
      <c r="AX161" s="159" t="s">
        <v>82</v>
      </c>
    </row>
    <row r="162" spans="1:50" ht="22.5" customHeight="1">
      <c r="A162" s="52" t="s">
        <v>70</v>
      </c>
      <c r="B162" s="41" t="s">
        <v>62</v>
      </c>
      <c r="C162" s="42">
        <v>4016675</v>
      </c>
      <c r="D162" s="43" t="s">
        <v>235</v>
      </c>
      <c r="E162" s="43" t="s">
        <v>240</v>
      </c>
      <c r="F162" s="45"/>
      <c r="G162" s="45"/>
      <c r="H162" s="46"/>
      <c r="I162" s="46"/>
      <c r="J162" s="46">
        <f>IF(VLOOKUP($C162,REV!$C:$AA,8,0)-'TRADE IN'!$F162=0,"",(VLOOKUP($C162,REV!$C:$AA,8,0)-'TRADE IN'!$F162))</f>
        <v>5899</v>
      </c>
      <c r="K162" s="46">
        <f>IF(VLOOKUP($C162,REV!$C:$AA,9,0)-'TRADE IN'!$F162=0,"",(VLOOKUP($C162,REV!$C:$AA,9,0)-'TRADE IN'!$F162))</f>
        <v>5899</v>
      </c>
      <c r="L162" s="46">
        <f>IF(VLOOKUP($C162,REV!$C:$AA,10,0)-'TRADE IN'!$F171=0,"",(VLOOKUP($C162,REV!$C:$AA,10,0)-'TRADE IN'!$F162))</f>
        <v>5899</v>
      </c>
      <c r="M162" s="46">
        <f>IF(VLOOKUP($C162,REV!$C:$AA,11,0)-'TRADE IN'!$F171=0,"",(VLOOKUP($C162,REV!$C:$AA,11,0)-'TRADE IN'!$F162))</f>
        <v>5899</v>
      </c>
      <c r="N162" s="46">
        <f>IF(VLOOKUP($C162,REV!$C:$AA,12,0)-'TRADE IN'!$F171=0,"",(VLOOKUP($C162,REV!$C:$AA,12,0)-'TRADE IN'!$F162))</f>
        <v>5899</v>
      </c>
      <c r="O162" s="46">
        <f>IF(VLOOKUP($C162,REV!$C:$AA,13,0)-'TRADE IN'!$F171=0,"",(VLOOKUP($C162,REV!$C:$AA,13,0)-'TRADE IN'!$F162))</f>
        <v>5799</v>
      </c>
      <c r="P162" s="46">
        <f>IF(VLOOKUP($C162,REV!$C:$AA,14,0)-'TRADE IN'!$F171=0,"",(VLOOKUP($C162,REV!$C:$AA,14,0)-'TRADE IN'!$F162))</f>
        <v>5699</v>
      </c>
      <c r="Q162" s="46">
        <f>IF(VLOOKUP($C162,REV!$C:$AA,15,0)-'TRADE IN'!$F171=0,"",(VLOOKUP($C162,REV!$C:$AA,15,0)-'TRADE IN'!$F162))</f>
        <v>4999</v>
      </c>
      <c r="R162" s="46">
        <f>IF(VLOOKUP($C162,REV!$C:$AA,16,0)-'TRADE IN'!$F171=0,"",(VLOOKUP($C162,REV!$C:$AA,16,0)-'TRADE IN'!$F162))</f>
        <v>5799</v>
      </c>
      <c r="S162" s="46">
        <f>IF(VLOOKUP($C162,REV!$C:$AA,17,0)-'TRADE IN'!$F171=0,"",(VLOOKUP($C162,REV!$C:$AA,17,0)-'TRADE IN'!$F162))</f>
        <v>5699</v>
      </c>
      <c r="T162" s="46">
        <f>IF(VLOOKUP($C162,REV!$C:$AA,18,0)-'TRADE IN'!$F171=0,"",(VLOOKUP($C162,REV!$C:$AA,18,0)-'TRADE IN'!$F162))</f>
        <v>4999</v>
      </c>
      <c r="U162" s="46">
        <f>IF(VLOOKUP($C162,REV!$C:$AA,19,0)-'TRADE IN'!$F171=0,"",(VLOOKUP($C162,REV!$C:$AA,19,0)-'TRADE IN'!$F162))</f>
        <v>4999</v>
      </c>
      <c r="V162" s="46">
        <f>IF(VLOOKUP($C162,REV!$C:$AA,20,0)-'TRADE IN'!$F171=0,"",(VLOOKUP($C162,REV!$C:$AA,20,0)-'TRADE IN'!$F162))</f>
        <v>4999</v>
      </c>
      <c r="W162" s="46">
        <f>IF(VLOOKUP($C162,REV!$C:$AA,21,0)-'TRADE IN'!$F171=0,"",(VLOOKUP($C162,REV!$C:$AA,21,0)-'TRADE IN'!$F162))</f>
        <v>4999</v>
      </c>
      <c r="X162" s="46">
        <f>IF(VLOOKUP($C162,REV!$C:$AA,22,0)-'TRADE IN'!$F171=0,"",(VLOOKUP($C162,REV!$C:$AA,22,0)-'TRADE IN'!$F162))</f>
        <v>4899</v>
      </c>
      <c r="Y162" s="46">
        <f>IF(VLOOKUP($C162,REV!$C:$AA,23,0)-'TRADE IN'!$F171=0,"",(VLOOKUP($C162,REV!$C:$AA,23,0)-'TRADE IN'!$F162))</f>
        <v>4499</v>
      </c>
      <c r="Z162" s="46">
        <f>IF(VLOOKUP($C162,REV!$C:$AA,24,0)-'TRADE IN'!$F171=0,"",(VLOOKUP($C162,REV!$C:$AA,24,0)-'TRADE IN'!$F162))</f>
        <v>4499</v>
      </c>
      <c r="AA162" s="46">
        <f>IF(VLOOKUP($C162,REV!$C:$AA,25,0)-'TRADE IN'!$F171=0,"",(VLOOKUP($C162,REV!$C:$AA,25,0)-'TRADE IN'!$F162))</f>
        <v>4499</v>
      </c>
      <c r="AB162" s="46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tr">
        <f>IF(REV!AW162=0,"",REV!AW162)</f>
        <v>31.03.2026</v>
      </c>
      <c r="AX162" s="159" t="s">
        <v>82</v>
      </c>
    </row>
    <row r="163" spans="1:50" ht="22.5" customHeight="1">
      <c r="A163" s="52" t="s">
        <v>70</v>
      </c>
      <c r="B163" s="41" t="s">
        <v>62</v>
      </c>
      <c r="C163" s="42">
        <v>4016568</v>
      </c>
      <c r="D163" s="43" t="s">
        <v>235</v>
      </c>
      <c r="E163" s="43" t="s">
        <v>241</v>
      </c>
      <c r="F163" s="45"/>
      <c r="G163" s="45"/>
      <c r="H163" s="46"/>
      <c r="I163" s="46"/>
      <c r="J163" s="46">
        <f>IF(VLOOKUP($C163,REV!$C:$AA,8,0)-'TRADE IN'!$F163=0,"",(VLOOKUP($C163,REV!$C:$AA,8,0)-'TRADE IN'!$F163))</f>
        <v>5899</v>
      </c>
      <c r="K163" s="46">
        <f>IF(VLOOKUP($C163,REV!$C:$AA,9,0)-'TRADE IN'!$F163=0,"",(VLOOKUP($C163,REV!$C:$AA,9,0)-'TRADE IN'!$F163))</f>
        <v>5899</v>
      </c>
      <c r="L163" s="46">
        <f>IF(VLOOKUP($C163,REV!$C:$AA,10,0)-'TRADE IN'!$F172=0,"",(VLOOKUP($C163,REV!$C:$AA,10,0)-'TRADE IN'!$F163))</f>
        <v>5899</v>
      </c>
      <c r="M163" s="46">
        <f>IF(VLOOKUP($C163,REV!$C:$AA,11,0)-'TRADE IN'!$F172=0,"",(VLOOKUP($C163,REV!$C:$AA,11,0)-'TRADE IN'!$F163))</f>
        <v>5899</v>
      </c>
      <c r="N163" s="46">
        <f>IF(VLOOKUP($C163,REV!$C:$AA,12,0)-'TRADE IN'!$F172=0,"",(VLOOKUP($C163,REV!$C:$AA,12,0)-'TRADE IN'!$F163))</f>
        <v>5899</v>
      </c>
      <c r="O163" s="46">
        <f>IF(VLOOKUP($C163,REV!$C:$AA,13,0)-'TRADE IN'!$F172=0,"",(VLOOKUP($C163,REV!$C:$AA,13,0)-'TRADE IN'!$F163))</f>
        <v>5799</v>
      </c>
      <c r="P163" s="46">
        <f>IF(VLOOKUP($C163,REV!$C:$AA,14,0)-'TRADE IN'!$F172=0,"",(VLOOKUP($C163,REV!$C:$AA,14,0)-'TRADE IN'!$F163))</f>
        <v>5699</v>
      </c>
      <c r="Q163" s="46">
        <f>IF(VLOOKUP($C163,REV!$C:$AA,15,0)-'TRADE IN'!$F172=0,"",(VLOOKUP($C163,REV!$C:$AA,15,0)-'TRADE IN'!$F163))</f>
        <v>4999</v>
      </c>
      <c r="R163" s="46">
        <f>IF(VLOOKUP($C163,REV!$C:$AA,16,0)-'TRADE IN'!$F172=0,"",(VLOOKUP($C163,REV!$C:$AA,16,0)-'TRADE IN'!$F163))</f>
        <v>5799</v>
      </c>
      <c r="S163" s="46">
        <f>IF(VLOOKUP($C163,REV!$C:$AA,17,0)-'TRADE IN'!$F172=0,"",(VLOOKUP($C163,REV!$C:$AA,17,0)-'TRADE IN'!$F163))</f>
        <v>5699</v>
      </c>
      <c r="T163" s="46">
        <f>IF(VLOOKUP($C163,REV!$C:$AA,18,0)-'TRADE IN'!$F172=0,"",(VLOOKUP($C163,REV!$C:$AA,18,0)-'TRADE IN'!$F163))</f>
        <v>4999</v>
      </c>
      <c r="U163" s="46">
        <f>IF(VLOOKUP($C163,REV!$C:$AA,19,0)-'TRADE IN'!$F172=0,"",(VLOOKUP($C163,REV!$C:$AA,19,0)-'TRADE IN'!$F163))</f>
        <v>4999</v>
      </c>
      <c r="V163" s="46">
        <f>IF(VLOOKUP($C163,REV!$C:$AA,20,0)-'TRADE IN'!$F172=0,"",(VLOOKUP($C163,REV!$C:$AA,20,0)-'TRADE IN'!$F163))</f>
        <v>4999</v>
      </c>
      <c r="W163" s="46">
        <f>IF(VLOOKUP($C163,REV!$C:$AA,21,0)-'TRADE IN'!$F172=0,"",(VLOOKUP($C163,REV!$C:$AA,21,0)-'TRADE IN'!$F163))</f>
        <v>4999</v>
      </c>
      <c r="X163" s="46">
        <f>IF(VLOOKUP($C163,REV!$C:$AA,22,0)-'TRADE IN'!$F172=0,"",(VLOOKUP($C163,REV!$C:$AA,22,0)-'TRADE IN'!$F163))</f>
        <v>4899</v>
      </c>
      <c r="Y163" s="46">
        <f>IF(VLOOKUP($C163,REV!$C:$AA,23,0)-'TRADE IN'!$F172=0,"",(VLOOKUP($C163,REV!$C:$AA,23,0)-'TRADE IN'!$F163))</f>
        <v>4499</v>
      </c>
      <c r="Z163" s="46">
        <f>IF(VLOOKUP($C163,REV!$C:$AA,24,0)-'TRADE IN'!$F172=0,"",(VLOOKUP($C163,REV!$C:$AA,24,0)-'TRADE IN'!$F163))</f>
        <v>4499</v>
      </c>
      <c r="AA163" s="46">
        <f>IF(VLOOKUP($C163,REV!$C:$AA,25,0)-'TRADE IN'!$F172=0,"",(VLOOKUP($C163,REV!$C:$AA,25,0)-'TRADE IN'!$F163))</f>
        <v>4499</v>
      </c>
      <c r="AB163" s="46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tr">
        <f>IF(REV!AW163=0,"",REV!AW163)</f>
        <v>31.03.2026</v>
      </c>
      <c r="AX163" s="159" t="s">
        <v>82</v>
      </c>
    </row>
    <row r="164" spans="1:50" ht="22.5" customHeight="1">
      <c r="A164" s="52" t="s">
        <v>70</v>
      </c>
      <c r="B164" s="41" t="s">
        <v>62</v>
      </c>
      <c r="C164" s="42">
        <v>4016670</v>
      </c>
      <c r="D164" s="43" t="s">
        <v>235</v>
      </c>
      <c r="E164" s="43" t="s">
        <v>242</v>
      </c>
      <c r="F164" s="45"/>
      <c r="G164" s="45"/>
      <c r="H164" s="46"/>
      <c r="I164" s="46"/>
      <c r="J164" s="46">
        <f>IF(VLOOKUP($C164,REV!$C:$AA,8,0)-'TRADE IN'!$F164=0,"",(VLOOKUP($C164,REV!$C:$AA,8,0)-'TRADE IN'!$F164))</f>
        <v>5899</v>
      </c>
      <c r="K164" s="46">
        <f>IF(VLOOKUP($C164,REV!$C:$AA,9,0)-'TRADE IN'!$F164=0,"",(VLOOKUP($C164,REV!$C:$AA,9,0)-'TRADE IN'!$F164))</f>
        <v>5899</v>
      </c>
      <c r="L164" s="46">
        <f>IF(VLOOKUP($C164,REV!$C:$AA,10,0)-'TRADE IN'!$F173=0,"",(VLOOKUP($C164,REV!$C:$AA,10,0)-'TRADE IN'!$F164))</f>
        <v>5899</v>
      </c>
      <c r="M164" s="46">
        <f>IF(VLOOKUP($C164,REV!$C:$AA,11,0)-'TRADE IN'!$F173=0,"",(VLOOKUP($C164,REV!$C:$AA,11,0)-'TRADE IN'!$F164))</f>
        <v>5899</v>
      </c>
      <c r="N164" s="46">
        <f>IF(VLOOKUP($C164,REV!$C:$AA,12,0)-'TRADE IN'!$F173=0,"",(VLOOKUP($C164,REV!$C:$AA,12,0)-'TRADE IN'!$F164))</f>
        <v>5899</v>
      </c>
      <c r="O164" s="46">
        <f>IF(VLOOKUP($C164,REV!$C:$AA,13,0)-'TRADE IN'!$F173=0,"",(VLOOKUP($C164,REV!$C:$AA,13,0)-'TRADE IN'!$F164))</f>
        <v>5799</v>
      </c>
      <c r="P164" s="46">
        <f>IF(VLOOKUP($C164,REV!$C:$AA,14,0)-'TRADE IN'!$F173=0,"",(VLOOKUP($C164,REV!$C:$AA,14,0)-'TRADE IN'!$F164))</f>
        <v>5699</v>
      </c>
      <c r="Q164" s="46">
        <f>IF(VLOOKUP($C164,REV!$C:$AA,15,0)-'TRADE IN'!$F173=0,"",(VLOOKUP($C164,REV!$C:$AA,15,0)-'TRADE IN'!$F164))</f>
        <v>4999</v>
      </c>
      <c r="R164" s="46">
        <f>IF(VLOOKUP($C164,REV!$C:$AA,16,0)-'TRADE IN'!$F173=0,"",(VLOOKUP($C164,REV!$C:$AA,16,0)-'TRADE IN'!$F164))</f>
        <v>5799</v>
      </c>
      <c r="S164" s="46">
        <f>IF(VLOOKUP($C164,REV!$C:$AA,17,0)-'TRADE IN'!$F173=0,"",(VLOOKUP($C164,REV!$C:$AA,17,0)-'TRADE IN'!$F164))</f>
        <v>5699</v>
      </c>
      <c r="T164" s="46">
        <f>IF(VLOOKUP($C164,REV!$C:$AA,18,0)-'TRADE IN'!$F173=0,"",(VLOOKUP($C164,REV!$C:$AA,18,0)-'TRADE IN'!$F164))</f>
        <v>4999</v>
      </c>
      <c r="U164" s="46">
        <f>IF(VLOOKUP($C164,REV!$C:$AA,19,0)-'TRADE IN'!$F173=0,"",(VLOOKUP($C164,REV!$C:$AA,19,0)-'TRADE IN'!$F164))</f>
        <v>4999</v>
      </c>
      <c r="V164" s="46">
        <f>IF(VLOOKUP($C164,REV!$C:$AA,20,0)-'TRADE IN'!$F173=0,"",(VLOOKUP($C164,REV!$C:$AA,20,0)-'TRADE IN'!$F164))</f>
        <v>4999</v>
      </c>
      <c r="W164" s="46">
        <f>IF(VLOOKUP($C164,REV!$C:$AA,21,0)-'TRADE IN'!$F173=0,"",(VLOOKUP($C164,REV!$C:$AA,21,0)-'TRADE IN'!$F164))</f>
        <v>4999</v>
      </c>
      <c r="X164" s="46">
        <f>IF(VLOOKUP($C164,REV!$C:$AA,22,0)-'TRADE IN'!$F173=0,"",(VLOOKUP($C164,REV!$C:$AA,22,0)-'TRADE IN'!$F164))</f>
        <v>4899</v>
      </c>
      <c r="Y164" s="46">
        <f>IF(VLOOKUP($C164,REV!$C:$AA,23,0)-'TRADE IN'!$F173=0,"",(VLOOKUP($C164,REV!$C:$AA,23,0)-'TRADE IN'!$F164))</f>
        <v>4499</v>
      </c>
      <c r="Z164" s="46">
        <f>IF(VLOOKUP($C164,REV!$C:$AA,24,0)-'TRADE IN'!$F173=0,"",(VLOOKUP($C164,REV!$C:$AA,24,0)-'TRADE IN'!$F164))</f>
        <v>4499</v>
      </c>
      <c r="AA164" s="46">
        <f>IF(VLOOKUP($C164,REV!$C:$AA,25,0)-'TRADE IN'!$F173=0,"",(VLOOKUP($C164,REV!$C:$AA,25,0)-'TRADE IN'!$F164))</f>
        <v>4499</v>
      </c>
      <c r="AB164" s="46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tr">
        <f>IF(REV!AW164=0,"",REV!AW164)</f>
        <v>31.03.2026</v>
      </c>
      <c r="AX164" s="159" t="s">
        <v>82</v>
      </c>
    </row>
    <row r="165" spans="1:50" ht="22.5" customHeight="1">
      <c r="A165" s="52" t="s">
        <v>70</v>
      </c>
      <c r="B165" s="41" t="s">
        <v>62</v>
      </c>
      <c r="C165" s="42">
        <v>4016673</v>
      </c>
      <c r="D165" s="43" t="s">
        <v>235</v>
      </c>
      <c r="E165" s="43" t="s">
        <v>243</v>
      </c>
      <c r="F165" s="45"/>
      <c r="G165" s="45"/>
      <c r="H165" s="46"/>
      <c r="I165" s="46"/>
      <c r="J165" s="46">
        <f>IF(VLOOKUP($C165,REV!$C:$AA,8,0)-'TRADE IN'!$F165=0,"",(VLOOKUP($C165,REV!$C:$AA,8,0)-'TRADE IN'!$F165))</f>
        <v>5899</v>
      </c>
      <c r="K165" s="46">
        <f>IF(VLOOKUP($C165,REV!$C:$AA,9,0)-'TRADE IN'!$F165=0,"",(VLOOKUP($C165,REV!$C:$AA,9,0)-'TRADE IN'!$F165))</f>
        <v>5899</v>
      </c>
      <c r="L165" s="46">
        <f>IF(VLOOKUP($C165,REV!$C:$AA,10,0)-'TRADE IN'!$F174=0,"",(VLOOKUP($C165,REV!$C:$AA,10,0)-'TRADE IN'!$F165))</f>
        <v>5899</v>
      </c>
      <c r="M165" s="46">
        <f>IF(VLOOKUP($C165,REV!$C:$AA,11,0)-'TRADE IN'!$F174=0,"",(VLOOKUP($C165,REV!$C:$AA,11,0)-'TRADE IN'!$F165))</f>
        <v>5899</v>
      </c>
      <c r="N165" s="46">
        <f>IF(VLOOKUP($C165,REV!$C:$AA,12,0)-'TRADE IN'!$F174=0,"",(VLOOKUP($C165,REV!$C:$AA,12,0)-'TRADE IN'!$F165))</f>
        <v>5899</v>
      </c>
      <c r="O165" s="46">
        <f>IF(VLOOKUP($C165,REV!$C:$AA,13,0)-'TRADE IN'!$F174=0,"",(VLOOKUP($C165,REV!$C:$AA,13,0)-'TRADE IN'!$F165))</f>
        <v>5799</v>
      </c>
      <c r="P165" s="46">
        <f>IF(VLOOKUP($C165,REV!$C:$AA,14,0)-'TRADE IN'!$F174=0,"",(VLOOKUP($C165,REV!$C:$AA,14,0)-'TRADE IN'!$F165))</f>
        <v>5699</v>
      </c>
      <c r="Q165" s="46">
        <f>IF(VLOOKUP($C165,REV!$C:$AA,15,0)-'TRADE IN'!$F174=0,"",(VLOOKUP($C165,REV!$C:$AA,15,0)-'TRADE IN'!$F165))</f>
        <v>4999</v>
      </c>
      <c r="R165" s="46">
        <f>IF(VLOOKUP($C165,REV!$C:$AA,16,0)-'TRADE IN'!$F174=0,"",(VLOOKUP($C165,REV!$C:$AA,16,0)-'TRADE IN'!$F165))</f>
        <v>5799</v>
      </c>
      <c r="S165" s="46">
        <f>IF(VLOOKUP($C165,REV!$C:$AA,17,0)-'TRADE IN'!$F174=0,"",(VLOOKUP($C165,REV!$C:$AA,17,0)-'TRADE IN'!$F165))</f>
        <v>5699</v>
      </c>
      <c r="T165" s="46">
        <f>IF(VLOOKUP($C165,REV!$C:$AA,18,0)-'TRADE IN'!$F174=0,"",(VLOOKUP($C165,REV!$C:$AA,18,0)-'TRADE IN'!$F165))</f>
        <v>4999</v>
      </c>
      <c r="U165" s="46">
        <f>IF(VLOOKUP($C165,REV!$C:$AA,19,0)-'TRADE IN'!$F174=0,"",(VLOOKUP($C165,REV!$C:$AA,19,0)-'TRADE IN'!$F165))</f>
        <v>4999</v>
      </c>
      <c r="V165" s="46">
        <f>IF(VLOOKUP($C165,REV!$C:$AA,20,0)-'TRADE IN'!$F174=0,"",(VLOOKUP($C165,REV!$C:$AA,20,0)-'TRADE IN'!$F165))</f>
        <v>4999</v>
      </c>
      <c r="W165" s="46">
        <f>IF(VLOOKUP($C165,REV!$C:$AA,21,0)-'TRADE IN'!$F174=0,"",(VLOOKUP($C165,REV!$C:$AA,21,0)-'TRADE IN'!$F165))</f>
        <v>4999</v>
      </c>
      <c r="X165" s="46">
        <f>IF(VLOOKUP($C165,REV!$C:$AA,22,0)-'TRADE IN'!$F174=0,"",(VLOOKUP($C165,REV!$C:$AA,22,0)-'TRADE IN'!$F165))</f>
        <v>4899</v>
      </c>
      <c r="Y165" s="46">
        <f>IF(VLOOKUP($C165,REV!$C:$AA,23,0)-'TRADE IN'!$F174=0,"",(VLOOKUP($C165,REV!$C:$AA,23,0)-'TRADE IN'!$F165))</f>
        <v>4499</v>
      </c>
      <c r="Z165" s="46">
        <f>IF(VLOOKUP($C165,REV!$C:$AA,24,0)-'TRADE IN'!$F174=0,"",(VLOOKUP($C165,REV!$C:$AA,24,0)-'TRADE IN'!$F165))</f>
        <v>4499</v>
      </c>
      <c r="AA165" s="46">
        <f>IF(VLOOKUP($C165,REV!$C:$AA,25,0)-'TRADE IN'!$F174=0,"",(VLOOKUP($C165,REV!$C:$AA,25,0)-'TRADE IN'!$F165))</f>
        <v>4499</v>
      </c>
      <c r="AB165" s="46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tr">
        <f>IF(REV!AW165=0,"",REV!AW165)</f>
        <v>31.03.2026</v>
      </c>
      <c r="AX165" s="159" t="s">
        <v>82</v>
      </c>
    </row>
    <row r="166" spans="1:50" ht="22.5" customHeight="1">
      <c r="A166" s="52" t="s">
        <v>70</v>
      </c>
      <c r="B166" s="41" t="s">
        <v>62</v>
      </c>
      <c r="C166" s="42">
        <v>4016679</v>
      </c>
      <c r="D166" s="43" t="s">
        <v>235</v>
      </c>
      <c r="E166" s="43" t="s">
        <v>244</v>
      </c>
      <c r="F166" s="45"/>
      <c r="G166" s="45"/>
      <c r="H166" s="46"/>
      <c r="I166" s="46"/>
      <c r="J166" s="46">
        <f>IF(VLOOKUP($C166,REV!$C:$AA,8,0)-'TRADE IN'!$F166=0,"",(VLOOKUP($C166,REV!$C:$AA,8,0)-'TRADE IN'!$F166))</f>
        <v>5899</v>
      </c>
      <c r="K166" s="46">
        <f>IF(VLOOKUP($C166,REV!$C:$AA,9,0)-'TRADE IN'!$F166=0,"",(VLOOKUP($C166,REV!$C:$AA,9,0)-'TRADE IN'!$F166))</f>
        <v>5899</v>
      </c>
      <c r="L166" s="46">
        <f>IF(VLOOKUP($C166,REV!$C:$AA,10,0)-'TRADE IN'!$F175=0,"",(VLOOKUP($C166,REV!$C:$AA,10,0)-'TRADE IN'!$F166))</f>
        <v>5899</v>
      </c>
      <c r="M166" s="46">
        <f>IF(VLOOKUP($C166,REV!$C:$AA,11,0)-'TRADE IN'!$F175=0,"",(VLOOKUP($C166,REV!$C:$AA,11,0)-'TRADE IN'!$F166))</f>
        <v>5899</v>
      </c>
      <c r="N166" s="46">
        <f>IF(VLOOKUP($C166,REV!$C:$AA,12,0)-'TRADE IN'!$F175=0,"",(VLOOKUP($C166,REV!$C:$AA,12,0)-'TRADE IN'!$F166))</f>
        <v>5899</v>
      </c>
      <c r="O166" s="46">
        <f>IF(VLOOKUP($C166,REV!$C:$AA,13,0)-'TRADE IN'!$F175=0,"",(VLOOKUP($C166,REV!$C:$AA,13,0)-'TRADE IN'!$F166))</f>
        <v>5799</v>
      </c>
      <c r="P166" s="46">
        <f>IF(VLOOKUP($C166,REV!$C:$AA,14,0)-'TRADE IN'!$F175=0,"",(VLOOKUP($C166,REV!$C:$AA,14,0)-'TRADE IN'!$F166))</f>
        <v>5699</v>
      </c>
      <c r="Q166" s="46">
        <f>IF(VLOOKUP($C166,REV!$C:$AA,15,0)-'TRADE IN'!$F175=0,"",(VLOOKUP($C166,REV!$C:$AA,15,0)-'TRADE IN'!$F166))</f>
        <v>4999</v>
      </c>
      <c r="R166" s="46">
        <f>IF(VLOOKUP($C166,REV!$C:$AA,16,0)-'TRADE IN'!$F175=0,"",(VLOOKUP($C166,REV!$C:$AA,16,0)-'TRADE IN'!$F166))</f>
        <v>5799</v>
      </c>
      <c r="S166" s="46">
        <f>IF(VLOOKUP($C166,REV!$C:$AA,17,0)-'TRADE IN'!$F175=0,"",(VLOOKUP($C166,REV!$C:$AA,17,0)-'TRADE IN'!$F166))</f>
        <v>5699</v>
      </c>
      <c r="T166" s="46">
        <f>IF(VLOOKUP($C166,REV!$C:$AA,18,0)-'TRADE IN'!$F175=0,"",(VLOOKUP($C166,REV!$C:$AA,18,0)-'TRADE IN'!$F166))</f>
        <v>4999</v>
      </c>
      <c r="U166" s="46">
        <f>IF(VLOOKUP($C166,REV!$C:$AA,19,0)-'TRADE IN'!$F175=0,"",(VLOOKUP($C166,REV!$C:$AA,19,0)-'TRADE IN'!$F166))</f>
        <v>4999</v>
      </c>
      <c r="V166" s="46">
        <f>IF(VLOOKUP($C166,REV!$C:$AA,20,0)-'TRADE IN'!$F175=0,"",(VLOOKUP($C166,REV!$C:$AA,20,0)-'TRADE IN'!$F166))</f>
        <v>4999</v>
      </c>
      <c r="W166" s="46">
        <f>IF(VLOOKUP($C166,REV!$C:$AA,21,0)-'TRADE IN'!$F175=0,"",(VLOOKUP($C166,REV!$C:$AA,21,0)-'TRADE IN'!$F166))</f>
        <v>4999</v>
      </c>
      <c r="X166" s="46">
        <f>IF(VLOOKUP($C166,REV!$C:$AA,22,0)-'TRADE IN'!$F175=0,"",(VLOOKUP($C166,REV!$C:$AA,22,0)-'TRADE IN'!$F166))</f>
        <v>4899</v>
      </c>
      <c r="Y166" s="46">
        <f>IF(VLOOKUP($C166,REV!$C:$AA,23,0)-'TRADE IN'!$F175=0,"",(VLOOKUP($C166,REV!$C:$AA,23,0)-'TRADE IN'!$F166))</f>
        <v>4499</v>
      </c>
      <c r="Z166" s="46">
        <f>IF(VLOOKUP($C166,REV!$C:$AA,24,0)-'TRADE IN'!$F175=0,"",(VLOOKUP($C166,REV!$C:$AA,24,0)-'TRADE IN'!$F166))</f>
        <v>4499</v>
      </c>
      <c r="AA166" s="46">
        <f>IF(VLOOKUP($C166,REV!$C:$AA,25,0)-'TRADE IN'!$F175=0,"",(VLOOKUP($C166,REV!$C:$AA,25,0)-'TRADE IN'!$F166))</f>
        <v>4499</v>
      </c>
      <c r="AB166" s="46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tr">
        <f>IF(REV!AW166=0,"",REV!AW166)</f>
        <v>31.03.2026</v>
      </c>
      <c r="AX166" s="159" t="s">
        <v>82</v>
      </c>
    </row>
    <row r="167" spans="1:50" ht="22.5" customHeight="1">
      <c r="A167" s="52" t="s">
        <v>70</v>
      </c>
      <c r="B167" s="41" t="s">
        <v>62</v>
      </c>
      <c r="C167" s="42">
        <v>4016681</v>
      </c>
      <c r="D167" s="43" t="s">
        <v>235</v>
      </c>
      <c r="E167" s="43" t="s">
        <v>245</v>
      </c>
      <c r="F167" s="45"/>
      <c r="G167" s="45"/>
      <c r="H167" s="46"/>
      <c r="I167" s="46"/>
      <c r="J167" s="46">
        <f>IF(VLOOKUP($C167,REV!$C:$AA,8,0)-'TRADE IN'!$F167=0,"",(VLOOKUP($C167,REV!$C:$AA,8,0)-'TRADE IN'!$F167))</f>
        <v>5899</v>
      </c>
      <c r="K167" s="46">
        <f>IF(VLOOKUP($C167,REV!$C:$AA,9,0)-'TRADE IN'!$F167=0,"",(VLOOKUP($C167,REV!$C:$AA,9,0)-'TRADE IN'!$F167))</f>
        <v>5899</v>
      </c>
      <c r="L167" s="46">
        <f>IF(VLOOKUP($C167,REV!$C:$AA,10,0)-'TRADE IN'!$F176=0,"",(VLOOKUP($C167,REV!$C:$AA,10,0)-'TRADE IN'!$F167))</f>
        <v>5899</v>
      </c>
      <c r="M167" s="46">
        <f>IF(VLOOKUP($C167,REV!$C:$AA,11,0)-'TRADE IN'!$F176=0,"",(VLOOKUP($C167,REV!$C:$AA,11,0)-'TRADE IN'!$F167))</f>
        <v>5899</v>
      </c>
      <c r="N167" s="46">
        <f>IF(VLOOKUP($C167,REV!$C:$AA,12,0)-'TRADE IN'!$F176=0,"",(VLOOKUP($C167,REV!$C:$AA,12,0)-'TRADE IN'!$F167))</f>
        <v>5899</v>
      </c>
      <c r="O167" s="46">
        <f>IF(VLOOKUP($C167,REV!$C:$AA,13,0)-'TRADE IN'!$F176=0,"",(VLOOKUP($C167,REV!$C:$AA,13,0)-'TRADE IN'!$F167))</f>
        <v>5799</v>
      </c>
      <c r="P167" s="46">
        <f>IF(VLOOKUP($C167,REV!$C:$AA,14,0)-'TRADE IN'!$F176=0,"",(VLOOKUP($C167,REV!$C:$AA,14,0)-'TRADE IN'!$F167))</f>
        <v>5699</v>
      </c>
      <c r="Q167" s="46">
        <f>IF(VLOOKUP($C167,REV!$C:$AA,15,0)-'TRADE IN'!$F176=0,"",(VLOOKUP($C167,REV!$C:$AA,15,0)-'TRADE IN'!$F167))</f>
        <v>4999</v>
      </c>
      <c r="R167" s="46">
        <f>IF(VLOOKUP($C167,REV!$C:$AA,16,0)-'TRADE IN'!$F176=0,"",(VLOOKUP($C167,REV!$C:$AA,16,0)-'TRADE IN'!$F167))</f>
        <v>5799</v>
      </c>
      <c r="S167" s="46">
        <f>IF(VLOOKUP($C167,REV!$C:$AA,17,0)-'TRADE IN'!$F176=0,"",(VLOOKUP($C167,REV!$C:$AA,17,0)-'TRADE IN'!$F167))</f>
        <v>5699</v>
      </c>
      <c r="T167" s="46">
        <f>IF(VLOOKUP($C167,REV!$C:$AA,18,0)-'TRADE IN'!$F176=0,"",(VLOOKUP($C167,REV!$C:$AA,18,0)-'TRADE IN'!$F167))</f>
        <v>4999</v>
      </c>
      <c r="U167" s="46">
        <f>IF(VLOOKUP($C167,REV!$C:$AA,19,0)-'TRADE IN'!$F176=0,"",(VLOOKUP($C167,REV!$C:$AA,19,0)-'TRADE IN'!$F167))</f>
        <v>4999</v>
      </c>
      <c r="V167" s="46">
        <f>IF(VLOOKUP($C167,REV!$C:$AA,20,0)-'TRADE IN'!$F176=0,"",(VLOOKUP($C167,REV!$C:$AA,20,0)-'TRADE IN'!$F167))</f>
        <v>4999</v>
      </c>
      <c r="W167" s="46">
        <f>IF(VLOOKUP($C167,REV!$C:$AA,21,0)-'TRADE IN'!$F176=0,"",(VLOOKUP($C167,REV!$C:$AA,21,0)-'TRADE IN'!$F167))</f>
        <v>4999</v>
      </c>
      <c r="X167" s="46">
        <f>IF(VLOOKUP($C167,REV!$C:$AA,22,0)-'TRADE IN'!$F176=0,"",(VLOOKUP($C167,REV!$C:$AA,22,0)-'TRADE IN'!$F167))</f>
        <v>4899</v>
      </c>
      <c r="Y167" s="46">
        <f>IF(VLOOKUP($C167,REV!$C:$AA,23,0)-'TRADE IN'!$F176=0,"",(VLOOKUP($C167,REV!$C:$AA,23,0)-'TRADE IN'!$F167))</f>
        <v>4199</v>
      </c>
      <c r="Z167" s="46">
        <f>IF(VLOOKUP($C167,REV!$C:$AA,24,0)-'TRADE IN'!$F176=0,"",(VLOOKUP($C167,REV!$C:$AA,24,0)-'TRADE IN'!$F167))</f>
        <v>4199</v>
      </c>
      <c r="AA167" s="46">
        <f>IF(VLOOKUP($C167,REV!$C:$AA,25,0)-'TRADE IN'!$F176=0,"",(VLOOKUP($C167,REV!$C:$AA,25,0)-'TRADE IN'!$F167))</f>
        <v>4199</v>
      </c>
      <c r="AB167" s="46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tr">
        <f>IF(REV!AW167=0,"",REV!AW167)</f>
        <v>31.03.2026</v>
      </c>
      <c r="AX167" s="159" t="s">
        <v>82</v>
      </c>
    </row>
    <row r="168" spans="1:50" ht="22.5" customHeight="1">
      <c r="A168" s="52" t="s">
        <v>70</v>
      </c>
      <c r="B168" s="41" t="s">
        <v>62</v>
      </c>
      <c r="C168" s="42">
        <v>4016594</v>
      </c>
      <c r="D168" s="43" t="s">
        <v>246</v>
      </c>
      <c r="E168" s="43" t="s">
        <v>247</v>
      </c>
      <c r="F168" s="45"/>
      <c r="G168" s="45"/>
      <c r="H168" s="46"/>
      <c r="I168" s="46"/>
      <c r="J168" s="46">
        <f>IF(VLOOKUP($C168,REV!$C:$AA,8,0)-'TRADE IN'!$F168=0,"",(VLOOKUP($C168,REV!$C:$AA,8,0)-'TRADE IN'!$F168))</f>
        <v>8999</v>
      </c>
      <c r="K168" s="46">
        <f>IF(VLOOKUP($C168,REV!$C:$AA,9,0)-'TRADE IN'!$F168=0,"",(VLOOKUP($C168,REV!$C:$AA,9,0)-'TRADE IN'!$F168))</f>
        <v>8999</v>
      </c>
      <c r="L168" s="46">
        <f>IF(VLOOKUP($C168,REV!$C:$AA,10,0)-'TRADE IN'!$F177=0,"",(VLOOKUP($C168,REV!$C:$AA,10,0)-'TRADE IN'!$F168))</f>
        <v>8999</v>
      </c>
      <c r="M168" s="46">
        <f>IF(VLOOKUP($C168,REV!$C:$AA,11,0)-'TRADE IN'!$F177=0,"",(VLOOKUP($C168,REV!$C:$AA,11,0)-'TRADE IN'!$F168))</f>
        <v>8999</v>
      </c>
      <c r="N168" s="46">
        <f>IF(VLOOKUP($C168,REV!$C:$AA,12,0)-'TRADE IN'!$F177=0,"",(VLOOKUP($C168,REV!$C:$AA,12,0)-'TRADE IN'!$F168))</f>
        <v>8999</v>
      </c>
      <c r="O168" s="46">
        <f>IF(VLOOKUP($C168,REV!$C:$AA,13,0)-'TRADE IN'!$F177=0,"",(VLOOKUP($C168,REV!$C:$AA,13,0)-'TRADE IN'!$F168))</f>
        <v>8899</v>
      </c>
      <c r="P168" s="46">
        <f>IF(VLOOKUP($C168,REV!$C:$AA,14,0)-'TRADE IN'!$F177=0,"",(VLOOKUP($C168,REV!$C:$AA,14,0)-'TRADE IN'!$F168))</f>
        <v>8799</v>
      </c>
      <c r="Q168" s="46">
        <f>IF(VLOOKUP($C168,REV!$C:$AA,15,0)-'TRADE IN'!$F177=0,"",(VLOOKUP($C168,REV!$C:$AA,15,0)-'TRADE IN'!$F168))</f>
        <v>7999</v>
      </c>
      <c r="R168" s="46">
        <f>IF(VLOOKUP($C168,REV!$C:$AA,16,0)-'TRADE IN'!$F177=0,"",(VLOOKUP($C168,REV!$C:$AA,16,0)-'TRADE IN'!$F168))</f>
        <v>8899</v>
      </c>
      <c r="S168" s="46">
        <f>IF(VLOOKUP($C168,REV!$C:$AA,17,0)-'TRADE IN'!$F177=0,"",(VLOOKUP($C168,REV!$C:$AA,17,0)-'TRADE IN'!$F168))</f>
        <v>8799</v>
      </c>
      <c r="T168" s="46">
        <f>IF(VLOOKUP($C168,REV!$C:$AA,18,0)-'TRADE IN'!$F177=0,"",(VLOOKUP($C168,REV!$C:$AA,18,0)-'TRADE IN'!$F168))</f>
        <v>7999</v>
      </c>
      <c r="U168" s="46">
        <f>IF(VLOOKUP($C168,REV!$C:$AA,19,0)-'TRADE IN'!$F177=0,"",(VLOOKUP($C168,REV!$C:$AA,19,0)-'TRADE IN'!$F168))</f>
        <v>7999</v>
      </c>
      <c r="V168" s="46">
        <f>IF(VLOOKUP($C168,REV!$C:$AA,20,0)-'TRADE IN'!$F177=0,"",(VLOOKUP($C168,REV!$C:$AA,20,0)-'TRADE IN'!$F168))</f>
        <v>7699</v>
      </c>
      <c r="W168" s="46">
        <f>IF(VLOOKUP($C168,REV!$C:$AA,21,0)-'TRADE IN'!$F177=0,"",(VLOOKUP($C168,REV!$C:$AA,21,0)-'TRADE IN'!$F168))</f>
        <v>7699</v>
      </c>
      <c r="X168" s="46">
        <f>IF(VLOOKUP($C168,REV!$C:$AA,22,0)-'TRADE IN'!$F177=0,"",(VLOOKUP($C168,REV!$C:$AA,22,0)-'TRADE IN'!$F168))</f>
        <v>7699</v>
      </c>
      <c r="Y168" s="46">
        <f>IF(VLOOKUP($C168,REV!$C:$AA,23,0)-'TRADE IN'!$F177=0,"",(VLOOKUP($C168,REV!$C:$AA,23,0)-'TRADE IN'!$F168))</f>
        <v>7499</v>
      </c>
      <c r="Z168" s="46">
        <f>IF(VLOOKUP($C168,REV!$C:$AA,24,0)-'TRADE IN'!$F177=0,"",(VLOOKUP($C168,REV!$C:$AA,24,0)-'TRADE IN'!$F168))</f>
        <v>7499</v>
      </c>
      <c r="AA168" s="46">
        <f>IF(VLOOKUP($C168,REV!$C:$AA,25,0)-'TRADE IN'!$F177=0,"",(VLOOKUP($C168,REV!$C:$AA,25,0)-'TRADE IN'!$F168))</f>
        <v>7499</v>
      </c>
      <c r="AB168" s="46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tr">
        <f>IF(REV!AW168=0,"",REV!AW168)</f>
        <v>31.03.2026</v>
      </c>
      <c r="AX168" s="159" t="s">
        <v>82</v>
      </c>
    </row>
    <row r="169" spans="1:50" ht="22.5" customHeight="1">
      <c r="A169" s="52" t="s">
        <v>70</v>
      </c>
      <c r="B169" s="41" t="s">
        <v>62</v>
      </c>
      <c r="C169" s="42">
        <v>4016593</v>
      </c>
      <c r="D169" s="43" t="s">
        <v>246</v>
      </c>
      <c r="E169" s="43" t="s">
        <v>248</v>
      </c>
      <c r="F169" s="45"/>
      <c r="G169" s="45"/>
      <c r="H169" s="46"/>
      <c r="I169" s="46"/>
      <c r="J169" s="46">
        <f>IF(VLOOKUP($C169,REV!$C:$AA,8,0)-'TRADE IN'!$F169=0,"",(VLOOKUP($C169,REV!$C:$AA,8,0)-'TRADE IN'!$F169))</f>
        <v>8999</v>
      </c>
      <c r="K169" s="46">
        <f>IF(VLOOKUP($C169,REV!$C:$AA,9,0)-'TRADE IN'!$F169=0,"",(VLOOKUP($C169,REV!$C:$AA,9,0)-'TRADE IN'!$F169))</f>
        <v>8999</v>
      </c>
      <c r="L169" s="46">
        <f>IF(VLOOKUP($C169,REV!$C:$AA,10,0)-'TRADE IN'!$F178=0,"",(VLOOKUP($C169,REV!$C:$AA,10,0)-'TRADE IN'!$F169))</f>
        <v>8999</v>
      </c>
      <c r="M169" s="46">
        <f>IF(VLOOKUP($C169,REV!$C:$AA,11,0)-'TRADE IN'!$F178=0,"",(VLOOKUP($C169,REV!$C:$AA,11,0)-'TRADE IN'!$F169))</f>
        <v>8999</v>
      </c>
      <c r="N169" s="46">
        <f>IF(VLOOKUP($C169,REV!$C:$AA,12,0)-'TRADE IN'!$F178=0,"",(VLOOKUP($C169,REV!$C:$AA,12,0)-'TRADE IN'!$F169))</f>
        <v>8999</v>
      </c>
      <c r="O169" s="46">
        <f>IF(VLOOKUP($C169,REV!$C:$AA,13,0)-'TRADE IN'!$F178=0,"",(VLOOKUP($C169,REV!$C:$AA,13,0)-'TRADE IN'!$F169))</f>
        <v>8899</v>
      </c>
      <c r="P169" s="46">
        <f>IF(VLOOKUP($C169,REV!$C:$AA,14,0)-'TRADE IN'!$F178=0,"",(VLOOKUP($C169,REV!$C:$AA,14,0)-'TRADE IN'!$F169))</f>
        <v>8799</v>
      </c>
      <c r="Q169" s="46">
        <f>IF(VLOOKUP($C169,REV!$C:$AA,15,0)-'TRADE IN'!$F178=0,"",(VLOOKUP($C169,REV!$C:$AA,15,0)-'TRADE IN'!$F169))</f>
        <v>7999</v>
      </c>
      <c r="R169" s="46">
        <f>IF(VLOOKUP($C169,REV!$C:$AA,16,0)-'TRADE IN'!$F178=0,"",(VLOOKUP($C169,REV!$C:$AA,16,0)-'TRADE IN'!$F169))</f>
        <v>8899</v>
      </c>
      <c r="S169" s="46">
        <f>IF(VLOOKUP($C169,REV!$C:$AA,17,0)-'TRADE IN'!$F178=0,"",(VLOOKUP($C169,REV!$C:$AA,17,0)-'TRADE IN'!$F169))</f>
        <v>8799</v>
      </c>
      <c r="T169" s="46">
        <f>IF(VLOOKUP($C169,REV!$C:$AA,18,0)-'TRADE IN'!$F178=0,"",(VLOOKUP($C169,REV!$C:$AA,18,0)-'TRADE IN'!$F169))</f>
        <v>7999</v>
      </c>
      <c r="U169" s="46">
        <f>IF(VLOOKUP($C169,REV!$C:$AA,19,0)-'TRADE IN'!$F178=0,"",(VLOOKUP($C169,REV!$C:$AA,19,0)-'TRADE IN'!$F169))</f>
        <v>7999</v>
      </c>
      <c r="V169" s="46">
        <f>IF(VLOOKUP($C169,REV!$C:$AA,20,0)-'TRADE IN'!$F178=0,"",(VLOOKUP($C169,REV!$C:$AA,20,0)-'TRADE IN'!$F169))</f>
        <v>7699</v>
      </c>
      <c r="W169" s="46">
        <f>IF(VLOOKUP($C169,REV!$C:$AA,21,0)-'TRADE IN'!$F178=0,"",(VLOOKUP($C169,REV!$C:$AA,21,0)-'TRADE IN'!$F169))</f>
        <v>7699</v>
      </c>
      <c r="X169" s="46">
        <f>IF(VLOOKUP($C169,REV!$C:$AA,22,0)-'TRADE IN'!$F178=0,"",(VLOOKUP($C169,REV!$C:$AA,22,0)-'TRADE IN'!$F169))</f>
        <v>7699</v>
      </c>
      <c r="Y169" s="46">
        <f>IF(VLOOKUP($C169,REV!$C:$AA,23,0)-'TRADE IN'!$F178=0,"",(VLOOKUP($C169,REV!$C:$AA,23,0)-'TRADE IN'!$F169))</f>
        <v>7499</v>
      </c>
      <c r="Z169" s="46">
        <f>IF(VLOOKUP($C169,REV!$C:$AA,24,0)-'TRADE IN'!$F178=0,"",(VLOOKUP($C169,REV!$C:$AA,24,0)-'TRADE IN'!$F169))</f>
        <v>7499</v>
      </c>
      <c r="AA169" s="46">
        <f>IF(VLOOKUP($C169,REV!$C:$AA,25,0)-'TRADE IN'!$F178=0,"",(VLOOKUP($C169,REV!$C:$AA,25,0)-'TRADE IN'!$F169))</f>
        <v>7499</v>
      </c>
      <c r="AB169" s="46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tr">
        <f>IF(REV!AW169=0,"",REV!AW169)</f>
        <v>31.03.2026</v>
      </c>
      <c r="AX169" s="159" t="s">
        <v>82</v>
      </c>
    </row>
    <row r="170" spans="1:50" ht="22.5" customHeight="1">
      <c r="A170" s="52" t="s">
        <v>70</v>
      </c>
      <c r="B170" s="41" t="s">
        <v>62</v>
      </c>
      <c r="C170" s="42">
        <v>4016592</v>
      </c>
      <c r="D170" s="43" t="s">
        <v>246</v>
      </c>
      <c r="E170" s="43" t="s">
        <v>249</v>
      </c>
      <c r="F170" s="45"/>
      <c r="G170" s="45"/>
      <c r="H170" s="46"/>
      <c r="I170" s="46"/>
      <c r="J170" s="46">
        <f>IF(VLOOKUP($C170,REV!$C:$AA,8,0)-'TRADE IN'!$F170=0,"",(VLOOKUP($C170,REV!$C:$AA,8,0)-'TRADE IN'!$F170))</f>
        <v>8999</v>
      </c>
      <c r="K170" s="46">
        <f>IF(VLOOKUP($C170,REV!$C:$AA,9,0)-'TRADE IN'!$F170=0,"",(VLOOKUP($C170,REV!$C:$AA,9,0)-'TRADE IN'!$F170))</f>
        <v>8999</v>
      </c>
      <c r="L170" s="46">
        <f>IF(VLOOKUP($C170,REV!$C:$AA,10,0)-'TRADE IN'!$F179=0,"",(VLOOKUP($C170,REV!$C:$AA,10,0)-'TRADE IN'!$F170))</f>
        <v>8999</v>
      </c>
      <c r="M170" s="46">
        <f>IF(VLOOKUP($C170,REV!$C:$AA,11,0)-'TRADE IN'!$F179=0,"",(VLOOKUP($C170,REV!$C:$AA,11,0)-'TRADE IN'!$F170))</f>
        <v>8999</v>
      </c>
      <c r="N170" s="46">
        <f>IF(VLOOKUP($C170,REV!$C:$AA,12,0)-'TRADE IN'!$F179=0,"",(VLOOKUP($C170,REV!$C:$AA,12,0)-'TRADE IN'!$F170))</f>
        <v>8999</v>
      </c>
      <c r="O170" s="46">
        <f>IF(VLOOKUP($C170,REV!$C:$AA,13,0)-'TRADE IN'!$F179=0,"",(VLOOKUP($C170,REV!$C:$AA,13,0)-'TRADE IN'!$F170))</f>
        <v>8899</v>
      </c>
      <c r="P170" s="46">
        <f>IF(VLOOKUP($C170,REV!$C:$AA,14,0)-'TRADE IN'!$F179=0,"",(VLOOKUP($C170,REV!$C:$AA,14,0)-'TRADE IN'!$F170))</f>
        <v>8799</v>
      </c>
      <c r="Q170" s="46">
        <f>IF(VLOOKUP($C170,REV!$C:$AA,15,0)-'TRADE IN'!$F179=0,"",(VLOOKUP($C170,REV!$C:$AA,15,0)-'TRADE IN'!$F170))</f>
        <v>7999</v>
      </c>
      <c r="R170" s="46">
        <f>IF(VLOOKUP($C170,REV!$C:$AA,16,0)-'TRADE IN'!$F179=0,"",(VLOOKUP($C170,REV!$C:$AA,16,0)-'TRADE IN'!$F170))</f>
        <v>8899</v>
      </c>
      <c r="S170" s="46">
        <f>IF(VLOOKUP($C170,REV!$C:$AA,17,0)-'TRADE IN'!$F179=0,"",(VLOOKUP($C170,REV!$C:$AA,17,0)-'TRADE IN'!$F170))</f>
        <v>8799</v>
      </c>
      <c r="T170" s="46">
        <f>IF(VLOOKUP($C170,REV!$C:$AA,18,0)-'TRADE IN'!$F179=0,"",(VLOOKUP($C170,REV!$C:$AA,18,0)-'TRADE IN'!$F170))</f>
        <v>7999</v>
      </c>
      <c r="U170" s="46">
        <f>IF(VLOOKUP($C170,REV!$C:$AA,19,0)-'TRADE IN'!$F179=0,"",(VLOOKUP($C170,REV!$C:$AA,19,0)-'TRADE IN'!$F170))</f>
        <v>7999</v>
      </c>
      <c r="V170" s="46">
        <f>IF(VLOOKUP($C170,REV!$C:$AA,20,0)-'TRADE IN'!$F179=0,"",(VLOOKUP($C170,REV!$C:$AA,20,0)-'TRADE IN'!$F170))</f>
        <v>7699</v>
      </c>
      <c r="W170" s="46">
        <f>IF(VLOOKUP($C170,REV!$C:$AA,21,0)-'TRADE IN'!$F179=0,"",(VLOOKUP($C170,REV!$C:$AA,21,0)-'TRADE IN'!$F170))</f>
        <v>7699</v>
      </c>
      <c r="X170" s="46">
        <f>IF(VLOOKUP($C170,REV!$C:$AA,22,0)-'TRADE IN'!$F179=0,"",(VLOOKUP($C170,REV!$C:$AA,22,0)-'TRADE IN'!$F170))</f>
        <v>7699</v>
      </c>
      <c r="Y170" s="46">
        <f>IF(VLOOKUP($C170,REV!$C:$AA,23,0)-'TRADE IN'!$F179=0,"",(VLOOKUP($C170,REV!$C:$AA,23,0)-'TRADE IN'!$F170))</f>
        <v>7499</v>
      </c>
      <c r="Z170" s="46">
        <f>IF(VLOOKUP($C170,REV!$C:$AA,24,0)-'TRADE IN'!$F179=0,"",(VLOOKUP($C170,REV!$C:$AA,24,0)-'TRADE IN'!$F170))</f>
        <v>7499</v>
      </c>
      <c r="AA170" s="46">
        <f>IF(VLOOKUP($C170,REV!$C:$AA,25,0)-'TRADE IN'!$F179=0,"",(VLOOKUP($C170,REV!$C:$AA,25,0)-'TRADE IN'!$F170))</f>
        <v>7499</v>
      </c>
      <c r="AB170" s="46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tr">
        <f>IF(REV!AW170=0,"",REV!AW170)</f>
        <v>31.03.2026</v>
      </c>
      <c r="AX170" s="159" t="s">
        <v>82</v>
      </c>
    </row>
    <row r="171" spans="1:50" ht="22.5" customHeight="1">
      <c r="A171" s="52" t="s">
        <v>70</v>
      </c>
      <c r="B171" s="41" t="s">
        <v>62</v>
      </c>
      <c r="C171" s="42">
        <v>4016591</v>
      </c>
      <c r="D171" s="43" t="s">
        <v>246</v>
      </c>
      <c r="E171" s="43" t="s">
        <v>250</v>
      </c>
      <c r="F171" s="45"/>
      <c r="G171" s="45"/>
      <c r="H171" s="46"/>
      <c r="I171" s="46"/>
      <c r="J171" s="46">
        <f>IF(VLOOKUP($C171,REV!$C:$AA,8,0)-'TRADE IN'!$F171=0,"",(VLOOKUP($C171,REV!$C:$AA,8,0)-'TRADE IN'!$F171))</f>
        <v>8999</v>
      </c>
      <c r="K171" s="46">
        <f>IF(VLOOKUP($C171,REV!$C:$AA,9,0)-'TRADE IN'!$F171=0,"",(VLOOKUP($C171,REV!$C:$AA,9,0)-'TRADE IN'!$F171))</f>
        <v>8999</v>
      </c>
      <c r="L171" s="46">
        <f>IF(VLOOKUP($C171,REV!$C:$AA,10,0)-'TRADE IN'!$F180=0,"",(VLOOKUP($C171,REV!$C:$AA,10,0)-'TRADE IN'!$F171))</f>
        <v>8999</v>
      </c>
      <c r="M171" s="46">
        <f>IF(VLOOKUP($C171,REV!$C:$AA,11,0)-'TRADE IN'!$F180=0,"",(VLOOKUP($C171,REV!$C:$AA,11,0)-'TRADE IN'!$F171))</f>
        <v>8999</v>
      </c>
      <c r="N171" s="46">
        <f>IF(VLOOKUP($C171,REV!$C:$AA,12,0)-'TRADE IN'!$F180=0,"",(VLOOKUP($C171,REV!$C:$AA,12,0)-'TRADE IN'!$F171))</f>
        <v>8999</v>
      </c>
      <c r="O171" s="46">
        <f>IF(VLOOKUP($C171,REV!$C:$AA,13,0)-'TRADE IN'!$F180=0,"",(VLOOKUP($C171,REV!$C:$AA,13,0)-'TRADE IN'!$F171))</f>
        <v>8899</v>
      </c>
      <c r="P171" s="46">
        <f>IF(VLOOKUP($C171,REV!$C:$AA,14,0)-'TRADE IN'!$F180=0,"",(VLOOKUP($C171,REV!$C:$AA,14,0)-'TRADE IN'!$F171))</f>
        <v>8799</v>
      </c>
      <c r="Q171" s="46">
        <f>IF(VLOOKUP($C171,REV!$C:$AA,15,0)-'TRADE IN'!$F180=0,"",(VLOOKUP($C171,REV!$C:$AA,15,0)-'TRADE IN'!$F171))</f>
        <v>7999</v>
      </c>
      <c r="R171" s="46">
        <f>IF(VLOOKUP($C171,REV!$C:$AA,16,0)-'TRADE IN'!$F180=0,"",(VLOOKUP($C171,REV!$C:$AA,16,0)-'TRADE IN'!$F171))</f>
        <v>8899</v>
      </c>
      <c r="S171" s="46">
        <f>IF(VLOOKUP($C171,REV!$C:$AA,17,0)-'TRADE IN'!$F180=0,"",(VLOOKUP($C171,REV!$C:$AA,17,0)-'TRADE IN'!$F171))</f>
        <v>8799</v>
      </c>
      <c r="T171" s="46">
        <f>IF(VLOOKUP($C171,REV!$C:$AA,18,0)-'TRADE IN'!$F180=0,"",(VLOOKUP($C171,REV!$C:$AA,18,0)-'TRADE IN'!$F171))</f>
        <v>7999</v>
      </c>
      <c r="U171" s="46">
        <f>IF(VLOOKUP($C171,REV!$C:$AA,19,0)-'TRADE IN'!$F180=0,"",(VLOOKUP($C171,REV!$C:$AA,19,0)-'TRADE IN'!$F171))</f>
        <v>7999</v>
      </c>
      <c r="V171" s="46">
        <f>IF(VLOOKUP($C171,REV!$C:$AA,20,0)-'TRADE IN'!$F180=0,"",(VLOOKUP($C171,REV!$C:$AA,20,0)-'TRADE IN'!$F171))</f>
        <v>7699</v>
      </c>
      <c r="W171" s="46">
        <f>IF(VLOOKUP($C171,REV!$C:$AA,21,0)-'TRADE IN'!$F180=0,"",(VLOOKUP($C171,REV!$C:$AA,21,0)-'TRADE IN'!$F171))</f>
        <v>7699</v>
      </c>
      <c r="X171" s="46">
        <f>IF(VLOOKUP($C171,REV!$C:$AA,22,0)-'TRADE IN'!$F180=0,"",(VLOOKUP($C171,REV!$C:$AA,22,0)-'TRADE IN'!$F171))</f>
        <v>7699</v>
      </c>
      <c r="Y171" s="46">
        <f>IF(VLOOKUP($C171,REV!$C:$AA,23,0)-'TRADE IN'!$F180=0,"",(VLOOKUP($C171,REV!$C:$AA,23,0)-'TRADE IN'!$F171))</f>
        <v>7499</v>
      </c>
      <c r="Z171" s="46">
        <f>IF(VLOOKUP($C171,REV!$C:$AA,24,0)-'TRADE IN'!$F180=0,"",(VLOOKUP($C171,REV!$C:$AA,24,0)-'TRADE IN'!$F171))</f>
        <v>7499</v>
      </c>
      <c r="AA171" s="46">
        <f>IF(VLOOKUP($C171,REV!$C:$AA,25,0)-'TRADE IN'!$F180=0,"",(VLOOKUP($C171,REV!$C:$AA,25,0)-'TRADE IN'!$F171))</f>
        <v>7499</v>
      </c>
      <c r="AB171" s="46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tr">
        <f>IF(REV!AW171=0,"",REV!AW171)</f>
        <v>31.03.2026</v>
      </c>
      <c r="AX171" s="159" t="s">
        <v>82</v>
      </c>
    </row>
    <row r="172" spans="1:50" ht="22.5" customHeight="1">
      <c r="A172" s="52" t="s">
        <v>70</v>
      </c>
      <c r="B172" s="41" t="s">
        <v>62</v>
      </c>
      <c r="C172" s="42">
        <v>4016595</v>
      </c>
      <c r="D172" s="43" t="s">
        <v>251</v>
      </c>
      <c r="E172" s="43" t="s">
        <v>252</v>
      </c>
      <c r="F172" s="45"/>
      <c r="G172" s="45"/>
      <c r="H172" s="46"/>
      <c r="I172" s="46"/>
      <c r="J172" s="46">
        <f>IF(VLOOKUP($C172,REV!$C:$AA,8,0)-'TRADE IN'!$F172=0,"",(VLOOKUP($C172,REV!$C:$AA,8,0)-'TRADE IN'!$F172))</f>
        <v>9699</v>
      </c>
      <c r="K172" s="46">
        <f>IF(VLOOKUP($C172,REV!$C:$AA,9,0)-'TRADE IN'!$F172=0,"",(VLOOKUP($C172,REV!$C:$AA,9,0)-'TRADE IN'!$F172))</f>
        <v>9699</v>
      </c>
      <c r="L172" s="46">
        <f>IF(VLOOKUP($C172,REV!$C:$AA,10,0)-'TRADE IN'!$F181=0,"",(VLOOKUP($C172,REV!$C:$AA,10,0)-'TRADE IN'!$F172))</f>
        <v>9699</v>
      </c>
      <c r="M172" s="46">
        <f>IF(VLOOKUP($C172,REV!$C:$AA,11,0)-'TRADE IN'!$F181=0,"",(VLOOKUP($C172,REV!$C:$AA,11,0)-'TRADE IN'!$F172))</f>
        <v>9699</v>
      </c>
      <c r="N172" s="46">
        <f>IF(VLOOKUP($C172,REV!$C:$AA,12,0)-'TRADE IN'!$F181=0,"",(VLOOKUP($C172,REV!$C:$AA,12,0)-'TRADE IN'!$F172))</f>
        <v>9699</v>
      </c>
      <c r="O172" s="46">
        <f>IF(VLOOKUP($C172,REV!$C:$AA,13,0)-'TRADE IN'!$F181=0,"",(VLOOKUP($C172,REV!$C:$AA,13,0)-'TRADE IN'!$F172))</f>
        <v>9599</v>
      </c>
      <c r="P172" s="46">
        <f>IF(VLOOKUP($C172,REV!$C:$AA,14,0)-'TRADE IN'!$F181=0,"",(VLOOKUP($C172,REV!$C:$AA,14,0)-'TRADE IN'!$F172))</f>
        <v>9499</v>
      </c>
      <c r="Q172" s="46">
        <f>IF(VLOOKUP($C172,REV!$C:$AA,15,0)-'TRADE IN'!$F181=0,"",(VLOOKUP($C172,REV!$C:$AA,15,0)-'TRADE IN'!$F172))</f>
        <v>8699</v>
      </c>
      <c r="R172" s="46">
        <f>IF(VLOOKUP($C172,REV!$C:$AA,16,0)-'TRADE IN'!$F181=0,"",(VLOOKUP($C172,REV!$C:$AA,16,0)-'TRADE IN'!$F172))</f>
        <v>9599</v>
      </c>
      <c r="S172" s="46">
        <f>IF(VLOOKUP($C172,REV!$C:$AA,17,0)-'TRADE IN'!$F181=0,"",(VLOOKUP($C172,REV!$C:$AA,17,0)-'TRADE IN'!$F172))</f>
        <v>9499</v>
      </c>
      <c r="T172" s="46">
        <f>IF(VLOOKUP($C172,REV!$C:$AA,18,0)-'TRADE IN'!$F181=0,"",(VLOOKUP($C172,REV!$C:$AA,18,0)-'TRADE IN'!$F172))</f>
        <v>8699</v>
      </c>
      <c r="U172" s="46">
        <f>IF(VLOOKUP($C172,REV!$C:$AA,19,0)-'TRADE IN'!$F181=0,"",(VLOOKUP($C172,REV!$C:$AA,19,0)-'TRADE IN'!$F172))</f>
        <v>8699</v>
      </c>
      <c r="V172" s="46">
        <f>IF(VLOOKUP($C172,REV!$C:$AA,20,0)-'TRADE IN'!$F181=0,"",(VLOOKUP($C172,REV!$C:$AA,20,0)-'TRADE IN'!$F172))</f>
        <v>8399</v>
      </c>
      <c r="W172" s="46">
        <f>IF(VLOOKUP($C172,REV!$C:$AA,21,0)-'TRADE IN'!$F181=0,"",(VLOOKUP($C172,REV!$C:$AA,21,0)-'TRADE IN'!$F172))</f>
        <v>8399</v>
      </c>
      <c r="X172" s="46">
        <f>IF(VLOOKUP($C172,REV!$C:$AA,22,0)-'TRADE IN'!$F181=0,"",(VLOOKUP($C172,REV!$C:$AA,22,0)-'TRADE IN'!$F172))</f>
        <v>8399</v>
      </c>
      <c r="Y172" s="46">
        <f>IF(VLOOKUP($C172,REV!$C:$AA,23,0)-'TRADE IN'!$F181=0,"",(VLOOKUP($C172,REV!$C:$AA,23,0)-'TRADE IN'!$F172))</f>
        <v>8199</v>
      </c>
      <c r="Z172" s="46">
        <f>IF(VLOOKUP($C172,REV!$C:$AA,24,0)-'TRADE IN'!$F181=0,"",(VLOOKUP($C172,REV!$C:$AA,24,0)-'TRADE IN'!$F172))</f>
        <v>8199</v>
      </c>
      <c r="AA172" s="46">
        <f>IF(VLOOKUP($C172,REV!$C:$AA,25,0)-'TRADE IN'!$F181=0,"",(VLOOKUP($C172,REV!$C:$AA,25,0)-'TRADE IN'!$F172))</f>
        <v>8199</v>
      </c>
      <c r="AB172" s="46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tr">
        <f>IF(REV!AW172=0,"",REV!AW172)</f>
        <v>31.03.2026</v>
      </c>
      <c r="AX172" s="159" t="s">
        <v>82</v>
      </c>
    </row>
    <row r="173" spans="1:50" ht="22.5" customHeight="1">
      <c r="A173" s="52" t="s">
        <v>70</v>
      </c>
      <c r="B173" s="41" t="s">
        <v>62</v>
      </c>
      <c r="C173" s="42">
        <v>4016596</v>
      </c>
      <c r="D173" s="43" t="s">
        <v>251</v>
      </c>
      <c r="E173" s="43" t="s">
        <v>253</v>
      </c>
      <c r="F173" s="45"/>
      <c r="G173" s="45"/>
      <c r="H173" s="46"/>
      <c r="I173" s="46"/>
      <c r="J173" s="46">
        <f>IF(VLOOKUP($C173,REV!$C:$AA,8,0)-'TRADE IN'!$F173=0,"",(VLOOKUP($C173,REV!$C:$AA,8,0)-'TRADE IN'!$F173))</f>
        <v>9699</v>
      </c>
      <c r="K173" s="46">
        <f>IF(VLOOKUP($C173,REV!$C:$AA,9,0)-'TRADE IN'!$F173=0,"",(VLOOKUP($C173,REV!$C:$AA,9,0)-'TRADE IN'!$F173))</f>
        <v>9699</v>
      </c>
      <c r="L173" s="46">
        <f>IF(VLOOKUP($C173,REV!$C:$AA,10,0)-'TRADE IN'!$F182=0,"",(VLOOKUP($C173,REV!$C:$AA,10,0)-'TRADE IN'!$F173))</f>
        <v>9699</v>
      </c>
      <c r="M173" s="46">
        <f>IF(VLOOKUP($C173,REV!$C:$AA,11,0)-'TRADE IN'!$F182=0,"",(VLOOKUP($C173,REV!$C:$AA,11,0)-'TRADE IN'!$F173))</f>
        <v>9699</v>
      </c>
      <c r="N173" s="46">
        <f>IF(VLOOKUP($C173,REV!$C:$AA,12,0)-'TRADE IN'!$F182=0,"",(VLOOKUP($C173,REV!$C:$AA,12,0)-'TRADE IN'!$F173))</f>
        <v>9699</v>
      </c>
      <c r="O173" s="46">
        <f>IF(VLOOKUP($C173,REV!$C:$AA,13,0)-'TRADE IN'!$F182=0,"",(VLOOKUP($C173,REV!$C:$AA,13,0)-'TRADE IN'!$F173))</f>
        <v>9599</v>
      </c>
      <c r="P173" s="46">
        <f>IF(VLOOKUP($C173,REV!$C:$AA,14,0)-'TRADE IN'!$F182=0,"",(VLOOKUP($C173,REV!$C:$AA,14,0)-'TRADE IN'!$F173))</f>
        <v>9499</v>
      </c>
      <c r="Q173" s="46">
        <f>IF(VLOOKUP($C173,REV!$C:$AA,15,0)-'TRADE IN'!$F182=0,"",(VLOOKUP($C173,REV!$C:$AA,15,0)-'TRADE IN'!$F173))</f>
        <v>8699</v>
      </c>
      <c r="R173" s="46">
        <f>IF(VLOOKUP($C173,REV!$C:$AA,16,0)-'TRADE IN'!$F182=0,"",(VLOOKUP($C173,REV!$C:$AA,16,0)-'TRADE IN'!$F173))</f>
        <v>9599</v>
      </c>
      <c r="S173" s="46">
        <f>IF(VLOOKUP($C173,REV!$C:$AA,17,0)-'TRADE IN'!$F182=0,"",(VLOOKUP($C173,REV!$C:$AA,17,0)-'TRADE IN'!$F173))</f>
        <v>9499</v>
      </c>
      <c r="T173" s="46">
        <f>IF(VLOOKUP($C173,REV!$C:$AA,18,0)-'TRADE IN'!$F182=0,"",(VLOOKUP($C173,REV!$C:$AA,18,0)-'TRADE IN'!$F173))</f>
        <v>8699</v>
      </c>
      <c r="U173" s="46">
        <f>IF(VLOOKUP($C173,REV!$C:$AA,19,0)-'TRADE IN'!$F182=0,"",(VLOOKUP($C173,REV!$C:$AA,19,0)-'TRADE IN'!$F173))</f>
        <v>8699</v>
      </c>
      <c r="V173" s="46">
        <f>IF(VLOOKUP($C173,REV!$C:$AA,20,0)-'TRADE IN'!$F182=0,"",(VLOOKUP($C173,REV!$C:$AA,20,0)-'TRADE IN'!$F173))</f>
        <v>8399</v>
      </c>
      <c r="W173" s="46">
        <f>IF(VLOOKUP($C173,REV!$C:$AA,21,0)-'TRADE IN'!$F182=0,"",(VLOOKUP($C173,REV!$C:$AA,21,0)-'TRADE IN'!$F173))</f>
        <v>8399</v>
      </c>
      <c r="X173" s="46">
        <f>IF(VLOOKUP($C173,REV!$C:$AA,22,0)-'TRADE IN'!$F182=0,"",(VLOOKUP($C173,REV!$C:$AA,22,0)-'TRADE IN'!$F173))</f>
        <v>8399</v>
      </c>
      <c r="Y173" s="46">
        <f>IF(VLOOKUP($C173,REV!$C:$AA,23,0)-'TRADE IN'!$F182=0,"",(VLOOKUP($C173,REV!$C:$AA,23,0)-'TRADE IN'!$F173))</f>
        <v>8199</v>
      </c>
      <c r="Z173" s="46">
        <f>IF(VLOOKUP($C173,REV!$C:$AA,24,0)-'TRADE IN'!$F182=0,"",(VLOOKUP($C173,REV!$C:$AA,24,0)-'TRADE IN'!$F173))</f>
        <v>8199</v>
      </c>
      <c r="AA173" s="46">
        <f>IF(VLOOKUP($C173,REV!$C:$AA,25,0)-'TRADE IN'!$F182=0,"",(VLOOKUP($C173,REV!$C:$AA,25,0)-'TRADE IN'!$F173))</f>
        <v>8199</v>
      </c>
      <c r="AB173" s="46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tr">
        <f>IF(REV!AW173=0,"",REV!AW173)</f>
        <v>31.03.2026</v>
      </c>
      <c r="AX173" s="159" t="s">
        <v>82</v>
      </c>
    </row>
    <row r="174" spans="1:50" ht="22.5" customHeight="1">
      <c r="A174" s="52" t="s">
        <v>70</v>
      </c>
      <c r="B174" s="41" t="s">
        <v>62</v>
      </c>
      <c r="C174" s="42">
        <v>4016508</v>
      </c>
      <c r="D174" s="43" t="s">
        <v>251</v>
      </c>
      <c r="E174" s="43" t="s">
        <v>254</v>
      </c>
      <c r="F174" s="45"/>
      <c r="G174" s="45"/>
      <c r="H174" s="46"/>
      <c r="I174" s="46"/>
      <c r="J174" s="46">
        <f>IF(VLOOKUP($C174,REV!$C:$AA,8,0)-'TRADE IN'!$F174=0,"",(VLOOKUP($C174,REV!$C:$AA,8,0)-'TRADE IN'!$F174))</f>
        <v>9699</v>
      </c>
      <c r="K174" s="46">
        <f>IF(VLOOKUP($C174,REV!$C:$AA,9,0)-'TRADE IN'!$F174=0,"",(VLOOKUP($C174,REV!$C:$AA,9,0)-'TRADE IN'!$F174))</f>
        <v>9699</v>
      </c>
      <c r="L174" s="46">
        <f>IF(VLOOKUP($C174,REV!$C:$AA,10,0)-'TRADE IN'!$F183=0,"",(VLOOKUP($C174,REV!$C:$AA,10,0)-'TRADE IN'!$F174))</f>
        <v>9699</v>
      </c>
      <c r="M174" s="46">
        <f>IF(VLOOKUP($C174,REV!$C:$AA,11,0)-'TRADE IN'!$F183=0,"",(VLOOKUP($C174,REV!$C:$AA,11,0)-'TRADE IN'!$F174))</f>
        <v>9699</v>
      </c>
      <c r="N174" s="46">
        <f>IF(VLOOKUP($C174,REV!$C:$AA,12,0)-'TRADE IN'!$F183=0,"",(VLOOKUP($C174,REV!$C:$AA,12,0)-'TRADE IN'!$F174))</f>
        <v>9699</v>
      </c>
      <c r="O174" s="46">
        <f>IF(VLOOKUP($C174,REV!$C:$AA,13,0)-'TRADE IN'!$F183=0,"",(VLOOKUP($C174,REV!$C:$AA,13,0)-'TRADE IN'!$F174))</f>
        <v>9599</v>
      </c>
      <c r="P174" s="46">
        <f>IF(VLOOKUP($C174,REV!$C:$AA,14,0)-'TRADE IN'!$F183=0,"",(VLOOKUP($C174,REV!$C:$AA,14,0)-'TRADE IN'!$F174))</f>
        <v>9499</v>
      </c>
      <c r="Q174" s="46">
        <f>IF(VLOOKUP($C174,REV!$C:$AA,15,0)-'TRADE IN'!$F183=0,"",(VLOOKUP($C174,REV!$C:$AA,15,0)-'TRADE IN'!$F174))</f>
        <v>8699</v>
      </c>
      <c r="R174" s="46">
        <f>IF(VLOOKUP($C174,REV!$C:$AA,16,0)-'TRADE IN'!$F183=0,"",(VLOOKUP($C174,REV!$C:$AA,16,0)-'TRADE IN'!$F174))</f>
        <v>9599</v>
      </c>
      <c r="S174" s="46">
        <f>IF(VLOOKUP($C174,REV!$C:$AA,17,0)-'TRADE IN'!$F183=0,"",(VLOOKUP($C174,REV!$C:$AA,17,0)-'TRADE IN'!$F174))</f>
        <v>9499</v>
      </c>
      <c r="T174" s="46">
        <f>IF(VLOOKUP($C174,REV!$C:$AA,18,0)-'TRADE IN'!$F183=0,"",(VLOOKUP($C174,REV!$C:$AA,18,0)-'TRADE IN'!$F174))</f>
        <v>8699</v>
      </c>
      <c r="U174" s="46">
        <f>IF(VLOOKUP($C174,REV!$C:$AA,19,0)-'TRADE IN'!$F183=0,"",(VLOOKUP($C174,REV!$C:$AA,19,0)-'TRADE IN'!$F174))</f>
        <v>8699</v>
      </c>
      <c r="V174" s="46">
        <f>IF(VLOOKUP($C174,REV!$C:$AA,20,0)-'TRADE IN'!$F183=0,"",(VLOOKUP($C174,REV!$C:$AA,20,0)-'TRADE IN'!$F174))</f>
        <v>8399</v>
      </c>
      <c r="W174" s="46">
        <f>IF(VLOOKUP($C174,REV!$C:$AA,21,0)-'TRADE IN'!$F183=0,"",(VLOOKUP($C174,REV!$C:$AA,21,0)-'TRADE IN'!$F174))</f>
        <v>8399</v>
      </c>
      <c r="X174" s="46">
        <f>IF(VLOOKUP($C174,REV!$C:$AA,22,0)-'TRADE IN'!$F183=0,"",(VLOOKUP($C174,REV!$C:$AA,22,0)-'TRADE IN'!$F174))</f>
        <v>8399</v>
      </c>
      <c r="Y174" s="46">
        <f>IF(VLOOKUP($C174,REV!$C:$AA,23,0)-'TRADE IN'!$F183=0,"",(VLOOKUP($C174,REV!$C:$AA,23,0)-'TRADE IN'!$F174))</f>
        <v>8199</v>
      </c>
      <c r="Z174" s="46">
        <f>IF(VLOOKUP($C174,REV!$C:$AA,24,0)-'TRADE IN'!$F183=0,"",(VLOOKUP($C174,REV!$C:$AA,24,0)-'TRADE IN'!$F174))</f>
        <v>8199</v>
      </c>
      <c r="AA174" s="46">
        <f>IF(VLOOKUP($C174,REV!$C:$AA,25,0)-'TRADE IN'!$F183=0,"",(VLOOKUP($C174,REV!$C:$AA,25,0)-'TRADE IN'!$F174))</f>
        <v>8199</v>
      </c>
      <c r="AB174" s="46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tr">
        <f>IF(REV!AW174=0,"",REV!AW174)</f>
        <v>31.03.2026</v>
      </c>
      <c r="AX174" s="159" t="s">
        <v>82</v>
      </c>
    </row>
    <row r="175" spans="1:50" ht="22.5" customHeight="1">
      <c r="A175" s="52" t="s">
        <v>70</v>
      </c>
      <c r="B175" s="41" t="s">
        <v>62</v>
      </c>
      <c r="C175" s="42">
        <v>4016507</v>
      </c>
      <c r="D175" s="43" t="s">
        <v>251</v>
      </c>
      <c r="E175" s="43" t="s">
        <v>255</v>
      </c>
      <c r="F175" s="45"/>
      <c r="G175" s="45"/>
      <c r="H175" s="46"/>
      <c r="I175" s="46"/>
      <c r="J175" s="46">
        <f>IF(VLOOKUP($C175,REV!$C:$AA,8,0)-'TRADE IN'!$F175=0,"",(VLOOKUP($C175,REV!$C:$AA,8,0)-'TRADE IN'!$F175))</f>
        <v>9699</v>
      </c>
      <c r="K175" s="46">
        <f>IF(VLOOKUP($C175,REV!$C:$AA,9,0)-'TRADE IN'!$F175=0,"",(VLOOKUP($C175,REV!$C:$AA,9,0)-'TRADE IN'!$F175))</f>
        <v>9699</v>
      </c>
      <c r="L175" s="46">
        <f>IF(VLOOKUP($C175,REV!$C:$AA,10,0)-'TRADE IN'!$F184=0,"",(VLOOKUP($C175,REV!$C:$AA,10,0)-'TRADE IN'!$F175))</f>
        <v>9699</v>
      </c>
      <c r="M175" s="46">
        <f>IF(VLOOKUP($C175,REV!$C:$AA,11,0)-'TRADE IN'!$F184=0,"",(VLOOKUP($C175,REV!$C:$AA,11,0)-'TRADE IN'!$F175))</f>
        <v>9699</v>
      </c>
      <c r="N175" s="46">
        <f>IF(VLOOKUP($C175,REV!$C:$AA,12,0)-'TRADE IN'!$F184=0,"",(VLOOKUP($C175,REV!$C:$AA,12,0)-'TRADE IN'!$F175))</f>
        <v>9699</v>
      </c>
      <c r="O175" s="46">
        <f>IF(VLOOKUP($C175,REV!$C:$AA,13,0)-'TRADE IN'!$F184=0,"",(VLOOKUP($C175,REV!$C:$AA,13,0)-'TRADE IN'!$F175))</f>
        <v>9599</v>
      </c>
      <c r="P175" s="46">
        <f>IF(VLOOKUP($C175,REV!$C:$AA,14,0)-'TRADE IN'!$F184=0,"",(VLOOKUP($C175,REV!$C:$AA,14,0)-'TRADE IN'!$F175))</f>
        <v>9499</v>
      </c>
      <c r="Q175" s="46">
        <f>IF(VLOOKUP($C175,REV!$C:$AA,15,0)-'TRADE IN'!$F184=0,"",(VLOOKUP($C175,REV!$C:$AA,15,0)-'TRADE IN'!$F175))</f>
        <v>8699</v>
      </c>
      <c r="R175" s="46">
        <f>IF(VLOOKUP($C175,REV!$C:$AA,16,0)-'TRADE IN'!$F184=0,"",(VLOOKUP($C175,REV!$C:$AA,16,0)-'TRADE IN'!$F175))</f>
        <v>9599</v>
      </c>
      <c r="S175" s="46">
        <f>IF(VLOOKUP($C175,REV!$C:$AA,17,0)-'TRADE IN'!$F184=0,"",(VLOOKUP($C175,REV!$C:$AA,17,0)-'TRADE IN'!$F175))</f>
        <v>9499</v>
      </c>
      <c r="T175" s="46">
        <f>IF(VLOOKUP($C175,REV!$C:$AA,18,0)-'TRADE IN'!$F184=0,"",(VLOOKUP($C175,REV!$C:$AA,18,0)-'TRADE IN'!$F175))</f>
        <v>8699</v>
      </c>
      <c r="U175" s="46">
        <f>IF(VLOOKUP($C175,REV!$C:$AA,19,0)-'TRADE IN'!$F184=0,"",(VLOOKUP($C175,REV!$C:$AA,19,0)-'TRADE IN'!$F175))</f>
        <v>8699</v>
      </c>
      <c r="V175" s="46">
        <f>IF(VLOOKUP($C175,REV!$C:$AA,20,0)-'TRADE IN'!$F184=0,"",(VLOOKUP($C175,REV!$C:$AA,20,0)-'TRADE IN'!$F175))</f>
        <v>8399</v>
      </c>
      <c r="W175" s="46">
        <f>IF(VLOOKUP($C175,REV!$C:$AA,21,0)-'TRADE IN'!$F184=0,"",(VLOOKUP($C175,REV!$C:$AA,21,0)-'TRADE IN'!$F175))</f>
        <v>8399</v>
      </c>
      <c r="X175" s="46">
        <f>IF(VLOOKUP($C175,REV!$C:$AA,22,0)-'TRADE IN'!$F184=0,"",(VLOOKUP($C175,REV!$C:$AA,22,0)-'TRADE IN'!$F175))</f>
        <v>8399</v>
      </c>
      <c r="Y175" s="46">
        <f>IF(VLOOKUP($C175,REV!$C:$AA,23,0)-'TRADE IN'!$F184=0,"",(VLOOKUP($C175,REV!$C:$AA,23,0)-'TRADE IN'!$F175))</f>
        <v>8199</v>
      </c>
      <c r="Z175" s="46">
        <f>IF(VLOOKUP($C175,REV!$C:$AA,24,0)-'TRADE IN'!$F184=0,"",(VLOOKUP($C175,REV!$C:$AA,24,0)-'TRADE IN'!$F175))</f>
        <v>8199</v>
      </c>
      <c r="AA175" s="46">
        <f>IF(VLOOKUP($C175,REV!$C:$AA,25,0)-'TRADE IN'!$F184=0,"",(VLOOKUP($C175,REV!$C:$AA,25,0)-'TRADE IN'!$F175))</f>
        <v>8199</v>
      </c>
      <c r="AB175" s="46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tr">
        <f>IF(REV!AW175=0,"",REV!AW175)</f>
        <v>31.03.2026</v>
      </c>
      <c r="AX175" s="159" t="s">
        <v>82</v>
      </c>
    </row>
    <row r="176" spans="1:50" ht="22.5" customHeight="1">
      <c r="A176" s="52" t="s">
        <v>70</v>
      </c>
      <c r="B176" s="41" t="s">
        <v>62</v>
      </c>
      <c r="C176" s="42">
        <v>4016598</v>
      </c>
      <c r="D176" s="43" t="s">
        <v>256</v>
      </c>
      <c r="E176" s="43" t="s">
        <v>257</v>
      </c>
      <c r="F176" s="45"/>
      <c r="G176" s="45"/>
      <c r="H176" s="46"/>
      <c r="I176" s="46"/>
      <c r="J176" s="46">
        <f>IF(VLOOKUP($C176,REV!$C:$AA,8,0)-'TRADE IN'!$F176=0,"",(VLOOKUP($C176,REV!$C:$AA,8,0)-'TRADE IN'!$F176))</f>
        <v>11799</v>
      </c>
      <c r="K176" s="46">
        <f>IF(VLOOKUP($C176,REV!$C:$AA,9,0)-'TRADE IN'!$F176=0,"",(VLOOKUP($C176,REV!$C:$AA,9,0)-'TRADE IN'!$F176))</f>
        <v>11799</v>
      </c>
      <c r="L176" s="46">
        <f>IF(VLOOKUP($C176,REV!$C:$AA,10,0)-'TRADE IN'!$F185=0,"",(VLOOKUP($C176,REV!$C:$AA,10,0)-'TRADE IN'!$F176))</f>
        <v>11799</v>
      </c>
      <c r="M176" s="46">
        <f>IF(VLOOKUP($C176,REV!$C:$AA,11,0)-'TRADE IN'!$F185=0,"",(VLOOKUP($C176,REV!$C:$AA,11,0)-'TRADE IN'!$F176))</f>
        <v>11799</v>
      </c>
      <c r="N176" s="46">
        <f>IF(VLOOKUP($C176,REV!$C:$AA,12,0)-'TRADE IN'!$F185=0,"",(VLOOKUP($C176,REV!$C:$AA,12,0)-'TRADE IN'!$F176))</f>
        <v>11799</v>
      </c>
      <c r="O176" s="46">
        <f>IF(VLOOKUP($C176,REV!$C:$AA,13,0)-'TRADE IN'!$F185=0,"",(VLOOKUP($C176,REV!$C:$AA,13,0)-'TRADE IN'!$F176))</f>
        <v>11699</v>
      </c>
      <c r="P176" s="46">
        <f>IF(VLOOKUP($C176,REV!$C:$AA,14,0)-'TRADE IN'!$F185=0,"",(VLOOKUP($C176,REV!$C:$AA,14,0)-'TRADE IN'!$F176))</f>
        <v>11599</v>
      </c>
      <c r="Q176" s="46">
        <f>IF(VLOOKUP($C176,REV!$C:$AA,15,0)-'TRADE IN'!$F185=0,"",(VLOOKUP($C176,REV!$C:$AA,15,0)-'TRADE IN'!$F176))</f>
        <v>10799</v>
      </c>
      <c r="R176" s="46">
        <f>IF(VLOOKUP($C176,REV!$C:$AA,16,0)-'TRADE IN'!$F185=0,"",(VLOOKUP($C176,REV!$C:$AA,16,0)-'TRADE IN'!$F176))</f>
        <v>11699</v>
      </c>
      <c r="S176" s="46">
        <f>IF(VLOOKUP($C176,REV!$C:$AA,17,0)-'TRADE IN'!$F185=0,"",(VLOOKUP($C176,REV!$C:$AA,17,0)-'TRADE IN'!$F176))</f>
        <v>11599</v>
      </c>
      <c r="T176" s="46">
        <f>IF(VLOOKUP($C176,REV!$C:$AA,18,0)-'TRADE IN'!$F185=0,"",(VLOOKUP($C176,REV!$C:$AA,18,0)-'TRADE IN'!$F176))</f>
        <v>10799</v>
      </c>
      <c r="U176" s="46">
        <f>IF(VLOOKUP($C176,REV!$C:$AA,19,0)-'TRADE IN'!$F185=0,"",(VLOOKUP($C176,REV!$C:$AA,19,0)-'TRADE IN'!$F176))</f>
        <v>10799</v>
      </c>
      <c r="V176" s="46">
        <f>IF(VLOOKUP($C176,REV!$C:$AA,20,0)-'TRADE IN'!$F185=0,"",(VLOOKUP($C176,REV!$C:$AA,20,0)-'TRADE IN'!$F176))</f>
        <v>10799</v>
      </c>
      <c r="W176" s="46">
        <f>IF(VLOOKUP($C176,REV!$C:$AA,21,0)-'TRADE IN'!$F185=0,"",(VLOOKUP($C176,REV!$C:$AA,21,0)-'TRADE IN'!$F176))</f>
        <v>10699</v>
      </c>
      <c r="X176" s="46">
        <f>IF(VLOOKUP($C176,REV!$C:$AA,22,0)-'TRADE IN'!$F185=0,"",(VLOOKUP($C176,REV!$C:$AA,22,0)-'TRADE IN'!$F176))</f>
        <v>10699</v>
      </c>
      <c r="Y176" s="46">
        <f>IF(VLOOKUP($C176,REV!$C:$AA,23,0)-'TRADE IN'!$F185=0,"",(VLOOKUP($C176,REV!$C:$AA,23,0)-'TRADE IN'!$F176))</f>
        <v>9699</v>
      </c>
      <c r="Z176" s="46">
        <f>IF(VLOOKUP($C176,REV!$C:$AA,24,0)-'TRADE IN'!$F185=0,"",(VLOOKUP($C176,REV!$C:$AA,24,0)-'TRADE IN'!$F176))</f>
        <v>9599</v>
      </c>
      <c r="AA176" s="46">
        <f>IF(VLOOKUP($C176,REV!$C:$AA,25,0)-'TRADE IN'!$F185=0,"",(VLOOKUP($C176,REV!$C:$AA,25,0)-'TRADE IN'!$F176))</f>
        <v>9599</v>
      </c>
      <c r="AB176" s="46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tr">
        <f>IF(REV!AW176=0,"",REV!AW176)</f>
        <v>31.03.2026</v>
      </c>
      <c r="AX176" s="159" t="s">
        <v>82</v>
      </c>
    </row>
    <row r="177" spans="1:50" ht="22.5" customHeight="1">
      <c r="A177" s="52" t="s">
        <v>70</v>
      </c>
      <c r="B177" s="41" t="s">
        <v>62</v>
      </c>
      <c r="C177" s="42">
        <v>4016606</v>
      </c>
      <c r="D177" s="43" t="s">
        <v>258</v>
      </c>
      <c r="E177" s="43" t="s">
        <v>259</v>
      </c>
      <c r="F177" s="45"/>
      <c r="G177" s="45"/>
      <c r="H177" s="46"/>
      <c r="I177" s="46"/>
      <c r="J177" s="46">
        <f>IF(VLOOKUP($C177,REV!$C:$AA,8,0)-'TRADE IN'!$F177=0,"",(VLOOKUP($C177,REV!$C:$AA,8,0)-'TRADE IN'!$F177))</f>
        <v>10899</v>
      </c>
      <c r="K177" s="46">
        <f>IF(VLOOKUP($C177,REV!$C:$AA,9,0)-'TRADE IN'!$F177=0,"",(VLOOKUP($C177,REV!$C:$AA,9,0)-'TRADE IN'!$F177))</f>
        <v>10899</v>
      </c>
      <c r="L177" s="46">
        <f>IF(VLOOKUP($C177,REV!$C:$AA,10,0)-'TRADE IN'!$F186=0,"",(VLOOKUP($C177,REV!$C:$AA,10,0)-'TRADE IN'!$F177))</f>
        <v>10899</v>
      </c>
      <c r="M177" s="46">
        <f>IF(VLOOKUP($C177,REV!$C:$AA,11,0)-'TRADE IN'!$F186=0,"",(VLOOKUP($C177,REV!$C:$AA,11,0)-'TRADE IN'!$F177))</f>
        <v>10899</v>
      </c>
      <c r="N177" s="46">
        <f>IF(VLOOKUP($C177,REV!$C:$AA,12,0)-'TRADE IN'!$F186=0,"",(VLOOKUP($C177,REV!$C:$AA,12,0)-'TRADE IN'!$F177))</f>
        <v>10899</v>
      </c>
      <c r="O177" s="46">
        <f>IF(VLOOKUP($C177,REV!$C:$AA,13,0)-'TRADE IN'!$F186=0,"",(VLOOKUP($C177,REV!$C:$AA,13,0)-'TRADE IN'!$F177))</f>
        <v>10599</v>
      </c>
      <c r="P177" s="46">
        <f>IF(VLOOKUP($C177,REV!$C:$AA,14,0)-'TRADE IN'!$F186=0,"",(VLOOKUP($C177,REV!$C:$AA,14,0)-'TRADE IN'!$F177))</f>
        <v>10499</v>
      </c>
      <c r="Q177" s="46">
        <f>IF(VLOOKUP($C177,REV!$C:$AA,15,0)-'TRADE IN'!$F186=0,"",(VLOOKUP($C177,REV!$C:$AA,15,0)-'TRADE IN'!$F177))</f>
        <v>9799</v>
      </c>
      <c r="R177" s="46">
        <f>IF(VLOOKUP($C177,REV!$C:$AA,16,0)-'TRADE IN'!$F186=0,"",(VLOOKUP($C177,REV!$C:$AA,16,0)-'TRADE IN'!$F177))</f>
        <v>10599</v>
      </c>
      <c r="S177" s="46">
        <f>IF(VLOOKUP($C177,REV!$C:$AA,17,0)-'TRADE IN'!$F186=0,"",(VLOOKUP($C177,REV!$C:$AA,17,0)-'TRADE IN'!$F177))</f>
        <v>10499</v>
      </c>
      <c r="T177" s="46">
        <f>IF(VLOOKUP($C177,REV!$C:$AA,18,0)-'TRADE IN'!$F186=0,"",(VLOOKUP($C177,REV!$C:$AA,18,0)-'TRADE IN'!$F177))</f>
        <v>9799</v>
      </c>
      <c r="U177" s="46">
        <f>IF(VLOOKUP($C177,REV!$C:$AA,19,0)-'TRADE IN'!$F186=0,"",(VLOOKUP($C177,REV!$C:$AA,19,0)-'TRADE IN'!$F177))</f>
        <v>9799</v>
      </c>
      <c r="V177" s="46">
        <f>IF(VLOOKUP($C177,REV!$C:$AA,20,0)-'TRADE IN'!$F186=0,"",(VLOOKUP($C177,REV!$C:$AA,20,0)-'TRADE IN'!$F177))</f>
        <v>9799</v>
      </c>
      <c r="W177" s="46">
        <f>IF(VLOOKUP($C177,REV!$C:$AA,21,0)-'TRADE IN'!$F186=0,"",(VLOOKUP($C177,REV!$C:$AA,21,0)-'TRADE IN'!$F177))</f>
        <v>9799</v>
      </c>
      <c r="X177" s="46">
        <f>IF(VLOOKUP($C177,REV!$C:$AA,22,0)-'TRADE IN'!$F186=0,"",(VLOOKUP($C177,REV!$C:$AA,22,0)-'TRADE IN'!$F177))</f>
        <v>9599</v>
      </c>
      <c r="Y177" s="46">
        <f>IF(VLOOKUP($C177,REV!$C:$AA,23,0)-'TRADE IN'!$F186=0,"",(VLOOKUP($C177,REV!$C:$AA,23,0)-'TRADE IN'!$F177))</f>
        <v>8999</v>
      </c>
      <c r="Z177" s="46">
        <f>IF(VLOOKUP($C177,REV!$C:$AA,24,0)-'TRADE IN'!$F186=0,"",(VLOOKUP($C177,REV!$C:$AA,24,0)-'TRADE IN'!$F177))</f>
        <v>8999</v>
      </c>
      <c r="AA177" s="46">
        <f>IF(VLOOKUP($C177,REV!$C:$AA,25,0)-'TRADE IN'!$F186=0,"",(VLOOKUP($C177,REV!$C:$AA,25,0)-'TRADE IN'!$F177))</f>
        <v>8999</v>
      </c>
      <c r="AB177" s="46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tr">
        <f>IF(REV!AW177=0,"",REV!AW177)</f>
        <v>31.03.2026</v>
      </c>
      <c r="AX177" s="159" t="s">
        <v>82</v>
      </c>
    </row>
    <row r="178" spans="1:50" ht="22.5" customHeight="1">
      <c r="A178" s="52" t="s">
        <v>70</v>
      </c>
      <c r="B178" s="41" t="s">
        <v>62</v>
      </c>
      <c r="C178" s="42">
        <v>4016618</v>
      </c>
      <c r="D178" s="43" t="s">
        <v>258</v>
      </c>
      <c r="E178" s="43" t="s">
        <v>260</v>
      </c>
      <c r="F178" s="45"/>
      <c r="G178" s="45"/>
      <c r="H178" s="46"/>
      <c r="I178" s="46"/>
      <c r="J178" s="46">
        <f>IF(VLOOKUP($C178,REV!$C:$AA,8,0)-'TRADE IN'!$F178=0,"",(VLOOKUP($C178,REV!$C:$AA,8,0)-'TRADE IN'!$F178))</f>
        <v>10899</v>
      </c>
      <c r="K178" s="46">
        <f>IF(VLOOKUP($C178,REV!$C:$AA,9,0)-'TRADE IN'!$F178=0,"",(VLOOKUP($C178,REV!$C:$AA,9,0)-'TRADE IN'!$F178))</f>
        <v>10899</v>
      </c>
      <c r="L178" s="46">
        <f>IF(VLOOKUP($C178,REV!$C:$AA,10,0)-'TRADE IN'!$F187=0,"",(VLOOKUP($C178,REV!$C:$AA,10,0)-'TRADE IN'!$F178))</f>
        <v>10899</v>
      </c>
      <c r="M178" s="46">
        <f>IF(VLOOKUP($C178,REV!$C:$AA,11,0)-'TRADE IN'!$F187=0,"",(VLOOKUP($C178,REV!$C:$AA,11,0)-'TRADE IN'!$F178))</f>
        <v>10899</v>
      </c>
      <c r="N178" s="46">
        <f>IF(VLOOKUP($C178,REV!$C:$AA,12,0)-'TRADE IN'!$F187=0,"",(VLOOKUP($C178,REV!$C:$AA,12,0)-'TRADE IN'!$F178))</f>
        <v>10899</v>
      </c>
      <c r="O178" s="46">
        <f>IF(VLOOKUP($C178,REV!$C:$AA,13,0)-'TRADE IN'!$F187=0,"",(VLOOKUP($C178,REV!$C:$AA,13,0)-'TRADE IN'!$F178))</f>
        <v>10599</v>
      </c>
      <c r="P178" s="46">
        <f>IF(VLOOKUP($C178,REV!$C:$AA,14,0)-'TRADE IN'!$F187=0,"",(VLOOKUP($C178,REV!$C:$AA,14,0)-'TRADE IN'!$F178))</f>
        <v>10499</v>
      </c>
      <c r="Q178" s="46">
        <f>IF(VLOOKUP($C178,REV!$C:$AA,15,0)-'TRADE IN'!$F187=0,"",(VLOOKUP($C178,REV!$C:$AA,15,0)-'TRADE IN'!$F178))</f>
        <v>9799</v>
      </c>
      <c r="R178" s="46">
        <f>IF(VLOOKUP($C178,REV!$C:$AA,16,0)-'TRADE IN'!$F187=0,"",(VLOOKUP($C178,REV!$C:$AA,16,0)-'TRADE IN'!$F178))</f>
        <v>10599</v>
      </c>
      <c r="S178" s="46">
        <f>IF(VLOOKUP($C178,REV!$C:$AA,17,0)-'TRADE IN'!$F187=0,"",(VLOOKUP($C178,REV!$C:$AA,17,0)-'TRADE IN'!$F178))</f>
        <v>10499</v>
      </c>
      <c r="T178" s="46">
        <f>IF(VLOOKUP($C178,REV!$C:$AA,18,0)-'TRADE IN'!$F187=0,"",(VLOOKUP($C178,REV!$C:$AA,18,0)-'TRADE IN'!$F178))</f>
        <v>9799</v>
      </c>
      <c r="U178" s="46">
        <f>IF(VLOOKUP($C178,REV!$C:$AA,19,0)-'TRADE IN'!$F187=0,"",(VLOOKUP($C178,REV!$C:$AA,19,0)-'TRADE IN'!$F178))</f>
        <v>9799</v>
      </c>
      <c r="V178" s="46">
        <f>IF(VLOOKUP($C178,REV!$C:$AA,20,0)-'TRADE IN'!$F187=0,"",(VLOOKUP($C178,REV!$C:$AA,20,0)-'TRADE IN'!$F178))</f>
        <v>9799</v>
      </c>
      <c r="W178" s="46">
        <f>IF(VLOOKUP($C178,REV!$C:$AA,21,0)-'TRADE IN'!$F187=0,"",(VLOOKUP($C178,REV!$C:$AA,21,0)-'TRADE IN'!$F178))</f>
        <v>9799</v>
      </c>
      <c r="X178" s="46">
        <f>IF(VLOOKUP($C178,REV!$C:$AA,22,0)-'TRADE IN'!$F187=0,"",(VLOOKUP($C178,REV!$C:$AA,22,0)-'TRADE IN'!$F178))</f>
        <v>9599</v>
      </c>
      <c r="Y178" s="46">
        <f>IF(VLOOKUP($C178,REV!$C:$AA,23,0)-'TRADE IN'!$F187=0,"",(VLOOKUP($C178,REV!$C:$AA,23,0)-'TRADE IN'!$F178))</f>
        <v>8999</v>
      </c>
      <c r="Z178" s="46">
        <f>IF(VLOOKUP($C178,REV!$C:$AA,24,0)-'TRADE IN'!$F187=0,"",(VLOOKUP($C178,REV!$C:$AA,24,0)-'TRADE IN'!$F178))</f>
        <v>8999</v>
      </c>
      <c r="AA178" s="46">
        <f>IF(VLOOKUP($C178,REV!$C:$AA,25,0)-'TRADE IN'!$F187=0,"",(VLOOKUP($C178,REV!$C:$AA,25,0)-'TRADE IN'!$F178))</f>
        <v>8999</v>
      </c>
      <c r="AB178" s="46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tr">
        <f>IF(REV!AW178=0,"",REV!AW178)</f>
        <v>31.03.2026</v>
      </c>
      <c r="AX178" s="159" t="s">
        <v>82</v>
      </c>
    </row>
    <row r="179" spans="1:50" ht="22.5" customHeight="1">
      <c r="A179" s="52" t="s">
        <v>70</v>
      </c>
      <c r="B179" s="41" t="s">
        <v>62</v>
      </c>
      <c r="C179" s="42">
        <v>4016617</v>
      </c>
      <c r="D179" s="43" t="s">
        <v>258</v>
      </c>
      <c r="E179" s="43" t="s">
        <v>261</v>
      </c>
      <c r="F179" s="45"/>
      <c r="G179" s="45"/>
      <c r="H179" s="46"/>
      <c r="I179" s="46"/>
      <c r="J179" s="46">
        <f>IF(VLOOKUP($C179,REV!$C:$AA,8,0)-'TRADE IN'!$F179=0,"",(VLOOKUP($C179,REV!$C:$AA,8,0)-'TRADE IN'!$F179))</f>
        <v>10899</v>
      </c>
      <c r="K179" s="46">
        <f>IF(VLOOKUP($C179,REV!$C:$AA,9,0)-'TRADE IN'!$F179=0,"",(VLOOKUP($C179,REV!$C:$AA,9,0)-'TRADE IN'!$F179))</f>
        <v>10899</v>
      </c>
      <c r="L179" s="46">
        <f>IF(VLOOKUP($C179,REV!$C:$AA,10,0)-'TRADE IN'!$F188=0,"",(VLOOKUP($C179,REV!$C:$AA,10,0)-'TRADE IN'!$F179))</f>
        <v>10899</v>
      </c>
      <c r="M179" s="46">
        <f>IF(VLOOKUP($C179,REV!$C:$AA,11,0)-'TRADE IN'!$F188=0,"",(VLOOKUP($C179,REV!$C:$AA,11,0)-'TRADE IN'!$F179))</f>
        <v>10899</v>
      </c>
      <c r="N179" s="46">
        <f>IF(VLOOKUP($C179,REV!$C:$AA,12,0)-'TRADE IN'!$F188=0,"",(VLOOKUP($C179,REV!$C:$AA,12,0)-'TRADE IN'!$F179))</f>
        <v>10899</v>
      </c>
      <c r="O179" s="46">
        <f>IF(VLOOKUP($C179,REV!$C:$AA,13,0)-'TRADE IN'!$F188=0,"",(VLOOKUP($C179,REV!$C:$AA,13,0)-'TRADE IN'!$F179))</f>
        <v>10599</v>
      </c>
      <c r="P179" s="46">
        <f>IF(VLOOKUP($C179,REV!$C:$AA,14,0)-'TRADE IN'!$F188=0,"",(VLOOKUP($C179,REV!$C:$AA,14,0)-'TRADE IN'!$F179))</f>
        <v>10499</v>
      </c>
      <c r="Q179" s="46">
        <f>IF(VLOOKUP($C179,REV!$C:$AA,15,0)-'TRADE IN'!$F188=0,"",(VLOOKUP($C179,REV!$C:$AA,15,0)-'TRADE IN'!$F179))</f>
        <v>9799</v>
      </c>
      <c r="R179" s="46">
        <f>IF(VLOOKUP($C179,REV!$C:$AA,16,0)-'TRADE IN'!$F188=0,"",(VLOOKUP($C179,REV!$C:$AA,16,0)-'TRADE IN'!$F179))</f>
        <v>10599</v>
      </c>
      <c r="S179" s="46">
        <f>IF(VLOOKUP($C179,REV!$C:$AA,17,0)-'TRADE IN'!$F188=0,"",(VLOOKUP($C179,REV!$C:$AA,17,0)-'TRADE IN'!$F179))</f>
        <v>10499</v>
      </c>
      <c r="T179" s="46">
        <f>IF(VLOOKUP($C179,REV!$C:$AA,18,0)-'TRADE IN'!$F188=0,"",(VLOOKUP($C179,REV!$C:$AA,18,0)-'TRADE IN'!$F179))</f>
        <v>9799</v>
      </c>
      <c r="U179" s="46">
        <f>IF(VLOOKUP($C179,REV!$C:$AA,19,0)-'TRADE IN'!$F188=0,"",(VLOOKUP($C179,REV!$C:$AA,19,0)-'TRADE IN'!$F179))</f>
        <v>9799</v>
      </c>
      <c r="V179" s="46">
        <f>IF(VLOOKUP($C179,REV!$C:$AA,20,0)-'TRADE IN'!$F188=0,"",(VLOOKUP($C179,REV!$C:$AA,20,0)-'TRADE IN'!$F179))</f>
        <v>9799</v>
      </c>
      <c r="W179" s="46">
        <f>IF(VLOOKUP($C179,REV!$C:$AA,21,0)-'TRADE IN'!$F188=0,"",(VLOOKUP($C179,REV!$C:$AA,21,0)-'TRADE IN'!$F179))</f>
        <v>9799</v>
      </c>
      <c r="X179" s="46">
        <f>IF(VLOOKUP($C179,REV!$C:$AA,22,0)-'TRADE IN'!$F188=0,"",(VLOOKUP($C179,REV!$C:$AA,22,0)-'TRADE IN'!$F179))</f>
        <v>9599</v>
      </c>
      <c r="Y179" s="46">
        <f>IF(VLOOKUP($C179,REV!$C:$AA,23,0)-'TRADE IN'!$F188=0,"",(VLOOKUP($C179,REV!$C:$AA,23,0)-'TRADE IN'!$F179))</f>
        <v>8999</v>
      </c>
      <c r="Z179" s="46">
        <f>IF(VLOOKUP($C179,REV!$C:$AA,24,0)-'TRADE IN'!$F188=0,"",(VLOOKUP($C179,REV!$C:$AA,24,0)-'TRADE IN'!$F179))</f>
        <v>8999</v>
      </c>
      <c r="AA179" s="46">
        <f>IF(VLOOKUP($C179,REV!$C:$AA,25,0)-'TRADE IN'!$F188=0,"",(VLOOKUP($C179,REV!$C:$AA,25,0)-'TRADE IN'!$F179))</f>
        <v>8999</v>
      </c>
      <c r="AB179" s="46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tr">
        <f>IF(REV!AW179=0,"",REV!AW179)</f>
        <v>31.03.2026</v>
      </c>
      <c r="AX179" s="159" t="s">
        <v>82</v>
      </c>
    </row>
    <row r="180" spans="1:50" ht="22.5" customHeight="1">
      <c r="A180" s="52" t="s">
        <v>70</v>
      </c>
      <c r="B180" s="41" t="s">
        <v>62</v>
      </c>
      <c r="C180" s="42">
        <v>4016605</v>
      </c>
      <c r="D180" s="43" t="s">
        <v>258</v>
      </c>
      <c r="E180" s="43" t="s">
        <v>262</v>
      </c>
      <c r="F180" s="45"/>
      <c r="G180" s="45"/>
      <c r="H180" s="46"/>
      <c r="I180" s="46"/>
      <c r="J180" s="46">
        <f>IF(VLOOKUP($C180,REV!$C:$AA,8,0)-'TRADE IN'!$F180=0,"",(VLOOKUP($C180,REV!$C:$AA,8,0)-'TRADE IN'!$F180))</f>
        <v>10899</v>
      </c>
      <c r="K180" s="46">
        <f>IF(VLOOKUP($C180,REV!$C:$AA,9,0)-'TRADE IN'!$F180=0,"",(VLOOKUP($C180,REV!$C:$AA,9,0)-'TRADE IN'!$F180))</f>
        <v>10899</v>
      </c>
      <c r="L180" s="46">
        <f>IF(VLOOKUP($C180,REV!$C:$AA,10,0)-'TRADE IN'!$F189=0,"",(VLOOKUP($C180,REV!$C:$AA,10,0)-'TRADE IN'!$F180))</f>
        <v>10899</v>
      </c>
      <c r="M180" s="46">
        <f>IF(VLOOKUP($C180,REV!$C:$AA,11,0)-'TRADE IN'!$F189=0,"",(VLOOKUP($C180,REV!$C:$AA,11,0)-'TRADE IN'!$F180))</f>
        <v>10899</v>
      </c>
      <c r="N180" s="46">
        <f>IF(VLOOKUP($C180,REV!$C:$AA,12,0)-'TRADE IN'!$F189=0,"",(VLOOKUP($C180,REV!$C:$AA,12,0)-'TRADE IN'!$F180))</f>
        <v>10899</v>
      </c>
      <c r="O180" s="46">
        <f>IF(VLOOKUP($C180,REV!$C:$AA,13,0)-'TRADE IN'!$F189=0,"",(VLOOKUP($C180,REV!$C:$AA,13,0)-'TRADE IN'!$F180))</f>
        <v>10599</v>
      </c>
      <c r="P180" s="46">
        <f>IF(VLOOKUP($C180,REV!$C:$AA,14,0)-'TRADE IN'!$F189=0,"",(VLOOKUP($C180,REV!$C:$AA,14,0)-'TRADE IN'!$F180))</f>
        <v>10499</v>
      </c>
      <c r="Q180" s="46">
        <f>IF(VLOOKUP($C180,REV!$C:$AA,15,0)-'TRADE IN'!$F189=0,"",(VLOOKUP($C180,REV!$C:$AA,15,0)-'TRADE IN'!$F180))</f>
        <v>9799</v>
      </c>
      <c r="R180" s="46">
        <f>IF(VLOOKUP($C180,REV!$C:$AA,16,0)-'TRADE IN'!$F189=0,"",(VLOOKUP($C180,REV!$C:$AA,16,0)-'TRADE IN'!$F180))</f>
        <v>10599</v>
      </c>
      <c r="S180" s="46">
        <f>IF(VLOOKUP($C180,REV!$C:$AA,17,0)-'TRADE IN'!$F189=0,"",(VLOOKUP($C180,REV!$C:$AA,17,0)-'TRADE IN'!$F180))</f>
        <v>10499</v>
      </c>
      <c r="T180" s="46">
        <f>IF(VLOOKUP($C180,REV!$C:$AA,18,0)-'TRADE IN'!$F189=0,"",(VLOOKUP($C180,REV!$C:$AA,18,0)-'TRADE IN'!$F180))</f>
        <v>9799</v>
      </c>
      <c r="U180" s="46">
        <f>IF(VLOOKUP($C180,REV!$C:$AA,19,0)-'TRADE IN'!$F189=0,"",(VLOOKUP($C180,REV!$C:$AA,19,0)-'TRADE IN'!$F180))</f>
        <v>9799</v>
      </c>
      <c r="V180" s="46">
        <f>IF(VLOOKUP($C180,REV!$C:$AA,20,0)-'TRADE IN'!$F189=0,"",(VLOOKUP($C180,REV!$C:$AA,20,0)-'TRADE IN'!$F180))</f>
        <v>9799</v>
      </c>
      <c r="W180" s="46">
        <f>IF(VLOOKUP($C180,REV!$C:$AA,21,0)-'TRADE IN'!$F189=0,"",(VLOOKUP($C180,REV!$C:$AA,21,0)-'TRADE IN'!$F180))</f>
        <v>9799</v>
      </c>
      <c r="X180" s="46">
        <f>IF(VLOOKUP($C180,REV!$C:$AA,22,0)-'TRADE IN'!$F189=0,"",(VLOOKUP($C180,REV!$C:$AA,22,0)-'TRADE IN'!$F180))</f>
        <v>9599</v>
      </c>
      <c r="Y180" s="46">
        <f>IF(VLOOKUP($C180,REV!$C:$AA,23,0)-'TRADE IN'!$F189=0,"",(VLOOKUP($C180,REV!$C:$AA,23,0)-'TRADE IN'!$F180))</f>
        <v>8999</v>
      </c>
      <c r="Z180" s="46">
        <f>IF(VLOOKUP($C180,REV!$C:$AA,24,0)-'TRADE IN'!$F189=0,"",(VLOOKUP($C180,REV!$C:$AA,24,0)-'TRADE IN'!$F180))</f>
        <v>8999</v>
      </c>
      <c r="AA180" s="46">
        <f>IF(VLOOKUP($C180,REV!$C:$AA,25,0)-'TRADE IN'!$F189=0,"",(VLOOKUP($C180,REV!$C:$AA,25,0)-'TRADE IN'!$F180))</f>
        <v>8999</v>
      </c>
      <c r="AB180" s="46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tr">
        <f>IF(REV!AW180=0,"",REV!AW180)</f>
        <v>31.03.2026</v>
      </c>
      <c r="AX180" s="159" t="s">
        <v>82</v>
      </c>
    </row>
    <row r="181" spans="1:50" ht="22.5" customHeight="1">
      <c r="A181" s="52" t="s">
        <v>70</v>
      </c>
      <c r="B181" s="41" t="s">
        <v>62</v>
      </c>
      <c r="C181" s="42">
        <v>4016616</v>
      </c>
      <c r="D181" s="43" t="s">
        <v>263</v>
      </c>
      <c r="E181" s="43" t="s">
        <v>264</v>
      </c>
      <c r="F181" s="45"/>
      <c r="G181" s="45"/>
      <c r="H181" s="46"/>
      <c r="I181" s="46"/>
      <c r="J181" s="46">
        <f>IF(VLOOKUP($C181,REV!$C:$AA,8,0)-'TRADE IN'!$F181=0,"",(VLOOKUP($C181,REV!$C:$AA,8,0)-'TRADE IN'!$F181))</f>
        <v>11999</v>
      </c>
      <c r="K181" s="46">
        <f>IF(VLOOKUP($C181,REV!$C:$AA,9,0)-'TRADE IN'!$F181=0,"",(VLOOKUP($C181,REV!$C:$AA,9,0)-'TRADE IN'!$F181))</f>
        <v>11999</v>
      </c>
      <c r="L181" s="46">
        <f>IF(VLOOKUP($C181,REV!$C:$AA,10,0)-'TRADE IN'!$F190=0,"",(VLOOKUP($C181,REV!$C:$AA,10,0)-'TRADE IN'!$F181))</f>
        <v>11999</v>
      </c>
      <c r="M181" s="46">
        <f>IF(VLOOKUP($C181,REV!$C:$AA,11,0)-'TRADE IN'!$F190=0,"",(VLOOKUP($C181,REV!$C:$AA,11,0)-'TRADE IN'!$F181))</f>
        <v>11999</v>
      </c>
      <c r="N181" s="46">
        <f>IF(VLOOKUP($C181,REV!$C:$AA,12,0)-'TRADE IN'!$F190=0,"",(VLOOKUP($C181,REV!$C:$AA,12,0)-'TRADE IN'!$F181))</f>
        <v>11999</v>
      </c>
      <c r="O181" s="46">
        <f>IF(VLOOKUP($C181,REV!$C:$AA,13,0)-'TRADE IN'!$F190=0,"",(VLOOKUP($C181,REV!$C:$AA,13,0)-'TRADE IN'!$F181))</f>
        <v>11699</v>
      </c>
      <c r="P181" s="46">
        <f>IF(VLOOKUP($C181,REV!$C:$AA,14,0)-'TRADE IN'!$F190=0,"",(VLOOKUP($C181,REV!$C:$AA,14,0)-'TRADE IN'!$F181))</f>
        <v>11599</v>
      </c>
      <c r="Q181" s="46">
        <f>IF(VLOOKUP($C181,REV!$C:$AA,15,0)-'TRADE IN'!$F190=0,"",(VLOOKUP($C181,REV!$C:$AA,15,0)-'TRADE IN'!$F181))</f>
        <v>10999</v>
      </c>
      <c r="R181" s="46">
        <f>IF(VLOOKUP($C181,REV!$C:$AA,16,0)-'TRADE IN'!$F190=0,"",(VLOOKUP($C181,REV!$C:$AA,16,0)-'TRADE IN'!$F181))</f>
        <v>11699</v>
      </c>
      <c r="S181" s="46">
        <f>IF(VLOOKUP($C181,REV!$C:$AA,17,0)-'TRADE IN'!$F190=0,"",(VLOOKUP($C181,REV!$C:$AA,17,0)-'TRADE IN'!$F181))</f>
        <v>11599</v>
      </c>
      <c r="T181" s="46">
        <f>IF(VLOOKUP($C181,REV!$C:$AA,18,0)-'TRADE IN'!$F190=0,"",(VLOOKUP($C181,REV!$C:$AA,18,0)-'TRADE IN'!$F181))</f>
        <v>10999</v>
      </c>
      <c r="U181" s="46">
        <f>IF(VLOOKUP($C181,REV!$C:$AA,19,0)-'TRADE IN'!$F190=0,"",(VLOOKUP($C181,REV!$C:$AA,19,0)-'TRADE IN'!$F181))</f>
        <v>10999</v>
      </c>
      <c r="V181" s="46">
        <f>IF(VLOOKUP($C181,REV!$C:$AA,20,0)-'TRADE IN'!$F190=0,"",(VLOOKUP($C181,REV!$C:$AA,20,0)-'TRADE IN'!$F181))</f>
        <v>10999</v>
      </c>
      <c r="W181" s="46">
        <f>IF(VLOOKUP($C181,REV!$C:$AA,21,0)-'TRADE IN'!$F190=0,"",(VLOOKUP($C181,REV!$C:$AA,21,0)-'TRADE IN'!$F181))</f>
        <v>10999</v>
      </c>
      <c r="X181" s="46">
        <f>IF(VLOOKUP($C181,REV!$C:$AA,22,0)-'TRADE IN'!$F190=0,"",(VLOOKUP($C181,REV!$C:$AA,22,0)-'TRADE IN'!$F181))</f>
        <v>10799</v>
      </c>
      <c r="Y181" s="46">
        <f>IF(VLOOKUP($C181,REV!$C:$AA,23,0)-'TRADE IN'!$F190=0,"",(VLOOKUP($C181,REV!$C:$AA,23,0)-'TRADE IN'!$F181))</f>
        <v>10299</v>
      </c>
      <c r="Z181" s="46">
        <f>IF(VLOOKUP($C181,REV!$C:$AA,24,0)-'TRADE IN'!$F190=0,"",(VLOOKUP($C181,REV!$C:$AA,24,0)-'TRADE IN'!$F181))</f>
        <v>10299</v>
      </c>
      <c r="AA181" s="46">
        <f>IF(VLOOKUP($C181,REV!$C:$AA,25,0)-'TRADE IN'!$F190=0,"",(VLOOKUP($C181,REV!$C:$AA,25,0)-'TRADE IN'!$F181))</f>
        <v>10299</v>
      </c>
      <c r="AB181" s="46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tr">
        <f>IF(REV!AW181=0,"",REV!AW181)</f>
        <v>31.03.2026</v>
      </c>
      <c r="AX181" s="159" t="s">
        <v>82</v>
      </c>
    </row>
    <row r="182" spans="1:50" ht="22.5" customHeight="1">
      <c r="A182" s="52" t="s">
        <v>70</v>
      </c>
      <c r="B182" s="41" t="s">
        <v>62</v>
      </c>
      <c r="C182" s="42">
        <v>4016613</v>
      </c>
      <c r="D182" s="43" t="s">
        <v>263</v>
      </c>
      <c r="E182" s="43" t="s">
        <v>265</v>
      </c>
      <c r="F182" s="45"/>
      <c r="G182" s="45"/>
      <c r="H182" s="46"/>
      <c r="I182" s="46"/>
      <c r="J182" s="46">
        <f>IF(VLOOKUP($C182,REV!$C:$AA,8,0)-'TRADE IN'!$F182=0,"",(VLOOKUP($C182,REV!$C:$AA,8,0)-'TRADE IN'!$F182))</f>
        <v>11999</v>
      </c>
      <c r="K182" s="46">
        <f>IF(VLOOKUP($C182,REV!$C:$AA,9,0)-'TRADE IN'!$F182=0,"",(VLOOKUP($C182,REV!$C:$AA,9,0)-'TRADE IN'!$F182))</f>
        <v>11999</v>
      </c>
      <c r="L182" s="46">
        <f>IF(VLOOKUP($C182,REV!$C:$AA,10,0)-'TRADE IN'!$F191=0,"",(VLOOKUP($C182,REV!$C:$AA,10,0)-'TRADE IN'!$F182))</f>
        <v>11999</v>
      </c>
      <c r="M182" s="46">
        <f>IF(VLOOKUP($C182,REV!$C:$AA,11,0)-'TRADE IN'!$F191=0,"",(VLOOKUP($C182,REV!$C:$AA,11,0)-'TRADE IN'!$F182))</f>
        <v>11999</v>
      </c>
      <c r="N182" s="46">
        <f>IF(VLOOKUP($C182,REV!$C:$AA,12,0)-'TRADE IN'!$F191=0,"",(VLOOKUP($C182,REV!$C:$AA,12,0)-'TRADE IN'!$F182))</f>
        <v>11999</v>
      </c>
      <c r="O182" s="46">
        <f>IF(VLOOKUP($C182,REV!$C:$AA,13,0)-'TRADE IN'!$F191=0,"",(VLOOKUP($C182,REV!$C:$AA,13,0)-'TRADE IN'!$F182))</f>
        <v>11699</v>
      </c>
      <c r="P182" s="46">
        <f>IF(VLOOKUP($C182,REV!$C:$AA,14,0)-'TRADE IN'!$F191=0,"",(VLOOKUP($C182,REV!$C:$AA,14,0)-'TRADE IN'!$F182))</f>
        <v>11599</v>
      </c>
      <c r="Q182" s="46">
        <f>IF(VLOOKUP($C182,REV!$C:$AA,15,0)-'TRADE IN'!$F191=0,"",(VLOOKUP($C182,REV!$C:$AA,15,0)-'TRADE IN'!$F182))</f>
        <v>10999</v>
      </c>
      <c r="R182" s="46">
        <f>IF(VLOOKUP($C182,REV!$C:$AA,16,0)-'TRADE IN'!$F191=0,"",(VLOOKUP($C182,REV!$C:$AA,16,0)-'TRADE IN'!$F182))</f>
        <v>11699</v>
      </c>
      <c r="S182" s="46">
        <f>IF(VLOOKUP($C182,REV!$C:$AA,17,0)-'TRADE IN'!$F191=0,"",(VLOOKUP($C182,REV!$C:$AA,17,0)-'TRADE IN'!$F182))</f>
        <v>11599</v>
      </c>
      <c r="T182" s="46">
        <f>IF(VLOOKUP($C182,REV!$C:$AA,18,0)-'TRADE IN'!$F191=0,"",(VLOOKUP($C182,REV!$C:$AA,18,0)-'TRADE IN'!$F182))</f>
        <v>10999</v>
      </c>
      <c r="U182" s="46">
        <f>IF(VLOOKUP($C182,REV!$C:$AA,19,0)-'TRADE IN'!$F191=0,"",(VLOOKUP($C182,REV!$C:$AA,19,0)-'TRADE IN'!$F182))</f>
        <v>10999</v>
      </c>
      <c r="V182" s="46">
        <f>IF(VLOOKUP($C182,REV!$C:$AA,20,0)-'TRADE IN'!$F191=0,"",(VLOOKUP($C182,REV!$C:$AA,20,0)-'TRADE IN'!$F182))</f>
        <v>10999</v>
      </c>
      <c r="W182" s="46">
        <f>IF(VLOOKUP($C182,REV!$C:$AA,21,0)-'TRADE IN'!$F191=0,"",(VLOOKUP($C182,REV!$C:$AA,21,0)-'TRADE IN'!$F182))</f>
        <v>10999</v>
      </c>
      <c r="X182" s="46">
        <f>IF(VLOOKUP($C182,REV!$C:$AA,22,0)-'TRADE IN'!$F191=0,"",(VLOOKUP($C182,REV!$C:$AA,22,0)-'TRADE IN'!$F182))</f>
        <v>10799</v>
      </c>
      <c r="Y182" s="46">
        <f>IF(VLOOKUP($C182,REV!$C:$AA,23,0)-'TRADE IN'!$F191=0,"",(VLOOKUP($C182,REV!$C:$AA,23,0)-'TRADE IN'!$F182))</f>
        <v>10299</v>
      </c>
      <c r="Z182" s="46">
        <f>IF(VLOOKUP($C182,REV!$C:$AA,24,0)-'TRADE IN'!$F191=0,"",(VLOOKUP($C182,REV!$C:$AA,24,0)-'TRADE IN'!$F182))</f>
        <v>10299</v>
      </c>
      <c r="AA182" s="46">
        <f>IF(VLOOKUP($C182,REV!$C:$AA,25,0)-'TRADE IN'!$F191=0,"",(VLOOKUP($C182,REV!$C:$AA,25,0)-'TRADE IN'!$F182))</f>
        <v>10299</v>
      </c>
      <c r="AB182" s="46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tr">
        <f>IF(REV!AW182=0,"",REV!AW182)</f>
        <v>31.03.2026</v>
      </c>
      <c r="AX182" s="159" t="s">
        <v>82</v>
      </c>
    </row>
    <row r="183" spans="1:50" ht="22.5" customHeight="1">
      <c r="A183" s="52" t="s">
        <v>70</v>
      </c>
      <c r="B183" s="41" t="s">
        <v>62</v>
      </c>
      <c r="C183" s="42">
        <v>4016619</v>
      </c>
      <c r="D183" s="43" t="s">
        <v>263</v>
      </c>
      <c r="E183" s="43" t="s">
        <v>266</v>
      </c>
      <c r="F183" s="45"/>
      <c r="G183" s="45"/>
      <c r="H183" s="46"/>
      <c r="I183" s="46"/>
      <c r="J183" s="46">
        <f>IF(VLOOKUP($C183,REV!$C:$AA,8,0)-'TRADE IN'!$F183=0,"",(VLOOKUP($C183,REV!$C:$AA,8,0)-'TRADE IN'!$F183))</f>
        <v>11999</v>
      </c>
      <c r="K183" s="46">
        <f>IF(VLOOKUP($C183,REV!$C:$AA,9,0)-'TRADE IN'!$F183=0,"",(VLOOKUP($C183,REV!$C:$AA,9,0)-'TRADE IN'!$F183))</f>
        <v>11999</v>
      </c>
      <c r="L183" s="46">
        <f>IF(VLOOKUP($C183,REV!$C:$AA,10,0)-'TRADE IN'!$F194=0,"",(VLOOKUP($C183,REV!$C:$AA,10,0)-'TRADE IN'!$F183))</f>
        <v>11999</v>
      </c>
      <c r="M183" s="46">
        <f>IF(VLOOKUP($C183,REV!$C:$AA,11,0)-'TRADE IN'!$F194=0,"",(VLOOKUP($C183,REV!$C:$AA,11,0)-'TRADE IN'!$F183))</f>
        <v>11999</v>
      </c>
      <c r="N183" s="46">
        <f>IF(VLOOKUP($C183,REV!$C:$AA,12,0)-'TRADE IN'!$F194=0,"",(VLOOKUP($C183,REV!$C:$AA,12,0)-'TRADE IN'!$F183))</f>
        <v>11999</v>
      </c>
      <c r="O183" s="46">
        <f>IF(VLOOKUP($C183,REV!$C:$AA,13,0)-'TRADE IN'!$F194=0,"",(VLOOKUP($C183,REV!$C:$AA,13,0)-'TRADE IN'!$F183))</f>
        <v>11699</v>
      </c>
      <c r="P183" s="46">
        <f>IF(VLOOKUP($C183,REV!$C:$AA,14,0)-'TRADE IN'!$F194=0,"",(VLOOKUP($C183,REV!$C:$AA,14,0)-'TRADE IN'!$F183))</f>
        <v>11599</v>
      </c>
      <c r="Q183" s="46">
        <f>IF(VLOOKUP($C183,REV!$C:$AA,15,0)-'TRADE IN'!$F194=0,"",(VLOOKUP($C183,REV!$C:$AA,15,0)-'TRADE IN'!$F183))</f>
        <v>10999</v>
      </c>
      <c r="R183" s="46">
        <f>IF(VLOOKUP($C183,REV!$C:$AA,16,0)-'TRADE IN'!$F194=0,"",(VLOOKUP($C183,REV!$C:$AA,16,0)-'TRADE IN'!$F183))</f>
        <v>11699</v>
      </c>
      <c r="S183" s="46">
        <f>IF(VLOOKUP($C183,REV!$C:$AA,17,0)-'TRADE IN'!$F194=0,"",(VLOOKUP($C183,REV!$C:$AA,17,0)-'TRADE IN'!$F183))</f>
        <v>11599</v>
      </c>
      <c r="T183" s="46">
        <f>IF(VLOOKUP($C183,REV!$C:$AA,18,0)-'TRADE IN'!$F194=0,"",(VLOOKUP($C183,REV!$C:$AA,18,0)-'TRADE IN'!$F183))</f>
        <v>10999</v>
      </c>
      <c r="U183" s="46">
        <f>IF(VLOOKUP($C183,REV!$C:$AA,19,0)-'TRADE IN'!$F194=0,"",(VLOOKUP($C183,REV!$C:$AA,19,0)-'TRADE IN'!$F183))</f>
        <v>10999</v>
      </c>
      <c r="V183" s="46">
        <f>IF(VLOOKUP($C183,REV!$C:$AA,20,0)-'TRADE IN'!$F194=0,"",(VLOOKUP($C183,REV!$C:$AA,20,0)-'TRADE IN'!$F183))</f>
        <v>10999</v>
      </c>
      <c r="W183" s="46">
        <f>IF(VLOOKUP($C183,REV!$C:$AA,21,0)-'TRADE IN'!$F194=0,"",(VLOOKUP($C183,REV!$C:$AA,21,0)-'TRADE IN'!$F183))</f>
        <v>10999</v>
      </c>
      <c r="X183" s="46">
        <f>IF(VLOOKUP($C183,REV!$C:$AA,22,0)-'TRADE IN'!$F194=0,"",(VLOOKUP($C183,REV!$C:$AA,22,0)-'TRADE IN'!$F183))</f>
        <v>10799</v>
      </c>
      <c r="Y183" s="46">
        <f>IF(VLOOKUP($C183,REV!$C:$AA,23,0)-'TRADE IN'!$F194=0,"",(VLOOKUP($C183,REV!$C:$AA,23,0)-'TRADE IN'!$F183))</f>
        <v>10299</v>
      </c>
      <c r="Z183" s="46">
        <f>IF(VLOOKUP($C183,REV!$C:$AA,24,0)-'TRADE IN'!$F194=0,"",(VLOOKUP($C183,REV!$C:$AA,24,0)-'TRADE IN'!$F183))</f>
        <v>10299</v>
      </c>
      <c r="AA183" s="46">
        <f>IF(VLOOKUP($C183,REV!$C:$AA,25,0)-'TRADE IN'!$F194=0,"",(VLOOKUP($C183,REV!$C:$AA,25,0)-'TRADE IN'!$F183))</f>
        <v>10299</v>
      </c>
      <c r="AB183" s="46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tr">
        <f>IF(REV!AW183=0,"",REV!AW183)</f>
        <v>31.03.2026</v>
      </c>
      <c r="AX183" s="159" t="s">
        <v>82</v>
      </c>
    </row>
    <row r="184" spans="1:50" ht="22.5" customHeight="1">
      <c r="A184" s="52" t="s">
        <v>70</v>
      </c>
      <c r="B184" s="41" t="s">
        <v>62</v>
      </c>
      <c r="C184" s="42">
        <v>4016609</v>
      </c>
      <c r="D184" s="43" t="s">
        <v>263</v>
      </c>
      <c r="E184" s="43" t="s">
        <v>267</v>
      </c>
      <c r="F184" s="45"/>
      <c r="G184" s="45"/>
      <c r="H184" s="46"/>
      <c r="I184" s="46"/>
      <c r="J184" s="46">
        <f>IF(VLOOKUP($C184,REV!$C:$AA,8,0)-'TRADE IN'!$F184=0,"",(VLOOKUP($C184,REV!$C:$AA,8,0)-'TRADE IN'!$F184))</f>
        <v>11999</v>
      </c>
      <c r="K184" s="46">
        <f>IF(VLOOKUP($C184,REV!$C:$AA,9,0)-'TRADE IN'!$F184=0,"",(VLOOKUP($C184,REV!$C:$AA,9,0)-'TRADE IN'!$F184))</f>
        <v>11999</v>
      </c>
      <c r="L184" s="46">
        <f>IF(VLOOKUP($C184,REV!$C:$AA,10,0)-'TRADE IN'!$F195=0,"",(VLOOKUP($C184,REV!$C:$AA,10,0)-'TRADE IN'!$F184))</f>
        <v>11999</v>
      </c>
      <c r="M184" s="46">
        <f>IF(VLOOKUP($C184,REV!$C:$AA,11,0)-'TRADE IN'!$F195=0,"",(VLOOKUP($C184,REV!$C:$AA,11,0)-'TRADE IN'!$F184))</f>
        <v>11999</v>
      </c>
      <c r="N184" s="46">
        <f>IF(VLOOKUP($C184,REV!$C:$AA,12,0)-'TRADE IN'!$F195=0,"",(VLOOKUP($C184,REV!$C:$AA,12,0)-'TRADE IN'!$F184))</f>
        <v>11999</v>
      </c>
      <c r="O184" s="46">
        <f>IF(VLOOKUP($C184,REV!$C:$AA,13,0)-'TRADE IN'!$F195=0,"",(VLOOKUP($C184,REV!$C:$AA,13,0)-'TRADE IN'!$F184))</f>
        <v>11699</v>
      </c>
      <c r="P184" s="46">
        <f>IF(VLOOKUP($C184,REV!$C:$AA,14,0)-'TRADE IN'!$F195=0,"",(VLOOKUP($C184,REV!$C:$AA,14,0)-'TRADE IN'!$F184))</f>
        <v>11599</v>
      </c>
      <c r="Q184" s="46">
        <f>IF(VLOOKUP($C184,REV!$C:$AA,15,0)-'TRADE IN'!$F195=0,"",(VLOOKUP($C184,REV!$C:$AA,15,0)-'TRADE IN'!$F184))</f>
        <v>10999</v>
      </c>
      <c r="R184" s="46">
        <f>IF(VLOOKUP($C184,REV!$C:$AA,16,0)-'TRADE IN'!$F195=0,"",(VLOOKUP($C184,REV!$C:$AA,16,0)-'TRADE IN'!$F184))</f>
        <v>11699</v>
      </c>
      <c r="S184" s="46">
        <f>IF(VLOOKUP($C184,REV!$C:$AA,17,0)-'TRADE IN'!$F195=0,"",(VLOOKUP($C184,REV!$C:$AA,17,0)-'TRADE IN'!$F184))</f>
        <v>11599</v>
      </c>
      <c r="T184" s="46">
        <f>IF(VLOOKUP($C184,REV!$C:$AA,18,0)-'TRADE IN'!$F195=0,"",(VLOOKUP($C184,REV!$C:$AA,18,0)-'TRADE IN'!$F184))</f>
        <v>10999</v>
      </c>
      <c r="U184" s="46">
        <f>IF(VLOOKUP($C184,REV!$C:$AA,19,0)-'TRADE IN'!$F195=0,"",(VLOOKUP($C184,REV!$C:$AA,19,0)-'TRADE IN'!$F184))</f>
        <v>10999</v>
      </c>
      <c r="V184" s="46">
        <f>IF(VLOOKUP($C184,REV!$C:$AA,20,0)-'TRADE IN'!$F195=0,"",(VLOOKUP($C184,REV!$C:$AA,20,0)-'TRADE IN'!$F184))</f>
        <v>10999</v>
      </c>
      <c r="W184" s="46">
        <f>IF(VLOOKUP($C184,REV!$C:$AA,21,0)-'TRADE IN'!$F195=0,"",(VLOOKUP($C184,REV!$C:$AA,21,0)-'TRADE IN'!$F184))</f>
        <v>10999</v>
      </c>
      <c r="X184" s="46">
        <f>IF(VLOOKUP($C184,REV!$C:$AA,22,0)-'TRADE IN'!$F195=0,"",(VLOOKUP($C184,REV!$C:$AA,22,0)-'TRADE IN'!$F184))</f>
        <v>10799</v>
      </c>
      <c r="Y184" s="46">
        <f>IF(VLOOKUP($C184,REV!$C:$AA,23,0)-'TRADE IN'!$F195=0,"",(VLOOKUP($C184,REV!$C:$AA,23,0)-'TRADE IN'!$F184))</f>
        <v>10299</v>
      </c>
      <c r="Z184" s="46">
        <f>IF(VLOOKUP($C184,REV!$C:$AA,24,0)-'TRADE IN'!$F195=0,"",(VLOOKUP($C184,REV!$C:$AA,24,0)-'TRADE IN'!$F184))</f>
        <v>10299</v>
      </c>
      <c r="AA184" s="46">
        <f>IF(VLOOKUP($C184,REV!$C:$AA,25,0)-'TRADE IN'!$F195=0,"",(VLOOKUP($C184,REV!$C:$AA,25,0)-'TRADE IN'!$F184))</f>
        <v>10299</v>
      </c>
      <c r="AB184" s="46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tr">
        <f>IF(REV!AW184=0,"",REV!AW184)</f>
        <v>31.03.2026</v>
      </c>
      <c r="AX184" s="159" t="s">
        <v>82</v>
      </c>
    </row>
    <row r="185" spans="1:50" ht="22.5" customHeight="1">
      <c r="A185" s="52" t="s">
        <v>70</v>
      </c>
      <c r="B185" s="41" t="s">
        <v>62</v>
      </c>
      <c r="C185" s="42">
        <v>4016916</v>
      </c>
      <c r="D185" s="43" t="s">
        <v>268</v>
      </c>
      <c r="E185" s="43" t="s">
        <v>269</v>
      </c>
      <c r="F185" s="45"/>
      <c r="G185" s="45"/>
      <c r="H185" s="46"/>
      <c r="I185" s="46"/>
      <c r="J185" s="46">
        <f>IF(VLOOKUP($C185,REV!$C:$AA,8,0)-'TRADE IN'!$F185=0,"",(VLOOKUP($C185,REV!$C:$AA,8,0)-'TRADE IN'!$F185))</f>
        <v>4799</v>
      </c>
      <c r="K185" s="46">
        <f>IF(VLOOKUP($C185,REV!$C:$AA,9,0)-'TRADE IN'!$F185=0,"",(VLOOKUP($C185,REV!$C:$AA,9,0)-'TRADE IN'!$F185))</f>
        <v>4799</v>
      </c>
      <c r="L185" s="46">
        <f>IF(VLOOKUP($C185,REV!$C:$AA,10,0)-'TRADE IN'!$F196=0,"",(VLOOKUP($C185,REV!$C:$AA,10,0)-'TRADE IN'!$F185))</f>
        <v>4799</v>
      </c>
      <c r="M185" s="46">
        <f>IF(VLOOKUP($C185,REV!$C:$AA,11,0)-'TRADE IN'!$F196=0,"",(VLOOKUP($C185,REV!$C:$AA,11,0)-'TRADE IN'!$F185))</f>
        <v>4799</v>
      </c>
      <c r="N185" s="46">
        <f>IF(VLOOKUP($C185,REV!$C:$AA,12,0)-'TRADE IN'!$F196=0,"",(VLOOKUP($C185,REV!$C:$AA,12,0)-'TRADE IN'!$F185))</f>
        <v>4799</v>
      </c>
      <c r="O185" s="46">
        <f>IF(VLOOKUP($C185,REV!$C:$AA,13,0)-'TRADE IN'!$F196=0,"",(VLOOKUP($C185,REV!$C:$AA,13,0)-'TRADE IN'!$F185))</f>
        <v>4699</v>
      </c>
      <c r="P185" s="46">
        <f>IF(VLOOKUP($C185,REV!$C:$AA,14,0)-'TRADE IN'!$F196=0,"",(VLOOKUP($C185,REV!$C:$AA,14,0)-'TRADE IN'!$F185))</f>
        <v>4599</v>
      </c>
      <c r="Q185" s="46">
        <f>IF(VLOOKUP($C185,REV!$C:$AA,15,0)-'TRADE IN'!$F196=0,"",(VLOOKUP($C185,REV!$C:$AA,15,0)-'TRADE IN'!$F185))</f>
        <v>3599</v>
      </c>
      <c r="R185" s="46">
        <f>IF(VLOOKUP($C185,REV!$C:$AA,16,0)-'TRADE IN'!$F196=0,"",(VLOOKUP($C185,REV!$C:$AA,16,0)-'TRADE IN'!$F185))</f>
        <v>4699</v>
      </c>
      <c r="S185" s="46">
        <f>IF(VLOOKUP($C185,REV!$C:$AA,17,0)-'TRADE IN'!$F196=0,"",(VLOOKUP($C185,REV!$C:$AA,17,0)-'TRADE IN'!$F185))</f>
        <v>4599</v>
      </c>
      <c r="T185" s="46">
        <f>IF(VLOOKUP($C185,REV!$C:$AA,18,0)-'TRADE IN'!$F196=0,"",(VLOOKUP($C185,REV!$C:$AA,18,0)-'TRADE IN'!$F185))</f>
        <v>3599</v>
      </c>
      <c r="U185" s="46">
        <f>IF(VLOOKUP($C185,REV!$C:$AA,19,0)-'TRADE IN'!$F196=0,"",(VLOOKUP($C185,REV!$C:$AA,19,0)-'TRADE IN'!$F185))</f>
        <v>3599</v>
      </c>
      <c r="V185" s="46">
        <f>IF(VLOOKUP($C185,REV!$C:$AA,20,0)-'TRADE IN'!$F196=0,"",(VLOOKUP($C185,REV!$C:$AA,20,0)-'TRADE IN'!$F185))</f>
        <v>3599</v>
      </c>
      <c r="W185" s="46">
        <f>IF(VLOOKUP($C185,REV!$C:$AA,21,0)-'TRADE IN'!$F196=0,"",(VLOOKUP($C185,REV!$C:$AA,21,0)-'TRADE IN'!$F185))</f>
        <v>3599</v>
      </c>
      <c r="X185" s="46">
        <f>IF(VLOOKUP($C185,REV!$C:$AA,22,0)-'TRADE IN'!$F196=0,"",(VLOOKUP($C185,REV!$C:$AA,22,0)-'TRADE IN'!$F185))</f>
        <v>3499</v>
      </c>
      <c r="Y185" s="46">
        <f>IF(VLOOKUP($C185,REV!$C:$AA,23,0)-'TRADE IN'!$F196=0,"",(VLOOKUP($C185,REV!$C:$AA,23,0)-'TRADE IN'!$F185))</f>
        <v>3299</v>
      </c>
      <c r="Z185" s="46">
        <f>IF(VLOOKUP($C185,REV!$C:$AA,24,0)-'TRADE IN'!$F196=0,"",(VLOOKUP($C185,REV!$C:$AA,24,0)-'TRADE IN'!$F185))</f>
        <v>3299</v>
      </c>
      <c r="AA185" s="46">
        <f>IF(VLOOKUP($C185,REV!$C:$AA,25,0)-'TRADE IN'!$F196=0,"",(VLOOKUP($C185,REV!$C:$AA,25,0)-'TRADE IN'!$F185))</f>
        <v>3299</v>
      </c>
      <c r="AB185" s="46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tr">
        <f>IF(REV!AW185=0,"",REV!AW185)</f>
        <v>31.03.2026</v>
      </c>
      <c r="AX185" s="159" t="s">
        <v>82</v>
      </c>
    </row>
    <row r="186" spans="1:50" ht="22.5" customHeight="1">
      <c r="A186" s="52" t="s">
        <v>70</v>
      </c>
      <c r="B186" s="41" t="s">
        <v>62</v>
      </c>
      <c r="C186" s="42">
        <v>4016917</v>
      </c>
      <c r="D186" s="43" t="s">
        <v>268</v>
      </c>
      <c r="E186" s="43" t="s">
        <v>270</v>
      </c>
      <c r="F186" s="45"/>
      <c r="G186" s="45"/>
      <c r="H186" s="46"/>
      <c r="I186" s="46"/>
      <c r="J186" s="46">
        <f>IF(VLOOKUP($C186,REV!$C:$AA,8,0)-'TRADE IN'!$F186=0,"",(VLOOKUP($C186,REV!$C:$AA,8,0)-'TRADE IN'!$F186))</f>
        <v>4799</v>
      </c>
      <c r="K186" s="46">
        <f>IF(VLOOKUP($C186,REV!$C:$AA,9,0)-'TRADE IN'!$F186=0,"",(VLOOKUP($C186,REV!$C:$AA,9,0)-'TRADE IN'!$F186))</f>
        <v>4799</v>
      </c>
      <c r="L186" s="46">
        <f>IF(VLOOKUP($C186,REV!$C:$AA,10,0)-'TRADE IN'!$F197=0,"",(VLOOKUP($C186,REV!$C:$AA,10,0)-'TRADE IN'!$F186))</f>
        <v>4799</v>
      </c>
      <c r="M186" s="46">
        <f>IF(VLOOKUP($C186,REV!$C:$AA,11,0)-'TRADE IN'!$F197=0,"",(VLOOKUP($C186,REV!$C:$AA,11,0)-'TRADE IN'!$F186))</f>
        <v>4799</v>
      </c>
      <c r="N186" s="46">
        <f>IF(VLOOKUP($C186,REV!$C:$AA,12,0)-'TRADE IN'!$F197=0,"",(VLOOKUP($C186,REV!$C:$AA,12,0)-'TRADE IN'!$F186))</f>
        <v>4799</v>
      </c>
      <c r="O186" s="46">
        <f>IF(VLOOKUP($C186,REV!$C:$AA,13,0)-'TRADE IN'!$F197=0,"",(VLOOKUP($C186,REV!$C:$AA,13,0)-'TRADE IN'!$F186))</f>
        <v>4699</v>
      </c>
      <c r="P186" s="46">
        <f>IF(VLOOKUP($C186,REV!$C:$AA,14,0)-'TRADE IN'!$F197=0,"",(VLOOKUP($C186,REV!$C:$AA,14,0)-'TRADE IN'!$F186))</f>
        <v>4599</v>
      </c>
      <c r="Q186" s="46">
        <f>IF(VLOOKUP($C186,REV!$C:$AA,15,0)-'TRADE IN'!$F197=0,"",(VLOOKUP($C186,REV!$C:$AA,15,0)-'TRADE IN'!$F186))</f>
        <v>3599</v>
      </c>
      <c r="R186" s="46">
        <f>IF(VLOOKUP($C186,REV!$C:$AA,16,0)-'TRADE IN'!$F197=0,"",(VLOOKUP($C186,REV!$C:$AA,16,0)-'TRADE IN'!$F186))</f>
        <v>4699</v>
      </c>
      <c r="S186" s="46">
        <f>IF(VLOOKUP($C186,REV!$C:$AA,17,0)-'TRADE IN'!$F197=0,"",(VLOOKUP($C186,REV!$C:$AA,17,0)-'TRADE IN'!$F186))</f>
        <v>4599</v>
      </c>
      <c r="T186" s="46">
        <f>IF(VLOOKUP($C186,REV!$C:$AA,18,0)-'TRADE IN'!$F197=0,"",(VLOOKUP($C186,REV!$C:$AA,18,0)-'TRADE IN'!$F186))</f>
        <v>3599</v>
      </c>
      <c r="U186" s="46">
        <f>IF(VLOOKUP($C186,REV!$C:$AA,19,0)-'TRADE IN'!$F197=0,"",(VLOOKUP($C186,REV!$C:$AA,19,0)-'TRADE IN'!$F186))</f>
        <v>3599</v>
      </c>
      <c r="V186" s="46">
        <f>IF(VLOOKUP($C186,REV!$C:$AA,20,0)-'TRADE IN'!$F197=0,"",(VLOOKUP($C186,REV!$C:$AA,20,0)-'TRADE IN'!$F186))</f>
        <v>3599</v>
      </c>
      <c r="W186" s="46">
        <f>IF(VLOOKUP($C186,REV!$C:$AA,21,0)-'TRADE IN'!$F197=0,"",(VLOOKUP($C186,REV!$C:$AA,21,0)-'TRADE IN'!$F186))</f>
        <v>3599</v>
      </c>
      <c r="X186" s="46">
        <f>IF(VLOOKUP($C186,REV!$C:$AA,22,0)-'TRADE IN'!$F197=0,"",(VLOOKUP($C186,REV!$C:$AA,22,0)-'TRADE IN'!$F186))</f>
        <v>3499</v>
      </c>
      <c r="Y186" s="46">
        <f>IF(VLOOKUP($C186,REV!$C:$AA,23,0)-'TRADE IN'!$F197=0,"",(VLOOKUP($C186,REV!$C:$AA,23,0)-'TRADE IN'!$F186))</f>
        <v>3299</v>
      </c>
      <c r="Z186" s="46">
        <f>IF(VLOOKUP($C186,REV!$C:$AA,24,0)-'TRADE IN'!$F197=0,"",(VLOOKUP($C186,REV!$C:$AA,24,0)-'TRADE IN'!$F186))</f>
        <v>3299</v>
      </c>
      <c r="AA186" s="46">
        <f>IF(VLOOKUP($C186,REV!$C:$AA,25,0)-'TRADE IN'!$F197=0,"",(VLOOKUP($C186,REV!$C:$AA,25,0)-'TRADE IN'!$F186))</f>
        <v>3299</v>
      </c>
      <c r="AB186" s="46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tr">
        <f>IF(REV!AW186=0,"",REV!AW186)</f>
        <v>31.03.2026</v>
      </c>
      <c r="AX186" s="159" t="s">
        <v>82</v>
      </c>
    </row>
    <row r="187" spans="1:50" ht="22.5" customHeight="1">
      <c r="A187" s="52" t="s">
        <v>70</v>
      </c>
      <c r="B187" s="41" t="s">
        <v>62</v>
      </c>
      <c r="C187" s="42">
        <v>4017449</v>
      </c>
      <c r="D187" s="43" t="s">
        <v>271</v>
      </c>
      <c r="E187" s="43" t="s">
        <v>272</v>
      </c>
      <c r="F187" s="45"/>
      <c r="G187" s="45"/>
      <c r="H187" s="45"/>
      <c r="I187" s="45"/>
      <c r="J187" s="46">
        <f>IF(VLOOKUP($C187,REV!$C:$AA,8,0)-'TRADE IN'!$F187=0,"",(VLOOKUP($C187,REV!$C:$AA,8,0)-'TRADE IN'!$F187))</f>
        <v>7499</v>
      </c>
      <c r="K187" s="46">
        <f>IF(VLOOKUP($C187,REV!$C:$AA,9,0)-'TRADE IN'!$F187=0,"",(VLOOKUP($C187,REV!$C:$AA,9,0)-'TRADE IN'!$F187))</f>
        <v>7499</v>
      </c>
      <c r="L187" s="46">
        <f>IF(VLOOKUP($C187,REV!$C:$AA,10,0)-'TRADE IN'!$F198=0,"",(VLOOKUP($C187,REV!$C:$AA,10,0)-'TRADE IN'!$F187))</f>
        <v>7499</v>
      </c>
      <c r="M187" s="46">
        <f>IF(VLOOKUP($C187,REV!$C:$AA,11,0)-'TRADE IN'!$F198=0,"",(VLOOKUP($C187,REV!$C:$AA,11,0)-'TRADE IN'!$F187))</f>
        <v>7499</v>
      </c>
      <c r="N187" s="46">
        <f>IF(VLOOKUP($C187,REV!$C:$AA,12,0)-'TRADE IN'!$F198=0,"",(VLOOKUP($C187,REV!$C:$AA,12,0)-'TRADE IN'!$F187))</f>
        <v>7499</v>
      </c>
      <c r="O187" s="46">
        <f>IF(VLOOKUP($C187,REV!$C:$AA,13,0)-'TRADE IN'!$F198=0,"",(VLOOKUP($C187,REV!$C:$AA,13,0)-'TRADE IN'!$F187))</f>
        <v>7399</v>
      </c>
      <c r="P187" s="46">
        <f>IF(VLOOKUP($C187,REV!$C:$AA,14,0)-'TRADE IN'!$F198=0,"",(VLOOKUP($C187,REV!$C:$AA,14,0)-'TRADE IN'!$F187))</f>
        <v>7299</v>
      </c>
      <c r="Q187" s="46">
        <f>IF(VLOOKUP($C187,REV!$C:$AA,15,0)-'TRADE IN'!$F198=0,"",(VLOOKUP($C187,REV!$C:$AA,15,0)-'TRADE IN'!$F187))</f>
        <v>6499</v>
      </c>
      <c r="R187" s="46">
        <f>IF(VLOOKUP($C187,REV!$C:$AA,16,0)-'TRADE IN'!$F198=0,"",(VLOOKUP($C187,REV!$C:$AA,16,0)-'TRADE IN'!$F187))</f>
        <v>7399</v>
      </c>
      <c r="S187" s="46">
        <f>IF(VLOOKUP($C187,REV!$C:$AA,17,0)-'TRADE IN'!$F198=0,"",(VLOOKUP($C187,REV!$C:$AA,17,0)-'TRADE IN'!$F187))</f>
        <v>7299</v>
      </c>
      <c r="T187" s="46">
        <f>IF(VLOOKUP($C187,REV!$C:$AA,18,0)-'TRADE IN'!$F198=0,"",(VLOOKUP($C187,REV!$C:$AA,18,0)-'TRADE IN'!$F187))</f>
        <v>6499</v>
      </c>
      <c r="U187" s="46">
        <f>IF(VLOOKUP($C187,REV!$C:$AA,19,0)-'TRADE IN'!$F198=0,"",(VLOOKUP($C187,REV!$C:$AA,19,0)-'TRADE IN'!$F187))</f>
        <v>6499</v>
      </c>
      <c r="V187" s="46">
        <f>IF(VLOOKUP($C187,REV!$C:$AA,20,0)-'TRADE IN'!$F198=0,"",(VLOOKUP($C187,REV!$C:$AA,20,0)-'TRADE IN'!$F187))</f>
        <v>6499</v>
      </c>
      <c r="W187" s="46">
        <f>IF(VLOOKUP($C187,REV!$C:$AA,21,0)-'TRADE IN'!$F198=0,"",(VLOOKUP($C187,REV!$C:$AA,21,0)-'TRADE IN'!$F187))</f>
        <v>6399</v>
      </c>
      <c r="X187" s="46">
        <f>IF(VLOOKUP($C187,REV!$C:$AA,22,0)-'TRADE IN'!$F198=0,"",(VLOOKUP($C187,REV!$C:$AA,22,0)-'TRADE IN'!$F187))</f>
        <v>6399</v>
      </c>
      <c r="Y187" s="46">
        <f>IF(VLOOKUP($C187,REV!$C:$AA,23,0)-'TRADE IN'!$F198=0,"",(VLOOKUP($C187,REV!$C:$AA,23,0)-'TRADE IN'!$F187))</f>
        <v>5799</v>
      </c>
      <c r="Z187" s="46">
        <f>IF(VLOOKUP($C187,REV!$C:$AA,24,0)-'TRADE IN'!$F198=0,"",(VLOOKUP($C187,REV!$C:$AA,24,0)-'TRADE IN'!$F187))</f>
        <v>5799</v>
      </c>
      <c r="AA187" s="46">
        <f>IF(VLOOKUP($C187,REV!$C:$AA,25,0)-'TRADE IN'!$F198=0,"",(VLOOKUP($C187,REV!$C:$AA,25,0)-'TRADE IN'!$F187))</f>
        <v>5799</v>
      </c>
      <c r="AB187" s="46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tr">
        <f>IF(REV!AW187=0,"",REV!AW187)</f>
        <v>31.03.2026</v>
      </c>
      <c r="AX187" s="159" t="s">
        <v>82</v>
      </c>
    </row>
    <row r="188" spans="1:50" ht="22.5" customHeight="1">
      <c r="A188" s="52" t="s">
        <v>70</v>
      </c>
      <c r="B188" s="41" t="s">
        <v>62</v>
      </c>
      <c r="C188" s="42">
        <v>4017480</v>
      </c>
      <c r="D188" s="43" t="s">
        <v>271</v>
      </c>
      <c r="E188" s="43" t="s">
        <v>273</v>
      </c>
      <c r="F188" s="45"/>
      <c r="G188" s="45"/>
      <c r="H188" s="45"/>
      <c r="I188" s="45"/>
      <c r="J188" s="46">
        <f>IF(VLOOKUP($C188,REV!$C:$AA,8,0)-'TRADE IN'!$F188=0,"",(VLOOKUP($C188,REV!$C:$AA,8,0)-'TRADE IN'!$F188))</f>
        <v>7499</v>
      </c>
      <c r="K188" s="46">
        <f>IF(VLOOKUP($C188,REV!$C:$AA,9,0)-'TRADE IN'!$F188=0,"",(VLOOKUP($C188,REV!$C:$AA,9,0)-'TRADE IN'!$F188))</f>
        <v>7499</v>
      </c>
      <c r="L188" s="46">
        <f>IF(VLOOKUP($C188,REV!$C:$AA,10,0)-'TRADE IN'!$F199=0,"",(VLOOKUP($C188,REV!$C:$AA,10,0)-'TRADE IN'!$F188))</f>
        <v>7499</v>
      </c>
      <c r="M188" s="46">
        <f>IF(VLOOKUP($C188,REV!$C:$AA,11,0)-'TRADE IN'!$F199=0,"",(VLOOKUP($C188,REV!$C:$AA,11,0)-'TRADE IN'!$F188))</f>
        <v>7499</v>
      </c>
      <c r="N188" s="46">
        <f>IF(VLOOKUP($C188,REV!$C:$AA,12,0)-'TRADE IN'!$F199=0,"",(VLOOKUP($C188,REV!$C:$AA,12,0)-'TRADE IN'!$F188))</f>
        <v>7499</v>
      </c>
      <c r="O188" s="46">
        <f>IF(VLOOKUP($C188,REV!$C:$AA,13,0)-'TRADE IN'!$F199=0,"",(VLOOKUP($C188,REV!$C:$AA,13,0)-'TRADE IN'!$F188))</f>
        <v>7399</v>
      </c>
      <c r="P188" s="46">
        <f>IF(VLOOKUP($C188,REV!$C:$AA,14,0)-'TRADE IN'!$F199=0,"",(VLOOKUP($C188,REV!$C:$AA,14,0)-'TRADE IN'!$F188))</f>
        <v>7299</v>
      </c>
      <c r="Q188" s="46">
        <f>IF(VLOOKUP($C188,REV!$C:$AA,15,0)-'TRADE IN'!$F199=0,"",(VLOOKUP($C188,REV!$C:$AA,15,0)-'TRADE IN'!$F188))</f>
        <v>6499</v>
      </c>
      <c r="R188" s="46">
        <f>IF(VLOOKUP($C188,REV!$C:$AA,16,0)-'TRADE IN'!$F199=0,"",(VLOOKUP($C188,REV!$C:$AA,16,0)-'TRADE IN'!$F188))</f>
        <v>7399</v>
      </c>
      <c r="S188" s="46">
        <f>IF(VLOOKUP($C188,REV!$C:$AA,17,0)-'TRADE IN'!$F199=0,"",(VLOOKUP($C188,REV!$C:$AA,17,0)-'TRADE IN'!$F188))</f>
        <v>7299</v>
      </c>
      <c r="T188" s="46">
        <f>IF(VLOOKUP($C188,REV!$C:$AA,18,0)-'TRADE IN'!$F199=0,"",(VLOOKUP($C188,REV!$C:$AA,18,0)-'TRADE IN'!$F188))</f>
        <v>6499</v>
      </c>
      <c r="U188" s="46">
        <f>IF(VLOOKUP($C188,REV!$C:$AA,19,0)-'TRADE IN'!$F199=0,"",(VLOOKUP($C188,REV!$C:$AA,19,0)-'TRADE IN'!$F188))</f>
        <v>6499</v>
      </c>
      <c r="V188" s="46">
        <f>IF(VLOOKUP($C188,REV!$C:$AA,20,0)-'TRADE IN'!$F199=0,"",(VLOOKUP($C188,REV!$C:$AA,20,0)-'TRADE IN'!$F188))</f>
        <v>6499</v>
      </c>
      <c r="W188" s="46">
        <f>IF(VLOOKUP($C188,REV!$C:$AA,21,0)-'TRADE IN'!$F199=0,"",(VLOOKUP($C188,REV!$C:$AA,21,0)-'TRADE IN'!$F188))</f>
        <v>6399</v>
      </c>
      <c r="X188" s="46">
        <f>IF(VLOOKUP($C188,REV!$C:$AA,22,0)-'TRADE IN'!$F199=0,"",(VLOOKUP($C188,REV!$C:$AA,22,0)-'TRADE IN'!$F188))</f>
        <v>6399</v>
      </c>
      <c r="Y188" s="46">
        <f>IF(VLOOKUP($C188,REV!$C:$AA,23,0)-'TRADE IN'!$F199=0,"",(VLOOKUP($C188,REV!$C:$AA,23,0)-'TRADE IN'!$F188))</f>
        <v>5799</v>
      </c>
      <c r="Z188" s="46">
        <f>IF(VLOOKUP($C188,REV!$C:$AA,24,0)-'TRADE IN'!$F199=0,"",(VLOOKUP($C188,REV!$C:$AA,24,0)-'TRADE IN'!$F188))</f>
        <v>5799</v>
      </c>
      <c r="AA188" s="46">
        <f>IF(VLOOKUP($C188,REV!$C:$AA,25,0)-'TRADE IN'!$F199=0,"",(VLOOKUP($C188,REV!$C:$AA,25,0)-'TRADE IN'!$F188))</f>
        <v>5799</v>
      </c>
      <c r="AB188" s="46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tr">
        <f>IF(REV!AW188=0,"",REV!AW188)</f>
        <v>31.03.2026</v>
      </c>
      <c r="AX188" s="159" t="s">
        <v>82</v>
      </c>
    </row>
    <row r="189" spans="1:50" ht="22.5" customHeight="1">
      <c r="A189" s="52" t="s">
        <v>70</v>
      </c>
      <c r="B189" s="41" t="s">
        <v>62</v>
      </c>
      <c r="C189" s="42">
        <v>4017485</v>
      </c>
      <c r="D189" s="43" t="s">
        <v>271</v>
      </c>
      <c r="E189" s="43" t="s">
        <v>274</v>
      </c>
      <c r="F189" s="45"/>
      <c r="G189" s="45"/>
      <c r="H189" s="45"/>
      <c r="I189" s="45"/>
      <c r="J189" s="46">
        <f>IF(VLOOKUP($C189,REV!$C:$AA,8,0)-'TRADE IN'!$F189=0,"",(VLOOKUP($C189,REV!$C:$AA,8,0)-'TRADE IN'!$F189))</f>
        <v>7499</v>
      </c>
      <c r="K189" s="46">
        <f>IF(VLOOKUP($C189,REV!$C:$AA,9,0)-'TRADE IN'!$F189=0,"",(VLOOKUP($C189,REV!$C:$AA,9,0)-'TRADE IN'!$F189))</f>
        <v>7499</v>
      </c>
      <c r="L189" s="46">
        <f>IF(VLOOKUP($C189,REV!$C:$AA,10,0)-'TRADE IN'!$F200=0,"",(VLOOKUP($C189,REV!$C:$AA,10,0)-'TRADE IN'!$F189))</f>
        <v>7499</v>
      </c>
      <c r="M189" s="46">
        <f>IF(VLOOKUP($C189,REV!$C:$AA,11,0)-'TRADE IN'!$F200=0,"",(VLOOKUP($C189,REV!$C:$AA,11,0)-'TRADE IN'!$F189))</f>
        <v>7499</v>
      </c>
      <c r="N189" s="46">
        <f>IF(VLOOKUP($C189,REV!$C:$AA,12,0)-'TRADE IN'!$F200=0,"",(VLOOKUP($C189,REV!$C:$AA,12,0)-'TRADE IN'!$F189))</f>
        <v>7499</v>
      </c>
      <c r="O189" s="46">
        <f>IF(VLOOKUP($C189,REV!$C:$AA,13,0)-'TRADE IN'!$F200=0,"",(VLOOKUP($C189,REV!$C:$AA,13,0)-'TRADE IN'!$F189))</f>
        <v>7399</v>
      </c>
      <c r="P189" s="46">
        <f>IF(VLOOKUP($C189,REV!$C:$AA,14,0)-'TRADE IN'!$F200=0,"",(VLOOKUP($C189,REV!$C:$AA,14,0)-'TRADE IN'!$F189))</f>
        <v>7299</v>
      </c>
      <c r="Q189" s="46">
        <f>IF(VLOOKUP($C189,REV!$C:$AA,15,0)-'TRADE IN'!$F200=0,"",(VLOOKUP($C189,REV!$C:$AA,15,0)-'TRADE IN'!$F189))</f>
        <v>6499</v>
      </c>
      <c r="R189" s="46">
        <f>IF(VLOOKUP($C189,REV!$C:$AA,16,0)-'TRADE IN'!$F200=0,"",(VLOOKUP($C189,REV!$C:$AA,16,0)-'TRADE IN'!$F189))</f>
        <v>7399</v>
      </c>
      <c r="S189" s="46">
        <f>IF(VLOOKUP($C189,REV!$C:$AA,17,0)-'TRADE IN'!$F200=0,"",(VLOOKUP($C189,REV!$C:$AA,17,0)-'TRADE IN'!$F189))</f>
        <v>7299</v>
      </c>
      <c r="T189" s="46">
        <f>IF(VLOOKUP($C189,REV!$C:$AA,18,0)-'TRADE IN'!$F200=0,"",(VLOOKUP($C189,REV!$C:$AA,18,0)-'TRADE IN'!$F189))</f>
        <v>6499</v>
      </c>
      <c r="U189" s="46">
        <f>IF(VLOOKUP($C189,REV!$C:$AA,19,0)-'TRADE IN'!$F200=0,"",(VLOOKUP($C189,REV!$C:$AA,19,0)-'TRADE IN'!$F189))</f>
        <v>6499</v>
      </c>
      <c r="V189" s="46">
        <f>IF(VLOOKUP($C189,REV!$C:$AA,20,0)-'TRADE IN'!$F200=0,"",(VLOOKUP($C189,REV!$C:$AA,20,0)-'TRADE IN'!$F189))</f>
        <v>6499</v>
      </c>
      <c r="W189" s="46">
        <f>IF(VLOOKUP($C189,REV!$C:$AA,21,0)-'TRADE IN'!$F200=0,"",(VLOOKUP($C189,REV!$C:$AA,21,0)-'TRADE IN'!$F189))</f>
        <v>6399</v>
      </c>
      <c r="X189" s="46">
        <f>IF(VLOOKUP($C189,REV!$C:$AA,22,0)-'TRADE IN'!$F200=0,"",(VLOOKUP($C189,REV!$C:$AA,22,0)-'TRADE IN'!$F189))</f>
        <v>6399</v>
      </c>
      <c r="Y189" s="46">
        <f>IF(VLOOKUP($C189,REV!$C:$AA,23,0)-'TRADE IN'!$F200=0,"",(VLOOKUP($C189,REV!$C:$AA,23,0)-'TRADE IN'!$F189))</f>
        <v>5799</v>
      </c>
      <c r="Z189" s="46">
        <f>IF(VLOOKUP($C189,REV!$C:$AA,24,0)-'TRADE IN'!$F200=0,"",(VLOOKUP($C189,REV!$C:$AA,24,0)-'TRADE IN'!$F189))</f>
        <v>5799</v>
      </c>
      <c r="AA189" s="46">
        <f>IF(VLOOKUP($C189,REV!$C:$AA,25,0)-'TRADE IN'!$F200=0,"",(VLOOKUP($C189,REV!$C:$AA,25,0)-'TRADE IN'!$F189))</f>
        <v>5799</v>
      </c>
      <c r="AB189" s="46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tr">
        <f>IF(REV!AW189=0,"",REV!AW189)</f>
        <v>31.03.2026</v>
      </c>
      <c r="AX189" s="159" t="s">
        <v>82</v>
      </c>
    </row>
    <row r="190" spans="1:50" ht="22.5" customHeight="1">
      <c r="A190" s="52" t="s">
        <v>70</v>
      </c>
      <c r="B190" s="41" t="s">
        <v>62</v>
      </c>
      <c r="C190" s="42">
        <v>4017486</v>
      </c>
      <c r="D190" s="43" t="s">
        <v>271</v>
      </c>
      <c r="E190" s="43" t="s">
        <v>275</v>
      </c>
      <c r="F190" s="45"/>
      <c r="G190" s="45"/>
      <c r="H190" s="45"/>
      <c r="I190" s="45"/>
      <c r="J190" s="46">
        <f>IF(VLOOKUP($C190,REV!$C:$AA,8,0)-'TRADE IN'!$F190=0,"",(VLOOKUP($C190,REV!$C:$AA,8,0)-'TRADE IN'!$F190))</f>
        <v>7499</v>
      </c>
      <c r="K190" s="46">
        <f>IF(VLOOKUP($C190,REV!$C:$AA,9,0)-'TRADE IN'!$F190=0,"",(VLOOKUP($C190,REV!$C:$AA,9,0)-'TRADE IN'!$F190))</f>
        <v>7499</v>
      </c>
      <c r="L190" s="46">
        <f>IF(VLOOKUP($C190,REV!$C:$AA,10,0)-'TRADE IN'!$F202=0,"",(VLOOKUP($C190,REV!$C:$AA,10,0)-'TRADE IN'!$F190))</f>
        <v>7499</v>
      </c>
      <c r="M190" s="46">
        <f>IF(VLOOKUP($C190,REV!$C:$AA,11,0)-'TRADE IN'!$F202=0,"",(VLOOKUP($C190,REV!$C:$AA,11,0)-'TRADE IN'!$F190))</f>
        <v>7499</v>
      </c>
      <c r="N190" s="46">
        <f>IF(VLOOKUP($C190,REV!$C:$AA,12,0)-'TRADE IN'!$F202=0,"",(VLOOKUP($C190,REV!$C:$AA,12,0)-'TRADE IN'!$F190))</f>
        <v>7499</v>
      </c>
      <c r="O190" s="46">
        <f>IF(VLOOKUP($C190,REV!$C:$AA,13,0)-'TRADE IN'!$F202=0,"",(VLOOKUP($C190,REV!$C:$AA,13,0)-'TRADE IN'!$F190))</f>
        <v>7399</v>
      </c>
      <c r="P190" s="46">
        <f>IF(VLOOKUP($C190,REV!$C:$AA,14,0)-'TRADE IN'!$F202=0,"",(VLOOKUP($C190,REV!$C:$AA,14,0)-'TRADE IN'!$F190))</f>
        <v>7299</v>
      </c>
      <c r="Q190" s="46">
        <f>IF(VLOOKUP($C190,REV!$C:$AA,15,0)-'TRADE IN'!$F202=0,"",(VLOOKUP($C190,REV!$C:$AA,15,0)-'TRADE IN'!$F190))</f>
        <v>6499</v>
      </c>
      <c r="R190" s="46">
        <f>IF(VLOOKUP($C190,REV!$C:$AA,16,0)-'TRADE IN'!$F202=0,"",(VLOOKUP($C190,REV!$C:$AA,16,0)-'TRADE IN'!$F190))</f>
        <v>7399</v>
      </c>
      <c r="S190" s="46">
        <f>IF(VLOOKUP($C190,REV!$C:$AA,17,0)-'TRADE IN'!$F202=0,"",(VLOOKUP($C190,REV!$C:$AA,17,0)-'TRADE IN'!$F190))</f>
        <v>7299</v>
      </c>
      <c r="T190" s="46">
        <f>IF(VLOOKUP($C190,REV!$C:$AA,18,0)-'TRADE IN'!$F202=0,"",(VLOOKUP($C190,REV!$C:$AA,18,0)-'TRADE IN'!$F190))</f>
        <v>6499</v>
      </c>
      <c r="U190" s="46">
        <f>IF(VLOOKUP($C190,REV!$C:$AA,19,0)-'TRADE IN'!$F202=0,"",(VLOOKUP($C190,REV!$C:$AA,19,0)-'TRADE IN'!$F190))</f>
        <v>6499</v>
      </c>
      <c r="V190" s="46">
        <f>IF(VLOOKUP($C190,REV!$C:$AA,20,0)-'TRADE IN'!$F202=0,"",(VLOOKUP($C190,REV!$C:$AA,20,0)-'TRADE IN'!$F190))</f>
        <v>6499</v>
      </c>
      <c r="W190" s="46">
        <f>IF(VLOOKUP($C190,REV!$C:$AA,21,0)-'TRADE IN'!$F202=0,"",(VLOOKUP($C190,REV!$C:$AA,21,0)-'TRADE IN'!$F190))</f>
        <v>6399</v>
      </c>
      <c r="X190" s="46">
        <f>IF(VLOOKUP($C190,REV!$C:$AA,22,0)-'TRADE IN'!$F202=0,"",(VLOOKUP($C190,REV!$C:$AA,22,0)-'TRADE IN'!$F190))</f>
        <v>6399</v>
      </c>
      <c r="Y190" s="46">
        <f>IF(VLOOKUP($C190,REV!$C:$AA,23,0)-'TRADE IN'!$F202=0,"",(VLOOKUP($C190,REV!$C:$AA,23,0)-'TRADE IN'!$F190))</f>
        <v>5799</v>
      </c>
      <c r="Z190" s="46">
        <f>IF(VLOOKUP($C190,REV!$C:$AA,24,0)-'TRADE IN'!$F202=0,"",(VLOOKUP($C190,REV!$C:$AA,24,0)-'TRADE IN'!$F190))</f>
        <v>5799</v>
      </c>
      <c r="AA190" s="46">
        <f>IF(VLOOKUP($C190,REV!$C:$AA,25,0)-'TRADE IN'!$F202=0,"",(VLOOKUP($C190,REV!$C:$AA,25,0)-'TRADE IN'!$F190))</f>
        <v>5799</v>
      </c>
      <c r="AB190" s="46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tr">
        <f>IF(REV!AW190=0,"",REV!AW190)</f>
        <v>31.03.2026</v>
      </c>
      <c r="AX190" s="159" t="s">
        <v>82</v>
      </c>
    </row>
    <row r="191" spans="1:50" ht="22.5" customHeight="1">
      <c r="A191" s="52" t="s">
        <v>70</v>
      </c>
      <c r="B191" s="41" t="s">
        <v>62</v>
      </c>
      <c r="C191" s="42">
        <v>4017483</v>
      </c>
      <c r="D191" s="43" t="s">
        <v>271</v>
      </c>
      <c r="E191" s="43" t="s">
        <v>276</v>
      </c>
      <c r="F191" s="45"/>
      <c r="G191" s="45"/>
      <c r="H191" s="45"/>
      <c r="I191" s="45"/>
      <c r="J191" s="46">
        <f>IF(VLOOKUP($C191,REV!$C:$AA,8,0)-'TRADE IN'!$F191=0,"",(VLOOKUP($C191,REV!$C:$AA,8,0)-'TRADE IN'!$F191))</f>
        <v>7499</v>
      </c>
      <c r="K191" s="46">
        <f>IF(VLOOKUP($C191,REV!$C:$AA,9,0)-'TRADE IN'!$F191=0,"",(VLOOKUP($C191,REV!$C:$AA,9,0)-'TRADE IN'!$F191))</f>
        <v>7499</v>
      </c>
      <c r="L191" s="46">
        <f>IF(VLOOKUP($C191,REV!$C:$AA,10,0)-'TRADE IN'!$F203=0,"",(VLOOKUP($C191,REV!$C:$AA,10,0)-'TRADE IN'!$F191))</f>
        <v>7499</v>
      </c>
      <c r="M191" s="46">
        <f>IF(VLOOKUP($C191,REV!$C:$AA,11,0)-'TRADE IN'!$F203=0,"",(VLOOKUP($C191,REV!$C:$AA,11,0)-'TRADE IN'!$F191))</f>
        <v>7499</v>
      </c>
      <c r="N191" s="46">
        <f>IF(VLOOKUP($C191,REV!$C:$AA,12,0)-'TRADE IN'!$F203=0,"",(VLOOKUP($C191,REV!$C:$AA,12,0)-'TRADE IN'!$F191))</f>
        <v>7499</v>
      </c>
      <c r="O191" s="46">
        <f>IF(VLOOKUP($C191,REV!$C:$AA,13,0)-'TRADE IN'!$F203=0,"",(VLOOKUP($C191,REV!$C:$AA,13,0)-'TRADE IN'!$F191))</f>
        <v>7399</v>
      </c>
      <c r="P191" s="46">
        <f>IF(VLOOKUP($C191,REV!$C:$AA,14,0)-'TRADE IN'!$F203=0,"",(VLOOKUP($C191,REV!$C:$AA,14,0)-'TRADE IN'!$F191))</f>
        <v>7299</v>
      </c>
      <c r="Q191" s="46">
        <f>IF(VLOOKUP($C191,REV!$C:$AA,15,0)-'TRADE IN'!$F203=0,"",(VLOOKUP($C191,REV!$C:$AA,15,0)-'TRADE IN'!$F191))</f>
        <v>6499</v>
      </c>
      <c r="R191" s="46">
        <f>IF(VLOOKUP($C191,REV!$C:$AA,16,0)-'TRADE IN'!$F203=0,"",(VLOOKUP($C191,REV!$C:$AA,16,0)-'TRADE IN'!$F191))</f>
        <v>7399</v>
      </c>
      <c r="S191" s="46">
        <f>IF(VLOOKUP($C191,REV!$C:$AA,17,0)-'TRADE IN'!$F203=0,"",(VLOOKUP($C191,REV!$C:$AA,17,0)-'TRADE IN'!$F191))</f>
        <v>7299</v>
      </c>
      <c r="T191" s="46">
        <f>IF(VLOOKUP($C191,REV!$C:$AA,18,0)-'TRADE IN'!$F203=0,"",(VLOOKUP($C191,REV!$C:$AA,18,0)-'TRADE IN'!$F191))</f>
        <v>6499</v>
      </c>
      <c r="U191" s="46">
        <f>IF(VLOOKUP($C191,REV!$C:$AA,19,0)-'TRADE IN'!$F203=0,"",(VLOOKUP($C191,REV!$C:$AA,19,0)-'TRADE IN'!$F191))</f>
        <v>6499</v>
      </c>
      <c r="V191" s="46">
        <f>IF(VLOOKUP($C191,REV!$C:$AA,20,0)-'TRADE IN'!$F203=0,"",(VLOOKUP($C191,REV!$C:$AA,20,0)-'TRADE IN'!$F191))</f>
        <v>6499</v>
      </c>
      <c r="W191" s="46">
        <f>IF(VLOOKUP($C191,REV!$C:$AA,21,0)-'TRADE IN'!$F203=0,"",(VLOOKUP($C191,REV!$C:$AA,21,0)-'TRADE IN'!$F191))</f>
        <v>6399</v>
      </c>
      <c r="X191" s="46">
        <f>IF(VLOOKUP($C191,REV!$C:$AA,22,0)-'TRADE IN'!$F203=0,"",(VLOOKUP($C191,REV!$C:$AA,22,0)-'TRADE IN'!$F191))</f>
        <v>6399</v>
      </c>
      <c r="Y191" s="46">
        <f>IF(VLOOKUP($C191,REV!$C:$AA,23,0)-'TRADE IN'!$F203=0,"",(VLOOKUP($C191,REV!$C:$AA,23,0)-'TRADE IN'!$F191))</f>
        <v>5799</v>
      </c>
      <c r="Z191" s="46">
        <f>IF(VLOOKUP($C191,REV!$C:$AA,24,0)-'TRADE IN'!$F203=0,"",(VLOOKUP($C191,REV!$C:$AA,24,0)-'TRADE IN'!$F191))</f>
        <v>5799</v>
      </c>
      <c r="AA191" s="46">
        <f>IF(VLOOKUP($C191,REV!$C:$AA,25,0)-'TRADE IN'!$F203=0,"",(VLOOKUP($C191,REV!$C:$AA,25,0)-'TRADE IN'!$F191))</f>
        <v>5799</v>
      </c>
      <c r="AB191" s="46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tr">
        <f>IF(REV!AW191=0,"",REV!AW191)</f>
        <v>31.03.2026</v>
      </c>
      <c r="AX191" s="159" t="s">
        <v>82</v>
      </c>
    </row>
    <row r="192" spans="1:50" ht="22.5" customHeight="1">
      <c r="A192" s="52" t="s">
        <v>70</v>
      </c>
      <c r="B192" s="41" t="s">
        <v>62</v>
      </c>
      <c r="C192" s="42">
        <v>4017484</v>
      </c>
      <c r="D192" s="43" t="s">
        <v>277</v>
      </c>
      <c r="E192" s="43" t="s">
        <v>278</v>
      </c>
      <c r="F192" s="45"/>
      <c r="G192" s="45"/>
      <c r="H192" s="45"/>
      <c r="I192" s="45"/>
      <c r="J192" s="46">
        <f>IF(VLOOKUP($C192,REV!$C:$AA,8,0)-'TRADE IN'!$F192=0,"",(VLOOKUP($C192,REV!$C:$AA,8,0)-'TRADE IN'!$F192))</f>
        <v>8099</v>
      </c>
      <c r="K192" s="46">
        <f>IF(VLOOKUP($C192,REV!$C:$AA,9,0)-'TRADE IN'!$F192=0,"",(VLOOKUP($C192,REV!$C:$AA,9,0)-'TRADE IN'!$F192))</f>
        <v>8099</v>
      </c>
      <c r="L192" s="46">
        <f>IF(VLOOKUP($C192,REV!$C:$AA,10,0)-'TRADE IN'!$F204=0,"",(VLOOKUP($C192,REV!$C:$AA,10,0)-'TRADE IN'!$F192))</f>
        <v>8099</v>
      </c>
      <c r="M192" s="46">
        <f>IF(VLOOKUP($C192,REV!$C:$AA,11,0)-'TRADE IN'!$F204=0,"",(VLOOKUP($C192,REV!$C:$AA,11,0)-'TRADE IN'!$F192))</f>
        <v>8099</v>
      </c>
      <c r="N192" s="46">
        <f>IF(VLOOKUP($C192,REV!$C:$AA,12,0)-'TRADE IN'!$F204=0,"",(VLOOKUP($C192,REV!$C:$AA,12,0)-'TRADE IN'!$F192))</f>
        <v>8099</v>
      </c>
      <c r="O192" s="46">
        <f>IF(VLOOKUP($C192,REV!$C:$AA,13,0)-'TRADE IN'!$F204=0,"",(VLOOKUP($C192,REV!$C:$AA,13,0)-'TRADE IN'!$F192))</f>
        <v>7999</v>
      </c>
      <c r="P192" s="46">
        <f>IF(VLOOKUP($C192,REV!$C:$AA,14,0)-'TRADE IN'!$F204=0,"",(VLOOKUP($C192,REV!$C:$AA,14,0)-'TRADE IN'!$F192))</f>
        <v>7899</v>
      </c>
      <c r="Q192" s="46">
        <f>IF(VLOOKUP($C192,REV!$C:$AA,15,0)-'TRADE IN'!$F204=0,"",(VLOOKUP($C192,REV!$C:$AA,15,0)-'TRADE IN'!$F192))</f>
        <v>7799</v>
      </c>
      <c r="R192" s="46">
        <f>IF(VLOOKUP($C192,REV!$C:$AA,16,0)-'TRADE IN'!$F204=0,"",(VLOOKUP($C192,REV!$C:$AA,16,0)-'TRADE IN'!$F192))</f>
        <v>7999</v>
      </c>
      <c r="S192" s="46">
        <f>IF(VLOOKUP($C192,REV!$C:$AA,17,0)-'TRADE IN'!$F204=0,"",(VLOOKUP($C192,REV!$C:$AA,17,0)-'TRADE IN'!$F192))</f>
        <v>7899</v>
      </c>
      <c r="T192" s="46">
        <f>IF(VLOOKUP($C192,REV!$C:$AA,18,0)-'TRADE IN'!$F204=0,"",(VLOOKUP($C192,REV!$C:$AA,18,0)-'TRADE IN'!$F192))</f>
        <v>7799</v>
      </c>
      <c r="U192" s="46">
        <f>IF(VLOOKUP($C192,REV!$C:$AA,19,0)-'TRADE IN'!$F204=0,"",(VLOOKUP($C192,REV!$C:$AA,19,0)-'TRADE IN'!$F192))</f>
        <v>7799</v>
      </c>
      <c r="V192" s="46">
        <f>IF(VLOOKUP($C192,REV!$C:$AA,20,0)-'TRADE IN'!$F204=0,"",(VLOOKUP($C192,REV!$C:$AA,20,0)-'TRADE IN'!$F192))</f>
        <v>7799</v>
      </c>
      <c r="W192" s="46">
        <f>IF(VLOOKUP($C192,REV!$C:$AA,21,0)-'TRADE IN'!$F204=0,"",(VLOOKUP($C192,REV!$C:$AA,21,0)-'TRADE IN'!$F192))</f>
        <v>7799</v>
      </c>
      <c r="X192" s="46">
        <f>IF(VLOOKUP($C192,REV!$C:$AA,22,0)-'TRADE IN'!$F204=0,"",(VLOOKUP($C192,REV!$C:$AA,22,0)-'TRADE IN'!$F192))</f>
        <v>7699</v>
      </c>
      <c r="Y192" s="46">
        <f>IF(VLOOKUP($C192,REV!$C:$AA,23,0)-'TRADE IN'!$F204=0,"",(VLOOKUP($C192,REV!$C:$AA,23,0)-'TRADE IN'!$F192))</f>
        <v>7499</v>
      </c>
      <c r="Z192" s="46">
        <f>IF(VLOOKUP($C192,REV!$C:$AA,24,0)-'TRADE IN'!$F204=0,"",(VLOOKUP($C192,REV!$C:$AA,24,0)-'TRADE IN'!$F192))</f>
        <v>7499</v>
      </c>
      <c r="AA192" s="46">
        <f>IF(VLOOKUP($C192,REV!$C:$AA,25,0)-'TRADE IN'!$F204=0,"",(VLOOKUP($C192,REV!$C:$AA,25,0)-'TRADE IN'!$F192))</f>
        <v>7499</v>
      </c>
      <c r="AB192" s="46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tr">
        <f>IF(REV!AW192=0,"",REV!AW192)</f>
        <v>31.03.2026</v>
      </c>
      <c r="AX192" s="159" t="s">
        <v>82</v>
      </c>
    </row>
    <row r="193" spans="1:50" ht="22.5" customHeight="1">
      <c r="A193" s="52" t="s">
        <v>70</v>
      </c>
      <c r="B193" s="41" t="s">
        <v>62</v>
      </c>
      <c r="C193" s="42">
        <v>4017506</v>
      </c>
      <c r="D193" s="43" t="s">
        <v>277</v>
      </c>
      <c r="E193" s="43" t="s">
        <v>279</v>
      </c>
      <c r="F193" s="45"/>
      <c r="G193" s="45"/>
      <c r="H193" s="45"/>
      <c r="I193" s="45"/>
      <c r="J193" s="46">
        <f>IF(VLOOKUP($C193,REV!$C:$AA,8,0)-'TRADE IN'!$F193=0,"",(VLOOKUP($C193,REV!$C:$AA,8,0)-'TRADE IN'!$F193))</f>
        <v>8099</v>
      </c>
      <c r="K193" s="46">
        <f>IF(VLOOKUP($C193,REV!$C:$AA,9,0)-'TRADE IN'!$F193=0,"",(VLOOKUP($C193,REV!$C:$AA,9,0)-'TRADE IN'!$F193))</f>
        <v>8099</v>
      </c>
      <c r="L193" s="46">
        <f>IF(VLOOKUP($C193,REV!$C:$AA,10,0)-'TRADE IN'!$F205=0,"",(VLOOKUP($C193,REV!$C:$AA,10,0)-'TRADE IN'!$F193))</f>
        <v>8099</v>
      </c>
      <c r="M193" s="46">
        <f>IF(VLOOKUP($C193,REV!$C:$AA,11,0)-'TRADE IN'!$F205=0,"",(VLOOKUP($C193,REV!$C:$AA,11,0)-'TRADE IN'!$F193))</f>
        <v>8099</v>
      </c>
      <c r="N193" s="46">
        <f>IF(VLOOKUP($C193,REV!$C:$AA,12,0)-'TRADE IN'!$F205=0,"",(VLOOKUP($C193,REV!$C:$AA,12,0)-'TRADE IN'!$F193))</f>
        <v>8099</v>
      </c>
      <c r="O193" s="46">
        <f>IF(VLOOKUP($C193,REV!$C:$AA,13,0)-'TRADE IN'!$F205=0,"",(VLOOKUP($C193,REV!$C:$AA,13,0)-'TRADE IN'!$F193))</f>
        <v>7999</v>
      </c>
      <c r="P193" s="46">
        <f>IF(VLOOKUP($C193,REV!$C:$AA,14,0)-'TRADE IN'!$F205=0,"",(VLOOKUP($C193,REV!$C:$AA,14,0)-'TRADE IN'!$F193))</f>
        <v>7899</v>
      </c>
      <c r="Q193" s="46">
        <f>IF(VLOOKUP($C193,REV!$C:$AA,15,0)-'TRADE IN'!$F205=0,"",(VLOOKUP($C193,REV!$C:$AA,15,0)-'TRADE IN'!$F193))</f>
        <v>7799</v>
      </c>
      <c r="R193" s="46">
        <f>IF(VLOOKUP($C193,REV!$C:$AA,16,0)-'TRADE IN'!$F205=0,"",(VLOOKUP($C193,REV!$C:$AA,16,0)-'TRADE IN'!$F193))</f>
        <v>7999</v>
      </c>
      <c r="S193" s="46">
        <f>IF(VLOOKUP($C193,REV!$C:$AA,17,0)-'TRADE IN'!$F205=0,"",(VLOOKUP($C193,REV!$C:$AA,17,0)-'TRADE IN'!$F193))</f>
        <v>7899</v>
      </c>
      <c r="T193" s="46">
        <f>IF(VLOOKUP($C193,REV!$C:$AA,18,0)-'TRADE IN'!$F205=0,"",(VLOOKUP($C193,REV!$C:$AA,18,0)-'TRADE IN'!$F193))</f>
        <v>7799</v>
      </c>
      <c r="U193" s="46">
        <f>IF(VLOOKUP($C193,REV!$C:$AA,19,0)-'TRADE IN'!$F205=0,"",(VLOOKUP($C193,REV!$C:$AA,19,0)-'TRADE IN'!$F193))</f>
        <v>7799</v>
      </c>
      <c r="V193" s="46">
        <f>IF(VLOOKUP($C193,REV!$C:$AA,20,0)-'TRADE IN'!$F205=0,"",(VLOOKUP($C193,REV!$C:$AA,20,0)-'TRADE IN'!$F193))</f>
        <v>7799</v>
      </c>
      <c r="W193" s="46">
        <f>IF(VLOOKUP($C193,REV!$C:$AA,21,0)-'TRADE IN'!$F205=0,"",(VLOOKUP($C193,REV!$C:$AA,21,0)-'TRADE IN'!$F193))</f>
        <v>7799</v>
      </c>
      <c r="X193" s="46">
        <f>IF(VLOOKUP($C193,REV!$C:$AA,22,0)-'TRADE IN'!$F205=0,"",(VLOOKUP($C193,REV!$C:$AA,22,0)-'TRADE IN'!$F193))</f>
        <v>7699</v>
      </c>
      <c r="Y193" s="46">
        <f>IF(VLOOKUP($C193,REV!$C:$AA,23,0)-'TRADE IN'!$F205=0,"",(VLOOKUP($C193,REV!$C:$AA,23,0)-'TRADE IN'!$F193))</f>
        <v>7499</v>
      </c>
      <c r="Z193" s="46">
        <f>IF(VLOOKUP($C193,REV!$C:$AA,24,0)-'TRADE IN'!$F205=0,"",(VLOOKUP($C193,REV!$C:$AA,24,0)-'TRADE IN'!$F193))</f>
        <v>7499</v>
      </c>
      <c r="AA193" s="46">
        <f>IF(VLOOKUP($C193,REV!$C:$AA,25,0)-'TRADE IN'!$F205=0,"",(VLOOKUP($C193,REV!$C:$AA,25,0)-'TRADE IN'!$F193))</f>
        <v>7499</v>
      </c>
      <c r="AB193" s="46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tr">
        <f>IF(REV!AW193=0,"",REV!AW193)</f>
        <v>31.03.2026</v>
      </c>
      <c r="AX193" s="159" t="s">
        <v>82</v>
      </c>
    </row>
    <row r="194" spans="1:50" ht="22.5" customHeight="1">
      <c r="A194" s="52" t="s">
        <v>70</v>
      </c>
      <c r="B194" s="41" t="s">
        <v>62</v>
      </c>
      <c r="C194" s="42">
        <v>4017497</v>
      </c>
      <c r="D194" s="43" t="s">
        <v>280</v>
      </c>
      <c r="E194" s="43" t="s">
        <v>281</v>
      </c>
      <c r="F194" s="45">
        <v>1000</v>
      </c>
      <c r="G194" s="45"/>
      <c r="H194" s="45"/>
      <c r="I194" s="45"/>
      <c r="J194" s="46">
        <f>IF(VLOOKUP($C194,REV!$C:$AA,8,0)-'TRADE IN'!$F194=0,"",(VLOOKUP($C194,REV!$C:$AA,8,0)-'TRADE IN'!$F194))</f>
        <v>6699</v>
      </c>
      <c r="K194" s="46">
        <f>IF(VLOOKUP($C194,REV!$C:$AA,9,0)-'TRADE IN'!$F194=0,"",(VLOOKUP($C194,REV!$C:$AA,9,0)-'TRADE IN'!$F194))</f>
        <v>6699</v>
      </c>
      <c r="L194" s="46">
        <f>IF(VLOOKUP($C194,REV!$C:$AA,10,0)-'TRADE IN'!$F205=0,"",(VLOOKUP($C194,REV!$C:$AA,10,0)-'TRADE IN'!$F194))</f>
        <v>6699</v>
      </c>
      <c r="M194" s="46">
        <f>IF(VLOOKUP($C194,REV!$C:$AA,11,0)-'TRADE IN'!$F205=0,"",(VLOOKUP($C194,REV!$C:$AA,11,0)-'TRADE IN'!$F194))</f>
        <v>6699</v>
      </c>
      <c r="N194" s="46">
        <f>IF(VLOOKUP($C194,REV!$C:$AA,12,0)-'TRADE IN'!$F205=0,"",(VLOOKUP($C194,REV!$C:$AA,12,0)-'TRADE IN'!$F194))</f>
        <v>6699</v>
      </c>
      <c r="O194" s="46">
        <f>IF(VLOOKUP($C194,REV!$C:$AA,13,0)-'TRADE IN'!$F205=0,"",(VLOOKUP($C194,REV!$C:$AA,13,0)-'TRADE IN'!$F194))</f>
        <v>6599</v>
      </c>
      <c r="P194" s="46">
        <f>IF(VLOOKUP($C194,REV!$C:$AA,14,0)-'TRADE IN'!$F205=0,"",(VLOOKUP($C194,REV!$C:$AA,14,0)-'TRADE IN'!$F194))</f>
        <v>6499</v>
      </c>
      <c r="Q194" s="46">
        <f>IF(VLOOKUP($C194,REV!$C:$AA,15,0)-'TRADE IN'!$F205=0,"",(VLOOKUP($C194,REV!$C:$AA,15,0)-'TRADE IN'!$F194))</f>
        <v>6399</v>
      </c>
      <c r="R194" s="46">
        <f>IF(VLOOKUP($C194,REV!$C:$AA,16,0)-'TRADE IN'!$F205=0,"",(VLOOKUP($C194,REV!$C:$AA,16,0)-'TRADE IN'!$F194))</f>
        <v>6599</v>
      </c>
      <c r="S194" s="46">
        <f>IF(VLOOKUP($C194,REV!$C:$AA,17,0)-'TRADE IN'!$F205=0,"",(VLOOKUP($C194,REV!$C:$AA,17,0)-'TRADE IN'!$F194))</f>
        <v>6499</v>
      </c>
      <c r="T194" s="46">
        <f>IF(VLOOKUP($C194,REV!$C:$AA,18,0)-'TRADE IN'!$F205=0,"",(VLOOKUP($C194,REV!$C:$AA,18,0)-'TRADE IN'!$F194))</f>
        <v>6399</v>
      </c>
      <c r="U194" s="46">
        <f>IF(VLOOKUP($C194,REV!$C:$AA,19,0)-'TRADE IN'!$F205=0,"",(VLOOKUP($C194,REV!$C:$AA,19,0)-'TRADE IN'!$F194))</f>
        <v>6399</v>
      </c>
      <c r="V194" s="46">
        <f>IF(VLOOKUP($C194,REV!$C:$AA,20,0)-'TRADE IN'!$F205=0,"",(VLOOKUP($C194,REV!$C:$AA,20,0)-'TRADE IN'!$F194))</f>
        <v>6399</v>
      </c>
      <c r="W194" s="46">
        <f>IF(VLOOKUP($C194,REV!$C:$AA,21,0)-'TRADE IN'!$F205=0,"",(VLOOKUP($C194,REV!$C:$AA,21,0)-'TRADE IN'!$F194))</f>
        <v>6399</v>
      </c>
      <c r="X194" s="46">
        <f>IF(VLOOKUP($C194,REV!$C:$AA,22,0)-'TRADE IN'!$F205=0,"",(VLOOKUP($C194,REV!$C:$AA,22,0)-'TRADE IN'!$F194))</f>
        <v>6299</v>
      </c>
      <c r="Y194" s="46">
        <f>IF(VLOOKUP($C194,REV!$C:$AA,23,0)-'TRADE IN'!$F205=0,"",(VLOOKUP($C194,REV!$C:$AA,23,0)-'TRADE IN'!$F194))</f>
        <v>4999</v>
      </c>
      <c r="Z194" s="46">
        <f>IF(VLOOKUP($C194,REV!$C:$AA,24,0)-'TRADE IN'!$F205=0,"",(VLOOKUP($C194,REV!$C:$AA,24,0)-'TRADE IN'!$F194))</f>
        <v>4999</v>
      </c>
      <c r="AA194" s="46">
        <f>IF(VLOOKUP($C194,REV!$C:$AA,25,0)-'TRADE IN'!$F205=0,"",(VLOOKUP($C194,REV!$C:$AA,25,0)-'TRADE IN'!$F194))</f>
        <v>4999</v>
      </c>
      <c r="AB194" s="46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tr">
        <f>IF(REV!AW194=0,"",REV!AW194)</f>
        <v>31.03.2026</v>
      </c>
      <c r="AX194" s="159" t="s">
        <v>82</v>
      </c>
    </row>
    <row r="195" spans="1:50" ht="22.5" customHeight="1">
      <c r="A195" s="52" t="s">
        <v>70</v>
      </c>
      <c r="B195" s="41" t="s">
        <v>62</v>
      </c>
      <c r="C195" s="42">
        <v>4017498</v>
      </c>
      <c r="D195" s="43" t="s">
        <v>280</v>
      </c>
      <c r="E195" s="43" t="s">
        <v>282</v>
      </c>
      <c r="F195" s="45">
        <v>1000</v>
      </c>
      <c r="G195" s="45"/>
      <c r="H195" s="45"/>
      <c r="I195" s="45"/>
      <c r="J195" s="46">
        <f>IF(VLOOKUP($C195,REV!$C:$AA,8,0)-'TRADE IN'!$F195=0,"",(VLOOKUP($C195,REV!$C:$AA,8,0)-'TRADE IN'!$F195))</f>
        <v>6699</v>
      </c>
      <c r="K195" s="46">
        <f>IF(VLOOKUP($C195,REV!$C:$AA,9,0)-'TRADE IN'!$F195=0,"",(VLOOKUP($C195,REV!$C:$AA,9,0)-'TRADE IN'!$F195))</f>
        <v>6699</v>
      </c>
      <c r="L195" s="46">
        <f>IF(VLOOKUP($C195,REV!$C:$AA,10,0)-'TRADE IN'!$F206=0,"",(VLOOKUP($C195,REV!$C:$AA,10,0)-'TRADE IN'!$F195))</f>
        <v>6699</v>
      </c>
      <c r="M195" s="46">
        <f>IF(VLOOKUP($C195,REV!$C:$AA,11,0)-'TRADE IN'!$F206=0,"",(VLOOKUP($C195,REV!$C:$AA,11,0)-'TRADE IN'!$F195))</f>
        <v>6699</v>
      </c>
      <c r="N195" s="46">
        <f>IF(VLOOKUP($C195,REV!$C:$AA,12,0)-'TRADE IN'!$F206=0,"",(VLOOKUP($C195,REV!$C:$AA,12,0)-'TRADE IN'!$F195))</f>
        <v>6699</v>
      </c>
      <c r="O195" s="46">
        <f>IF(VLOOKUP($C195,REV!$C:$AA,13,0)-'TRADE IN'!$F206=0,"",(VLOOKUP($C195,REV!$C:$AA,13,0)-'TRADE IN'!$F195))</f>
        <v>6599</v>
      </c>
      <c r="P195" s="46">
        <f>IF(VLOOKUP($C195,REV!$C:$AA,14,0)-'TRADE IN'!$F206=0,"",(VLOOKUP($C195,REV!$C:$AA,14,0)-'TRADE IN'!$F195))</f>
        <v>6499</v>
      </c>
      <c r="Q195" s="46">
        <f>IF(VLOOKUP($C195,REV!$C:$AA,15,0)-'TRADE IN'!$F206=0,"",(VLOOKUP($C195,REV!$C:$AA,15,0)-'TRADE IN'!$F195))</f>
        <v>6399</v>
      </c>
      <c r="R195" s="46">
        <f>IF(VLOOKUP($C195,REV!$C:$AA,16,0)-'TRADE IN'!$F206=0,"",(VLOOKUP($C195,REV!$C:$AA,16,0)-'TRADE IN'!$F195))</f>
        <v>6599</v>
      </c>
      <c r="S195" s="46">
        <f>IF(VLOOKUP($C195,REV!$C:$AA,17,0)-'TRADE IN'!$F206=0,"",(VLOOKUP($C195,REV!$C:$AA,17,0)-'TRADE IN'!$F195))</f>
        <v>6499</v>
      </c>
      <c r="T195" s="46">
        <f>IF(VLOOKUP($C195,REV!$C:$AA,18,0)-'TRADE IN'!$F206=0,"",(VLOOKUP($C195,REV!$C:$AA,18,0)-'TRADE IN'!$F195))</f>
        <v>6399</v>
      </c>
      <c r="U195" s="46">
        <f>IF(VLOOKUP($C195,REV!$C:$AA,19,0)-'TRADE IN'!$F206=0,"",(VLOOKUP($C195,REV!$C:$AA,19,0)-'TRADE IN'!$F195))</f>
        <v>6399</v>
      </c>
      <c r="V195" s="46">
        <f>IF(VLOOKUP($C195,REV!$C:$AA,20,0)-'TRADE IN'!$F206=0,"",(VLOOKUP($C195,REV!$C:$AA,20,0)-'TRADE IN'!$F195))</f>
        <v>6399</v>
      </c>
      <c r="W195" s="46">
        <f>IF(VLOOKUP($C195,REV!$C:$AA,21,0)-'TRADE IN'!$F206=0,"",(VLOOKUP($C195,REV!$C:$AA,21,0)-'TRADE IN'!$F195))</f>
        <v>6399</v>
      </c>
      <c r="X195" s="46">
        <f>IF(VLOOKUP($C195,REV!$C:$AA,22,0)-'TRADE IN'!$F206=0,"",(VLOOKUP($C195,REV!$C:$AA,22,0)-'TRADE IN'!$F195))</f>
        <v>6299</v>
      </c>
      <c r="Y195" s="46">
        <f>IF(VLOOKUP($C195,REV!$C:$AA,23,0)-'TRADE IN'!$F206=0,"",(VLOOKUP($C195,REV!$C:$AA,23,0)-'TRADE IN'!$F195))</f>
        <v>4999</v>
      </c>
      <c r="Z195" s="46">
        <f>IF(VLOOKUP($C195,REV!$C:$AA,24,0)-'TRADE IN'!$F206=0,"",(VLOOKUP($C195,REV!$C:$AA,24,0)-'TRADE IN'!$F195))</f>
        <v>4999</v>
      </c>
      <c r="AA195" s="46">
        <f>IF(VLOOKUP($C195,REV!$C:$AA,25,0)-'TRADE IN'!$F206=0,"",(VLOOKUP($C195,REV!$C:$AA,25,0)-'TRADE IN'!$F195))</f>
        <v>4999</v>
      </c>
      <c r="AB195" s="46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tr">
        <f>IF(REV!AW195=0,"",REV!AW195)</f>
        <v>31.03.2026</v>
      </c>
      <c r="AX195" s="159" t="s">
        <v>82</v>
      </c>
    </row>
    <row r="196" spans="1:50" ht="22.5" customHeight="1">
      <c r="A196" s="52" t="s">
        <v>70</v>
      </c>
      <c r="B196" s="41" t="s">
        <v>62</v>
      </c>
      <c r="C196" s="42">
        <v>4017499</v>
      </c>
      <c r="D196" s="43" t="s">
        <v>280</v>
      </c>
      <c r="E196" s="43" t="s">
        <v>283</v>
      </c>
      <c r="F196" s="45">
        <v>1000</v>
      </c>
      <c r="G196" s="45"/>
      <c r="H196" s="45"/>
      <c r="I196" s="45"/>
      <c r="J196" s="46">
        <f>IF(VLOOKUP($C196,REV!$C:$AA,8,0)-'TRADE IN'!$F196=0,"",(VLOOKUP($C196,REV!$C:$AA,8,0)-'TRADE IN'!$F196))</f>
        <v>6699</v>
      </c>
      <c r="K196" s="46">
        <f>IF(VLOOKUP($C196,REV!$C:$AA,9,0)-'TRADE IN'!$F196=0,"",(VLOOKUP($C196,REV!$C:$AA,9,0)-'TRADE IN'!$F196))</f>
        <v>6699</v>
      </c>
      <c r="L196" s="46">
        <f>IF(VLOOKUP($C196,REV!$C:$AA,10,0)-'TRADE IN'!$F208=0,"",(VLOOKUP($C196,REV!$C:$AA,10,0)-'TRADE IN'!$F196))</f>
        <v>6699</v>
      </c>
      <c r="M196" s="46">
        <f>IF(VLOOKUP($C196,REV!$C:$AA,11,0)-'TRADE IN'!$F208=0,"",(VLOOKUP($C196,REV!$C:$AA,11,0)-'TRADE IN'!$F196))</f>
        <v>6699</v>
      </c>
      <c r="N196" s="46">
        <f>IF(VLOOKUP($C196,REV!$C:$AA,12,0)-'TRADE IN'!$F208=0,"",(VLOOKUP($C196,REV!$C:$AA,12,0)-'TRADE IN'!$F196))</f>
        <v>6699</v>
      </c>
      <c r="O196" s="46">
        <f>IF(VLOOKUP($C196,REV!$C:$AA,13,0)-'TRADE IN'!$F208=0,"",(VLOOKUP($C196,REV!$C:$AA,13,0)-'TRADE IN'!$F196))</f>
        <v>6599</v>
      </c>
      <c r="P196" s="46">
        <f>IF(VLOOKUP($C196,REV!$C:$AA,14,0)-'TRADE IN'!$F208=0,"",(VLOOKUP($C196,REV!$C:$AA,14,0)-'TRADE IN'!$F196))</f>
        <v>6499</v>
      </c>
      <c r="Q196" s="46">
        <f>IF(VLOOKUP($C196,REV!$C:$AA,15,0)-'TRADE IN'!$F208=0,"",(VLOOKUP($C196,REV!$C:$AA,15,0)-'TRADE IN'!$F196))</f>
        <v>6399</v>
      </c>
      <c r="R196" s="46">
        <f>IF(VLOOKUP($C196,REV!$C:$AA,16,0)-'TRADE IN'!$F208=0,"",(VLOOKUP($C196,REV!$C:$AA,16,0)-'TRADE IN'!$F196))</f>
        <v>6599</v>
      </c>
      <c r="S196" s="46">
        <f>IF(VLOOKUP($C196,REV!$C:$AA,17,0)-'TRADE IN'!$F208=0,"",(VLOOKUP($C196,REV!$C:$AA,17,0)-'TRADE IN'!$F196))</f>
        <v>6499</v>
      </c>
      <c r="T196" s="46">
        <f>IF(VLOOKUP($C196,REV!$C:$AA,18,0)-'TRADE IN'!$F208=0,"",(VLOOKUP($C196,REV!$C:$AA,18,0)-'TRADE IN'!$F196))</f>
        <v>6399</v>
      </c>
      <c r="U196" s="46">
        <f>IF(VLOOKUP($C196,REV!$C:$AA,19,0)-'TRADE IN'!$F208=0,"",(VLOOKUP($C196,REV!$C:$AA,19,0)-'TRADE IN'!$F196))</f>
        <v>6399</v>
      </c>
      <c r="V196" s="46">
        <f>IF(VLOOKUP($C196,REV!$C:$AA,20,0)-'TRADE IN'!$F208=0,"",(VLOOKUP($C196,REV!$C:$AA,20,0)-'TRADE IN'!$F196))</f>
        <v>6399</v>
      </c>
      <c r="W196" s="46">
        <f>IF(VLOOKUP($C196,REV!$C:$AA,21,0)-'TRADE IN'!$F208=0,"",(VLOOKUP($C196,REV!$C:$AA,21,0)-'TRADE IN'!$F196))</f>
        <v>6399</v>
      </c>
      <c r="X196" s="46">
        <f>IF(VLOOKUP($C196,REV!$C:$AA,22,0)-'TRADE IN'!$F208=0,"",(VLOOKUP($C196,REV!$C:$AA,22,0)-'TRADE IN'!$F196))</f>
        <v>6299</v>
      </c>
      <c r="Y196" s="46">
        <f>IF(VLOOKUP($C196,REV!$C:$AA,23,0)-'TRADE IN'!$F208=0,"",(VLOOKUP($C196,REV!$C:$AA,23,0)-'TRADE IN'!$F196))</f>
        <v>4999</v>
      </c>
      <c r="Z196" s="46">
        <f>IF(VLOOKUP($C196,REV!$C:$AA,24,0)-'TRADE IN'!$F208=0,"",(VLOOKUP($C196,REV!$C:$AA,24,0)-'TRADE IN'!$F196))</f>
        <v>4999</v>
      </c>
      <c r="AA196" s="46">
        <f>IF(VLOOKUP($C196,REV!$C:$AA,25,0)-'TRADE IN'!$F208=0,"",(VLOOKUP($C196,REV!$C:$AA,25,0)-'TRADE IN'!$F196))</f>
        <v>4999</v>
      </c>
      <c r="AB196" s="46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tr">
        <f>IF(REV!AW196=0,"",REV!AW196)</f>
        <v>31.03.2026</v>
      </c>
      <c r="AX196" s="159" t="s">
        <v>82</v>
      </c>
    </row>
    <row r="197" spans="1:50" ht="22.5" customHeight="1">
      <c r="A197" s="52" t="s">
        <v>70</v>
      </c>
      <c r="B197" s="41" t="s">
        <v>62</v>
      </c>
      <c r="C197" s="42">
        <v>4017521</v>
      </c>
      <c r="D197" s="43" t="s">
        <v>280</v>
      </c>
      <c r="E197" s="43" t="s">
        <v>284</v>
      </c>
      <c r="F197" s="45">
        <v>1000</v>
      </c>
      <c r="G197" s="45"/>
      <c r="H197" s="45"/>
      <c r="I197" s="45"/>
      <c r="J197" s="46">
        <f>IF(VLOOKUP($C197,REV!$C:$AA,8,0)-'TRADE IN'!$F197=0,"",(VLOOKUP($C197,REV!$C:$AA,8,0)-'TRADE IN'!$F197))</f>
        <v>6699</v>
      </c>
      <c r="K197" s="46">
        <f>IF(VLOOKUP($C197,REV!$C:$AA,9,0)-'TRADE IN'!$F197=0,"",(VLOOKUP($C197,REV!$C:$AA,9,0)-'TRADE IN'!$F197))</f>
        <v>6699</v>
      </c>
      <c r="L197" s="46">
        <f>IF(VLOOKUP($C197,REV!$C:$AA,10,0)-'TRADE IN'!$F209=0,"",(VLOOKUP($C197,REV!$C:$AA,10,0)-'TRADE IN'!$F197))</f>
        <v>6699</v>
      </c>
      <c r="M197" s="46">
        <f>IF(VLOOKUP($C197,REV!$C:$AA,11,0)-'TRADE IN'!$F209=0,"",(VLOOKUP($C197,REV!$C:$AA,11,0)-'TRADE IN'!$F197))</f>
        <v>6699</v>
      </c>
      <c r="N197" s="46">
        <f>IF(VLOOKUP($C197,REV!$C:$AA,12,0)-'TRADE IN'!$F209=0,"",(VLOOKUP($C197,REV!$C:$AA,12,0)-'TRADE IN'!$F197))</f>
        <v>6699</v>
      </c>
      <c r="O197" s="46">
        <f>IF(VLOOKUP($C197,REV!$C:$AA,13,0)-'TRADE IN'!$F209=0,"",(VLOOKUP($C197,REV!$C:$AA,13,0)-'TRADE IN'!$F197))</f>
        <v>6599</v>
      </c>
      <c r="P197" s="46">
        <f>IF(VLOOKUP($C197,REV!$C:$AA,14,0)-'TRADE IN'!$F209=0,"",(VLOOKUP($C197,REV!$C:$AA,14,0)-'TRADE IN'!$F197))</f>
        <v>6499</v>
      </c>
      <c r="Q197" s="46">
        <f>IF(VLOOKUP($C197,REV!$C:$AA,15,0)-'TRADE IN'!$F209=0,"",(VLOOKUP($C197,REV!$C:$AA,15,0)-'TRADE IN'!$F197))</f>
        <v>6399</v>
      </c>
      <c r="R197" s="46">
        <f>IF(VLOOKUP($C197,REV!$C:$AA,16,0)-'TRADE IN'!$F209=0,"",(VLOOKUP($C197,REV!$C:$AA,16,0)-'TRADE IN'!$F197))</f>
        <v>6599</v>
      </c>
      <c r="S197" s="46">
        <f>IF(VLOOKUP($C197,REV!$C:$AA,17,0)-'TRADE IN'!$F209=0,"",(VLOOKUP($C197,REV!$C:$AA,17,0)-'TRADE IN'!$F197))</f>
        <v>6499</v>
      </c>
      <c r="T197" s="46">
        <f>IF(VLOOKUP($C197,REV!$C:$AA,18,0)-'TRADE IN'!$F209=0,"",(VLOOKUP($C197,REV!$C:$AA,18,0)-'TRADE IN'!$F197))</f>
        <v>6399</v>
      </c>
      <c r="U197" s="46">
        <f>IF(VLOOKUP($C197,REV!$C:$AA,19,0)-'TRADE IN'!$F209=0,"",(VLOOKUP($C197,REV!$C:$AA,19,0)-'TRADE IN'!$F197))</f>
        <v>6399</v>
      </c>
      <c r="V197" s="46">
        <f>IF(VLOOKUP($C197,REV!$C:$AA,20,0)-'TRADE IN'!$F209=0,"",(VLOOKUP($C197,REV!$C:$AA,20,0)-'TRADE IN'!$F197))</f>
        <v>6399</v>
      </c>
      <c r="W197" s="46">
        <f>IF(VLOOKUP($C197,REV!$C:$AA,21,0)-'TRADE IN'!$F209=0,"",(VLOOKUP($C197,REV!$C:$AA,21,0)-'TRADE IN'!$F197))</f>
        <v>6399</v>
      </c>
      <c r="X197" s="46">
        <f>IF(VLOOKUP($C197,REV!$C:$AA,22,0)-'TRADE IN'!$F209=0,"",(VLOOKUP($C197,REV!$C:$AA,22,0)-'TRADE IN'!$F197))</f>
        <v>6299</v>
      </c>
      <c r="Y197" s="46">
        <f>IF(VLOOKUP($C197,REV!$C:$AA,23,0)-'TRADE IN'!$F209=0,"",(VLOOKUP($C197,REV!$C:$AA,23,0)-'TRADE IN'!$F197))</f>
        <v>4999</v>
      </c>
      <c r="Z197" s="46">
        <f>IF(VLOOKUP($C197,REV!$C:$AA,24,0)-'TRADE IN'!$F209=0,"",(VLOOKUP($C197,REV!$C:$AA,24,0)-'TRADE IN'!$F197))</f>
        <v>4999</v>
      </c>
      <c r="AA197" s="46">
        <f>IF(VLOOKUP($C197,REV!$C:$AA,25,0)-'TRADE IN'!$F209=0,"",(VLOOKUP($C197,REV!$C:$AA,25,0)-'TRADE IN'!$F197))</f>
        <v>4999</v>
      </c>
      <c r="AB197" s="46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tr">
        <f>IF(REV!AW197=0,"",REV!AW197)</f>
        <v>31.03.2026</v>
      </c>
      <c r="AX197" s="159" t="s">
        <v>82</v>
      </c>
    </row>
    <row r="198" spans="1:50" ht="22.5" customHeight="1">
      <c r="A198" s="52" t="s">
        <v>70</v>
      </c>
      <c r="B198" s="41" t="s">
        <v>62</v>
      </c>
      <c r="C198" s="42">
        <v>4017496</v>
      </c>
      <c r="D198" s="43" t="s">
        <v>285</v>
      </c>
      <c r="E198" s="43" t="s">
        <v>286</v>
      </c>
      <c r="F198" s="45">
        <v>1000</v>
      </c>
      <c r="G198" s="45"/>
      <c r="H198" s="45"/>
      <c r="I198" s="45"/>
      <c r="J198" s="46">
        <f>IF(VLOOKUP($C198,REV!$C:$AA,8,0)-'TRADE IN'!$F198=0,"",(VLOOKUP($C198,REV!$C:$AA,8,0)-'TRADE IN'!$F198))</f>
        <v>7999</v>
      </c>
      <c r="K198" s="46">
        <f>IF(VLOOKUP($C198,REV!$C:$AA,9,0)-'TRADE IN'!$F198=0,"",(VLOOKUP($C198,REV!$C:$AA,9,0)-'TRADE IN'!$F198))</f>
        <v>7999</v>
      </c>
      <c r="L198" s="46">
        <f>IF(VLOOKUP($C198,REV!$C:$AA,10,0)-'TRADE IN'!$F210=0,"",(VLOOKUP($C198,REV!$C:$AA,10,0)-'TRADE IN'!$F198))</f>
        <v>7999</v>
      </c>
      <c r="M198" s="46">
        <f>IF(VLOOKUP($C198,REV!$C:$AA,11,0)-'TRADE IN'!$F210=0,"",(VLOOKUP($C198,REV!$C:$AA,11,0)-'TRADE IN'!$F198))</f>
        <v>7999</v>
      </c>
      <c r="N198" s="46">
        <f>IF(VLOOKUP($C198,REV!$C:$AA,12,0)-'TRADE IN'!$F210=0,"",(VLOOKUP($C198,REV!$C:$AA,12,0)-'TRADE IN'!$F198))</f>
        <v>7999</v>
      </c>
      <c r="O198" s="46">
        <f>IF(VLOOKUP($C198,REV!$C:$AA,13,0)-'TRADE IN'!$F210=0,"",(VLOOKUP($C198,REV!$C:$AA,13,0)-'TRADE IN'!$F198))</f>
        <v>7899</v>
      </c>
      <c r="P198" s="46">
        <f>IF(VLOOKUP($C198,REV!$C:$AA,14,0)-'TRADE IN'!$F210=0,"",(VLOOKUP($C198,REV!$C:$AA,14,0)-'TRADE IN'!$F198))</f>
        <v>7799</v>
      </c>
      <c r="Q198" s="46">
        <f>IF(VLOOKUP($C198,REV!$C:$AA,15,0)-'TRADE IN'!$F210=0,"",(VLOOKUP($C198,REV!$C:$AA,15,0)-'TRADE IN'!$F198))</f>
        <v>7499</v>
      </c>
      <c r="R198" s="46">
        <f>IF(VLOOKUP($C198,REV!$C:$AA,16,0)-'TRADE IN'!$F210=0,"",(VLOOKUP($C198,REV!$C:$AA,16,0)-'TRADE IN'!$F198))</f>
        <v>7899</v>
      </c>
      <c r="S198" s="46">
        <f>IF(VLOOKUP($C198,REV!$C:$AA,17,0)-'TRADE IN'!$F210=0,"",(VLOOKUP($C198,REV!$C:$AA,17,0)-'TRADE IN'!$F198))</f>
        <v>7799</v>
      </c>
      <c r="T198" s="46">
        <f>IF(VLOOKUP($C198,REV!$C:$AA,18,0)-'TRADE IN'!$F210=0,"",(VLOOKUP($C198,REV!$C:$AA,18,0)-'TRADE IN'!$F198))</f>
        <v>7499</v>
      </c>
      <c r="U198" s="46">
        <f>IF(VLOOKUP($C198,REV!$C:$AA,19,0)-'TRADE IN'!$F210=0,"",(VLOOKUP($C198,REV!$C:$AA,19,0)-'TRADE IN'!$F198))</f>
        <v>7499</v>
      </c>
      <c r="V198" s="46">
        <f>IF(VLOOKUP($C198,REV!$C:$AA,20,0)-'TRADE IN'!$F210=0,"",(VLOOKUP($C198,REV!$C:$AA,20,0)-'TRADE IN'!$F198))</f>
        <v>7499</v>
      </c>
      <c r="W198" s="46">
        <f>IF(VLOOKUP($C198,REV!$C:$AA,21,0)-'TRADE IN'!$F210=0,"",(VLOOKUP($C198,REV!$C:$AA,21,0)-'TRADE IN'!$F198))</f>
        <v>7499</v>
      </c>
      <c r="X198" s="46">
        <f>IF(VLOOKUP($C198,REV!$C:$AA,22,0)-'TRADE IN'!$F210=0,"",(VLOOKUP($C198,REV!$C:$AA,22,0)-'TRADE IN'!$F198))</f>
        <v>7399</v>
      </c>
      <c r="Y198" s="46">
        <f>IF(VLOOKUP($C198,REV!$C:$AA,23,0)-'TRADE IN'!$F210=0,"",(VLOOKUP($C198,REV!$C:$AA,23,0)-'TRADE IN'!$F198))</f>
        <v>6799</v>
      </c>
      <c r="Z198" s="46">
        <f>IF(VLOOKUP($C198,REV!$C:$AA,24,0)-'TRADE IN'!$F210=0,"",(VLOOKUP($C198,REV!$C:$AA,24,0)-'TRADE IN'!$F198))</f>
        <v>6799</v>
      </c>
      <c r="AA198" s="46">
        <f>IF(VLOOKUP($C198,REV!$C:$AA,25,0)-'TRADE IN'!$F210=0,"",(VLOOKUP($C198,REV!$C:$AA,25,0)-'TRADE IN'!$F198))</f>
        <v>6799</v>
      </c>
      <c r="AB198" s="46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tr">
        <f>IF(REV!AW198=0,"",REV!AW198)</f>
        <v>31.03.2026</v>
      </c>
      <c r="AX198" s="159" t="s">
        <v>82</v>
      </c>
    </row>
    <row r="199" spans="1:50" ht="22.5" customHeight="1">
      <c r="A199" s="52" t="s">
        <v>70</v>
      </c>
      <c r="B199" s="41" t="s">
        <v>62</v>
      </c>
      <c r="C199" s="42">
        <v>4017519</v>
      </c>
      <c r="D199" s="43" t="s">
        <v>285</v>
      </c>
      <c r="E199" s="43" t="s">
        <v>287</v>
      </c>
      <c r="F199" s="45">
        <v>1000</v>
      </c>
      <c r="G199" s="45"/>
      <c r="H199" s="45"/>
      <c r="I199" s="45"/>
      <c r="J199" s="46">
        <f>IF(VLOOKUP($C199,REV!$C:$AA,8,0)-'TRADE IN'!$F199=0,"",(VLOOKUP($C199,REV!$C:$AA,8,0)-'TRADE IN'!$F199))</f>
        <v>7999</v>
      </c>
      <c r="K199" s="46">
        <f>IF(VLOOKUP($C199,REV!$C:$AA,9,0)-'TRADE IN'!$F199=0,"",(VLOOKUP($C199,REV!$C:$AA,9,0)-'TRADE IN'!$F199))</f>
        <v>7999</v>
      </c>
      <c r="L199" s="46">
        <f>IF(VLOOKUP($C199,REV!$C:$AA,10,0)-'TRADE IN'!$F211=0,"",(VLOOKUP($C199,REV!$C:$AA,10,0)-'TRADE IN'!$F199))</f>
        <v>7999</v>
      </c>
      <c r="M199" s="46">
        <f>IF(VLOOKUP($C199,REV!$C:$AA,11,0)-'TRADE IN'!$F211=0,"",(VLOOKUP($C199,REV!$C:$AA,11,0)-'TRADE IN'!$F199))</f>
        <v>7999</v>
      </c>
      <c r="N199" s="46">
        <f>IF(VLOOKUP($C199,REV!$C:$AA,12,0)-'TRADE IN'!$F211=0,"",(VLOOKUP($C199,REV!$C:$AA,12,0)-'TRADE IN'!$F199))</f>
        <v>7999</v>
      </c>
      <c r="O199" s="46">
        <f>IF(VLOOKUP($C199,REV!$C:$AA,13,0)-'TRADE IN'!$F211=0,"",(VLOOKUP($C199,REV!$C:$AA,13,0)-'TRADE IN'!$F199))</f>
        <v>7899</v>
      </c>
      <c r="P199" s="46">
        <f>IF(VLOOKUP($C199,REV!$C:$AA,14,0)-'TRADE IN'!$F211=0,"",(VLOOKUP($C199,REV!$C:$AA,14,0)-'TRADE IN'!$F199))</f>
        <v>7799</v>
      </c>
      <c r="Q199" s="46">
        <f>IF(VLOOKUP($C199,REV!$C:$AA,15,0)-'TRADE IN'!$F211=0,"",(VLOOKUP($C199,REV!$C:$AA,15,0)-'TRADE IN'!$F199))</f>
        <v>7499</v>
      </c>
      <c r="R199" s="46">
        <f>IF(VLOOKUP($C199,REV!$C:$AA,16,0)-'TRADE IN'!$F211=0,"",(VLOOKUP($C199,REV!$C:$AA,16,0)-'TRADE IN'!$F199))</f>
        <v>7899</v>
      </c>
      <c r="S199" s="46">
        <f>IF(VLOOKUP($C199,REV!$C:$AA,17,0)-'TRADE IN'!$F211=0,"",(VLOOKUP($C199,REV!$C:$AA,17,0)-'TRADE IN'!$F199))</f>
        <v>7799</v>
      </c>
      <c r="T199" s="46">
        <f>IF(VLOOKUP($C199,REV!$C:$AA,18,0)-'TRADE IN'!$F211=0,"",(VLOOKUP($C199,REV!$C:$AA,18,0)-'TRADE IN'!$F199))</f>
        <v>7499</v>
      </c>
      <c r="U199" s="46">
        <f>IF(VLOOKUP($C199,REV!$C:$AA,19,0)-'TRADE IN'!$F211=0,"",(VLOOKUP($C199,REV!$C:$AA,19,0)-'TRADE IN'!$F199))</f>
        <v>7499</v>
      </c>
      <c r="V199" s="46">
        <f>IF(VLOOKUP($C199,REV!$C:$AA,20,0)-'TRADE IN'!$F211=0,"",(VLOOKUP($C199,REV!$C:$AA,20,0)-'TRADE IN'!$F199))</f>
        <v>7499</v>
      </c>
      <c r="W199" s="46">
        <f>IF(VLOOKUP($C199,REV!$C:$AA,21,0)-'TRADE IN'!$F211=0,"",(VLOOKUP($C199,REV!$C:$AA,21,0)-'TRADE IN'!$F199))</f>
        <v>7499</v>
      </c>
      <c r="X199" s="46">
        <f>IF(VLOOKUP($C199,REV!$C:$AA,22,0)-'TRADE IN'!$F211=0,"",(VLOOKUP($C199,REV!$C:$AA,22,0)-'TRADE IN'!$F199))</f>
        <v>7399</v>
      </c>
      <c r="Y199" s="46">
        <f>IF(VLOOKUP($C199,REV!$C:$AA,23,0)-'TRADE IN'!$F211=0,"",(VLOOKUP($C199,REV!$C:$AA,23,0)-'TRADE IN'!$F199))</f>
        <v>6799</v>
      </c>
      <c r="Z199" s="46">
        <f>IF(VLOOKUP($C199,REV!$C:$AA,24,0)-'TRADE IN'!$F211=0,"",(VLOOKUP($C199,REV!$C:$AA,24,0)-'TRADE IN'!$F199))</f>
        <v>6799</v>
      </c>
      <c r="AA199" s="46">
        <f>IF(VLOOKUP($C199,REV!$C:$AA,25,0)-'TRADE IN'!$F211=0,"",(VLOOKUP($C199,REV!$C:$AA,25,0)-'TRADE IN'!$F199))</f>
        <v>6799</v>
      </c>
      <c r="AB199" s="46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tr">
        <f>IF(REV!AW199=0,"",REV!AW199)</f>
        <v>31.03.2026</v>
      </c>
      <c r="AX199" s="159" t="s">
        <v>82</v>
      </c>
    </row>
    <row r="200" spans="1:50" ht="22.5" customHeight="1">
      <c r="A200" s="52" t="s">
        <v>70</v>
      </c>
      <c r="B200" s="41" t="s">
        <v>62</v>
      </c>
      <c r="C200" s="42">
        <v>4017525</v>
      </c>
      <c r="D200" s="43" t="s">
        <v>285</v>
      </c>
      <c r="E200" s="43" t="s">
        <v>288</v>
      </c>
      <c r="F200" s="45">
        <v>1000</v>
      </c>
      <c r="G200" s="45"/>
      <c r="H200" s="45"/>
      <c r="I200" s="45"/>
      <c r="J200" s="46">
        <f>IF(VLOOKUP($C200,REV!$C:$AA,8,0)-'TRADE IN'!$F200=0,"",(VLOOKUP($C200,REV!$C:$AA,8,0)-'TRADE IN'!$F200))</f>
        <v>7999</v>
      </c>
      <c r="K200" s="46">
        <f>IF(VLOOKUP($C200,REV!$C:$AA,9,0)-'TRADE IN'!$F200=0,"",(VLOOKUP($C200,REV!$C:$AA,9,0)-'TRADE IN'!$F200))</f>
        <v>7999</v>
      </c>
      <c r="L200" s="46">
        <f>IF(VLOOKUP($C200,REV!$C:$AA,10,0)-'TRADE IN'!$F212=0,"",(VLOOKUP($C200,REV!$C:$AA,10,0)-'TRADE IN'!$F200))</f>
        <v>7999</v>
      </c>
      <c r="M200" s="46">
        <f>IF(VLOOKUP($C200,REV!$C:$AA,11,0)-'TRADE IN'!$F212=0,"",(VLOOKUP($C200,REV!$C:$AA,11,0)-'TRADE IN'!$F200))</f>
        <v>7999</v>
      </c>
      <c r="N200" s="46">
        <f>IF(VLOOKUP($C200,REV!$C:$AA,12,0)-'TRADE IN'!$F212=0,"",(VLOOKUP($C200,REV!$C:$AA,12,0)-'TRADE IN'!$F200))</f>
        <v>7999</v>
      </c>
      <c r="O200" s="46">
        <f>IF(VLOOKUP($C200,REV!$C:$AA,13,0)-'TRADE IN'!$F212=0,"",(VLOOKUP($C200,REV!$C:$AA,13,0)-'TRADE IN'!$F200))</f>
        <v>7899</v>
      </c>
      <c r="P200" s="46">
        <f>IF(VLOOKUP($C200,REV!$C:$AA,14,0)-'TRADE IN'!$F212=0,"",(VLOOKUP($C200,REV!$C:$AA,14,0)-'TRADE IN'!$F200))</f>
        <v>7799</v>
      </c>
      <c r="Q200" s="46">
        <f>IF(VLOOKUP($C200,REV!$C:$AA,15,0)-'TRADE IN'!$F212=0,"",(VLOOKUP($C200,REV!$C:$AA,15,0)-'TRADE IN'!$F200))</f>
        <v>7499</v>
      </c>
      <c r="R200" s="46">
        <f>IF(VLOOKUP($C200,REV!$C:$AA,16,0)-'TRADE IN'!$F212=0,"",(VLOOKUP($C200,REV!$C:$AA,16,0)-'TRADE IN'!$F200))</f>
        <v>7899</v>
      </c>
      <c r="S200" s="46">
        <f>IF(VLOOKUP($C200,REV!$C:$AA,17,0)-'TRADE IN'!$F212=0,"",(VLOOKUP($C200,REV!$C:$AA,17,0)-'TRADE IN'!$F200))</f>
        <v>7799</v>
      </c>
      <c r="T200" s="46">
        <f>IF(VLOOKUP($C200,REV!$C:$AA,18,0)-'TRADE IN'!$F212=0,"",(VLOOKUP($C200,REV!$C:$AA,18,0)-'TRADE IN'!$F200))</f>
        <v>7499</v>
      </c>
      <c r="U200" s="46">
        <f>IF(VLOOKUP($C200,REV!$C:$AA,19,0)-'TRADE IN'!$F212=0,"",(VLOOKUP($C200,REV!$C:$AA,19,0)-'TRADE IN'!$F200))</f>
        <v>7499</v>
      </c>
      <c r="V200" s="46">
        <f>IF(VLOOKUP($C200,REV!$C:$AA,20,0)-'TRADE IN'!$F212=0,"",(VLOOKUP($C200,REV!$C:$AA,20,0)-'TRADE IN'!$F200))</f>
        <v>7499</v>
      </c>
      <c r="W200" s="46">
        <f>IF(VLOOKUP($C200,REV!$C:$AA,21,0)-'TRADE IN'!$F212=0,"",(VLOOKUP($C200,REV!$C:$AA,21,0)-'TRADE IN'!$F200))</f>
        <v>7499</v>
      </c>
      <c r="X200" s="46">
        <f>IF(VLOOKUP($C200,REV!$C:$AA,22,0)-'TRADE IN'!$F212=0,"",(VLOOKUP($C200,REV!$C:$AA,22,0)-'TRADE IN'!$F200))</f>
        <v>7399</v>
      </c>
      <c r="Y200" s="46">
        <f>IF(VLOOKUP($C200,REV!$C:$AA,23,0)-'TRADE IN'!$F212=0,"",(VLOOKUP($C200,REV!$C:$AA,23,0)-'TRADE IN'!$F200))</f>
        <v>6799</v>
      </c>
      <c r="Z200" s="46">
        <f>IF(VLOOKUP($C200,REV!$C:$AA,24,0)-'TRADE IN'!$F212=0,"",(VLOOKUP($C200,REV!$C:$AA,24,0)-'TRADE IN'!$F200))</f>
        <v>6799</v>
      </c>
      <c r="AA200" s="46">
        <f>IF(VLOOKUP($C200,REV!$C:$AA,25,0)-'TRADE IN'!$F212=0,"",(VLOOKUP($C200,REV!$C:$AA,25,0)-'TRADE IN'!$F200))</f>
        <v>6799</v>
      </c>
      <c r="AB200" s="46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tr">
        <f>IF(REV!AW200=0,"",REV!AW200)</f>
        <v>31.03.2026</v>
      </c>
      <c r="AX200" s="159" t="s">
        <v>82</v>
      </c>
    </row>
    <row r="201" spans="1:50" ht="22.5" customHeight="1">
      <c r="A201" s="52" t="s">
        <v>70</v>
      </c>
      <c r="B201" s="41" t="s">
        <v>62</v>
      </c>
      <c r="C201" s="42">
        <v>4017518</v>
      </c>
      <c r="D201" s="43" t="s">
        <v>285</v>
      </c>
      <c r="E201" s="43" t="s">
        <v>289</v>
      </c>
      <c r="F201" s="45">
        <v>1000</v>
      </c>
      <c r="G201" s="45"/>
      <c r="H201" s="45"/>
      <c r="I201" s="45"/>
      <c r="J201" s="46">
        <f>IF(VLOOKUP($C201,REV!$C:$AA,8,0)-'TRADE IN'!$F201=0,"",(VLOOKUP($C201,REV!$C:$AA,8,0)-'TRADE IN'!$F201))</f>
        <v>7999</v>
      </c>
      <c r="K201" s="46">
        <f>IF(VLOOKUP($C201,REV!$C:$AA,9,0)-'TRADE IN'!$F201=0,"",(VLOOKUP($C201,REV!$C:$AA,9,0)-'TRADE IN'!$F201))</f>
        <v>7999</v>
      </c>
      <c r="L201" s="46">
        <f>IF(VLOOKUP($C201,REV!$C:$AA,10,0)-'TRADE IN'!$F213=0,"",(VLOOKUP($C201,REV!$C:$AA,10,0)-'TRADE IN'!$F201))</f>
        <v>7999</v>
      </c>
      <c r="M201" s="46">
        <f>IF(VLOOKUP($C201,REV!$C:$AA,11,0)-'TRADE IN'!$F213=0,"",(VLOOKUP($C201,REV!$C:$AA,11,0)-'TRADE IN'!$F201))</f>
        <v>7999</v>
      </c>
      <c r="N201" s="46">
        <f>IF(VLOOKUP($C201,REV!$C:$AA,12,0)-'TRADE IN'!$F213=0,"",(VLOOKUP($C201,REV!$C:$AA,12,0)-'TRADE IN'!$F201))</f>
        <v>7999</v>
      </c>
      <c r="O201" s="46">
        <f>IF(VLOOKUP($C201,REV!$C:$AA,13,0)-'TRADE IN'!$F213=0,"",(VLOOKUP($C201,REV!$C:$AA,13,0)-'TRADE IN'!$F201))</f>
        <v>7899</v>
      </c>
      <c r="P201" s="46">
        <f>IF(VLOOKUP($C201,REV!$C:$AA,14,0)-'TRADE IN'!$F213=0,"",(VLOOKUP($C201,REV!$C:$AA,14,0)-'TRADE IN'!$F201))</f>
        <v>7799</v>
      </c>
      <c r="Q201" s="46">
        <f>IF(VLOOKUP($C201,REV!$C:$AA,15,0)-'TRADE IN'!$F213=0,"",(VLOOKUP($C201,REV!$C:$AA,15,0)-'TRADE IN'!$F201))</f>
        <v>7499</v>
      </c>
      <c r="R201" s="46">
        <f>IF(VLOOKUP($C201,REV!$C:$AA,16,0)-'TRADE IN'!$F213=0,"",(VLOOKUP($C201,REV!$C:$AA,16,0)-'TRADE IN'!$F201))</f>
        <v>7899</v>
      </c>
      <c r="S201" s="46">
        <f>IF(VLOOKUP($C201,REV!$C:$AA,17,0)-'TRADE IN'!$F213=0,"",(VLOOKUP($C201,REV!$C:$AA,17,0)-'TRADE IN'!$F201))</f>
        <v>7799</v>
      </c>
      <c r="T201" s="46">
        <f>IF(VLOOKUP($C201,REV!$C:$AA,18,0)-'TRADE IN'!$F213=0,"",(VLOOKUP($C201,REV!$C:$AA,18,0)-'TRADE IN'!$F201))</f>
        <v>7499</v>
      </c>
      <c r="U201" s="46">
        <f>IF(VLOOKUP($C201,REV!$C:$AA,19,0)-'TRADE IN'!$F213=0,"",(VLOOKUP($C201,REV!$C:$AA,19,0)-'TRADE IN'!$F201))</f>
        <v>7499</v>
      </c>
      <c r="V201" s="46">
        <f>IF(VLOOKUP($C201,REV!$C:$AA,20,0)-'TRADE IN'!$F213=0,"",(VLOOKUP($C201,REV!$C:$AA,20,0)-'TRADE IN'!$F201))</f>
        <v>7499</v>
      </c>
      <c r="W201" s="46">
        <f>IF(VLOOKUP($C201,REV!$C:$AA,21,0)-'TRADE IN'!$F213=0,"",(VLOOKUP($C201,REV!$C:$AA,21,0)-'TRADE IN'!$F201))</f>
        <v>7499</v>
      </c>
      <c r="X201" s="46">
        <f>IF(VLOOKUP($C201,REV!$C:$AA,22,0)-'TRADE IN'!$F213=0,"",(VLOOKUP($C201,REV!$C:$AA,22,0)-'TRADE IN'!$F201))</f>
        <v>7399</v>
      </c>
      <c r="Y201" s="46">
        <f>IF(VLOOKUP($C201,REV!$C:$AA,23,0)-'TRADE IN'!$F213=0,"",(VLOOKUP($C201,REV!$C:$AA,23,0)-'TRADE IN'!$F201))</f>
        <v>6799</v>
      </c>
      <c r="Z201" s="46">
        <f>IF(VLOOKUP($C201,REV!$C:$AA,24,0)-'TRADE IN'!$F213=0,"",(VLOOKUP($C201,REV!$C:$AA,24,0)-'TRADE IN'!$F201))</f>
        <v>6799</v>
      </c>
      <c r="AA201" s="46">
        <f>IF(VLOOKUP($C201,REV!$C:$AA,25,0)-'TRADE IN'!$F213=0,"",(VLOOKUP($C201,REV!$C:$AA,25,0)-'TRADE IN'!$F201))</f>
        <v>6799</v>
      </c>
      <c r="AB201" s="46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tr">
        <f>IF(REV!AW201=0,"",REV!AW201)</f>
        <v>31.03.2026</v>
      </c>
      <c r="AX201" s="159" t="s">
        <v>82</v>
      </c>
    </row>
    <row r="202" spans="1:50" ht="22.5" customHeight="1">
      <c r="A202" s="52" t="s">
        <v>70</v>
      </c>
      <c r="B202" s="41" t="s">
        <v>62</v>
      </c>
      <c r="C202" s="42">
        <v>4017487</v>
      </c>
      <c r="D202" s="43" t="s">
        <v>290</v>
      </c>
      <c r="E202" s="43" t="s">
        <v>291</v>
      </c>
      <c r="F202" s="45"/>
      <c r="G202" s="45"/>
      <c r="H202" s="45"/>
      <c r="I202" s="45"/>
      <c r="J202" s="46">
        <f>IF(VLOOKUP($C202,REV!$C:$AA,8,0)-'TRADE IN'!$F202=0,"",(VLOOKUP($C202,REV!$C:$AA,8,0)-'TRADE IN'!$F202))</f>
        <v>10799</v>
      </c>
      <c r="K202" s="46">
        <f>IF(VLOOKUP($C202,REV!$C:$AA,9,0)-'TRADE IN'!$F202=0,"",(VLOOKUP($C202,REV!$C:$AA,9,0)-'TRADE IN'!$F202))</f>
        <v>10799</v>
      </c>
      <c r="L202" s="46">
        <f>IF(VLOOKUP($C202,REV!$C:$AA,10,0)-'TRADE IN'!$F213=0,"",(VLOOKUP($C202,REV!$C:$AA,10,0)-'TRADE IN'!$F202))</f>
        <v>10799</v>
      </c>
      <c r="M202" s="46">
        <f>IF(VLOOKUP($C202,REV!$C:$AA,11,0)-'TRADE IN'!$F213=0,"",(VLOOKUP($C202,REV!$C:$AA,11,0)-'TRADE IN'!$F202))</f>
        <v>10799</v>
      </c>
      <c r="N202" s="46">
        <f>IF(VLOOKUP($C202,REV!$C:$AA,12,0)-'TRADE IN'!$F213=0,"",(VLOOKUP($C202,REV!$C:$AA,12,0)-'TRADE IN'!$F202))</f>
        <v>10799</v>
      </c>
      <c r="O202" s="46">
        <f>IF(VLOOKUP($C202,REV!$C:$AA,13,0)-'TRADE IN'!$F213=0,"",(VLOOKUP($C202,REV!$C:$AA,13,0)-'TRADE IN'!$F202))</f>
        <v>10699</v>
      </c>
      <c r="P202" s="46">
        <f>IF(VLOOKUP($C202,REV!$C:$AA,14,0)-'TRADE IN'!$F213=0,"",(VLOOKUP($C202,REV!$C:$AA,14,0)-'TRADE IN'!$F202))</f>
        <v>10599</v>
      </c>
      <c r="Q202" s="46">
        <f>IF(VLOOKUP($C202,REV!$C:$AA,15,0)-'TRADE IN'!$F213=0,"",(VLOOKUP($C202,REV!$C:$AA,15,0)-'TRADE IN'!$F202))</f>
        <v>9799</v>
      </c>
      <c r="R202" s="46">
        <f>IF(VLOOKUP($C202,REV!$C:$AA,16,0)-'TRADE IN'!$F213=0,"",(VLOOKUP($C202,REV!$C:$AA,16,0)-'TRADE IN'!$F202))</f>
        <v>10699</v>
      </c>
      <c r="S202" s="46">
        <f>IF(VLOOKUP($C202,REV!$C:$AA,17,0)-'TRADE IN'!$F213=0,"",(VLOOKUP($C202,REV!$C:$AA,17,0)-'TRADE IN'!$F202))</f>
        <v>10599</v>
      </c>
      <c r="T202" s="46">
        <f>IF(VLOOKUP($C202,REV!$C:$AA,18,0)-'TRADE IN'!$F213=0,"",(VLOOKUP($C202,REV!$C:$AA,18,0)-'TRADE IN'!$F202))</f>
        <v>9799</v>
      </c>
      <c r="U202" s="46">
        <f>IF(VLOOKUP($C202,REV!$C:$AA,19,0)-'TRADE IN'!$F213=0,"",(VLOOKUP($C202,REV!$C:$AA,19,0)-'TRADE IN'!$F202))</f>
        <v>9799</v>
      </c>
      <c r="V202" s="46">
        <f>IF(VLOOKUP($C202,REV!$C:$AA,20,0)-'TRADE IN'!$F213=0,"",(VLOOKUP($C202,REV!$C:$AA,20,0)-'TRADE IN'!$F202))</f>
        <v>9799</v>
      </c>
      <c r="W202" s="46">
        <f>IF(VLOOKUP($C202,REV!$C:$AA,21,0)-'TRADE IN'!$F213=0,"",(VLOOKUP($C202,REV!$C:$AA,21,0)-'TRADE IN'!$F202))</f>
        <v>9699</v>
      </c>
      <c r="X202" s="46">
        <f>IF(VLOOKUP($C202,REV!$C:$AA,22,0)-'TRADE IN'!$F213=0,"",(VLOOKUP($C202,REV!$C:$AA,22,0)-'TRADE IN'!$F202))</f>
        <v>9699</v>
      </c>
      <c r="Y202" s="46">
        <f>IF(VLOOKUP($C202,REV!$C:$AA,23,0)-'TRADE IN'!$F213=0,"",(VLOOKUP($C202,REV!$C:$AA,23,0)-'TRADE IN'!$F202))</f>
        <v>8799</v>
      </c>
      <c r="Z202" s="46">
        <f>IF(VLOOKUP($C202,REV!$C:$AA,24,0)-'TRADE IN'!$F213=0,"",(VLOOKUP($C202,REV!$C:$AA,24,0)-'TRADE IN'!$F202))</f>
        <v>8799</v>
      </c>
      <c r="AA202" s="46">
        <f>IF(VLOOKUP($C202,REV!$C:$AA,25,0)-'TRADE IN'!$F213=0,"",(VLOOKUP($C202,REV!$C:$AA,25,0)-'TRADE IN'!$F202))</f>
        <v>8799</v>
      </c>
      <c r="AB202" s="46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tr">
        <f>IF(REV!AW202=0,"",REV!AW202)</f>
        <v>31.03.2026</v>
      </c>
      <c r="AX202" s="159" t="s">
        <v>82</v>
      </c>
    </row>
    <row r="203" spans="1:50" ht="22.5" customHeight="1">
      <c r="A203" s="52" t="s">
        <v>70</v>
      </c>
      <c r="B203" s="41" t="s">
        <v>62</v>
      </c>
      <c r="C203" s="42">
        <v>4017510</v>
      </c>
      <c r="D203" s="43" t="s">
        <v>290</v>
      </c>
      <c r="E203" s="43" t="s">
        <v>292</v>
      </c>
      <c r="F203" s="45"/>
      <c r="G203" s="45"/>
      <c r="H203" s="45"/>
      <c r="I203" s="45"/>
      <c r="J203" s="46">
        <f>IF(VLOOKUP($C203,REV!$C:$AA,8,0)-'TRADE IN'!$F203=0,"",(VLOOKUP($C203,REV!$C:$AA,8,0)-'TRADE IN'!$F203))</f>
        <v>10799</v>
      </c>
      <c r="K203" s="46">
        <f>IF(VLOOKUP($C203,REV!$C:$AA,9,0)-'TRADE IN'!$F203=0,"",(VLOOKUP($C203,REV!$C:$AA,9,0)-'TRADE IN'!$F203))</f>
        <v>10799</v>
      </c>
      <c r="L203" s="46">
        <f>IF(VLOOKUP($C203,REV!$C:$AA,10,0)-'TRADE IN'!$F214=0,"",(VLOOKUP($C203,REV!$C:$AA,10,0)-'TRADE IN'!$F203))</f>
        <v>10799</v>
      </c>
      <c r="M203" s="46">
        <f>IF(VLOOKUP($C203,REV!$C:$AA,11,0)-'TRADE IN'!$F214=0,"",(VLOOKUP($C203,REV!$C:$AA,11,0)-'TRADE IN'!$F203))</f>
        <v>10799</v>
      </c>
      <c r="N203" s="46">
        <f>IF(VLOOKUP($C203,REV!$C:$AA,12,0)-'TRADE IN'!$F214=0,"",(VLOOKUP($C203,REV!$C:$AA,12,0)-'TRADE IN'!$F203))</f>
        <v>10799</v>
      </c>
      <c r="O203" s="46">
        <f>IF(VLOOKUP($C203,REV!$C:$AA,13,0)-'TRADE IN'!$F214=0,"",(VLOOKUP($C203,REV!$C:$AA,13,0)-'TRADE IN'!$F203))</f>
        <v>10699</v>
      </c>
      <c r="P203" s="46">
        <f>IF(VLOOKUP($C203,REV!$C:$AA,14,0)-'TRADE IN'!$F214=0,"",(VLOOKUP($C203,REV!$C:$AA,14,0)-'TRADE IN'!$F203))</f>
        <v>10599</v>
      </c>
      <c r="Q203" s="46">
        <f>IF(VLOOKUP($C203,REV!$C:$AA,15,0)-'TRADE IN'!$F214=0,"",(VLOOKUP($C203,REV!$C:$AA,15,0)-'TRADE IN'!$F203))</f>
        <v>9799</v>
      </c>
      <c r="R203" s="46">
        <f>IF(VLOOKUP($C203,REV!$C:$AA,16,0)-'TRADE IN'!$F214=0,"",(VLOOKUP($C203,REV!$C:$AA,16,0)-'TRADE IN'!$F203))</f>
        <v>10699</v>
      </c>
      <c r="S203" s="46">
        <f>IF(VLOOKUP($C203,REV!$C:$AA,17,0)-'TRADE IN'!$F214=0,"",(VLOOKUP($C203,REV!$C:$AA,17,0)-'TRADE IN'!$F203))</f>
        <v>10599</v>
      </c>
      <c r="T203" s="46">
        <f>IF(VLOOKUP($C203,REV!$C:$AA,18,0)-'TRADE IN'!$F214=0,"",(VLOOKUP($C203,REV!$C:$AA,18,0)-'TRADE IN'!$F203))</f>
        <v>9799</v>
      </c>
      <c r="U203" s="46">
        <f>IF(VLOOKUP($C203,REV!$C:$AA,19,0)-'TRADE IN'!$F214=0,"",(VLOOKUP($C203,REV!$C:$AA,19,0)-'TRADE IN'!$F203))</f>
        <v>9799</v>
      </c>
      <c r="V203" s="46">
        <f>IF(VLOOKUP($C203,REV!$C:$AA,20,0)-'TRADE IN'!$F214=0,"",(VLOOKUP($C203,REV!$C:$AA,20,0)-'TRADE IN'!$F203))</f>
        <v>9799</v>
      </c>
      <c r="W203" s="46">
        <f>IF(VLOOKUP($C203,REV!$C:$AA,21,0)-'TRADE IN'!$F214=0,"",(VLOOKUP($C203,REV!$C:$AA,21,0)-'TRADE IN'!$F203))</f>
        <v>9699</v>
      </c>
      <c r="X203" s="46">
        <f>IF(VLOOKUP($C203,REV!$C:$AA,22,0)-'TRADE IN'!$F214=0,"",(VLOOKUP($C203,REV!$C:$AA,22,0)-'TRADE IN'!$F203))</f>
        <v>9699</v>
      </c>
      <c r="Y203" s="46">
        <f>IF(VLOOKUP($C203,REV!$C:$AA,23,0)-'TRADE IN'!$F214=0,"",(VLOOKUP($C203,REV!$C:$AA,23,0)-'TRADE IN'!$F203))</f>
        <v>8799</v>
      </c>
      <c r="Z203" s="46">
        <f>IF(VLOOKUP($C203,REV!$C:$AA,24,0)-'TRADE IN'!$F214=0,"",(VLOOKUP($C203,REV!$C:$AA,24,0)-'TRADE IN'!$F203))</f>
        <v>8799</v>
      </c>
      <c r="AA203" s="46">
        <f>IF(VLOOKUP($C203,REV!$C:$AA,25,0)-'TRADE IN'!$F214=0,"",(VLOOKUP($C203,REV!$C:$AA,25,0)-'TRADE IN'!$F203))</f>
        <v>8799</v>
      </c>
      <c r="AB203" s="46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tr">
        <f>IF(REV!AW203=0,"",REV!AW203)</f>
        <v>31.03.2026</v>
      </c>
      <c r="AX203" s="159" t="s">
        <v>82</v>
      </c>
    </row>
    <row r="204" spans="1:50" ht="22.5" customHeight="1">
      <c r="A204" s="52" t="s">
        <v>70</v>
      </c>
      <c r="B204" s="41" t="s">
        <v>62</v>
      </c>
      <c r="C204" s="42">
        <v>4017513</v>
      </c>
      <c r="D204" s="43" t="s">
        <v>290</v>
      </c>
      <c r="E204" s="43" t="s">
        <v>293</v>
      </c>
      <c r="F204" s="45"/>
      <c r="G204" s="45"/>
      <c r="H204" s="45"/>
      <c r="I204" s="45"/>
      <c r="J204" s="46">
        <f>IF(VLOOKUP($C204,REV!$C:$AA,8,0)-'TRADE IN'!$F204=0,"",(VLOOKUP($C204,REV!$C:$AA,8,0)-'TRADE IN'!$F204))</f>
        <v>10799</v>
      </c>
      <c r="K204" s="46">
        <f>IF(VLOOKUP($C204,REV!$C:$AA,9,0)-'TRADE IN'!$F204=0,"",(VLOOKUP($C204,REV!$C:$AA,9,0)-'TRADE IN'!$F204))</f>
        <v>10799</v>
      </c>
      <c r="L204" s="46">
        <f>IF(VLOOKUP($C204,REV!$C:$AA,10,0)-'TRADE IN'!$F215=0,"",(VLOOKUP($C204,REV!$C:$AA,10,0)-'TRADE IN'!$F204))</f>
        <v>10799</v>
      </c>
      <c r="M204" s="46">
        <f>IF(VLOOKUP($C204,REV!$C:$AA,11,0)-'TRADE IN'!$F215=0,"",(VLOOKUP($C204,REV!$C:$AA,11,0)-'TRADE IN'!$F204))</f>
        <v>10799</v>
      </c>
      <c r="N204" s="46">
        <f>IF(VLOOKUP($C204,REV!$C:$AA,12,0)-'TRADE IN'!$F215=0,"",(VLOOKUP($C204,REV!$C:$AA,12,0)-'TRADE IN'!$F204))</f>
        <v>10799</v>
      </c>
      <c r="O204" s="46">
        <f>IF(VLOOKUP($C204,REV!$C:$AA,13,0)-'TRADE IN'!$F215=0,"",(VLOOKUP($C204,REV!$C:$AA,13,0)-'TRADE IN'!$F204))</f>
        <v>10699</v>
      </c>
      <c r="P204" s="46">
        <f>IF(VLOOKUP($C204,REV!$C:$AA,14,0)-'TRADE IN'!$F215=0,"",(VLOOKUP($C204,REV!$C:$AA,14,0)-'TRADE IN'!$F204))</f>
        <v>10599</v>
      </c>
      <c r="Q204" s="46">
        <f>IF(VLOOKUP($C204,REV!$C:$AA,15,0)-'TRADE IN'!$F215=0,"",(VLOOKUP($C204,REV!$C:$AA,15,0)-'TRADE IN'!$F204))</f>
        <v>9799</v>
      </c>
      <c r="R204" s="46">
        <f>IF(VLOOKUP($C204,REV!$C:$AA,16,0)-'TRADE IN'!$F215=0,"",(VLOOKUP($C204,REV!$C:$AA,16,0)-'TRADE IN'!$F204))</f>
        <v>10699</v>
      </c>
      <c r="S204" s="46">
        <f>IF(VLOOKUP($C204,REV!$C:$AA,17,0)-'TRADE IN'!$F215=0,"",(VLOOKUP($C204,REV!$C:$AA,17,0)-'TRADE IN'!$F204))</f>
        <v>10599</v>
      </c>
      <c r="T204" s="46">
        <f>IF(VLOOKUP($C204,REV!$C:$AA,18,0)-'TRADE IN'!$F215=0,"",(VLOOKUP($C204,REV!$C:$AA,18,0)-'TRADE IN'!$F204))</f>
        <v>9799</v>
      </c>
      <c r="U204" s="46">
        <f>IF(VLOOKUP($C204,REV!$C:$AA,19,0)-'TRADE IN'!$F215=0,"",(VLOOKUP($C204,REV!$C:$AA,19,0)-'TRADE IN'!$F204))</f>
        <v>9799</v>
      </c>
      <c r="V204" s="46">
        <f>IF(VLOOKUP($C204,REV!$C:$AA,20,0)-'TRADE IN'!$F215=0,"",(VLOOKUP($C204,REV!$C:$AA,20,0)-'TRADE IN'!$F204))</f>
        <v>9799</v>
      </c>
      <c r="W204" s="46">
        <f>IF(VLOOKUP($C204,REV!$C:$AA,21,0)-'TRADE IN'!$F215=0,"",(VLOOKUP($C204,REV!$C:$AA,21,0)-'TRADE IN'!$F204))</f>
        <v>9699</v>
      </c>
      <c r="X204" s="46">
        <f>IF(VLOOKUP($C204,REV!$C:$AA,22,0)-'TRADE IN'!$F215=0,"",(VLOOKUP($C204,REV!$C:$AA,22,0)-'TRADE IN'!$F204))</f>
        <v>9699</v>
      </c>
      <c r="Y204" s="46">
        <f>IF(VLOOKUP($C204,REV!$C:$AA,23,0)-'TRADE IN'!$F215=0,"",(VLOOKUP($C204,REV!$C:$AA,23,0)-'TRADE IN'!$F204))</f>
        <v>8799</v>
      </c>
      <c r="Z204" s="46">
        <f>IF(VLOOKUP($C204,REV!$C:$AA,24,0)-'TRADE IN'!$F215=0,"",(VLOOKUP($C204,REV!$C:$AA,24,0)-'TRADE IN'!$F204))</f>
        <v>8799</v>
      </c>
      <c r="AA204" s="46">
        <f>IF(VLOOKUP($C204,REV!$C:$AA,25,0)-'TRADE IN'!$F215=0,"",(VLOOKUP($C204,REV!$C:$AA,25,0)-'TRADE IN'!$F204))</f>
        <v>8799</v>
      </c>
      <c r="AB204" s="46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tr">
        <f>IF(REV!AW204=0,"",REV!AW204)</f>
        <v>31.03.2026</v>
      </c>
      <c r="AX204" s="159" t="s">
        <v>82</v>
      </c>
    </row>
    <row r="205" spans="1:50" ht="22.5" customHeight="1">
      <c r="A205" s="52" t="s">
        <v>70</v>
      </c>
      <c r="B205" s="41" t="s">
        <v>62</v>
      </c>
      <c r="C205" s="42">
        <v>4017488</v>
      </c>
      <c r="D205" s="43" t="s">
        <v>294</v>
      </c>
      <c r="E205" s="43" t="s">
        <v>295</v>
      </c>
      <c r="F205" s="45"/>
      <c r="G205" s="45"/>
      <c r="H205" s="45"/>
      <c r="I205" s="45"/>
      <c r="J205" s="46">
        <f>IF(VLOOKUP($C205,REV!$C:$AA,8,0)-'TRADE IN'!$F205=0,"",(VLOOKUP($C205,REV!$C:$AA,8,0)-'TRADE IN'!$F205))</f>
        <v>12199</v>
      </c>
      <c r="K205" s="46">
        <f>IF(VLOOKUP($C205,REV!$C:$AA,9,0)-'TRADE IN'!$F205=0,"",(VLOOKUP($C205,REV!$C:$AA,9,0)-'TRADE IN'!$F205))</f>
        <v>12199</v>
      </c>
      <c r="L205" s="46">
        <f>IF(VLOOKUP($C205,REV!$C:$AA,10,0)-'TRADE IN'!$F215=0,"",(VLOOKUP($C205,REV!$C:$AA,10,0)-'TRADE IN'!$F205))</f>
        <v>12199</v>
      </c>
      <c r="M205" s="46">
        <f>IF(VLOOKUP($C205,REV!$C:$AA,11,0)-'TRADE IN'!$F215=0,"",(VLOOKUP($C205,REV!$C:$AA,11,0)-'TRADE IN'!$F205))</f>
        <v>12199</v>
      </c>
      <c r="N205" s="46">
        <f>IF(VLOOKUP($C205,REV!$C:$AA,12,0)-'TRADE IN'!$F215=0,"",(VLOOKUP($C205,REV!$C:$AA,12,0)-'TRADE IN'!$F205))</f>
        <v>12199</v>
      </c>
      <c r="O205" s="46">
        <f>IF(VLOOKUP($C205,REV!$C:$AA,13,0)-'TRADE IN'!$F215=0,"",(VLOOKUP($C205,REV!$C:$AA,13,0)-'TRADE IN'!$F205))</f>
        <v>12099</v>
      </c>
      <c r="P205" s="46">
        <f>IF(VLOOKUP($C205,REV!$C:$AA,14,0)-'TRADE IN'!$F215=0,"",(VLOOKUP($C205,REV!$C:$AA,14,0)-'TRADE IN'!$F205))</f>
        <v>11999</v>
      </c>
      <c r="Q205" s="46">
        <f>IF(VLOOKUP($C205,REV!$C:$AA,15,0)-'TRADE IN'!$F215=0,"",(VLOOKUP($C205,REV!$C:$AA,15,0)-'TRADE IN'!$F205))</f>
        <v>11199</v>
      </c>
      <c r="R205" s="46">
        <f>IF(VLOOKUP($C205,REV!$C:$AA,16,0)-'TRADE IN'!$F215=0,"",(VLOOKUP($C205,REV!$C:$AA,16,0)-'TRADE IN'!$F205))</f>
        <v>12099</v>
      </c>
      <c r="S205" s="46">
        <f>IF(VLOOKUP($C205,REV!$C:$AA,17,0)-'TRADE IN'!$F215=0,"",(VLOOKUP($C205,REV!$C:$AA,17,0)-'TRADE IN'!$F205))</f>
        <v>11999</v>
      </c>
      <c r="T205" s="46">
        <f>IF(VLOOKUP($C205,REV!$C:$AA,18,0)-'TRADE IN'!$F215=0,"",(VLOOKUP($C205,REV!$C:$AA,18,0)-'TRADE IN'!$F205))</f>
        <v>11199</v>
      </c>
      <c r="U205" s="46">
        <f>IF(VLOOKUP($C205,REV!$C:$AA,19,0)-'TRADE IN'!$F215=0,"",(VLOOKUP($C205,REV!$C:$AA,19,0)-'TRADE IN'!$F205))</f>
        <v>11199</v>
      </c>
      <c r="V205" s="46">
        <f>IF(VLOOKUP($C205,REV!$C:$AA,20,0)-'TRADE IN'!$F215=0,"",(VLOOKUP($C205,REV!$C:$AA,20,0)-'TRADE IN'!$F205))</f>
        <v>11199</v>
      </c>
      <c r="W205" s="46">
        <f>IF(VLOOKUP($C205,REV!$C:$AA,21,0)-'TRADE IN'!$F215=0,"",(VLOOKUP($C205,REV!$C:$AA,21,0)-'TRADE IN'!$F205))</f>
        <v>11099</v>
      </c>
      <c r="X205" s="46">
        <f>IF(VLOOKUP($C205,REV!$C:$AA,22,0)-'TRADE IN'!$F215=0,"",(VLOOKUP($C205,REV!$C:$AA,22,0)-'TRADE IN'!$F205))</f>
        <v>11099</v>
      </c>
      <c r="Y205" s="46">
        <f>IF(VLOOKUP($C205,REV!$C:$AA,23,0)-'TRADE IN'!$F215=0,"",(VLOOKUP($C205,REV!$C:$AA,23,0)-'TRADE IN'!$F205))</f>
        <v>9999</v>
      </c>
      <c r="Z205" s="46">
        <f>IF(VLOOKUP($C205,REV!$C:$AA,24,0)-'TRADE IN'!$F215=0,"",(VLOOKUP($C205,REV!$C:$AA,24,0)-'TRADE IN'!$F205))</f>
        <v>9999</v>
      </c>
      <c r="AA205" s="46">
        <f>IF(VLOOKUP($C205,REV!$C:$AA,25,0)-'TRADE IN'!$F215=0,"",(VLOOKUP($C205,REV!$C:$AA,25,0)-'TRADE IN'!$F205))</f>
        <v>9899</v>
      </c>
      <c r="AB205" s="46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tr">
        <f>IF(REV!AW205=0,"",REV!AW205)</f>
        <v>31.03.2026</v>
      </c>
      <c r="AX205" s="159" t="s">
        <v>82</v>
      </c>
    </row>
    <row r="206" spans="1:50" ht="22.5" customHeight="1">
      <c r="A206" s="52" t="s">
        <v>70</v>
      </c>
      <c r="B206" s="41" t="s">
        <v>62</v>
      </c>
      <c r="C206" s="42">
        <v>4017508</v>
      </c>
      <c r="D206" s="43" t="s">
        <v>294</v>
      </c>
      <c r="E206" s="43" t="s">
        <v>296</v>
      </c>
      <c r="F206" s="45"/>
      <c r="G206" s="45"/>
      <c r="H206" s="45"/>
      <c r="I206" s="45"/>
      <c r="J206" s="46">
        <f>IF(VLOOKUP($C206,REV!$C:$AA,8,0)-'TRADE IN'!$F206=0,"",(VLOOKUP($C206,REV!$C:$AA,8,0)-'TRADE IN'!$F206))</f>
        <v>12199</v>
      </c>
      <c r="K206" s="46">
        <f>IF(VLOOKUP($C206,REV!$C:$AA,9,0)-'TRADE IN'!$F206=0,"",(VLOOKUP($C206,REV!$C:$AA,9,0)-'TRADE IN'!$F206))</f>
        <v>12199</v>
      </c>
      <c r="L206" s="46">
        <f>IF(VLOOKUP($C206,REV!$C:$AA,10,0)-'TRADE IN'!$F216=0,"",(VLOOKUP($C206,REV!$C:$AA,10,0)-'TRADE IN'!$F206))</f>
        <v>12199</v>
      </c>
      <c r="M206" s="46">
        <f>IF(VLOOKUP($C206,REV!$C:$AA,11,0)-'TRADE IN'!$F216=0,"",(VLOOKUP($C206,REV!$C:$AA,11,0)-'TRADE IN'!$F206))</f>
        <v>12199</v>
      </c>
      <c r="N206" s="46">
        <f>IF(VLOOKUP($C206,REV!$C:$AA,12,0)-'TRADE IN'!$F216=0,"",(VLOOKUP($C206,REV!$C:$AA,12,0)-'TRADE IN'!$F206))</f>
        <v>12199</v>
      </c>
      <c r="O206" s="46">
        <f>IF(VLOOKUP($C206,REV!$C:$AA,13,0)-'TRADE IN'!$F216=0,"",(VLOOKUP($C206,REV!$C:$AA,13,0)-'TRADE IN'!$F206))</f>
        <v>12099</v>
      </c>
      <c r="P206" s="46">
        <f>IF(VLOOKUP($C206,REV!$C:$AA,14,0)-'TRADE IN'!$F216=0,"",(VLOOKUP($C206,REV!$C:$AA,14,0)-'TRADE IN'!$F206))</f>
        <v>11999</v>
      </c>
      <c r="Q206" s="46">
        <f>IF(VLOOKUP($C206,REV!$C:$AA,15,0)-'TRADE IN'!$F216=0,"",(VLOOKUP($C206,REV!$C:$AA,15,0)-'TRADE IN'!$F206))</f>
        <v>11199</v>
      </c>
      <c r="R206" s="46">
        <f>IF(VLOOKUP($C206,REV!$C:$AA,16,0)-'TRADE IN'!$F216=0,"",(VLOOKUP($C206,REV!$C:$AA,16,0)-'TRADE IN'!$F206))</f>
        <v>12099</v>
      </c>
      <c r="S206" s="46">
        <f>IF(VLOOKUP($C206,REV!$C:$AA,17,0)-'TRADE IN'!$F216=0,"",(VLOOKUP($C206,REV!$C:$AA,17,0)-'TRADE IN'!$F206))</f>
        <v>11999</v>
      </c>
      <c r="T206" s="46">
        <f>IF(VLOOKUP($C206,REV!$C:$AA,18,0)-'TRADE IN'!$F216=0,"",(VLOOKUP($C206,REV!$C:$AA,18,0)-'TRADE IN'!$F206))</f>
        <v>11199</v>
      </c>
      <c r="U206" s="46">
        <f>IF(VLOOKUP($C206,REV!$C:$AA,19,0)-'TRADE IN'!$F216=0,"",(VLOOKUP($C206,REV!$C:$AA,19,0)-'TRADE IN'!$F206))</f>
        <v>11199</v>
      </c>
      <c r="V206" s="46">
        <f>IF(VLOOKUP($C206,REV!$C:$AA,20,0)-'TRADE IN'!$F216=0,"",(VLOOKUP($C206,REV!$C:$AA,20,0)-'TRADE IN'!$F206))</f>
        <v>11199</v>
      </c>
      <c r="W206" s="46">
        <f>IF(VLOOKUP($C206,REV!$C:$AA,21,0)-'TRADE IN'!$F216=0,"",(VLOOKUP($C206,REV!$C:$AA,21,0)-'TRADE IN'!$F206))</f>
        <v>11099</v>
      </c>
      <c r="X206" s="46">
        <f>IF(VLOOKUP($C206,REV!$C:$AA,22,0)-'TRADE IN'!$F216=0,"",(VLOOKUP($C206,REV!$C:$AA,22,0)-'TRADE IN'!$F206))</f>
        <v>11099</v>
      </c>
      <c r="Y206" s="46">
        <f>IF(VLOOKUP($C206,REV!$C:$AA,23,0)-'TRADE IN'!$F216=0,"",(VLOOKUP($C206,REV!$C:$AA,23,0)-'TRADE IN'!$F206))</f>
        <v>9999</v>
      </c>
      <c r="Z206" s="46">
        <f>IF(VLOOKUP($C206,REV!$C:$AA,24,0)-'TRADE IN'!$F216=0,"",(VLOOKUP($C206,REV!$C:$AA,24,0)-'TRADE IN'!$F206))</f>
        <v>9999</v>
      </c>
      <c r="AA206" s="46">
        <f>IF(VLOOKUP($C206,REV!$C:$AA,25,0)-'TRADE IN'!$F216=0,"",(VLOOKUP($C206,REV!$C:$AA,25,0)-'TRADE IN'!$F206))</f>
        <v>9899</v>
      </c>
      <c r="AB206" s="46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tr">
        <f>IF(REV!AW206=0,"",REV!AW206)</f>
        <v>31.03.2026</v>
      </c>
      <c r="AX206" s="159" t="s">
        <v>82</v>
      </c>
    </row>
    <row r="207" spans="1:50" ht="22.5" customHeight="1">
      <c r="A207" s="52" t="s">
        <v>70</v>
      </c>
      <c r="B207" s="41" t="s">
        <v>62</v>
      </c>
      <c r="C207" s="42">
        <v>4017489</v>
      </c>
      <c r="D207" s="43" t="s">
        <v>294</v>
      </c>
      <c r="E207" s="43" t="s">
        <v>297</v>
      </c>
      <c r="F207" s="45"/>
      <c r="G207" s="45"/>
      <c r="H207" s="45"/>
      <c r="I207" s="45"/>
      <c r="J207" s="46">
        <f>IF(VLOOKUP($C207,REV!$C:$AA,8,0)-'TRADE IN'!$F207=0,"",(VLOOKUP($C207,REV!$C:$AA,8,0)-'TRADE IN'!$F207))</f>
        <v>12199</v>
      </c>
      <c r="K207" s="46">
        <f>IF(VLOOKUP($C207,REV!$C:$AA,9,0)-'TRADE IN'!$F207=0,"",(VLOOKUP($C207,REV!$C:$AA,9,0)-'TRADE IN'!$F207))</f>
        <v>12199</v>
      </c>
      <c r="L207" s="46">
        <f>IF(VLOOKUP($C207,REV!$C:$AA,10,0)-'TRADE IN'!$F217=0,"",(VLOOKUP($C207,REV!$C:$AA,10,0)-'TRADE IN'!$F207))</f>
        <v>12199</v>
      </c>
      <c r="M207" s="46">
        <f>IF(VLOOKUP($C207,REV!$C:$AA,11,0)-'TRADE IN'!$F217=0,"",(VLOOKUP($C207,REV!$C:$AA,11,0)-'TRADE IN'!$F207))</f>
        <v>12199</v>
      </c>
      <c r="N207" s="46">
        <f>IF(VLOOKUP($C207,REV!$C:$AA,12,0)-'TRADE IN'!$F217=0,"",(VLOOKUP($C207,REV!$C:$AA,12,0)-'TRADE IN'!$F207))</f>
        <v>12199</v>
      </c>
      <c r="O207" s="46">
        <f>IF(VLOOKUP($C207,REV!$C:$AA,13,0)-'TRADE IN'!$F217=0,"",(VLOOKUP($C207,REV!$C:$AA,13,0)-'TRADE IN'!$F207))</f>
        <v>12099</v>
      </c>
      <c r="P207" s="46">
        <f>IF(VLOOKUP($C207,REV!$C:$AA,14,0)-'TRADE IN'!$F217=0,"",(VLOOKUP($C207,REV!$C:$AA,14,0)-'TRADE IN'!$F207))</f>
        <v>11999</v>
      </c>
      <c r="Q207" s="46">
        <f>IF(VLOOKUP($C207,REV!$C:$AA,15,0)-'TRADE IN'!$F217=0,"",(VLOOKUP($C207,REV!$C:$AA,15,0)-'TRADE IN'!$F207))</f>
        <v>11199</v>
      </c>
      <c r="R207" s="46">
        <f>IF(VLOOKUP($C207,REV!$C:$AA,16,0)-'TRADE IN'!$F217=0,"",(VLOOKUP($C207,REV!$C:$AA,16,0)-'TRADE IN'!$F207))</f>
        <v>12099</v>
      </c>
      <c r="S207" s="46">
        <f>IF(VLOOKUP($C207,REV!$C:$AA,17,0)-'TRADE IN'!$F217=0,"",(VLOOKUP($C207,REV!$C:$AA,17,0)-'TRADE IN'!$F207))</f>
        <v>11999</v>
      </c>
      <c r="T207" s="46">
        <f>IF(VLOOKUP($C207,REV!$C:$AA,18,0)-'TRADE IN'!$F217=0,"",(VLOOKUP($C207,REV!$C:$AA,18,0)-'TRADE IN'!$F207))</f>
        <v>11199</v>
      </c>
      <c r="U207" s="46">
        <f>IF(VLOOKUP($C207,REV!$C:$AA,19,0)-'TRADE IN'!$F217=0,"",(VLOOKUP($C207,REV!$C:$AA,19,0)-'TRADE IN'!$F207))</f>
        <v>11199</v>
      </c>
      <c r="V207" s="46">
        <f>IF(VLOOKUP($C207,REV!$C:$AA,20,0)-'TRADE IN'!$F217=0,"",(VLOOKUP($C207,REV!$C:$AA,20,0)-'TRADE IN'!$F207))</f>
        <v>11199</v>
      </c>
      <c r="W207" s="46">
        <f>IF(VLOOKUP($C207,REV!$C:$AA,21,0)-'TRADE IN'!$F217=0,"",(VLOOKUP($C207,REV!$C:$AA,21,0)-'TRADE IN'!$F207))</f>
        <v>11099</v>
      </c>
      <c r="X207" s="46">
        <f>IF(VLOOKUP($C207,REV!$C:$AA,22,0)-'TRADE IN'!$F217=0,"",(VLOOKUP($C207,REV!$C:$AA,22,0)-'TRADE IN'!$F207))</f>
        <v>11099</v>
      </c>
      <c r="Y207" s="46">
        <f>IF(VLOOKUP($C207,REV!$C:$AA,23,0)-'TRADE IN'!$F217=0,"",(VLOOKUP($C207,REV!$C:$AA,23,0)-'TRADE IN'!$F207))</f>
        <v>9999</v>
      </c>
      <c r="Z207" s="46">
        <f>IF(VLOOKUP($C207,REV!$C:$AA,24,0)-'TRADE IN'!$F217=0,"",(VLOOKUP($C207,REV!$C:$AA,24,0)-'TRADE IN'!$F207))</f>
        <v>9999</v>
      </c>
      <c r="AA207" s="46">
        <f>IF(VLOOKUP($C207,REV!$C:$AA,25,0)-'TRADE IN'!$F217=0,"",(VLOOKUP($C207,REV!$C:$AA,25,0)-'TRADE IN'!$F207))</f>
        <v>9899</v>
      </c>
      <c r="AB207" s="46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tr">
        <f>IF(REV!AW207=0,"",REV!AW207)</f>
        <v>31.03.2026</v>
      </c>
      <c r="AX207" s="159" t="s">
        <v>82</v>
      </c>
    </row>
    <row r="208" spans="1:50" ht="22.5" customHeight="1">
      <c r="A208" s="52" t="s">
        <v>70</v>
      </c>
      <c r="B208" s="41" t="s">
        <v>62</v>
      </c>
      <c r="C208" s="42">
        <v>4017493</v>
      </c>
      <c r="D208" s="43" t="s">
        <v>298</v>
      </c>
      <c r="E208" s="43" t="s">
        <v>299</v>
      </c>
      <c r="F208" s="45"/>
      <c r="G208" s="45"/>
      <c r="H208" s="45"/>
      <c r="I208" s="45"/>
      <c r="J208" s="46">
        <f>IF(VLOOKUP($C208,REV!$C:$AA,8,0)-'TRADE IN'!$F208=0,"",(VLOOKUP($C208,REV!$C:$AA,8,0)-'TRADE IN'!$F208))</f>
        <v>11699</v>
      </c>
      <c r="K208" s="46">
        <f>IF(VLOOKUP($C208,REV!$C:$AA,9,0)-'TRADE IN'!$F208=0,"",(VLOOKUP($C208,REV!$C:$AA,9,0)-'TRADE IN'!$F208))</f>
        <v>11699</v>
      </c>
      <c r="L208" s="46">
        <f>IF(VLOOKUP($C208,REV!$C:$AA,10,0)-'TRADE IN'!$F217=0,"",(VLOOKUP($C208,REV!$C:$AA,10,0)-'TRADE IN'!$F208))</f>
        <v>11699</v>
      </c>
      <c r="M208" s="46">
        <f>IF(VLOOKUP($C208,REV!$C:$AA,11,0)-'TRADE IN'!$F217=0,"",(VLOOKUP($C208,REV!$C:$AA,11,0)-'TRADE IN'!$F208))</f>
        <v>11699</v>
      </c>
      <c r="N208" s="46">
        <f>IF(VLOOKUP($C208,REV!$C:$AA,12,0)-'TRADE IN'!$F217=0,"",(VLOOKUP($C208,REV!$C:$AA,12,0)-'TRADE IN'!$F208))</f>
        <v>11699</v>
      </c>
      <c r="O208" s="46">
        <f>IF(VLOOKUP($C208,REV!$C:$AA,13,0)-'TRADE IN'!$F217=0,"",(VLOOKUP($C208,REV!$C:$AA,13,0)-'TRADE IN'!$F208))</f>
        <v>11599</v>
      </c>
      <c r="P208" s="46">
        <f>IF(VLOOKUP($C208,REV!$C:$AA,14,0)-'TRADE IN'!$F217=0,"",(VLOOKUP($C208,REV!$C:$AA,14,0)-'TRADE IN'!$F208))</f>
        <v>11499</v>
      </c>
      <c r="Q208" s="46">
        <f>IF(VLOOKUP($C208,REV!$C:$AA,15,0)-'TRADE IN'!$F217=0,"",(VLOOKUP($C208,REV!$C:$AA,15,0)-'TRADE IN'!$F208))</f>
        <v>10699</v>
      </c>
      <c r="R208" s="46">
        <f>IF(VLOOKUP($C208,REV!$C:$AA,16,0)-'TRADE IN'!$F217=0,"",(VLOOKUP($C208,REV!$C:$AA,16,0)-'TRADE IN'!$F208))</f>
        <v>11599</v>
      </c>
      <c r="S208" s="46">
        <f>IF(VLOOKUP($C208,REV!$C:$AA,17,0)-'TRADE IN'!$F217=0,"",(VLOOKUP($C208,REV!$C:$AA,17,0)-'TRADE IN'!$F208))</f>
        <v>11499</v>
      </c>
      <c r="T208" s="46">
        <f>IF(VLOOKUP($C208,REV!$C:$AA,18,0)-'TRADE IN'!$F217=0,"",(VLOOKUP($C208,REV!$C:$AA,18,0)-'TRADE IN'!$F208))</f>
        <v>10699</v>
      </c>
      <c r="U208" s="46">
        <f>IF(VLOOKUP($C208,REV!$C:$AA,19,0)-'TRADE IN'!$F217=0,"",(VLOOKUP($C208,REV!$C:$AA,19,0)-'TRADE IN'!$F208))</f>
        <v>10699</v>
      </c>
      <c r="V208" s="46">
        <f>IF(VLOOKUP($C208,REV!$C:$AA,20,0)-'TRADE IN'!$F217=0,"",(VLOOKUP($C208,REV!$C:$AA,20,0)-'TRADE IN'!$F208))</f>
        <v>10699</v>
      </c>
      <c r="W208" s="46">
        <f>IF(VLOOKUP($C208,REV!$C:$AA,21,0)-'TRADE IN'!$F217=0,"",(VLOOKUP($C208,REV!$C:$AA,21,0)-'TRADE IN'!$F208))</f>
        <v>10599</v>
      </c>
      <c r="X208" s="46">
        <f>IF(VLOOKUP($C208,REV!$C:$AA,22,0)-'TRADE IN'!$F217=0,"",(VLOOKUP($C208,REV!$C:$AA,22,0)-'TRADE IN'!$F208))</f>
        <v>10599</v>
      </c>
      <c r="Y208" s="46">
        <f>IF(VLOOKUP($C208,REV!$C:$AA,23,0)-'TRADE IN'!$F217=0,"",(VLOOKUP($C208,REV!$C:$AA,23,0)-'TRADE IN'!$F208))</f>
        <v>9799</v>
      </c>
      <c r="Z208" s="46">
        <f>IF(VLOOKUP($C208,REV!$C:$AA,24,0)-'TRADE IN'!$F217=0,"",(VLOOKUP($C208,REV!$C:$AA,24,0)-'TRADE IN'!$F208))</f>
        <v>9799</v>
      </c>
      <c r="AA208" s="46">
        <f>IF(VLOOKUP($C208,REV!$C:$AA,25,0)-'TRADE IN'!$F217=0,"",(VLOOKUP($C208,REV!$C:$AA,25,0)-'TRADE IN'!$F208))</f>
        <v>9799</v>
      </c>
      <c r="AB208" s="46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tr">
        <f>IF(REV!AW208=0,"",REV!AW208)</f>
        <v>31.03.2026</v>
      </c>
      <c r="AX208" s="159" t="s">
        <v>82</v>
      </c>
    </row>
    <row r="209" spans="1:50" ht="22.5" customHeight="1">
      <c r="A209" s="52" t="s">
        <v>70</v>
      </c>
      <c r="B209" s="41" t="s">
        <v>62</v>
      </c>
      <c r="C209" s="42">
        <v>4017494</v>
      </c>
      <c r="D209" s="43" t="s">
        <v>298</v>
      </c>
      <c r="E209" s="43" t="s">
        <v>300</v>
      </c>
      <c r="F209" s="45"/>
      <c r="G209" s="45"/>
      <c r="H209" s="45"/>
      <c r="I209" s="45"/>
      <c r="J209" s="46">
        <f>IF(VLOOKUP($C209,REV!$C:$AA,8,0)-'TRADE IN'!$F209=0,"",(VLOOKUP($C209,REV!$C:$AA,8,0)-'TRADE IN'!$F209))</f>
        <v>11699</v>
      </c>
      <c r="K209" s="46">
        <f>IF(VLOOKUP($C209,REV!$C:$AA,9,0)-'TRADE IN'!$F209=0,"",(VLOOKUP($C209,REV!$C:$AA,9,0)-'TRADE IN'!$F209))</f>
        <v>11699</v>
      </c>
      <c r="L209" s="46">
        <f>IF(VLOOKUP($C209,REV!$C:$AA,10,0)-'TRADE IN'!$F220=0,"",(VLOOKUP($C209,REV!$C:$AA,10,0)-'TRADE IN'!$F209))</f>
        <v>11699</v>
      </c>
      <c r="M209" s="46">
        <f>IF(VLOOKUP($C209,REV!$C:$AA,11,0)-'TRADE IN'!$F220=0,"",(VLOOKUP($C209,REV!$C:$AA,11,0)-'TRADE IN'!$F209))</f>
        <v>11699</v>
      </c>
      <c r="N209" s="46">
        <f>IF(VLOOKUP($C209,REV!$C:$AA,12,0)-'TRADE IN'!$F220=0,"",(VLOOKUP($C209,REV!$C:$AA,12,0)-'TRADE IN'!$F209))</f>
        <v>11699</v>
      </c>
      <c r="O209" s="46">
        <f>IF(VLOOKUP($C209,REV!$C:$AA,13,0)-'TRADE IN'!$F220=0,"",(VLOOKUP($C209,REV!$C:$AA,13,0)-'TRADE IN'!$F209))</f>
        <v>11599</v>
      </c>
      <c r="P209" s="46">
        <f>IF(VLOOKUP($C209,REV!$C:$AA,14,0)-'TRADE IN'!$F220=0,"",(VLOOKUP($C209,REV!$C:$AA,14,0)-'TRADE IN'!$F209))</f>
        <v>11499</v>
      </c>
      <c r="Q209" s="46">
        <f>IF(VLOOKUP($C209,REV!$C:$AA,15,0)-'TRADE IN'!$F220=0,"",(VLOOKUP($C209,REV!$C:$AA,15,0)-'TRADE IN'!$F209))</f>
        <v>10699</v>
      </c>
      <c r="R209" s="46">
        <f>IF(VLOOKUP($C209,REV!$C:$AA,16,0)-'TRADE IN'!$F220=0,"",(VLOOKUP($C209,REV!$C:$AA,16,0)-'TRADE IN'!$F209))</f>
        <v>11599</v>
      </c>
      <c r="S209" s="46">
        <f>IF(VLOOKUP($C209,REV!$C:$AA,17,0)-'TRADE IN'!$F220=0,"",(VLOOKUP($C209,REV!$C:$AA,17,0)-'TRADE IN'!$F209))</f>
        <v>11499</v>
      </c>
      <c r="T209" s="46">
        <f>IF(VLOOKUP($C209,REV!$C:$AA,18,0)-'TRADE IN'!$F220=0,"",(VLOOKUP($C209,REV!$C:$AA,18,0)-'TRADE IN'!$F209))</f>
        <v>10699</v>
      </c>
      <c r="U209" s="46">
        <f>IF(VLOOKUP($C209,REV!$C:$AA,19,0)-'TRADE IN'!$F220=0,"",(VLOOKUP($C209,REV!$C:$AA,19,0)-'TRADE IN'!$F209))</f>
        <v>10699</v>
      </c>
      <c r="V209" s="46">
        <f>IF(VLOOKUP($C209,REV!$C:$AA,20,0)-'TRADE IN'!$F220=0,"",(VLOOKUP($C209,REV!$C:$AA,20,0)-'TRADE IN'!$F209))</f>
        <v>10699</v>
      </c>
      <c r="W209" s="46">
        <f>IF(VLOOKUP($C209,REV!$C:$AA,21,0)-'TRADE IN'!$F220=0,"",(VLOOKUP($C209,REV!$C:$AA,21,0)-'TRADE IN'!$F209))</f>
        <v>10599</v>
      </c>
      <c r="X209" s="46">
        <f>IF(VLOOKUP($C209,REV!$C:$AA,22,0)-'TRADE IN'!$F220=0,"",(VLOOKUP($C209,REV!$C:$AA,22,0)-'TRADE IN'!$F209))</f>
        <v>10599</v>
      </c>
      <c r="Y209" s="46">
        <f>IF(VLOOKUP($C209,REV!$C:$AA,23,0)-'TRADE IN'!$F220=0,"",(VLOOKUP($C209,REV!$C:$AA,23,0)-'TRADE IN'!$F209))</f>
        <v>9799</v>
      </c>
      <c r="Z209" s="46">
        <f>IF(VLOOKUP($C209,REV!$C:$AA,24,0)-'TRADE IN'!$F220=0,"",(VLOOKUP($C209,REV!$C:$AA,24,0)-'TRADE IN'!$F209))</f>
        <v>9799</v>
      </c>
      <c r="AA209" s="46">
        <f>IF(VLOOKUP($C209,REV!$C:$AA,25,0)-'TRADE IN'!$F220=0,"",(VLOOKUP($C209,REV!$C:$AA,25,0)-'TRADE IN'!$F209))</f>
        <v>9799</v>
      </c>
      <c r="AB209" s="46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tr">
        <f>IF(REV!AW209=0,"",REV!AW209)</f>
        <v>31.03.2026</v>
      </c>
      <c r="AX209" s="159" t="s">
        <v>82</v>
      </c>
    </row>
    <row r="210" spans="1:50" ht="22.5" customHeight="1">
      <c r="A210" s="52" t="s">
        <v>70</v>
      </c>
      <c r="B210" s="41" t="s">
        <v>62</v>
      </c>
      <c r="C210" s="42">
        <v>4017514</v>
      </c>
      <c r="D210" s="43" t="s">
        <v>298</v>
      </c>
      <c r="E210" s="43" t="s">
        <v>301</v>
      </c>
      <c r="F210" s="45"/>
      <c r="G210" s="45"/>
      <c r="H210" s="45"/>
      <c r="I210" s="45"/>
      <c r="J210" s="46">
        <f>IF(VLOOKUP($C210,REV!$C:$AA,8,0)-'TRADE IN'!$F210=0,"",(VLOOKUP($C210,REV!$C:$AA,8,0)-'TRADE IN'!$F210))</f>
        <v>11699</v>
      </c>
      <c r="K210" s="46">
        <f>IF(VLOOKUP($C210,REV!$C:$AA,9,0)-'TRADE IN'!$F210=0,"",(VLOOKUP($C210,REV!$C:$AA,9,0)-'TRADE IN'!$F210))</f>
        <v>11699</v>
      </c>
      <c r="L210" s="46">
        <f>IF(VLOOKUP($C210,REV!$C:$AA,10,0)-'TRADE IN'!$F221=0,"",(VLOOKUP($C210,REV!$C:$AA,10,0)-'TRADE IN'!$F210))</f>
        <v>11699</v>
      </c>
      <c r="M210" s="46">
        <f>IF(VLOOKUP($C210,REV!$C:$AA,11,0)-'TRADE IN'!$F221=0,"",(VLOOKUP($C210,REV!$C:$AA,11,0)-'TRADE IN'!$F210))</f>
        <v>11699</v>
      </c>
      <c r="N210" s="46">
        <f>IF(VLOOKUP($C210,REV!$C:$AA,12,0)-'TRADE IN'!$F221=0,"",(VLOOKUP($C210,REV!$C:$AA,12,0)-'TRADE IN'!$F210))</f>
        <v>11699</v>
      </c>
      <c r="O210" s="46">
        <f>IF(VLOOKUP($C210,REV!$C:$AA,13,0)-'TRADE IN'!$F221=0,"",(VLOOKUP($C210,REV!$C:$AA,13,0)-'TRADE IN'!$F210))</f>
        <v>11599</v>
      </c>
      <c r="P210" s="46">
        <f>IF(VLOOKUP($C210,REV!$C:$AA,14,0)-'TRADE IN'!$F221=0,"",(VLOOKUP($C210,REV!$C:$AA,14,0)-'TRADE IN'!$F210))</f>
        <v>11499</v>
      </c>
      <c r="Q210" s="46">
        <f>IF(VLOOKUP($C210,REV!$C:$AA,15,0)-'TRADE IN'!$F221=0,"",(VLOOKUP($C210,REV!$C:$AA,15,0)-'TRADE IN'!$F210))</f>
        <v>10699</v>
      </c>
      <c r="R210" s="46">
        <f>IF(VLOOKUP($C210,REV!$C:$AA,16,0)-'TRADE IN'!$F221=0,"",(VLOOKUP($C210,REV!$C:$AA,16,0)-'TRADE IN'!$F210))</f>
        <v>11599</v>
      </c>
      <c r="S210" s="46">
        <f>IF(VLOOKUP($C210,REV!$C:$AA,17,0)-'TRADE IN'!$F221=0,"",(VLOOKUP($C210,REV!$C:$AA,17,0)-'TRADE IN'!$F210))</f>
        <v>11499</v>
      </c>
      <c r="T210" s="46">
        <f>IF(VLOOKUP($C210,REV!$C:$AA,18,0)-'TRADE IN'!$F221=0,"",(VLOOKUP($C210,REV!$C:$AA,18,0)-'TRADE IN'!$F210))</f>
        <v>10699</v>
      </c>
      <c r="U210" s="46">
        <f>IF(VLOOKUP($C210,REV!$C:$AA,19,0)-'TRADE IN'!$F221=0,"",(VLOOKUP($C210,REV!$C:$AA,19,0)-'TRADE IN'!$F210))</f>
        <v>10699</v>
      </c>
      <c r="V210" s="46">
        <f>IF(VLOOKUP($C210,REV!$C:$AA,20,0)-'TRADE IN'!$F221=0,"",(VLOOKUP($C210,REV!$C:$AA,20,0)-'TRADE IN'!$F210))</f>
        <v>10699</v>
      </c>
      <c r="W210" s="46">
        <f>IF(VLOOKUP($C210,REV!$C:$AA,21,0)-'TRADE IN'!$F221=0,"",(VLOOKUP($C210,REV!$C:$AA,21,0)-'TRADE IN'!$F210))</f>
        <v>10599</v>
      </c>
      <c r="X210" s="46">
        <f>IF(VLOOKUP($C210,REV!$C:$AA,22,0)-'TRADE IN'!$F221=0,"",(VLOOKUP($C210,REV!$C:$AA,22,0)-'TRADE IN'!$F210))</f>
        <v>10599</v>
      </c>
      <c r="Y210" s="46">
        <f>IF(VLOOKUP($C210,REV!$C:$AA,23,0)-'TRADE IN'!$F221=0,"",(VLOOKUP($C210,REV!$C:$AA,23,0)-'TRADE IN'!$F210))</f>
        <v>9799</v>
      </c>
      <c r="Z210" s="46">
        <f>IF(VLOOKUP($C210,REV!$C:$AA,24,0)-'TRADE IN'!$F221=0,"",(VLOOKUP($C210,REV!$C:$AA,24,0)-'TRADE IN'!$F210))</f>
        <v>9799</v>
      </c>
      <c r="AA210" s="46">
        <f>IF(VLOOKUP($C210,REV!$C:$AA,25,0)-'TRADE IN'!$F221=0,"",(VLOOKUP($C210,REV!$C:$AA,25,0)-'TRADE IN'!$F210))</f>
        <v>9799</v>
      </c>
      <c r="AB210" s="46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tr">
        <f>IF(REV!AW210=0,"",REV!AW210)</f>
        <v>31.03.2026</v>
      </c>
      <c r="AX210" s="159" t="s">
        <v>82</v>
      </c>
    </row>
    <row r="211" spans="1:50" ht="22.5" customHeight="1">
      <c r="A211" s="52" t="s">
        <v>70</v>
      </c>
      <c r="B211" s="41" t="s">
        <v>62</v>
      </c>
      <c r="C211" s="42">
        <v>4017503</v>
      </c>
      <c r="D211" s="43" t="s">
        <v>302</v>
      </c>
      <c r="E211" s="43" t="s">
        <v>303</v>
      </c>
      <c r="F211" s="45"/>
      <c r="G211" s="45"/>
      <c r="H211" s="45"/>
      <c r="I211" s="45"/>
      <c r="J211" s="46">
        <f>IF(VLOOKUP($C211,REV!$C:$AA,8,0)-'TRADE IN'!$F211=0,"",(VLOOKUP($C211,REV!$C:$AA,8,0)-'TRADE IN'!$F211))</f>
        <v>13099</v>
      </c>
      <c r="K211" s="46">
        <f>IF(VLOOKUP($C211,REV!$C:$AA,9,0)-'TRADE IN'!$F211=0,"",(VLOOKUP($C211,REV!$C:$AA,9,0)-'TRADE IN'!$F211))</f>
        <v>13099</v>
      </c>
      <c r="L211" s="46">
        <f>IF(VLOOKUP($C211,REV!$C:$AA,10,0)-'TRADE IN'!$F222=0,"",(VLOOKUP($C211,REV!$C:$AA,10,0)-'TRADE IN'!$F211))</f>
        <v>13099</v>
      </c>
      <c r="M211" s="46">
        <f>IF(VLOOKUP($C211,REV!$C:$AA,11,0)-'TRADE IN'!$F222=0,"",(VLOOKUP($C211,REV!$C:$AA,11,0)-'TRADE IN'!$F211))</f>
        <v>13099</v>
      </c>
      <c r="N211" s="46">
        <f>IF(VLOOKUP($C211,REV!$C:$AA,12,0)-'TRADE IN'!$F222=0,"",(VLOOKUP($C211,REV!$C:$AA,12,0)-'TRADE IN'!$F211))</f>
        <v>13099</v>
      </c>
      <c r="O211" s="46">
        <f>IF(VLOOKUP($C211,REV!$C:$AA,13,0)-'TRADE IN'!$F222=0,"",(VLOOKUP($C211,REV!$C:$AA,13,0)-'TRADE IN'!$F211))</f>
        <v>12999</v>
      </c>
      <c r="P211" s="46">
        <f>IF(VLOOKUP($C211,REV!$C:$AA,14,0)-'TRADE IN'!$F222=0,"",(VLOOKUP($C211,REV!$C:$AA,14,0)-'TRADE IN'!$F211))</f>
        <v>12899</v>
      </c>
      <c r="Q211" s="46">
        <f>IF(VLOOKUP($C211,REV!$C:$AA,15,0)-'TRADE IN'!$F222=0,"",(VLOOKUP($C211,REV!$C:$AA,15,0)-'TRADE IN'!$F211))</f>
        <v>12099</v>
      </c>
      <c r="R211" s="46">
        <f>IF(VLOOKUP($C211,REV!$C:$AA,16,0)-'TRADE IN'!$F222=0,"",(VLOOKUP($C211,REV!$C:$AA,16,0)-'TRADE IN'!$F211))</f>
        <v>12999</v>
      </c>
      <c r="S211" s="46">
        <f>IF(VLOOKUP($C211,REV!$C:$AA,17,0)-'TRADE IN'!$F222=0,"",(VLOOKUP($C211,REV!$C:$AA,17,0)-'TRADE IN'!$F211))</f>
        <v>12899</v>
      </c>
      <c r="T211" s="46">
        <f>IF(VLOOKUP($C211,REV!$C:$AA,18,0)-'TRADE IN'!$F222=0,"",(VLOOKUP($C211,REV!$C:$AA,18,0)-'TRADE IN'!$F211))</f>
        <v>12099</v>
      </c>
      <c r="U211" s="46">
        <f>IF(VLOOKUP($C211,REV!$C:$AA,19,0)-'TRADE IN'!$F222=0,"",(VLOOKUP($C211,REV!$C:$AA,19,0)-'TRADE IN'!$F211))</f>
        <v>12099</v>
      </c>
      <c r="V211" s="46">
        <f>IF(VLOOKUP($C211,REV!$C:$AA,20,0)-'TRADE IN'!$F222=0,"",(VLOOKUP($C211,REV!$C:$AA,20,0)-'TRADE IN'!$F211))</f>
        <v>12099</v>
      </c>
      <c r="W211" s="46">
        <f>IF(VLOOKUP($C211,REV!$C:$AA,21,0)-'TRADE IN'!$F222=0,"",(VLOOKUP($C211,REV!$C:$AA,21,0)-'TRADE IN'!$F211))</f>
        <v>11999</v>
      </c>
      <c r="X211" s="46">
        <f>IF(VLOOKUP($C211,REV!$C:$AA,22,0)-'TRADE IN'!$F222=0,"",(VLOOKUP($C211,REV!$C:$AA,22,0)-'TRADE IN'!$F211))</f>
        <v>11999</v>
      </c>
      <c r="Y211" s="46">
        <f>IF(VLOOKUP($C211,REV!$C:$AA,23,0)-'TRADE IN'!$F222=0,"",(VLOOKUP($C211,REV!$C:$AA,23,0)-'TRADE IN'!$F211))</f>
        <v>10999</v>
      </c>
      <c r="Z211" s="46">
        <f>IF(VLOOKUP($C211,REV!$C:$AA,24,0)-'TRADE IN'!$F222=0,"",(VLOOKUP($C211,REV!$C:$AA,24,0)-'TRADE IN'!$F211))</f>
        <v>10999</v>
      </c>
      <c r="AA211" s="46">
        <f>IF(VLOOKUP($C211,REV!$C:$AA,25,0)-'TRADE IN'!$F222=0,"",(VLOOKUP($C211,REV!$C:$AA,25,0)-'TRADE IN'!$F211))</f>
        <v>10899</v>
      </c>
      <c r="AB211" s="46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tr">
        <f>IF(REV!AW211=0,"",REV!AW211)</f>
        <v>31.03.2026</v>
      </c>
      <c r="AX211" s="159" t="s">
        <v>82</v>
      </c>
    </row>
    <row r="212" spans="1:50" ht="22.5" customHeight="1">
      <c r="A212" s="52" t="s">
        <v>70</v>
      </c>
      <c r="B212" s="41" t="s">
        <v>62</v>
      </c>
      <c r="C212" s="42">
        <v>4017520</v>
      </c>
      <c r="D212" s="43" t="s">
        <v>302</v>
      </c>
      <c r="E212" s="43" t="s">
        <v>304</v>
      </c>
      <c r="F212" s="45"/>
      <c r="G212" s="45"/>
      <c r="H212" s="45"/>
      <c r="I212" s="45"/>
      <c r="J212" s="46">
        <f>IF(VLOOKUP($C212,REV!$C:$AA,8,0)-'TRADE IN'!$F212=0,"",(VLOOKUP($C212,REV!$C:$AA,8,0)-'TRADE IN'!$F212))</f>
        <v>13099</v>
      </c>
      <c r="K212" s="46">
        <f>IF(VLOOKUP($C212,REV!$C:$AA,9,0)-'TRADE IN'!$F212=0,"",(VLOOKUP($C212,REV!$C:$AA,9,0)-'TRADE IN'!$F212))</f>
        <v>13099</v>
      </c>
      <c r="L212" s="46">
        <f>IF(VLOOKUP($C212,REV!$C:$AA,10,0)-'TRADE IN'!$F223=0,"",(VLOOKUP($C212,REV!$C:$AA,10,0)-'TRADE IN'!$F212))</f>
        <v>13099</v>
      </c>
      <c r="M212" s="46">
        <f>IF(VLOOKUP($C212,REV!$C:$AA,11,0)-'TRADE IN'!$F223=0,"",(VLOOKUP($C212,REV!$C:$AA,11,0)-'TRADE IN'!$F212))</f>
        <v>13099</v>
      </c>
      <c r="N212" s="46">
        <f>IF(VLOOKUP($C212,REV!$C:$AA,12,0)-'TRADE IN'!$F223=0,"",(VLOOKUP($C212,REV!$C:$AA,12,0)-'TRADE IN'!$F212))</f>
        <v>13099</v>
      </c>
      <c r="O212" s="46">
        <f>IF(VLOOKUP($C212,REV!$C:$AA,13,0)-'TRADE IN'!$F223=0,"",(VLOOKUP($C212,REV!$C:$AA,13,0)-'TRADE IN'!$F212))</f>
        <v>12999</v>
      </c>
      <c r="P212" s="46">
        <f>IF(VLOOKUP($C212,REV!$C:$AA,14,0)-'TRADE IN'!$F223=0,"",(VLOOKUP($C212,REV!$C:$AA,14,0)-'TRADE IN'!$F212))</f>
        <v>12899</v>
      </c>
      <c r="Q212" s="46">
        <f>IF(VLOOKUP($C212,REV!$C:$AA,15,0)-'TRADE IN'!$F223=0,"",(VLOOKUP($C212,REV!$C:$AA,15,0)-'TRADE IN'!$F212))</f>
        <v>12099</v>
      </c>
      <c r="R212" s="46">
        <f>IF(VLOOKUP($C212,REV!$C:$AA,16,0)-'TRADE IN'!$F223=0,"",(VLOOKUP($C212,REV!$C:$AA,16,0)-'TRADE IN'!$F212))</f>
        <v>12999</v>
      </c>
      <c r="S212" s="46">
        <f>IF(VLOOKUP($C212,REV!$C:$AA,17,0)-'TRADE IN'!$F223=0,"",(VLOOKUP($C212,REV!$C:$AA,17,0)-'TRADE IN'!$F212))</f>
        <v>12899</v>
      </c>
      <c r="T212" s="46">
        <f>IF(VLOOKUP($C212,REV!$C:$AA,18,0)-'TRADE IN'!$F223=0,"",(VLOOKUP($C212,REV!$C:$AA,18,0)-'TRADE IN'!$F212))</f>
        <v>12099</v>
      </c>
      <c r="U212" s="46">
        <f>IF(VLOOKUP($C212,REV!$C:$AA,19,0)-'TRADE IN'!$F223=0,"",(VLOOKUP($C212,REV!$C:$AA,19,0)-'TRADE IN'!$F212))</f>
        <v>12099</v>
      </c>
      <c r="V212" s="46">
        <f>IF(VLOOKUP($C212,REV!$C:$AA,20,0)-'TRADE IN'!$F223=0,"",(VLOOKUP($C212,REV!$C:$AA,20,0)-'TRADE IN'!$F212))</f>
        <v>12099</v>
      </c>
      <c r="W212" s="46">
        <f>IF(VLOOKUP($C212,REV!$C:$AA,21,0)-'TRADE IN'!$F223=0,"",(VLOOKUP($C212,REV!$C:$AA,21,0)-'TRADE IN'!$F212))</f>
        <v>11999</v>
      </c>
      <c r="X212" s="46">
        <f>IF(VLOOKUP($C212,REV!$C:$AA,22,0)-'TRADE IN'!$F223=0,"",(VLOOKUP($C212,REV!$C:$AA,22,0)-'TRADE IN'!$F212))</f>
        <v>11999</v>
      </c>
      <c r="Y212" s="46">
        <f>IF(VLOOKUP($C212,REV!$C:$AA,23,0)-'TRADE IN'!$F223=0,"",(VLOOKUP($C212,REV!$C:$AA,23,0)-'TRADE IN'!$F212))</f>
        <v>10999</v>
      </c>
      <c r="Z212" s="46">
        <f>IF(VLOOKUP($C212,REV!$C:$AA,24,0)-'TRADE IN'!$F223=0,"",(VLOOKUP($C212,REV!$C:$AA,24,0)-'TRADE IN'!$F212))</f>
        <v>10999</v>
      </c>
      <c r="AA212" s="46">
        <f>IF(VLOOKUP($C212,REV!$C:$AA,25,0)-'TRADE IN'!$F223=0,"",(VLOOKUP($C212,REV!$C:$AA,25,0)-'TRADE IN'!$F212))</f>
        <v>10899</v>
      </c>
      <c r="AB212" s="46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tr">
        <f>IF(REV!AW212=0,"",REV!AW212)</f>
        <v>31.03.2026</v>
      </c>
      <c r="AX212" s="159" t="s">
        <v>82</v>
      </c>
    </row>
    <row r="213" spans="1:50" ht="22.5" customHeight="1">
      <c r="A213" s="52" t="s">
        <v>70</v>
      </c>
      <c r="B213" s="41" t="s">
        <v>62</v>
      </c>
      <c r="C213" s="42">
        <v>4017522</v>
      </c>
      <c r="D213" s="43" t="s">
        <v>302</v>
      </c>
      <c r="E213" s="43" t="s">
        <v>305</v>
      </c>
      <c r="F213" s="45"/>
      <c r="G213" s="45"/>
      <c r="H213" s="45"/>
      <c r="I213" s="45"/>
      <c r="J213" s="46">
        <f>IF(VLOOKUP($C213,REV!$C:$AA,8,0)-'TRADE IN'!$F213=0,"",(VLOOKUP($C213,REV!$C:$AA,8,0)-'TRADE IN'!$F213))</f>
        <v>13099</v>
      </c>
      <c r="K213" s="46">
        <f>IF(VLOOKUP($C213,REV!$C:$AA,9,0)-'TRADE IN'!$F213=0,"",(VLOOKUP($C213,REV!$C:$AA,9,0)-'TRADE IN'!$F213))</f>
        <v>13099</v>
      </c>
      <c r="L213" s="46">
        <f>IF(VLOOKUP($C213,REV!$C:$AA,10,0)-'TRADE IN'!$F224=0,"",(VLOOKUP($C213,REV!$C:$AA,10,0)-'TRADE IN'!$F213))</f>
        <v>13099</v>
      </c>
      <c r="M213" s="46">
        <f>IF(VLOOKUP($C213,REV!$C:$AA,11,0)-'TRADE IN'!$F224=0,"",(VLOOKUP($C213,REV!$C:$AA,11,0)-'TRADE IN'!$F213))</f>
        <v>13099</v>
      </c>
      <c r="N213" s="46">
        <f>IF(VLOOKUP($C213,REV!$C:$AA,12,0)-'TRADE IN'!$F224=0,"",(VLOOKUP($C213,REV!$C:$AA,12,0)-'TRADE IN'!$F213))</f>
        <v>13099</v>
      </c>
      <c r="O213" s="46">
        <f>IF(VLOOKUP($C213,REV!$C:$AA,13,0)-'TRADE IN'!$F224=0,"",(VLOOKUP($C213,REV!$C:$AA,13,0)-'TRADE IN'!$F213))</f>
        <v>12999</v>
      </c>
      <c r="P213" s="46">
        <f>IF(VLOOKUP($C213,REV!$C:$AA,14,0)-'TRADE IN'!$F224=0,"",(VLOOKUP($C213,REV!$C:$AA,14,0)-'TRADE IN'!$F213))</f>
        <v>12899</v>
      </c>
      <c r="Q213" s="46">
        <f>IF(VLOOKUP($C213,REV!$C:$AA,15,0)-'TRADE IN'!$F224=0,"",(VLOOKUP($C213,REV!$C:$AA,15,0)-'TRADE IN'!$F213))</f>
        <v>12099</v>
      </c>
      <c r="R213" s="46">
        <f>IF(VLOOKUP($C213,REV!$C:$AA,16,0)-'TRADE IN'!$F224=0,"",(VLOOKUP($C213,REV!$C:$AA,16,0)-'TRADE IN'!$F213))</f>
        <v>12999</v>
      </c>
      <c r="S213" s="46">
        <f>IF(VLOOKUP($C213,REV!$C:$AA,17,0)-'TRADE IN'!$F224=0,"",(VLOOKUP($C213,REV!$C:$AA,17,0)-'TRADE IN'!$F213))</f>
        <v>12899</v>
      </c>
      <c r="T213" s="46">
        <f>IF(VLOOKUP($C213,REV!$C:$AA,18,0)-'TRADE IN'!$F224=0,"",(VLOOKUP($C213,REV!$C:$AA,18,0)-'TRADE IN'!$F213))</f>
        <v>12099</v>
      </c>
      <c r="U213" s="46">
        <f>IF(VLOOKUP($C213,REV!$C:$AA,19,0)-'TRADE IN'!$F224=0,"",(VLOOKUP($C213,REV!$C:$AA,19,0)-'TRADE IN'!$F213))</f>
        <v>12099</v>
      </c>
      <c r="V213" s="46">
        <f>IF(VLOOKUP($C213,REV!$C:$AA,20,0)-'TRADE IN'!$F224=0,"",(VLOOKUP($C213,REV!$C:$AA,20,0)-'TRADE IN'!$F213))</f>
        <v>12099</v>
      </c>
      <c r="W213" s="46">
        <f>IF(VLOOKUP($C213,REV!$C:$AA,21,0)-'TRADE IN'!$F224=0,"",(VLOOKUP($C213,REV!$C:$AA,21,0)-'TRADE IN'!$F213))</f>
        <v>11999</v>
      </c>
      <c r="X213" s="46">
        <f>IF(VLOOKUP($C213,REV!$C:$AA,22,0)-'TRADE IN'!$F224=0,"",(VLOOKUP($C213,REV!$C:$AA,22,0)-'TRADE IN'!$F213))</f>
        <v>11999</v>
      </c>
      <c r="Y213" s="46">
        <f>IF(VLOOKUP($C213,REV!$C:$AA,23,0)-'TRADE IN'!$F224=0,"",(VLOOKUP($C213,REV!$C:$AA,23,0)-'TRADE IN'!$F213))</f>
        <v>10999</v>
      </c>
      <c r="Z213" s="46">
        <f>IF(VLOOKUP($C213,REV!$C:$AA,24,0)-'TRADE IN'!$F224=0,"",(VLOOKUP($C213,REV!$C:$AA,24,0)-'TRADE IN'!$F213))</f>
        <v>10999</v>
      </c>
      <c r="AA213" s="46">
        <f>IF(VLOOKUP($C213,REV!$C:$AA,25,0)-'TRADE IN'!$F224=0,"",(VLOOKUP($C213,REV!$C:$AA,25,0)-'TRADE IN'!$F213))</f>
        <v>10899</v>
      </c>
      <c r="AB213" s="46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tr">
        <f>IF(REV!AW213=0,"",REV!AW213)</f>
        <v>31.03.2026</v>
      </c>
      <c r="AX213" s="159" t="s">
        <v>82</v>
      </c>
    </row>
    <row r="214" spans="1:50" ht="22.5" customHeight="1">
      <c r="A214" s="52" t="s">
        <v>70</v>
      </c>
      <c r="B214" s="41" t="s">
        <v>62</v>
      </c>
      <c r="C214" s="42">
        <v>4017020</v>
      </c>
      <c r="D214" s="43" t="s">
        <v>306</v>
      </c>
      <c r="E214" s="43" t="s">
        <v>307</v>
      </c>
      <c r="F214" s="45"/>
      <c r="G214" s="45"/>
      <c r="H214" s="45"/>
      <c r="I214" s="45"/>
      <c r="J214" s="46">
        <f>IF(VLOOKUP($C214,REV!$C:$AA,8,0)-'TRADE IN'!$F214=0,"",(VLOOKUP($C214,REV!$C:$AA,8,0)-'TRADE IN'!$F214))</f>
        <v>3299</v>
      </c>
      <c r="K214" s="46">
        <f>IF(VLOOKUP($C214,REV!$C:$AA,9,0)-'TRADE IN'!$F214=0,"",(VLOOKUP($C214,REV!$C:$AA,9,0)-'TRADE IN'!$F214))</f>
        <v>3299</v>
      </c>
      <c r="L214" s="46">
        <f>IF(VLOOKUP($C214,REV!$C:$AA,10,0)-'TRADE IN'!$F225=0,"",(VLOOKUP($C214,REV!$C:$AA,10,0)-'TRADE IN'!$F214))</f>
        <v>3299</v>
      </c>
      <c r="M214" s="46">
        <f>IF(VLOOKUP($C214,REV!$C:$AA,11,0)-'TRADE IN'!$F225=0,"",(VLOOKUP($C214,REV!$C:$AA,11,0)-'TRADE IN'!$F214))</f>
        <v>3299</v>
      </c>
      <c r="N214" s="46">
        <f>IF(VLOOKUP($C214,REV!$C:$AA,12,0)-'TRADE IN'!$F225=0,"",(VLOOKUP($C214,REV!$C:$AA,12,0)-'TRADE IN'!$F214))</f>
        <v>3299</v>
      </c>
      <c r="O214" s="46">
        <f>IF(VLOOKUP($C214,REV!$C:$AA,13,0)-'TRADE IN'!$F225=0,"",(VLOOKUP($C214,REV!$C:$AA,13,0)-'TRADE IN'!$F214))</f>
        <v>3249</v>
      </c>
      <c r="P214" s="46">
        <f>IF(VLOOKUP($C214,REV!$C:$AA,14,0)-'TRADE IN'!$F225=0,"",(VLOOKUP($C214,REV!$C:$AA,14,0)-'TRADE IN'!$F214))</f>
        <v>3199</v>
      </c>
      <c r="Q214" s="46">
        <f>IF(VLOOKUP($C214,REV!$C:$AA,15,0)-'TRADE IN'!$F225=0,"",(VLOOKUP($C214,REV!$C:$AA,15,0)-'TRADE IN'!$F214))</f>
        <v>2499</v>
      </c>
      <c r="R214" s="46">
        <f>IF(VLOOKUP($C214,REV!$C:$AA,16,0)-'TRADE IN'!$F225=0,"",(VLOOKUP($C214,REV!$C:$AA,16,0)-'TRADE IN'!$F214))</f>
        <v>3249</v>
      </c>
      <c r="S214" s="46">
        <f>IF(VLOOKUP($C214,REV!$C:$AA,17,0)-'TRADE IN'!$F225=0,"",(VLOOKUP($C214,REV!$C:$AA,17,0)-'TRADE IN'!$F214))</f>
        <v>3199</v>
      </c>
      <c r="T214" s="46">
        <f>IF(VLOOKUP($C214,REV!$C:$AA,18,0)-'TRADE IN'!$F225=0,"",(VLOOKUP($C214,REV!$C:$AA,18,0)-'TRADE IN'!$F214))</f>
        <v>2499</v>
      </c>
      <c r="U214" s="46">
        <f>IF(VLOOKUP($C214,REV!$C:$AA,19,0)-'TRADE IN'!$F225=0,"",(VLOOKUP($C214,REV!$C:$AA,19,0)-'TRADE IN'!$F214))</f>
        <v>2499</v>
      </c>
      <c r="V214" s="46">
        <f>IF(VLOOKUP($C214,REV!$C:$AA,20,0)-'TRADE IN'!$F225=0,"",(VLOOKUP($C214,REV!$C:$AA,20,0)-'TRADE IN'!$F214))</f>
        <v>2499</v>
      </c>
      <c r="W214" s="46">
        <f>IF(VLOOKUP($C214,REV!$C:$AA,21,0)-'TRADE IN'!$F225=0,"",(VLOOKUP($C214,REV!$C:$AA,21,0)-'TRADE IN'!$F214))</f>
        <v>2499</v>
      </c>
      <c r="X214" s="46">
        <f>IF(VLOOKUP($C214,REV!$C:$AA,22,0)-'TRADE IN'!$F225=0,"",(VLOOKUP($C214,REV!$C:$AA,22,0)-'TRADE IN'!$F214))</f>
        <v>2399</v>
      </c>
      <c r="Y214" s="46">
        <f>IF(VLOOKUP($C214,REV!$C:$AA,23,0)-'TRADE IN'!$F225=0,"",(VLOOKUP($C214,REV!$C:$AA,23,0)-'TRADE IN'!$F214))</f>
        <v>1799</v>
      </c>
      <c r="Z214" s="46">
        <f>IF(VLOOKUP($C214,REV!$C:$AA,24,0)-'TRADE IN'!$F225=0,"",(VLOOKUP($C214,REV!$C:$AA,24,0)-'TRADE IN'!$F214))</f>
        <v>1799</v>
      </c>
      <c r="AA214" s="46">
        <f>IF(VLOOKUP($C214,REV!$C:$AA,25,0)-'TRADE IN'!$F225=0,"",(VLOOKUP($C214,REV!$C:$AA,25,0)-'TRADE IN'!$F214))</f>
        <v>1799</v>
      </c>
      <c r="AB214" s="46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tr">
        <f>IF(REV!AW214=0,"",REV!AW214)</f>
        <v>31.03.2026</v>
      </c>
      <c r="AX214" s="159" t="s">
        <v>82</v>
      </c>
    </row>
    <row r="215" spans="1:50" ht="22.5" customHeight="1">
      <c r="A215" s="52" t="s">
        <v>70</v>
      </c>
      <c r="B215" s="41" t="s">
        <v>62</v>
      </c>
      <c r="C215" s="42">
        <v>4017022</v>
      </c>
      <c r="D215" s="43" t="s">
        <v>306</v>
      </c>
      <c r="E215" s="43" t="s">
        <v>308</v>
      </c>
      <c r="F215" s="45"/>
      <c r="G215" s="45"/>
      <c r="H215" s="45"/>
      <c r="I215" s="45"/>
      <c r="J215" s="46">
        <f>IF(VLOOKUP($C215,REV!$C:$AA,8,0)-'TRADE IN'!$F215=0,"",(VLOOKUP($C215,REV!$C:$AA,8,0)-'TRADE IN'!$F215))</f>
        <v>3299</v>
      </c>
      <c r="K215" s="46">
        <f>IF(VLOOKUP($C215,REV!$C:$AA,9,0)-'TRADE IN'!$F215=0,"",(VLOOKUP($C215,REV!$C:$AA,9,0)-'TRADE IN'!$F215))</f>
        <v>3299</v>
      </c>
      <c r="L215" s="46">
        <f>IF(VLOOKUP($C215,REV!$C:$AA,10,0)-'TRADE IN'!$F226=0,"",(VLOOKUP($C215,REV!$C:$AA,10,0)-'TRADE IN'!$F215))</f>
        <v>3299</v>
      </c>
      <c r="M215" s="46">
        <f>IF(VLOOKUP($C215,REV!$C:$AA,11,0)-'TRADE IN'!$F226=0,"",(VLOOKUP($C215,REV!$C:$AA,11,0)-'TRADE IN'!$F215))</f>
        <v>3299</v>
      </c>
      <c r="N215" s="46">
        <f>IF(VLOOKUP($C215,REV!$C:$AA,12,0)-'TRADE IN'!$F226=0,"",(VLOOKUP($C215,REV!$C:$AA,12,0)-'TRADE IN'!$F215))</f>
        <v>3299</v>
      </c>
      <c r="O215" s="46">
        <f>IF(VLOOKUP($C215,REV!$C:$AA,13,0)-'TRADE IN'!$F226=0,"",(VLOOKUP($C215,REV!$C:$AA,13,0)-'TRADE IN'!$F215))</f>
        <v>3249</v>
      </c>
      <c r="P215" s="46">
        <f>IF(VLOOKUP($C215,REV!$C:$AA,14,0)-'TRADE IN'!$F226=0,"",(VLOOKUP($C215,REV!$C:$AA,14,0)-'TRADE IN'!$F215))</f>
        <v>3199</v>
      </c>
      <c r="Q215" s="46">
        <f>IF(VLOOKUP($C215,REV!$C:$AA,15,0)-'TRADE IN'!$F226=0,"",(VLOOKUP($C215,REV!$C:$AA,15,0)-'TRADE IN'!$F215))</f>
        <v>2499</v>
      </c>
      <c r="R215" s="46">
        <f>IF(VLOOKUP($C215,REV!$C:$AA,16,0)-'TRADE IN'!$F226=0,"",(VLOOKUP($C215,REV!$C:$AA,16,0)-'TRADE IN'!$F215))</f>
        <v>3249</v>
      </c>
      <c r="S215" s="46">
        <f>IF(VLOOKUP($C215,REV!$C:$AA,17,0)-'TRADE IN'!$F226=0,"",(VLOOKUP($C215,REV!$C:$AA,17,0)-'TRADE IN'!$F215))</f>
        <v>3199</v>
      </c>
      <c r="T215" s="46">
        <f>IF(VLOOKUP($C215,REV!$C:$AA,18,0)-'TRADE IN'!$F226=0,"",(VLOOKUP($C215,REV!$C:$AA,18,0)-'TRADE IN'!$F215))</f>
        <v>2499</v>
      </c>
      <c r="U215" s="46">
        <f>IF(VLOOKUP($C215,REV!$C:$AA,19,0)-'TRADE IN'!$F226=0,"",(VLOOKUP($C215,REV!$C:$AA,19,0)-'TRADE IN'!$F215))</f>
        <v>2499</v>
      </c>
      <c r="V215" s="46">
        <f>IF(VLOOKUP($C215,REV!$C:$AA,20,0)-'TRADE IN'!$F226=0,"",(VLOOKUP($C215,REV!$C:$AA,20,0)-'TRADE IN'!$F215))</f>
        <v>2499</v>
      </c>
      <c r="W215" s="46">
        <f>IF(VLOOKUP($C215,REV!$C:$AA,21,0)-'TRADE IN'!$F226=0,"",(VLOOKUP($C215,REV!$C:$AA,21,0)-'TRADE IN'!$F215))</f>
        <v>2499</v>
      </c>
      <c r="X215" s="46">
        <f>IF(VLOOKUP($C215,REV!$C:$AA,22,0)-'TRADE IN'!$F226=0,"",(VLOOKUP($C215,REV!$C:$AA,22,0)-'TRADE IN'!$F215))</f>
        <v>2399</v>
      </c>
      <c r="Y215" s="46">
        <f>IF(VLOOKUP($C215,REV!$C:$AA,23,0)-'TRADE IN'!$F226=0,"",(VLOOKUP($C215,REV!$C:$AA,23,0)-'TRADE IN'!$F215))</f>
        <v>1799</v>
      </c>
      <c r="Z215" s="46">
        <f>IF(VLOOKUP($C215,REV!$C:$AA,24,0)-'TRADE IN'!$F226=0,"",(VLOOKUP($C215,REV!$C:$AA,24,0)-'TRADE IN'!$F215))</f>
        <v>1799</v>
      </c>
      <c r="AA215" s="46">
        <f>IF(VLOOKUP($C215,REV!$C:$AA,25,0)-'TRADE IN'!$F226=0,"",(VLOOKUP($C215,REV!$C:$AA,25,0)-'TRADE IN'!$F215))</f>
        <v>1799</v>
      </c>
      <c r="AB215" s="46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tr">
        <f>IF(REV!AW215=0,"",REV!AW215)</f>
        <v>31.03.2026</v>
      </c>
      <c r="AX215" s="159" t="s">
        <v>82</v>
      </c>
    </row>
    <row r="216" spans="1:50" ht="22.5" customHeight="1">
      <c r="A216" s="52" t="s">
        <v>70</v>
      </c>
      <c r="B216" s="41" t="s">
        <v>62</v>
      </c>
      <c r="C216" s="42">
        <v>4017045</v>
      </c>
      <c r="D216" s="43" t="s">
        <v>309</v>
      </c>
      <c r="E216" s="43" t="s">
        <v>310</v>
      </c>
      <c r="F216" s="45"/>
      <c r="G216" s="45"/>
      <c r="H216" s="45"/>
      <c r="I216" s="45"/>
      <c r="J216" s="46">
        <f>IF(VLOOKUP($C216,REV!$C:$AA,8,0)-'TRADE IN'!$F216=0,"",(VLOOKUP($C216,REV!$C:$AA,8,0)-'TRADE IN'!$F216))</f>
        <v>1799</v>
      </c>
      <c r="K216" s="46">
        <f>IF(VLOOKUP($C216,REV!$C:$AA,9,0)-'TRADE IN'!$F216=0,"",(VLOOKUP($C216,REV!$C:$AA,9,0)-'TRADE IN'!$F216))</f>
        <v>1799</v>
      </c>
      <c r="L216" s="46">
        <f>IF(VLOOKUP($C216,REV!$C:$AA,10,0)-'TRADE IN'!$F227=0,"",(VLOOKUP($C216,REV!$C:$AA,10,0)-'TRADE IN'!$F216))</f>
        <v>1799</v>
      </c>
      <c r="M216" s="46">
        <f>IF(VLOOKUP($C216,REV!$C:$AA,11,0)-'TRADE IN'!$F227=0,"",(VLOOKUP($C216,REV!$C:$AA,11,0)-'TRADE IN'!$F216))</f>
        <v>1799</v>
      </c>
      <c r="N216" s="46">
        <f>IF(VLOOKUP($C216,REV!$C:$AA,12,0)-'TRADE IN'!$F227=0,"",(VLOOKUP($C216,REV!$C:$AA,12,0)-'TRADE IN'!$F216))</f>
        <v>1799</v>
      </c>
      <c r="O216" s="46">
        <f>IF(VLOOKUP($C216,REV!$C:$AA,13,0)-'TRADE IN'!$F227=0,"",(VLOOKUP($C216,REV!$C:$AA,13,0)-'TRADE IN'!$F216))</f>
        <v>1699</v>
      </c>
      <c r="P216" s="46">
        <f>IF(VLOOKUP($C216,REV!$C:$AA,14,0)-'TRADE IN'!$F227=0,"",(VLOOKUP($C216,REV!$C:$AA,14,0)-'TRADE IN'!$F216))</f>
        <v>1599</v>
      </c>
      <c r="Q216" s="46">
        <f>IF(VLOOKUP($C216,REV!$C:$AA,15,0)-'TRADE IN'!$F227=0,"",(VLOOKUP($C216,REV!$C:$AA,15,0)-'TRADE IN'!$F216))</f>
        <v>999</v>
      </c>
      <c r="R216" s="46">
        <f>IF(VLOOKUP($C216,REV!$C:$AA,16,0)-'TRADE IN'!$F227=0,"",(VLOOKUP($C216,REV!$C:$AA,16,0)-'TRADE IN'!$F216))</f>
        <v>1699</v>
      </c>
      <c r="S216" s="46">
        <f>IF(VLOOKUP($C216,REV!$C:$AA,17,0)-'TRADE IN'!$F227=0,"",(VLOOKUP($C216,REV!$C:$AA,17,0)-'TRADE IN'!$F216))</f>
        <v>1599</v>
      </c>
      <c r="T216" s="46">
        <f>IF(VLOOKUP($C216,REV!$C:$AA,18,0)-'TRADE IN'!$F227=0,"",(VLOOKUP($C216,REV!$C:$AA,18,0)-'TRADE IN'!$F216))</f>
        <v>999</v>
      </c>
      <c r="U216" s="46">
        <f>IF(VLOOKUP($C216,REV!$C:$AA,19,0)-'TRADE IN'!$F227=0,"",(VLOOKUP($C216,REV!$C:$AA,19,0)-'TRADE IN'!$F216))</f>
        <v>999</v>
      </c>
      <c r="V216" s="46">
        <f>IF(VLOOKUP($C216,REV!$C:$AA,20,0)-'TRADE IN'!$F227=0,"",(VLOOKUP($C216,REV!$C:$AA,20,0)-'TRADE IN'!$F216))</f>
        <v>999</v>
      </c>
      <c r="W216" s="46">
        <f>IF(VLOOKUP($C216,REV!$C:$AA,21,0)-'TRADE IN'!$F227=0,"",(VLOOKUP($C216,REV!$C:$AA,21,0)-'TRADE IN'!$F216))</f>
        <v>999</v>
      </c>
      <c r="X216" s="46">
        <f>IF(VLOOKUP($C216,REV!$C:$AA,22,0)-'TRADE IN'!$F227=0,"",(VLOOKUP($C216,REV!$C:$AA,22,0)-'TRADE IN'!$F216))</f>
        <v>999</v>
      </c>
      <c r="Y216" s="46">
        <f>IF(VLOOKUP($C216,REV!$C:$AA,23,0)-'TRADE IN'!$F227=0,"",(VLOOKUP($C216,REV!$C:$AA,23,0)-'TRADE IN'!$F216))</f>
        <v>799</v>
      </c>
      <c r="Z216" s="46">
        <f>IF(VLOOKUP($C216,REV!$C:$AA,24,0)-'TRADE IN'!$F227=0,"",(VLOOKUP($C216,REV!$C:$AA,24,0)-'TRADE IN'!$F216))</f>
        <v>799</v>
      </c>
      <c r="AA216" s="46">
        <f>IF(VLOOKUP($C216,REV!$C:$AA,25,0)-'TRADE IN'!$F227=0,"",(VLOOKUP($C216,REV!$C:$AA,25,0)-'TRADE IN'!$F216))</f>
        <v>799</v>
      </c>
      <c r="AB216" s="46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tr">
        <f>IF(REV!AW216=0,"",REV!AW216)</f>
        <v>31.03.2026</v>
      </c>
      <c r="AX216" s="159" t="s">
        <v>82</v>
      </c>
    </row>
    <row r="217" spans="1:50" ht="22.5" customHeight="1">
      <c r="A217" s="52" t="s">
        <v>70</v>
      </c>
      <c r="B217" s="41" t="s">
        <v>62</v>
      </c>
      <c r="C217" s="42">
        <v>4017047</v>
      </c>
      <c r="D217" s="43" t="s">
        <v>309</v>
      </c>
      <c r="E217" s="43" t="s">
        <v>311</v>
      </c>
      <c r="F217" s="45"/>
      <c r="G217" s="45"/>
      <c r="H217" s="45"/>
      <c r="I217" s="45"/>
      <c r="J217" s="46">
        <f>IF(VLOOKUP($C217,REV!$C:$AA,8,0)-'TRADE IN'!$F217=0,"",(VLOOKUP($C217,REV!$C:$AA,8,0)-'TRADE IN'!$F217))</f>
        <v>1799</v>
      </c>
      <c r="K217" s="46">
        <f>IF(VLOOKUP($C217,REV!$C:$AA,9,0)-'TRADE IN'!$F217=0,"",(VLOOKUP($C217,REV!$C:$AA,9,0)-'TRADE IN'!$F217))</f>
        <v>1799</v>
      </c>
      <c r="L217" s="46">
        <f>IF(VLOOKUP($C217,REV!$C:$AA,10,0)-'TRADE IN'!$F228=0,"",(VLOOKUP($C217,REV!$C:$AA,10,0)-'TRADE IN'!$F217))</f>
        <v>1799</v>
      </c>
      <c r="M217" s="46">
        <f>IF(VLOOKUP($C217,REV!$C:$AA,11,0)-'TRADE IN'!$F228=0,"",(VLOOKUP($C217,REV!$C:$AA,11,0)-'TRADE IN'!$F217))</f>
        <v>1799</v>
      </c>
      <c r="N217" s="46">
        <f>IF(VLOOKUP($C217,REV!$C:$AA,12,0)-'TRADE IN'!$F228=0,"",(VLOOKUP($C217,REV!$C:$AA,12,0)-'TRADE IN'!$F217))</f>
        <v>1799</v>
      </c>
      <c r="O217" s="46">
        <f>IF(VLOOKUP($C217,REV!$C:$AA,13,0)-'TRADE IN'!$F228=0,"",(VLOOKUP($C217,REV!$C:$AA,13,0)-'TRADE IN'!$F217))</f>
        <v>1699</v>
      </c>
      <c r="P217" s="46">
        <f>IF(VLOOKUP($C217,REV!$C:$AA,14,0)-'TRADE IN'!$F228=0,"",(VLOOKUP($C217,REV!$C:$AA,14,0)-'TRADE IN'!$F217))</f>
        <v>1599</v>
      </c>
      <c r="Q217" s="46">
        <f>IF(VLOOKUP($C217,REV!$C:$AA,15,0)-'TRADE IN'!$F228=0,"",(VLOOKUP($C217,REV!$C:$AA,15,0)-'TRADE IN'!$F217))</f>
        <v>999</v>
      </c>
      <c r="R217" s="46">
        <f>IF(VLOOKUP($C217,REV!$C:$AA,16,0)-'TRADE IN'!$F228=0,"",(VLOOKUP($C217,REV!$C:$AA,16,0)-'TRADE IN'!$F217))</f>
        <v>1699</v>
      </c>
      <c r="S217" s="46">
        <f>IF(VLOOKUP($C217,REV!$C:$AA,17,0)-'TRADE IN'!$F228=0,"",(VLOOKUP($C217,REV!$C:$AA,17,0)-'TRADE IN'!$F217))</f>
        <v>1599</v>
      </c>
      <c r="T217" s="46">
        <f>IF(VLOOKUP($C217,REV!$C:$AA,18,0)-'TRADE IN'!$F228=0,"",(VLOOKUP($C217,REV!$C:$AA,18,0)-'TRADE IN'!$F217))</f>
        <v>999</v>
      </c>
      <c r="U217" s="46">
        <f>IF(VLOOKUP($C217,REV!$C:$AA,19,0)-'TRADE IN'!$F228=0,"",(VLOOKUP($C217,REV!$C:$AA,19,0)-'TRADE IN'!$F217))</f>
        <v>999</v>
      </c>
      <c r="V217" s="46">
        <f>IF(VLOOKUP($C217,REV!$C:$AA,20,0)-'TRADE IN'!$F228=0,"",(VLOOKUP($C217,REV!$C:$AA,20,0)-'TRADE IN'!$F217))</f>
        <v>999</v>
      </c>
      <c r="W217" s="46">
        <f>IF(VLOOKUP($C217,REV!$C:$AA,21,0)-'TRADE IN'!$F228=0,"",(VLOOKUP($C217,REV!$C:$AA,21,0)-'TRADE IN'!$F217))</f>
        <v>999</v>
      </c>
      <c r="X217" s="46">
        <f>IF(VLOOKUP($C217,REV!$C:$AA,22,0)-'TRADE IN'!$F228=0,"",(VLOOKUP($C217,REV!$C:$AA,22,0)-'TRADE IN'!$F217))</f>
        <v>999</v>
      </c>
      <c r="Y217" s="46">
        <f>IF(VLOOKUP($C217,REV!$C:$AA,23,0)-'TRADE IN'!$F228=0,"",(VLOOKUP($C217,REV!$C:$AA,23,0)-'TRADE IN'!$F217))</f>
        <v>799</v>
      </c>
      <c r="Z217" s="46">
        <f>IF(VLOOKUP($C217,REV!$C:$AA,24,0)-'TRADE IN'!$F228=0,"",(VLOOKUP($C217,REV!$C:$AA,24,0)-'TRADE IN'!$F217))</f>
        <v>799</v>
      </c>
      <c r="AA217" s="46">
        <f>IF(VLOOKUP($C217,REV!$C:$AA,25,0)-'TRADE IN'!$F228=0,"",(VLOOKUP($C217,REV!$C:$AA,25,0)-'TRADE IN'!$F217))</f>
        <v>799</v>
      </c>
      <c r="AB217" s="46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tr">
        <f>IF(REV!AW217=0,"",REV!AW217)</f>
        <v>31.03.2026</v>
      </c>
      <c r="AX217" s="159" t="s">
        <v>82</v>
      </c>
    </row>
    <row r="218" spans="1:50" ht="22.5" customHeight="1">
      <c r="A218" s="52" t="s">
        <v>70</v>
      </c>
      <c r="B218" s="41" t="s">
        <v>62</v>
      </c>
      <c r="C218" s="42">
        <v>4017758</v>
      </c>
      <c r="D218" s="43" t="s">
        <v>312</v>
      </c>
      <c r="E218" s="43" t="s">
        <v>313</v>
      </c>
      <c r="F218" s="45"/>
      <c r="G218" s="45"/>
      <c r="H218" s="45"/>
      <c r="I218" s="45"/>
      <c r="J218" s="46">
        <f>IF(VLOOKUP($C218,REV!$C:$AA,8,0)-'TRADE IN'!$F218=0,"",(VLOOKUP($C218,REV!$C:$AA,8,0)-'TRADE IN'!$F218))</f>
        <v>2999</v>
      </c>
      <c r="K218" s="46">
        <f>IF(VLOOKUP($C218,REV!$C:$AA,9,0)-'TRADE IN'!$F218=0,"",(VLOOKUP($C218,REV!$C:$AA,9,0)-'TRADE IN'!$F218))</f>
        <v>2999</v>
      </c>
      <c r="L218" s="46">
        <f>IF(VLOOKUP($C218,REV!$C:$AA,10,0)-'TRADE IN'!$F229=0,"",(VLOOKUP($C218,REV!$C:$AA,10,0)-'TRADE IN'!$F218))</f>
        <v>2999</v>
      </c>
      <c r="M218" s="46">
        <f>IF(VLOOKUP($C218,REV!$C:$AA,11,0)-'TRADE IN'!$F229=0,"",(VLOOKUP($C218,REV!$C:$AA,11,0)-'TRADE IN'!$F218))</f>
        <v>2999</v>
      </c>
      <c r="N218" s="46">
        <f>IF(VLOOKUP($C218,REV!$C:$AA,12,0)-'TRADE IN'!$F229=0,"",(VLOOKUP($C218,REV!$C:$AA,12,0)-'TRADE IN'!$F218))</f>
        <v>2999</v>
      </c>
      <c r="O218" s="46">
        <f>IF(VLOOKUP($C218,REV!$C:$AA,13,0)-'TRADE IN'!$F229=0,"",(VLOOKUP($C218,REV!$C:$AA,13,0)-'TRADE IN'!$F218))</f>
        <v>2899</v>
      </c>
      <c r="P218" s="46">
        <f>IF(VLOOKUP($C218,REV!$C:$AA,14,0)-'TRADE IN'!$F229=0,"",(VLOOKUP($C218,REV!$C:$AA,14,0)-'TRADE IN'!$F218))</f>
        <v>2799</v>
      </c>
      <c r="Q218" s="46">
        <f>IF(VLOOKUP($C218,REV!$C:$AA,15,0)-'TRADE IN'!$F229=0,"",(VLOOKUP($C218,REV!$C:$AA,15,0)-'TRADE IN'!$F218))</f>
        <v>2499</v>
      </c>
      <c r="R218" s="46">
        <f>IF(VLOOKUP($C218,REV!$C:$AA,16,0)-'TRADE IN'!$F229=0,"",(VLOOKUP($C218,REV!$C:$AA,16,0)-'TRADE IN'!$F218))</f>
        <v>2899</v>
      </c>
      <c r="S218" s="46">
        <f>IF(VLOOKUP($C218,REV!$C:$AA,17,0)-'TRADE IN'!$F229=0,"",(VLOOKUP($C218,REV!$C:$AA,17,0)-'TRADE IN'!$F218))</f>
        <v>2799</v>
      </c>
      <c r="T218" s="46">
        <f>IF(VLOOKUP($C218,REV!$C:$AA,18,0)-'TRADE IN'!$F229=0,"",(VLOOKUP($C218,REV!$C:$AA,18,0)-'TRADE IN'!$F218))</f>
        <v>2499</v>
      </c>
      <c r="U218" s="46">
        <f>IF(VLOOKUP($C218,REV!$C:$AA,19,0)-'TRADE IN'!$F229=0,"",(VLOOKUP($C218,REV!$C:$AA,19,0)-'TRADE IN'!$F218))</f>
        <v>2499</v>
      </c>
      <c r="V218" s="46">
        <f>IF(VLOOKUP($C218,REV!$C:$AA,20,0)-'TRADE IN'!$F229=0,"",(VLOOKUP($C218,REV!$C:$AA,20,0)-'TRADE IN'!$F218))</f>
        <v>2499</v>
      </c>
      <c r="W218" s="46">
        <f>IF(VLOOKUP($C218,REV!$C:$AA,21,0)-'TRADE IN'!$F229=0,"",(VLOOKUP($C218,REV!$C:$AA,21,0)-'TRADE IN'!$F218))</f>
        <v>2499</v>
      </c>
      <c r="X218" s="46">
        <f>IF(VLOOKUP($C218,REV!$C:$AA,22,0)-'TRADE IN'!$F229=0,"",(VLOOKUP($C218,REV!$C:$AA,22,0)-'TRADE IN'!$F218))</f>
        <v>2399</v>
      </c>
      <c r="Y218" s="46">
        <f>IF(VLOOKUP($C218,REV!$C:$AA,23,0)-'TRADE IN'!$F229=0,"",(VLOOKUP($C218,REV!$C:$AA,23,0)-'TRADE IN'!$F218))</f>
        <v>1999</v>
      </c>
      <c r="Z218" s="46">
        <f>IF(VLOOKUP($C218,REV!$C:$AA,24,0)-'TRADE IN'!$F229=0,"",(VLOOKUP($C218,REV!$C:$AA,24,0)-'TRADE IN'!$F218))</f>
        <v>1999</v>
      </c>
      <c r="AA218" s="46">
        <f>IF(VLOOKUP($C218,REV!$C:$AA,25,0)-'TRADE IN'!$F229=0,"",(VLOOKUP($C218,REV!$C:$AA,25,0)-'TRADE IN'!$F218))</f>
        <v>1999</v>
      </c>
      <c r="AB218" s="46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tr">
        <f>IF(REV!AW218=0,"",REV!AW218)</f>
        <v>31.03.2026</v>
      </c>
      <c r="AX218" s="159" t="s">
        <v>82</v>
      </c>
    </row>
    <row r="219" spans="1:50" ht="22.5" customHeight="1">
      <c r="A219" s="52" t="s">
        <v>70</v>
      </c>
      <c r="B219" s="41" t="s">
        <v>62</v>
      </c>
      <c r="C219" s="42">
        <v>4017773</v>
      </c>
      <c r="D219" s="43" t="s">
        <v>312</v>
      </c>
      <c r="E219" s="43" t="s">
        <v>314</v>
      </c>
      <c r="F219" s="45"/>
      <c r="G219" s="45"/>
      <c r="H219" s="45"/>
      <c r="I219" s="45"/>
      <c r="J219" s="46">
        <f>IF(VLOOKUP($C219,REV!$C:$AA,8,0)-'TRADE IN'!$F219=0,"",(VLOOKUP($C219,REV!$C:$AA,8,0)-'TRADE IN'!$F219))</f>
        <v>2999</v>
      </c>
      <c r="K219" s="46">
        <f>IF(VLOOKUP($C219,REV!$C:$AA,9,0)-'TRADE IN'!$F219=0,"",(VLOOKUP($C219,REV!$C:$AA,9,0)-'TRADE IN'!$F219))</f>
        <v>2999</v>
      </c>
      <c r="L219" s="46">
        <f>IF(VLOOKUP($C219,REV!$C:$AA,10,0)-'TRADE IN'!$F230=0,"",(VLOOKUP($C219,REV!$C:$AA,10,0)-'TRADE IN'!$F219))</f>
        <v>2999</v>
      </c>
      <c r="M219" s="46">
        <f>IF(VLOOKUP($C219,REV!$C:$AA,11,0)-'TRADE IN'!$F230=0,"",(VLOOKUP($C219,REV!$C:$AA,11,0)-'TRADE IN'!$F219))</f>
        <v>2999</v>
      </c>
      <c r="N219" s="46">
        <f>IF(VLOOKUP($C219,REV!$C:$AA,12,0)-'TRADE IN'!$F230=0,"",(VLOOKUP($C219,REV!$C:$AA,12,0)-'TRADE IN'!$F219))</f>
        <v>2999</v>
      </c>
      <c r="O219" s="46">
        <f>IF(VLOOKUP($C219,REV!$C:$AA,13,0)-'TRADE IN'!$F230=0,"",(VLOOKUP($C219,REV!$C:$AA,13,0)-'TRADE IN'!$F219))</f>
        <v>2899</v>
      </c>
      <c r="P219" s="46">
        <f>IF(VLOOKUP($C219,REV!$C:$AA,14,0)-'TRADE IN'!$F230=0,"",(VLOOKUP($C219,REV!$C:$AA,14,0)-'TRADE IN'!$F219))</f>
        <v>2799</v>
      </c>
      <c r="Q219" s="46">
        <f>IF(VLOOKUP($C219,REV!$C:$AA,15,0)-'TRADE IN'!$F230=0,"",(VLOOKUP($C219,REV!$C:$AA,15,0)-'TRADE IN'!$F219))</f>
        <v>2499</v>
      </c>
      <c r="R219" s="46">
        <f>IF(VLOOKUP($C219,REV!$C:$AA,16,0)-'TRADE IN'!$F230=0,"",(VLOOKUP($C219,REV!$C:$AA,16,0)-'TRADE IN'!$F219))</f>
        <v>2899</v>
      </c>
      <c r="S219" s="46">
        <f>IF(VLOOKUP($C219,REV!$C:$AA,17,0)-'TRADE IN'!$F230=0,"",(VLOOKUP($C219,REV!$C:$AA,17,0)-'TRADE IN'!$F219))</f>
        <v>2799</v>
      </c>
      <c r="T219" s="46">
        <f>IF(VLOOKUP($C219,REV!$C:$AA,18,0)-'TRADE IN'!$F230=0,"",(VLOOKUP($C219,REV!$C:$AA,18,0)-'TRADE IN'!$F219))</f>
        <v>2499</v>
      </c>
      <c r="U219" s="46">
        <f>IF(VLOOKUP($C219,REV!$C:$AA,19,0)-'TRADE IN'!$F230=0,"",(VLOOKUP($C219,REV!$C:$AA,19,0)-'TRADE IN'!$F219))</f>
        <v>2499</v>
      </c>
      <c r="V219" s="46">
        <f>IF(VLOOKUP($C219,REV!$C:$AA,20,0)-'TRADE IN'!$F230=0,"",(VLOOKUP($C219,REV!$C:$AA,20,0)-'TRADE IN'!$F219))</f>
        <v>2499</v>
      </c>
      <c r="W219" s="46">
        <f>IF(VLOOKUP($C219,REV!$C:$AA,21,0)-'TRADE IN'!$F230=0,"",(VLOOKUP($C219,REV!$C:$AA,21,0)-'TRADE IN'!$F219))</f>
        <v>2499</v>
      </c>
      <c r="X219" s="46">
        <f>IF(VLOOKUP($C219,REV!$C:$AA,22,0)-'TRADE IN'!$F230=0,"",(VLOOKUP($C219,REV!$C:$AA,22,0)-'TRADE IN'!$F219))</f>
        <v>2399</v>
      </c>
      <c r="Y219" s="46">
        <f>IF(VLOOKUP($C219,REV!$C:$AA,23,0)-'TRADE IN'!$F230=0,"",(VLOOKUP($C219,REV!$C:$AA,23,0)-'TRADE IN'!$F219))</f>
        <v>1999</v>
      </c>
      <c r="Z219" s="46">
        <f>IF(VLOOKUP($C219,REV!$C:$AA,24,0)-'TRADE IN'!$F230=0,"",(VLOOKUP($C219,REV!$C:$AA,24,0)-'TRADE IN'!$F219))</f>
        <v>1999</v>
      </c>
      <c r="AA219" s="46">
        <f>IF(VLOOKUP($C219,REV!$C:$AA,25,0)-'TRADE IN'!$F230=0,"",(VLOOKUP($C219,REV!$C:$AA,25,0)-'TRADE IN'!$F219))</f>
        <v>1999</v>
      </c>
      <c r="AB219" s="46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tr">
        <f>IF(REV!AW219=0,"",REV!AW219)</f>
        <v>31.03.2026</v>
      </c>
      <c r="AX219" s="159" t="s">
        <v>82</v>
      </c>
    </row>
    <row r="220" spans="1:50" ht="22.5" customHeight="1">
      <c r="A220" s="50" t="s">
        <v>61</v>
      </c>
      <c r="B220" s="41" t="s">
        <v>62</v>
      </c>
      <c r="C220" s="42">
        <v>4017200</v>
      </c>
      <c r="D220" s="43" t="s">
        <v>315</v>
      </c>
      <c r="E220" s="43" t="s">
        <v>316</v>
      </c>
      <c r="F220" s="45"/>
      <c r="G220" s="45"/>
      <c r="H220" s="45"/>
      <c r="I220" s="45"/>
      <c r="J220" s="46">
        <f>IF(VLOOKUP($C220,REV!$C:$AA,8,0)-'TRADE IN'!$F220=0,"",(VLOOKUP($C220,REV!$C:$AA,8,0)-'TRADE IN'!$F220))</f>
        <v>1299</v>
      </c>
      <c r="K220" s="46">
        <f>IF(VLOOKUP($C220,REV!$C:$AA,9,0)-'TRADE IN'!$F220=0,"",(VLOOKUP($C220,REV!$C:$AA,9,0)-'TRADE IN'!$F220))</f>
        <v>999</v>
      </c>
      <c r="L220" s="46">
        <f>IF(VLOOKUP($C220,REV!$C:$AA,10,0)-'TRADE IN'!$F229=0,"",(VLOOKUP($C220,REV!$C:$AA,10,0)-'TRADE IN'!$F220))</f>
        <v>999</v>
      </c>
      <c r="M220" s="46">
        <f>IF(VLOOKUP($C220,REV!$C:$AA,11,0)-'TRADE IN'!$F229=0,"",(VLOOKUP($C220,REV!$C:$AA,11,0)-'TRADE IN'!$F220))</f>
        <v>1299</v>
      </c>
      <c r="N220" s="46">
        <f>IF(VLOOKUP($C220,REV!$C:$AA,12,0)-'TRADE IN'!$F229=0,"",(VLOOKUP($C220,REV!$C:$AA,12,0)-'TRADE IN'!$F220))</f>
        <v>999</v>
      </c>
      <c r="O220" s="46">
        <f>IF(VLOOKUP($C220,REV!$C:$AA,13,0)-'TRADE IN'!$F229=0,"",(VLOOKUP($C220,REV!$C:$AA,13,0)-'TRADE IN'!$F220))</f>
        <v>999</v>
      </c>
      <c r="P220" s="46">
        <f>IF(VLOOKUP($C220,REV!$C:$AA,14,0)-'TRADE IN'!$F229=0,"",(VLOOKUP($C220,REV!$C:$AA,14,0)-'TRADE IN'!$F220))</f>
        <v>999</v>
      </c>
      <c r="Q220" s="46">
        <f>IF(VLOOKUP($C220,REV!$C:$AA,15,0)-'TRADE IN'!$F229=0,"",(VLOOKUP($C220,REV!$C:$AA,15,0)-'TRADE IN'!$F220))</f>
        <v>899</v>
      </c>
      <c r="R220" s="46">
        <f>IF(VLOOKUP($C220,REV!$C:$AA,16,0)-'TRADE IN'!$F229=0,"",(VLOOKUP($C220,REV!$C:$AA,16,0)-'TRADE IN'!$F220))</f>
        <v>999</v>
      </c>
      <c r="S220" s="46">
        <f>IF(VLOOKUP($C220,REV!$C:$AA,17,0)-'TRADE IN'!$F229=0,"",(VLOOKUP($C220,REV!$C:$AA,17,0)-'TRADE IN'!$F220))</f>
        <v>999</v>
      </c>
      <c r="T220" s="46">
        <f>IF(VLOOKUP($C220,REV!$C:$AA,18,0)-'TRADE IN'!$F229=0,"",(VLOOKUP($C220,REV!$C:$AA,18,0)-'TRADE IN'!$F220))</f>
        <v>899</v>
      </c>
      <c r="U220" s="46">
        <f>IF(VLOOKUP($C220,REV!$C:$AA,19,0)-'TRADE IN'!$F229=0,"",(VLOOKUP($C220,REV!$C:$AA,19,0)-'TRADE IN'!$F220))</f>
        <v>899</v>
      </c>
      <c r="V220" s="46">
        <f>IF(VLOOKUP($C220,REV!$C:$AA,20,0)-'TRADE IN'!$F229=0,"",(VLOOKUP($C220,REV!$C:$AA,20,0)-'TRADE IN'!$F220))</f>
        <v>899</v>
      </c>
      <c r="W220" s="46">
        <f>IF(VLOOKUP($C220,REV!$C:$AA,21,0)-'TRADE IN'!$F229=0,"",(VLOOKUP($C220,REV!$C:$AA,21,0)-'TRADE IN'!$F220))</f>
        <v>899</v>
      </c>
      <c r="X220" s="46">
        <f>IF(VLOOKUP($C220,REV!$C:$AA,22,0)-'TRADE IN'!$F229=0,"",(VLOOKUP($C220,REV!$C:$AA,22,0)-'TRADE IN'!$F220))</f>
        <v>899</v>
      </c>
      <c r="Y220" s="46">
        <f>IF(VLOOKUP($C220,REV!$C:$AA,23,0)-'TRADE IN'!$F229=0,"",(VLOOKUP($C220,REV!$C:$AA,23,0)-'TRADE IN'!$F220))</f>
        <v>899</v>
      </c>
      <c r="Z220" s="46">
        <f>IF(VLOOKUP($C220,REV!$C:$AA,24,0)-'TRADE IN'!$F229=0,"",(VLOOKUP($C220,REV!$C:$AA,24,0)-'TRADE IN'!$F220))</f>
        <v>899</v>
      </c>
      <c r="AA220" s="46">
        <f>IF(VLOOKUP($C220,REV!$C:$AA,25,0)-'TRADE IN'!$F229=0,"",(VLOOKUP($C220,REV!$C:$AA,25,0)-'TRADE IN'!$F220))</f>
        <v>899</v>
      </c>
      <c r="AB220" s="46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tr">
        <f>IF(REV!AW220=0,"",REV!AW220)</f>
        <v>31.03.2026</v>
      </c>
      <c r="AX220" s="159" t="s">
        <v>82</v>
      </c>
    </row>
    <row r="221" spans="1:50" ht="22.5" customHeight="1">
      <c r="A221" s="50" t="s">
        <v>61</v>
      </c>
      <c r="B221" s="41" t="s">
        <v>62</v>
      </c>
      <c r="C221" s="42">
        <v>4013450</v>
      </c>
      <c r="D221" s="44" t="s">
        <v>317</v>
      </c>
      <c r="E221" s="44" t="s">
        <v>318</v>
      </c>
      <c r="F221" s="45"/>
      <c r="G221" s="45"/>
      <c r="H221" s="45"/>
      <c r="I221" s="45"/>
      <c r="J221" s="46">
        <f>IF(VLOOKUP($C221,REV!$C:$AA,8,0)-'TRADE IN'!$F221=0,"",(VLOOKUP($C221,REV!$C:$AA,8,0)-'TRADE IN'!$F221))</f>
        <v>9</v>
      </c>
      <c r="K221" s="46">
        <f>IF(VLOOKUP($C221,REV!$C:$AA,9,0)-'TRADE IN'!$F221=0,"",(VLOOKUP($C221,REV!$C:$AA,9,0)-'TRADE IN'!$F221))</f>
        <v>9</v>
      </c>
      <c r="L221" s="46">
        <f>IF(VLOOKUP($C221,REV!$C:$AA,10,0)-'TRADE IN'!$F230=0,"",(VLOOKUP($C221,REV!$C:$AA,10,0)-'TRADE IN'!$F221))</f>
        <v>9</v>
      </c>
      <c r="M221" s="46">
        <f>IF(VLOOKUP($C221,REV!$C:$AA,11,0)-'TRADE IN'!$F230=0,"",(VLOOKUP($C221,REV!$C:$AA,11,0)-'TRADE IN'!$F221))</f>
        <v>9</v>
      </c>
      <c r="N221" s="46">
        <f>IF(VLOOKUP($C221,REV!$C:$AA,12,0)-'TRADE IN'!$F230=0,"",(VLOOKUP($C221,REV!$C:$AA,12,0)-'TRADE IN'!$F221))</f>
        <v>9</v>
      </c>
      <c r="O221" s="46">
        <f>IF(VLOOKUP($C221,REV!$C:$AA,13,0)-'TRADE IN'!$F230=0,"",(VLOOKUP($C221,REV!$C:$AA,13,0)-'TRADE IN'!$F221))</f>
        <v>9</v>
      </c>
      <c r="P221" s="46">
        <f>IF(VLOOKUP($C221,REV!$C:$AA,14,0)-'TRADE IN'!$F230=0,"",(VLOOKUP($C221,REV!$C:$AA,14,0)-'TRADE IN'!$F221))</f>
        <v>9</v>
      </c>
      <c r="Q221" s="46">
        <f>IF(VLOOKUP($C221,REV!$C:$AA,15,0)-'TRADE IN'!$F230=0,"",(VLOOKUP($C221,REV!$C:$AA,15,0)-'TRADE IN'!$F221))</f>
        <v>9</v>
      </c>
      <c r="R221" s="46">
        <f>IF(VLOOKUP($C221,REV!$C:$AA,16,0)-'TRADE IN'!$F230=0,"",(VLOOKUP($C221,REV!$C:$AA,16,0)-'TRADE IN'!$F221))</f>
        <v>9</v>
      </c>
      <c r="S221" s="46">
        <f>IF(VLOOKUP($C221,REV!$C:$AA,17,0)-'TRADE IN'!$F230=0,"",(VLOOKUP($C221,REV!$C:$AA,17,0)-'TRADE IN'!$F221))</f>
        <v>9</v>
      </c>
      <c r="T221" s="46">
        <f>IF(VLOOKUP($C221,REV!$C:$AA,18,0)-'TRADE IN'!$F230=0,"",(VLOOKUP($C221,REV!$C:$AA,18,0)-'TRADE IN'!$F221))</f>
        <v>9</v>
      </c>
      <c r="U221" s="46">
        <f>IF(VLOOKUP($C221,REV!$C:$AA,19,0)-'TRADE IN'!$F230=0,"",(VLOOKUP($C221,REV!$C:$AA,19,0)-'TRADE IN'!$F221))</f>
        <v>9</v>
      </c>
      <c r="V221" s="46">
        <f>IF(VLOOKUP($C221,REV!$C:$AA,20,0)-'TRADE IN'!$F230=0,"",(VLOOKUP($C221,REV!$C:$AA,20,0)-'TRADE IN'!$F221))</f>
        <v>9</v>
      </c>
      <c r="W221" s="46">
        <f>IF(VLOOKUP($C221,REV!$C:$AA,21,0)-'TRADE IN'!$F230=0,"",(VLOOKUP($C221,REV!$C:$AA,21,0)-'TRADE IN'!$F221))</f>
        <v>9</v>
      </c>
      <c r="X221" s="46">
        <f>IF(VLOOKUP($C221,REV!$C:$AA,22,0)-'TRADE IN'!$F230=0,"",(VLOOKUP($C221,REV!$C:$AA,22,0)-'TRADE IN'!$F221))</f>
        <v>9</v>
      </c>
      <c r="Y221" s="46">
        <f>IF(VLOOKUP($C221,REV!$C:$AA,23,0)-'TRADE IN'!$F230=0,"",(VLOOKUP($C221,REV!$C:$AA,23,0)-'TRADE IN'!$F221))</f>
        <v>9</v>
      </c>
      <c r="Z221" s="46">
        <f>IF(VLOOKUP($C221,REV!$C:$AA,24,0)-'TRADE IN'!$F230=0,"",(VLOOKUP($C221,REV!$C:$AA,24,0)-'TRADE IN'!$F221))</f>
        <v>9</v>
      </c>
      <c r="AA221" s="46">
        <f>IF(VLOOKUP($C221,REV!$C:$AA,25,0)-'TRADE IN'!$F230=0,"",(VLOOKUP($C221,REV!$C:$AA,25,0)-'TRADE IN'!$F221))</f>
        <v>9</v>
      </c>
      <c r="AB221" s="46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tr">
        <f>IF(REV!AW221=0,"",REV!AW221)</f>
        <v>31.03.2026</v>
      </c>
      <c r="AX221" s="159" t="s">
        <v>66</v>
      </c>
    </row>
    <row r="222" spans="1:50" ht="22.5" customHeight="1">
      <c r="A222" s="50" t="s">
        <v>61</v>
      </c>
      <c r="B222" s="41" t="s">
        <v>62</v>
      </c>
      <c r="C222" s="42">
        <v>4013752</v>
      </c>
      <c r="D222" s="44" t="s">
        <v>317</v>
      </c>
      <c r="E222" s="44" t="s">
        <v>319</v>
      </c>
      <c r="F222" s="45"/>
      <c r="G222" s="45"/>
      <c r="H222" s="45"/>
      <c r="I222" s="45"/>
      <c r="J222" s="46">
        <f>IF(VLOOKUP($C222,REV!$C:$AA,8,0)-'TRADE IN'!$F222=0,"",(VLOOKUP($C222,REV!$C:$AA,8,0)-'TRADE IN'!$F222))</f>
        <v>9</v>
      </c>
      <c r="K222" s="46">
        <f>IF(VLOOKUP($C222,REV!$C:$AA,9,0)-'TRADE IN'!$F222=0,"",(VLOOKUP($C222,REV!$C:$AA,9,0)-'TRADE IN'!$F222))</f>
        <v>9</v>
      </c>
      <c r="L222" s="46">
        <f>IF(VLOOKUP($C222,REV!$C:$AA,10,0)-'TRADE IN'!$F231=0,"",(VLOOKUP($C222,REV!$C:$AA,10,0)-'TRADE IN'!$F222))</f>
        <v>9</v>
      </c>
      <c r="M222" s="46">
        <f>IF(VLOOKUP($C222,REV!$C:$AA,11,0)-'TRADE IN'!$F231=0,"",(VLOOKUP($C222,REV!$C:$AA,11,0)-'TRADE IN'!$F222))</f>
        <v>9</v>
      </c>
      <c r="N222" s="46">
        <f>IF(VLOOKUP($C222,REV!$C:$AA,12,0)-'TRADE IN'!$F231=0,"",(VLOOKUP($C222,REV!$C:$AA,12,0)-'TRADE IN'!$F222))</f>
        <v>9</v>
      </c>
      <c r="O222" s="46">
        <f>IF(VLOOKUP($C222,REV!$C:$AA,13,0)-'TRADE IN'!$F231=0,"",(VLOOKUP($C222,REV!$C:$AA,13,0)-'TRADE IN'!$F222))</f>
        <v>9</v>
      </c>
      <c r="P222" s="46">
        <f>IF(VLOOKUP($C222,REV!$C:$AA,14,0)-'TRADE IN'!$F231=0,"",(VLOOKUP($C222,REV!$C:$AA,14,0)-'TRADE IN'!$F222))</f>
        <v>9</v>
      </c>
      <c r="Q222" s="46">
        <f>IF(VLOOKUP($C222,REV!$C:$AA,15,0)-'TRADE IN'!$F231=0,"",(VLOOKUP($C222,REV!$C:$AA,15,0)-'TRADE IN'!$F222))</f>
        <v>9</v>
      </c>
      <c r="R222" s="46">
        <f>IF(VLOOKUP($C222,REV!$C:$AA,16,0)-'TRADE IN'!$F231=0,"",(VLOOKUP($C222,REV!$C:$AA,16,0)-'TRADE IN'!$F222))</f>
        <v>9</v>
      </c>
      <c r="S222" s="46">
        <f>IF(VLOOKUP($C222,REV!$C:$AA,17,0)-'TRADE IN'!$F231=0,"",(VLOOKUP($C222,REV!$C:$AA,17,0)-'TRADE IN'!$F222))</f>
        <v>9</v>
      </c>
      <c r="T222" s="46">
        <f>IF(VLOOKUP($C222,REV!$C:$AA,18,0)-'TRADE IN'!$F231=0,"",(VLOOKUP($C222,REV!$C:$AA,18,0)-'TRADE IN'!$F222))</f>
        <v>9</v>
      </c>
      <c r="U222" s="46">
        <f>IF(VLOOKUP($C222,REV!$C:$AA,19,0)-'TRADE IN'!$F231=0,"",(VLOOKUP($C222,REV!$C:$AA,19,0)-'TRADE IN'!$F222))</f>
        <v>9</v>
      </c>
      <c r="V222" s="46">
        <f>IF(VLOOKUP($C222,REV!$C:$AA,20,0)-'TRADE IN'!$F231=0,"",(VLOOKUP($C222,REV!$C:$AA,20,0)-'TRADE IN'!$F222))</f>
        <v>9</v>
      </c>
      <c r="W222" s="46">
        <f>IF(VLOOKUP($C222,REV!$C:$AA,21,0)-'TRADE IN'!$F231=0,"",(VLOOKUP($C222,REV!$C:$AA,21,0)-'TRADE IN'!$F222))</f>
        <v>9</v>
      </c>
      <c r="X222" s="46">
        <f>IF(VLOOKUP($C222,REV!$C:$AA,22,0)-'TRADE IN'!$F231=0,"",(VLOOKUP($C222,REV!$C:$AA,22,0)-'TRADE IN'!$F222))</f>
        <v>9</v>
      </c>
      <c r="Y222" s="46">
        <f>IF(VLOOKUP($C222,REV!$C:$AA,23,0)-'TRADE IN'!$F231=0,"",(VLOOKUP($C222,REV!$C:$AA,23,0)-'TRADE IN'!$F222))</f>
        <v>9</v>
      </c>
      <c r="Z222" s="46">
        <f>IF(VLOOKUP($C222,REV!$C:$AA,24,0)-'TRADE IN'!$F231=0,"",(VLOOKUP($C222,REV!$C:$AA,24,0)-'TRADE IN'!$F222))</f>
        <v>9</v>
      </c>
      <c r="AA222" s="46">
        <f>IF(VLOOKUP($C222,REV!$C:$AA,25,0)-'TRADE IN'!$F231=0,"",(VLOOKUP($C222,REV!$C:$AA,25,0)-'TRADE IN'!$F222))</f>
        <v>9</v>
      </c>
      <c r="AB222" s="46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tr">
        <f>IF(REV!AW222=0,"",REV!AW222)</f>
        <v>31.03.2026</v>
      </c>
      <c r="AX222" s="159" t="s">
        <v>66</v>
      </c>
    </row>
    <row r="223" spans="1:50" ht="22.5" customHeight="1">
      <c r="A223" s="50" t="s">
        <v>61</v>
      </c>
      <c r="B223" s="41" t="s">
        <v>62</v>
      </c>
      <c r="C223" s="42">
        <v>4012640</v>
      </c>
      <c r="D223" s="44" t="s">
        <v>320</v>
      </c>
      <c r="E223" s="44" t="s">
        <v>321</v>
      </c>
      <c r="F223" s="45"/>
      <c r="G223" s="45"/>
      <c r="H223" s="45"/>
      <c r="I223" s="45"/>
      <c r="J223" s="46">
        <f>IF(VLOOKUP($C223,REV!$C:$AA,8,0)-'TRADE IN'!$F223=0,"",(VLOOKUP($C223,REV!$C:$AA,8,0)-'TRADE IN'!$F223))</f>
        <v>9</v>
      </c>
      <c r="K223" s="46">
        <f>IF(VLOOKUP($C223,REV!$C:$AA,9,0)-'TRADE IN'!$F223=0,"",(VLOOKUP($C223,REV!$C:$AA,9,0)-'TRADE IN'!$F223))</f>
        <v>9</v>
      </c>
      <c r="L223" s="46">
        <f>IF(VLOOKUP($C223,REV!$C:$AA,10,0)-'TRADE IN'!$F232=0,"",(VLOOKUP($C223,REV!$C:$AA,10,0)-'TRADE IN'!$F223))</f>
        <v>9</v>
      </c>
      <c r="M223" s="46">
        <f>IF(VLOOKUP($C223,REV!$C:$AA,11,0)-'TRADE IN'!$F232=0,"",(VLOOKUP($C223,REV!$C:$AA,11,0)-'TRADE IN'!$F223))</f>
        <v>9</v>
      </c>
      <c r="N223" s="46">
        <f>IF(VLOOKUP($C223,REV!$C:$AA,12,0)-'TRADE IN'!$F232=0,"",(VLOOKUP($C223,REV!$C:$AA,12,0)-'TRADE IN'!$F223))</f>
        <v>9</v>
      </c>
      <c r="O223" s="46">
        <f>IF(VLOOKUP($C223,REV!$C:$AA,13,0)-'TRADE IN'!$F232=0,"",(VLOOKUP($C223,REV!$C:$AA,13,0)-'TRADE IN'!$F223))</f>
        <v>9</v>
      </c>
      <c r="P223" s="46">
        <f>IF(VLOOKUP($C223,REV!$C:$AA,14,0)-'TRADE IN'!$F232=0,"",(VLOOKUP($C223,REV!$C:$AA,14,0)-'TRADE IN'!$F223))</f>
        <v>9</v>
      </c>
      <c r="Q223" s="46">
        <f>IF(VLOOKUP($C223,REV!$C:$AA,15,0)-'TRADE IN'!$F232=0,"",(VLOOKUP($C223,REV!$C:$AA,15,0)-'TRADE IN'!$F223))</f>
        <v>9</v>
      </c>
      <c r="R223" s="46">
        <f>IF(VLOOKUP($C223,REV!$C:$AA,16,0)-'TRADE IN'!$F232=0,"",(VLOOKUP($C223,REV!$C:$AA,16,0)-'TRADE IN'!$F223))</f>
        <v>9</v>
      </c>
      <c r="S223" s="46">
        <f>IF(VLOOKUP($C223,REV!$C:$AA,17,0)-'TRADE IN'!$F232=0,"",(VLOOKUP($C223,REV!$C:$AA,17,0)-'TRADE IN'!$F223))</f>
        <v>9</v>
      </c>
      <c r="T223" s="46">
        <f>IF(VLOOKUP($C223,REV!$C:$AA,18,0)-'TRADE IN'!$F232=0,"",(VLOOKUP($C223,REV!$C:$AA,18,0)-'TRADE IN'!$F223))</f>
        <v>9</v>
      </c>
      <c r="U223" s="46">
        <f>IF(VLOOKUP($C223,REV!$C:$AA,19,0)-'TRADE IN'!$F232=0,"",(VLOOKUP($C223,REV!$C:$AA,19,0)-'TRADE IN'!$F223))</f>
        <v>9</v>
      </c>
      <c r="V223" s="46">
        <f>IF(VLOOKUP($C223,REV!$C:$AA,20,0)-'TRADE IN'!$F232=0,"",(VLOOKUP($C223,REV!$C:$AA,20,0)-'TRADE IN'!$F223))</f>
        <v>9</v>
      </c>
      <c r="W223" s="46">
        <f>IF(VLOOKUP($C223,REV!$C:$AA,21,0)-'TRADE IN'!$F232=0,"",(VLOOKUP($C223,REV!$C:$AA,21,0)-'TRADE IN'!$F223))</f>
        <v>9</v>
      </c>
      <c r="X223" s="46">
        <f>IF(VLOOKUP($C223,REV!$C:$AA,22,0)-'TRADE IN'!$F232=0,"",(VLOOKUP($C223,REV!$C:$AA,22,0)-'TRADE IN'!$F223))</f>
        <v>9</v>
      </c>
      <c r="Y223" s="46">
        <f>IF(VLOOKUP($C223,REV!$C:$AA,23,0)-'TRADE IN'!$F232=0,"",(VLOOKUP($C223,REV!$C:$AA,23,0)-'TRADE IN'!$F223))</f>
        <v>9</v>
      </c>
      <c r="Z223" s="46">
        <f>IF(VLOOKUP($C223,REV!$C:$AA,24,0)-'TRADE IN'!$F232=0,"",(VLOOKUP($C223,REV!$C:$AA,24,0)-'TRADE IN'!$F223))</f>
        <v>9</v>
      </c>
      <c r="AA223" s="46">
        <f>IF(VLOOKUP($C223,REV!$C:$AA,25,0)-'TRADE IN'!$F232=0,"",(VLOOKUP($C223,REV!$C:$AA,25,0)-'TRADE IN'!$F223))</f>
        <v>9</v>
      </c>
      <c r="AB223" s="46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tr">
        <f>IF(REV!AW223=0,"",REV!AW223)</f>
        <v>31.03.2026</v>
      </c>
      <c r="AX223" s="159" t="s">
        <v>66</v>
      </c>
    </row>
    <row r="224" spans="1:50" ht="22.5" customHeight="1">
      <c r="A224" s="50" t="s">
        <v>61</v>
      </c>
      <c r="B224" s="41" t="s">
        <v>62</v>
      </c>
      <c r="C224" s="42">
        <v>4011931</v>
      </c>
      <c r="D224" s="43" t="s">
        <v>322</v>
      </c>
      <c r="E224" s="44" t="s">
        <v>323</v>
      </c>
      <c r="F224" s="45"/>
      <c r="G224" s="45"/>
      <c r="H224" s="45"/>
      <c r="I224" s="45"/>
      <c r="J224" s="46">
        <f>IF(VLOOKUP($C224,REV!$C:$AA,8,0)-'TRADE IN'!$F224=0,"",(VLOOKUP($C224,REV!$C:$AA,8,0)-'TRADE IN'!$F224))</f>
        <v>149</v>
      </c>
      <c r="K224" s="46">
        <f>IF(VLOOKUP($C224,REV!$C:$AA,9,0)-'TRADE IN'!$F224=0,"",(VLOOKUP($C224,REV!$C:$AA,9,0)-'TRADE IN'!$F224))</f>
        <v>149</v>
      </c>
      <c r="L224" s="46">
        <f>IF(VLOOKUP($C224,REV!$C:$AA,10,0)-'TRADE IN'!$F233=0,"",(VLOOKUP($C224,REV!$C:$AA,10,0)-'TRADE IN'!$F224))</f>
        <v>149</v>
      </c>
      <c r="M224" s="46">
        <f>IF(VLOOKUP($C224,REV!$C:$AA,11,0)-'TRADE IN'!$F233=0,"",(VLOOKUP($C224,REV!$C:$AA,11,0)-'TRADE IN'!$F224))</f>
        <v>149</v>
      </c>
      <c r="N224" s="46">
        <f>IF(VLOOKUP($C224,REV!$C:$AA,12,0)-'TRADE IN'!$F233=0,"",(VLOOKUP($C224,REV!$C:$AA,12,0)-'TRADE IN'!$F224))</f>
        <v>149</v>
      </c>
      <c r="O224" s="46" t="str">
        <f>IF(VLOOKUP($C224,REV!$C:$AA,13,0)-'TRADE IN'!$F233=0,"",(VLOOKUP($C224,REV!$C:$AA,13,0)-'TRADE IN'!$F224))</f>
        <v/>
      </c>
      <c r="P224" s="46" t="str">
        <f>IF(VLOOKUP($C224,REV!$C:$AA,14,0)-'TRADE IN'!$F233=0,"",(VLOOKUP($C224,REV!$C:$AA,14,0)-'TRADE IN'!$F224))</f>
        <v/>
      </c>
      <c r="Q224" s="46" t="str">
        <f>IF(VLOOKUP($C224,REV!$C:$AA,15,0)-'TRADE IN'!$F233=0,"",(VLOOKUP($C224,REV!$C:$AA,15,0)-'TRADE IN'!$F224))</f>
        <v/>
      </c>
      <c r="R224" s="46" t="str">
        <f>IF(VLOOKUP($C224,REV!$C:$AA,16,0)-'TRADE IN'!$F233=0,"",(VLOOKUP($C224,REV!$C:$AA,16,0)-'TRADE IN'!$F224))</f>
        <v/>
      </c>
      <c r="S224" s="46" t="str">
        <f>IF(VLOOKUP($C224,REV!$C:$AA,17,0)-'TRADE IN'!$F233=0,"",(VLOOKUP($C224,REV!$C:$AA,17,0)-'TRADE IN'!$F224))</f>
        <v/>
      </c>
      <c r="T224" s="46" t="str">
        <f>IF(VLOOKUP($C224,REV!$C:$AA,18,0)-'TRADE IN'!$F233=0,"",(VLOOKUP($C224,REV!$C:$AA,18,0)-'TRADE IN'!$F224))</f>
        <v/>
      </c>
      <c r="U224" s="46" t="str">
        <f>IF(VLOOKUP($C224,REV!$C:$AA,19,0)-'TRADE IN'!$F233=0,"",(VLOOKUP($C224,REV!$C:$AA,19,0)-'TRADE IN'!$F224))</f>
        <v/>
      </c>
      <c r="V224" s="46" t="str">
        <f>IF(VLOOKUP($C224,REV!$C:$AA,20,0)-'TRADE IN'!$F233=0,"",(VLOOKUP($C224,REV!$C:$AA,20,0)-'TRADE IN'!$F224))</f>
        <v/>
      </c>
      <c r="W224" s="46" t="str">
        <f>IF(VLOOKUP($C224,REV!$C:$AA,21,0)-'TRADE IN'!$F233=0,"",(VLOOKUP($C224,REV!$C:$AA,21,0)-'TRADE IN'!$F224))</f>
        <v/>
      </c>
      <c r="X224" s="46" t="str">
        <f>IF(VLOOKUP($C224,REV!$C:$AA,22,0)-'TRADE IN'!$F233=0,"",(VLOOKUP($C224,REV!$C:$AA,22,0)-'TRADE IN'!$F224))</f>
        <v/>
      </c>
      <c r="Y224" s="46" t="str">
        <f>IF(VLOOKUP($C224,REV!$C:$AA,23,0)-'TRADE IN'!$F233=0,"",(VLOOKUP($C224,REV!$C:$AA,23,0)-'TRADE IN'!$F224))</f>
        <v/>
      </c>
      <c r="Z224" s="46" t="str">
        <f>IF(VLOOKUP($C224,REV!$C:$AA,24,0)-'TRADE IN'!$F233=0,"",(VLOOKUP($C224,REV!$C:$AA,24,0)-'TRADE IN'!$F224))</f>
        <v/>
      </c>
      <c r="AA224" s="46" t="str">
        <f>IF(VLOOKUP($C224,REV!$C:$AA,25,0)-'TRADE IN'!$F233=0,"",(VLOOKUP($C224,REV!$C:$AA,25,0)-'TRADE IN'!$F224))</f>
        <v/>
      </c>
      <c r="AB224" s="46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tr">
        <f>IF(REV!AW224=0,"",REV!AW224)</f>
        <v>31.03.2026</v>
      </c>
      <c r="AX224" s="159" t="s">
        <v>66</v>
      </c>
    </row>
    <row r="225" spans="1:50" ht="22.5" customHeight="1">
      <c r="A225" s="50" t="s">
        <v>61</v>
      </c>
      <c r="B225" s="41" t="s">
        <v>62</v>
      </c>
      <c r="C225" s="42">
        <v>4011932</v>
      </c>
      <c r="D225" s="43" t="s">
        <v>322</v>
      </c>
      <c r="E225" s="44" t="s">
        <v>324</v>
      </c>
      <c r="F225" s="45"/>
      <c r="G225" s="45"/>
      <c r="H225" s="45"/>
      <c r="I225" s="45"/>
      <c r="J225" s="46">
        <f>IF(VLOOKUP($C225,REV!$C:$AA,8,0)-'TRADE IN'!$F225=0,"",(VLOOKUP($C225,REV!$C:$AA,8,0)-'TRADE IN'!$F225))</f>
        <v>149</v>
      </c>
      <c r="K225" s="46">
        <f>IF(VLOOKUP($C225,REV!$C:$AA,9,0)-'TRADE IN'!$F225=0,"",(VLOOKUP($C225,REV!$C:$AA,9,0)-'TRADE IN'!$F225))</f>
        <v>149</v>
      </c>
      <c r="L225" s="46">
        <f>IF(VLOOKUP($C225,REV!$C:$AA,10,0)-'TRADE IN'!$F234=0,"",(VLOOKUP($C225,REV!$C:$AA,10,0)-'TRADE IN'!$F225))</f>
        <v>149</v>
      </c>
      <c r="M225" s="46">
        <f>IF(VLOOKUP($C225,REV!$C:$AA,11,0)-'TRADE IN'!$F234=0,"",(VLOOKUP($C225,REV!$C:$AA,11,0)-'TRADE IN'!$F225))</f>
        <v>149</v>
      </c>
      <c r="N225" s="46">
        <f>IF(VLOOKUP($C225,REV!$C:$AA,12,0)-'TRADE IN'!$F234=0,"",(VLOOKUP($C225,REV!$C:$AA,12,0)-'TRADE IN'!$F225))</f>
        <v>149</v>
      </c>
      <c r="O225" s="46" t="str">
        <f>IF(VLOOKUP($C225,REV!$C:$AA,13,0)-'TRADE IN'!$F234=0,"",(VLOOKUP($C225,REV!$C:$AA,13,0)-'TRADE IN'!$F225))</f>
        <v/>
      </c>
      <c r="P225" s="46" t="str">
        <f>IF(VLOOKUP($C225,REV!$C:$AA,14,0)-'TRADE IN'!$F234=0,"",(VLOOKUP($C225,REV!$C:$AA,14,0)-'TRADE IN'!$F225))</f>
        <v/>
      </c>
      <c r="Q225" s="46" t="str">
        <f>IF(VLOOKUP($C225,REV!$C:$AA,15,0)-'TRADE IN'!$F234=0,"",(VLOOKUP($C225,REV!$C:$AA,15,0)-'TRADE IN'!$F225))</f>
        <v/>
      </c>
      <c r="R225" s="46" t="str">
        <f>IF(VLOOKUP($C225,REV!$C:$AA,16,0)-'TRADE IN'!$F234=0,"",(VLOOKUP($C225,REV!$C:$AA,16,0)-'TRADE IN'!$F225))</f>
        <v/>
      </c>
      <c r="S225" s="46" t="str">
        <f>IF(VLOOKUP($C225,REV!$C:$AA,17,0)-'TRADE IN'!$F234=0,"",(VLOOKUP($C225,REV!$C:$AA,17,0)-'TRADE IN'!$F225))</f>
        <v/>
      </c>
      <c r="T225" s="46" t="str">
        <f>IF(VLOOKUP($C225,REV!$C:$AA,18,0)-'TRADE IN'!$F234=0,"",(VLOOKUP($C225,REV!$C:$AA,18,0)-'TRADE IN'!$F225))</f>
        <v/>
      </c>
      <c r="U225" s="46" t="str">
        <f>IF(VLOOKUP($C225,REV!$C:$AA,19,0)-'TRADE IN'!$F234=0,"",(VLOOKUP($C225,REV!$C:$AA,19,0)-'TRADE IN'!$F225))</f>
        <v/>
      </c>
      <c r="V225" s="46" t="str">
        <f>IF(VLOOKUP($C225,REV!$C:$AA,20,0)-'TRADE IN'!$F234=0,"",(VLOOKUP($C225,REV!$C:$AA,20,0)-'TRADE IN'!$F225))</f>
        <v/>
      </c>
      <c r="W225" s="46" t="str">
        <f>IF(VLOOKUP($C225,REV!$C:$AA,21,0)-'TRADE IN'!$F234=0,"",(VLOOKUP($C225,REV!$C:$AA,21,0)-'TRADE IN'!$F225))</f>
        <v/>
      </c>
      <c r="X225" s="46" t="str">
        <f>IF(VLOOKUP($C225,REV!$C:$AA,22,0)-'TRADE IN'!$F234=0,"",(VLOOKUP($C225,REV!$C:$AA,22,0)-'TRADE IN'!$F225))</f>
        <v/>
      </c>
      <c r="Y225" s="46" t="str">
        <f>IF(VLOOKUP($C225,REV!$C:$AA,23,0)-'TRADE IN'!$F234=0,"",(VLOOKUP($C225,REV!$C:$AA,23,0)-'TRADE IN'!$F225))</f>
        <v/>
      </c>
      <c r="Z225" s="46" t="str">
        <f>IF(VLOOKUP($C225,REV!$C:$AA,24,0)-'TRADE IN'!$F234=0,"",(VLOOKUP($C225,REV!$C:$AA,24,0)-'TRADE IN'!$F225))</f>
        <v/>
      </c>
      <c r="AA225" s="46" t="str">
        <f>IF(VLOOKUP($C225,REV!$C:$AA,25,0)-'TRADE IN'!$F234=0,"",(VLOOKUP($C225,REV!$C:$AA,25,0)-'TRADE IN'!$F225))</f>
        <v/>
      </c>
      <c r="AB225" s="46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tr">
        <f>IF(REV!AW225=0,"",REV!AW225)</f>
        <v>31.03.2026</v>
      </c>
      <c r="AX225" s="159" t="s">
        <v>66</v>
      </c>
    </row>
    <row r="226" spans="1:50" ht="22.5" customHeight="1">
      <c r="A226" s="50" t="s">
        <v>61</v>
      </c>
      <c r="B226" s="41" t="s">
        <v>62</v>
      </c>
      <c r="C226" s="42">
        <v>4012941</v>
      </c>
      <c r="D226" s="43" t="s">
        <v>325</v>
      </c>
      <c r="E226" s="43" t="s">
        <v>326</v>
      </c>
      <c r="F226" s="45"/>
      <c r="G226" s="45"/>
      <c r="H226" s="45"/>
      <c r="I226" s="45"/>
      <c r="J226" s="46" t="str">
        <f>IF(VLOOKUP($C226,REV!$C:$AA,8,0)-'TRADE IN'!$F226=0,"",(VLOOKUP($C226,REV!$C:$AA,8,0)-'TRADE IN'!$F226))</f>
        <v/>
      </c>
      <c r="K226" s="46" t="str">
        <f>IF(VLOOKUP($C226,REV!$C:$AA,9,0)-'TRADE IN'!$F226=0,"",(VLOOKUP($C226,REV!$C:$AA,9,0)-'TRADE IN'!$F226))</f>
        <v/>
      </c>
      <c r="L226" s="46" t="str">
        <f>IF(VLOOKUP($C226,REV!$C:$AA,10,0)-'TRADE IN'!$F235=0,"",(VLOOKUP($C226,REV!$C:$AA,10,0)-'TRADE IN'!$F226))</f>
        <v/>
      </c>
      <c r="M226" s="46" t="str">
        <f>IF(VLOOKUP($C226,REV!$C:$AA,11,0)-'TRADE IN'!$F235=0,"",(VLOOKUP($C226,REV!$C:$AA,11,0)-'TRADE IN'!$F226))</f>
        <v/>
      </c>
      <c r="N226" s="46" t="str">
        <f>IF(VLOOKUP($C226,REV!$C:$AA,12,0)-'TRADE IN'!$F235=0,"",(VLOOKUP($C226,REV!$C:$AA,12,0)-'TRADE IN'!$F226))</f>
        <v/>
      </c>
      <c r="O226" s="46" t="str">
        <f>IF(VLOOKUP($C226,REV!$C:$AA,13,0)-'TRADE IN'!$F235=0,"",(VLOOKUP($C226,REV!$C:$AA,13,0)-'TRADE IN'!$F226))</f>
        <v/>
      </c>
      <c r="P226" s="46" t="str">
        <f>IF(VLOOKUP($C226,REV!$C:$AA,14,0)-'TRADE IN'!$F235=0,"",(VLOOKUP($C226,REV!$C:$AA,14,0)-'TRADE IN'!$F226))</f>
        <v/>
      </c>
      <c r="Q226" s="46" t="str">
        <f>IF(VLOOKUP($C226,REV!$C:$AA,15,0)-'TRADE IN'!$F235=0,"",(VLOOKUP($C226,REV!$C:$AA,15,0)-'TRADE IN'!$F226))</f>
        <v/>
      </c>
      <c r="R226" s="46" t="str">
        <f>IF(VLOOKUP($C226,REV!$C:$AA,16,0)-'TRADE IN'!$F235=0,"",(VLOOKUP($C226,REV!$C:$AA,16,0)-'TRADE IN'!$F226))</f>
        <v/>
      </c>
      <c r="S226" s="46" t="str">
        <f>IF(VLOOKUP($C226,REV!$C:$AA,17,0)-'TRADE IN'!$F235=0,"",(VLOOKUP($C226,REV!$C:$AA,17,0)-'TRADE IN'!$F226))</f>
        <v/>
      </c>
      <c r="T226" s="46" t="str">
        <f>IF(VLOOKUP($C226,REV!$C:$AA,18,0)-'TRADE IN'!$F235=0,"",(VLOOKUP($C226,REV!$C:$AA,18,0)-'TRADE IN'!$F226))</f>
        <v/>
      </c>
      <c r="U226" s="46" t="str">
        <f>IF(VLOOKUP($C226,REV!$C:$AA,19,0)-'TRADE IN'!$F235=0,"",(VLOOKUP($C226,REV!$C:$AA,19,0)-'TRADE IN'!$F226))</f>
        <v/>
      </c>
      <c r="V226" s="46" t="str">
        <f>IF(VLOOKUP($C226,REV!$C:$AA,20,0)-'TRADE IN'!$F235=0,"",(VLOOKUP($C226,REV!$C:$AA,20,0)-'TRADE IN'!$F226))</f>
        <v/>
      </c>
      <c r="W226" s="46" t="str">
        <f>IF(VLOOKUP($C226,REV!$C:$AA,21,0)-'TRADE IN'!$F235=0,"",(VLOOKUP($C226,REV!$C:$AA,21,0)-'TRADE IN'!$F226))</f>
        <v/>
      </c>
      <c r="X226" s="46" t="str">
        <f>IF(VLOOKUP($C226,REV!$C:$AA,22,0)-'TRADE IN'!$F235=0,"",(VLOOKUP($C226,REV!$C:$AA,22,0)-'TRADE IN'!$F226))</f>
        <v/>
      </c>
      <c r="Y226" s="46" t="str">
        <f>IF(VLOOKUP($C226,REV!$C:$AA,23,0)-'TRADE IN'!$F235=0,"",(VLOOKUP($C226,REV!$C:$AA,23,0)-'TRADE IN'!$F226))</f>
        <v/>
      </c>
      <c r="Z226" s="46" t="str">
        <f>IF(VLOOKUP($C226,REV!$C:$AA,24,0)-'TRADE IN'!$F235=0,"",(VLOOKUP($C226,REV!$C:$AA,24,0)-'TRADE IN'!$F226))</f>
        <v/>
      </c>
      <c r="AA226" s="46" t="str">
        <f>IF(VLOOKUP($C226,REV!$C:$AA,25,0)-'TRADE IN'!$F235=0,"",(VLOOKUP($C226,REV!$C:$AA,25,0)-'TRADE IN'!$F226))</f>
        <v/>
      </c>
      <c r="AB226" s="46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tr">
        <f>IF(REV!AW226=0,"",REV!AW226)</f>
        <v>31.03.2026</v>
      </c>
      <c r="AX226" s="159" t="s">
        <v>66</v>
      </c>
    </row>
    <row r="227" spans="1:50" ht="22.5" customHeight="1">
      <c r="A227" s="50" t="s">
        <v>61</v>
      </c>
      <c r="B227" s="41" t="s">
        <v>62</v>
      </c>
      <c r="C227" s="42">
        <v>4012942</v>
      </c>
      <c r="D227" s="43" t="s">
        <v>325</v>
      </c>
      <c r="E227" s="43" t="s">
        <v>327</v>
      </c>
      <c r="F227" s="45"/>
      <c r="G227" s="45"/>
      <c r="H227" s="45"/>
      <c r="I227" s="45"/>
      <c r="J227" s="46" t="str">
        <f>IF(VLOOKUP($C227,REV!$C:$AA,8,0)-'TRADE IN'!$F227=0,"",(VLOOKUP($C227,REV!$C:$AA,8,0)-'TRADE IN'!$F227))</f>
        <v/>
      </c>
      <c r="K227" s="46" t="str">
        <f>IF(VLOOKUP($C227,REV!$C:$AA,9,0)-'TRADE IN'!$F227=0,"",(VLOOKUP($C227,REV!$C:$AA,9,0)-'TRADE IN'!$F227))</f>
        <v/>
      </c>
      <c r="L227" s="46" t="str">
        <f>IF(VLOOKUP($C227,REV!$C:$AA,10,0)-'TRADE IN'!$F236=0,"",(VLOOKUP($C227,REV!$C:$AA,10,0)-'TRADE IN'!$F227))</f>
        <v/>
      </c>
      <c r="M227" s="46" t="str">
        <f>IF(VLOOKUP($C227,REV!$C:$AA,11,0)-'TRADE IN'!$F236=0,"",(VLOOKUP($C227,REV!$C:$AA,11,0)-'TRADE IN'!$F227))</f>
        <v/>
      </c>
      <c r="N227" s="46" t="str">
        <f>IF(VLOOKUP($C227,REV!$C:$AA,12,0)-'TRADE IN'!$F236=0,"",(VLOOKUP($C227,REV!$C:$AA,12,0)-'TRADE IN'!$F227))</f>
        <v/>
      </c>
      <c r="O227" s="46" t="str">
        <f>IF(VLOOKUP($C227,REV!$C:$AA,13,0)-'TRADE IN'!$F236=0,"",(VLOOKUP($C227,REV!$C:$AA,13,0)-'TRADE IN'!$F227))</f>
        <v/>
      </c>
      <c r="P227" s="46" t="str">
        <f>IF(VLOOKUP($C227,REV!$C:$AA,14,0)-'TRADE IN'!$F236=0,"",(VLOOKUP($C227,REV!$C:$AA,14,0)-'TRADE IN'!$F227))</f>
        <v/>
      </c>
      <c r="Q227" s="46" t="str">
        <f>IF(VLOOKUP($C227,REV!$C:$AA,15,0)-'TRADE IN'!$F236=0,"",(VLOOKUP($C227,REV!$C:$AA,15,0)-'TRADE IN'!$F227))</f>
        <v/>
      </c>
      <c r="R227" s="46" t="str">
        <f>IF(VLOOKUP($C227,REV!$C:$AA,16,0)-'TRADE IN'!$F236=0,"",(VLOOKUP($C227,REV!$C:$AA,16,0)-'TRADE IN'!$F227))</f>
        <v/>
      </c>
      <c r="S227" s="46" t="str">
        <f>IF(VLOOKUP($C227,REV!$C:$AA,17,0)-'TRADE IN'!$F236=0,"",(VLOOKUP($C227,REV!$C:$AA,17,0)-'TRADE IN'!$F227))</f>
        <v/>
      </c>
      <c r="T227" s="46" t="str">
        <f>IF(VLOOKUP($C227,REV!$C:$AA,18,0)-'TRADE IN'!$F236=0,"",(VLOOKUP($C227,REV!$C:$AA,18,0)-'TRADE IN'!$F227))</f>
        <v/>
      </c>
      <c r="U227" s="46" t="str">
        <f>IF(VLOOKUP($C227,REV!$C:$AA,19,0)-'TRADE IN'!$F236=0,"",(VLOOKUP($C227,REV!$C:$AA,19,0)-'TRADE IN'!$F227))</f>
        <v/>
      </c>
      <c r="V227" s="46" t="str">
        <f>IF(VLOOKUP($C227,REV!$C:$AA,20,0)-'TRADE IN'!$F236=0,"",(VLOOKUP($C227,REV!$C:$AA,20,0)-'TRADE IN'!$F227))</f>
        <v/>
      </c>
      <c r="W227" s="46" t="str">
        <f>IF(VLOOKUP($C227,REV!$C:$AA,21,0)-'TRADE IN'!$F236=0,"",(VLOOKUP($C227,REV!$C:$AA,21,0)-'TRADE IN'!$F227))</f>
        <v/>
      </c>
      <c r="X227" s="46" t="str">
        <f>IF(VLOOKUP($C227,REV!$C:$AA,22,0)-'TRADE IN'!$F236=0,"",(VLOOKUP($C227,REV!$C:$AA,22,0)-'TRADE IN'!$F227))</f>
        <v/>
      </c>
      <c r="Y227" s="46" t="str">
        <f>IF(VLOOKUP($C227,REV!$C:$AA,23,0)-'TRADE IN'!$F236=0,"",(VLOOKUP($C227,REV!$C:$AA,23,0)-'TRADE IN'!$F227))</f>
        <v/>
      </c>
      <c r="Z227" s="46" t="str">
        <f>IF(VLOOKUP($C227,REV!$C:$AA,24,0)-'TRADE IN'!$F236=0,"",(VLOOKUP($C227,REV!$C:$AA,24,0)-'TRADE IN'!$F227))</f>
        <v/>
      </c>
      <c r="AA227" s="46" t="str">
        <f>IF(VLOOKUP($C227,REV!$C:$AA,25,0)-'TRADE IN'!$F236=0,"",(VLOOKUP($C227,REV!$C:$AA,25,0)-'TRADE IN'!$F227))</f>
        <v/>
      </c>
      <c r="AB227" s="46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tr">
        <f>IF(REV!AW227=0,"",REV!AW227)</f>
        <v>31.03.2026</v>
      </c>
      <c r="AX227" s="159" t="s">
        <v>66</v>
      </c>
    </row>
    <row r="228" spans="1:50" ht="22.5" customHeight="1">
      <c r="A228" s="50" t="s">
        <v>61</v>
      </c>
      <c r="B228" s="41" t="s">
        <v>62</v>
      </c>
      <c r="C228" s="42">
        <v>4013060</v>
      </c>
      <c r="D228" s="43" t="s">
        <v>325</v>
      </c>
      <c r="E228" s="43" t="s">
        <v>328</v>
      </c>
      <c r="F228" s="45"/>
      <c r="G228" s="45"/>
      <c r="H228" s="45"/>
      <c r="I228" s="45"/>
      <c r="J228" s="46" t="str">
        <f>IF(VLOOKUP($C228,REV!$C:$AA,8,0)-'TRADE IN'!$F228=0,"",(VLOOKUP($C228,REV!$C:$AA,8,0)-'TRADE IN'!$F228))</f>
        <v/>
      </c>
      <c r="K228" s="46" t="str">
        <f>IF(VLOOKUP($C228,REV!$C:$AA,9,0)-'TRADE IN'!$F228=0,"",(VLOOKUP($C228,REV!$C:$AA,9,0)-'TRADE IN'!$F228))</f>
        <v/>
      </c>
      <c r="L228" s="46" t="str">
        <f>IF(VLOOKUP($C228,REV!$C:$AA,10,0)-'TRADE IN'!$F237=0,"",(VLOOKUP($C228,REV!$C:$AA,10,0)-'TRADE IN'!$F228))</f>
        <v/>
      </c>
      <c r="M228" s="46" t="str">
        <f>IF(VLOOKUP($C228,REV!$C:$AA,11,0)-'TRADE IN'!$F237=0,"",(VLOOKUP($C228,REV!$C:$AA,11,0)-'TRADE IN'!$F228))</f>
        <v/>
      </c>
      <c r="N228" s="46" t="str">
        <f>IF(VLOOKUP($C228,REV!$C:$AA,12,0)-'TRADE IN'!$F237=0,"",(VLOOKUP($C228,REV!$C:$AA,12,0)-'TRADE IN'!$F228))</f>
        <v/>
      </c>
      <c r="O228" s="46" t="str">
        <f>IF(VLOOKUP($C228,REV!$C:$AA,13,0)-'TRADE IN'!$F237=0,"",(VLOOKUP($C228,REV!$C:$AA,13,0)-'TRADE IN'!$F228))</f>
        <v/>
      </c>
      <c r="P228" s="46" t="str">
        <f>IF(VLOOKUP($C228,REV!$C:$AA,14,0)-'TRADE IN'!$F237=0,"",(VLOOKUP($C228,REV!$C:$AA,14,0)-'TRADE IN'!$F228))</f>
        <v/>
      </c>
      <c r="Q228" s="46" t="str">
        <f>IF(VLOOKUP($C228,REV!$C:$AA,15,0)-'TRADE IN'!$F237=0,"",(VLOOKUP($C228,REV!$C:$AA,15,0)-'TRADE IN'!$F228))</f>
        <v/>
      </c>
      <c r="R228" s="46" t="str">
        <f>IF(VLOOKUP($C228,REV!$C:$AA,16,0)-'TRADE IN'!$F237=0,"",(VLOOKUP($C228,REV!$C:$AA,16,0)-'TRADE IN'!$F228))</f>
        <v/>
      </c>
      <c r="S228" s="46" t="str">
        <f>IF(VLOOKUP($C228,REV!$C:$AA,17,0)-'TRADE IN'!$F237=0,"",(VLOOKUP($C228,REV!$C:$AA,17,0)-'TRADE IN'!$F228))</f>
        <v/>
      </c>
      <c r="T228" s="46" t="str">
        <f>IF(VLOOKUP($C228,REV!$C:$AA,18,0)-'TRADE IN'!$F237=0,"",(VLOOKUP($C228,REV!$C:$AA,18,0)-'TRADE IN'!$F228))</f>
        <v/>
      </c>
      <c r="U228" s="46" t="str">
        <f>IF(VLOOKUP($C228,REV!$C:$AA,19,0)-'TRADE IN'!$F237=0,"",(VLOOKUP($C228,REV!$C:$AA,19,0)-'TRADE IN'!$F228))</f>
        <v/>
      </c>
      <c r="V228" s="46" t="str">
        <f>IF(VLOOKUP($C228,REV!$C:$AA,20,0)-'TRADE IN'!$F237=0,"",(VLOOKUP($C228,REV!$C:$AA,20,0)-'TRADE IN'!$F228))</f>
        <v/>
      </c>
      <c r="W228" s="46" t="str">
        <f>IF(VLOOKUP($C228,REV!$C:$AA,21,0)-'TRADE IN'!$F237=0,"",(VLOOKUP($C228,REV!$C:$AA,21,0)-'TRADE IN'!$F228))</f>
        <v/>
      </c>
      <c r="X228" s="46" t="str">
        <f>IF(VLOOKUP($C228,REV!$C:$AA,22,0)-'TRADE IN'!$F237=0,"",(VLOOKUP($C228,REV!$C:$AA,22,0)-'TRADE IN'!$F228))</f>
        <v/>
      </c>
      <c r="Y228" s="46" t="str">
        <f>IF(VLOOKUP($C228,REV!$C:$AA,23,0)-'TRADE IN'!$F237=0,"",(VLOOKUP($C228,REV!$C:$AA,23,0)-'TRADE IN'!$F228))</f>
        <v/>
      </c>
      <c r="Z228" s="46" t="str">
        <f>IF(VLOOKUP($C228,REV!$C:$AA,24,0)-'TRADE IN'!$F237=0,"",(VLOOKUP($C228,REV!$C:$AA,24,0)-'TRADE IN'!$F228))</f>
        <v/>
      </c>
      <c r="AA228" s="46" t="str">
        <f>IF(VLOOKUP($C228,REV!$C:$AA,25,0)-'TRADE IN'!$F237=0,"",(VLOOKUP($C228,REV!$C:$AA,25,0)-'TRADE IN'!$F228))</f>
        <v/>
      </c>
      <c r="AB228" s="46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tr">
        <f>IF(REV!AW228=0,"",REV!AW228)</f>
        <v>31.03.2026</v>
      </c>
      <c r="AX228" s="159" t="s">
        <v>66</v>
      </c>
    </row>
    <row r="229" spans="1:50" ht="22.5" customHeight="1">
      <c r="A229" s="50" t="s">
        <v>61</v>
      </c>
      <c r="B229" s="41" t="s">
        <v>62</v>
      </c>
      <c r="C229" s="42">
        <v>4013172</v>
      </c>
      <c r="D229" s="43" t="s">
        <v>325</v>
      </c>
      <c r="E229" s="43" t="s">
        <v>329</v>
      </c>
      <c r="F229" s="45"/>
      <c r="G229" s="45"/>
      <c r="H229" s="45"/>
      <c r="I229" s="45"/>
      <c r="J229" s="46" t="str">
        <f>IF(VLOOKUP($C229,REV!$C:$AA,8,0)-'TRADE IN'!$F229=0,"",(VLOOKUP($C229,REV!$C:$AA,8,0)-'TRADE IN'!$F229))</f>
        <v/>
      </c>
      <c r="K229" s="46" t="str">
        <f>IF(VLOOKUP($C229,REV!$C:$AA,9,0)-'TRADE IN'!$F229=0,"",(VLOOKUP($C229,REV!$C:$AA,9,0)-'TRADE IN'!$F229))</f>
        <v/>
      </c>
      <c r="L229" s="46" t="str">
        <f>IF(VLOOKUP($C229,REV!$C:$AA,10,0)-'TRADE IN'!$F238=0,"",(VLOOKUP($C229,REV!$C:$AA,10,0)-'TRADE IN'!$F229))</f>
        <v/>
      </c>
      <c r="M229" s="46" t="str">
        <f>IF(VLOOKUP($C229,REV!$C:$AA,11,0)-'TRADE IN'!$F238=0,"",(VLOOKUP($C229,REV!$C:$AA,11,0)-'TRADE IN'!$F229))</f>
        <v/>
      </c>
      <c r="N229" s="46" t="str">
        <f>IF(VLOOKUP($C229,REV!$C:$AA,12,0)-'TRADE IN'!$F238=0,"",(VLOOKUP($C229,REV!$C:$AA,12,0)-'TRADE IN'!$F229))</f>
        <v/>
      </c>
      <c r="O229" s="46" t="str">
        <f>IF(VLOOKUP($C229,REV!$C:$AA,13,0)-'TRADE IN'!$F238=0,"",(VLOOKUP($C229,REV!$C:$AA,13,0)-'TRADE IN'!$F229))</f>
        <v/>
      </c>
      <c r="P229" s="46" t="str">
        <f>IF(VLOOKUP($C229,REV!$C:$AA,14,0)-'TRADE IN'!$F238=0,"",(VLOOKUP($C229,REV!$C:$AA,14,0)-'TRADE IN'!$F229))</f>
        <v/>
      </c>
      <c r="Q229" s="46" t="str">
        <f>IF(VLOOKUP($C229,REV!$C:$AA,15,0)-'TRADE IN'!$F238=0,"",(VLOOKUP($C229,REV!$C:$AA,15,0)-'TRADE IN'!$F229))</f>
        <v/>
      </c>
      <c r="R229" s="46" t="str">
        <f>IF(VLOOKUP($C229,REV!$C:$AA,16,0)-'TRADE IN'!$F238=0,"",(VLOOKUP($C229,REV!$C:$AA,16,0)-'TRADE IN'!$F229))</f>
        <v/>
      </c>
      <c r="S229" s="46" t="str">
        <f>IF(VLOOKUP($C229,REV!$C:$AA,17,0)-'TRADE IN'!$F238=0,"",(VLOOKUP($C229,REV!$C:$AA,17,0)-'TRADE IN'!$F229))</f>
        <v/>
      </c>
      <c r="T229" s="46" t="str">
        <f>IF(VLOOKUP($C229,REV!$C:$AA,18,0)-'TRADE IN'!$F238=0,"",(VLOOKUP($C229,REV!$C:$AA,18,0)-'TRADE IN'!$F229))</f>
        <v/>
      </c>
      <c r="U229" s="46" t="str">
        <f>IF(VLOOKUP($C229,REV!$C:$AA,19,0)-'TRADE IN'!$F238=0,"",(VLOOKUP($C229,REV!$C:$AA,19,0)-'TRADE IN'!$F229))</f>
        <v/>
      </c>
      <c r="V229" s="46" t="str">
        <f>IF(VLOOKUP($C229,REV!$C:$AA,20,0)-'TRADE IN'!$F238=0,"",(VLOOKUP($C229,REV!$C:$AA,20,0)-'TRADE IN'!$F229))</f>
        <v/>
      </c>
      <c r="W229" s="46" t="str">
        <f>IF(VLOOKUP($C229,REV!$C:$AA,21,0)-'TRADE IN'!$F238=0,"",(VLOOKUP($C229,REV!$C:$AA,21,0)-'TRADE IN'!$F229))</f>
        <v/>
      </c>
      <c r="X229" s="46" t="str">
        <f>IF(VLOOKUP($C229,REV!$C:$AA,22,0)-'TRADE IN'!$F238=0,"",(VLOOKUP($C229,REV!$C:$AA,22,0)-'TRADE IN'!$F229))</f>
        <v/>
      </c>
      <c r="Y229" s="46" t="str">
        <f>IF(VLOOKUP($C229,REV!$C:$AA,23,0)-'TRADE IN'!$F238=0,"",(VLOOKUP($C229,REV!$C:$AA,23,0)-'TRADE IN'!$F229))</f>
        <v/>
      </c>
      <c r="Z229" s="46" t="str">
        <f>IF(VLOOKUP($C229,REV!$C:$AA,24,0)-'TRADE IN'!$F238=0,"",(VLOOKUP($C229,REV!$C:$AA,24,0)-'TRADE IN'!$F229))</f>
        <v/>
      </c>
      <c r="AA229" s="46" t="str">
        <f>IF(VLOOKUP($C229,REV!$C:$AA,25,0)-'TRADE IN'!$F238=0,"",(VLOOKUP($C229,REV!$C:$AA,25,0)-'TRADE IN'!$F229))</f>
        <v/>
      </c>
      <c r="AB229" s="46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tr">
        <f>IF(REV!AW229=0,"",REV!AW229)</f>
        <v>31.03.2026</v>
      </c>
      <c r="AX229" s="159" t="s">
        <v>66</v>
      </c>
    </row>
    <row r="230" spans="1:50" ht="22.5" customHeight="1">
      <c r="A230" s="50" t="s">
        <v>61</v>
      </c>
      <c r="B230" s="41" t="s">
        <v>62</v>
      </c>
      <c r="C230" s="42">
        <v>4013162</v>
      </c>
      <c r="D230" s="43" t="s">
        <v>325</v>
      </c>
      <c r="E230" s="43" t="s">
        <v>330</v>
      </c>
      <c r="F230" s="45"/>
      <c r="G230" s="45"/>
      <c r="H230" s="45"/>
      <c r="I230" s="45"/>
      <c r="J230" s="46" t="str">
        <f>IF(VLOOKUP($C230,REV!$C:$AA,8,0)-'TRADE IN'!$F230=0,"",(VLOOKUP($C230,REV!$C:$AA,8,0)-'TRADE IN'!$F230))</f>
        <v/>
      </c>
      <c r="K230" s="46" t="str">
        <f>IF(VLOOKUP($C230,REV!$C:$AA,9,0)-'TRADE IN'!$F230=0,"",(VLOOKUP($C230,REV!$C:$AA,9,0)-'TRADE IN'!$F230))</f>
        <v/>
      </c>
      <c r="L230" s="46" t="str">
        <f>IF(VLOOKUP($C230,REV!$C:$AA,10,0)-'TRADE IN'!$F239=0,"",(VLOOKUP($C230,REV!$C:$AA,10,0)-'TRADE IN'!$F230))</f>
        <v/>
      </c>
      <c r="M230" s="46" t="str">
        <f>IF(VLOOKUP($C230,REV!$C:$AA,11,0)-'TRADE IN'!$F239=0,"",(VLOOKUP($C230,REV!$C:$AA,11,0)-'TRADE IN'!$F230))</f>
        <v/>
      </c>
      <c r="N230" s="46" t="str">
        <f>IF(VLOOKUP($C230,REV!$C:$AA,12,0)-'TRADE IN'!$F239=0,"",(VLOOKUP($C230,REV!$C:$AA,12,0)-'TRADE IN'!$F230))</f>
        <v/>
      </c>
      <c r="O230" s="46" t="str">
        <f>IF(VLOOKUP($C230,REV!$C:$AA,13,0)-'TRADE IN'!$F239=0,"",(VLOOKUP($C230,REV!$C:$AA,13,0)-'TRADE IN'!$F230))</f>
        <v/>
      </c>
      <c r="P230" s="46" t="str">
        <f>IF(VLOOKUP($C230,REV!$C:$AA,14,0)-'TRADE IN'!$F239=0,"",(VLOOKUP($C230,REV!$C:$AA,14,0)-'TRADE IN'!$F230))</f>
        <v/>
      </c>
      <c r="Q230" s="46" t="str">
        <f>IF(VLOOKUP($C230,REV!$C:$AA,15,0)-'TRADE IN'!$F239=0,"",(VLOOKUP($C230,REV!$C:$AA,15,0)-'TRADE IN'!$F230))</f>
        <v/>
      </c>
      <c r="R230" s="46" t="str">
        <f>IF(VLOOKUP($C230,REV!$C:$AA,16,0)-'TRADE IN'!$F239=0,"",(VLOOKUP($C230,REV!$C:$AA,16,0)-'TRADE IN'!$F230))</f>
        <v/>
      </c>
      <c r="S230" s="46" t="str">
        <f>IF(VLOOKUP($C230,REV!$C:$AA,17,0)-'TRADE IN'!$F239=0,"",(VLOOKUP($C230,REV!$C:$AA,17,0)-'TRADE IN'!$F230))</f>
        <v/>
      </c>
      <c r="T230" s="46" t="str">
        <f>IF(VLOOKUP($C230,REV!$C:$AA,18,0)-'TRADE IN'!$F239=0,"",(VLOOKUP($C230,REV!$C:$AA,18,0)-'TRADE IN'!$F230))</f>
        <v/>
      </c>
      <c r="U230" s="46" t="str">
        <f>IF(VLOOKUP($C230,REV!$C:$AA,19,0)-'TRADE IN'!$F239=0,"",(VLOOKUP($C230,REV!$C:$AA,19,0)-'TRADE IN'!$F230))</f>
        <v/>
      </c>
      <c r="V230" s="46" t="str">
        <f>IF(VLOOKUP($C230,REV!$C:$AA,20,0)-'TRADE IN'!$F239=0,"",(VLOOKUP($C230,REV!$C:$AA,20,0)-'TRADE IN'!$F230))</f>
        <v/>
      </c>
      <c r="W230" s="46" t="str">
        <f>IF(VLOOKUP($C230,REV!$C:$AA,21,0)-'TRADE IN'!$F239=0,"",(VLOOKUP($C230,REV!$C:$AA,21,0)-'TRADE IN'!$F230))</f>
        <v/>
      </c>
      <c r="X230" s="46" t="str">
        <f>IF(VLOOKUP($C230,REV!$C:$AA,22,0)-'TRADE IN'!$F239=0,"",(VLOOKUP($C230,REV!$C:$AA,22,0)-'TRADE IN'!$F230))</f>
        <v/>
      </c>
      <c r="Y230" s="46" t="str">
        <f>IF(VLOOKUP($C230,REV!$C:$AA,23,0)-'TRADE IN'!$F239=0,"",(VLOOKUP($C230,REV!$C:$AA,23,0)-'TRADE IN'!$F230))</f>
        <v/>
      </c>
      <c r="Z230" s="46" t="str">
        <f>IF(VLOOKUP($C230,REV!$C:$AA,24,0)-'TRADE IN'!$F239=0,"",(VLOOKUP($C230,REV!$C:$AA,24,0)-'TRADE IN'!$F230))</f>
        <v/>
      </c>
      <c r="AA230" s="46" t="str">
        <f>IF(VLOOKUP($C230,REV!$C:$AA,25,0)-'TRADE IN'!$F239=0,"",(VLOOKUP($C230,REV!$C:$AA,25,0)-'TRADE IN'!$F230))</f>
        <v/>
      </c>
      <c r="AB230" s="46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tr">
        <f>IF(REV!AW230=0,"",REV!AW230)</f>
        <v>31.03.2026</v>
      </c>
      <c r="AX230" s="159" t="s">
        <v>66</v>
      </c>
    </row>
    <row r="231" spans="1:50" ht="22.5" customHeight="1">
      <c r="A231" s="50" t="s">
        <v>61</v>
      </c>
      <c r="B231" s="41" t="s">
        <v>62</v>
      </c>
      <c r="C231" s="42">
        <v>4013730</v>
      </c>
      <c r="D231" s="43" t="s">
        <v>331</v>
      </c>
      <c r="E231" s="43" t="s">
        <v>332</v>
      </c>
      <c r="F231" s="45"/>
      <c r="G231" s="45"/>
      <c r="H231" s="45"/>
      <c r="I231" s="45"/>
      <c r="J231" s="46" t="str">
        <f>IF(VLOOKUP($C231,REV!$C:$AA,8,0)-'TRADE IN'!$F231=0,"",(VLOOKUP($C231,REV!$C:$AA,8,0)-'TRADE IN'!$F231))</f>
        <v/>
      </c>
      <c r="K231" s="46" t="str">
        <f>IF(VLOOKUP($C231,REV!$C:$AA,9,0)-'TRADE IN'!$F231=0,"",(VLOOKUP($C231,REV!$C:$AA,9,0)-'TRADE IN'!$F231))</f>
        <v/>
      </c>
      <c r="L231" s="46" t="str">
        <f>IF(VLOOKUP($C231,REV!$C:$AA,10,0)-'TRADE IN'!$F240=0,"",(VLOOKUP($C231,REV!$C:$AA,10,0)-'TRADE IN'!$F231))</f>
        <v/>
      </c>
      <c r="M231" s="46" t="str">
        <f>IF(VLOOKUP($C231,REV!$C:$AA,11,0)-'TRADE IN'!$F240=0,"",(VLOOKUP($C231,REV!$C:$AA,11,0)-'TRADE IN'!$F231))</f>
        <v/>
      </c>
      <c r="N231" s="46" t="str">
        <f>IF(VLOOKUP($C231,REV!$C:$AA,12,0)-'TRADE IN'!$F240=0,"",(VLOOKUP($C231,REV!$C:$AA,12,0)-'TRADE IN'!$F231))</f>
        <v/>
      </c>
      <c r="O231" s="46" t="str">
        <f>IF(VLOOKUP($C231,REV!$C:$AA,13,0)-'TRADE IN'!$F240=0,"",(VLOOKUP($C231,REV!$C:$AA,13,0)-'TRADE IN'!$F231))</f>
        <v/>
      </c>
      <c r="P231" s="46" t="str">
        <f>IF(VLOOKUP($C231,REV!$C:$AA,14,0)-'TRADE IN'!$F240=0,"",(VLOOKUP($C231,REV!$C:$AA,14,0)-'TRADE IN'!$F231))</f>
        <v/>
      </c>
      <c r="Q231" s="46" t="str">
        <f>IF(VLOOKUP($C231,REV!$C:$AA,15,0)-'TRADE IN'!$F240=0,"",(VLOOKUP($C231,REV!$C:$AA,15,0)-'TRADE IN'!$F231))</f>
        <v/>
      </c>
      <c r="R231" s="46" t="str">
        <f>IF(VLOOKUP($C231,REV!$C:$AA,16,0)-'TRADE IN'!$F240=0,"",(VLOOKUP($C231,REV!$C:$AA,16,0)-'TRADE IN'!$F231))</f>
        <v/>
      </c>
      <c r="S231" s="46" t="str">
        <f>IF(VLOOKUP($C231,REV!$C:$AA,17,0)-'TRADE IN'!$F240=0,"",(VLOOKUP($C231,REV!$C:$AA,17,0)-'TRADE IN'!$F231))</f>
        <v/>
      </c>
      <c r="T231" s="46" t="str">
        <f>IF(VLOOKUP($C231,REV!$C:$AA,18,0)-'TRADE IN'!$F240=0,"",(VLOOKUP($C231,REV!$C:$AA,18,0)-'TRADE IN'!$F231))</f>
        <v/>
      </c>
      <c r="U231" s="46" t="str">
        <f>IF(VLOOKUP($C231,REV!$C:$AA,19,0)-'TRADE IN'!$F240=0,"",(VLOOKUP($C231,REV!$C:$AA,19,0)-'TRADE IN'!$F231))</f>
        <v/>
      </c>
      <c r="V231" s="46" t="str">
        <f>IF(VLOOKUP($C231,REV!$C:$AA,20,0)-'TRADE IN'!$F240=0,"",(VLOOKUP($C231,REV!$C:$AA,20,0)-'TRADE IN'!$F231))</f>
        <v/>
      </c>
      <c r="W231" s="46" t="str">
        <f>IF(VLOOKUP($C231,REV!$C:$AA,21,0)-'TRADE IN'!$F240=0,"",(VLOOKUP($C231,REV!$C:$AA,21,0)-'TRADE IN'!$F231))</f>
        <v/>
      </c>
      <c r="X231" s="46" t="str">
        <f>IF(VLOOKUP($C231,REV!$C:$AA,22,0)-'TRADE IN'!$F240=0,"",(VLOOKUP($C231,REV!$C:$AA,22,0)-'TRADE IN'!$F231))</f>
        <v/>
      </c>
      <c r="Y231" s="46" t="str">
        <f>IF(VLOOKUP($C231,REV!$C:$AA,23,0)-'TRADE IN'!$F240=0,"",(VLOOKUP($C231,REV!$C:$AA,23,0)-'TRADE IN'!$F231))</f>
        <v/>
      </c>
      <c r="Z231" s="46" t="str">
        <f>IF(VLOOKUP($C231,REV!$C:$AA,24,0)-'TRADE IN'!$F240=0,"",(VLOOKUP($C231,REV!$C:$AA,24,0)-'TRADE IN'!$F231))</f>
        <v/>
      </c>
      <c r="AA231" s="46" t="str">
        <f>IF(VLOOKUP($C231,REV!$C:$AA,25,0)-'TRADE IN'!$F240=0,"",(VLOOKUP($C231,REV!$C:$AA,25,0)-'TRADE IN'!$F231))</f>
        <v/>
      </c>
      <c r="AB231" s="46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tr">
        <f>IF(REV!AW231=0,"",REV!AW231)</f>
        <v>31.03.2026</v>
      </c>
      <c r="AX231" s="159" t="s">
        <v>66</v>
      </c>
    </row>
    <row r="232" spans="1:50" ht="22.5" customHeight="1">
      <c r="A232" s="50" t="s">
        <v>61</v>
      </c>
      <c r="B232" s="41" t="s">
        <v>62</v>
      </c>
      <c r="C232" s="42">
        <v>4013331</v>
      </c>
      <c r="D232" s="43" t="s">
        <v>333</v>
      </c>
      <c r="E232" s="43" t="s">
        <v>334</v>
      </c>
      <c r="F232" s="45"/>
      <c r="G232" s="45"/>
      <c r="H232" s="45"/>
      <c r="I232" s="45"/>
      <c r="J232" s="46" t="str">
        <f>IF(VLOOKUP($C232,REV!$C:$AA,8,0)-'TRADE IN'!$F232=0,"",(VLOOKUP($C232,REV!$C:$AA,8,0)-'TRADE IN'!$F232))</f>
        <v/>
      </c>
      <c r="K232" s="46" t="str">
        <f>IF(VLOOKUP($C232,REV!$C:$AA,9,0)-'TRADE IN'!$F232=0,"",(VLOOKUP($C232,REV!$C:$AA,9,0)-'TRADE IN'!$F232))</f>
        <v/>
      </c>
      <c r="L232" s="46" t="str">
        <f>IF(VLOOKUP($C232,REV!$C:$AA,10,0)-'TRADE IN'!$F241=0,"",(VLOOKUP($C232,REV!$C:$AA,10,0)-'TRADE IN'!$F232))</f>
        <v/>
      </c>
      <c r="M232" s="46" t="str">
        <f>IF(VLOOKUP($C232,REV!$C:$AA,11,0)-'TRADE IN'!$F241=0,"",(VLOOKUP($C232,REV!$C:$AA,11,0)-'TRADE IN'!$F232))</f>
        <v/>
      </c>
      <c r="N232" s="46" t="str">
        <f>IF(VLOOKUP($C232,REV!$C:$AA,12,0)-'TRADE IN'!$F241=0,"",(VLOOKUP($C232,REV!$C:$AA,12,0)-'TRADE IN'!$F232))</f>
        <v/>
      </c>
      <c r="O232" s="46" t="str">
        <f>IF(VLOOKUP($C232,REV!$C:$AA,13,0)-'TRADE IN'!$F241=0,"",(VLOOKUP($C232,REV!$C:$AA,13,0)-'TRADE IN'!$F232))</f>
        <v/>
      </c>
      <c r="P232" s="46" t="str">
        <f>IF(VLOOKUP($C232,REV!$C:$AA,14,0)-'TRADE IN'!$F241=0,"",(VLOOKUP($C232,REV!$C:$AA,14,0)-'TRADE IN'!$F232))</f>
        <v/>
      </c>
      <c r="Q232" s="46" t="str">
        <f>IF(VLOOKUP($C232,REV!$C:$AA,15,0)-'TRADE IN'!$F241=0,"",(VLOOKUP($C232,REV!$C:$AA,15,0)-'TRADE IN'!$F232))</f>
        <v/>
      </c>
      <c r="R232" s="46" t="str">
        <f>IF(VLOOKUP($C232,REV!$C:$AA,16,0)-'TRADE IN'!$F241=0,"",(VLOOKUP($C232,REV!$C:$AA,16,0)-'TRADE IN'!$F232))</f>
        <v/>
      </c>
      <c r="S232" s="46" t="str">
        <f>IF(VLOOKUP($C232,REV!$C:$AA,17,0)-'TRADE IN'!$F241=0,"",(VLOOKUP($C232,REV!$C:$AA,17,0)-'TRADE IN'!$F232))</f>
        <v/>
      </c>
      <c r="T232" s="46" t="str">
        <f>IF(VLOOKUP($C232,REV!$C:$AA,18,0)-'TRADE IN'!$F241=0,"",(VLOOKUP($C232,REV!$C:$AA,18,0)-'TRADE IN'!$F232))</f>
        <v/>
      </c>
      <c r="U232" s="46" t="str">
        <f>IF(VLOOKUP($C232,REV!$C:$AA,19,0)-'TRADE IN'!$F241=0,"",(VLOOKUP($C232,REV!$C:$AA,19,0)-'TRADE IN'!$F232))</f>
        <v/>
      </c>
      <c r="V232" s="46" t="str">
        <f>IF(VLOOKUP($C232,REV!$C:$AA,20,0)-'TRADE IN'!$F241=0,"",(VLOOKUP($C232,REV!$C:$AA,20,0)-'TRADE IN'!$F232))</f>
        <v/>
      </c>
      <c r="W232" s="46" t="str">
        <f>IF(VLOOKUP($C232,REV!$C:$AA,21,0)-'TRADE IN'!$F241=0,"",(VLOOKUP($C232,REV!$C:$AA,21,0)-'TRADE IN'!$F232))</f>
        <v/>
      </c>
      <c r="X232" s="46" t="str">
        <f>IF(VLOOKUP($C232,REV!$C:$AA,22,0)-'TRADE IN'!$F241=0,"",(VLOOKUP($C232,REV!$C:$AA,22,0)-'TRADE IN'!$F232))</f>
        <v/>
      </c>
      <c r="Y232" s="46" t="str">
        <f>IF(VLOOKUP($C232,REV!$C:$AA,23,0)-'TRADE IN'!$F241=0,"",(VLOOKUP($C232,REV!$C:$AA,23,0)-'TRADE IN'!$F232))</f>
        <v/>
      </c>
      <c r="Z232" s="46" t="str">
        <f>IF(VLOOKUP($C232,REV!$C:$AA,24,0)-'TRADE IN'!$F241=0,"",(VLOOKUP($C232,REV!$C:$AA,24,0)-'TRADE IN'!$F232))</f>
        <v/>
      </c>
      <c r="AA232" s="46" t="str">
        <f>IF(VLOOKUP($C232,REV!$C:$AA,25,0)-'TRADE IN'!$F241=0,"",(VLOOKUP($C232,REV!$C:$AA,25,0)-'TRADE IN'!$F232))</f>
        <v/>
      </c>
      <c r="AB232" s="46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tr">
        <f>IF(REV!AW232=0,"",REV!AW232)</f>
        <v>31.03.2026</v>
      </c>
      <c r="AX232" s="159" t="s">
        <v>66</v>
      </c>
    </row>
    <row r="233" spans="1:50" ht="22.5" customHeight="1">
      <c r="A233" s="50" t="s">
        <v>61</v>
      </c>
      <c r="B233" s="41" t="s">
        <v>62</v>
      </c>
      <c r="C233" s="42">
        <v>4013333</v>
      </c>
      <c r="D233" s="43" t="s">
        <v>333</v>
      </c>
      <c r="E233" s="43" t="s">
        <v>335</v>
      </c>
      <c r="F233" s="45"/>
      <c r="G233" s="45"/>
      <c r="H233" s="45"/>
      <c r="I233" s="45"/>
      <c r="J233" s="46" t="str">
        <f>IF(VLOOKUP($C233,REV!$C:$AA,8,0)-'TRADE IN'!$F233=0,"",(VLOOKUP($C233,REV!$C:$AA,8,0)-'TRADE IN'!$F233))</f>
        <v/>
      </c>
      <c r="K233" s="46" t="str">
        <f>IF(VLOOKUP($C233,REV!$C:$AA,9,0)-'TRADE IN'!$F233=0,"",(VLOOKUP($C233,REV!$C:$AA,9,0)-'TRADE IN'!$F233))</f>
        <v/>
      </c>
      <c r="L233" s="46" t="str">
        <f>IF(VLOOKUP($C233,REV!$C:$AA,10,0)-'TRADE IN'!$F242=0,"",(VLOOKUP($C233,REV!$C:$AA,10,0)-'TRADE IN'!$F233))</f>
        <v/>
      </c>
      <c r="M233" s="46" t="str">
        <f>IF(VLOOKUP($C233,REV!$C:$AA,11,0)-'TRADE IN'!$F242=0,"",(VLOOKUP($C233,REV!$C:$AA,11,0)-'TRADE IN'!$F233))</f>
        <v/>
      </c>
      <c r="N233" s="46" t="str">
        <f>IF(VLOOKUP($C233,REV!$C:$AA,12,0)-'TRADE IN'!$F242=0,"",(VLOOKUP($C233,REV!$C:$AA,12,0)-'TRADE IN'!$F233))</f>
        <v/>
      </c>
      <c r="O233" s="46" t="str">
        <f>IF(VLOOKUP($C233,REV!$C:$AA,13,0)-'TRADE IN'!$F242=0,"",(VLOOKUP($C233,REV!$C:$AA,13,0)-'TRADE IN'!$F233))</f>
        <v/>
      </c>
      <c r="P233" s="46" t="str">
        <f>IF(VLOOKUP($C233,REV!$C:$AA,14,0)-'TRADE IN'!$F242=0,"",(VLOOKUP($C233,REV!$C:$AA,14,0)-'TRADE IN'!$F233))</f>
        <v/>
      </c>
      <c r="Q233" s="46" t="str">
        <f>IF(VLOOKUP($C233,REV!$C:$AA,15,0)-'TRADE IN'!$F242=0,"",(VLOOKUP($C233,REV!$C:$AA,15,0)-'TRADE IN'!$F233))</f>
        <v/>
      </c>
      <c r="R233" s="46" t="str">
        <f>IF(VLOOKUP($C233,REV!$C:$AA,16,0)-'TRADE IN'!$F242=0,"",(VLOOKUP($C233,REV!$C:$AA,16,0)-'TRADE IN'!$F233))</f>
        <v/>
      </c>
      <c r="S233" s="46" t="str">
        <f>IF(VLOOKUP($C233,REV!$C:$AA,17,0)-'TRADE IN'!$F242=0,"",(VLOOKUP($C233,REV!$C:$AA,17,0)-'TRADE IN'!$F233))</f>
        <v/>
      </c>
      <c r="T233" s="46" t="str">
        <f>IF(VLOOKUP($C233,REV!$C:$AA,18,0)-'TRADE IN'!$F242=0,"",(VLOOKUP($C233,REV!$C:$AA,18,0)-'TRADE IN'!$F233))</f>
        <v/>
      </c>
      <c r="U233" s="46" t="str">
        <f>IF(VLOOKUP($C233,REV!$C:$AA,19,0)-'TRADE IN'!$F242=0,"",(VLOOKUP($C233,REV!$C:$AA,19,0)-'TRADE IN'!$F233))</f>
        <v/>
      </c>
      <c r="V233" s="46" t="str">
        <f>IF(VLOOKUP($C233,REV!$C:$AA,20,0)-'TRADE IN'!$F242=0,"",(VLOOKUP($C233,REV!$C:$AA,20,0)-'TRADE IN'!$F233))</f>
        <v/>
      </c>
      <c r="W233" s="46" t="str">
        <f>IF(VLOOKUP($C233,REV!$C:$AA,21,0)-'TRADE IN'!$F242=0,"",(VLOOKUP($C233,REV!$C:$AA,21,0)-'TRADE IN'!$F233))</f>
        <v/>
      </c>
      <c r="X233" s="46" t="str">
        <f>IF(VLOOKUP($C233,REV!$C:$AA,22,0)-'TRADE IN'!$F242=0,"",(VLOOKUP($C233,REV!$C:$AA,22,0)-'TRADE IN'!$F233))</f>
        <v/>
      </c>
      <c r="Y233" s="46" t="str">
        <f>IF(VLOOKUP($C233,REV!$C:$AA,23,0)-'TRADE IN'!$F242=0,"",(VLOOKUP($C233,REV!$C:$AA,23,0)-'TRADE IN'!$F233))</f>
        <v/>
      </c>
      <c r="Z233" s="46" t="str">
        <f>IF(VLOOKUP($C233,REV!$C:$AA,24,0)-'TRADE IN'!$F242=0,"",(VLOOKUP($C233,REV!$C:$AA,24,0)-'TRADE IN'!$F233))</f>
        <v/>
      </c>
      <c r="AA233" s="46" t="str">
        <f>IF(VLOOKUP($C233,REV!$C:$AA,25,0)-'TRADE IN'!$F242=0,"",(VLOOKUP($C233,REV!$C:$AA,25,0)-'TRADE IN'!$F233))</f>
        <v/>
      </c>
      <c r="AB233" s="46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tr">
        <f>IF(REV!AW233=0,"",REV!AW233)</f>
        <v>31.03.2026</v>
      </c>
      <c r="AX233" s="159" t="s">
        <v>66</v>
      </c>
    </row>
    <row r="234" spans="1:50" ht="22.5" customHeight="1">
      <c r="A234" s="50" t="s">
        <v>61</v>
      </c>
      <c r="B234" s="41" t="s">
        <v>62</v>
      </c>
      <c r="C234" s="42">
        <v>4013568</v>
      </c>
      <c r="D234" s="43" t="s">
        <v>336</v>
      </c>
      <c r="E234" s="43" t="s">
        <v>337</v>
      </c>
      <c r="F234" s="45"/>
      <c r="G234" s="45"/>
      <c r="H234" s="45"/>
      <c r="I234" s="45"/>
      <c r="J234" s="46" t="str">
        <f>IF(VLOOKUP($C234,REV!$C:$AA,8,0)-'TRADE IN'!$F234=0,"",(VLOOKUP($C234,REV!$C:$AA,8,0)-'TRADE IN'!$F234))</f>
        <v/>
      </c>
      <c r="K234" s="46" t="str">
        <f>IF(VLOOKUP($C234,REV!$C:$AA,9,0)-'TRADE IN'!$F234=0,"",(VLOOKUP($C234,REV!$C:$AA,9,0)-'TRADE IN'!$F234))</f>
        <v/>
      </c>
      <c r="L234" s="46" t="str">
        <f>IF(VLOOKUP($C234,REV!$C:$AA,10,0)-'TRADE IN'!$F243=0,"",(VLOOKUP($C234,REV!$C:$AA,10,0)-'TRADE IN'!$F234))</f>
        <v/>
      </c>
      <c r="M234" s="46" t="str">
        <f>IF(VLOOKUP($C234,REV!$C:$AA,11,0)-'TRADE IN'!$F243=0,"",(VLOOKUP($C234,REV!$C:$AA,11,0)-'TRADE IN'!$F234))</f>
        <v/>
      </c>
      <c r="N234" s="46" t="str">
        <f>IF(VLOOKUP($C234,REV!$C:$AA,12,0)-'TRADE IN'!$F243=0,"",(VLOOKUP($C234,REV!$C:$AA,12,0)-'TRADE IN'!$F234))</f>
        <v/>
      </c>
      <c r="O234" s="46" t="str">
        <f>IF(VLOOKUP($C234,REV!$C:$AA,13,0)-'TRADE IN'!$F243=0,"",(VLOOKUP($C234,REV!$C:$AA,13,0)-'TRADE IN'!$F234))</f>
        <v/>
      </c>
      <c r="P234" s="46" t="str">
        <f>IF(VLOOKUP($C234,REV!$C:$AA,14,0)-'TRADE IN'!$F243=0,"",(VLOOKUP($C234,REV!$C:$AA,14,0)-'TRADE IN'!$F234))</f>
        <v/>
      </c>
      <c r="Q234" s="46" t="str">
        <f>IF(VLOOKUP($C234,REV!$C:$AA,15,0)-'TRADE IN'!$F243=0,"",(VLOOKUP($C234,REV!$C:$AA,15,0)-'TRADE IN'!$F234))</f>
        <v/>
      </c>
      <c r="R234" s="46" t="str">
        <f>IF(VLOOKUP($C234,REV!$C:$AA,16,0)-'TRADE IN'!$F243=0,"",(VLOOKUP($C234,REV!$C:$AA,16,0)-'TRADE IN'!$F234))</f>
        <v/>
      </c>
      <c r="S234" s="46" t="str">
        <f>IF(VLOOKUP($C234,REV!$C:$AA,17,0)-'TRADE IN'!$F243=0,"",(VLOOKUP($C234,REV!$C:$AA,17,0)-'TRADE IN'!$F234))</f>
        <v/>
      </c>
      <c r="T234" s="46" t="str">
        <f>IF(VLOOKUP($C234,REV!$C:$AA,18,0)-'TRADE IN'!$F243=0,"",(VLOOKUP($C234,REV!$C:$AA,18,0)-'TRADE IN'!$F234))</f>
        <v/>
      </c>
      <c r="U234" s="46" t="str">
        <f>IF(VLOOKUP($C234,REV!$C:$AA,19,0)-'TRADE IN'!$F243=0,"",(VLOOKUP($C234,REV!$C:$AA,19,0)-'TRADE IN'!$F234))</f>
        <v/>
      </c>
      <c r="V234" s="46" t="str">
        <f>IF(VLOOKUP($C234,REV!$C:$AA,20,0)-'TRADE IN'!$F243=0,"",(VLOOKUP($C234,REV!$C:$AA,20,0)-'TRADE IN'!$F234))</f>
        <v/>
      </c>
      <c r="W234" s="46" t="str">
        <f>IF(VLOOKUP($C234,REV!$C:$AA,21,0)-'TRADE IN'!$F243=0,"",(VLOOKUP($C234,REV!$C:$AA,21,0)-'TRADE IN'!$F234))</f>
        <v/>
      </c>
      <c r="X234" s="46" t="str">
        <f>IF(VLOOKUP($C234,REV!$C:$AA,22,0)-'TRADE IN'!$F243=0,"",(VLOOKUP($C234,REV!$C:$AA,22,0)-'TRADE IN'!$F234))</f>
        <v/>
      </c>
      <c r="Y234" s="46" t="str">
        <f>IF(VLOOKUP($C234,REV!$C:$AA,23,0)-'TRADE IN'!$F243=0,"",(VLOOKUP($C234,REV!$C:$AA,23,0)-'TRADE IN'!$F234))</f>
        <v/>
      </c>
      <c r="Z234" s="46" t="str">
        <f>IF(VLOOKUP($C234,REV!$C:$AA,24,0)-'TRADE IN'!$F243=0,"",(VLOOKUP($C234,REV!$C:$AA,24,0)-'TRADE IN'!$F234))</f>
        <v/>
      </c>
      <c r="AA234" s="46" t="str">
        <f>IF(VLOOKUP($C234,REV!$C:$AA,25,0)-'TRADE IN'!$F243=0,"",(VLOOKUP($C234,REV!$C:$AA,25,0)-'TRADE IN'!$F234))</f>
        <v/>
      </c>
      <c r="AB234" s="46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tr">
        <f>IF(REV!AW234=0,"",REV!AW234)</f>
        <v>31.03.2026</v>
      </c>
      <c r="AX234" s="159" t="s">
        <v>66</v>
      </c>
    </row>
    <row r="235" spans="1:50" ht="22.5" customHeight="1">
      <c r="A235" s="50" t="s">
        <v>61</v>
      </c>
      <c r="B235" s="41" t="s">
        <v>62</v>
      </c>
      <c r="C235" s="42">
        <v>4013770</v>
      </c>
      <c r="D235" s="43" t="s">
        <v>338</v>
      </c>
      <c r="E235" s="43" t="s">
        <v>339</v>
      </c>
      <c r="F235" s="45"/>
      <c r="G235" s="45"/>
      <c r="H235" s="45"/>
      <c r="I235" s="45"/>
      <c r="J235" s="46" t="str">
        <f>IF(VLOOKUP($C235,REV!$C:$AA,8,0)-'TRADE IN'!$F235=0,"",(VLOOKUP($C235,REV!$C:$AA,8,0)-'TRADE IN'!$F235))</f>
        <v/>
      </c>
      <c r="K235" s="46" t="str">
        <f>IF(VLOOKUP($C235,REV!$C:$AA,9,0)-'TRADE IN'!$F235=0,"",(VLOOKUP($C235,REV!$C:$AA,9,0)-'TRADE IN'!$F235))</f>
        <v/>
      </c>
      <c r="L235" s="46" t="str">
        <f>IF(VLOOKUP($C235,REV!$C:$AA,10,0)-'TRADE IN'!$F244=0,"",(VLOOKUP($C235,REV!$C:$AA,10,0)-'TRADE IN'!$F235))</f>
        <v/>
      </c>
      <c r="M235" s="46" t="str">
        <f>IF(VLOOKUP($C235,REV!$C:$AA,11,0)-'TRADE IN'!$F244=0,"",(VLOOKUP($C235,REV!$C:$AA,11,0)-'TRADE IN'!$F235))</f>
        <v/>
      </c>
      <c r="N235" s="46" t="str">
        <f>IF(VLOOKUP($C235,REV!$C:$AA,12,0)-'TRADE IN'!$F244=0,"",(VLOOKUP($C235,REV!$C:$AA,12,0)-'TRADE IN'!$F235))</f>
        <v/>
      </c>
      <c r="O235" s="46" t="str">
        <f>IF(VLOOKUP($C235,REV!$C:$AA,13,0)-'TRADE IN'!$F244=0,"",(VLOOKUP($C235,REV!$C:$AA,13,0)-'TRADE IN'!$F235))</f>
        <v/>
      </c>
      <c r="P235" s="46" t="str">
        <f>IF(VLOOKUP($C235,REV!$C:$AA,14,0)-'TRADE IN'!$F244=0,"",(VLOOKUP($C235,REV!$C:$AA,14,0)-'TRADE IN'!$F235))</f>
        <v/>
      </c>
      <c r="Q235" s="46" t="str">
        <f>IF(VLOOKUP($C235,REV!$C:$AA,15,0)-'TRADE IN'!$F244=0,"",(VLOOKUP($C235,REV!$C:$AA,15,0)-'TRADE IN'!$F235))</f>
        <v/>
      </c>
      <c r="R235" s="46" t="str">
        <f>IF(VLOOKUP($C235,REV!$C:$AA,16,0)-'TRADE IN'!$F244=0,"",(VLOOKUP($C235,REV!$C:$AA,16,0)-'TRADE IN'!$F235))</f>
        <v/>
      </c>
      <c r="S235" s="46" t="str">
        <f>IF(VLOOKUP($C235,REV!$C:$AA,17,0)-'TRADE IN'!$F244=0,"",(VLOOKUP($C235,REV!$C:$AA,17,0)-'TRADE IN'!$F235))</f>
        <v/>
      </c>
      <c r="T235" s="46" t="str">
        <f>IF(VLOOKUP($C235,REV!$C:$AA,18,0)-'TRADE IN'!$F244=0,"",(VLOOKUP($C235,REV!$C:$AA,18,0)-'TRADE IN'!$F235))</f>
        <v/>
      </c>
      <c r="U235" s="46" t="str">
        <f>IF(VLOOKUP($C235,REV!$C:$AA,19,0)-'TRADE IN'!$F244=0,"",(VLOOKUP($C235,REV!$C:$AA,19,0)-'TRADE IN'!$F235))</f>
        <v/>
      </c>
      <c r="V235" s="46" t="str">
        <f>IF(VLOOKUP($C235,REV!$C:$AA,20,0)-'TRADE IN'!$F244=0,"",(VLOOKUP($C235,REV!$C:$AA,20,0)-'TRADE IN'!$F235))</f>
        <v/>
      </c>
      <c r="W235" s="46" t="str">
        <f>IF(VLOOKUP($C235,REV!$C:$AA,21,0)-'TRADE IN'!$F244=0,"",(VLOOKUP($C235,REV!$C:$AA,21,0)-'TRADE IN'!$F235))</f>
        <v/>
      </c>
      <c r="X235" s="46" t="str">
        <f>IF(VLOOKUP($C235,REV!$C:$AA,22,0)-'TRADE IN'!$F244=0,"",(VLOOKUP($C235,REV!$C:$AA,22,0)-'TRADE IN'!$F235))</f>
        <v/>
      </c>
      <c r="Y235" s="46" t="str">
        <f>IF(VLOOKUP($C235,REV!$C:$AA,23,0)-'TRADE IN'!$F244=0,"",(VLOOKUP($C235,REV!$C:$AA,23,0)-'TRADE IN'!$F235))</f>
        <v/>
      </c>
      <c r="Z235" s="46" t="str">
        <f>IF(VLOOKUP($C235,REV!$C:$AA,24,0)-'TRADE IN'!$F244=0,"",(VLOOKUP($C235,REV!$C:$AA,24,0)-'TRADE IN'!$F235))</f>
        <v/>
      </c>
      <c r="AA235" s="46" t="str">
        <f>IF(VLOOKUP($C235,REV!$C:$AA,25,0)-'TRADE IN'!$F244=0,"",(VLOOKUP($C235,REV!$C:$AA,25,0)-'TRADE IN'!$F235))</f>
        <v/>
      </c>
      <c r="AB235" s="46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tr">
        <f>IF(REV!AW235=0,"",REV!AW235)</f>
        <v>31.03.2026</v>
      </c>
      <c r="AX235" s="159" t="s">
        <v>66</v>
      </c>
    </row>
    <row r="236" spans="1:50" ht="22.5" customHeight="1">
      <c r="A236" s="50" t="s">
        <v>61</v>
      </c>
      <c r="B236" s="41" t="s">
        <v>62</v>
      </c>
      <c r="C236" s="42">
        <v>4013771</v>
      </c>
      <c r="D236" s="43" t="s">
        <v>338</v>
      </c>
      <c r="E236" s="43" t="s">
        <v>340</v>
      </c>
      <c r="F236" s="45"/>
      <c r="G236" s="45"/>
      <c r="H236" s="45"/>
      <c r="I236" s="45"/>
      <c r="J236" s="46" t="str">
        <f>IF(VLOOKUP($C236,REV!$C:$AA,8,0)-'TRADE IN'!$F236=0,"",(VLOOKUP($C236,REV!$C:$AA,8,0)-'TRADE IN'!$F236))</f>
        <v/>
      </c>
      <c r="K236" s="46" t="str">
        <f>IF(VLOOKUP($C236,REV!$C:$AA,9,0)-'TRADE IN'!$F236=0,"",(VLOOKUP($C236,REV!$C:$AA,9,0)-'TRADE IN'!$F236))</f>
        <v/>
      </c>
      <c r="L236" s="46" t="str">
        <f>IF(VLOOKUP($C236,REV!$C:$AA,10,0)-'TRADE IN'!$F245=0,"",(VLOOKUP($C236,REV!$C:$AA,10,0)-'TRADE IN'!$F236))</f>
        <v/>
      </c>
      <c r="M236" s="46" t="str">
        <f>IF(VLOOKUP($C236,REV!$C:$AA,11,0)-'TRADE IN'!$F245=0,"",(VLOOKUP($C236,REV!$C:$AA,11,0)-'TRADE IN'!$F236))</f>
        <v/>
      </c>
      <c r="N236" s="46" t="str">
        <f>IF(VLOOKUP($C236,REV!$C:$AA,12,0)-'TRADE IN'!$F245=0,"",(VLOOKUP($C236,REV!$C:$AA,12,0)-'TRADE IN'!$F236))</f>
        <v/>
      </c>
      <c r="O236" s="46" t="str">
        <f>IF(VLOOKUP($C236,REV!$C:$AA,13,0)-'TRADE IN'!$F245=0,"",(VLOOKUP($C236,REV!$C:$AA,13,0)-'TRADE IN'!$F236))</f>
        <v/>
      </c>
      <c r="P236" s="46" t="str">
        <f>IF(VLOOKUP($C236,REV!$C:$AA,14,0)-'TRADE IN'!$F245=0,"",(VLOOKUP($C236,REV!$C:$AA,14,0)-'TRADE IN'!$F236))</f>
        <v/>
      </c>
      <c r="Q236" s="46" t="str">
        <f>IF(VLOOKUP($C236,REV!$C:$AA,15,0)-'TRADE IN'!$F245=0,"",(VLOOKUP($C236,REV!$C:$AA,15,0)-'TRADE IN'!$F236))</f>
        <v/>
      </c>
      <c r="R236" s="46" t="str">
        <f>IF(VLOOKUP($C236,REV!$C:$AA,16,0)-'TRADE IN'!$F245=0,"",(VLOOKUP($C236,REV!$C:$AA,16,0)-'TRADE IN'!$F236))</f>
        <v/>
      </c>
      <c r="S236" s="46" t="str">
        <f>IF(VLOOKUP($C236,REV!$C:$AA,17,0)-'TRADE IN'!$F245=0,"",(VLOOKUP($C236,REV!$C:$AA,17,0)-'TRADE IN'!$F236))</f>
        <v/>
      </c>
      <c r="T236" s="46" t="str">
        <f>IF(VLOOKUP($C236,REV!$C:$AA,18,0)-'TRADE IN'!$F245=0,"",(VLOOKUP($C236,REV!$C:$AA,18,0)-'TRADE IN'!$F236))</f>
        <v/>
      </c>
      <c r="U236" s="46" t="str">
        <f>IF(VLOOKUP($C236,REV!$C:$AA,19,0)-'TRADE IN'!$F245=0,"",(VLOOKUP($C236,REV!$C:$AA,19,0)-'TRADE IN'!$F236))</f>
        <v/>
      </c>
      <c r="V236" s="46" t="str">
        <f>IF(VLOOKUP($C236,REV!$C:$AA,20,0)-'TRADE IN'!$F245=0,"",(VLOOKUP($C236,REV!$C:$AA,20,0)-'TRADE IN'!$F236))</f>
        <v/>
      </c>
      <c r="W236" s="46" t="str">
        <f>IF(VLOOKUP($C236,REV!$C:$AA,21,0)-'TRADE IN'!$F245=0,"",(VLOOKUP($C236,REV!$C:$AA,21,0)-'TRADE IN'!$F236))</f>
        <v/>
      </c>
      <c r="X236" s="46" t="str">
        <f>IF(VLOOKUP($C236,REV!$C:$AA,22,0)-'TRADE IN'!$F245=0,"",(VLOOKUP($C236,REV!$C:$AA,22,0)-'TRADE IN'!$F236))</f>
        <v/>
      </c>
      <c r="Y236" s="46" t="str">
        <f>IF(VLOOKUP($C236,REV!$C:$AA,23,0)-'TRADE IN'!$F245=0,"",(VLOOKUP($C236,REV!$C:$AA,23,0)-'TRADE IN'!$F236))</f>
        <v/>
      </c>
      <c r="Z236" s="46" t="str">
        <f>IF(VLOOKUP($C236,REV!$C:$AA,24,0)-'TRADE IN'!$F245=0,"",(VLOOKUP($C236,REV!$C:$AA,24,0)-'TRADE IN'!$F236))</f>
        <v/>
      </c>
      <c r="AA236" s="46" t="str">
        <f>IF(VLOOKUP($C236,REV!$C:$AA,25,0)-'TRADE IN'!$F245=0,"",(VLOOKUP($C236,REV!$C:$AA,25,0)-'TRADE IN'!$F236))</f>
        <v/>
      </c>
      <c r="AB236" s="46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tr">
        <f>IF(REV!AW236=0,"",REV!AW236)</f>
        <v>31.03.2026</v>
      </c>
      <c r="AX236" s="159" t="s">
        <v>66</v>
      </c>
    </row>
    <row r="237" spans="1:50" ht="22.5" customHeight="1">
      <c r="A237" s="50" t="s">
        <v>61</v>
      </c>
      <c r="B237" s="41" t="s">
        <v>62</v>
      </c>
      <c r="C237" s="42">
        <v>4013776</v>
      </c>
      <c r="D237" s="43" t="s">
        <v>341</v>
      </c>
      <c r="E237" s="43" t="s">
        <v>342</v>
      </c>
      <c r="F237" s="45"/>
      <c r="G237" s="45"/>
      <c r="H237" s="45"/>
      <c r="I237" s="45"/>
      <c r="J237" s="46">
        <f>IF(VLOOKUP($C237,REV!$C:$AA,8,0)-'TRADE IN'!$F237=0,"",(VLOOKUP($C237,REV!$C:$AA,8,0)-'TRADE IN'!$F237))</f>
        <v>9</v>
      </c>
      <c r="K237" s="46">
        <f>IF(VLOOKUP($C237,REV!$C:$AA,9,0)-'TRADE IN'!$F237=0,"",(VLOOKUP($C237,REV!$C:$AA,9,0)-'TRADE IN'!$F237))</f>
        <v>9</v>
      </c>
      <c r="L237" s="46">
        <f>IF(VLOOKUP($C237,REV!$C:$AA,10,0)-'TRADE IN'!$F246=0,"",(VLOOKUP($C237,REV!$C:$AA,10,0)-'TRADE IN'!$F237))</f>
        <v>9</v>
      </c>
      <c r="M237" s="46">
        <f>IF(VLOOKUP($C237,REV!$C:$AA,11,0)-'TRADE IN'!$F246=0,"",(VLOOKUP($C237,REV!$C:$AA,11,0)-'TRADE IN'!$F237))</f>
        <v>9</v>
      </c>
      <c r="N237" s="46">
        <f>IF(VLOOKUP($C237,REV!$C:$AA,12,0)-'TRADE IN'!$F246=0,"",(VLOOKUP($C237,REV!$C:$AA,12,0)-'TRADE IN'!$F237))</f>
        <v>9</v>
      </c>
      <c r="O237" s="46">
        <f>IF(VLOOKUP($C237,REV!$C:$AA,13,0)-'TRADE IN'!$F246=0,"",(VLOOKUP($C237,REV!$C:$AA,13,0)-'TRADE IN'!$F237))</f>
        <v>9</v>
      </c>
      <c r="P237" s="46">
        <f>IF(VLOOKUP($C237,REV!$C:$AA,14,0)-'TRADE IN'!$F246=0,"",(VLOOKUP($C237,REV!$C:$AA,14,0)-'TRADE IN'!$F237))</f>
        <v>9</v>
      </c>
      <c r="Q237" s="46">
        <f>IF(VLOOKUP($C237,REV!$C:$AA,15,0)-'TRADE IN'!$F246=0,"",(VLOOKUP($C237,REV!$C:$AA,15,0)-'TRADE IN'!$F237))</f>
        <v>9</v>
      </c>
      <c r="R237" s="46">
        <f>IF(VLOOKUP($C237,REV!$C:$AA,16,0)-'TRADE IN'!$F246=0,"",(VLOOKUP($C237,REV!$C:$AA,16,0)-'TRADE IN'!$F237))</f>
        <v>9</v>
      </c>
      <c r="S237" s="46">
        <f>IF(VLOOKUP($C237,REV!$C:$AA,17,0)-'TRADE IN'!$F246=0,"",(VLOOKUP($C237,REV!$C:$AA,17,0)-'TRADE IN'!$F237))</f>
        <v>9</v>
      </c>
      <c r="T237" s="46">
        <f>IF(VLOOKUP($C237,REV!$C:$AA,18,0)-'TRADE IN'!$F246=0,"",(VLOOKUP($C237,REV!$C:$AA,18,0)-'TRADE IN'!$F237))</f>
        <v>9</v>
      </c>
      <c r="U237" s="46">
        <f>IF(VLOOKUP($C237,REV!$C:$AA,19,0)-'TRADE IN'!$F246=0,"",(VLOOKUP($C237,REV!$C:$AA,19,0)-'TRADE IN'!$F237))</f>
        <v>9</v>
      </c>
      <c r="V237" s="46">
        <f>IF(VLOOKUP($C237,REV!$C:$AA,20,0)-'TRADE IN'!$F246=0,"",(VLOOKUP($C237,REV!$C:$AA,20,0)-'TRADE IN'!$F237))</f>
        <v>9</v>
      </c>
      <c r="W237" s="46">
        <f>IF(VLOOKUP($C237,REV!$C:$AA,21,0)-'TRADE IN'!$F246=0,"",(VLOOKUP($C237,REV!$C:$AA,21,0)-'TRADE IN'!$F237))</f>
        <v>9</v>
      </c>
      <c r="X237" s="46">
        <f>IF(VLOOKUP($C237,REV!$C:$AA,22,0)-'TRADE IN'!$F246=0,"",(VLOOKUP($C237,REV!$C:$AA,22,0)-'TRADE IN'!$F237))</f>
        <v>9</v>
      </c>
      <c r="Y237" s="46">
        <f>IF(VLOOKUP($C237,REV!$C:$AA,23,0)-'TRADE IN'!$F246=0,"",(VLOOKUP($C237,REV!$C:$AA,23,0)-'TRADE IN'!$F237))</f>
        <v>9</v>
      </c>
      <c r="Z237" s="46">
        <f>IF(VLOOKUP($C237,REV!$C:$AA,24,0)-'TRADE IN'!$F246=0,"",(VLOOKUP($C237,REV!$C:$AA,24,0)-'TRADE IN'!$F237))</f>
        <v>9</v>
      </c>
      <c r="AA237" s="46">
        <f>IF(VLOOKUP($C237,REV!$C:$AA,25,0)-'TRADE IN'!$F246=0,"",(VLOOKUP($C237,REV!$C:$AA,25,0)-'TRADE IN'!$F237))</f>
        <v>9</v>
      </c>
      <c r="AB237" s="46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tr">
        <f>IF(REV!AW237=0,"",REV!AW237)</f>
        <v>31.03.2026</v>
      </c>
      <c r="AX237" s="159" t="s">
        <v>66</v>
      </c>
    </row>
    <row r="238" spans="1:50" ht="22.5" customHeight="1">
      <c r="A238" s="50" t="s">
        <v>61</v>
      </c>
      <c r="B238" s="41" t="s">
        <v>62</v>
      </c>
      <c r="C238" s="42">
        <v>4010572</v>
      </c>
      <c r="D238" s="56" t="s">
        <v>343</v>
      </c>
      <c r="E238" s="57" t="s">
        <v>344</v>
      </c>
      <c r="F238" s="45"/>
      <c r="G238" s="45"/>
      <c r="H238" s="46"/>
      <c r="I238" s="46"/>
      <c r="J238" s="46">
        <f>IF(VLOOKUP($C238,REV!$C:$AA,8,0)-'TRADE IN'!$F238=0,"",(VLOOKUP($C238,REV!$C:$AA,8,0)-'TRADE IN'!$F238))</f>
        <v>599</v>
      </c>
      <c r="K238" s="46">
        <f>IF(VLOOKUP($C238,REV!$C:$AA,9,0)-'TRADE IN'!$F238=0,"",(VLOOKUP($C238,REV!$C:$AA,9,0)-'TRADE IN'!$F238))</f>
        <v>599</v>
      </c>
      <c r="L238" s="46">
        <f>IF(VLOOKUP($C238,REV!$C:$AA,10,0)-'TRADE IN'!$F247=0,"",(VLOOKUP($C238,REV!$C:$AA,10,0)-'TRADE IN'!$F238))</f>
        <v>599</v>
      </c>
      <c r="M238" s="46">
        <f>IF(VLOOKUP($C238,REV!$C:$AA,11,0)-'TRADE IN'!$F247=0,"",(VLOOKUP($C238,REV!$C:$AA,11,0)-'TRADE IN'!$F238))</f>
        <v>599</v>
      </c>
      <c r="N238" s="46">
        <f>IF(VLOOKUP($C238,REV!$C:$AA,12,0)-'TRADE IN'!$F247=0,"",(VLOOKUP($C238,REV!$C:$AA,12,0)-'TRADE IN'!$F238))</f>
        <v>599</v>
      </c>
      <c r="O238" s="46" t="str">
        <f>IF(VLOOKUP($C238,REV!$C:$AA,13,0)-'TRADE IN'!$F247=0,"",(VLOOKUP($C238,REV!$C:$AA,13,0)-'TRADE IN'!$F238))</f>
        <v/>
      </c>
      <c r="P238" s="46" t="str">
        <f>IF(VLOOKUP($C238,REV!$C:$AA,14,0)-'TRADE IN'!$F247=0,"",(VLOOKUP($C238,REV!$C:$AA,14,0)-'TRADE IN'!$F238))</f>
        <v/>
      </c>
      <c r="Q238" s="46" t="str">
        <f>IF(VLOOKUP($C238,REV!$C:$AA,15,0)-'TRADE IN'!$F247=0,"",(VLOOKUP($C238,REV!$C:$AA,15,0)-'TRADE IN'!$F238))</f>
        <v/>
      </c>
      <c r="R238" s="46" t="str">
        <f>IF(VLOOKUP($C238,REV!$C:$AA,16,0)-'TRADE IN'!$F247=0,"",(VLOOKUP($C238,REV!$C:$AA,16,0)-'TRADE IN'!$F238))</f>
        <v/>
      </c>
      <c r="S238" s="46" t="str">
        <f>IF(VLOOKUP($C238,REV!$C:$AA,17,0)-'TRADE IN'!$F247=0,"",(VLOOKUP($C238,REV!$C:$AA,17,0)-'TRADE IN'!$F238))</f>
        <v/>
      </c>
      <c r="T238" s="46" t="str">
        <f>IF(VLOOKUP($C238,REV!$C:$AA,18,0)-'TRADE IN'!$F247=0,"",(VLOOKUP($C238,REV!$C:$AA,18,0)-'TRADE IN'!$F238))</f>
        <v/>
      </c>
      <c r="U238" s="46" t="str">
        <f>IF(VLOOKUP($C238,REV!$C:$AA,19,0)-'TRADE IN'!$F247=0,"",(VLOOKUP($C238,REV!$C:$AA,19,0)-'TRADE IN'!$F238))</f>
        <v/>
      </c>
      <c r="V238" s="46" t="str">
        <f>IF(VLOOKUP($C238,REV!$C:$AA,20,0)-'TRADE IN'!$F247=0,"",(VLOOKUP($C238,REV!$C:$AA,20,0)-'TRADE IN'!$F238))</f>
        <v/>
      </c>
      <c r="W238" s="46" t="str">
        <f>IF(VLOOKUP($C238,REV!$C:$AA,21,0)-'TRADE IN'!$F247=0,"",(VLOOKUP($C238,REV!$C:$AA,21,0)-'TRADE IN'!$F238))</f>
        <v/>
      </c>
      <c r="X238" s="46" t="str">
        <f>IF(VLOOKUP($C238,REV!$C:$AA,22,0)-'TRADE IN'!$F247=0,"",(VLOOKUP($C238,REV!$C:$AA,22,0)-'TRADE IN'!$F238))</f>
        <v/>
      </c>
      <c r="Y238" s="46" t="str">
        <f>IF(VLOOKUP($C238,REV!$C:$AA,23,0)-'TRADE IN'!$F247=0,"",(VLOOKUP($C238,REV!$C:$AA,23,0)-'TRADE IN'!$F238))</f>
        <v/>
      </c>
      <c r="Z238" s="46" t="str">
        <f>IF(VLOOKUP($C238,REV!$C:$AA,24,0)-'TRADE IN'!$F247=0,"",(VLOOKUP($C238,REV!$C:$AA,24,0)-'TRADE IN'!$F238))</f>
        <v/>
      </c>
      <c r="AA238" s="46" t="str">
        <f>IF(VLOOKUP($C238,REV!$C:$AA,25,0)-'TRADE IN'!$F247=0,"",(VLOOKUP($C238,REV!$C:$AA,25,0)-'TRADE IN'!$F238))</f>
        <v/>
      </c>
      <c r="AB238" s="46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tr">
        <f>IF(REV!AW238=0,"",REV!AW238)</f>
        <v>31.03.2026</v>
      </c>
      <c r="AX238" s="159" t="s">
        <v>66</v>
      </c>
    </row>
    <row r="239" spans="1:50" ht="22.5" customHeight="1">
      <c r="A239" s="50" t="s">
        <v>61</v>
      </c>
      <c r="B239" s="41" t="s">
        <v>62</v>
      </c>
      <c r="C239" s="42">
        <v>4015390</v>
      </c>
      <c r="D239" s="44" t="s">
        <v>345</v>
      </c>
      <c r="E239" s="44" t="s">
        <v>346</v>
      </c>
      <c r="F239" s="45"/>
      <c r="G239" s="45"/>
      <c r="H239" s="45"/>
      <c r="I239" s="45"/>
      <c r="J239" s="46">
        <f>IF(VLOOKUP($C239,REV!$C:$AA,8,0)-'TRADE IN'!$F239=0,"",(VLOOKUP($C239,REV!$C:$AA,8,0)-'TRADE IN'!$F239))</f>
        <v>449</v>
      </c>
      <c r="K239" s="46">
        <f>IF(VLOOKUP($C239,REV!$C:$AA,9,0)-'TRADE IN'!$F239=0,"",(VLOOKUP($C239,REV!$C:$AA,9,0)-'TRADE IN'!$F239))</f>
        <v>449</v>
      </c>
      <c r="L239" s="46">
        <f>IF(VLOOKUP($C239,REV!$C:$AA,10,0)-'TRADE IN'!$F248=0,"",(VLOOKUP($C239,REV!$C:$AA,10,0)-'TRADE IN'!$F239))</f>
        <v>449</v>
      </c>
      <c r="M239" s="46">
        <f>IF(VLOOKUP($C239,REV!$C:$AA,11,0)-'TRADE IN'!$F248=0,"",(VLOOKUP($C239,REV!$C:$AA,11,0)-'TRADE IN'!$F239))</f>
        <v>449</v>
      </c>
      <c r="N239" s="46">
        <f>IF(VLOOKUP($C239,REV!$C:$AA,12,0)-'TRADE IN'!$F248=0,"",(VLOOKUP($C239,REV!$C:$AA,12,0)-'TRADE IN'!$F239))</f>
        <v>449</v>
      </c>
      <c r="O239" s="46">
        <f>IF(VLOOKUP($C239,REV!$C:$AA,13,0)-'TRADE IN'!$F248=0,"",(VLOOKUP($C239,REV!$C:$AA,13,0)-'TRADE IN'!$F239))</f>
        <v>399</v>
      </c>
      <c r="P239" s="46">
        <f>IF(VLOOKUP($C239,REV!$C:$AA,14,0)-'TRADE IN'!$F248=0,"",(VLOOKUP($C239,REV!$C:$AA,14,0)-'TRADE IN'!$F239))</f>
        <v>349</v>
      </c>
      <c r="Q239" s="46">
        <f>IF(VLOOKUP($C239,REV!$C:$AA,15,0)-'TRADE IN'!$F248=0,"",(VLOOKUP($C239,REV!$C:$AA,15,0)-'TRADE IN'!$F239))</f>
        <v>299</v>
      </c>
      <c r="R239" s="46">
        <f>IF(VLOOKUP($C239,REV!$C:$AA,16,0)-'TRADE IN'!$F248=0,"",(VLOOKUP($C239,REV!$C:$AA,16,0)-'TRADE IN'!$F239))</f>
        <v>399</v>
      </c>
      <c r="S239" s="46">
        <f>IF(VLOOKUP($C239,REV!$C:$AA,17,0)-'TRADE IN'!$F248=0,"",(VLOOKUP($C239,REV!$C:$AA,17,0)-'TRADE IN'!$F239))</f>
        <v>349</v>
      </c>
      <c r="T239" s="46">
        <f>IF(VLOOKUP($C239,REV!$C:$AA,18,0)-'TRADE IN'!$F248=0,"",(VLOOKUP($C239,REV!$C:$AA,18,0)-'TRADE IN'!$F239))</f>
        <v>299</v>
      </c>
      <c r="U239" s="46">
        <f>IF(VLOOKUP($C239,REV!$C:$AA,19,0)-'TRADE IN'!$F248=0,"",(VLOOKUP($C239,REV!$C:$AA,19,0)-'TRADE IN'!$F239))</f>
        <v>299</v>
      </c>
      <c r="V239" s="46">
        <f>IF(VLOOKUP($C239,REV!$C:$AA,20,0)-'TRADE IN'!$F248=0,"",(VLOOKUP($C239,REV!$C:$AA,20,0)-'TRADE IN'!$F239))</f>
        <v>299</v>
      </c>
      <c r="W239" s="46">
        <f>IF(VLOOKUP($C239,REV!$C:$AA,21,0)-'TRADE IN'!$F248=0,"",(VLOOKUP($C239,REV!$C:$AA,21,0)-'TRADE IN'!$F239))</f>
        <v>299</v>
      </c>
      <c r="X239" s="46">
        <f>IF(VLOOKUP($C239,REV!$C:$AA,22,0)-'TRADE IN'!$F248=0,"",(VLOOKUP($C239,REV!$C:$AA,22,0)-'TRADE IN'!$F239))</f>
        <v>299</v>
      </c>
      <c r="Y239" s="46">
        <f>IF(VLOOKUP($C239,REV!$C:$AA,23,0)-'TRADE IN'!$F248=0,"",(VLOOKUP($C239,REV!$C:$AA,23,0)-'TRADE IN'!$F239))</f>
        <v>299</v>
      </c>
      <c r="Z239" s="46">
        <f>IF(VLOOKUP($C239,REV!$C:$AA,24,0)-'TRADE IN'!$F248=0,"",(VLOOKUP($C239,REV!$C:$AA,24,0)-'TRADE IN'!$F239))</f>
        <v>299</v>
      </c>
      <c r="AA239" s="46">
        <f>IF(VLOOKUP($C239,REV!$C:$AA,25,0)-'TRADE IN'!$F248=0,"",(VLOOKUP($C239,REV!$C:$AA,25,0)-'TRADE IN'!$F239))</f>
        <v>299</v>
      </c>
      <c r="AB239" s="46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tr">
        <f>IF(REV!AW239=0,"",REV!AW239)</f>
        <v>31.03.2026</v>
      </c>
      <c r="AX239" s="159" t="s">
        <v>66</v>
      </c>
    </row>
    <row r="240" spans="1:50" ht="22.5" customHeight="1">
      <c r="A240" s="52" t="s">
        <v>70</v>
      </c>
      <c r="B240" s="41" t="s">
        <v>62</v>
      </c>
      <c r="C240" s="42">
        <v>4014438</v>
      </c>
      <c r="D240" s="44" t="s">
        <v>347</v>
      </c>
      <c r="E240" s="44" t="s">
        <v>348</v>
      </c>
      <c r="F240" s="45"/>
      <c r="G240" s="45"/>
      <c r="H240" s="45"/>
      <c r="I240" s="45"/>
      <c r="J240" s="46">
        <f>IF(VLOOKUP($C240,REV!$C:$AA,8,0)-'TRADE IN'!$F240=0,"",(VLOOKUP($C240,REV!$C:$AA,8,0)-'TRADE IN'!$F240))</f>
        <v>899</v>
      </c>
      <c r="K240" s="46">
        <f>IF(VLOOKUP($C240,REV!$C:$AA,9,0)-'TRADE IN'!$F240=0,"",(VLOOKUP($C240,REV!$C:$AA,9,0)-'TRADE IN'!$F240))</f>
        <v>899</v>
      </c>
      <c r="L240" s="46">
        <f>IF(VLOOKUP($C240,REV!$C:$AA,10,0)-'TRADE IN'!$F249=0,"",(VLOOKUP($C240,REV!$C:$AA,10,0)-'TRADE IN'!$F240))</f>
        <v>899</v>
      </c>
      <c r="M240" s="46">
        <f>IF(VLOOKUP($C240,REV!$C:$AA,11,0)-'TRADE IN'!$F249=0,"",(VLOOKUP($C240,REV!$C:$AA,11,0)-'TRADE IN'!$F240))</f>
        <v>899</v>
      </c>
      <c r="N240" s="46">
        <f>IF(VLOOKUP($C240,REV!$C:$AA,12,0)-'TRADE IN'!$F249=0,"",(VLOOKUP($C240,REV!$C:$AA,12,0)-'TRADE IN'!$F240))</f>
        <v>899</v>
      </c>
      <c r="O240" s="46">
        <f>IF(VLOOKUP($C240,REV!$C:$AA,13,0)-'TRADE IN'!$F249=0,"",(VLOOKUP($C240,REV!$C:$AA,13,0)-'TRADE IN'!$F240))</f>
        <v>799</v>
      </c>
      <c r="P240" s="46">
        <f>IF(VLOOKUP($C240,REV!$C:$AA,14,0)-'TRADE IN'!$F249=0,"",(VLOOKUP($C240,REV!$C:$AA,14,0)-'TRADE IN'!$F240))</f>
        <v>699</v>
      </c>
      <c r="Q240" s="46">
        <f>IF(VLOOKUP($C240,REV!$C:$AA,15,0)-'TRADE IN'!$F249=0,"",(VLOOKUP($C240,REV!$C:$AA,15,0)-'TRADE IN'!$F240))</f>
        <v>599</v>
      </c>
      <c r="R240" s="46">
        <f>IF(VLOOKUP($C240,REV!$C:$AA,16,0)-'TRADE IN'!$F249=0,"",(VLOOKUP($C240,REV!$C:$AA,16,0)-'TRADE IN'!$F240))</f>
        <v>799</v>
      </c>
      <c r="S240" s="46">
        <f>IF(VLOOKUP($C240,REV!$C:$AA,17,0)-'TRADE IN'!$F249=0,"",(VLOOKUP($C240,REV!$C:$AA,17,0)-'TRADE IN'!$F240))</f>
        <v>699</v>
      </c>
      <c r="T240" s="46">
        <f>IF(VLOOKUP($C240,REV!$C:$AA,18,0)-'TRADE IN'!$F249=0,"",(VLOOKUP($C240,REV!$C:$AA,18,0)-'TRADE IN'!$F240))</f>
        <v>599</v>
      </c>
      <c r="U240" s="46">
        <f>IF(VLOOKUP($C240,REV!$C:$AA,19,0)-'TRADE IN'!$F249=0,"",(VLOOKUP($C240,REV!$C:$AA,19,0)-'TRADE IN'!$F240))</f>
        <v>599</v>
      </c>
      <c r="V240" s="46">
        <f>IF(VLOOKUP($C240,REV!$C:$AA,20,0)-'TRADE IN'!$F249=0,"",(VLOOKUP($C240,REV!$C:$AA,20,0)-'TRADE IN'!$F240))</f>
        <v>599</v>
      </c>
      <c r="W240" s="46">
        <f>IF(VLOOKUP($C240,REV!$C:$AA,21,0)-'TRADE IN'!$F249=0,"",(VLOOKUP($C240,REV!$C:$AA,21,0)-'TRADE IN'!$F240))</f>
        <v>599</v>
      </c>
      <c r="X240" s="46">
        <f>IF(VLOOKUP($C240,REV!$C:$AA,22,0)-'TRADE IN'!$F249=0,"",(VLOOKUP($C240,REV!$C:$AA,22,0)-'TRADE IN'!$F240))</f>
        <v>499</v>
      </c>
      <c r="Y240" s="46">
        <f>IF(VLOOKUP($C240,REV!$C:$AA,23,0)-'TRADE IN'!$F249=0,"",(VLOOKUP($C240,REV!$C:$AA,23,0)-'TRADE IN'!$F240))</f>
        <v>449</v>
      </c>
      <c r="Z240" s="46">
        <f>IF(VLOOKUP($C240,REV!$C:$AA,24,0)-'TRADE IN'!$F249=0,"",(VLOOKUP($C240,REV!$C:$AA,24,0)-'TRADE IN'!$F240))</f>
        <v>449</v>
      </c>
      <c r="AA240" s="46">
        <f>IF(VLOOKUP($C240,REV!$C:$AA,25,0)-'TRADE IN'!$F249=0,"",(VLOOKUP($C240,REV!$C:$AA,25,0)-'TRADE IN'!$F240))</f>
        <v>449</v>
      </c>
      <c r="AB240" s="46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tr">
        <f>IF(REV!AW240=0,"",REV!AW240)</f>
        <v>31.03.2026</v>
      </c>
      <c r="AX240" s="159" t="s">
        <v>82</v>
      </c>
    </row>
    <row r="241" spans="1:50" ht="22.5" customHeight="1">
      <c r="A241" s="52" t="s">
        <v>70</v>
      </c>
      <c r="B241" s="41" t="s">
        <v>62</v>
      </c>
      <c r="C241" s="42">
        <v>4014911</v>
      </c>
      <c r="D241" s="44" t="s">
        <v>349</v>
      </c>
      <c r="E241" s="44" t="s">
        <v>350</v>
      </c>
      <c r="F241" s="45"/>
      <c r="G241" s="45"/>
      <c r="H241" s="45"/>
      <c r="I241" s="45"/>
      <c r="J241" s="46">
        <f>IF(VLOOKUP($C241,REV!$C:$AA,8,0)-'TRADE IN'!$F241=0,"",(VLOOKUP($C241,REV!$C:$AA,8,0)-'TRADE IN'!$F241))</f>
        <v>899</v>
      </c>
      <c r="K241" s="46">
        <f>IF(VLOOKUP($C241,REV!$C:$AA,9,0)-'TRADE IN'!$F241=0,"",(VLOOKUP($C241,REV!$C:$AA,9,0)-'TRADE IN'!$F241))</f>
        <v>899</v>
      </c>
      <c r="L241" s="46">
        <f>IF(VLOOKUP($C241,REV!$C:$AA,10,0)-'TRADE IN'!$F250=0,"",(VLOOKUP($C241,REV!$C:$AA,10,0)-'TRADE IN'!$F241))</f>
        <v>899</v>
      </c>
      <c r="M241" s="46">
        <f>IF(VLOOKUP($C241,REV!$C:$AA,11,0)-'TRADE IN'!$F250=0,"",(VLOOKUP($C241,REV!$C:$AA,11,0)-'TRADE IN'!$F241))</f>
        <v>899</v>
      </c>
      <c r="N241" s="46">
        <f>IF(VLOOKUP($C241,REV!$C:$AA,12,0)-'TRADE IN'!$F250=0,"",(VLOOKUP($C241,REV!$C:$AA,12,0)-'TRADE IN'!$F241))</f>
        <v>899</v>
      </c>
      <c r="O241" s="46">
        <f>IF(VLOOKUP($C241,REV!$C:$AA,13,0)-'TRADE IN'!$F250=0,"",(VLOOKUP($C241,REV!$C:$AA,13,0)-'TRADE IN'!$F241))</f>
        <v>799</v>
      </c>
      <c r="P241" s="46">
        <f>IF(VLOOKUP($C241,REV!$C:$AA,14,0)-'TRADE IN'!$F250=0,"",(VLOOKUP($C241,REV!$C:$AA,14,0)-'TRADE IN'!$F241))</f>
        <v>699</v>
      </c>
      <c r="Q241" s="46">
        <f>IF(VLOOKUP($C241,REV!$C:$AA,15,0)-'TRADE IN'!$F250=0,"",(VLOOKUP($C241,REV!$C:$AA,15,0)-'TRADE IN'!$F241))</f>
        <v>599</v>
      </c>
      <c r="R241" s="46">
        <f>IF(VLOOKUP($C241,REV!$C:$AA,16,0)-'TRADE IN'!$F250=0,"",(VLOOKUP($C241,REV!$C:$AA,16,0)-'TRADE IN'!$F241))</f>
        <v>799</v>
      </c>
      <c r="S241" s="46">
        <f>IF(VLOOKUP($C241,REV!$C:$AA,17,0)-'TRADE IN'!$F250=0,"",(VLOOKUP($C241,REV!$C:$AA,17,0)-'TRADE IN'!$F241))</f>
        <v>699</v>
      </c>
      <c r="T241" s="46">
        <f>IF(VLOOKUP($C241,REV!$C:$AA,18,0)-'TRADE IN'!$F250=0,"",(VLOOKUP($C241,REV!$C:$AA,18,0)-'TRADE IN'!$F241))</f>
        <v>599</v>
      </c>
      <c r="U241" s="46">
        <f>IF(VLOOKUP($C241,REV!$C:$AA,19,0)-'TRADE IN'!$F250=0,"",(VLOOKUP($C241,REV!$C:$AA,19,0)-'TRADE IN'!$F241))</f>
        <v>599</v>
      </c>
      <c r="V241" s="46">
        <f>IF(VLOOKUP($C241,REV!$C:$AA,20,0)-'TRADE IN'!$F250=0,"",(VLOOKUP($C241,REV!$C:$AA,20,0)-'TRADE IN'!$F241))</f>
        <v>599</v>
      </c>
      <c r="W241" s="46">
        <f>IF(VLOOKUP($C241,REV!$C:$AA,21,0)-'TRADE IN'!$F250=0,"",(VLOOKUP($C241,REV!$C:$AA,21,0)-'TRADE IN'!$F241))</f>
        <v>599</v>
      </c>
      <c r="X241" s="46">
        <f>IF(VLOOKUP($C241,REV!$C:$AA,22,0)-'TRADE IN'!$F250=0,"",(VLOOKUP($C241,REV!$C:$AA,22,0)-'TRADE IN'!$F241))</f>
        <v>499</v>
      </c>
      <c r="Y241" s="46">
        <f>IF(VLOOKUP($C241,REV!$C:$AA,23,0)-'TRADE IN'!$F250=0,"",(VLOOKUP($C241,REV!$C:$AA,23,0)-'TRADE IN'!$F241))</f>
        <v>449</v>
      </c>
      <c r="Z241" s="46">
        <f>IF(VLOOKUP($C241,REV!$C:$AA,24,0)-'TRADE IN'!$F250=0,"",(VLOOKUP($C241,REV!$C:$AA,24,0)-'TRADE IN'!$F241))</f>
        <v>449</v>
      </c>
      <c r="AA241" s="46">
        <f>IF(VLOOKUP($C241,REV!$C:$AA,25,0)-'TRADE IN'!$F250=0,"",(VLOOKUP($C241,REV!$C:$AA,25,0)-'TRADE IN'!$F241))</f>
        <v>449</v>
      </c>
      <c r="AB241" s="46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tr">
        <f>IF(REV!AW241=0,"",REV!AW241)</f>
        <v>31.03.2026</v>
      </c>
      <c r="AX241" s="159" t="s">
        <v>82</v>
      </c>
    </row>
    <row r="242" spans="1:50" ht="22.5" customHeight="1">
      <c r="A242" s="52" t="s">
        <v>70</v>
      </c>
      <c r="B242" s="41" t="s">
        <v>62</v>
      </c>
      <c r="C242" s="42">
        <v>4014914</v>
      </c>
      <c r="D242" s="44" t="s">
        <v>349</v>
      </c>
      <c r="E242" s="44" t="s">
        <v>351</v>
      </c>
      <c r="F242" s="45"/>
      <c r="G242" s="45"/>
      <c r="H242" s="45"/>
      <c r="I242" s="45"/>
      <c r="J242" s="46">
        <f>IF(VLOOKUP($C242,REV!$C:$AA,8,0)-'TRADE IN'!$F242=0,"",(VLOOKUP($C242,REV!$C:$AA,8,0)-'TRADE IN'!$F242))</f>
        <v>899</v>
      </c>
      <c r="K242" s="46">
        <f>IF(VLOOKUP($C242,REV!$C:$AA,9,0)-'TRADE IN'!$F242=0,"",(VLOOKUP($C242,REV!$C:$AA,9,0)-'TRADE IN'!$F242))</f>
        <v>899</v>
      </c>
      <c r="L242" s="46">
        <f>IF(VLOOKUP($C242,REV!$C:$AA,10,0)-'TRADE IN'!$F251=0,"",(VLOOKUP($C242,REV!$C:$AA,10,0)-'TRADE IN'!$F242))</f>
        <v>899</v>
      </c>
      <c r="M242" s="46">
        <f>IF(VLOOKUP($C242,REV!$C:$AA,11,0)-'TRADE IN'!$F251=0,"",(VLOOKUP($C242,REV!$C:$AA,11,0)-'TRADE IN'!$F242))</f>
        <v>899</v>
      </c>
      <c r="N242" s="46">
        <f>IF(VLOOKUP($C242,REV!$C:$AA,12,0)-'TRADE IN'!$F251=0,"",(VLOOKUP($C242,REV!$C:$AA,12,0)-'TRADE IN'!$F242))</f>
        <v>899</v>
      </c>
      <c r="O242" s="46">
        <f>IF(VLOOKUP($C242,REV!$C:$AA,13,0)-'TRADE IN'!$F251=0,"",(VLOOKUP($C242,REV!$C:$AA,13,0)-'TRADE IN'!$F242))</f>
        <v>799</v>
      </c>
      <c r="P242" s="46">
        <f>IF(VLOOKUP($C242,REV!$C:$AA,14,0)-'TRADE IN'!$F251=0,"",(VLOOKUP($C242,REV!$C:$AA,14,0)-'TRADE IN'!$F242))</f>
        <v>699</v>
      </c>
      <c r="Q242" s="46">
        <f>IF(VLOOKUP($C242,REV!$C:$AA,15,0)-'TRADE IN'!$F251=0,"",(VLOOKUP($C242,REV!$C:$AA,15,0)-'TRADE IN'!$F242))</f>
        <v>599</v>
      </c>
      <c r="R242" s="46">
        <f>IF(VLOOKUP($C242,REV!$C:$AA,16,0)-'TRADE IN'!$F251=0,"",(VLOOKUP($C242,REV!$C:$AA,16,0)-'TRADE IN'!$F242))</f>
        <v>799</v>
      </c>
      <c r="S242" s="46">
        <f>IF(VLOOKUP($C242,REV!$C:$AA,17,0)-'TRADE IN'!$F251=0,"",(VLOOKUP($C242,REV!$C:$AA,17,0)-'TRADE IN'!$F242))</f>
        <v>699</v>
      </c>
      <c r="T242" s="46">
        <f>IF(VLOOKUP($C242,REV!$C:$AA,18,0)-'TRADE IN'!$F251=0,"",(VLOOKUP($C242,REV!$C:$AA,18,0)-'TRADE IN'!$F242))</f>
        <v>599</v>
      </c>
      <c r="U242" s="46">
        <f>IF(VLOOKUP($C242,REV!$C:$AA,19,0)-'TRADE IN'!$F251=0,"",(VLOOKUP($C242,REV!$C:$AA,19,0)-'TRADE IN'!$F242))</f>
        <v>599</v>
      </c>
      <c r="V242" s="46">
        <f>IF(VLOOKUP($C242,REV!$C:$AA,20,0)-'TRADE IN'!$F251=0,"",(VLOOKUP($C242,REV!$C:$AA,20,0)-'TRADE IN'!$F242))</f>
        <v>599</v>
      </c>
      <c r="W242" s="46">
        <f>IF(VLOOKUP($C242,REV!$C:$AA,21,0)-'TRADE IN'!$F251=0,"",(VLOOKUP($C242,REV!$C:$AA,21,0)-'TRADE IN'!$F242))</f>
        <v>599</v>
      </c>
      <c r="X242" s="46">
        <f>IF(VLOOKUP($C242,REV!$C:$AA,22,0)-'TRADE IN'!$F251=0,"",(VLOOKUP($C242,REV!$C:$AA,22,0)-'TRADE IN'!$F242))</f>
        <v>499</v>
      </c>
      <c r="Y242" s="46">
        <f>IF(VLOOKUP($C242,REV!$C:$AA,23,0)-'TRADE IN'!$F251=0,"",(VLOOKUP($C242,REV!$C:$AA,23,0)-'TRADE IN'!$F242))</f>
        <v>449</v>
      </c>
      <c r="Z242" s="46">
        <f>IF(VLOOKUP($C242,REV!$C:$AA,24,0)-'TRADE IN'!$F251=0,"",(VLOOKUP($C242,REV!$C:$AA,24,0)-'TRADE IN'!$F242))</f>
        <v>449</v>
      </c>
      <c r="AA242" s="46">
        <f>IF(VLOOKUP($C242,REV!$C:$AA,25,0)-'TRADE IN'!$F251=0,"",(VLOOKUP($C242,REV!$C:$AA,25,0)-'TRADE IN'!$F242))</f>
        <v>449</v>
      </c>
      <c r="AB242" s="46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tr">
        <f>IF(REV!AW242=0,"",REV!AW242)</f>
        <v>31.03.2026</v>
      </c>
      <c r="AX242" s="159" t="s">
        <v>82</v>
      </c>
    </row>
    <row r="243" spans="1:50" ht="22.5" customHeight="1">
      <c r="A243" s="52" t="s">
        <v>70</v>
      </c>
      <c r="B243" s="41" t="s">
        <v>62</v>
      </c>
      <c r="C243" s="42">
        <v>4015070</v>
      </c>
      <c r="D243" s="44" t="s">
        <v>352</v>
      </c>
      <c r="E243" s="44" t="s">
        <v>353</v>
      </c>
      <c r="F243" s="45"/>
      <c r="G243" s="45"/>
      <c r="H243" s="45"/>
      <c r="I243" s="45"/>
      <c r="J243" s="46">
        <f>IF(VLOOKUP($C243,REV!$C:$AA,8,0)-'TRADE IN'!$F243=0,"",(VLOOKUP($C243,REV!$C:$AA,8,0)-'TRADE IN'!$F243))</f>
        <v>899</v>
      </c>
      <c r="K243" s="46">
        <f>IF(VLOOKUP($C243,REV!$C:$AA,9,0)-'TRADE IN'!$F243=0,"",(VLOOKUP($C243,REV!$C:$AA,9,0)-'TRADE IN'!$F243))</f>
        <v>799</v>
      </c>
      <c r="L243" s="46">
        <f>IF(VLOOKUP($C243,REV!$C:$AA,10,0)-'TRADE IN'!$F252=0,"",(VLOOKUP($C243,REV!$C:$AA,10,0)-'TRADE IN'!$F243))</f>
        <v>799</v>
      </c>
      <c r="M243" s="46">
        <f>IF(VLOOKUP($C243,REV!$C:$AA,11,0)-'TRADE IN'!$F252=0,"",(VLOOKUP($C243,REV!$C:$AA,11,0)-'TRADE IN'!$F243))</f>
        <v>899</v>
      </c>
      <c r="N243" s="46">
        <f>IF(VLOOKUP($C243,REV!$C:$AA,12,0)-'TRADE IN'!$F252=0,"",(VLOOKUP($C243,REV!$C:$AA,12,0)-'TRADE IN'!$F243))</f>
        <v>899</v>
      </c>
      <c r="O243" s="46">
        <f>IF(VLOOKUP($C243,REV!$C:$AA,13,0)-'TRADE IN'!$F252=0,"",(VLOOKUP($C243,REV!$C:$AA,13,0)-'TRADE IN'!$F243))</f>
        <v>749</v>
      </c>
      <c r="P243" s="46">
        <f>IF(VLOOKUP($C243,REV!$C:$AA,14,0)-'TRADE IN'!$F252=0,"",(VLOOKUP($C243,REV!$C:$AA,14,0)-'TRADE IN'!$F243))</f>
        <v>749</v>
      </c>
      <c r="Q243" s="46">
        <f>IF(VLOOKUP($C243,REV!$C:$AA,15,0)-'TRADE IN'!$F252=0,"",(VLOOKUP($C243,REV!$C:$AA,15,0)-'TRADE IN'!$F243))</f>
        <v>749</v>
      </c>
      <c r="R243" s="46">
        <f>IF(VLOOKUP($C243,REV!$C:$AA,16,0)-'TRADE IN'!$F252=0,"",(VLOOKUP($C243,REV!$C:$AA,16,0)-'TRADE IN'!$F243))</f>
        <v>749</v>
      </c>
      <c r="S243" s="46">
        <f>IF(VLOOKUP($C243,REV!$C:$AA,17,0)-'TRADE IN'!$F252=0,"",(VLOOKUP($C243,REV!$C:$AA,17,0)-'TRADE IN'!$F243))</f>
        <v>749</v>
      </c>
      <c r="T243" s="46">
        <f>IF(VLOOKUP($C243,REV!$C:$AA,18,0)-'TRADE IN'!$F252=0,"",(VLOOKUP($C243,REV!$C:$AA,18,0)-'TRADE IN'!$F243))</f>
        <v>749</v>
      </c>
      <c r="U243" s="46">
        <f>IF(VLOOKUP($C243,REV!$C:$AA,19,0)-'TRADE IN'!$F252=0,"",(VLOOKUP($C243,REV!$C:$AA,19,0)-'TRADE IN'!$F243))</f>
        <v>749</v>
      </c>
      <c r="V243" s="46">
        <f>IF(VLOOKUP($C243,REV!$C:$AA,20,0)-'TRADE IN'!$F252=0,"",(VLOOKUP($C243,REV!$C:$AA,20,0)-'TRADE IN'!$F243))</f>
        <v>749</v>
      </c>
      <c r="W243" s="46">
        <f>IF(VLOOKUP($C243,REV!$C:$AA,21,0)-'TRADE IN'!$F252=0,"",(VLOOKUP($C243,REV!$C:$AA,21,0)-'TRADE IN'!$F243))</f>
        <v>749</v>
      </c>
      <c r="X243" s="46">
        <f>IF(VLOOKUP($C243,REV!$C:$AA,22,0)-'TRADE IN'!$F252=0,"",(VLOOKUP($C243,REV!$C:$AA,22,0)-'TRADE IN'!$F243))</f>
        <v>749</v>
      </c>
      <c r="Y243" s="46">
        <f>IF(VLOOKUP($C243,REV!$C:$AA,23,0)-'TRADE IN'!$F252=0,"",(VLOOKUP($C243,REV!$C:$AA,23,0)-'TRADE IN'!$F243))</f>
        <v>749</v>
      </c>
      <c r="Z243" s="46">
        <f>IF(VLOOKUP($C243,REV!$C:$AA,24,0)-'TRADE IN'!$F252=0,"",(VLOOKUP($C243,REV!$C:$AA,24,0)-'TRADE IN'!$F243))</f>
        <v>749</v>
      </c>
      <c r="AA243" s="46">
        <f>IF(VLOOKUP($C243,REV!$C:$AA,25,0)-'TRADE IN'!$F252=0,"",(VLOOKUP($C243,REV!$C:$AA,25,0)-'TRADE IN'!$F243))</f>
        <v>749</v>
      </c>
      <c r="AB243" s="46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tr">
        <f>IF(REV!AW243=0,"",REV!AW243)</f>
        <v>31.03.2026</v>
      </c>
      <c r="AX243" s="159" t="s">
        <v>82</v>
      </c>
    </row>
    <row r="244" spans="1:50" ht="22.5" customHeight="1">
      <c r="A244" s="52" t="s">
        <v>70</v>
      </c>
      <c r="B244" s="41" t="s">
        <v>62</v>
      </c>
      <c r="C244" s="42">
        <v>4015071</v>
      </c>
      <c r="D244" s="44" t="s">
        <v>352</v>
      </c>
      <c r="E244" s="44" t="s">
        <v>354</v>
      </c>
      <c r="F244" s="45"/>
      <c r="G244" s="45"/>
      <c r="H244" s="45"/>
      <c r="I244" s="45"/>
      <c r="J244" s="46">
        <f>IF(VLOOKUP($C244,REV!$C:$AA,8,0)-'TRADE IN'!$F244=0,"",(VLOOKUP($C244,REV!$C:$AA,8,0)-'TRADE IN'!$F244))</f>
        <v>899</v>
      </c>
      <c r="K244" s="46">
        <f>IF(VLOOKUP($C244,REV!$C:$AA,9,0)-'TRADE IN'!$F244=0,"",(VLOOKUP($C244,REV!$C:$AA,9,0)-'TRADE IN'!$F244))</f>
        <v>799</v>
      </c>
      <c r="L244" s="46">
        <f>IF(VLOOKUP($C244,REV!$C:$AA,10,0)-'TRADE IN'!$F253=0,"",(VLOOKUP($C244,REV!$C:$AA,10,0)-'TRADE IN'!$F244))</f>
        <v>799</v>
      </c>
      <c r="M244" s="46">
        <f>IF(VLOOKUP($C244,REV!$C:$AA,11,0)-'TRADE IN'!$F253=0,"",(VLOOKUP($C244,REV!$C:$AA,11,0)-'TRADE IN'!$F244))</f>
        <v>899</v>
      </c>
      <c r="N244" s="46">
        <f>IF(VLOOKUP($C244,REV!$C:$AA,12,0)-'TRADE IN'!$F253=0,"",(VLOOKUP($C244,REV!$C:$AA,12,0)-'TRADE IN'!$F244))</f>
        <v>899</v>
      </c>
      <c r="O244" s="46">
        <f>IF(VLOOKUP($C244,REV!$C:$AA,13,0)-'TRADE IN'!$F253=0,"",(VLOOKUP($C244,REV!$C:$AA,13,0)-'TRADE IN'!$F244))</f>
        <v>749</v>
      </c>
      <c r="P244" s="46">
        <f>IF(VLOOKUP($C244,REV!$C:$AA,14,0)-'TRADE IN'!$F253=0,"",(VLOOKUP($C244,REV!$C:$AA,14,0)-'TRADE IN'!$F244))</f>
        <v>749</v>
      </c>
      <c r="Q244" s="46">
        <f>IF(VLOOKUP($C244,REV!$C:$AA,15,0)-'TRADE IN'!$F253=0,"",(VLOOKUP($C244,REV!$C:$AA,15,0)-'TRADE IN'!$F244))</f>
        <v>749</v>
      </c>
      <c r="R244" s="46">
        <f>IF(VLOOKUP($C244,REV!$C:$AA,16,0)-'TRADE IN'!$F253=0,"",(VLOOKUP($C244,REV!$C:$AA,16,0)-'TRADE IN'!$F244))</f>
        <v>749</v>
      </c>
      <c r="S244" s="46">
        <f>IF(VLOOKUP($C244,REV!$C:$AA,17,0)-'TRADE IN'!$F253=0,"",(VLOOKUP($C244,REV!$C:$AA,17,0)-'TRADE IN'!$F244))</f>
        <v>749</v>
      </c>
      <c r="T244" s="46">
        <f>IF(VLOOKUP($C244,REV!$C:$AA,18,0)-'TRADE IN'!$F253=0,"",(VLOOKUP($C244,REV!$C:$AA,18,0)-'TRADE IN'!$F244))</f>
        <v>749</v>
      </c>
      <c r="U244" s="46">
        <f>IF(VLOOKUP($C244,REV!$C:$AA,19,0)-'TRADE IN'!$F253=0,"",(VLOOKUP($C244,REV!$C:$AA,19,0)-'TRADE IN'!$F244))</f>
        <v>749</v>
      </c>
      <c r="V244" s="46">
        <f>IF(VLOOKUP($C244,REV!$C:$AA,20,0)-'TRADE IN'!$F253=0,"",(VLOOKUP($C244,REV!$C:$AA,20,0)-'TRADE IN'!$F244))</f>
        <v>749</v>
      </c>
      <c r="W244" s="46">
        <f>IF(VLOOKUP($C244,REV!$C:$AA,21,0)-'TRADE IN'!$F253=0,"",(VLOOKUP($C244,REV!$C:$AA,21,0)-'TRADE IN'!$F244))</f>
        <v>749</v>
      </c>
      <c r="X244" s="46">
        <f>IF(VLOOKUP($C244,REV!$C:$AA,22,0)-'TRADE IN'!$F253=0,"",(VLOOKUP($C244,REV!$C:$AA,22,0)-'TRADE IN'!$F244))</f>
        <v>749</v>
      </c>
      <c r="Y244" s="46">
        <f>IF(VLOOKUP($C244,REV!$C:$AA,23,0)-'TRADE IN'!$F253=0,"",(VLOOKUP($C244,REV!$C:$AA,23,0)-'TRADE IN'!$F244))</f>
        <v>749</v>
      </c>
      <c r="Z244" s="46">
        <f>IF(VLOOKUP($C244,REV!$C:$AA,24,0)-'TRADE IN'!$F253=0,"",(VLOOKUP($C244,REV!$C:$AA,24,0)-'TRADE IN'!$F244))</f>
        <v>749</v>
      </c>
      <c r="AA244" s="46">
        <f>IF(VLOOKUP($C244,REV!$C:$AA,25,0)-'TRADE IN'!$F253=0,"",(VLOOKUP($C244,REV!$C:$AA,25,0)-'TRADE IN'!$F244))</f>
        <v>749</v>
      </c>
      <c r="AB244" s="46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tr">
        <f>IF(REV!AW244=0,"",REV!AW244)</f>
        <v>31.03.2026</v>
      </c>
      <c r="AX244" s="159" t="s">
        <v>82</v>
      </c>
    </row>
    <row r="245" spans="1:50" ht="22.5" customHeight="1">
      <c r="A245" s="52" t="s">
        <v>70</v>
      </c>
      <c r="B245" s="41" t="s">
        <v>62</v>
      </c>
      <c r="C245" s="42">
        <v>4014800</v>
      </c>
      <c r="D245" s="44" t="s">
        <v>355</v>
      </c>
      <c r="E245" s="44" t="s">
        <v>356</v>
      </c>
      <c r="F245" s="45"/>
      <c r="G245" s="45"/>
      <c r="H245" s="45"/>
      <c r="I245" s="45"/>
      <c r="J245" s="46">
        <f>IF(VLOOKUP($C245,REV!$C:$AA,8,0)-'TRADE IN'!$F245=0,"",(VLOOKUP($C245,REV!$C:$AA,8,0)-'TRADE IN'!$F245))</f>
        <v>2299</v>
      </c>
      <c r="K245" s="46">
        <f>IF(VLOOKUP($C245,REV!$C:$AA,9,0)-'TRADE IN'!$F245=0,"",(VLOOKUP($C245,REV!$C:$AA,9,0)-'TRADE IN'!$F245))</f>
        <v>2299</v>
      </c>
      <c r="L245" s="46">
        <f>IF(VLOOKUP($C245,REV!$C:$AA,10,0)-'TRADE IN'!$F254=0,"",(VLOOKUP($C245,REV!$C:$AA,10,0)-'TRADE IN'!$F245))</f>
        <v>2299</v>
      </c>
      <c r="M245" s="46">
        <f>IF(VLOOKUP($C245,REV!$C:$AA,11,0)-'TRADE IN'!$F254=0,"",(VLOOKUP($C245,REV!$C:$AA,11,0)-'TRADE IN'!$F245))</f>
        <v>2299</v>
      </c>
      <c r="N245" s="46">
        <f>IF(VLOOKUP($C245,REV!$C:$AA,12,0)-'TRADE IN'!$F254=0,"",(VLOOKUP($C245,REV!$C:$AA,12,0)-'TRADE IN'!$F245))</f>
        <v>2299</v>
      </c>
      <c r="O245" s="46">
        <f>IF(VLOOKUP($C245,REV!$C:$AA,13,0)-'TRADE IN'!$F254=0,"",(VLOOKUP($C245,REV!$C:$AA,13,0)-'TRADE IN'!$F245))</f>
        <v>1899</v>
      </c>
      <c r="P245" s="46">
        <f>IF(VLOOKUP($C245,REV!$C:$AA,14,0)-'TRADE IN'!$F254=0,"",(VLOOKUP($C245,REV!$C:$AA,14,0)-'TRADE IN'!$F245))</f>
        <v>1799</v>
      </c>
      <c r="Q245" s="46">
        <f>IF(VLOOKUP($C245,REV!$C:$AA,15,0)-'TRADE IN'!$F254=0,"",(VLOOKUP($C245,REV!$C:$AA,15,0)-'TRADE IN'!$F245))</f>
        <v>1499</v>
      </c>
      <c r="R245" s="46">
        <f>IF(VLOOKUP($C245,REV!$C:$AA,16,0)-'TRADE IN'!$F254=0,"",(VLOOKUP($C245,REV!$C:$AA,16,0)-'TRADE IN'!$F245))</f>
        <v>1899</v>
      </c>
      <c r="S245" s="46">
        <f>IF(VLOOKUP($C245,REV!$C:$AA,17,0)-'TRADE IN'!$F254=0,"",(VLOOKUP($C245,REV!$C:$AA,17,0)-'TRADE IN'!$F245))</f>
        <v>1799</v>
      </c>
      <c r="T245" s="46">
        <f>IF(VLOOKUP($C245,REV!$C:$AA,18,0)-'TRADE IN'!$F254=0,"",(VLOOKUP($C245,REV!$C:$AA,18,0)-'TRADE IN'!$F245))</f>
        <v>1499</v>
      </c>
      <c r="U245" s="46">
        <f>IF(VLOOKUP($C245,REV!$C:$AA,19,0)-'TRADE IN'!$F254=0,"",(VLOOKUP($C245,REV!$C:$AA,19,0)-'TRADE IN'!$F245))</f>
        <v>1499</v>
      </c>
      <c r="V245" s="46">
        <f>IF(VLOOKUP($C245,REV!$C:$AA,20,0)-'TRADE IN'!$F254=0,"",(VLOOKUP($C245,REV!$C:$AA,20,0)-'TRADE IN'!$F245))</f>
        <v>1499</v>
      </c>
      <c r="W245" s="46">
        <f>IF(VLOOKUP($C245,REV!$C:$AA,21,0)-'TRADE IN'!$F254=0,"",(VLOOKUP($C245,REV!$C:$AA,21,0)-'TRADE IN'!$F245))</f>
        <v>1499</v>
      </c>
      <c r="X245" s="46">
        <f>IF(VLOOKUP($C245,REV!$C:$AA,22,0)-'TRADE IN'!$F254=0,"",(VLOOKUP($C245,REV!$C:$AA,22,0)-'TRADE IN'!$F245))</f>
        <v>1399</v>
      </c>
      <c r="Y245" s="46">
        <f>IF(VLOOKUP($C245,REV!$C:$AA,23,0)-'TRADE IN'!$F254=0,"",(VLOOKUP($C245,REV!$C:$AA,23,0)-'TRADE IN'!$F245))</f>
        <v>999</v>
      </c>
      <c r="Z245" s="46">
        <f>IF(VLOOKUP($C245,REV!$C:$AA,24,0)-'TRADE IN'!$F254=0,"",(VLOOKUP($C245,REV!$C:$AA,24,0)-'TRADE IN'!$F245))</f>
        <v>999</v>
      </c>
      <c r="AA245" s="46">
        <f>IF(VLOOKUP($C245,REV!$C:$AA,25,0)-'TRADE IN'!$F254=0,"",(VLOOKUP($C245,REV!$C:$AA,25,0)-'TRADE IN'!$F245))</f>
        <v>949</v>
      </c>
      <c r="AB245" s="46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tr">
        <f>IF(REV!AW245=0,"",REV!AW245)</f>
        <v>31.03.2026</v>
      </c>
      <c r="AX245" s="159" t="s">
        <v>82</v>
      </c>
    </row>
    <row r="246" spans="1:50" ht="22.5" customHeight="1">
      <c r="A246" s="52" t="s">
        <v>70</v>
      </c>
      <c r="B246" s="41" t="s">
        <v>62</v>
      </c>
      <c r="C246" s="42">
        <v>4015038</v>
      </c>
      <c r="D246" s="44" t="s">
        <v>357</v>
      </c>
      <c r="E246" s="44" t="s">
        <v>358</v>
      </c>
      <c r="F246" s="45"/>
      <c r="G246" s="45"/>
      <c r="H246" s="45"/>
      <c r="I246" s="45"/>
      <c r="J246" s="46">
        <f>IF(VLOOKUP($C246,REV!$C:$AA,8,0)-'TRADE IN'!$F246=0,"",(VLOOKUP($C246,REV!$C:$AA,8,0)-'TRADE IN'!$F246))</f>
        <v>2799</v>
      </c>
      <c r="K246" s="46">
        <f>IF(VLOOKUP($C246,REV!$C:$AA,9,0)-'TRADE IN'!$F246=0,"",(VLOOKUP($C246,REV!$C:$AA,9,0)-'TRADE IN'!$F246))</f>
        <v>2799</v>
      </c>
      <c r="L246" s="46">
        <f>IF(VLOOKUP($C246,REV!$C:$AA,10,0)-'TRADE IN'!$F255=0,"",(VLOOKUP($C246,REV!$C:$AA,10,0)-'TRADE IN'!$F246))</f>
        <v>2799</v>
      </c>
      <c r="M246" s="46">
        <f>IF(VLOOKUP($C246,REV!$C:$AA,11,0)-'TRADE IN'!$F255=0,"",(VLOOKUP($C246,REV!$C:$AA,11,0)-'TRADE IN'!$F246))</f>
        <v>2799</v>
      </c>
      <c r="N246" s="46">
        <f>IF(VLOOKUP($C246,REV!$C:$AA,12,0)-'TRADE IN'!$F255=0,"",(VLOOKUP($C246,REV!$C:$AA,12,0)-'TRADE IN'!$F246))</f>
        <v>2799</v>
      </c>
      <c r="O246" s="46">
        <f>IF(VLOOKUP($C246,REV!$C:$AA,13,0)-'TRADE IN'!$F255=0,"",(VLOOKUP($C246,REV!$C:$AA,13,0)-'TRADE IN'!$F246))</f>
        <v>2499</v>
      </c>
      <c r="P246" s="46">
        <f>IF(VLOOKUP($C246,REV!$C:$AA,14,0)-'TRADE IN'!$F255=0,"",(VLOOKUP($C246,REV!$C:$AA,14,0)-'TRADE IN'!$F246))</f>
        <v>2299</v>
      </c>
      <c r="Q246" s="46">
        <f>IF(VLOOKUP($C246,REV!$C:$AA,15,0)-'TRADE IN'!$F255=0,"",(VLOOKUP($C246,REV!$C:$AA,15,0)-'TRADE IN'!$F246))</f>
        <v>1999</v>
      </c>
      <c r="R246" s="46">
        <f>IF(VLOOKUP($C246,REV!$C:$AA,16,0)-'TRADE IN'!$F255=0,"",(VLOOKUP($C246,REV!$C:$AA,16,0)-'TRADE IN'!$F246))</f>
        <v>2499</v>
      </c>
      <c r="S246" s="46">
        <f>IF(VLOOKUP($C246,REV!$C:$AA,17,0)-'TRADE IN'!$F255=0,"",(VLOOKUP($C246,REV!$C:$AA,17,0)-'TRADE IN'!$F246))</f>
        <v>2299</v>
      </c>
      <c r="T246" s="46">
        <f>IF(VLOOKUP($C246,REV!$C:$AA,18,0)-'TRADE IN'!$F255=0,"",(VLOOKUP($C246,REV!$C:$AA,18,0)-'TRADE IN'!$F246))</f>
        <v>1999</v>
      </c>
      <c r="U246" s="46">
        <f>IF(VLOOKUP($C246,REV!$C:$AA,19,0)-'TRADE IN'!$F255=0,"",(VLOOKUP($C246,REV!$C:$AA,19,0)-'TRADE IN'!$F246))</f>
        <v>1999</v>
      </c>
      <c r="V246" s="46">
        <f>IF(VLOOKUP($C246,REV!$C:$AA,20,0)-'TRADE IN'!$F255=0,"",(VLOOKUP($C246,REV!$C:$AA,20,0)-'TRADE IN'!$F246))</f>
        <v>1999</v>
      </c>
      <c r="W246" s="46">
        <f>IF(VLOOKUP($C246,REV!$C:$AA,21,0)-'TRADE IN'!$F255=0,"",(VLOOKUP($C246,REV!$C:$AA,21,0)-'TRADE IN'!$F246))</f>
        <v>1999</v>
      </c>
      <c r="X246" s="46">
        <f>IF(VLOOKUP($C246,REV!$C:$AA,22,0)-'TRADE IN'!$F255=0,"",(VLOOKUP($C246,REV!$C:$AA,22,0)-'TRADE IN'!$F246))</f>
        <v>1899</v>
      </c>
      <c r="Y246" s="46">
        <f>IF(VLOOKUP($C246,REV!$C:$AA,23,0)-'TRADE IN'!$F255=0,"",(VLOOKUP($C246,REV!$C:$AA,23,0)-'TRADE IN'!$F246))</f>
        <v>1499</v>
      </c>
      <c r="Z246" s="46">
        <f>IF(VLOOKUP($C246,REV!$C:$AA,24,0)-'TRADE IN'!$F255=0,"",(VLOOKUP($C246,REV!$C:$AA,24,0)-'TRADE IN'!$F246))</f>
        <v>1499</v>
      </c>
      <c r="AA246" s="46">
        <f>IF(VLOOKUP($C246,REV!$C:$AA,25,0)-'TRADE IN'!$F255=0,"",(VLOOKUP($C246,REV!$C:$AA,25,0)-'TRADE IN'!$F246))</f>
        <v>1449</v>
      </c>
      <c r="AB246" s="46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tr">
        <f>IF(REV!AW246=0,"",REV!AW246)</f>
        <v>31.03.2026</v>
      </c>
      <c r="AX246" s="159" t="s">
        <v>82</v>
      </c>
    </row>
    <row r="247" spans="1:50" ht="22.5" customHeight="1">
      <c r="A247" s="52" t="s">
        <v>70</v>
      </c>
      <c r="B247" s="41" t="s">
        <v>62</v>
      </c>
      <c r="C247" s="42">
        <v>4015553</v>
      </c>
      <c r="D247" s="44" t="s">
        <v>359</v>
      </c>
      <c r="E247" s="44" t="s">
        <v>360</v>
      </c>
      <c r="F247" s="45"/>
      <c r="G247" s="45"/>
      <c r="H247" s="45"/>
      <c r="I247" s="45"/>
      <c r="J247" s="46">
        <f>IF(VLOOKUP($C247,REV!$C:$AA,8,0)-'TRADE IN'!$F247=0,"",(VLOOKUP($C247,REV!$C:$AA,8,0)-'TRADE IN'!$F247))</f>
        <v>1599</v>
      </c>
      <c r="K247" s="46">
        <f>IF(VLOOKUP($C247,REV!$C:$AA,9,0)-'TRADE IN'!$F247=0,"",(VLOOKUP($C247,REV!$C:$AA,9,0)-'TRADE IN'!$F247))</f>
        <v>1499</v>
      </c>
      <c r="L247" s="46">
        <f>IF(VLOOKUP($C247,REV!$C:$AA,10,0)-'TRADE IN'!$F256=0,"",(VLOOKUP($C247,REV!$C:$AA,10,0)-'TRADE IN'!$F247))</f>
        <v>1499</v>
      </c>
      <c r="M247" s="46">
        <f>IF(VLOOKUP($C247,REV!$C:$AA,11,0)-'TRADE IN'!$F256=0,"",(VLOOKUP($C247,REV!$C:$AA,11,0)-'TRADE IN'!$F247))</f>
        <v>1599</v>
      </c>
      <c r="N247" s="46">
        <f>IF(VLOOKUP($C247,REV!$C:$AA,12,0)-'TRADE IN'!$F256=0,"",(VLOOKUP($C247,REV!$C:$AA,12,0)-'TRADE IN'!$F247))</f>
        <v>1599</v>
      </c>
      <c r="O247" s="46">
        <f>IF(VLOOKUP($C247,REV!$C:$AA,13,0)-'TRADE IN'!$F256=0,"",(VLOOKUP($C247,REV!$C:$AA,13,0)-'TRADE IN'!$F247))</f>
        <v>1399</v>
      </c>
      <c r="P247" s="46">
        <f>IF(VLOOKUP($C247,REV!$C:$AA,14,0)-'TRADE IN'!$F256=0,"",(VLOOKUP($C247,REV!$C:$AA,14,0)-'TRADE IN'!$F247))</f>
        <v>1299</v>
      </c>
      <c r="Q247" s="46">
        <f>IF(VLOOKUP($C247,REV!$C:$AA,15,0)-'TRADE IN'!$F256=0,"",(VLOOKUP($C247,REV!$C:$AA,15,0)-'TRADE IN'!$F247))</f>
        <v>1099</v>
      </c>
      <c r="R247" s="46">
        <f>IF(VLOOKUP($C247,REV!$C:$AA,16,0)-'TRADE IN'!$F256=0,"",(VLOOKUP($C247,REV!$C:$AA,16,0)-'TRADE IN'!$F247))</f>
        <v>1399</v>
      </c>
      <c r="S247" s="46">
        <f>IF(VLOOKUP($C247,REV!$C:$AA,17,0)-'TRADE IN'!$F256=0,"",(VLOOKUP($C247,REV!$C:$AA,17,0)-'TRADE IN'!$F247))</f>
        <v>1299</v>
      </c>
      <c r="T247" s="46">
        <f>IF(VLOOKUP($C247,REV!$C:$AA,18,0)-'TRADE IN'!$F256=0,"",(VLOOKUP($C247,REV!$C:$AA,18,0)-'TRADE IN'!$F247))</f>
        <v>1099</v>
      </c>
      <c r="U247" s="46">
        <f>IF(VLOOKUP($C247,REV!$C:$AA,19,0)-'TRADE IN'!$F256=0,"",(VLOOKUP($C247,REV!$C:$AA,19,0)-'TRADE IN'!$F247))</f>
        <v>1099</v>
      </c>
      <c r="V247" s="46">
        <f>IF(VLOOKUP($C247,REV!$C:$AA,20,0)-'TRADE IN'!$F256=0,"",(VLOOKUP($C247,REV!$C:$AA,20,0)-'TRADE IN'!$F247))</f>
        <v>1099</v>
      </c>
      <c r="W247" s="46">
        <f>IF(VLOOKUP($C247,REV!$C:$AA,21,0)-'TRADE IN'!$F256=0,"",(VLOOKUP($C247,REV!$C:$AA,21,0)-'TRADE IN'!$F247))</f>
        <v>1099</v>
      </c>
      <c r="X247" s="46">
        <f>IF(VLOOKUP($C247,REV!$C:$AA,22,0)-'TRADE IN'!$F256=0,"",(VLOOKUP($C247,REV!$C:$AA,22,0)-'TRADE IN'!$F247))</f>
        <v>999</v>
      </c>
      <c r="Y247" s="46">
        <f>IF(VLOOKUP($C247,REV!$C:$AA,23,0)-'TRADE IN'!$F256=0,"",(VLOOKUP($C247,REV!$C:$AA,23,0)-'TRADE IN'!$F247))</f>
        <v>899</v>
      </c>
      <c r="Z247" s="46">
        <f>IF(VLOOKUP($C247,REV!$C:$AA,24,0)-'TRADE IN'!$F256=0,"",(VLOOKUP($C247,REV!$C:$AA,24,0)-'TRADE IN'!$F247))</f>
        <v>899</v>
      </c>
      <c r="AA247" s="46">
        <f>IF(VLOOKUP($C247,REV!$C:$AA,25,0)-'TRADE IN'!$F256=0,"",(VLOOKUP($C247,REV!$C:$AA,25,0)-'TRADE IN'!$F247))</f>
        <v>899</v>
      </c>
      <c r="AB247" s="46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tr">
        <f>IF(REV!AW247=0,"",REV!AW247)</f>
        <v>31.03.2026</v>
      </c>
      <c r="AX247" s="159" t="s">
        <v>82</v>
      </c>
    </row>
    <row r="248" spans="1:50" ht="22.5" customHeight="1">
      <c r="A248" s="52" t="s">
        <v>70</v>
      </c>
      <c r="B248" s="41" t="s">
        <v>62</v>
      </c>
      <c r="C248" s="42">
        <v>4015555</v>
      </c>
      <c r="D248" s="44" t="s">
        <v>359</v>
      </c>
      <c r="E248" s="44" t="s">
        <v>361</v>
      </c>
      <c r="F248" s="45"/>
      <c r="G248" s="45"/>
      <c r="H248" s="45"/>
      <c r="I248" s="45"/>
      <c r="J248" s="46">
        <f>IF(VLOOKUP($C248,REV!$C:$AA,8,0)-'TRADE IN'!$F248=0,"",(VLOOKUP($C248,REV!$C:$AA,8,0)-'TRADE IN'!$F248))</f>
        <v>1599</v>
      </c>
      <c r="K248" s="46">
        <f>IF(VLOOKUP($C248,REV!$C:$AA,9,0)-'TRADE IN'!$F248=0,"",(VLOOKUP($C248,REV!$C:$AA,9,0)-'TRADE IN'!$F248))</f>
        <v>1499</v>
      </c>
      <c r="L248" s="46">
        <f>IF(VLOOKUP($C248,REV!$C:$AA,10,0)-'TRADE IN'!$F257=0,"",(VLOOKUP($C248,REV!$C:$AA,10,0)-'TRADE IN'!$F248))</f>
        <v>1499</v>
      </c>
      <c r="M248" s="46">
        <f>IF(VLOOKUP($C248,REV!$C:$AA,11,0)-'TRADE IN'!$F257=0,"",(VLOOKUP($C248,REV!$C:$AA,11,0)-'TRADE IN'!$F248))</f>
        <v>1599</v>
      </c>
      <c r="N248" s="46">
        <f>IF(VLOOKUP($C248,REV!$C:$AA,12,0)-'TRADE IN'!$F257=0,"",(VLOOKUP($C248,REV!$C:$AA,12,0)-'TRADE IN'!$F248))</f>
        <v>1599</v>
      </c>
      <c r="O248" s="46">
        <f>IF(VLOOKUP($C248,REV!$C:$AA,13,0)-'TRADE IN'!$F257=0,"",(VLOOKUP($C248,REV!$C:$AA,13,0)-'TRADE IN'!$F248))</f>
        <v>1399</v>
      </c>
      <c r="P248" s="46">
        <f>IF(VLOOKUP($C248,REV!$C:$AA,14,0)-'TRADE IN'!$F257=0,"",(VLOOKUP($C248,REV!$C:$AA,14,0)-'TRADE IN'!$F248))</f>
        <v>1299</v>
      </c>
      <c r="Q248" s="46">
        <f>IF(VLOOKUP($C248,REV!$C:$AA,15,0)-'TRADE IN'!$F257=0,"",(VLOOKUP($C248,REV!$C:$AA,15,0)-'TRADE IN'!$F248))</f>
        <v>1099</v>
      </c>
      <c r="R248" s="46">
        <f>IF(VLOOKUP($C248,REV!$C:$AA,16,0)-'TRADE IN'!$F257=0,"",(VLOOKUP($C248,REV!$C:$AA,16,0)-'TRADE IN'!$F248))</f>
        <v>1399</v>
      </c>
      <c r="S248" s="46">
        <f>IF(VLOOKUP($C248,REV!$C:$AA,17,0)-'TRADE IN'!$F257=0,"",(VLOOKUP($C248,REV!$C:$AA,17,0)-'TRADE IN'!$F248))</f>
        <v>1299</v>
      </c>
      <c r="T248" s="46">
        <f>IF(VLOOKUP($C248,REV!$C:$AA,18,0)-'TRADE IN'!$F257=0,"",(VLOOKUP($C248,REV!$C:$AA,18,0)-'TRADE IN'!$F248))</f>
        <v>1099</v>
      </c>
      <c r="U248" s="46">
        <f>IF(VLOOKUP($C248,REV!$C:$AA,19,0)-'TRADE IN'!$F257=0,"",(VLOOKUP($C248,REV!$C:$AA,19,0)-'TRADE IN'!$F248))</f>
        <v>1099</v>
      </c>
      <c r="V248" s="46">
        <f>IF(VLOOKUP($C248,REV!$C:$AA,20,0)-'TRADE IN'!$F257=0,"",(VLOOKUP($C248,REV!$C:$AA,20,0)-'TRADE IN'!$F248))</f>
        <v>1099</v>
      </c>
      <c r="W248" s="46">
        <f>IF(VLOOKUP($C248,REV!$C:$AA,21,0)-'TRADE IN'!$F257=0,"",(VLOOKUP($C248,REV!$C:$AA,21,0)-'TRADE IN'!$F248))</f>
        <v>1099</v>
      </c>
      <c r="X248" s="46">
        <f>IF(VLOOKUP($C248,REV!$C:$AA,22,0)-'TRADE IN'!$F257=0,"",(VLOOKUP($C248,REV!$C:$AA,22,0)-'TRADE IN'!$F248))</f>
        <v>999</v>
      </c>
      <c r="Y248" s="46">
        <f>IF(VLOOKUP($C248,REV!$C:$AA,23,0)-'TRADE IN'!$F257=0,"",(VLOOKUP($C248,REV!$C:$AA,23,0)-'TRADE IN'!$F248))</f>
        <v>899</v>
      </c>
      <c r="Z248" s="46">
        <f>IF(VLOOKUP($C248,REV!$C:$AA,24,0)-'TRADE IN'!$F257=0,"",(VLOOKUP($C248,REV!$C:$AA,24,0)-'TRADE IN'!$F248))</f>
        <v>899</v>
      </c>
      <c r="AA248" s="46">
        <f>IF(VLOOKUP($C248,REV!$C:$AA,25,0)-'TRADE IN'!$F257=0,"",(VLOOKUP($C248,REV!$C:$AA,25,0)-'TRADE IN'!$F248))</f>
        <v>899</v>
      </c>
      <c r="AB248" s="46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tr">
        <f>IF(REV!AW248=0,"",REV!AW248)</f>
        <v>31.03.2026</v>
      </c>
      <c r="AX248" s="159" t="s">
        <v>82</v>
      </c>
    </row>
    <row r="249" spans="1:50" ht="22.5" customHeight="1">
      <c r="A249" s="52" t="s">
        <v>70</v>
      </c>
      <c r="B249" s="41" t="s">
        <v>62</v>
      </c>
      <c r="C249" s="42">
        <v>4015692</v>
      </c>
      <c r="D249" s="44" t="s">
        <v>362</v>
      </c>
      <c r="E249" s="44" t="s">
        <v>363</v>
      </c>
      <c r="F249" s="45"/>
      <c r="G249" s="45"/>
      <c r="H249" s="45"/>
      <c r="I249" s="45"/>
      <c r="J249" s="46">
        <f>IF(VLOOKUP($C249,REV!$C:$AA,8,0)-'TRADE IN'!$F249=0,"",(VLOOKUP($C249,REV!$C:$AA,8,0)-'TRADE IN'!$F249))</f>
        <v>1499</v>
      </c>
      <c r="K249" s="46">
        <f>IF(VLOOKUP($C249,REV!$C:$AA,9,0)-'TRADE IN'!$F249=0,"",(VLOOKUP($C249,REV!$C:$AA,9,0)-'TRADE IN'!$F249))</f>
        <v>1399</v>
      </c>
      <c r="L249" s="46">
        <f>IF(VLOOKUP($C249,REV!$C:$AA,10,0)-'TRADE IN'!$F258=0,"",(VLOOKUP($C249,REV!$C:$AA,10,0)-'TRADE IN'!$F249))</f>
        <v>1399</v>
      </c>
      <c r="M249" s="46">
        <f>IF(VLOOKUP($C249,REV!$C:$AA,11,0)-'TRADE IN'!$F258=0,"",(VLOOKUP($C249,REV!$C:$AA,11,0)-'TRADE IN'!$F249))</f>
        <v>1499</v>
      </c>
      <c r="N249" s="46">
        <f>IF(VLOOKUP($C249,REV!$C:$AA,12,0)-'TRADE IN'!$F258=0,"",(VLOOKUP($C249,REV!$C:$AA,12,0)-'TRADE IN'!$F249))</f>
        <v>1499</v>
      </c>
      <c r="O249" s="46">
        <f>IF(VLOOKUP($C249,REV!$C:$AA,13,0)-'TRADE IN'!$F258=0,"",(VLOOKUP($C249,REV!$C:$AA,13,0)-'TRADE IN'!$F249))</f>
        <v>1299</v>
      </c>
      <c r="P249" s="46">
        <f>IF(VLOOKUP($C249,REV!$C:$AA,14,0)-'TRADE IN'!$F258=0,"",(VLOOKUP($C249,REV!$C:$AA,14,0)-'TRADE IN'!$F249))</f>
        <v>1199</v>
      </c>
      <c r="Q249" s="46">
        <f>IF(VLOOKUP($C249,REV!$C:$AA,15,0)-'TRADE IN'!$F258=0,"",(VLOOKUP($C249,REV!$C:$AA,15,0)-'TRADE IN'!$F249))</f>
        <v>1099</v>
      </c>
      <c r="R249" s="46">
        <f>IF(VLOOKUP($C249,REV!$C:$AA,16,0)-'TRADE IN'!$F258=0,"",(VLOOKUP($C249,REV!$C:$AA,16,0)-'TRADE IN'!$F249))</f>
        <v>1299</v>
      </c>
      <c r="S249" s="46">
        <f>IF(VLOOKUP($C249,REV!$C:$AA,17,0)-'TRADE IN'!$F258=0,"",(VLOOKUP($C249,REV!$C:$AA,17,0)-'TRADE IN'!$F249))</f>
        <v>1199</v>
      </c>
      <c r="T249" s="46">
        <f>IF(VLOOKUP($C249,REV!$C:$AA,18,0)-'TRADE IN'!$F258=0,"",(VLOOKUP($C249,REV!$C:$AA,18,0)-'TRADE IN'!$F249))</f>
        <v>1099</v>
      </c>
      <c r="U249" s="46">
        <f>IF(VLOOKUP($C249,REV!$C:$AA,19,0)-'TRADE IN'!$F258=0,"",(VLOOKUP($C249,REV!$C:$AA,19,0)-'TRADE IN'!$F249))</f>
        <v>1099</v>
      </c>
      <c r="V249" s="46">
        <f>IF(VLOOKUP($C249,REV!$C:$AA,20,0)-'TRADE IN'!$F258=0,"",(VLOOKUP($C249,REV!$C:$AA,20,0)-'TRADE IN'!$F249))</f>
        <v>1099</v>
      </c>
      <c r="W249" s="46">
        <f>IF(VLOOKUP($C249,REV!$C:$AA,21,0)-'TRADE IN'!$F258=0,"",(VLOOKUP($C249,REV!$C:$AA,21,0)-'TRADE IN'!$F249))</f>
        <v>1099</v>
      </c>
      <c r="X249" s="46">
        <f>IF(VLOOKUP($C249,REV!$C:$AA,22,0)-'TRADE IN'!$F258=0,"",(VLOOKUP($C249,REV!$C:$AA,22,0)-'TRADE IN'!$F249))</f>
        <v>999</v>
      </c>
      <c r="Y249" s="46">
        <f>IF(VLOOKUP($C249,REV!$C:$AA,23,0)-'TRADE IN'!$F258=0,"",(VLOOKUP($C249,REV!$C:$AA,23,0)-'TRADE IN'!$F249))</f>
        <v>899</v>
      </c>
      <c r="Z249" s="46">
        <f>IF(VLOOKUP($C249,REV!$C:$AA,24,0)-'TRADE IN'!$F258=0,"",(VLOOKUP($C249,REV!$C:$AA,24,0)-'TRADE IN'!$F249))</f>
        <v>899</v>
      </c>
      <c r="AA249" s="46">
        <f>IF(VLOOKUP($C249,REV!$C:$AA,25,0)-'TRADE IN'!$F258=0,"",(VLOOKUP($C249,REV!$C:$AA,25,0)-'TRADE IN'!$F249))</f>
        <v>899</v>
      </c>
      <c r="AB249" s="46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tr">
        <f>IF(REV!AW249=0,"",REV!AW249)</f>
        <v>31.03.2026</v>
      </c>
      <c r="AX249" s="159" t="s">
        <v>82</v>
      </c>
    </row>
    <row r="250" spans="1:50" ht="22.5" customHeight="1">
      <c r="A250" s="52" t="s">
        <v>70</v>
      </c>
      <c r="B250" s="41" t="s">
        <v>62</v>
      </c>
      <c r="C250" s="42">
        <v>4016016</v>
      </c>
      <c r="D250" s="44" t="s">
        <v>362</v>
      </c>
      <c r="E250" s="44" t="s">
        <v>364</v>
      </c>
      <c r="F250" s="45"/>
      <c r="G250" s="45"/>
      <c r="H250" s="45"/>
      <c r="I250" s="45"/>
      <c r="J250" s="46">
        <f>IF(VLOOKUP($C250,REV!$C:$AA,8,0)-'TRADE IN'!$F250=0,"",(VLOOKUP($C250,REV!$C:$AA,8,0)-'TRADE IN'!$F250))</f>
        <v>1499</v>
      </c>
      <c r="K250" s="46">
        <f>IF(VLOOKUP($C250,REV!$C:$AA,9,0)-'TRADE IN'!$F250=0,"",(VLOOKUP($C250,REV!$C:$AA,9,0)-'TRADE IN'!$F250))</f>
        <v>1399</v>
      </c>
      <c r="L250" s="46">
        <f>IF(VLOOKUP($C250,REV!$C:$AA,10,0)-'TRADE IN'!$F260=0,"",(VLOOKUP($C250,REV!$C:$AA,10,0)-'TRADE IN'!$F250))</f>
        <v>1399</v>
      </c>
      <c r="M250" s="46">
        <f>IF(VLOOKUP($C250,REV!$C:$AA,11,0)-'TRADE IN'!$F260=0,"",(VLOOKUP($C250,REV!$C:$AA,11,0)-'TRADE IN'!$F250))</f>
        <v>1499</v>
      </c>
      <c r="N250" s="46">
        <f>IF(VLOOKUP($C250,REV!$C:$AA,12,0)-'TRADE IN'!$F260=0,"",(VLOOKUP($C250,REV!$C:$AA,12,0)-'TRADE IN'!$F250))</f>
        <v>1499</v>
      </c>
      <c r="O250" s="46">
        <f>IF(VLOOKUP($C250,REV!$C:$AA,13,0)-'TRADE IN'!$F260=0,"",(VLOOKUP($C250,REV!$C:$AA,13,0)-'TRADE IN'!$F250))</f>
        <v>1299</v>
      </c>
      <c r="P250" s="46">
        <f>IF(VLOOKUP($C250,REV!$C:$AA,14,0)-'TRADE IN'!$F260=0,"",(VLOOKUP($C250,REV!$C:$AA,14,0)-'TRADE IN'!$F250))</f>
        <v>1199</v>
      </c>
      <c r="Q250" s="46">
        <f>IF(VLOOKUP($C250,REV!$C:$AA,15,0)-'TRADE IN'!$F260=0,"",(VLOOKUP($C250,REV!$C:$AA,15,0)-'TRADE IN'!$F250))</f>
        <v>1099</v>
      </c>
      <c r="R250" s="46">
        <f>IF(VLOOKUP($C250,REV!$C:$AA,16,0)-'TRADE IN'!$F260=0,"",(VLOOKUP($C250,REV!$C:$AA,16,0)-'TRADE IN'!$F250))</f>
        <v>1299</v>
      </c>
      <c r="S250" s="46">
        <f>IF(VLOOKUP($C250,REV!$C:$AA,17,0)-'TRADE IN'!$F260=0,"",(VLOOKUP($C250,REV!$C:$AA,17,0)-'TRADE IN'!$F250))</f>
        <v>1199</v>
      </c>
      <c r="T250" s="46">
        <f>IF(VLOOKUP($C250,REV!$C:$AA,18,0)-'TRADE IN'!$F260=0,"",(VLOOKUP($C250,REV!$C:$AA,18,0)-'TRADE IN'!$F250))</f>
        <v>1099</v>
      </c>
      <c r="U250" s="46">
        <f>IF(VLOOKUP($C250,REV!$C:$AA,19,0)-'TRADE IN'!$F260=0,"",(VLOOKUP($C250,REV!$C:$AA,19,0)-'TRADE IN'!$F250))</f>
        <v>1099</v>
      </c>
      <c r="V250" s="46">
        <f>IF(VLOOKUP($C250,REV!$C:$AA,20,0)-'TRADE IN'!$F260=0,"",(VLOOKUP($C250,REV!$C:$AA,20,0)-'TRADE IN'!$F250))</f>
        <v>1099</v>
      </c>
      <c r="W250" s="46">
        <f>IF(VLOOKUP($C250,REV!$C:$AA,21,0)-'TRADE IN'!$F260=0,"",(VLOOKUP($C250,REV!$C:$AA,21,0)-'TRADE IN'!$F250))</f>
        <v>1099</v>
      </c>
      <c r="X250" s="46">
        <f>IF(VLOOKUP($C250,REV!$C:$AA,22,0)-'TRADE IN'!$F260=0,"",(VLOOKUP($C250,REV!$C:$AA,22,0)-'TRADE IN'!$F250))</f>
        <v>999</v>
      </c>
      <c r="Y250" s="46">
        <f>IF(VLOOKUP($C250,REV!$C:$AA,23,0)-'TRADE IN'!$F260=0,"",(VLOOKUP($C250,REV!$C:$AA,23,0)-'TRADE IN'!$F250))</f>
        <v>899</v>
      </c>
      <c r="Z250" s="46">
        <f>IF(VLOOKUP($C250,REV!$C:$AA,24,0)-'TRADE IN'!$F260=0,"",(VLOOKUP($C250,REV!$C:$AA,24,0)-'TRADE IN'!$F250))</f>
        <v>899</v>
      </c>
      <c r="AA250" s="46">
        <f>IF(VLOOKUP($C250,REV!$C:$AA,25,0)-'TRADE IN'!$F260=0,"",(VLOOKUP($C250,REV!$C:$AA,25,0)-'TRADE IN'!$F250))</f>
        <v>899</v>
      </c>
      <c r="AB250" s="46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tr">
        <f>IF(REV!AW250=0,"",REV!AW250)</f>
        <v>31.03.2026</v>
      </c>
      <c r="AX250" s="159" t="s">
        <v>82</v>
      </c>
    </row>
    <row r="251" spans="1:50" ht="22.5" customHeight="1">
      <c r="A251" s="52" t="s">
        <v>70</v>
      </c>
      <c r="B251" s="41" t="s">
        <v>62</v>
      </c>
      <c r="C251" s="42">
        <v>4016501</v>
      </c>
      <c r="D251" s="44" t="s">
        <v>365</v>
      </c>
      <c r="E251" s="44" t="s">
        <v>366</v>
      </c>
      <c r="F251" s="45"/>
      <c r="G251" s="45"/>
      <c r="H251" s="45"/>
      <c r="I251" s="45"/>
      <c r="J251" s="46">
        <f>IF(VLOOKUP($C251,REV!$C:$AA,8,0)-'TRADE IN'!$F251=0,"",(VLOOKUP($C251,REV!$C:$AA,8,0)-'TRADE IN'!$F251))</f>
        <v>2199</v>
      </c>
      <c r="K251" s="46">
        <f>IF(VLOOKUP($C251,REV!$C:$AA,9,0)-'TRADE IN'!$F251=0,"",(VLOOKUP($C251,REV!$C:$AA,9,0)-'TRADE IN'!$F251))</f>
        <v>1999</v>
      </c>
      <c r="L251" s="46">
        <f>IF(VLOOKUP($C251,REV!$C:$AA,10,0)-'TRADE IN'!$F263=0,"",(VLOOKUP($C251,REV!$C:$AA,10,0)-'TRADE IN'!$F251))</f>
        <v>1999</v>
      </c>
      <c r="M251" s="46">
        <f>IF(VLOOKUP($C251,REV!$C:$AA,11,0)-'TRADE IN'!$F263=0,"",(VLOOKUP($C251,REV!$C:$AA,11,0)-'TRADE IN'!$F251))</f>
        <v>2199</v>
      </c>
      <c r="N251" s="46">
        <f>IF(VLOOKUP($C251,REV!$C:$AA,12,0)-'TRADE IN'!$F263=0,"",(VLOOKUP($C251,REV!$C:$AA,12,0)-'TRADE IN'!$F251))</f>
        <v>1999</v>
      </c>
      <c r="O251" s="46">
        <f>IF(VLOOKUP($C251,REV!$C:$AA,13,0)-'TRADE IN'!$F263=0,"",(VLOOKUP($C251,REV!$C:$AA,13,0)-'TRADE IN'!$F251))</f>
        <v>1899</v>
      </c>
      <c r="P251" s="46">
        <f>IF(VLOOKUP($C251,REV!$C:$AA,14,0)-'TRADE IN'!$F263=0,"",(VLOOKUP($C251,REV!$C:$AA,14,0)-'TRADE IN'!$F251))</f>
        <v>1799</v>
      </c>
      <c r="Q251" s="46">
        <f>IF(VLOOKUP($C251,REV!$C:$AA,15,0)-'TRADE IN'!$F263=0,"",(VLOOKUP($C251,REV!$C:$AA,15,0)-'TRADE IN'!$F251))</f>
        <v>1299</v>
      </c>
      <c r="R251" s="46">
        <f>IF(VLOOKUP($C251,REV!$C:$AA,16,0)-'TRADE IN'!$F263=0,"",(VLOOKUP($C251,REV!$C:$AA,16,0)-'TRADE IN'!$F251))</f>
        <v>1899</v>
      </c>
      <c r="S251" s="46">
        <f>IF(VLOOKUP($C251,REV!$C:$AA,17,0)-'TRADE IN'!$F263=0,"",(VLOOKUP($C251,REV!$C:$AA,17,0)-'TRADE IN'!$F251))</f>
        <v>1799</v>
      </c>
      <c r="T251" s="46">
        <f>IF(VLOOKUP($C251,REV!$C:$AA,18,0)-'TRADE IN'!$F263=0,"",(VLOOKUP($C251,REV!$C:$AA,18,0)-'TRADE IN'!$F251))</f>
        <v>1299</v>
      </c>
      <c r="U251" s="46">
        <f>IF(VLOOKUP($C251,REV!$C:$AA,19,0)-'TRADE IN'!$F263=0,"",(VLOOKUP($C251,REV!$C:$AA,19,0)-'TRADE IN'!$F251))</f>
        <v>1299</v>
      </c>
      <c r="V251" s="46">
        <f>IF(VLOOKUP($C251,REV!$C:$AA,20,0)-'TRADE IN'!$F263=0,"",(VLOOKUP($C251,REV!$C:$AA,20,0)-'TRADE IN'!$F251))</f>
        <v>1299</v>
      </c>
      <c r="W251" s="46">
        <f>IF(VLOOKUP($C251,REV!$C:$AA,21,0)-'TRADE IN'!$F263=0,"",(VLOOKUP($C251,REV!$C:$AA,21,0)-'TRADE IN'!$F251))</f>
        <v>1299</v>
      </c>
      <c r="X251" s="46">
        <f>IF(VLOOKUP($C251,REV!$C:$AA,22,0)-'TRADE IN'!$F263=0,"",(VLOOKUP($C251,REV!$C:$AA,22,0)-'TRADE IN'!$F251))</f>
        <v>1199</v>
      </c>
      <c r="Y251" s="46">
        <f>IF(VLOOKUP($C251,REV!$C:$AA,23,0)-'TRADE IN'!$F263=0,"",(VLOOKUP($C251,REV!$C:$AA,23,0)-'TRADE IN'!$F251))</f>
        <v>799</v>
      </c>
      <c r="Z251" s="46">
        <f>IF(VLOOKUP($C251,REV!$C:$AA,24,0)-'TRADE IN'!$F263=0,"",(VLOOKUP($C251,REV!$C:$AA,24,0)-'TRADE IN'!$F251))</f>
        <v>799</v>
      </c>
      <c r="AA251" s="46">
        <f>IF(VLOOKUP($C251,REV!$C:$AA,25,0)-'TRADE IN'!$F263=0,"",(VLOOKUP($C251,REV!$C:$AA,25,0)-'TRADE IN'!$F251))</f>
        <v>799</v>
      </c>
      <c r="AB251" s="46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tr">
        <f>IF(REV!AW251=0,"",REV!AW251)</f>
        <v>31.03.2026</v>
      </c>
      <c r="AX251" s="159" t="s">
        <v>82</v>
      </c>
    </row>
    <row r="252" spans="1:50" ht="22.5" customHeight="1">
      <c r="A252" s="52" t="s">
        <v>70</v>
      </c>
      <c r="B252" s="41" t="s">
        <v>62</v>
      </c>
      <c r="C252" s="42">
        <v>4016503</v>
      </c>
      <c r="D252" s="44" t="s">
        <v>365</v>
      </c>
      <c r="E252" s="44" t="s">
        <v>367</v>
      </c>
      <c r="F252" s="45"/>
      <c r="G252" s="45"/>
      <c r="H252" s="45"/>
      <c r="I252" s="45"/>
      <c r="J252" s="46">
        <f>IF(VLOOKUP($C252,REV!$C:$AA,8,0)-'TRADE IN'!$F252=0,"",(VLOOKUP($C252,REV!$C:$AA,8,0)-'TRADE IN'!$F252))</f>
        <v>2199</v>
      </c>
      <c r="K252" s="46">
        <f>IF(VLOOKUP($C252,REV!$C:$AA,9,0)-'TRADE IN'!$F252=0,"",(VLOOKUP($C252,REV!$C:$AA,9,0)-'TRADE IN'!$F252))</f>
        <v>1999</v>
      </c>
      <c r="L252" s="46">
        <f>IF(VLOOKUP($C252,REV!$C:$AA,10,0)-'TRADE IN'!$F264=0,"",(VLOOKUP($C252,REV!$C:$AA,10,0)-'TRADE IN'!$F252))</f>
        <v>1999</v>
      </c>
      <c r="M252" s="46">
        <f>IF(VLOOKUP($C252,REV!$C:$AA,11,0)-'TRADE IN'!$F264=0,"",(VLOOKUP($C252,REV!$C:$AA,11,0)-'TRADE IN'!$F252))</f>
        <v>2199</v>
      </c>
      <c r="N252" s="46">
        <f>IF(VLOOKUP($C252,REV!$C:$AA,12,0)-'TRADE IN'!$F264=0,"",(VLOOKUP($C252,REV!$C:$AA,12,0)-'TRADE IN'!$F252))</f>
        <v>1999</v>
      </c>
      <c r="O252" s="46">
        <f>IF(VLOOKUP($C252,REV!$C:$AA,13,0)-'TRADE IN'!$F264=0,"",(VLOOKUP($C252,REV!$C:$AA,13,0)-'TRADE IN'!$F252))</f>
        <v>1899</v>
      </c>
      <c r="P252" s="46">
        <f>IF(VLOOKUP($C252,REV!$C:$AA,14,0)-'TRADE IN'!$F264=0,"",(VLOOKUP($C252,REV!$C:$AA,14,0)-'TRADE IN'!$F252))</f>
        <v>1799</v>
      </c>
      <c r="Q252" s="46">
        <f>IF(VLOOKUP($C252,REV!$C:$AA,15,0)-'TRADE IN'!$F264=0,"",(VLOOKUP($C252,REV!$C:$AA,15,0)-'TRADE IN'!$F252))</f>
        <v>1299</v>
      </c>
      <c r="R252" s="46">
        <f>IF(VLOOKUP($C252,REV!$C:$AA,16,0)-'TRADE IN'!$F264=0,"",(VLOOKUP($C252,REV!$C:$AA,16,0)-'TRADE IN'!$F252))</f>
        <v>1899</v>
      </c>
      <c r="S252" s="46">
        <f>IF(VLOOKUP($C252,REV!$C:$AA,17,0)-'TRADE IN'!$F264=0,"",(VLOOKUP($C252,REV!$C:$AA,17,0)-'TRADE IN'!$F252))</f>
        <v>1799</v>
      </c>
      <c r="T252" s="46">
        <f>IF(VLOOKUP($C252,REV!$C:$AA,18,0)-'TRADE IN'!$F264=0,"",(VLOOKUP($C252,REV!$C:$AA,18,0)-'TRADE IN'!$F252))</f>
        <v>1299</v>
      </c>
      <c r="U252" s="46">
        <f>IF(VLOOKUP($C252,REV!$C:$AA,19,0)-'TRADE IN'!$F264=0,"",(VLOOKUP($C252,REV!$C:$AA,19,0)-'TRADE IN'!$F252))</f>
        <v>1299</v>
      </c>
      <c r="V252" s="46">
        <f>IF(VLOOKUP($C252,REV!$C:$AA,20,0)-'TRADE IN'!$F264=0,"",(VLOOKUP($C252,REV!$C:$AA,20,0)-'TRADE IN'!$F252))</f>
        <v>1299</v>
      </c>
      <c r="W252" s="46">
        <f>IF(VLOOKUP($C252,REV!$C:$AA,21,0)-'TRADE IN'!$F264=0,"",(VLOOKUP($C252,REV!$C:$AA,21,0)-'TRADE IN'!$F252))</f>
        <v>1299</v>
      </c>
      <c r="X252" s="46">
        <f>IF(VLOOKUP($C252,REV!$C:$AA,22,0)-'TRADE IN'!$F264=0,"",(VLOOKUP($C252,REV!$C:$AA,22,0)-'TRADE IN'!$F252))</f>
        <v>1199</v>
      </c>
      <c r="Y252" s="46">
        <f>IF(VLOOKUP($C252,REV!$C:$AA,23,0)-'TRADE IN'!$F264=0,"",(VLOOKUP($C252,REV!$C:$AA,23,0)-'TRADE IN'!$F252))</f>
        <v>799</v>
      </c>
      <c r="Z252" s="46">
        <f>IF(VLOOKUP($C252,REV!$C:$AA,24,0)-'TRADE IN'!$F264=0,"",(VLOOKUP($C252,REV!$C:$AA,24,0)-'TRADE IN'!$F252))</f>
        <v>799</v>
      </c>
      <c r="AA252" s="46">
        <f>IF(VLOOKUP($C252,REV!$C:$AA,25,0)-'TRADE IN'!$F264=0,"",(VLOOKUP($C252,REV!$C:$AA,25,0)-'TRADE IN'!$F252))</f>
        <v>799</v>
      </c>
      <c r="AB252" s="46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tr">
        <f>IF(REV!AW252=0,"",REV!AW252)</f>
        <v>31.03.2026</v>
      </c>
      <c r="AX252" s="159" t="s">
        <v>82</v>
      </c>
    </row>
    <row r="253" spans="1:50" ht="22.5" customHeight="1">
      <c r="A253" s="52" t="s">
        <v>70</v>
      </c>
      <c r="B253" s="41" t="s">
        <v>62</v>
      </c>
      <c r="C253" s="42">
        <v>4016505</v>
      </c>
      <c r="D253" s="44" t="s">
        <v>365</v>
      </c>
      <c r="E253" s="44" t="s">
        <v>368</v>
      </c>
      <c r="F253" s="45"/>
      <c r="G253" s="45"/>
      <c r="H253" s="45"/>
      <c r="I253" s="45"/>
      <c r="J253" s="46">
        <f>IF(VLOOKUP($C253,REV!$C:$AA,8,0)-'TRADE IN'!$F253=0,"",(VLOOKUP($C253,REV!$C:$AA,8,0)-'TRADE IN'!$F253))</f>
        <v>2199</v>
      </c>
      <c r="K253" s="46">
        <f>IF(VLOOKUP($C253,REV!$C:$AA,9,0)-'TRADE IN'!$F253=0,"",(VLOOKUP($C253,REV!$C:$AA,9,0)-'TRADE IN'!$F253))</f>
        <v>1999</v>
      </c>
      <c r="L253" s="46">
        <f>IF(VLOOKUP($C253,REV!$C:$AA,10,0)-'TRADE IN'!$F265=0,"",(VLOOKUP($C253,REV!$C:$AA,10,0)-'TRADE IN'!$F253))</f>
        <v>1999</v>
      </c>
      <c r="M253" s="46">
        <f>IF(VLOOKUP($C253,REV!$C:$AA,11,0)-'TRADE IN'!$F265=0,"",(VLOOKUP($C253,REV!$C:$AA,11,0)-'TRADE IN'!$F253))</f>
        <v>2199</v>
      </c>
      <c r="N253" s="46">
        <f>IF(VLOOKUP($C253,REV!$C:$AA,12,0)-'TRADE IN'!$F265=0,"",(VLOOKUP($C253,REV!$C:$AA,12,0)-'TRADE IN'!$F253))</f>
        <v>1999</v>
      </c>
      <c r="O253" s="46">
        <f>IF(VLOOKUP($C253,REV!$C:$AA,13,0)-'TRADE IN'!$F265=0,"",(VLOOKUP($C253,REV!$C:$AA,13,0)-'TRADE IN'!$F253))</f>
        <v>1899</v>
      </c>
      <c r="P253" s="46">
        <f>IF(VLOOKUP($C253,REV!$C:$AA,14,0)-'TRADE IN'!$F265=0,"",(VLOOKUP($C253,REV!$C:$AA,14,0)-'TRADE IN'!$F253))</f>
        <v>1799</v>
      </c>
      <c r="Q253" s="46">
        <f>IF(VLOOKUP($C253,REV!$C:$AA,15,0)-'TRADE IN'!$F265=0,"",(VLOOKUP($C253,REV!$C:$AA,15,0)-'TRADE IN'!$F253))</f>
        <v>1299</v>
      </c>
      <c r="R253" s="46">
        <f>IF(VLOOKUP($C253,REV!$C:$AA,16,0)-'TRADE IN'!$F265=0,"",(VLOOKUP($C253,REV!$C:$AA,16,0)-'TRADE IN'!$F253))</f>
        <v>1899</v>
      </c>
      <c r="S253" s="46">
        <f>IF(VLOOKUP($C253,REV!$C:$AA,17,0)-'TRADE IN'!$F265=0,"",(VLOOKUP($C253,REV!$C:$AA,17,0)-'TRADE IN'!$F253))</f>
        <v>1799</v>
      </c>
      <c r="T253" s="46">
        <f>IF(VLOOKUP($C253,REV!$C:$AA,18,0)-'TRADE IN'!$F265=0,"",(VLOOKUP($C253,REV!$C:$AA,18,0)-'TRADE IN'!$F253))</f>
        <v>1299</v>
      </c>
      <c r="U253" s="46">
        <f>IF(VLOOKUP($C253,REV!$C:$AA,19,0)-'TRADE IN'!$F265=0,"",(VLOOKUP($C253,REV!$C:$AA,19,0)-'TRADE IN'!$F253))</f>
        <v>1299</v>
      </c>
      <c r="V253" s="46">
        <f>IF(VLOOKUP($C253,REV!$C:$AA,20,0)-'TRADE IN'!$F265=0,"",(VLOOKUP($C253,REV!$C:$AA,20,0)-'TRADE IN'!$F253))</f>
        <v>1299</v>
      </c>
      <c r="W253" s="46">
        <f>IF(VLOOKUP($C253,REV!$C:$AA,21,0)-'TRADE IN'!$F265=0,"",(VLOOKUP($C253,REV!$C:$AA,21,0)-'TRADE IN'!$F253))</f>
        <v>1299</v>
      </c>
      <c r="X253" s="46">
        <f>IF(VLOOKUP($C253,REV!$C:$AA,22,0)-'TRADE IN'!$F265=0,"",(VLOOKUP($C253,REV!$C:$AA,22,0)-'TRADE IN'!$F253))</f>
        <v>1199</v>
      </c>
      <c r="Y253" s="46">
        <f>IF(VLOOKUP($C253,REV!$C:$AA,23,0)-'TRADE IN'!$F265=0,"",(VLOOKUP($C253,REV!$C:$AA,23,0)-'TRADE IN'!$F253))</f>
        <v>799</v>
      </c>
      <c r="Z253" s="46">
        <f>IF(VLOOKUP($C253,REV!$C:$AA,24,0)-'TRADE IN'!$F265=0,"",(VLOOKUP($C253,REV!$C:$AA,24,0)-'TRADE IN'!$F253))</f>
        <v>799</v>
      </c>
      <c r="AA253" s="46">
        <f>IF(VLOOKUP($C253,REV!$C:$AA,25,0)-'TRADE IN'!$F265=0,"",(VLOOKUP($C253,REV!$C:$AA,25,0)-'TRADE IN'!$F253))</f>
        <v>799</v>
      </c>
      <c r="AB253" s="46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tr">
        <f>IF(REV!AW253=0,"",REV!AW253)</f>
        <v>31.03.2026</v>
      </c>
      <c r="AX253" s="159" t="s">
        <v>82</v>
      </c>
    </row>
    <row r="254" spans="1:50" ht="22" customHeight="1">
      <c r="A254" s="52" t="s">
        <v>70</v>
      </c>
      <c r="B254" s="41" t="s">
        <v>62</v>
      </c>
      <c r="C254" s="42">
        <v>4016284</v>
      </c>
      <c r="D254" s="44" t="s">
        <v>369</v>
      </c>
      <c r="E254" s="44" t="s">
        <v>370</v>
      </c>
      <c r="F254" s="45"/>
      <c r="G254" s="45"/>
      <c r="H254" s="45"/>
      <c r="I254" s="45"/>
      <c r="J254" s="46">
        <f>IF(VLOOKUP($C254,REV!$C:$AA,8,0)-'TRADE IN'!$F254=0,"",(VLOOKUP($C254,REV!$C:$AA,8,0)-'TRADE IN'!$F254))</f>
        <v>1799</v>
      </c>
      <c r="K254" s="46">
        <f>IF(VLOOKUP($C254,REV!$C:$AA,9,0)-'TRADE IN'!$F254=0,"",(VLOOKUP($C254,REV!$C:$AA,9,0)-'TRADE IN'!$F254))</f>
        <v>1799</v>
      </c>
      <c r="L254" s="46">
        <f>IF(VLOOKUP($C254,REV!$C:$AA,10,0)-'TRADE IN'!$F266=0,"",(VLOOKUP($C254,REV!$C:$AA,10,0)-'TRADE IN'!$F254))</f>
        <v>1799</v>
      </c>
      <c r="M254" s="46">
        <f>IF(VLOOKUP($C254,REV!$C:$AA,11,0)-'TRADE IN'!$F266=0,"",(VLOOKUP($C254,REV!$C:$AA,11,0)-'TRADE IN'!$F254))</f>
        <v>1799</v>
      </c>
      <c r="N254" s="46">
        <f>IF(VLOOKUP($C254,REV!$C:$AA,12,0)-'TRADE IN'!$F266=0,"",(VLOOKUP($C254,REV!$C:$AA,12,0)-'TRADE IN'!$F254))</f>
        <v>1799</v>
      </c>
      <c r="O254" s="46">
        <f>IF(VLOOKUP($C254,REV!$C:$AA,13,0)-'TRADE IN'!$F266=0,"",(VLOOKUP($C254,REV!$C:$AA,13,0)-'TRADE IN'!$F254))</f>
        <v>1699</v>
      </c>
      <c r="P254" s="46">
        <f>IF(VLOOKUP($C254,REV!$C:$AA,14,0)-'TRADE IN'!$F266=0,"",(VLOOKUP($C254,REV!$C:$AA,14,0)-'TRADE IN'!$F254))</f>
        <v>1649</v>
      </c>
      <c r="Q254" s="46">
        <f>IF(VLOOKUP($C254,REV!$C:$AA,15,0)-'TRADE IN'!$F266=0,"",(VLOOKUP($C254,REV!$C:$AA,15,0)-'TRADE IN'!$F254))</f>
        <v>1299</v>
      </c>
      <c r="R254" s="46">
        <f>IF(VLOOKUP($C254,REV!$C:$AA,16,0)-'TRADE IN'!$F266=0,"",(VLOOKUP($C254,REV!$C:$AA,16,0)-'TRADE IN'!$F254))</f>
        <v>1699</v>
      </c>
      <c r="S254" s="46">
        <f>IF(VLOOKUP($C254,REV!$C:$AA,17,0)-'TRADE IN'!$F266=0,"",(VLOOKUP($C254,REV!$C:$AA,17,0)-'TRADE IN'!$F254))</f>
        <v>1649</v>
      </c>
      <c r="T254" s="46">
        <f>IF(VLOOKUP($C254,REV!$C:$AA,18,0)-'TRADE IN'!$F266=0,"",(VLOOKUP($C254,REV!$C:$AA,18,0)-'TRADE IN'!$F254))</f>
        <v>1299</v>
      </c>
      <c r="U254" s="46">
        <f>IF(VLOOKUP($C254,REV!$C:$AA,19,0)-'TRADE IN'!$F266=0,"",(VLOOKUP($C254,REV!$C:$AA,19,0)-'TRADE IN'!$F254))</f>
        <v>1299</v>
      </c>
      <c r="V254" s="46">
        <f>IF(VLOOKUP($C254,REV!$C:$AA,20,0)-'TRADE IN'!$F266=0,"",(VLOOKUP($C254,REV!$C:$AA,20,0)-'TRADE IN'!$F254))</f>
        <v>1299</v>
      </c>
      <c r="W254" s="46">
        <f>IF(VLOOKUP($C254,REV!$C:$AA,21,0)-'TRADE IN'!$F266=0,"",(VLOOKUP($C254,REV!$C:$AA,21,0)-'TRADE IN'!$F254))</f>
        <v>1299</v>
      </c>
      <c r="X254" s="46">
        <f>IF(VLOOKUP($C254,REV!$C:$AA,22,0)-'TRADE IN'!$F266=0,"",(VLOOKUP($C254,REV!$C:$AA,22,0)-'TRADE IN'!$F254))</f>
        <v>1199</v>
      </c>
      <c r="Y254" s="46">
        <f>IF(VLOOKUP($C254,REV!$C:$AA,23,0)-'TRADE IN'!$F266=0,"",(VLOOKUP($C254,REV!$C:$AA,23,0)-'TRADE IN'!$F254))</f>
        <v>1199</v>
      </c>
      <c r="Z254" s="46">
        <f>IF(VLOOKUP($C254,REV!$C:$AA,24,0)-'TRADE IN'!$F266=0,"",(VLOOKUP($C254,REV!$C:$AA,24,0)-'TRADE IN'!$F254))</f>
        <v>1199</v>
      </c>
      <c r="AA254" s="46">
        <f>IF(VLOOKUP($C254,REV!$C:$AA,25,0)-'TRADE IN'!$F266=0,"",(VLOOKUP($C254,REV!$C:$AA,25,0)-'TRADE IN'!$F254))</f>
        <v>1199</v>
      </c>
      <c r="AB254" s="46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tr">
        <f>IF(REV!AW254=0,"",REV!AW254)</f>
        <v>31.03.2026</v>
      </c>
      <c r="AX254" s="159" t="s">
        <v>82</v>
      </c>
    </row>
    <row r="255" spans="1:50" ht="22" customHeight="1">
      <c r="A255" s="52" t="s">
        <v>70</v>
      </c>
      <c r="B255" s="41" t="s">
        <v>62</v>
      </c>
      <c r="C255" s="42">
        <v>4016285</v>
      </c>
      <c r="D255" s="44" t="s">
        <v>369</v>
      </c>
      <c r="E255" s="44" t="s">
        <v>371</v>
      </c>
      <c r="F255" s="45"/>
      <c r="G255" s="45"/>
      <c r="H255" s="45"/>
      <c r="I255" s="45"/>
      <c r="J255" s="46">
        <f>IF(VLOOKUP($C255,REV!$C:$AA,8,0)-'TRADE IN'!$F255=0,"",(VLOOKUP($C255,REV!$C:$AA,8,0)-'TRADE IN'!$F255))</f>
        <v>1799</v>
      </c>
      <c r="K255" s="46">
        <f>IF(VLOOKUP($C255,REV!$C:$AA,9,0)-'TRADE IN'!$F255=0,"",(VLOOKUP($C255,REV!$C:$AA,9,0)-'TRADE IN'!$F255))</f>
        <v>1799</v>
      </c>
      <c r="L255" s="46">
        <f>IF(VLOOKUP($C255,REV!$C:$AA,10,0)-'TRADE IN'!$F267=0,"",(VLOOKUP($C255,REV!$C:$AA,10,0)-'TRADE IN'!$F255))</f>
        <v>1799</v>
      </c>
      <c r="M255" s="46">
        <f>IF(VLOOKUP($C255,REV!$C:$AA,11,0)-'TRADE IN'!$F267=0,"",(VLOOKUP($C255,REV!$C:$AA,11,0)-'TRADE IN'!$F255))</f>
        <v>1799</v>
      </c>
      <c r="N255" s="46">
        <f>IF(VLOOKUP($C255,REV!$C:$AA,12,0)-'TRADE IN'!$F267=0,"",(VLOOKUP($C255,REV!$C:$AA,12,0)-'TRADE IN'!$F255))</f>
        <v>1799</v>
      </c>
      <c r="O255" s="46">
        <f>IF(VLOOKUP($C255,REV!$C:$AA,13,0)-'TRADE IN'!$F267=0,"",(VLOOKUP($C255,REV!$C:$AA,13,0)-'TRADE IN'!$F255))</f>
        <v>1699</v>
      </c>
      <c r="P255" s="46">
        <f>IF(VLOOKUP($C255,REV!$C:$AA,14,0)-'TRADE IN'!$F267=0,"",(VLOOKUP($C255,REV!$C:$AA,14,0)-'TRADE IN'!$F255))</f>
        <v>1649</v>
      </c>
      <c r="Q255" s="46">
        <f>IF(VLOOKUP($C255,REV!$C:$AA,15,0)-'TRADE IN'!$F267=0,"",(VLOOKUP($C255,REV!$C:$AA,15,0)-'TRADE IN'!$F255))</f>
        <v>1299</v>
      </c>
      <c r="R255" s="46">
        <f>IF(VLOOKUP($C255,REV!$C:$AA,16,0)-'TRADE IN'!$F267=0,"",(VLOOKUP($C255,REV!$C:$AA,16,0)-'TRADE IN'!$F255))</f>
        <v>1699</v>
      </c>
      <c r="S255" s="46">
        <f>IF(VLOOKUP($C255,REV!$C:$AA,17,0)-'TRADE IN'!$F267=0,"",(VLOOKUP($C255,REV!$C:$AA,17,0)-'TRADE IN'!$F255))</f>
        <v>1649</v>
      </c>
      <c r="T255" s="46">
        <f>IF(VLOOKUP($C255,REV!$C:$AA,18,0)-'TRADE IN'!$F267=0,"",(VLOOKUP($C255,REV!$C:$AA,18,0)-'TRADE IN'!$F255))</f>
        <v>1299</v>
      </c>
      <c r="U255" s="46">
        <f>IF(VLOOKUP($C255,REV!$C:$AA,19,0)-'TRADE IN'!$F267=0,"",(VLOOKUP($C255,REV!$C:$AA,19,0)-'TRADE IN'!$F255))</f>
        <v>1299</v>
      </c>
      <c r="V255" s="46">
        <f>IF(VLOOKUP($C255,REV!$C:$AA,20,0)-'TRADE IN'!$F267=0,"",(VLOOKUP($C255,REV!$C:$AA,20,0)-'TRADE IN'!$F255))</f>
        <v>1299</v>
      </c>
      <c r="W255" s="46">
        <f>IF(VLOOKUP($C255,REV!$C:$AA,21,0)-'TRADE IN'!$F267=0,"",(VLOOKUP($C255,REV!$C:$AA,21,0)-'TRADE IN'!$F255))</f>
        <v>1299</v>
      </c>
      <c r="X255" s="46">
        <f>IF(VLOOKUP($C255,REV!$C:$AA,22,0)-'TRADE IN'!$F267=0,"",(VLOOKUP($C255,REV!$C:$AA,22,0)-'TRADE IN'!$F255))</f>
        <v>1199</v>
      </c>
      <c r="Y255" s="46">
        <f>IF(VLOOKUP($C255,REV!$C:$AA,23,0)-'TRADE IN'!$F267=0,"",(VLOOKUP($C255,REV!$C:$AA,23,0)-'TRADE IN'!$F255))</f>
        <v>1199</v>
      </c>
      <c r="Z255" s="46">
        <f>IF(VLOOKUP($C255,REV!$C:$AA,24,0)-'TRADE IN'!$F267=0,"",(VLOOKUP($C255,REV!$C:$AA,24,0)-'TRADE IN'!$F255))</f>
        <v>1199</v>
      </c>
      <c r="AA255" s="46">
        <f>IF(VLOOKUP($C255,REV!$C:$AA,25,0)-'TRADE IN'!$F267=0,"",(VLOOKUP($C255,REV!$C:$AA,25,0)-'TRADE IN'!$F255))</f>
        <v>1199</v>
      </c>
      <c r="AB255" s="46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tr">
        <f>IF(REV!AW255=0,"",REV!AW255)</f>
        <v>31.03.2026</v>
      </c>
      <c r="AX255" s="159" t="s">
        <v>82</v>
      </c>
    </row>
    <row r="256" spans="1:50" ht="22" customHeight="1">
      <c r="A256" s="52" t="s">
        <v>70</v>
      </c>
      <c r="B256" s="41" t="s">
        <v>62</v>
      </c>
      <c r="C256" s="42">
        <v>4016922</v>
      </c>
      <c r="D256" s="44" t="s">
        <v>372</v>
      </c>
      <c r="E256" s="44" t="s">
        <v>373</v>
      </c>
      <c r="F256" s="45"/>
      <c r="G256" s="45"/>
      <c r="H256" s="45"/>
      <c r="I256" s="45"/>
      <c r="J256" s="46">
        <f>IF(VLOOKUP($C256,REV!$C:$AA,8,0)-'TRADE IN'!$F256=0,"",(VLOOKUP($C256,REV!$C:$AA,8,0)-'TRADE IN'!$F256))</f>
        <v>2399</v>
      </c>
      <c r="K256" s="46">
        <f>IF(VLOOKUP($C256,REV!$C:$AA,9,0)-'TRADE IN'!$F256=0,"",(VLOOKUP($C256,REV!$C:$AA,9,0)-'TRADE IN'!$F256))</f>
        <v>2399</v>
      </c>
      <c r="L256" s="46">
        <f>IF(VLOOKUP($C256,REV!$C:$AA,10,0)-'TRADE IN'!$F268=0,"",(VLOOKUP($C256,REV!$C:$AA,10,0)-'TRADE IN'!$F256))</f>
        <v>2399</v>
      </c>
      <c r="M256" s="46">
        <f>IF(VLOOKUP($C256,REV!$C:$AA,11,0)-'TRADE IN'!$F268=0,"",(VLOOKUP($C256,REV!$C:$AA,11,0)-'TRADE IN'!$F256))</f>
        <v>2399</v>
      </c>
      <c r="N256" s="46">
        <f>IF(VLOOKUP($C256,REV!$C:$AA,12,0)-'TRADE IN'!$F268=0,"",(VLOOKUP($C256,REV!$C:$AA,12,0)-'TRADE IN'!$F256))</f>
        <v>2399</v>
      </c>
      <c r="O256" s="46">
        <f>IF(VLOOKUP($C256,REV!$C:$AA,13,0)-'TRADE IN'!$F268=0,"",(VLOOKUP($C256,REV!$C:$AA,13,0)-'TRADE IN'!$F256))</f>
        <v>2299</v>
      </c>
      <c r="P256" s="46">
        <f>IF(VLOOKUP($C256,REV!$C:$AA,14,0)-'TRADE IN'!$F268=0,"",(VLOOKUP($C256,REV!$C:$AA,14,0)-'TRADE IN'!$F256))</f>
        <v>2199</v>
      </c>
      <c r="Q256" s="46">
        <f>IF(VLOOKUP($C256,REV!$C:$AA,15,0)-'TRADE IN'!$F268=0,"",(VLOOKUP($C256,REV!$C:$AA,15,0)-'TRADE IN'!$F256))</f>
        <v>1499</v>
      </c>
      <c r="R256" s="46">
        <f>IF(VLOOKUP($C256,REV!$C:$AA,16,0)-'TRADE IN'!$F268=0,"",(VLOOKUP($C256,REV!$C:$AA,16,0)-'TRADE IN'!$F256))</f>
        <v>2299</v>
      </c>
      <c r="S256" s="46">
        <f>IF(VLOOKUP($C256,REV!$C:$AA,17,0)-'TRADE IN'!$F268=0,"",(VLOOKUP($C256,REV!$C:$AA,17,0)-'TRADE IN'!$F256))</f>
        <v>2199</v>
      </c>
      <c r="T256" s="46">
        <f>IF(VLOOKUP($C256,REV!$C:$AA,18,0)-'TRADE IN'!$F268=0,"",(VLOOKUP($C256,REV!$C:$AA,18,0)-'TRADE IN'!$F256))</f>
        <v>1499</v>
      </c>
      <c r="U256" s="46">
        <f>IF(VLOOKUP($C256,REV!$C:$AA,19,0)-'TRADE IN'!$F268=0,"",(VLOOKUP($C256,REV!$C:$AA,19,0)-'TRADE IN'!$F256))</f>
        <v>1499</v>
      </c>
      <c r="V256" s="46">
        <f>IF(VLOOKUP($C256,REV!$C:$AA,20,0)-'TRADE IN'!$F268=0,"",(VLOOKUP($C256,REV!$C:$AA,20,0)-'TRADE IN'!$F256))</f>
        <v>1499</v>
      </c>
      <c r="W256" s="46">
        <f>IF(VLOOKUP($C256,REV!$C:$AA,21,0)-'TRADE IN'!$F268=0,"",(VLOOKUP($C256,REV!$C:$AA,21,0)-'TRADE IN'!$F256))</f>
        <v>1499</v>
      </c>
      <c r="X256" s="46">
        <f>IF(VLOOKUP($C256,REV!$C:$AA,22,0)-'TRADE IN'!$F268=0,"",(VLOOKUP($C256,REV!$C:$AA,22,0)-'TRADE IN'!$F256))</f>
        <v>1399</v>
      </c>
      <c r="Y256" s="46">
        <f>IF(VLOOKUP($C256,REV!$C:$AA,23,0)-'TRADE IN'!$F268=0,"",(VLOOKUP($C256,REV!$C:$AA,23,0)-'TRADE IN'!$F256))</f>
        <v>1199</v>
      </c>
      <c r="Z256" s="46">
        <f>IF(VLOOKUP($C256,REV!$C:$AA,24,0)-'TRADE IN'!$F268=0,"",(VLOOKUP($C256,REV!$C:$AA,24,0)-'TRADE IN'!$F256))</f>
        <v>1199</v>
      </c>
      <c r="AA256" s="46">
        <f>IF(VLOOKUP($C256,REV!$C:$AA,25,0)-'TRADE IN'!$F268=0,"",(VLOOKUP($C256,REV!$C:$AA,25,0)-'TRADE IN'!$F256))</f>
        <v>1199</v>
      </c>
      <c r="AB256" s="46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tr">
        <f>IF(REV!AW256=0,"",REV!AW256)</f>
        <v>31.03.2026</v>
      </c>
      <c r="AX256" s="159" t="s">
        <v>82</v>
      </c>
    </row>
    <row r="257" spans="1:50" ht="22" customHeight="1">
      <c r="A257" s="52" t="s">
        <v>70</v>
      </c>
      <c r="B257" s="41" t="s">
        <v>62</v>
      </c>
      <c r="C257" s="42">
        <v>4016923</v>
      </c>
      <c r="D257" s="44" t="s">
        <v>372</v>
      </c>
      <c r="E257" s="44" t="s">
        <v>374</v>
      </c>
      <c r="F257" s="45"/>
      <c r="G257" s="45"/>
      <c r="H257" s="45"/>
      <c r="I257" s="45"/>
      <c r="J257" s="46">
        <f>IF(VLOOKUP($C257,REV!$C:$AA,8,0)-'TRADE IN'!$F257=0,"",(VLOOKUP($C257,REV!$C:$AA,8,0)-'TRADE IN'!$F257))</f>
        <v>2399</v>
      </c>
      <c r="K257" s="46">
        <f>IF(VLOOKUP($C257,REV!$C:$AA,9,0)-'TRADE IN'!$F257=0,"",(VLOOKUP($C257,REV!$C:$AA,9,0)-'TRADE IN'!$F257))</f>
        <v>2399</v>
      </c>
      <c r="L257" s="46">
        <f>IF(VLOOKUP($C257,REV!$C:$AA,10,0)-'TRADE IN'!$F269=0,"",(VLOOKUP($C257,REV!$C:$AA,10,0)-'TRADE IN'!$F257))</f>
        <v>2399</v>
      </c>
      <c r="M257" s="46">
        <f>IF(VLOOKUP($C257,REV!$C:$AA,11,0)-'TRADE IN'!$F269=0,"",(VLOOKUP($C257,REV!$C:$AA,11,0)-'TRADE IN'!$F257))</f>
        <v>2399</v>
      </c>
      <c r="N257" s="46">
        <f>IF(VLOOKUP($C257,REV!$C:$AA,12,0)-'TRADE IN'!$F269=0,"",(VLOOKUP($C257,REV!$C:$AA,12,0)-'TRADE IN'!$F257))</f>
        <v>2399</v>
      </c>
      <c r="O257" s="46">
        <f>IF(VLOOKUP($C257,REV!$C:$AA,13,0)-'TRADE IN'!$F269=0,"",(VLOOKUP($C257,REV!$C:$AA,13,0)-'TRADE IN'!$F257))</f>
        <v>2299</v>
      </c>
      <c r="P257" s="46">
        <f>IF(VLOOKUP($C257,REV!$C:$AA,14,0)-'TRADE IN'!$F269=0,"",(VLOOKUP($C257,REV!$C:$AA,14,0)-'TRADE IN'!$F257))</f>
        <v>2199</v>
      </c>
      <c r="Q257" s="46">
        <f>IF(VLOOKUP($C257,REV!$C:$AA,15,0)-'TRADE IN'!$F269=0,"",(VLOOKUP($C257,REV!$C:$AA,15,0)-'TRADE IN'!$F257))</f>
        <v>1499</v>
      </c>
      <c r="R257" s="46">
        <f>IF(VLOOKUP($C257,REV!$C:$AA,16,0)-'TRADE IN'!$F269=0,"",(VLOOKUP($C257,REV!$C:$AA,16,0)-'TRADE IN'!$F257))</f>
        <v>2299</v>
      </c>
      <c r="S257" s="46">
        <f>IF(VLOOKUP($C257,REV!$C:$AA,17,0)-'TRADE IN'!$F269=0,"",(VLOOKUP($C257,REV!$C:$AA,17,0)-'TRADE IN'!$F257))</f>
        <v>2199</v>
      </c>
      <c r="T257" s="46">
        <f>IF(VLOOKUP($C257,REV!$C:$AA,18,0)-'TRADE IN'!$F269=0,"",(VLOOKUP($C257,REV!$C:$AA,18,0)-'TRADE IN'!$F257))</f>
        <v>1499</v>
      </c>
      <c r="U257" s="46">
        <f>IF(VLOOKUP($C257,REV!$C:$AA,19,0)-'TRADE IN'!$F269=0,"",(VLOOKUP($C257,REV!$C:$AA,19,0)-'TRADE IN'!$F257))</f>
        <v>1499</v>
      </c>
      <c r="V257" s="46">
        <f>IF(VLOOKUP($C257,REV!$C:$AA,20,0)-'TRADE IN'!$F269=0,"",(VLOOKUP($C257,REV!$C:$AA,20,0)-'TRADE IN'!$F257))</f>
        <v>1499</v>
      </c>
      <c r="W257" s="46">
        <f>IF(VLOOKUP($C257,REV!$C:$AA,21,0)-'TRADE IN'!$F269=0,"",(VLOOKUP($C257,REV!$C:$AA,21,0)-'TRADE IN'!$F257))</f>
        <v>1499</v>
      </c>
      <c r="X257" s="46">
        <f>IF(VLOOKUP($C257,REV!$C:$AA,22,0)-'TRADE IN'!$F269=0,"",(VLOOKUP($C257,REV!$C:$AA,22,0)-'TRADE IN'!$F257))</f>
        <v>1399</v>
      </c>
      <c r="Y257" s="46">
        <f>IF(VLOOKUP($C257,REV!$C:$AA,23,0)-'TRADE IN'!$F269=0,"",(VLOOKUP($C257,REV!$C:$AA,23,0)-'TRADE IN'!$F257))</f>
        <v>1199</v>
      </c>
      <c r="Z257" s="46">
        <f>IF(VLOOKUP($C257,REV!$C:$AA,24,0)-'TRADE IN'!$F269=0,"",(VLOOKUP($C257,REV!$C:$AA,24,0)-'TRADE IN'!$F257))</f>
        <v>1199</v>
      </c>
      <c r="AA257" s="46">
        <f>IF(VLOOKUP($C257,REV!$C:$AA,25,0)-'TRADE IN'!$F269=0,"",(VLOOKUP($C257,REV!$C:$AA,25,0)-'TRADE IN'!$F257))</f>
        <v>1199</v>
      </c>
      <c r="AB257" s="46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tr">
        <f>IF(REV!AW257=0,"",REV!AW257)</f>
        <v>31.03.2026</v>
      </c>
      <c r="AX257" s="159" t="s">
        <v>82</v>
      </c>
    </row>
    <row r="258" spans="1:50" ht="22" customHeight="1">
      <c r="A258" s="52" t="s">
        <v>70</v>
      </c>
      <c r="B258" s="41" t="s">
        <v>62</v>
      </c>
      <c r="C258" s="42">
        <v>4017420</v>
      </c>
      <c r="D258" s="44" t="s">
        <v>375</v>
      </c>
      <c r="E258" s="44" t="s">
        <v>376</v>
      </c>
      <c r="F258" s="45"/>
      <c r="G258" s="45"/>
      <c r="H258" s="45"/>
      <c r="I258" s="45"/>
      <c r="J258" s="46">
        <f>IF(VLOOKUP($C258,REV!$C:$AA,8,0)-'TRADE IN'!$F258=0,"",(VLOOKUP($C258,REV!$C:$AA,8,0)-'TRADE IN'!$F258))</f>
        <v>2699</v>
      </c>
      <c r="K258" s="46">
        <f>IF(VLOOKUP($C258,REV!$C:$AA,9,0)-'TRADE IN'!$F258=0,"",(VLOOKUP($C258,REV!$C:$AA,9,0)-'TRADE IN'!$F258))</f>
        <v>2699</v>
      </c>
      <c r="L258" s="46">
        <f>IF(VLOOKUP($C258,REV!$C:$AA,10,0)-'TRADE IN'!$F270=0,"",(VLOOKUP($C258,REV!$C:$AA,10,0)-'TRADE IN'!$F258))</f>
        <v>2699</v>
      </c>
      <c r="M258" s="46">
        <f>IF(VLOOKUP($C258,REV!$C:$AA,11,0)-'TRADE IN'!$F270=0,"",(VLOOKUP($C258,REV!$C:$AA,11,0)-'TRADE IN'!$F258))</f>
        <v>2699</v>
      </c>
      <c r="N258" s="46">
        <f>IF(VLOOKUP($C258,REV!$C:$AA,12,0)-'TRADE IN'!$F270=0,"",(VLOOKUP($C258,REV!$C:$AA,12,0)-'TRADE IN'!$F258))</f>
        <v>2699</v>
      </c>
      <c r="O258" s="46">
        <f>IF(VLOOKUP($C258,REV!$C:$AA,13,0)-'TRADE IN'!$F270=0,"",(VLOOKUP($C258,REV!$C:$AA,13,0)-'TRADE IN'!$F258))</f>
        <v>2399</v>
      </c>
      <c r="P258" s="46">
        <f>IF(VLOOKUP($C258,REV!$C:$AA,14,0)-'TRADE IN'!$F270=0,"",(VLOOKUP($C258,REV!$C:$AA,14,0)-'TRADE IN'!$F258))</f>
        <v>2299</v>
      </c>
      <c r="Q258" s="46">
        <f>IF(VLOOKUP($C258,REV!$C:$AA,15,0)-'TRADE IN'!$F270=0,"",(VLOOKUP($C258,REV!$C:$AA,15,0)-'TRADE IN'!$F258))</f>
        <v>1499</v>
      </c>
      <c r="R258" s="46">
        <f>IF(VLOOKUP($C258,REV!$C:$AA,16,0)-'TRADE IN'!$F270=0,"",(VLOOKUP($C258,REV!$C:$AA,16,0)-'TRADE IN'!$F258))</f>
        <v>2399</v>
      </c>
      <c r="S258" s="46">
        <f>IF(VLOOKUP($C258,REV!$C:$AA,17,0)-'TRADE IN'!$F270=0,"",(VLOOKUP($C258,REV!$C:$AA,17,0)-'TRADE IN'!$F258))</f>
        <v>2299</v>
      </c>
      <c r="T258" s="46">
        <f>IF(VLOOKUP($C258,REV!$C:$AA,18,0)-'TRADE IN'!$F270=0,"",(VLOOKUP($C258,REV!$C:$AA,18,0)-'TRADE IN'!$F258))</f>
        <v>1499</v>
      </c>
      <c r="U258" s="46">
        <f>IF(VLOOKUP($C258,REV!$C:$AA,19,0)-'TRADE IN'!$F270=0,"",(VLOOKUP($C258,REV!$C:$AA,19,0)-'TRADE IN'!$F258))</f>
        <v>1499</v>
      </c>
      <c r="V258" s="46">
        <f>IF(VLOOKUP($C258,REV!$C:$AA,20,0)-'TRADE IN'!$F270=0,"",(VLOOKUP($C258,REV!$C:$AA,20,0)-'TRADE IN'!$F258))</f>
        <v>1499</v>
      </c>
      <c r="W258" s="46">
        <f>IF(VLOOKUP($C258,REV!$C:$AA,21,0)-'TRADE IN'!$F270=0,"",(VLOOKUP($C258,REV!$C:$AA,21,0)-'TRADE IN'!$F258))</f>
        <v>1499</v>
      </c>
      <c r="X258" s="46">
        <f>IF(VLOOKUP($C258,REV!$C:$AA,22,0)-'TRADE IN'!$F270=0,"",(VLOOKUP($C258,REV!$C:$AA,22,0)-'TRADE IN'!$F258))</f>
        <v>1399</v>
      </c>
      <c r="Y258" s="46">
        <f>IF(VLOOKUP($C258,REV!$C:$AA,23,0)-'TRADE IN'!$F270=0,"",(VLOOKUP($C258,REV!$C:$AA,23,0)-'TRADE IN'!$F258))</f>
        <v>1299</v>
      </c>
      <c r="Z258" s="46">
        <f>IF(VLOOKUP($C258,REV!$C:$AA,24,0)-'TRADE IN'!$F270=0,"",(VLOOKUP($C258,REV!$C:$AA,24,0)-'TRADE IN'!$F258))</f>
        <v>1299</v>
      </c>
      <c r="AA258" s="46">
        <f>IF(VLOOKUP($C258,REV!$C:$AA,25,0)-'TRADE IN'!$F270=0,"",(VLOOKUP($C258,REV!$C:$AA,25,0)-'TRADE IN'!$F258))</f>
        <v>1299</v>
      </c>
      <c r="AB258" s="46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tr">
        <f>IF(REV!AW258=0,"",REV!AW258)</f>
        <v>31.03.2026</v>
      </c>
      <c r="AX258" s="159" t="s">
        <v>82</v>
      </c>
    </row>
    <row r="259" spans="1:50" ht="22" customHeight="1">
      <c r="A259" s="52" t="s">
        <v>70</v>
      </c>
      <c r="B259" s="41" t="s">
        <v>62</v>
      </c>
      <c r="C259" s="42">
        <v>4017415</v>
      </c>
      <c r="D259" s="44" t="s">
        <v>375</v>
      </c>
      <c r="E259" s="44" t="s">
        <v>377</v>
      </c>
      <c r="F259" s="45"/>
      <c r="G259" s="45"/>
      <c r="H259" s="45"/>
      <c r="I259" s="45"/>
      <c r="J259" s="46">
        <f>IF(VLOOKUP($C259,REV!$C:$AA,8,0)-'TRADE IN'!$F259=0,"",(VLOOKUP($C259,REV!$C:$AA,8,0)-'TRADE IN'!$F259))</f>
        <v>2699</v>
      </c>
      <c r="K259" s="46">
        <f>IF(VLOOKUP($C259,REV!$C:$AA,9,0)-'TRADE IN'!$F259=0,"",(VLOOKUP($C259,REV!$C:$AA,9,0)-'TRADE IN'!$F259))</f>
        <v>2699</v>
      </c>
      <c r="L259" s="46">
        <f>IF(VLOOKUP($C259,REV!$C:$AA,10,0)-'TRADE IN'!$F270=0,"",(VLOOKUP($C259,REV!$C:$AA,10,0)-'TRADE IN'!$F259))</f>
        <v>2699</v>
      </c>
      <c r="M259" s="46">
        <f>IF(VLOOKUP($C259,REV!$C:$AA,11,0)-'TRADE IN'!$F270=0,"",(VLOOKUP($C259,REV!$C:$AA,11,0)-'TRADE IN'!$F259))</f>
        <v>2699</v>
      </c>
      <c r="N259" s="46">
        <f>IF(VLOOKUP($C259,REV!$C:$AA,12,0)-'TRADE IN'!$F270=0,"",(VLOOKUP($C259,REV!$C:$AA,12,0)-'TRADE IN'!$F259))</f>
        <v>2699</v>
      </c>
      <c r="O259" s="46">
        <f>IF(VLOOKUP($C259,REV!$C:$AA,13,0)-'TRADE IN'!$F270=0,"",(VLOOKUP($C259,REV!$C:$AA,13,0)-'TRADE IN'!$F259))</f>
        <v>2399</v>
      </c>
      <c r="P259" s="46">
        <f>IF(VLOOKUP($C259,REV!$C:$AA,14,0)-'TRADE IN'!$F270=0,"",(VLOOKUP($C259,REV!$C:$AA,14,0)-'TRADE IN'!$F259))</f>
        <v>2299</v>
      </c>
      <c r="Q259" s="46">
        <f>IF(VLOOKUP($C259,REV!$C:$AA,15,0)-'TRADE IN'!$F270=0,"",(VLOOKUP($C259,REV!$C:$AA,15,0)-'TRADE IN'!$F259))</f>
        <v>1499</v>
      </c>
      <c r="R259" s="46">
        <f>IF(VLOOKUP($C259,REV!$C:$AA,16,0)-'TRADE IN'!$F270=0,"",(VLOOKUP($C259,REV!$C:$AA,16,0)-'TRADE IN'!$F259))</f>
        <v>2399</v>
      </c>
      <c r="S259" s="46">
        <f>IF(VLOOKUP($C259,REV!$C:$AA,17,0)-'TRADE IN'!$F270=0,"",(VLOOKUP($C259,REV!$C:$AA,17,0)-'TRADE IN'!$F259))</f>
        <v>2299</v>
      </c>
      <c r="T259" s="46">
        <f>IF(VLOOKUP($C259,REV!$C:$AA,18,0)-'TRADE IN'!$F270=0,"",(VLOOKUP($C259,REV!$C:$AA,18,0)-'TRADE IN'!$F259))</f>
        <v>1499</v>
      </c>
      <c r="U259" s="46">
        <f>IF(VLOOKUP($C259,REV!$C:$AA,19,0)-'TRADE IN'!$F270=0,"",(VLOOKUP($C259,REV!$C:$AA,19,0)-'TRADE IN'!$F259))</f>
        <v>1499</v>
      </c>
      <c r="V259" s="46">
        <f>IF(VLOOKUP($C259,REV!$C:$AA,20,0)-'TRADE IN'!$F270=0,"",(VLOOKUP($C259,REV!$C:$AA,20,0)-'TRADE IN'!$F259))</f>
        <v>1499</v>
      </c>
      <c r="W259" s="46">
        <f>IF(VLOOKUP($C259,REV!$C:$AA,21,0)-'TRADE IN'!$F270=0,"",(VLOOKUP($C259,REV!$C:$AA,21,0)-'TRADE IN'!$F259))</f>
        <v>1499</v>
      </c>
      <c r="X259" s="46">
        <f>IF(VLOOKUP($C259,REV!$C:$AA,22,0)-'TRADE IN'!$F270=0,"",(VLOOKUP($C259,REV!$C:$AA,22,0)-'TRADE IN'!$F259))</f>
        <v>1399</v>
      </c>
      <c r="Y259" s="46">
        <f>IF(VLOOKUP($C259,REV!$C:$AA,23,0)-'TRADE IN'!$F270=0,"",(VLOOKUP($C259,REV!$C:$AA,23,0)-'TRADE IN'!$F259))</f>
        <v>1299</v>
      </c>
      <c r="Z259" s="46">
        <f>IF(VLOOKUP($C259,REV!$C:$AA,24,0)-'TRADE IN'!$F270=0,"",(VLOOKUP($C259,REV!$C:$AA,24,0)-'TRADE IN'!$F259))</f>
        <v>1299</v>
      </c>
      <c r="AA259" s="46">
        <f>IF(VLOOKUP($C259,REV!$C:$AA,25,0)-'TRADE IN'!$F270=0,"",(VLOOKUP($C259,REV!$C:$AA,25,0)-'TRADE IN'!$F259))</f>
        <v>1299</v>
      </c>
      <c r="AB259" s="46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tr">
        <f>IF(REV!AW259=0,"",REV!AW259)</f>
        <v>31.03.2026</v>
      </c>
      <c r="AX259" s="159" t="s">
        <v>82</v>
      </c>
    </row>
    <row r="260" spans="1:50" ht="22" customHeight="1">
      <c r="A260" s="52" t="s">
        <v>70</v>
      </c>
      <c r="B260" s="41" t="s">
        <v>62</v>
      </c>
      <c r="C260" s="42">
        <v>4017041</v>
      </c>
      <c r="D260" s="44" t="s">
        <v>378</v>
      </c>
      <c r="E260" s="44" t="s">
        <v>379</v>
      </c>
      <c r="F260" s="45"/>
      <c r="G260" s="45"/>
      <c r="H260" s="45"/>
      <c r="I260" s="45"/>
      <c r="J260" s="46">
        <f>IF(VLOOKUP($C260,REV!$C:$AA,8,0)-'TRADE IN'!$F260=0,"",(VLOOKUP($C260,REV!$C:$AA,8,0)-'TRADE IN'!$F260))</f>
        <v>3699</v>
      </c>
      <c r="K260" s="46">
        <f>IF(VLOOKUP($C260,REV!$C:$AA,9,0)-'TRADE IN'!$F260=0,"",(VLOOKUP($C260,REV!$C:$AA,9,0)-'TRADE IN'!$F260))</f>
        <v>3599</v>
      </c>
      <c r="L260" s="46">
        <f>IF(VLOOKUP($C260,REV!$C:$AA,10,0)-'TRADE IN'!$F271=0,"",(VLOOKUP($C260,REV!$C:$AA,10,0)-'TRADE IN'!$F260))</f>
        <v>3599</v>
      </c>
      <c r="M260" s="46">
        <f>IF(VLOOKUP($C260,REV!$C:$AA,11,0)-'TRADE IN'!$F271=0,"",(VLOOKUP($C260,REV!$C:$AA,11,0)-'TRADE IN'!$F260))</f>
        <v>3699</v>
      </c>
      <c r="N260" s="46">
        <f>IF(VLOOKUP($C260,REV!$C:$AA,12,0)-'TRADE IN'!$F271=0,"",(VLOOKUP($C260,REV!$C:$AA,12,0)-'TRADE IN'!$F260))</f>
        <v>3599</v>
      </c>
      <c r="O260" s="46">
        <f>IF(VLOOKUP($C260,REV!$C:$AA,13,0)-'TRADE IN'!$F271=0,"",(VLOOKUP($C260,REV!$C:$AA,13,0)-'TRADE IN'!$F260))</f>
        <v>3499</v>
      </c>
      <c r="P260" s="46">
        <f>IF(VLOOKUP($C260,REV!$C:$AA,14,0)-'TRADE IN'!$F271=0,"",(VLOOKUP($C260,REV!$C:$AA,14,0)-'TRADE IN'!$F260))</f>
        <v>3399</v>
      </c>
      <c r="Q260" s="46">
        <f>IF(VLOOKUP($C260,REV!$C:$AA,15,0)-'TRADE IN'!$F271=0,"",(VLOOKUP($C260,REV!$C:$AA,15,0)-'TRADE IN'!$F260))</f>
        <v>2799</v>
      </c>
      <c r="R260" s="46">
        <f>IF(VLOOKUP($C260,REV!$C:$AA,16,0)-'TRADE IN'!$F271=0,"",(VLOOKUP($C260,REV!$C:$AA,16,0)-'TRADE IN'!$F260))</f>
        <v>3499</v>
      </c>
      <c r="S260" s="46">
        <f>IF(VLOOKUP($C260,REV!$C:$AA,17,0)-'TRADE IN'!$F271=0,"",(VLOOKUP($C260,REV!$C:$AA,17,0)-'TRADE IN'!$F260))</f>
        <v>3399</v>
      </c>
      <c r="T260" s="46">
        <f>IF(VLOOKUP($C260,REV!$C:$AA,18,0)-'TRADE IN'!$F271=0,"",(VLOOKUP($C260,REV!$C:$AA,18,0)-'TRADE IN'!$F260))</f>
        <v>2799</v>
      </c>
      <c r="U260" s="46">
        <f>IF(VLOOKUP($C260,REV!$C:$AA,19,0)-'TRADE IN'!$F271=0,"",(VLOOKUP($C260,REV!$C:$AA,19,0)-'TRADE IN'!$F260))</f>
        <v>2799</v>
      </c>
      <c r="V260" s="46">
        <f>IF(VLOOKUP($C260,REV!$C:$AA,20,0)-'TRADE IN'!$F271=0,"",(VLOOKUP($C260,REV!$C:$AA,20,0)-'TRADE IN'!$F260))</f>
        <v>2799</v>
      </c>
      <c r="W260" s="46">
        <f>IF(VLOOKUP($C260,REV!$C:$AA,21,0)-'TRADE IN'!$F271=0,"",(VLOOKUP($C260,REV!$C:$AA,21,0)-'TRADE IN'!$F260))</f>
        <v>2799</v>
      </c>
      <c r="X260" s="46">
        <f>IF(VLOOKUP($C260,REV!$C:$AA,22,0)-'TRADE IN'!$F271=0,"",(VLOOKUP($C260,REV!$C:$AA,22,0)-'TRADE IN'!$F260))</f>
        <v>2599</v>
      </c>
      <c r="Y260" s="46">
        <f>IF(VLOOKUP($C260,REV!$C:$AA,23,0)-'TRADE IN'!$F271=0,"",(VLOOKUP($C260,REV!$C:$AA,23,0)-'TRADE IN'!$F260))</f>
        <v>1799</v>
      </c>
      <c r="Z260" s="46">
        <f>IF(VLOOKUP($C260,REV!$C:$AA,24,0)-'TRADE IN'!$F271=0,"",(VLOOKUP($C260,REV!$C:$AA,24,0)-'TRADE IN'!$F260))</f>
        <v>1799</v>
      </c>
      <c r="AA260" s="46">
        <f>IF(VLOOKUP($C260,REV!$C:$AA,25,0)-'TRADE IN'!$F271=0,"",(VLOOKUP($C260,REV!$C:$AA,25,0)-'TRADE IN'!$F260))</f>
        <v>1799</v>
      </c>
      <c r="AB260" s="46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tr">
        <f>IF(REV!AW260=0,"",REV!AW260)</f>
        <v>31.03.2026</v>
      </c>
      <c r="AX260" s="159" t="s">
        <v>82</v>
      </c>
    </row>
    <row r="261" spans="1:50" ht="22" customHeight="1">
      <c r="A261" s="52" t="s">
        <v>70</v>
      </c>
      <c r="B261" s="41" t="s">
        <v>62</v>
      </c>
      <c r="C261" s="42">
        <v>4017646</v>
      </c>
      <c r="D261" s="44" t="s">
        <v>380</v>
      </c>
      <c r="E261" s="44" t="s">
        <v>381</v>
      </c>
      <c r="F261" s="45"/>
      <c r="G261" s="45"/>
      <c r="H261" s="45"/>
      <c r="I261" s="45"/>
      <c r="J261" s="46">
        <f>IF(VLOOKUP($C261,REV!$C:$AA,8,0)-'TRADE IN'!$F261=0,"",(VLOOKUP($C261,REV!$C:$AA,8,0)-'TRADE IN'!$F261))</f>
        <v>4899</v>
      </c>
      <c r="K261" s="46">
        <f>IF(VLOOKUP($C261,REV!$C:$AA,9,0)-'TRADE IN'!$F261=0,"",(VLOOKUP($C261,REV!$C:$AA,9,0)-'TRADE IN'!$F261))</f>
        <v>4899</v>
      </c>
      <c r="L261" s="46">
        <f>IF(VLOOKUP($C261,REV!$C:$AA,10,0)-'TRADE IN'!$F272=0,"",(VLOOKUP($C261,REV!$C:$AA,10,0)-'TRADE IN'!$F261))</f>
        <v>4899</v>
      </c>
      <c r="M261" s="46">
        <f>IF(VLOOKUP($C261,REV!$C:$AA,11,0)-'TRADE IN'!$F272=0,"",(VLOOKUP($C261,REV!$C:$AA,11,0)-'TRADE IN'!$F261))</f>
        <v>4899</v>
      </c>
      <c r="N261" s="46">
        <f>IF(VLOOKUP($C261,REV!$C:$AA,12,0)-'TRADE IN'!$F272=0,"",(VLOOKUP($C261,REV!$C:$AA,12,0)-'TRADE IN'!$F261))</f>
        <v>4899</v>
      </c>
      <c r="O261" s="46">
        <f>IF(VLOOKUP($C261,REV!$C:$AA,13,0)-'TRADE IN'!$F272=0,"",(VLOOKUP($C261,REV!$C:$AA,13,0)-'TRADE IN'!$F261))</f>
        <v>4799</v>
      </c>
      <c r="P261" s="46">
        <f>IF(VLOOKUP($C261,REV!$C:$AA,14,0)-'TRADE IN'!$F272=0,"",(VLOOKUP($C261,REV!$C:$AA,14,0)-'TRADE IN'!$F261))</f>
        <v>4699</v>
      </c>
      <c r="Q261" s="46">
        <f>IF(VLOOKUP($C261,REV!$C:$AA,15,0)-'TRADE IN'!$F272=0,"",(VLOOKUP($C261,REV!$C:$AA,15,0)-'TRADE IN'!$F261))</f>
        <v>4499</v>
      </c>
      <c r="R261" s="46">
        <f>IF(VLOOKUP($C261,REV!$C:$AA,16,0)-'TRADE IN'!$F272=0,"",(VLOOKUP($C261,REV!$C:$AA,16,0)-'TRADE IN'!$F261))</f>
        <v>4799</v>
      </c>
      <c r="S261" s="46">
        <f>IF(VLOOKUP($C261,REV!$C:$AA,17,0)-'TRADE IN'!$F272=0,"",(VLOOKUP($C261,REV!$C:$AA,17,0)-'TRADE IN'!$F261))</f>
        <v>4699</v>
      </c>
      <c r="T261" s="46">
        <f>IF(VLOOKUP($C261,REV!$C:$AA,18,0)-'TRADE IN'!$F272=0,"",(VLOOKUP($C261,REV!$C:$AA,18,0)-'TRADE IN'!$F261))</f>
        <v>4499</v>
      </c>
      <c r="U261" s="46">
        <f>IF(VLOOKUP($C261,REV!$C:$AA,19,0)-'TRADE IN'!$F272=0,"",(VLOOKUP($C261,REV!$C:$AA,19,0)-'TRADE IN'!$F261))</f>
        <v>4499</v>
      </c>
      <c r="V261" s="46">
        <f>IF(VLOOKUP($C261,REV!$C:$AA,20,0)-'TRADE IN'!$F272=0,"",(VLOOKUP($C261,REV!$C:$AA,20,0)-'TRADE IN'!$F261))</f>
        <v>4499</v>
      </c>
      <c r="W261" s="46">
        <f>IF(VLOOKUP($C261,REV!$C:$AA,21,0)-'TRADE IN'!$F272=0,"",(VLOOKUP($C261,REV!$C:$AA,21,0)-'TRADE IN'!$F261))</f>
        <v>4499</v>
      </c>
      <c r="X261" s="46">
        <f>IF(VLOOKUP($C261,REV!$C:$AA,22,0)-'TRADE IN'!$F272=0,"",(VLOOKUP($C261,REV!$C:$AA,22,0)-'TRADE IN'!$F261))</f>
        <v>4399</v>
      </c>
      <c r="Y261" s="46">
        <f>IF(VLOOKUP($C261,REV!$C:$AA,23,0)-'TRADE IN'!$F272=0,"",(VLOOKUP($C261,REV!$C:$AA,23,0)-'TRADE IN'!$F261))</f>
        <v>3999</v>
      </c>
      <c r="Z261" s="46">
        <f>IF(VLOOKUP($C261,REV!$C:$AA,24,0)-'TRADE IN'!$F272=0,"",(VLOOKUP($C261,REV!$C:$AA,24,0)-'TRADE IN'!$F261))</f>
        <v>3999</v>
      </c>
      <c r="AA261" s="46">
        <f>IF(VLOOKUP($C261,REV!$C:$AA,25,0)-'TRADE IN'!$F272=0,"",(VLOOKUP($C261,REV!$C:$AA,25,0)-'TRADE IN'!$F261))</f>
        <v>3999</v>
      </c>
      <c r="AB261" s="46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tr">
        <f>IF(REV!AW261=0,"",REV!AW261)</f>
        <v>31.03.2026</v>
      </c>
      <c r="AX261" s="159" t="s">
        <v>82</v>
      </c>
    </row>
    <row r="262" spans="1:50" ht="22" customHeight="1">
      <c r="A262" s="52" t="s">
        <v>70</v>
      </c>
      <c r="B262" s="41" t="s">
        <v>62</v>
      </c>
      <c r="C262" s="42">
        <v>4017644</v>
      </c>
      <c r="D262" s="44" t="s">
        <v>380</v>
      </c>
      <c r="E262" s="44" t="s">
        <v>382</v>
      </c>
      <c r="F262" s="45"/>
      <c r="G262" s="45"/>
      <c r="H262" s="45"/>
      <c r="I262" s="45"/>
      <c r="J262" s="46">
        <f>IF(VLOOKUP($C262,REV!$C:$AA,8,0)-'TRADE IN'!$F262=0,"",(VLOOKUP($C262,REV!$C:$AA,8,0)-'TRADE IN'!$F262))</f>
        <v>4899</v>
      </c>
      <c r="K262" s="46">
        <f>IF(VLOOKUP($C262,REV!$C:$AA,9,0)-'TRADE IN'!$F262=0,"",(VLOOKUP($C262,REV!$C:$AA,9,0)-'TRADE IN'!$F262))</f>
        <v>4899</v>
      </c>
      <c r="L262" s="46">
        <f>IF(VLOOKUP($C262,REV!$C:$AA,10,0)-'TRADE IN'!$F273=0,"",(VLOOKUP($C262,REV!$C:$AA,10,0)-'TRADE IN'!$F262))</f>
        <v>4899</v>
      </c>
      <c r="M262" s="46">
        <f>IF(VLOOKUP($C262,REV!$C:$AA,11,0)-'TRADE IN'!$F273=0,"",(VLOOKUP($C262,REV!$C:$AA,11,0)-'TRADE IN'!$F262))</f>
        <v>4899</v>
      </c>
      <c r="N262" s="46">
        <f>IF(VLOOKUP($C262,REV!$C:$AA,12,0)-'TRADE IN'!$F273=0,"",(VLOOKUP($C262,REV!$C:$AA,12,0)-'TRADE IN'!$F262))</f>
        <v>4899</v>
      </c>
      <c r="O262" s="46">
        <f>IF(VLOOKUP($C262,REV!$C:$AA,13,0)-'TRADE IN'!$F273=0,"",(VLOOKUP($C262,REV!$C:$AA,13,0)-'TRADE IN'!$F262))</f>
        <v>4799</v>
      </c>
      <c r="P262" s="46">
        <f>IF(VLOOKUP($C262,REV!$C:$AA,14,0)-'TRADE IN'!$F273=0,"",(VLOOKUP($C262,REV!$C:$AA,14,0)-'TRADE IN'!$F262))</f>
        <v>4699</v>
      </c>
      <c r="Q262" s="46">
        <f>IF(VLOOKUP($C262,REV!$C:$AA,15,0)-'TRADE IN'!$F273=0,"",(VLOOKUP($C262,REV!$C:$AA,15,0)-'TRADE IN'!$F262))</f>
        <v>4499</v>
      </c>
      <c r="R262" s="46">
        <f>IF(VLOOKUP($C262,REV!$C:$AA,16,0)-'TRADE IN'!$F273=0,"",(VLOOKUP($C262,REV!$C:$AA,16,0)-'TRADE IN'!$F262))</f>
        <v>4799</v>
      </c>
      <c r="S262" s="46">
        <f>IF(VLOOKUP($C262,REV!$C:$AA,17,0)-'TRADE IN'!$F273=0,"",(VLOOKUP($C262,REV!$C:$AA,17,0)-'TRADE IN'!$F262))</f>
        <v>4699</v>
      </c>
      <c r="T262" s="46">
        <f>IF(VLOOKUP($C262,REV!$C:$AA,18,0)-'TRADE IN'!$F273=0,"",(VLOOKUP($C262,REV!$C:$AA,18,0)-'TRADE IN'!$F262))</f>
        <v>4499</v>
      </c>
      <c r="U262" s="46">
        <f>IF(VLOOKUP($C262,REV!$C:$AA,19,0)-'TRADE IN'!$F273=0,"",(VLOOKUP($C262,REV!$C:$AA,19,0)-'TRADE IN'!$F262))</f>
        <v>4499</v>
      </c>
      <c r="V262" s="46">
        <f>IF(VLOOKUP($C262,REV!$C:$AA,20,0)-'TRADE IN'!$F273=0,"",(VLOOKUP($C262,REV!$C:$AA,20,0)-'TRADE IN'!$F262))</f>
        <v>4499</v>
      </c>
      <c r="W262" s="46">
        <f>IF(VLOOKUP($C262,REV!$C:$AA,21,0)-'TRADE IN'!$F273=0,"",(VLOOKUP($C262,REV!$C:$AA,21,0)-'TRADE IN'!$F262))</f>
        <v>4499</v>
      </c>
      <c r="X262" s="46">
        <f>IF(VLOOKUP($C262,REV!$C:$AA,22,0)-'TRADE IN'!$F273=0,"",(VLOOKUP($C262,REV!$C:$AA,22,0)-'TRADE IN'!$F262))</f>
        <v>4399</v>
      </c>
      <c r="Y262" s="46">
        <f>IF(VLOOKUP($C262,REV!$C:$AA,23,0)-'TRADE IN'!$F273=0,"",(VLOOKUP($C262,REV!$C:$AA,23,0)-'TRADE IN'!$F262))</f>
        <v>3999</v>
      </c>
      <c r="Z262" s="46">
        <f>IF(VLOOKUP($C262,REV!$C:$AA,24,0)-'TRADE IN'!$F273=0,"",(VLOOKUP($C262,REV!$C:$AA,24,0)-'TRADE IN'!$F262))</f>
        <v>3999</v>
      </c>
      <c r="AA262" s="46">
        <f>IF(VLOOKUP($C262,REV!$C:$AA,25,0)-'TRADE IN'!$F273=0,"",(VLOOKUP($C262,REV!$C:$AA,25,0)-'TRADE IN'!$F262))</f>
        <v>3999</v>
      </c>
      <c r="AB262" s="46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tr">
        <f>IF(REV!AW262=0,"",REV!AW262)</f>
        <v>31.03.2026</v>
      </c>
      <c r="AX262" s="159" t="s">
        <v>82</v>
      </c>
    </row>
    <row r="263" spans="1:50" ht="22" customHeight="1">
      <c r="A263" s="50" t="s">
        <v>61</v>
      </c>
      <c r="B263" s="41" t="s">
        <v>62</v>
      </c>
      <c r="C263" s="42">
        <v>4014113</v>
      </c>
      <c r="D263" s="44" t="s">
        <v>383</v>
      </c>
      <c r="E263" s="44" t="s">
        <v>384</v>
      </c>
      <c r="F263" s="45"/>
      <c r="G263" s="45"/>
      <c r="H263" s="45"/>
      <c r="I263" s="45"/>
      <c r="J263" s="46">
        <f>IF(VLOOKUP($C263,REV!$C:$AA,8,0)-'TRADE IN'!$F263=0,"",(VLOOKUP($C263,REV!$C:$AA,8,0)-'TRADE IN'!$F263))</f>
        <v>49</v>
      </c>
      <c r="K263" s="46">
        <f>IF(VLOOKUP($C263,REV!$C:$AA,9,0)-'TRADE IN'!$F263=0,"",(VLOOKUP($C263,REV!$C:$AA,9,0)-'TRADE IN'!$F263))</f>
        <v>49</v>
      </c>
      <c r="L263" s="46">
        <f>IF(VLOOKUP($C263,REV!$C:$AA,10,0)-'TRADE IN'!$F272=0,"",(VLOOKUP($C263,REV!$C:$AA,10,0)-'TRADE IN'!$F263))</f>
        <v>49</v>
      </c>
      <c r="M263" s="46">
        <f>IF(VLOOKUP($C263,REV!$C:$AA,11,0)-'TRADE IN'!$F272=0,"",(VLOOKUP($C263,REV!$C:$AA,11,0)-'TRADE IN'!$F263))</f>
        <v>49</v>
      </c>
      <c r="N263" s="46">
        <f>IF(VLOOKUP($C263,REV!$C:$AA,12,0)-'TRADE IN'!$F272=0,"",(VLOOKUP($C263,REV!$C:$AA,12,0)-'TRADE IN'!$F263))</f>
        <v>49</v>
      </c>
      <c r="O263" s="46">
        <f>IF(VLOOKUP($C263,REV!$C:$AA,13,0)-'TRADE IN'!$F272=0,"",(VLOOKUP($C263,REV!$C:$AA,13,0)-'TRADE IN'!$F263))</f>
        <v>49</v>
      </c>
      <c r="P263" s="46">
        <f>IF(VLOOKUP($C263,REV!$C:$AA,14,0)-'TRADE IN'!$F272=0,"",(VLOOKUP($C263,REV!$C:$AA,14,0)-'TRADE IN'!$F263))</f>
        <v>49</v>
      </c>
      <c r="Q263" s="46">
        <f>IF(VLOOKUP($C263,REV!$C:$AA,15,0)-'TRADE IN'!$F272=0,"",(VLOOKUP($C263,REV!$C:$AA,15,0)-'TRADE IN'!$F263))</f>
        <v>49</v>
      </c>
      <c r="R263" s="46">
        <f>IF(VLOOKUP($C263,REV!$C:$AA,16,0)-'TRADE IN'!$F272=0,"",(VLOOKUP($C263,REV!$C:$AA,16,0)-'TRADE IN'!$F263))</f>
        <v>49</v>
      </c>
      <c r="S263" s="46">
        <f>IF(VLOOKUP($C263,REV!$C:$AA,17,0)-'TRADE IN'!$F272=0,"",(VLOOKUP($C263,REV!$C:$AA,17,0)-'TRADE IN'!$F263))</f>
        <v>49</v>
      </c>
      <c r="T263" s="46">
        <f>IF(VLOOKUP($C263,REV!$C:$AA,18,0)-'TRADE IN'!$F272=0,"",(VLOOKUP($C263,REV!$C:$AA,18,0)-'TRADE IN'!$F263))</f>
        <v>49</v>
      </c>
      <c r="U263" s="46">
        <f>IF(VLOOKUP($C263,REV!$C:$AA,19,0)-'TRADE IN'!$F272=0,"",(VLOOKUP($C263,REV!$C:$AA,19,0)-'TRADE IN'!$F263))</f>
        <v>49</v>
      </c>
      <c r="V263" s="46">
        <f>IF(VLOOKUP($C263,REV!$C:$AA,20,0)-'TRADE IN'!$F272=0,"",(VLOOKUP($C263,REV!$C:$AA,20,0)-'TRADE IN'!$F263))</f>
        <v>49</v>
      </c>
      <c r="W263" s="46">
        <f>IF(VLOOKUP($C263,REV!$C:$AA,21,0)-'TRADE IN'!$F272=0,"",(VLOOKUP($C263,REV!$C:$AA,21,0)-'TRADE IN'!$F263))</f>
        <v>49</v>
      </c>
      <c r="X263" s="46">
        <f>IF(VLOOKUP($C263,REV!$C:$AA,22,0)-'TRADE IN'!$F272=0,"",(VLOOKUP($C263,REV!$C:$AA,22,0)-'TRADE IN'!$F263))</f>
        <v>49</v>
      </c>
      <c r="Y263" s="46">
        <f>IF(VLOOKUP($C263,REV!$C:$AA,23,0)-'TRADE IN'!$F272=0,"",(VLOOKUP($C263,REV!$C:$AA,23,0)-'TRADE IN'!$F263))</f>
        <v>49</v>
      </c>
      <c r="Z263" s="46">
        <f>IF(VLOOKUP($C263,REV!$C:$AA,24,0)-'TRADE IN'!$F272=0,"",(VLOOKUP($C263,REV!$C:$AA,24,0)-'TRADE IN'!$F263))</f>
        <v>49</v>
      </c>
      <c r="AA263" s="46">
        <f>IF(VLOOKUP($C263,REV!$C:$AA,25,0)-'TRADE IN'!$F272=0,"",(VLOOKUP($C263,REV!$C:$AA,25,0)-'TRADE IN'!$F263))</f>
        <v>49</v>
      </c>
      <c r="AB263" s="46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tr">
        <f>IF(REV!AW263=0,"",REV!AW263)</f>
        <v>31.03.2026</v>
      </c>
      <c r="AX263" s="159" t="s">
        <v>66</v>
      </c>
    </row>
    <row r="264" spans="1:50" ht="22.5" customHeight="1">
      <c r="A264" s="50" t="s">
        <v>61</v>
      </c>
      <c r="B264" s="41" t="s">
        <v>62</v>
      </c>
      <c r="C264" s="42">
        <v>4013567</v>
      </c>
      <c r="D264" s="44" t="s">
        <v>385</v>
      </c>
      <c r="E264" s="44" t="s">
        <v>386</v>
      </c>
      <c r="F264" s="45"/>
      <c r="G264" s="45"/>
      <c r="H264" s="45"/>
      <c r="I264" s="45"/>
      <c r="J264" s="46">
        <f>IF(VLOOKUP($C264,REV!$C:$AA,8,0)-'TRADE IN'!$F264=0,"",(VLOOKUP($C264,REV!$C:$AA,8,0)-'TRADE IN'!$F264))</f>
        <v>19</v>
      </c>
      <c r="K264" s="46">
        <f>IF(VLOOKUP($C264,REV!$C:$AA,9,0)-'TRADE IN'!$F264=0,"",(VLOOKUP($C264,REV!$C:$AA,9,0)-'TRADE IN'!$F264))</f>
        <v>19</v>
      </c>
      <c r="L264" s="46">
        <f>IF(VLOOKUP($C264,REV!$C:$AA,10,0)-'TRADE IN'!$F273=0,"",(VLOOKUP($C264,REV!$C:$AA,10,0)-'TRADE IN'!$F264))</f>
        <v>19</v>
      </c>
      <c r="M264" s="46">
        <f>IF(VLOOKUP($C264,REV!$C:$AA,11,0)-'TRADE IN'!$F273=0,"",(VLOOKUP($C264,REV!$C:$AA,11,0)-'TRADE IN'!$F264))</f>
        <v>19</v>
      </c>
      <c r="N264" s="46">
        <f>IF(VLOOKUP($C264,REV!$C:$AA,12,0)-'TRADE IN'!$F273=0,"",(VLOOKUP($C264,REV!$C:$AA,12,0)-'TRADE IN'!$F264))</f>
        <v>19</v>
      </c>
      <c r="O264" s="46">
        <f>IF(VLOOKUP($C264,REV!$C:$AA,13,0)-'TRADE IN'!$F273=0,"",(VLOOKUP($C264,REV!$C:$AA,13,0)-'TRADE IN'!$F264))</f>
        <v>19</v>
      </c>
      <c r="P264" s="46">
        <f>IF(VLOOKUP($C264,REV!$C:$AA,14,0)-'TRADE IN'!$F273=0,"",(VLOOKUP($C264,REV!$C:$AA,14,0)-'TRADE IN'!$F264))</f>
        <v>19</v>
      </c>
      <c r="Q264" s="46">
        <f>IF(VLOOKUP($C264,REV!$C:$AA,15,0)-'TRADE IN'!$F273=0,"",(VLOOKUP($C264,REV!$C:$AA,15,0)-'TRADE IN'!$F264))</f>
        <v>19</v>
      </c>
      <c r="R264" s="46">
        <f>IF(VLOOKUP($C264,REV!$C:$AA,16,0)-'TRADE IN'!$F273=0,"",(VLOOKUP($C264,REV!$C:$AA,16,0)-'TRADE IN'!$F264))</f>
        <v>19</v>
      </c>
      <c r="S264" s="46">
        <f>IF(VLOOKUP($C264,REV!$C:$AA,17,0)-'TRADE IN'!$F273=0,"",(VLOOKUP($C264,REV!$C:$AA,17,0)-'TRADE IN'!$F264))</f>
        <v>19</v>
      </c>
      <c r="T264" s="46">
        <f>IF(VLOOKUP($C264,REV!$C:$AA,18,0)-'TRADE IN'!$F273=0,"",(VLOOKUP($C264,REV!$C:$AA,18,0)-'TRADE IN'!$F264))</f>
        <v>19</v>
      </c>
      <c r="U264" s="46">
        <f>IF(VLOOKUP($C264,REV!$C:$AA,19,0)-'TRADE IN'!$F273=0,"",(VLOOKUP($C264,REV!$C:$AA,19,0)-'TRADE IN'!$F264))</f>
        <v>19</v>
      </c>
      <c r="V264" s="46">
        <f>IF(VLOOKUP($C264,REV!$C:$AA,20,0)-'TRADE IN'!$F273=0,"",(VLOOKUP($C264,REV!$C:$AA,20,0)-'TRADE IN'!$F264))</f>
        <v>19</v>
      </c>
      <c r="W264" s="46">
        <f>IF(VLOOKUP($C264,REV!$C:$AA,21,0)-'TRADE IN'!$F273=0,"",(VLOOKUP($C264,REV!$C:$AA,21,0)-'TRADE IN'!$F264))</f>
        <v>19</v>
      </c>
      <c r="X264" s="46">
        <f>IF(VLOOKUP($C264,REV!$C:$AA,22,0)-'TRADE IN'!$F273=0,"",(VLOOKUP($C264,REV!$C:$AA,22,0)-'TRADE IN'!$F264))</f>
        <v>19</v>
      </c>
      <c r="Y264" s="46">
        <f>IF(VLOOKUP($C264,REV!$C:$AA,23,0)-'TRADE IN'!$F273=0,"",(VLOOKUP($C264,REV!$C:$AA,23,0)-'TRADE IN'!$F264))</f>
        <v>19</v>
      </c>
      <c r="Z264" s="46">
        <f>IF(VLOOKUP($C264,REV!$C:$AA,24,0)-'TRADE IN'!$F273=0,"",(VLOOKUP($C264,REV!$C:$AA,24,0)-'TRADE IN'!$F264))</f>
        <v>19</v>
      </c>
      <c r="AA264" s="46">
        <f>IF(VLOOKUP($C264,REV!$C:$AA,25,0)-'TRADE IN'!$F273=0,"",(VLOOKUP($C264,REV!$C:$AA,25,0)-'TRADE IN'!$F264))</f>
        <v>19</v>
      </c>
      <c r="AB264" s="46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tr">
        <f>IF(REV!AW264=0,"",REV!AW264)</f>
        <v>31.03.2026</v>
      </c>
      <c r="AX264" s="159" t="s">
        <v>66</v>
      </c>
    </row>
    <row r="265" spans="1:50" ht="22.5" customHeight="1">
      <c r="A265" s="50" t="s">
        <v>61</v>
      </c>
      <c r="B265" s="41" t="s">
        <v>62</v>
      </c>
      <c r="C265" s="42">
        <v>4013643</v>
      </c>
      <c r="D265" s="44" t="s">
        <v>385</v>
      </c>
      <c r="E265" s="44" t="s">
        <v>387</v>
      </c>
      <c r="F265" s="45"/>
      <c r="G265" s="45"/>
      <c r="H265" s="45"/>
      <c r="I265" s="45"/>
      <c r="J265" s="46">
        <f>IF(VLOOKUP($C265,REV!$C:$AA,8,0)-'TRADE IN'!$F265=0,"",(VLOOKUP($C265,REV!$C:$AA,8,0)-'TRADE IN'!$F265))</f>
        <v>19</v>
      </c>
      <c r="K265" s="46">
        <f>IF(VLOOKUP($C265,REV!$C:$AA,9,0)-'TRADE IN'!$F265=0,"",(VLOOKUP($C265,REV!$C:$AA,9,0)-'TRADE IN'!$F265))</f>
        <v>19</v>
      </c>
      <c r="L265" s="46">
        <f>IF(VLOOKUP($C265,REV!$C:$AA,10,0)-'TRADE IN'!$F274=0,"",(VLOOKUP($C265,REV!$C:$AA,10,0)-'TRADE IN'!$F265))</f>
        <v>19</v>
      </c>
      <c r="M265" s="46">
        <f>IF(VLOOKUP($C265,REV!$C:$AA,11,0)-'TRADE IN'!$F274=0,"",(VLOOKUP($C265,REV!$C:$AA,11,0)-'TRADE IN'!$F265))</f>
        <v>19</v>
      </c>
      <c r="N265" s="46">
        <f>IF(VLOOKUP($C265,REV!$C:$AA,12,0)-'TRADE IN'!$F274=0,"",(VLOOKUP($C265,REV!$C:$AA,12,0)-'TRADE IN'!$F265))</f>
        <v>19</v>
      </c>
      <c r="O265" s="46">
        <f>IF(VLOOKUP($C265,REV!$C:$AA,13,0)-'TRADE IN'!$F274=0,"",(VLOOKUP($C265,REV!$C:$AA,13,0)-'TRADE IN'!$F265))</f>
        <v>19</v>
      </c>
      <c r="P265" s="46">
        <f>IF(VLOOKUP($C265,REV!$C:$AA,14,0)-'TRADE IN'!$F274=0,"",(VLOOKUP($C265,REV!$C:$AA,14,0)-'TRADE IN'!$F265))</f>
        <v>19</v>
      </c>
      <c r="Q265" s="46">
        <f>IF(VLOOKUP($C265,REV!$C:$AA,15,0)-'TRADE IN'!$F274=0,"",(VLOOKUP($C265,REV!$C:$AA,15,0)-'TRADE IN'!$F265))</f>
        <v>19</v>
      </c>
      <c r="R265" s="46">
        <f>IF(VLOOKUP($C265,REV!$C:$AA,16,0)-'TRADE IN'!$F274=0,"",(VLOOKUP($C265,REV!$C:$AA,16,0)-'TRADE IN'!$F265))</f>
        <v>19</v>
      </c>
      <c r="S265" s="46">
        <f>IF(VLOOKUP($C265,REV!$C:$AA,17,0)-'TRADE IN'!$F274=0,"",(VLOOKUP($C265,REV!$C:$AA,17,0)-'TRADE IN'!$F265))</f>
        <v>19</v>
      </c>
      <c r="T265" s="46">
        <f>IF(VLOOKUP($C265,REV!$C:$AA,18,0)-'TRADE IN'!$F274=0,"",(VLOOKUP($C265,REV!$C:$AA,18,0)-'TRADE IN'!$F265))</f>
        <v>19</v>
      </c>
      <c r="U265" s="46">
        <f>IF(VLOOKUP($C265,REV!$C:$AA,19,0)-'TRADE IN'!$F274=0,"",(VLOOKUP($C265,REV!$C:$AA,19,0)-'TRADE IN'!$F265))</f>
        <v>19</v>
      </c>
      <c r="V265" s="46">
        <f>IF(VLOOKUP($C265,REV!$C:$AA,20,0)-'TRADE IN'!$F274=0,"",(VLOOKUP($C265,REV!$C:$AA,20,0)-'TRADE IN'!$F265))</f>
        <v>19</v>
      </c>
      <c r="W265" s="46">
        <f>IF(VLOOKUP($C265,REV!$C:$AA,21,0)-'TRADE IN'!$F274=0,"",(VLOOKUP($C265,REV!$C:$AA,21,0)-'TRADE IN'!$F265))</f>
        <v>19</v>
      </c>
      <c r="X265" s="46">
        <f>IF(VLOOKUP($C265,REV!$C:$AA,22,0)-'TRADE IN'!$F274=0,"",(VLOOKUP($C265,REV!$C:$AA,22,0)-'TRADE IN'!$F265))</f>
        <v>19</v>
      </c>
      <c r="Y265" s="46">
        <f>IF(VLOOKUP($C265,REV!$C:$AA,23,0)-'TRADE IN'!$F274=0,"",(VLOOKUP($C265,REV!$C:$AA,23,0)-'TRADE IN'!$F265))</f>
        <v>19</v>
      </c>
      <c r="Z265" s="46">
        <f>IF(VLOOKUP($C265,REV!$C:$AA,24,0)-'TRADE IN'!$F274=0,"",(VLOOKUP($C265,REV!$C:$AA,24,0)-'TRADE IN'!$F265))</f>
        <v>19</v>
      </c>
      <c r="AA265" s="46">
        <f>IF(VLOOKUP($C265,REV!$C:$AA,25,0)-'TRADE IN'!$F274=0,"",(VLOOKUP($C265,REV!$C:$AA,25,0)-'TRADE IN'!$F265))</f>
        <v>19</v>
      </c>
      <c r="AB265" s="46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tr">
        <f>IF(REV!AW265=0,"",REV!AW265)</f>
        <v>31.03.2026</v>
      </c>
      <c r="AX265" s="159" t="s">
        <v>66</v>
      </c>
    </row>
    <row r="266" spans="1:50" ht="22.5" customHeight="1">
      <c r="A266" s="50" t="s">
        <v>61</v>
      </c>
      <c r="B266" s="41" t="s">
        <v>62</v>
      </c>
      <c r="C266" s="42">
        <v>4013336</v>
      </c>
      <c r="D266" s="44" t="s">
        <v>388</v>
      </c>
      <c r="E266" s="44" t="s">
        <v>389</v>
      </c>
      <c r="F266" s="45"/>
      <c r="G266" s="45"/>
      <c r="H266" s="45"/>
      <c r="I266" s="45"/>
      <c r="J266" s="46" t="str">
        <f>IF(VLOOKUP($C266,REV!$C:$AA,8,0)-'TRADE IN'!$F266=0,"",(VLOOKUP($C266,REV!$C:$AA,8,0)-'TRADE IN'!$F266))</f>
        <v/>
      </c>
      <c r="K266" s="46" t="str">
        <f>IF(VLOOKUP($C266,REV!$C:$AA,9,0)-'TRADE IN'!$F266=0,"",(VLOOKUP($C266,REV!$C:$AA,9,0)-'TRADE IN'!$F266))</f>
        <v/>
      </c>
      <c r="L266" s="46" t="str">
        <f>IF(VLOOKUP($C266,REV!$C:$AA,10,0)-'TRADE IN'!$F275=0,"",(VLOOKUP($C266,REV!$C:$AA,10,0)-'TRADE IN'!$F266))</f>
        <v/>
      </c>
      <c r="M266" s="46" t="str">
        <f>IF(VLOOKUP($C266,REV!$C:$AA,11,0)-'TRADE IN'!$F275=0,"",(VLOOKUP($C266,REV!$C:$AA,11,0)-'TRADE IN'!$F266))</f>
        <v/>
      </c>
      <c r="N266" s="46" t="str">
        <f>IF(VLOOKUP($C266,REV!$C:$AA,12,0)-'TRADE IN'!$F275=0,"",(VLOOKUP($C266,REV!$C:$AA,12,0)-'TRADE IN'!$F266))</f>
        <v/>
      </c>
      <c r="O266" s="46" t="str">
        <f>IF(VLOOKUP($C266,REV!$C:$AA,13,0)-'TRADE IN'!$F275=0,"",(VLOOKUP($C266,REV!$C:$AA,13,0)-'TRADE IN'!$F266))</f>
        <v/>
      </c>
      <c r="P266" s="46" t="str">
        <f>IF(VLOOKUP($C266,REV!$C:$AA,14,0)-'TRADE IN'!$F275=0,"",(VLOOKUP($C266,REV!$C:$AA,14,0)-'TRADE IN'!$F266))</f>
        <v/>
      </c>
      <c r="Q266" s="46" t="str">
        <f>IF(VLOOKUP($C266,REV!$C:$AA,15,0)-'TRADE IN'!$F275=0,"",(VLOOKUP($C266,REV!$C:$AA,15,0)-'TRADE IN'!$F266))</f>
        <v/>
      </c>
      <c r="R266" s="46" t="str">
        <f>IF(VLOOKUP($C266,REV!$C:$AA,16,0)-'TRADE IN'!$F275=0,"",(VLOOKUP($C266,REV!$C:$AA,16,0)-'TRADE IN'!$F266))</f>
        <v/>
      </c>
      <c r="S266" s="46" t="str">
        <f>IF(VLOOKUP($C266,REV!$C:$AA,17,0)-'TRADE IN'!$F275=0,"",(VLOOKUP($C266,REV!$C:$AA,17,0)-'TRADE IN'!$F266))</f>
        <v/>
      </c>
      <c r="T266" s="46" t="str">
        <f>IF(VLOOKUP($C266,REV!$C:$AA,18,0)-'TRADE IN'!$F275=0,"",(VLOOKUP($C266,REV!$C:$AA,18,0)-'TRADE IN'!$F266))</f>
        <v/>
      </c>
      <c r="U266" s="46" t="str">
        <f>IF(VLOOKUP($C266,REV!$C:$AA,19,0)-'TRADE IN'!$F275=0,"",(VLOOKUP($C266,REV!$C:$AA,19,0)-'TRADE IN'!$F266))</f>
        <v/>
      </c>
      <c r="V266" s="46" t="str">
        <f>IF(VLOOKUP($C266,REV!$C:$AA,20,0)-'TRADE IN'!$F275=0,"",(VLOOKUP($C266,REV!$C:$AA,20,0)-'TRADE IN'!$F266))</f>
        <v/>
      </c>
      <c r="W266" s="46" t="str">
        <f>IF(VLOOKUP($C266,REV!$C:$AA,21,0)-'TRADE IN'!$F275=0,"",(VLOOKUP($C266,REV!$C:$AA,21,0)-'TRADE IN'!$F266))</f>
        <v/>
      </c>
      <c r="X266" s="46" t="str">
        <f>IF(VLOOKUP($C266,REV!$C:$AA,22,0)-'TRADE IN'!$F275=0,"",(VLOOKUP($C266,REV!$C:$AA,22,0)-'TRADE IN'!$F266))</f>
        <v/>
      </c>
      <c r="Y266" s="46" t="str">
        <f>IF(VLOOKUP($C266,REV!$C:$AA,23,0)-'TRADE IN'!$F275=0,"",(VLOOKUP($C266,REV!$C:$AA,23,0)-'TRADE IN'!$F266))</f>
        <v/>
      </c>
      <c r="Z266" s="46" t="str">
        <f>IF(VLOOKUP($C266,REV!$C:$AA,24,0)-'TRADE IN'!$F275=0,"",(VLOOKUP($C266,REV!$C:$AA,24,0)-'TRADE IN'!$F266))</f>
        <v/>
      </c>
      <c r="AA266" s="46" t="str">
        <f>IF(VLOOKUP($C266,REV!$C:$AA,25,0)-'TRADE IN'!$F275=0,"",(VLOOKUP($C266,REV!$C:$AA,25,0)-'TRADE IN'!$F266))</f>
        <v/>
      </c>
      <c r="AB266" s="46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tr">
        <f>IF(REV!AW266=0,"",REV!AW266)</f>
        <v>31.03.2026</v>
      </c>
      <c r="AX266" s="159" t="s">
        <v>66</v>
      </c>
    </row>
    <row r="267" spans="1:50" ht="22.5" customHeight="1">
      <c r="A267" s="50" t="s">
        <v>61</v>
      </c>
      <c r="B267" s="41" t="s">
        <v>62</v>
      </c>
      <c r="C267" s="42">
        <v>4013337</v>
      </c>
      <c r="D267" s="57" t="s">
        <v>388</v>
      </c>
      <c r="E267" s="57" t="s">
        <v>390</v>
      </c>
      <c r="F267" s="45"/>
      <c r="G267" s="45"/>
      <c r="H267" s="45"/>
      <c r="I267" s="45"/>
      <c r="J267" s="46" t="str">
        <f>IF(VLOOKUP($C267,REV!$C:$AA,8,0)-'TRADE IN'!$F267=0,"",(VLOOKUP($C267,REV!$C:$AA,8,0)-'TRADE IN'!$F267))</f>
        <v/>
      </c>
      <c r="K267" s="46" t="str">
        <f>IF(VLOOKUP($C267,REV!$C:$AA,9,0)-'TRADE IN'!$F267=0,"",(VLOOKUP($C267,REV!$C:$AA,9,0)-'TRADE IN'!$F267))</f>
        <v/>
      </c>
      <c r="L267" s="46" t="str">
        <f>IF(VLOOKUP($C267,REV!$C:$AA,10,0)-'TRADE IN'!$F276=0,"",(VLOOKUP($C267,REV!$C:$AA,10,0)-'TRADE IN'!$F267))</f>
        <v/>
      </c>
      <c r="M267" s="46" t="str">
        <f>IF(VLOOKUP($C267,REV!$C:$AA,11,0)-'TRADE IN'!$F276=0,"",(VLOOKUP($C267,REV!$C:$AA,11,0)-'TRADE IN'!$F267))</f>
        <v/>
      </c>
      <c r="N267" s="46" t="str">
        <f>IF(VLOOKUP($C267,REV!$C:$AA,12,0)-'TRADE IN'!$F276=0,"",(VLOOKUP($C267,REV!$C:$AA,12,0)-'TRADE IN'!$F267))</f>
        <v/>
      </c>
      <c r="O267" s="46" t="str">
        <f>IF(VLOOKUP($C267,REV!$C:$AA,13,0)-'TRADE IN'!$F276=0,"",(VLOOKUP($C267,REV!$C:$AA,13,0)-'TRADE IN'!$F267))</f>
        <v/>
      </c>
      <c r="P267" s="46" t="str">
        <f>IF(VLOOKUP($C267,REV!$C:$AA,14,0)-'TRADE IN'!$F276=0,"",(VLOOKUP($C267,REV!$C:$AA,14,0)-'TRADE IN'!$F267))</f>
        <v/>
      </c>
      <c r="Q267" s="46" t="str">
        <f>IF(VLOOKUP($C267,REV!$C:$AA,15,0)-'TRADE IN'!$F276=0,"",(VLOOKUP($C267,REV!$C:$AA,15,0)-'TRADE IN'!$F267))</f>
        <v/>
      </c>
      <c r="R267" s="46" t="str">
        <f>IF(VLOOKUP($C267,REV!$C:$AA,16,0)-'TRADE IN'!$F276=0,"",(VLOOKUP($C267,REV!$C:$AA,16,0)-'TRADE IN'!$F267))</f>
        <v/>
      </c>
      <c r="S267" s="46" t="str">
        <f>IF(VLOOKUP($C267,REV!$C:$AA,17,0)-'TRADE IN'!$F276=0,"",(VLOOKUP($C267,REV!$C:$AA,17,0)-'TRADE IN'!$F267))</f>
        <v/>
      </c>
      <c r="T267" s="46" t="str">
        <f>IF(VLOOKUP($C267,REV!$C:$AA,18,0)-'TRADE IN'!$F276=0,"",(VLOOKUP($C267,REV!$C:$AA,18,0)-'TRADE IN'!$F267))</f>
        <v/>
      </c>
      <c r="U267" s="46" t="str">
        <f>IF(VLOOKUP($C267,REV!$C:$AA,19,0)-'TRADE IN'!$F276=0,"",(VLOOKUP($C267,REV!$C:$AA,19,0)-'TRADE IN'!$F267))</f>
        <v/>
      </c>
      <c r="V267" s="46" t="str">
        <f>IF(VLOOKUP($C267,REV!$C:$AA,20,0)-'TRADE IN'!$F276=0,"",(VLOOKUP($C267,REV!$C:$AA,20,0)-'TRADE IN'!$F267))</f>
        <v/>
      </c>
      <c r="W267" s="46" t="str">
        <f>IF(VLOOKUP($C267,REV!$C:$AA,21,0)-'TRADE IN'!$F276=0,"",(VLOOKUP($C267,REV!$C:$AA,21,0)-'TRADE IN'!$F267))</f>
        <v/>
      </c>
      <c r="X267" s="46" t="str">
        <f>IF(VLOOKUP($C267,REV!$C:$AA,22,0)-'TRADE IN'!$F276=0,"",(VLOOKUP($C267,REV!$C:$AA,22,0)-'TRADE IN'!$F267))</f>
        <v/>
      </c>
      <c r="Y267" s="46" t="str">
        <f>IF(VLOOKUP($C267,REV!$C:$AA,23,0)-'TRADE IN'!$F276=0,"",(VLOOKUP($C267,REV!$C:$AA,23,0)-'TRADE IN'!$F267))</f>
        <v/>
      </c>
      <c r="Z267" s="46" t="str">
        <f>IF(VLOOKUP($C267,REV!$C:$AA,24,0)-'TRADE IN'!$F276=0,"",(VLOOKUP($C267,REV!$C:$AA,24,0)-'TRADE IN'!$F267))</f>
        <v/>
      </c>
      <c r="AA267" s="46" t="str">
        <f>IF(VLOOKUP($C267,REV!$C:$AA,25,0)-'TRADE IN'!$F276=0,"",(VLOOKUP($C267,REV!$C:$AA,25,0)-'TRADE IN'!$F267))</f>
        <v/>
      </c>
      <c r="AB267" s="46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tr">
        <f>IF(REV!AW267=0,"",REV!AW267)</f>
        <v>31.03.2026</v>
      </c>
      <c r="AX267" s="159" t="s">
        <v>66</v>
      </c>
    </row>
    <row r="268" spans="1:50" ht="22.5" customHeight="1">
      <c r="A268" s="50" t="s">
        <v>61</v>
      </c>
      <c r="B268" s="41" t="s">
        <v>62</v>
      </c>
      <c r="C268" s="42">
        <v>4013194</v>
      </c>
      <c r="D268" s="44" t="s">
        <v>391</v>
      </c>
      <c r="E268" s="44" t="s">
        <v>392</v>
      </c>
      <c r="F268" s="45"/>
      <c r="G268" s="45"/>
      <c r="H268" s="45"/>
      <c r="I268" s="45"/>
      <c r="J268" s="46">
        <f>IF(VLOOKUP($C268,REV!$C:$AA,8,0)-'TRADE IN'!$F268=0,"",(VLOOKUP($C268,REV!$C:$AA,8,0)-'TRADE IN'!$F268))</f>
        <v>549</v>
      </c>
      <c r="K268" s="46">
        <f>IF(VLOOKUP($C268,REV!$C:$AA,9,0)-'TRADE IN'!$F268=0,"",(VLOOKUP($C268,REV!$C:$AA,9,0)-'TRADE IN'!$F268))</f>
        <v>549</v>
      </c>
      <c r="L268" s="46">
        <f>IF(VLOOKUP($C268,REV!$C:$AA,10,0)-'TRADE IN'!$F277=0,"",(VLOOKUP($C268,REV!$C:$AA,10,0)-'TRADE IN'!$F268))</f>
        <v>549</v>
      </c>
      <c r="M268" s="46">
        <f>IF(VLOOKUP($C268,REV!$C:$AA,11,0)-'TRADE IN'!$F277=0,"",(VLOOKUP($C268,REV!$C:$AA,11,0)-'TRADE IN'!$F268))</f>
        <v>549</v>
      </c>
      <c r="N268" s="46">
        <f>IF(VLOOKUP($C268,REV!$C:$AA,12,0)-'TRADE IN'!$F277=0,"",(VLOOKUP($C268,REV!$C:$AA,12,0)-'TRADE IN'!$F268))</f>
        <v>549</v>
      </c>
      <c r="O268" s="46">
        <f>IF(VLOOKUP($C268,REV!$C:$AA,13,0)-'TRADE IN'!$F277=0,"",(VLOOKUP($C268,REV!$C:$AA,13,0)-'TRADE IN'!$F268))</f>
        <v>469</v>
      </c>
      <c r="P268" s="46">
        <f>IF(VLOOKUP($C268,REV!$C:$AA,14,0)-'TRADE IN'!$F277=0,"",(VLOOKUP($C268,REV!$C:$AA,14,0)-'TRADE IN'!$F268))</f>
        <v>459</v>
      </c>
      <c r="Q268" s="46">
        <f>IF(VLOOKUP($C268,REV!$C:$AA,15,0)-'TRADE IN'!$F277=0,"",(VLOOKUP($C268,REV!$C:$AA,15,0)-'TRADE IN'!$F268))</f>
        <v>449</v>
      </c>
      <c r="R268" s="46">
        <f>IF(VLOOKUP($C268,REV!$C:$AA,16,0)-'TRADE IN'!$F277=0,"",(VLOOKUP($C268,REV!$C:$AA,16,0)-'TRADE IN'!$F268))</f>
        <v>469</v>
      </c>
      <c r="S268" s="46">
        <f>IF(VLOOKUP($C268,REV!$C:$AA,17,0)-'TRADE IN'!$F277=0,"",(VLOOKUP($C268,REV!$C:$AA,17,0)-'TRADE IN'!$F268))</f>
        <v>459</v>
      </c>
      <c r="T268" s="46">
        <f>IF(VLOOKUP($C268,REV!$C:$AA,18,0)-'TRADE IN'!$F277=0,"",(VLOOKUP($C268,REV!$C:$AA,18,0)-'TRADE IN'!$F268))</f>
        <v>449</v>
      </c>
      <c r="U268" s="46">
        <f>IF(VLOOKUP($C268,REV!$C:$AA,19,0)-'TRADE IN'!$F277=0,"",(VLOOKUP($C268,REV!$C:$AA,19,0)-'TRADE IN'!$F268))</f>
        <v>449</v>
      </c>
      <c r="V268" s="46">
        <f>IF(VLOOKUP($C268,REV!$C:$AA,20,0)-'TRADE IN'!$F277=0,"",(VLOOKUP($C268,REV!$C:$AA,20,0)-'TRADE IN'!$F268))</f>
        <v>449</v>
      </c>
      <c r="W268" s="46">
        <f>IF(VLOOKUP($C268,REV!$C:$AA,21,0)-'TRADE IN'!$F277=0,"",(VLOOKUP($C268,REV!$C:$AA,21,0)-'TRADE IN'!$F268))</f>
        <v>449</v>
      </c>
      <c r="X268" s="46">
        <f>IF(VLOOKUP($C268,REV!$C:$AA,22,0)-'TRADE IN'!$F277=0,"",(VLOOKUP($C268,REV!$C:$AA,22,0)-'TRADE IN'!$F268))</f>
        <v>429</v>
      </c>
      <c r="Y268" s="46">
        <f>IF(VLOOKUP($C268,REV!$C:$AA,23,0)-'TRADE IN'!$F277=0,"",(VLOOKUP($C268,REV!$C:$AA,23,0)-'TRADE IN'!$F268))</f>
        <v>399</v>
      </c>
      <c r="Z268" s="46">
        <f>IF(VLOOKUP($C268,REV!$C:$AA,24,0)-'TRADE IN'!$F277=0,"",(VLOOKUP($C268,REV!$C:$AA,24,0)-'TRADE IN'!$F268))</f>
        <v>399</v>
      </c>
      <c r="AA268" s="46">
        <f>IF(VLOOKUP($C268,REV!$C:$AA,25,0)-'TRADE IN'!$F277=0,"",(VLOOKUP($C268,REV!$C:$AA,25,0)-'TRADE IN'!$F268))</f>
        <v>389</v>
      </c>
      <c r="AB268" s="46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tr">
        <f>IF(REV!AW268=0,"",REV!AW268)</f>
        <v>31.03.2026</v>
      </c>
      <c r="AX268" s="159" t="s">
        <v>66</v>
      </c>
    </row>
    <row r="269" spans="1:50" ht="22.5" customHeight="1">
      <c r="A269" s="50" t="s">
        <v>61</v>
      </c>
      <c r="B269" s="41" t="s">
        <v>62</v>
      </c>
      <c r="C269" s="42">
        <v>4013410</v>
      </c>
      <c r="D269" s="44" t="s">
        <v>391</v>
      </c>
      <c r="E269" s="44" t="s">
        <v>393</v>
      </c>
      <c r="F269" s="45"/>
      <c r="G269" s="45"/>
      <c r="H269" s="45"/>
      <c r="I269" s="45"/>
      <c r="J269" s="46">
        <f>IF(VLOOKUP($C269,REV!$C:$AA,8,0)-'TRADE IN'!$F269=0,"",(VLOOKUP($C269,REV!$C:$AA,8,0)-'TRADE IN'!$F269))</f>
        <v>549</v>
      </c>
      <c r="K269" s="46">
        <f>IF(VLOOKUP($C269,REV!$C:$AA,9,0)-'TRADE IN'!$F269=0,"",(VLOOKUP($C269,REV!$C:$AA,9,0)-'TRADE IN'!$F269))</f>
        <v>549</v>
      </c>
      <c r="L269" s="46">
        <f>IF(VLOOKUP($C269,REV!$C:$AA,10,0)-'TRADE IN'!$F278=0,"",(VLOOKUP($C269,REV!$C:$AA,10,0)-'TRADE IN'!$F269))</f>
        <v>549</v>
      </c>
      <c r="M269" s="46">
        <f>IF(VLOOKUP($C269,REV!$C:$AA,11,0)-'TRADE IN'!$F278=0,"",(VLOOKUP($C269,REV!$C:$AA,11,0)-'TRADE IN'!$F269))</f>
        <v>549</v>
      </c>
      <c r="N269" s="46">
        <f>IF(VLOOKUP($C269,REV!$C:$AA,12,0)-'TRADE IN'!$F278=0,"",(VLOOKUP($C269,REV!$C:$AA,12,0)-'TRADE IN'!$F269))</f>
        <v>549</v>
      </c>
      <c r="O269" s="46">
        <f>IF(VLOOKUP($C269,REV!$C:$AA,13,0)-'TRADE IN'!$F278=0,"",(VLOOKUP($C269,REV!$C:$AA,13,0)-'TRADE IN'!$F269))</f>
        <v>469</v>
      </c>
      <c r="P269" s="46">
        <f>IF(VLOOKUP($C269,REV!$C:$AA,14,0)-'TRADE IN'!$F278=0,"",(VLOOKUP($C269,REV!$C:$AA,14,0)-'TRADE IN'!$F269))</f>
        <v>459</v>
      </c>
      <c r="Q269" s="46">
        <f>IF(VLOOKUP($C269,REV!$C:$AA,15,0)-'TRADE IN'!$F278=0,"",(VLOOKUP($C269,REV!$C:$AA,15,0)-'TRADE IN'!$F269))</f>
        <v>449</v>
      </c>
      <c r="R269" s="46">
        <f>IF(VLOOKUP($C269,REV!$C:$AA,16,0)-'TRADE IN'!$F278=0,"",(VLOOKUP($C269,REV!$C:$AA,16,0)-'TRADE IN'!$F269))</f>
        <v>469</v>
      </c>
      <c r="S269" s="46">
        <f>IF(VLOOKUP($C269,REV!$C:$AA,17,0)-'TRADE IN'!$F278=0,"",(VLOOKUP($C269,REV!$C:$AA,17,0)-'TRADE IN'!$F269))</f>
        <v>459</v>
      </c>
      <c r="T269" s="46">
        <f>IF(VLOOKUP($C269,REV!$C:$AA,18,0)-'TRADE IN'!$F278=0,"",(VLOOKUP($C269,REV!$C:$AA,18,0)-'TRADE IN'!$F269))</f>
        <v>449</v>
      </c>
      <c r="U269" s="46">
        <f>IF(VLOOKUP($C269,REV!$C:$AA,19,0)-'TRADE IN'!$F278=0,"",(VLOOKUP($C269,REV!$C:$AA,19,0)-'TRADE IN'!$F269))</f>
        <v>449</v>
      </c>
      <c r="V269" s="46">
        <f>IF(VLOOKUP($C269,REV!$C:$AA,20,0)-'TRADE IN'!$F278=0,"",(VLOOKUP($C269,REV!$C:$AA,20,0)-'TRADE IN'!$F269))</f>
        <v>449</v>
      </c>
      <c r="W269" s="46">
        <f>IF(VLOOKUP($C269,REV!$C:$AA,21,0)-'TRADE IN'!$F278=0,"",(VLOOKUP($C269,REV!$C:$AA,21,0)-'TRADE IN'!$F269))</f>
        <v>449</v>
      </c>
      <c r="X269" s="46">
        <f>IF(VLOOKUP($C269,REV!$C:$AA,22,0)-'TRADE IN'!$F278=0,"",(VLOOKUP($C269,REV!$C:$AA,22,0)-'TRADE IN'!$F269))</f>
        <v>429</v>
      </c>
      <c r="Y269" s="46">
        <f>IF(VLOOKUP($C269,REV!$C:$AA,23,0)-'TRADE IN'!$F278=0,"",(VLOOKUP($C269,REV!$C:$AA,23,0)-'TRADE IN'!$F269))</f>
        <v>399</v>
      </c>
      <c r="Z269" s="46">
        <f>IF(VLOOKUP($C269,REV!$C:$AA,24,0)-'TRADE IN'!$F278=0,"",(VLOOKUP($C269,REV!$C:$AA,24,0)-'TRADE IN'!$F269))</f>
        <v>399</v>
      </c>
      <c r="AA269" s="46">
        <f>IF(VLOOKUP($C269,REV!$C:$AA,25,0)-'TRADE IN'!$F278=0,"",(VLOOKUP($C269,REV!$C:$AA,25,0)-'TRADE IN'!$F269))</f>
        <v>389</v>
      </c>
      <c r="AB269" s="46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tr">
        <f>IF(REV!AW269=0,"",REV!AW269)</f>
        <v>31.03.2026</v>
      </c>
      <c r="AX269" s="159" t="s">
        <v>66</v>
      </c>
    </row>
    <row r="270" spans="1:50" ht="22.5" customHeight="1">
      <c r="A270" s="50" t="s">
        <v>61</v>
      </c>
      <c r="B270" s="41" t="s">
        <v>62</v>
      </c>
      <c r="C270" s="42">
        <v>4014090</v>
      </c>
      <c r="D270" s="44" t="s">
        <v>394</v>
      </c>
      <c r="E270" s="44" t="s">
        <v>395</v>
      </c>
      <c r="F270" s="45"/>
      <c r="G270" s="45"/>
      <c r="H270" s="45"/>
      <c r="I270" s="45"/>
      <c r="J270" s="46">
        <f>IF(VLOOKUP($C270,REV!$C:$AA,8,0)-'TRADE IN'!$F270=0,"",(VLOOKUP($C270,REV!$C:$AA,8,0)-'TRADE IN'!$F270))</f>
        <v>399</v>
      </c>
      <c r="K270" s="46">
        <f>IF(VLOOKUP($C270,REV!$C:$AA,9,0)-'TRADE IN'!$F270=0,"",(VLOOKUP($C270,REV!$C:$AA,9,0)-'TRADE IN'!$F270))</f>
        <v>399</v>
      </c>
      <c r="L270" s="46">
        <f>IF(VLOOKUP($C270,REV!$C:$AA,10,0)-'TRADE IN'!$F279=0,"",(VLOOKUP($C270,REV!$C:$AA,10,0)-'TRADE IN'!$F270))</f>
        <v>399</v>
      </c>
      <c r="M270" s="46">
        <f>IF(VLOOKUP($C270,REV!$C:$AA,11,0)-'TRADE IN'!$F279=0,"",(VLOOKUP($C270,REV!$C:$AA,11,0)-'TRADE IN'!$F270))</f>
        <v>399</v>
      </c>
      <c r="N270" s="46">
        <f>IF(VLOOKUP($C270,REV!$C:$AA,12,0)-'TRADE IN'!$F279=0,"",(VLOOKUP($C270,REV!$C:$AA,12,0)-'TRADE IN'!$F270))</f>
        <v>399</v>
      </c>
      <c r="O270" s="46">
        <f>IF(VLOOKUP($C270,REV!$C:$AA,13,0)-'TRADE IN'!$F279=0,"",(VLOOKUP($C270,REV!$C:$AA,13,0)-'TRADE IN'!$F270))</f>
        <v>299</v>
      </c>
      <c r="P270" s="46">
        <f>IF(VLOOKUP($C270,REV!$C:$AA,14,0)-'TRADE IN'!$F279=0,"",(VLOOKUP($C270,REV!$C:$AA,14,0)-'TRADE IN'!$F270))</f>
        <v>249</v>
      </c>
      <c r="Q270" s="46">
        <f>IF(VLOOKUP($C270,REV!$C:$AA,15,0)-'TRADE IN'!$F279=0,"",(VLOOKUP($C270,REV!$C:$AA,15,0)-'TRADE IN'!$F270))</f>
        <v>249</v>
      </c>
      <c r="R270" s="46">
        <f>IF(VLOOKUP($C270,REV!$C:$AA,16,0)-'TRADE IN'!$F279=0,"",(VLOOKUP($C270,REV!$C:$AA,16,0)-'TRADE IN'!$F270))</f>
        <v>299</v>
      </c>
      <c r="S270" s="46">
        <f>IF(VLOOKUP($C270,REV!$C:$AA,17,0)-'TRADE IN'!$F279=0,"",(VLOOKUP($C270,REV!$C:$AA,17,0)-'TRADE IN'!$F270))</f>
        <v>249</v>
      </c>
      <c r="T270" s="46">
        <f>IF(VLOOKUP($C270,REV!$C:$AA,18,0)-'TRADE IN'!$F279=0,"",(VLOOKUP($C270,REV!$C:$AA,18,0)-'TRADE IN'!$F270))</f>
        <v>249</v>
      </c>
      <c r="U270" s="46">
        <f>IF(VLOOKUP($C270,REV!$C:$AA,19,0)-'TRADE IN'!$F279=0,"",(VLOOKUP($C270,REV!$C:$AA,19,0)-'TRADE IN'!$F270))</f>
        <v>249</v>
      </c>
      <c r="V270" s="46">
        <f>IF(VLOOKUP($C270,REV!$C:$AA,20,0)-'TRADE IN'!$F279=0,"",(VLOOKUP($C270,REV!$C:$AA,20,0)-'TRADE IN'!$F270))</f>
        <v>249</v>
      </c>
      <c r="W270" s="46">
        <f>IF(VLOOKUP($C270,REV!$C:$AA,21,0)-'TRADE IN'!$F279=0,"",(VLOOKUP($C270,REV!$C:$AA,21,0)-'TRADE IN'!$F270))</f>
        <v>249</v>
      </c>
      <c r="X270" s="46">
        <f>IF(VLOOKUP($C270,REV!$C:$AA,22,0)-'TRADE IN'!$F279=0,"",(VLOOKUP($C270,REV!$C:$AA,22,0)-'TRADE IN'!$F270))</f>
        <v>249</v>
      </c>
      <c r="Y270" s="46">
        <f>IF(VLOOKUP($C270,REV!$C:$AA,23,0)-'TRADE IN'!$F279=0,"",(VLOOKUP($C270,REV!$C:$AA,23,0)-'TRADE IN'!$F270))</f>
        <v>249</v>
      </c>
      <c r="Z270" s="46">
        <f>IF(VLOOKUP($C270,REV!$C:$AA,24,0)-'TRADE IN'!$F279=0,"",(VLOOKUP($C270,REV!$C:$AA,24,0)-'TRADE IN'!$F270))</f>
        <v>249</v>
      </c>
      <c r="AA270" s="46">
        <f>IF(VLOOKUP($C270,REV!$C:$AA,25,0)-'TRADE IN'!$F279=0,"",(VLOOKUP($C270,REV!$C:$AA,25,0)-'TRADE IN'!$F270))</f>
        <v>249</v>
      </c>
      <c r="AB270" s="46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tr">
        <f>IF(REV!AW270=0,"",REV!AW270)</f>
        <v>31.03.2026</v>
      </c>
      <c r="AX270" s="159" t="s">
        <v>66</v>
      </c>
    </row>
    <row r="271" spans="1:50" ht="22.5" customHeight="1">
      <c r="A271" s="50" t="s">
        <v>61</v>
      </c>
      <c r="B271" s="41" t="s">
        <v>62</v>
      </c>
      <c r="C271" s="42">
        <v>4014447</v>
      </c>
      <c r="D271" s="44" t="s">
        <v>396</v>
      </c>
      <c r="E271" s="44" t="s">
        <v>397</v>
      </c>
      <c r="F271" s="45"/>
      <c r="G271" s="45"/>
      <c r="H271" s="45"/>
      <c r="I271" s="45"/>
      <c r="J271" s="46">
        <f>IF(VLOOKUP($C271,REV!$C:$AA,8,0)-'TRADE IN'!$F271=0,"",(VLOOKUP($C271,REV!$C:$AA,8,0)-'TRADE IN'!$F271))</f>
        <v>349</v>
      </c>
      <c r="K271" s="46">
        <f>IF(VLOOKUP($C271,REV!$C:$AA,9,0)-'TRADE IN'!$F271=0,"",(VLOOKUP($C271,REV!$C:$AA,9,0)-'TRADE IN'!$F271))</f>
        <v>349</v>
      </c>
      <c r="L271" s="46">
        <f>IF(VLOOKUP($C271,REV!$C:$AA,10,0)-'TRADE IN'!$F280=0,"",(VLOOKUP($C271,REV!$C:$AA,10,0)-'TRADE IN'!$F271))</f>
        <v>349</v>
      </c>
      <c r="M271" s="46">
        <f>IF(VLOOKUP($C271,REV!$C:$AA,11,0)-'TRADE IN'!$F280=0,"",(VLOOKUP($C271,REV!$C:$AA,11,0)-'TRADE IN'!$F271))</f>
        <v>349</v>
      </c>
      <c r="N271" s="46">
        <f>IF(VLOOKUP($C271,REV!$C:$AA,12,0)-'TRADE IN'!$F280=0,"",(VLOOKUP($C271,REV!$C:$AA,12,0)-'TRADE IN'!$F271))</f>
        <v>349</v>
      </c>
      <c r="O271" s="46">
        <f>IF(VLOOKUP($C271,REV!$C:$AA,13,0)-'TRADE IN'!$F280=0,"",(VLOOKUP($C271,REV!$C:$AA,13,0)-'TRADE IN'!$F271))</f>
        <v>299</v>
      </c>
      <c r="P271" s="46">
        <f>IF(VLOOKUP($C271,REV!$C:$AA,14,0)-'TRADE IN'!$F280=0,"",(VLOOKUP($C271,REV!$C:$AA,14,0)-'TRADE IN'!$F271))</f>
        <v>299</v>
      </c>
      <c r="Q271" s="46">
        <f>IF(VLOOKUP($C271,REV!$C:$AA,15,0)-'TRADE IN'!$F280=0,"",(VLOOKUP($C271,REV!$C:$AA,15,0)-'TRADE IN'!$F271))</f>
        <v>299</v>
      </c>
      <c r="R271" s="46">
        <f>IF(VLOOKUP($C271,REV!$C:$AA,16,0)-'TRADE IN'!$F280=0,"",(VLOOKUP($C271,REV!$C:$AA,16,0)-'TRADE IN'!$F271))</f>
        <v>299</v>
      </c>
      <c r="S271" s="46">
        <f>IF(VLOOKUP($C271,REV!$C:$AA,17,0)-'TRADE IN'!$F280=0,"",(VLOOKUP($C271,REV!$C:$AA,17,0)-'TRADE IN'!$F271))</f>
        <v>299</v>
      </c>
      <c r="T271" s="46">
        <f>IF(VLOOKUP($C271,REV!$C:$AA,18,0)-'TRADE IN'!$F280=0,"",(VLOOKUP($C271,REV!$C:$AA,18,0)-'TRADE IN'!$F271))</f>
        <v>299</v>
      </c>
      <c r="U271" s="46">
        <f>IF(VLOOKUP($C271,REV!$C:$AA,19,0)-'TRADE IN'!$F280=0,"",(VLOOKUP($C271,REV!$C:$AA,19,0)-'TRADE IN'!$F271))</f>
        <v>299</v>
      </c>
      <c r="V271" s="46">
        <f>IF(VLOOKUP($C271,REV!$C:$AA,20,0)-'TRADE IN'!$F280=0,"",(VLOOKUP($C271,REV!$C:$AA,20,0)-'TRADE IN'!$F271))</f>
        <v>299</v>
      </c>
      <c r="W271" s="46">
        <f>IF(VLOOKUP($C271,REV!$C:$AA,21,0)-'TRADE IN'!$F280=0,"",(VLOOKUP($C271,REV!$C:$AA,21,0)-'TRADE IN'!$F271))</f>
        <v>299</v>
      </c>
      <c r="X271" s="46">
        <f>IF(VLOOKUP($C271,REV!$C:$AA,22,0)-'TRADE IN'!$F280=0,"",(VLOOKUP($C271,REV!$C:$AA,22,0)-'TRADE IN'!$F271))</f>
        <v>299</v>
      </c>
      <c r="Y271" s="46">
        <f>IF(VLOOKUP($C271,REV!$C:$AA,23,0)-'TRADE IN'!$F280=0,"",(VLOOKUP($C271,REV!$C:$AA,23,0)-'TRADE IN'!$F271))</f>
        <v>299</v>
      </c>
      <c r="Z271" s="46">
        <f>IF(VLOOKUP($C271,REV!$C:$AA,24,0)-'TRADE IN'!$F280=0,"",(VLOOKUP($C271,REV!$C:$AA,24,0)-'TRADE IN'!$F271))</f>
        <v>299</v>
      </c>
      <c r="AA271" s="46">
        <f>IF(VLOOKUP($C271,REV!$C:$AA,25,0)-'TRADE IN'!$F280=0,"",(VLOOKUP($C271,REV!$C:$AA,25,0)-'TRADE IN'!$F271))</f>
        <v>299</v>
      </c>
      <c r="AB271" s="46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tr">
        <f>IF(REV!AW271=0,"",REV!AW271)</f>
        <v>31.03.2026</v>
      </c>
      <c r="AX271" s="159" t="s">
        <v>66</v>
      </c>
    </row>
    <row r="272" spans="1:50" ht="22.5" customHeight="1">
      <c r="A272" s="50" t="s">
        <v>61</v>
      </c>
      <c r="B272" s="41" t="s">
        <v>62</v>
      </c>
      <c r="C272" s="42">
        <v>4015041</v>
      </c>
      <c r="D272" s="44" t="s">
        <v>398</v>
      </c>
      <c r="E272" s="44" t="s">
        <v>399</v>
      </c>
      <c r="F272" s="45"/>
      <c r="G272" s="45"/>
      <c r="H272" s="45"/>
      <c r="I272" s="45"/>
      <c r="J272" s="46">
        <f>IF(VLOOKUP($C272,REV!$C:$AA,8,0)-'TRADE IN'!$F272=0,"",(VLOOKUP($C272,REV!$C:$AA,8,0)-'TRADE IN'!$F272))</f>
        <v>449</v>
      </c>
      <c r="K272" s="46">
        <f>IF(VLOOKUP($C272,REV!$C:$AA,9,0)-'TRADE IN'!$F272=0,"",(VLOOKUP($C272,REV!$C:$AA,9,0)-'TRADE IN'!$F272))</f>
        <v>449</v>
      </c>
      <c r="L272" s="46">
        <f>IF(VLOOKUP($C272,REV!$C:$AA,10,0)-'TRADE IN'!$F281=0,"",(VLOOKUP($C272,REV!$C:$AA,10,0)-'TRADE IN'!$F272))</f>
        <v>449</v>
      </c>
      <c r="M272" s="46">
        <f>IF(VLOOKUP($C272,REV!$C:$AA,11,0)-'TRADE IN'!$F281=0,"",(VLOOKUP($C272,REV!$C:$AA,11,0)-'TRADE IN'!$F272))</f>
        <v>449</v>
      </c>
      <c r="N272" s="46">
        <f>IF(VLOOKUP($C272,REV!$C:$AA,12,0)-'TRADE IN'!$F281=0,"",(VLOOKUP($C272,REV!$C:$AA,12,0)-'TRADE IN'!$F272))</f>
        <v>449</v>
      </c>
      <c r="O272" s="46">
        <f>IF(VLOOKUP($C272,REV!$C:$AA,13,0)-'TRADE IN'!$F281=0,"",(VLOOKUP($C272,REV!$C:$AA,13,0)-'TRADE IN'!$F272))</f>
        <v>399</v>
      </c>
      <c r="P272" s="46">
        <f>IF(VLOOKUP($C272,REV!$C:$AA,14,0)-'TRADE IN'!$F281=0,"",(VLOOKUP($C272,REV!$C:$AA,14,0)-'TRADE IN'!$F272))</f>
        <v>349</v>
      </c>
      <c r="Q272" s="46">
        <f>IF(VLOOKUP($C272,REV!$C:$AA,15,0)-'TRADE IN'!$F281=0,"",(VLOOKUP($C272,REV!$C:$AA,15,0)-'TRADE IN'!$F272))</f>
        <v>349</v>
      </c>
      <c r="R272" s="46">
        <f>IF(VLOOKUP($C272,REV!$C:$AA,16,0)-'TRADE IN'!$F281=0,"",(VLOOKUP($C272,REV!$C:$AA,16,0)-'TRADE IN'!$F272))</f>
        <v>399</v>
      </c>
      <c r="S272" s="46">
        <f>IF(VLOOKUP($C272,REV!$C:$AA,17,0)-'TRADE IN'!$F281=0,"",(VLOOKUP($C272,REV!$C:$AA,17,0)-'TRADE IN'!$F272))</f>
        <v>349</v>
      </c>
      <c r="T272" s="46">
        <f>IF(VLOOKUP($C272,REV!$C:$AA,18,0)-'TRADE IN'!$F281=0,"",(VLOOKUP($C272,REV!$C:$AA,18,0)-'TRADE IN'!$F272))</f>
        <v>349</v>
      </c>
      <c r="U272" s="46">
        <f>IF(VLOOKUP($C272,REV!$C:$AA,19,0)-'TRADE IN'!$F281=0,"",(VLOOKUP($C272,REV!$C:$AA,19,0)-'TRADE IN'!$F272))</f>
        <v>349</v>
      </c>
      <c r="V272" s="46">
        <f>IF(VLOOKUP($C272,REV!$C:$AA,20,0)-'TRADE IN'!$F281=0,"",(VLOOKUP($C272,REV!$C:$AA,20,0)-'TRADE IN'!$F272))</f>
        <v>349</v>
      </c>
      <c r="W272" s="46">
        <f>IF(VLOOKUP($C272,REV!$C:$AA,21,0)-'TRADE IN'!$F281=0,"",(VLOOKUP($C272,REV!$C:$AA,21,0)-'TRADE IN'!$F272))</f>
        <v>349</v>
      </c>
      <c r="X272" s="46">
        <f>IF(VLOOKUP($C272,REV!$C:$AA,22,0)-'TRADE IN'!$F281=0,"",(VLOOKUP($C272,REV!$C:$AA,22,0)-'TRADE IN'!$F272))</f>
        <v>349</v>
      </c>
      <c r="Y272" s="46">
        <f>IF(VLOOKUP($C272,REV!$C:$AA,23,0)-'TRADE IN'!$F281=0,"",(VLOOKUP($C272,REV!$C:$AA,23,0)-'TRADE IN'!$F272))</f>
        <v>349</v>
      </c>
      <c r="Z272" s="46">
        <f>IF(VLOOKUP($C272,REV!$C:$AA,24,0)-'TRADE IN'!$F281=0,"",(VLOOKUP($C272,REV!$C:$AA,24,0)-'TRADE IN'!$F272))</f>
        <v>349</v>
      </c>
      <c r="AA272" s="46">
        <f>IF(VLOOKUP($C272,REV!$C:$AA,25,0)-'TRADE IN'!$F281=0,"",(VLOOKUP($C272,REV!$C:$AA,25,0)-'TRADE IN'!$F272))</f>
        <v>349</v>
      </c>
      <c r="AB272" s="46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tr">
        <f>IF(REV!AW272=0,"",REV!AW272)</f>
        <v>31.03.2026</v>
      </c>
      <c r="AX272" s="159" t="s">
        <v>66</v>
      </c>
    </row>
    <row r="273" spans="1:50" ht="22.5" customHeight="1">
      <c r="A273" s="50" t="s">
        <v>61</v>
      </c>
      <c r="B273" s="41" t="s">
        <v>62</v>
      </c>
      <c r="C273" s="42">
        <v>4015393</v>
      </c>
      <c r="D273" s="44" t="s">
        <v>400</v>
      </c>
      <c r="E273" s="44" t="s">
        <v>401</v>
      </c>
      <c r="F273" s="45"/>
      <c r="G273" s="45"/>
      <c r="H273" s="45"/>
      <c r="I273" s="45"/>
      <c r="J273" s="46">
        <f>IF(VLOOKUP($C273,REV!$C:$AA,8,0)-'TRADE IN'!$F273=0,"",(VLOOKUP($C273,REV!$C:$AA,8,0)-'TRADE IN'!$F273))</f>
        <v>599</v>
      </c>
      <c r="K273" s="46">
        <f>IF(VLOOKUP($C273,REV!$C:$AA,9,0)-'TRADE IN'!$F273=0,"",(VLOOKUP($C273,REV!$C:$AA,9,0)-'TRADE IN'!$F273))</f>
        <v>599</v>
      </c>
      <c r="L273" s="46">
        <f>IF(VLOOKUP($C273,REV!$C:$AA,10,0)-'TRADE IN'!$F282=0,"",(VLOOKUP($C273,REV!$C:$AA,10,0)-'TRADE IN'!$F273))</f>
        <v>599</v>
      </c>
      <c r="M273" s="46">
        <f>IF(VLOOKUP($C273,REV!$C:$AA,11,0)-'TRADE IN'!$F282=0,"",(VLOOKUP($C273,REV!$C:$AA,11,0)-'TRADE IN'!$F273))</f>
        <v>599</v>
      </c>
      <c r="N273" s="46">
        <f>IF(VLOOKUP($C273,REV!$C:$AA,12,0)-'TRADE IN'!$F282=0,"",(VLOOKUP($C273,REV!$C:$AA,12,0)-'TRADE IN'!$F273))</f>
        <v>599</v>
      </c>
      <c r="O273" s="46">
        <f>IF(VLOOKUP($C273,REV!$C:$AA,13,0)-'TRADE IN'!$F282=0,"",(VLOOKUP($C273,REV!$C:$AA,13,0)-'TRADE IN'!$F273))</f>
        <v>549</v>
      </c>
      <c r="P273" s="46">
        <f>IF(VLOOKUP($C273,REV!$C:$AA,14,0)-'TRADE IN'!$F282=0,"",(VLOOKUP($C273,REV!$C:$AA,14,0)-'TRADE IN'!$F273))</f>
        <v>499</v>
      </c>
      <c r="Q273" s="46">
        <f>IF(VLOOKUP($C273,REV!$C:$AA,15,0)-'TRADE IN'!$F282=0,"",(VLOOKUP($C273,REV!$C:$AA,15,0)-'TRADE IN'!$F273))</f>
        <v>449</v>
      </c>
      <c r="R273" s="46">
        <f>IF(VLOOKUP($C273,REV!$C:$AA,16,0)-'TRADE IN'!$F282=0,"",(VLOOKUP($C273,REV!$C:$AA,16,0)-'TRADE IN'!$F273))</f>
        <v>549</v>
      </c>
      <c r="S273" s="46">
        <f>IF(VLOOKUP($C273,REV!$C:$AA,17,0)-'TRADE IN'!$F282=0,"",(VLOOKUP($C273,REV!$C:$AA,17,0)-'TRADE IN'!$F273))</f>
        <v>499</v>
      </c>
      <c r="T273" s="46">
        <f>IF(VLOOKUP($C273,REV!$C:$AA,18,0)-'TRADE IN'!$F282=0,"",(VLOOKUP($C273,REV!$C:$AA,18,0)-'TRADE IN'!$F273))</f>
        <v>449</v>
      </c>
      <c r="U273" s="46">
        <f>IF(VLOOKUP($C273,REV!$C:$AA,19,0)-'TRADE IN'!$F282=0,"",(VLOOKUP($C273,REV!$C:$AA,19,0)-'TRADE IN'!$F273))</f>
        <v>449</v>
      </c>
      <c r="V273" s="46">
        <f>IF(VLOOKUP($C273,REV!$C:$AA,20,0)-'TRADE IN'!$F282=0,"",(VLOOKUP($C273,REV!$C:$AA,20,0)-'TRADE IN'!$F273))</f>
        <v>449</v>
      </c>
      <c r="W273" s="46">
        <f>IF(VLOOKUP($C273,REV!$C:$AA,21,0)-'TRADE IN'!$F282=0,"",(VLOOKUP($C273,REV!$C:$AA,21,0)-'TRADE IN'!$F273))</f>
        <v>449</v>
      </c>
      <c r="X273" s="46">
        <f>IF(VLOOKUP($C273,REV!$C:$AA,22,0)-'TRADE IN'!$F282=0,"",(VLOOKUP($C273,REV!$C:$AA,22,0)-'TRADE IN'!$F273))</f>
        <v>449</v>
      </c>
      <c r="Y273" s="46">
        <f>IF(VLOOKUP($C273,REV!$C:$AA,23,0)-'TRADE IN'!$F282=0,"",(VLOOKUP($C273,REV!$C:$AA,23,0)-'TRADE IN'!$F273))</f>
        <v>449</v>
      </c>
      <c r="Z273" s="46">
        <f>IF(VLOOKUP($C273,REV!$C:$AA,24,0)-'TRADE IN'!$F282=0,"",(VLOOKUP($C273,REV!$C:$AA,24,0)-'TRADE IN'!$F273))</f>
        <v>449</v>
      </c>
      <c r="AA273" s="46">
        <f>IF(VLOOKUP($C273,REV!$C:$AA,25,0)-'TRADE IN'!$F282=0,"",(VLOOKUP($C273,REV!$C:$AA,25,0)-'TRADE IN'!$F273))</f>
        <v>449</v>
      </c>
      <c r="AB273" s="46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tr">
        <f>IF(REV!AW273=0,"",REV!AW273)</f>
        <v>31.03.2026</v>
      </c>
      <c r="AX273" s="159" t="s">
        <v>66</v>
      </c>
    </row>
    <row r="274" spans="1:50" ht="22.5" customHeight="1">
      <c r="A274" s="50" t="s">
        <v>61</v>
      </c>
      <c r="B274" s="41" t="s">
        <v>62</v>
      </c>
      <c r="C274" s="42">
        <v>4014667</v>
      </c>
      <c r="D274" s="44" t="s">
        <v>402</v>
      </c>
      <c r="E274" s="44" t="s">
        <v>403</v>
      </c>
      <c r="F274" s="45"/>
      <c r="G274" s="45"/>
      <c r="H274" s="45"/>
      <c r="I274" s="45"/>
      <c r="J274" s="46">
        <f>IF(VLOOKUP($C274,REV!$C:$AA,8,0)-'TRADE IN'!$F274=0,"",(VLOOKUP($C274,REV!$C:$AA,8,0)-'TRADE IN'!$F274))</f>
        <v>399</v>
      </c>
      <c r="K274" s="46">
        <f>IF(VLOOKUP($C274,REV!$C:$AA,9,0)-'TRADE IN'!$F274=0,"",(VLOOKUP($C274,REV!$C:$AA,9,0)-'TRADE IN'!$F274))</f>
        <v>399</v>
      </c>
      <c r="L274" s="46">
        <f>IF(VLOOKUP($C274,REV!$C:$AA,10,0)-'TRADE IN'!$F283=0,"",(VLOOKUP($C274,REV!$C:$AA,10,0)-'TRADE IN'!$F274))</f>
        <v>399</v>
      </c>
      <c r="M274" s="46">
        <f>IF(VLOOKUP($C274,REV!$C:$AA,11,0)-'TRADE IN'!$F283=0,"",(VLOOKUP($C274,REV!$C:$AA,11,0)-'TRADE IN'!$F274))</f>
        <v>399</v>
      </c>
      <c r="N274" s="46">
        <f>IF(VLOOKUP($C274,REV!$C:$AA,12,0)-'TRADE IN'!$F283=0,"",(VLOOKUP($C274,REV!$C:$AA,12,0)-'TRADE IN'!$F274))</f>
        <v>399</v>
      </c>
      <c r="O274" s="46">
        <f>IF(VLOOKUP($C274,REV!$C:$AA,13,0)-'TRADE IN'!$F283=0,"",(VLOOKUP($C274,REV!$C:$AA,13,0)-'TRADE IN'!$F274))</f>
        <v>349</v>
      </c>
      <c r="P274" s="46">
        <f>IF(VLOOKUP($C274,REV!$C:$AA,14,0)-'TRADE IN'!$F283=0,"",(VLOOKUP($C274,REV!$C:$AA,14,0)-'TRADE IN'!$F274))</f>
        <v>299</v>
      </c>
      <c r="Q274" s="46">
        <f>IF(VLOOKUP($C274,REV!$C:$AA,15,0)-'TRADE IN'!$F283=0,"",(VLOOKUP($C274,REV!$C:$AA,15,0)-'TRADE IN'!$F274))</f>
        <v>299</v>
      </c>
      <c r="R274" s="46">
        <f>IF(VLOOKUP($C274,REV!$C:$AA,16,0)-'TRADE IN'!$F283=0,"",(VLOOKUP($C274,REV!$C:$AA,16,0)-'TRADE IN'!$F274))</f>
        <v>349</v>
      </c>
      <c r="S274" s="46">
        <f>IF(VLOOKUP($C274,REV!$C:$AA,17,0)-'TRADE IN'!$F283=0,"",(VLOOKUP($C274,REV!$C:$AA,17,0)-'TRADE IN'!$F274))</f>
        <v>299</v>
      </c>
      <c r="T274" s="46">
        <f>IF(VLOOKUP($C274,REV!$C:$AA,18,0)-'TRADE IN'!$F283=0,"",(VLOOKUP($C274,REV!$C:$AA,18,0)-'TRADE IN'!$F274))</f>
        <v>299</v>
      </c>
      <c r="U274" s="46">
        <f>IF(VLOOKUP($C274,REV!$C:$AA,19,0)-'TRADE IN'!$F283=0,"",(VLOOKUP($C274,REV!$C:$AA,19,0)-'TRADE IN'!$F274))</f>
        <v>299</v>
      </c>
      <c r="V274" s="46">
        <f>IF(VLOOKUP($C274,REV!$C:$AA,20,0)-'TRADE IN'!$F283=0,"",(VLOOKUP($C274,REV!$C:$AA,20,0)-'TRADE IN'!$F274))</f>
        <v>299</v>
      </c>
      <c r="W274" s="46">
        <f>IF(VLOOKUP($C274,REV!$C:$AA,21,0)-'TRADE IN'!$F283=0,"",(VLOOKUP($C274,REV!$C:$AA,21,0)-'TRADE IN'!$F274))</f>
        <v>299</v>
      </c>
      <c r="X274" s="46">
        <f>IF(VLOOKUP($C274,REV!$C:$AA,22,0)-'TRADE IN'!$F283=0,"",(VLOOKUP($C274,REV!$C:$AA,22,0)-'TRADE IN'!$F274))</f>
        <v>299</v>
      </c>
      <c r="Y274" s="46">
        <f>IF(VLOOKUP($C274,REV!$C:$AA,23,0)-'TRADE IN'!$F283=0,"",(VLOOKUP($C274,REV!$C:$AA,23,0)-'TRADE IN'!$F274))</f>
        <v>299</v>
      </c>
      <c r="Z274" s="46">
        <f>IF(VLOOKUP($C274,REV!$C:$AA,24,0)-'TRADE IN'!$F283=0,"",(VLOOKUP($C274,REV!$C:$AA,24,0)-'TRADE IN'!$F274))</f>
        <v>299</v>
      </c>
      <c r="AA274" s="46">
        <f>IF(VLOOKUP($C274,REV!$C:$AA,25,0)-'TRADE IN'!$F283=0,"",(VLOOKUP($C274,REV!$C:$AA,25,0)-'TRADE IN'!$F274))</f>
        <v>299</v>
      </c>
      <c r="AB274" s="46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tr">
        <f>IF(REV!AW274=0,"",REV!AW274)</f>
        <v>31.03.2026</v>
      </c>
      <c r="AX274" s="159" t="s">
        <v>66</v>
      </c>
    </row>
    <row r="275" spans="1:50" ht="22.5" customHeight="1">
      <c r="A275" s="50" t="s">
        <v>61</v>
      </c>
      <c r="B275" s="41" t="s">
        <v>62</v>
      </c>
      <c r="C275" s="42">
        <v>4014668</v>
      </c>
      <c r="D275" s="44" t="s">
        <v>402</v>
      </c>
      <c r="E275" s="44" t="s">
        <v>404</v>
      </c>
      <c r="F275" s="45"/>
      <c r="G275" s="45"/>
      <c r="H275" s="45"/>
      <c r="I275" s="45"/>
      <c r="J275" s="46">
        <f>IF(VLOOKUP($C275,REV!$C:$AA,8,0)-'TRADE IN'!$F275=0,"",(VLOOKUP($C275,REV!$C:$AA,8,0)-'TRADE IN'!$F275))</f>
        <v>399</v>
      </c>
      <c r="K275" s="46">
        <f>IF(VLOOKUP($C275,REV!$C:$AA,9,0)-'TRADE IN'!$F275=0,"",(VLOOKUP($C275,REV!$C:$AA,9,0)-'TRADE IN'!$F275))</f>
        <v>399</v>
      </c>
      <c r="L275" s="46">
        <f>IF(VLOOKUP($C275,REV!$C:$AA,10,0)-'TRADE IN'!$F284=0,"",(VLOOKUP($C275,REV!$C:$AA,10,0)-'TRADE IN'!$F275))</f>
        <v>399</v>
      </c>
      <c r="M275" s="46">
        <f>IF(VLOOKUP($C275,REV!$C:$AA,11,0)-'TRADE IN'!$F284=0,"",(VLOOKUP($C275,REV!$C:$AA,11,0)-'TRADE IN'!$F275))</f>
        <v>399</v>
      </c>
      <c r="N275" s="46">
        <f>IF(VLOOKUP($C275,REV!$C:$AA,12,0)-'TRADE IN'!$F284=0,"",(VLOOKUP($C275,REV!$C:$AA,12,0)-'TRADE IN'!$F275))</f>
        <v>399</v>
      </c>
      <c r="O275" s="46">
        <f>IF(VLOOKUP($C275,REV!$C:$AA,13,0)-'TRADE IN'!$F284=0,"",(VLOOKUP($C275,REV!$C:$AA,13,0)-'TRADE IN'!$F275))</f>
        <v>349</v>
      </c>
      <c r="P275" s="46">
        <f>IF(VLOOKUP($C275,REV!$C:$AA,14,0)-'TRADE IN'!$F284=0,"",(VLOOKUP($C275,REV!$C:$AA,14,0)-'TRADE IN'!$F275))</f>
        <v>299</v>
      </c>
      <c r="Q275" s="46">
        <f>IF(VLOOKUP($C275,REV!$C:$AA,15,0)-'TRADE IN'!$F284=0,"",(VLOOKUP($C275,REV!$C:$AA,15,0)-'TRADE IN'!$F275))</f>
        <v>299</v>
      </c>
      <c r="R275" s="46">
        <f>IF(VLOOKUP($C275,REV!$C:$AA,16,0)-'TRADE IN'!$F284=0,"",(VLOOKUP($C275,REV!$C:$AA,16,0)-'TRADE IN'!$F275))</f>
        <v>349</v>
      </c>
      <c r="S275" s="46">
        <f>IF(VLOOKUP($C275,REV!$C:$AA,17,0)-'TRADE IN'!$F284=0,"",(VLOOKUP($C275,REV!$C:$AA,17,0)-'TRADE IN'!$F275))</f>
        <v>299</v>
      </c>
      <c r="T275" s="46">
        <f>IF(VLOOKUP($C275,REV!$C:$AA,18,0)-'TRADE IN'!$F284=0,"",(VLOOKUP($C275,REV!$C:$AA,18,0)-'TRADE IN'!$F275))</f>
        <v>299</v>
      </c>
      <c r="U275" s="46">
        <f>IF(VLOOKUP($C275,REV!$C:$AA,19,0)-'TRADE IN'!$F284=0,"",(VLOOKUP($C275,REV!$C:$AA,19,0)-'TRADE IN'!$F275))</f>
        <v>299</v>
      </c>
      <c r="V275" s="46">
        <f>IF(VLOOKUP($C275,REV!$C:$AA,20,0)-'TRADE IN'!$F284=0,"",(VLOOKUP($C275,REV!$C:$AA,20,0)-'TRADE IN'!$F275))</f>
        <v>299</v>
      </c>
      <c r="W275" s="46">
        <f>IF(VLOOKUP($C275,REV!$C:$AA,21,0)-'TRADE IN'!$F284=0,"",(VLOOKUP($C275,REV!$C:$AA,21,0)-'TRADE IN'!$F275))</f>
        <v>299</v>
      </c>
      <c r="X275" s="46">
        <f>IF(VLOOKUP($C275,REV!$C:$AA,22,0)-'TRADE IN'!$F284=0,"",(VLOOKUP($C275,REV!$C:$AA,22,0)-'TRADE IN'!$F275))</f>
        <v>299</v>
      </c>
      <c r="Y275" s="46">
        <f>IF(VLOOKUP($C275,REV!$C:$AA,23,0)-'TRADE IN'!$F284=0,"",(VLOOKUP($C275,REV!$C:$AA,23,0)-'TRADE IN'!$F275))</f>
        <v>299</v>
      </c>
      <c r="Z275" s="46">
        <f>IF(VLOOKUP($C275,REV!$C:$AA,24,0)-'TRADE IN'!$F284=0,"",(VLOOKUP($C275,REV!$C:$AA,24,0)-'TRADE IN'!$F275))</f>
        <v>299</v>
      </c>
      <c r="AA275" s="46">
        <f>IF(VLOOKUP($C275,REV!$C:$AA,25,0)-'TRADE IN'!$F284=0,"",(VLOOKUP($C275,REV!$C:$AA,25,0)-'TRADE IN'!$F275))</f>
        <v>299</v>
      </c>
      <c r="AB275" s="46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tr">
        <f>IF(REV!AW275=0,"",REV!AW275)</f>
        <v>31.03.2026</v>
      </c>
      <c r="AX275" s="159" t="s">
        <v>66</v>
      </c>
    </row>
    <row r="276" spans="1:50" ht="22.5" customHeight="1">
      <c r="A276" s="50" t="s">
        <v>61</v>
      </c>
      <c r="B276" s="41" t="s">
        <v>62</v>
      </c>
      <c r="C276" s="42">
        <v>4010890</v>
      </c>
      <c r="D276" s="43" t="s">
        <v>405</v>
      </c>
      <c r="E276" s="44" t="s">
        <v>406</v>
      </c>
      <c r="F276" s="45"/>
      <c r="G276" s="45"/>
      <c r="H276" s="46"/>
      <c r="I276" s="46"/>
      <c r="J276" s="46">
        <f>IF(VLOOKUP($C276,REV!$C:$AA,8,0)-'TRADE IN'!$F276=0,"",(VLOOKUP($C276,REV!$C:$AA,8,0)-'TRADE IN'!$F276))</f>
        <v>249</v>
      </c>
      <c r="K276" s="46">
        <f>IF(VLOOKUP($C276,REV!$C:$AA,9,0)-'TRADE IN'!$F276=0,"",(VLOOKUP($C276,REV!$C:$AA,9,0)-'TRADE IN'!$F276))</f>
        <v>249</v>
      </c>
      <c r="L276" s="46">
        <f>IF(VLOOKUP($C276,REV!$C:$AA,10,0)-'TRADE IN'!$F285=0,"",(VLOOKUP($C276,REV!$C:$AA,10,0)-'TRADE IN'!$F276))</f>
        <v>249</v>
      </c>
      <c r="M276" s="46">
        <f>IF(VLOOKUP($C276,REV!$C:$AA,11,0)-'TRADE IN'!$F285=0,"",(VLOOKUP($C276,REV!$C:$AA,11,0)-'TRADE IN'!$F276))</f>
        <v>249</v>
      </c>
      <c r="N276" s="46">
        <f>IF(VLOOKUP($C276,REV!$C:$AA,12,0)-'TRADE IN'!$F285=0,"",(VLOOKUP($C276,REV!$C:$AA,12,0)-'TRADE IN'!$F276))</f>
        <v>249</v>
      </c>
      <c r="O276" s="46" t="str">
        <f>IF(VLOOKUP($C276,REV!$C:$AA,13,0)-'TRADE IN'!$F285=0,"",(VLOOKUP($C276,REV!$C:$AA,13,0)-'TRADE IN'!$F276))</f>
        <v/>
      </c>
      <c r="P276" s="46" t="str">
        <f>IF(VLOOKUP($C276,REV!$C:$AA,14,0)-'TRADE IN'!$F285=0,"",(VLOOKUP($C276,REV!$C:$AA,14,0)-'TRADE IN'!$F276))</f>
        <v/>
      </c>
      <c r="Q276" s="46" t="str">
        <f>IF(VLOOKUP($C276,REV!$C:$AA,15,0)-'TRADE IN'!$F285=0,"",(VLOOKUP($C276,REV!$C:$AA,15,0)-'TRADE IN'!$F276))</f>
        <v/>
      </c>
      <c r="R276" s="46" t="str">
        <f>IF(VLOOKUP($C276,REV!$C:$AA,16,0)-'TRADE IN'!$F285=0,"",(VLOOKUP($C276,REV!$C:$AA,16,0)-'TRADE IN'!$F276))</f>
        <v/>
      </c>
      <c r="S276" s="46" t="str">
        <f>IF(VLOOKUP($C276,REV!$C:$AA,17,0)-'TRADE IN'!$F285=0,"",(VLOOKUP($C276,REV!$C:$AA,17,0)-'TRADE IN'!$F276))</f>
        <v/>
      </c>
      <c r="T276" s="46" t="str">
        <f>IF(VLOOKUP($C276,REV!$C:$AA,18,0)-'TRADE IN'!$F285=0,"",(VLOOKUP($C276,REV!$C:$AA,18,0)-'TRADE IN'!$F276))</f>
        <v/>
      </c>
      <c r="U276" s="46" t="str">
        <f>IF(VLOOKUP($C276,REV!$C:$AA,19,0)-'TRADE IN'!$F285=0,"",(VLOOKUP($C276,REV!$C:$AA,19,0)-'TRADE IN'!$F276))</f>
        <v/>
      </c>
      <c r="V276" s="46" t="str">
        <f>IF(VLOOKUP($C276,REV!$C:$AA,20,0)-'TRADE IN'!$F285=0,"",(VLOOKUP($C276,REV!$C:$AA,20,0)-'TRADE IN'!$F276))</f>
        <v/>
      </c>
      <c r="W276" s="46" t="str">
        <f>IF(VLOOKUP($C276,REV!$C:$AA,21,0)-'TRADE IN'!$F285=0,"",(VLOOKUP($C276,REV!$C:$AA,21,0)-'TRADE IN'!$F276))</f>
        <v/>
      </c>
      <c r="X276" s="46" t="str">
        <f>IF(VLOOKUP($C276,REV!$C:$AA,22,0)-'TRADE IN'!$F285=0,"",(VLOOKUP($C276,REV!$C:$AA,22,0)-'TRADE IN'!$F276))</f>
        <v/>
      </c>
      <c r="Y276" s="46" t="str">
        <f>IF(VLOOKUP($C276,REV!$C:$AA,23,0)-'TRADE IN'!$F285=0,"",(VLOOKUP($C276,REV!$C:$AA,23,0)-'TRADE IN'!$F276))</f>
        <v/>
      </c>
      <c r="Z276" s="46" t="str">
        <f>IF(VLOOKUP($C276,REV!$C:$AA,24,0)-'TRADE IN'!$F285=0,"",(VLOOKUP($C276,REV!$C:$AA,24,0)-'TRADE IN'!$F276))</f>
        <v/>
      </c>
      <c r="AA276" s="46" t="str">
        <f>IF(VLOOKUP($C276,REV!$C:$AA,25,0)-'TRADE IN'!$F285=0,"",(VLOOKUP($C276,REV!$C:$AA,25,0)-'TRADE IN'!$F276))</f>
        <v/>
      </c>
      <c r="AB276" s="46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tr">
        <f>IF(REV!AW276=0,"",REV!AW276)</f>
        <v>31.03.2026</v>
      </c>
      <c r="AX276" s="159" t="s">
        <v>66</v>
      </c>
    </row>
    <row r="277" spans="1:50" ht="22.5" customHeight="1">
      <c r="A277" s="50" t="s">
        <v>61</v>
      </c>
      <c r="B277" s="41" t="s">
        <v>62</v>
      </c>
      <c r="C277" s="42">
        <v>4010891</v>
      </c>
      <c r="D277" s="43" t="s">
        <v>405</v>
      </c>
      <c r="E277" s="44" t="s">
        <v>407</v>
      </c>
      <c r="F277" s="45"/>
      <c r="G277" s="45"/>
      <c r="H277" s="46"/>
      <c r="I277" s="46"/>
      <c r="J277" s="46">
        <f>IF(VLOOKUP($C277,REV!$C:$AA,8,0)-'TRADE IN'!$F277=0,"",(VLOOKUP($C277,REV!$C:$AA,8,0)-'TRADE IN'!$F277))</f>
        <v>249</v>
      </c>
      <c r="K277" s="46">
        <f>IF(VLOOKUP($C277,REV!$C:$AA,9,0)-'TRADE IN'!$F277=0,"",(VLOOKUP($C277,REV!$C:$AA,9,0)-'TRADE IN'!$F277))</f>
        <v>249</v>
      </c>
      <c r="L277" s="46">
        <f>IF(VLOOKUP($C277,REV!$C:$AA,10,0)-'TRADE IN'!$F286=0,"",(VLOOKUP($C277,REV!$C:$AA,10,0)-'TRADE IN'!$F277))</f>
        <v>249</v>
      </c>
      <c r="M277" s="46">
        <f>IF(VLOOKUP($C277,REV!$C:$AA,11,0)-'TRADE IN'!$F286=0,"",(VLOOKUP($C277,REV!$C:$AA,11,0)-'TRADE IN'!$F277))</f>
        <v>249</v>
      </c>
      <c r="N277" s="46">
        <f>IF(VLOOKUP($C277,REV!$C:$AA,12,0)-'TRADE IN'!$F286=0,"",(VLOOKUP($C277,REV!$C:$AA,12,0)-'TRADE IN'!$F277))</f>
        <v>249</v>
      </c>
      <c r="O277" s="46" t="str">
        <f>IF(VLOOKUP($C277,REV!$C:$AA,13,0)-'TRADE IN'!$F286=0,"",(VLOOKUP($C277,REV!$C:$AA,13,0)-'TRADE IN'!$F277))</f>
        <v/>
      </c>
      <c r="P277" s="46" t="str">
        <f>IF(VLOOKUP($C277,REV!$C:$AA,14,0)-'TRADE IN'!$F286=0,"",(VLOOKUP($C277,REV!$C:$AA,14,0)-'TRADE IN'!$F277))</f>
        <v/>
      </c>
      <c r="Q277" s="46" t="str">
        <f>IF(VLOOKUP($C277,REV!$C:$AA,15,0)-'TRADE IN'!$F286=0,"",(VLOOKUP($C277,REV!$C:$AA,15,0)-'TRADE IN'!$F277))</f>
        <v/>
      </c>
      <c r="R277" s="46" t="str">
        <f>IF(VLOOKUP($C277,REV!$C:$AA,16,0)-'TRADE IN'!$F286=0,"",(VLOOKUP($C277,REV!$C:$AA,16,0)-'TRADE IN'!$F277))</f>
        <v/>
      </c>
      <c r="S277" s="46" t="str">
        <f>IF(VLOOKUP($C277,REV!$C:$AA,17,0)-'TRADE IN'!$F286=0,"",(VLOOKUP($C277,REV!$C:$AA,17,0)-'TRADE IN'!$F277))</f>
        <v/>
      </c>
      <c r="T277" s="46" t="str">
        <f>IF(VLOOKUP($C277,REV!$C:$AA,18,0)-'TRADE IN'!$F286=0,"",(VLOOKUP($C277,REV!$C:$AA,18,0)-'TRADE IN'!$F277))</f>
        <v/>
      </c>
      <c r="U277" s="46" t="str">
        <f>IF(VLOOKUP($C277,REV!$C:$AA,19,0)-'TRADE IN'!$F286=0,"",(VLOOKUP($C277,REV!$C:$AA,19,0)-'TRADE IN'!$F277))</f>
        <v/>
      </c>
      <c r="V277" s="46" t="str">
        <f>IF(VLOOKUP($C277,REV!$C:$AA,20,0)-'TRADE IN'!$F286=0,"",(VLOOKUP($C277,REV!$C:$AA,20,0)-'TRADE IN'!$F277))</f>
        <v/>
      </c>
      <c r="W277" s="46" t="str">
        <f>IF(VLOOKUP($C277,REV!$C:$AA,21,0)-'TRADE IN'!$F286=0,"",(VLOOKUP($C277,REV!$C:$AA,21,0)-'TRADE IN'!$F277))</f>
        <v/>
      </c>
      <c r="X277" s="46" t="str">
        <f>IF(VLOOKUP($C277,REV!$C:$AA,22,0)-'TRADE IN'!$F286=0,"",(VLOOKUP($C277,REV!$C:$AA,22,0)-'TRADE IN'!$F277))</f>
        <v/>
      </c>
      <c r="Y277" s="46" t="str">
        <f>IF(VLOOKUP($C277,REV!$C:$AA,23,0)-'TRADE IN'!$F286=0,"",(VLOOKUP($C277,REV!$C:$AA,23,0)-'TRADE IN'!$F277))</f>
        <v/>
      </c>
      <c r="Z277" s="46" t="str">
        <f>IF(VLOOKUP($C277,REV!$C:$AA,24,0)-'TRADE IN'!$F286=0,"",(VLOOKUP($C277,REV!$C:$AA,24,0)-'TRADE IN'!$F277))</f>
        <v/>
      </c>
      <c r="AA277" s="46" t="str">
        <f>IF(VLOOKUP($C277,REV!$C:$AA,25,0)-'TRADE IN'!$F286=0,"",(VLOOKUP($C277,REV!$C:$AA,25,0)-'TRADE IN'!$F277))</f>
        <v/>
      </c>
      <c r="AB277" s="46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tr">
        <f>IF(REV!AW277=0,"",REV!AW277)</f>
        <v>31.03.2026</v>
      </c>
      <c r="AX277" s="159" t="s">
        <v>66</v>
      </c>
    </row>
    <row r="278" spans="1:50" ht="22.5" customHeight="1">
      <c r="A278" s="50" t="s">
        <v>61</v>
      </c>
      <c r="B278" s="41" t="s">
        <v>62</v>
      </c>
      <c r="C278" s="42">
        <v>4010901</v>
      </c>
      <c r="D278" s="43" t="s">
        <v>405</v>
      </c>
      <c r="E278" s="44" t="s">
        <v>408</v>
      </c>
      <c r="F278" s="45"/>
      <c r="G278" s="45"/>
      <c r="H278" s="46"/>
      <c r="I278" s="46"/>
      <c r="J278" s="46">
        <f>IF(VLOOKUP($C278,REV!$C:$AA,8,0)-'TRADE IN'!$F278=0,"",(VLOOKUP($C278,REV!$C:$AA,8,0)-'TRADE IN'!$F278))</f>
        <v>249</v>
      </c>
      <c r="K278" s="46">
        <f>IF(VLOOKUP($C278,REV!$C:$AA,9,0)-'TRADE IN'!$F278=0,"",(VLOOKUP($C278,REV!$C:$AA,9,0)-'TRADE IN'!$F278))</f>
        <v>249</v>
      </c>
      <c r="L278" s="46">
        <f>IF(VLOOKUP($C278,REV!$C:$AA,10,0)-'TRADE IN'!$F287=0,"",(VLOOKUP($C278,REV!$C:$AA,10,0)-'TRADE IN'!$F278))</f>
        <v>249</v>
      </c>
      <c r="M278" s="46">
        <f>IF(VLOOKUP($C278,REV!$C:$AA,11,0)-'TRADE IN'!$F287=0,"",(VLOOKUP($C278,REV!$C:$AA,11,0)-'TRADE IN'!$F278))</f>
        <v>249</v>
      </c>
      <c r="N278" s="46">
        <f>IF(VLOOKUP($C278,REV!$C:$AA,12,0)-'TRADE IN'!$F287=0,"",(VLOOKUP($C278,REV!$C:$AA,12,0)-'TRADE IN'!$F278))</f>
        <v>249</v>
      </c>
      <c r="O278" s="46" t="str">
        <f>IF(VLOOKUP($C278,REV!$C:$AA,13,0)-'TRADE IN'!$F287=0,"",(VLOOKUP($C278,REV!$C:$AA,13,0)-'TRADE IN'!$F278))</f>
        <v/>
      </c>
      <c r="P278" s="46" t="str">
        <f>IF(VLOOKUP($C278,REV!$C:$AA,14,0)-'TRADE IN'!$F287=0,"",(VLOOKUP($C278,REV!$C:$AA,14,0)-'TRADE IN'!$F278))</f>
        <v/>
      </c>
      <c r="Q278" s="46" t="str">
        <f>IF(VLOOKUP($C278,REV!$C:$AA,15,0)-'TRADE IN'!$F287=0,"",(VLOOKUP($C278,REV!$C:$AA,15,0)-'TRADE IN'!$F278))</f>
        <v/>
      </c>
      <c r="R278" s="46" t="str">
        <f>IF(VLOOKUP($C278,REV!$C:$AA,16,0)-'TRADE IN'!$F287=0,"",(VLOOKUP($C278,REV!$C:$AA,16,0)-'TRADE IN'!$F278))</f>
        <v/>
      </c>
      <c r="S278" s="46" t="str">
        <f>IF(VLOOKUP($C278,REV!$C:$AA,17,0)-'TRADE IN'!$F287=0,"",(VLOOKUP($C278,REV!$C:$AA,17,0)-'TRADE IN'!$F278))</f>
        <v/>
      </c>
      <c r="T278" s="46" t="str">
        <f>IF(VLOOKUP($C278,REV!$C:$AA,18,0)-'TRADE IN'!$F287=0,"",(VLOOKUP($C278,REV!$C:$AA,18,0)-'TRADE IN'!$F278))</f>
        <v/>
      </c>
      <c r="U278" s="46" t="str">
        <f>IF(VLOOKUP($C278,REV!$C:$AA,19,0)-'TRADE IN'!$F287=0,"",(VLOOKUP($C278,REV!$C:$AA,19,0)-'TRADE IN'!$F278))</f>
        <v/>
      </c>
      <c r="V278" s="46" t="str">
        <f>IF(VLOOKUP($C278,REV!$C:$AA,20,0)-'TRADE IN'!$F287=0,"",(VLOOKUP($C278,REV!$C:$AA,20,0)-'TRADE IN'!$F278))</f>
        <v/>
      </c>
      <c r="W278" s="46" t="str">
        <f>IF(VLOOKUP($C278,REV!$C:$AA,21,0)-'TRADE IN'!$F287=0,"",(VLOOKUP($C278,REV!$C:$AA,21,0)-'TRADE IN'!$F278))</f>
        <v/>
      </c>
      <c r="X278" s="46" t="str">
        <f>IF(VLOOKUP($C278,REV!$C:$AA,22,0)-'TRADE IN'!$F287=0,"",(VLOOKUP($C278,REV!$C:$AA,22,0)-'TRADE IN'!$F278))</f>
        <v/>
      </c>
      <c r="Y278" s="46" t="str">
        <f>IF(VLOOKUP($C278,REV!$C:$AA,23,0)-'TRADE IN'!$F287=0,"",(VLOOKUP($C278,REV!$C:$AA,23,0)-'TRADE IN'!$F278))</f>
        <v/>
      </c>
      <c r="Z278" s="46" t="str">
        <f>IF(VLOOKUP($C278,REV!$C:$AA,24,0)-'TRADE IN'!$F287=0,"",(VLOOKUP($C278,REV!$C:$AA,24,0)-'TRADE IN'!$F278))</f>
        <v/>
      </c>
      <c r="AA278" s="46" t="str">
        <f>IF(VLOOKUP($C278,REV!$C:$AA,25,0)-'TRADE IN'!$F287=0,"",(VLOOKUP($C278,REV!$C:$AA,25,0)-'TRADE IN'!$F278))</f>
        <v/>
      </c>
      <c r="AB278" s="46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tr">
        <f>IF(REV!AW278=0,"",REV!AW278)</f>
        <v>31.03.2026</v>
      </c>
      <c r="AX278" s="159" t="s">
        <v>66</v>
      </c>
    </row>
    <row r="279" spans="1:50" ht="22.5" customHeight="1">
      <c r="A279" s="50" t="s">
        <v>61</v>
      </c>
      <c r="B279" s="41" t="s">
        <v>62</v>
      </c>
      <c r="C279" s="42">
        <v>4010902</v>
      </c>
      <c r="D279" s="43" t="s">
        <v>405</v>
      </c>
      <c r="E279" s="44" t="s">
        <v>409</v>
      </c>
      <c r="F279" s="45"/>
      <c r="G279" s="45"/>
      <c r="H279" s="46"/>
      <c r="I279" s="46"/>
      <c r="J279" s="46">
        <f>IF(VLOOKUP($C279,REV!$C:$AA,8,0)-'TRADE IN'!$F279=0,"",(VLOOKUP($C279,REV!$C:$AA,8,0)-'TRADE IN'!$F279))</f>
        <v>249</v>
      </c>
      <c r="K279" s="46">
        <f>IF(VLOOKUP($C279,REV!$C:$AA,9,0)-'TRADE IN'!$F279=0,"",(VLOOKUP($C279,REV!$C:$AA,9,0)-'TRADE IN'!$F279))</f>
        <v>249</v>
      </c>
      <c r="L279" s="46">
        <f>IF(VLOOKUP($C279,REV!$C:$AA,10,0)-'TRADE IN'!$F288=0,"",(VLOOKUP($C279,REV!$C:$AA,10,0)-'TRADE IN'!$F279))</f>
        <v>249</v>
      </c>
      <c r="M279" s="46">
        <f>IF(VLOOKUP($C279,REV!$C:$AA,11,0)-'TRADE IN'!$F288=0,"",(VLOOKUP($C279,REV!$C:$AA,11,0)-'TRADE IN'!$F279))</f>
        <v>249</v>
      </c>
      <c r="N279" s="46">
        <f>IF(VLOOKUP($C279,REV!$C:$AA,12,0)-'TRADE IN'!$F288=0,"",(VLOOKUP($C279,REV!$C:$AA,12,0)-'TRADE IN'!$F279))</f>
        <v>249</v>
      </c>
      <c r="O279" s="46" t="str">
        <f>IF(VLOOKUP($C279,REV!$C:$AA,13,0)-'TRADE IN'!$F288=0,"",(VLOOKUP($C279,REV!$C:$AA,13,0)-'TRADE IN'!$F279))</f>
        <v/>
      </c>
      <c r="P279" s="46" t="str">
        <f>IF(VLOOKUP($C279,REV!$C:$AA,14,0)-'TRADE IN'!$F288=0,"",(VLOOKUP($C279,REV!$C:$AA,14,0)-'TRADE IN'!$F279))</f>
        <v/>
      </c>
      <c r="Q279" s="46" t="str">
        <f>IF(VLOOKUP($C279,REV!$C:$AA,15,0)-'TRADE IN'!$F288=0,"",(VLOOKUP($C279,REV!$C:$AA,15,0)-'TRADE IN'!$F279))</f>
        <v/>
      </c>
      <c r="R279" s="46" t="str">
        <f>IF(VLOOKUP($C279,REV!$C:$AA,16,0)-'TRADE IN'!$F288=0,"",(VLOOKUP($C279,REV!$C:$AA,16,0)-'TRADE IN'!$F279))</f>
        <v/>
      </c>
      <c r="S279" s="46" t="str">
        <f>IF(VLOOKUP($C279,REV!$C:$AA,17,0)-'TRADE IN'!$F288=0,"",(VLOOKUP($C279,REV!$C:$AA,17,0)-'TRADE IN'!$F279))</f>
        <v/>
      </c>
      <c r="T279" s="46" t="str">
        <f>IF(VLOOKUP($C279,REV!$C:$AA,18,0)-'TRADE IN'!$F288=0,"",(VLOOKUP($C279,REV!$C:$AA,18,0)-'TRADE IN'!$F279))</f>
        <v/>
      </c>
      <c r="U279" s="46" t="str">
        <f>IF(VLOOKUP($C279,REV!$C:$AA,19,0)-'TRADE IN'!$F288=0,"",(VLOOKUP($C279,REV!$C:$AA,19,0)-'TRADE IN'!$F279))</f>
        <v/>
      </c>
      <c r="V279" s="46" t="str">
        <f>IF(VLOOKUP($C279,REV!$C:$AA,20,0)-'TRADE IN'!$F288=0,"",(VLOOKUP($C279,REV!$C:$AA,20,0)-'TRADE IN'!$F279))</f>
        <v/>
      </c>
      <c r="W279" s="46" t="str">
        <f>IF(VLOOKUP($C279,REV!$C:$AA,21,0)-'TRADE IN'!$F288=0,"",(VLOOKUP($C279,REV!$C:$AA,21,0)-'TRADE IN'!$F279))</f>
        <v/>
      </c>
      <c r="X279" s="46" t="str">
        <f>IF(VLOOKUP($C279,REV!$C:$AA,22,0)-'TRADE IN'!$F288=0,"",(VLOOKUP($C279,REV!$C:$AA,22,0)-'TRADE IN'!$F279))</f>
        <v/>
      </c>
      <c r="Y279" s="46" t="str">
        <f>IF(VLOOKUP($C279,REV!$C:$AA,23,0)-'TRADE IN'!$F288=0,"",(VLOOKUP($C279,REV!$C:$AA,23,0)-'TRADE IN'!$F279))</f>
        <v/>
      </c>
      <c r="Z279" s="46" t="str">
        <f>IF(VLOOKUP($C279,REV!$C:$AA,24,0)-'TRADE IN'!$F288=0,"",(VLOOKUP($C279,REV!$C:$AA,24,0)-'TRADE IN'!$F279))</f>
        <v/>
      </c>
      <c r="AA279" s="46" t="str">
        <f>IF(VLOOKUP($C279,REV!$C:$AA,25,0)-'TRADE IN'!$F288=0,"",(VLOOKUP($C279,REV!$C:$AA,25,0)-'TRADE IN'!$F279))</f>
        <v/>
      </c>
      <c r="AB279" s="46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tr">
        <f>IF(REV!AW279=0,"",REV!AW279)</f>
        <v>31.03.2026</v>
      </c>
      <c r="AX279" s="159" t="s">
        <v>66</v>
      </c>
    </row>
    <row r="280" spans="1:50" ht="22.5" customHeight="1">
      <c r="A280" s="50" t="s">
        <v>61</v>
      </c>
      <c r="B280" s="41" t="s">
        <v>62</v>
      </c>
      <c r="C280" s="42">
        <v>4016017</v>
      </c>
      <c r="D280" s="43" t="s">
        <v>410</v>
      </c>
      <c r="E280" s="43" t="s">
        <v>411</v>
      </c>
      <c r="F280" s="45"/>
      <c r="G280" s="45"/>
      <c r="H280" s="45"/>
      <c r="I280" s="45"/>
      <c r="J280" s="46">
        <f>IF(VLOOKUP($C280,REV!$C:$AA,8,0)-'TRADE IN'!$F280=0,"",(VLOOKUP($C280,REV!$C:$AA,8,0)-'TRADE IN'!$F280))</f>
        <v>699</v>
      </c>
      <c r="K280" s="46">
        <f>IF(VLOOKUP($C280,REV!$C:$AA,9,0)-'TRADE IN'!$F280=0,"",(VLOOKUP($C280,REV!$C:$AA,9,0)-'TRADE IN'!$F280))</f>
        <v>699</v>
      </c>
      <c r="L280" s="46">
        <f>IF(VLOOKUP($C280,REV!$C:$AA,10,0)-'TRADE IN'!$F289=0,"",(VLOOKUP($C280,REV!$C:$AA,10,0)-'TRADE IN'!$F280))</f>
        <v>699</v>
      </c>
      <c r="M280" s="46">
        <f>IF(VLOOKUP($C280,REV!$C:$AA,11,0)-'TRADE IN'!$F289=0,"",(VLOOKUP($C280,REV!$C:$AA,11,0)-'TRADE IN'!$F280))</f>
        <v>699</v>
      </c>
      <c r="N280" s="46">
        <f>IF(VLOOKUP($C280,REV!$C:$AA,12,0)-'TRADE IN'!$F289=0,"",(VLOOKUP($C280,REV!$C:$AA,12,0)-'TRADE IN'!$F280))</f>
        <v>699</v>
      </c>
      <c r="O280" s="46">
        <f>IF(VLOOKUP($C280,REV!$C:$AA,13,0)-'TRADE IN'!$F289=0,"",(VLOOKUP($C280,REV!$C:$AA,13,0)-'TRADE IN'!$F280))</f>
        <v>649</v>
      </c>
      <c r="P280" s="46">
        <f>IF(VLOOKUP($C280,REV!$C:$AA,14,0)-'TRADE IN'!$F289=0,"",(VLOOKUP($C280,REV!$C:$AA,14,0)-'TRADE IN'!$F280))</f>
        <v>599</v>
      </c>
      <c r="Q280" s="46">
        <f>IF(VLOOKUP($C280,REV!$C:$AA,15,0)-'TRADE IN'!$F289=0,"",(VLOOKUP($C280,REV!$C:$AA,15,0)-'TRADE IN'!$F280))</f>
        <v>599</v>
      </c>
      <c r="R280" s="46">
        <f>IF(VLOOKUP($C280,REV!$C:$AA,16,0)-'TRADE IN'!$F289=0,"",(VLOOKUP($C280,REV!$C:$AA,16,0)-'TRADE IN'!$F280))</f>
        <v>649</v>
      </c>
      <c r="S280" s="46">
        <f>IF(VLOOKUP($C280,REV!$C:$AA,17,0)-'TRADE IN'!$F289=0,"",(VLOOKUP($C280,REV!$C:$AA,17,0)-'TRADE IN'!$F280))</f>
        <v>599</v>
      </c>
      <c r="T280" s="46">
        <f>IF(VLOOKUP($C280,REV!$C:$AA,18,0)-'TRADE IN'!$F289=0,"",(VLOOKUP($C280,REV!$C:$AA,18,0)-'TRADE IN'!$F280))</f>
        <v>599</v>
      </c>
      <c r="U280" s="46">
        <f>IF(VLOOKUP($C280,REV!$C:$AA,19,0)-'TRADE IN'!$F289=0,"",(VLOOKUP($C280,REV!$C:$AA,19,0)-'TRADE IN'!$F280))</f>
        <v>599</v>
      </c>
      <c r="V280" s="46">
        <f>IF(VLOOKUP($C280,REV!$C:$AA,20,0)-'TRADE IN'!$F289=0,"",(VLOOKUP($C280,REV!$C:$AA,20,0)-'TRADE IN'!$F280))</f>
        <v>599</v>
      </c>
      <c r="W280" s="46">
        <f>IF(VLOOKUP($C280,REV!$C:$AA,21,0)-'TRADE IN'!$F289=0,"",(VLOOKUP($C280,REV!$C:$AA,21,0)-'TRADE IN'!$F280))</f>
        <v>599</v>
      </c>
      <c r="X280" s="46">
        <f>IF(VLOOKUP($C280,REV!$C:$AA,22,0)-'TRADE IN'!$F289=0,"",(VLOOKUP($C280,REV!$C:$AA,22,0)-'TRADE IN'!$F280))</f>
        <v>599</v>
      </c>
      <c r="Y280" s="46">
        <f>IF(VLOOKUP($C280,REV!$C:$AA,23,0)-'TRADE IN'!$F289=0,"",(VLOOKUP($C280,REV!$C:$AA,23,0)-'TRADE IN'!$F280))</f>
        <v>599</v>
      </c>
      <c r="Z280" s="46">
        <f>IF(VLOOKUP($C280,REV!$C:$AA,24,0)-'TRADE IN'!$F289=0,"",(VLOOKUP($C280,REV!$C:$AA,24,0)-'TRADE IN'!$F280))</f>
        <v>599</v>
      </c>
      <c r="AA280" s="46">
        <f>IF(VLOOKUP($C280,REV!$C:$AA,25,0)-'TRADE IN'!$F289=0,"",(VLOOKUP($C280,REV!$C:$AA,25,0)-'TRADE IN'!$F280))</f>
        <v>599</v>
      </c>
      <c r="AB280" s="46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tr">
        <f>IF(REV!AW280=0,"",REV!AW280)</f>
        <v>31.03.2026</v>
      </c>
      <c r="AX280" s="159" t="s">
        <v>66</v>
      </c>
    </row>
    <row r="281" spans="1:50" ht="22.5" customHeight="1">
      <c r="A281" s="50" t="s">
        <v>61</v>
      </c>
      <c r="B281" s="41" t="s">
        <v>62</v>
      </c>
      <c r="C281" s="42">
        <v>4016281</v>
      </c>
      <c r="D281" s="43" t="s">
        <v>412</v>
      </c>
      <c r="E281" s="43" t="s">
        <v>413</v>
      </c>
      <c r="F281" s="45"/>
      <c r="G281" s="45"/>
      <c r="H281" s="45"/>
      <c r="I281" s="45"/>
      <c r="J281" s="46">
        <f>IF(VLOOKUP($C281,REV!$C:$AA,8,0)-'TRADE IN'!$F281=0,"",(VLOOKUP($C281,REV!$C:$AA,8,0)-'TRADE IN'!$F281))</f>
        <v>699</v>
      </c>
      <c r="K281" s="46">
        <f>IF(VLOOKUP($C281,REV!$C:$AA,9,0)-'TRADE IN'!$F281=0,"",(VLOOKUP($C281,REV!$C:$AA,9,0)-'TRADE IN'!$F281))</f>
        <v>699</v>
      </c>
      <c r="L281" s="46">
        <f>IF(VLOOKUP($C281,REV!$C:$AA,10,0)-'TRADE IN'!$F290=0,"",(VLOOKUP($C281,REV!$C:$AA,10,0)-'TRADE IN'!$F281))</f>
        <v>699</v>
      </c>
      <c r="M281" s="46">
        <f>IF(VLOOKUP($C281,REV!$C:$AA,11,0)-'TRADE IN'!$F290=0,"",(VLOOKUP($C281,REV!$C:$AA,11,0)-'TRADE IN'!$F281))</f>
        <v>699</v>
      </c>
      <c r="N281" s="46">
        <f>IF(VLOOKUP($C281,REV!$C:$AA,12,0)-'TRADE IN'!$F290=0,"",(VLOOKUP($C281,REV!$C:$AA,12,0)-'TRADE IN'!$F281))</f>
        <v>699</v>
      </c>
      <c r="O281" s="46">
        <f>IF(VLOOKUP($C281,REV!$C:$AA,13,0)-'TRADE IN'!$F290=0,"",(VLOOKUP($C281,REV!$C:$AA,13,0)-'TRADE IN'!$F281))</f>
        <v>649</v>
      </c>
      <c r="P281" s="46">
        <f>IF(VLOOKUP($C281,REV!$C:$AA,14,0)-'TRADE IN'!$F290=0,"",(VLOOKUP($C281,REV!$C:$AA,14,0)-'TRADE IN'!$F281))</f>
        <v>649</v>
      </c>
      <c r="Q281" s="46">
        <f>IF(VLOOKUP($C281,REV!$C:$AA,15,0)-'TRADE IN'!$F290=0,"",(VLOOKUP($C281,REV!$C:$AA,15,0)-'TRADE IN'!$F281))</f>
        <v>649</v>
      </c>
      <c r="R281" s="46">
        <f>IF(VLOOKUP($C281,REV!$C:$AA,16,0)-'TRADE IN'!$F290=0,"",(VLOOKUP($C281,REV!$C:$AA,16,0)-'TRADE IN'!$F281))</f>
        <v>649</v>
      </c>
      <c r="S281" s="46">
        <f>IF(VLOOKUP($C281,REV!$C:$AA,17,0)-'TRADE IN'!$F290=0,"",(VLOOKUP($C281,REV!$C:$AA,17,0)-'TRADE IN'!$F281))</f>
        <v>649</v>
      </c>
      <c r="T281" s="46">
        <f>IF(VLOOKUP($C281,REV!$C:$AA,18,0)-'TRADE IN'!$F290=0,"",(VLOOKUP($C281,REV!$C:$AA,18,0)-'TRADE IN'!$F281))</f>
        <v>649</v>
      </c>
      <c r="U281" s="46">
        <f>IF(VLOOKUP($C281,REV!$C:$AA,19,0)-'TRADE IN'!$F290=0,"",(VLOOKUP($C281,REV!$C:$AA,19,0)-'TRADE IN'!$F281))</f>
        <v>649</v>
      </c>
      <c r="V281" s="46">
        <f>IF(VLOOKUP($C281,REV!$C:$AA,20,0)-'TRADE IN'!$F290=0,"",(VLOOKUP($C281,REV!$C:$AA,20,0)-'TRADE IN'!$F281))</f>
        <v>649</v>
      </c>
      <c r="W281" s="46">
        <f>IF(VLOOKUP($C281,REV!$C:$AA,21,0)-'TRADE IN'!$F290=0,"",(VLOOKUP($C281,REV!$C:$AA,21,0)-'TRADE IN'!$F281))</f>
        <v>649</v>
      </c>
      <c r="X281" s="46">
        <f>IF(VLOOKUP($C281,REV!$C:$AA,22,0)-'TRADE IN'!$F290=0,"",(VLOOKUP($C281,REV!$C:$AA,22,0)-'TRADE IN'!$F281))</f>
        <v>649</v>
      </c>
      <c r="Y281" s="46">
        <f>IF(VLOOKUP($C281,REV!$C:$AA,23,0)-'TRADE IN'!$F290=0,"",(VLOOKUP($C281,REV!$C:$AA,23,0)-'TRADE IN'!$F281))</f>
        <v>649</v>
      </c>
      <c r="Z281" s="46">
        <f>IF(VLOOKUP($C281,REV!$C:$AA,24,0)-'TRADE IN'!$F290=0,"",(VLOOKUP($C281,REV!$C:$AA,24,0)-'TRADE IN'!$F281))</f>
        <v>649</v>
      </c>
      <c r="AA281" s="46">
        <f>IF(VLOOKUP($C281,REV!$C:$AA,25,0)-'TRADE IN'!$F290=0,"",(VLOOKUP($C281,REV!$C:$AA,25,0)-'TRADE IN'!$F281))</f>
        <v>649</v>
      </c>
      <c r="AB281" s="46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tr">
        <f>IF(REV!AW281=0,"",REV!AW281)</f>
        <v>31.03.2026</v>
      </c>
      <c r="AX281" s="159" t="s">
        <v>66</v>
      </c>
    </row>
    <row r="282" spans="1:50" ht="22.5" customHeight="1">
      <c r="A282" s="50" t="s">
        <v>61</v>
      </c>
      <c r="B282" s="41" t="s">
        <v>62</v>
      </c>
      <c r="C282" s="42">
        <v>4016801</v>
      </c>
      <c r="D282" s="60" t="s">
        <v>414</v>
      </c>
      <c r="E282" s="60" t="s">
        <v>415</v>
      </c>
      <c r="F282" s="45"/>
      <c r="G282" s="45"/>
      <c r="H282" s="45"/>
      <c r="I282" s="45"/>
      <c r="J282" s="46">
        <f>IF(VLOOKUP($C282,REV!$C:$AA,8,0)-'TRADE IN'!$F282=0,"",(VLOOKUP($C282,REV!$C:$AA,8,0)-'TRADE IN'!$F282))</f>
        <v>599</v>
      </c>
      <c r="K282" s="46">
        <f>IF(VLOOKUP($C282,REV!$C:$AA,9,0)-'TRADE IN'!$F282=0,"",(VLOOKUP($C282,REV!$C:$AA,9,0)-'TRADE IN'!$F282))</f>
        <v>499</v>
      </c>
      <c r="L282" s="46">
        <f>IF(VLOOKUP($C282,REV!$C:$AA,10,0)-'TRADE IN'!$F291=0,"",(VLOOKUP($C282,REV!$C:$AA,10,0)-'TRADE IN'!$F282))</f>
        <v>499</v>
      </c>
      <c r="M282" s="46">
        <f>IF(VLOOKUP($C282,REV!$C:$AA,11,0)-'TRADE IN'!$F291=0,"",(VLOOKUP($C282,REV!$C:$AA,11,0)-'TRADE IN'!$F282))</f>
        <v>599</v>
      </c>
      <c r="N282" s="46">
        <f>IF(VLOOKUP($C282,REV!$C:$AA,12,0)-'TRADE IN'!$F291=0,"",(VLOOKUP($C282,REV!$C:$AA,12,0)-'TRADE IN'!$F282))</f>
        <v>499</v>
      </c>
      <c r="O282" s="46">
        <f>IF(VLOOKUP($C282,REV!$C:$AA,13,0)-'TRADE IN'!$F291=0,"",(VLOOKUP($C282,REV!$C:$AA,13,0)-'TRADE IN'!$F282))</f>
        <v>499</v>
      </c>
      <c r="P282" s="46">
        <f>IF(VLOOKUP($C282,REV!$C:$AA,14,0)-'TRADE IN'!$F291=0,"",(VLOOKUP($C282,REV!$C:$AA,14,0)-'TRADE IN'!$F282))</f>
        <v>499</v>
      </c>
      <c r="Q282" s="46">
        <f>IF(VLOOKUP($C282,REV!$C:$AA,15,0)-'TRADE IN'!$F291=0,"",(VLOOKUP($C282,REV!$C:$AA,15,0)-'TRADE IN'!$F282))</f>
        <v>499</v>
      </c>
      <c r="R282" s="46">
        <f>IF(VLOOKUP($C282,REV!$C:$AA,16,0)-'TRADE IN'!$F291=0,"",(VLOOKUP($C282,REV!$C:$AA,16,0)-'TRADE IN'!$F282))</f>
        <v>499</v>
      </c>
      <c r="S282" s="46">
        <f>IF(VLOOKUP($C282,REV!$C:$AA,17,0)-'TRADE IN'!$F291=0,"",(VLOOKUP($C282,REV!$C:$AA,17,0)-'TRADE IN'!$F282))</f>
        <v>499</v>
      </c>
      <c r="T282" s="46">
        <f>IF(VLOOKUP($C282,REV!$C:$AA,18,0)-'TRADE IN'!$F291=0,"",(VLOOKUP($C282,REV!$C:$AA,18,0)-'TRADE IN'!$F282))</f>
        <v>499</v>
      </c>
      <c r="U282" s="46">
        <f>IF(VLOOKUP($C282,REV!$C:$AA,19,0)-'TRADE IN'!$F291=0,"",(VLOOKUP($C282,REV!$C:$AA,19,0)-'TRADE IN'!$F282))</f>
        <v>499</v>
      </c>
      <c r="V282" s="46">
        <f>IF(VLOOKUP($C282,REV!$C:$AA,20,0)-'TRADE IN'!$F291=0,"",(VLOOKUP($C282,REV!$C:$AA,20,0)-'TRADE IN'!$F282))</f>
        <v>499</v>
      </c>
      <c r="W282" s="46">
        <f>IF(VLOOKUP($C282,REV!$C:$AA,21,0)-'TRADE IN'!$F291=0,"",(VLOOKUP($C282,REV!$C:$AA,21,0)-'TRADE IN'!$F282))</f>
        <v>499</v>
      </c>
      <c r="X282" s="46">
        <f>IF(VLOOKUP($C282,REV!$C:$AA,22,0)-'TRADE IN'!$F291=0,"",(VLOOKUP($C282,REV!$C:$AA,22,0)-'TRADE IN'!$F282))</f>
        <v>499</v>
      </c>
      <c r="Y282" s="46">
        <f>IF(VLOOKUP($C282,REV!$C:$AA,23,0)-'TRADE IN'!$F291=0,"",(VLOOKUP($C282,REV!$C:$AA,23,0)-'TRADE IN'!$F282))</f>
        <v>499</v>
      </c>
      <c r="Z282" s="46">
        <f>IF(VLOOKUP($C282,REV!$C:$AA,24,0)-'TRADE IN'!$F291=0,"",(VLOOKUP($C282,REV!$C:$AA,24,0)-'TRADE IN'!$F282))</f>
        <v>499</v>
      </c>
      <c r="AA282" s="46">
        <f>IF(VLOOKUP($C282,REV!$C:$AA,25,0)-'TRADE IN'!$F291=0,"",(VLOOKUP($C282,REV!$C:$AA,25,0)-'TRADE IN'!$F282))</f>
        <v>499</v>
      </c>
      <c r="AB282" s="46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tr">
        <f>IF(REV!AW282=0,"",REV!AW282)</f>
        <v>31.03.2026</v>
      </c>
      <c r="AX282" s="159" t="s">
        <v>66</v>
      </c>
    </row>
    <row r="283" spans="1:50" ht="22.5" customHeight="1">
      <c r="A283" s="50" t="s">
        <v>61</v>
      </c>
      <c r="B283" s="41" t="s">
        <v>62</v>
      </c>
      <c r="C283" s="42">
        <v>4017405</v>
      </c>
      <c r="D283" s="60" t="s">
        <v>416</v>
      </c>
      <c r="E283" s="60" t="s">
        <v>417</v>
      </c>
      <c r="F283" s="45"/>
      <c r="G283" s="45"/>
      <c r="H283" s="45"/>
      <c r="I283" s="45"/>
      <c r="J283" s="46">
        <f>IF(VLOOKUP($C283,REV!$C:$AA,8,0)-'TRADE IN'!$F283=0,"",(VLOOKUP($C283,REV!$C:$AA,8,0)-'TRADE IN'!$F283))</f>
        <v>599</v>
      </c>
      <c r="K283" s="46">
        <f>IF(VLOOKUP($C283,REV!$C:$AA,9,0)-'TRADE IN'!$F283=0,"",(VLOOKUP($C283,REV!$C:$AA,9,0)-'TRADE IN'!$F283))</f>
        <v>499</v>
      </c>
      <c r="L283" s="46">
        <f>IF(VLOOKUP($C283,REV!$C:$AA,10,0)-'TRADE IN'!$F292=0,"",(VLOOKUP($C283,REV!$C:$AA,10,0)-'TRADE IN'!$F283))</f>
        <v>499</v>
      </c>
      <c r="M283" s="46">
        <f>IF(VLOOKUP($C283,REV!$C:$AA,11,0)-'TRADE IN'!$F292=0,"",(VLOOKUP($C283,REV!$C:$AA,11,0)-'TRADE IN'!$F283))</f>
        <v>599</v>
      </c>
      <c r="N283" s="46">
        <f>IF(VLOOKUP($C283,REV!$C:$AA,12,0)-'TRADE IN'!$F292=0,"",(VLOOKUP($C283,REV!$C:$AA,12,0)-'TRADE IN'!$F283))</f>
        <v>499</v>
      </c>
      <c r="O283" s="46">
        <f>IF(VLOOKUP($C283,REV!$C:$AA,13,0)-'TRADE IN'!$F292=0,"",(VLOOKUP($C283,REV!$C:$AA,13,0)-'TRADE IN'!$F283))</f>
        <v>499</v>
      </c>
      <c r="P283" s="46">
        <f>IF(VLOOKUP($C283,REV!$C:$AA,14,0)-'TRADE IN'!$F292=0,"",(VLOOKUP($C283,REV!$C:$AA,14,0)-'TRADE IN'!$F283))</f>
        <v>499</v>
      </c>
      <c r="Q283" s="46">
        <f>IF(VLOOKUP($C283,REV!$C:$AA,15,0)-'TRADE IN'!$F292=0,"",(VLOOKUP($C283,REV!$C:$AA,15,0)-'TRADE IN'!$F283))</f>
        <v>499</v>
      </c>
      <c r="R283" s="46">
        <f>IF(VLOOKUP($C283,REV!$C:$AA,16,0)-'TRADE IN'!$F292=0,"",(VLOOKUP($C283,REV!$C:$AA,16,0)-'TRADE IN'!$F283))</f>
        <v>499</v>
      </c>
      <c r="S283" s="46">
        <f>IF(VLOOKUP($C283,REV!$C:$AA,17,0)-'TRADE IN'!$F292=0,"",(VLOOKUP($C283,REV!$C:$AA,17,0)-'TRADE IN'!$F283))</f>
        <v>499</v>
      </c>
      <c r="T283" s="46">
        <f>IF(VLOOKUP($C283,REV!$C:$AA,18,0)-'TRADE IN'!$F292=0,"",(VLOOKUP($C283,REV!$C:$AA,18,0)-'TRADE IN'!$F283))</f>
        <v>499</v>
      </c>
      <c r="U283" s="46">
        <f>IF(VLOOKUP($C283,REV!$C:$AA,19,0)-'TRADE IN'!$F292=0,"",(VLOOKUP($C283,REV!$C:$AA,19,0)-'TRADE IN'!$F283))</f>
        <v>499</v>
      </c>
      <c r="V283" s="46">
        <f>IF(VLOOKUP($C283,REV!$C:$AA,20,0)-'TRADE IN'!$F292=0,"",(VLOOKUP($C283,REV!$C:$AA,20,0)-'TRADE IN'!$F283))</f>
        <v>499</v>
      </c>
      <c r="W283" s="46">
        <f>IF(VLOOKUP($C283,REV!$C:$AA,21,0)-'TRADE IN'!$F292=0,"",(VLOOKUP($C283,REV!$C:$AA,21,0)-'TRADE IN'!$F283))</f>
        <v>499</v>
      </c>
      <c r="X283" s="46">
        <f>IF(VLOOKUP($C283,REV!$C:$AA,22,0)-'TRADE IN'!$F292=0,"",(VLOOKUP($C283,REV!$C:$AA,22,0)-'TRADE IN'!$F283))</f>
        <v>499</v>
      </c>
      <c r="Y283" s="46">
        <f>IF(VLOOKUP($C283,REV!$C:$AA,23,0)-'TRADE IN'!$F292=0,"",(VLOOKUP($C283,REV!$C:$AA,23,0)-'TRADE IN'!$F283))</f>
        <v>499</v>
      </c>
      <c r="Z283" s="46">
        <f>IF(VLOOKUP($C283,REV!$C:$AA,24,0)-'TRADE IN'!$F292=0,"",(VLOOKUP($C283,REV!$C:$AA,24,0)-'TRADE IN'!$F283))</f>
        <v>499</v>
      </c>
      <c r="AA283" s="46">
        <f>IF(VLOOKUP($C283,REV!$C:$AA,25,0)-'TRADE IN'!$F292=0,"",(VLOOKUP($C283,REV!$C:$AA,25,0)-'TRADE IN'!$F283))</f>
        <v>499</v>
      </c>
      <c r="AB283" s="46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tr">
        <f>IF(REV!AW283=0,"",REV!AW283)</f>
        <v>31.03.2026</v>
      </c>
      <c r="AX283" s="159" t="s">
        <v>66</v>
      </c>
    </row>
    <row r="284" spans="1:50" ht="22.5" customHeight="1">
      <c r="A284" s="50" t="s">
        <v>61</v>
      </c>
      <c r="B284" s="41" t="s">
        <v>62</v>
      </c>
      <c r="C284" s="42">
        <v>4013483</v>
      </c>
      <c r="D284" s="44" t="s">
        <v>418</v>
      </c>
      <c r="E284" s="44" t="s">
        <v>419</v>
      </c>
      <c r="F284" s="45"/>
      <c r="G284" s="45"/>
      <c r="H284" s="45"/>
      <c r="I284" s="45"/>
      <c r="J284" s="46">
        <f>IF(VLOOKUP($C284,REV!$C:$AA,8,0)-'TRADE IN'!$F284=0,"",(VLOOKUP($C284,REV!$C:$AA,8,0)-'TRADE IN'!$F284))</f>
        <v>49</v>
      </c>
      <c r="K284" s="46">
        <f>IF(VLOOKUP($C284,REV!$C:$AA,9,0)-'TRADE IN'!$F284=0,"",(VLOOKUP($C284,REV!$C:$AA,9,0)-'TRADE IN'!$F284))</f>
        <v>49</v>
      </c>
      <c r="L284" s="46">
        <f>IF(VLOOKUP($C284,REV!$C:$AA,10,0)-'TRADE IN'!$F293=0,"",(VLOOKUP($C284,REV!$C:$AA,10,0)-'TRADE IN'!$F284))</f>
        <v>49</v>
      </c>
      <c r="M284" s="46">
        <f>IF(VLOOKUP($C284,REV!$C:$AA,11,0)-'TRADE IN'!$F293=0,"",(VLOOKUP($C284,REV!$C:$AA,11,0)-'TRADE IN'!$F284))</f>
        <v>49</v>
      </c>
      <c r="N284" s="46">
        <f>IF(VLOOKUP($C284,REV!$C:$AA,12,0)-'TRADE IN'!$F293=0,"",(VLOOKUP($C284,REV!$C:$AA,12,0)-'TRADE IN'!$F284))</f>
        <v>49</v>
      </c>
      <c r="O284" s="46">
        <f>IF(VLOOKUP($C284,REV!$C:$AA,13,0)-'TRADE IN'!$F293=0,"",(VLOOKUP($C284,REV!$C:$AA,13,0)-'TRADE IN'!$F284))</f>
        <v>49</v>
      </c>
      <c r="P284" s="46">
        <f>IF(VLOOKUP($C284,REV!$C:$AA,14,0)-'TRADE IN'!$F293=0,"",(VLOOKUP($C284,REV!$C:$AA,14,0)-'TRADE IN'!$F284))</f>
        <v>49</v>
      </c>
      <c r="Q284" s="46">
        <f>IF(VLOOKUP($C284,REV!$C:$AA,15,0)-'TRADE IN'!$F293=0,"",(VLOOKUP($C284,REV!$C:$AA,15,0)-'TRADE IN'!$F284))</f>
        <v>49</v>
      </c>
      <c r="R284" s="46">
        <f>IF(VLOOKUP($C284,REV!$C:$AA,16,0)-'TRADE IN'!$F293=0,"",(VLOOKUP($C284,REV!$C:$AA,16,0)-'TRADE IN'!$F284))</f>
        <v>49</v>
      </c>
      <c r="S284" s="46">
        <f>IF(VLOOKUP($C284,REV!$C:$AA,17,0)-'TRADE IN'!$F293=0,"",(VLOOKUP($C284,REV!$C:$AA,17,0)-'TRADE IN'!$F284))</f>
        <v>49</v>
      </c>
      <c r="T284" s="46">
        <f>IF(VLOOKUP($C284,REV!$C:$AA,18,0)-'TRADE IN'!$F293=0,"",(VLOOKUP($C284,REV!$C:$AA,18,0)-'TRADE IN'!$F284))</f>
        <v>49</v>
      </c>
      <c r="U284" s="46">
        <f>IF(VLOOKUP($C284,REV!$C:$AA,19,0)-'TRADE IN'!$F293=0,"",(VLOOKUP($C284,REV!$C:$AA,19,0)-'TRADE IN'!$F284))</f>
        <v>49</v>
      </c>
      <c r="V284" s="46">
        <f>IF(VLOOKUP($C284,REV!$C:$AA,20,0)-'TRADE IN'!$F293=0,"",(VLOOKUP($C284,REV!$C:$AA,20,0)-'TRADE IN'!$F284))</f>
        <v>49</v>
      </c>
      <c r="W284" s="46">
        <f>IF(VLOOKUP($C284,REV!$C:$AA,21,0)-'TRADE IN'!$F293=0,"",(VLOOKUP($C284,REV!$C:$AA,21,0)-'TRADE IN'!$F284))</f>
        <v>49</v>
      </c>
      <c r="X284" s="46">
        <f>IF(VLOOKUP($C284,REV!$C:$AA,22,0)-'TRADE IN'!$F293=0,"",(VLOOKUP($C284,REV!$C:$AA,22,0)-'TRADE IN'!$F284))</f>
        <v>49</v>
      </c>
      <c r="Y284" s="46">
        <f>IF(VLOOKUP($C284,REV!$C:$AA,23,0)-'TRADE IN'!$F293=0,"",(VLOOKUP($C284,REV!$C:$AA,23,0)-'TRADE IN'!$F284))</f>
        <v>49</v>
      </c>
      <c r="Z284" s="46">
        <f>IF(VLOOKUP($C284,REV!$C:$AA,24,0)-'TRADE IN'!$F293=0,"",(VLOOKUP($C284,REV!$C:$AA,24,0)-'TRADE IN'!$F284))</f>
        <v>49</v>
      </c>
      <c r="AA284" s="46">
        <f>IF(VLOOKUP($C284,REV!$C:$AA,25,0)-'TRADE IN'!$F293=0,"",(VLOOKUP($C284,REV!$C:$AA,25,0)-'TRADE IN'!$F284))</f>
        <v>49</v>
      </c>
      <c r="AB284" s="46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tr">
        <f>IF(REV!AW284=0,"",REV!AW284)</f>
        <v>31.03.2026</v>
      </c>
      <c r="AX284" s="159" t="s">
        <v>66</v>
      </c>
    </row>
    <row r="285" spans="1:50" ht="22.5" customHeight="1">
      <c r="A285" s="50" t="s">
        <v>61</v>
      </c>
      <c r="B285" s="41" t="s">
        <v>62</v>
      </c>
      <c r="C285" s="42">
        <v>4013262</v>
      </c>
      <c r="D285" s="44" t="s">
        <v>420</v>
      </c>
      <c r="E285" s="44" t="s">
        <v>421</v>
      </c>
      <c r="F285" s="45"/>
      <c r="G285" s="45"/>
      <c r="H285" s="45"/>
      <c r="I285" s="45"/>
      <c r="J285" s="46">
        <f>IF(VLOOKUP($C285,REV!$C:$AA,8,0)-'TRADE IN'!$F285=0,"",(VLOOKUP($C285,REV!$C:$AA,8,0)-'TRADE IN'!$F285))</f>
        <v>399</v>
      </c>
      <c r="K285" s="46">
        <f>IF(VLOOKUP($C285,REV!$C:$AA,9,0)-'TRADE IN'!$F285=0,"",(VLOOKUP($C285,REV!$C:$AA,9,0)-'TRADE IN'!$F285))</f>
        <v>399</v>
      </c>
      <c r="L285" s="46">
        <f>IF(VLOOKUP($C285,REV!$C:$AA,10,0)-'TRADE IN'!$F294=0,"",(VLOOKUP($C285,REV!$C:$AA,10,0)-'TRADE IN'!$F285))</f>
        <v>399</v>
      </c>
      <c r="M285" s="46">
        <f>IF(VLOOKUP($C285,REV!$C:$AA,11,0)-'TRADE IN'!$F294=0,"",(VLOOKUP($C285,REV!$C:$AA,11,0)-'TRADE IN'!$F285))</f>
        <v>399</v>
      </c>
      <c r="N285" s="46">
        <f>IF(VLOOKUP($C285,REV!$C:$AA,12,0)-'TRADE IN'!$F294=0,"",(VLOOKUP($C285,REV!$C:$AA,12,0)-'TRADE IN'!$F285))</f>
        <v>399</v>
      </c>
      <c r="O285" s="46" t="str">
        <f>IF(VLOOKUP($C285,REV!$C:$AA,13,0)-'TRADE IN'!$F294=0,"",(VLOOKUP($C285,REV!$C:$AA,13,0)-'TRADE IN'!$F285))</f>
        <v/>
      </c>
      <c r="P285" s="46" t="str">
        <f>IF(VLOOKUP($C285,REV!$C:$AA,14,0)-'TRADE IN'!$F294=0,"",(VLOOKUP($C285,REV!$C:$AA,14,0)-'TRADE IN'!$F285))</f>
        <v/>
      </c>
      <c r="Q285" s="46" t="str">
        <f>IF(VLOOKUP($C285,REV!$C:$AA,15,0)-'TRADE IN'!$F294=0,"",(VLOOKUP($C285,REV!$C:$AA,15,0)-'TRADE IN'!$F285))</f>
        <v/>
      </c>
      <c r="R285" s="46" t="str">
        <f>IF(VLOOKUP($C285,REV!$C:$AA,16,0)-'TRADE IN'!$F294=0,"",(VLOOKUP($C285,REV!$C:$AA,16,0)-'TRADE IN'!$F285))</f>
        <v/>
      </c>
      <c r="S285" s="46" t="str">
        <f>IF(VLOOKUP($C285,REV!$C:$AA,17,0)-'TRADE IN'!$F294=0,"",(VLOOKUP($C285,REV!$C:$AA,17,0)-'TRADE IN'!$F285))</f>
        <v/>
      </c>
      <c r="T285" s="46" t="str">
        <f>IF(VLOOKUP($C285,REV!$C:$AA,18,0)-'TRADE IN'!$F294=0,"",(VLOOKUP($C285,REV!$C:$AA,18,0)-'TRADE IN'!$F285))</f>
        <v/>
      </c>
      <c r="U285" s="46" t="str">
        <f>IF(VLOOKUP($C285,REV!$C:$AA,19,0)-'TRADE IN'!$F294=0,"",(VLOOKUP($C285,REV!$C:$AA,19,0)-'TRADE IN'!$F285))</f>
        <v/>
      </c>
      <c r="V285" s="46" t="str">
        <f>IF(VLOOKUP($C285,REV!$C:$AA,20,0)-'TRADE IN'!$F294=0,"",(VLOOKUP($C285,REV!$C:$AA,20,0)-'TRADE IN'!$F285))</f>
        <v/>
      </c>
      <c r="W285" s="46" t="str">
        <f>IF(VLOOKUP($C285,REV!$C:$AA,21,0)-'TRADE IN'!$F294=0,"",(VLOOKUP($C285,REV!$C:$AA,21,0)-'TRADE IN'!$F285))</f>
        <v/>
      </c>
      <c r="X285" s="46" t="str">
        <f>IF(VLOOKUP($C285,REV!$C:$AA,22,0)-'TRADE IN'!$F294=0,"",(VLOOKUP($C285,REV!$C:$AA,22,0)-'TRADE IN'!$F285))</f>
        <v/>
      </c>
      <c r="Y285" s="46" t="str">
        <f>IF(VLOOKUP($C285,REV!$C:$AA,23,0)-'TRADE IN'!$F294=0,"",(VLOOKUP($C285,REV!$C:$AA,23,0)-'TRADE IN'!$F285))</f>
        <v/>
      </c>
      <c r="Z285" s="46" t="str">
        <f>IF(VLOOKUP($C285,REV!$C:$AA,24,0)-'TRADE IN'!$F294=0,"",(VLOOKUP($C285,REV!$C:$AA,24,0)-'TRADE IN'!$F285))</f>
        <v/>
      </c>
      <c r="AA285" s="46" t="str">
        <f>IF(VLOOKUP($C285,REV!$C:$AA,25,0)-'TRADE IN'!$F294=0,"",(VLOOKUP($C285,REV!$C:$AA,25,0)-'TRADE IN'!$F285))</f>
        <v/>
      </c>
      <c r="AB285" s="46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tr">
        <f>IF(REV!AW285=0,"",REV!AW285)</f>
        <v>31.03.2026</v>
      </c>
      <c r="AX285" s="159" t="s">
        <v>66</v>
      </c>
    </row>
    <row r="286" spans="1:50" ht="22.5" customHeight="1">
      <c r="A286" s="50" t="s">
        <v>61</v>
      </c>
      <c r="B286" s="41" t="s">
        <v>62</v>
      </c>
      <c r="C286" s="42">
        <v>4013265</v>
      </c>
      <c r="D286" s="44" t="s">
        <v>420</v>
      </c>
      <c r="E286" s="44" t="s">
        <v>422</v>
      </c>
      <c r="F286" s="45"/>
      <c r="G286" s="45"/>
      <c r="H286" s="45"/>
      <c r="I286" s="45"/>
      <c r="J286" s="46">
        <f>IF(VLOOKUP($C286,REV!$C:$AA,8,0)-'TRADE IN'!$F286=0,"",(VLOOKUP($C286,REV!$C:$AA,8,0)-'TRADE IN'!$F286))</f>
        <v>399</v>
      </c>
      <c r="K286" s="46">
        <f>IF(VLOOKUP($C286,REV!$C:$AA,9,0)-'TRADE IN'!$F286=0,"",(VLOOKUP($C286,REV!$C:$AA,9,0)-'TRADE IN'!$F286))</f>
        <v>399</v>
      </c>
      <c r="L286" s="46">
        <f>IF(VLOOKUP($C286,REV!$C:$AA,10,0)-'TRADE IN'!$F295=0,"",(VLOOKUP($C286,REV!$C:$AA,10,0)-'TRADE IN'!$F286))</f>
        <v>399</v>
      </c>
      <c r="M286" s="46">
        <f>IF(VLOOKUP($C286,REV!$C:$AA,11,0)-'TRADE IN'!$F295=0,"",(VLOOKUP($C286,REV!$C:$AA,11,0)-'TRADE IN'!$F286))</f>
        <v>399</v>
      </c>
      <c r="N286" s="46">
        <f>IF(VLOOKUP($C286,REV!$C:$AA,12,0)-'TRADE IN'!$F295=0,"",(VLOOKUP($C286,REV!$C:$AA,12,0)-'TRADE IN'!$F286))</f>
        <v>399</v>
      </c>
      <c r="O286" s="46" t="str">
        <f>IF(VLOOKUP($C286,REV!$C:$AA,13,0)-'TRADE IN'!$F295=0,"",(VLOOKUP($C286,REV!$C:$AA,13,0)-'TRADE IN'!$F286))</f>
        <v/>
      </c>
      <c r="P286" s="46" t="str">
        <f>IF(VLOOKUP($C286,REV!$C:$AA,14,0)-'TRADE IN'!$F295=0,"",(VLOOKUP($C286,REV!$C:$AA,14,0)-'TRADE IN'!$F286))</f>
        <v/>
      </c>
      <c r="Q286" s="46" t="str">
        <f>IF(VLOOKUP($C286,REV!$C:$AA,15,0)-'TRADE IN'!$F295=0,"",(VLOOKUP($C286,REV!$C:$AA,15,0)-'TRADE IN'!$F286))</f>
        <v/>
      </c>
      <c r="R286" s="46" t="str">
        <f>IF(VLOOKUP($C286,REV!$C:$AA,16,0)-'TRADE IN'!$F295=0,"",(VLOOKUP($C286,REV!$C:$AA,16,0)-'TRADE IN'!$F286))</f>
        <v/>
      </c>
      <c r="S286" s="46" t="str">
        <f>IF(VLOOKUP($C286,REV!$C:$AA,17,0)-'TRADE IN'!$F295=0,"",(VLOOKUP($C286,REV!$C:$AA,17,0)-'TRADE IN'!$F286))</f>
        <v/>
      </c>
      <c r="T286" s="46" t="str">
        <f>IF(VLOOKUP($C286,REV!$C:$AA,18,0)-'TRADE IN'!$F295=0,"",(VLOOKUP($C286,REV!$C:$AA,18,0)-'TRADE IN'!$F286))</f>
        <v/>
      </c>
      <c r="U286" s="46" t="str">
        <f>IF(VLOOKUP($C286,REV!$C:$AA,19,0)-'TRADE IN'!$F295=0,"",(VLOOKUP($C286,REV!$C:$AA,19,0)-'TRADE IN'!$F286))</f>
        <v/>
      </c>
      <c r="V286" s="46" t="str">
        <f>IF(VLOOKUP($C286,REV!$C:$AA,20,0)-'TRADE IN'!$F295=0,"",(VLOOKUP($C286,REV!$C:$AA,20,0)-'TRADE IN'!$F286))</f>
        <v/>
      </c>
      <c r="W286" s="46" t="str">
        <f>IF(VLOOKUP($C286,REV!$C:$AA,21,0)-'TRADE IN'!$F295=0,"",(VLOOKUP($C286,REV!$C:$AA,21,0)-'TRADE IN'!$F286))</f>
        <v/>
      </c>
      <c r="X286" s="46" t="str">
        <f>IF(VLOOKUP($C286,REV!$C:$AA,22,0)-'TRADE IN'!$F295=0,"",(VLOOKUP($C286,REV!$C:$AA,22,0)-'TRADE IN'!$F286))</f>
        <v/>
      </c>
      <c r="Y286" s="46" t="str">
        <f>IF(VLOOKUP($C286,REV!$C:$AA,23,0)-'TRADE IN'!$F295=0,"",(VLOOKUP($C286,REV!$C:$AA,23,0)-'TRADE IN'!$F286))</f>
        <v/>
      </c>
      <c r="Z286" s="46" t="str">
        <f>IF(VLOOKUP($C286,REV!$C:$AA,24,0)-'TRADE IN'!$F295=0,"",(VLOOKUP($C286,REV!$C:$AA,24,0)-'TRADE IN'!$F286))</f>
        <v/>
      </c>
      <c r="AA286" s="46" t="str">
        <f>IF(VLOOKUP($C286,REV!$C:$AA,25,0)-'TRADE IN'!$F295=0,"",(VLOOKUP($C286,REV!$C:$AA,25,0)-'TRADE IN'!$F286))</f>
        <v/>
      </c>
      <c r="AB286" s="46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tr">
        <f>IF(REV!AW286=0,"",REV!AW286)</f>
        <v>31.03.2026</v>
      </c>
      <c r="AX286" s="159" t="s">
        <v>66</v>
      </c>
    </row>
    <row r="287" spans="1:50" ht="22.5" customHeight="1">
      <c r="A287" s="50" t="s">
        <v>61</v>
      </c>
      <c r="B287" s="41" t="s">
        <v>62</v>
      </c>
      <c r="C287" s="42">
        <v>4013751</v>
      </c>
      <c r="D287" s="44" t="s">
        <v>423</v>
      </c>
      <c r="E287" s="44" t="s">
        <v>424</v>
      </c>
      <c r="F287" s="45"/>
      <c r="G287" s="45"/>
      <c r="H287" s="45"/>
      <c r="I287" s="45"/>
      <c r="J287" s="46">
        <f>IF(VLOOKUP($C287,REV!$C:$AA,8,0)-'TRADE IN'!$F287=0,"",(VLOOKUP($C287,REV!$C:$AA,8,0)-'TRADE IN'!$F287))</f>
        <v>39</v>
      </c>
      <c r="K287" s="46">
        <f>IF(VLOOKUP($C287,REV!$C:$AA,9,0)-'TRADE IN'!$F287=0,"",(VLOOKUP($C287,REV!$C:$AA,9,0)-'TRADE IN'!$F287))</f>
        <v>39</v>
      </c>
      <c r="L287" s="46">
        <f>IF(VLOOKUP($C287,REV!$C:$AA,10,0)-'TRADE IN'!$F296=0,"",(VLOOKUP($C287,REV!$C:$AA,10,0)-'TRADE IN'!$F287))</f>
        <v>39</v>
      </c>
      <c r="M287" s="46">
        <f>IF(VLOOKUP($C287,REV!$C:$AA,11,0)-'TRADE IN'!$F296=0,"",(VLOOKUP($C287,REV!$C:$AA,11,0)-'TRADE IN'!$F287))</f>
        <v>39</v>
      </c>
      <c r="N287" s="46">
        <f>IF(VLOOKUP($C287,REV!$C:$AA,12,0)-'TRADE IN'!$F296=0,"",(VLOOKUP($C287,REV!$C:$AA,12,0)-'TRADE IN'!$F287))</f>
        <v>39</v>
      </c>
      <c r="O287" s="46">
        <f>IF(VLOOKUP($C287,REV!$C:$AA,13,0)-'TRADE IN'!$F296=0,"",(VLOOKUP($C287,REV!$C:$AA,13,0)-'TRADE IN'!$F287))</f>
        <v>39</v>
      </c>
      <c r="P287" s="46">
        <f>IF(VLOOKUP($C287,REV!$C:$AA,14,0)-'TRADE IN'!$F296=0,"",(VLOOKUP($C287,REV!$C:$AA,14,0)-'TRADE IN'!$F287))</f>
        <v>39</v>
      </c>
      <c r="Q287" s="46">
        <f>IF(VLOOKUP($C287,REV!$C:$AA,15,0)-'TRADE IN'!$F296=0,"",(VLOOKUP($C287,REV!$C:$AA,15,0)-'TRADE IN'!$F287))</f>
        <v>39</v>
      </c>
      <c r="R287" s="46">
        <f>IF(VLOOKUP($C287,REV!$C:$AA,16,0)-'TRADE IN'!$F296=0,"",(VLOOKUP($C287,REV!$C:$AA,16,0)-'TRADE IN'!$F287))</f>
        <v>39</v>
      </c>
      <c r="S287" s="46">
        <f>IF(VLOOKUP($C287,REV!$C:$AA,17,0)-'TRADE IN'!$F296=0,"",(VLOOKUP($C287,REV!$C:$AA,17,0)-'TRADE IN'!$F287))</f>
        <v>39</v>
      </c>
      <c r="T287" s="46">
        <f>IF(VLOOKUP($C287,REV!$C:$AA,18,0)-'TRADE IN'!$F296=0,"",(VLOOKUP($C287,REV!$C:$AA,18,0)-'TRADE IN'!$F287))</f>
        <v>39</v>
      </c>
      <c r="U287" s="46">
        <f>IF(VLOOKUP($C287,REV!$C:$AA,19,0)-'TRADE IN'!$F296=0,"",(VLOOKUP($C287,REV!$C:$AA,19,0)-'TRADE IN'!$F287))</f>
        <v>39</v>
      </c>
      <c r="V287" s="46">
        <f>IF(VLOOKUP($C287,REV!$C:$AA,20,0)-'TRADE IN'!$F296=0,"",(VLOOKUP($C287,REV!$C:$AA,20,0)-'TRADE IN'!$F287))</f>
        <v>39</v>
      </c>
      <c r="W287" s="46">
        <f>IF(VLOOKUP($C287,REV!$C:$AA,21,0)-'TRADE IN'!$F296=0,"",(VLOOKUP($C287,REV!$C:$AA,21,0)-'TRADE IN'!$F287))</f>
        <v>39</v>
      </c>
      <c r="X287" s="46">
        <f>IF(VLOOKUP($C287,REV!$C:$AA,22,0)-'TRADE IN'!$F296=0,"",(VLOOKUP($C287,REV!$C:$AA,22,0)-'TRADE IN'!$F287))</f>
        <v>39</v>
      </c>
      <c r="Y287" s="46">
        <f>IF(VLOOKUP($C287,REV!$C:$AA,23,0)-'TRADE IN'!$F296=0,"",(VLOOKUP($C287,REV!$C:$AA,23,0)-'TRADE IN'!$F287))</f>
        <v>39</v>
      </c>
      <c r="Z287" s="46">
        <f>IF(VLOOKUP($C287,REV!$C:$AA,24,0)-'TRADE IN'!$F296=0,"",(VLOOKUP($C287,REV!$C:$AA,24,0)-'TRADE IN'!$F287))</f>
        <v>39</v>
      </c>
      <c r="AA287" s="46">
        <f>IF(VLOOKUP($C287,REV!$C:$AA,25,0)-'TRADE IN'!$F296=0,"",(VLOOKUP($C287,REV!$C:$AA,25,0)-'TRADE IN'!$F287))</f>
        <v>39</v>
      </c>
      <c r="AB287" s="46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tr">
        <f>IF(REV!AW287=0,"",REV!AW287)</f>
        <v>31.03.2026</v>
      </c>
      <c r="AX287" s="159" t="s">
        <v>66</v>
      </c>
    </row>
    <row r="288" spans="1:50" ht="22.5" customHeight="1">
      <c r="A288" s="50" t="s">
        <v>61</v>
      </c>
      <c r="B288" s="41" t="s">
        <v>62</v>
      </c>
      <c r="C288" s="42">
        <v>4013760</v>
      </c>
      <c r="D288" s="44" t="s">
        <v>423</v>
      </c>
      <c r="E288" s="44" t="s">
        <v>425</v>
      </c>
      <c r="F288" s="45"/>
      <c r="G288" s="45"/>
      <c r="H288" s="45"/>
      <c r="I288" s="45"/>
      <c r="J288" s="46">
        <f>IF(VLOOKUP($C288,REV!$C:$AA,8,0)-'TRADE IN'!$F288=0,"",(VLOOKUP($C288,REV!$C:$AA,8,0)-'TRADE IN'!$F288))</f>
        <v>39</v>
      </c>
      <c r="K288" s="46">
        <f>IF(VLOOKUP($C288,REV!$C:$AA,9,0)-'TRADE IN'!$F288=0,"",(VLOOKUP($C288,REV!$C:$AA,9,0)-'TRADE IN'!$F288))</f>
        <v>39</v>
      </c>
      <c r="L288" s="46">
        <f>IF(VLOOKUP($C288,REV!$C:$AA,10,0)-'TRADE IN'!$F297=0,"",(VLOOKUP($C288,REV!$C:$AA,10,0)-'TRADE IN'!$F288))</f>
        <v>39</v>
      </c>
      <c r="M288" s="46">
        <f>IF(VLOOKUP($C288,REV!$C:$AA,11,0)-'TRADE IN'!$F297=0,"",(VLOOKUP($C288,REV!$C:$AA,11,0)-'TRADE IN'!$F288))</f>
        <v>39</v>
      </c>
      <c r="N288" s="46">
        <f>IF(VLOOKUP($C288,REV!$C:$AA,12,0)-'TRADE IN'!$F297=0,"",(VLOOKUP($C288,REV!$C:$AA,12,0)-'TRADE IN'!$F288))</f>
        <v>39</v>
      </c>
      <c r="O288" s="46">
        <f>IF(VLOOKUP($C288,REV!$C:$AA,13,0)-'TRADE IN'!$F297=0,"",(VLOOKUP($C288,REV!$C:$AA,13,0)-'TRADE IN'!$F288))</f>
        <v>39</v>
      </c>
      <c r="P288" s="46">
        <f>IF(VLOOKUP($C288,REV!$C:$AA,14,0)-'TRADE IN'!$F297=0,"",(VLOOKUP($C288,REV!$C:$AA,14,0)-'TRADE IN'!$F288))</f>
        <v>39</v>
      </c>
      <c r="Q288" s="46">
        <f>IF(VLOOKUP($C288,REV!$C:$AA,15,0)-'TRADE IN'!$F297=0,"",(VLOOKUP($C288,REV!$C:$AA,15,0)-'TRADE IN'!$F288))</f>
        <v>39</v>
      </c>
      <c r="R288" s="46">
        <f>IF(VLOOKUP($C288,REV!$C:$AA,16,0)-'TRADE IN'!$F297=0,"",(VLOOKUP($C288,REV!$C:$AA,16,0)-'TRADE IN'!$F288))</f>
        <v>39</v>
      </c>
      <c r="S288" s="46">
        <f>IF(VLOOKUP($C288,REV!$C:$AA,17,0)-'TRADE IN'!$F297=0,"",(VLOOKUP($C288,REV!$C:$AA,17,0)-'TRADE IN'!$F288))</f>
        <v>39</v>
      </c>
      <c r="T288" s="46">
        <f>IF(VLOOKUP($C288,REV!$C:$AA,18,0)-'TRADE IN'!$F297=0,"",(VLOOKUP($C288,REV!$C:$AA,18,0)-'TRADE IN'!$F288))</f>
        <v>39</v>
      </c>
      <c r="U288" s="46">
        <f>IF(VLOOKUP($C288,REV!$C:$AA,19,0)-'TRADE IN'!$F297=0,"",(VLOOKUP($C288,REV!$C:$AA,19,0)-'TRADE IN'!$F288))</f>
        <v>39</v>
      </c>
      <c r="V288" s="46">
        <f>IF(VLOOKUP($C288,REV!$C:$AA,20,0)-'TRADE IN'!$F297=0,"",(VLOOKUP($C288,REV!$C:$AA,20,0)-'TRADE IN'!$F288))</f>
        <v>39</v>
      </c>
      <c r="W288" s="46">
        <f>IF(VLOOKUP($C288,REV!$C:$AA,21,0)-'TRADE IN'!$F297=0,"",(VLOOKUP($C288,REV!$C:$AA,21,0)-'TRADE IN'!$F288))</f>
        <v>39</v>
      </c>
      <c r="X288" s="46">
        <f>IF(VLOOKUP($C288,REV!$C:$AA,22,0)-'TRADE IN'!$F297=0,"",(VLOOKUP($C288,REV!$C:$AA,22,0)-'TRADE IN'!$F288))</f>
        <v>39</v>
      </c>
      <c r="Y288" s="46">
        <f>IF(VLOOKUP($C288,REV!$C:$AA,23,0)-'TRADE IN'!$F297=0,"",(VLOOKUP($C288,REV!$C:$AA,23,0)-'TRADE IN'!$F288))</f>
        <v>39</v>
      </c>
      <c r="Z288" s="46">
        <f>IF(VLOOKUP($C288,REV!$C:$AA,24,0)-'TRADE IN'!$F297=0,"",(VLOOKUP($C288,REV!$C:$AA,24,0)-'TRADE IN'!$F288))</f>
        <v>39</v>
      </c>
      <c r="AA288" s="46">
        <f>IF(VLOOKUP($C288,REV!$C:$AA,25,0)-'TRADE IN'!$F297=0,"",(VLOOKUP($C288,REV!$C:$AA,25,0)-'TRADE IN'!$F288))</f>
        <v>39</v>
      </c>
      <c r="AB288" s="46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tr">
        <f>IF(REV!AW288=0,"",REV!AW288)</f>
        <v>31.03.2026</v>
      </c>
      <c r="AX288" s="159" t="s">
        <v>66</v>
      </c>
    </row>
    <row r="289" spans="1:50" ht="21.75" customHeight="1">
      <c r="A289" s="50" t="s">
        <v>61</v>
      </c>
      <c r="B289" s="41" t="s">
        <v>62</v>
      </c>
      <c r="C289" s="42">
        <v>4014180</v>
      </c>
      <c r="D289" s="44" t="s">
        <v>426</v>
      </c>
      <c r="E289" s="44" t="s">
        <v>427</v>
      </c>
      <c r="F289" s="45"/>
      <c r="G289" s="45"/>
      <c r="H289" s="45"/>
      <c r="I289" s="45"/>
      <c r="J289" s="46">
        <f>IF(VLOOKUP($C289,REV!$C:$AA,8,0)-'TRADE IN'!$F289=0,"",(VLOOKUP($C289,REV!$C:$AA,8,0)-'TRADE IN'!$F289))</f>
        <v>9</v>
      </c>
      <c r="K289" s="46">
        <f>IF(VLOOKUP($C289,REV!$C:$AA,9,0)-'TRADE IN'!$F289=0,"",(VLOOKUP($C289,REV!$C:$AA,9,0)-'TRADE IN'!$F289))</f>
        <v>9</v>
      </c>
      <c r="L289" s="46">
        <f>IF(VLOOKUP($C289,REV!$C:$AA,10,0)-'TRADE IN'!$F298=0,"",(VLOOKUP($C289,REV!$C:$AA,10,0)-'TRADE IN'!$F289))</f>
        <v>9</v>
      </c>
      <c r="M289" s="46">
        <f>IF(VLOOKUP($C289,REV!$C:$AA,11,0)-'TRADE IN'!$F298=0,"",(VLOOKUP($C289,REV!$C:$AA,11,0)-'TRADE IN'!$F289))</f>
        <v>9</v>
      </c>
      <c r="N289" s="46">
        <f>IF(VLOOKUP($C289,REV!$C:$AA,12,0)-'TRADE IN'!$F298=0,"",(VLOOKUP($C289,REV!$C:$AA,12,0)-'TRADE IN'!$F289))</f>
        <v>9</v>
      </c>
      <c r="O289" s="46">
        <f>IF(VLOOKUP($C289,REV!$C:$AA,13,0)-'TRADE IN'!$F298=0,"",(VLOOKUP($C289,REV!$C:$AA,13,0)-'TRADE IN'!$F289))</f>
        <v>9</v>
      </c>
      <c r="P289" s="46">
        <f>IF(VLOOKUP($C289,REV!$C:$AA,14,0)-'TRADE IN'!$F298=0,"",(VLOOKUP($C289,REV!$C:$AA,14,0)-'TRADE IN'!$F289))</f>
        <v>9</v>
      </c>
      <c r="Q289" s="46">
        <f>IF(VLOOKUP($C289,REV!$C:$AA,15,0)-'TRADE IN'!$F298=0,"",(VLOOKUP($C289,REV!$C:$AA,15,0)-'TRADE IN'!$F289))</f>
        <v>9</v>
      </c>
      <c r="R289" s="46">
        <f>IF(VLOOKUP($C289,REV!$C:$AA,16,0)-'TRADE IN'!$F298=0,"",(VLOOKUP($C289,REV!$C:$AA,16,0)-'TRADE IN'!$F289))</f>
        <v>9</v>
      </c>
      <c r="S289" s="46">
        <f>IF(VLOOKUP($C289,REV!$C:$AA,17,0)-'TRADE IN'!$F298=0,"",(VLOOKUP($C289,REV!$C:$AA,17,0)-'TRADE IN'!$F289))</f>
        <v>9</v>
      </c>
      <c r="T289" s="46">
        <f>IF(VLOOKUP($C289,REV!$C:$AA,18,0)-'TRADE IN'!$F298=0,"",(VLOOKUP($C289,REV!$C:$AA,18,0)-'TRADE IN'!$F289))</f>
        <v>9</v>
      </c>
      <c r="U289" s="46">
        <f>IF(VLOOKUP($C289,REV!$C:$AA,19,0)-'TRADE IN'!$F298=0,"",(VLOOKUP($C289,REV!$C:$AA,19,0)-'TRADE IN'!$F289))</f>
        <v>9</v>
      </c>
      <c r="V289" s="46">
        <f>IF(VLOOKUP($C289,REV!$C:$AA,20,0)-'TRADE IN'!$F298=0,"",(VLOOKUP($C289,REV!$C:$AA,20,0)-'TRADE IN'!$F289))</f>
        <v>9</v>
      </c>
      <c r="W289" s="46">
        <f>IF(VLOOKUP($C289,REV!$C:$AA,21,0)-'TRADE IN'!$F298=0,"",(VLOOKUP($C289,REV!$C:$AA,21,0)-'TRADE IN'!$F289))</f>
        <v>9</v>
      </c>
      <c r="X289" s="46">
        <f>IF(VLOOKUP($C289,REV!$C:$AA,22,0)-'TRADE IN'!$F298=0,"",(VLOOKUP($C289,REV!$C:$AA,22,0)-'TRADE IN'!$F289))</f>
        <v>9</v>
      </c>
      <c r="Y289" s="46">
        <f>IF(VLOOKUP($C289,REV!$C:$AA,23,0)-'TRADE IN'!$F298=0,"",(VLOOKUP($C289,REV!$C:$AA,23,0)-'TRADE IN'!$F289))</f>
        <v>9</v>
      </c>
      <c r="Z289" s="46">
        <f>IF(VLOOKUP($C289,REV!$C:$AA,24,0)-'TRADE IN'!$F298=0,"",(VLOOKUP($C289,REV!$C:$AA,24,0)-'TRADE IN'!$F289))</f>
        <v>9</v>
      </c>
      <c r="AA289" s="46">
        <f>IF(VLOOKUP($C289,REV!$C:$AA,25,0)-'TRADE IN'!$F298=0,"",(VLOOKUP($C289,REV!$C:$AA,25,0)-'TRADE IN'!$F289))</f>
        <v>9</v>
      </c>
      <c r="AB289" s="46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tr">
        <f>IF(REV!AW289=0,"",REV!AW289)</f>
        <v>31.03.2026</v>
      </c>
      <c r="AX289" s="159" t="s">
        <v>66</v>
      </c>
    </row>
    <row r="290" spans="1:50" ht="21.75" customHeight="1">
      <c r="A290" s="50" t="s">
        <v>61</v>
      </c>
      <c r="B290" s="41" t="s">
        <v>62</v>
      </c>
      <c r="C290" s="42">
        <v>4014181</v>
      </c>
      <c r="D290" s="44" t="s">
        <v>426</v>
      </c>
      <c r="E290" s="44" t="s">
        <v>428</v>
      </c>
      <c r="F290" s="45"/>
      <c r="G290" s="45"/>
      <c r="H290" s="45"/>
      <c r="I290" s="45"/>
      <c r="J290" s="46">
        <f>IF(VLOOKUP($C290,REV!$C:$AA,8,0)-'TRADE IN'!$F290=0,"",(VLOOKUP($C290,REV!$C:$AA,8,0)-'TRADE IN'!$F290))</f>
        <v>9</v>
      </c>
      <c r="K290" s="46">
        <f>IF(VLOOKUP($C290,REV!$C:$AA,9,0)-'TRADE IN'!$F290=0,"",(VLOOKUP($C290,REV!$C:$AA,9,0)-'TRADE IN'!$F290))</f>
        <v>9</v>
      </c>
      <c r="L290" s="46">
        <f>IF(VLOOKUP($C290,REV!$C:$AA,10,0)-'TRADE IN'!$F299=0,"",(VLOOKUP($C290,REV!$C:$AA,10,0)-'TRADE IN'!$F290))</f>
        <v>9</v>
      </c>
      <c r="M290" s="46">
        <f>IF(VLOOKUP($C290,REV!$C:$AA,11,0)-'TRADE IN'!$F299=0,"",(VLOOKUP($C290,REV!$C:$AA,11,0)-'TRADE IN'!$F290))</f>
        <v>9</v>
      </c>
      <c r="N290" s="46">
        <f>IF(VLOOKUP($C290,REV!$C:$AA,12,0)-'TRADE IN'!$F299=0,"",(VLOOKUP($C290,REV!$C:$AA,12,0)-'TRADE IN'!$F290))</f>
        <v>9</v>
      </c>
      <c r="O290" s="46">
        <f>IF(VLOOKUP($C290,REV!$C:$AA,13,0)-'TRADE IN'!$F299=0,"",(VLOOKUP($C290,REV!$C:$AA,13,0)-'TRADE IN'!$F290))</f>
        <v>9</v>
      </c>
      <c r="P290" s="46">
        <f>IF(VLOOKUP($C290,REV!$C:$AA,14,0)-'TRADE IN'!$F299=0,"",(VLOOKUP($C290,REV!$C:$AA,14,0)-'TRADE IN'!$F290))</f>
        <v>9</v>
      </c>
      <c r="Q290" s="46">
        <f>IF(VLOOKUP($C290,REV!$C:$AA,15,0)-'TRADE IN'!$F299=0,"",(VLOOKUP($C290,REV!$C:$AA,15,0)-'TRADE IN'!$F290))</f>
        <v>9</v>
      </c>
      <c r="R290" s="46">
        <f>IF(VLOOKUP($C290,REV!$C:$AA,16,0)-'TRADE IN'!$F299=0,"",(VLOOKUP($C290,REV!$C:$AA,16,0)-'TRADE IN'!$F290))</f>
        <v>9</v>
      </c>
      <c r="S290" s="46">
        <f>IF(VLOOKUP($C290,REV!$C:$AA,17,0)-'TRADE IN'!$F299=0,"",(VLOOKUP($C290,REV!$C:$AA,17,0)-'TRADE IN'!$F290))</f>
        <v>9</v>
      </c>
      <c r="T290" s="46">
        <f>IF(VLOOKUP($C290,REV!$C:$AA,18,0)-'TRADE IN'!$F299=0,"",(VLOOKUP($C290,REV!$C:$AA,18,0)-'TRADE IN'!$F290))</f>
        <v>9</v>
      </c>
      <c r="U290" s="46">
        <f>IF(VLOOKUP($C290,REV!$C:$AA,19,0)-'TRADE IN'!$F299=0,"",(VLOOKUP($C290,REV!$C:$AA,19,0)-'TRADE IN'!$F290))</f>
        <v>9</v>
      </c>
      <c r="V290" s="46">
        <f>IF(VLOOKUP($C290,REV!$C:$AA,20,0)-'TRADE IN'!$F299=0,"",(VLOOKUP($C290,REV!$C:$AA,20,0)-'TRADE IN'!$F290))</f>
        <v>9</v>
      </c>
      <c r="W290" s="46">
        <f>IF(VLOOKUP($C290,REV!$C:$AA,21,0)-'TRADE IN'!$F299=0,"",(VLOOKUP($C290,REV!$C:$AA,21,0)-'TRADE IN'!$F290))</f>
        <v>9</v>
      </c>
      <c r="X290" s="46">
        <f>IF(VLOOKUP($C290,REV!$C:$AA,22,0)-'TRADE IN'!$F299=0,"",(VLOOKUP($C290,REV!$C:$AA,22,0)-'TRADE IN'!$F290))</f>
        <v>9</v>
      </c>
      <c r="Y290" s="46">
        <f>IF(VLOOKUP($C290,REV!$C:$AA,23,0)-'TRADE IN'!$F299=0,"",(VLOOKUP($C290,REV!$C:$AA,23,0)-'TRADE IN'!$F290))</f>
        <v>9</v>
      </c>
      <c r="Z290" s="46">
        <f>IF(VLOOKUP($C290,REV!$C:$AA,24,0)-'TRADE IN'!$F299=0,"",(VLOOKUP($C290,REV!$C:$AA,24,0)-'TRADE IN'!$F290))</f>
        <v>9</v>
      </c>
      <c r="AA290" s="46">
        <f>IF(VLOOKUP($C290,REV!$C:$AA,25,0)-'TRADE IN'!$F299=0,"",(VLOOKUP($C290,REV!$C:$AA,25,0)-'TRADE IN'!$F290))</f>
        <v>9</v>
      </c>
      <c r="AB290" s="46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tr">
        <f>IF(REV!AW290=0,"",REV!AW290)</f>
        <v>31.03.2026</v>
      </c>
      <c r="AX290" s="159" t="s">
        <v>66</v>
      </c>
    </row>
    <row r="291" spans="1:50" ht="22.5" customHeight="1">
      <c r="A291" s="50" t="s">
        <v>61</v>
      </c>
      <c r="B291" s="41" t="s">
        <v>62</v>
      </c>
      <c r="C291" s="42">
        <v>4015640</v>
      </c>
      <c r="D291" s="43" t="s">
        <v>429</v>
      </c>
      <c r="E291" s="43" t="s">
        <v>430</v>
      </c>
      <c r="F291" s="45"/>
      <c r="G291" s="45"/>
      <c r="H291" s="46"/>
      <c r="I291" s="46"/>
      <c r="J291" s="46">
        <f>IF(VLOOKUP($C291,REV!$C:$AA,8,0)-'TRADE IN'!$F291=0,"",(VLOOKUP($C291,REV!$C:$AA,8,0)-'TRADE IN'!$F291))</f>
        <v>549</v>
      </c>
      <c r="K291" s="46">
        <f>IF(VLOOKUP($C291,REV!$C:$AA,9,0)-'TRADE IN'!$F291=0,"",(VLOOKUP($C291,REV!$C:$AA,9,0)-'TRADE IN'!$F291))</f>
        <v>549</v>
      </c>
      <c r="L291" s="46">
        <f>IF(VLOOKUP($C291,REV!$C:$AA,10,0)-'TRADE IN'!$F300=0,"",(VLOOKUP($C291,REV!$C:$AA,10,0)-'TRADE IN'!$F291))</f>
        <v>549</v>
      </c>
      <c r="M291" s="46">
        <f>IF(VLOOKUP($C291,REV!$C:$AA,11,0)-'TRADE IN'!$F300=0,"",(VLOOKUP($C291,REV!$C:$AA,11,0)-'TRADE IN'!$F291))</f>
        <v>549</v>
      </c>
      <c r="N291" s="46">
        <f>IF(VLOOKUP($C291,REV!$C:$AA,12,0)-'TRADE IN'!$F300=0,"",(VLOOKUP($C291,REV!$C:$AA,12,0)-'TRADE IN'!$F291))</f>
        <v>549</v>
      </c>
      <c r="O291" s="46">
        <f>IF(VLOOKUP($C291,REV!$C:$AA,13,0)-'TRADE IN'!$F300=0,"",(VLOOKUP($C291,REV!$C:$AA,13,0)-'TRADE IN'!$F291))</f>
        <v>549</v>
      </c>
      <c r="P291" s="46">
        <f>IF(VLOOKUP($C291,REV!$C:$AA,14,0)-'TRADE IN'!$F300=0,"",(VLOOKUP($C291,REV!$C:$AA,14,0)-'TRADE IN'!$F291))</f>
        <v>549</v>
      </c>
      <c r="Q291" s="46">
        <f>IF(VLOOKUP($C291,REV!$C:$AA,15,0)-'TRADE IN'!$F300=0,"",(VLOOKUP($C291,REV!$C:$AA,15,0)-'TRADE IN'!$F291))</f>
        <v>499</v>
      </c>
      <c r="R291" s="46">
        <f>IF(VLOOKUP($C291,REV!$C:$AA,16,0)-'TRADE IN'!$F300=0,"",(VLOOKUP($C291,REV!$C:$AA,16,0)-'TRADE IN'!$F291))</f>
        <v>549</v>
      </c>
      <c r="S291" s="46">
        <f>IF(VLOOKUP($C291,REV!$C:$AA,17,0)-'TRADE IN'!$F300=0,"",(VLOOKUP($C291,REV!$C:$AA,17,0)-'TRADE IN'!$F291))</f>
        <v>549</v>
      </c>
      <c r="T291" s="46">
        <f>IF(VLOOKUP($C291,REV!$C:$AA,18,0)-'TRADE IN'!$F300=0,"",(VLOOKUP($C291,REV!$C:$AA,18,0)-'TRADE IN'!$F291))</f>
        <v>499</v>
      </c>
      <c r="U291" s="46">
        <f>IF(VLOOKUP($C291,REV!$C:$AA,19,0)-'TRADE IN'!$F300=0,"",(VLOOKUP($C291,REV!$C:$AA,19,0)-'TRADE IN'!$F291))</f>
        <v>499</v>
      </c>
      <c r="V291" s="46">
        <f>IF(VLOOKUP($C291,REV!$C:$AA,20,0)-'TRADE IN'!$F300=0,"",(VLOOKUP($C291,REV!$C:$AA,20,0)-'TRADE IN'!$F291))</f>
        <v>499</v>
      </c>
      <c r="W291" s="46">
        <f>IF(VLOOKUP($C291,REV!$C:$AA,21,0)-'TRADE IN'!$F300=0,"",(VLOOKUP($C291,REV!$C:$AA,21,0)-'TRADE IN'!$F291))</f>
        <v>499</v>
      </c>
      <c r="X291" s="46">
        <f>IF(VLOOKUP($C291,REV!$C:$AA,22,0)-'TRADE IN'!$F300=0,"",(VLOOKUP($C291,REV!$C:$AA,22,0)-'TRADE IN'!$F291))</f>
        <v>499</v>
      </c>
      <c r="Y291" s="46">
        <f>IF(VLOOKUP($C291,REV!$C:$AA,23,0)-'TRADE IN'!$F300=0,"",(VLOOKUP($C291,REV!$C:$AA,23,0)-'TRADE IN'!$F291))</f>
        <v>499</v>
      </c>
      <c r="Z291" s="46">
        <f>IF(VLOOKUP($C291,REV!$C:$AA,24,0)-'TRADE IN'!$F300=0,"",(VLOOKUP($C291,REV!$C:$AA,24,0)-'TRADE IN'!$F291))</f>
        <v>499</v>
      </c>
      <c r="AA291" s="46">
        <f>IF(VLOOKUP($C291,REV!$C:$AA,25,0)-'TRADE IN'!$F300=0,"",(VLOOKUP($C291,REV!$C:$AA,25,0)-'TRADE IN'!$F291))</f>
        <v>499</v>
      </c>
      <c r="AB291" s="46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tr">
        <f>IF(REV!AW291=0,"",REV!AW291)</f>
        <v>31.03.2026</v>
      </c>
      <c r="AX291" s="159" t="s">
        <v>66</v>
      </c>
    </row>
    <row r="292" spans="1:50" ht="22.5" customHeight="1">
      <c r="A292" s="50" t="s">
        <v>61</v>
      </c>
      <c r="B292" s="41" t="s">
        <v>62</v>
      </c>
      <c r="C292" s="42">
        <v>4015641</v>
      </c>
      <c r="D292" s="43" t="s">
        <v>429</v>
      </c>
      <c r="E292" s="43" t="s">
        <v>431</v>
      </c>
      <c r="F292" s="45"/>
      <c r="G292" s="45"/>
      <c r="H292" s="46"/>
      <c r="I292" s="46"/>
      <c r="J292" s="46">
        <f>IF(VLOOKUP($C292,REV!$C:$AA,8,0)-'TRADE IN'!$F292=0,"",(VLOOKUP($C292,REV!$C:$AA,8,0)-'TRADE IN'!$F292))</f>
        <v>549</v>
      </c>
      <c r="K292" s="46">
        <f>IF(VLOOKUP($C292,REV!$C:$AA,9,0)-'TRADE IN'!$F292=0,"",(VLOOKUP($C292,REV!$C:$AA,9,0)-'TRADE IN'!$F292))</f>
        <v>549</v>
      </c>
      <c r="L292" s="46">
        <f>IF(VLOOKUP($C292,REV!$C:$AA,10,0)-'TRADE IN'!$F301=0,"",(VLOOKUP($C292,REV!$C:$AA,10,0)-'TRADE IN'!$F292))</f>
        <v>549</v>
      </c>
      <c r="M292" s="46">
        <f>IF(VLOOKUP($C292,REV!$C:$AA,11,0)-'TRADE IN'!$F301=0,"",(VLOOKUP($C292,REV!$C:$AA,11,0)-'TRADE IN'!$F292))</f>
        <v>549</v>
      </c>
      <c r="N292" s="46">
        <f>IF(VLOOKUP($C292,REV!$C:$AA,12,0)-'TRADE IN'!$F301=0,"",(VLOOKUP($C292,REV!$C:$AA,12,0)-'TRADE IN'!$F292))</f>
        <v>549</v>
      </c>
      <c r="O292" s="46">
        <f>IF(VLOOKUP($C292,REV!$C:$AA,13,0)-'TRADE IN'!$F301=0,"",(VLOOKUP($C292,REV!$C:$AA,13,0)-'TRADE IN'!$F292))</f>
        <v>549</v>
      </c>
      <c r="P292" s="46">
        <f>IF(VLOOKUP($C292,REV!$C:$AA,14,0)-'TRADE IN'!$F301=0,"",(VLOOKUP($C292,REV!$C:$AA,14,0)-'TRADE IN'!$F292))</f>
        <v>549</v>
      </c>
      <c r="Q292" s="46">
        <f>IF(VLOOKUP($C292,REV!$C:$AA,15,0)-'TRADE IN'!$F301=0,"",(VLOOKUP($C292,REV!$C:$AA,15,0)-'TRADE IN'!$F292))</f>
        <v>499</v>
      </c>
      <c r="R292" s="46">
        <f>IF(VLOOKUP($C292,REV!$C:$AA,16,0)-'TRADE IN'!$F301=0,"",(VLOOKUP($C292,REV!$C:$AA,16,0)-'TRADE IN'!$F292))</f>
        <v>549</v>
      </c>
      <c r="S292" s="46">
        <f>IF(VLOOKUP($C292,REV!$C:$AA,17,0)-'TRADE IN'!$F301=0,"",(VLOOKUP($C292,REV!$C:$AA,17,0)-'TRADE IN'!$F292))</f>
        <v>549</v>
      </c>
      <c r="T292" s="46">
        <f>IF(VLOOKUP($C292,REV!$C:$AA,18,0)-'TRADE IN'!$F301=0,"",(VLOOKUP($C292,REV!$C:$AA,18,0)-'TRADE IN'!$F292))</f>
        <v>499</v>
      </c>
      <c r="U292" s="46">
        <f>IF(VLOOKUP($C292,REV!$C:$AA,19,0)-'TRADE IN'!$F301=0,"",(VLOOKUP($C292,REV!$C:$AA,19,0)-'TRADE IN'!$F292))</f>
        <v>499</v>
      </c>
      <c r="V292" s="46">
        <f>IF(VLOOKUP($C292,REV!$C:$AA,20,0)-'TRADE IN'!$F301=0,"",(VLOOKUP($C292,REV!$C:$AA,20,0)-'TRADE IN'!$F292))</f>
        <v>499</v>
      </c>
      <c r="W292" s="46">
        <f>IF(VLOOKUP($C292,REV!$C:$AA,21,0)-'TRADE IN'!$F301=0,"",(VLOOKUP($C292,REV!$C:$AA,21,0)-'TRADE IN'!$F292))</f>
        <v>499</v>
      </c>
      <c r="X292" s="46">
        <f>IF(VLOOKUP($C292,REV!$C:$AA,22,0)-'TRADE IN'!$F301=0,"",(VLOOKUP($C292,REV!$C:$AA,22,0)-'TRADE IN'!$F292))</f>
        <v>499</v>
      </c>
      <c r="Y292" s="46">
        <f>IF(VLOOKUP($C292,REV!$C:$AA,23,0)-'TRADE IN'!$F301=0,"",(VLOOKUP($C292,REV!$C:$AA,23,0)-'TRADE IN'!$F292))</f>
        <v>499</v>
      </c>
      <c r="Z292" s="46">
        <f>IF(VLOOKUP($C292,REV!$C:$AA,24,0)-'TRADE IN'!$F301=0,"",(VLOOKUP($C292,REV!$C:$AA,24,0)-'TRADE IN'!$F292))</f>
        <v>499</v>
      </c>
      <c r="AA292" s="46">
        <f>IF(VLOOKUP($C292,REV!$C:$AA,25,0)-'TRADE IN'!$F301=0,"",(VLOOKUP($C292,REV!$C:$AA,25,0)-'TRADE IN'!$F292))</f>
        <v>499</v>
      </c>
      <c r="AB292" s="46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tr">
        <f>IF(REV!AW292=0,"",REV!AW292)</f>
        <v>31.03.2026</v>
      </c>
      <c r="AX292" s="159" t="s">
        <v>66</v>
      </c>
    </row>
    <row r="293" spans="1:50" ht="21.75" customHeight="1">
      <c r="A293" s="50" t="s">
        <v>61</v>
      </c>
      <c r="B293" s="41" t="s">
        <v>62</v>
      </c>
      <c r="C293" s="42">
        <v>4014510</v>
      </c>
      <c r="D293" s="44" t="s">
        <v>432</v>
      </c>
      <c r="E293" s="44" t="s">
        <v>433</v>
      </c>
      <c r="F293" s="45"/>
      <c r="G293" s="45"/>
      <c r="H293" s="45"/>
      <c r="I293" s="45"/>
      <c r="J293" s="46">
        <f>IF(VLOOKUP($C293,REV!$C:$AA,8,0)-'TRADE IN'!$F293=0,"",(VLOOKUP($C293,REV!$C:$AA,8,0)-'TRADE IN'!$F293))</f>
        <v>69</v>
      </c>
      <c r="K293" s="46">
        <f>IF(VLOOKUP($C293,REV!$C:$AA,9,0)-'TRADE IN'!$F293=0,"",(VLOOKUP($C293,REV!$C:$AA,9,0)-'TRADE IN'!$F293))</f>
        <v>69</v>
      </c>
      <c r="L293" s="46">
        <f>IF(VLOOKUP($C293,REV!$C:$AA,10,0)-'TRADE IN'!$F302=0,"",(VLOOKUP($C293,REV!$C:$AA,10,0)-'TRADE IN'!$F293))</f>
        <v>69</v>
      </c>
      <c r="M293" s="46">
        <f>IF(VLOOKUP($C293,REV!$C:$AA,11,0)-'TRADE IN'!$F302=0,"",(VLOOKUP($C293,REV!$C:$AA,11,0)-'TRADE IN'!$F293))</f>
        <v>69</v>
      </c>
      <c r="N293" s="46">
        <f>IF(VLOOKUP($C293,REV!$C:$AA,12,0)-'TRADE IN'!$F302=0,"",(VLOOKUP($C293,REV!$C:$AA,12,0)-'TRADE IN'!$F293))</f>
        <v>69</v>
      </c>
      <c r="O293" s="46">
        <f>IF(VLOOKUP($C293,REV!$C:$AA,13,0)-'TRADE IN'!$F302=0,"",(VLOOKUP($C293,REV!$C:$AA,13,0)-'TRADE IN'!$F293))</f>
        <v>69</v>
      </c>
      <c r="P293" s="46">
        <f>IF(VLOOKUP($C293,REV!$C:$AA,14,0)-'TRADE IN'!$F302=0,"",(VLOOKUP($C293,REV!$C:$AA,14,0)-'TRADE IN'!$F293))</f>
        <v>69</v>
      </c>
      <c r="Q293" s="46">
        <f>IF(VLOOKUP($C293,REV!$C:$AA,15,0)-'TRADE IN'!$F302=0,"",(VLOOKUP($C293,REV!$C:$AA,15,0)-'TRADE IN'!$F293))</f>
        <v>69</v>
      </c>
      <c r="R293" s="46">
        <f>IF(VLOOKUP($C293,REV!$C:$AA,16,0)-'TRADE IN'!$F302=0,"",(VLOOKUP($C293,REV!$C:$AA,16,0)-'TRADE IN'!$F293))</f>
        <v>69</v>
      </c>
      <c r="S293" s="46">
        <f>IF(VLOOKUP($C293,REV!$C:$AA,17,0)-'TRADE IN'!$F302=0,"",(VLOOKUP($C293,REV!$C:$AA,17,0)-'TRADE IN'!$F293))</f>
        <v>69</v>
      </c>
      <c r="T293" s="46">
        <f>IF(VLOOKUP($C293,REV!$C:$AA,18,0)-'TRADE IN'!$F302=0,"",(VLOOKUP($C293,REV!$C:$AA,18,0)-'TRADE IN'!$F293))</f>
        <v>69</v>
      </c>
      <c r="U293" s="46">
        <f>IF(VLOOKUP($C293,REV!$C:$AA,19,0)-'TRADE IN'!$F302=0,"",(VLOOKUP($C293,REV!$C:$AA,19,0)-'TRADE IN'!$F293))</f>
        <v>69</v>
      </c>
      <c r="V293" s="46">
        <f>IF(VLOOKUP($C293,REV!$C:$AA,20,0)-'TRADE IN'!$F302=0,"",(VLOOKUP($C293,REV!$C:$AA,20,0)-'TRADE IN'!$F293))</f>
        <v>69</v>
      </c>
      <c r="W293" s="46">
        <f>IF(VLOOKUP($C293,REV!$C:$AA,21,0)-'TRADE IN'!$F302=0,"",(VLOOKUP($C293,REV!$C:$AA,21,0)-'TRADE IN'!$F293))</f>
        <v>69</v>
      </c>
      <c r="X293" s="46">
        <f>IF(VLOOKUP($C293,REV!$C:$AA,22,0)-'TRADE IN'!$F302=0,"",(VLOOKUP($C293,REV!$C:$AA,22,0)-'TRADE IN'!$F293))</f>
        <v>69</v>
      </c>
      <c r="Y293" s="46">
        <f>IF(VLOOKUP($C293,REV!$C:$AA,23,0)-'TRADE IN'!$F302=0,"",(VLOOKUP($C293,REV!$C:$AA,23,0)-'TRADE IN'!$F293))</f>
        <v>69</v>
      </c>
      <c r="Z293" s="46">
        <f>IF(VLOOKUP($C293,REV!$C:$AA,24,0)-'TRADE IN'!$F302=0,"",(VLOOKUP($C293,REV!$C:$AA,24,0)-'TRADE IN'!$F293))</f>
        <v>69</v>
      </c>
      <c r="AA293" s="46">
        <f>IF(VLOOKUP($C293,REV!$C:$AA,25,0)-'TRADE IN'!$F302=0,"",(VLOOKUP($C293,REV!$C:$AA,25,0)-'TRADE IN'!$F293))</f>
        <v>69</v>
      </c>
      <c r="AB293" s="46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tr">
        <f>IF(REV!AW293=0,"",REV!AW293)</f>
        <v>31.03.2026</v>
      </c>
      <c r="AX293" s="159" t="s">
        <v>66</v>
      </c>
    </row>
    <row r="294" spans="1:50" ht="21.75" customHeight="1">
      <c r="A294" s="50" t="s">
        <v>61</v>
      </c>
      <c r="B294" s="41" t="s">
        <v>62</v>
      </c>
      <c r="C294" s="42">
        <v>4014512</v>
      </c>
      <c r="D294" s="44" t="s">
        <v>432</v>
      </c>
      <c r="E294" s="44" t="s">
        <v>434</v>
      </c>
      <c r="F294" s="45"/>
      <c r="G294" s="45"/>
      <c r="H294" s="45"/>
      <c r="I294" s="45"/>
      <c r="J294" s="46">
        <f>IF(VLOOKUP($C294,REV!$C:$AA,8,0)-'TRADE IN'!$F294=0,"",(VLOOKUP($C294,REV!$C:$AA,8,0)-'TRADE IN'!$F294))</f>
        <v>69</v>
      </c>
      <c r="K294" s="46">
        <f>IF(VLOOKUP($C294,REV!$C:$AA,9,0)-'TRADE IN'!$F294=0,"",(VLOOKUP($C294,REV!$C:$AA,9,0)-'TRADE IN'!$F294))</f>
        <v>69</v>
      </c>
      <c r="L294" s="46">
        <f>IF(VLOOKUP($C294,REV!$C:$AA,10,0)-'TRADE IN'!$F303=0,"",(VLOOKUP($C294,REV!$C:$AA,10,0)-'TRADE IN'!$F294))</f>
        <v>69</v>
      </c>
      <c r="M294" s="46">
        <f>IF(VLOOKUP($C294,REV!$C:$AA,11,0)-'TRADE IN'!$F303=0,"",(VLOOKUP($C294,REV!$C:$AA,11,0)-'TRADE IN'!$F294))</f>
        <v>69</v>
      </c>
      <c r="N294" s="46">
        <f>IF(VLOOKUP($C294,REV!$C:$AA,12,0)-'TRADE IN'!$F303=0,"",(VLOOKUP($C294,REV!$C:$AA,12,0)-'TRADE IN'!$F294))</f>
        <v>69</v>
      </c>
      <c r="O294" s="46">
        <f>IF(VLOOKUP($C294,REV!$C:$AA,13,0)-'TRADE IN'!$F303=0,"",(VLOOKUP($C294,REV!$C:$AA,13,0)-'TRADE IN'!$F294))</f>
        <v>69</v>
      </c>
      <c r="P294" s="46">
        <f>IF(VLOOKUP($C294,REV!$C:$AA,14,0)-'TRADE IN'!$F303=0,"",(VLOOKUP($C294,REV!$C:$AA,14,0)-'TRADE IN'!$F294))</f>
        <v>69</v>
      </c>
      <c r="Q294" s="46">
        <f>IF(VLOOKUP($C294,REV!$C:$AA,15,0)-'TRADE IN'!$F303=0,"",(VLOOKUP($C294,REV!$C:$AA,15,0)-'TRADE IN'!$F294))</f>
        <v>69</v>
      </c>
      <c r="R294" s="46">
        <f>IF(VLOOKUP($C294,REV!$C:$AA,16,0)-'TRADE IN'!$F303=0,"",(VLOOKUP($C294,REV!$C:$AA,16,0)-'TRADE IN'!$F294))</f>
        <v>69</v>
      </c>
      <c r="S294" s="46">
        <f>IF(VLOOKUP($C294,REV!$C:$AA,17,0)-'TRADE IN'!$F303=0,"",(VLOOKUP($C294,REV!$C:$AA,17,0)-'TRADE IN'!$F294))</f>
        <v>69</v>
      </c>
      <c r="T294" s="46">
        <f>IF(VLOOKUP($C294,REV!$C:$AA,18,0)-'TRADE IN'!$F303=0,"",(VLOOKUP($C294,REV!$C:$AA,18,0)-'TRADE IN'!$F294))</f>
        <v>69</v>
      </c>
      <c r="U294" s="46">
        <f>IF(VLOOKUP($C294,REV!$C:$AA,19,0)-'TRADE IN'!$F303=0,"",(VLOOKUP($C294,REV!$C:$AA,19,0)-'TRADE IN'!$F294))</f>
        <v>69</v>
      </c>
      <c r="V294" s="46">
        <f>IF(VLOOKUP($C294,REV!$C:$AA,20,0)-'TRADE IN'!$F303=0,"",(VLOOKUP($C294,REV!$C:$AA,20,0)-'TRADE IN'!$F294))</f>
        <v>69</v>
      </c>
      <c r="W294" s="46">
        <f>IF(VLOOKUP($C294,REV!$C:$AA,21,0)-'TRADE IN'!$F303=0,"",(VLOOKUP($C294,REV!$C:$AA,21,0)-'TRADE IN'!$F294))</f>
        <v>69</v>
      </c>
      <c r="X294" s="46">
        <f>IF(VLOOKUP($C294,REV!$C:$AA,22,0)-'TRADE IN'!$F303=0,"",(VLOOKUP($C294,REV!$C:$AA,22,0)-'TRADE IN'!$F294))</f>
        <v>69</v>
      </c>
      <c r="Y294" s="46">
        <f>IF(VLOOKUP($C294,REV!$C:$AA,23,0)-'TRADE IN'!$F303=0,"",(VLOOKUP($C294,REV!$C:$AA,23,0)-'TRADE IN'!$F294))</f>
        <v>69</v>
      </c>
      <c r="Z294" s="46">
        <f>IF(VLOOKUP($C294,REV!$C:$AA,24,0)-'TRADE IN'!$F303=0,"",(VLOOKUP($C294,REV!$C:$AA,24,0)-'TRADE IN'!$F294))</f>
        <v>69</v>
      </c>
      <c r="AA294" s="46">
        <f>IF(VLOOKUP($C294,REV!$C:$AA,25,0)-'TRADE IN'!$F303=0,"",(VLOOKUP($C294,REV!$C:$AA,25,0)-'TRADE IN'!$F294))</f>
        <v>69</v>
      </c>
      <c r="AB294" s="46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tr">
        <f>IF(REV!AW294=0,"",REV!AW294)</f>
        <v>31.03.2026</v>
      </c>
      <c r="AX294" s="159" t="s">
        <v>66</v>
      </c>
    </row>
    <row r="295" spans="1:50" ht="21.75" customHeight="1">
      <c r="A295" s="50" t="s">
        <v>61</v>
      </c>
      <c r="B295" s="41" t="s">
        <v>62</v>
      </c>
      <c r="C295" s="42">
        <v>4014513</v>
      </c>
      <c r="D295" s="44" t="s">
        <v>435</v>
      </c>
      <c r="E295" s="44" t="s">
        <v>436</v>
      </c>
      <c r="F295" s="45"/>
      <c r="G295" s="45"/>
      <c r="H295" s="45"/>
      <c r="I295" s="45"/>
      <c r="J295" s="46">
        <f>IF(VLOOKUP($C295,REV!$C:$AA,8,0)-'TRADE IN'!$F295=0,"",(VLOOKUP($C295,REV!$C:$AA,8,0)-'TRADE IN'!$F295))</f>
        <v>399</v>
      </c>
      <c r="K295" s="46">
        <f>IF(VLOOKUP($C295,REV!$C:$AA,9,0)-'TRADE IN'!$F295=0,"",(VLOOKUP($C295,REV!$C:$AA,9,0)-'TRADE IN'!$F295))</f>
        <v>399</v>
      </c>
      <c r="L295" s="46">
        <f>IF(VLOOKUP($C295,REV!$C:$AA,10,0)-'TRADE IN'!$F304=0,"",(VLOOKUP($C295,REV!$C:$AA,10,0)-'TRADE IN'!$F295))</f>
        <v>399</v>
      </c>
      <c r="M295" s="46">
        <f>IF(VLOOKUP($C295,REV!$C:$AA,11,0)-'TRADE IN'!$F304=0,"",(VLOOKUP($C295,REV!$C:$AA,11,0)-'TRADE IN'!$F295))</f>
        <v>399</v>
      </c>
      <c r="N295" s="46">
        <f>IF(VLOOKUP($C295,REV!$C:$AA,12,0)-'TRADE IN'!$F304=0,"",(VLOOKUP($C295,REV!$C:$AA,12,0)-'TRADE IN'!$F295))</f>
        <v>399</v>
      </c>
      <c r="O295" s="46">
        <f>IF(VLOOKUP($C295,REV!$C:$AA,13,0)-'TRADE IN'!$F304=0,"",(VLOOKUP($C295,REV!$C:$AA,13,0)-'TRADE IN'!$F295))</f>
        <v>299</v>
      </c>
      <c r="P295" s="46">
        <f>IF(VLOOKUP($C295,REV!$C:$AA,14,0)-'TRADE IN'!$F304=0,"",(VLOOKUP($C295,REV!$C:$AA,14,0)-'TRADE IN'!$F295))</f>
        <v>249</v>
      </c>
      <c r="Q295" s="46">
        <f>IF(VLOOKUP($C295,REV!$C:$AA,15,0)-'TRADE IN'!$F304=0,"",(VLOOKUP($C295,REV!$C:$AA,15,0)-'TRADE IN'!$F295))</f>
        <v>249</v>
      </c>
      <c r="R295" s="46">
        <f>IF(VLOOKUP($C295,REV!$C:$AA,16,0)-'TRADE IN'!$F304=0,"",(VLOOKUP($C295,REV!$C:$AA,16,0)-'TRADE IN'!$F295))</f>
        <v>299</v>
      </c>
      <c r="S295" s="46">
        <f>IF(VLOOKUP($C295,REV!$C:$AA,17,0)-'TRADE IN'!$F304=0,"",(VLOOKUP($C295,REV!$C:$AA,17,0)-'TRADE IN'!$F295))</f>
        <v>249</v>
      </c>
      <c r="T295" s="46">
        <f>IF(VLOOKUP($C295,REV!$C:$AA,18,0)-'TRADE IN'!$F304=0,"",(VLOOKUP($C295,REV!$C:$AA,18,0)-'TRADE IN'!$F295))</f>
        <v>249</v>
      </c>
      <c r="U295" s="46">
        <f>IF(VLOOKUP($C295,REV!$C:$AA,19,0)-'TRADE IN'!$F304=0,"",(VLOOKUP($C295,REV!$C:$AA,19,0)-'TRADE IN'!$F295))</f>
        <v>249</v>
      </c>
      <c r="V295" s="46">
        <f>IF(VLOOKUP($C295,REV!$C:$AA,20,0)-'TRADE IN'!$F304=0,"",(VLOOKUP($C295,REV!$C:$AA,20,0)-'TRADE IN'!$F295))</f>
        <v>249</v>
      </c>
      <c r="W295" s="46">
        <f>IF(VLOOKUP($C295,REV!$C:$AA,21,0)-'TRADE IN'!$F304=0,"",(VLOOKUP($C295,REV!$C:$AA,21,0)-'TRADE IN'!$F295))</f>
        <v>249</v>
      </c>
      <c r="X295" s="46">
        <f>IF(VLOOKUP($C295,REV!$C:$AA,22,0)-'TRADE IN'!$F304=0,"",(VLOOKUP($C295,REV!$C:$AA,22,0)-'TRADE IN'!$F295))</f>
        <v>249</v>
      </c>
      <c r="Y295" s="46">
        <f>IF(VLOOKUP($C295,REV!$C:$AA,23,0)-'TRADE IN'!$F304=0,"",(VLOOKUP($C295,REV!$C:$AA,23,0)-'TRADE IN'!$F295))</f>
        <v>249</v>
      </c>
      <c r="Z295" s="46">
        <f>IF(VLOOKUP($C295,REV!$C:$AA,24,0)-'TRADE IN'!$F304=0,"",(VLOOKUP($C295,REV!$C:$AA,24,0)-'TRADE IN'!$F295))</f>
        <v>249</v>
      </c>
      <c r="AA295" s="46">
        <f>IF(VLOOKUP($C295,REV!$C:$AA,25,0)-'TRADE IN'!$F304=0,"",(VLOOKUP($C295,REV!$C:$AA,25,0)-'TRADE IN'!$F295))</f>
        <v>249</v>
      </c>
      <c r="AB295" s="46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tr">
        <f>IF(REV!AW295=0,"",REV!AW295)</f>
        <v>31.03.2026</v>
      </c>
      <c r="AX295" s="159" t="s">
        <v>66</v>
      </c>
    </row>
    <row r="296" spans="1:50" ht="21.75" customHeight="1">
      <c r="A296" s="50" t="s">
        <v>61</v>
      </c>
      <c r="B296" s="41" t="s">
        <v>62</v>
      </c>
      <c r="C296" s="42">
        <v>4014514</v>
      </c>
      <c r="D296" s="44" t="s">
        <v>435</v>
      </c>
      <c r="E296" s="44" t="s">
        <v>437</v>
      </c>
      <c r="F296" s="45"/>
      <c r="G296" s="45"/>
      <c r="H296" s="45"/>
      <c r="I296" s="45"/>
      <c r="J296" s="46">
        <f>IF(VLOOKUP($C296,REV!$C:$AA,8,0)-'TRADE IN'!$F296=0,"",(VLOOKUP($C296,REV!$C:$AA,8,0)-'TRADE IN'!$F296))</f>
        <v>399</v>
      </c>
      <c r="K296" s="46">
        <f>IF(VLOOKUP($C296,REV!$C:$AA,9,0)-'TRADE IN'!$F296=0,"",(VLOOKUP($C296,REV!$C:$AA,9,0)-'TRADE IN'!$F296))</f>
        <v>399</v>
      </c>
      <c r="L296" s="46">
        <f>IF(VLOOKUP($C296,REV!$C:$AA,10,0)-'TRADE IN'!$F305=0,"",(VLOOKUP($C296,REV!$C:$AA,10,0)-'TRADE IN'!$F296))</f>
        <v>399</v>
      </c>
      <c r="M296" s="46">
        <f>IF(VLOOKUP($C296,REV!$C:$AA,11,0)-'TRADE IN'!$F305=0,"",(VLOOKUP($C296,REV!$C:$AA,11,0)-'TRADE IN'!$F296))</f>
        <v>399</v>
      </c>
      <c r="N296" s="46">
        <f>IF(VLOOKUP($C296,REV!$C:$AA,12,0)-'TRADE IN'!$F305=0,"",(VLOOKUP($C296,REV!$C:$AA,12,0)-'TRADE IN'!$F296))</f>
        <v>399</v>
      </c>
      <c r="O296" s="46">
        <f>IF(VLOOKUP($C296,REV!$C:$AA,13,0)-'TRADE IN'!$F305=0,"",(VLOOKUP($C296,REV!$C:$AA,13,0)-'TRADE IN'!$F296))</f>
        <v>299</v>
      </c>
      <c r="P296" s="46">
        <f>IF(VLOOKUP($C296,REV!$C:$AA,14,0)-'TRADE IN'!$F305=0,"",(VLOOKUP($C296,REV!$C:$AA,14,0)-'TRADE IN'!$F296))</f>
        <v>249</v>
      </c>
      <c r="Q296" s="46">
        <f>IF(VLOOKUP($C296,REV!$C:$AA,15,0)-'TRADE IN'!$F305=0,"",(VLOOKUP($C296,REV!$C:$AA,15,0)-'TRADE IN'!$F296))</f>
        <v>249</v>
      </c>
      <c r="R296" s="46">
        <f>IF(VLOOKUP($C296,REV!$C:$AA,16,0)-'TRADE IN'!$F305=0,"",(VLOOKUP($C296,REV!$C:$AA,16,0)-'TRADE IN'!$F296))</f>
        <v>299</v>
      </c>
      <c r="S296" s="46">
        <f>IF(VLOOKUP($C296,REV!$C:$AA,17,0)-'TRADE IN'!$F305=0,"",(VLOOKUP($C296,REV!$C:$AA,17,0)-'TRADE IN'!$F296))</f>
        <v>249</v>
      </c>
      <c r="T296" s="46">
        <f>IF(VLOOKUP($C296,REV!$C:$AA,18,0)-'TRADE IN'!$F305=0,"",(VLOOKUP($C296,REV!$C:$AA,18,0)-'TRADE IN'!$F296))</f>
        <v>249</v>
      </c>
      <c r="U296" s="46">
        <f>IF(VLOOKUP($C296,REV!$C:$AA,19,0)-'TRADE IN'!$F305=0,"",(VLOOKUP($C296,REV!$C:$AA,19,0)-'TRADE IN'!$F296))</f>
        <v>249</v>
      </c>
      <c r="V296" s="46">
        <f>IF(VLOOKUP($C296,REV!$C:$AA,20,0)-'TRADE IN'!$F305=0,"",(VLOOKUP($C296,REV!$C:$AA,20,0)-'TRADE IN'!$F296))</f>
        <v>249</v>
      </c>
      <c r="W296" s="46">
        <f>IF(VLOOKUP($C296,REV!$C:$AA,21,0)-'TRADE IN'!$F305=0,"",(VLOOKUP($C296,REV!$C:$AA,21,0)-'TRADE IN'!$F296))</f>
        <v>249</v>
      </c>
      <c r="X296" s="46">
        <f>IF(VLOOKUP($C296,REV!$C:$AA,22,0)-'TRADE IN'!$F305=0,"",(VLOOKUP($C296,REV!$C:$AA,22,0)-'TRADE IN'!$F296))</f>
        <v>249</v>
      </c>
      <c r="Y296" s="46">
        <f>IF(VLOOKUP($C296,REV!$C:$AA,23,0)-'TRADE IN'!$F305=0,"",(VLOOKUP($C296,REV!$C:$AA,23,0)-'TRADE IN'!$F296))</f>
        <v>249</v>
      </c>
      <c r="Z296" s="46">
        <f>IF(VLOOKUP($C296,REV!$C:$AA,24,0)-'TRADE IN'!$F305=0,"",(VLOOKUP($C296,REV!$C:$AA,24,0)-'TRADE IN'!$F296))</f>
        <v>249</v>
      </c>
      <c r="AA296" s="46">
        <f>IF(VLOOKUP($C296,REV!$C:$AA,25,0)-'TRADE IN'!$F305=0,"",(VLOOKUP($C296,REV!$C:$AA,25,0)-'TRADE IN'!$F296))</f>
        <v>249</v>
      </c>
      <c r="AB296" s="46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tr">
        <f>IF(REV!AW296=0,"",REV!AW296)</f>
        <v>31.03.2026</v>
      </c>
      <c r="AX296" s="159" t="s">
        <v>66</v>
      </c>
    </row>
    <row r="297" spans="1:50" ht="21.75" customHeight="1">
      <c r="A297" s="50" t="s">
        <v>61</v>
      </c>
      <c r="B297" s="41" t="s">
        <v>62</v>
      </c>
      <c r="C297" s="42">
        <v>4014713</v>
      </c>
      <c r="D297" s="44" t="s">
        <v>438</v>
      </c>
      <c r="E297" s="44" t="s">
        <v>439</v>
      </c>
      <c r="F297" s="45"/>
      <c r="G297" s="45"/>
      <c r="H297" s="45"/>
      <c r="I297" s="45"/>
      <c r="J297" s="46">
        <f>IF(VLOOKUP($C297,REV!$C:$AA,8,0)-'TRADE IN'!$F297=0,"",(VLOOKUP($C297,REV!$C:$AA,8,0)-'TRADE IN'!$F297))</f>
        <v>299</v>
      </c>
      <c r="K297" s="46">
        <f>IF(VLOOKUP($C297,REV!$C:$AA,9,0)-'TRADE IN'!$F297=0,"",(VLOOKUP($C297,REV!$C:$AA,9,0)-'TRADE IN'!$F297))</f>
        <v>299</v>
      </c>
      <c r="L297" s="46">
        <f>IF(VLOOKUP($C297,REV!$C:$AA,10,0)-'TRADE IN'!$F307=0,"",(VLOOKUP($C297,REV!$C:$AA,10,0)-'TRADE IN'!$F297))</f>
        <v>299</v>
      </c>
      <c r="M297" s="46">
        <f>IF(VLOOKUP($C297,REV!$C:$AA,11,0)-'TRADE IN'!$F307=0,"",(VLOOKUP($C297,REV!$C:$AA,11,0)-'TRADE IN'!$F297))</f>
        <v>299</v>
      </c>
      <c r="N297" s="46">
        <f>IF(VLOOKUP($C297,REV!$C:$AA,12,0)-'TRADE IN'!$F307=0,"",(VLOOKUP($C297,REV!$C:$AA,12,0)-'TRADE IN'!$F297))</f>
        <v>299</v>
      </c>
      <c r="O297" s="46">
        <f>IF(VLOOKUP($C297,REV!$C:$AA,13,0)-'TRADE IN'!$F307=0,"",(VLOOKUP($C297,REV!$C:$AA,13,0)-'TRADE IN'!$F297))</f>
        <v>249</v>
      </c>
      <c r="P297" s="46">
        <f>IF(VLOOKUP($C297,REV!$C:$AA,14,0)-'TRADE IN'!$F307=0,"",(VLOOKUP($C297,REV!$C:$AA,14,0)-'TRADE IN'!$F297))</f>
        <v>249</v>
      </c>
      <c r="Q297" s="46">
        <f>IF(VLOOKUP($C297,REV!$C:$AA,15,0)-'TRADE IN'!$F307=0,"",(VLOOKUP($C297,REV!$C:$AA,15,0)-'TRADE IN'!$F297))</f>
        <v>249</v>
      </c>
      <c r="R297" s="46">
        <f>IF(VLOOKUP($C297,REV!$C:$AA,16,0)-'TRADE IN'!$F307=0,"",(VLOOKUP($C297,REV!$C:$AA,16,0)-'TRADE IN'!$F297))</f>
        <v>249</v>
      </c>
      <c r="S297" s="46">
        <f>IF(VLOOKUP($C297,REV!$C:$AA,17,0)-'TRADE IN'!$F307=0,"",(VLOOKUP($C297,REV!$C:$AA,17,0)-'TRADE IN'!$F297))</f>
        <v>249</v>
      </c>
      <c r="T297" s="46">
        <f>IF(VLOOKUP($C297,REV!$C:$AA,18,0)-'TRADE IN'!$F307=0,"",(VLOOKUP($C297,REV!$C:$AA,18,0)-'TRADE IN'!$F297))</f>
        <v>249</v>
      </c>
      <c r="U297" s="46">
        <f>IF(VLOOKUP($C297,REV!$C:$AA,19,0)-'TRADE IN'!$F307=0,"",(VLOOKUP($C297,REV!$C:$AA,19,0)-'TRADE IN'!$F297))</f>
        <v>249</v>
      </c>
      <c r="V297" s="46">
        <f>IF(VLOOKUP($C297,REV!$C:$AA,20,0)-'TRADE IN'!$F307=0,"",(VLOOKUP($C297,REV!$C:$AA,20,0)-'TRADE IN'!$F297))</f>
        <v>249</v>
      </c>
      <c r="W297" s="46">
        <f>IF(VLOOKUP($C297,REV!$C:$AA,21,0)-'TRADE IN'!$F307=0,"",(VLOOKUP($C297,REV!$C:$AA,21,0)-'TRADE IN'!$F297))</f>
        <v>249</v>
      </c>
      <c r="X297" s="46">
        <f>IF(VLOOKUP($C297,REV!$C:$AA,22,0)-'TRADE IN'!$F307=0,"",(VLOOKUP($C297,REV!$C:$AA,22,0)-'TRADE IN'!$F297))</f>
        <v>249</v>
      </c>
      <c r="Y297" s="46">
        <f>IF(VLOOKUP($C297,REV!$C:$AA,23,0)-'TRADE IN'!$F307=0,"",(VLOOKUP($C297,REV!$C:$AA,23,0)-'TRADE IN'!$F297))</f>
        <v>249</v>
      </c>
      <c r="Z297" s="46">
        <f>IF(VLOOKUP($C297,REV!$C:$AA,24,0)-'TRADE IN'!$F307=0,"",(VLOOKUP($C297,REV!$C:$AA,24,0)-'TRADE IN'!$F297))</f>
        <v>249</v>
      </c>
      <c r="AA297" s="46">
        <f>IF(VLOOKUP($C297,REV!$C:$AA,25,0)-'TRADE IN'!$F307=0,"",(VLOOKUP($C297,REV!$C:$AA,25,0)-'TRADE IN'!$F297))</f>
        <v>249</v>
      </c>
      <c r="AB297" s="46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tr">
        <f>IF(REV!AW297=0,"",REV!AW297)</f>
        <v>31.03.2026</v>
      </c>
      <c r="AX297" s="159" t="s">
        <v>66</v>
      </c>
    </row>
    <row r="298" spans="1:50" ht="21.75" customHeight="1">
      <c r="A298" s="50" t="s">
        <v>61</v>
      </c>
      <c r="B298" s="41" t="s">
        <v>62</v>
      </c>
      <c r="C298" s="42">
        <v>4015303</v>
      </c>
      <c r="D298" s="44" t="s">
        <v>440</v>
      </c>
      <c r="E298" s="44" t="s">
        <v>441</v>
      </c>
      <c r="F298" s="45"/>
      <c r="G298" s="45"/>
      <c r="H298" s="45"/>
      <c r="I298" s="45"/>
      <c r="J298" s="46">
        <f>IF(VLOOKUP($C298,REV!$C:$AA,8,0)-'TRADE IN'!$F298=0,"",(VLOOKUP($C298,REV!$C:$AA,8,0)-'TRADE IN'!$F298))</f>
        <v>599</v>
      </c>
      <c r="K298" s="46">
        <f>IF(VLOOKUP($C298,REV!$C:$AA,9,0)-'TRADE IN'!$F298=0,"",(VLOOKUP($C298,REV!$C:$AA,9,0)-'TRADE IN'!$F298))</f>
        <v>599</v>
      </c>
      <c r="L298" s="46">
        <f>IF(VLOOKUP($C298,REV!$C:$AA,10,0)-'TRADE IN'!$F308=0,"",(VLOOKUP($C298,REV!$C:$AA,10,0)-'TRADE IN'!$F298))</f>
        <v>599</v>
      </c>
      <c r="M298" s="46">
        <f>IF(VLOOKUP($C298,REV!$C:$AA,11,0)-'TRADE IN'!$F308=0,"",(VLOOKUP($C298,REV!$C:$AA,11,0)-'TRADE IN'!$F298))</f>
        <v>599</v>
      </c>
      <c r="N298" s="46">
        <f>IF(VLOOKUP($C298,REV!$C:$AA,12,0)-'TRADE IN'!$F308=0,"",(VLOOKUP($C298,REV!$C:$AA,12,0)-'TRADE IN'!$F298))</f>
        <v>599</v>
      </c>
      <c r="O298" s="46">
        <f>IF(VLOOKUP($C298,REV!$C:$AA,13,0)-'TRADE IN'!$F308=0,"",(VLOOKUP($C298,REV!$C:$AA,13,0)-'TRADE IN'!$F298))</f>
        <v>549</v>
      </c>
      <c r="P298" s="46">
        <f>IF(VLOOKUP($C298,REV!$C:$AA,14,0)-'TRADE IN'!$F308=0,"",(VLOOKUP($C298,REV!$C:$AA,14,0)-'TRADE IN'!$F298))</f>
        <v>499</v>
      </c>
      <c r="Q298" s="46">
        <f>IF(VLOOKUP($C298,REV!$C:$AA,15,0)-'TRADE IN'!$F308=0,"",(VLOOKUP($C298,REV!$C:$AA,15,0)-'TRADE IN'!$F298))</f>
        <v>449</v>
      </c>
      <c r="R298" s="46">
        <f>IF(VLOOKUP($C298,REV!$C:$AA,16,0)-'TRADE IN'!$F308=0,"",(VLOOKUP($C298,REV!$C:$AA,16,0)-'TRADE IN'!$F298))</f>
        <v>549</v>
      </c>
      <c r="S298" s="46">
        <f>IF(VLOOKUP($C298,REV!$C:$AA,17,0)-'TRADE IN'!$F308=0,"",(VLOOKUP($C298,REV!$C:$AA,17,0)-'TRADE IN'!$F298))</f>
        <v>499</v>
      </c>
      <c r="T298" s="46">
        <f>IF(VLOOKUP($C298,REV!$C:$AA,18,0)-'TRADE IN'!$F308=0,"",(VLOOKUP($C298,REV!$C:$AA,18,0)-'TRADE IN'!$F298))</f>
        <v>449</v>
      </c>
      <c r="U298" s="46">
        <f>IF(VLOOKUP($C298,REV!$C:$AA,19,0)-'TRADE IN'!$F308=0,"",(VLOOKUP($C298,REV!$C:$AA,19,0)-'TRADE IN'!$F298))</f>
        <v>449</v>
      </c>
      <c r="V298" s="46">
        <f>IF(VLOOKUP($C298,REV!$C:$AA,20,0)-'TRADE IN'!$F308=0,"",(VLOOKUP($C298,REV!$C:$AA,20,0)-'TRADE IN'!$F298))</f>
        <v>449</v>
      </c>
      <c r="W298" s="46">
        <f>IF(VLOOKUP($C298,REV!$C:$AA,21,0)-'TRADE IN'!$F308=0,"",(VLOOKUP($C298,REV!$C:$AA,21,0)-'TRADE IN'!$F298))</f>
        <v>449</v>
      </c>
      <c r="X298" s="46">
        <f>IF(VLOOKUP($C298,REV!$C:$AA,22,0)-'TRADE IN'!$F308=0,"",(VLOOKUP($C298,REV!$C:$AA,22,0)-'TRADE IN'!$F298))</f>
        <v>449</v>
      </c>
      <c r="Y298" s="46">
        <f>IF(VLOOKUP($C298,REV!$C:$AA,23,0)-'TRADE IN'!$F308=0,"",(VLOOKUP($C298,REV!$C:$AA,23,0)-'TRADE IN'!$F298))</f>
        <v>449</v>
      </c>
      <c r="Z298" s="46">
        <f>IF(VLOOKUP($C298,REV!$C:$AA,24,0)-'TRADE IN'!$F308=0,"",(VLOOKUP($C298,REV!$C:$AA,24,0)-'TRADE IN'!$F298))</f>
        <v>449</v>
      </c>
      <c r="AA298" s="46">
        <f>IF(VLOOKUP($C298,REV!$C:$AA,25,0)-'TRADE IN'!$F308=0,"",(VLOOKUP($C298,REV!$C:$AA,25,0)-'TRADE IN'!$F298))</f>
        <v>449</v>
      </c>
      <c r="AB298" s="46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tr">
        <f>IF(REV!AW298=0,"",REV!AW298)</f>
        <v>31.03.2026</v>
      </c>
      <c r="AX298" s="159" t="s">
        <v>66</v>
      </c>
    </row>
    <row r="299" spans="1:50" ht="21.75" customHeight="1">
      <c r="A299" s="50" t="s">
        <v>61</v>
      </c>
      <c r="B299" s="41" t="s">
        <v>62</v>
      </c>
      <c r="C299" s="42">
        <v>4014200</v>
      </c>
      <c r="D299" s="44" t="s">
        <v>442</v>
      </c>
      <c r="E299" s="44" t="s">
        <v>443</v>
      </c>
      <c r="F299" s="45"/>
      <c r="G299" s="45"/>
      <c r="H299" s="45"/>
      <c r="I299" s="45"/>
      <c r="J299" s="46">
        <f>IF(VLOOKUP($C299,REV!$C:$AA,8,0)-'TRADE IN'!$F299=0,"",(VLOOKUP($C299,REV!$C:$AA,8,0)-'TRADE IN'!$F299))</f>
        <v>399</v>
      </c>
      <c r="K299" s="46">
        <f>IF(VLOOKUP($C299,REV!$C:$AA,9,0)-'TRADE IN'!$F299=0,"",(VLOOKUP($C299,REV!$C:$AA,9,0)-'TRADE IN'!$F299))</f>
        <v>399</v>
      </c>
      <c r="L299" s="46">
        <f>IF(VLOOKUP($C299,REV!$C:$AA,10,0)-'TRADE IN'!$F309=0,"",(VLOOKUP($C299,REV!$C:$AA,10,0)-'TRADE IN'!$F299))</f>
        <v>399</v>
      </c>
      <c r="M299" s="46">
        <f>IF(VLOOKUP($C299,REV!$C:$AA,11,0)-'TRADE IN'!$F309=0,"",(VLOOKUP($C299,REV!$C:$AA,11,0)-'TRADE IN'!$F299))</f>
        <v>399</v>
      </c>
      <c r="N299" s="46">
        <f>IF(VLOOKUP($C299,REV!$C:$AA,12,0)-'TRADE IN'!$F309=0,"",(VLOOKUP($C299,REV!$C:$AA,12,0)-'TRADE IN'!$F299))</f>
        <v>399</v>
      </c>
      <c r="O299" s="46">
        <f>IF(VLOOKUP($C299,REV!$C:$AA,13,0)-'TRADE IN'!$F309=0,"",(VLOOKUP($C299,REV!$C:$AA,13,0)-'TRADE IN'!$F299))</f>
        <v>299</v>
      </c>
      <c r="P299" s="46">
        <f>IF(VLOOKUP($C299,REV!$C:$AA,14,0)-'TRADE IN'!$F309=0,"",(VLOOKUP($C299,REV!$C:$AA,14,0)-'TRADE IN'!$F299))</f>
        <v>249</v>
      </c>
      <c r="Q299" s="46">
        <f>IF(VLOOKUP($C299,REV!$C:$AA,15,0)-'TRADE IN'!$F309=0,"",(VLOOKUP($C299,REV!$C:$AA,15,0)-'TRADE IN'!$F299))</f>
        <v>249</v>
      </c>
      <c r="R299" s="46">
        <f>IF(VLOOKUP($C299,REV!$C:$AA,16,0)-'TRADE IN'!$F309=0,"",(VLOOKUP($C299,REV!$C:$AA,16,0)-'TRADE IN'!$F299))</f>
        <v>299</v>
      </c>
      <c r="S299" s="46">
        <f>IF(VLOOKUP($C299,REV!$C:$AA,17,0)-'TRADE IN'!$F309=0,"",(VLOOKUP($C299,REV!$C:$AA,17,0)-'TRADE IN'!$F299))</f>
        <v>249</v>
      </c>
      <c r="T299" s="46">
        <f>IF(VLOOKUP($C299,REV!$C:$AA,18,0)-'TRADE IN'!$F309=0,"",(VLOOKUP($C299,REV!$C:$AA,18,0)-'TRADE IN'!$F299))</f>
        <v>249</v>
      </c>
      <c r="U299" s="46">
        <f>IF(VLOOKUP($C299,REV!$C:$AA,19,0)-'TRADE IN'!$F309=0,"",(VLOOKUP($C299,REV!$C:$AA,19,0)-'TRADE IN'!$F299))</f>
        <v>249</v>
      </c>
      <c r="V299" s="46">
        <f>IF(VLOOKUP($C299,REV!$C:$AA,20,0)-'TRADE IN'!$F309=0,"",(VLOOKUP($C299,REV!$C:$AA,20,0)-'TRADE IN'!$F299))</f>
        <v>249</v>
      </c>
      <c r="W299" s="46">
        <f>IF(VLOOKUP($C299,REV!$C:$AA,21,0)-'TRADE IN'!$F309=0,"",(VLOOKUP($C299,REV!$C:$AA,21,0)-'TRADE IN'!$F299))</f>
        <v>249</v>
      </c>
      <c r="X299" s="46">
        <f>IF(VLOOKUP($C299,REV!$C:$AA,22,0)-'TRADE IN'!$F309=0,"",(VLOOKUP($C299,REV!$C:$AA,22,0)-'TRADE IN'!$F299))</f>
        <v>249</v>
      </c>
      <c r="Y299" s="46">
        <f>IF(VLOOKUP($C299,REV!$C:$AA,23,0)-'TRADE IN'!$F309=0,"",(VLOOKUP($C299,REV!$C:$AA,23,0)-'TRADE IN'!$F299))</f>
        <v>249</v>
      </c>
      <c r="Z299" s="46">
        <f>IF(VLOOKUP($C299,REV!$C:$AA,24,0)-'TRADE IN'!$F309=0,"",(VLOOKUP($C299,REV!$C:$AA,24,0)-'TRADE IN'!$F299))</f>
        <v>249</v>
      </c>
      <c r="AA299" s="46">
        <f>IF(VLOOKUP($C299,REV!$C:$AA,25,0)-'TRADE IN'!$F309=0,"",(VLOOKUP($C299,REV!$C:$AA,25,0)-'TRADE IN'!$F299))</f>
        <v>249</v>
      </c>
      <c r="AB299" s="46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tr">
        <f>IF(REV!AW299=0,"",REV!AW299)</f>
        <v>31.03.2026</v>
      </c>
      <c r="AX299" s="159" t="s">
        <v>66</v>
      </c>
    </row>
    <row r="300" spans="1:50" ht="21.75" customHeight="1">
      <c r="A300" s="50" t="s">
        <v>61</v>
      </c>
      <c r="B300" s="41" t="s">
        <v>62</v>
      </c>
      <c r="C300" s="42">
        <v>4015001</v>
      </c>
      <c r="D300" s="44" t="s">
        <v>444</v>
      </c>
      <c r="E300" s="44" t="s">
        <v>445</v>
      </c>
      <c r="F300" s="45"/>
      <c r="G300" s="45"/>
      <c r="H300" s="45"/>
      <c r="I300" s="45"/>
      <c r="J300" s="46">
        <f>IF(VLOOKUP($C300,REV!$C:$AA,8,0)-'TRADE IN'!$F300=0,"",(VLOOKUP($C300,REV!$C:$AA,8,0)-'TRADE IN'!$F300))</f>
        <v>599</v>
      </c>
      <c r="K300" s="46">
        <f>IF(VLOOKUP($C300,REV!$C:$AA,9,0)-'TRADE IN'!$F300=0,"",(VLOOKUP($C300,REV!$C:$AA,9,0)-'TRADE IN'!$F300))</f>
        <v>599</v>
      </c>
      <c r="L300" s="46">
        <f>IF(VLOOKUP($C300,REV!$C:$AA,10,0)-'TRADE IN'!$F310=0,"",(VLOOKUP($C300,REV!$C:$AA,10,0)-'TRADE IN'!$F300))</f>
        <v>599</v>
      </c>
      <c r="M300" s="46">
        <f>IF(VLOOKUP($C300,REV!$C:$AA,11,0)-'TRADE IN'!$F310=0,"",(VLOOKUP($C300,REV!$C:$AA,11,0)-'TRADE IN'!$F300))</f>
        <v>599</v>
      </c>
      <c r="N300" s="46">
        <f>IF(VLOOKUP($C300,REV!$C:$AA,12,0)-'TRADE IN'!$F310=0,"",(VLOOKUP($C300,REV!$C:$AA,12,0)-'TRADE IN'!$F300))</f>
        <v>599</v>
      </c>
      <c r="O300" s="46">
        <f>IF(VLOOKUP($C300,REV!$C:$AA,13,0)-'TRADE IN'!$F310=0,"",(VLOOKUP($C300,REV!$C:$AA,13,0)-'TRADE IN'!$F300))</f>
        <v>549</v>
      </c>
      <c r="P300" s="46">
        <f>IF(VLOOKUP($C300,REV!$C:$AA,14,0)-'TRADE IN'!$F310=0,"",(VLOOKUP($C300,REV!$C:$AA,14,0)-'TRADE IN'!$F300))</f>
        <v>499</v>
      </c>
      <c r="Q300" s="46">
        <f>IF(VLOOKUP($C300,REV!$C:$AA,15,0)-'TRADE IN'!$F310=0,"",(VLOOKUP($C300,REV!$C:$AA,15,0)-'TRADE IN'!$F300))</f>
        <v>399</v>
      </c>
      <c r="R300" s="46">
        <f>IF(VLOOKUP($C300,REV!$C:$AA,16,0)-'TRADE IN'!$F310=0,"",(VLOOKUP($C300,REV!$C:$AA,16,0)-'TRADE IN'!$F300))</f>
        <v>549</v>
      </c>
      <c r="S300" s="46">
        <f>IF(VLOOKUP($C300,REV!$C:$AA,17,0)-'TRADE IN'!$F310=0,"",(VLOOKUP($C300,REV!$C:$AA,17,0)-'TRADE IN'!$F300))</f>
        <v>499</v>
      </c>
      <c r="T300" s="46">
        <f>IF(VLOOKUP($C300,REV!$C:$AA,18,0)-'TRADE IN'!$F310=0,"",(VLOOKUP($C300,REV!$C:$AA,18,0)-'TRADE IN'!$F300))</f>
        <v>399</v>
      </c>
      <c r="U300" s="46">
        <f>IF(VLOOKUP($C300,REV!$C:$AA,19,0)-'TRADE IN'!$F310=0,"",(VLOOKUP($C300,REV!$C:$AA,19,0)-'TRADE IN'!$F300))</f>
        <v>399</v>
      </c>
      <c r="V300" s="46">
        <f>IF(VLOOKUP($C300,REV!$C:$AA,20,0)-'TRADE IN'!$F310=0,"",(VLOOKUP($C300,REV!$C:$AA,20,0)-'TRADE IN'!$F300))</f>
        <v>399</v>
      </c>
      <c r="W300" s="46">
        <f>IF(VLOOKUP($C300,REV!$C:$AA,21,0)-'TRADE IN'!$F310=0,"",(VLOOKUP($C300,REV!$C:$AA,21,0)-'TRADE IN'!$F300))</f>
        <v>399</v>
      </c>
      <c r="X300" s="46">
        <f>IF(VLOOKUP($C300,REV!$C:$AA,22,0)-'TRADE IN'!$F310=0,"",(VLOOKUP($C300,REV!$C:$AA,22,0)-'TRADE IN'!$F300))</f>
        <v>399</v>
      </c>
      <c r="Y300" s="46">
        <f>IF(VLOOKUP($C300,REV!$C:$AA,23,0)-'TRADE IN'!$F310=0,"",(VLOOKUP($C300,REV!$C:$AA,23,0)-'TRADE IN'!$F300))</f>
        <v>399</v>
      </c>
      <c r="Z300" s="46">
        <f>IF(VLOOKUP($C300,REV!$C:$AA,24,0)-'TRADE IN'!$F310=0,"",(VLOOKUP($C300,REV!$C:$AA,24,0)-'TRADE IN'!$F300))</f>
        <v>399</v>
      </c>
      <c r="AA300" s="46">
        <f>IF(VLOOKUP($C300,REV!$C:$AA,25,0)-'TRADE IN'!$F310=0,"",(VLOOKUP($C300,REV!$C:$AA,25,0)-'TRADE IN'!$F300))</f>
        <v>399</v>
      </c>
      <c r="AB300" s="46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tr">
        <f>IF(REV!AW300=0,"",REV!AW300)</f>
        <v>31.03.2026</v>
      </c>
      <c r="AX300" s="159" t="s">
        <v>66</v>
      </c>
    </row>
    <row r="301" spans="1:50" ht="21.75" customHeight="1">
      <c r="A301" s="50" t="s">
        <v>61</v>
      </c>
      <c r="B301" s="41" t="s">
        <v>62</v>
      </c>
      <c r="C301" s="42">
        <v>4015983</v>
      </c>
      <c r="D301" s="44" t="s">
        <v>446</v>
      </c>
      <c r="E301" s="44" t="s">
        <v>447</v>
      </c>
      <c r="F301" s="45"/>
      <c r="G301" s="45"/>
      <c r="H301" s="45"/>
      <c r="I301" s="45"/>
      <c r="J301" s="46">
        <f>IF(VLOOKUP($C301,REV!$C:$AA,8,0)-'TRADE IN'!$F301=0,"",(VLOOKUP($C301,REV!$C:$AA,8,0)-'TRADE IN'!$F301))</f>
        <v>799</v>
      </c>
      <c r="K301" s="46">
        <f>IF(VLOOKUP($C301,REV!$C:$AA,9,0)-'TRADE IN'!$F301=0,"",(VLOOKUP($C301,REV!$C:$AA,9,0)-'TRADE IN'!$F301))</f>
        <v>799</v>
      </c>
      <c r="L301" s="46">
        <f>IF(VLOOKUP($C301,REV!$C:$AA,10,0)-'TRADE IN'!$F311=0,"",(VLOOKUP($C301,REV!$C:$AA,10,0)-'TRADE IN'!$F301))</f>
        <v>799</v>
      </c>
      <c r="M301" s="46">
        <f>IF(VLOOKUP($C301,REV!$C:$AA,11,0)-'TRADE IN'!$F311=0,"",(VLOOKUP($C301,REV!$C:$AA,11,0)-'TRADE IN'!$F301))</f>
        <v>799</v>
      </c>
      <c r="N301" s="46">
        <f>IF(VLOOKUP($C301,REV!$C:$AA,12,0)-'TRADE IN'!$F311=0,"",(VLOOKUP($C301,REV!$C:$AA,12,0)-'TRADE IN'!$F301))</f>
        <v>799</v>
      </c>
      <c r="O301" s="46">
        <f>IF(VLOOKUP($C301,REV!$C:$AA,13,0)-'TRADE IN'!$F311=0,"",(VLOOKUP($C301,REV!$C:$AA,13,0)-'TRADE IN'!$F301))</f>
        <v>749</v>
      </c>
      <c r="P301" s="46">
        <f>IF(VLOOKUP($C301,REV!$C:$AA,14,0)-'TRADE IN'!$F311=0,"",(VLOOKUP($C301,REV!$C:$AA,14,0)-'TRADE IN'!$F301))</f>
        <v>749</v>
      </c>
      <c r="Q301" s="46">
        <f>IF(VLOOKUP($C301,REV!$C:$AA,15,0)-'TRADE IN'!$F311=0,"",(VLOOKUP($C301,REV!$C:$AA,15,0)-'TRADE IN'!$F301))</f>
        <v>749</v>
      </c>
      <c r="R301" s="46">
        <f>IF(VLOOKUP($C301,REV!$C:$AA,16,0)-'TRADE IN'!$F311=0,"",(VLOOKUP($C301,REV!$C:$AA,16,0)-'TRADE IN'!$F301))</f>
        <v>749</v>
      </c>
      <c r="S301" s="46">
        <f>IF(VLOOKUP($C301,REV!$C:$AA,17,0)-'TRADE IN'!$F311=0,"",(VLOOKUP($C301,REV!$C:$AA,17,0)-'TRADE IN'!$F301))</f>
        <v>749</v>
      </c>
      <c r="T301" s="46">
        <f>IF(VLOOKUP($C301,REV!$C:$AA,18,0)-'TRADE IN'!$F311=0,"",(VLOOKUP($C301,REV!$C:$AA,18,0)-'TRADE IN'!$F301))</f>
        <v>749</v>
      </c>
      <c r="U301" s="46">
        <f>IF(VLOOKUP($C301,REV!$C:$AA,19,0)-'TRADE IN'!$F311=0,"",(VLOOKUP($C301,REV!$C:$AA,19,0)-'TRADE IN'!$F301))</f>
        <v>749</v>
      </c>
      <c r="V301" s="46">
        <f>IF(VLOOKUP($C301,REV!$C:$AA,20,0)-'TRADE IN'!$F311=0,"",(VLOOKUP($C301,REV!$C:$AA,20,0)-'TRADE IN'!$F301))</f>
        <v>749</v>
      </c>
      <c r="W301" s="46">
        <f>IF(VLOOKUP($C301,REV!$C:$AA,21,0)-'TRADE IN'!$F311=0,"",(VLOOKUP($C301,REV!$C:$AA,21,0)-'TRADE IN'!$F301))</f>
        <v>749</v>
      </c>
      <c r="X301" s="46">
        <f>IF(VLOOKUP($C301,REV!$C:$AA,22,0)-'TRADE IN'!$F311=0,"",(VLOOKUP($C301,REV!$C:$AA,22,0)-'TRADE IN'!$F301))</f>
        <v>749</v>
      </c>
      <c r="Y301" s="46">
        <f>IF(VLOOKUP($C301,REV!$C:$AA,23,0)-'TRADE IN'!$F311=0,"",(VLOOKUP($C301,REV!$C:$AA,23,0)-'TRADE IN'!$F301))</f>
        <v>749</v>
      </c>
      <c r="Z301" s="46">
        <f>IF(VLOOKUP($C301,REV!$C:$AA,24,0)-'TRADE IN'!$F311=0,"",(VLOOKUP($C301,REV!$C:$AA,24,0)-'TRADE IN'!$F301))</f>
        <v>749</v>
      </c>
      <c r="AA301" s="46">
        <f>IF(VLOOKUP($C301,REV!$C:$AA,25,0)-'TRADE IN'!$F311=0,"",(VLOOKUP($C301,REV!$C:$AA,25,0)-'TRADE IN'!$F301))</f>
        <v>749</v>
      </c>
      <c r="AB301" s="46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tr">
        <f>IF(REV!AW301=0,"",REV!AW301)</f>
        <v>31.03.2026</v>
      </c>
      <c r="AX301" s="159" t="s">
        <v>82</v>
      </c>
    </row>
    <row r="302" spans="1:50" ht="21.75" customHeight="1">
      <c r="A302" s="50" t="s">
        <v>61</v>
      </c>
      <c r="B302" s="41" t="s">
        <v>62</v>
      </c>
      <c r="C302" s="42">
        <v>4015985</v>
      </c>
      <c r="D302" s="44" t="s">
        <v>446</v>
      </c>
      <c r="E302" s="44" t="s">
        <v>448</v>
      </c>
      <c r="F302" s="45"/>
      <c r="G302" s="45"/>
      <c r="H302" s="45"/>
      <c r="I302" s="45"/>
      <c r="J302" s="46">
        <f>IF(VLOOKUP($C302,REV!$C:$AA,8,0)-'TRADE IN'!$F302=0,"",(VLOOKUP($C302,REV!$C:$AA,8,0)-'TRADE IN'!$F302))</f>
        <v>799</v>
      </c>
      <c r="K302" s="46">
        <f>IF(VLOOKUP($C302,REV!$C:$AA,9,0)-'TRADE IN'!$F302=0,"",(VLOOKUP($C302,REV!$C:$AA,9,0)-'TRADE IN'!$F302))</f>
        <v>799</v>
      </c>
      <c r="L302" s="46">
        <f>IF(VLOOKUP($C302,REV!$C:$AA,10,0)-'TRADE IN'!$F312=0,"",(VLOOKUP($C302,REV!$C:$AA,10,0)-'TRADE IN'!$F302))</f>
        <v>799</v>
      </c>
      <c r="M302" s="46">
        <f>IF(VLOOKUP($C302,REV!$C:$AA,11,0)-'TRADE IN'!$F312=0,"",(VLOOKUP($C302,REV!$C:$AA,11,0)-'TRADE IN'!$F302))</f>
        <v>799</v>
      </c>
      <c r="N302" s="46">
        <f>IF(VLOOKUP($C302,REV!$C:$AA,12,0)-'TRADE IN'!$F312=0,"",(VLOOKUP($C302,REV!$C:$AA,12,0)-'TRADE IN'!$F302))</f>
        <v>799</v>
      </c>
      <c r="O302" s="46">
        <f>IF(VLOOKUP($C302,REV!$C:$AA,13,0)-'TRADE IN'!$F312=0,"",(VLOOKUP($C302,REV!$C:$AA,13,0)-'TRADE IN'!$F302))</f>
        <v>749</v>
      </c>
      <c r="P302" s="46">
        <f>IF(VLOOKUP($C302,REV!$C:$AA,14,0)-'TRADE IN'!$F312=0,"",(VLOOKUP($C302,REV!$C:$AA,14,0)-'TRADE IN'!$F302))</f>
        <v>749</v>
      </c>
      <c r="Q302" s="46">
        <f>IF(VLOOKUP($C302,REV!$C:$AA,15,0)-'TRADE IN'!$F312=0,"",(VLOOKUP($C302,REV!$C:$AA,15,0)-'TRADE IN'!$F302))</f>
        <v>749</v>
      </c>
      <c r="R302" s="46">
        <f>IF(VLOOKUP($C302,REV!$C:$AA,16,0)-'TRADE IN'!$F312=0,"",(VLOOKUP($C302,REV!$C:$AA,16,0)-'TRADE IN'!$F302))</f>
        <v>749</v>
      </c>
      <c r="S302" s="46">
        <f>IF(VLOOKUP($C302,REV!$C:$AA,17,0)-'TRADE IN'!$F312=0,"",(VLOOKUP($C302,REV!$C:$AA,17,0)-'TRADE IN'!$F302))</f>
        <v>749</v>
      </c>
      <c r="T302" s="46">
        <f>IF(VLOOKUP($C302,REV!$C:$AA,18,0)-'TRADE IN'!$F312=0,"",(VLOOKUP($C302,REV!$C:$AA,18,0)-'TRADE IN'!$F302))</f>
        <v>749</v>
      </c>
      <c r="U302" s="46">
        <f>IF(VLOOKUP($C302,REV!$C:$AA,19,0)-'TRADE IN'!$F312=0,"",(VLOOKUP($C302,REV!$C:$AA,19,0)-'TRADE IN'!$F302))</f>
        <v>749</v>
      </c>
      <c r="V302" s="46">
        <f>IF(VLOOKUP($C302,REV!$C:$AA,20,0)-'TRADE IN'!$F312=0,"",(VLOOKUP($C302,REV!$C:$AA,20,0)-'TRADE IN'!$F302))</f>
        <v>749</v>
      </c>
      <c r="W302" s="46">
        <f>IF(VLOOKUP($C302,REV!$C:$AA,21,0)-'TRADE IN'!$F312=0,"",(VLOOKUP($C302,REV!$C:$AA,21,0)-'TRADE IN'!$F302))</f>
        <v>749</v>
      </c>
      <c r="X302" s="46">
        <f>IF(VLOOKUP($C302,REV!$C:$AA,22,0)-'TRADE IN'!$F312=0,"",(VLOOKUP($C302,REV!$C:$AA,22,0)-'TRADE IN'!$F302))</f>
        <v>749</v>
      </c>
      <c r="Y302" s="46">
        <f>IF(VLOOKUP($C302,REV!$C:$AA,23,0)-'TRADE IN'!$F312=0,"",(VLOOKUP($C302,REV!$C:$AA,23,0)-'TRADE IN'!$F302))</f>
        <v>749</v>
      </c>
      <c r="Z302" s="46">
        <f>IF(VLOOKUP($C302,REV!$C:$AA,24,0)-'TRADE IN'!$F312=0,"",(VLOOKUP($C302,REV!$C:$AA,24,0)-'TRADE IN'!$F302))</f>
        <v>749</v>
      </c>
      <c r="AA302" s="46">
        <f>IF(VLOOKUP($C302,REV!$C:$AA,25,0)-'TRADE IN'!$F312=0,"",(VLOOKUP($C302,REV!$C:$AA,25,0)-'TRADE IN'!$F302))</f>
        <v>749</v>
      </c>
      <c r="AB302" s="46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tr">
        <f>IF(REV!AW302=0,"",REV!AW302)</f>
        <v>31.03.2026</v>
      </c>
      <c r="AX302" s="159" t="s">
        <v>82</v>
      </c>
    </row>
    <row r="303" spans="1:50" ht="21.75" customHeight="1">
      <c r="A303" s="50" t="s">
        <v>61</v>
      </c>
      <c r="B303" s="41" t="s">
        <v>62</v>
      </c>
      <c r="C303" s="42">
        <v>4016578</v>
      </c>
      <c r="D303" s="44" t="s">
        <v>449</v>
      </c>
      <c r="E303" s="44" t="s">
        <v>450</v>
      </c>
      <c r="F303" s="45"/>
      <c r="G303" s="45"/>
      <c r="H303" s="45"/>
      <c r="I303" s="45"/>
      <c r="J303" s="46">
        <f>IF(VLOOKUP($C303,REV!$C:$AA,8,0)-'TRADE IN'!$F303=0,"",(VLOOKUP($C303,REV!$C:$AA,8,0)-'TRADE IN'!$F303))</f>
        <v>799</v>
      </c>
      <c r="K303" s="46">
        <f>IF(VLOOKUP($C303,REV!$C:$AA,9,0)-'TRADE IN'!$F303=0,"",(VLOOKUP($C303,REV!$C:$AA,9,0)-'TRADE IN'!$F303))</f>
        <v>499</v>
      </c>
      <c r="L303" s="46">
        <f>IF(VLOOKUP($C303,REV!$C:$AA,10,0)-'TRADE IN'!$F313=0,"",(VLOOKUP($C303,REV!$C:$AA,10,0)-'TRADE IN'!$F303))</f>
        <v>499</v>
      </c>
      <c r="M303" s="46">
        <f>IF(VLOOKUP($C303,REV!$C:$AA,11,0)-'TRADE IN'!$F313=0,"",(VLOOKUP($C303,REV!$C:$AA,11,0)-'TRADE IN'!$F303))</f>
        <v>799</v>
      </c>
      <c r="N303" s="46">
        <f>IF(VLOOKUP($C303,REV!$C:$AA,12,0)-'TRADE IN'!$F313=0,"",(VLOOKUP($C303,REV!$C:$AA,12,0)-'TRADE IN'!$F303))</f>
        <v>499</v>
      </c>
      <c r="O303" s="46">
        <f>IF(VLOOKUP($C303,REV!$C:$AA,13,0)-'TRADE IN'!$F313=0,"",(VLOOKUP($C303,REV!$C:$AA,13,0)-'TRADE IN'!$F303))</f>
        <v>499</v>
      </c>
      <c r="P303" s="46">
        <f>IF(VLOOKUP($C303,REV!$C:$AA,14,0)-'TRADE IN'!$F313=0,"",(VLOOKUP($C303,REV!$C:$AA,14,0)-'TRADE IN'!$F303))</f>
        <v>499</v>
      </c>
      <c r="Q303" s="46">
        <f>IF(VLOOKUP($C303,REV!$C:$AA,15,0)-'TRADE IN'!$F313=0,"",(VLOOKUP($C303,REV!$C:$AA,15,0)-'TRADE IN'!$F303))</f>
        <v>499</v>
      </c>
      <c r="R303" s="46">
        <f>IF(VLOOKUP($C303,REV!$C:$AA,16,0)-'TRADE IN'!$F313=0,"",(VLOOKUP($C303,REV!$C:$AA,16,0)-'TRADE IN'!$F303))</f>
        <v>499</v>
      </c>
      <c r="S303" s="46">
        <f>IF(VLOOKUP($C303,REV!$C:$AA,17,0)-'TRADE IN'!$F313=0,"",(VLOOKUP($C303,REV!$C:$AA,17,0)-'TRADE IN'!$F303))</f>
        <v>499</v>
      </c>
      <c r="T303" s="46">
        <f>IF(VLOOKUP($C303,REV!$C:$AA,18,0)-'TRADE IN'!$F313=0,"",(VLOOKUP($C303,REV!$C:$AA,18,0)-'TRADE IN'!$F303))</f>
        <v>499</v>
      </c>
      <c r="U303" s="46">
        <f>IF(VLOOKUP($C303,REV!$C:$AA,19,0)-'TRADE IN'!$F313=0,"",(VLOOKUP($C303,REV!$C:$AA,19,0)-'TRADE IN'!$F303))</f>
        <v>499</v>
      </c>
      <c r="V303" s="46">
        <f>IF(VLOOKUP($C303,REV!$C:$AA,20,0)-'TRADE IN'!$F313=0,"",(VLOOKUP($C303,REV!$C:$AA,20,0)-'TRADE IN'!$F303))</f>
        <v>499</v>
      </c>
      <c r="W303" s="46">
        <f>IF(VLOOKUP($C303,REV!$C:$AA,21,0)-'TRADE IN'!$F313=0,"",(VLOOKUP($C303,REV!$C:$AA,21,0)-'TRADE IN'!$F303))</f>
        <v>499</v>
      </c>
      <c r="X303" s="46">
        <f>IF(VLOOKUP($C303,REV!$C:$AA,22,0)-'TRADE IN'!$F313=0,"",(VLOOKUP($C303,REV!$C:$AA,22,0)-'TRADE IN'!$F303))</f>
        <v>499</v>
      </c>
      <c r="Y303" s="46">
        <f>IF(VLOOKUP($C303,REV!$C:$AA,23,0)-'TRADE IN'!$F313=0,"",(VLOOKUP($C303,REV!$C:$AA,23,0)-'TRADE IN'!$F303))</f>
        <v>499</v>
      </c>
      <c r="Z303" s="46">
        <f>IF(VLOOKUP($C303,REV!$C:$AA,24,0)-'TRADE IN'!$F313=0,"",(VLOOKUP($C303,REV!$C:$AA,24,0)-'TRADE IN'!$F303))</f>
        <v>499</v>
      </c>
      <c r="AA303" s="46">
        <f>IF(VLOOKUP($C303,REV!$C:$AA,25,0)-'TRADE IN'!$F313=0,"",(VLOOKUP($C303,REV!$C:$AA,25,0)-'TRADE IN'!$F303))</f>
        <v>499</v>
      </c>
      <c r="AB303" s="46">
        <f>IF(VLOOKUP($C303,REV!$C:$AL,26,0)-'TRADE IN'!$F377=0,"",(VLOOKUP($C303,REV!$C:$AL,26,0)-'TRADE IN'!$F303))</f>
        <v>499</v>
      </c>
      <c r="AC303" s="46">
        <f>IF(VLOOKUP($C303,REV!$C:$AL,27,0)-'TRADE IN'!$F377=0,"",(VLOOKUP($C303,REV!$C:$AL,27,0)-'TRADE IN'!$F303))</f>
        <v>499</v>
      </c>
      <c r="AD303" s="46">
        <f>IF(VLOOKUP($C303,REV!$C:$AL,28,0)-'TRADE IN'!$F377=0,"",(VLOOKUP($C303,REV!$C:$AL,28,0)-'TRADE IN'!$F303))</f>
        <v>499</v>
      </c>
      <c r="AE303" s="46">
        <f>IF(VLOOKUP($C303,REV!$C:$AL,29,0)-'TRADE IN'!$F377=0,"",(VLOOKUP($C303,REV!$C:$AL,29,0)-'TRADE IN'!$F303))</f>
        <v>499</v>
      </c>
      <c r="AF303" s="46">
        <f>IF(VLOOKUP($C303,REV!$C:$AL,30,0)-'TRADE IN'!$F377=0,"",(VLOOKUP($C303,REV!$C:$AL,30,0)-'TRADE IN'!$F303))</f>
        <v>499</v>
      </c>
      <c r="AG303" s="46">
        <f>IF(VLOOKUP($C303,REV!$C:$AL,31,0)-'TRADE IN'!$F377=0,"",(VLOOKUP($C303,REV!$C:$AL,31,0)-'TRADE IN'!$F303))</f>
        <v>499</v>
      </c>
      <c r="AH303" s="46">
        <f>IF(VLOOKUP($C303,REV!$C:$AL,32,0)-'TRADE IN'!$F377=0,"",(VLOOKUP($C303,REV!$C:$AL,32,0)-'TRADE IN'!$F303))</f>
        <v>499</v>
      </c>
      <c r="AI303" s="46">
        <f>IF(VLOOKUP($C303,REV!$C:$AL,33,0)-'TRADE IN'!$F377=0,"",(VLOOKUP($C303,REV!$C:$AL,33,0)-'TRADE IN'!$F303))</f>
        <v>499</v>
      </c>
      <c r="AJ303" s="46">
        <f>IF(VLOOKUP($C303,REV!$C:$AL,34,0)-'TRADE IN'!$F377=0,"",(VLOOKUP($C303,REV!$C:$AL,34,0)-'TRADE IN'!$F303))</f>
        <v>499</v>
      </c>
      <c r="AK303" s="46">
        <f>IF(VLOOKUP($C303,REV!$C:$AL,35,0)-'TRADE IN'!$F377=0,"",(VLOOKUP($C303,REV!$C:$AL,35,0)-'TRADE IN'!$F303))</f>
        <v>499</v>
      </c>
      <c r="AL303" s="46">
        <f>IF(VLOOKUP($C303,REV!$C:$AL,36,0)-'TRADE IN'!$F377=0,"",(VLOOKUP($C303,REV!$C:$AL,36,0)-'TRADE IN'!$F303))</f>
        <v>499</v>
      </c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tr">
        <f>IF(REV!AW303=0,"",REV!AW303)</f>
        <v>31.03.2026</v>
      </c>
      <c r="AX303" s="159" t="s">
        <v>82</v>
      </c>
    </row>
    <row r="304" spans="1:50" ht="21.75" customHeight="1">
      <c r="A304" s="50" t="s">
        <v>61</v>
      </c>
      <c r="B304" s="41" t="s">
        <v>62</v>
      </c>
      <c r="C304" s="42">
        <v>4016661</v>
      </c>
      <c r="D304" s="44" t="s">
        <v>449</v>
      </c>
      <c r="E304" s="44" t="s">
        <v>451</v>
      </c>
      <c r="F304" s="45"/>
      <c r="G304" s="45"/>
      <c r="H304" s="45"/>
      <c r="I304" s="45"/>
      <c r="J304" s="46">
        <f>IF(VLOOKUP($C304,REV!$C:$AA,8,0)-'TRADE IN'!$F304=0,"",(VLOOKUP($C304,REV!$C:$AA,8,0)-'TRADE IN'!$F304))</f>
        <v>799</v>
      </c>
      <c r="K304" s="46">
        <f>IF(VLOOKUP($C304,REV!$C:$AA,9,0)-'TRADE IN'!$F304=0,"",(VLOOKUP($C304,REV!$C:$AA,9,0)-'TRADE IN'!$F304))</f>
        <v>499</v>
      </c>
      <c r="L304" s="46">
        <f>IF(VLOOKUP($C304,REV!$C:$AA,10,0)-'TRADE IN'!$F314=0,"",(VLOOKUP($C304,REV!$C:$AA,10,0)-'TRADE IN'!$F304))</f>
        <v>499</v>
      </c>
      <c r="M304" s="46">
        <f>IF(VLOOKUP($C304,REV!$C:$AA,11,0)-'TRADE IN'!$F314=0,"",(VLOOKUP($C304,REV!$C:$AA,11,0)-'TRADE IN'!$F304))</f>
        <v>799</v>
      </c>
      <c r="N304" s="46">
        <f>IF(VLOOKUP($C304,REV!$C:$AA,12,0)-'TRADE IN'!$F314=0,"",(VLOOKUP($C304,REV!$C:$AA,12,0)-'TRADE IN'!$F304))</f>
        <v>499</v>
      </c>
      <c r="O304" s="46">
        <f>IF(VLOOKUP($C304,REV!$C:$AA,13,0)-'TRADE IN'!$F314=0,"",(VLOOKUP($C304,REV!$C:$AA,13,0)-'TRADE IN'!$F304))</f>
        <v>499</v>
      </c>
      <c r="P304" s="46">
        <f>IF(VLOOKUP($C304,REV!$C:$AA,14,0)-'TRADE IN'!$F314=0,"",(VLOOKUP($C304,REV!$C:$AA,14,0)-'TRADE IN'!$F304))</f>
        <v>499</v>
      </c>
      <c r="Q304" s="46">
        <f>IF(VLOOKUP($C304,REV!$C:$AA,15,0)-'TRADE IN'!$F314=0,"",(VLOOKUP($C304,REV!$C:$AA,15,0)-'TRADE IN'!$F304))</f>
        <v>499</v>
      </c>
      <c r="R304" s="46">
        <f>IF(VLOOKUP($C304,REV!$C:$AA,16,0)-'TRADE IN'!$F314=0,"",(VLOOKUP($C304,REV!$C:$AA,16,0)-'TRADE IN'!$F304))</f>
        <v>499</v>
      </c>
      <c r="S304" s="46">
        <f>IF(VLOOKUP($C304,REV!$C:$AA,17,0)-'TRADE IN'!$F314=0,"",(VLOOKUP($C304,REV!$C:$AA,17,0)-'TRADE IN'!$F304))</f>
        <v>499</v>
      </c>
      <c r="T304" s="46">
        <f>IF(VLOOKUP($C304,REV!$C:$AA,18,0)-'TRADE IN'!$F314=0,"",(VLOOKUP($C304,REV!$C:$AA,18,0)-'TRADE IN'!$F304))</f>
        <v>499</v>
      </c>
      <c r="U304" s="46">
        <f>IF(VLOOKUP($C304,REV!$C:$AA,19,0)-'TRADE IN'!$F314=0,"",(VLOOKUP($C304,REV!$C:$AA,19,0)-'TRADE IN'!$F304))</f>
        <v>499</v>
      </c>
      <c r="V304" s="46">
        <f>IF(VLOOKUP($C304,REV!$C:$AA,20,0)-'TRADE IN'!$F314=0,"",(VLOOKUP($C304,REV!$C:$AA,20,0)-'TRADE IN'!$F304))</f>
        <v>499</v>
      </c>
      <c r="W304" s="46">
        <f>IF(VLOOKUP($C304,REV!$C:$AA,21,0)-'TRADE IN'!$F314=0,"",(VLOOKUP($C304,REV!$C:$AA,21,0)-'TRADE IN'!$F304))</f>
        <v>499</v>
      </c>
      <c r="X304" s="46">
        <f>IF(VLOOKUP($C304,REV!$C:$AA,22,0)-'TRADE IN'!$F314=0,"",(VLOOKUP($C304,REV!$C:$AA,22,0)-'TRADE IN'!$F304))</f>
        <v>499</v>
      </c>
      <c r="Y304" s="46">
        <f>IF(VLOOKUP($C304,REV!$C:$AA,23,0)-'TRADE IN'!$F314=0,"",(VLOOKUP($C304,REV!$C:$AA,23,0)-'TRADE IN'!$F304))</f>
        <v>499</v>
      </c>
      <c r="Z304" s="46">
        <f>IF(VLOOKUP($C304,REV!$C:$AA,24,0)-'TRADE IN'!$F314=0,"",(VLOOKUP($C304,REV!$C:$AA,24,0)-'TRADE IN'!$F304))</f>
        <v>499</v>
      </c>
      <c r="AA304" s="46">
        <f>IF(VLOOKUP($C304,REV!$C:$AA,25,0)-'TRADE IN'!$F314=0,"",(VLOOKUP($C304,REV!$C:$AA,25,0)-'TRADE IN'!$F304))</f>
        <v>499</v>
      </c>
      <c r="AB304" s="46">
        <f>IF(VLOOKUP($C304,REV!$C:$AL,26,0)-'TRADE IN'!$F378=0,"",(VLOOKUP($C304,REV!$C:$AL,26,0)-'TRADE IN'!$F304))</f>
        <v>499</v>
      </c>
      <c r="AC304" s="46">
        <f>IF(VLOOKUP($C304,REV!$C:$AL,27,0)-'TRADE IN'!$F378=0,"",(VLOOKUP($C304,REV!$C:$AL,27,0)-'TRADE IN'!$F304))</f>
        <v>499</v>
      </c>
      <c r="AD304" s="46">
        <f>IF(VLOOKUP($C304,REV!$C:$AL,28,0)-'TRADE IN'!$F378=0,"",(VLOOKUP($C304,REV!$C:$AL,28,0)-'TRADE IN'!$F304))</f>
        <v>499</v>
      </c>
      <c r="AE304" s="46">
        <f>IF(VLOOKUP($C304,REV!$C:$AL,29,0)-'TRADE IN'!$F378=0,"",(VLOOKUP($C304,REV!$C:$AL,29,0)-'TRADE IN'!$F304))</f>
        <v>499</v>
      </c>
      <c r="AF304" s="46">
        <f>IF(VLOOKUP($C304,REV!$C:$AL,30,0)-'TRADE IN'!$F378=0,"",(VLOOKUP($C304,REV!$C:$AL,30,0)-'TRADE IN'!$F304))</f>
        <v>499</v>
      </c>
      <c r="AG304" s="46">
        <f>IF(VLOOKUP($C304,REV!$C:$AL,31,0)-'TRADE IN'!$F378=0,"",(VLOOKUP($C304,REV!$C:$AL,31,0)-'TRADE IN'!$F304))</f>
        <v>499</v>
      </c>
      <c r="AH304" s="46">
        <f>IF(VLOOKUP($C304,REV!$C:$AL,32,0)-'TRADE IN'!$F378=0,"",(VLOOKUP($C304,REV!$C:$AL,32,0)-'TRADE IN'!$F304))</f>
        <v>499</v>
      </c>
      <c r="AI304" s="46">
        <f>IF(VLOOKUP($C304,REV!$C:$AL,33,0)-'TRADE IN'!$F378=0,"",(VLOOKUP($C304,REV!$C:$AL,33,0)-'TRADE IN'!$F304))</f>
        <v>499</v>
      </c>
      <c r="AJ304" s="46">
        <f>IF(VLOOKUP($C304,REV!$C:$AL,34,0)-'TRADE IN'!$F378=0,"",(VLOOKUP($C304,REV!$C:$AL,34,0)-'TRADE IN'!$F304))</f>
        <v>499</v>
      </c>
      <c r="AK304" s="46">
        <f>IF(VLOOKUP($C304,REV!$C:$AL,35,0)-'TRADE IN'!$F378=0,"",(VLOOKUP($C304,REV!$C:$AL,35,0)-'TRADE IN'!$F304))</f>
        <v>499</v>
      </c>
      <c r="AL304" s="46">
        <f>IF(VLOOKUP($C304,REV!$C:$AL,36,0)-'TRADE IN'!$F378=0,"",(VLOOKUP($C304,REV!$C:$AL,36,0)-'TRADE IN'!$F304))</f>
        <v>499</v>
      </c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tr">
        <f>IF(REV!AW304=0,"",REV!AW304)</f>
        <v>31.03.2026</v>
      </c>
      <c r="AX304" s="159" t="s">
        <v>82</v>
      </c>
    </row>
    <row r="305" spans="1:50" ht="21.75" customHeight="1">
      <c r="A305" s="50" t="s">
        <v>61</v>
      </c>
      <c r="B305" s="41" t="s">
        <v>62</v>
      </c>
      <c r="C305" s="42">
        <v>4016660</v>
      </c>
      <c r="D305" s="44" t="s">
        <v>452</v>
      </c>
      <c r="E305" s="44" t="s">
        <v>453</v>
      </c>
      <c r="F305" s="45"/>
      <c r="G305" s="45"/>
      <c r="H305" s="45"/>
      <c r="I305" s="45"/>
      <c r="J305" s="46">
        <f>IF(VLOOKUP($C305,REV!$C:$AA,8,0)-'TRADE IN'!$F305=0,"",(VLOOKUP($C305,REV!$C:$AA,8,0)-'TRADE IN'!$F305))</f>
        <v>1099</v>
      </c>
      <c r="K305" s="46">
        <f>IF(VLOOKUP($C305,REV!$C:$AA,9,0)-'TRADE IN'!$F305=0,"",(VLOOKUP($C305,REV!$C:$AA,9,0)-'TRADE IN'!$F305))</f>
        <v>899</v>
      </c>
      <c r="L305" s="46">
        <f>IF(VLOOKUP($C305,REV!$C:$AA,10,0)-'TRADE IN'!$F317=0,"",(VLOOKUP($C305,REV!$C:$AA,10,0)-'TRADE IN'!$F305))</f>
        <v>899</v>
      </c>
      <c r="M305" s="46">
        <f>IF(VLOOKUP($C305,REV!$C:$AA,11,0)-'TRADE IN'!$F317=0,"",(VLOOKUP($C305,REV!$C:$AA,11,0)-'TRADE IN'!$F305))</f>
        <v>1099</v>
      </c>
      <c r="N305" s="46">
        <f>IF(VLOOKUP($C305,REV!$C:$AA,12,0)-'TRADE IN'!$F317=0,"",(VLOOKUP($C305,REV!$C:$AA,12,0)-'TRADE IN'!$F305))</f>
        <v>899</v>
      </c>
      <c r="O305" s="46">
        <f>IF(VLOOKUP($C305,REV!$C:$AA,13,0)-'TRADE IN'!$F317=0,"",(VLOOKUP($C305,REV!$C:$AA,13,0)-'TRADE IN'!$F305))</f>
        <v>849</v>
      </c>
      <c r="P305" s="46">
        <f>IF(VLOOKUP($C305,REV!$C:$AA,14,0)-'TRADE IN'!$F317=0,"",(VLOOKUP($C305,REV!$C:$AA,14,0)-'TRADE IN'!$F305))</f>
        <v>849</v>
      </c>
      <c r="Q305" s="46">
        <f>IF(VLOOKUP($C305,REV!$C:$AA,15,0)-'TRADE IN'!$F317=0,"",(VLOOKUP($C305,REV!$C:$AA,15,0)-'TRADE IN'!$F305))</f>
        <v>799</v>
      </c>
      <c r="R305" s="46">
        <f>IF(VLOOKUP($C305,REV!$C:$AA,16,0)-'TRADE IN'!$F317=0,"",(VLOOKUP($C305,REV!$C:$AA,16,0)-'TRADE IN'!$F305))</f>
        <v>849</v>
      </c>
      <c r="S305" s="46">
        <f>IF(VLOOKUP($C305,REV!$C:$AA,17,0)-'TRADE IN'!$F317=0,"",(VLOOKUP($C305,REV!$C:$AA,17,0)-'TRADE IN'!$F305))</f>
        <v>849</v>
      </c>
      <c r="T305" s="46">
        <f>IF(VLOOKUP($C305,REV!$C:$AA,18,0)-'TRADE IN'!$F317=0,"",(VLOOKUP($C305,REV!$C:$AA,18,0)-'TRADE IN'!$F305))</f>
        <v>799</v>
      </c>
      <c r="U305" s="46">
        <f>IF(VLOOKUP($C305,REV!$C:$AA,19,0)-'TRADE IN'!$F317=0,"",(VLOOKUP($C305,REV!$C:$AA,19,0)-'TRADE IN'!$F305))</f>
        <v>799</v>
      </c>
      <c r="V305" s="46">
        <f>IF(VLOOKUP($C305,REV!$C:$AA,20,0)-'TRADE IN'!$F317=0,"",(VLOOKUP($C305,REV!$C:$AA,20,0)-'TRADE IN'!$F305))</f>
        <v>799</v>
      </c>
      <c r="W305" s="46">
        <f>IF(VLOOKUP($C305,REV!$C:$AA,21,0)-'TRADE IN'!$F317=0,"",(VLOOKUP($C305,REV!$C:$AA,21,0)-'TRADE IN'!$F305))</f>
        <v>799</v>
      </c>
      <c r="X305" s="46">
        <f>IF(VLOOKUP($C305,REV!$C:$AA,22,0)-'TRADE IN'!$F317=0,"",(VLOOKUP($C305,REV!$C:$AA,22,0)-'TRADE IN'!$F305))</f>
        <v>799</v>
      </c>
      <c r="Y305" s="46">
        <f>IF(VLOOKUP($C305,REV!$C:$AA,23,0)-'TRADE IN'!$F317=0,"",(VLOOKUP($C305,REV!$C:$AA,23,0)-'TRADE IN'!$F305))</f>
        <v>799</v>
      </c>
      <c r="Z305" s="46">
        <f>IF(VLOOKUP($C305,REV!$C:$AA,24,0)-'TRADE IN'!$F317=0,"",(VLOOKUP($C305,REV!$C:$AA,24,0)-'TRADE IN'!$F305))</f>
        <v>799</v>
      </c>
      <c r="AA305" s="46">
        <f>IF(VLOOKUP($C305,REV!$C:$AA,25,0)-'TRADE IN'!$F317=0,"",(VLOOKUP($C305,REV!$C:$AA,25,0)-'TRADE IN'!$F305))</f>
        <v>799</v>
      </c>
      <c r="AB305" s="46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tr">
        <f>IF(REV!AW305=0,"",REV!AW305)</f>
        <v>31.03.2026</v>
      </c>
      <c r="AX305" s="159" t="s">
        <v>82</v>
      </c>
    </row>
    <row r="306" spans="1:50" ht="21.75" customHeight="1">
      <c r="A306" s="50" t="s">
        <v>61</v>
      </c>
      <c r="B306" s="41" t="s">
        <v>62</v>
      </c>
      <c r="C306" s="42">
        <v>4016663</v>
      </c>
      <c r="D306" s="44" t="s">
        <v>452</v>
      </c>
      <c r="E306" s="44" t="s">
        <v>454</v>
      </c>
      <c r="F306" s="45"/>
      <c r="G306" s="45"/>
      <c r="H306" s="45"/>
      <c r="I306" s="45"/>
      <c r="J306" s="46">
        <f>IF(VLOOKUP($C306,REV!$C:$AA,8,0)-'TRADE IN'!$F306=0,"",(VLOOKUP($C306,REV!$C:$AA,8,0)-'TRADE IN'!$F306))</f>
        <v>1099</v>
      </c>
      <c r="K306" s="46">
        <f>IF(VLOOKUP($C306,REV!$C:$AA,9,0)-'TRADE IN'!$F306=0,"",(VLOOKUP($C306,REV!$C:$AA,9,0)-'TRADE IN'!$F306))</f>
        <v>899</v>
      </c>
      <c r="L306" s="46">
        <f>IF(VLOOKUP($C306,REV!$C:$AA,10,0)-'TRADE IN'!$F318=0,"",(VLOOKUP($C306,REV!$C:$AA,10,0)-'TRADE IN'!$F306))</f>
        <v>899</v>
      </c>
      <c r="M306" s="46">
        <f>IF(VLOOKUP($C306,REV!$C:$AA,11,0)-'TRADE IN'!$F318=0,"",(VLOOKUP($C306,REV!$C:$AA,11,0)-'TRADE IN'!$F306))</f>
        <v>1099</v>
      </c>
      <c r="N306" s="46">
        <f>IF(VLOOKUP($C306,REV!$C:$AA,12,0)-'TRADE IN'!$F318=0,"",(VLOOKUP($C306,REV!$C:$AA,12,0)-'TRADE IN'!$F306))</f>
        <v>899</v>
      </c>
      <c r="O306" s="46">
        <f>IF(VLOOKUP($C306,REV!$C:$AA,13,0)-'TRADE IN'!$F318=0,"",(VLOOKUP($C306,REV!$C:$AA,13,0)-'TRADE IN'!$F306))</f>
        <v>849</v>
      </c>
      <c r="P306" s="46">
        <f>IF(VLOOKUP($C306,REV!$C:$AA,14,0)-'TRADE IN'!$F318=0,"",(VLOOKUP($C306,REV!$C:$AA,14,0)-'TRADE IN'!$F306))</f>
        <v>849</v>
      </c>
      <c r="Q306" s="46">
        <f>IF(VLOOKUP($C306,REV!$C:$AA,15,0)-'TRADE IN'!$F318=0,"",(VLOOKUP($C306,REV!$C:$AA,15,0)-'TRADE IN'!$F306))</f>
        <v>799</v>
      </c>
      <c r="R306" s="46">
        <f>IF(VLOOKUP($C306,REV!$C:$AA,16,0)-'TRADE IN'!$F318=0,"",(VLOOKUP($C306,REV!$C:$AA,16,0)-'TRADE IN'!$F306))</f>
        <v>849</v>
      </c>
      <c r="S306" s="46">
        <f>IF(VLOOKUP($C306,REV!$C:$AA,17,0)-'TRADE IN'!$F318=0,"",(VLOOKUP($C306,REV!$C:$AA,17,0)-'TRADE IN'!$F306))</f>
        <v>849</v>
      </c>
      <c r="T306" s="46">
        <f>IF(VLOOKUP($C306,REV!$C:$AA,18,0)-'TRADE IN'!$F318=0,"",(VLOOKUP($C306,REV!$C:$AA,18,0)-'TRADE IN'!$F306))</f>
        <v>799</v>
      </c>
      <c r="U306" s="46">
        <f>IF(VLOOKUP($C306,REV!$C:$AA,19,0)-'TRADE IN'!$F318=0,"",(VLOOKUP($C306,REV!$C:$AA,19,0)-'TRADE IN'!$F306))</f>
        <v>799</v>
      </c>
      <c r="V306" s="46">
        <f>IF(VLOOKUP($C306,REV!$C:$AA,20,0)-'TRADE IN'!$F318=0,"",(VLOOKUP($C306,REV!$C:$AA,20,0)-'TRADE IN'!$F306))</f>
        <v>799</v>
      </c>
      <c r="W306" s="46">
        <f>IF(VLOOKUP($C306,REV!$C:$AA,21,0)-'TRADE IN'!$F318=0,"",(VLOOKUP($C306,REV!$C:$AA,21,0)-'TRADE IN'!$F306))</f>
        <v>799</v>
      </c>
      <c r="X306" s="46">
        <f>IF(VLOOKUP($C306,REV!$C:$AA,22,0)-'TRADE IN'!$F318=0,"",(VLOOKUP($C306,REV!$C:$AA,22,0)-'TRADE IN'!$F306))</f>
        <v>799</v>
      </c>
      <c r="Y306" s="46">
        <f>IF(VLOOKUP($C306,REV!$C:$AA,23,0)-'TRADE IN'!$F318=0,"",(VLOOKUP($C306,REV!$C:$AA,23,0)-'TRADE IN'!$F306))</f>
        <v>799</v>
      </c>
      <c r="Z306" s="46">
        <f>IF(VLOOKUP($C306,REV!$C:$AA,24,0)-'TRADE IN'!$F318=0,"",(VLOOKUP($C306,REV!$C:$AA,24,0)-'TRADE IN'!$F306))</f>
        <v>799</v>
      </c>
      <c r="AA306" s="46">
        <f>IF(VLOOKUP($C306,REV!$C:$AA,25,0)-'TRADE IN'!$F318=0,"",(VLOOKUP($C306,REV!$C:$AA,25,0)-'TRADE IN'!$F306))</f>
        <v>799</v>
      </c>
      <c r="AB306" s="46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tr">
        <f>IF(REV!AW306=0,"",REV!AW306)</f>
        <v>31.03.2026</v>
      </c>
      <c r="AX306" s="159" t="s">
        <v>82</v>
      </c>
    </row>
    <row r="307" spans="1:50" ht="21.75" customHeight="1">
      <c r="A307" s="50" t="s">
        <v>61</v>
      </c>
      <c r="B307" s="41" t="s">
        <v>62</v>
      </c>
      <c r="C307" s="42">
        <v>4014515</v>
      </c>
      <c r="D307" s="44" t="s">
        <v>455</v>
      </c>
      <c r="E307" s="44" t="s">
        <v>456</v>
      </c>
      <c r="F307" s="45"/>
      <c r="G307" s="45"/>
      <c r="H307" s="45"/>
      <c r="I307" s="45"/>
      <c r="J307" s="46">
        <f>IF(VLOOKUP($C307,REV!$C:$AA,8,0)-'TRADE IN'!$F307=0,"",(VLOOKUP($C307,REV!$C:$AA,8,0)-'TRADE IN'!$F307))</f>
        <v>599</v>
      </c>
      <c r="K307" s="46">
        <f>IF(VLOOKUP($C307,REV!$C:$AA,9,0)-'TRADE IN'!$F307=0,"",(VLOOKUP($C307,REV!$C:$AA,9,0)-'TRADE IN'!$F307))</f>
        <v>599</v>
      </c>
      <c r="L307" s="46">
        <f>IF(VLOOKUP($C307,REV!$C:$AA,10,0)-'TRADE IN'!$F318=0,"",(VLOOKUP($C307,REV!$C:$AA,10,0)-'TRADE IN'!$F307))</f>
        <v>599</v>
      </c>
      <c r="M307" s="46">
        <f>IF(VLOOKUP($C307,REV!$C:$AA,11,0)-'TRADE IN'!$F318=0,"",(VLOOKUP($C307,REV!$C:$AA,11,0)-'TRADE IN'!$F307))</f>
        <v>599</v>
      </c>
      <c r="N307" s="46">
        <f>IF(VLOOKUP($C307,REV!$C:$AA,12,0)-'TRADE IN'!$F318=0,"",(VLOOKUP($C307,REV!$C:$AA,12,0)-'TRADE IN'!$F307))</f>
        <v>599</v>
      </c>
      <c r="O307" s="46">
        <f>IF(VLOOKUP($C307,REV!$C:$AA,13,0)-'TRADE IN'!$F318=0,"",(VLOOKUP($C307,REV!$C:$AA,13,0)-'TRADE IN'!$F307))</f>
        <v>549</v>
      </c>
      <c r="P307" s="46">
        <f>IF(VLOOKUP($C307,REV!$C:$AA,14,0)-'TRADE IN'!$F318=0,"",(VLOOKUP($C307,REV!$C:$AA,14,0)-'TRADE IN'!$F307))</f>
        <v>499</v>
      </c>
      <c r="Q307" s="46">
        <f>IF(VLOOKUP($C307,REV!$C:$AA,15,0)-'TRADE IN'!$F318=0,"",(VLOOKUP($C307,REV!$C:$AA,15,0)-'TRADE IN'!$F307))</f>
        <v>399</v>
      </c>
      <c r="R307" s="46">
        <f>IF(VLOOKUP($C307,REV!$C:$AA,16,0)-'TRADE IN'!$F318=0,"",(VLOOKUP($C307,REV!$C:$AA,16,0)-'TRADE IN'!$F307))</f>
        <v>549</v>
      </c>
      <c r="S307" s="46">
        <f>IF(VLOOKUP($C307,REV!$C:$AA,17,0)-'TRADE IN'!$F318=0,"",(VLOOKUP($C307,REV!$C:$AA,17,0)-'TRADE IN'!$F307))</f>
        <v>499</v>
      </c>
      <c r="T307" s="46">
        <f>IF(VLOOKUP($C307,REV!$C:$AA,18,0)-'TRADE IN'!$F318=0,"",(VLOOKUP($C307,REV!$C:$AA,18,0)-'TRADE IN'!$F307))</f>
        <v>399</v>
      </c>
      <c r="U307" s="46">
        <f>IF(VLOOKUP($C307,REV!$C:$AA,19,0)-'TRADE IN'!$F318=0,"",(VLOOKUP($C307,REV!$C:$AA,19,0)-'TRADE IN'!$F307))</f>
        <v>399</v>
      </c>
      <c r="V307" s="46">
        <f>IF(VLOOKUP($C307,REV!$C:$AA,20,0)-'TRADE IN'!$F318=0,"",(VLOOKUP($C307,REV!$C:$AA,20,0)-'TRADE IN'!$F307))</f>
        <v>399</v>
      </c>
      <c r="W307" s="46">
        <f>IF(VLOOKUP($C307,REV!$C:$AA,21,0)-'TRADE IN'!$F318=0,"",(VLOOKUP($C307,REV!$C:$AA,21,0)-'TRADE IN'!$F307))</f>
        <v>399</v>
      </c>
      <c r="X307" s="46">
        <f>IF(VLOOKUP($C307,REV!$C:$AA,22,0)-'TRADE IN'!$F318=0,"",(VLOOKUP($C307,REV!$C:$AA,22,0)-'TRADE IN'!$F307))</f>
        <v>349</v>
      </c>
      <c r="Y307" s="46">
        <f>IF(VLOOKUP($C307,REV!$C:$AA,23,0)-'TRADE IN'!$F318=0,"",(VLOOKUP($C307,REV!$C:$AA,23,0)-'TRADE IN'!$F307))</f>
        <v>349</v>
      </c>
      <c r="Z307" s="46">
        <f>IF(VLOOKUP($C307,REV!$C:$AA,24,0)-'TRADE IN'!$F318=0,"",(VLOOKUP($C307,REV!$C:$AA,24,0)-'TRADE IN'!$F307))</f>
        <v>349</v>
      </c>
      <c r="AA307" s="46">
        <f>IF(VLOOKUP($C307,REV!$C:$AA,25,0)-'TRADE IN'!$F318=0,"",(VLOOKUP($C307,REV!$C:$AA,25,0)-'TRADE IN'!$F307))</f>
        <v>349</v>
      </c>
      <c r="AB307" s="46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tr">
        <f>IF(REV!AW307=0,"",REV!AW307)</f>
        <v>31.03.2026</v>
      </c>
      <c r="AX307" s="159" t="s">
        <v>66</v>
      </c>
    </row>
    <row r="308" spans="1:50" ht="21.75" customHeight="1">
      <c r="A308" s="50" t="s">
        <v>61</v>
      </c>
      <c r="B308" s="41" t="s">
        <v>62</v>
      </c>
      <c r="C308" s="42">
        <v>4015328</v>
      </c>
      <c r="D308" s="44" t="s">
        <v>457</v>
      </c>
      <c r="E308" s="44" t="s">
        <v>458</v>
      </c>
      <c r="F308" s="45"/>
      <c r="G308" s="45"/>
      <c r="H308" s="45"/>
      <c r="I308" s="45"/>
      <c r="J308" s="46">
        <f>IF(VLOOKUP($C308,REV!$C:$AA,8,0)-'TRADE IN'!$F308=0,"",(VLOOKUP($C308,REV!$C:$AA,8,0)-'TRADE IN'!$F308))</f>
        <v>529</v>
      </c>
      <c r="K308" s="46">
        <f>IF(VLOOKUP($C308,REV!$C:$AA,9,0)-'TRADE IN'!$F308=0,"",(VLOOKUP($C308,REV!$C:$AA,9,0)-'TRADE IN'!$F308))</f>
        <v>529</v>
      </c>
      <c r="L308" s="46">
        <f>IF(VLOOKUP($C308,REV!$C:$AA,10,0)-'TRADE IN'!$F319=0,"",(VLOOKUP($C308,REV!$C:$AA,10,0)-'TRADE IN'!$F308))</f>
        <v>529</v>
      </c>
      <c r="M308" s="46">
        <f>IF(VLOOKUP($C308,REV!$C:$AA,11,0)-'TRADE IN'!$F319=0,"",(VLOOKUP($C308,REV!$C:$AA,11,0)-'TRADE IN'!$F308))</f>
        <v>529</v>
      </c>
      <c r="N308" s="46">
        <f>IF(VLOOKUP($C308,REV!$C:$AA,12,0)-'TRADE IN'!$F319=0,"",(VLOOKUP($C308,REV!$C:$AA,12,0)-'TRADE IN'!$F308))</f>
        <v>529</v>
      </c>
      <c r="O308" s="46">
        <f>IF(VLOOKUP($C308,REV!$C:$AA,13,0)-'TRADE IN'!$F319=0,"",(VLOOKUP($C308,REV!$C:$AA,13,0)-'TRADE IN'!$F308))</f>
        <v>529</v>
      </c>
      <c r="P308" s="46">
        <f>IF(VLOOKUP($C308,REV!$C:$AA,14,0)-'TRADE IN'!$F319=0,"",(VLOOKUP($C308,REV!$C:$AA,14,0)-'TRADE IN'!$F308))</f>
        <v>529</v>
      </c>
      <c r="Q308" s="46">
        <f>IF(VLOOKUP($C308,REV!$C:$AA,15,0)-'TRADE IN'!$F319=0,"",(VLOOKUP($C308,REV!$C:$AA,15,0)-'TRADE IN'!$F308))</f>
        <v>529</v>
      </c>
      <c r="R308" s="46">
        <f>IF(VLOOKUP($C308,REV!$C:$AA,16,0)-'TRADE IN'!$F319=0,"",(VLOOKUP($C308,REV!$C:$AA,16,0)-'TRADE IN'!$F308))</f>
        <v>529</v>
      </c>
      <c r="S308" s="46">
        <f>IF(VLOOKUP($C308,REV!$C:$AA,17,0)-'TRADE IN'!$F319=0,"",(VLOOKUP($C308,REV!$C:$AA,17,0)-'TRADE IN'!$F308))</f>
        <v>529</v>
      </c>
      <c r="T308" s="46">
        <f>IF(VLOOKUP($C308,REV!$C:$AA,18,0)-'TRADE IN'!$F319=0,"",(VLOOKUP($C308,REV!$C:$AA,18,0)-'TRADE IN'!$F308))</f>
        <v>529</v>
      </c>
      <c r="U308" s="46">
        <f>IF(VLOOKUP($C308,REV!$C:$AA,19,0)-'TRADE IN'!$F319=0,"",(VLOOKUP($C308,REV!$C:$AA,19,0)-'TRADE IN'!$F308))</f>
        <v>529</v>
      </c>
      <c r="V308" s="46">
        <f>IF(VLOOKUP($C308,REV!$C:$AA,20,0)-'TRADE IN'!$F319=0,"",(VLOOKUP($C308,REV!$C:$AA,20,0)-'TRADE IN'!$F308))</f>
        <v>529</v>
      </c>
      <c r="W308" s="46">
        <f>IF(VLOOKUP($C308,REV!$C:$AA,21,0)-'TRADE IN'!$F319=0,"",(VLOOKUP($C308,REV!$C:$AA,21,0)-'TRADE IN'!$F308))</f>
        <v>529</v>
      </c>
      <c r="X308" s="46">
        <f>IF(VLOOKUP($C308,REV!$C:$AA,22,0)-'TRADE IN'!$F319=0,"",(VLOOKUP($C308,REV!$C:$AA,22,0)-'TRADE IN'!$F308))</f>
        <v>529</v>
      </c>
      <c r="Y308" s="46">
        <f>IF(VLOOKUP($C308,REV!$C:$AA,23,0)-'TRADE IN'!$F319=0,"",(VLOOKUP($C308,REV!$C:$AA,23,0)-'TRADE IN'!$F308))</f>
        <v>529</v>
      </c>
      <c r="Z308" s="46">
        <f>IF(VLOOKUP($C308,REV!$C:$AA,24,0)-'TRADE IN'!$F319=0,"",(VLOOKUP($C308,REV!$C:$AA,24,0)-'TRADE IN'!$F308))</f>
        <v>529</v>
      </c>
      <c r="AA308" s="46">
        <f>IF(VLOOKUP($C308,REV!$C:$AA,25,0)-'TRADE IN'!$F319=0,"",(VLOOKUP($C308,REV!$C:$AA,25,0)-'TRADE IN'!$F308))</f>
        <v>529</v>
      </c>
      <c r="AB308" s="46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tr">
        <f>IF(REV!AW308=0,"",REV!AW308)</f>
        <v>31.03.2026</v>
      </c>
      <c r="AX308" s="159" t="s">
        <v>82</v>
      </c>
    </row>
    <row r="309" spans="1:50" ht="21.75" customHeight="1">
      <c r="A309" s="50" t="s">
        <v>61</v>
      </c>
      <c r="B309" s="41" t="s">
        <v>62</v>
      </c>
      <c r="C309" s="42">
        <v>4015336</v>
      </c>
      <c r="D309" s="44" t="s">
        <v>457</v>
      </c>
      <c r="E309" s="44" t="s">
        <v>459</v>
      </c>
      <c r="F309" s="45"/>
      <c r="G309" s="45"/>
      <c r="H309" s="45"/>
      <c r="I309" s="45"/>
      <c r="J309" s="46">
        <f>IF(VLOOKUP($C309,REV!$C:$AA,8,0)-'TRADE IN'!$F309=0,"",(VLOOKUP($C309,REV!$C:$AA,8,0)-'TRADE IN'!$F309))</f>
        <v>529</v>
      </c>
      <c r="K309" s="46">
        <f>IF(VLOOKUP($C309,REV!$C:$AA,9,0)-'TRADE IN'!$F309=0,"",(VLOOKUP($C309,REV!$C:$AA,9,0)-'TRADE IN'!$F309))</f>
        <v>529</v>
      </c>
      <c r="L309" s="46">
        <f>IF(VLOOKUP($C309,REV!$C:$AA,10,0)-'TRADE IN'!$F320=0,"",(VLOOKUP($C309,REV!$C:$AA,10,0)-'TRADE IN'!$F309))</f>
        <v>529</v>
      </c>
      <c r="M309" s="46">
        <f>IF(VLOOKUP($C309,REV!$C:$AA,11,0)-'TRADE IN'!$F320=0,"",(VLOOKUP($C309,REV!$C:$AA,11,0)-'TRADE IN'!$F309))</f>
        <v>529</v>
      </c>
      <c r="N309" s="46">
        <f>IF(VLOOKUP($C309,REV!$C:$AA,12,0)-'TRADE IN'!$F320=0,"",(VLOOKUP($C309,REV!$C:$AA,12,0)-'TRADE IN'!$F309))</f>
        <v>529</v>
      </c>
      <c r="O309" s="46">
        <f>IF(VLOOKUP($C309,REV!$C:$AA,13,0)-'TRADE IN'!$F320=0,"",(VLOOKUP($C309,REV!$C:$AA,13,0)-'TRADE IN'!$F309))</f>
        <v>529</v>
      </c>
      <c r="P309" s="46">
        <f>IF(VLOOKUP($C309,REV!$C:$AA,14,0)-'TRADE IN'!$F320=0,"",(VLOOKUP($C309,REV!$C:$AA,14,0)-'TRADE IN'!$F309))</f>
        <v>529</v>
      </c>
      <c r="Q309" s="46">
        <f>IF(VLOOKUP($C309,REV!$C:$AA,15,0)-'TRADE IN'!$F320=0,"",(VLOOKUP($C309,REV!$C:$AA,15,0)-'TRADE IN'!$F309))</f>
        <v>529</v>
      </c>
      <c r="R309" s="46">
        <f>IF(VLOOKUP($C309,REV!$C:$AA,16,0)-'TRADE IN'!$F320=0,"",(VLOOKUP($C309,REV!$C:$AA,16,0)-'TRADE IN'!$F309))</f>
        <v>529</v>
      </c>
      <c r="S309" s="46">
        <f>IF(VLOOKUP($C309,REV!$C:$AA,17,0)-'TRADE IN'!$F320=0,"",(VLOOKUP($C309,REV!$C:$AA,17,0)-'TRADE IN'!$F309))</f>
        <v>529</v>
      </c>
      <c r="T309" s="46">
        <f>IF(VLOOKUP($C309,REV!$C:$AA,18,0)-'TRADE IN'!$F320=0,"",(VLOOKUP($C309,REV!$C:$AA,18,0)-'TRADE IN'!$F309))</f>
        <v>529</v>
      </c>
      <c r="U309" s="46">
        <f>IF(VLOOKUP($C309,REV!$C:$AA,19,0)-'TRADE IN'!$F320=0,"",(VLOOKUP($C309,REV!$C:$AA,19,0)-'TRADE IN'!$F309))</f>
        <v>529</v>
      </c>
      <c r="V309" s="46">
        <f>IF(VLOOKUP($C309,REV!$C:$AA,20,0)-'TRADE IN'!$F320=0,"",(VLOOKUP($C309,REV!$C:$AA,20,0)-'TRADE IN'!$F309))</f>
        <v>529</v>
      </c>
      <c r="W309" s="46">
        <f>IF(VLOOKUP($C309,REV!$C:$AA,21,0)-'TRADE IN'!$F320=0,"",(VLOOKUP($C309,REV!$C:$AA,21,0)-'TRADE IN'!$F309))</f>
        <v>529</v>
      </c>
      <c r="X309" s="46">
        <f>IF(VLOOKUP($C309,REV!$C:$AA,22,0)-'TRADE IN'!$F320=0,"",(VLOOKUP($C309,REV!$C:$AA,22,0)-'TRADE IN'!$F309))</f>
        <v>529</v>
      </c>
      <c r="Y309" s="46">
        <f>IF(VLOOKUP($C309,REV!$C:$AA,23,0)-'TRADE IN'!$F320=0,"",(VLOOKUP($C309,REV!$C:$AA,23,0)-'TRADE IN'!$F309))</f>
        <v>529</v>
      </c>
      <c r="Z309" s="46">
        <f>IF(VLOOKUP($C309,REV!$C:$AA,24,0)-'TRADE IN'!$F320=0,"",(VLOOKUP($C309,REV!$C:$AA,24,0)-'TRADE IN'!$F309))</f>
        <v>529</v>
      </c>
      <c r="AA309" s="46">
        <f>IF(VLOOKUP($C309,REV!$C:$AA,25,0)-'TRADE IN'!$F320=0,"",(VLOOKUP($C309,REV!$C:$AA,25,0)-'TRADE IN'!$F309))</f>
        <v>529</v>
      </c>
      <c r="AB309" s="46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tr">
        <f>IF(REV!AW309=0,"",REV!AW309)</f>
        <v>31.03.2026</v>
      </c>
      <c r="AX309" s="159" t="s">
        <v>82</v>
      </c>
    </row>
    <row r="310" spans="1:50" ht="21.75" customHeight="1">
      <c r="A310" s="50" t="s">
        <v>61</v>
      </c>
      <c r="B310" s="41" t="s">
        <v>62</v>
      </c>
      <c r="C310" s="42">
        <v>4015667</v>
      </c>
      <c r="D310" s="44" t="s">
        <v>460</v>
      </c>
      <c r="E310" s="44" t="s">
        <v>461</v>
      </c>
      <c r="F310" s="45"/>
      <c r="G310" s="45"/>
      <c r="H310" s="45"/>
      <c r="I310" s="45"/>
      <c r="J310" s="46">
        <f>IF(VLOOKUP($C310,REV!$C:$AA,8,0)-'TRADE IN'!$F310=0,"",(VLOOKUP($C310,REV!$C:$AA,8,0)-'TRADE IN'!$F310))</f>
        <v>799</v>
      </c>
      <c r="K310" s="46">
        <f>IF(VLOOKUP($C310,REV!$C:$AA,9,0)-'TRADE IN'!$F310=0,"",(VLOOKUP($C310,REV!$C:$AA,9,0)-'TRADE IN'!$F310))</f>
        <v>799</v>
      </c>
      <c r="L310" s="46">
        <f>IF(VLOOKUP($C310,REV!$C:$AA,10,0)-'TRADE IN'!$F321=0,"",(VLOOKUP($C310,REV!$C:$AA,10,0)-'TRADE IN'!$F310))</f>
        <v>799</v>
      </c>
      <c r="M310" s="46">
        <f>IF(VLOOKUP($C310,REV!$C:$AA,11,0)-'TRADE IN'!$F321=0,"",(VLOOKUP($C310,REV!$C:$AA,11,0)-'TRADE IN'!$F310))</f>
        <v>799</v>
      </c>
      <c r="N310" s="46">
        <f>IF(VLOOKUP($C310,REV!$C:$AA,12,0)-'TRADE IN'!$F321=0,"",(VLOOKUP($C310,REV!$C:$AA,12,0)-'TRADE IN'!$F310))</f>
        <v>799</v>
      </c>
      <c r="O310" s="46">
        <f>IF(VLOOKUP($C310,REV!$C:$AA,13,0)-'TRADE IN'!$F321=0,"",(VLOOKUP($C310,REV!$C:$AA,13,0)-'TRADE IN'!$F310))</f>
        <v>749</v>
      </c>
      <c r="P310" s="46">
        <f>IF(VLOOKUP($C310,REV!$C:$AA,14,0)-'TRADE IN'!$F321=0,"",(VLOOKUP($C310,REV!$C:$AA,14,0)-'TRADE IN'!$F310))</f>
        <v>699</v>
      </c>
      <c r="Q310" s="46">
        <f>IF(VLOOKUP($C310,REV!$C:$AA,15,0)-'TRADE IN'!$F321=0,"",(VLOOKUP($C310,REV!$C:$AA,15,0)-'TRADE IN'!$F310))</f>
        <v>499</v>
      </c>
      <c r="R310" s="46">
        <f>IF(VLOOKUP($C310,REV!$C:$AA,16,0)-'TRADE IN'!$F321=0,"",(VLOOKUP($C310,REV!$C:$AA,16,0)-'TRADE IN'!$F310))</f>
        <v>749</v>
      </c>
      <c r="S310" s="46">
        <f>IF(VLOOKUP($C310,REV!$C:$AA,17,0)-'TRADE IN'!$F321=0,"",(VLOOKUP($C310,REV!$C:$AA,17,0)-'TRADE IN'!$F310))</f>
        <v>699</v>
      </c>
      <c r="T310" s="46">
        <f>IF(VLOOKUP($C310,REV!$C:$AA,18,0)-'TRADE IN'!$F321=0,"",(VLOOKUP($C310,REV!$C:$AA,18,0)-'TRADE IN'!$F310))</f>
        <v>499</v>
      </c>
      <c r="U310" s="46">
        <f>IF(VLOOKUP($C310,REV!$C:$AA,19,0)-'TRADE IN'!$F321=0,"",(VLOOKUP($C310,REV!$C:$AA,19,0)-'TRADE IN'!$F310))</f>
        <v>499</v>
      </c>
      <c r="V310" s="46">
        <f>IF(VLOOKUP($C310,REV!$C:$AA,20,0)-'TRADE IN'!$F321=0,"",(VLOOKUP($C310,REV!$C:$AA,20,0)-'TRADE IN'!$F310))</f>
        <v>499</v>
      </c>
      <c r="W310" s="46">
        <f>IF(VLOOKUP($C310,REV!$C:$AA,21,0)-'TRADE IN'!$F321=0,"",(VLOOKUP($C310,REV!$C:$AA,21,0)-'TRADE IN'!$F310))</f>
        <v>499</v>
      </c>
      <c r="X310" s="46">
        <f>IF(VLOOKUP($C310,REV!$C:$AA,22,0)-'TRADE IN'!$F321=0,"",(VLOOKUP($C310,REV!$C:$AA,22,0)-'TRADE IN'!$F310))</f>
        <v>399</v>
      </c>
      <c r="Y310" s="46">
        <f>IF(VLOOKUP($C310,REV!$C:$AA,23,0)-'TRADE IN'!$F321=0,"",(VLOOKUP($C310,REV!$C:$AA,23,0)-'TRADE IN'!$F310))</f>
        <v>399</v>
      </c>
      <c r="Z310" s="46">
        <f>IF(VLOOKUP($C310,REV!$C:$AA,24,0)-'TRADE IN'!$F321=0,"",(VLOOKUP($C310,REV!$C:$AA,24,0)-'TRADE IN'!$F310))</f>
        <v>399</v>
      </c>
      <c r="AA310" s="46">
        <f>IF(VLOOKUP($C310,REV!$C:$AA,25,0)-'TRADE IN'!$F321=0,"",(VLOOKUP($C310,REV!$C:$AA,25,0)-'TRADE IN'!$F310))</f>
        <v>399</v>
      </c>
      <c r="AB310" s="46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tr">
        <f>IF(REV!AW310=0,"",REV!AW310)</f>
        <v>31.03.2026</v>
      </c>
      <c r="AX310" s="159" t="s">
        <v>82</v>
      </c>
    </row>
    <row r="311" spans="1:50" ht="21.75" customHeight="1">
      <c r="A311" s="50" t="s">
        <v>61</v>
      </c>
      <c r="B311" s="41" t="s">
        <v>62</v>
      </c>
      <c r="C311" s="42">
        <v>4015989</v>
      </c>
      <c r="D311" s="44" t="s">
        <v>462</v>
      </c>
      <c r="E311" s="44" t="s">
        <v>463</v>
      </c>
      <c r="F311" s="45"/>
      <c r="G311" s="45"/>
      <c r="H311" s="45"/>
      <c r="I311" s="45"/>
      <c r="J311" s="46">
        <f>IF(VLOOKUP($C311,REV!$C:$AA,8,0)-'TRADE IN'!$F311=0,"",(VLOOKUP($C311,REV!$C:$AA,8,0)-'TRADE IN'!$F311))</f>
        <v>1199</v>
      </c>
      <c r="K311" s="46">
        <f>IF(VLOOKUP($C311,REV!$C:$AA,9,0)-'TRADE IN'!$F311=0,"",(VLOOKUP($C311,REV!$C:$AA,9,0)-'TRADE IN'!$F311))</f>
        <v>1199</v>
      </c>
      <c r="L311" s="46">
        <f>IF(VLOOKUP($C311,REV!$C:$AA,10,0)-'TRADE IN'!$F322=0,"",(VLOOKUP($C311,REV!$C:$AA,10,0)-'TRADE IN'!$F311))</f>
        <v>1199</v>
      </c>
      <c r="M311" s="46">
        <f>IF(VLOOKUP($C311,REV!$C:$AA,11,0)-'TRADE IN'!$F322=0,"",(VLOOKUP($C311,REV!$C:$AA,11,0)-'TRADE IN'!$F311))</f>
        <v>1199</v>
      </c>
      <c r="N311" s="46">
        <f>IF(VLOOKUP($C311,REV!$C:$AA,12,0)-'TRADE IN'!$F322=0,"",(VLOOKUP($C311,REV!$C:$AA,12,0)-'TRADE IN'!$F311))</f>
        <v>1199</v>
      </c>
      <c r="O311" s="46">
        <f>IF(VLOOKUP($C311,REV!$C:$AA,13,0)-'TRADE IN'!$F322=0,"",(VLOOKUP($C311,REV!$C:$AA,13,0)-'TRADE IN'!$F311))</f>
        <v>1099</v>
      </c>
      <c r="P311" s="46">
        <f>IF(VLOOKUP($C311,REV!$C:$AA,14,0)-'TRADE IN'!$F322=0,"",(VLOOKUP($C311,REV!$C:$AA,14,0)-'TRADE IN'!$F311))</f>
        <v>1049</v>
      </c>
      <c r="Q311" s="46">
        <f>IF(VLOOKUP($C311,REV!$C:$AA,15,0)-'TRADE IN'!$F322=0,"",(VLOOKUP($C311,REV!$C:$AA,15,0)-'TRADE IN'!$F311))</f>
        <v>899</v>
      </c>
      <c r="R311" s="46">
        <f>IF(VLOOKUP($C311,REV!$C:$AA,16,0)-'TRADE IN'!$F322=0,"",(VLOOKUP($C311,REV!$C:$AA,16,0)-'TRADE IN'!$F311))</f>
        <v>1099</v>
      </c>
      <c r="S311" s="46">
        <f>IF(VLOOKUP($C311,REV!$C:$AA,17,0)-'TRADE IN'!$F322=0,"",(VLOOKUP($C311,REV!$C:$AA,17,0)-'TRADE IN'!$F311))</f>
        <v>1049</v>
      </c>
      <c r="T311" s="46">
        <f>IF(VLOOKUP($C311,REV!$C:$AA,18,0)-'TRADE IN'!$F322=0,"",(VLOOKUP($C311,REV!$C:$AA,18,0)-'TRADE IN'!$F311))</f>
        <v>899</v>
      </c>
      <c r="U311" s="46">
        <f>IF(VLOOKUP($C311,REV!$C:$AA,19,0)-'TRADE IN'!$F322=0,"",(VLOOKUP($C311,REV!$C:$AA,19,0)-'TRADE IN'!$F311))</f>
        <v>899</v>
      </c>
      <c r="V311" s="46">
        <f>IF(VLOOKUP($C311,REV!$C:$AA,20,0)-'TRADE IN'!$F322=0,"",(VLOOKUP($C311,REV!$C:$AA,20,0)-'TRADE IN'!$F311))</f>
        <v>899</v>
      </c>
      <c r="W311" s="46">
        <f>IF(VLOOKUP($C311,REV!$C:$AA,21,0)-'TRADE IN'!$F322=0,"",(VLOOKUP($C311,REV!$C:$AA,21,0)-'TRADE IN'!$F311))</f>
        <v>899</v>
      </c>
      <c r="X311" s="46">
        <f>IF(VLOOKUP($C311,REV!$C:$AA,22,0)-'TRADE IN'!$F322=0,"",(VLOOKUP($C311,REV!$C:$AA,22,0)-'TRADE IN'!$F311))</f>
        <v>849</v>
      </c>
      <c r="Y311" s="46">
        <f>IF(VLOOKUP($C311,REV!$C:$AA,23,0)-'TRADE IN'!$F322=0,"",(VLOOKUP($C311,REV!$C:$AA,23,0)-'TRADE IN'!$F311))</f>
        <v>829</v>
      </c>
      <c r="Z311" s="46">
        <f>IF(VLOOKUP($C311,REV!$C:$AA,24,0)-'TRADE IN'!$F322=0,"",(VLOOKUP($C311,REV!$C:$AA,24,0)-'TRADE IN'!$F311))</f>
        <v>829</v>
      </c>
      <c r="AA311" s="46">
        <f>IF(VLOOKUP($C311,REV!$C:$AA,25,0)-'TRADE IN'!$F322=0,"",(VLOOKUP($C311,REV!$C:$AA,25,0)-'TRADE IN'!$F311))</f>
        <v>819</v>
      </c>
      <c r="AB311" s="46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tr">
        <f>IF(REV!AW311=0,"",REV!AW311)</f>
        <v>31.03.2026</v>
      </c>
      <c r="AX311" s="159" t="s">
        <v>82</v>
      </c>
    </row>
    <row r="312" spans="1:50" ht="21.75" customHeight="1">
      <c r="A312" s="50" t="s">
        <v>61</v>
      </c>
      <c r="B312" s="41" t="s">
        <v>62</v>
      </c>
      <c r="C312" s="42">
        <v>4017123</v>
      </c>
      <c r="D312" s="44" t="s">
        <v>464</v>
      </c>
      <c r="E312" s="44" t="s">
        <v>465</v>
      </c>
      <c r="F312" s="45"/>
      <c r="G312" s="45"/>
      <c r="H312" s="45"/>
      <c r="I312" s="45"/>
      <c r="J312" s="46">
        <f>IF(VLOOKUP($C312,REV!$C:$AA,8,0)-'TRADE IN'!$F312=0,"",(VLOOKUP($C312,REV!$C:$AA,8,0)-'TRADE IN'!$F312))</f>
        <v>1299</v>
      </c>
      <c r="K312" s="46">
        <f>IF(VLOOKUP($C312,REV!$C:$AA,9,0)-'TRADE IN'!$F312=0,"",(VLOOKUP($C312,REV!$C:$AA,9,0)-'TRADE IN'!$F312))</f>
        <v>1199</v>
      </c>
      <c r="L312" s="46">
        <f>IF(VLOOKUP($C312,REV!$C:$AA,10,0)-'TRADE IN'!$F323=0,"",(VLOOKUP($C312,REV!$C:$AA,10,0)-'TRADE IN'!$F312))</f>
        <v>1199</v>
      </c>
      <c r="M312" s="46">
        <f>IF(VLOOKUP($C312,REV!$C:$AA,11,0)-'TRADE IN'!$F323=0,"",(VLOOKUP($C312,REV!$C:$AA,11,0)-'TRADE IN'!$F312))</f>
        <v>1299</v>
      </c>
      <c r="N312" s="46">
        <f>IF(VLOOKUP($C312,REV!$C:$AA,12,0)-'TRADE IN'!$F323=0,"",(VLOOKUP($C312,REV!$C:$AA,12,0)-'TRADE IN'!$F312))</f>
        <v>1199</v>
      </c>
      <c r="O312" s="46">
        <f>IF(VLOOKUP($C312,REV!$C:$AA,13,0)-'TRADE IN'!$F323=0,"",(VLOOKUP($C312,REV!$C:$AA,13,0)-'TRADE IN'!$F312))</f>
        <v>1149</v>
      </c>
      <c r="P312" s="46">
        <f>IF(VLOOKUP($C312,REV!$C:$AA,14,0)-'TRADE IN'!$F323=0,"",(VLOOKUP($C312,REV!$C:$AA,14,0)-'TRADE IN'!$F312))</f>
        <v>1049</v>
      </c>
      <c r="Q312" s="46">
        <f>IF(VLOOKUP($C312,REV!$C:$AA,15,0)-'TRADE IN'!$F323=0,"",(VLOOKUP($C312,REV!$C:$AA,15,0)-'TRADE IN'!$F312))</f>
        <v>999</v>
      </c>
      <c r="R312" s="46">
        <f>IF(VLOOKUP($C312,REV!$C:$AA,16,0)-'TRADE IN'!$F323=0,"",(VLOOKUP($C312,REV!$C:$AA,16,0)-'TRADE IN'!$F312))</f>
        <v>1149</v>
      </c>
      <c r="S312" s="46">
        <f>IF(VLOOKUP($C312,REV!$C:$AA,17,0)-'TRADE IN'!$F323=0,"",(VLOOKUP($C312,REV!$C:$AA,17,0)-'TRADE IN'!$F312))</f>
        <v>1049</v>
      </c>
      <c r="T312" s="46">
        <f>IF(VLOOKUP($C312,REV!$C:$AA,18,0)-'TRADE IN'!$F323=0,"",(VLOOKUP($C312,REV!$C:$AA,18,0)-'TRADE IN'!$F312))</f>
        <v>999</v>
      </c>
      <c r="U312" s="46">
        <f>IF(VLOOKUP($C312,REV!$C:$AA,19,0)-'TRADE IN'!$F323=0,"",(VLOOKUP($C312,REV!$C:$AA,19,0)-'TRADE IN'!$F312))</f>
        <v>999</v>
      </c>
      <c r="V312" s="46">
        <f>IF(VLOOKUP($C312,REV!$C:$AA,20,0)-'TRADE IN'!$F323=0,"",(VLOOKUP($C312,REV!$C:$AA,20,0)-'TRADE IN'!$F312))</f>
        <v>999</v>
      </c>
      <c r="W312" s="46">
        <f>IF(VLOOKUP($C312,REV!$C:$AA,21,0)-'TRADE IN'!$F323=0,"",(VLOOKUP($C312,REV!$C:$AA,21,0)-'TRADE IN'!$F312))</f>
        <v>999</v>
      </c>
      <c r="X312" s="46">
        <f>IF(VLOOKUP($C312,REV!$C:$AA,22,0)-'TRADE IN'!$F323=0,"",(VLOOKUP($C312,REV!$C:$AA,22,0)-'TRADE IN'!$F312))</f>
        <v>999</v>
      </c>
      <c r="Y312" s="46">
        <f>IF(VLOOKUP($C312,REV!$C:$AA,23,0)-'TRADE IN'!$F323=0,"",(VLOOKUP($C312,REV!$C:$AA,23,0)-'TRADE IN'!$F312))</f>
        <v>999</v>
      </c>
      <c r="Z312" s="46">
        <f>IF(VLOOKUP($C312,REV!$C:$AA,24,0)-'TRADE IN'!$F323=0,"",(VLOOKUP($C312,REV!$C:$AA,24,0)-'TRADE IN'!$F312))</f>
        <v>999</v>
      </c>
      <c r="AA312" s="46">
        <f>IF(VLOOKUP($C312,REV!$C:$AA,25,0)-'TRADE IN'!$F323=0,"",(VLOOKUP($C312,REV!$C:$AA,25,0)-'TRADE IN'!$F312))</f>
        <v>999</v>
      </c>
      <c r="AB312" s="46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tr">
        <f>IF(REV!AW312=0,"",REV!AW312)</f>
        <v>31.03.2026</v>
      </c>
      <c r="AX312" s="159" t="s">
        <v>82</v>
      </c>
    </row>
    <row r="313" spans="1:50" ht="21.75" customHeight="1">
      <c r="A313" s="50" t="s">
        <v>61</v>
      </c>
      <c r="B313" s="41" t="s">
        <v>62</v>
      </c>
      <c r="C313" s="42">
        <v>4017120</v>
      </c>
      <c r="D313" s="44" t="s">
        <v>464</v>
      </c>
      <c r="E313" s="44" t="s">
        <v>466</v>
      </c>
      <c r="F313" s="45"/>
      <c r="G313" s="45"/>
      <c r="H313" s="45"/>
      <c r="I313" s="45"/>
      <c r="J313" s="46">
        <f>IF(VLOOKUP($C313,REV!$C:$AA,8,0)-'TRADE IN'!$F313=0,"",(VLOOKUP($C313,REV!$C:$AA,8,0)-'TRADE IN'!$F313))</f>
        <v>1299</v>
      </c>
      <c r="K313" s="46">
        <f>IF(VLOOKUP($C313,REV!$C:$AA,9,0)-'TRADE IN'!$F313=0,"",(VLOOKUP($C313,REV!$C:$AA,9,0)-'TRADE IN'!$F313))</f>
        <v>1199</v>
      </c>
      <c r="L313" s="46">
        <f>IF(VLOOKUP($C313,REV!$C:$AA,10,0)-'TRADE IN'!$F326=0,"",(VLOOKUP($C313,REV!$C:$AA,10,0)-'TRADE IN'!$F313))</f>
        <v>1199</v>
      </c>
      <c r="M313" s="46">
        <f>IF(VLOOKUP($C313,REV!$C:$AA,11,0)-'TRADE IN'!$F326=0,"",(VLOOKUP($C313,REV!$C:$AA,11,0)-'TRADE IN'!$F313))</f>
        <v>1299</v>
      </c>
      <c r="N313" s="46">
        <f>IF(VLOOKUP($C313,REV!$C:$AA,12,0)-'TRADE IN'!$F326=0,"",(VLOOKUP($C313,REV!$C:$AA,12,0)-'TRADE IN'!$F313))</f>
        <v>1199</v>
      </c>
      <c r="O313" s="46">
        <f>IF(VLOOKUP($C313,REV!$C:$AA,13,0)-'TRADE IN'!$F326=0,"",(VLOOKUP($C313,REV!$C:$AA,13,0)-'TRADE IN'!$F313))</f>
        <v>1149</v>
      </c>
      <c r="P313" s="46">
        <f>IF(VLOOKUP($C313,REV!$C:$AA,14,0)-'TRADE IN'!$F326=0,"",(VLOOKUP($C313,REV!$C:$AA,14,0)-'TRADE IN'!$F313))</f>
        <v>1049</v>
      </c>
      <c r="Q313" s="46">
        <f>IF(VLOOKUP($C313,REV!$C:$AA,15,0)-'TRADE IN'!$F326=0,"",(VLOOKUP($C313,REV!$C:$AA,15,0)-'TRADE IN'!$F313))</f>
        <v>999</v>
      </c>
      <c r="R313" s="46">
        <f>IF(VLOOKUP($C313,REV!$C:$AA,16,0)-'TRADE IN'!$F326=0,"",(VLOOKUP($C313,REV!$C:$AA,16,0)-'TRADE IN'!$F313))</f>
        <v>1149</v>
      </c>
      <c r="S313" s="46">
        <f>IF(VLOOKUP($C313,REV!$C:$AA,17,0)-'TRADE IN'!$F326=0,"",(VLOOKUP($C313,REV!$C:$AA,17,0)-'TRADE IN'!$F313))</f>
        <v>1049</v>
      </c>
      <c r="T313" s="46">
        <f>IF(VLOOKUP($C313,REV!$C:$AA,18,0)-'TRADE IN'!$F326=0,"",(VLOOKUP($C313,REV!$C:$AA,18,0)-'TRADE IN'!$F313))</f>
        <v>999</v>
      </c>
      <c r="U313" s="46">
        <f>IF(VLOOKUP($C313,REV!$C:$AA,19,0)-'TRADE IN'!$F326=0,"",(VLOOKUP($C313,REV!$C:$AA,19,0)-'TRADE IN'!$F313))</f>
        <v>999</v>
      </c>
      <c r="V313" s="46">
        <f>IF(VLOOKUP($C313,REV!$C:$AA,20,0)-'TRADE IN'!$F326=0,"",(VLOOKUP($C313,REV!$C:$AA,20,0)-'TRADE IN'!$F313))</f>
        <v>999</v>
      </c>
      <c r="W313" s="46">
        <f>IF(VLOOKUP($C313,REV!$C:$AA,21,0)-'TRADE IN'!$F326=0,"",(VLOOKUP($C313,REV!$C:$AA,21,0)-'TRADE IN'!$F313))</f>
        <v>999</v>
      </c>
      <c r="X313" s="46">
        <f>IF(VLOOKUP($C313,REV!$C:$AA,22,0)-'TRADE IN'!$F326=0,"",(VLOOKUP($C313,REV!$C:$AA,22,0)-'TRADE IN'!$F313))</f>
        <v>999</v>
      </c>
      <c r="Y313" s="46">
        <f>IF(VLOOKUP($C313,REV!$C:$AA,23,0)-'TRADE IN'!$F326=0,"",(VLOOKUP($C313,REV!$C:$AA,23,0)-'TRADE IN'!$F313))</f>
        <v>999</v>
      </c>
      <c r="Z313" s="46">
        <f>IF(VLOOKUP($C313,REV!$C:$AA,24,0)-'TRADE IN'!$F326=0,"",(VLOOKUP($C313,REV!$C:$AA,24,0)-'TRADE IN'!$F313))</f>
        <v>999</v>
      </c>
      <c r="AA313" s="46">
        <f>IF(VLOOKUP($C313,REV!$C:$AA,25,0)-'TRADE IN'!$F326=0,"",(VLOOKUP($C313,REV!$C:$AA,25,0)-'TRADE IN'!$F313))</f>
        <v>999</v>
      </c>
      <c r="AB313" s="46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tr">
        <f>IF(REV!AW313=0,"",REV!AW313)</f>
        <v>31.03.2026</v>
      </c>
      <c r="AX313" s="159" t="s">
        <v>82</v>
      </c>
    </row>
    <row r="314" spans="1:50" ht="21.75" customHeight="1">
      <c r="A314" s="50" t="s">
        <v>61</v>
      </c>
      <c r="B314" s="41" t="s">
        <v>62</v>
      </c>
      <c r="C314" s="42">
        <v>4014410</v>
      </c>
      <c r="D314" s="44" t="s">
        <v>467</v>
      </c>
      <c r="E314" s="44" t="s">
        <v>468</v>
      </c>
      <c r="F314" s="45"/>
      <c r="G314" s="45"/>
      <c r="H314" s="45"/>
      <c r="I314" s="45"/>
      <c r="J314" s="46">
        <f>IF(VLOOKUP($C314,REV!$C:$AA,8,0)-'TRADE IN'!$F314=0,"",(VLOOKUP($C314,REV!$C:$AA,8,0)-'TRADE IN'!$F314))</f>
        <v>399</v>
      </c>
      <c r="K314" s="46">
        <f>IF(VLOOKUP($C314,REV!$C:$AA,9,0)-'TRADE IN'!$F314=0,"",(VLOOKUP($C314,REV!$C:$AA,9,0)-'TRADE IN'!$F314))</f>
        <v>399</v>
      </c>
      <c r="L314" s="46">
        <f>IF(VLOOKUP($C314,REV!$C:$AA,10,0)-'TRADE IN'!$F327=0,"",(VLOOKUP($C314,REV!$C:$AA,10,0)-'TRADE IN'!$F314))</f>
        <v>399</v>
      </c>
      <c r="M314" s="46">
        <f>IF(VLOOKUP($C314,REV!$C:$AA,11,0)-'TRADE IN'!$F327=0,"",(VLOOKUP($C314,REV!$C:$AA,11,0)-'TRADE IN'!$F314))</f>
        <v>399</v>
      </c>
      <c r="N314" s="46">
        <f>IF(VLOOKUP($C314,REV!$C:$AA,12,0)-'TRADE IN'!$F327=0,"",(VLOOKUP($C314,REV!$C:$AA,12,0)-'TRADE IN'!$F314))</f>
        <v>399</v>
      </c>
      <c r="O314" s="46">
        <f>IF(VLOOKUP($C314,REV!$C:$AA,13,0)-'TRADE IN'!$F327=0,"",(VLOOKUP($C314,REV!$C:$AA,13,0)-'TRADE IN'!$F314))</f>
        <v>299</v>
      </c>
      <c r="P314" s="46">
        <f>IF(VLOOKUP($C314,REV!$C:$AA,14,0)-'TRADE IN'!$F327=0,"",(VLOOKUP($C314,REV!$C:$AA,14,0)-'TRADE IN'!$F314))</f>
        <v>249</v>
      </c>
      <c r="Q314" s="46">
        <f>IF(VLOOKUP($C314,REV!$C:$AA,15,0)-'TRADE IN'!$F327=0,"",(VLOOKUP($C314,REV!$C:$AA,15,0)-'TRADE IN'!$F314))</f>
        <v>249</v>
      </c>
      <c r="R314" s="46">
        <f>IF(VLOOKUP($C314,REV!$C:$AA,16,0)-'TRADE IN'!$F327=0,"",(VLOOKUP($C314,REV!$C:$AA,16,0)-'TRADE IN'!$F314))</f>
        <v>299</v>
      </c>
      <c r="S314" s="46">
        <f>IF(VLOOKUP($C314,REV!$C:$AA,17,0)-'TRADE IN'!$F327=0,"",(VLOOKUP($C314,REV!$C:$AA,17,0)-'TRADE IN'!$F314))</f>
        <v>249</v>
      </c>
      <c r="T314" s="46">
        <f>IF(VLOOKUP($C314,REV!$C:$AA,18,0)-'TRADE IN'!$F327=0,"",(VLOOKUP($C314,REV!$C:$AA,18,0)-'TRADE IN'!$F314))</f>
        <v>249</v>
      </c>
      <c r="U314" s="46">
        <f>IF(VLOOKUP($C314,REV!$C:$AA,19,0)-'TRADE IN'!$F327=0,"",(VLOOKUP($C314,REV!$C:$AA,19,0)-'TRADE IN'!$F314))</f>
        <v>249</v>
      </c>
      <c r="V314" s="46">
        <f>IF(VLOOKUP($C314,REV!$C:$AA,20,0)-'TRADE IN'!$F327=0,"",(VLOOKUP($C314,REV!$C:$AA,20,0)-'TRADE IN'!$F314))</f>
        <v>249</v>
      </c>
      <c r="W314" s="46">
        <f>IF(VLOOKUP($C314,REV!$C:$AA,21,0)-'TRADE IN'!$F327=0,"",(VLOOKUP($C314,REV!$C:$AA,21,0)-'TRADE IN'!$F314))</f>
        <v>249</v>
      </c>
      <c r="X314" s="46">
        <f>IF(VLOOKUP($C314,REV!$C:$AA,22,0)-'TRADE IN'!$F327=0,"",(VLOOKUP($C314,REV!$C:$AA,22,0)-'TRADE IN'!$F314))</f>
        <v>249</v>
      </c>
      <c r="Y314" s="46">
        <f>IF(VLOOKUP($C314,REV!$C:$AA,23,0)-'TRADE IN'!$F327=0,"",(VLOOKUP($C314,REV!$C:$AA,23,0)-'TRADE IN'!$F314))</f>
        <v>249</v>
      </c>
      <c r="Z314" s="46">
        <f>IF(VLOOKUP($C314,REV!$C:$AA,24,0)-'TRADE IN'!$F327=0,"",(VLOOKUP($C314,REV!$C:$AA,24,0)-'TRADE IN'!$F314))</f>
        <v>249</v>
      </c>
      <c r="AA314" s="46">
        <f>IF(VLOOKUP($C314,REV!$C:$AA,25,0)-'TRADE IN'!$F327=0,"",(VLOOKUP($C314,REV!$C:$AA,25,0)-'TRADE IN'!$F314))</f>
        <v>249</v>
      </c>
      <c r="AB314" s="46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tr">
        <f>IF(REV!AW314=0,"",REV!AW314)</f>
        <v>31.03.2026</v>
      </c>
      <c r="AX314" s="159" t="s">
        <v>66</v>
      </c>
    </row>
    <row r="315" spans="1:50" ht="21.75" customHeight="1">
      <c r="A315" s="50" t="s">
        <v>61</v>
      </c>
      <c r="B315" s="41" t="s">
        <v>62</v>
      </c>
      <c r="C315" s="42">
        <v>4017684</v>
      </c>
      <c r="D315" s="44" t="s">
        <v>469</v>
      </c>
      <c r="E315" s="44" t="s">
        <v>470</v>
      </c>
      <c r="F315" s="45"/>
      <c r="G315" s="45"/>
      <c r="H315" s="45"/>
      <c r="I315" s="45"/>
      <c r="J315" s="46">
        <f>IF(VLOOKUP($C315,REV!$C:$AA,8,0)-'TRADE IN'!$F315=0,"",(VLOOKUP($C315,REV!$C:$AA,8,0)-'TRADE IN'!$F315))</f>
        <v>2099</v>
      </c>
      <c r="K315" s="46">
        <f>IF(VLOOKUP($C315,REV!$C:$AA,9,0)-'TRADE IN'!$F315=0,"",(VLOOKUP($C315,REV!$C:$AA,9,0)-'TRADE IN'!$F315))</f>
        <v>2099</v>
      </c>
      <c r="L315" s="46">
        <f>IF(VLOOKUP($C315,REV!$C:$AA,10,0)-'TRADE IN'!$F328=0,"",(VLOOKUP($C315,REV!$C:$AA,10,0)-'TRADE IN'!$F315))</f>
        <v>2099</v>
      </c>
      <c r="M315" s="46">
        <f>IF(VLOOKUP($C315,REV!$C:$AA,11,0)-'TRADE IN'!$F328=0,"",(VLOOKUP($C315,REV!$C:$AA,11,0)-'TRADE IN'!$F315))</f>
        <v>2099</v>
      </c>
      <c r="N315" s="46">
        <f>IF(VLOOKUP($C315,REV!$C:$AA,12,0)-'TRADE IN'!$F328=0,"",(VLOOKUP($C315,REV!$C:$AA,12,0)-'TRADE IN'!$F315))</f>
        <v>2099</v>
      </c>
      <c r="O315" s="46">
        <f>IF(VLOOKUP($C315,REV!$C:$AA,13,0)-'TRADE IN'!$F328=0,"",(VLOOKUP($C315,REV!$C:$AA,13,0)-'TRADE IN'!$F315))</f>
        <v>1999</v>
      </c>
      <c r="P315" s="46">
        <f>IF(VLOOKUP($C315,REV!$C:$AA,14,0)-'TRADE IN'!$F328=0,"",(VLOOKUP($C315,REV!$C:$AA,14,0)-'TRADE IN'!$F315))</f>
        <v>1899</v>
      </c>
      <c r="Q315" s="46">
        <f>IF(VLOOKUP($C315,REV!$C:$AA,15,0)-'TRADE IN'!$F328=0,"",(VLOOKUP($C315,REV!$C:$AA,15,0)-'TRADE IN'!$F315))</f>
        <v>1799</v>
      </c>
      <c r="R315" s="46">
        <f>IF(VLOOKUP($C315,REV!$C:$AA,16,0)-'TRADE IN'!$F328=0,"",(VLOOKUP($C315,REV!$C:$AA,16,0)-'TRADE IN'!$F315))</f>
        <v>1999</v>
      </c>
      <c r="S315" s="46">
        <f>IF(VLOOKUP($C315,REV!$C:$AA,17,0)-'TRADE IN'!$F328=0,"",(VLOOKUP($C315,REV!$C:$AA,17,0)-'TRADE IN'!$F315))</f>
        <v>1899</v>
      </c>
      <c r="T315" s="46">
        <f>IF(VLOOKUP($C315,REV!$C:$AA,18,0)-'TRADE IN'!$F328=0,"",(VLOOKUP($C315,REV!$C:$AA,18,0)-'TRADE IN'!$F315))</f>
        <v>1799</v>
      </c>
      <c r="U315" s="46">
        <f>IF(VLOOKUP($C315,REV!$C:$AA,19,0)-'TRADE IN'!$F328=0,"",(VLOOKUP($C315,REV!$C:$AA,19,0)-'TRADE IN'!$F315))</f>
        <v>1799</v>
      </c>
      <c r="V315" s="46">
        <f>IF(VLOOKUP($C315,REV!$C:$AA,20,0)-'TRADE IN'!$F328=0,"",(VLOOKUP($C315,REV!$C:$AA,20,0)-'TRADE IN'!$F315))</f>
        <v>1799</v>
      </c>
      <c r="W315" s="46">
        <f>IF(VLOOKUP($C315,REV!$C:$AA,21,0)-'TRADE IN'!$F328=0,"",(VLOOKUP($C315,REV!$C:$AA,21,0)-'TRADE IN'!$F315))</f>
        <v>1799</v>
      </c>
      <c r="X315" s="46">
        <f>IF(VLOOKUP($C315,REV!$C:$AA,22,0)-'TRADE IN'!$F328=0,"",(VLOOKUP($C315,REV!$C:$AA,22,0)-'TRADE IN'!$F315))</f>
        <v>1699</v>
      </c>
      <c r="Y315" s="46">
        <f>IF(VLOOKUP($C315,REV!$C:$AA,23,0)-'TRADE IN'!$F328=0,"",(VLOOKUP($C315,REV!$C:$AA,23,0)-'TRADE IN'!$F315))</f>
        <v>1499</v>
      </c>
      <c r="Z315" s="46">
        <f>IF(VLOOKUP($C315,REV!$C:$AA,24,0)-'TRADE IN'!$F328=0,"",(VLOOKUP($C315,REV!$C:$AA,24,0)-'TRADE IN'!$F315))</f>
        <v>1499</v>
      </c>
      <c r="AA315" s="46">
        <f>IF(VLOOKUP($C315,REV!$C:$AA,25,0)-'TRADE IN'!$F328=0,"",(VLOOKUP($C315,REV!$C:$AA,25,0)-'TRADE IN'!$F315))</f>
        <v>1499</v>
      </c>
      <c r="AB315" s="46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tr">
        <f>IF(REV!AW315=0,"",REV!AW315)</f>
        <v>31.03.2026</v>
      </c>
      <c r="AX315" s="159" t="s">
        <v>82</v>
      </c>
    </row>
    <row r="316" spans="1:50" ht="21.75" customHeight="1">
      <c r="A316" s="50" t="s">
        <v>61</v>
      </c>
      <c r="B316" s="41" t="s">
        <v>62</v>
      </c>
      <c r="C316" s="42">
        <v>4017687</v>
      </c>
      <c r="D316" s="44" t="s">
        <v>469</v>
      </c>
      <c r="E316" s="44" t="s">
        <v>471</v>
      </c>
      <c r="F316" s="45"/>
      <c r="G316" s="45"/>
      <c r="H316" s="45"/>
      <c r="I316" s="45"/>
      <c r="J316" s="46">
        <f>IF(VLOOKUP($C316,REV!$C:$AA,8,0)-'TRADE IN'!$F316=0,"",(VLOOKUP($C316,REV!$C:$AA,8,0)-'TRADE IN'!$F316))</f>
        <v>2099</v>
      </c>
      <c r="K316" s="46">
        <f>IF(VLOOKUP($C316,REV!$C:$AA,9,0)-'TRADE IN'!$F316=0,"",(VLOOKUP($C316,REV!$C:$AA,9,0)-'TRADE IN'!$F316))</f>
        <v>2099</v>
      </c>
      <c r="L316" s="46">
        <f>IF(VLOOKUP($C316,REV!$C:$AA,10,0)-'TRADE IN'!$F329=0,"",(VLOOKUP($C316,REV!$C:$AA,10,0)-'TRADE IN'!$F316))</f>
        <v>2099</v>
      </c>
      <c r="M316" s="46">
        <f>IF(VLOOKUP($C316,REV!$C:$AA,11,0)-'TRADE IN'!$F329=0,"",(VLOOKUP($C316,REV!$C:$AA,11,0)-'TRADE IN'!$F316))</f>
        <v>2099</v>
      </c>
      <c r="N316" s="46">
        <f>IF(VLOOKUP($C316,REV!$C:$AA,12,0)-'TRADE IN'!$F329=0,"",(VLOOKUP($C316,REV!$C:$AA,12,0)-'TRADE IN'!$F316))</f>
        <v>2099</v>
      </c>
      <c r="O316" s="46">
        <f>IF(VLOOKUP($C316,REV!$C:$AA,13,0)-'TRADE IN'!$F329=0,"",(VLOOKUP($C316,REV!$C:$AA,13,0)-'TRADE IN'!$F316))</f>
        <v>1999</v>
      </c>
      <c r="P316" s="46">
        <f>IF(VLOOKUP($C316,REV!$C:$AA,14,0)-'TRADE IN'!$F329=0,"",(VLOOKUP($C316,REV!$C:$AA,14,0)-'TRADE IN'!$F316))</f>
        <v>1899</v>
      </c>
      <c r="Q316" s="46">
        <f>IF(VLOOKUP($C316,REV!$C:$AA,15,0)-'TRADE IN'!$F329=0,"",(VLOOKUP($C316,REV!$C:$AA,15,0)-'TRADE IN'!$F316))</f>
        <v>1799</v>
      </c>
      <c r="R316" s="46">
        <f>IF(VLOOKUP($C316,REV!$C:$AA,16,0)-'TRADE IN'!$F329=0,"",(VLOOKUP($C316,REV!$C:$AA,16,0)-'TRADE IN'!$F316))</f>
        <v>1999</v>
      </c>
      <c r="S316" s="46">
        <f>IF(VLOOKUP($C316,REV!$C:$AA,17,0)-'TRADE IN'!$F329=0,"",(VLOOKUP($C316,REV!$C:$AA,17,0)-'TRADE IN'!$F316))</f>
        <v>1899</v>
      </c>
      <c r="T316" s="46">
        <f>IF(VLOOKUP($C316,REV!$C:$AA,18,0)-'TRADE IN'!$F329=0,"",(VLOOKUP($C316,REV!$C:$AA,18,0)-'TRADE IN'!$F316))</f>
        <v>1799</v>
      </c>
      <c r="U316" s="46">
        <f>IF(VLOOKUP($C316,REV!$C:$AA,19,0)-'TRADE IN'!$F329=0,"",(VLOOKUP($C316,REV!$C:$AA,19,0)-'TRADE IN'!$F316))</f>
        <v>1799</v>
      </c>
      <c r="V316" s="46">
        <f>IF(VLOOKUP($C316,REV!$C:$AA,20,0)-'TRADE IN'!$F329=0,"",(VLOOKUP($C316,REV!$C:$AA,20,0)-'TRADE IN'!$F316))</f>
        <v>1799</v>
      </c>
      <c r="W316" s="46">
        <f>IF(VLOOKUP($C316,REV!$C:$AA,21,0)-'TRADE IN'!$F329=0,"",(VLOOKUP($C316,REV!$C:$AA,21,0)-'TRADE IN'!$F316))</f>
        <v>1799</v>
      </c>
      <c r="X316" s="46">
        <f>IF(VLOOKUP($C316,REV!$C:$AA,22,0)-'TRADE IN'!$F329=0,"",(VLOOKUP($C316,REV!$C:$AA,22,0)-'TRADE IN'!$F316))</f>
        <v>1699</v>
      </c>
      <c r="Y316" s="46">
        <f>IF(VLOOKUP($C316,REV!$C:$AA,23,0)-'TRADE IN'!$F329=0,"",(VLOOKUP($C316,REV!$C:$AA,23,0)-'TRADE IN'!$F316))</f>
        <v>1499</v>
      </c>
      <c r="Z316" s="46">
        <f>IF(VLOOKUP($C316,REV!$C:$AA,24,0)-'TRADE IN'!$F329=0,"",(VLOOKUP($C316,REV!$C:$AA,24,0)-'TRADE IN'!$F316))</f>
        <v>1499</v>
      </c>
      <c r="AA316" s="46">
        <f>IF(VLOOKUP($C316,REV!$C:$AA,25,0)-'TRADE IN'!$F329=0,"",(VLOOKUP($C316,REV!$C:$AA,25,0)-'TRADE IN'!$F316))</f>
        <v>1499</v>
      </c>
      <c r="AB316" s="46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tr">
        <f>IF(REV!AW316=0,"",REV!AW316)</f>
        <v>31.03.2026</v>
      </c>
      <c r="AX316" s="159" t="s">
        <v>82</v>
      </c>
    </row>
    <row r="317" spans="1:50" ht="22" customHeight="1">
      <c r="A317" s="50" t="s">
        <v>61</v>
      </c>
      <c r="B317" s="41" t="s">
        <v>62</v>
      </c>
      <c r="C317" s="42">
        <v>4014518</v>
      </c>
      <c r="D317" s="44" t="s">
        <v>472</v>
      </c>
      <c r="E317" s="44" t="s">
        <v>473</v>
      </c>
      <c r="F317" s="45"/>
      <c r="G317" s="45"/>
      <c r="H317" s="45"/>
      <c r="I317" s="45"/>
      <c r="J317" s="46">
        <f>IF(VLOOKUP($C317,REV!$C:$AA,8,0)-'TRADE IN'!$F317=0,"",(VLOOKUP($C317,REV!$C:$AA,8,0)-'TRADE IN'!$F317))</f>
        <v>499</v>
      </c>
      <c r="K317" s="46">
        <f>IF(VLOOKUP($C317,REV!$C:$AA,9,0)-'TRADE IN'!$F317=0,"",(VLOOKUP($C317,REV!$C:$AA,9,0)-'TRADE IN'!$F317))</f>
        <v>499</v>
      </c>
      <c r="L317" s="46">
        <f>IF(VLOOKUP($C317,REV!$C:$AA,10,0)-'TRADE IN'!$F328=0,"",(VLOOKUP($C317,REV!$C:$AA,10,0)-'TRADE IN'!$F317))</f>
        <v>499</v>
      </c>
      <c r="M317" s="46">
        <f>IF(VLOOKUP($C317,REV!$C:$AA,11,0)-'TRADE IN'!$F328=0,"",(VLOOKUP($C317,REV!$C:$AA,11,0)-'TRADE IN'!$F317))</f>
        <v>499</v>
      </c>
      <c r="N317" s="46">
        <f>IF(VLOOKUP($C317,REV!$C:$AA,12,0)-'TRADE IN'!$F328=0,"",(VLOOKUP($C317,REV!$C:$AA,12,0)-'TRADE IN'!$F317))</f>
        <v>499</v>
      </c>
      <c r="O317" s="46">
        <f>IF(VLOOKUP($C317,REV!$C:$AA,13,0)-'TRADE IN'!$F328=0,"",(VLOOKUP($C317,REV!$C:$AA,13,0)-'TRADE IN'!$F317))</f>
        <v>449</v>
      </c>
      <c r="P317" s="46">
        <f>IF(VLOOKUP($C317,REV!$C:$AA,14,0)-'TRADE IN'!$F328=0,"",(VLOOKUP($C317,REV!$C:$AA,14,0)-'TRADE IN'!$F317))</f>
        <v>399</v>
      </c>
      <c r="Q317" s="46">
        <f>IF(VLOOKUP($C317,REV!$C:$AA,15,0)-'TRADE IN'!$F328=0,"",(VLOOKUP($C317,REV!$C:$AA,15,0)-'TRADE IN'!$F317))</f>
        <v>299</v>
      </c>
      <c r="R317" s="46">
        <f>IF(VLOOKUP($C317,REV!$C:$AA,16,0)-'TRADE IN'!$F328=0,"",(VLOOKUP($C317,REV!$C:$AA,16,0)-'TRADE IN'!$F317))</f>
        <v>449</v>
      </c>
      <c r="S317" s="46">
        <f>IF(VLOOKUP($C317,REV!$C:$AA,17,0)-'TRADE IN'!$F328=0,"",(VLOOKUP($C317,REV!$C:$AA,17,0)-'TRADE IN'!$F317))</f>
        <v>399</v>
      </c>
      <c r="T317" s="46">
        <f>IF(VLOOKUP($C317,REV!$C:$AA,18,0)-'TRADE IN'!$F328=0,"",(VLOOKUP($C317,REV!$C:$AA,18,0)-'TRADE IN'!$F317))</f>
        <v>299</v>
      </c>
      <c r="U317" s="46">
        <f>IF(VLOOKUP($C317,REV!$C:$AA,19,0)-'TRADE IN'!$F328=0,"",(VLOOKUP($C317,REV!$C:$AA,19,0)-'TRADE IN'!$F317))</f>
        <v>299</v>
      </c>
      <c r="V317" s="46">
        <f>IF(VLOOKUP($C317,REV!$C:$AA,20,0)-'TRADE IN'!$F328=0,"",(VLOOKUP($C317,REV!$C:$AA,20,0)-'TRADE IN'!$F317))</f>
        <v>299</v>
      </c>
      <c r="W317" s="46">
        <f>IF(VLOOKUP($C317,REV!$C:$AA,21,0)-'TRADE IN'!$F328=0,"",(VLOOKUP($C317,REV!$C:$AA,21,0)-'TRADE IN'!$F317))</f>
        <v>299</v>
      </c>
      <c r="X317" s="46">
        <f>IF(VLOOKUP($C317,REV!$C:$AA,22,0)-'TRADE IN'!$F328=0,"",(VLOOKUP($C317,REV!$C:$AA,22,0)-'TRADE IN'!$F317))</f>
        <v>299</v>
      </c>
      <c r="Y317" s="46">
        <f>IF(VLOOKUP($C317,REV!$C:$AA,23,0)-'TRADE IN'!$F328=0,"",(VLOOKUP($C317,REV!$C:$AA,23,0)-'TRADE IN'!$F317))</f>
        <v>299</v>
      </c>
      <c r="Z317" s="46">
        <f>IF(VLOOKUP($C317,REV!$C:$AA,24,0)-'TRADE IN'!$F328=0,"",(VLOOKUP($C317,REV!$C:$AA,24,0)-'TRADE IN'!$F317))</f>
        <v>299</v>
      </c>
      <c r="AA317" s="46">
        <f>IF(VLOOKUP($C317,REV!$C:$AA,25,0)-'TRADE IN'!$F328=0,"",(VLOOKUP($C317,REV!$C:$AA,25,0)-'TRADE IN'!$F317))</f>
        <v>299</v>
      </c>
      <c r="AB317" s="46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tr">
        <f>IF(REV!AW317=0,"",REV!AW317)</f>
        <v>31.03.2026</v>
      </c>
      <c r="AX317" s="159" t="s">
        <v>82</v>
      </c>
    </row>
    <row r="318" spans="1:50" ht="22" customHeight="1">
      <c r="A318" s="50" t="s">
        <v>61</v>
      </c>
      <c r="B318" s="41" t="s">
        <v>62</v>
      </c>
      <c r="C318" s="42">
        <v>4016652</v>
      </c>
      <c r="D318" s="44" t="s">
        <v>474</v>
      </c>
      <c r="E318" s="44" t="s">
        <v>475</v>
      </c>
      <c r="F318" s="45"/>
      <c r="G318" s="45"/>
      <c r="H318" s="45"/>
      <c r="I318" s="45"/>
      <c r="J318" s="46">
        <f>IF(VLOOKUP($C318,REV!$C:$AA,8,0)-'TRADE IN'!$F318=0,"",(VLOOKUP($C318,REV!$C:$AA,8,0)-'TRADE IN'!$F318))</f>
        <v>1699</v>
      </c>
      <c r="K318" s="46">
        <f>IF(VLOOKUP($C318,REV!$C:$AA,9,0)-'TRADE IN'!$F318=0,"",(VLOOKUP($C318,REV!$C:$AA,9,0)-'TRADE IN'!$F318))</f>
        <v>1699</v>
      </c>
      <c r="L318" s="46">
        <f>IF(VLOOKUP($C318,REV!$C:$AA,10,0)-'TRADE IN'!$F329=0,"",(VLOOKUP($C318,REV!$C:$AA,10,0)-'TRADE IN'!$F318))</f>
        <v>1699</v>
      </c>
      <c r="M318" s="46">
        <f>IF(VLOOKUP($C318,REV!$C:$AA,11,0)-'TRADE IN'!$F329=0,"",(VLOOKUP($C318,REV!$C:$AA,11,0)-'TRADE IN'!$F318))</f>
        <v>1699</v>
      </c>
      <c r="N318" s="46">
        <f>IF(VLOOKUP($C318,REV!$C:$AA,12,0)-'TRADE IN'!$F329=0,"",(VLOOKUP($C318,REV!$C:$AA,12,0)-'TRADE IN'!$F318))</f>
        <v>1699</v>
      </c>
      <c r="O318" s="46">
        <f>IF(VLOOKUP($C318,REV!$C:$AA,13,0)-'TRADE IN'!$F329=0,"",(VLOOKUP($C318,REV!$C:$AA,13,0)-'TRADE IN'!$F318))</f>
        <v>1599</v>
      </c>
      <c r="P318" s="46">
        <f>IF(VLOOKUP($C318,REV!$C:$AA,14,0)-'TRADE IN'!$F329=0,"",(VLOOKUP($C318,REV!$C:$AA,14,0)-'TRADE IN'!$F318))</f>
        <v>1499</v>
      </c>
      <c r="Q318" s="46">
        <f>IF(VLOOKUP($C318,REV!$C:$AA,15,0)-'TRADE IN'!$F329=0,"",(VLOOKUP($C318,REV!$C:$AA,15,0)-'TRADE IN'!$F318))</f>
        <v>999</v>
      </c>
      <c r="R318" s="46">
        <f>IF(VLOOKUP($C318,REV!$C:$AA,16,0)-'TRADE IN'!$F329=0,"",(VLOOKUP($C318,REV!$C:$AA,16,0)-'TRADE IN'!$F318))</f>
        <v>1599</v>
      </c>
      <c r="S318" s="46">
        <f>IF(VLOOKUP($C318,REV!$C:$AA,17,0)-'TRADE IN'!$F329=0,"",(VLOOKUP($C318,REV!$C:$AA,17,0)-'TRADE IN'!$F318))</f>
        <v>1499</v>
      </c>
      <c r="T318" s="46">
        <f>IF(VLOOKUP($C318,REV!$C:$AA,18,0)-'TRADE IN'!$F329=0,"",(VLOOKUP($C318,REV!$C:$AA,18,0)-'TRADE IN'!$F318))</f>
        <v>999</v>
      </c>
      <c r="U318" s="46">
        <f>IF(VLOOKUP($C318,REV!$C:$AA,19,0)-'TRADE IN'!$F329=0,"",(VLOOKUP($C318,REV!$C:$AA,19,0)-'TRADE IN'!$F318))</f>
        <v>999</v>
      </c>
      <c r="V318" s="46">
        <f>IF(VLOOKUP($C318,REV!$C:$AA,20,0)-'TRADE IN'!$F329=0,"",(VLOOKUP($C318,REV!$C:$AA,20,0)-'TRADE IN'!$F318))</f>
        <v>999</v>
      </c>
      <c r="W318" s="46">
        <f>IF(VLOOKUP($C318,REV!$C:$AA,21,0)-'TRADE IN'!$F329=0,"",(VLOOKUP($C318,REV!$C:$AA,21,0)-'TRADE IN'!$F318))</f>
        <v>999</v>
      </c>
      <c r="X318" s="46">
        <f>IF(VLOOKUP($C318,REV!$C:$AA,22,0)-'TRADE IN'!$F329=0,"",(VLOOKUP($C318,REV!$C:$AA,22,0)-'TRADE IN'!$F318))</f>
        <v>999</v>
      </c>
      <c r="Y318" s="46">
        <f>IF(VLOOKUP($C318,REV!$C:$AA,23,0)-'TRADE IN'!$F329=0,"",(VLOOKUP($C318,REV!$C:$AA,23,0)-'TRADE IN'!$F318))</f>
        <v>899</v>
      </c>
      <c r="Z318" s="46">
        <f>IF(VLOOKUP($C318,REV!$C:$AA,24,0)-'TRADE IN'!$F329=0,"",(VLOOKUP($C318,REV!$C:$AA,24,0)-'TRADE IN'!$F318))</f>
        <v>899</v>
      </c>
      <c r="AA318" s="46">
        <f>IF(VLOOKUP($C318,REV!$C:$AA,25,0)-'TRADE IN'!$F329=0,"",(VLOOKUP($C318,REV!$C:$AA,25,0)-'TRADE IN'!$F318))</f>
        <v>899</v>
      </c>
      <c r="AB318" s="46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tr">
        <f>IF(REV!AW318=0,"",REV!AW318)</f>
        <v>31.03.2026</v>
      </c>
      <c r="AX318" s="159" t="s">
        <v>82</v>
      </c>
    </row>
    <row r="319" spans="1:50" ht="22" customHeight="1">
      <c r="A319" s="50" t="s">
        <v>61</v>
      </c>
      <c r="B319" s="41" t="s">
        <v>62</v>
      </c>
      <c r="C319" s="42">
        <v>4016654</v>
      </c>
      <c r="D319" s="44" t="s">
        <v>474</v>
      </c>
      <c r="E319" s="44" t="s">
        <v>476</v>
      </c>
      <c r="F319" s="45"/>
      <c r="G319" s="45"/>
      <c r="H319" s="45"/>
      <c r="I319" s="45"/>
      <c r="J319" s="46">
        <f>IF(VLOOKUP($C319,REV!$C:$AA,8,0)-'TRADE IN'!$F319=0,"",(VLOOKUP($C319,REV!$C:$AA,8,0)-'TRADE IN'!$F319))</f>
        <v>1699</v>
      </c>
      <c r="K319" s="46">
        <f>IF(VLOOKUP($C319,REV!$C:$AA,9,0)-'TRADE IN'!$F319=0,"",(VLOOKUP($C319,REV!$C:$AA,9,0)-'TRADE IN'!$F319))</f>
        <v>1699</v>
      </c>
      <c r="L319" s="46">
        <f>IF(VLOOKUP($C319,REV!$C:$AA,10,0)-'TRADE IN'!$F330=0,"",(VLOOKUP($C319,REV!$C:$AA,10,0)-'TRADE IN'!$F319))</f>
        <v>1699</v>
      </c>
      <c r="M319" s="46">
        <f>IF(VLOOKUP($C319,REV!$C:$AA,11,0)-'TRADE IN'!$F330=0,"",(VLOOKUP($C319,REV!$C:$AA,11,0)-'TRADE IN'!$F319))</f>
        <v>1699</v>
      </c>
      <c r="N319" s="46">
        <f>IF(VLOOKUP($C319,REV!$C:$AA,12,0)-'TRADE IN'!$F330=0,"",(VLOOKUP($C319,REV!$C:$AA,12,0)-'TRADE IN'!$F319))</f>
        <v>1699</v>
      </c>
      <c r="O319" s="46">
        <f>IF(VLOOKUP($C319,REV!$C:$AA,13,0)-'TRADE IN'!$F330=0,"",(VLOOKUP($C319,REV!$C:$AA,13,0)-'TRADE IN'!$F319))</f>
        <v>1599</v>
      </c>
      <c r="P319" s="46">
        <f>IF(VLOOKUP($C319,REV!$C:$AA,14,0)-'TRADE IN'!$F330=0,"",(VLOOKUP($C319,REV!$C:$AA,14,0)-'TRADE IN'!$F319))</f>
        <v>1499</v>
      </c>
      <c r="Q319" s="46">
        <f>IF(VLOOKUP($C319,REV!$C:$AA,15,0)-'TRADE IN'!$F330=0,"",(VLOOKUP($C319,REV!$C:$AA,15,0)-'TRADE IN'!$F319))</f>
        <v>999</v>
      </c>
      <c r="R319" s="46">
        <f>IF(VLOOKUP($C319,REV!$C:$AA,16,0)-'TRADE IN'!$F330=0,"",(VLOOKUP($C319,REV!$C:$AA,16,0)-'TRADE IN'!$F319))</f>
        <v>1599</v>
      </c>
      <c r="S319" s="46">
        <f>IF(VLOOKUP($C319,REV!$C:$AA,17,0)-'TRADE IN'!$F330=0,"",(VLOOKUP($C319,REV!$C:$AA,17,0)-'TRADE IN'!$F319))</f>
        <v>1499</v>
      </c>
      <c r="T319" s="46">
        <f>IF(VLOOKUP($C319,REV!$C:$AA,18,0)-'TRADE IN'!$F330=0,"",(VLOOKUP($C319,REV!$C:$AA,18,0)-'TRADE IN'!$F319))</f>
        <v>999</v>
      </c>
      <c r="U319" s="46">
        <f>IF(VLOOKUP($C319,REV!$C:$AA,19,0)-'TRADE IN'!$F330=0,"",(VLOOKUP($C319,REV!$C:$AA,19,0)-'TRADE IN'!$F319))</f>
        <v>999</v>
      </c>
      <c r="V319" s="46">
        <f>IF(VLOOKUP($C319,REV!$C:$AA,20,0)-'TRADE IN'!$F330=0,"",(VLOOKUP($C319,REV!$C:$AA,20,0)-'TRADE IN'!$F319))</f>
        <v>999</v>
      </c>
      <c r="W319" s="46">
        <f>IF(VLOOKUP($C319,REV!$C:$AA,21,0)-'TRADE IN'!$F330=0,"",(VLOOKUP($C319,REV!$C:$AA,21,0)-'TRADE IN'!$F319))</f>
        <v>999</v>
      </c>
      <c r="X319" s="46">
        <f>IF(VLOOKUP($C319,REV!$C:$AA,22,0)-'TRADE IN'!$F330=0,"",(VLOOKUP($C319,REV!$C:$AA,22,0)-'TRADE IN'!$F319))</f>
        <v>999</v>
      </c>
      <c r="Y319" s="46">
        <f>IF(VLOOKUP($C319,REV!$C:$AA,23,0)-'TRADE IN'!$F330=0,"",(VLOOKUP($C319,REV!$C:$AA,23,0)-'TRADE IN'!$F319))</f>
        <v>899</v>
      </c>
      <c r="Z319" s="46">
        <f>IF(VLOOKUP($C319,REV!$C:$AA,24,0)-'TRADE IN'!$F330=0,"",(VLOOKUP($C319,REV!$C:$AA,24,0)-'TRADE IN'!$F319))</f>
        <v>899</v>
      </c>
      <c r="AA319" s="46">
        <f>IF(VLOOKUP($C319,REV!$C:$AA,25,0)-'TRADE IN'!$F330=0,"",(VLOOKUP($C319,REV!$C:$AA,25,0)-'TRADE IN'!$F319))</f>
        <v>899</v>
      </c>
      <c r="AB319" s="46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tr">
        <f>IF(REV!AW319=0,"",REV!AW319)</f>
        <v>31.03.2026</v>
      </c>
      <c r="AX319" s="159" t="s">
        <v>82</v>
      </c>
    </row>
    <row r="320" spans="1:50" ht="22" customHeight="1">
      <c r="A320" s="50" t="s">
        <v>61</v>
      </c>
      <c r="B320" s="41" t="s">
        <v>62</v>
      </c>
      <c r="C320" s="42">
        <v>4014955</v>
      </c>
      <c r="D320" s="44" t="s">
        <v>477</v>
      </c>
      <c r="E320" s="44" t="s">
        <v>478</v>
      </c>
      <c r="F320" s="45"/>
      <c r="G320" s="45"/>
      <c r="H320" s="45"/>
      <c r="I320" s="45"/>
      <c r="J320" s="46">
        <f>IF(VLOOKUP($C320,REV!$C:$AA,8,0)-'TRADE IN'!$F320=0,"",(VLOOKUP($C320,REV!$C:$AA,8,0)-'TRADE IN'!$F320))</f>
        <v>699</v>
      </c>
      <c r="K320" s="46">
        <f>IF(VLOOKUP($C320,REV!$C:$AA,9,0)-'TRADE IN'!$F320=0,"",(VLOOKUP($C320,REV!$C:$AA,9,0)-'TRADE IN'!$F320))</f>
        <v>699</v>
      </c>
      <c r="L320" s="46">
        <f>IF(VLOOKUP($C320,REV!$C:$AA,10,0)-'TRADE IN'!$F332=0,"",(VLOOKUP($C320,REV!$C:$AA,10,0)-'TRADE IN'!$F320))</f>
        <v>699</v>
      </c>
      <c r="M320" s="46">
        <f>IF(VLOOKUP($C320,REV!$C:$AA,11,0)-'TRADE IN'!$F332=0,"",(VLOOKUP($C320,REV!$C:$AA,11,0)-'TRADE IN'!$F320))</f>
        <v>699</v>
      </c>
      <c r="N320" s="46">
        <f>IF(VLOOKUP($C320,REV!$C:$AA,12,0)-'TRADE IN'!$F332=0,"",(VLOOKUP($C320,REV!$C:$AA,12,0)-'TRADE IN'!$F320))</f>
        <v>699</v>
      </c>
      <c r="O320" s="46">
        <f>IF(VLOOKUP($C320,REV!$C:$AA,13,0)-'TRADE IN'!$F332=0,"",(VLOOKUP($C320,REV!$C:$AA,13,0)-'TRADE IN'!$F320))</f>
        <v>649</v>
      </c>
      <c r="P320" s="46">
        <f>IF(VLOOKUP($C320,REV!$C:$AA,14,0)-'TRADE IN'!$F332=0,"",(VLOOKUP($C320,REV!$C:$AA,14,0)-'TRADE IN'!$F320))</f>
        <v>599</v>
      </c>
      <c r="Q320" s="46">
        <f>IF(VLOOKUP($C320,REV!$C:$AA,15,0)-'TRADE IN'!$F332=0,"",(VLOOKUP($C320,REV!$C:$AA,15,0)-'TRADE IN'!$F320))</f>
        <v>549</v>
      </c>
      <c r="R320" s="46">
        <f>IF(VLOOKUP($C320,REV!$C:$AA,16,0)-'TRADE IN'!$F332=0,"",(VLOOKUP($C320,REV!$C:$AA,16,0)-'TRADE IN'!$F320))</f>
        <v>649</v>
      </c>
      <c r="S320" s="46">
        <f>IF(VLOOKUP($C320,REV!$C:$AA,17,0)-'TRADE IN'!$F332=0,"",(VLOOKUP($C320,REV!$C:$AA,17,0)-'TRADE IN'!$F320))</f>
        <v>599</v>
      </c>
      <c r="T320" s="46">
        <f>IF(VLOOKUP($C320,REV!$C:$AA,18,0)-'TRADE IN'!$F332=0,"",(VLOOKUP($C320,REV!$C:$AA,18,0)-'TRADE IN'!$F320))</f>
        <v>549</v>
      </c>
      <c r="U320" s="46">
        <f>IF(VLOOKUP($C320,REV!$C:$AA,19,0)-'TRADE IN'!$F332=0,"",(VLOOKUP($C320,REV!$C:$AA,19,0)-'TRADE IN'!$F320))</f>
        <v>549</v>
      </c>
      <c r="V320" s="46">
        <f>IF(VLOOKUP($C320,REV!$C:$AA,20,0)-'TRADE IN'!$F332=0,"",(VLOOKUP($C320,REV!$C:$AA,20,0)-'TRADE IN'!$F320))</f>
        <v>549</v>
      </c>
      <c r="W320" s="46">
        <f>IF(VLOOKUP($C320,REV!$C:$AA,21,0)-'TRADE IN'!$F332=0,"",(VLOOKUP($C320,REV!$C:$AA,21,0)-'TRADE IN'!$F320))</f>
        <v>549</v>
      </c>
      <c r="X320" s="46">
        <f>IF(VLOOKUP($C320,REV!$C:$AA,22,0)-'TRADE IN'!$F332=0,"",(VLOOKUP($C320,REV!$C:$AA,22,0)-'TRADE IN'!$F320))</f>
        <v>549</v>
      </c>
      <c r="Y320" s="46">
        <f>IF(VLOOKUP($C320,REV!$C:$AA,23,0)-'TRADE IN'!$F332=0,"",(VLOOKUP($C320,REV!$C:$AA,23,0)-'TRADE IN'!$F320))</f>
        <v>549</v>
      </c>
      <c r="Z320" s="46">
        <f>IF(VLOOKUP($C320,REV!$C:$AA,24,0)-'TRADE IN'!$F332=0,"",(VLOOKUP($C320,REV!$C:$AA,24,0)-'TRADE IN'!$F320))</f>
        <v>549</v>
      </c>
      <c r="AA320" s="46">
        <f>IF(VLOOKUP($C320,REV!$C:$AA,25,0)-'TRADE IN'!$F332=0,"",(VLOOKUP($C320,REV!$C:$AA,25,0)-'TRADE IN'!$F320))</f>
        <v>549</v>
      </c>
      <c r="AB320" s="46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tr">
        <f>IF(REV!AW320=0,"",REV!AW320)</f>
        <v>31.03.2026</v>
      </c>
      <c r="AX320" s="159" t="s">
        <v>82</v>
      </c>
    </row>
    <row r="321" spans="1:50" ht="22" customHeight="1">
      <c r="A321" s="50" t="s">
        <v>61</v>
      </c>
      <c r="B321" s="41" t="s">
        <v>62</v>
      </c>
      <c r="C321" s="42">
        <v>4015669</v>
      </c>
      <c r="D321" s="44" t="s">
        <v>479</v>
      </c>
      <c r="E321" s="44" t="s">
        <v>480</v>
      </c>
      <c r="F321" s="45"/>
      <c r="G321" s="45"/>
      <c r="H321" s="45"/>
      <c r="I321" s="45"/>
      <c r="J321" s="46">
        <f>IF(VLOOKUP($C321,REV!$C:$AA,8,0)-'TRADE IN'!$F321=0,"",(VLOOKUP($C321,REV!$C:$AA,8,0)-'TRADE IN'!$F321))</f>
        <v>1299</v>
      </c>
      <c r="K321" s="46">
        <f>IF(VLOOKUP($C321,REV!$C:$AA,9,0)-'TRADE IN'!$F321=0,"",(VLOOKUP($C321,REV!$C:$AA,9,0)-'TRADE IN'!$F321))</f>
        <v>1299</v>
      </c>
      <c r="L321" s="46">
        <f>IF(VLOOKUP($C321,REV!$C:$AA,10,0)-'TRADE IN'!$F333=0,"",(VLOOKUP($C321,REV!$C:$AA,10,0)-'TRADE IN'!$F321))</f>
        <v>1199</v>
      </c>
      <c r="M321" s="46">
        <f>IF(VLOOKUP($C321,REV!$C:$AA,11,0)-'TRADE IN'!$F333=0,"",(VLOOKUP($C321,REV!$C:$AA,11,0)-'TRADE IN'!$F321))</f>
        <v>1299</v>
      </c>
      <c r="N321" s="46">
        <f>IF(VLOOKUP($C321,REV!$C:$AA,12,0)-'TRADE IN'!$F333=0,"",(VLOOKUP($C321,REV!$C:$AA,12,0)-'TRADE IN'!$F321))</f>
        <v>1199</v>
      </c>
      <c r="O321" s="46">
        <f>IF(VLOOKUP($C321,REV!$C:$AA,13,0)-'TRADE IN'!$F333=0,"",(VLOOKUP($C321,REV!$C:$AA,13,0)-'TRADE IN'!$F321))</f>
        <v>1099</v>
      </c>
      <c r="P321" s="46">
        <f>IF(VLOOKUP($C321,REV!$C:$AA,14,0)-'TRADE IN'!$F333=0,"",(VLOOKUP($C321,REV!$C:$AA,14,0)-'TRADE IN'!$F321))</f>
        <v>999</v>
      </c>
      <c r="Q321" s="46">
        <f>IF(VLOOKUP($C321,REV!$C:$AA,15,0)-'TRADE IN'!$F333=0,"",(VLOOKUP($C321,REV!$C:$AA,15,0)-'TRADE IN'!$F321))</f>
        <v>899</v>
      </c>
      <c r="R321" s="46">
        <f>IF(VLOOKUP($C321,REV!$C:$AA,16,0)-'TRADE IN'!$F333=0,"",(VLOOKUP($C321,REV!$C:$AA,16,0)-'TRADE IN'!$F321))</f>
        <v>1099</v>
      </c>
      <c r="S321" s="46">
        <f>IF(VLOOKUP($C321,REV!$C:$AA,17,0)-'TRADE IN'!$F333=0,"",(VLOOKUP($C321,REV!$C:$AA,17,0)-'TRADE IN'!$F321))</f>
        <v>999</v>
      </c>
      <c r="T321" s="46">
        <f>IF(VLOOKUP($C321,REV!$C:$AA,18,0)-'TRADE IN'!$F333=0,"",(VLOOKUP($C321,REV!$C:$AA,18,0)-'TRADE IN'!$F321))</f>
        <v>899</v>
      </c>
      <c r="U321" s="46">
        <f>IF(VLOOKUP($C321,REV!$C:$AA,19,0)-'TRADE IN'!$F333=0,"",(VLOOKUP($C321,REV!$C:$AA,19,0)-'TRADE IN'!$F321))</f>
        <v>899</v>
      </c>
      <c r="V321" s="46">
        <f>IF(VLOOKUP($C321,REV!$C:$AA,20,0)-'TRADE IN'!$F333=0,"",(VLOOKUP($C321,REV!$C:$AA,20,0)-'TRADE IN'!$F321))</f>
        <v>899</v>
      </c>
      <c r="W321" s="46">
        <f>IF(VLOOKUP($C321,REV!$C:$AA,21,0)-'TRADE IN'!$F333=0,"",(VLOOKUP($C321,REV!$C:$AA,21,0)-'TRADE IN'!$F321))</f>
        <v>899</v>
      </c>
      <c r="X321" s="46">
        <f>IF(VLOOKUP($C321,REV!$C:$AA,22,0)-'TRADE IN'!$F333=0,"",(VLOOKUP($C321,REV!$C:$AA,22,0)-'TRADE IN'!$F321))</f>
        <v>849</v>
      </c>
      <c r="Y321" s="46">
        <f>IF(VLOOKUP($C321,REV!$C:$AA,23,0)-'TRADE IN'!$F333=0,"",(VLOOKUP($C321,REV!$C:$AA,23,0)-'TRADE IN'!$F321))</f>
        <v>829</v>
      </c>
      <c r="Z321" s="46">
        <f>IF(VLOOKUP($C321,REV!$C:$AA,24,0)-'TRADE IN'!$F333=0,"",(VLOOKUP($C321,REV!$C:$AA,24,0)-'TRADE IN'!$F321))</f>
        <v>829</v>
      </c>
      <c r="AA321" s="46">
        <f>IF(VLOOKUP($C321,REV!$C:$AA,25,0)-'TRADE IN'!$F333=0,"",(VLOOKUP($C321,REV!$C:$AA,25,0)-'TRADE IN'!$F321))</f>
        <v>809</v>
      </c>
      <c r="AB321" s="46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tr">
        <f>IF(REV!AW321=0,"",REV!AW321)</f>
        <v>31.03.2026</v>
      </c>
      <c r="AX321" s="159" t="s">
        <v>82</v>
      </c>
    </row>
    <row r="322" spans="1:50" ht="22" customHeight="1">
      <c r="A322" s="50" t="s">
        <v>61</v>
      </c>
      <c r="B322" s="41" t="s">
        <v>62</v>
      </c>
      <c r="C322" s="42">
        <v>4017126</v>
      </c>
      <c r="D322" s="44" t="s">
        <v>481</v>
      </c>
      <c r="E322" s="44" t="s">
        <v>482</v>
      </c>
      <c r="F322" s="45"/>
      <c r="G322" s="45"/>
      <c r="H322" s="45"/>
      <c r="I322" s="45"/>
      <c r="J322" s="46">
        <f>IF(VLOOKUP($C322,REV!$C:$AA,8,0)-'TRADE IN'!$F322=0,"",(VLOOKUP($C322,REV!$C:$AA,8,0)-'TRADE IN'!$F322))</f>
        <v>1999</v>
      </c>
      <c r="K322" s="46">
        <f>IF(VLOOKUP($C322,REV!$C:$AA,9,0)-'TRADE IN'!$F322=0,"",(VLOOKUP($C322,REV!$C:$AA,9,0)-'TRADE IN'!$F322))</f>
        <v>1999</v>
      </c>
      <c r="L322" s="46">
        <f>IF(VLOOKUP($C322,REV!$C:$AA,10,0)-'TRADE IN'!$F334=0,"",(VLOOKUP($C322,REV!$C:$AA,10,0)-'TRADE IN'!$F322))</f>
        <v>1999</v>
      </c>
      <c r="M322" s="46">
        <f>IF(VLOOKUP($C322,REV!$C:$AA,11,0)-'TRADE IN'!$F334=0,"",(VLOOKUP($C322,REV!$C:$AA,11,0)-'TRADE IN'!$F322))</f>
        <v>1999</v>
      </c>
      <c r="N322" s="46">
        <f>IF(VLOOKUP($C322,REV!$C:$AA,12,0)-'TRADE IN'!$F334=0,"",(VLOOKUP($C322,REV!$C:$AA,12,0)-'TRADE IN'!$F322))</f>
        <v>1999</v>
      </c>
      <c r="O322" s="46">
        <f>IF(VLOOKUP($C322,REV!$C:$AA,13,0)-'TRADE IN'!$F334=0,"",(VLOOKUP($C322,REV!$C:$AA,13,0)-'TRADE IN'!$F322))</f>
        <v>1949</v>
      </c>
      <c r="P322" s="46">
        <f>IF(VLOOKUP($C322,REV!$C:$AA,14,0)-'TRADE IN'!$F334=0,"",(VLOOKUP($C322,REV!$C:$AA,14,0)-'TRADE IN'!$F322))</f>
        <v>1949</v>
      </c>
      <c r="Q322" s="46">
        <f>IF(VLOOKUP($C322,REV!$C:$AA,15,0)-'TRADE IN'!$F334=0,"",(VLOOKUP($C322,REV!$C:$AA,15,0)-'TRADE IN'!$F322))</f>
        <v>1399</v>
      </c>
      <c r="R322" s="46">
        <f>IF(VLOOKUP($C322,REV!$C:$AA,16,0)-'TRADE IN'!$F334=0,"",(VLOOKUP($C322,REV!$C:$AA,16,0)-'TRADE IN'!$F322))</f>
        <v>1949</v>
      </c>
      <c r="S322" s="46">
        <f>IF(VLOOKUP($C322,REV!$C:$AA,17,0)-'TRADE IN'!$F334=0,"",(VLOOKUP($C322,REV!$C:$AA,17,0)-'TRADE IN'!$F322))</f>
        <v>1949</v>
      </c>
      <c r="T322" s="46">
        <f>IF(VLOOKUP($C322,REV!$C:$AA,18,0)-'TRADE IN'!$F334=0,"",(VLOOKUP($C322,REV!$C:$AA,18,0)-'TRADE IN'!$F322))</f>
        <v>1399</v>
      </c>
      <c r="U322" s="46">
        <f>IF(VLOOKUP($C322,REV!$C:$AA,19,0)-'TRADE IN'!$F334=0,"",(VLOOKUP($C322,REV!$C:$AA,19,0)-'TRADE IN'!$F322))</f>
        <v>1399</v>
      </c>
      <c r="V322" s="46">
        <f>IF(VLOOKUP($C322,REV!$C:$AA,20,0)-'TRADE IN'!$F334=0,"",(VLOOKUP($C322,REV!$C:$AA,20,0)-'TRADE IN'!$F322))</f>
        <v>1399</v>
      </c>
      <c r="W322" s="46">
        <f>IF(VLOOKUP($C322,REV!$C:$AA,21,0)-'TRADE IN'!$F334=0,"",(VLOOKUP($C322,REV!$C:$AA,21,0)-'TRADE IN'!$F322))</f>
        <v>1399</v>
      </c>
      <c r="X322" s="46">
        <f>IF(VLOOKUP($C322,REV!$C:$AA,22,0)-'TRADE IN'!$F334=0,"",(VLOOKUP($C322,REV!$C:$AA,22,0)-'TRADE IN'!$F322))</f>
        <v>1349</v>
      </c>
      <c r="Y322" s="46">
        <f>IF(VLOOKUP($C322,REV!$C:$AA,23,0)-'TRADE IN'!$F334=0,"",(VLOOKUP($C322,REV!$C:$AA,23,0)-'TRADE IN'!$F322))</f>
        <v>1099</v>
      </c>
      <c r="Z322" s="46">
        <f>IF(VLOOKUP($C322,REV!$C:$AA,24,0)-'TRADE IN'!$F334=0,"",(VLOOKUP($C322,REV!$C:$AA,24,0)-'TRADE IN'!$F322))</f>
        <v>1099</v>
      </c>
      <c r="AA322" s="46">
        <f>IF(VLOOKUP($C322,REV!$C:$AA,25,0)-'TRADE IN'!$F334=0,"",(VLOOKUP($C322,REV!$C:$AA,25,0)-'TRADE IN'!$F322))</f>
        <v>1099</v>
      </c>
      <c r="AB322" s="46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tr">
        <f>IF(REV!AW322=0,"",REV!AW322)</f>
        <v>31.03.2026</v>
      </c>
      <c r="AX322" s="159" t="s">
        <v>82</v>
      </c>
    </row>
    <row r="323" spans="1:50" ht="22" customHeight="1">
      <c r="A323" s="50" t="s">
        <v>61</v>
      </c>
      <c r="B323" s="41" t="s">
        <v>62</v>
      </c>
      <c r="C323" s="42">
        <v>4017127</v>
      </c>
      <c r="D323" s="44" t="s">
        <v>481</v>
      </c>
      <c r="E323" s="44" t="s">
        <v>483</v>
      </c>
      <c r="F323" s="45"/>
      <c r="G323" s="45"/>
      <c r="H323" s="45"/>
      <c r="I323" s="45"/>
      <c r="J323" s="46">
        <f>IF(VLOOKUP($C323,REV!$C:$AA,8,0)-'TRADE IN'!$F323=0,"",(VLOOKUP($C323,REV!$C:$AA,8,0)-'TRADE IN'!$F323))</f>
        <v>1999</v>
      </c>
      <c r="K323" s="46">
        <f>IF(VLOOKUP($C323,REV!$C:$AA,9,0)-'TRADE IN'!$F323=0,"",(VLOOKUP($C323,REV!$C:$AA,9,0)-'TRADE IN'!$F323))</f>
        <v>1999</v>
      </c>
      <c r="L323" s="46">
        <f>IF(VLOOKUP($C323,REV!$C:$AA,10,0)-'TRADE IN'!$F335=0,"",(VLOOKUP($C323,REV!$C:$AA,10,0)-'TRADE IN'!$F323))</f>
        <v>1999</v>
      </c>
      <c r="M323" s="46">
        <f>IF(VLOOKUP($C323,REV!$C:$AA,11,0)-'TRADE IN'!$F335=0,"",(VLOOKUP($C323,REV!$C:$AA,11,0)-'TRADE IN'!$F323))</f>
        <v>1999</v>
      </c>
      <c r="N323" s="46">
        <f>IF(VLOOKUP($C323,REV!$C:$AA,12,0)-'TRADE IN'!$F335=0,"",(VLOOKUP($C323,REV!$C:$AA,12,0)-'TRADE IN'!$F323))</f>
        <v>1999</v>
      </c>
      <c r="O323" s="46">
        <f>IF(VLOOKUP($C323,REV!$C:$AA,13,0)-'TRADE IN'!$F335=0,"",(VLOOKUP($C323,REV!$C:$AA,13,0)-'TRADE IN'!$F323))</f>
        <v>1949</v>
      </c>
      <c r="P323" s="46">
        <f>IF(VLOOKUP($C323,REV!$C:$AA,14,0)-'TRADE IN'!$F335=0,"",(VLOOKUP($C323,REV!$C:$AA,14,0)-'TRADE IN'!$F323))</f>
        <v>1949</v>
      </c>
      <c r="Q323" s="46">
        <f>IF(VLOOKUP($C323,REV!$C:$AA,15,0)-'TRADE IN'!$F335=0,"",(VLOOKUP($C323,REV!$C:$AA,15,0)-'TRADE IN'!$F323))</f>
        <v>1399</v>
      </c>
      <c r="R323" s="46">
        <f>IF(VLOOKUP($C323,REV!$C:$AA,16,0)-'TRADE IN'!$F335=0,"",(VLOOKUP($C323,REV!$C:$AA,16,0)-'TRADE IN'!$F323))</f>
        <v>1949</v>
      </c>
      <c r="S323" s="46">
        <f>IF(VLOOKUP($C323,REV!$C:$AA,17,0)-'TRADE IN'!$F335=0,"",(VLOOKUP($C323,REV!$C:$AA,17,0)-'TRADE IN'!$F323))</f>
        <v>1949</v>
      </c>
      <c r="T323" s="46">
        <f>IF(VLOOKUP($C323,REV!$C:$AA,18,0)-'TRADE IN'!$F335=0,"",(VLOOKUP($C323,REV!$C:$AA,18,0)-'TRADE IN'!$F323))</f>
        <v>1399</v>
      </c>
      <c r="U323" s="46">
        <f>IF(VLOOKUP($C323,REV!$C:$AA,19,0)-'TRADE IN'!$F335=0,"",(VLOOKUP($C323,REV!$C:$AA,19,0)-'TRADE IN'!$F323))</f>
        <v>1399</v>
      </c>
      <c r="V323" s="46">
        <f>IF(VLOOKUP($C323,REV!$C:$AA,20,0)-'TRADE IN'!$F335=0,"",(VLOOKUP($C323,REV!$C:$AA,20,0)-'TRADE IN'!$F323))</f>
        <v>1399</v>
      </c>
      <c r="W323" s="46">
        <f>IF(VLOOKUP($C323,REV!$C:$AA,21,0)-'TRADE IN'!$F335=0,"",(VLOOKUP($C323,REV!$C:$AA,21,0)-'TRADE IN'!$F323))</f>
        <v>1399</v>
      </c>
      <c r="X323" s="46">
        <f>IF(VLOOKUP($C323,REV!$C:$AA,22,0)-'TRADE IN'!$F335=0,"",(VLOOKUP($C323,REV!$C:$AA,22,0)-'TRADE IN'!$F323))</f>
        <v>1349</v>
      </c>
      <c r="Y323" s="46">
        <f>IF(VLOOKUP($C323,REV!$C:$AA,23,0)-'TRADE IN'!$F335=0,"",(VLOOKUP($C323,REV!$C:$AA,23,0)-'TRADE IN'!$F323))</f>
        <v>1099</v>
      </c>
      <c r="Z323" s="46">
        <f>IF(VLOOKUP($C323,REV!$C:$AA,24,0)-'TRADE IN'!$F335=0,"",(VLOOKUP($C323,REV!$C:$AA,24,0)-'TRADE IN'!$F323))</f>
        <v>1099</v>
      </c>
      <c r="AA323" s="46">
        <f>IF(VLOOKUP($C323,REV!$C:$AA,25,0)-'TRADE IN'!$F335=0,"",(VLOOKUP($C323,REV!$C:$AA,25,0)-'TRADE IN'!$F323))</f>
        <v>1099</v>
      </c>
      <c r="AB323" s="46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tr">
        <f>IF(REV!AW323=0,"",REV!AW323)</f>
        <v>31.03.2026</v>
      </c>
      <c r="AX323" s="159" t="s">
        <v>82</v>
      </c>
    </row>
    <row r="324" spans="1:50" ht="22" customHeight="1">
      <c r="A324" s="50" t="s">
        <v>61</v>
      </c>
      <c r="B324" s="41" t="s">
        <v>62</v>
      </c>
      <c r="C324" s="42">
        <v>4017672</v>
      </c>
      <c r="D324" s="44" t="s">
        <v>481</v>
      </c>
      <c r="E324" s="44" t="s">
        <v>484</v>
      </c>
      <c r="F324" s="45"/>
      <c r="G324" s="45"/>
      <c r="H324" s="45"/>
      <c r="I324" s="45"/>
      <c r="J324" s="46">
        <f>IF(VLOOKUP($C324,REV!$C:$AA,8,0)-'TRADE IN'!$F324=0,"",(VLOOKUP($C324,REV!$C:$AA,8,0)-'TRADE IN'!$F324))</f>
        <v>1999</v>
      </c>
      <c r="K324" s="46">
        <f>IF(VLOOKUP($C324,REV!$C:$AA,9,0)-'TRADE IN'!$F324=0,"",(VLOOKUP($C324,REV!$C:$AA,9,0)-'TRADE IN'!$F324))</f>
        <v>1999</v>
      </c>
      <c r="L324" s="46">
        <f>IF(VLOOKUP($C324,REV!$C:$AA,10,0)-'TRADE IN'!$F336=0,"",(VLOOKUP($C324,REV!$C:$AA,10,0)-'TRADE IN'!$F324))</f>
        <v>1999</v>
      </c>
      <c r="M324" s="46">
        <f>IF(VLOOKUP($C324,REV!$C:$AA,11,0)-'TRADE IN'!$F336=0,"",(VLOOKUP($C324,REV!$C:$AA,11,0)-'TRADE IN'!$F324))</f>
        <v>1999</v>
      </c>
      <c r="N324" s="46">
        <f>IF(VLOOKUP($C324,REV!$C:$AA,12,0)-'TRADE IN'!$F336=0,"",(VLOOKUP($C324,REV!$C:$AA,12,0)-'TRADE IN'!$F324))</f>
        <v>1999</v>
      </c>
      <c r="O324" s="46">
        <f>IF(VLOOKUP($C324,REV!$C:$AA,13,0)-'TRADE IN'!$F336=0,"",(VLOOKUP($C324,REV!$C:$AA,13,0)-'TRADE IN'!$F324))</f>
        <v>1949</v>
      </c>
      <c r="P324" s="46">
        <f>IF(VLOOKUP($C324,REV!$C:$AA,14,0)-'TRADE IN'!$F336=0,"",(VLOOKUP($C324,REV!$C:$AA,14,0)-'TRADE IN'!$F324))</f>
        <v>1949</v>
      </c>
      <c r="Q324" s="46">
        <f>IF(VLOOKUP($C324,REV!$C:$AA,15,0)-'TRADE IN'!$F336=0,"",(VLOOKUP($C324,REV!$C:$AA,15,0)-'TRADE IN'!$F324))</f>
        <v>1399</v>
      </c>
      <c r="R324" s="46">
        <f>IF(VLOOKUP($C324,REV!$C:$AA,16,0)-'TRADE IN'!$F336=0,"",(VLOOKUP($C324,REV!$C:$AA,16,0)-'TRADE IN'!$F324))</f>
        <v>1949</v>
      </c>
      <c r="S324" s="46">
        <f>IF(VLOOKUP($C324,REV!$C:$AA,17,0)-'TRADE IN'!$F336=0,"",(VLOOKUP($C324,REV!$C:$AA,17,0)-'TRADE IN'!$F324))</f>
        <v>1949</v>
      </c>
      <c r="T324" s="46">
        <f>IF(VLOOKUP($C324,REV!$C:$AA,18,0)-'TRADE IN'!$F336=0,"",(VLOOKUP($C324,REV!$C:$AA,18,0)-'TRADE IN'!$F324))</f>
        <v>1399</v>
      </c>
      <c r="U324" s="46">
        <f>IF(VLOOKUP($C324,REV!$C:$AA,19,0)-'TRADE IN'!$F336=0,"",(VLOOKUP($C324,REV!$C:$AA,19,0)-'TRADE IN'!$F324))</f>
        <v>1399</v>
      </c>
      <c r="V324" s="46">
        <f>IF(VLOOKUP($C324,REV!$C:$AA,20,0)-'TRADE IN'!$F336=0,"",(VLOOKUP($C324,REV!$C:$AA,20,0)-'TRADE IN'!$F324))</f>
        <v>1399</v>
      </c>
      <c r="W324" s="46">
        <f>IF(VLOOKUP($C324,REV!$C:$AA,21,0)-'TRADE IN'!$F336=0,"",(VLOOKUP($C324,REV!$C:$AA,21,0)-'TRADE IN'!$F324))</f>
        <v>1399</v>
      </c>
      <c r="X324" s="46">
        <f>IF(VLOOKUP($C324,REV!$C:$AA,22,0)-'TRADE IN'!$F336=0,"",(VLOOKUP($C324,REV!$C:$AA,22,0)-'TRADE IN'!$F324))</f>
        <v>1349</v>
      </c>
      <c r="Y324" s="46">
        <f>IF(VLOOKUP($C324,REV!$C:$AA,23,0)-'TRADE IN'!$F336=0,"",(VLOOKUP($C324,REV!$C:$AA,23,0)-'TRADE IN'!$F324))</f>
        <v>1099</v>
      </c>
      <c r="Z324" s="46">
        <f>IF(VLOOKUP($C324,REV!$C:$AA,24,0)-'TRADE IN'!$F336=0,"",(VLOOKUP($C324,REV!$C:$AA,24,0)-'TRADE IN'!$F324))</f>
        <v>1099</v>
      </c>
      <c r="AA324" s="46">
        <f>IF(VLOOKUP($C324,REV!$C:$AA,25,0)-'TRADE IN'!$F336=0,"",(VLOOKUP($C324,REV!$C:$AA,25,0)-'TRADE IN'!$F324))</f>
        <v>1099</v>
      </c>
      <c r="AB324" s="46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tr">
        <f>IF(REV!AW324=0,"",REV!AW324)</f>
        <v>31.03.2026</v>
      </c>
      <c r="AX324" s="159" t="s">
        <v>82</v>
      </c>
    </row>
    <row r="325" spans="1:50" ht="22" customHeight="1">
      <c r="A325" s="50" t="s">
        <v>61</v>
      </c>
      <c r="B325" s="41" t="s">
        <v>62</v>
      </c>
      <c r="C325" s="42">
        <v>4017673</v>
      </c>
      <c r="D325" s="44" t="s">
        <v>481</v>
      </c>
      <c r="E325" s="44" t="s">
        <v>485</v>
      </c>
      <c r="F325" s="45"/>
      <c r="G325" s="45"/>
      <c r="H325" s="45"/>
      <c r="I325" s="45"/>
      <c r="J325" s="46">
        <f>IF(VLOOKUP($C325,REV!$C:$AA,8,0)-'TRADE IN'!$F325=0,"",(VLOOKUP($C325,REV!$C:$AA,8,0)-'TRADE IN'!$F325))</f>
        <v>1999</v>
      </c>
      <c r="K325" s="46">
        <f>IF(VLOOKUP($C325,REV!$C:$AA,9,0)-'TRADE IN'!$F325=0,"",(VLOOKUP($C325,REV!$C:$AA,9,0)-'TRADE IN'!$F325))</f>
        <v>1999</v>
      </c>
      <c r="L325" s="46">
        <f>IF(VLOOKUP($C325,REV!$C:$AA,10,0)-'TRADE IN'!$F337=0,"",(VLOOKUP($C325,REV!$C:$AA,10,0)-'TRADE IN'!$F325))</f>
        <v>1999</v>
      </c>
      <c r="M325" s="46">
        <f>IF(VLOOKUP($C325,REV!$C:$AA,11,0)-'TRADE IN'!$F337=0,"",(VLOOKUP($C325,REV!$C:$AA,11,0)-'TRADE IN'!$F325))</f>
        <v>1999</v>
      </c>
      <c r="N325" s="46">
        <f>IF(VLOOKUP($C325,REV!$C:$AA,12,0)-'TRADE IN'!$F337=0,"",(VLOOKUP($C325,REV!$C:$AA,12,0)-'TRADE IN'!$F325))</f>
        <v>1999</v>
      </c>
      <c r="O325" s="46">
        <f>IF(VLOOKUP($C325,REV!$C:$AA,13,0)-'TRADE IN'!$F337=0,"",(VLOOKUP($C325,REV!$C:$AA,13,0)-'TRADE IN'!$F325))</f>
        <v>1949</v>
      </c>
      <c r="P325" s="46">
        <f>IF(VLOOKUP($C325,REV!$C:$AA,14,0)-'TRADE IN'!$F337=0,"",(VLOOKUP($C325,REV!$C:$AA,14,0)-'TRADE IN'!$F325))</f>
        <v>1949</v>
      </c>
      <c r="Q325" s="46">
        <f>IF(VLOOKUP($C325,REV!$C:$AA,15,0)-'TRADE IN'!$F337=0,"",(VLOOKUP($C325,REV!$C:$AA,15,0)-'TRADE IN'!$F325))</f>
        <v>1399</v>
      </c>
      <c r="R325" s="46">
        <f>IF(VLOOKUP($C325,REV!$C:$AA,16,0)-'TRADE IN'!$F337=0,"",(VLOOKUP($C325,REV!$C:$AA,16,0)-'TRADE IN'!$F325))</f>
        <v>1949</v>
      </c>
      <c r="S325" s="46">
        <f>IF(VLOOKUP($C325,REV!$C:$AA,17,0)-'TRADE IN'!$F337=0,"",(VLOOKUP($C325,REV!$C:$AA,17,0)-'TRADE IN'!$F325))</f>
        <v>1949</v>
      </c>
      <c r="T325" s="46">
        <f>IF(VLOOKUP($C325,REV!$C:$AA,18,0)-'TRADE IN'!$F337=0,"",(VLOOKUP($C325,REV!$C:$AA,18,0)-'TRADE IN'!$F325))</f>
        <v>1399</v>
      </c>
      <c r="U325" s="46">
        <f>IF(VLOOKUP($C325,REV!$C:$AA,19,0)-'TRADE IN'!$F337=0,"",(VLOOKUP($C325,REV!$C:$AA,19,0)-'TRADE IN'!$F325))</f>
        <v>1399</v>
      </c>
      <c r="V325" s="46">
        <f>IF(VLOOKUP($C325,REV!$C:$AA,20,0)-'TRADE IN'!$F337=0,"",(VLOOKUP($C325,REV!$C:$AA,20,0)-'TRADE IN'!$F325))</f>
        <v>1399</v>
      </c>
      <c r="W325" s="46">
        <f>IF(VLOOKUP($C325,REV!$C:$AA,21,0)-'TRADE IN'!$F337=0,"",(VLOOKUP($C325,REV!$C:$AA,21,0)-'TRADE IN'!$F325))</f>
        <v>1399</v>
      </c>
      <c r="X325" s="46">
        <f>IF(VLOOKUP($C325,REV!$C:$AA,22,0)-'TRADE IN'!$F337=0,"",(VLOOKUP($C325,REV!$C:$AA,22,0)-'TRADE IN'!$F325))</f>
        <v>1349</v>
      </c>
      <c r="Y325" s="46">
        <f>IF(VLOOKUP($C325,REV!$C:$AA,23,0)-'TRADE IN'!$F337=0,"",(VLOOKUP($C325,REV!$C:$AA,23,0)-'TRADE IN'!$F325))</f>
        <v>1099</v>
      </c>
      <c r="Z325" s="46">
        <f>IF(VLOOKUP($C325,REV!$C:$AA,24,0)-'TRADE IN'!$F337=0,"",(VLOOKUP($C325,REV!$C:$AA,24,0)-'TRADE IN'!$F325))</f>
        <v>1099</v>
      </c>
      <c r="AA325" s="46">
        <f>IF(VLOOKUP($C325,REV!$C:$AA,25,0)-'TRADE IN'!$F337=0,"",(VLOOKUP($C325,REV!$C:$AA,25,0)-'TRADE IN'!$F325))</f>
        <v>1099</v>
      </c>
      <c r="AB325" s="46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tr">
        <f>IF(REV!AW325=0,"",REV!AW325)</f>
        <v>31.03.2026</v>
      </c>
      <c r="AX325" s="159" t="s">
        <v>82</v>
      </c>
    </row>
    <row r="326" spans="1:50" ht="22.5" customHeight="1">
      <c r="A326" s="52" t="s">
        <v>70</v>
      </c>
      <c r="B326" s="41" t="s">
        <v>62</v>
      </c>
      <c r="C326" s="42">
        <v>4015582</v>
      </c>
      <c r="D326" s="44" t="s">
        <v>486</v>
      </c>
      <c r="E326" s="44" t="s">
        <v>487</v>
      </c>
      <c r="F326" s="45"/>
      <c r="G326" s="45"/>
      <c r="H326" s="45"/>
      <c r="I326" s="45"/>
      <c r="J326" s="46">
        <f>IF(VLOOKUP($C326,REV!$C:$AA,8,0)-'TRADE IN'!$F326=0,"",(VLOOKUP($C326,REV!$C:$AA,8,0)-'TRADE IN'!$F326))</f>
        <v>2499</v>
      </c>
      <c r="K326" s="46">
        <f>IF(VLOOKUP($C326,REV!$C:$AA,9,0)-'TRADE IN'!$F326=0,"",(VLOOKUP($C326,REV!$C:$AA,9,0)-'TRADE IN'!$F326))</f>
        <v>2399</v>
      </c>
      <c r="L326" s="46">
        <f>IF(VLOOKUP($C326,REV!$C:$AA,10,0)-'TRADE IN'!$F336=0,"",(VLOOKUP($C326,REV!$C:$AA,10,0)-'TRADE IN'!$F326))</f>
        <v>2399</v>
      </c>
      <c r="M326" s="46">
        <f>IF(VLOOKUP($C326,REV!$C:$AA,11,0)-'TRADE IN'!$F336=0,"",(VLOOKUP($C326,REV!$C:$AA,11,0)-'TRADE IN'!$F326))</f>
        <v>2499</v>
      </c>
      <c r="N326" s="46">
        <f>IF(VLOOKUP($C326,REV!$C:$AA,12,0)-'TRADE IN'!$F336=0,"",(VLOOKUP($C326,REV!$C:$AA,12,0)-'TRADE IN'!$F326))</f>
        <v>2499</v>
      </c>
      <c r="O326" s="46">
        <f>IF(VLOOKUP($C326,REV!$C:$AA,13,0)-'TRADE IN'!$F336=0,"",(VLOOKUP($C326,REV!$C:$AA,13,0)-'TRADE IN'!$F326))</f>
        <v>2299</v>
      </c>
      <c r="P326" s="46">
        <f>IF(VLOOKUP($C326,REV!$C:$AA,14,0)-'TRADE IN'!$F336=0,"",(VLOOKUP($C326,REV!$C:$AA,14,0)-'TRADE IN'!$F326))</f>
        <v>2199</v>
      </c>
      <c r="Q326" s="46">
        <f>IF(VLOOKUP($C326,REV!$C:$AA,15,0)-'TRADE IN'!$F336=0,"",(VLOOKUP($C326,REV!$C:$AA,15,0)-'TRADE IN'!$F326))</f>
        <v>1699</v>
      </c>
      <c r="R326" s="46">
        <f>IF(VLOOKUP($C326,REV!$C:$AA,16,0)-'TRADE IN'!$F336=0,"",(VLOOKUP($C326,REV!$C:$AA,16,0)-'TRADE IN'!$F326))</f>
        <v>2299</v>
      </c>
      <c r="S326" s="46">
        <f>IF(VLOOKUP($C326,REV!$C:$AA,17,0)-'TRADE IN'!$F336=0,"",(VLOOKUP($C326,REV!$C:$AA,17,0)-'TRADE IN'!$F326))</f>
        <v>2199</v>
      </c>
      <c r="T326" s="46">
        <f>IF(VLOOKUP($C326,REV!$C:$AA,18,0)-'TRADE IN'!$F336=0,"",(VLOOKUP($C326,REV!$C:$AA,18,0)-'TRADE IN'!$F326))</f>
        <v>1699</v>
      </c>
      <c r="U326" s="46">
        <f>IF(VLOOKUP($C326,REV!$C:$AA,19,0)-'TRADE IN'!$F336=0,"",(VLOOKUP($C326,REV!$C:$AA,19,0)-'TRADE IN'!$F326))</f>
        <v>1699</v>
      </c>
      <c r="V326" s="46">
        <f>IF(VLOOKUP($C326,REV!$C:$AA,20,0)-'TRADE IN'!$F336=0,"",(VLOOKUP($C326,REV!$C:$AA,20,0)-'TRADE IN'!$F326))</f>
        <v>1699</v>
      </c>
      <c r="W326" s="46">
        <f>IF(VLOOKUP($C326,REV!$C:$AA,21,0)-'TRADE IN'!$F336=0,"",(VLOOKUP($C326,REV!$C:$AA,21,0)-'TRADE IN'!$F326))</f>
        <v>1699</v>
      </c>
      <c r="X326" s="46">
        <f>IF(VLOOKUP($C326,REV!$C:$AA,22,0)-'TRADE IN'!$F336=0,"",(VLOOKUP($C326,REV!$C:$AA,22,0)-'TRADE IN'!$F326))</f>
        <v>1599</v>
      </c>
      <c r="Y326" s="46">
        <f>IF(VLOOKUP($C326,REV!$C:$AA,23,0)-'TRADE IN'!$F336=0,"",(VLOOKUP($C326,REV!$C:$AA,23,0)-'TRADE IN'!$F326))</f>
        <v>1399</v>
      </c>
      <c r="Z326" s="46">
        <f>IF(VLOOKUP($C326,REV!$C:$AA,24,0)-'TRADE IN'!$F336=0,"",(VLOOKUP($C326,REV!$C:$AA,24,0)-'TRADE IN'!$F326))</f>
        <v>1399</v>
      </c>
      <c r="AA326" s="46">
        <f>IF(VLOOKUP($C326,REV!$C:$AA,25,0)-'TRADE IN'!$F336=0,"",(VLOOKUP($C326,REV!$C:$AA,25,0)-'TRADE IN'!$F326))</f>
        <v>1399</v>
      </c>
      <c r="AB326" s="46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tr">
        <f>IF(REV!AW326=0,"",REV!AW326)</f>
        <v>31.03.2026</v>
      </c>
      <c r="AX326" s="159" t="s">
        <v>82</v>
      </c>
    </row>
    <row r="327" spans="1:50" ht="22.5" customHeight="1">
      <c r="A327" s="52" t="s">
        <v>70</v>
      </c>
      <c r="B327" s="41" t="s">
        <v>62</v>
      </c>
      <c r="C327" s="42">
        <v>4015584</v>
      </c>
      <c r="D327" s="44" t="s">
        <v>486</v>
      </c>
      <c r="E327" s="44" t="s">
        <v>488</v>
      </c>
      <c r="F327" s="45"/>
      <c r="G327" s="45"/>
      <c r="H327" s="45"/>
      <c r="I327" s="45"/>
      <c r="J327" s="46">
        <f>IF(VLOOKUP($C327,REV!$C:$AA,8,0)-'TRADE IN'!$F327=0,"",(VLOOKUP($C327,REV!$C:$AA,8,0)-'TRADE IN'!$F327))</f>
        <v>2499</v>
      </c>
      <c r="K327" s="46">
        <f>IF(VLOOKUP($C327,REV!$C:$AA,9,0)-'TRADE IN'!$F327=0,"",(VLOOKUP($C327,REV!$C:$AA,9,0)-'TRADE IN'!$F327))</f>
        <v>2399</v>
      </c>
      <c r="L327" s="46">
        <f>IF(VLOOKUP($C327,REV!$C:$AA,10,0)-'TRADE IN'!$F337=0,"",(VLOOKUP($C327,REV!$C:$AA,10,0)-'TRADE IN'!$F327))</f>
        <v>2399</v>
      </c>
      <c r="M327" s="46">
        <f>IF(VLOOKUP($C327,REV!$C:$AA,11,0)-'TRADE IN'!$F337=0,"",(VLOOKUP($C327,REV!$C:$AA,11,0)-'TRADE IN'!$F327))</f>
        <v>2499</v>
      </c>
      <c r="N327" s="46">
        <f>IF(VLOOKUP($C327,REV!$C:$AA,12,0)-'TRADE IN'!$F337=0,"",(VLOOKUP($C327,REV!$C:$AA,12,0)-'TRADE IN'!$F327))</f>
        <v>2499</v>
      </c>
      <c r="O327" s="46">
        <f>IF(VLOOKUP($C327,REV!$C:$AA,13,0)-'TRADE IN'!$F337=0,"",(VLOOKUP($C327,REV!$C:$AA,13,0)-'TRADE IN'!$F327))</f>
        <v>2299</v>
      </c>
      <c r="P327" s="46">
        <f>IF(VLOOKUP($C327,REV!$C:$AA,14,0)-'TRADE IN'!$F337=0,"",(VLOOKUP($C327,REV!$C:$AA,14,0)-'TRADE IN'!$F327))</f>
        <v>2199</v>
      </c>
      <c r="Q327" s="46">
        <f>IF(VLOOKUP($C327,REV!$C:$AA,15,0)-'TRADE IN'!$F337=0,"",(VLOOKUP($C327,REV!$C:$AA,15,0)-'TRADE IN'!$F327))</f>
        <v>1699</v>
      </c>
      <c r="R327" s="46">
        <f>IF(VLOOKUP($C327,REV!$C:$AA,16,0)-'TRADE IN'!$F337=0,"",(VLOOKUP($C327,REV!$C:$AA,16,0)-'TRADE IN'!$F327))</f>
        <v>2299</v>
      </c>
      <c r="S327" s="46">
        <f>IF(VLOOKUP($C327,REV!$C:$AA,17,0)-'TRADE IN'!$F337=0,"",(VLOOKUP($C327,REV!$C:$AA,17,0)-'TRADE IN'!$F327))</f>
        <v>2199</v>
      </c>
      <c r="T327" s="46">
        <f>IF(VLOOKUP($C327,REV!$C:$AA,18,0)-'TRADE IN'!$F337=0,"",(VLOOKUP($C327,REV!$C:$AA,18,0)-'TRADE IN'!$F327))</f>
        <v>1699</v>
      </c>
      <c r="U327" s="46">
        <f>IF(VLOOKUP($C327,REV!$C:$AA,19,0)-'TRADE IN'!$F337=0,"",(VLOOKUP($C327,REV!$C:$AA,19,0)-'TRADE IN'!$F327))</f>
        <v>1699</v>
      </c>
      <c r="V327" s="46">
        <f>IF(VLOOKUP($C327,REV!$C:$AA,20,0)-'TRADE IN'!$F337=0,"",(VLOOKUP($C327,REV!$C:$AA,20,0)-'TRADE IN'!$F327))</f>
        <v>1699</v>
      </c>
      <c r="W327" s="46">
        <f>IF(VLOOKUP($C327,REV!$C:$AA,21,0)-'TRADE IN'!$F337=0,"",(VLOOKUP($C327,REV!$C:$AA,21,0)-'TRADE IN'!$F327))</f>
        <v>1699</v>
      </c>
      <c r="X327" s="46">
        <f>IF(VLOOKUP($C327,REV!$C:$AA,22,0)-'TRADE IN'!$F337=0,"",(VLOOKUP($C327,REV!$C:$AA,22,0)-'TRADE IN'!$F327))</f>
        <v>1599</v>
      </c>
      <c r="Y327" s="46">
        <f>IF(VLOOKUP($C327,REV!$C:$AA,23,0)-'TRADE IN'!$F337=0,"",(VLOOKUP($C327,REV!$C:$AA,23,0)-'TRADE IN'!$F327))</f>
        <v>1399</v>
      </c>
      <c r="Z327" s="46">
        <f>IF(VLOOKUP($C327,REV!$C:$AA,24,0)-'TRADE IN'!$F337=0,"",(VLOOKUP($C327,REV!$C:$AA,24,0)-'TRADE IN'!$F327))</f>
        <v>1399</v>
      </c>
      <c r="AA327" s="46">
        <f>IF(VLOOKUP($C327,REV!$C:$AA,25,0)-'TRADE IN'!$F337=0,"",(VLOOKUP($C327,REV!$C:$AA,25,0)-'TRADE IN'!$F327))</f>
        <v>1399</v>
      </c>
      <c r="AB327" s="46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tr">
        <f>IF(REV!AW327=0,"",REV!AW327)</f>
        <v>31.03.2026</v>
      </c>
      <c r="AX327" s="159" t="s">
        <v>82</v>
      </c>
    </row>
    <row r="328" spans="1:50" ht="22.5" customHeight="1">
      <c r="A328" s="52" t="s">
        <v>70</v>
      </c>
      <c r="B328" s="41" t="s">
        <v>62</v>
      </c>
      <c r="C328" s="42">
        <v>4015556</v>
      </c>
      <c r="D328" s="44" t="s">
        <v>489</v>
      </c>
      <c r="E328" s="44" t="s">
        <v>490</v>
      </c>
      <c r="F328" s="45"/>
      <c r="G328" s="45"/>
      <c r="H328" s="45"/>
      <c r="I328" s="45"/>
      <c r="J328" s="46">
        <f>IF(VLOOKUP($C328,REV!$C:$AA,8,0)-'TRADE IN'!$F328=0,"",(VLOOKUP($C328,REV!$C:$AA,8,0)-'TRADE IN'!$F328))</f>
        <v>3099</v>
      </c>
      <c r="K328" s="46">
        <f>IF(VLOOKUP($C328,REV!$C:$AA,9,0)-'TRADE IN'!$F328=0,"",(VLOOKUP($C328,REV!$C:$AA,9,0)-'TRADE IN'!$F328))</f>
        <v>2999</v>
      </c>
      <c r="L328" s="46">
        <f>IF(VLOOKUP($C328,REV!$C:$AA,10,0)-'TRADE IN'!$F338=0,"",(VLOOKUP($C328,REV!$C:$AA,10,0)-'TRADE IN'!$F328))</f>
        <v>2999</v>
      </c>
      <c r="M328" s="46">
        <f>IF(VLOOKUP($C328,REV!$C:$AA,11,0)-'TRADE IN'!$F338=0,"",(VLOOKUP($C328,REV!$C:$AA,11,0)-'TRADE IN'!$F328))</f>
        <v>3099</v>
      </c>
      <c r="N328" s="46">
        <f>IF(VLOOKUP($C328,REV!$C:$AA,12,0)-'TRADE IN'!$F338=0,"",(VLOOKUP($C328,REV!$C:$AA,12,0)-'TRADE IN'!$F328))</f>
        <v>3099</v>
      </c>
      <c r="O328" s="46">
        <f>IF(VLOOKUP($C328,REV!$C:$AA,13,0)-'TRADE IN'!$F338=0,"",(VLOOKUP($C328,REV!$C:$AA,13,0)-'TRADE IN'!$F328))</f>
        <v>2899</v>
      </c>
      <c r="P328" s="46">
        <f>IF(VLOOKUP($C328,REV!$C:$AA,14,0)-'TRADE IN'!$F338=0,"",(VLOOKUP($C328,REV!$C:$AA,14,0)-'TRADE IN'!$F328))</f>
        <v>2799</v>
      </c>
      <c r="Q328" s="46">
        <f>IF(VLOOKUP($C328,REV!$C:$AA,15,0)-'TRADE IN'!$F338=0,"",(VLOOKUP($C328,REV!$C:$AA,15,0)-'TRADE IN'!$F328))</f>
        <v>2599</v>
      </c>
      <c r="R328" s="46">
        <f>IF(VLOOKUP($C328,REV!$C:$AA,16,0)-'TRADE IN'!$F338=0,"",(VLOOKUP($C328,REV!$C:$AA,16,0)-'TRADE IN'!$F328))</f>
        <v>2899</v>
      </c>
      <c r="S328" s="46">
        <f>IF(VLOOKUP($C328,REV!$C:$AA,17,0)-'TRADE IN'!$F338=0,"",(VLOOKUP($C328,REV!$C:$AA,17,0)-'TRADE IN'!$F328))</f>
        <v>2799</v>
      </c>
      <c r="T328" s="46">
        <f>IF(VLOOKUP($C328,REV!$C:$AA,18,0)-'TRADE IN'!$F338=0,"",(VLOOKUP($C328,REV!$C:$AA,18,0)-'TRADE IN'!$F328))</f>
        <v>2599</v>
      </c>
      <c r="U328" s="46">
        <f>IF(VLOOKUP($C328,REV!$C:$AA,19,0)-'TRADE IN'!$F338=0,"",(VLOOKUP($C328,REV!$C:$AA,19,0)-'TRADE IN'!$F328))</f>
        <v>2599</v>
      </c>
      <c r="V328" s="46">
        <f>IF(VLOOKUP($C328,REV!$C:$AA,20,0)-'TRADE IN'!$F338=0,"",(VLOOKUP($C328,REV!$C:$AA,20,0)-'TRADE IN'!$F328))</f>
        <v>2599</v>
      </c>
      <c r="W328" s="46">
        <f>IF(VLOOKUP($C328,REV!$C:$AA,21,0)-'TRADE IN'!$F338=0,"",(VLOOKUP($C328,REV!$C:$AA,21,0)-'TRADE IN'!$F328))</f>
        <v>2599</v>
      </c>
      <c r="X328" s="46">
        <f>IF(VLOOKUP($C328,REV!$C:$AA,22,0)-'TRADE IN'!$F338=0,"",(VLOOKUP($C328,REV!$C:$AA,22,0)-'TRADE IN'!$F328))</f>
        <v>2499</v>
      </c>
      <c r="Y328" s="46">
        <f>IF(VLOOKUP($C328,REV!$C:$AA,23,0)-'TRADE IN'!$F338=0,"",(VLOOKUP($C328,REV!$C:$AA,23,0)-'TRADE IN'!$F328))</f>
        <v>2399</v>
      </c>
      <c r="Z328" s="46">
        <f>IF(VLOOKUP($C328,REV!$C:$AA,24,0)-'TRADE IN'!$F338=0,"",(VLOOKUP($C328,REV!$C:$AA,24,0)-'TRADE IN'!$F328))</f>
        <v>2399</v>
      </c>
      <c r="AA328" s="46">
        <f>IF(VLOOKUP($C328,REV!$C:$AA,25,0)-'TRADE IN'!$F338=0,"",(VLOOKUP($C328,REV!$C:$AA,25,0)-'TRADE IN'!$F328))</f>
        <v>2399</v>
      </c>
      <c r="AB328" s="46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tr">
        <f>IF(REV!AW328=0,"",REV!AW328)</f>
        <v>31.03.2026</v>
      </c>
      <c r="AX328" s="159" t="s">
        <v>82</v>
      </c>
    </row>
    <row r="329" spans="1:50" ht="22.5" customHeight="1">
      <c r="A329" s="52" t="s">
        <v>70</v>
      </c>
      <c r="B329" s="41" t="s">
        <v>62</v>
      </c>
      <c r="C329" s="42">
        <v>4016294</v>
      </c>
      <c r="D329" s="44" t="s">
        <v>491</v>
      </c>
      <c r="E329" s="44" t="s">
        <v>492</v>
      </c>
      <c r="F329" s="45"/>
      <c r="G329" s="45"/>
      <c r="H329" s="45"/>
      <c r="I329" s="45"/>
      <c r="J329" s="46">
        <f>IF(VLOOKUP($C329,REV!$C:$AA,8,0)-'TRADE IN'!$F329=0,"",(VLOOKUP($C329,REV!$C:$AA,8,0)-'TRADE IN'!$F329))</f>
        <v>4999</v>
      </c>
      <c r="K329" s="46">
        <f>IF(VLOOKUP($C329,REV!$C:$AA,9,0)-'TRADE IN'!$F329=0,"",(VLOOKUP($C329,REV!$C:$AA,9,0)-'TRADE IN'!$F329))</f>
        <v>4999</v>
      </c>
      <c r="L329" s="46">
        <f>IF(VLOOKUP($C329,REV!$C:$AA,10,0)-'TRADE IN'!$F339=0,"",(VLOOKUP($C329,REV!$C:$AA,10,0)-'TRADE IN'!$F329))</f>
        <v>4999</v>
      </c>
      <c r="M329" s="46">
        <f>IF(VLOOKUP($C329,REV!$C:$AA,11,0)-'TRADE IN'!$F339=0,"",(VLOOKUP($C329,REV!$C:$AA,11,0)-'TRADE IN'!$F329))</f>
        <v>4999</v>
      </c>
      <c r="N329" s="46">
        <f>IF(VLOOKUP($C329,REV!$C:$AA,12,0)-'TRADE IN'!$F339=0,"",(VLOOKUP($C329,REV!$C:$AA,12,0)-'TRADE IN'!$F329))</f>
        <v>4999</v>
      </c>
      <c r="O329" s="46">
        <f>IF(VLOOKUP($C329,REV!$C:$AA,13,0)-'TRADE IN'!$F339=0,"",(VLOOKUP($C329,REV!$C:$AA,13,0)-'TRADE IN'!$F329))</f>
        <v>4899</v>
      </c>
      <c r="P329" s="46">
        <f>IF(VLOOKUP($C329,REV!$C:$AA,14,0)-'TRADE IN'!$F339=0,"",(VLOOKUP($C329,REV!$C:$AA,14,0)-'TRADE IN'!$F329))</f>
        <v>4799</v>
      </c>
      <c r="Q329" s="46">
        <f>IF(VLOOKUP($C329,REV!$C:$AA,15,0)-'TRADE IN'!$F339=0,"",(VLOOKUP($C329,REV!$C:$AA,15,0)-'TRADE IN'!$F329))</f>
        <v>3599</v>
      </c>
      <c r="R329" s="46">
        <f>IF(VLOOKUP($C329,REV!$C:$AA,16,0)-'TRADE IN'!$F339=0,"",(VLOOKUP($C329,REV!$C:$AA,16,0)-'TRADE IN'!$F329))</f>
        <v>4899</v>
      </c>
      <c r="S329" s="46">
        <f>IF(VLOOKUP($C329,REV!$C:$AA,17,0)-'TRADE IN'!$F339=0,"",(VLOOKUP($C329,REV!$C:$AA,17,0)-'TRADE IN'!$F329))</f>
        <v>4799</v>
      </c>
      <c r="T329" s="46">
        <f>IF(VLOOKUP($C329,REV!$C:$AA,18,0)-'TRADE IN'!$F339=0,"",(VLOOKUP($C329,REV!$C:$AA,18,0)-'TRADE IN'!$F329))</f>
        <v>3599</v>
      </c>
      <c r="U329" s="46">
        <f>IF(VLOOKUP($C329,REV!$C:$AA,19,0)-'TRADE IN'!$F339=0,"",(VLOOKUP($C329,REV!$C:$AA,19,0)-'TRADE IN'!$F329))</f>
        <v>3599</v>
      </c>
      <c r="V329" s="46">
        <f>IF(VLOOKUP($C329,REV!$C:$AA,20,0)-'TRADE IN'!$F339=0,"",(VLOOKUP($C329,REV!$C:$AA,20,0)-'TRADE IN'!$F329))</f>
        <v>3599</v>
      </c>
      <c r="W329" s="46">
        <f>IF(VLOOKUP($C329,REV!$C:$AA,21,0)-'TRADE IN'!$F339=0,"",(VLOOKUP($C329,REV!$C:$AA,21,0)-'TRADE IN'!$F329))</f>
        <v>3599</v>
      </c>
      <c r="X329" s="46">
        <f>IF(VLOOKUP($C329,REV!$C:$AA,22,0)-'TRADE IN'!$F339=0,"",(VLOOKUP($C329,REV!$C:$AA,22,0)-'TRADE IN'!$F329))</f>
        <v>3299</v>
      </c>
      <c r="Y329" s="46">
        <f>IF(VLOOKUP($C329,REV!$C:$AA,23,0)-'TRADE IN'!$F339=0,"",(VLOOKUP($C329,REV!$C:$AA,23,0)-'TRADE IN'!$F329))</f>
        <v>1999</v>
      </c>
      <c r="Z329" s="46">
        <f>IF(VLOOKUP($C329,REV!$C:$AA,24,0)-'TRADE IN'!$F339=0,"",(VLOOKUP($C329,REV!$C:$AA,24,0)-'TRADE IN'!$F329))</f>
        <v>1999</v>
      </c>
      <c r="AA329" s="46">
        <f>IF(VLOOKUP($C329,REV!$C:$AA,25,0)-'TRADE IN'!$F339=0,"",(VLOOKUP($C329,REV!$C:$AA,25,0)-'TRADE IN'!$F329))</f>
        <v>1999</v>
      </c>
      <c r="AB329" s="46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tr">
        <f>IF(REV!AW329=0,"",REV!AW329)</f>
        <v>31.03.2026</v>
      </c>
      <c r="AX329" s="159" t="s">
        <v>82</v>
      </c>
    </row>
    <row r="330" spans="1:50" ht="22.5" customHeight="1">
      <c r="A330" s="52" t="s">
        <v>70</v>
      </c>
      <c r="B330" s="41" t="s">
        <v>62</v>
      </c>
      <c r="C330" s="42">
        <v>4016925</v>
      </c>
      <c r="D330" s="44" t="s">
        <v>493</v>
      </c>
      <c r="E330" s="44" t="s">
        <v>494</v>
      </c>
      <c r="F330" s="45"/>
      <c r="G330" s="45"/>
      <c r="H330" s="45"/>
      <c r="I330" s="45"/>
      <c r="J330" s="46">
        <f>IF(VLOOKUP($C330,REV!$C:$AA,8,0)-'TRADE IN'!$F330=0,"",(VLOOKUP($C330,REV!$C:$AA,8,0)-'TRADE IN'!$F330))</f>
        <v>6699</v>
      </c>
      <c r="K330" s="46">
        <f>IF(VLOOKUP($C330,REV!$C:$AA,9,0)-'TRADE IN'!$F330=0,"",(VLOOKUP($C330,REV!$C:$AA,9,0)-'TRADE IN'!$F330))</f>
        <v>6699</v>
      </c>
      <c r="L330" s="46">
        <f>IF(VLOOKUP($C330,REV!$C:$AA,10,0)-'TRADE IN'!$F340=0,"",(VLOOKUP($C330,REV!$C:$AA,10,0)-'TRADE IN'!$F330))</f>
        <v>6699</v>
      </c>
      <c r="M330" s="46">
        <f>IF(VLOOKUP($C330,REV!$C:$AA,11,0)-'TRADE IN'!$F340=0,"",(VLOOKUP($C330,REV!$C:$AA,11,0)-'TRADE IN'!$F330))</f>
        <v>6699</v>
      </c>
      <c r="N330" s="46">
        <f>IF(VLOOKUP($C330,REV!$C:$AA,12,0)-'TRADE IN'!$F340=0,"",(VLOOKUP($C330,REV!$C:$AA,12,0)-'TRADE IN'!$F330))</f>
        <v>6699</v>
      </c>
      <c r="O330" s="46">
        <f>IF(VLOOKUP($C330,REV!$C:$AA,13,0)-'TRADE IN'!$F340=0,"",(VLOOKUP($C330,REV!$C:$AA,13,0)-'TRADE IN'!$F330))</f>
        <v>6599</v>
      </c>
      <c r="P330" s="46">
        <f>IF(VLOOKUP($C330,REV!$C:$AA,14,0)-'TRADE IN'!$F340=0,"",(VLOOKUP($C330,REV!$C:$AA,14,0)-'TRADE IN'!$F330))</f>
        <v>6499</v>
      </c>
      <c r="Q330" s="46">
        <f>IF(VLOOKUP($C330,REV!$C:$AA,15,0)-'TRADE IN'!$F340=0,"",(VLOOKUP($C330,REV!$C:$AA,15,0)-'TRADE IN'!$F330))</f>
        <v>6399</v>
      </c>
      <c r="R330" s="46">
        <f>IF(VLOOKUP($C330,REV!$C:$AA,16,0)-'TRADE IN'!$F340=0,"",(VLOOKUP($C330,REV!$C:$AA,16,0)-'TRADE IN'!$F330))</f>
        <v>6599</v>
      </c>
      <c r="S330" s="46">
        <f>IF(VLOOKUP($C330,REV!$C:$AA,17,0)-'TRADE IN'!$F340=0,"",(VLOOKUP($C330,REV!$C:$AA,17,0)-'TRADE IN'!$F330))</f>
        <v>6499</v>
      </c>
      <c r="T330" s="46">
        <f>IF(VLOOKUP($C330,REV!$C:$AA,18,0)-'TRADE IN'!$F340=0,"",(VLOOKUP($C330,REV!$C:$AA,18,0)-'TRADE IN'!$F330))</f>
        <v>6399</v>
      </c>
      <c r="U330" s="46">
        <f>IF(VLOOKUP($C330,REV!$C:$AA,19,0)-'TRADE IN'!$F340=0,"",(VLOOKUP($C330,REV!$C:$AA,19,0)-'TRADE IN'!$F330))</f>
        <v>6399</v>
      </c>
      <c r="V330" s="46">
        <f>IF(VLOOKUP($C330,REV!$C:$AA,20,0)-'TRADE IN'!$F340=0,"",(VLOOKUP($C330,REV!$C:$AA,20,0)-'TRADE IN'!$F330))</f>
        <v>6399</v>
      </c>
      <c r="W330" s="46">
        <f>IF(VLOOKUP($C330,REV!$C:$AA,21,0)-'TRADE IN'!$F340=0,"",(VLOOKUP($C330,REV!$C:$AA,21,0)-'TRADE IN'!$F330))</f>
        <v>6399</v>
      </c>
      <c r="X330" s="46">
        <f>IF(VLOOKUP($C330,REV!$C:$AA,22,0)-'TRADE IN'!$F340=0,"",(VLOOKUP($C330,REV!$C:$AA,22,0)-'TRADE IN'!$F330))</f>
        <v>6299</v>
      </c>
      <c r="Y330" s="46">
        <f>IF(VLOOKUP($C330,REV!$C:$AA,23,0)-'TRADE IN'!$F340=0,"",(VLOOKUP($C330,REV!$C:$AA,23,0)-'TRADE IN'!$F330))</f>
        <v>4999</v>
      </c>
      <c r="Z330" s="46">
        <f>IF(VLOOKUP($C330,REV!$C:$AA,24,0)-'TRADE IN'!$F340=0,"",(VLOOKUP($C330,REV!$C:$AA,24,0)-'TRADE IN'!$F330))</f>
        <v>4999</v>
      </c>
      <c r="AA330" s="46">
        <f>IF(VLOOKUP($C330,REV!$C:$AA,25,0)-'TRADE IN'!$F340=0,"",(VLOOKUP($C330,REV!$C:$AA,25,0)-'TRADE IN'!$F330))</f>
        <v>4999</v>
      </c>
      <c r="AB330" s="46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tr">
        <f>IF(REV!AW330=0,"",REV!AW330)</f>
        <v>31.03.2026</v>
      </c>
      <c r="AX330" s="159" t="s">
        <v>82</v>
      </c>
    </row>
    <row r="331" spans="1:50" ht="22.5" customHeight="1">
      <c r="A331" s="52" t="s">
        <v>70</v>
      </c>
      <c r="B331" s="41" t="s">
        <v>62</v>
      </c>
      <c r="C331" s="42">
        <v>4017738</v>
      </c>
      <c r="D331" s="44" t="s">
        <v>495</v>
      </c>
      <c r="E331" s="44" t="s">
        <v>496</v>
      </c>
      <c r="F331" s="45"/>
      <c r="G331" s="45"/>
      <c r="H331" s="45"/>
      <c r="I331" s="45"/>
      <c r="J331" s="46">
        <f>IF(VLOOKUP($C331,REV!$C:$AA,8,0)-'TRADE IN'!$F331=0,"",(VLOOKUP($C331,REV!$C:$AA,8,0)-'TRADE IN'!$F331))</f>
        <v>7499</v>
      </c>
      <c r="K331" s="46">
        <f>IF(VLOOKUP($C331,REV!$C:$AA,9,0)-'TRADE IN'!$F331=0,"",(VLOOKUP($C331,REV!$C:$AA,9,0)-'TRADE IN'!$F331))</f>
        <v>7499</v>
      </c>
      <c r="L331" s="46">
        <f>IF(VLOOKUP($C331,REV!$C:$AA,10,0)-'TRADE IN'!$F341=0,"",(VLOOKUP($C331,REV!$C:$AA,10,0)-'TRADE IN'!$F331))</f>
        <v>7499</v>
      </c>
      <c r="M331" s="46">
        <f>IF(VLOOKUP($C331,REV!$C:$AA,11,0)-'TRADE IN'!$F341=0,"",(VLOOKUP($C331,REV!$C:$AA,11,0)-'TRADE IN'!$F331))</f>
        <v>7499</v>
      </c>
      <c r="N331" s="46">
        <f>IF(VLOOKUP($C331,REV!$C:$AA,12,0)-'TRADE IN'!$F341=0,"",(VLOOKUP($C331,REV!$C:$AA,12,0)-'TRADE IN'!$F331))</f>
        <v>7499</v>
      </c>
      <c r="O331" s="46">
        <f>IF(VLOOKUP($C331,REV!$C:$AA,13,0)-'TRADE IN'!$F341=0,"",(VLOOKUP($C331,REV!$C:$AA,13,0)-'TRADE IN'!$F331))</f>
        <v>7399</v>
      </c>
      <c r="P331" s="46">
        <f>IF(VLOOKUP($C331,REV!$C:$AA,14,0)-'TRADE IN'!$F341=0,"",(VLOOKUP($C331,REV!$C:$AA,14,0)-'TRADE IN'!$F331))</f>
        <v>7299</v>
      </c>
      <c r="Q331" s="46">
        <f>IF(VLOOKUP($C331,REV!$C:$AA,15,0)-'TRADE IN'!$F341=0,"",(VLOOKUP($C331,REV!$C:$AA,15,0)-'TRADE IN'!$F331))</f>
        <v>6999</v>
      </c>
      <c r="R331" s="46">
        <f>IF(VLOOKUP($C331,REV!$C:$AA,16,0)-'TRADE IN'!$F341=0,"",(VLOOKUP($C331,REV!$C:$AA,16,0)-'TRADE IN'!$F331))</f>
        <v>7399</v>
      </c>
      <c r="S331" s="46">
        <f>IF(VLOOKUP($C331,REV!$C:$AA,17,0)-'TRADE IN'!$F341=0,"",(VLOOKUP($C331,REV!$C:$AA,17,0)-'TRADE IN'!$F331))</f>
        <v>7299</v>
      </c>
      <c r="T331" s="46">
        <f>IF(VLOOKUP($C331,REV!$C:$AA,18,0)-'TRADE IN'!$F341=0,"",(VLOOKUP($C331,REV!$C:$AA,18,0)-'TRADE IN'!$F331))</f>
        <v>6999</v>
      </c>
      <c r="U331" s="46">
        <f>IF(VLOOKUP($C331,REV!$C:$AA,19,0)-'TRADE IN'!$F341=0,"",(VLOOKUP($C331,REV!$C:$AA,19,0)-'TRADE IN'!$F331))</f>
        <v>6999</v>
      </c>
      <c r="V331" s="46">
        <f>IF(VLOOKUP($C331,REV!$C:$AA,20,0)-'TRADE IN'!$F341=0,"",(VLOOKUP($C331,REV!$C:$AA,20,0)-'TRADE IN'!$F331))</f>
        <v>6999</v>
      </c>
      <c r="W331" s="46">
        <f>IF(VLOOKUP($C331,REV!$C:$AA,21,0)-'TRADE IN'!$F341=0,"",(VLOOKUP($C331,REV!$C:$AA,21,0)-'TRADE IN'!$F331))</f>
        <v>6999</v>
      </c>
      <c r="X331" s="46">
        <f>IF(VLOOKUP($C331,REV!$C:$AA,22,0)-'TRADE IN'!$F341=0,"",(VLOOKUP($C331,REV!$C:$AA,22,0)-'TRADE IN'!$F331))</f>
        <v>6899</v>
      </c>
      <c r="Y331" s="46">
        <f>IF(VLOOKUP($C331,REV!$C:$AA,23,0)-'TRADE IN'!$F341=0,"",(VLOOKUP($C331,REV!$C:$AA,23,0)-'TRADE IN'!$F331))</f>
        <v>5999</v>
      </c>
      <c r="Z331" s="46">
        <f>IF(VLOOKUP($C331,REV!$C:$AA,24,0)-'TRADE IN'!$F341=0,"",(VLOOKUP($C331,REV!$C:$AA,24,0)-'TRADE IN'!$F331))</f>
        <v>5999</v>
      </c>
      <c r="AA331" s="46">
        <f>IF(VLOOKUP($C331,REV!$C:$AA,25,0)-'TRADE IN'!$F341=0,"",(VLOOKUP($C331,REV!$C:$AA,25,0)-'TRADE IN'!$F331))</f>
        <v>5999</v>
      </c>
      <c r="AB331" s="46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tr">
        <f>IF(REV!AW331=0,"",REV!AW331)</f>
        <v>31.03.2026</v>
      </c>
      <c r="AX331" s="159" t="s">
        <v>82</v>
      </c>
    </row>
    <row r="332" spans="1:50" ht="22.5" customHeight="1">
      <c r="A332" s="50" t="s">
        <v>61</v>
      </c>
      <c r="B332" s="41" t="s">
        <v>62</v>
      </c>
      <c r="C332" s="42">
        <v>4014370</v>
      </c>
      <c r="D332" s="44" t="s">
        <v>497</v>
      </c>
      <c r="E332" s="44" t="s">
        <v>498</v>
      </c>
      <c r="F332" s="45"/>
      <c r="G332" s="45"/>
      <c r="H332" s="45"/>
      <c r="I332" s="45"/>
      <c r="J332" s="46">
        <f>IF(VLOOKUP($C332,REV!$C:$AA,8,0)-'TRADE IN'!$F332=0,"",(VLOOKUP($C332,REV!$C:$AA,8,0)-'TRADE IN'!$F332))</f>
        <v>49</v>
      </c>
      <c r="K332" s="46">
        <f>IF(VLOOKUP($C332,REV!$C:$AA,9,0)-'TRADE IN'!$F332=0,"",(VLOOKUP($C332,REV!$C:$AA,9,0)-'TRADE IN'!$F332))</f>
        <v>49</v>
      </c>
      <c r="L332" s="46">
        <f>IF(VLOOKUP($C332,REV!$C:$AA,10,0)-'TRADE IN'!$F341=0,"",(VLOOKUP($C332,REV!$C:$AA,10,0)-'TRADE IN'!$F332))</f>
        <v>49</v>
      </c>
      <c r="M332" s="46">
        <f>IF(VLOOKUP($C332,REV!$C:$AA,11,0)-'TRADE IN'!$F341=0,"",(VLOOKUP($C332,REV!$C:$AA,11,0)-'TRADE IN'!$F332))</f>
        <v>49</v>
      </c>
      <c r="N332" s="46">
        <f>IF(VLOOKUP($C332,REV!$C:$AA,12,0)-'TRADE IN'!$F341=0,"",(VLOOKUP($C332,REV!$C:$AA,12,0)-'TRADE IN'!$F332))</f>
        <v>49</v>
      </c>
      <c r="O332" s="46">
        <f>IF(VLOOKUP($C332,REV!$C:$AA,13,0)-'TRADE IN'!$F341=0,"",(VLOOKUP($C332,REV!$C:$AA,13,0)-'TRADE IN'!$F332))</f>
        <v>49</v>
      </c>
      <c r="P332" s="46">
        <f>IF(VLOOKUP($C332,REV!$C:$AA,14,0)-'TRADE IN'!$F341=0,"",(VLOOKUP($C332,REV!$C:$AA,14,0)-'TRADE IN'!$F332))</f>
        <v>49</v>
      </c>
      <c r="Q332" s="46">
        <f>IF(VLOOKUP($C332,REV!$C:$AA,15,0)-'TRADE IN'!$F341=0,"",(VLOOKUP($C332,REV!$C:$AA,15,0)-'TRADE IN'!$F332))</f>
        <v>49</v>
      </c>
      <c r="R332" s="46">
        <f>IF(VLOOKUP($C332,REV!$C:$AA,16,0)-'TRADE IN'!$F341=0,"",(VLOOKUP($C332,REV!$C:$AA,16,0)-'TRADE IN'!$F332))</f>
        <v>49</v>
      </c>
      <c r="S332" s="46">
        <f>IF(VLOOKUP($C332,REV!$C:$AA,17,0)-'TRADE IN'!$F341=0,"",(VLOOKUP($C332,REV!$C:$AA,17,0)-'TRADE IN'!$F332))</f>
        <v>49</v>
      </c>
      <c r="T332" s="46">
        <f>IF(VLOOKUP($C332,REV!$C:$AA,18,0)-'TRADE IN'!$F341=0,"",(VLOOKUP($C332,REV!$C:$AA,18,0)-'TRADE IN'!$F332))</f>
        <v>49</v>
      </c>
      <c r="U332" s="46">
        <f>IF(VLOOKUP($C332,REV!$C:$AA,19,0)-'TRADE IN'!$F341=0,"",(VLOOKUP($C332,REV!$C:$AA,19,0)-'TRADE IN'!$F332))</f>
        <v>49</v>
      </c>
      <c r="V332" s="46">
        <f>IF(VLOOKUP($C332,REV!$C:$AA,20,0)-'TRADE IN'!$F341=0,"",(VLOOKUP($C332,REV!$C:$AA,20,0)-'TRADE IN'!$F332))</f>
        <v>49</v>
      </c>
      <c r="W332" s="46">
        <f>IF(VLOOKUP($C332,REV!$C:$AA,21,0)-'TRADE IN'!$F341=0,"",(VLOOKUP($C332,REV!$C:$AA,21,0)-'TRADE IN'!$F332))</f>
        <v>49</v>
      </c>
      <c r="X332" s="46">
        <f>IF(VLOOKUP($C332,REV!$C:$AA,22,0)-'TRADE IN'!$F341=0,"",(VLOOKUP($C332,REV!$C:$AA,22,0)-'TRADE IN'!$F332))</f>
        <v>49</v>
      </c>
      <c r="Y332" s="46">
        <f>IF(VLOOKUP($C332,REV!$C:$AA,23,0)-'TRADE IN'!$F341=0,"",(VLOOKUP($C332,REV!$C:$AA,23,0)-'TRADE IN'!$F332))</f>
        <v>49</v>
      </c>
      <c r="Z332" s="46">
        <f>IF(VLOOKUP($C332,REV!$C:$AA,24,0)-'TRADE IN'!$F341=0,"",(VLOOKUP($C332,REV!$C:$AA,24,0)-'TRADE IN'!$F332))</f>
        <v>49</v>
      </c>
      <c r="AA332" s="46">
        <f>IF(VLOOKUP($C332,REV!$C:$AA,25,0)-'TRADE IN'!$F341=0,"",(VLOOKUP($C332,REV!$C:$AA,25,0)-'TRADE IN'!$F332))</f>
        <v>49</v>
      </c>
      <c r="AB332" s="46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tr">
        <f>IF(REV!AW332=0,"",REV!AW332)</f>
        <v>31.03.2026</v>
      </c>
      <c r="AX332" s="159" t="s">
        <v>66</v>
      </c>
    </row>
    <row r="333" spans="1:50" ht="22.5" customHeight="1">
      <c r="A333" s="50" t="s">
        <v>61</v>
      </c>
      <c r="B333" s="41" t="s">
        <v>62</v>
      </c>
      <c r="C333" s="42">
        <v>4014215</v>
      </c>
      <c r="D333" s="44" t="s">
        <v>499</v>
      </c>
      <c r="E333" s="44" t="s">
        <v>500</v>
      </c>
      <c r="F333" s="45"/>
      <c r="G333" s="45"/>
      <c r="H333" s="45"/>
      <c r="I333" s="45"/>
      <c r="J333" s="46">
        <f>IF(VLOOKUP($C333,REV!$C:$AA,8,0)-'TRADE IN'!$F333=0,"",(VLOOKUP($C333,REV!$C:$AA,8,0)-'TRADE IN'!$F333))</f>
        <v>299</v>
      </c>
      <c r="K333" s="46">
        <f>IF(VLOOKUP($C333,REV!$C:$AA,9,0)-'TRADE IN'!$F333=0,"",(VLOOKUP($C333,REV!$C:$AA,9,0)-'TRADE IN'!$F333))</f>
        <v>299</v>
      </c>
      <c r="L333" s="46">
        <f>IF(VLOOKUP($C333,REV!$C:$AA,10,0)-'TRADE IN'!$F342=0,"",(VLOOKUP($C333,REV!$C:$AA,10,0)-'TRADE IN'!$F333))</f>
        <v>299</v>
      </c>
      <c r="M333" s="46">
        <f>IF(VLOOKUP($C333,REV!$C:$AA,11,0)-'TRADE IN'!$F342=0,"",(VLOOKUP($C333,REV!$C:$AA,11,0)-'TRADE IN'!$F333))</f>
        <v>299</v>
      </c>
      <c r="N333" s="46">
        <f>IF(VLOOKUP($C333,REV!$C:$AA,12,0)-'TRADE IN'!$F342=0,"",(VLOOKUP($C333,REV!$C:$AA,12,0)-'TRADE IN'!$F333))</f>
        <v>299</v>
      </c>
      <c r="O333" s="46">
        <f>IF(VLOOKUP($C333,REV!$C:$AA,13,0)-'TRADE IN'!$F342=0,"",(VLOOKUP($C333,REV!$C:$AA,13,0)-'TRADE IN'!$F333))</f>
        <v>299</v>
      </c>
      <c r="P333" s="46">
        <f>IF(VLOOKUP($C333,REV!$C:$AA,14,0)-'TRADE IN'!$F342=0,"",(VLOOKUP($C333,REV!$C:$AA,14,0)-'TRADE IN'!$F333))</f>
        <v>299</v>
      </c>
      <c r="Q333" s="46">
        <f>IF(VLOOKUP($C333,REV!$C:$AA,15,0)-'TRADE IN'!$F342=0,"",(VLOOKUP($C333,REV!$C:$AA,15,0)-'TRADE IN'!$F333))</f>
        <v>299</v>
      </c>
      <c r="R333" s="46">
        <f>IF(VLOOKUP($C333,REV!$C:$AA,16,0)-'TRADE IN'!$F342=0,"",(VLOOKUP($C333,REV!$C:$AA,16,0)-'TRADE IN'!$F333))</f>
        <v>299</v>
      </c>
      <c r="S333" s="46">
        <f>IF(VLOOKUP($C333,REV!$C:$AA,17,0)-'TRADE IN'!$F342=0,"",(VLOOKUP($C333,REV!$C:$AA,17,0)-'TRADE IN'!$F333))</f>
        <v>299</v>
      </c>
      <c r="T333" s="46">
        <f>IF(VLOOKUP($C333,REV!$C:$AA,18,0)-'TRADE IN'!$F342=0,"",(VLOOKUP($C333,REV!$C:$AA,18,0)-'TRADE IN'!$F333))</f>
        <v>299</v>
      </c>
      <c r="U333" s="46">
        <f>IF(VLOOKUP($C333,REV!$C:$AA,19,0)-'TRADE IN'!$F342=0,"",(VLOOKUP($C333,REV!$C:$AA,19,0)-'TRADE IN'!$F333))</f>
        <v>299</v>
      </c>
      <c r="V333" s="46">
        <f>IF(VLOOKUP($C333,REV!$C:$AA,20,0)-'TRADE IN'!$F342=0,"",(VLOOKUP($C333,REV!$C:$AA,20,0)-'TRADE IN'!$F333))</f>
        <v>299</v>
      </c>
      <c r="W333" s="46">
        <f>IF(VLOOKUP($C333,REV!$C:$AA,21,0)-'TRADE IN'!$F342=0,"",(VLOOKUP($C333,REV!$C:$AA,21,0)-'TRADE IN'!$F333))</f>
        <v>299</v>
      </c>
      <c r="X333" s="46">
        <f>IF(VLOOKUP($C333,REV!$C:$AA,22,0)-'TRADE IN'!$F342=0,"",(VLOOKUP($C333,REV!$C:$AA,22,0)-'TRADE IN'!$F333))</f>
        <v>299</v>
      </c>
      <c r="Y333" s="46">
        <f>IF(VLOOKUP($C333,REV!$C:$AA,23,0)-'TRADE IN'!$F342=0,"",(VLOOKUP($C333,REV!$C:$AA,23,0)-'TRADE IN'!$F333))</f>
        <v>299</v>
      </c>
      <c r="Z333" s="46">
        <f>IF(VLOOKUP($C333,REV!$C:$AA,24,0)-'TRADE IN'!$F342=0,"",(VLOOKUP($C333,REV!$C:$AA,24,0)-'TRADE IN'!$F333))</f>
        <v>299</v>
      </c>
      <c r="AA333" s="46">
        <f>IF(VLOOKUP($C333,REV!$C:$AA,25,0)-'TRADE IN'!$F342=0,"",(VLOOKUP($C333,REV!$C:$AA,25,0)-'TRADE IN'!$F333))</f>
        <v>299</v>
      </c>
      <c r="AB333" s="46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tr">
        <f>IF(REV!AW333=0,"",REV!AW333)</f>
        <v>31.03.2026</v>
      </c>
      <c r="AX333" s="159" t="s">
        <v>66</v>
      </c>
    </row>
    <row r="334" spans="1:50" ht="22.5" customHeight="1">
      <c r="A334" s="50" t="s">
        <v>61</v>
      </c>
      <c r="B334" s="41" t="s">
        <v>62</v>
      </c>
      <c r="C334" s="42">
        <v>4014569</v>
      </c>
      <c r="D334" s="44" t="s">
        <v>501</v>
      </c>
      <c r="E334" s="44" t="s">
        <v>502</v>
      </c>
      <c r="F334" s="45"/>
      <c r="G334" s="45"/>
      <c r="H334" s="45"/>
      <c r="I334" s="45"/>
      <c r="J334" s="46">
        <f>IF(VLOOKUP($C334,REV!$C:$AA,8,0)-'TRADE IN'!$F334=0,"",(VLOOKUP($C334,REV!$C:$AA,8,0)-'TRADE IN'!$F334))</f>
        <v>199</v>
      </c>
      <c r="K334" s="46">
        <f>IF(VLOOKUP($C334,REV!$C:$AA,9,0)-'TRADE IN'!$F334=0,"",(VLOOKUP($C334,REV!$C:$AA,9,0)-'TRADE IN'!$F334))</f>
        <v>199</v>
      </c>
      <c r="L334" s="46">
        <f>IF(VLOOKUP($C334,REV!$C:$AA,10,0)-'TRADE IN'!$F343=0,"",(VLOOKUP($C334,REV!$C:$AA,10,0)-'TRADE IN'!$F334))</f>
        <v>199</v>
      </c>
      <c r="M334" s="46">
        <f>IF(VLOOKUP($C334,REV!$C:$AA,11,0)-'TRADE IN'!$F343=0,"",(VLOOKUP($C334,REV!$C:$AA,11,0)-'TRADE IN'!$F334))</f>
        <v>199</v>
      </c>
      <c r="N334" s="46">
        <f>IF(VLOOKUP($C334,REV!$C:$AA,12,0)-'TRADE IN'!$F343=0,"",(VLOOKUP($C334,REV!$C:$AA,12,0)-'TRADE IN'!$F334))</f>
        <v>199</v>
      </c>
      <c r="O334" s="46">
        <f>IF(VLOOKUP($C334,REV!$C:$AA,13,0)-'TRADE IN'!$F343=0,"",(VLOOKUP($C334,REV!$C:$AA,13,0)-'TRADE IN'!$F334))</f>
        <v>199</v>
      </c>
      <c r="P334" s="46">
        <f>IF(VLOOKUP($C334,REV!$C:$AA,14,0)-'TRADE IN'!$F343=0,"",(VLOOKUP($C334,REV!$C:$AA,14,0)-'TRADE IN'!$F334))</f>
        <v>199</v>
      </c>
      <c r="Q334" s="46">
        <f>IF(VLOOKUP($C334,REV!$C:$AA,15,0)-'TRADE IN'!$F343=0,"",(VLOOKUP($C334,REV!$C:$AA,15,0)-'TRADE IN'!$F334))</f>
        <v>199</v>
      </c>
      <c r="R334" s="46">
        <f>IF(VLOOKUP($C334,REV!$C:$AA,16,0)-'TRADE IN'!$F343=0,"",(VLOOKUP($C334,REV!$C:$AA,16,0)-'TRADE IN'!$F334))</f>
        <v>199</v>
      </c>
      <c r="S334" s="46">
        <f>IF(VLOOKUP($C334,REV!$C:$AA,17,0)-'TRADE IN'!$F343=0,"",(VLOOKUP($C334,REV!$C:$AA,17,0)-'TRADE IN'!$F334))</f>
        <v>199</v>
      </c>
      <c r="T334" s="46">
        <f>IF(VLOOKUP($C334,REV!$C:$AA,18,0)-'TRADE IN'!$F343=0,"",(VLOOKUP($C334,REV!$C:$AA,18,0)-'TRADE IN'!$F334))</f>
        <v>199</v>
      </c>
      <c r="U334" s="46">
        <f>IF(VLOOKUP($C334,REV!$C:$AA,19,0)-'TRADE IN'!$F343=0,"",(VLOOKUP($C334,REV!$C:$AA,19,0)-'TRADE IN'!$F334))</f>
        <v>199</v>
      </c>
      <c r="V334" s="46">
        <f>IF(VLOOKUP($C334,REV!$C:$AA,20,0)-'TRADE IN'!$F343=0,"",(VLOOKUP($C334,REV!$C:$AA,20,0)-'TRADE IN'!$F334))</f>
        <v>199</v>
      </c>
      <c r="W334" s="46">
        <f>IF(VLOOKUP($C334,REV!$C:$AA,21,0)-'TRADE IN'!$F343=0,"",(VLOOKUP($C334,REV!$C:$AA,21,0)-'TRADE IN'!$F334))</f>
        <v>199</v>
      </c>
      <c r="X334" s="46">
        <f>IF(VLOOKUP($C334,REV!$C:$AA,22,0)-'TRADE IN'!$F343=0,"",(VLOOKUP($C334,REV!$C:$AA,22,0)-'TRADE IN'!$F334))</f>
        <v>199</v>
      </c>
      <c r="Y334" s="46">
        <f>IF(VLOOKUP($C334,REV!$C:$AA,23,0)-'TRADE IN'!$F343=0,"",(VLOOKUP($C334,REV!$C:$AA,23,0)-'TRADE IN'!$F334))</f>
        <v>199</v>
      </c>
      <c r="Z334" s="46">
        <f>IF(VLOOKUP($C334,REV!$C:$AA,24,0)-'TRADE IN'!$F343=0,"",(VLOOKUP($C334,REV!$C:$AA,24,0)-'TRADE IN'!$F334))</f>
        <v>199</v>
      </c>
      <c r="AA334" s="46">
        <f>IF(VLOOKUP($C334,REV!$C:$AA,25,0)-'TRADE IN'!$F343=0,"",(VLOOKUP($C334,REV!$C:$AA,25,0)-'TRADE IN'!$F334))</f>
        <v>199</v>
      </c>
      <c r="AB334" s="46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tr">
        <f>IF(REV!AW334=0,"",REV!AW334)</f>
        <v>31.03.2026</v>
      </c>
      <c r="AX334" s="159" t="s">
        <v>66</v>
      </c>
    </row>
    <row r="335" spans="1:50" ht="22.5" customHeight="1">
      <c r="A335" s="50" t="s">
        <v>61</v>
      </c>
      <c r="B335" s="41" t="s">
        <v>62</v>
      </c>
      <c r="C335" s="42">
        <v>4012910</v>
      </c>
      <c r="D335" s="44" t="s">
        <v>503</v>
      </c>
      <c r="E335" s="44" t="s">
        <v>504</v>
      </c>
      <c r="F335" s="45"/>
      <c r="G335" s="45"/>
      <c r="H335" s="45"/>
      <c r="I335" s="45"/>
      <c r="J335" s="46" t="str">
        <f>IF(VLOOKUP($C335,REV!$C:$AA,8,0)-'TRADE IN'!$F335=0,"",(VLOOKUP($C335,REV!$C:$AA,8,0)-'TRADE IN'!$F335))</f>
        <v/>
      </c>
      <c r="K335" s="46" t="str">
        <f>IF(VLOOKUP($C335,REV!$C:$AA,9,0)-'TRADE IN'!$F335=0,"",(VLOOKUP($C335,REV!$C:$AA,9,0)-'TRADE IN'!$F335))</f>
        <v/>
      </c>
      <c r="L335" s="46" t="str">
        <f>IF(VLOOKUP($C335,REV!$C:$AA,10,0)-'TRADE IN'!$F344=0,"",(VLOOKUP($C335,REV!$C:$AA,10,0)-'TRADE IN'!$F335))</f>
        <v/>
      </c>
      <c r="M335" s="46" t="str">
        <f>IF(VLOOKUP($C335,REV!$C:$AA,11,0)-'TRADE IN'!$F344=0,"",(VLOOKUP($C335,REV!$C:$AA,11,0)-'TRADE IN'!$F335))</f>
        <v/>
      </c>
      <c r="N335" s="46" t="str">
        <f>IF(VLOOKUP($C335,REV!$C:$AA,12,0)-'TRADE IN'!$F344=0,"",(VLOOKUP($C335,REV!$C:$AA,12,0)-'TRADE IN'!$F335))</f>
        <v/>
      </c>
      <c r="O335" s="46" t="str">
        <f>IF(VLOOKUP($C335,REV!$C:$AA,13,0)-'TRADE IN'!$F344=0,"",(VLOOKUP($C335,REV!$C:$AA,13,0)-'TRADE IN'!$F335))</f>
        <v/>
      </c>
      <c r="P335" s="46" t="str">
        <f>IF(VLOOKUP($C335,REV!$C:$AA,14,0)-'TRADE IN'!$F344=0,"",(VLOOKUP($C335,REV!$C:$AA,14,0)-'TRADE IN'!$F335))</f>
        <v/>
      </c>
      <c r="Q335" s="46" t="str">
        <f>IF(VLOOKUP($C335,REV!$C:$AA,15,0)-'TRADE IN'!$F344=0,"",(VLOOKUP($C335,REV!$C:$AA,15,0)-'TRADE IN'!$F335))</f>
        <v/>
      </c>
      <c r="R335" s="46" t="str">
        <f>IF(VLOOKUP($C335,REV!$C:$AA,16,0)-'TRADE IN'!$F344=0,"",(VLOOKUP($C335,REV!$C:$AA,16,0)-'TRADE IN'!$F335))</f>
        <v/>
      </c>
      <c r="S335" s="46" t="str">
        <f>IF(VLOOKUP($C335,REV!$C:$AA,17,0)-'TRADE IN'!$F344=0,"",(VLOOKUP($C335,REV!$C:$AA,17,0)-'TRADE IN'!$F335))</f>
        <v/>
      </c>
      <c r="T335" s="46" t="str">
        <f>IF(VLOOKUP($C335,REV!$C:$AA,18,0)-'TRADE IN'!$F344=0,"",(VLOOKUP($C335,REV!$C:$AA,18,0)-'TRADE IN'!$F335))</f>
        <v/>
      </c>
      <c r="U335" s="46" t="str">
        <f>IF(VLOOKUP($C335,REV!$C:$AA,19,0)-'TRADE IN'!$F344=0,"",(VLOOKUP($C335,REV!$C:$AA,19,0)-'TRADE IN'!$F335))</f>
        <v/>
      </c>
      <c r="V335" s="46" t="str">
        <f>IF(VLOOKUP($C335,REV!$C:$AA,20,0)-'TRADE IN'!$F344=0,"",(VLOOKUP($C335,REV!$C:$AA,20,0)-'TRADE IN'!$F335))</f>
        <v/>
      </c>
      <c r="W335" s="46" t="str">
        <f>IF(VLOOKUP($C335,REV!$C:$AA,21,0)-'TRADE IN'!$F344=0,"",(VLOOKUP($C335,REV!$C:$AA,21,0)-'TRADE IN'!$F335))</f>
        <v/>
      </c>
      <c r="X335" s="46" t="str">
        <f>IF(VLOOKUP($C335,REV!$C:$AA,22,0)-'TRADE IN'!$F344=0,"",(VLOOKUP($C335,REV!$C:$AA,22,0)-'TRADE IN'!$F335))</f>
        <v/>
      </c>
      <c r="Y335" s="46" t="str">
        <f>IF(VLOOKUP($C335,REV!$C:$AA,23,0)-'TRADE IN'!$F344=0,"",(VLOOKUP($C335,REV!$C:$AA,23,0)-'TRADE IN'!$F335))</f>
        <v/>
      </c>
      <c r="Z335" s="46" t="str">
        <f>IF(VLOOKUP($C335,REV!$C:$AA,24,0)-'TRADE IN'!$F344=0,"",(VLOOKUP($C335,REV!$C:$AA,24,0)-'TRADE IN'!$F335))</f>
        <v/>
      </c>
      <c r="AA335" s="46" t="str">
        <f>IF(VLOOKUP($C335,REV!$C:$AA,25,0)-'TRADE IN'!$F344=0,"",(VLOOKUP($C335,REV!$C:$AA,25,0)-'TRADE IN'!$F335))</f>
        <v/>
      </c>
      <c r="AB335" s="46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tr">
        <f>IF(REV!AW335=0,"",REV!AW335)</f>
        <v>31.03.2026</v>
      </c>
      <c r="AX335" s="159" t="s">
        <v>66</v>
      </c>
    </row>
    <row r="336" spans="1:50" ht="22.5" customHeight="1">
      <c r="A336" s="50" t="s">
        <v>61</v>
      </c>
      <c r="B336" s="41" t="s">
        <v>62</v>
      </c>
      <c r="C336" s="42">
        <v>4013531</v>
      </c>
      <c r="D336" s="61" t="s">
        <v>505</v>
      </c>
      <c r="E336" s="62" t="s">
        <v>506</v>
      </c>
      <c r="F336" s="45"/>
      <c r="G336" s="45"/>
      <c r="H336" s="45"/>
      <c r="I336" s="45"/>
      <c r="J336" s="46" t="str">
        <f>IF(VLOOKUP($C336,REV!$C:$AA,8,0)-'TRADE IN'!$F336=0,"",(VLOOKUP($C336,REV!$C:$AA,8,0)-'TRADE IN'!$F336))</f>
        <v/>
      </c>
      <c r="K336" s="46" t="str">
        <f>IF(VLOOKUP($C336,REV!$C:$AA,9,0)-'TRADE IN'!$F336=0,"",(VLOOKUP($C336,REV!$C:$AA,9,0)-'TRADE IN'!$F336))</f>
        <v/>
      </c>
      <c r="L336" s="46" t="str">
        <f>IF(VLOOKUP($C336,REV!$C:$AA,10,0)-'TRADE IN'!$F345=0,"",(VLOOKUP($C336,REV!$C:$AA,10,0)-'TRADE IN'!$F336))</f>
        <v/>
      </c>
      <c r="M336" s="46" t="str">
        <f>IF(VLOOKUP($C336,REV!$C:$AA,11,0)-'TRADE IN'!$F345=0,"",(VLOOKUP($C336,REV!$C:$AA,11,0)-'TRADE IN'!$F336))</f>
        <v/>
      </c>
      <c r="N336" s="46" t="str">
        <f>IF(VLOOKUP($C336,REV!$C:$AA,12,0)-'TRADE IN'!$F345=0,"",(VLOOKUP($C336,REV!$C:$AA,12,0)-'TRADE IN'!$F336))</f>
        <v/>
      </c>
      <c r="O336" s="46" t="str">
        <f>IF(VLOOKUP($C336,REV!$C:$AA,13,0)-'TRADE IN'!$F345=0,"",(VLOOKUP($C336,REV!$C:$AA,13,0)-'TRADE IN'!$F336))</f>
        <v/>
      </c>
      <c r="P336" s="46" t="str">
        <f>IF(VLOOKUP($C336,REV!$C:$AA,14,0)-'TRADE IN'!$F345=0,"",(VLOOKUP($C336,REV!$C:$AA,14,0)-'TRADE IN'!$F336))</f>
        <v/>
      </c>
      <c r="Q336" s="46" t="str">
        <f>IF(VLOOKUP($C336,REV!$C:$AA,15,0)-'TRADE IN'!$F345=0,"",(VLOOKUP($C336,REV!$C:$AA,15,0)-'TRADE IN'!$F336))</f>
        <v/>
      </c>
      <c r="R336" s="46" t="str">
        <f>IF(VLOOKUP($C336,REV!$C:$AA,16,0)-'TRADE IN'!$F345=0,"",(VLOOKUP($C336,REV!$C:$AA,16,0)-'TRADE IN'!$F336))</f>
        <v/>
      </c>
      <c r="S336" s="46" t="str">
        <f>IF(VLOOKUP($C336,REV!$C:$AA,17,0)-'TRADE IN'!$F345=0,"",(VLOOKUP($C336,REV!$C:$AA,17,0)-'TRADE IN'!$F336))</f>
        <v/>
      </c>
      <c r="T336" s="46" t="str">
        <f>IF(VLOOKUP($C336,REV!$C:$AA,18,0)-'TRADE IN'!$F345=0,"",(VLOOKUP($C336,REV!$C:$AA,18,0)-'TRADE IN'!$F336))</f>
        <v/>
      </c>
      <c r="U336" s="46" t="str">
        <f>IF(VLOOKUP($C336,REV!$C:$AA,19,0)-'TRADE IN'!$F345=0,"",(VLOOKUP($C336,REV!$C:$AA,19,0)-'TRADE IN'!$F336))</f>
        <v/>
      </c>
      <c r="V336" s="46" t="str">
        <f>IF(VLOOKUP($C336,REV!$C:$AA,20,0)-'TRADE IN'!$F345=0,"",(VLOOKUP($C336,REV!$C:$AA,20,0)-'TRADE IN'!$F336))</f>
        <v/>
      </c>
      <c r="W336" s="46" t="str">
        <f>IF(VLOOKUP($C336,REV!$C:$AA,21,0)-'TRADE IN'!$F345=0,"",(VLOOKUP($C336,REV!$C:$AA,21,0)-'TRADE IN'!$F336))</f>
        <v/>
      </c>
      <c r="X336" s="46" t="str">
        <f>IF(VLOOKUP($C336,REV!$C:$AA,22,0)-'TRADE IN'!$F345=0,"",(VLOOKUP($C336,REV!$C:$AA,22,0)-'TRADE IN'!$F336))</f>
        <v/>
      </c>
      <c r="Y336" s="46" t="str">
        <f>IF(VLOOKUP($C336,REV!$C:$AA,23,0)-'TRADE IN'!$F345=0,"",(VLOOKUP($C336,REV!$C:$AA,23,0)-'TRADE IN'!$F336))</f>
        <v/>
      </c>
      <c r="Z336" s="46" t="str">
        <f>IF(VLOOKUP($C336,REV!$C:$AA,24,0)-'TRADE IN'!$F345=0,"",(VLOOKUP($C336,REV!$C:$AA,24,0)-'TRADE IN'!$F336))</f>
        <v/>
      </c>
      <c r="AA336" s="46" t="str">
        <f>IF(VLOOKUP($C336,REV!$C:$AA,25,0)-'TRADE IN'!$F345=0,"",(VLOOKUP($C336,REV!$C:$AA,25,0)-'TRADE IN'!$F336))</f>
        <v/>
      </c>
      <c r="AB336" s="46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tr">
        <f>IF(REV!AW336=0,"",REV!AW336)</f>
        <v>31.03.2026</v>
      </c>
      <c r="AX336" s="159" t="s">
        <v>66</v>
      </c>
    </row>
    <row r="337" spans="1:50" ht="22.5" customHeight="1">
      <c r="A337" s="50" t="s">
        <v>61</v>
      </c>
      <c r="B337" s="41" t="s">
        <v>62</v>
      </c>
      <c r="C337" s="42">
        <v>4013532</v>
      </c>
      <c r="D337" s="42" t="s">
        <v>505</v>
      </c>
      <c r="E337" s="62" t="s">
        <v>507</v>
      </c>
      <c r="F337" s="45"/>
      <c r="G337" s="45"/>
      <c r="H337" s="45"/>
      <c r="I337" s="45"/>
      <c r="J337" s="46" t="str">
        <f>IF(VLOOKUP($C337,REV!$C:$AA,8,0)-'TRADE IN'!$F337=0,"",(VLOOKUP($C337,REV!$C:$AA,8,0)-'TRADE IN'!$F337))</f>
        <v/>
      </c>
      <c r="K337" s="46" t="str">
        <f>IF(VLOOKUP($C337,REV!$C:$AA,9,0)-'TRADE IN'!$F337=0,"",(VLOOKUP($C337,REV!$C:$AA,9,0)-'TRADE IN'!$F337))</f>
        <v/>
      </c>
      <c r="L337" s="46" t="str">
        <f>IF(VLOOKUP($C337,REV!$C:$AA,10,0)-'TRADE IN'!$F346=0,"",(VLOOKUP($C337,REV!$C:$AA,10,0)-'TRADE IN'!$F337))</f>
        <v/>
      </c>
      <c r="M337" s="46" t="str">
        <f>IF(VLOOKUP($C337,REV!$C:$AA,11,0)-'TRADE IN'!$F346=0,"",(VLOOKUP($C337,REV!$C:$AA,11,0)-'TRADE IN'!$F337))</f>
        <v/>
      </c>
      <c r="N337" s="46" t="str">
        <f>IF(VLOOKUP($C337,REV!$C:$AA,12,0)-'TRADE IN'!$F346=0,"",(VLOOKUP($C337,REV!$C:$AA,12,0)-'TRADE IN'!$F337))</f>
        <v/>
      </c>
      <c r="O337" s="46" t="str">
        <f>IF(VLOOKUP($C337,REV!$C:$AA,13,0)-'TRADE IN'!$F346=0,"",(VLOOKUP($C337,REV!$C:$AA,13,0)-'TRADE IN'!$F337))</f>
        <v/>
      </c>
      <c r="P337" s="46" t="str">
        <f>IF(VLOOKUP($C337,REV!$C:$AA,14,0)-'TRADE IN'!$F346=0,"",(VLOOKUP($C337,REV!$C:$AA,14,0)-'TRADE IN'!$F337))</f>
        <v/>
      </c>
      <c r="Q337" s="46" t="str">
        <f>IF(VLOOKUP($C337,REV!$C:$AA,15,0)-'TRADE IN'!$F346=0,"",(VLOOKUP($C337,REV!$C:$AA,15,0)-'TRADE IN'!$F337))</f>
        <v/>
      </c>
      <c r="R337" s="46" t="str">
        <f>IF(VLOOKUP($C337,REV!$C:$AA,16,0)-'TRADE IN'!$F346=0,"",(VLOOKUP($C337,REV!$C:$AA,16,0)-'TRADE IN'!$F337))</f>
        <v/>
      </c>
      <c r="S337" s="46" t="str">
        <f>IF(VLOOKUP($C337,REV!$C:$AA,17,0)-'TRADE IN'!$F346=0,"",(VLOOKUP($C337,REV!$C:$AA,17,0)-'TRADE IN'!$F337))</f>
        <v/>
      </c>
      <c r="T337" s="46" t="str">
        <f>IF(VLOOKUP($C337,REV!$C:$AA,18,0)-'TRADE IN'!$F346=0,"",(VLOOKUP($C337,REV!$C:$AA,18,0)-'TRADE IN'!$F337))</f>
        <v/>
      </c>
      <c r="U337" s="46" t="str">
        <f>IF(VLOOKUP($C337,REV!$C:$AA,19,0)-'TRADE IN'!$F346=0,"",(VLOOKUP($C337,REV!$C:$AA,19,0)-'TRADE IN'!$F337))</f>
        <v/>
      </c>
      <c r="V337" s="46" t="str">
        <f>IF(VLOOKUP($C337,REV!$C:$AA,20,0)-'TRADE IN'!$F346=0,"",(VLOOKUP($C337,REV!$C:$AA,20,0)-'TRADE IN'!$F337))</f>
        <v/>
      </c>
      <c r="W337" s="46" t="str">
        <f>IF(VLOOKUP($C337,REV!$C:$AA,21,0)-'TRADE IN'!$F346=0,"",(VLOOKUP($C337,REV!$C:$AA,21,0)-'TRADE IN'!$F337))</f>
        <v/>
      </c>
      <c r="X337" s="46" t="str">
        <f>IF(VLOOKUP($C337,REV!$C:$AA,22,0)-'TRADE IN'!$F346=0,"",(VLOOKUP($C337,REV!$C:$AA,22,0)-'TRADE IN'!$F337))</f>
        <v/>
      </c>
      <c r="Y337" s="46" t="str">
        <f>IF(VLOOKUP($C337,REV!$C:$AA,23,0)-'TRADE IN'!$F346=0,"",(VLOOKUP($C337,REV!$C:$AA,23,0)-'TRADE IN'!$F337))</f>
        <v/>
      </c>
      <c r="Z337" s="46" t="str">
        <f>IF(VLOOKUP($C337,REV!$C:$AA,24,0)-'TRADE IN'!$F346=0,"",(VLOOKUP($C337,REV!$C:$AA,24,0)-'TRADE IN'!$F337))</f>
        <v/>
      </c>
      <c r="AA337" s="46" t="str">
        <f>IF(VLOOKUP($C337,REV!$C:$AA,25,0)-'TRADE IN'!$F346=0,"",(VLOOKUP($C337,REV!$C:$AA,25,0)-'TRADE IN'!$F337))</f>
        <v/>
      </c>
      <c r="AB337" s="46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tr">
        <f>IF(REV!AW337=0,"",REV!AW337)</f>
        <v>31.03.2026</v>
      </c>
      <c r="AX337" s="159" t="s">
        <v>66</v>
      </c>
    </row>
    <row r="338" spans="1:50" ht="22.5" customHeight="1">
      <c r="A338" s="50" t="s">
        <v>61</v>
      </c>
      <c r="B338" s="41" t="s">
        <v>62</v>
      </c>
      <c r="C338" s="42">
        <v>4013533</v>
      </c>
      <c r="D338" s="42" t="s">
        <v>505</v>
      </c>
      <c r="E338" s="62" t="s">
        <v>508</v>
      </c>
      <c r="F338" s="45"/>
      <c r="G338" s="45"/>
      <c r="H338" s="45"/>
      <c r="I338" s="45"/>
      <c r="J338" s="46" t="str">
        <f>IF(VLOOKUP($C338,REV!$C:$AA,8,0)-'TRADE IN'!$F338=0,"",(VLOOKUP($C338,REV!$C:$AA,8,0)-'TRADE IN'!$F338))</f>
        <v/>
      </c>
      <c r="K338" s="46" t="str">
        <f>IF(VLOOKUP($C338,REV!$C:$AA,9,0)-'TRADE IN'!$F338=0,"",(VLOOKUP($C338,REV!$C:$AA,9,0)-'TRADE IN'!$F338))</f>
        <v/>
      </c>
      <c r="L338" s="46" t="str">
        <f>IF(VLOOKUP($C338,REV!$C:$AA,10,0)-'TRADE IN'!$F347=0,"",(VLOOKUP($C338,REV!$C:$AA,10,0)-'TRADE IN'!$F338))</f>
        <v/>
      </c>
      <c r="M338" s="46" t="str">
        <f>IF(VLOOKUP($C338,REV!$C:$AA,11,0)-'TRADE IN'!$F347=0,"",(VLOOKUP($C338,REV!$C:$AA,11,0)-'TRADE IN'!$F338))</f>
        <v/>
      </c>
      <c r="N338" s="46" t="str">
        <f>IF(VLOOKUP($C338,REV!$C:$AA,12,0)-'TRADE IN'!$F347=0,"",(VLOOKUP($C338,REV!$C:$AA,12,0)-'TRADE IN'!$F338))</f>
        <v/>
      </c>
      <c r="O338" s="46" t="str">
        <f>IF(VLOOKUP($C338,REV!$C:$AA,13,0)-'TRADE IN'!$F347=0,"",(VLOOKUP($C338,REV!$C:$AA,13,0)-'TRADE IN'!$F338))</f>
        <v/>
      </c>
      <c r="P338" s="46" t="str">
        <f>IF(VLOOKUP($C338,REV!$C:$AA,14,0)-'TRADE IN'!$F347=0,"",(VLOOKUP($C338,REV!$C:$AA,14,0)-'TRADE IN'!$F338))</f>
        <v/>
      </c>
      <c r="Q338" s="46" t="str">
        <f>IF(VLOOKUP($C338,REV!$C:$AA,15,0)-'TRADE IN'!$F347=0,"",(VLOOKUP($C338,REV!$C:$AA,15,0)-'TRADE IN'!$F338))</f>
        <v/>
      </c>
      <c r="R338" s="46" t="str">
        <f>IF(VLOOKUP($C338,REV!$C:$AA,16,0)-'TRADE IN'!$F347=0,"",(VLOOKUP($C338,REV!$C:$AA,16,0)-'TRADE IN'!$F338))</f>
        <v/>
      </c>
      <c r="S338" s="46" t="str">
        <f>IF(VLOOKUP($C338,REV!$C:$AA,17,0)-'TRADE IN'!$F347=0,"",(VLOOKUP($C338,REV!$C:$AA,17,0)-'TRADE IN'!$F338))</f>
        <v/>
      </c>
      <c r="T338" s="46" t="str">
        <f>IF(VLOOKUP($C338,REV!$C:$AA,18,0)-'TRADE IN'!$F347=0,"",(VLOOKUP($C338,REV!$C:$AA,18,0)-'TRADE IN'!$F338))</f>
        <v/>
      </c>
      <c r="U338" s="46" t="str">
        <f>IF(VLOOKUP($C338,REV!$C:$AA,19,0)-'TRADE IN'!$F347=0,"",(VLOOKUP($C338,REV!$C:$AA,19,0)-'TRADE IN'!$F338))</f>
        <v/>
      </c>
      <c r="V338" s="46" t="str">
        <f>IF(VLOOKUP($C338,REV!$C:$AA,20,0)-'TRADE IN'!$F347=0,"",(VLOOKUP($C338,REV!$C:$AA,20,0)-'TRADE IN'!$F338))</f>
        <v/>
      </c>
      <c r="W338" s="46" t="str">
        <f>IF(VLOOKUP($C338,REV!$C:$AA,21,0)-'TRADE IN'!$F347=0,"",(VLOOKUP($C338,REV!$C:$AA,21,0)-'TRADE IN'!$F338))</f>
        <v/>
      </c>
      <c r="X338" s="46" t="str">
        <f>IF(VLOOKUP($C338,REV!$C:$AA,22,0)-'TRADE IN'!$F347=0,"",(VLOOKUP($C338,REV!$C:$AA,22,0)-'TRADE IN'!$F338))</f>
        <v/>
      </c>
      <c r="Y338" s="46" t="str">
        <f>IF(VLOOKUP($C338,REV!$C:$AA,23,0)-'TRADE IN'!$F347=0,"",(VLOOKUP($C338,REV!$C:$AA,23,0)-'TRADE IN'!$F338))</f>
        <v/>
      </c>
      <c r="Z338" s="46" t="str">
        <f>IF(VLOOKUP($C338,REV!$C:$AA,24,0)-'TRADE IN'!$F347=0,"",(VLOOKUP($C338,REV!$C:$AA,24,0)-'TRADE IN'!$F338))</f>
        <v/>
      </c>
      <c r="AA338" s="46" t="str">
        <f>IF(VLOOKUP($C338,REV!$C:$AA,25,0)-'TRADE IN'!$F347=0,"",(VLOOKUP($C338,REV!$C:$AA,25,0)-'TRADE IN'!$F338))</f>
        <v/>
      </c>
      <c r="AB338" s="46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tr">
        <f>IF(REV!AW338=0,"",REV!AW338)</f>
        <v>31.03.2026</v>
      </c>
      <c r="AX338" s="159" t="s">
        <v>66</v>
      </c>
    </row>
    <row r="339" spans="1:50" ht="22.5" customHeight="1">
      <c r="A339" s="50" t="s">
        <v>61</v>
      </c>
      <c r="B339" s="41" t="s">
        <v>62</v>
      </c>
      <c r="C339" s="42">
        <v>4013534</v>
      </c>
      <c r="D339" s="42" t="s">
        <v>505</v>
      </c>
      <c r="E339" s="62" t="s">
        <v>509</v>
      </c>
      <c r="F339" s="45"/>
      <c r="G339" s="45"/>
      <c r="H339" s="45"/>
      <c r="I339" s="45"/>
      <c r="J339" s="46" t="str">
        <f>IF(VLOOKUP($C339,REV!$C:$AA,8,0)-'TRADE IN'!$F339=0,"",(VLOOKUP($C339,REV!$C:$AA,8,0)-'TRADE IN'!$F339))</f>
        <v/>
      </c>
      <c r="K339" s="46" t="str">
        <f>IF(VLOOKUP($C339,REV!$C:$AA,9,0)-'TRADE IN'!$F339=0,"",(VLOOKUP($C339,REV!$C:$AA,9,0)-'TRADE IN'!$F339))</f>
        <v/>
      </c>
      <c r="L339" s="46" t="str">
        <f>IF(VLOOKUP($C339,REV!$C:$AA,10,0)-'TRADE IN'!$F348=0,"",(VLOOKUP($C339,REV!$C:$AA,10,0)-'TRADE IN'!$F339))</f>
        <v/>
      </c>
      <c r="M339" s="46" t="str">
        <f>IF(VLOOKUP($C339,REV!$C:$AA,11,0)-'TRADE IN'!$F348=0,"",(VLOOKUP($C339,REV!$C:$AA,11,0)-'TRADE IN'!$F339))</f>
        <v/>
      </c>
      <c r="N339" s="46" t="str">
        <f>IF(VLOOKUP($C339,REV!$C:$AA,12,0)-'TRADE IN'!$F348=0,"",(VLOOKUP($C339,REV!$C:$AA,12,0)-'TRADE IN'!$F339))</f>
        <v/>
      </c>
      <c r="O339" s="46" t="str">
        <f>IF(VLOOKUP($C339,REV!$C:$AA,13,0)-'TRADE IN'!$F348=0,"",(VLOOKUP($C339,REV!$C:$AA,13,0)-'TRADE IN'!$F339))</f>
        <v/>
      </c>
      <c r="P339" s="46" t="str">
        <f>IF(VLOOKUP($C339,REV!$C:$AA,14,0)-'TRADE IN'!$F348=0,"",(VLOOKUP($C339,REV!$C:$AA,14,0)-'TRADE IN'!$F339))</f>
        <v/>
      </c>
      <c r="Q339" s="46" t="str">
        <f>IF(VLOOKUP($C339,REV!$C:$AA,15,0)-'TRADE IN'!$F348=0,"",(VLOOKUP($C339,REV!$C:$AA,15,0)-'TRADE IN'!$F339))</f>
        <v/>
      </c>
      <c r="R339" s="46" t="str">
        <f>IF(VLOOKUP($C339,REV!$C:$AA,16,0)-'TRADE IN'!$F348=0,"",(VLOOKUP($C339,REV!$C:$AA,16,0)-'TRADE IN'!$F339))</f>
        <v/>
      </c>
      <c r="S339" s="46" t="str">
        <f>IF(VLOOKUP($C339,REV!$C:$AA,17,0)-'TRADE IN'!$F348=0,"",(VLOOKUP($C339,REV!$C:$AA,17,0)-'TRADE IN'!$F339))</f>
        <v/>
      </c>
      <c r="T339" s="46" t="str">
        <f>IF(VLOOKUP($C339,REV!$C:$AA,18,0)-'TRADE IN'!$F348=0,"",(VLOOKUP($C339,REV!$C:$AA,18,0)-'TRADE IN'!$F339))</f>
        <v/>
      </c>
      <c r="U339" s="46" t="str">
        <f>IF(VLOOKUP($C339,REV!$C:$AA,19,0)-'TRADE IN'!$F348=0,"",(VLOOKUP($C339,REV!$C:$AA,19,0)-'TRADE IN'!$F339))</f>
        <v/>
      </c>
      <c r="V339" s="46" t="str">
        <f>IF(VLOOKUP($C339,REV!$C:$AA,20,0)-'TRADE IN'!$F348=0,"",(VLOOKUP($C339,REV!$C:$AA,20,0)-'TRADE IN'!$F339))</f>
        <v/>
      </c>
      <c r="W339" s="46" t="str">
        <f>IF(VLOOKUP($C339,REV!$C:$AA,21,0)-'TRADE IN'!$F348=0,"",(VLOOKUP($C339,REV!$C:$AA,21,0)-'TRADE IN'!$F339))</f>
        <v/>
      </c>
      <c r="X339" s="46" t="str">
        <f>IF(VLOOKUP($C339,REV!$C:$AA,22,0)-'TRADE IN'!$F348=0,"",(VLOOKUP($C339,REV!$C:$AA,22,0)-'TRADE IN'!$F339))</f>
        <v/>
      </c>
      <c r="Y339" s="46" t="str">
        <f>IF(VLOOKUP($C339,REV!$C:$AA,23,0)-'TRADE IN'!$F348=0,"",(VLOOKUP($C339,REV!$C:$AA,23,0)-'TRADE IN'!$F339))</f>
        <v/>
      </c>
      <c r="Z339" s="46" t="str">
        <f>IF(VLOOKUP($C339,REV!$C:$AA,24,0)-'TRADE IN'!$F348=0,"",(VLOOKUP($C339,REV!$C:$AA,24,0)-'TRADE IN'!$F339))</f>
        <v/>
      </c>
      <c r="AA339" s="46" t="str">
        <f>IF(VLOOKUP($C339,REV!$C:$AA,25,0)-'TRADE IN'!$F348=0,"",(VLOOKUP($C339,REV!$C:$AA,25,0)-'TRADE IN'!$F339))</f>
        <v/>
      </c>
      <c r="AB339" s="46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tr">
        <f>IF(REV!AW339=0,"",REV!AW339)</f>
        <v>31.03.2026</v>
      </c>
      <c r="AX339" s="159" t="s">
        <v>66</v>
      </c>
    </row>
    <row r="340" spans="1:50" ht="22.5" customHeight="1">
      <c r="A340" s="50" t="s">
        <v>61</v>
      </c>
      <c r="B340" s="41" t="s">
        <v>62</v>
      </c>
      <c r="C340" s="42">
        <v>4013642</v>
      </c>
      <c r="D340" s="42" t="s">
        <v>510</v>
      </c>
      <c r="E340" s="62" t="s">
        <v>511</v>
      </c>
      <c r="F340" s="45"/>
      <c r="G340" s="45"/>
      <c r="H340" s="45"/>
      <c r="I340" s="45"/>
      <c r="J340" s="46">
        <f>IF(VLOOKUP($C340,REV!$C:$AA,8,0)-'TRADE IN'!$F340=0,"",(VLOOKUP($C340,REV!$C:$AA,8,0)-'TRADE IN'!$F340))</f>
        <v>69</v>
      </c>
      <c r="K340" s="46">
        <f>IF(VLOOKUP($C340,REV!$C:$AA,9,0)-'TRADE IN'!$F340=0,"",(VLOOKUP($C340,REV!$C:$AA,9,0)-'TRADE IN'!$F340))</f>
        <v>69</v>
      </c>
      <c r="L340" s="46">
        <f>IF(VLOOKUP($C340,REV!$C:$AA,10,0)-'TRADE IN'!$F349=0,"",(VLOOKUP($C340,REV!$C:$AA,10,0)-'TRADE IN'!$F340))</f>
        <v>69</v>
      </c>
      <c r="M340" s="46">
        <f>IF(VLOOKUP($C340,REV!$C:$AA,11,0)-'TRADE IN'!$F349=0,"",(VLOOKUP($C340,REV!$C:$AA,11,0)-'TRADE IN'!$F340))</f>
        <v>69</v>
      </c>
      <c r="N340" s="46">
        <f>IF(VLOOKUP($C340,REV!$C:$AA,12,0)-'TRADE IN'!$F349=0,"",(VLOOKUP($C340,REV!$C:$AA,12,0)-'TRADE IN'!$F340))</f>
        <v>69</v>
      </c>
      <c r="O340" s="46">
        <f>IF(VLOOKUP($C340,REV!$C:$AA,13,0)-'TRADE IN'!$F349=0,"",(VLOOKUP($C340,REV!$C:$AA,13,0)-'TRADE IN'!$F340))</f>
        <v>69</v>
      </c>
      <c r="P340" s="46">
        <f>IF(VLOOKUP($C340,REV!$C:$AA,14,0)-'TRADE IN'!$F349=0,"",(VLOOKUP($C340,REV!$C:$AA,14,0)-'TRADE IN'!$F340))</f>
        <v>69</v>
      </c>
      <c r="Q340" s="46">
        <f>IF(VLOOKUP($C340,REV!$C:$AA,15,0)-'TRADE IN'!$F349=0,"",(VLOOKUP($C340,REV!$C:$AA,15,0)-'TRADE IN'!$F340))</f>
        <v>69</v>
      </c>
      <c r="R340" s="46">
        <f>IF(VLOOKUP($C340,REV!$C:$AA,16,0)-'TRADE IN'!$F349=0,"",(VLOOKUP($C340,REV!$C:$AA,16,0)-'TRADE IN'!$F340))</f>
        <v>69</v>
      </c>
      <c r="S340" s="46">
        <f>IF(VLOOKUP($C340,REV!$C:$AA,17,0)-'TRADE IN'!$F349=0,"",(VLOOKUP($C340,REV!$C:$AA,17,0)-'TRADE IN'!$F340))</f>
        <v>69</v>
      </c>
      <c r="T340" s="46">
        <f>IF(VLOOKUP($C340,REV!$C:$AA,18,0)-'TRADE IN'!$F349=0,"",(VLOOKUP($C340,REV!$C:$AA,18,0)-'TRADE IN'!$F340))</f>
        <v>69</v>
      </c>
      <c r="U340" s="46">
        <f>IF(VLOOKUP($C340,REV!$C:$AA,19,0)-'TRADE IN'!$F349=0,"",(VLOOKUP($C340,REV!$C:$AA,19,0)-'TRADE IN'!$F340))</f>
        <v>69</v>
      </c>
      <c r="V340" s="46">
        <f>IF(VLOOKUP($C340,REV!$C:$AA,20,0)-'TRADE IN'!$F349=0,"",(VLOOKUP($C340,REV!$C:$AA,20,0)-'TRADE IN'!$F340))</f>
        <v>69</v>
      </c>
      <c r="W340" s="46">
        <f>IF(VLOOKUP($C340,REV!$C:$AA,21,0)-'TRADE IN'!$F349=0,"",(VLOOKUP($C340,REV!$C:$AA,21,0)-'TRADE IN'!$F340))</f>
        <v>69</v>
      </c>
      <c r="X340" s="46">
        <f>IF(VLOOKUP($C340,REV!$C:$AA,22,0)-'TRADE IN'!$F349=0,"",(VLOOKUP($C340,REV!$C:$AA,22,0)-'TRADE IN'!$F340))</f>
        <v>69</v>
      </c>
      <c r="Y340" s="46">
        <f>IF(VLOOKUP($C340,REV!$C:$AA,23,0)-'TRADE IN'!$F349=0,"",(VLOOKUP($C340,REV!$C:$AA,23,0)-'TRADE IN'!$F340))</f>
        <v>69</v>
      </c>
      <c r="Z340" s="46">
        <f>IF(VLOOKUP($C340,REV!$C:$AA,24,0)-'TRADE IN'!$F349=0,"",(VLOOKUP($C340,REV!$C:$AA,24,0)-'TRADE IN'!$F340))</f>
        <v>69</v>
      </c>
      <c r="AA340" s="46">
        <f>IF(VLOOKUP($C340,REV!$C:$AA,25,0)-'TRADE IN'!$F349=0,"",(VLOOKUP($C340,REV!$C:$AA,25,0)-'TRADE IN'!$F340))</f>
        <v>69</v>
      </c>
      <c r="AB340" s="46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tr">
        <f>IF(REV!AW340=0,"",REV!AW340)</f>
        <v>31.03.2026</v>
      </c>
      <c r="AX340" s="159" t="s">
        <v>66</v>
      </c>
    </row>
    <row r="341" spans="1:50" ht="22.5" customHeight="1">
      <c r="A341" s="50" t="s">
        <v>61</v>
      </c>
      <c r="B341" s="41" t="s">
        <v>62</v>
      </c>
      <c r="C341" s="42">
        <v>4013644</v>
      </c>
      <c r="D341" s="42" t="s">
        <v>510</v>
      </c>
      <c r="E341" s="62" t="s">
        <v>512</v>
      </c>
      <c r="F341" s="45"/>
      <c r="G341" s="45"/>
      <c r="H341" s="45"/>
      <c r="I341" s="45"/>
      <c r="J341" s="46">
        <f>IF(VLOOKUP($C341,REV!$C:$AA,8,0)-'TRADE IN'!$F341=0,"",(VLOOKUP($C341,REV!$C:$AA,8,0)-'TRADE IN'!$F341))</f>
        <v>69</v>
      </c>
      <c r="K341" s="46">
        <f>IF(VLOOKUP($C341,REV!$C:$AA,9,0)-'TRADE IN'!$F341=0,"",(VLOOKUP($C341,REV!$C:$AA,9,0)-'TRADE IN'!$F341))</f>
        <v>69</v>
      </c>
      <c r="L341" s="46">
        <f>IF(VLOOKUP($C341,REV!$C:$AA,10,0)-'TRADE IN'!$F350=0,"",(VLOOKUP($C341,REV!$C:$AA,10,0)-'TRADE IN'!$F341))</f>
        <v>69</v>
      </c>
      <c r="M341" s="46">
        <f>IF(VLOOKUP($C341,REV!$C:$AA,11,0)-'TRADE IN'!$F350=0,"",(VLOOKUP($C341,REV!$C:$AA,11,0)-'TRADE IN'!$F341))</f>
        <v>69</v>
      </c>
      <c r="N341" s="46">
        <f>IF(VLOOKUP($C341,REV!$C:$AA,12,0)-'TRADE IN'!$F350=0,"",(VLOOKUP($C341,REV!$C:$AA,12,0)-'TRADE IN'!$F341))</f>
        <v>69</v>
      </c>
      <c r="O341" s="46">
        <f>IF(VLOOKUP($C341,REV!$C:$AA,13,0)-'TRADE IN'!$F350=0,"",(VLOOKUP($C341,REV!$C:$AA,13,0)-'TRADE IN'!$F341))</f>
        <v>69</v>
      </c>
      <c r="P341" s="46">
        <f>IF(VLOOKUP($C341,REV!$C:$AA,14,0)-'TRADE IN'!$F350=0,"",(VLOOKUP($C341,REV!$C:$AA,14,0)-'TRADE IN'!$F341))</f>
        <v>69</v>
      </c>
      <c r="Q341" s="46">
        <f>IF(VLOOKUP($C341,REV!$C:$AA,15,0)-'TRADE IN'!$F350=0,"",(VLOOKUP($C341,REV!$C:$AA,15,0)-'TRADE IN'!$F341))</f>
        <v>69</v>
      </c>
      <c r="R341" s="46">
        <f>IF(VLOOKUP($C341,REV!$C:$AA,16,0)-'TRADE IN'!$F350=0,"",(VLOOKUP($C341,REV!$C:$AA,16,0)-'TRADE IN'!$F341))</f>
        <v>69</v>
      </c>
      <c r="S341" s="46">
        <f>IF(VLOOKUP($C341,REV!$C:$AA,17,0)-'TRADE IN'!$F350=0,"",(VLOOKUP($C341,REV!$C:$AA,17,0)-'TRADE IN'!$F341))</f>
        <v>69</v>
      </c>
      <c r="T341" s="46">
        <f>IF(VLOOKUP($C341,REV!$C:$AA,18,0)-'TRADE IN'!$F350=0,"",(VLOOKUP($C341,REV!$C:$AA,18,0)-'TRADE IN'!$F341))</f>
        <v>69</v>
      </c>
      <c r="U341" s="46">
        <f>IF(VLOOKUP($C341,REV!$C:$AA,19,0)-'TRADE IN'!$F350=0,"",(VLOOKUP($C341,REV!$C:$AA,19,0)-'TRADE IN'!$F341))</f>
        <v>69</v>
      </c>
      <c r="V341" s="46">
        <f>IF(VLOOKUP($C341,REV!$C:$AA,20,0)-'TRADE IN'!$F350=0,"",(VLOOKUP($C341,REV!$C:$AA,20,0)-'TRADE IN'!$F341))</f>
        <v>69</v>
      </c>
      <c r="W341" s="46">
        <f>IF(VLOOKUP($C341,REV!$C:$AA,21,0)-'TRADE IN'!$F350=0,"",(VLOOKUP($C341,REV!$C:$AA,21,0)-'TRADE IN'!$F341))</f>
        <v>69</v>
      </c>
      <c r="X341" s="46">
        <f>IF(VLOOKUP($C341,REV!$C:$AA,22,0)-'TRADE IN'!$F350=0,"",(VLOOKUP($C341,REV!$C:$AA,22,0)-'TRADE IN'!$F341))</f>
        <v>69</v>
      </c>
      <c r="Y341" s="46">
        <f>IF(VLOOKUP($C341,REV!$C:$AA,23,0)-'TRADE IN'!$F350=0,"",(VLOOKUP($C341,REV!$C:$AA,23,0)-'TRADE IN'!$F341))</f>
        <v>69</v>
      </c>
      <c r="Z341" s="46">
        <f>IF(VLOOKUP($C341,REV!$C:$AA,24,0)-'TRADE IN'!$F350=0,"",(VLOOKUP($C341,REV!$C:$AA,24,0)-'TRADE IN'!$F341))</f>
        <v>69</v>
      </c>
      <c r="AA341" s="46">
        <f>IF(VLOOKUP($C341,REV!$C:$AA,25,0)-'TRADE IN'!$F350=0,"",(VLOOKUP($C341,REV!$C:$AA,25,0)-'TRADE IN'!$F341))</f>
        <v>69</v>
      </c>
      <c r="AB341" s="46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tr">
        <f>IF(REV!AW341=0,"",REV!AW341)</f>
        <v>31.03.2026</v>
      </c>
      <c r="AX341" s="159" t="s">
        <v>66</v>
      </c>
    </row>
    <row r="342" spans="1:50" ht="22.5" customHeight="1">
      <c r="A342" s="50" t="s">
        <v>61</v>
      </c>
      <c r="B342" s="41" t="s">
        <v>62</v>
      </c>
      <c r="C342" s="42">
        <v>4013649</v>
      </c>
      <c r="D342" s="42" t="s">
        <v>510</v>
      </c>
      <c r="E342" s="62" t="s">
        <v>513</v>
      </c>
      <c r="F342" s="45"/>
      <c r="G342" s="45"/>
      <c r="H342" s="45"/>
      <c r="I342" s="45"/>
      <c r="J342" s="46">
        <f>IF(VLOOKUP($C342,REV!$C:$AA,8,0)-'TRADE IN'!$F342=0,"",(VLOOKUP($C342,REV!$C:$AA,8,0)-'TRADE IN'!$F342))</f>
        <v>69</v>
      </c>
      <c r="K342" s="46">
        <f>IF(VLOOKUP($C342,REV!$C:$AA,9,0)-'TRADE IN'!$F342=0,"",(VLOOKUP($C342,REV!$C:$AA,9,0)-'TRADE IN'!$F342))</f>
        <v>69</v>
      </c>
      <c r="L342" s="46">
        <f>IF(VLOOKUP($C342,REV!$C:$AA,10,0)-'TRADE IN'!$F351=0,"",(VLOOKUP($C342,REV!$C:$AA,10,0)-'TRADE IN'!$F342))</f>
        <v>69</v>
      </c>
      <c r="M342" s="46">
        <f>IF(VLOOKUP($C342,REV!$C:$AA,11,0)-'TRADE IN'!$F351=0,"",(VLOOKUP($C342,REV!$C:$AA,11,0)-'TRADE IN'!$F342))</f>
        <v>69</v>
      </c>
      <c r="N342" s="46">
        <f>IF(VLOOKUP($C342,REV!$C:$AA,12,0)-'TRADE IN'!$F351=0,"",(VLOOKUP($C342,REV!$C:$AA,12,0)-'TRADE IN'!$F342))</f>
        <v>69</v>
      </c>
      <c r="O342" s="46">
        <f>IF(VLOOKUP($C342,REV!$C:$AA,13,0)-'TRADE IN'!$F351=0,"",(VLOOKUP($C342,REV!$C:$AA,13,0)-'TRADE IN'!$F342))</f>
        <v>69</v>
      </c>
      <c r="P342" s="46">
        <f>IF(VLOOKUP($C342,REV!$C:$AA,14,0)-'TRADE IN'!$F351=0,"",(VLOOKUP($C342,REV!$C:$AA,14,0)-'TRADE IN'!$F342))</f>
        <v>69</v>
      </c>
      <c r="Q342" s="46">
        <f>IF(VLOOKUP($C342,REV!$C:$AA,15,0)-'TRADE IN'!$F351=0,"",(VLOOKUP($C342,REV!$C:$AA,15,0)-'TRADE IN'!$F342))</f>
        <v>69</v>
      </c>
      <c r="R342" s="46">
        <f>IF(VLOOKUP($C342,REV!$C:$AA,16,0)-'TRADE IN'!$F351=0,"",(VLOOKUP($C342,REV!$C:$AA,16,0)-'TRADE IN'!$F342))</f>
        <v>69</v>
      </c>
      <c r="S342" s="46">
        <f>IF(VLOOKUP($C342,REV!$C:$AA,17,0)-'TRADE IN'!$F351=0,"",(VLOOKUP($C342,REV!$C:$AA,17,0)-'TRADE IN'!$F342))</f>
        <v>69</v>
      </c>
      <c r="T342" s="46">
        <f>IF(VLOOKUP($C342,REV!$C:$AA,18,0)-'TRADE IN'!$F351=0,"",(VLOOKUP($C342,REV!$C:$AA,18,0)-'TRADE IN'!$F342))</f>
        <v>69</v>
      </c>
      <c r="U342" s="46">
        <f>IF(VLOOKUP($C342,REV!$C:$AA,19,0)-'TRADE IN'!$F351=0,"",(VLOOKUP($C342,REV!$C:$AA,19,0)-'TRADE IN'!$F342))</f>
        <v>69</v>
      </c>
      <c r="V342" s="46">
        <f>IF(VLOOKUP($C342,REV!$C:$AA,20,0)-'TRADE IN'!$F351=0,"",(VLOOKUP($C342,REV!$C:$AA,20,0)-'TRADE IN'!$F342))</f>
        <v>69</v>
      </c>
      <c r="W342" s="46">
        <f>IF(VLOOKUP($C342,REV!$C:$AA,21,0)-'TRADE IN'!$F351=0,"",(VLOOKUP($C342,REV!$C:$AA,21,0)-'TRADE IN'!$F342))</f>
        <v>69</v>
      </c>
      <c r="X342" s="46">
        <f>IF(VLOOKUP($C342,REV!$C:$AA,22,0)-'TRADE IN'!$F351=0,"",(VLOOKUP($C342,REV!$C:$AA,22,0)-'TRADE IN'!$F342))</f>
        <v>69</v>
      </c>
      <c r="Y342" s="46">
        <f>IF(VLOOKUP($C342,REV!$C:$AA,23,0)-'TRADE IN'!$F351=0,"",(VLOOKUP($C342,REV!$C:$AA,23,0)-'TRADE IN'!$F342))</f>
        <v>69</v>
      </c>
      <c r="Z342" s="46">
        <f>IF(VLOOKUP($C342,REV!$C:$AA,24,0)-'TRADE IN'!$F351=0,"",(VLOOKUP($C342,REV!$C:$AA,24,0)-'TRADE IN'!$F342))</f>
        <v>69</v>
      </c>
      <c r="AA342" s="46">
        <f>IF(VLOOKUP($C342,REV!$C:$AA,25,0)-'TRADE IN'!$F351=0,"",(VLOOKUP($C342,REV!$C:$AA,25,0)-'TRADE IN'!$F342))</f>
        <v>69</v>
      </c>
      <c r="AB342" s="46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tr">
        <f>IF(REV!AW342=0,"",REV!AW342)</f>
        <v>31.03.2026</v>
      </c>
      <c r="AX342" s="159" t="s">
        <v>66</v>
      </c>
    </row>
    <row r="343" spans="1:50" ht="22.5" customHeight="1">
      <c r="A343" s="50" t="s">
        <v>61</v>
      </c>
      <c r="B343" s="41" t="s">
        <v>62</v>
      </c>
      <c r="C343" s="42">
        <v>4013648</v>
      </c>
      <c r="D343" s="42" t="s">
        <v>510</v>
      </c>
      <c r="E343" s="62" t="s">
        <v>514</v>
      </c>
      <c r="F343" s="45"/>
      <c r="G343" s="45"/>
      <c r="H343" s="45"/>
      <c r="I343" s="45"/>
      <c r="J343" s="46">
        <f>IF(VLOOKUP($C343,REV!$C:$AA,8,0)-'TRADE IN'!$F343=0,"",(VLOOKUP($C343,REV!$C:$AA,8,0)-'TRADE IN'!$F343))</f>
        <v>69</v>
      </c>
      <c r="K343" s="46">
        <f>IF(VLOOKUP($C343,REV!$C:$AA,9,0)-'TRADE IN'!$F343=0,"",(VLOOKUP($C343,REV!$C:$AA,9,0)-'TRADE IN'!$F343))</f>
        <v>69</v>
      </c>
      <c r="L343" s="46">
        <f>IF(VLOOKUP($C343,REV!$C:$AA,10,0)-'TRADE IN'!$F352=0,"",(VLOOKUP($C343,REV!$C:$AA,10,0)-'TRADE IN'!$F343))</f>
        <v>69</v>
      </c>
      <c r="M343" s="46">
        <f>IF(VLOOKUP($C343,REV!$C:$AA,11,0)-'TRADE IN'!$F352=0,"",(VLOOKUP($C343,REV!$C:$AA,11,0)-'TRADE IN'!$F343))</f>
        <v>69</v>
      </c>
      <c r="N343" s="46">
        <f>IF(VLOOKUP($C343,REV!$C:$AA,12,0)-'TRADE IN'!$F352=0,"",(VLOOKUP($C343,REV!$C:$AA,12,0)-'TRADE IN'!$F343))</f>
        <v>69</v>
      </c>
      <c r="O343" s="46">
        <f>IF(VLOOKUP($C343,REV!$C:$AA,13,0)-'TRADE IN'!$F352=0,"",(VLOOKUP($C343,REV!$C:$AA,13,0)-'TRADE IN'!$F343))</f>
        <v>69</v>
      </c>
      <c r="P343" s="46">
        <f>IF(VLOOKUP($C343,REV!$C:$AA,14,0)-'TRADE IN'!$F352=0,"",(VLOOKUP($C343,REV!$C:$AA,14,0)-'TRADE IN'!$F343))</f>
        <v>69</v>
      </c>
      <c r="Q343" s="46">
        <f>IF(VLOOKUP($C343,REV!$C:$AA,15,0)-'TRADE IN'!$F352=0,"",(VLOOKUP($C343,REV!$C:$AA,15,0)-'TRADE IN'!$F343))</f>
        <v>69</v>
      </c>
      <c r="R343" s="46">
        <f>IF(VLOOKUP($C343,REV!$C:$AA,16,0)-'TRADE IN'!$F352=0,"",(VLOOKUP($C343,REV!$C:$AA,16,0)-'TRADE IN'!$F343))</f>
        <v>69</v>
      </c>
      <c r="S343" s="46">
        <f>IF(VLOOKUP($C343,REV!$C:$AA,17,0)-'TRADE IN'!$F352=0,"",(VLOOKUP($C343,REV!$C:$AA,17,0)-'TRADE IN'!$F343))</f>
        <v>69</v>
      </c>
      <c r="T343" s="46">
        <f>IF(VLOOKUP($C343,REV!$C:$AA,18,0)-'TRADE IN'!$F352=0,"",(VLOOKUP($C343,REV!$C:$AA,18,0)-'TRADE IN'!$F343))</f>
        <v>69</v>
      </c>
      <c r="U343" s="46">
        <f>IF(VLOOKUP($C343,REV!$C:$AA,19,0)-'TRADE IN'!$F352=0,"",(VLOOKUP($C343,REV!$C:$AA,19,0)-'TRADE IN'!$F343))</f>
        <v>69</v>
      </c>
      <c r="V343" s="46">
        <f>IF(VLOOKUP($C343,REV!$C:$AA,20,0)-'TRADE IN'!$F352=0,"",(VLOOKUP($C343,REV!$C:$AA,20,0)-'TRADE IN'!$F343))</f>
        <v>69</v>
      </c>
      <c r="W343" s="46">
        <f>IF(VLOOKUP($C343,REV!$C:$AA,21,0)-'TRADE IN'!$F352=0,"",(VLOOKUP($C343,REV!$C:$AA,21,0)-'TRADE IN'!$F343))</f>
        <v>69</v>
      </c>
      <c r="X343" s="46">
        <f>IF(VLOOKUP($C343,REV!$C:$AA,22,0)-'TRADE IN'!$F352=0,"",(VLOOKUP($C343,REV!$C:$AA,22,0)-'TRADE IN'!$F343))</f>
        <v>69</v>
      </c>
      <c r="Y343" s="46">
        <f>IF(VLOOKUP($C343,REV!$C:$AA,23,0)-'TRADE IN'!$F352=0,"",(VLOOKUP($C343,REV!$C:$AA,23,0)-'TRADE IN'!$F343))</f>
        <v>69</v>
      </c>
      <c r="Z343" s="46">
        <f>IF(VLOOKUP($C343,REV!$C:$AA,24,0)-'TRADE IN'!$F352=0,"",(VLOOKUP($C343,REV!$C:$AA,24,0)-'TRADE IN'!$F343))</f>
        <v>69</v>
      </c>
      <c r="AA343" s="46">
        <f>IF(VLOOKUP($C343,REV!$C:$AA,25,0)-'TRADE IN'!$F352=0,"",(VLOOKUP($C343,REV!$C:$AA,25,0)-'TRADE IN'!$F343))</f>
        <v>69</v>
      </c>
      <c r="AB343" s="46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tr">
        <f>IF(REV!AW343=0,"",REV!AW343)</f>
        <v>31.03.2026</v>
      </c>
      <c r="AX343" s="159" t="s">
        <v>66</v>
      </c>
    </row>
    <row r="344" spans="1:50" ht="22.5" customHeight="1">
      <c r="A344" s="50" t="s">
        <v>61</v>
      </c>
      <c r="B344" s="41" t="s">
        <v>62</v>
      </c>
      <c r="C344" s="42">
        <v>4013646</v>
      </c>
      <c r="D344" s="42" t="s">
        <v>510</v>
      </c>
      <c r="E344" s="62" t="s">
        <v>515</v>
      </c>
      <c r="F344" s="45"/>
      <c r="G344" s="45"/>
      <c r="H344" s="45"/>
      <c r="I344" s="45"/>
      <c r="J344" s="46">
        <f>IF(VLOOKUP($C344,REV!$C:$AA,8,0)-'TRADE IN'!$F344=0,"",(VLOOKUP($C344,REV!$C:$AA,8,0)-'TRADE IN'!$F344))</f>
        <v>69</v>
      </c>
      <c r="K344" s="46">
        <f>IF(VLOOKUP($C344,REV!$C:$AA,9,0)-'TRADE IN'!$F344=0,"",(VLOOKUP($C344,REV!$C:$AA,9,0)-'TRADE IN'!$F344))</f>
        <v>69</v>
      </c>
      <c r="L344" s="46">
        <f>IF(VLOOKUP($C344,REV!$C:$AA,10,0)-'TRADE IN'!$F353=0,"",(VLOOKUP($C344,REV!$C:$AA,10,0)-'TRADE IN'!$F344))</f>
        <v>69</v>
      </c>
      <c r="M344" s="46">
        <f>IF(VLOOKUP($C344,REV!$C:$AA,11,0)-'TRADE IN'!$F353=0,"",(VLOOKUP($C344,REV!$C:$AA,11,0)-'TRADE IN'!$F344))</f>
        <v>69</v>
      </c>
      <c r="N344" s="46">
        <f>IF(VLOOKUP($C344,REV!$C:$AA,12,0)-'TRADE IN'!$F353=0,"",(VLOOKUP($C344,REV!$C:$AA,12,0)-'TRADE IN'!$F344))</f>
        <v>69</v>
      </c>
      <c r="O344" s="46">
        <f>IF(VLOOKUP($C344,REV!$C:$AA,13,0)-'TRADE IN'!$F353=0,"",(VLOOKUP($C344,REV!$C:$AA,13,0)-'TRADE IN'!$F344))</f>
        <v>69</v>
      </c>
      <c r="P344" s="46">
        <f>IF(VLOOKUP($C344,REV!$C:$AA,14,0)-'TRADE IN'!$F353=0,"",(VLOOKUP($C344,REV!$C:$AA,14,0)-'TRADE IN'!$F344))</f>
        <v>69</v>
      </c>
      <c r="Q344" s="46">
        <f>IF(VLOOKUP($C344,REV!$C:$AA,15,0)-'TRADE IN'!$F353=0,"",(VLOOKUP($C344,REV!$C:$AA,15,0)-'TRADE IN'!$F344))</f>
        <v>69</v>
      </c>
      <c r="R344" s="46">
        <f>IF(VLOOKUP($C344,REV!$C:$AA,16,0)-'TRADE IN'!$F353=0,"",(VLOOKUP($C344,REV!$C:$AA,16,0)-'TRADE IN'!$F344))</f>
        <v>69</v>
      </c>
      <c r="S344" s="46">
        <f>IF(VLOOKUP($C344,REV!$C:$AA,17,0)-'TRADE IN'!$F353=0,"",(VLOOKUP($C344,REV!$C:$AA,17,0)-'TRADE IN'!$F344))</f>
        <v>69</v>
      </c>
      <c r="T344" s="46">
        <f>IF(VLOOKUP($C344,REV!$C:$AA,18,0)-'TRADE IN'!$F353=0,"",(VLOOKUP($C344,REV!$C:$AA,18,0)-'TRADE IN'!$F344))</f>
        <v>69</v>
      </c>
      <c r="U344" s="46">
        <f>IF(VLOOKUP($C344,REV!$C:$AA,19,0)-'TRADE IN'!$F353=0,"",(VLOOKUP($C344,REV!$C:$AA,19,0)-'TRADE IN'!$F344))</f>
        <v>69</v>
      </c>
      <c r="V344" s="46">
        <f>IF(VLOOKUP($C344,REV!$C:$AA,20,0)-'TRADE IN'!$F353=0,"",(VLOOKUP($C344,REV!$C:$AA,20,0)-'TRADE IN'!$F344))</f>
        <v>69</v>
      </c>
      <c r="W344" s="46">
        <f>IF(VLOOKUP($C344,REV!$C:$AA,21,0)-'TRADE IN'!$F353=0,"",(VLOOKUP($C344,REV!$C:$AA,21,0)-'TRADE IN'!$F344))</f>
        <v>69</v>
      </c>
      <c r="X344" s="46">
        <f>IF(VLOOKUP($C344,REV!$C:$AA,22,0)-'TRADE IN'!$F353=0,"",(VLOOKUP($C344,REV!$C:$AA,22,0)-'TRADE IN'!$F344))</f>
        <v>69</v>
      </c>
      <c r="Y344" s="46">
        <f>IF(VLOOKUP($C344,REV!$C:$AA,23,0)-'TRADE IN'!$F353=0,"",(VLOOKUP($C344,REV!$C:$AA,23,0)-'TRADE IN'!$F344))</f>
        <v>69</v>
      </c>
      <c r="Z344" s="46">
        <f>IF(VLOOKUP($C344,REV!$C:$AA,24,0)-'TRADE IN'!$F353=0,"",(VLOOKUP($C344,REV!$C:$AA,24,0)-'TRADE IN'!$F344))</f>
        <v>69</v>
      </c>
      <c r="AA344" s="46">
        <f>IF(VLOOKUP($C344,REV!$C:$AA,25,0)-'TRADE IN'!$F353=0,"",(VLOOKUP($C344,REV!$C:$AA,25,0)-'TRADE IN'!$F344))</f>
        <v>69</v>
      </c>
      <c r="AB344" s="46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tr">
        <f>IF(REV!AW344=0,"",REV!AW344)</f>
        <v>31.03.2026</v>
      </c>
      <c r="AX344" s="159" t="s">
        <v>66</v>
      </c>
    </row>
    <row r="345" spans="1:50" ht="22.5" customHeight="1">
      <c r="A345" s="50" t="s">
        <v>61</v>
      </c>
      <c r="B345" s="41" t="s">
        <v>62</v>
      </c>
      <c r="C345" s="42">
        <v>4014160</v>
      </c>
      <c r="D345" s="62" t="s">
        <v>516</v>
      </c>
      <c r="E345" s="62" t="s">
        <v>517</v>
      </c>
      <c r="F345" s="45"/>
      <c r="G345" s="45"/>
      <c r="H345" s="45"/>
      <c r="I345" s="45"/>
      <c r="J345" s="46">
        <f>IF(VLOOKUP($C345,REV!$C:$AA,8,0)-'TRADE IN'!$F345=0,"",(VLOOKUP($C345,REV!$C:$AA,8,0)-'TRADE IN'!$F345))</f>
        <v>149</v>
      </c>
      <c r="K345" s="46">
        <f>IF(VLOOKUP($C345,REV!$C:$AA,9,0)-'TRADE IN'!$F345=0,"",(VLOOKUP($C345,REV!$C:$AA,9,0)-'TRADE IN'!$F345))</f>
        <v>149</v>
      </c>
      <c r="L345" s="46">
        <f>IF(VLOOKUP($C345,REV!$C:$AA,10,0)-'TRADE IN'!$F354=0,"",(VLOOKUP($C345,REV!$C:$AA,10,0)-'TRADE IN'!$F345))</f>
        <v>149</v>
      </c>
      <c r="M345" s="46">
        <f>IF(VLOOKUP($C345,REV!$C:$AA,11,0)-'TRADE IN'!$F354=0,"",(VLOOKUP($C345,REV!$C:$AA,11,0)-'TRADE IN'!$F345))</f>
        <v>149</v>
      </c>
      <c r="N345" s="46">
        <f>IF(VLOOKUP($C345,REV!$C:$AA,12,0)-'TRADE IN'!$F354=0,"",(VLOOKUP($C345,REV!$C:$AA,12,0)-'TRADE IN'!$F345))</f>
        <v>149</v>
      </c>
      <c r="O345" s="46">
        <f>IF(VLOOKUP($C345,REV!$C:$AA,13,0)-'TRADE IN'!$F354=0,"",(VLOOKUP($C345,REV!$C:$AA,13,0)-'TRADE IN'!$F345))</f>
        <v>149</v>
      </c>
      <c r="P345" s="46">
        <f>IF(VLOOKUP($C345,REV!$C:$AA,14,0)-'TRADE IN'!$F354=0,"",(VLOOKUP($C345,REV!$C:$AA,14,0)-'TRADE IN'!$F345))</f>
        <v>149</v>
      </c>
      <c r="Q345" s="46">
        <f>IF(VLOOKUP($C345,REV!$C:$AA,15,0)-'TRADE IN'!$F354=0,"",(VLOOKUP($C345,REV!$C:$AA,15,0)-'TRADE IN'!$F345))</f>
        <v>149</v>
      </c>
      <c r="R345" s="46">
        <f>IF(VLOOKUP($C345,REV!$C:$AA,16,0)-'TRADE IN'!$F354=0,"",(VLOOKUP($C345,REV!$C:$AA,16,0)-'TRADE IN'!$F345))</f>
        <v>149</v>
      </c>
      <c r="S345" s="46">
        <f>IF(VLOOKUP($C345,REV!$C:$AA,17,0)-'TRADE IN'!$F354=0,"",(VLOOKUP($C345,REV!$C:$AA,17,0)-'TRADE IN'!$F345))</f>
        <v>149</v>
      </c>
      <c r="T345" s="46">
        <f>IF(VLOOKUP($C345,REV!$C:$AA,18,0)-'TRADE IN'!$F354=0,"",(VLOOKUP($C345,REV!$C:$AA,18,0)-'TRADE IN'!$F345))</f>
        <v>149</v>
      </c>
      <c r="U345" s="46">
        <f>IF(VLOOKUP($C345,REV!$C:$AA,19,0)-'TRADE IN'!$F354=0,"",(VLOOKUP($C345,REV!$C:$AA,19,0)-'TRADE IN'!$F345))</f>
        <v>149</v>
      </c>
      <c r="V345" s="46">
        <f>IF(VLOOKUP($C345,REV!$C:$AA,20,0)-'TRADE IN'!$F354=0,"",(VLOOKUP($C345,REV!$C:$AA,20,0)-'TRADE IN'!$F345))</f>
        <v>149</v>
      </c>
      <c r="W345" s="46">
        <f>IF(VLOOKUP($C345,REV!$C:$AA,21,0)-'TRADE IN'!$F354=0,"",(VLOOKUP($C345,REV!$C:$AA,21,0)-'TRADE IN'!$F345))</f>
        <v>149</v>
      </c>
      <c r="X345" s="46">
        <f>IF(VLOOKUP($C345,REV!$C:$AA,22,0)-'TRADE IN'!$F354=0,"",(VLOOKUP($C345,REV!$C:$AA,22,0)-'TRADE IN'!$F345))</f>
        <v>149</v>
      </c>
      <c r="Y345" s="46">
        <f>IF(VLOOKUP($C345,REV!$C:$AA,23,0)-'TRADE IN'!$F354=0,"",(VLOOKUP($C345,REV!$C:$AA,23,0)-'TRADE IN'!$F345))</f>
        <v>149</v>
      </c>
      <c r="Z345" s="46">
        <f>IF(VLOOKUP($C345,REV!$C:$AA,24,0)-'TRADE IN'!$F354=0,"",(VLOOKUP($C345,REV!$C:$AA,24,0)-'TRADE IN'!$F345))</f>
        <v>149</v>
      </c>
      <c r="AA345" s="46">
        <f>IF(VLOOKUP($C345,REV!$C:$AA,25,0)-'TRADE IN'!$F354=0,"",(VLOOKUP($C345,REV!$C:$AA,25,0)-'TRADE IN'!$F345))</f>
        <v>149</v>
      </c>
      <c r="AB345" s="46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tr">
        <f>IF(REV!AW345=0,"",REV!AW345)</f>
        <v>31.03.2026</v>
      </c>
      <c r="AX345" s="159" t="s">
        <v>66</v>
      </c>
    </row>
    <row r="346" spans="1:50" ht="22.5" customHeight="1">
      <c r="A346" s="50" t="s">
        <v>61</v>
      </c>
      <c r="B346" s="41" t="s">
        <v>62</v>
      </c>
      <c r="C346" s="42">
        <v>4014162</v>
      </c>
      <c r="D346" s="62" t="s">
        <v>516</v>
      </c>
      <c r="E346" s="62" t="s">
        <v>518</v>
      </c>
      <c r="F346" s="45"/>
      <c r="G346" s="45"/>
      <c r="H346" s="45"/>
      <c r="I346" s="45"/>
      <c r="J346" s="46">
        <f>IF(VLOOKUP($C346,REV!$C:$AA,8,0)-'TRADE IN'!$F346=0,"",(VLOOKUP($C346,REV!$C:$AA,8,0)-'TRADE IN'!$F346))</f>
        <v>149</v>
      </c>
      <c r="K346" s="46">
        <f>IF(VLOOKUP($C346,REV!$C:$AA,9,0)-'TRADE IN'!$F346=0,"",(VLOOKUP($C346,REV!$C:$AA,9,0)-'TRADE IN'!$F346))</f>
        <v>149</v>
      </c>
      <c r="L346" s="46">
        <f>IF(VLOOKUP($C346,REV!$C:$AA,10,0)-'TRADE IN'!$F355=0,"",(VLOOKUP($C346,REV!$C:$AA,10,0)-'TRADE IN'!$F346))</f>
        <v>149</v>
      </c>
      <c r="M346" s="46">
        <f>IF(VLOOKUP($C346,REV!$C:$AA,11,0)-'TRADE IN'!$F355=0,"",(VLOOKUP($C346,REV!$C:$AA,11,0)-'TRADE IN'!$F346))</f>
        <v>149</v>
      </c>
      <c r="N346" s="46">
        <f>IF(VLOOKUP($C346,REV!$C:$AA,12,0)-'TRADE IN'!$F355=0,"",(VLOOKUP($C346,REV!$C:$AA,12,0)-'TRADE IN'!$F346))</f>
        <v>149</v>
      </c>
      <c r="O346" s="46">
        <f>IF(VLOOKUP($C346,REV!$C:$AA,13,0)-'TRADE IN'!$F355=0,"",(VLOOKUP($C346,REV!$C:$AA,13,0)-'TRADE IN'!$F346))</f>
        <v>149</v>
      </c>
      <c r="P346" s="46">
        <f>IF(VLOOKUP($C346,REV!$C:$AA,14,0)-'TRADE IN'!$F355=0,"",(VLOOKUP($C346,REV!$C:$AA,14,0)-'TRADE IN'!$F346))</f>
        <v>149</v>
      </c>
      <c r="Q346" s="46">
        <f>IF(VLOOKUP($C346,REV!$C:$AA,15,0)-'TRADE IN'!$F355=0,"",(VLOOKUP($C346,REV!$C:$AA,15,0)-'TRADE IN'!$F346))</f>
        <v>149</v>
      </c>
      <c r="R346" s="46">
        <f>IF(VLOOKUP($C346,REV!$C:$AA,16,0)-'TRADE IN'!$F355=0,"",(VLOOKUP($C346,REV!$C:$AA,16,0)-'TRADE IN'!$F346))</f>
        <v>149</v>
      </c>
      <c r="S346" s="46">
        <f>IF(VLOOKUP($C346,REV!$C:$AA,17,0)-'TRADE IN'!$F355=0,"",(VLOOKUP($C346,REV!$C:$AA,17,0)-'TRADE IN'!$F346))</f>
        <v>149</v>
      </c>
      <c r="T346" s="46">
        <f>IF(VLOOKUP($C346,REV!$C:$AA,18,0)-'TRADE IN'!$F355=0,"",(VLOOKUP($C346,REV!$C:$AA,18,0)-'TRADE IN'!$F346))</f>
        <v>149</v>
      </c>
      <c r="U346" s="46">
        <f>IF(VLOOKUP($C346,REV!$C:$AA,19,0)-'TRADE IN'!$F355=0,"",(VLOOKUP($C346,REV!$C:$AA,19,0)-'TRADE IN'!$F346))</f>
        <v>149</v>
      </c>
      <c r="V346" s="46">
        <f>IF(VLOOKUP($C346,REV!$C:$AA,20,0)-'TRADE IN'!$F355=0,"",(VLOOKUP($C346,REV!$C:$AA,20,0)-'TRADE IN'!$F346))</f>
        <v>149</v>
      </c>
      <c r="W346" s="46">
        <f>IF(VLOOKUP($C346,REV!$C:$AA,21,0)-'TRADE IN'!$F355=0,"",(VLOOKUP($C346,REV!$C:$AA,21,0)-'TRADE IN'!$F346))</f>
        <v>149</v>
      </c>
      <c r="X346" s="46">
        <f>IF(VLOOKUP($C346,REV!$C:$AA,22,0)-'TRADE IN'!$F355=0,"",(VLOOKUP($C346,REV!$C:$AA,22,0)-'TRADE IN'!$F346))</f>
        <v>149</v>
      </c>
      <c r="Y346" s="46">
        <f>IF(VLOOKUP($C346,REV!$C:$AA,23,0)-'TRADE IN'!$F355=0,"",(VLOOKUP($C346,REV!$C:$AA,23,0)-'TRADE IN'!$F346))</f>
        <v>149</v>
      </c>
      <c r="Z346" s="46">
        <f>IF(VLOOKUP($C346,REV!$C:$AA,24,0)-'TRADE IN'!$F355=0,"",(VLOOKUP($C346,REV!$C:$AA,24,0)-'TRADE IN'!$F346))</f>
        <v>149</v>
      </c>
      <c r="AA346" s="46">
        <f>IF(VLOOKUP($C346,REV!$C:$AA,25,0)-'TRADE IN'!$F355=0,"",(VLOOKUP($C346,REV!$C:$AA,25,0)-'TRADE IN'!$F346))</f>
        <v>149</v>
      </c>
      <c r="AB346" s="46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tr">
        <f>IF(REV!AW346=0,"",REV!AW346)</f>
        <v>31.03.2026</v>
      </c>
      <c r="AX346" s="159" t="s">
        <v>66</v>
      </c>
    </row>
    <row r="347" spans="1:50" ht="22.5" customHeight="1">
      <c r="A347" s="50" t="s">
        <v>61</v>
      </c>
      <c r="B347" s="41" t="s">
        <v>62</v>
      </c>
      <c r="C347" s="42">
        <v>4014164</v>
      </c>
      <c r="D347" s="62" t="s">
        <v>516</v>
      </c>
      <c r="E347" s="62" t="s">
        <v>519</v>
      </c>
      <c r="F347" s="45"/>
      <c r="G347" s="45"/>
      <c r="H347" s="45"/>
      <c r="I347" s="45"/>
      <c r="J347" s="46">
        <f>IF(VLOOKUP($C347,REV!$C:$AA,8,0)-'TRADE IN'!$F347=0,"",(VLOOKUP($C347,REV!$C:$AA,8,0)-'TRADE IN'!$F347))</f>
        <v>149</v>
      </c>
      <c r="K347" s="46">
        <f>IF(VLOOKUP($C347,REV!$C:$AA,9,0)-'TRADE IN'!$F347=0,"",(VLOOKUP($C347,REV!$C:$AA,9,0)-'TRADE IN'!$F347))</f>
        <v>149</v>
      </c>
      <c r="L347" s="46">
        <f>IF(VLOOKUP($C347,REV!$C:$AA,10,0)-'TRADE IN'!$F356=0,"",(VLOOKUP($C347,REV!$C:$AA,10,0)-'TRADE IN'!$F347))</f>
        <v>149</v>
      </c>
      <c r="M347" s="46">
        <f>IF(VLOOKUP($C347,REV!$C:$AA,11,0)-'TRADE IN'!$F356=0,"",(VLOOKUP($C347,REV!$C:$AA,11,0)-'TRADE IN'!$F347))</f>
        <v>149</v>
      </c>
      <c r="N347" s="46">
        <f>IF(VLOOKUP($C347,REV!$C:$AA,12,0)-'TRADE IN'!$F356=0,"",(VLOOKUP($C347,REV!$C:$AA,12,0)-'TRADE IN'!$F347))</f>
        <v>149</v>
      </c>
      <c r="O347" s="46">
        <f>IF(VLOOKUP($C347,REV!$C:$AA,13,0)-'TRADE IN'!$F356=0,"",(VLOOKUP($C347,REV!$C:$AA,13,0)-'TRADE IN'!$F347))</f>
        <v>149</v>
      </c>
      <c r="P347" s="46">
        <f>IF(VLOOKUP($C347,REV!$C:$AA,14,0)-'TRADE IN'!$F356=0,"",(VLOOKUP($C347,REV!$C:$AA,14,0)-'TRADE IN'!$F347))</f>
        <v>149</v>
      </c>
      <c r="Q347" s="46">
        <f>IF(VLOOKUP($C347,REV!$C:$AA,15,0)-'TRADE IN'!$F356=0,"",(VLOOKUP($C347,REV!$C:$AA,15,0)-'TRADE IN'!$F347))</f>
        <v>149</v>
      </c>
      <c r="R347" s="46">
        <f>IF(VLOOKUP($C347,REV!$C:$AA,16,0)-'TRADE IN'!$F356=0,"",(VLOOKUP($C347,REV!$C:$AA,16,0)-'TRADE IN'!$F347))</f>
        <v>149</v>
      </c>
      <c r="S347" s="46">
        <f>IF(VLOOKUP($C347,REV!$C:$AA,17,0)-'TRADE IN'!$F356=0,"",(VLOOKUP($C347,REV!$C:$AA,17,0)-'TRADE IN'!$F347))</f>
        <v>149</v>
      </c>
      <c r="T347" s="46">
        <f>IF(VLOOKUP($C347,REV!$C:$AA,18,0)-'TRADE IN'!$F356=0,"",(VLOOKUP($C347,REV!$C:$AA,18,0)-'TRADE IN'!$F347))</f>
        <v>149</v>
      </c>
      <c r="U347" s="46">
        <f>IF(VLOOKUP($C347,REV!$C:$AA,19,0)-'TRADE IN'!$F356=0,"",(VLOOKUP($C347,REV!$C:$AA,19,0)-'TRADE IN'!$F347))</f>
        <v>149</v>
      </c>
      <c r="V347" s="46">
        <f>IF(VLOOKUP($C347,REV!$C:$AA,20,0)-'TRADE IN'!$F356=0,"",(VLOOKUP($C347,REV!$C:$AA,20,0)-'TRADE IN'!$F347))</f>
        <v>149</v>
      </c>
      <c r="W347" s="46">
        <f>IF(VLOOKUP($C347,REV!$C:$AA,21,0)-'TRADE IN'!$F356=0,"",(VLOOKUP($C347,REV!$C:$AA,21,0)-'TRADE IN'!$F347))</f>
        <v>149</v>
      </c>
      <c r="X347" s="46">
        <f>IF(VLOOKUP($C347,REV!$C:$AA,22,0)-'TRADE IN'!$F356=0,"",(VLOOKUP($C347,REV!$C:$AA,22,0)-'TRADE IN'!$F347))</f>
        <v>149</v>
      </c>
      <c r="Y347" s="46">
        <f>IF(VLOOKUP($C347,REV!$C:$AA,23,0)-'TRADE IN'!$F356=0,"",(VLOOKUP($C347,REV!$C:$AA,23,0)-'TRADE IN'!$F347))</f>
        <v>149</v>
      </c>
      <c r="Z347" s="46">
        <f>IF(VLOOKUP($C347,REV!$C:$AA,24,0)-'TRADE IN'!$F356=0,"",(VLOOKUP($C347,REV!$C:$AA,24,0)-'TRADE IN'!$F347))</f>
        <v>149</v>
      </c>
      <c r="AA347" s="46">
        <f>IF(VLOOKUP($C347,REV!$C:$AA,25,0)-'TRADE IN'!$F356=0,"",(VLOOKUP($C347,REV!$C:$AA,25,0)-'TRADE IN'!$F347))</f>
        <v>149</v>
      </c>
      <c r="AB347" s="46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tr">
        <f>IF(REV!AW347=0,"",REV!AW347)</f>
        <v>31.03.2026</v>
      </c>
      <c r="AX347" s="159" t="s">
        <v>66</v>
      </c>
    </row>
    <row r="348" spans="1:50" ht="22.5" customHeight="1">
      <c r="A348" s="50" t="s">
        <v>61</v>
      </c>
      <c r="B348" s="41" t="s">
        <v>62</v>
      </c>
      <c r="C348" s="42">
        <v>4014166</v>
      </c>
      <c r="D348" s="62" t="s">
        <v>516</v>
      </c>
      <c r="E348" s="62" t="s">
        <v>520</v>
      </c>
      <c r="F348" s="45"/>
      <c r="G348" s="45"/>
      <c r="H348" s="45"/>
      <c r="I348" s="45"/>
      <c r="J348" s="46">
        <f>IF(VLOOKUP($C348,REV!$C:$AA,8,0)-'TRADE IN'!$F348=0,"",(VLOOKUP($C348,REV!$C:$AA,8,0)-'TRADE IN'!$F348))</f>
        <v>149</v>
      </c>
      <c r="K348" s="46">
        <f>IF(VLOOKUP($C348,REV!$C:$AA,9,0)-'TRADE IN'!$F348=0,"",(VLOOKUP($C348,REV!$C:$AA,9,0)-'TRADE IN'!$F348))</f>
        <v>149</v>
      </c>
      <c r="L348" s="46">
        <f>IF(VLOOKUP($C348,REV!$C:$AA,10,0)-'TRADE IN'!$F357=0,"",(VLOOKUP($C348,REV!$C:$AA,10,0)-'TRADE IN'!$F348))</f>
        <v>149</v>
      </c>
      <c r="M348" s="46">
        <f>IF(VLOOKUP($C348,REV!$C:$AA,11,0)-'TRADE IN'!$F357=0,"",(VLOOKUP($C348,REV!$C:$AA,11,0)-'TRADE IN'!$F348))</f>
        <v>149</v>
      </c>
      <c r="N348" s="46">
        <f>IF(VLOOKUP($C348,REV!$C:$AA,12,0)-'TRADE IN'!$F357=0,"",(VLOOKUP($C348,REV!$C:$AA,12,0)-'TRADE IN'!$F348))</f>
        <v>149</v>
      </c>
      <c r="O348" s="46">
        <f>IF(VLOOKUP($C348,REV!$C:$AA,13,0)-'TRADE IN'!$F357=0,"",(VLOOKUP($C348,REV!$C:$AA,13,0)-'TRADE IN'!$F348))</f>
        <v>149</v>
      </c>
      <c r="P348" s="46">
        <f>IF(VLOOKUP($C348,REV!$C:$AA,14,0)-'TRADE IN'!$F357=0,"",(VLOOKUP($C348,REV!$C:$AA,14,0)-'TRADE IN'!$F348))</f>
        <v>149</v>
      </c>
      <c r="Q348" s="46">
        <f>IF(VLOOKUP($C348,REV!$C:$AA,15,0)-'TRADE IN'!$F357=0,"",(VLOOKUP($C348,REV!$C:$AA,15,0)-'TRADE IN'!$F348))</f>
        <v>149</v>
      </c>
      <c r="R348" s="46">
        <f>IF(VLOOKUP($C348,REV!$C:$AA,16,0)-'TRADE IN'!$F357=0,"",(VLOOKUP($C348,REV!$C:$AA,16,0)-'TRADE IN'!$F348))</f>
        <v>149</v>
      </c>
      <c r="S348" s="46">
        <f>IF(VLOOKUP($C348,REV!$C:$AA,17,0)-'TRADE IN'!$F357=0,"",(VLOOKUP($C348,REV!$C:$AA,17,0)-'TRADE IN'!$F348))</f>
        <v>149</v>
      </c>
      <c r="T348" s="46">
        <f>IF(VLOOKUP($C348,REV!$C:$AA,18,0)-'TRADE IN'!$F357=0,"",(VLOOKUP($C348,REV!$C:$AA,18,0)-'TRADE IN'!$F348))</f>
        <v>149</v>
      </c>
      <c r="U348" s="46">
        <f>IF(VLOOKUP($C348,REV!$C:$AA,19,0)-'TRADE IN'!$F357=0,"",(VLOOKUP($C348,REV!$C:$AA,19,0)-'TRADE IN'!$F348))</f>
        <v>149</v>
      </c>
      <c r="V348" s="46">
        <f>IF(VLOOKUP($C348,REV!$C:$AA,20,0)-'TRADE IN'!$F357=0,"",(VLOOKUP($C348,REV!$C:$AA,20,0)-'TRADE IN'!$F348))</f>
        <v>149</v>
      </c>
      <c r="W348" s="46">
        <f>IF(VLOOKUP($C348,REV!$C:$AA,21,0)-'TRADE IN'!$F357=0,"",(VLOOKUP($C348,REV!$C:$AA,21,0)-'TRADE IN'!$F348))</f>
        <v>149</v>
      </c>
      <c r="X348" s="46">
        <f>IF(VLOOKUP($C348,REV!$C:$AA,22,0)-'TRADE IN'!$F357=0,"",(VLOOKUP($C348,REV!$C:$AA,22,0)-'TRADE IN'!$F348))</f>
        <v>149</v>
      </c>
      <c r="Y348" s="46">
        <f>IF(VLOOKUP($C348,REV!$C:$AA,23,0)-'TRADE IN'!$F357=0,"",(VLOOKUP($C348,REV!$C:$AA,23,0)-'TRADE IN'!$F348))</f>
        <v>149</v>
      </c>
      <c r="Z348" s="46">
        <f>IF(VLOOKUP($C348,REV!$C:$AA,24,0)-'TRADE IN'!$F357=0,"",(VLOOKUP($C348,REV!$C:$AA,24,0)-'TRADE IN'!$F348))</f>
        <v>149</v>
      </c>
      <c r="AA348" s="46">
        <f>IF(VLOOKUP($C348,REV!$C:$AA,25,0)-'TRADE IN'!$F357=0,"",(VLOOKUP($C348,REV!$C:$AA,25,0)-'TRADE IN'!$F348))</f>
        <v>149</v>
      </c>
      <c r="AB348" s="46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tr">
        <f>IF(REV!AW348=0,"",REV!AW348)</f>
        <v>31.03.2026</v>
      </c>
      <c r="AX348" s="159" t="s">
        <v>66</v>
      </c>
    </row>
    <row r="349" spans="1:50" ht="22.5" customHeight="1">
      <c r="A349" s="50" t="s">
        <v>61</v>
      </c>
      <c r="B349" s="41" t="s">
        <v>62</v>
      </c>
      <c r="C349" s="42">
        <v>4014062</v>
      </c>
      <c r="D349" s="62" t="s">
        <v>521</v>
      </c>
      <c r="E349" s="62" t="s">
        <v>522</v>
      </c>
      <c r="F349" s="45"/>
      <c r="G349" s="45"/>
      <c r="H349" s="45"/>
      <c r="I349" s="45"/>
      <c r="J349" s="46">
        <f>IF(VLOOKUP($C349,REV!$C:$AA,8,0)-'TRADE IN'!$F349=0,"",(VLOOKUP($C349,REV!$C:$AA,8,0)-'TRADE IN'!$F349))</f>
        <v>299</v>
      </c>
      <c r="K349" s="46">
        <f>IF(VLOOKUP($C349,REV!$C:$AA,9,0)-'TRADE IN'!$F349=0,"",(VLOOKUP($C349,REV!$C:$AA,9,0)-'TRADE IN'!$F349))</f>
        <v>299</v>
      </c>
      <c r="L349" s="46">
        <f>IF(VLOOKUP($C349,REV!$C:$AA,10,0)-'TRADE IN'!$F358=0,"",(VLOOKUP($C349,REV!$C:$AA,10,0)-'TRADE IN'!$F349))</f>
        <v>299</v>
      </c>
      <c r="M349" s="46">
        <f>IF(VLOOKUP($C349,REV!$C:$AA,11,0)-'TRADE IN'!$F358=0,"",(VLOOKUP($C349,REV!$C:$AA,11,0)-'TRADE IN'!$F349))</f>
        <v>299</v>
      </c>
      <c r="N349" s="46">
        <f>IF(VLOOKUP($C349,REV!$C:$AA,12,0)-'TRADE IN'!$F358=0,"",(VLOOKUP($C349,REV!$C:$AA,12,0)-'TRADE IN'!$F349))</f>
        <v>299</v>
      </c>
      <c r="O349" s="46">
        <f>IF(VLOOKUP($C349,REV!$C:$AA,13,0)-'TRADE IN'!$F358=0,"",(VLOOKUP($C349,REV!$C:$AA,13,0)-'TRADE IN'!$F349))</f>
        <v>249</v>
      </c>
      <c r="P349" s="46">
        <f>IF(VLOOKUP($C349,REV!$C:$AA,14,0)-'TRADE IN'!$F358=0,"",(VLOOKUP($C349,REV!$C:$AA,14,0)-'TRADE IN'!$F349))</f>
        <v>249</v>
      </c>
      <c r="Q349" s="46">
        <f>IF(VLOOKUP($C349,REV!$C:$AA,15,0)-'TRADE IN'!$F358=0,"",(VLOOKUP($C349,REV!$C:$AA,15,0)-'TRADE IN'!$F349))</f>
        <v>249</v>
      </c>
      <c r="R349" s="46">
        <f>IF(VLOOKUP($C349,REV!$C:$AA,16,0)-'TRADE IN'!$F358=0,"",(VLOOKUP($C349,REV!$C:$AA,16,0)-'TRADE IN'!$F349))</f>
        <v>249</v>
      </c>
      <c r="S349" s="46">
        <f>IF(VLOOKUP($C349,REV!$C:$AA,17,0)-'TRADE IN'!$F358=0,"",(VLOOKUP($C349,REV!$C:$AA,17,0)-'TRADE IN'!$F349))</f>
        <v>249</v>
      </c>
      <c r="T349" s="46">
        <f>IF(VLOOKUP($C349,REV!$C:$AA,18,0)-'TRADE IN'!$F358=0,"",(VLOOKUP($C349,REV!$C:$AA,18,0)-'TRADE IN'!$F349))</f>
        <v>249</v>
      </c>
      <c r="U349" s="46">
        <f>IF(VLOOKUP($C349,REV!$C:$AA,19,0)-'TRADE IN'!$F358=0,"",(VLOOKUP($C349,REV!$C:$AA,19,0)-'TRADE IN'!$F349))</f>
        <v>249</v>
      </c>
      <c r="V349" s="46">
        <f>IF(VLOOKUP($C349,REV!$C:$AA,20,0)-'TRADE IN'!$F358=0,"",(VLOOKUP($C349,REV!$C:$AA,20,0)-'TRADE IN'!$F349))</f>
        <v>249</v>
      </c>
      <c r="W349" s="46">
        <f>IF(VLOOKUP($C349,REV!$C:$AA,21,0)-'TRADE IN'!$F358=0,"",(VLOOKUP($C349,REV!$C:$AA,21,0)-'TRADE IN'!$F349))</f>
        <v>249</v>
      </c>
      <c r="X349" s="46">
        <f>IF(VLOOKUP($C349,REV!$C:$AA,22,0)-'TRADE IN'!$F358=0,"",(VLOOKUP($C349,REV!$C:$AA,22,0)-'TRADE IN'!$F349))</f>
        <v>249</v>
      </c>
      <c r="Y349" s="46">
        <f>IF(VLOOKUP($C349,REV!$C:$AA,23,0)-'TRADE IN'!$F358=0,"",(VLOOKUP($C349,REV!$C:$AA,23,0)-'TRADE IN'!$F349))</f>
        <v>249</v>
      </c>
      <c r="Z349" s="46">
        <f>IF(VLOOKUP($C349,REV!$C:$AA,24,0)-'TRADE IN'!$F358=0,"",(VLOOKUP($C349,REV!$C:$AA,24,0)-'TRADE IN'!$F349))</f>
        <v>249</v>
      </c>
      <c r="AA349" s="46">
        <f>IF(VLOOKUP($C349,REV!$C:$AA,25,0)-'TRADE IN'!$F358=0,"",(VLOOKUP($C349,REV!$C:$AA,25,0)-'TRADE IN'!$F349))</f>
        <v>249</v>
      </c>
      <c r="AB349" s="46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tr">
        <f>IF(REV!AW349=0,"",REV!AW349)</f>
        <v>31.03.2026</v>
      </c>
      <c r="AX349" s="159" t="s">
        <v>66</v>
      </c>
    </row>
    <row r="350" spans="1:50" ht="22.5" customHeight="1">
      <c r="A350" s="50" t="s">
        <v>61</v>
      </c>
      <c r="B350" s="41" t="s">
        <v>62</v>
      </c>
      <c r="C350" s="42">
        <v>4014063</v>
      </c>
      <c r="D350" s="62" t="s">
        <v>521</v>
      </c>
      <c r="E350" s="62" t="s">
        <v>523</v>
      </c>
      <c r="F350" s="45"/>
      <c r="G350" s="45"/>
      <c r="H350" s="45"/>
      <c r="I350" s="45"/>
      <c r="J350" s="46">
        <f>IF(VLOOKUP($C350,REV!$C:$AA,8,0)-'TRADE IN'!$F350=0,"",(VLOOKUP($C350,REV!$C:$AA,8,0)-'TRADE IN'!$F350))</f>
        <v>299</v>
      </c>
      <c r="K350" s="46">
        <f>IF(VLOOKUP($C350,REV!$C:$AA,9,0)-'TRADE IN'!$F350=0,"",(VLOOKUP($C350,REV!$C:$AA,9,0)-'TRADE IN'!$F350))</f>
        <v>299</v>
      </c>
      <c r="L350" s="46">
        <f>IF(VLOOKUP($C350,REV!$C:$AA,10,0)-'TRADE IN'!$F359=0,"",(VLOOKUP($C350,REV!$C:$AA,10,0)-'TRADE IN'!$F350))</f>
        <v>299</v>
      </c>
      <c r="M350" s="46">
        <f>IF(VLOOKUP($C350,REV!$C:$AA,11,0)-'TRADE IN'!$F359=0,"",(VLOOKUP($C350,REV!$C:$AA,11,0)-'TRADE IN'!$F350))</f>
        <v>299</v>
      </c>
      <c r="N350" s="46">
        <f>IF(VLOOKUP($C350,REV!$C:$AA,12,0)-'TRADE IN'!$F359=0,"",(VLOOKUP($C350,REV!$C:$AA,12,0)-'TRADE IN'!$F350))</f>
        <v>299</v>
      </c>
      <c r="O350" s="46">
        <f>IF(VLOOKUP($C350,REV!$C:$AA,13,0)-'TRADE IN'!$F359=0,"",(VLOOKUP($C350,REV!$C:$AA,13,0)-'TRADE IN'!$F350))</f>
        <v>249</v>
      </c>
      <c r="P350" s="46">
        <f>IF(VLOOKUP($C350,REV!$C:$AA,14,0)-'TRADE IN'!$F359=0,"",(VLOOKUP($C350,REV!$C:$AA,14,0)-'TRADE IN'!$F350))</f>
        <v>249</v>
      </c>
      <c r="Q350" s="46">
        <f>IF(VLOOKUP($C350,REV!$C:$AA,15,0)-'TRADE IN'!$F359=0,"",(VLOOKUP($C350,REV!$C:$AA,15,0)-'TRADE IN'!$F350))</f>
        <v>249</v>
      </c>
      <c r="R350" s="46">
        <f>IF(VLOOKUP($C350,REV!$C:$AA,16,0)-'TRADE IN'!$F359=0,"",(VLOOKUP($C350,REV!$C:$AA,16,0)-'TRADE IN'!$F350))</f>
        <v>249</v>
      </c>
      <c r="S350" s="46">
        <f>IF(VLOOKUP($C350,REV!$C:$AA,17,0)-'TRADE IN'!$F359=0,"",(VLOOKUP($C350,REV!$C:$AA,17,0)-'TRADE IN'!$F350))</f>
        <v>249</v>
      </c>
      <c r="T350" s="46">
        <f>IF(VLOOKUP($C350,REV!$C:$AA,18,0)-'TRADE IN'!$F359=0,"",(VLOOKUP($C350,REV!$C:$AA,18,0)-'TRADE IN'!$F350))</f>
        <v>249</v>
      </c>
      <c r="U350" s="46">
        <f>IF(VLOOKUP($C350,REV!$C:$AA,19,0)-'TRADE IN'!$F359=0,"",(VLOOKUP($C350,REV!$C:$AA,19,0)-'TRADE IN'!$F350))</f>
        <v>249</v>
      </c>
      <c r="V350" s="46">
        <f>IF(VLOOKUP($C350,REV!$C:$AA,20,0)-'TRADE IN'!$F359=0,"",(VLOOKUP($C350,REV!$C:$AA,20,0)-'TRADE IN'!$F350))</f>
        <v>249</v>
      </c>
      <c r="W350" s="46">
        <f>IF(VLOOKUP($C350,REV!$C:$AA,21,0)-'TRADE IN'!$F359=0,"",(VLOOKUP($C350,REV!$C:$AA,21,0)-'TRADE IN'!$F350))</f>
        <v>249</v>
      </c>
      <c r="X350" s="46">
        <f>IF(VLOOKUP($C350,REV!$C:$AA,22,0)-'TRADE IN'!$F359=0,"",(VLOOKUP($C350,REV!$C:$AA,22,0)-'TRADE IN'!$F350))</f>
        <v>249</v>
      </c>
      <c r="Y350" s="46">
        <f>IF(VLOOKUP($C350,REV!$C:$AA,23,0)-'TRADE IN'!$F359=0,"",(VLOOKUP($C350,REV!$C:$AA,23,0)-'TRADE IN'!$F350))</f>
        <v>249</v>
      </c>
      <c r="Z350" s="46">
        <f>IF(VLOOKUP($C350,REV!$C:$AA,24,0)-'TRADE IN'!$F359=0,"",(VLOOKUP($C350,REV!$C:$AA,24,0)-'TRADE IN'!$F350))</f>
        <v>249</v>
      </c>
      <c r="AA350" s="46">
        <f>IF(VLOOKUP($C350,REV!$C:$AA,25,0)-'TRADE IN'!$F359=0,"",(VLOOKUP($C350,REV!$C:$AA,25,0)-'TRADE IN'!$F350))</f>
        <v>249</v>
      </c>
      <c r="AB350" s="46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tr">
        <f>IF(REV!AW350=0,"",REV!AW350)</f>
        <v>31.03.2026</v>
      </c>
      <c r="AX350" s="159" t="s">
        <v>66</v>
      </c>
    </row>
    <row r="351" spans="1:50" ht="22.5" customHeight="1">
      <c r="A351" s="50" t="s">
        <v>61</v>
      </c>
      <c r="B351" s="41" t="s">
        <v>62</v>
      </c>
      <c r="C351" s="42">
        <v>4014067</v>
      </c>
      <c r="D351" s="62" t="s">
        <v>521</v>
      </c>
      <c r="E351" s="62" t="s">
        <v>524</v>
      </c>
      <c r="F351" s="45"/>
      <c r="G351" s="45"/>
      <c r="H351" s="45"/>
      <c r="I351" s="45"/>
      <c r="J351" s="46">
        <f>IF(VLOOKUP($C351,REV!$C:$AA,8,0)-'TRADE IN'!$F351=0,"",(VLOOKUP($C351,REV!$C:$AA,8,0)-'TRADE IN'!$F351))</f>
        <v>299</v>
      </c>
      <c r="K351" s="46">
        <f>IF(VLOOKUP($C351,REV!$C:$AA,9,0)-'TRADE IN'!$F351=0,"",(VLOOKUP($C351,REV!$C:$AA,9,0)-'TRADE IN'!$F351))</f>
        <v>299</v>
      </c>
      <c r="L351" s="46">
        <f>IF(VLOOKUP($C351,REV!$C:$AA,10,0)-'TRADE IN'!$F360=0,"",(VLOOKUP($C351,REV!$C:$AA,10,0)-'TRADE IN'!$F351))</f>
        <v>299</v>
      </c>
      <c r="M351" s="46">
        <f>IF(VLOOKUP($C351,REV!$C:$AA,11,0)-'TRADE IN'!$F360=0,"",(VLOOKUP($C351,REV!$C:$AA,11,0)-'TRADE IN'!$F351))</f>
        <v>299</v>
      </c>
      <c r="N351" s="46">
        <f>IF(VLOOKUP($C351,REV!$C:$AA,12,0)-'TRADE IN'!$F360=0,"",(VLOOKUP($C351,REV!$C:$AA,12,0)-'TRADE IN'!$F351))</f>
        <v>299</v>
      </c>
      <c r="O351" s="46">
        <f>IF(VLOOKUP($C351,REV!$C:$AA,13,0)-'TRADE IN'!$F360=0,"",(VLOOKUP($C351,REV!$C:$AA,13,0)-'TRADE IN'!$F351))</f>
        <v>249</v>
      </c>
      <c r="P351" s="46">
        <f>IF(VLOOKUP($C351,REV!$C:$AA,14,0)-'TRADE IN'!$F360=0,"",(VLOOKUP($C351,REV!$C:$AA,14,0)-'TRADE IN'!$F351))</f>
        <v>249</v>
      </c>
      <c r="Q351" s="46">
        <f>IF(VLOOKUP($C351,REV!$C:$AA,15,0)-'TRADE IN'!$F360=0,"",(VLOOKUP($C351,REV!$C:$AA,15,0)-'TRADE IN'!$F351))</f>
        <v>249</v>
      </c>
      <c r="R351" s="46">
        <f>IF(VLOOKUP($C351,REV!$C:$AA,16,0)-'TRADE IN'!$F360=0,"",(VLOOKUP($C351,REV!$C:$AA,16,0)-'TRADE IN'!$F351))</f>
        <v>249</v>
      </c>
      <c r="S351" s="46">
        <f>IF(VLOOKUP($C351,REV!$C:$AA,17,0)-'TRADE IN'!$F360=0,"",(VLOOKUP($C351,REV!$C:$AA,17,0)-'TRADE IN'!$F351))</f>
        <v>249</v>
      </c>
      <c r="T351" s="46">
        <f>IF(VLOOKUP($C351,REV!$C:$AA,18,0)-'TRADE IN'!$F360=0,"",(VLOOKUP($C351,REV!$C:$AA,18,0)-'TRADE IN'!$F351))</f>
        <v>249</v>
      </c>
      <c r="U351" s="46">
        <f>IF(VLOOKUP($C351,REV!$C:$AA,19,0)-'TRADE IN'!$F360=0,"",(VLOOKUP($C351,REV!$C:$AA,19,0)-'TRADE IN'!$F351))</f>
        <v>249</v>
      </c>
      <c r="V351" s="46">
        <f>IF(VLOOKUP($C351,REV!$C:$AA,20,0)-'TRADE IN'!$F360=0,"",(VLOOKUP($C351,REV!$C:$AA,20,0)-'TRADE IN'!$F351))</f>
        <v>249</v>
      </c>
      <c r="W351" s="46">
        <f>IF(VLOOKUP($C351,REV!$C:$AA,21,0)-'TRADE IN'!$F360=0,"",(VLOOKUP($C351,REV!$C:$AA,21,0)-'TRADE IN'!$F351))</f>
        <v>249</v>
      </c>
      <c r="X351" s="46">
        <f>IF(VLOOKUP($C351,REV!$C:$AA,22,0)-'TRADE IN'!$F360=0,"",(VLOOKUP($C351,REV!$C:$AA,22,0)-'TRADE IN'!$F351))</f>
        <v>249</v>
      </c>
      <c r="Y351" s="46">
        <f>IF(VLOOKUP($C351,REV!$C:$AA,23,0)-'TRADE IN'!$F360=0,"",(VLOOKUP($C351,REV!$C:$AA,23,0)-'TRADE IN'!$F351))</f>
        <v>249</v>
      </c>
      <c r="Z351" s="46">
        <f>IF(VLOOKUP($C351,REV!$C:$AA,24,0)-'TRADE IN'!$F360=0,"",(VLOOKUP($C351,REV!$C:$AA,24,0)-'TRADE IN'!$F351))</f>
        <v>249</v>
      </c>
      <c r="AA351" s="46">
        <f>IF(VLOOKUP($C351,REV!$C:$AA,25,0)-'TRADE IN'!$F360=0,"",(VLOOKUP($C351,REV!$C:$AA,25,0)-'TRADE IN'!$F351))</f>
        <v>249</v>
      </c>
      <c r="AB351" s="46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tr">
        <f>IF(REV!AW351=0,"",REV!AW351)</f>
        <v>31.03.2026</v>
      </c>
      <c r="AX351" s="159" t="s">
        <v>66</v>
      </c>
    </row>
    <row r="352" spans="1:50" ht="22.5" customHeight="1">
      <c r="A352" s="50" t="s">
        <v>61</v>
      </c>
      <c r="B352" s="41" t="s">
        <v>62</v>
      </c>
      <c r="C352" s="42">
        <v>4014066</v>
      </c>
      <c r="D352" s="62" t="s">
        <v>521</v>
      </c>
      <c r="E352" s="62" t="s">
        <v>525</v>
      </c>
      <c r="F352" s="45"/>
      <c r="G352" s="45"/>
      <c r="H352" s="45"/>
      <c r="I352" s="45"/>
      <c r="J352" s="46">
        <f>IF(VLOOKUP($C352,REV!$C:$AA,8,0)-'TRADE IN'!$F352=0,"",(VLOOKUP($C352,REV!$C:$AA,8,0)-'TRADE IN'!$F352))</f>
        <v>299</v>
      </c>
      <c r="K352" s="46">
        <f>IF(VLOOKUP($C352,REV!$C:$AA,9,0)-'TRADE IN'!$F352=0,"",(VLOOKUP($C352,REV!$C:$AA,9,0)-'TRADE IN'!$F352))</f>
        <v>299</v>
      </c>
      <c r="L352" s="46">
        <f>IF(VLOOKUP($C352,REV!$C:$AA,10,0)-'TRADE IN'!$F361=0,"",(VLOOKUP($C352,REV!$C:$AA,10,0)-'TRADE IN'!$F352))</f>
        <v>299</v>
      </c>
      <c r="M352" s="46">
        <f>IF(VLOOKUP($C352,REV!$C:$AA,11,0)-'TRADE IN'!$F361=0,"",(VLOOKUP($C352,REV!$C:$AA,11,0)-'TRADE IN'!$F352))</f>
        <v>299</v>
      </c>
      <c r="N352" s="46">
        <f>IF(VLOOKUP($C352,REV!$C:$AA,12,0)-'TRADE IN'!$F361=0,"",(VLOOKUP($C352,REV!$C:$AA,12,0)-'TRADE IN'!$F352))</f>
        <v>299</v>
      </c>
      <c r="O352" s="46">
        <f>IF(VLOOKUP($C352,REV!$C:$AA,13,0)-'TRADE IN'!$F361=0,"",(VLOOKUP($C352,REV!$C:$AA,13,0)-'TRADE IN'!$F352))</f>
        <v>249</v>
      </c>
      <c r="P352" s="46">
        <f>IF(VLOOKUP($C352,REV!$C:$AA,14,0)-'TRADE IN'!$F361=0,"",(VLOOKUP($C352,REV!$C:$AA,14,0)-'TRADE IN'!$F352))</f>
        <v>249</v>
      </c>
      <c r="Q352" s="46">
        <f>IF(VLOOKUP($C352,REV!$C:$AA,15,0)-'TRADE IN'!$F361=0,"",(VLOOKUP($C352,REV!$C:$AA,15,0)-'TRADE IN'!$F352))</f>
        <v>249</v>
      </c>
      <c r="R352" s="46">
        <f>IF(VLOOKUP($C352,REV!$C:$AA,16,0)-'TRADE IN'!$F361=0,"",(VLOOKUP($C352,REV!$C:$AA,16,0)-'TRADE IN'!$F352))</f>
        <v>249</v>
      </c>
      <c r="S352" s="46">
        <f>IF(VLOOKUP($C352,REV!$C:$AA,17,0)-'TRADE IN'!$F361=0,"",(VLOOKUP($C352,REV!$C:$AA,17,0)-'TRADE IN'!$F352))</f>
        <v>249</v>
      </c>
      <c r="T352" s="46">
        <f>IF(VLOOKUP($C352,REV!$C:$AA,18,0)-'TRADE IN'!$F361=0,"",(VLOOKUP($C352,REV!$C:$AA,18,0)-'TRADE IN'!$F352))</f>
        <v>249</v>
      </c>
      <c r="U352" s="46">
        <f>IF(VLOOKUP($C352,REV!$C:$AA,19,0)-'TRADE IN'!$F361=0,"",(VLOOKUP($C352,REV!$C:$AA,19,0)-'TRADE IN'!$F352))</f>
        <v>249</v>
      </c>
      <c r="V352" s="46">
        <f>IF(VLOOKUP($C352,REV!$C:$AA,20,0)-'TRADE IN'!$F361=0,"",(VLOOKUP($C352,REV!$C:$AA,20,0)-'TRADE IN'!$F352))</f>
        <v>249</v>
      </c>
      <c r="W352" s="46">
        <f>IF(VLOOKUP($C352,REV!$C:$AA,21,0)-'TRADE IN'!$F361=0,"",(VLOOKUP($C352,REV!$C:$AA,21,0)-'TRADE IN'!$F352))</f>
        <v>249</v>
      </c>
      <c r="X352" s="46">
        <f>IF(VLOOKUP($C352,REV!$C:$AA,22,0)-'TRADE IN'!$F361=0,"",(VLOOKUP($C352,REV!$C:$AA,22,0)-'TRADE IN'!$F352))</f>
        <v>249</v>
      </c>
      <c r="Y352" s="46">
        <f>IF(VLOOKUP($C352,REV!$C:$AA,23,0)-'TRADE IN'!$F361=0,"",(VLOOKUP($C352,REV!$C:$AA,23,0)-'TRADE IN'!$F352))</f>
        <v>249</v>
      </c>
      <c r="Z352" s="46">
        <f>IF(VLOOKUP($C352,REV!$C:$AA,24,0)-'TRADE IN'!$F361=0,"",(VLOOKUP($C352,REV!$C:$AA,24,0)-'TRADE IN'!$F352))</f>
        <v>249</v>
      </c>
      <c r="AA352" s="46">
        <f>IF(VLOOKUP($C352,REV!$C:$AA,25,0)-'TRADE IN'!$F361=0,"",(VLOOKUP($C352,REV!$C:$AA,25,0)-'TRADE IN'!$F352))</f>
        <v>249</v>
      </c>
      <c r="AB352" s="46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tr">
        <f>IF(REV!AW352=0,"",REV!AW352)</f>
        <v>31.03.2026</v>
      </c>
      <c r="AX352" s="159" t="s">
        <v>66</v>
      </c>
    </row>
    <row r="353" spans="1:50" ht="22.5" customHeight="1">
      <c r="A353" s="50" t="s">
        <v>61</v>
      </c>
      <c r="B353" s="41" t="s">
        <v>62</v>
      </c>
      <c r="C353" s="42">
        <v>4014669</v>
      </c>
      <c r="D353" s="62" t="s">
        <v>526</v>
      </c>
      <c r="E353" s="62" t="s">
        <v>527</v>
      </c>
      <c r="F353" s="45"/>
      <c r="G353" s="45"/>
      <c r="H353" s="45"/>
      <c r="I353" s="45"/>
      <c r="J353" s="46">
        <f>IF(VLOOKUP($C353,REV!$C:$AA,8,0)-'TRADE IN'!$F353=0,"",(VLOOKUP($C353,REV!$C:$AA,8,0)-'TRADE IN'!$F353))</f>
        <v>299</v>
      </c>
      <c r="K353" s="46">
        <f>IF(VLOOKUP($C353,REV!$C:$AA,9,0)-'TRADE IN'!$F353=0,"",(VLOOKUP($C353,REV!$C:$AA,9,0)-'TRADE IN'!$F353))</f>
        <v>299</v>
      </c>
      <c r="L353" s="46">
        <f>IF(VLOOKUP($C353,REV!$C:$AA,10,0)-'TRADE IN'!$F362=0,"",(VLOOKUP($C353,REV!$C:$AA,10,0)-'TRADE IN'!$F353))</f>
        <v>299</v>
      </c>
      <c r="M353" s="46">
        <f>IF(VLOOKUP($C353,REV!$C:$AA,11,0)-'TRADE IN'!$F362=0,"",(VLOOKUP($C353,REV!$C:$AA,11,0)-'TRADE IN'!$F353))</f>
        <v>299</v>
      </c>
      <c r="N353" s="46">
        <f>IF(VLOOKUP($C353,REV!$C:$AA,12,0)-'TRADE IN'!$F362=0,"",(VLOOKUP($C353,REV!$C:$AA,12,0)-'TRADE IN'!$F353))</f>
        <v>299</v>
      </c>
      <c r="O353" s="46">
        <f>IF(VLOOKUP($C353,REV!$C:$AA,13,0)-'TRADE IN'!$F362=0,"",(VLOOKUP($C353,REV!$C:$AA,13,0)-'TRADE IN'!$F353))</f>
        <v>249</v>
      </c>
      <c r="P353" s="46">
        <f>IF(VLOOKUP($C353,REV!$C:$AA,14,0)-'TRADE IN'!$F362=0,"",(VLOOKUP($C353,REV!$C:$AA,14,0)-'TRADE IN'!$F353))</f>
        <v>249</v>
      </c>
      <c r="Q353" s="46">
        <f>IF(VLOOKUP($C353,REV!$C:$AA,15,0)-'TRADE IN'!$F362=0,"",(VLOOKUP($C353,REV!$C:$AA,15,0)-'TRADE IN'!$F353))</f>
        <v>249</v>
      </c>
      <c r="R353" s="46">
        <f>IF(VLOOKUP($C353,REV!$C:$AA,16,0)-'TRADE IN'!$F362=0,"",(VLOOKUP($C353,REV!$C:$AA,16,0)-'TRADE IN'!$F353))</f>
        <v>249</v>
      </c>
      <c r="S353" s="46">
        <f>IF(VLOOKUP($C353,REV!$C:$AA,17,0)-'TRADE IN'!$F362=0,"",(VLOOKUP($C353,REV!$C:$AA,17,0)-'TRADE IN'!$F353))</f>
        <v>249</v>
      </c>
      <c r="T353" s="46">
        <f>IF(VLOOKUP($C353,REV!$C:$AA,18,0)-'TRADE IN'!$F362=0,"",(VLOOKUP($C353,REV!$C:$AA,18,0)-'TRADE IN'!$F353))</f>
        <v>249</v>
      </c>
      <c r="U353" s="46">
        <f>IF(VLOOKUP($C353,REV!$C:$AA,19,0)-'TRADE IN'!$F362=0,"",(VLOOKUP($C353,REV!$C:$AA,19,0)-'TRADE IN'!$F353))</f>
        <v>249</v>
      </c>
      <c r="V353" s="46">
        <f>IF(VLOOKUP($C353,REV!$C:$AA,20,0)-'TRADE IN'!$F362=0,"",(VLOOKUP($C353,REV!$C:$AA,20,0)-'TRADE IN'!$F353))</f>
        <v>249</v>
      </c>
      <c r="W353" s="46">
        <f>IF(VLOOKUP($C353,REV!$C:$AA,21,0)-'TRADE IN'!$F362=0,"",(VLOOKUP($C353,REV!$C:$AA,21,0)-'TRADE IN'!$F353))</f>
        <v>249</v>
      </c>
      <c r="X353" s="46">
        <f>IF(VLOOKUP($C353,REV!$C:$AA,22,0)-'TRADE IN'!$F362=0,"",(VLOOKUP($C353,REV!$C:$AA,22,0)-'TRADE IN'!$F353))</f>
        <v>249</v>
      </c>
      <c r="Y353" s="46">
        <f>IF(VLOOKUP($C353,REV!$C:$AA,23,0)-'TRADE IN'!$F362=0,"",(VLOOKUP($C353,REV!$C:$AA,23,0)-'TRADE IN'!$F353))</f>
        <v>249</v>
      </c>
      <c r="Z353" s="46">
        <f>IF(VLOOKUP($C353,REV!$C:$AA,24,0)-'TRADE IN'!$F362=0,"",(VLOOKUP($C353,REV!$C:$AA,24,0)-'TRADE IN'!$F353))</f>
        <v>249</v>
      </c>
      <c r="AA353" s="46">
        <f>IF(VLOOKUP($C353,REV!$C:$AA,25,0)-'TRADE IN'!$F362=0,"",(VLOOKUP($C353,REV!$C:$AA,25,0)-'TRADE IN'!$F353))</f>
        <v>249</v>
      </c>
      <c r="AB353" s="46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tr">
        <f>IF(REV!AW353=0,"",REV!AW353)</f>
        <v>31.03.2026</v>
      </c>
      <c r="AX353" s="159" t="s">
        <v>66</v>
      </c>
    </row>
    <row r="354" spans="1:50" ht="22.5" customHeight="1">
      <c r="A354" s="50" t="s">
        <v>61</v>
      </c>
      <c r="B354" s="41" t="s">
        <v>62</v>
      </c>
      <c r="C354" s="42">
        <v>4014696</v>
      </c>
      <c r="D354" s="62" t="s">
        <v>526</v>
      </c>
      <c r="E354" s="62" t="s">
        <v>528</v>
      </c>
      <c r="F354" s="45"/>
      <c r="G354" s="45"/>
      <c r="H354" s="45"/>
      <c r="I354" s="45"/>
      <c r="J354" s="46">
        <f>IF(VLOOKUP($C354,REV!$C:$AA,8,0)-'TRADE IN'!$F354=0,"",(VLOOKUP($C354,REV!$C:$AA,8,0)-'TRADE IN'!$F354))</f>
        <v>299</v>
      </c>
      <c r="K354" s="46">
        <f>IF(VLOOKUP($C354,REV!$C:$AA,9,0)-'TRADE IN'!$F354=0,"",(VLOOKUP($C354,REV!$C:$AA,9,0)-'TRADE IN'!$F354))</f>
        <v>299</v>
      </c>
      <c r="L354" s="46">
        <f>IF(VLOOKUP($C354,REV!$C:$AA,10,0)-'TRADE IN'!$F363=0,"",(VLOOKUP($C354,REV!$C:$AA,10,0)-'TRADE IN'!$F354))</f>
        <v>299</v>
      </c>
      <c r="M354" s="46">
        <f>IF(VLOOKUP($C354,REV!$C:$AA,11,0)-'TRADE IN'!$F363=0,"",(VLOOKUP($C354,REV!$C:$AA,11,0)-'TRADE IN'!$F354))</f>
        <v>299</v>
      </c>
      <c r="N354" s="46">
        <f>IF(VLOOKUP($C354,REV!$C:$AA,12,0)-'TRADE IN'!$F363=0,"",(VLOOKUP($C354,REV!$C:$AA,12,0)-'TRADE IN'!$F354))</f>
        <v>299</v>
      </c>
      <c r="O354" s="46">
        <f>IF(VLOOKUP($C354,REV!$C:$AA,13,0)-'TRADE IN'!$F363=0,"",(VLOOKUP($C354,REV!$C:$AA,13,0)-'TRADE IN'!$F354))</f>
        <v>249</v>
      </c>
      <c r="P354" s="46">
        <f>IF(VLOOKUP($C354,REV!$C:$AA,14,0)-'TRADE IN'!$F363=0,"",(VLOOKUP($C354,REV!$C:$AA,14,0)-'TRADE IN'!$F354))</f>
        <v>249</v>
      </c>
      <c r="Q354" s="46">
        <f>IF(VLOOKUP($C354,REV!$C:$AA,15,0)-'TRADE IN'!$F363=0,"",(VLOOKUP($C354,REV!$C:$AA,15,0)-'TRADE IN'!$F354))</f>
        <v>249</v>
      </c>
      <c r="R354" s="46">
        <f>IF(VLOOKUP($C354,REV!$C:$AA,16,0)-'TRADE IN'!$F363=0,"",(VLOOKUP($C354,REV!$C:$AA,16,0)-'TRADE IN'!$F354))</f>
        <v>249</v>
      </c>
      <c r="S354" s="46">
        <f>IF(VLOOKUP($C354,REV!$C:$AA,17,0)-'TRADE IN'!$F363=0,"",(VLOOKUP($C354,REV!$C:$AA,17,0)-'TRADE IN'!$F354))</f>
        <v>249</v>
      </c>
      <c r="T354" s="46">
        <f>IF(VLOOKUP($C354,REV!$C:$AA,18,0)-'TRADE IN'!$F363=0,"",(VLOOKUP($C354,REV!$C:$AA,18,0)-'TRADE IN'!$F354))</f>
        <v>249</v>
      </c>
      <c r="U354" s="46">
        <f>IF(VLOOKUP($C354,REV!$C:$AA,19,0)-'TRADE IN'!$F363=0,"",(VLOOKUP($C354,REV!$C:$AA,19,0)-'TRADE IN'!$F354))</f>
        <v>249</v>
      </c>
      <c r="V354" s="46">
        <f>IF(VLOOKUP($C354,REV!$C:$AA,20,0)-'TRADE IN'!$F363=0,"",(VLOOKUP($C354,REV!$C:$AA,20,0)-'TRADE IN'!$F354))</f>
        <v>249</v>
      </c>
      <c r="W354" s="46">
        <f>IF(VLOOKUP($C354,REV!$C:$AA,21,0)-'TRADE IN'!$F363=0,"",(VLOOKUP($C354,REV!$C:$AA,21,0)-'TRADE IN'!$F354))</f>
        <v>249</v>
      </c>
      <c r="X354" s="46">
        <f>IF(VLOOKUP($C354,REV!$C:$AA,22,0)-'TRADE IN'!$F363=0,"",(VLOOKUP($C354,REV!$C:$AA,22,0)-'TRADE IN'!$F354))</f>
        <v>249</v>
      </c>
      <c r="Y354" s="46">
        <f>IF(VLOOKUP($C354,REV!$C:$AA,23,0)-'TRADE IN'!$F363=0,"",(VLOOKUP($C354,REV!$C:$AA,23,0)-'TRADE IN'!$F354))</f>
        <v>249</v>
      </c>
      <c r="Z354" s="46">
        <f>IF(VLOOKUP($C354,REV!$C:$AA,24,0)-'TRADE IN'!$F363=0,"",(VLOOKUP($C354,REV!$C:$AA,24,0)-'TRADE IN'!$F354))</f>
        <v>249</v>
      </c>
      <c r="AA354" s="46">
        <f>IF(VLOOKUP($C354,REV!$C:$AA,25,0)-'TRADE IN'!$F363=0,"",(VLOOKUP($C354,REV!$C:$AA,25,0)-'TRADE IN'!$F354))</f>
        <v>249</v>
      </c>
      <c r="AB354" s="46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tr">
        <f>IF(REV!AW354=0,"",REV!AW354)</f>
        <v>31.03.2026</v>
      </c>
      <c r="AX354" s="159" t="s">
        <v>66</v>
      </c>
    </row>
    <row r="355" spans="1:50" ht="22.5" customHeight="1">
      <c r="A355" s="50" t="s">
        <v>61</v>
      </c>
      <c r="B355" s="41" t="s">
        <v>62</v>
      </c>
      <c r="C355" s="42">
        <v>4014692</v>
      </c>
      <c r="D355" s="62" t="s">
        <v>526</v>
      </c>
      <c r="E355" s="62" t="s">
        <v>529</v>
      </c>
      <c r="F355" s="45"/>
      <c r="G355" s="45"/>
      <c r="H355" s="45"/>
      <c r="I355" s="45"/>
      <c r="J355" s="46">
        <f>IF(VLOOKUP($C355,REV!$C:$AA,8,0)-'TRADE IN'!$F355=0,"",(VLOOKUP($C355,REV!$C:$AA,8,0)-'TRADE IN'!$F355))</f>
        <v>299</v>
      </c>
      <c r="K355" s="46">
        <f>IF(VLOOKUP($C355,REV!$C:$AA,9,0)-'TRADE IN'!$F355=0,"",(VLOOKUP($C355,REV!$C:$AA,9,0)-'TRADE IN'!$F355))</f>
        <v>299</v>
      </c>
      <c r="L355" s="46">
        <f>IF(VLOOKUP($C355,REV!$C:$AA,10,0)-'TRADE IN'!$F364=0,"",(VLOOKUP($C355,REV!$C:$AA,10,0)-'TRADE IN'!$F355))</f>
        <v>299</v>
      </c>
      <c r="M355" s="46">
        <f>IF(VLOOKUP($C355,REV!$C:$AA,11,0)-'TRADE IN'!$F364=0,"",(VLOOKUP($C355,REV!$C:$AA,11,0)-'TRADE IN'!$F355))</f>
        <v>299</v>
      </c>
      <c r="N355" s="46">
        <f>IF(VLOOKUP($C355,REV!$C:$AA,12,0)-'TRADE IN'!$F364=0,"",(VLOOKUP($C355,REV!$C:$AA,12,0)-'TRADE IN'!$F355))</f>
        <v>299</v>
      </c>
      <c r="O355" s="46">
        <f>IF(VLOOKUP($C355,REV!$C:$AA,13,0)-'TRADE IN'!$F364=0,"",(VLOOKUP($C355,REV!$C:$AA,13,0)-'TRADE IN'!$F355))</f>
        <v>249</v>
      </c>
      <c r="P355" s="46">
        <f>IF(VLOOKUP($C355,REV!$C:$AA,14,0)-'TRADE IN'!$F364=0,"",(VLOOKUP($C355,REV!$C:$AA,14,0)-'TRADE IN'!$F355))</f>
        <v>249</v>
      </c>
      <c r="Q355" s="46">
        <f>IF(VLOOKUP($C355,REV!$C:$AA,15,0)-'TRADE IN'!$F364=0,"",(VLOOKUP($C355,REV!$C:$AA,15,0)-'TRADE IN'!$F355))</f>
        <v>249</v>
      </c>
      <c r="R355" s="46">
        <f>IF(VLOOKUP($C355,REV!$C:$AA,16,0)-'TRADE IN'!$F364=0,"",(VLOOKUP($C355,REV!$C:$AA,16,0)-'TRADE IN'!$F355))</f>
        <v>249</v>
      </c>
      <c r="S355" s="46">
        <f>IF(VLOOKUP($C355,REV!$C:$AA,17,0)-'TRADE IN'!$F364=0,"",(VLOOKUP($C355,REV!$C:$AA,17,0)-'TRADE IN'!$F355))</f>
        <v>249</v>
      </c>
      <c r="T355" s="46">
        <f>IF(VLOOKUP($C355,REV!$C:$AA,18,0)-'TRADE IN'!$F364=0,"",(VLOOKUP($C355,REV!$C:$AA,18,0)-'TRADE IN'!$F355))</f>
        <v>249</v>
      </c>
      <c r="U355" s="46">
        <f>IF(VLOOKUP($C355,REV!$C:$AA,19,0)-'TRADE IN'!$F364=0,"",(VLOOKUP($C355,REV!$C:$AA,19,0)-'TRADE IN'!$F355))</f>
        <v>249</v>
      </c>
      <c r="V355" s="46">
        <f>IF(VLOOKUP($C355,REV!$C:$AA,20,0)-'TRADE IN'!$F364=0,"",(VLOOKUP($C355,REV!$C:$AA,20,0)-'TRADE IN'!$F355))</f>
        <v>249</v>
      </c>
      <c r="W355" s="46">
        <f>IF(VLOOKUP($C355,REV!$C:$AA,21,0)-'TRADE IN'!$F364=0,"",(VLOOKUP($C355,REV!$C:$AA,21,0)-'TRADE IN'!$F355))</f>
        <v>249</v>
      </c>
      <c r="X355" s="46">
        <f>IF(VLOOKUP($C355,REV!$C:$AA,22,0)-'TRADE IN'!$F364=0,"",(VLOOKUP($C355,REV!$C:$AA,22,0)-'TRADE IN'!$F355))</f>
        <v>249</v>
      </c>
      <c r="Y355" s="46">
        <f>IF(VLOOKUP($C355,REV!$C:$AA,23,0)-'TRADE IN'!$F364=0,"",(VLOOKUP($C355,REV!$C:$AA,23,0)-'TRADE IN'!$F355))</f>
        <v>249</v>
      </c>
      <c r="Z355" s="46">
        <f>IF(VLOOKUP($C355,REV!$C:$AA,24,0)-'TRADE IN'!$F364=0,"",(VLOOKUP($C355,REV!$C:$AA,24,0)-'TRADE IN'!$F355))</f>
        <v>249</v>
      </c>
      <c r="AA355" s="46">
        <f>IF(VLOOKUP($C355,REV!$C:$AA,25,0)-'TRADE IN'!$F364=0,"",(VLOOKUP($C355,REV!$C:$AA,25,0)-'TRADE IN'!$F355))</f>
        <v>249</v>
      </c>
      <c r="AB355" s="46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tr">
        <f>IF(REV!AW355=0,"",REV!AW355)</f>
        <v>31.03.2026</v>
      </c>
      <c r="AX355" s="159" t="s">
        <v>66</v>
      </c>
    </row>
    <row r="356" spans="1:50" ht="22.5" customHeight="1">
      <c r="A356" s="50" t="s">
        <v>61</v>
      </c>
      <c r="B356" s="41" t="s">
        <v>62</v>
      </c>
      <c r="C356" s="42">
        <v>4014698</v>
      </c>
      <c r="D356" s="62" t="s">
        <v>526</v>
      </c>
      <c r="E356" s="62" t="s">
        <v>530</v>
      </c>
      <c r="F356" s="45"/>
      <c r="G356" s="45"/>
      <c r="H356" s="45"/>
      <c r="I356" s="45"/>
      <c r="J356" s="46">
        <f>IF(VLOOKUP($C356,REV!$C:$AA,8,0)-'TRADE IN'!$F356=0,"",(VLOOKUP($C356,REV!$C:$AA,8,0)-'TRADE IN'!$F356))</f>
        <v>299</v>
      </c>
      <c r="K356" s="46">
        <f>IF(VLOOKUP($C356,REV!$C:$AA,9,0)-'TRADE IN'!$F356=0,"",(VLOOKUP($C356,REV!$C:$AA,9,0)-'TRADE IN'!$F356))</f>
        <v>299</v>
      </c>
      <c r="L356" s="46">
        <f>IF(VLOOKUP($C356,REV!$C:$AA,10,0)-'TRADE IN'!$F365=0,"",(VLOOKUP($C356,REV!$C:$AA,10,0)-'TRADE IN'!$F356))</f>
        <v>299</v>
      </c>
      <c r="M356" s="46">
        <f>IF(VLOOKUP($C356,REV!$C:$AA,11,0)-'TRADE IN'!$F365=0,"",(VLOOKUP($C356,REV!$C:$AA,11,0)-'TRADE IN'!$F356))</f>
        <v>299</v>
      </c>
      <c r="N356" s="46">
        <f>IF(VLOOKUP($C356,REV!$C:$AA,12,0)-'TRADE IN'!$F365=0,"",(VLOOKUP($C356,REV!$C:$AA,12,0)-'TRADE IN'!$F356))</f>
        <v>299</v>
      </c>
      <c r="O356" s="46">
        <f>IF(VLOOKUP($C356,REV!$C:$AA,13,0)-'TRADE IN'!$F365=0,"",(VLOOKUP($C356,REV!$C:$AA,13,0)-'TRADE IN'!$F356))</f>
        <v>249</v>
      </c>
      <c r="P356" s="46">
        <f>IF(VLOOKUP($C356,REV!$C:$AA,14,0)-'TRADE IN'!$F365=0,"",(VLOOKUP($C356,REV!$C:$AA,14,0)-'TRADE IN'!$F356))</f>
        <v>249</v>
      </c>
      <c r="Q356" s="46">
        <f>IF(VLOOKUP($C356,REV!$C:$AA,15,0)-'TRADE IN'!$F365=0,"",(VLOOKUP($C356,REV!$C:$AA,15,0)-'TRADE IN'!$F356))</f>
        <v>249</v>
      </c>
      <c r="R356" s="46">
        <f>IF(VLOOKUP($C356,REV!$C:$AA,16,0)-'TRADE IN'!$F365=0,"",(VLOOKUP($C356,REV!$C:$AA,16,0)-'TRADE IN'!$F356))</f>
        <v>249</v>
      </c>
      <c r="S356" s="46">
        <f>IF(VLOOKUP($C356,REV!$C:$AA,17,0)-'TRADE IN'!$F365=0,"",(VLOOKUP($C356,REV!$C:$AA,17,0)-'TRADE IN'!$F356))</f>
        <v>249</v>
      </c>
      <c r="T356" s="46">
        <f>IF(VLOOKUP($C356,REV!$C:$AA,18,0)-'TRADE IN'!$F365=0,"",(VLOOKUP($C356,REV!$C:$AA,18,0)-'TRADE IN'!$F356))</f>
        <v>249</v>
      </c>
      <c r="U356" s="46">
        <f>IF(VLOOKUP($C356,REV!$C:$AA,19,0)-'TRADE IN'!$F365=0,"",(VLOOKUP($C356,REV!$C:$AA,19,0)-'TRADE IN'!$F356))</f>
        <v>249</v>
      </c>
      <c r="V356" s="46">
        <f>IF(VLOOKUP($C356,REV!$C:$AA,20,0)-'TRADE IN'!$F365=0,"",(VLOOKUP($C356,REV!$C:$AA,20,0)-'TRADE IN'!$F356))</f>
        <v>249</v>
      </c>
      <c r="W356" s="46">
        <f>IF(VLOOKUP($C356,REV!$C:$AA,21,0)-'TRADE IN'!$F365=0,"",(VLOOKUP($C356,REV!$C:$AA,21,0)-'TRADE IN'!$F356))</f>
        <v>249</v>
      </c>
      <c r="X356" s="46">
        <f>IF(VLOOKUP($C356,REV!$C:$AA,22,0)-'TRADE IN'!$F365=0,"",(VLOOKUP($C356,REV!$C:$AA,22,0)-'TRADE IN'!$F356))</f>
        <v>249</v>
      </c>
      <c r="Y356" s="46">
        <f>IF(VLOOKUP($C356,REV!$C:$AA,23,0)-'TRADE IN'!$F365=0,"",(VLOOKUP($C356,REV!$C:$AA,23,0)-'TRADE IN'!$F356))</f>
        <v>249</v>
      </c>
      <c r="Z356" s="46">
        <f>IF(VLOOKUP($C356,REV!$C:$AA,24,0)-'TRADE IN'!$F365=0,"",(VLOOKUP($C356,REV!$C:$AA,24,0)-'TRADE IN'!$F356))</f>
        <v>249</v>
      </c>
      <c r="AA356" s="46">
        <f>IF(VLOOKUP($C356,REV!$C:$AA,25,0)-'TRADE IN'!$F365=0,"",(VLOOKUP($C356,REV!$C:$AA,25,0)-'TRADE IN'!$F356))</f>
        <v>249</v>
      </c>
      <c r="AB356" s="46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tr">
        <f>IF(REV!AW356=0,"",REV!AW356)</f>
        <v>31.03.2026</v>
      </c>
      <c r="AX356" s="159" t="s">
        <v>66</v>
      </c>
    </row>
    <row r="357" spans="1:50" ht="22.5" customHeight="1">
      <c r="A357" s="50" t="s">
        <v>61</v>
      </c>
      <c r="B357" s="41" t="s">
        <v>62</v>
      </c>
      <c r="C357" s="42">
        <v>4014681</v>
      </c>
      <c r="D357" s="44" t="s">
        <v>531</v>
      </c>
      <c r="E357" s="44" t="s">
        <v>532</v>
      </c>
      <c r="F357" s="45"/>
      <c r="G357" s="45"/>
      <c r="H357" s="45"/>
      <c r="I357" s="45"/>
      <c r="J357" s="46">
        <f>IF(VLOOKUP($C357,REV!$C:$AA,8,0)-'TRADE IN'!$F357=0,"",(VLOOKUP($C357,REV!$C:$AA,8,0)-'TRADE IN'!$F357))</f>
        <v>349</v>
      </c>
      <c r="K357" s="46">
        <f>IF(VLOOKUP($C357,REV!$C:$AA,9,0)-'TRADE IN'!$F357=0,"",(VLOOKUP($C357,REV!$C:$AA,9,0)-'TRADE IN'!$F357))</f>
        <v>349</v>
      </c>
      <c r="L357" s="46">
        <f>IF(VLOOKUP($C357,REV!$C:$AA,10,0)-'TRADE IN'!$F366=0,"",(VLOOKUP($C357,REV!$C:$AA,10,0)-'TRADE IN'!$F357))</f>
        <v>349</v>
      </c>
      <c r="M357" s="46">
        <f>IF(VLOOKUP($C357,REV!$C:$AA,11,0)-'TRADE IN'!$F366=0,"",(VLOOKUP($C357,REV!$C:$AA,11,0)-'TRADE IN'!$F357))</f>
        <v>349</v>
      </c>
      <c r="N357" s="46">
        <f>IF(VLOOKUP($C357,REV!$C:$AA,12,0)-'TRADE IN'!$F366=0,"",(VLOOKUP($C357,REV!$C:$AA,12,0)-'TRADE IN'!$F357))</f>
        <v>349</v>
      </c>
      <c r="O357" s="46">
        <f>IF(VLOOKUP($C357,REV!$C:$AA,13,0)-'TRADE IN'!$F366=0,"",(VLOOKUP($C357,REV!$C:$AA,13,0)-'TRADE IN'!$F357))</f>
        <v>349</v>
      </c>
      <c r="P357" s="46">
        <f>IF(VLOOKUP($C357,REV!$C:$AA,14,0)-'TRADE IN'!$F366=0,"",(VLOOKUP($C357,REV!$C:$AA,14,0)-'TRADE IN'!$F357))</f>
        <v>349</v>
      </c>
      <c r="Q357" s="46">
        <f>IF(VLOOKUP($C357,REV!$C:$AA,15,0)-'TRADE IN'!$F366=0,"",(VLOOKUP($C357,REV!$C:$AA,15,0)-'TRADE IN'!$F357))</f>
        <v>349</v>
      </c>
      <c r="R357" s="46">
        <f>IF(VLOOKUP($C357,REV!$C:$AA,16,0)-'TRADE IN'!$F366=0,"",(VLOOKUP($C357,REV!$C:$AA,16,0)-'TRADE IN'!$F357))</f>
        <v>349</v>
      </c>
      <c r="S357" s="46">
        <f>IF(VLOOKUP($C357,REV!$C:$AA,17,0)-'TRADE IN'!$F366=0,"",(VLOOKUP($C357,REV!$C:$AA,17,0)-'TRADE IN'!$F357))</f>
        <v>349</v>
      </c>
      <c r="T357" s="46">
        <f>IF(VLOOKUP($C357,REV!$C:$AA,18,0)-'TRADE IN'!$F366=0,"",(VLOOKUP($C357,REV!$C:$AA,18,0)-'TRADE IN'!$F357))</f>
        <v>349</v>
      </c>
      <c r="U357" s="46">
        <f>IF(VLOOKUP($C357,REV!$C:$AA,19,0)-'TRADE IN'!$F366=0,"",(VLOOKUP($C357,REV!$C:$AA,19,0)-'TRADE IN'!$F357))</f>
        <v>349</v>
      </c>
      <c r="V357" s="46">
        <f>IF(VLOOKUP($C357,REV!$C:$AA,20,0)-'TRADE IN'!$F366=0,"",(VLOOKUP($C357,REV!$C:$AA,20,0)-'TRADE IN'!$F357))</f>
        <v>349</v>
      </c>
      <c r="W357" s="46">
        <f>IF(VLOOKUP($C357,REV!$C:$AA,21,0)-'TRADE IN'!$F366=0,"",(VLOOKUP($C357,REV!$C:$AA,21,0)-'TRADE IN'!$F357))</f>
        <v>349</v>
      </c>
      <c r="X357" s="46">
        <f>IF(VLOOKUP($C357,REV!$C:$AA,22,0)-'TRADE IN'!$F366=0,"",(VLOOKUP($C357,REV!$C:$AA,22,0)-'TRADE IN'!$F357))</f>
        <v>349</v>
      </c>
      <c r="Y357" s="46">
        <f>IF(VLOOKUP($C357,REV!$C:$AA,23,0)-'TRADE IN'!$F366=0,"",(VLOOKUP($C357,REV!$C:$AA,23,0)-'TRADE IN'!$F357))</f>
        <v>349</v>
      </c>
      <c r="Z357" s="46">
        <f>IF(VLOOKUP($C357,REV!$C:$AA,24,0)-'TRADE IN'!$F366=0,"",(VLOOKUP($C357,REV!$C:$AA,24,0)-'TRADE IN'!$F357))</f>
        <v>349</v>
      </c>
      <c r="AA357" s="46">
        <f>IF(VLOOKUP($C357,REV!$C:$AA,25,0)-'TRADE IN'!$F366=0,"",(VLOOKUP($C357,REV!$C:$AA,25,0)-'TRADE IN'!$F357))</f>
        <v>349</v>
      </c>
      <c r="AB357" s="46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tr">
        <f>IF(REV!AW357=0,"",REV!AW357)</f>
        <v>31.03.2026</v>
      </c>
      <c r="AX357" s="159" t="s">
        <v>66</v>
      </c>
    </row>
    <row r="358" spans="1:50" ht="22.5" customHeight="1">
      <c r="A358" s="50" t="s">
        <v>61</v>
      </c>
      <c r="B358" s="41" t="s">
        <v>62</v>
      </c>
      <c r="C358" s="42">
        <v>4014682</v>
      </c>
      <c r="D358" s="44" t="s">
        <v>531</v>
      </c>
      <c r="E358" s="44" t="s">
        <v>533</v>
      </c>
      <c r="F358" s="45"/>
      <c r="G358" s="45"/>
      <c r="H358" s="45"/>
      <c r="I358" s="45"/>
      <c r="J358" s="46">
        <f>IF(VLOOKUP($C358,REV!$C:$AA,8,0)-'TRADE IN'!$F358=0,"",(VLOOKUP($C358,REV!$C:$AA,8,0)-'TRADE IN'!$F358))</f>
        <v>349</v>
      </c>
      <c r="K358" s="46">
        <f>IF(VLOOKUP($C358,REV!$C:$AA,9,0)-'TRADE IN'!$F358=0,"",(VLOOKUP($C358,REV!$C:$AA,9,0)-'TRADE IN'!$F358))</f>
        <v>349</v>
      </c>
      <c r="L358" s="46">
        <f>IF(VLOOKUP($C358,REV!$C:$AA,10,0)-'TRADE IN'!$F367=0,"",(VLOOKUP($C358,REV!$C:$AA,10,0)-'TRADE IN'!$F358))</f>
        <v>349</v>
      </c>
      <c r="M358" s="46">
        <f>IF(VLOOKUP($C358,REV!$C:$AA,11,0)-'TRADE IN'!$F367=0,"",(VLOOKUP($C358,REV!$C:$AA,11,0)-'TRADE IN'!$F358))</f>
        <v>349</v>
      </c>
      <c r="N358" s="46">
        <f>IF(VLOOKUP($C358,REV!$C:$AA,12,0)-'TRADE IN'!$F367=0,"",(VLOOKUP($C358,REV!$C:$AA,12,0)-'TRADE IN'!$F358))</f>
        <v>349</v>
      </c>
      <c r="O358" s="46">
        <f>IF(VLOOKUP($C358,REV!$C:$AA,13,0)-'TRADE IN'!$F367=0,"",(VLOOKUP($C358,REV!$C:$AA,13,0)-'TRADE IN'!$F358))</f>
        <v>349</v>
      </c>
      <c r="P358" s="46">
        <f>IF(VLOOKUP($C358,REV!$C:$AA,14,0)-'TRADE IN'!$F367=0,"",(VLOOKUP($C358,REV!$C:$AA,14,0)-'TRADE IN'!$F358))</f>
        <v>349</v>
      </c>
      <c r="Q358" s="46">
        <f>IF(VLOOKUP($C358,REV!$C:$AA,15,0)-'TRADE IN'!$F367=0,"",(VLOOKUP($C358,REV!$C:$AA,15,0)-'TRADE IN'!$F358))</f>
        <v>349</v>
      </c>
      <c r="R358" s="46">
        <f>IF(VLOOKUP($C358,REV!$C:$AA,16,0)-'TRADE IN'!$F367=0,"",(VLOOKUP($C358,REV!$C:$AA,16,0)-'TRADE IN'!$F358))</f>
        <v>349</v>
      </c>
      <c r="S358" s="46">
        <f>IF(VLOOKUP($C358,REV!$C:$AA,17,0)-'TRADE IN'!$F367=0,"",(VLOOKUP($C358,REV!$C:$AA,17,0)-'TRADE IN'!$F358))</f>
        <v>349</v>
      </c>
      <c r="T358" s="46">
        <f>IF(VLOOKUP($C358,REV!$C:$AA,18,0)-'TRADE IN'!$F367=0,"",(VLOOKUP($C358,REV!$C:$AA,18,0)-'TRADE IN'!$F358))</f>
        <v>349</v>
      </c>
      <c r="U358" s="46">
        <f>IF(VLOOKUP($C358,REV!$C:$AA,19,0)-'TRADE IN'!$F367=0,"",(VLOOKUP($C358,REV!$C:$AA,19,0)-'TRADE IN'!$F358))</f>
        <v>349</v>
      </c>
      <c r="V358" s="46">
        <f>IF(VLOOKUP($C358,REV!$C:$AA,20,0)-'TRADE IN'!$F367=0,"",(VLOOKUP($C358,REV!$C:$AA,20,0)-'TRADE IN'!$F358))</f>
        <v>349</v>
      </c>
      <c r="W358" s="46">
        <f>IF(VLOOKUP($C358,REV!$C:$AA,21,0)-'TRADE IN'!$F367=0,"",(VLOOKUP($C358,REV!$C:$AA,21,0)-'TRADE IN'!$F358))</f>
        <v>349</v>
      </c>
      <c r="X358" s="46">
        <f>IF(VLOOKUP($C358,REV!$C:$AA,22,0)-'TRADE IN'!$F367=0,"",(VLOOKUP($C358,REV!$C:$AA,22,0)-'TRADE IN'!$F358))</f>
        <v>349</v>
      </c>
      <c r="Y358" s="46">
        <f>IF(VLOOKUP($C358,REV!$C:$AA,23,0)-'TRADE IN'!$F367=0,"",(VLOOKUP($C358,REV!$C:$AA,23,0)-'TRADE IN'!$F358))</f>
        <v>349</v>
      </c>
      <c r="Z358" s="46">
        <f>IF(VLOOKUP($C358,REV!$C:$AA,24,0)-'TRADE IN'!$F367=0,"",(VLOOKUP($C358,REV!$C:$AA,24,0)-'TRADE IN'!$F358))</f>
        <v>349</v>
      </c>
      <c r="AA358" s="46">
        <f>IF(VLOOKUP($C358,REV!$C:$AA,25,0)-'TRADE IN'!$F367=0,"",(VLOOKUP($C358,REV!$C:$AA,25,0)-'TRADE IN'!$F358))</f>
        <v>349</v>
      </c>
      <c r="AB358" s="46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tr">
        <f>IF(REV!AW358=0,"",REV!AW358)</f>
        <v>31.03.2026</v>
      </c>
      <c r="AX358" s="159" t="s">
        <v>66</v>
      </c>
    </row>
    <row r="359" spans="1:50" ht="22.5" customHeight="1">
      <c r="A359" s="50" t="s">
        <v>61</v>
      </c>
      <c r="B359" s="41" t="s">
        <v>62</v>
      </c>
      <c r="C359" s="42">
        <v>4014683</v>
      </c>
      <c r="D359" s="44" t="s">
        <v>531</v>
      </c>
      <c r="E359" s="44" t="s">
        <v>534</v>
      </c>
      <c r="F359" s="45"/>
      <c r="G359" s="45"/>
      <c r="H359" s="45"/>
      <c r="I359" s="45"/>
      <c r="J359" s="46">
        <f>IF(VLOOKUP($C359,REV!$C:$AA,8,0)-'TRADE IN'!$F359=0,"",(VLOOKUP($C359,REV!$C:$AA,8,0)-'TRADE IN'!$F359))</f>
        <v>349</v>
      </c>
      <c r="K359" s="46">
        <f>IF(VLOOKUP($C359,REV!$C:$AA,9,0)-'TRADE IN'!$F359=0,"",(VLOOKUP($C359,REV!$C:$AA,9,0)-'TRADE IN'!$F359))</f>
        <v>349</v>
      </c>
      <c r="L359" s="46">
        <f>IF(VLOOKUP($C359,REV!$C:$AA,10,0)-'TRADE IN'!$F368=0,"",(VLOOKUP($C359,REV!$C:$AA,10,0)-'TRADE IN'!$F359))</f>
        <v>349</v>
      </c>
      <c r="M359" s="46">
        <f>IF(VLOOKUP($C359,REV!$C:$AA,11,0)-'TRADE IN'!$F368=0,"",(VLOOKUP($C359,REV!$C:$AA,11,0)-'TRADE IN'!$F359))</f>
        <v>349</v>
      </c>
      <c r="N359" s="46">
        <f>IF(VLOOKUP($C359,REV!$C:$AA,12,0)-'TRADE IN'!$F368=0,"",(VLOOKUP($C359,REV!$C:$AA,12,0)-'TRADE IN'!$F359))</f>
        <v>349</v>
      </c>
      <c r="O359" s="46">
        <f>IF(VLOOKUP($C359,REV!$C:$AA,13,0)-'TRADE IN'!$F368=0,"",(VLOOKUP($C359,REV!$C:$AA,13,0)-'TRADE IN'!$F359))</f>
        <v>349</v>
      </c>
      <c r="P359" s="46">
        <f>IF(VLOOKUP($C359,REV!$C:$AA,14,0)-'TRADE IN'!$F368=0,"",(VLOOKUP($C359,REV!$C:$AA,14,0)-'TRADE IN'!$F359))</f>
        <v>349</v>
      </c>
      <c r="Q359" s="46">
        <f>IF(VLOOKUP($C359,REV!$C:$AA,15,0)-'TRADE IN'!$F368=0,"",(VLOOKUP($C359,REV!$C:$AA,15,0)-'TRADE IN'!$F359))</f>
        <v>349</v>
      </c>
      <c r="R359" s="46">
        <f>IF(VLOOKUP($C359,REV!$C:$AA,16,0)-'TRADE IN'!$F368=0,"",(VLOOKUP($C359,REV!$C:$AA,16,0)-'TRADE IN'!$F359))</f>
        <v>349</v>
      </c>
      <c r="S359" s="46">
        <f>IF(VLOOKUP($C359,REV!$C:$AA,17,0)-'TRADE IN'!$F368=0,"",(VLOOKUP($C359,REV!$C:$AA,17,0)-'TRADE IN'!$F359))</f>
        <v>349</v>
      </c>
      <c r="T359" s="46">
        <f>IF(VLOOKUP($C359,REV!$C:$AA,18,0)-'TRADE IN'!$F368=0,"",(VLOOKUP($C359,REV!$C:$AA,18,0)-'TRADE IN'!$F359))</f>
        <v>349</v>
      </c>
      <c r="U359" s="46">
        <f>IF(VLOOKUP($C359,REV!$C:$AA,19,0)-'TRADE IN'!$F368=0,"",(VLOOKUP($C359,REV!$C:$AA,19,0)-'TRADE IN'!$F359))</f>
        <v>349</v>
      </c>
      <c r="V359" s="46">
        <f>IF(VLOOKUP($C359,REV!$C:$AA,20,0)-'TRADE IN'!$F368=0,"",(VLOOKUP($C359,REV!$C:$AA,20,0)-'TRADE IN'!$F359))</f>
        <v>349</v>
      </c>
      <c r="W359" s="46">
        <f>IF(VLOOKUP($C359,REV!$C:$AA,21,0)-'TRADE IN'!$F368=0,"",(VLOOKUP($C359,REV!$C:$AA,21,0)-'TRADE IN'!$F359))</f>
        <v>349</v>
      </c>
      <c r="X359" s="46">
        <f>IF(VLOOKUP($C359,REV!$C:$AA,22,0)-'TRADE IN'!$F368=0,"",(VLOOKUP($C359,REV!$C:$AA,22,0)-'TRADE IN'!$F359))</f>
        <v>349</v>
      </c>
      <c r="Y359" s="46">
        <f>IF(VLOOKUP($C359,REV!$C:$AA,23,0)-'TRADE IN'!$F368=0,"",(VLOOKUP($C359,REV!$C:$AA,23,0)-'TRADE IN'!$F359))</f>
        <v>349</v>
      </c>
      <c r="Z359" s="46">
        <f>IF(VLOOKUP($C359,REV!$C:$AA,24,0)-'TRADE IN'!$F368=0,"",(VLOOKUP($C359,REV!$C:$AA,24,0)-'TRADE IN'!$F359))</f>
        <v>349</v>
      </c>
      <c r="AA359" s="46">
        <f>IF(VLOOKUP($C359,REV!$C:$AA,25,0)-'TRADE IN'!$F368=0,"",(VLOOKUP($C359,REV!$C:$AA,25,0)-'TRADE IN'!$F359))</f>
        <v>349</v>
      </c>
      <c r="AB359" s="46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tr">
        <f>IF(REV!AW359=0,"",REV!AW359)</f>
        <v>31.03.2026</v>
      </c>
      <c r="AX359" s="159" t="s">
        <v>66</v>
      </c>
    </row>
    <row r="360" spans="1:50" ht="22.5" customHeight="1">
      <c r="A360" s="50" t="s">
        <v>61</v>
      </c>
      <c r="B360" s="41" t="s">
        <v>62</v>
      </c>
      <c r="C360" s="42">
        <v>4014684</v>
      </c>
      <c r="D360" s="44" t="s">
        <v>531</v>
      </c>
      <c r="E360" s="44" t="s">
        <v>535</v>
      </c>
      <c r="F360" s="45"/>
      <c r="G360" s="45"/>
      <c r="H360" s="45"/>
      <c r="I360" s="45"/>
      <c r="J360" s="46">
        <f>IF(VLOOKUP($C360,REV!$C:$AA,8,0)-'TRADE IN'!$F360=0,"",(VLOOKUP($C360,REV!$C:$AA,8,0)-'TRADE IN'!$F360))</f>
        <v>349</v>
      </c>
      <c r="K360" s="46">
        <f>IF(VLOOKUP($C360,REV!$C:$AA,9,0)-'TRADE IN'!$F360=0,"",(VLOOKUP($C360,REV!$C:$AA,9,0)-'TRADE IN'!$F360))</f>
        <v>349</v>
      </c>
      <c r="L360" s="46">
        <f>IF(VLOOKUP($C360,REV!$C:$AA,10,0)-'TRADE IN'!$F369=0,"",(VLOOKUP($C360,REV!$C:$AA,10,0)-'TRADE IN'!$F360))</f>
        <v>349</v>
      </c>
      <c r="M360" s="46">
        <f>IF(VLOOKUP($C360,REV!$C:$AA,11,0)-'TRADE IN'!$F369=0,"",(VLOOKUP($C360,REV!$C:$AA,11,0)-'TRADE IN'!$F360))</f>
        <v>349</v>
      </c>
      <c r="N360" s="46">
        <f>IF(VLOOKUP($C360,REV!$C:$AA,12,0)-'TRADE IN'!$F369=0,"",(VLOOKUP($C360,REV!$C:$AA,12,0)-'TRADE IN'!$F360))</f>
        <v>349</v>
      </c>
      <c r="O360" s="46">
        <f>IF(VLOOKUP($C360,REV!$C:$AA,13,0)-'TRADE IN'!$F369=0,"",(VLOOKUP($C360,REV!$C:$AA,13,0)-'TRADE IN'!$F360))</f>
        <v>349</v>
      </c>
      <c r="P360" s="46">
        <f>IF(VLOOKUP($C360,REV!$C:$AA,14,0)-'TRADE IN'!$F369=0,"",(VLOOKUP($C360,REV!$C:$AA,14,0)-'TRADE IN'!$F360))</f>
        <v>349</v>
      </c>
      <c r="Q360" s="46">
        <f>IF(VLOOKUP($C360,REV!$C:$AA,15,0)-'TRADE IN'!$F369=0,"",(VLOOKUP($C360,REV!$C:$AA,15,0)-'TRADE IN'!$F360))</f>
        <v>349</v>
      </c>
      <c r="R360" s="46">
        <f>IF(VLOOKUP($C360,REV!$C:$AA,16,0)-'TRADE IN'!$F369=0,"",(VLOOKUP($C360,REV!$C:$AA,16,0)-'TRADE IN'!$F360))</f>
        <v>349</v>
      </c>
      <c r="S360" s="46">
        <f>IF(VLOOKUP($C360,REV!$C:$AA,17,0)-'TRADE IN'!$F369=0,"",(VLOOKUP($C360,REV!$C:$AA,17,0)-'TRADE IN'!$F360))</f>
        <v>349</v>
      </c>
      <c r="T360" s="46">
        <f>IF(VLOOKUP($C360,REV!$C:$AA,18,0)-'TRADE IN'!$F369=0,"",(VLOOKUP($C360,REV!$C:$AA,18,0)-'TRADE IN'!$F360))</f>
        <v>349</v>
      </c>
      <c r="U360" s="46">
        <f>IF(VLOOKUP($C360,REV!$C:$AA,19,0)-'TRADE IN'!$F369=0,"",(VLOOKUP($C360,REV!$C:$AA,19,0)-'TRADE IN'!$F360))</f>
        <v>349</v>
      </c>
      <c r="V360" s="46">
        <f>IF(VLOOKUP($C360,REV!$C:$AA,20,0)-'TRADE IN'!$F369=0,"",(VLOOKUP($C360,REV!$C:$AA,20,0)-'TRADE IN'!$F360))</f>
        <v>349</v>
      </c>
      <c r="W360" s="46">
        <f>IF(VLOOKUP($C360,REV!$C:$AA,21,0)-'TRADE IN'!$F369=0,"",(VLOOKUP($C360,REV!$C:$AA,21,0)-'TRADE IN'!$F360))</f>
        <v>349</v>
      </c>
      <c r="X360" s="46">
        <f>IF(VLOOKUP($C360,REV!$C:$AA,22,0)-'TRADE IN'!$F369=0,"",(VLOOKUP($C360,REV!$C:$AA,22,0)-'TRADE IN'!$F360))</f>
        <v>349</v>
      </c>
      <c r="Y360" s="46">
        <f>IF(VLOOKUP($C360,REV!$C:$AA,23,0)-'TRADE IN'!$F369=0,"",(VLOOKUP($C360,REV!$C:$AA,23,0)-'TRADE IN'!$F360))</f>
        <v>349</v>
      </c>
      <c r="Z360" s="46">
        <f>IF(VLOOKUP($C360,REV!$C:$AA,24,0)-'TRADE IN'!$F369=0,"",(VLOOKUP($C360,REV!$C:$AA,24,0)-'TRADE IN'!$F360))</f>
        <v>349</v>
      </c>
      <c r="AA360" s="46">
        <f>IF(VLOOKUP($C360,REV!$C:$AA,25,0)-'TRADE IN'!$F369=0,"",(VLOOKUP($C360,REV!$C:$AA,25,0)-'TRADE IN'!$F360))</f>
        <v>349</v>
      </c>
      <c r="AB360" s="46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tr">
        <f>IF(REV!AW360=0,"",REV!AW360)</f>
        <v>31.03.2026</v>
      </c>
      <c r="AX360" s="159" t="s">
        <v>66</v>
      </c>
    </row>
    <row r="361" spans="1:50" ht="22.5" customHeight="1">
      <c r="A361" s="50" t="s">
        <v>61</v>
      </c>
      <c r="B361" s="41" t="s">
        <v>62</v>
      </c>
      <c r="C361" s="42">
        <v>4015002</v>
      </c>
      <c r="D361" s="44" t="s">
        <v>531</v>
      </c>
      <c r="E361" s="44" t="s">
        <v>536</v>
      </c>
      <c r="F361" s="45"/>
      <c r="G361" s="45"/>
      <c r="H361" s="45"/>
      <c r="I361" s="45"/>
      <c r="J361" s="46">
        <f>IF(VLOOKUP($C361,REV!$C:$AA,8,0)-'TRADE IN'!$F361=0,"",(VLOOKUP($C361,REV!$C:$AA,8,0)-'TRADE IN'!$F361))</f>
        <v>349</v>
      </c>
      <c r="K361" s="46">
        <f>IF(VLOOKUP($C361,REV!$C:$AA,9,0)-'TRADE IN'!$F361=0,"",(VLOOKUP($C361,REV!$C:$AA,9,0)-'TRADE IN'!$F361))</f>
        <v>349</v>
      </c>
      <c r="L361" s="46">
        <f>IF(VLOOKUP($C361,REV!$C:$AA,10,0)-'TRADE IN'!$F370=0,"",(VLOOKUP($C361,REV!$C:$AA,10,0)-'TRADE IN'!$F361))</f>
        <v>349</v>
      </c>
      <c r="M361" s="46">
        <f>IF(VLOOKUP($C361,REV!$C:$AA,11,0)-'TRADE IN'!$F370=0,"",(VLOOKUP($C361,REV!$C:$AA,11,0)-'TRADE IN'!$F361))</f>
        <v>349</v>
      </c>
      <c r="N361" s="46">
        <f>IF(VLOOKUP($C361,REV!$C:$AA,12,0)-'TRADE IN'!$F370=0,"",(VLOOKUP($C361,REV!$C:$AA,12,0)-'TRADE IN'!$F361))</f>
        <v>349</v>
      </c>
      <c r="O361" s="46">
        <f>IF(VLOOKUP($C361,REV!$C:$AA,13,0)-'TRADE IN'!$F370=0,"",(VLOOKUP($C361,REV!$C:$AA,13,0)-'TRADE IN'!$F361))</f>
        <v>349</v>
      </c>
      <c r="P361" s="46">
        <f>IF(VLOOKUP($C361,REV!$C:$AA,14,0)-'TRADE IN'!$F370=0,"",(VLOOKUP($C361,REV!$C:$AA,14,0)-'TRADE IN'!$F361))</f>
        <v>349</v>
      </c>
      <c r="Q361" s="46">
        <f>IF(VLOOKUP($C361,REV!$C:$AA,15,0)-'TRADE IN'!$F370=0,"",(VLOOKUP($C361,REV!$C:$AA,15,0)-'TRADE IN'!$F361))</f>
        <v>349</v>
      </c>
      <c r="R361" s="46">
        <f>IF(VLOOKUP($C361,REV!$C:$AA,16,0)-'TRADE IN'!$F370=0,"",(VLOOKUP($C361,REV!$C:$AA,16,0)-'TRADE IN'!$F361))</f>
        <v>349</v>
      </c>
      <c r="S361" s="46">
        <f>IF(VLOOKUP($C361,REV!$C:$AA,17,0)-'TRADE IN'!$F370=0,"",(VLOOKUP($C361,REV!$C:$AA,17,0)-'TRADE IN'!$F361))</f>
        <v>349</v>
      </c>
      <c r="T361" s="46">
        <f>IF(VLOOKUP($C361,REV!$C:$AA,18,0)-'TRADE IN'!$F370=0,"",(VLOOKUP($C361,REV!$C:$AA,18,0)-'TRADE IN'!$F361))</f>
        <v>349</v>
      </c>
      <c r="U361" s="46">
        <f>IF(VLOOKUP($C361,REV!$C:$AA,19,0)-'TRADE IN'!$F370=0,"",(VLOOKUP($C361,REV!$C:$AA,19,0)-'TRADE IN'!$F361))</f>
        <v>349</v>
      </c>
      <c r="V361" s="46">
        <f>IF(VLOOKUP($C361,REV!$C:$AA,20,0)-'TRADE IN'!$F370=0,"",(VLOOKUP($C361,REV!$C:$AA,20,0)-'TRADE IN'!$F361))</f>
        <v>349</v>
      </c>
      <c r="W361" s="46">
        <f>IF(VLOOKUP($C361,REV!$C:$AA,21,0)-'TRADE IN'!$F370=0,"",(VLOOKUP($C361,REV!$C:$AA,21,0)-'TRADE IN'!$F361))</f>
        <v>349</v>
      </c>
      <c r="X361" s="46">
        <f>IF(VLOOKUP($C361,REV!$C:$AA,22,0)-'TRADE IN'!$F370=0,"",(VLOOKUP($C361,REV!$C:$AA,22,0)-'TRADE IN'!$F361))</f>
        <v>349</v>
      </c>
      <c r="Y361" s="46">
        <f>IF(VLOOKUP($C361,REV!$C:$AA,23,0)-'TRADE IN'!$F370=0,"",(VLOOKUP($C361,REV!$C:$AA,23,0)-'TRADE IN'!$F361))</f>
        <v>349</v>
      </c>
      <c r="Z361" s="46">
        <f>IF(VLOOKUP($C361,REV!$C:$AA,24,0)-'TRADE IN'!$F370=0,"",(VLOOKUP($C361,REV!$C:$AA,24,0)-'TRADE IN'!$F361))</f>
        <v>349</v>
      </c>
      <c r="AA361" s="46">
        <f>IF(VLOOKUP($C361,REV!$C:$AA,25,0)-'TRADE IN'!$F370=0,"",(VLOOKUP($C361,REV!$C:$AA,25,0)-'TRADE IN'!$F361))</f>
        <v>349</v>
      </c>
      <c r="AB361" s="46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tr">
        <f>IF(REV!AW361=0,"",REV!AW361)</f>
        <v>31.03.2026</v>
      </c>
      <c r="AX361" s="159" t="s">
        <v>66</v>
      </c>
    </row>
    <row r="362" spans="1:50" ht="22.5" customHeight="1">
      <c r="A362" s="50" t="s">
        <v>61</v>
      </c>
      <c r="B362" s="41" t="s">
        <v>62</v>
      </c>
      <c r="C362" s="42">
        <v>4015008</v>
      </c>
      <c r="D362" s="44" t="s">
        <v>531</v>
      </c>
      <c r="E362" s="44" t="s">
        <v>537</v>
      </c>
      <c r="F362" s="45"/>
      <c r="G362" s="45"/>
      <c r="H362" s="45"/>
      <c r="I362" s="45"/>
      <c r="J362" s="46">
        <f>IF(VLOOKUP($C362,REV!$C:$AA,8,0)-'TRADE IN'!$F362=0,"",(VLOOKUP($C362,REV!$C:$AA,8,0)-'TRADE IN'!$F362))</f>
        <v>349</v>
      </c>
      <c r="K362" s="46">
        <f>IF(VLOOKUP($C362,REV!$C:$AA,9,0)-'TRADE IN'!$F362=0,"",(VLOOKUP($C362,REV!$C:$AA,9,0)-'TRADE IN'!$F362))</f>
        <v>349</v>
      </c>
      <c r="L362" s="46">
        <f>IF(VLOOKUP($C362,REV!$C:$AA,10,0)-'TRADE IN'!$F371=0,"",(VLOOKUP($C362,REV!$C:$AA,10,0)-'TRADE IN'!$F362))</f>
        <v>349</v>
      </c>
      <c r="M362" s="46">
        <f>IF(VLOOKUP($C362,REV!$C:$AA,11,0)-'TRADE IN'!$F371=0,"",(VLOOKUP($C362,REV!$C:$AA,11,0)-'TRADE IN'!$F362))</f>
        <v>349</v>
      </c>
      <c r="N362" s="46">
        <f>IF(VLOOKUP($C362,REV!$C:$AA,12,0)-'TRADE IN'!$F371=0,"",(VLOOKUP($C362,REV!$C:$AA,12,0)-'TRADE IN'!$F362))</f>
        <v>349</v>
      </c>
      <c r="O362" s="46">
        <f>IF(VLOOKUP($C362,REV!$C:$AA,13,0)-'TRADE IN'!$F371=0,"",(VLOOKUP($C362,REV!$C:$AA,13,0)-'TRADE IN'!$F362))</f>
        <v>349</v>
      </c>
      <c r="P362" s="46">
        <f>IF(VLOOKUP($C362,REV!$C:$AA,14,0)-'TRADE IN'!$F371=0,"",(VLOOKUP($C362,REV!$C:$AA,14,0)-'TRADE IN'!$F362))</f>
        <v>349</v>
      </c>
      <c r="Q362" s="46">
        <f>IF(VLOOKUP($C362,REV!$C:$AA,15,0)-'TRADE IN'!$F371=0,"",(VLOOKUP($C362,REV!$C:$AA,15,0)-'TRADE IN'!$F362))</f>
        <v>349</v>
      </c>
      <c r="R362" s="46">
        <f>IF(VLOOKUP($C362,REV!$C:$AA,16,0)-'TRADE IN'!$F371=0,"",(VLOOKUP($C362,REV!$C:$AA,16,0)-'TRADE IN'!$F362))</f>
        <v>349</v>
      </c>
      <c r="S362" s="46">
        <f>IF(VLOOKUP($C362,REV!$C:$AA,17,0)-'TRADE IN'!$F371=0,"",(VLOOKUP($C362,REV!$C:$AA,17,0)-'TRADE IN'!$F362))</f>
        <v>349</v>
      </c>
      <c r="T362" s="46">
        <f>IF(VLOOKUP($C362,REV!$C:$AA,18,0)-'TRADE IN'!$F371=0,"",(VLOOKUP($C362,REV!$C:$AA,18,0)-'TRADE IN'!$F362))</f>
        <v>349</v>
      </c>
      <c r="U362" s="46">
        <f>IF(VLOOKUP($C362,REV!$C:$AA,19,0)-'TRADE IN'!$F371=0,"",(VLOOKUP($C362,REV!$C:$AA,19,0)-'TRADE IN'!$F362))</f>
        <v>349</v>
      </c>
      <c r="V362" s="46">
        <f>IF(VLOOKUP($C362,REV!$C:$AA,20,0)-'TRADE IN'!$F371=0,"",(VLOOKUP($C362,REV!$C:$AA,20,0)-'TRADE IN'!$F362))</f>
        <v>349</v>
      </c>
      <c r="W362" s="46">
        <f>IF(VLOOKUP($C362,REV!$C:$AA,21,0)-'TRADE IN'!$F371=0,"",(VLOOKUP($C362,REV!$C:$AA,21,0)-'TRADE IN'!$F362))</f>
        <v>349</v>
      </c>
      <c r="X362" s="46">
        <f>IF(VLOOKUP($C362,REV!$C:$AA,22,0)-'TRADE IN'!$F371=0,"",(VLOOKUP($C362,REV!$C:$AA,22,0)-'TRADE IN'!$F362))</f>
        <v>349</v>
      </c>
      <c r="Y362" s="46">
        <f>IF(VLOOKUP($C362,REV!$C:$AA,23,0)-'TRADE IN'!$F371=0,"",(VLOOKUP($C362,REV!$C:$AA,23,0)-'TRADE IN'!$F362))</f>
        <v>349</v>
      </c>
      <c r="Z362" s="46">
        <f>IF(VLOOKUP($C362,REV!$C:$AA,24,0)-'TRADE IN'!$F371=0,"",(VLOOKUP($C362,REV!$C:$AA,24,0)-'TRADE IN'!$F362))</f>
        <v>349</v>
      </c>
      <c r="AA362" s="46">
        <f>IF(VLOOKUP($C362,REV!$C:$AA,25,0)-'TRADE IN'!$F371=0,"",(VLOOKUP($C362,REV!$C:$AA,25,0)-'TRADE IN'!$F362))</f>
        <v>349</v>
      </c>
      <c r="AB362" s="46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tr">
        <f>IF(REV!AW362=0,"",REV!AW362)</f>
        <v>31.03.2026</v>
      </c>
      <c r="AX362" s="159" t="s">
        <v>66</v>
      </c>
    </row>
    <row r="363" spans="1:50" ht="22.5" customHeight="1">
      <c r="A363" s="50" t="s">
        <v>61</v>
      </c>
      <c r="B363" s="41" t="s">
        <v>62</v>
      </c>
      <c r="C363" s="42">
        <v>4015007</v>
      </c>
      <c r="D363" s="44" t="s">
        <v>531</v>
      </c>
      <c r="E363" s="44" t="s">
        <v>538</v>
      </c>
      <c r="F363" s="45"/>
      <c r="G363" s="45"/>
      <c r="H363" s="45"/>
      <c r="I363" s="45"/>
      <c r="J363" s="46">
        <f>IF(VLOOKUP($C363,REV!$C:$AA,8,0)-'TRADE IN'!$F363=0,"",(VLOOKUP($C363,REV!$C:$AA,8,0)-'TRADE IN'!$F363))</f>
        <v>349</v>
      </c>
      <c r="K363" s="46">
        <f>IF(VLOOKUP($C363,REV!$C:$AA,9,0)-'TRADE IN'!$F363=0,"",(VLOOKUP($C363,REV!$C:$AA,9,0)-'TRADE IN'!$F363))</f>
        <v>349</v>
      </c>
      <c r="L363" s="46">
        <f>IF(VLOOKUP($C363,REV!$C:$AA,10,0)-'TRADE IN'!$F372=0,"",(VLOOKUP($C363,REV!$C:$AA,10,0)-'TRADE IN'!$F363))</f>
        <v>349</v>
      </c>
      <c r="M363" s="46">
        <f>IF(VLOOKUP($C363,REV!$C:$AA,11,0)-'TRADE IN'!$F372=0,"",(VLOOKUP($C363,REV!$C:$AA,11,0)-'TRADE IN'!$F363))</f>
        <v>349</v>
      </c>
      <c r="N363" s="46">
        <f>IF(VLOOKUP($C363,REV!$C:$AA,12,0)-'TRADE IN'!$F372=0,"",(VLOOKUP($C363,REV!$C:$AA,12,0)-'TRADE IN'!$F363))</f>
        <v>349</v>
      </c>
      <c r="O363" s="46">
        <f>IF(VLOOKUP($C363,REV!$C:$AA,13,0)-'TRADE IN'!$F372=0,"",(VLOOKUP($C363,REV!$C:$AA,13,0)-'TRADE IN'!$F363))</f>
        <v>349</v>
      </c>
      <c r="P363" s="46">
        <f>IF(VLOOKUP($C363,REV!$C:$AA,14,0)-'TRADE IN'!$F372=0,"",(VLOOKUP($C363,REV!$C:$AA,14,0)-'TRADE IN'!$F363))</f>
        <v>349</v>
      </c>
      <c r="Q363" s="46">
        <f>IF(VLOOKUP($C363,REV!$C:$AA,15,0)-'TRADE IN'!$F372=0,"",(VLOOKUP($C363,REV!$C:$AA,15,0)-'TRADE IN'!$F363))</f>
        <v>349</v>
      </c>
      <c r="R363" s="46">
        <f>IF(VLOOKUP($C363,REV!$C:$AA,16,0)-'TRADE IN'!$F372=0,"",(VLOOKUP($C363,REV!$C:$AA,16,0)-'TRADE IN'!$F363))</f>
        <v>349</v>
      </c>
      <c r="S363" s="46">
        <f>IF(VLOOKUP($C363,REV!$C:$AA,17,0)-'TRADE IN'!$F372=0,"",(VLOOKUP($C363,REV!$C:$AA,17,0)-'TRADE IN'!$F363))</f>
        <v>349</v>
      </c>
      <c r="T363" s="46">
        <f>IF(VLOOKUP($C363,REV!$C:$AA,18,0)-'TRADE IN'!$F372=0,"",(VLOOKUP($C363,REV!$C:$AA,18,0)-'TRADE IN'!$F363))</f>
        <v>349</v>
      </c>
      <c r="U363" s="46">
        <f>IF(VLOOKUP($C363,REV!$C:$AA,19,0)-'TRADE IN'!$F372=0,"",(VLOOKUP($C363,REV!$C:$AA,19,0)-'TRADE IN'!$F363))</f>
        <v>349</v>
      </c>
      <c r="V363" s="46">
        <f>IF(VLOOKUP($C363,REV!$C:$AA,20,0)-'TRADE IN'!$F372=0,"",(VLOOKUP($C363,REV!$C:$AA,20,0)-'TRADE IN'!$F363))</f>
        <v>349</v>
      </c>
      <c r="W363" s="46">
        <f>IF(VLOOKUP($C363,REV!$C:$AA,21,0)-'TRADE IN'!$F372=0,"",(VLOOKUP($C363,REV!$C:$AA,21,0)-'TRADE IN'!$F363))</f>
        <v>349</v>
      </c>
      <c r="X363" s="46">
        <f>IF(VLOOKUP($C363,REV!$C:$AA,22,0)-'TRADE IN'!$F372=0,"",(VLOOKUP($C363,REV!$C:$AA,22,0)-'TRADE IN'!$F363))</f>
        <v>349</v>
      </c>
      <c r="Y363" s="46">
        <f>IF(VLOOKUP($C363,REV!$C:$AA,23,0)-'TRADE IN'!$F372=0,"",(VLOOKUP($C363,REV!$C:$AA,23,0)-'TRADE IN'!$F363))</f>
        <v>349</v>
      </c>
      <c r="Z363" s="46">
        <f>IF(VLOOKUP($C363,REV!$C:$AA,24,0)-'TRADE IN'!$F372=0,"",(VLOOKUP($C363,REV!$C:$AA,24,0)-'TRADE IN'!$F363))</f>
        <v>349</v>
      </c>
      <c r="AA363" s="46">
        <f>IF(VLOOKUP($C363,REV!$C:$AA,25,0)-'TRADE IN'!$F372=0,"",(VLOOKUP($C363,REV!$C:$AA,25,0)-'TRADE IN'!$F363))</f>
        <v>349</v>
      </c>
      <c r="AB363" s="46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tr">
        <f>IF(REV!AW363=0,"",REV!AW363)</f>
        <v>31.03.2026</v>
      </c>
      <c r="AX363" s="159" t="s">
        <v>66</v>
      </c>
    </row>
    <row r="364" spans="1:50" ht="22.5" customHeight="1">
      <c r="A364" s="50" t="s">
        <v>61</v>
      </c>
      <c r="B364" s="41" t="s">
        <v>62</v>
      </c>
      <c r="C364" s="42">
        <v>4015000</v>
      </c>
      <c r="D364" s="44" t="s">
        <v>531</v>
      </c>
      <c r="E364" s="44" t="s">
        <v>539</v>
      </c>
      <c r="F364" s="45"/>
      <c r="G364" s="45"/>
      <c r="H364" s="45"/>
      <c r="I364" s="45"/>
      <c r="J364" s="46">
        <f>IF(VLOOKUP($C364,REV!$C:$AA,8,0)-'TRADE IN'!$F364=0,"",(VLOOKUP($C364,REV!$C:$AA,8,0)-'TRADE IN'!$F364))</f>
        <v>349</v>
      </c>
      <c r="K364" s="46">
        <f>IF(VLOOKUP($C364,REV!$C:$AA,9,0)-'TRADE IN'!$F364=0,"",(VLOOKUP($C364,REV!$C:$AA,9,0)-'TRADE IN'!$F364))</f>
        <v>349</v>
      </c>
      <c r="L364" s="46">
        <f>IF(VLOOKUP($C364,REV!$C:$AA,10,0)-'TRADE IN'!$F373=0,"",(VLOOKUP($C364,REV!$C:$AA,10,0)-'TRADE IN'!$F364))</f>
        <v>349</v>
      </c>
      <c r="M364" s="46">
        <f>IF(VLOOKUP($C364,REV!$C:$AA,11,0)-'TRADE IN'!$F373=0,"",(VLOOKUP($C364,REV!$C:$AA,11,0)-'TRADE IN'!$F364))</f>
        <v>349</v>
      </c>
      <c r="N364" s="46">
        <f>IF(VLOOKUP($C364,REV!$C:$AA,12,0)-'TRADE IN'!$F373=0,"",(VLOOKUP($C364,REV!$C:$AA,12,0)-'TRADE IN'!$F364))</f>
        <v>349</v>
      </c>
      <c r="O364" s="46">
        <f>IF(VLOOKUP($C364,REV!$C:$AA,13,0)-'TRADE IN'!$F373=0,"",(VLOOKUP($C364,REV!$C:$AA,13,0)-'TRADE IN'!$F364))</f>
        <v>349</v>
      </c>
      <c r="P364" s="46">
        <f>IF(VLOOKUP($C364,REV!$C:$AA,14,0)-'TRADE IN'!$F373=0,"",(VLOOKUP($C364,REV!$C:$AA,14,0)-'TRADE IN'!$F364))</f>
        <v>349</v>
      </c>
      <c r="Q364" s="46">
        <f>IF(VLOOKUP($C364,REV!$C:$AA,15,0)-'TRADE IN'!$F373=0,"",(VLOOKUP($C364,REV!$C:$AA,15,0)-'TRADE IN'!$F364))</f>
        <v>349</v>
      </c>
      <c r="R364" s="46">
        <f>IF(VLOOKUP($C364,REV!$C:$AA,16,0)-'TRADE IN'!$F373=0,"",(VLOOKUP($C364,REV!$C:$AA,16,0)-'TRADE IN'!$F364))</f>
        <v>349</v>
      </c>
      <c r="S364" s="46">
        <f>IF(VLOOKUP($C364,REV!$C:$AA,17,0)-'TRADE IN'!$F373=0,"",(VLOOKUP($C364,REV!$C:$AA,17,0)-'TRADE IN'!$F364))</f>
        <v>349</v>
      </c>
      <c r="T364" s="46">
        <f>IF(VLOOKUP($C364,REV!$C:$AA,18,0)-'TRADE IN'!$F373=0,"",(VLOOKUP($C364,REV!$C:$AA,18,0)-'TRADE IN'!$F364))</f>
        <v>349</v>
      </c>
      <c r="U364" s="46">
        <f>IF(VLOOKUP($C364,REV!$C:$AA,19,0)-'TRADE IN'!$F373=0,"",(VLOOKUP($C364,REV!$C:$AA,19,0)-'TRADE IN'!$F364))</f>
        <v>349</v>
      </c>
      <c r="V364" s="46">
        <f>IF(VLOOKUP($C364,REV!$C:$AA,20,0)-'TRADE IN'!$F373=0,"",(VLOOKUP($C364,REV!$C:$AA,20,0)-'TRADE IN'!$F364))</f>
        <v>349</v>
      </c>
      <c r="W364" s="46">
        <f>IF(VLOOKUP($C364,REV!$C:$AA,21,0)-'TRADE IN'!$F373=0,"",(VLOOKUP($C364,REV!$C:$AA,21,0)-'TRADE IN'!$F364))</f>
        <v>349</v>
      </c>
      <c r="X364" s="46">
        <f>IF(VLOOKUP($C364,REV!$C:$AA,22,0)-'TRADE IN'!$F373=0,"",(VLOOKUP($C364,REV!$C:$AA,22,0)-'TRADE IN'!$F364))</f>
        <v>349</v>
      </c>
      <c r="Y364" s="46">
        <f>IF(VLOOKUP($C364,REV!$C:$AA,23,0)-'TRADE IN'!$F373=0,"",(VLOOKUP($C364,REV!$C:$AA,23,0)-'TRADE IN'!$F364))</f>
        <v>349</v>
      </c>
      <c r="Z364" s="46">
        <f>IF(VLOOKUP($C364,REV!$C:$AA,24,0)-'TRADE IN'!$F373=0,"",(VLOOKUP($C364,REV!$C:$AA,24,0)-'TRADE IN'!$F364))</f>
        <v>349</v>
      </c>
      <c r="AA364" s="46">
        <f>IF(VLOOKUP($C364,REV!$C:$AA,25,0)-'TRADE IN'!$F373=0,"",(VLOOKUP($C364,REV!$C:$AA,25,0)-'TRADE IN'!$F364))</f>
        <v>349</v>
      </c>
      <c r="AB364" s="46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tr">
        <f>IF(REV!AW364=0,"",REV!AW364)</f>
        <v>31.03.2026</v>
      </c>
      <c r="AX364" s="159" t="s">
        <v>66</v>
      </c>
    </row>
    <row r="365" spans="1:50" ht="22.5" customHeight="1">
      <c r="A365" s="50" t="s">
        <v>61</v>
      </c>
      <c r="B365" s="41" t="s">
        <v>62</v>
      </c>
      <c r="C365" s="42">
        <v>4015006</v>
      </c>
      <c r="D365" s="44" t="s">
        <v>531</v>
      </c>
      <c r="E365" s="44" t="s">
        <v>540</v>
      </c>
      <c r="F365" s="45"/>
      <c r="G365" s="45"/>
      <c r="H365" s="45"/>
      <c r="I365" s="45"/>
      <c r="J365" s="46">
        <f>IF(VLOOKUP($C365,REV!$C:$AA,8,0)-'TRADE IN'!$F365=0,"",(VLOOKUP($C365,REV!$C:$AA,8,0)-'TRADE IN'!$F365))</f>
        <v>349</v>
      </c>
      <c r="K365" s="46">
        <f>IF(VLOOKUP($C365,REV!$C:$AA,9,0)-'TRADE IN'!$F365=0,"",(VLOOKUP($C365,REV!$C:$AA,9,0)-'TRADE IN'!$F365))</f>
        <v>349</v>
      </c>
      <c r="L365" s="46">
        <f>IF(VLOOKUP($C365,REV!$C:$AA,10,0)-'TRADE IN'!$F374=0,"",(VLOOKUP($C365,REV!$C:$AA,10,0)-'TRADE IN'!$F365))</f>
        <v>349</v>
      </c>
      <c r="M365" s="46">
        <f>IF(VLOOKUP($C365,REV!$C:$AA,11,0)-'TRADE IN'!$F374=0,"",(VLOOKUP($C365,REV!$C:$AA,11,0)-'TRADE IN'!$F365))</f>
        <v>349</v>
      </c>
      <c r="N365" s="46">
        <f>IF(VLOOKUP($C365,REV!$C:$AA,12,0)-'TRADE IN'!$F374=0,"",(VLOOKUP($C365,REV!$C:$AA,12,0)-'TRADE IN'!$F365))</f>
        <v>349</v>
      </c>
      <c r="O365" s="46">
        <f>IF(VLOOKUP($C365,REV!$C:$AA,13,0)-'TRADE IN'!$F374=0,"",(VLOOKUP($C365,REV!$C:$AA,13,0)-'TRADE IN'!$F365))</f>
        <v>349</v>
      </c>
      <c r="P365" s="46">
        <f>IF(VLOOKUP($C365,REV!$C:$AA,14,0)-'TRADE IN'!$F374=0,"",(VLOOKUP($C365,REV!$C:$AA,14,0)-'TRADE IN'!$F365))</f>
        <v>349</v>
      </c>
      <c r="Q365" s="46">
        <f>IF(VLOOKUP($C365,REV!$C:$AA,15,0)-'TRADE IN'!$F374=0,"",(VLOOKUP($C365,REV!$C:$AA,15,0)-'TRADE IN'!$F365))</f>
        <v>349</v>
      </c>
      <c r="R365" s="46">
        <f>IF(VLOOKUP($C365,REV!$C:$AA,16,0)-'TRADE IN'!$F374=0,"",(VLOOKUP($C365,REV!$C:$AA,16,0)-'TRADE IN'!$F365))</f>
        <v>349</v>
      </c>
      <c r="S365" s="46">
        <f>IF(VLOOKUP($C365,REV!$C:$AA,17,0)-'TRADE IN'!$F374=0,"",(VLOOKUP($C365,REV!$C:$AA,17,0)-'TRADE IN'!$F365))</f>
        <v>349</v>
      </c>
      <c r="T365" s="46">
        <f>IF(VLOOKUP($C365,REV!$C:$AA,18,0)-'TRADE IN'!$F374=0,"",(VLOOKUP($C365,REV!$C:$AA,18,0)-'TRADE IN'!$F365))</f>
        <v>349</v>
      </c>
      <c r="U365" s="46">
        <f>IF(VLOOKUP($C365,REV!$C:$AA,19,0)-'TRADE IN'!$F374=0,"",(VLOOKUP($C365,REV!$C:$AA,19,0)-'TRADE IN'!$F365))</f>
        <v>349</v>
      </c>
      <c r="V365" s="46">
        <f>IF(VLOOKUP($C365,REV!$C:$AA,20,0)-'TRADE IN'!$F374=0,"",(VLOOKUP($C365,REV!$C:$AA,20,0)-'TRADE IN'!$F365))</f>
        <v>349</v>
      </c>
      <c r="W365" s="46">
        <f>IF(VLOOKUP($C365,REV!$C:$AA,21,0)-'TRADE IN'!$F374=0,"",(VLOOKUP($C365,REV!$C:$AA,21,0)-'TRADE IN'!$F365))</f>
        <v>349</v>
      </c>
      <c r="X365" s="46">
        <f>IF(VLOOKUP($C365,REV!$C:$AA,22,0)-'TRADE IN'!$F374=0,"",(VLOOKUP($C365,REV!$C:$AA,22,0)-'TRADE IN'!$F365))</f>
        <v>349</v>
      </c>
      <c r="Y365" s="46">
        <f>IF(VLOOKUP($C365,REV!$C:$AA,23,0)-'TRADE IN'!$F374=0,"",(VLOOKUP($C365,REV!$C:$AA,23,0)-'TRADE IN'!$F365))</f>
        <v>349</v>
      </c>
      <c r="Z365" s="46">
        <f>IF(VLOOKUP($C365,REV!$C:$AA,24,0)-'TRADE IN'!$F374=0,"",(VLOOKUP($C365,REV!$C:$AA,24,0)-'TRADE IN'!$F365))</f>
        <v>349</v>
      </c>
      <c r="AA365" s="46">
        <f>IF(VLOOKUP($C365,REV!$C:$AA,25,0)-'TRADE IN'!$F374=0,"",(VLOOKUP($C365,REV!$C:$AA,25,0)-'TRADE IN'!$F365))</f>
        <v>349</v>
      </c>
      <c r="AB365" s="46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tr">
        <f>IF(REV!AW365=0,"",REV!AW365)</f>
        <v>31.03.2026</v>
      </c>
      <c r="AX365" s="159" t="s">
        <v>66</v>
      </c>
    </row>
    <row r="366" spans="1:50" ht="22.5" customHeight="1">
      <c r="A366" s="50" t="s">
        <v>61</v>
      </c>
      <c r="B366" s="41" t="s">
        <v>62</v>
      </c>
      <c r="C366" s="42">
        <v>4015004</v>
      </c>
      <c r="D366" s="44" t="s">
        <v>531</v>
      </c>
      <c r="E366" s="44" t="s">
        <v>541</v>
      </c>
      <c r="F366" s="45"/>
      <c r="G366" s="45"/>
      <c r="H366" s="45"/>
      <c r="I366" s="45"/>
      <c r="J366" s="46">
        <f>IF(VLOOKUP($C366,REV!$C:$AA,8,0)-'TRADE IN'!$F366=0,"",(VLOOKUP($C366,REV!$C:$AA,8,0)-'TRADE IN'!$F366))</f>
        <v>349</v>
      </c>
      <c r="K366" s="46">
        <f>IF(VLOOKUP($C366,REV!$C:$AA,9,0)-'TRADE IN'!$F366=0,"",(VLOOKUP($C366,REV!$C:$AA,9,0)-'TRADE IN'!$F366))</f>
        <v>349</v>
      </c>
      <c r="L366" s="46">
        <f>IF(VLOOKUP($C366,REV!$C:$AA,10,0)-'TRADE IN'!$F375=0,"",(VLOOKUP($C366,REV!$C:$AA,10,0)-'TRADE IN'!$F366))</f>
        <v>349</v>
      </c>
      <c r="M366" s="46">
        <f>IF(VLOOKUP($C366,REV!$C:$AA,11,0)-'TRADE IN'!$F375=0,"",(VLOOKUP($C366,REV!$C:$AA,11,0)-'TRADE IN'!$F366))</f>
        <v>349</v>
      </c>
      <c r="N366" s="46">
        <f>IF(VLOOKUP($C366,REV!$C:$AA,12,0)-'TRADE IN'!$F375=0,"",(VLOOKUP($C366,REV!$C:$AA,12,0)-'TRADE IN'!$F366))</f>
        <v>349</v>
      </c>
      <c r="O366" s="46">
        <f>IF(VLOOKUP($C366,REV!$C:$AA,13,0)-'TRADE IN'!$F375=0,"",(VLOOKUP($C366,REV!$C:$AA,13,0)-'TRADE IN'!$F366))</f>
        <v>349</v>
      </c>
      <c r="P366" s="46">
        <f>IF(VLOOKUP($C366,REV!$C:$AA,14,0)-'TRADE IN'!$F375=0,"",(VLOOKUP($C366,REV!$C:$AA,14,0)-'TRADE IN'!$F366))</f>
        <v>349</v>
      </c>
      <c r="Q366" s="46">
        <f>IF(VLOOKUP($C366,REV!$C:$AA,15,0)-'TRADE IN'!$F375=0,"",(VLOOKUP($C366,REV!$C:$AA,15,0)-'TRADE IN'!$F366))</f>
        <v>349</v>
      </c>
      <c r="R366" s="46">
        <f>IF(VLOOKUP($C366,REV!$C:$AA,16,0)-'TRADE IN'!$F375=0,"",(VLOOKUP($C366,REV!$C:$AA,16,0)-'TRADE IN'!$F366))</f>
        <v>349</v>
      </c>
      <c r="S366" s="46">
        <f>IF(VLOOKUP($C366,REV!$C:$AA,17,0)-'TRADE IN'!$F375=0,"",(VLOOKUP($C366,REV!$C:$AA,17,0)-'TRADE IN'!$F366))</f>
        <v>349</v>
      </c>
      <c r="T366" s="46">
        <f>IF(VLOOKUP($C366,REV!$C:$AA,18,0)-'TRADE IN'!$F375=0,"",(VLOOKUP($C366,REV!$C:$AA,18,0)-'TRADE IN'!$F366))</f>
        <v>349</v>
      </c>
      <c r="U366" s="46">
        <f>IF(VLOOKUP($C366,REV!$C:$AA,19,0)-'TRADE IN'!$F375=0,"",(VLOOKUP($C366,REV!$C:$AA,19,0)-'TRADE IN'!$F366))</f>
        <v>349</v>
      </c>
      <c r="V366" s="46">
        <f>IF(VLOOKUP($C366,REV!$C:$AA,20,0)-'TRADE IN'!$F375=0,"",(VLOOKUP($C366,REV!$C:$AA,20,0)-'TRADE IN'!$F366))</f>
        <v>349</v>
      </c>
      <c r="W366" s="46">
        <f>IF(VLOOKUP($C366,REV!$C:$AA,21,0)-'TRADE IN'!$F375=0,"",(VLOOKUP($C366,REV!$C:$AA,21,0)-'TRADE IN'!$F366))</f>
        <v>349</v>
      </c>
      <c r="X366" s="46">
        <f>IF(VLOOKUP($C366,REV!$C:$AA,22,0)-'TRADE IN'!$F375=0,"",(VLOOKUP($C366,REV!$C:$AA,22,0)-'TRADE IN'!$F366))</f>
        <v>349</v>
      </c>
      <c r="Y366" s="46">
        <f>IF(VLOOKUP($C366,REV!$C:$AA,23,0)-'TRADE IN'!$F375=0,"",(VLOOKUP($C366,REV!$C:$AA,23,0)-'TRADE IN'!$F366))</f>
        <v>349</v>
      </c>
      <c r="Z366" s="46">
        <f>IF(VLOOKUP($C366,REV!$C:$AA,24,0)-'TRADE IN'!$F375=0,"",(VLOOKUP($C366,REV!$C:$AA,24,0)-'TRADE IN'!$F366))</f>
        <v>349</v>
      </c>
      <c r="AA366" s="46">
        <f>IF(VLOOKUP($C366,REV!$C:$AA,25,0)-'TRADE IN'!$F375=0,"",(VLOOKUP($C366,REV!$C:$AA,25,0)-'TRADE IN'!$F366))</f>
        <v>349</v>
      </c>
      <c r="AB366" s="46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tr">
        <f>IF(REV!AW366=0,"",REV!AW366)</f>
        <v>31.03.2026</v>
      </c>
      <c r="AX366" s="159" t="s">
        <v>66</v>
      </c>
    </row>
    <row r="367" spans="1:50" ht="22.5" customHeight="1">
      <c r="A367" s="50" t="s">
        <v>61</v>
      </c>
      <c r="B367" s="41" t="s">
        <v>62</v>
      </c>
      <c r="C367" s="42">
        <v>4014430</v>
      </c>
      <c r="D367" s="44" t="s">
        <v>542</v>
      </c>
      <c r="E367" s="44" t="s">
        <v>543</v>
      </c>
      <c r="F367" s="45"/>
      <c r="G367" s="45"/>
      <c r="H367" s="45"/>
      <c r="I367" s="45"/>
      <c r="J367" s="46">
        <f>IF(VLOOKUP($C367,REV!$C:$AA,8,0)-'TRADE IN'!$F367=0,"",(VLOOKUP($C367,REV!$C:$AA,8,0)-'TRADE IN'!$F367))</f>
        <v>399</v>
      </c>
      <c r="K367" s="46">
        <f>IF(VLOOKUP($C367,REV!$C:$AA,9,0)-'TRADE IN'!$F367=0,"",(VLOOKUP($C367,REV!$C:$AA,9,0)-'TRADE IN'!$F367))</f>
        <v>399</v>
      </c>
      <c r="L367" s="46">
        <f>IF(VLOOKUP($C367,REV!$C:$AA,10,0)-'TRADE IN'!$F376=0,"",(VLOOKUP($C367,REV!$C:$AA,10,0)-'TRADE IN'!$F367))</f>
        <v>399</v>
      </c>
      <c r="M367" s="46">
        <f>IF(VLOOKUP($C367,REV!$C:$AA,11,0)-'TRADE IN'!$F376=0,"",(VLOOKUP($C367,REV!$C:$AA,11,0)-'TRADE IN'!$F367))</f>
        <v>399</v>
      </c>
      <c r="N367" s="46">
        <f>IF(VLOOKUP($C367,REV!$C:$AA,12,0)-'TRADE IN'!$F376=0,"",(VLOOKUP($C367,REV!$C:$AA,12,0)-'TRADE IN'!$F367))</f>
        <v>399</v>
      </c>
      <c r="O367" s="46">
        <f>IF(VLOOKUP($C367,REV!$C:$AA,13,0)-'TRADE IN'!$F376=0,"",(VLOOKUP($C367,REV!$C:$AA,13,0)-'TRADE IN'!$F367))</f>
        <v>349</v>
      </c>
      <c r="P367" s="46">
        <f>IF(VLOOKUP($C367,REV!$C:$AA,14,0)-'TRADE IN'!$F376=0,"",(VLOOKUP($C367,REV!$C:$AA,14,0)-'TRADE IN'!$F367))</f>
        <v>349</v>
      </c>
      <c r="Q367" s="46">
        <f>IF(VLOOKUP($C367,REV!$C:$AA,15,0)-'TRADE IN'!$F376=0,"",(VLOOKUP($C367,REV!$C:$AA,15,0)-'TRADE IN'!$F367))</f>
        <v>349</v>
      </c>
      <c r="R367" s="46">
        <f>IF(VLOOKUP($C367,REV!$C:$AA,16,0)-'TRADE IN'!$F376=0,"",(VLOOKUP($C367,REV!$C:$AA,16,0)-'TRADE IN'!$F367))</f>
        <v>349</v>
      </c>
      <c r="S367" s="46">
        <f>IF(VLOOKUP($C367,REV!$C:$AA,17,0)-'TRADE IN'!$F376=0,"",(VLOOKUP($C367,REV!$C:$AA,17,0)-'TRADE IN'!$F367))</f>
        <v>349</v>
      </c>
      <c r="T367" s="46">
        <f>IF(VLOOKUP($C367,REV!$C:$AA,18,0)-'TRADE IN'!$F376=0,"",(VLOOKUP($C367,REV!$C:$AA,18,0)-'TRADE IN'!$F367))</f>
        <v>349</v>
      </c>
      <c r="U367" s="46">
        <f>IF(VLOOKUP($C367,REV!$C:$AA,19,0)-'TRADE IN'!$F376=0,"",(VLOOKUP($C367,REV!$C:$AA,19,0)-'TRADE IN'!$F367))</f>
        <v>349</v>
      </c>
      <c r="V367" s="46">
        <f>IF(VLOOKUP($C367,REV!$C:$AA,20,0)-'TRADE IN'!$F376=0,"",(VLOOKUP($C367,REV!$C:$AA,20,0)-'TRADE IN'!$F367))</f>
        <v>349</v>
      </c>
      <c r="W367" s="46">
        <f>IF(VLOOKUP($C367,REV!$C:$AA,21,0)-'TRADE IN'!$F376=0,"",(VLOOKUP($C367,REV!$C:$AA,21,0)-'TRADE IN'!$F367))</f>
        <v>349</v>
      </c>
      <c r="X367" s="46">
        <f>IF(VLOOKUP($C367,REV!$C:$AA,22,0)-'TRADE IN'!$F376=0,"",(VLOOKUP($C367,REV!$C:$AA,22,0)-'TRADE IN'!$F367))</f>
        <v>349</v>
      </c>
      <c r="Y367" s="46">
        <f>IF(VLOOKUP($C367,REV!$C:$AA,23,0)-'TRADE IN'!$F376=0,"",(VLOOKUP($C367,REV!$C:$AA,23,0)-'TRADE IN'!$F367))</f>
        <v>349</v>
      </c>
      <c r="Z367" s="46">
        <f>IF(VLOOKUP($C367,REV!$C:$AA,24,0)-'TRADE IN'!$F376=0,"",(VLOOKUP($C367,REV!$C:$AA,24,0)-'TRADE IN'!$F367))</f>
        <v>349</v>
      </c>
      <c r="AA367" s="46">
        <f>IF(VLOOKUP($C367,REV!$C:$AA,25,0)-'TRADE IN'!$F376=0,"",(VLOOKUP($C367,REV!$C:$AA,25,0)-'TRADE IN'!$F367))</f>
        <v>349</v>
      </c>
      <c r="AB367" s="46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tr">
        <f>IF(REV!AW367=0,"",REV!AW367)</f>
        <v>31.03.2026</v>
      </c>
      <c r="AX367" s="159" t="s">
        <v>66</v>
      </c>
    </row>
    <row r="368" spans="1:50" ht="22.5" customHeight="1">
      <c r="A368" s="50" t="s">
        <v>61</v>
      </c>
      <c r="B368" s="41" t="s">
        <v>62</v>
      </c>
      <c r="C368" s="42">
        <v>4014434</v>
      </c>
      <c r="D368" s="44" t="s">
        <v>542</v>
      </c>
      <c r="E368" s="44" t="s">
        <v>544</v>
      </c>
      <c r="F368" s="45"/>
      <c r="G368" s="45"/>
      <c r="H368" s="45"/>
      <c r="I368" s="45"/>
      <c r="J368" s="46">
        <f>IF(VLOOKUP($C368,REV!$C:$AA,8,0)-'TRADE IN'!$F368=0,"",(VLOOKUP($C368,REV!$C:$AA,8,0)-'TRADE IN'!$F368))</f>
        <v>399</v>
      </c>
      <c r="K368" s="46">
        <f>IF(VLOOKUP($C368,REV!$C:$AA,9,0)-'TRADE IN'!$F368=0,"",(VLOOKUP($C368,REV!$C:$AA,9,0)-'TRADE IN'!$F368))</f>
        <v>399</v>
      </c>
      <c r="L368" s="46">
        <f>IF(VLOOKUP($C368,REV!$C:$AA,10,0)-'TRADE IN'!$F377=0,"",(VLOOKUP($C368,REV!$C:$AA,10,0)-'TRADE IN'!$F368))</f>
        <v>399</v>
      </c>
      <c r="M368" s="46">
        <f>IF(VLOOKUP($C368,REV!$C:$AA,11,0)-'TRADE IN'!$F377=0,"",(VLOOKUP($C368,REV!$C:$AA,11,0)-'TRADE IN'!$F368))</f>
        <v>399</v>
      </c>
      <c r="N368" s="46">
        <f>IF(VLOOKUP($C368,REV!$C:$AA,12,0)-'TRADE IN'!$F377=0,"",(VLOOKUP($C368,REV!$C:$AA,12,0)-'TRADE IN'!$F368))</f>
        <v>399</v>
      </c>
      <c r="O368" s="46">
        <f>IF(VLOOKUP($C368,REV!$C:$AA,13,0)-'TRADE IN'!$F377=0,"",(VLOOKUP($C368,REV!$C:$AA,13,0)-'TRADE IN'!$F368))</f>
        <v>349</v>
      </c>
      <c r="P368" s="46">
        <f>IF(VLOOKUP($C368,REV!$C:$AA,14,0)-'TRADE IN'!$F377=0,"",(VLOOKUP($C368,REV!$C:$AA,14,0)-'TRADE IN'!$F368))</f>
        <v>349</v>
      </c>
      <c r="Q368" s="46">
        <f>IF(VLOOKUP($C368,REV!$C:$AA,15,0)-'TRADE IN'!$F377=0,"",(VLOOKUP($C368,REV!$C:$AA,15,0)-'TRADE IN'!$F368))</f>
        <v>349</v>
      </c>
      <c r="R368" s="46">
        <f>IF(VLOOKUP($C368,REV!$C:$AA,16,0)-'TRADE IN'!$F377=0,"",(VLOOKUP($C368,REV!$C:$AA,16,0)-'TRADE IN'!$F368))</f>
        <v>349</v>
      </c>
      <c r="S368" s="46">
        <f>IF(VLOOKUP($C368,REV!$C:$AA,17,0)-'TRADE IN'!$F377=0,"",(VLOOKUP($C368,REV!$C:$AA,17,0)-'TRADE IN'!$F368))</f>
        <v>349</v>
      </c>
      <c r="T368" s="46">
        <f>IF(VLOOKUP($C368,REV!$C:$AA,18,0)-'TRADE IN'!$F377=0,"",(VLOOKUP($C368,REV!$C:$AA,18,0)-'TRADE IN'!$F368))</f>
        <v>349</v>
      </c>
      <c r="U368" s="46">
        <f>IF(VLOOKUP($C368,REV!$C:$AA,19,0)-'TRADE IN'!$F377=0,"",(VLOOKUP($C368,REV!$C:$AA,19,0)-'TRADE IN'!$F368))</f>
        <v>349</v>
      </c>
      <c r="V368" s="46">
        <f>IF(VLOOKUP($C368,REV!$C:$AA,20,0)-'TRADE IN'!$F377=0,"",(VLOOKUP($C368,REV!$C:$AA,20,0)-'TRADE IN'!$F368))</f>
        <v>349</v>
      </c>
      <c r="W368" s="46">
        <f>IF(VLOOKUP($C368,REV!$C:$AA,21,0)-'TRADE IN'!$F377=0,"",(VLOOKUP($C368,REV!$C:$AA,21,0)-'TRADE IN'!$F368))</f>
        <v>349</v>
      </c>
      <c r="X368" s="46">
        <f>IF(VLOOKUP($C368,REV!$C:$AA,22,0)-'TRADE IN'!$F377=0,"",(VLOOKUP($C368,REV!$C:$AA,22,0)-'TRADE IN'!$F368))</f>
        <v>349</v>
      </c>
      <c r="Y368" s="46">
        <f>IF(VLOOKUP($C368,REV!$C:$AA,23,0)-'TRADE IN'!$F377=0,"",(VLOOKUP($C368,REV!$C:$AA,23,0)-'TRADE IN'!$F368))</f>
        <v>349</v>
      </c>
      <c r="Z368" s="46">
        <f>IF(VLOOKUP($C368,REV!$C:$AA,24,0)-'TRADE IN'!$F377=0,"",(VLOOKUP($C368,REV!$C:$AA,24,0)-'TRADE IN'!$F368))</f>
        <v>349</v>
      </c>
      <c r="AA368" s="46">
        <f>IF(VLOOKUP($C368,REV!$C:$AA,25,0)-'TRADE IN'!$F377=0,"",(VLOOKUP($C368,REV!$C:$AA,25,0)-'TRADE IN'!$F368))</f>
        <v>349</v>
      </c>
      <c r="AB368" s="46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tr">
        <f>IF(REV!AW368=0,"",REV!AW368)</f>
        <v>31.03.2026</v>
      </c>
      <c r="AX368" s="159" t="s">
        <v>66</v>
      </c>
    </row>
    <row r="369" spans="1:50" ht="22.5" customHeight="1">
      <c r="A369" s="50" t="s">
        <v>61</v>
      </c>
      <c r="B369" s="41" t="s">
        <v>62</v>
      </c>
      <c r="C369" s="42">
        <v>4014437</v>
      </c>
      <c r="D369" s="44" t="s">
        <v>542</v>
      </c>
      <c r="E369" s="44" t="s">
        <v>545</v>
      </c>
      <c r="F369" s="45"/>
      <c r="G369" s="45"/>
      <c r="H369" s="45"/>
      <c r="I369" s="45"/>
      <c r="J369" s="46">
        <f>IF(VLOOKUP($C369,REV!$C:$AA,8,0)-'TRADE IN'!$F369=0,"",(VLOOKUP($C369,REV!$C:$AA,8,0)-'TRADE IN'!$F369))</f>
        <v>399</v>
      </c>
      <c r="K369" s="46">
        <f>IF(VLOOKUP($C369,REV!$C:$AA,9,0)-'TRADE IN'!$F369=0,"",(VLOOKUP($C369,REV!$C:$AA,9,0)-'TRADE IN'!$F369))</f>
        <v>399</v>
      </c>
      <c r="L369" s="46">
        <f>IF(VLOOKUP($C369,REV!$C:$AA,10,0)-'TRADE IN'!$F378=0,"",(VLOOKUP($C369,REV!$C:$AA,10,0)-'TRADE IN'!$F369))</f>
        <v>399</v>
      </c>
      <c r="M369" s="46">
        <f>IF(VLOOKUP($C369,REV!$C:$AA,11,0)-'TRADE IN'!$F378=0,"",(VLOOKUP($C369,REV!$C:$AA,11,0)-'TRADE IN'!$F369))</f>
        <v>399</v>
      </c>
      <c r="N369" s="46">
        <f>IF(VLOOKUP($C369,REV!$C:$AA,12,0)-'TRADE IN'!$F378=0,"",(VLOOKUP($C369,REV!$C:$AA,12,0)-'TRADE IN'!$F369))</f>
        <v>399</v>
      </c>
      <c r="O369" s="46">
        <f>IF(VLOOKUP($C369,REV!$C:$AA,13,0)-'TRADE IN'!$F378=0,"",(VLOOKUP($C369,REV!$C:$AA,13,0)-'TRADE IN'!$F369))</f>
        <v>349</v>
      </c>
      <c r="P369" s="46">
        <f>IF(VLOOKUP($C369,REV!$C:$AA,14,0)-'TRADE IN'!$F378=0,"",(VLOOKUP($C369,REV!$C:$AA,14,0)-'TRADE IN'!$F369))</f>
        <v>349</v>
      </c>
      <c r="Q369" s="46">
        <f>IF(VLOOKUP($C369,REV!$C:$AA,15,0)-'TRADE IN'!$F378=0,"",(VLOOKUP($C369,REV!$C:$AA,15,0)-'TRADE IN'!$F369))</f>
        <v>349</v>
      </c>
      <c r="R369" s="46">
        <f>IF(VLOOKUP($C369,REV!$C:$AA,16,0)-'TRADE IN'!$F378=0,"",(VLOOKUP($C369,REV!$C:$AA,16,0)-'TRADE IN'!$F369))</f>
        <v>349</v>
      </c>
      <c r="S369" s="46">
        <f>IF(VLOOKUP($C369,REV!$C:$AA,17,0)-'TRADE IN'!$F378=0,"",(VLOOKUP($C369,REV!$C:$AA,17,0)-'TRADE IN'!$F369))</f>
        <v>349</v>
      </c>
      <c r="T369" s="46">
        <f>IF(VLOOKUP($C369,REV!$C:$AA,18,0)-'TRADE IN'!$F378=0,"",(VLOOKUP($C369,REV!$C:$AA,18,0)-'TRADE IN'!$F369))</f>
        <v>349</v>
      </c>
      <c r="U369" s="46">
        <f>IF(VLOOKUP($C369,REV!$C:$AA,19,0)-'TRADE IN'!$F378=0,"",(VLOOKUP($C369,REV!$C:$AA,19,0)-'TRADE IN'!$F369))</f>
        <v>349</v>
      </c>
      <c r="V369" s="46">
        <f>IF(VLOOKUP($C369,REV!$C:$AA,20,0)-'TRADE IN'!$F378=0,"",(VLOOKUP($C369,REV!$C:$AA,20,0)-'TRADE IN'!$F369))</f>
        <v>349</v>
      </c>
      <c r="W369" s="46">
        <f>IF(VLOOKUP($C369,REV!$C:$AA,21,0)-'TRADE IN'!$F378=0,"",(VLOOKUP($C369,REV!$C:$AA,21,0)-'TRADE IN'!$F369))</f>
        <v>349</v>
      </c>
      <c r="X369" s="46">
        <f>IF(VLOOKUP($C369,REV!$C:$AA,22,0)-'TRADE IN'!$F378=0,"",(VLOOKUP($C369,REV!$C:$AA,22,0)-'TRADE IN'!$F369))</f>
        <v>349</v>
      </c>
      <c r="Y369" s="46">
        <f>IF(VLOOKUP($C369,REV!$C:$AA,23,0)-'TRADE IN'!$F378=0,"",(VLOOKUP($C369,REV!$C:$AA,23,0)-'TRADE IN'!$F369))</f>
        <v>349</v>
      </c>
      <c r="Z369" s="46">
        <f>IF(VLOOKUP($C369,REV!$C:$AA,24,0)-'TRADE IN'!$F378=0,"",(VLOOKUP($C369,REV!$C:$AA,24,0)-'TRADE IN'!$F369))</f>
        <v>349</v>
      </c>
      <c r="AA369" s="46">
        <f>IF(VLOOKUP($C369,REV!$C:$AA,25,0)-'TRADE IN'!$F378=0,"",(VLOOKUP($C369,REV!$C:$AA,25,0)-'TRADE IN'!$F369))</f>
        <v>349</v>
      </c>
      <c r="AB369" s="46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tr">
        <f>IF(REV!AW369=0,"",REV!AW369)</f>
        <v>31.03.2026</v>
      </c>
      <c r="AX369" s="159" t="s">
        <v>66</v>
      </c>
    </row>
    <row r="370" spans="1:50" ht="22.5" customHeight="1">
      <c r="A370" s="50" t="s">
        <v>61</v>
      </c>
      <c r="B370" s="41" t="s">
        <v>62</v>
      </c>
      <c r="C370" s="42">
        <v>4014440</v>
      </c>
      <c r="D370" s="44" t="s">
        <v>542</v>
      </c>
      <c r="E370" s="44" t="s">
        <v>546</v>
      </c>
      <c r="F370" s="45"/>
      <c r="G370" s="45"/>
      <c r="H370" s="45"/>
      <c r="I370" s="45"/>
      <c r="J370" s="46">
        <f>IF(VLOOKUP($C370,REV!$C:$AA,8,0)-'TRADE IN'!$F370=0,"",(VLOOKUP($C370,REV!$C:$AA,8,0)-'TRADE IN'!$F370))</f>
        <v>399</v>
      </c>
      <c r="K370" s="46">
        <f>IF(VLOOKUP($C370,REV!$C:$AA,9,0)-'TRADE IN'!$F370=0,"",(VLOOKUP($C370,REV!$C:$AA,9,0)-'TRADE IN'!$F370))</f>
        <v>399</v>
      </c>
      <c r="L370" s="46">
        <f>IF(VLOOKUP($C370,REV!$C:$AA,10,0)-'TRADE IN'!$F379=0,"",(VLOOKUP($C370,REV!$C:$AA,10,0)-'TRADE IN'!$F370))</f>
        <v>399</v>
      </c>
      <c r="M370" s="46">
        <f>IF(VLOOKUP($C370,REV!$C:$AA,11,0)-'TRADE IN'!$F379=0,"",(VLOOKUP($C370,REV!$C:$AA,11,0)-'TRADE IN'!$F370))</f>
        <v>399</v>
      </c>
      <c r="N370" s="46">
        <f>IF(VLOOKUP($C370,REV!$C:$AA,12,0)-'TRADE IN'!$F379=0,"",(VLOOKUP($C370,REV!$C:$AA,12,0)-'TRADE IN'!$F370))</f>
        <v>399</v>
      </c>
      <c r="O370" s="46">
        <f>IF(VLOOKUP($C370,REV!$C:$AA,13,0)-'TRADE IN'!$F379=0,"",(VLOOKUP($C370,REV!$C:$AA,13,0)-'TRADE IN'!$F370))</f>
        <v>349</v>
      </c>
      <c r="P370" s="46">
        <f>IF(VLOOKUP($C370,REV!$C:$AA,14,0)-'TRADE IN'!$F379=0,"",(VLOOKUP($C370,REV!$C:$AA,14,0)-'TRADE IN'!$F370))</f>
        <v>349</v>
      </c>
      <c r="Q370" s="46">
        <f>IF(VLOOKUP($C370,REV!$C:$AA,15,0)-'TRADE IN'!$F379=0,"",(VLOOKUP($C370,REV!$C:$AA,15,0)-'TRADE IN'!$F370))</f>
        <v>349</v>
      </c>
      <c r="R370" s="46">
        <f>IF(VLOOKUP($C370,REV!$C:$AA,16,0)-'TRADE IN'!$F379=0,"",(VLOOKUP($C370,REV!$C:$AA,16,0)-'TRADE IN'!$F370))</f>
        <v>349</v>
      </c>
      <c r="S370" s="46">
        <f>IF(VLOOKUP($C370,REV!$C:$AA,17,0)-'TRADE IN'!$F379=0,"",(VLOOKUP($C370,REV!$C:$AA,17,0)-'TRADE IN'!$F370))</f>
        <v>349</v>
      </c>
      <c r="T370" s="46">
        <f>IF(VLOOKUP($C370,REV!$C:$AA,18,0)-'TRADE IN'!$F379=0,"",(VLOOKUP($C370,REV!$C:$AA,18,0)-'TRADE IN'!$F370))</f>
        <v>349</v>
      </c>
      <c r="U370" s="46">
        <f>IF(VLOOKUP($C370,REV!$C:$AA,19,0)-'TRADE IN'!$F379=0,"",(VLOOKUP($C370,REV!$C:$AA,19,0)-'TRADE IN'!$F370))</f>
        <v>349</v>
      </c>
      <c r="V370" s="46">
        <f>IF(VLOOKUP($C370,REV!$C:$AA,20,0)-'TRADE IN'!$F379=0,"",(VLOOKUP($C370,REV!$C:$AA,20,0)-'TRADE IN'!$F370))</f>
        <v>349</v>
      </c>
      <c r="W370" s="46">
        <f>IF(VLOOKUP($C370,REV!$C:$AA,21,0)-'TRADE IN'!$F379=0,"",(VLOOKUP($C370,REV!$C:$AA,21,0)-'TRADE IN'!$F370))</f>
        <v>349</v>
      </c>
      <c r="X370" s="46">
        <f>IF(VLOOKUP($C370,REV!$C:$AA,22,0)-'TRADE IN'!$F379=0,"",(VLOOKUP($C370,REV!$C:$AA,22,0)-'TRADE IN'!$F370))</f>
        <v>349</v>
      </c>
      <c r="Y370" s="46">
        <f>IF(VLOOKUP($C370,REV!$C:$AA,23,0)-'TRADE IN'!$F379=0,"",(VLOOKUP($C370,REV!$C:$AA,23,0)-'TRADE IN'!$F370))</f>
        <v>349</v>
      </c>
      <c r="Z370" s="46">
        <f>IF(VLOOKUP($C370,REV!$C:$AA,24,0)-'TRADE IN'!$F379=0,"",(VLOOKUP($C370,REV!$C:$AA,24,0)-'TRADE IN'!$F370))</f>
        <v>349</v>
      </c>
      <c r="AA370" s="46">
        <f>IF(VLOOKUP($C370,REV!$C:$AA,25,0)-'TRADE IN'!$F379=0,"",(VLOOKUP($C370,REV!$C:$AA,25,0)-'TRADE IN'!$F370))</f>
        <v>349</v>
      </c>
      <c r="AB370" s="46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tr">
        <f>IF(REV!AW370=0,"",REV!AW370)</f>
        <v>31.03.2026</v>
      </c>
      <c r="AX370" s="159" t="s">
        <v>66</v>
      </c>
    </row>
    <row r="371" spans="1:50" ht="22.5" customHeight="1">
      <c r="A371" s="50" t="s">
        <v>61</v>
      </c>
      <c r="B371" s="41" t="s">
        <v>62</v>
      </c>
      <c r="C371" s="42">
        <v>4015046</v>
      </c>
      <c r="D371" s="44" t="s">
        <v>547</v>
      </c>
      <c r="E371" s="44" t="s">
        <v>548</v>
      </c>
      <c r="F371" s="45"/>
      <c r="G371" s="45"/>
      <c r="H371" s="45"/>
      <c r="I371" s="45"/>
      <c r="J371" s="46">
        <f>IF(VLOOKUP($C371,REV!$C:$AA,8,0)-'TRADE IN'!$F371=0,"",(VLOOKUP($C371,REV!$C:$AA,8,0)-'TRADE IN'!$F371))</f>
        <v>499</v>
      </c>
      <c r="K371" s="46">
        <f>IF(VLOOKUP($C371,REV!$C:$AA,9,0)-'TRADE IN'!$F371=0,"",(VLOOKUP($C371,REV!$C:$AA,9,0)-'TRADE IN'!$F371))</f>
        <v>499</v>
      </c>
      <c r="L371" s="46">
        <f>IF(VLOOKUP($C371,REV!$C:$AA,10,0)-'TRADE IN'!$F380=0,"",(VLOOKUP($C371,REV!$C:$AA,10,0)-'TRADE IN'!$F371))</f>
        <v>499</v>
      </c>
      <c r="M371" s="46">
        <f>IF(VLOOKUP($C371,REV!$C:$AA,11,0)-'TRADE IN'!$F380=0,"",(VLOOKUP($C371,REV!$C:$AA,11,0)-'TRADE IN'!$F371))</f>
        <v>499</v>
      </c>
      <c r="N371" s="46">
        <f>IF(VLOOKUP($C371,REV!$C:$AA,12,0)-'TRADE IN'!$F380=0,"",(VLOOKUP($C371,REV!$C:$AA,12,0)-'TRADE IN'!$F371))</f>
        <v>499</v>
      </c>
      <c r="O371" s="46">
        <f>IF(VLOOKUP($C371,REV!$C:$AA,13,0)-'TRADE IN'!$F380=0,"",(VLOOKUP($C371,REV!$C:$AA,13,0)-'TRADE IN'!$F371))</f>
        <v>449</v>
      </c>
      <c r="P371" s="46">
        <f>IF(VLOOKUP($C371,REV!$C:$AA,14,0)-'TRADE IN'!$F380=0,"",(VLOOKUP($C371,REV!$C:$AA,14,0)-'TRADE IN'!$F371))</f>
        <v>449</v>
      </c>
      <c r="Q371" s="46">
        <f>IF(VLOOKUP($C371,REV!$C:$AA,15,0)-'TRADE IN'!$F380=0,"",(VLOOKUP($C371,REV!$C:$AA,15,0)-'TRADE IN'!$F371))</f>
        <v>399</v>
      </c>
      <c r="R371" s="46">
        <f>IF(VLOOKUP($C371,REV!$C:$AA,16,0)-'TRADE IN'!$F380=0,"",(VLOOKUP($C371,REV!$C:$AA,16,0)-'TRADE IN'!$F371))</f>
        <v>449</v>
      </c>
      <c r="S371" s="46">
        <f>IF(VLOOKUP($C371,REV!$C:$AA,17,0)-'TRADE IN'!$F380=0,"",(VLOOKUP($C371,REV!$C:$AA,17,0)-'TRADE IN'!$F371))</f>
        <v>449</v>
      </c>
      <c r="T371" s="46">
        <f>IF(VLOOKUP($C371,REV!$C:$AA,18,0)-'TRADE IN'!$F380=0,"",(VLOOKUP($C371,REV!$C:$AA,18,0)-'TRADE IN'!$F371))</f>
        <v>399</v>
      </c>
      <c r="U371" s="46">
        <f>IF(VLOOKUP($C371,REV!$C:$AA,19,0)-'TRADE IN'!$F380=0,"",(VLOOKUP($C371,REV!$C:$AA,19,0)-'TRADE IN'!$F371))</f>
        <v>399</v>
      </c>
      <c r="V371" s="46">
        <f>IF(VLOOKUP($C371,REV!$C:$AA,20,0)-'TRADE IN'!$F380=0,"",(VLOOKUP($C371,REV!$C:$AA,20,0)-'TRADE IN'!$F371))</f>
        <v>399</v>
      </c>
      <c r="W371" s="46">
        <f>IF(VLOOKUP($C371,REV!$C:$AA,21,0)-'TRADE IN'!$F380=0,"",(VLOOKUP($C371,REV!$C:$AA,21,0)-'TRADE IN'!$F371))</f>
        <v>399</v>
      </c>
      <c r="X371" s="46">
        <f>IF(VLOOKUP($C371,REV!$C:$AA,22,0)-'TRADE IN'!$F380=0,"",(VLOOKUP($C371,REV!$C:$AA,22,0)-'TRADE IN'!$F371))</f>
        <v>399</v>
      </c>
      <c r="Y371" s="46">
        <f>IF(VLOOKUP($C371,REV!$C:$AA,23,0)-'TRADE IN'!$F380=0,"",(VLOOKUP($C371,REV!$C:$AA,23,0)-'TRADE IN'!$F371))</f>
        <v>399</v>
      </c>
      <c r="Z371" s="46">
        <f>IF(VLOOKUP($C371,REV!$C:$AA,24,0)-'TRADE IN'!$F380=0,"",(VLOOKUP($C371,REV!$C:$AA,24,0)-'TRADE IN'!$F371))</f>
        <v>399</v>
      </c>
      <c r="AA371" s="46">
        <f>IF(VLOOKUP($C371,REV!$C:$AA,25,0)-'TRADE IN'!$F380=0,"",(VLOOKUP($C371,REV!$C:$AA,25,0)-'TRADE IN'!$F371))</f>
        <v>399</v>
      </c>
      <c r="AB371" s="46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tr">
        <f>IF(REV!AW371=0,"",REV!AW371)</f>
        <v>31.03.2026</v>
      </c>
      <c r="AX371" s="159" t="s">
        <v>66</v>
      </c>
    </row>
    <row r="372" spans="1:50" ht="22.5" customHeight="1">
      <c r="A372" s="50" t="s">
        <v>61</v>
      </c>
      <c r="B372" s="41" t="s">
        <v>62</v>
      </c>
      <c r="C372" s="42">
        <v>4015222</v>
      </c>
      <c r="D372" s="44" t="s">
        <v>547</v>
      </c>
      <c r="E372" s="44" t="s">
        <v>549</v>
      </c>
      <c r="F372" s="45"/>
      <c r="G372" s="45"/>
      <c r="H372" s="45"/>
      <c r="I372" s="45"/>
      <c r="J372" s="46">
        <f>IF(VLOOKUP($C372,REV!$C:$AA,8,0)-'TRADE IN'!$F372=0,"",(VLOOKUP($C372,REV!$C:$AA,8,0)-'TRADE IN'!$F372))</f>
        <v>499</v>
      </c>
      <c r="K372" s="46">
        <f>IF(VLOOKUP($C372,REV!$C:$AA,9,0)-'TRADE IN'!$F372=0,"",(VLOOKUP($C372,REV!$C:$AA,9,0)-'TRADE IN'!$F372))</f>
        <v>499</v>
      </c>
      <c r="L372" s="46">
        <f>IF(VLOOKUP($C372,REV!$C:$AA,10,0)-'TRADE IN'!$F381=0,"",(VLOOKUP($C372,REV!$C:$AA,10,0)-'TRADE IN'!$F372))</f>
        <v>499</v>
      </c>
      <c r="M372" s="46">
        <f>IF(VLOOKUP($C372,REV!$C:$AA,11,0)-'TRADE IN'!$F381=0,"",(VLOOKUP($C372,REV!$C:$AA,11,0)-'TRADE IN'!$F372))</f>
        <v>499</v>
      </c>
      <c r="N372" s="46">
        <f>IF(VLOOKUP($C372,REV!$C:$AA,12,0)-'TRADE IN'!$F381=0,"",(VLOOKUP($C372,REV!$C:$AA,12,0)-'TRADE IN'!$F372))</f>
        <v>499</v>
      </c>
      <c r="O372" s="46">
        <f>IF(VLOOKUP($C372,REV!$C:$AA,13,0)-'TRADE IN'!$F381=0,"",(VLOOKUP($C372,REV!$C:$AA,13,0)-'TRADE IN'!$F372))</f>
        <v>449</v>
      </c>
      <c r="P372" s="46">
        <f>IF(VLOOKUP($C372,REV!$C:$AA,14,0)-'TRADE IN'!$F381=0,"",(VLOOKUP($C372,REV!$C:$AA,14,0)-'TRADE IN'!$F372))</f>
        <v>449</v>
      </c>
      <c r="Q372" s="46">
        <f>IF(VLOOKUP($C372,REV!$C:$AA,15,0)-'TRADE IN'!$F381=0,"",(VLOOKUP($C372,REV!$C:$AA,15,0)-'TRADE IN'!$F372))</f>
        <v>399</v>
      </c>
      <c r="R372" s="46">
        <f>IF(VLOOKUP($C372,REV!$C:$AA,16,0)-'TRADE IN'!$F381=0,"",(VLOOKUP($C372,REV!$C:$AA,16,0)-'TRADE IN'!$F372))</f>
        <v>449</v>
      </c>
      <c r="S372" s="46">
        <f>IF(VLOOKUP($C372,REV!$C:$AA,17,0)-'TRADE IN'!$F381=0,"",(VLOOKUP($C372,REV!$C:$AA,17,0)-'TRADE IN'!$F372))</f>
        <v>449</v>
      </c>
      <c r="T372" s="46">
        <f>IF(VLOOKUP($C372,REV!$C:$AA,18,0)-'TRADE IN'!$F381=0,"",(VLOOKUP($C372,REV!$C:$AA,18,0)-'TRADE IN'!$F372))</f>
        <v>399</v>
      </c>
      <c r="U372" s="46">
        <f>IF(VLOOKUP($C372,REV!$C:$AA,19,0)-'TRADE IN'!$F381=0,"",(VLOOKUP($C372,REV!$C:$AA,19,0)-'TRADE IN'!$F372))</f>
        <v>399</v>
      </c>
      <c r="V372" s="46">
        <f>IF(VLOOKUP($C372,REV!$C:$AA,20,0)-'TRADE IN'!$F381=0,"",(VLOOKUP($C372,REV!$C:$AA,20,0)-'TRADE IN'!$F372))</f>
        <v>399</v>
      </c>
      <c r="W372" s="46">
        <f>IF(VLOOKUP($C372,REV!$C:$AA,21,0)-'TRADE IN'!$F381=0,"",(VLOOKUP($C372,REV!$C:$AA,21,0)-'TRADE IN'!$F372))</f>
        <v>399</v>
      </c>
      <c r="X372" s="46">
        <f>IF(VLOOKUP($C372,REV!$C:$AA,22,0)-'TRADE IN'!$F381=0,"",(VLOOKUP($C372,REV!$C:$AA,22,0)-'TRADE IN'!$F372))</f>
        <v>399</v>
      </c>
      <c r="Y372" s="46">
        <f>IF(VLOOKUP($C372,REV!$C:$AA,23,0)-'TRADE IN'!$F381=0,"",(VLOOKUP($C372,REV!$C:$AA,23,0)-'TRADE IN'!$F372))</f>
        <v>399</v>
      </c>
      <c r="Z372" s="46">
        <f>IF(VLOOKUP($C372,REV!$C:$AA,24,0)-'TRADE IN'!$F381=0,"",(VLOOKUP($C372,REV!$C:$AA,24,0)-'TRADE IN'!$F372))</f>
        <v>399</v>
      </c>
      <c r="AA372" s="46">
        <f>IF(VLOOKUP($C372,REV!$C:$AA,25,0)-'TRADE IN'!$F381=0,"",(VLOOKUP($C372,REV!$C:$AA,25,0)-'TRADE IN'!$F372))</f>
        <v>399</v>
      </c>
      <c r="AB372" s="46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tr">
        <f>IF(REV!AW372=0,"",REV!AW372)</f>
        <v>31.03.2026</v>
      </c>
      <c r="AX372" s="159" t="s">
        <v>66</v>
      </c>
    </row>
    <row r="373" spans="1:50" ht="22.5" customHeight="1">
      <c r="A373" s="50" t="s">
        <v>61</v>
      </c>
      <c r="B373" s="41" t="s">
        <v>62</v>
      </c>
      <c r="C373" s="42">
        <v>4015992</v>
      </c>
      <c r="D373" s="62" t="s">
        <v>550</v>
      </c>
      <c r="E373" s="44" t="s">
        <v>551</v>
      </c>
      <c r="F373" s="45"/>
      <c r="G373" s="45"/>
      <c r="H373" s="45"/>
      <c r="I373" s="45"/>
      <c r="J373" s="46">
        <f>IF(VLOOKUP($C373,REV!$C:$AA,8,0)-'TRADE IN'!$F373=0,"",(VLOOKUP($C373,REV!$C:$AA,8,0)-'TRADE IN'!$F373))</f>
        <v>309</v>
      </c>
      <c r="K373" s="46">
        <f>IF(VLOOKUP($C373,REV!$C:$AA,9,0)-'TRADE IN'!$F373=0,"",(VLOOKUP($C373,REV!$C:$AA,9,0)-'TRADE IN'!$F373))</f>
        <v>309</v>
      </c>
      <c r="L373" s="46">
        <f>IF(VLOOKUP($C373,REV!$C:$AA,10,0)-'TRADE IN'!$F382=0,"",(VLOOKUP($C373,REV!$C:$AA,10,0)-'TRADE IN'!$F373))</f>
        <v>309</v>
      </c>
      <c r="M373" s="46">
        <f>IF(VLOOKUP($C373,REV!$C:$AA,11,0)-'TRADE IN'!$F382=0,"",(VLOOKUP($C373,REV!$C:$AA,11,0)-'TRADE IN'!$F373))</f>
        <v>309</v>
      </c>
      <c r="N373" s="46">
        <f>IF(VLOOKUP($C373,REV!$C:$AA,12,0)-'TRADE IN'!$F382=0,"",(VLOOKUP($C373,REV!$C:$AA,12,0)-'TRADE IN'!$F373))</f>
        <v>309</v>
      </c>
      <c r="O373" s="46">
        <f>IF(VLOOKUP($C373,REV!$C:$AA,13,0)-'TRADE IN'!$F382=0,"",(VLOOKUP($C373,REV!$C:$AA,13,0)-'TRADE IN'!$F373))</f>
        <v>309</v>
      </c>
      <c r="P373" s="46">
        <f>IF(VLOOKUP($C373,REV!$C:$AA,14,0)-'TRADE IN'!$F382=0,"",(VLOOKUP($C373,REV!$C:$AA,14,0)-'TRADE IN'!$F373))</f>
        <v>309</v>
      </c>
      <c r="Q373" s="46">
        <f>IF(VLOOKUP($C373,REV!$C:$AA,15,0)-'TRADE IN'!$F382=0,"",(VLOOKUP($C373,REV!$C:$AA,15,0)-'TRADE IN'!$F373))</f>
        <v>309</v>
      </c>
      <c r="R373" s="46">
        <f>IF(VLOOKUP($C373,REV!$C:$AA,16,0)-'TRADE IN'!$F382=0,"",(VLOOKUP($C373,REV!$C:$AA,16,0)-'TRADE IN'!$F373))</f>
        <v>309</v>
      </c>
      <c r="S373" s="46">
        <f>IF(VLOOKUP($C373,REV!$C:$AA,17,0)-'TRADE IN'!$F382=0,"",(VLOOKUP($C373,REV!$C:$AA,17,0)-'TRADE IN'!$F373))</f>
        <v>309</v>
      </c>
      <c r="T373" s="46">
        <f>IF(VLOOKUP($C373,REV!$C:$AA,18,0)-'TRADE IN'!$F382=0,"",(VLOOKUP($C373,REV!$C:$AA,18,0)-'TRADE IN'!$F373))</f>
        <v>309</v>
      </c>
      <c r="U373" s="46">
        <f>IF(VLOOKUP($C373,REV!$C:$AA,19,0)-'TRADE IN'!$F382=0,"",(VLOOKUP($C373,REV!$C:$AA,19,0)-'TRADE IN'!$F373))</f>
        <v>309</v>
      </c>
      <c r="V373" s="46">
        <f>IF(VLOOKUP($C373,REV!$C:$AA,20,0)-'TRADE IN'!$F382=0,"",(VLOOKUP($C373,REV!$C:$AA,20,0)-'TRADE IN'!$F373))</f>
        <v>309</v>
      </c>
      <c r="W373" s="46">
        <f>IF(VLOOKUP($C373,REV!$C:$AA,21,0)-'TRADE IN'!$F382=0,"",(VLOOKUP($C373,REV!$C:$AA,21,0)-'TRADE IN'!$F373))</f>
        <v>309</v>
      </c>
      <c r="X373" s="46">
        <f>IF(VLOOKUP($C373,REV!$C:$AA,22,0)-'TRADE IN'!$F382=0,"",(VLOOKUP($C373,REV!$C:$AA,22,0)-'TRADE IN'!$F373))</f>
        <v>309</v>
      </c>
      <c r="Y373" s="46">
        <f>IF(VLOOKUP($C373,REV!$C:$AA,23,0)-'TRADE IN'!$F382=0,"",(VLOOKUP($C373,REV!$C:$AA,23,0)-'TRADE IN'!$F373))</f>
        <v>309</v>
      </c>
      <c r="Z373" s="46">
        <f>IF(VLOOKUP($C373,REV!$C:$AA,24,0)-'TRADE IN'!$F382=0,"",(VLOOKUP($C373,REV!$C:$AA,24,0)-'TRADE IN'!$F373))</f>
        <v>309</v>
      </c>
      <c r="AA373" s="46">
        <f>IF(VLOOKUP($C373,REV!$C:$AA,25,0)-'TRADE IN'!$F382=0,"",(VLOOKUP($C373,REV!$C:$AA,25,0)-'TRADE IN'!$F373))</f>
        <v>309</v>
      </c>
      <c r="AB373" s="46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tr">
        <f>IF(REV!AW373=0,"",REV!AW373)</f>
        <v>31.03.2026</v>
      </c>
      <c r="AX373" s="159" t="s">
        <v>66</v>
      </c>
    </row>
    <row r="374" spans="1:50" ht="22.5" customHeight="1">
      <c r="A374" s="50" t="s">
        <v>61</v>
      </c>
      <c r="B374" s="41" t="s">
        <v>62</v>
      </c>
      <c r="C374" s="42">
        <v>4015995</v>
      </c>
      <c r="D374" s="62" t="s">
        <v>550</v>
      </c>
      <c r="E374" s="44" t="s">
        <v>552</v>
      </c>
      <c r="F374" s="45"/>
      <c r="G374" s="45"/>
      <c r="H374" s="45"/>
      <c r="I374" s="45"/>
      <c r="J374" s="46">
        <f>IF(VLOOKUP($C374,REV!$C:$AA,8,0)-'TRADE IN'!$F374=0,"",(VLOOKUP($C374,REV!$C:$AA,8,0)-'TRADE IN'!$F374))</f>
        <v>309</v>
      </c>
      <c r="K374" s="46">
        <f>IF(VLOOKUP($C374,REV!$C:$AA,9,0)-'TRADE IN'!$F374=0,"",(VLOOKUP($C374,REV!$C:$AA,9,0)-'TRADE IN'!$F374))</f>
        <v>309</v>
      </c>
      <c r="L374" s="46">
        <f>IF(VLOOKUP($C374,REV!$C:$AA,10,0)-'TRADE IN'!$F385=0,"",(VLOOKUP($C374,REV!$C:$AA,10,0)-'TRADE IN'!$F374))</f>
        <v>309</v>
      </c>
      <c r="M374" s="46">
        <f>IF(VLOOKUP($C374,REV!$C:$AA,11,0)-'TRADE IN'!$F385=0,"",(VLOOKUP($C374,REV!$C:$AA,11,0)-'TRADE IN'!$F374))</f>
        <v>309</v>
      </c>
      <c r="N374" s="46">
        <f>IF(VLOOKUP($C374,REV!$C:$AA,12,0)-'TRADE IN'!$F385=0,"",(VLOOKUP($C374,REV!$C:$AA,12,0)-'TRADE IN'!$F374))</f>
        <v>309</v>
      </c>
      <c r="O374" s="46">
        <f>IF(VLOOKUP($C374,REV!$C:$AA,13,0)-'TRADE IN'!$F385=0,"",(VLOOKUP($C374,REV!$C:$AA,13,0)-'TRADE IN'!$F374))</f>
        <v>309</v>
      </c>
      <c r="P374" s="46">
        <f>IF(VLOOKUP($C374,REV!$C:$AA,14,0)-'TRADE IN'!$F385=0,"",(VLOOKUP($C374,REV!$C:$AA,14,0)-'TRADE IN'!$F374))</f>
        <v>309</v>
      </c>
      <c r="Q374" s="46">
        <f>IF(VLOOKUP($C374,REV!$C:$AA,15,0)-'TRADE IN'!$F385=0,"",(VLOOKUP($C374,REV!$C:$AA,15,0)-'TRADE IN'!$F374))</f>
        <v>309</v>
      </c>
      <c r="R374" s="46">
        <f>IF(VLOOKUP($C374,REV!$C:$AA,16,0)-'TRADE IN'!$F385=0,"",(VLOOKUP($C374,REV!$C:$AA,16,0)-'TRADE IN'!$F374))</f>
        <v>309</v>
      </c>
      <c r="S374" s="46">
        <f>IF(VLOOKUP($C374,REV!$C:$AA,17,0)-'TRADE IN'!$F385=0,"",(VLOOKUP($C374,REV!$C:$AA,17,0)-'TRADE IN'!$F374))</f>
        <v>309</v>
      </c>
      <c r="T374" s="46">
        <f>IF(VLOOKUP($C374,REV!$C:$AA,18,0)-'TRADE IN'!$F385=0,"",(VLOOKUP($C374,REV!$C:$AA,18,0)-'TRADE IN'!$F374))</f>
        <v>309</v>
      </c>
      <c r="U374" s="46">
        <f>IF(VLOOKUP($C374,REV!$C:$AA,19,0)-'TRADE IN'!$F385=0,"",(VLOOKUP($C374,REV!$C:$AA,19,0)-'TRADE IN'!$F374))</f>
        <v>309</v>
      </c>
      <c r="V374" s="46">
        <f>IF(VLOOKUP($C374,REV!$C:$AA,20,0)-'TRADE IN'!$F385=0,"",(VLOOKUP($C374,REV!$C:$AA,20,0)-'TRADE IN'!$F374))</f>
        <v>309</v>
      </c>
      <c r="W374" s="46">
        <f>IF(VLOOKUP($C374,REV!$C:$AA,21,0)-'TRADE IN'!$F385=0,"",(VLOOKUP($C374,REV!$C:$AA,21,0)-'TRADE IN'!$F374))</f>
        <v>309</v>
      </c>
      <c r="X374" s="46">
        <f>IF(VLOOKUP($C374,REV!$C:$AA,22,0)-'TRADE IN'!$F385=0,"",(VLOOKUP($C374,REV!$C:$AA,22,0)-'TRADE IN'!$F374))</f>
        <v>309</v>
      </c>
      <c r="Y374" s="46">
        <f>IF(VLOOKUP($C374,REV!$C:$AA,23,0)-'TRADE IN'!$F385=0,"",(VLOOKUP($C374,REV!$C:$AA,23,0)-'TRADE IN'!$F374))</f>
        <v>309</v>
      </c>
      <c r="Z374" s="46">
        <f>IF(VLOOKUP($C374,REV!$C:$AA,24,0)-'TRADE IN'!$F385=0,"",(VLOOKUP($C374,REV!$C:$AA,24,0)-'TRADE IN'!$F374))</f>
        <v>309</v>
      </c>
      <c r="AA374" s="46">
        <f>IF(VLOOKUP($C374,REV!$C:$AA,25,0)-'TRADE IN'!$F385=0,"",(VLOOKUP($C374,REV!$C:$AA,25,0)-'TRADE IN'!$F374))</f>
        <v>309</v>
      </c>
      <c r="AB374" s="46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tr">
        <f>IF(REV!AW374=0,"",REV!AW374)</f>
        <v>31.03.2026</v>
      </c>
      <c r="AX374" s="159" t="s">
        <v>66</v>
      </c>
    </row>
    <row r="375" spans="1:50" ht="22.5" customHeight="1">
      <c r="A375" s="50" t="s">
        <v>61</v>
      </c>
      <c r="B375" s="41" t="s">
        <v>62</v>
      </c>
      <c r="C375" s="42">
        <v>4016000</v>
      </c>
      <c r="D375" s="62" t="s">
        <v>553</v>
      </c>
      <c r="E375" s="44" t="s">
        <v>554</v>
      </c>
      <c r="F375" s="45"/>
      <c r="G375" s="45"/>
      <c r="H375" s="45"/>
      <c r="I375" s="45"/>
      <c r="J375" s="46">
        <f>IF(VLOOKUP($C375,REV!$C:$AA,8,0)-'TRADE IN'!$F375=0,"",(VLOOKUP($C375,REV!$C:$AA,8,0)-'TRADE IN'!$F375))</f>
        <v>799</v>
      </c>
      <c r="K375" s="46">
        <f>IF(VLOOKUP($C375,REV!$C:$AA,9,0)-'TRADE IN'!$F375=0,"",(VLOOKUP($C375,REV!$C:$AA,9,0)-'TRADE IN'!$F375))</f>
        <v>799</v>
      </c>
      <c r="L375" s="46">
        <f>IF(VLOOKUP($C375,REV!$C:$AA,10,0)-'TRADE IN'!$F386=0,"",(VLOOKUP($C375,REV!$C:$AA,10,0)-'TRADE IN'!$F375))</f>
        <v>799</v>
      </c>
      <c r="M375" s="46">
        <f>IF(VLOOKUP($C375,REV!$C:$AA,11,0)-'TRADE IN'!$F386=0,"",(VLOOKUP($C375,REV!$C:$AA,11,0)-'TRADE IN'!$F375))</f>
        <v>799</v>
      </c>
      <c r="N375" s="46">
        <f>IF(VLOOKUP($C375,REV!$C:$AA,12,0)-'TRADE IN'!$F386=0,"",(VLOOKUP($C375,REV!$C:$AA,12,0)-'TRADE IN'!$F375))</f>
        <v>799</v>
      </c>
      <c r="O375" s="46">
        <f>IF(VLOOKUP($C375,REV!$C:$AA,13,0)-'TRADE IN'!$F386=0,"",(VLOOKUP($C375,REV!$C:$AA,13,0)-'TRADE IN'!$F375))</f>
        <v>749</v>
      </c>
      <c r="P375" s="46">
        <f>IF(VLOOKUP($C375,REV!$C:$AA,14,0)-'TRADE IN'!$F386=0,"",(VLOOKUP($C375,REV!$C:$AA,14,0)-'TRADE IN'!$F375))</f>
        <v>749</v>
      </c>
      <c r="Q375" s="46">
        <f>IF(VLOOKUP($C375,REV!$C:$AA,15,0)-'TRADE IN'!$F386=0,"",(VLOOKUP($C375,REV!$C:$AA,15,0)-'TRADE IN'!$F375))</f>
        <v>749</v>
      </c>
      <c r="R375" s="46">
        <f>IF(VLOOKUP($C375,REV!$C:$AA,16,0)-'TRADE IN'!$F386=0,"",(VLOOKUP($C375,REV!$C:$AA,16,0)-'TRADE IN'!$F375))</f>
        <v>749</v>
      </c>
      <c r="S375" s="46">
        <f>IF(VLOOKUP($C375,REV!$C:$AA,17,0)-'TRADE IN'!$F386=0,"",(VLOOKUP($C375,REV!$C:$AA,17,0)-'TRADE IN'!$F375))</f>
        <v>749</v>
      </c>
      <c r="T375" s="46">
        <f>IF(VLOOKUP($C375,REV!$C:$AA,18,0)-'TRADE IN'!$F386=0,"",(VLOOKUP($C375,REV!$C:$AA,18,0)-'TRADE IN'!$F375))</f>
        <v>749</v>
      </c>
      <c r="U375" s="46">
        <f>IF(VLOOKUP($C375,REV!$C:$AA,19,0)-'TRADE IN'!$F386=0,"",(VLOOKUP($C375,REV!$C:$AA,19,0)-'TRADE IN'!$F375))</f>
        <v>749</v>
      </c>
      <c r="V375" s="46">
        <f>IF(VLOOKUP($C375,REV!$C:$AA,20,0)-'TRADE IN'!$F386=0,"",(VLOOKUP($C375,REV!$C:$AA,20,0)-'TRADE IN'!$F375))</f>
        <v>749</v>
      </c>
      <c r="W375" s="46">
        <f>IF(VLOOKUP($C375,REV!$C:$AA,21,0)-'TRADE IN'!$F386=0,"",(VLOOKUP($C375,REV!$C:$AA,21,0)-'TRADE IN'!$F375))</f>
        <v>749</v>
      </c>
      <c r="X375" s="46">
        <f>IF(VLOOKUP($C375,REV!$C:$AA,22,0)-'TRADE IN'!$F386=0,"",(VLOOKUP($C375,REV!$C:$AA,22,0)-'TRADE IN'!$F375))</f>
        <v>749</v>
      </c>
      <c r="Y375" s="46">
        <f>IF(VLOOKUP($C375,REV!$C:$AA,23,0)-'TRADE IN'!$F386=0,"",(VLOOKUP($C375,REV!$C:$AA,23,0)-'TRADE IN'!$F375))</f>
        <v>749</v>
      </c>
      <c r="Z375" s="46">
        <f>IF(VLOOKUP($C375,REV!$C:$AA,24,0)-'TRADE IN'!$F386=0,"",(VLOOKUP($C375,REV!$C:$AA,24,0)-'TRADE IN'!$F375))</f>
        <v>749</v>
      </c>
      <c r="AA375" s="46">
        <f>IF(VLOOKUP($C375,REV!$C:$AA,25,0)-'TRADE IN'!$F386=0,"",(VLOOKUP($C375,REV!$C:$AA,25,0)-'TRADE IN'!$F375))</f>
        <v>749</v>
      </c>
      <c r="AB375" s="46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tr">
        <f>IF(REV!AW375=0,"",REV!AW375)</f>
        <v>31.03.2026</v>
      </c>
      <c r="AX375" s="159" t="s">
        <v>66</v>
      </c>
    </row>
    <row r="376" spans="1:50" ht="22.5" customHeight="1">
      <c r="A376" s="50" t="s">
        <v>61</v>
      </c>
      <c r="B376" s="41" t="s">
        <v>62</v>
      </c>
      <c r="C376" s="42">
        <v>4016003</v>
      </c>
      <c r="D376" s="62" t="s">
        <v>553</v>
      </c>
      <c r="E376" s="44" t="s">
        <v>555</v>
      </c>
      <c r="F376" s="45"/>
      <c r="G376" s="45"/>
      <c r="H376" s="45"/>
      <c r="I376" s="45"/>
      <c r="J376" s="46">
        <f>IF(VLOOKUP($C376,REV!$C:$AA,8,0)-'TRADE IN'!$F376=0,"",(VLOOKUP($C376,REV!$C:$AA,8,0)-'TRADE IN'!$F376))</f>
        <v>799</v>
      </c>
      <c r="K376" s="46">
        <f>IF(VLOOKUP($C376,REV!$C:$AA,9,0)-'TRADE IN'!$F376=0,"",(VLOOKUP($C376,REV!$C:$AA,9,0)-'TRADE IN'!$F376))</f>
        <v>799</v>
      </c>
      <c r="L376" s="46">
        <f>IF(VLOOKUP($C376,REV!$C:$AA,10,0)-'TRADE IN'!$F388=0,"",(VLOOKUP($C376,REV!$C:$AA,10,0)-'TRADE IN'!$F376))</f>
        <v>799</v>
      </c>
      <c r="M376" s="46">
        <f>IF(VLOOKUP($C376,REV!$C:$AA,11,0)-'TRADE IN'!$F388=0,"",(VLOOKUP($C376,REV!$C:$AA,11,0)-'TRADE IN'!$F376))</f>
        <v>799</v>
      </c>
      <c r="N376" s="46">
        <f>IF(VLOOKUP($C376,REV!$C:$AA,12,0)-'TRADE IN'!$F388=0,"",(VLOOKUP($C376,REV!$C:$AA,12,0)-'TRADE IN'!$F376))</f>
        <v>799</v>
      </c>
      <c r="O376" s="46">
        <f>IF(VLOOKUP($C376,REV!$C:$AA,13,0)-'TRADE IN'!$F388=0,"",(VLOOKUP($C376,REV!$C:$AA,13,0)-'TRADE IN'!$F376))</f>
        <v>749</v>
      </c>
      <c r="P376" s="46">
        <f>IF(VLOOKUP($C376,REV!$C:$AA,14,0)-'TRADE IN'!$F388=0,"",(VLOOKUP($C376,REV!$C:$AA,14,0)-'TRADE IN'!$F376))</f>
        <v>749</v>
      </c>
      <c r="Q376" s="46">
        <f>IF(VLOOKUP($C376,REV!$C:$AA,15,0)-'TRADE IN'!$F388=0,"",(VLOOKUP($C376,REV!$C:$AA,15,0)-'TRADE IN'!$F376))</f>
        <v>749</v>
      </c>
      <c r="R376" s="46">
        <f>IF(VLOOKUP($C376,REV!$C:$AA,16,0)-'TRADE IN'!$F388=0,"",(VLOOKUP($C376,REV!$C:$AA,16,0)-'TRADE IN'!$F376))</f>
        <v>749</v>
      </c>
      <c r="S376" s="46">
        <f>IF(VLOOKUP($C376,REV!$C:$AA,17,0)-'TRADE IN'!$F388=0,"",(VLOOKUP($C376,REV!$C:$AA,17,0)-'TRADE IN'!$F376))</f>
        <v>749</v>
      </c>
      <c r="T376" s="46">
        <f>IF(VLOOKUP($C376,REV!$C:$AA,18,0)-'TRADE IN'!$F388=0,"",(VLOOKUP($C376,REV!$C:$AA,18,0)-'TRADE IN'!$F376))</f>
        <v>749</v>
      </c>
      <c r="U376" s="46">
        <f>IF(VLOOKUP($C376,REV!$C:$AA,19,0)-'TRADE IN'!$F388=0,"",(VLOOKUP($C376,REV!$C:$AA,19,0)-'TRADE IN'!$F376))</f>
        <v>749</v>
      </c>
      <c r="V376" s="46">
        <f>IF(VLOOKUP($C376,REV!$C:$AA,20,0)-'TRADE IN'!$F388=0,"",(VLOOKUP($C376,REV!$C:$AA,20,0)-'TRADE IN'!$F376))</f>
        <v>749</v>
      </c>
      <c r="W376" s="46">
        <f>IF(VLOOKUP($C376,REV!$C:$AA,21,0)-'TRADE IN'!$F388=0,"",(VLOOKUP($C376,REV!$C:$AA,21,0)-'TRADE IN'!$F376))</f>
        <v>749</v>
      </c>
      <c r="X376" s="46">
        <f>IF(VLOOKUP($C376,REV!$C:$AA,22,0)-'TRADE IN'!$F388=0,"",(VLOOKUP($C376,REV!$C:$AA,22,0)-'TRADE IN'!$F376))</f>
        <v>749</v>
      </c>
      <c r="Y376" s="46">
        <f>IF(VLOOKUP($C376,REV!$C:$AA,23,0)-'TRADE IN'!$F388=0,"",(VLOOKUP($C376,REV!$C:$AA,23,0)-'TRADE IN'!$F376))</f>
        <v>749</v>
      </c>
      <c r="Z376" s="46">
        <f>IF(VLOOKUP($C376,REV!$C:$AA,24,0)-'TRADE IN'!$F388=0,"",(VLOOKUP($C376,REV!$C:$AA,24,0)-'TRADE IN'!$F376))</f>
        <v>749</v>
      </c>
      <c r="AA376" s="46">
        <f>IF(VLOOKUP($C376,REV!$C:$AA,25,0)-'TRADE IN'!$F388=0,"",(VLOOKUP($C376,REV!$C:$AA,25,0)-'TRADE IN'!$F376))</f>
        <v>749</v>
      </c>
      <c r="AB376" s="46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tr">
        <f>IF(REV!AW376=0,"",REV!AW376)</f>
        <v>31.03.2026</v>
      </c>
      <c r="AX376" s="159" t="s">
        <v>66</v>
      </c>
    </row>
    <row r="377" spans="1:50" ht="22.5" customHeight="1">
      <c r="A377" s="50" t="s">
        <v>61</v>
      </c>
      <c r="B377" s="41" t="s">
        <v>62</v>
      </c>
      <c r="C377" s="42">
        <v>4016641</v>
      </c>
      <c r="D377" s="62" t="s">
        <v>556</v>
      </c>
      <c r="E377" s="44" t="s">
        <v>557</v>
      </c>
      <c r="F377" s="45"/>
      <c r="G377" s="45"/>
      <c r="H377" s="45"/>
      <c r="I377" s="45"/>
      <c r="J377" s="46">
        <f>IF(VLOOKUP($C377,REV!$C:$AA,8,0)-'TRADE IN'!$F377=0,"",(VLOOKUP($C377,REV!$C:$AA,8,0)-'TRADE IN'!$F377))</f>
        <v>799</v>
      </c>
      <c r="K377" s="46">
        <f>IF(VLOOKUP($C377,REV!$C:$AA,9,0)-'TRADE IN'!$F377=0,"",(VLOOKUP($C377,REV!$C:$AA,9,0)-'TRADE IN'!$F377))</f>
        <v>799</v>
      </c>
      <c r="L377" s="46">
        <f>IF(VLOOKUP($C377,REV!$C:$AA,10,0)-'TRADE IN'!$F389=0,"",(VLOOKUP($C377,REV!$C:$AA,10,0)-'TRADE IN'!$F377))</f>
        <v>799</v>
      </c>
      <c r="M377" s="46">
        <f>IF(VLOOKUP($C377,REV!$C:$AA,11,0)-'TRADE IN'!$F389=0,"",(VLOOKUP($C377,REV!$C:$AA,11,0)-'TRADE IN'!$F377))</f>
        <v>799</v>
      </c>
      <c r="N377" s="46">
        <f>IF(VLOOKUP($C377,REV!$C:$AA,12,0)-'TRADE IN'!$F389=0,"",(VLOOKUP($C377,REV!$C:$AA,12,0)-'TRADE IN'!$F377))</f>
        <v>799</v>
      </c>
      <c r="O377" s="46">
        <f>IF(VLOOKUP($C377,REV!$C:$AA,13,0)-'TRADE IN'!$F389=0,"",(VLOOKUP($C377,REV!$C:$AA,13,0)-'TRADE IN'!$F377))</f>
        <v>699</v>
      </c>
      <c r="P377" s="46">
        <f>IF(VLOOKUP($C377,REV!$C:$AA,14,0)-'TRADE IN'!$F389=0,"",(VLOOKUP($C377,REV!$C:$AA,14,0)-'TRADE IN'!$F377))</f>
        <v>699</v>
      </c>
      <c r="Q377" s="46">
        <f>IF(VLOOKUP($C377,REV!$C:$AA,15,0)-'TRADE IN'!$F389=0,"",(VLOOKUP($C377,REV!$C:$AA,15,0)-'TRADE IN'!$F377))</f>
        <v>699</v>
      </c>
      <c r="R377" s="46">
        <f>IF(VLOOKUP($C377,REV!$C:$AA,16,0)-'TRADE IN'!$F389=0,"",(VLOOKUP($C377,REV!$C:$AA,16,0)-'TRADE IN'!$F377))</f>
        <v>699</v>
      </c>
      <c r="S377" s="46">
        <f>IF(VLOOKUP($C377,REV!$C:$AA,17,0)-'TRADE IN'!$F389=0,"",(VLOOKUP($C377,REV!$C:$AA,17,0)-'TRADE IN'!$F377))</f>
        <v>699</v>
      </c>
      <c r="T377" s="46">
        <f>IF(VLOOKUP($C377,REV!$C:$AA,18,0)-'TRADE IN'!$F389=0,"",(VLOOKUP($C377,REV!$C:$AA,18,0)-'TRADE IN'!$F377))</f>
        <v>699</v>
      </c>
      <c r="U377" s="46">
        <f>IF(VLOOKUP($C377,REV!$C:$AA,19,0)-'TRADE IN'!$F389=0,"",(VLOOKUP($C377,REV!$C:$AA,19,0)-'TRADE IN'!$F377))</f>
        <v>699</v>
      </c>
      <c r="V377" s="46">
        <f>IF(VLOOKUP($C377,REV!$C:$AA,20,0)-'TRADE IN'!$F389=0,"",(VLOOKUP($C377,REV!$C:$AA,20,0)-'TRADE IN'!$F377))</f>
        <v>699</v>
      </c>
      <c r="W377" s="46">
        <f>IF(VLOOKUP($C377,REV!$C:$AA,21,0)-'TRADE IN'!$F389=0,"",(VLOOKUP($C377,REV!$C:$AA,21,0)-'TRADE IN'!$F377))</f>
        <v>699</v>
      </c>
      <c r="X377" s="46">
        <f>IF(VLOOKUP($C377,REV!$C:$AA,22,0)-'TRADE IN'!$F389=0,"",(VLOOKUP($C377,REV!$C:$AA,22,0)-'TRADE IN'!$F377))</f>
        <v>699</v>
      </c>
      <c r="Y377" s="46">
        <f>IF(VLOOKUP($C377,REV!$C:$AA,23,0)-'TRADE IN'!$F389=0,"",(VLOOKUP($C377,REV!$C:$AA,23,0)-'TRADE IN'!$F377))</f>
        <v>699</v>
      </c>
      <c r="Z377" s="46">
        <f>IF(VLOOKUP($C377,REV!$C:$AA,24,0)-'TRADE IN'!$F389=0,"",(VLOOKUP($C377,REV!$C:$AA,24,0)-'TRADE IN'!$F377))</f>
        <v>699</v>
      </c>
      <c r="AA377" s="46">
        <f>IF(VLOOKUP($C377,REV!$C:$AA,25,0)-'TRADE IN'!$F389=0,"",(VLOOKUP($C377,REV!$C:$AA,25,0)-'TRADE IN'!$F377))</f>
        <v>699</v>
      </c>
      <c r="AB377" s="46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tr">
        <f>IF(REV!AW377=0,"",REV!AW377)</f>
        <v>31.03.2026</v>
      </c>
      <c r="AX377" s="159" t="s">
        <v>66</v>
      </c>
    </row>
    <row r="378" spans="1:50" ht="22.5" customHeight="1">
      <c r="A378" s="50" t="s">
        <v>61</v>
      </c>
      <c r="B378" s="41" t="s">
        <v>62</v>
      </c>
      <c r="C378" s="42">
        <v>4016642</v>
      </c>
      <c r="D378" s="62" t="s">
        <v>556</v>
      </c>
      <c r="E378" s="44" t="s">
        <v>558</v>
      </c>
      <c r="F378" s="45"/>
      <c r="G378" s="45"/>
      <c r="H378" s="45"/>
      <c r="I378" s="45"/>
      <c r="J378" s="46">
        <f>IF(VLOOKUP($C378,REV!$C:$AA,8,0)-'TRADE IN'!$F378=0,"",(VLOOKUP($C378,REV!$C:$AA,8,0)-'TRADE IN'!$F378))</f>
        <v>799</v>
      </c>
      <c r="K378" s="46">
        <f>IF(VLOOKUP($C378,REV!$C:$AA,9,0)-'TRADE IN'!$F378=0,"",(VLOOKUP($C378,REV!$C:$AA,9,0)-'TRADE IN'!$F378))</f>
        <v>799</v>
      </c>
      <c r="L378" s="46">
        <f>IF(VLOOKUP($C378,REV!$C:$AA,10,0)-'TRADE IN'!$F390=0,"",(VLOOKUP($C378,REV!$C:$AA,10,0)-'TRADE IN'!$F378))</f>
        <v>799</v>
      </c>
      <c r="M378" s="46">
        <f>IF(VLOOKUP($C378,REV!$C:$AA,11,0)-'TRADE IN'!$F390=0,"",(VLOOKUP($C378,REV!$C:$AA,11,0)-'TRADE IN'!$F378))</f>
        <v>799</v>
      </c>
      <c r="N378" s="46">
        <f>IF(VLOOKUP($C378,REV!$C:$AA,12,0)-'TRADE IN'!$F390=0,"",(VLOOKUP($C378,REV!$C:$AA,12,0)-'TRADE IN'!$F378))</f>
        <v>799</v>
      </c>
      <c r="O378" s="46">
        <f>IF(VLOOKUP($C378,REV!$C:$AA,13,0)-'TRADE IN'!$F390=0,"",(VLOOKUP($C378,REV!$C:$AA,13,0)-'TRADE IN'!$F378))</f>
        <v>699</v>
      </c>
      <c r="P378" s="46">
        <f>IF(VLOOKUP($C378,REV!$C:$AA,14,0)-'TRADE IN'!$F390=0,"",(VLOOKUP($C378,REV!$C:$AA,14,0)-'TRADE IN'!$F378))</f>
        <v>699</v>
      </c>
      <c r="Q378" s="46">
        <f>IF(VLOOKUP($C378,REV!$C:$AA,15,0)-'TRADE IN'!$F390=0,"",(VLOOKUP($C378,REV!$C:$AA,15,0)-'TRADE IN'!$F378))</f>
        <v>699</v>
      </c>
      <c r="R378" s="46">
        <f>IF(VLOOKUP($C378,REV!$C:$AA,16,0)-'TRADE IN'!$F390=0,"",(VLOOKUP($C378,REV!$C:$AA,16,0)-'TRADE IN'!$F378))</f>
        <v>699</v>
      </c>
      <c r="S378" s="46">
        <f>IF(VLOOKUP($C378,REV!$C:$AA,17,0)-'TRADE IN'!$F390=0,"",(VLOOKUP($C378,REV!$C:$AA,17,0)-'TRADE IN'!$F378))</f>
        <v>699</v>
      </c>
      <c r="T378" s="46">
        <f>IF(VLOOKUP($C378,REV!$C:$AA,18,0)-'TRADE IN'!$F390=0,"",(VLOOKUP($C378,REV!$C:$AA,18,0)-'TRADE IN'!$F378))</f>
        <v>699</v>
      </c>
      <c r="U378" s="46">
        <f>IF(VLOOKUP($C378,REV!$C:$AA,19,0)-'TRADE IN'!$F390=0,"",(VLOOKUP($C378,REV!$C:$AA,19,0)-'TRADE IN'!$F378))</f>
        <v>699</v>
      </c>
      <c r="V378" s="46">
        <f>IF(VLOOKUP($C378,REV!$C:$AA,20,0)-'TRADE IN'!$F390=0,"",(VLOOKUP($C378,REV!$C:$AA,20,0)-'TRADE IN'!$F378))</f>
        <v>699</v>
      </c>
      <c r="W378" s="46">
        <f>IF(VLOOKUP($C378,REV!$C:$AA,21,0)-'TRADE IN'!$F390=0,"",(VLOOKUP($C378,REV!$C:$AA,21,0)-'TRADE IN'!$F378))</f>
        <v>699</v>
      </c>
      <c r="X378" s="46">
        <f>IF(VLOOKUP($C378,REV!$C:$AA,22,0)-'TRADE IN'!$F390=0,"",(VLOOKUP($C378,REV!$C:$AA,22,0)-'TRADE IN'!$F378))</f>
        <v>699</v>
      </c>
      <c r="Y378" s="46">
        <f>IF(VLOOKUP($C378,REV!$C:$AA,23,0)-'TRADE IN'!$F390=0,"",(VLOOKUP($C378,REV!$C:$AA,23,0)-'TRADE IN'!$F378))</f>
        <v>699</v>
      </c>
      <c r="Z378" s="46">
        <f>IF(VLOOKUP($C378,REV!$C:$AA,24,0)-'TRADE IN'!$F390=0,"",(VLOOKUP($C378,REV!$C:$AA,24,0)-'TRADE IN'!$F378))</f>
        <v>699</v>
      </c>
      <c r="AA378" s="46">
        <f>IF(VLOOKUP($C378,REV!$C:$AA,25,0)-'TRADE IN'!$F390=0,"",(VLOOKUP($C378,REV!$C:$AA,25,0)-'TRADE IN'!$F378))</f>
        <v>699</v>
      </c>
      <c r="AB378" s="46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tr">
        <f>IF(REV!AW378=0,"",REV!AW378)</f>
        <v>31.03.2026</v>
      </c>
      <c r="AX378" s="159" t="s">
        <v>66</v>
      </c>
    </row>
    <row r="379" spans="1:50" ht="22.5" customHeight="1">
      <c r="A379" s="50" t="s">
        <v>61</v>
      </c>
      <c r="B379" s="41" t="s">
        <v>62</v>
      </c>
      <c r="C379" s="42">
        <v>4016976</v>
      </c>
      <c r="D379" s="62" t="s">
        <v>559</v>
      </c>
      <c r="E379" s="44" t="s">
        <v>560</v>
      </c>
      <c r="F379" s="45"/>
      <c r="G379" s="45"/>
      <c r="H379" s="45"/>
      <c r="I379" s="45"/>
      <c r="J379" s="46">
        <f>IF(VLOOKUP($C379,REV!$C:$AA,8,0)-'TRADE IN'!$F379=0,"",(VLOOKUP($C379,REV!$C:$AA,8,0)-'TRADE IN'!$F379))</f>
        <v>799</v>
      </c>
      <c r="K379" s="46">
        <f>IF(VLOOKUP($C379,REV!$C:$AA,9,0)-'TRADE IN'!$F379=0,"",(VLOOKUP($C379,REV!$C:$AA,9,0)-'TRADE IN'!$F379))</f>
        <v>549</v>
      </c>
      <c r="L379" s="46">
        <f>IF(VLOOKUP($C379,REV!$C:$AA,10,0)-'TRADE IN'!$F391=0,"",(VLOOKUP($C379,REV!$C:$AA,10,0)-'TRADE IN'!$F379))</f>
        <v>549</v>
      </c>
      <c r="M379" s="46">
        <f>IF(VLOOKUP($C379,REV!$C:$AA,11,0)-'TRADE IN'!$F391=0,"",(VLOOKUP($C379,REV!$C:$AA,11,0)-'TRADE IN'!$F379))</f>
        <v>799</v>
      </c>
      <c r="N379" s="46">
        <f>IF(VLOOKUP($C379,REV!$C:$AA,12,0)-'TRADE IN'!$F391=0,"",(VLOOKUP($C379,REV!$C:$AA,12,0)-'TRADE IN'!$F379))</f>
        <v>549</v>
      </c>
      <c r="O379" s="46">
        <f>IF(VLOOKUP($C379,REV!$C:$AA,13,0)-'TRADE IN'!$F391=0,"",(VLOOKUP($C379,REV!$C:$AA,13,0)-'TRADE IN'!$F379))</f>
        <v>549</v>
      </c>
      <c r="P379" s="46">
        <f>IF(VLOOKUP($C379,REV!$C:$AA,14,0)-'TRADE IN'!$F391=0,"",(VLOOKUP($C379,REV!$C:$AA,14,0)-'TRADE IN'!$F379))</f>
        <v>549</v>
      </c>
      <c r="Q379" s="46">
        <f>IF(VLOOKUP($C379,REV!$C:$AA,15,0)-'TRADE IN'!$F391=0,"",(VLOOKUP($C379,REV!$C:$AA,15,0)-'TRADE IN'!$F379))</f>
        <v>549</v>
      </c>
      <c r="R379" s="46">
        <f>IF(VLOOKUP($C379,REV!$C:$AA,16,0)-'TRADE IN'!$F391=0,"",(VLOOKUP($C379,REV!$C:$AA,16,0)-'TRADE IN'!$F379))</f>
        <v>549</v>
      </c>
      <c r="S379" s="46">
        <f>IF(VLOOKUP($C379,REV!$C:$AA,17,0)-'TRADE IN'!$F391=0,"",(VLOOKUP($C379,REV!$C:$AA,17,0)-'TRADE IN'!$F379))</f>
        <v>549</v>
      </c>
      <c r="T379" s="46">
        <f>IF(VLOOKUP($C379,REV!$C:$AA,18,0)-'TRADE IN'!$F391=0,"",(VLOOKUP($C379,REV!$C:$AA,18,0)-'TRADE IN'!$F379))</f>
        <v>549</v>
      </c>
      <c r="U379" s="46">
        <f>IF(VLOOKUP($C379,REV!$C:$AA,19,0)-'TRADE IN'!$F391=0,"",(VLOOKUP($C379,REV!$C:$AA,19,0)-'TRADE IN'!$F379))</f>
        <v>549</v>
      </c>
      <c r="V379" s="46">
        <f>IF(VLOOKUP($C379,REV!$C:$AA,20,0)-'TRADE IN'!$F391=0,"",(VLOOKUP($C379,REV!$C:$AA,20,0)-'TRADE IN'!$F379))</f>
        <v>549</v>
      </c>
      <c r="W379" s="46">
        <f>IF(VLOOKUP($C379,REV!$C:$AA,21,0)-'TRADE IN'!$F391=0,"",(VLOOKUP($C379,REV!$C:$AA,21,0)-'TRADE IN'!$F379))</f>
        <v>549</v>
      </c>
      <c r="X379" s="46">
        <f>IF(VLOOKUP($C379,REV!$C:$AA,22,0)-'TRADE IN'!$F391=0,"",(VLOOKUP($C379,REV!$C:$AA,22,0)-'TRADE IN'!$F379))</f>
        <v>549</v>
      </c>
      <c r="Y379" s="46">
        <f>IF(VLOOKUP($C379,REV!$C:$AA,23,0)-'TRADE IN'!$F391=0,"",(VLOOKUP($C379,REV!$C:$AA,23,0)-'TRADE IN'!$F379))</f>
        <v>549</v>
      </c>
      <c r="Z379" s="46">
        <f>IF(VLOOKUP($C379,REV!$C:$AA,24,0)-'TRADE IN'!$F391=0,"",(VLOOKUP($C379,REV!$C:$AA,24,0)-'TRADE IN'!$F379))</f>
        <v>549</v>
      </c>
      <c r="AA379" s="46">
        <f>IF(VLOOKUP($C379,REV!$C:$AA,25,0)-'TRADE IN'!$F391=0,"",(VLOOKUP($C379,REV!$C:$AA,25,0)-'TRADE IN'!$F379))</f>
        <v>549</v>
      </c>
      <c r="AB379" s="46">
        <f>IF(VLOOKUP($C379,REV!$C:$AL,26,0)-'TRADE IN'!$F441=0,"",(VLOOKUP($C379,REV!$C:$AL,26,0)-'TRADE IN'!$F379))</f>
        <v>549</v>
      </c>
      <c r="AC379" s="46">
        <f>IF(VLOOKUP($C379,REV!$C:$AL,27,0)-'TRADE IN'!$F441=0,"",(VLOOKUP($C379,REV!$C:$AL,27,0)-'TRADE IN'!$F379))</f>
        <v>549</v>
      </c>
      <c r="AD379" s="46">
        <f>IF(VLOOKUP($C379,REV!$C:$AL,28,0)-'TRADE IN'!$F441=0,"",(VLOOKUP($C379,REV!$C:$AL,28,0)-'TRADE IN'!$F379))</f>
        <v>549</v>
      </c>
      <c r="AE379" s="46">
        <f>IF(VLOOKUP($C379,REV!$C:$AL,29,0)-'TRADE IN'!$F441=0,"",(VLOOKUP($C379,REV!$C:$AL,29,0)-'TRADE IN'!$F379))</f>
        <v>549</v>
      </c>
      <c r="AF379" s="46">
        <f>IF(VLOOKUP($C379,REV!$C:$AL,30,0)-'TRADE IN'!$F441=0,"",(VLOOKUP($C379,REV!$C:$AL,30,0)-'TRADE IN'!$F379))</f>
        <v>549</v>
      </c>
      <c r="AG379" s="46">
        <f>IF(VLOOKUP($C379,REV!$C:$AL,31,0)-'TRADE IN'!$F441=0,"",(VLOOKUP($C379,REV!$C:$AL,31,0)-'TRADE IN'!$F379))</f>
        <v>549</v>
      </c>
      <c r="AH379" s="46">
        <f>IF(VLOOKUP($C379,REV!$C:$AL,32,0)-'TRADE IN'!$F441=0,"",(VLOOKUP($C379,REV!$C:$AL,32,0)-'TRADE IN'!$F379))</f>
        <v>549</v>
      </c>
      <c r="AI379" s="46">
        <f>IF(VLOOKUP($C379,REV!$C:$AL,33,0)-'TRADE IN'!$F441=0,"",(VLOOKUP($C379,REV!$C:$AL,33,0)-'TRADE IN'!$F379))</f>
        <v>549</v>
      </c>
      <c r="AJ379" s="46">
        <f>IF(VLOOKUP($C379,REV!$C:$AL,34,0)-'TRADE IN'!$F441=0,"",(VLOOKUP($C379,REV!$C:$AL,34,0)-'TRADE IN'!$F379))</f>
        <v>549</v>
      </c>
      <c r="AK379" s="46">
        <f>IF(VLOOKUP($C379,REV!$C:$AL,35,0)-'TRADE IN'!$F441=0,"",(VLOOKUP($C379,REV!$C:$AL,35,0)-'TRADE IN'!$F379))</f>
        <v>549</v>
      </c>
      <c r="AL379" s="46">
        <f>IF(VLOOKUP($C379,REV!$C:$AL,36,0)-'TRADE IN'!$F441=0,"",(VLOOKUP($C379,REV!$C:$AL,36,0)-'TRADE IN'!$F379))</f>
        <v>549</v>
      </c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tr">
        <f>IF(REV!AW379=0,"",REV!AW379)</f>
        <v>31.03.2026</v>
      </c>
      <c r="AX379" s="159" t="s">
        <v>82</v>
      </c>
    </row>
    <row r="380" spans="1:50" ht="22.5" customHeight="1">
      <c r="A380" s="50" t="s">
        <v>61</v>
      </c>
      <c r="B380" s="41" t="s">
        <v>62</v>
      </c>
      <c r="C380" s="42">
        <v>4016987</v>
      </c>
      <c r="D380" s="62" t="s">
        <v>559</v>
      </c>
      <c r="E380" s="44" t="s">
        <v>561</v>
      </c>
      <c r="F380" s="45"/>
      <c r="G380" s="45"/>
      <c r="H380" s="45"/>
      <c r="I380" s="45"/>
      <c r="J380" s="46">
        <f>IF(VLOOKUP($C380,REV!$C:$AA,8,0)-'TRADE IN'!$F380=0,"",(VLOOKUP($C380,REV!$C:$AA,8,0)-'TRADE IN'!$F380))</f>
        <v>799</v>
      </c>
      <c r="K380" s="46">
        <f>IF(VLOOKUP($C380,REV!$C:$AA,9,0)-'TRADE IN'!$F380=0,"",(VLOOKUP($C380,REV!$C:$AA,9,0)-'TRADE IN'!$F380))</f>
        <v>549</v>
      </c>
      <c r="L380" s="46">
        <f>IF(VLOOKUP($C380,REV!$C:$AA,10,0)-'TRADE IN'!$F392=0,"",(VLOOKUP($C380,REV!$C:$AA,10,0)-'TRADE IN'!$F380))</f>
        <v>549</v>
      </c>
      <c r="M380" s="46">
        <f>IF(VLOOKUP($C380,REV!$C:$AA,11,0)-'TRADE IN'!$F392=0,"",(VLOOKUP($C380,REV!$C:$AA,11,0)-'TRADE IN'!$F380))</f>
        <v>799</v>
      </c>
      <c r="N380" s="46">
        <f>IF(VLOOKUP($C380,REV!$C:$AA,12,0)-'TRADE IN'!$F392=0,"",(VLOOKUP($C380,REV!$C:$AA,12,0)-'TRADE IN'!$F380))</f>
        <v>549</v>
      </c>
      <c r="O380" s="46">
        <f>IF(VLOOKUP($C380,REV!$C:$AA,13,0)-'TRADE IN'!$F392=0,"",(VLOOKUP($C380,REV!$C:$AA,13,0)-'TRADE IN'!$F380))</f>
        <v>549</v>
      </c>
      <c r="P380" s="46">
        <f>IF(VLOOKUP($C380,REV!$C:$AA,14,0)-'TRADE IN'!$F392=0,"",(VLOOKUP($C380,REV!$C:$AA,14,0)-'TRADE IN'!$F380))</f>
        <v>549</v>
      </c>
      <c r="Q380" s="46">
        <f>IF(VLOOKUP($C380,REV!$C:$AA,15,0)-'TRADE IN'!$F392=0,"",(VLOOKUP($C380,REV!$C:$AA,15,0)-'TRADE IN'!$F380))</f>
        <v>549</v>
      </c>
      <c r="R380" s="46">
        <f>IF(VLOOKUP($C380,REV!$C:$AA,16,0)-'TRADE IN'!$F392=0,"",(VLOOKUP($C380,REV!$C:$AA,16,0)-'TRADE IN'!$F380))</f>
        <v>549</v>
      </c>
      <c r="S380" s="46">
        <f>IF(VLOOKUP($C380,REV!$C:$AA,17,0)-'TRADE IN'!$F392=0,"",(VLOOKUP($C380,REV!$C:$AA,17,0)-'TRADE IN'!$F380))</f>
        <v>549</v>
      </c>
      <c r="T380" s="46">
        <f>IF(VLOOKUP($C380,REV!$C:$AA,18,0)-'TRADE IN'!$F392=0,"",(VLOOKUP($C380,REV!$C:$AA,18,0)-'TRADE IN'!$F380))</f>
        <v>549</v>
      </c>
      <c r="U380" s="46">
        <f>IF(VLOOKUP($C380,REV!$C:$AA,19,0)-'TRADE IN'!$F392=0,"",(VLOOKUP($C380,REV!$C:$AA,19,0)-'TRADE IN'!$F380))</f>
        <v>549</v>
      </c>
      <c r="V380" s="46">
        <f>IF(VLOOKUP($C380,REV!$C:$AA,20,0)-'TRADE IN'!$F392=0,"",(VLOOKUP($C380,REV!$C:$AA,20,0)-'TRADE IN'!$F380))</f>
        <v>549</v>
      </c>
      <c r="W380" s="46">
        <f>IF(VLOOKUP($C380,REV!$C:$AA,21,0)-'TRADE IN'!$F392=0,"",(VLOOKUP($C380,REV!$C:$AA,21,0)-'TRADE IN'!$F380))</f>
        <v>549</v>
      </c>
      <c r="X380" s="46">
        <f>IF(VLOOKUP($C380,REV!$C:$AA,22,0)-'TRADE IN'!$F392=0,"",(VLOOKUP($C380,REV!$C:$AA,22,0)-'TRADE IN'!$F380))</f>
        <v>549</v>
      </c>
      <c r="Y380" s="46">
        <f>IF(VLOOKUP($C380,REV!$C:$AA,23,0)-'TRADE IN'!$F392=0,"",(VLOOKUP($C380,REV!$C:$AA,23,0)-'TRADE IN'!$F380))</f>
        <v>549</v>
      </c>
      <c r="Z380" s="46">
        <f>IF(VLOOKUP($C380,REV!$C:$AA,24,0)-'TRADE IN'!$F392=0,"",(VLOOKUP($C380,REV!$C:$AA,24,0)-'TRADE IN'!$F380))</f>
        <v>549</v>
      </c>
      <c r="AA380" s="46">
        <f>IF(VLOOKUP($C380,REV!$C:$AA,25,0)-'TRADE IN'!$F392=0,"",(VLOOKUP($C380,REV!$C:$AA,25,0)-'TRADE IN'!$F380))</f>
        <v>549</v>
      </c>
      <c r="AB380" s="46">
        <f>IF(VLOOKUP($C380,REV!$C:$AL,26,0)-'TRADE IN'!$F442=0,"",(VLOOKUP($C380,REV!$C:$AL,26,0)-'TRADE IN'!$F380))</f>
        <v>549</v>
      </c>
      <c r="AC380" s="46">
        <f>IF(VLOOKUP($C380,REV!$C:$AL,27,0)-'TRADE IN'!$F442=0,"",(VLOOKUP($C380,REV!$C:$AL,27,0)-'TRADE IN'!$F380))</f>
        <v>549</v>
      </c>
      <c r="AD380" s="46">
        <f>IF(VLOOKUP($C380,REV!$C:$AL,28,0)-'TRADE IN'!$F442=0,"",(VLOOKUP($C380,REV!$C:$AL,28,0)-'TRADE IN'!$F380))</f>
        <v>549</v>
      </c>
      <c r="AE380" s="46">
        <f>IF(VLOOKUP($C380,REV!$C:$AL,29,0)-'TRADE IN'!$F442=0,"",(VLOOKUP($C380,REV!$C:$AL,29,0)-'TRADE IN'!$F380))</f>
        <v>549</v>
      </c>
      <c r="AF380" s="46">
        <f>IF(VLOOKUP($C380,REV!$C:$AL,30,0)-'TRADE IN'!$F442=0,"",(VLOOKUP($C380,REV!$C:$AL,30,0)-'TRADE IN'!$F380))</f>
        <v>549</v>
      </c>
      <c r="AG380" s="46">
        <f>IF(VLOOKUP($C380,REV!$C:$AL,31,0)-'TRADE IN'!$F442=0,"",(VLOOKUP($C380,REV!$C:$AL,31,0)-'TRADE IN'!$F380))</f>
        <v>549</v>
      </c>
      <c r="AH380" s="46">
        <f>IF(VLOOKUP($C380,REV!$C:$AL,32,0)-'TRADE IN'!$F442=0,"",(VLOOKUP($C380,REV!$C:$AL,32,0)-'TRADE IN'!$F380))</f>
        <v>549</v>
      </c>
      <c r="AI380" s="46">
        <f>IF(VLOOKUP($C380,REV!$C:$AL,33,0)-'TRADE IN'!$F442=0,"",(VLOOKUP($C380,REV!$C:$AL,33,0)-'TRADE IN'!$F380))</f>
        <v>549</v>
      </c>
      <c r="AJ380" s="46">
        <f>IF(VLOOKUP($C380,REV!$C:$AL,34,0)-'TRADE IN'!$F442=0,"",(VLOOKUP($C380,REV!$C:$AL,34,0)-'TRADE IN'!$F380))</f>
        <v>549</v>
      </c>
      <c r="AK380" s="46">
        <f>IF(VLOOKUP($C380,REV!$C:$AL,35,0)-'TRADE IN'!$F442=0,"",(VLOOKUP($C380,REV!$C:$AL,35,0)-'TRADE IN'!$F380))</f>
        <v>549</v>
      </c>
      <c r="AL380" s="46">
        <f>IF(VLOOKUP($C380,REV!$C:$AL,36,0)-'TRADE IN'!$F442=0,"",(VLOOKUP($C380,REV!$C:$AL,36,0)-'TRADE IN'!$F380))</f>
        <v>549</v>
      </c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tr">
        <f>IF(REV!AW380=0,"",REV!AW380)</f>
        <v>31.03.2026</v>
      </c>
      <c r="AX380" s="159" t="s">
        <v>82</v>
      </c>
    </row>
    <row r="381" spans="1:50" ht="22.5" customHeight="1">
      <c r="A381" s="50" t="s">
        <v>61</v>
      </c>
      <c r="B381" s="41" t="s">
        <v>62</v>
      </c>
      <c r="C381" s="42">
        <v>4016981</v>
      </c>
      <c r="D381" s="62" t="s">
        <v>559</v>
      </c>
      <c r="E381" s="44" t="s">
        <v>562</v>
      </c>
      <c r="F381" s="45"/>
      <c r="G381" s="45"/>
      <c r="H381" s="45"/>
      <c r="I381" s="45"/>
      <c r="J381" s="46">
        <f>IF(VLOOKUP($C381,REV!$C:$AA,8,0)-'TRADE IN'!$F381=0,"",(VLOOKUP($C381,REV!$C:$AA,8,0)-'TRADE IN'!$F381))</f>
        <v>799</v>
      </c>
      <c r="K381" s="46">
        <f>IF(VLOOKUP($C381,REV!$C:$AA,9,0)-'TRADE IN'!$F381=0,"",(VLOOKUP($C381,REV!$C:$AA,9,0)-'TRADE IN'!$F381))</f>
        <v>549</v>
      </c>
      <c r="L381" s="46">
        <f>IF(VLOOKUP($C381,REV!$C:$AA,10,0)-'TRADE IN'!$F393=0,"",(VLOOKUP($C381,REV!$C:$AA,10,0)-'TRADE IN'!$F381))</f>
        <v>549</v>
      </c>
      <c r="M381" s="46">
        <f>IF(VLOOKUP($C381,REV!$C:$AA,11,0)-'TRADE IN'!$F393=0,"",(VLOOKUP($C381,REV!$C:$AA,11,0)-'TRADE IN'!$F381))</f>
        <v>799</v>
      </c>
      <c r="N381" s="46">
        <f>IF(VLOOKUP($C381,REV!$C:$AA,12,0)-'TRADE IN'!$F393=0,"",(VLOOKUP($C381,REV!$C:$AA,12,0)-'TRADE IN'!$F381))</f>
        <v>549</v>
      </c>
      <c r="O381" s="46">
        <f>IF(VLOOKUP($C381,REV!$C:$AA,13,0)-'TRADE IN'!$F393=0,"",(VLOOKUP($C381,REV!$C:$AA,13,0)-'TRADE IN'!$F381))</f>
        <v>549</v>
      </c>
      <c r="P381" s="46">
        <f>IF(VLOOKUP($C381,REV!$C:$AA,14,0)-'TRADE IN'!$F393=0,"",(VLOOKUP($C381,REV!$C:$AA,14,0)-'TRADE IN'!$F381))</f>
        <v>549</v>
      </c>
      <c r="Q381" s="46">
        <f>IF(VLOOKUP($C381,REV!$C:$AA,15,0)-'TRADE IN'!$F393=0,"",(VLOOKUP($C381,REV!$C:$AA,15,0)-'TRADE IN'!$F381))</f>
        <v>549</v>
      </c>
      <c r="R381" s="46">
        <f>IF(VLOOKUP($C381,REV!$C:$AA,16,0)-'TRADE IN'!$F393=0,"",(VLOOKUP($C381,REV!$C:$AA,16,0)-'TRADE IN'!$F381))</f>
        <v>549</v>
      </c>
      <c r="S381" s="46">
        <f>IF(VLOOKUP($C381,REV!$C:$AA,17,0)-'TRADE IN'!$F393=0,"",(VLOOKUP($C381,REV!$C:$AA,17,0)-'TRADE IN'!$F381))</f>
        <v>549</v>
      </c>
      <c r="T381" s="46">
        <f>IF(VLOOKUP($C381,REV!$C:$AA,18,0)-'TRADE IN'!$F393=0,"",(VLOOKUP($C381,REV!$C:$AA,18,0)-'TRADE IN'!$F381))</f>
        <v>549</v>
      </c>
      <c r="U381" s="46">
        <f>IF(VLOOKUP($C381,REV!$C:$AA,19,0)-'TRADE IN'!$F393=0,"",(VLOOKUP($C381,REV!$C:$AA,19,0)-'TRADE IN'!$F381))</f>
        <v>549</v>
      </c>
      <c r="V381" s="46">
        <f>IF(VLOOKUP($C381,REV!$C:$AA,20,0)-'TRADE IN'!$F393=0,"",(VLOOKUP($C381,REV!$C:$AA,20,0)-'TRADE IN'!$F381))</f>
        <v>549</v>
      </c>
      <c r="W381" s="46">
        <f>IF(VLOOKUP($C381,REV!$C:$AA,21,0)-'TRADE IN'!$F393=0,"",(VLOOKUP($C381,REV!$C:$AA,21,0)-'TRADE IN'!$F381))</f>
        <v>549</v>
      </c>
      <c r="X381" s="46">
        <f>IF(VLOOKUP($C381,REV!$C:$AA,22,0)-'TRADE IN'!$F393=0,"",(VLOOKUP($C381,REV!$C:$AA,22,0)-'TRADE IN'!$F381))</f>
        <v>549</v>
      </c>
      <c r="Y381" s="46">
        <f>IF(VLOOKUP($C381,REV!$C:$AA,23,0)-'TRADE IN'!$F393=0,"",(VLOOKUP($C381,REV!$C:$AA,23,0)-'TRADE IN'!$F381))</f>
        <v>549</v>
      </c>
      <c r="Z381" s="46">
        <f>IF(VLOOKUP($C381,REV!$C:$AA,24,0)-'TRADE IN'!$F393=0,"",(VLOOKUP($C381,REV!$C:$AA,24,0)-'TRADE IN'!$F381))</f>
        <v>549</v>
      </c>
      <c r="AA381" s="46">
        <f>IF(VLOOKUP($C381,REV!$C:$AA,25,0)-'TRADE IN'!$F393=0,"",(VLOOKUP($C381,REV!$C:$AA,25,0)-'TRADE IN'!$F381))</f>
        <v>549</v>
      </c>
      <c r="AB381" s="46">
        <f>IF(VLOOKUP($C381,REV!$C:$AL,26,0)-'TRADE IN'!$F443=0,"",(VLOOKUP($C381,REV!$C:$AL,26,0)-'TRADE IN'!$F381))</f>
        <v>549</v>
      </c>
      <c r="AC381" s="46">
        <f>IF(VLOOKUP($C381,REV!$C:$AL,27,0)-'TRADE IN'!$F443=0,"",(VLOOKUP($C381,REV!$C:$AL,27,0)-'TRADE IN'!$F381))</f>
        <v>549</v>
      </c>
      <c r="AD381" s="46">
        <f>IF(VLOOKUP($C381,REV!$C:$AL,28,0)-'TRADE IN'!$F443=0,"",(VLOOKUP($C381,REV!$C:$AL,28,0)-'TRADE IN'!$F381))</f>
        <v>549</v>
      </c>
      <c r="AE381" s="46">
        <f>IF(VLOOKUP($C381,REV!$C:$AL,29,0)-'TRADE IN'!$F443=0,"",(VLOOKUP($C381,REV!$C:$AL,29,0)-'TRADE IN'!$F381))</f>
        <v>549</v>
      </c>
      <c r="AF381" s="46">
        <f>IF(VLOOKUP($C381,REV!$C:$AL,30,0)-'TRADE IN'!$F443=0,"",(VLOOKUP($C381,REV!$C:$AL,30,0)-'TRADE IN'!$F381))</f>
        <v>549</v>
      </c>
      <c r="AG381" s="46">
        <f>IF(VLOOKUP($C381,REV!$C:$AL,31,0)-'TRADE IN'!$F443=0,"",(VLOOKUP($C381,REV!$C:$AL,31,0)-'TRADE IN'!$F381))</f>
        <v>549</v>
      </c>
      <c r="AH381" s="46">
        <f>IF(VLOOKUP($C381,REV!$C:$AL,32,0)-'TRADE IN'!$F443=0,"",(VLOOKUP($C381,REV!$C:$AL,32,0)-'TRADE IN'!$F381))</f>
        <v>549</v>
      </c>
      <c r="AI381" s="46">
        <f>IF(VLOOKUP($C381,REV!$C:$AL,33,0)-'TRADE IN'!$F443=0,"",(VLOOKUP($C381,REV!$C:$AL,33,0)-'TRADE IN'!$F381))</f>
        <v>549</v>
      </c>
      <c r="AJ381" s="46">
        <f>IF(VLOOKUP($C381,REV!$C:$AL,34,0)-'TRADE IN'!$F443=0,"",(VLOOKUP($C381,REV!$C:$AL,34,0)-'TRADE IN'!$F381))</f>
        <v>549</v>
      </c>
      <c r="AK381" s="46">
        <f>IF(VLOOKUP($C381,REV!$C:$AL,35,0)-'TRADE IN'!$F443=0,"",(VLOOKUP($C381,REV!$C:$AL,35,0)-'TRADE IN'!$F381))</f>
        <v>549</v>
      </c>
      <c r="AL381" s="46">
        <f>IF(VLOOKUP($C381,REV!$C:$AL,36,0)-'TRADE IN'!$F443=0,"",(VLOOKUP($C381,REV!$C:$AL,36,0)-'TRADE IN'!$F381))</f>
        <v>549</v>
      </c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tr">
        <f>IF(REV!AW381=0,"",REV!AW381)</f>
        <v>31.03.2026</v>
      </c>
      <c r="AX381" s="159" t="s">
        <v>82</v>
      </c>
    </row>
    <row r="382" spans="1:50" ht="22.5" customHeight="1">
      <c r="A382" s="50" t="s">
        <v>61</v>
      </c>
      <c r="B382" s="41" t="s">
        <v>62</v>
      </c>
      <c r="C382" s="42">
        <v>4016995</v>
      </c>
      <c r="D382" s="62" t="s">
        <v>559</v>
      </c>
      <c r="E382" s="44" t="s">
        <v>563</v>
      </c>
      <c r="F382" s="45"/>
      <c r="G382" s="45"/>
      <c r="H382" s="45"/>
      <c r="I382" s="45"/>
      <c r="J382" s="46">
        <f>IF(VLOOKUP($C382,REV!$C:$AA,8,0)-'TRADE IN'!$F382=0,"",(VLOOKUP($C382,REV!$C:$AA,8,0)-'TRADE IN'!$F382))</f>
        <v>799</v>
      </c>
      <c r="K382" s="46">
        <f>IF(VLOOKUP($C382,REV!$C:$AA,9,0)-'TRADE IN'!$F382=0,"",(VLOOKUP($C382,REV!$C:$AA,9,0)-'TRADE IN'!$F382))</f>
        <v>549</v>
      </c>
      <c r="L382" s="46">
        <f>IF(VLOOKUP($C382,REV!$C:$AA,10,0)-'TRADE IN'!$F394=0,"",(VLOOKUP($C382,REV!$C:$AA,10,0)-'TRADE IN'!$F382))</f>
        <v>549</v>
      </c>
      <c r="M382" s="46">
        <f>IF(VLOOKUP($C382,REV!$C:$AA,11,0)-'TRADE IN'!$F394=0,"",(VLOOKUP($C382,REV!$C:$AA,11,0)-'TRADE IN'!$F382))</f>
        <v>799</v>
      </c>
      <c r="N382" s="46">
        <f>IF(VLOOKUP($C382,REV!$C:$AA,12,0)-'TRADE IN'!$F394=0,"",(VLOOKUP($C382,REV!$C:$AA,12,0)-'TRADE IN'!$F382))</f>
        <v>549</v>
      </c>
      <c r="O382" s="46">
        <f>IF(VLOOKUP($C382,REV!$C:$AA,13,0)-'TRADE IN'!$F394=0,"",(VLOOKUP($C382,REV!$C:$AA,13,0)-'TRADE IN'!$F382))</f>
        <v>549</v>
      </c>
      <c r="P382" s="46">
        <f>IF(VLOOKUP($C382,REV!$C:$AA,14,0)-'TRADE IN'!$F394=0,"",(VLOOKUP($C382,REV!$C:$AA,14,0)-'TRADE IN'!$F382))</f>
        <v>549</v>
      </c>
      <c r="Q382" s="46">
        <f>IF(VLOOKUP($C382,REV!$C:$AA,15,0)-'TRADE IN'!$F394=0,"",(VLOOKUP($C382,REV!$C:$AA,15,0)-'TRADE IN'!$F382))</f>
        <v>549</v>
      </c>
      <c r="R382" s="46">
        <f>IF(VLOOKUP($C382,REV!$C:$AA,16,0)-'TRADE IN'!$F394=0,"",(VLOOKUP($C382,REV!$C:$AA,16,0)-'TRADE IN'!$F382))</f>
        <v>549</v>
      </c>
      <c r="S382" s="46">
        <f>IF(VLOOKUP($C382,REV!$C:$AA,17,0)-'TRADE IN'!$F394=0,"",(VLOOKUP($C382,REV!$C:$AA,17,0)-'TRADE IN'!$F382))</f>
        <v>549</v>
      </c>
      <c r="T382" s="46">
        <f>IF(VLOOKUP($C382,REV!$C:$AA,18,0)-'TRADE IN'!$F394=0,"",(VLOOKUP($C382,REV!$C:$AA,18,0)-'TRADE IN'!$F382))</f>
        <v>549</v>
      </c>
      <c r="U382" s="46">
        <f>IF(VLOOKUP($C382,REV!$C:$AA,19,0)-'TRADE IN'!$F394=0,"",(VLOOKUP($C382,REV!$C:$AA,19,0)-'TRADE IN'!$F382))</f>
        <v>549</v>
      </c>
      <c r="V382" s="46">
        <f>IF(VLOOKUP($C382,REV!$C:$AA,20,0)-'TRADE IN'!$F394=0,"",(VLOOKUP($C382,REV!$C:$AA,20,0)-'TRADE IN'!$F382))</f>
        <v>549</v>
      </c>
      <c r="W382" s="46">
        <f>IF(VLOOKUP($C382,REV!$C:$AA,21,0)-'TRADE IN'!$F394=0,"",(VLOOKUP($C382,REV!$C:$AA,21,0)-'TRADE IN'!$F382))</f>
        <v>549</v>
      </c>
      <c r="X382" s="46">
        <f>IF(VLOOKUP($C382,REV!$C:$AA,22,0)-'TRADE IN'!$F394=0,"",(VLOOKUP($C382,REV!$C:$AA,22,0)-'TRADE IN'!$F382))</f>
        <v>549</v>
      </c>
      <c r="Y382" s="46">
        <f>IF(VLOOKUP($C382,REV!$C:$AA,23,0)-'TRADE IN'!$F394=0,"",(VLOOKUP($C382,REV!$C:$AA,23,0)-'TRADE IN'!$F382))</f>
        <v>549</v>
      </c>
      <c r="Z382" s="46">
        <f>IF(VLOOKUP($C382,REV!$C:$AA,24,0)-'TRADE IN'!$F394=0,"",(VLOOKUP($C382,REV!$C:$AA,24,0)-'TRADE IN'!$F382))</f>
        <v>549</v>
      </c>
      <c r="AA382" s="46">
        <f>IF(VLOOKUP($C382,REV!$C:$AA,25,0)-'TRADE IN'!$F394=0,"",(VLOOKUP($C382,REV!$C:$AA,25,0)-'TRADE IN'!$F382))</f>
        <v>549</v>
      </c>
      <c r="AB382" s="46">
        <f>IF(VLOOKUP($C382,REV!$C:$AL,26,0)-'TRADE IN'!$F461=0,"",(VLOOKUP($C382,REV!$C:$AL,26,0)-'TRADE IN'!$F382))</f>
        <v>549</v>
      </c>
      <c r="AC382" s="46">
        <f>IF(VLOOKUP($C382,REV!$C:$AL,27,0)-'TRADE IN'!$F461=0,"",(VLOOKUP($C382,REV!$C:$AL,27,0)-'TRADE IN'!$F382))</f>
        <v>549</v>
      </c>
      <c r="AD382" s="46">
        <f>IF(VLOOKUP($C382,REV!$C:$AL,28,0)-'TRADE IN'!$F461=0,"",(VLOOKUP($C382,REV!$C:$AL,28,0)-'TRADE IN'!$F382))</f>
        <v>549</v>
      </c>
      <c r="AE382" s="46">
        <f>IF(VLOOKUP($C382,REV!$C:$AL,29,0)-'TRADE IN'!$F461=0,"",(VLOOKUP($C382,REV!$C:$AL,29,0)-'TRADE IN'!$F382))</f>
        <v>549</v>
      </c>
      <c r="AF382" s="46">
        <f>IF(VLOOKUP($C382,REV!$C:$AL,30,0)-'TRADE IN'!$F461=0,"",(VLOOKUP($C382,REV!$C:$AL,30,0)-'TRADE IN'!$F382))</f>
        <v>549</v>
      </c>
      <c r="AG382" s="46">
        <f>IF(VLOOKUP($C382,REV!$C:$AL,31,0)-'TRADE IN'!$F461=0,"",(VLOOKUP($C382,REV!$C:$AL,31,0)-'TRADE IN'!$F382))</f>
        <v>549</v>
      </c>
      <c r="AH382" s="46">
        <f>IF(VLOOKUP($C382,REV!$C:$AL,32,0)-'TRADE IN'!$F461=0,"",(VLOOKUP($C382,REV!$C:$AL,32,0)-'TRADE IN'!$F382))</f>
        <v>549</v>
      </c>
      <c r="AI382" s="46">
        <f>IF(VLOOKUP($C382,REV!$C:$AL,33,0)-'TRADE IN'!$F461=0,"",(VLOOKUP($C382,REV!$C:$AL,33,0)-'TRADE IN'!$F382))</f>
        <v>549</v>
      </c>
      <c r="AJ382" s="46">
        <f>IF(VLOOKUP($C382,REV!$C:$AL,34,0)-'TRADE IN'!$F461=0,"",(VLOOKUP($C382,REV!$C:$AL,34,0)-'TRADE IN'!$F382))</f>
        <v>549</v>
      </c>
      <c r="AK382" s="46">
        <f>IF(VLOOKUP($C382,REV!$C:$AL,35,0)-'TRADE IN'!$F461=0,"",(VLOOKUP($C382,REV!$C:$AL,35,0)-'TRADE IN'!$F382))</f>
        <v>549</v>
      </c>
      <c r="AL382" s="46">
        <f>IF(VLOOKUP($C382,REV!$C:$AL,36,0)-'TRADE IN'!$F461=0,"",(VLOOKUP($C382,REV!$C:$AL,36,0)-'TRADE IN'!$F382))</f>
        <v>549</v>
      </c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tr">
        <f>IF(REV!AW382=0,"",REV!AW382)</f>
        <v>31.03.2026</v>
      </c>
      <c r="AX382" s="159" t="s">
        <v>82</v>
      </c>
    </row>
    <row r="383" spans="1:50" ht="22.5" customHeight="1">
      <c r="A383" s="50" t="s">
        <v>61</v>
      </c>
      <c r="B383" s="41" t="s">
        <v>62</v>
      </c>
      <c r="C383" s="63">
        <v>4017375</v>
      </c>
      <c r="D383" s="62" t="s">
        <v>564</v>
      </c>
      <c r="E383" s="44" t="s">
        <v>565</v>
      </c>
      <c r="F383" s="45"/>
      <c r="G383" s="45"/>
      <c r="H383" s="45"/>
      <c r="I383" s="45"/>
      <c r="J383" s="46">
        <f>IF(VLOOKUP($C383,REV!$C:$AA,8,0)-'TRADE IN'!$F383=0,"",(VLOOKUP($C383,REV!$C:$AA,8,0)-'TRADE IN'!$F383))</f>
        <v>999</v>
      </c>
      <c r="K383" s="46">
        <f>IF(VLOOKUP($C383,REV!$C:$AA,9,0)-'TRADE IN'!$F383=0,"",(VLOOKUP($C383,REV!$C:$AA,9,0)-'TRADE IN'!$F383))</f>
        <v>899</v>
      </c>
      <c r="L383" s="46">
        <f>IF(VLOOKUP($C383,REV!$C:$AA,10,0)-'TRADE IN'!$F395=0,"",(VLOOKUP($C383,REV!$C:$AA,10,0)-'TRADE IN'!$F383))</f>
        <v>899</v>
      </c>
      <c r="M383" s="46">
        <f>IF(VLOOKUP($C383,REV!$C:$AA,11,0)-'TRADE IN'!$F395=0,"",(VLOOKUP($C383,REV!$C:$AA,11,0)-'TRADE IN'!$F383))</f>
        <v>999</v>
      </c>
      <c r="N383" s="46">
        <f>IF(VLOOKUP($C383,REV!$C:$AA,12,0)-'TRADE IN'!$F395=0,"",(VLOOKUP($C383,REV!$C:$AA,12,0)-'TRADE IN'!$F383))</f>
        <v>899</v>
      </c>
      <c r="O383" s="46">
        <f>IF(VLOOKUP($C383,REV!$C:$AA,13,0)-'TRADE IN'!$F395=0,"",(VLOOKUP($C383,REV!$C:$AA,13,0)-'TRADE IN'!$F383))</f>
        <v>899</v>
      </c>
      <c r="P383" s="46">
        <f>IF(VLOOKUP($C383,REV!$C:$AA,14,0)-'TRADE IN'!$F395=0,"",(VLOOKUP($C383,REV!$C:$AA,14,0)-'TRADE IN'!$F383))</f>
        <v>899</v>
      </c>
      <c r="Q383" s="46">
        <f>IF(VLOOKUP($C383,REV!$C:$AA,15,0)-'TRADE IN'!$F395=0,"",(VLOOKUP($C383,REV!$C:$AA,15,0)-'TRADE IN'!$F383))</f>
        <v>799</v>
      </c>
      <c r="R383" s="46">
        <f>IF(VLOOKUP($C383,REV!$C:$AA,16,0)-'TRADE IN'!$F395=0,"",(VLOOKUP($C383,REV!$C:$AA,16,0)-'TRADE IN'!$F383))</f>
        <v>899</v>
      </c>
      <c r="S383" s="46">
        <f>IF(VLOOKUP($C383,REV!$C:$AA,17,0)-'TRADE IN'!$F395=0,"",(VLOOKUP($C383,REV!$C:$AA,17,0)-'TRADE IN'!$F383))</f>
        <v>899</v>
      </c>
      <c r="T383" s="46">
        <f>IF(VLOOKUP($C383,REV!$C:$AA,18,0)-'TRADE IN'!$F395=0,"",(VLOOKUP($C383,REV!$C:$AA,18,0)-'TRADE IN'!$F383))</f>
        <v>799</v>
      </c>
      <c r="U383" s="46">
        <f>IF(VLOOKUP($C383,REV!$C:$AA,19,0)-'TRADE IN'!$F395=0,"",(VLOOKUP($C383,REV!$C:$AA,19,0)-'TRADE IN'!$F383))</f>
        <v>799</v>
      </c>
      <c r="V383" s="46">
        <f>IF(VLOOKUP($C383,REV!$C:$AA,20,0)-'TRADE IN'!$F395=0,"",(VLOOKUP($C383,REV!$C:$AA,20,0)-'TRADE IN'!$F383))</f>
        <v>799</v>
      </c>
      <c r="W383" s="46">
        <f>IF(VLOOKUP($C383,REV!$C:$AA,21,0)-'TRADE IN'!$F395=0,"",(VLOOKUP($C383,REV!$C:$AA,21,0)-'TRADE IN'!$F383))</f>
        <v>799</v>
      </c>
      <c r="X383" s="46">
        <f>IF(VLOOKUP($C383,REV!$C:$AA,22,0)-'TRADE IN'!$F395=0,"",(VLOOKUP($C383,REV!$C:$AA,22,0)-'TRADE IN'!$F383))</f>
        <v>799</v>
      </c>
      <c r="Y383" s="46">
        <f>IF(VLOOKUP($C383,REV!$C:$AA,23,0)-'TRADE IN'!$F395=0,"",(VLOOKUP($C383,REV!$C:$AA,23,0)-'TRADE IN'!$F383))</f>
        <v>799</v>
      </c>
      <c r="Z383" s="46">
        <f>IF(VLOOKUP($C383,REV!$C:$AA,24,0)-'TRADE IN'!$F395=0,"",(VLOOKUP($C383,REV!$C:$AA,24,0)-'TRADE IN'!$F383))</f>
        <v>799</v>
      </c>
      <c r="AA383" s="46">
        <f>IF(VLOOKUP($C383,REV!$C:$AA,25,0)-'TRADE IN'!$F395=0,"",(VLOOKUP($C383,REV!$C:$AA,25,0)-'TRADE IN'!$F383))</f>
        <v>799</v>
      </c>
      <c r="AB383" s="46" t="str">
        <f>IF(VLOOKUP($C383,REV!$C:$AL,26,0)-'TRADE IN'!$F462=0,"",(VLOOKUP($C383,REV!$C:$AL,26,0)-'TRADE IN'!$F383))</f>
        <v/>
      </c>
      <c r="AC383" s="46" t="str">
        <f>IF(VLOOKUP($C383,REV!$C:$AL,27,0)-'TRADE IN'!$F462=0,"",(VLOOKUP($C383,REV!$C:$AL,27,0)-'TRADE IN'!$F383))</f>
        <v/>
      </c>
      <c r="AD383" s="46" t="str">
        <f>IF(VLOOKUP($C383,REV!$C:$AL,28,0)-'TRADE IN'!$F462=0,"",(VLOOKUP($C383,REV!$C:$AL,28,0)-'TRADE IN'!$F383))</f>
        <v/>
      </c>
      <c r="AE383" s="46" t="str">
        <f>IF(VLOOKUP($C383,REV!$C:$AL,29,0)-'TRADE IN'!$F462=0,"",(VLOOKUP($C383,REV!$C:$AL,29,0)-'TRADE IN'!$F383))</f>
        <v/>
      </c>
      <c r="AF383" s="46" t="str">
        <f>IF(VLOOKUP($C383,REV!$C:$AL,30,0)-'TRADE IN'!$F462=0,"",(VLOOKUP($C383,REV!$C:$AL,30,0)-'TRADE IN'!$F383))</f>
        <v/>
      </c>
      <c r="AG383" s="46" t="str">
        <f>IF(VLOOKUP($C383,REV!$C:$AL,31,0)-'TRADE IN'!$F462=0,"",(VLOOKUP($C383,REV!$C:$AL,31,0)-'TRADE IN'!$F383))</f>
        <v/>
      </c>
      <c r="AH383" s="46" t="str">
        <f>IF(VLOOKUP($C383,REV!$C:$AL,32,0)-'TRADE IN'!$F462=0,"",(VLOOKUP($C383,REV!$C:$AL,32,0)-'TRADE IN'!$F383))</f>
        <v/>
      </c>
      <c r="AI383" s="46" t="str">
        <f>IF(VLOOKUP($C383,REV!$C:$AL,33,0)-'TRADE IN'!$F462=0,"",(VLOOKUP($C383,REV!$C:$AL,33,0)-'TRADE IN'!$F383))</f>
        <v/>
      </c>
      <c r="AJ383" s="46" t="str">
        <f>IF(VLOOKUP($C383,REV!$C:$AL,34,0)-'TRADE IN'!$F462=0,"",(VLOOKUP($C383,REV!$C:$AL,34,0)-'TRADE IN'!$F383))</f>
        <v/>
      </c>
      <c r="AK383" s="46" t="str">
        <f>IF(VLOOKUP($C383,REV!$C:$AL,35,0)-'TRADE IN'!$F462=0,"",(VLOOKUP($C383,REV!$C:$AL,35,0)-'TRADE IN'!$F383))</f>
        <v/>
      </c>
      <c r="AL383" s="46" t="str">
        <f>IF(VLOOKUP($C383,REV!$C:$AL,36,0)-'TRADE IN'!$F462=0,"",(VLOOKUP($C383,REV!$C:$AL,36,0)-'TRADE IN'!$F383))</f>
        <v/>
      </c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tr">
        <f>IF(REV!AW383=0,"",REV!AW383)</f>
        <v>31.03.2026</v>
      </c>
      <c r="AX383" s="159" t="s">
        <v>82</v>
      </c>
    </row>
    <row r="384" spans="1:50" ht="22.5" customHeight="1">
      <c r="A384" s="50" t="s">
        <v>61</v>
      </c>
      <c r="B384" s="41" t="s">
        <v>62</v>
      </c>
      <c r="C384" s="63">
        <v>4017537</v>
      </c>
      <c r="D384" s="62" t="s">
        <v>564</v>
      </c>
      <c r="E384" s="44" t="s">
        <v>566</v>
      </c>
      <c r="F384" s="45"/>
      <c r="G384" s="45"/>
      <c r="H384" s="45"/>
      <c r="I384" s="45"/>
      <c r="J384" s="46">
        <f>IF(VLOOKUP($C384,REV!$C:$AA,8,0)-'TRADE IN'!$F384=0,"",(VLOOKUP($C384,REV!$C:$AA,8,0)-'TRADE IN'!$F384))</f>
        <v>999</v>
      </c>
      <c r="K384" s="46">
        <f>IF(VLOOKUP($C384,REV!$C:$AA,9,0)-'TRADE IN'!$F384=0,"",(VLOOKUP($C384,REV!$C:$AA,9,0)-'TRADE IN'!$F384))</f>
        <v>899</v>
      </c>
      <c r="L384" s="46">
        <f>IF(VLOOKUP($C384,REV!$C:$AA,10,0)-'TRADE IN'!$F396=0,"",(VLOOKUP($C384,REV!$C:$AA,10,0)-'TRADE IN'!$F384))</f>
        <v>899</v>
      </c>
      <c r="M384" s="46">
        <f>IF(VLOOKUP($C384,REV!$C:$AA,11,0)-'TRADE IN'!$F396=0,"",(VLOOKUP($C384,REV!$C:$AA,11,0)-'TRADE IN'!$F384))</f>
        <v>999</v>
      </c>
      <c r="N384" s="46">
        <f>IF(VLOOKUP($C384,REV!$C:$AA,12,0)-'TRADE IN'!$F396=0,"",(VLOOKUP($C384,REV!$C:$AA,12,0)-'TRADE IN'!$F384))</f>
        <v>899</v>
      </c>
      <c r="O384" s="46">
        <f>IF(VLOOKUP($C384,REV!$C:$AA,13,0)-'TRADE IN'!$F396=0,"",(VLOOKUP($C384,REV!$C:$AA,13,0)-'TRADE IN'!$F384))</f>
        <v>899</v>
      </c>
      <c r="P384" s="46">
        <f>IF(VLOOKUP($C384,REV!$C:$AA,14,0)-'TRADE IN'!$F396=0,"",(VLOOKUP($C384,REV!$C:$AA,14,0)-'TRADE IN'!$F384))</f>
        <v>899</v>
      </c>
      <c r="Q384" s="46">
        <f>IF(VLOOKUP($C384,REV!$C:$AA,15,0)-'TRADE IN'!$F396=0,"",(VLOOKUP($C384,REV!$C:$AA,15,0)-'TRADE IN'!$F384))</f>
        <v>799</v>
      </c>
      <c r="R384" s="46">
        <f>IF(VLOOKUP($C384,REV!$C:$AA,16,0)-'TRADE IN'!$F396=0,"",(VLOOKUP($C384,REV!$C:$AA,16,0)-'TRADE IN'!$F384))</f>
        <v>899</v>
      </c>
      <c r="S384" s="46">
        <f>IF(VLOOKUP($C384,REV!$C:$AA,17,0)-'TRADE IN'!$F396=0,"",(VLOOKUP($C384,REV!$C:$AA,17,0)-'TRADE IN'!$F384))</f>
        <v>899</v>
      </c>
      <c r="T384" s="46">
        <f>IF(VLOOKUP($C384,REV!$C:$AA,18,0)-'TRADE IN'!$F396=0,"",(VLOOKUP($C384,REV!$C:$AA,18,0)-'TRADE IN'!$F384))</f>
        <v>799</v>
      </c>
      <c r="U384" s="46">
        <f>IF(VLOOKUP($C384,REV!$C:$AA,19,0)-'TRADE IN'!$F396=0,"",(VLOOKUP($C384,REV!$C:$AA,19,0)-'TRADE IN'!$F384))</f>
        <v>799</v>
      </c>
      <c r="V384" s="46">
        <f>IF(VLOOKUP($C384,REV!$C:$AA,20,0)-'TRADE IN'!$F396=0,"",(VLOOKUP($C384,REV!$C:$AA,20,0)-'TRADE IN'!$F384))</f>
        <v>799</v>
      </c>
      <c r="W384" s="46">
        <f>IF(VLOOKUP($C384,REV!$C:$AA,21,0)-'TRADE IN'!$F396=0,"",(VLOOKUP($C384,REV!$C:$AA,21,0)-'TRADE IN'!$F384))</f>
        <v>799</v>
      </c>
      <c r="X384" s="46">
        <f>IF(VLOOKUP($C384,REV!$C:$AA,22,0)-'TRADE IN'!$F396=0,"",(VLOOKUP($C384,REV!$C:$AA,22,0)-'TRADE IN'!$F384))</f>
        <v>799</v>
      </c>
      <c r="Y384" s="46">
        <f>IF(VLOOKUP($C384,REV!$C:$AA,23,0)-'TRADE IN'!$F396=0,"",(VLOOKUP($C384,REV!$C:$AA,23,0)-'TRADE IN'!$F384))</f>
        <v>799</v>
      </c>
      <c r="Z384" s="46">
        <f>IF(VLOOKUP($C384,REV!$C:$AA,24,0)-'TRADE IN'!$F396=0,"",(VLOOKUP($C384,REV!$C:$AA,24,0)-'TRADE IN'!$F384))</f>
        <v>799</v>
      </c>
      <c r="AA384" s="46">
        <f>IF(VLOOKUP($C384,REV!$C:$AA,25,0)-'TRADE IN'!$F396=0,"",(VLOOKUP($C384,REV!$C:$AA,25,0)-'TRADE IN'!$F384))</f>
        <v>799</v>
      </c>
      <c r="AB384" s="46" t="str">
        <f>IF(VLOOKUP($C384,REV!$C:$AL,26,0)-'TRADE IN'!$F463=0,"",(VLOOKUP($C384,REV!$C:$AL,26,0)-'TRADE IN'!$F384))</f>
        <v/>
      </c>
      <c r="AC384" s="46" t="str">
        <f>IF(VLOOKUP($C384,REV!$C:$AL,27,0)-'TRADE IN'!$F463=0,"",(VLOOKUP($C384,REV!$C:$AL,27,0)-'TRADE IN'!$F384))</f>
        <v/>
      </c>
      <c r="AD384" s="46" t="str">
        <f>IF(VLOOKUP($C384,REV!$C:$AL,28,0)-'TRADE IN'!$F463=0,"",(VLOOKUP($C384,REV!$C:$AL,28,0)-'TRADE IN'!$F384))</f>
        <v/>
      </c>
      <c r="AE384" s="46" t="str">
        <f>IF(VLOOKUP($C384,REV!$C:$AL,29,0)-'TRADE IN'!$F463=0,"",(VLOOKUP($C384,REV!$C:$AL,29,0)-'TRADE IN'!$F384))</f>
        <v/>
      </c>
      <c r="AF384" s="46" t="str">
        <f>IF(VLOOKUP($C384,REV!$C:$AL,30,0)-'TRADE IN'!$F463=0,"",(VLOOKUP($C384,REV!$C:$AL,30,0)-'TRADE IN'!$F384))</f>
        <v/>
      </c>
      <c r="AG384" s="46" t="str">
        <f>IF(VLOOKUP($C384,REV!$C:$AL,31,0)-'TRADE IN'!$F463=0,"",(VLOOKUP($C384,REV!$C:$AL,31,0)-'TRADE IN'!$F384))</f>
        <v/>
      </c>
      <c r="AH384" s="46" t="str">
        <f>IF(VLOOKUP($C384,REV!$C:$AL,32,0)-'TRADE IN'!$F463=0,"",(VLOOKUP($C384,REV!$C:$AL,32,0)-'TRADE IN'!$F384))</f>
        <v/>
      </c>
      <c r="AI384" s="46" t="str">
        <f>IF(VLOOKUP($C384,REV!$C:$AL,33,0)-'TRADE IN'!$F463=0,"",(VLOOKUP($C384,REV!$C:$AL,33,0)-'TRADE IN'!$F384))</f>
        <v/>
      </c>
      <c r="AJ384" s="46" t="str">
        <f>IF(VLOOKUP($C384,REV!$C:$AL,34,0)-'TRADE IN'!$F463=0,"",(VLOOKUP($C384,REV!$C:$AL,34,0)-'TRADE IN'!$F384))</f>
        <v/>
      </c>
      <c r="AK384" s="46" t="str">
        <f>IF(VLOOKUP($C384,REV!$C:$AL,35,0)-'TRADE IN'!$F463=0,"",(VLOOKUP($C384,REV!$C:$AL,35,0)-'TRADE IN'!$F384))</f>
        <v/>
      </c>
      <c r="AL384" s="46" t="str">
        <f>IF(VLOOKUP($C384,REV!$C:$AL,36,0)-'TRADE IN'!$F463=0,"",(VLOOKUP($C384,REV!$C:$AL,36,0)-'TRADE IN'!$F384))</f>
        <v/>
      </c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tr">
        <f>IF(REV!AW384=0,"",REV!AW384)</f>
        <v>31.03.2026</v>
      </c>
      <c r="AX384" s="159" t="s">
        <v>82</v>
      </c>
    </row>
    <row r="385" spans="1:50" ht="22.5" customHeight="1">
      <c r="A385" s="50" t="s">
        <v>61</v>
      </c>
      <c r="B385" s="41" t="s">
        <v>62</v>
      </c>
      <c r="C385" s="42">
        <v>4017541</v>
      </c>
      <c r="D385" s="62" t="s">
        <v>567</v>
      </c>
      <c r="E385" s="44" t="s">
        <v>568</v>
      </c>
      <c r="F385" s="45"/>
      <c r="G385" s="45"/>
      <c r="H385" s="45"/>
      <c r="I385" s="45"/>
      <c r="J385" s="46">
        <f>IF(VLOOKUP($C385,REV!$C:$AA,8,0)-'TRADE IN'!$F385=0,"",(VLOOKUP($C385,REV!$C:$AA,8,0)-'TRADE IN'!$F385))</f>
        <v>999</v>
      </c>
      <c r="K385" s="46">
        <f>IF(VLOOKUP($C385,REV!$C:$AA,9,0)-'TRADE IN'!$F385=0,"",(VLOOKUP($C385,REV!$C:$AA,9,0)-'TRADE IN'!$F385))</f>
        <v>799</v>
      </c>
      <c r="L385" s="46">
        <f>IF(VLOOKUP($C385,REV!$C:$AA,10,0)-'TRADE IN'!$F395=0,"",(VLOOKUP($C385,REV!$C:$AA,10,0)-'TRADE IN'!$F385))</f>
        <v>799</v>
      </c>
      <c r="M385" s="46">
        <f>IF(VLOOKUP($C385,REV!$C:$AA,11,0)-'TRADE IN'!$F395=0,"",(VLOOKUP($C385,REV!$C:$AA,11,0)-'TRADE IN'!$F385))</f>
        <v>999</v>
      </c>
      <c r="N385" s="46">
        <f>IF(VLOOKUP($C385,REV!$C:$AA,12,0)-'TRADE IN'!$F395=0,"",(VLOOKUP($C385,REV!$C:$AA,12,0)-'TRADE IN'!$F385))</f>
        <v>799</v>
      </c>
      <c r="O385" s="46">
        <f>IF(VLOOKUP($C385,REV!$C:$AA,13,0)-'TRADE IN'!$F395=0,"",(VLOOKUP($C385,REV!$C:$AA,13,0)-'TRADE IN'!$F385))</f>
        <v>749</v>
      </c>
      <c r="P385" s="46">
        <f>IF(VLOOKUP($C385,REV!$C:$AA,14,0)-'TRADE IN'!$F395=0,"",(VLOOKUP($C385,REV!$C:$AA,14,0)-'TRADE IN'!$F385))</f>
        <v>749</v>
      </c>
      <c r="Q385" s="46">
        <f>IF(VLOOKUP($C385,REV!$C:$AA,15,0)-'TRADE IN'!$F395=0,"",(VLOOKUP($C385,REV!$C:$AA,15,0)-'TRADE IN'!$F385))</f>
        <v>699</v>
      </c>
      <c r="R385" s="46">
        <f>IF(VLOOKUP($C385,REV!$C:$AA,16,0)-'TRADE IN'!$F395=0,"",(VLOOKUP($C385,REV!$C:$AA,16,0)-'TRADE IN'!$F385))</f>
        <v>749</v>
      </c>
      <c r="S385" s="46">
        <f>IF(VLOOKUP($C385,REV!$C:$AA,17,0)-'TRADE IN'!$F395=0,"",(VLOOKUP($C385,REV!$C:$AA,17,0)-'TRADE IN'!$F385))</f>
        <v>749</v>
      </c>
      <c r="T385" s="46">
        <f>IF(VLOOKUP($C385,REV!$C:$AA,18,0)-'TRADE IN'!$F395=0,"",(VLOOKUP($C385,REV!$C:$AA,18,0)-'TRADE IN'!$F385))</f>
        <v>699</v>
      </c>
      <c r="U385" s="46">
        <f>IF(VLOOKUP($C385,REV!$C:$AA,19,0)-'TRADE IN'!$F395=0,"",(VLOOKUP($C385,REV!$C:$AA,19,0)-'TRADE IN'!$F385))</f>
        <v>699</v>
      </c>
      <c r="V385" s="46">
        <f>IF(VLOOKUP($C385,REV!$C:$AA,20,0)-'TRADE IN'!$F395=0,"",(VLOOKUP($C385,REV!$C:$AA,20,0)-'TRADE IN'!$F385))</f>
        <v>699</v>
      </c>
      <c r="W385" s="46">
        <f>IF(VLOOKUP($C385,REV!$C:$AA,21,0)-'TRADE IN'!$F395=0,"",(VLOOKUP($C385,REV!$C:$AA,21,0)-'TRADE IN'!$F385))</f>
        <v>699</v>
      </c>
      <c r="X385" s="46">
        <f>IF(VLOOKUP($C385,REV!$C:$AA,22,0)-'TRADE IN'!$F395=0,"",(VLOOKUP($C385,REV!$C:$AA,22,0)-'TRADE IN'!$F385))</f>
        <v>699</v>
      </c>
      <c r="Y385" s="46">
        <f>IF(VLOOKUP($C385,REV!$C:$AA,23,0)-'TRADE IN'!$F395=0,"",(VLOOKUP($C385,REV!$C:$AA,23,0)-'TRADE IN'!$F385))</f>
        <v>699</v>
      </c>
      <c r="Z385" s="46">
        <f>IF(VLOOKUP($C385,REV!$C:$AA,24,0)-'TRADE IN'!$F395=0,"",(VLOOKUP($C385,REV!$C:$AA,24,0)-'TRADE IN'!$F385))</f>
        <v>699</v>
      </c>
      <c r="AA385" s="46">
        <f>IF(VLOOKUP($C385,REV!$C:$AA,25,0)-'TRADE IN'!$F395=0,"",(VLOOKUP($C385,REV!$C:$AA,25,0)-'TRADE IN'!$F385))</f>
        <v>699</v>
      </c>
      <c r="AB385" s="46" t="str">
        <f>IF(VLOOKUP($C385,REV!$C:$AL,26,0)-'TRADE IN'!$F462=0,"",(VLOOKUP($C385,REV!$C:$AL,26,0)-'TRADE IN'!$F385))</f>
        <v/>
      </c>
      <c r="AC385" s="46" t="str">
        <f>IF(VLOOKUP($C385,REV!$C:$AL,27,0)-'TRADE IN'!$F462=0,"",(VLOOKUP($C385,REV!$C:$AL,27,0)-'TRADE IN'!$F385))</f>
        <v/>
      </c>
      <c r="AD385" s="46" t="str">
        <f>IF(VLOOKUP($C385,REV!$C:$AL,28,0)-'TRADE IN'!$F462=0,"",(VLOOKUP($C385,REV!$C:$AL,28,0)-'TRADE IN'!$F385))</f>
        <v/>
      </c>
      <c r="AE385" s="46" t="str">
        <f>IF(VLOOKUP($C385,REV!$C:$AL,29,0)-'TRADE IN'!$F462=0,"",(VLOOKUP($C385,REV!$C:$AL,29,0)-'TRADE IN'!$F385))</f>
        <v/>
      </c>
      <c r="AF385" s="46" t="str">
        <f>IF(VLOOKUP($C385,REV!$C:$AL,30,0)-'TRADE IN'!$F462=0,"",(VLOOKUP($C385,REV!$C:$AL,30,0)-'TRADE IN'!$F385))</f>
        <v/>
      </c>
      <c r="AG385" s="46" t="str">
        <f>IF(VLOOKUP($C385,REV!$C:$AL,31,0)-'TRADE IN'!$F462=0,"",(VLOOKUP($C385,REV!$C:$AL,31,0)-'TRADE IN'!$F385))</f>
        <v/>
      </c>
      <c r="AH385" s="46" t="str">
        <f>IF(VLOOKUP($C385,REV!$C:$AL,32,0)-'TRADE IN'!$F462=0,"",(VLOOKUP($C385,REV!$C:$AL,32,0)-'TRADE IN'!$F385))</f>
        <v/>
      </c>
      <c r="AI385" s="46" t="str">
        <f>IF(VLOOKUP($C385,REV!$C:$AL,33,0)-'TRADE IN'!$F462=0,"",(VLOOKUP($C385,REV!$C:$AL,33,0)-'TRADE IN'!$F385))</f>
        <v/>
      </c>
      <c r="AJ385" s="46" t="str">
        <f>IF(VLOOKUP($C385,REV!$C:$AL,34,0)-'TRADE IN'!$F462=0,"",(VLOOKUP($C385,REV!$C:$AL,34,0)-'TRADE IN'!$F385))</f>
        <v/>
      </c>
      <c r="AK385" s="46" t="str">
        <f>IF(VLOOKUP($C385,REV!$C:$AL,35,0)-'TRADE IN'!$F462=0,"",(VLOOKUP($C385,REV!$C:$AL,35,0)-'TRADE IN'!$F385))</f>
        <v/>
      </c>
      <c r="AL385" s="46" t="str">
        <f>IF(VLOOKUP($C385,REV!$C:$AL,36,0)-'TRADE IN'!$F462=0,"",(VLOOKUP($C385,REV!$C:$AL,36,0)-'TRADE IN'!$F385))</f>
        <v/>
      </c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tr">
        <f>IF(REV!AW385=0,"",REV!AW385)</f>
        <v>31.03.2026</v>
      </c>
      <c r="AX385" s="159" t="s">
        <v>66</v>
      </c>
    </row>
    <row r="386" spans="1:50" ht="22.5" customHeight="1">
      <c r="A386" s="50" t="s">
        <v>61</v>
      </c>
      <c r="B386" s="41" t="s">
        <v>62</v>
      </c>
      <c r="C386" s="42">
        <v>4017544</v>
      </c>
      <c r="D386" s="62" t="s">
        <v>567</v>
      </c>
      <c r="E386" s="44" t="s">
        <v>569</v>
      </c>
      <c r="F386" s="45"/>
      <c r="G386" s="45"/>
      <c r="H386" s="45"/>
      <c r="I386" s="45"/>
      <c r="J386" s="46">
        <f>IF(VLOOKUP($C386,REV!$C:$AA,8,0)-'TRADE IN'!$F386=0,"",(VLOOKUP($C386,REV!$C:$AA,8,0)-'TRADE IN'!$F386))</f>
        <v>999</v>
      </c>
      <c r="K386" s="46">
        <f>IF(VLOOKUP($C386,REV!$C:$AA,9,0)-'TRADE IN'!$F386=0,"",(VLOOKUP($C386,REV!$C:$AA,9,0)-'TRADE IN'!$F386))</f>
        <v>799</v>
      </c>
      <c r="L386" s="46">
        <f>IF(VLOOKUP($C386,REV!$C:$AA,10,0)-'TRADE IN'!$F396=0,"",(VLOOKUP($C386,REV!$C:$AA,10,0)-'TRADE IN'!$F386))</f>
        <v>799</v>
      </c>
      <c r="M386" s="46">
        <f>IF(VLOOKUP($C386,REV!$C:$AA,11,0)-'TRADE IN'!$F396=0,"",(VLOOKUP($C386,REV!$C:$AA,11,0)-'TRADE IN'!$F386))</f>
        <v>999</v>
      </c>
      <c r="N386" s="46">
        <f>IF(VLOOKUP($C386,REV!$C:$AA,12,0)-'TRADE IN'!$F396=0,"",(VLOOKUP($C386,REV!$C:$AA,12,0)-'TRADE IN'!$F386))</f>
        <v>799</v>
      </c>
      <c r="O386" s="46">
        <f>IF(VLOOKUP($C386,REV!$C:$AA,13,0)-'TRADE IN'!$F396=0,"",(VLOOKUP($C386,REV!$C:$AA,13,0)-'TRADE IN'!$F386))</f>
        <v>749</v>
      </c>
      <c r="P386" s="46">
        <f>IF(VLOOKUP($C386,REV!$C:$AA,14,0)-'TRADE IN'!$F396=0,"",(VLOOKUP($C386,REV!$C:$AA,14,0)-'TRADE IN'!$F386))</f>
        <v>749</v>
      </c>
      <c r="Q386" s="46">
        <f>IF(VLOOKUP($C386,REV!$C:$AA,15,0)-'TRADE IN'!$F396=0,"",(VLOOKUP($C386,REV!$C:$AA,15,0)-'TRADE IN'!$F386))</f>
        <v>699</v>
      </c>
      <c r="R386" s="46">
        <f>IF(VLOOKUP($C386,REV!$C:$AA,16,0)-'TRADE IN'!$F396=0,"",(VLOOKUP($C386,REV!$C:$AA,16,0)-'TRADE IN'!$F386))</f>
        <v>749</v>
      </c>
      <c r="S386" s="46">
        <f>IF(VLOOKUP($C386,REV!$C:$AA,17,0)-'TRADE IN'!$F396=0,"",(VLOOKUP($C386,REV!$C:$AA,17,0)-'TRADE IN'!$F386))</f>
        <v>749</v>
      </c>
      <c r="T386" s="46">
        <f>IF(VLOOKUP($C386,REV!$C:$AA,18,0)-'TRADE IN'!$F396=0,"",(VLOOKUP($C386,REV!$C:$AA,18,0)-'TRADE IN'!$F386))</f>
        <v>699</v>
      </c>
      <c r="U386" s="46">
        <f>IF(VLOOKUP($C386,REV!$C:$AA,19,0)-'TRADE IN'!$F396=0,"",(VLOOKUP($C386,REV!$C:$AA,19,0)-'TRADE IN'!$F386))</f>
        <v>699</v>
      </c>
      <c r="V386" s="46">
        <f>IF(VLOOKUP($C386,REV!$C:$AA,20,0)-'TRADE IN'!$F396=0,"",(VLOOKUP($C386,REV!$C:$AA,20,0)-'TRADE IN'!$F386))</f>
        <v>699</v>
      </c>
      <c r="W386" s="46">
        <f>IF(VLOOKUP($C386,REV!$C:$AA,21,0)-'TRADE IN'!$F396=0,"",(VLOOKUP($C386,REV!$C:$AA,21,0)-'TRADE IN'!$F386))</f>
        <v>699</v>
      </c>
      <c r="X386" s="46">
        <f>IF(VLOOKUP($C386,REV!$C:$AA,22,0)-'TRADE IN'!$F396=0,"",(VLOOKUP($C386,REV!$C:$AA,22,0)-'TRADE IN'!$F386))</f>
        <v>699</v>
      </c>
      <c r="Y386" s="46">
        <f>IF(VLOOKUP($C386,REV!$C:$AA,23,0)-'TRADE IN'!$F396=0,"",(VLOOKUP($C386,REV!$C:$AA,23,0)-'TRADE IN'!$F386))</f>
        <v>699</v>
      </c>
      <c r="Z386" s="46">
        <f>IF(VLOOKUP($C386,REV!$C:$AA,24,0)-'TRADE IN'!$F396=0,"",(VLOOKUP($C386,REV!$C:$AA,24,0)-'TRADE IN'!$F386))</f>
        <v>699</v>
      </c>
      <c r="AA386" s="46">
        <f>IF(VLOOKUP($C386,REV!$C:$AA,25,0)-'TRADE IN'!$F396=0,"",(VLOOKUP($C386,REV!$C:$AA,25,0)-'TRADE IN'!$F386))</f>
        <v>699</v>
      </c>
      <c r="AB386" s="46" t="str">
        <f>IF(VLOOKUP($C386,REV!$C:$AL,26,0)-'TRADE IN'!$F463=0,"",(VLOOKUP($C386,REV!$C:$AL,26,0)-'TRADE IN'!$F386))</f>
        <v/>
      </c>
      <c r="AC386" s="46" t="str">
        <f>IF(VLOOKUP($C386,REV!$C:$AL,27,0)-'TRADE IN'!$F463=0,"",(VLOOKUP($C386,REV!$C:$AL,27,0)-'TRADE IN'!$F386))</f>
        <v/>
      </c>
      <c r="AD386" s="46" t="str">
        <f>IF(VLOOKUP($C386,REV!$C:$AL,28,0)-'TRADE IN'!$F463=0,"",(VLOOKUP($C386,REV!$C:$AL,28,0)-'TRADE IN'!$F386))</f>
        <v/>
      </c>
      <c r="AE386" s="46" t="str">
        <f>IF(VLOOKUP($C386,REV!$C:$AL,29,0)-'TRADE IN'!$F463=0,"",(VLOOKUP($C386,REV!$C:$AL,29,0)-'TRADE IN'!$F386))</f>
        <v/>
      </c>
      <c r="AF386" s="46" t="str">
        <f>IF(VLOOKUP($C386,REV!$C:$AL,30,0)-'TRADE IN'!$F463=0,"",(VLOOKUP($C386,REV!$C:$AL,30,0)-'TRADE IN'!$F386))</f>
        <v/>
      </c>
      <c r="AG386" s="46" t="str">
        <f>IF(VLOOKUP($C386,REV!$C:$AL,31,0)-'TRADE IN'!$F463=0,"",(VLOOKUP($C386,REV!$C:$AL,31,0)-'TRADE IN'!$F386))</f>
        <v/>
      </c>
      <c r="AH386" s="46" t="str">
        <f>IF(VLOOKUP($C386,REV!$C:$AL,32,0)-'TRADE IN'!$F463=0,"",(VLOOKUP($C386,REV!$C:$AL,32,0)-'TRADE IN'!$F386))</f>
        <v/>
      </c>
      <c r="AI386" s="46" t="str">
        <f>IF(VLOOKUP($C386,REV!$C:$AL,33,0)-'TRADE IN'!$F463=0,"",(VLOOKUP($C386,REV!$C:$AL,33,0)-'TRADE IN'!$F386))</f>
        <v/>
      </c>
      <c r="AJ386" s="46" t="str">
        <f>IF(VLOOKUP($C386,REV!$C:$AL,34,0)-'TRADE IN'!$F463=0,"",(VLOOKUP($C386,REV!$C:$AL,34,0)-'TRADE IN'!$F386))</f>
        <v/>
      </c>
      <c r="AK386" s="46" t="str">
        <f>IF(VLOOKUP($C386,REV!$C:$AL,35,0)-'TRADE IN'!$F463=0,"",(VLOOKUP($C386,REV!$C:$AL,35,0)-'TRADE IN'!$F386))</f>
        <v/>
      </c>
      <c r="AL386" s="46" t="str">
        <f>IF(VLOOKUP($C386,REV!$C:$AL,36,0)-'TRADE IN'!$F463=0,"",(VLOOKUP($C386,REV!$C:$AL,36,0)-'TRADE IN'!$F386))</f>
        <v/>
      </c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tr">
        <f>IF(REV!AW386=0,"",REV!AW386)</f>
        <v>31.03.2026</v>
      </c>
      <c r="AX386" s="159" t="s">
        <v>66</v>
      </c>
    </row>
    <row r="387" spans="1:50" ht="22.5" customHeight="1">
      <c r="A387" s="50" t="s">
        <v>61</v>
      </c>
      <c r="B387" s="41" t="s">
        <v>62</v>
      </c>
      <c r="C387" s="42">
        <v>4017566</v>
      </c>
      <c r="D387" s="62" t="s">
        <v>567</v>
      </c>
      <c r="E387" s="44" t="s">
        <v>570</v>
      </c>
      <c r="F387" s="45"/>
      <c r="G387" s="45"/>
      <c r="H387" s="45"/>
      <c r="I387" s="45"/>
      <c r="J387" s="46">
        <f>IF(VLOOKUP($C387,REV!$C:$AA,8,0)-'TRADE IN'!$F387=0,"",(VLOOKUP($C387,REV!$C:$AA,8,0)-'TRADE IN'!$F387))</f>
        <v>999</v>
      </c>
      <c r="K387" s="46">
        <f>IF(VLOOKUP($C387,REV!$C:$AA,9,0)-'TRADE IN'!$F387=0,"",(VLOOKUP($C387,REV!$C:$AA,9,0)-'TRADE IN'!$F387))</f>
        <v>799</v>
      </c>
      <c r="L387" s="46">
        <f>IF(VLOOKUP($C387,REV!$C:$AA,10,0)-'TRADE IN'!$F397=0,"",(VLOOKUP($C387,REV!$C:$AA,10,0)-'TRADE IN'!$F387))</f>
        <v>799</v>
      </c>
      <c r="M387" s="46">
        <f>IF(VLOOKUP($C387,REV!$C:$AA,11,0)-'TRADE IN'!$F397=0,"",(VLOOKUP($C387,REV!$C:$AA,11,0)-'TRADE IN'!$F387))</f>
        <v>999</v>
      </c>
      <c r="N387" s="46">
        <f>IF(VLOOKUP($C387,REV!$C:$AA,12,0)-'TRADE IN'!$F397=0,"",(VLOOKUP($C387,REV!$C:$AA,12,0)-'TRADE IN'!$F387))</f>
        <v>799</v>
      </c>
      <c r="O387" s="46">
        <f>IF(VLOOKUP($C387,REV!$C:$AA,13,0)-'TRADE IN'!$F397=0,"",(VLOOKUP($C387,REV!$C:$AA,13,0)-'TRADE IN'!$F387))</f>
        <v>749</v>
      </c>
      <c r="P387" s="46">
        <f>IF(VLOOKUP($C387,REV!$C:$AA,14,0)-'TRADE IN'!$F397=0,"",(VLOOKUP($C387,REV!$C:$AA,14,0)-'TRADE IN'!$F387))</f>
        <v>749</v>
      </c>
      <c r="Q387" s="46">
        <f>IF(VLOOKUP($C387,REV!$C:$AA,15,0)-'TRADE IN'!$F397=0,"",(VLOOKUP($C387,REV!$C:$AA,15,0)-'TRADE IN'!$F387))</f>
        <v>699</v>
      </c>
      <c r="R387" s="46">
        <f>IF(VLOOKUP($C387,REV!$C:$AA,16,0)-'TRADE IN'!$F397=0,"",(VLOOKUP($C387,REV!$C:$AA,16,0)-'TRADE IN'!$F387))</f>
        <v>749</v>
      </c>
      <c r="S387" s="46">
        <f>IF(VLOOKUP($C387,REV!$C:$AA,17,0)-'TRADE IN'!$F397=0,"",(VLOOKUP($C387,REV!$C:$AA,17,0)-'TRADE IN'!$F387))</f>
        <v>749</v>
      </c>
      <c r="T387" s="46">
        <f>IF(VLOOKUP($C387,REV!$C:$AA,18,0)-'TRADE IN'!$F397=0,"",(VLOOKUP($C387,REV!$C:$AA,18,0)-'TRADE IN'!$F387))</f>
        <v>699</v>
      </c>
      <c r="U387" s="46">
        <f>IF(VLOOKUP($C387,REV!$C:$AA,19,0)-'TRADE IN'!$F397=0,"",(VLOOKUP($C387,REV!$C:$AA,19,0)-'TRADE IN'!$F387))</f>
        <v>699</v>
      </c>
      <c r="V387" s="46">
        <f>IF(VLOOKUP($C387,REV!$C:$AA,20,0)-'TRADE IN'!$F397=0,"",(VLOOKUP($C387,REV!$C:$AA,20,0)-'TRADE IN'!$F387))</f>
        <v>699</v>
      </c>
      <c r="W387" s="46">
        <f>IF(VLOOKUP($C387,REV!$C:$AA,21,0)-'TRADE IN'!$F397=0,"",(VLOOKUP($C387,REV!$C:$AA,21,0)-'TRADE IN'!$F387))</f>
        <v>699</v>
      </c>
      <c r="X387" s="46">
        <f>IF(VLOOKUP($C387,REV!$C:$AA,22,0)-'TRADE IN'!$F397=0,"",(VLOOKUP($C387,REV!$C:$AA,22,0)-'TRADE IN'!$F387))</f>
        <v>699</v>
      </c>
      <c r="Y387" s="46">
        <f>IF(VLOOKUP($C387,REV!$C:$AA,23,0)-'TRADE IN'!$F397=0,"",(VLOOKUP($C387,REV!$C:$AA,23,0)-'TRADE IN'!$F387))</f>
        <v>699</v>
      </c>
      <c r="Z387" s="46">
        <f>IF(VLOOKUP($C387,REV!$C:$AA,24,0)-'TRADE IN'!$F397=0,"",(VLOOKUP($C387,REV!$C:$AA,24,0)-'TRADE IN'!$F387))</f>
        <v>699</v>
      </c>
      <c r="AA387" s="46">
        <f>IF(VLOOKUP($C387,REV!$C:$AA,25,0)-'TRADE IN'!$F397=0,"",(VLOOKUP($C387,REV!$C:$AA,25,0)-'TRADE IN'!$F387))</f>
        <v>699</v>
      </c>
      <c r="AB387" s="46" t="str">
        <f>IF(VLOOKUP($C387,REV!$C:$AL,26,0)-'TRADE IN'!$F464=0,"",(VLOOKUP($C387,REV!$C:$AL,26,0)-'TRADE IN'!$F387))</f>
        <v/>
      </c>
      <c r="AC387" s="46" t="str">
        <f>IF(VLOOKUP($C387,REV!$C:$AL,27,0)-'TRADE IN'!$F464=0,"",(VLOOKUP($C387,REV!$C:$AL,27,0)-'TRADE IN'!$F387))</f>
        <v/>
      </c>
      <c r="AD387" s="46" t="str">
        <f>IF(VLOOKUP($C387,REV!$C:$AL,28,0)-'TRADE IN'!$F464=0,"",(VLOOKUP($C387,REV!$C:$AL,28,0)-'TRADE IN'!$F387))</f>
        <v/>
      </c>
      <c r="AE387" s="46" t="str">
        <f>IF(VLOOKUP($C387,REV!$C:$AL,29,0)-'TRADE IN'!$F464=0,"",(VLOOKUP($C387,REV!$C:$AL,29,0)-'TRADE IN'!$F387))</f>
        <v/>
      </c>
      <c r="AF387" s="46" t="str">
        <f>IF(VLOOKUP($C387,REV!$C:$AL,30,0)-'TRADE IN'!$F464=0,"",(VLOOKUP($C387,REV!$C:$AL,30,0)-'TRADE IN'!$F387))</f>
        <v/>
      </c>
      <c r="AG387" s="46" t="str">
        <f>IF(VLOOKUP($C387,REV!$C:$AL,31,0)-'TRADE IN'!$F464=0,"",(VLOOKUP($C387,REV!$C:$AL,31,0)-'TRADE IN'!$F387))</f>
        <v/>
      </c>
      <c r="AH387" s="46" t="str">
        <f>IF(VLOOKUP($C387,REV!$C:$AL,32,0)-'TRADE IN'!$F464=0,"",(VLOOKUP($C387,REV!$C:$AL,32,0)-'TRADE IN'!$F387))</f>
        <v/>
      </c>
      <c r="AI387" s="46" t="str">
        <f>IF(VLOOKUP($C387,REV!$C:$AL,33,0)-'TRADE IN'!$F464=0,"",(VLOOKUP($C387,REV!$C:$AL,33,0)-'TRADE IN'!$F387))</f>
        <v/>
      </c>
      <c r="AJ387" s="46" t="str">
        <f>IF(VLOOKUP($C387,REV!$C:$AL,34,0)-'TRADE IN'!$F464=0,"",(VLOOKUP($C387,REV!$C:$AL,34,0)-'TRADE IN'!$F387))</f>
        <v/>
      </c>
      <c r="AK387" s="46" t="str">
        <f>IF(VLOOKUP($C387,REV!$C:$AL,35,0)-'TRADE IN'!$F464=0,"",(VLOOKUP($C387,REV!$C:$AL,35,0)-'TRADE IN'!$F387))</f>
        <v/>
      </c>
      <c r="AL387" s="46" t="str">
        <f>IF(VLOOKUP($C387,REV!$C:$AL,36,0)-'TRADE IN'!$F464=0,"",(VLOOKUP($C387,REV!$C:$AL,36,0)-'TRADE IN'!$F387))</f>
        <v/>
      </c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tr">
        <f>IF(REV!AW387=0,"",REV!AW387)</f>
        <v>31.03.2026</v>
      </c>
      <c r="AX387" s="159" t="s">
        <v>66</v>
      </c>
    </row>
    <row r="388" spans="1:50" ht="22.5" customHeight="1">
      <c r="A388" s="50" t="s">
        <v>61</v>
      </c>
      <c r="B388" s="41" t="s">
        <v>62</v>
      </c>
      <c r="C388" s="42">
        <v>4013400</v>
      </c>
      <c r="D388" s="44" t="s">
        <v>571</v>
      </c>
      <c r="E388" s="44" t="s">
        <v>572</v>
      </c>
      <c r="F388" s="45"/>
      <c r="G388" s="45"/>
      <c r="H388" s="45"/>
      <c r="I388" s="45"/>
      <c r="J388" s="46" t="str">
        <f>IF(VLOOKUP($C388,REV!$C:$AA,8,0)-'TRADE IN'!$F388=0,"",(VLOOKUP($C388,REV!$C:$AA,8,0)-'TRADE IN'!$F388))</f>
        <v/>
      </c>
      <c r="K388" s="46" t="str">
        <f>IF(VLOOKUP($C388,REV!$C:$AA,9,0)-'TRADE IN'!$F388=0,"",(VLOOKUP($C388,REV!$C:$AA,9,0)-'TRADE IN'!$F388))</f>
        <v/>
      </c>
      <c r="L388" s="46" t="str">
        <f>IF(VLOOKUP($C388,REV!$C:$AA,10,0)-'TRADE IN'!$F397=0,"",(VLOOKUP($C388,REV!$C:$AA,10,0)-'TRADE IN'!$F388))</f>
        <v/>
      </c>
      <c r="M388" s="46" t="str">
        <f>IF(VLOOKUP($C388,REV!$C:$AA,11,0)-'TRADE IN'!$F397=0,"",(VLOOKUP($C388,REV!$C:$AA,11,0)-'TRADE IN'!$F388))</f>
        <v/>
      </c>
      <c r="N388" s="46" t="str">
        <f>IF(VLOOKUP($C388,REV!$C:$AA,12,0)-'TRADE IN'!$F397=0,"",(VLOOKUP($C388,REV!$C:$AA,12,0)-'TRADE IN'!$F388))</f>
        <v/>
      </c>
      <c r="O388" s="46" t="str">
        <f>IF(VLOOKUP($C388,REV!$C:$AA,13,0)-'TRADE IN'!$F397=0,"",(VLOOKUP($C388,REV!$C:$AA,13,0)-'TRADE IN'!$F388))</f>
        <v/>
      </c>
      <c r="P388" s="46" t="str">
        <f>IF(VLOOKUP($C388,REV!$C:$AA,14,0)-'TRADE IN'!$F397=0,"",(VLOOKUP($C388,REV!$C:$AA,14,0)-'TRADE IN'!$F388))</f>
        <v/>
      </c>
      <c r="Q388" s="46" t="str">
        <f>IF(VLOOKUP($C388,REV!$C:$AA,15,0)-'TRADE IN'!$F397=0,"",(VLOOKUP($C388,REV!$C:$AA,15,0)-'TRADE IN'!$F388))</f>
        <v/>
      </c>
      <c r="R388" s="46" t="str">
        <f>IF(VLOOKUP($C388,REV!$C:$AA,16,0)-'TRADE IN'!$F397=0,"",(VLOOKUP($C388,REV!$C:$AA,16,0)-'TRADE IN'!$F388))</f>
        <v/>
      </c>
      <c r="S388" s="46" t="str">
        <f>IF(VLOOKUP($C388,REV!$C:$AA,17,0)-'TRADE IN'!$F397=0,"",(VLOOKUP($C388,REV!$C:$AA,17,0)-'TRADE IN'!$F388))</f>
        <v/>
      </c>
      <c r="T388" s="46" t="str">
        <f>IF(VLOOKUP($C388,REV!$C:$AA,18,0)-'TRADE IN'!$F397=0,"",(VLOOKUP($C388,REV!$C:$AA,18,0)-'TRADE IN'!$F388))</f>
        <v/>
      </c>
      <c r="U388" s="46" t="str">
        <f>IF(VLOOKUP($C388,REV!$C:$AA,19,0)-'TRADE IN'!$F397=0,"",(VLOOKUP($C388,REV!$C:$AA,19,0)-'TRADE IN'!$F388))</f>
        <v/>
      </c>
      <c r="V388" s="46" t="str">
        <f>IF(VLOOKUP($C388,REV!$C:$AA,20,0)-'TRADE IN'!$F397=0,"",(VLOOKUP($C388,REV!$C:$AA,20,0)-'TRADE IN'!$F388))</f>
        <v/>
      </c>
      <c r="W388" s="46" t="str">
        <f>IF(VLOOKUP($C388,REV!$C:$AA,21,0)-'TRADE IN'!$F397=0,"",(VLOOKUP($C388,REV!$C:$AA,21,0)-'TRADE IN'!$F388))</f>
        <v/>
      </c>
      <c r="X388" s="46" t="str">
        <f>IF(VLOOKUP($C388,REV!$C:$AA,22,0)-'TRADE IN'!$F397=0,"",(VLOOKUP($C388,REV!$C:$AA,22,0)-'TRADE IN'!$F388))</f>
        <v/>
      </c>
      <c r="Y388" s="46" t="str">
        <f>IF(VLOOKUP($C388,REV!$C:$AA,23,0)-'TRADE IN'!$F397=0,"",(VLOOKUP($C388,REV!$C:$AA,23,0)-'TRADE IN'!$F388))</f>
        <v/>
      </c>
      <c r="Z388" s="46" t="str">
        <f>IF(VLOOKUP($C388,REV!$C:$AA,24,0)-'TRADE IN'!$F397=0,"",(VLOOKUP($C388,REV!$C:$AA,24,0)-'TRADE IN'!$F388))</f>
        <v/>
      </c>
      <c r="AA388" s="46" t="str">
        <f>IF(VLOOKUP($C388,REV!$C:$AA,25,0)-'TRADE IN'!$F397=0,"",(VLOOKUP($C388,REV!$C:$AA,25,0)-'TRADE IN'!$F388))</f>
        <v/>
      </c>
      <c r="AB388" s="46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tr">
        <f>IF(REV!AW388=0,"",REV!AW388)</f>
        <v>31.03.2026</v>
      </c>
      <c r="AX388" s="159" t="s">
        <v>66</v>
      </c>
    </row>
    <row r="389" spans="1:50" ht="22.5" customHeight="1">
      <c r="A389" s="50" t="s">
        <v>61</v>
      </c>
      <c r="B389" s="41" t="s">
        <v>62</v>
      </c>
      <c r="C389" s="42">
        <v>4013403</v>
      </c>
      <c r="D389" s="44" t="s">
        <v>571</v>
      </c>
      <c r="E389" s="44" t="s">
        <v>573</v>
      </c>
      <c r="F389" s="45"/>
      <c r="G389" s="45"/>
      <c r="H389" s="45"/>
      <c r="I389" s="45"/>
      <c r="J389" s="46" t="str">
        <f>IF(VLOOKUP($C389,REV!$C:$AA,8,0)-'TRADE IN'!$F389=0,"",(VLOOKUP($C389,REV!$C:$AA,8,0)-'TRADE IN'!$F389))</f>
        <v/>
      </c>
      <c r="K389" s="46" t="str">
        <f>IF(VLOOKUP($C389,REV!$C:$AA,9,0)-'TRADE IN'!$F389=0,"",(VLOOKUP($C389,REV!$C:$AA,9,0)-'TRADE IN'!$F389))</f>
        <v/>
      </c>
      <c r="L389" s="46" t="str">
        <f>IF(VLOOKUP($C389,REV!$C:$AA,10,0)-'TRADE IN'!$F398=0,"",(VLOOKUP($C389,REV!$C:$AA,10,0)-'TRADE IN'!$F389))</f>
        <v/>
      </c>
      <c r="M389" s="46" t="str">
        <f>IF(VLOOKUP($C389,REV!$C:$AA,11,0)-'TRADE IN'!$F398=0,"",(VLOOKUP($C389,REV!$C:$AA,11,0)-'TRADE IN'!$F389))</f>
        <v/>
      </c>
      <c r="N389" s="46" t="str">
        <f>IF(VLOOKUP($C389,REV!$C:$AA,12,0)-'TRADE IN'!$F398=0,"",(VLOOKUP($C389,REV!$C:$AA,12,0)-'TRADE IN'!$F389))</f>
        <v/>
      </c>
      <c r="O389" s="46" t="str">
        <f>IF(VLOOKUP($C389,REV!$C:$AA,13,0)-'TRADE IN'!$F398=0,"",(VLOOKUP($C389,REV!$C:$AA,13,0)-'TRADE IN'!$F389))</f>
        <v/>
      </c>
      <c r="P389" s="46" t="str">
        <f>IF(VLOOKUP($C389,REV!$C:$AA,14,0)-'TRADE IN'!$F398=0,"",(VLOOKUP($C389,REV!$C:$AA,14,0)-'TRADE IN'!$F389))</f>
        <v/>
      </c>
      <c r="Q389" s="46" t="str">
        <f>IF(VLOOKUP($C389,REV!$C:$AA,15,0)-'TRADE IN'!$F398=0,"",(VLOOKUP($C389,REV!$C:$AA,15,0)-'TRADE IN'!$F389))</f>
        <v/>
      </c>
      <c r="R389" s="46" t="str">
        <f>IF(VLOOKUP($C389,REV!$C:$AA,16,0)-'TRADE IN'!$F398=0,"",(VLOOKUP($C389,REV!$C:$AA,16,0)-'TRADE IN'!$F389))</f>
        <v/>
      </c>
      <c r="S389" s="46" t="str">
        <f>IF(VLOOKUP($C389,REV!$C:$AA,17,0)-'TRADE IN'!$F398=0,"",(VLOOKUP($C389,REV!$C:$AA,17,0)-'TRADE IN'!$F389))</f>
        <v/>
      </c>
      <c r="T389" s="46" t="str">
        <f>IF(VLOOKUP($C389,REV!$C:$AA,18,0)-'TRADE IN'!$F398=0,"",(VLOOKUP($C389,REV!$C:$AA,18,0)-'TRADE IN'!$F389))</f>
        <v/>
      </c>
      <c r="U389" s="46" t="str">
        <f>IF(VLOOKUP($C389,REV!$C:$AA,19,0)-'TRADE IN'!$F398=0,"",(VLOOKUP($C389,REV!$C:$AA,19,0)-'TRADE IN'!$F389))</f>
        <v/>
      </c>
      <c r="V389" s="46" t="str">
        <f>IF(VLOOKUP($C389,REV!$C:$AA,20,0)-'TRADE IN'!$F398=0,"",(VLOOKUP($C389,REV!$C:$AA,20,0)-'TRADE IN'!$F389))</f>
        <v/>
      </c>
      <c r="W389" s="46" t="str">
        <f>IF(VLOOKUP($C389,REV!$C:$AA,21,0)-'TRADE IN'!$F398=0,"",(VLOOKUP($C389,REV!$C:$AA,21,0)-'TRADE IN'!$F389))</f>
        <v/>
      </c>
      <c r="X389" s="46" t="str">
        <f>IF(VLOOKUP($C389,REV!$C:$AA,22,0)-'TRADE IN'!$F398=0,"",(VLOOKUP($C389,REV!$C:$AA,22,0)-'TRADE IN'!$F389))</f>
        <v/>
      </c>
      <c r="Y389" s="46" t="str">
        <f>IF(VLOOKUP($C389,REV!$C:$AA,23,0)-'TRADE IN'!$F398=0,"",(VLOOKUP($C389,REV!$C:$AA,23,0)-'TRADE IN'!$F389))</f>
        <v/>
      </c>
      <c r="Z389" s="46" t="str">
        <f>IF(VLOOKUP($C389,REV!$C:$AA,24,0)-'TRADE IN'!$F398=0,"",(VLOOKUP($C389,REV!$C:$AA,24,0)-'TRADE IN'!$F389))</f>
        <v/>
      </c>
      <c r="AA389" s="46" t="str">
        <f>IF(VLOOKUP($C389,REV!$C:$AA,25,0)-'TRADE IN'!$F398=0,"",(VLOOKUP($C389,REV!$C:$AA,25,0)-'TRADE IN'!$F389))</f>
        <v/>
      </c>
      <c r="AB389" s="46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tr">
        <f>IF(REV!AW389=0,"",REV!AW389)</f>
        <v>31.03.2026</v>
      </c>
      <c r="AX389" s="159" t="s">
        <v>66</v>
      </c>
    </row>
    <row r="390" spans="1:50" ht="22.5" customHeight="1">
      <c r="A390" s="50" t="s">
        <v>61</v>
      </c>
      <c r="B390" s="41" t="s">
        <v>62</v>
      </c>
      <c r="C390" s="42">
        <v>4013405</v>
      </c>
      <c r="D390" s="44" t="s">
        <v>571</v>
      </c>
      <c r="E390" s="44" t="s">
        <v>574</v>
      </c>
      <c r="F390" s="45"/>
      <c r="G390" s="45"/>
      <c r="H390" s="45"/>
      <c r="I390" s="45"/>
      <c r="J390" s="46" t="str">
        <f>IF(VLOOKUP($C390,REV!$C:$AA,8,0)-'TRADE IN'!$F390=0,"",(VLOOKUP($C390,REV!$C:$AA,8,0)-'TRADE IN'!$F390))</f>
        <v/>
      </c>
      <c r="K390" s="46" t="str">
        <f>IF(VLOOKUP($C390,REV!$C:$AA,9,0)-'TRADE IN'!$F390=0,"",(VLOOKUP($C390,REV!$C:$AA,9,0)-'TRADE IN'!$F390))</f>
        <v/>
      </c>
      <c r="L390" s="46" t="str">
        <f>IF(VLOOKUP($C390,REV!$C:$AA,10,0)-'TRADE IN'!$F399=0,"",(VLOOKUP($C390,REV!$C:$AA,10,0)-'TRADE IN'!$F390))</f>
        <v/>
      </c>
      <c r="M390" s="46" t="str">
        <f>IF(VLOOKUP($C390,REV!$C:$AA,11,0)-'TRADE IN'!$F399=0,"",(VLOOKUP($C390,REV!$C:$AA,11,0)-'TRADE IN'!$F390))</f>
        <v/>
      </c>
      <c r="N390" s="46" t="str">
        <f>IF(VLOOKUP($C390,REV!$C:$AA,12,0)-'TRADE IN'!$F399=0,"",(VLOOKUP($C390,REV!$C:$AA,12,0)-'TRADE IN'!$F390))</f>
        <v/>
      </c>
      <c r="O390" s="46" t="str">
        <f>IF(VLOOKUP($C390,REV!$C:$AA,13,0)-'TRADE IN'!$F399=0,"",(VLOOKUP($C390,REV!$C:$AA,13,0)-'TRADE IN'!$F390))</f>
        <v/>
      </c>
      <c r="P390" s="46" t="str">
        <f>IF(VLOOKUP($C390,REV!$C:$AA,14,0)-'TRADE IN'!$F399=0,"",(VLOOKUP($C390,REV!$C:$AA,14,0)-'TRADE IN'!$F390))</f>
        <v/>
      </c>
      <c r="Q390" s="46" t="str">
        <f>IF(VLOOKUP($C390,REV!$C:$AA,15,0)-'TRADE IN'!$F399=0,"",(VLOOKUP($C390,REV!$C:$AA,15,0)-'TRADE IN'!$F390))</f>
        <v/>
      </c>
      <c r="R390" s="46" t="str">
        <f>IF(VLOOKUP($C390,REV!$C:$AA,16,0)-'TRADE IN'!$F399=0,"",(VLOOKUP($C390,REV!$C:$AA,16,0)-'TRADE IN'!$F390))</f>
        <v/>
      </c>
      <c r="S390" s="46" t="str">
        <f>IF(VLOOKUP($C390,REV!$C:$AA,17,0)-'TRADE IN'!$F399=0,"",(VLOOKUP($C390,REV!$C:$AA,17,0)-'TRADE IN'!$F390))</f>
        <v/>
      </c>
      <c r="T390" s="46" t="str">
        <f>IF(VLOOKUP($C390,REV!$C:$AA,18,0)-'TRADE IN'!$F399=0,"",(VLOOKUP($C390,REV!$C:$AA,18,0)-'TRADE IN'!$F390))</f>
        <v/>
      </c>
      <c r="U390" s="46" t="str">
        <f>IF(VLOOKUP($C390,REV!$C:$AA,19,0)-'TRADE IN'!$F399=0,"",(VLOOKUP($C390,REV!$C:$AA,19,0)-'TRADE IN'!$F390))</f>
        <v/>
      </c>
      <c r="V390" s="46" t="str">
        <f>IF(VLOOKUP($C390,REV!$C:$AA,20,0)-'TRADE IN'!$F399=0,"",(VLOOKUP($C390,REV!$C:$AA,20,0)-'TRADE IN'!$F390))</f>
        <v/>
      </c>
      <c r="W390" s="46" t="str">
        <f>IF(VLOOKUP($C390,REV!$C:$AA,21,0)-'TRADE IN'!$F399=0,"",(VLOOKUP($C390,REV!$C:$AA,21,0)-'TRADE IN'!$F390))</f>
        <v/>
      </c>
      <c r="X390" s="46" t="str">
        <f>IF(VLOOKUP($C390,REV!$C:$AA,22,0)-'TRADE IN'!$F399=0,"",(VLOOKUP($C390,REV!$C:$AA,22,0)-'TRADE IN'!$F390))</f>
        <v/>
      </c>
      <c r="Y390" s="46" t="str">
        <f>IF(VLOOKUP($C390,REV!$C:$AA,23,0)-'TRADE IN'!$F399=0,"",(VLOOKUP($C390,REV!$C:$AA,23,0)-'TRADE IN'!$F390))</f>
        <v/>
      </c>
      <c r="Z390" s="46" t="str">
        <f>IF(VLOOKUP($C390,REV!$C:$AA,24,0)-'TRADE IN'!$F399=0,"",(VLOOKUP($C390,REV!$C:$AA,24,0)-'TRADE IN'!$F390))</f>
        <v/>
      </c>
      <c r="AA390" s="46" t="str">
        <f>IF(VLOOKUP($C390,REV!$C:$AA,25,0)-'TRADE IN'!$F399=0,"",(VLOOKUP($C390,REV!$C:$AA,25,0)-'TRADE IN'!$F390))</f>
        <v/>
      </c>
      <c r="AB390" s="46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tr">
        <f>IF(REV!AW390=0,"",REV!AW390)</f>
        <v>31.03.2026</v>
      </c>
      <c r="AX390" s="159" t="s">
        <v>66</v>
      </c>
    </row>
    <row r="391" spans="1:50" ht="22.5" customHeight="1">
      <c r="A391" s="50" t="s">
        <v>61</v>
      </c>
      <c r="B391" s="41" t="s">
        <v>62</v>
      </c>
      <c r="C391" s="42">
        <v>4013407</v>
      </c>
      <c r="D391" s="44" t="s">
        <v>571</v>
      </c>
      <c r="E391" s="44" t="s">
        <v>575</v>
      </c>
      <c r="F391" s="45"/>
      <c r="G391" s="45"/>
      <c r="H391" s="45"/>
      <c r="I391" s="45"/>
      <c r="J391" s="46" t="str">
        <f>IF(VLOOKUP($C391,REV!$C:$AA,8,0)-'TRADE IN'!$F391=0,"",(VLOOKUP($C391,REV!$C:$AA,8,0)-'TRADE IN'!$F391))</f>
        <v/>
      </c>
      <c r="K391" s="46" t="str">
        <f>IF(VLOOKUP($C391,REV!$C:$AA,9,0)-'TRADE IN'!$F391=0,"",(VLOOKUP($C391,REV!$C:$AA,9,0)-'TRADE IN'!$F391))</f>
        <v/>
      </c>
      <c r="L391" s="46" t="str">
        <f>IF(VLOOKUP($C391,REV!$C:$AA,10,0)-'TRADE IN'!$F400=0,"",(VLOOKUP($C391,REV!$C:$AA,10,0)-'TRADE IN'!$F391))</f>
        <v/>
      </c>
      <c r="M391" s="46" t="str">
        <f>IF(VLOOKUP($C391,REV!$C:$AA,11,0)-'TRADE IN'!$F400=0,"",(VLOOKUP($C391,REV!$C:$AA,11,0)-'TRADE IN'!$F391))</f>
        <v/>
      </c>
      <c r="N391" s="46" t="str">
        <f>IF(VLOOKUP($C391,REV!$C:$AA,12,0)-'TRADE IN'!$F400=0,"",(VLOOKUP($C391,REV!$C:$AA,12,0)-'TRADE IN'!$F391))</f>
        <v/>
      </c>
      <c r="O391" s="46" t="str">
        <f>IF(VLOOKUP($C391,REV!$C:$AA,13,0)-'TRADE IN'!$F400=0,"",(VLOOKUP($C391,REV!$C:$AA,13,0)-'TRADE IN'!$F391))</f>
        <v/>
      </c>
      <c r="P391" s="46" t="str">
        <f>IF(VLOOKUP($C391,REV!$C:$AA,14,0)-'TRADE IN'!$F400=0,"",(VLOOKUP($C391,REV!$C:$AA,14,0)-'TRADE IN'!$F391))</f>
        <v/>
      </c>
      <c r="Q391" s="46" t="str">
        <f>IF(VLOOKUP($C391,REV!$C:$AA,15,0)-'TRADE IN'!$F400=0,"",(VLOOKUP($C391,REV!$C:$AA,15,0)-'TRADE IN'!$F391))</f>
        <v/>
      </c>
      <c r="R391" s="46" t="str">
        <f>IF(VLOOKUP($C391,REV!$C:$AA,16,0)-'TRADE IN'!$F400=0,"",(VLOOKUP($C391,REV!$C:$AA,16,0)-'TRADE IN'!$F391))</f>
        <v/>
      </c>
      <c r="S391" s="46" t="str">
        <f>IF(VLOOKUP($C391,REV!$C:$AA,17,0)-'TRADE IN'!$F400=0,"",(VLOOKUP($C391,REV!$C:$AA,17,0)-'TRADE IN'!$F391))</f>
        <v/>
      </c>
      <c r="T391" s="46" t="str">
        <f>IF(VLOOKUP($C391,REV!$C:$AA,18,0)-'TRADE IN'!$F400=0,"",(VLOOKUP($C391,REV!$C:$AA,18,0)-'TRADE IN'!$F391))</f>
        <v/>
      </c>
      <c r="U391" s="46" t="str">
        <f>IF(VLOOKUP($C391,REV!$C:$AA,19,0)-'TRADE IN'!$F400=0,"",(VLOOKUP($C391,REV!$C:$AA,19,0)-'TRADE IN'!$F391))</f>
        <v/>
      </c>
      <c r="V391" s="46" t="str">
        <f>IF(VLOOKUP($C391,REV!$C:$AA,20,0)-'TRADE IN'!$F400=0,"",(VLOOKUP($C391,REV!$C:$AA,20,0)-'TRADE IN'!$F391))</f>
        <v/>
      </c>
      <c r="W391" s="46" t="str">
        <f>IF(VLOOKUP($C391,REV!$C:$AA,21,0)-'TRADE IN'!$F400=0,"",(VLOOKUP($C391,REV!$C:$AA,21,0)-'TRADE IN'!$F391))</f>
        <v/>
      </c>
      <c r="X391" s="46" t="str">
        <f>IF(VLOOKUP($C391,REV!$C:$AA,22,0)-'TRADE IN'!$F400=0,"",(VLOOKUP($C391,REV!$C:$AA,22,0)-'TRADE IN'!$F391))</f>
        <v/>
      </c>
      <c r="Y391" s="46" t="str">
        <f>IF(VLOOKUP($C391,REV!$C:$AA,23,0)-'TRADE IN'!$F400=0,"",(VLOOKUP($C391,REV!$C:$AA,23,0)-'TRADE IN'!$F391))</f>
        <v/>
      </c>
      <c r="Z391" s="46" t="str">
        <f>IF(VLOOKUP($C391,REV!$C:$AA,24,0)-'TRADE IN'!$F400=0,"",(VLOOKUP($C391,REV!$C:$AA,24,0)-'TRADE IN'!$F391))</f>
        <v/>
      </c>
      <c r="AA391" s="46" t="str">
        <f>IF(VLOOKUP($C391,REV!$C:$AA,25,0)-'TRADE IN'!$F400=0,"",(VLOOKUP($C391,REV!$C:$AA,25,0)-'TRADE IN'!$F391))</f>
        <v/>
      </c>
      <c r="AB391" s="46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tr">
        <f>IF(REV!AW391=0,"",REV!AW391)</f>
        <v>31.03.2026</v>
      </c>
      <c r="AX391" s="159" t="s">
        <v>66</v>
      </c>
    </row>
    <row r="392" spans="1:50" ht="22.5" customHeight="1">
      <c r="A392" s="50" t="s">
        <v>61</v>
      </c>
      <c r="B392" s="41" t="s">
        <v>62</v>
      </c>
      <c r="C392" s="42">
        <v>4014068</v>
      </c>
      <c r="D392" s="44" t="s">
        <v>576</v>
      </c>
      <c r="E392" s="44" t="s">
        <v>577</v>
      </c>
      <c r="F392" s="45"/>
      <c r="G392" s="45"/>
      <c r="H392" s="45"/>
      <c r="I392" s="45"/>
      <c r="J392" s="46">
        <f>IF(VLOOKUP($C392,REV!$C:$AA,8,0)-'TRADE IN'!$F392=0,"",(VLOOKUP($C392,REV!$C:$AA,8,0)-'TRADE IN'!$F392))</f>
        <v>399</v>
      </c>
      <c r="K392" s="46">
        <f>IF(VLOOKUP($C392,REV!$C:$AA,9,0)-'TRADE IN'!$F392=0,"",(VLOOKUP($C392,REV!$C:$AA,9,0)-'TRADE IN'!$F392))</f>
        <v>399</v>
      </c>
      <c r="L392" s="46">
        <f>IF(VLOOKUP($C392,REV!$C:$AA,10,0)-'TRADE IN'!$F401=0,"",(VLOOKUP($C392,REV!$C:$AA,10,0)-'TRADE IN'!$F392))</f>
        <v>399</v>
      </c>
      <c r="M392" s="46">
        <f>IF(VLOOKUP($C392,REV!$C:$AA,11,0)-'TRADE IN'!$F401=0,"",(VLOOKUP($C392,REV!$C:$AA,11,0)-'TRADE IN'!$F392))</f>
        <v>399</v>
      </c>
      <c r="N392" s="46">
        <f>IF(VLOOKUP($C392,REV!$C:$AA,12,0)-'TRADE IN'!$F401=0,"",(VLOOKUP($C392,REV!$C:$AA,12,0)-'TRADE IN'!$F392))</f>
        <v>399</v>
      </c>
      <c r="O392" s="46">
        <f>IF(VLOOKUP($C392,REV!$C:$AA,13,0)-'TRADE IN'!$F401=0,"",(VLOOKUP($C392,REV!$C:$AA,13,0)-'TRADE IN'!$F392))</f>
        <v>299</v>
      </c>
      <c r="P392" s="46">
        <f>IF(VLOOKUP($C392,REV!$C:$AA,14,0)-'TRADE IN'!$F401=0,"",(VLOOKUP($C392,REV!$C:$AA,14,0)-'TRADE IN'!$F392))</f>
        <v>249</v>
      </c>
      <c r="Q392" s="46">
        <f>IF(VLOOKUP($C392,REV!$C:$AA,15,0)-'TRADE IN'!$F401=0,"",(VLOOKUP($C392,REV!$C:$AA,15,0)-'TRADE IN'!$F392))</f>
        <v>249</v>
      </c>
      <c r="R392" s="46">
        <f>IF(VLOOKUP($C392,REV!$C:$AA,16,0)-'TRADE IN'!$F401=0,"",(VLOOKUP($C392,REV!$C:$AA,16,0)-'TRADE IN'!$F392))</f>
        <v>299</v>
      </c>
      <c r="S392" s="46">
        <f>IF(VLOOKUP($C392,REV!$C:$AA,17,0)-'TRADE IN'!$F401=0,"",(VLOOKUP($C392,REV!$C:$AA,17,0)-'TRADE IN'!$F392))</f>
        <v>249</v>
      </c>
      <c r="T392" s="46">
        <f>IF(VLOOKUP($C392,REV!$C:$AA,18,0)-'TRADE IN'!$F401=0,"",(VLOOKUP($C392,REV!$C:$AA,18,0)-'TRADE IN'!$F392))</f>
        <v>249</v>
      </c>
      <c r="U392" s="46">
        <f>IF(VLOOKUP($C392,REV!$C:$AA,19,0)-'TRADE IN'!$F401=0,"",(VLOOKUP($C392,REV!$C:$AA,19,0)-'TRADE IN'!$F392))</f>
        <v>249</v>
      </c>
      <c r="V392" s="46">
        <f>IF(VLOOKUP($C392,REV!$C:$AA,20,0)-'TRADE IN'!$F401=0,"",(VLOOKUP($C392,REV!$C:$AA,20,0)-'TRADE IN'!$F392))</f>
        <v>249</v>
      </c>
      <c r="W392" s="46">
        <f>IF(VLOOKUP($C392,REV!$C:$AA,21,0)-'TRADE IN'!$F401=0,"",(VLOOKUP($C392,REV!$C:$AA,21,0)-'TRADE IN'!$F392))</f>
        <v>249</v>
      </c>
      <c r="X392" s="46">
        <f>IF(VLOOKUP($C392,REV!$C:$AA,22,0)-'TRADE IN'!$F401=0,"",(VLOOKUP($C392,REV!$C:$AA,22,0)-'TRADE IN'!$F392))</f>
        <v>249</v>
      </c>
      <c r="Y392" s="46">
        <f>IF(VLOOKUP($C392,REV!$C:$AA,23,0)-'TRADE IN'!$F401=0,"",(VLOOKUP($C392,REV!$C:$AA,23,0)-'TRADE IN'!$F392))</f>
        <v>249</v>
      </c>
      <c r="Z392" s="46">
        <f>IF(VLOOKUP($C392,REV!$C:$AA,24,0)-'TRADE IN'!$F401=0,"",(VLOOKUP($C392,REV!$C:$AA,24,0)-'TRADE IN'!$F392))</f>
        <v>249</v>
      </c>
      <c r="AA392" s="46">
        <f>IF(VLOOKUP($C392,REV!$C:$AA,25,0)-'TRADE IN'!$F401=0,"",(VLOOKUP($C392,REV!$C:$AA,25,0)-'TRADE IN'!$F392))</f>
        <v>249</v>
      </c>
      <c r="AB392" s="46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tr">
        <f>IF(REV!AW392=0,"",REV!AW392)</f>
        <v>31.03.2026</v>
      </c>
      <c r="AX392" s="159" t="s">
        <v>66</v>
      </c>
    </row>
    <row r="393" spans="1:50" ht="22.5" customHeight="1">
      <c r="A393" s="50" t="s">
        <v>61</v>
      </c>
      <c r="B393" s="41" t="s">
        <v>62</v>
      </c>
      <c r="C393" s="42">
        <v>4014069</v>
      </c>
      <c r="D393" s="44" t="s">
        <v>576</v>
      </c>
      <c r="E393" s="44" t="s">
        <v>578</v>
      </c>
      <c r="F393" s="45"/>
      <c r="G393" s="45"/>
      <c r="H393" s="45"/>
      <c r="I393" s="45"/>
      <c r="J393" s="46">
        <f>IF(VLOOKUP($C393,REV!$C:$AA,8,0)-'TRADE IN'!$F393=0,"",(VLOOKUP($C393,REV!$C:$AA,8,0)-'TRADE IN'!$F393))</f>
        <v>399</v>
      </c>
      <c r="K393" s="46">
        <f>IF(VLOOKUP($C393,REV!$C:$AA,9,0)-'TRADE IN'!$F393=0,"",(VLOOKUP($C393,REV!$C:$AA,9,0)-'TRADE IN'!$F393))</f>
        <v>399</v>
      </c>
      <c r="L393" s="46">
        <f>IF(VLOOKUP($C393,REV!$C:$AA,10,0)-'TRADE IN'!$F402=0,"",(VLOOKUP($C393,REV!$C:$AA,10,0)-'TRADE IN'!$F393))</f>
        <v>399</v>
      </c>
      <c r="M393" s="46">
        <f>IF(VLOOKUP($C393,REV!$C:$AA,11,0)-'TRADE IN'!$F402=0,"",(VLOOKUP($C393,REV!$C:$AA,11,0)-'TRADE IN'!$F393))</f>
        <v>399</v>
      </c>
      <c r="N393" s="46">
        <f>IF(VLOOKUP($C393,REV!$C:$AA,12,0)-'TRADE IN'!$F402=0,"",(VLOOKUP($C393,REV!$C:$AA,12,0)-'TRADE IN'!$F393))</f>
        <v>399</v>
      </c>
      <c r="O393" s="46">
        <f>IF(VLOOKUP($C393,REV!$C:$AA,13,0)-'TRADE IN'!$F402=0,"",(VLOOKUP($C393,REV!$C:$AA,13,0)-'TRADE IN'!$F393))</f>
        <v>299</v>
      </c>
      <c r="P393" s="46">
        <f>IF(VLOOKUP($C393,REV!$C:$AA,14,0)-'TRADE IN'!$F402=0,"",(VLOOKUP($C393,REV!$C:$AA,14,0)-'TRADE IN'!$F393))</f>
        <v>249</v>
      </c>
      <c r="Q393" s="46">
        <f>IF(VLOOKUP($C393,REV!$C:$AA,15,0)-'TRADE IN'!$F402=0,"",(VLOOKUP($C393,REV!$C:$AA,15,0)-'TRADE IN'!$F393))</f>
        <v>249</v>
      </c>
      <c r="R393" s="46">
        <f>IF(VLOOKUP($C393,REV!$C:$AA,16,0)-'TRADE IN'!$F402=0,"",(VLOOKUP($C393,REV!$C:$AA,16,0)-'TRADE IN'!$F393))</f>
        <v>299</v>
      </c>
      <c r="S393" s="46">
        <f>IF(VLOOKUP($C393,REV!$C:$AA,17,0)-'TRADE IN'!$F402=0,"",(VLOOKUP($C393,REV!$C:$AA,17,0)-'TRADE IN'!$F393))</f>
        <v>249</v>
      </c>
      <c r="T393" s="46">
        <f>IF(VLOOKUP($C393,REV!$C:$AA,18,0)-'TRADE IN'!$F402=0,"",(VLOOKUP($C393,REV!$C:$AA,18,0)-'TRADE IN'!$F393))</f>
        <v>249</v>
      </c>
      <c r="U393" s="46">
        <f>IF(VLOOKUP($C393,REV!$C:$AA,19,0)-'TRADE IN'!$F402=0,"",(VLOOKUP($C393,REV!$C:$AA,19,0)-'TRADE IN'!$F393))</f>
        <v>249</v>
      </c>
      <c r="V393" s="46">
        <f>IF(VLOOKUP($C393,REV!$C:$AA,20,0)-'TRADE IN'!$F402=0,"",(VLOOKUP($C393,REV!$C:$AA,20,0)-'TRADE IN'!$F393))</f>
        <v>249</v>
      </c>
      <c r="W393" s="46">
        <f>IF(VLOOKUP($C393,REV!$C:$AA,21,0)-'TRADE IN'!$F402=0,"",(VLOOKUP($C393,REV!$C:$AA,21,0)-'TRADE IN'!$F393))</f>
        <v>249</v>
      </c>
      <c r="X393" s="46">
        <f>IF(VLOOKUP($C393,REV!$C:$AA,22,0)-'TRADE IN'!$F402=0,"",(VLOOKUP($C393,REV!$C:$AA,22,0)-'TRADE IN'!$F393))</f>
        <v>249</v>
      </c>
      <c r="Y393" s="46">
        <f>IF(VLOOKUP($C393,REV!$C:$AA,23,0)-'TRADE IN'!$F402=0,"",(VLOOKUP($C393,REV!$C:$AA,23,0)-'TRADE IN'!$F393))</f>
        <v>249</v>
      </c>
      <c r="Z393" s="46">
        <f>IF(VLOOKUP($C393,REV!$C:$AA,24,0)-'TRADE IN'!$F402=0,"",(VLOOKUP($C393,REV!$C:$AA,24,0)-'TRADE IN'!$F393))</f>
        <v>249</v>
      </c>
      <c r="AA393" s="46">
        <f>IF(VLOOKUP($C393,REV!$C:$AA,25,0)-'TRADE IN'!$F402=0,"",(VLOOKUP($C393,REV!$C:$AA,25,0)-'TRADE IN'!$F393))</f>
        <v>249</v>
      </c>
      <c r="AB393" s="46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tr">
        <f>IF(REV!AW393=0,"",REV!AW393)</f>
        <v>31.03.2026</v>
      </c>
      <c r="AX393" s="159" t="s">
        <v>66</v>
      </c>
    </row>
    <row r="394" spans="1:50" ht="22.5" customHeight="1">
      <c r="A394" s="50" t="s">
        <v>61</v>
      </c>
      <c r="B394" s="41" t="s">
        <v>62</v>
      </c>
      <c r="C394" s="42">
        <v>4014072</v>
      </c>
      <c r="D394" s="44" t="s">
        <v>576</v>
      </c>
      <c r="E394" s="44" t="s">
        <v>579</v>
      </c>
      <c r="F394" s="45"/>
      <c r="G394" s="45"/>
      <c r="H394" s="45"/>
      <c r="I394" s="45"/>
      <c r="J394" s="46">
        <f>IF(VLOOKUP($C394,REV!$C:$AA,8,0)-'TRADE IN'!$F394=0,"",(VLOOKUP($C394,REV!$C:$AA,8,0)-'TRADE IN'!$F394))</f>
        <v>399</v>
      </c>
      <c r="K394" s="46">
        <f>IF(VLOOKUP($C394,REV!$C:$AA,9,0)-'TRADE IN'!$F394=0,"",(VLOOKUP($C394,REV!$C:$AA,9,0)-'TRADE IN'!$F394))</f>
        <v>399</v>
      </c>
      <c r="L394" s="46">
        <f>IF(VLOOKUP($C394,REV!$C:$AA,10,0)-'TRADE IN'!$F403=0,"",(VLOOKUP($C394,REV!$C:$AA,10,0)-'TRADE IN'!$F394))</f>
        <v>399</v>
      </c>
      <c r="M394" s="46">
        <f>IF(VLOOKUP($C394,REV!$C:$AA,11,0)-'TRADE IN'!$F403=0,"",(VLOOKUP($C394,REV!$C:$AA,11,0)-'TRADE IN'!$F394))</f>
        <v>399</v>
      </c>
      <c r="N394" s="46">
        <f>IF(VLOOKUP($C394,REV!$C:$AA,12,0)-'TRADE IN'!$F403=0,"",(VLOOKUP($C394,REV!$C:$AA,12,0)-'TRADE IN'!$F394))</f>
        <v>399</v>
      </c>
      <c r="O394" s="46">
        <f>IF(VLOOKUP($C394,REV!$C:$AA,13,0)-'TRADE IN'!$F403=0,"",(VLOOKUP($C394,REV!$C:$AA,13,0)-'TRADE IN'!$F394))</f>
        <v>299</v>
      </c>
      <c r="P394" s="46">
        <f>IF(VLOOKUP($C394,REV!$C:$AA,14,0)-'TRADE IN'!$F403=0,"",(VLOOKUP($C394,REV!$C:$AA,14,0)-'TRADE IN'!$F394))</f>
        <v>249</v>
      </c>
      <c r="Q394" s="46">
        <f>IF(VLOOKUP($C394,REV!$C:$AA,15,0)-'TRADE IN'!$F403=0,"",(VLOOKUP($C394,REV!$C:$AA,15,0)-'TRADE IN'!$F394))</f>
        <v>249</v>
      </c>
      <c r="R394" s="46">
        <f>IF(VLOOKUP($C394,REV!$C:$AA,16,0)-'TRADE IN'!$F403=0,"",(VLOOKUP($C394,REV!$C:$AA,16,0)-'TRADE IN'!$F394))</f>
        <v>299</v>
      </c>
      <c r="S394" s="46">
        <f>IF(VLOOKUP($C394,REV!$C:$AA,17,0)-'TRADE IN'!$F403=0,"",(VLOOKUP($C394,REV!$C:$AA,17,0)-'TRADE IN'!$F394))</f>
        <v>249</v>
      </c>
      <c r="T394" s="46">
        <f>IF(VLOOKUP($C394,REV!$C:$AA,18,0)-'TRADE IN'!$F403=0,"",(VLOOKUP($C394,REV!$C:$AA,18,0)-'TRADE IN'!$F394))</f>
        <v>249</v>
      </c>
      <c r="U394" s="46">
        <f>IF(VLOOKUP($C394,REV!$C:$AA,19,0)-'TRADE IN'!$F403=0,"",(VLOOKUP($C394,REV!$C:$AA,19,0)-'TRADE IN'!$F394))</f>
        <v>249</v>
      </c>
      <c r="V394" s="46">
        <f>IF(VLOOKUP($C394,REV!$C:$AA,20,0)-'TRADE IN'!$F403=0,"",(VLOOKUP($C394,REV!$C:$AA,20,0)-'TRADE IN'!$F394))</f>
        <v>249</v>
      </c>
      <c r="W394" s="46">
        <f>IF(VLOOKUP($C394,REV!$C:$AA,21,0)-'TRADE IN'!$F403=0,"",(VLOOKUP($C394,REV!$C:$AA,21,0)-'TRADE IN'!$F394))</f>
        <v>249</v>
      </c>
      <c r="X394" s="46">
        <f>IF(VLOOKUP($C394,REV!$C:$AA,22,0)-'TRADE IN'!$F403=0,"",(VLOOKUP($C394,REV!$C:$AA,22,0)-'TRADE IN'!$F394))</f>
        <v>249</v>
      </c>
      <c r="Y394" s="46">
        <f>IF(VLOOKUP($C394,REV!$C:$AA,23,0)-'TRADE IN'!$F403=0,"",(VLOOKUP($C394,REV!$C:$AA,23,0)-'TRADE IN'!$F394))</f>
        <v>249</v>
      </c>
      <c r="Z394" s="46">
        <f>IF(VLOOKUP($C394,REV!$C:$AA,24,0)-'TRADE IN'!$F403=0,"",(VLOOKUP($C394,REV!$C:$AA,24,0)-'TRADE IN'!$F394))</f>
        <v>249</v>
      </c>
      <c r="AA394" s="46">
        <f>IF(VLOOKUP($C394,REV!$C:$AA,25,0)-'TRADE IN'!$F403=0,"",(VLOOKUP($C394,REV!$C:$AA,25,0)-'TRADE IN'!$F394))</f>
        <v>249</v>
      </c>
      <c r="AB394" s="46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tr">
        <f>IF(REV!AW394=0,"",REV!AW394)</f>
        <v>31.03.2026</v>
      </c>
      <c r="AX394" s="159" t="s">
        <v>66</v>
      </c>
    </row>
    <row r="395" spans="1:50" ht="22.5" customHeight="1">
      <c r="A395" s="50" t="s">
        <v>61</v>
      </c>
      <c r="B395" s="41" t="s">
        <v>62</v>
      </c>
      <c r="C395" s="42">
        <v>4014073</v>
      </c>
      <c r="D395" s="44" t="s">
        <v>576</v>
      </c>
      <c r="E395" s="44" t="s">
        <v>580</v>
      </c>
      <c r="F395" s="45"/>
      <c r="G395" s="45"/>
      <c r="H395" s="45"/>
      <c r="I395" s="45"/>
      <c r="J395" s="46">
        <f>IF(VLOOKUP($C395,REV!$C:$AA,8,0)-'TRADE IN'!$F395=0,"",(VLOOKUP($C395,REV!$C:$AA,8,0)-'TRADE IN'!$F395))</f>
        <v>399</v>
      </c>
      <c r="K395" s="46">
        <f>IF(VLOOKUP($C395,REV!$C:$AA,9,0)-'TRADE IN'!$F395=0,"",(VLOOKUP($C395,REV!$C:$AA,9,0)-'TRADE IN'!$F395))</f>
        <v>399</v>
      </c>
      <c r="L395" s="46">
        <f>IF(VLOOKUP($C395,REV!$C:$AA,10,0)-'TRADE IN'!$F404=0,"",(VLOOKUP($C395,REV!$C:$AA,10,0)-'TRADE IN'!$F395))</f>
        <v>399</v>
      </c>
      <c r="M395" s="46">
        <f>IF(VLOOKUP($C395,REV!$C:$AA,11,0)-'TRADE IN'!$F404=0,"",(VLOOKUP($C395,REV!$C:$AA,11,0)-'TRADE IN'!$F395))</f>
        <v>399</v>
      </c>
      <c r="N395" s="46">
        <f>IF(VLOOKUP($C395,REV!$C:$AA,12,0)-'TRADE IN'!$F404=0,"",(VLOOKUP($C395,REV!$C:$AA,12,0)-'TRADE IN'!$F395))</f>
        <v>399</v>
      </c>
      <c r="O395" s="46">
        <f>IF(VLOOKUP($C395,REV!$C:$AA,13,0)-'TRADE IN'!$F404=0,"",(VLOOKUP($C395,REV!$C:$AA,13,0)-'TRADE IN'!$F395))</f>
        <v>299</v>
      </c>
      <c r="P395" s="46">
        <f>IF(VLOOKUP($C395,REV!$C:$AA,14,0)-'TRADE IN'!$F404=0,"",(VLOOKUP($C395,REV!$C:$AA,14,0)-'TRADE IN'!$F395))</f>
        <v>249</v>
      </c>
      <c r="Q395" s="46">
        <f>IF(VLOOKUP($C395,REV!$C:$AA,15,0)-'TRADE IN'!$F404=0,"",(VLOOKUP($C395,REV!$C:$AA,15,0)-'TRADE IN'!$F395))</f>
        <v>249</v>
      </c>
      <c r="R395" s="46">
        <f>IF(VLOOKUP($C395,REV!$C:$AA,16,0)-'TRADE IN'!$F404=0,"",(VLOOKUP($C395,REV!$C:$AA,16,0)-'TRADE IN'!$F395))</f>
        <v>299</v>
      </c>
      <c r="S395" s="46">
        <f>IF(VLOOKUP($C395,REV!$C:$AA,17,0)-'TRADE IN'!$F404=0,"",(VLOOKUP($C395,REV!$C:$AA,17,0)-'TRADE IN'!$F395))</f>
        <v>249</v>
      </c>
      <c r="T395" s="46">
        <f>IF(VLOOKUP($C395,REV!$C:$AA,18,0)-'TRADE IN'!$F404=0,"",(VLOOKUP($C395,REV!$C:$AA,18,0)-'TRADE IN'!$F395))</f>
        <v>249</v>
      </c>
      <c r="U395" s="46">
        <f>IF(VLOOKUP($C395,REV!$C:$AA,19,0)-'TRADE IN'!$F404=0,"",(VLOOKUP($C395,REV!$C:$AA,19,0)-'TRADE IN'!$F395))</f>
        <v>249</v>
      </c>
      <c r="V395" s="46">
        <f>IF(VLOOKUP($C395,REV!$C:$AA,20,0)-'TRADE IN'!$F404=0,"",(VLOOKUP($C395,REV!$C:$AA,20,0)-'TRADE IN'!$F395))</f>
        <v>249</v>
      </c>
      <c r="W395" s="46">
        <f>IF(VLOOKUP($C395,REV!$C:$AA,21,0)-'TRADE IN'!$F404=0,"",(VLOOKUP($C395,REV!$C:$AA,21,0)-'TRADE IN'!$F395))</f>
        <v>249</v>
      </c>
      <c r="X395" s="46">
        <f>IF(VLOOKUP($C395,REV!$C:$AA,22,0)-'TRADE IN'!$F404=0,"",(VLOOKUP($C395,REV!$C:$AA,22,0)-'TRADE IN'!$F395))</f>
        <v>249</v>
      </c>
      <c r="Y395" s="46">
        <f>IF(VLOOKUP($C395,REV!$C:$AA,23,0)-'TRADE IN'!$F404=0,"",(VLOOKUP($C395,REV!$C:$AA,23,0)-'TRADE IN'!$F395))</f>
        <v>249</v>
      </c>
      <c r="Z395" s="46">
        <f>IF(VLOOKUP($C395,REV!$C:$AA,24,0)-'TRADE IN'!$F404=0,"",(VLOOKUP($C395,REV!$C:$AA,24,0)-'TRADE IN'!$F395))</f>
        <v>249</v>
      </c>
      <c r="AA395" s="46">
        <f>IF(VLOOKUP($C395,REV!$C:$AA,25,0)-'TRADE IN'!$F404=0,"",(VLOOKUP($C395,REV!$C:$AA,25,0)-'TRADE IN'!$F395))</f>
        <v>249</v>
      </c>
      <c r="AB395" s="46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tr">
        <f>IF(REV!AW395=0,"",REV!AW395)</f>
        <v>31.03.2026</v>
      </c>
      <c r="AX395" s="159" t="s">
        <v>66</v>
      </c>
    </row>
    <row r="396" spans="1:50" ht="22.5" customHeight="1">
      <c r="A396" s="50" t="s">
        <v>61</v>
      </c>
      <c r="B396" s="41" t="s">
        <v>62</v>
      </c>
      <c r="C396" s="42">
        <v>4014411</v>
      </c>
      <c r="D396" s="44" t="s">
        <v>576</v>
      </c>
      <c r="E396" s="44" t="s">
        <v>581</v>
      </c>
      <c r="F396" s="45"/>
      <c r="G396" s="45"/>
      <c r="H396" s="45"/>
      <c r="I396" s="45"/>
      <c r="J396" s="46">
        <f>IF(VLOOKUP($C396,REV!$C:$AA,8,0)-'TRADE IN'!$F396=0,"",(VLOOKUP($C396,REV!$C:$AA,8,0)-'TRADE IN'!$F396))</f>
        <v>399</v>
      </c>
      <c r="K396" s="46">
        <f>IF(VLOOKUP($C396,REV!$C:$AA,9,0)-'TRADE IN'!$F396=0,"",(VLOOKUP($C396,REV!$C:$AA,9,0)-'TRADE IN'!$F396))</f>
        <v>399</v>
      </c>
      <c r="L396" s="46">
        <f>IF(VLOOKUP($C396,REV!$C:$AA,10,0)-'TRADE IN'!$F405=0,"",(VLOOKUP($C396,REV!$C:$AA,10,0)-'TRADE IN'!$F396))</f>
        <v>399</v>
      </c>
      <c r="M396" s="46">
        <f>IF(VLOOKUP($C396,REV!$C:$AA,11,0)-'TRADE IN'!$F405=0,"",(VLOOKUP($C396,REV!$C:$AA,11,0)-'TRADE IN'!$F396))</f>
        <v>399</v>
      </c>
      <c r="N396" s="46">
        <f>IF(VLOOKUP($C396,REV!$C:$AA,12,0)-'TRADE IN'!$F405=0,"",(VLOOKUP($C396,REV!$C:$AA,12,0)-'TRADE IN'!$F396))</f>
        <v>399</v>
      </c>
      <c r="O396" s="46">
        <f>IF(VLOOKUP($C396,REV!$C:$AA,13,0)-'TRADE IN'!$F405=0,"",(VLOOKUP($C396,REV!$C:$AA,13,0)-'TRADE IN'!$F396))</f>
        <v>299</v>
      </c>
      <c r="P396" s="46">
        <f>IF(VLOOKUP($C396,REV!$C:$AA,14,0)-'TRADE IN'!$F405=0,"",(VLOOKUP($C396,REV!$C:$AA,14,0)-'TRADE IN'!$F396))</f>
        <v>249</v>
      </c>
      <c r="Q396" s="46">
        <f>IF(VLOOKUP($C396,REV!$C:$AA,15,0)-'TRADE IN'!$F405=0,"",(VLOOKUP($C396,REV!$C:$AA,15,0)-'TRADE IN'!$F396))</f>
        <v>249</v>
      </c>
      <c r="R396" s="46">
        <f>IF(VLOOKUP($C396,REV!$C:$AA,16,0)-'TRADE IN'!$F405=0,"",(VLOOKUP($C396,REV!$C:$AA,16,0)-'TRADE IN'!$F396))</f>
        <v>299</v>
      </c>
      <c r="S396" s="46">
        <f>IF(VLOOKUP($C396,REV!$C:$AA,17,0)-'TRADE IN'!$F405=0,"",(VLOOKUP($C396,REV!$C:$AA,17,0)-'TRADE IN'!$F396))</f>
        <v>249</v>
      </c>
      <c r="T396" s="46">
        <f>IF(VLOOKUP($C396,REV!$C:$AA,18,0)-'TRADE IN'!$F405=0,"",(VLOOKUP($C396,REV!$C:$AA,18,0)-'TRADE IN'!$F396))</f>
        <v>249</v>
      </c>
      <c r="U396" s="46">
        <f>IF(VLOOKUP($C396,REV!$C:$AA,19,0)-'TRADE IN'!$F405=0,"",(VLOOKUP($C396,REV!$C:$AA,19,0)-'TRADE IN'!$F396))</f>
        <v>249</v>
      </c>
      <c r="V396" s="46">
        <f>IF(VLOOKUP($C396,REV!$C:$AA,20,0)-'TRADE IN'!$F405=0,"",(VLOOKUP($C396,REV!$C:$AA,20,0)-'TRADE IN'!$F396))</f>
        <v>249</v>
      </c>
      <c r="W396" s="46">
        <f>IF(VLOOKUP($C396,REV!$C:$AA,21,0)-'TRADE IN'!$F405=0,"",(VLOOKUP($C396,REV!$C:$AA,21,0)-'TRADE IN'!$F396))</f>
        <v>249</v>
      </c>
      <c r="X396" s="46">
        <f>IF(VLOOKUP($C396,REV!$C:$AA,22,0)-'TRADE IN'!$F405=0,"",(VLOOKUP($C396,REV!$C:$AA,22,0)-'TRADE IN'!$F396))</f>
        <v>249</v>
      </c>
      <c r="Y396" s="46">
        <f>IF(VLOOKUP($C396,REV!$C:$AA,23,0)-'TRADE IN'!$F405=0,"",(VLOOKUP($C396,REV!$C:$AA,23,0)-'TRADE IN'!$F396))</f>
        <v>249</v>
      </c>
      <c r="Z396" s="46">
        <f>IF(VLOOKUP($C396,REV!$C:$AA,24,0)-'TRADE IN'!$F405=0,"",(VLOOKUP($C396,REV!$C:$AA,24,0)-'TRADE IN'!$F396))</f>
        <v>249</v>
      </c>
      <c r="AA396" s="46">
        <f>IF(VLOOKUP($C396,REV!$C:$AA,25,0)-'TRADE IN'!$F405=0,"",(VLOOKUP($C396,REV!$C:$AA,25,0)-'TRADE IN'!$F396))</f>
        <v>249</v>
      </c>
      <c r="AB396" s="46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tr">
        <f>IF(REV!AW396=0,"",REV!AW396)</f>
        <v>31.03.2026</v>
      </c>
      <c r="AX396" s="159" t="s">
        <v>66</v>
      </c>
    </row>
    <row r="397" spans="1:50" ht="22.5" customHeight="1">
      <c r="A397" s="50" t="s">
        <v>61</v>
      </c>
      <c r="B397" s="41" t="s">
        <v>62</v>
      </c>
      <c r="C397" s="42">
        <v>4014413</v>
      </c>
      <c r="D397" s="44" t="s">
        <v>576</v>
      </c>
      <c r="E397" s="44" t="s">
        <v>582</v>
      </c>
      <c r="F397" s="45"/>
      <c r="G397" s="45"/>
      <c r="H397" s="45"/>
      <c r="I397" s="45"/>
      <c r="J397" s="46">
        <f>IF(VLOOKUP($C397,REV!$C:$AA,8,0)-'TRADE IN'!$F397=0,"",(VLOOKUP($C397,REV!$C:$AA,8,0)-'TRADE IN'!$F397))</f>
        <v>399</v>
      </c>
      <c r="K397" s="46">
        <f>IF(VLOOKUP($C397,REV!$C:$AA,9,0)-'TRADE IN'!$F397=0,"",(VLOOKUP($C397,REV!$C:$AA,9,0)-'TRADE IN'!$F397))</f>
        <v>399</v>
      </c>
      <c r="L397" s="46">
        <f>IF(VLOOKUP($C397,REV!$C:$AA,10,0)-'TRADE IN'!$F406=0,"",(VLOOKUP($C397,REV!$C:$AA,10,0)-'TRADE IN'!$F397))</f>
        <v>399</v>
      </c>
      <c r="M397" s="46">
        <f>IF(VLOOKUP($C397,REV!$C:$AA,11,0)-'TRADE IN'!$F406=0,"",(VLOOKUP($C397,REV!$C:$AA,11,0)-'TRADE IN'!$F397))</f>
        <v>399</v>
      </c>
      <c r="N397" s="46">
        <f>IF(VLOOKUP($C397,REV!$C:$AA,12,0)-'TRADE IN'!$F406=0,"",(VLOOKUP($C397,REV!$C:$AA,12,0)-'TRADE IN'!$F397))</f>
        <v>399</v>
      </c>
      <c r="O397" s="46">
        <f>IF(VLOOKUP($C397,REV!$C:$AA,13,0)-'TRADE IN'!$F406=0,"",(VLOOKUP($C397,REV!$C:$AA,13,0)-'TRADE IN'!$F397))</f>
        <v>299</v>
      </c>
      <c r="P397" s="46">
        <f>IF(VLOOKUP($C397,REV!$C:$AA,14,0)-'TRADE IN'!$F406=0,"",(VLOOKUP($C397,REV!$C:$AA,14,0)-'TRADE IN'!$F397))</f>
        <v>249</v>
      </c>
      <c r="Q397" s="46">
        <f>IF(VLOOKUP($C397,REV!$C:$AA,15,0)-'TRADE IN'!$F406=0,"",(VLOOKUP($C397,REV!$C:$AA,15,0)-'TRADE IN'!$F397))</f>
        <v>249</v>
      </c>
      <c r="R397" s="46">
        <f>IF(VLOOKUP($C397,REV!$C:$AA,16,0)-'TRADE IN'!$F406=0,"",(VLOOKUP($C397,REV!$C:$AA,16,0)-'TRADE IN'!$F397))</f>
        <v>299</v>
      </c>
      <c r="S397" s="46">
        <f>IF(VLOOKUP($C397,REV!$C:$AA,17,0)-'TRADE IN'!$F406=0,"",(VLOOKUP($C397,REV!$C:$AA,17,0)-'TRADE IN'!$F397))</f>
        <v>249</v>
      </c>
      <c r="T397" s="46">
        <f>IF(VLOOKUP($C397,REV!$C:$AA,18,0)-'TRADE IN'!$F406=0,"",(VLOOKUP($C397,REV!$C:$AA,18,0)-'TRADE IN'!$F397))</f>
        <v>249</v>
      </c>
      <c r="U397" s="46">
        <f>IF(VLOOKUP($C397,REV!$C:$AA,19,0)-'TRADE IN'!$F406=0,"",(VLOOKUP($C397,REV!$C:$AA,19,0)-'TRADE IN'!$F397))</f>
        <v>249</v>
      </c>
      <c r="V397" s="46">
        <f>IF(VLOOKUP($C397,REV!$C:$AA,20,0)-'TRADE IN'!$F406=0,"",(VLOOKUP($C397,REV!$C:$AA,20,0)-'TRADE IN'!$F397))</f>
        <v>249</v>
      </c>
      <c r="W397" s="46">
        <f>IF(VLOOKUP($C397,REV!$C:$AA,21,0)-'TRADE IN'!$F406=0,"",(VLOOKUP($C397,REV!$C:$AA,21,0)-'TRADE IN'!$F397))</f>
        <v>249</v>
      </c>
      <c r="X397" s="46">
        <f>IF(VLOOKUP($C397,REV!$C:$AA,22,0)-'TRADE IN'!$F406=0,"",(VLOOKUP($C397,REV!$C:$AA,22,0)-'TRADE IN'!$F397))</f>
        <v>249</v>
      </c>
      <c r="Y397" s="46">
        <f>IF(VLOOKUP($C397,REV!$C:$AA,23,0)-'TRADE IN'!$F406=0,"",(VLOOKUP($C397,REV!$C:$AA,23,0)-'TRADE IN'!$F397))</f>
        <v>249</v>
      </c>
      <c r="Z397" s="46">
        <f>IF(VLOOKUP($C397,REV!$C:$AA,24,0)-'TRADE IN'!$F406=0,"",(VLOOKUP($C397,REV!$C:$AA,24,0)-'TRADE IN'!$F397))</f>
        <v>249</v>
      </c>
      <c r="AA397" s="46">
        <f>IF(VLOOKUP($C397,REV!$C:$AA,25,0)-'TRADE IN'!$F406=0,"",(VLOOKUP($C397,REV!$C:$AA,25,0)-'TRADE IN'!$F397))</f>
        <v>249</v>
      </c>
      <c r="AB397" s="46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tr">
        <f>IF(REV!AW397=0,"",REV!AW397)</f>
        <v>31.03.2026</v>
      </c>
      <c r="AX397" s="159" t="s">
        <v>66</v>
      </c>
    </row>
    <row r="398" spans="1:50" ht="22.5" customHeight="1">
      <c r="A398" s="50" t="s">
        <v>61</v>
      </c>
      <c r="B398" s="41" t="s">
        <v>62</v>
      </c>
      <c r="C398" s="42">
        <v>4014415</v>
      </c>
      <c r="D398" s="44" t="s">
        <v>576</v>
      </c>
      <c r="E398" s="44" t="s">
        <v>583</v>
      </c>
      <c r="F398" s="45"/>
      <c r="G398" s="45"/>
      <c r="H398" s="45"/>
      <c r="I398" s="45"/>
      <c r="J398" s="46">
        <f>IF(VLOOKUP($C398,REV!$C:$AA,8,0)-'TRADE IN'!$F398=0,"",(VLOOKUP($C398,REV!$C:$AA,8,0)-'TRADE IN'!$F398))</f>
        <v>399</v>
      </c>
      <c r="K398" s="46">
        <f>IF(VLOOKUP($C398,REV!$C:$AA,9,0)-'TRADE IN'!$F398=0,"",(VLOOKUP($C398,REV!$C:$AA,9,0)-'TRADE IN'!$F398))</f>
        <v>399</v>
      </c>
      <c r="L398" s="46">
        <f>IF(VLOOKUP($C398,REV!$C:$AA,10,0)-'TRADE IN'!$F407=0,"",(VLOOKUP($C398,REV!$C:$AA,10,0)-'TRADE IN'!$F398))</f>
        <v>399</v>
      </c>
      <c r="M398" s="46">
        <f>IF(VLOOKUP($C398,REV!$C:$AA,11,0)-'TRADE IN'!$F407=0,"",(VLOOKUP($C398,REV!$C:$AA,11,0)-'TRADE IN'!$F398))</f>
        <v>399</v>
      </c>
      <c r="N398" s="46">
        <f>IF(VLOOKUP($C398,REV!$C:$AA,12,0)-'TRADE IN'!$F407=0,"",(VLOOKUP($C398,REV!$C:$AA,12,0)-'TRADE IN'!$F398))</f>
        <v>399</v>
      </c>
      <c r="O398" s="46">
        <f>IF(VLOOKUP($C398,REV!$C:$AA,13,0)-'TRADE IN'!$F407=0,"",(VLOOKUP($C398,REV!$C:$AA,13,0)-'TRADE IN'!$F398))</f>
        <v>299</v>
      </c>
      <c r="P398" s="46">
        <f>IF(VLOOKUP($C398,REV!$C:$AA,14,0)-'TRADE IN'!$F407=0,"",(VLOOKUP($C398,REV!$C:$AA,14,0)-'TRADE IN'!$F398))</f>
        <v>249</v>
      </c>
      <c r="Q398" s="46">
        <f>IF(VLOOKUP($C398,REV!$C:$AA,15,0)-'TRADE IN'!$F407=0,"",(VLOOKUP($C398,REV!$C:$AA,15,0)-'TRADE IN'!$F398))</f>
        <v>249</v>
      </c>
      <c r="R398" s="46">
        <f>IF(VLOOKUP($C398,REV!$C:$AA,16,0)-'TRADE IN'!$F407=0,"",(VLOOKUP($C398,REV!$C:$AA,16,0)-'TRADE IN'!$F398))</f>
        <v>299</v>
      </c>
      <c r="S398" s="46">
        <f>IF(VLOOKUP($C398,REV!$C:$AA,17,0)-'TRADE IN'!$F407=0,"",(VLOOKUP($C398,REV!$C:$AA,17,0)-'TRADE IN'!$F398))</f>
        <v>249</v>
      </c>
      <c r="T398" s="46">
        <f>IF(VLOOKUP($C398,REV!$C:$AA,18,0)-'TRADE IN'!$F407=0,"",(VLOOKUP($C398,REV!$C:$AA,18,0)-'TRADE IN'!$F398))</f>
        <v>249</v>
      </c>
      <c r="U398" s="46">
        <f>IF(VLOOKUP($C398,REV!$C:$AA,19,0)-'TRADE IN'!$F407=0,"",(VLOOKUP($C398,REV!$C:$AA,19,0)-'TRADE IN'!$F398))</f>
        <v>249</v>
      </c>
      <c r="V398" s="46">
        <f>IF(VLOOKUP($C398,REV!$C:$AA,20,0)-'TRADE IN'!$F407=0,"",(VLOOKUP($C398,REV!$C:$AA,20,0)-'TRADE IN'!$F398))</f>
        <v>249</v>
      </c>
      <c r="W398" s="46">
        <f>IF(VLOOKUP($C398,REV!$C:$AA,21,0)-'TRADE IN'!$F407=0,"",(VLOOKUP($C398,REV!$C:$AA,21,0)-'TRADE IN'!$F398))</f>
        <v>249</v>
      </c>
      <c r="X398" s="46">
        <f>IF(VLOOKUP($C398,REV!$C:$AA,22,0)-'TRADE IN'!$F407=0,"",(VLOOKUP($C398,REV!$C:$AA,22,0)-'TRADE IN'!$F398))</f>
        <v>249</v>
      </c>
      <c r="Y398" s="46">
        <f>IF(VLOOKUP($C398,REV!$C:$AA,23,0)-'TRADE IN'!$F407=0,"",(VLOOKUP($C398,REV!$C:$AA,23,0)-'TRADE IN'!$F398))</f>
        <v>249</v>
      </c>
      <c r="Z398" s="46">
        <f>IF(VLOOKUP($C398,REV!$C:$AA,24,0)-'TRADE IN'!$F407=0,"",(VLOOKUP($C398,REV!$C:$AA,24,0)-'TRADE IN'!$F398))</f>
        <v>249</v>
      </c>
      <c r="AA398" s="46">
        <f>IF(VLOOKUP($C398,REV!$C:$AA,25,0)-'TRADE IN'!$F407=0,"",(VLOOKUP($C398,REV!$C:$AA,25,0)-'TRADE IN'!$F398))</f>
        <v>249</v>
      </c>
      <c r="AB398" s="46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tr">
        <f>IF(REV!AW398=0,"",REV!AW398)</f>
        <v>31.03.2026</v>
      </c>
      <c r="AX398" s="159" t="s">
        <v>66</v>
      </c>
    </row>
    <row r="399" spans="1:50" ht="22.5" customHeight="1">
      <c r="A399" s="50" t="s">
        <v>61</v>
      </c>
      <c r="B399" s="41" t="s">
        <v>62</v>
      </c>
      <c r="C399" s="42">
        <v>4014416</v>
      </c>
      <c r="D399" s="44" t="s">
        <v>576</v>
      </c>
      <c r="E399" s="44" t="s">
        <v>584</v>
      </c>
      <c r="F399" s="45"/>
      <c r="G399" s="45"/>
      <c r="H399" s="45"/>
      <c r="I399" s="45"/>
      <c r="J399" s="46">
        <f>IF(VLOOKUP($C399,REV!$C:$AA,8,0)-'TRADE IN'!$F399=0,"",(VLOOKUP($C399,REV!$C:$AA,8,0)-'TRADE IN'!$F399))</f>
        <v>399</v>
      </c>
      <c r="K399" s="46">
        <f>IF(VLOOKUP($C399,REV!$C:$AA,9,0)-'TRADE IN'!$F399=0,"",(VLOOKUP($C399,REV!$C:$AA,9,0)-'TRADE IN'!$F399))</f>
        <v>399</v>
      </c>
      <c r="L399" s="46">
        <f>IF(VLOOKUP($C399,REV!$C:$AA,10,0)-'TRADE IN'!$F408=0,"",(VLOOKUP($C399,REV!$C:$AA,10,0)-'TRADE IN'!$F399))</f>
        <v>399</v>
      </c>
      <c r="M399" s="46">
        <f>IF(VLOOKUP($C399,REV!$C:$AA,11,0)-'TRADE IN'!$F408=0,"",(VLOOKUP($C399,REV!$C:$AA,11,0)-'TRADE IN'!$F399))</f>
        <v>399</v>
      </c>
      <c r="N399" s="46">
        <f>IF(VLOOKUP($C399,REV!$C:$AA,12,0)-'TRADE IN'!$F408=0,"",(VLOOKUP($C399,REV!$C:$AA,12,0)-'TRADE IN'!$F399))</f>
        <v>399</v>
      </c>
      <c r="O399" s="46">
        <f>IF(VLOOKUP($C399,REV!$C:$AA,13,0)-'TRADE IN'!$F408=0,"",(VLOOKUP($C399,REV!$C:$AA,13,0)-'TRADE IN'!$F399))</f>
        <v>299</v>
      </c>
      <c r="P399" s="46">
        <f>IF(VLOOKUP($C399,REV!$C:$AA,14,0)-'TRADE IN'!$F408=0,"",(VLOOKUP($C399,REV!$C:$AA,14,0)-'TRADE IN'!$F399))</f>
        <v>249</v>
      </c>
      <c r="Q399" s="46">
        <f>IF(VLOOKUP($C399,REV!$C:$AA,15,0)-'TRADE IN'!$F408=0,"",(VLOOKUP($C399,REV!$C:$AA,15,0)-'TRADE IN'!$F399))</f>
        <v>249</v>
      </c>
      <c r="R399" s="46">
        <f>IF(VLOOKUP($C399,REV!$C:$AA,16,0)-'TRADE IN'!$F408=0,"",(VLOOKUP($C399,REV!$C:$AA,16,0)-'TRADE IN'!$F399))</f>
        <v>299</v>
      </c>
      <c r="S399" s="46">
        <f>IF(VLOOKUP($C399,REV!$C:$AA,17,0)-'TRADE IN'!$F408=0,"",(VLOOKUP($C399,REV!$C:$AA,17,0)-'TRADE IN'!$F399))</f>
        <v>249</v>
      </c>
      <c r="T399" s="46">
        <f>IF(VLOOKUP($C399,REV!$C:$AA,18,0)-'TRADE IN'!$F408=0,"",(VLOOKUP($C399,REV!$C:$AA,18,0)-'TRADE IN'!$F399))</f>
        <v>249</v>
      </c>
      <c r="U399" s="46">
        <f>IF(VLOOKUP($C399,REV!$C:$AA,19,0)-'TRADE IN'!$F408=0,"",(VLOOKUP($C399,REV!$C:$AA,19,0)-'TRADE IN'!$F399))</f>
        <v>249</v>
      </c>
      <c r="V399" s="46">
        <f>IF(VLOOKUP($C399,REV!$C:$AA,20,0)-'TRADE IN'!$F408=0,"",(VLOOKUP($C399,REV!$C:$AA,20,0)-'TRADE IN'!$F399))</f>
        <v>249</v>
      </c>
      <c r="W399" s="46">
        <f>IF(VLOOKUP($C399,REV!$C:$AA,21,0)-'TRADE IN'!$F408=0,"",(VLOOKUP($C399,REV!$C:$AA,21,0)-'TRADE IN'!$F399))</f>
        <v>249</v>
      </c>
      <c r="X399" s="46">
        <f>IF(VLOOKUP($C399,REV!$C:$AA,22,0)-'TRADE IN'!$F408=0,"",(VLOOKUP($C399,REV!$C:$AA,22,0)-'TRADE IN'!$F399))</f>
        <v>249</v>
      </c>
      <c r="Y399" s="46">
        <f>IF(VLOOKUP($C399,REV!$C:$AA,23,0)-'TRADE IN'!$F408=0,"",(VLOOKUP($C399,REV!$C:$AA,23,0)-'TRADE IN'!$F399))</f>
        <v>249</v>
      </c>
      <c r="Z399" s="46">
        <f>IF(VLOOKUP($C399,REV!$C:$AA,24,0)-'TRADE IN'!$F408=0,"",(VLOOKUP($C399,REV!$C:$AA,24,0)-'TRADE IN'!$F399))</f>
        <v>249</v>
      </c>
      <c r="AA399" s="46">
        <f>IF(VLOOKUP($C399,REV!$C:$AA,25,0)-'TRADE IN'!$F408=0,"",(VLOOKUP($C399,REV!$C:$AA,25,0)-'TRADE IN'!$F399))</f>
        <v>249</v>
      </c>
      <c r="AB399" s="46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tr">
        <f>IF(REV!AW399=0,"",REV!AW399)</f>
        <v>31.03.2026</v>
      </c>
      <c r="AX399" s="159" t="s">
        <v>66</v>
      </c>
    </row>
    <row r="400" spans="1:50" ht="22.5" customHeight="1">
      <c r="A400" s="50" t="s">
        <v>61</v>
      </c>
      <c r="B400" s="41" t="s">
        <v>62</v>
      </c>
      <c r="C400" s="42">
        <v>4014420</v>
      </c>
      <c r="D400" s="44" t="s">
        <v>576</v>
      </c>
      <c r="E400" s="44" t="s">
        <v>585</v>
      </c>
      <c r="F400" s="45"/>
      <c r="G400" s="45"/>
      <c r="H400" s="45"/>
      <c r="I400" s="45"/>
      <c r="J400" s="46">
        <f>IF(VLOOKUP($C400,REV!$C:$AA,8,0)-'TRADE IN'!$F400=0,"",(VLOOKUP($C400,REV!$C:$AA,8,0)-'TRADE IN'!$F400))</f>
        <v>399</v>
      </c>
      <c r="K400" s="46">
        <f>IF(VLOOKUP($C400,REV!$C:$AA,9,0)-'TRADE IN'!$F400=0,"",(VLOOKUP($C400,REV!$C:$AA,9,0)-'TRADE IN'!$F400))</f>
        <v>399</v>
      </c>
      <c r="L400" s="46">
        <f>IF(VLOOKUP($C400,REV!$C:$AA,10,0)-'TRADE IN'!$F409=0,"",(VLOOKUP($C400,REV!$C:$AA,10,0)-'TRADE IN'!$F400))</f>
        <v>399</v>
      </c>
      <c r="M400" s="46">
        <f>IF(VLOOKUP($C400,REV!$C:$AA,11,0)-'TRADE IN'!$F409=0,"",(VLOOKUP($C400,REV!$C:$AA,11,0)-'TRADE IN'!$F400))</f>
        <v>399</v>
      </c>
      <c r="N400" s="46">
        <f>IF(VLOOKUP($C400,REV!$C:$AA,12,0)-'TRADE IN'!$F409=0,"",(VLOOKUP($C400,REV!$C:$AA,12,0)-'TRADE IN'!$F400))</f>
        <v>399</v>
      </c>
      <c r="O400" s="46">
        <f>IF(VLOOKUP($C400,REV!$C:$AA,13,0)-'TRADE IN'!$F409=0,"",(VLOOKUP($C400,REV!$C:$AA,13,0)-'TRADE IN'!$F400))</f>
        <v>299</v>
      </c>
      <c r="P400" s="46">
        <f>IF(VLOOKUP($C400,REV!$C:$AA,14,0)-'TRADE IN'!$F409=0,"",(VLOOKUP($C400,REV!$C:$AA,14,0)-'TRADE IN'!$F400))</f>
        <v>249</v>
      </c>
      <c r="Q400" s="46">
        <f>IF(VLOOKUP($C400,REV!$C:$AA,15,0)-'TRADE IN'!$F409=0,"",(VLOOKUP($C400,REV!$C:$AA,15,0)-'TRADE IN'!$F400))</f>
        <v>249</v>
      </c>
      <c r="R400" s="46">
        <f>IF(VLOOKUP($C400,REV!$C:$AA,16,0)-'TRADE IN'!$F409=0,"",(VLOOKUP($C400,REV!$C:$AA,16,0)-'TRADE IN'!$F400))</f>
        <v>299</v>
      </c>
      <c r="S400" s="46">
        <f>IF(VLOOKUP($C400,REV!$C:$AA,17,0)-'TRADE IN'!$F409=0,"",(VLOOKUP($C400,REV!$C:$AA,17,0)-'TRADE IN'!$F400))</f>
        <v>249</v>
      </c>
      <c r="T400" s="46">
        <f>IF(VLOOKUP($C400,REV!$C:$AA,18,0)-'TRADE IN'!$F409=0,"",(VLOOKUP($C400,REV!$C:$AA,18,0)-'TRADE IN'!$F400))</f>
        <v>249</v>
      </c>
      <c r="U400" s="46">
        <f>IF(VLOOKUP($C400,REV!$C:$AA,19,0)-'TRADE IN'!$F409=0,"",(VLOOKUP($C400,REV!$C:$AA,19,0)-'TRADE IN'!$F400))</f>
        <v>249</v>
      </c>
      <c r="V400" s="46">
        <f>IF(VLOOKUP($C400,REV!$C:$AA,20,0)-'TRADE IN'!$F409=0,"",(VLOOKUP($C400,REV!$C:$AA,20,0)-'TRADE IN'!$F400))</f>
        <v>249</v>
      </c>
      <c r="W400" s="46">
        <f>IF(VLOOKUP($C400,REV!$C:$AA,21,0)-'TRADE IN'!$F409=0,"",(VLOOKUP($C400,REV!$C:$AA,21,0)-'TRADE IN'!$F400))</f>
        <v>249</v>
      </c>
      <c r="X400" s="46">
        <f>IF(VLOOKUP($C400,REV!$C:$AA,22,0)-'TRADE IN'!$F409=0,"",(VLOOKUP($C400,REV!$C:$AA,22,0)-'TRADE IN'!$F400))</f>
        <v>249</v>
      </c>
      <c r="Y400" s="46">
        <f>IF(VLOOKUP($C400,REV!$C:$AA,23,0)-'TRADE IN'!$F409=0,"",(VLOOKUP($C400,REV!$C:$AA,23,0)-'TRADE IN'!$F400))</f>
        <v>249</v>
      </c>
      <c r="Z400" s="46">
        <f>IF(VLOOKUP($C400,REV!$C:$AA,24,0)-'TRADE IN'!$F409=0,"",(VLOOKUP($C400,REV!$C:$AA,24,0)-'TRADE IN'!$F400))</f>
        <v>249</v>
      </c>
      <c r="AA400" s="46">
        <f>IF(VLOOKUP($C400,REV!$C:$AA,25,0)-'TRADE IN'!$F409=0,"",(VLOOKUP($C400,REV!$C:$AA,25,0)-'TRADE IN'!$F400))</f>
        <v>249</v>
      </c>
      <c r="AB400" s="46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tr">
        <f>IF(REV!AW400=0,"",REV!AW400)</f>
        <v>31.03.2026</v>
      </c>
      <c r="AX400" s="159" t="s">
        <v>66</v>
      </c>
    </row>
    <row r="401" spans="1:50" ht="22.5" customHeight="1">
      <c r="A401" s="50" t="s">
        <v>61</v>
      </c>
      <c r="B401" s="41" t="s">
        <v>62</v>
      </c>
      <c r="C401" s="42">
        <v>4014421</v>
      </c>
      <c r="D401" s="44" t="s">
        <v>576</v>
      </c>
      <c r="E401" s="44" t="s">
        <v>586</v>
      </c>
      <c r="F401" s="45"/>
      <c r="G401" s="45"/>
      <c r="H401" s="45"/>
      <c r="I401" s="45"/>
      <c r="J401" s="46">
        <f>IF(VLOOKUP($C401,REV!$C:$AA,8,0)-'TRADE IN'!$F401=0,"",(VLOOKUP($C401,REV!$C:$AA,8,0)-'TRADE IN'!$F401))</f>
        <v>399</v>
      </c>
      <c r="K401" s="46">
        <f>IF(VLOOKUP($C401,REV!$C:$AA,9,0)-'TRADE IN'!$F401=0,"",(VLOOKUP($C401,REV!$C:$AA,9,0)-'TRADE IN'!$F401))</f>
        <v>399</v>
      </c>
      <c r="L401" s="46">
        <f>IF(VLOOKUP($C401,REV!$C:$AA,10,0)-'TRADE IN'!$F410=0,"",(VLOOKUP($C401,REV!$C:$AA,10,0)-'TRADE IN'!$F401))</f>
        <v>399</v>
      </c>
      <c r="M401" s="46">
        <f>IF(VLOOKUP($C401,REV!$C:$AA,11,0)-'TRADE IN'!$F410=0,"",(VLOOKUP($C401,REV!$C:$AA,11,0)-'TRADE IN'!$F401))</f>
        <v>399</v>
      </c>
      <c r="N401" s="46">
        <f>IF(VLOOKUP($C401,REV!$C:$AA,12,0)-'TRADE IN'!$F410=0,"",(VLOOKUP($C401,REV!$C:$AA,12,0)-'TRADE IN'!$F401))</f>
        <v>399</v>
      </c>
      <c r="O401" s="46">
        <f>IF(VLOOKUP($C401,REV!$C:$AA,13,0)-'TRADE IN'!$F410=0,"",(VLOOKUP($C401,REV!$C:$AA,13,0)-'TRADE IN'!$F401))</f>
        <v>299</v>
      </c>
      <c r="P401" s="46">
        <f>IF(VLOOKUP($C401,REV!$C:$AA,14,0)-'TRADE IN'!$F410=0,"",(VLOOKUP($C401,REV!$C:$AA,14,0)-'TRADE IN'!$F401))</f>
        <v>249</v>
      </c>
      <c r="Q401" s="46">
        <f>IF(VLOOKUP($C401,REV!$C:$AA,15,0)-'TRADE IN'!$F410=0,"",(VLOOKUP($C401,REV!$C:$AA,15,0)-'TRADE IN'!$F401))</f>
        <v>249</v>
      </c>
      <c r="R401" s="46">
        <f>IF(VLOOKUP($C401,REV!$C:$AA,16,0)-'TRADE IN'!$F410=0,"",(VLOOKUP($C401,REV!$C:$AA,16,0)-'TRADE IN'!$F401))</f>
        <v>299</v>
      </c>
      <c r="S401" s="46">
        <f>IF(VLOOKUP($C401,REV!$C:$AA,17,0)-'TRADE IN'!$F410=0,"",(VLOOKUP($C401,REV!$C:$AA,17,0)-'TRADE IN'!$F401))</f>
        <v>249</v>
      </c>
      <c r="T401" s="46">
        <f>IF(VLOOKUP($C401,REV!$C:$AA,18,0)-'TRADE IN'!$F410=0,"",(VLOOKUP($C401,REV!$C:$AA,18,0)-'TRADE IN'!$F401))</f>
        <v>249</v>
      </c>
      <c r="U401" s="46">
        <f>IF(VLOOKUP($C401,REV!$C:$AA,19,0)-'TRADE IN'!$F410=0,"",(VLOOKUP($C401,REV!$C:$AA,19,0)-'TRADE IN'!$F401))</f>
        <v>249</v>
      </c>
      <c r="V401" s="46">
        <f>IF(VLOOKUP($C401,REV!$C:$AA,20,0)-'TRADE IN'!$F410=0,"",(VLOOKUP($C401,REV!$C:$AA,20,0)-'TRADE IN'!$F401))</f>
        <v>249</v>
      </c>
      <c r="W401" s="46">
        <f>IF(VLOOKUP($C401,REV!$C:$AA,21,0)-'TRADE IN'!$F410=0,"",(VLOOKUP($C401,REV!$C:$AA,21,0)-'TRADE IN'!$F401))</f>
        <v>249</v>
      </c>
      <c r="X401" s="46">
        <f>IF(VLOOKUP($C401,REV!$C:$AA,22,0)-'TRADE IN'!$F410=0,"",(VLOOKUP($C401,REV!$C:$AA,22,0)-'TRADE IN'!$F401))</f>
        <v>249</v>
      </c>
      <c r="Y401" s="46">
        <f>IF(VLOOKUP($C401,REV!$C:$AA,23,0)-'TRADE IN'!$F410=0,"",(VLOOKUP($C401,REV!$C:$AA,23,0)-'TRADE IN'!$F401))</f>
        <v>249</v>
      </c>
      <c r="Z401" s="46">
        <f>IF(VLOOKUP($C401,REV!$C:$AA,24,0)-'TRADE IN'!$F410=0,"",(VLOOKUP($C401,REV!$C:$AA,24,0)-'TRADE IN'!$F401))</f>
        <v>249</v>
      </c>
      <c r="AA401" s="46">
        <f>IF(VLOOKUP($C401,REV!$C:$AA,25,0)-'TRADE IN'!$F410=0,"",(VLOOKUP($C401,REV!$C:$AA,25,0)-'TRADE IN'!$F401))</f>
        <v>249</v>
      </c>
      <c r="AB401" s="46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tr">
        <f>IF(REV!AW401=0,"",REV!AW401)</f>
        <v>31.03.2026</v>
      </c>
      <c r="AX401" s="159" t="s">
        <v>66</v>
      </c>
    </row>
    <row r="402" spans="1:50" ht="22.5" customHeight="1">
      <c r="A402" s="50" t="s">
        <v>61</v>
      </c>
      <c r="B402" s="41" t="s">
        <v>62</v>
      </c>
      <c r="C402" s="42">
        <v>4014846</v>
      </c>
      <c r="D402" s="44" t="s">
        <v>587</v>
      </c>
      <c r="E402" s="44" t="s">
        <v>588</v>
      </c>
      <c r="F402" s="45"/>
      <c r="G402" s="45"/>
      <c r="H402" s="45"/>
      <c r="I402" s="45"/>
      <c r="J402" s="46">
        <f>IF(VLOOKUP($C402,REV!$C:$AA,8,0)-'TRADE IN'!$F402=0,"",(VLOOKUP($C402,REV!$C:$AA,8,0)-'TRADE IN'!$F402))</f>
        <v>499</v>
      </c>
      <c r="K402" s="46">
        <f>IF(VLOOKUP($C402,REV!$C:$AA,9,0)-'TRADE IN'!$F402=0,"",(VLOOKUP($C402,REV!$C:$AA,9,0)-'TRADE IN'!$F402))</f>
        <v>499</v>
      </c>
      <c r="L402" s="46">
        <f>IF(VLOOKUP($C402,REV!$C:$AA,10,0)-'TRADE IN'!$F411=0,"",(VLOOKUP($C402,REV!$C:$AA,10,0)-'TRADE IN'!$F402))</f>
        <v>499</v>
      </c>
      <c r="M402" s="46">
        <f>IF(VLOOKUP($C402,REV!$C:$AA,11,0)-'TRADE IN'!$F411=0,"",(VLOOKUP($C402,REV!$C:$AA,11,0)-'TRADE IN'!$F402))</f>
        <v>499</v>
      </c>
      <c r="N402" s="46">
        <f>IF(VLOOKUP($C402,REV!$C:$AA,12,0)-'TRADE IN'!$F411=0,"",(VLOOKUP($C402,REV!$C:$AA,12,0)-'TRADE IN'!$F402))</f>
        <v>499</v>
      </c>
      <c r="O402" s="46">
        <f>IF(VLOOKUP($C402,REV!$C:$AA,13,0)-'TRADE IN'!$F411=0,"",(VLOOKUP($C402,REV!$C:$AA,13,0)-'TRADE IN'!$F402))</f>
        <v>449</v>
      </c>
      <c r="P402" s="46">
        <f>IF(VLOOKUP($C402,REV!$C:$AA,14,0)-'TRADE IN'!$F411=0,"",(VLOOKUP($C402,REV!$C:$AA,14,0)-'TRADE IN'!$F402))</f>
        <v>449</v>
      </c>
      <c r="Q402" s="46">
        <f>IF(VLOOKUP($C402,REV!$C:$AA,15,0)-'TRADE IN'!$F411=0,"",(VLOOKUP($C402,REV!$C:$AA,15,0)-'TRADE IN'!$F402))</f>
        <v>399</v>
      </c>
      <c r="R402" s="46">
        <f>IF(VLOOKUP($C402,REV!$C:$AA,16,0)-'TRADE IN'!$F411=0,"",(VLOOKUP($C402,REV!$C:$AA,16,0)-'TRADE IN'!$F402))</f>
        <v>449</v>
      </c>
      <c r="S402" s="46">
        <f>IF(VLOOKUP($C402,REV!$C:$AA,17,0)-'TRADE IN'!$F411=0,"",(VLOOKUP($C402,REV!$C:$AA,17,0)-'TRADE IN'!$F402))</f>
        <v>449</v>
      </c>
      <c r="T402" s="46">
        <f>IF(VLOOKUP($C402,REV!$C:$AA,18,0)-'TRADE IN'!$F411=0,"",(VLOOKUP($C402,REV!$C:$AA,18,0)-'TRADE IN'!$F402))</f>
        <v>399</v>
      </c>
      <c r="U402" s="46">
        <f>IF(VLOOKUP($C402,REV!$C:$AA,19,0)-'TRADE IN'!$F411=0,"",(VLOOKUP($C402,REV!$C:$AA,19,0)-'TRADE IN'!$F402))</f>
        <v>399</v>
      </c>
      <c r="V402" s="46">
        <f>IF(VLOOKUP($C402,REV!$C:$AA,20,0)-'TRADE IN'!$F411=0,"",(VLOOKUP($C402,REV!$C:$AA,20,0)-'TRADE IN'!$F402))</f>
        <v>399</v>
      </c>
      <c r="W402" s="46">
        <f>IF(VLOOKUP($C402,REV!$C:$AA,21,0)-'TRADE IN'!$F411=0,"",(VLOOKUP($C402,REV!$C:$AA,21,0)-'TRADE IN'!$F402))</f>
        <v>399</v>
      </c>
      <c r="X402" s="46">
        <f>IF(VLOOKUP($C402,REV!$C:$AA,22,0)-'TRADE IN'!$F411=0,"",(VLOOKUP($C402,REV!$C:$AA,22,0)-'TRADE IN'!$F402))</f>
        <v>399</v>
      </c>
      <c r="Y402" s="46">
        <f>IF(VLOOKUP($C402,REV!$C:$AA,23,0)-'TRADE IN'!$F411=0,"",(VLOOKUP($C402,REV!$C:$AA,23,0)-'TRADE IN'!$F402))</f>
        <v>399</v>
      </c>
      <c r="Z402" s="46">
        <f>IF(VLOOKUP($C402,REV!$C:$AA,24,0)-'TRADE IN'!$F411=0,"",(VLOOKUP($C402,REV!$C:$AA,24,0)-'TRADE IN'!$F402))</f>
        <v>399</v>
      </c>
      <c r="AA402" s="46">
        <f>IF(VLOOKUP($C402,REV!$C:$AA,25,0)-'TRADE IN'!$F411=0,"",(VLOOKUP($C402,REV!$C:$AA,25,0)-'TRADE IN'!$F402))</f>
        <v>399</v>
      </c>
      <c r="AB402" s="46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tr">
        <f>IF(REV!AW402=0,"",REV!AW402)</f>
        <v>31.03.2026</v>
      </c>
      <c r="AX402" s="159" t="s">
        <v>66</v>
      </c>
    </row>
    <row r="403" spans="1:50" ht="22.5" customHeight="1">
      <c r="A403" s="50" t="s">
        <v>61</v>
      </c>
      <c r="B403" s="41" t="s">
        <v>62</v>
      </c>
      <c r="C403" s="42">
        <v>4014848</v>
      </c>
      <c r="D403" s="44" t="s">
        <v>587</v>
      </c>
      <c r="E403" s="44" t="s">
        <v>589</v>
      </c>
      <c r="F403" s="45"/>
      <c r="G403" s="45"/>
      <c r="H403" s="45"/>
      <c r="I403" s="45"/>
      <c r="J403" s="46">
        <f>IF(VLOOKUP($C403,REV!$C:$AA,8,0)-'TRADE IN'!$F403=0,"",(VLOOKUP($C403,REV!$C:$AA,8,0)-'TRADE IN'!$F403))</f>
        <v>499</v>
      </c>
      <c r="K403" s="46">
        <f>IF(VLOOKUP($C403,REV!$C:$AA,9,0)-'TRADE IN'!$F403=0,"",(VLOOKUP($C403,REV!$C:$AA,9,0)-'TRADE IN'!$F403))</f>
        <v>499</v>
      </c>
      <c r="L403" s="46">
        <f>IF(VLOOKUP($C403,REV!$C:$AA,10,0)-'TRADE IN'!$F412=0,"",(VLOOKUP($C403,REV!$C:$AA,10,0)-'TRADE IN'!$F403))</f>
        <v>499</v>
      </c>
      <c r="M403" s="46">
        <f>IF(VLOOKUP($C403,REV!$C:$AA,11,0)-'TRADE IN'!$F412=0,"",(VLOOKUP($C403,REV!$C:$AA,11,0)-'TRADE IN'!$F403))</f>
        <v>499</v>
      </c>
      <c r="N403" s="46">
        <f>IF(VLOOKUP($C403,REV!$C:$AA,12,0)-'TRADE IN'!$F412=0,"",(VLOOKUP($C403,REV!$C:$AA,12,0)-'TRADE IN'!$F403))</f>
        <v>499</v>
      </c>
      <c r="O403" s="46">
        <f>IF(VLOOKUP($C403,REV!$C:$AA,13,0)-'TRADE IN'!$F412=0,"",(VLOOKUP($C403,REV!$C:$AA,13,0)-'TRADE IN'!$F403))</f>
        <v>449</v>
      </c>
      <c r="P403" s="46">
        <f>IF(VLOOKUP($C403,REV!$C:$AA,14,0)-'TRADE IN'!$F412=0,"",(VLOOKUP($C403,REV!$C:$AA,14,0)-'TRADE IN'!$F403))</f>
        <v>449</v>
      </c>
      <c r="Q403" s="46">
        <f>IF(VLOOKUP($C403,REV!$C:$AA,15,0)-'TRADE IN'!$F412=0,"",(VLOOKUP($C403,REV!$C:$AA,15,0)-'TRADE IN'!$F403))</f>
        <v>399</v>
      </c>
      <c r="R403" s="46">
        <f>IF(VLOOKUP($C403,REV!$C:$AA,16,0)-'TRADE IN'!$F412=0,"",(VLOOKUP($C403,REV!$C:$AA,16,0)-'TRADE IN'!$F403))</f>
        <v>449</v>
      </c>
      <c r="S403" s="46">
        <f>IF(VLOOKUP($C403,REV!$C:$AA,17,0)-'TRADE IN'!$F412=0,"",(VLOOKUP($C403,REV!$C:$AA,17,0)-'TRADE IN'!$F403))</f>
        <v>449</v>
      </c>
      <c r="T403" s="46">
        <f>IF(VLOOKUP($C403,REV!$C:$AA,18,0)-'TRADE IN'!$F412=0,"",(VLOOKUP($C403,REV!$C:$AA,18,0)-'TRADE IN'!$F403))</f>
        <v>399</v>
      </c>
      <c r="U403" s="46">
        <f>IF(VLOOKUP($C403,REV!$C:$AA,19,0)-'TRADE IN'!$F412=0,"",(VLOOKUP($C403,REV!$C:$AA,19,0)-'TRADE IN'!$F403))</f>
        <v>399</v>
      </c>
      <c r="V403" s="46">
        <f>IF(VLOOKUP($C403,REV!$C:$AA,20,0)-'TRADE IN'!$F412=0,"",(VLOOKUP($C403,REV!$C:$AA,20,0)-'TRADE IN'!$F403))</f>
        <v>399</v>
      </c>
      <c r="W403" s="46">
        <f>IF(VLOOKUP($C403,REV!$C:$AA,21,0)-'TRADE IN'!$F412=0,"",(VLOOKUP($C403,REV!$C:$AA,21,0)-'TRADE IN'!$F403))</f>
        <v>399</v>
      </c>
      <c r="X403" s="46">
        <f>IF(VLOOKUP($C403,REV!$C:$AA,22,0)-'TRADE IN'!$F412=0,"",(VLOOKUP($C403,REV!$C:$AA,22,0)-'TRADE IN'!$F403))</f>
        <v>399</v>
      </c>
      <c r="Y403" s="46">
        <f>IF(VLOOKUP($C403,REV!$C:$AA,23,0)-'TRADE IN'!$F412=0,"",(VLOOKUP($C403,REV!$C:$AA,23,0)-'TRADE IN'!$F403))</f>
        <v>399</v>
      </c>
      <c r="Z403" s="46">
        <f>IF(VLOOKUP($C403,REV!$C:$AA,24,0)-'TRADE IN'!$F412=0,"",(VLOOKUP($C403,REV!$C:$AA,24,0)-'TRADE IN'!$F403))</f>
        <v>399</v>
      </c>
      <c r="AA403" s="46">
        <f>IF(VLOOKUP($C403,REV!$C:$AA,25,0)-'TRADE IN'!$F412=0,"",(VLOOKUP($C403,REV!$C:$AA,25,0)-'TRADE IN'!$F403))</f>
        <v>399</v>
      </c>
      <c r="AB403" s="46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tr">
        <f>IF(REV!AW403=0,"",REV!AW403)</f>
        <v>31.03.2026</v>
      </c>
      <c r="AX403" s="159" t="s">
        <v>66</v>
      </c>
    </row>
    <row r="404" spans="1:50" ht="22.5" customHeight="1">
      <c r="A404" s="50" t="s">
        <v>61</v>
      </c>
      <c r="B404" s="41" t="s">
        <v>62</v>
      </c>
      <c r="C404" s="42">
        <v>4014678</v>
      </c>
      <c r="D404" s="44" t="s">
        <v>587</v>
      </c>
      <c r="E404" s="44" t="s">
        <v>590</v>
      </c>
      <c r="F404" s="45"/>
      <c r="G404" s="45"/>
      <c r="H404" s="45"/>
      <c r="I404" s="45"/>
      <c r="J404" s="46">
        <f>IF(VLOOKUP($C404,REV!$C:$AA,8,0)-'TRADE IN'!$F404=0,"",(VLOOKUP($C404,REV!$C:$AA,8,0)-'TRADE IN'!$F404))</f>
        <v>499</v>
      </c>
      <c r="K404" s="46">
        <f>IF(VLOOKUP($C404,REV!$C:$AA,9,0)-'TRADE IN'!$F404=0,"",(VLOOKUP($C404,REV!$C:$AA,9,0)-'TRADE IN'!$F404))</f>
        <v>499</v>
      </c>
      <c r="L404" s="46">
        <f>IF(VLOOKUP($C404,REV!$C:$AA,10,0)-'TRADE IN'!$F413=0,"",(VLOOKUP($C404,REV!$C:$AA,10,0)-'TRADE IN'!$F404))</f>
        <v>499</v>
      </c>
      <c r="M404" s="46">
        <f>IF(VLOOKUP($C404,REV!$C:$AA,11,0)-'TRADE IN'!$F413=0,"",(VLOOKUP($C404,REV!$C:$AA,11,0)-'TRADE IN'!$F404))</f>
        <v>499</v>
      </c>
      <c r="N404" s="46">
        <f>IF(VLOOKUP($C404,REV!$C:$AA,12,0)-'TRADE IN'!$F413=0,"",(VLOOKUP($C404,REV!$C:$AA,12,0)-'TRADE IN'!$F404))</f>
        <v>499</v>
      </c>
      <c r="O404" s="46">
        <f>IF(VLOOKUP($C404,REV!$C:$AA,13,0)-'TRADE IN'!$F413=0,"",(VLOOKUP($C404,REV!$C:$AA,13,0)-'TRADE IN'!$F404))</f>
        <v>449</v>
      </c>
      <c r="P404" s="46">
        <f>IF(VLOOKUP($C404,REV!$C:$AA,14,0)-'TRADE IN'!$F413=0,"",(VLOOKUP($C404,REV!$C:$AA,14,0)-'TRADE IN'!$F404))</f>
        <v>449</v>
      </c>
      <c r="Q404" s="46">
        <f>IF(VLOOKUP($C404,REV!$C:$AA,15,0)-'TRADE IN'!$F413=0,"",(VLOOKUP($C404,REV!$C:$AA,15,0)-'TRADE IN'!$F404))</f>
        <v>399</v>
      </c>
      <c r="R404" s="46">
        <f>IF(VLOOKUP($C404,REV!$C:$AA,16,0)-'TRADE IN'!$F413=0,"",(VLOOKUP($C404,REV!$C:$AA,16,0)-'TRADE IN'!$F404))</f>
        <v>449</v>
      </c>
      <c r="S404" s="46">
        <f>IF(VLOOKUP($C404,REV!$C:$AA,17,0)-'TRADE IN'!$F413=0,"",(VLOOKUP($C404,REV!$C:$AA,17,0)-'TRADE IN'!$F404))</f>
        <v>449</v>
      </c>
      <c r="T404" s="46">
        <f>IF(VLOOKUP($C404,REV!$C:$AA,18,0)-'TRADE IN'!$F413=0,"",(VLOOKUP($C404,REV!$C:$AA,18,0)-'TRADE IN'!$F404))</f>
        <v>399</v>
      </c>
      <c r="U404" s="46">
        <f>IF(VLOOKUP($C404,REV!$C:$AA,19,0)-'TRADE IN'!$F413=0,"",(VLOOKUP($C404,REV!$C:$AA,19,0)-'TRADE IN'!$F404))</f>
        <v>399</v>
      </c>
      <c r="V404" s="46">
        <f>IF(VLOOKUP($C404,REV!$C:$AA,20,0)-'TRADE IN'!$F413=0,"",(VLOOKUP($C404,REV!$C:$AA,20,0)-'TRADE IN'!$F404))</f>
        <v>399</v>
      </c>
      <c r="W404" s="46">
        <f>IF(VLOOKUP($C404,REV!$C:$AA,21,0)-'TRADE IN'!$F413=0,"",(VLOOKUP($C404,REV!$C:$AA,21,0)-'TRADE IN'!$F404))</f>
        <v>399</v>
      </c>
      <c r="X404" s="46">
        <f>IF(VLOOKUP($C404,REV!$C:$AA,22,0)-'TRADE IN'!$F413=0,"",(VLOOKUP($C404,REV!$C:$AA,22,0)-'TRADE IN'!$F404))</f>
        <v>399</v>
      </c>
      <c r="Y404" s="46">
        <f>IF(VLOOKUP($C404,REV!$C:$AA,23,0)-'TRADE IN'!$F413=0,"",(VLOOKUP($C404,REV!$C:$AA,23,0)-'TRADE IN'!$F404))</f>
        <v>399</v>
      </c>
      <c r="Z404" s="46">
        <f>IF(VLOOKUP($C404,REV!$C:$AA,24,0)-'TRADE IN'!$F413=0,"",(VLOOKUP($C404,REV!$C:$AA,24,0)-'TRADE IN'!$F404))</f>
        <v>399</v>
      </c>
      <c r="AA404" s="46">
        <f>IF(VLOOKUP($C404,REV!$C:$AA,25,0)-'TRADE IN'!$F413=0,"",(VLOOKUP($C404,REV!$C:$AA,25,0)-'TRADE IN'!$F404))</f>
        <v>399</v>
      </c>
      <c r="AB404" s="46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tr">
        <f>IF(REV!AW404=0,"",REV!AW404)</f>
        <v>31.03.2026</v>
      </c>
      <c r="AX404" s="159" t="s">
        <v>66</v>
      </c>
    </row>
    <row r="405" spans="1:50" ht="22.5" customHeight="1">
      <c r="A405" s="50" t="s">
        <v>61</v>
      </c>
      <c r="B405" s="41" t="s">
        <v>62</v>
      </c>
      <c r="C405" s="42">
        <v>4014840</v>
      </c>
      <c r="D405" s="44" t="s">
        <v>587</v>
      </c>
      <c r="E405" s="44" t="s">
        <v>591</v>
      </c>
      <c r="F405" s="45"/>
      <c r="G405" s="45"/>
      <c r="H405" s="45"/>
      <c r="I405" s="45"/>
      <c r="J405" s="46">
        <f>IF(VLOOKUP($C405,REV!$C:$AA,8,0)-'TRADE IN'!$F405=0,"",(VLOOKUP($C405,REV!$C:$AA,8,0)-'TRADE IN'!$F405))</f>
        <v>499</v>
      </c>
      <c r="K405" s="46">
        <f>IF(VLOOKUP($C405,REV!$C:$AA,9,0)-'TRADE IN'!$F405=0,"",(VLOOKUP($C405,REV!$C:$AA,9,0)-'TRADE IN'!$F405))</f>
        <v>499</v>
      </c>
      <c r="L405" s="46">
        <f>IF(VLOOKUP($C405,REV!$C:$AA,10,0)-'TRADE IN'!$F414=0,"",(VLOOKUP($C405,REV!$C:$AA,10,0)-'TRADE IN'!$F405))</f>
        <v>499</v>
      </c>
      <c r="M405" s="46">
        <f>IF(VLOOKUP($C405,REV!$C:$AA,11,0)-'TRADE IN'!$F414=0,"",(VLOOKUP($C405,REV!$C:$AA,11,0)-'TRADE IN'!$F405))</f>
        <v>499</v>
      </c>
      <c r="N405" s="46">
        <f>IF(VLOOKUP($C405,REV!$C:$AA,12,0)-'TRADE IN'!$F414=0,"",(VLOOKUP($C405,REV!$C:$AA,12,0)-'TRADE IN'!$F405))</f>
        <v>499</v>
      </c>
      <c r="O405" s="46">
        <f>IF(VLOOKUP($C405,REV!$C:$AA,13,0)-'TRADE IN'!$F414=0,"",(VLOOKUP($C405,REV!$C:$AA,13,0)-'TRADE IN'!$F405))</f>
        <v>449</v>
      </c>
      <c r="P405" s="46">
        <f>IF(VLOOKUP($C405,REV!$C:$AA,14,0)-'TRADE IN'!$F414=0,"",(VLOOKUP($C405,REV!$C:$AA,14,0)-'TRADE IN'!$F405))</f>
        <v>449</v>
      </c>
      <c r="Q405" s="46">
        <f>IF(VLOOKUP($C405,REV!$C:$AA,15,0)-'TRADE IN'!$F414=0,"",(VLOOKUP($C405,REV!$C:$AA,15,0)-'TRADE IN'!$F405))</f>
        <v>399</v>
      </c>
      <c r="R405" s="46">
        <f>IF(VLOOKUP($C405,REV!$C:$AA,16,0)-'TRADE IN'!$F414=0,"",(VLOOKUP($C405,REV!$C:$AA,16,0)-'TRADE IN'!$F405))</f>
        <v>449</v>
      </c>
      <c r="S405" s="46">
        <f>IF(VLOOKUP($C405,REV!$C:$AA,17,0)-'TRADE IN'!$F414=0,"",(VLOOKUP($C405,REV!$C:$AA,17,0)-'TRADE IN'!$F405))</f>
        <v>449</v>
      </c>
      <c r="T405" s="46">
        <f>IF(VLOOKUP($C405,REV!$C:$AA,18,0)-'TRADE IN'!$F414=0,"",(VLOOKUP($C405,REV!$C:$AA,18,0)-'TRADE IN'!$F405))</f>
        <v>399</v>
      </c>
      <c r="U405" s="46">
        <f>IF(VLOOKUP($C405,REV!$C:$AA,19,0)-'TRADE IN'!$F414=0,"",(VLOOKUP($C405,REV!$C:$AA,19,0)-'TRADE IN'!$F405))</f>
        <v>399</v>
      </c>
      <c r="V405" s="46">
        <f>IF(VLOOKUP($C405,REV!$C:$AA,20,0)-'TRADE IN'!$F414=0,"",(VLOOKUP($C405,REV!$C:$AA,20,0)-'TRADE IN'!$F405))</f>
        <v>399</v>
      </c>
      <c r="W405" s="46">
        <f>IF(VLOOKUP($C405,REV!$C:$AA,21,0)-'TRADE IN'!$F414=0,"",(VLOOKUP($C405,REV!$C:$AA,21,0)-'TRADE IN'!$F405))</f>
        <v>399</v>
      </c>
      <c r="X405" s="46">
        <f>IF(VLOOKUP($C405,REV!$C:$AA,22,0)-'TRADE IN'!$F414=0,"",(VLOOKUP($C405,REV!$C:$AA,22,0)-'TRADE IN'!$F405))</f>
        <v>399</v>
      </c>
      <c r="Y405" s="46">
        <f>IF(VLOOKUP($C405,REV!$C:$AA,23,0)-'TRADE IN'!$F414=0,"",(VLOOKUP($C405,REV!$C:$AA,23,0)-'TRADE IN'!$F405))</f>
        <v>399</v>
      </c>
      <c r="Z405" s="46">
        <f>IF(VLOOKUP($C405,REV!$C:$AA,24,0)-'TRADE IN'!$F414=0,"",(VLOOKUP($C405,REV!$C:$AA,24,0)-'TRADE IN'!$F405))</f>
        <v>399</v>
      </c>
      <c r="AA405" s="46">
        <f>IF(VLOOKUP($C405,REV!$C:$AA,25,0)-'TRADE IN'!$F414=0,"",(VLOOKUP($C405,REV!$C:$AA,25,0)-'TRADE IN'!$F405))</f>
        <v>399</v>
      </c>
      <c r="AB405" s="46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tr">
        <f>IF(REV!AW405=0,"",REV!AW405)</f>
        <v>31.03.2026</v>
      </c>
      <c r="AX405" s="159" t="s">
        <v>66</v>
      </c>
    </row>
    <row r="406" spans="1:50" ht="22.5" customHeight="1">
      <c r="A406" s="50" t="s">
        <v>61</v>
      </c>
      <c r="B406" s="41" t="s">
        <v>62</v>
      </c>
      <c r="C406" s="42">
        <v>4014922</v>
      </c>
      <c r="D406" s="44" t="s">
        <v>587</v>
      </c>
      <c r="E406" s="44" t="s">
        <v>592</v>
      </c>
      <c r="F406" s="45"/>
      <c r="G406" s="45"/>
      <c r="H406" s="45"/>
      <c r="I406" s="45"/>
      <c r="J406" s="46">
        <f>IF(VLOOKUP($C406,REV!$C:$AA,8,0)-'TRADE IN'!$F406=0,"",(VLOOKUP($C406,REV!$C:$AA,8,0)-'TRADE IN'!$F406))</f>
        <v>499</v>
      </c>
      <c r="K406" s="46">
        <f>IF(VLOOKUP($C406,REV!$C:$AA,9,0)-'TRADE IN'!$F406=0,"",(VLOOKUP($C406,REV!$C:$AA,9,0)-'TRADE IN'!$F406))</f>
        <v>499</v>
      </c>
      <c r="L406" s="46">
        <f>IF(VLOOKUP($C406,REV!$C:$AA,10,0)-'TRADE IN'!$F415=0,"",(VLOOKUP($C406,REV!$C:$AA,10,0)-'TRADE IN'!$F406))</f>
        <v>499</v>
      </c>
      <c r="M406" s="46">
        <f>IF(VLOOKUP($C406,REV!$C:$AA,11,0)-'TRADE IN'!$F415=0,"",(VLOOKUP($C406,REV!$C:$AA,11,0)-'TRADE IN'!$F406))</f>
        <v>499</v>
      </c>
      <c r="N406" s="46">
        <f>IF(VLOOKUP($C406,REV!$C:$AA,12,0)-'TRADE IN'!$F415=0,"",(VLOOKUP($C406,REV!$C:$AA,12,0)-'TRADE IN'!$F406))</f>
        <v>499</v>
      </c>
      <c r="O406" s="46">
        <f>IF(VLOOKUP($C406,REV!$C:$AA,13,0)-'TRADE IN'!$F415=0,"",(VLOOKUP($C406,REV!$C:$AA,13,0)-'TRADE IN'!$F406))</f>
        <v>449</v>
      </c>
      <c r="P406" s="46">
        <f>IF(VLOOKUP($C406,REV!$C:$AA,14,0)-'TRADE IN'!$F415=0,"",(VLOOKUP($C406,REV!$C:$AA,14,0)-'TRADE IN'!$F406))</f>
        <v>449</v>
      </c>
      <c r="Q406" s="46">
        <f>IF(VLOOKUP($C406,REV!$C:$AA,15,0)-'TRADE IN'!$F415=0,"",(VLOOKUP($C406,REV!$C:$AA,15,0)-'TRADE IN'!$F406))</f>
        <v>399</v>
      </c>
      <c r="R406" s="46">
        <f>IF(VLOOKUP($C406,REV!$C:$AA,16,0)-'TRADE IN'!$F415=0,"",(VLOOKUP($C406,REV!$C:$AA,16,0)-'TRADE IN'!$F406))</f>
        <v>449</v>
      </c>
      <c r="S406" s="46">
        <f>IF(VLOOKUP($C406,REV!$C:$AA,17,0)-'TRADE IN'!$F415=0,"",(VLOOKUP($C406,REV!$C:$AA,17,0)-'TRADE IN'!$F406))</f>
        <v>449</v>
      </c>
      <c r="T406" s="46">
        <f>IF(VLOOKUP($C406,REV!$C:$AA,18,0)-'TRADE IN'!$F415=0,"",(VLOOKUP($C406,REV!$C:$AA,18,0)-'TRADE IN'!$F406))</f>
        <v>399</v>
      </c>
      <c r="U406" s="46">
        <f>IF(VLOOKUP($C406,REV!$C:$AA,19,0)-'TRADE IN'!$F415=0,"",(VLOOKUP($C406,REV!$C:$AA,19,0)-'TRADE IN'!$F406))</f>
        <v>399</v>
      </c>
      <c r="V406" s="46">
        <f>IF(VLOOKUP($C406,REV!$C:$AA,20,0)-'TRADE IN'!$F415=0,"",(VLOOKUP($C406,REV!$C:$AA,20,0)-'TRADE IN'!$F406))</f>
        <v>399</v>
      </c>
      <c r="W406" s="46">
        <f>IF(VLOOKUP($C406,REV!$C:$AA,21,0)-'TRADE IN'!$F415=0,"",(VLOOKUP($C406,REV!$C:$AA,21,0)-'TRADE IN'!$F406))</f>
        <v>399</v>
      </c>
      <c r="X406" s="46">
        <f>IF(VLOOKUP($C406,REV!$C:$AA,22,0)-'TRADE IN'!$F415=0,"",(VLOOKUP($C406,REV!$C:$AA,22,0)-'TRADE IN'!$F406))</f>
        <v>399</v>
      </c>
      <c r="Y406" s="46">
        <f>IF(VLOOKUP($C406,REV!$C:$AA,23,0)-'TRADE IN'!$F415=0,"",(VLOOKUP($C406,REV!$C:$AA,23,0)-'TRADE IN'!$F406))</f>
        <v>399</v>
      </c>
      <c r="Z406" s="46">
        <f>IF(VLOOKUP($C406,REV!$C:$AA,24,0)-'TRADE IN'!$F415=0,"",(VLOOKUP($C406,REV!$C:$AA,24,0)-'TRADE IN'!$F406))</f>
        <v>399</v>
      </c>
      <c r="AA406" s="46">
        <f>IF(VLOOKUP($C406,REV!$C:$AA,25,0)-'TRADE IN'!$F415=0,"",(VLOOKUP($C406,REV!$C:$AA,25,0)-'TRADE IN'!$F406))</f>
        <v>399</v>
      </c>
      <c r="AB406" s="46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tr">
        <f>IF(REV!AW406=0,"",REV!AW406)</f>
        <v>31.03.2026</v>
      </c>
      <c r="AX406" s="159" t="s">
        <v>66</v>
      </c>
    </row>
    <row r="407" spans="1:50" ht="22.5" customHeight="1">
      <c r="A407" s="50" t="s">
        <v>61</v>
      </c>
      <c r="B407" s="41" t="s">
        <v>62</v>
      </c>
      <c r="C407" s="42">
        <v>4014920</v>
      </c>
      <c r="D407" s="44" t="s">
        <v>587</v>
      </c>
      <c r="E407" s="44" t="s">
        <v>593</v>
      </c>
      <c r="F407" s="45"/>
      <c r="G407" s="45"/>
      <c r="H407" s="45"/>
      <c r="I407" s="45"/>
      <c r="J407" s="46">
        <f>IF(VLOOKUP($C407,REV!$C:$AA,8,0)-'TRADE IN'!$F407=0,"",(VLOOKUP($C407,REV!$C:$AA,8,0)-'TRADE IN'!$F407))</f>
        <v>499</v>
      </c>
      <c r="K407" s="46">
        <f>IF(VLOOKUP($C407,REV!$C:$AA,9,0)-'TRADE IN'!$F407=0,"",(VLOOKUP($C407,REV!$C:$AA,9,0)-'TRADE IN'!$F407))</f>
        <v>499</v>
      </c>
      <c r="L407" s="46">
        <f>IF(VLOOKUP($C407,REV!$C:$AA,10,0)-'TRADE IN'!$F416=0,"",(VLOOKUP($C407,REV!$C:$AA,10,0)-'TRADE IN'!$F407))</f>
        <v>499</v>
      </c>
      <c r="M407" s="46">
        <f>IF(VLOOKUP($C407,REV!$C:$AA,11,0)-'TRADE IN'!$F416=0,"",(VLOOKUP($C407,REV!$C:$AA,11,0)-'TRADE IN'!$F407))</f>
        <v>499</v>
      </c>
      <c r="N407" s="46">
        <f>IF(VLOOKUP($C407,REV!$C:$AA,12,0)-'TRADE IN'!$F416=0,"",(VLOOKUP($C407,REV!$C:$AA,12,0)-'TRADE IN'!$F407))</f>
        <v>499</v>
      </c>
      <c r="O407" s="46">
        <f>IF(VLOOKUP($C407,REV!$C:$AA,13,0)-'TRADE IN'!$F416=0,"",(VLOOKUP($C407,REV!$C:$AA,13,0)-'TRADE IN'!$F407))</f>
        <v>449</v>
      </c>
      <c r="P407" s="46">
        <f>IF(VLOOKUP($C407,REV!$C:$AA,14,0)-'TRADE IN'!$F416=0,"",(VLOOKUP($C407,REV!$C:$AA,14,0)-'TRADE IN'!$F407))</f>
        <v>449</v>
      </c>
      <c r="Q407" s="46">
        <f>IF(VLOOKUP($C407,REV!$C:$AA,15,0)-'TRADE IN'!$F416=0,"",(VLOOKUP($C407,REV!$C:$AA,15,0)-'TRADE IN'!$F407))</f>
        <v>399</v>
      </c>
      <c r="R407" s="46">
        <f>IF(VLOOKUP($C407,REV!$C:$AA,16,0)-'TRADE IN'!$F416=0,"",(VLOOKUP($C407,REV!$C:$AA,16,0)-'TRADE IN'!$F407))</f>
        <v>449</v>
      </c>
      <c r="S407" s="46">
        <f>IF(VLOOKUP($C407,REV!$C:$AA,17,0)-'TRADE IN'!$F416=0,"",(VLOOKUP($C407,REV!$C:$AA,17,0)-'TRADE IN'!$F407))</f>
        <v>449</v>
      </c>
      <c r="T407" s="46">
        <f>IF(VLOOKUP($C407,REV!$C:$AA,18,0)-'TRADE IN'!$F416=0,"",(VLOOKUP($C407,REV!$C:$AA,18,0)-'TRADE IN'!$F407))</f>
        <v>399</v>
      </c>
      <c r="U407" s="46">
        <f>IF(VLOOKUP($C407,REV!$C:$AA,19,0)-'TRADE IN'!$F416=0,"",(VLOOKUP($C407,REV!$C:$AA,19,0)-'TRADE IN'!$F407))</f>
        <v>399</v>
      </c>
      <c r="V407" s="46">
        <f>IF(VLOOKUP($C407,REV!$C:$AA,20,0)-'TRADE IN'!$F416=0,"",(VLOOKUP($C407,REV!$C:$AA,20,0)-'TRADE IN'!$F407))</f>
        <v>399</v>
      </c>
      <c r="W407" s="46">
        <f>IF(VLOOKUP($C407,REV!$C:$AA,21,0)-'TRADE IN'!$F416=0,"",(VLOOKUP($C407,REV!$C:$AA,21,0)-'TRADE IN'!$F407))</f>
        <v>399</v>
      </c>
      <c r="X407" s="46">
        <f>IF(VLOOKUP($C407,REV!$C:$AA,22,0)-'TRADE IN'!$F416=0,"",(VLOOKUP($C407,REV!$C:$AA,22,0)-'TRADE IN'!$F407))</f>
        <v>399</v>
      </c>
      <c r="Y407" s="46">
        <f>IF(VLOOKUP($C407,REV!$C:$AA,23,0)-'TRADE IN'!$F416=0,"",(VLOOKUP($C407,REV!$C:$AA,23,0)-'TRADE IN'!$F407))</f>
        <v>399</v>
      </c>
      <c r="Z407" s="46">
        <f>IF(VLOOKUP($C407,REV!$C:$AA,24,0)-'TRADE IN'!$F416=0,"",(VLOOKUP($C407,REV!$C:$AA,24,0)-'TRADE IN'!$F407))</f>
        <v>399</v>
      </c>
      <c r="AA407" s="46">
        <f>IF(VLOOKUP($C407,REV!$C:$AA,25,0)-'TRADE IN'!$F416=0,"",(VLOOKUP($C407,REV!$C:$AA,25,0)-'TRADE IN'!$F407))</f>
        <v>399</v>
      </c>
      <c r="AB407" s="46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tr">
        <f>IF(REV!AW407=0,"",REV!AW407)</f>
        <v>31.03.2026</v>
      </c>
      <c r="AX407" s="159" t="s">
        <v>66</v>
      </c>
    </row>
    <row r="408" spans="1:50" ht="22.5" customHeight="1">
      <c r="A408" s="50" t="s">
        <v>61</v>
      </c>
      <c r="B408" s="41" t="s">
        <v>62</v>
      </c>
      <c r="C408" s="42">
        <v>4014844</v>
      </c>
      <c r="D408" s="44" t="s">
        <v>587</v>
      </c>
      <c r="E408" s="44" t="s">
        <v>594</v>
      </c>
      <c r="F408" s="45"/>
      <c r="G408" s="45"/>
      <c r="H408" s="45"/>
      <c r="I408" s="45"/>
      <c r="J408" s="46">
        <f>IF(VLOOKUP($C408,REV!$C:$AA,8,0)-'TRADE IN'!$F408=0,"",(VLOOKUP($C408,REV!$C:$AA,8,0)-'TRADE IN'!$F408))</f>
        <v>499</v>
      </c>
      <c r="K408" s="46">
        <f>IF(VLOOKUP($C408,REV!$C:$AA,9,0)-'TRADE IN'!$F408=0,"",(VLOOKUP($C408,REV!$C:$AA,9,0)-'TRADE IN'!$F408))</f>
        <v>499</v>
      </c>
      <c r="L408" s="46">
        <f>IF(VLOOKUP($C408,REV!$C:$AA,10,0)-'TRADE IN'!$F417=0,"",(VLOOKUP($C408,REV!$C:$AA,10,0)-'TRADE IN'!$F408))</f>
        <v>499</v>
      </c>
      <c r="M408" s="46">
        <f>IF(VLOOKUP($C408,REV!$C:$AA,11,0)-'TRADE IN'!$F417=0,"",(VLOOKUP($C408,REV!$C:$AA,11,0)-'TRADE IN'!$F408))</f>
        <v>499</v>
      </c>
      <c r="N408" s="46">
        <f>IF(VLOOKUP($C408,REV!$C:$AA,12,0)-'TRADE IN'!$F417=0,"",(VLOOKUP($C408,REV!$C:$AA,12,0)-'TRADE IN'!$F408))</f>
        <v>499</v>
      </c>
      <c r="O408" s="46">
        <f>IF(VLOOKUP($C408,REV!$C:$AA,13,0)-'TRADE IN'!$F417=0,"",(VLOOKUP($C408,REV!$C:$AA,13,0)-'TRADE IN'!$F408))</f>
        <v>449</v>
      </c>
      <c r="P408" s="46">
        <f>IF(VLOOKUP($C408,REV!$C:$AA,14,0)-'TRADE IN'!$F417=0,"",(VLOOKUP($C408,REV!$C:$AA,14,0)-'TRADE IN'!$F408))</f>
        <v>449</v>
      </c>
      <c r="Q408" s="46">
        <f>IF(VLOOKUP($C408,REV!$C:$AA,15,0)-'TRADE IN'!$F417=0,"",(VLOOKUP($C408,REV!$C:$AA,15,0)-'TRADE IN'!$F408))</f>
        <v>399</v>
      </c>
      <c r="R408" s="46">
        <f>IF(VLOOKUP($C408,REV!$C:$AA,16,0)-'TRADE IN'!$F417=0,"",(VLOOKUP($C408,REV!$C:$AA,16,0)-'TRADE IN'!$F408))</f>
        <v>449</v>
      </c>
      <c r="S408" s="46">
        <f>IF(VLOOKUP($C408,REV!$C:$AA,17,0)-'TRADE IN'!$F417=0,"",(VLOOKUP($C408,REV!$C:$AA,17,0)-'TRADE IN'!$F408))</f>
        <v>449</v>
      </c>
      <c r="T408" s="46">
        <f>IF(VLOOKUP($C408,REV!$C:$AA,18,0)-'TRADE IN'!$F417=0,"",(VLOOKUP($C408,REV!$C:$AA,18,0)-'TRADE IN'!$F408))</f>
        <v>399</v>
      </c>
      <c r="U408" s="46">
        <f>IF(VLOOKUP($C408,REV!$C:$AA,19,0)-'TRADE IN'!$F417=0,"",(VLOOKUP($C408,REV!$C:$AA,19,0)-'TRADE IN'!$F408))</f>
        <v>399</v>
      </c>
      <c r="V408" s="46">
        <f>IF(VLOOKUP($C408,REV!$C:$AA,20,0)-'TRADE IN'!$F417=0,"",(VLOOKUP($C408,REV!$C:$AA,20,0)-'TRADE IN'!$F408))</f>
        <v>399</v>
      </c>
      <c r="W408" s="46">
        <f>IF(VLOOKUP($C408,REV!$C:$AA,21,0)-'TRADE IN'!$F417=0,"",(VLOOKUP($C408,REV!$C:$AA,21,0)-'TRADE IN'!$F408))</f>
        <v>399</v>
      </c>
      <c r="X408" s="46">
        <f>IF(VLOOKUP($C408,REV!$C:$AA,22,0)-'TRADE IN'!$F417=0,"",(VLOOKUP($C408,REV!$C:$AA,22,0)-'TRADE IN'!$F408))</f>
        <v>399</v>
      </c>
      <c r="Y408" s="46">
        <f>IF(VLOOKUP($C408,REV!$C:$AA,23,0)-'TRADE IN'!$F417=0,"",(VLOOKUP($C408,REV!$C:$AA,23,0)-'TRADE IN'!$F408))</f>
        <v>399</v>
      </c>
      <c r="Z408" s="46">
        <f>IF(VLOOKUP($C408,REV!$C:$AA,24,0)-'TRADE IN'!$F417=0,"",(VLOOKUP($C408,REV!$C:$AA,24,0)-'TRADE IN'!$F408))</f>
        <v>399</v>
      </c>
      <c r="AA408" s="46">
        <f>IF(VLOOKUP($C408,REV!$C:$AA,25,0)-'TRADE IN'!$F417=0,"",(VLOOKUP($C408,REV!$C:$AA,25,0)-'TRADE IN'!$F408))</f>
        <v>399</v>
      </c>
      <c r="AB408" s="46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tr">
        <f>IF(REV!AW408=0,"",REV!AW408)</f>
        <v>31.03.2026</v>
      </c>
      <c r="AX408" s="159" t="s">
        <v>66</v>
      </c>
    </row>
    <row r="409" spans="1:50" ht="22.5" customHeight="1">
      <c r="A409" s="50" t="s">
        <v>61</v>
      </c>
      <c r="B409" s="41" t="s">
        <v>62</v>
      </c>
      <c r="C409" s="42">
        <v>4014843</v>
      </c>
      <c r="D409" s="44" t="s">
        <v>587</v>
      </c>
      <c r="E409" s="44" t="s">
        <v>595</v>
      </c>
      <c r="F409" s="45"/>
      <c r="G409" s="45"/>
      <c r="H409" s="45"/>
      <c r="I409" s="45"/>
      <c r="J409" s="46">
        <f>IF(VLOOKUP($C409,REV!$C:$AA,8,0)-'TRADE IN'!$F409=0,"",(VLOOKUP($C409,REV!$C:$AA,8,0)-'TRADE IN'!$F409))</f>
        <v>499</v>
      </c>
      <c r="K409" s="46">
        <f>IF(VLOOKUP($C409,REV!$C:$AA,9,0)-'TRADE IN'!$F409=0,"",(VLOOKUP($C409,REV!$C:$AA,9,0)-'TRADE IN'!$F409))</f>
        <v>499</v>
      </c>
      <c r="L409" s="46">
        <f>IF(VLOOKUP($C409,REV!$C:$AA,10,0)-'TRADE IN'!$F418=0,"",(VLOOKUP($C409,REV!$C:$AA,10,0)-'TRADE IN'!$F409))</f>
        <v>499</v>
      </c>
      <c r="M409" s="46">
        <f>IF(VLOOKUP($C409,REV!$C:$AA,11,0)-'TRADE IN'!$F418=0,"",(VLOOKUP($C409,REV!$C:$AA,11,0)-'TRADE IN'!$F409))</f>
        <v>499</v>
      </c>
      <c r="N409" s="46">
        <f>IF(VLOOKUP($C409,REV!$C:$AA,12,0)-'TRADE IN'!$F418=0,"",(VLOOKUP($C409,REV!$C:$AA,12,0)-'TRADE IN'!$F409))</f>
        <v>499</v>
      </c>
      <c r="O409" s="46">
        <f>IF(VLOOKUP($C409,REV!$C:$AA,13,0)-'TRADE IN'!$F418=0,"",(VLOOKUP($C409,REV!$C:$AA,13,0)-'TRADE IN'!$F409))</f>
        <v>449</v>
      </c>
      <c r="P409" s="46">
        <f>IF(VLOOKUP($C409,REV!$C:$AA,14,0)-'TRADE IN'!$F418=0,"",(VLOOKUP($C409,REV!$C:$AA,14,0)-'TRADE IN'!$F409))</f>
        <v>449</v>
      </c>
      <c r="Q409" s="46">
        <f>IF(VLOOKUP($C409,REV!$C:$AA,15,0)-'TRADE IN'!$F418=0,"",(VLOOKUP($C409,REV!$C:$AA,15,0)-'TRADE IN'!$F409))</f>
        <v>399</v>
      </c>
      <c r="R409" s="46">
        <f>IF(VLOOKUP($C409,REV!$C:$AA,16,0)-'TRADE IN'!$F418=0,"",(VLOOKUP($C409,REV!$C:$AA,16,0)-'TRADE IN'!$F409))</f>
        <v>449</v>
      </c>
      <c r="S409" s="46">
        <f>IF(VLOOKUP($C409,REV!$C:$AA,17,0)-'TRADE IN'!$F418=0,"",(VLOOKUP($C409,REV!$C:$AA,17,0)-'TRADE IN'!$F409))</f>
        <v>449</v>
      </c>
      <c r="T409" s="46">
        <f>IF(VLOOKUP($C409,REV!$C:$AA,18,0)-'TRADE IN'!$F418=0,"",(VLOOKUP($C409,REV!$C:$AA,18,0)-'TRADE IN'!$F409))</f>
        <v>399</v>
      </c>
      <c r="U409" s="46">
        <f>IF(VLOOKUP($C409,REV!$C:$AA,19,0)-'TRADE IN'!$F418=0,"",(VLOOKUP($C409,REV!$C:$AA,19,0)-'TRADE IN'!$F409))</f>
        <v>399</v>
      </c>
      <c r="V409" s="46">
        <f>IF(VLOOKUP($C409,REV!$C:$AA,20,0)-'TRADE IN'!$F418=0,"",(VLOOKUP($C409,REV!$C:$AA,20,0)-'TRADE IN'!$F409))</f>
        <v>399</v>
      </c>
      <c r="W409" s="46">
        <f>IF(VLOOKUP($C409,REV!$C:$AA,21,0)-'TRADE IN'!$F418=0,"",(VLOOKUP($C409,REV!$C:$AA,21,0)-'TRADE IN'!$F409))</f>
        <v>399</v>
      </c>
      <c r="X409" s="46">
        <f>IF(VLOOKUP($C409,REV!$C:$AA,22,0)-'TRADE IN'!$F418=0,"",(VLOOKUP($C409,REV!$C:$AA,22,0)-'TRADE IN'!$F409))</f>
        <v>399</v>
      </c>
      <c r="Y409" s="46">
        <f>IF(VLOOKUP($C409,REV!$C:$AA,23,0)-'TRADE IN'!$F418=0,"",(VLOOKUP($C409,REV!$C:$AA,23,0)-'TRADE IN'!$F409))</f>
        <v>399</v>
      </c>
      <c r="Z409" s="46">
        <f>IF(VLOOKUP($C409,REV!$C:$AA,24,0)-'TRADE IN'!$F418=0,"",(VLOOKUP($C409,REV!$C:$AA,24,0)-'TRADE IN'!$F409))</f>
        <v>399</v>
      </c>
      <c r="AA409" s="46">
        <f>IF(VLOOKUP($C409,REV!$C:$AA,25,0)-'TRADE IN'!$F418=0,"",(VLOOKUP($C409,REV!$C:$AA,25,0)-'TRADE IN'!$F409))</f>
        <v>399</v>
      </c>
      <c r="AB409" s="46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tr">
        <f>IF(REV!AW409=0,"",REV!AW409)</f>
        <v>31.03.2026</v>
      </c>
      <c r="AX409" s="159" t="s">
        <v>66</v>
      </c>
    </row>
    <row r="410" spans="1:50" ht="22.5" customHeight="1">
      <c r="A410" s="50" t="s">
        <v>61</v>
      </c>
      <c r="B410" s="41" t="s">
        <v>62</v>
      </c>
      <c r="C410" s="42">
        <v>4015397</v>
      </c>
      <c r="D410" s="44" t="s">
        <v>596</v>
      </c>
      <c r="E410" s="44" t="s">
        <v>597</v>
      </c>
      <c r="F410" s="45"/>
      <c r="G410" s="45"/>
      <c r="H410" s="45"/>
      <c r="I410" s="45"/>
      <c r="J410" s="46">
        <f>IF(VLOOKUP($C410,REV!$C:$AA,8,0)-'TRADE IN'!$F410=0,"",(VLOOKUP($C410,REV!$C:$AA,8,0)-'TRADE IN'!$F410))</f>
        <v>599</v>
      </c>
      <c r="K410" s="46">
        <f>IF(VLOOKUP($C410,REV!$C:$AA,9,0)-'TRADE IN'!$F410=0,"",(VLOOKUP($C410,REV!$C:$AA,9,0)-'TRADE IN'!$F410))</f>
        <v>599</v>
      </c>
      <c r="L410" s="46">
        <f>IF(VLOOKUP($C410,REV!$C:$AA,10,0)-'TRADE IN'!$F419=0,"",(VLOOKUP($C410,REV!$C:$AA,10,0)-'TRADE IN'!$F410))</f>
        <v>599</v>
      </c>
      <c r="M410" s="46">
        <f>IF(VLOOKUP($C410,REV!$C:$AA,11,0)-'TRADE IN'!$F419=0,"",(VLOOKUP($C410,REV!$C:$AA,11,0)-'TRADE IN'!$F410))</f>
        <v>599</v>
      </c>
      <c r="N410" s="46">
        <f>IF(VLOOKUP($C410,REV!$C:$AA,12,0)-'TRADE IN'!$F419=0,"",(VLOOKUP($C410,REV!$C:$AA,12,0)-'TRADE IN'!$F410))</f>
        <v>599</v>
      </c>
      <c r="O410" s="46">
        <f>IF(VLOOKUP($C410,REV!$C:$AA,13,0)-'TRADE IN'!$F419=0,"",(VLOOKUP($C410,REV!$C:$AA,13,0)-'TRADE IN'!$F410))</f>
        <v>549</v>
      </c>
      <c r="P410" s="46">
        <f>IF(VLOOKUP($C410,REV!$C:$AA,14,0)-'TRADE IN'!$F419=0,"",(VLOOKUP($C410,REV!$C:$AA,14,0)-'TRADE IN'!$F410))</f>
        <v>499</v>
      </c>
      <c r="Q410" s="46">
        <f>IF(VLOOKUP($C410,REV!$C:$AA,15,0)-'TRADE IN'!$F419=0,"",(VLOOKUP($C410,REV!$C:$AA,15,0)-'TRADE IN'!$F410))</f>
        <v>449</v>
      </c>
      <c r="R410" s="46">
        <f>IF(VLOOKUP($C410,REV!$C:$AA,16,0)-'TRADE IN'!$F419=0,"",(VLOOKUP($C410,REV!$C:$AA,16,0)-'TRADE IN'!$F410))</f>
        <v>549</v>
      </c>
      <c r="S410" s="46">
        <f>IF(VLOOKUP($C410,REV!$C:$AA,17,0)-'TRADE IN'!$F419=0,"",(VLOOKUP($C410,REV!$C:$AA,17,0)-'TRADE IN'!$F410))</f>
        <v>499</v>
      </c>
      <c r="T410" s="46">
        <f>IF(VLOOKUP($C410,REV!$C:$AA,18,0)-'TRADE IN'!$F419=0,"",(VLOOKUP($C410,REV!$C:$AA,18,0)-'TRADE IN'!$F410))</f>
        <v>449</v>
      </c>
      <c r="U410" s="46">
        <f>IF(VLOOKUP($C410,REV!$C:$AA,19,0)-'TRADE IN'!$F419=0,"",(VLOOKUP($C410,REV!$C:$AA,19,0)-'TRADE IN'!$F410))</f>
        <v>449</v>
      </c>
      <c r="V410" s="46">
        <f>IF(VLOOKUP($C410,REV!$C:$AA,20,0)-'TRADE IN'!$F419=0,"",(VLOOKUP($C410,REV!$C:$AA,20,0)-'TRADE IN'!$F410))</f>
        <v>449</v>
      </c>
      <c r="W410" s="46">
        <f>IF(VLOOKUP($C410,REV!$C:$AA,21,0)-'TRADE IN'!$F419=0,"",(VLOOKUP($C410,REV!$C:$AA,21,0)-'TRADE IN'!$F410))</f>
        <v>449</v>
      </c>
      <c r="X410" s="46">
        <f>IF(VLOOKUP($C410,REV!$C:$AA,22,0)-'TRADE IN'!$F419=0,"",(VLOOKUP($C410,REV!$C:$AA,22,0)-'TRADE IN'!$F410))</f>
        <v>449</v>
      </c>
      <c r="Y410" s="46">
        <f>IF(VLOOKUP($C410,REV!$C:$AA,23,0)-'TRADE IN'!$F419=0,"",(VLOOKUP($C410,REV!$C:$AA,23,0)-'TRADE IN'!$F410))</f>
        <v>449</v>
      </c>
      <c r="Z410" s="46">
        <f>IF(VLOOKUP($C410,REV!$C:$AA,24,0)-'TRADE IN'!$F419=0,"",(VLOOKUP($C410,REV!$C:$AA,24,0)-'TRADE IN'!$F410))</f>
        <v>449</v>
      </c>
      <c r="AA410" s="46">
        <f>IF(VLOOKUP($C410,REV!$C:$AA,25,0)-'TRADE IN'!$F419=0,"",(VLOOKUP($C410,REV!$C:$AA,25,0)-'TRADE IN'!$F410))</f>
        <v>449</v>
      </c>
      <c r="AB410" s="46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tr">
        <f>IF(REV!AW410=0,"",REV!AW410)</f>
        <v>31.03.2026</v>
      </c>
      <c r="AX410" s="159" t="s">
        <v>66</v>
      </c>
    </row>
    <row r="411" spans="1:50" ht="22.5" customHeight="1">
      <c r="A411" s="50" t="s">
        <v>61</v>
      </c>
      <c r="B411" s="41" t="s">
        <v>62</v>
      </c>
      <c r="C411" s="42">
        <v>4015398</v>
      </c>
      <c r="D411" s="44" t="s">
        <v>596</v>
      </c>
      <c r="E411" s="44" t="s">
        <v>598</v>
      </c>
      <c r="F411" s="45"/>
      <c r="G411" s="45"/>
      <c r="H411" s="45"/>
      <c r="I411" s="45"/>
      <c r="J411" s="46">
        <f>IF(VLOOKUP($C411,REV!$C:$AA,8,0)-'TRADE IN'!$F411=0,"",(VLOOKUP($C411,REV!$C:$AA,8,0)-'TRADE IN'!$F411))</f>
        <v>599</v>
      </c>
      <c r="K411" s="46">
        <f>IF(VLOOKUP($C411,REV!$C:$AA,9,0)-'TRADE IN'!$F411=0,"",(VLOOKUP($C411,REV!$C:$AA,9,0)-'TRADE IN'!$F411))</f>
        <v>599</v>
      </c>
      <c r="L411" s="46">
        <f>IF(VLOOKUP($C411,REV!$C:$AA,10,0)-'TRADE IN'!$F420=0,"",(VLOOKUP($C411,REV!$C:$AA,10,0)-'TRADE IN'!$F411))</f>
        <v>599</v>
      </c>
      <c r="M411" s="46">
        <f>IF(VLOOKUP($C411,REV!$C:$AA,11,0)-'TRADE IN'!$F420=0,"",(VLOOKUP($C411,REV!$C:$AA,11,0)-'TRADE IN'!$F411))</f>
        <v>599</v>
      </c>
      <c r="N411" s="46">
        <f>IF(VLOOKUP($C411,REV!$C:$AA,12,0)-'TRADE IN'!$F420=0,"",(VLOOKUP($C411,REV!$C:$AA,12,0)-'TRADE IN'!$F411))</f>
        <v>599</v>
      </c>
      <c r="O411" s="46">
        <f>IF(VLOOKUP($C411,REV!$C:$AA,13,0)-'TRADE IN'!$F420=0,"",(VLOOKUP($C411,REV!$C:$AA,13,0)-'TRADE IN'!$F411))</f>
        <v>549</v>
      </c>
      <c r="P411" s="46">
        <f>IF(VLOOKUP($C411,REV!$C:$AA,14,0)-'TRADE IN'!$F420=0,"",(VLOOKUP($C411,REV!$C:$AA,14,0)-'TRADE IN'!$F411))</f>
        <v>499</v>
      </c>
      <c r="Q411" s="46">
        <f>IF(VLOOKUP($C411,REV!$C:$AA,15,0)-'TRADE IN'!$F420=0,"",(VLOOKUP($C411,REV!$C:$AA,15,0)-'TRADE IN'!$F411))</f>
        <v>449</v>
      </c>
      <c r="R411" s="46">
        <f>IF(VLOOKUP($C411,REV!$C:$AA,16,0)-'TRADE IN'!$F420=0,"",(VLOOKUP($C411,REV!$C:$AA,16,0)-'TRADE IN'!$F411))</f>
        <v>549</v>
      </c>
      <c r="S411" s="46">
        <f>IF(VLOOKUP($C411,REV!$C:$AA,17,0)-'TRADE IN'!$F420=0,"",(VLOOKUP($C411,REV!$C:$AA,17,0)-'TRADE IN'!$F411))</f>
        <v>499</v>
      </c>
      <c r="T411" s="46">
        <f>IF(VLOOKUP($C411,REV!$C:$AA,18,0)-'TRADE IN'!$F420=0,"",(VLOOKUP($C411,REV!$C:$AA,18,0)-'TRADE IN'!$F411))</f>
        <v>449</v>
      </c>
      <c r="U411" s="46">
        <f>IF(VLOOKUP($C411,REV!$C:$AA,19,0)-'TRADE IN'!$F420=0,"",(VLOOKUP($C411,REV!$C:$AA,19,0)-'TRADE IN'!$F411))</f>
        <v>449</v>
      </c>
      <c r="V411" s="46">
        <f>IF(VLOOKUP($C411,REV!$C:$AA,20,0)-'TRADE IN'!$F420=0,"",(VLOOKUP($C411,REV!$C:$AA,20,0)-'TRADE IN'!$F411))</f>
        <v>449</v>
      </c>
      <c r="W411" s="46">
        <f>IF(VLOOKUP($C411,REV!$C:$AA,21,0)-'TRADE IN'!$F420=0,"",(VLOOKUP($C411,REV!$C:$AA,21,0)-'TRADE IN'!$F411))</f>
        <v>449</v>
      </c>
      <c r="X411" s="46">
        <f>IF(VLOOKUP($C411,REV!$C:$AA,22,0)-'TRADE IN'!$F420=0,"",(VLOOKUP($C411,REV!$C:$AA,22,0)-'TRADE IN'!$F411))</f>
        <v>449</v>
      </c>
      <c r="Y411" s="46">
        <f>IF(VLOOKUP($C411,REV!$C:$AA,23,0)-'TRADE IN'!$F420=0,"",(VLOOKUP($C411,REV!$C:$AA,23,0)-'TRADE IN'!$F411))</f>
        <v>449</v>
      </c>
      <c r="Z411" s="46">
        <f>IF(VLOOKUP($C411,REV!$C:$AA,24,0)-'TRADE IN'!$F420=0,"",(VLOOKUP($C411,REV!$C:$AA,24,0)-'TRADE IN'!$F411))</f>
        <v>449</v>
      </c>
      <c r="AA411" s="46">
        <f>IF(VLOOKUP($C411,REV!$C:$AA,25,0)-'TRADE IN'!$F420=0,"",(VLOOKUP($C411,REV!$C:$AA,25,0)-'TRADE IN'!$F411))</f>
        <v>449</v>
      </c>
      <c r="AB411" s="46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tr">
        <f>IF(REV!AW411=0,"",REV!AW411)</f>
        <v>31.03.2026</v>
      </c>
      <c r="AX411" s="159" t="s">
        <v>66</v>
      </c>
    </row>
    <row r="412" spans="1:50" ht="22.5" customHeight="1">
      <c r="A412" s="50" t="s">
        <v>61</v>
      </c>
      <c r="B412" s="41" t="s">
        <v>62</v>
      </c>
      <c r="C412" s="42">
        <v>4015399</v>
      </c>
      <c r="D412" s="44" t="s">
        <v>596</v>
      </c>
      <c r="E412" s="44" t="s">
        <v>599</v>
      </c>
      <c r="F412" s="45"/>
      <c r="G412" s="45"/>
      <c r="H412" s="45"/>
      <c r="I412" s="45"/>
      <c r="J412" s="46">
        <f>IF(VLOOKUP($C412,REV!$C:$AA,8,0)-'TRADE IN'!$F412=0,"",(VLOOKUP($C412,REV!$C:$AA,8,0)-'TRADE IN'!$F412))</f>
        <v>599</v>
      </c>
      <c r="K412" s="46">
        <f>IF(VLOOKUP($C412,REV!$C:$AA,9,0)-'TRADE IN'!$F412=0,"",(VLOOKUP($C412,REV!$C:$AA,9,0)-'TRADE IN'!$F412))</f>
        <v>599</v>
      </c>
      <c r="L412" s="46">
        <f>IF(VLOOKUP($C412,REV!$C:$AA,10,0)-'TRADE IN'!$F421=0,"",(VLOOKUP($C412,REV!$C:$AA,10,0)-'TRADE IN'!$F412))</f>
        <v>599</v>
      </c>
      <c r="M412" s="46">
        <f>IF(VLOOKUP($C412,REV!$C:$AA,11,0)-'TRADE IN'!$F421=0,"",(VLOOKUP($C412,REV!$C:$AA,11,0)-'TRADE IN'!$F412))</f>
        <v>599</v>
      </c>
      <c r="N412" s="46">
        <f>IF(VLOOKUP($C412,REV!$C:$AA,12,0)-'TRADE IN'!$F421=0,"",(VLOOKUP($C412,REV!$C:$AA,12,0)-'TRADE IN'!$F412))</f>
        <v>599</v>
      </c>
      <c r="O412" s="46">
        <f>IF(VLOOKUP($C412,REV!$C:$AA,13,0)-'TRADE IN'!$F421=0,"",(VLOOKUP($C412,REV!$C:$AA,13,0)-'TRADE IN'!$F412))</f>
        <v>549</v>
      </c>
      <c r="P412" s="46">
        <f>IF(VLOOKUP($C412,REV!$C:$AA,14,0)-'TRADE IN'!$F421=0,"",(VLOOKUP($C412,REV!$C:$AA,14,0)-'TRADE IN'!$F412))</f>
        <v>499</v>
      </c>
      <c r="Q412" s="46">
        <f>IF(VLOOKUP($C412,REV!$C:$AA,15,0)-'TRADE IN'!$F421=0,"",(VLOOKUP($C412,REV!$C:$AA,15,0)-'TRADE IN'!$F412))</f>
        <v>449</v>
      </c>
      <c r="R412" s="46">
        <f>IF(VLOOKUP($C412,REV!$C:$AA,16,0)-'TRADE IN'!$F421=0,"",(VLOOKUP($C412,REV!$C:$AA,16,0)-'TRADE IN'!$F412))</f>
        <v>549</v>
      </c>
      <c r="S412" s="46">
        <f>IF(VLOOKUP($C412,REV!$C:$AA,17,0)-'TRADE IN'!$F421=0,"",(VLOOKUP($C412,REV!$C:$AA,17,0)-'TRADE IN'!$F412))</f>
        <v>499</v>
      </c>
      <c r="T412" s="46">
        <f>IF(VLOOKUP($C412,REV!$C:$AA,18,0)-'TRADE IN'!$F421=0,"",(VLOOKUP($C412,REV!$C:$AA,18,0)-'TRADE IN'!$F412))</f>
        <v>449</v>
      </c>
      <c r="U412" s="46">
        <f>IF(VLOOKUP($C412,REV!$C:$AA,19,0)-'TRADE IN'!$F421=0,"",(VLOOKUP($C412,REV!$C:$AA,19,0)-'TRADE IN'!$F412))</f>
        <v>449</v>
      </c>
      <c r="V412" s="46">
        <f>IF(VLOOKUP($C412,REV!$C:$AA,20,0)-'TRADE IN'!$F421=0,"",(VLOOKUP($C412,REV!$C:$AA,20,0)-'TRADE IN'!$F412))</f>
        <v>449</v>
      </c>
      <c r="W412" s="46">
        <f>IF(VLOOKUP($C412,REV!$C:$AA,21,0)-'TRADE IN'!$F421=0,"",(VLOOKUP($C412,REV!$C:$AA,21,0)-'TRADE IN'!$F412))</f>
        <v>449</v>
      </c>
      <c r="X412" s="46">
        <f>IF(VLOOKUP($C412,REV!$C:$AA,22,0)-'TRADE IN'!$F421=0,"",(VLOOKUP($C412,REV!$C:$AA,22,0)-'TRADE IN'!$F412))</f>
        <v>449</v>
      </c>
      <c r="Y412" s="46">
        <f>IF(VLOOKUP($C412,REV!$C:$AA,23,0)-'TRADE IN'!$F421=0,"",(VLOOKUP($C412,REV!$C:$AA,23,0)-'TRADE IN'!$F412))</f>
        <v>449</v>
      </c>
      <c r="Z412" s="46">
        <f>IF(VLOOKUP($C412,REV!$C:$AA,24,0)-'TRADE IN'!$F421=0,"",(VLOOKUP($C412,REV!$C:$AA,24,0)-'TRADE IN'!$F412))</f>
        <v>449</v>
      </c>
      <c r="AA412" s="46">
        <f>IF(VLOOKUP($C412,REV!$C:$AA,25,0)-'TRADE IN'!$F421=0,"",(VLOOKUP($C412,REV!$C:$AA,25,0)-'TRADE IN'!$F412))</f>
        <v>449</v>
      </c>
      <c r="AB412" s="46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tr">
        <f>IF(REV!AW412=0,"",REV!AW412)</f>
        <v>31.03.2026</v>
      </c>
      <c r="AX412" s="159" t="s">
        <v>66</v>
      </c>
    </row>
    <row r="413" spans="1:50" ht="22.5" customHeight="1">
      <c r="A413" s="50" t="s">
        <v>61</v>
      </c>
      <c r="B413" s="41" t="s">
        <v>62</v>
      </c>
      <c r="C413" s="42">
        <v>4015420</v>
      </c>
      <c r="D413" s="44" t="s">
        <v>596</v>
      </c>
      <c r="E413" s="44" t="s">
        <v>600</v>
      </c>
      <c r="F413" s="45"/>
      <c r="G413" s="45"/>
      <c r="H413" s="45"/>
      <c r="I413" s="45"/>
      <c r="J413" s="46">
        <f>IF(VLOOKUP($C413,REV!$C:$AA,8,0)-'TRADE IN'!$F413=0,"",(VLOOKUP($C413,REV!$C:$AA,8,0)-'TRADE IN'!$F413))</f>
        <v>599</v>
      </c>
      <c r="K413" s="46">
        <f>IF(VLOOKUP($C413,REV!$C:$AA,9,0)-'TRADE IN'!$F413=0,"",(VLOOKUP($C413,REV!$C:$AA,9,0)-'TRADE IN'!$F413))</f>
        <v>599</v>
      </c>
      <c r="L413" s="46">
        <f>IF(VLOOKUP($C413,REV!$C:$AA,10,0)-'TRADE IN'!$F422=0,"",(VLOOKUP($C413,REV!$C:$AA,10,0)-'TRADE IN'!$F413))</f>
        <v>599</v>
      </c>
      <c r="M413" s="46">
        <f>IF(VLOOKUP($C413,REV!$C:$AA,11,0)-'TRADE IN'!$F422=0,"",(VLOOKUP($C413,REV!$C:$AA,11,0)-'TRADE IN'!$F413))</f>
        <v>599</v>
      </c>
      <c r="N413" s="46">
        <f>IF(VLOOKUP($C413,REV!$C:$AA,12,0)-'TRADE IN'!$F422=0,"",(VLOOKUP($C413,REV!$C:$AA,12,0)-'TRADE IN'!$F413))</f>
        <v>599</v>
      </c>
      <c r="O413" s="46">
        <f>IF(VLOOKUP($C413,REV!$C:$AA,13,0)-'TRADE IN'!$F422=0,"",(VLOOKUP($C413,REV!$C:$AA,13,0)-'TRADE IN'!$F413))</f>
        <v>549</v>
      </c>
      <c r="P413" s="46">
        <f>IF(VLOOKUP($C413,REV!$C:$AA,14,0)-'TRADE IN'!$F422=0,"",(VLOOKUP($C413,REV!$C:$AA,14,0)-'TRADE IN'!$F413))</f>
        <v>499</v>
      </c>
      <c r="Q413" s="46">
        <f>IF(VLOOKUP($C413,REV!$C:$AA,15,0)-'TRADE IN'!$F422=0,"",(VLOOKUP($C413,REV!$C:$AA,15,0)-'TRADE IN'!$F413))</f>
        <v>449</v>
      </c>
      <c r="R413" s="46">
        <f>IF(VLOOKUP($C413,REV!$C:$AA,16,0)-'TRADE IN'!$F422=0,"",(VLOOKUP($C413,REV!$C:$AA,16,0)-'TRADE IN'!$F413))</f>
        <v>549</v>
      </c>
      <c r="S413" s="46">
        <f>IF(VLOOKUP($C413,REV!$C:$AA,17,0)-'TRADE IN'!$F422=0,"",(VLOOKUP($C413,REV!$C:$AA,17,0)-'TRADE IN'!$F413))</f>
        <v>499</v>
      </c>
      <c r="T413" s="46">
        <f>IF(VLOOKUP($C413,REV!$C:$AA,18,0)-'TRADE IN'!$F422=0,"",(VLOOKUP($C413,REV!$C:$AA,18,0)-'TRADE IN'!$F413))</f>
        <v>449</v>
      </c>
      <c r="U413" s="46">
        <f>IF(VLOOKUP($C413,REV!$C:$AA,19,0)-'TRADE IN'!$F422=0,"",(VLOOKUP($C413,REV!$C:$AA,19,0)-'TRADE IN'!$F413))</f>
        <v>449</v>
      </c>
      <c r="V413" s="46">
        <f>IF(VLOOKUP($C413,REV!$C:$AA,20,0)-'TRADE IN'!$F422=0,"",(VLOOKUP($C413,REV!$C:$AA,20,0)-'TRADE IN'!$F413))</f>
        <v>449</v>
      </c>
      <c r="W413" s="46">
        <f>IF(VLOOKUP($C413,REV!$C:$AA,21,0)-'TRADE IN'!$F422=0,"",(VLOOKUP($C413,REV!$C:$AA,21,0)-'TRADE IN'!$F413))</f>
        <v>449</v>
      </c>
      <c r="X413" s="46">
        <f>IF(VLOOKUP($C413,REV!$C:$AA,22,0)-'TRADE IN'!$F422=0,"",(VLOOKUP($C413,REV!$C:$AA,22,0)-'TRADE IN'!$F413))</f>
        <v>449</v>
      </c>
      <c r="Y413" s="46">
        <f>IF(VLOOKUP($C413,REV!$C:$AA,23,0)-'TRADE IN'!$F422=0,"",(VLOOKUP($C413,REV!$C:$AA,23,0)-'TRADE IN'!$F413))</f>
        <v>449</v>
      </c>
      <c r="Z413" s="46">
        <f>IF(VLOOKUP($C413,REV!$C:$AA,24,0)-'TRADE IN'!$F422=0,"",(VLOOKUP($C413,REV!$C:$AA,24,0)-'TRADE IN'!$F413))</f>
        <v>449</v>
      </c>
      <c r="AA413" s="46">
        <f>IF(VLOOKUP($C413,REV!$C:$AA,25,0)-'TRADE IN'!$F422=0,"",(VLOOKUP($C413,REV!$C:$AA,25,0)-'TRADE IN'!$F413))</f>
        <v>449</v>
      </c>
      <c r="AB413" s="46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tr">
        <f>IF(REV!AW413=0,"",REV!AW413)</f>
        <v>31.03.2026</v>
      </c>
      <c r="AX413" s="159" t="s">
        <v>66</v>
      </c>
    </row>
    <row r="414" spans="1:50" ht="22.5" customHeight="1">
      <c r="A414" s="50" t="s">
        <v>61</v>
      </c>
      <c r="B414" s="41" t="s">
        <v>62</v>
      </c>
      <c r="C414" s="42">
        <v>4015256</v>
      </c>
      <c r="D414" s="44" t="s">
        <v>601</v>
      </c>
      <c r="E414" s="44" t="s">
        <v>602</v>
      </c>
      <c r="F414" s="45"/>
      <c r="G414" s="45"/>
      <c r="H414" s="45"/>
      <c r="I414" s="45"/>
      <c r="J414" s="46">
        <f>IF(VLOOKUP($C414,REV!$C:$AA,8,0)-'TRADE IN'!$F414=0,"",(VLOOKUP($C414,REV!$C:$AA,8,0)-'TRADE IN'!$F414))</f>
        <v>599</v>
      </c>
      <c r="K414" s="46">
        <f>IF(VLOOKUP($C414,REV!$C:$AA,9,0)-'TRADE IN'!$F414=0,"",(VLOOKUP($C414,REV!$C:$AA,9,0)-'TRADE IN'!$F414))</f>
        <v>599</v>
      </c>
      <c r="L414" s="46">
        <f>IF(VLOOKUP($C414,REV!$C:$AA,10,0)-'TRADE IN'!$F423=0,"",(VLOOKUP($C414,REV!$C:$AA,10,0)-'TRADE IN'!$F414))</f>
        <v>599</v>
      </c>
      <c r="M414" s="46">
        <f>IF(VLOOKUP($C414,REV!$C:$AA,11,0)-'TRADE IN'!$F423=0,"",(VLOOKUP($C414,REV!$C:$AA,11,0)-'TRADE IN'!$F414))</f>
        <v>599</v>
      </c>
      <c r="N414" s="46">
        <f>IF(VLOOKUP($C414,REV!$C:$AA,12,0)-'TRADE IN'!$F423=0,"",(VLOOKUP($C414,REV!$C:$AA,12,0)-'TRADE IN'!$F414))</f>
        <v>599</v>
      </c>
      <c r="O414" s="46">
        <f>IF(VLOOKUP($C414,REV!$C:$AA,13,0)-'TRADE IN'!$F423=0,"",(VLOOKUP($C414,REV!$C:$AA,13,0)-'TRADE IN'!$F414))</f>
        <v>599</v>
      </c>
      <c r="P414" s="46">
        <f>IF(VLOOKUP($C414,REV!$C:$AA,14,0)-'TRADE IN'!$F423=0,"",(VLOOKUP($C414,REV!$C:$AA,14,0)-'TRADE IN'!$F414))</f>
        <v>599</v>
      </c>
      <c r="Q414" s="46">
        <f>IF(VLOOKUP($C414,REV!$C:$AA,15,0)-'TRADE IN'!$F423=0,"",(VLOOKUP($C414,REV!$C:$AA,15,0)-'TRADE IN'!$F414))</f>
        <v>599</v>
      </c>
      <c r="R414" s="46">
        <f>IF(VLOOKUP($C414,REV!$C:$AA,16,0)-'TRADE IN'!$F423=0,"",(VLOOKUP($C414,REV!$C:$AA,16,0)-'TRADE IN'!$F414))</f>
        <v>599</v>
      </c>
      <c r="S414" s="46">
        <f>IF(VLOOKUP($C414,REV!$C:$AA,17,0)-'TRADE IN'!$F423=0,"",(VLOOKUP($C414,REV!$C:$AA,17,0)-'TRADE IN'!$F414))</f>
        <v>599</v>
      </c>
      <c r="T414" s="46">
        <f>IF(VLOOKUP($C414,REV!$C:$AA,18,0)-'TRADE IN'!$F423=0,"",(VLOOKUP($C414,REV!$C:$AA,18,0)-'TRADE IN'!$F414))</f>
        <v>599</v>
      </c>
      <c r="U414" s="46">
        <f>IF(VLOOKUP($C414,REV!$C:$AA,19,0)-'TRADE IN'!$F423=0,"",(VLOOKUP($C414,REV!$C:$AA,19,0)-'TRADE IN'!$F414))</f>
        <v>599</v>
      </c>
      <c r="V414" s="46">
        <f>IF(VLOOKUP($C414,REV!$C:$AA,20,0)-'TRADE IN'!$F423=0,"",(VLOOKUP($C414,REV!$C:$AA,20,0)-'TRADE IN'!$F414))</f>
        <v>599</v>
      </c>
      <c r="W414" s="46">
        <f>IF(VLOOKUP($C414,REV!$C:$AA,21,0)-'TRADE IN'!$F423=0,"",(VLOOKUP($C414,REV!$C:$AA,21,0)-'TRADE IN'!$F414))</f>
        <v>599</v>
      </c>
      <c r="X414" s="46">
        <f>IF(VLOOKUP($C414,REV!$C:$AA,22,0)-'TRADE IN'!$F423=0,"",(VLOOKUP($C414,REV!$C:$AA,22,0)-'TRADE IN'!$F414))</f>
        <v>599</v>
      </c>
      <c r="Y414" s="46">
        <f>IF(VLOOKUP($C414,REV!$C:$AA,23,0)-'TRADE IN'!$F423=0,"",(VLOOKUP($C414,REV!$C:$AA,23,0)-'TRADE IN'!$F414))</f>
        <v>599</v>
      </c>
      <c r="Z414" s="46">
        <f>IF(VLOOKUP($C414,REV!$C:$AA,24,0)-'TRADE IN'!$F423=0,"",(VLOOKUP($C414,REV!$C:$AA,24,0)-'TRADE IN'!$F414))</f>
        <v>599</v>
      </c>
      <c r="AA414" s="46">
        <f>IF(VLOOKUP($C414,REV!$C:$AA,25,0)-'TRADE IN'!$F423=0,"",(VLOOKUP($C414,REV!$C:$AA,25,0)-'TRADE IN'!$F414))</f>
        <v>599</v>
      </c>
      <c r="AB414" s="46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tr">
        <f>IF(REV!AW414=0,"",REV!AW414)</f>
        <v>31.03.2026</v>
      </c>
      <c r="AX414" s="159" t="s">
        <v>82</v>
      </c>
    </row>
    <row r="415" spans="1:50" ht="22.5" customHeight="1">
      <c r="A415" s="50" t="s">
        <v>61</v>
      </c>
      <c r="B415" s="41" t="s">
        <v>62</v>
      </c>
      <c r="C415" s="42">
        <v>4015257</v>
      </c>
      <c r="D415" s="44" t="s">
        <v>601</v>
      </c>
      <c r="E415" s="44" t="s">
        <v>603</v>
      </c>
      <c r="F415" s="45"/>
      <c r="G415" s="45"/>
      <c r="H415" s="45"/>
      <c r="I415" s="45"/>
      <c r="J415" s="46">
        <f>IF(VLOOKUP($C415,REV!$C:$AA,8,0)-'TRADE IN'!$F415=0,"",(VLOOKUP($C415,REV!$C:$AA,8,0)-'TRADE IN'!$F415))</f>
        <v>599</v>
      </c>
      <c r="K415" s="46">
        <f>IF(VLOOKUP($C415,REV!$C:$AA,9,0)-'TRADE IN'!$F415=0,"",(VLOOKUP($C415,REV!$C:$AA,9,0)-'TRADE IN'!$F415))</f>
        <v>599</v>
      </c>
      <c r="L415" s="46">
        <f>IF(VLOOKUP($C415,REV!$C:$AA,10,0)-'TRADE IN'!$F424=0,"",(VLOOKUP($C415,REV!$C:$AA,10,0)-'TRADE IN'!$F415))</f>
        <v>599</v>
      </c>
      <c r="M415" s="46">
        <f>IF(VLOOKUP($C415,REV!$C:$AA,11,0)-'TRADE IN'!$F424=0,"",(VLOOKUP($C415,REV!$C:$AA,11,0)-'TRADE IN'!$F415))</f>
        <v>599</v>
      </c>
      <c r="N415" s="46">
        <f>IF(VLOOKUP($C415,REV!$C:$AA,12,0)-'TRADE IN'!$F424=0,"",(VLOOKUP($C415,REV!$C:$AA,12,0)-'TRADE IN'!$F415))</f>
        <v>599</v>
      </c>
      <c r="O415" s="46">
        <f>IF(VLOOKUP($C415,REV!$C:$AA,13,0)-'TRADE IN'!$F424=0,"",(VLOOKUP($C415,REV!$C:$AA,13,0)-'TRADE IN'!$F415))</f>
        <v>599</v>
      </c>
      <c r="P415" s="46">
        <f>IF(VLOOKUP($C415,REV!$C:$AA,14,0)-'TRADE IN'!$F424=0,"",(VLOOKUP($C415,REV!$C:$AA,14,0)-'TRADE IN'!$F415))</f>
        <v>599</v>
      </c>
      <c r="Q415" s="46">
        <f>IF(VLOOKUP($C415,REV!$C:$AA,15,0)-'TRADE IN'!$F424=0,"",(VLOOKUP($C415,REV!$C:$AA,15,0)-'TRADE IN'!$F415))</f>
        <v>599</v>
      </c>
      <c r="R415" s="46">
        <f>IF(VLOOKUP($C415,REV!$C:$AA,16,0)-'TRADE IN'!$F424=0,"",(VLOOKUP($C415,REV!$C:$AA,16,0)-'TRADE IN'!$F415))</f>
        <v>599</v>
      </c>
      <c r="S415" s="46">
        <f>IF(VLOOKUP($C415,REV!$C:$AA,17,0)-'TRADE IN'!$F424=0,"",(VLOOKUP($C415,REV!$C:$AA,17,0)-'TRADE IN'!$F415))</f>
        <v>599</v>
      </c>
      <c r="T415" s="46">
        <f>IF(VLOOKUP($C415,REV!$C:$AA,18,0)-'TRADE IN'!$F424=0,"",(VLOOKUP($C415,REV!$C:$AA,18,0)-'TRADE IN'!$F415))</f>
        <v>599</v>
      </c>
      <c r="U415" s="46">
        <f>IF(VLOOKUP($C415,REV!$C:$AA,19,0)-'TRADE IN'!$F424=0,"",(VLOOKUP($C415,REV!$C:$AA,19,0)-'TRADE IN'!$F415))</f>
        <v>599</v>
      </c>
      <c r="V415" s="46">
        <f>IF(VLOOKUP($C415,REV!$C:$AA,20,0)-'TRADE IN'!$F424=0,"",(VLOOKUP($C415,REV!$C:$AA,20,0)-'TRADE IN'!$F415))</f>
        <v>599</v>
      </c>
      <c r="W415" s="46">
        <f>IF(VLOOKUP($C415,REV!$C:$AA,21,0)-'TRADE IN'!$F424=0,"",(VLOOKUP($C415,REV!$C:$AA,21,0)-'TRADE IN'!$F415))</f>
        <v>599</v>
      </c>
      <c r="X415" s="46">
        <f>IF(VLOOKUP($C415,REV!$C:$AA,22,0)-'TRADE IN'!$F424=0,"",(VLOOKUP($C415,REV!$C:$AA,22,0)-'TRADE IN'!$F415))</f>
        <v>599</v>
      </c>
      <c r="Y415" s="46">
        <f>IF(VLOOKUP($C415,REV!$C:$AA,23,0)-'TRADE IN'!$F424=0,"",(VLOOKUP($C415,REV!$C:$AA,23,0)-'TRADE IN'!$F415))</f>
        <v>599</v>
      </c>
      <c r="Z415" s="46">
        <f>IF(VLOOKUP($C415,REV!$C:$AA,24,0)-'TRADE IN'!$F424=0,"",(VLOOKUP($C415,REV!$C:$AA,24,0)-'TRADE IN'!$F415))</f>
        <v>599</v>
      </c>
      <c r="AA415" s="46">
        <f>IF(VLOOKUP($C415,REV!$C:$AA,25,0)-'TRADE IN'!$F424=0,"",(VLOOKUP($C415,REV!$C:$AA,25,0)-'TRADE IN'!$F415))</f>
        <v>599</v>
      </c>
      <c r="AB415" s="46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tr">
        <f>IF(REV!AW415=0,"",REV!AW415)</f>
        <v>31.03.2026</v>
      </c>
      <c r="AX415" s="159" t="s">
        <v>82</v>
      </c>
    </row>
    <row r="416" spans="1:50" ht="22.5" customHeight="1">
      <c r="A416" s="50" t="s">
        <v>61</v>
      </c>
      <c r="B416" s="41" t="s">
        <v>62</v>
      </c>
      <c r="C416" s="42">
        <v>4015258</v>
      </c>
      <c r="D416" s="44" t="s">
        <v>601</v>
      </c>
      <c r="E416" s="44" t="s">
        <v>604</v>
      </c>
      <c r="F416" s="45"/>
      <c r="G416" s="45"/>
      <c r="H416" s="45"/>
      <c r="I416" s="45"/>
      <c r="J416" s="46">
        <f>IF(VLOOKUP($C416,REV!$C:$AA,8,0)-'TRADE IN'!$F416=0,"",(VLOOKUP($C416,REV!$C:$AA,8,0)-'TRADE IN'!$F416))</f>
        <v>599</v>
      </c>
      <c r="K416" s="46">
        <f>IF(VLOOKUP($C416,REV!$C:$AA,9,0)-'TRADE IN'!$F416=0,"",(VLOOKUP($C416,REV!$C:$AA,9,0)-'TRADE IN'!$F416))</f>
        <v>599</v>
      </c>
      <c r="L416" s="46">
        <f>IF(VLOOKUP($C416,REV!$C:$AA,10,0)-'TRADE IN'!$F425=0,"",(VLOOKUP($C416,REV!$C:$AA,10,0)-'TRADE IN'!$F416))</f>
        <v>599</v>
      </c>
      <c r="M416" s="46">
        <f>IF(VLOOKUP($C416,REV!$C:$AA,11,0)-'TRADE IN'!$F425=0,"",(VLOOKUP($C416,REV!$C:$AA,11,0)-'TRADE IN'!$F416))</f>
        <v>599</v>
      </c>
      <c r="N416" s="46">
        <f>IF(VLOOKUP($C416,REV!$C:$AA,12,0)-'TRADE IN'!$F425=0,"",(VLOOKUP($C416,REV!$C:$AA,12,0)-'TRADE IN'!$F416))</f>
        <v>599</v>
      </c>
      <c r="O416" s="46">
        <f>IF(VLOOKUP($C416,REV!$C:$AA,13,0)-'TRADE IN'!$F425=0,"",(VLOOKUP($C416,REV!$C:$AA,13,0)-'TRADE IN'!$F416))</f>
        <v>599</v>
      </c>
      <c r="P416" s="46">
        <f>IF(VLOOKUP($C416,REV!$C:$AA,14,0)-'TRADE IN'!$F425=0,"",(VLOOKUP($C416,REV!$C:$AA,14,0)-'TRADE IN'!$F416))</f>
        <v>599</v>
      </c>
      <c r="Q416" s="46">
        <f>IF(VLOOKUP($C416,REV!$C:$AA,15,0)-'TRADE IN'!$F425=0,"",(VLOOKUP($C416,REV!$C:$AA,15,0)-'TRADE IN'!$F416))</f>
        <v>599</v>
      </c>
      <c r="R416" s="46">
        <f>IF(VLOOKUP($C416,REV!$C:$AA,16,0)-'TRADE IN'!$F425=0,"",(VLOOKUP($C416,REV!$C:$AA,16,0)-'TRADE IN'!$F416))</f>
        <v>599</v>
      </c>
      <c r="S416" s="46">
        <f>IF(VLOOKUP($C416,REV!$C:$AA,17,0)-'TRADE IN'!$F425=0,"",(VLOOKUP($C416,REV!$C:$AA,17,0)-'TRADE IN'!$F416))</f>
        <v>599</v>
      </c>
      <c r="T416" s="46">
        <f>IF(VLOOKUP($C416,REV!$C:$AA,18,0)-'TRADE IN'!$F425=0,"",(VLOOKUP($C416,REV!$C:$AA,18,0)-'TRADE IN'!$F416))</f>
        <v>599</v>
      </c>
      <c r="U416" s="46">
        <f>IF(VLOOKUP($C416,REV!$C:$AA,19,0)-'TRADE IN'!$F425=0,"",(VLOOKUP($C416,REV!$C:$AA,19,0)-'TRADE IN'!$F416))</f>
        <v>599</v>
      </c>
      <c r="V416" s="46">
        <f>IF(VLOOKUP($C416,REV!$C:$AA,20,0)-'TRADE IN'!$F425=0,"",(VLOOKUP($C416,REV!$C:$AA,20,0)-'TRADE IN'!$F416))</f>
        <v>599</v>
      </c>
      <c r="W416" s="46">
        <f>IF(VLOOKUP($C416,REV!$C:$AA,21,0)-'TRADE IN'!$F425=0,"",(VLOOKUP($C416,REV!$C:$AA,21,0)-'TRADE IN'!$F416))</f>
        <v>599</v>
      </c>
      <c r="X416" s="46">
        <f>IF(VLOOKUP($C416,REV!$C:$AA,22,0)-'TRADE IN'!$F425=0,"",(VLOOKUP($C416,REV!$C:$AA,22,0)-'TRADE IN'!$F416))</f>
        <v>599</v>
      </c>
      <c r="Y416" s="46">
        <f>IF(VLOOKUP($C416,REV!$C:$AA,23,0)-'TRADE IN'!$F425=0,"",(VLOOKUP($C416,REV!$C:$AA,23,0)-'TRADE IN'!$F416))</f>
        <v>599</v>
      </c>
      <c r="Z416" s="46">
        <f>IF(VLOOKUP($C416,REV!$C:$AA,24,0)-'TRADE IN'!$F425=0,"",(VLOOKUP($C416,REV!$C:$AA,24,0)-'TRADE IN'!$F416))</f>
        <v>599</v>
      </c>
      <c r="AA416" s="46">
        <f>IF(VLOOKUP($C416,REV!$C:$AA,25,0)-'TRADE IN'!$F425=0,"",(VLOOKUP($C416,REV!$C:$AA,25,0)-'TRADE IN'!$F416))</f>
        <v>599</v>
      </c>
      <c r="AB416" s="46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tr">
        <f>IF(REV!AW416=0,"",REV!AW416)</f>
        <v>31.03.2026</v>
      </c>
      <c r="AX416" s="159" t="s">
        <v>82</v>
      </c>
    </row>
    <row r="417" spans="1:50" ht="22.5" customHeight="1">
      <c r="A417" s="50" t="s">
        <v>61</v>
      </c>
      <c r="B417" s="41" t="s">
        <v>62</v>
      </c>
      <c r="C417" s="42">
        <v>4015259</v>
      </c>
      <c r="D417" s="44" t="s">
        <v>601</v>
      </c>
      <c r="E417" s="44" t="s">
        <v>605</v>
      </c>
      <c r="F417" s="45"/>
      <c r="G417" s="45"/>
      <c r="H417" s="45"/>
      <c r="I417" s="45"/>
      <c r="J417" s="46">
        <f>IF(VLOOKUP($C417,REV!$C:$AA,8,0)-'TRADE IN'!$F417=0,"",(VLOOKUP($C417,REV!$C:$AA,8,0)-'TRADE IN'!$F417))</f>
        <v>599</v>
      </c>
      <c r="K417" s="46">
        <f>IF(VLOOKUP($C417,REV!$C:$AA,9,0)-'TRADE IN'!$F417=0,"",(VLOOKUP($C417,REV!$C:$AA,9,0)-'TRADE IN'!$F417))</f>
        <v>599</v>
      </c>
      <c r="L417" s="46">
        <f>IF(VLOOKUP($C417,REV!$C:$AA,10,0)-'TRADE IN'!$F426=0,"",(VLOOKUP($C417,REV!$C:$AA,10,0)-'TRADE IN'!$F417))</f>
        <v>599</v>
      </c>
      <c r="M417" s="46">
        <f>IF(VLOOKUP($C417,REV!$C:$AA,11,0)-'TRADE IN'!$F426=0,"",(VLOOKUP($C417,REV!$C:$AA,11,0)-'TRADE IN'!$F417))</f>
        <v>599</v>
      </c>
      <c r="N417" s="46">
        <f>IF(VLOOKUP($C417,REV!$C:$AA,12,0)-'TRADE IN'!$F426=0,"",(VLOOKUP($C417,REV!$C:$AA,12,0)-'TRADE IN'!$F417))</f>
        <v>599</v>
      </c>
      <c r="O417" s="46">
        <f>IF(VLOOKUP($C417,REV!$C:$AA,13,0)-'TRADE IN'!$F426=0,"",(VLOOKUP($C417,REV!$C:$AA,13,0)-'TRADE IN'!$F417))</f>
        <v>599</v>
      </c>
      <c r="P417" s="46">
        <f>IF(VLOOKUP($C417,REV!$C:$AA,14,0)-'TRADE IN'!$F426=0,"",(VLOOKUP($C417,REV!$C:$AA,14,0)-'TRADE IN'!$F417))</f>
        <v>599</v>
      </c>
      <c r="Q417" s="46">
        <f>IF(VLOOKUP($C417,REV!$C:$AA,15,0)-'TRADE IN'!$F426=0,"",(VLOOKUP($C417,REV!$C:$AA,15,0)-'TRADE IN'!$F417))</f>
        <v>599</v>
      </c>
      <c r="R417" s="46">
        <f>IF(VLOOKUP($C417,REV!$C:$AA,16,0)-'TRADE IN'!$F426=0,"",(VLOOKUP($C417,REV!$C:$AA,16,0)-'TRADE IN'!$F417))</f>
        <v>599</v>
      </c>
      <c r="S417" s="46">
        <f>IF(VLOOKUP($C417,REV!$C:$AA,17,0)-'TRADE IN'!$F426=0,"",(VLOOKUP($C417,REV!$C:$AA,17,0)-'TRADE IN'!$F417))</f>
        <v>599</v>
      </c>
      <c r="T417" s="46">
        <f>IF(VLOOKUP($C417,REV!$C:$AA,18,0)-'TRADE IN'!$F426=0,"",(VLOOKUP($C417,REV!$C:$AA,18,0)-'TRADE IN'!$F417))</f>
        <v>599</v>
      </c>
      <c r="U417" s="46">
        <f>IF(VLOOKUP($C417,REV!$C:$AA,19,0)-'TRADE IN'!$F426=0,"",(VLOOKUP($C417,REV!$C:$AA,19,0)-'TRADE IN'!$F417))</f>
        <v>599</v>
      </c>
      <c r="V417" s="46">
        <f>IF(VLOOKUP($C417,REV!$C:$AA,20,0)-'TRADE IN'!$F426=0,"",(VLOOKUP($C417,REV!$C:$AA,20,0)-'TRADE IN'!$F417))</f>
        <v>599</v>
      </c>
      <c r="W417" s="46">
        <f>IF(VLOOKUP($C417,REV!$C:$AA,21,0)-'TRADE IN'!$F426=0,"",(VLOOKUP($C417,REV!$C:$AA,21,0)-'TRADE IN'!$F417))</f>
        <v>599</v>
      </c>
      <c r="X417" s="46">
        <f>IF(VLOOKUP($C417,REV!$C:$AA,22,0)-'TRADE IN'!$F426=0,"",(VLOOKUP($C417,REV!$C:$AA,22,0)-'TRADE IN'!$F417))</f>
        <v>599</v>
      </c>
      <c r="Y417" s="46">
        <f>IF(VLOOKUP($C417,REV!$C:$AA,23,0)-'TRADE IN'!$F426=0,"",(VLOOKUP($C417,REV!$C:$AA,23,0)-'TRADE IN'!$F417))</f>
        <v>599</v>
      </c>
      <c r="Z417" s="46">
        <f>IF(VLOOKUP($C417,REV!$C:$AA,24,0)-'TRADE IN'!$F426=0,"",(VLOOKUP($C417,REV!$C:$AA,24,0)-'TRADE IN'!$F417))</f>
        <v>599</v>
      </c>
      <c r="AA417" s="46">
        <f>IF(VLOOKUP($C417,REV!$C:$AA,25,0)-'TRADE IN'!$F426=0,"",(VLOOKUP($C417,REV!$C:$AA,25,0)-'TRADE IN'!$F417))</f>
        <v>599</v>
      </c>
      <c r="AB417" s="46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tr">
        <f>IF(REV!AW417=0,"",REV!AW417)</f>
        <v>31.03.2026</v>
      </c>
      <c r="AX417" s="159" t="s">
        <v>82</v>
      </c>
    </row>
    <row r="418" spans="1:50" ht="22.5" customHeight="1">
      <c r="A418" s="50" t="s">
        <v>61</v>
      </c>
      <c r="B418" s="41" t="s">
        <v>62</v>
      </c>
      <c r="C418" s="42">
        <v>4015260</v>
      </c>
      <c r="D418" s="44" t="s">
        <v>601</v>
      </c>
      <c r="E418" s="44" t="s">
        <v>606</v>
      </c>
      <c r="F418" s="45"/>
      <c r="G418" s="45"/>
      <c r="H418" s="45"/>
      <c r="I418" s="45"/>
      <c r="J418" s="46">
        <f>IF(VLOOKUP($C418,REV!$C:$AA,8,0)-'TRADE IN'!$F418=0,"",(VLOOKUP($C418,REV!$C:$AA,8,0)-'TRADE IN'!$F418))</f>
        <v>599</v>
      </c>
      <c r="K418" s="46">
        <f>IF(VLOOKUP($C418,REV!$C:$AA,9,0)-'TRADE IN'!$F418=0,"",(VLOOKUP($C418,REV!$C:$AA,9,0)-'TRADE IN'!$F418))</f>
        <v>599</v>
      </c>
      <c r="L418" s="46">
        <f>IF(VLOOKUP($C418,REV!$C:$AA,10,0)-'TRADE IN'!$F427=0,"",(VLOOKUP($C418,REV!$C:$AA,10,0)-'TRADE IN'!$F418))</f>
        <v>599</v>
      </c>
      <c r="M418" s="46">
        <f>IF(VLOOKUP($C418,REV!$C:$AA,11,0)-'TRADE IN'!$F427=0,"",(VLOOKUP($C418,REV!$C:$AA,11,0)-'TRADE IN'!$F418))</f>
        <v>599</v>
      </c>
      <c r="N418" s="46">
        <f>IF(VLOOKUP($C418,REV!$C:$AA,12,0)-'TRADE IN'!$F427=0,"",(VLOOKUP($C418,REV!$C:$AA,12,0)-'TRADE IN'!$F418))</f>
        <v>599</v>
      </c>
      <c r="O418" s="46">
        <f>IF(VLOOKUP($C418,REV!$C:$AA,13,0)-'TRADE IN'!$F427=0,"",(VLOOKUP($C418,REV!$C:$AA,13,0)-'TRADE IN'!$F418))</f>
        <v>599</v>
      </c>
      <c r="P418" s="46">
        <f>IF(VLOOKUP($C418,REV!$C:$AA,14,0)-'TRADE IN'!$F427=0,"",(VLOOKUP($C418,REV!$C:$AA,14,0)-'TRADE IN'!$F418))</f>
        <v>599</v>
      </c>
      <c r="Q418" s="46">
        <f>IF(VLOOKUP($C418,REV!$C:$AA,15,0)-'TRADE IN'!$F427=0,"",(VLOOKUP($C418,REV!$C:$AA,15,0)-'TRADE IN'!$F418))</f>
        <v>599</v>
      </c>
      <c r="R418" s="46">
        <f>IF(VLOOKUP($C418,REV!$C:$AA,16,0)-'TRADE IN'!$F427=0,"",(VLOOKUP($C418,REV!$C:$AA,16,0)-'TRADE IN'!$F418))</f>
        <v>599</v>
      </c>
      <c r="S418" s="46">
        <f>IF(VLOOKUP($C418,REV!$C:$AA,17,0)-'TRADE IN'!$F427=0,"",(VLOOKUP($C418,REV!$C:$AA,17,0)-'TRADE IN'!$F418))</f>
        <v>599</v>
      </c>
      <c r="T418" s="46">
        <f>IF(VLOOKUP($C418,REV!$C:$AA,18,0)-'TRADE IN'!$F427=0,"",(VLOOKUP($C418,REV!$C:$AA,18,0)-'TRADE IN'!$F418))</f>
        <v>599</v>
      </c>
      <c r="U418" s="46">
        <f>IF(VLOOKUP($C418,REV!$C:$AA,19,0)-'TRADE IN'!$F427=0,"",(VLOOKUP($C418,REV!$C:$AA,19,0)-'TRADE IN'!$F418))</f>
        <v>599</v>
      </c>
      <c r="V418" s="46">
        <f>IF(VLOOKUP($C418,REV!$C:$AA,20,0)-'TRADE IN'!$F427=0,"",(VLOOKUP($C418,REV!$C:$AA,20,0)-'TRADE IN'!$F418))</f>
        <v>599</v>
      </c>
      <c r="W418" s="46">
        <f>IF(VLOOKUP($C418,REV!$C:$AA,21,0)-'TRADE IN'!$F427=0,"",(VLOOKUP($C418,REV!$C:$AA,21,0)-'TRADE IN'!$F418))</f>
        <v>599</v>
      </c>
      <c r="X418" s="46">
        <f>IF(VLOOKUP($C418,REV!$C:$AA,22,0)-'TRADE IN'!$F427=0,"",(VLOOKUP($C418,REV!$C:$AA,22,0)-'TRADE IN'!$F418))</f>
        <v>599</v>
      </c>
      <c r="Y418" s="46">
        <f>IF(VLOOKUP($C418,REV!$C:$AA,23,0)-'TRADE IN'!$F427=0,"",(VLOOKUP($C418,REV!$C:$AA,23,0)-'TRADE IN'!$F418))</f>
        <v>599</v>
      </c>
      <c r="Z418" s="46">
        <f>IF(VLOOKUP($C418,REV!$C:$AA,24,0)-'TRADE IN'!$F427=0,"",(VLOOKUP($C418,REV!$C:$AA,24,0)-'TRADE IN'!$F418))</f>
        <v>599</v>
      </c>
      <c r="AA418" s="46">
        <f>IF(VLOOKUP($C418,REV!$C:$AA,25,0)-'TRADE IN'!$F427=0,"",(VLOOKUP($C418,REV!$C:$AA,25,0)-'TRADE IN'!$F418))</f>
        <v>599</v>
      </c>
      <c r="AB418" s="46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tr">
        <f>IF(REV!AW418=0,"",REV!AW418)</f>
        <v>31.03.2026</v>
      </c>
      <c r="AX418" s="159" t="s">
        <v>82</v>
      </c>
    </row>
    <row r="419" spans="1:50" ht="22.5" customHeight="1">
      <c r="A419" s="50" t="s">
        <v>61</v>
      </c>
      <c r="B419" s="41" t="s">
        <v>62</v>
      </c>
      <c r="C419" s="42">
        <v>4015261</v>
      </c>
      <c r="D419" s="44" t="s">
        <v>601</v>
      </c>
      <c r="E419" s="44" t="s">
        <v>607</v>
      </c>
      <c r="F419" s="45"/>
      <c r="G419" s="45"/>
      <c r="H419" s="45"/>
      <c r="I419" s="45"/>
      <c r="J419" s="46">
        <f>IF(VLOOKUP($C419,REV!$C:$AA,8,0)-'TRADE IN'!$F419=0,"",(VLOOKUP($C419,REV!$C:$AA,8,0)-'TRADE IN'!$F419))</f>
        <v>599</v>
      </c>
      <c r="K419" s="46">
        <f>IF(VLOOKUP($C419,REV!$C:$AA,9,0)-'TRADE IN'!$F419=0,"",(VLOOKUP($C419,REV!$C:$AA,9,0)-'TRADE IN'!$F419))</f>
        <v>599</v>
      </c>
      <c r="L419" s="46">
        <f>IF(VLOOKUP($C419,REV!$C:$AA,10,0)-'TRADE IN'!$F428=0,"",(VLOOKUP($C419,REV!$C:$AA,10,0)-'TRADE IN'!$F419))</f>
        <v>599</v>
      </c>
      <c r="M419" s="46">
        <f>IF(VLOOKUP($C419,REV!$C:$AA,11,0)-'TRADE IN'!$F428=0,"",(VLOOKUP($C419,REV!$C:$AA,11,0)-'TRADE IN'!$F419))</f>
        <v>599</v>
      </c>
      <c r="N419" s="46">
        <f>IF(VLOOKUP($C419,REV!$C:$AA,12,0)-'TRADE IN'!$F428=0,"",(VLOOKUP($C419,REV!$C:$AA,12,0)-'TRADE IN'!$F419))</f>
        <v>599</v>
      </c>
      <c r="O419" s="46">
        <f>IF(VLOOKUP($C419,REV!$C:$AA,13,0)-'TRADE IN'!$F428=0,"",(VLOOKUP($C419,REV!$C:$AA,13,0)-'TRADE IN'!$F419))</f>
        <v>599</v>
      </c>
      <c r="P419" s="46">
        <f>IF(VLOOKUP($C419,REV!$C:$AA,14,0)-'TRADE IN'!$F428=0,"",(VLOOKUP($C419,REV!$C:$AA,14,0)-'TRADE IN'!$F419))</f>
        <v>599</v>
      </c>
      <c r="Q419" s="46">
        <f>IF(VLOOKUP($C419,REV!$C:$AA,15,0)-'TRADE IN'!$F428=0,"",(VLOOKUP($C419,REV!$C:$AA,15,0)-'TRADE IN'!$F419))</f>
        <v>599</v>
      </c>
      <c r="R419" s="46">
        <f>IF(VLOOKUP($C419,REV!$C:$AA,16,0)-'TRADE IN'!$F428=0,"",(VLOOKUP($C419,REV!$C:$AA,16,0)-'TRADE IN'!$F419))</f>
        <v>599</v>
      </c>
      <c r="S419" s="46">
        <f>IF(VLOOKUP($C419,REV!$C:$AA,17,0)-'TRADE IN'!$F428=0,"",(VLOOKUP($C419,REV!$C:$AA,17,0)-'TRADE IN'!$F419))</f>
        <v>599</v>
      </c>
      <c r="T419" s="46">
        <f>IF(VLOOKUP($C419,REV!$C:$AA,18,0)-'TRADE IN'!$F428=0,"",(VLOOKUP($C419,REV!$C:$AA,18,0)-'TRADE IN'!$F419))</f>
        <v>599</v>
      </c>
      <c r="U419" s="46">
        <f>IF(VLOOKUP($C419,REV!$C:$AA,19,0)-'TRADE IN'!$F428=0,"",(VLOOKUP($C419,REV!$C:$AA,19,0)-'TRADE IN'!$F419))</f>
        <v>599</v>
      </c>
      <c r="V419" s="46">
        <f>IF(VLOOKUP($C419,REV!$C:$AA,20,0)-'TRADE IN'!$F428=0,"",(VLOOKUP($C419,REV!$C:$AA,20,0)-'TRADE IN'!$F419))</f>
        <v>599</v>
      </c>
      <c r="W419" s="46">
        <f>IF(VLOOKUP($C419,REV!$C:$AA,21,0)-'TRADE IN'!$F428=0,"",(VLOOKUP($C419,REV!$C:$AA,21,0)-'TRADE IN'!$F419))</f>
        <v>599</v>
      </c>
      <c r="X419" s="46">
        <f>IF(VLOOKUP($C419,REV!$C:$AA,22,0)-'TRADE IN'!$F428=0,"",(VLOOKUP($C419,REV!$C:$AA,22,0)-'TRADE IN'!$F419))</f>
        <v>599</v>
      </c>
      <c r="Y419" s="46">
        <f>IF(VLOOKUP($C419,REV!$C:$AA,23,0)-'TRADE IN'!$F428=0,"",(VLOOKUP($C419,REV!$C:$AA,23,0)-'TRADE IN'!$F419))</f>
        <v>599</v>
      </c>
      <c r="Z419" s="46">
        <f>IF(VLOOKUP($C419,REV!$C:$AA,24,0)-'TRADE IN'!$F428=0,"",(VLOOKUP($C419,REV!$C:$AA,24,0)-'TRADE IN'!$F419))</f>
        <v>599</v>
      </c>
      <c r="AA419" s="46">
        <f>IF(VLOOKUP($C419,REV!$C:$AA,25,0)-'TRADE IN'!$F428=0,"",(VLOOKUP($C419,REV!$C:$AA,25,0)-'TRADE IN'!$F419))</f>
        <v>599</v>
      </c>
      <c r="AB419" s="46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tr">
        <f>IF(REV!AW419=0,"",REV!AW419)</f>
        <v>31.03.2026</v>
      </c>
      <c r="AX419" s="159" t="s">
        <v>82</v>
      </c>
    </row>
    <row r="420" spans="1:50" ht="22" customHeight="1">
      <c r="A420" s="50" t="s">
        <v>61</v>
      </c>
      <c r="B420" s="41" t="s">
        <v>62</v>
      </c>
      <c r="C420" s="42">
        <v>4015563</v>
      </c>
      <c r="D420" s="44" t="s">
        <v>608</v>
      </c>
      <c r="E420" s="44" t="s">
        <v>609</v>
      </c>
      <c r="F420" s="45"/>
      <c r="G420" s="45"/>
      <c r="H420" s="45"/>
      <c r="I420" s="45"/>
      <c r="J420" s="46">
        <f>IF(VLOOKUP($C420,REV!$C:$AA,8,0)-'TRADE IN'!$F420=0,"",(VLOOKUP($C420,REV!$C:$AA,8,0)-'TRADE IN'!$F420))</f>
        <v>599</v>
      </c>
      <c r="K420" s="46">
        <f>IF(VLOOKUP($C420,REV!$C:$AA,9,0)-'TRADE IN'!$F420=0,"",(VLOOKUP($C420,REV!$C:$AA,9,0)-'TRADE IN'!$F420))</f>
        <v>599</v>
      </c>
      <c r="L420" s="46">
        <f>IF(VLOOKUP($C420,REV!$C:$AA,10,0)-'TRADE IN'!$F429=0,"",(VLOOKUP($C420,REV!$C:$AA,10,0)-'TRADE IN'!$F420))</f>
        <v>599</v>
      </c>
      <c r="M420" s="46">
        <f>IF(VLOOKUP($C420,REV!$C:$AA,11,0)-'TRADE IN'!$F429=0,"",(VLOOKUP($C420,REV!$C:$AA,11,0)-'TRADE IN'!$F420))</f>
        <v>599</v>
      </c>
      <c r="N420" s="46">
        <f>IF(VLOOKUP($C420,REV!$C:$AA,12,0)-'TRADE IN'!$F429=0,"",(VLOOKUP($C420,REV!$C:$AA,12,0)-'TRADE IN'!$F420))</f>
        <v>599</v>
      </c>
      <c r="O420" s="46">
        <f>IF(VLOOKUP($C420,REV!$C:$AA,13,0)-'TRADE IN'!$F429=0,"",(VLOOKUP($C420,REV!$C:$AA,13,0)-'TRADE IN'!$F420))</f>
        <v>549</v>
      </c>
      <c r="P420" s="46">
        <f>IF(VLOOKUP($C420,REV!$C:$AA,14,0)-'TRADE IN'!$F429=0,"",(VLOOKUP($C420,REV!$C:$AA,14,0)-'TRADE IN'!$F420))</f>
        <v>549</v>
      </c>
      <c r="Q420" s="46">
        <f>IF(VLOOKUP($C420,REV!$C:$AA,15,0)-'TRADE IN'!$F429=0,"",(VLOOKUP($C420,REV!$C:$AA,15,0)-'TRADE IN'!$F420))</f>
        <v>499</v>
      </c>
      <c r="R420" s="46">
        <f>IF(VLOOKUP($C420,REV!$C:$AA,16,0)-'TRADE IN'!$F429=0,"",(VLOOKUP($C420,REV!$C:$AA,16,0)-'TRADE IN'!$F420))</f>
        <v>549</v>
      </c>
      <c r="S420" s="46">
        <f>IF(VLOOKUP($C420,REV!$C:$AA,17,0)-'TRADE IN'!$F429=0,"",(VLOOKUP($C420,REV!$C:$AA,17,0)-'TRADE IN'!$F420))</f>
        <v>549</v>
      </c>
      <c r="T420" s="46">
        <f>IF(VLOOKUP($C420,REV!$C:$AA,18,0)-'TRADE IN'!$F429=0,"",(VLOOKUP($C420,REV!$C:$AA,18,0)-'TRADE IN'!$F420))</f>
        <v>499</v>
      </c>
      <c r="U420" s="46">
        <f>IF(VLOOKUP($C420,REV!$C:$AA,19,0)-'TRADE IN'!$F429=0,"",(VLOOKUP($C420,REV!$C:$AA,19,0)-'TRADE IN'!$F420))</f>
        <v>499</v>
      </c>
      <c r="V420" s="46">
        <f>IF(VLOOKUP($C420,REV!$C:$AA,20,0)-'TRADE IN'!$F429=0,"",(VLOOKUP($C420,REV!$C:$AA,20,0)-'TRADE IN'!$F420))</f>
        <v>499</v>
      </c>
      <c r="W420" s="46">
        <f>IF(VLOOKUP($C420,REV!$C:$AA,21,0)-'TRADE IN'!$F429=0,"",(VLOOKUP($C420,REV!$C:$AA,21,0)-'TRADE IN'!$F420))</f>
        <v>499</v>
      </c>
      <c r="X420" s="46">
        <f>IF(VLOOKUP($C420,REV!$C:$AA,22,0)-'TRADE IN'!$F429=0,"",(VLOOKUP($C420,REV!$C:$AA,22,0)-'TRADE IN'!$F420))</f>
        <v>499</v>
      </c>
      <c r="Y420" s="46">
        <f>IF(VLOOKUP($C420,REV!$C:$AA,23,0)-'TRADE IN'!$F429=0,"",(VLOOKUP($C420,REV!$C:$AA,23,0)-'TRADE IN'!$F420))</f>
        <v>499</v>
      </c>
      <c r="Z420" s="46">
        <f>IF(VLOOKUP($C420,REV!$C:$AA,24,0)-'TRADE IN'!$F429=0,"",(VLOOKUP($C420,REV!$C:$AA,24,0)-'TRADE IN'!$F420))</f>
        <v>499</v>
      </c>
      <c r="AA420" s="46">
        <f>IF(VLOOKUP($C420,REV!$C:$AA,25,0)-'TRADE IN'!$F429=0,"",(VLOOKUP($C420,REV!$C:$AA,25,0)-'TRADE IN'!$F420))</f>
        <v>499</v>
      </c>
      <c r="AB420" s="46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tr">
        <f>IF(REV!AW420=0,"",REV!AW420)</f>
        <v>31.03.2026</v>
      </c>
      <c r="AX420" s="159" t="s">
        <v>82</v>
      </c>
    </row>
    <row r="421" spans="1:50" ht="22.5" customHeight="1">
      <c r="A421" s="50" t="s">
        <v>61</v>
      </c>
      <c r="B421" s="41" t="s">
        <v>62</v>
      </c>
      <c r="C421" s="42">
        <v>4015565</v>
      </c>
      <c r="D421" s="44" t="s">
        <v>608</v>
      </c>
      <c r="E421" s="44" t="s">
        <v>610</v>
      </c>
      <c r="F421" s="45"/>
      <c r="G421" s="45"/>
      <c r="H421" s="45"/>
      <c r="I421" s="45"/>
      <c r="J421" s="46">
        <f>IF(VLOOKUP($C421,REV!$C:$AA,8,0)-'TRADE IN'!$F421=0,"",(VLOOKUP($C421,REV!$C:$AA,8,0)-'TRADE IN'!$F421))</f>
        <v>599</v>
      </c>
      <c r="K421" s="46">
        <f>IF(VLOOKUP($C421,REV!$C:$AA,9,0)-'TRADE IN'!$F421=0,"",(VLOOKUP($C421,REV!$C:$AA,9,0)-'TRADE IN'!$F421))</f>
        <v>599</v>
      </c>
      <c r="L421" s="46">
        <f>IF(VLOOKUP($C421,REV!$C:$AA,10,0)-'TRADE IN'!$F430=0,"",(VLOOKUP($C421,REV!$C:$AA,10,0)-'TRADE IN'!$F421))</f>
        <v>599</v>
      </c>
      <c r="M421" s="46">
        <f>IF(VLOOKUP($C421,REV!$C:$AA,11,0)-'TRADE IN'!$F430=0,"",(VLOOKUP($C421,REV!$C:$AA,11,0)-'TRADE IN'!$F421))</f>
        <v>599</v>
      </c>
      <c r="N421" s="46">
        <f>IF(VLOOKUP($C421,REV!$C:$AA,12,0)-'TRADE IN'!$F430=0,"",(VLOOKUP($C421,REV!$C:$AA,12,0)-'TRADE IN'!$F421))</f>
        <v>599</v>
      </c>
      <c r="O421" s="46">
        <f>IF(VLOOKUP($C421,REV!$C:$AA,13,0)-'TRADE IN'!$F430=0,"",(VLOOKUP($C421,REV!$C:$AA,13,0)-'TRADE IN'!$F421))</f>
        <v>549</v>
      </c>
      <c r="P421" s="46">
        <f>IF(VLOOKUP($C421,REV!$C:$AA,14,0)-'TRADE IN'!$F430=0,"",(VLOOKUP($C421,REV!$C:$AA,14,0)-'TRADE IN'!$F421))</f>
        <v>549</v>
      </c>
      <c r="Q421" s="46">
        <f>IF(VLOOKUP($C421,REV!$C:$AA,15,0)-'TRADE IN'!$F430=0,"",(VLOOKUP($C421,REV!$C:$AA,15,0)-'TRADE IN'!$F421))</f>
        <v>499</v>
      </c>
      <c r="R421" s="46">
        <f>IF(VLOOKUP($C421,REV!$C:$AA,16,0)-'TRADE IN'!$F430=0,"",(VLOOKUP($C421,REV!$C:$AA,16,0)-'TRADE IN'!$F421))</f>
        <v>549</v>
      </c>
      <c r="S421" s="46">
        <f>IF(VLOOKUP($C421,REV!$C:$AA,17,0)-'TRADE IN'!$F430=0,"",(VLOOKUP($C421,REV!$C:$AA,17,0)-'TRADE IN'!$F421))</f>
        <v>549</v>
      </c>
      <c r="T421" s="46">
        <f>IF(VLOOKUP($C421,REV!$C:$AA,18,0)-'TRADE IN'!$F430=0,"",(VLOOKUP($C421,REV!$C:$AA,18,0)-'TRADE IN'!$F421))</f>
        <v>499</v>
      </c>
      <c r="U421" s="46">
        <f>IF(VLOOKUP($C421,REV!$C:$AA,19,0)-'TRADE IN'!$F430=0,"",(VLOOKUP($C421,REV!$C:$AA,19,0)-'TRADE IN'!$F421))</f>
        <v>499</v>
      </c>
      <c r="V421" s="46">
        <f>IF(VLOOKUP($C421,REV!$C:$AA,20,0)-'TRADE IN'!$F430=0,"",(VLOOKUP($C421,REV!$C:$AA,20,0)-'TRADE IN'!$F421))</f>
        <v>499</v>
      </c>
      <c r="W421" s="46">
        <f>IF(VLOOKUP($C421,REV!$C:$AA,21,0)-'TRADE IN'!$F430=0,"",(VLOOKUP($C421,REV!$C:$AA,21,0)-'TRADE IN'!$F421))</f>
        <v>499</v>
      </c>
      <c r="X421" s="46">
        <f>IF(VLOOKUP($C421,REV!$C:$AA,22,0)-'TRADE IN'!$F430=0,"",(VLOOKUP($C421,REV!$C:$AA,22,0)-'TRADE IN'!$F421))</f>
        <v>499</v>
      </c>
      <c r="Y421" s="46">
        <f>IF(VLOOKUP($C421,REV!$C:$AA,23,0)-'TRADE IN'!$F430=0,"",(VLOOKUP($C421,REV!$C:$AA,23,0)-'TRADE IN'!$F421))</f>
        <v>499</v>
      </c>
      <c r="Z421" s="46">
        <f>IF(VLOOKUP($C421,REV!$C:$AA,24,0)-'TRADE IN'!$F430=0,"",(VLOOKUP($C421,REV!$C:$AA,24,0)-'TRADE IN'!$F421))</f>
        <v>499</v>
      </c>
      <c r="AA421" s="46">
        <f>IF(VLOOKUP($C421,REV!$C:$AA,25,0)-'TRADE IN'!$F430=0,"",(VLOOKUP($C421,REV!$C:$AA,25,0)-'TRADE IN'!$F421))</f>
        <v>499</v>
      </c>
      <c r="AB421" s="46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tr">
        <f>IF(REV!AW421=0,"",REV!AW421)</f>
        <v>31.03.2026</v>
      </c>
      <c r="AX421" s="159" t="s">
        <v>82</v>
      </c>
    </row>
    <row r="422" spans="1:50" ht="22.5" customHeight="1">
      <c r="A422" s="50" t="s">
        <v>61</v>
      </c>
      <c r="B422" s="41" t="s">
        <v>62</v>
      </c>
      <c r="C422" s="42">
        <v>4015567</v>
      </c>
      <c r="D422" s="44" t="s">
        <v>608</v>
      </c>
      <c r="E422" s="44" t="s">
        <v>611</v>
      </c>
      <c r="F422" s="45"/>
      <c r="G422" s="45"/>
      <c r="H422" s="45"/>
      <c r="I422" s="45"/>
      <c r="J422" s="46">
        <f>IF(VLOOKUP($C422,REV!$C:$AA,8,0)-'TRADE IN'!$F422=0,"",(VLOOKUP($C422,REV!$C:$AA,8,0)-'TRADE IN'!$F422))</f>
        <v>599</v>
      </c>
      <c r="K422" s="46">
        <f>IF(VLOOKUP($C422,REV!$C:$AA,9,0)-'TRADE IN'!$F422=0,"",(VLOOKUP($C422,REV!$C:$AA,9,0)-'TRADE IN'!$F422))</f>
        <v>599</v>
      </c>
      <c r="L422" s="46">
        <f>IF(VLOOKUP($C422,REV!$C:$AA,10,0)-'TRADE IN'!$F431=0,"",(VLOOKUP($C422,REV!$C:$AA,10,0)-'TRADE IN'!$F422))</f>
        <v>599</v>
      </c>
      <c r="M422" s="46">
        <f>IF(VLOOKUP($C422,REV!$C:$AA,11,0)-'TRADE IN'!$F431=0,"",(VLOOKUP($C422,REV!$C:$AA,11,0)-'TRADE IN'!$F422))</f>
        <v>599</v>
      </c>
      <c r="N422" s="46">
        <f>IF(VLOOKUP($C422,REV!$C:$AA,12,0)-'TRADE IN'!$F431=0,"",(VLOOKUP($C422,REV!$C:$AA,12,0)-'TRADE IN'!$F422))</f>
        <v>599</v>
      </c>
      <c r="O422" s="46">
        <f>IF(VLOOKUP($C422,REV!$C:$AA,13,0)-'TRADE IN'!$F431=0,"",(VLOOKUP($C422,REV!$C:$AA,13,0)-'TRADE IN'!$F422))</f>
        <v>549</v>
      </c>
      <c r="P422" s="46">
        <f>IF(VLOOKUP($C422,REV!$C:$AA,14,0)-'TRADE IN'!$F431=0,"",(VLOOKUP($C422,REV!$C:$AA,14,0)-'TRADE IN'!$F422))</f>
        <v>549</v>
      </c>
      <c r="Q422" s="46">
        <f>IF(VLOOKUP($C422,REV!$C:$AA,15,0)-'TRADE IN'!$F431=0,"",(VLOOKUP($C422,REV!$C:$AA,15,0)-'TRADE IN'!$F422))</f>
        <v>499</v>
      </c>
      <c r="R422" s="46">
        <f>IF(VLOOKUP($C422,REV!$C:$AA,16,0)-'TRADE IN'!$F431=0,"",(VLOOKUP($C422,REV!$C:$AA,16,0)-'TRADE IN'!$F422))</f>
        <v>549</v>
      </c>
      <c r="S422" s="46">
        <f>IF(VLOOKUP($C422,REV!$C:$AA,17,0)-'TRADE IN'!$F431=0,"",(VLOOKUP($C422,REV!$C:$AA,17,0)-'TRADE IN'!$F422))</f>
        <v>549</v>
      </c>
      <c r="T422" s="46">
        <f>IF(VLOOKUP($C422,REV!$C:$AA,18,0)-'TRADE IN'!$F431=0,"",(VLOOKUP($C422,REV!$C:$AA,18,0)-'TRADE IN'!$F422))</f>
        <v>499</v>
      </c>
      <c r="U422" s="46">
        <f>IF(VLOOKUP($C422,REV!$C:$AA,19,0)-'TRADE IN'!$F431=0,"",(VLOOKUP($C422,REV!$C:$AA,19,0)-'TRADE IN'!$F422))</f>
        <v>499</v>
      </c>
      <c r="V422" s="46">
        <f>IF(VLOOKUP($C422,REV!$C:$AA,20,0)-'TRADE IN'!$F431=0,"",(VLOOKUP($C422,REV!$C:$AA,20,0)-'TRADE IN'!$F422))</f>
        <v>499</v>
      </c>
      <c r="W422" s="46">
        <f>IF(VLOOKUP($C422,REV!$C:$AA,21,0)-'TRADE IN'!$F431=0,"",(VLOOKUP($C422,REV!$C:$AA,21,0)-'TRADE IN'!$F422))</f>
        <v>499</v>
      </c>
      <c r="X422" s="46">
        <f>IF(VLOOKUP($C422,REV!$C:$AA,22,0)-'TRADE IN'!$F431=0,"",(VLOOKUP($C422,REV!$C:$AA,22,0)-'TRADE IN'!$F422))</f>
        <v>499</v>
      </c>
      <c r="Y422" s="46">
        <f>IF(VLOOKUP($C422,REV!$C:$AA,23,0)-'TRADE IN'!$F431=0,"",(VLOOKUP($C422,REV!$C:$AA,23,0)-'TRADE IN'!$F422))</f>
        <v>499</v>
      </c>
      <c r="Z422" s="46">
        <f>IF(VLOOKUP($C422,REV!$C:$AA,24,0)-'TRADE IN'!$F431=0,"",(VLOOKUP($C422,REV!$C:$AA,24,0)-'TRADE IN'!$F422))</f>
        <v>499</v>
      </c>
      <c r="AA422" s="46">
        <f>IF(VLOOKUP($C422,REV!$C:$AA,25,0)-'TRADE IN'!$F431=0,"",(VLOOKUP($C422,REV!$C:$AA,25,0)-'TRADE IN'!$F422))</f>
        <v>499</v>
      </c>
      <c r="AB422" s="46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tr">
        <f>IF(REV!AW422=0,"",REV!AW422)</f>
        <v>31.03.2026</v>
      </c>
      <c r="AX422" s="159" t="s">
        <v>82</v>
      </c>
    </row>
    <row r="423" spans="1:50" ht="22.5" customHeight="1">
      <c r="A423" s="50" t="s">
        <v>61</v>
      </c>
      <c r="B423" s="41" t="s">
        <v>62</v>
      </c>
      <c r="C423" s="42">
        <v>4015569</v>
      </c>
      <c r="D423" s="44" t="s">
        <v>608</v>
      </c>
      <c r="E423" s="44" t="s">
        <v>612</v>
      </c>
      <c r="F423" s="45"/>
      <c r="G423" s="45"/>
      <c r="H423" s="45"/>
      <c r="I423" s="45"/>
      <c r="J423" s="46">
        <f>IF(VLOOKUP($C423,REV!$C:$AA,8,0)-'TRADE IN'!$F423=0,"",(VLOOKUP($C423,REV!$C:$AA,8,0)-'TRADE IN'!$F423))</f>
        <v>599</v>
      </c>
      <c r="K423" s="46">
        <f>IF(VLOOKUP($C423,REV!$C:$AA,9,0)-'TRADE IN'!$F423=0,"",(VLOOKUP($C423,REV!$C:$AA,9,0)-'TRADE IN'!$F423))</f>
        <v>599</v>
      </c>
      <c r="L423" s="46">
        <f>IF(VLOOKUP($C423,REV!$C:$AA,10,0)-'TRADE IN'!$F432=0,"",(VLOOKUP($C423,REV!$C:$AA,10,0)-'TRADE IN'!$F423))</f>
        <v>599</v>
      </c>
      <c r="M423" s="46">
        <f>IF(VLOOKUP($C423,REV!$C:$AA,11,0)-'TRADE IN'!$F432=0,"",(VLOOKUP($C423,REV!$C:$AA,11,0)-'TRADE IN'!$F423))</f>
        <v>599</v>
      </c>
      <c r="N423" s="46">
        <f>IF(VLOOKUP($C423,REV!$C:$AA,12,0)-'TRADE IN'!$F432=0,"",(VLOOKUP($C423,REV!$C:$AA,12,0)-'TRADE IN'!$F423))</f>
        <v>599</v>
      </c>
      <c r="O423" s="46">
        <f>IF(VLOOKUP($C423,REV!$C:$AA,13,0)-'TRADE IN'!$F432=0,"",(VLOOKUP($C423,REV!$C:$AA,13,0)-'TRADE IN'!$F423))</f>
        <v>549</v>
      </c>
      <c r="P423" s="46">
        <f>IF(VLOOKUP($C423,REV!$C:$AA,14,0)-'TRADE IN'!$F432=0,"",(VLOOKUP($C423,REV!$C:$AA,14,0)-'TRADE IN'!$F423))</f>
        <v>549</v>
      </c>
      <c r="Q423" s="46">
        <f>IF(VLOOKUP($C423,REV!$C:$AA,15,0)-'TRADE IN'!$F432=0,"",(VLOOKUP($C423,REV!$C:$AA,15,0)-'TRADE IN'!$F423))</f>
        <v>499</v>
      </c>
      <c r="R423" s="46">
        <f>IF(VLOOKUP($C423,REV!$C:$AA,16,0)-'TRADE IN'!$F432=0,"",(VLOOKUP($C423,REV!$C:$AA,16,0)-'TRADE IN'!$F423))</f>
        <v>549</v>
      </c>
      <c r="S423" s="46">
        <f>IF(VLOOKUP($C423,REV!$C:$AA,17,0)-'TRADE IN'!$F432=0,"",(VLOOKUP($C423,REV!$C:$AA,17,0)-'TRADE IN'!$F423))</f>
        <v>549</v>
      </c>
      <c r="T423" s="46">
        <f>IF(VLOOKUP($C423,REV!$C:$AA,18,0)-'TRADE IN'!$F432=0,"",(VLOOKUP($C423,REV!$C:$AA,18,0)-'TRADE IN'!$F423))</f>
        <v>499</v>
      </c>
      <c r="U423" s="46">
        <f>IF(VLOOKUP($C423,REV!$C:$AA,19,0)-'TRADE IN'!$F432=0,"",(VLOOKUP($C423,REV!$C:$AA,19,0)-'TRADE IN'!$F423))</f>
        <v>499</v>
      </c>
      <c r="V423" s="46">
        <f>IF(VLOOKUP($C423,REV!$C:$AA,20,0)-'TRADE IN'!$F432=0,"",(VLOOKUP($C423,REV!$C:$AA,20,0)-'TRADE IN'!$F423))</f>
        <v>499</v>
      </c>
      <c r="W423" s="46">
        <f>IF(VLOOKUP($C423,REV!$C:$AA,21,0)-'TRADE IN'!$F432=0,"",(VLOOKUP($C423,REV!$C:$AA,21,0)-'TRADE IN'!$F423))</f>
        <v>499</v>
      </c>
      <c r="X423" s="46">
        <f>IF(VLOOKUP($C423,REV!$C:$AA,22,0)-'TRADE IN'!$F432=0,"",(VLOOKUP($C423,REV!$C:$AA,22,0)-'TRADE IN'!$F423))</f>
        <v>499</v>
      </c>
      <c r="Y423" s="46">
        <f>IF(VLOOKUP($C423,REV!$C:$AA,23,0)-'TRADE IN'!$F432=0,"",(VLOOKUP($C423,REV!$C:$AA,23,0)-'TRADE IN'!$F423))</f>
        <v>499</v>
      </c>
      <c r="Z423" s="46">
        <f>IF(VLOOKUP($C423,REV!$C:$AA,24,0)-'TRADE IN'!$F432=0,"",(VLOOKUP($C423,REV!$C:$AA,24,0)-'TRADE IN'!$F423))</f>
        <v>499</v>
      </c>
      <c r="AA423" s="46">
        <f>IF(VLOOKUP($C423,REV!$C:$AA,25,0)-'TRADE IN'!$F432=0,"",(VLOOKUP($C423,REV!$C:$AA,25,0)-'TRADE IN'!$F423))</f>
        <v>499</v>
      </c>
      <c r="AB423" s="46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tr">
        <f>IF(REV!AW423=0,"",REV!AW423)</f>
        <v>31.03.2026</v>
      </c>
      <c r="AX423" s="159" t="s">
        <v>82</v>
      </c>
    </row>
    <row r="424" spans="1:50" ht="22.5" customHeight="1">
      <c r="A424" s="50" t="s">
        <v>61</v>
      </c>
      <c r="B424" s="41" t="s">
        <v>62</v>
      </c>
      <c r="C424" s="42">
        <v>4016078</v>
      </c>
      <c r="D424" s="44" t="s">
        <v>613</v>
      </c>
      <c r="E424" s="44" t="s">
        <v>614</v>
      </c>
      <c r="F424" s="45"/>
      <c r="G424" s="45"/>
      <c r="H424" s="45"/>
      <c r="I424" s="45"/>
      <c r="J424" s="46">
        <f>IF(VLOOKUP($C424,REV!$C:$AA,8,0)-'TRADE IN'!$F424=0,"",(VLOOKUP($C424,REV!$C:$AA,8,0)-'TRADE IN'!$F424))</f>
        <v>509</v>
      </c>
      <c r="K424" s="46">
        <f>IF(VLOOKUP($C424,REV!$C:$AA,9,0)-'TRADE IN'!$F424=0,"",(VLOOKUP($C424,REV!$C:$AA,9,0)-'TRADE IN'!$F424))</f>
        <v>509</v>
      </c>
      <c r="L424" s="46">
        <f>IF(VLOOKUP($C424,REV!$C:$AA,10,0)-'TRADE IN'!$F433=0,"",(VLOOKUP($C424,REV!$C:$AA,10,0)-'TRADE IN'!$F424))</f>
        <v>509</v>
      </c>
      <c r="M424" s="46">
        <f>IF(VLOOKUP($C424,REV!$C:$AA,11,0)-'TRADE IN'!$F433=0,"",(VLOOKUP($C424,REV!$C:$AA,11,0)-'TRADE IN'!$F424))</f>
        <v>509</v>
      </c>
      <c r="N424" s="46">
        <f>IF(VLOOKUP($C424,REV!$C:$AA,12,0)-'TRADE IN'!$F433=0,"",(VLOOKUP($C424,REV!$C:$AA,12,0)-'TRADE IN'!$F424))</f>
        <v>509</v>
      </c>
      <c r="O424" s="46">
        <f>IF(VLOOKUP($C424,REV!$C:$AA,13,0)-'TRADE IN'!$F433=0,"",(VLOOKUP($C424,REV!$C:$AA,13,0)-'TRADE IN'!$F424))</f>
        <v>509</v>
      </c>
      <c r="P424" s="46">
        <f>IF(VLOOKUP($C424,REV!$C:$AA,14,0)-'TRADE IN'!$F433=0,"",(VLOOKUP($C424,REV!$C:$AA,14,0)-'TRADE IN'!$F424))</f>
        <v>509</v>
      </c>
      <c r="Q424" s="46">
        <f>IF(VLOOKUP($C424,REV!$C:$AA,15,0)-'TRADE IN'!$F433=0,"",(VLOOKUP($C424,REV!$C:$AA,15,0)-'TRADE IN'!$F424))</f>
        <v>509</v>
      </c>
      <c r="R424" s="46">
        <f>IF(VLOOKUP($C424,REV!$C:$AA,16,0)-'TRADE IN'!$F433=0,"",(VLOOKUP($C424,REV!$C:$AA,16,0)-'TRADE IN'!$F424))</f>
        <v>509</v>
      </c>
      <c r="S424" s="46">
        <f>IF(VLOOKUP($C424,REV!$C:$AA,17,0)-'TRADE IN'!$F433=0,"",(VLOOKUP($C424,REV!$C:$AA,17,0)-'TRADE IN'!$F424))</f>
        <v>509</v>
      </c>
      <c r="T424" s="46">
        <f>IF(VLOOKUP($C424,REV!$C:$AA,18,0)-'TRADE IN'!$F433=0,"",(VLOOKUP($C424,REV!$C:$AA,18,0)-'TRADE IN'!$F424))</f>
        <v>509</v>
      </c>
      <c r="U424" s="46">
        <f>IF(VLOOKUP($C424,REV!$C:$AA,19,0)-'TRADE IN'!$F433=0,"",(VLOOKUP($C424,REV!$C:$AA,19,0)-'TRADE IN'!$F424))</f>
        <v>509</v>
      </c>
      <c r="V424" s="46">
        <f>IF(VLOOKUP($C424,REV!$C:$AA,20,0)-'TRADE IN'!$F433=0,"",(VLOOKUP($C424,REV!$C:$AA,20,0)-'TRADE IN'!$F424))</f>
        <v>509</v>
      </c>
      <c r="W424" s="46">
        <f>IF(VLOOKUP($C424,REV!$C:$AA,21,0)-'TRADE IN'!$F433=0,"",(VLOOKUP($C424,REV!$C:$AA,21,0)-'TRADE IN'!$F424))</f>
        <v>509</v>
      </c>
      <c r="X424" s="46">
        <f>IF(VLOOKUP($C424,REV!$C:$AA,22,0)-'TRADE IN'!$F433=0,"",(VLOOKUP($C424,REV!$C:$AA,22,0)-'TRADE IN'!$F424))</f>
        <v>509</v>
      </c>
      <c r="Y424" s="46">
        <f>IF(VLOOKUP($C424,REV!$C:$AA,23,0)-'TRADE IN'!$F433=0,"",(VLOOKUP($C424,REV!$C:$AA,23,0)-'TRADE IN'!$F424))</f>
        <v>509</v>
      </c>
      <c r="Z424" s="46">
        <f>IF(VLOOKUP($C424,REV!$C:$AA,24,0)-'TRADE IN'!$F433=0,"",(VLOOKUP($C424,REV!$C:$AA,24,0)-'TRADE IN'!$F424))</f>
        <v>509</v>
      </c>
      <c r="AA424" s="46">
        <f>IF(VLOOKUP($C424,REV!$C:$AA,25,0)-'TRADE IN'!$F433=0,"",(VLOOKUP($C424,REV!$C:$AA,25,0)-'TRADE IN'!$F424))</f>
        <v>509</v>
      </c>
      <c r="AB424" s="46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tr">
        <f>IF(REV!AW424=0,"",REV!AW424)</f>
        <v>31.03.2026</v>
      </c>
      <c r="AX424" s="159" t="s">
        <v>82</v>
      </c>
    </row>
    <row r="425" spans="1:50" ht="22.5" customHeight="1">
      <c r="A425" s="50" t="s">
        <v>61</v>
      </c>
      <c r="B425" s="41" t="s">
        <v>62</v>
      </c>
      <c r="C425" s="42">
        <v>4016081</v>
      </c>
      <c r="D425" s="44" t="s">
        <v>613</v>
      </c>
      <c r="E425" s="44" t="s">
        <v>615</v>
      </c>
      <c r="F425" s="45"/>
      <c r="G425" s="45"/>
      <c r="H425" s="45"/>
      <c r="I425" s="45"/>
      <c r="J425" s="46">
        <f>IF(VLOOKUP($C425,REV!$C:$AA,8,0)-'TRADE IN'!$F425=0,"",(VLOOKUP($C425,REV!$C:$AA,8,0)-'TRADE IN'!$F425))</f>
        <v>509</v>
      </c>
      <c r="K425" s="46">
        <f>IF(VLOOKUP($C425,REV!$C:$AA,9,0)-'TRADE IN'!$F425=0,"",(VLOOKUP($C425,REV!$C:$AA,9,0)-'TRADE IN'!$F425))</f>
        <v>509</v>
      </c>
      <c r="L425" s="46">
        <f>IF(VLOOKUP($C425,REV!$C:$AA,10,0)-'TRADE IN'!$F434=0,"",(VLOOKUP($C425,REV!$C:$AA,10,0)-'TRADE IN'!$F425))</f>
        <v>509</v>
      </c>
      <c r="M425" s="46">
        <f>IF(VLOOKUP($C425,REV!$C:$AA,11,0)-'TRADE IN'!$F434=0,"",(VLOOKUP($C425,REV!$C:$AA,11,0)-'TRADE IN'!$F425))</f>
        <v>509</v>
      </c>
      <c r="N425" s="46">
        <f>IF(VLOOKUP($C425,REV!$C:$AA,12,0)-'TRADE IN'!$F434=0,"",(VLOOKUP($C425,REV!$C:$AA,12,0)-'TRADE IN'!$F425))</f>
        <v>509</v>
      </c>
      <c r="O425" s="46">
        <f>IF(VLOOKUP($C425,REV!$C:$AA,13,0)-'TRADE IN'!$F434=0,"",(VLOOKUP($C425,REV!$C:$AA,13,0)-'TRADE IN'!$F425))</f>
        <v>509</v>
      </c>
      <c r="P425" s="46">
        <f>IF(VLOOKUP($C425,REV!$C:$AA,14,0)-'TRADE IN'!$F434=0,"",(VLOOKUP($C425,REV!$C:$AA,14,0)-'TRADE IN'!$F425))</f>
        <v>509</v>
      </c>
      <c r="Q425" s="46">
        <f>IF(VLOOKUP($C425,REV!$C:$AA,15,0)-'TRADE IN'!$F434=0,"",(VLOOKUP($C425,REV!$C:$AA,15,0)-'TRADE IN'!$F425))</f>
        <v>509</v>
      </c>
      <c r="R425" s="46">
        <f>IF(VLOOKUP($C425,REV!$C:$AA,16,0)-'TRADE IN'!$F434=0,"",(VLOOKUP($C425,REV!$C:$AA,16,0)-'TRADE IN'!$F425))</f>
        <v>509</v>
      </c>
      <c r="S425" s="46">
        <f>IF(VLOOKUP($C425,REV!$C:$AA,17,0)-'TRADE IN'!$F434=0,"",(VLOOKUP($C425,REV!$C:$AA,17,0)-'TRADE IN'!$F425))</f>
        <v>509</v>
      </c>
      <c r="T425" s="46">
        <f>IF(VLOOKUP($C425,REV!$C:$AA,18,0)-'TRADE IN'!$F434=0,"",(VLOOKUP($C425,REV!$C:$AA,18,0)-'TRADE IN'!$F425))</f>
        <v>509</v>
      </c>
      <c r="U425" s="46">
        <f>IF(VLOOKUP($C425,REV!$C:$AA,19,0)-'TRADE IN'!$F434=0,"",(VLOOKUP($C425,REV!$C:$AA,19,0)-'TRADE IN'!$F425))</f>
        <v>509</v>
      </c>
      <c r="V425" s="46">
        <f>IF(VLOOKUP($C425,REV!$C:$AA,20,0)-'TRADE IN'!$F434=0,"",(VLOOKUP($C425,REV!$C:$AA,20,0)-'TRADE IN'!$F425))</f>
        <v>509</v>
      </c>
      <c r="W425" s="46">
        <f>IF(VLOOKUP($C425,REV!$C:$AA,21,0)-'TRADE IN'!$F434=0,"",(VLOOKUP($C425,REV!$C:$AA,21,0)-'TRADE IN'!$F425))</f>
        <v>509</v>
      </c>
      <c r="X425" s="46">
        <f>IF(VLOOKUP($C425,REV!$C:$AA,22,0)-'TRADE IN'!$F434=0,"",(VLOOKUP($C425,REV!$C:$AA,22,0)-'TRADE IN'!$F425))</f>
        <v>509</v>
      </c>
      <c r="Y425" s="46">
        <f>IF(VLOOKUP($C425,REV!$C:$AA,23,0)-'TRADE IN'!$F434=0,"",(VLOOKUP($C425,REV!$C:$AA,23,0)-'TRADE IN'!$F425))</f>
        <v>509</v>
      </c>
      <c r="Z425" s="46">
        <f>IF(VLOOKUP($C425,REV!$C:$AA,24,0)-'TRADE IN'!$F434=0,"",(VLOOKUP($C425,REV!$C:$AA,24,0)-'TRADE IN'!$F425))</f>
        <v>509</v>
      </c>
      <c r="AA425" s="46">
        <f>IF(VLOOKUP($C425,REV!$C:$AA,25,0)-'TRADE IN'!$F434=0,"",(VLOOKUP($C425,REV!$C:$AA,25,0)-'TRADE IN'!$F425))</f>
        <v>509</v>
      </c>
      <c r="AB425" s="46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tr">
        <f>IF(REV!AW425=0,"",REV!AW425)</f>
        <v>31.03.2026</v>
      </c>
      <c r="AX425" s="159" t="s">
        <v>82</v>
      </c>
    </row>
    <row r="426" spans="1:50" ht="22.5" customHeight="1">
      <c r="A426" s="50" t="s">
        <v>61</v>
      </c>
      <c r="B426" s="41" t="s">
        <v>62</v>
      </c>
      <c r="C426" s="42">
        <v>4016142</v>
      </c>
      <c r="D426" s="44" t="s">
        <v>613</v>
      </c>
      <c r="E426" s="44" t="s">
        <v>616</v>
      </c>
      <c r="F426" s="45"/>
      <c r="G426" s="45"/>
      <c r="H426" s="45"/>
      <c r="I426" s="45"/>
      <c r="J426" s="46">
        <f>IF(VLOOKUP($C426,REV!$C:$AA,8,0)-'TRADE IN'!$F426=0,"",(VLOOKUP($C426,REV!$C:$AA,8,0)-'TRADE IN'!$F426))</f>
        <v>509</v>
      </c>
      <c r="K426" s="46">
        <f>IF(VLOOKUP($C426,REV!$C:$AA,9,0)-'TRADE IN'!$F426=0,"",(VLOOKUP($C426,REV!$C:$AA,9,0)-'TRADE IN'!$F426))</f>
        <v>509</v>
      </c>
      <c r="L426" s="46">
        <f>IF(VLOOKUP($C426,REV!$C:$AA,10,0)-'TRADE IN'!$F435=0,"",(VLOOKUP($C426,REV!$C:$AA,10,0)-'TRADE IN'!$F426))</f>
        <v>509</v>
      </c>
      <c r="M426" s="46">
        <f>IF(VLOOKUP($C426,REV!$C:$AA,11,0)-'TRADE IN'!$F435=0,"",(VLOOKUP($C426,REV!$C:$AA,11,0)-'TRADE IN'!$F426))</f>
        <v>509</v>
      </c>
      <c r="N426" s="46">
        <f>IF(VLOOKUP($C426,REV!$C:$AA,12,0)-'TRADE IN'!$F435=0,"",(VLOOKUP($C426,REV!$C:$AA,12,0)-'TRADE IN'!$F426))</f>
        <v>509</v>
      </c>
      <c r="O426" s="46">
        <f>IF(VLOOKUP($C426,REV!$C:$AA,13,0)-'TRADE IN'!$F435=0,"",(VLOOKUP($C426,REV!$C:$AA,13,0)-'TRADE IN'!$F426))</f>
        <v>509</v>
      </c>
      <c r="P426" s="46">
        <f>IF(VLOOKUP($C426,REV!$C:$AA,14,0)-'TRADE IN'!$F435=0,"",(VLOOKUP($C426,REV!$C:$AA,14,0)-'TRADE IN'!$F426))</f>
        <v>509</v>
      </c>
      <c r="Q426" s="46">
        <f>IF(VLOOKUP($C426,REV!$C:$AA,15,0)-'TRADE IN'!$F435=0,"",(VLOOKUP($C426,REV!$C:$AA,15,0)-'TRADE IN'!$F426))</f>
        <v>509</v>
      </c>
      <c r="R426" s="46">
        <f>IF(VLOOKUP($C426,REV!$C:$AA,16,0)-'TRADE IN'!$F435=0,"",(VLOOKUP($C426,REV!$C:$AA,16,0)-'TRADE IN'!$F426))</f>
        <v>509</v>
      </c>
      <c r="S426" s="46">
        <f>IF(VLOOKUP($C426,REV!$C:$AA,17,0)-'TRADE IN'!$F435=0,"",(VLOOKUP($C426,REV!$C:$AA,17,0)-'TRADE IN'!$F426))</f>
        <v>509</v>
      </c>
      <c r="T426" s="46">
        <f>IF(VLOOKUP($C426,REV!$C:$AA,18,0)-'TRADE IN'!$F435=0,"",(VLOOKUP($C426,REV!$C:$AA,18,0)-'TRADE IN'!$F426))</f>
        <v>509</v>
      </c>
      <c r="U426" s="46">
        <f>IF(VLOOKUP($C426,REV!$C:$AA,19,0)-'TRADE IN'!$F435=0,"",(VLOOKUP($C426,REV!$C:$AA,19,0)-'TRADE IN'!$F426))</f>
        <v>509</v>
      </c>
      <c r="V426" s="46">
        <f>IF(VLOOKUP($C426,REV!$C:$AA,20,0)-'TRADE IN'!$F435=0,"",(VLOOKUP($C426,REV!$C:$AA,20,0)-'TRADE IN'!$F426))</f>
        <v>509</v>
      </c>
      <c r="W426" s="46">
        <f>IF(VLOOKUP($C426,REV!$C:$AA,21,0)-'TRADE IN'!$F435=0,"",(VLOOKUP($C426,REV!$C:$AA,21,0)-'TRADE IN'!$F426))</f>
        <v>509</v>
      </c>
      <c r="X426" s="46">
        <f>IF(VLOOKUP($C426,REV!$C:$AA,22,0)-'TRADE IN'!$F435=0,"",(VLOOKUP($C426,REV!$C:$AA,22,0)-'TRADE IN'!$F426))</f>
        <v>509</v>
      </c>
      <c r="Y426" s="46">
        <f>IF(VLOOKUP($C426,REV!$C:$AA,23,0)-'TRADE IN'!$F435=0,"",(VLOOKUP($C426,REV!$C:$AA,23,0)-'TRADE IN'!$F426))</f>
        <v>509</v>
      </c>
      <c r="Z426" s="46">
        <f>IF(VLOOKUP($C426,REV!$C:$AA,24,0)-'TRADE IN'!$F435=0,"",(VLOOKUP($C426,REV!$C:$AA,24,0)-'TRADE IN'!$F426))</f>
        <v>509</v>
      </c>
      <c r="AA426" s="46">
        <f>IF(VLOOKUP($C426,REV!$C:$AA,25,0)-'TRADE IN'!$F435=0,"",(VLOOKUP($C426,REV!$C:$AA,25,0)-'TRADE IN'!$F426))</f>
        <v>509</v>
      </c>
      <c r="AB426" s="46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tr">
        <f>IF(REV!AW426=0,"",REV!AW426)</f>
        <v>31.03.2026</v>
      </c>
      <c r="AX426" s="159" t="s">
        <v>82</v>
      </c>
    </row>
    <row r="427" spans="1:50" ht="22.5" customHeight="1">
      <c r="A427" s="50" t="s">
        <v>61</v>
      </c>
      <c r="B427" s="41" t="s">
        <v>62</v>
      </c>
      <c r="C427" s="42">
        <v>4015937</v>
      </c>
      <c r="D427" s="44" t="s">
        <v>613</v>
      </c>
      <c r="E427" s="44" t="s">
        <v>617</v>
      </c>
      <c r="F427" s="45"/>
      <c r="G427" s="45"/>
      <c r="H427" s="45"/>
      <c r="I427" s="45"/>
      <c r="J427" s="46">
        <f>IF(VLOOKUP($C427,REV!$C:$AA,8,0)-'TRADE IN'!$F427=0,"",(VLOOKUP($C427,REV!$C:$AA,8,0)-'TRADE IN'!$F427))</f>
        <v>509</v>
      </c>
      <c r="K427" s="46">
        <f>IF(VLOOKUP($C427,REV!$C:$AA,9,0)-'TRADE IN'!$F427=0,"",(VLOOKUP($C427,REV!$C:$AA,9,0)-'TRADE IN'!$F427))</f>
        <v>509</v>
      </c>
      <c r="L427" s="46">
        <f>IF(VLOOKUP($C427,REV!$C:$AA,10,0)-'TRADE IN'!$F436=0,"",(VLOOKUP($C427,REV!$C:$AA,10,0)-'TRADE IN'!$F427))</f>
        <v>509</v>
      </c>
      <c r="M427" s="46">
        <f>IF(VLOOKUP($C427,REV!$C:$AA,11,0)-'TRADE IN'!$F436=0,"",(VLOOKUP($C427,REV!$C:$AA,11,0)-'TRADE IN'!$F427))</f>
        <v>509</v>
      </c>
      <c r="N427" s="46">
        <f>IF(VLOOKUP($C427,REV!$C:$AA,12,0)-'TRADE IN'!$F436=0,"",(VLOOKUP($C427,REV!$C:$AA,12,0)-'TRADE IN'!$F427))</f>
        <v>509</v>
      </c>
      <c r="O427" s="46">
        <f>IF(VLOOKUP($C427,REV!$C:$AA,13,0)-'TRADE IN'!$F436=0,"",(VLOOKUP($C427,REV!$C:$AA,13,0)-'TRADE IN'!$F427))</f>
        <v>509</v>
      </c>
      <c r="P427" s="46">
        <f>IF(VLOOKUP($C427,REV!$C:$AA,14,0)-'TRADE IN'!$F436=0,"",(VLOOKUP($C427,REV!$C:$AA,14,0)-'TRADE IN'!$F427))</f>
        <v>509</v>
      </c>
      <c r="Q427" s="46">
        <f>IF(VLOOKUP($C427,REV!$C:$AA,15,0)-'TRADE IN'!$F436=0,"",(VLOOKUP($C427,REV!$C:$AA,15,0)-'TRADE IN'!$F427))</f>
        <v>509</v>
      </c>
      <c r="R427" s="46">
        <f>IF(VLOOKUP($C427,REV!$C:$AA,16,0)-'TRADE IN'!$F436=0,"",(VLOOKUP($C427,REV!$C:$AA,16,0)-'TRADE IN'!$F427))</f>
        <v>509</v>
      </c>
      <c r="S427" s="46">
        <f>IF(VLOOKUP($C427,REV!$C:$AA,17,0)-'TRADE IN'!$F436=0,"",(VLOOKUP($C427,REV!$C:$AA,17,0)-'TRADE IN'!$F427))</f>
        <v>509</v>
      </c>
      <c r="T427" s="46">
        <f>IF(VLOOKUP($C427,REV!$C:$AA,18,0)-'TRADE IN'!$F436=0,"",(VLOOKUP($C427,REV!$C:$AA,18,0)-'TRADE IN'!$F427))</f>
        <v>509</v>
      </c>
      <c r="U427" s="46">
        <f>IF(VLOOKUP($C427,REV!$C:$AA,19,0)-'TRADE IN'!$F436=0,"",(VLOOKUP($C427,REV!$C:$AA,19,0)-'TRADE IN'!$F427))</f>
        <v>509</v>
      </c>
      <c r="V427" s="46">
        <f>IF(VLOOKUP($C427,REV!$C:$AA,20,0)-'TRADE IN'!$F436=0,"",(VLOOKUP($C427,REV!$C:$AA,20,0)-'TRADE IN'!$F427))</f>
        <v>509</v>
      </c>
      <c r="W427" s="46">
        <f>IF(VLOOKUP($C427,REV!$C:$AA,21,0)-'TRADE IN'!$F436=0,"",(VLOOKUP($C427,REV!$C:$AA,21,0)-'TRADE IN'!$F427))</f>
        <v>509</v>
      </c>
      <c r="X427" s="46">
        <f>IF(VLOOKUP($C427,REV!$C:$AA,22,0)-'TRADE IN'!$F436=0,"",(VLOOKUP($C427,REV!$C:$AA,22,0)-'TRADE IN'!$F427))</f>
        <v>509</v>
      </c>
      <c r="Y427" s="46">
        <f>IF(VLOOKUP($C427,REV!$C:$AA,23,0)-'TRADE IN'!$F436=0,"",(VLOOKUP($C427,REV!$C:$AA,23,0)-'TRADE IN'!$F427))</f>
        <v>509</v>
      </c>
      <c r="Z427" s="46">
        <f>IF(VLOOKUP($C427,REV!$C:$AA,24,0)-'TRADE IN'!$F436=0,"",(VLOOKUP($C427,REV!$C:$AA,24,0)-'TRADE IN'!$F427))</f>
        <v>509</v>
      </c>
      <c r="AA427" s="46">
        <f>IF(VLOOKUP($C427,REV!$C:$AA,25,0)-'TRADE IN'!$F436=0,"",(VLOOKUP($C427,REV!$C:$AA,25,0)-'TRADE IN'!$F427))</f>
        <v>509</v>
      </c>
      <c r="AB427" s="46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tr">
        <f>IF(REV!AW427=0,"",REV!AW427)</f>
        <v>31.03.2026</v>
      </c>
      <c r="AX427" s="159" t="s">
        <v>82</v>
      </c>
    </row>
    <row r="428" spans="1:50" ht="22.5" customHeight="1">
      <c r="A428" s="50" t="s">
        <v>61</v>
      </c>
      <c r="B428" s="41" t="s">
        <v>62</v>
      </c>
      <c r="C428" s="42">
        <v>4016083</v>
      </c>
      <c r="D428" s="44" t="s">
        <v>613</v>
      </c>
      <c r="E428" s="44" t="s">
        <v>618</v>
      </c>
      <c r="F428" s="45"/>
      <c r="G428" s="45"/>
      <c r="H428" s="45"/>
      <c r="I428" s="45"/>
      <c r="J428" s="46">
        <f>IF(VLOOKUP($C428,REV!$C:$AA,8,0)-'TRADE IN'!$F428=0,"",(VLOOKUP($C428,REV!$C:$AA,8,0)-'TRADE IN'!$F428))</f>
        <v>509</v>
      </c>
      <c r="K428" s="46">
        <f>IF(VLOOKUP($C428,REV!$C:$AA,9,0)-'TRADE IN'!$F428=0,"",(VLOOKUP($C428,REV!$C:$AA,9,0)-'TRADE IN'!$F428))</f>
        <v>509</v>
      </c>
      <c r="L428" s="46">
        <f>IF(VLOOKUP($C428,REV!$C:$AA,10,0)-'TRADE IN'!$F437=0,"",(VLOOKUP($C428,REV!$C:$AA,10,0)-'TRADE IN'!$F428))</f>
        <v>509</v>
      </c>
      <c r="M428" s="46">
        <f>IF(VLOOKUP($C428,REV!$C:$AA,11,0)-'TRADE IN'!$F437=0,"",(VLOOKUP($C428,REV!$C:$AA,11,0)-'TRADE IN'!$F428))</f>
        <v>509</v>
      </c>
      <c r="N428" s="46">
        <f>IF(VLOOKUP($C428,REV!$C:$AA,12,0)-'TRADE IN'!$F437=0,"",(VLOOKUP($C428,REV!$C:$AA,12,0)-'TRADE IN'!$F428))</f>
        <v>509</v>
      </c>
      <c r="O428" s="46">
        <f>IF(VLOOKUP($C428,REV!$C:$AA,13,0)-'TRADE IN'!$F437=0,"",(VLOOKUP($C428,REV!$C:$AA,13,0)-'TRADE IN'!$F428))</f>
        <v>509</v>
      </c>
      <c r="P428" s="46">
        <f>IF(VLOOKUP($C428,REV!$C:$AA,14,0)-'TRADE IN'!$F437=0,"",(VLOOKUP($C428,REV!$C:$AA,14,0)-'TRADE IN'!$F428))</f>
        <v>509</v>
      </c>
      <c r="Q428" s="46">
        <f>IF(VLOOKUP($C428,REV!$C:$AA,15,0)-'TRADE IN'!$F437=0,"",(VLOOKUP($C428,REV!$C:$AA,15,0)-'TRADE IN'!$F428))</f>
        <v>509</v>
      </c>
      <c r="R428" s="46">
        <f>IF(VLOOKUP($C428,REV!$C:$AA,16,0)-'TRADE IN'!$F437=0,"",(VLOOKUP($C428,REV!$C:$AA,16,0)-'TRADE IN'!$F428))</f>
        <v>509</v>
      </c>
      <c r="S428" s="46">
        <f>IF(VLOOKUP($C428,REV!$C:$AA,17,0)-'TRADE IN'!$F437=0,"",(VLOOKUP($C428,REV!$C:$AA,17,0)-'TRADE IN'!$F428))</f>
        <v>509</v>
      </c>
      <c r="T428" s="46">
        <f>IF(VLOOKUP($C428,REV!$C:$AA,18,0)-'TRADE IN'!$F437=0,"",(VLOOKUP($C428,REV!$C:$AA,18,0)-'TRADE IN'!$F428))</f>
        <v>509</v>
      </c>
      <c r="U428" s="46">
        <f>IF(VLOOKUP($C428,REV!$C:$AA,19,0)-'TRADE IN'!$F437=0,"",(VLOOKUP($C428,REV!$C:$AA,19,0)-'TRADE IN'!$F428))</f>
        <v>509</v>
      </c>
      <c r="V428" s="46">
        <f>IF(VLOOKUP($C428,REV!$C:$AA,20,0)-'TRADE IN'!$F437=0,"",(VLOOKUP($C428,REV!$C:$AA,20,0)-'TRADE IN'!$F428))</f>
        <v>509</v>
      </c>
      <c r="W428" s="46">
        <f>IF(VLOOKUP($C428,REV!$C:$AA,21,0)-'TRADE IN'!$F437=0,"",(VLOOKUP($C428,REV!$C:$AA,21,0)-'TRADE IN'!$F428))</f>
        <v>509</v>
      </c>
      <c r="X428" s="46">
        <f>IF(VLOOKUP($C428,REV!$C:$AA,22,0)-'TRADE IN'!$F437=0,"",(VLOOKUP($C428,REV!$C:$AA,22,0)-'TRADE IN'!$F428))</f>
        <v>509</v>
      </c>
      <c r="Y428" s="46">
        <f>IF(VLOOKUP($C428,REV!$C:$AA,23,0)-'TRADE IN'!$F437=0,"",(VLOOKUP($C428,REV!$C:$AA,23,0)-'TRADE IN'!$F428))</f>
        <v>509</v>
      </c>
      <c r="Z428" s="46">
        <f>IF(VLOOKUP($C428,REV!$C:$AA,24,0)-'TRADE IN'!$F437=0,"",(VLOOKUP($C428,REV!$C:$AA,24,0)-'TRADE IN'!$F428))</f>
        <v>509</v>
      </c>
      <c r="AA428" s="46">
        <f>IF(VLOOKUP($C428,REV!$C:$AA,25,0)-'TRADE IN'!$F437=0,"",(VLOOKUP($C428,REV!$C:$AA,25,0)-'TRADE IN'!$F428))</f>
        <v>509</v>
      </c>
      <c r="AB428" s="46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tr">
        <f>IF(REV!AW428=0,"",REV!AW428)</f>
        <v>31.03.2026</v>
      </c>
      <c r="AX428" s="159" t="s">
        <v>82</v>
      </c>
    </row>
    <row r="429" spans="1:50" ht="22.5" customHeight="1">
      <c r="A429" s="50" t="s">
        <v>61</v>
      </c>
      <c r="B429" s="41" t="s">
        <v>62</v>
      </c>
      <c r="C429" s="42">
        <v>4016080</v>
      </c>
      <c r="D429" s="44" t="s">
        <v>613</v>
      </c>
      <c r="E429" s="44" t="s">
        <v>619</v>
      </c>
      <c r="F429" s="45"/>
      <c r="G429" s="45"/>
      <c r="H429" s="45"/>
      <c r="I429" s="45"/>
      <c r="J429" s="46">
        <f>IF(VLOOKUP($C429,REV!$C:$AA,8,0)-'TRADE IN'!$F429=0,"",(VLOOKUP($C429,REV!$C:$AA,8,0)-'TRADE IN'!$F429))</f>
        <v>509</v>
      </c>
      <c r="K429" s="46">
        <f>IF(VLOOKUP($C429,REV!$C:$AA,9,0)-'TRADE IN'!$F429=0,"",(VLOOKUP($C429,REV!$C:$AA,9,0)-'TRADE IN'!$F429))</f>
        <v>509</v>
      </c>
      <c r="L429" s="46">
        <f>IF(VLOOKUP($C429,REV!$C:$AA,10,0)-'TRADE IN'!$F438=0,"",(VLOOKUP($C429,REV!$C:$AA,10,0)-'TRADE IN'!$F429))</f>
        <v>509</v>
      </c>
      <c r="M429" s="46">
        <f>IF(VLOOKUP($C429,REV!$C:$AA,11,0)-'TRADE IN'!$F438=0,"",(VLOOKUP($C429,REV!$C:$AA,11,0)-'TRADE IN'!$F429))</f>
        <v>509</v>
      </c>
      <c r="N429" s="46">
        <f>IF(VLOOKUP($C429,REV!$C:$AA,12,0)-'TRADE IN'!$F438=0,"",(VLOOKUP($C429,REV!$C:$AA,12,0)-'TRADE IN'!$F429))</f>
        <v>509</v>
      </c>
      <c r="O429" s="46">
        <f>IF(VLOOKUP($C429,REV!$C:$AA,13,0)-'TRADE IN'!$F438=0,"",(VLOOKUP($C429,REV!$C:$AA,13,0)-'TRADE IN'!$F429))</f>
        <v>509</v>
      </c>
      <c r="P429" s="46">
        <f>IF(VLOOKUP($C429,REV!$C:$AA,14,0)-'TRADE IN'!$F438=0,"",(VLOOKUP($C429,REV!$C:$AA,14,0)-'TRADE IN'!$F429))</f>
        <v>509</v>
      </c>
      <c r="Q429" s="46">
        <f>IF(VLOOKUP($C429,REV!$C:$AA,15,0)-'TRADE IN'!$F438=0,"",(VLOOKUP($C429,REV!$C:$AA,15,0)-'TRADE IN'!$F429))</f>
        <v>509</v>
      </c>
      <c r="R429" s="46">
        <f>IF(VLOOKUP($C429,REV!$C:$AA,16,0)-'TRADE IN'!$F438=0,"",(VLOOKUP($C429,REV!$C:$AA,16,0)-'TRADE IN'!$F429))</f>
        <v>509</v>
      </c>
      <c r="S429" s="46">
        <f>IF(VLOOKUP($C429,REV!$C:$AA,17,0)-'TRADE IN'!$F438=0,"",(VLOOKUP($C429,REV!$C:$AA,17,0)-'TRADE IN'!$F429))</f>
        <v>509</v>
      </c>
      <c r="T429" s="46">
        <f>IF(VLOOKUP($C429,REV!$C:$AA,18,0)-'TRADE IN'!$F438=0,"",(VLOOKUP($C429,REV!$C:$AA,18,0)-'TRADE IN'!$F429))</f>
        <v>509</v>
      </c>
      <c r="U429" s="46">
        <f>IF(VLOOKUP($C429,REV!$C:$AA,19,0)-'TRADE IN'!$F438=0,"",(VLOOKUP($C429,REV!$C:$AA,19,0)-'TRADE IN'!$F429))</f>
        <v>509</v>
      </c>
      <c r="V429" s="46">
        <f>IF(VLOOKUP($C429,REV!$C:$AA,20,0)-'TRADE IN'!$F438=0,"",(VLOOKUP($C429,REV!$C:$AA,20,0)-'TRADE IN'!$F429))</f>
        <v>509</v>
      </c>
      <c r="W429" s="46">
        <f>IF(VLOOKUP($C429,REV!$C:$AA,21,0)-'TRADE IN'!$F438=0,"",(VLOOKUP($C429,REV!$C:$AA,21,0)-'TRADE IN'!$F429))</f>
        <v>509</v>
      </c>
      <c r="X429" s="46">
        <f>IF(VLOOKUP($C429,REV!$C:$AA,22,0)-'TRADE IN'!$F438=0,"",(VLOOKUP($C429,REV!$C:$AA,22,0)-'TRADE IN'!$F429))</f>
        <v>509</v>
      </c>
      <c r="Y429" s="46">
        <f>IF(VLOOKUP($C429,REV!$C:$AA,23,0)-'TRADE IN'!$F438=0,"",(VLOOKUP($C429,REV!$C:$AA,23,0)-'TRADE IN'!$F429))</f>
        <v>509</v>
      </c>
      <c r="Z429" s="46">
        <f>IF(VLOOKUP($C429,REV!$C:$AA,24,0)-'TRADE IN'!$F438=0,"",(VLOOKUP($C429,REV!$C:$AA,24,0)-'TRADE IN'!$F429))</f>
        <v>509</v>
      </c>
      <c r="AA429" s="46">
        <f>IF(VLOOKUP($C429,REV!$C:$AA,25,0)-'TRADE IN'!$F438=0,"",(VLOOKUP($C429,REV!$C:$AA,25,0)-'TRADE IN'!$F429))</f>
        <v>509</v>
      </c>
      <c r="AB429" s="46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tr">
        <f>IF(REV!AW429=0,"",REV!AW429)</f>
        <v>31.03.2026</v>
      </c>
      <c r="AX429" s="159" t="s">
        <v>82</v>
      </c>
    </row>
    <row r="430" spans="1:50" ht="22.5" customHeight="1">
      <c r="A430" s="50" t="s">
        <v>61</v>
      </c>
      <c r="B430" s="41" t="s">
        <v>62</v>
      </c>
      <c r="C430" s="42">
        <v>4016086</v>
      </c>
      <c r="D430" s="44" t="s">
        <v>620</v>
      </c>
      <c r="E430" s="44" t="s">
        <v>621</v>
      </c>
      <c r="F430" s="45"/>
      <c r="G430" s="45"/>
      <c r="H430" s="45"/>
      <c r="I430" s="45"/>
      <c r="J430" s="46">
        <f>IF(VLOOKUP($C430,REV!$C:$AA,8,0)-'TRADE IN'!$F430=0,"",(VLOOKUP($C430,REV!$C:$AA,8,0)-'TRADE IN'!$F430))</f>
        <v>589</v>
      </c>
      <c r="K430" s="46">
        <f>IF(VLOOKUP($C430,REV!$C:$AA,9,0)-'TRADE IN'!$F430=0,"",(VLOOKUP($C430,REV!$C:$AA,9,0)-'TRADE IN'!$F430))</f>
        <v>589</v>
      </c>
      <c r="L430" s="46">
        <f>IF(VLOOKUP($C430,REV!$C:$AA,10,0)-'TRADE IN'!$F439=0,"",(VLOOKUP($C430,REV!$C:$AA,10,0)-'TRADE IN'!$F430))</f>
        <v>589</v>
      </c>
      <c r="M430" s="46">
        <f>IF(VLOOKUP($C430,REV!$C:$AA,11,0)-'TRADE IN'!$F439=0,"",(VLOOKUP($C430,REV!$C:$AA,11,0)-'TRADE IN'!$F430))</f>
        <v>589</v>
      </c>
      <c r="N430" s="46">
        <f>IF(VLOOKUP($C430,REV!$C:$AA,12,0)-'TRADE IN'!$F439=0,"",(VLOOKUP($C430,REV!$C:$AA,12,0)-'TRADE IN'!$F430))</f>
        <v>589</v>
      </c>
      <c r="O430" s="46">
        <f>IF(VLOOKUP($C430,REV!$C:$AA,13,0)-'TRADE IN'!$F439=0,"",(VLOOKUP($C430,REV!$C:$AA,13,0)-'TRADE IN'!$F430))</f>
        <v>589</v>
      </c>
      <c r="P430" s="46">
        <f>IF(VLOOKUP($C430,REV!$C:$AA,14,0)-'TRADE IN'!$F439=0,"",(VLOOKUP($C430,REV!$C:$AA,14,0)-'TRADE IN'!$F430))</f>
        <v>589</v>
      </c>
      <c r="Q430" s="46">
        <f>IF(VLOOKUP($C430,REV!$C:$AA,15,0)-'TRADE IN'!$F439=0,"",(VLOOKUP($C430,REV!$C:$AA,15,0)-'TRADE IN'!$F430))</f>
        <v>589</v>
      </c>
      <c r="R430" s="46">
        <f>IF(VLOOKUP($C430,REV!$C:$AA,16,0)-'TRADE IN'!$F439=0,"",(VLOOKUP($C430,REV!$C:$AA,16,0)-'TRADE IN'!$F430))</f>
        <v>589</v>
      </c>
      <c r="S430" s="46">
        <f>IF(VLOOKUP($C430,REV!$C:$AA,17,0)-'TRADE IN'!$F439=0,"",(VLOOKUP($C430,REV!$C:$AA,17,0)-'TRADE IN'!$F430))</f>
        <v>589</v>
      </c>
      <c r="T430" s="46">
        <f>IF(VLOOKUP($C430,REV!$C:$AA,18,0)-'TRADE IN'!$F439=0,"",(VLOOKUP($C430,REV!$C:$AA,18,0)-'TRADE IN'!$F430))</f>
        <v>589</v>
      </c>
      <c r="U430" s="46">
        <f>IF(VLOOKUP($C430,REV!$C:$AA,19,0)-'TRADE IN'!$F439=0,"",(VLOOKUP($C430,REV!$C:$AA,19,0)-'TRADE IN'!$F430))</f>
        <v>589</v>
      </c>
      <c r="V430" s="46">
        <f>IF(VLOOKUP($C430,REV!$C:$AA,20,0)-'TRADE IN'!$F439=0,"",(VLOOKUP($C430,REV!$C:$AA,20,0)-'TRADE IN'!$F430))</f>
        <v>589</v>
      </c>
      <c r="W430" s="46">
        <f>IF(VLOOKUP($C430,REV!$C:$AA,21,0)-'TRADE IN'!$F439=0,"",(VLOOKUP($C430,REV!$C:$AA,21,0)-'TRADE IN'!$F430))</f>
        <v>589</v>
      </c>
      <c r="X430" s="46">
        <f>IF(VLOOKUP($C430,REV!$C:$AA,22,0)-'TRADE IN'!$F439=0,"",(VLOOKUP($C430,REV!$C:$AA,22,0)-'TRADE IN'!$F430))</f>
        <v>589</v>
      </c>
      <c r="Y430" s="46">
        <f>IF(VLOOKUP($C430,REV!$C:$AA,23,0)-'TRADE IN'!$F439=0,"",(VLOOKUP($C430,REV!$C:$AA,23,0)-'TRADE IN'!$F430))</f>
        <v>589</v>
      </c>
      <c r="Z430" s="46">
        <f>IF(VLOOKUP($C430,REV!$C:$AA,24,0)-'TRADE IN'!$F439=0,"",(VLOOKUP($C430,REV!$C:$AA,24,0)-'TRADE IN'!$F430))</f>
        <v>589</v>
      </c>
      <c r="AA430" s="46">
        <f>IF(VLOOKUP($C430,REV!$C:$AA,25,0)-'TRADE IN'!$F439=0,"",(VLOOKUP($C430,REV!$C:$AA,25,0)-'TRADE IN'!$F430))</f>
        <v>589</v>
      </c>
      <c r="AB430" s="46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tr">
        <f>IF(REV!AW430=0,"",REV!AW430)</f>
        <v>31.03.2026</v>
      </c>
      <c r="AX430" s="159" t="s">
        <v>82</v>
      </c>
    </row>
    <row r="431" spans="1:50" ht="22.5" customHeight="1">
      <c r="A431" s="50" t="s">
        <v>61</v>
      </c>
      <c r="B431" s="41" t="s">
        <v>62</v>
      </c>
      <c r="C431" s="42">
        <v>4016089</v>
      </c>
      <c r="D431" s="44" t="s">
        <v>620</v>
      </c>
      <c r="E431" s="44" t="s">
        <v>622</v>
      </c>
      <c r="F431" s="45"/>
      <c r="G431" s="45"/>
      <c r="H431" s="45"/>
      <c r="I431" s="45"/>
      <c r="J431" s="46">
        <f>IF(VLOOKUP($C431,REV!$C:$AA,8,0)-'TRADE IN'!$F431=0,"",(VLOOKUP($C431,REV!$C:$AA,8,0)-'TRADE IN'!$F431))</f>
        <v>589</v>
      </c>
      <c r="K431" s="46">
        <f>IF(VLOOKUP($C431,REV!$C:$AA,9,0)-'TRADE IN'!$F431=0,"",(VLOOKUP($C431,REV!$C:$AA,9,0)-'TRADE IN'!$F431))</f>
        <v>589</v>
      </c>
      <c r="L431" s="46">
        <f>IF(VLOOKUP($C431,REV!$C:$AA,10,0)-'TRADE IN'!$F440=0,"",(VLOOKUP($C431,REV!$C:$AA,10,0)-'TRADE IN'!$F431))</f>
        <v>589</v>
      </c>
      <c r="M431" s="46">
        <f>IF(VLOOKUP($C431,REV!$C:$AA,11,0)-'TRADE IN'!$F440=0,"",(VLOOKUP($C431,REV!$C:$AA,11,0)-'TRADE IN'!$F431))</f>
        <v>589</v>
      </c>
      <c r="N431" s="46">
        <f>IF(VLOOKUP($C431,REV!$C:$AA,12,0)-'TRADE IN'!$F440=0,"",(VLOOKUP($C431,REV!$C:$AA,12,0)-'TRADE IN'!$F431))</f>
        <v>589</v>
      </c>
      <c r="O431" s="46">
        <f>IF(VLOOKUP($C431,REV!$C:$AA,13,0)-'TRADE IN'!$F440=0,"",(VLOOKUP($C431,REV!$C:$AA,13,0)-'TRADE IN'!$F431))</f>
        <v>589</v>
      </c>
      <c r="P431" s="46">
        <f>IF(VLOOKUP($C431,REV!$C:$AA,14,0)-'TRADE IN'!$F440=0,"",(VLOOKUP($C431,REV!$C:$AA,14,0)-'TRADE IN'!$F431))</f>
        <v>589</v>
      </c>
      <c r="Q431" s="46">
        <f>IF(VLOOKUP($C431,REV!$C:$AA,15,0)-'TRADE IN'!$F440=0,"",(VLOOKUP($C431,REV!$C:$AA,15,0)-'TRADE IN'!$F431))</f>
        <v>589</v>
      </c>
      <c r="R431" s="46">
        <f>IF(VLOOKUP($C431,REV!$C:$AA,16,0)-'TRADE IN'!$F440=0,"",(VLOOKUP($C431,REV!$C:$AA,16,0)-'TRADE IN'!$F431))</f>
        <v>589</v>
      </c>
      <c r="S431" s="46">
        <f>IF(VLOOKUP($C431,REV!$C:$AA,17,0)-'TRADE IN'!$F440=0,"",(VLOOKUP($C431,REV!$C:$AA,17,0)-'TRADE IN'!$F431))</f>
        <v>589</v>
      </c>
      <c r="T431" s="46">
        <f>IF(VLOOKUP($C431,REV!$C:$AA,18,0)-'TRADE IN'!$F440=0,"",(VLOOKUP($C431,REV!$C:$AA,18,0)-'TRADE IN'!$F431))</f>
        <v>589</v>
      </c>
      <c r="U431" s="46">
        <f>IF(VLOOKUP($C431,REV!$C:$AA,19,0)-'TRADE IN'!$F440=0,"",(VLOOKUP($C431,REV!$C:$AA,19,0)-'TRADE IN'!$F431))</f>
        <v>589</v>
      </c>
      <c r="V431" s="46">
        <f>IF(VLOOKUP($C431,REV!$C:$AA,20,0)-'TRADE IN'!$F440=0,"",(VLOOKUP($C431,REV!$C:$AA,20,0)-'TRADE IN'!$F431))</f>
        <v>589</v>
      </c>
      <c r="W431" s="46">
        <f>IF(VLOOKUP($C431,REV!$C:$AA,21,0)-'TRADE IN'!$F440=0,"",(VLOOKUP($C431,REV!$C:$AA,21,0)-'TRADE IN'!$F431))</f>
        <v>589</v>
      </c>
      <c r="X431" s="46">
        <f>IF(VLOOKUP($C431,REV!$C:$AA,22,0)-'TRADE IN'!$F440=0,"",(VLOOKUP($C431,REV!$C:$AA,22,0)-'TRADE IN'!$F431))</f>
        <v>589</v>
      </c>
      <c r="Y431" s="46">
        <f>IF(VLOOKUP($C431,REV!$C:$AA,23,0)-'TRADE IN'!$F440=0,"",(VLOOKUP($C431,REV!$C:$AA,23,0)-'TRADE IN'!$F431))</f>
        <v>589</v>
      </c>
      <c r="Z431" s="46">
        <f>IF(VLOOKUP($C431,REV!$C:$AA,24,0)-'TRADE IN'!$F440=0,"",(VLOOKUP($C431,REV!$C:$AA,24,0)-'TRADE IN'!$F431))</f>
        <v>589</v>
      </c>
      <c r="AA431" s="46">
        <f>IF(VLOOKUP($C431,REV!$C:$AA,25,0)-'TRADE IN'!$F440=0,"",(VLOOKUP($C431,REV!$C:$AA,25,0)-'TRADE IN'!$F431))</f>
        <v>589</v>
      </c>
      <c r="AB431" s="46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tr">
        <f>IF(REV!AW431=0,"",REV!AW431)</f>
        <v>31.03.2026</v>
      </c>
      <c r="AX431" s="159" t="s">
        <v>82</v>
      </c>
    </row>
    <row r="432" spans="1:50" ht="22.5" customHeight="1">
      <c r="A432" s="50" t="s">
        <v>61</v>
      </c>
      <c r="B432" s="41" t="s">
        <v>62</v>
      </c>
      <c r="C432" s="42">
        <v>4016084</v>
      </c>
      <c r="D432" s="44" t="s">
        <v>620</v>
      </c>
      <c r="E432" s="44" t="s">
        <v>623</v>
      </c>
      <c r="F432" s="45"/>
      <c r="G432" s="45"/>
      <c r="H432" s="45"/>
      <c r="I432" s="45"/>
      <c r="J432" s="46">
        <f>IF(VLOOKUP($C432,REV!$C:$AA,8,0)-'TRADE IN'!$F432=0,"",(VLOOKUP($C432,REV!$C:$AA,8,0)-'TRADE IN'!$F432))</f>
        <v>589</v>
      </c>
      <c r="K432" s="46">
        <f>IF(VLOOKUP($C432,REV!$C:$AA,9,0)-'TRADE IN'!$F432=0,"",(VLOOKUP($C432,REV!$C:$AA,9,0)-'TRADE IN'!$F432))</f>
        <v>589</v>
      </c>
      <c r="L432" s="46">
        <f>IF(VLOOKUP($C432,REV!$C:$AA,10,0)-'TRADE IN'!$F441=0,"",(VLOOKUP($C432,REV!$C:$AA,10,0)-'TRADE IN'!$F432))</f>
        <v>589</v>
      </c>
      <c r="M432" s="46">
        <f>IF(VLOOKUP($C432,REV!$C:$AA,11,0)-'TRADE IN'!$F441=0,"",(VLOOKUP($C432,REV!$C:$AA,11,0)-'TRADE IN'!$F432))</f>
        <v>589</v>
      </c>
      <c r="N432" s="46">
        <f>IF(VLOOKUP($C432,REV!$C:$AA,12,0)-'TRADE IN'!$F441=0,"",(VLOOKUP($C432,REV!$C:$AA,12,0)-'TRADE IN'!$F432))</f>
        <v>589</v>
      </c>
      <c r="O432" s="46">
        <f>IF(VLOOKUP($C432,REV!$C:$AA,13,0)-'TRADE IN'!$F441=0,"",(VLOOKUP($C432,REV!$C:$AA,13,0)-'TRADE IN'!$F432))</f>
        <v>589</v>
      </c>
      <c r="P432" s="46">
        <f>IF(VLOOKUP($C432,REV!$C:$AA,14,0)-'TRADE IN'!$F441=0,"",(VLOOKUP($C432,REV!$C:$AA,14,0)-'TRADE IN'!$F432))</f>
        <v>589</v>
      </c>
      <c r="Q432" s="46">
        <f>IF(VLOOKUP($C432,REV!$C:$AA,15,0)-'TRADE IN'!$F441=0,"",(VLOOKUP($C432,REV!$C:$AA,15,0)-'TRADE IN'!$F432))</f>
        <v>589</v>
      </c>
      <c r="R432" s="46">
        <f>IF(VLOOKUP($C432,REV!$C:$AA,16,0)-'TRADE IN'!$F441=0,"",(VLOOKUP($C432,REV!$C:$AA,16,0)-'TRADE IN'!$F432))</f>
        <v>589</v>
      </c>
      <c r="S432" s="46">
        <f>IF(VLOOKUP($C432,REV!$C:$AA,17,0)-'TRADE IN'!$F441=0,"",(VLOOKUP($C432,REV!$C:$AA,17,0)-'TRADE IN'!$F432))</f>
        <v>589</v>
      </c>
      <c r="T432" s="46">
        <f>IF(VLOOKUP($C432,REV!$C:$AA,18,0)-'TRADE IN'!$F441=0,"",(VLOOKUP($C432,REV!$C:$AA,18,0)-'TRADE IN'!$F432))</f>
        <v>589</v>
      </c>
      <c r="U432" s="46">
        <f>IF(VLOOKUP($C432,REV!$C:$AA,19,0)-'TRADE IN'!$F441=0,"",(VLOOKUP($C432,REV!$C:$AA,19,0)-'TRADE IN'!$F432))</f>
        <v>589</v>
      </c>
      <c r="V432" s="46">
        <f>IF(VLOOKUP($C432,REV!$C:$AA,20,0)-'TRADE IN'!$F441=0,"",(VLOOKUP($C432,REV!$C:$AA,20,0)-'TRADE IN'!$F432))</f>
        <v>589</v>
      </c>
      <c r="W432" s="46">
        <f>IF(VLOOKUP($C432,REV!$C:$AA,21,0)-'TRADE IN'!$F441=0,"",(VLOOKUP($C432,REV!$C:$AA,21,0)-'TRADE IN'!$F432))</f>
        <v>589</v>
      </c>
      <c r="X432" s="46">
        <f>IF(VLOOKUP($C432,REV!$C:$AA,22,0)-'TRADE IN'!$F441=0,"",(VLOOKUP($C432,REV!$C:$AA,22,0)-'TRADE IN'!$F432))</f>
        <v>589</v>
      </c>
      <c r="Y432" s="46">
        <f>IF(VLOOKUP($C432,REV!$C:$AA,23,0)-'TRADE IN'!$F441=0,"",(VLOOKUP($C432,REV!$C:$AA,23,0)-'TRADE IN'!$F432))</f>
        <v>589</v>
      </c>
      <c r="Z432" s="46">
        <f>IF(VLOOKUP($C432,REV!$C:$AA,24,0)-'TRADE IN'!$F441=0,"",(VLOOKUP($C432,REV!$C:$AA,24,0)-'TRADE IN'!$F432))</f>
        <v>589</v>
      </c>
      <c r="AA432" s="46">
        <f>IF(VLOOKUP($C432,REV!$C:$AA,25,0)-'TRADE IN'!$F441=0,"",(VLOOKUP($C432,REV!$C:$AA,25,0)-'TRADE IN'!$F432))</f>
        <v>589</v>
      </c>
      <c r="AB432" s="46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tr">
        <f>IF(REV!AW432=0,"",REV!AW432)</f>
        <v>31.03.2026</v>
      </c>
      <c r="AX432" s="159" t="s">
        <v>82</v>
      </c>
    </row>
    <row r="433" spans="1:50" ht="22.5" customHeight="1">
      <c r="A433" s="50" t="s">
        <v>61</v>
      </c>
      <c r="B433" s="41" t="s">
        <v>62</v>
      </c>
      <c r="C433" s="42">
        <v>4016087</v>
      </c>
      <c r="D433" s="44" t="s">
        <v>620</v>
      </c>
      <c r="E433" s="44" t="s">
        <v>624</v>
      </c>
      <c r="F433" s="45"/>
      <c r="G433" s="45"/>
      <c r="H433" s="45"/>
      <c r="I433" s="45"/>
      <c r="J433" s="46">
        <f>IF(VLOOKUP($C433,REV!$C:$AA,8,0)-'TRADE IN'!$F433=0,"",(VLOOKUP($C433,REV!$C:$AA,8,0)-'TRADE IN'!$F433))</f>
        <v>589</v>
      </c>
      <c r="K433" s="46">
        <f>IF(VLOOKUP($C433,REV!$C:$AA,9,0)-'TRADE IN'!$F433=0,"",(VLOOKUP($C433,REV!$C:$AA,9,0)-'TRADE IN'!$F433))</f>
        <v>589</v>
      </c>
      <c r="L433" s="46">
        <f>IF(VLOOKUP($C433,REV!$C:$AA,10,0)-'TRADE IN'!$F442=0,"",(VLOOKUP($C433,REV!$C:$AA,10,0)-'TRADE IN'!$F433))</f>
        <v>589</v>
      </c>
      <c r="M433" s="46">
        <f>IF(VLOOKUP($C433,REV!$C:$AA,11,0)-'TRADE IN'!$F442=0,"",(VLOOKUP($C433,REV!$C:$AA,11,0)-'TRADE IN'!$F433))</f>
        <v>589</v>
      </c>
      <c r="N433" s="46">
        <f>IF(VLOOKUP($C433,REV!$C:$AA,12,0)-'TRADE IN'!$F442=0,"",(VLOOKUP($C433,REV!$C:$AA,12,0)-'TRADE IN'!$F433))</f>
        <v>589</v>
      </c>
      <c r="O433" s="46">
        <f>IF(VLOOKUP($C433,REV!$C:$AA,13,0)-'TRADE IN'!$F442=0,"",(VLOOKUP($C433,REV!$C:$AA,13,0)-'TRADE IN'!$F433))</f>
        <v>589</v>
      </c>
      <c r="P433" s="46">
        <f>IF(VLOOKUP($C433,REV!$C:$AA,14,0)-'TRADE IN'!$F442=0,"",(VLOOKUP($C433,REV!$C:$AA,14,0)-'TRADE IN'!$F433))</f>
        <v>589</v>
      </c>
      <c r="Q433" s="46">
        <f>IF(VLOOKUP($C433,REV!$C:$AA,15,0)-'TRADE IN'!$F442=0,"",(VLOOKUP($C433,REV!$C:$AA,15,0)-'TRADE IN'!$F433))</f>
        <v>589</v>
      </c>
      <c r="R433" s="46">
        <f>IF(VLOOKUP($C433,REV!$C:$AA,16,0)-'TRADE IN'!$F442=0,"",(VLOOKUP($C433,REV!$C:$AA,16,0)-'TRADE IN'!$F433))</f>
        <v>589</v>
      </c>
      <c r="S433" s="46">
        <f>IF(VLOOKUP($C433,REV!$C:$AA,17,0)-'TRADE IN'!$F442=0,"",(VLOOKUP($C433,REV!$C:$AA,17,0)-'TRADE IN'!$F433))</f>
        <v>589</v>
      </c>
      <c r="T433" s="46">
        <f>IF(VLOOKUP($C433,REV!$C:$AA,18,0)-'TRADE IN'!$F442=0,"",(VLOOKUP($C433,REV!$C:$AA,18,0)-'TRADE IN'!$F433))</f>
        <v>589</v>
      </c>
      <c r="U433" s="46">
        <f>IF(VLOOKUP($C433,REV!$C:$AA,19,0)-'TRADE IN'!$F442=0,"",(VLOOKUP($C433,REV!$C:$AA,19,0)-'TRADE IN'!$F433))</f>
        <v>589</v>
      </c>
      <c r="V433" s="46">
        <f>IF(VLOOKUP($C433,REV!$C:$AA,20,0)-'TRADE IN'!$F442=0,"",(VLOOKUP($C433,REV!$C:$AA,20,0)-'TRADE IN'!$F433))</f>
        <v>589</v>
      </c>
      <c r="W433" s="46">
        <f>IF(VLOOKUP($C433,REV!$C:$AA,21,0)-'TRADE IN'!$F442=0,"",(VLOOKUP($C433,REV!$C:$AA,21,0)-'TRADE IN'!$F433))</f>
        <v>589</v>
      </c>
      <c r="X433" s="46">
        <f>IF(VLOOKUP($C433,REV!$C:$AA,22,0)-'TRADE IN'!$F442=0,"",(VLOOKUP($C433,REV!$C:$AA,22,0)-'TRADE IN'!$F433))</f>
        <v>589</v>
      </c>
      <c r="Y433" s="46">
        <f>IF(VLOOKUP($C433,REV!$C:$AA,23,0)-'TRADE IN'!$F442=0,"",(VLOOKUP($C433,REV!$C:$AA,23,0)-'TRADE IN'!$F433))</f>
        <v>589</v>
      </c>
      <c r="Z433" s="46">
        <f>IF(VLOOKUP($C433,REV!$C:$AA,24,0)-'TRADE IN'!$F442=0,"",(VLOOKUP($C433,REV!$C:$AA,24,0)-'TRADE IN'!$F433))</f>
        <v>589</v>
      </c>
      <c r="AA433" s="46">
        <f>IF(VLOOKUP($C433,REV!$C:$AA,25,0)-'TRADE IN'!$F442=0,"",(VLOOKUP($C433,REV!$C:$AA,25,0)-'TRADE IN'!$F433))</f>
        <v>589</v>
      </c>
      <c r="AB433" s="46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tr">
        <f>IF(REV!AW433=0,"",REV!AW433)</f>
        <v>31.03.2026</v>
      </c>
      <c r="AX433" s="159" t="s">
        <v>82</v>
      </c>
    </row>
    <row r="434" spans="1:50" ht="22.5" customHeight="1">
      <c r="A434" s="50" t="s">
        <v>61</v>
      </c>
      <c r="B434" s="41" t="s">
        <v>62</v>
      </c>
      <c r="C434" s="42">
        <v>4016668</v>
      </c>
      <c r="D434" s="44" t="s">
        <v>625</v>
      </c>
      <c r="E434" s="44" t="s">
        <v>626</v>
      </c>
      <c r="F434" s="45"/>
      <c r="G434" s="45"/>
      <c r="H434" s="45"/>
      <c r="I434" s="45"/>
      <c r="J434" s="46">
        <f>IF(VLOOKUP($C434,REV!$C:$AA,8,0)-'TRADE IN'!$F434=0,"",(VLOOKUP($C434,REV!$C:$AA,8,0)-'TRADE IN'!$F434))</f>
        <v>999</v>
      </c>
      <c r="K434" s="46">
        <f>IF(VLOOKUP($C434,REV!$C:$AA,9,0)-'TRADE IN'!$F434=0,"",(VLOOKUP($C434,REV!$C:$AA,9,0)-'TRADE IN'!$F434))</f>
        <v>899</v>
      </c>
      <c r="L434" s="46">
        <f>IF(VLOOKUP($C434,REV!$C:$AA,10,0)-'TRADE IN'!$F443=0,"",(VLOOKUP($C434,REV!$C:$AA,10,0)-'TRADE IN'!$F434))</f>
        <v>899</v>
      </c>
      <c r="M434" s="46">
        <f>IF(VLOOKUP($C434,REV!$C:$AA,11,0)-'TRADE IN'!$F443=0,"",(VLOOKUP($C434,REV!$C:$AA,11,0)-'TRADE IN'!$F434))</f>
        <v>999</v>
      </c>
      <c r="N434" s="46">
        <f>IF(VLOOKUP($C434,REV!$C:$AA,12,0)-'TRADE IN'!$F443=0,"",(VLOOKUP($C434,REV!$C:$AA,12,0)-'TRADE IN'!$F434))</f>
        <v>899</v>
      </c>
      <c r="O434" s="46">
        <f>IF(VLOOKUP($C434,REV!$C:$AA,13,0)-'TRADE IN'!$F443=0,"",(VLOOKUP($C434,REV!$C:$AA,13,0)-'TRADE IN'!$F434))</f>
        <v>899</v>
      </c>
      <c r="P434" s="46">
        <f>IF(VLOOKUP($C434,REV!$C:$AA,14,0)-'TRADE IN'!$F443=0,"",(VLOOKUP($C434,REV!$C:$AA,14,0)-'TRADE IN'!$F434))</f>
        <v>899</v>
      </c>
      <c r="Q434" s="46">
        <f>IF(VLOOKUP($C434,REV!$C:$AA,15,0)-'TRADE IN'!$F443=0,"",(VLOOKUP($C434,REV!$C:$AA,15,0)-'TRADE IN'!$F434))</f>
        <v>799</v>
      </c>
      <c r="R434" s="46">
        <f>IF(VLOOKUP($C434,REV!$C:$AA,16,0)-'TRADE IN'!$F443=0,"",(VLOOKUP($C434,REV!$C:$AA,16,0)-'TRADE IN'!$F434))</f>
        <v>899</v>
      </c>
      <c r="S434" s="46">
        <f>IF(VLOOKUP($C434,REV!$C:$AA,17,0)-'TRADE IN'!$F443=0,"",(VLOOKUP($C434,REV!$C:$AA,17,0)-'TRADE IN'!$F434))</f>
        <v>899</v>
      </c>
      <c r="T434" s="46">
        <f>IF(VLOOKUP($C434,REV!$C:$AA,18,0)-'TRADE IN'!$F443=0,"",(VLOOKUP($C434,REV!$C:$AA,18,0)-'TRADE IN'!$F434))</f>
        <v>799</v>
      </c>
      <c r="U434" s="46">
        <f>IF(VLOOKUP($C434,REV!$C:$AA,19,0)-'TRADE IN'!$F443=0,"",(VLOOKUP($C434,REV!$C:$AA,19,0)-'TRADE IN'!$F434))</f>
        <v>799</v>
      </c>
      <c r="V434" s="46">
        <f>IF(VLOOKUP($C434,REV!$C:$AA,20,0)-'TRADE IN'!$F443=0,"",(VLOOKUP($C434,REV!$C:$AA,20,0)-'TRADE IN'!$F434))</f>
        <v>799</v>
      </c>
      <c r="W434" s="46">
        <f>IF(VLOOKUP($C434,REV!$C:$AA,21,0)-'TRADE IN'!$F443=0,"",(VLOOKUP($C434,REV!$C:$AA,21,0)-'TRADE IN'!$F434))</f>
        <v>799</v>
      </c>
      <c r="X434" s="46">
        <f>IF(VLOOKUP($C434,REV!$C:$AA,22,0)-'TRADE IN'!$F443=0,"",(VLOOKUP($C434,REV!$C:$AA,22,0)-'TRADE IN'!$F434))</f>
        <v>799</v>
      </c>
      <c r="Y434" s="46">
        <f>IF(VLOOKUP($C434,REV!$C:$AA,23,0)-'TRADE IN'!$F443=0,"",(VLOOKUP($C434,REV!$C:$AA,23,0)-'TRADE IN'!$F434))</f>
        <v>699</v>
      </c>
      <c r="Z434" s="46">
        <f>IF(VLOOKUP($C434,REV!$C:$AA,24,0)-'TRADE IN'!$F443=0,"",(VLOOKUP($C434,REV!$C:$AA,24,0)-'TRADE IN'!$F434))</f>
        <v>699</v>
      </c>
      <c r="AA434" s="46">
        <f>IF(VLOOKUP($C434,REV!$C:$AA,25,0)-'TRADE IN'!$F443=0,"",(VLOOKUP($C434,REV!$C:$AA,25,0)-'TRADE IN'!$F434))</f>
        <v>699</v>
      </c>
      <c r="AB434" s="46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tr">
        <f>IF(REV!AW434=0,"",REV!AW434)</f>
        <v>31.03.2026</v>
      </c>
      <c r="AX434" s="159" t="s">
        <v>82</v>
      </c>
    </row>
    <row r="435" spans="1:50" ht="22.5" customHeight="1">
      <c r="A435" s="50" t="s">
        <v>61</v>
      </c>
      <c r="B435" s="41" t="s">
        <v>62</v>
      </c>
      <c r="C435" s="42">
        <v>4016714</v>
      </c>
      <c r="D435" s="44" t="s">
        <v>625</v>
      </c>
      <c r="E435" s="44" t="s">
        <v>627</v>
      </c>
      <c r="F435" s="45"/>
      <c r="G435" s="45"/>
      <c r="H435" s="45"/>
      <c r="I435" s="45"/>
      <c r="J435" s="46">
        <f>IF(VLOOKUP($C435,REV!$C:$AA,8,0)-'TRADE IN'!$F435=0,"",(VLOOKUP($C435,REV!$C:$AA,8,0)-'TRADE IN'!$F435))</f>
        <v>999</v>
      </c>
      <c r="K435" s="46">
        <f>IF(VLOOKUP($C435,REV!$C:$AA,9,0)-'TRADE IN'!$F435=0,"",(VLOOKUP($C435,REV!$C:$AA,9,0)-'TRADE IN'!$F435))</f>
        <v>899</v>
      </c>
      <c r="L435" s="46">
        <f>IF(VLOOKUP($C435,REV!$C:$AA,10,0)-'TRADE IN'!$F444=0,"",(VLOOKUP($C435,REV!$C:$AA,10,0)-'TRADE IN'!$F435))</f>
        <v>899</v>
      </c>
      <c r="M435" s="46">
        <f>IF(VLOOKUP($C435,REV!$C:$AA,11,0)-'TRADE IN'!$F444=0,"",(VLOOKUP($C435,REV!$C:$AA,11,0)-'TRADE IN'!$F435))</f>
        <v>999</v>
      </c>
      <c r="N435" s="46">
        <f>IF(VLOOKUP($C435,REV!$C:$AA,12,0)-'TRADE IN'!$F444=0,"",(VLOOKUP($C435,REV!$C:$AA,12,0)-'TRADE IN'!$F435))</f>
        <v>899</v>
      </c>
      <c r="O435" s="46">
        <f>IF(VLOOKUP($C435,REV!$C:$AA,13,0)-'TRADE IN'!$F444=0,"",(VLOOKUP($C435,REV!$C:$AA,13,0)-'TRADE IN'!$F435))</f>
        <v>899</v>
      </c>
      <c r="P435" s="46">
        <f>IF(VLOOKUP($C435,REV!$C:$AA,14,0)-'TRADE IN'!$F444=0,"",(VLOOKUP($C435,REV!$C:$AA,14,0)-'TRADE IN'!$F435))</f>
        <v>899</v>
      </c>
      <c r="Q435" s="46">
        <f>IF(VLOOKUP($C435,REV!$C:$AA,15,0)-'TRADE IN'!$F444=0,"",(VLOOKUP($C435,REV!$C:$AA,15,0)-'TRADE IN'!$F435))</f>
        <v>799</v>
      </c>
      <c r="R435" s="46">
        <f>IF(VLOOKUP($C435,REV!$C:$AA,16,0)-'TRADE IN'!$F444=0,"",(VLOOKUP($C435,REV!$C:$AA,16,0)-'TRADE IN'!$F435))</f>
        <v>899</v>
      </c>
      <c r="S435" s="46">
        <f>IF(VLOOKUP($C435,REV!$C:$AA,17,0)-'TRADE IN'!$F444=0,"",(VLOOKUP($C435,REV!$C:$AA,17,0)-'TRADE IN'!$F435))</f>
        <v>899</v>
      </c>
      <c r="T435" s="46">
        <f>IF(VLOOKUP($C435,REV!$C:$AA,18,0)-'TRADE IN'!$F444=0,"",(VLOOKUP($C435,REV!$C:$AA,18,0)-'TRADE IN'!$F435))</f>
        <v>799</v>
      </c>
      <c r="U435" s="46">
        <f>IF(VLOOKUP($C435,REV!$C:$AA,19,0)-'TRADE IN'!$F444=0,"",(VLOOKUP($C435,REV!$C:$AA,19,0)-'TRADE IN'!$F435))</f>
        <v>799</v>
      </c>
      <c r="V435" s="46">
        <f>IF(VLOOKUP($C435,REV!$C:$AA,20,0)-'TRADE IN'!$F444=0,"",(VLOOKUP($C435,REV!$C:$AA,20,0)-'TRADE IN'!$F435))</f>
        <v>799</v>
      </c>
      <c r="W435" s="46">
        <f>IF(VLOOKUP($C435,REV!$C:$AA,21,0)-'TRADE IN'!$F444=0,"",(VLOOKUP($C435,REV!$C:$AA,21,0)-'TRADE IN'!$F435))</f>
        <v>799</v>
      </c>
      <c r="X435" s="46">
        <f>IF(VLOOKUP($C435,REV!$C:$AA,22,0)-'TRADE IN'!$F444=0,"",(VLOOKUP($C435,REV!$C:$AA,22,0)-'TRADE IN'!$F435))</f>
        <v>799</v>
      </c>
      <c r="Y435" s="46">
        <f>IF(VLOOKUP($C435,REV!$C:$AA,23,0)-'TRADE IN'!$F444=0,"",(VLOOKUP($C435,REV!$C:$AA,23,0)-'TRADE IN'!$F435))</f>
        <v>699</v>
      </c>
      <c r="Z435" s="46">
        <f>IF(VLOOKUP($C435,REV!$C:$AA,24,0)-'TRADE IN'!$F444=0,"",(VLOOKUP($C435,REV!$C:$AA,24,0)-'TRADE IN'!$F435))</f>
        <v>699</v>
      </c>
      <c r="AA435" s="46">
        <f>IF(VLOOKUP($C435,REV!$C:$AA,25,0)-'TRADE IN'!$F444=0,"",(VLOOKUP($C435,REV!$C:$AA,25,0)-'TRADE IN'!$F435))</f>
        <v>699</v>
      </c>
      <c r="AB435" s="46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tr">
        <f>IF(REV!AW435=0,"",REV!AW435)</f>
        <v>31.03.2026</v>
      </c>
      <c r="AX435" s="159" t="s">
        <v>82</v>
      </c>
    </row>
    <row r="436" spans="1:50" ht="22.5" customHeight="1">
      <c r="A436" s="50" t="s">
        <v>61</v>
      </c>
      <c r="B436" s="41" t="s">
        <v>62</v>
      </c>
      <c r="C436" s="42">
        <v>4016710</v>
      </c>
      <c r="D436" s="44" t="s">
        <v>625</v>
      </c>
      <c r="E436" s="44" t="s">
        <v>628</v>
      </c>
      <c r="F436" s="45"/>
      <c r="G436" s="45"/>
      <c r="H436" s="45"/>
      <c r="I436" s="45"/>
      <c r="J436" s="46">
        <f>IF(VLOOKUP($C436,REV!$C:$AA,8,0)-'TRADE IN'!$F436=0,"",(VLOOKUP($C436,REV!$C:$AA,8,0)-'TRADE IN'!$F436))</f>
        <v>999</v>
      </c>
      <c r="K436" s="46">
        <f>IF(VLOOKUP($C436,REV!$C:$AA,9,0)-'TRADE IN'!$F436=0,"",(VLOOKUP($C436,REV!$C:$AA,9,0)-'TRADE IN'!$F436))</f>
        <v>899</v>
      </c>
      <c r="L436" s="46">
        <f>IF(VLOOKUP($C436,REV!$C:$AA,10,0)-'TRADE IN'!$F445=0,"",(VLOOKUP($C436,REV!$C:$AA,10,0)-'TRADE IN'!$F436))</f>
        <v>899</v>
      </c>
      <c r="M436" s="46">
        <f>IF(VLOOKUP($C436,REV!$C:$AA,11,0)-'TRADE IN'!$F445=0,"",(VLOOKUP($C436,REV!$C:$AA,11,0)-'TRADE IN'!$F436))</f>
        <v>999</v>
      </c>
      <c r="N436" s="46">
        <f>IF(VLOOKUP($C436,REV!$C:$AA,12,0)-'TRADE IN'!$F445=0,"",(VLOOKUP($C436,REV!$C:$AA,12,0)-'TRADE IN'!$F436))</f>
        <v>899</v>
      </c>
      <c r="O436" s="46">
        <f>IF(VLOOKUP($C436,REV!$C:$AA,13,0)-'TRADE IN'!$F445=0,"",(VLOOKUP($C436,REV!$C:$AA,13,0)-'TRADE IN'!$F436))</f>
        <v>899</v>
      </c>
      <c r="P436" s="46">
        <f>IF(VLOOKUP($C436,REV!$C:$AA,14,0)-'TRADE IN'!$F445=0,"",(VLOOKUP($C436,REV!$C:$AA,14,0)-'TRADE IN'!$F436))</f>
        <v>899</v>
      </c>
      <c r="Q436" s="46">
        <f>IF(VLOOKUP($C436,REV!$C:$AA,15,0)-'TRADE IN'!$F445=0,"",(VLOOKUP($C436,REV!$C:$AA,15,0)-'TRADE IN'!$F436))</f>
        <v>799</v>
      </c>
      <c r="R436" s="46">
        <f>IF(VLOOKUP($C436,REV!$C:$AA,16,0)-'TRADE IN'!$F445=0,"",(VLOOKUP($C436,REV!$C:$AA,16,0)-'TRADE IN'!$F436))</f>
        <v>899</v>
      </c>
      <c r="S436" s="46">
        <f>IF(VLOOKUP($C436,REV!$C:$AA,17,0)-'TRADE IN'!$F445=0,"",(VLOOKUP($C436,REV!$C:$AA,17,0)-'TRADE IN'!$F436))</f>
        <v>899</v>
      </c>
      <c r="T436" s="46">
        <f>IF(VLOOKUP($C436,REV!$C:$AA,18,0)-'TRADE IN'!$F445=0,"",(VLOOKUP($C436,REV!$C:$AA,18,0)-'TRADE IN'!$F436))</f>
        <v>799</v>
      </c>
      <c r="U436" s="46">
        <f>IF(VLOOKUP($C436,REV!$C:$AA,19,0)-'TRADE IN'!$F445=0,"",(VLOOKUP($C436,REV!$C:$AA,19,0)-'TRADE IN'!$F436))</f>
        <v>799</v>
      </c>
      <c r="V436" s="46">
        <f>IF(VLOOKUP($C436,REV!$C:$AA,20,0)-'TRADE IN'!$F445=0,"",(VLOOKUP($C436,REV!$C:$AA,20,0)-'TRADE IN'!$F436))</f>
        <v>799</v>
      </c>
      <c r="W436" s="46">
        <f>IF(VLOOKUP($C436,REV!$C:$AA,21,0)-'TRADE IN'!$F445=0,"",(VLOOKUP($C436,REV!$C:$AA,21,0)-'TRADE IN'!$F436))</f>
        <v>799</v>
      </c>
      <c r="X436" s="46">
        <f>IF(VLOOKUP($C436,REV!$C:$AA,22,0)-'TRADE IN'!$F445=0,"",(VLOOKUP($C436,REV!$C:$AA,22,0)-'TRADE IN'!$F436))</f>
        <v>799</v>
      </c>
      <c r="Y436" s="46">
        <f>IF(VLOOKUP($C436,REV!$C:$AA,23,0)-'TRADE IN'!$F445=0,"",(VLOOKUP($C436,REV!$C:$AA,23,0)-'TRADE IN'!$F436))</f>
        <v>699</v>
      </c>
      <c r="Z436" s="46">
        <f>IF(VLOOKUP($C436,REV!$C:$AA,24,0)-'TRADE IN'!$F445=0,"",(VLOOKUP($C436,REV!$C:$AA,24,0)-'TRADE IN'!$F436))</f>
        <v>699</v>
      </c>
      <c r="AA436" s="46">
        <f>IF(VLOOKUP($C436,REV!$C:$AA,25,0)-'TRADE IN'!$F445=0,"",(VLOOKUP($C436,REV!$C:$AA,25,0)-'TRADE IN'!$F436))</f>
        <v>699</v>
      </c>
      <c r="AB436" s="46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tr">
        <f>IF(REV!AW436=0,"",REV!AW436)</f>
        <v>31.03.2026</v>
      </c>
      <c r="AX436" s="159" t="s">
        <v>82</v>
      </c>
    </row>
    <row r="437" spans="1:50" ht="22.5" customHeight="1">
      <c r="A437" s="50" t="s">
        <v>61</v>
      </c>
      <c r="B437" s="41" t="s">
        <v>62</v>
      </c>
      <c r="C437" s="42">
        <v>4016716</v>
      </c>
      <c r="D437" s="44" t="s">
        <v>625</v>
      </c>
      <c r="E437" s="44" t="s">
        <v>629</v>
      </c>
      <c r="F437" s="45"/>
      <c r="G437" s="45"/>
      <c r="H437" s="45"/>
      <c r="I437" s="45"/>
      <c r="J437" s="46">
        <f>IF(VLOOKUP($C437,REV!$C:$AA,8,0)-'TRADE IN'!$F437=0,"",(VLOOKUP($C437,REV!$C:$AA,8,0)-'TRADE IN'!$F437))</f>
        <v>999</v>
      </c>
      <c r="K437" s="46">
        <f>IF(VLOOKUP($C437,REV!$C:$AA,9,0)-'TRADE IN'!$F437=0,"",(VLOOKUP($C437,REV!$C:$AA,9,0)-'TRADE IN'!$F437))</f>
        <v>899</v>
      </c>
      <c r="L437" s="46">
        <f>IF(VLOOKUP($C437,REV!$C:$AA,10,0)-'TRADE IN'!$F446=0,"",(VLOOKUP($C437,REV!$C:$AA,10,0)-'TRADE IN'!$F437))</f>
        <v>899</v>
      </c>
      <c r="M437" s="46">
        <f>IF(VLOOKUP($C437,REV!$C:$AA,11,0)-'TRADE IN'!$F446=0,"",(VLOOKUP($C437,REV!$C:$AA,11,0)-'TRADE IN'!$F437))</f>
        <v>999</v>
      </c>
      <c r="N437" s="46">
        <f>IF(VLOOKUP($C437,REV!$C:$AA,12,0)-'TRADE IN'!$F446=0,"",(VLOOKUP($C437,REV!$C:$AA,12,0)-'TRADE IN'!$F437))</f>
        <v>899</v>
      </c>
      <c r="O437" s="46">
        <f>IF(VLOOKUP($C437,REV!$C:$AA,13,0)-'TRADE IN'!$F446=0,"",(VLOOKUP($C437,REV!$C:$AA,13,0)-'TRADE IN'!$F437))</f>
        <v>899</v>
      </c>
      <c r="P437" s="46">
        <f>IF(VLOOKUP($C437,REV!$C:$AA,14,0)-'TRADE IN'!$F446=0,"",(VLOOKUP($C437,REV!$C:$AA,14,0)-'TRADE IN'!$F437))</f>
        <v>899</v>
      </c>
      <c r="Q437" s="46">
        <f>IF(VLOOKUP($C437,REV!$C:$AA,15,0)-'TRADE IN'!$F446=0,"",(VLOOKUP($C437,REV!$C:$AA,15,0)-'TRADE IN'!$F437))</f>
        <v>799</v>
      </c>
      <c r="R437" s="46">
        <f>IF(VLOOKUP($C437,REV!$C:$AA,16,0)-'TRADE IN'!$F446=0,"",(VLOOKUP($C437,REV!$C:$AA,16,0)-'TRADE IN'!$F437))</f>
        <v>899</v>
      </c>
      <c r="S437" s="46">
        <f>IF(VLOOKUP($C437,REV!$C:$AA,17,0)-'TRADE IN'!$F446=0,"",(VLOOKUP($C437,REV!$C:$AA,17,0)-'TRADE IN'!$F437))</f>
        <v>899</v>
      </c>
      <c r="T437" s="46">
        <f>IF(VLOOKUP($C437,REV!$C:$AA,18,0)-'TRADE IN'!$F446=0,"",(VLOOKUP($C437,REV!$C:$AA,18,0)-'TRADE IN'!$F437))</f>
        <v>799</v>
      </c>
      <c r="U437" s="46">
        <f>IF(VLOOKUP($C437,REV!$C:$AA,19,0)-'TRADE IN'!$F446=0,"",(VLOOKUP($C437,REV!$C:$AA,19,0)-'TRADE IN'!$F437))</f>
        <v>799</v>
      </c>
      <c r="V437" s="46">
        <f>IF(VLOOKUP($C437,REV!$C:$AA,20,0)-'TRADE IN'!$F446=0,"",(VLOOKUP($C437,REV!$C:$AA,20,0)-'TRADE IN'!$F437))</f>
        <v>799</v>
      </c>
      <c r="W437" s="46">
        <f>IF(VLOOKUP($C437,REV!$C:$AA,21,0)-'TRADE IN'!$F446=0,"",(VLOOKUP($C437,REV!$C:$AA,21,0)-'TRADE IN'!$F437))</f>
        <v>799</v>
      </c>
      <c r="X437" s="46">
        <f>IF(VLOOKUP($C437,REV!$C:$AA,22,0)-'TRADE IN'!$F446=0,"",(VLOOKUP($C437,REV!$C:$AA,22,0)-'TRADE IN'!$F437))</f>
        <v>799</v>
      </c>
      <c r="Y437" s="46">
        <f>IF(VLOOKUP($C437,REV!$C:$AA,23,0)-'TRADE IN'!$F446=0,"",(VLOOKUP($C437,REV!$C:$AA,23,0)-'TRADE IN'!$F437))</f>
        <v>699</v>
      </c>
      <c r="Z437" s="46">
        <f>IF(VLOOKUP($C437,REV!$C:$AA,24,0)-'TRADE IN'!$F446=0,"",(VLOOKUP($C437,REV!$C:$AA,24,0)-'TRADE IN'!$F437))</f>
        <v>699</v>
      </c>
      <c r="AA437" s="46">
        <f>IF(VLOOKUP($C437,REV!$C:$AA,25,0)-'TRADE IN'!$F446=0,"",(VLOOKUP($C437,REV!$C:$AA,25,0)-'TRADE IN'!$F437))</f>
        <v>699</v>
      </c>
      <c r="AB437" s="46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tr">
        <f>IF(REV!AW437=0,"",REV!AW437)</f>
        <v>31.03.2026</v>
      </c>
      <c r="AX437" s="159" t="s">
        <v>82</v>
      </c>
    </row>
    <row r="438" spans="1:50" ht="22.5" customHeight="1">
      <c r="A438" s="50" t="s">
        <v>61</v>
      </c>
      <c r="B438" s="41" t="s">
        <v>62</v>
      </c>
      <c r="C438" s="42">
        <v>4016753</v>
      </c>
      <c r="D438" s="44" t="s">
        <v>625</v>
      </c>
      <c r="E438" s="44" t="s">
        <v>630</v>
      </c>
      <c r="F438" s="45"/>
      <c r="G438" s="45"/>
      <c r="H438" s="45"/>
      <c r="I438" s="45"/>
      <c r="J438" s="46">
        <f>IF(VLOOKUP($C438,REV!$C:$AA,8,0)-'TRADE IN'!$F438=0,"",(VLOOKUP($C438,REV!$C:$AA,8,0)-'TRADE IN'!$F438))</f>
        <v>999</v>
      </c>
      <c r="K438" s="46">
        <f>IF(VLOOKUP($C438,REV!$C:$AA,9,0)-'TRADE IN'!$F438=0,"",(VLOOKUP($C438,REV!$C:$AA,9,0)-'TRADE IN'!$F438))</f>
        <v>899</v>
      </c>
      <c r="L438" s="46">
        <f>IF(VLOOKUP($C438,REV!$C:$AA,10,0)-'TRADE IN'!$F447=0,"",(VLOOKUP($C438,REV!$C:$AA,10,0)-'TRADE IN'!$F438))</f>
        <v>899</v>
      </c>
      <c r="M438" s="46">
        <f>IF(VLOOKUP($C438,REV!$C:$AA,11,0)-'TRADE IN'!$F447=0,"",(VLOOKUP($C438,REV!$C:$AA,11,0)-'TRADE IN'!$F438))</f>
        <v>999</v>
      </c>
      <c r="N438" s="46">
        <f>IF(VLOOKUP($C438,REV!$C:$AA,12,0)-'TRADE IN'!$F447=0,"",(VLOOKUP($C438,REV!$C:$AA,12,0)-'TRADE IN'!$F438))</f>
        <v>899</v>
      </c>
      <c r="O438" s="46">
        <f>IF(VLOOKUP($C438,REV!$C:$AA,13,0)-'TRADE IN'!$F447=0,"",(VLOOKUP($C438,REV!$C:$AA,13,0)-'TRADE IN'!$F438))</f>
        <v>899</v>
      </c>
      <c r="P438" s="46">
        <f>IF(VLOOKUP($C438,REV!$C:$AA,14,0)-'TRADE IN'!$F447=0,"",(VLOOKUP($C438,REV!$C:$AA,14,0)-'TRADE IN'!$F438))</f>
        <v>899</v>
      </c>
      <c r="Q438" s="46">
        <f>IF(VLOOKUP($C438,REV!$C:$AA,15,0)-'TRADE IN'!$F447=0,"",(VLOOKUP($C438,REV!$C:$AA,15,0)-'TRADE IN'!$F438))</f>
        <v>799</v>
      </c>
      <c r="R438" s="46">
        <f>IF(VLOOKUP($C438,REV!$C:$AA,16,0)-'TRADE IN'!$F447=0,"",(VLOOKUP($C438,REV!$C:$AA,16,0)-'TRADE IN'!$F438))</f>
        <v>899</v>
      </c>
      <c r="S438" s="46">
        <f>IF(VLOOKUP($C438,REV!$C:$AA,17,0)-'TRADE IN'!$F447=0,"",(VLOOKUP($C438,REV!$C:$AA,17,0)-'TRADE IN'!$F438))</f>
        <v>899</v>
      </c>
      <c r="T438" s="46">
        <f>IF(VLOOKUP($C438,REV!$C:$AA,18,0)-'TRADE IN'!$F447=0,"",(VLOOKUP($C438,REV!$C:$AA,18,0)-'TRADE IN'!$F438))</f>
        <v>799</v>
      </c>
      <c r="U438" s="46">
        <f>IF(VLOOKUP($C438,REV!$C:$AA,19,0)-'TRADE IN'!$F447=0,"",(VLOOKUP($C438,REV!$C:$AA,19,0)-'TRADE IN'!$F438))</f>
        <v>799</v>
      </c>
      <c r="V438" s="46">
        <f>IF(VLOOKUP($C438,REV!$C:$AA,20,0)-'TRADE IN'!$F447=0,"",(VLOOKUP($C438,REV!$C:$AA,20,0)-'TRADE IN'!$F438))</f>
        <v>799</v>
      </c>
      <c r="W438" s="46">
        <f>IF(VLOOKUP($C438,REV!$C:$AA,21,0)-'TRADE IN'!$F447=0,"",(VLOOKUP($C438,REV!$C:$AA,21,0)-'TRADE IN'!$F438))</f>
        <v>799</v>
      </c>
      <c r="X438" s="46">
        <f>IF(VLOOKUP($C438,REV!$C:$AA,22,0)-'TRADE IN'!$F447=0,"",(VLOOKUP($C438,REV!$C:$AA,22,0)-'TRADE IN'!$F438))</f>
        <v>799</v>
      </c>
      <c r="Y438" s="46">
        <f>IF(VLOOKUP($C438,REV!$C:$AA,23,0)-'TRADE IN'!$F447=0,"",(VLOOKUP($C438,REV!$C:$AA,23,0)-'TRADE IN'!$F438))</f>
        <v>699</v>
      </c>
      <c r="Z438" s="46">
        <f>IF(VLOOKUP($C438,REV!$C:$AA,24,0)-'TRADE IN'!$F447=0,"",(VLOOKUP($C438,REV!$C:$AA,24,0)-'TRADE IN'!$F438))</f>
        <v>699</v>
      </c>
      <c r="AA438" s="46">
        <f>IF(VLOOKUP($C438,REV!$C:$AA,25,0)-'TRADE IN'!$F447=0,"",(VLOOKUP($C438,REV!$C:$AA,25,0)-'TRADE IN'!$F438))</f>
        <v>699</v>
      </c>
      <c r="AB438" s="46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tr">
        <f>IF(REV!AW438=0,"",REV!AW438)</f>
        <v>31.03.2026</v>
      </c>
      <c r="AX438" s="159" t="s">
        <v>82</v>
      </c>
    </row>
    <row r="439" spans="1:50" ht="22.5" customHeight="1">
      <c r="A439" s="50" t="s">
        <v>61</v>
      </c>
      <c r="B439" s="41" t="s">
        <v>62</v>
      </c>
      <c r="C439" s="42">
        <v>4016762</v>
      </c>
      <c r="D439" s="44" t="s">
        <v>625</v>
      </c>
      <c r="E439" s="44" t="s">
        <v>631</v>
      </c>
      <c r="F439" s="45"/>
      <c r="G439" s="45"/>
      <c r="H439" s="45"/>
      <c r="I439" s="45"/>
      <c r="J439" s="46">
        <f>IF(VLOOKUP($C439,REV!$C:$AA,8,0)-'TRADE IN'!$F439=0,"",(VLOOKUP($C439,REV!$C:$AA,8,0)-'TRADE IN'!$F439))</f>
        <v>999</v>
      </c>
      <c r="K439" s="46">
        <f>IF(VLOOKUP($C439,REV!$C:$AA,9,0)-'TRADE IN'!$F439=0,"",(VLOOKUP($C439,REV!$C:$AA,9,0)-'TRADE IN'!$F439))</f>
        <v>899</v>
      </c>
      <c r="L439" s="46">
        <f>IF(VLOOKUP($C439,REV!$C:$AA,10,0)-'TRADE IN'!$F448=0,"",(VLOOKUP($C439,REV!$C:$AA,10,0)-'TRADE IN'!$F439))</f>
        <v>899</v>
      </c>
      <c r="M439" s="46">
        <f>IF(VLOOKUP($C439,REV!$C:$AA,11,0)-'TRADE IN'!$F448=0,"",(VLOOKUP($C439,REV!$C:$AA,11,0)-'TRADE IN'!$F439))</f>
        <v>999</v>
      </c>
      <c r="N439" s="46">
        <f>IF(VLOOKUP($C439,REV!$C:$AA,12,0)-'TRADE IN'!$F448=0,"",(VLOOKUP($C439,REV!$C:$AA,12,0)-'TRADE IN'!$F439))</f>
        <v>899</v>
      </c>
      <c r="O439" s="46">
        <f>IF(VLOOKUP($C439,REV!$C:$AA,13,0)-'TRADE IN'!$F448=0,"",(VLOOKUP($C439,REV!$C:$AA,13,0)-'TRADE IN'!$F439))</f>
        <v>899</v>
      </c>
      <c r="P439" s="46">
        <f>IF(VLOOKUP($C439,REV!$C:$AA,14,0)-'TRADE IN'!$F448=0,"",(VLOOKUP($C439,REV!$C:$AA,14,0)-'TRADE IN'!$F439))</f>
        <v>899</v>
      </c>
      <c r="Q439" s="46">
        <f>IF(VLOOKUP($C439,REV!$C:$AA,15,0)-'TRADE IN'!$F448=0,"",(VLOOKUP($C439,REV!$C:$AA,15,0)-'TRADE IN'!$F439))</f>
        <v>799</v>
      </c>
      <c r="R439" s="46">
        <f>IF(VLOOKUP($C439,REV!$C:$AA,16,0)-'TRADE IN'!$F448=0,"",(VLOOKUP($C439,REV!$C:$AA,16,0)-'TRADE IN'!$F439))</f>
        <v>899</v>
      </c>
      <c r="S439" s="46">
        <f>IF(VLOOKUP($C439,REV!$C:$AA,17,0)-'TRADE IN'!$F448=0,"",(VLOOKUP($C439,REV!$C:$AA,17,0)-'TRADE IN'!$F439))</f>
        <v>899</v>
      </c>
      <c r="T439" s="46">
        <f>IF(VLOOKUP($C439,REV!$C:$AA,18,0)-'TRADE IN'!$F448=0,"",(VLOOKUP($C439,REV!$C:$AA,18,0)-'TRADE IN'!$F439))</f>
        <v>799</v>
      </c>
      <c r="U439" s="46">
        <f>IF(VLOOKUP($C439,REV!$C:$AA,19,0)-'TRADE IN'!$F448=0,"",(VLOOKUP($C439,REV!$C:$AA,19,0)-'TRADE IN'!$F439))</f>
        <v>799</v>
      </c>
      <c r="V439" s="46">
        <f>IF(VLOOKUP($C439,REV!$C:$AA,20,0)-'TRADE IN'!$F448=0,"",(VLOOKUP($C439,REV!$C:$AA,20,0)-'TRADE IN'!$F439))</f>
        <v>799</v>
      </c>
      <c r="W439" s="46">
        <f>IF(VLOOKUP($C439,REV!$C:$AA,21,0)-'TRADE IN'!$F448=0,"",(VLOOKUP($C439,REV!$C:$AA,21,0)-'TRADE IN'!$F439))</f>
        <v>799</v>
      </c>
      <c r="X439" s="46">
        <f>IF(VLOOKUP($C439,REV!$C:$AA,22,0)-'TRADE IN'!$F448=0,"",(VLOOKUP($C439,REV!$C:$AA,22,0)-'TRADE IN'!$F439))</f>
        <v>799</v>
      </c>
      <c r="Y439" s="46">
        <f>IF(VLOOKUP($C439,REV!$C:$AA,23,0)-'TRADE IN'!$F448=0,"",(VLOOKUP($C439,REV!$C:$AA,23,0)-'TRADE IN'!$F439))</f>
        <v>699</v>
      </c>
      <c r="Z439" s="46">
        <f>IF(VLOOKUP($C439,REV!$C:$AA,24,0)-'TRADE IN'!$F448=0,"",(VLOOKUP($C439,REV!$C:$AA,24,0)-'TRADE IN'!$F439))</f>
        <v>699</v>
      </c>
      <c r="AA439" s="46">
        <f>IF(VLOOKUP($C439,REV!$C:$AA,25,0)-'TRADE IN'!$F448=0,"",(VLOOKUP($C439,REV!$C:$AA,25,0)-'TRADE IN'!$F439))</f>
        <v>699</v>
      </c>
      <c r="AB439" s="46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tr">
        <f>IF(REV!AW439=0,"",REV!AW439)</f>
        <v>31.03.2026</v>
      </c>
      <c r="AX439" s="159" t="s">
        <v>82</v>
      </c>
    </row>
    <row r="440" spans="1:50" ht="22.5" customHeight="1">
      <c r="A440" s="50" t="s">
        <v>61</v>
      </c>
      <c r="B440" s="41" t="s">
        <v>62</v>
      </c>
      <c r="C440" s="42">
        <v>4016667</v>
      </c>
      <c r="D440" s="44" t="s">
        <v>632</v>
      </c>
      <c r="E440" s="44" t="s">
        <v>633</v>
      </c>
      <c r="F440" s="45"/>
      <c r="G440" s="45"/>
      <c r="H440" s="45"/>
      <c r="I440" s="45"/>
      <c r="J440" s="46">
        <f>IF(VLOOKUP($C440,REV!$C:$AA,8,0)-'TRADE IN'!$F440=0,"",(VLOOKUP($C440,REV!$C:$AA,8,0)-'TRADE IN'!$F440))</f>
        <v>1399</v>
      </c>
      <c r="K440" s="46">
        <f>IF(VLOOKUP($C440,REV!$C:$AA,9,0)-'TRADE IN'!$F440=0,"",(VLOOKUP($C440,REV!$C:$AA,9,0)-'TRADE IN'!$F440))</f>
        <v>1299</v>
      </c>
      <c r="L440" s="46">
        <f>IF(VLOOKUP($C440,REV!$C:$AA,10,0)-'TRADE IN'!$F449=0,"",(VLOOKUP($C440,REV!$C:$AA,10,0)-'TRADE IN'!$F440))</f>
        <v>1299</v>
      </c>
      <c r="M440" s="46">
        <f>IF(VLOOKUP($C440,REV!$C:$AA,11,0)-'TRADE IN'!$F449=0,"",(VLOOKUP($C440,REV!$C:$AA,11,0)-'TRADE IN'!$F440))</f>
        <v>1399</v>
      </c>
      <c r="N440" s="46">
        <f>IF(VLOOKUP($C440,REV!$C:$AA,12,0)-'TRADE IN'!$F449=0,"",(VLOOKUP($C440,REV!$C:$AA,12,0)-'TRADE IN'!$F440))</f>
        <v>1299</v>
      </c>
      <c r="O440" s="46">
        <f>IF(VLOOKUP($C440,REV!$C:$AA,13,0)-'TRADE IN'!$F449=0,"",(VLOOKUP($C440,REV!$C:$AA,13,0)-'TRADE IN'!$F440))</f>
        <v>1249</v>
      </c>
      <c r="P440" s="46">
        <f>IF(VLOOKUP($C440,REV!$C:$AA,14,0)-'TRADE IN'!$F449=0,"",(VLOOKUP($C440,REV!$C:$AA,14,0)-'TRADE IN'!$F440))</f>
        <v>1199</v>
      </c>
      <c r="Q440" s="46">
        <f>IF(VLOOKUP($C440,REV!$C:$AA,15,0)-'TRADE IN'!$F449=0,"",(VLOOKUP($C440,REV!$C:$AA,15,0)-'TRADE IN'!$F440))</f>
        <v>999</v>
      </c>
      <c r="R440" s="46">
        <f>IF(VLOOKUP($C440,REV!$C:$AA,16,0)-'TRADE IN'!$F449=0,"",(VLOOKUP($C440,REV!$C:$AA,16,0)-'TRADE IN'!$F440))</f>
        <v>1249</v>
      </c>
      <c r="S440" s="46">
        <f>IF(VLOOKUP($C440,REV!$C:$AA,17,0)-'TRADE IN'!$F449=0,"",(VLOOKUP($C440,REV!$C:$AA,17,0)-'TRADE IN'!$F440))</f>
        <v>1199</v>
      </c>
      <c r="T440" s="46">
        <f>IF(VLOOKUP($C440,REV!$C:$AA,18,0)-'TRADE IN'!$F449=0,"",(VLOOKUP($C440,REV!$C:$AA,18,0)-'TRADE IN'!$F440))</f>
        <v>999</v>
      </c>
      <c r="U440" s="46">
        <f>IF(VLOOKUP($C440,REV!$C:$AA,19,0)-'TRADE IN'!$F449=0,"",(VLOOKUP($C440,REV!$C:$AA,19,0)-'TRADE IN'!$F440))</f>
        <v>999</v>
      </c>
      <c r="V440" s="46">
        <f>IF(VLOOKUP($C440,REV!$C:$AA,20,0)-'TRADE IN'!$F449=0,"",(VLOOKUP($C440,REV!$C:$AA,20,0)-'TRADE IN'!$F440))</f>
        <v>999</v>
      </c>
      <c r="W440" s="46">
        <f>IF(VLOOKUP($C440,REV!$C:$AA,21,0)-'TRADE IN'!$F449=0,"",(VLOOKUP($C440,REV!$C:$AA,21,0)-'TRADE IN'!$F440))</f>
        <v>999</v>
      </c>
      <c r="X440" s="46">
        <f>IF(VLOOKUP($C440,REV!$C:$AA,22,0)-'TRADE IN'!$F449=0,"",(VLOOKUP($C440,REV!$C:$AA,22,0)-'TRADE IN'!$F440))</f>
        <v>999</v>
      </c>
      <c r="Y440" s="46">
        <f>IF(VLOOKUP($C440,REV!$C:$AA,23,0)-'TRADE IN'!$F449=0,"",(VLOOKUP($C440,REV!$C:$AA,23,0)-'TRADE IN'!$F440))</f>
        <v>999</v>
      </c>
      <c r="Z440" s="46">
        <f>IF(VLOOKUP($C440,REV!$C:$AA,24,0)-'TRADE IN'!$F449=0,"",(VLOOKUP($C440,REV!$C:$AA,24,0)-'TRADE IN'!$F440))</f>
        <v>999</v>
      </c>
      <c r="AA440" s="46">
        <f>IF(VLOOKUP($C440,REV!$C:$AA,25,0)-'TRADE IN'!$F449=0,"",(VLOOKUP($C440,REV!$C:$AA,25,0)-'TRADE IN'!$F440))</f>
        <v>999</v>
      </c>
      <c r="AB440" s="46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tr">
        <f>IF(REV!AW440=0,"",REV!AW440)</f>
        <v>31.03.2026</v>
      </c>
      <c r="AX440" s="159" t="s">
        <v>82</v>
      </c>
    </row>
    <row r="441" spans="1:50" ht="22.5" customHeight="1">
      <c r="A441" s="50" t="s">
        <v>61</v>
      </c>
      <c r="B441" s="41" t="s">
        <v>62</v>
      </c>
      <c r="C441" s="42">
        <v>4016713</v>
      </c>
      <c r="D441" s="44" t="s">
        <v>632</v>
      </c>
      <c r="E441" s="44" t="s">
        <v>634</v>
      </c>
      <c r="F441" s="45"/>
      <c r="G441" s="45"/>
      <c r="H441" s="45"/>
      <c r="I441" s="45"/>
      <c r="J441" s="46">
        <f>IF(VLOOKUP($C441,REV!$C:$AA,8,0)-'TRADE IN'!$F441=0,"",(VLOOKUP($C441,REV!$C:$AA,8,0)-'TRADE IN'!$F441))</f>
        <v>1399</v>
      </c>
      <c r="K441" s="46">
        <f>IF(VLOOKUP($C441,REV!$C:$AA,9,0)-'TRADE IN'!$F441=0,"",(VLOOKUP($C441,REV!$C:$AA,9,0)-'TRADE IN'!$F441))</f>
        <v>1299</v>
      </c>
      <c r="L441" s="46">
        <f>IF(VLOOKUP($C441,REV!$C:$AA,10,0)-'TRADE IN'!$F450=0,"",(VLOOKUP($C441,REV!$C:$AA,10,0)-'TRADE IN'!$F441))</f>
        <v>1299</v>
      </c>
      <c r="M441" s="46">
        <f>IF(VLOOKUP($C441,REV!$C:$AA,11,0)-'TRADE IN'!$F450=0,"",(VLOOKUP($C441,REV!$C:$AA,11,0)-'TRADE IN'!$F441))</f>
        <v>1399</v>
      </c>
      <c r="N441" s="46">
        <f>IF(VLOOKUP($C441,REV!$C:$AA,12,0)-'TRADE IN'!$F450=0,"",(VLOOKUP($C441,REV!$C:$AA,12,0)-'TRADE IN'!$F441))</f>
        <v>1299</v>
      </c>
      <c r="O441" s="46">
        <f>IF(VLOOKUP($C441,REV!$C:$AA,13,0)-'TRADE IN'!$F450=0,"",(VLOOKUP($C441,REV!$C:$AA,13,0)-'TRADE IN'!$F441))</f>
        <v>1249</v>
      </c>
      <c r="P441" s="46">
        <f>IF(VLOOKUP($C441,REV!$C:$AA,14,0)-'TRADE IN'!$F450=0,"",(VLOOKUP($C441,REV!$C:$AA,14,0)-'TRADE IN'!$F441))</f>
        <v>1199</v>
      </c>
      <c r="Q441" s="46">
        <f>IF(VLOOKUP($C441,REV!$C:$AA,15,0)-'TRADE IN'!$F450=0,"",(VLOOKUP($C441,REV!$C:$AA,15,0)-'TRADE IN'!$F441))</f>
        <v>999</v>
      </c>
      <c r="R441" s="46">
        <f>IF(VLOOKUP($C441,REV!$C:$AA,16,0)-'TRADE IN'!$F450=0,"",(VLOOKUP($C441,REV!$C:$AA,16,0)-'TRADE IN'!$F441))</f>
        <v>1249</v>
      </c>
      <c r="S441" s="46">
        <f>IF(VLOOKUP($C441,REV!$C:$AA,17,0)-'TRADE IN'!$F450=0,"",(VLOOKUP($C441,REV!$C:$AA,17,0)-'TRADE IN'!$F441))</f>
        <v>1199</v>
      </c>
      <c r="T441" s="46">
        <f>IF(VLOOKUP($C441,REV!$C:$AA,18,0)-'TRADE IN'!$F450=0,"",(VLOOKUP($C441,REV!$C:$AA,18,0)-'TRADE IN'!$F441))</f>
        <v>999</v>
      </c>
      <c r="U441" s="46">
        <f>IF(VLOOKUP($C441,REV!$C:$AA,19,0)-'TRADE IN'!$F450=0,"",(VLOOKUP($C441,REV!$C:$AA,19,0)-'TRADE IN'!$F441))</f>
        <v>999</v>
      </c>
      <c r="V441" s="46">
        <f>IF(VLOOKUP($C441,REV!$C:$AA,20,0)-'TRADE IN'!$F450=0,"",(VLOOKUP($C441,REV!$C:$AA,20,0)-'TRADE IN'!$F441))</f>
        <v>999</v>
      </c>
      <c r="W441" s="46">
        <f>IF(VLOOKUP($C441,REV!$C:$AA,21,0)-'TRADE IN'!$F450=0,"",(VLOOKUP($C441,REV!$C:$AA,21,0)-'TRADE IN'!$F441))</f>
        <v>999</v>
      </c>
      <c r="X441" s="46">
        <f>IF(VLOOKUP($C441,REV!$C:$AA,22,0)-'TRADE IN'!$F450=0,"",(VLOOKUP($C441,REV!$C:$AA,22,0)-'TRADE IN'!$F441))</f>
        <v>999</v>
      </c>
      <c r="Y441" s="46">
        <f>IF(VLOOKUP($C441,REV!$C:$AA,23,0)-'TRADE IN'!$F450=0,"",(VLOOKUP($C441,REV!$C:$AA,23,0)-'TRADE IN'!$F441))</f>
        <v>999</v>
      </c>
      <c r="Z441" s="46">
        <f>IF(VLOOKUP($C441,REV!$C:$AA,24,0)-'TRADE IN'!$F450=0,"",(VLOOKUP($C441,REV!$C:$AA,24,0)-'TRADE IN'!$F441))</f>
        <v>999</v>
      </c>
      <c r="AA441" s="46">
        <f>IF(VLOOKUP($C441,REV!$C:$AA,25,0)-'TRADE IN'!$F450=0,"",(VLOOKUP($C441,REV!$C:$AA,25,0)-'TRADE IN'!$F441))</f>
        <v>999</v>
      </c>
      <c r="AB441" s="46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tr">
        <f>IF(REV!AW441=0,"",REV!AW441)</f>
        <v>31.03.2026</v>
      </c>
      <c r="AX441" s="159" t="s">
        <v>82</v>
      </c>
    </row>
    <row r="442" spans="1:50" ht="22.5" customHeight="1">
      <c r="A442" s="50" t="s">
        <v>61</v>
      </c>
      <c r="B442" s="41" t="s">
        <v>62</v>
      </c>
      <c r="C442" s="42">
        <v>4016669</v>
      </c>
      <c r="D442" s="44" t="s">
        <v>632</v>
      </c>
      <c r="E442" s="44" t="s">
        <v>635</v>
      </c>
      <c r="F442" s="45"/>
      <c r="G442" s="45"/>
      <c r="H442" s="45"/>
      <c r="I442" s="45"/>
      <c r="J442" s="46">
        <f>IF(VLOOKUP($C442,REV!$C:$AA,8,0)-'TRADE IN'!$F442=0,"",(VLOOKUP($C442,REV!$C:$AA,8,0)-'TRADE IN'!$F442))</f>
        <v>1399</v>
      </c>
      <c r="K442" s="46">
        <f>IF(VLOOKUP($C442,REV!$C:$AA,9,0)-'TRADE IN'!$F442=0,"",(VLOOKUP($C442,REV!$C:$AA,9,0)-'TRADE IN'!$F442))</f>
        <v>1299</v>
      </c>
      <c r="L442" s="46">
        <f>IF(VLOOKUP($C442,REV!$C:$AA,10,0)-'TRADE IN'!$F451=0,"",(VLOOKUP($C442,REV!$C:$AA,10,0)-'TRADE IN'!$F442))</f>
        <v>1299</v>
      </c>
      <c r="M442" s="46">
        <f>IF(VLOOKUP($C442,REV!$C:$AA,11,0)-'TRADE IN'!$F451=0,"",(VLOOKUP($C442,REV!$C:$AA,11,0)-'TRADE IN'!$F442))</f>
        <v>1399</v>
      </c>
      <c r="N442" s="46">
        <f>IF(VLOOKUP($C442,REV!$C:$AA,12,0)-'TRADE IN'!$F451=0,"",(VLOOKUP($C442,REV!$C:$AA,12,0)-'TRADE IN'!$F442))</f>
        <v>1299</v>
      </c>
      <c r="O442" s="46">
        <f>IF(VLOOKUP($C442,REV!$C:$AA,13,0)-'TRADE IN'!$F451=0,"",(VLOOKUP($C442,REV!$C:$AA,13,0)-'TRADE IN'!$F442))</f>
        <v>1249</v>
      </c>
      <c r="P442" s="46">
        <f>IF(VLOOKUP($C442,REV!$C:$AA,14,0)-'TRADE IN'!$F451=0,"",(VLOOKUP($C442,REV!$C:$AA,14,0)-'TRADE IN'!$F442))</f>
        <v>1199</v>
      </c>
      <c r="Q442" s="46">
        <f>IF(VLOOKUP($C442,REV!$C:$AA,15,0)-'TRADE IN'!$F451=0,"",(VLOOKUP($C442,REV!$C:$AA,15,0)-'TRADE IN'!$F442))</f>
        <v>999</v>
      </c>
      <c r="R442" s="46">
        <f>IF(VLOOKUP($C442,REV!$C:$AA,16,0)-'TRADE IN'!$F451=0,"",(VLOOKUP($C442,REV!$C:$AA,16,0)-'TRADE IN'!$F442))</f>
        <v>1249</v>
      </c>
      <c r="S442" s="46">
        <f>IF(VLOOKUP($C442,REV!$C:$AA,17,0)-'TRADE IN'!$F451=0,"",(VLOOKUP($C442,REV!$C:$AA,17,0)-'TRADE IN'!$F442))</f>
        <v>1199</v>
      </c>
      <c r="T442" s="46">
        <f>IF(VLOOKUP($C442,REV!$C:$AA,18,0)-'TRADE IN'!$F451=0,"",(VLOOKUP($C442,REV!$C:$AA,18,0)-'TRADE IN'!$F442))</f>
        <v>999</v>
      </c>
      <c r="U442" s="46">
        <f>IF(VLOOKUP($C442,REV!$C:$AA,19,0)-'TRADE IN'!$F451=0,"",(VLOOKUP($C442,REV!$C:$AA,19,0)-'TRADE IN'!$F442))</f>
        <v>999</v>
      </c>
      <c r="V442" s="46">
        <f>IF(VLOOKUP($C442,REV!$C:$AA,20,0)-'TRADE IN'!$F451=0,"",(VLOOKUP($C442,REV!$C:$AA,20,0)-'TRADE IN'!$F442))</f>
        <v>999</v>
      </c>
      <c r="W442" s="46">
        <f>IF(VLOOKUP($C442,REV!$C:$AA,21,0)-'TRADE IN'!$F451=0,"",(VLOOKUP($C442,REV!$C:$AA,21,0)-'TRADE IN'!$F442))</f>
        <v>999</v>
      </c>
      <c r="X442" s="46">
        <f>IF(VLOOKUP($C442,REV!$C:$AA,22,0)-'TRADE IN'!$F451=0,"",(VLOOKUP($C442,REV!$C:$AA,22,0)-'TRADE IN'!$F442))</f>
        <v>999</v>
      </c>
      <c r="Y442" s="46">
        <f>IF(VLOOKUP($C442,REV!$C:$AA,23,0)-'TRADE IN'!$F451=0,"",(VLOOKUP($C442,REV!$C:$AA,23,0)-'TRADE IN'!$F442))</f>
        <v>999</v>
      </c>
      <c r="Z442" s="46">
        <f>IF(VLOOKUP($C442,REV!$C:$AA,24,0)-'TRADE IN'!$F451=0,"",(VLOOKUP($C442,REV!$C:$AA,24,0)-'TRADE IN'!$F442))</f>
        <v>999</v>
      </c>
      <c r="AA442" s="46">
        <f>IF(VLOOKUP($C442,REV!$C:$AA,25,0)-'TRADE IN'!$F451=0,"",(VLOOKUP($C442,REV!$C:$AA,25,0)-'TRADE IN'!$F442))</f>
        <v>999</v>
      </c>
      <c r="AB442" s="46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tr">
        <f>IF(REV!AW442=0,"",REV!AW442)</f>
        <v>31.03.2026</v>
      </c>
      <c r="AX442" s="159" t="s">
        <v>82</v>
      </c>
    </row>
    <row r="443" spans="1:50" ht="22.5" customHeight="1">
      <c r="A443" s="50" t="s">
        <v>61</v>
      </c>
      <c r="B443" s="41" t="s">
        <v>62</v>
      </c>
      <c r="C443" s="42">
        <v>4016715</v>
      </c>
      <c r="D443" s="44" t="s">
        <v>632</v>
      </c>
      <c r="E443" s="44" t="s">
        <v>636</v>
      </c>
      <c r="F443" s="45"/>
      <c r="G443" s="45"/>
      <c r="H443" s="45"/>
      <c r="I443" s="45"/>
      <c r="J443" s="46">
        <f>IF(VLOOKUP($C443,REV!$C:$AA,8,0)-'TRADE IN'!$F443=0,"",(VLOOKUP($C443,REV!$C:$AA,8,0)-'TRADE IN'!$F443))</f>
        <v>1399</v>
      </c>
      <c r="K443" s="46">
        <f>IF(VLOOKUP($C443,REV!$C:$AA,9,0)-'TRADE IN'!$F443=0,"",(VLOOKUP($C443,REV!$C:$AA,9,0)-'TRADE IN'!$F443))</f>
        <v>1299</v>
      </c>
      <c r="L443" s="46">
        <f>IF(VLOOKUP($C443,REV!$C:$AA,10,0)-'TRADE IN'!$F456=0,"",(VLOOKUP($C443,REV!$C:$AA,10,0)-'TRADE IN'!$F443))</f>
        <v>1299</v>
      </c>
      <c r="M443" s="46">
        <f>IF(VLOOKUP($C443,REV!$C:$AA,11,0)-'TRADE IN'!$F456=0,"",(VLOOKUP($C443,REV!$C:$AA,11,0)-'TRADE IN'!$F443))</f>
        <v>1399</v>
      </c>
      <c r="N443" s="46">
        <f>IF(VLOOKUP($C443,REV!$C:$AA,12,0)-'TRADE IN'!$F456=0,"",(VLOOKUP($C443,REV!$C:$AA,12,0)-'TRADE IN'!$F443))</f>
        <v>1299</v>
      </c>
      <c r="O443" s="46">
        <f>IF(VLOOKUP($C443,REV!$C:$AA,13,0)-'TRADE IN'!$F456=0,"",(VLOOKUP($C443,REV!$C:$AA,13,0)-'TRADE IN'!$F443))</f>
        <v>1249</v>
      </c>
      <c r="P443" s="46">
        <f>IF(VLOOKUP($C443,REV!$C:$AA,14,0)-'TRADE IN'!$F456=0,"",(VLOOKUP($C443,REV!$C:$AA,14,0)-'TRADE IN'!$F443))</f>
        <v>1199</v>
      </c>
      <c r="Q443" s="46">
        <f>IF(VLOOKUP($C443,REV!$C:$AA,15,0)-'TRADE IN'!$F456=0,"",(VLOOKUP($C443,REV!$C:$AA,15,0)-'TRADE IN'!$F443))</f>
        <v>999</v>
      </c>
      <c r="R443" s="46">
        <f>IF(VLOOKUP($C443,REV!$C:$AA,16,0)-'TRADE IN'!$F456=0,"",(VLOOKUP($C443,REV!$C:$AA,16,0)-'TRADE IN'!$F443))</f>
        <v>1249</v>
      </c>
      <c r="S443" s="46">
        <f>IF(VLOOKUP($C443,REV!$C:$AA,17,0)-'TRADE IN'!$F456=0,"",(VLOOKUP($C443,REV!$C:$AA,17,0)-'TRADE IN'!$F443))</f>
        <v>1199</v>
      </c>
      <c r="T443" s="46">
        <f>IF(VLOOKUP($C443,REV!$C:$AA,18,0)-'TRADE IN'!$F456=0,"",(VLOOKUP($C443,REV!$C:$AA,18,0)-'TRADE IN'!$F443))</f>
        <v>999</v>
      </c>
      <c r="U443" s="46">
        <f>IF(VLOOKUP($C443,REV!$C:$AA,19,0)-'TRADE IN'!$F456=0,"",(VLOOKUP($C443,REV!$C:$AA,19,0)-'TRADE IN'!$F443))</f>
        <v>999</v>
      </c>
      <c r="V443" s="46">
        <f>IF(VLOOKUP($C443,REV!$C:$AA,20,0)-'TRADE IN'!$F456=0,"",(VLOOKUP($C443,REV!$C:$AA,20,0)-'TRADE IN'!$F443))</f>
        <v>999</v>
      </c>
      <c r="W443" s="46">
        <f>IF(VLOOKUP($C443,REV!$C:$AA,21,0)-'TRADE IN'!$F456=0,"",(VLOOKUP($C443,REV!$C:$AA,21,0)-'TRADE IN'!$F443))</f>
        <v>999</v>
      </c>
      <c r="X443" s="46">
        <f>IF(VLOOKUP($C443,REV!$C:$AA,22,0)-'TRADE IN'!$F456=0,"",(VLOOKUP($C443,REV!$C:$AA,22,0)-'TRADE IN'!$F443))</f>
        <v>999</v>
      </c>
      <c r="Y443" s="46">
        <f>IF(VLOOKUP($C443,REV!$C:$AA,23,0)-'TRADE IN'!$F456=0,"",(VLOOKUP($C443,REV!$C:$AA,23,0)-'TRADE IN'!$F443))</f>
        <v>999</v>
      </c>
      <c r="Z443" s="46">
        <f>IF(VLOOKUP($C443,REV!$C:$AA,24,0)-'TRADE IN'!$F456=0,"",(VLOOKUP($C443,REV!$C:$AA,24,0)-'TRADE IN'!$F443))</f>
        <v>999</v>
      </c>
      <c r="AA443" s="46">
        <f>IF(VLOOKUP($C443,REV!$C:$AA,25,0)-'TRADE IN'!$F456=0,"",(VLOOKUP($C443,REV!$C:$AA,25,0)-'TRADE IN'!$F443))</f>
        <v>999</v>
      </c>
      <c r="AB443" s="46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tr">
        <f>IF(REV!AW443=0,"",REV!AW443)</f>
        <v>31.03.2026</v>
      </c>
      <c r="AX443" s="159" t="s">
        <v>82</v>
      </c>
    </row>
    <row r="444" spans="1:50" ht="22.5" customHeight="1">
      <c r="A444" s="50" t="s">
        <v>61</v>
      </c>
      <c r="B444" s="41" t="s">
        <v>62</v>
      </c>
      <c r="C444" s="42">
        <v>4017357</v>
      </c>
      <c r="D444" s="44" t="s">
        <v>637</v>
      </c>
      <c r="E444" s="44" t="s">
        <v>638</v>
      </c>
      <c r="F444" s="45"/>
      <c r="G444" s="45"/>
      <c r="H444" s="45"/>
      <c r="I444" s="45"/>
      <c r="J444" s="46">
        <f>IF(VLOOKUP($C444,REV!$C:$AA,8,0)-'TRADE IN'!$F444=0,"",(VLOOKUP($C444,REV!$C:$AA,8,0)-'TRADE IN'!$F444))</f>
        <v>1149</v>
      </c>
      <c r="K444" s="46">
        <f>IF(VLOOKUP($C444,REV!$C:$AA,9,0)-'TRADE IN'!$F444=0,"",(VLOOKUP($C444,REV!$C:$AA,9,0)-'TRADE IN'!$F444))</f>
        <v>899</v>
      </c>
      <c r="L444" s="46">
        <f>IF(VLOOKUP($C444,REV!$C:$AA,10,0)-'TRADE IN'!$F457=0,"",(VLOOKUP($C444,REV!$C:$AA,10,0)-'TRADE IN'!$F444))</f>
        <v>899</v>
      </c>
      <c r="M444" s="46">
        <f>IF(VLOOKUP($C444,REV!$C:$AA,11,0)-'TRADE IN'!$F457=0,"",(VLOOKUP($C444,REV!$C:$AA,11,0)-'TRADE IN'!$F444))</f>
        <v>1149</v>
      </c>
      <c r="N444" s="46">
        <f>IF(VLOOKUP($C444,REV!$C:$AA,12,0)-'TRADE IN'!$F457=0,"",(VLOOKUP($C444,REV!$C:$AA,12,0)-'TRADE IN'!$F444))</f>
        <v>899</v>
      </c>
      <c r="O444" s="46">
        <f>IF(VLOOKUP($C444,REV!$C:$AA,13,0)-'TRADE IN'!$F457=0,"",(VLOOKUP($C444,REV!$C:$AA,13,0)-'TRADE IN'!$F444))</f>
        <v>899</v>
      </c>
      <c r="P444" s="46">
        <f>IF(VLOOKUP($C444,REV!$C:$AA,14,0)-'TRADE IN'!$F457=0,"",(VLOOKUP($C444,REV!$C:$AA,14,0)-'TRADE IN'!$F444))</f>
        <v>899</v>
      </c>
      <c r="Q444" s="46">
        <f>IF(VLOOKUP($C444,REV!$C:$AA,15,0)-'TRADE IN'!$F457=0,"",(VLOOKUP($C444,REV!$C:$AA,15,0)-'TRADE IN'!$F444))</f>
        <v>849</v>
      </c>
      <c r="R444" s="46">
        <f>IF(VLOOKUP($C444,REV!$C:$AA,16,0)-'TRADE IN'!$F457=0,"",(VLOOKUP($C444,REV!$C:$AA,16,0)-'TRADE IN'!$F444))</f>
        <v>899</v>
      </c>
      <c r="S444" s="46">
        <f>IF(VLOOKUP($C444,REV!$C:$AA,17,0)-'TRADE IN'!$F457=0,"",(VLOOKUP($C444,REV!$C:$AA,17,0)-'TRADE IN'!$F444))</f>
        <v>899</v>
      </c>
      <c r="T444" s="46">
        <f>IF(VLOOKUP($C444,REV!$C:$AA,18,0)-'TRADE IN'!$F457=0,"",(VLOOKUP($C444,REV!$C:$AA,18,0)-'TRADE IN'!$F444))</f>
        <v>849</v>
      </c>
      <c r="U444" s="46">
        <f>IF(VLOOKUP($C444,REV!$C:$AA,19,0)-'TRADE IN'!$F457=0,"",(VLOOKUP($C444,REV!$C:$AA,19,0)-'TRADE IN'!$F444))</f>
        <v>849</v>
      </c>
      <c r="V444" s="46">
        <f>IF(VLOOKUP($C444,REV!$C:$AA,20,0)-'TRADE IN'!$F457=0,"",(VLOOKUP($C444,REV!$C:$AA,20,0)-'TRADE IN'!$F444))</f>
        <v>849</v>
      </c>
      <c r="W444" s="46">
        <f>IF(VLOOKUP($C444,REV!$C:$AA,21,0)-'TRADE IN'!$F457=0,"",(VLOOKUP($C444,REV!$C:$AA,21,0)-'TRADE IN'!$F444))</f>
        <v>849</v>
      </c>
      <c r="X444" s="46">
        <f>IF(VLOOKUP($C444,REV!$C:$AA,22,0)-'TRADE IN'!$F457=0,"",(VLOOKUP($C444,REV!$C:$AA,22,0)-'TRADE IN'!$F444))</f>
        <v>849</v>
      </c>
      <c r="Y444" s="46">
        <f>IF(VLOOKUP($C444,REV!$C:$AA,23,0)-'TRADE IN'!$F457=0,"",(VLOOKUP($C444,REV!$C:$AA,23,0)-'TRADE IN'!$F444))</f>
        <v>849</v>
      </c>
      <c r="Z444" s="46">
        <f>IF(VLOOKUP($C444,REV!$C:$AA,24,0)-'TRADE IN'!$F457=0,"",(VLOOKUP($C444,REV!$C:$AA,24,0)-'TRADE IN'!$F444))</f>
        <v>849</v>
      </c>
      <c r="AA444" s="46">
        <f>IF(VLOOKUP($C444,REV!$C:$AA,25,0)-'TRADE IN'!$F457=0,"",(VLOOKUP($C444,REV!$C:$AA,25,0)-'TRADE IN'!$F444))</f>
        <v>849</v>
      </c>
      <c r="AB444" s="46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tr">
        <f>IF(REV!AW444=0,"",REV!AW444)</f>
        <v>31.03.2026</v>
      </c>
      <c r="AX444" s="159" t="s">
        <v>66</v>
      </c>
    </row>
    <row r="445" spans="1:50" ht="22.5" customHeight="1">
      <c r="A445" s="50" t="s">
        <v>61</v>
      </c>
      <c r="B445" s="41" t="s">
        <v>62</v>
      </c>
      <c r="C445" s="42">
        <v>4017377</v>
      </c>
      <c r="D445" s="44" t="s">
        <v>637</v>
      </c>
      <c r="E445" s="44" t="s">
        <v>639</v>
      </c>
      <c r="F445" s="45"/>
      <c r="G445" s="45"/>
      <c r="H445" s="45"/>
      <c r="I445" s="45"/>
      <c r="J445" s="46">
        <f>IF(VLOOKUP($C445,REV!$C:$AA,8,0)-'TRADE IN'!$F445=0,"",(VLOOKUP($C445,REV!$C:$AA,8,0)-'TRADE IN'!$F445))</f>
        <v>1149</v>
      </c>
      <c r="K445" s="46">
        <f>IF(VLOOKUP($C445,REV!$C:$AA,9,0)-'TRADE IN'!$F445=0,"",(VLOOKUP($C445,REV!$C:$AA,9,0)-'TRADE IN'!$F445))</f>
        <v>899</v>
      </c>
      <c r="L445" s="46">
        <f>IF(VLOOKUP($C445,REV!$C:$AA,10,0)-'TRADE IN'!$F458=0,"",(VLOOKUP($C445,REV!$C:$AA,10,0)-'TRADE IN'!$F445))</f>
        <v>899</v>
      </c>
      <c r="M445" s="46">
        <f>IF(VLOOKUP($C445,REV!$C:$AA,11,0)-'TRADE IN'!$F458=0,"",(VLOOKUP($C445,REV!$C:$AA,11,0)-'TRADE IN'!$F445))</f>
        <v>1149</v>
      </c>
      <c r="N445" s="46">
        <f>IF(VLOOKUP($C445,REV!$C:$AA,12,0)-'TRADE IN'!$F458=0,"",(VLOOKUP($C445,REV!$C:$AA,12,0)-'TRADE IN'!$F445))</f>
        <v>899</v>
      </c>
      <c r="O445" s="46">
        <f>IF(VLOOKUP($C445,REV!$C:$AA,13,0)-'TRADE IN'!$F458=0,"",(VLOOKUP($C445,REV!$C:$AA,13,0)-'TRADE IN'!$F445))</f>
        <v>899</v>
      </c>
      <c r="P445" s="46">
        <f>IF(VLOOKUP($C445,REV!$C:$AA,14,0)-'TRADE IN'!$F458=0,"",(VLOOKUP($C445,REV!$C:$AA,14,0)-'TRADE IN'!$F445))</f>
        <v>899</v>
      </c>
      <c r="Q445" s="46">
        <f>IF(VLOOKUP($C445,REV!$C:$AA,15,0)-'TRADE IN'!$F458=0,"",(VLOOKUP($C445,REV!$C:$AA,15,0)-'TRADE IN'!$F445))</f>
        <v>849</v>
      </c>
      <c r="R445" s="46">
        <f>IF(VLOOKUP($C445,REV!$C:$AA,16,0)-'TRADE IN'!$F458=0,"",(VLOOKUP($C445,REV!$C:$AA,16,0)-'TRADE IN'!$F445))</f>
        <v>899</v>
      </c>
      <c r="S445" s="46">
        <f>IF(VLOOKUP($C445,REV!$C:$AA,17,0)-'TRADE IN'!$F458=0,"",(VLOOKUP($C445,REV!$C:$AA,17,0)-'TRADE IN'!$F445))</f>
        <v>899</v>
      </c>
      <c r="T445" s="46">
        <f>IF(VLOOKUP($C445,REV!$C:$AA,18,0)-'TRADE IN'!$F458=0,"",(VLOOKUP($C445,REV!$C:$AA,18,0)-'TRADE IN'!$F445))</f>
        <v>849</v>
      </c>
      <c r="U445" s="46">
        <f>IF(VLOOKUP($C445,REV!$C:$AA,19,0)-'TRADE IN'!$F458=0,"",(VLOOKUP($C445,REV!$C:$AA,19,0)-'TRADE IN'!$F445))</f>
        <v>849</v>
      </c>
      <c r="V445" s="46">
        <f>IF(VLOOKUP($C445,REV!$C:$AA,20,0)-'TRADE IN'!$F458=0,"",(VLOOKUP($C445,REV!$C:$AA,20,0)-'TRADE IN'!$F445))</f>
        <v>849</v>
      </c>
      <c r="W445" s="46">
        <f>IF(VLOOKUP($C445,REV!$C:$AA,21,0)-'TRADE IN'!$F458=0,"",(VLOOKUP($C445,REV!$C:$AA,21,0)-'TRADE IN'!$F445))</f>
        <v>849</v>
      </c>
      <c r="X445" s="46">
        <f>IF(VLOOKUP($C445,REV!$C:$AA,22,0)-'TRADE IN'!$F458=0,"",(VLOOKUP($C445,REV!$C:$AA,22,0)-'TRADE IN'!$F445))</f>
        <v>849</v>
      </c>
      <c r="Y445" s="46">
        <f>IF(VLOOKUP($C445,REV!$C:$AA,23,0)-'TRADE IN'!$F458=0,"",(VLOOKUP($C445,REV!$C:$AA,23,0)-'TRADE IN'!$F445))</f>
        <v>849</v>
      </c>
      <c r="Z445" s="46">
        <f>IF(VLOOKUP($C445,REV!$C:$AA,24,0)-'TRADE IN'!$F458=0,"",(VLOOKUP($C445,REV!$C:$AA,24,0)-'TRADE IN'!$F445))</f>
        <v>849</v>
      </c>
      <c r="AA445" s="46">
        <f>IF(VLOOKUP($C445,REV!$C:$AA,25,0)-'TRADE IN'!$F458=0,"",(VLOOKUP($C445,REV!$C:$AA,25,0)-'TRADE IN'!$F445))</f>
        <v>849</v>
      </c>
      <c r="AB445" s="46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tr">
        <f>IF(REV!AW445=0,"",REV!AW445)</f>
        <v>31.03.2026</v>
      </c>
      <c r="AX445" s="159" t="s">
        <v>66</v>
      </c>
    </row>
    <row r="446" spans="1:50" ht="22.5" customHeight="1">
      <c r="A446" s="50" t="s">
        <v>61</v>
      </c>
      <c r="B446" s="41" t="s">
        <v>62</v>
      </c>
      <c r="C446" s="42">
        <v>4017363</v>
      </c>
      <c r="D446" s="44" t="s">
        <v>637</v>
      </c>
      <c r="E446" s="44" t="s">
        <v>640</v>
      </c>
      <c r="F446" s="45"/>
      <c r="G446" s="45"/>
      <c r="H446" s="45"/>
      <c r="I446" s="45"/>
      <c r="J446" s="46">
        <f>IF(VLOOKUP($C446,REV!$C:$AA,8,0)-'TRADE IN'!$F446=0,"",(VLOOKUP($C446,REV!$C:$AA,8,0)-'TRADE IN'!$F446))</f>
        <v>1149</v>
      </c>
      <c r="K446" s="46">
        <f>IF(VLOOKUP($C446,REV!$C:$AA,9,0)-'TRADE IN'!$F446=0,"",(VLOOKUP($C446,REV!$C:$AA,9,0)-'TRADE IN'!$F446))</f>
        <v>899</v>
      </c>
      <c r="L446" s="46">
        <f>IF(VLOOKUP($C446,REV!$C:$AA,10,0)-'TRADE IN'!$F459=0,"",(VLOOKUP($C446,REV!$C:$AA,10,0)-'TRADE IN'!$F446))</f>
        <v>899</v>
      </c>
      <c r="M446" s="46">
        <f>IF(VLOOKUP($C446,REV!$C:$AA,11,0)-'TRADE IN'!$F459=0,"",(VLOOKUP($C446,REV!$C:$AA,11,0)-'TRADE IN'!$F446))</f>
        <v>1149</v>
      </c>
      <c r="N446" s="46">
        <f>IF(VLOOKUP($C446,REV!$C:$AA,12,0)-'TRADE IN'!$F459=0,"",(VLOOKUP($C446,REV!$C:$AA,12,0)-'TRADE IN'!$F446))</f>
        <v>899</v>
      </c>
      <c r="O446" s="46">
        <f>IF(VLOOKUP($C446,REV!$C:$AA,13,0)-'TRADE IN'!$F459=0,"",(VLOOKUP($C446,REV!$C:$AA,13,0)-'TRADE IN'!$F446))</f>
        <v>899</v>
      </c>
      <c r="P446" s="46">
        <f>IF(VLOOKUP($C446,REV!$C:$AA,14,0)-'TRADE IN'!$F459=0,"",(VLOOKUP($C446,REV!$C:$AA,14,0)-'TRADE IN'!$F446))</f>
        <v>899</v>
      </c>
      <c r="Q446" s="46">
        <f>IF(VLOOKUP($C446,REV!$C:$AA,15,0)-'TRADE IN'!$F459=0,"",(VLOOKUP($C446,REV!$C:$AA,15,0)-'TRADE IN'!$F446))</f>
        <v>849</v>
      </c>
      <c r="R446" s="46">
        <f>IF(VLOOKUP($C446,REV!$C:$AA,16,0)-'TRADE IN'!$F459=0,"",(VLOOKUP($C446,REV!$C:$AA,16,0)-'TRADE IN'!$F446))</f>
        <v>899</v>
      </c>
      <c r="S446" s="46">
        <f>IF(VLOOKUP($C446,REV!$C:$AA,17,0)-'TRADE IN'!$F459=0,"",(VLOOKUP($C446,REV!$C:$AA,17,0)-'TRADE IN'!$F446))</f>
        <v>899</v>
      </c>
      <c r="T446" s="46">
        <f>IF(VLOOKUP($C446,REV!$C:$AA,18,0)-'TRADE IN'!$F459=0,"",(VLOOKUP($C446,REV!$C:$AA,18,0)-'TRADE IN'!$F446))</f>
        <v>849</v>
      </c>
      <c r="U446" s="46">
        <f>IF(VLOOKUP($C446,REV!$C:$AA,19,0)-'TRADE IN'!$F459=0,"",(VLOOKUP($C446,REV!$C:$AA,19,0)-'TRADE IN'!$F446))</f>
        <v>849</v>
      </c>
      <c r="V446" s="46">
        <f>IF(VLOOKUP($C446,REV!$C:$AA,20,0)-'TRADE IN'!$F459=0,"",(VLOOKUP($C446,REV!$C:$AA,20,0)-'TRADE IN'!$F446))</f>
        <v>849</v>
      </c>
      <c r="W446" s="46">
        <f>IF(VLOOKUP($C446,REV!$C:$AA,21,0)-'TRADE IN'!$F459=0,"",(VLOOKUP($C446,REV!$C:$AA,21,0)-'TRADE IN'!$F446))</f>
        <v>849</v>
      </c>
      <c r="X446" s="46">
        <f>IF(VLOOKUP($C446,REV!$C:$AA,22,0)-'TRADE IN'!$F459=0,"",(VLOOKUP($C446,REV!$C:$AA,22,0)-'TRADE IN'!$F446))</f>
        <v>849</v>
      </c>
      <c r="Y446" s="46">
        <f>IF(VLOOKUP($C446,REV!$C:$AA,23,0)-'TRADE IN'!$F459=0,"",(VLOOKUP($C446,REV!$C:$AA,23,0)-'TRADE IN'!$F446))</f>
        <v>849</v>
      </c>
      <c r="Z446" s="46">
        <f>IF(VLOOKUP($C446,REV!$C:$AA,24,0)-'TRADE IN'!$F459=0,"",(VLOOKUP($C446,REV!$C:$AA,24,0)-'TRADE IN'!$F446))</f>
        <v>849</v>
      </c>
      <c r="AA446" s="46">
        <f>IF(VLOOKUP($C446,REV!$C:$AA,25,0)-'TRADE IN'!$F459=0,"",(VLOOKUP($C446,REV!$C:$AA,25,0)-'TRADE IN'!$F446))</f>
        <v>849</v>
      </c>
      <c r="AB446" s="46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tr">
        <f>IF(REV!AW446=0,"",REV!AW446)</f>
        <v>31.03.2026</v>
      </c>
      <c r="AX446" s="159" t="s">
        <v>66</v>
      </c>
    </row>
    <row r="447" spans="1:50" ht="22.5" customHeight="1">
      <c r="A447" s="50" t="s">
        <v>61</v>
      </c>
      <c r="B447" s="41" t="s">
        <v>62</v>
      </c>
      <c r="C447" s="42">
        <v>4017383</v>
      </c>
      <c r="D447" s="44" t="s">
        <v>637</v>
      </c>
      <c r="E447" s="44" t="s">
        <v>641</v>
      </c>
      <c r="F447" s="45"/>
      <c r="G447" s="45"/>
      <c r="H447" s="45"/>
      <c r="I447" s="45"/>
      <c r="J447" s="46">
        <f>IF(VLOOKUP($C447,REV!$C:$AA,8,0)-'TRADE IN'!$F447=0,"",(VLOOKUP($C447,REV!$C:$AA,8,0)-'TRADE IN'!$F447))</f>
        <v>1149</v>
      </c>
      <c r="K447" s="46">
        <f>IF(VLOOKUP($C447,REV!$C:$AA,9,0)-'TRADE IN'!$F447=0,"",(VLOOKUP($C447,REV!$C:$AA,9,0)-'TRADE IN'!$F447))</f>
        <v>899</v>
      </c>
      <c r="L447" s="46">
        <f>IF(VLOOKUP($C447,REV!$C:$AA,10,0)-'TRADE IN'!$F461=0,"",(VLOOKUP($C447,REV!$C:$AA,10,0)-'TRADE IN'!$F447))</f>
        <v>899</v>
      </c>
      <c r="M447" s="46">
        <f>IF(VLOOKUP($C447,REV!$C:$AA,11,0)-'TRADE IN'!$F461=0,"",(VLOOKUP($C447,REV!$C:$AA,11,0)-'TRADE IN'!$F447))</f>
        <v>1149</v>
      </c>
      <c r="N447" s="46">
        <f>IF(VLOOKUP($C447,REV!$C:$AA,12,0)-'TRADE IN'!$F461=0,"",(VLOOKUP($C447,REV!$C:$AA,12,0)-'TRADE IN'!$F447))</f>
        <v>899</v>
      </c>
      <c r="O447" s="46">
        <f>IF(VLOOKUP($C447,REV!$C:$AA,13,0)-'TRADE IN'!$F461=0,"",(VLOOKUP($C447,REV!$C:$AA,13,0)-'TRADE IN'!$F447))</f>
        <v>899</v>
      </c>
      <c r="P447" s="46">
        <f>IF(VLOOKUP($C447,REV!$C:$AA,14,0)-'TRADE IN'!$F461=0,"",(VLOOKUP($C447,REV!$C:$AA,14,0)-'TRADE IN'!$F447))</f>
        <v>899</v>
      </c>
      <c r="Q447" s="46">
        <f>IF(VLOOKUP($C447,REV!$C:$AA,15,0)-'TRADE IN'!$F461=0,"",(VLOOKUP($C447,REV!$C:$AA,15,0)-'TRADE IN'!$F447))</f>
        <v>849</v>
      </c>
      <c r="R447" s="46">
        <f>IF(VLOOKUP($C447,REV!$C:$AA,16,0)-'TRADE IN'!$F461=0,"",(VLOOKUP($C447,REV!$C:$AA,16,0)-'TRADE IN'!$F447))</f>
        <v>899</v>
      </c>
      <c r="S447" s="46">
        <f>IF(VLOOKUP($C447,REV!$C:$AA,17,0)-'TRADE IN'!$F461=0,"",(VLOOKUP($C447,REV!$C:$AA,17,0)-'TRADE IN'!$F447))</f>
        <v>899</v>
      </c>
      <c r="T447" s="46">
        <f>IF(VLOOKUP($C447,REV!$C:$AA,18,0)-'TRADE IN'!$F461=0,"",(VLOOKUP($C447,REV!$C:$AA,18,0)-'TRADE IN'!$F447))</f>
        <v>849</v>
      </c>
      <c r="U447" s="46">
        <f>IF(VLOOKUP($C447,REV!$C:$AA,19,0)-'TRADE IN'!$F461=0,"",(VLOOKUP($C447,REV!$C:$AA,19,0)-'TRADE IN'!$F447))</f>
        <v>849</v>
      </c>
      <c r="V447" s="46">
        <f>IF(VLOOKUP($C447,REV!$C:$AA,20,0)-'TRADE IN'!$F461=0,"",(VLOOKUP($C447,REV!$C:$AA,20,0)-'TRADE IN'!$F447))</f>
        <v>849</v>
      </c>
      <c r="W447" s="46">
        <f>IF(VLOOKUP($C447,REV!$C:$AA,21,0)-'TRADE IN'!$F461=0,"",(VLOOKUP($C447,REV!$C:$AA,21,0)-'TRADE IN'!$F447))</f>
        <v>849</v>
      </c>
      <c r="X447" s="46">
        <f>IF(VLOOKUP($C447,REV!$C:$AA,22,0)-'TRADE IN'!$F461=0,"",(VLOOKUP($C447,REV!$C:$AA,22,0)-'TRADE IN'!$F447))</f>
        <v>849</v>
      </c>
      <c r="Y447" s="46">
        <f>IF(VLOOKUP($C447,REV!$C:$AA,23,0)-'TRADE IN'!$F461=0,"",(VLOOKUP($C447,REV!$C:$AA,23,0)-'TRADE IN'!$F447))</f>
        <v>849</v>
      </c>
      <c r="Z447" s="46">
        <f>IF(VLOOKUP($C447,REV!$C:$AA,24,0)-'TRADE IN'!$F461=0,"",(VLOOKUP($C447,REV!$C:$AA,24,0)-'TRADE IN'!$F447))</f>
        <v>849</v>
      </c>
      <c r="AA447" s="46">
        <f>IF(VLOOKUP($C447,REV!$C:$AA,25,0)-'TRADE IN'!$F461=0,"",(VLOOKUP($C447,REV!$C:$AA,25,0)-'TRADE IN'!$F447))</f>
        <v>849</v>
      </c>
      <c r="AB447" s="46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tr">
        <f>IF(REV!AW447=0,"",REV!AW447)</f>
        <v>31.03.2026</v>
      </c>
      <c r="AX447" s="159" t="s">
        <v>66</v>
      </c>
    </row>
    <row r="448" spans="1:50" ht="22.5" customHeight="1">
      <c r="A448" s="50" t="s">
        <v>61</v>
      </c>
      <c r="B448" s="41" t="s">
        <v>62</v>
      </c>
      <c r="C448" s="42">
        <v>4017358</v>
      </c>
      <c r="D448" s="44" t="s">
        <v>642</v>
      </c>
      <c r="E448" s="44" t="s">
        <v>643</v>
      </c>
      <c r="F448" s="45"/>
      <c r="G448" s="45"/>
      <c r="H448" s="45"/>
      <c r="I448" s="45"/>
      <c r="J448" s="46">
        <f>IF(VLOOKUP($C448,REV!$C:$AA,8,0)-'TRADE IN'!$F448=0,"",(VLOOKUP($C448,REV!$C:$AA,8,0)-'TRADE IN'!$F448))</f>
        <v>1319</v>
      </c>
      <c r="K448" s="46">
        <f>IF(VLOOKUP($C448,REV!$C:$AA,9,0)-'TRADE IN'!$F448=0,"",(VLOOKUP($C448,REV!$C:$AA,9,0)-'TRADE IN'!$F448))</f>
        <v>1099</v>
      </c>
      <c r="L448" s="46">
        <f>IF(VLOOKUP($C448,REV!$C:$AA,10,0)-'TRADE IN'!$F462=0,"",(VLOOKUP($C448,REV!$C:$AA,10,0)-'TRADE IN'!$F448))</f>
        <v>1099</v>
      </c>
      <c r="M448" s="46">
        <f>IF(VLOOKUP($C448,REV!$C:$AA,11,0)-'TRADE IN'!$F462=0,"",(VLOOKUP($C448,REV!$C:$AA,11,0)-'TRADE IN'!$F448))</f>
        <v>1319</v>
      </c>
      <c r="N448" s="46">
        <f>IF(VLOOKUP($C448,REV!$C:$AA,12,0)-'TRADE IN'!$F462=0,"",(VLOOKUP($C448,REV!$C:$AA,12,0)-'TRADE IN'!$F448))</f>
        <v>1099</v>
      </c>
      <c r="O448" s="46">
        <f>IF(VLOOKUP($C448,REV!$C:$AA,13,0)-'TRADE IN'!$F462=0,"",(VLOOKUP($C448,REV!$C:$AA,13,0)-'TRADE IN'!$F448))</f>
        <v>1049</v>
      </c>
      <c r="P448" s="46">
        <f>IF(VLOOKUP($C448,REV!$C:$AA,14,0)-'TRADE IN'!$F462=0,"",(VLOOKUP($C448,REV!$C:$AA,14,0)-'TRADE IN'!$F448))</f>
        <v>999</v>
      </c>
      <c r="Q448" s="46">
        <f>IF(VLOOKUP($C448,REV!$C:$AA,15,0)-'TRADE IN'!$F462=0,"",(VLOOKUP($C448,REV!$C:$AA,15,0)-'TRADE IN'!$F448))</f>
        <v>899</v>
      </c>
      <c r="R448" s="46">
        <f>IF(VLOOKUP($C448,REV!$C:$AA,16,0)-'TRADE IN'!$F462=0,"",(VLOOKUP($C448,REV!$C:$AA,16,0)-'TRADE IN'!$F448))</f>
        <v>1049</v>
      </c>
      <c r="S448" s="46">
        <f>IF(VLOOKUP($C448,REV!$C:$AA,17,0)-'TRADE IN'!$F462=0,"",(VLOOKUP($C448,REV!$C:$AA,17,0)-'TRADE IN'!$F448))</f>
        <v>999</v>
      </c>
      <c r="T448" s="46">
        <f>IF(VLOOKUP($C448,REV!$C:$AA,18,0)-'TRADE IN'!$F462=0,"",(VLOOKUP($C448,REV!$C:$AA,18,0)-'TRADE IN'!$F448))</f>
        <v>899</v>
      </c>
      <c r="U448" s="46">
        <f>IF(VLOOKUP($C448,REV!$C:$AA,19,0)-'TRADE IN'!$F462=0,"",(VLOOKUP($C448,REV!$C:$AA,19,0)-'TRADE IN'!$F448))</f>
        <v>899</v>
      </c>
      <c r="V448" s="46">
        <f>IF(VLOOKUP($C448,REV!$C:$AA,20,0)-'TRADE IN'!$F462=0,"",(VLOOKUP($C448,REV!$C:$AA,20,0)-'TRADE IN'!$F448))</f>
        <v>899</v>
      </c>
      <c r="W448" s="46">
        <f>IF(VLOOKUP($C448,REV!$C:$AA,21,0)-'TRADE IN'!$F462=0,"",(VLOOKUP($C448,REV!$C:$AA,21,0)-'TRADE IN'!$F448))</f>
        <v>899</v>
      </c>
      <c r="X448" s="46">
        <f>IF(VLOOKUP($C448,REV!$C:$AA,22,0)-'TRADE IN'!$F462=0,"",(VLOOKUP($C448,REV!$C:$AA,22,0)-'TRADE IN'!$F448))</f>
        <v>899</v>
      </c>
      <c r="Y448" s="46">
        <f>IF(VLOOKUP($C448,REV!$C:$AA,23,0)-'TRADE IN'!$F462=0,"",(VLOOKUP($C448,REV!$C:$AA,23,0)-'TRADE IN'!$F448))</f>
        <v>799</v>
      </c>
      <c r="Z448" s="46">
        <f>IF(VLOOKUP($C448,REV!$C:$AA,24,0)-'TRADE IN'!$F462=0,"",(VLOOKUP($C448,REV!$C:$AA,24,0)-'TRADE IN'!$F448))</f>
        <v>799</v>
      </c>
      <c r="AA448" s="46">
        <f>IF(VLOOKUP($C448,REV!$C:$AA,25,0)-'TRADE IN'!$F462=0,"",(VLOOKUP($C448,REV!$C:$AA,25,0)-'TRADE IN'!$F448))</f>
        <v>799</v>
      </c>
      <c r="AB448" s="46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tr">
        <f>IF(REV!AW448=0,"",REV!AW448)</f>
        <v>31.03.2026</v>
      </c>
      <c r="AX448" s="159" t="s">
        <v>82</v>
      </c>
    </row>
    <row r="449" spans="1:50" ht="22.5" customHeight="1">
      <c r="A449" s="50" t="s">
        <v>61</v>
      </c>
      <c r="B449" s="41" t="s">
        <v>62</v>
      </c>
      <c r="C449" s="42">
        <v>4017365</v>
      </c>
      <c r="D449" s="44" t="s">
        <v>642</v>
      </c>
      <c r="E449" s="44" t="s">
        <v>644</v>
      </c>
      <c r="F449" s="45"/>
      <c r="G449" s="45"/>
      <c r="H449" s="45"/>
      <c r="I449" s="45"/>
      <c r="J449" s="46">
        <f>IF(VLOOKUP($C449,REV!$C:$AA,8,0)-'TRADE IN'!$F449=0,"",(VLOOKUP($C449,REV!$C:$AA,8,0)-'TRADE IN'!$F449))</f>
        <v>1319</v>
      </c>
      <c r="K449" s="46">
        <f>IF(VLOOKUP($C449,REV!$C:$AA,9,0)-'TRADE IN'!$F449=0,"",(VLOOKUP($C449,REV!$C:$AA,9,0)-'TRADE IN'!$F449))</f>
        <v>1099</v>
      </c>
      <c r="L449" s="46">
        <f>IF(VLOOKUP($C449,REV!$C:$AA,10,0)-'TRADE IN'!$F463=0,"",(VLOOKUP($C449,REV!$C:$AA,10,0)-'TRADE IN'!$F449))</f>
        <v>1099</v>
      </c>
      <c r="M449" s="46">
        <f>IF(VLOOKUP($C449,REV!$C:$AA,11,0)-'TRADE IN'!$F463=0,"",(VLOOKUP($C449,REV!$C:$AA,11,0)-'TRADE IN'!$F449))</f>
        <v>1319</v>
      </c>
      <c r="N449" s="46">
        <f>IF(VLOOKUP($C449,REV!$C:$AA,12,0)-'TRADE IN'!$F463=0,"",(VLOOKUP($C449,REV!$C:$AA,12,0)-'TRADE IN'!$F449))</f>
        <v>1099</v>
      </c>
      <c r="O449" s="46">
        <f>IF(VLOOKUP($C449,REV!$C:$AA,13,0)-'TRADE IN'!$F463=0,"",(VLOOKUP($C449,REV!$C:$AA,13,0)-'TRADE IN'!$F449))</f>
        <v>1049</v>
      </c>
      <c r="P449" s="46">
        <f>IF(VLOOKUP($C449,REV!$C:$AA,14,0)-'TRADE IN'!$F463=0,"",(VLOOKUP($C449,REV!$C:$AA,14,0)-'TRADE IN'!$F449))</f>
        <v>999</v>
      </c>
      <c r="Q449" s="46">
        <f>IF(VLOOKUP($C449,REV!$C:$AA,15,0)-'TRADE IN'!$F463=0,"",(VLOOKUP($C449,REV!$C:$AA,15,0)-'TRADE IN'!$F449))</f>
        <v>899</v>
      </c>
      <c r="R449" s="46">
        <f>IF(VLOOKUP($C449,REV!$C:$AA,16,0)-'TRADE IN'!$F463=0,"",(VLOOKUP($C449,REV!$C:$AA,16,0)-'TRADE IN'!$F449))</f>
        <v>1049</v>
      </c>
      <c r="S449" s="46">
        <f>IF(VLOOKUP($C449,REV!$C:$AA,17,0)-'TRADE IN'!$F463=0,"",(VLOOKUP($C449,REV!$C:$AA,17,0)-'TRADE IN'!$F449))</f>
        <v>999</v>
      </c>
      <c r="T449" s="46">
        <f>IF(VLOOKUP($C449,REV!$C:$AA,18,0)-'TRADE IN'!$F463=0,"",(VLOOKUP($C449,REV!$C:$AA,18,0)-'TRADE IN'!$F449))</f>
        <v>899</v>
      </c>
      <c r="U449" s="46">
        <f>IF(VLOOKUP($C449,REV!$C:$AA,19,0)-'TRADE IN'!$F463=0,"",(VLOOKUP($C449,REV!$C:$AA,19,0)-'TRADE IN'!$F449))</f>
        <v>899</v>
      </c>
      <c r="V449" s="46">
        <f>IF(VLOOKUP($C449,REV!$C:$AA,20,0)-'TRADE IN'!$F463=0,"",(VLOOKUP($C449,REV!$C:$AA,20,0)-'TRADE IN'!$F449))</f>
        <v>899</v>
      </c>
      <c r="W449" s="46">
        <f>IF(VLOOKUP($C449,REV!$C:$AA,21,0)-'TRADE IN'!$F463=0,"",(VLOOKUP($C449,REV!$C:$AA,21,0)-'TRADE IN'!$F449))</f>
        <v>899</v>
      </c>
      <c r="X449" s="46">
        <f>IF(VLOOKUP($C449,REV!$C:$AA,22,0)-'TRADE IN'!$F463=0,"",(VLOOKUP($C449,REV!$C:$AA,22,0)-'TRADE IN'!$F449))</f>
        <v>899</v>
      </c>
      <c r="Y449" s="46">
        <f>IF(VLOOKUP($C449,REV!$C:$AA,23,0)-'TRADE IN'!$F463=0,"",(VLOOKUP($C449,REV!$C:$AA,23,0)-'TRADE IN'!$F449))</f>
        <v>799</v>
      </c>
      <c r="Z449" s="46">
        <f>IF(VLOOKUP($C449,REV!$C:$AA,24,0)-'TRADE IN'!$F463=0,"",(VLOOKUP($C449,REV!$C:$AA,24,0)-'TRADE IN'!$F449))</f>
        <v>799</v>
      </c>
      <c r="AA449" s="46">
        <f>IF(VLOOKUP($C449,REV!$C:$AA,25,0)-'TRADE IN'!$F463=0,"",(VLOOKUP($C449,REV!$C:$AA,25,0)-'TRADE IN'!$F449))</f>
        <v>799</v>
      </c>
      <c r="AB449" s="46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tr">
        <f>IF(REV!AW449=0,"",REV!AW449)</f>
        <v>31.03.2026</v>
      </c>
      <c r="AX449" s="159" t="s">
        <v>82</v>
      </c>
    </row>
    <row r="450" spans="1:50" ht="22.5" customHeight="1">
      <c r="A450" s="50" t="s">
        <v>61</v>
      </c>
      <c r="B450" s="41" t="s">
        <v>62</v>
      </c>
      <c r="C450" s="42">
        <v>4017378</v>
      </c>
      <c r="D450" s="44" t="s">
        <v>642</v>
      </c>
      <c r="E450" s="44" t="s">
        <v>645</v>
      </c>
      <c r="F450" s="45"/>
      <c r="G450" s="45"/>
      <c r="H450" s="45"/>
      <c r="I450" s="45"/>
      <c r="J450" s="46">
        <f>IF(VLOOKUP($C450,REV!$C:$AA,8,0)-'TRADE IN'!$F450=0,"",(VLOOKUP($C450,REV!$C:$AA,8,0)-'TRADE IN'!$F450))</f>
        <v>1319</v>
      </c>
      <c r="K450" s="46">
        <f>IF(VLOOKUP($C450,REV!$C:$AA,9,0)-'TRADE IN'!$F450=0,"",(VLOOKUP($C450,REV!$C:$AA,9,0)-'TRADE IN'!$F450))</f>
        <v>1099</v>
      </c>
      <c r="L450" s="46">
        <f>IF(VLOOKUP($C450,REV!$C:$AA,10,0)-'TRADE IN'!$F464=0,"",(VLOOKUP($C450,REV!$C:$AA,10,0)-'TRADE IN'!$F450))</f>
        <v>1099</v>
      </c>
      <c r="M450" s="46">
        <f>IF(VLOOKUP($C450,REV!$C:$AA,11,0)-'TRADE IN'!$F464=0,"",(VLOOKUP($C450,REV!$C:$AA,11,0)-'TRADE IN'!$F450))</f>
        <v>1319</v>
      </c>
      <c r="N450" s="46">
        <f>IF(VLOOKUP($C450,REV!$C:$AA,12,0)-'TRADE IN'!$F464=0,"",(VLOOKUP($C450,REV!$C:$AA,12,0)-'TRADE IN'!$F450))</f>
        <v>1099</v>
      </c>
      <c r="O450" s="46">
        <f>IF(VLOOKUP($C450,REV!$C:$AA,13,0)-'TRADE IN'!$F464=0,"",(VLOOKUP($C450,REV!$C:$AA,13,0)-'TRADE IN'!$F450))</f>
        <v>1049</v>
      </c>
      <c r="P450" s="46">
        <f>IF(VLOOKUP($C450,REV!$C:$AA,14,0)-'TRADE IN'!$F464=0,"",(VLOOKUP($C450,REV!$C:$AA,14,0)-'TRADE IN'!$F450))</f>
        <v>999</v>
      </c>
      <c r="Q450" s="46">
        <f>IF(VLOOKUP($C450,REV!$C:$AA,15,0)-'TRADE IN'!$F464=0,"",(VLOOKUP($C450,REV!$C:$AA,15,0)-'TRADE IN'!$F450))</f>
        <v>899</v>
      </c>
      <c r="R450" s="46">
        <f>IF(VLOOKUP($C450,REV!$C:$AA,16,0)-'TRADE IN'!$F464=0,"",(VLOOKUP($C450,REV!$C:$AA,16,0)-'TRADE IN'!$F450))</f>
        <v>1049</v>
      </c>
      <c r="S450" s="46">
        <f>IF(VLOOKUP($C450,REV!$C:$AA,17,0)-'TRADE IN'!$F464=0,"",(VLOOKUP($C450,REV!$C:$AA,17,0)-'TRADE IN'!$F450))</f>
        <v>999</v>
      </c>
      <c r="T450" s="46">
        <f>IF(VLOOKUP($C450,REV!$C:$AA,18,0)-'TRADE IN'!$F464=0,"",(VLOOKUP($C450,REV!$C:$AA,18,0)-'TRADE IN'!$F450))</f>
        <v>899</v>
      </c>
      <c r="U450" s="46">
        <f>IF(VLOOKUP($C450,REV!$C:$AA,19,0)-'TRADE IN'!$F464=0,"",(VLOOKUP($C450,REV!$C:$AA,19,0)-'TRADE IN'!$F450))</f>
        <v>899</v>
      </c>
      <c r="V450" s="46">
        <f>IF(VLOOKUP($C450,REV!$C:$AA,20,0)-'TRADE IN'!$F464=0,"",(VLOOKUP($C450,REV!$C:$AA,20,0)-'TRADE IN'!$F450))</f>
        <v>899</v>
      </c>
      <c r="W450" s="46">
        <f>IF(VLOOKUP($C450,REV!$C:$AA,21,0)-'TRADE IN'!$F464=0,"",(VLOOKUP($C450,REV!$C:$AA,21,0)-'TRADE IN'!$F450))</f>
        <v>899</v>
      </c>
      <c r="X450" s="46">
        <f>IF(VLOOKUP($C450,REV!$C:$AA,22,0)-'TRADE IN'!$F464=0,"",(VLOOKUP($C450,REV!$C:$AA,22,0)-'TRADE IN'!$F450))</f>
        <v>899</v>
      </c>
      <c r="Y450" s="46">
        <f>IF(VLOOKUP($C450,REV!$C:$AA,23,0)-'TRADE IN'!$F464=0,"",(VLOOKUP($C450,REV!$C:$AA,23,0)-'TRADE IN'!$F450))</f>
        <v>799</v>
      </c>
      <c r="Z450" s="46">
        <f>IF(VLOOKUP($C450,REV!$C:$AA,24,0)-'TRADE IN'!$F464=0,"",(VLOOKUP($C450,REV!$C:$AA,24,0)-'TRADE IN'!$F450))</f>
        <v>799</v>
      </c>
      <c r="AA450" s="46">
        <f>IF(VLOOKUP($C450,REV!$C:$AA,25,0)-'TRADE IN'!$F464=0,"",(VLOOKUP($C450,REV!$C:$AA,25,0)-'TRADE IN'!$F450))</f>
        <v>799</v>
      </c>
      <c r="AB450" s="46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tr">
        <f>IF(REV!AW450=0,"",REV!AW450)</f>
        <v>31.03.2026</v>
      </c>
      <c r="AX450" s="159" t="s">
        <v>82</v>
      </c>
    </row>
    <row r="451" spans="1:50" ht="22.5" customHeight="1">
      <c r="A451" s="50" t="s">
        <v>61</v>
      </c>
      <c r="B451" s="41" t="s">
        <v>62</v>
      </c>
      <c r="C451" s="42">
        <v>4017384</v>
      </c>
      <c r="D451" s="44" t="s">
        <v>642</v>
      </c>
      <c r="E451" s="44" t="s">
        <v>646</v>
      </c>
      <c r="F451" s="45"/>
      <c r="G451" s="45"/>
      <c r="H451" s="45"/>
      <c r="I451" s="45"/>
      <c r="J451" s="46">
        <f>IF(VLOOKUP($C451,REV!$C:$AA,8,0)-'TRADE IN'!$F451=0,"",(VLOOKUP($C451,REV!$C:$AA,8,0)-'TRADE IN'!$F451))</f>
        <v>1319</v>
      </c>
      <c r="K451" s="46">
        <f>IF(VLOOKUP($C451,REV!$C:$AA,9,0)-'TRADE IN'!$F451=0,"",(VLOOKUP($C451,REV!$C:$AA,9,0)-'TRADE IN'!$F451))</f>
        <v>1099</v>
      </c>
      <c r="L451" s="46">
        <f>IF(VLOOKUP($C451,REV!$C:$AA,10,0)-'TRADE IN'!$F465=0,"",(VLOOKUP($C451,REV!$C:$AA,10,0)-'TRADE IN'!$F451))</f>
        <v>1099</v>
      </c>
      <c r="M451" s="46">
        <f>IF(VLOOKUP($C451,REV!$C:$AA,11,0)-'TRADE IN'!$F465=0,"",(VLOOKUP($C451,REV!$C:$AA,11,0)-'TRADE IN'!$F451))</f>
        <v>1319</v>
      </c>
      <c r="N451" s="46">
        <f>IF(VLOOKUP($C451,REV!$C:$AA,12,0)-'TRADE IN'!$F465=0,"",(VLOOKUP($C451,REV!$C:$AA,12,0)-'TRADE IN'!$F451))</f>
        <v>1099</v>
      </c>
      <c r="O451" s="46">
        <f>IF(VLOOKUP($C451,REV!$C:$AA,13,0)-'TRADE IN'!$F465=0,"",(VLOOKUP($C451,REV!$C:$AA,13,0)-'TRADE IN'!$F451))</f>
        <v>1049</v>
      </c>
      <c r="P451" s="46">
        <f>IF(VLOOKUP($C451,REV!$C:$AA,14,0)-'TRADE IN'!$F465=0,"",(VLOOKUP($C451,REV!$C:$AA,14,0)-'TRADE IN'!$F451))</f>
        <v>999</v>
      </c>
      <c r="Q451" s="46">
        <f>IF(VLOOKUP($C451,REV!$C:$AA,15,0)-'TRADE IN'!$F465=0,"",(VLOOKUP($C451,REV!$C:$AA,15,0)-'TRADE IN'!$F451))</f>
        <v>899</v>
      </c>
      <c r="R451" s="46">
        <f>IF(VLOOKUP($C451,REV!$C:$AA,16,0)-'TRADE IN'!$F465=0,"",(VLOOKUP($C451,REV!$C:$AA,16,0)-'TRADE IN'!$F451))</f>
        <v>1049</v>
      </c>
      <c r="S451" s="46">
        <f>IF(VLOOKUP($C451,REV!$C:$AA,17,0)-'TRADE IN'!$F465=0,"",(VLOOKUP($C451,REV!$C:$AA,17,0)-'TRADE IN'!$F451))</f>
        <v>999</v>
      </c>
      <c r="T451" s="46">
        <f>IF(VLOOKUP($C451,REV!$C:$AA,18,0)-'TRADE IN'!$F465=0,"",(VLOOKUP($C451,REV!$C:$AA,18,0)-'TRADE IN'!$F451))</f>
        <v>899</v>
      </c>
      <c r="U451" s="46">
        <f>IF(VLOOKUP($C451,REV!$C:$AA,19,0)-'TRADE IN'!$F465=0,"",(VLOOKUP($C451,REV!$C:$AA,19,0)-'TRADE IN'!$F451))</f>
        <v>899</v>
      </c>
      <c r="V451" s="46">
        <f>IF(VLOOKUP($C451,REV!$C:$AA,20,0)-'TRADE IN'!$F465=0,"",(VLOOKUP($C451,REV!$C:$AA,20,0)-'TRADE IN'!$F451))</f>
        <v>899</v>
      </c>
      <c r="W451" s="46">
        <f>IF(VLOOKUP($C451,REV!$C:$AA,21,0)-'TRADE IN'!$F465=0,"",(VLOOKUP($C451,REV!$C:$AA,21,0)-'TRADE IN'!$F451))</f>
        <v>899</v>
      </c>
      <c r="X451" s="46">
        <f>IF(VLOOKUP($C451,REV!$C:$AA,22,0)-'TRADE IN'!$F465=0,"",(VLOOKUP($C451,REV!$C:$AA,22,0)-'TRADE IN'!$F451))</f>
        <v>899</v>
      </c>
      <c r="Y451" s="46">
        <f>IF(VLOOKUP($C451,REV!$C:$AA,23,0)-'TRADE IN'!$F465=0,"",(VLOOKUP($C451,REV!$C:$AA,23,0)-'TRADE IN'!$F451))</f>
        <v>799</v>
      </c>
      <c r="Z451" s="46">
        <f>IF(VLOOKUP($C451,REV!$C:$AA,24,0)-'TRADE IN'!$F465=0,"",(VLOOKUP($C451,REV!$C:$AA,24,0)-'TRADE IN'!$F451))</f>
        <v>799</v>
      </c>
      <c r="AA451" s="46">
        <f>IF(VLOOKUP($C451,REV!$C:$AA,25,0)-'TRADE IN'!$F465=0,"",(VLOOKUP($C451,REV!$C:$AA,25,0)-'TRADE IN'!$F451))</f>
        <v>799</v>
      </c>
      <c r="AB451" s="46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tr">
        <f>IF(REV!AW451=0,"",REV!AW451)</f>
        <v>31.03.2026</v>
      </c>
      <c r="AX451" s="159" t="s">
        <v>82</v>
      </c>
    </row>
    <row r="452" spans="1:50" ht="22.5" customHeight="1">
      <c r="A452" s="50" t="s">
        <v>61</v>
      </c>
      <c r="B452" s="41" t="s">
        <v>62</v>
      </c>
      <c r="C452" s="42">
        <v>4017371</v>
      </c>
      <c r="D452" s="44" t="s">
        <v>642</v>
      </c>
      <c r="E452" s="44" t="s">
        <v>647</v>
      </c>
      <c r="F452" s="45"/>
      <c r="G452" s="45"/>
      <c r="H452" s="45"/>
      <c r="I452" s="45"/>
      <c r="J452" s="46">
        <f>IF(VLOOKUP($C452,REV!$C:$AA,8,0)-'TRADE IN'!$F452=0,"",(VLOOKUP($C452,REV!$C:$AA,8,0)-'TRADE IN'!$F452))</f>
        <v>1319</v>
      </c>
      <c r="K452" s="46">
        <f>IF(VLOOKUP($C452,REV!$C:$AA,9,0)-'TRADE IN'!$F452=0,"",(VLOOKUP($C452,REV!$C:$AA,9,0)-'TRADE IN'!$F452))</f>
        <v>1099</v>
      </c>
      <c r="L452" s="46">
        <f>IF(VLOOKUP($C452,REV!$C:$AA,10,0)-'TRADE IN'!$F466=0,"",(VLOOKUP($C452,REV!$C:$AA,10,0)-'TRADE IN'!$F452))</f>
        <v>1099</v>
      </c>
      <c r="M452" s="46">
        <f>IF(VLOOKUP($C452,REV!$C:$AA,11,0)-'TRADE IN'!$F466=0,"",(VLOOKUP($C452,REV!$C:$AA,11,0)-'TRADE IN'!$F452))</f>
        <v>1319</v>
      </c>
      <c r="N452" s="46">
        <f>IF(VLOOKUP($C452,REV!$C:$AA,12,0)-'TRADE IN'!$F466=0,"",(VLOOKUP($C452,REV!$C:$AA,12,0)-'TRADE IN'!$F452))</f>
        <v>1099</v>
      </c>
      <c r="O452" s="46">
        <f>IF(VLOOKUP($C452,REV!$C:$AA,13,0)-'TRADE IN'!$F466=0,"",(VLOOKUP($C452,REV!$C:$AA,13,0)-'TRADE IN'!$F452))</f>
        <v>1049</v>
      </c>
      <c r="P452" s="46">
        <f>IF(VLOOKUP($C452,REV!$C:$AA,14,0)-'TRADE IN'!$F466=0,"",(VLOOKUP($C452,REV!$C:$AA,14,0)-'TRADE IN'!$F452))</f>
        <v>999</v>
      </c>
      <c r="Q452" s="46">
        <f>IF(VLOOKUP($C452,REV!$C:$AA,15,0)-'TRADE IN'!$F466=0,"",(VLOOKUP($C452,REV!$C:$AA,15,0)-'TRADE IN'!$F452))</f>
        <v>899</v>
      </c>
      <c r="R452" s="46">
        <f>IF(VLOOKUP($C452,REV!$C:$AA,16,0)-'TRADE IN'!$F466=0,"",(VLOOKUP($C452,REV!$C:$AA,16,0)-'TRADE IN'!$F452))</f>
        <v>1049</v>
      </c>
      <c r="S452" s="46">
        <f>IF(VLOOKUP($C452,REV!$C:$AA,17,0)-'TRADE IN'!$F466=0,"",(VLOOKUP($C452,REV!$C:$AA,17,0)-'TRADE IN'!$F452))</f>
        <v>999</v>
      </c>
      <c r="T452" s="46">
        <f>IF(VLOOKUP($C452,REV!$C:$AA,18,0)-'TRADE IN'!$F466=0,"",(VLOOKUP($C452,REV!$C:$AA,18,0)-'TRADE IN'!$F452))</f>
        <v>899</v>
      </c>
      <c r="U452" s="46">
        <f>IF(VLOOKUP($C452,REV!$C:$AA,19,0)-'TRADE IN'!$F466=0,"",(VLOOKUP($C452,REV!$C:$AA,19,0)-'TRADE IN'!$F452))</f>
        <v>899</v>
      </c>
      <c r="V452" s="46">
        <f>IF(VLOOKUP($C452,REV!$C:$AA,20,0)-'TRADE IN'!$F466=0,"",(VLOOKUP($C452,REV!$C:$AA,20,0)-'TRADE IN'!$F452))</f>
        <v>899</v>
      </c>
      <c r="W452" s="46">
        <f>IF(VLOOKUP($C452,REV!$C:$AA,21,0)-'TRADE IN'!$F466=0,"",(VLOOKUP($C452,REV!$C:$AA,21,0)-'TRADE IN'!$F452))</f>
        <v>899</v>
      </c>
      <c r="X452" s="46">
        <f>IF(VLOOKUP($C452,REV!$C:$AA,22,0)-'TRADE IN'!$F466=0,"",(VLOOKUP($C452,REV!$C:$AA,22,0)-'TRADE IN'!$F452))</f>
        <v>899</v>
      </c>
      <c r="Y452" s="46">
        <f>IF(VLOOKUP($C452,REV!$C:$AA,23,0)-'TRADE IN'!$F466=0,"",(VLOOKUP($C452,REV!$C:$AA,23,0)-'TRADE IN'!$F452))</f>
        <v>799</v>
      </c>
      <c r="Z452" s="46">
        <f>IF(VLOOKUP($C452,REV!$C:$AA,24,0)-'TRADE IN'!$F466=0,"",(VLOOKUP($C452,REV!$C:$AA,24,0)-'TRADE IN'!$F452))</f>
        <v>799</v>
      </c>
      <c r="AA452" s="46">
        <f>IF(VLOOKUP($C452,REV!$C:$AA,25,0)-'TRADE IN'!$F466=0,"",(VLOOKUP($C452,REV!$C:$AA,25,0)-'TRADE IN'!$F452))</f>
        <v>799</v>
      </c>
      <c r="AB452" s="46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tr">
        <f>IF(REV!AW452=0,"",REV!AW452)</f>
        <v>31.03.2026</v>
      </c>
      <c r="AX452" s="159" t="s">
        <v>82</v>
      </c>
    </row>
    <row r="453" spans="1:50" ht="22.5" customHeight="1">
      <c r="A453" s="50" t="s">
        <v>61</v>
      </c>
      <c r="B453" s="41" t="s">
        <v>62</v>
      </c>
      <c r="C453" s="42">
        <v>4017350</v>
      </c>
      <c r="D453" s="44" t="s">
        <v>642</v>
      </c>
      <c r="E453" s="44" t="s">
        <v>648</v>
      </c>
      <c r="F453" s="45"/>
      <c r="G453" s="45"/>
      <c r="H453" s="45"/>
      <c r="I453" s="45"/>
      <c r="J453" s="46">
        <f>IF(VLOOKUP($C453,REV!$C:$AA,8,0)-'TRADE IN'!$F453=0,"",(VLOOKUP($C453,REV!$C:$AA,8,0)-'TRADE IN'!$F453))</f>
        <v>1319</v>
      </c>
      <c r="K453" s="46">
        <f>IF(VLOOKUP($C453,REV!$C:$AA,9,0)-'TRADE IN'!$F453=0,"",(VLOOKUP($C453,REV!$C:$AA,9,0)-'TRADE IN'!$F453))</f>
        <v>1099</v>
      </c>
      <c r="L453" s="46">
        <f>IF(VLOOKUP($C453,REV!$C:$AA,10,0)-'TRADE IN'!$F467=0,"",(VLOOKUP($C453,REV!$C:$AA,10,0)-'TRADE IN'!$F453))</f>
        <v>1099</v>
      </c>
      <c r="M453" s="46">
        <f>IF(VLOOKUP($C453,REV!$C:$AA,11,0)-'TRADE IN'!$F467=0,"",(VLOOKUP($C453,REV!$C:$AA,11,0)-'TRADE IN'!$F453))</f>
        <v>1319</v>
      </c>
      <c r="N453" s="46">
        <f>IF(VLOOKUP($C453,REV!$C:$AA,12,0)-'TRADE IN'!$F467=0,"",(VLOOKUP($C453,REV!$C:$AA,12,0)-'TRADE IN'!$F453))</f>
        <v>1099</v>
      </c>
      <c r="O453" s="46">
        <f>IF(VLOOKUP($C453,REV!$C:$AA,13,0)-'TRADE IN'!$F467=0,"",(VLOOKUP($C453,REV!$C:$AA,13,0)-'TRADE IN'!$F453))</f>
        <v>1049</v>
      </c>
      <c r="P453" s="46">
        <f>IF(VLOOKUP($C453,REV!$C:$AA,14,0)-'TRADE IN'!$F467=0,"",(VLOOKUP($C453,REV!$C:$AA,14,0)-'TRADE IN'!$F453))</f>
        <v>999</v>
      </c>
      <c r="Q453" s="46">
        <f>IF(VLOOKUP($C453,REV!$C:$AA,15,0)-'TRADE IN'!$F467=0,"",(VLOOKUP($C453,REV!$C:$AA,15,0)-'TRADE IN'!$F453))</f>
        <v>899</v>
      </c>
      <c r="R453" s="46">
        <f>IF(VLOOKUP($C453,REV!$C:$AA,16,0)-'TRADE IN'!$F467=0,"",(VLOOKUP($C453,REV!$C:$AA,16,0)-'TRADE IN'!$F453))</f>
        <v>1049</v>
      </c>
      <c r="S453" s="46">
        <f>IF(VLOOKUP($C453,REV!$C:$AA,17,0)-'TRADE IN'!$F467=0,"",(VLOOKUP($C453,REV!$C:$AA,17,0)-'TRADE IN'!$F453))</f>
        <v>999</v>
      </c>
      <c r="T453" s="46">
        <f>IF(VLOOKUP($C453,REV!$C:$AA,18,0)-'TRADE IN'!$F467=0,"",(VLOOKUP($C453,REV!$C:$AA,18,0)-'TRADE IN'!$F453))</f>
        <v>899</v>
      </c>
      <c r="U453" s="46">
        <f>IF(VLOOKUP($C453,REV!$C:$AA,19,0)-'TRADE IN'!$F467=0,"",(VLOOKUP($C453,REV!$C:$AA,19,0)-'TRADE IN'!$F453))</f>
        <v>899</v>
      </c>
      <c r="V453" s="46">
        <f>IF(VLOOKUP($C453,REV!$C:$AA,20,0)-'TRADE IN'!$F467=0,"",(VLOOKUP($C453,REV!$C:$AA,20,0)-'TRADE IN'!$F453))</f>
        <v>899</v>
      </c>
      <c r="W453" s="46">
        <f>IF(VLOOKUP($C453,REV!$C:$AA,21,0)-'TRADE IN'!$F467=0,"",(VLOOKUP($C453,REV!$C:$AA,21,0)-'TRADE IN'!$F453))</f>
        <v>899</v>
      </c>
      <c r="X453" s="46">
        <f>IF(VLOOKUP($C453,REV!$C:$AA,22,0)-'TRADE IN'!$F467=0,"",(VLOOKUP($C453,REV!$C:$AA,22,0)-'TRADE IN'!$F453))</f>
        <v>899</v>
      </c>
      <c r="Y453" s="46">
        <f>IF(VLOOKUP($C453,REV!$C:$AA,23,0)-'TRADE IN'!$F467=0,"",(VLOOKUP($C453,REV!$C:$AA,23,0)-'TRADE IN'!$F453))</f>
        <v>799</v>
      </c>
      <c r="Z453" s="46">
        <f>IF(VLOOKUP($C453,REV!$C:$AA,24,0)-'TRADE IN'!$F467=0,"",(VLOOKUP($C453,REV!$C:$AA,24,0)-'TRADE IN'!$F453))</f>
        <v>799</v>
      </c>
      <c r="AA453" s="46">
        <f>IF(VLOOKUP($C453,REV!$C:$AA,25,0)-'TRADE IN'!$F467=0,"",(VLOOKUP($C453,REV!$C:$AA,25,0)-'TRADE IN'!$F453))</f>
        <v>799</v>
      </c>
      <c r="AB453" s="46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tr">
        <f>IF(REV!AW453=0,"",REV!AW453)</f>
        <v>31.03.2026</v>
      </c>
      <c r="AX453" s="159" t="s">
        <v>82</v>
      </c>
    </row>
    <row r="454" spans="1:50" ht="22.5" customHeight="1">
      <c r="A454" s="50" t="s">
        <v>61</v>
      </c>
      <c r="B454" s="41" t="s">
        <v>62</v>
      </c>
      <c r="C454" s="42">
        <v>4017360</v>
      </c>
      <c r="D454" s="44" t="s">
        <v>642</v>
      </c>
      <c r="E454" s="44" t="s">
        <v>649</v>
      </c>
      <c r="F454" s="45"/>
      <c r="G454" s="45"/>
      <c r="H454" s="45"/>
      <c r="I454" s="45"/>
      <c r="J454" s="46">
        <f>IF(VLOOKUP($C454,REV!$C:$AA,8,0)-'TRADE IN'!$F454=0,"",(VLOOKUP($C454,REV!$C:$AA,8,0)-'TRADE IN'!$F454))</f>
        <v>1319</v>
      </c>
      <c r="K454" s="46">
        <f>IF(VLOOKUP($C454,REV!$C:$AA,9,0)-'TRADE IN'!$F454=0,"",(VLOOKUP($C454,REV!$C:$AA,9,0)-'TRADE IN'!$F454))</f>
        <v>1099</v>
      </c>
      <c r="L454" s="46">
        <f>IF(VLOOKUP($C454,REV!$C:$AA,10,0)-'TRADE IN'!$F468=0,"",(VLOOKUP($C454,REV!$C:$AA,10,0)-'TRADE IN'!$F454))</f>
        <v>1099</v>
      </c>
      <c r="M454" s="46">
        <f>IF(VLOOKUP($C454,REV!$C:$AA,11,0)-'TRADE IN'!$F468=0,"",(VLOOKUP($C454,REV!$C:$AA,11,0)-'TRADE IN'!$F454))</f>
        <v>1319</v>
      </c>
      <c r="N454" s="46">
        <f>IF(VLOOKUP($C454,REV!$C:$AA,12,0)-'TRADE IN'!$F468=0,"",(VLOOKUP($C454,REV!$C:$AA,12,0)-'TRADE IN'!$F454))</f>
        <v>1099</v>
      </c>
      <c r="O454" s="46">
        <f>IF(VLOOKUP($C454,REV!$C:$AA,13,0)-'TRADE IN'!$F468=0,"",(VLOOKUP($C454,REV!$C:$AA,13,0)-'TRADE IN'!$F454))</f>
        <v>1049</v>
      </c>
      <c r="P454" s="46">
        <f>IF(VLOOKUP($C454,REV!$C:$AA,14,0)-'TRADE IN'!$F468=0,"",(VLOOKUP($C454,REV!$C:$AA,14,0)-'TRADE IN'!$F454))</f>
        <v>999</v>
      </c>
      <c r="Q454" s="46">
        <f>IF(VLOOKUP($C454,REV!$C:$AA,15,0)-'TRADE IN'!$F468=0,"",(VLOOKUP($C454,REV!$C:$AA,15,0)-'TRADE IN'!$F454))</f>
        <v>899</v>
      </c>
      <c r="R454" s="46">
        <f>IF(VLOOKUP($C454,REV!$C:$AA,16,0)-'TRADE IN'!$F468=0,"",(VLOOKUP($C454,REV!$C:$AA,16,0)-'TRADE IN'!$F454))</f>
        <v>1049</v>
      </c>
      <c r="S454" s="46">
        <f>IF(VLOOKUP($C454,REV!$C:$AA,17,0)-'TRADE IN'!$F468=0,"",(VLOOKUP($C454,REV!$C:$AA,17,0)-'TRADE IN'!$F454))</f>
        <v>999</v>
      </c>
      <c r="T454" s="46">
        <f>IF(VLOOKUP($C454,REV!$C:$AA,18,0)-'TRADE IN'!$F468=0,"",(VLOOKUP($C454,REV!$C:$AA,18,0)-'TRADE IN'!$F454))</f>
        <v>899</v>
      </c>
      <c r="U454" s="46">
        <f>IF(VLOOKUP($C454,REV!$C:$AA,19,0)-'TRADE IN'!$F468=0,"",(VLOOKUP($C454,REV!$C:$AA,19,0)-'TRADE IN'!$F454))</f>
        <v>899</v>
      </c>
      <c r="V454" s="46">
        <f>IF(VLOOKUP($C454,REV!$C:$AA,20,0)-'TRADE IN'!$F468=0,"",(VLOOKUP($C454,REV!$C:$AA,20,0)-'TRADE IN'!$F454))</f>
        <v>899</v>
      </c>
      <c r="W454" s="46">
        <f>IF(VLOOKUP($C454,REV!$C:$AA,21,0)-'TRADE IN'!$F468=0,"",(VLOOKUP($C454,REV!$C:$AA,21,0)-'TRADE IN'!$F454))</f>
        <v>899</v>
      </c>
      <c r="X454" s="46">
        <f>IF(VLOOKUP($C454,REV!$C:$AA,22,0)-'TRADE IN'!$F468=0,"",(VLOOKUP($C454,REV!$C:$AA,22,0)-'TRADE IN'!$F454))</f>
        <v>899</v>
      </c>
      <c r="Y454" s="46">
        <f>IF(VLOOKUP($C454,REV!$C:$AA,23,0)-'TRADE IN'!$F468=0,"",(VLOOKUP($C454,REV!$C:$AA,23,0)-'TRADE IN'!$F454))</f>
        <v>799</v>
      </c>
      <c r="Z454" s="46">
        <f>IF(VLOOKUP($C454,REV!$C:$AA,24,0)-'TRADE IN'!$F468=0,"",(VLOOKUP($C454,REV!$C:$AA,24,0)-'TRADE IN'!$F454))</f>
        <v>799</v>
      </c>
      <c r="AA454" s="46">
        <f>IF(VLOOKUP($C454,REV!$C:$AA,25,0)-'TRADE IN'!$F468=0,"",(VLOOKUP($C454,REV!$C:$AA,25,0)-'TRADE IN'!$F454))</f>
        <v>799</v>
      </c>
      <c r="AB454" s="46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tr">
        <f>IF(REV!AW454=0,"",REV!AW454)</f>
        <v>31.03.2026</v>
      </c>
      <c r="AX454" s="159" t="s">
        <v>82</v>
      </c>
    </row>
    <row r="455" spans="1:50" ht="22.5" customHeight="1">
      <c r="A455" s="50" t="s">
        <v>61</v>
      </c>
      <c r="B455" s="41" t="s">
        <v>62</v>
      </c>
      <c r="C455" s="42">
        <v>4017352</v>
      </c>
      <c r="D455" s="44" t="s">
        <v>642</v>
      </c>
      <c r="E455" s="44" t="s">
        <v>650</v>
      </c>
      <c r="F455" s="45"/>
      <c r="G455" s="45"/>
      <c r="H455" s="45"/>
      <c r="I455" s="45"/>
      <c r="J455" s="46">
        <f>IF(VLOOKUP($C455,REV!$C:$AA,8,0)-'TRADE IN'!$F455=0,"",(VLOOKUP($C455,REV!$C:$AA,8,0)-'TRADE IN'!$F455))</f>
        <v>1319</v>
      </c>
      <c r="K455" s="46">
        <f>IF(VLOOKUP($C455,REV!$C:$AA,9,0)-'TRADE IN'!$F455=0,"",(VLOOKUP($C455,REV!$C:$AA,9,0)-'TRADE IN'!$F455))</f>
        <v>1099</v>
      </c>
      <c r="L455" s="46">
        <f>IF(VLOOKUP($C455,REV!$C:$AA,10,0)-'TRADE IN'!$F469=0,"",(VLOOKUP($C455,REV!$C:$AA,10,0)-'TRADE IN'!$F455))</f>
        <v>1099</v>
      </c>
      <c r="M455" s="46">
        <f>IF(VLOOKUP($C455,REV!$C:$AA,11,0)-'TRADE IN'!$F469=0,"",(VLOOKUP($C455,REV!$C:$AA,11,0)-'TRADE IN'!$F455))</f>
        <v>1319</v>
      </c>
      <c r="N455" s="46">
        <f>IF(VLOOKUP($C455,REV!$C:$AA,12,0)-'TRADE IN'!$F469=0,"",(VLOOKUP($C455,REV!$C:$AA,12,0)-'TRADE IN'!$F455))</f>
        <v>1099</v>
      </c>
      <c r="O455" s="46">
        <f>IF(VLOOKUP($C455,REV!$C:$AA,13,0)-'TRADE IN'!$F469=0,"",(VLOOKUP($C455,REV!$C:$AA,13,0)-'TRADE IN'!$F455))</f>
        <v>1049</v>
      </c>
      <c r="P455" s="46">
        <f>IF(VLOOKUP($C455,REV!$C:$AA,14,0)-'TRADE IN'!$F469=0,"",(VLOOKUP($C455,REV!$C:$AA,14,0)-'TRADE IN'!$F455))</f>
        <v>999</v>
      </c>
      <c r="Q455" s="46">
        <f>IF(VLOOKUP($C455,REV!$C:$AA,15,0)-'TRADE IN'!$F469=0,"",(VLOOKUP($C455,REV!$C:$AA,15,0)-'TRADE IN'!$F455))</f>
        <v>899</v>
      </c>
      <c r="R455" s="46">
        <f>IF(VLOOKUP($C455,REV!$C:$AA,16,0)-'TRADE IN'!$F469=0,"",(VLOOKUP($C455,REV!$C:$AA,16,0)-'TRADE IN'!$F455))</f>
        <v>1049</v>
      </c>
      <c r="S455" s="46">
        <f>IF(VLOOKUP($C455,REV!$C:$AA,17,0)-'TRADE IN'!$F469=0,"",(VLOOKUP($C455,REV!$C:$AA,17,0)-'TRADE IN'!$F455))</f>
        <v>999</v>
      </c>
      <c r="T455" s="46">
        <f>IF(VLOOKUP($C455,REV!$C:$AA,18,0)-'TRADE IN'!$F469=0,"",(VLOOKUP($C455,REV!$C:$AA,18,0)-'TRADE IN'!$F455))</f>
        <v>899</v>
      </c>
      <c r="U455" s="46">
        <f>IF(VLOOKUP($C455,REV!$C:$AA,19,0)-'TRADE IN'!$F469=0,"",(VLOOKUP($C455,REV!$C:$AA,19,0)-'TRADE IN'!$F455))</f>
        <v>899</v>
      </c>
      <c r="V455" s="46">
        <f>IF(VLOOKUP($C455,REV!$C:$AA,20,0)-'TRADE IN'!$F469=0,"",(VLOOKUP($C455,REV!$C:$AA,20,0)-'TRADE IN'!$F455))</f>
        <v>899</v>
      </c>
      <c r="W455" s="46">
        <f>IF(VLOOKUP($C455,REV!$C:$AA,21,0)-'TRADE IN'!$F469=0,"",(VLOOKUP($C455,REV!$C:$AA,21,0)-'TRADE IN'!$F455))</f>
        <v>899</v>
      </c>
      <c r="X455" s="46">
        <f>IF(VLOOKUP($C455,REV!$C:$AA,22,0)-'TRADE IN'!$F469=0,"",(VLOOKUP($C455,REV!$C:$AA,22,0)-'TRADE IN'!$F455))</f>
        <v>899</v>
      </c>
      <c r="Y455" s="46">
        <f>IF(VLOOKUP($C455,REV!$C:$AA,23,0)-'TRADE IN'!$F469=0,"",(VLOOKUP($C455,REV!$C:$AA,23,0)-'TRADE IN'!$F455))</f>
        <v>799</v>
      </c>
      <c r="Z455" s="46">
        <f>IF(VLOOKUP($C455,REV!$C:$AA,24,0)-'TRADE IN'!$F469=0,"",(VLOOKUP($C455,REV!$C:$AA,24,0)-'TRADE IN'!$F455))</f>
        <v>799</v>
      </c>
      <c r="AA455" s="46">
        <f>IF(VLOOKUP($C455,REV!$C:$AA,25,0)-'TRADE IN'!$F469=0,"",(VLOOKUP($C455,REV!$C:$AA,25,0)-'TRADE IN'!$F455))</f>
        <v>799</v>
      </c>
      <c r="AB455" s="46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tr">
        <f>IF(REV!AW455=0,"",REV!AW455)</f>
        <v>31.03.2026</v>
      </c>
      <c r="AX455" s="159" t="s">
        <v>82</v>
      </c>
    </row>
    <row r="456" spans="1:50" ht="22.5" customHeight="1">
      <c r="A456" s="50" t="s">
        <v>61</v>
      </c>
      <c r="B456" s="41" t="s">
        <v>62</v>
      </c>
      <c r="C456" s="42">
        <v>4017359</v>
      </c>
      <c r="D456" s="44" t="s">
        <v>651</v>
      </c>
      <c r="E456" s="44" t="s">
        <v>652</v>
      </c>
      <c r="F456" s="45"/>
      <c r="G456" s="45"/>
      <c r="H456" s="45"/>
      <c r="I456" s="45"/>
      <c r="J456" s="46">
        <f>IF(VLOOKUP($C456,REV!$C:$AA,8,0)-'TRADE IN'!$F456=0,"",(VLOOKUP($C456,REV!$C:$AA,8,0)-'TRADE IN'!$F456))</f>
        <v>1649</v>
      </c>
      <c r="K456" s="46">
        <f>IF(VLOOKUP($C456,REV!$C:$AA,9,0)-'TRADE IN'!$F456=0,"",(VLOOKUP($C456,REV!$C:$AA,9,0)-'TRADE IN'!$F456))</f>
        <v>1399</v>
      </c>
      <c r="L456" s="46">
        <f>IF(VLOOKUP($C456,REV!$C:$AA,10,0)-'TRADE IN'!$F466=0,"",(VLOOKUP($C456,REV!$C:$AA,10,0)-'TRADE IN'!$F456))</f>
        <v>1399</v>
      </c>
      <c r="M456" s="46">
        <f>IF(VLOOKUP($C456,REV!$C:$AA,11,0)-'TRADE IN'!$F466=0,"",(VLOOKUP($C456,REV!$C:$AA,11,0)-'TRADE IN'!$F456))</f>
        <v>1649</v>
      </c>
      <c r="N456" s="46">
        <f>IF(VLOOKUP($C456,REV!$C:$AA,12,0)-'TRADE IN'!$F466=0,"",(VLOOKUP($C456,REV!$C:$AA,12,0)-'TRADE IN'!$F456))</f>
        <v>1399</v>
      </c>
      <c r="O456" s="46">
        <f>IF(VLOOKUP($C456,REV!$C:$AA,13,0)-'TRADE IN'!$F466=0,"",(VLOOKUP($C456,REV!$C:$AA,13,0)-'TRADE IN'!$F456))</f>
        <v>1349</v>
      </c>
      <c r="P456" s="46">
        <f>IF(VLOOKUP($C456,REV!$C:$AA,14,0)-'TRADE IN'!$F466=0,"",(VLOOKUP($C456,REV!$C:$AA,14,0)-'TRADE IN'!$F456))</f>
        <v>1349</v>
      </c>
      <c r="Q456" s="46">
        <f>IF(VLOOKUP($C456,REV!$C:$AA,15,0)-'TRADE IN'!$F466=0,"",(VLOOKUP($C456,REV!$C:$AA,15,0)-'TRADE IN'!$F456))</f>
        <v>1299</v>
      </c>
      <c r="R456" s="46">
        <f>IF(VLOOKUP($C456,REV!$C:$AA,16,0)-'TRADE IN'!$F466=0,"",(VLOOKUP($C456,REV!$C:$AA,16,0)-'TRADE IN'!$F456))</f>
        <v>1349</v>
      </c>
      <c r="S456" s="46">
        <f>IF(VLOOKUP($C456,REV!$C:$AA,17,0)-'TRADE IN'!$F466=0,"",(VLOOKUP($C456,REV!$C:$AA,17,0)-'TRADE IN'!$F456))</f>
        <v>1349</v>
      </c>
      <c r="T456" s="46">
        <f>IF(VLOOKUP($C456,REV!$C:$AA,18,0)-'TRADE IN'!$F466=0,"",(VLOOKUP($C456,REV!$C:$AA,18,0)-'TRADE IN'!$F456))</f>
        <v>1299</v>
      </c>
      <c r="U456" s="46">
        <f>IF(VLOOKUP($C456,REV!$C:$AA,19,0)-'TRADE IN'!$F466=0,"",(VLOOKUP($C456,REV!$C:$AA,19,0)-'TRADE IN'!$F456))</f>
        <v>1299</v>
      </c>
      <c r="V456" s="46">
        <f>IF(VLOOKUP($C456,REV!$C:$AA,20,0)-'TRADE IN'!$F466=0,"",(VLOOKUP($C456,REV!$C:$AA,20,0)-'TRADE IN'!$F456))</f>
        <v>1299</v>
      </c>
      <c r="W456" s="46">
        <f>IF(VLOOKUP($C456,REV!$C:$AA,21,0)-'TRADE IN'!$F466=0,"",(VLOOKUP($C456,REV!$C:$AA,21,0)-'TRADE IN'!$F456))</f>
        <v>1299</v>
      </c>
      <c r="X456" s="46">
        <f>IF(VLOOKUP($C456,REV!$C:$AA,22,0)-'TRADE IN'!$F466=0,"",(VLOOKUP($C456,REV!$C:$AA,22,0)-'TRADE IN'!$F456))</f>
        <v>1199</v>
      </c>
      <c r="Y456" s="46">
        <f>IF(VLOOKUP($C456,REV!$C:$AA,23,0)-'TRADE IN'!$F466=0,"",(VLOOKUP($C456,REV!$C:$AA,23,0)-'TRADE IN'!$F456))</f>
        <v>1099</v>
      </c>
      <c r="Z456" s="46">
        <f>IF(VLOOKUP($C456,REV!$C:$AA,24,0)-'TRADE IN'!$F466=0,"",(VLOOKUP($C456,REV!$C:$AA,24,0)-'TRADE IN'!$F456))</f>
        <v>1099</v>
      </c>
      <c r="AA456" s="46">
        <f>IF(VLOOKUP($C456,REV!$C:$AA,25,0)-'TRADE IN'!$F466=0,"",(VLOOKUP($C456,REV!$C:$AA,25,0)-'TRADE IN'!$F456))</f>
        <v>1099</v>
      </c>
      <c r="AB456" s="46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tr">
        <f>IF(REV!AW456=0,"",REV!AW456)</f>
        <v>31.03.2026</v>
      </c>
      <c r="AX456" s="159" t="s">
        <v>82</v>
      </c>
    </row>
    <row r="457" spans="1:50" ht="22.5" customHeight="1">
      <c r="A457" s="50" t="s">
        <v>61</v>
      </c>
      <c r="B457" s="41" t="s">
        <v>62</v>
      </c>
      <c r="C457" s="42">
        <v>4017366</v>
      </c>
      <c r="D457" s="44" t="s">
        <v>651</v>
      </c>
      <c r="E457" s="44" t="s">
        <v>653</v>
      </c>
      <c r="F457" s="45"/>
      <c r="G457" s="45"/>
      <c r="H457" s="45"/>
      <c r="I457" s="45"/>
      <c r="J457" s="46">
        <f>IF(VLOOKUP($C457,REV!$C:$AA,8,0)-'TRADE IN'!$F457=0,"",(VLOOKUP($C457,REV!$C:$AA,8,0)-'TRADE IN'!$F457))</f>
        <v>1649</v>
      </c>
      <c r="K457" s="46">
        <f>IF(VLOOKUP($C457,REV!$C:$AA,9,0)-'TRADE IN'!$F457=0,"",(VLOOKUP($C457,REV!$C:$AA,9,0)-'TRADE IN'!$F457))</f>
        <v>1399</v>
      </c>
      <c r="L457" s="46">
        <f>IF(VLOOKUP($C457,REV!$C:$AA,10,0)-'TRADE IN'!$F467=0,"",(VLOOKUP($C457,REV!$C:$AA,10,0)-'TRADE IN'!$F457))</f>
        <v>1399</v>
      </c>
      <c r="M457" s="46">
        <f>IF(VLOOKUP($C457,REV!$C:$AA,11,0)-'TRADE IN'!$F467=0,"",(VLOOKUP($C457,REV!$C:$AA,11,0)-'TRADE IN'!$F457))</f>
        <v>1649</v>
      </c>
      <c r="N457" s="46">
        <f>IF(VLOOKUP($C457,REV!$C:$AA,12,0)-'TRADE IN'!$F467=0,"",(VLOOKUP($C457,REV!$C:$AA,12,0)-'TRADE IN'!$F457))</f>
        <v>1399</v>
      </c>
      <c r="O457" s="46">
        <f>IF(VLOOKUP($C457,REV!$C:$AA,13,0)-'TRADE IN'!$F467=0,"",(VLOOKUP($C457,REV!$C:$AA,13,0)-'TRADE IN'!$F457))</f>
        <v>1349</v>
      </c>
      <c r="P457" s="46">
        <f>IF(VLOOKUP($C457,REV!$C:$AA,14,0)-'TRADE IN'!$F467=0,"",(VLOOKUP($C457,REV!$C:$AA,14,0)-'TRADE IN'!$F457))</f>
        <v>1349</v>
      </c>
      <c r="Q457" s="46">
        <f>IF(VLOOKUP($C457,REV!$C:$AA,15,0)-'TRADE IN'!$F467=0,"",(VLOOKUP($C457,REV!$C:$AA,15,0)-'TRADE IN'!$F457))</f>
        <v>1299</v>
      </c>
      <c r="R457" s="46">
        <f>IF(VLOOKUP($C457,REV!$C:$AA,16,0)-'TRADE IN'!$F467=0,"",(VLOOKUP($C457,REV!$C:$AA,16,0)-'TRADE IN'!$F457))</f>
        <v>1349</v>
      </c>
      <c r="S457" s="46">
        <f>IF(VLOOKUP($C457,REV!$C:$AA,17,0)-'TRADE IN'!$F467=0,"",(VLOOKUP($C457,REV!$C:$AA,17,0)-'TRADE IN'!$F457))</f>
        <v>1349</v>
      </c>
      <c r="T457" s="46">
        <f>IF(VLOOKUP($C457,REV!$C:$AA,18,0)-'TRADE IN'!$F467=0,"",(VLOOKUP($C457,REV!$C:$AA,18,0)-'TRADE IN'!$F457))</f>
        <v>1299</v>
      </c>
      <c r="U457" s="46">
        <f>IF(VLOOKUP($C457,REV!$C:$AA,19,0)-'TRADE IN'!$F467=0,"",(VLOOKUP($C457,REV!$C:$AA,19,0)-'TRADE IN'!$F457))</f>
        <v>1299</v>
      </c>
      <c r="V457" s="46">
        <f>IF(VLOOKUP($C457,REV!$C:$AA,20,0)-'TRADE IN'!$F467=0,"",(VLOOKUP($C457,REV!$C:$AA,20,0)-'TRADE IN'!$F457))</f>
        <v>1299</v>
      </c>
      <c r="W457" s="46">
        <f>IF(VLOOKUP($C457,REV!$C:$AA,21,0)-'TRADE IN'!$F467=0,"",(VLOOKUP($C457,REV!$C:$AA,21,0)-'TRADE IN'!$F457))</f>
        <v>1299</v>
      </c>
      <c r="X457" s="46">
        <f>IF(VLOOKUP($C457,REV!$C:$AA,22,0)-'TRADE IN'!$F467=0,"",(VLOOKUP($C457,REV!$C:$AA,22,0)-'TRADE IN'!$F457))</f>
        <v>1199</v>
      </c>
      <c r="Y457" s="46">
        <f>IF(VLOOKUP($C457,REV!$C:$AA,23,0)-'TRADE IN'!$F467=0,"",(VLOOKUP($C457,REV!$C:$AA,23,0)-'TRADE IN'!$F457))</f>
        <v>1099</v>
      </c>
      <c r="Z457" s="46">
        <f>IF(VLOOKUP($C457,REV!$C:$AA,24,0)-'TRADE IN'!$F467=0,"",(VLOOKUP($C457,REV!$C:$AA,24,0)-'TRADE IN'!$F457))</f>
        <v>1099</v>
      </c>
      <c r="AA457" s="46">
        <f>IF(VLOOKUP($C457,REV!$C:$AA,25,0)-'TRADE IN'!$F467=0,"",(VLOOKUP($C457,REV!$C:$AA,25,0)-'TRADE IN'!$F457))</f>
        <v>1099</v>
      </c>
      <c r="AB457" s="46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tr">
        <f>IF(REV!AW457=0,"",REV!AW457)</f>
        <v>31.03.2026</v>
      </c>
      <c r="AX457" s="159" t="s">
        <v>82</v>
      </c>
    </row>
    <row r="458" spans="1:50" ht="22.5" customHeight="1">
      <c r="A458" s="50" t="s">
        <v>61</v>
      </c>
      <c r="B458" s="41" t="s">
        <v>62</v>
      </c>
      <c r="C458" s="42">
        <v>4017379</v>
      </c>
      <c r="D458" s="44" t="s">
        <v>651</v>
      </c>
      <c r="E458" s="44" t="s">
        <v>654</v>
      </c>
      <c r="F458" s="45"/>
      <c r="G458" s="45"/>
      <c r="H458" s="45"/>
      <c r="I458" s="45"/>
      <c r="J458" s="46">
        <f>IF(VLOOKUP($C458,REV!$C:$AA,8,0)-'TRADE IN'!$F458=0,"",(VLOOKUP($C458,REV!$C:$AA,8,0)-'TRADE IN'!$F458))</f>
        <v>1649</v>
      </c>
      <c r="K458" s="46">
        <f>IF(VLOOKUP($C458,REV!$C:$AA,9,0)-'TRADE IN'!$F458=0,"",(VLOOKUP($C458,REV!$C:$AA,9,0)-'TRADE IN'!$F458))</f>
        <v>1399</v>
      </c>
      <c r="L458" s="46">
        <f>IF(VLOOKUP($C458,REV!$C:$AA,10,0)-'TRADE IN'!$F468=0,"",(VLOOKUP($C458,REV!$C:$AA,10,0)-'TRADE IN'!$F458))</f>
        <v>1399</v>
      </c>
      <c r="M458" s="46">
        <f>IF(VLOOKUP($C458,REV!$C:$AA,11,0)-'TRADE IN'!$F468=0,"",(VLOOKUP($C458,REV!$C:$AA,11,0)-'TRADE IN'!$F458))</f>
        <v>1649</v>
      </c>
      <c r="N458" s="46">
        <f>IF(VLOOKUP($C458,REV!$C:$AA,12,0)-'TRADE IN'!$F468=0,"",(VLOOKUP($C458,REV!$C:$AA,12,0)-'TRADE IN'!$F458))</f>
        <v>1399</v>
      </c>
      <c r="O458" s="46">
        <f>IF(VLOOKUP($C458,REV!$C:$AA,13,0)-'TRADE IN'!$F468=0,"",(VLOOKUP($C458,REV!$C:$AA,13,0)-'TRADE IN'!$F458))</f>
        <v>1349</v>
      </c>
      <c r="P458" s="46">
        <f>IF(VLOOKUP($C458,REV!$C:$AA,14,0)-'TRADE IN'!$F468=0,"",(VLOOKUP($C458,REV!$C:$AA,14,0)-'TRADE IN'!$F458))</f>
        <v>1349</v>
      </c>
      <c r="Q458" s="46">
        <f>IF(VLOOKUP($C458,REV!$C:$AA,15,0)-'TRADE IN'!$F468=0,"",(VLOOKUP($C458,REV!$C:$AA,15,0)-'TRADE IN'!$F458))</f>
        <v>1299</v>
      </c>
      <c r="R458" s="46">
        <f>IF(VLOOKUP($C458,REV!$C:$AA,16,0)-'TRADE IN'!$F468=0,"",(VLOOKUP($C458,REV!$C:$AA,16,0)-'TRADE IN'!$F458))</f>
        <v>1349</v>
      </c>
      <c r="S458" s="46">
        <f>IF(VLOOKUP($C458,REV!$C:$AA,17,0)-'TRADE IN'!$F468=0,"",(VLOOKUP($C458,REV!$C:$AA,17,0)-'TRADE IN'!$F458))</f>
        <v>1349</v>
      </c>
      <c r="T458" s="46">
        <f>IF(VLOOKUP($C458,REV!$C:$AA,18,0)-'TRADE IN'!$F468=0,"",(VLOOKUP($C458,REV!$C:$AA,18,0)-'TRADE IN'!$F458))</f>
        <v>1299</v>
      </c>
      <c r="U458" s="46">
        <f>IF(VLOOKUP($C458,REV!$C:$AA,19,0)-'TRADE IN'!$F468=0,"",(VLOOKUP($C458,REV!$C:$AA,19,0)-'TRADE IN'!$F458))</f>
        <v>1299</v>
      </c>
      <c r="V458" s="46">
        <f>IF(VLOOKUP($C458,REV!$C:$AA,20,0)-'TRADE IN'!$F468=0,"",(VLOOKUP($C458,REV!$C:$AA,20,0)-'TRADE IN'!$F458))</f>
        <v>1299</v>
      </c>
      <c r="W458" s="46">
        <f>IF(VLOOKUP($C458,REV!$C:$AA,21,0)-'TRADE IN'!$F468=0,"",(VLOOKUP($C458,REV!$C:$AA,21,0)-'TRADE IN'!$F458))</f>
        <v>1299</v>
      </c>
      <c r="X458" s="46">
        <f>IF(VLOOKUP($C458,REV!$C:$AA,22,0)-'TRADE IN'!$F468=0,"",(VLOOKUP($C458,REV!$C:$AA,22,0)-'TRADE IN'!$F458))</f>
        <v>1199</v>
      </c>
      <c r="Y458" s="46">
        <f>IF(VLOOKUP($C458,REV!$C:$AA,23,0)-'TRADE IN'!$F468=0,"",(VLOOKUP($C458,REV!$C:$AA,23,0)-'TRADE IN'!$F458))</f>
        <v>1099</v>
      </c>
      <c r="Z458" s="46">
        <f>IF(VLOOKUP($C458,REV!$C:$AA,24,0)-'TRADE IN'!$F468=0,"",(VLOOKUP($C458,REV!$C:$AA,24,0)-'TRADE IN'!$F458))</f>
        <v>1099</v>
      </c>
      <c r="AA458" s="46">
        <f>IF(VLOOKUP($C458,REV!$C:$AA,25,0)-'TRADE IN'!$F468=0,"",(VLOOKUP($C458,REV!$C:$AA,25,0)-'TRADE IN'!$F458))</f>
        <v>1099</v>
      </c>
      <c r="AB458" s="46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tr">
        <f>IF(REV!AW458=0,"",REV!AW458)</f>
        <v>31.03.2026</v>
      </c>
      <c r="AX458" s="159" t="s">
        <v>82</v>
      </c>
    </row>
    <row r="459" spans="1:50" ht="22.5" customHeight="1">
      <c r="A459" s="50" t="s">
        <v>61</v>
      </c>
      <c r="B459" s="41" t="s">
        <v>62</v>
      </c>
      <c r="C459" s="42">
        <v>4017385</v>
      </c>
      <c r="D459" s="44" t="s">
        <v>651</v>
      </c>
      <c r="E459" s="44" t="s">
        <v>655</v>
      </c>
      <c r="F459" s="45"/>
      <c r="G459" s="45"/>
      <c r="H459" s="45"/>
      <c r="I459" s="45"/>
      <c r="J459" s="46">
        <f>IF(VLOOKUP($C459,REV!$C:$AA,8,0)-'TRADE IN'!$F459=0,"",(VLOOKUP($C459,REV!$C:$AA,8,0)-'TRADE IN'!$F459))</f>
        <v>1649</v>
      </c>
      <c r="K459" s="46">
        <f>IF(VLOOKUP($C459,REV!$C:$AA,9,0)-'TRADE IN'!$F459=0,"",(VLOOKUP($C459,REV!$C:$AA,9,0)-'TRADE IN'!$F459))</f>
        <v>1399</v>
      </c>
      <c r="L459" s="46">
        <f>IF(VLOOKUP($C459,REV!$C:$AA,10,0)-'TRADE IN'!$F469=0,"",(VLOOKUP($C459,REV!$C:$AA,10,0)-'TRADE IN'!$F459))</f>
        <v>1399</v>
      </c>
      <c r="M459" s="46">
        <f>IF(VLOOKUP($C459,REV!$C:$AA,11,0)-'TRADE IN'!$F469=0,"",(VLOOKUP($C459,REV!$C:$AA,11,0)-'TRADE IN'!$F459))</f>
        <v>1649</v>
      </c>
      <c r="N459" s="46">
        <f>IF(VLOOKUP($C459,REV!$C:$AA,12,0)-'TRADE IN'!$F469=0,"",(VLOOKUP($C459,REV!$C:$AA,12,0)-'TRADE IN'!$F459))</f>
        <v>1399</v>
      </c>
      <c r="O459" s="46">
        <f>IF(VLOOKUP($C459,REV!$C:$AA,13,0)-'TRADE IN'!$F469=0,"",(VLOOKUP($C459,REV!$C:$AA,13,0)-'TRADE IN'!$F459))</f>
        <v>1349</v>
      </c>
      <c r="P459" s="46">
        <f>IF(VLOOKUP($C459,REV!$C:$AA,14,0)-'TRADE IN'!$F469=0,"",(VLOOKUP($C459,REV!$C:$AA,14,0)-'TRADE IN'!$F459))</f>
        <v>1349</v>
      </c>
      <c r="Q459" s="46">
        <f>IF(VLOOKUP($C459,REV!$C:$AA,15,0)-'TRADE IN'!$F469=0,"",(VLOOKUP($C459,REV!$C:$AA,15,0)-'TRADE IN'!$F459))</f>
        <v>1299</v>
      </c>
      <c r="R459" s="46">
        <f>IF(VLOOKUP($C459,REV!$C:$AA,16,0)-'TRADE IN'!$F469=0,"",(VLOOKUP($C459,REV!$C:$AA,16,0)-'TRADE IN'!$F459))</f>
        <v>1349</v>
      </c>
      <c r="S459" s="46">
        <f>IF(VLOOKUP($C459,REV!$C:$AA,17,0)-'TRADE IN'!$F469=0,"",(VLOOKUP($C459,REV!$C:$AA,17,0)-'TRADE IN'!$F459))</f>
        <v>1349</v>
      </c>
      <c r="T459" s="46">
        <f>IF(VLOOKUP($C459,REV!$C:$AA,18,0)-'TRADE IN'!$F469=0,"",(VLOOKUP($C459,REV!$C:$AA,18,0)-'TRADE IN'!$F459))</f>
        <v>1299</v>
      </c>
      <c r="U459" s="46">
        <f>IF(VLOOKUP($C459,REV!$C:$AA,19,0)-'TRADE IN'!$F469=0,"",(VLOOKUP($C459,REV!$C:$AA,19,0)-'TRADE IN'!$F459))</f>
        <v>1299</v>
      </c>
      <c r="V459" s="46">
        <f>IF(VLOOKUP($C459,REV!$C:$AA,20,0)-'TRADE IN'!$F469=0,"",(VLOOKUP($C459,REV!$C:$AA,20,0)-'TRADE IN'!$F459))</f>
        <v>1299</v>
      </c>
      <c r="W459" s="46">
        <f>IF(VLOOKUP($C459,REV!$C:$AA,21,0)-'TRADE IN'!$F469=0,"",(VLOOKUP($C459,REV!$C:$AA,21,0)-'TRADE IN'!$F459))</f>
        <v>1299</v>
      </c>
      <c r="X459" s="46">
        <f>IF(VLOOKUP($C459,REV!$C:$AA,22,0)-'TRADE IN'!$F469=0,"",(VLOOKUP($C459,REV!$C:$AA,22,0)-'TRADE IN'!$F459))</f>
        <v>1199</v>
      </c>
      <c r="Y459" s="46">
        <f>IF(VLOOKUP($C459,REV!$C:$AA,23,0)-'TRADE IN'!$F469=0,"",(VLOOKUP($C459,REV!$C:$AA,23,0)-'TRADE IN'!$F459))</f>
        <v>1099</v>
      </c>
      <c r="Z459" s="46">
        <f>IF(VLOOKUP($C459,REV!$C:$AA,24,0)-'TRADE IN'!$F469=0,"",(VLOOKUP($C459,REV!$C:$AA,24,0)-'TRADE IN'!$F459))</f>
        <v>1099</v>
      </c>
      <c r="AA459" s="46">
        <f>IF(VLOOKUP($C459,REV!$C:$AA,25,0)-'TRADE IN'!$F469=0,"",(VLOOKUP($C459,REV!$C:$AA,25,0)-'TRADE IN'!$F459))</f>
        <v>1099</v>
      </c>
      <c r="AB459" s="46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tr">
        <f>IF(REV!AW459=0,"",REV!AW459)</f>
        <v>31.03.2026</v>
      </c>
      <c r="AX459" s="159" t="s">
        <v>82</v>
      </c>
    </row>
    <row r="460" spans="1:50" ht="22.5" customHeight="1">
      <c r="A460" s="50" t="s">
        <v>61</v>
      </c>
      <c r="B460" s="41" t="s">
        <v>62</v>
      </c>
      <c r="C460" s="42">
        <v>4017372</v>
      </c>
      <c r="D460" s="44" t="s">
        <v>651</v>
      </c>
      <c r="E460" s="44" t="s">
        <v>656</v>
      </c>
      <c r="F460" s="45"/>
      <c r="G460" s="45"/>
      <c r="H460" s="45"/>
      <c r="I460" s="45"/>
      <c r="J460" s="46">
        <f>IF(VLOOKUP($C460,REV!$C:$AA,8,0)-'TRADE IN'!$F460=0,"",(VLOOKUP($C460,REV!$C:$AA,8,0)-'TRADE IN'!$F460))</f>
        <v>1649</v>
      </c>
      <c r="K460" s="46">
        <f>IF(VLOOKUP($C460,REV!$C:$AA,9,0)-'TRADE IN'!$F460=0,"",(VLOOKUP($C460,REV!$C:$AA,9,0)-'TRADE IN'!$F460))</f>
        <v>1399</v>
      </c>
      <c r="L460" s="46">
        <f>IF(VLOOKUP($C460,REV!$C:$AA,10,0)-'TRADE IN'!$F470=0,"",(VLOOKUP($C460,REV!$C:$AA,10,0)-'TRADE IN'!$F460))</f>
        <v>1399</v>
      </c>
      <c r="M460" s="46">
        <f>IF(VLOOKUP($C460,REV!$C:$AA,11,0)-'TRADE IN'!$F470=0,"",(VLOOKUP($C460,REV!$C:$AA,11,0)-'TRADE IN'!$F460))</f>
        <v>1649</v>
      </c>
      <c r="N460" s="46">
        <f>IF(VLOOKUP($C460,REV!$C:$AA,12,0)-'TRADE IN'!$F470=0,"",(VLOOKUP($C460,REV!$C:$AA,12,0)-'TRADE IN'!$F460))</f>
        <v>1399</v>
      </c>
      <c r="O460" s="46">
        <f>IF(VLOOKUP($C460,REV!$C:$AA,13,0)-'TRADE IN'!$F470=0,"",(VLOOKUP($C460,REV!$C:$AA,13,0)-'TRADE IN'!$F460))</f>
        <v>1349</v>
      </c>
      <c r="P460" s="46">
        <f>IF(VLOOKUP($C460,REV!$C:$AA,14,0)-'TRADE IN'!$F470=0,"",(VLOOKUP($C460,REV!$C:$AA,14,0)-'TRADE IN'!$F460))</f>
        <v>1349</v>
      </c>
      <c r="Q460" s="46">
        <f>IF(VLOOKUP($C460,REV!$C:$AA,15,0)-'TRADE IN'!$F470=0,"",(VLOOKUP($C460,REV!$C:$AA,15,0)-'TRADE IN'!$F460))</f>
        <v>1299</v>
      </c>
      <c r="R460" s="46">
        <f>IF(VLOOKUP($C460,REV!$C:$AA,16,0)-'TRADE IN'!$F470=0,"",(VLOOKUP($C460,REV!$C:$AA,16,0)-'TRADE IN'!$F460))</f>
        <v>1349</v>
      </c>
      <c r="S460" s="46">
        <f>IF(VLOOKUP($C460,REV!$C:$AA,17,0)-'TRADE IN'!$F470=0,"",(VLOOKUP($C460,REV!$C:$AA,17,0)-'TRADE IN'!$F460))</f>
        <v>1349</v>
      </c>
      <c r="T460" s="46">
        <f>IF(VLOOKUP($C460,REV!$C:$AA,18,0)-'TRADE IN'!$F470=0,"",(VLOOKUP($C460,REV!$C:$AA,18,0)-'TRADE IN'!$F460))</f>
        <v>1299</v>
      </c>
      <c r="U460" s="46">
        <f>IF(VLOOKUP($C460,REV!$C:$AA,19,0)-'TRADE IN'!$F470=0,"",(VLOOKUP($C460,REV!$C:$AA,19,0)-'TRADE IN'!$F460))</f>
        <v>1299</v>
      </c>
      <c r="V460" s="46">
        <f>IF(VLOOKUP($C460,REV!$C:$AA,20,0)-'TRADE IN'!$F470=0,"",(VLOOKUP($C460,REV!$C:$AA,20,0)-'TRADE IN'!$F460))</f>
        <v>1299</v>
      </c>
      <c r="W460" s="46">
        <f>IF(VLOOKUP($C460,REV!$C:$AA,21,0)-'TRADE IN'!$F470=0,"",(VLOOKUP($C460,REV!$C:$AA,21,0)-'TRADE IN'!$F460))</f>
        <v>1299</v>
      </c>
      <c r="X460" s="46">
        <f>IF(VLOOKUP($C460,REV!$C:$AA,22,0)-'TRADE IN'!$F470=0,"",(VLOOKUP($C460,REV!$C:$AA,22,0)-'TRADE IN'!$F460))</f>
        <v>1199</v>
      </c>
      <c r="Y460" s="46">
        <f>IF(VLOOKUP($C460,REV!$C:$AA,23,0)-'TRADE IN'!$F470=0,"",(VLOOKUP($C460,REV!$C:$AA,23,0)-'TRADE IN'!$F460))</f>
        <v>1099</v>
      </c>
      <c r="Z460" s="46">
        <f>IF(VLOOKUP($C460,REV!$C:$AA,24,0)-'TRADE IN'!$F470=0,"",(VLOOKUP($C460,REV!$C:$AA,24,0)-'TRADE IN'!$F460))</f>
        <v>1099</v>
      </c>
      <c r="AA460" s="46">
        <f>IF(VLOOKUP($C460,REV!$C:$AA,25,0)-'TRADE IN'!$F470=0,"",(VLOOKUP($C460,REV!$C:$AA,25,0)-'TRADE IN'!$F460))</f>
        <v>1099</v>
      </c>
      <c r="AB460" s="46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tr">
        <f>IF(REV!AW460=0,"",REV!AW460)</f>
        <v>31.03.2026</v>
      </c>
      <c r="AX460" s="159" t="s">
        <v>82</v>
      </c>
    </row>
    <row r="461" spans="1:50" ht="22.5" customHeight="1">
      <c r="A461" s="50" t="s">
        <v>61</v>
      </c>
      <c r="B461" s="41" t="s">
        <v>62</v>
      </c>
      <c r="C461" s="42">
        <v>4013420</v>
      </c>
      <c r="D461" s="44" t="s">
        <v>657</v>
      </c>
      <c r="E461" s="44" t="s">
        <v>658</v>
      </c>
      <c r="F461" s="45"/>
      <c r="G461" s="45"/>
      <c r="H461" s="45"/>
      <c r="I461" s="45"/>
      <c r="J461" s="46">
        <f>IF(VLOOKUP($C461,REV!$C:$AA,8,0)-'TRADE IN'!$F461=0,"",(VLOOKUP($C461,REV!$C:$AA,8,0)-'TRADE IN'!$F461))</f>
        <v>399</v>
      </c>
      <c r="K461" s="46">
        <f>IF(VLOOKUP($C461,REV!$C:$AA,9,0)-'TRADE IN'!$F461=0,"",(VLOOKUP($C461,REV!$C:$AA,9,0)-'TRADE IN'!$F461))</f>
        <v>399</v>
      </c>
      <c r="L461" s="46">
        <f>IF(VLOOKUP($C461,REV!$C:$AA,10,0)-'TRADE IN'!$F470=0,"",(VLOOKUP($C461,REV!$C:$AA,10,0)-'TRADE IN'!$F461))</f>
        <v>399</v>
      </c>
      <c r="M461" s="46">
        <f>IF(VLOOKUP($C461,REV!$C:$AA,11,0)-'TRADE IN'!$F470=0,"",(VLOOKUP($C461,REV!$C:$AA,11,0)-'TRADE IN'!$F461))</f>
        <v>399</v>
      </c>
      <c r="N461" s="46">
        <f>IF(VLOOKUP($C461,REV!$C:$AA,12,0)-'TRADE IN'!$F470=0,"",(VLOOKUP($C461,REV!$C:$AA,12,0)-'TRADE IN'!$F461))</f>
        <v>399</v>
      </c>
      <c r="O461" s="46">
        <f>IF(VLOOKUP($C461,REV!$C:$AA,13,0)-'TRADE IN'!$F470=0,"",(VLOOKUP($C461,REV!$C:$AA,13,0)-'TRADE IN'!$F461))</f>
        <v>299</v>
      </c>
      <c r="P461" s="46">
        <f>IF(VLOOKUP($C461,REV!$C:$AA,14,0)-'TRADE IN'!$F470=0,"",(VLOOKUP($C461,REV!$C:$AA,14,0)-'TRADE IN'!$F461))</f>
        <v>249</v>
      </c>
      <c r="Q461" s="46">
        <f>IF(VLOOKUP($C461,REV!$C:$AA,15,0)-'TRADE IN'!$F470=0,"",(VLOOKUP($C461,REV!$C:$AA,15,0)-'TRADE IN'!$F461))</f>
        <v>249</v>
      </c>
      <c r="R461" s="46">
        <f>IF(VLOOKUP($C461,REV!$C:$AA,16,0)-'TRADE IN'!$F470=0,"",(VLOOKUP($C461,REV!$C:$AA,16,0)-'TRADE IN'!$F461))</f>
        <v>299</v>
      </c>
      <c r="S461" s="46">
        <f>IF(VLOOKUP($C461,REV!$C:$AA,17,0)-'TRADE IN'!$F470=0,"",(VLOOKUP($C461,REV!$C:$AA,17,0)-'TRADE IN'!$F461))</f>
        <v>249</v>
      </c>
      <c r="T461" s="46">
        <f>IF(VLOOKUP($C461,REV!$C:$AA,18,0)-'TRADE IN'!$F470=0,"",(VLOOKUP($C461,REV!$C:$AA,18,0)-'TRADE IN'!$F461))</f>
        <v>249</v>
      </c>
      <c r="U461" s="46">
        <f>IF(VLOOKUP($C461,REV!$C:$AA,19,0)-'TRADE IN'!$F470=0,"",(VLOOKUP($C461,REV!$C:$AA,19,0)-'TRADE IN'!$F461))</f>
        <v>249</v>
      </c>
      <c r="V461" s="46">
        <f>IF(VLOOKUP($C461,REV!$C:$AA,20,0)-'TRADE IN'!$F470=0,"",(VLOOKUP($C461,REV!$C:$AA,20,0)-'TRADE IN'!$F461))</f>
        <v>249</v>
      </c>
      <c r="W461" s="46">
        <f>IF(VLOOKUP($C461,REV!$C:$AA,21,0)-'TRADE IN'!$F470=0,"",(VLOOKUP($C461,REV!$C:$AA,21,0)-'TRADE IN'!$F461))</f>
        <v>249</v>
      </c>
      <c r="X461" s="46">
        <f>IF(VLOOKUP($C461,REV!$C:$AA,22,0)-'TRADE IN'!$F470=0,"",(VLOOKUP($C461,REV!$C:$AA,22,0)-'TRADE IN'!$F461))</f>
        <v>249</v>
      </c>
      <c r="Y461" s="46">
        <f>IF(VLOOKUP($C461,REV!$C:$AA,23,0)-'TRADE IN'!$F470=0,"",(VLOOKUP($C461,REV!$C:$AA,23,0)-'TRADE IN'!$F461))</f>
        <v>249</v>
      </c>
      <c r="Z461" s="46">
        <f>IF(VLOOKUP($C461,REV!$C:$AA,24,0)-'TRADE IN'!$F470=0,"",(VLOOKUP($C461,REV!$C:$AA,24,0)-'TRADE IN'!$F461))</f>
        <v>249</v>
      </c>
      <c r="AA461" s="46">
        <f>IF(VLOOKUP($C461,REV!$C:$AA,25,0)-'TRADE IN'!$F470=0,"",(VLOOKUP($C461,REV!$C:$AA,25,0)-'TRADE IN'!$F461))</f>
        <v>249</v>
      </c>
      <c r="AB461" s="46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tr">
        <f>IF(REV!AW461=0,"",REV!AW461)</f>
        <v>31.03.2026</v>
      </c>
      <c r="AX461" s="159" t="s">
        <v>66</v>
      </c>
    </row>
    <row r="462" spans="1:50" ht="22.5" customHeight="1">
      <c r="A462" s="50" t="s">
        <v>61</v>
      </c>
      <c r="B462" s="41" t="s">
        <v>62</v>
      </c>
      <c r="C462" s="42">
        <v>4013421</v>
      </c>
      <c r="D462" s="44" t="s">
        <v>657</v>
      </c>
      <c r="E462" s="44" t="s">
        <v>659</v>
      </c>
      <c r="F462" s="45"/>
      <c r="G462" s="45"/>
      <c r="H462" s="45"/>
      <c r="I462" s="45"/>
      <c r="J462" s="46">
        <f>IF(VLOOKUP($C462,REV!$C:$AA,8,0)-'TRADE IN'!$F462=0,"",(VLOOKUP($C462,REV!$C:$AA,8,0)-'TRADE IN'!$F462))</f>
        <v>399</v>
      </c>
      <c r="K462" s="46">
        <f>IF(VLOOKUP($C462,REV!$C:$AA,9,0)-'TRADE IN'!$F462=0,"",(VLOOKUP($C462,REV!$C:$AA,9,0)-'TRADE IN'!$F462))</f>
        <v>399</v>
      </c>
      <c r="L462" s="46">
        <f>IF(VLOOKUP($C462,REV!$C:$AA,10,0)-'TRADE IN'!$F471=0,"",(VLOOKUP($C462,REV!$C:$AA,10,0)-'TRADE IN'!$F462))</f>
        <v>399</v>
      </c>
      <c r="M462" s="46">
        <f>IF(VLOOKUP($C462,REV!$C:$AA,11,0)-'TRADE IN'!$F471=0,"",(VLOOKUP($C462,REV!$C:$AA,11,0)-'TRADE IN'!$F462))</f>
        <v>399</v>
      </c>
      <c r="N462" s="46">
        <f>IF(VLOOKUP($C462,REV!$C:$AA,12,0)-'TRADE IN'!$F471=0,"",(VLOOKUP($C462,REV!$C:$AA,12,0)-'TRADE IN'!$F462))</f>
        <v>399</v>
      </c>
      <c r="O462" s="46">
        <f>IF(VLOOKUP($C462,REV!$C:$AA,13,0)-'TRADE IN'!$F471=0,"",(VLOOKUP($C462,REV!$C:$AA,13,0)-'TRADE IN'!$F462))</f>
        <v>299</v>
      </c>
      <c r="P462" s="46">
        <f>IF(VLOOKUP($C462,REV!$C:$AA,14,0)-'TRADE IN'!$F471=0,"",(VLOOKUP($C462,REV!$C:$AA,14,0)-'TRADE IN'!$F462))</f>
        <v>249</v>
      </c>
      <c r="Q462" s="46">
        <f>IF(VLOOKUP($C462,REV!$C:$AA,15,0)-'TRADE IN'!$F471=0,"",(VLOOKUP($C462,REV!$C:$AA,15,0)-'TRADE IN'!$F462))</f>
        <v>249</v>
      </c>
      <c r="R462" s="46">
        <f>IF(VLOOKUP($C462,REV!$C:$AA,16,0)-'TRADE IN'!$F471=0,"",(VLOOKUP($C462,REV!$C:$AA,16,0)-'TRADE IN'!$F462))</f>
        <v>299</v>
      </c>
      <c r="S462" s="46">
        <f>IF(VLOOKUP($C462,REV!$C:$AA,17,0)-'TRADE IN'!$F471=0,"",(VLOOKUP($C462,REV!$C:$AA,17,0)-'TRADE IN'!$F462))</f>
        <v>249</v>
      </c>
      <c r="T462" s="46">
        <f>IF(VLOOKUP($C462,REV!$C:$AA,18,0)-'TRADE IN'!$F471=0,"",(VLOOKUP($C462,REV!$C:$AA,18,0)-'TRADE IN'!$F462))</f>
        <v>249</v>
      </c>
      <c r="U462" s="46">
        <f>IF(VLOOKUP($C462,REV!$C:$AA,19,0)-'TRADE IN'!$F471=0,"",(VLOOKUP($C462,REV!$C:$AA,19,0)-'TRADE IN'!$F462))</f>
        <v>249</v>
      </c>
      <c r="V462" s="46">
        <f>IF(VLOOKUP($C462,REV!$C:$AA,20,0)-'TRADE IN'!$F471=0,"",(VLOOKUP($C462,REV!$C:$AA,20,0)-'TRADE IN'!$F462))</f>
        <v>249</v>
      </c>
      <c r="W462" s="46">
        <f>IF(VLOOKUP($C462,REV!$C:$AA,21,0)-'TRADE IN'!$F471=0,"",(VLOOKUP($C462,REV!$C:$AA,21,0)-'TRADE IN'!$F462))</f>
        <v>249</v>
      </c>
      <c r="X462" s="46">
        <f>IF(VLOOKUP($C462,REV!$C:$AA,22,0)-'TRADE IN'!$F471=0,"",(VLOOKUP($C462,REV!$C:$AA,22,0)-'TRADE IN'!$F462))</f>
        <v>249</v>
      </c>
      <c r="Y462" s="46">
        <f>IF(VLOOKUP($C462,REV!$C:$AA,23,0)-'TRADE IN'!$F471=0,"",(VLOOKUP($C462,REV!$C:$AA,23,0)-'TRADE IN'!$F462))</f>
        <v>249</v>
      </c>
      <c r="Z462" s="46">
        <f>IF(VLOOKUP($C462,REV!$C:$AA,24,0)-'TRADE IN'!$F471=0,"",(VLOOKUP($C462,REV!$C:$AA,24,0)-'TRADE IN'!$F462))</f>
        <v>249</v>
      </c>
      <c r="AA462" s="46">
        <f>IF(VLOOKUP($C462,REV!$C:$AA,25,0)-'TRADE IN'!$F471=0,"",(VLOOKUP($C462,REV!$C:$AA,25,0)-'TRADE IN'!$F462))</f>
        <v>249</v>
      </c>
      <c r="AB462" s="46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7"/>
      <c r="AW462" s="48" t="str">
        <f>IF(REV!AW462=0,"",REV!AW462)</f>
        <v>31.03.2026</v>
      </c>
      <c r="AX462" s="159" t="s">
        <v>66</v>
      </c>
    </row>
    <row r="463" spans="1:50" ht="22.5" customHeight="1">
      <c r="A463" s="50" t="s">
        <v>61</v>
      </c>
      <c r="B463" s="41" t="s">
        <v>62</v>
      </c>
      <c r="C463" s="42">
        <v>4013596</v>
      </c>
      <c r="D463" s="44" t="s">
        <v>660</v>
      </c>
      <c r="E463" s="44" t="s">
        <v>661</v>
      </c>
      <c r="F463" s="45"/>
      <c r="G463" s="45"/>
      <c r="H463" s="45"/>
      <c r="I463" s="45"/>
      <c r="J463" s="46">
        <f>IF(VLOOKUP($C463,REV!$C:$AA,8,0)-'TRADE IN'!$F463=0,"",(VLOOKUP($C463,REV!$C:$AA,8,0)-'TRADE IN'!$F463))</f>
        <v>49</v>
      </c>
      <c r="K463" s="46">
        <f>IF(VLOOKUP($C463,REV!$C:$AA,9,0)-'TRADE IN'!$F463=0,"",(VLOOKUP($C463,REV!$C:$AA,9,0)-'TRADE IN'!$F463))</f>
        <v>49</v>
      </c>
      <c r="L463" s="46">
        <f>IF(VLOOKUP($C463,REV!$C:$AA,10,0)-'TRADE IN'!$F472=0,"",(VLOOKUP($C463,REV!$C:$AA,10,0)-'TRADE IN'!$F463))</f>
        <v>49</v>
      </c>
      <c r="M463" s="46">
        <f>IF(VLOOKUP($C463,REV!$C:$AA,11,0)-'TRADE IN'!$F472=0,"",(VLOOKUP($C463,REV!$C:$AA,11,0)-'TRADE IN'!$F463))</f>
        <v>49</v>
      </c>
      <c r="N463" s="46">
        <f>IF(VLOOKUP($C463,REV!$C:$AA,12,0)-'TRADE IN'!$F472=0,"",(VLOOKUP($C463,REV!$C:$AA,12,0)-'TRADE IN'!$F463))</f>
        <v>49</v>
      </c>
      <c r="O463" s="46">
        <f>IF(VLOOKUP($C463,REV!$C:$AA,13,0)-'TRADE IN'!$F472=0,"",(VLOOKUP($C463,REV!$C:$AA,13,0)-'TRADE IN'!$F463))</f>
        <v>49</v>
      </c>
      <c r="P463" s="46">
        <f>IF(VLOOKUP($C463,REV!$C:$AA,14,0)-'TRADE IN'!$F472=0,"",(VLOOKUP($C463,REV!$C:$AA,14,0)-'TRADE IN'!$F463))</f>
        <v>49</v>
      </c>
      <c r="Q463" s="46">
        <f>IF(VLOOKUP($C463,REV!$C:$AA,15,0)-'TRADE IN'!$F472=0,"",(VLOOKUP($C463,REV!$C:$AA,15,0)-'TRADE IN'!$F463))</f>
        <v>49</v>
      </c>
      <c r="R463" s="46">
        <f>IF(VLOOKUP($C463,REV!$C:$AA,16,0)-'TRADE IN'!$F472=0,"",(VLOOKUP($C463,REV!$C:$AA,16,0)-'TRADE IN'!$F463))</f>
        <v>49</v>
      </c>
      <c r="S463" s="46">
        <f>IF(VLOOKUP($C463,REV!$C:$AA,17,0)-'TRADE IN'!$F472=0,"",(VLOOKUP($C463,REV!$C:$AA,17,0)-'TRADE IN'!$F463))</f>
        <v>49</v>
      </c>
      <c r="T463" s="46">
        <f>IF(VLOOKUP($C463,REV!$C:$AA,18,0)-'TRADE IN'!$F472=0,"",(VLOOKUP($C463,REV!$C:$AA,18,0)-'TRADE IN'!$F463))</f>
        <v>49</v>
      </c>
      <c r="U463" s="46">
        <f>IF(VLOOKUP($C463,REV!$C:$AA,19,0)-'TRADE IN'!$F472=0,"",(VLOOKUP($C463,REV!$C:$AA,19,0)-'TRADE IN'!$F463))</f>
        <v>49</v>
      </c>
      <c r="V463" s="46">
        <f>IF(VLOOKUP($C463,REV!$C:$AA,20,0)-'TRADE IN'!$F472=0,"",(VLOOKUP($C463,REV!$C:$AA,20,0)-'TRADE IN'!$F463))</f>
        <v>49</v>
      </c>
      <c r="W463" s="46">
        <f>IF(VLOOKUP($C463,REV!$C:$AA,21,0)-'TRADE IN'!$F472=0,"",(VLOOKUP($C463,REV!$C:$AA,21,0)-'TRADE IN'!$F463))</f>
        <v>49</v>
      </c>
      <c r="X463" s="46">
        <f>IF(VLOOKUP($C463,REV!$C:$AA,22,0)-'TRADE IN'!$F472=0,"",(VLOOKUP($C463,REV!$C:$AA,22,0)-'TRADE IN'!$F463))</f>
        <v>49</v>
      </c>
      <c r="Y463" s="46">
        <f>IF(VLOOKUP($C463,REV!$C:$AA,23,0)-'TRADE IN'!$F472=0,"",(VLOOKUP($C463,REV!$C:$AA,23,0)-'TRADE IN'!$F463))</f>
        <v>49</v>
      </c>
      <c r="Z463" s="46">
        <f>IF(VLOOKUP($C463,REV!$C:$AA,24,0)-'TRADE IN'!$F472=0,"",(VLOOKUP($C463,REV!$C:$AA,24,0)-'TRADE IN'!$F463))</f>
        <v>49</v>
      </c>
      <c r="AA463" s="46">
        <f>IF(VLOOKUP($C463,REV!$C:$AA,25,0)-'TRADE IN'!$F472=0,"",(VLOOKUP($C463,REV!$C:$AA,25,0)-'TRADE IN'!$F463))</f>
        <v>49</v>
      </c>
      <c r="AB463" s="46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7"/>
      <c r="AW463" s="48" t="str">
        <f>IF(REV!AW463=0,"",REV!AW463)</f>
        <v>31.03.2026</v>
      </c>
      <c r="AX463" s="159" t="s">
        <v>66</v>
      </c>
    </row>
    <row r="464" spans="1:50" ht="22.5" customHeight="1">
      <c r="A464" s="50" t="s">
        <v>61</v>
      </c>
      <c r="B464" s="41" t="s">
        <v>62</v>
      </c>
      <c r="C464" s="42">
        <v>4013597</v>
      </c>
      <c r="D464" s="44" t="s">
        <v>660</v>
      </c>
      <c r="E464" s="44" t="s">
        <v>662</v>
      </c>
      <c r="F464" s="45"/>
      <c r="G464" s="45"/>
      <c r="H464" s="45"/>
      <c r="I464" s="45"/>
      <c r="J464" s="46">
        <f>IF(VLOOKUP($C464,REV!$C:$AA,8,0)-'TRADE IN'!$F464=0,"",(VLOOKUP($C464,REV!$C:$AA,8,0)-'TRADE IN'!$F464))</f>
        <v>49</v>
      </c>
      <c r="K464" s="46">
        <f>IF(VLOOKUP($C464,REV!$C:$AA,9,0)-'TRADE IN'!$F464=0,"",(VLOOKUP($C464,REV!$C:$AA,9,0)-'TRADE IN'!$F464))</f>
        <v>49</v>
      </c>
      <c r="L464" s="46">
        <f>IF(VLOOKUP($C464,REV!$C:$AA,10,0)-'TRADE IN'!$F473=0,"",(VLOOKUP($C464,REV!$C:$AA,10,0)-'TRADE IN'!$F464))</f>
        <v>49</v>
      </c>
      <c r="M464" s="46">
        <f>IF(VLOOKUP($C464,REV!$C:$AA,11,0)-'TRADE IN'!$F473=0,"",(VLOOKUP($C464,REV!$C:$AA,11,0)-'TRADE IN'!$F464))</f>
        <v>49</v>
      </c>
      <c r="N464" s="46">
        <f>IF(VLOOKUP($C464,REV!$C:$AA,12,0)-'TRADE IN'!$F473=0,"",(VLOOKUP($C464,REV!$C:$AA,12,0)-'TRADE IN'!$F464))</f>
        <v>49</v>
      </c>
      <c r="O464" s="46">
        <f>IF(VLOOKUP($C464,REV!$C:$AA,13,0)-'TRADE IN'!$F473=0,"",(VLOOKUP($C464,REV!$C:$AA,13,0)-'TRADE IN'!$F464))</f>
        <v>49</v>
      </c>
      <c r="P464" s="46">
        <f>IF(VLOOKUP($C464,REV!$C:$AA,14,0)-'TRADE IN'!$F473=0,"",(VLOOKUP($C464,REV!$C:$AA,14,0)-'TRADE IN'!$F464))</f>
        <v>49</v>
      </c>
      <c r="Q464" s="46">
        <f>IF(VLOOKUP($C464,REV!$C:$AA,15,0)-'TRADE IN'!$F473=0,"",(VLOOKUP($C464,REV!$C:$AA,15,0)-'TRADE IN'!$F464))</f>
        <v>49</v>
      </c>
      <c r="R464" s="46">
        <f>IF(VLOOKUP($C464,REV!$C:$AA,16,0)-'TRADE IN'!$F473=0,"",(VLOOKUP($C464,REV!$C:$AA,16,0)-'TRADE IN'!$F464))</f>
        <v>49</v>
      </c>
      <c r="S464" s="46">
        <f>IF(VLOOKUP($C464,REV!$C:$AA,17,0)-'TRADE IN'!$F473=0,"",(VLOOKUP($C464,REV!$C:$AA,17,0)-'TRADE IN'!$F464))</f>
        <v>49</v>
      </c>
      <c r="T464" s="46">
        <f>IF(VLOOKUP($C464,REV!$C:$AA,18,0)-'TRADE IN'!$F473=0,"",(VLOOKUP($C464,REV!$C:$AA,18,0)-'TRADE IN'!$F464))</f>
        <v>49</v>
      </c>
      <c r="U464" s="46">
        <f>IF(VLOOKUP($C464,REV!$C:$AA,19,0)-'TRADE IN'!$F473=0,"",(VLOOKUP($C464,REV!$C:$AA,19,0)-'TRADE IN'!$F464))</f>
        <v>49</v>
      </c>
      <c r="V464" s="46">
        <f>IF(VLOOKUP($C464,REV!$C:$AA,20,0)-'TRADE IN'!$F473=0,"",(VLOOKUP($C464,REV!$C:$AA,20,0)-'TRADE IN'!$F464))</f>
        <v>49</v>
      </c>
      <c r="W464" s="46">
        <f>IF(VLOOKUP($C464,REV!$C:$AA,21,0)-'TRADE IN'!$F473=0,"",(VLOOKUP($C464,REV!$C:$AA,21,0)-'TRADE IN'!$F464))</f>
        <v>49</v>
      </c>
      <c r="X464" s="46">
        <f>IF(VLOOKUP($C464,REV!$C:$AA,22,0)-'TRADE IN'!$F473=0,"",(VLOOKUP($C464,REV!$C:$AA,22,0)-'TRADE IN'!$F464))</f>
        <v>49</v>
      </c>
      <c r="Y464" s="46">
        <f>IF(VLOOKUP($C464,REV!$C:$AA,23,0)-'TRADE IN'!$F473=0,"",(VLOOKUP($C464,REV!$C:$AA,23,0)-'TRADE IN'!$F464))</f>
        <v>49</v>
      </c>
      <c r="Z464" s="46">
        <f>IF(VLOOKUP($C464,REV!$C:$AA,24,0)-'TRADE IN'!$F473=0,"",(VLOOKUP($C464,REV!$C:$AA,24,0)-'TRADE IN'!$F464))</f>
        <v>49</v>
      </c>
      <c r="AA464" s="46">
        <f>IF(VLOOKUP($C464,REV!$C:$AA,25,0)-'TRADE IN'!$F473=0,"",(VLOOKUP($C464,REV!$C:$AA,25,0)-'TRADE IN'!$F464))</f>
        <v>49</v>
      </c>
      <c r="AB464" s="46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7"/>
      <c r="AW464" s="48" t="str">
        <f>IF(REV!AW464=0,"",REV!AW464)</f>
        <v>31.03.2026</v>
      </c>
      <c r="AX464" s="159" t="s">
        <v>66</v>
      </c>
    </row>
    <row r="465" spans="1:50" ht="22.5" customHeight="1">
      <c r="A465" s="50" t="s">
        <v>61</v>
      </c>
      <c r="B465" s="41" t="s">
        <v>62</v>
      </c>
      <c r="C465" s="42">
        <v>4013598</v>
      </c>
      <c r="D465" s="44" t="s">
        <v>660</v>
      </c>
      <c r="E465" s="44" t="s">
        <v>663</v>
      </c>
      <c r="F465" s="45"/>
      <c r="G465" s="45"/>
      <c r="H465" s="45"/>
      <c r="I465" s="45"/>
      <c r="J465" s="46">
        <f>IF(VLOOKUP($C465,REV!$C:$AA,8,0)-'TRADE IN'!$F465=0,"",(VLOOKUP($C465,REV!$C:$AA,8,0)-'TRADE IN'!$F465))</f>
        <v>49</v>
      </c>
      <c r="K465" s="46">
        <f>IF(VLOOKUP($C465,REV!$C:$AA,9,0)-'TRADE IN'!$F465=0,"",(VLOOKUP($C465,REV!$C:$AA,9,0)-'TRADE IN'!$F465))</f>
        <v>49</v>
      </c>
      <c r="L465" s="46">
        <f>IF(VLOOKUP($C465,REV!$C:$AA,10,0)-'TRADE IN'!$F474=0,"",(VLOOKUP($C465,REV!$C:$AA,10,0)-'TRADE IN'!$F465))</f>
        <v>49</v>
      </c>
      <c r="M465" s="46">
        <f>IF(VLOOKUP($C465,REV!$C:$AA,11,0)-'TRADE IN'!$F474=0,"",(VLOOKUP($C465,REV!$C:$AA,11,0)-'TRADE IN'!$F465))</f>
        <v>49</v>
      </c>
      <c r="N465" s="46">
        <f>IF(VLOOKUP($C465,REV!$C:$AA,12,0)-'TRADE IN'!$F474=0,"",(VLOOKUP($C465,REV!$C:$AA,12,0)-'TRADE IN'!$F465))</f>
        <v>49</v>
      </c>
      <c r="O465" s="46">
        <f>IF(VLOOKUP($C465,REV!$C:$AA,13,0)-'TRADE IN'!$F474=0,"",(VLOOKUP($C465,REV!$C:$AA,13,0)-'TRADE IN'!$F465))</f>
        <v>49</v>
      </c>
      <c r="P465" s="46">
        <f>IF(VLOOKUP($C465,REV!$C:$AA,14,0)-'TRADE IN'!$F474=0,"",(VLOOKUP($C465,REV!$C:$AA,14,0)-'TRADE IN'!$F465))</f>
        <v>49</v>
      </c>
      <c r="Q465" s="46">
        <f>IF(VLOOKUP($C465,REV!$C:$AA,15,0)-'TRADE IN'!$F474=0,"",(VLOOKUP($C465,REV!$C:$AA,15,0)-'TRADE IN'!$F465))</f>
        <v>49</v>
      </c>
      <c r="R465" s="46">
        <f>IF(VLOOKUP($C465,REV!$C:$AA,16,0)-'TRADE IN'!$F474=0,"",(VLOOKUP($C465,REV!$C:$AA,16,0)-'TRADE IN'!$F465))</f>
        <v>49</v>
      </c>
      <c r="S465" s="46">
        <f>IF(VLOOKUP($C465,REV!$C:$AA,17,0)-'TRADE IN'!$F474=0,"",(VLOOKUP($C465,REV!$C:$AA,17,0)-'TRADE IN'!$F465))</f>
        <v>49</v>
      </c>
      <c r="T465" s="46">
        <f>IF(VLOOKUP($C465,REV!$C:$AA,18,0)-'TRADE IN'!$F474=0,"",(VLOOKUP($C465,REV!$C:$AA,18,0)-'TRADE IN'!$F465))</f>
        <v>49</v>
      </c>
      <c r="U465" s="46">
        <f>IF(VLOOKUP($C465,REV!$C:$AA,19,0)-'TRADE IN'!$F474=0,"",(VLOOKUP($C465,REV!$C:$AA,19,0)-'TRADE IN'!$F465))</f>
        <v>49</v>
      </c>
      <c r="V465" s="46">
        <f>IF(VLOOKUP($C465,REV!$C:$AA,20,0)-'TRADE IN'!$F474=0,"",(VLOOKUP($C465,REV!$C:$AA,20,0)-'TRADE IN'!$F465))</f>
        <v>49</v>
      </c>
      <c r="W465" s="46">
        <f>IF(VLOOKUP($C465,REV!$C:$AA,21,0)-'TRADE IN'!$F474=0,"",(VLOOKUP($C465,REV!$C:$AA,21,0)-'TRADE IN'!$F465))</f>
        <v>49</v>
      </c>
      <c r="X465" s="46">
        <f>IF(VLOOKUP($C465,REV!$C:$AA,22,0)-'TRADE IN'!$F474=0,"",(VLOOKUP($C465,REV!$C:$AA,22,0)-'TRADE IN'!$F465))</f>
        <v>49</v>
      </c>
      <c r="Y465" s="46">
        <f>IF(VLOOKUP($C465,REV!$C:$AA,23,0)-'TRADE IN'!$F474=0,"",(VLOOKUP($C465,REV!$C:$AA,23,0)-'TRADE IN'!$F465))</f>
        <v>49</v>
      </c>
      <c r="Z465" s="46">
        <f>IF(VLOOKUP($C465,REV!$C:$AA,24,0)-'TRADE IN'!$F474=0,"",(VLOOKUP($C465,REV!$C:$AA,24,0)-'TRADE IN'!$F465))</f>
        <v>49</v>
      </c>
      <c r="AA465" s="46">
        <f>IF(VLOOKUP($C465,REV!$C:$AA,25,0)-'TRADE IN'!$F474=0,"",(VLOOKUP($C465,REV!$C:$AA,25,0)-'TRADE IN'!$F465))</f>
        <v>49</v>
      </c>
      <c r="AB465" s="46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7"/>
      <c r="AW465" s="48" t="str">
        <f>IF(REV!AW465=0,"",REV!AW465)</f>
        <v>31.03.2026</v>
      </c>
      <c r="AX465" s="159" t="s">
        <v>66</v>
      </c>
    </row>
    <row r="466" spans="1:50" ht="22.5" customHeight="1">
      <c r="A466" s="50" t="s">
        <v>61</v>
      </c>
      <c r="B466" s="41" t="s">
        <v>62</v>
      </c>
      <c r="C466" s="42">
        <v>4013599</v>
      </c>
      <c r="D466" s="44" t="s">
        <v>660</v>
      </c>
      <c r="E466" s="44" t="s">
        <v>664</v>
      </c>
      <c r="F466" s="45"/>
      <c r="G466" s="45"/>
      <c r="H466" s="45"/>
      <c r="I466" s="45"/>
      <c r="J466" s="46">
        <f>IF(VLOOKUP($C466,REV!$C:$AA,8,0)-'TRADE IN'!$F466=0,"",(VLOOKUP($C466,REV!$C:$AA,8,0)-'TRADE IN'!$F466))</f>
        <v>49</v>
      </c>
      <c r="K466" s="46">
        <f>IF(VLOOKUP($C466,REV!$C:$AA,9,0)-'TRADE IN'!$F466=0,"",(VLOOKUP($C466,REV!$C:$AA,9,0)-'TRADE IN'!$F466))</f>
        <v>49</v>
      </c>
      <c r="L466" s="46">
        <f>IF(VLOOKUP($C466,REV!$C:$AA,10,0)-'TRADE IN'!$F475=0,"",(VLOOKUP($C466,REV!$C:$AA,10,0)-'TRADE IN'!$F466))</f>
        <v>49</v>
      </c>
      <c r="M466" s="46">
        <f>IF(VLOOKUP($C466,REV!$C:$AA,11,0)-'TRADE IN'!$F475=0,"",(VLOOKUP($C466,REV!$C:$AA,11,0)-'TRADE IN'!$F466))</f>
        <v>49</v>
      </c>
      <c r="N466" s="46">
        <f>IF(VLOOKUP($C466,REV!$C:$AA,12,0)-'TRADE IN'!$F475=0,"",(VLOOKUP($C466,REV!$C:$AA,12,0)-'TRADE IN'!$F466))</f>
        <v>49</v>
      </c>
      <c r="O466" s="46">
        <f>IF(VLOOKUP($C466,REV!$C:$AA,13,0)-'TRADE IN'!$F475=0,"",(VLOOKUP($C466,REV!$C:$AA,13,0)-'TRADE IN'!$F466))</f>
        <v>49</v>
      </c>
      <c r="P466" s="46">
        <f>IF(VLOOKUP($C466,REV!$C:$AA,14,0)-'TRADE IN'!$F475=0,"",(VLOOKUP($C466,REV!$C:$AA,14,0)-'TRADE IN'!$F466))</f>
        <v>49</v>
      </c>
      <c r="Q466" s="46">
        <f>IF(VLOOKUP($C466,REV!$C:$AA,15,0)-'TRADE IN'!$F475=0,"",(VLOOKUP($C466,REV!$C:$AA,15,0)-'TRADE IN'!$F466))</f>
        <v>49</v>
      </c>
      <c r="R466" s="46">
        <f>IF(VLOOKUP($C466,REV!$C:$AA,16,0)-'TRADE IN'!$F475=0,"",(VLOOKUP($C466,REV!$C:$AA,16,0)-'TRADE IN'!$F466))</f>
        <v>49</v>
      </c>
      <c r="S466" s="46">
        <f>IF(VLOOKUP($C466,REV!$C:$AA,17,0)-'TRADE IN'!$F475=0,"",(VLOOKUP($C466,REV!$C:$AA,17,0)-'TRADE IN'!$F466))</f>
        <v>49</v>
      </c>
      <c r="T466" s="46">
        <f>IF(VLOOKUP($C466,REV!$C:$AA,18,0)-'TRADE IN'!$F475=0,"",(VLOOKUP($C466,REV!$C:$AA,18,0)-'TRADE IN'!$F466))</f>
        <v>49</v>
      </c>
      <c r="U466" s="46">
        <f>IF(VLOOKUP($C466,REV!$C:$AA,19,0)-'TRADE IN'!$F475=0,"",(VLOOKUP($C466,REV!$C:$AA,19,0)-'TRADE IN'!$F466))</f>
        <v>49</v>
      </c>
      <c r="V466" s="46">
        <f>IF(VLOOKUP($C466,REV!$C:$AA,20,0)-'TRADE IN'!$F475=0,"",(VLOOKUP($C466,REV!$C:$AA,20,0)-'TRADE IN'!$F466))</f>
        <v>49</v>
      </c>
      <c r="W466" s="46">
        <f>IF(VLOOKUP($C466,REV!$C:$AA,21,0)-'TRADE IN'!$F475=0,"",(VLOOKUP($C466,REV!$C:$AA,21,0)-'TRADE IN'!$F466))</f>
        <v>49</v>
      </c>
      <c r="X466" s="46">
        <f>IF(VLOOKUP($C466,REV!$C:$AA,22,0)-'TRADE IN'!$F475=0,"",(VLOOKUP($C466,REV!$C:$AA,22,0)-'TRADE IN'!$F466))</f>
        <v>49</v>
      </c>
      <c r="Y466" s="46">
        <f>IF(VLOOKUP($C466,REV!$C:$AA,23,0)-'TRADE IN'!$F475=0,"",(VLOOKUP($C466,REV!$C:$AA,23,0)-'TRADE IN'!$F466))</f>
        <v>49</v>
      </c>
      <c r="Z466" s="46">
        <f>IF(VLOOKUP($C466,REV!$C:$AA,24,0)-'TRADE IN'!$F475=0,"",(VLOOKUP($C466,REV!$C:$AA,24,0)-'TRADE IN'!$F466))</f>
        <v>49</v>
      </c>
      <c r="AA466" s="46">
        <f>IF(VLOOKUP($C466,REV!$C:$AA,25,0)-'TRADE IN'!$F475=0,"",(VLOOKUP($C466,REV!$C:$AA,25,0)-'TRADE IN'!$F466))</f>
        <v>49</v>
      </c>
      <c r="AB466" s="46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7"/>
      <c r="AW466" s="48" t="str">
        <f>IF(REV!AW466=0,"",REV!AW466)</f>
        <v>31.03.2026</v>
      </c>
      <c r="AX466" s="159" t="s">
        <v>66</v>
      </c>
    </row>
    <row r="467" spans="1:50" ht="22.5" customHeight="1">
      <c r="A467" s="50" t="s">
        <v>61</v>
      </c>
      <c r="B467" s="41" t="s">
        <v>62</v>
      </c>
      <c r="C467" s="42">
        <v>4014362</v>
      </c>
      <c r="D467" s="44" t="s">
        <v>665</v>
      </c>
      <c r="E467" s="44" t="s">
        <v>666</v>
      </c>
      <c r="F467" s="45"/>
      <c r="G467" s="45"/>
      <c r="H467" s="45"/>
      <c r="I467" s="45"/>
      <c r="J467" s="46">
        <f>IF(VLOOKUP($C467,REV!$C:$AA,8,0)-'TRADE IN'!$F467=0,"",(VLOOKUP($C467,REV!$C:$AA,8,0)-'TRADE IN'!$F467))</f>
        <v>69</v>
      </c>
      <c r="K467" s="46">
        <f>IF(VLOOKUP($C467,REV!$C:$AA,9,0)-'TRADE IN'!$F467=0,"",(VLOOKUP($C467,REV!$C:$AA,9,0)-'TRADE IN'!$F467))</f>
        <v>69</v>
      </c>
      <c r="L467" s="46">
        <f>IF(VLOOKUP($C467,REV!$C:$AA,10,0)-'TRADE IN'!$F476=0,"",(VLOOKUP($C467,REV!$C:$AA,10,0)-'TRADE IN'!$F467))</f>
        <v>69</v>
      </c>
      <c r="M467" s="46">
        <f>IF(VLOOKUP($C467,REV!$C:$AA,11,0)-'TRADE IN'!$F476=0,"",(VLOOKUP($C467,REV!$C:$AA,11,0)-'TRADE IN'!$F467))</f>
        <v>69</v>
      </c>
      <c r="N467" s="46">
        <f>IF(VLOOKUP($C467,REV!$C:$AA,12,0)-'TRADE IN'!$F476=0,"",(VLOOKUP($C467,REV!$C:$AA,12,0)-'TRADE IN'!$F467))</f>
        <v>69</v>
      </c>
      <c r="O467" s="46">
        <f>IF(VLOOKUP($C467,REV!$C:$AA,13,0)-'TRADE IN'!$F476=0,"",(VLOOKUP($C467,REV!$C:$AA,13,0)-'TRADE IN'!$F467))</f>
        <v>69</v>
      </c>
      <c r="P467" s="46">
        <f>IF(VLOOKUP($C467,REV!$C:$AA,14,0)-'TRADE IN'!$F476=0,"",(VLOOKUP($C467,REV!$C:$AA,14,0)-'TRADE IN'!$F467))</f>
        <v>69</v>
      </c>
      <c r="Q467" s="46">
        <f>IF(VLOOKUP($C467,REV!$C:$AA,15,0)-'TRADE IN'!$F476=0,"",(VLOOKUP($C467,REV!$C:$AA,15,0)-'TRADE IN'!$F467))</f>
        <v>69</v>
      </c>
      <c r="R467" s="46">
        <f>IF(VLOOKUP($C467,REV!$C:$AA,16,0)-'TRADE IN'!$F476=0,"",(VLOOKUP($C467,REV!$C:$AA,16,0)-'TRADE IN'!$F467))</f>
        <v>69</v>
      </c>
      <c r="S467" s="46">
        <f>IF(VLOOKUP($C467,REV!$C:$AA,17,0)-'TRADE IN'!$F476=0,"",(VLOOKUP($C467,REV!$C:$AA,17,0)-'TRADE IN'!$F467))</f>
        <v>69</v>
      </c>
      <c r="T467" s="46">
        <f>IF(VLOOKUP($C467,REV!$C:$AA,18,0)-'TRADE IN'!$F476=0,"",(VLOOKUP($C467,REV!$C:$AA,18,0)-'TRADE IN'!$F467))</f>
        <v>69</v>
      </c>
      <c r="U467" s="46">
        <f>IF(VLOOKUP($C467,REV!$C:$AA,19,0)-'TRADE IN'!$F476=0,"",(VLOOKUP($C467,REV!$C:$AA,19,0)-'TRADE IN'!$F467))</f>
        <v>69</v>
      </c>
      <c r="V467" s="46">
        <f>IF(VLOOKUP($C467,REV!$C:$AA,20,0)-'TRADE IN'!$F476=0,"",(VLOOKUP($C467,REV!$C:$AA,20,0)-'TRADE IN'!$F467))</f>
        <v>69</v>
      </c>
      <c r="W467" s="46">
        <f>IF(VLOOKUP($C467,REV!$C:$AA,21,0)-'TRADE IN'!$F476=0,"",(VLOOKUP($C467,REV!$C:$AA,21,0)-'TRADE IN'!$F467))</f>
        <v>69</v>
      </c>
      <c r="X467" s="46">
        <f>IF(VLOOKUP($C467,REV!$C:$AA,22,0)-'TRADE IN'!$F476=0,"",(VLOOKUP($C467,REV!$C:$AA,22,0)-'TRADE IN'!$F467))</f>
        <v>69</v>
      </c>
      <c r="Y467" s="46">
        <f>IF(VLOOKUP($C467,REV!$C:$AA,23,0)-'TRADE IN'!$F476=0,"",(VLOOKUP($C467,REV!$C:$AA,23,0)-'TRADE IN'!$F467))</f>
        <v>69</v>
      </c>
      <c r="Z467" s="46">
        <f>IF(VLOOKUP($C467,REV!$C:$AA,24,0)-'TRADE IN'!$F476=0,"",(VLOOKUP($C467,REV!$C:$AA,24,0)-'TRADE IN'!$F467))</f>
        <v>69</v>
      </c>
      <c r="AA467" s="46">
        <f>IF(VLOOKUP($C467,REV!$C:$AA,25,0)-'TRADE IN'!$F476=0,"",(VLOOKUP($C467,REV!$C:$AA,25,0)-'TRADE IN'!$F467))</f>
        <v>69</v>
      </c>
      <c r="AB467" s="46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7"/>
      <c r="AW467" s="48" t="str">
        <f>IF(REV!AW467=0,"",REV!AW467)</f>
        <v>31.03.2026</v>
      </c>
      <c r="AX467" s="159" t="s">
        <v>66</v>
      </c>
    </row>
    <row r="468" spans="1:50" ht="22.5" customHeight="1">
      <c r="A468" s="50" t="s">
        <v>61</v>
      </c>
      <c r="B468" s="41" t="s">
        <v>62</v>
      </c>
      <c r="C468" s="42">
        <v>4014363</v>
      </c>
      <c r="D468" s="44" t="s">
        <v>665</v>
      </c>
      <c r="E468" s="44" t="s">
        <v>667</v>
      </c>
      <c r="F468" s="45"/>
      <c r="G468" s="45"/>
      <c r="H468" s="45"/>
      <c r="I468" s="45"/>
      <c r="J468" s="46">
        <f>IF(VLOOKUP($C468,REV!$C:$AA,8,0)-'TRADE IN'!$F468=0,"",(VLOOKUP($C468,REV!$C:$AA,8,0)-'TRADE IN'!$F468))</f>
        <v>69</v>
      </c>
      <c r="K468" s="46">
        <f>IF(VLOOKUP($C468,REV!$C:$AA,9,0)-'TRADE IN'!$F468=0,"",(VLOOKUP($C468,REV!$C:$AA,9,0)-'TRADE IN'!$F468))</f>
        <v>69</v>
      </c>
      <c r="L468" s="46">
        <f>IF(VLOOKUP($C468,REV!$C:$AA,10,0)-'TRADE IN'!$F477=0,"",(VLOOKUP($C468,REV!$C:$AA,10,0)-'TRADE IN'!$F468))</f>
        <v>69</v>
      </c>
      <c r="M468" s="46">
        <f>IF(VLOOKUP($C468,REV!$C:$AA,11,0)-'TRADE IN'!$F477=0,"",(VLOOKUP($C468,REV!$C:$AA,11,0)-'TRADE IN'!$F468))</f>
        <v>69</v>
      </c>
      <c r="N468" s="46">
        <f>IF(VLOOKUP($C468,REV!$C:$AA,12,0)-'TRADE IN'!$F477=0,"",(VLOOKUP($C468,REV!$C:$AA,12,0)-'TRADE IN'!$F468))</f>
        <v>69</v>
      </c>
      <c r="O468" s="46">
        <f>IF(VLOOKUP($C468,REV!$C:$AA,13,0)-'TRADE IN'!$F477=0,"",(VLOOKUP($C468,REV!$C:$AA,13,0)-'TRADE IN'!$F468))</f>
        <v>69</v>
      </c>
      <c r="P468" s="46">
        <f>IF(VLOOKUP($C468,REV!$C:$AA,14,0)-'TRADE IN'!$F477=0,"",(VLOOKUP($C468,REV!$C:$AA,14,0)-'TRADE IN'!$F468))</f>
        <v>69</v>
      </c>
      <c r="Q468" s="46">
        <f>IF(VLOOKUP($C468,REV!$C:$AA,15,0)-'TRADE IN'!$F477=0,"",(VLOOKUP($C468,REV!$C:$AA,15,0)-'TRADE IN'!$F468))</f>
        <v>69</v>
      </c>
      <c r="R468" s="46">
        <f>IF(VLOOKUP($C468,REV!$C:$AA,16,0)-'TRADE IN'!$F477=0,"",(VLOOKUP($C468,REV!$C:$AA,16,0)-'TRADE IN'!$F468))</f>
        <v>69</v>
      </c>
      <c r="S468" s="46">
        <f>IF(VLOOKUP($C468,REV!$C:$AA,17,0)-'TRADE IN'!$F477=0,"",(VLOOKUP($C468,REV!$C:$AA,17,0)-'TRADE IN'!$F468))</f>
        <v>69</v>
      </c>
      <c r="T468" s="46">
        <f>IF(VLOOKUP($C468,REV!$C:$AA,18,0)-'TRADE IN'!$F477=0,"",(VLOOKUP($C468,REV!$C:$AA,18,0)-'TRADE IN'!$F468))</f>
        <v>69</v>
      </c>
      <c r="U468" s="46">
        <f>IF(VLOOKUP($C468,REV!$C:$AA,19,0)-'TRADE IN'!$F477=0,"",(VLOOKUP($C468,REV!$C:$AA,19,0)-'TRADE IN'!$F468))</f>
        <v>69</v>
      </c>
      <c r="V468" s="46">
        <f>IF(VLOOKUP($C468,REV!$C:$AA,20,0)-'TRADE IN'!$F477=0,"",(VLOOKUP($C468,REV!$C:$AA,20,0)-'TRADE IN'!$F468))</f>
        <v>69</v>
      </c>
      <c r="W468" s="46">
        <f>IF(VLOOKUP($C468,REV!$C:$AA,21,0)-'TRADE IN'!$F477=0,"",(VLOOKUP($C468,REV!$C:$AA,21,0)-'TRADE IN'!$F468))</f>
        <v>69</v>
      </c>
      <c r="X468" s="46">
        <f>IF(VLOOKUP($C468,REV!$C:$AA,22,0)-'TRADE IN'!$F477=0,"",(VLOOKUP($C468,REV!$C:$AA,22,0)-'TRADE IN'!$F468))</f>
        <v>69</v>
      </c>
      <c r="Y468" s="46">
        <f>IF(VLOOKUP($C468,REV!$C:$AA,23,0)-'TRADE IN'!$F477=0,"",(VLOOKUP($C468,REV!$C:$AA,23,0)-'TRADE IN'!$F468))</f>
        <v>69</v>
      </c>
      <c r="Z468" s="46">
        <f>IF(VLOOKUP($C468,REV!$C:$AA,24,0)-'TRADE IN'!$F477=0,"",(VLOOKUP($C468,REV!$C:$AA,24,0)-'TRADE IN'!$F468))</f>
        <v>69</v>
      </c>
      <c r="AA468" s="46">
        <f>IF(VLOOKUP($C468,REV!$C:$AA,25,0)-'TRADE IN'!$F477=0,"",(VLOOKUP($C468,REV!$C:$AA,25,0)-'TRADE IN'!$F468))</f>
        <v>69</v>
      </c>
      <c r="AB468" s="46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7"/>
      <c r="AW468" s="48" t="str">
        <f>IF(REV!AW468=0,"",REV!AW468)</f>
        <v>31.03.2026</v>
      </c>
      <c r="AX468" s="159" t="s">
        <v>66</v>
      </c>
    </row>
    <row r="469" spans="1:50" ht="22.5" customHeight="1">
      <c r="A469" s="50" t="s">
        <v>61</v>
      </c>
      <c r="B469" s="41" t="s">
        <v>62</v>
      </c>
      <c r="C469" s="42">
        <v>4014364</v>
      </c>
      <c r="D469" s="44" t="s">
        <v>665</v>
      </c>
      <c r="E469" s="44" t="s">
        <v>668</v>
      </c>
      <c r="F469" s="45"/>
      <c r="G469" s="45"/>
      <c r="H469" s="45"/>
      <c r="I469" s="45"/>
      <c r="J469" s="46">
        <f>IF(VLOOKUP($C469,REV!$C:$AA,8,0)-'TRADE IN'!$F469=0,"",(VLOOKUP($C469,REV!$C:$AA,8,0)-'TRADE IN'!$F469))</f>
        <v>69</v>
      </c>
      <c r="K469" s="46">
        <f>IF(VLOOKUP($C469,REV!$C:$AA,9,0)-'TRADE IN'!$F469=0,"",(VLOOKUP($C469,REV!$C:$AA,9,0)-'TRADE IN'!$F469))</f>
        <v>69</v>
      </c>
      <c r="L469" s="46">
        <f>IF(VLOOKUP($C469,REV!$C:$AA,10,0)-'TRADE IN'!$F478=0,"",(VLOOKUP($C469,REV!$C:$AA,10,0)-'TRADE IN'!$F469))</f>
        <v>69</v>
      </c>
      <c r="M469" s="46">
        <f>IF(VLOOKUP($C469,REV!$C:$AA,11,0)-'TRADE IN'!$F478=0,"",(VLOOKUP($C469,REV!$C:$AA,11,0)-'TRADE IN'!$F469))</f>
        <v>69</v>
      </c>
      <c r="N469" s="46">
        <f>IF(VLOOKUP($C469,REV!$C:$AA,12,0)-'TRADE IN'!$F478=0,"",(VLOOKUP($C469,REV!$C:$AA,12,0)-'TRADE IN'!$F469))</f>
        <v>69</v>
      </c>
      <c r="O469" s="46">
        <f>IF(VLOOKUP($C469,REV!$C:$AA,13,0)-'TRADE IN'!$F478=0,"",(VLOOKUP($C469,REV!$C:$AA,13,0)-'TRADE IN'!$F469))</f>
        <v>69</v>
      </c>
      <c r="P469" s="46">
        <f>IF(VLOOKUP($C469,REV!$C:$AA,14,0)-'TRADE IN'!$F478=0,"",(VLOOKUP($C469,REV!$C:$AA,14,0)-'TRADE IN'!$F469))</f>
        <v>69</v>
      </c>
      <c r="Q469" s="46">
        <f>IF(VLOOKUP($C469,REV!$C:$AA,15,0)-'TRADE IN'!$F478=0,"",(VLOOKUP($C469,REV!$C:$AA,15,0)-'TRADE IN'!$F469))</f>
        <v>69</v>
      </c>
      <c r="R469" s="46">
        <f>IF(VLOOKUP($C469,REV!$C:$AA,16,0)-'TRADE IN'!$F478=0,"",(VLOOKUP($C469,REV!$C:$AA,16,0)-'TRADE IN'!$F469))</f>
        <v>69</v>
      </c>
      <c r="S469" s="46">
        <f>IF(VLOOKUP($C469,REV!$C:$AA,17,0)-'TRADE IN'!$F478=0,"",(VLOOKUP($C469,REV!$C:$AA,17,0)-'TRADE IN'!$F469))</f>
        <v>69</v>
      </c>
      <c r="T469" s="46">
        <f>IF(VLOOKUP($C469,REV!$C:$AA,18,0)-'TRADE IN'!$F478=0,"",(VLOOKUP($C469,REV!$C:$AA,18,0)-'TRADE IN'!$F469))</f>
        <v>69</v>
      </c>
      <c r="U469" s="46">
        <f>IF(VLOOKUP($C469,REV!$C:$AA,19,0)-'TRADE IN'!$F478=0,"",(VLOOKUP($C469,REV!$C:$AA,19,0)-'TRADE IN'!$F469))</f>
        <v>69</v>
      </c>
      <c r="V469" s="46">
        <f>IF(VLOOKUP($C469,REV!$C:$AA,20,0)-'TRADE IN'!$F478=0,"",(VLOOKUP($C469,REV!$C:$AA,20,0)-'TRADE IN'!$F469))</f>
        <v>69</v>
      </c>
      <c r="W469" s="46">
        <f>IF(VLOOKUP($C469,REV!$C:$AA,21,0)-'TRADE IN'!$F478=0,"",(VLOOKUP($C469,REV!$C:$AA,21,0)-'TRADE IN'!$F469))</f>
        <v>69</v>
      </c>
      <c r="X469" s="46">
        <f>IF(VLOOKUP($C469,REV!$C:$AA,22,0)-'TRADE IN'!$F478=0,"",(VLOOKUP($C469,REV!$C:$AA,22,0)-'TRADE IN'!$F469))</f>
        <v>69</v>
      </c>
      <c r="Y469" s="46">
        <f>IF(VLOOKUP($C469,REV!$C:$AA,23,0)-'TRADE IN'!$F478=0,"",(VLOOKUP($C469,REV!$C:$AA,23,0)-'TRADE IN'!$F469))</f>
        <v>69</v>
      </c>
      <c r="Z469" s="46">
        <f>IF(VLOOKUP($C469,REV!$C:$AA,24,0)-'TRADE IN'!$F478=0,"",(VLOOKUP($C469,REV!$C:$AA,24,0)-'TRADE IN'!$F469))</f>
        <v>69</v>
      </c>
      <c r="AA469" s="46">
        <f>IF(VLOOKUP($C469,REV!$C:$AA,25,0)-'TRADE IN'!$F478=0,"",(VLOOKUP($C469,REV!$C:$AA,25,0)-'TRADE IN'!$F469))</f>
        <v>69</v>
      </c>
      <c r="AB469" s="46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7"/>
      <c r="AW469" s="48" t="str">
        <f>IF(REV!AW469=0,"",REV!AW469)</f>
        <v>31.03.2026</v>
      </c>
      <c r="AX469" s="159" t="s">
        <v>66</v>
      </c>
    </row>
    <row r="470" spans="1:50" ht="22.5" customHeight="1">
      <c r="A470" s="50" t="s">
        <v>61</v>
      </c>
      <c r="B470" s="41" t="s">
        <v>62</v>
      </c>
      <c r="C470" s="42">
        <v>4014365</v>
      </c>
      <c r="D470" s="44" t="s">
        <v>665</v>
      </c>
      <c r="E470" s="44" t="s">
        <v>669</v>
      </c>
      <c r="F470" s="45"/>
      <c r="G470" s="45"/>
      <c r="H470" s="45"/>
      <c r="I470" s="45"/>
      <c r="J470" s="46">
        <f>IF(VLOOKUP($C470,REV!$C:$AA,8,0)-'TRADE IN'!$F470=0,"",(VLOOKUP($C470,REV!$C:$AA,8,0)-'TRADE IN'!$F470))</f>
        <v>69</v>
      </c>
      <c r="K470" s="46">
        <f>IF(VLOOKUP($C470,REV!$C:$AA,9,0)-'TRADE IN'!$F470=0,"",(VLOOKUP($C470,REV!$C:$AA,9,0)-'TRADE IN'!$F470))</f>
        <v>69</v>
      </c>
      <c r="L470" s="46">
        <f>IF(VLOOKUP($C470,REV!$C:$AA,10,0)-'TRADE IN'!$F479=0,"",(VLOOKUP($C470,REV!$C:$AA,10,0)-'TRADE IN'!$F470))</f>
        <v>69</v>
      </c>
      <c r="M470" s="46">
        <f>IF(VLOOKUP($C470,REV!$C:$AA,11,0)-'TRADE IN'!$F479=0,"",(VLOOKUP($C470,REV!$C:$AA,11,0)-'TRADE IN'!$F470))</f>
        <v>69</v>
      </c>
      <c r="N470" s="46">
        <f>IF(VLOOKUP($C470,REV!$C:$AA,12,0)-'TRADE IN'!$F479=0,"",(VLOOKUP($C470,REV!$C:$AA,12,0)-'TRADE IN'!$F470))</f>
        <v>69</v>
      </c>
      <c r="O470" s="46">
        <f>IF(VLOOKUP($C470,REV!$C:$AA,13,0)-'TRADE IN'!$F479=0,"",(VLOOKUP($C470,REV!$C:$AA,13,0)-'TRADE IN'!$F470))</f>
        <v>69</v>
      </c>
      <c r="P470" s="46">
        <f>IF(VLOOKUP($C470,REV!$C:$AA,14,0)-'TRADE IN'!$F479=0,"",(VLOOKUP($C470,REV!$C:$AA,14,0)-'TRADE IN'!$F470))</f>
        <v>69</v>
      </c>
      <c r="Q470" s="46">
        <f>IF(VLOOKUP($C470,REV!$C:$AA,15,0)-'TRADE IN'!$F479=0,"",(VLOOKUP($C470,REV!$C:$AA,15,0)-'TRADE IN'!$F470))</f>
        <v>69</v>
      </c>
      <c r="R470" s="46">
        <f>IF(VLOOKUP($C470,REV!$C:$AA,16,0)-'TRADE IN'!$F479=0,"",(VLOOKUP($C470,REV!$C:$AA,16,0)-'TRADE IN'!$F470))</f>
        <v>69</v>
      </c>
      <c r="S470" s="46">
        <f>IF(VLOOKUP($C470,REV!$C:$AA,17,0)-'TRADE IN'!$F479=0,"",(VLOOKUP($C470,REV!$C:$AA,17,0)-'TRADE IN'!$F470))</f>
        <v>69</v>
      </c>
      <c r="T470" s="46">
        <f>IF(VLOOKUP($C470,REV!$C:$AA,18,0)-'TRADE IN'!$F479=0,"",(VLOOKUP($C470,REV!$C:$AA,18,0)-'TRADE IN'!$F470))</f>
        <v>69</v>
      </c>
      <c r="U470" s="46">
        <f>IF(VLOOKUP($C470,REV!$C:$AA,19,0)-'TRADE IN'!$F479=0,"",(VLOOKUP($C470,REV!$C:$AA,19,0)-'TRADE IN'!$F470))</f>
        <v>69</v>
      </c>
      <c r="V470" s="46">
        <f>IF(VLOOKUP($C470,REV!$C:$AA,20,0)-'TRADE IN'!$F479=0,"",(VLOOKUP($C470,REV!$C:$AA,20,0)-'TRADE IN'!$F470))</f>
        <v>69</v>
      </c>
      <c r="W470" s="46">
        <f>IF(VLOOKUP($C470,REV!$C:$AA,21,0)-'TRADE IN'!$F479=0,"",(VLOOKUP($C470,REV!$C:$AA,21,0)-'TRADE IN'!$F470))</f>
        <v>69</v>
      </c>
      <c r="X470" s="46">
        <f>IF(VLOOKUP($C470,REV!$C:$AA,22,0)-'TRADE IN'!$F479=0,"",(VLOOKUP($C470,REV!$C:$AA,22,0)-'TRADE IN'!$F470))</f>
        <v>69</v>
      </c>
      <c r="Y470" s="46">
        <f>IF(VLOOKUP($C470,REV!$C:$AA,23,0)-'TRADE IN'!$F479=0,"",(VLOOKUP($C470,REV!$C:$AA,23,0)-'TRADE IN'!$F470))</f>
        <v>69</v>
      </c>
      <c r="Z470" s="46">
        <f>IF(VLOOKUP($C470,REV!$C:$AA,24,0)-'TRADE IN'!$F479=0,"",(VLOOKUP($C470,REV!$C:$AA,24,0)-'TRADE IN'!$F470))</f>
        <v>69</v>
      </c>
      <c r="AA470" s="46">
        <f>IF(VLOOKUP($C470,REV!$C:$AA,25,0)-'TRADE IN'!$F479=0,"",(VLOOKUP($C470,REV!$C:$AA,25,0)-'TRADE IN'!$F470))</f>
        <v>69</v>
      </c>
      <c r="AB470" s="46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7"/>
      <c r="AW470" s="48" t="str">
        <f>IF(REV!AW470=0,"",REV!AW470)</f>
        <v>31.03.2026</v>
      </c>
      <c r="AX470" s="159" t="s">
        <v>66</v>
      </c>
    </row>
    <row r="471" spans="1:50" ht="22.5" customHeight="1">
      <c r="A471" s="50" t="s">
        <v>61</v>
      </c>
      <c r="B471" s="41" t="s">
        <v>62</v>
      </c>
      <c r="C471" s="42">
        <v>4014368</v>
      </c>
      <c r="D471" s="44" t="s">
        <v>665</v>
      </c>
      <c r="E471" s="44" t="s">
        <v>670</v>
      </c>
      <c r="F471" s="45"/>
      <c r="G471" s="45"/>
      <c r="H471" s="45"/>
      <c r="I471" s="45"/>
      <c r="J471" s="46">
        <f>IF(VLOOKUP($C471,REV!$C:$AA,8,0)-'TRADE IN'!$F471=0,"",(VLOOKUP($C471,REV!$C:$AA,8,0)-'TRADE IN'!$F471))</f>
        <v>69</v>
      </c>
      <c r="K471" s="46">
        <f>IF(VLOOKUP($C471,REV!$C:$AA,9,0)-'TRADE IN'!$F471=0,"",(VLOOKUP($C471,REV!$C:$AA,9,0)-'TRADE IN'!$F471))</f>
        <v>69</v>
      </c>
      <c r="L471" s="46">
        <f>IF(VLOOKUP($C471,REV!$C:$AA,10,0)-'TRADE IN'!$F480=0,"",(VLOOKUP($C471,REV!$C:$AA,10,0)-'TRADE IN'!$F471))</f>
        <v>69</v>
      </c>
      <c r="M471" s="46">
        <f>IF(VLOOKUP($C471,REV!$C:$AA,11,0)-'TRADE IN'!$F480=0,"",(VLOOKUP($C471,REV!$C:$AA,11,0)-'TRADE IN'!$F471))</f>
        <v>69</v>
      </c>
      <c r="N471" s="46">
        <f>IF(VLOOKUP($C471,REV!$C:$AA,12,0)-'TRADE IN'!$F480=0,"",(VLOOKUP($C471,REV!$C:$AA,12,0)-'TRADE IN'!$F471))</f>
        <v>69</v>
      </c>
      <c r="O471" s="46">
        <f>IF(VLOOKUP($C471,REV!$C:$AA,13,0)-'TRADE IN'!$F480=0,"",(VLOOKUP($C471,REV!$C:$AA,13,0)-'TRADE IN'!$F471))</f>
        <v>69</v>
      </c>
      <c r="P471" s="46">
        <f>IF(VLOOKUP($C471,REV!$C:$AA,14,0)-'TRADE IN'!$F480=0,"",(VLOOKUP($C471,REV!$C:$AA,14,0)-'TRADE IN'!$F471))</f>
        <v>69</v>
      </c>
      <c r="Q471" s="46">
        <f>IF(VLOOKUP($C471,REV!$C:$AA,15,0)-'TRADE IN'!$F480=0,"",(VLOOKUP($C471,REV!$C:$AA,15,0)-'TRADE IN'!$F471))</f>
        <v>69</v>
      </c>
      <c r="R471" s="46">
        <f>IF(VLOOKUP($C471,REV!$C:$AA,16,0)-'TRADE IN'!$F480=0,"",(VLOOKUP($C471,REV!$C:$AA,16,0)-'TRADE IN'!$F471))</f>
        <v>69</v>
      </c>
      <c r="S471" s="46">
        <f>IF(VLOOKUP($C471,REV!$C:$AA,17,0)-'TRADE IN'!$F480=0,"",(VLOOKUP($C471,REV!$C:$AA,17,0)-'TRADE IN'!$F471))</f>
        <v>69</v>
      </c>
      <c r="T471" s="46">
        <f>IF(VLOOKUP($C471,REV!$C:$AA,18,0)-'TRADE IN'!$F480=0,"",(VLOOKUP($C471,REV!$C:$AA,18,0)-'TRADE IN'!$F471))</f>
        <v>69</v>
      </c>
      <c r="U471" s="46">
        <f>IF(VLOOKUP($C471,REV!$C:$AA,19,0)-'TRADE IN'!$F480=0,"",(VLOOKUP($C471,REV!$C:$AA,19,0)-'TRADE IN'!$F471))</f>
        <v>69</v>
      </c>
      <c r="V471" s="46">
        <f>IF(VLOOKUP($C471,REV!$C:$AA,20,0)-'TRADE IN'!$F480=0,"",(VLOOKUP($C471,REV!$C:$AA,20,0)-'TRADE IN'!$F471))</f>
        <v>69</v>
      </c>
      <c r="W471" s="46">
        <f>IF(VLOOKUP($C471,REV!$C:$AA,21,0)-'TRADE IN'!$F480=0,"",(VLOOKUP($C471,REV!$C:$AA,21,0)-'TRADE IN'!$F471))</f>
        <v>69</v>
      </c>
      <c r="X471" s="46">
        <f>IF(VLOOKUP($C471,REV!$C:$AA,22,0)-'TRADE IN'!$F480=0,"",(VLOOKUP($C471,REV!$C:$AA,22,0)-'TRADE IN'!$F471))</f>
        <v>69</v>
      </c>
      <c r="Y471" s="46">
        <f>IF(VLOOKUP($C471,REV!$C:$AA,23,0)-'TRADE IN'!$F480=0,"",(VLOOKUP($C471,REV!$C:$AA,23,0)-'TRADE IN'!$F471))</f>
        <v>69</v>
      </c>
      <c r="Z471" s="46">
        <f>IF(VLOOKUP($C471,REV!$C:$AA,24,0)-'TRADE IN'!$F480=0,"",(VLOOKUP($C471,REV!$C:$AA,24,0)-'TRADE IN'!$F471))</f>
        <v>69</v>
      </c>
      <c r="AA471" s="46">
        <f>IF(VLOOKUP($C471,REV!$C:$AA,25,0)-'TRADE IN'!$F480=0,"",(VLOOKUP($C471,REV!$C:$AA,25,0)-'TRADE IN'!$F471))</f>
        <v>69</v>
      </c>
      <c r="AB471" s="46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7"/>
      <c r="AW471" s="48" t="str">
        <f>IF(REV!AW471=0,"",REV!AW471)</f>
        <v>31.03.2026</v>
      </c>
      <c r="AX471" s="159" t="s">
        <v>66</v>
      </c>
    </row>
    <row r="472" spans="1:50" ht="22.5" customHeight="1">
      <c r="A472" s="50" t="s">
        <v>61</v>
      </c>
      <c r="B472" s="41" t="s">
        <v>62</v>
      </c>
      <c r="C472" s="42">
        <v>4014841</v>
      </c>
      <c r="D472" s="44" t="s">
        <v>671</v>
      </c>
      <c r="E472" s="44" t="s">
        <v>672</v>
      </c>
      <c r="F472" s="45"/>
      <c r="G472" s="45"/>
      <c r="H472" s="45"/>
      <c r="I472" s="45"/>
      <c r="J472" s="46">
        <f>IF(VLOOKUP($C472,REV!$C:$AA,8,0)-'TRADE IN'!$F472=0,"",(VLOOKUP($C472,REV!$C:$AA,8,0)-'TRADE IN'!$F472))</f>
        <v>499</v>
      </c>
      <c r="K472" s="46">
        <f>IF(VLOOKUP($C472,REV!$C:$AA,9,0)-'TRADE IN'!$F472=0,"",(VLOOKUP($C472,REV!$C:$AA,9,0)-'TRADE IN'!$F472))</f>
        <v>499</v>
      </c>
      <c r="L472" s="46">
        <f>IF(VLOOKUP($C472,REV!$C:$AA,10,0)-'TRADE IN'!$F481=0,"",(VLOOKUP($C472,REV!$C:$AA,10,0)-'TRADE IN'!$F472))</f>
        <v>499</v>
      </c>
      <c r="M472" s="46">
        <f>IF(VLOOKUP($C472,REV!$C:$AA,11,0)-'TRADE IN'!$F481=0,"",(VLOOKUP($C472,REV!$C:$AA,11,0)-'TRADE IN'!$F472))</f>
        <v>499</v>
      </c>
      <c r="N472" s="46">
        <f>IF(VLOOKUP($C472,REV!$C:$AA,12,0)-'TRADE IN'!$F481=0,"",(VLOOKUP($C472,REV!$C:$AA,12,0)-'TRADE IN'!$F472))</f>
        <v>499</v>
      </c>
      <c r="O472" s="46">
        <f>IF(VLOOKUP($C472,REV!$C:$AA,13,0)-'TRADE IN'!$F481=0,"",(VLOOKUP($C472,REV!$C:$AA,13,0)-'TRADE IN'!$F472))</f>
        <v>449</v>
      </c>
      <c r="P472" s="46">
        <f>IF(VLOOKUP($C472,REV!$C:$AA,14,0)-'TRADE IN'!$F481=0,"",(VLOOKUP($C472,REV!$C:$AA,14,0)-'TRADE IN'!$F472))</f>
        <v>449</v>
      </c>
      <c r="Q472" s="46">
        <f>IF(VLOOKUP($C472,REV!$C:$AA,15,0)-'TRADE IN'!$F481=0,"",(VLOOKUP($C472,REV!$C:$AA,15,0)-'TRADE IN'!$F472))</f>
        <v>449</v>
      </c>
      <c r="R472" s="46">
        <f>IF(VLOOKUP($C472,REV!$C:$AA,16,0)-'TRADE IN'!$F481=0,"",(VLOOKUP($C472,REV!$C:$AA,16,0)-'TRADE IN'!$F472))</f>
        <v>449</v>
      </c>
      <c r="S472" s="46">
        <f>IF(VLOOKUP($C472,REV!$C:$AA,17,0)-'TRADE IN'!$F481=0,"",(VLOOKUP($C472,REV!$C:$AA,17,0)-'TRADE IN'!$F472))</f>
        <v>449</v>
      </c>
      <c r="T472" s="46">
        <f>IF(VLOOKUP($C472,REV!$C:$AA,18,0)-'TRADE IN'!$F481=0,"",(VLOOKUP($C472,REV!$C:$AA,18,0)-'TRADE IN'!$F472))</f>
        <v>449</v>
      </c>
      <c r="U472" s="46">
        <f>IF(VLOOKUP($C472,REV!$C:$AA,19,0)-'TRADE IN'!$F481=0,"",(VLOOKUP($C472,REV!$C:$AA,19,0)-'TRADE IN'!$F472))</f>
        <v>449</v>
      </c>
      <c r="V472" s="46">
        <f>IF(VLOOKUP($C472,REV!$C:$AA,20,0)-'TRADE IN'!$F481=0,"",(VLOOKUP($C472,REV!$C:$AA,20,0)-'TRADE IN'!$F472))</f>
        <v>449</v>
      </c>
      <c r="W472" s="46">
        <f>IF(VLOOKUP($C472,REV!$C:$AA,21,0)-'TRADE IN'!$F481=0,"",(VLOOKUP($C472,REV!$C:$AA,21,0)-'TRADE IN'!$F472))</f>
        <v>449</v>
      </c>
      <c r="X472" s="46">
        <f>IF(VLOOKUP($C472,REV!$C:$AA,22,0)-'TRADE IN'!$F481=0,"",(VLOOKUP($C472,REV!$C:$AA,22,0)-'TRADE IN'!$F472))</f>
        <v>449</v>
      </c>
      <c r="Y472" s="46">
        <f>IF(VLOOKUP($C472,REV!$C:$AA,23,0)-'TRADE IN'!$F481=0,"",(VLOOKUP($C472,REV!$C:$AA,23,0)-'TRADE IN'!$F472))</f>
        <v>449</v>
      </c>
      <c r="Z472" s="46">
        <f>IF(VLOOKUP($C472,REV!$C:$AA,24,0)-'TRADE IN'!$F481=0,"",(VLOOKUP($C472,REV!$C:$AA,24,0)-'TRADE IN'!$F472))</f>
        <v>449</v>
      </c>
      <c r="AA472" s="46">
        <f>IF(VLOOKUP($C472,REV!$C:$AA,25,0)-'TRADE IN'!$F481=0,"",(VLOOKUP($C472,REV!$C:$AA,25,0)-'TRADE IN'!$F472))</f>
        <v>449</v>
      </c>
      <c r="AB472" s="46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7"/>
      <c r="AW472" s="48" t="str">
        <f>IF(REV!AW472=0,"",REV!AW472)</f>
        <v>31.03.2026</v>
      </c>
      <c r="AX472" s="159" t="s">
        <v>82</v>
      </c>
    </row>
    <row r="473" spans="1:50" ht="22.5" customHeight="1">
      <c r="A473" s="50" t="s">
        <v>61</v>
      </c>
      <c r="B473" s="41" t="s">
        <v>62</v>
      </c>
      <c r="C473" s="42">
        <v>4014679</v>
      </c>
      <c r="D473" s="44" t="s">
        <v>671</v>
      </c>
      <c r="E473" s="44" t="s">
        <v>673</v>
      </c>
      <c r="F473" s="45"/>
      <c r="G473" s="45"/>
      <c r="H473" s="45"/>
      <c r="I473" s="45"/>
      <c r="J473" s="46">
        <f>IF(VLOOKUP($C473,REV!$C:$AA,8,0)-'TRADE IN'!$F473=0,"",(VLOOKUP($C473,REV!$C:$AA,8,0)-'TRADE IN'!$F473))</f>
        <v>499</v>
      </c>
      <c r="K473" s="46">
        <f>IF(VLOOKUP($C473,REV!$C:$AA,9,0)-'TRADE IN'!$F473=0,"",(VLOOKUP($C473,REV!$C:$AA,9,0)-'TRADE IN'!$F473))</f>
        <v>499</v>
      </c>
      <c r="L473" s="46">
        <f>IF(VLOOKUP($C473,REV!$C:$AA,10,0)-'TRADE IN'!$F482=0,"",(VLOOKUP($C473,REV!$C:$AA,10,0)-'TRADE IN'!$F473))</f>
        <v>499</v>
      </c>
      <c r="M473" s="46">
        <f>IF(VLOOKUP($C473,REV!$C:$AA,11,0)-'TRADE IN'!$F482=0,"",(VLOOKUP($C473,REV!$C:$AA,11,0)-'TRADE IN'!$F473))</f>
        <v>499</v>
      </c>
      <c r="N473" s="46">
        <f>IF(VLOOKUP($C473,REV!$C:$AA,12,0)-'TRADE IN'!$F482=0,"",(VLOOKUP($C473,REV!$C:$AA,12,0)-'TRADE IN'!$F473))</f>
        <v>499</v>
      </c>
      <c r="O473" s="46">
        <f>IF(VLOOKUP($C473,REV!$C:$AA,13,0)-'TRADE IN'!$F482=0,"",(VLOOKUP($C473,REV!$C:$AA,13,0)-'TRADE IN'!$F473))</f>
        <v>449</v>
      </c>
      <c r="P473" s="46">
        <f>IF(VLOOKUP($C473,REV!$C:$AA,14,0)-'TRADE IN'!$F482=0,"",(VLOOKUP($C473,REV!$C:$AA,14,0)-'TRADE IN'!$F473))</f>
        <v>449</v>
      </c>
      <c r="Q473" s="46">
        <f>IF(VLOOKUP($C473,REV!$C:$AA,15,0)-'TRADE IN'!$F482=0,"",(VLOOKUP($C473,REV!$C:$AA,15,0)-'TRADE IN'!$F473))</f>
        <v>449</v>
      </c>
      <c r="R473" s="46">
        <f>IF(VLOOKUP($C473,REV!$C:$AA,16,0)-'TRADE IN'!$F482=0,"",(VLOOKUP($C473,REV!$C:$AA,16,0)-'TRADE IN'!$F473))</f>
        <v>449</v>
      </c>
      <c r="S473" s="46">
        <f>IF(VLOOKUP($C473,REV!$C:$AA,17,0)-'TRADE IN'!$F482=0,"",(VLOOKUP($C473,REV!$C:$AA,17,0)-'TRADE IN'!$F473))</f>
        <v>449</v>
      </c>
      <c r="T473" s="46">
        <f>IF(VLOOKUP($C473,REV!$C:$AA,18,0)-'TRADE IN'!$F482=0,"",(VLOOKUP($C473,REV!$C:$AA,18,0)-'TRADE IN'!$F473))</f>
        <v>449</v>
      </c>
      <c r="U473" s="46">
        <f>IF(VLOOKUP($C473,REV!$C:$AA,19,0)-'TRADE IN'!$F482=0,"",(VLOOKUP($C473,REV!$C:$AA,19,0)-'TRADE IN'!$F473))</f>
        <v>449</v>
      </c>
      <c r="V473" s="46">
        <f>IF(VLOOKUP($C473,REV!$C:$AA,20,0)-'TRADE IN'!$F482=0,"",(VLOOKUP($C473,REV!$C:$AA,20,0)-'TRADE IN'!$F473))</f>
        <v>449</v>
      </c>
      <c r="W473" s="46">
        <f>IF(VLOOKUP($C473,REV!$C:$AA,21,0)-'TRADE IN'!$F482=0,"",(VLOOKUP($C473,REV!$C:$AA,21,0)-'TRADE IN'!$F473))</f>
        <v>449</v>
      </c>
      <c r="X473" s="46">
        <f>IF(VLOOKUP($C473,REV!$C:$AA,22,0)-'TRADE IN'!$F482=0,"",(VLOOKUP($C473,REV!$C:$AA,22,0)-'TRADE IN'!$F473))</f>
        <v>449</v>
      </c>
      <c r="Y473" s="46">
        <f>IF(VLOOKUP($C473,REV!$C:$AA,23,0)-'TRADE IN'!$F482=0,"",(VLOOKUP($C473,REV!$C:$AA,23,0)-'TRADE IN'!$F473))</f>
        <v>449</v>
      </c>
      <c r="Z473" s="46">
        <f>IF(VLOOKUP($C473,REV!$C:$AA,24,0)-'TRADE IN'!$F482=0,"",(VLOOKUP($C473,REV!$C:$AA,24,0)-'TRADE IN'!$F473))</f>
        <v>449</v>
      </c>
      <c r="AA473" s="46">
        <f>IF(VLOOKUP($C473,REV!$C:$AA,25,0)-'TRADE IN'!$F482=0,"",(VLOOKUP($C473,REV!$C:$AA,25,0)-'TRADE IN'!$F473))</f>
        <v>449</v>
      </c>
      <c r="AB473" s="46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7"/>
      <c r="AW473" s="48" t="str">
        <f>IF(REV!AW473=0,"",REV!AW473)</f>
        <v>31.03.2026</v>
      </c>
      <c r="AX473" s="159" t="s">
        <v>82</v>
      </c>
    </row>
    <row r="474" spans="1:50" ht="22.5" customHeight="1">
      <c r="A474" s="50" t="s">
        <v>61</v>
      </c>
      <c r="B474" s="41" t="s">
        <v>62</v>
      </c>
      <c r="C474" s="42">
        <v>4014855</v>
      </c>
      <c r="D474" s="44" t="s">
        <v>674</v>
      </c>
      <c r="E474" s="44" t="s">
        <v>675</v>
      </c>
      <c r="F474" s="45"/>
      <c r="G474" s="45"/>
      <c r="H474" s="45"/>
      <c r="I474" s="45"/>
      <c r="J474" s="46">
        <f>IF(VLOOKUP($C474,REV!$C:$AA,8,0)-'TRADE IN'!$F474=0,"",(VLOOKUP($C474,REV!$C:$AA,8,0)-'TRADE IN'!$F474))</f>
        <v>499</v>
      </c>
      <c r="K474" s="46">
        <f>IF(VLOOKUP($C474,REV!$C:$AA,9,0)-'TRADE IN'!$F474=0,"",(VLOOKUP($C474,REV!$C:$AA,9,0)-'TRADE IN'!$F474))</f>
        <v>499</v>
      </c>
      <c r="L474" s="46">
        <f>IF(VLOOKUP($C474,REV!$C:$AA,10,0)-'TRADE IN'!$F483=0,"",(VLOOKUP($C474,REV!$C:$AA,10,0)-'TRADE IN'!$F474))</f>
        <v>499</v>
      </c>
      <c r="M474" s="46">
        <f>IF(VLOOKUP($C474,REV!$C:$AA,11,0)-'TRADE IN'!$F483=0,"",(VLOOKUP($C474,REV!$C:$AA,11,0)-'TRADE IN'!$F474))</f>
        <v>499</v>
      </c>
      <c r="N474" s="46">
        <f>IF(VLOOKUP($C474,REV!$C:$AA,12,0)-'TRADE IN'!$F483=0,"",(VLOOKUP($C474,REV!$C:$AA,12,0)-'TRADE IN'!$F474))</f>
        <v>499</v>
      </c>
      <c r="O474" s="46">
        <f>IF(VLOOKUP($C474,REV!$C:$AA,13,0)-'TRADE IN'!$F483=0,"",(VLOOKUP($C474,REV!$C:$AA,13,0)-'TRADE IN'!$F474))</f>
        <v>449</v>
      </c>
      <c r="P474" s="46">
        <f>IF(VLOOKUP($C474,REV!$C:$AA,14,0)-'TRADE IN'!$F483=0,"",(VLOOKUP($C474,REV!$C:$AA,14,0)-'TRADE IN'!$F474))</f>
        <v>399</v>
      </c>
      <c r="Q474" s="46">
        <f>IF(VLOOKUP($C474,REV!$C:$AA,15,0)-'TRADE IN'!$F483=0,"",(VLOOKUP($C474,REV!$C:$AA,15,0)-'TRADE IN'!$F474))</f>
        <v>349</v>
      </c>
      <c r="R474" s="46">
        <f>IF(VLOOKUP($C474,REV!$C:$AA,16,0)-'TRADE IN'!$F483=0,"",(VLOOKUP($C474,REV!$C:$AA,16,0)-'TRADE IN'!$F474))</f>
        <v>449</v>
      </c>
      <c r="S474" s="46">
        <f>IF(VLOOKUP($C474,REV!$C:$AA,17,0)-'TRADE IN'!$F483=0,"",(VLOOKUP($C474,REV!$C:$AA,17,0)-'TRADE IN'!$F474))</f>
        <v>399</v>
      </c>
      <c r="T474" s="46">
        <f>IF(VLOOKUP($C474,REV!$C:$AA,18,0)-'TRADE IN'!$F483=0,"",(VLOOKUP($C474,REV!$C:$AA,18,0)-'TRADE IN'!$F474))</f>
        <v>349</v>
      </c>
      <c r="U474" s="46">
        <f>IF(VLOOKUP($C474,REV!$C:$AA,19,0)-'TRADE IN'!$F483=0,"",(VLOOKUP($C474,REV!$C:$AA,19,0)-'TRADE IN'!$F474))</f>
        <v>349</v>
      </c>
      <c r="V474" s="46">
        <f>IF(VLOOKUP($C474,REV!$C:$AA,20,0)-'TRADE IN'!$F483=0,"",(VLOOKUP($C474,REV!$C:$AA,20,0)-'TRADE IN'!$F474))</f>
        <v>349</v>
      </c>
      <c r="W474" s="46">
        <f>IF(VLOOKUP($C474,REV!$C:$AA,21,0)-'TRADE IN'!$F483=0,"",(VLOOKUP($C474,REV!$C:$AA,21,0)-'TRADE IN'!$F474))</f>
        <v>349</v>
      </c>
      <c r="X474" s="46">
        <f>IF(VLOOKUP($C474,REV!$C:$AA,22,0)-'TRADE IN'!$F483=0,"",(VLOOKUP($C474,REV!$C:$AA,22,0)-'TRADE IN'!$F474))</f>
        <v>349</v>
      </c>
      <c r="Y474" s="46">
        <f>IF(VLOOKUP($C474,REV!$C:$AA,23,0)-'TRADE IN'!$F483=0,"",(VLOOKUP($C474,REV!$C:$AA,23,0)-'TRADE IN'!$F474))</f>
        <v>349</v>
      </c>
      <c r="Z474" s="46">
        <f>IF(VLOOKUP($C474,REV!$C:$AA,24,0)-'TRADE IN'!$F483=0,"",(VLOOKUP($C474,REV!$C:$AA,24,0)-'TRADE IN'!$F474))</f>
        <v>349</v>
      </c>
      <c r="AA474" s="46">
        <f>IF(VLOOKUP($C474,REV!$C:$AA,25,0)-'TRADE IN'!$F483=0,"",(VLOOKUP($C474,REV!$C:$AA,25,0)-'TRADE IN'!$F474))</f>
        <v>349</v>
      </c>
      <c r="AB474" s="46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7"/>
      <c r="AW474" s="48" t="str">
        <f>IF(REV!AW474=0,"",REV!AW474)</f>
        <v>31.03.2026</v>
      </c>
      <c r="AX474" s="159" t="s">
        <v>66</v>
      </c>
    </row>
    <row r="475" spans="1:50" ht="22.5" customHeight="1">
      <c r="A475" s="50" t="s">
        <v>61</v>
      </c>
      <c r="B475" s="41" t="s">
        <v>62</v>
      </c>
      <c r="C475" s="42">
        <v>4014856</v>
      </c>
      <c r="D475" s="44" t="s">
        <v>674</v>
      </c>
      <c r="E475" s="44" t="s">
        <v>676</v>
      </c>
      <c r="F475" s="45"/>
      <c r="G475" s="45"/>
      <c r="H475" s="45"/>
      <c r="I475" s="45"/>
      <c r="J475" s="46">
        <f>IF(VLOOKUP($C475,REV!$C:$AA,8,0)-'TRADE IN'!$F475=0,"",(VLOOKUP($C475,REV!$C:$AA,8,0)-'TRADE IN'!$F475))</f>
        <v>499</v>
      </c>
      <c r="K475" s="46">
        <f>IF(VLOOKUP($C475,REV!$C:$AA,9,0)-'TRADE IN'!$F475=0,"",(VLOOKUP($C475,REV!$C:$AA,9,0)-'TRADE IN'!$F475))</f>
        <v>499</v>
      </c>
      <c r="L475" s="46">
        <f>IF(VLOOKUP($C475,REV!$C:$AA,10,0)-'TRADE IN'!$F484=0,"",(VLOOKUP($C475,REV!$C:$AA,10,0)-'TRADE IN'!$F475))</f>
        <v>499</v>
      </c>
      <c r="M475" s="46">
        <f>IF(VLOOKUP($C475,REV!$C:$AA,11,0)-'TRADE IN'!$F484=0,"",(VLOOKUP($C475,REV!$C:$AA,11,0)-'TRADE IN'!$F475))</f>
        <v>499</v>
      </c>
      <c r="N475" s="46">
        <f>IF(VLOOKUP($C475,REV!$C:$AA,12,0)-'TRADE IN'!$F484=0,"",(VLOOKUP($C475,REV!$C:$AA,12,0)-'TRADE IN'!$F475))</f>
        <v>499</v>
      </c>
      <c r="O475" s="46">
        <f>IF(VLOOKUP($C475,REV!$C:$AA,13,0)-'TRADE IN'!$F484=0,"",(VLOOKUP($C475,REV!$C:$AA,13,0)-'TRADE IN'!$F475))</f>
        <v>449</v>
      </c>
      <c r="P475" s="46">
        <f>IF(VLOOKUP($C475,REV!$C:$AA,14,0)-'TRADE IN'!$F484=0,"",(VLOOKUP($C475,REV!$C:$AA,14,0)-'TRADE IN'!$F475))</f>
        <v>399</v>
      </c>
      <c r="Q475" s="46">
        <f>IF(VLOOKUP($C475,REV!$C:$AA,15,0)-'TRADE IN'!$F484=0,"",(VLOOKUP($C475,REV!$C:$AA,15,0)-'TRADE IN'!$F475))</f>
        <v>349</v>
      </c>
      <c r="R475" s="46">
        <f>IF(VLOOKUP($C475,REV!$C:$AA,16,0)-'TRADE IN'!$F484=0,"",(VLOOKUP($C475,REV!$C:$AA,16,0)-'TRADE IN'!$F475))</f>
        <v>449</v>
      </c>
      <c r="S475" s="46">
        <f>IF(VLOOKUP($C475,REV!$C:$AA,17,0)-'TRADE IN'!$F484=0,"",(VLOOKUP($C475,REV!$C:$AA,17,0)-'TRADE IN'!$F475))</f>
        <v>399</v>
      </c>
      <c r="T475" s="46">
        <f>IF(VLOOKUP($C475,REV!$C:$AA,18,0)-'TRADE IN'!$F484=0,"",(VLOOKUP($C475,REV!$C:$AA,18,0)-'TRADE IN'!$F475))</f>
        <v>349</v>
      </c>
      <c r="U475" s="46">
        <f>IF(VLOOKUP($C475,REV!$C:$AA,19,0)-'TRADE IN'!$F484=0,"",(VLOOKUP($C475,REV!$C:$AA,19,0)-'TRADE IN'!$F475))</f>
        <v>349</v>
      </c>
      <c r="V475" s="46">
        <f>IF(VLOOKUP($C475,REV!$C:$AA,20,0)-'TRADE IN'!$F484=0,"",(VLOOKUP($C475,REV!$C:$AA,20,0)-'TRADE IN'!$F475))</f>
        <v>349</v>
      </c>
      <c r="W475" s="46">
        <f>IF(VLOOKUP($C475,REV!$C:$AA,21,0)-'TRADE IN'!$F484=0,"",(VLOOKUP($C475,REV!$C:$AA,21,0)-'TRADE IN'!$F475))</f>
        <v>349</v>
      </c>
      <c r="X475" s="46">
        <f>IF(VLOOKUP($C475,REV!$C:$AA,22,0)-'TRADE IN'!$F484=0,"",(VLOOKUP($C475,REV!$C:$AA,22,0)-'TRADE IN'!$F475))</f>
        <v>349</v>
      </c>
      <c r="Y475" s="46">
        <f>IF(VLOOKUP($C475,REV!$C:$AA,23,0)-'TRADE IN'!$F484=0,"",(VLOOKUP($C475,REV!$C:$AA,23,0)-'TRADE IN'!$F475))</f>
        <v>349</v>
      </c>
      <c r="Z475" s="46">
        <f>IF(VLOOKUP($C475,REV!$C:$AA,24,0)-'TRADE IN'!$F484=0,"",(VLOOKUP($C475,REV!$C:$AA,24,0)-'TRADE IN'!$F475))</f>
        <v>349</v>
      </c>
      <c r="AA475" s="46">
        <f>IF(VLOOKUP($C475,REV!$C:$AA,25,0)-'TRADE IN'!$F484=0,"",(VLOOKUP($C475,REV!$C:$AA,25,0)-'TRADE IN'!$F475))</f>
        <v>349</v>
      </c>
      <c r="AB475" s="46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7"/>
      <c r="AW475" s="48" t="str">
        <f>IF(REV!AW475=0,"",REV!AW475)</f>
        <v>31.03.2026</v>
      </c>
      <c r="AX475" s="159" t="s">
        <v>66</v>
      </c>
    </row>
    <row r="476" spans="1:50" ht="22.5" customHeight="1">
      <c r="A476" s="50" t="s">
        <v>61</v>
      </c>
      <c r="B476" s="41" t="s">
        <v>62</v>
      </c>
      <c r="C476" s="42">
        <v>4014858</v>
      </c>
      <c r="D476" s="44" t="s">
        <v>674</v>
      </c>
      <c r="E476" s="44" t="s">
        <v>677</v>
      </c>
      <c r="F476" s="45"/>
      <c r="G476" s="45"/>
      <c r="H476" s="45"/>
      <c r="I476" s="45"/>
      <c r="J476" s="46">
        <f>IF(VLOOKUP($C476,REV!$C:$AA,8,0)-'TRADE IN'!$F476=0,"",(VLOOKUP($C476,REV!$C:$AA,8,0)-'TRADE IN'!$F476))</f>
        <v>499</v>
      </c>
      <c r="K476" s="46">
        <f>IF(VLOOKUP($C476,REV!$C:$AA,9,0)-'TRADE IN'!$F476=0,"",(VLOOKUP($C476,REV!$C:$AA,9,0)-'TRADE IN'!$F476))</f>
        <v>499</v>
      </c>
      <c r="L476" s="46">
        <f>IF(VLOOKUP($C476,REV!$C:$AA,10,0)-'TRADE IN'!$F485=0,"",(VLOOKUP($C476,REV!$C:$AA,10,0)-'TRADE IN'!$F476))</f>
        <v>499</v>
      </c>
      <c r="M476" s="46">
        <f>IF(VLOOKUP($C476,REV!$C:$AA,11,0)-'TRADE IN'!$F485=0,"",(VLOOKUP($C476,REV!$C:$AA,11,0)-'TRADE IN'!$F476))</f>
        <v>499</v>
      </c>
      <c r="N476" s="46">
        <f>IF(VLOOKUP($C476,REV!$C:$AA,12,0)-'TRADE IN'!$F485=0,"",(VLOOKUP($C476,REV!$C:$AA,12,0)-'TRADE IN'!$F476))</f>
        <v>499</v>
      </c>
      <c r="O476" s="46">
        <f>IF(VLOOKUP($C476,REV!$C:$AA,13,0)-'TRADE IN'!$F485=0,"",(VLOOKUP($C476,REV!$C:$AA,13,0)-'TRADE IN'!$F476))</f>
        <v>449</v>
      </c>
      <c r="P476" s="46">
        <f>IF(VLOOKUP($C476,REV!$C:$AA,14,0)-'TRADE IN'!$F485=0,"",(VLOOKUP($C476,REV!$C:$AA,14,0)-'TRADE IN'!$F476))</f>
        <v>399</v>
      </c>
      <c r="Q476" s="46">
        <f>IF(VLOOKUP($C476,REV!$C:$AA,15,0)-'TRADE IN'!$F485=0,"",(VLOOKUP($C476,REV!$C:$AA,15,0)-'TRADE IN'!$F476))</f>
        <v>349</v>
      </c>
      <c r="R476" s="46">
        <f>IF(VLOOKUP($C476,REV!$C:$AA,16,0)-'TRADE IN'!$F485=0,"",(VLOOKUP($C476,REV!$C:$AA,16,0)-'TRADE IN'!$F476))</f>
        <v>449</v>
      </c>
      <c r="S476" s="46">
        <f>IF(VLOOKUP($C476,REV!$C:$AA,17,0)-'TRADE IN'!$F485=0,"",(VLOOKUP($C476,REV!$C:$AA,17,0)-'TRADE IN'!$F476))</f>
        <v>399</v>
      </c>
      <c r="T476" s="46">
        <f>IF(VLOOKUP($C476,REV!$C:$AA,18,0)-'TRADE IN'!$F485=0,"",(VLOOKUP($C476,REV!$C:$AA,18,0)-'TRADE IN'!$F476))</f>
        <v>349</v>
      </c>
      <c r="U476" s="46">
        <f>IF(VLOOKUP($C476,REV!$C:$AA,19,0)-'TRADE IN'!$F485=0,"",(VLOOKUP($C476,REV!$C:$AA,19,0)-'TRADE IN'!$F476))</f>
        <v>349</v>
      </c>
      <c r="V476" s="46">
        <f>IF(VLOOKUP($C476,REV!$C:$AA,20,0)-'TRADE IN'!$F485=0,"",(VLOOKUP($C476,REV!$C:$AA,20,0)-'TRADE IN'!$F476))</f>
        <v>349</v>
      </c>
      <c r="W476" s="46">
        <f>IF(VLOOKUP($C476,REV!$C:$AA,21,0)-'TRADE IN'!$F485=0,"",(VLOOKUP($C476,REV!$C:$AA,21,0)-'TRADE IN'!$F476))</f>
        <v>349</v>
      </c>
      <c r="X476" s="46">
        <f>IF(VLOOKUP($C476,REV!$C:$AA,22,0)-'TRADE IN'!$F485=0,"",(VLOOKUP($C476,REV!$C:$AA,22,0)-'TRADE IN'!$F476))</f>
        <v>349</v>
      </c>
      <c r="Y476" s="46">
        <f>IF(VLOOKUP($C476,REV!$C:$AA,23,0)-'TRADE IN'!$F485=0,"",(VLOOKUP($C476,REV!$C:$AA,23,0)-'TRADE IN'!$F476))</f>
        <v>349</v>
      </c>
      <c r="Z476" s="46">
        <f>IF(VLOOKUP($C476,REV!$C:$AA,24,0)-'TRADE IN'!$F485=0,"",(VLOOKUP($C476,REV!$C:$AA,24,0)-'TRADE IN'!$F476))</f>
        <v>349</v>
      </c>
      <c r="AA476" s="46">
        <f>IF(VLOOKUP($C476,REV!$C:$AA,25,0)-'TRADE IN'!$F485=0,"",(VLOOKUP($C476,REV!$C:$AA,25,0)-'TRADE IN'!$F476))</f>
        <v>349</v>
      </c>
      <c r="AB476" s="46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7"/>
      <c r="AW476" s="48" t="str">
        <f>IF(REV!AW476=0,"",REV!AW476)</f>
        <v>31.03.2026</v>
      </c>
      <c r="AX476" s="159" t="s">
        <v>66</v>
      </c>
    </row>
    <row r="477" spans="1:50" ht="22.5" customHeight="1">
      <c r="A477" s="50" t="s">
        <v>61</v>
      </c>
      <c r="B477" s="41" t="s">
        <v>62</v>
      </c>
      <c r="C477" s="42">
        <v>4014859</v>
      </c>
      <c r="D477" s="44" t="s">
        <v>674</v>
      </c>
      <c r="E477" s="44" t="s">
        <v>678</v>
      </c>
      <c r="F477" s="45"/>
      <c r="G477" s="45"/>
      <c r="H477" s="45"/>
      <c r="I477" s="45"/>
      <c r="J477" s="46">
        <f>IF(VLOOKUP($C477,REV!$C:$AA,8,0)-'TRADE IN'!$F477=0,"",(VLOOKUP($C477,REV!$C:$AA,8,0)-'TRADE IN'!$F477))</f>
        <v>499</v>
      </c>
      <c r="K477" s="46">
        <f>IF(VLOOKUP($C477,REV!$C:$AA,9,0)-'TRADE IN'!$F477=0,"",(VLOOKUP($C477,REV!$C:$AA,9,0)-'TRADE IN'!$F477))</f>
        <v>499</v>
      </c>
      <c r="L477" s="46">
        <f>IF(VLOOKUP($C477,REV!$C:$AA,10,0)-'TRADE IN'!$F486=0,"",(VLOOKUP($C477,REV!$C:$AA,10,0)-'TRADE IN'!$F477))</f>
        <v>499</v>
      </c>
      <c r="M477" s="46">
        <f>IF(VLOOKUP($C477,REV!$C:$AA,11,0)-'TRADE IN'!$F486=0,"",(VLOOKUP($C477,REV!$C:$AA,11,0)-'TRADE IN'!$F477))</f>
        <v>499</v>
      </c>
      <c r="N477" s="46">
        <f>IF(VLOOKUP($C477,REV!$C:$AA,12,0)-'TRADE IN'!$F486=0,"",(VLOOKUP($C477,REV!$C:$AA,12,0)-'TRADE IN'!$F477))</f>
        <v>499</v>
      </c>
      <c r="O477" s="46">
        <f>IF(VLOOKUP($C477,REV!$C:$AA,13,0)-'TRADE IN'!$F486=0,"",(VLOOKUP($C477,REV!$C:$AA,13,0)-'TRADE IN'!$F477))</f>
        <v>449</v>
      </c>
      <c r="P477" s="46">
        <f>IF(VLOOKUP($C477,REV!$C:$AA,14,0)-'TRADE IN'!$F486=0,"",(VLOOKUP($C477,REV!$C:$AA,14,0)-'TRADE IN'!$F477))</f>
        <v>399</v>
      </c>
      <c r="Q477" s="46">
        <f>IF(VLOOKUP($C477,REV!$C:$AA,15,0)-'TRADE IN'!$F486=0,"",(VLOOKUP($C477,REV!$C:$AA,15,0)-'TRADE IN'!$F477))</f>
        <v>349</v>
      </c>
      <c r="R477" s="46">
        <f>IF(VLOOKUP($C477,REV!$C:$AA,16,0)-'TRADE IN'!$F486=0,"",(VLOOKUP($C477,REV!$C:$AA,16,0)-'TRADE IN'!$F477))</f>
        <v>449</v>
      </c>
      <c r="S477" s="46">
        <f>IF(VLOOKUP($C477,REV!$C:$AA,17,0)-'TRADE IN'!$F486=0,"",(VLOOKUP($C477,REV!$C:$AA,17,0)-'TRADE IN'!$F477))</f>
        <v>399</v>
      </c>
      <c r="T477" s="46">
        <f>IF(VLOOKUP($C477,REV!$C:$AA,18,0)-'TRADE IN'!$F486=0,"",(VLOOKUP($C477,REV!$C:$AA,18,0)-'TRADE IN'!$F477))</f>
        <v>349</v>
      </c>
      <c r="U477" s="46">
        <f>IF(VLOOKUP($C477,REV!$C:$AA,19,0)-'TRADE IN'!$F486=0,"",(VLOOKUP($C477,REV!$C:$AA,19,0)-'TRADE IN'!$F477))</f>
        <v>349</v>
      </c>
      <c r="V477" s="46">
        <f>IF(VLOOKUP($C477,REV!$C:$AA,20,0)-'TRADE IN'!$F486=0,"",(VLOOKUP($C477,REV!$C:$AA,20,0)-'TRADE IN'!$F477))</f>
        <v>349</v>
      </c>
      <c r="W477" s="46">
        <f>IF(VLOOKUP($C477,REV!$C:$AA,21,0)-'TRADE IN'!$F486=0,"",(VLOOKUP($C477,REV!$C:$AA,21,0)-'TRADE IN'!$F477))</f>
        <v>349</v>
      </c>
      <c r="X477" s="46">
        <f>IF(VLOOKUP($C477,REV!$C:$AA,22,0)-'TRADE IN'!$F486=0,"",(VLOOKUP($C477,REV!$C:$AA,22,0)-'TRADE IN'!$F477))</f>
        <v>349</v>
      </c>
      <c r="Y477" s="46">
        <f>IF(VLOOKUP($C477,REV!$C:$AA,23,0)-'TRADE IN'!$F486=0,"",(VLOOKUP($C477,REV!$C:$AA,23,0)-'TRADE IN'!$F477))</f>
        <v>349</v>
      </c>
      <c r="Z477" s="46">
        <f>IF(VLOOKUP($C477,REV!$C:$AA,24,0)-'TRADE IN'!$F486=0,"",(VLOOKUP($C477,REV!$C:$AA,24,0)-'TRADE IN'!$F477))</f>
        <v>349</v>
      </c>
      <c r="AA477" s="46">
        <f>IF(VLOOKUP($C477,REV!$C:$AA,25,0)-'TRADE IN'!$F486=0,"",(VLOOKUP($C477,REV!$C:$AA,25,0)-'TRADE IN'!$F477))</f>
        <v>349</v>
      </c>
      <c r="AB477" s="46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7"/>
      <c r="AW477" s="48" t="str">
        <f>IF(REV!AW477=0,"",REV!AW477)</f>
        <v>31.03.2026</v>
      </c>
      <c r="AX477" s="159" t="s">
        <v>66</v>
      </c>
    </row>
    <row r="478" spans="1:50" ht="22.5" customHeight="1">
      <c r="A478" s="50" t="s">
        <v>61</v>
      </c>
      <c r="B478" s="41" t="s">
        <v>62</v>
      </c>
      <c r="C478" s="42">
        <v>4014850</v>
      </c>
      <c r="D478" s="44" t="s">
        <v>674</v>
      </c>
      <c r="E478" s="44" t="s">
        <v>679</v>
      </c>
      <c r="F478" s="45"/>
      <c r="G478" s="45"/>
      <c r="H478" s="45"/>
      <c r="I478" s="45"/>
      <c r="J478" s="46">
        <f>IF(VLOOKUP($C478,REV!$C:$AA,8,0)-'TRADE IN'!$F478=0,"",(VLOOKUP($C478,REV!$C:$AA,8,0)-'TRADE IN'!$F478))</f>
        <v>499</v>
      </c>
      <c r="K478" s="46">
        <f>IF(VLOOKUP($C478,REV!$C:$AA,9,0)-'TRADE IN'!$F478=0,"",(VLOOKUP($C478,REV!$C:$AA,9,0)-'TRADE IN'!$F478))</f>
        <v>499</v>
      </c>
      <c r="L478" s="46">
        <f>IF(VLOOKUP($C478,REV!$C:$AA,10,0)-'TRADE IN'!$F487=0,"",(VLOOKUP($C478,REV!$C:$AA,10,0)-'TRADE IN'!$F478))</f>
        <v>499</v>
      </c>
      <c r="M478" s="46">
        <f>IF(VLOOKUP($C478,REV!$C:$AA,11,0)-'TRADE IN'!$F487=0,"",(VLOOKUP($C478,REV!$C:$AA,11,0)-'TRADE IN'!$F478))</f>
        <v>499</v>
      </c>
      <c r="N478" s="46">
        <f>IF(VLOOKUP($C478,REV!$C:$AA,12,0)-'TRADE IN'!$F487=0,"",(VLOOKUP($C478,REV!$C:$AA,12,0)-'TRADE IN'!$F478))</f>
        <v>499</v>
      </c>
      <c r="O478" s="46">
        <f>IF(VLOOKUP($C478,REV!$C:$AA,13,0)-'TRADE IN'!$F487=0,"",(VLOOKUP($C478,REV!$C:$AA,13,0)-'TRADE IN'!$F478))</f>
        <v>449</v>
      </c>
      <c r="P478" s="46">
        <f>IF(VLOOKUP($C478,REV!$C:$AA,14,0)-'TRADE IN'!$F487=0,"",(VLOOKUP($C478,REV!$C:$AA,14,0)-'TRADE IN'!$F478))</f>
        <v>399</v>
      </c>
      <c r="Q478" s="46">
        <f>IF(VLOOKUP($C478,REV!$C:$AA,15,0)-'TRADE IN'!$F487=0,"",(VLOOKUP($C478,REV!$C:$AA,15,0)-'TRADE IN'!$F478))</f>
        <v>349</v>
      </c>
      <c r="R478" s="46">
        <f>IF(VLOOKUP($C478,REV!$C:$AA,16,0)-'TRADE IN'!$F487=0,"",(VLOOKUP($C478,REV!$C:$AA,16,0)-'TRADE IN'!$F478))</f>
        <v>449</v>
      </c>
      <c r="S478" s="46">
        <f>IF(VLOOKUP($C478,REV!$C:$AA,17,0)-'TRADE IN'!$F487=0,"",(VLOOKUP($C478,REV!$C:$AA,17,0)-'TRADE IN'!$F478))</f>
        <v>399</v>
      </c>
      <c r="T478" s="46">
        <f>IF(VLOOKUP($C478,REV!$C:$AA,18,0)-'TRADE IN'!$F487=0,"",(VLOOKUP($C478,REV!$C:$AA,18,0)-'TRADE IN'!$F478))</f>
        <v>349</v>
      </c>
      <c r="U478" s="46">
        <f>IF(VLOOKUP($C478,REV!$C:$AA,19,0)-'TRADE IN'!$F487=0,"",(VLOOKUP($C478,REV!$C:$AA,19,0)-'TRADE IN'!$F478))</f>
        <v>349</v>
      </c>
      <c r="V478" s="46">
        <f>IF(VLOOKUP($C478,REV!$C:$AA,20,0)-'TRADE IN'!$F487=0,"",(VLOOKUP($C478,REV!$C:$AA,20,0)-'TRADE IN'!$F478))</f>
        <v>349</v>
      </c>
      <c r="W478" s="46">
        <f>IF(VLOOKUP($C478,REV!$C:$AA,21,0)-'TRADE IN'!$F487=0,"",(VLOOKUP($C478,REV!$C:$AA,21,0)-'TRADE IN'!$F478))</f>
        <v>349</v>
      </c>
      <c r="X478" s="46">
        <f>IF(VLOOKUP($C478,REV!$C:$AA,22,0)-'TRADE IN'!$F487=0,"",(VLOOKUP($C478,REV!$C:$AA,22,0)-'TRADE IN'!$F478))</f>
        <v>349</v>
      </c>
      <c r="Y478" s="46">
        <f>IF(VLOOKUP($C478,REV!$C:$AA,23,0)-'TRADE IN'!$F487=0,"",(VLOOKUP($C478,REV!$C:$AA,23,0)-'TRADE IN'!$F478))</f>
        <v>349</v>
      </c>
      <c r="Z478" s="46">
        <f>IF(VLOOKUP($C478,REV!$C:$AA,24,0)-'TRADE IN'!$F487=0,"",(VLOOKUP($C478,REV!$C:$AA,24,0)-'TRADE IN'!$F478))</f>
        <v>349</v>
      </c>
      <c r="AA478" s="46">
        <f>IF(VLOOKUP($C478,REV!$C:$AA,25,0)-'TRADE IN'!$F487=0,"",(VLOOKUP($C478,REV!$C:$AA,25,0)-'TRADE IN'!$F478))</f>
        <v>349</v>
      </c>
      <c r="AB478" s="46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7"/>
      <c r="AW478" s="48" t="str">
        <f>IF(REV!AW478=0,"",REV!AW478)</f>
        <v>31.03.2026</v>
      </c>
      <c r="AX478" s="159" t="s">
        <v>66</v>
      </c>
    </row>
    <row r="479" spans="1:50" ht="22.5" customHeight="1">
      <c r="A479" s="50" t="s">
        <v>61</v>
      </c>
      <c r="B479" s="41" t="s">
        <v>62</v>
      </c>
      <c r="C479" s="42">
        <v>4014852</v>
      </c>
      <c r="D479" s="44" t="s">
        <v>674</v>
      </c>
      <c r="E479" s="44" t="s">
        <v>680</v>
      </c>
      <c r="F479" s="45"/>
      <c r="G479" s="45"/>
      <c r="H479" s="45"/>
      <c r="I479" s="45"/>
      <c r="J479" s="46">
        <f>IF(VLOOKUP($C479,REV!$C:$AA,8,0)-'TRADE IN'!$F479=0,"",(VLOOKUP($C479,REV!$C:$AA,8,0)-'TRADE IN'!$F479))</f>
        <v>499</v>
      </c>
      <c r="K479" s="46">
        <f>IF(VLOOKUP($C479,REV!$C:$AA,9,0)-'TRADE IN'!$F479=0,"",(VLOOKUP($C479,REV!$C:$AA,9,0)-'TRADE IN'!$F479))</f>
        <v>499</v>
      </c>
      <c r="L479" s="46">
        <f>IF(VLOOKUP($C479,REV!$C:$AA,10,0)-'TRADE IN'!$F488=0,"",(VLOOKUP($C479,REV!$C:$AA,10,0)-'TRADE IN'!$F479))</f>
        <v>499</v>
      </c>
      <c r="M479" s="46">
        <f>IF(VLOOKUP($C479,REV!$C:$AA,11,0)-'TRADE IN'!$F488=0,"",(VLOOKUP($C479,REV!$C:$AA,11,0)-'TRADE IN'!$F479))</f>
        <v>499</v>
      </c>
      <c r="N479" s="46">
        <f>IF(VLOOKUP($C479,REV!$C:$AA,12,0)-'TRADE IN'!$F488=0,"",(VLOOKUP($C479,REV!$C:$AA,12,0)-'TRADE IN'!$F479))</f>
        <v>499</v>
      </c>
      <c r="O479" s="46">
        <f>IF(VLOOKUP($C479,REV!$C:$AA,13,0)-'TRADE IN'!$F488=0,"",(VLOOKUP($C479,REV!$C:$AA,13,0)-'TRADE IN'!$F479))</f>
        <v>449</v>
      </c>
      <c r="P479" s="46">
        <f>IF(VLOOKUP($C479,REV!$C:$AA,14,0)-'TRADE IN'!$F488=0,"",(VLOOKUP($C479,REV!$C:$AA,14,0)-'TRADE IN'!$F479))</f>
        <v>399</v>
      </c>
      <c r="Q479" s="46">
        <f>IF(VLOOKUP($C479,REV!$C:$AA,15,0)-'TRADE IN'!$F488=0,"",(VLOOKUP($C479,REV!$C:$AA,15,0)-'TRADE IN'!$F479))</f>
        <v>349</v>
      </c>
      <c r="R479" s="46">
        <f>IF(VLOOKUP($C479,REV!$C:$AA,16,0)-'TRADE IN'!$F488=0,"",(VLOOKUP($C479,REV!$C:$AA,16,0)-'TRADE IN'!$F479))</f>
        <v>449</v>
      </c>
      <c r="S479" s="46">
        <f>IF(VLOOKUP($C479,REV!$C:$AA,17,0)-'TRADE IN'!$F488=0,"",(VLOOKUP($C479,REV!$C:$AA,17,0)-'TRADE IN'!$F479))</f>
        <v>399</v>
      </c>
      <c r="T479" s="46">
        <f>IF(VLOOKUP($C479,REV!$C:$AA,18,0)-'TRADE IN'!$F488=0,"",(VLOOKUP($C479,REV!$C:$AA,18,0)-'TRADE IN'!$F479))</f>
        <v>349</v>
      </c>
      <c r="U479" s="46">
        <f>IF(VLOOKUP($C479,REV!$C:$AA,19,0)-'TRADE IN'!$F488=0,"",(VLOOKUP($C479,REV!$C:$AA,19,0)-'TRADE IN'!$F479))</f>
        <v>349</v>
      </c>
      <c r="V479" s="46">
        <f>IF(VLOOKUP($C479,REV!$C:$AA,20,0)-'TRADE IN'!$F488=0,"",(VLOOKUP($C479,REV!$C:$AA,20,0)-'TRADE IN'!$F479))</f>
        <v>349</v>
      </c>
      <c r="W479" s="46">
        <f>IF(VLOOKUP($C479,REV!$C:$AA,21,0)-'TRADE IN'!$F488=0,"",(VLOOKUP($C479,REV!$C:$AA,21,0)-'TRADE IN'!$F479))</f>
        <v>349</v>
      </c>
      <c r="X479" s="46">
        <f>IF(VLOOKUP($C479,REV!$C:$AA,22,0)-'TRADE IN'!$F488=0,"",(VLOOKUP($C479,REV!$C:$AA,22,0)-'TRADE IN'!$F479))</f>
        <v>349</v>
      </c>
      <c r="Y479" s="46">
        <f>IF(VLOOKUP($C479,REV!$C:$AA,23,0)-'TRADE IN'!$F488=0,"",(VLOOKUP($C479,REV!$C:$AA,23,0)-'TRADE IN'!$F479))</f>
        <v>349</v>
      </c>
      <c r="Z479" s="46">
        <f>IF(VLOOKUP($C479,REV!$C:$AA,24,0)-'TRADE IN'!$F488=0,"",(VLOOKUP($C479,REV!$C:$AA,24,0)-'TRADE IN'!$F479))</f>
        <v>349</v>
      </c>
      <c r="AA479" s="46">
        <f>IF(VLOOKUP($C479,REV!$C:$AA,25,0)-'TRADE IN'!$F488=0,"",(VLOOKUP($C479,REV!$C:$AA,25,0)-'TRADE IN'!$F479))</f>
        <v>349</v>
      </c>
      <c r="AB479" s="46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7"/>
      <c r="AW479" s="48" t="str">
        <f>IF(REV!AW479=0,"",REV!AW479)</f>
        <v>31.03.2026</v>
      </c>
      <c r="AX479" s="159" t="s">
        <v>66</v>
      </c>
    </row>
    <row r="480" spans="1:50" ht="22.5" customHeight="1">
      <c r="A480" s="50" t="s">
        <v>61</v>
      </c>
      <c r="B480" s="41" t="s">
        <v>62</v>
      </c>
      <c r="C480" s="42">
        <v>4015254</v>
      </c>
      <c r="D480" s="44" t="s">
        <v>681</v>
      </c>
      <c r="E480" s="44" t="s">
        <v>682</v>
      </c>
      <c r="F480" s="45"/>
      <c r="G480" s="45"/>
      <c r="H480" s="45"/>
      <c r="I480" s="45"/>
      <c r="J480" s="46">
        <f>IF(VLOOKUP($C480,REV!$C:$AA,8,0)-'TRADE IN'!$F480=0,"",(VLOOKUP($C480,REV!$C:$AA,8,0)-'TRADE IN'!$F480))</f>
        <v>769</v>
      </c>
      <c r="K480" s="46">
        <f>IF(VLOOKUP($C480,REV!$C:$AA,9,0)-'TRADE IN'!$F480=0,"",(VLOOKUP($C480,REV!$C:$AA,9,0)-'TRADE IN'!$F480))</f>
        <v>769</v>
      </c>
      <c r="L480" s="46">
        <f>IF(VLOOKUP($C480,REV!$C:$AA,10,0)-'TRADE IN'!$F489=0,"",(VLOOKUP($C480,REV!$C:$AA,10,0)-'TRADE IN'!$F480))</f>
        <v>769</v>
      </c>
      <c r="M480" s="46">
        <f>IF(VLOOKUP($C480,REV!$C:$AA,11,0)-'TRADE IN'!$F489=0,"",(VLOOKUP($C480,REV!$C:$AA,11,0)-'TRADE IN'!$F480))</f>
        <v>769</v>
      </c>
      <c r="N480" s="46">
        <f>IF(VLOOKUP($C480,REV!$C:$AA,12,0)-'TRADE IN'!$F489=0,"",(VLOOKUP($C480,REV!$C:$AA,12,0)-'TRADE IN'!$F480))</f>
        <v>769</v>
      </c>
      <c r="O480" s="46">
        <f>IF(VLOOKUP($C480,REV!$C:$AA,13,0)-'TRADE IN'!$F489=0,"",(VLOOKUP($C480,REV!$C:$AA,13,0)-'TRADE IN'!$F480))</f>
        <v>769</v>
      </c>
      <c r="P480" s="46">
        <f>IF(VLOOKUP($C480,REV!$C:$AA,14,0)-'TRADE IN'!$F489=0,"",(VLOOKUP($C480,REV!$C:$AA,14,0)-'TRADE IN'!$F480))</f>
        <v>769</v>
      </c>
      <c r="Q480" s="46">
        <f>IF(VLOOKUP($C480,REV!$C:$AA,15,0)-'TRADE IN'!$F489=0,"",(VLOOKUP($C480,REV!$C:$AA,15,0)-'TRADE IN'!$F480))</f>
        <v>769</v>
      </c>
      <c r="R480" s="46">
        <f>IF(VLOOKUP($C480,REV!$C:$AA,16,0)-'TRADE IN'!$F489=0,"",(VLOOKUP($C480,REV!$C:$AA,16,0)-'TRADE IN'!$F480))</f>
        <v>769</v>
      </c>
      <c r="S480" s="46">
        <f>IF(VLOOKUP($C480,REV!$C:$AA,17,0)-'TRADE IN'!$F489=0,"",(VLOOKUP($C480,REV!$C:$AA,17,0)-'TRADE IN'!$F480))</f>
        <v>769</v>
      </c>
      <c r="T480" s="46">
        <f>IF(VLOOKUP($C480,REV!$C:$AA,18,0)-'TRADE IN'!$F489=0,"",(VLOOKUP($C480,REV!$C:$AA,18,0)-'TRADE IN'!$F480))</f>
        <v>769</v>
      </c>
      <c r="U480" s="46">
        <f>IF(VLOOKUP($C480,REV!$C:$AA,19,0)-'TRADE IN'!$F489=0,"",(VLOOKUP($C480,REV!$C:$AA,19,0)-'TRADE IN'!$F480))</f>
        <v>769</v>
      </c>
      <c r="V480" s="46">
        <f>IF(VLOOKUP($C480,REV!$C:$AA,20,0)-'TRADE IN'!$F489=0,"",(VLOOKUP($C480,REV!$C:$AA,20,0)-'TRADE IN'!$F480))</f>
        <v>769</v>
      </c>
      <c r="W480" s="46">
        <f>IF(VLOOKUP($C480,REV!$C:$AA,21,0)-'TRADE IN'!$F489=0,"",(VLOOKUP($C480,REV!$C:$AA,21,0)-'TRADE IN'!$F480))</f>
        <v>769</v>
      </c>
      <c r="X480" s="46">
        <f>IF(VLOOKUP($C480,REV!$C:$AA,22,0)-'TRADE IN'!$F489=0,"",(VLOOKUP($C480,REV!$C:$AA,22,0)-'TRADE IN'!$F480))</f>
        <v>769</v>
      </c>
      <c r="Y480" s="46">
        <f>IF(VLOOKUP($C480,REV!$C:$AA,23,0)-'TRADE IN'!$F489=0,"",(VLOOKUP($C480,REV!$C:$AA,23,0)-'TRADE IN'!$F480))</f>
        <v>769</v>
      </c>
      <c r="Z480" s="46">
        <f>IF(VLOOKUP($C480,REV!$C:$AA,24,0)-'TRADE IN'!$F489=0,"",(VLOOKUP($C480,REV!$C:$AA,24,0)-'TRADE IN'!$F480))</f>
        <v>769</v>
      </c>
      <c r="AA480" s="46">
        <f>IF(VLOOKUP($C480,REV!$C:$AA,25,0)-'TRADE IN'!$F489=0,"",(VLOOKUP($C480,REV!$C:$AA,25,0)-'TRADE IN'!$F480))</f>
        <v>769</v>
      </c>
      <c r="AB480" s="46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7"/>
      <c r="AW480" s="48" t="str">
        <f>IF(REV!AW480=0,"",REV!AW480)</f>
        <v>31.03.2026</v>
      </c>
      <c r="AX480" s="159" t="s">
        <v>82</v>
      </c>
    </row>
    <row r="481" spans="1:50" ht="22.5" customHeight="1">
      <c r="A481" s="50" t="s">
        <v>61</v>
      </c>
      <c r="B481" s="41" t="s">
        <v>62</v>
      </c>
      <c r="C481" s="42">
        <v>4015255</v>
      </c>
      <c r="D481" s="44" t="s">
        <v>681</v>
      </c>
      <c r="E481" s="44" t="s">
        <v>683</v>
      </c>
      <c r="F481" s="45"/>
      <c r="G481" s="45"/>
      <c r="H481" s="45"/>
      <c r="I481" s="45"/>
      <c r="J481" s="46">
        <f>IF(VLOOKUP($C481,REV!$C:$AA,8,0)-'TRADE IN'!$F481=0,"",(VLOOKUP($C481,REV!$C:$AA,8,0)-'TRADE IN'!$F481))</f>
        <v>769</v>
      </c>
      <c r="K481" s="46">
        <f>IF(VLOOKUP($C481,REV!$C:$AA,9,0)-'TRADE IN'!$F481=0,"",(VLOOKUP($C481,REV!$C:$AA,9,0)-'TRADE IN'!$F481))</f>
        <v>769</v>
      </c>
      <c r="L481" s="46">
        <f>IF(VLOOKUP($C481,REV!$C:$AA,10,0)-'TRADE IN'!$F490=0,"",(VLOOKUP($C481,REV!$C:$AA,10,0)-'TRADE IN'!$F481))</f>
        <v>769</v>
      </c>
      <c r="M481" s="46">
        <f>IF(VLOOKUP($C481,REV!$C:$AA,11,0)-'TRADE IN'!$F490=0,"",(VLOOKUP($C481,REV!$C:$AA,11,0)-'TRADE IN'!$F481))</f>
        <v>769</v>
      </c>
      <c r="N481" s="46">
        <f>IF(VLOOKUP($C481,REV!$C:$AA,12,0)-'TRADE IN'!$F490=0,"",(VLOOKUP($C481,REV!$C:$AA,12,0)-'TRADE IN'!$F481))</f>
        <v>769</v>
      </c>
      <c r="O481" s="46">
        <f>IF(VLOOKUP($C481,REV!$C:$AA,13,0)-'TRADE IN'!$F490=0,"",(VLOOKUP($C481,REV!$C:$AA,13,0)-'TRADE IN'!$F481))</f>
        <v>769</v>
      </c>
      <c r="P481" s="46">
        <f>IF(VLOOKUP($C481,REV!$C:$AA,14,0)-'TRADE IN'!$F490=0,"",(VLOOKUP($C481,REV!$C:$AA,14,0)-'TRADE IN'!$F481))</f>
        <v>769</v>
      </c>
      <c r="Q481" s="46">
        <f>IF(VLOOKUP($C481,REV!$C:$AA,15,0)-'TRADE IN'!$F490=0,"",(VLOOKUP($C481,REV!$C:$AA,15,0)-'TRADE IN'!$F481))</f>
        <v>769</v>
      </c>
      <c r="R481" s="46">
        <f>IF(VLOOKUP($C481,REV!$C:$AA,16,0)-'TRADE IN'!$F490=0,"",(VLOOKUP($C481,REV!$C:$AA,16,0)-'TRADE IN'!$F481))</f>
        <v>769</v>
      </c>
      <c r="S481" s="46">
        <f>IF(VLOOKUP($C481,REV!$C:$AA,17,0)-'TRADE IN'!$F490=0,"",(VLOOKUP($C481,REV!$C:$AA,17,0)-'TRADE IN'!$F481))</f>
        <v>769</v>
      </c>
      <c r="T481" s="46">
        <f>IF(VLOOKUP($C481,REV!$C:$AA,18,0)-'TRADE IN'!$F490=0,"",(VLOOKUP($C481,REV!$C:$AA,18,0)-'TRADE IN'!$F481))</f>
        <v>769</v>
      </c>
      <c r="U481" s="46">
        <f>IF(VLOOKUP($C481,REV!$C:$AA,19,0)-'TRADE IN'!$F490=0,"",(VLOOKUP($C481,REV!$C:$AA,19,0)-'TRADE IN'!$F481))</f>
        <v>769</v>
      </c>
      <c r="V481" s="46">
        <f>IF(VLOOKUP($C481,REV!$C:$AA,20,0)-'TRADE IN'!$F490=0,"",(VLOOKUP($C481,REV!$C:$AA,20,0)-'TRADE IN'!$F481))</f>
        <v>769</v>
      </c>
      <c r="W481" s="46">
        <f>IF(VLOOKUP($C481,REV!$C:$AA,21,0)-'TRADE IN'!$F490=0,"",(VLOOKUP($C481,REV!$C:$AA,21,0)-'TRADE IN'!$F481))</f>
        <v>769</v>
      </c>
      <c r="X481" s="46">
        <f>IF(VLOOKUP($C481,REV!$C:$AA,22,0)-'TRADE IN'!$F490=0,"",(VLOOKUP($C481,REV!$C:$AA,22,0)-'TRADE IN'!$F481))</f>
        <v>769</v>
      </c>
      <c r="Y481" s="46">
        <f>IF(VLOOKUP($C481,REV!$C:$AA,23,0)-'TRADE IN'!$F490=0,"",(VLOOKUP($C481,REV!$C:$AA,23,0)-'TRADE IN'!$F481))</f>
        <v>769</v>
      </c>
      <c r="Z481" s="46">
        <f>IF(VLOOKUP($C481,REV!$C:$AA,24,0)-'TRADE IN'!$F490=0,"",(VLOOKUP($C481,REV!$C:$AA,24,0)-'TRADE IN'!$F481))</f>
        <v>769</v>
      </c>
      <c r="AA481" s="46">
        <f>IF(VLOOKUP($C481,REV!$C:$AA,25,0)-'TRADE IN'!$F490=0,"",(VLOOKUP($C481,REV!$C:$AA,25,0)-'TRADE IN'!$F481))</f>
        <v>769</v>
      </c>
      <c r="AB481" s="46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7"/>
      <c r="AW481" s="48" t="str">
        <f>IF(REV!AW481=0,"",REV!AW481)</f>
        <v>31.03.2026</v>
      </c>
      <c r="AX481" s="159" t="s">
        <v>82</v>
      </c>
    </row>
    <row r="482" spans="1:50" ht="22.5" customHeight="1">
      <c r="A482" s="50" t="s">
        <v>61</v>
      </c>
      <c r="B482" s="41" t="s">
        <v>62</v>
      </c>
      <c r="C482" s="42">
        <v>4015250</v>
      </c>
      <c r="D482" s="44" t="s">
        <v>681</v>
      </c>
      <c r="E482" s="44" t="s">
        <v>684</v>
      </c>
      <c r="F482" s="45"/>
      <c r="G482" s="45"/>
      <c r="H482" s="45"/>
      <c r="I482" s="45"/>
      <c r="J482" s="46">
        <f>IF(VLOOKUP($C482,REV!$C:$AA,8,0)-'TRADE IN'!$F482=0,"",(VLOOKUP($C482,REV!$C:$AA,8,0)-'TRADE IN'!$F482))</f>
        <v>769</v>
      </c>
      <c r="K482" s="46">
        <f>IF(VLOOKUP($C482,REV!$C:$AA,9,0)-'TRADE IN'!$F482=0,"",(VLOOKUP($C482,REV!$C:$AA,9,0)-'TRADE IN'!$F482))</f>
        <v>769</v>
      </c>
      <c r="L482" s="46">
        <f>IF(VLOOKUP($C482,REV!$C:$AA,10,0)-'TRADE IN'!$F491=0,"",(VLOOKUP($C482,REV!$C:$AA,10,0)-'TRADE IN'!$F482))</f>
        <v>769</v>
      </c>
      <c r="M482" s="46">
        <f>IF(VLOOKUP($C482,REV!$C:$AA,11,0)-'TRADE IN'!$F491=0,"",(VLOOKUP($C482,REV!$C:$AA,11,0)-'TRADE IN'!$F482))</f>
        <v>769</v>
      </c>
      <c r="N482" s="46">
        <f>IF(VLOOKUP($C482,REV!$C:$AA,12,0)-'TRADE IN'!$F491=0,"",(VLOOKUP($C482,REV!$C:$AA,12,0)-'TRADE IN'!$F482))</f>
        <v>769</v>
      </c>
      <c r="O482" s="46">
        <f>IF(VLOOKUP($C482,REV!$C:$AA,13,0)-'TRADE IN'!$F491=0,"",(VLOOKUP($C482,REV!$C:$AA,13,0)-'TRADE IN'!$F482))</f>
        <v>769</v>
      </c>
      <c r="P482" s="46">
        <f>IF(VLOOKUP($C482,REV!$C:$AA,14,0)-'TRADE IN'!$F491=0,"",(VLOOKUP($C482,REV!$C:$AA,14,0)-'TRADE IN'!$F482))</f>
        <v>769</v>
      </c>
      <c r="Q482" s="46">
        <f>IF(VLOOKUP($C482,REV!$C:$AA,15,0)-'TRADE IN'!$F491=0,"",(VLOOKUP($C482,REV!$C:$AA,15,0)-'TRADE IN'!$F482))</f>
        <v>769</v>
      </c>
      <c r="R482" s="46">
        <f>IF(VLOOKUP($C482,REV!$C:$AA,16,0)-'TRADE IN'!$F491=0,"",(VLOOKUP($C482,REV!$C:$AA,16,0)-'TRADE IN'!$F482))</f>
        <v>769</v>
      </c>
      <c r="S482" s="46">
        <f>IF(VLOOKUP($C482,REV!$C:$AA,17,0)-'TRADE IN'!$F491=0,"",(VLOOKUP($C482,REV!$C:$AA,17,0)-'TRADE IN'!$F482))</f>
        <v>769</v>
      </c>
      <c r="T482" s="46">
        <f>IF(VLOOKUP($C482,REV!$C:$AA,18,0)-'TRADE IN'!$F491=0,"",(VLOOKUP($C482,REV!$C:$AA,18,0)-'TRADE IN'!$F482))</f>
        <v>769</v>
      </c>
      <c r="U482" s="46">
        <f>IF(VLOOKUP($C482,REV!$C:$AA,19,0)-'TRADE IN'!$F491=0,"",(VLOOKUP($C482,REV!$C:$AA,19,0)-'TRADE IN'!$F482))</f>
        <v>769</v>
      </c>
      <c r="V482" s="46">
        <f>IF(VLOOKUP($C482,REV!$C:$AA,20,0)-'TRADE IN'!$F491=0,"",(VLOOKUP($C482,REV!$C:$AA,20,0)-'TRADE IN'!$F482))</f>
        <v>769</v>
      </c>
      <c r="W482" s="46">
        <f>IF(VLOOKUP($C482,REV!$C:$AA,21,0)-'TRADE IN'!$F491=0,"",(VLOOKUP($C482,REV!$C:$AA,21,0)-'TRADE IN'!$F482))</f>
        <v>769</v>
      </c>
      <c r="X482" s="46">
        <f>IF(VLOOKUP($C482,REV!$C:$AA,22,0)-'TRADE IN'!$F491=0,"",(VLOOKUP($C482,REV!$C:$AA,22,0)-'TRADE IN'!$F482))</f>
        <v>769</v>
      </c>
      <c r="Y482" s="46">
        <f>IF(VLOOKUP($C482,REV!$C:$AA,23,0)-'TRADE IN'!$F491=0,"",(VLOOKUP($C482,REV!$C:$AA,23,0)-'TRADE IN'!$F482))</f>
        <v>769</v>
      </c>
      <c r="Z482" s="46">
        <f>IF(VLOOKUP($C482,REV!$C:$AA,24,0)-'TRADE IN'!$F491=0,"",(VLOOKUP($C482,REV!$C:$AA,24,0)-'TRADE IN'!$F482))</f>
        <v>769</v>
      </c>
      <c r="AA482" s="46">
        <f>IF(VLOOKUP($C482,REV!$C:$AA,25,0)-'TRADE IN'!$F491=0,"",(VLOOKUP($C482,REV!$C:$AA,25,0)-'TRADE IN'!$F482))</f>
        <v>769</v>
      </c>
      <c r="AB482" s="46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7"/>
      <c r="AW482" s="48" t="str">
        <f>IF(REV!AW482=0,"",REV!AW482)</f>
        <v>31.03.2026</v>
      </c>
      <c r="AX482" s="159" t="s">
        <v>82</v>
      </c>
    </row>
    <row r="483" spans="1:50" ht="22.5" customHeight="1">
      <c r="A483" s="50" t="s">
        <v>61</v>
      </c>
      <c r="B483" s="41" t="s">
        <v>62</v>
      </c>
      <c r="C483" s="42">
        <v>4015251</v>
      </c>
      <c r="D483" s="44" t="s">
        <v>681</v>
      </c>
      <c r="E483" s="44" t="s">
        <v>685</v>
      </c>
      <c r="F483" s="45"/>
      <c r="G483" s="45"/>
      <c r="H483" s="45"/>
      <c r="I483" s="45"/>
      <c r="J483" s="46">
        <f>IF(VLOOKUP($C483,REV!$C:$AA,8,0)-'TRADE IN'!$F483=0,"",(VLOOKUP($C483,REV!$C:$AA,8,0)-'TRADE IN'!$F483))</f>
        <v>769</v>
      </c>
      <c r="K483" s="46">
        <f>IF(VLOOKUP($C483,REV!$C:$AA,9,0)-'TRADE IN'!$F483=0,"",(VLOOKUP($C483,REV!$C:$AA,9,0)-'TRADE IN'!$F483))</f>
        <v>769</v>
      </c>
      <c r="L483" s="46">
        <f>IF(VLOOKUP($C483,REV!$C:$AA,10,0)-'TRADE IN'!$F492=0,"",(VLOOKUP($C483,REV!$C:$AA,10,0)-'TRADE IN'!$F483))</f>
        <v>769</v>
      </c>
      <c r="M483" s="46">
        <f>IF(VLOOKUP($C483,REV!$C:$AA,11,0)-'TRADE IN'!$F492=0,"",(VLOOKUP($C483,REV!$C:$AA,11,0)-'TRADE IN'!$F483))</f>
        <v>769</v>
      </c>
      <c r="N483" s="46">
        <f>IF(VLOOKUP($C483,REV!$C:$AA,12,0)-'TRADE IN'!$F492=0,"",(VLOOKUP($C483,REV!$C:$AA,12,0)-'TRADE IN'!$F483))</f>
        <v>769</v>
      </c>
      <c r="O483" s="46">
        <f>IF(VLOOKUP($C483,REV!$C:$AA,13,0)-'TRADE IN'!$F492=0,"",(VLOOKUP($C483,REV!$C:$AA,13,0)-'TRADE IN'!$F483))</f>
        <v>769</v>
      </c>
      <c r="P483" s="46">
        <f>IF(VLOOKUP($C483,REV!$C:$AA,14,0)-'TRADE IN'!$F492=0,"",(VLOOKUP($C483,REV!$C:$AA,14,0)-'TRADE IN'!$F483))</f>
        <v>769</v>
      </c>
      <c r="Q483" s="46">
        <f>IF(VLOOKUP($C483,REV!$C:$AA,15,0)-'TRADE IN'!$F492=0,"",(VLOOKUP($C483,REV!$C:$AA,15,0)-'TRADE IN'!$F483))</f>
        <v>769</v>
      </c>
      <c r="R483" s="46">
        <f>IF(VLOOKUP($C483,REV!$C:$AA,16,0)-'TRADE IN'!$F492=0,"",(VLOOKUP($C483,REV!$C:$AA,16,0)-'TRADE IN'!$F483))</f>
        <v>769</v>
      </c>
      <c r="S483" s="46">
        <f>IF(VLOOKUP($C483,REV!$C:$AA,17,0)-'TRADE IN'!$F492=0,"",(VLOOKUP($C483,REV!$C:$AA,17,0)-'TRADE IN'!$F483))</f>
        <v>769</v>
      </c>
      <c r="T483" s="46">
        <f>IF(VLOOKUP($C483,REV!$C:$AA,18,0)-'TRADE IN'!$F492=0,"",(VLOOKUP($C483,REV!$C:$AA,18,0)-'TRADE IN'!$F483))</f>
        <v>769</v>
      </c>
      <c r="U483" s="46">
        <f>IF(VLOOKUP($C483,REV!$C:$AA,19,0)-'TRADE IN'!$F492=0,"",(VLOOKUP($C483,REV!$C:$AA,19,0)-'TRADE IN'!$F483))</f>
        <v>769</v>
      </c>
      <c r="V483" s="46">
        <f>IF(VLOOKUP($C483,REV!$C:$AA,20,0)-'TRADE IN'!$F492=0,"",(VLOOKUP($C483,REV!$C:$AA,20,0)-'TRADE IN'!$F483))</f>
        <v>769</v>
      </c>
      <c r="W483" s="46">
        <f>IF(VLOOKUP($C483,REV!$C:$AA,21,0)-'TRADE IN'!$F492=0,"",(VLOOKUP($C483,REV!$C:$AA,21,0)-'TRADE IN'!$F483))</f>
        <v>769</v>
      </c>
      <c r="X483" s="46">
        <f>IF(VLOOKUP($C483,REV!$C:$AA,22,0)-'TRADE IN'!$F492=0,"",(VLOOKUP($C483,REV!$C:$AA,22,0)-'TRADE IN'!$F483))</f>
        <v>769</v>
      </c>
      <c r="Y483" s="46">
        <f>IF(VLOOKUP($C483,REV!$C:$AA,23,0)-'TRADE IN'!$F492=0,"",(VLOOKUP($C483,REV!$C:$AA,23,0)-'TRADE IN'!$F483))</f>
        <v>769</v>
      </c>
      <c r="Z483" s="46">
        <f>IF(VLOOKUP($C483,REV!$C:$AA,24,0)-'TRADE IN'!$F492=0,"",(VLOOKUP($C483,REV!$C:$AA,24,0)-'TRADE IN'!$F483))</f>
        <v>769</v>
      </c>
      <c r="AA483" s="46">
        <f>IF(VLOOKUP($C483,REV!$C:$AA,25,0)-'TRADE IN'!$F492=0,"",(VLOOKUP($C483,REV!$C:$AA,25,0)-'TRADE IN'!$F483))</f>
        <v>769</v>
      </c>
      <c r="AB483" s="46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7"/>
      <c r="AW483" s="48" t="str">
        <f>IF(REV!AW483=0,"",REV!AW483)</f>
        <v>31.03.2026</v>
      </c>
      <c r="AX483" s="159" t="s">
        <v>82</v>
      </c>
    </row>
    <row r="484" spans="1:50" ht="22.5" customHeight="1">
      <c r="A484" s="50" t="s">
        <v>61</v>
      </c>
      <c r="B484" s="41" t="s">
        <v>62</v>
      </c>
      <c r="C484" s="42">
        <v>4016092</v>
      </c>
      <c r="D484" s="44" t="s">
        <v>686</v>
      </c>
      <c r="E484" s="44" t="s">
        <v>687</v>
      </c>
      <c r="F484" s="45"/>
      <c r="G484" s="45"/>
      <c r="H484" s="45"/>
      <c r="I484" s="45"/>
      <c r="J484" s="46">
        <f>IF(VLOOKUP($C484,REV!$C:$AA,8,0)-'TRADE IN'!$F484=0,"",(VLOOKUP($C484,REV!$C:$AA,8,0)-'TRADE IN'!$F484))</f>
        <v>699</v>
      </c>
      <c r="K484" s="46">
        <f>IF(VLOOKUP($C484,REV!$C:$AA,9,0)-'TRADE IN'!$F484=0,"",(VLOOKUP($C484,REV!$C:$AA,9,0)-'TRADE IN'!$F484))</f>
        <v>699</v>
      </c>
      <c r="L484" s="46">
        <f>IF(VLOOKUP($C484,REV!$C:$AA,10,0)-'TRADE IN'!$F493=0,"",(VLOOKUP($C484,REV!$C:$AA,10,0)-'TRADE IN'!$F484))</f>
        <v>699</v>
      </c>
      <c r="M484" s="46">
        <f>IF(VLOOKUP($C484,REV!$C:$AA,11,0)-'TRADE IN'!$F493=0,"",(VLOOKUP($C484,REV!$C:$AA,11,0)-'TRADE IN'!$F484))</f>
        <v>699</v>
      </c>
      <c r="N484" s="46">
        <f>IF(VLOOKUP($C484,REV!$C:$AA,12,0)-'TRADE IN'!$F493=0,"",(VLOOKUP($C484,REV!$C:$AA,12,0)-'TRADE IN'!$F484))</f>
        <v>699</v>
      </c>
      <c r="O484" s="46">
        <f>IF(VLOOKUP($C484,REV!$C:$AA,13,0)-'TRADE IN'!$F493=0,"",(VLOOKUP($C484,REV!$C:$AA,13,0)-'TRADE IN'!$F484))</f>
        <v>699</v>
      </c>
      <c r="P484" s="46">
        <f>IF(VLOOKUP($C484,REV!$C:$AA,14,0)-'TRADE IN'!$F493=0,"",(VLOOKUP($C484,REV!$C:$AA,14,0)-'TRADE IN'!$F484))</f>
        <v>699</v>
      </c>
      <c r="Q484" s="46">
        <f>IF(VLOOKUP($C484,REV!$C:$AA,15,0)-'TRADE IN'!$F493=0,"",(VLOOKUP($C484,REV!$C:$AA,15,0)-'TRADE IN'!$F484))</f>
        <v>699</v>
      </c>
      <c r="R484" s="46">
        <f>IF(VLOOKUP($C484,REV!$C:$AA,16,0)-'TRADE IN'!$F493=0,"",(VLOOKUP($C484,REV!$C:$AA,16,0)-'TRADE IN'!$F484))</f>
        <v>699</v>
      </c>
      <c r="S484" s="46">
        <f>IF(VLOOKUP($C484,REV!$C:$AA,17,0)-'TRADE IN'!$F493=0,"",(VLOOKUP($C484,REV!$C:$AA,17,0)-'TRADE IN'!$F484))</f>
        <v>699</v>
      </c>
      <c r="T484" s="46">
        <f>IF(VLOOKUP($C484,REV!$C:$AA,18,0)-'TRADE IN'!$F493=0,"",(VLOOKUP($C484,REV!$C:$AA,18,0)-'TRADE IN'!$F484))</f>
        <v>699</v>
      </c>
      <c r="U484" s="46">
        <f>IF(VLOOKUP($C484,REV!$C:$AA,19,0)-'TRADE IN'!$F493=0,"",(VLOOKUP($C484,REV!$C:$AA,19,0)-'TRADE IN'!$F484))</f>
        <v>699</v>
      </c>
      <c r="V484" s="46">
        <f>IF(VLOOKUP($C484,REV!$C:$AA,20,0)-'TRADE IN'!$F493=0,"",(VLOOKUP($C484,REV!$C:$AA,20,0)-'TRADE IN'!$F484))</f>
        <v>699</v>
      </c>
      <c r="W484" s="46">
        <f>IF(VLOOKUP($C484,REV!$C:$AA,21,0)-'TRADE IN'!$F493=0,"",(VLOOKUP($C484,REV!$C:$AA,21,0)-'TRADE IN'!$F484))</f>
        <v>699</v>
      </c>
      <c r="X484" s="46">
        <f>IF(VLOOKUP($C484,REV!$C:$AA,22,0)-'TRADE IN'!$F493=0,"",(VLOOKUP($C484,REV!$C:$AA,22,0)-'TRADE IN'!$F484))</f>
        <v>699</v>
      </c>
      <c r="Y484" s="46">
        <f>IF(VLOOKUP($C484,REV!$C:$AA,23,0)-'TRADE IN'!$F493=0,"",(VLOOKUP($C484,REV!$C:$AA,23,0)-'TRADE IN'!$F484))</f>
        <v>699</v>
      </c>
      <c r="Z484" s="46">
        <f>IF(VLOOKUP($C484,REV!$C:$AA,24,0)-'TRADE IN'!$F493=0,"",(VLOOKUP($C484,REV!$C:$AA,24,0)-'TRADE IN'!$F484))</f>
        <v>699</v>
      </c>
      <c r="AA484" s="46">
        <f>IF(VLOOKUP($C484,REV!$C:$AA,25,0)-'TRADE IN'!$F493=0,"",(VLOOKUP($C484,REV!$C:$AA,25,0)-'TRADE IN'!$F484))</f>
        <v>699</v>
      </c>
      <c r="AB484" s="46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7"/>
      <c r="AW484" s="48" t="str">
        <f>IF(REV!AW484=0,"",REV!AW484)</f>
        <v>31.03.2026</v>
      </c>
      <c r="AX484" s="159" t="s">
        <v>82</v>
      </c>
    </row>
    <row r="485" spans="1:50" ht="22.5" customHeight="1">
      <c r="A485" s="50" t="s">
        <v>61</v>
      </c>
      <c r="B485" s="41" t="s">
        <v>62</v>
      </c>
      <c r="C485" s="42">
        <v>4016095</v>
      </c>
      <c r="D485" s="44" t="s">
        <v>686</v>
      </c>
      <c r="E485" s="44" t="s">
        <v>688</v>
      </c>
      <c r="F485" s="45"/>
      <c r="G485" s="45"/>
      <c r="H485" s="45"/>
      <c r="I485" s="45"/>
      <c r="J485" s="46">
        <f>IF(VLOOKUP($C485,REV!$C:$AA,8,0)-'TRADE IN'!$F485=0,"",(VLOOKUP($C485,REV!$C:$AA,8,0)-'TRADE IN'!$F485))</f>
        <v>699</v>
      </c>
      <c r="K485" s="46">
        <f>IF(VLOOKUP($C485,REV!$C:$AA,9,0)-'TRADE IN'!$F485=0,"",(VLOOKUP($C485,REV!$C:$AA,9,0)-'TRADE IN'!$F485))</f>
        <v>699</v>
      </c>
      <c r="L485" s="46">
        <f>IF(VLOOKUP($C485,REV!$C:$AA,10,0)-'TRADE IN'!$F494=0,"",(VLOOKUP($C485,REV!$C:$AA,10,0)-'TRADE IN'!$F485))</f>
        <v>699</v>
      </c>
      <c r="M485" s="46">
        <f>IF(VLOOKUP($C485,REV!$C:$AA,11,0)-'TRADE IN'!$F494=0,"",(VLOOKUP($C485,REV!$C:$AA,11,0)-'TRADE IN'!$F485))</f>
        <v>699</v>
      </c>
      <c r="N485" s="46">
        <f>IF(VLOOKUP($C485,REV!$C:$AA,12,0)-'TRADE IN'!$F494=0,"",(VLOOKUP($C485,REV!$C:$AA,12,0)-'TRADE IN'!$F485))</f>
        <v>699</v>
      </c>
      <c r="O485" s="46">
        <f>IF(VLOOKUP($C485,REV!$C:$AA,13,0)-'TRADE IN'!$F494=0,"",(VLOOKUP($C485,REV!$C:$AA,13,0)-'TRADE IN'!$F485))</f>
        <v>699</v>
      </c>
      <c r="P485" s="46">
        <f>IF(VLOOKUP($C485,REV!$C:$AA,14,0)-'TRADE IN'!$F494=0,"",(VLOOKUP($C485,REV!$C:$AA,14,0)-'TRADE IN'!$F485))</f>
        <v>699</v>
      </c>
      <c r="Q485" s="46">
        <f>IF(VLOOKUP($C485,REV!$C:$AA,15,0)-'TRADE IN'!$F494=0,"",(VLOOKUP($C485,REV!$C:$AA,15,0)-'TRADE IN'!$F485))</f>
        <v>699</v>
      </c>
      <c r="R485" s="46">
        <f>IF(VLOOKUP($C485,REV!$C:$AA,16,0)-'TRADE IN'!$F494=0,"",(VLOOKUP($C485,REV!$C:$AA,16,0)-'TRADE IN'!$F485))</f>
        <v>699</v>
      </c>
      <c r="S485" s="46">
        <f>IF(VLOOKUP($C485,REV!$C:$AA,17,0)-'TRADE IN'!$F494=0,"",(VLOOKUP($C485,REV!$C:$AA,17,0)-'TRADE IN'!$F485))</f>
        <v>699</v>
      </c>
      <c r="T485" s="46">
        <f>IF(VLOOKUP($C485,REV!$C:$AA,18,0)-'TRADE IN'!$F494=0,"",(VLOOKUP($C485,REV!$C:$AA,18,0)-'TRADE IN'!$F485))</f>
        <v>699</v>
      </c>
      <c r="U485" s="46">
        <f>IF(VLOOKUP($C485,REV!$C:$AA,19,0)-'TRADE IN'!$F494=0,"",(VLOOKUP($C485,REV!$C:$AA,19,0)-'TRADE IN'!$F485))</f>
        <v>699</v>
      </c>
      <c r="V485" s="46">
        <f>IF(VLOOKUP($C485,REV!$C:$AA,20,0)-'TRADE IN'!$F494=0,"",(VLOOKUP($C485,REV!$C:$AA,20,0)-'TRADE IN'!$F485))</f>
        <v>699</v>
      </c>
      <c r="W485" s="46">
        <f>IF(VLOOKUP($C485,REV!$C:$AA,21,0)-'TRADE IN'!$F494=0,"",(VLOOKUP($C485,REV!$C:$AA,21,0)-'TRADE IN'!$F485))</f>
        <v>699</v>
      </c>
      <c r="X485" s="46">
        <f>IF(VLOOKUP($C485,REV!$C:$AA,22,0)-'TRADE IN'!$F494=0,"",(VLOOKUP($C485,REV!$C:$AA,22,0)-'TRADE IN'!$F485))</f>
        <v>699</v>
      </c>
      <c r="Y485" s="46">
        <f>IF(VLOOKUP($C485,REV!$C:$AA,23,0)-'TRADE IN'!$F494=0,"",(VLOOKUP($C485,REV!$C:$AA,23,0)-'TRADE IN'!$F485))</f>
        <v>699</v>
      </c>
      <c r="Z485" s="46">
        <f>IF(VLOOKUP($C485,REV!$C:$AA,24,0)-'TRADE IN'!$F494=0,"",(VLOOKUP($C485,REV!$C:$AA,24,0)-'TRADE IN'!$F485))</f>
        <v>699</v>
      </c>
      <c r="AA485" s="46">
        <f>IF(VLOOKUP($C485,REV!$C:$AA,25,0)-'TRADE IN'!$F494=0,"",(VLOOKUP($C485,REV!$C:$AA,25,0)-'TRADE IN'!$F485))</f>
        <v>699</v>
      </c>
      <c r="AB485" s="46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7"/>
      <c r="AW485" s="48" t="str">
        <f>IF(REV!AW485=0,"",REV!AW485)</f>
        <v>31.03.2026</v>
      </c>
      <c r="AX485" s="159" t="s">
        <v>82</v>
      </c>
    </row>
    <row r="486" spans="1:50" ht="22.5" customHeight="1">
      <c r="A486" s="50" t="s">
        <v>61</v>
      </c>
      <c r="B486" s="41" t="s">
        <v>62</v>
      </c>
      <c r="C486" s="42">
        <v>4014201</v>
      </c>
      <c r="D486" s="44" t="s">
        <v>689</v>
      </c>
      <c r="E486" s="44" t="s">
        <v>690</v>
      </c>
      <c r="F486" s="45"/>
      <c r="G486" s="45"/>
      <c r="H486" s="45"/>
      <c r="I486" s="45"/>
      <c r="J486" s="46">
        <f>IF(VLOOKUP($C486,REV!$C:$AA,8,0)-'TRADE IN'!$F486=0,"",(VLOOKUP($C486,REV!$C:$AA,8,0)-'TRADE IN'!$F486))</f>
        <v>499</v>
      </c>
      <c r="K486" s="46">
        <f>IF(VLOOKUP($C486,REV!$C:$AA,9,0)-'TRADE IN'!$F486=0,"",(VLOOKUP($C486,REV!$C:$AA,9,0)-'TRADE IN'!$F486))</f>
        <v>499</v>
      </c>
      <c r="L486" s="46">
        <f>IF(VLOOKUP($C486,REV!$C:$AA,10,0)-'TRADE IN'!$F495=0,"",(VLOOKUP($C486,REV!$C:$AA,10,0)-'TRADE IN'!$F486))</f>
        <v>499</v>
      </c>
      <c r="M486" s="46">
        <f>IF(VLOOKUP($C486,REV!$C:$AA,11,0)-'TRADE IN'!$F495=0,"",(VLOOKUP($C486,REV!$C:$AA,11,0)-'TRADE IN'!$F486))</f>
        <v>499</v>
      </c>
      <c r="N486" s="46">
        <f>IF(VLOOKUP($C486,REV!$C:$AA,12,0)-'TRADE IN'!$F495=0,"",(VLOOKUP($C486,REV!$C:$AA,12,0)-'TRADE IN'!$F486))</f>
        <v>499</v>
      </c>
      <c r="O486" s="46">
        <f>IF(VLOOKUP($C486,REV!$C:$AA,13,0)-'TRADE IN'!$F495=0,"",(VLOOKUP($C486,REV!$C:$AA,13,0)-'TRADE IN'!$F486))</f>
        <v>449</v>
      </c>
      <c r="P486" s="46">
        <f>IF(VLOOKUP($C486,REV!$C:$AA,14,0)-'TRADE IN'!$F495=0,"",(VLOOKUP($C486,REV!$C:$AA,14,0)-'TRADE IN'!$F486))</f>
        <v>399</v>
      </c>
      <c r="Q486" s="46">
        <f>IF(VLOOKUP($C486,REV!$C:$AA,15,0)-'TRADE IN'!$F495=0,"",(VLOOKUP($C486,REV!$C:$AA,15,0)-'TRADE IN'!$F486))</f>
        <v>349</v>
      </c>
      <c r="R486" s="46">
        <f>IF(VLOOKUP($C486,REV!$C:$AA,16,0)-'TRADE IN'!$F495=0,"",(VLOOKUP($C486,REV!$C:$AA,16,0)-'TRADE IN'!$F486))</f>
        <v>449</v>
      </c>
      <c r="S486" s="46">
        <f>IF(VLOOKUP($C486,REV!$C:$AA,17,0)-'TRADE IN'!$F495=0,"",(VLOOKUP($C486,REV!$C:$AA,17,0)-'TRADE IN'!$F486))</f>
        <v>399</v>
      </c>
      <c r="T486" s="46">
        <f>IF(VLOOKUP($C486,REV!$C:$AA,18,0)-'TRADE IN'!$F495=0,"",(VLOOKUP($C486,REV!$C:$AA,18,0)-'TRADE IN'!$F486))</f>
        <v>349</v>
      </c>
      <c r="U486" s="46">
        <f>IF(VLOOKUP($C486,REV!$C:$AA,19,0)-'TRADE IN'!$F495=0,"",(VLOOKUP($C486,REV!$C:$AA,19,0)-'TRADE IN'!$F486))</f>
        <v>349</v>
      </c>
      <c r="V486" s="46">
        <f>IF(VLOOKUP($C486,REV!$C:$AA,20,0)-'TRADE IN'!$F495=0,"",(VLOOKUP($C486,REV!$C:$AA,20,0)-'TRADE IN'!$F486))</f>
        <v>349</v>
      </c>
      <c r="W486" s="46">
        <f>IF(VLOOKUP($C486,REV!$C:$AA,21,0)-'TRADE IN'!$F495=0,"",(VLOOKUP($C486,REV!$C:$AA,21,0)-'TRADE IN'!$F486))</f>
        <v>349</v>
      </c>
      <c r="X486" s="46">
        <f>IF(VLOOKUP($C486,REV!$C:$AA,22,0)-'TRADE IN'!$F495=0,"",(VLOOKUP($C486,REV!$C:$AA,22,0)-'TRADE IN'!$F486))</f>
        <v>349</v>
      </c>
      <c r="Y486" s="46">
        <f>IF(VLOOKUP($C486,REV!$C:$AA,23,0)-'TRADE IN'!$F495=0,"",(VLOOKUP($C486,REV!$C:$AA,23,0)-'TRADE IN'!$F486))</f>
        <v>349</v>
      </c>
      <c r="Z486" s="46">
        <f>IF(VLOOKUP($C486,REV!$C:$AA,24,0)-'TRADE IN'!$F495=0,"",(VLOOKUP($C486,REV!$C:$AA,24,0)-'TRADE IN'!$F486))</f>
        <v>349</v>
      </c>
      <c r="AA486" s="46">
        <f>IF(VLOOKUP($C486,REV!$C:$AA,25,0)-'TRADE IN'!$F495=0,"",(VLOOKUP($C486,REV!$C:$AA,25,0)-'TRADE IN'!$F486))</f>
        <v>349</v>
      </c>
      <c r="AB486" s="46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7"/>
      <c r="AW486" s="48" t="str">
        <f>IF(REV!AW486=0,"",REV!AW486)</f>
        <v>31.03.2026</v>
      </c>
      <c r="AX486" s="159" t="s">
        <v>66</v>
      </c>
    </row>
    <row r="487" spans="1:50" ht="22.5" customHeight="1">
      <c r="A487" s="50" t="s">
        <v>61</v>
      </c>
      <c r="B487" s="41" t="s">
        <v>62</v>
      </c>
      <c r="C487" s="42">
        <v>4014202</v>
      </c>
      <c r="D487" s="44" t="s">
        <v>689</v>
      </c>
      <c r="E487" s="44" t="s">
        <v>691</v>
      </c>
      <c r="F487" s="45"/>
      <c r="G487" s="45"/>
      <c r="H487" s="45"/>
      <c r="I487" s="45"/>
      <c r="J487" s="46">
        <f>IF(VLOOKUP($C487,REV!$C:$AA,8,0)-'TRADE IN'!$F487=0,"",(VLOOKUP($C487,REV!$C:$AA,8,0)-'TRADE IN'!$F487))</f>
        <v>499</v>
      </c>
      <c r="K487" s="46">
        <f>IF(VLOOKUP($C487,REV!$C:$AA,9,0)-'TRADE IN'!$F487=0,"",(VLOOKUP($C487,REV!$C:$AA,9,0)-'TRADE IN'!$F487))</f>
        <v>499</v>
      </c>
      <c r="L487" s="46">
        <f>IF(VLOOKUP($C487,REV!$C:$AA,10,0)-'TRADE IN'!$F496=0,"",(VLOOKUP($C487,REV!$C:$AA,10,0)-'TRADE IN'!$F487))</f>
        <v>499</v>
      </c>
      <c r="M487" s="46">
        <f>IF(VLOOKUP($C487,REV!$C:$AA,11,0)-'TRADE IN'!$F496=0,"",(VLOOKUP($C487,REV!$C:$AA,11,0)-'TRADE IN'!$F487))</f>
        <v>499</v>
      </c>
      <c r="N487" s="46">
        <f>IF(VLOOKUP($C487,REV!$C:$AA,12,0)-'TRADE IN'!$F496=0,"",(VLOOKUP($C487,REV!$C:$AA,12,0)-'TRADE IN'!$F487))</f>
        <v>499</v>
      </c>
      <c r="O487" s="46">
        <f>IF(VLOOKUP($C487,REV!$C:$AA,13,0)-'TRADE IN'!$F496=0,"",(VLOOKUP($C487,REV!$C:$AA,13,0)-'TRADE IN'!$F487))</f>
        <v>449</v>
      </c>
      <c r="P487" s="46">
        <f>IF(VLOOKUP($C487,REV!$C:$AA,14,0)-'TRADE IN'!$F496=0,"",(VLOOKUP($C487,REV!$C:$AA,14,0)-'TRADE IN'!$F487))</f>
        <v>399</v>
      </c>
      <c r="Q487" s="46">
        <f>IF(VLOOKUP($C487,REV!$C:$AA,15,0)-'TRADE IN'!$F496=0,"",(VLOOKUP($C487,REV!$C:$AA,15,0)-'TRADE IN'!$F487))</f>
        <v>349</v>
      </c>
      <c r="R487" s="46">
        <f>IF(VLOOKUP($C487,REV!$C:$AA,16,0)-'TRADE IN'!$F496=0,"",(VLOOKUP($C487,REV!$C:$AA,16,0)-'TRADE IN'!$F487))</f>
        <v>449</v>
      </c>
      <c r="S487" s="46">
        <f>IF(VLOOKUP($C487,REV!$C:$AA,17,0)-'TRADE IN'!$F496=0,"",(VLOOKUP($C487,REV!$C:$AA,17,0)-'TRADE IN'!$F487))</f>
        <v>399</v>
      </c>
      <c r="T487" s="46">
        <f>IF(VLOOKUP($C487,REV!$C:$AA,18,0)-'TRADE IN'!$F496=0,"",(VLOOKUP($C487,REV!$C:$AA,18,0)-'TRADE IN'!$F487))</f>
        <v>349</v>
      </c>
      <c r="U487" s="46">
        <f>IF(VLOOKUP($C487,REV!$C:$AA,19,0)-'TRADE IN'!$F496=0,"",(VLOOKUP($C487,REV!$C:$AA,19,0)-'TRADE IN'!$F487))</f>
        <v>349</v>
      </c>
      <c r="V487" s="46">
        <f>IF(VLOOKUP($C487,REV!$C:$AA,20,0)-'TRADE IN'!$F496=0,"",(VLOOKUP($C487,REV!$C:$AA,20,0)-'TRADE IN'!$F487))</f>
        <v>349</v>
      </c>
      <c r="W487" s="46">
        <f>IF(VLOOKUP($C487,REV!$C:$AA,21,0)-'TRADE IN'!$F496=0,"",(VLOOKUP($C487,REV!$C:$AA,21,0)-'TRADE IN'!$F487))</f>
        <v>349</v>
      </c>
      <c r="X487" s="46">
        <f>IF(VLOOKUP($C487,REV!$C:$AA,22,0)-'TRADE IN'!$F496=0,"",(VLOOKUP($C487,REV!$C:$AA,22,0)-'TRADE IN'!$F487))</f>
        <v>349</v>
      </c>
      <c r="Y487" s="46">
        <f>IF(VLOOKUP($C487,REV!$C:$AA,23,0)-'TRADE IN'!$F496=0,"",(VLOOKUP($C487,REV!$C:$AA,23,0)-'TRADE IN'!$F487))</f>
        <v>349</v>
      </c>
      <c r="Z487" s="46">
        <f>IF(VLOOKUP($C487,REV!$C:$AA,24,0)-'TRADE IN'!$F496=0,"",(VLOOKUP($C487,REV!$C:$AA,24,0)-'TRADE IN'!$F487))</f>
        <v>349</v>
      </c>
      <c r="AA487" s="46">
        <f>IF(VLOOKUP($C487,REV!$C:$AA,25,0)-'TRADE IN'!$F496=0,"",(VLOOKUP($C487,REV!$C:$AA,25,0)-'TRADE IN'!$F487))</f>
        <v>349</v>
      </c>
      <c r="AB487" s="46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7"/>
      <c r="AW487" s="48" t="str">
        <f>IF(REV!AW487=0,"",REV!AW487)</f>
        <v>31.03.2026</v>
      </c>
      <c r="AX487" s="159" t="s">
        <v>66</v>
      </c>
    </row>
    <row r="488" spans="1:50" ht="22.5" customHeight="1">
      <c r="A488" s="50" t="s">
        <v>61</v>
      </c>
      <c r="B488" s="41" t="s">
        <v>62</v>
      </c>
      <c r="C488" s="42">
        <v>4014203</v>
      </c>
      <c r="D488" s="44" t="s">
        <v>689</v>
      </c>
      <c r="E488" s="44" t="s">
        <v>692</v>
      </c>
      <c r="F488" s="45"/>
      <c r="G488" s="45"/>
      <c r="H488" s="45"/>
      <c r="I488" s="45"/>
      <c r="J488" s="46">
        <f>IF(VLOOKUP($C488,REV!$C:$AA,8,0)-'TRADE IN'!$F488=0,"",(VLOOKUP($C488,REV!$C:$AA,8,0)-'TRADE IN'!$F488))</f>
        <v>499</v>
      </c>
      <c r="K488" s="46">
        <f>IF(VLOOKUP($C488,REV!$C:$AA,9,0)-'TRADE IN'!$F488=0,"",(VLOOKUP($C488,REV!$C:$AA,9,0)-'TRADE IN'!$F488))</f>
        <v>499</v>
      </c>
      <c r="L488" s="46">
        <f>IF(VLOOKUP($C488,REV!$C:$AA,10,0)-'TRADE IN'!$F497=0,"",(VLOOKUP($C488,REV!$C:$AA,10,0)-'TRADE IN'!$F488))</f>
        <v>499</v>
      </c>
      <c r="M488" s="46">
        <f>IF(VLOOKUP($C488,REV!$C:$AA,11,0)-'TRADE IN'!$F497=0,"",(VLOOKUP($C488,REV!$C:$AA,11,0)-'TRADE IN'!$F488))</f>
        <v>499</v>
      </c>
      <c r="N488" s="46">
        <f>IF(VLOOKUP($C488,REV!$C:$AA,12,0)-'TRADE IN'!$F497=0,"",(VLOOKUP($C488,REV!$C:$AA,12,0)-'TRADE IN'!$F488))</f>
        <v>499</v>
      </c>
      <c r="O488" s="46">
        <f>IF(VLOOKUP($C488,REV!$C:$AA,13,0)-'TRADE IN'!$F497=0,"",(VLOOKUP($C488,REV!$C:$AA,13,0)-'TRADE IN'!$F488))</f>
        <v>449</v>
      </c>
      <c r="P488" s="46">
        <f>IF(VLOOKUP($C488,REV!$C:$AA,14,0)-'TRADE IN'!$F497=0,"",(VLOOKUP($C488,REV!$C:$AA,14,0)-'TRADE IN'!$F488))</f>
        <v>399</v>
      </c>
      <c r="Q488" s="46">
        <f>IF(VLOOKUP($C488,REV!$C:$AA,15,0)-'TRADE IN'!$F497=0,"",(VLOOKUP($C488,REV!$C:$AA,15,0)-'TRADE IN'!$F488))</f>
        <v>349</v>
      </c>
      <c r="R488" s="46">
        <f>IF(VLOOKUP($C488,REV!$C:$AA,16,0)-'TRADE IN'!$F497=0,"",(VLOOKUP($C488,REV!$C:$AA,16,0)-'TRADE IN'!$F488))</f>
        <v>449</v>
      </c>
      <c r="S488" s="46">
        <f>IF(VLOOKUP($C488,REV!$C:$AA,17,0)-'TRADE IN'!$F497=0,"",(VLOOKUP($C488,REV!$C:$AA,17,0)-'TRADE IN'!$F488))</f>
        <v>399</v>
      </c>
      <c r="T488" s="46">
        <f>IF(VLOOKUP($C488,REV!$C:$AA,18,0)-'TRADE IN'!$F497=0,"",(VLOOKUP($C488,REV!$C:$AA,18,0)-'TRADE IN'!$F488))</f>
        <v>349</v>
      </c>
      <c r="U488" s="46">
        <f>IF(VLOOKUP($C488,REV!$C:$AA,19,0)-'TRADE IN'!$F497=0,"",(VLOOKUP($C488,REV!$C:$AA,19,0)-'TRADE IN'!$F488))</f>
        <v>349</v>
      </c>
      <c r="V488" s="46">
        <f>IF(VLOOKUP($C488,REV!$C:$AA,20,0)-'TRADE IN'!$F497=0,"",(VLOOKUP($C488,REV!$C:$AA,20,0)-'TRADE IN'!$F488))</f>
        <v>349</v>
      </c>
      <c r="W488" s="46">
        <f>IF(VLOOKUP($C488,REV!$C:$AA,21,0)-'TRADE IN'!$F497=0,"",(VLOOKUP($C488,REV!$C:$AA,21,0)-'TRADE IN'!$F488))</f>
        <v>349</v>
      </c>
      <c r="X488" s="46">
        <f>IF(VLOOKUP($C488,REV!$C:$AA,22,0)-'TRADE IN'!$F497=0,"",(VLOOKUP($C488,REV!$C:$AA,22,0)-'TRADE IN'!$F488))</f>
        <v>349</v>
      </c>
      <c r="Y488" s="46">
        <f>IF(VLOOKUP($C488,REV!$C:$AA,23,0)-'TRADE IN'!$F497=0,"",(VLOOKUP($C488,REV!$C:$AA,23,0)-'TRADE IN'!$F488))</f>
        <v>349</v>
      </c>
      <c r="Z488" s="46">
        <f>IF(VLOOKUP($C488,REV!$C:$AA,24,0)-'TRADE IN'!$F497=0,"",(VLOOKUP($C488,REV!$C:$AA,24,0)-'TRADE IN'!$F488))</f>
        <v>349</v>
      </c>
      <c r="AA488" s="46">
        <f>IF(VLOOKUP($C488,REV!$C:$AA,25,0)-'TRADE IN'!$F497=0,"",(VLOOKUP($C488,REV!$C:$AA,25,0)-'TRADE IN'!$F488))</f>
        <v>349</v>
      </c>
      <c r="AB488" s="46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7"/>
      <c r="AW488" s="48" t="str">
        <f>IF(REV!AW488=0,"",REV!AW488)</f>
        <v>31.03.2026</v>
      </c>
      <c r="AX488" s="159" t="s">
        <v>66</v>
      </c>
    </row>
    <row r="489" spans="1:50" ht="22.5" customHeight="1">
      <c r="A489" s="50" t="s">
        <v>61</v>
      </c>
      <c r="B489" s="41" t="s">
        <v>62</v>
      </c>
      <c r="C489" s="42">
        <v>4014204</v>
      </c>
      <c r="D489" s="44" t="s">
        <v>689</v>
      </c>
      <c r="E489" s="44" t="s">
        <v>693</v>
      </c>
      <c r="F489" s="45"/>
      <c r="G489" s="45"/>
      <c r="H489" s="45"/>
      <c r="I489" s="45"/>
      <c r="J489" s="46">
        <f>IF(VLOOKUP($C489,REV!$C:$AA,8,0)-'TRADE IN'!$F489=0,"",(VLOOKUP($C489,REV!$C:$AA,8,0)-'TRADE IN'!$F489))</f>
        <v>499</v>
      </c>
      <c r="K489" s="46">
        <f>IF(VLOOKUP($C489,REV!$C:$AA,9,0)-'TRADE IN'!$F489=0,"",(VLOOKUP($C489,REV!$C:$AA,9,0)-'TRADE IN'!$F489))</f>
        <v>499</v>
      </c>
      <c r="L489" s="46">
        <f>IF(VLOOKUP($C489,REV!$C:$AA,10,0)-'TRADE IN'!$F498=0,"",(VLOOKUP($C489,REV!$C:$AA,10,0)-'TRADE IN'!$F489))</f>
        <v>499</v>
      </c>
      <c r="M489" s="46">
        <f>IF(VLOOKUP($C489,REV!$C:$AA,11,0)-'TRADE IN'!$F498=0,"",(VLOOKUP($C489,REV!$C:$AA,11,0)-'TRADE IN'!$F489))</f>
        <v>499</v>
      </c>
      <c r="N489" s="46">
        <f>IF(VLOOKUP($C489,REV!$C:$AA,12,0)-'TRADE IN'!$F498=0,"",(VLOOKUP($C489,REV!$C:$AA,12,0)-'TRADE IN'!$F489))</f>
        <v>499</v>
      </c>
      <c r="O489" s="46">
        <f>IF(VLOOKUP($C489,REV!$C:$AA,13,0)-'TRADE IN'!$F498=0,"",(VLOOKUP($C489,REV!$C:$AA,13,0)-'TRADE IN'!$F489))</f>
        <v>449</v>
      </c>
      <c r="P489" s="46">
        <f>IF(VLOOKUP($C489,REV!$C:$AA,14,0)-'TRADE IN'!$F498=0,"",(VLOOKUP($C489,REV!$C:$AA,14,0)-'TRADE IN'!$F489))</f>
        <v>399</v>
      </c>
      <c r="Q489" s="46">
        <f>IF(VLOOKUP($C489,REV!$C:$AA,15,0)-'TRADE IN'!$F498=0,"",(VLOOKUP($C489,REV!$C:$AA,15,0)-'TRADE IN'!$F489))</f>
        <v>349</v>
      </c>
      <c r="R489" s="46">
        <f>IF(VLOOKUP($C489,REV!$C:$AA,16,0)-'TRADE IN'!$F498=0,"",(VLOOKUP($C489,REV!$C:$AA,16,0)-'TRADE IN'!$F489))</f>
        <v>449</v>
      </c>
      <c r="S489" s="46">
        <f>IF(VLOOKUP($C489,REV!$C:$AA,17,0)-'TRADE IN'!$F498=0,"",(VLOOKUP($C489,REV!$C:$AA,17,0)-'TRADE IN'!$F489))</f>
        <v>399</v>
      </c>
      <c r="T489" s="46">
        <f>IF(VLOOKUP($C489,REV!$C:$AA,18,0)-'TRADE IN'!$F498=0,"",(VLOOKUP($C489,REV!$C:$AA,18,0)-'TRADE IN'!$F489))</f>
        <v>349</v>
      </c>
      <c r="U489" s="46">
        <f>IF(VLOOKUP($C489,REV!$C:$AA,19,0)-'TRADE IN'!$F498=0,"",(VLOOKUP($C489,REV!$C:$AA,19,0)-'TRADE IN'!$F489))</f>
        <v>349</v>
      </c>
      <c r="V489" s="46">
        <f>IF(VLOOKUP($C489,REV!$C:$AA,20,0)-'TRADE IN'!$F498=0,"",(VLOOKUP($C489,REV!$C:$AA,20,0)-'TRADE IN'!$F489))</f>
        <v>349</v>
      </c>
      <c r="W489" s="46">
        <f>IF(VLOOKUP($C489,REV!$C:$AA,21,0)-'TRADE IN'!$F498=0,"",(VLOOKUP($C489,REV!$C:$AA,21,0)-'TRADE IN'!$F489))</f>
        <v>349</v>
      </c>
      <c r="X489" s="46">
        <f>IF(VLOOKUP($C489,REV!$C:$AA,22,0)-'TRADE IN'!$F498=0,"",(VLOOKUP($C489,REV!$C:$AA,22,0)-'TRADE IN'!$F489))</f>
        <v>349</v>
      </c>
      <c r="Y489" s="46">
        <f>IF(VLOOKUP($C489,REV!$C:$AA,23,0)-'TRADE IN'!$F498=0,"",(VLOOKUP($C489,REV!$C:$AA,23,0)-'TRADE IN'!$F489))</f>
        <v>349</v>
      </c>
      <c r="Z489" s="46">
        <f>IF(VLOOKUP($C489,REV!$C:$AA,24,0)-'TRADE IN'!$F498=0,"",(VLOOKUP($C489,REV!$C:$AA,24,0)-'TRADE IN'!$F489))</f>
        <v>349</v>
      </c>
      <c r="AA489" s="46">
        <f>IF(VLOOKUP($C489,REV!$C:$AA,25,0)-'TRADE IN'!$F498=0,"",(VLOOKUP($C489,REV!$C:$AA,25,0)-'TRADE IN'!$F489))</f>
        <v>349</v>
      </c>
      <c r="AB489" s="46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7"/>
      <c r="AW489" s="48" t="str">
        <f>IF(REV!AW489=0,"",REV!AW489)</f>
        <v>31.03.2026</v>
      </c>
      <c r="AX489" s="159" t="s">
        <v>66</v>
      </c>
    </row>
    <row r="490" spans="1:50" ht="22.5" customHeight="1">
      <c r="A490" s="50" t="s">
        <v>61</v>
      </c>
      <c r="B490" s="41" t="s">
        <v>62</v>
      </c>
      <c r="C490" s="42">
        <v>4014205</v>
      </c>
      <c r="D490" s="44" t="s">
        <v>689</v>
      </c>
      <c r="E490" s="44" t="s">
        <v>694</v>
      </c>
      <c r="F490" s="45"/>
      <c r="G490" s="45"/>
      <c r="H490" s="45"/>
      <c r="I490" s="45"/>
      <c r="J490" s="46">
        <f>IF(VLOOKUP($C490,REV!$C:$AA,8,0)-'TRADE IN'!$F490=0,"",(VLOOKUP($C490,REV!$C:$AA,8,0)-'TRADE IN'!$F490))</f>
        <v>499</v>
      </c>
      <c r="K490" s="46">
        <f>IF(VLOOKUP($C490,REV!$C:$AA,9,0)-'TRADE IN'!$F490=0,"",(VLOOKUP($C490,REV!$C:$AA,9,0)-'TRADE IN'!$F490))</f>
        <v>499</v>
      </c>
      <c r="L490" s="46">
        <f>IF(VLOOKUP($C490,REV!$C:$AA,10,0)-'TRADE IN'!$F499=0,"",(VLOOKUP($C490,REV!$C:$AA,10,0)-'TRADE IN'!$F490))</f>
        <v>499</v>
      </c>
      <c r="M490" s="46">
        <f>IF(VLOOKUP($C490,REV!$C:$AA,11,0)-'TRADE IN'!$F499=0,"",(VLOOKUP($C490,REV!$C:$AA,11,0)-'TRADE IN'!$F490))</f>
        <v>499</v>
      </c>
      <c r="N490" s="46">
        <f>IF(VLOOKUP($C490,REV!$C:$AA,12,0)-'TRADE IN'!$F499=0,"",(VLOOKUP($C490,REV!$C:$AA,12,0)-'TRADE IN'!$F490))</f>
        <v>499</v>
      </c>
      <c r="O490" s="46">
        <f>IF(VLOOKUP($C490,REV!$C:$AA,13,0)-'TRADE IN'!$F499=0,"",(VLOOKUP($C490,REV!$C:$AA,13,0)-'TRADE IN'!$F490))</f>
        <v>449</v>
      </c>
      <c r="P490" s="46">
        <f>IF(VLOOKUP($C490,REV!$C:$AA,14,0)-'TRADE IN'!$F499=0,"",(VLOOKUP($C490,REV!$C:$AA,14,0)-'TRADE IN'!$F490))</f>
        <v>399</v>
      </c>
      <c r="Q490" s="46">
        <f>IF(VLOOKUP($C490,REV!$C:$AA,15,0)-'TRADE IN'!$F499=0,"",(VLOOKUP($C490,REV!$C:$AA,15,0)-'TRADE IN'!$F490))</f>
        <v>349</v>
      </c>
      <c r="R490" s="46">
        <f>IF(VLOOKUP($C490,REV!$C:$AA,16,0)-'TRADE IN'!$F499=0,"",(VLOOKUP($C490,REV!$C:$AA,16,0)-'TRADE IN'!$F490))</f>
        <v>449</v>
      </c>
      <c r="S490" s="46">
        <f>IF(VLOOKUP($C490,REV!$C:$AA,17,0)-'TRADE IN'!$F499=0,"",(VLOOKUP($C490,REV!$C:$AA,17,0)-'TRADE IN'!$F490))</f>
        <v>399</v>
      </c>
      <c r="T490" s="46">
        <f>IF(VLOOKUP($C490,REV!$C:$AA,18,0)-'TRADE IN'!$F499=0,"",(VLOOKUP($C490,REV!$C:$AA,18,0)-'TRADE IN'!$F490))</f>
        <v>349</v>
      </c>
      <c r="U490" s="46">
        <f>IF(VLOOKUP($C490,REV!$C:$AA,19,0)-'TRADE IN'!$F499=0,"",(VLOOKUP($C490,REV!$C:$AA,19,0)-'TRADE IN'!$F490))</f>
        <v>349</v>
      </c>
      <c r="V490" s="46">
        <f>IF(VLOOKUP($C490,REV!$C:$AA,20,0)-'TRADE IN'!$F499=0,"",(VLOOKUP($C490,REV!$C:$AA,20,0)-'TRADE IN'!$F490))</f>
        <v>349</v>
      </c>
      <c r="W490" s="46">
        <f>IF(VLOOKUP($C490,REV!$C:$AA,21,0)-'TRADE IN'!$F499=0,"",(VLOOKUP($C490,REV!$C:$AA,21,0)-'TRADE IN'!$F490))</f>
        <v>349</v>
      </c>
      <c r="X490" s="46">
        <f>IF(VLOOKUP($C490,REV!$C:$AA,22,0)-'TRADE IN'!$F499=0,"",(VLOOKUP($C490,REV!$C:$AA,22,0)-'TRADE IN'!$F490))</f>
        <v>349</v>
      </c>
      <c r="Y490" s="46">
        <f>IF(VLOOKUP($C490,REV!$C:$AA,23,0)-'TRADE IN'!$F499=0,"",(VLOOKUP($C490,REV!$C:$AA,23,0)-'TRADE IN'!$F490))</f>
        <v>349</v>
      </c>
      <c r="Z490" s="46">
        <f>IF(VLOOKUP($C490,REV!$C:$AA,24,0)-'TRADE IN'!$F499=0,"",(VLOOKUP($C490,REV!$C:$AA,24,0)-'TRADE IN'!$F490))</f>
        <v>349</v>
      </c>
      <c r="AA490" s="46">
        <f>IF(VLOOKUP($C490,REV!$C:$AA,25,0)-'TRADE IN'!$F499=0,"",(VLOOKUP($C490,REV!$C:$AA,25,0)-'TRADE IN'!$F490))</f>
        <v>349</v>
      </c>
      <c r="AB490" s="46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7"/>
      <c r="AW490" s="48" t="str">
        <f>IF(REV!AW490=0,"",REV!AW490)</f>
        <v>31.03.2026</v>
      </c>
      <c r="AX490" s="159" t="s">
        <v>66</v>
      </c>
    </row>
    <row r="491" spans="1:50" ht="22.5" customHeight="1">
      <c r="A491" s="50" t="s">
        <v>61</v>
      </c>
      <c r="B491" s="41" t="s">
        <v>62</v>
      </c>
      <c r="C491" s="42">
        <v>4014206</v>
      </c>
      <c r="D491" s="44" t="s">
        <v>689</v>
      </c>
      <c r="E491" s="44" t="s">
        <v>695</v>
      </c>
      <c r="F491" s="45"/>
      <c r="G491" s="45"/>
      <c r="H491" s="45"/>
      <c r="I491" s="45"/>
      <c r="J491" s="46">
        <f>IF(VLOOKUP($C491,REV!$C:$AA,8,0)-'TRADE IN'!$F491=0,"",(VLOOKUP($C491,REV!$C:$AA,8,0)-'TRADE IN'!$F491))</f>
        <v>499</v>
      </c>
      <c r="K491" s="46">
        <f>IF(VLOOKUP($C491,REV!$C:$AA,9,0)-'TRADE IN'!$F491=0,"",(VLOOKUP($C491,REV!$C:$AA,9,0)-'TRADE IN'!$F491))</f>
        <v>499</v>
      </c>
      <c r="L491" s="46">
        <f>IF(VLOOKUP($C491,REV!$C:$AA,10,0)-'TRADE IN'!$F500=0,"",(VLOOKUP($C491,REV!$C:$AA,10,0)-'TRADE IN'!$F491))</f>
        <v>499</v>
      </c>
      <c r="M491" s="46">
        <f>IF(VLOOKUP($C491,REV!$C:$AA,11,0)-'TRADE IN'!$F500=0,"",(VLOOKUP($C491,REV!$C:$AA,11,0)-'TRADE IN'!$F491))</f>
        <v>499</v>
      </c>
      <c r="N491" s="46">
        <f>IF(VLOOKUP($C491,REV!$C:$AA,12,0)-'TRADE IN'!$F500=0,"",(VLOOKUP($C491,REV!$C:$AA,12,0)-'TRADE IN'!$F491))</f>
        <v>499</v>
      </c>
      <c r="O491" s="46">
        <f>IF(VLOOKUP($C491,REV!$C:$AA,13,0)-'TRADE IN'!$F500=0,"",(VLOOKUP($C491,REV!$C:$AA,13,0)-'TRADE IN'!$F491))</f>
        <v>449</v>
      </c>
      <c r="P491" s="46">
        <f>IF(VLOOKUP($C491,REV!$C:$AA,14,0)-'TRADE IN'!$F500=0,"",(VLOOKUP($C491,REV!$C:$AA,14,0)-'TRADE IN'!$F491))</f>
        <v>399</v>
      </c>
      <c r="Q491" s="46">
        <f>IF(VLOOKUP($C491,REV!$C:$AA,15,0)-'TRADE IN'!$F500=0,"",(VLOOKUP($C491,REV!$C:$AA,15,0)-'TRADE IN'!$F491))</f>
        <v>349</v>
      </c>
      <c r="R491" s="46">
        <f>IF(VLOOKUP($C491,REV!$C:$AA,16,0)-'TRADE IN'!$F500=0,"",(VLOOKUP($C491,REV!$C:$AA,16,0)-'TRADE IN'!$F491))</f>
        <v>449</v>
      </c>
      <c r="S491" s="46">
        <f>IF(VLOOKUP($C491,REV!$C:$AA,17,0)-'TRADE IN'!$F500=0,"",(VLOOKUP($C491,REV!$C:$AA,17,0)-'TRADE IN'!$F491))</f>
        <v>399</v>
      </c>
      <c r="T491" s="46">
        <f>IF(VLOOKUP($C491,REV!$C:$AA,18,0)-'TRADE IN'!$F500=0,"",(VLOOKUP($C491,REV!$C:$AA,18,0)-'TRADE IN'!$F491))</f>
        <v>349</v>
      </c>
      <c r="U491" s="46">
        <f>IF(VLOOKUP($C491,REV!$C:$AA,19,0)-'TRADE IN'!$F500=0,"",(VLOOKUP($C491,REV!$C:$AA,19,0)-'TRADE IN'!$F491))</f>
        <v>349</v>
      </c>
      <c r="V491" s="46">
        <f>IF(VLOOKUP($C491,REV!$C:$AA,20,0)-'TRADE IN'!$F500=0,"",(VLOOKUP($C491,REV!$C:$AA,20,0)-'TRADE IN'!$F491))</f>
        <v>349</v>
      </c>
      <c r="W491" s="46">
        <f>IF(VLOOKUP($C491,REV!$C:$AA,21,0)-'TRADE IN'!$F500=0,"",(VLOOKUP($C491,REV!$C:$AA,21,0)-'TRADE IN'!$F491))</f>
        <v>349</v>
      </c>
      <c r="X491" s="46">
        <f>IF(VLOOKUP($C491,REV!$C:$AA,22,0)-'TRADE IN'!$F500=0,"",(VLOOKUP($C491,REV!$C:$AA,22,0)-'TRADE IN'!$F491))</f>
        <v>349</v>
      </c>
      <c r="Y491" s="46">
        <f>IF(VLOOKUP($C491,REV!$C:$AA,23,0)-'TRADE IN'!$F500=0,"",(VLOOKUP($C491,REV!$C:$AA,23,0)-'TRADE IN'!$F491))</f>
        <v>349</v>
      </c>
      <c r="Z491" s="46">
        <f>IF(VLOOKUP($C491,REV!$C:$AA,24,0)-'TRADE IN'!$F500=0,"",(VLOOKUP($C491,REV!$C:$AA,24,0)-'TRADE IN'!$F491))</f>
        <v>349</v>
      </c>
      <c r="AA491" s="46">
        <f>IF(VLOOKUP($C491,REV!$C:$AA,25,0)-'TRADE IN'!$F500=0,"",(VLOOKUP($C491,REV!$C:$AA,25,0)-'TRADE IN'!$F491))</f>
        <v>349</v>
      </c>
      <c r="AB491" s="46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7"/>
      <c r="AW491" s="48" t="str">
        <f>IF(REV!AW491=0,"",REV!AW491)</f>
        <v>31.03.2026</v>
      </c>
      <c r="AX491" s="159" t="s">
        <v>66</v>
      </c>
    </row>
    <row r="492" spans="1:50" ht="22.5" customHeight="1">
      <c r="A492" s="50" t="s">
        <v>61</v>
      </c>
      <c r="B492" s="41" t="s">
        <v>62</v>
      </c>
      <c r="C492" s="42">
        <v>4014207</v>
      </c>
      <c r="D492" s="44" t="s">
        <v>689</v>
      </c>
      <c r="E492" s="44" t="s">
        <v>696</v>
      </c>
      <c r="F492" s="45"/>
      <c r="G492" s="45"/>
      <c r="H492" s="45"/>
      <c r="I492" s="45"/>
      <c r="J492" s="46">
        <f>IF(VLOOKUP($C492,REV!$C:$AA,8,0)-'TRADE IN'!$F492=0,"",(VLOOKUP($C492,REV!$C:$AA,8,0)-'TRADE IN'!$F492))</f>
        <v>499</v>
      </c>
      <c r="K492" s="46">
        <f>IF(VLOOKUP($C492,REV!$C:$AA,9,0)-'TRADE IN'!$F492=0,"",(VLOOKUP($C492,REV!$C:$AA,9,0)-'TRADE IN'!$F492))</f>
        <v>499</v>
      </c>
      <c r="L492" s="46">
        <f>IF(VLOOKUP($C492,REV!$C:$AA,10,0)-'TRADE IN'!$F501=0,"",(VLOOKUP($C492,REV!$C:$AA,10,0)-'TRADE IN'!$F492))</f>
        <v>499</v>
      </c>
      <c r="M492" s="46">
        <f>IF(VLOOKUP($C492,REV!$C:$AA,11,0)-'TRADE IN'!$F501=0,"",(VLOOKUP($C492,REV!$C:$AA,11,0)-'TRADE IN'!$F492))</f>
        <v>499</v>
      </c>
      <c r="N492" s="46">
        <f>IF(VLOOKUP($C492,REV!$C:$AA,12,0)-'TRADE IN'!$F501=0,"",(VLOOKUP($C492,REV!$C:$AA,12,0)-'TRADE IN'!$F492))</f>
        <v>499</v>
      </c>
      <c r="O492" s="46">
        <f>IF(VLOOKUP($C492,REV!$C:$AA,13,0)-'TRADE IN'!$F501=0,"",(VLOOKUP($C492,REV!$C:$AA,13,0)-'TRADE IN'!$F492))</f>
        <v>449</v>
      </c>
      <c r="P492" s="46">
        <f>IF(VLOOKUP($C492,REV!$C:$AA,14,0)-'TRADE IN'!$F501=0,"",(VLOOKUP($C492,REV!$C:$AA,14,0)-'TRADE IN'!$F492))</f>
        <v>399</v>
      </c>
      <c r="Q492" s="46">
        <f>IF(VLOOKUP($C492,REV!$C:$AA,15,0)-'TRADE IN'!$F501=0,"",(VLOOKUP($C492,REV!$C:$AA,15,0)-'TRADE IN'!$F492))</f>
        <v>349</v>
      </c>
      <c r="R492" s="46">
        <f>IF(VLOOKUP($C492,REV!$C:$AA,16,0)-'TRADE IN'!$F501=0,"",(VLOOKUP($C492,REV!$C:$AA,16,0)-'TRADE IN'!$F492))</f>
        <v>449</v>
      </c>
      <c r="S492" s="46">
        <f>IF(VLOOKUP($C492,REV!$C:$AA,17,0)-'TRADE IN'!$F501=0,"",(VLOOKUP($C492,REV!$C:$AA,17,0)-'TRADE IN'!$F492))</f>
        <v>399</v>
      </c>
      <c r="T492" s="46">
        <f>IF(VLOOKUP($C492,REV!$C:$AA,18,0)-'TRADE IN'!$F501=0,"",(VLOOKUP($C492,REV!$C:$AA,18,0)-'TRADE IN'!$F492))</f>
        <v>349</v>
      </c>
      <c r="U492" s="46">
        <f>IF(VLOOKUP($C492,REV!$C:$AA,19,0)-'TRADE IN'!$F501=0,"",(VLOOKUP($C492,REV!$C:$AA,19,0)-'TRADE IN'!$F492))</f>
        <v>349</v>
      </c>
      <c r="V492" s="46">
        <f>IF(VLOOKUP($C492,REV!$C:$AA,20,0)-'TRADE IN'!$F501=0,"",(VLOOKUP($C492,REV!$C:$AA,20,0)-'TRADE IN'!$F492))</f>
        <v>349</v>
      </c>
      <c r="W492" s="46">
        <f>IF(VLOOKUP($C492,REV!$C:$AA,21,0)-'TRADE IN'!$F501=0,"",(VLOOKUP($C492,REV!$C:$AA,21,0)-'TRADE IN'!$F492))</f>
        <v>349</v>
      </c>
      <c r="X492" s="46">
        <f>IF(VLOOKUP($C492,REV!$C:$AA,22,0)-'TRADE IN'!$F501=0,"",(VLOOKUP($C492,REV!$C:$AA,22,0)-'TRADE IN'!$F492))</f>
        <v>349</v>
      </c>
      <c r="Y492" s="46">
        <f>IF(VLOOKUP($C492,REV!$C:$AA,23,0)-'TRADE IN'!$F501=0,"",(VLOOKUP($C492,REV!$C:$AA,23,0)-'TRADE IN'!$F492))</f>
        <v>349</v>
      </c>
      <c r="Z492" s="46">
        <f>IF(VLOOKUP($C492,REV!$C:$AA,24,0)-'TRADE IN'!$F501=0,"",(VLOOKUP($C492,REV!$C:$AA,24,0)-'TRADE IN'!$F492))</f>
        <v>349</v>
      </c>
      <c r="AA492" s="46">
        <f>IF(VLOOKUP($C492,REV!$C:$AA,25,0)-'TRADE IN'!$F501=0,"",(VLOOKUP($C492,REV!$C:$AA,25,0)-'TRADE IN'!$F492))</f>
        <v>349</v>
      </c>
      <c r="AB492" s="46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7"/>
      <c r="AW492" s="48" t="str">
        <f>IF(REV!AW492=0,"",REV!AW492)</f>
        <v>31.03.2026</v>
      </c>
      <c r="AX492" s="159" t="s">
        <v>66</v>
      </c>
    </row>
    <row r="493" spans="1:50" ht="22.5" customHeight="1">
      <c r="A493" s="50" t="s">
        <v>61</v>
      </c>
      <c r="B493" s="41" t="s">
        <v>62</v>
      </c>
      <c r="C493" s="42">
        <v>4014208</v>
      </c>
      <c r="D493" s="44" t="s">
        <v>689</v>
      </c>
      <c r="E493" s="44" t="s">
        <v>697</v>
      </c>
      <c r="F493" s="45"/>
      <c r="G493" s="45"/>
      <c r="H493" s="45"/>
      <c r="I493" s="45"/>
      <c r="J493" s="46">
        <f>IF(VLOOKUP($C493,REV!$C:$AA,8,0)-'TRADE IN'!$F493=0,"",(VLOOKUP($C493,REV!$C:$AA,8,0)-'TRADE IN'!$F493))</f>
        <v>499</v>
      </c>
      <c r="K493" s="46">
        <f>IF(VLOOKUP($C493,REV!$C:$AA,9,0)-'TRADE IN'!$F493=0,"",(VLOOKUP($C493,REV!$C:$AA,9,0)-'TRADE IN'!$F493))</f>
        <v>499</v>
      </c>
      <c r="L493" s="46">
        <f>IF(VLOOKUP($C493,REV!$C:$AA,10,0)-'TRADE IN'!$F502=0,"",(VLOOKUP($C493,REV!$C:$AA,10,0)-'TRADE IN'!$F493))</f>
        <v>499</v>
      </c>
      <c r="M493" s="46">
        <f>IF(VLOOKUP($C493,REV!$C:$AA,11,0)-'TRADE IN'!$F502=0,"",(VLOOKUP($C493,REV!$C:$AA,11,0)-'TRADE IN'!$F493))</f>
        <v>499</v>
      </c>
      <c r="N493" s="46">
        <f>IF(VLOOKUP($C493,REV!$C:$AA,12,0)-'TRADE IN'!$F502=0,"",(VLOOKUP($C493,REV!$C:$AA,12,0)-'TRADE IN'!$F493))</f>
        <v>499</v>
      </c>
      <c r="O493" s="46">
        <f>IF(VLOOKUP($C493,REV!$C:$AA,13,0)-'TRADE IN'!$F502=0,"",(VLOOKUP($C493,REV!$C:$AA,13,0)-'TRADE IN'!$F493))</f>
        <v>449</v>
      </c>
      <c r="P493" s="46">
        <f>IF(VLOOKUP($C493,REV!$C:$AA,14,0)-'TRADE IN'!$F502=0,"",(VLOOKUP($C493,REV!$C:$AA,14,0)-'TRADE IN'!$F493))</f>
        <v>399</v>
      </c>
      <c r="Q493" s="46">
        <f>IF(VLOOKUP($C493,REV!$C:$AA,15,0)-'TRADE IN'!$F502=0,"",(VLOOKUP($C493,REV!$C:$AA,15,0)-'TRADE IN'!$F493))</f>
        <v>349</v>
      </c>
      <c r="R493" s="46">
        <f>IF(VLOOKUP($C493,REV!$C:$AA,16,0)-'TRADE IN'!$F502=0,"",(VLOOKUP($C493,REV!$C:$AA,16,0)-'TRADE IN'!$F493))</f>
        <v>449</v>
      </c>
      <c r="S493" s="46">
        <f>IF(VLOOKUP($C493,REV!$C:$AA,17,0)-'TRADE IN'!$F502=0,"",(VLOOKUP($C493,REV!$C:$AA,17,0)-'TRADE IN'!$F493))</f>
        <v>399</v>
      </c>
      <c r="T493" s="46">
        <f>IF(VLOOKUP($C493,REV!$C:$AA,18,0)-'TRADE IN'!$F502=0,"",(VLOOKUP($C493,REV!$C:$AA,18,0)-'TRADE IN'!$F493))</f>
        <v>349</v>
      </c>
      <c r="U493" s="46">
        <f>IF(VLOOKUP($C493,REV!$C:$AA,19,0)-'TRADE IN'!$F502=0,"",(VLOOKUP($C493,REV!$C:$AA,19,0)-'TRADE IN'!$F493))</f>
        <v>349</v>
      </c>
      <c r="V493" s="46">
        <f>IF(VLOOKUP($C493,REV!$C:$AA,20,0)-'TRADE IN'!$F502=0,"",(VLOOKUP($C493,REV!$C:$AA,20,0)-'TRADE IN'!$F493))</f>
        <v>349</v>
      </c>
      <c r="W493" s="46">
        <f>IF(VLOOKUP($C493,REV!$C:$AA,21,0)-'TRADE IN'!$F502=0,"",(VLOOKUP($C493,REV!$C:$AA,21,0)-'TRADE IN'!$F493))</f>
        <v>349</v>
      </c>
      <c r="X493" s="46">
        <f>IF(VLOOKUP($C493,REV!$C:$AA,22,0)-'TRADE IN'!$F502=0,"",(VLOOKUP($C493,REV!$C:$AA,22,0)-'TRADE IN'!$F493))</f>
        <v>349</v>
      </c>
      <c r="Y493" s="46">
        <f>IF(VLOOKUP($C493,REV!$C:$AA,23,0)-'TRADE IN'!$F502=0,"",(VLOOKUP($C493,REV!$C:$AA,23,0)-'TRADE IN'!$F493))</f>
        <v>349</v>
      </c>
      <c r="Z493" s="46">
        <f>IF(VLOOKUP($C493,REV!$C:$AA,24,0)-'TRADE IN'!$F502=0,"",(VLOOKUP($C493,REV!$C:$AA,24,0)-'TRADE IN'!$F493))</f>
        <v>349</v>
      </c>
      <c r="AA493" s="46">
        <f>IF(VLOOKUP($C493,REV!$C:$AA,25,0)-'TRADE IN'!$F502=0,"",(VLOOKUP($C493,REV!$C:$AA,25,0)-'TRADE IN'!$F493))</f>
        <v>349</v>
      </c>
      <c r="AB493" s="46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7"/>
      <c r="AW493" s="48" t="str">
        <f>IF(REV!AW493=0,"",REV!AW493)</f>
        <v>31.03.2026</v>
      </c>
      <c r="AX493" s="159" t="s">
        <v>66</v>
      </c>
    </row>
    <row r="494" spans="1:50" ht="22.5" customHeight="1">
      <c r="A494" s="50" t="s">
        <v>61</v>
      </c>
      <c r="B494" s="41" t="s">
        <v>62</v>
      </c>
      <c r="C494" s="42">
        <v>4014360</v>
      </c>
      <c r="D494" s="44" t="s">
        <v>689</v>
      </c>
      <c r="E494" s="44" t="s">
        <v>698</v>
      </c>
      <c r="F494" s="45"/>
      <c r="G494" s="45"/>
      <c r="H494" s="45"/>
      <c r="I494" s="45"/>
      <c r="J494" s="46">
        <f>IF(VLOOKUP($C494,REV!$C:$AA,8,0)-'TRADE IN'!$F494=0,"",(VLOOKUP($C494,REV!$C:$AA,8,0)-'TRADE IN'!$F494))</f>
        <v>499</v>
      </c>
      <c r="K494" s="46">
        <f>IF(VLOOKUP($C494,REV!$C:$AA,9,0)-'TRADE IN'!$F494=0,"",(VLOOKUP($C494,REV!$C:$AA,9,0)-'TRADE IN'!$F494))</f>
        <v>499</v>
      </c>
      <c r="L494" s="46">
        <f>IF(VLOOKUP($C494,REV!$C:$AA,10,0)-'TRADE IN'!$F503=0,"",(VLOOKUP($C494,REV!$C:$AA,10,0)-'TRADE IN'!$F494))</f>
        <v>499</v>
      </c>
      <c r="M494" s="46">
        <f>IF(VLOOKUP($C494,REV!$C:$AA,11,0)-'TRADE IN'!$F503=0,"",(VLOOKUP($C494,REV!$C:$AA,11,0)-'TRADE IN'!$F494))</f>
        <v>499</v>
      </c>
      <c r="N494" s="46">
        <f>IF(VLOOKUP($C494,REV!$C:$AA,12,0)-'TRADE IN'!$F503=0,"",(VLOOKUP($C494,REV!$C:$AA,12,0)-'TRADE IN'!$F494))</f>
        <v>499</v>
      </c>
      <c r="O494" s="46">
        <f>IF(VLOOKUP($C494,REV!$C:$AA,13,0)-'TRADE IN'!$F503=0,"",(VLOOKUP($C494,REV!$C:$AA,13,0)-'TRADE IN'!$F494))</f>
        <v>449</v>
      </c>
      <c r="P494" s="46">
        <f>IF(VLOOKUP($C494,REV!$C:$AA,14,0)-'TRADE IN'!$F503=0,"",(VLOOKUP($C494,REV!$C:$AA,14,0)-'TRADE IN'!$F494))</f>
        <v>399</v>
      </c>
      <c r="Q494" s="46">
        <f>IF(VLOOKUP($C494,REV!$C:$AA,15,0)-'TRADE IN'!$F503=0,"",(VLOOKUP($C494,REV!$C:$AA,15,0)-'TRADE IN'!$F494))</f>
        <v>349</v>
      </c>
      <c r="R494" s="46">
        <f>IF(VLOOKUP($C494,REV!$C:$AA,16,0)-'TRADE IN'!$F503=0,"",(VLOOKUP($C494,REV!$C:$AA,16,0)-'TRADE IN'!$F494))</f>
        <v>449</v>
      </c>
      <c r="S494" s="46">
        <f>IF(VLOOKUP($C494,REV!$C:$AA,17,0)-'TRADE IN'!$F503=0,"",(VLOOKUP($C494,REV!$C:$AA,17,0)-'TRADE IN'!$F494))</f>
        <v>399</v>
      </c>
      <c r="T494" s="46">
        <f>IF(VLOOKUP($C494,REV!$C:$AA,18,0)-'TRADE IN'!$F503=0,"",(VLOOKUP($C494,REV!$C:$AA,18,0)-'TRADE IN'!$F494))</f>
        <v>349</v>
      </c>
      <c r="U494" s="46">
        <f>IF(VLOOKUP($C494,REV!$C:$AA,19,0)-'TRADE IN'!$F503=0,"",(VLOOKUP($C494,REV!$C:$AA,19,0)-'TRADE IN'!$F494))</f>
        <v>349</v>
      </c>
      <c r="V494" s="46">
        <f>IF(VLOOKUP($C494,REV!$C:$AA,20,0)-'TRADE IN'!$F503=0,"",(VLOOKUP($C494,REV!$C:$AA,20,0)-'TRADE IN'!$F494))</f>
        <v>349</v>
      </c>
      <c r="W494" s="46">
        <f>IF(VLOOKUP($C494,REV!$C:$AA,21,0)-'TRADE IN'!$F503=0,"",(VLOOKUP($C494,REV!$C:$AA,21,0)-'TRADE IN'!$F494))</f>
        <v>349</v>
      </c>
      <c r="X494" s="46">
        <f>IF(VLOOKUP($C494,REV!$C:$AA,22,0)-'TRADE IN'!$F503=0,"",(VLOOKUP($C494,REV!$C:$AA,22,0)-'TRADE IN'!$F494))</f>
        <v>349</v>
      </c>
      <c r="Y494" s="46">
        <f>IF(VLOOKUP($C494,REV!$C:$AA,23,0)-'TRADE IN'!$F503=0,"",(VLOOKUP($C494,REV!$C:$AA,23,0)-'TRADE IN'!$F494))</f>
        <v>349</v>
      </c>
      <c r="Z494" s="46">
        <f>IF(VLOOKUP($C494,REV!$C:$AA,24,0)-'TRADE IN'!$F503=0,"",(VLOOKUP($C494,REV!$C:$AA,24,0)-'TRADE IN'!$F494))</f>
        <v>349</v>
      </c>
      <c r="AA494" s="46">
        <f>IF(VLOOKUP($C494,REV!$C:$AA,25,0)-'TRADE IN'!$F503=0,"",(VLOOKUP($C494,REV!$C:$AA,25,0)-'TRADE IN'!$F494))</f>
        <v>349</v>
      </c>
      <c r="AB494" s="46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7"/>
      <c r="AW494" s="48" t="str">
        <f>IF(REV!AW494=0,"",REV!AW494)</f>
        <v>31.03.2026</v>
      </c>
      <c r="AX494" s="159" t="s">
        <v>66</v>
      </c>
    </row>
    <row r="495" spans="1:50" ht="22.5" customHeight="1">
      <c r="A495" s="50" t="s">
        <v>61</v>
      </c>
      <c r="B495" s="41" t="s">
        <v>62</v>
      </c>
      <c r="C495" s="42">
        <v>4014361</v>
      </c>
      <c r="D495" s="44" t="s">
        <v>689</v>
      </c>
      <c r="E495" s="44" t="s">
        <v>699</v>
      </c>
      <c r="F495" s="45"/>
      <c r="G495" s="45"/>
      <c r="H495" s="45"/>
      <c r="I495" s="45"/>
      <c r="J495" s="46">
        <f>IF(VLOOKUP($C495,REV!$C:$AA,8,0)-'TRADE IN'!$F495=0,"",(VLOOKUP($C495,REV!$C:$AA,8,0)-'TRADE IN'!$F495))</f>
        <v>499</v>
      </c>
      <c r="K495" s="46">
        <f>IF(VLOOKUP($C495,REV!$C:$AA,9,0)-'TRADE IN'!$F495=0,"",(VLOOKUP($C495,REV!$C:$AA,9,0)-'TRADE IN'!$F495))</f>
        <v>499</v>
      </c>
      <c r="L495" s="46">
        <f>IF(VLOOKUP($C495,REV!$C:$AA,10,0)-'TRADE IN'!$F504=0,"",(VLOOKUP($C495,REV!$C:$AA,10,0)-'TRADE IN'!$F495))</f>
        <v>499</v>
      </c>
      <c r="M495" s="46">
        <f>IF(VLOOKUP($C495,REV!$C:$AA,11,0)-'TRADE IN'!$F504=0,"",(VLOOKUP($C495,REV!$C:$AA,11,0)-'TRADE IN'!$F495))</f>
        <v>499</v>
      </c>
      <c r="N495" s="46">
        <f>IF(VLOOKUP($C495,REV!$C:$AA,12,0)-'TRADE IN'!$F504=0,"",(VLOOKUP($C495,REV!$C:$AA,12,0)-'TRADE IN'!$F495))</f>
        <v>499</v>
      </c>
      <c r="O495" s="46">
        <f>IF(VLOOKUP($C495,REV!$C:$AA,13,0)-'TRADE IN'!$F504=0,"",(VLOOKUP($C495,REV!$C:$AA,13,0)-'TRADE IN'!$F495))</f>
        <v>449</v>
      </c>
      <c r="P495" s="46">
        <f>IF(VLOOKUP($C495,REV!$C:$AA,14,0)-'TRADE IN'!$F504=0,"",(VLOOKUP($C495,REV!$C:$AA,14,0)-'TRADE IN'!$F495))</f>
        <v>399</v>
      </c>
      <c r="Q495" s="46">
        <f>IF(VLOOKUP($C495,REV!$C:$AA,15,0)-'TRADE IN'!$F504=0,"",(VLOOKUP($C495,REV!$C:$AA,15,0)-'TRADE IN'!$F495))</f>
        <v>349</v>
      </c>
      <c r="R495" s="46">
        <f>IF(VLOOKUP($C495,REV!$C:$AA,16,0)-'TRADE IN'!$F504=0,"",(VLOOKUP($C495,REV!$C:$AA,16,0)-'TRADE IN'!$F495))</f>
        <v>449</v>
      </c>
      <c r="S495" s="46">
        <f>IF(VLOOKUP($C495,REV!$C:$AA,17,0)-'TRADE IN'!$F504=0,"",(VLOOKUP($C495,REV!$C:$AA,17,0)-'TRADE IN'!$F495))</f>
        <v>399</v>
      </c>
      <c r="T495" s="46">
        <f>IF(VLOOKUP($C495,REV!$C:$AA,18,0)-'TRADE IN'!$F504=0,"",(VLOOKUP($C495,REV!$C:$AA,18,0)-'TRADE IN'!$F495))</f>
        <v>349</v>
      </c>
      <c r="U495" s="46">
        <f>IF(VLOOKUP($C495,REV!$C:$AA,19,0)-'TRADE IN'!$F504=0,"",(VLOOKUP($C495,REV!$C:$AA,19,0)-'TRADE IN'!$F495))</f>
        <v>349</v>
      </c>
      <c r="V495" s="46">
        <f>IF(VLOOKUP($C495,REV!$C:$AA,20,0)-'TRADE IN'!$F504=0,"",(VLOOKUP($C495,REV!$C:$AA,20,0)-'TRADE IN'!$F495))</f>
        <v>349</v>
      </c>
      <c r="W495" s="46">
        <f>IF(VLOOKUP($C495,REV!$C:$AA,21,0)-'TRADE IN'!$F504=0,"",(VLOOKUP($C495,REV!$C:$AA,21,0)-'TRADE IN'!$F495))</f>
        <v>349</v>
      </c>
      <c r="X495" s="46">
        <f>IF(VLOOKUP($C495,REV!$C:$AA,22,0)-'TRADE IN'!$F504=0,"",(VLOOKUP($C495,REV!$C:$AA,22,0)-'TRADE IN'!$F495))</f>
        <v>349</v>
      </c>
      <c r="Y495" s="46">
        <f>IF(VLOOKUP($C495,REV!$C:$AA,23,0)-'TRADE IN'!$F504=0,"",(VLOOKUP($C495,REV!$C:$AA,23,0)-'TRADE IN'!$F495))</f>
        <v>349</v>
      </c>
      <c r="Z495" s="46">
        <f>IF(VLOOKUP($C495,REV!$C:$AA,24,0)-'TRADE IN'!$F504=0,"",(VLOOKUP($C495,REV!$C:$AA,24,0)-'TRADE IN'!$F495))</f>
        <v>349</v>
      </c>
      <c r="AA495" s="46">
        <f>IF(VLOOKUP($C495,REV!$C:$AA,25,0)-'TRADE IN'!$F504=0,"",(VLOOKUP($C495,REV!$C:$AA,25,0)-'TRADE IN'!$F495))</f>
        <v>349</v>
      </c>
      <c r="AB495" s="46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7"/>
      <c r="AW495" s="48" t="str">
        <f>IF(REV!AW495=0,"",REV!AW495)</f>
        <v>31.03.2026</v>
      </c>
      <c r="AX495" s="159" t="s">
        <v>66</v>
      </c>
    </row>
    <row r="496" spans="1:50" ht="22.5" customHeight="1">
      <c r="A496" s="50" t="s">
        <v>61</v>
      </c>
      <c r="B496" s="41" t="s">
        <v>62</v>
      </c>
      <c r="C496" s="42">
        <v>4014161</v>
      </c>
      <c r="D496" s="44" t="s">
        <v>700</v>
      </c>
      <c r="E496" s="44" t="s">
        <v>701</v>
      </c>
      <c r="F496" s="45"/>
      <c r="G496" s="45"/>
      <c r="H496" s="45"/>
      <c r="I496" s="45"/>
      <c r="J496" s="46">
        <f>IF(VLOOKUP($C496,REV!$C:$AA,8,0)-'TRADE IN'!$F496=0,"",(VLOOKUP($C496,REV!$C:$AA,8,0)-'TRADE IN'!$F496))</f>
        <v>599</v>
      </c>
      <c r="K496" s="46">
        <f>IF(VLOOKUP($C496,REV!$C:$AA,9,0)-'TRADE IN'!$F496=0,"",(VLOOKUP($C496,REV!$C:$AA,9,0)-'TRADE IN'!$F496))</f>
        <v>599</v>
      </c>
      <c r="L496" s="46">
        <f>IF(VLOOKUP($C496,REV!$C:$AA,10,0)-'TRADE IN'!$F505=0,"",(VLOOKUP($C496,REV!$C:$AA,10,0)-'TRADE IN'!$F496))</f>
        <v>599</v>
      </c>
      <c r="M496" s="46">
        <f>IF(VLOOKUP($C496,REV!$C:$AA,11,0)-'TRADE IN'!$F505=0,"",(VLOOKUP($C496,REV!$C:$AA,11,0)-'TRADE IN'!$F496))</f>
        <v>599</v>
      </c>
      <c r="N496" s="46">
        <f>IF(VLOOKUP($C496,REV!$C:$AA,12,0)-'TRADE IN'!$F505=0,"",(VLOOKUP($C496,REV!$C:$AA,12,0)-'TRADE IN'!$F496))</f>
        <v>599</v>
      </c>
      <c r="O496" s="46">
        <f>IF(VLOOKUP($C496,REV!$C:$AA,13,0)-'TRADE IN'!$F505=0,"",(VLOOKUP($C496,REV!$C:$AA,13,0)-'TRADE IN'!$F496))</f>
        <v>549</v>
      </c>
      <c r="P496" s="46">
        <f>IF(VLOOKUP($C496,REV!$C:$AA,14,0)-'TRADE IN'!$F505=0,"",(VLOOKUP($C496,REV!$C:$AA,14,0)-'TRADE IN'!$F496))</f>
        <v>499</v>
      </c>
      <c r="Q496" s="46">
        <f>IF(VLOOKUP($C496,REV!$C:$AA,15,0)-'TRADE IN'!$F505=0,"",(VLOOKUP($C496,REV!$C:$AA,15,0)-'TRADE IN'!$F496))</f>
        <v>399</v>
      </c>
      <c r="R496" s="46">
        <f>IF(VLOOKUP($C496,REV!$C:$AA,16,0)-'TRADE IN'!$F505=0,"",(VLOOKUP($C496,REV!$C:$AA,16,0)-'TRADE IN'!$F496))</f>
        <v>549</v>
      </c>
      <c r="S496" s="46">
        <f>IF(VLOOKUP($C496,REV!$C:$AA,17,0)-'TRADE IN'!$F505=0,"",(VLOOKUP($C496,REV!$C:$AA,17,0)-'TRADE IN'!$F496))</f>
        <v>499</v>
      </c>
      <c r="T496" s="46">
        <f>IF(VLOOKUP($C496,REV!$C:$AA,18,0)-'TRADE IN'!$F505=0,"",(VLOOKUP($C496,REV!$C:$AA,18,0)-'TRADE IN'!$F496))</f>
        <v>399</v>
      </c>
      <c r="U496" s="46">
        <f>IF(VLOOKUP($C496,REV!$C:$AA,19,0)-'TRADE IN'!$F505=0,"",(VLOOKUP($C496,REV!$C:$AA,19,0)-'TRADE IN'!$F496))</f>
        <v>399</v>
      </c>
      <c r="V496" s="46">
        <f>IF(VLOOKUP($C496,REV!$C:$AA,20,0)-'TRADE IN'!$F505=0,"",(VLOOKUP($C496,REV!$C:$AA,20,0)-'TRADE IN'!$F496))</f>
        <v>399</v>
      </c>
      <c r="W496" s="46">
        <f>IF(VLOOKUP($C496,REV!$C:$AA,21,0)-'TRADE IN'!$F505=0,"",(VLOOKUP($C496,REV!$C:$AA,21,0)-'TRADE IN'!$F496))</f>
        <v>399</v>
      </c>
      <c r="X496" s="46">
        <f>IF(VLOOKUP($C496,REV!$C:$AA,22,0)-'TRADE IN'!$F505=0,"",(VLOOKUP($C496,REV!$C:$AA,22,0)-'TRADE IN'!$F496))</f>
        <v>399</v>
      </c>
      <c r="Y496" s="46">
        <f>IF(VLOOKUP($C496,REV!$C:$AA,23,0)-'TRADE IN'!$F505=0,"",(VLOOKUP($C496,REV!$C:$AA,23,0)-'TRADE IN'!$F496))</f>
        <v>399</v>
      </c>
      <c r="Z496" s="46">
        <f>IF(VLOOKUP($C496,REV!$C:$AA,24,0)-'TRADE IN'!$F505=0,"",(VLOOKUP($C496,REV!$C:$AA,24,0)-'TRADE IN'!$F496))</f>
        <v>399</v>
      </c>
      <c r="AA496" s="46">
        <f>IF(VLOOKUP($C496,REV!$C:$AA,25,0)-'TRADE IN'!$F505=0,"",(VLOOKUP($C496,REV!$C:$AA,25,0)-'TRADE IN'!$F496))</f>
        <v>399</v>
      </c>
      <c r="AB496" s="46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7"/>
      <c r="AW496" s="48" t="str">
        <f>IF(REV!AW496=0,"",REV!AW496)</f>
        <v>31.03.2026</v>
      </c>
      <c r="AX496" s="159" t="s">
        <v>82</v>
      </c>
    </row>
    <row r="497" spans="1:50" ht="22.5" customHeight="1">
      <c r="A497" s="50" t="s">
        <v>61</v>
      </c>
      <c r="B497" s="41" t="s">
        <v>62</v>
      </c>
      <c r="C497" s="42">
        <v>4014163</v>
      </c>
      <c r="D497" s="44" t="s">
        <v>700</v>
      </c>
      <c r="E497" s="44" t="s">
        <v>702</v>
      </c>
      <c r="F497" s="45"/>
      <c r="G497" s="45"/>
      <c r="H497" s="45"/>
      <c r="I497" s="45"/>
      <c r="J497" s="46">
        <f>IF(VLOOKUP($C497,REV!$C:$AA,8,0)-'TRADE IN'!$F497=0,"",(VLOOKUP($C497,REV!$C:$AA,8,0)-'TRADE IN'!$F497))</f>
        <v>599</v>
      </c>
      <c r="K497" s="46">
        <f>IF(VLOOKUP($C497,REV!$C:$AA,9,0)-'TRADE IN'!$F497=0,"",(VLOOKUP($C497,REV!$C:$AA,9,0)-'TRADE IN'!$F497))</f>
        <v>599</v>
      </c>
      <c r="L497" s="46">
        <f>IF(VLOOKUP($C497,REV!$C:$AA,10,0)-'TRADE IN'!$F506=0,"",(VLOOKUP($C497,REV!$C:$AA,10,0)-'TRADE IN'!$F497))</f>
        <v>599</v>
      </c>
      <c r="M497" s="46">
        <f>IF(VLOOKUP($C497,REV!$C:$AA,11,0)-'TRADE IN'!$F506=0,"",(VLOOKUP($C497,REV!$C:$AA,11,0)-'TRADE IN'!$F497))</f>
        <v>599</v>
      </c>
      <c r="N497" s="46">
        <f>IF(VLOOKUP($C497,REV!$C:$AA,12,0)-'TRADE IN'!$F506=0,"",(VLOOKUP($C497,REV!$C:$AA,12,0)-'TRADE IN'!$F497))</f>
        <v>599</v>
      </c>
      <c r="O497" s="46">
        <f>IF(VLOOKUP($C497,REV!$C:$AA,13,0)-'TRADE IN'!$F506=0,"",(VLOOKUP($C497,REV!$C:$AA,13,0)-'TRADE IN'!$F497))</f>
        <v>549</v>
      </c>
      <c r="P497" s="46">
        <f>IF(VLOOKUP($C497,REV!$C:$AA,14,0)-'TRADE IN'!$F506=0,"",(VLOOKUP($C497,REV!$C:$AA,14,0)-'TRADE IN'!$F497))</f>
        <v>499</v>
      </c>
      <c r="Q497" s="46">
        <f>IF(VLOOKUP($C497,REV!$C:$AA,15,0)-'TRADE IN'!$F506=0,"",(VLOOKUP($C497,REV!$C:$AA,15,0)-'TRADE IN'!$F497))</f>
        <v>399</v>
      </c>
      <c r="R497" s="46">
        <f>IF(VLOOKUP($C497,REV!$C:$AA,16,0)-'TRADE IN'!$F506=0,"",(VLOOKUP($C497,REV!$C:$AA,16,0)-'TRADE IN'!$F497))</f>
        <v>549</v>
      </c>
      <c r="S497" s="46">
        <f>IF(VLOOKUP($C497,REV!$C:$AA,17,0)-'TRADE IN'!$F506=0,"",(VLOOKUP($C497,REV!$C:$AA,17,0)-'TRADE IN'!$F497))</f>
        <v>499</v>
      </c>
      <c r="T497" s="46">
        <f>IF(VLOOKUP($C497,REV!$C:$AA,18,0)-'TRADE IN'!$F506=0,"",(VLOOKUP($C497,REV!$C:$AA,18,0)-'TRADE IN'!$F497))</f>
        <v>399</v>
      </c>
      <c r="U497" s="46">
        <f>IF(VLOOKUP($C497,REV!$C:$AA,19,0)-'TRADE IN'!$F506=0,"",(VLOOKUP($C497,REV!$C:$AA,19,0)-'TRADE IN'!$F497))</f>
        <v>399</v>
      </c>
      <c r="V497" s="46">
        <f>IF(VLOOKUP($C497,REV!$C:$AA,20,0)-'TRADE IN'!$F506=0,"",(VLOOKUP($C497,REV!$C:$AA,20,0)-'TRADE IN'!$F497))</f>
        <v>399</v>
      </c>
      <c r="W497" s="46">
        <f>IF(VLOOKUP($C497,REV!$C:$AA,21,0)-'TRADE IN'!$F506=0,"",(VLOOKUP($C497,REV!$C:$AA,21,0)-'TRADE IN'!$F497))</f>
        <v>399</v>
      </c>
      <c r="X497" s="46">
        <f>IF(VLOOKUP($C497,REV!$C:$AA,22,0)-'TRADE IN'!$F506=0,"",(VLOOKUP($C497,REV!$C:$AA,22,0)-'TRADE IN'!$F497))</f>
        <v>399</v>
      </c>
      <c r="Y497" s="46">
        <f>IF(VLOOKUP($C497,REV!$C:$AA,23,0)-'TRADE IN'!$F506=0,"",(VLOOKUP($C497,REV!$C:$AA,23,0)-'TRADE IN'!$F497))</f>
        <v>399</v>
      </c>
      <c r="Z497" s="46">
        <f>IF(VLOOKUP($C497,REV!$C:$AA,24,0)-'TRADE IN'!$F506=0,"",(VLOOKUP($C497,REV!$C:$AA,24,0)-'TRADE IN'!$F497))</f>
        <v>399</v>
      </c>
      <c r="AA497" s="46">
        <f>IF(VLOOKUP($C497,REV!$C:$AA,25,0)-'TRADE IN'!$F506=0,"",(VLOOKUP($C497,REV!$C:$AA,25,0)-'TRADE IN'!$F497))</f>
        <v>399</v>
      </c>
      <c r="AB497" s="46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7"/>
      <c r="AW497" s="48" t="str">
        <f>IF(REV!AW497=0,"",REV!AW497)</f>
        <v>31.03.2026</v>
      </c>
      <c r="AX497" s="159" t="s">
        <v>82</v>
      </c>
    </row>
    <row r="498" spans="1:50" ht="22.5" customHeight="1">
      <c r="A498" s="50" t="s">
        <v>61</v>
      </c>
      <c r="B498" s="41" t="s">
        <v>62</v>
      </c>
      <c r="C498" s="42">
        <v>4014165</v>
      </c>
      <c r="D498" s="44" t="s">
        <v>700</v>
      </c>
      <c r="E498" s="44" t="s">
        <v>703</v>
      </c>
      <c r="F498" s="45"/>
      <c r="G498" s="45"/>
      <c r="H498" s="45"/>
      <c r="I498" s="45"/>
      <c r="J498" s="46">
        <f>IF(VLOOKUP($C498,REV!$C:$AA,8,0)-'TRADE IN'!$F498=0,"",(VLOOKUP($C498,REV!$C:$AA,8,0)-'TRADE IN'!$F498))</f>
        <v>599</v>
      </c>
      <c r="K498" s="46">
        <f>IF(VLOOKUP($C498,REV!$C:$AA,9,0)-'TRADE IN'!$F498=0,"",(VLOOKUP($C498,REV!$C:$AA,9,0)-'TRADE IN'!$F498))</f>
        <v>599</v>
      </c>
      <c r="L498" s="46">
        <f>IF(VLOOKUP($C498,REV!$C:$AA,10,0)-'TRADE IN'!$F507=0,"",(VLOOKUP($C498,REV!$C:$AA,10,0)-'TRADE IN'!$F498))</f>
        <v>599</v>
      </c>
      <c r="M498" s="46">
        <f>IF(VLOOKUP($C498,REV!$C:$AA,11,0)-'TRADE IN'!$F507=0,"",(VLOOKUP($C498,REV!$C:$AA,11,0)-'TRADE IN'!$F498))</f>
        <v>599</v>
      </c>
      <c r="N498" s="46">
        <f>IF(VLOOKUP($C498,REV!$C:$AA,12,0)-'TRADE IN'!$F507=0,"",(VLOOKUP($C498,REV!$C:$AA,12,0)-'TRADE IN'!$F498))</f>
        <v>599</v>
      </c>
      <c r="O498" s="46">
        <f>IF(VLOOKUP($C498,REV!$C:$AA,13,0)-'TRADE IN'!$F507=0,"",(VLOOKUP($C498,REV!$C:$AA,13,0)-'TRADE IN'!$F498))</f>
        <v>549</v>
      </c>
      <c r="P498" s="46">
        <f>IF(VLOOKUP($C498,REV!$C:$AA,14,0)-'TRADE IN'!$F507=0,"",(VLOOKUP($C498,REV!$C:$AA,14,0)-'TRADE IN'!$F498))</f>
        <v>499</v>
      </c>
      <c r="Q498" s="46">
        <f>IF(VLOOKUP($C498,REV!$C:$AA,15,0)-'TRADE IN'!$F507=0,"",(VLOOKUP($C498,REV!$C:$AA,15,0)-'TRADE IN'!$F498))</f>
        <v>399</v>
      </c>
      <c r="R498" s="46">
        <f>IF(VLOOKUP($C498,REV!$C:$AA,16,0)-'TRADE IN'!$F507=0,"",(VLOOKUP($C498,REV!$C:$AA,16,0)-'TRADE IN'!$F498))</f>
        <v>549</v>
      </c>
      <c r="S498" s="46">
        <f>IF(VLOOKUP($C498,REV!$C:$AA,17,0)-'TRADE IN'!$F507=0,"",(VLOOKUP($C498,REV!$C:$AA,17,0)-'TRADE IN'!$F498))</f>
        <v>499</v>
      </c>
      <c r="T498" s="46">
        <f>IF(VLOOKUP($C498,REV!$C:$AA,18,0)-'TRADE IN'!$F507=0,"",(VLOOKUP($C498,REV!$C:$AA,18,0)-'TRADE IN'!$F498))</f>
        <v>399</v>
      </c>
      <c r="U498" s="46">
        <f>IF(VLOOKUP($C498,REV!$C:$AA,19,0)-'TRADE IN'!$F507=0,"",(VLOOKUP($C498,REV!$C:$AA,19,0)-'TRADE IN'!$F498))</f>
        <v>399</v>
      </c>
      <c r="V498" s="46">
        <f>IF(VLOOKUP($C498,REV!$C:$AA,20,0)-'TRADE IN'!$F507=0,"",(VLOOKUP($C498,REV!$C:$AA,20,0)-'TRADE IN'!$F498))</f>
        <v>399</v>
      </c>
      <c r="W498" s="46">
        <f>IF(VLOOKUP($C498,REV!$C:$AA,21,0)-'TRADE IN'!$F507=0,"",(VLOOKUP($C498,REV!$C:$AA,21,0)-'TRADE IN'!$F498))</f>
        <v>399</v>
      </c>
      <c r="X498" s="46">
        <f>IF(VLOOKUP($C498,REV!$C:$AA,22,0)-'TRADE IN'!$F507=0,"",(VLOOKUP($C498,REV!$C:$AA,22,0)-'TRADE IN'!$F498))</f>
        <v>399</v>
      </c>
      <c r="Y498" s="46">
        <f>IF(VLOOKUP($C498,REV!$C:$AA,23,0)-'TRADE IN'!$F507=0,"",(VLOOKUP($C498,REV!$C:$AA,23,0)-'TRADE IN'!$F498))</f>
        <v>399</v>
      </c>
      <c r="Z498" s="46">
        <f>IF(VLOOKUP($C498,REV!$C:$AA,24,0)-'TRADE IN'!$F507=0,"",(VLOOKUP($C498,REV!$C:$AA,24,0)-'TRADE IN'!$F498))</f>
        <v>399</v>
      </c>
      <c r="AA498" s="46">
        <f>IF(VLOOKUP($C498,REV!$C:$AA,25,0)-'TRADE IN'!$F507=0,"",(VLOOKUP($C498,REV!$C:$AA,25,0)-'TRADE IN'!$F498))</f>
        <v>399</v>
      </c>
      <c r="AB498" s="46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7"/>
      <c r="AW498" s="48" t="str">
        <f>IF(REV!AW498=0,"",REV!AW498)</f>
        <v>31.03.2026</v>
      </c>
      <c r="AX498" s="159" t="s">
        <v>82</v>
      </c>
    </row>
    <row r="499" spans="1:50" ht="22.5" customHeight="1">
      <c r="A499" s="50" t="s">
        <v>61</v>
      </c>
      <c r="B499" s="41" t="s">
        <v>62</v>
      </c>
      <c r="C499" s="42">
        <v>4014167</v>
      </c>
      <c r="D499" s="44" t="s">
        <v>700</v>
      </c>
      <c r="E499" s="44" t="s">
        <v>704</v>
      </c>
      <c r="F499" s="45"/>
      <c r="G499" s="45"/>
      <c r="H499" s="45"/>
      <c r="I499" s="45"/>
      <c r="J499" s="46">
        <f>IF(VLOOKUP($C499,REV!$C:$AA,8,0)-'TRADE IN'!$F499=0,"",(VLOOKUP($C499,REV!$C:$AA,8,0)-'TRADE IN'!$F499))</f>
        <v>599</v>
      </c>
      <c r="K499" s="46">
        <f>IF(VLOOKUP($C499,REV!$C:$AA,9,0)-'TRADE IN'!$F499=0,"",(VLOOKUP($C499,REV!$C:$AA,9,0)-'TRADE IN'!$F499))</f>
        <v>599</v>
      </c>
      <c r="L499" s="46">
        <f>IF(VLOOKUP($C499,REV!$C:$AA,10,0)-'TRADE IN'!$F508=0,"",(VLOOKUP($C499,REV!$C:$AA,10,0)-'TRADE IN'!$F499))</f>
        <v>599</v>
      </c>
      <c r="M499" s="46">
        <f>IF(VLOOKUP($C499,REV!$C:$AA,11,0)-'TRADE IN'!$F508=0,"",(VLOOKUP($C499,REV!$C:$AA,11,0)-'TRADE IN'!$F499))</f>
        <v>599</v>
      </c>
      <c r="N499" s="46">
        <f>IF(VLOOKUP($C499,REV!$C:$AA,12,0)-'TRADE IN'!$F508=0,"",(VLOOKUP($C499,REV!$C:$AA,12,0)-'TRADE IN'!$F499))</f>
        <v>599</v>
      </c>
      <c r="O499" s="46">
        <f>IF(VLOOKUP($C499,REV!$C:$AA,13,0)-'TRADE IN'!$F508=0,"",(VLOOKUP($C499,REV!$C:$AA,13,0)-'TRADE IN'!$F499))</f>
        <v>549</v>
      </c>
      <c r="P499" s="46">
        <f>IF(VLOOKUP($C499,REV!$C:$AA,14,0)-'TRADE IN'!$F508=0,"",(VLOOKUP($C499,REV!$C:$AA,14,0)-'TRADE IN'!$F499))</f>
        <v>499</v>
      </c>
      <c r="Q499" s="46">
        <f>IF(VLOOKUP($C499,REV!$C:$AA,15,0)-'TRADE IN'!$F508=0,"",(VLOOKUP($C499,REV!$C:$AA,15,0)-'TRADE IN'!$F499))</f>
        <v>399</v>
      </c>
      <c r="R499" s="46">
        <f>IF(VLOOKUP($C499,REV!$C:$AA,16,0)-'TRADE IN'!$F508=0,"",(VLOOKUP($C499,REV!$C:$AA,16,0)-'TRADE IN'!$F499))</f>
        <v>549</v>
      </c>
      <c r="S499" s="46">
        <f>IF(VLOOKUP($C499,REV!$C:$AA,17,0)-'TRADE IN'!$F508=0,"",(VLOOKUP($C499,REV!$C:$AA,17,0)-'TRADE IN'!$F499))</f>
        <v>499</v>
      </c>
      <c r="T499" s="46">
        <f>IF(VLOOKUP($C499,REV!$C:$AA,18,0)-'TRADE IN'!$F508=0,"",(VLOOKUP($C499,REV!$C:$AA,18,0)-'TRADE IN'!$F499))</f>
        <v>399</v>
      </c>
      <c r="U499" s="46">
        <f>IF(VLOOKUP($C499,REV!$C:$AA,19,0)-'TRADE IN'!$F508=0,"",(VLOOKUP($C499,REV!$C:$AA,19,0)-'TRADE IN'!$F499))</f>
        <v>399</v>
      </c>
      <c r="V499" s="46">
        <f>IF(VLOOKUP($C499,REV!$C:$AA,20,0)-'TRADE IN'!$F508=0,"",(VLOOKUP($C499,REV!$C:$AA,20,0)-'TRADE IN'!$F499))</f>
        <v>399</v>
      </c>
      <c r="W499" s="46">
        <f>IF(VLOOKUP($C499,REV!$C:$AA,21,0)-'TRADE IN'!$F508=0,"",(VLOOKUP($C499,REV!$C:$AA,21,0)-'TRADE IN'!$F499))</f>
        <v>399</v>
      </c>
      <c r="X499" s="46">
        <f>IF(VLOOKUP($C499,REV!$C:$AA,22,0)-'TRADE IN'!$F508=0,"",(VLOOKUP($C499,REV!$C:$AA,22,0)-'TRADE IN'!$F499))</f>
        <v>399</v>
      </c>
      <c r="Y499" s="46">
        <f>IF(VLOOKUP($C499,REV!$C:$AA,23,0)-'TRADE IN'!$F508=0,"",(VLOOKUP($C499,REV!$C:$AA,23,0)-'TRADE IN'!$F499))</f>
        <v>399</v>
      </c>
      <c r="Z499" s="46">
        <f>IF(VLOOKUP($C499,REV!$C:$AA,24,0)-'TRADE IN'!$F508=0,"",(VLOOKUP($C499,REV!$C:$AA,24,0)-'TRADE IN'!$F499))</f>
        <v>399</v>
      </c>
      <c r="AA499" s="46">
        <f>IF(VLOOKUP($C499,REV!$C:$AA,25,0)-'TRADE IN'!$F508=0,"",(VLOOKUP($C499,REV!$C:$AA,25,0)-'TRADE IN'!$F499))</f>
        <v>399</v>
      </c>
      <c r="AB499" s="46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7"/>
      <c r="AW499" s="48" t="str">
        <f>IF(REV!AW499=0,"",REV!AW499)</f>
        <v>31.03.2026</v>
      </c>
      <c r="AX499" s="159" t="s">
        <v>82</v>
      </c>
    </row>
    <row r="500" spans="1:50" ht="22.5" customHeight="1">
      <c r="A500" s="50" t="s">
        <v>61</v>
      </c>
      <c r="B500" s="41" t="s">
        <v>62</v>
      </c>
      <c r="C500" s="42">
        <v>4014801</v>
      </c>
      <c r="D500" s="44" t="s">
        <v>705</v>
      </c>
      <c r="E500" s="44" t="s">
        <v>706</v>
      </c>
      <c r="F500" s="45"/>
      <c r="G500" s="45"/>
      <c r="H500" s="45"/>
      <c r="I500" s="45"/>
      <c r="J500" s="46">
        <f>IF(VLOOKUP($C500,REV!$C:$AA,8,0)-'TRADE IN'!$F500=0,"",(VLOOKUP($C500,REV!$C:$AA,8,0)-'TRADE IN'!$F500))</f>
        <v>799</v>
      </c>
      <c r="K500" s="46">
        <f>IF(VLOOKUP($C500,REV!$C:$AA,9,0)-'TRADE IN'!$F500=0,"",(VLOOKUP($C500,REV!$C:$AA,9,0)-'TRADE IN'!$F500))</f>
        <v>799</v>
      </c>
      <c r="L500" s="46">
        <f>IF(VLOOKUP($C500,REV!$C:$AA,10,0)-'TRADE IN'!$F509=0,"",(VLOOKUP($C500,REV!$C:$AA,10,0)-'TRADE IN'!$F500))</f>
        <v>799</v>
      </c>
      <c r="M500" s="46">
        <f>IF(VLOOKUP($C500,REV!$C:$AA,11,0)-'TRADE IN'!$F509=0,"",(VLOOKUP($C500,REV!$C:$AA,11,0)-'TRADE IN'!$F500))</f>
        <v>799</v>
      </c>
      <c r="N500" s="46">
        <f>IF(VLOOKUP($C500,REV!$C:$AA,12,0)-'TRADE IN'!$F509=0,"",(VLOOKUP($C500,REV!$C:$AA,12,0)-'TRADE IN'!$F500))</f>
        <v>799</v>
      </c>
      <c r="O500" s="46">
        <f>IF(VLOOKUP($C500,REV!$C:$AA,13,0)-'TRADE IN'!$F509=0,"",(VLOOKUP($C500,REV!$C:$AA,13,0)-'TRADE IN'!$F500))</f>
        <v>749</v>
      </c>
      <c r="P500" s="46">
        <f>IF(VLOOKUP($C500,REV!$C:$AA,14,0)-'TRADE IN'!$F509=0,"",(VLOOKUP($C500,REV!$C:$AA,14,0)-'TRADE IN'!$F500))</f>
        <v>699</v>
      </c>
      <c r="Q500" s="46">
        <f>IF(VLOOKUP($C500,REV!$C:$AA,15,0)-'TRADE IN'!$F509=0,"",(VLOOKUP($C500,REV!$C:$AA,15,0)-'TRADE IN'!$F500))</f>
        <v>499</v>
      </c>
      <c r="R500" s="46">
        <f>IF(VLOOKUP($C500,REV!$C:$AA,16,0)-'TRADE IN'!$F509=0,"",(VLOOKUP($C500,REV!$C:$AA,16,0)-'TRADE IN'!$F500))</f>
        <v>749</v>
      </c>
      <c r="S500" s="46">
        <f>IF(VLOOKUP($C500,REV!$C:$AA,17,0)-'TRADE IN'!$F509=0,"",(VLOOKUP($C500,REV!$C:$AA,17,0)-'TRADE IN'!$F500))</f>
        <v>699</v>
      </c>
      <c r="T500" s="46">
        <f>IF(VLOOKUP($C500,REV!$C:$AA,18,0)-'TRADE IN'!$F509=0,"",(VLOOKUP($C500,REV!$C:$AA,18,0)-'TRADE IN'!$F500))</f>
        <v>499</v>
      </c>
      <c r="U500" s="46">
        <f>IF(VLOOKUP($C500,REV!$C:$AA,19,0)-'TRADE IN'!$F509=0,"",(VLOOKUP($C500,REV!$C:$AA,19,0)-'TRADE IN'!$F500))</f>
        <v>499</v>
      </c>
      <c r="V500" s="46">
        <f>IF(VLOOKUP($C500,REV!$C:$AA,20,0)-'TRADE IN'!$F509=0,"",(VLOOKUP($C500,REV!$C:$AA,20,0)-'TRADE IN'!$F500))</f>
        <v>499</v>
      </c>
      <c r="W500" s="46">
        <f>IF(VLOOKUP($C500,REV!$C:$AA,21,0)-'TRADE IN'!$F509=0,"",(VLOOKUP($C500,REV!$C:$AA,21,0)-'TRADE IN'!$F500))</f>
        <v>499</v>
      </c>
      <c r="X500" s="46">
        <f>IF(VLOOKUP($C500,REV!$C:$AA,22,0)-'TRADE IN'!$F509=0,"",(VLOOKUP($C500,REV!$C:$AA,22,0)-'TRADE IN'!$F500))</f>
        <v>499</v>
      </c>
      <c r="Y500" s="46">
        <f>IF(VLOOKUP($C500,REV!$C:$AA,23,0)-'TRADE IN'!$F509=0,"",(VLOOKUP($C500,REV!$C:$AA,23,0)-'TRADE IN'!$F500))</f>
        <v>499</v>
      </c>
      <c r="Z500" s="46">
        <f>IF(VLOOKUP($C500,REV!$C:$AA,24,0)-'TRADE IN'!$F509=0,"",(VLOOKUP($C500,REV!$C:$AA,24,0)-'TRADE IN'!$F500))</f>
        <v>499</v>
      </c>
      <c r="AA500" s="46">
        <f>IF(VLOOKUP($C500,REV!$C:$AA,25,0)-'TRADE IN'!$F509=0,"",(VLOOKUP($C500,REV!$C:$AA,25,0)-'TRADE IN'!$F500))</f>
        <v>499</v>
      </c>
      <c r="AB500" s="46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7"/>
      <c r="AW500" s="48" t="str">
        <f>IF(REV!AW500=0,"",REV!AW500)</f>
        <v>31.03.2026</v>
      </c>
      <c r="AX500" s="159" t="s">
        <v>82</v>
      </c>
    </row>
    <row r="501" spans="1:50" ht="22.5" customHeight="1">
      <c r="A501" s="50" t="s">
        <v>61</v>
      </c>
      <c r="B501" s="41" t="s">
        <v>62</v>
      </c>
      <c r="C501" s="42">
        <v>4014810</v>
      </c>
      <c r="D501" s="44" t="s">
        <v>705</v>
      </c>
      <c r="E501" s="44" t="s">
        <v>707</v>
      </c>
      <c r="F501" s="45"/>
      <c r="G501" s="45"/>
      <c r="H501" s="45"/>
      <c r="I501" s="45"/>
      <c r="J501" s="46">
        <f>IF(VLOOKUP($C501,REV!$C:$AA,8,0)-'TRADE IN'!$F501=0,"",(VLOOKUP($C501,REV!$C:$AA,8,0)-'TRADE IN'!$F501))</f>
        <v>799</v>
      </c>
      <c r="K501" s="46">
        <f>IF(VLOOKUP($C501,REV!$C:$AA,9,0)-'TRADE IN'!$F501=0,"",(VLOOKUP($C501,REV!$C:$AA,9,0)-'TRADE IN'!$F501))</f>
        <v>799</v>
      </c>
      <c r="L501" s="46">
        <f>IF(VLOOKUP($C501,REV!$C:$AA,10,0)-'TRADE IN'!$F510=0,"",(VLOOKUP($C501,REV!$C:$AA,10,0)-'TRADE IN'!$F501))</f>
        <v>799</v>
      </c>
      <c r="M501" s="46">
        <f>IF(VLOOKUP($C501,REV!$C:$AA,11,0)-'TRADE IN'!$F510=0,"",(VLOOKUP($C501,REV!$C:$AA,11,0)-'TRADE IN'!$F501))</f>
        <v>799</v>
      </c>
      <c r="N501" s="46">
        <f>IF(VLOOKUP($C501,REV!$C:$AA,12,0)-'TRADE IN'!$F510=0,"",(VLOOKUP($C501,REV!$C:$AA,12,0)-'TRADE IN'!$F501))</f>
        <v>799</v>
      </c>
      <c r="O501" s="46">
        <f>IF(VLOOKUP($C501,REV!$C:$AA,13,0)-'TRADE IN'!$F510=0,"",(VLOOKUP($C501,REV!$C:$AA,13,0)-'TRADE IN'!$F501))</f>
        <v>749</v>
      </c>
      <c r="P501" s="46">
        <f>IF(VLOOKUP($C501,REV!$C:$AA,14,0)-'TRADE IN'!$F510=0,"",(VLOOKUP($C501,REV!$C:$AA,14,0)-'TRADE IN'!$F501))</f>
        <v>699</v>
      </c>
      <c r="Q501" s="46">
        <f>IF(VLOOKUP($C501,REV!$C:$AA,15,0)-'TRADE IN'!$F510=0,"",(VLOOKUP($C501,REV!$C:$AA,15,0)-'TRADE IN'!$F501))</f>
        <v>499</v>
      </c>
      <c r="R501" s="46">
        <f>IF(VLOOKUP($C501,REV!$C:$AA,16,0)-'TRADE IN'!$F510=0,"",(VLOOKUP($C501,REV!$C:$AA,16,0)-'TRADE IN'!$F501))</f>
        <v>749</v>
      </c>
      <c r="S501" s="46">
        <f>IF(VLOOKUP($C501,REV!$C:$AA,17,0)-'TRADE IN'!$F510=0,"",(VLOOKUP($C501,REV!$C:$AA,17,0)-'TRADE IN'!$F501))</f>
        <v>699</v>
      </c>
      <c r="T501" s="46">
        <f>IF(VLOOKUP($C501,REV!$C:$AA,18,0)-'TRADE IN'!$F510=0,"",(VLOOKUP($C501,REV!$C:$AA,18,0)-'TRADE IN'!$F501))</f>
        <v>499</v>
      </c>
      <c r="U501" s="46">
        <f>IF(VLOOKUP($C501,REV!$C:$AA,19,0)-'TRADE IN'!$F510=0,"",(VLOOKUP($C501,REV!$C:$AA,19,0)-'TRADE IN'!$F501))</f>
        <v>499</v>
      </c>
      <c r="V501" s="46">
        <f>IF(VLOOKUP($C501,REV!$C:$AA,20,0)-'TRADE IN'!$F510=0,"",(VLOOKUP($C501,REV!$C:$AA,20,0)-'TRADE IN'!$F501))</f>
        <v>499</v>
      </c>
      <c r="W501" s="46">
        <f>IF(VLOOKUP($C501,REV!$C:$AA,21,0)-'TRADE IN'!$F510=0,"",(VLOOKUP($C501,REV!$C:$AA,21,0)-'TRADE IN'!$F501))</f>
        <v>499</v>
      </c>
      <c r="X501" s="46">
        <f>IF(VLOOKUP($C501,REV!$C:$AA,22,0)-'TRADE IN'!$F510=0,"",(VLOOKUP($C501,REV!$C:$AA,22,0)-'TRADE IN'!$F501))</f>
        <v>499</v>
      </c>
      <c r="Y501" s="46">
        <f>IF(VLOOKUP($C501,REV!$C:$AA,23,0)-'TRADE IN'!$F510=0,"",(VLOOKUP($C501,REV!$C:$AA,23,0)-'TRADE IN'!$F501))</f>
        <v>499</v>
      </c>
      <c r="Z501" s="46">
        <f>IF(VLOOKUP($C501,REV!$C:$AA,24,0)-'TRADE IN'!$F510=0,"",(VLOOKUP($C501,REV!$C:$AA,24,0)-'TRADE IN'!$F501))</f>
        <v>499</v>
      </c>
      <c r="AA501" s="46">
        <f>IF(VLOOKUP($C501,REV!$C:$AA,25,0)-'TRADE IN'!$F510=0,"",(VLOOKUP($C501,REV!$C:$AA,25,0)-'TRADE IN'!$F501))</f>
        <v>499</v>
      </c>
      <c r="AB501" s="46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7"/>
      <c r="AW501" s="48" t="str">
        <f>IF(REV!AW501=0,"",REV!AW501)</f>
        <v>31.03.2026</v>
      </c>
      <c r="AX501" s="159" t="s">
        <v>82</v>
      </c>
    </row>
    <row r="502" spans="1:50" ht="22.5" customHeight="1">
      <c r="A502" s="50" t="s">
        <v>61</v>
      </c>
      <c r="B502" s="41" t="s">
        <v>62</v>
      </c>
      <c r="C502" s="42">
        <v>4014804</v>
      </c>
      <c r="D502" s="44" t="s">
        <v>705</v>
      </c>
      <c r="E502" s="44" t="s">
        <v>708</v>
      </c>
      <c r="F502" s="45"/>
      <c r="G502" s="45"/>
      <c r="H502" s="45"/>
      <c r="I502" s="45"/>
      <c r="J502" s="46">
        <f>IF(VLOOKUP($C502,REV!$C:$AA,8,0)-'TRADE IN'!$F502=0,"",(VLOOKUP($C502,REV!$C:$AA,8,0)-'TRADE IN'!$F502))</f>
        <v>799</v>
      </c>
      <c r="K502" s="46">
        <f>IF(VLOOKUP($C502,REV!$C:$AA,9,0)-'TRADE IN'!$F502=0,"",(VLOOKUP($C502,REV!$C:$AA,9,0)-'TRADE IN'!$F502))</f>
        <v>799</v>
      </c>
      <c r="L502" s="46">
        <f>IF(VLOOKUP($C502,REV!$C:$AA,10,0)-'TRADE IN'!$F511=0,"",(VLOOKUP($C502,REV!$C:$AA,10,0)-'TRADE IN'!$F502))</f>
        <v>799</v>
      </c>
      <c r="M502" s="46">
        <f>IF(VLOOKUP($C502,REV!$C:$AA,11,0)-'TRADE IN'!$F511=0,"",(VLOOKUP($C502,REV!$C:$AA,11,0)-'TRADE IN'!$F502))</f>
        <v>799</v>
      </c>
      <c r="N502" s="46">
        <f>IF(VLOOKUP($C502,REV!$C:$AA,12,0)-'TRADE IN'!$F511=0,"",(VLOOKUP($C502,REV!$C:$AA,12,0)-'TRADE IN'!$F502))</f>
        <v>799</v>
      </c>
      <c r="O502" s="46">
        <f>IF(VLOOKUP($C502,REV!$C:$AA,13,0)-'TRADE IN'!$F511=0,"",(VLOOKUP($C502,REV!$C:$AA,13,0)-'TRADE IN'!$F502))</f>
        <v>749</v>
      </c>
      <c r="P502" s="46">
        <f>IF(VLOOKUP($C502,REV!$C:$AA,14,0)-'TRADE IN'!$F511=0,"",(VLOOKUP($C502,REV!$C:$AA,14,0)-'TRADE IN'!$F502))</f>
        <v>699</v>
      </c>
      <c r="Q502" s="46">
        <f>IF(VLOOKUP($C502,REV!$C:$AA,15,0)-'TRADE IN'!$F511=0,"",(VLOOKUP($C502,REV!$C:$AA,15,0)-'TRADE IN'!$F502))</f>
        <v>499</v>
      </c>
      <c r="R502" s="46">
        <f>IF(VLOOKUP($C502,REV!$C:$AA,16,0)-'TRADE IN'!$F511=0,"",(VLOOKUP($C502,REV!$C:$AA,16,0)-'TRADE IN'!$F502))</f>
        <v>749</v>
      </c>
      <c r="S502" s="46">
        <f>IF(VLOOKUP($C502,REV!$C:$AA,17,0)-'TRADE IN'!$F511=0,"",(VLOOKUP($C502,REV!$C:$AA,17,0)-'TRADE IN'!$F502))</f>
        <v>699</v>
      </c>
      <c r="T502" s="46">
        <f>IF(VLOOKUP($C502,REV!$C:$AA,18,0)-'TRADE IN'!$F511=0,"",(VLOOKUP($C502,REV!$C:$AA,18,0)-'TRADE IN'!$F502))</f>
        <v>499</v>
      </c>
      <c r="U502" s="46">
        <f>IF(VLOOKUP($C502,REV!$C:$AA,19,0)-'TRADE IN'!$F511=0,"",(VLOOKUP($C502,REV!$C:$AA,19,0)-'TRADE IN'!$F502))</f>
        <v>499</v>
      </c>
      <c r="V502" s="46">
        <f>IF(VLOOKUP($C502,REV!$C:$AA,20,0)-'TRADE IN'!$F511=0,"",(VLOOKUP($C502,REV!$C:$AA,20,0)-'TRADE IN'!$F502))</f>
        <v>499</v>
      </c>
      <c r="W502" s="46">
        <f>IF(VLOOKUP($C502,REV!$C:$AA,21,0)-'TRADE IN'!$F511=0,"",(VLOOKUP($C502,REV!$C:$AA,21,0)-'TRADE IN'!$F502))</f>
        <v>499</v>
      </c>
      <c r="X502" s="46">
        <f>IF(VLOOKUP($C502,REV!$C:$AA,22,0)-'TRADE IN'!$F511=0,"",(VLOOKUP($C502,REV!$C:$AA,22,0)-'TRADE IN'!$F502))</f>
        <v>499</v>
      </c>
      <c r="Y502" s="46">
        <f>IF(VLOOKUP($C502,REV!$C:$AA,23,0)-'TRADE IN'!$F511=0,"",(VLOOKUP($C502,REV!$C:$AA,23,0)-'TRADE IN'!$F502))</f>
        <v>499</v>
      </c>
      <c r="Z502" s="46">
        <f>IF(VLOOKUP($C502,REV!$C:$AA,24,0)-'TRADE IN'!$F511=0,"",(VLOOKUP($C502,REV!$C:$AA,24,0)-'TRADE IN'!$F502))</f>
        <v>499</v>
      </c>
      <c r="AA502" s="46">
        <f>IF(VLOOKUP($C502,REV!$C:$AA,25,0)-'TRADE IN'!$F511=0,"",(VLOOKUP($C502,REV!$C:$AA,25,0)-'TRADE IN'!$F502))</f>
        <v>499</v>
      </c>
      <c r="AB502" s="46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7"/>
      <c r="AW502" s="48" t="str">
        <f>IF(REV!AW502=0,"",REV!AW502)</f>
        <v>31.03.2026</v>
      </c>
      <c r="AX502" s="159" t="s">
        <v>82</v>
      </c>
    </row>
    <row r="503" spans="1:50" ht="22.5" customHeight="1">
      <c r="A503" s="50" t="s">
        <v>61</v>
      </c>
      <c r="B503" s="41" t="s">
        <v>62</v>
      </c>
      <c r="C503" s="42">
        <v>4014812</v>
      </c>
      <c r="D503" s="44" t="s">
        <v>705</v>
      </c>
      <c r="E503" s="44" t="s">
        <v>709</v>
      </c>
      <c r="F503" s="45"/>
      <c r="G503" s="45"/>
      <c r="H503" s="45"/>
      <c r="I503" s="45"/>
      <c r="J503" s="46">
        <f>IF(VLOOKUP($C503,REV!$C:$AA,8,0)-'TRADE IN'!$F503=0,"",(VLOOKUP($C503,REV!$C:$AA,8,0)-'TRADE IN'!$F503))</f>
        <v>799</v>
      </c>
      <c r="K503" s="46">
        <f>IF(VLOOKUP($C503,REV!$C:$AA,9,0)-'TRADE IN'!$F503=0,"",(VLOOKUP($C503,REV!$C:$AA,9,0)-'TRADE IN'!$F503))</f>
        <v>799</v>
      </c>
      <c r="L503" s="46">
        <f>IF(VLOOKUP($C503,REV!$C:$AA,10,0)-'TRADE IN'!$F512=0,"",(VLOOKUP($C503,REV!$C:$AA,10,0)-'TRADE IN'!$F503))</f>
        <v>799</v>
      </c>
      <c r="M503" s="46">
        <f>IF(VLOOKUP($C503,REV!$C:$AA,11,0)-'TRADE IN'!$F512=0,"",(VLOOKUP($C503,REV!$C:$AA,11,0)-'TRADE IN'!$F503))</f>
        <v>799</v>
      </c>
      <c r="N503" s="46">
        <f>IF(VLOOKUP($C503,REV!$C:$AA,12,0)-'TRADE IN'!$F512=0,"",(VLOOKUP($C503,REV!$C:$AA,12,0)-'TRADE IN'!$F503))</f>
        <v>799</v>
      </c>
      <c r="O503" s="46">
        <f>IF(VLOOKUP($C503,REV!$C:$AA,13,0)-'TRADE IN'!$F512=0,"",(VLOOKUP($C503,REV!$C:$AA,13,0)-'TRADE IN'!$F503))</f>
        <v>749</v>
      </c>
      <c r="P503" s="46">
        <f>IF(VLOOKUP($C503,REV!$C:$AA,14,0)-'TRADE IN'!$F512=0,"",(VLOOKUP($C503,REV!$C:$AA,14,0)-'TRADE IN'!$F503))</f>
        <v>699</v>
      </c>
      <c r="Q503" s="46">
        <f>IF(VLOOKUP($C503,REV!$C:$AA,15,0)-'TRADE IN'!$F512=0,"",(VLOOKUP($C503,REV!$C:$AA,15,0)-'TRADE IN'!$F503))</f>
        <v>499</v>
      </c>
      <c r="R503" s="46">
        <f>IF(VLOOKUP($C503,REV!$C:$AA,16,0)-'TRADE IN'!$F512=0,"",(VLOOKUP($C503,REV!$C:$AA,16,0)-'TRADE IN'!$F503))</f>
        <v>749</v>
      </c>
      <c r="S503" s="46">
        <f>IF(VLOOKUP($C503,REV!$C:$AA,17,0)-'TRADE IN'!$F512=0,"",(VLOOKUP($C503,REV!$C:$AA,17,0)-'TRADE IN'!$F503))</f>
        <v>699</v>
      </c>
      <c r="T503" s="46">
        <f>IF(VLOOKUP($C503,REV!$C:$AA,18,0)-'TRADE IN'!$F512=0,"",(VLOOKUP($C503,REV!$C:$AA,18,0)-'TRADE IN'!$F503))</f>
        <v>499</v>
      </c>
      <c r="U503" s="46">
        <f>IF(VLOOKUP($C503,REV!$C:$AA,19,0)-'TRADE IN'!$F512=0,"",(VLOOKUP($C503,REV!$C:$AA,19,0)-'TRADE IN'!$F503))</f>
        <v>499</v>
      </c>
      <c r="V503" s="46">
        <f>IF(VLOOKUP($C503,REV!$C:$AA,20,0)-'TRADE IN'!$F512=0,"",(VLOOKUP($C503,REV!$C:$AA,20,0)-'TRADE IN'!$F503))</f>
        <v>499</v>
      </c>
      <c r="W503" s="46">
        <f>IF(VLOOKUP($C503,REV!$C:$AA,21,0)-'TRADE IN'!$F512=0,"",(VLOOKUP($C503,REV!$C:$AA,21,0)-'TRADE IN'!$F503))</f>
        <v>499</v>
      </c>
      <c r="X503" s="46">
        <f>IF(VLOOKUP($C503,REV!$C:$AA,22,0)-'TRADE IN'!$F512=0,"",(VLOOKUP($C503,REV!$C:$AA,22,0)-'TRADE IN'!$F503))</f>
        <v>499</v>
      </c>
      <c r="Y503" s="46">
        <f>IF(VLOOKUP($C503,REV!$C:$AA,23,0)-'TRADE IN'!$F512=0,"",(VLOOKUP($C503,REV!$C:$AA,23,0)-'TRADE IN'!$F503))</f>
        <v>499</v>
      </c>
      <c r="Z503" s="46">
        <f>IF(VLOOKUP($C503,REV!$C:$AA,24,0)-'TRADE IN'!$F512=0,"",(VLOOKUP($C503,REV!$C:$AA,24,0)-'TRADE IN'!$F503))</f>
        <v>499</v>
      </c>
      <c r="AA503" s="46">
        <f>IF(VLOOKUP($C503,REV!$C:$AA,25,0)-'TRADE IN'!$F512=0,"",(VLOOKUP($C503,REV!$C:$AA,25,0)-'TRADE IN'!$F503))</f>
        <v>499</v>
      </c>
      <c r="AB503" s="46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7"/>
      <c r="AW503" s="48" t="str">
        <f>IF(REV!AW503=0,"",REV!AW503)</f>
        <v>31.03.2026</v>
      </c>
      <c r="AX503" s="159" t="s">
        <v>82</v>
      </c>
    </row>
    <row r="504" spans="1:50" ht="22.5" customHeight="1">
      <c r="A504" s="50" t="s">
        <v>61</v>
      </c>
      <c r="B504" s="41" t="s">
        <v>62</v>
      </c>
      <c r="C504" s="42">
        <v>4014915</v>
      </c>
      <c r="D504" s="44" t="s">
        <v>705</v>
      </c>
      <c r="E504" s="44" t="s">
        <v>710</v>
      </c>
      <c r="F504" s="45"/>
      <c r="G504" s="45"/>
      <c r="H504" s="45"/>
      <c r="I504" s="45"/>
      <c r="J504" s="46">
        <f>IF(VLOOKUP($C504,REV!$C:$AA,8,0)-'TRADE IN'!$F504=0,"",(VLOOKUP($C504,REV!$C:$AA,8,0)-'TRADE IN'!$F504))</f>
        <v>799</v>
      </c>
      <c r="K504" s="46">
        <f>IF(VLOOKUP($C504,REV!$C:$AA,9,0)-'TRADE IN'!$F504=0,"",(VLOOKUP($C504,REV!$C:$AA,9,0)-'TRADE IN'!$F504))</f>
        <v>799</v>
      </c>
      <c r="L504" s="46">
        <f>IF(VLOOKUP($C504,REV!$C:$AA,10,0)-'TRADE IN'!$F513=0,"",(VLOOKUP($C504,REV!$C:$AA,10,0)-'TRADE IN'!$F504))</f>
        <v>799</v>
      </c>
      <c r="M504" s="46">
        <f>IF(VLOOKUP($C504,REV!$C:$AA,11,0)-'TRADE IN'!$F513=0,"",(VLOOKUP($C504,REV!$C:$AA,11,0)-'TRADE IN'!$F504))</f>
        <v>799</v>
      </c>
      <c r="N504" s="46">
        <f>IF(VLOOKUP($C504,REV!$C:$AA,12,0)-'TRADE IN'!$F513=0,"",(VLOOKUP($C504,REV!$C:$AA,12,0)-'TRADE IN'!$F504))</f>
        <v>799</v>
      </c>
      <c r="O504" s="46">
        <f>IF(VLOOKUP($C504,REV!$C:$AA,13,0)-'TRADE IN'!$F513=0,"",(VLOOKUP($C504,REV!$C:$AA,13,0)-'TRADE IN'!$F504))</f>
        <v>749</v>
      </c>
      <c r="P504" s="46">
        <f>IF(VLOOKUP($C504,REV!$C:$AA,14,0)-'TRADE IN'!$F513=0,"",(VLOOKUP($C504,REV!$C:$AA,14,0)-'TRADE IN'!$F504))</f>
        <v>699</v>
      </c>
      <c r="Q504" s="46">
        <f>IF(VLOOKUP($C504,REV!$C:$AA,15,0)-'TRADE IN'!$F513=0,"",(VLOOKUP($C504,REV!$C:$AA,15,0)-'TRADE IN'!$F504))</f>
        <v>499</v>
      </c>
      <c r="R504" s="46">
        <f>IF(VLOOKUP($C504,REV!$C:$AA,16,0)-'TRADE IN'!$F513=0,"",(VLOOKUP($C504,REV!$C:$AA,16,0)-'TRADE IN'!$F504))</f>
        <v>749</v>
      </c>
      <c r="S504" s="46">
        <f>IF(VLOOKUP($C504,REV!$C:$AA,17,0)-'TRADE IN'!$F513=0,"",(VLOOKUP($C504,REV!$C:$AA,17,0)-'TRADE IN'!$F504))</f>
        <v>699</v>
      </c>
      <c r="T504" s="46">
        <f>IF(VLOOKUP($C504,REV!$C:$AA,18,0)-'TRADE IN'!$F513=0,"",(VLOOKUP($C504,REV!$C:$AA,18,0)-'TRADE IN'!$F504))</f>
        <v>499</v>
      </c>
      <c r="U504" s="46">
        <f>IF(VLOOKUP($C504,REV!$C:$AA,19,0)-'TRADE IN'!$F513=0,"",(VLOOKUP($C504,REV!$C:$AA,19,0)-'TRADE IN'!$F504))</f>
        <v>499</v>
      </c>
      <c r="V504" s="46">
        <f>IF(VLOOKUP($C504,REV!$C:$AA,20,0)-'TRADE IN'!$F513=0,"",(VLOOKUP($C504,REV!$C:$AA,20,0)-'TRADE IN'!$F504))</f>
        <v>499</v>
      </c>
      <c r="W504" s="46">
        <f>IF(VLOOKUP($C504,REV!$C:$AA,21,0)-'TRADE IN'!$F513=0,"",(VLOOKUP($C504,REV!$C:$AA,21,0)-'TRADE IN'!$F504))</f>
        <v>499</v>
      </c>
      <c r="X504" s="46">
        <f>IF(VLOOKUP($C504,REV!$C:$AA,22,0)-'TRADE IN'!$F513=0,"",(VLOOKUP($C504,REV!$C:$AA,22,0)-'TRADE IN'!$F504))</f>
        <v>499</v>
      </c>
      <c r="Y504" s="46">
        <f>IF(VLOOKUP($C504,REV!$C:$AA,23,0)-'TRADE IN'!$F513=0,"",(VLOOKUP($C504,REV!$C:$AA,23,0)-'TRADE IN'!$F504))</f>
        <v>499</v>
      </c>
      <c r="Z504" s="46">
        <f>IF(VLOOKUP($C504,REV!$C:$AA,24,0)-'TRADE IN'!$F513=0,"",(VLOOKUP($C504,REV!$C:$AA,24,0)-'TRADE IN'!$F504))</f>
        <v>499</v>
      </c>
      <c r="AA504" s="46">
        <f>IF(VLOOKUP($C504,REV!$C:$AA,25,0)-'TRADE IN'!$F513=0,"",(VLOOKUP($C504,REV!$C:$AA,25,0)-'TRADE IN'!$F504))</f>
        <v>499</v>
      </c>
      <c r="AB504" s="46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7"/>
      <c r="AW504" s="48" t="str">
        <f>IF(REV!AW504=0,"",REV!AW504)</f>
        <v>31.03.2026</v>
      </c>
      <c r="AX504" s="159" t="s">
        <v>82</v>
      </c>
    </row>
    <row r="505" spans="1:50" ht="22.5" customHeight="1">
      <c r="A505" s="50" t="s">
        <v>61</v>
      </c>
      <c r="B505" s="41" t="s">
        <v>62</v>
      </c>
      <c r="C505" s="42">
        <v>4015441</v>
      </c>
      <c r="D505" s="44" t="s">
        <v>711</v>
      </c>
      <c r="E505" s="44" t="s">
        <v>712</v>
      </c>
      <c r="F505" s="45"/>
      <c r="G505" s="45"/>
      <c r="H505" s="45"/>
      <c r="I505" s="45"/>
      <c r="J505" s="46">
        <f>IF(VLOOKUP($C505,REV!$C:$AA,8,0)-'TRADE IN'!$F505=0,"",(VLOOKUP($C505,REV!$C:$AA,8,0)-'TRADE IN'!$F505))</f>
        <v>999</v>
      </c>
      <c r="K505" s="46">
        <f>IF(VLOOKUP($C505,REV!$C:$AA,9,0)-'TRADE IN'!$F505=0,"",(VLOOKUP($C505,REV!$C:$AA,9,0)-'TRADE IN'!$F505))</f>
        <v>999</v>
      </c>
      <c r="L505" s="46">
        <f>IF(VLOOKUP($C505,REV!$C:$AA,10,0)-'TRADE IN'!$F514=0,"",(VLOOKUP($C505,REV!$C:$AA,10,0)-'TRADE IN'!$F505))</f>
        <v>999</v>
      </c>
      <c r="M505" s="46">
        <f>IF(VLOOKUP($C505,REV!$C:$AA,11,0)-'TRADE IN'!$F514=0,"",(VLOOKUP($C505,REV!$C:$AA,11,0)-'TRADE IN'!$F505))</f>
        <v>999</v>
      </c>
      <c r="N505" s="46">
        <f>IF(VLOOKUP($C505,REV!$C:$AA,12,0)-'TRADE IN'!$F514=0,"",(VLOOKUP($C505,REV!$C:$AA,12,0)-'TRADE IN'!$F505))</f>
        <v>999</v>
      </c>
      <c r="O505" s="46">
        <f>IF(VLOOKUP($C505,REV!$C:$AA,13,0)-'TRADE IN'!$F514=0,"",(VLOOKUP($C505,REV!$C:$AA,13,0)-'TRADE IN'!$F505))</f>
        <v>899</v>
      </c>
      <c r="P505" s="46">
        <f>IF(VLOOKUP($C505,REV!$C:$AA,14,0)-'TRADE IN'!$F514=0,"",(VLOOKUP($C505,REV!$C:$AA,14,0)-'TRADE IN'!$F505))</f>
        <v>799</v>
      </c>
      <c r="Q505" s="46">
        <f>IF(VLOOKUP($C505,REV!$C:$AA,15,0)-'TRADE IN'!$F514=0,"",(VLOOKUP($C505,REV!$C:$AA,15,0)-'TRADE IN'!$F505))</f>
        <v>699</v>
      </c>
      <c r="R505" s="46">
        <f>IF(VLOOKUP($C505,REV!$C:$AA,16,0)-'TRADE IN'!$F514=0,"",(VLOOKUP($C505,REV!$C:$AA,16,0)-'TRADE IN'!$F505))</f>
        <v>899</v>
      </c>
      <c r="S505" s="46">
        <f>IF(VLOOKUP($C505,REV!$C:$AA,17,0)-'TRADE IN'!$F514=0,"",(VLOOKUP($C505,REV!$C:$AA,17,0)-'TRADE IN'!$F505))</f>
        <v>799</v>
      </c>
      <c r="T505" s="46">
        <f>IF(VLOOKUP($C505,REV!$C:$AA,18,0)-'TRADE IN'!$F514=0,"",(VLOOKUP($C505,REV!$C:$AA,18,0)-'TRADE IN'!$F505))</f>
        <v>699</v>
      </c>
      <c r="U505" s="46">
        <f>IF(VLOOKUP($C505,REV!$C:$AA,19,0)-'TRADE IN'!$F514=0,"",(VLOOKUP($C505,REV!$C:$AA,19,0)-'TRADE IN'!$F505))</f>
        <v>699</v>
      </c>
      <c r="V505" s="46">
        <f>IF(VLOOKUP($C505,REV!$C:$AA,20,0)-'TRADE IN'!$F514=0,"",(VLOOKUP($C505,REV!$C:$AA,20,0)-'TRADE IN'!$F505))</f>
        <v>699</v>
      </c>
      <c r="W505" s="46">
        <f>IF(VLOOKUP($C505,REV!$C:$AA,21,0)-'TRADE IN'!$F514=0,"",(VLOOKUP($C505,REV!$C:$AA,21,0)-'TRADE IN'!$F505))</f>
        <v>699</v>
      </c>
      <c r="X505" s="46">
        <f>IF(VLOOKUP($C505,REV!$C:$AA,22,0)-'TRADE IN'!$F514=0,"",(VLOOKUP($C505,REV!$C:$AA,22,0)-'TRADE IN'!$F505))</f>
        <v>649</v>
      </c>
      <c r="Y505" s="46">
        <f>IF(VLOOKUP($C505,REV!$C:$AA,23,0)-'TRADE IN'!$F514=0,"",(VLOOKUP($C505,REV!$C:$AA,23,0)-'TRADE IN'!$F505))</f>
        <v>599</v>
      </c>
      <c r="Z505" s="46">
        <f>IF(VLOOKUP($C505,REV!$C:$AA,24,0)-'TRADE IN'!$F514=0,"",(VLOOKUP($C505,REV!$C:$AA,24,0)-'TRADE IN'!$F505))</f>
        <v>599</v>
      </c>
      <c r="AA505" s="46">
        <f>IF(VLOOKUP($C505,REV!$C:$AA,25,0)-'TRADE IN'!$F514=0,"",(VLOOKUP($C505,REV!$C:$AA,25,0)-'TRADE IN'!$F505))</f>
        <v>579</v>
      </c>
      <c r="AB505" s="46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7"/>
      <c r="AW505" s="48" t="str">
        <f>IF(REV!AW505=0,"",REV!AW505)</f>
        <v>31.03.2026</v>
      </c>
      <c r="AX505" s="159" t="s">
        <v>82</v>
      </c>
    </row>
    <row r="506" spans="1:50" ht="22.5" customHeight="1">
      <c r="A506" s="50" t="s">
        <v>61</v>
      </c>
      <c r="B506" s="41" t="s">
        <v>62</v>
      </c>
      <c r="C506" s="42">
        <v>4015447</v>
      </c>
      <c r="D506" s="44" t="s">
        <v>711</v>
      </c>
      <c r="E506" s="44" t="s">
        <v>713</v>
      </c>
      <c r="F506" s="45"/>
      <c r="G506" s="45"/>
      <c r="H506" s="45"/>
      <c r="I506" s="45"/>
      <c r="J506" s="46">
        <f>IF(VLOOKUP($C506,REV!$C:$AA,8,0)-'TRADE IN'!$F506=0,"",(VLOOKUP($C506,REV!$C:$AA,8,0)-'TRADE IN'!$F506))</f>
        <v>999</v>
      </c>
      <c r="K506" s="46">
        <f>IF(VLOOKUP($C506,REV!$C:$AA,9,0)-'TRADE IN'!$F506=0,"",(VLOOKUP($C506,REV!$C:$AA,9,0)-'TRADE IN'!$F506))</f>
        <v>999</v>
      </c>
      <c r="L506" s="46">
        <f>IF(VLOOKUP($C506,REV!$C:$AA,10,0)-'TRADE IN'!$F515=0,"",(VLOOKUP($C506,REV!$C:$AA,10,0)-'TRADE IN'!$F506))</f>
        <v>999</v>
      </c>
      <c r="M506" s="46">
        <f>IF(VLOOKUP($C506,REV!$C:$AA,11,0)-'TRADE IN'!$F515=0,"",(VLOOKUP($C506,REV!$C:$AA,11,0)-'TRADE IN'!$F506))</f>
        <v>999</v>
      </c>
      <c r="N506" s="46">
        <f>IF(VLOOKUP($C506,REV!$C:$AA,12,0)-'TRADE IN'!$F515=0,"",(VLOOKUP($C506,REV!$C:$AA,12,0)-'TRADE IN'!$F506))</f>
        <v>999</v>
      </c>
      <c r="O506" s="46">
        <f>IF(VLOOKUP($C506,REV!$C:$AA,13,0)-'TRADE IN'!$F515=0,"",(VLOOKUP($C506,REV!$C:$AA,13,0)-'TRADE IN'!$F506))</f>
        <v>899</v>
      </c>
      <c r="P506" s="46">
        <f>IF(VLOOKUP($C506,REV!$C:$AA,14,0)-'TRADE IN'!$F515=0,"",(VLOOKUP($C506,REV!$C:$AA,14,0)-'TRADE IN'!$F506))</f>
        <v>799</v>
      </c>
      <c r="Q506" s="46">
        <f>IF(VLOOKUP($C506,REV!$C:$AA,15,0)-'TRADE IN'!$F515=0,"",(VLOOKUP($C506,REV!$C:$AA,15,0)-'TRADE IN'!$F506))</f>
        <v>699</v>
      </c>
      <c r="R506" s="46">
        <f>IF(VLOOKUP($C506,REV!$C:$AA,16,0)-'TRADE IN'!$F515=0,"",(VLOOKUP($C506,REV!$C:$AA,16,0)-'TRADE IN'!$F506))</f>
        <v>899</v>
      </c>
      <c r="S506" s="46">
        <f>IF(VLOOKUP($C506,REV!$C:$AA,17,0)-'TRADE IN'!$F515=0,"",(VLOOKUP($C506,REV!$C:$AA,17,0)-'TRADE IN'!$F506))</f>
        <v>799</v>
      </c>
      <c r="T506" s="46">
        <f>IF(VLOOKUP($C506,REV!$C:$AA,18,0)-'TRADE IN'!$F515=0,"",(VLOOKUP($C506,REV!$C:$AA,18,0)-'TRADE IN'!$F506))</f>
        <v>699</v>
      </c>
      <c r="U506" s="46">
        <f>IF(VLOOKUP($C506,REV!$C:$AA,19,0)-'TRADE IN'!$F515=0,"",(VLOOKUP($C506,REV!$C:$AA,19,0)-'TRADE IN'!$F506))</f>
        <v>699</v>
      </c>
      <c r="V506" s="46">
        <f>IF(VLOOKUP($C506,REV!$C:$AA,20,0)-'TRADE IN'!$F515=0,"",(VLOOKUP($C506,REV!$C:$AA,20,0)-'TRADE IN'!$F506))</f>
        <v>699</v>
      </c>
      <c r="W506" s="46">
        <f>IF(VLOOKUP($C506,REV!$C:$AA,21,0)-'TRADE IN'!$F515=0,"",(VLOOKUP($C506,REV!$C:$AA,21,0)-'TRADE IN'!$F506))</f>
        <v>699</v>
      </c>
      <c r="X506" s="46">
        <f>IF(VLOOKUP($C506,REV!$C:$AA,22,0)-'TRADE IN'!$F515=0,"",(VLOOKUP($C506,REV!$C:$AA,22,0)-'TRADE IN'!$F506))</f>
        <v>649</v>
      </c>
      <c r="Y506" s="46">
        <f>IF(VLOOKUP($C506,REV!$C:$AA,23,0)-'TRADE IN'!$F515=0,"",(VLOOKUP($C506,REV!$C:$AA,23,0)-'TRADE IN'!$F506))</f>
        <v>599</v>
      </c>
      <c r="Z506" s="46">
        <f>IF(VLOOKUP($C506,REV!$C:$AA,24,0)-'TRADE IN'!$F515=0,"",(VLOOKUP($C506,REV!$C:$AA,24,0)-'TRADE IN'!$F506))</f>
        <v>599</v>
      </c>
      <c r="AA506" s="46">
        <f>IF(VLOOKUP($C506,REV!$C:$AA,25,0)-'TRADE IN'!$F515=0,"",(VLOOKUP($C506,REV!$C:$AA,25,0)-'TRADE IN'!$F506))</f>
        <v>579</v>
      </c>
      <c r="AB506" s="46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7"/>
      <c r="AW506" s="48" t="str">
        <f>IF(REV!AW506=0,"",REV!AW506)</f>
        <v>31.03.2026</v>
      </c>
      <c r="AX506" s="159" t="s">
        <v>82</v>
      </c>
    </row>
    <row r="507" spans="1:50" ht="22.5" customHeight="1">
      <c r="A507" s="50" t="s">
        <v>61</v>
      </c>
      <c r="B507" s="41" t="s">
        <v>62</v>
      </c>
      <c r="C507" s="42">
        <v>4015469</v>
      </c>
      <c r="D507" s="44" t="s">
        <v>711</v>
      </c>
      <c r="E507" s="44" t="s">
        <v>714</v>
      </c>
      <c r="F507" s="45"/>
      <c r="G507" s="45"/>
      <c r="H507" s="45"/>
      <c r="I507" s="45"/>
      <c r="J507" s="46">
        <f>IF(VLOOKUP($C507,REV!$C:$AA,8,0)-'TRADE IN'!$F507=0,"",(VLOOKUP($C507,REV!$C:$AA,8,0)-'TRADE IN'!$F507))</f>
        <v>999</v>
      </c>
      <c r="K507" s="46">
        <f>IF(VLOOKUP($C507,REV!$C:$AA,9,0)-'TRADE IN'!$F507=0,"",(VLOOKUP($C507,REV!$C:$AA,9,0)-'TRADE IN'!$F507))</f>
        <v>999</v>
      </c>
      <c r="L507" s="46">
        <f>IF(VLOOKUP($C507,REV!$C:$AA,10,0)-'TRADE IN'!$F516=0,"",(VLOOKUP($C507,REV!$C:$AA,10,0)-'TRADE IN'!$F507))</f>
        <v>999</v>
      </c>
      <c r="M507" s="46">
        <f>IF(VLOOKUP($C507,REV!$C:$AA,11,0)-'TRADE IN'!$F516=0,"",(VLOOKUP($C507,REV!$C:$AA,11,0)-'TRADE IN'!$F507))</f>
        <v>999</v>
      </c>
      <c r="N507" s="46">
        <f>IF(VLOOKUP($C507,REV!$C:$AA,12,0)-'TRADE IN'!$F516=0,"",(VLOOKUP($C507,REV!$C:$AA,12,0)-'TRADE IN'!$F507))</f>
        <v>999</v>
      </c>
      <c r="O507" s="46">
        <f>IF(VLOOKUP($C507,REV!$C:$AA,13,0)-'TRADE IN'!$F516=0,"",(VLOOKUP($C507,REV!$C:$AA,13,0)-'TRADE IN'!$F507))</f>
        <v>899</v>
      </c>
      <c r="P507" s="46">
        <f>IF(VLOOKUP($C507,REV!$C:$AA,14,0)-'TRADE IN'!$F516=0,"",(VLOOKUP($C507,REV!$C:$AA,14,0)-'TRADE IN'!$F507))</f>
        <v>799</v>
      </c>
      <c r="Q507" s="46">
        <f>IF(VLOOKUP($C507,REV!$C:$AA,15,0)-'TRADE IN'!$F516=0,"",(VLOOKUP($C507,REV!$C:$AA,15,0)-'TRADE IN'!$F507))</f>
        <v>699</v>
      </c>
      <c r="R507" s="46">
        <f>IF(VLOOKUP($C507,REV!$C:$AA,16,0)-'TRADE IN'!$F516=0,"",(VLOOKUP($C507,REV!$C:$AA,16,0)-'TRADE IN'!$F507))</f>
        <v>899</v>
      </c>
      <c r="S507" s="46">
        <f>IF(VLOOKUP($C507,REV!$C:$AA,17,0)-'TRADE IN'!$F516=0,"",(VLOOKUP($C507,REV!$C:$AA,17,0)-'TRADE IN'!$F507))</f>
        <v>799</v>
      </c>
      <c r="T507" s="46">
        <f>IF(VLOOKUP($C507,REV!$C:$AA,18,0)-'TRADE IN'!$F516=0,"",(VLOOKUP($C507,REV!$C:$AA,18,0)-'TRADE IN'!$F507))</f>
        <v>699</v>
      </c>
      <c r="U507" s="46">
        <f>IF(VLOOKUP($C507,REV!$C:$AA,19,0)-'TRADE IN'!$F516=0,"",(VLOOKUP($C507,REV!$C:$AA,19,0)-'TRADE IN'!$F507))</f>
        <v>699</v>
      </c>
      <c r="V507" s="46">
        <f>IF(VLOOKUP($C507,REV!$C:$AA,20,0)-'TRADE IN'!$F516=0,"",(VLOOKUP($C507,REV!$C:$AA,20,0)-'TRADE IN'!$F507))</f>
        <v>699</v>
      </c>
      <c r="W507" s="46">
        <f>IF(VLOOKUP($C507,REV!$C:$AA,21,0)-'TRADE IN'!$F516=0,"",(VLOOKUP($C507,REV!$C:$AA,21,0)-'TRADE IN'!$F507))</f>
        <v>699</v>
      </c>
      <c r="X507" s="46">
        <f>IF(VLOOKUP($C507,REV!$C:$AA,22,0)-'TRADE IN'!$F516=0,"",(VLOOKUP($C507,REV!$C:$AA,22,0)-'TRADE IN'!$F507))</f>
        <v>649</v>
      </c>
      <c r="Y507" s="46">
        <f>IF(VLOOKUP($C507,REV!$C:$AA,23,0)-'TRADE IN'!$F516=0,"",(VLOOKUP($C507,REV!$C:$AA,23,0)-'TRADE IN'!$F507))</f>
        <v>599</v>
      </c>
      <c r="Z507" s="46">
        <f>IF(VLOOKUP($C507,REV!$C:$AA,24,0)-'TRADE IN'!$F516=0,"",(VLOOKUP($C507,REV!$C:$AA,24,0)-'TRADE IN'!$F507))</f>
        <v>599</v>
      </c>
      <c r="AA507" s="46">
        <f>IF(VLOOKUP($C507,REV!$C:$AA,25,0)-'TRADE IN'!$F516=0,"",(VLOOKUP($C507,REV!$C:$AA,25,0)-'TRADE IN'!$F507))</f>
        <v>579</v>
      </c>
      <c r="AB507" s="46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7"/>
      <c r="AW507" s="48" t="str">
        <f>IF(REV!AW507=0,"",REV!AW507)</f>
        <v>31.03.2026</v>
      </c>
      <c r="AX507" s="159" t="s">
        <v>82</v>
      </c>
    </row>
    <row r="508" spans="1:50" ht="22.5" customHeight="1">
      <c r="A508" s="50" t="s">
        <v>61</v>
      </c>
      <c r="B508" s="41" t="s">
        <v>62</v>
      </c>
      <c r="C508" s="42">
        <v>4015473</v>
      </c>
      <c r="D508" s="44" t="s">
        <v>711</v>
      </c>
      <c r="E508" s="44" t="s">
        <v>715</v>
      </c>
      <c r="F508" s="45"/>
      <c r="G508" s="45"/>
      <c r="H508" s="45"/>
      <c r="I508" s="45"/>
      <c r="J508" s="46">
        <f>IF(VLOOKUP($C508,REV!$C:$AA,8,0)-'TRADE IN'!$F508=0,"",(VLOOKUP($C508,REV!$C:$AA,8,0)-'TRADE IN'!$F508))</f>
        <v>999</v>
      </c>
      <c r="K508" s="46">
        <f>IF(VLOOKUP($C508,REV!$C:$AA,9,0)-'TRADE IN'!$F508=0,"",(VLOOKUP($C508,REV!$C:$AA,9,0)-'TRADE IN'!$F508))</f>
        <v>999</v>
      </c>
      <c r="L508" s="46">
        <f>IF(VLOOKUP($C508,REV!$C:$AA,10,0)-'TRADE IN'!$F517=0,"",(VLOOKUP($C508,REV!$C:$AA,10,0)-'TRADE IN'!$F508))</f>
        <v>999</v>
      </c>
      <c r="M508" s="46">
        <f>IF(VLOOKUP($C508,REV!$C:$AA,11,0)-'TRADE IN'!$F517=0,"",(VLOOKUP($C508,REV!$C:$AA,11,0)-'TRADE IN'!$F508))</f>
        <v>999</v>
      </c>
      <c r="N508" s="46">
        <f>IF(VLOOKUP($C508,REV!$C:$AA,12,0)-'TRADE IN'!$F517=0,"",(VLOOKUP($C508,REV!$C:$AA,12,0)-'TRADE IN'!$F508))</f>
        <v>999</v>
      </c>
      <c r="O508" s="46">
        <f>IF(VLOOKUP($C508,REV!$C:$AA,13,0)-'TRADE IN'!$F517=0,"",(VLOOKUP($C508,REV!$C:$AA,13,0)-'TRADE IN'!$F508))</f>
        <v>899</v>
      </c>
      <c r="P508" s="46">
        <f>IF(VLOOKUP($C508,REV!$C:$AA,14,0)-'TRADE IN'!$F517=0,"",(VLOOKUP($C508,REV!$C:$AA,14,0)-'TRADE IN'!$F508))</f>
        <v>799</v>
      </c>
      <c r="Q508" s="46">
        <f>IF(VLOOKUP($C508,REV!$C:$AA,15,0)-'TRADE IN'!$F517=0,"",(VLOOKUP($C508,REV!$C:$AA,15,0)-'TRADE IN'!$F508))</f>
        <v>699</v>
      </c>
      <c r="R508" s="46">
        <f>IF(VLOOKUP($C508,REV!$C:$AA,16,0)-'TRADE IN'!$F517=0,"",(VLOOKUP($C508,REV!$C:$AA,16,0)-'TRADE IN'!$F508))</f>
        <v>899</v>
      </c>
      <c r="S508" s="46">
        <f>IF(VLOOKUP($C508,REV!$C:$AA,17,0)-'TRADE IN'!$F517=0,"",(VLOOKUP($C508,REV!$C:$AA,17,0)-'TRADE IN'!$F508))</f>
        <v>799</v>
      </c>
      <c r="T508" s="46">
        <f>IF(VLOOKUP($C508,REV!$C:$AA,18,0)-'TRADE IN'!$F517=0,"",(VLOOKUP($C508,REV!$C:$AA,18,0)-'TRADE IN'!$F508))</f>
        <v>699</v>
      </c>
      <c r="U508" s="46">
        <f>IF(VLOOKUP($C508,REV!$C:$AA,19,0)-'TRADE IN'!$F517=0,"",(VLOOKUP($C508,REV!$C:$AA,19,0)-'TRADE IN'!$F508))</f>
        <v>699</v>
      </c>
      <c r="V508" s="46">
        <f>IF(VLOOKUP($C508,REV!$C:$AA,20,0)-'TRADE IN'!$F517=0,"",(VLOOKUP($C508,REV!$C:$AA,20,0)-'TRADE IN'!$F508))</f>
        <v>699</v>
      </c>
      <c r="W508" s="46">
        <f>IF(VLOOKUP($C508,REV!$C:$AA,21,0)-'TRADE IN'!$F517=0,"",(VLOOKUP($C508,REV!$C:$AA,21,0)-'TRADE IN'!$F508))</f>
        <v>699</v>
      </c>
      <c r="X508" s="46">
        <f>IF(VLOOKUP($C508,REV!$C:$AA,22,0)-'TRADE IN'!$F517=0,"",(VLOOKUP($C508,REV!$C:$AA,22,0)-'TRADE IN'!$F508))</f>
        <v>649</v>
      </c>
      <c r="Y508" s="46">
        <f>IF(VLOOKUP($C508,REV!$C:$AA,23,0)-'TRADE IN'!$F517=0,"",(VLOOKUP($C508,REV!$C:$AA,23,0)-'TRADE IN'!$F508))</f>
        <v>599</v>
      </c>
      <c r="Z508" s="46">
        <f>IF(VLOOKUP($C508,REV!$C:$AA,24,0)-'TRADE IN'!$F517=0,"",(VLOOKUP($C508,REV!$C:$AA,24,0)-'TRADE IN'!$F508))</f>
        <v>599</v>
      </c>
      <c r="AA508" s="46">
        <f>IF(VLOOKUP($C508,REV!$C:$AA,25,0)-'TRADE IN'!$F517=0,"",(VLOOKUP($C508,REV!$C:$AA,25,0)-'TRADE IN'!$F508))</f>
        <v>579</v>
      </c>
      <c r="AB508" s="46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7"/>
      <c r="AW508" s="48" t="str">
        <f>IF(REV!AW508=0,"",REV!AW508)</f>
        <v>31.03.2026</v>
      </c>
      <c r="AX508" s="159" t="s">
        <v>82</v>
      </c>
    </row>
    <row r="509" spans="1:50" ht="22.5" customHeight="1">
      <c r="A509" s="50" t="s">
        <v>61</v>
      </c>
      <c r="B509" s="41" t="s">
        <v>62</v>
      </c>
      <c r="C509" s="42">
        <v>4015915</v>
      </c>
      <c r="D509" s="44" t="s">
        <v>711</v>
      </c>
      <c r="E509" s="44" t="s">
        <v>716</v>
      </c>
      <c r="F509" s="45"/>
      <c r="G509" s="45"/>
      <c r="H509" s="45"/>
      <c r="I509" s="45"/>
      <c r="J509" s="46">
        <f>IF(VLOOKUP($C509,REV!$C:$AA,8,0)-'TRADE IN'!$F509=0,"",(VLOOKUP($C509,REV!$C:$AA,8,0)-'TRADE IN'!$F509))</f>
        <v>999</v>
      </c>
      <c r="K509" s="46">
        <f>IF(VLOOKUP($C509,REV!$C:$AA,9,0)-'TRADE IN'!$F509=0,"",(VLOOKUP($C509,REV!$C:$AA,9,0)-'TRADE IN'!$F509))</f>
        <v>999</v>
      </c>
      <c r="L509" s="46">
        <f>IF(VLOOKUP($C509,REV!$C:$AA,10,0)-'TRADE IN'!$F518=0,"",(VLOOKUP($C509,REV!$C:$AA,10,0)-'TRADE IN'!$F509))</f>
        <v>999</v>
      </c>
      <c r="M509" s="46">
        <f>IF(VLOOKUP($C509,REV!$C:$AA,11,0)-'TRADE IN'!$F518=0,"",(VLOOKUP($C509,REV!$C:$AA,11,0)-'TRADE IN'!$F509))</f>
        <v>999</v>
      </c>
      <c r="N509" s="46">
        <f>IF(VLOOKUP($C509,REV!$C:$AA,12,0)-'TRADE IN'!$F518=0,"",(VLOOKUP($C509,REV!$C:$AA,12,0)-'TRADE IN'!$F509))</f>
        <v>999</v>
      </c>
      <c r="O509" s="46">
        <f>IF(VLOOKUP($C509,REV!$C:$AA,13,0)-'TRADE IN'!$F518=0,"",(VLOOKUP($C509,REV!$C:$AA,13,0)-'TRADE IN'!$F509))</f>
        <v>899</v>
      </c>
      <c r="P509" s="46">
        <f>IF(VLOOKUP($C509,REV!$C:$AA,14,0)-'TRADE IN'!$F518=0,"",(VLOOKUP($C509,REV!$C:$AA,14,0)-'TRADE IN'!$F509))</f>
        <v>799</v>
      </c>
      <c r="Q509" s="46">
        <f>IF(VLOOKUP($C509,REV!$C:$AA,15,0)-'TRADE IN'!$F518=0,"",(VLOOKUP($C509,REV!$C:$AA,15,0)-'TRADE IN'!$F509))</f>
        <v>699</v>
      </c>
      <c r="R509" s="46">
        <f>IF(VLOOKUP($C509,REV!$C:$AA,16,0)-'TRADE IN'!$F518=0,"",(VLOOKUP($C509,REV!$C:$AA,16,0)-'TRADE IN'!$F509))</f>
        <v>899</v>
      </c>
      <c r="S509" s="46">
        <f>IF(VLOOKUP($C509,REV!$C:$AA,17,0)-'TRADE IN'!$F518=0,"",(VLOOKUP($C509,REV!$C:$AA,17,0)-'TRADE IN'!$F509))</f>
        <v>799</v>
      </c>
      <c r="T509" s="46">
        <f>IF(VLOOKUP($C509,REV!$C:$AA,18,0)-'TRADE IN'!$F518=0,"",(VLOOKUP($C509,REV!$C:$AA,18,0)-'TRADE IN'!$F509))</f>
        <v>699</v>
      </c>
      <c r="U509" s="46">
        <f>IF(VLOOKUP($C509,REV!$C:$AA,19,0)-'TRADE IN'!$F518=0,"",(VLOOKUP($C509,REV!$C:$AA,19,0)-'TRADE IN'!$F509))</f>
        <v>699</v>
      </c>
      <c r="V509" s="46">
        <f>IF(VLOOKUP($C509,REV!$C:$AA,20,0)-'TRADE IN'!$F518=0,"",(VLOOKUP($C509,REV!$C:$AA,20,0)-'TRADE IN'!$F509))</f>
        <v>699</v>
      </c>
      <c r="W509" s="46">
        <f>IF(VLOOKUP($C509,REV!$C:$AA,21,0)-'TRADE IN'!$F518=0,"",(VLOOKUP($C509,REV!$C:$AA,21,0)-'TRADE IN'!$F509))</f>
        <v>699</v>
      </c>
      <c r="X509" s="46">
        <f>IF(VLOOKUP($C509,REV!$C:$AA,22,0)-'TRADE IN'!$F518=0,"",(VLOOKUP($C509,REV!$C:$AA,22,0)-'TRADE IN'!$F509))</f>
        <v>649</v>
      </c>
      <c r="Y509" s="46">
        <f>IF(VLOOKUP($C509,REV!$C:$AA,23,0)-'TRADE IN'!$F518=0,"",(VLOOKUP($C509,REV!$C:$AA,23,0)-'TRADE IN'!$F509))</f>
        <v>599</v>
      </c>
      <c r="Z509" s="46">
        <f>IF(VLOOKUP($C509,REV!$C:$AA,24,0)-'TRADE IN'!$F518=0,"",(VLOOKUP($C509,REV!$C:$AA,24,0)-'TRADE IN'!$F509))</f>
        <v>599</v>
      </c>
      <c r="AA509" s="46">
        <f>IF(VLOOKUP($C509,REV!$C:$AA,25,0)-'TRADE IN'!$F518=0,"",(VLOOKUP($C509,REV!$C:$AA,25,0)-'TRADE IN'!$F509))</f>
        <v>579</v>
      </c>
      <c r="AB509" s="46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7"/>
      <c r="AW509" s="48" t="str">
        <f>IF(REV!AW509=0,"",REV!AW509)</f>
        <v>31.03.2026</v>
      </c>
      <c r="AX509" s="159" t="s">
        <v>82</v>
      </c>
    </row>
    <row r="510" spans="1:50" ht="22.5" customHeight="1">
      <c r="A510" s="50" t="s">
        <v>61</v>
      </c>
      <c r="B510" s="41" t="s">
        <v>62</v>
      </c>
      <c r="C510" s="42">
        <v>4015935</v>
      </c>
      <c r="D510" s="44" t="s">
        <v>717</v>
      </c>
      <c r="E510" s="44" t="s">
        <v>718</v>
      </c>
      <c r="F510" s="45"/>
      <c r="G510" s="45"/>
      <c r="H510" s="45"/>
      <c r="I510" s="45"/>
      <c r="J510" s="46">
        <f>IF(VLOOKUP($C510,REV!$C:$AA,8,0)-'TRADE IN'!$F510=0,"",(VLOOKUP($C510,REV!$C:$AA,8,0)-'TRADE IN'!$F510))</f>
        <v>1599</v>
      </c>
      <c r="K510" s="46">
        <f>IF(VLOOKUP($C510,REV!$C:$AA,9,0)-'TRADE IN'!$F510=0,"",(VLOOKUP($C510,REV!$C:$AA,9,0)-'TRADE IN'!$F510))</f>
        <v>1499</v>
      </c>
      <c r="L510" s="46">
        <f>IF(VLOOKUP($C510,REV!$C:$AA,10,0)-'TRADE IN'!$F519=0,"",(VLOOKUP($C510,REV!$C:$AA,10,0)-'TRADE IN'!$F510))</f>
        <v>1499</v>
      </c>
      <c r="M510" s="46">
        <f>IF(VLOOKUP($C510,REV!$C:$AA,11,0)-'TRADE IN'!$F519=0,"",(VLOOKUP($C510,REV!$C:$AA,11,0)-'TRADE IN'!$F510))</f>
        <v>1599</v>
      </c>
      <c r="N510" s="46">
        <f>IF(VLOOKUP($C510,REV!$C:$AA,12,0)-'TRADE IN'!$F519=0,"",(VLOOKUP($C510,REV!$C:$AA,12,0)-'TRADE IN'!$F510))</f>
        <v>1499</v>
      </c>
      <c r="O510" s="46">
        <f>IF(VLOOKUP($C510,REV!$C:$AA,13,0)-'TRADE IN'!$F519=0,"",(VLOOKUP($C510,REV!$C:$AA,13,0)-'TRADE IN'!$F510))</f>
        <v>1399</v>
      </c>
      <c r="P510" s="46">
        <f>IF(VLOOKUP($C510,REV!$C:$AA,14,0)-'TRADE IN'!$F519=0,"",(VLOOKUP($C510,REV!$C:$AA,14,0)-'TRADE IN'!$F510))</f>
        <v>1299</v>
      </c>
      <c r="Q510" s="46">
        <f>IF(VLOOKUP($C510,REV!$C:$AA,15,0)-'TRADE IN'!$F519=0,"",(VLOOKUP($C510,REV!$C:$AA,15,0)-'TRADE IN'!$F510))</f>
        <v>999</v>
      </c>
      <c r="R510" s="46">
        <f>IF(VLOOKUP($C510,REV!$C:$AA,16,0)-'TRADE IN'!$F519=0,"",(VLOOKUP($C510,REV!$C:$AA,16,0)-'TRADE IN'!$F510))</f>
        <v>1399</v>
      </c>
      <c r="S510" s="46">
        <f>IF(VLOOKUP($C510,REV!$C:$AA,17,0)-'TRADE IN'!$F519=0,"",(VLOOKUP($C510,REV!$C:$AA,17,0)-'TRADE IN'!$F510))</f>
        <v>1299</v>
      </c>
      <c r="T510" s="46">
        <f>IF(VLOOKUP($C510,REV!$C:$AA,18,0)-'TRADE IN'!$F519=0,"",(VLOOKUP($C510,REV!$C:$AA,18,0)-'TRADE IN'!$F510))</f>
        <v>999</v>
      </c>
      <c r="U510" s="46">
        <f>IF(VLOOKUP($C510,REV!$C:$AA,19,0)-'TRADE IN'!$F519=0,"",(VLOOKUP($C510,REV!$C:$AA,19,0)-'TRADE IN'!$F510))</f>
        <v>999</v>
      </c>
      <c r="V510" s="46">
        <f>IF(VLOOKUP($C510,REV!$C:$AA,20,0)-'TRADE IN'!$F519=0,"",(VLOOKUP($C510,REV!$C:$AA,20,0)-'TRADE IN'!$F510))</f>
        <v>999</v>
      </c>
      <c r="W510" s="46">
        <f>IF(VLOOKUP($C510,REV!$C:$AA,21,0)-'TRADE IN'!$F519=0,"",(VLOOKUP($C510,REV!$C:$AA,21,0)-'TRADE IN'!$F510))</f>
        <v>999</v>
      </c>
      <c r="X510" s="46">
        <f>IF(VLOOKUP($C510,REV!$C:$AA,22,0)-'TRADE IN'!$F519=0,"",(VLOOKUP($C510,REV!$C:$AA,22,0)-'TRADE IN'!$F510))</f>
        <v>999</v>
      </c>
      <c r="Y510" s="46">
        <f>IF(VLOOKUP($C510,REV!$C:$AA,23,0)-'TRADE IN'!$F519=0,"",(VLOOKUP($C510,REV!$C:$AA,23,0)-'TRADE IN'!$F510))</f>
        <v>999</v>
      </c>
      <c r="Z510" s="46">
        <f>IF(VLOOKUP($C510,REV!$C:$AA,24,0)-'TRADE IN'!$F519=0,"",(VLOOKUP($C510,REV!$C:$AA,24,0)-'TRADE IN'!$F510))</f>
        <v>999</v>
      </c>
      <c r="AA510" s="46">
        <f>IF(VLOOKUP($C510,REV!$C:$AA,25,0)-'TRADE IN'!$F519=0,"",(VLOOKUP($C510,REV!$C:$AA,25,0)-'TRADE IN'!$F510))</f>
        <v>999</v>
      </c>
      <c r="AB510" s="46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7"/>
      <c r="AW510" s="48" t="str">
        <f>IF(REV!AW510=0,"",REV!AW510)</f>
        <v>31.03.2026</v>
      </c>
      <c r="AX510" s="159" t="s">
        <v>82</v>
      </c>
    </row>
    <row r="511" spans="1:50" ht="22.5" customHeight="1">
      <c r="A511" s="50" t="s">
        <v>61</v>
      </c>
      <c r="B511" s="41" t="s">
        <v>62</v>
      </c>
      <c r="C511" s="42">
        <v>4016155</v>
      </c>
      <c r="D511" s="44" t="s">
        <v>717</v>
      </c>
      <c r="E511" s="44" t="s">
        <v>719</v>
      </c>
      <c r="F511" s="45"/>
      <c r="G511" s="45"/>
      <c r="H511" s="45"/>
      <c r="I511" s="45"/>
      <c r="J511" s="46">
        <f>IF(VLOOKUP($C511,REV!$C:$AA,8,0)-'TRADE IN'!$F511=0,"",(VLOOKUP($C511,REV!$C:$AA,8,0)-'TRADE IN'!$F511))</f>
        <v>1599</v>
      </c>
      <c r="K511" s="46">
        <f>IF(VLOOKUP($C511,REV!$C:$AA,9,0)-'TRADE IN'!$F511=0,"",(VLOOKUP($C511,REV!$C:$AA,9,0)-'TRADE IN'!$F511))</f>
        <v>1499</v>
      </c>
      <c r="L511" s="46">
        <f>IF(VLOOKUP($C511,REV!$C:$AA,10,0)-'TRADE IN'!$F522=0,"",(VLOOKUP($C511,REV!$C:$AA,10,0)-'TRADE IN'!$F511))</f>
        <v>1499</v>
      </c>
      <c r="M511" s="46">
        <f>IF(VLOOKUP($C511,REV!$C:$AA,11,0)-'TRADE IN'!$F522=0,"",(VLOOKUP($C511,REV!$C:$AA,11,0)-'TRADE IN'!$F511))</f>
        <v>1599</v>
      </c>
      <c r="N511" s="46">
        <f>IF(VLOOKUP($C511,REV!$C:$AA,12,0)-'TRADE IN'!$F522=0,"",(VLOOKUP($C511,REV!$C:$AA,12,0)-'TRADE IN'!$F511))</f>
        <v>1499</v>
      </c>
      <c r="O511" s="46">
        <f>IF(VLOOKUP($C511,REV!$C:$AA,13,0)-'TRADE IN'!$F522=0,"",(VLOOKUP($C511,REV!$C:$AA,13,0)-'TRADE IN'!$F511))</f>
        <v>1399</v>
      </c>
      <c r="P511" s="46">
        <f>IF(VLOOKUP($C511,REV!$C:$AA,14,0)-'TRADE IN'!$F522=0,"",(VLOOKUP($C511,REV!$C:$AA,14,0)-'TRADE IN'!$F511))</f>
        <v>1299</v>
      </c>
      <c r="Q511" s="46">
        <f>IF(VLOOKUP($C511,REV!$C:$AA,15,0)-'TRADE IN'!$F522=0,"",(VLOOKUP($C511,REV!$C:$AA,15,0)-'TRADE IN'!$F511))</f>
        <v>999</v>
      </c>
      <c r="R511" s="46">
        <f>IF(VLOOKUP($C511,REV!$C:$AA,16,0)-'TRADE IN'!$F522=0,"",(VLOOKUP($C511,REV!$C:$AA,16,0)-'TRADE IN'!$F511))</f>
        <v>1399</v>
      </c>
      <c r="S511" s="46">
        <f>IF(VLOOKUP($C511,REV!$C:$AA,17,0)-'TRADE IN'!$F522=0,"",(VLOOKUP($C511,REV!$C:$AA,17,0)-'TRADE IN'!$F511))</f>
        <v>1299</v>
      </c>
      <c r="T511" s="46">
        <f>IF(VLOOKUP($C511,REV!$C:$AA,18,0)-'TRADE IN'!$F522=0,"",(VLOOKUP($C511,REV!$C:$AA,18,0)-'TRADE IN'!$F511))</f>
        <v>999</v>
      </c>
      <c r="U511" s="46">
        <f>IF(VLOOKUP($C511,REV!$C:$AA,19,0)-'TRADE IN'!$F522=0,"",(VLOOKUP($C511,REV!$C:$AA,19,0)-'TRADE IN'!$F511))</f>
        <v>999</v>
      </c>
      <c r="V511" s="46">
        <f>IF(VLOOKUP($C511,REV!$C:$AA,20,0)-'TRADE IN'!$F522=0,"",(VLOOKUP($C511,REV!$C:$AA,20,0)-'TRADE IN'!$F511))</f>
        <v>999</v>
      </c>
      <c r="W511" s="46">
        <f>IF(VLOOKUP($C511,REV!$C:$AA,21,0)-'TRADE IN'!$F522=0,"",(VLOOKUP($C511,REV!$C:$AA,21,0)-'TRADE IN'!$F511))</f>
        <v>999</v>
      </c>
      <c r="X511" s="46">
        <f>IF(VLOOKUP($C511,REV!$C:$AA,22,0)-'TRADE IN'!$F522=0,"",(VLOOKUP($C511,REV!$C:$AA,22,0)-'TRADE IN'!$F511))</f>
        <v>999</v>
      </c>
      <c r="Y511" s="46">
        <f>IF(VLOOKUP($C511,REV!$C:$AA,23,0)-'TRADE IN'!$F522=0,"",(VLOOKUP($C511,REV!$C:$AA,23,0)-'TRADE IN'!$F511))</f>
        <v>999</v>
      </c>
      <c r="Z511" s="46">
        <f>IF(VLOOKUP($C511,REV!$C:$AA,24,0)-'TRADE IN'!$F522=0,"",(VLOOKUP($C511,REV!$C:$AA,24,0)-'TRADE IN'!$F511))</f>
        <v>999</v>
      </c>
      <c r="AA511" s="46">
        <f>IF(VLOOKUP($C511,REV!$C:$AA,25,0)-'TRADE IN'!$F522=0,"",(VLOOKUP($C511,REV!$C:$AA,25,0)-'TRADE IN'!$F511))</f>
        <v>999</v>
      </c>
      <c r="AB511" s="46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7"/>
      <c r="AW511" s="48" t="str">
        <f>IF(REV!AW511=0,"",REV!AW511)</f>
        <v>31.03.2026</v>
      </c>
      <c r="AX511" s="159" t="s">
        <v>82</v>
      </c>
    </row>
    <row r="512" spans="1:50" ht="22.5" customHeight="1">
      <c r="A512" s="50" t="s">
        <v>61</v>
      </c>
      <c r="B512" s="41" t="s">
        <v>62</v>
      </c>
      <c r="C512" s="42">
        <v>4015939</v>
      </c>
      <c r="D512" s="44" t="s">
        <v>717</v>
      </c>
      <c r="E512" s="44" t="s">
        <v>720</v>
      </c>
      <c r="F512" s="45"/>
      <c r="G512" s="45"/>
      <c r="H512" s="45"/>
      <c r="I512" s="45"/>
      <c r="J512" s="46">
        <f>IF(VLOOKUP($C512,REV!$C:$AA,8,0)-'TRADE IN'!$F512=0,"",(VLOOKUP($C512,REV!$C:$AA,8,0)-'TRADE IN'!$F512))</f>
        <v>1599</v>
      </c>
      <c r="K512" s="46">
        <f>IF(VLOOKUP($C512,REV!$C:$AA,9,0)-'TRADE IN'!$F512=0,"",(VLOOKUP($C512,REV!$C:$AA,9,0)-'TRADE IN'!$F512))</f>
        <v>1499</v>
      </c>
      <c r="L512" s="46">
        <f>IF(VLOOKUP($C512,REV!$C:$AA,10,0)-'TRADE IN'!$F523=0,"",(VLOOKUP($C512,REV!$C:$AA,10,0)-'TRADE IN'!$F512))</f>
        <v>1499</v>
      </c>
      <c r="M512" s="46">
        <f>IF(VLOOKUP($C512,REV!$C:$AA,11,0)-'TRADE IN'!$F523=0,"",(VLOOKUP($C512,REV!$C:$AA,11,0)-'TRADE IN'!$F512))</f>
        <v>1599</v>
      </c>
      <c r="N512" s="46">
        <f>IF(VLOOKUP($C512,REV!$C:$AA,12,0)-'TRADE IN'!$F523=0,"",(VLOOKUP($C512,REV!$C:$AA,12,0)-'TRADE IN'!$F512))</f>
        <v>1499</v>
      </c>
      <c r="O512" s="46">
        <f>IF(VLOOKUP($C512,REV!$C:$AA,13,0)-'TRADE IN'!$F523=0,"",(VLOOKUP($C512,REV!$C:$AA,13,0)-'TRADE IN'!$F512))</f>
        <v>1399</v>
      </c>
      <c r="P512" s="46">
        <f>IF(VLOOKUP($C512,REV!$C:$AA,14,0)-'TRADE IN'!$F523=0,"",(VLOOKUP($C512,REV!$C:$AA,14,0)-'TRADE IN'!$F512))</f>
        <v>1299</v>
      </c>
      <c r="Q512" s="46">
        <f>IF(VLOOKUP($C512,REV!$C:$AA,15,0)-'TRADE IN'!$F523=0,"",(VLOOKUP($C512,REV!$C:$AA,15,0)-'TRADE IN'!$F512))</f>
        <v>999</v>
      </c>
      <c r="R512" s="46">
        <f>IF(VLOOKUP($C512,REV!$C:$AA,16,0)-'TRADE IN'!$F523=0,"",(VLOOKUP($C512,REV!$C:$AA,16,0)-'TRADE IN'!$F512))</f>
        <v>1399</v>
      </c>
      <c r="S512" s="46">
        <f>IF(VLOOKUP($C512,REV!$C:$AA,17,0)-'TRADE IN'!$F523=0,"",(VLOOKUP($C512,REV!$C:$AA,17,0)-'TRADE IN'!$F512))</f>
        <v>1299</v>
      </c>
      <c r="T512" s="46">
        <f>IF(VLOOKUP($C512,REV!$C:$AA,18,0)-'TRADE IN'!$F523=0,"",(VLOOKUP($C512,REV!$C:$AA,18,0)-'TRADE IN'!$F512))</f>
        <v>999</v>
      </c>
      <c r="U512" s="46">
        <f>IF(VLOOKUP($C512,REV!$C:$AA,19,0)-'TRADE IN'!$F523=0,"",(VLOOKUP($C512,REV!$C:$AA,19,0)-'TRADE IN'!$F512))</f>
        <v>999</v>
      </c>
      <c r="V512" s="46">
        <f>IF(VLOOKUP($C512,REV!$C:$AA,20,0)-'TRADE IN'!$F523=0,"",(VLOOKUP($C512,REV!$C:$AA,20,0)-'TRADE IN'!$F512))</f>
        <v>999</v>
      </c>
      <c r="W512" s="46">
        <f>IF(VLOOKUP($C512,REV!$C:$AA,21,0)-'TRADE IN'!$F523=0,"",(VLOOKUP($C512,REV!$C:$AA,21,0)-'TRADE IN'!$F512))</f>
        <v>999</v>
      </c>
      <c r="X512" s="46">
        <f>IF(VLOOKUP($C512,REV!$C:$AA,22,0)-'TRADE IN'!$F523=0,"",(VLOOKUP($C512,REV!$C:$AA,22,0)-'TRADE IN'!$F512))</f>
        <v>999</v>
      </c>
      <c r="Y512" s="46">
        <f>IF(VLOOKUP($C512,REV!$C:$AA,23,0)-'TRADE IN'!$F523=0,"",(VLOOKUP($C512,REV!$C:$AA,23,0)-'TRADE IN'!$F512))</f>
        <v>999</v>
      </c>
      <c r="Z512" s="46">
        <f>IF(VLOOKUP($C512,REV!$C:$AA,24,0)-'TRADE IN'!$F523=0,"",(VLOOKUP($C512,REV!$C:$AA,24,0)-'TRADE IN'!$F512))</f>
        <v>999</v>
      </c>
      <c r="AA512" s="46">
        <f>IF(VLOOKUP($C512,REV!$C:$AA,25,0)-'TRADE IN'!$F523=0,"",(VLOOKUP($C512,REV!$C:$AA,25,0)-'TRADE IN'!$F512))</f>
        <v>999</v>
      </c>
      <c r="AB512" s="46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7"/>
      <c r="AW512" s="48" t="str">
        <f>IF(REV!AW512=0,"",REV!AW512)</f>
        <v>31.03.2026</v>
      </c>
      <c r="AX512" s="159" t="s">
        <v>82</v>
      </c>
    </row>
    <row r="513" spans="1:50" ht="22.5" customHeight="1">
      <c r="A513" s="50" t="s">
        <v>61</v>
      </c>
      <c r="B513" s="41" t="s">
        <v>62</v>
      </c>
      <c r="C513" s="42">
        <v>4016152</v>
      </c>
      <c r="D513" s="44" t="s">
        <v>717</v>
      </c>
      <c r="E513" s="44" t="s">
        <v>721</v>
      </c>
      <c r="F513" s="45"/>
      <c r="G513" s="45"/>
      <c r="H513" s="45"/>
      <c r="I513" s="45"/>
      <c r="J513" s="46">
        <f>IF(VLOOKUP($C513,REV!$C:$AA,8,0)-'TRADE IN'!$F513=0,"",(VLOOKUP($C513,REV!$C:$AA,8,0)-'TRADE IN'!$F513))</f>
        <v>1599</v>
      </c>
      <c r="K513" s="46">
        <f>IF(VLOOKUP($C513,REV!$C:$AA,9,0)-'TRADE IN'!$F513=0,"",(VLOOKUP($C513,REV!$C:$AA,9,0)-'TRADE IN'!$F513))</f>
        <v>1499</v>
      </c>
      <c r="L513" s="46">
        <f>IF(VLOOKUP($C513,REV!$C:$AA,10,0)-'TRADE IN'!$F524=0,"",(VLOOKUP($C513,REV!$C:$AA,10,0)-'TRADE IN'!$F513))</f>
        <v>1499</v>
      </c>
      <c r="M513" s="46">
        <f>IF(VLOOKUP($C513,REV!$C:$AA,11,0)-'TRADE IN'!$F524=0,"",(VLOOKUP($C513,REV!$C:$AA,11,0)-'TRADE IN'!$F513))</f>
        <v>1599</v>
      </c>
      <c r="N513" s="46">
        <f>IF(VLOOKUP($C513,REV!$C:$AA,12,0)-'TRADE IN'!$F524=0,"",(VLOOKUP($C513,REV!$C:$AA,12,0)-'TRADE IN'!$F513))</f>
        <v>1499</v>
      </c>
      <c r="O513" s="46">
        <f>IF(VLOOKUP($C513,REV!$C:$AA,13,0)-'TRADE IN'!$F524=0,"",(VLOOKUP($C513,REV!$C:$AA,13,0)-'TRADE IN'!$F513))</f>
        <v>1399</v>
      </c>
      <c r="P513" s="46">
        <f>IF(VLOOKUP($C513,REV!$C:$AA,14,0)-'TRADE IN'!$F524=0,"",(VLOOKUP($C513,REV!$C:$AA,14,0)-'TRADE IN'!$F513))</f>
        <v>1299</v>
      </c>
      <c r="Q513" s="46">
        <f>IF(VLOOKUP($C513,REV!$C:$AA,15,0)-'TRADE IN'!$F524=0,"",(VLOOKUP($C513,REV!$C:$AA,15,0)-'TRADE IN'!$F513))</f>
        <v>999</v>
      </c>
      <c r="R513" s="46">
        <f>IF(VLOOKUP($C513,REV!$C:$AA,16,0)-'TRADE IN'!$F524=0,"",(VLOOKUP($C513,REV!$C:$AA,16,0)-'TRADE IN'!$F513))</f>
        <v>1399</v>
      </c>
      <c r="S513" s="46">
        <f>IF(VLOOKUP($C513,REV!$C:$AA,17,0)-'TRADE IN'!$F524=0,"",(VLOOKUP($C513,REV!$C:$AA,17,0)-'TRADE IN'!$F513))</f>
        <v>1299</v>
      </c>
      <c r="T513" s="46">
        <f>IF(VLOOKUP($C513,REV!$C:$AA,18,0)-'TRADE IN'!$F524=0,"",(VLOOKUP($C513,REV!$C:$AA,18,0)-'TRADE IN'!$F513))</f>
        <v>999</v>
      </c>
      <c r="U513" s="46">
        <f>IF(VLOOKUP($C513,REV!$C:$AA,19,0)-'TRADE IN'!$F524=0,"",(VLOOKUP($C513,REV!$C:$AA,19,0)-'TRADE IN'!$F513))</f>
        <v>999</v>
      </c>
      <c r="V513" s="46">
        <f>IF(VLOOKUP($C513,REV!$C:$AA,20,0)-'TRADE IN'!$F524=0,"",(VLOOKUP($C513,REV!$C:$AA,20,0)-'TRADE IN'!$F513))</f>
        <v>999</v>
      </c>
      <c r="W513" s="46">
        <f>IF(VLOOKUP($C513,REV!$C:$AA,21,0)-'TRADE IN'!$F524=0,"",(VLOOKUP($C513,REV!$C:$AA,21,0)-'TRADE IN'!$F513))</f>
        <v>999</v>
      </c>
      <c r="X513" s="46">
        <f>IF(VLOOKUP($C513,REV!$C:$AA,22,0)-'TRADE IN'!$F524=0,"",(VLOOKUP($C513,REV!$C:$AA,22,0)-'TRADE IN'!$F513))</f>
        <v>999</v>
      </c>
      <c r="Y513" s="46">
        <f>IF(VLOOKUP($C513,REV!$C:$AA,23,0)-'TRADE IN'!$F524=0,"",(VLOOKUP($C513,REV!$C:$AA,23,0)-'TRADE IN'!$F513))</f>
        <v>999</v>
      </c>
      <c r="Z513" s="46">
        <f>IF(VLOOKUP($C513,REV!$C:$AA,24,0)-'TRADE IN'!$F524=0,"",(VLOOKUP($C513,REV!$C:$AA,24,0)-'TRADE IN'!$F513))</f>
        <v>999</v>
      </c>
      <c r="AA513" s="46">
        <f>IF(VLOOKUP($C513,REV!$C:$AA,25,0)-'TRADE IN'!$F524=0,"",(VLOOKUP($C513,REV!$C:$AA,25,0)-'TRADE IN'!$F513))</f>
        <v>999</v>
      </c>
      <c r="AB513" s="46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7"/>
      <c r="AW513" s="48" t="str">
        <f>IF(REV!AW513=0,"",REV!AW513)</f>
        <v>31.03.2026</v>
      </c>
      <c r="AX513" s="159" t="s">
        <v>82</v>
      </c>
    </row>
    <row r="514" spans="1:50" ht="22.5" customHeight="1">
      <c r="A514" s="50" t="s">
        <v>61</v>
      </c>
      <c r="B514" s="41" t="s">
        <v>62</v>
      </c>
      <c r="C514" s="42">
        <v>4016159</v>
      </c>
      <c r="D514" s="44" t="s">
        <v>717</v>
      </c>
      <c r="E514" s="44" t="s">
        <v>722</v>
      </c>
      <c r="F514" s="45"/>
      <c r="G514" s="45"/>
      <c r="H514" s="45"/>
      <c r="I514" s="45"/>
      <c r="J514" s="46">
        <f>IF(VLOOKUP($C514,REV!$C:$AA,8,0)-'TRADE IN'!$F514=0,"",(VLOOKUP($C514,REV!$C:$AA,8,0)-'TRADE IN'!$F514))</f>
        <v>1599</v>
      </c>
      <c r="K514" s="46">
        <f>IF(VLOOKUP($C514,REV!$C:$AA,9,0)-'TRADE IN'!$F514=0,"",(VLOOKUP($C514,REV!$C:$AA,9,0)-'TRADE IN'!$F514))</f>
        <v>1499</v>
      </c>
      <c r="L514" s="46">
        <f>IF(VLOOKUP($C514,REV!$C:$AA,10,0)-'TRADE IN'!$F525=0,"",(VLOOKUP($C514,REV!$C:$AA,10,0)-'TRADE IN'!$F514))</f>
        <v>1499</v>
      </c>
      <c r="M514" s="46">
        <f>IF(VLOOKUP($C514,REV!$C:$AA,11,0)-'TRADE IN'!$F525=0,"",(VLOOKUP($C514,REV!$C:$AA,11,0)-'TRADE IN'!$F514))</f>
        <v>1599</v>
      </c>
      <c r="N514" s="46">
        <f>IF(VLOOKUP($C514,REV!$C:$AA,12,0)-'TRADE IN'!$F525=0,"",(VLOOKUP($C514,REV!$C:$AA,12,0)-'TRADE IN'!$F514))</f>
        <v>1499</v>
      </c>
      <c r="O514" s="46">
        <f>IF(VLOOKUP($C514,REV!$C:$AA,13,0)-'TRADE IN'!$F525=0,"",(VLOOKUP($C514,REV!$C:$AA,13,0)-'TRADE IN'!$F514))</f>
        <v>1399</v>
      </c>
      <c r="P514" s="46">
        <f>IF(VLOOKUP($C514,REV!$C:$AA,14,0)-'TRADE IN'!$F525=0,"",(VLOOKUP($C514,REV!$C:$AA,14,0)-'TRADE IN'!$F514))</f>
        <v>1299</v>
      </c>
      <c r="Q514" s="46">
        <f>IF(VLOOKUP($C514,REV!$C:$AA,15,0)-'TRADE IN'!$F525=0,"",(VLOOKUP($C514,REV!$C:$AA,15,0)-'TRADE IN'!$F514))</f>
        <v>999</v>
      </c>
      <c r="R514" s="46">
        <f>IF(VLOOKUP($C514,REV!$C:$AA,16,0)-'TRADE IN'!$F525=0,"",(VLOOKUP($C514,REV!$C:$AA,16,0)-'TRADE IN'!$F514))</f>
        <v>1399</v>
      </c>
      <c r="S514" s="46">
        <f>IF(VLOOKUP($C514,REV!$C:$AA,17,0)-'TRADE IN'!$F525=0,"",(VLOOKUP($C514,REV!$C:$AA,17,0)-'TRADE IN'!$F514))</f>
        <v>1299</v>
      </c>
      <c r="T514" s="46">
        <f>IF(VLOOKUP($C514,REV!$C:$AA,18,0)-'TRADE IN'!$F525=0,"",(VLOOKUP($C514,REV!$C:$AA,18,0)-'TRADE IN'!$F514))</f>
        <v>999</v>
      </c>
      <c r="U514" s="46">
        <f>IF(VLOOKUP($C514,REV!$C:$AA,19,0)-'TRADE IN'!$F525=0,"",(VLOOKUP($C514,REV!$C:$AA,19,0)-'TRADE IN'!$F514))</f>
        <v>999</v>
      </c>
      <c r="V514" s="46">
        <f>IF(VLOOKUP($C514,REV!$C:$AA,20,0)-'TRADE IN'!$F525=0,"",(VLOOKUP($C514,REV!$C:$AA,20,0)-'TRADE IN'!$F514))</f>
        <v>999</v>
      </c>
      <c r="W514" s="46">
        <f>IF(VLOOKUP($C514,REV!$C:$AA,21,0)-'TRADE IN'!$F525=0,"",(VLOOKUP($C514,REV!$C:$AA,21,0)-'TRADE IN'!$F514))</f>
        <v>999</v>
      </c>
      <c r="X514" s="46">
        <f>IF(VLOOKUP($C514,REV!$C:$AA,22,0)-'TRADE IN'!$F525=0,"",(VLOOKUP($C514,REV!$C:$AA,22,0)-'TRADE IN'!$F514))</f>
        <v>999</v>
      </c>
      <c r="Y514" s="46">
        <f>IF(VLOOKUP($C514,REV!$C:$AA,23,0)-'TRADE IN'!$F525=0,"",(VLOOKUP($C514,REV!$C:$AA,23,0)-'TRADE IN'!$F514))</f>
        <v>999</v>
      </c>
      <c r="Z514" s="46">
        <f>IF(VLOOKUP($C514,REV!$C:$AA,24,0)-'TRADE IN'!$F525=0,"",(VLOOKUP($C514,REV!$C:$AA,24,0)-'TRADE IN'!$F514))</f>
        <v>999</v>
      </c>
      <c r="AA514" s="46">
        <f>IF(VLOOKUP($C514,REV!$C:$AA,25,0)-'TRADE IN'!$F525=0,"",(VLOOKUP($C514,REV!$C:$AA,25,0)-'TRADE IN'!$F514))</f>
        <v>999</v>
      </c>
      <c r="AB514" s="46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7"/>
      <c r="AW514" s="48" t="str">
        <f>IF(REV!AW514=0,"",REV!AW514)</f>
        <v>31.03.2026</v>
      </c>
      <c r="AX514" s="159" t="s">
        <v>82</v>
      </c>
    </row>
    <row r="515" spans="1:50" ht="22.5" customHeight="1">
      <c r="A515" s="50" t="s">
        <v>61</v>
      </c>
      <c r="B515" s="41" t="s">
        <v>62</v>
      </c>
      <c r="C515" s="42">
        <v>4016147</v>
      </c>
      <c r="D515" s="44" t="s">
        <v>717</v>
      </c>
      <c r="E515" s="44" t="s">
        <v>723</v>
      </c>
      <c r="F515" s="45"/>
      <c r="G515" s="45"/>
      <c r="H515" s="45"/>
      <c r="I515" s="45"/>
      <c r="J515" s="46">
        <f>IF(VLOOKUP($C515,REV!$C:$AA,8,0)-'TRADE IN'!$F515=0,"",(VLOOKUP($C515,REV!$C:$AA,8,0)-'TRADE IN'!$F515))</f>
        <v>1599</v>
      </c>
      <c r="K515" s="46">
        <f>IF(VLOOKUP($C515,REV!$C:$AA,9,0)-'TRADE IN'!$F515=0,"",(VLOOKUP($C515,REV!$C:$AA,9,0)-'TRADE IN'!$F515))</f>
        <v>1499</v>
      </c>
      <c r="L515" s="46">
        <f>IF(VLOOKUP($C515,REV!$C:$AA,10,0)-'TRADE IN'!$F526=0,"",(VLOOKUP($C515,REV!$C:$AA,10,0)-'TRADE IN'!$F515))</f>
        <v>1499</v>
      </c>
      <c r="M515" s="46">
        <f>IF(VLOOKUP($C515,REV!$C:$AA,11,0)-'TRADE IN'!$F526=0,"",(VLOOKUP($C515,REV!$C:$AA,11,0)-'TRADE IN'!$F515))</f>
        <v>1599</v>
      </c>
      <c r="N515" s="46">
        <f>IF(VLOOKUP($C515,REV!$C:$AA,12,0)-'TRADE IN'!$F526=0,"",(VLOOKUP($C515,REV!$C:$AA,12,0)-'TRADE IN'!$F515))</f>
        <v>1499</v>
      </c>
      <c r="O515" s="46">
        <f>IF(VLOOKUP($C515,REV!$C:$AA,13,0)-'TRADE IN'!$F526=0,"",(VLOOKUP($C515,REV!$C:$AA,13,0)-'TRADE IN'!$F515))</f>
        <v>1399</v>
      </c>
      <c r="P515" s="46">
        <f>IF(VLOOKUP($C515,REV!$C:$AA,14,0)-'TRADE IN'!$F526=0,"",(VLOOKUP($C515,REV!$C:$AA,14,0)-'TRADE IN'!$F515))</f>
        <v>1299</v>
      </c>
      <c r="Q515" s="46">
        <f>IF(VLOOKUP($C515,REV!$C:$AA,15,0)-'TRADE IN'!$F526=0,"",(VLOOKUP($C515,REV!$C:$AA,15,0)-'TRADE IN'!$F515))</f>
        <v>999</v>
      </c>
      <c r="R515" s="46">
        <f>IF(VLOOKUP($C515,REV!$C:$AA,16,0)-'TRADE IN'!$F526=0,"",(VLOOKUP($C515,REV!$C:$AA,16,0)-'TRADE IN'!$F515))</f>
        <v>1399</v>
      </c>
      <c r="S515" s="46">
        <f>IF(VLOOKUP($C515,REV!$C:$AA,17,0)-'TRADE IN'!$F526=0,"",(VLOOKUP($C515,REV!$C:$AA,17,0)-'TRADE IN'!$F515))</f>
        <v>1299</v>
      </c>
      <c r="T515" s="46">
        <f>IF(VLOOKUP($C515,REV!$C:$AA,18,0)-'TRADE IN'!$F526=0,"",(VLOOKUP($C515,REV!$C:$AA,18,0)-'TRADE IN'!$F515))</f>
        <v>999</v>
      </c>
      <c r="U515" s="46">
        <f>IF(VLOOKUP($C515,REV!$C:$AA,19,0)-'TRADE IN'!$F526=0,"",(VLOOKUP($C515,REV!$C:$AA,19,0)-'TRADE IN'!$F515))</f>
        <v>999</v>
      </c>
      <c r="V515" s="46">
        <f>IF(VLOOKUP($C515,REV!$C:$AA,20,0)-'TRADE IN'!$F526=0,"",(VLOOKUP($C515,REV!$C:$AA,20,0)-'TRADE IN'!$F515))</f>
        <v>999</v>
      </c>
      <c r="W515" s="46">
        <f>IF(VLOOKUP($C515,REV!$C:$AA,21,0)-'TRADE IN'!$F526=0,"",(VLOOKUP($C515,REV!$C:$AA,21,0)-'TRADE IN'!$F515))</f>
        <v>999</v>
      </c>
      <c r="X515" s="46">
        <f>IF(VLOOKUP($C515,REV!$C:$AA,22,0)-'TRADE IN'!$F526=0,"",(VLOOKUP($C515,REV!$C:$AA,22,0)-'TRADE IN'!$F515))</f>
        <v>999</v>
      </c>
      <c r="Y515" s="46">
        <f>IF(VLOOKUP($C515,REV!$C:$AA,23,0)-'TRADE IN'!$F526=0,"",(VLOOKUP($C515,REV!$C:$AA,23,0)-'TRADE IN'!$F515))</f>
        <v>999</v>
      </c>
      <c r="Z515" s="46">
        <f>IF(VLOOKUP($C515,REV!$C:$AA,24,0)-'TRADE IN'!$F526=0,"",(VLOOKUP($C515,REV!$C:$AA,24,0)-'TRADE IN'!$F515))</f>
        <v>999</v>
      </c>
      <c r="AA515" s="46">
        <f>IF(VLOOKUP($C515,REV!$C:$AA,25,0)-'TRADE IN'!$F526=0,"",(VLOOKUP($C515,REV!$C:$AA,25,0)-'TRADE IN'!$F515))</f>
        <v>999</v>
      </c>
      <c r="AB515" s="46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7"/>
      <c r="AW515" s="48" t="str">
        <f>IF(REV!AW515=0,"",REV!AW515)</f>
        <v>31.03.2026</v>
      </c>
      <c r="AX515" s="159" t="s">
        <v>82</v>
      </c>
    </row>
    <row r="516" spans="1:50" ht="22.5" customHeight="1">
      <c r="A516" s="50" t="s">
        <v>61</v>
      </c>
      <c r="B516" s="41" t="s">
        <v>62</v>
      </c>
      <c r="C516" s="42">
        <v>4016974</v>
      </c>
      <c r="D516" s="44" t="s">
        <v>724</v>
      </c>
      <c r="E516" s="44" t="s">
        <v>725</v>
      </c>
      <c r="F516" s="45"/>
      <c r="G516" s="45"/>
      <c r="H516" s="45"/>
      <c r="I516" s="45"/>
      <c r="J516" s="46">
        <f>IF(VLOOKUP($C516,REV!$C:$AA,8,0)-'TRADE IN'!$F516=0,"",(VLOOKUP($C516,REV!$C:$AA,8,0)-'TRADE IN'!$F516))</f>
        <v>1999</v>
      </c>
      <c r="K516" s="46">
        <f>IF(VLOOKUP($C516,REV!$C:$AA,9,0)-'TRADE IN'!$F516=0,"",(VLOOKUP($C516,REV!$C:$AA,9,0)-'TRADE IN'!$F516))</f>
        <v>1799</v>
      </c>
      <c r="L516" s="46">
        <f>IF(VLOOKUP($C516,REV!$C:$AA,10,0)-'TRADE IN'!$F527=0,"",(VLOOKUP($C516,REV!$C:$AA,10,0)-'TRADE IN'!$F516))</f>
        <v>1799</v>
      </c>
      <c r="M516" s="46">
        <f>IF(VLOOKUP($C516,REV!$C:$AA,11,0)-'TRADE IN'!$F527=0,"",(VLOOKUP($C516,REV!$C:$AA,11,0)-'TRADE IN'!$F516))</f>
        <v>1999</v>
      </c>
      <c r="N516" s="46">
        <f>IF(VLOOKUP($C516,REV!$C:$AA,12,0)-'TRADE IN'!$F527=0,"",(VLOOKUP($C516,REV!$C:$AA,12,0)-'TRADE IN'!$F516))</f>
        <v>1799</v>
      </c>
      <c r="O516" s="46">
        <f>IF(VLOOKUP($C516,REV!$C:$AA,13,0)-'TRADE IN'!$F527=0,"",(VLOOKUP($C516,REV!$C:$AA,13,0)-'TRADE IN'!$F516))</f>
        <v>1749</v>
      </c>
      <c r="P516" s="46">
        <f>IF(VLOOKUP($C516,REV!$C:$AA,14,0)-'TRADE IN'!$F527=0,"",(VLOOKUP($C516,REV!$C:$AA,14,0)-'TRADE IN'!$F516))</f>
        <v>1699</v>
      </c>
      <c r="Q516" s="46">
        <f>IF(VLOOKUP($C516,REV!$C:$AA,15,0)-'TRADE IN'!$F527=0,"",(VLOOKUP($C516,REV!$C:$AA,15,0)-'TRADE IN'!$F516))</f>
        <v>1299</v>
      </c>
      <c r="R516" s="46">
        <f>IF(VLOOKUP($C516,REV!$C:$AA,16,0)-'TRADE IN'!$F527=0,"",(VLOOKUP($C516,REV!$C:$AA,16,0)-'TRADE IN'!$F516))</f>
        <v>1749</v>
      </c>
      <c r="S516" s="46">
        <f>IF(VLOOKUP($C516,REV!$C:$AA,17,0)-'TRADE IN'!$F527=0,"",(VLOOKUP($C516,REV!$C:$AA,17,0)-'TRADE IN'!$F516))</f>
        <v>1699</v>
      </c>
      <c r="T516" s="46">
        <f>IF(VLOOKUP($C516,REV!$C:$AA,18,0)-'TRADE IN'!$F527=0,"",(VLOOKUP($C516,REV!$C:$AA,18,0)-'TRADE IN'!$F516))</f>
        <v>1299</v>
      </c>
      <c r="U516" s="46">
        <f>IF(VLOOKUP($C516,REV!$C:$AA,19,0)-'TRADE IN'!$F527=0,"",(VLOOKUP($C516,REV!$C:$AA,19,0)-'TRADE IN'!$F516))</f>
        <v>1299</v>
      </c>
      <c r="V516" s="46">
        <f>IF(VLOOKUP($C516,REV!$C:$AA,20,0)-'TRADE IN'!$F527=0,"",(VLOOKUP($C516,REV!$C:$AA,20,0)-'TRADE IN'!$F516))</f>
        <v>1299</v>
      </c>
      <c r="W516" s="46">
        <f>IF(VLOOKUP($C516,REV!$C:$AA,21,0)-'TRADE IN'!$F527=0,"",(VLOOKUP($C516,REV!$C:$AA,21,0)-'TRADE IN'!$F516))</f>
        <v>1299</v>
      </c>
      <c r="X516" s="46">
        <f>IF(VLOOKUP($C516,REV!$C:$AA,22,0)-'TRADE IN'!$F527=0,"",(VLOOKUP($C516,REV!$C:$AA,22,0)-'TRADE IN'!$F516))</f>
        <v>1199</v>
      </c>
      <c r="Y516" s="46">
        <f>IF(VLOOKUP($C516,REV!$C:$AA,23,0)-'TRADE IN'!$F527=0,"",(VLOOKUP($C516,REV!$C:$AA,23,0)-'TRADE IN'!$F516))</f>
        <v>1199</v>
      </c>
      <c r="Z516" s="46">
        <f>IF(VLOOKUP($C516,REV!$C:$AA,24,0)-'TRADE IN'!$F527=0,"",(VLOOKUP($C516,REV!$C:$AA,24,0)-'TRADE IN'!$F516))</f>
        <v>1199</v>
      </c>
      <c r="AA516" s="46">
        <f>IF(VLOOKUP($C516,REV!$C:$AA,25,0)-'TRADE IN'!$F527=0,"",(VLOOKUP($C516,REV!$C:$AA,25,0)-'TRADE IN'!$F516))</f>
        <v>1199</v>
      </c>
      <c r="AB516" s="46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7"/>
      <c r="AW516" s="48" t="str">
        <f>IF(REV!AW516=0,"",REV!AW516)</f>
        <v>31.03.2026</v>
      </c>
      <c r="AX516" s="159" t="s">
        <v>82</v>
      </c>
    </row>
    <row r="517" spans="1:50" ht="22.5" customHeight="1">
      <c r="A517" s="50" t="s">
        <v>61</v>
      </c>
      <c r="B517" s="41" t="s">
        <v>62</v>
      </c>
      <c r="C517" s="42">
        <v>4016989</v>
      </c>
      <c r="D517" s="44" t="s">
        <v>724</v>
      </c>
      <c r="E517" s="44" t="s">
        <v>726</v>
      </c>
      <c r="F517" s="45"/>
      <c r="G517" s="45"/>
      <c r="H517" s="45"/>
      <c r="I517" s="45"/>
      <c r="J517" s="46">
        <f>IF(VLOOKUP($C517,REV!$C:$AA,8,0)-'TRADE IN'!$F517=0,"",(VLOOKUP($C517,REV!$C:$AA,8,0)-'TRADE IN'!$F517))</f>
        <v>1999</v>
      </c>
      <c r="K517" s="46">
        <f>IF(VLOOKUP($C517,REV!$C:$AA,9,0)-'TRADE IN'!$F517=0,"",(VLOOKUP($C517,REV!$C:$AA,9,0)-'TRADE IN'!$F517))</f>
        <v>1799</v>
      </c>
      <c r="L517" s="46">
        <f>IF(VLOOKUP($C517,REV!$C:$AA,10,0)-'TRADE IN'!$F528=0,"",(VLOOKUP($C517,REV!$C:$AA,10,0)-'TRADE IN'!$F517))</f>
        <v>1799</v>
      </c>
      <c r="M517" s="46">
        <f>IF(VLOOKUP($C517,REV!$C:$AA,11,0)-'TRADE IN'!$F528=0,"",(VLOOKUP($C517,REV!$C:$AA,11,0)-'TRADE IN'!$F517))</f>
        <v>1999</v>
      </c>
      <c r="N517" s="46">
        <f>IF(VLOOKUP($C517,REV!$C:$AA,12,0)-'TRADE IN'!$F528=0,"",(VLOOKUP($C517,REV!$C:$AA,12,0)-'TRADE IN'!$F517))</f>
        <v>1799</v>
      </c>
      <c r="O517" s="46">
        <f>IF(VLOOKUP($C517,REV!$C:$AA,13,0)-'TRADE IN'!$F528=0,"",(VLOOKUP($C517,REV!$C:$AA,13,0)-'TRADE IN'!$F517))</f>
        <v>1749</v>
      </c>
      <c r="P517" s="46">
        <f>IF(VLOOKUP($C517,REV!$C:$AA,14,0)-'TRADE IN'!$F528=0,"",(VLOOKUP($C517,REV!$C:$AA,14,0)-'TRADE IN'!$F517))</f>
        <v>1699</v>
      </c>
      <c r="Q517" s="46">
        <f>IF(VLOOKUP($C517,REV!$C:$AA,15,0)-'TRADE IN'!$F528=0,"",(VLOOKUP($C517,REV!$C:$AA,15,0)-'TRADE IN'!$F517))</f>
        <v>1299</v>
      </c>
      <c r="R517" s="46">
        <f>IF(VLOOKUP($C517,REV!$C:$AA,16,0)-'TRADE IN'!$F528=0,"",(VLOOKUP($C517,REV!$C:$AA,16,0)-'TRADE IN'!$F517))</f>
        <v>1749</v>
      </c>
      <c r="S517" s="46">
        <f>IF(VLOOKUP($C517,REV!$C:$AA,17,0)-'TRADE IN'!$F528=0,"",(VLOOKUP($C517,REV!$C:$AA,17,0)-'TRADE IN'!$F517))</f>
        <v>1699</v>
      </c>
      <c r="T517" s="46">
        <f>IF(VLOOKUP($C517,REV!$C:$AA,18,0)-'TRADE IN'!$F528=0,"",(VLOOKUP($C517,REV!$C:$AA,18,0)-'TRADE IN'!$F517))</f>
        <v>1299</v>
      </c>
      <c r="U517" s="46">
        <f>IF(VLOOKUP($C517,REV!$C:$AA,19,0)-'TRADE IN'!$F528=0,"",(VLOOKUP($C517,REV!$C:$AA,19,0)-'TRADE IN'!$F517))</f>
        <v>1299</v>
      </c>
      <c r="V517" s="46">
        <f>IF(VLOOKUP($C517,REV!$C:$AA,20,0)-'TRADE IN'!$F528=0,"",(VLOOKUP($C517,REV!$C:$AA,20,0)-'TRADE IN'!$F517))</f>
        <v>1299</v>
      </c>
      <c r="W517" s="46">
        <f>IF(VLOOKUP($C517,REV!$C:$AA,21,0)-'TRADE IN'!$F528=0,"",(VLOOKUP($C517,REV!$C:$AA,21,0)-'TRADE IN'!$F517))</f>
        <v>1299</v>
      </c>
      <c r="X517" s="46">
        <f>IF(VLOOKUP($C517,REV!$C:$AA,22,0)-'TRADE IN'!$F528=0,"",(VLOOKUP($C517,REV!$C:$AA,22,0)-'TRADE IN'!$F517))</f>
        <v>1199</v>
      </c>
      <c r="Y517" s="46">
        <f>IF(VLOOKUP($C517,REV!$C:$AA,23,0)-'TRADE IN'!$F528=0,"",(VLOOKUP($C517,REV!$C:$AA,23,0)-'TRADE IN'!$F517))</f>
        <v>1199</v>
      </c>
      <c r="Z517" s="46">
        <f>IF(VLOOKUP($C517,REV!$C:$AA,24,0)-'TRADE IN'!$F528=0,"",(VLOOKUP($C517,REV!$C:$AA,24,0)-'TRADE IN'!$F517))</f>
        <v>1199</v>
      </c>
      <c r="AA517" s="46">
        <f>IF(VLOOKUP($C517,REV!$C:$AA,25,0)-'TRADE IN'!$F528=0,"",(VLOOKUP($C517,REV!$C:$AA,25,0)-'TRADE IN'!$F517))</f>
        <v>1199</v>
      </c>
      <c r="AB517" s="46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7"/>
      <c r="AW517" s="48" t="str">
        <f>IF(REV!AW517=0,"",REV!AW517)</f>
        <v>31.03.2026</v>
      </c>
      <c r="AX517" s="159" t="s">
        <v>82</v>
      </c>
    </row>
    <row r="518" spans="1:50" ht="22.5" customHeight="1">
      <c r="A518" s="50" t="s">
        <v>61</v>
      </c>
      <c r="B518" s="41" t="s">
        <v>62</v>
      </c>
      <c r="C518" s="42">
        <v>4016978</v>
      </c>
      <c r="D518" s="44" t="s">
        <v>724</v>
      </c>
      <c r="E518" s="44" t="s">
        <v>727</v>
      </c>
      <c r="F518" s="45"/>
      <c r="G518" s="45"/>
      <c r="H518" s="45"/>
      <c r="I518" s="45"/>
      <c r="J518" s="46">
        <f>IF(VLOOKUP($C518,REV!$C:$AA,8,0)-'TRADE IN'!$F518=0,"",(VLOOKUP($C518,REV!$C:$AA,8,0)-'TRADE IN'!$F518))</f>
        <v>1999</v>
      </c>
      <c r="K518" s="46">
        <f>IF(VLOOKUP($C518,REV!$C:$AA,9,0)-'TRADE IN'!$F518=0,"",(VLOOKUP($C518,REV!$C:$AA,9,0)-'TRADE IN'!$F518))</f>
        <v>1799</v>
      </c>
      <c r="L518" s="46">
        <f>IF(VLOOKUP($C518,REV!$C:$AA,10,0)-'TRADE IN'!$F529=0,"",(VLOOKUP($C518,REV!$C:$AA,10,0)-'TRADE IN'!$F518))</f>
        <v>1799</v>
      </c>
      <c r="M518" s="46">
        <f>IF(VLOOKUP($C518,REV!$C:$AA,11,0)-'TRADE IN'!$F529=0,"",(VLOOKUP($C518,REV!$C:$AA,11,0)-'TRADE IN'!$F518))</f>
        <v>1999</v>
      </c>
      <c r="N518" s="46">
        <f>IF(VLOOKUP($C518,REV!$C:$AA,12,0)-'TRADE IN'!$F529=0,"",(VLOOKUP($C518,REV!$C:$AA,12,0)-'TRADE IN'!$F518))</f>
        <v>1799</v>
      </c>
      <c r="O518" s="46">
        <f>IF(VLOOKUP($C518,REV!$C:$AA,13,0)-'TRADE IN'!$F529=0,"",(VLOOKUP($C518,REV!$C:$AA,13,0)-'TRADE IN'!$F518))</f>
        <v>1749</v>
      </c>
      <c r="P518" s="46">
        <f>IF(VLOOKUP($C518,REV!$C:$AA,14,0)-'TRADE IN'!$F529=0,"",(VLOOKUP($C518,REV!$C:$AA,14,0)-'TRADE IN'!$F518))</f>
        <v>1699</v>
      </c>
      <c r="Q518" s="46">
        <f>IF(VLOOKUP($C518,REV!$C:$AA,15,0)-'TRADE IN'!$F529=0,"",(VLOOKUP($C518,REV!$C:$AA,15,0)-'TRADE IN'!$F518))</f>
        <v>1299</v>
      </c>
      <c r="R518" s="46">
        <f>IF(VLOOKUP($C518,REV!$C:$AA,16,0)-'TRADE IN'!$F529=0,"",(VLOOKUP($C518,REV!$C:$AA,16,0)-'TRADE IN'!$F518))</f>
        <v>1749</v>
      </c>
      <c r="S518" s="46">
        <f>IF(VLOOKUP($C518,REV!$C:$AA,17,0)-'TRADE IN'!$F529=0,"",(VLOOKUP($C518,REV!$C:$AA,17,0)-'TRADE IN'!$F518))</f>
        <v>1699</v>
      </c>
      <c r="T518" s="46">
        <f>IF(VLOOKUP($C518,REV!$C:$AA,18,0)-'TRADE IN'!$F529=0,"",(VLOOKUP($C518,REV!$C:$AA,18,0)-'TRADE IN'!$F518))</f>
        <v>1299</v>
      </c>
      <c r="U518" s="46">
        <f>IF(VLOOKUP($C518,REV!$C:$AA,19,0)-'TRADE IN'!$F529=0,"",(VLOOKUP($C518,REV!$C:$AA,19,0)-'TRADE IN'!$F518))</f>
        <v>1299</v>
      </c>
      <c r="V518" s="46">
        <f>IF(VLOOKUP($C518,REV!$C:$AA,20,0)-'TRADE IN'!$F529=0,"",(VLOOKUP($C518,REV!$C:$AA,20,0)-'TRADE IN'!$F518))</f>
        <v>1299</v>
      </c>
      <c r="W518" s="46">
        <f>IF(VLOOKUP($C518,REV!$C:$AA,21,0)-'TRADE IN'!$F529=0,"",(VLOOKUP($C518,REV!$C:$AA,21,0)-'TRADE IN'!$F518))</f>
        <v>1299</v>
      </c>
      <c r="X518" s="46">
        <f>IF(VLOOKUP($C518,REV!$C:$AA,22,0)-'TRADE IN'!$F529=0,"",(VLOOKUP($C518,REV!$C:$AA,22,0)-'TRADE IN'!$F518))</f>
        <v>1199</v>
      </c>
      <c r="Y518" s="46">
        <f>IF(VLOOKUP($C518,REV!$C:$AA,23,0)-'TRADE IN'!$F529=0,"",(VLOOKUP($C518,REV!$C:$AA,23,0)-'TRADE IN'!$F518))</f>
        <v>1199</v>
      </c>
      <c r="Z518" s="46">
        <f>IF(VLOOKUP($C518,REV!$C:$AA,24,0)-'TRADE IN'!$F529=0,"",(VLOOKUP($C518,REV!$C:$AA,24,0)-'TRADE IN'!$F518))</f>
        <v>1199</v>
      </c>
      <c r="AA518" s="46">
        <f>IF(VLOOKUP($C518,REV!$C:$AA,25,0)-'TRADE IN'!$F529=0,"",(VLOOKUP($C518,REV!$C:$AA,25,0)-'TRADE IN'!$F518))</f>
        <v>1199</v>
      </c>
      <c r="AB518" s="46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7"/>
      <c r="AW518" s="48" t="str">
        <f>IF(REV!AW518=0,"",REV!AW518)</f>
        <v>31.03.2026</v>
      </c>
      <c r="AX518" s="159" t="s">
        <v>82</v>
      </c>
    </row>
    <row r="519" spans="1:50" ht="22.5" customHeight="1">
      <c r="A519" s="50" t="s">
        <v>61</v>
      </c>
      <c r="B519" s="41" t="s">
        <v>62</v>
      </c>
      <c r="C519" s="42">
        <v>4016994</v>
      </c>
      <c r="D519" s="44" t="s">
        <v>724</v>
      </c>
      <c r="E519" s="44" t="s">
        <v>728</v>
      </c>
      <c r="F519" s="45"/>
      <c r="G519" s="45"/>
      <c r="H519" s="45"/>
      <c r="I519" s="45"/>
      <c r="J519" s="46">
        <f>IF(VLOOKUP($C519,REV!$C:$AA,8,0)-'TRADE IN'!$F519=0,"",(VLOOKUP($C519,REV!$C:$AA,8,0)-'TRADE IN'!$F519))</f>
        <v>1999</v>
      </c>
      <c r="K519" s="46">
        <f>IF(VLOOKUP($C519,REV!$C:$AA,9,0)-'TRADE IN'!$F519=0,"",(VLOOKUP($C519,REV!$C:$AA,9,0)-'TRADE IN'!$F519))</f>
        <v>1799</v>
      </c>
      <c r="L519" s="46">
        <f>IF(VLOOKUP($C519,REV!$C:$AA,10,0)-'TRADE IN'!$F530=0,"",(VLOOKUP($C519,REV!$C:$AA,10,0)-'TRADE IN'!$F519))</f>
        <v>1799</v>
      </c>
      <c r="M519" s="46">
        <f>IF(VLOOKUP($C519,REV!$C:$AA,11,0)-'TRADE IN'!$F530=0,"",(VLOOKUP($C519,REV!$C:$AA,11,0)-'TRADE IN'!$F519))</f>
        <v>1999</v>
      </c>
      <c r="N519" s="46">
        <f>IF(VLOOKUP($C519,REV!$C:$AA,12,0)-'TRADE IN'!$F530=0,"",(VLOOKUP($C519,REV!$C:$AA,12,0)-'TRADE IN'!$F519))</f>
        <v>1799</v>
      </c>
      <c r="O519" s="46">
        <f>IF(VLOOKUP($C519,REV!$C:$AA,13,0)-'TRADE IN'!$F530=0,"",(VLOOKUP($C519,REV!$C:$AA,13,0)-'TRADE IN'!$F519))</f>
        <v>1749</v>
      </c>
      <c r="P519" s="46">
        <f>IF(VLOOKUP($C519,REV!$C:$AA,14,0)-'TRADE IN'!$F530=0,"",(VLOOKUP($C519,REV!$C:$AA,14,0)-'TRADE IN'!$F519))</f>
        <v>1699</v>
      </c>
      <c r="Q519" s="46">
        <f>IF(VLOOKUP($C519,REV!$C:$AA,15,0)-'TRADE IN'!$F530=0,"",(VLOOKUP($C519,REV!$C:$AA,15,0)-'TRADE IN'!$F519))</f>
        <v>1299</v>
      </c>
      <c r="R519" s="46">
        <f>IF(VLOOKUP($C519,REV!$C:$AA,16,0)-'TRADE IN'!$F530=0,"",(VLOOKUP($C519,REV!$C:$AA,16,0)-'TRADE IN'!$F519))</f>
        <v>1749</v>
      </c>
      <c r="S519" s="46">
        <f>IF(VLOOKUP($C519,REV!$C:$AA,17,0)-'TRADE IN'!$F530=0,"",(VLOOKUP($C519,REV!$C:$AA,17,0)-'TRADE IN'!$F519))</f>
        <v>1699</v>
      </c>
      <c r="T519" s="46">
        <f>IF(VLOOKUP($C519,REV!$C:$AA,18,0)-'TRADE IN'!$F530=0,"",(VLOOKUP($C519,REV!$C:$AA,18,0)-'TRADE IN'!$F519))</f>
        <v>1299</v>
      </c>
      <c r="U519" s="46">
        <f>IF(VLOOKUP($C519,REV!$C:$AA,19,0)-'TRADE IN'!$F530=0,"",(VLOOKUP($C519,REV!$C:$AA,19,0)-'TRADE IN'!$F519))</f>
        <v>1299</v>
      </c>
      <c r="V519" s="46">
        <f>IF(VLOOKUP($C519,REV!$C:$AA,20,0)-'TRADE IN'!$F530=0,"",(VLOOKUP($C519,REV!$C:$AA,20,0)-'TRADE IN'!$F519))</f>
        <v>1299</v>
      </c>
      <c r="W519" s="46">
        <f>IF(VLOOKUP($C519,REV!$C:$AA,21,0)-'TRADE IN'!$F530=0,"",(VLOOKUP($C519,REV!$C:$AA,21,0)-'TRADE IN'!$F519))</f>
        <v>1299</v>
      </c>
      <c r="X519" s="46">
        <f>IF(VLOOKUP($C519,REV!$C:$AA,22,0)-'TRADE IN'!$F530=0,"",(VLOOKUP($C519,REV!$C:$AA,22,0)-'TRADE IN'!$F519))</f>
        <v>1199</v>
      </c>
      <c r="Y519" s="46">
        <f>IF(VLOOKUP($C519,REV!$C:$AA,23,0)-'TRADE IN'!$F530=0,"",(VLOOKUP($C519,REV!$C:$AA,23,0)-'TRADE IN'!$F519))</f>
        <v>1199</v>
      </c>
      <c r="Z519" s="46">
        <f>IF(VLOOKUP($C519,REV!$C:$AA,24,0)-'TRADE IN'!$F530=0,"",(VLOOKUP($C519,REV!$C:$AA,24,0)-'TRADE IN'!$F519))</f>
        <v>1199</v>
      </c>
      <c r="AA519" s="46">
        <f>IF(VLOOKUP($C519,REV!$C:$AA,25,0)-'TRADE IN'!$F530=0,"",(VLOOKUP($C519,REV!$C:$AA,25,0)-'TRADE IN'!$F519))</f>
        <v>1199</v>
      </c>
      <c r="AB519" s="46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7"/>
      <c r="AW519" s="48" t="str">
        <f>IF(REV!AW519=0,"",REV!AW519)</f>
        <v>31.03.2026</v>
      </c>
      <c r="AX519" s="159" t="s">
        <v>82</v>
      </c>
    </row>
    <row r="520" spans="1:50" ht="22.5" customHeight="1">
      <c r="A520" s="50" t="s">
        <v>61</v>
      </c>
      <c r="B520" s="41" t="s">
        <v>62</v>
      </c>
      <c r="C520" s="42">
        <v>4017063</v>
      </c>
      <c r="D520" s="44" t="s">
        <v>724</v>
      </c>
      <c r="E520" s="44" t="s">
        <v>730</v>
      </c>
      <c r="F520" s="45"/>
      <c r="G520" s="45"/>
      <c r="H520" s="45"/>
      <c r="I520" s="45"/>
      <c r="J520" s="46">
        <f>IF(VLOOKUP($C520,REV!$C:$AA,8,0)-'TRADE IN'!$F520=0,"",(VLOOKUP($C520,REV!$C:$AA,8,0)-'TRADE IN'!$F520))</f>
        <v>1999</v>
      </c>
      <c r="K520" s="46">
        <f>IF(VLOOKUP($C520,REV!$C:$AA,9,0)-'TRADE IN'!$F520=0,"",(VLOOKUP($C520,REV!$C:$AA,9,0)-'TRADE IN'!$F520))</f>
        <v>1799</v>
      </c>
      <c r="L520" s="46">
        <f>IF(VLOOKUP($C520,REV!$C:$AA,10,0)-'TRADE IN'!$F531=0,"",(VLOOKUP($C520,REV!$C:$AA,10,0)-'TRADE IN'!$F520))</f>
        <v>1799</v>
      </c>
      <c r="M520" s="46">
        <f>IF(VLOOKUP($C520,REV!$C:$AA,11,0)-'TRADE IN'!$F531=0,"",(VLOOKUP($C520,REV!$C:$AA,11,0)-'TRADE IN'!$F520))</f>
        <v>1999</v>
      </c>
      <c r="N520" s="46">
        <f>IF(VLOOKUP($C520,REV!$C:$AA,12,0)-'TRADE IN'!$F531=0,"",(VLOOKUP($C520,REV!$C:$AA,12,0)-'TRADE IN'!$F520))</f>
        <v>1799</v>
      </c>
      <c r="O520" s="46">
        <f>IF(VLOOKUP($C520,REV!$C:$AA,13,0)-'TRADE IN'!$F531=0,"",(VLOOKUP($C520,REV!$C:$AA,13,0)-'TRADE IN'!$F520))</f>
        <v>1749</v>
      </c>
      <c r="P520" s="46">
        <f>IF(VLOOKUP($C520,REV!$C:$AA,14,0)-'TRADE IN'!$F531=0,"",(VLOOKUP($C520,REV!$C:$AA,14,0)-'TRADE IN'!$F520))</f>
        <v>1699</v>
      </c>
      <c r="Q520" s="46">
        <f>IF(VLOOKUP($C520,REV!$C:$AA,15,0)-'TRADE IN'!$F531=0,"",(VLOOKUP($C520,REV!$C:$AA,15,0)-'TRADE IN'!$F520))</f>
        <v>1299</v>
      </c>
      <c r="R520" s="46">
        <f>IF(VLOOKUP($C520,REV!$C:$AA,16,0)-'TRADE IN'!$F531=0,"",(VLOOKUP($C520,REV!$C:$AA,16,0)-'TRADE IN'!$F520))</f>
        <v>1749</v>
      </c>
      <c r="S520" s="46">
        <f>IF(VLOOKUP($C520,REV!$C:$AA,17,0)-'TRADE IN'!$F531=0,"",(VLOOKUP($C520,REV!$C:$AA,17,0)-'TRADE IN'!$F520))</f>
        <v>1699</v>
      </c>
      <c r="T520" s="46">
        <f>IF(VLOOKUP($C520,REV!$C:$AA,18,0)-'TRADE IN'!$F531=0,"",(VLOOKUP($C520,REV!$C:$AA,18,0)-'TRADE IN'!$F520))</f>
        <v>1299</v>
      </c>
      <c r="U520" s="46">
        <f>IF(VLOOKUP($C520,REV!$C:$AA,19,0)-'TRADE IN'!$F531=0,"",(VLOOKUP($C520,REV!$C:$AA,19,0)-'TRADE IN'!$F520))</f>
        <v>1299</v>
      </c>
      <c r="V520" s="46">
        <f>IF(VLOOKUP($C520,REV!$C:$AA,20,0)-'TRADE IN'!$F531=0,"",(VLOOKUP($C520,REV!$C:$AA,20,0)-'TRADE IN'!$F520))</f>
        <v>1299</v>
      </c>
      <c r="W520" s="46">
        <f>IF(VLOOKUP($C520,REV!$C:$AA,21,0)-'TRADE IN'!$F531=0,"",(VLOOKUP($C520,REV!$C:$AA,21,0)-'TRADE IN'!$F520))</f>
        <v>1299</v>
      </c>
      <c r="X520" s="46">
        <f>IF(VLOOKUP($C520,REV!$C:$AA,22,0)-'TRADE IN'!$F531=0,"",(VLOOKUP($C520,REV!$C:$AA,22,0)-'TRADE IN'!$F520))</f>
        <v>1199</v>
      </c>
      <c r="Y520" s="46">
        <f>IF(VLOOKUP($C520,REV!$C:$AA,23,0)-'TRADE IN'!$F531=0,"",(VLOOKUP($C520,REV!$C:$AA,23,0)-'TRADE IN'!$F520))</f>
        <v>1199</v>
      </c>
      <c r="Z520" s="46">
        <f>IF(VLOOKUP($C520,REV!$C:$AA,24,0)-'TRADE IN'!$F531=0,"",(VLOOKUP($C520,REV!$C:$AA,24,0)-'TRADE IN'!$F520))</f>
        <v>1199</v>
      </c>
      <c r="AA520" s="46">
        <f>IF(VLOOKUP($C520,REV!$C:$AA,25,0)-'TRADE IN'!$F531=0,"",(VLOOKUP($C520,REV!$C:$AA,25,0)-'TRADE IN'!$F520))</f>
        <v>1199</v>
      </c>
      <c r="AB520" s="46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7"/>
      <c r="AW520" s="48" t="str">
        <f>IF(REV!AW520=0,"",REV!AW520)</f>
        <v>31.03.2026</v>
      </c>
      <c r="AX520" s="159" t="s">
        <v>82</v>
      </c>
    </row>
    <row r="521" spans="1:50" ht="22.5" customHeight="1">
      <c r="A521" s="50" t="s">
        <v>61</v>
      </c>
      <c r="B521" s="41" t="s">
        <v>62</v>
      </c>
      <c r="C521" s="42">
        <v>4017060</v>
      </c>
      <c r="D521" s="44" t="s">
        <v>724</v>
      </c>
      <c r="E521" s="44" t="s">
        <v>729</v>
      </c>
      <c r="F521" s="45"/>
      <c r="G521" s="45"/>
      <c r="H521" s="45"/>
      <c r="I521" s="45"/>
      <c r="J521" s="46">
        <f>IF(VLOOKUP($C521,REV!$C:$AA,8,0)-'TRADE IN'!$F521=0,"",(VLOOKUP($C521,REV!$C:$AA,8,0)-'TRADE IN'!$F521))</f>
        <v>1999</v>
      </c>
      <c r="K521" s="46">
        <f>IF(VLOOKUP($C521,REV!$C:$AA,9,0)-'TRADE IN'!$F521=0,"",(VLOOKUP($C521,REV!$C:$AA,9,0)-'TRADE IN'!$F521))</f>
        <v>1799</v>
      </c>
      <c r="L521" s="46">
        <f>IF(VLOOKUP($C521,REV!$C:$AA,10,0)-'TRADE IN'!$F531=0,"",(VLOOKUP($C521,REV!$C:$AA,10,0)-'TRADE IN'!$F521))</f>
        <v>1799</v>
      </c>
      <c r="M521" s="46">
        <f>IF(VLOOKUP($C521,REV!$C:$AA,11,0)-'TRADE IN'!$F531=0,"",(VLOOKUP($C521,REV!$C:$AA,11,0)-'TRADE IN'!$F521))</f>
        <v>1999</v>
      </c>
      <c r="N521" s="46">
        <f>IF(VLOOKUP($C521,REV!$C:$AA,12,0)-'TRADE IN'!$F531=0,"",(VLOOKUP($C521,REV!$C:$AA,12,0)-'TRADE IN'!$F521))</f>
        <v>1799</v>
      </c>
      <c r="O521" s="46">
        <f>IF(VLOOKUP($C521,REV!$C:$AA,13,0)-'TRADE IN'!$F531=0,"",(VLOOKUP($C521,REV!$C:$AA,13,0)-'TRADE IN'!$F521))</f>
        <v>1749</v>
      </c>
      <c r="P521" s="46">
        <f>IF(VLOOKUP($C521,REV!$C:$AA,14,0)-'TRADE IN'!$F531=0,"",(VLOOKUP($C521,REV!$C:$AA,14,0)-'TRADE IN'!$F521))</f>
        <v>1699</v>
      </c>
      <c r="Q521" s="46">
        <f>IF(VLOOKUP($C521,REV!$C:$AA,15,0)-'TRADE IN'!$F531=0,"",(VLOOKUP($C521,REV!$C:$AA,15,0)-'TRADE IN'!$F521))</f>
        <v>1299</v>
      </c>
      <c r="R521" s="46">
        <f>IF(VLOOKUP($C521,REV!$C:$AA,16,0)-'TRADE IN'!$F531=0,"",(VLOOKUP($C521,REV!$C:$AA,16,0)-'TRADE IN'!$F521))</f>
        <v>1749</v>
      </c>
      <c r="S521" s="46">
        <f>IF(VLOOKUP($C521,REV!$C:$AA,17,0)-'TRADE IN'!$F531=0,"",(VLOOKUP($C521,REV!$C:$AA,17,0)-'TRADE IN'!$F521))</f>
        <v>1699</v>
      </c>
      <c r="T521" s="46">
        <f>IF(VLOOKUP($C521,REV!$C:$AA,18,0)-'TRADE IN'!$F531=0,"",(VLOOKUP($C521,REV!$C:$AA,18,0)-'TRADE IN'!$F521))</f>
        <v>1299</v>
      </c>
      <c r="U521" s="46">
        <f>IF(VLOOKUP($C521,REV!$C:$AA,19,0)-'TRADE IN'!$F531=0,"",(VLOOKUP($C521,REV!$C:$AA,19,0)-'TRADE IN'!$F521))</f>
        <v>1299</v>
      </c>
      <c r="V521" s="46">
        <f>IF(VLOOKUP($C521,REV!$C:$AA,20,0)-'TRADE IN'!$F531=0,"",(VLOOKUP($C521,REV!$C:$AA,20,0)-'TRADE IN'!$F521))</f>
        <v>1299</v>
      </c>
      <c r="W521" s="46">
        <f>IF(VLOOKUP($C521,REV!$C:$AA,21,0)-'TRADE IN'!$F531=0,"",(VLOOKUP($C521,REV!$C:$AA,21,0)-'TRADE IN'!$F521))</f>
        <v>1299</v>
      </c>
      <c r="X521" s="46">
        <f>IF(VLOOKUP($C521,REV!$C:$AA,22,0)-'TRADE IN'!$F531=0,"",(VLOOKUP($C521,REV!$C:$AA,22,0)-'TRADE IN'!$F521))</f>
        <v>1199</v>
      </c>
      <c r="Y521" s="46">
        <f>IF(VLOOKUP($C521,REV!$C:$AA,23,0)-'TRADE IN'!$F531=0,"",(VLOOKUP($C521,REV!$C:$AA,23,0)-'TRADE IN'!$F521))</f>
        <v>1199</v>
      </c>
      <c r="Z521" s="46">
        <f>IF(VLOOKUP($C521,REV!$C:$AA,24,0)-'TRADE IN'!$F531=0,"",(VLOOKUP($C521,REV!$C:$AA,24,0)-'TRADE IN'!$F521))</f>
        <v>1199</v>
      </c>
      <c r="AA521" s="46">
        <f>IF(VLOOKUP($C521,REV!$C:$AA,25,0)-'TRADE IN'!$F531=0,"",(VLOOKUP($C521,REV!$C:$AA,25,0)-'TRADE IN'!$F521))</f>
        <v>1199</v>
      </c>
      <c r="AB521" s="46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7"/>
      <c r="AW521" s="48" t="str">
        <f>IF(REV!AW520=0,"",REV!AW520)</f>
        <v>31.03.2026</v>
      </c>
      <c r="AX521" s="159" t="s">
        <v>82</v>
      </c>
    </row>
    <row r="522" spans="1:50" ht="22.5" customHeight="1">
      <c r="A522" s="50" t="s">
        <v>61</v>
      </c>
      <c r="B522" s="41" t="s">
        <v>62</v>
      </c>
      <c r="C522" s="42">
        <v>4013461</v>
      </c>
      <c r="D522" s="44" t="s">
        <v>731</v>
      </c>
      <c r="E522" s="44" t="s">
        <v>732</v>
      </c>
      <c r="F522" s="45"/>
      <c r="G522" s="45"/>
      <c r="H522" s="45"/>
      <c r="I522" s="45"/>
      <c r="J522" s="46">
        <f>IF(VLOOKUP($C522,REV!$C:$AA,8,0)-'TRADE IN'!$F522=0,"",(VLOOKUP($C522,REV!$C:$AA,8,0)-'TRADE IN'!$F522))</f>
        <v>69</v>
      </c>
      <c r="K522" s="46">
        <f>IF(VLOOKUP($C522,REV!$C:$AA,9,0)-'TRADE IN'!$F522=0,"",(VLOOKUP($C522,REV!$C:$AA,9,0)-'TRADE IN'!$F522))</f>
        <v>69</v>
      </c>
      <c r="L522" s="46">
        <f>IF(VLOOKUP($C522,REV!$C:$AA,10,0)-'TRADE IN'!$F531=0,"",(VLOOKUP($C522,REV!$C:$AA,10,0)-'TRADE IN'!$F522))</f>
        <v>69</v>
      </c>
      <c r="M522" s="46">
        <f>IF(VLOOKUP($C522,REV!$C:$AA,11,0)-'TRADE IN'!$F531=0,"",(VLOOKUP($C522,REV!$C:$AA,11,0)-'TRADE IN'!$F522))</f>
        <v>69</v>
      </c>
      <c r="N522" s="46">
        <f>IF(VLOOKUP($C522,REV!$C:$AA,12,0)-'TRADE IN'!$F531=0,"",(VLOOKUP($C522,REV!$C:$AA,12,0)-'TRADE IN'!$F522))</f>
        <v>69</v>
      </c>
      <c r="O522" s="46">
        <f>IF(VLOOKUP($C522,REV!$C:$AA,13,0)-'TRADE IN'!$F531=0,"",(VLOOKUP($C522,REV!$C:$AA,13,0)-'TRADE IN'!$F522))</f>
        <v>69</v>
      </c>
      <c r="P522" s="46">
        <f>IF(VLOOKUP($C522,REV!$C:$AA,14,0)-'TRADE IN'!$F531=0,"",(VLOOKUP($C522,REV!$C:$AA,14,0)-'TRADE IN'!$F522))</f>
        <v>69</v>
      </c>
      <c r="Q522" s="46">
        <f>IF(VLOOKUP($C522,REV!$C:$AA,15,0)-'TRADE IN'!$F531=0,"",(VLOOKUP($C522,REV!$C:$AA,15,0)-'TRADE IN'!$F522))</f>
        <v>69</v>
      </c>
      <c r="R522" s="46">
        <f>IF(VLOOKUP($C522,REV!$C:$AA,16,0)-'TRADE IN'!$F531=0,"",(VLOOKUP($C522,REV!$C:$AA,16,0)-'TRADE IN'!$F522))</f>
        <v>69</v>
      </c>
      <c r="S522" s="46">
        <f>IF(VLOOKUP($C522,REV!$C:$AA,17,0)-'TRADE IN'!$F531=0,"",(VLOOKUP($C522,REV!$C:$AA,17,0)-'TRADE IN'!$F522))</f>
        <v>69</v>
      </c>
      <c r="T522" s="46">
        <f>IF(VLOOKUP($C522,REV!$C:$AA,18,0)-'TRADE IN'!$F531=0,"",(VLOOKUP($C522,REV!$C:$AA,18,0)-'TRADE IN'!$F522))</f>
        <v>69</v>
      </c>
      <c r="U522" s="46">
        <f>IF(VLOOKUP($C522,REV!$C:$AA,19,0)-'TRADE IN'!$F531=0,"",(VLOOKUP($C522,REV!$C:$AA,19,0)-'TRADE IN'!$F522))</f>
        <v>69</v>
      </c>
      <c r="V522" s="46">
        <f>IF(VLOOKUP($C522,REV!$C:$AA,20,0)-'TRADE IN'!$F531=0,"",(VLOOKUP($C522,REV!$C:$AA,20,0)-'TRADE IN'!$F522))</f>
        <v>69</v>
      </c>
      <c r="W522" s="46">
        <f>IF(VLOOKUP($C522,REV!$C:$AA,21,0)-'TRADE IN'!$F531=0,"",(VLOOKUP($C522,REV!$C:$AA,21,0)-'TRADE IN'!$F522))</f>
        <v>69</v>
      </c>
      <c r="X522" s="46">
        <f>IF(VLOOKUP($C522,REV!$C:$AA,22,0)-'TRADE IN'!$F531=0,"",(VLOOKUP($C522,REV!$C:$AA,22,0)-'TRADE IN'!$F522))</f>
        <v>69</v>
      </c>
      <c r="Y522" s="46">
        <f>IF(VLOOKUP($C522,REV!$C:$AA,23,0)-'TRADE IN'!$F531=0,"",(VLOOKUP($C522,REV!$C:$AA,23,0)-'TRADE IN'!$F522))</f>
        <v>69</v>
      </c>
      <c r="Z522" s="46">
        <f>IF(VLOOKUP($C522,REV!$C:$AA,24,0)-'TRADE IN'!$F531=0,"",(VLOOKUP($C522,REV!$C:$AA,24,0)-'TRADE IN'!$F522))</f>
        <v>69</v>
      </c>
      <c r="AA522" s="46">
        <f>IF(VLOOKUP($C522,REV!$C:$AA,25,0)-'TRADE IN'!$F531=0,"",(VLOOKUP($C522,REV!$C:$AA,25,0)-'TRADE IN'!$F522))</f>
        <v>69</v>
      </c>
      <c r="AB522" s="46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7"/>
      <c r="AW522" s="48" t="str">
        <f>IF(REV!AW522=0,"",REV!AW522)</f>
        <v>31.03.2026</v>
      </c>
      <c r="AX522" s="159" t="s">
        <v>66</v>
      </c>
    </row>
    <row r="523" spans="1:50" ht="22.5" customHeight="1">
      <c r="A523" s="50" t="s">
        <v>61</v>
      </c>
      <c r="B523" s="41" t="s">
        <v>62</v>
      </c>
      <c r="C523" s="42">
        <v>4013464</v>
      </c>
      <c r="D523" s="44" t="s">
        <v>731</v>
      </c>
      <c r="E523" s="44" t="s">
        <v>733</v>
      </c>
      <c r="F523" s="45"/>
      <c r="G523" s="45"/>
      <c r="H523" s="45"/>
      <c r="I523" s="45"/>
      <c r="J523" s="46">
        <f>IF(VLOOKUP($C523,REV!$C:$AA,8,0)-'TRADE IN'!$F523=0,"",(VLOOKUP($C523,REV!$C:$AA,8,0)-'TRADE IN'!$F523))</f>
        <v>69</v>
      </c>
      <c r="K523" s="46">
        <f>IF(VLOOKUP($C523,REV!$C:$AA,9,0)-'TRADE IN'!$F523=0,"",(VLOOKUP($C523,REV!$C:$AA,9,0)-'TRADE IN'!$F523))</f>
        <v>69</v>
      </c>
      <c r="L523" s="46">
        <f>IF(VLOOKUP($C523,REV!$C:$AA,10,0)-'TRADE IN'!$F532=0,"",(VLOOKUP($C523,REV!$C:$AA,10,0)-'TRADE IN'!$F523))</f>
        <v>69</v>
      </c>
      <c r="M523" s="46">
        <f>IF(VLOOKUP($C523,REV!$C:$AA,11,0)-'TRADE IN'!$F532=0,"",(VLOOKUP($C523,REV!$C:$AA,11,0)-'TRADE IN'!$F523))</f>
        <v>69</v>
      </c>
      <c r="N523" s="46">
        <f>IF(VLOOKUP($C523,REV!$C:$AA,12,0)-'TRADE IN'!$F532=0,"",(VLOOKUP($C523,REV!$C:$AA,12,0)-'TRADE IN'!$F523))</f>
        <v>69</v>
      </c>
      <c r="O523" s="46">
        <f>IF(VLOOKUP($C523,REV!$C:$AA,13,0)-'TRADE IN'!$F532=0,"",(VLOOKUP($C523,REV!$C:$AA,13,0)-'TRADE IN'!$F523))</f>
        <v>69</v>
      </c>
      <c r="P523" s="46">
        <f>IF(VLOOKUP($C523,REV!$C:$AA,14,0)-'TRADE IN'!$F532=0,"",(VLOOKUP($C523,REV!$C:$AA,14,0)-'TRADE IN'!$F523))</f>
        <v>69</v>
      </c>
      <c r="Q523" s="46">
        <f>IF(VLOOKUP($C523,REV!$C:$AA,15,0)-'TRADE IN'!$F532=0,"",(VLOOKUP($C523,REV!$C:$AA,15,0)-'TRADE IN'!$F523))</f>
        <v>69</v>
      </c>
      <c r="R523" s="46">
        <f>IF(VLOOKUP($C523,REV!$C:$AA,16,0)-'TRADE IN'!$F532=0,"",(VLOOKUP($C523,REV!$C:$AA,16,0)-'TRADE IN'!$F523))</f>
        <v>69</v>
      </c>
      <c r="S523" s="46">
        <f>IF(VLOOKUP($C523,REV!$C:$AA,17,0)-'TRADE IN'!$F532=0,"",(VLOOKUP($C523,REV!$C:$AA,17,0)-'TRADE IN'!$F523))</f>
        <v>69</v>
      </c>
      <c r="T523" s="46">
        <f>IF(VLOOKUP($C523,REV!$C:$AA,18,0)-'TRADE IN'!$F532=0,"",(VLOOKUP($C523,REV!$C:$AA,18,0)-'TRADE IN'!$F523))</f>
        <v>69</v>
      </c>
      <c r="U523" s="46">
        <f>IF(VLOOKUP($C523,REV!$C:$AA,19,0)-'TRADE IN'!$F532=0,"",(VLOOKUP($C523,REV!$C:$AA,19,0)-'TRADE IN'!$F523))</f>
        <v>69</v>
      </c>
      <c r="V523" s="46">
        <f>IF(VLOOKUP($C523,REV!$C:$AA,20,0)-'TRADE IN'!$F532=0,"",(VLOOKUP($C523,REV!$C:$AA,20,0)-'TRADE IN'!$F523))</f>
        <v>69</v>
      </c>
      <c r="W523" s="46">
        <f>IF(VLOOKUP($C523,REV!$C:$AA,21,0)-'TRADE IN'!$F532=0,"",(VLOOKUP($C523,REV!$C:$AA,21,0)-'TRADE IN'!$F523))</f>
        <v>69</v>
      </c>
      <c r="X523" s="46">
        <f>IF(VLOOKUP($C523,REV!$C:$AA,22,0)-'TRADE IN'!$F532=0,"",(VLOOKUP($C523,REV!$C:$AA,22,0)-'TRADE IN'!$F523))</f>
        <v>69</v>
      </c>
      <c r="Y523" s="46">
        <f>IF(VLOOKUP($C523,REV!$C:$AA,23,0)-'TRADE IN'!$F532=0,"",(VLOOKUP($C523,REV!$C:$AA,23,0)-'TRADE IN'!$F523))</f>
        <v>69</v>
      </c>
      <c r="Z523" s="46">
        <f>IF(VLOOKUP($C523,REV!$C:$AA,24,0)-'TRADE IN'!$F532=0,"",(VLOOKUP($C523,REV!$C:$AA,24,0)-'TRADE IN'!$F523))</f>
        <v>69</v>
      </c>
      <c r="AA523" s="46">
        <f>IF(VLOOKUP($C523,REV!$C:$AA,25,0)-'TRADE IN'!$F532=0,"",(VLOOKUP($C523,REV!$C:$AA,25,0)-'TRADE IN'!$F523))</f>
        <v>69</v>
      </c>
      <c r="AB523" s="46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7"/>
      <c r="AW523" s="48" t="str">
        <f>IF(REV!AW523=0,"",REV!AW523)</f>
        <v>31.03.2026</v>
      </c>
      <c r="AX523" s="159" t="s">
        <v>66</v>
      </c>
    </row>
    <row r="524" spans="1:50" ht="22.5" customHeight="1">
      <c r="A524" s="50" t="s">
        <v>61</v>
      </c>
      <c r="B524" s="41" t="s">
        <v>62</v>
      </c>
      <c r="C524" s="42">
        <v>4013710</v>
      </c>
      <c r="D524" s="44" t="s">
        <v>731</v>
      </c>
      <c r="E524" s="44" t="s">
        <v>734</v>
      </c>
      <c r="F524" s="45"/>
      <c r="G524" s="45"/>
      <c r="H524" s="45"/>
      <c r="I524" s="45"/>
      <c r="J524" s="46">
        <f>IF(VLOOKUP($C524,REV!$C:$AA,8,0)-'TRADE IN'!$F524=0,"",(VLOOKUP($C524,REV!$C:$AA,8,0)-'TRADE IN'!$F524))</f>
        <v>69</v>
      </c>
      <c r="K524" s="46">
        <f>IF(VLOOKUP($C524,REV!$C:$AA,9,0)-'TRADE IN'!$F524=0,"",(VLOOKUP($C524,REV!$C:$AA,9,0)-'TRADE IN'!$F524))</f>
        <v>69</v>
      </c>
      <c r="L524" s="46">
        <f>IF(VLOOKUP($C524,REV!$C:$AA,10,0)-'TRADE IN'!$F533=0,"",(VLOOKUP($C524,REV!$C:$AA,10,0)-'TRADE IN'!$F524))</f>
        <v>69</v>
      </c>
      <c r="M524" s="46">
        <f>IF(VLOOKUP($C524,REV!$C:$AA,11,0)-'TRADE IN'!$F533=0,"",(VLOOKUP($C524,REV!$C:$AA,11,0)-'TRADE IN'!$F524))</f>
        <v>69</v>
      </c>
      <c r="N524" s="46">
        <f>IF(VLOOKUP($C524,REV!$C:$AA,12,0)-'TRADE IN'!$F533=0,"",(VLOOKUP($C524,REV!$C:$AA,12,0)-'TRADE IN'!$F524))</f>
        <v>69</v>
      </c>
      <c r="O524" s="46">
        <f>IF(VLOOKUP($C524,REV!$C:$AA,13,0)-'TRADE IN'!$F533=0,"",(VLOOKUP($C524,REV!$C:$AA,13,0)-'TRADE IN'!$F524))</f>
        <v>69</v>
      </c>
      <c r="P524" s="46">
        <f>IF(VLOOKUP($C524,REV!$C:$AA,14,0)-'TRADE IN'!$F533=0,"",(VLOOKUP($C524,REV!$C:$AA,14,0)-'TRADE IN'!$F524))</f>
        <v>69</v>
      </c>
      <c r="Q524" s="46">
        <f>IF(VLOOKUP($C524,REV!$C:$AA,15,0)-'TRADE IN'!$F533=0,"",(VLOOKUP($C524,REV!$C:$AA,15,0)-'TRADE IN'!$F524))</f>
        <v>69</v>
      </c>
      <c r="R524" s="46">
        <f>IF(VLOOKUP($C524,REV!$C:$AA,16,0)-'TRADE IN'!$F533=0,"",(VLOOKUP($C524,REV!$C:$AA,16,0)-'TRADE IN'!$F524))</f>
        <v>69</v>
      </c>
      <c r="S524" s="46">
        <f>IF(VLOOKUP($C524,REV!$C:$AA,17,0)-'TRADE IN'!$F533=0,"",(VLOOKUP($C524,REV!$C:$AA,17,0)-'TRADE IN'!$F524))</f>
        <v>69</v>
      </c>
      <c r="T524" s="46">
        <f>IF(VLOOKUP($C524,REV!$C:$AA,18,0)-'TRADE IN'!$F533=0,"",(VLOOKUP($C524,REV!$C:$AA,18,0)-'TRADE IN'!$F524))</f>
        <v>69</v>
      </c>
      <c r="U524" s="46">
        <f>IF(VLOOKUP($C524,REV!$C:$AA,19,0)-'TRADE IN'!$F533=0,"",(VLOOKUP($C524,REV!$C:$AA,19,0)-'TRADE IN'!$F524))</f>
        <v>69</v>
      </c>
      <c r="V524" s="46">
        <f>IF(VLOOKUP($C524,REV!$C:$AA,20,0)-'TRADE IN'!$F533=0,"",(VLOOKUP($C524,REV!$C:$AA,20,0)-'TRADE IN'!$F524))</f>
        <v>69</v>
      </c>
      <c r="W524" s="46">
        <f>IF(VLOOKUP($C524,REV!$C:$AA,21,0)-'TRADE IN'!$F533=0,"",(VLOOKUP($C524,REV!$C:$AA,21,0)-'TRADE IN'!$F524))</f>
        <v>69</v>
      </c>
      <c r="X524" s="46">
        <f>IF(VLOOKUP($C524,REV!$C:$AA,22,0)-'TRADE IN'!$F533=0,"",(VLOOKUP($C524,REV!$C:$AA,22,0)-'TRADE IN'!$F524))</f>
        <v>69</v>
      </c>
      <c r="Y524" s="46">
        <f>IF(VLOOKUP($C524,REV!$C:$AA,23,0)-'TRADE IN'!$F533=0,"",(VLOOKUP($C524,REV!$C:$AA,23,0)-'TRADE IN'!$F524))</f>
        <v>69</v>
      </c>
      <c r="Z524" s="46">
        <f>IF(VLOOKUP($C524,REV!$C:$AA,24,0)-'TRADE IN'!$F533=0,"",(VLOOKUP($C524,REV!$C:$AA,24,0)-'TRADE IN'!$F524))</f>
        <v>69</v>
      </c>
      <c r="AA524" s="46">
        <f>IF(VLOOKUP($C524,REV!$C:$AA,25,0)-'TRADE IN'!$F533=0,"",(VLOOKUP($C524,REV!$C:$AA,25,0)-'TRADE IN'!$F524))</f>
        <v>69</v>
      </c>
      <c r="AB524" s="46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7"/>
      <c r="AW524" s="48" t="str">
        <f>IF(REV!AW524=0,"",REV!AW524)</f>
        <v>31.03.2026</v>
      </c>
      <c r="AX524" s="159" t="s">
        <v>66</v>
      </c>
    </row>
    <row r="525" spans="1:50" ht="22.5" customHeight="1">
      <c r="A525" s="50" t="s">
        <v>61</v>
      </c>
      <c r="B525" s="41" t="s">
        <v>62</v>
      </c>
      <c r="C525" s="42">
        <v>4013711</v>
      </c>
      <c r="D525" s="44" t="s">
        <v>731</v>
      </c>
      <c r="E525" s="44" t="s">
        <v>735</v>
      </c>
      <c r="F525" s="45"/>
      <c r="G525" s="45"/>
      <c r="H525" s="45"/>
      <c r="I525" s="45"/>
      <c r="J525" s="46">
        <f>IF(VLOOKUP($C525,REV!$C:$AA,8,0)-'TRADE IN'!$F525=0,"",(VLOOKUP($C525,REV!$C:$AA,8,0)-'TRADE IN'!$F525))</f>
        <v>69</v>
      </c>
      <c r="K525" s="46">
        <f>IF(VLOOKUP($C525,REV!$C:$AA,9,0)-'TRADE IN'!$F525=0,"",(VLOOKUP($C525,REV!$C:$AA,9,0)-'TRADE IN'!$F525))</f>
        <v>69</v>
      </c>
      <c r="L525" s="46">
        <f>IF(VLOOKUP($C525,REV!$C:$AA,10,0)-'TRADE IN'!$F534=0,"",(VLOOKUP($C525,REV!$C:$AA,10,0)-'TRADE IN'!$F525))</f>
        <v>69</v>
      </c>
      <c r="M525" s="46">
        <f>IF(VLOOKUP($C525,REV!$C:$AA,11,0)-'TRADE IN'!$F534=0,"",(VLOOKUP($C525,REV!$C:$AA,11,0)-'TRADE IN'!$F525))</f>
        <v>69</v>
      </c>
      <c r="N525" s="46">
        <f>IF(VLOOKUP($C525,REV!$C:$AA,12,0)-'TRADE IN'!$F534=0,"",(VLOOKUP($C525,REV!$C:$AA,12,0)-'TRADE IN'!$F525))</f>
        <v>69</v>
      </c>
      <c r="O525" s="46">
        <f>IF(VLOOKUP($C525,REV!$C:$AA,13,0)-'TRADE IN'!$F534=0,"",(VLOOKUP($C525,REV!$C:$AA,13,0)-'TRADE IN'!$F525))</f>
        <v>69</v>
      </c>
      <c r="P525" s="46">
        <f>IF(VLOOKUP($C525,REV!$C:$AA,14,0)-'TRADE IN'!$F534=0,"",(VLOOKUP($C525,REV!$C:$AA,14,0)-'TRADE IN'!$F525))</f>
        <v>69</v>
      </c>
      <c r="Q525" s="46">
        <f>IF(VLOOKUP($C525,REV!$C:$AA,15,0)-'TRADE IN'!$F534=0,"",(VLOOKUP($C525,REV!$C:$AA,15,0)-'TRADE IN'!$F525))</f>
        <v>69</v>
      </c>
      <c r="R525" s="46">
        <f>IF(VLOOKUP($C525,REV!$C:$AA,16,0)-'TRADE IN'!$F534=0,"",(VLOOKUP($C525,REV!$C:$AA,16,0)-'TRADE IN'!$F525))</f>
        <v>69</v>
      </c>
      <c r="S525" s="46">
        <f>IF(VLOOKUP($C525,REV!$C:$AA,17,0)-'TRADE IN'!$F534=0,"",(VLOOKUP($C525,REV!$C:$AA,17,0)-'TRADE IN'!$F525))</f>
        <v>69</v>
      </c>
      <c r="T525" s="46">
        <f>IF(VLOOKUP($C525,REV!$C:$AA,18,0)-'TRADE IN'!$F534=0,"",(VLOOKUP($C525,REV!$C:$AA,18,0)-'TRADE IN'!$F525))</f>
        <v>69</v>
      </c>
      <c r="U525" s="46">
        <f>IF(VLOOKUP($C525,REV!$C:$AA,19,0)-'TRADE IN'!$F534=0,"",(VLOOKUP($C525,REV!$C:$AA,19,0)-'TRADE IN'!$F525))</f>
        <v>69</v>
      </c>
      <c r="V525" s="46">
        <f>IF(VLOOKUP($C525,REV!$C:$AA,20,0)-'TRADE IN'!$F534=0,"",(VLOOKUP($C525,REV!$C:$AA,20,0)-'TRADE IN'!$F525))</f>
        <v>69</v>
      </c>
      <c r="W525" s="46">
        <f>IF(VLOOKUP($C525,REV!$C:$AA,21,0)-'TRADE IN'!$F534=0,"",(VLOOKUP($C525,REV!$C:$AA,21,0)-'TRADE IN'!$F525))</f>
        <v>69</v>
      </c>
      <c r="X525" s="46">
        <f>IF(VLOOKUP($C525,REV!$C:$AA,22,0)-'TRADE IN'!$F534=0,"",(VLOOKUP($C525,REV!$C:$AA,22,0)-'TRADE IN'!$F525))</f>
        <v>69</v>
      </c>
      <c r="Y525" s="46">
        <f>IF(VLOOKUP($C525,REV!$C:$AA,23,0)-'TRADE IN'!$F534=0,"",(VLOOKUP($C525,REV!$C:$AA,23,0)-'TRADE IN'!$F525))</f>
        <v>69</v>
      </c>
      <c r="Z525" s="46">
        <f>IF(VLOOKUP($C525,REV!$C:$AA,24,0)-'TRADE IN'!$F534=0,"",(VLOOKUP($C525,REV!$C:$AA,24,0)-'TRADE IN'!$F525))</f>
        <v>69</v>
      </c>
      <c r="AA525" s="46">
        <f>IF(VLOOKUP($C525,REV!$C:$AA,25,0)-'TRADE IN'!$F534=0,"",(VLOOKUP($C525,REV!$C:$AA,25,0)-'TRADE IN'!$F525))</f>
        <v>69</v>
      </c>
      <c r="AB525" s="46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7"/>
      <c r="AW525" s="48" t="str">
        <f>IF(REV!AW525=0,"",REV!AW525)</f>
        <v>31.03.2026</v>
      </c>
      <c r="AX525" s="159" t="s">
        <v>66</v>
      </c>
    </row>
    <row r="526" spans="1:50" ht="22.5" customHeight="1">
      <c r="A526" s="50" t="s">
        <v>61</v>
      </c>
      <c r="B526" s="41" t="s">
        <v>62</v>
      </c>
      <c r="C526" s="42">
        <v>4013417</v>
      </c>
      <c r="D526" s="44" t="s">
        <v>731</v>
      </c>
      <c r="E526" s="44" t="s">
        <v>736</v>
      </c>
      <c r="F526" s="45"/>
      <c r="G526" s="45"/>
      <c r="H526" s="45"/>
      <c r="I526" s="45"/>
      <c r="J526" s="46">
        <f>IF(VLOOKUP($C526,REV!$C:$AA,8,0)-'TRADE IN'!$F526=0,"",(VLOOKUP($C526,REV!$C:$AA,8,0)-'TRADE IN'!$F526))</f>
        <v>69</v>
      </c>
      <c r="K526" s="46">
        <f>IF(VLOOKUP($C526,REV!$C:$AA,9,0)-'TRADE IN'!$F526=0,"",(VLOOKUP($C526,REV!$C:$AA,9,0)-'TRADE IN'!$F526))</f>
        <v>69</v>
      </c>
      <c r="L526" s="46">
        <f>IF(VLOOKUP($C526,REV!$C:$AA,10,0)-'TRADE IN'!$F535=0,"",(VLOOKUP($C526,REV!$C:$AA,10,0)-'TRADE IN'!$F526))</f>
        <v>69</v>
      </c>
      <c r="M526" s="46">
        <f>IF(VLOOKUP($C526,REV!$C:$AA,11,0)-'TRADE IN'!$F535=0,"",(VLOOKUP($C526,REV!$C:$AA,11,0)-'TRADE IN'!$F526))</f>
        <v>69</v>
      </c>
      <c r="N526" s="46">
        <f>IF(VLOOKUP($C526,REV!$C:$AA,12,0)-'TRADE IN'!$F535=0,"",(VLOOKUP($C526,REV!$C:$AA,12,0)-'TRADE IN'!$F526))</f>
        <v>69</v>
      </c>
      <c r="O526" s="46">
        <f>IF(VLOOKUP($C526,REV!$C:$AA,13,0)-'TRADE IN'!$F535=0,"",(VLOOKUP($C526,REV!$C:$AA,13,0)-'TRADE IN'!$F526))</f>
        <v>69</v>
      </c>
      <c r="P526" s="46">
        <f>IF(VLOOKUP($C526,REV!$C:$AA,14,0)-'TRADE IN'!$F535=0,"",(VLOOKUP($C526,REV!$C:$AA,14,0)-'TRADE IN'!$F526))</f>
        <v>69</v>
      </c>
      <c r="Q526" s="46">
        <f>IF(VLOOKUP($C526,REV!$C:$AA,15,0)-'TRADE IN'!$F535=0,"",(VLOOKUP($C526,REV!$C:$AA,15,0)-'TRADE IN'!$F526))</f>
        <v>69</v>
      </c>
      <c r="R526" s="46">
        <f>IF(VLOOKUP($C526,REV!$C:$AA,16,0)-'TRADE IN'!$F535=0,"",(VLOOKUP($C526,REV!$C:$AA,16,0)-'TRADE IN'!$F526))</f>
        <v>69</v>
      </c>
      <c r="S526" s="46">
        <f>IF(VLOOKUP($C526,REV!$C:$AA,17,0)-'TRADE IN'!$F535=0,"",(VLOOKUP($C526,REV!$C:$AA,17,0)-'TRADE IN'!$F526))</f>
        <v>69</v>
      </c>
      <c r="T526" s="46">
        <f>IF(VLOOKUP($C526,REV!$C:$AA,18,0)-'TRADE IN'!$F535=0,"",(VLOOKUP($C526,REV!$C:$AA,18,0)-'TRADE IN'!$F526))</f>
        <v>69</v>
      </c>
      <c r="U526" s="46">
        <f>IF(VLOOKUP($C526,REV!$C:$AA,19,0)-'TRADE IN'!$F535=0,"",(VLOOKUP($C526,REV!$C:$AA,19,0)-'TRADE IN'!$F526))</f>
        <v>69</v>
      </c>
      <c r="V526" s="46">
        <f>IF(VLOOKUP($C526,REV!$C:$AA,20,0)-'TRADE IN'!$F535=0,"",(VLOOKUP($C526,REV!$C:$AA,20,0)-'TRADE IN'!$F526))</f>
        <v>69</v>
      </c>
      <c r="W526" s="46">
        <f>IF(VLOOKUP($C526,REV!$C:$AA,21,0)-'TRADE IN'!$F535=0,"",(VLOOKUP($C526,REV!$C:$AA,21,0)-'TRADE IN'!$F526))</f>
        <v>69</v>
      </c>
      <c r="X526" s="46">
        <f>IF(VLOOKUP($C526,REV!$C:$AA,22,0)-'TRADE IN'!$F535=0,"",(VLOOKUP($C526,REV!$C:$AA,22,0)-'TRADE IN'!$F526))</f>
        <v>69</v>
      </c>
      <c r="Y526" s="46">
        <f>IF(VLOOKUP($C526,REV!$C:$AA,23,0)-'TRADE IN'!$F535=0,"",(VLOOKUP($C526,REV!$C:$AA,23,0)-'TRADE IN'!$F526))</f>
        <v>69</v>
      </c>
      <c r="Z526" s="46">
        <f>IF(VLOOKUP($C526,REV!$C:$AA,24,0)-'TRADE IN'!$F535=0,"",(VLOOKUP($C526,REV!$C:$AA,24,0)-'TRADE IN'!$F526))</f>
        <v>69</v>
      </c>
      <c r="AA526" s="46">
        <f>IF(VLOOKUP($C526,REV!$C:$AA,25,0)-'TRADE IN'!$F535=0,"",(VLOOKUP($C526,REV!$C:$AA,25,0)-'TRADE IN'!$F526))</f>
        <v>69</v>
      </c>
      <c r="AB526" s="46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7"/>
      <c r="AW526" s="48" t="str">
        <f>IF(REV!AW526=0,"",REV!AW526)</f>
        <v>31.03.2026</v>
      </c>
      <c r="AX526" s="159" t="s">
        <v>66</v>
      </c>
    </row>
    <row r="527" spans="1:50" ht="22.5" customHeight="1">
      <c r="A527" s="50" t="s">
        <v>61</v>
      </c>
      <c r="B527" s="41" t="s">
        <v>62</v>
      </c>
      <c r="C527" s="42">
        <v>4013419</v>
      </c>
      <c r="D527" s="44" t="s">
        <v>731</v>
      </c>
      <c r="E527" s="44" t="s">
        <v>737</v>
      </c>
      <c r="F527" s="45"/>
      <c r="G527" s="45"/>
      <c r="H527" s="45"/>
      <c r="I527" s="45"/>
      <c r="J527" s="46">
        <f>IF(VLOOKUP($C527,REV!$C:$AA,8,0)-'TRADE IN'!$F527=0,"",(VLOOKUP($C527,REV!$C:$AA,8,0)-'TRADE IN'!$F527))</f>
        <v>69</v>
      </c>
      <c r="K527" s="46">
        <f>IF(VLOOKUP($C527,REV!$C:$AA,9,0)-'TRADE IN'!$F527=0,"",(VLOOKUP($C527,REV!$C:$AA,9,0)-'TRADE IN'!$F527))</f>
        <v>69</v>
      </c>
      <c r="L527" s="46">
        <f>IF(VLOOKUP($C527,REV!$C:$AA,10,0)-'TRADE IN'!$F536=0,"",(VLOOKUP($C527,REV!$C:$AA,10,0)-'TRADE IN'!$F527))</f>
        <v>69</v>
      </c>
      <c r="M527" s="46">
        <f>IF(VLOOKUP($C527,REV!$C:$AA,11,0)-'TRADE IN'!$F536=0,"",(VLOOKUP($C527,REV!$C:$AA,11,0)-'TRADE IN'!$F527))</f>
        <v>69</v>
      </c>
      <c r="N527" s="46">
        <f>IF(VLOOKUP($C527,REV!$C:$AA,12,0)-'TRADE IN'!$F536=0,"",(VLOOKUP($C527,REV!$C:$AA,12,0)-'TRADE IN'!$F527))</f>
        <v>69</v>
      </c>
      <c r="O527" s="46">
        <f>IF(VLOOKUP($C527,REV!$C:$AA,13,0)-'TRADE IN'!$F536=0,"",(VLOOKUP($C527,REV!$C:$AA,13,0)-'TRADE IN'!$F527))</f>
        <v>69</v>
      </c>
      <c r="P527" s="46">
        <f>IF(VLOOKUP($C527,REV!$C:$AA,14,0)-'TRADE IN'!$F536=0,"",(VLOOKUP($C527,REV!$C:$AA,14,0)-'TRADE IN'!$F527))</f>
        <v>69</v>
      </c>
      <c r="Q527" s="46">
        <f>IF(VLOOKUP($C527,REV!$C:$AA,15,0)-'TRADE IN'!$F536=0,"",(VLOOKUP($C527,REV!$C:$AA,15,0)-'TRADE IN'!$F527))</f>
        <v>69</v>
      </c>
      <c r="R527" s="46">
        <f>IF(VLOOKUP($C527,REV!$C:$AA,16,0)-'TRADE IN'!$F536=0,"",(VLOOKUP($C527,REV!$C:$AA,16,0)-'TRADE IN'!$F527))</f>
        <v>69</v>
      </c>
      <c r="S527" s="46">
        <f>IF(VLOOKUP($C527,REV!$C:$AA,17,0)-'TRADE IN'!$F536=0,"",(VLOOKUP($C527,REV!$C:$AA,17,0)-'TRADE IN'!$F527))</f>
        <v>69</v>
      </c>
      <c r="T527" s="46">
        <f>IF(VLOOKUP($C527,REV!$C:$AA,18,0)-'TRADE IN'!$F536=0,"",(VLOOKUP($C527,REV!$C:$AA,18,0)-'TRADE IN'!$F527))</f>
        <v>69</v>
      </c>
      <c r="U527" s="46">
        <f>IF(VLOOKUP($C527,REV!$C:$AA,19,0)-'TRADE IN'!$F536=0,"",(VLOOKUP($C527,REV!$C:$AA,19,0)-'TRADE IN'!$F527))</f>
        <v>69</v>
      </c>
      <c r="V527" s="46">
        <f>IF(VLOOKUP($C527,REV!$C:$AA,20,0)-'TRADE IN'!$F536=0,"",(VLOOKUP($C527,REV!$C:$AA,20,0)-'TRADE IN'!$F527))</f>
        <v>69</v>
      </c>
      <c r="W527" s="46">
        <f>IF(VLOOKUP($C527,REV!$C:$AA,21,0)-'TRADE IN'!$F536=0,"",(VLOOKUP($C527,REV!$C:$AA,21,0)-'TRADE IN'!$F527))</f>
        <v>69</v>
      </c>
      <c r="X527" s="46">
        <f>IF(VLOOKUP($C527,REV!$C:$AA,22,0)-'TRADE IN'!$F536=0,"",(VLOOKUP($C527,REV!$C:$AA,22,0)-'TRADE IN'!$F527))</f>
        <v>69</v>
      </c>
      <c r="Y527" s="46">
        <f>IF(VLOOKUP($C527,REV!$C:$AA,23,0)-'TRADE IN'!$F536=0,"",(VLOOKUP($C527,REV!$C:$AA,23,0)-'TRADE IN'!$F527))</f>
        <v>69</v>
      </c>
      <c r="Z527" s="46">
        <f>IF(VLOOKUP($C527,REV!$C:$AA,24,0)-'TRADE IN'!$F536=0,"",(VLOOKUP($C527,REV!$C:$AA,24,0)-'TRADE IN'!$F527))</f>
        <v>69</v>
      </c>
      <c r="AA527" s="46">
        <f>IF(VLOOKUP($C527,REV!$C:$AA,25,0)-'TRADE IN'!$F536=0,"",(VLOOKUP($C527,REV!$C:$AA,25,0)-'TRADE IN'!$F527))</f>
        <v>69</v>
      </c>
      <c r="AB527" s="46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7"/>
      <c r="AW527" s="48" t="str">
        <f>IF(REV!AW527=0,"",REV!AW527)</f>
        <v>31.03.2026</v>
      </c>
      <c r="AX527" s="159" t="s">
        <v>66</v>
      </c>
    </row>
    <row r="528" spans="1:50" ht="22.5" customHeight="1">
      <c r="A528" s="50" t="s">
        <v>61</v>
      </c>
      <c r="B528" s="41" t="s">
        <v>62</v>
      </c>
      <c r="C528" s="42">
        <v>4014478</v>
      </c>
      <c r="D528" s="44" t="s">
        <v>738</v>
      </c>
      <c r="E528" s="44" t="s">
        <v>739</v>
      </c>
      <c r="F528" s="45"/>
      <c r="G528" s="45"/>
      <c r="H528" s="45"/>
      <c r="I528" s="45"/>
      <c r="J528" s="46">
        <f>IF(VLOOKUP($C528,REV!$C:$AA,8,0)-'TRADE IN'!$F528=0,"",(VLOOKUP($C528,REV!$C:$AA,8,0)-'TRADE IN'!$F528))</f>
        <v>499</v>
      </c>
      <c r="K528" s="46">
        <f>IF(VLOOKUP($C528,REV!$C:$AA,9,0)-'TRADE IN'!$F528=0,"",(VLOOKUP($C528,REV!$C:$AA,9,0)-'TRADE IN'!$F528))</f>
        <v>499</v>
      </c>
      <c r="L528" s="46">
        <f>IF(VLOOKUP($C528,REV!$C:$AA,10,0)-'TRADE IN'!$F537=0,"",(VLOOKUP($C528,REV!$C:$AA,10,0)-'TRADE IN'!$F528))</f>
        <v>499</v>
      </c>
      <c r="M528" s="46">
        <f>IF(VLOOKUP($C528,REV!$C:$AA,11,0)-'TRADE IN'!$F537=0,"",(VLOOKUP($C528,REV!$C:$AA,11,0)-'TRADE IN'!$F528))</f>
        <v>499</v>
      </c>
      <c r="N528" s="46">
        <f>IF(VLOOKUP($C528,REV!$C:$AA,12,0)-'TRADE IN'!$F537=0,"",(VLOOKUP($C528,REV!$C:$AA,12,0)-'TRADE IN'!$F528))</f>
        <v>499</v>
      </c>
      <c r="O528" s="46">
        <f>IF(VLOOKUP($C528,REV!$C:$AA,13,0)-'TRADE IN'!$F537=0,"",(VLOOKUP($C528,REV!$C:$AA,13,0)-'TRADE IN'!$F528))</f>
        <v>449</v>
      </c>
      <c r="P528" s="46">
        <f>IF(VLOOKUP($C528,REV!$C:$AA,14,0)-'TRADE IN'!$F537=0,"",(VLOOKUP($C528,REV!$C:$AA,14,0)-'TRADE IN'!$F528))</f>
        <v>449</v>
      </c>
      <c r="Q528" s="46">
        <f>IF(VLOOKUP($C528,REV!$C:$AA,15,0)-'TRADE IN'!$F537=0,"",(VLOOKUP($C528,REV!$C:$AA,15,0)-'TRADE IN'!$F528))</f>
        <v>449</v>
      </c>
      <c r="R528" s="46">
        <f>IF(VLOOKUP($C528,REV!$C:$AA,16,0)-'TRADE IN'!$F537=0,"",(VLOOKUP($C528,REV!$C:$AA,16,0)-'TRADE IN'!$F528))</f>
        <v>449</v>
      </c>
      <c r="S528" s="46">
        <f>IF(VLOOKUP($C528,REV!$C:$AA,17,0)-'TRADE IN'!$F537=0,"",(VLOOKUP($C528,REV!$C:$AA,17,0)-'TRADE IN'!$F528))</f>
        <v>449</v>
      </c>
      <c r="T528" s="46">
        <f>IF(VLOOKUP($C528,REV!$C:$AA,18,0)-'TRADE IN'!$F537=0,"",(VLOOKUP($C528,REV!$C:$AA,18,0)-'TRADE IN'!$F528))</f>
        <v>449</v>
      </c>
      <c r="U528" s="46">
        <f>IF(VLOOKUP($C528,REV!$C:$AA,19,0)-'TRADE IN'!$F537=0,"",(VLOOKUP($C528,REV!$C:$AA,19,0)-'TRADE IN'!$F528))</f>
        <v>449</v>
      </c>
      <c r="V528" s="46">
        <f>IF(VLOOKUP($C528,REV!$C:$AA,20,0)-'TRADE IN'!$F537=0,"",(VLOOKUP($C528,REV!$C:$AA,20,0)-'TRADE IN'!$F528))</f>
        <v>449</v>
      </c>
      <c r="W528" s="46">
        <f>IF(VLOOKUP($C528,REV!$C:$AA,21,0)-'TRADE IN'!$F537=0,"",(VLOOKUP($C528,REV!$C:$AA,21,0)-'TRADE IN'!$F528))</f>
        <v>449</v>
      </c>
      <c r="X528" s="46">
        <f>IF(VLOOKUP($C528,REV!$C:$AA,22,0)-'TRADE IN'!$F537=0,"",(VLOOKUP($C528,REV!$C:$AA,22,0)-'TRADE IN'!$F528))</f>
        <v>449</v>
      </c>
      <c r="Y528" s="46">
        <f>IF(VLOOKUP($C528,REV!$C:$AA,23,0)-'TRADE IN'!$F537=0,"",(VLOOKUP($C528,REV!$C:$AA,23,0)-'TRADE IN'!$F528))</f>
        <v>449</v>
      </c>
      <c r="Z528" s="46">
        <f>IF(VLOOKUP($C528,REV!$C:$AA,24,0)-'TRADE IN'!$F537=0,"",(VLOOKUP($C528,REV!$C:$AA,24,0)-'TRADE IN'!$F528))</f>
        <v>449</v>
      </c>
      <c r="AA528" s="46">
        <f>IF(VLOOKUP($C528,REV!$C:$AA,25,0)-'TRADE IN'!$F537=0,"",(VLOOKUP($C528,REV!$C:$AA,25,0)-'TRADE IN'!$F528))</f>
        <v>449</v>
      </c>
      <c r="AB528" s="46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7"/>
      <c r="AW528" s="48" t="str">
        <f>IF(REV!AW528=0,"",REV!AW528)</f>
        <v>31.03.2026</v>
      </c>
      <c r="AX528" s="159" t="s">
        <v>82</v>
      </c>
    </row>
    <row r="529" spans="1:50" ht="22.5" customHeight="1">
      <c r="A529" s="50" t="s">
        <v>61</v>
      </c>
      <c r="B529" s="41" t="s">
        <v>62</v>
      </c>
      <c r="C529" s="42">
        <v>4014480</v>
      </c>
      <c r="D529" s="44" t="s">
        <v>738</v>
      </c>
      <c r="E529" s="44" t="s">
        <v>740</v>
      </c>
      <c r="F529" s="45"/>
      <c r="G529" s="45"/>
      <c r="H529" s="45"/>
      <c r="I529" s="45"/>
      <c r="J529" s="46">
        <f>IF(VLOOKUP($C529,REV!$C:$AA,8,0)-'TRADE IN'!$F529=0,"",(VLOOKUP($C529,REV!$C:$AA,8,0)-'TRADE IN'!$F529))</f>
        <v>499</v>
      </c>
      <c r="K529" s="46">
        <f>IF(VLOOKUP($C529,REV!$C:$AA,9,0)-'TRADE IN'!$F529=0,"",(VLOOKUP($C529,REV!$C:$AA,9,0)-'TRADE IN'!$F529))</f>
        <v>499</v>
      </c>
      <c r="L529" s="46">
        <f>IF(VLOOKUP($C529,REV!$C:$AA,10,0)-'TRADE IN'!$F538=0,"",(VLOOKUP($C529,REV!$C:$AA,10,0)-'TRADE IN'!$F529))</f>
        <v>499</v>
      </c>
      <c r="M529" s="46">
        <f>IF(VLOOKUP($C529,REV!$C:$AA,11,0)-'TRADE IN'!$F538=0,"",(VLOOKUP($C529,REV!$C:$AA,11,0)-'TRADE IN'!$F529))</f>
        <v>499</v>
      </c>
      <c r="N529" s="46">
        <f>IF(VLOOKUP($C529,REV!$C:$AA,12,0)-'TRADE IN'!$F538=0,"",(VLOOKUP($C529,REV!$C:$AA,12,0)-'TRADE IN'!$F529))</f>
        <v>499</v>
      </c>
      <c r="O529" s="46">
        <f>IF(VLOOKUP($C529,REV!$C:$AA,13,0)-'TRADE IN'!$F538=0,"",(VLOOKUP($C529,REV!$C:$AA,13,0)-'TRADE IN'!$F529))</f>
        <v>449</v>
      </c>
      <c r="P529" s="46">
        <f>IF(VLOOKUP($C529,REV!$C:$AA,14,0)-'TRADE IN'!$F538=0,"",(VLOOKUP($C529,REV!$C:$AA,14,0)-'TRADE IN'!$F529))</f>
        <v>449</v>
      </c>
      <c r="Q529" s="46">
        <f>IF(VLOOKUP($C529,REV!$C:$AA,15,0)-'TRADE IN'!$F538=0,"",(VLOOKUP($C529,REV!$C:$AA,15,0)-'TRADE IN'!$F529))</f>
        <v>449</v>
      </c>
      <c r="R529" s="46">
        <f>IF(VLOOKUP($C529,REV!$C:$AA,16,0)-'TRADE IN'!$F538=0,"",(VLOOKUP($C529,REV!$C:$AA,16,0)-'TRADE IN'!$F529))</f>
        <v>449</v>
      </c>
      <c r="S529" s="46">
        <f>IF(VLOOKUP($C529,REV!$C:$AA,17,0)-'TRADE IN'!$F538=0,"",(VLOOKUP($C529,REV!$C:$AA,17,0)-'TRADE IN'!$F529))</f>
        <v>449</v>
      </c>
      <c r="T529" s="46">
        <f>IF(VLOOKUP($C529,REV!$C:$AA,18,0)-'TRADE IN'!$F538=0,"",(VLOOKUP($C529,REV!$C:$AA,18,0)-'TRADE IN'!$F529))</f>
        <v>449</v>
      </c>
      <c r="U529" s="46">
        <f>IF(VLOOKUP($C529,REV!$C:$AA,19,0)-'TRADE IN'!$F538=0,"",(VLOOKUP($C529,REV!$C:$AA,19,0)-'TRADE IN'!$F529))</f>
        <v>449</v>
      </c>
      <c r="V529" s="46">
        <f>IF(VLOOKUP($C529,REV!$C:$AA,20,0)-'TRADE IN'!$F538=0,"",(VLOOKUP($C529,REV!$C:$AA,20,0)-'TRADE IN'!$F529))</f>
        <v>449</v>
      </c>
      <c r="W529" s="46">
        <f>IF(VLOOKUP($C529,REV!$C:$AA,21,0)-'TRADE IN'!$F538=0,"",(VLOOKUP($C529,REV!$C:$AA,21,0)-'TRADE IN'!$F529))</f>
        <v>449</v>
      </c>
      <c r="X529" s="46">
        <f>IF(VLOOKUP($C529,REV!$C:$AA,22,0)-'TRADE IN'!$F538=0,"",(VLOOKUP($C529,REV!$C:$AA,22,0)-'TRADE IN'!$F529))</f>
        <v>449</v>
      </c>
      <c r="Y529" s="46">
        <f>IF(VLOOKUP($C529,REV!$C:$AA,23,0)-'TRADE IN'!$F538=0,"",(VLOOKUP($C529,REV!$C:$AA,23,0)-'TRADE IN'!$F529))</f>
        <v>449</v>
      </c>
      <c r="Z529" s="46">
        <f>IF(VLOOKUP($C529,REV!$C:$AA,24,0)-'TRADE IN'!$F538=0,"",(VLOOKUP($C529,REV!$C:$AA,24,0)-'TRADE IN'!$F529))</f>
        <v>449</v>
      </c>
      <c r="AA529" s="46">
        <f>IF(VLOOKUP($C529,REV!$C:$AA,25,0)-'TRADE IN'!$F538=0,"",(VLOOKUP($C529,REV!$C:$AA,25,0)-'TRADE IN'!$F529))</f>
        <v>449</v>
      </c>
      <c r="AB529" s="46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7"/>
      <c r="AW529" s="48" t="str">
        <f>IF(REV!AW529=0,"",REV!AW529)</f>
        <v>31.03.2026</v>
      </c>
      <c r="AX529" s="159" t="s">
        <v>82</v>
      </c>
    </row>
    <row r="530" spans="1:50" ht="22.5" customHeight="1">
      <c r="A530" s="50" t="s">
        <v>61</v>
      </c>
      <c r="B530" s="41" t="s">
        <v>62</v>
      </c>
      <c r="C530" s="42">
        <v>4014519</v>
      </c>
      <c r="D530" s="44" t="s">
        <v>738</v>
      </c>
      <c r="E530" s="44" t="s">
        <v>741</v>
      </c>
      <c r="F530" s="45"/>
      <c r="G530" s="45"/>
      <c r="H530" s="45"/>
      <c r="I530" s="45"/>
      <c r="J530" s="46">
        <f>IF(VLOOKUP($C530,REV!$C:$AA,8,0)-'TRADE IN'!$F530=0,"",(VLOOKUP($C530,REV!$C:$AA,8,0)-'TRADE IN'!$F530))</f>
        <v>499</v>
      </c>
      <c r="K530" s="46">
        <f>IF(VLOOKUP($C530,REV!$C:$AA,9,0)-'TRADE IN'!$F530=0,"",(VLOOKUP($C530,REV!$C:$AA,9,0)-'TRADE IN'!$F530))</f>
        <v>499</v>
      </c>
      <c r="L530" s="46">
        <f>IF(VLOOKUP($C530,REV!$C:$AA,10,0)-'TRADE IN'!$F539=0,"",(VLOOKUP($C530,REV!$C:$AA,10,0)-'TRADE IN'!$F530))</f>
        <v>499</v>
      </c>
      <c r="M530" s="46">
        <f>IF(VLOOKUP($C530,REV!$C:$AA,11,0)-'TRADE IN'!$F539=0,"",(VLOOKUP($C530,REV!$C:$AA,11,0)-'TRADE IN'!$F530))</f>
        <v>499</v>
      </c>
      <c r="N530" s="46">
        <f>IF(VLOOKUP($C530,REV!$C:$AA,12,0)-'TRADE IN'!$F539=0,"",(VLOOKUP($C530,REV!$C:$AA,12,0)-'TRADE IN'!$F530))</f>
        <v>499</v>
      </c>
      <c r="O530" s="46">
        <f>IF(VLOOKUP($C530,REV!$C:$AA,13,0)-'TRADE IN'!$F539=0,"",(VLOOKUP($C530,REV!$C:$AA,13,0)-'TRADE IN'!$F530))</f>
        <v>449</v>
      </c>
      <c r="P530" s="46">
        <f>IF(VLOOKUP($C530,REV!$C:$AA,14,0)-'TRADE IN'!$F539=0,"",(VLOOKUP($C530,REV!$C:$AA,14,0)-'TRADE IN'!$F530))</f>
        <v>449</v>
      </c>
      <c r="Q530" s="46">
        <f>IF(VLOOKUP($C530,REV!$C:$AA,15,0)-'TRADE IN'!$F539=0,"",(VLOOKUP($C530,REV!$C:$AA,15,0)-'TRADE IN'!$F530))</f>
        <v>449</v>
      </c>
      <c r="R530" s="46">
        <f>IF(VLOOKUP($C530,REV!$C:$AA,16,0)-'TRADE IN'!$F539=0,"",(VLOOKUP($C530,REV!$C:$AA,16,0)-'TRADE IN'!$F530))</f>
        <v>449</v>
      </c>
      <c r="S530" s="46">
        <f>IF(VLOOKUP($C530,REV!$C:$AA,17,0)-'TRADE IN'!$F539=0,"",(VLOOKUP($C530,REV!$C:$AA,17,0)-'TRADE IN'!$F530))</f>
        <v>449</v>
      </c>
      <c r="T530" s="46">
        <f>IF(VLOOKUP($C530,REV!$C:$AA,18,0)-'TRADE IN'!$F539=0,"",(VLOOKUP($C530,REV!$C:$AA,18,0)-'TRADE IN'!$F530))</f>
        <v>449</v>
      </c>
      <c r="U530" s="46">
        <f>IF(VLOOKUP($C530,REV!$C:$AA,19,0)-'TRADE IN'!$F539=0,"",(VLOOKUP($C530,REV!$C:$AA,19,0)-'TRADE IN'!$F530))</f>
        <v>449</v>
      </c>
      <c r="V530" s="46">
        <f>IF(VLOOKUP($C530,REV!$C:$AA,20,0)-'TRADE IN'!$F539=0,"",(VLOOKUP($C530,REV!$C:$AA,20,0)-'TRADE IN'!$F530))</f>
        <v>449</v>
      </c>
      <c r="W530" s="46">
        <f>IF(VLOOKUP($C530,REV!$C:$AA,21,0)-'TRADE IN'!$F539=0,"",(VLOOKUP($C530,REV!$C:$AA,21,0)-'TRADE IN'!$F530))</f>
        <v>449</v>
      </c>
      <c r="X530" s="46">
        <f>IF(VLOOKUP($C530,REV!$C:$AA,22,0)-'TRADE IN'!$F539=0,"",(VLOOKUP($C530,REV!$C:$AA,22,0)-'TRADE IN'!$F530))</f>
        <v>449</v>
      </c>
      <c r="Y530" s="46">
        <f>IF(VLOOKUP($C530,REV!$C:$AA,23,0)-'TRADE IN'!$F539=0,"",(VLOOKUP($C530,REV!$C:$AA,23,0)-'TRADE IN'!$F530))</f>
        <v>449</v>
      </c>
      <c r="Z530" s="46">
        <f>IF(VLOOKUP($C530,REV!$C:$AA,24,0)-'TRADE IN'!$F539=0,"",(VLOOKUP($C530,REV!$C:$AA,24,0)-'TRADE IN'!$F530))</f>
        <v>449</v>
      </c>
      <c r="AA530" s="46">
        <f>IF(VLOOKUP($C530,REV!$C:$AA,25,0)-'TRADE IN'!$F539=0,"",(VLOOKUP($C530,REV!$C:$AA,25,0)-'TRADE IN'!$F530))</f>
        <v>449</v>
      </c>
      <c r="AB530" s="46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7"/>
      <c r="AW530" s="48" t="str">
        <f>IF(REV!AW530=0,"",REV!AW530)</f>
        <v>31.03.2026</v>
      </c>
      <c r="AX530" s="159" t="s">
        <v>82</v>
      </c>
    </row>
    <row r="531" spans="1:50" ht="22.5" customHeight="1">
      <c r="A531" s="50" t="s">
        <v>61</v>
      </c>
      <c r="B531" s="41" t="s">
        <v>62</v>
      </c>
      <c r="C531" s="42">
        <v>4014680</v>
      </c>
      <c r="D531" s="44" t="s">
        <v>738</v>
      </c>
      <c r="E531" s="44" t="s">
        <v>742</v>
      </c>
      <c r="F531" s="45"/>
      <c r="G531" s="45"/>
      <c r="H531" s="45"/>
      <c r="I531" s="45"/>
      <c r="J531" s="46">
        <f>IF(VLOOKUP($C531,REV!$C:$AA,8,0)-'TRADE IN'!$F531=0,"",(VLOOKUP($C531,REV!$C:$AA,8,0)-'TRADE IN'!$F531))</f>
        <v>499</v>
      </c>
      <c r="K531" s="46">
        <f>IF(VLOOKUP($C531,REV!$C:$AA,9,0)-'TRADE IN'!$F531=0,"",(VLOOKUP($C531,REV!$C:$AA,9,0)-'TRADE IN'!$F531))</f>
        <v>499</v>
      </c>
      <c r="L531" s="46">
        <f>IF(VLOOKUP($C531,REV!$C:$AA,10,0)-'TRADE IN'!$F540=0,"",(VLOOKUP($C531,REV!$C:$AA,10,0)-'TRADE IN'!$F531))</f>
        <v>499</v>
      </c>
      <c r="M531" s="46">
        <f>IF(VLOOKUP($C531,REV!$C:$AA,11,0)-'TRADE IN'!$F540=0,"",(VLOOKUP($C531,REV!$C:$AA,11,0)-'TRADE IN'!$F531))</f>
        <v>499</v>
      </c>
      <c r="N531" s="46">
        <f>IF(VLOOKUP($C531,REV!$C:$AA,12,0)-'TRADE IN'!$F540=0,"",(VLOOKUP($C531,REV!$C:$AA,12,0)-'TRADE IN'!$F531))</f>
        <v>499</v>
      </c>
      <c r="O531" s="46">
        <f>IF(VLOOKUP($C531,REV!$C:$AA,13,0)-'TRADE IN'!$F540=0,"",(VLOOKUP($C531,REV!$C:$AA,13,0)-'TRADE IN'!$F531))</f>
        <v>449</v>
      </c>
      <c r="P531" s="46">
        <f>IF(VLOOKUP($C531,REV!$C:$AA,14,0)-'TRADE IN'!$F540=0,"",(VLOOKUP($C531,REV!$C:$AA,14,0)-'TRADE IN'!$F531))</f>
        <v>449</v>
      </c>
      <c r="Q531" s="46">
        <f>IF(VLOOKUP($C531,REV!$C:$AA,15,0)-'TRADE IN'!$F540=0,"",(VLOOKUP($C531,REV!$C:$AA,15,0)-'TRADE IN'!$F531))</f>
        <v>449</v>
      </c>
      <c r="R531" s="46">
        <f>IF(VLOOKUP($C531,REV!$C:$AA,16,0)-'TRADE IN'!$F540=0,"",(VLOOKUP($C531,REV!$C:$AA,16,0)-'TRADE IN'!$F531))</f>
        <v>449</v>
      </c>
      <c r="S531" s="46">
        <f>IF(VLOOKUP($C531,REV!$C:$AA,17,0)-'TRADE IN'!$F540=0,"",(VLOOKUP($C531,REV!$C:$AA,17,0)-'TRADE IN'!$F531))</f>
        <v>449</v>
      </c>
      <c r="T531" s="46">
        <f>IF(VLOOKUP($C531,REV!$C:$AA,18,0)-'TRADE IN'!$F540=0,"",(VLOOKUP($C531,REV!$C:$AA,18,0)-'TRADE IN'!$F531))</f>
        <v>449</v>
      </c>
      <c r="U531" s="46">
        <f>IF(VLOOKUP($C531,REV!$C:$AA,19,0)-'TRADE IN'!$F540=0,"",(VLOOKUP($C531,REV!$C:$AA,19,0)-'TRADE IN'!$F531))</f>
        <v>449</v>
      </c>
      <c r="V531" s="46">
        <f>IF(VLOOKUP($C531,REV!$C:$AA,20,0)-'TRADE IN'!$F540=0,"",(VLOOKUP($C531,REV!$C:$AA,20,0)-'TRADE IN'!$F531))</f>
        <v>449</v>
      </c>
      <c r="W531" s="46">
        <f>IF(VLOOKUP($C531,REV!$C:$AA,21,0)-'TRADE IN'!$F540=0,"",(VLOOKUP($C531,REV!$C:$AA,21,0)-'TRADE IN'!$F531))</f>
        <v>449</v>
      </c>
      <c r="X531" s="46">
        <f>IF(VLOOKUP($C531,REV!$C:$AA,22,0)-'TRADE IN'!$F540=0,"",(VLOOKUP($C531,REV!$C:$AA,22,0)-'TRADE IN'!$F531))</f>
        <v>449</v>
      </c>
      <c r="Y531" s="46">
        <f>IF(VLOOKUP($C531,REV!$C:$AA,23,0)-'TRADE IN'!$F540=0,"",(VLOOKUP($C531,REV!$C:$AA,23,0)-'TRADE IN'!$F531))</f>
        <v>449</v>
      </c>
      <c r="Z531" s="46">
        <f>IF(VLOOKUP($C531,REV!$C:$AA,24,0)-'TRADE IN'!$F540=0,"",(VLOOKUP($C531,REV!$C:$AA,24,0)-'TRADE IN'!$F531))</f>
        <v>449</v>
      </c>
      <c r="AA531" s="46">
        <f>IF(VLOOKUP($C531,REV!$C:$AA,25,0)-'TRADE IN'!$F540=0,"",(VLOOKUP($C531,REV!$C:$AA,25,0)-'TRADE IN'!$F531))</f>
        <v>449</v>
      </c>
      <c r="AB531" s="46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7"/>
      <c r="AW531" s="48" t="str">
        <f>IF(REV!AW531=0,"",REV!AW531)</f>
        <v>31.03.2026</v>
      </c>
      <c r="AX531" s="159" t="s">
        <v>82</v>
      </c>
    </row>
    <row r="532" spans="1:50" ht="22.5" customHeight="1">
      <c r="A532" s="50" t="s">
        <v>61</v>
      </c>
      <c r="B532" s="41" t="s">
        <v>62</v>
      </c>
      <c r="C532" s="42">
        <v>4014807</v>
      </c>
      <c r="D532" s="44" t="s">
        <v>743</v>
      </c>
      <c r="E532" s="44" t="s">
        <v>744</v>
      </c>
      <c r="F532" s="45"/>
      <c r="G532" s="45"/>
      <c r="H532" s="45"/>
      <c r="I532" s="45"/>
      <c r="J532" s="46">
        <f>IF(VLOOKUP($C532,REV!$C:$AA,8,0)-'TRADE IN'!$F532=0,"",(VLOOKUP($C532,REV!$C:$AA,8,0)-'TRADE IN'!$F532))</f>
        <v>599</v>
      </c>
      <c r="K532" s="46">
        <f>IF(VLOOKUP($C532,REV!$C:$AA,9,0)-'TRADE IN'!$F532=0,"",(VLOOKUP($C532,REV!$C:$AA,9,0)-'TRADE IN'!$F532))</f>
        <v>599</v>
      </c>
      <c r="L532" s="46">
        <f>IF(VLOOKUP($C532,REV!$C:$AA,10,0)-'TRADE IN'!$F541=0,"",(VLOOKUP($C532,REV!$C:$AA,10,0)-'TRADE IN'!$F532))</f>
        <v>599</v>
      </c>
      <c r="M532" s="46">
        <f>IF(VLOOKUP($C532,REV!$C:$AA,11,0)-'TRADE IN'!$F541=0,"",(VLOOKUP($C532,REV!$C:$AA,11,0)-'TRADE IN'!$F532))</f>
        <v>599</v>
      </c>
      <c r="N532" s="46">
        <f>IF(VLOOKUP($C532,REV!$C:$AA,12,0)-'TRADE IN'!$F541=0,"",(VLOOKUP($C532,REV!$C:$AA,12,0)-'TRADE IN'!$F532))</f>
        <v>599</v>
      </c>
      <c r="O532" s="46">
        <f>IF(VLOOKUP($C532,REV!$C:$AA,13,0)-'TRADE IN'!$F541=0,"",(VLOOKUP($C532,REV!$C:$AA,13,0)-'TRADE IN'!$F532))</f>
        <v>549</v>
      </c>
      <c r="P532" s="46">
        <f>IF(VLOOKUP($C532,REV!$C:$AA,14,0)-'TRADE IN'!$F541=0,"",(VLOOKUP($C532,REV!$C:$AA,14,0)-'TRADE IN'!$F532))</f>
        <v>549</v>
      </c>
      <c r="Q532" s="46">
        <f>IF(VLOOKUP($C532,REV!$C:$AA,15,0)-'TRADE IN'!$F541=0,"",(VLOOKUP($C532,REV!$C:$AA,15,0)-'TRADE IN'!$F532))</f>
        <v>549</v>
      </c>
      <c r="R532" s="46">
        <f>IF(VLOOKUP($C532,REV!$C:$AA,16,0)-'TRADE IN'!$F541=0,"",(VLOOKUP($C532,REV!$C:$AA,16,0)-'TRADE IN'!$F532))</f>
        <v>549</v>
      </c>
      <c r="S532" s="46">
        <f>IF(VLOOKUP($C532,REV!$C:$AA,17,0)-'TRADE IN'!$F541=0,"",(VLOOKUP($C532,REV!$C:$AA,17,0)-'TRADE IN'!$F532))</f>
        <v>549</v>
      </c>
      <c r="T532" s="46">
        <f>IF(VLOOKUP($C532,REV!$C:$AA,18,0)-'TRADE IN'!$F541=0,"",(VLOOKUP($C532,REV!$C:$AA,18,0)-'TRADE IN'!$F532))</f>
        <v>549</v>
      </c>
      <c r="U532" s="46">
        <f>IF(VLOOKUP($C532,REV!$C:$AA,19,0)-'TRADE IN'!$F541=0,"",(VLOOKUP($C532,REV!$C:$AA,19,0)-'TRADE IN'!$F532))</f>
        <v>549</v>
      </c>
      <c r="V532" s="46">
        <f>IF(VLOOKUP($C532,REV!$C:$AA,20,0)-'TRADE IN'!$F541=0,"",(VLOOKUP($C532,REV!$C:$AA,20,0)-'TRADE IN'!$F532))</f>
        <v>549</v>
      </c>
      <c r="W532" s="46">
        <f>IF(VLOOKUP($C532,REV!$C:$AA,21,0)-'TRADE IN'!$F541=0,"",(VLOOKUP($C532,REV!$C:$AA,21,0)-'TRADE IN'!$F532))</f>
        <v>549</v>
      </c>
      <c r="X532" s="46">
        <f>IF(VLOOKUP($C532,REV!$C:$AA,22,0)-'TRADE IN'!$F541=0,"",(VLOOKUP($C532,REV!$C:$AA,22,0)-'TRADE IN'!$F532))</f>
        <v>549</v>
      </c>
      <c r="Y532" s="46">
        <f>IF(VLOOKUP($C532,REV!$C:$AA,23,0)-'TRADE IN'!$F541=0,"",(VLOOKUP($C532,REV!$C:$AA,23,0)-'TRADE IN'!$F532))</f>
        <v>549</v>
      </c>
      <c r="Z532" s="46">
        <f>IF(VLOOKUP($C532,REV!$C:$AA,24,0)-'TRADE IN'!$F541=0,"",(VLOOKUP($C532,REV!$C:$AA,24,0)-'TRADE IN'!$F532))</f>
        <v>549</v>
      </c>
      <c r="AA532" s="46">
        <f>IF(VLOOKUP($C532,REV!$C:$AA,25,0)-'TRADE IN'!$F541=0,"",(VLOOKUP($C532,REV!$C:$AA,25,0)-'TRADE IN'!$F532))</f>
        <v>549</v>
      </c>
      <c r="AB532" s="46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7"/>
      <c r="AW532" s="48" t="str">
        <f>IF(REV!AW532=0,"",REV!AW532)</f>
        <v>31.03.2026</v>
      </c>
      <c r="AX532" s="159" t="s">
        <v>82</v>
      </c>
    </row>
    <row r="533" spans="1:50" ht="22.5" customHeight="1">
      <c r="A533" s="50" t="s">
        <v>61</v>
      </c>
      <c r="B533" s="41" t="s">
        <v>62</v>
      </c>
      <c r="C533" s="42">
        <v>4014815</v>
      </c>
      <c r="D533" s="44" t="s">
        <v>743</v>
      </c>
      <c r="E533" s="44" t="s">
        <v>745</v>
      </c>
      <c r="F533" s="45"/>
      <c r="G533" s="45"/>
      <c r="H533" s="45"/>
      <c r="I533" s="45"/>
      <c r="J533" s="46">
        <f>IF(VLOOKUP($C533,REV!$C:$AA,8,0)-'TRADE IN'!$F533=0,"",(VLOOKUP($C533,REV!$C:$AA,8,0)-'TRADE IN'!$F533))</f>
        <v>599</v>
      </c>
      <c r="K533" s="46">
        <f>IF(VLOOKUP($C533,REV!$C:$AA,9,0)-'TRADE IN'!$F533=0,"",(VLOOKUP($C533,REV!$C:$AA,9,0)-'TRADE IN'!$F533))</f>
        <v>599</v>
      </c>
      <c r="L533" s="46">
        <f>IF(VLOOKUP($C533,REV!$C:$AA,10,0)-'TRADE IN'!$F542=0,"",(VLOOKUP($C533,REV!$C:$AA,10,0)-'TRADE IN'!$F533))</f>
        <v>599</v>
      </c>
      <c r="M533" s="46">
        <f>IF(VLOOKUP($C533,REV!$C:$AA,11,0)-'TRADE IN'!$F542=0,"",(VLOOKUP($C533,REV!$C:$AA,11,0)-'TRADE IN'!$F533))</f>
        <v>599</v>
      </c>
      <c r="N533" s="46">
        <f>IF(VLOOKUP($C533,REV!$C:$AA,12,0)-'TRADE IN'!$F542=0,"",(VLOOKUP($C533,REV!$C:$AA,12,0)-'TRADE IN'!$F533))</f>
        <v>599</v>
      </c>
      <c r="O533" s="46">
        <f>IF(VLOOKUP($C533,REV!$C:$AA,13,0)-'TRADE IN'!$F542=0,"",(VLOOKUP($C533,REV!$C:$AA,13,0)-'TRADE IN'!$F533))</f>
        <v>549</v>
      </c>
      <c r="P533" s="46">
        <f>IF(VLOOKUP($C533,REV!$C:$AA,14,0)-'TRADE IN'!$F542=0,"",(VLOOKUP($C533,REV!$C:$AA,14,0)-'TRADE IN'!$F533))</f>
        <v>549</v>
      </c>
      <c r="Q533" s="46">
        <f>IF(VLOOKUP($C533,REV!$C:$AA,15,0)-'TRADE IN'!$F542=0,"",(VLOOKUP($C533,REV!$C:$AA,15,0)-'TRADE IN'!$F533))</f>
        <v>549</v>
      </c>
      <c r="R533" s="46">
        <f>IF(VLOOKUP($C533,REV!$C:$AA,16,0)-'TRADE IN'!$F542=0,"",(VLOOKUP($C533,REV!$C:$AA,16,0)-'TRADE IN'!$F533))</f>
        <v>549</v>
      </c>
      <c r="S533" s="46">
        <f>IF(VLOOKUP($C533,REV!$C:$AA,17,0)-'TRADE IN'!$F542=0,"",(VLOOKUP($C533,REV!$C:$AA,17,0)-'TRADE IN'!$F533))</f>
        <v>549</v>
      </c>
      <c r="T533" s="46">
        <f>IF(VLOOKUP($C533,REV!$C:$AA,18,0)-'TRADE IN'!$F542=0,"",(VLOOKUP($C533,REV!$C:$AA,18,0)-'TRADE IN'!$F533))</f>
        <v>549</v>
      </c>
      <c r="U533" s="46">
        <f>IF(VLOOKUP($C533,REV!$C:$AA,19,0)-'TRADE IN'!$F542=0,"",(VLOOKUP($C533,REV!$C:$AA,19,0)-'TRADE IN'!$F533))</f>
        <v>549</v>
      </c>
      <c r="V533" s="46">
        <f>IF(VLOOKUP($C533,REV!$C:$AA,20,0)-'TRADE IN'!$F542=0,"",(VLOOKUP($C533,REV!$C:$AA,20,0)-'TRADE IN'!$F533))</f>
        <v>549</v>
      </c>
      <c r="W533" s="46">
        <f>IF(VLOOKUP($C533,REV!$C:$AA,21,0)-'TRADE IN'!$F542=0,"",(VLOOKUP($C533,REV!$C:$AA,21,0)-'TRADE IN'!$F533))</f>
        <v>549</v>
      </c>
      <c r="X533" s="46">
        <f>IF(VLOOKUP($C533,REV!$C:$AA,22,0)-'TRADE IN'!$F542=0,"",(VLOOKUP($C533,REV!$C:$AA,22,0)-'TRADE IN'!$F533))</f>
        <v>549</v>
      </c>
      <c r="Y533" s="46">
        <f>IF(VLOOKUP($C533,REV!$C:$AA,23,0)-'TRADE IN'!$F542=0,"",(VLOOKUP($C533,REV!$C:$AA,23,0)-'TRADE IN'!$F533))</f>
        <v>549</v>
      </c>
      <c r="Z533" s="46">
        <f>IF(VLOOKUP($C533,REV!$C:$AA,24,0)-'TRADE IN'!$F542=0,"",(VLOOKUP($C533,REV!$C:$AA,24,0)-'TRADE IN'!$F533))</f>
        <v>549</v>
      </c>
      <c r="AA533" s="46">
        <f>IF(VLOOKUP($C533,REV!$C:$AA,25,0)-'TRADE IN'!$F542=0,"",(VLOOKUP($C533,REV!$C:$AA,25,0)-'TRADE IN'!$F533))</f>
        <v>549</v>
      </c>
      <c r="AB533" s="46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7"/>
      <c r="AW533" s="48" t="str">
        <f>IF(REV!AW533=0,"",REV!AW533)</f>
        <v>31.03.2026</v>
      </c>
      <c r="AX533" s="159" t="s">
        <v>82</v>
      </c>
    </row>
    <row r="534" spans="1:50" ht="22.5" customHeight="1">
      <c r="A534" s="50" t="s">
        <v>61</v>
      </c>
      <c r="B534" s="41" t="s">
        <v>62</v>
      </c>
      <c r="C534" s="42">
        <v>4014802</v>
      </c>
      <c r="D534" s="44" t="s">
        <v>743</v>
      </c>
      <c r="E534" s="44" t="s">
        <v>746</v>
      </c>
      <c r="F534" s="45"/>
      <c r="G534" s="45"/>
      <c r="H534" s="45"/>
      <c r="I534" s="45"/>
      <c r="J534" s="46">
        <f>IF(VLOOKUP($C534,REV!$C:$AA,8,0)-'TRADE IN'!$F534=0,"",(VLOOKUP($C534,REV!$C:$AA,8,0)-'TRADE IN'!$F534))</f>
        <v>599</v>
      </c>
      <c r="K534" s="46">
        <f>IF(VLOOKUP($C534,REV!$C:$AA,9,0)-'TRADE IN'!$F534=0,"",(VLOOKUP($C534,REV!$C:$AA,9,0)-'TRADE IN'!$F534))</f>
        <v>599</v>
      </c>
      <c r="L534" s="46">
        <f>IF(VLOOKUP($C534,REV!$C:$AA,10,0)-'TRADE IN'!$F543=0,"",(VLOOKUP($C534,REV!$C:$AA,10,0)-'TRADE IN'!$F534))</f>
        <v>599</v>
      </c>
      <c r="M534" s="46">
        <f>IF(VLOOKUP($C534,REV!$C:$AA,11,0)-'TRADE IN'!$F543=0,"",(VLOOKUP($C534,REV!$C:$AA,11,0)-'TRADE IN'!$F534))</f>
        <v>599</v>
      </c>
      <c r="N534" s="46">
        <f>IF(VLOOKUP($C534,REV!$C:$AA,12,0)-'TRADE IN'!$F543=0,"",(VLOOKUP($C534,REV!$C:$AA,12,0)-'TRADE IN'!$F534))</f>
        <v>599</v>
      </c>
      <c r="O534" s="46">
        <f>IF(VLOOKUP($C534,REV!$C:$AA,13,0)-'TRADE IN'!$F543=0,"",(VLOOKUP($C534,REV!$C:$AA,13,0)-'TRADE IN'!$F534))</f>
        <v>549</v>
      </c>
      <c r="P534" s="46">
        <f>IF(VLOOKUP($C534,REV!$C:$AA,14,0)-'TRADE IN'!$F543=0,"",(VLOOKUP($C534,REV!$C:$AA,14,0)-'TRADE IN'!$F534))</f>
        <v>549</v>
      </c>
      <c r="Q534" s="46">
        <f>IF(VLOOKUP($C534,REV!$C:$AA,15,0)-'TRADE IN'!$F543=0,"",(VLOOKUP($C534,REV!$C:$AA,15,0)-'TRADE IN'!$F534))</f>
        <v>549</v>
      </c>
      <c r="R534" s="46">
        <f>IF(VLOOKUP($C534,REV!$C:$AA,16,0)-'TRADE IN'!$F543=0,"",(VLOOKUP($C534,REV!$C:$AA,16,0)-'TRADE IN'!$F534))</f>
        <v>549</v>
      </c>
      <c r="S534" s="46">
        <f>IF(VLOOKUP($C534,REV!$C:$AA,17,0)-'TRADE IN'!$F543=0,"",(VLOOKUP($C534,REV!$C:$AA,17,0)-'TRADE IN'!$F534))</f>
        <v>549</v>
      </c>
      <c r="T534" s="46">
        <f>IF(VLOOKUP($C534,REV!$C:$AA,18,0)-'TRADE IN'!$F543=0,"",(VLOOKUP($C534,REV!$C:$AA,18,0)-'TRADE IN'!$F534))</f>
        <v>549</v>
      </c>
      <c r="U534" s="46">
        <f>IF(VLOOKUP($C534,REV!$C:$AA,19,0)-'TRADE IN'!$F543=0,"",(VLOOKUP($C534,REV!$C:$AA,19,0)-'TRADE IN'!$F534))</f>
        <v>549</v>
      </c>
      <c r="V534" s="46">
        <f>IF(VLOOKUP($C534,REV!$C:$AA,20,0)-'TRADE IN'!$F543=0,"",(VLOOKUP($C534,REV!$C:$AA,20,0)-'TRADE IN'!$F534))</f>
        <v>549</v>
      </c>
      <c r="W534" s="46">
        <f>IF(VLOOKUP($C534,REV!$C:$AA,21,0)-'TRADE IN'!$F543=0,"",(VLOOKUP($C534,REV!$C:$AA,21,0)-'TRADE IN'!$F534))</f>
        <v>549</v>
      </c>
      <c r="X534" s="46">
        <f>IF(VLOOKUP($C534,REV!$C:$AA,22,0)-'TRADE IN'!$F543=0,"",(VLOOKUP($C534,REV!$C:$AA,22,0)-'TRADE IN'!$F534))</f>
        <v>549</v>
      </c>
      <c r="Y534" s="46">
        <f>IF(VLOOKUP($C534,REV!$C:$AA,23,0)-'TRADE IN'!$F543=0,"",(VLOOKUP($C534,REV!$C:$AA,23,0)-'TRADE IN'!$F534))</f>
        <v>549</v>
      </c>
      <c r="Z534" s="46">
        <f>IF(VLOOKUP($C534,REV!$C:$AA,24,0)-'TRADE IN'!$F543=0,"",(VLOOKUP($C534,REV!$C:$AA,24,0)-'TRADE IN'!$F534))</f>
        <v>549</v>
      </c>
      <c r="AA534" s="46">
        <f>IF(VLOOKUP($C534,REV!$C:$AA,25,0)-'TRADE IN'!$F543=0,"",(VLOOKUP($C534,REV!$C:$AA,25,0)-'TRADE IN'!$F534))</f>
        <v>549</v>
      </c>
      <c r="AB534" s="46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7"/>
      <c r="AW534" s="48" t="str">
        <f>IF(REV!AW534=0,"",REV!AW534)</f>
        <v>31.03.2026</v>
      </c>
      <c r="AX534" s="159" t="s">
        <v>82</v>
      </c>
    </row>
    <row r="535" spans="1:50" ht="22.5" customHeight="1">
      <c r="A535" s="50" t="s">
        <v>61</v>
      </c>
      <c r="B535" s="41" t="s">
        <v>62</v>
      </c>
      <c r="C535" s="42">
        <v>4014811</v>
      </c>
      <c r="D535" s="44" t="s">
        <v>743</v>
      </c>
      <c r="E535" s="44" t="s">
        <v>747</v>
      </c>
      <c r="F535" s="45"/>
      <c r="G535" s="45"/>
      <c r="H535" s="45"/>
      <c r="I535" s="45"/>
      <c r="J535" s="46">
        <f>IF(VLOOKUP($C535,REV!$C:$AA,8,0)-'TRADE IN'!$F535=0,"",(VLOOKUP($C535,REV!$C:$AA,8,0)-'TRADE IN'!$F535))</f>
        <v>599</v>
      </c>
      <c r="K535" s="46">
        <f>IF(VLOOKUP($C535,REV!$C:$AA,9,0)-'TRADE IN'!$F535=0,"",(VLOOKUP($C535,REV!$C:$AA,9,0)-'TRADE IN'!$F535))</f>
        <v>599</v>
      </c>
      <c r="L535" s="46">
        <f>IF(VLOOKUP($C535,REV!$C:$AA,10,0)-'TRADE IN'!$F544=0,"",(VLOOKUP($C535,REV!$C:$AA,10,0)-'TRADE IN'!$F535))</f>
        <v>599</v>
      </c>
      <c r="M535" s="46">
        <f>IF(VLOOKUP($C535,REV!$C:$AA,11,0)-'TRADE IN'!$F544=0,"",(VLOOKUP($C535,REV!$C:$AA,11,0)-'TRADE IN'!$F535))</f>
        <v>599</v>
      </c>
      <c r="N535" s="46">
        <f>IF(VLOOKUP($C535,REV!$C:$AA,12,0)-'TRADE IN'!$F544=0,"",(VLOOKUP($C535,REV!$C:$AA,12,0)-'TRADE IN'!$F535))</f>
        <v>599</v>
      </c>
      <c r="O535" s="46">
        <f>IF(VLOOKUP($C535,REV!$C:$AA,13,0)-'TRADE IN'!$F544=0,"",(VLOOKUP($C535,REV!$C:$AA,13,0)-'TRADE IN'!$F535))</f>
        <v>549</v>
      </c>
      <c r="P535" s="46">
        <f>IF(VLOOKUP($C535,REV!$C:$AA,14,0)-'TRADE IN'!$F544=0,"",(VLOOKUP($C535,REV!$C:$AA,14,0)-'TRADE IN'!$F535))</f>
        <v>549</v>
      </c>
      <c r="Q535" s="46">
        <f>IF(VLOOKUP($C535,REV!$C:$AA,15,0)-'TRADE IN'!$F544=0,"",(VLOOKUP($C535,REV!$C:$AA,15,0)-'TRADE IN'!$F535))</f>
        <v>549</v>
      </c>
      <c r="R535" s="46">
        <f>IF(VLOOKUP($C535,REV!$C:$AA,16,0)-'TRADE IN'!$F544=0,"",(VLOOKUP($C535,REV!$C:$AA,16,0)-'TRADE IN'!$F535))</f>
        <v>549</v>
      </c>
      <c r="S535" s="46">
        <f>IF(VLOOKUP($C535,REV!$C:$AA,17,0)-'TRADE IN'!$F544=0,"",(VLOOKUP($C535,REV!$C:$AA,17,0)-'TRADE IN'!$F535))</f>
        <v>549</v>
      </c>
      <c r="T535" s="46">
        <f>IF(VLOOKUP($C535,REV!$C:$AA,18,0)-'TRADE IN'!$F544=0,"",(VLOOKUP($C535,REV!$C:$AA,18,0)-'TRADE IN'!$F535))</f>
        <v>549</v>
      </c>
      <c r="U535" s="46">
        <f>IF(VLOOKUP($C535,REV!$C:$AA,19,0)-'TRADE IN'!$F544=0,"",(VLOOKUP($C535,REV!$C:$AA,19,0)-'TRADE IN'!$F535))</f>
        <v>549</v>
      </c>
      <c r="V535" s="46">
        <f>IF(VLOOKUP($C535,REV!$C:$AA,20,0)-'TRADE IN'!$F544=0,"",(VLOOKUP($C535,REV!$C:$AA,20,0)-'TRADE IN'!$F535))</f>
        <v>549</v>
      </c>
      <c r="W535" s="46">
        <f>IF(VLOOKUP($C535,REV!$C:$AA,21,0)-'TRADE IN'!$F544=0,"",(VLOOKUP($C535,REV!$C:$AA,21,0)-'TRADE IN'!$F535))</f>
        <v>549</v>
      </c>
      <c r="X535" s="46">
        <f>IF(VLOOKUP($C535,REV!$C:$AA,22,0)-'TRADE IN'!$F544=0,"",(VLOOKUP($C535,REV!$C:$AA,22,0)-'TRADE IN'!$F535))</f>
        <v>549</v>
      </c>
      <c r="Y535" s="46">
        <f>IF(VLOOKUP($C535,REV!$C:$AA,23,0)-'TRADE IN'!$F544=0,"",(VLOOKUP($C535,REV!$C:$AA,23,0)-'TRADE IN'!$F535))</f>
        <v>549</v>
      </c>
      <c r="Z535" s="46">
        <f>IF(VLOOKUP($C535,REV!$C:$AA,24,0)-'TRADE IN'!$F544=0,"",(VLOOKUP($C535,REV!$C:$AA,24,0)-'TRADE IN'!$F535))</f>
        <v>549</v>
      </c>
      <c r="AA535" s="46">
        <f>IF(VLOOKUP($C535,REV!$C:$AA,25,0)-'TRADE IN'!$F544=0,"",(VLOOKUP($C535,REV!$C:$AA,25,0)-'TRADE IN'!$F535))</f>
        <v>549</v>
      </c>
      <c r="AB535" s="46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7"/>
      <c r="AW535" s="48" t="str">
        <f>IF(REV!AW535=0,"",REV!AW535)</f>
        <v>31.03.2026</v>
      </c>
      <c r="AX535" s="159" t="s">
        <v>82</v>
      </c>
    </row>
    <row r="536" spans="1:50" ht="22.5" customHeight="1">
      <c r="A536" s="50" t="s">
        <v>61</v>
      </c>
      <c r="B536" s="41" t="s">
        <v>62</v>
      </c>
      <c r="C536" s="42">
        <v>4014809</v>
      </c>
      <c r="D536" s="44" t="s">
        <v>743</v>
      </c>
      <c r="E536" s="44" t="s">
        <v>748</v>
      </c>
      <c r="F536" s="45"/>
      <c r="G536" s="45"/>
      <c r="H536" s="45"/>
      <c r="I536" s="45"/>
      <c r="J536" s="46">
        <f>IF(VLOOKUP($C536,REV!$C:$AA,8,0)-'TRADE IN'!$F536=0,"",(VLOOKUP($C536,REV!$C:$AA,8,0)-'TRADE IN'!$F536))</f>
        <v>599</v>
      </c>
      <c r="K536" s="46">
        <f>IF(VLOOKUP($C536,REV!$C:$AA,9,0)-'TRADE IN'!$F536=0,"",(VLOOKUP($C536,REV!$C:$AA,9,0)-'TRADE IN'!$F536))</f>
        <v>599</v>
      </c>
      <c r="L536" s="46">
        <f>IF(VLOOKUP($C536,REV!$C:$AA,10,0)-'TRADE IN'!$F545=0,"",(VLOOKUP($C536,REV!$C:$AA,10,0)-'TRADE IN'!$F536))</f>
        <v>599</v>
      </c>
      <c r="M536" s="46">
        <f>IF(VLOOKUP($C536,REV!$C:$AA,11,0)-'TRADE IN'!$F545=0,"",(VLOOKUP($C536,REV!$C:$AA,11,0)-'TRADE IN'!$F536))</f>
        <v>599</v>
      </c>
      <c r="N536" s="46">
        <f>IF(VLOOKUP($C536,REV!$C:$AA,12,0)-'TRADE IN'!$F545=0,"",(VLOOKUP($C536,REV!$C:$AA,12,0)-'TRADE IN'!$F536))</f>
        <v>599</v>
      </c>
      <c r="O536" s="46">
        <f>IF(VLOOKUP($C536,REV!$C:$AA,13,0)-'TRADE IN'!$F545=0,"",(VLOOKUP($C536,REV!$C:$AA,13,0)-'TRADE IN'!$F536))</f>
        <v>549</v>
      </c>
      <c r="P536" s="46">
        <f>IF(VLOOKUP($C536,REV!$C:$AA,14,0)-'TRADE IN'!$F545=0,"",(VLOOKUP($C536,REV!$C:$AA,14,0)-'TRADE IN'!$F536))</f>
        <v>549</v>
      </c>
      <c r="Q536" s="46">
        <f>IF(VLOOKUP($C536,REV!$C:$AA,15,0)-'TRADE IN'!$F545=0,"",(VLOOKUP($C536,REV!$C:$AA,15,0)-'TRADE IN'!$F536))</f>
        <v>549</v>
      </c>
      <c r="R536" s="46">
        <f>IF(VLOOKUP($C536,REV!$C:$AA,16,0)-'TRADE IN'!$F545=0,"",(VLOOKUP($C536,REV!$C:$AA,16,0)-'TRADE IN'!$F536))</f>
        <v>549</v>
      </c>
      <c r="S536" s="46">
        <f>IF(VLOOKUP($C536,REV!$C:$AA,17,0)-'TRADE IN'!$F545=0,"",(VLOOKUP($C536,REV!$C:$AA,17,0)-'TRADE IN'!$F536))</f>
        <v>549</v>
      </c>
      <c r="T536" s="46">
        <f>IF(VLOOKUP($C536,REV!$C:$AA,18,0)-'TRADE IN'!$F545=0,"",(VLOOKUP($C536,REV!$C:$AA,18,0)-'TRADE IN'!$F536))</f>
        <v>549</v>
      </c>
      <c r="U536" s="46">
        <f>IF(VLOOKUP($C536,REV!$C:$AA,19,0)-'TRADE IN'!$F545=0,"",(VLOOKUP($C536,REV!$C:$AA,19,0)-'TRADE IN'!$F536))</f>
        <v>549</v>
      </c>
      <c r="V536" s="46">
        <f>IF(VLOOKUP($C536,REV!$C:$AA,20,0)-'TRADE IN'!$F545=0,"",(VLOOKUP($C536,REV!$C:$AA,20,0)-'TRADE IN'!$F536))</f>
        <v>549</v>
      </c>
      <c r="W536" s="46">
        <f>IF(VLOOKUP($C536,REV!$C:$AA,21,0)-'TRADE IN'!$F545=0,"",(VLOOKUP($C536,REV!$C:$AA,21,0)-'TRADE IN'!$F536))</f>
        <v>549</v>
      </c>
      <c r="X536" s="46">
        <f>IF(VLOOKUP($C536,REV!$C:$AA,22,0)-'TRADE IN'!$F545=0,"",(VLOOKUP($C536,REV!$C:$AA,22,0)-'TRADE IN'!$F536))</f>
        <v>549</v>
      </c>
      <c r="Y536" s="46">
        <f>IF(VLOOKUP($C536,REV!$C:$AA,23,0)-'TRADE IN'!$F545=0,"",(VLOOKUP($C536,REV!$C:$AA,23,0)-'TRADE IN'!$F536))</f>
        <v>549</v>
      </c>
      <c r="Z536" s="46">
        <f>IF(VLOOKUP($C536,REV!$C:$AA,24,0)-'TRADE IN'!$F545=0,"",(VLOOKUP($C536,REV!$C:$AA,24,0)-'TRADE IN'!$F536))</f>
        <v>549</v>
      </c>
      <c r="AA536" s="46">
        <f>IF(VLOOKUP($C536,REV!$C:$AA,25,0)-'TRADE IN'!$F545=0,"",(VLOOKUP($C536,REV!$C:$AA,25,0)-'TRADE IN'!$F536))</f>
        <v>549</v>
      </c>
      <c r="AB536" s="46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7"/>
      <c r="AW536" s="48" t="str">
        <f>IF(REV!AW536=0,"",REV!AW536)</f>
        <v>31.03.2026</v>
      </c>
      <c r="AX536" s="159" t="s">
        <v>82</v>
      </c>
    </row>
    <row r="537" spans="1:50" ht="22.5" customHeight="1">
      <c r="A537" s="50" t="s">
        <v>61</v>
      </c>
      <c r="B537" s="41" t="s">
        <v>62</v>
      </c>
      <c r="C537" s="42">
        <v>4014813</v>
      </c>
      <c r="D537" s="44" t="s">
        <v>743</v>
      </c>
      <c r="E537" s="44" t="s">
        <v>749</v>
      </c>
      <c r="F537" s="45"/>
      <c r="G537" s="45"/>
      <c r="H537" s="45"/>
      <c r="I537" s="45"/>
      <c r="J537" s="46">
        <f>IF(VLOOKUP($C537,REV!$C:$AA,8,0)-'TRADE IN'!$F537=0,"",(VLOOKUP($C537,REV!$C:$AA,8,0)-'TRADE IN'!$F537))</f>
        <v>599</v>
      </c>
      <c r="K537" s="46">
        <f>IF(VLOOKUP($C537,REV!$C:$AA,9,0)-'TRADE IN'!$F537=0,"",(VLOOKUP($C537,REV!$C:$AA,9,0)-'TRADE IN'!$F537))</f>
        <v>599</v>
      </c>
      <c r="L537" s="46">
        <f>IF(VLOOKUP($C537,REV!$C:$AA,10,0)-'TRADE IN'!$F546=0,"",(VLOOKUP($C537,REV!$C:$AA,10,0)-'TRADE IN'!$F537))</f>
        <v>599</v>
      </c>
      <c r="M537" s="46">
        <f>IF(VLOOKUP($C537,REV!$C:$AA,11,0)-'TRADE IN'!$F546=0,"",(VLOOKUP($C537,REV!$C:$AA,11,0)-'TRADE IN'!$F537))</f>
        <v>599</v>
      </c>
      <c r="N537" s="46">
        <f>IF(VLOOKUP($C537,REV!$C:$AA,12,0)-'TRADE IN'!$F546=0,"",(VLOOKUP($C537,REV!$C:$AA,12,0)-'TRADE IN'!$F537))</f>
        <v>599</v>
      </c>
      <c r="O537" s="46">
        <f>IF(VLOOKUP($C537,REV!$C:$AA,13,0)-'TRADE IN'!$F546=0,"",(VLOOKUP($C537,REV!$C:$AA,13,0)-'TRADE IN'!$F537))</f>
        <v>549</v>
      </c>
      <c r="P537" s="46">
        <f>IF(VLOOKUP($C537,REV!$C:$AA,14,0)-'TRADE IN'!$F546=0,"",(VLOOKUP($C537,REV!$C:$AA,14,0)-'TRADE IN'!$F537))</f>
        <v>549</v>
      </c>
      <c r="Q537" s="46">
        <f>IF(VLOOKUP($C537,REV!$C:$AA,15,0)-'TRADE IN'!$F546=0,"",(VLOOKUP($C537,REV!$C:$AA,15,0)-'TRADE IN'!$F537))</f>
        <v>549</v>
      </c>
      <c r="R537" s="46">
        <f>IF(VLOOKUP($C537,REV!$C:$AA,16,0)-'TRADE IN'!$F546=0,"",(VLOOKUP($C537,REV!$C:$AA,16,0)-'TRADE IN'!$F537))</f>
        <v>549</v>
      </c>
      <c r="S537" s="46">
        <f>IF(VLOOKUP($C537,REV!$C:$AA,17,0)-'TRADE IN'!$F546=0,"",(VLOOKUP($C537,REV!$C:$AA,17,0)-'TRADE IN'!$F537))</f>
        <v>549</v>
      </c>
      <c r="T537" s="46">
        <f>IF(VLOOKUP($C537,REV!$C:$AA,18,0)-'TRADE IN'!$F546=0,"",(VLOOKUP($C537,REV!$C:$AA,18,0)-'TRADE IN'!$F537))</f>
        <v>549</v>
      </c>
      <c r="U537" s="46">
        <f>IF(VLOOKUP($C537,REV!$C:$AA,19,0)-'TRADE IN'!$F546=0,"",(VLOOKUP($C537,REV!$C:$AA,19,0)-'TRADE IN'!$F537))</f>
        <v>549</v>
      </c>
      <c r="V537" s="46">
        <f>IF(VLOOKUP($C537,REV!$C:$AA,20,0)-'TRADE IN'!$F546=0,"",(VLOOKUP($C537,REV!$C:$AA,20,0)-'TRADE IN'!$F537))</f>
        <v>549</v>
      </c>
      <c r="W537" s="46">
        <f>IF(VLOOKUP($C537,REV!$C:$AA,21,0)-'TRADE IN'!$F546=0,"",(VLOOKUP($C537,REV!$C:$AA,21,0)-'TRADE IN'!$F537))</f>
        <v>549</v>
      </c>
      <c r="X537" s="46">
        <f>IF(VLOOKUP($C537,REV!$C:$AA,22,0)-'TRADE IN'!$F546=0,"",(VLOOKUP($C537,REV!$C:$AA,22,0)-'TRADE IN'!$F537))</f>
        <v>549</v>
      </c>
      <c r="Y537" s="46">
        <f>IF(VLOOKUP($C537,REV!$C:$AA,23,0)-'TRADE IN'!$F546=0,"",(VLOOKUP($C537,REV!$C:$AA,23,0)-'TRADE IN'!$F537))</f>
        <v>549</v>
      </c>
      <c r="Z537" s="46">
        <f>IF(VLOOKUP($C537,REV!$C:$AA,24,0)-'TRADE IN'!$F546=0,"",(VLOOKUP($C537,REV!$C:$AA,24,0)-'TRADE IN'!$F537))</f>
        <v>549</v>
      </c>
      <c r="AA537" s="46">
        <f>IF(VLOOKUP($C537,REV!$C:$AA,25,0)-'TRADE IN'!$F546=0,"",(VLOOKUP($C537,REV!$C:$AA,25,0)-'TRADE IN'!$F537))</f>
        <v>549</v>
      </c>
      <c r="AB537" s="46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7"/>
      <c r="AW537" s="48" t="str">
        <f>IF(REV!AW537=0,"",REV!AW537)</f>
        <v>31.03.2026</v>
      </c>
      <c r="AX537" s="159" t="s">
        <v>82</v>
      </c>
    </row>
    <row r="538" spans="1:50" ht="22.5" customHeight="1">
      <c r="A538" s="50" t="s">
        <v>61</v>
      </c>
      <c r="B538" s="41" t="s">
        <v>62</v>
      </c>
      <c r="C538" s="42">
        <v>4014805</v>
      </c>
      <c r="D538" s="44" t="s">
        <v>743</v>
      </c>
      <c r="E538" s="44" t="s">
        <v>750</v>
      </c>
      <c r="F538" s="45"/>
      <c r="G538" s="45"/>
      <c r="H538" s="45"/>
      <c r="I538" s="45"/>
      <c r="J538" s="46">
        <f>IF(VLOOKUP($C538,REV!$C:$AA,8,0)-'TRADE IN'!$F538=0,"",(VLOOKUP($C538,REV!$C:$AA,8,0)-'TRADE IN'!$F538))</f>
        <v>599</v>
      </c>
      <c r="K538" s="46">
        <f>IF(VLOOKUP($C538,REV!$C:$AA,9,0)-'TRADE IN'!$F538=0,"",(VLOOKUP($C538,REV!$C:$AA,9,0)-'TRADE IN'!$F538))</f>
        <v>599</v>
      </c>
      <c r="L538" s="46">
        <f>IF(VLOOKUP($C538,REV!$C:$AA,10,0)-'TRADE IN'!$F547=0,"",(VLOOKUP($C538,REV!$C:$AA,10,0)-'TRADE IN'!$F538))</f>
        <v>599</v>
      </c>
      <c r="M538" s="46">
        <f>IF(VLOOKUP($C538,REV!$C:$AA,11,0)-'TRADE IN'!$F547=0,"",(VLOOKUP($C538,REV!$C:$AA,11,0)-'TRADE IN'!$F538))</f>
        <v>599</v>
      </c>
      <c r="N538" s="46">
        <f>IF(VLOOKUP($C538,REV!$C:$AA,12,0)-'TRADE IN'!$F547=0,"",(VLOOKUP($C538,REV!$C:$AA,12,0)-'TRADE IN'!$F538))</f>
        <v>599</v>
      </c>
      <c r="O538" s="46">
        <f>IF(VLOOKUP($C538,REV!$C:$AA,13,0)-'TRADE IN'!$F547=0,"",(VLOOKUP($C538,REV!$C:$AA,13,0)-'TRADE IN'!$F538))</f>
        <v>549</v>
      </c>
      <c r="P538" s="46">
        <f>IF(VLOOKUP($C538,REV!$C:$AA,14,0)-'TRADE IN'!$F547=0,"",(VLOOKUP($C538,REV!$C:$AA,14,0)-'TRADE IN'!$F538))</f>
        <v>549</v>
      </c>
      <c r="Q538" s="46">
        <f>IF(VLOOKUP($C538,REV!$C:$AA,15,0)-'TRADE IN'!$F547=0,"",(VLOOKUP($C538,REV!$C:$AA,15,0)-'TRADE IN'!$F538))</f>
        <v>549</v>
      </c>
      <c r="R538" s="46">
        <f>IF(VLOOKUP($C538,REV!$C:$AA,16,0)-'TRADE IN'!$F547=0,"",(VLOOKUP($C538,REV!$C:$AA,16,0)-'TRADE IN'!$F538))</f>
        <v>549</v>
      </c>
      <c r="S538" s="46">
        <f>IF(VLOOKUP($C538,REV!$C:$AA,17,0)-'TRADE IN'!$F547=0,"",(VLOOKUP($C538,REV!$C:$AA,17,0)-'TRADE IN'!$F538))</f>
        <v>549</v>
      </c>
      <c r="T538" s="46">
        <f>IF(VLOOKUP($C538,REV!$C:$AA,18,0)-'TRADE IN'!$F547=0,"",(VLOOKUP($C538,REV!$C:$AA,18,0)-'TRADE IN'!$F538))</f>
        <v>549</v>
      </c>
      <c r="U538" s="46">
        <f>IF(VLOOKUP($C538,REV!$C:$AA,19,0)-'TRADE IN'!$F547=0,"",(VLOOKUP($C538,REV!$C:$AA,19,0)-'TRADE IN'!$F538))</f>
        <v>549</v>
      </c>
      <c r="V538" s="46">
        <f>IF(VLOOKUP($C538,REV!$C:$AA,20,0)-'TRADE IN'!$F547=0,"",(VLOOKUP($C538,REV!$C:$AA,20,0)-'TRADE IN'!$F538))</f>
        <v>549</v>
      </c>
      <c r="W538" s="46">
        <f>IF(VLOOKUP($C538,REV!$C:$AA,21,0)-'TRADE IN'!$F547=0,"",(VLOOKUP($C538,REV!$C:$AA,21,0)-'TRADE IN'!$F538))</f>
        <v>549</v>
      </c>
      <c r="X538" s="46">
        <f>IF(VLOOKUP($C538,REV!$C:$AA,22,0)-'TRADE IN'!$F547=0,"",(VLOOKUP($C538,REV!$C:$AA,22,0)-'TRADE IN'!$F538))</f>
        <v>549</v>
      </c>
      <c r="Y538" s="46">
        <f>IF(VLOOKUP($C538,REV!$C:$AA,23,0)-'TRADE IN'!$F547=0,"",(VLOOKUP($C538,REV!$C:$AA,23,0)-'TRADE IN'!$F538))</f>
        <v>549</v>
      </c>
      <c r="Z538" s="46">
        <f>IF(VLOOKUP($C538,REV!$C:$AA,24,0)-'TRADE IN'!$F547=0,"",(VLOOKUP($C538,REV!$C:$AA,24,0)-'TRADE IN'!$F538))</f>
        <v>549</v>
      </c>
      <c r="AA538" s="46">
        <f>IF(VLOOKUP($C538,REV!$C:$AA,25,0)-'TRADE IN'!$F547=0,"",(VLOOKUP($C538,REV!$C:$AA,25,0)-'TRADE IN'!$F538))</f>
        <v>549</v>
      </c>
      <c r="AB538" s="46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7"/>
      <c r="AW538" s="48" t="str">
        <f>IF(REV!AW538=0,"",REV!AW538)</f>
        <v>31.03.2026</v>
      </c>
      <c r="AX538" s="159" t="s">
        <v>82</v>
      </c>
    </row>
    <row r="539" spans="1:50" ht="22.5" customHeight="1">
      <c r="A539" s="50" t="s">
        <v>61</v>
      </c>
      <c r="B539" s="41" t="s">
        <v>62</v>
      </c>
      <c r="C539" s="42">
        <v>4015468</v>
      </c>
      <c r="D539" s="44" t="s">
        <v>751</v>
      </c>
      <c r="E539" s="44" t="s">
        <v>752</v>
      </c>
      <c r="F539" s="45"/>
      <c r="G539" s="45"/>
      <c r="H539" s="45"/>
      <c r="I539" s="45"/>
      <c r="J539" s="46">
        <f>IF(VLOOKUP($C539,REV!$C:$AA,8,0)-'TRADE IN'!$F539=0,"",(VLOOKUP($C539,REV!$C:$AA,8,0)-'TRADE IN'!$F539))</f>
        <v>1699</v>
      </c>
      <c r="K539" s="46">
        <f>IF(VLOOKUP($C539,REV!$C:$AA,9,0)-'TRADE IN'!$F539=0,"",(VLOOKUP($C539,REV!$C:$AA,9,0)-'TRADE IN'!$F539))</f>
        <v>1699</v>
      </c>
      <c r="L539" s="46">
        <f>IF(VLOOKUP($C539,REV!$C:$AA,10,0)-'TRADE IN'!$F548=0,"",(VLOOKUP($C539,REV!$C:$AA,10,0)-'TRADE IN'!$F539))</f>
        <v>1699</v>
      </c>
      <c r="M539" s="46">
        <f>IF(VLOOKUP($C539,REV!$C:$AA,11,0)-'TRADE IN'!$F548=0,"",(VLOOKUP($C539,REV!$C:$AA,11,0)-'TRADE IN'!$F539))</f>
        <v>1699</v>
      </c>
      <c r="N539" s="46">
        <f>IF(VLOOKUP($C539,REV!$C:$AA,12,0)-'TRADE IN'!$F548=0,"",(VLOOKUP($C539,REV!$C:$AA,12,0)-'TRADE IN'!$F539))</f>
        <v>1699</v>
      </c>
      <c r="O539" s="46">
        <f>IF(VLOOKUP($C539,REV!$C:$AA,13,0)-'TRADE IN'!$F548=0,"",(VLOOKUP($C539,REV!$C:$AA,13,0)-'TRADE IN'!$F539))</f>
        <v>1649</v>
      </c>
      <c r="P539" s="46">
        <f>IF(VLOOKUP($C539,REV!$C:$AA,14,0)-'TRADE IN'!$F548=0,"",(VLOOKUP($C539,REV!$C:$AA,14,0)-'TRADE IN'!$F539))</f>
        <v>1499</v>
      </c>
      <c r="Q539" s="46">
        <f>IF(VLOOKUP($C539,REV!$C:$AA,15,0)-'TRADE IN'!$F548=0,"",(VLOOKUP($C539,REV!$C:$AA,15,0)-'TRADE IN'!$F539))</f>
        <v>1299</v>
      </c>
      <c r="R539" s="46">
        <f>IF(VLOOKUP($C539,REV!$C:$AA,16,0)-'TRADE IN'!$F548=0,"",(VLOOKUP($C539,REV!$C:$AA,16,0)-'TRADE IN'!$F539))</f>
        <v>1649</v>
      </c>
      <c r="S539" s="46">
        <f>IF(VLOOKUP($C539,REV!$C:$AA,17,0)-'TRADE IN'!$F548=0,"",(VLOOKUP($C539,REV!$C:$AA,17,0)-'TRADE IN'!$F539))</f>
        <v>1499</v>
      </c>
      <c r="T539" s="46">
        <f>IF(VLOOKUP($C539,REV!$C:$AA,18,0)-'TRADE IN'!$F548=0,"",(VLOOKUP($C539,REV!$C:$AA,18,0)-'TRADE IN'!$F539))</f>
        <v>1299</v>
      </c>
      <c r="U539" s="46">
        <f>IF(VLOOKUP($C539,REV!$C:$AA,19,0)-'TRADE IN'!$F548=0,"",(VLOOKUP($C539,REV!$C:$AA,19,0)-'TRADE IN'!$F539))</f>
        <v>1299</v>
      </c>
      <c r="V539" s="46">
        <f>IF(VLOOKUP($C539,REV!$C:$AA,20,0)-'TRADE IN'!$F548=0,"",(VLOOKUP($C539,REV!$C:$AA,20,0)-'TRADE IN'!$F539))</f>
        <v>1299</v>
      </c>
      <c r="W539" s="46">
        <f>IF(VLOOKUP($C539,REV!$C:$AA,21,0)-'TRADE IN'!$F548=0,"",(VLOOKUP($C539,REV!$C:$AA,21,0)-'TRADE IN'!$F539))</f>
        <v>1299</v>
      </c>
      <c r="X539" s="46">
        <f>IF(VLOOKUP($C539,REV!$C:$AA,22,0)-'TRADE IN'!$F548=0,"",(VLOOKUP($C539,REV!$C:$AA,22,0)-'TRADE IN'!$F539))</f>
        <v>1199</v>
      </c>
      <c r="Y539" s="46">
        <f>IF(VLOOKUP($C539,REV!$C:$AA,23,0)-'TRADE IN'!$F548=0,"",(VLOOKUP($C539,REV!$C:$AA,23,0)-'TRADE IN'!$F539))</f>
        <v>999</v>
      </c>
      <c r="Z539" s="46">
        <f>IF(VLOOKUP($C539,REV!$C:$AA,24,0)-'TRADE IN'!$F548=0,"",(VLOOKUP($C539,REV!$C:$AA,24,0)-'TRADE IN'!$F539))</f>
        <v>999</v>
      </c>
      <c r="AA539" s="46">
        <f>IF(VLOOKUP($C539,REV!$C:$AA,25,0)-'TRADE IN'!$F548=0,"",(VLOOKUP($C539,REV!$C:$AA,25,0)-'TRADE IN'!$F539))</f>
        <v>949</v>
      </c>
      <c r="AB539" s="46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7"/>
      <c r="AW539" s="48" t="str">
        <f>IF(REV!AW539=0,"",REV!AW539)</f>
        <v>31.03.2026</v>
      </c>
      <c r="AX539" s="159" t="s">
        <v>82</v>
      </c>
    </row>
    <row r="540" spans="1:50" ht="22.5" customHeight="1">
      <c r="A540" s="50" t="s">
        <v>61</v>
      </c>
      <c r="B540" s="41" t="s">
        <v>62</v>
      </c>
      <c r="C540" s="42">
        <v>4015472</v>
      </c>
      <c r="D540" s="44" t="s">
        <v>751</v>
      </c>
      <c r="E540" s="44" t="s">
        <v>753</v>
      </c>
      <c r="F540" s="45"/>
      <c r="G540" s="45"/>
      <c r="H540" s="45"/>
      <c r="I540" s="45"/>
      <c r="J540" s="46">
        <f>IF(VLOOKUP($C540,REV!$C:$AA,8,0)-'TRADE IN'!$F540=0,"",(VLOOKUP($C540,REV!$C:$AA,8,0)-'TRADE IN'!$F540))</f>
        <v>1699</v>
      </c>
      <c r="K540" s="46">
        <f>IF(VLOOKUP($C540,REV!$C:$AA,9,0)-'TRADE IN'!$F540=0,"",(VLOOKUP($C540,REV!$C:$AA,9,0)-'TRADE IN'!$F540))</f>
        <v>1699</v>
      </c>
      <c r="L540" s="46">
        <f>IF(VLOOKUP($C540,REV!$C:$AA,10,0)-'TRADE IN'!$F549=0,"",(VLOOKUP($C540,REV!$C:$AA,10,0)-'TRADE IN'!$F540))</f>
        <v>1699</v>
      </c>
      <c r="M540" s="46">
        <f>IF(VLOOKUP($C540,REV!$C:$AA,11,0)-'TRADE IN'!$F549=0,"",(VLOOKUP($C540,REV!$C:$AA,11,0)-'TRADE IN'!$F540))</f>
        <v>1699</v>
      </c>
      <c r="N540" s="46">
        <f>IF(VLOOKUP($C540,REV!$C:$AA,12,0)-'TRADE IN'!$F549=0,"",(VLOOKUP($C540,REV!$C:$AA,12,0)-'TRADE IN'!$F540))</f>
        <v>1699</v>
      </c>
      <c r="O540" s="46">
        <f>IF(VLOOKUP($C540,REV!$C:$AA,13,0)-'TRADE IN'!$F549=0,"",(VLOOKUP($C540,REV!$C:$AA,13,0)-'TRADE IN'!$F540))</f>
        <v>1649</v>
      </c>
      <c r="P540" s="46">
        <f>IF(VLOOKUP($C540,REV!$C:$AA,14,0)-'TRADE IN'!$F549=0,"",(VLOOKUP($C540,REV!$C:$AA,14,0)-'TRADE IN'!$F540))</f>
        <v>1499</v>
      </c>
      <c r="Q540" s="46">
        <f>IF(VLOOKUP($C540,REV!$C:$AA,15,0)-'TRADE IN'!$F549=0,"",(VLOOKUP($C540,REV!$C:$AA,15,0)-'TRADE IN'!$F540))</f>
        <v>1299</v>
      </c>
      <c r="R540" s="46">
        <f>IF(VLOOKUP($C540,REV!$C:$AA,16,0)-'TRADE IN'!$F549=0,"",(VLOOKUP($C540,REV!$C:$AA,16,0)-'TRADE IN'!$F540))</f>
        <v>1649</v>
      </c>
      <c r="S540" s="46">
        <f>IF(VLOOKUP($C540,REV!$C:$AA,17,0)-'TRADE IN'!$F549=0,"",(VLOOKUP($C540,REV!$C:$AA,17,0)-'TRADE IN'!$F540))</f>
        <v>1499</v>
      </c>
      <c r="T540" s="46">
        <f>IF(VLOOKUP($C540,REV!$C:$AA,18,0)-'TRADE IN'!$F549=0,"",(VLOOKUP($C540,REV!$C:$AA,18,0)-'TRADE IN'!$F540))</f>
        <v>1299</v>
      </c>
      <c r="U540" s="46">
        <f>IF(VLOOKUP($C540,REV!$C:$AA,19,0)-'TRADE IN'!$F549=0,"",(VLOOKUP($C540,REV!$C:$AA,19,0)-'TRADE IN'!$F540))</f>
        <v>1299</v>
      </c>
      <c r="V540" s="46">
        <f>IF(VLOOKUP($C540,REV!$C:$AA,20,0)-'TRADE IN'!$F549=0,"",(VLOOKUP($C540,REV!$C:$AA,20,0)-'TRADE IN'!$F540))</f>
        <v>1299</v>
      </c>
      <c r="W540" s="46">
        <f>IF(VLOOKUP($C540,REV!$C:$AA,21,0)-'TRADE IN'!$F549=0,"",(VLOOKUP($C540,REV!$C:$AA,21,0)-'TRADE IN'!$F540))</f>
        <v>1299</v>
      </c>
      <c r="X540" s="46">
        <f>IF(VLOOKUP($C540,REV!$C:$AA,22,0)-'TRADE IN'!$F549=0,"",(VLOOKUP($C540,REV!$C:$AA,22,0)-'TRADE IN'!$F540))</f>
        <v>1199</v>
      </c>
      <c r="Y540" s="46">
        <f>IF(VLOOKUP($C540,REV!$C:$AA,23,0)-'TRADE IN'!$F549=0,"",(VLOOKUP($C540,REV!$C:$AA,23,0)-'TRADE IN'!$F540))</f>
        <v>999</v>
      </c>
      <c r="Z540" s="46">
        <f>IF(VLOOKUP($C540,REV!$C:$AA,24,0)-'TRADE IN'!$F549=0,"",(VLOOKUP($C540,REV!$C:$AA,24,0)-'TRADE IN'!$F540))</f>
        <v>999</v>
      </c>
      <c r="AA540" s="46">
        <f>IF(VLOOKUP($C540,REV!$C:$AA,25,0)-'TRADE IN'!$F549=0,"",(VLOOKUP($C540,REV!$C:$AA,25,0)-'TRADE IN'!$F540))</f>
        <v>949</v>
      </c>
      <c r="AB540" s="46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7"/>
      <c r="AW540" s="48" t="str">
        <f>IF(REV!AW540=0,"",REV!AW540)</f>
        <v>31.03.2026</v>
      </c>
      <c r="AX540" s="159" t="s">
        <v>82</v>
      </c>
    </row>
    <row r="541" spans="1:50" ht="22.5" customHeight="1">
      <c r="A541" s="50" t="s">
        <v>61</v>
      </c>
      <c r="B541" s="41" t="s">
        <v>62</v>
      </c>
      <c r="C541" s="42">
        <v>4015476</v>
      </c>
      <c r="D541" s="44" t="s">
        <v>751</v>
      </c>
      <c r="E541" s="44" t="s">
        <v>754</v>
      </c>
      <c r="F541" s="45"/>
      <c r="G541" s="45"/>
      <c r="H541" s="45"/>
      <c r="I541" s="45"/>
      <c r="J541" s="46">
        <f>IF(VLOOKUP($C541,REV!$C:$AA,8,0)-'TRADE IN'!$F541=0,"",(VLOOKUP($C541,REV!$C:$AA,8,0)-'TRADE IN'!$F541))</f>
        <v>1699</v>
      </c>
      <c r="K541" s="46">
        <f>IF(VLOOKUP($C541,REV!$C:$AA,9,0)-'TRADE IN'!$F541=0,"",(VLOOKUP($C541,REV!$C:$AA,9,0)-'TRADE IN'!$F541))</f>
        <v>1699</v>
      </c>
      <c r="L541" s="46">
        <f>IF(VLOOKUP($C541,REV!$C:$AA,10,0)-'TRADE IN'!$F550=0,"",(VLOOKUP($C541,REV!$C:$AA,10,0)-'TRADE IN'!$F541))</f>
        <v>1699</v>
      </c>
      <c r="M541" s="46">
        <f>IF(VLOOKUP($C541,REV!$C:$AA,11,0)-'TRADE IN'!$F550=0,"",(VLOOKUP($C541,REV!$C:$AA,11,0)-'TRADE IN'!$F541))</f>
        <v>1699</v>
      </c>
      <c r="N541" s="46">
        <f>IF(VLOOKUP($C541,REV!$C:$AA,12,0)-'TRADE IN'!$F550=0,"",(VLOOKUP($C541,REV!$C:$AA,12,0)-'TRADE IN'!$F541))</f>
        <v>1699</v>
      </c>
      <c r="O541" s="46">
        <f>IF(VLOOKUP($C541,REV!$C:$AA,13,0)-'TRADE IN'!$F550=0,"",(VLOOKUP($C541,REV!$C:$AA,13,0)-'TRADE IN'!$F541))</f>
        <v>1649</v>
      </c>
      <c r="P541" s="46">
        <f>IF(VLOOKUP($C541,REV!$C:$AA,14,0)-'TRADE IN'!$F550=0,"",(VLOOKUP($C541,REV!$C:$AA,14,0)-'TRADE IN'!$F541))</f>
        <v>1499</v>
      </c>
      <c r="Q541" s="46">
        <f>IF(VLOOKUP($C541,REV!$C:$AA,15,0)-'TRADE IN'!$F550=0,"",(VLOOKUP($C541,REV!$C:$AA,15,0)-'TRADE IN'!$F541))</f>
        <v>1299</v>
      </c>
      <c r="R541" s="46">
        <f>IF(VLOOKUP($C541,REV!$C:$AA,16,0)-'TRADE IN'!$F550=0,"",(VLOOKUP($C541,REV!$C:$AA,16,0)-'TRADE IN'!$F541))</f>
        <v>1649</v>
      </c>
      <c r="S541" s="46">
        <f>IF(VLOOKUP($C541,REV!$C:$AA,17,0)-'TRADE IN'!$F550=0,"",(VLOOKUP($C541,REV!$C:$AA,17,0)-'TRADE IN'!$F541))</f>
        <v>1499</v>
      </c>
      <c r="T541" s="46">
        <f>IF(VLOOKUP($C541,REV!$C:$AA,18,0)-'TRADE IN'!$F550=0,"",(VLOOKUP($C541,REV!$C:$AA,18,0)-'TRADE IN'!$F541))</f>
        <v>1299</v>
      </c>
      <c r="U541" s="46">
        <f>IF(VLOOKUP($C541,REV!$C:$AA,19,0)-'TRADE IN'!$F550=0,"",(VLOOKUP($C541,REV!$C:$AA,19,0)-'TRADE IN'!$F541))</f>
        <v>1299</v>
      </c>
      <c r="V541" s="46">
        <f>IF(VLOOKUP($C541,REV!$C:$AA,20,0)-'TRADE IN'!$F550=0,"",(VLOOKUP($C541,REV!$C:$AA,20,0)-'TRADE IN'!$F541))</f>
        <v>1299</v>
      </c>
      <c r="W541" s="46">
        <f>IF(VLOOKUP($C541,REV!$C:$AA,21,0)-'TRADE IN'!$F550=0,"",(VLOOKUP($C541,REV!$C:$AA,21,0)-'TRADE IN'!$F541))</f>
        <v>1299</v>
      </c>
      <c r="X541" s="46">
        <f>IF(VLOOKUP($C541,REV!$C:$AA,22,0)-'TRADE IN'!$F550=0,"",(VLOOKUP($C541,REV!$C:$AA,22,0)-'TRADE IN'!$F541))</f>
        <v>1199</v>
      </c>
      <c r="Y541" s="46">
        <f>IF(VLOOKUP($C541,REV!$C:$AA,23,0)-'TRADE IN'!$F550=0,"",(VLOOKUP($C541,REV!$C:$AA,23,0)-'TRADE IN'!$F541))</f>
        <v>999</v>
      </c>
      <c r="Z541" s="46">
        <f>IF(VLOOKUP($C541,REV!$C:$AA,24,0)-'TRADE IN'!$F550=0,"",(VLOOKUP($C541,REV!$C:$AA,24,0)-'TRADE IN'!$F541))</f>
        <v>999</v>
      </c>
      <c r="AA541" s="46">
        <f>IF(VLOOKUP($C541,REV!$C:$AA,25,0)-'TRADE IN'!$F550=0,"",(VLOOKUP($C541,REV!$C:$AA,25,0)-'TRADE IN'!$F541))</f>
        <v>949</v>
      </c>
      <c r="AB541" s="46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7"/>
      <c r="AW541" s="48" t="str">
        <f>IF(REV!AW541=0,"",REV!AW541)</f>
        <v>31.03.2026</v>
      </c>
      <c r="AX541" s="159" t="s">
        <v>82</v>
      </c>
    </row>
    <row r="542" spans="1:50" ht="22.5" customHeight="1">
      <c r="A542" s="50" t="s">
        <v>61</v>
      </c>
      <c r="B542" s="41" t="s">
        <v>62</v>
      </c>
      <c r="C542" s="42">
        <v>4015478</v>
      </c>
      <c r="D542" s="44" t="s">
        <v>751</v>
      </c>
      <c r="E542" s="44" t="s">
        <v>755</v>
      </c>
      <c r="F542" s="45"/>
      <c r="G542" s="45"/>
      <c r="H542" s="45"/>
      <c r="I542" s="45"/>
      <c r="J542" s="46">
        <f>IF(VLOOKUP($C542,REV!$C:$AA,8,0)-'TRADE IN'!$F542=0,"",(VLOOKUP($C542,REV!$C:$AA,8,0)-'TRADE IN'!$F542))</f>
        <v>1699</v>
      </c>
      <c r="K542" s="46">
        <f>IF(VLOOKUP($C542,REV!$C:$AA,9,0)-'TRADE IN'!$F542=0,"",(VLOOKUP($C542,REV!$C:$AA,9,0)-'TRADE IN'!$F542))</f>
        <v>1699</v>
      </c>
      <c r="L542" s="46">
        <f>IF(VLOOKUP($C542,REV!$C:$AA,10,0)-'TRADE IN'!$F551=0,"",(VLOOKUP($C542,REV!$C:$AA,10,0)-'TRADE IN'!$F542))</f>
        <v>1699</v>
      </c>
      <c r="M542" s="46">
        <f>IF(VLOOKUP($C542,REV!$C:$AA,11,0)-'TRADE IN'!$F551=0,"",(VLOOKUP($C542,REV!$C:$AA,11,0)-'TRADE IN'!$F542))</f>
        <v>1699</v>
      </c>
      <c r="N542" s="46">
        <f>IF(VLOOKUP($C542,REV!$C:$AA,12,0)-'TRADE IN'!$F551=0,"",(VLOOKUP($C542,REV!$C:$AA,12,0)-'TRADE IN'!$F542))</f>
        <v>1699</v>
      </c>
      <c r="O542" s="46">
        <f>IF(VLOOKUP($C542,REV!$C:$AA,13,0)-'TRADE IN'!$F551=0,"",(VLOOKUP($C542,REV!$C:$AA,13,0)-'TRADE IN'!$F542))</f>
        <v>1649</v>
      </c>
      <c r="P542" s="46">
        <f>IF(VLOOKUP($C542,REV!$C:$AA,14,0)-'TRADE IN'!$F551=0,"",(VLOOKUP($C542,REV!$C:$AA,14,0)-'TRADE IN'!$F542))</f>
        <v>1499</v>
      </c>
      <c r="Q542" s="46">
        <f>IF(VLOOKUP($C542,REV!$C:$AA,15,0)-'TRADE IN'!$F551=0,"",(VLOOKUP($C542,REV!$C:$AA,15,0)-'TRADE IN'!$F542))</f>
        <v>1299</v>
      </c>
      <c r="R542" s="46">
        <f>IF(VLOOKUP($C542,REV!$C:$AA,16,0)-'TRADE IN'!$F551=0,"",(VLOOKUP($C542,REV!$C:$AA,16,0)-'TRADE IN'!$F542))</f>
        <v>1649</v>
      </c>
      <c r="S542" s="46">
        <f>IF(VLOOKUP($C542,REV!$C:$AA,17,0)-'TRADE IN'!$F551=0,"",(VLOOKUP($C542,REV!$C:$AA,17,0)-'TRADE IN'!$F542))</f>
        <v>1499</v>
      </c>
      <c r="T542" s="46">
        <f>IF(VLOOKUP($C542,REV!$C:$AA,18,0)-'TRADE IN'!$F551=0,"",(VLOOKUP($C542,REV!$C:$AA,18,0)-'TRADE IN'!$F542))</f>
        <v>1299</v>
      </c>
      <c r="U542" s="46">
        <f>IF(VLOOKUP($C542,REV!$C:$AA,19,0)-'TRADE IN'!$F551=0,"",(VLOOKUP($C542,REV!$C:$AA,19,0)-'TRADE IN'!$F542))</f>
        <v>1299</v>
      </c>
      <c r="V542" s="46">
        <f>IF(VLOOKUP($C542,REV!$C:$AA,20,0)-'TRADE IN'!$F551=0,"",(VLOOKUP($C542,REV!$C:$AA,20,0)-'TRADE IN'!$F542))</f>
        <v>1299</v>
      </c>
      <c r="W542" s="46">
        <f>IF(VLOOKUP($C542,REV!$C:$AA,21,0)-'TRADE IN'!$F551=0,"",(VLOOKUP($C542,REV!$C:$AA,21,0)-'TRADE IN'!$F542))</f>
        <v>1299</v>
      </c>
      <c r="X542" s="46">
        <f>IF(VLOOKUP($C542,REV!$C:$AA,22,0)-'TRADE IN'!$F551=0,"",(VLOOKUP($C542,REV!$C:$AA,22,0)-'TRADE IN'!$F542))</f>
        <v>1199</v>
      </c>
      <c r="Y542" s="46">
        <f>IF(VLOOKUP($C542,REV!$C:$AA,23,0)-'TRADE IN'!$F551=0,"",(VLOOKUP($C542,REV!$C:$AA,23,0)-'TRADE IN'!$F542))</f>
        <v>999</v>
      </c>
      <c r="Z542" s="46">
        <f>IF(VLOOKUP($C542,REV!$C:$AA,24,0)-'TRADE IN'!$F551=0,"",(VLOOKUP($C542,REV!$C:$AA,24,0)-'TRADE IN'!$F542))</f>
        <v>999</v>
      </c>
      <c r="AA542" s="46">
        <f>IF(VLOOKUP($C542,REV!$C:$AA,25,0)-'TRADE IN'!$F551=0,"",(VLOOKUP($C542,REV!$C:$AA,25,0)-'TRADE IN'!$F542))</f>
        <v>949</v>
      </c>
      <c r="AB542" s="46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7"/>
      <c r="AW542" s="48" t="str">
        <f>IF(REV!AW542=0,"",REV!AW542)</f>
        <v>31.03.2026</v>
      </c>
      <c r="AX542" s="159" t="s">
        <v>82</v>
      </c>
    </row>
    <row r="543" spans="1:50" ht="22.5" customHeight="1">
      <c r="A543" s="50" t="s">
        <v>61</v>
      </c>
      <c r="B543" s="41" t="s">
        <v>62</v>
      </c>
      <c r="C543" s="42">
        <v>4015480</v>
      </c>
      <c r="D543" s="44" t="s">
        <v>751</v>
      </c>
      <c r="E543" s="44" t="s">
        <v>756</v>
      </c>
      <c r="F543" s="45"/>
      <c r="G543" s="45"/>
      <c r="H543" s="45"/>
      <c r="I543" s="45"/>
      <c r="J543" s="46">
        <f>IF(VLOOKUP($C543,REV!$C:$AA,8,0)-'TRADE IN'!$F543=0,"",(VLOOKUP($C543,REV!$C:$AA,8,0)-'TRADE IN'!$F543))</f>
        <v>1699</v>
      </c>
      <c r="K543" s="46">
        <f>IF(VLOOKUP($C543,REV!$C:$AA,9,0)-'TRADE IN'!$F543=0,"",(VLOOKUP($C543,REV!$C:$AA,9,0)-'TRADE IN'!$F543))</f>
        <v>1699</v>
      </c>
      <c r="L543" s="46">
        <f>IF(VLOOKUP($C543,REV!$C:$AA,10,0)-'TRADE IN'!$F552=0,"",(VLOOKUP($C543,REV!$C:$AA,10,0)-'TRADE IN'!$F543))</f>
        <v>1699</v>
      </c>
      <c r="M543" s="46">
        <f>IF(VLOOKUP($C543,REV!$C:$AA,11,0)-'TRADE IN'!$F552=0,"",(VLOOKUP($C543,REV!$C:$AA,11,0)-'TRADE IN'!$F543))</f>
        <v>1699</v>
      </c>
      <c r="N543" s="46">
        <f>IF(VLOOKUP($C543,REV!$C:$AA,12,0)-'TRADE IN'!$F552=0,"",(VLOOKUP($C543,REV!$C:$AA,12,0)-'TRADE IN'!$F543))</f>
        <v>1699</v>
      </c>
      <c r="O543" s="46">
        <f>IF(VLOOKUP($C543,REV!$C:$AA,13,0)-'TRADE IN'!$F552=0,"",(VLOOKUP($C543,REV!$C:$AA,13,0)-'TRADE IN'!$F543))</f>
        <v>1649</v>
      </c>
      <c r="P543" s="46">
        <f>IF(VLOOKUP($C543,REV!$C:$AA,14,0)-'TRADE IN'!$F552=0,"",(VLOOKUP($C543,REV!$C:$AA,14,0)-'TRADE IN'!$F543))</f>
        <v>1499</v>
      </c>
      <c r="Q543" s="46">
        <f>IF(VLOOKUP($C543,REV!$C:$AA,15,0)-'TRADE IN'!$F552=0,"",(VLOOKUP($C543,REV!$C:$AA,15,0)-'TRADE IN'!$F543))</f>
        <v>1299</v>
      </c>
      <c r="R543" s="46">
        <f>IF(VLOOKUP($C543,REV!$C:$AA,16,0)-'TRADE IN'!$F552=0,"",(VLOOKUP($C543,REV!$C:$AA,16,0)-'TRADE IN'!$F543))</f>
        <v>1649</v>
      </c>
      <c r="S543" s="46">
        <f>IF(VLOOKUP($C543,REV!$C:$AA,17,0)-'TRADE IN'!$F552=0,"",(VLOOKUP($C543,REV!$C:$AA,17,0)-'TRADE IN'!$F543))</f>
        <v>1499</v>
      </c>
      <c r="T543" s="46">
        <f>IF(VLOOKUP($C543,REV!$C:$AA,18,0)-'TRADE IN'!$F552=0,"",(VLOOKUP($C543,REV!$C:$AA,18,0)-'TRADE IN'!$F543))</f>
        <v>1299</v>
      </c>
      <c r="U543" s="46">
        <f>IF(VLOOKUP($C543,REV!$C:$AA,19,0)-'TRADE IN'!$F552=0,"",(VLOOKUP($C543,REV!$C:$AA,19,0)-'TRADE IN'!$F543))</f>
        <v>1299</v>
      </c>
      <c r="V543" s="46">
        <f>IF(VLOOKUP($C543,REV!$C:$AA,20,0)-'TRADE IN'!$F552=0,"",(VLOOKUP($C543,REV!$C:$AA,20,0)-'TRADE IN'!$F543))</f>
        <v>1299</v>
      </c>
      <c r="W543" s="46">
        <f>IF(VLOOKUP($C543,REV!$C:$AA,21,0)-'TRADE IN'!$F552=0,"",(VLOOKUP($C543,REV!$C:$AA,21,0)-'TRADE IN'!$F543))</f>
        <v>1299</v>
      </c>
      <c r="X543" s="46">
        <f>IF(VLOOKUP($C543,REV!$C:$AA,22,0)-'TRADE IN'!$F552=0,"",(VLOOKUP($C543,REV!$C:$AA,22,0)-'TRADE IN'!$F543))</f>
        <v>1199</v>
      </c>
      <c r="Y543" s="46">
        <f>IF(VLOOKUP($C543,REV!$C:$AA,23,0)-'TRADE IN'!$F552=0,"",(VLOOKUP($C543,REV!$C:$AA,23,0)-'TRADE IN'!$F543))</f>
        <v>999</v>
      </c>
      <c r="Z543" s="46">
        <f>IF(VLOOKUP($C543,REV!$C:$AA,24,0)-'TRADE IN'!$F552=0,"",(VLOOKUP($C543,REV!$C:$AA,24,0)-'TRADE IN'!$F543))</f>
        <v>999</v>
      </c>
      <c r="AA543" s="46">
        <f>IF(VLOOKUP($C543,REV!$C:$AA,25,0)-'TRADE IN'!$F552=0,"",(VLOOKUP($C543,REV!$C:$AA,25,0)-'TRADE IN'!$F543))</f>
        <v>949</v>
      </c>
      <c r="AB543" s="46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7"/>
      <c r="AW543" s="48" t="str">
        <f>IF(REV!AW543=0,"",REV!AW543)</f>
        <v>31.03.2026</v>
      </c>
      <c r="AX543" s="159" t="s">
        <v>82</v>
      </c>
    </row>
    <row r="544" spans="1:50" ht="22.5" customHeight="1">
      <c r="A544" s="50" t="s">
        <v>61</v>
      </c>
      <c r="B544" s="41" t="s">
        <v>62</v>
      </c>
      <c r="C544" s="42">
        <v>4015481</v>
      </c>
      <c r="D544" s="44" t="s">
        <v>751</v>
      </c>
      <c r="E544" s="44" t="s">
        <v>757</v>
      </c>
      <c r="F544" s="45"/>
      <c r="G544" s="45"/>
      <c r="H544" s="45"/>
      <c r="I544" s="45"/>
      <c r="J544" s="46">
        <f>IF(VLOOKUP($C544,REV!$C:$AA,8,0)-'TRADE IN'!$F544=0,"",(VLOOKUP($C544,REV!$C:$AA,8,0)-'TRADE IN'!$F544))</f>
        <v>1699</v>
      </c>
      <c r="K544" s="46">
        <f>IF(VLOOKUP($C544,REV!$C:$AA,9,0)-'TRADE IN'!$F544=0,"",(VLOOKUP($C544,REV!$C:$AA,9,0)-'TRADE IN'!$F544))</f>
        <v>1699</v>
      </c>
      <c r="L544" s="46">
        <f>IF(VLOOKUP($C544,REV!$C:$AA,10,0)-'TRADE IN'!$F554=0,"",(VLOOKUP($C544,REV!$C:$AA,10,0)-'TRADE IN'!$F544))</f>
        <v>1699</v>
      </c>
      <c r="M544" s="46">
        <f>IF(VLOOKUP($C544,REV!$C:$AA,11,0)-'TRADE IN'!$F554=0,"",(VLOOKUP($C544,REV!$C:$AA,11,0)-'TRADE IN'!$F544))</f>
        <v>1699</v>
      </c>
      <c r="N544" s="46">
        <f>IF(VLOOKUP($C544,REV!$C:$AA,12,0)-'TRADE IN'!$F554=0,"",(VLOOKUP($C544,REV!$C:$AA,12,0)-'TRADE IN'!$F544))</f>
        <v>1699</v>
      </c>
      <c r="O544" s="46">
        <f>IF(VLOOKUP($C544,REV!$C:$AA,13,0)-'TRADE IN'!$F554=0,"",(VLOOKUP($C544,REV!$C:$AA,13,0)-'TRADE IN'!$F544))</f>
        <v>1649</v>
      </c>
      <c r="P544" s="46">
        <f>IF(VLOOKUP($C544,REV!$C:$AA,14,0)-'TRADE IN'!$F554=0,"",(VLOOKUP($C544,REV!$C:$AA,14,0)-'TRADE IN'!$F544))</f>
        <v>1499</v>
      </c>
      <c r="Q544" s="46">
        <f>IF(VLOOKUP($C544,REV!$C:$AA,15,0)-'TRADE IN'!$F554=0,"",(VLOOKUP($C544,REV!$C:$AA,15,0)-'TRADE IN'!$F544))</f>
        <v>1299</v>
      </c>
      <c r="R544" s="46">
        <f>IF(VLOOKUP($C544,REV!$C:$AA,16,0)-'TRADE IN'!$F554=0,"",(VLOOKUP($C544,REV!$C:$AA,16,0)-'TRADE IN'!$F544))</f>
        <v>1649</v>
      </c>
      <c r="S544" s="46">
        <f>IF(VLOOKUP($C544,REV!$C:$AA,17,0)-'TRADE IN'!$F554=0,"",(VLOOKUP($C544,REV!$C:$AA,17,0)-'TRADE IN'!$F544))</f>
        <v>1499</v>
      </c>
      <c r="T544" s="46">
        <f>IF(VLOOKUP($C544,REV!$C:$AA,18,0)-'TRADE IN'!$F554=0,"",(VLOOKUP($C544,REV!$C:$AA,18,0)-'TRADE IN'!$F544))</f>
        <v>1299</v>
      </c>
      <c r="U544" s="46">
        <f>IF(VLOOKUP($C544,REV!$C:$AA,19,0)-'TRADE IN'!$F554=0,"",(VLOOKUP($C544,REV!$C:$AA,19,0)-'TRADE IN'!$F544))</f>
        <v>1299</v>
      </c>
      <c r="V544" s="46">
        <f>IF(VLOOKUP($C544,REV!$C:$AA,20,0)-'TRADE IN'!$F554=0,"",(VLOOKUP($C544,REV!$C:$AA,20,0)-'TRADE IN'!$F544))</f>
        <v>1299</v>
      </c>
      <c r="W544" s="46">
        <f>IF(VLOOKUP($C544,REV!$C:$AA,21,0)-'TRADE IN'!$F554=0,"",(VLOOKUP($C544,REV!$C:$AA,21,0)-'TRADE IN'!$F544))</f>
        <v>1299</v>
      </c>
      <c r="X544" s="46">
        <f>IF(VLOOKUP($C544,REV!$C:$AA,22,0)-'TRADE IN'!$F554=0,"",(VLOOKUP($C544,REV!$C:$AA,22,0)-'TRADE IN'!$F544))</f>
        <v>1199</v>
      </c>
      <c r="Y544" s="46">
        <f>IF(VLOOKUP($C544,REV!$C:$AA,23,0)-'TRADE IN'!$F554=0,"",(VLOOKUP($C544,REV!$C:$AA,23,0)-'TRADE IN'!$F544))</f>
        <v>999</v>
      </c>
      <c r="Z544" s="46">
        <f>IF(VLOOKUP($C544,REV!$C:$AA,24,0)-'TRADE IN'!$F554=0,"",(VLOOKUP($C544,REV!$C:$AA,24,0)-'TRADE IN'!$F544))</f>
        <v>999</v>
      </c>
      <c r="AA544" s="46">
        <f>IF(VLOOKUP($C544,REV!$C:$AA,25,0)-'TRADE IN'!$F554=0,"",(VLOOKUP($C544,REV!$C:$AA,25,0)-'TRADE IN'!$F544))</f>
        <v>949</v>
      </c>
      <c r="AB544" s="46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7"/>
      <c r="AW544" s="48" t="str">
        <f>IF(REV!AW544=0,"",REV!AW544)</f>
        <v>31.03.2026</v>
      </c>
      <c r="AX544" s="159" t="s">
        <v>82</v>
      </c>
    </row>
    <row r="545" spans="1:50" ht="22.5" customHeight="1">
      <c r="A545" s="50" t="s">
        <v>61</v>
      </c>
      <c r="B545" s="41" t="s">
        <v>62</v>
      </c>
      <c r="C545" s="42">
        <v>4015914</v>
      </c>
      <c r="D545" s="44" t="s">
        <v>751</v>
      </c>
      <c r="E545" s="44" t="s">
        <v>758</v>
      </c>
      <c r="F545" s="45"/>
      <c r="G545" s="45"/>
      <c r="H545" s="45"/>
      <c r="I545" s="45"/>
      <c r="J545" s="46">
        <f>IF(VLOOKUP($C545,REV!$C:$AA,8,0)-'TRADE IN'!$F545=0,"",(VLOOKUP($C545,REV!$C:$AA,8,0)-'TRADE IN'!$F545))</f>
        <v>1699</v>
      </c>
      <c r="K545" s="46">
        <f>IF(VLOOKUP($C545,REV!$C:$AA,9,0)-'TRADE IN'!$F545=0,"",(VLOOKUP($C545,REV!$C:$AA,9,0)-'TRADE IN'!$F545))</f>
        <v>1699</v>
      </c>
      <c r="L545" s="46">
        <f>IF(VLOOKUP($C545,REV!$C:$AA,10,0)-'TRADE IN'!$F556=0,"",(VLOOKUP($C545,REV!$C:$AA,10,0)-'TRADE IN'!$F545))</f>
        <v>1699</v>
      </c>
      <c r="M545" s="46">
        <f>IF(VLOOKUP($C545,REV!$C:$AA,11,0)-'TRADE IN'!$F556=0,"",(VLOOKUP($C545,REV!$C:$AA,11,0)-'TRADE IN'!$F545))</f>
        <v>1699</v>
      </c>
      <c r="N545" s="46">
        <f>IF(VLOOKUP($C545,REV!$C:$AA,12,0)-'TRADE IN'!$F556=0,"",(VLOOKUP($C545,REV!$C:$AA,12,0)-'TRADE IN'!$F545))</f>
        <v>1699</v>
      </c>
      <c r="O545" s="46">
        <f>IF(VLOOKUP($C545,REV!$C:$AA,13,0)-'TRADE IN'!$F556=0,"",(VLOOKUP($C545,REV!$C:$AA,13,0)-'TRADE IN'!$F545))</f>
        <v>1649</v>
      </c>
      <c r="P545" s="46">
        <f>IF(VLOOKUP($C545,REV!$C:$AA,14,0)-'TRADE IN'!$F556=0,"",(VLOOKUP($C545,REV!$C:$AA,14,0)-'TRADE IN'!$F545))</f>
        <v>1499</v>
      </c>
      <c r="Q545" s="46">
        <f>IF(VLOOKUP($C545,REV!$C:$AA,15,0)-'TRADE IN'!$F556=0,"",(VLOOKUP($C545,REV!$C:$AA,15,0)-'TRADE IN'!$F545))</f>
        <v>1299</v>
      </c>
      <c r="R545" s="46">
        <f>IF(VLOOKUP($C545,REV!$C:$AA,16,0)-'TRADE IN'!$F556=0,"",(VLOOKUP($C545,REV!$C:$AA,16,0)-'TRADE IN'!$F545))</f>
        <v>1649</v>
      </c>
      <c r="S545" s="46">
        <f>IF(VLOOKUP($C545,REV!$C:$AA,17,0)-'TRADE IN'!$F556=0,"",(VLOOKUP($C545,REV!$C:$AA,17,0)-'TRADE IN'!$F545))</f>
        <v>1499</v>
      </c>
      <c r="T545" s="46">
        <f>IF(VLOOKUP($C545,REV!$C:$AA,18,0)-'TRADE IN'!$F556=0,"",(VLOOKUP($C545,REV!$C:$AA,18,0)-'TRADE IN'!$F545))</f>
        <v>1299</v>
      </c>
      <c r="U545" s="46">
        <f>IF(VLOOKUP($C545,REV!$C:$AA,19,0)-'TRADE IN'!$F556=0,"",(VLOOKUP($C545,REV!$C:$AA,19,0)-'TRADE IN'!$F545))</f>
        <v>1299</v>
      </c>
      <c r="V545" s="46">
        <f>IF(VLOOKUP($C545,REV!$C:$AA,20,0)-'TRADE IN'!$F556=0,"",(VLOOKUP($C545,REV!$C:$AA,20,0)-'TRADE IN'!$F545))</f>
        <v>1299</v>
      </c>
      <c r="W545" s="46">
        <f>IF(VLOOKUP($C545,REV!$C:$AA,21,0)-'TRADE IN'!$F556=0,"",(VLOOKUP($C545,REV!$C:$AA,21,0)-'TRADE IN'!$F545))</f>
        <v>1299</v>
      </c>
      <c r="X545" s="46">
        <f>IF(VLOOKUP($C545,REV!$C:$AA,22,0)-'TRADE IN'!$F556=0,"",(VLOOKUP($C545,REV!$C:$AA,22,0)-'TRADE IN'!$F545))</f>
        <v>1199</v>
      </c>
      <c r="Y545" s="46">
        <f>IF(VLOOKUP($C545,REV!$C:$AA,23,0)-'TRADE IN'!$F556=0,"",(VLOOKUP($C545,REV!$C:$AA,23,0)-'TRADE IN'!$F545))</f>
        <v>999</v>
      </c>
      <c r="Z545" s="46">
        <f>IF(VLOOKUP($C545,REV!$C:$AA,24,0)-'TRADE IN'!$F556=0,"",(VLOOKUP($C545,REV!$C:$AA,24,0)-'TRADE IN'!$F545))</f>
        <v>999</v>
      </c>
      <c r="AA545" s="46">
        <f>IF(VLOOKUP($C545,REV!$C:$AA,25,0)-'TRADE IN'!$F556=0,"",(VLOOKUP($C545,REV!$C:$AA,25,0)-'TRADE IN'!$F545))</f>
        <v>949</v>
      </c>
      <c r="AB545" s="46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7"/>
      <c r="AW545" s="48" t="str">
        <f>IF(REV!AW545=0,"",REV!AW545)</f>
        <v>31.03.2026</v>
      </c>
      <c r="AX545" s="159" t="s">
        <v>82</v>
      </c>
    </row>
    <row r="546" spans="1:50" ht="22.5" customHeight="1">
      <c r="A546" s="50" t="s">
        <v>61</v>
      </c>
      <c r="B546" s="41" t="s">
        <v>62</v>
      </c>
      <c r="C546" s="42">
        <v>4015938</v>
      </c>
      <c r="D546" s="44" t="s">
        <v>759</v>
      </c>
      <c r="E546" s="44" t="s">
        <v>760</v>
      </c>
      <c r="F546" s="45"/>
      <c r="G546" s="45"/>
      <c r="H546" s="45"/>
      <c r="I546" s="45"/>
      <c r="J546" s="46">
        <f>IF(VLOOKUP($C546,REV!$C:$AA,8,0)-'TRADE IN'!$F546=0,"",(VLOOKUP($C546,REV!$C:$AA,8,0)-'TRADE IN'!$F546))</f>
        <v>1899</v>
      </c>
      <c r="K546" s="46">
        <f>IF(VLOOKUP($C546,REV!$C:$AA,9,0)-'TRADE IN'!$F546=0,"",(VLOOKUP($C546,REV!$C:$AA,9,0)-'TRADE IN'!$F546))</f>
        <v>1799</v>
      </c>
      <c r="L546" s="46">
        <f>IF(VLOOKUP($C546,REV!$C:$AA,10,0)-'TRADE IN'!$F557=0,"",(VLOOKUP($C546,REV!$C:$AA,10,0)-'TRADE IN'!$F546))</f>
        <v>1799</v>
      </c>
      <c r="M546" s="46">
        <f>IF(VLOOKUP($C546,REV!$C:$AA,11,0)-'TRADE IN'!$F557=0,"",(VLOOKUP($C546,REV!$C:$AA,11,0)-'TRADE IN'!$F546))</f>
        <v>1899</v>
      </c>
      <c r="N546" s="46">
        <f>IF(VLOOKUP($C546,REV!$C:$AA,12,0)-'TRADE IN'!$F557=0,"",(VLOOKUP($C546,REV!$C:$AA,12,0)-'TRADE IN'!$F546))</f>
        <v>1799</v>
      </c>
      <c r="O546" s="46">
        <f>IF(VLOOKUP($C546,REV!$C:$AA,13,0)-'TRADE IN'!$F557=0,"",(VLOOKUP($C546,REV!$C:$AA,13,0)-'TRADE IN'!$F546))</f>
        <v>1749</v>
      </c>
      <c r="P546" s="46">
        <f>IF(VLOOKUP($C546,REV!$C:$AA,14,0)-'TRADE IN'!$F557=0,"",(VLOOKUP($C546,REV!$C:$AA,14,0)-'TRADE IN'!$F546))</f>
        <v>1699</v>
      </c>
      <c r="Q546" s="46">
        <f>IF(VLOOKUP($C546,REV!$C:$AA,15,0)-'TRADE IN'!$F557=0,"",(VLOOKUP($C546,REV!$C:$AA,15,0)-'TRADE IN'!$F546))</f>
        <v>1299</v>
      </c>
      <c r="R546" s="46">
        <f>IF(VLOOKUP($C546,REV!$C:$AA,16,0)-'TRADE IN'!$F557=0,"",(VLOOKUP($C546,REV!$C:$AA,16,0)-'TRADE IN'!$F546))</f>
        <v>1749</v>
      </c>
      <c r="S546" s="46">
        <f>IF(VLOOKUP($C546,REV!$C:$AA,17,0)-'TRADE IN'!$F557=0,"",(VLOOKUP($C546,REV!$C:$AA,17,0)-'TRADE IN'!$F546))</f>
        <v>1699</v>
      </c>
      <c r="T546" s="46">
        <f>IF(VLOOKUP($C546,REV!$C:$AA,18,0)-'TRADE IN'!$F557=0,"",(VLOOKUP($C546,REV!$C:$AA,18,0)-'TRADE IN'!$F546))</f>
        <v>1299</v>
      </c>
      <c r="U546" s="46">
        <f>IF(VLOOKUP($C546,REV!$C:$AA,19,0)-'TRADE IN'!$F557=0,"",(VLOOKUP($C546,REV!$C:$AA,19,0)-'TRADE IN'!$F546))</f>
        <v>1299</v>
      </c>
      <c r="V546" s="46">
        <f>IF(VLOOKUP($C546,REV!$C:$AA,20,0)-'TRADE IN'!$F557=0,"",(VLOOKUP($C546,REV!$C:$AA,20,0)-'TRADE IN'!$F546))</f>
        <v>1299</v>
      </c>
      <c r="W546" s="46">
        <f>IF(VLOOKUP($C546,REV!$C:$AA,21,0)-'TRADE IN'!$F557=0,"",(VLOOKUP($C546,REV!$C:$AA,21,0)-'TRADE IN'!$F546))</f>
        <v>1299</v>
      </c>
      <c r="X546" s="46">
        <f>IF(VLOOKUP($C546,REV!$C:$AA,22,0)-'TRADE IN'!$F557=0,"",(VLOOKUP($C546,REV!$C:$AA,22,0)-'TRADE IN'!$F546))</f>
        <v>1299</v>
      </c>
      <c r="Y546" s="46">
        <f>IF(VLOOKUP($C546,REV!$C:$AA,23,0)-'TRADE IN'!$F557=0,"",(VLOOKUP($C546,REV!$C:$AA,23,0)-'TRADE IN'!$F546))</f>
        <v>1199</v>
      </c>
      <c r="Z546" s="46">
        <f>IF(VLOOKUP($C546,REV!$C:$AA,24,0)-'TRADE IN'!$F557=0,"",(VLOOKUP($C546,REV!$C:$AA,24,0)-'TRADE IN'!$F546))</f>
        <v>1199</v>
      </c>
      <c r="AA546" s="46">
        <f>IF(VLOOKUP($C546,REV!$C:$AA,25,0)-'TRADE IN'!$F557=0,"",(VLOOKUP($C546,REV!$C:$AA,25,0)-'TRADE IN'!$F546))</f>
        <v>1199</v>
      </c>
      <c r="AB546" s="46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7"/>
      <c r="AW546" s="48" t="str">
        <f>IF(REV!AW546=0,"",REV!AW546)</f>
        <v>31.03.2026</v>
      </c>
      <c r="AX546" s="159" t="s">
        <v>82</v>
      </c>
    </row>
    <row r="547" spans="1:50" ht="22.5" customHeight="1">
      <c r="A547" s="50" t="s">
        <v>61</v>
      </c>
      <c r="B547" s="41" t="s">
        <v>62</v>
      </c>
      <c r="C547" s="42">
        <v>4016161</v>
      </c>
      <c r="D547" s="44" t="s">
        <v>759</v>
      </c>
      <c r="E547" s="44" t="s">
        <v>761</v>
      </c>
      <c r="F547" s="45"/>
      <c r="G547" s="45"/>
      <c r="H547" s="45"/>
      <c r="I547" s="45"/>
      <c r="J547" s="46">
        <f>IF(VLOOKUP($C547,REV!$C:$AA,8,0)-'TRADE IN'!$F547=0,"",(VLOOKUP($C547,REV!$C:$AA,8,0)-'TRADE IN'!$F547))</f>
        <v>1899</v>
      </c>
      <c r="K547" s="46">
        <f>IF(VLOOKUP($C547,REV!$C:$AA,9,0)-'TRADE IN'!$F547=0,"",(VLOOKUP($C547,REV!$C:$AA,9,0)-'TRADE IN'!$F547))</f>
        <v>1799</v>
      </c>
      <c r="L547" s="46">
        <f>IF(VLOOKUP($C547,REV!$C:$AA,10,0)-'TRADE IN'!$F558=0,"",(VLOOKUP($C547,REV!$C:$AA,10,0)-'TRADE IN'!$F547))</f>
        <v>1799</v>
      </c>
      <c r="M547" s="46">
        <f>IF(VLOOKUP($C547,REV!$C:$AA,11,0)-'TRADE IN'!$F558=0,"",(VLOOKUP($C547,REV!$C:$AA,11,0)-'TRADE IN'!$F547))</f>
        <v>1899</v>
      </c>
      <c r="N547" s="46">
        <f>IF(VLOOKUP($C547,REV!$C:$AA,12,0)-'TRADE IN'!$F558=0,"",(VLOOKUP($C547,REV!$C:$AA,12,0)-'TRADE IN'!$F547))</f>
        <v>1799</v>
      </c>
      <c r="O547" s="46">
        <f>IF(VLOOKUP($C547,REV!$C:$AA,13,0)-'TRADE IN'!$F558=0,"",(VLOOKUP($C547,REV!$C:$AA,13,0)-'TRADE IN'!$F547))</f>
        <v>1749</v>
      </c>
      <c r="P547" s="46">
        <f>IF(VLOOKUP($C547,REV!$C:$AA,14,0)-'TRADE IN'!$F558=0,"",(VLOOKUP($C547,REV!$C:$AA,14,0)-'TRADE IN'!$F547))</f>
        <v>1699</v>
      </c>
      <c r="Q547" s="46">
        <f>IF(VLOOKUP($C547,REV!$C:$AA,15,0)-'TRADE IN'!$F558=0,"",(VLOOKUP($C547,REV!$C:$AA,15,0)-'TRADE IN'!$F547))</f>
        <v>1299</v>
      </c>
      <c r="R547" s="46">
        <f>IF(VLOOKUP($C547,REV!$C:$AA,16,0)-'TRADE IN'!$F558=0,"",(VLOOKUP($C547,REV!$C:$AA,16,0)-'TRADE IN'!$F547))</f>
        <v>1749</v>
      </c>
      <c r="S547" s="46">
        <f>IF(VLOOKUP($C547,REV!$C:$AA,17,0)-'TRADE IN'!$F558=0,"",(VLOOKUP($C547,REV!$C:$AA,17,0)-'TRADE IN'!$F547))</f>
        <v>1699</v>
      </c>
      <c r="T547" s="46">
        <f>IF(VLOOKUP($C547,REV!$C:$AA,18,0)-'TRADE IN'!$F558=0,"",(VLOOKUP($C547,REV!$C:$AA,18,0)-'TRADE IN'!$F547))</f>
        <v>1299</v>
      </c>
      <c r="U547" s="46">
        <f>IF(VLOOKUP($C547,REV!$C:$AA,19,0)-'TRADE IN'!$F558=0,"",(VLOOKUP($C547,REV!$C:$AA,19,0)-'TRADE IN'!$F547))</f>
        <v>1299</v>
      </c>
      <c r="V547" s="46">
        <f>IF(VLOOKUP($C547,REV!$C:$AA,20,0)-'TRADE IN'!$F558=0,"",(VLOOKUP($C547,REV!$C:$AA,20,0)-'TRADE IN'!$F547))</f>
        <v>1299</v>
      </c>
      <c r="W547" s="46">
        <f>IF(VLOOKUP($C547,REV!$C:$AA,21,0)-'TRADE IN'!$F558=0,"",(VLOOKUP($C547,REV!$C:$AA,21,0)-'TRADE IN'!$F547))</f>
        <v>1299</v>
      </c>
      <c r="X547" s="46">
        <f>IF(VLOOKUP($C547,REV!$C:$AA,22,0)-'TRADE IN'!$F558=0,"",(VLOOKUP($C547,REV!$C:$AA,22,0)-'TRADE IN'!$F547))</f>
        <v>1299</v>
      </c>
      <c r="Y547" s="46">
        <f>IF(VLOOKUP($C547,REV!$C:$AA,23,0)-'TRADE IN'!$F558=0,"",(VLOOKUP($C547,REV!$C:$AA,23,0)-'TRADE IN'!$F547))</f>
        <v>1199</v>
      </c>
      <c r="Z547" s="46">
        <f>IF(VLOOKUP($C547,REV!$C:$AA,24,0)-'TRADE IN'!$F558=0,"",(VLOOKUP($C547,REV!$C:$AA,24,0)-'TRADE IN'!$F547))</f>
        <v>1199</v>
      </c>
      <c r="AA547" s="46">
        <f>IF(VLOOKUP($C547,REV!$C:$AA,25,0)-'TRADE IN'!$F558=0,"",(VLOOKUP($C547,REV!$C:$AA,25,0)-'TRADE IN'!$F547))</f>
        <v>1199</v>
      </c>
      <c r="AB547" s="46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7"/>
      <c r="AW547" s="48" t="str">
        <f>IF(REV!AW547=0,"",REV!AW547)</f>
        <v>31.03.2026</v>
      </c>
      <c r="AX547" s="159" t="s">
        <v>82</v>
      </c>
    </row>
    <row r="548" spans="1:50" ht="22.5" customHeight="1">
      <c r="A548" s="50" t="s">
        <v>61</v>
      </c>
      <c r="B548" s="41" t="s">
        <v>62</v>
      </c>
      <c r="C548" s="42">
        <v>4015933</v>
      </c>
      <c r="D548" s="44" t="s">
        <v>759</v>
      </c>
      <c r="E548" s="44" t="s">
        <v>762</v>
      </c>
      <c r="F548" s="45"/>
      <c r="G548" s="45"/>
      <c r="H548" s="45"/>
      <c r="I548" s="45"/>
      <c r="J548" s="46">
        <f>IF(VLOOKUP($C548,REV!$C:$AA,8,0)-'TRADE IN'!$F548=0,"",(VLOOKUP($C548,REV!$C:$AA,8,0)-'TRADE IN'!$F548))</f>
        <v>1899</v>
      </c>
      <c r="K548" s="46">
        <f>IF(VLOOKUP($C548,REV!$C:$AA,9,0)-'TRADE IN'!$F548=0,"",(VLOOKUP($C548,REV!$C:$AA,9,0)-'TRADE IN'!$F548))</f>
        <v>1799</v>
      </c>
      <c r="L548" s="46">
        <f>IF(VLOOKUP($C548,REV!$C:$AA,10,0)-'TRADE IN'!$F559=0,"",(VLOOKUP($C548,REV!$C:$AA,10,0)-'TRADE IN'!$F548))</f>
        <v>1799</v>
      </c>
      <c r="M548" s="46">
        <f>IF(VLOOKUP($C548,REV!$C:$AA,11,0)-'TRADE IN'!$F559=0,"",(VLOOKUP($C548,REV!$C:$AA,11,0)-'TRADE IN'!$F548))</f>
        <v>1899</v>
      </c>
      <c r="N548" s="46">
        <f>IF(VLOOKUP($C548,REV!$C:$AA,12,0)-'TRADE IN'!$F559=0,"",(VLOOKUP($C548,REV!$C:$AA,12,0)-'TRADE IN'!$F548))</f>
        <v>1799</v>
      </c>
      <c r="O548" s="46">
        <f>IF(VLOOKUP($C548,REV!$C:$AA,13,0)-'TRADE IN'!$F559=0,"",(VLOOKUP($C548,REV!$C:$AA,13,0)-'TRADE IN'!$F548))</f>
        <v>1749</v>
      </c>
      <c r="P548" s="46">
        <f>IF(VLOOKUP($C548,REV!$C:$AA,14,0)-'TRADE IN'!$F559=0,"",(VLOOKUP($C548,REV!$C:$AA,14,0)-'TRADE IN'!$F548))</f>
        <v>1699</v>
      </c>
      <c r="Q548" s="46">
        <f>IF(VLOOKUP($C548,REV!$C:$AA,15,0)-'TRADE IN'!$F559=0,"",(VLOOKUP($C548,REV!$C:$AA,15,0)-'TRADE IN'!$F548))</f>
        <v>1299</v>
      </c>
      <c r="R548" s="46">
        <f>IF(VLOOKUP($C548,REV!$C:$AA,16,0)-'TRADE IN'!$F559=0,"",(VLOOKUP($C548,REV!$C:$AA,16,0)-'TRADE IN'!$F548))</f>
        <v>1749</v>
      </c>
      <c r="S548" s="46">
        <f>IF(VLOOKUP($C548,REV!$C:$AA,17,0)-'TRADE IN'!$F559=0,"",(VLOOKUP($C548,REV!$C:$AA,17,0)-'TRADE IN'!$F548))</f>
        <v>1699</v>
      </c>
      <c r="T548" s="46">
        <f>IF(VLOOKUP($C548,REV!$C:$AA,18,0)-'TRADE IN'!$F559=0,"",(VLOOKUP($C548,REV!$C:$AA,18,0)-'TRADE IN'!$F548))</f>
        <v>1299</v>
      </c>
      <c r="U548" s="46">
        <f>IF(VLOOKUP($C548,REV!$C:$AA,19,0)-'TRADE IN'!$F559=0,"",(VLOOKUP($C548,REV!$C:$AA,19,0)-'TRADE IN'!$F548))</f>
        <v>1299</v>
      </c>
      <c r="V548" s="46">
        <f>IF(VLOOKUP($C548,REV!$C:$AA,20,0)-'TRADE IN'!$F559=0,"",(VLOOKUP($C548,REV!$C:$AA,20,0)-'TRADE IN'!$F548))</f>
        <v>1299</v>
      </c>
      <c r="W548" s="46">
        <f>IF(VLOOKUP($C548,REV!$C:$AA,21,0)-'TRADE IN'!$F559=0,"",(VLOOKUP($C548,REV!$C:$AA,21,0)-'TRADE IN'!$F548))</f>
        <v>1299</v>
      </c>
      <c r="X548" s="46">
        <f>IF(VLOOKUP($C548,REV!$C:$AA,22,0)-'TRADE IN'!$F559=0,"",(VLOOKUP($C548,REV!$C:$AA,22,0)-'TRADE IN'!$F548))</f>
        <v>1299</v>
      </c>
      <c r="Y548" s="46">
        <f>IF(VLOOKUP($C548,REV!$C:$AA,23,0)-'TRADE IN'!$F559=0,"",(VLOOKUP($C548,REV!$C:$AA,23,0)-'TRADE IN'!$F548))</f>
        <v>1199</v>
      </c>
      <c r="Z548" s="46">
        <f>IF(VLOOKUP($C548,REV!$C:$AA,24,0)-'TRADE IN'!$F559=0,"",(VLOOKUP($C548,REV!$C:$AA,24,0)-'TRADE IN'!$F548))</f>
        <v>1199</v>
      </c>
      <c r="AA548" s="46">
        <f>IF(VLOOKUP($C548,REV!$C:$AA,25,0)-'TRADE IN'!$F559=0,"",(VLOOKUP($C548,REV!$C:$AA,25,0)-'TRADE IN'!$F548))</f>
        <v>1199</v>
      </c>
      <c r="AB548" s="46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7"/>
      <c r="AW548" s="48" t="str">
        <f>IF(REV!AW548=0,"",REV!AW548)</f>
        <v>31.03.2026</v>
      </c>
      <c r="AX548" s="159" t="s">
        <v>82</v>
      </c>
    </row>
    <row r="549" spans="1:50" ht="22.5" customHeight="1">
      <c r="A549" s="50" t="s">
        <v>61</v>
      </c>
      <c r="B549" s="41" t="s">
        <v>62</v>
      </c>
      <c r="C549" s="42">
        <v>4016156</v>
      </c>
      <c r="D549" s="44" t="s">
        <v>759</v>
      </c>
      <c r="E549" s="44" t="s">
        <v>763</v>
      </c>
      <c r="F549" s="45"/>
      <c r="G549" s="45"/>
      <c r="H549" s="45"/>
      <c r="I549" s="45"/>
      <c r="J549" s="46">
        <f>IF(VLOOKUP($C549,REV!$C:$AA,8,0)-'TRADE IN'!$F549=0,"",(VLOOKUP($C549,REV!$C:$AA,8,0)-'TRADE IN'!$F549))</f>
        <v>1899</v>
      </c>
      <c r="K549" s="46">
        <f>IF(VLOOKUP($C549,REV!$C:$AA,9,0)-'TRADE IN'!$F549=0,"",(VLOOKUP($C549,REV!$C:$AA,9,0)-'TRADE IN'!$F549))</f>
        <v>1799</v>
      </c>
      <c r="L549" s="46">
        <f>IF(VLOOKUP($C549,REV!$C:$AA,10,0)-'TRADE IN'!$F560=0,"",(VLOOKUP($C549,REV!$C:$AA,10,0)-'TRADE IN'!$F549))</f>
        <v>1799</v>
      </c>
      <c r="M549" s="46">
        <f>IF(VLOOKUP($C549,REV!$C:$AA,11,0)-'TRADE IN'!$F560=0,"",(VLOOKUP($C549,REV!$C:$AA,11,0)-'TRADE IN'!$F549))</f>
        <v>1899</v>
      </c>
      <c r="N549" s="46">
        <f>IF(VLOOKUP($C549,REV!$C:$AA,12,0)-'TRADE IN'!$F560=0,"",(VLOOKUP($C549,REV!$C:$AA,12,0)-'TRADE IN'!$F549))</f>
        <v>1799</v>
      </c>
      <c r="O549" s="46">
        <f>IF(VLOOKUP($C549,REV!$C:$AA,13,0)-'TRADE IN'!$F560=0,"",(VLOOKUP($C549,REV!$C:$AA,13,0)-'TRADE IN'!$F549))</f>
        <v>1749</v>
      </c>
      <c r="P549" s="46">
        <f>IF(VLOOKUP($C549,REV!$C:$AA,14,0)-'TRADE IN'!$F560=0,"",(VLOOKUP($C549,REV!$C:$AA,14,0)-'TRADE IN'!$F549))</f>
        <v>1699</v>
      </c>
      <c r="Q549" s="46">
        <f>IF(VLOOKUP($C549,REV!$C:$AA,15,0)-'TRADE IN'!$F560=0,"",(VLOOKUP($C549,REV!$C:$AA,15,0)-'TRADE IN'!$F549))</f>
        <v>1299</v>
      </c>
      <c r="R549" s="46">
        <f>IF(VLOOKUP($C549,REV!$C:$AA,16,0)-'TRADE IN'!$F560=0,"",(VLOOKUP($C549,REV!$C:$AA,16,0)-'TRADE IN'!$F549))</f>
        <v>1749</v>
      </c>
      <c r="S549" s="46">
        <f>IF(VLOOKUP($C549,REV!$C:$AA,17,0)-'TRADE IN'!$F560=0,"",(VLOOKUP($C549,REV!$C:$AA,17,0)-'TRADE IN'!$F549))</f>
        <v>1699</v>
      </c>
      <c r="T549" s="46">
        <f>IF(VLOOKUP($C549,REV!$C:$AA,18,0)-'TRADE IN'!$F560=0,"",(VLOOKUP($C549,REV!$C:$AA,18,0)-'TRADE IN'!$F549))</f>
        <v>1299</v>
      </c>
      <c r="U549" s="46">
        <f>IF(VLOOKUP($C549,REV!$C:$AA,19,0)-'TRADE IN'!$F560=0,"",(VLOOKUP($C549,REV!$C:$AA,19,0)-'TRADE IN'!$F549))</f>
        <v>1299</v>
      </c>
      <c r="V549" s="46">
        <f>IF(VLOOKUP($C549,REV!$C:$AA,20,0)-'TRADE IN'!$F560=0,"",(VLOOKUP($C549,REV!$C:$AA,20,0)-'TRADE IN'!$F549))</f>
        <v>1299</v>
      </c>
      <c r="W549" s="46">
        <f>IF(VLOOKUP($C549,REV!$C:$AA,21,0)-'TRADE IN'!$F560=0,"",(VLOOKUP($C549,REV!$C:$AA,21,0)-'TRADE IN'!$F549))</f>
        <v>1299</v>
      </c>
      <c r="X549" s="46">
        <f>IF(VLOOKUP($C549,REV!$C:$AA,22,0)-'TRADE IN'!$F560=0,"",(VLOOKUP($C549,REV!$C:$AA,22,0)-'TRADE IN'!$F549))</f>
        <v>1299</v>
      </c>
      <c r="Y549" s="46">
        <f>IF(VLOOKUP($C549,REV!$C:$AA,23,0)-'TRADE IN'!$F560=0,"",(VLOOKUP($C549,REV!$C:$AA,23,0)-'TRADE IN'!$F549))</f>
        <v>1199</v>
      </c>
      <c r="Z549" s="46">
        <f>IF(VLOOKUP($C549,REV!$C:$AA,24,0)-'TRADE IN'!$F560=0,"",(VLOOKUP($C549,REV!$C:$AA,24,0)-'TRADE IN'!$F549))</f>
        <v>1199</v>
      </c>
      <c r="AA549" s="46">
        <f>IF(VLOOKUP($C549,REV!$C:$AA,25,0)-'TRADE IN'!$F560=0,"",(VLOOKUP($C549,REV!$C:$AA,25,0)-'TRADE IN'!$F549))</f>
        <v>1199</v>
      </c>
      <c r="AB549" s="46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7"/>
      <c r="AW549" s="48" t="str">
        <f>IF(REV!AW549=0,"",REV!AW549)</f>
        <v>31.03.2026</v>
      </c>
      <c r="AX549" s="159" t="s">
        <v>82</v>
      </c>
    </row>
    <row r="550" spans="1:50" ht="22.5" customHeight="1">
      <c r="A550" s="50" t="s">
        <v>61</v>
      </c>
      <c r="B550" s="41" t="s">
        <v>62</v>
      </c>
      <c r="C550" s="42">
        <v>4016157</v>
      </c>
      <c r="D550" s="44" t="s">
        <v>759</v>
      </c>
      <c r="E550" s="44" t="s">
        <v>764</v>
      </c>
      <c r="F550" s="45"/>
      <c r="G550" s="45"/>
      <c r="H550" s="45"/>
      <c r="I550" s="45"/>
      <c r="J550" s="46">
        <f>IF(VLOOKUP($C550,REV!$C:$AA,8,0)-'TRADE IN'!$F550=0,"",(VLOOKUP($C550,REV!$C:$AA,8,0)-'TRADE IN'!$F550))</f>
        <v>1899</v>
      </c>
      <c r="K550" s="46">
        <f>IF(VLOOKUP($C550,REV!$C:$AA,9,0)-'TRADE IN'!$F550=0,"",(VLOOKUP($C550,REV!$C:$AA,9,0)-'TRADE IN'!$F550))</f>
        <v>1799</v>
      </c>
      <c r="L550" s="46">
        <f>IF(VLOOKUP($C550,REV!$C:$AA,10,0)-'TRADE IN'!$F561=0,"",(VLOOKUP($C550,REV!$C:$AA,10,0)-'TRADE IN'!$F550))</f>
        <v>1799</v>
      </c>
      <c r="M550" s="46">
        <f>IF(VLOOKUP($C550,REV!$C:$AA,11,0)-'TRADE IN'!$F561=0,"",(VLOOKUP($C550,REV!$C:$AA,11,0)-'TRADE IN'!$F550))</f>
        <v>1899</v>
      </c>
      <c r="N550" s="46">
        <f>IF(VLOOKUP($C550,REV!$C:$AA,12,0)-'TRADE IN'!$F561=0,"",(VLOOKUP($C550,REV!$C:$AA,12,0)-'TRADE IN'!$F550))</f>
        <v>1799</v>
      </c>
      <c r="O550" s="46">
        <f>IF(VLOOKUP($C550,REV!$C:$AA,13,0)-'TRADE IN'!$F561=0,"",(VLOOKUP($C550,REV!$C:$AA,13,0)-'TRADE IN'!$F550))</f>
        <v>1749</v>
      </c>
      <c r="P550" s="46">
        <f>IF(VLOOKUP($C550,REV!$C:$AA,14,0)-'TRADE IN'!$F561=0,"",(VLOOKUP($C550,REV!$C:$AA,14,0)-'TRADE IN'!$F550))</f>
        <v>1699</v>
      </c>
      <c r="Q550" s="46">
        <f>IF(VLOOKUP($C550,REV!$C:$AA,15,0)-'TRADE IN'!$F561=0,"",(VLOOKUP($C550,REV!$C:$AA,15,0)-'TRADE IN'!$F550))</f>
        <v>1299</v>
      </c>
      <c r="R550" s="46">
        <f>IF(VLOOKUP($C550,REV!$C:$AA,16,0)-'TRADE IN'!$F561=0,"",(VLOOKUP($C550,REV!$C:$AA,16,0)-'TRADE IN'!$F550))</f>
        <v>1749</v>
      </c>
      <c r="S550" s="46">
        <f>IF(VLOOKUP($C550,REV!$C:$AA,17,0)-'TRADE IN'!$F561=0,"",(VLOOKUP($C550,REV!$C:$AA,17,0)-'TRADE IN'!$F550))</f>
        <v>1699</v>
      </c>
      <c r="T550" s="46">
        <f>IF(VLOOKUP($C550,REV!$C:$AA,18,0)-'TRADE IN'!$F561=0,"",(VLOOKUP($C550,REV!$C:$AA,18,0)-'TRADE IN'!$F550))</f>
        <v>1299</v>
      </c>
      <c r="U550" s="46">
        <f>IF(VLOOKUP($C550,REV!$C:$AA,19,0)-'TRADE IN'!$F561=0,"",(VLOOKUP($C550,REV!$C:$AA,19,0)-'TRADE IN'!$F550))</f>
        <v>1299</v>
      </c>
      <c r="V550" s="46">
        <f>IF(VLOOKUP($C550,REV!$C:$AA,20,0)-'TRADE IN'!$F561=0,"",(VLOOKUP($C550,REV!$C:$AA,20,0)-'TRADE IN'!$F550))</f>
        <v>1299</v>
      </c>
      <c r="W550" s="46">
        <f>IF(VLOOKUP($C550,REV!$C:$AA,21,0)-'TRADE IN'!$F561=0,"",(VLOOKUP($C550,REV!$C:$AA,21,0)-'TRADE IN'!$F550))</f>
        <v>1299</v>
      </c>
      <c r="X550" s="46">
        <f>IF(VLOOKUP($C550,REV!$C:$AA,22,0)-'TRADE IN'!$F561=0,"",(VLOOKUP($C550,REV!$C:$AA,22,0)-'TRADE IN'!$F550))</f>
        <v>1299</v>
      </c>
      <c r="Y550" s="46">
        <f>IF(VLOOKUP($C550,REV!$C:$AA,23,0)-'TRADE IN'!$F561=0,"",(VLOOKUP($C550,REV!$C:$AA,23,0)-'TRADE IN'!$F550))</f>
        <v>1199</v>
      </c>
      <c r="Z550" s="46">
        <f>IF(VLOOKUP($C550,REV!$C:$AA,24,0)-'TRADE IN'!$F561=0,"",(VLOOKUP($C550,REV!$C:$AA,24,0)-'TRADE IN'!$F550))</f>
        <v>1199</v>
      </c>
      <c r="AA550" s="46">
        <f>IF(VLOOKUP($C550,REV!$C:$AA,25,0)-'TRADE IN'!$F561=0,"",(VLOOKUP($C550,REV!$C:$AA,25,0)-'TRADE IN'!$F550))</f>
        <v>1199</v>
      </c>
      <c r="AB550" s="46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7"/>
      <c r="AW550" s="48" t="str">
        <f>IF(REV!AW550=0,"",REV!AW550)</f>
        <v>31.03.2026</v>
      </c>
      <c r="AX550" s="159" t="s">
        <v>82</v>
      </c>
    </row>
    <row r="551" spans="1:50" ht="22.5" customHeight="1">
      <c r="A551" s="50" t="s">
        <v>61</v>
      </c>
      <c r="B551" s="41" t="s">
        <v>62</v>
      </c>
      <c r="C551" s="42">
        <v>4016985</v>
      </c>
      <c r="D551" s="44" t="s">
        <v>765</v>
      </c>
      <c r="E551" s="44" t="s">
        <v>766</v>
      </c>
      <c r="F551" s="45"/>
      <c r="G551" s="45"/>
      <c r="H551" s="45"/>
      <c r="I551" s="45"/>
      <c r="J551" s="46">
        <f>IF(VLOOKUP($C551,REV!$C:$AA,8,0)-'TRADE IN'!$F551=0,"",(VLOOKUP($C551,REV!$C:$AA,8,0)-'TRADE IN'!$F551))</f>
        <v>2599</v>
      </c>
      <c r="K551" s="46">
        <f>IF(VLOOKUP($C551,REV!$C:$AA,9,0)-'TRADE IN'!$F551=0,"",(VLOOKUP($C551,REV!$C:$AA,9,0)-'TRADE IN'!$F551))</f>
        <v>2299</v>
      </c>
      <c r="L551" s="46">
        <f>IF(VLOOKUP($C551,REV!$C:$AA,10,0)-'TRADE IN'!$F562=0,"",(VLOOKUP($C551,REV!$C:$AA,10,0)-'TRADE IN'!$F551))</f>
        <v>2299</v>
      </c>
      <c r="M551" s="46">
        <f>IF(VLOOKUP($C551,REV!$C:$AA,11,0)-'TRADE IN'!$F562=0,"",(VLOOKUP($C551,REV!$C:$AA,11,0)-'TRADE IN'!$F551))</f>
        <v>2599</v>
      </c>
      <c r="N551" s="46">
        <f>IF(VLOOKUP($C551,REV!$C:$AA,12,0)-'TRADE IN'!$F562=0,"",(VLOOKUP($C551,REV!$C:$AA,12,0)-'TRADE IN'!$F551))</f>
        <v>2299</v>
      </c>
      <c r="O551" s="46">
        <f>IF(VLOOKUP($C551,REV!$C:$AA,13,0)-'TRADE IN'!$F562=0,"",(VLOOKUP($C551,REV!$C:$AA,13,0)-'TRADE IN'!$F551))</f>
        <v>2249</v>
      </c>
      <c r="P551" s="46">
        <f>IF(VLOOKUP($C551,REV!$C:$AA,14,0)-'TRADE IN'!$F562=0,"",(VLOOKUP($C551,REV!$C:$AA,14,0)-'TRADE IN'!$F551))</f>
        <v>2199</v>
      </c>
      <c r="Q551" s="46">
        <f>IF(VLOOKUP($C551,REV!$C:$AA,15,0)-'TRADE IN'!$F562=0,"",(VLOOKUP($C551,REV!$C:$AA,15,0)-'TRADE IN'!$F551))</f>
        <v>1899</v>
      </c>
      <c r="R551" s="46">
        <f>IF(VLOOKUP($C551,REV!$C:$AA,16,0)-'TRADE IN'!$F562=0,"",(VLOOKUP($C551,REV!$C:$AA,16,0)-'TRADE IN'!$F551))</f>
        <v>2249</v>
      </c>
      <c r="S551" s="46">
        <f>IF(VLOOKUP($C551,REV!$C:$AA,17,0)-'TRADE IN'!$F562=0,"",(VLOOKUP($C551,REV!$C:$AA,17,0)-'TRADE IN'!$F551))</f>
        <v>2199</v>
      </c>
      <c r="T551" s="46">
        <f>IF(VLOOKUP($C551,REV!$C:$AA,18,0)-'TRADE IN'!$F562=0,"",(VLOOKUP($C551,REV!$C:$AA,18,0)-'TRADE IN'!$F551))</f>
        <v>1899</v>
      </c>
      <c r="U551" s="46">
        <f>IF(VLOOKUP($C551,REV!$C:$AA,19,0)-'TRADE IN'!$F562=0,"",(VLOOKUP($C551,REV!$C:$AA,19,0)-'TRADE IN'!$F551))</f>
        <v>1899</v>
      </c>
      <c r="V551" s="46">
        <f>IF(VLOOKUP($C551,REV!$C:$AA,20,0)-'TRADE IN'!$F562=0,"",(VLOOKUP($C551,REV!$C:$AA,20,0)-'TRADE IN'!$F551))</f>
        <v>1899</v>
      </c>
      <c r="W551" s="46">
        <f>IF(VLOOKUP($C551,REV!$C:$AA,21,0)-'TRADE IN'!$F562=0,"",(VLOOKUP($C551,REV!$C:$AA,21,0)-'TRADE IN'!$F551))</f>
        <v>1899</v>
      </c>
      <c r="X551" s="46">
        <f>IF(VLOOKUP($C551,REV!$C:$AA,22,0)-'TRADE IN'!$F562=0,"",(VLOOKUP($C551,REV!$C:$AA,22,0)-'TRADE IN'!$F551))</f>
        <v>1849</v>
      </c>
      <c r="Y551" s="46">
        <f>IF(VLOOKUP($C551,REV!$C:$AA,23,0)-'TRADE IN'!$F562=0,"",(VLOOKUP($C551,REV!$C:$AA,23,0)-'TRADE IN'!$F551))</f>
        <v>1799</v>
      </c>
      <c r="Z551" s="46">
        <f>IF(VLOOKUP($C551,REV!$C:$AA,24,0)-'TRADE IN'!$F562=0,"",(VLOOKUP($C551,REV!$C:$AA,24,0)-'TRADE IN'!$F551))</f>
        <v>1799</v>
      </c>
      <c r="AA551" s="46">
        <f>IF(VLOOKUP($C551,REV!$C:$AA,25,0)-'TRADE IN'!$F562=0,"",(VLOOKUP($C551,REV!$C:$AA,25,0)-'TRADE IN'!$F551))</f>
        <v>1799</v>
      </c>
      <c r="AB551" s="46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7"/>
      <c r="AW551" s="48" t="str">
        <f>IF(REV!AW551=0,"",REV!AW551)</f>
        <v>31.03.2026</v>
      </c>
      <c r="AX551" s="159" t="s">
        <v>82</v>
      </c>
    </row>
    <row r="552" spans="1:50" ht="22.5" customHeight="1">
      <c r="A552" s="50" t="s">
        <v>61</v>
      </c>
      <c r="B552" s="41" t="s">
        <v>62</v>
      </c>
      <c r="C552" s="42">
        <v>4016999</v>
      </c>
      <c r="D552" s="44" t="s">
        <v>765</v>
      </c>
      <c r="E552" s="44" t="s">
        <v>767</v>
      </c>
      <c r="F552" s="45"/>
      <c r="G552" s="45"/>
      <c r="H552" s="45"/>
      <c r="I552" s="45"/>
      <c r="J552" s="46">
        <f>IF(VLOOKUP($C552,REV!$C:$AA,8,0)-'TRADE IN'!$F552=0,"",(VLOOKUP($C552,REV!$C:$AA,8,0)-'TRADE IN'!$F552))</f>
        <v>2599</v>
      </c>
      <c r="K552" s="46">
        <f>IF(VLOOKUP($C552,REV!$C:$AA,9,0)-'TRADE IN'!$F552=0,"",(VLOOKUP($C552,REV!$C:$AA,9,0)-'TRADE IN'!$F552))</f>
        <v>2299</v>
      </c>
      <c r="L552" s="46">
        <f>IF(VLOOKUP($C552,REV!$C:$AA,10,0)-'TRADE IN'!$F563=0,"",(VLOOKUP($C552,REV!$C:$AA,10,0)-'TRADE IN'!$F552))</f>
        <v>2299</v>
      </c>
      <c r="M552" s="46">
        <f>IF(VLOOKUP($C552,REV!$C:$AA,11,0)-'TRADE IN'!$F563=0,"",(VLOOKUP($C552,REV!$C:$AA,11,0)-'TRADE IN'!$F552))</f>
        <v>2599</v>
      </c>
      <c r="N552" s="46">
        <f>IF(VLOOKUP($C552,REV!$C:$AA,12,0)-'TRADE IN'!$F563=0,"",(VLOOKUP($C552,REV!$C:$AA,12,0)-'TRADE IN'!$F552))</f>
        <v>2299</v>
      </c>
      <c r="O552" s="46">
        <f>IF(VLOOKUP($C552,REV!$C:$AA,13,0)-'TRADE IN'!$F563=0,"",(VLOOKUP($C552,REV!$C:$AA,13,0)-'TRADE IN'!$F552))</f>
        <v>2249</v>
      </c>
      <c r="P552" s="46">
        <f>IF(VLOOKUP($C552,REV!$C:$AA,14,0)-'TRADE IN'!$F563=0,"",(VLOOKUP($C552,REV!$C:$AA,14,0)-'TRADE IN'!$F552))</f>
        <v>2199</v>
      </c>
      <c r="Q552" s="46">
        <f>IF(VLOOKUP($C552,REV!$C:$AA,15,0)-'TRADE IN'!$F563=0,"",(VLOOKUP($C552,REV!$C:$AA,15,0)-'TRADE IN'!$F552))</f>
        <v>1899</v>
      </c>
      <c r="R552" s="46">
        <f>IF(VLOOKUP($C552,REV!$C:$AA,16,0)-'TRADE IN'!$F563=0,"",(VLOOKUP($C552,REV!$C:$AA,16,0)-'TRADE IN'!$F552))</f>
        <v>2249</v>
      </c>
      <c r="S552" s="46">
        <f>IF(VLOOKUP($C552,REV!$C:$AA,17,0)-'TRADE IN'!$F563=0,"",(VLOOKUP($C552,REV!$C:$AA,17,0)-'TRADE IN'!$F552))</f>
        <v>2199</v>
      </c>
      <c r="T552" s="46">
        <f>IF(VLOOKUP($C552,REV!$C:$AA,18,0)-'TRADE IN'!$F563=0,"",(VLOOKUP($C552,REV!$C:$AA,18,0)-'TRADE IN'!$F552))</f>
        <v>1899</v>
      </c>
      <c r="U552" s="46">
        <f>IF(VLOOKUP($C552,REV!$C:$AA,19,0)-'TRADE IN'!$F563=0,"",(VLOOKUP($C552,REV!$C:$AA,19,0)-'TRADE IN'!$F552))</f>
        <v>1899</v>
      </c>
      <c r="V552" s="46">
        <f>IF(VLOOKUP($C552,REV!$C:$AA,20,0)-'TRADE IN'!$F563=0,"",(VLOOKUP($C552,REV!$C:$AA,20,0)-'TRADE IN'!$F552))</f>
        <v>1899</v>
      </c>
      <c r="W552" s="46">
        <f>IF(VLOOKUP($C552,REV!$C:$AA,21,0)-'TRADE IN'!$F563=0,"",(VLOOKUP($C552,REV!$C:$AA,21,0)-'TRADE IN'!$F552))</f>
        <v>1899</v>
      </c>
      <c r="X552" s="46">
        <f>IF(VLOOKUP($C552,REV!$C:$AA,22,0)-'TRADE IN'!$F563=0,"",(VLOOKUP($C552,REV!$C:$AA,22,0)-'TRADE IN'!$F552))</f>
        <v>1849</v>
      </c>
      <c r="Y552" s="46">
        <f>IF(VLOOKUP($C552,REV!$C:$AA,23,0)-'TRADE IN'!$F563=0,"",(VLOOKUP($C552,REV!$C:$AA,23,0)-'TRADE IN'!$F552))</f>
        <v>1799</v>
      </c>
      <c r="Z552" s="46">
        <f>IF(VLOOKUP($C552,REV!$C:$AA,24,0)-'TRADE IN'!$F563=0,"",(VLOOKUP($C552,REV!$C:$AA,24,0)-'TRADE IN'!$F552))</f>
        <v>1799</v>
      </c>
      <c r="AA552" s="46">
        <f>IF(VLOOKUP($C552,REV!$C:$AA,25,0)-'TRADE IN'!$F563=0,"",(VLOOKUP($C552,REV!$C:$AA,25,0)-'TRADE IN'!$F552))</f>
        <v>1799</v>
      </c>
      <c r="AB552" s="46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7"/>
      <c r="AW552" s="48" t="str">
        <f>IF(REV!AW552=0,"",REV!AW552)</f>
        <v>31.03.2026</v>
      </c>
      <c r="AX552" s="159" t="s">
        <v>82</v>
      </c>
    </row>
    <row r="553" spans="1:50" ht="22.5" customHeight="1">
      <c r="A553" s="50" t="s">
        <v>61</v>
      </c>
      <c r="B553" s="41" t="s">
        <v>62</v>
      </c>
      <c r="C553" s="42">
        <v>4017065</v>
      </c>
      <c r="D553" s="44" t="s">
        <v>765</v>
      </c>
      <c r="E553" s="44" t="s">
        <v>768</v>
      </c>
      <c r="F553" s="45"/>
      <c r="G553" s="45"/>
      <c r="H553" s="45"/>
      <c r="I553" s="45"/>
      <c r="J553" s="46">
        <f>IF(VLOOKUP($C553,REV!$C:$AA,8,0)-'TRADE IN'!$F553=0,"",(VLOOKUP($C553,REV!$C:$AA,8,0)-'TRADE IN'!$F553))</f>
        <v>2599</v>
      </c>
      <c r="K553" s="46">
        <f>IF(VLOOKUP($C553,REV!$C:$AA,9,0)-'TRADE IN'!$F553=0,"",(VLOOKUP($C553,REV!$C:$AA,9,0)-'TRADE IN'!$F553))</f>
        <v>2299</v>
      </c>
      <c r="L553" s="46">
        <f>IF(VLOOKUP($C553,REV!$C:$AA,10,0)-'TRADE IN'!$F564=0,"",(VLOOKUP($C553,REV!$C:$AA,10,0)-'TRADE IN'!$F553))</f>
        <v>2299</v>
      </c>
      <c r="M553" s="46">
        <f>IF(VLOOKUP($C553,REV!$C:$AA,11,0)-'TRADE IN'!$F564=0,"",(VLOOKUP($C553,REV!$C:$AA,11,0)-'TRADE IN'!$F553))</f>
        <v>2599</v>
      </c>
      <c r="N553" s="46">
        <f>IF(VLOOKUP($C553,REV!$C:$AA,12,0)-'TRADE IN'!$F564=0,"",(VLOOKUP($C553,REV!$C:$AA,12,0)-'TRADE IN'!$F553))</f>
        <v>2299</v>
      </c>
      <c r="O553" s="46">
        <f>IF(VLOOKUP($C553,REV!$C:$AA,13,0)-'TRADE IN'!$F564=0,"",(VLOOKUP($C553,REV!$C:$AA,13,0)-'TRADE IN'!$F553))</f>
        <v>2249</v>
      </c>
      <c r="P553" s="46">
        <f>IF(VLOOKUP($C553,REV!$C:$AA,14,0)-'TRADE IN'!$F564=0,"",(VLOOKUP($C553,REV!$C:$AA,14,0)-'TRADE IN'!$F553))</f>
        <v>2199</v>
      </c>
      <c r="Q553" s="46">
        <f>IF(VLOOKUP($C553,REV!$C:$AA,15,0)-'TRADE IN'!$F564=0,"",(VLOOKUP($C553,REV!$C:$AA,15,0)-'TRADE IN'!$F553))</f>
        <v>1899</v>
      </c>
      <c r="R553" s="46">
        <f>IF(VLOOKUP($C553,REV!$C:$AA,16,0)-'TRADE IN'!$F564=0,"",(VLOOKUP($C553,REV!$C:$AA,16,0)-'TRADE IN'!$F553))</f>
        <v>2249</v>
      </c>
      <c r="S553" s="46">
        <f>IF(VLOOKUP($C553,REV!$C:$AA,17,0)-'TRADE IN'!$F564=0,"",(VLOOKUP($C553,REV!$C:$AA,17,0)-'TRADE IN'!$F553))</f>
        <v>2199</v>
      </c>
      <c r="T553" s="46">
        <f>IF(VLOOKUP($C553,REV!$C:$AA,18,0)-'TRADE IN'!$F564=0,"",(VLOOKUP($C553,REV!$C:$AA,18,0)-'TRADE IN'!$F553))</f>
        <v>1899</v>
      </c>
      <c r="U553" s="46">
        <f>IF(VLOOKUP($C553,REV!$C:$AA,19,0)-'TRADE IN'!$F564=0,"",(VLOOKUP($C553,REV!$C:$AA,19,0)-'TRADE IN'!$F553))</f>
        <v>1899</v>
      </c>
      <c r="V553" s="46">
        <f>IF(VLOOKUP($C553,REV!$C:$AA,20,0)-'TRADE IN'!$F564=0,"",(VLOOKUP($C553,REV!$C:$AA,20,0)-'TRADE IN'!$F553))</f>
        <v>1899</v>
      </c>
      <c r="W553" s="46">
        <f>IF(VLOOKUP($C553,REV!$C:$AA,21,0)-'TRADE IN'!$F564=0,"",(VLOOKUP($C553,REV!$C:$AA,21,0)-'TRADE IN'!$F553))</f>
        <v>1899</v>
      </c>
      <c r="X553" s="46">
        <f>IF(VLOOKUP($C553,REV!$C:$AA,22,0)-'TRADE IN'!$F564=0,"",(VLOOKUP($C553,REV!$C:$AA,22,0)-'TRADE IN'!$F553))</f>
        <v>1849</v>
      </c>
      <c r="Y553" s="46">
        <f>IF(VLOOKUP($C553,REV!$C:$AA,23,0)-'TRADE IN'!$F564=0,"",(VLOOKUP($C553,REV!$C:$AA,23,0)-'TRADE IN'!$F553))</f>
        <v>1799</v>
      </c>
      <c r="Z553" s="46">
        <f>IF(VLOOKUP($C553,REV!$C:$AA,24,0)-'TRADE IN'!$F564=0,"",(VLOOKUP($C553,REV!$C:$AA,24,0)-'TRADE IN'!$F553))</f>
        <v>1799</v>
      </c>
      <c r="AA553" s="46">
        <f>IF(VLOOKUP($C553,REV!$C:$AA,25,0)-'TRADE IN'!$F564=0,"",(VLOOKUP($C553,REV!$C:$AA,25,0)-'TRADE IN'!$F553))</f>
        <v>1799</v>
      </c>
      <c r="AB553" s="46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7"/>
      <c r="AW553" s="48" t="str">
        <f>IF(REV!AW553=0,"",REV!AW553)</f>
        <v>31.03.2026</v>
      </c>
      <c r="AX553" s="159" t="s">
        <v>82</v>
      </c>
    </row>
    <row r="554" spans="1:50" ht="22.5" customHeight="1">
      <c r="A554" s="50" t="s">
        <v>61</v>
      </c>
      <c r="B554" s="41" t="s">
        <v>62</v>
      </c>
      <c r="C554" s="42">
        <v>4016977</v>
      </c>
      <c r="D554" s="44" t="s">
        <v>765</v>
      </c>
      <c r="E554" s="44" t="s">
        <v>769</v>
      </c>
      <c r="F554" s="45"/>
      <c r="G554" s="45"/>
      <c r="H554" s="45"/>
      <c r="I554" s="45"/>
      <c r="J554" s="46">
        <f>IF(VLOOKUP($C554,REV!$C:$AA,8,0)-'TRADE IN'!$F554=0,"",(VLOOKUP($C554,REV!$C:$AA,8,0)-'TRADE IN'!$F554))</f>
        <v>2599</v>
      </c>
      <c r="K554" s="46">
        <f>IF(VLOOKUP($C554,REV!$C:$AA,9,0)-'TRADE IN'!$F554=0,"",(VLOOKUP($C554,REV!$C:$AA,9,0)-'TRADE IN'!$F554))</f>
        <v>2299</v>
      </c>
      <c r="L554" s="46">
        <f>IF(VLOOKUP($C554,REV!$C:$AA,10,0)-'TRADE IN'!$F564=0,"",(VLOOKUP($C554,REV!$C:$AA,10,0)-'TRADE IN'!$F554))</f>
        <v>2299</v>
      </c>
      <c r="M554" s="46">
        <f>IF(VLOOKUP($C554,REV!$C:$AA,11,0)-'TRADE IN'!$F564=0,"",(VLOOKUP($C554,REV!$C:$AA,11,0)-'TRADE IN'!$F554))</f>
        <v>2599</v>
      </c>
      <c r="N554" s="46">
        <f>IF(VLOOKUP($C554,REV!$C:$AA,12,0)-'TRADE IN'!$F564=0,"",(VLOOKUP($C554,REV!$C:$AA,12,0)-'TRADE IN'!$F554))</f>
        <v>2299</v>
      </c>
      <c r="O554" s="46">
        <f>IF(VLOOKUP($C554,REV!$C:$AA,13,0)-'TRADE IN'!$F564=0,"",(VLOOKUP($C554,REV!$C:$AA,13,0)-'TRADE IN'!$F554))</f>
        <v>2249</v>
      </c>
      <c r="P554" s="46">
        <f>IF(VLOOKUP($C554,REV!$C:$AA,14,0)-'TRADE IN'!$F564=0,"",(VLOOKUP($C554,REV!$C:$AA,14,0)-'TRADE IN'!$F554))</f>
        <v>2199</v>
      </c>
      <c r="Q554" s="46">
        <f>IF(VLOOKUP($C554,REV!$C:$AA,15,0)-'TRADE IN'!$F564=0,"",(VLOOKUP($C554,REV!$C:$AA,15,0)-'TRADE IN'!$F554))</f>
        <v>1899</v>
      </c>
      <c r="R554" s="46">
        <f>IF(VLOOKUP($C554,REV!$C:$AA,16,0)-'TRADE IN'!$F564=0,"",(VLOOKUP($C554,REV!$C:$AA,16,0)-'TRADE IN'!$F554))</f>
        <v>2249</v>
      </c>
      <c r="S554" s="46">
        <f>IF(VLOOKUP($C554,REV!$C:$AA,17,0)-'TRADE IN'!$F564=0,"",(VLOOKUP($C554,REV!$C:$AA,17,0)-'TRADE IN'!$F554))</f>
        <v>2199</v>
      </c>
      <c r="T554" s="46">
        <f>IF(VLOOKUP($C554,REV!$C:$AA,18,0)-'TRADE IN'!$F564=0,"",(VLOOKUP($C554,REV!$C:$AA,18,0)-'TRADE IN'!$F554))</f>
        <v>1899</v>
      </c>
      <c r="U554" s="46">
        <f>IF(VLOOKUP($C554,REV!$C:$AA,19,0)-'TRADE IN'!$F564=0,"",(VLOOKUP($C554,REV!$C:$AA,19,0)-'TRADE IN'!$F554))</f>
        <v>1899</v>
      </c>
      <c r="V554" s="46">
        <f>IF(VLOOKUP($C554,REV!$C:$AA,20,0)-'TRADE IN'!$F564=0,"",(VLOOKUP($C554,REV!$C:$AA,20,0)-'TRADE IN'!$F554))</f>
        <v>1899</v>
      </c>
      <c r="W554" s="46">
        <f>IF(VLOOKUP($C554,REV!$C:$AA,21,0)-'TRADE IN'!$F564=0,"",(VLOOKUP($C554,REV!$C:$AA,21,0)-'TRADE IN'!$F554))</f>
        <v>1899</v>
      </c>
      <c r="X554" s="46">
        <f>IF(VLOOKUP($C554,REV!$C:$AA,22,0)-'TRADE IN'!$F564=0,"",(VLOOKUP($C554,REV!$C:$AA,22,0)-'TRADE IN'!$F554))</f>
        <v>1849</v>
      </c>
      <c r="Y554" s="46">
        <f>IF(VLOOKUP($C554,REV!$C:$AA,23,0)-'TRADE IN'!$F564=0,"",(VLOOKUP($C554,REV!$C:$AA,23,0)-'TRADE IN'!$F554))</f>
        <v>1799</v>
      </c>
      <c r="Z554" s="46">
        <f>IF(VLOOKUP($C554,REV!$C:$AA,24,0)-'TRADE IN'!$F564=0,"",(VLOOKUP($C554,REV!$C:$AA,24,0)-'TRADE IN'!$F554))</f>
        <v>1799</v>
      </c>
      <c r="AA554" s="46">
        <f>IF(VLOOKUP($C554,REV!$C:$AA,25,0)-'TRADE IN'!$F564=0,"",(VLOOKUP($C554,REV!$C:$AA,25,0)-'TRADE IN'!$F554))</f>
        <v>1799</v>
      </c>
      <c r="AB554" s="46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7"/>
      <c r="AW554" s="48" t="str">
        <f>IF(REV!AW554=0,"",REV!AW554)</f>
        <v>31.03.2026</v>
      </c>
      <c r="AX554" s="159" t="s">
        <v>82</v>
      </c>
    </row>
    <row r="555" spans="1:50" ht="22.5" customHeight="1">
      <c r="A555" s="50" t="s">
        <v>61</v>
      </c>
      <c r="B555" s="41" t="s">
        <v>62</v>
      </c>
      <c r="C555" s="42">
        <v>4017064</v>
      </c>
      <c r="D555" s="44" t="s">
        <v>765</v>
      </c>
      <c r="E555" s="44" t="s">
        <v>771</v>
      </c>
      <c r="F555" s="45"/>
      <c r="G555" s="45"/>
      <c r="H555" s="45"/>
      <c r="I555" s="45"/>
      <c r="J555" s="46">
        <f>IF(VLOOKUP($C555,REV!$C:$AA,8,0)-'TRADE IN'!$F555=0,"",(VLOOKUP($C555,REV!$C:$AA,8,0)-'TRADE IN'!$F555))</f>
        <v>2599</v>
      </c>
      <c r="K555" s="46">
        <f>IF(VLOOKUP($C555,REV!$C:$AA,9,0)-'TRADE IN'!$F555=0,"",(VLOOKUP($C555,REV!$C:$AA,9,0)-'TRADE IN'!$F555))</f>
        <v>2299</v>
      </c>
      <c r="L555" s="46">
        <f>IF(VLOOKUP($C555,REV!$C:$AA,10,0)-'TRADE IN'!$F565=0,"",(VLOOKUP($C555,REV!$C:$AA,10,0)-'TRADE IN'!$F555))</f>
        <v>2299</v>
      </c>
      <c r="M555" s="46">
        <f>IF(VLOOKUP($C555,REV!$C:$AA,11,0)-'TRADE IN'!$F565=0,"",(VLOOKUP($C555,REV!$C:$AA,11,0)-'TRADE IN'!$F555))</f>
        <v>2599</v>
      </c>
      <c r="N555" s="46">
        <f>IF(VLOOKUP($C555,REV!$C:$AA,12,0)-'TRADE IN'!$F565=0,"",(VLOOKUP($C555,REV!$C:$AA,12,0)-'TRADE IN'!$F555))</f>
        <v>2299</v>
      </c>
      <c r="O555" s="46">
        <f>IF(VLOOKUP($C555,REV!$C:$AA,13,0)-'TRADE IN'!$F565=0,"",(VLOOKUP($C555,REV!$C:$AA,13,0)-'TRADE IN'!$F555))</f>
        <v>2249</v>
      </c>
      <c r="P555" s="46">
        <f>IF(VLOOKUP($C555,REV!$C:$AA,14,0)-'TRADE IN'!$F565=0,"",(VLOOKUP($C555,REV!$C:$AA,14,0)-'TRADE IN'!$F555))</f>
        <v>2199</v>
      </c>
      <c r="Q555" s="46">
        <f>IF(VLOOKUP($C555,REV!$C:$AA,15,0)-'TRADE IN'!$F565=0,"",(VLOOKUP($C555,REV!$C:$AA,15,0)-'TRADE IN'!$F555))</f>
        <v>1899</v>
      </c>
      <c r="R555" s="46">
        <f>IF(VLOOKUP($C555,REV!$C:$AA,16,0)-'TRADE IN'!$F565=0,"",(VLOOKUP($C555,REV!$C:$AA,16,0)-'TRADE IN'!$F555))</f>
        <v>2249</v>
      </c>
      <c r="S555" s="46">
        <f>IF(VLOOKUP($C555,REV!$C:$AA,17,0)-'TRADE IN'!$F565=0,"",(VLOOKUP($C555,REV!$C:$AA,17,0)-'TRADE IN'!$F555))</f>
        <v>2199</v>
      </c>
      <c r="T555" s="46">
        <f>IF(VLOOKUP($C555,REV!$C:$AA,18,0)-'TRADE IN'!$F565=0,"",(VLOOKUP($C555,REV!$C:$AA,18,0)-'TRADE IN'!$F555))</f>
        <v>1899</v>
      </c>
      <c r="U555" s="46">
        <f>IF(VLOOKUP($C555,REV!$C:$AA,19,0)-'TRADE IN'!$F565=0,"",(VLOOKUP($C555,REV!$C:$AA,19,0)-'TRADE IN'!$F555))</f>
        <v>1899</v>
      </c>
      <c r="V555" s="46">
        <f>IF(VLOOKUP($C555,REV!$C:$AA,20,0)-'TRADE IN'!$F565=0,"",(VLOOKUP($C555,REV!$C:$AA,20,0)-'TRADE IN'!$F555))</f>
        <v>1899</v>
      </c>
      <c r="W555" s="46">
        <f>IF(VLOOKUP($C555,REV!$C:$AA,21,0)-'TRADE IN'!$F565=0,"",(VLOOKUP($C555,REV!$C:$AA,21,0)-'TRADE IN'!$F555))</f>
        <v>1899</v>
      </c>
      <c r="X555" s="46">
        <f>IF(VLOOKUP($C555,REV!$C:$AA,22,0)-'TRADE IN'!$F565=0,"",(VLOOKUP($C555,REV!$C:$AA,22,0)-'TRADE IN'!$F555))</f>
        <v>1849</v>
      </c>
      <c r="Y555" s="46">
        <f>IF(VLOOKUP($C555,REV!$C:$AA,23,0)-'TRADE IN'!$F565=0,"",(VLOOKUP($C555,REV!$C:$AA,23,0)-'TRADE IN'!$F555))</f>
        <v>1799</v>
      </c>
      <c r="Z555" s="46">
        <f>IF(VLOOKUP($C555,REV!$C:$AA,24,0)-'TRADE IN'!$F565=0,"",(VLOOKUP($C555,REV!$C:$AA,24,0)-'TRADE IN'!$F555))</f>
        <v>1799</v>
      </c>
      <c r="AA555" s="46">
        <f>IF(VLOOKUP($C555,REV!$C:$AA,25,0)-'TRADE IN'!$F565=0,"",(VLOOKUP($C555,REV!$C:$AA,25,0)-'TRADE IN'!$F555))</f>
        <v>1799</v>
      </c>
      <c r="AB555" s="46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7"/>
      <c r="AW555" s="48" t="str">
        <f>IF(REV!AW555=0,"",REV!AW555)</f>
        <v>31.03.2026</v>
      </c>
      <c r="AX555" s="159" t="s">
        <v>82</v>
      </c>
    </row>
    <row r="556" spans="1:50" ht="22.5" customHeight="1">
      <c r="A556" s="50" t="s">
        <v>61</v>
      </c>
      <c r="B556" s="41" t="s">
        <v>62</v>
      </c>
      <c r="C556" s="42">
        <v>4016993</v>
      </c>
      <c r="D556" s="44" t="s">
        <v>765</v>
      </c>
      <c r="E556" s="44" t="s">
        <v>770</v>
      </c>
      <c r="F556" s="45"/>
      <c r="G556" s="45"/>
      <c r="H556" s="45"/>
      <c r="I556" s="45"/>
      <c r="J556" s="46">
        <f>IF(VLOOKUP($C556,REV!$C:$AA,8,0)-'TRADE IN'!$F556=0,"",(VLOOKUP($C556,REV!$C:$AA,8,0)-'TRADE IN'!$F556))</f>
        <v>2599</v>
      </c>
      <c r="K556" s="46">
        <f>IF(VLOOKUP($C556,REV!$C:$AA,9,0)-'TRADE IN'!$F556=0,"",(VLOOKUP($C556,REV!$C:$AA,9,0)-'TRADE IN'!$F556))</f>
        <v>2299</v>
      </c>
      <c r="L556" s="46">
        <f>IF(VLOOKUP($C556,REV!$C:$AA,10,0)-'TRADE IN'!$F565=0,"",(VLOOKUP($C556,REV!$C:$AA,10,0)-'TRADE IN'!$F556))</f>
        <v>2299</v>
      </c>
      <c r="M556" s="46">
        <f>IF(VLOOKUP($C556,REV!$C:$AA,11,0)-'TRADE IN'!$F565=0,"",(VLOOKUP($C556,REV!$C:$AA,11,0)-'TRADE IN'!$F556))</f>
        <v>2599</v>
      </c>
      <c r="N556" s="46">
        <f>IF(VLOOKUP($C556,REV!$C:$AA,12,0)-'TRADE IN'!$F565=0,"",(VLOOKUP($C556,REV!$C:$AA,12,0)-'TRADE IN'!$F556))</f>
        <v>2299</v>
      </c>
      <c r="O556" s="46">
        <f>IF(VLOOKUP($C556,REV!$C:$AA,13,0)-'TRADE IN'!$F565=0,"",(VLOOKUP($C556,REV!$C:$AA,13,0)-'TRADE IN'!$F556))</f>
        <v>2249</v>
      </c>
      <c r="P556" s="46">
        <f>IF(VLOOKUP($C556,REV!$C:$AA,14,0)-'TRADE IN'!$F565=0,"",(VLOOKUP($C556,REV!$C:$AA,14,0)-'TRADE IN'!$F556))</f>
        <v>2199</v>
      </c>
      <c r="Q556" s="46">
        <f>IF(VLOOKUP($C556,REV!$C:$AA,15,0)-'TRADE IN'!$F565=0,"",(VLOOKUP($C556,REV!$C:$AA,15,0)-'TRADE IN'!$F556))</f>
        <v>1899</v>
      </c>
      <c r="R556" s="46">
        <f>IF(VLOOKUP($C556,REV!$C:$AA,16,0)-'TRADE IN'!$F565=0,"",(VLOOKUP($C556,REV!$C:$AA,16,0)-'TRADE IN'!$F556))</f>
        <v>2249</v>
      </c>
      <c r="S556" s="46">
        <f>IF(VLOOKUP($C556,REV!$C:$AA,17,0)-'TRADE IN'!$F565=0,"",(VLOOKUP($C556,REV!$C:$AA,17,0)-'TRADE IN'!$F556))</f>
        <v>2199</v>
      </c>
      <c r="T556" s="46">
        <f>IF(VLOOKUP($C556,REV!$C:$AA,18,0)-'TRADE IN'!$F565=0,"",(VLOOKUP($C556,REV!$C:$AA,18,0)-'TRADE IN'!$F556))</f>
        <v>1899</v>
      </c>
      <c r="U556" s="46">
        <f>IF(VLOOKUP($C556,REV!$C:$AA,19,0)-'TRADE IN'!$F565=0,"",(VLOOKUP($C556,REV!$C:$AA,19,0)-'TRADE IN'!$F556))</f>
        <v>1899</v>
      </c>
      <c r="V556" s="46">
        <f>IF(VLOOKUP($C556,REV!$C:$AA,20,0)-'TRADE IN'!$F565=0,"",(VLOOKUP($C556,REV!$C:$AA,20,0)-'TRADE IN'!$F556))</f>
        <v>1899</v>
      </c>
      <c r="W556" s="46">
        <f>IF(VLOOKUP($C556,REV!$C:$AA,21,0)-'TRADE IN'!$F565=0,"",(VLOOKUP($C556,REV!$C:$AA,21,0)-'TRADE IN'!$F556))</f>
        <v>1899</v>
      </c>
      <c r="X556" s="46">
        <f>IF(VLOOKUP($C556,REV!$C:$AA,22,0)-'TRADE IN'!$F565=0,"",(VLOOKUP($C556,REV!$C:$AA,22,0)-'TRADE IN'!$F556))</f>
        <v>1849</v>
      </c>
      <c r="Y556" s="46">
        <f>IF(VLOOKUP($C556,REV!$C:$AA,23,0)-'TRADE IN'!$F565=0,"",(VLOOKUP($C556,REV!$C:$AA,23,0)-'TRADE IN'!$F556))</f>
        <v>1799</v>
      </c>
      <c r="Z556" s="46">
        <f>IF(VLOOKUP($C556,REV!$C:$AA,24,0)-'TRADE IN'!$F565=0,"",(VLOOKUP($C556,REV!$C:$AA,24,0)-'TRADE IN'!$F556))</f>
        <v>1799</v>
      </c>
      <c r="AA556" s="46">
        <f>IF(VLOOKUP($C556,REV!$C:$AA,25,0)-'TRADE IN'!$F565=0,"",(VLOOKUP($C556,REV!$C:$AA,25,0)-'TRADE IN'!$F556))</f>
        <v>1799</v>
      </c>
      <c r="AB556" s="46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7"/>
      <c r="AW556" s="48" t="str">
        <f>IF(REV!AW555=0,"",REV!AW555)</f>
        <v>31.03.2026</v>
      </c>
      <c r="AX556" s="159" t="s">
        <v>82</v>
      </c>
    </row>
    <row r="557" spans="1:50" ht="22.5" customHeight="1">
      <c r="A557" s="50" t="s">
        <v>61</v>
      </c>
      <c r="B557" s="41" t="s">
        <v>62</v>
      </c>
      <c r="C557" s="42">
        <v>4013486</v>
      </c>
      <c r="D557" s="44" t="s">
        <v>772</v>
      </c>
      <c r="E557" s="44" t="s">
        <v>773</v>
      </c>
      <c r="F557" s="45"/>
      <c r="G557" s="45"/>
      <c r="H557" s="45"/>
      <c r="I557" s="45"/>
      <c r="J557" s="46">
        <f>IF(VLOOKUP($C557,REV!$C:$AA,8,0)-'TRADE IN'!$F557=0,"",(VLOOKUP($C557,REV!$C:$AA,8,0)-'TRADE IN'!$F557))</f>
        <v>69</v>
      </c>
      <c r="K557" s="46">
        <f>IF(VLOOKUP($C557,REV!$C:$AA,9,0)-'TRADE IN'!$F557=0,"",(VLOOKUP($C557,REV!$C:$AA,9,0)-'TRADE IN'!$F557))</f>
        <v>69</v>
      </c>
      <c r="L557" s="46">
        <f>IF(VLOOKUP($C557,REV!$C:$AA,10,0)-'TRADE IN'!$F566=0,"",(VLOOKUP($C557,REV!$C:$AA,10,0)-'TRADE IN'!$F557))</f>
        <v>69</v>
      </c>
      <c r="M557" s="46">
        <f>IF(VLOOKUP($C557,REV!$C:$AA,11,0)-'TRADE IN'!$F566=0,"",(VLOOKUP($C557,REV!$C:$AA,11,0)-'TRADE IN'!$F557))</f>
        <v>69</v>
      </c>
      <c r="N557" s="46">
        <f>IF(VLOOKUP($C557,REV!$C:$AA,12,0)-'TRADE IN'!$F566=0,"",(VLOOKUP($C557,REV!$C:$AA,12,0)-'TRADE IN'!$F557))</f>
        <v>69</v>
      </c>
      <c r="O557" s="46">
        <f>IF(VLOOKUP($C557,REV!$C:$AA,13,0)-'TRADE IN'!$F566=0,"",(VLOOKUP($C557,REV!$C:$AA,13,0)-'TRADE IN'!$F557))</f>
        <v>69</v>
      </c>
      <c r="P557" s="46">
        <f>IF(VLOOKUP($C557,REV!$C:$AA,14,0)-'TRADE IN'!$F566=0,"",(VLOOKUP($C557,REV!$C:$AA,14,0)-'TRADE IN'!$F557))</f>
        <v>69</v>
      </c>
      <c r="Q557" s="46">
        <f>IF(VLOOKUP($C557,REV!$C:$AA,15,0)-'TRADE IN'!$F566=0,"",(VLOOKUP($C557,REV!$C:$AA,15,0)-'TRADE IN'!$F557))</f>
        <v>69</v>
      </c>
      <c r="R557" s="46">
        <f>IF(VLOOKUP($C557,REV!$C:$AA,16,0)-'TRADE IN'!$F566=0,"",(VLOOKUP($C557,REV!$C:$AA,16,0)-'TRADE IN'!$F557))</f>
        <v>69</v>
      </c>
      <c r="S557" s="46">
        <f>IF(VLOOKUP($C557,REV!$C:$AA,17,0)-'TRADE IN'!$F566=0,"",(VLOOKUP($C557,REV!$C:$AA,17,0)-'TRADE IN'!$F557))</f>
        <v>69</v>
      </c>
      <c r="T557" s="46">
        <f>IF(VLOOKUP($C557,REV!$C:$AA,18,0)-'TRADE IN'!$F566=0,"",(VLOOKUP($C557,REV!$C:$AA,18,0)-'TRADE IN'!$F557))</f>
        <v>69</v>
      </c>
      <c r="U557" s="46">
        <f>IF(VLOOKUP($C557,REV!$C:$AA,19,0)-'TRADE IN'!$F566=0,"",(VLOOKUP($C557,REV!$C:$AA,19,0)-'TRADE IN'!$F557))</f>
        <v>69</v>
      </c>
      <c r="V557" s="46">
        <f>IF(VLOOKUP($C557,REV!$C:$AA,20,0)-'TRADE IN'!$F566=0,"",(VLOOKUP($C557,REV!$C:$AA,20,0)-'TRADE IN'!$F557))</f>
        <v>69</v>
      </c>
      <c r="W557" s="46">
        <f>IF(VLOOKUP($C557,REV!$C:$AA,21,0)-'TRADE IN'!$F566=0,"",(VLOOKUP($C557,REV!$C:$AA,21,0)-'TRADE IN'!$F557))</f>
        <v>69</v>
      </c>
      <c r="X557" s="46">
        <f>IF(VLOOKUP($C557,REV!$C:$AA,22,0)-'TRADE IN'!$F566=0,"",(VLOOKUP($C557,REV!$C:$AA,22,0)-'TRADE IN'!$F557))</f>
        <v>69</v>
      </c>
      <c r="Y557" s="46">
        <f>IF(VLOOKUP($C557,REV!$C:$AA,23,0)-'TRADE IN'!$F566=0,"",(VLOOKUP($C557,REV!$C:$AA,23,0)-'TRADE IN'!$F557))</f>
        <v>69</v>
      </c>
      <c r="Z557" s="46">
        <f>IF(VLOOKUP($C557,REV!$C:$AA,24,0)-'TRADE IN'!$F566=0,"",(VLOOKUP($C557,REV!$C:$AA,24,0)-'TRADE IN'!$F557))</f>
        <v>69</v>
      </c>
      <c r="AA557" s="46">
        <f>IF(VLOOKUP($C557,REV!$C:$AA,25,0)-'TRADE IN'!$F566=0,"",(VLOOKUP($C557,REV!$C:$AA,25,0)-'TRADE IN'!$F557))</f>
        <v>69</v>
      </c>
      <c r="AB557" s="46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7"/>
      <c r="AW557" s="48" t="str">
        <f>IF(REV!AW557=0,"",REV!AW557)</f>
        <v>31.03.2026</v>
      </c>
      <c r="AX557" s="159" t="s">
        <v>66</v>
      </c>
    </row>
    <row r="558" spans="1:50" ht="22.5" customHeight="1">
      <c r="A558" s="50" t="s">
        <v>61</v>
      </c>
      <c r="B558" s="41" t="s">
        <v>62</v>
      </c>
      <c r="C558" s="42">
        <v>4013487</v>
      </c>
      <c r="D558" s="44" t="s">
        <v>772</v>
      </c>
      <c r="E558" s="44" t="s">
        <v>774</v>
      </c>
      <c r="F558" s="45"/>
      <c r="G558" s="45"/>
      <c r="H558" s="45"/>
      <c r="I558" s="45"/>
      <c r="J558" s="46">
        <f>IF(VLOOKUP($C558,REV!$C:$AA,8,0)-'TRADE IN'!$F558=0,"",(VLOOKUP($C558,REV!$C:$AA,8,0)-'TRADE IN'!$F558))</f>
        <v>69</v>
      </c>
      <c r="K558" s="46">
        <f>IF(VLOOKUP($C558,REV!$C:$AA,9,0)-'TRADE IN'!$F558=0,"",(VLOOKUP($C558,REV!$C:$AA,9,0)-'TRADE IN'!$F558))</f>
        <v>69</v>
      </c>
      <c r="L558" s="46">
        <f>IF(VLOOKUP($C558,REV!$C:$AA,10,0)-'TRADE IN'!$F567=0,"",(VLOOKUP($C558,REV!$C:$AA,10,0)-'TRADE IN'!$F558))</f>
        <v>69</v>
      </c>
      <c r="M558" s="46">
        <f>IF(VLOOKUP($C558,REV!$C:$AA,11,0)-'TRADE IN'!$F567=0,"",(VLOOKUP($C558,REV!$C:$AA,11,0)-'TRADE IN'!$F558))</f>
        <v>69</v>
      </c>
      <c r="N558" s="46">
        <f>IF(VLOOKUP($C558,REV!$C:$AA,12,0)-'TRADE IN'!$F567=0,"",(VLOOKUP($C558,REV!$C:$AA,12,0)-'TRADE IN'!$F558))</f>
        <v>69</v>
      </c>
      <c r="O558" s="46">
        <f>IF(VLOOKUP($C558,REV!$C:$AA,13,0)-'TRADE IN'!$F567=0,"",(VLOOKUP($C558,REV!$C:$AA,13,0)-'TRADE IN'!$F558))</f>
        <v>69</v>
      </c>
      <c r="P558" s="46">
        <f>IF(VLOOKUP($C558,REV!$C:$AA,14,0)-'TRADE IN'!$F567=0,"",(VLOOKUP($C558,REV!$C:$AA,14,0)-'TRADE IN'!$F558))</f>
        <v>69</v>
      </c>
      <c r="Q558" s="46">
        <f>IF(VLOOKUP($C558,REV!$C:$AA,15,0)-'TRADE IN'!$F567=0,"",(VLOOKUP($C558,REV!$C:$AA,15,0)-'TRADE IN'!$F558))</f>
        <v>69</v>
      </c>
      <c r="R558" s="46">
        <f>IF(VLOOKUP($C558,REV!$C:$AA,16,0)-'TRADE IN'!$F567=0,"",(VLOOKUP($C558,REV!$C:$AA,16,0)-'TRADE IN'!$F558))</f>
        <v>69</v>
      </c>
      <c r="S558" s="46">
        <f>IF(VLOOKUP($C558,REV!$C:$AA,17,0)-'TRADE IN'!$F567=0,"",(VLOOKUP($C558,REV!$C:$AA,17,0)-'TRADE IN'!$F558))</f>
        <v>69</v>
      </c>
      <c r="T558" s="46">
        <f>IF(VLOOKUP($C558,REV!$C:$AA,18,0)-'TRADE IN'!$F567=0,"",(VLOOKUP($C558,REV!$C:$AA,18,0)-'TRADE IN'!$F558))</f>
        <v>69</v>
      </c>
      <c r="U558" s="46">
        <f>IF(VLOOKUP($C558,REV!$C:$AA,19,0)-'TRADE IN'!$F567=0,"",(VLOOKUP($C558,REV!$C:$AA,19,0)-'TRADE IN'!$F558))</f>
        <v>69</v>
      </c>
      <c r="V558" s="46">
        <f>IF(VLOOKUP($C558,REV!$C:$AA,20,0)-'TRADE IN'!$F567=0,"",(VLOOKUP($C558,REV!$C:$AA,20,0)-'TRADE IN'!$F558))</f>
        <v>69</v>
      </c>
      <c r="W558" s="46">
        <f>IF(VLOOKUP($C558,REV!$C:$AA,21,0)-'TRADE IN'!$F567=0,"",(VLOOKUP($C558,REV!$C:$AA,21,0)-'TRADE IN'!$F558))</f>
        <v>69</v>
      </c>
      <c r="X558" s="46">
        <f>IF(VLOOKUP($C558,REV!$C:$AA,22,0)-'TRADE IN'!$F567=0,"",(VLOOKUP($C558,REV!$C:$AA,22,0)-'TRADE IN'!$F558))</f>
        <v>69</v>
      </c>
      <c r="Y558" s="46">
        <f>IF(VLOOKUP($C558,REV!$C:$AA,23,0)-'TRADE IN'!$F567=0,"",(VLOOKUP($C558,REV!$C:$AA,23,0)-'TRADE IN'!$F558))</f>
        <v>69</v>
      </c>
      <c r="Z558" s="46">
        <f>IF(VLOOKUP($C558,REV!$C:$AA,24,0)-'TRADE IN'!$F567=0,"",(VLOOKUP($C558,REV!$C:$AA,24,0)-'TRADE IN'!$F558))</f>
        <v>69</v>
      </c>
      <c r="AA558" s="46">
        <f>IF(VLOOKUP($C558,REV!$C:$AA,25,0)-'TRADE IN'!$F567=0,"",(VLOOKUP($C558,REV!$C:$AA,25,0)-'TRADE IN'!$F558))</f>
        <v>69</v>
      </c>
      <c r="AB558" s="46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7"/>
      <c r="AW558" s="48" t="str">
        <f>IF(REV!AW558=0,"",REV!AW558)</f>
        <v>31.03.2026</v>
      </c>
      <c r="AX558" s="159" t="s">
        <v>66</v>
      </c>
    </row>
    <row r="559" spans="1:50" ht="22.5" customHeight="1">
      <c r="A559" s="50" t="s">
        <v>61</v>
      </c>
      <c r="B559" s="41" t="s">
        <v>62</v>
      </c>
      <c r="C559" s="42">
        <v>4013712</v>
      </c>
      <c r="D559" s="44" t="s">
        <v>772</v>
      </c>
      <c r="E559" s="44" t="s">
        <v>775</v>
      </c>
      <c r="F559" s="45"/>
      <c r="G559" s="45"/>
      <c r="H559" s="45"/>
      <c r="I559" s="45"/>
      <c r="J559" s="46">
        <f>IF(VLOOKUP($C559,REV!$C:$AA,8,0)-'TRADE IN'!$F559=0,"",(VLOOKUP($C559,REV!$C:$AA,8,0)-'TRADE IN'!$F559))</f>
        <v>69</v>
      </c>
      <c r="K559" s="46">
        <f>IF(VLOOKUP($C559,REV!$C:$AA,9,0)-'TRADE IN'!$F559=0,"",(VLOOKUP($C559,REV!$C:$AA,9,0)-'TRADE IN'!$F559))</f>
        <v>69</v>
      </c>
      <c r="L559" s="46">
        <f>IF(VLOOKUP($C559,REV!$C:$AA,10,0)-'TRADE IN'!$F568=0,"",(VLOOKUP($C559,REV!$C:$AA,10,0)-'TRADE IN'!$F559))</f>
        <v>69</v>
      </c>
      <c r="M559" s="46">
        <f>IF(VLOOKUP($C559,REV!$C:$AA,11,0)-'TRADE IN'!$F568=0,"",(VLOOKUP($C559,REV!$C:$AA,11,0)-'TRADE IN'!$F559))</f>
        <v>69</v>
      </c>
      <c r="N559" s="46">
        <f>IF(VLOOKUP($C559,REV!$C:$AA,12,0)-'TRADE IN'!$F568=0,"",(VLOOKUP($C559,REV!$C:$AA,12,0)-'TRADE IN'!$F559))</f>
        <v>69</v>
      </c>
      <c r="O559" s="46">
        <f>IF(VLOOKUP($C559,REV!$C:$AA,13,0)-'TRADE IN'!$F568=0,"",(VLOOKUP($C559,REV!$C:$AA,13,0)-'TRADE IN'!$F559))</f>
        <v>69</v>
      </c>
      <c r="P559" s="46">
        <f>IF(VLOOKUP($C559,REV!$C:$AA,14,0)-'TRADE IN'!$F568=0,"",(VLOOKUP($C559,REV!$C:$AA,14,0)-'TRADE IN'!$F559))</f>
        <v>69</v>
      </c>
      <c r="Q559" s="46">
        <f>IF(VLOOKUP($C559,REV!$C:$AA,15,0)-'TRADE IN'!$F568=0,"",(VLOOKUP($C559,REV!$C:$AA,15,0)-'TRADE IN'!$F559))</f>
        <v>69</v>
      </c>
      <c r="R559" s="46">
        <f>IF(VLOOKUP($C559,REV!$C:$AA,16,0)-'TRADE IN'!$F568=0,"",(VLOOKUP($C559,REV!$C:$AA,16,0)-'TRADE IN'!$F559))</f>
        <v>69</v>
      </c>
      <c r="S559" s="46">
        <f>IF(VLOOKUP($C559,REV!$C:$AA,17,0)-'TRADE IN'!$F568=0,"",(VLOOKUP($C559,REV!$C:$AA,17,0)-'TRADE IN'!$F559))</f>
        <v>69</v>
      </c>
      <c r="T559" s="46">
        <f>IF(VLOOKUP($C559,REV!$C:$AA,18,0)-'TRADE IN'!$F568=0,"",(VLOOKUP($C559,REV!$C:$AA,18,0)-'TRADE IN'!$F559))</f>
        <v>69</v>
      </c>
      <c r="U559" s="46">
        <f>IF(VLOOKUP($C559,REV!$C:$AA,19,0)-'TRADE IN'!$F568=0,"",(VLOOKUP($C559,REV!$C:$AA,19,0)-'TRADE IN'!$F559))</f>
        <v>69</v>
      </c>
      <c r="V559" s="46">
        <f>IF(VLOOKUP($C559,REV!$C:$AA,20,0)-'TRADE IN'!$F568=0,"",(VLOOKUP($C559,REV!$C:$AA,20,0)-'TRADE IN'!$F559))</f>
        <v>69</v>
      </c>
      <c r="W559" s="46">
        <f>IF(VLOOKUP($C559,REV!$C:$AA,21,0)-'TRADE IN'!$F568=0,"",(VLOOKUP($C559,REV!$C:$AA,21,0)-'TRADE IN'!$F559))</f>
        <v>69</v>
      </c>
      <c r="X559" s="46">
        <f>IF(VLOOKUP($C559,REV!$C:$AA,22,0)-'TRADE IN'!$F568=0,"",(VLOOKUP($C559,REV!$C:$AA,22,0)-'TRADE IN'!$F559))</f>
        <v>69</v>
      </c>
      <c r="Y559" s="46">
        <f>IF(VLOOKUP($C559,REV!$C:$AA,23,0)-'TRADE IN'!$F568=0,"",(VLOOKUP($C559,REV!$C:$AA,23,0)-'TRADE IN'!$F559))</f>
        <v>69</v>
      </c>
      <c r="Z559" s="46">
        <f>IF(VLOOKUP($C559,REV!$C:$AA,24,0)-'TRADE IN'!$F568=0,"",(VLOOKUP($C559,REV!$C:$AA,24,0)-'TRADE IN'!$F559))</f>
        <v>69</v>
      </c>
      <c r="AA559" s="46">
        <f>IF(VLOOKUP($C559,REV!$C:$AA,25,0)-'TRADE IN'!$F568=0,"",(VLOOKUP($C559,REV!$C:$AA,25,0)-'TRADE IN'!$F559))</f>
        <v>69</v>
      </c>
      <c r="AB559" s="46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7"/>
      <c r="AW559" s="48" t="str">
        <f>IF(REV!AW559=0,"",REV!AW559)</f>
        <v>31.03.2026</v>
      </c>
      <c r="AX559" s="159" t="s">
        <v>66</v>
      </c>
    </row>
    <row r="560" spans="1:50" ht="22.5" customHeight="1">
      <c r="A560" s="50" t="s">
        <v>61</v>
      </c>
      <c r="B560" s="41" t="s">
        <v>62</v>
      </c>
      <c r="C560" s="42">
        <v>4013713</v>
      </c>
      <c r="D560" s="44" t="s">
        <v>772</v>
      </c>
      <c r="E560" s="44" t="s">
        <v>776</v>
      </c>
      <c r="F560" s="45"/>
      <c r="G560" s="45"/>
      <c r="H560" s="45"/>
      <c r="I560" s="45"/>
      <c r="J560" s="46">
        <f>IF(VLOOKUP($C560,REV!$C:$AA,8,0)-'TRADE IN'!$F560=0,"",(VLOOKUP($C560,REV!$C:$AA,8,0)-'TRADE IN'!$F560))</f>
        <v>69</v>
      </c>
      <c r="K560" s="46">
        <f>IF(VLOOKUP($C560,REV!$C:$AA,9,0)-'TRADE IN'!$F560=0,"",(VLOOKUP($C560,REV!$C:$AA,9,0)-'TRADE IN'!$F560))</f>
        <v>69</v>
      </c>
      <c r="L560" s="46">
        <f>IF(VLOOKUP($C560,REV!$C:$AA,10,0)-'TRADE IN'!$F569=0,"",(VLOOKUP($C560,REV!$C:$AA,10,0)-'TRADE IN'!$F560))</f>
        <v>69</v>
      </c>
      <c r="M560" s="46">
        <f>IF(VLOOKUP($C560,REV!$C:$AA,11,0)-'TRADE IN'!$F569=0,"",(VLOOKUP($C560,REV!$C:$AA,11,0)-'TRADE IN'!$F560))</f>
        <v>69</v>
      </c>
      <c r="N560" s="46">
        <f>IF(VLOOKUP($C560,REV!$C:$AA,12,0)-'TRADE IN'!$F569=0,"",(VLOOKUP($C560,REV!$C:$AA,12,0)-'TRADE IN'!$F560))</f>
        <v>69</v>
      </c>
      <c r="O560" s="46">
        <f>IF(VLOOKUP($C560,REV!$C:$AA,13,0)-'TRADE IN'!$F569=0,"",(VLOOKUP($C560,REV!$C:$AA,13,0)-'TRADE IN'!$F560))</f>
        <v>69</v>
      </c>
      <c r="P560" s="46">
        <f>IF(VLOOKUP($C560,REV!$C:$AA,14,0)-'TRADE IN'!$F569=0,"",(VLOOKUP($C560,REV!$C:$AA,14,0)-'TRADE IN'!$F560))</f>
        <v>69</v>
      </c>
      <c r="Q560" s="46">
        <f>IF(VLOOKUP($C560,REV!$C:$AA,15,0)-'TRADE IN'!$F569=0,"",(VLOOKUP($C560,REV!$C:$AA,15,0)-'TRADE IN'!$F560))</f>
        <v>69</v>
      </c>
      <c r="R560" s="46">
        <f>IF(VLOOKUP($C560,REV!$C:$AA,16,0)-'TRADE IN'!$F569=0,"",(VLOOKUP($C560,REV!$C:$AA,16,0)-'TRADE IN'!$F560))</f>
        <v>69</v>
      </c>
      <c r="S560" s="46">
        <f>IF(VLOOKUP($C560,REV!$C:$AA,17,0)-'TRADE IN'!$F569=0,"",(VLOOKUP($C560,REV!$C:$AA,17,0)-'TRADE IN'!$F560))</f>
        <v>69</v>
      </c>
      <c r="T560" s="46">
        <f>IF(VLOOKUP($C560,REV!$C:$AA,18,0)-'TRADE IN'!$F569=0,"",(VLOOKUP($C560,REV!$C:$AA,18,0)-'TRADE IN'!$F560))</f>
        <v>69</v>
      </c>
      <c r="U560" s="46">
        <f>IF(VLOOKUP($C560,REV!$C:$AA,19,0)-'TRADE IN'!$F569=0,"",(VLOOKUP($C560,REV!$C:$AA,19,0)-'TRADE IN'!$F560))</f>
        <v>69</v>
      </c>
      <c r="V560" s="46">
        <f>IF(VLOOKUP($C560,REV!$C:$AA,20,0)-'TRADE IN'!$F569=0,"",(VLOOKUP($C560,REV!$C:$AA,20,0)-'TRADE IN'!$F560))</f>
        <v>69</v>
      </c>
      <c r="W560" s="46">
        <f>IF(VLOOKUP($C560,REV!$C:$AA,21,0)-'TRADE IN'!$F569=0,"",(VLOOKUP($C560,REV!$C:$AA,21,0)-'TRADE IN'!$F560))</f>
        <v>69</v>
      </c>
      <c r="X560" s="46">
        <f>IF(VLOOKUP($C560,REV!$C:$AA,22,0)-'TRADE IN'!$F569=0,"",(VLOOKUP($C560,REV!$C:$AA,22,0)-'TRADE IN'!$F560))</f>
        <v>69</v>
      </c>
      <c r="Y560" s="46">
        <f>IF(VLOOKUP($C560,REV!$C:$AA,23,0)-'TRADE IN'!$F569=0,"",(VLOOKUP($C560,REV!$C:$AA,23,0)-'TRADE IN'!$F560))</f>
        <v>69</v>
      </c>
      <c r="Z560" s="46">
        <f>IF(VLOOKUP($C560,REV!$C:$AA,24,0)-'TRADE IN'!$F569=0,"",(VLOOKUP($C560,REV!$C:$AA,24,0)-'TRADE IN'!$F560))</f>
        <v>69</v>
      </c>
      <c r="AA560" s="46">
        <f>IF(VLOOKUP($C560,REV!$C:$AA,25,0)-'TRADE IN'!$F569=0,"",(VLOOKUP($C560,REV!$C:$AA,25,0)-'TRADE IN'!$F560))</f>
        <v>69</v>
      </c>
      <c r="AB560" s="46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7"/>
      <c r="AW560" s="48" t="str">
        <f>IF(REV!AW560=0,"",REV!AW560)</f>
        <v>31.03.2026</v>
      </c>
      <c r="AX560" s="159" t="s">
        <v>66</v>
      </c>
    </row>
    <row r="561" spans="1:50" ht="22.5" customHeight="1">
      <c r="A561" s="50" t="s">
        <v>61</v>
      </c>
      <c r="B561" s="41" t="s">
        <v>62</v>
      </c>
      <c r="C561" s="42">
        <v>4014900</v>
      </c>
      <c r="D561" s="44" t="s">
        <v>777</v>
      </c>
      <c r="E561" s="44" t="s">
        <v>778</v>
      </c>
      <c r="F561" s="45"/>
      <c r="G561" s="45"/>
      <c r="H561" s="45"/>
      <c r="I561" s="45"/>
      <c r="J561" s="46">
        <f>IF(VLOOKUP($C561,REV!$C:$AA,8,0)-'TRADE IN'!$F561=0,"",(VLOOKUP($C561,REV!$C:$AA,8,0)-'TRADE IN'!$F561))</f>
        <v>749</v>
      </c>
      <c r="K561" s="46">
        <f>IF(VLOOKUP($C561,REV!$C:$AA,9,0)-'TRADE IN'!$F561=0,"",(VLOOKUP($C561,REV!$C:$AA,9,0)-'TRADE IN'!$F561))</f>
        <v>749</v>
      </c>
      <c r="L561" s="46">
        <f>IF(VLOOKUP($C561,REV!$C:$AA,10,0)-'TRADE IN'!$F570=0,"",(VLOOKUP($C561,REV!$C:$AA,10,0)-'TRADE IN'!$F561))</f>
        <v>749</v>
      </c>
      <c r="M561" s="46">
        <f>IF(VLOOKUP($C561,REV!$C:$AA,11,0)-'TRADE IN'!$F570=0,"",(VLOOKUP($C561,REV!$C:$AA,11,0)-'TRADE IN'!$F561))</f>
        <v>749</v>
      </c>
      <c r="N561" s="46">
        <f>IF(VLOOKUP($C561,REV!$C:$AA,12,0)-'TRADE IN'!$F570=0,"",(VLOOKUP($C561,REV!$C:$AA,12,0)-'TRADE IN'!$F561))</f>
        <v>749</v>
      </c>
      <c r="O561" s="46">
        <f>IF(VLOOKUP($C561,REV!$C:$AA,13,0)-'TRADE IN'!$F570=0,"",(VLOOKUP($C561,REV!$C:$AA,13,0)-'TRADE IN'!$F561))</f>
        <v>749</v>
      </c>
      <c r="P561" s="46">
        <f>IF(VLOOKUP($C561,REV!$C:$AA,14,0)-'TRADE IN'!$F570=0,"",(VLOOKUP($C561,REV!$C:$AA,14,0)-'TRADE IN'!$F561))</f>
        <v>749</v>
      </c>
      <c r="Q561" s="46">
        <f>IF(VLOOKUP($C561,REV!$C:$AA,15,0)-'TRADE IN'!$F570=0,"",(VLOOKUP($C561,REV!$C:$AA,15,0)-'TRADE IN'!$F561))</f>
        <v>749</v>
      </c>
      <c r="R561" s="46">
        <f>IF(VLOOKUP($C561,REV!$C:$AA,16,0)-'TRADE IN'!$F570=0,"",(VLOOKUP($C561,REV!$C:$AA,16,0)-'TRADE IN'!$F561))</f>
        <v>749</v>
      </c>
      <c r="S561" s="46">
        <f>IF(VLOOKUP($C561,REV!$C:$AA,17,0)-'TRADE IN'!$F570=0,"",(VLOOKUP($C561,REV!$C:$AA,17,0)-'TRADE IN'!$F561))</f>
        <v>749</v>
      </c>
      <c r="T561" s="46">
        <f>IF(VLOOKUP($C561,REV!$C:$AA,18,0)-'TRADE IN'!$F570=0,"",(VLOOKUP($C561,REV!$C:$AA,18,0)-'TRADE IN'!$F561))</f>
        <v>749</v>
      </c>
      <c r="U561" s="46">
        <f>IF(VLOOKUP($C561,REV!$C:$AA,19,0)-'TRADE IN'!$F570=0,"",(VLOOKUP($C561,REV!$C:$AA,19,0)-'TRADE IN'!$F561))</f>
        <v>749</v>
      </c>
      <c r="V561" s="46">
        <f>IF(VLOOKUP($C561,REV!$C:$AA,20,0)-'TRADE IN'!$F570=0,"",(VLOOKUP($C561,REV!$C:$AA,20,0)-'TRADE IN'!$F561))</f>
        <v>749</v>
      </c>
      <c r="W561" s="46">
        <f>IF(VLOOKUP($C561,REV!$C:$AA,21,0)-'TRADE IN'!$F570=0,"",(VLOOKUP($C561,REV!$C:$AA,21,0)-'TRADE IN'!$F561))</f>
        <v>749</v>
      </c>
      <c r="X561" s="46">
        <f>IF(VLOOKUP($C561,REV!$C:$AA,22,0)-'TRADE IN'!$F570=0,"",(VLOOKUP($C561,REV!$C:$AA,22,0)-'TRADE IN'!$F561))</f>
        <v>749</v>
      </c>
      <c r="Y561" s="46">
        <f>IF(VLOOKUP($C561,REV!$C:$AA,23,0)-'TRADE IN'!$F570=0,"",(VLOOKUP($C561,REV!$C:$AA,23,0)-'TRADE IN'!$F561))</f>
        <v>749</v>
      </c>
      <c r="Z561" s="46">
        <f>IF(VLOOKUP($C561,REV!$C:$AA,24,0)-'TRADE IN'!$F570=0,"",(VLOOKUP($C561,REV!$C:$AA,24,0)-'TRADE IN'!$F561))</f>
        <v>749</v>
      </c>
      <c r="AA561" s="46">
        <f>IF(VLOOKUP($C561,REV!$C:$AA,25,0)-'TRADE IN'!$F570=0,"",(VLOOKUP($C561,REV!$C:$AA,25,0)-'TRADE IN'!$F561))</f>
        <v>749</v>
      </c>
      <c r="AB561" s="46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7"/>
      <c r="AW561" s="48" t="str">
        <f>IF(REV!AW561=0,"",REV!AW561)</f>
        <v>31.03.2026</v>
      </c>
      <c r="AX561" s="159" t="s">
        <v>82</v>
      </c>
    </row>
    <row r="562" spans="1:50" ht="22.5" customHeight="1">
      <c r="A562" s="50" t="s">
        <v>61</v>
      </c>
      <c r="B562" s="41" t="s">
        <v>62</v>
      </c>
      <c r="C562" s="42">
        <v>4014902</v>
      </c>
      <c r="D562" s="44" t="s">
        <v>777</v>
      </c>
      <c r="E562" s="44" t="s">
        <v>779</v>
      </c>
      <c r="F562" s="45"/>
      <c r="G562" s="45"/>
      <c r="H562" s="45"/>
      <c r="I562" s="45"/>
      <c r="J562" s="46">
        <f>IF(VLOOKUP($C562,REV!$C:$AA,8,0)-'TRADE IN'!$F562=0,"",(VLOOKUP($C562,REV!$C:$AA,8,0)-'TRADE IN'!$F562))</f>
        <v>749</v>
      </c>
      <c r="K562" s="46">
        <f>IF(VLOOKUP($C562,REV!$C:$AA,9,0)-'TRADE IN'!$F562=0,"",(VLOOKUP($C562,REV!$C:$AA,9,0)-'TRADE IN'!$F562))</f>
        <v>749</v>
      </c>
      <c r="L562" s="46">
        <f>IF(VLOOKUP($C562,REV!$C:$AA,10,0)-'TRADE IN'!$F571=0,"",(VLOOKUP($C562,REV!$C:$AA,10,0)-'TRADE IN'!$F562))</f>
        <v>749</v>
      </c>
      <c r="M562" s="46">
        <f>IF(VLOOKUP($C562,REV!$C:$AA,11,0)-'TRADE IN'!$F571=0,"",(VLOOKUP($C562,REV!$C:$AA,11,0)-'TRADE IN'!$F562))</f>
        <v>749</v>
      </c>
      <c r="N562" s="46">
        <f>IF(VLOOKUP($C562,REV!$C:$AA,12,0)-'TRADE IN'!$F571=0,"",(VLOOKUP($C562,REV!$C:$AA,12,0)-'TRADE IN'!$F562))</f>
        <v>749</v>
      </c>
      <c r="O562" s="46">
        <f>IF(VLOOKUP($C562,REV!$C:$AA,13,0)-'TRADE IN'!$F571=0,"",(VLOOKUP($C562,REV!$C:$AA,13,0)-'TRADE IN'!$F562))</f>
        <v>749</v>
      </c>
      <c r="P562" s="46">
        <f>IF(VLOOKUP($C562,REV!$C:$AA,14,0)-'TRADE IN'!$F571=0,"",(VLOOKUP($C562,REV!$C:$AA,14,0)-'TRADE IN'!$F562))</f>
        <v>749</v>
      </c>
      <c r="Q562" s="46">
        <f>IF(VLOOKUP($C562,REV!$C:$AA,15,0)-'TRADE IN'!$F571=0,"",(VLOOKUP($C562,REV!$C:$AA,15,0)-'TRADE IN'!$F562))</f>
        <v>749</v>
      </c>
      <c r="R562" s="46">
        <f>IF(VLOOKUP($C562,REV!$C:$AA,16,0)-'TRADE IN'!$F571=0,"",(VLOOKUP($C562,REV!$C:$AA,16,0)-'TRADE IN'!$F562))</f>
        <v>749</v>
      </c>
      <c r="S562" s="46">
        <f>IF(VLOOKUP($C562,REV!$C:$AA,17,0)-'TRADE IN'!$F571=0,"",(VLOOKUP($C562,REV!$C:$AA,17,0)-'TRADE IN'!$F562))</f>
        <v>749</v>
      </c>
      <c r="T562" s="46">
        <f>IF(VLOOKUP($C562,REV!$C:$AA,18,0)-'TRADE IN'!$F571=0,"",(VLOOKUP($C562,REV!$C:$AA,18,0)-'TRADE IN'!$F562))</f>
        <v>749</v>
      </c>
      <c r="U562" s="46">
        <f>IF(VLOOKUP($C562,REV!$C:$AA,19,0)-'TRADE IN'!$F571=0,"",(VLOOKUP($C562,REV!$C:$AA,19,0)-'TRADE IN'!$F562))</f>
        <v>749</v>
      </c>
      <c r="V562" s="46">
        <f>IF(VLOOKUP($C562,REV!$C:$AA,20,0)-'TRADE IN'!$F571=0,"",(VLOOKUP($C562,REV!$C:$AA,20,0)-'TRADE IN'!$F562))</f>
        <v>749</v>
      </c>
      <c r="W562" s="46">
        <f>IF(VLOOKUP($C562,REV!$C:$AA,21,0)-'TRADE IN'!$F571=0,"",(VLOOKUP($C562,REV!$C:$AA,21,0)-'TRADE IN'!$F562))</f>
        <v>749</v>
      </c>
      <c r="X562" s="46">
        <f>IF(VLOOKUP($C562,REV!$C:$AA,22,0)-'TRADE IN'!$F571=0,"",(VLOOKUP($C562,REV!$C:$AA,22,0)-'TRADE IN'!$F562))</f>
        <v>749</v>
      </c>
      <c r="Y562" s="46">
        <f>IF(VLOOKUP($C562,REV!$C:$AA,23,0)-'TRADE IN'!$F571=0,"",(VLOOKUP($C562,REV!$C:$AA,23,0)-'TRADE IN'!$F562))</f>
        <v>749</v>
      </c>
      <c r="Z562" s="46">
        <f>IF(VLOOKUP($C562,REV!$C:$AA,24,0)-'TRADE IN'!$F571=0,"",(VLOOKUP($C562,REV!$C:$AA,24,0)-'TRADE IN'!$F562))</f>
        <v>749</v>
      </c>
      <c r="AA562" s="46">
        <f>IF(VLOOKUP($C562,REV!$C:$AA,25,0)-'TRADE IN'!$F571=0,"",(VLOOKUP($C562,REV!$C:$AA,25,0)-'TRADE IN'!$F562))</f>
        <v>749</v>
      </c>
      <c r="AB562" s="46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7"/>
      <c r="AW562" s="48" t="str">
        <f>IF(REV!AW562=0,"",REV!AW562)</f>
        <v>31.03.2026</v>
      </c>
      <c r="AX562" s="159" t="s">
        <v>82</v>
      </c>
    </row>
    <row r="563" spans="1:50" ht="22.5" customHeight="1">
      <c r="A563" s="50" t="s">
        <v>61</v>
      </c>
      <c r="B563" s="41" t="s">
        <v>62</v>
      </c>
      <c r="C563" s="42">
        <v>4014901</v>
      </c>
      <c r="D563" s="44" t="s">
        <v>777</v>
      </c>
      <c r="E563" s="44" t="s">
        <v>780</v>
      </c>
      <c r="F563" s="45"/>
      <c r="G563" s="45"/>
      <c r="H563" s="45"/>
      <c r="I563" s="45"/>
      <c r="J563" s="46">
        <f>IF(VLOOKUP($C563,REV!$C:$AA,8,0)-'TRADE IN'!$F563=0,"",(VLOOKUP($C563,REV!$C:$AA,8,0)-'TRADE IN'!$F563))</f>
        <v>749</v>
      </c>
      <c r="K563" s="46">
        <f>IF(VLOOKUP($C563,REV!$C:$AA,9,0)-'TRADE IN'!$F563=0,"",(VLOOKUP($C563,REV!$C:$AA,9,0)-'TRADE IN'!$F563))</f>
        <v>749</v>
      </c>
      <c r="L563" s="46">
        <f>IF(VLOOKUP($C563,REV!$C:$AA,10,0)-'TRADE IN'!$F572=0,"",(VLOOKUP($C563,REV!$C:$AA,10,0)-'TRADE IN'!$F563))</f>
        <v>749</v>
      </c>
      <c r="M563" s="46">
        <f>IF(VLOOKUP($C563,REV!$C:$AA,11,0)-'TRADE IN'!$F572=0,"",(VLOOKUP($C563,REV!$C:$AA,11,0)-'TRADE IN'!$F563))</f>
        <v>749</v>
      </c>
      <c r="N563" s="46">
        <f>IF(VLOOKUP($C563,REV!$C:$AA,12,0)-'TRADE IN'!$F572=0,"",(VLOOKUP($C563,REV!$C:$AA,12,0)-'TRADE IN'!$F563))</f>
        <v>749</v>
      </c>
      <c r="O563" s="46">
        <f>IF(VLOOKUP($C563,REV!$C:$AA,13,0)-'TRADE IN'!$F572=0,"",(VLOOKUP($C563,REV!$C:$AA,13,0)-'TRADE IN'!$F563))</f>
        <v>749</v>
      </c>
      <c r="P563" s="46">
        <f>IF(VLOOKUP($C563,REV!$C:$AA,14,0)-'TRADE IN'!$F572=0,"",(VLOOKUP($C563,REV!$C:$AA,14,0)-'TRADE IN'!$F563))</f>
        <v>749</v>
      </c>
      <c r="Q563" s="46">
        <f>IF(VLOOKUP($C563,REV!$C:$AA,15,0)-'TRADE IN'!$F572=0,"",(VLOOKUP($C563,REV!$C:$AA,15,0)-'TRADE IN'!$F563))</f>
        <v>749</v>
      </c>
      <c r="R563" s="46">
        <f>IF(VLOOKUP($C563,REV!$C:$AA,16,0)-'TRADE IN'!$F572=0,"",(VLOOKUP($C563,REV!$C:$AA,16,0)-'TRADE IN'!$F563))</f>
        <v>749</v>
      </c>
      <c r="S563" s="46">
        <f>IF(VLOOKUP($C563,REV!$C:$AA,17,0)-'TRADE IN'!$F572=0,"",(VLOOKUP($C563,REV!$C:$AA,17,0)-'TRADE IN'!$F563))</f>
        <v>749</v>
      </c>
      <c r="T563" s="46">
        <f>IF(VLOOKUP($C563,REV!$C:$AA,18,0)-'TRADE IN'!$F572=0,"",(VLOOKUP($C563,REV!$C:$AA,18,0)-'TRADE IN'!$F563))</f>
        <v>749</v>
      </c>
      <c r="U563" s="46">
        <f>IF(VLOOKUP($C563,REV!$C:$AA,19,0)-'TRADE IN'!$F572=0,"",(VLOOKUP($C563,REV!$C:$AA,19,0)-'TRADE IN'!$F563))</f>
        <v>749</v>
      </c>
      <c r="V563" s="46">
        <f>IF(VLOOKUP($C563,REV!$C:$AA,20,0)-'TRADE IN'!$F572=0,"",(VLOOKUP($C563,REV!$C:$AA,20,0)-'TRADE IN'!$F563))</f>
        <v>749</v>
      </c>
      <c r="W563" s="46">
        <f>IF(VLOOKUP($C563,REV!$C:$AA,21,0)-'TRADE IN'!$F572=0,"",(VLOOKUP($C563,REV!$C:$AA,21,0)-'TRADE IN'!$F563))</f>
        <v>749</v>
      </c>
      <c r="X563" s="46">
        <f>IF(VLOOKUP($C563,REV!$C:$AA,22,0)-'TRADE IN'!$F572=0,"",(VLOOKUP($C563,REV!$C:$AA,22,0)-'TRADE IN'!$F563))</f>
        <v>749</v>
      </c>
      <c r="Y563" s="46">
        <f>IF(VLOOKUP($C563,REV!$C:$AA,23,0)-'TRADE IN'!$F572=0,"",(VLOOKUP($C563,REV!$C:$AA,23,0)-'TRADE IN'!$F563))</f>
        <v>749</v>
      </c>
      <c r="Z563" s="46">
        <f>IF(VLOOKUP($C563,REV!$C:$AA,24,0)-'TRADE IN'!$F572=0,"",(VLOOKUP($C563,REV!$C:$AA,24,0)-'TRADE IN'!$F563))</f>
        <v>749</v>
      </c>
      <c r="AA563" s="46">
        <f>IF(VLOOKUP($C563,REV!$C:$AA,25,0)-'TRADE IN'!$F572=0,"",(VLOOKUP($C563,REV!$C:$AA,25,0)-'TRADE IN'!$F563))</f>
        <v>749</v>
      </c>
      <c r="AB563" s="46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7"/>
      <c r="AW563" s="48" t="str">
        <f>IF(REV!AW563=0,"",REV!AW563)</f>
        <v>31.03.2026</v>
      </c>
      <c r="AX563" s="159" t="s">
        <v>82</v>
      </c>
    </row>
    <row r="564" spans="1:50" ht="22.5" customHeight="1">
      <c r="A564" s="50" t="s">
        <v>61</v>
      </c>
      <c r="B564" s="41" t="s">
        <v>62</v>
      </c>
      <c r="C564" s="42">
        <v>4014903</v>
      </c>
      <c r="D564" s="44" t="s">
        <v>777</v>
      </c>
      <c r="E564" s="44" t="s">
        <v>781</v>
      </c>
      <c r="F564" s="45"/>
      <c r="G564" s="45"/>
      <c r="H564" s="45"/>
      <c r="I564" s="45"/>
      <c r="J564" s="46">
        <f>IF(VLOOKUP($C564,REV!$C:$AA,8,0)-'TRADE IN'!$F564=0,"",(VLOOKUP($C564,REV!$C:$AA,8,0)-'TRADE IN'!$F564))</f>
        <v>749</v>
      </c>
      <c r="K564" s="46">
        <f>IF(VLOOKUP($C564,REV!$C:$AA,9,0)-'TRADE IN'!$F564=0,"",(VLOOKUP($C564,REV!$C:$AA,9,0)-'TRADE IN'!$F564))</f>
        <v>749</v>
      </c>
      <c r="L564" s="46">
        <f>IF(VLOOKUP($C564,REV!$C:$AA,10,0)-'TRADE IN'!$F573=0,"",(VLOOKUP($C564,REV!$C:$AA,10,0)-'TRADE IN'!$F564))</f>
        <v>749</v>
      </c>
      <c r="M564" s="46">
        <f>IF(VLOOKUP($C564,REV!$C:$AA,11,0)-'TRADE IN'!$F573=0,"",(VLOOKUP($C564,REV!$C:$AA,11,0)-'TRADE IN'!$F564))</f>
        <v>749</v>
      </c>
      <c r="N564" s="46">
        <f>IF(VLOOKUP($C564,REV!$C:$AA,12,0)-'TRADE IN'!$F573=0,"",(VLOOKUP($C564,REV!$C:$AA,12,0)-'TRADE IN'!$F564))</f>
        <v>749</v>
      </c>
      <c r="O564" s="46">
        <f>IF(VLOOKUP($C564,REV!$C:$AA,13,0)-'TRADE IN'!$F573=0,"",(VLOOKUP($C564,REV!$C:$AA,13,0)-'TRADE IN'!$F564))</f>
        <v>749</v>
      </c>
      <c r="P564" s="46">
        <f>IF(VLOOKUP($C564,REV!$C:$AA,14,0)-'TRADE IN'!$F573=0,"",(VLOOKUP($C564,REV!$C:$AA,14,0)-'TRADE IN'!$F564))</f>
        <v>749</v>
      </c>
      <c r="Q564" s="46">
        <f>IF(VLOOKUP($C564,REV!$C:$AA,15,0)-'TRADE IN'!$F573=0,"",(VLOOKUP($C564,REV!$C:$AA,15,0)-'TRADE IN'!$F564))</f>
        <v>749</v>
      </c>
      <c r="R564" s="46">
        <f>IF(VLOOKUP($C564,REV!$C:$AA,16,0)-'TRADE IN'!$F573=0,"",(VLOOKUP($C564,REV!$C:$AA,16,0)-'TRADE IN'!$F564))</f>
        <v>749</v>
      </c>
      <c r="S564" s="46">
        <f>IF(VLOOKUP($C564,REV!$C:$AA,17,0)-'TRADE IN'!$F573=0,"",(VLOOKUP($C564,REV!$C:$AA,17,0)-'TRADE IN'!$F564))</f>
        <v>749</v>
      </c>
      <c r="T564" s="46">
        <f>IF(VLOOKUP($C564,REV!$C:$AA,18,0)-'TRADE IN'!$F573=0,"",(VLOOKUP($C564,REV!$C:$AA,18,0)-'TRADE IN'!$F564))</f>
        <v>749</v>
      </c>
      <c r="U564" s="46">
        <f>IF(VLOOKUP($C564,REV!$C:$AA,19,0)-'TRADE IN'!$F573=0,"",(VLOOKUP($C564,REV!$C:$AA,19,0)-'TRADE IN'!$F564))</f>
        <v>749</v>
      </c>
      <c r="V564" s="46">
        <f>IF(VLOOKUP($C564,REV!$C:$AA,20,0)-'TRADE IN'!$F573=0,"",(VLOOKUP($C564,REV!$C:$AA,20,0)-'TRADE IN'!$F564))</f>
        <v>749</v>
      </c>
      <c r="W564" s="46">
        <f>IF(VLOOKUP($C564,REV!$C:$AA,21,0)-'TRADE IN'!$F573=0,"",(VLOOKUP($C564,REV!$C:$AA,21,0)-'TRADE IN'!$F564))</f>
        <v>749</v>
      </c>
      <c r="X564" s="46">
        <f>IF(VLOOKUP($C564,REV!$C:$AA,22,0)-'TRADE IN'!$F573=0,"",(VLOOKUP($C564,REV!$C:$AA,22,0)-'TRADE IN'!$F564))</f>
        <v>749</v>
      </c>
      <c r="Y564" s="46">
        <f>IF(VLOOKUP($C564,REV!$C:$AA,23,0)-'TRADE IN'!$F573=0,"",(VLOOKUP($C564,REV!$C:$AA,23,0)-'TRADE IN'!$F564))</f>
        <v>749</v>
      </c>
      <c r="Z564" s="46">
        <f>IF(VLOOKUP($C564,REV!$C:$AA,24,0)-'TRADE IN'!$F573=0,"",(VLOOKUP($C564,REV!$C:$AA,24,0)-'TRADE IN'!$F564))</f>
        <v>749</v>
      </c>
      <c r="AA564" s="46">
        <f>IF(VLOOKUP($C564,REV!$C:$AA,25,0)-'TRADE IN'!$F573=0,"",(VLOOKUP($C564,REV!$C:$AA,25,0)-'TRADE IN'!$F564))</f>
        <v>749</v>
      </c>
      <c r="AB564" s="46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7"/>
      <c r="AW564" s="48" t="str">
        <f>IF(REV!AW564=0,"",REV!AW564)</f>
        <v>31.03.2026</v>
      </c>
      <c r="AX564" s="159" t="s">
        <v>82</v>
      </c>
    </row>
    <row r="565" spans="1:50" ht="22.5" customHeight="1">
      <c r="A565" s="50" t="s">
        <v>61</v>
      </c>
      <c r="B565" s="41" t="s">
        <v>62</v>
      </c>
      <c r="C565" s="42">
        <v>4012622</v>
      </c>
      <c r="D565" s="60" t="s">
        <v>782</v>
      </c>
      <c r="E565" s="42" t="s">
        <v>783</v>
      </c>
      <c r="F565" s="45"/>
      <c r="G565" s="45"/>
      <c r="H565" s="45"/>
      <c r="I565" s="45"/>
      <c r="J565" s="46">
        <f>IF(VLOOKUP($C565,REV!$C:$AA,8,0)-'TRADE IN'!$F565=0,"",(VLOOKUP($C565,REV!$C:$AA,8,0)-'TRADE IN'!$F565))</f>
        <v>399</v>
      </c>
      <c r="K565" s="46">
        <f>IF(VLOOKUP($C565,REV!$C:$AA,9,0)-'TRADE IN'!$F565=0,"",(VLOOKUP($C565,REV!$C:$AA,9,0)-'TRADE IN'!$F565))</f>
        <v>399</v>
      </c>
      <c r="L565" s="46">
        <f>IF(VLOOKUP($C565,REV!$C:$AA,10,0)-'TRADE IN'!$F574=0,"",(VLOOKUP($C565,REV!$C:$AA,10,0)-'TRADE IN'!$F565))</f>
        <v>399</v>
      </c>
      <c r="M565" s="46">
        <f>IF(VLOOKUP($C565,REV!$C:$AA,11,0)-'TRADE IN'!$F574=0,"",(VLOOKUP($C565,REV!$C:$AA,11,0)-'TRADE IN'!$F565))</f>
        <v>399</v>
      </c>
      <c r="N565" s="46">
        <f>IF(VLOOKUP($C565,REV!$C:$AA,12,0)-'TRADE IN'!$F574=0,"",(VLOOKUP($C565,REV!$C:$AA,12,0)-'TRADE IN'!$F565))</f>
        <v>399</v>
      </c>
      <c r="O565" s="46" t="str">
        <f>IF(VLOOKUP($C565,REV!$C:$AA,13,0)-'TRADE IN'!$F574=0,"",(VLOOKUP($C565,REV!$C:$AA,13,0)-'TRADE IN'!$F565))</f>
        <v/>
      </c>
      <c r="P565" s="46" t="str">
        <f>IF(VLOOKUP($C565,REV!$C:$AA,14,0)-'TRADE IN'!$F574=0,"",(VLOOKUP($C565,REV!$C:$AA,14,0)-'TRADE IN'!$F565))</f>
        <v/>
      </c>
      <c r="Q565" s="46" t="str">
        <f>IF(VLOOKUP($C565,REV!$C:$AA,15,0)-'TRADE IN'!$F574=0,"",(VLOOKUP($C565,REV!$C:$AA,15,0)-'TRADE IN'!$F565))</f>
        <v/>
      </c>
      <c r="R565" s="46" t="str">
        <f>IF(VLOOKUP($C565,REV!$C:$AA,16,0)-'TRADE IN'!$F574=0,"",(VLOOKUP($C565,REV!$C:$AA,16,0)-'TRADE IN'!$F565))</f>
        <v/>
      </c>
      <c r="S565" s="46" t="str">
        <f>IF(VLOOKUP($C565,REV!$C:$AA,17,0)-'TRADE IN'!$F574=0,"",(VLOOKUP($C565,REV!$C:$AA,17,0)-'TRADE IN'!$F565))</f>
        <v/>
      </c>
      <c r="T565" s="46" t="str">
        <f>IF(VLOOKUP($C565,REV!$C:$AA,18,0)-'TRADE IN'!$F574=0,"",(VLOOKUP($C565,REV!$C:$AA,18,0)-'TRADE IN'!$F565))</f>
        <v/>
      </c>
      <c r="U565" s="46" t="str">
        <f>IF(VLOOKUP($C565,REV!$C:$AA,19,0)-'TRADE IN'!$F574=0,"",(VLOOKUP($C565,REV!$C:$AA,19,0)-'TRADE IN'!$F565))</f>
        <v/>
      </c>
      <c r="V565" s="46" t="str">
        <f>IF(VLOOKUP($C565,REV!$C:$AA,20,0)-'TRADE IN'!$F574=0,"",(VLOOKUP($C565,REV!$C:$AA,20,0)-'TRADE IN'!$F565))</f>
        <v/>
      </c>
      <c r="W565" s="46" t="str">
        <f>IF(VLOOKUP($C565,REV!$C:$AA,21,0)-'TRADE IN'!$F574=0,"",(VLOOKUP($C565,REV!$C:$AA,21,0)-'TRADE IN'!$F565))</f>
        <v/>
      </c>
      <c r="X565" s="46" t="str">
        <f>IF(VLOOKUP($C565,REV!$C:$AA,22,0)-'TRADE IN'!$F574=0,"",(VLOOKUP($C565,REV!$C:$AA,22,0)-'TRADE IN'!$F565))</f>
        <v/>
      </c>
      <c r="Y565" s="46" t="str">
        <f>IF(VLOOKUP($C565,REV!$C:$AA,23,0)-'TRADE IN'!$F574=0,"",(VLOOKUP($C565,REV!$C:$AA,23,0)-'TRADE IN'!$F565))</f>
        <v/>
      </c>
      <c r="Z565" s="46" t="str">
        <f>IF(VLOOKUP($C565,REV!$C:$AA,24,0)-'TRADE IN'!$F574=0,"",(VLOOKUP($C565,REV!$C:$AA,24,0)-'TRADE IN'!$F565))</f>
        <v/>
      </c>
      <c r="AA565" s="46" t="str">
        <f>IF(VLOOKUP($C565,REV!$C:$AA,25,0)-'TRADE IN'!$F574=0,"",(VLOOKUP($C565,REV!$C:$AA,25,0)-'TRADE IN'!$F565))</f>
        <v/>
      </c>
      <c r="AB565" s="46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7"/>
      <c r="AW565" s="48" t="str">
        <f>IF(REV!AW565=0,"",REV!AW565)</f>
        <v>31.03.2026</v>
      </c>
      <c r="AX565" s="159" t="s">
        <v>66</v>
      </c>
    </row>
    <row r="566" spans="1:50" ht="22.5" customHeight="1">
      <c r="A566" s="50" t="s">
        <v>61</v>
      </c>
      <c r="B566" s="41" t="s">
        <v>62</v>
      </c>
      <c r="C566" s="42">
        <v>4012623</v>
      </c>
      <c r="D566" s="60" t="s">
        <v>782</v>
      </c>
      <c r="E566" s="42" t="s">
        <v>784</v>
      </c>
      <c r="F566" s="45"/>
      <c r="G566" s="45"/>
      <c r="H566" s="45"/>
      <c r="I566" s="45"/>
      <c r="J566" s="46">
        <f>IF(VLOOKUP($C566,REV!$C:$AA,8,0)-'TRADE IN'!$F566=0,"",(VLOOKUP($C566,REV!$C:$AA,8,0)-'TRADE IN'!$F566))</f>
        <v>399</v>
      </c>
      <c r="K566" s="46">
        <f>IF(VLOOKUP($C566,REV!$C:$AA,9,0)-'TRADE IN'!$F566=0,"",(VLOOKUP($C566,REV!$C:$AA,9,0)-'TRADE IN'!$F566))</f>
        <v>399</v>
      </c>
      <c r="L566" s="46">
        <f>IF(VLOOKUP($C566,REV!$C:$AA,10,0)-'TRADE IN'!$F575=0,"",(VLOOKUP($C566,REV!$C:$AA,10,0)-'TRADE IN'!$F566))</f>
        <v>399</v>
      </c>
      <c r="M566" s="46">
        <f>IF(VLOOKUP($C566,REV!$C:$AA,11,0)-'TRADE IN'!$F575=0,"",(VLOOKUP($C566,REV!$C:$AA,11,0)-'TRADE IN'!$F566))</f>
        <v>399</v>
      </c>
      <c r="N566" s="46">
        <f>IF(VLOOKUP($C566,REV!$C:$AA,12,0)-'TRADE IN'!$F575=0,"",(VLOOKUP($C566,REV!$C:$AA,12,0)-'TRADE IN'!$F566))</f>
        <v>399</v>
      </c>
      <c r="O566" s="46" t="str">
        <f>IF(VLOOKUP($C566,REV!$C:$AA,13,0)-'TRADE IN'!$F575=0,"",(VLOOKUP($C566,REV!$C:$AA,13,0)-'TRADE IN'!$F566))</f>
        <v/>
      </c>
      <c r="P566" s="46" t="str">
        <f>IF(VLOOKUP($C566,REV!$C:$AA,14,0)-'TRADE IN'!$F575=0,"",(VLOOKUP($C566,REV!$C:$AA,14,0)-'TRADE IN'!$F566))</f>
        <v/>
      </c>
      <c r="Q566" s="46" t="str">
        <f>IF(VLOOKUP($C566,REV!$C:$AA,15,0)-'TRADE IN'!$F575=0,"",(VLOOKUP($C566,REV!$C:$AA,15,0)-'TRADE IN'!$F566))</f>
        <v/>
      </c>
      <c r="R566" s="46" t="str">
        <f>IF(VLOOKUP($C566,REV!$C:$AA,16,0)-'TRADE IN'!$F575=0,"",(VLOOKUP($C566,REV!$C:$AA,16,0)-'TRADE IN'!$F566))</f>
        <v/>
      </c>
      <c r="S566" s="46" t="str">
        <f>IF(VLOOKUP($C566,REV!$C:$AA,17,0)-'TRADE IN'!$F575=0,"",(VLOOKUP($C566,REV!$C:$AA,17,0)-'TRADE IN'!$F566))</f>
        <v/>
      </c>
      <c r="T566" s="46" t="str">
        <f>IF(VLOOKUP($C566,REV!$C:$AA,18,0)-'TRADE IN'!$F575=0,"",(VLOOKUP($C566,REV!$C:$AA,18,0)-'TRADE IN'!$F566))</f>
        <v/>
      </c>
      <c r="U566" s="46" t="str">
        <f>IF(VLOOKUP($C566,REV!$C:$AA,19,0)-'TRADE IN'!$F575=0,"",(VLOOKUP($C566,REV!$C:$AA,19,0)-'TRADE IN'!$F566))</f>
        <v/>
      </c>
      <c r="V566" s="46" t="str">
        <f>IF(VLOOKUP($C566,REV!$C:$AA,20,0)-'TRADE IN'!$F575=0,"",(VLOOKUP($C566,REV!$C:$AA,20,0)-'TRADE IN'!$F566))</f>
        <v/>
      </c>
      <c r="W566" s="46" t="str">
        <f>IF(VLOOKUP($C566,REV!$C:$AA,21,0)-'TRADE IN'!$F575=0,"",(VLOOKUP($C566,REV!$C:$AA,21,0)-'TRADE IN'!$F566))</f>
        <v/>
      </c>
      <c r="X566" s="46" t="str">
        <f>IF(VLOOKUP($C566,REV!$C:$AA,22,0)-'TRADE IN'!$F575=0,"",(VLOOKUP($C566,REV!$C:$AA,22,0)-'TRADE IN'!$F566))</f>
        <v/>
      </c>
      <c r="Y566" s="46" t="str">
        <f>IF(VLOOKUP($C566,REV!$C:$AA,23,0)-'TRADE IN'!$F575=0,"",(VLOOKUP($C566,REV!$C:$AA,23,0)-'TRADE IN'!$F566))</f>
        <v/>
      </c>
      <c r="Z566" s="46" t="str">
        <f>IF(VLOOKUP($C566,REV!$C:$AA,24,0)-'TRADE IN'!$F575=0,"",(VLOOKUP($C566,REV!$C:$AA,24,0)-'TRADE IN'!$F566))</f>
        <v/>
      </c>
      <c r="AA566" s="46" t="str">
        <f>IF(VLOOKUP($C566,REV!$C:$AA,25,0)-'TRADE IN'!$F575=0,"",(VLOOKUP($C566,REV!$C:$AA,25,0)-'TRADE IN'!$F566))</f>
        <v/>
      </c>
      <c r="AB566" s="46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7"/>
      <c r="AW566" s="48" t="str">
        <f>IF(REV!AW566=0,"",REV!AW566)</f>
        <v>31.03.2026</v>
      </c>
      <c r="AX566" s="159" t="s">
        <v>66</v>
      </c>
    </row>
    <row r="567" spans="1:50" ht="22.5" customHeight="1">
      <c r="A567" s="50" t="s">
        <v>61</v>
      </c>
      <c r="B567" s="41" t="s">
        <v>62</v>
      </c>
      <c r="C567" s="42">
        <v>4012628</v>
      </c>
      <c r="D567" s="60" t="s">
        <v>782</v>
      </c>
      <c r="E567" s="42" t="s">
        <v>785</v>
      </c>
      <c r="F567" s="45"/>
      <c r="G567" s="45"/>
      <c r="H567" s="45"/>
      <c r="I567" s="45"/>
      <c r="J567" s="46">
        <f>IF(VLOOKUP($C567,REV!$C:$AA,8,0)-'TRADE IN'!$F567=0,"",(VLOOKUP($C567,REV!$C:$AA,8,0)-'TRADE IN'!$F567))</f>
        <v>399</v>
      </c>
      <c r="K567" s="46">
        <f>IF(VLOOKUP($C567,REV!$C:$AA,9,0)-'TRADE IN'!$F567=0,"",(VLOOKUP($C567,REV!$C:$AA,9,0)-'TRADE IN'!$F567))</f>
        <v>399</v>
      </c>
      <c r="L567" s="46">
        <f>IF(VLOOKUP($C567,REV!$C:$AA,10,0)-'TRADE IN'!$F576=0,"",(VLOOKUP($C567,REV!$C:$AA,10,0)-'TRADE IN'!$F567))</f>
        <v>399</v>
      </c>
      <c r="M567" s="46">
        <f>IF(VLOOKUP($C567,REV!$C:$AA,11,0)-'TRADE IN'!$F576=0,"",(VLOOKUP($C567,REV!$C:$AA,11,0)-'TRADE IN'!$F567))</f>
        <v>399</v>
      </c>
      <c r="N567" s="46">
        <f>IF(VLOOKUP($C567,REV!$C:$AA,12,0)-'TRADE IN'!$F576=0,"",(VLOOKUP($C567,REV!$C:$AA,12,0)-'TRADE IN'!$F567))</f>
        <v>399</v>
      </c>
      <c r="O567" s="46" t="str">
        <f>IF(VLOOKUP($C567,REV!$C:$AA,13,0)-'TRADE IN'!$F576=0,"",(VLOOKUP($C567,REV!$C:$AA,13,0)-'TRADE IN'!$F567))</f>
        <v/>
      </c>
      <c r="P567" s="46" t="str">
        <f>IF(VLOOKUP($C567,REV!$C:$AA,14,0)-'TRADE IN'!$F576=0,"",(VLOOKUP($C567,REV!$C:$AA,14,0)-'TRADE IN'!$F567))</f>
        <v/>
      </c>
      <c r="Q567" s="46" t="str">
        <f>IF(VLOOKUP($C567,REV!$C:$AA,15,0)-'TRADE IN'!$F576=0,"",(VLOOKUP($C567,REV!$C:$AA,15,0)-'TRADE IN'!$F567))</f>
        <v/>
      </c>
      <c r="R567" s="46" t="str">
        <f>IF(VLOOKUP($C567,REV!$C:$AA,16,0)-'TRADE IN'!$F576=0,"",(VLOOKUP($C567,REV!$C:$AA,16,0)-'TRADE IN'!$F567))</f>
        <v/>
      </c>
      <c r="S567" s="46" t="str">
        <f>IF(VLOOKUP($C567,REV!$C:$AA,17,0)-'TRADE IN'!$F576=0,"",(VLOOKUP($C567,REV!$C:$AA,17,0)-'TRADE IN'!$F567))</f>
        <v/>
      </c>
      <c r="T567" s="46" t="str">
        <f>IF(VLOOKUP($C567,REV!$C:$AA,18,0)-'TRADE IN'!$F576=0,"",(VLOOKUP($C567,REV!$C:$AA,18,0)-'TRADE IN'!$F567))</f>
        <v/>
      </c>
      <c r="U567" s="46" t="str">
        <f>IF(VLOOKUP($C567,REV!$C:$AA,19,0)-'TRADE IN'!$F576=0,"",(VLOOKUP($C567,REV!$C:$AA,19,0)-'TRADE IN'!$F567))</f>
        <v/>
      </c>
      <c r="V567" s="46" t="str">
        <f>IF(VLOOKUP($C567,REV!$C:$AA,20,0)-'TRADE IN'!$F576=0,"",(VLOOKUP($C567,REV!$C:$AA,20,0)-'TRADE IN'!$F567))</f>
        <v/>
      </c>
      <c r="W567" s="46" t="str">
        <f>IF(VLOOKUP($C567,REV!$C:$AA,21,0)-'TRADE IN'!$F576=0,"",(VLOOKUP($C567,REV!$C:$AA,21,0)-'TRADE IN'!$F567))</f>
        <v/>
      </c>
      <c r="X567" s="46" t="str">
        <f>IF(VLOOKUP($C567,REV!$C:$AA,22,0)-'TRADE IN'!$F576=0,"",(VLOOKUP($C567,REV!$C:$AA,22,0)-'TRADE IN'!$F567))</f>
        <v/>
      </c>
      <c r="Y567" s="46" t="str">
        <f>IF(VLOOKUP($C567,REV!$C:$AA,23,0)-'TRADE IN'!$F576=0,"",(VLOOKUP($C567,REV!$C:$AA,23,0)-'TRADE IN'!$F567))</f>
        <v/>
      </c>
      <c r="Z567" s="46" t="str">
        <f>IF(VLOOKUP($C567,REV!$C:$AA,24,0)-'TRADE IN'!$F576=0,"",(VLOOKUP($C567,REV!$C:$AA,24,0)-'TRADE IN'!$F567))</f>
        <v/>
      </c>
      <c r="AA567" s="46" t="str">
        <f>IF(VLOOKUP($C567,REV!$C:$AA,25,0)-'TRADE IN'!$F576=0,"",(VLOOKUP($C567,REV!$C:$AA,25,0)-'TRADE IN'!$F567))</f>
        <v/>
      </c>
      <c r="AB567" s="46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7"/>
      <c r="AW567" s="48" t="str">
        <f>IF(REV!AW567=0,"",REV!AW567)</f>
        <v>31.03.2026</v>
      </c>
      <c r="AX567" s="159" t="s">
        <v>66</v>
      </c>
    </row>
    <row r="568" spans="1:50" ht="22.5" customHeight="1">
      <c r="A568" s="50" t="s">
        <v>61</v>
      </c>
      <c r="B568" s="41" t="s">
        <v>62</v>
      </c>
      <c r="C568" s="42">
        <v>4012629</v>
      </c>
      <c r="D568" s="60" t="s">
        <v>782</v>
      </c>
      <c r="E568" s="42" t="s">
        <v>786</v>
      </c>
      <c r="F568" s="45"/>
      <c r="G568" s="45"/>
      <c r="H568" s="45"/>
      <c r="I568" s="45"/>
      <c r="J568" s="46">
        <f>IF(VLOOKUP($C568,REV!$C:$AA,8,0)-'TRADE IN'!$F568=0,"",(VLOOKUP($C568,REV!$C:$AA,8,0)-'TRADE IN'!$F568))</f>
        <v>399</v>
      </c>
      <c r="K568" s="46">
        <f>IF(VLOOKUP($C568,REV!$C:$AA,9,0)-'TRADE IN'!$F568=0,"",(VLOOKUP($C568,REV!$C:$AA,9,0)-'TRADE IN'!$F568))</f>
        <v>399</v>
      </c>
      <c r="L568" s="46">
        <f>IF(VLOOKUP($C568,REV!$C:$AA,10,0)-'TRADE IN'!$F577=0,"",(VLOOKUP($C568,REV!$C:$AA,10,0)-'TRADE IN'!$F568))</f>
        <v>399</v>
      </c>
      <c r="M568" s="46">
        <f>IF(VLOOKUP($C568,REV!$C:$AA,11,0)-'TRADE IN'!$F577=0,"",(VLOOKUP($C568,REV!$C:$AA,11,0)-'TRADE IN'!$F568))</f>
        <v>399</v>
      </c>
      <c r="N568" s="46">
        <f>IF(VLOOKUP($C568,REV!$C:$AA,12,0)-'TRADE IN'!$F577=0,"",(VLOOKUP($C568,REV!$C:$AA,12,0)-'TRADE IN'!$F568))</f>
        <v>399</v>
      </c>
      <c r="O568" s="46" t="str">
        <f>IF(VLOOKUP($C568,REV!$C:$AA,13,0)-'TRADE IN'!$F577=0,"",(VLOOKUP($C568,REV!$C:$AA,13,0)-'TRADE IN'!$F568))</f>
        <v/>
      </c>
      <c r="P568" s="46" t="str">
        <f>IF(VLOOKUP($C568,REV!$C:$AA,14,0)-'TRADE IN'!$F577=0,"",(VLOOKUP($C568,REV!$C:$AA,14,0)-'TRADE IN'!$F568))</f>
        <v/>
      </c>
      <c r="Q568" s="46" t="str">
        <f>IF(VLOOKUP($C568,REV!$C:$AA,15,0)-'TRADE IN'!$F577=0,"",(VLOOKUP($C568,REV!$C:$AA,15,0)-'TRADE IN'!$F568))</f>
        <v/>
      </c>
      <c r="R568" s="46" t="str">
        <f>IF(VLOOKUP($C568,REV!$C:$AA,16,0)-'TRADE IN'!$F577=0,"",(VLOOKUP($C568,REV!$C:$AA,16,0)-'TRADE IN'!$F568))</f>
        <v/>
      </c>
      <c r="S568" s="46" t="str">
        <f>IF(VLOOKUP($C568,REV!$C:$AA,17,0)-'TRADE IN'!$F577=0,"",(VLOOKUP($C568,REV!$C:$AA,17,0)-'TRADE IN'!$F568))</f>
        <v/>
      </c>
      <c r="T568" s="46" t="str">
        <f>IF(VLOOKUP($C568,REV!$C:$AA,18,0)-'TRADE IN'!$F577=0,"",(VLOOKUP($C568,REV!$C:$AA,18,0)-'TRADE IN'!$F568))</f>
        <v/>
      </c>
      <c r="U568" s="46" t="str">
        <f>IF(VLOOKUP($C568,REV!$C:$AA,19,0)-'TRADE IN'!$F577=0,"",(VLOOKUP($C568,REV!$C:$AA,19,0)-'TRADE IN'!$F568))</f>
        <v/>
      </c>
      <c r="V568" s="46" t="str">
        <f>IF(VLOOKUP($C568,REV!$C:$AA,20,0)-'TRADE IN'!$F577=0,"",(VLOOKUP($C568,REV!$C:$AA,20,0)-'TRADE IN'!$F568))</f>
        <v/>
      </c>
      <c r="W568" s="46" t="str">
        <f>IF(VLOOKUP($C568,REV!$C:$AA,21,0)-'TRADE IN'!$F577=0,"",(VLOOKUP($C568,REV!$C:$AA,21,0)-'TRADE IN'!$F568))</f>
        <v/>
      </c>
      <c r="X568" s="46" t="str">
        <f>IF(VLOOKUP($C568,REV!$C:$AA,22,0)-'TRADE IN'!$F577=0,"",(VLOOKUP($C568,REV!$C:$AA,22,0)-'TRADE IN'!$F568))</f>
        <v/>
      </c>
      <c r="Y568" s="46" t="str">
        <f>IF(VLOOKUP($C568,REV!$C:$AA,23,0)-'TRADE IN'!$F577=0,"",(VLOOKUP($C568,REV!$C:$AA,23,0)-'TRADE IN'!$F568))</f>
        <v/>
      </c>
      <c r="Z568" s="46" t="str">
        <f>IF(VLOOKUP($C568,REV!$C:$AA,24,0)-'TRADE IN'!$F577=0,"",(VLOOKUP($C568,REV!$C:$AA,24,0)-'TRADE IN'!$F568))</f>
        <v/>
      </c>
      <c r="AA568" s="46" t="str">
        <f>IF(VLOOKUP($C568,REV!$C:$AA,25,0)-'TRADE IN'!$F577=0,"",(VLOOKUP($C568,REV!$C:$AA,25,0)-'TRADE IN'!$F568))</f>
        <v/>
      </c>
      <c r="AB568" s="46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7"/>
      <c r="AW568" s="48" t="str">
        <f>IF(REV!AW568=0,"",REV!AW568)</f>
        <v>31.03.2026</v>
      </c>
      <c r="AX568" s="159" t="s">
        <v>66</v>
      </c>
    </row>
    <row r="569" spans="1:50" ht="22.5" customHeight="1">
      <c r="A569" s="50" t="s">
        <v>61</v>
      </c>
      <c r="B569" s="41" t="s">
        <v>62</v>
      </c>
      <c r="C569" s="42">
        <v>4008626</v>
      </c>
      <c r="D569" s="64" t="s">
        <v>787</v>
      </c>
      <c r="E569" s="65" t="s">
        <v>788</v>
      </c>
      <c r="F569" s="45"/>
      <c r="G569" s="45"/>
      <c r="H569" s="46"/>
      <c r="I569" s="46"/>
      <c r="J569" s="46">
        <f>IF(VLOOKUP($C569,REV!$C:$AA,8,0)-'TRADE IN'!$F569=0,"",(VLOOKUP($C569,REV!$C:$AA,8,0)-'TRADE IN'!$F569))</f>
        <v>799</v>
      </c>
      <c r="K569" s="46">
        <f>IF(VLOOKUP($C569,REV!$C:$AA,9,0)-'TRADE IN'!$F569=0,"",(VLOOKUP($C569,REV!$C:$AA,9,0)-'TRADE IN'!$F569))</f>
        <v>799</v>
      </c>
      <c r="L569" s="46">
        <f>IF(VLOOKUP($C569,REV!$C:$AA,10,0)-'TRADE IN'!$F578=0,"",(VLOOKUP($C569,REV!$C:$AA,10,0)-'TRADE IN'!$F569))</f>
        <v>799</v>
      </c>
      <c r="M569" s="46">
        <f>IF(VLOOKUP($C569,REV!$C:$AA,11,0)-'TRADE IN'!$F578=0,"",(VLOOKUP($C569,REV!$C:$AA,11,0)-'TRADE IN'!$F569))</f>
        <v>799</v>
      </c>
      <c r="N569" s="46">
        <f>IF(VLOOKUP($C569,REV!$C:$AA,12,0)-'TRADE IN'!$F578=0,"",(VLOOKUP($C569,REV!$C:$AA,12,0)-'TRADE IN'!$F569))</f>
        <v>799</v>
      </c>
      <c r="O569" s="46">
        <f>IF(VLOOKUP($C569,REV!$C:$AA,13,0)-'TRADE IN'!$F578=0,"",(VLOOKUP($C569,REV!$C:$AA,13,0)-'TRADE IN'!$F569))</f>
        <v>699</v>
      </c>
      <c r="P569" s="46">
        <f>IF(VLOOKUP($C569,REV!$C:$AA,14,0)-'TRADE IN'!$F578=0,"",(VLOOKUP($C569,REV!$C:$AA,14,0)-'TRADE IN'!$F569))</f>
        <v>579</v>
      </c>
      <c r="Q569" s="46">
        <f>IF(VLOOKUP($C569,REV!$C:$AA,15,0)-'TRADE IN'!$F578=0,"",(VLOOKUP($C569,REV!$C:$AA,15,0)-'TRADE IN'!$F569))</f>
        <v>449</v>
      </c>
      <c r="R569" s="46">
        <f>IF(VLOOKUP($C569,REV!$C:$AA,16,0)-'TRADE IN'!$F578=0,"",(VLOOKUP($C569,REV!$C:$AA,16,0)-'TRADE IN'!$F569))</f>
        <v>699</v>
      </c>
      <c r="S569" s="46">
        <f>IF(VLOOKUP($C569,REV!$C:$AA,17,0)-'TRADE IN'!$F578=0,"",(VLOOKUP($C569,REV!$C:$AA,17,0)-'TRADE IN'!$F569))</f>
        <v>579</v>
      </c>
      <c r="T569" s="46">
        <f>IF(VLOOKUP($C569,REV!$C:$AA,18,0)-'TRADE IN'!$F578=0,"",(VLOOKUP($C569,REV!$C:$AA,18,0)-'TRADE IN'!$F569))</f>
        <v>449</v>
      </c>
      <c r="U569" s="46">
        <f>IF(VLOOKUP($C569,REV!$C:$AA,19,0)-'TRADE IN'!$F578=0,"",(VLOOKUP($C569,REV!$C:$AA,19,0)-'TRADE IN'!$F569))</f>
        <v>449</v>
      </c>
      <c r="V569" s="46">
        <f>IF(VLOOKUP($C569,REV!$C:$AA,20,0)-'TRADE IN'!$F578=0,"",(VLOOKUP($C569,REV!$C:$AA,20,0)-'TRADE IN'!$F569))</f>
        <v>449</v>
      </c>
      <c r="W569" s="46">
        <f>IF(VLOOKUP($C569,REV!$C:$AA,21,0)-'TRADE IN'!$F578=0,"",(VLOOKUP($C569,REV!$C:$AA,21,0)-'TRADE IN'!$F569))</f>
        <v>449</v>
      </c>
      <c r="X569" s="46">
        <f>IF(VLOOKUP($C569,REV!$C:$AA,22,0)-'TRADE IN'!$F578=0,"",(VLOOKUP($C569,REV!$C:$AA,22,0)-'TRADE IN'!$F569))</f>
        <v>399</v>
      </c>
      <c r="Y569" s="46">
        <f>IF(VLOOKUP($C569,REV!$C:$AA,23,0)-'TRADE IN'!$F578=0,"",(VLOOKUP($C569,REV!$C:$AA,23,0)-'TRADE IN'!$F569))</f>
        <v>349</v>
      </c>
      <c r="Z569" s="46">
        <f>IF(VLOOKUP($C569,REV!$C:$AA,24,0)-'TRADE IN'!$F578=0,"",(VLOOKUP($C569,REV!$C:$AA,24,0)-'TRADE IN'!$F569))</f>
        <v>349</v>
      </c>
      <c r="AA569" s="46">
        <f>IF(VLOOKUP($C569,REV!$C:$AA,25,0)-'TRADE IN'!$F578=0,"",(VLOOKUP($C569,REV!$C:$AA,25,0)-'TRADE IN'!$F569))</f>
        <v>309</v>
      </c>
      <c r="AB569" s="46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7"/>
      <c r="AW569" s="48" t="str">
        <f>IF(REV!AW569=0,"",REV!AW569)</f>
        <v>31.03.2026</v>
      </c>
      <c r="AX569" s="159" t="s">
        <v>66</v>
      </c>
    </row>
    <row r="570" spans="1:50" ht="22.5" customHeight="1">
      <c r="A570" s="50" t="s">
        <v>61</v>
      </c>
      <c r="B570" s="41" t="s">
        <v>62</v>
      </c>
      <c r="C570" s="42">
        <v>4008625</v>
      </c>
      <c r="D570" s="64" t="s">
        <v>787</v>
      </c>
      <c r="E570" s="65" t="s">
        <v>789</v>
      </c>
      <c r="F570" s="45"/>
      <c r="G570" s="45"/>
      <c r="H570" s="46"/>
      <c r="I570" s="46"/>
      <c r="J570" s="46">
        <f>IF(VLOOKUP($C570,REV!$C:$AA,8,0)-'TRADE IN'!$F570=0,"",(VLOOKUP($C570,REV!$C:$AA,8,0)-'TRADE IN'!$F570))</f>
        <v>799</v>
      </c>
      <c r="K570" s="46">
        <f>IF(VLOOKUP($C570,REV!$C:$AA,9,0)-'TRADE IN'!$F570=0,"",(VLOOKUP($C570,REV!$C:$AA,9,0)-'TRADE IN'!$F570))</f>
        <v>799</v>
      </c>
      <c r="L570" s="46">
        <f>IF(VLOOKUP($C570,REV!$C:$AA,10,0)-'TRADE IN'!$F579=0,"",(VLOOKUP($C570,REV!$C:$AA,10,0)-'TRADE IN'!$F570))</f>
        <v>799</v>
      </c>
      <c r="M570" s="46">
        <f>IF(VLOOKUP($C570,REV!$C:$AA,11,0)-'TRADE IN'!$F579=0,"",(VLOOKUP($C570,REV!$C:$AA,11,0)-'TRADE IN'!$F570))</f>
        <v>799</v>
      </c>
      <c r="N570" s="46">
        <f>IF(VLOOKUP($C570,REV!$C:$AA,12,0)-'TRADE IN'!$F579=0,"",(VLOOKUP($C570,REV!$C:$AA,12,0)-'TRADE IN'!$F570))</f>
        <v>799</v>
      </c>
      <c r="O570" s="46">
        <f>IF(VLOOKUP($C570,REV!$C:$AA,13,0)-'TRADE IN'!$F579=0,"",(VLOOKUP($C570,REV!$C:$AA,13,0)-'TRADE IN'!$F570))</f>
        <v>699</v>
      </c>
      <c r="P570" s="46">
        <f>IF(VLOOKUP($C570,REV!$C:$AA,14,0)-'TRADE IN'!$F579=0,"",(VLOOKUP($C570,REV!$C:$AA,14,0)-'TRADE IN'!$F570))</f>
        <v>579</v>
      </c>
      <c r="Q570" s="46">
        <f>IF(VLOOKUP($C570,REV!$C:$AA,15,0)-'TRADE IN'!$F579=0,"",(VLOOKUP($C570,REV!$C:$AA,15,0)-'TRADE IN'!$F570))</f>
        <v>449</v>
      </c>
      <c r="R570" s="46">
        <f>IF(VLOOKUP($C570,REV!$C:$AA,16,0)-'TRADE IN'!$F579=0,"",(VLOOKUP($C570,REV!$C:$AA,16,0)-'TRADE IN'!$F570))</f>
        <v>699</v>
      </c>
      <c r="S570" s="46">
        <f>IF(VLOOKUP($C570,REV!$C:$AA,17,0)-'TRADE IN'!$F579=0,"",(VLOOKUP($C570,REV!$C:$AA,17,0)-'TRADE IN'!$F570))</f>
        <v>579</v>
      </c>
      <c r="T570" s="46">
        <f>IF(VLOOKUP($C570,REV!$C:$AA,18,0)-'TRADE IN'!$F579=0,"",(VLOOKUP($C570,REV!$C:$AA,18,0)-'TRADE IN'!$F570))</f>
        <v>449</v>
      </c>
      <c r="U570" s="46">
        <f>IF(VLOOKUP($C570,REV!$C:$AA,19,0)-'TRADE IN'!$F579=0,"",(VLOOKUP($C570,REV!$C:$AA,19,0)-'TRADE IN'!$F570))</f>
        <v>449</v>
      </c>
      <c r="V570" s="46">
        <f>IF(VLOOKUP($C570,REV!$C:$AA,20,0)-'TRADE IN'!$F579=0,"",(VLOOKUP($C570,REV!$C:$AA,20,0)-'TRADE IN'!$F570))</f>
        <v>449</v>
      </c>
      <c r="W570" s="46">
        <f>IF(VLOOKUP($C570,REV!$C:$AA,21,0)-'TRADE IN'!$F579=0,"",(VLOOKUP($C570,REV!$C:$AA,21,0)-'TRADE IN'!$F570))</f>
        <v>449</v>
      </c>
      <c r="X570" s="46">
        <f>IF(VLOOKUP($C570,REV!$C:$AA,22,0)-'TRADE IN'!$F579=0,"",(VLOOKUP($C570,REV!$C:$AA,22,0)-'TRADE IN'!$F570))</f>
        <v>399</v>
      </c>
      <c r="Y570" s="46">
        <f>IF(VLOOKUP($C570,REV!$C:$AA,23,0)-'TRADE IN'!$F579=0,"",(VLOOKUP($C570,REV!$C:$AA,23,0)-'TRADE IN'!$F570))</f>
        <v>349</v>
      </c>
      <c r="Z570" s="46">
        <f>IF(VLOOKUP($C570,REV!$C:$AA,24,0)-'TRADE IN'!$F579=0,"",(VLOOKUP($C570,REV!$C:$AA,24,0)-'TRADE IN'!$F570))</f>
        <v>349</v>
      </c>
      <c r="AA570" s="46">
        <f>IF(VLOOKUP($C570,REV!$C:$AA,25,0)-'TRADE IN'!$F579=0,"",(VLOOKUP($C570,REV!$C:$AA,25,0)-'TRADE IN'!$F570))</f>
        <v>309</v>
      </c>
      <c r="AB570" s="46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7"/>
      <c r="AW570" s="48" t="str">
        <f>IF(REV!AW570=0,"",REV!AW570)</f>
        <v>31.03.2026</v>
      </c>
      <c r="AX570" s="159" t="s">
        <v>66</v>
      </c>
    </row>
    <row r="571" spans="1:50" ht="22.5" customHeight="1">
      <c r="A571" s="50" t="s">
        <v>61</v>
      </c>
      <c r="B571" s="41" t="s">
        <v>62</v>
      </c>
      <c r="C571" s="42">
        <v>4013494</v>
      </c>
      <c r="D571" s="65" t="s">
        <v>790</v>
      </c>
      <c r="E571" s="65" t="s">
        <v>791</v>
      </c>
      <c r="F571" s="45"/>
      <c r="G571" s="45"/>
      <c r="H571" s="45"/>
      <c r="I571" s="45"/>
      <c r="J571" s="46">
        <f>IF(VLOOKUP($C571,REV!$C:$AA,8,0)-'TRADE IN'!$F571=0,"",(VLOOKUP($C571,REV!$C:$AA,8,0)-'TRADE IN'!$F571))</f>
        <v>399</v>
      </c>
      <c r="K571" s="46">
        <f>IF(VLOOKUP($C571,REV!$C:$AA,9,0)-'TRADE IN'!$F571=0,"",(VLOOKUP($C571,REV!$C:$AA,9,0)-'TRADE IN'!$F571))</f>
        <v>399</v>
      </c>
      <c r="L571" s="46">
        <f>IF(VLOOKUP($C571,REV!$C:$AA,10,0)-'TRADE IN'!$F580=0,"",(VLOOKUP($C571,REV!$C:$AA,10,0)-'TRADE IN'!$F571))</f>
        <v>399</v>
      </c>
      <c r="M571" s="46">
        <f>IF(VLOOKUP($C571,REV!$C:$AA,11,0)-'TRADE IN'!$F580=0,"",(VLOOKUP($C571,REV!$C:$AA,11,0)-'TRADE IN'!$F571))</f>
        <v>399</v>
      </c>
      <c r="N571" s="46">
        <f>IF(VLOOKUP($C571,REV!$C:$AA,12,0)-'TRADE IN'!$F580=0,"",(VLOOKUP($C571,REV!$C:$AA,12,0)-'TRADE IN'!$F571))</f>
        <v>399</v>
      </c>
      <c r="O571" s="46">
        <f>IF(VLOOKUP($C571,REV!$C:$AA,13,0)-'TRADE IN'!$F580=0,"",(VLOOKUP($C571,REV!$C:$AA,13,0)-'TRADE IN'!$F571))</f>
        <v>299</v>
      </c>
      <c r="P571" s="46">
        <f>IF(VLOOKUP($C571,REV!$C:$AA,14,0)-'TRADE IN'!$F580=0,"",(VLOOKUP($C571,REV!$C:$AA,14,0)-'TRADE IN'!$F571))</f>
        <v>249</v>
      </c>
      <c r="Q571" s="46">
        <f>IF(VLOOKUP($C571,REV!$C:$AA,15,0)-'TRADE IN'!$F580=0,"",(VLOOKUP($C571,REV!$C:$AA,15,0)-'TRADE IN'!$F571))</f>
        <v>249</v>
      </c>
      <c r="R571" s="46">
        <f>IF(VLOOKUP($C571,REV!$C:$AA,16,0)-'TRADE IN'!$F580=0,"",(VLOOKUP($C571,REV!$C:$AA,16,0)-'TRADE IN'!$F571))</f>
        <v>299</v>
      </c>
      <c r="S571" s="46">
        <f>IF(VLOOKUP($C571,REV!$C:$AA,17,0)-'TRADE IN'!$F580=0,"",(VLOOKUP($C571,REV!$C:$AA,17,0)-'TRADE IN'!$F571))</f>
        <v>249</v>
      </c>
      <c r="T571" s="46">
        <f>IF(VLOOKUP($C571,REV!$C:$AA,18,0)-'TRADE IN'!$F580=0,"",(VLOOKUP($C571,REV!$C:$AA,18,0)-'TRADE IN'!$F571))</f>
        <v>249</v>
      </c>
      <c r="U571" s="46">
        <f>IF(VLOOKUP($C571,REV!$C:$AA,19,0)-'TRADE IN'!$F580=0,"",(VLOOKUP($C571,REV!$C:$AA,19,0)-'TRADE IN'!$F571))</f>
        <v>249</v>
      </c>
      <c r="V571" s="46">
        <f>IF(VLOOKUP($C571,REV!$C:$AA,20,0)-'TRADE IN'!$F580=0,"",(VLOOKUP($C571,REV!$C:$AA,20,0)-'TRADE IN'!$F571))</f>
        <v>249</v>
      </c>
      <c r="W571" s="46">
        <f>IF(VLOOKUP($C571,REV!$C:$AA,21,0)-'TRADE IN'!$F580=0,"",(VLOOKUP($C571,REV!$C:$AA,21,0)-'TRADE IN'!$F571))</f>
        <v>249</v>
      </c>
      <c r="X571" s="46">
        <f>IF(VLOOKUP($C571,REV!$C:$AA,22,0)-'TRADE IN'!$F580=0,"",(VLOOKUP($C571,REV!$C:$AA,22,0)-'TRADE IN'!$F571))</f>
        <v>249</v>
      </c>
      <c r="Y571" s="46">
        <f>IF(VLOOKUP($C571,REV!$C:$AA,23,0)-'TRADE IN'!$F580=0,"",(VLOOKUP($C571,REV!$C:$AA,23,0)-'TRADE IN'!$F571))</f>
        <v>249</v>
      </c>
      <c r="Z571" s="46">
        <f>IF(VLOOKUP($C571,REV!$C:$AA,24,0)-'TRADE IN'!$F580=0,"",(VLOOKUP($C571,REV!$C:$AA,24,0)-'TRADE IN'!$F571))</f>
        <v>249</v>
      </c>
      <c r="AA571" s="46">
        <f>IF(VLOOKUP($C571,REV!$C:$AA,25,0)-'TRADE IN'!$F580=0,"",(VLOOKUP($C571,REV!$C:$AA,25,0)-'TRADE IN'!$F571))</f>
        <v>249</v>
      </c>
      <c r="AB571" s="46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7"/>
      <c r="AW571" s="48" t="str">
        <f>IF(REV!AW571=0,"",REV!AW571)</f>
        <v>31.03.2026</v>
      </c>
      <c r="AX571" s="159" t="s">
        <v>66</v>
      </c>
    </row>
    <row r="572" spans="1:50" ht="22.5" customHeight="1">
      <c r="A572" s="50" t="s">
        <v>61</v>
      </c>
      <c r="B572" s="41" t="s">
        <v>62</v>
      </c>
      <c r="C572" s="42">
        <v>4013497</v>
      </c>
      <c r="D572" s="65" t="s">
        <v>790</v>
      </c>
      <c r="E572" s="65" t="s">
        <v>792</v>
      </c>
      <c r="F572" s="45"/>
      <c r="G572" s="45"/>
      <c r="H572" s="45"/>
      <c r="I572" s="45"/>
      <c r="J572" s="46">
        <f>IF(VLOOKUP($C572,REV!$C:$AA,8,0)-'TRADE IN'!$F572=0,"",(VLOOKUP($C572,REV!$C:$AA,8,0)-'TRADE IN'!$F572))</f>
        <v>399</v>
      </c>
      <c r="K572" s="46">
        <f>IF(VLOOKUP($C572,REV!$C:$AA,9,0)-'TRADE IN'!$F572=0,"",(VLOOKUP($C572,REV!$C:$AA,9,0)-'TRADE IN'!$F572))</f>
        <v>399</v>
      </c>
      <c r="L572" s="46">
        <f>IF(VLOOKUP($C572,REV!$C:$AA,10,0)-'TRADE IN'!$F581=0,"",(VLOOKUP($C572,REV!$C:$AA,10,0)-'TRADE IN'!$F572))</f>
        <v>399</v>
      </c>
      <c r="M572" s="46">
        <f>IF(VLOOKUP($C572,REV!$C:$AA,11,0)-'TRADE IN'!$F581=0,"",(VLOOKUP($C572,REV!$C:$AA,11,0)-'TRADE IN'!$F572))</f>
        <v>399</v>
      </c>
      <c r="N572" s="46">
        <f>IF(VLOOKUP($C572,REV!$C:$AA,12,0)-'TRADE IN'!$F581=0,"",(VLOOKUP($C572,REV!$C:$AA,12,0)-'TRADE IN'!$F572))</f>
        <v>399</v>
      </c>
      <c r="O572" s="46">
        <f>IF(VLOOKUP($C572,REV!$C:$AA,13,0)-'TRADE IN'!$F581=0,"",(VLOOKUP($C572,REV!$C:$AA,13,0)-'TRADE IN'!$F572))</f>
        <v>299</v>
      </c>
      <c r="P572" s="46">
        <f>IF(VLOOKUP($C572,REV!$C:$AA,14,0)-'TRADE IN'!$F581=0,"",(VLOOKUP($C572,REV!$C:$AA,14,0)-'TRADE IN'!$F572))</f>
        <v>249</v>
      </c>
      <c r="Q572" s="46">
        <f>IF(VLOOKUP($C572,REV!$C:$AA,15,0)-'TRADE IN'!$F581=0,"",(VLOOKUP($C572,REV!$C:$AA,15,0)-'TRADE IN'!$F572))</f>
        <v>249</v>
      </c>
      <c r="R572" s="46">
        <f>IF(VLOOKUP($C572,REV!$C:$AA,16,0)-'TRADE IN'!$F581=0,"",(VLOOKUP($C572,REV!$C:$AA,16,0)-'TRADE IN'!$F572))</f>
        <v>299</v>
      </c>
      <c r="S572" s="46">
        <f>IF(VLOOKUP($C572,REV!$C:$AA,17,0)-'TRADE IN'!$F581=0,"",(VLOOKUP($C572,REV!$C:$AA,17,0)-'TRADE IN'!$F572))</f>
        <v>249</v>
      </c>
      <c r="T572" s="46">
        <f>IF(VLOOKUP($C572,REV!$C:$AA,18,0)-'TRADE IN'!$F581=0,"",(VLOOKUP($C572,REV!$C:$AA,18,0)-'TRADE IN'!$F572))</f>
        <v>249</v>
      </c>
      <c r="U572" s="46">
        <f>IF(VLOOKUP($C572,REV!$C:$AA,19,0)-'TRADE IN'!$F581=0,"",(VLOOKUP($C572,REV!$C:$AA,19,0)-'TRADE IN'!$F572))</f>
        <v>249</v>
      </c>
      <c r="V572" s="46">
        <f>IF(VLOOKUP($C572,REV!$C:$AA,20,0)-'TRADE IN'!$F581=0,"",(VLOOKUP($C572,REV!$C:$AA,20,0)-'TRADE IN'!$F572))</f>
        <v>249</v>
      </c>
      <c r="W572" s="46">
        <f>IF(VLOOKUP($C572,REV!$C:$AA,21,0)-'TRADE IN'!$F581=0,"",(VLOOKUP($C572,REV!$C:$AA,21,0)-'TRADE IN'!$F572))</f>
        <v>249</v>
      </c>
      <c r="X572" s="46">
        <f>IF(VLOOKUP($C572,REV!$C:$AA,22,0)-'TRADE IN'!$F581=0,"",(VLOOKUP($C572,REV!$C:$AA,22,0)-'TRADE IN'!$F572))</f>
        <v>249</v>
      </c>
      <c r="Y572" s="46">
        <f>IF(VLOOKUP($C572,REV!$C:$AA,23,0)-'TRADE IN'!$F581=0,"",(VLOOKUP($C572,REV!$C:$AA,23,0)-'TRADE IN'!$F572))</f>
        <v>249</v>
      </c>
      <c r="Z572" s="46">
        <f>IF(VLOOKUP($C572,REV!$C:$AA,24,0)-'TRADE IN'!$F581=0,"",(VLOOKUP($C572,REV!$C:$AA,24,0)-'TRADE IN'!$F572))</f>
        <v>249</v>
      </c>
      <c r="AA572" s="46">
        <f>IF(VLOOKUP($C572,REV!$C:$AA,25,0)-'TRADE IN'!$F581=0,"",(VLOOKUP($C572,REV!$C:$AA,25,0)-'TRADE IN'!$F572))</f>
        <v>249</v>
      </c>
      <c r="AB572" s="46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7"/>
      <c r="AW572" s="48" t="str">
        <f>IF(REV!AW572=0,"",REV!AW572)</f>
        <v>31.03.2026</v>
      </c>
      <c r="AX572" s="159" t="s">
        <v>66</v>
      </c>
    </row>
    <row r="573" spans="1:50" ht="22.5" customHeight="1">
      <c r="A573" s="52" t="s">
        <v>70</v>
      </c>
      <c r="B573" s="41" t="s">
        <v>62</v>
      </c>
      <c r="C573" s="42">
        <v>4013512</v>
      </c>
      <c r="D573" s="44" t="s">
        <v>793</v>
      </c>
      <c r="E573" s="44" t="s">
        <v>794</v>
      </c>
      <c r="F573" s="45"/>
      <c r="G573" s="45"/>
      <c r="H573" s="46"/>
      <c r="I573" s="46"/>
      <c r="J573" s="46">
        <f>IF(VLOOKUP($C573,REV!$C:$AA,8,0)-'TRADE IN'!$F573=0,"",(VLOOKUP($C573,REV!$C:$AA,8,0)-'TRADE IN'!$F573))</f>
        <v>899</v>
      </c>
      <c r="K573" s="46">
        <f>IF(VLOOKUP($C573,REV!$C:$AA,9,0)-'TRADE IN'!$F573=0,"",(VLOOKUP($C573,REV!$C:$AA,9,0)-'TRADE IN'!$F573))</f>
        <v>899</v>
      </c>
      <c r="L573" s="46">
        <f>IF(VLOOKUP($C573,REV!$C:$AA,10,0)-'TRADE IN'!$F582=0,"",(VLOOKUP($C573,REV!$C:$AA,10,0)-'TRADE IN'!$F573))</f>
        <v>899</v>
      </c>
      <c r="M573" s="46">
        <f>IF(VLOOKUP($C573,REV!$C:$AA,11,0)-'TRADE IN'!$F582=0,"",(VLOOKUP($C573,REV!$C:$AA,11,0)-'TRADE IN'!$F573))</f>
        <v>899</v>
      </c>
      <c r="N573" s="46">
        <f>IF(VLOOKUP($C573,REV!$C:$AA,12,0)-'TRADE IN'!$F582=0,"",(VLOOKUP($C573,REV!$C:$AA,12,0)-'TRADE IN'!$F573))</f>
        <v>899</v>
      </c>
      <c r="O573" s="46">
        <f>IF(VLOOKUP($C573,REV!$C:$AA,13,0)-'TRADE IN'!$F582=0,"",(VLOOKUP($C573,REV!$C:$AA,13,0)-'TRADE IN'!$F573))</f>
        <v>799</v>
      </c>
      <c r="P573" s="46">
        <f>IF(VLOOKUP($C573,REV!$C:$AA,14,0)-'TRADE IN'!$F582=0,"",(VLOOKUP($C573,REV!$C:$AA,14,0)-'TRADE IN'!$F573))</f>
        <v>699</v>
      </c>
      <c r="Q573" s="46">
        <f>IF(VLOOKUP($C573,REV!$C:$AA,15,0)-'TRADE IN'!$F582=0,"",(VLOOKUP($C573,REV!$C:$AA,15,0)-'TRADE IN'!$F573))</f>
        <v>599</v>
      </c>
      <c r="R573" s="46">
        <f>IF(VLOOKUP($C573,REV!$C:$AA,16,0)-'TRADE IN'!$F582=0,"",(VLOOKUP($C573,REV!$C:$AA,16,0)-'TRADE IN'!$F573))</f>
        <v>799</v>
      </c>
      <c r="S573" s="46">
        <f>IF(VLOOKUP($C573,REV!$C:$AA,17,0)-'TRADE IN'!$F582=0,"",(VLOOKUP($C573,REV!$C:$AA,17,0)-'TRADE IN'!$F573))</f>
        <v>699</v>
      </c>
      <c r="T573" s="46">
        <f>IF(VLOOKUP($C573,REV!$C:$AA,18,0)-'TRADE IN'!$F582=0,"",(VLOOKUP($C573,REV!$C:$AA,18,0)-'TRADE IN'!$F573))</f>
        <v>599</v>
      </c>
      <c r="U573" s="46">
        <f>IF(VLOOKUP($C573,REV!$C:$AA,19,0)-'TRADE IN'!$F582=0,"",(VLOOKUP($C573,REV!$C:$AA,19,0)-'TRADE IN'!$F573))</f>
        <v>599</v>
      </c>
      <c r="V573" s="46">
        <f>IF(VLOOKUP($C573,REV!$C:$AA,20,0)-'TRADE IN'!$F582=0,"",(VLOOKUP($C573,REV!$C:$AA,20,0)-'TRADE IN'!$F573))</f>
        <v>599</v>
      </c>
      <c r="W573" s="46">
        <f>IF(VLOOKUP($C573,REV!$C:$AA,21,0)-'TRADE IN'!$F582=0,"",(VLOOKUP($C573,REV!$C:$AA,21,0)-'TRADE IN'!$F573))</f>
        <v>599</v>
      </c>
      <c r="X573" s="46">
        <f>IF(VLOOKUP($C573,REV!$C:$AA,22,0)-'TRADE IN'!$F582=0,"",(VLOOKUP($C573,REV!$C:$AA,22,0)-'TRADE IN'!$F573))</f>
        <v>499</v>
      </c>
      <c r="Y573" s="46">
        <f>IF(VLOOKUP($C573,REV!$C:$AA,23,0)-'TRADE IN'!$F582=0,"",(VLOOKUP($C573,REV!$C:$AA,23,0)-'TRADE IN'!$F573))</f>
        <v>449</v>
      </c>
      <c r="Z573" s="46">
        <f>IF(VLOOKUP($C573,REV!$C:$AA,24,0)-'TRADE IN'!$F582=0,"",(VLOOKUP($C573,REV!$C:$AA,24,0)-'TRADE IN'!$F573))</f>
        <v>449</v>
      </c>
      <c r="AA573" s="46">
        <f>IF(VLOOKUP($C573,REV!$C:$AA,25,0)-'TRADE IN'!$F582=0,"",(VLOOKUP($C573,REV!$C:$AA,25,0)-'TRADE IN'!$F573))</f>
        <v>449</v>
      </c>
      <c r="AB573" s="46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7"/>
      <c r="AW573" s="48" t="str">
        <f>IF(REV!AW573=0,"",REV!AW573)</f>
        <v>31.03.2026</v>
      </c>
      <c r="AX573" s="159" t="s">
        <v>66</v>
      </c>
    </row>
    <row r="574" spans="1:50" ht="22.5" customHeight="1">
      <c r="A574" s="52" t="s">
        <v>70</v>
      </c>
      <c r="B574" s="41" t="s">
        <v>62</v>
      </c>
      <c r="C574" s="42">
        <v>4013513</v>
      </c>
      <c r="D574" s="44" t="s">
        <v>793</v>
      </c>
      <c r="E574" s="44" t="s">
        <v>795</v>
      </c>
      <c r="F574" s="45"/>
      <c r="G574" s="45"/>
      <c r="H574" s="46"/>
      <c r="I574" s="46"/>
      <c r="J574" s="46">
        <f>IF(VLOOKUP($C574,REV!$C:$AA,8,0)-'TRADE IN'!$F574=0,"",(VLOOKUP($C574,REV!$C:$AA,8,0)-'TRADE IN'!$F574))</f>
        <v>899</v>
      </c>
      <c r="K574" s="46">
        <f>IF(VLOOKUP($C574,REV!$C:$AA,9,0)-'TRADE IN'!$F574=0,"",(VLOOKUP($C574,REV!$C:$AA,9,0)-'TRADE IN'!$F574))</f>
        <v>899</v>
      </c>
      <c r="L574" s="46">
        <f>IF(VLOOKUP($C574,REV!$C:$AA,10,0)-'TRADE IN'!$F583=0,"",(VLOOKUP($C574,REV!$C:$AA,10,0)-'TRADE IN'!$F574))</f>
        <v>899</v>
      </c>
      <c r="M574" s="46">
        <f>IF(VLOOKUP($C574,REV!$C:$AA,11,0)-'TRADE IN'!$F583=0,"",(VLOOKUP($C574,REV!$C:$AA,11,0)-'TRADE IN'!$F574))</f>
        <v>899</v>
      </c>
      <c r="N574" s="46">
        <f>IF(VLOOKUP($C574,REV!$C:$AA,12,0)-'TRADE IN'!$F583=0,"",(VLOOKUP($C574,REV!$C:$AA,12,0)-'TRADE IN'!$F574))</f>
        <v>899</v>
      </c>
      <c r="O574" s="46">
        <f>IF(VLOOKUP($C574,REV!$C:$AA,13,0)-'TRADE IN'!$F583=0,"",(VLOOKUP($C574,REV!$C:$AA,13,0)-'TRADE IN'!$F574))</f>
        <v>799</v>
      </c>
      <c r="P574" s="46">
        <f>IF(VLOOKUP($C574,REV!$C:$AA,14,0)-'TRADE IN'!$F583=0,"",(VLOOKUP($C574,REV!$C:$AA,14,0)-'TRADE IN'!$F574))</f>
        <v>699</v>
      </c>
      <c r="Q574" s="46">
        <f>IF(VLOOKUP($C574,REV!$C:$AA,15,0)-'TRADE IN'!$F583=0,"",(VLOOKUP($C574,REV!$C:$AA,15,0)-'TRADE IN'!$F574))</f>
        <v>599</v>
      </c>
      <c r="R574" s="46">
        <f>IF(VLOOKUP($C574,REV!$C:$AA,16,0)-'TRADE IN'!$F583=0,"",(VLOOKUP($C574,REV!$C:$AA,16,0)-'TRADE IN'!$F574))</f>
        <v>799</v>
      </c>
      <c r="S574" s="46">
        <f>IF(VLOOKUP($C574,REV!$C:$AA,17,0)-'TRADE IN'!$F583=0,"",(VLOOKUP($C574,REV!$C:$AA,17,0)-'TRADE IN'!$F574))</f>
        <v>699</v>
      </c>
      <c r="T574" s="46">
        <f>IF(VLOOKUP($C574,REV!$C:$AA,18,0)-'TRADE IN'!$F583=0,"",(VLOOKUP($C574,REV!$C:$AA,18,0)-'TRADE IN'!$F574))</f>
        <v>599</v>
      </c>
      <c r="U574" s="46">
        <f>IF(VLOOKUP($C574,REV!$C:$AA,19,0)-'TRADE IN'!$F583=0,"",(VLOOKUP($C574,REV!$C:$AA,19,0)-'TRADE IN'!$F574))</f>
        <v>599</v>
      </c>
      <c r="V574" s="46">
        <f>IF(VLOOKUP($C574,REV!$C:$AA,20,0)-'TRADE IN'!$F583=0,"",(VLOOKUP($C574,REV!$C:$AA,20,0)-'TRADE IN'!$F574))</f>
        <v>599</v>
      </c>
      <c r="W574" s="46">
        <f>IF(VLOOKUP($C574,REV!$C:$AA,21,0)-'TRADE IN'!$F583=0,"",(VLOOKUP($C574,REV!$C:$AA,21,0)-'TRADE IN'!$F574))</f>
        <v>599</v>
      </c>
      <c r="X574" s="46">
        <f>IF(VLOOKUP($C574,REV!$C:$AA,22,0)-'TRADE IN'!$F583=0,"",(VLOOKUP($C574,REV!$C:$AA,22,0)-'TRADE IN'!$F574))</f>
        <v>499</v>
      </c>
      <c r="Y574" s="46">
        <f>IF(VLOOKUP($C574,REV!$C:$AA,23,0)-'TRADE IN'!$F583=0,"",(VLOOKUP($C574,REV!$C:$AA,23,0)-'TRADE IN'!$F574))</f>
        <v>449</v>
      </c>
      <c r="Z574" s="46">
        <f>IF(VLOOKUP($C574,REV!$C:$AA,24,0)-'TRADE IN'!$F583=0,"",(VLOOKUP($C574,REV!$C:$AA,24,0)-'TRADE IN'!$F574))</f>
        <v>449</v>
      </c>
      <c r="AA574" s="46">
        <f>IF(VLOOKUP($C574,REV!$C:$AA,25,0)-'TRADE IN'!$F583=0,"",(VLOOKUP($C574,REV!$C:$AA,25,0)-'TRADE IN'!$F574))</f>
        <v>449</v>
      </c>
      <c r="AB574" s="46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7"/>
      <c r="AW574" s="48" t="str">
        <f>IF(REV!AW574=0,"",REV!AW574)</f>
        <v>31.03.2026</v>
      </c>
      <c r="AX574" s="159" t="s">
        <v>66</v>
      </c>
    </row>
    <row r="575" spans="1:50" ht="22.5" customHeight="1">
      <c r="A575" s="52" t="s">
        <v>70</v>
      </c>
      <c r="B575" s="41" t="s">
        <v>62</v>
      </c>
      <c r="C575" s="42">
        <v>4013514</v>
      </c>
      <c r="D575" s="44" t="s">
        <v>793</v>
      </c>
      <c r="E575" s="44" t="s">
        <v>796</v>
      </c>
      <c r="F575" s="45"/>
      <c r="G575" s="45"/>
      <c r="H575" s="46"/>
      <c r="I575" s="46"/>
      <c r="J575" s="46">
        <f>IF(VLOOKUP($C575,REV!$C:$AA,8,0)-'TRADE IN'!$F575=0,"",(VLOOKUP($C575,REV!$C:$AA,8,0)-'TRADE IN'!$F575))</f>
        <v>899</v>
      </c>
      <c r="K575" s="46">
        <f>IF(VLOOKUP($C575,REV!$C:$AA,9,0)-'TRADE IN'!$F575=0,"",(VLOOKUP($C575,REV!$C:$AA,9,0)-'TRADE IN'!$F575))</f>
        <v>899</v>
      </c>
      <c r="L575" s="46">
        <f>IF(VLOOKUP($C575,REV!$C:$AA,10,0)-'TRADE IN'!$F584=0,"",(VLOOKUP($C575,REV!$C:$AA,10,0)-'TRADE IN'!$F575))</f>
        <v>899</v>
      </c>
      <c r="M575" s="46">
        <f>IF(VLOOKUP($C575,REV!$C:$AA,11,0)-'TRADE IN'!$F584=0,"",(VLOOKUP($C575,REV!$C:$AA,11,0)-'TRADE IN'!$F575))</f>
        <v>899</v>
      </c>
      <c r="N575" s="46">
        <f>IF(VLOOKUP($C575,REV!$C:$AA,12,0)-'TRADE IN'!$F584=0,"",(VLOOKUP($C575,REV!$C:$AA,12,0)-'TRADE IN'!$F575))</f>
        <v>899</v>
      </c>
      <c r="O575" s="46">
        <f>IF(VLOOKUP($C575,REV!$C:$AA,13,0)-'TRADE IN'!$F584=0,"",(VLOOKUP($C575,REV!$C:$AA,13,0)-'TRADE IN'!$F575))</f>
        <v>799</v>
      </c>
      <c r="P575" s="46">
        <f>IF(VLOOKUP($C575,REV!$C:$AA,14,0)-'TRADE IN'!$F584=0,"",(VLOOKUP($C575,REV!$C:$AA,14,0)-'TRADE IN'!$F575))</f>
        <v>699</v>
      </c>
      <c r="Q575" s="46">
        <f>IF(VLOOKUP($C575,REV!$C:$AA,15,0)-'TRADE IN'!$F584=0,"",(VLOOKUP($C575,REV!$C:$AA,15,0)-'TRADE IN'!$F575))</f>
        <v>599</v>
      </c>
      <c r="R575" s="46">
        <f>IF(VLOOKUP($C575,REV!$C:$AA,16,0)-'TRADE IN'!$F584=0,"",(VLOOKUP($C575,REV!$C:$AA,16,0)-'TRADE IN'!$F575))</f>
        <v>799</v>
      </c>
      <c r="S575" s="46">
        <f>IF(VLOOKUP($C575,REV!$C:$AA,17,0)-'TRADE IN'!$F584=0,"",(VLOOKUP($C575,REV!$C:$AA,17,0)-'TRADE IN'!$F575))</f>
        <v>699</v>
      </c>
      <c r="T575" s="46">
        <f>IF(VLOOKUP($C575,REV!$C:$AA,18,0)-'TRADE IN'!$F584=0,"",(VLOOKUP($C575,REV!$C:$AA,18,0)-'TRADE IN'!$F575))</f>
        <v>599</v>
      </c>
      <c r="U575" s="46">
        <f>IF(VLOOKUP($C575,REV!$C:$AA,19,0)-'TRADE IN'!$F584=0,"",(VLOOKUP($C575,REV!$C:$AA,19,0)-'TRADE IN'!$F575))</f>
        <v>599</v>
      </c>
      <c r="V575" s="46">
        <f>IF(VLOOKUP($C575,REV!$C:$AA,20,0)-'TRADE IN'!$F584=0,"",(VLOOKUP($C575,REV!$C:$AA,20,0)-'TRADE IN'!$F575))</f>
        <v>599</v>
      </c>
      <c r="W575" s="46">
        <f>IF(VLOOKUP($C575,REV!$C:$AA,21,0)-'TRADE IN'!$F584=0,"",(VLOOKUP($C575,REV!$C:$AA,21,0)-'TRADE IN'!$F575))</f>
        <v>599</v>
      </c>
      <c r="X575" s="46">
        <f>IF(VLOOKUP($C575,REV!$C:$AA,22,0)-'TRADE IN'!$F584=0,"",(VLOOKUP($C575,REV!$C:$AA,22,0)-'TRADE IN'!$F575))</f>
        <v>499</v>
      </c>
      <c r="Y575" s="46">
        <f>IF(VLOOKUP($C575,REV!$C:$AA,23,0)-'TRADE IN'!$F584=0,"",(VLOOKUP($C575,REV!$C:$AA,23,0)-'TRADE IN'!$F575))</f>
        <v>449</v>
      </c>
      <c r="Z575" s="46">
        <f>IF(VLOOKUP($C575,REV!$C:$AA,24,0)-'TRADE IN'!$F584=0,"",(VLOOKUP($C575,REV!$C:$AA,24,0)-'TRADE IN'!$F575))</f>
        <v>449</v>
      </c>
      <c r="AA575" s="46">
        <f>IF(VLOOKUP($C575,REV!$C:$AA,25,0)-'TRADE IN'!$F584=0,"",(VLOOKUP($C575,REV!$C:$AA,25,0)-'TRADE IN'!$F575))</f>
        <v>449</v>
      </c>
      <c r="AB575" s="46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7"/>
      <c r="AW575" s="48" t="str">
        <f>IF(REV!AW575=0,"",REV!AW575)</f>
        <v>31.03.2026</v>
      </c>
      <c r="AX575" s="159" t="s">
        <v>66</v>
      </c>
    </row>
    <row r="576" spans="1:50" ht="22.5" customHeight="1">
      <c r="A576" s="52" t="s">
        <v>70</v>
      </c>
      <c r="B576" s="41" t="s">
        <v>62</v>
      </c>
      <c r="C576" s="42">
        <v>4013515</v>
      </c>
      <c r="D576" s="44" t="s">
        <v>793</v>
      </c>
      <c r="E576" s="44" t="s">
        <v>797</v>
      </c>
      <c r="F576" s="45"/>
      <c r="G576" s="45"/>
      <c r="H576" s="46"/>
      <c r="I576" s="46"/>
      <c r="J576" s="46">
        <f>IF(VLOOKUP($C576,REV!$C:$AA,8,0)-'TRADE IN'!$F576=0,"",(VLOOKUP($C576,REV!$C:$AA,8,0)-'TRADE IN'!$F576))</f>
        <v>899</v>
      </c>
      <c r="K576" s="46">
        <f>IF(VLOOKUP($C576,REV!$C:$AA,9,0)-'TRADE IN'!$F576=0,"",(VLOOKUP($C576,REV!$C:$AA,9,0)-'TRADE IN'!$F576))</f>
        <v>899</v>
      </c>
      <c r="L576" s="46">
        <f>IF(VLOOKUP($C576,REV!$C:$AA,10,0)-'TRADE IN'!$F585=0,"",(VLOOKUP($C576,REV!$C:$AA,10,0)-'TRADE IN'!$F576))</f>
        <v>899</v>
      </c>
      <c r="M576" s="46">
        <f>IF(VLOOKUP($C576,REV!$C:$AA,11,0)-'TRADE IN'!$F585=0,"",(VLOOKUP($C576,REV!$C:$AA,11,0)-'TRADE IN'!$F576))</f>
        <v>899</v>
      </c>
      <c r="N576" s="46">
        <f>IF(VLOOKUP($C576,REV!$C:$AA,12,0)-'TRADE IN'!$F585=0,"",(VLOOKUP($C576,REV!$C:$AA,12,0)-'TRADE IN'!$F576))</f>
        <v>899</v>
      </c>
      <c r="O576" s="46">
        <f>IF(VLOOKUP($C576,REV!$C:$AA,13,0)-'TRADE IN'!$F585=0,"",(VLOOKUP($C576,REV!$C:$AA,13,0)-'TRADE IN'!$F576))</f>
        <v>799</v>
      </c>
      <c r="P576" s="46">
        <f>IF(VLOOKUP($C576,REV!$C:$AA,14,0)-'TRADE IN'!$F585=0,"",(VLOOKUP($C576,REV!$C:$AA,14,0)-'TRADE IN'!$F576))</f>
        <v>699</v>
      </c>
      <c r="Q576" s="46">
        <f>IF(VLOOKUP($C576,REV!$C:$AA,15,0)-'TRADE IN'!$F585=0,"",(VLOOKUP($C576,REV!$C:$AA,15,0)-'TRADE IN'!$F576))</f>
        <v>599</v>
      </c>
      <c r="R576" s="46">
        <f>IF(VLOOKUP($C576,REV!$C:$AA,16,0)-'TRADE IN'!$F585=0,"",(VLOOKUP($C576,REV!$C:$AA,16,0)-'TRADE IN'!$F576))</f>
        <v>799</v>
      </c>
      <c r="S576" s="46">
        <f>IF(VLOOKUP($C576,REV!$C:$AA,17,0)-'TRADE IN'!$F585=0,"",(VLOOKUP($C576,REV!$C:$AA,17,0)-'TRADE IN'!$F576))</f>
        <v>699</v>
      </c>
      <c r="T576" s="46">
        <f>IF(VLOOKUP($C576,REV!$C:$AA,18,0)-'TRADE IN'!$F585=0,"",(VLOOKUP($C576,REV!$C:$AA,18,0)-'TRADE IN'!$F576))</f>
        <v>599</v>
      </c>
      <c r="U576" s="46">
        <f>IF(VLOOKUP($C576,REV!$C:$AA,19,0)-'TRADE IN'!$F585=0,"",(VLOOKUP($C576,REV!$C:$AA,19,0)-'TRADE IN'!$F576))</f>
        <v>599</v>
      </c>
      <c r="V576" s="46">
        <f>IF(VLOOKUP($C576,REV!$C:$AA,20,0)-'TRADE IN'!$F585=0,"",(VLOOKUP($C576,REV!$C:$AA,20,0)-'TRADE IN'!$F576))</f>
        <v>599</v>
      </c>
      <c r="W576" s="46">
        <f>IF(VLOOKUP($C576,REV!$C:$AA,21,0)-'TRADE IN'!$F585=0,"",(VLOOKUP($C576,REV!$C:$AA,21,0)-'TRADE IN'!$F576))</f>
        <v>599</v>
      </c>
      <c r="X576" s="46">
        <f>IF(VLOOKUP($C576,REV!$C:$AA,22,0)-'TRADE IN'!$F585=0,"",(VLOOKUP($C576,REV!$C:$AA,22,0)-'TRADE IN'!$F576))</f>
        <v>499</v>
      </c>
      <c r="Y576" s="46">
        <f>IF(VLOOKUP($C576,REV!$C:$AA,23,0)-'TRADE IN'!$F585=0,"",(VLOOKUP($C576,REV!$C:$AA,23,0)-'TRADE IN'!$F576))</f>
        <v>449</v>
      </c>
      <c r="Z576" s="46">
        <f>IF(VLOOKUP($C576,REV!$C:$AA,24,0)-'TRADE IN'!$F585=0,"",(VLOOKUP($C576,REV!$C:$AA,24,0)-'TRADE IN'!$F576))</f>
        <v>449</v>
      </c>
      <c r="AA576" s="46">
        <f>IF(VLOOKUP($C576,REV!$C:$AA,25,0)-'TRADE IN'!$F585=0,"",(VLOOKUP($C576,REV!$C:$AA,25,0)-'TRADE IN'!$F576))</f>
        <v>449</v>
      </c>
      <c r="AB576" s="46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7"/>
      <c r="AW576" s="48" t="str">
        <f>IF(REV!AW576=0,"",REV!AW576)</f>
        <v>31.03.2026</v>
      </c>
      <c r="AX576" s="159" t="s">
        <v>66</v>
      </c>
    </row>
    <row r="577" spans="1:50" ht="22.5" customHeight="1">
      <c r="A577" s="52" t="s">
        <v>70</v>
      </c>
      <c r="B577" s="41" t="s">
        <v>62</v>
      </c>
      <c r="C577" s="42">
        <v>4014585</v>
      </c>
      <c r="D577" s="44" t="s">
        <v>798</v>
      </c>
      <c r="E577" s="44" t="s">
        <v>799</v>
      </c>
      <c r="F577" s="45"/>
      <c r="G577" s="45"/>
      <c r="H577" s="45"/>
      <c r="I577" s="45"/>
      <c r="J577" s="46">
        <f>IF(VLOOKUP($C577,REV!$C:$AA,8,0)-'TRADE IN'!$F577=0,"",(VLOOKUP($C577,REV!$C:$AA,8,0)-'TRADE IN'!$F577))</f>
        <v>899</v>
      </c>
      <c r="K577" s="46">
        <f>IF(VLOOKUP($C577,REV!$C:$AA,9,0)-'TRADE IN'!$F577=0,"",(VLOOKUP($C577,REV!$C:$AA,9,0)-'TRADE IN'!$F577))</f>
        <v>899</v>
      </c>
      <c r="L577" s="46">
        <f>IF(VLOOKUP($C577,REV!$C:$AA,10,0)-'TRADE IN'!$F586=0,"",(VLOOKUP($C577,REV!$C:$AA,10,0)-'TRADE IN'!$F577))</f>
        <v>899</v>
      </c>
      <c r="M577" s="46">
        <f>IF(VLOOKUP($C577,REV!$C:$AA,11,0)-'TRADE IN'!$F586=0,"",(VLOOKUP($C577,REV!$C:$AA,11,0)-'TRADE IN'!$F577))</f>
        <v>899</v>
      </c>
      <c r="N577" s="46">
        <f>IF(VLOOKUP($C577,REV!$C:$AA,12,0)-'TRADE IN'!$F586=0,"",(VLOOKUP($C577,REV!$C:$AA,12,0)-'TRADE IN'!$F577))</f>
        <v>899</v>
      </c>
      <c r="O577" s="46">
        <f>IF(VLOOKUP($C577,REV!$C:$AA,13,0)-'TRADE IN'!$F586=0,"",(VLOOKUP($C577,REV!$C:$AA,13,0)-'TRADE IN'!$F577))</f>
        <v>899</v>
      </c>
      <c r="P577" s="46">
        <f>IF(VLOOKUP($C577,REV!$C:$AA,14,0)-'TRADE IN'!$F586=0,"",(VLOOKUP($C577,REV!$C:$AA,14,0)-'TRADE IN'!$F577))</f>
        <v>899</v>
      </c>
      <c r="Q577" s="46">
        <f>IF(VLOOKUP($C577,REV!$C:$AA,15,0)-'TRADE IN'!$F586=0,"",(VLOOKUP($C577,REV!$C:$AA,15,0)-'TRADE IN'!$F577))</f>
        <v>899</v>
      </c>
      <c r="R577" s="46">
        <f>IF(VLOOKUP($C577,REV!$C:$AA,16,0)-'TRADE IN'!$F586=0,"",(VLOOKUP($C577,REV!$C:$AA,16,0)-'TRADE IN'!$F577))</f>
        <v>899</v>
      </c>
      <c r="S577" s="46">
        <f>IF(VLOOKUP($C577,REV!$C:$AA,17,0)-'TRADE IN'!$F586=0,"",(VLOOKUP($C577,REV!$C:$AA,17,0)-'TRADE IN'!$F577))</f>
        <v>899</v>
      </c>
      <c r="T577" s="46">
        <f>IF(VLOOKUP($C577,REV!$C:$AA,18,0)-'TRADE IN'!$F586=0,"",(VLOOKUP($C577,REV!$C:$AA,18,0)-'TRADE IN'!$F577))</f>
        <v>899</v>
      </c>
      <c r="U577" s="46">
        <f>IF(VLOOKUP($C577,REV!$C:$AA,19,0)-'TRADE IN'!$F586=0,"",(VLOOKUP($C577,REV!$C:$AA,19,0)-'TRADE IN'!$F577))</f>
        <v>899</v>
      </c>
      <c r="V577" s="46">
        <f>IF(VLOOKUP($C577,REV!$C:$AA,20,0)-'TRADE IN'!$F586=0,"",(VLOOKUP($C577,REV!$C:$AA,20,0)-'TRADE IN'!$F577))</f>
        <v>899</v>
      </c>
      <c r="W577" s="46">
        <f>IF(VLOOKUP($C577,REV!$C:$AA,21,0)-'TRADE IN'!$F586=0,"",(VLOOKUP($C577,REV!$C:$AA,21,0)-'TRADE IN'!$F577))</f>
        <v>899</v>
      </c>
      <c r="X577" s="46">
        <f>IF(VLOOKUP($C577,REV!$C:$AA,22,0)-'TRADE IN'!$F586=0,"",(VLOOKUP($C577,REV!$C:$AA,22,0)-'TRADE IN'!$F577))</f>
        <v>899</v>
      </c>
      <c r="Y577" s="46">
        <f>IF(VLOOKUP($C577,REV!$C:$AA,23,0)-'TRADE IN'!$F586=0,"",(VLOOKUP($C577,REV!$C:$AA,23,0)-'TRADE IN'!$F577))</f>
        <v>899</v>
      </c>
      <c r="Z577" s="46">
        <f>IF(VLOOKUP($C577,REV!$C:$AA,24,0)-'TRADE IN'!$F586=0,"",(VLOOKUP($C577,REV!$C:$AA,24,0)-'TRADE IN'!$F577))</f>
        <v>899</v>
      </c>
      <c r="AA577" s="46">
        <f>IF(VLOOKUP($C577,REV!$C:$AA,25,0)-'TRADE IN'!$F586=0,"",(VLOOKUP($C577,REV!$C:$AA,25,0)-'TRADE IN'!$F577))</f>
        <v>899</v>
      </c>
      <c r="AB577" s="46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7"/>
      <c r="AW577" s="48" t="str">
        <f>IF(REV!AW577=0,"",REV!AW577)</f>
        <v>31.03.2026</v>
      </c>
      <c r="AX577" s="159" t="s">
        <v>82</v>
      </c>
    </row>
    <row r="578" spans="1:50" ht="22.5" customHeight="1">
      <c r="A578" s="52" t="s">
        <v>70</v>
      </c>
      <c r="B578" s="41" t="s">
        <v>62</v>
      </c>
      <c r="C578" s="42">
        <v>4014589</v>
      </c>
      <c r="D578" s="44" t="s">
        <v>798</v>
      </c>
      <c r="E578" s="44" t="s">
        <v>800</v>
      </c>
      <c r="F578" s="45"/>
      <c r="G578" s="45"/>
      <c r="H578" s="45"/>
      <c r="I578" s="45"/>
      <c r="J578" s="46">
        <f>IF(VLOOKUP($C578,REV!$C:$AA,8,0)-'TRADE IN'!$F578=0,"",(VLOOKUP($C578,REV!$C:$AA,8,0)-'TRADE IN'!$F578))</f>
        <v>899</v>
      </c>
      <c r="K578" s="46">
        <f>IF(VLOOKUP($C578,REV!$C:$AA,9,0)-'TRADE IN'!$F578=0,"",(VLOOKUP($C578,REV!$C:$AA,9,0)-'TRADE IN'!$F578))</f>
        <v>899</v>
      </c>
      <c r="L578" s="46">
        <f>IF(VLOOKUP($C578,REV!$C:$AA,10,0)-'TRADE IN'!$F587=0,"",(VLOOKUP($C578,REV!$C:$AA,10,0)-'TRADE IN'!$F578))</f>
        <v>899</v>
      </c>
      <c r="M578" s="46">
        <f>IF(VLOOKUP($C578,REV!$C:$AA,11,0)-'TRADE IN'!$F587=0,"",(VLOOKUP($C578,REV!$C:$AA,11,0)-'TRADE IN'!$F578))</f>
        <v>899</v>
      </c>
      <c r="N578" s="46">
        <f>IF(VLOOKUP($C578,REV!$C:$AA,12,0)-'TRADE IN'!$F587=0,"",(VLOOKUP($C578,REV!$C:$AA,12,0)-'TRADE IN'!$F578))</f>
        <v>899</v>
      </c>
      <c r="O578" s="46">
        <f>IF(VLOOKUP($C578,REV!$C:$AA,13,0)-'TRADE IN'!$F587=0,"",(VLOOKUP($C578,REV!$C:$AA,13,0)-'TRADE IN'!$F578))</f>
        <v>899</v>
      </c>
      <c r="P578" s="46">
        <f>IF(VLOOKUP($C578,REV!$C:$AA,14,0)-'TRADE IN'!$F587=0,"",(VLOOKUP($C578,REV!$C:$AA,14,0)-'TRADE IN'!$F578))</f>
        <v>899</v>
      </c>
      <c r="Q578" s="46">
        <f>IF(VLOOKUP($C578,REV!$C:$AA,15,0)-'TRADE IN'!$F587=0,"",(VLOOKUP($C578,REV!$C:$AA,15,0)-'TRADE IN'!$F578))</f>
        <v>899</v>
      </c>
      <c r="R578" s="46">
        <f>IF(VLOOKUP($C578,REV!$C:$AA,16,0)-'TRADE IN'!$F587=0,"",(VLOOKUP($C578,REV!$C:$AA,16,0)-'TRADE IN'!$F578))</f>
        <v>899</v>
      </c>
      <c r="S578" s="46">
        <f>IF(VLOOKUP($C578,REV!$C:$AA,17,0)-'TRADE IN'!$F587=0,"",(VLOOKUP($C578,REV!$C:$AA,17,0)-'TRADE IN'!$F578))</f>
        <v>899</v>
      </c>
      <c r="T578" s="46">
        <f>IF(VLOOKUP($C578,REV!$C:$AA,18,0)-'TRADE IN'!$F587=0,"",(VLOOKUP($C578,REV!$C:$AA,18,0)-'TRADE IN'!$F578))</f>
        <v>899</v>
      </c>
      <c r="U578" s="46">
        <f>IF(VLOOKUP($C578,REV!$C:$AA,19,0)-'TRADE IN'!$F587=0,"",(VLOOKUP($C578,REV!$C:$AA,19,0)-'TRADE IN'!$F578))</f>
        <v>899</v>
      </c>
      <c r="V578" s="46">
        <f>IF(VLOOKUP($C578,REV!$C:$AA,20,0)-'TRADE IN'!$F587=0,"",(VLOOKUP($C578,REV!$C:$AA,20,0)-'TRADE IN'!$F578))</f>
        <v>899</v>
      </c>
      <c r="W578" s="46">
        <f>IF(VLOOKUP($C578,REV!$C:$AA,21,0)-'TRADE IN'!$F587=0,"",(VLOOKUP($C578,REV!$C:$AA,21,0)-'TRADE IN'!$F578))</f>
        <v>899</v>
      </c>
      <c r="X578" s="46">
        <f>IF(VLOOKUP($C578,REV!$C:$AA,22,0)-'TRADE IN'!$F587=0,"",(VLOOKUP($C578,REV!$C:$AA,22,0)-'TRADE IN'!$F578))</f>
        <v>899</v>
      </c>
      <c r="Y578" s="46">
        <f>IF(VLOOKUP($C578,REV!$C:$AA,23,0)-'TRADE IN'!$F587=0,"",(VLOOKUP($C578,REV!$C:$AA,23,0)-'TRADE IN'!$F578))</f>
        <v>899</v>
      </c>
      <c r="Z578" s="46">
        <f>IF(VLOOKUP($C578,REV!$C:$AA,24,0)-'TRADE IN'!$F587=0,"",(VLOOKUP($C578,REV!$C:$AA,24,0)-'TRADE IN'!$F578))</f>
        <v>899</v>
      </c>
      <c r="AA578" s="46">
        <f>IF(VLOOKUP($C578,REV!$C:$AA,25,0)-'TRADE IN'!$F587=0,"",(VLOOKUP($C578,REV!$C:$AA,25,0)-'TRADE IN'!$F578))</f>
        <v>899</v>
      </c>
      <c r="AB578" s="46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7"/>
      <c r="AW578" s="48" t="str">
        <f>IF(REV!AW578=0,"",REV!AW578)</f>
        <v>31.03.2026</v>
      </c>
      <c r="AX578" s="159" t="s">
        <v>82</v>
      </c>
    </row>
    <row r="579" spans="1:50" ht="22.5" customHeight="1">
      <c r="A579" s="52" t="s">
        <v>70</v>
      </c>
      <c r="B579" s="41" t="s">
        <v>62</v>
      </c>
      <c r="C579" s="42">
        <v>4014584</v>
      </c>
      <c r="D579" s="44" t="s">
        <v>798</v>
      </c>
      <c r="E579" s="44" t="s">
        <v>801</v>
      </c>
      <c r="F579" s="45"/>
      <c r="G579" s="45"/>
      <c r="H579" s="45"/>
      <c r="I579" s="45"/>
      <c r="J579" s="46">
        <f>IF(VLOOKUP($C579,REV!$C:$AA,8,0)-'TRADE IN'!$F579=0,"",(VLOOKUP($C579,REV!$C:$AA,8,0)-'TRADE IN'!$F579))</f>
        <v>899</v>
      </c>
      <c r="K579" s="46">
        <f>IF(VLOOKUP($C579,REV!$C:$AA,9,0)-'TRADE IN'!$F579=0,"",(VLOOKUP($C579,REV!$C:$AA,9,0)-'TRADE IN'!$F579))</f>
        <v>899</v>
      </c>
      <c r="L579" s="46">
        <f>IF(VLOOKUP($C579,REV!$C:$AA,10,0)-'TRADE IN'!$F588=0,"",(VLOOKUP($C579,REV!$C:$AA,10,0)-'TRADE IN'!$F579))</f>
        <v>899</v>
      </c>
      <c r="M579" s="46">
        <f>IF(VLOOKUP($C579,REV!$C:$AA,11,0)-'TRADE IN'!$F588=0,"",(VLOOKUP($C579,REV!$C:$AA,11,0)-'TRADE IN'!$F579))</f>
        <v>899</v>
      </c>
      <c r="N579" s="46">
        <f>IF(VLOOKUP($C579,REV!$C:$AA,12,0)-'TRADE IN'!$F588=0,"",(VLOOKUP($C579,REV!$C:$AA,12,0)-'TRADE IN'!$F579))</f>
        <v>899</v>
      </c>
      <c r="O579" s="46">
        <f>IF(VLOOKUP($C579,REV!$C:$AA,13,0)-'TRADE IN'!$F588=0,"",(VLOOKUP($C579,REV!$C:$AA,13,0)-'TRADE IN'!$F579))</f>
        <v>899</v>
      </c>
      <c r="P579" s="46">
        <f>IF(VLOOKUP($C579,REV!$C:$AA,14,0)-'TRADE IN'!$F588=0,"",(VLOOKUP($C579,REV!$C:$AA,14,0)-'TRADE IN'!$F579))</f>
        <v>899</v>
      </c>
      <c r="Q579" s="46">
        <f>IF(VLOOKUP($C579,REV!$C:$AA,15,0)-'TRADE IN'!$F588=0,"",(VLOOKUP($C579,REV!$C:$AA,15,0)-'TRADE IN'!$F579))</f>
        <v>899</v>
      </c>
      <c r="R579" s="46">
        <f>IF(VLOOKUP($C579,REV!$C:$AA,16,0)-'TRADE IN'!$F588=0,"",(VLOOKUP($C579,REV!$C:$AA,16,0)-'TRADE IN'!$F579))</f>
        <v>899</v>
      </c>
      <c r="S579" s="46">
        <f>IF(VLOOKUP($C579,REV!$C:$AA,17,0)-'TRADE IN'!$F588=0,"",(VLOOKUP($C579,REV!$C:$AA,17,0)-'TRADE IN'!$F579))</f>
        <v>899</v>
      </c>
      <c r="T579" s="46">
        <f>IF(VLOOKUP($C579,REV!$C:$AA,18,0)-'TRADE IN'!$F588=0,"",(VLOOKUP($C579,REV!$C:$AA,18,0)-'TRADE IN'!$F579))</f>
        <v>899</v>
      </c>
      <c r="U579" s="46">
        <f>IF(VLOOKUP($C579,REV!$C:$AA,19,0)-'TRADE IN'!$F588=0,"",(VLOOKUP($C579,REV!$C:$AA,19,0)-'TRADE IN'!$F579))</f>
        <v>899</v>
      </c>
      <c r="V579" s="46">
        <f>IF(VLOOKUP($C579,REV!$C:$AA,20,0)-'TRADE IN'!$F588=0,"",(VLOOKUP($C579,REV!$C:$AA,20,0)-'TRADE IN'!$F579))</f>
        <v>899</v>
      </c>
      <c r="W579" s="46">
        <f>IF(VLOOKUP($C579,REV!$C:$AA,21,0)-'TRADE IN'!$F588=0,"",(VLOOKUP($C579,REV!$C:$AA,21,0)-'TRADE IN'!$F579))</f>
        <v>899</v>
      </c>
      <c r="X579" s="46">
        <f>IF(VLOOKUP($C579,REV!$C:$AA,22,0)-'TRADE IN'!$F588=0,"",(VLOOKUP($C579,REV!$C:$AA,22,0)-'TRADE IN'!$F579))</f>
        <v>899</v>
      </c>
      <c r="Y579" s="46">
        <f>IF(VLOOKUP($C579,REV!$C:$AA,23,0)-'TRADE IN'!$F588=0,"",(VLOOKUP($C579,REV!$C:$AA,23,0)-'TRADE IN'!$F579))</f>
        <v>899</v>
      </c>
      <c r="Z579" s="46">
        <f>IF(VLOOKUP($C579,REV!$C:$AA,24,0)-'TRADE IN'!$F588=0,"",(VLOOKUP($C579,REV!$C:$AA,24,0)-'TRADE IN'!$F579))</f>
        <v>899</v>
      </c>
      <c r="AA579" s="46">
        <f>IF(VLOOKUP($C579,REV!$C:$AA,25,0)-'TRADE IN'!$F588=0,"",(VLOOKUP($C579,REV!$C:$AA,25,0)-'TRADE IN'!$F579))</f>
        <v>899</v>
      </c>
      <c r="AB579" s="46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7"/>
      <c r="AW579" s="48" t="str">
        <f>IF(REV!AW579=0,"",REV!AW579)</f>
        <v>31.03.2026</v>
      </c>
      <c r="AX579" s="159" t="s">
        <v>82</v>
      </c>
    </row>
    <row r="580" spans="1:50" ht="22.5" customHeight="1">
      <c r="A580" s="52" t="s">
        <v>70</v>
      </c>
      <c r="B580" s="41" t="s">
        <v>62</v>
      </c>
      <c r="C580" s="42">
        <v>4014588</v>
      </c>
      <c r="D580" s="44" t="s">
        <v>798</v>
      </c>
      <c r="E580" s="44" t="s">
        <v>802</v>
      </c>
      <c r="F580" s="45"/>
      <c r="G580" s="45"/>
      <c r="H580" s="45"/>
      <c r="I580" s="45"/>
      <c r="J580" s="46">
        <f>IF(VLOOKUP($C580,REV!$C:$AA,8,0)-'TRADE IN'!$F580=0,"",(VLOOKUP($C580,REV!$C:$AA,8,0)-'TRADE IN'!$F580))</f>
        <v>899</v>
      </c>
      <c r="K580" s="46">
        <f>IF(VLOOKUP($C580,REV!$C:$AA,9,0)-'TRADE IN'!$F580=0,"",(VLOOKUP($C580,REV!$C:$AA,9,0)-'TRADE IN'!$F580))</f>
        <v>899</v>
      </c>
      <c r="L580" s="46">
        <f>IF(VLOOKUP($C580,REV!$C:$AA,10,0)-'TRADE IN'!$F589=0,"",(VLOOKUP($C580,REV!$C:$AA,10,0)-'TRADE IN'!$F580))</f>
        <v>899</v>
      </c>
      <c r="M580" s="46">
        <f>IF(VLOOKUP($C580,REV!$C:$AA,11,0)-'TRADE IN'!$F589=0,"",(VLOOKUP($C580,REV!$C:$AA,11,0)-'TRADE IN'!$F580))</f>
        <v>899</v>
      </c>
      <c r="N580" s="46">
        <f>IF(VLOOKUP($C580,REV!$C:$AA,12,0)-'TRADE IN'!$F589=0,"",(VLOOKUP($C580,REV!$C:$AA,12,0)-'TRADE IN'!$F580))</f>
        <v>899</v>
      </c>
      <c r="O580" s="46">
        <f>IF(VLOOKUP($C580,REV!$C:$AA,13,0)-'TRADE IN'!$F589=0,"",(VLOOKUP($C580,REV!$C:$AA,13,0)-'TRADE IN'!$F580))</f>
        <v>899</v>
      </c>
      <c r="P580" s="46">
        <f>IF(VLOOKUP($C580,REV!$C:$AA,14,0)-'TRADE IN'!$F589=0,"",(VLOOKUP($C580,REV!$C:$AA,14,0)-'TRADE IN'!$F580))</f>
        <v>899</v>
      </c>
      <c r="Q580" s="46">
        <f>IF(VLOOKUP($C580,REV!$C:$AA,15,0)-'TRADE IN'!$F589=0,"",(VLOOKUP($C580,REV!$C:$AA,15,0)-'TRADE IN'!$F580))</f>
        <v>899</v>
      </c>
      <c r="R580" s="46">
        <f>IF(VLOOKUP($C580,REV!$C:$AA,16,0)-'TRADE IN'!$F589=0,"",(VLOOKUP($C580,REV!$C:$AA,16,0)-'TRADE IN'!$F580))</f>
        <v>899</v>
      </c>
      <c r="S580" s="46">
        <f>IF(VLOOKUP($C580,REV!$C:$AA,17,0)-'TRADE IN'!$F589=0,"",(VLOOKUP($C580,REV!$C:$AA,17,0)-'TRADE IN'!$F580))</f>
        <v>899</v>
      </c>
      <c r="T580" s="46">
        <f>IF(VLOOKUP($C580,REV!$C:$AA,18,0)-'TRADE IN'!$F589=0,"",(VLOOKUP($C580,REV!$C:$AA,18,0)-'TRADE IN'!$F580))</f>
        <v>899</v>
      </c>
      <c r="U580" s="46">
        <f>IF(VLOOKUP($C580,REV!$C:$AA,19,0)-'TRADE IN'!$F589=0,"",(VLOOKUP($C580,REV!$C:$AA,19,0)-'TRADE IN'!$F580))</f>
        <v>899</v>
      </c>
      <c r="V580" s="46">
        <f>IF(VLOOKUP($C580,REV!$C:$AA,20,0)-'TRADE IN'!$F589=0,"",(VLOOKUP($C580,REV!$C:$AA,20,0)-'TRADE IN'!$F580))</f>
        <v>899</v>
      </c>
      <c r="W580" s="46">
        <f>IF(VLOOKUP($C580,REV!$C:$AA,21,0)-'TRADE IN'!$F589=0,"",(VLOOKUP($C580,REV!$C:$AA,21,0)-'TRADE IN'!$F580))</f>
        <v>899</v>
      </c>
      <c r="X580" s="46">
        <f>IF(VLOOKUP($C580,REV!$C:$AA,22,0)-'TRADE IN'!$F589=0,"",(VLOOKUP($C580,REV!$C:$AA,22,0)-'TRADE IN'!$F580))</f>
        <v>899</v>
      </c>
      <c r="Y580" s="46">
        <f>IF(VLOOKUP($C580,REV!$C:$AA,23,0)-'TRADE IN'!$F589=0,"",(VLOOKUP($C580,REV!$C:$AA,23,0)-'TRADE IN'!$F580))</f>
        <v>899</v>
      </c>
      <c r="Z580" s="46">
        <f>IF(VLOOKUP($C580,REV!$C:$AA,24,0)-'TRADE IN'!$F589=0,"",(VLOOKUP($C580,REV!$C:$AA,24,0)-'TRADE IN'!$F580))</f>
        <v>899</v>
      </c>
      <c r="AA580" s="46">
        <f>IF(VLOOKUP($C580,REV!$C:$AA,25,0)-'TRADE IN'!$F589=0,"",(VLOOKUP($C580,REV!$C:$AA,25,0)-'TRADE IN'!$F580))</f>
        <v>899</v>
      </c>
      <c r="AB580" s="46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7"/>
      <c r="AW580" s="48" t="str">
        <f>IF(REV!AW580=0,"",REV!AW580)</f>
        <v>31.03.2026</v>
      </c>
      <c r="AX580" s="159" t="s">
        <v>82</v>
      </c>
    </row>
    <row r="581" spans="1:50" ht="22.5" customHeight="1">
      <c r="A581" s="52" t="s">
        <v>70</v>
      </c>
      <c r="B581" s="41" t="s">
        <v>62</v>
      </c>
      <c r="C581" s="42">
        <v>4014583</v>
      </c>
      <c r="D581" s="44" t="s">
        <v>798</v>
      </c>
      <c r="E581" s="44" t="s">
        <v>803</v>
      </c>
      <c r="F581" s="45"/>
      <c r="G581" s="45"/>
      <c r="H581" s="45"/>
      <c r="I581" s="45"/>
      <c r="J581" s="46">
        <f>IF(VLOOKUP($C581,REV!$C:$AA,8,0)-'TRADE IN'!$F581=0,"",(VLOOKUP($C581,REV!$C:$AA,8,0)-'TRADE IN'!$F581))</f>
        <v>899</v>
      </c>
      <c r="K581" s="46">
        <f>IF(VLOOKUP($C581,REV!$C:$AA,9,0)-'TRADE IN'!$F581=0,"",(VLOOKUP($C581,REV!$C:$AA,9,0)-'TRADE IN'!$F581))</f>
        <v>899</v>
      </c>
      <c r="L581" s="46">
        <f>IF(VLOOKUP($C581,REV!$C:$AA,10,0)-'TRADE IN'!$F590=0,"",(VLOOKUP($C581,REV!$C:$AA,10,0)-'TRADE IN'!$F581))</f>
        <v>899</v>
      </c>
      <c r="M581" s="46">
        <f>IF(VLOOKUP($C581,REV!$C:$AA,11,0)-'TRADE IN'!$F590=0,"",(VLOOKUP($C581,REV!$C:$AA,11,0)-'TRADE IN'!$F581))</f>
        <v>899</v>
      </c>
      <c r="N581" s="46">
        <f>IF(VLOOKUP($C581,REV!$C:$AA,12,0)-'TRADE IN'!$F590=0,"",(VLOOKUP($C581,REV!$C:$AA,12,0)-'TRADE IN'!$F581))</f>
        <v>899</v>
      </c>
      <c r="O581" s="46">
        <f>IF(VLOOKUP($C581,REV!$C:$AA,13,0)-'TRADE IN'!$F590=0,"",(VLOOKUP($C581,REV!$C:$AA,13,0)-'TRADE IN'!$F581))</f>
        <v>899</v>
      </c>
      <c r="P581" s="46">
        <f>IF(VLOOKUP($C581,REV!$C:$AA,14,0)-'TRADE IN'!$F590=0,"",(VLOOKUP($C581,REV!$C:$AA,14,0)-'TRADE IN'!$F581))</f>
        <v>899</v>
      </c>
      <c r="Q581" s="46">
        <f>IF(VLOOKUP($C581,REV!$C:$AA,15,0)-'TRADE IN'!$F590=0,"",(VLOOKUP($C581,REV!$C:$AA,15,0)-'TRADE IN'!$F581))</f>
        <v>899</v>
      </c>
      <c r="R581" s="46">
        <f>IF(VLOOKUP($C581,REV!$C:$AA,16,0)-'TRADE IN'!$F590=0,"",(VLOOKUP($C581,REV!$C:$AA,16,0)-'TRADE IN'!$F581))</f>
        <v>899</v>
      </c>
      <c r="S581" s="46">
        <f>IF(VLOOKUP($C581,REV!$C:$AA,17,0)-'TRADE IN'!$F590=0,"",(VLOOKUP($C581,REV!$C:$AA,17,0)-'TRADE IN'!$F581))</f>
        <v>899</v>
      </c>
      <c r="T581" s="46">
        <f>IF(VLOOKUP($C581,REV!$C:$AA,18,0)-'TRADE IN'!$F590=0,"",(VLOOKUP($C581,REV!$C:$AA,18,0)-'TRADE IN'!$F581))</f>
        <v>899</v>
      </c>
      <c r="U581" s="46">
        <f>IF(VLOOKUP($C581,REV!$C:$AA,19,0)-'TRADE IN'!$F590=0,"",(VLOOKUP($C581,REV!$C:$AA,19,0)-'TRADE IN'!$F581))</f>
        <v>899</v>
      </c>
      <c r="V581" s="46">
        <f>IF(VLOOKUP($C581,REV!$C:$AA,20,0)-'TRADE IN'!$F590=0,"",(VLOOKUP($C581,REV!$C:$AA,20,0)-'TRADE IN'!$F581))</f>
        <v>899</v>
      </c>
      <c r="W581" s="46">
        <f>IF(VLOOKUP($C581,REV!$C:$AA,21,0)-'TRADE IN'!$F590=0,"",(VLOOKUP($C581,REV!$C:$AA,21,0)-'TRADE IN'!$F581))</f>
        <v>899</v>
      </c>
      <c r="X581" s="46">
        <f>IF(VLOOKUP($C581,REV!$C:$AA,22,0)-'TRADE IN'!$F590=0,"",(VLOOKUP($C581,REV!$C:$AA,22,0)-'TRADE IN'!$F581))</f>
        <v>899</v>
      </c>
      <c r="Y581" s="46">
        <f>IF(VLOOKUP($C581,REV!$C:$AA,23,0)-'TRADE IN'!$F590=0,"",(VLOOKUP($C581,REV!$C:$AA,23,0)-'TRADE IN'!$F581))</f>
        <v>899</v>
      </c>
      <c r="Z581" s="46">
        <f>IF(VLOOKUP($C581,REV!$C:$AA,24,0)-'TRADE IN'!$F590=0,"",(VLOOKUP($C581,REV!$C:$AA,24,0)-'TRADE IN'!$F581))</f>
        <v>899</v>
      </c>
      <c r="AA581" s="46">
        <f>IF(VLOOKUP($C581,REV!$C:$AA,25,0)-'TRADE IN'!$F590=0,"",(VLOOKUP($C581,REV!$C:$AA,25,0)-'TRADE IN'!$F581))</f>
        <v>899</v>
      </c>
      <c r="AB581" s="46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7"/>
      <c r="AW581" s="48" t="str">
        <f>IF(REV!AW581=0,"",REV!AW581)</f>
        <v>31.03.2026</v>
      </c>
      <c r="AX581" s="159" t="s">
        <v>82</v>
      </c>
    </row>
    <row r="582" spans="1:50" ht="22.5" customHeight="1">
      <c r="A582" s="52" t="s">
        <v>70</v>
      </c>
      <c r="B582" s="41" t="s">
        <v>62</v>
      </c>
      <c r="C582" s="42">
        <v>4014587</v>
      </c>
      <c r="D582" s="44" t="s">
        <v>798</v>
      </c>
      <c r="E582" s="44" t="s">
        <v>804</v>
      </c>
      <c r="F582" s="45"/>
      <c r="G582" s="45"/>
      <c r="H582" s="45"/>
      <c r="I582" s="45"/>
      <c r="J582" s="46">
        <f>IF(VLOOKUP($C582,REV!$C:$AA,8,0)-'TRADE IN'!$F582=0,"",(VLOOKUP($C582,REV!$C:$AA,8,0)-'TRADE IN'!$F582))</f>
        <v>899</v>
      </c>
      <c r="K582" s="46">
        <f>IF(VLOOKUP($C582,REV!$C:$AA,9,0)-'TRADE IN'!$F582=0,"",(VLOOKUP($C582,REV!$C:$AA,9,0)-'TRADE IN'!$F582))</f>
        <v>899</v>
      </c>
      <c r="L582" s="46">
        <f>IF(VLOOKUP($C582,REV!$C:$AA,10,0)-'TRADE IN'!$F591=0,"",(VLOOKUP($C582,REV!$C:$AA,10,0)-'TRADE IN'!$F582))</f>
        <v>899</v>
      </c>
      <c r="M582" s="46">
        <f>IF(VLOOKUP($C582,REV!$C:$AA,11,0)-'TRADE IN'!$F591=0,"",(VLOOKUP($C582,REV!$C:$AA,11,0)-'TRADE IN'!$F582))</f>
        <v>899</v>
      </c>
      <c r="N582" s="46">
        <f>IF(VLOOKUP($C582,REV!$C:$AA,12,0)-'TRADE IN'!$F591=0,"",(VLOOKUP($C582,REV!$C:$AA,12,0)-'TRADE IN'!$F582))</f>
        <v>899</v>
      </c>
      <c r="O582" s="46">
        <f>IF(VLOOKUP($C582,REV!$C:$AA,13,0)-'TRADE IN'!$F591=0,"",(VLOOKUP($C582,REV!$C:$AA,13,0)-'TRADE IN'!$F582))</f>
        <v>899</v>
      </c>
      <c r="P582" s="46">
        <f>IF(VLOOKUP($C582,REV!$C:$AA,14,0)-'TRADE IN'!$F591=0,"",(VLOOKUP($C582,REV!$C:$AA,14,0)-'TRADE IN'!$F582))</f>
        <v>899</v>
      </c>
      <c r="Q582" s="46">
        <f>IF(VLOOKUP($C582,REV!$C:$AA,15,0)-'TRADE IN'!$F591=0,"",(VLOOKUP($C582,REV!$C:$AA,15,0)-'TRADE IN'!$F582))</f>
        <v>899</v>
      </c>
      <c r="R582" s="46">
        <f>IF(VLOOKUP($C582,REV!$C:$AA,16,0)-'TRADE IN'!$F591=0,"",(VLOOKUP($C582,REV!$C:$AA,16,0)-'TRADE IN'!$F582))</f>
        <v>899</v>
      </c>
      <c r="S582" s="46">
        <f>IF(VLOOKUP($C582,REV!$C:$AA,17,0)-'TRADE IN'!$F591=0,"",(VLOOKUP($C582,REV!$C:$AA,17,0)-'TRADE IN'!$F582))</f>
        <v>899</v>
      </c>
      <c r="T582" s="46">
        <f>IF(VLOOKUP($C582,REV!$C:$AA,18,0)-'TRADE IN'!$F591=0,"",(VLOOKUP($C582,REV!$C:$AA,18,0)-'TRADE IN'!$F582))</f>
        <v>899</v>
      </c>
      <c r="U582" s="46">
        <f>IF(VLOOKUP($C582,REV!$C:$AA,19,0)-'TRADE IN'!$F591=0,"",(VLOOKUP($C582,REV!$C:$AA,19,0)-'TRADE IN'!$F582))</f>
        <v>899</v>
      </c>
      <c r="V582" s="46">
        <f>IF(VLOOKUP($C582,REV!$C:$AA,20,0)-'TRADE IN'!$F591=0,"",(VLOOKUP($C582,REV!$C:$AA,20,0)-'TRADE IN'!$F582))</f>
        <v>899</v>
      </c>
      <c r="W582" s="46">
        <f>IF(VLOOKUP($C582,REV!$C:$AA,21,0)-'TRADE IN'!$F591=0,"",(VLOOKUP($C582,REV!$C:$AA,21,0)-'TRADE IN'!$F582))</f>
        <v>899</v>
      </c>
      <c r="X582" s="46">
        <f>IF(VLOOKUP($C582,REV!$C:$AA,22,0)-'TRADE IN'!$F591=0,"",(VLOOKUP($C582,REV!$C:$AA,22,0)-'TRADE IN'!$F582))</f>
        <v>899</v>
      </c>
      <c r="Y582" s="46">
        <f>IF(VLOOKUP($C582,REV!$C:$AA,23,0)-'TRADE IN'!$F591=0,"",(VLOOKUP($C582,REV!$C:$AA,23,0)-'TRADE IN'!$F582))</f>
        <v>899</v>
      </c>
      <c r="Z582" s="46">
        <f>IF(VLOOKUP($C582,REV!$C:$AA,24,0)-'TRADE IN'!$F591=0,"",(VLOOKUP($C582,REV!$C:$AA,24,0)-'TRADE IN'!$F582))</f>
        <v>899</v>
      </c>
      <c r="AA582" s="46">
        <f>IF(VLOOKUP($C582,REV!$C:$AA,25,0)-'TRADE IN'!$F591=0,"",(VLOOKUP($C582,REV!$C:$AA,25,0)-'TRADE IN'!$F582))</f>
        <v>899</v>
      </c>
      <c r="AB582" s="46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7"/>
      <c r="AW582" s="48" t="str">
        <f>IF(REV!AW582=0,"",REV!AW582)</f>
        <v>31.03.2026</v>
      </c>
      <c r="AX582" s="159" t="s">
        <v>82</v>
      </c>
    </row>
    <row r="583" spans="1:50" ht="22.5" customHeight="1">
      <c r="A583" s="52" t="s">
        <v>70</v>
      </c>
      <c r="B583" s="41" t="s">
        <v>62</v>
      </c>
      <c r="C583" s="42">
        <v>4014586</v>
      </c>
      <c r="D583" s="44" t="s">
        <v>798</v>
      </c>
      <c r="E583" s="44" t="s">
        <v>805</v>
      </c>
      <c r="F583" s="45"/>
      <c r="G583" s="45"/>
      <c r="H583" s="45"/>
      <c r="I583" s="45"/>
      <c r="J583" s="46">
        <f>IF(VLOOKUP($C583,REV!$C:$AA,8,0)-'TRADE IN'!$F583=0,"",(VLOOKUP($C583,REV!$C:$AA,8,0)-'TRADE IN'!$F583))</f>
        <v>899</v>
      </c>
      <c r="K583" s="46">
        <f>IF(VLOOKUP($C583,REV!$C:$AA,9,0)-'TRADE IN'!$F583=0,"",(VLOOKUP($C583,REV!$C:$AA,9,0)-'TRADE IN'!$F583))</f>
        <v>899</v>
      </c>
      <c r="L583" s="46">
        <f>IF(VLOOKUP($C583,REV!$C:$AA,10,0)-'TRADE IN'!$F592=0,"",(VLOOKUP($C583,REV!$C:$AA,10,0)-'TRADE IN'!$F583))</f>
        <v>899</v>
      </c>
      <c r="M583" s="46">
        <f>IF(VLOOKUP($C583,REV!$C:$AA,11,0)-'TRADE IN'!$F592=0,"",(VLOOKUP($C583,REV!$C:$AA,11,0)-'TRADE IN'!$F583))</f>
        <v>899</v>
      </c>
      <c r="N583" s="46">
        <f>IF(VLOOKUP($C583,REV!$C:$AA,12,0)-'TRADE IN'!$F592=0,"",(VLOOKUP($C583,REV!$C:$AA,12,0)-'TRADE IN'!$F583))</f>
        <v>899</v>
      </c>
      <c r="O583" s="46">
        <f>IF(VLOOKUP($C583,REV!$C:$AA,13,0)-'TRADE IN'!$F592=0,"",(VLOOKUP($C583,REV!$C:$AA,13,0)-'TRADE IN'!$F583))</f>
        <v>899</v>
      </c>
      <c r="P583" s="46">
        <f>IF(VLOOKUP($C583,REV!$C:$AA,14,0)-'TRADE IN'!$F592=0,"",(VLOOKUP($C583,REV!$C:$AA,14,0)-'TRADE IN'!$F583))</f>
        <v>899</v>
      </c>
      <c r="Q583" s="46">
        <f>IF(VLOOKUP($C583,REV!$C:$AA,15,0)-'TRADE IN'!$F592=0,"",(VLOOKUP($C583,REV!$C:$AA,15,0)-'TRADE IN'!$F583))</f>
        <v>899</v>
      </c>
      <c r="R583" s="46">
        <f>IF(VLOOKUP($C583,REV!$C:$AA,16,0)-'TRADE IN'!$F592=0,"",(VLOOKUP($C583,REV!$C:$AA,16,0)-'TRADE IN'!$F583))</f>
        <v>899</v>
      </c>
      <c r="S583" s="46">
        <f>IF(VLOOKUP($C583,REV!$C:$AA,17,0)-'TRADE IN'!$F592=0,"",(VLOOKUP($C583,REV!$C:$AA,17,0)-'TRADE IN'!$F583))</f>
        <v>899</v>
      </c>
      <c r="T583" s="46">
        <f>IF(VLOOKUP($C583,REV!$C:$AA,18,0)-'TRADE IN'!$F592=0,"",(VLOOKUP($C583,REV!$C:$AA,18,0)-'TRADE IN'!$F583))</f>
        <v>899</v>
      </c>
      <c r="U583" s="46">
        <f>IF(VLOOKUP($C583,REV!$C:$AA,19,0)-'TRADE IN'!$F592=0,"",(VLOOKUP($C583,REV!$C:$AA,19,0)-'TRADE IN'!$F583))</f>
        <v>899</v>
      </c>
      <c r="V583" s="46">
        <f>IF(VLOOKUP($C583,REV!$C:$AA,20,0)-'TRADE IN'!$F592=0,"",(VLOOKUP($C583,REV!$C:$AA,20,0)-'TRADE IN'!$F583))</f>
        <v>899</v>
      </c>
      <c r="W583" s="46">
        <f>IF(VLOOKUP($C583,REV!$C:$AA,21,0)-'TRADE IN'!$F592=0,"",(VLOOKUP($C583,REV!$C:$AA,21,0)-'TRADE IN'!$F583))</f>
        <v>899</v>
      </c>
      <c r="X583" s="46">
        <f>IF(VLOOKUP($C583,REV!$C:$AA,22,0)-'TRADE IN'!$F592=0,"",(VLOOKUP($C583,REV!$C:$AA,22,0)-'TRADE IN'!$F583))</f>
        <v>899</v>
      </c>
      <c r="Y583" s="46">
        <f>IF(VLOOKUP($C583,REV!$C:$AA,23,0)-'TRADE IN'!$F592=0,"",(VLOOKUP($C583,REV!$C:$AA,23,0)-'TRADE IN'!$F583))</f>
        <v>899</v>
      </c>
      <c r="Z583" s="46">
        <f>IF(VLOOKUP($C583,REV!$C:$AA,24,0)-'TRADE IN'!$F592=0,"",(VLOOKUP($C583,REV!$C:$AA,24,0)-'TRADE IN'!$F583))</f>
        <v>899</v>
      </c>
      <c r="AA583" s="46">
        <f>IF(VLOOKUP($C583,REV!$C:$AA,25,0)-'TRADE IN'!$F592=0,"",(VLOOKUP($C583,REV!$C:$AA,25,0)-'TRADE IN'!$F583))</f>
        <v>899</v>
      </c>
      <c r="AB583" s="46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7"/>
      <c r="AW583" s="48" t="str">
        <f>IF(REV!AW583=0,"",REV!AW583)</f>
        <v>31.03.2026</v>
      </c>
      <c r="AX583" s="159" t="s">
        <v>82</v>
      </c>
    </row>
    <row r="584" spans="1:50" ht="22.5" customHeight="1">
      <c r="A584" s="52" t="s">
        <v>70</v>
      </c>
      <c r="B584" s="41" t="s">
        <v>62</v>
      </c>
      <c r="C584" s="42">
        <v>4014710</v>
      </c>
      <c r="D584" s="44" t="s">
        <v>798</v>
      </c>
      <c r="E584" s="44" t="s">
        <v>806</v>
      </c>
      <c r="F584" s="45"/>
      <c r="G584" s="45"/>
      <c r="H584" s="45"/>
      <c r="I584" s="45"/>
      <c r="J584" s="46">
        <f>IF(VLOOKUP($C584,REV!$C:$AA,8,0)-'TRADE IN'!$F584=0,"",(VLOOKUP($C584,REV!$C:$AA,8,0)-'TRADE IN'!$F584))</f>
        <v>899</v>
      </c>
      <c r="K584" s="46">
        <f>IF(VLOOKUP($C584,REV!$C:$AA,9,0)-'TRADE IN'!$F584=0,"",(VLOOKUP($C584,REV!$C:$AA,9,0)-'TRADE IN'!$F584))</f>
        <v>899</v>
      </c>
      <c r="L584" s="46">
        <f>IF(VLOOKUP($C584,REV!$C:$AA,10,0)-'TRADE IN'!$F593=0,"",(VLOOKUP($C584,REV!$C:$AA,10,0)-'TRADE IN'!$F584))</f>
        <v>899</v>
      </c>
      <c r="M584" s="46">
        <f>IF(VLOOKUP($C584,REV!$C:$AA,11,0)-'TRADE IN'!$F593=0,"",(VLOOKUP($C584,REV!$C:$AA,11,0)-'TRADE IN'!$F584))</f>
        <v>899</v>
      </c>
      <c r="N584" s="46">
        <f>IF(VLOOKUP($C584,REV!$C:$AA,12,0)-'TRADE IN'!$F593=0,"",(VLOOKUP($C584,REV!$C:$AA,12,0)-'TRADE IN'!$F584))</f>
        <v>899</v>
      </c>
      <c r="O584" s="46">
        <f>IF(VLOOKUP($C584,REV!$C:$AA,13,0)-'TRADE IN'!$F593=0,"",(VLOOKUP($C584,REV!$C:$AA,13,0)-'TRADE IN'!$F584))</f>
        <v>899</v>
      </c>
      <c r="P584" s="46">
        <f>IF(VLOOKUP($C584,REV!$C:$AA,14,0)-'TRADE IN'!$F593=0,"",(VLOOKUP($C584,REV!$C:$AA,14,0)-'TRADE IN'!$F584))</f>
        <v>899</v>
      </c>
      <c r="Q584" s="46">
        <f>IF(VLOOKUP($C584,REV!$C:$AA,15,0)-'TRADE IN'!$F593=0,"",(VLOOKUP($C584,REV!$C:$AA,15,0)-'TRADE IN'!$F584))</f>
        <v>899</v>
      </c>
      <c r="R584" s="46">
        <f>IF(VLOOKUP($C584,REV!$C:$AA,16,0)-'TRADE IN'!$F593=0,"",(VLOOKUP($C584,REV!$C:$AA,16,0)-'TRADE IN'!$F584))</f>
        <v>899</v>
      </c>
      <c r="S584" s="46">
        <f>IF(VLOOKUP($C584,REV!$C:$AA,17,0)-'TRADE IN'!$F593=0,"",(VLOOKUP($C584,REV!$C:$AA,17,0)-'TRADE IN'!$F584))</f>
        <v>899</v>
      </c>
      <c r="T584" s="46">
        <f>IF(VLOOKUP($C584,REV!$C:$AA,18,0)-'TRADE IN'!$F593=0,"",(VLOOKUP($C584,REV!$C:$AA,18,0)-'TRADE IN'!$F584))</f>
        <v>899</v>
      </c>
      <c r="U584" s="46">
        <f>IF(VLOOKUP($C584,REV!$C:$AA,19,0)-'TRADE IN'!$F593=0,"",(VLOOKUP($C584,REV!$C:$AA,19,0)-'TRADE IN'!$F584))</f>
        <v>899</v>
      </c>
      <c r="V584" s="46">
        <f>IF(VLOOKUP($C584,REV!$C:$AA,20,0)-'TRADE IN'!$F593=0,"",(VLOOKUP($C584,REV!$C:$AA,20,0)-'TRADE IN'!$F584))</f>
        <v>899</v>
      </c>
      <c r="W584" s="46">
        <f>IF(VLOOKUP($C584,REV!$C:$AA,21,0)-'TRADE IN'!$F593=0,"",(VLOOKUP($C584,REV!$C:$AA,21,0)-'TRADE IN'!$F584))</f>
        <v>899</v>
      </c>
      <c r="X584" s="46">
        <f>IF(VLOOKUP($C584,REV!$C:$AA,22,0)-'TRADE IN'!$F593=0,"",(VLOOKUP($C584,REV!$C:$AA,22,0)-'TRADE IN'!$F584))</f>
        <v>899</v>
      </c>
      <c r="Y584" s="46">
        <f>IF(VLOOKUP($C584,REV!$C:$AA,23,0)-'TRADE IN'!$F593=0,"",(VLOOKUP($C584,REV!$C:$AA,23,0)-'TRADE IN'!$F584))</f>
        <v>899</v>
      </c>
      <c r="Z584" s="46">
        <f>IF(VLOOKUP($C584,REV!$C:$AA,24,0)-'TRADE IN'!$F593=0,"",(VLOOKUP($C584,REV!$C:$AA,24,0)-'TRADE IN'!$F584))</f>
        <v>899</v>
      </c>
      <c r="AA584" s="46">
        <f>IF(VLOOKUP($C584,REV!$C:$AA,25,0)-'TRADE IN'!$F593=0,"",(VLOOKUP($C584,REV!$C:$AA,25,0)-'TRADE IN'!$F584))</f>
        <v>899</v>
      </c>
      <c r="AB584" s="46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7"/>
      <c r="AW584" s="48" t="str">
        <f>IF(REV!AW584=0,"",REV!AW584)</f>
        <v>31.03.2026</v>
      </c>
      <c r="AX584" s="159" t="s">
        <v>82</v>
      </c>
    </row>
    <row r="585" spans="1:50" ht="22.5" customHeight="1">
      <c r="A585" s="52" t="s">
        <v>70</v>
      </c>
      <c r="B585" s="41" t="s">
        <v>62</v>
      </c>
      <c r="C585" s="42">
        <v>4015427</v>
      </c>
      <c r="D585" s="44" t="s">
        <v>807</v>
      </c>
      <c r="E585" s="44" t="s">
        <v>808</v>
      </c>
      <c r="F585" s="45"/>
      <c r="G585" s="45"/>
      <c r="H585" s="45"/>
      <c r="I585" s="45"/>
      <c r="J585" s="46">
        <f>IF(VLOOKUP($C585,REV!$C:$AA,8,0)-'TRADE IN'!$F585=0,"",(VLOOKUP($C585,REV!$C:$AA,8,0)-'TRADE IN'!$F585))</f>
        <v>1419</v>
      </c>
      <c r="K585" s="46">
        <f>IF(VLOOKUP($C585,REV!$C:$AA,9,0)-'TRADE IN'!$F585=0,"",(VLOOKUP($C585,REV!$C:$AA,9,0)-'TRADE IN'!$F585))</f>
        <v>1419</v>
      </c>
      <c r="L585" s="46">
        <f>IF(VLOOKUP($C585,REV!$C:$AA,10,0)-'TRADE IN'!$F594=0,"",(VLOOKUP($C585,REV!$C:$AA,10,0)-'TRADE IN'!$F585))</f>
        <v>1419</v>
      </c>
      <c r="M585" s="46">
        <f>IF(VLOOKUP($C585,REV!$C:$AA,11,0)-'TRADE IN'!$F594=0,"",(VLOOKUP($C585,REV!$C:$AA,11,0)-'TRADE IN'!$F585))</f>
        <v>1419</v>
      </c>
      <c r="N585" s="46">
        <f>IF(VLOOKUP($C585,REV!$C:$AA,12,0)-'TRADE IN'!$F594=0,"",(VLOOKUP($C585,REV!$C:$AA,12,0)-'TRADE IN'!$F585))</f>
        <v>1419</v>
      </c>
      <c r="O585" s="46">
        <f>IF(VLOOKUP($C585,REV!$C:$AA,13,0)-'TRADE IN'!$F594=0,"",(VLOOKUP($C585,REV!$C:$AA,13,0)-'TRADE IN'!$F585))</f>
        <v>1419</v>
      </c>
      <c r="P585" s="46">
        <f>IF(VLOOKUP($C585,REV!$C:$AA,14,0)-'TRADE IN'!$F594=0,"",(VLOOKUP($C585,REV!$C:$AA,14,0)-'TRADE IN'!$F585))</f>
        <v>1419</v>
      </c>
      <c r="Q585" s="46">
        <f>IF(VLOOKUP($C585,REV!$C:$AA,15,0)-'TRADE IN'!$F594=0,"",(VLOOKUP($C585,REV!$C:$AA,15,0)-'TRADE IN'!$F585))</f>
        <v>1419</v>
      </c>
      <c r="R585" s="46">
        <f>IF(VLOOKUP($C585,REV!$C:$AA,16,0)-'TRADE IN'!$F594=0,"",(VLOOKUP($C585,REV!$C:$AA,16,0)-'TRADE IN'!$F585))</f>
        <v>1419</v>
      </c>
      <c r="S585" s="46">
        <f>IF(VLOOKUP($C585,REV!$C:$AA,17,0)-'TRADE IN'!$F594=0,"",(VLOOKUP($C585,REV!$C:$AA,17,0)-'TRADE IN'!$F585))</f>
        <v>1419</v>
      </c>
      <c r="T585" s="46">
        <f>IF(VLOOKUP($C585,REV!$C:$AA,18,0)-'TRADE IN'!$F594=0,"",(VLOOKUP($C585,REV!$C:$AA,18,0)-'TRADE IN'!$F585))</f>
        <v>1419</v>
      </c>
      <c r="U585" s="46">
        <f>IF(VLOOKUP($C585,REV!$C:$AA,19,0)-'TRADE IN'!$F594=0,"",(VLOOKUP($C585,REV!$C:$AA,19,0)-'TRADE IN'!$F585))</f>
        <v>1419</v>
      </c>
      <c r="V585" s="46">
        <f>IF(VLOOKUP($C585,REV!$C:$AA,20,0)-'TRADE IN'!$F594=0,"",(VLOOKUP($C585,REV!$C:$AA,20,0)-'TRADE IN'!$F585))</f>
        <v>1419</v>
      </c>
      <c r="W585" s="46">
        <f>IF(VLOOKUP($C585,REV!$C:$AA,21,0)-'TRADE IN'!$F594=0,"",(VLOOKUP($C585,REV!$C:$AA,21,0)-'TRADE IN'!$F585))</f>
        <v>1419</v>
      </c>
      <c r="X585" s="46">
        <f>IF(VLOOKUP($C585,REV!$C:$AA,22,0)-'TRADE IN'!$F594=0,"",(VLOOKUP($C585,REV!$C:$AA,22,0)-'TRADE IN'!$F585))</f>
        <v>1419</v>
      </c>
      <c r="Y585" s="46">
        <f>IF(VLOOKUP($C585,REV!$C:$AA,23,0)-'TRADE IN'!$F594=0,"",(VLOOKUP($C585,REV!$C:$AA,23,0)-'TRADE IN'!$F585))</f>
        <v>1419</v>
      </c>
      <c r="Z585" s="46">
        <f>IF(VLOOKUP($C585,REV!$C:$AA,24,0)-'TRADE IN'!$F594=0,"",(VLOOKUP($C585,REV!$C:$AA,24,0)-'TRADE IN'!$F585))</f>
        <v>1419</v>
      </c>
      <c r="AA585" s="46">
        <f>IF(VLOOKUP($C585,REV!$C:$AA,25,0)-'TRADE IN'!$F594=0,"",(VLOOKUP($C585,REV!$C:$AA,25,0)-'TRADE IN'!$F585))</f>
        <v>1419</v>
      </c>
      <c r="AB585" s="46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7"/>
      <c r="AW585" s="48" t="str">
        <f>IF(REV!AW585=0,"",REV!AW585)</f>
        <v>31.03.2026</v>
      </c>
      <c r="AX585" s="159" t="s">
        <v>82</v>
      </c>
    </row>
    <row r="586" spans="1:50" ht="22.5" customHeight="1">
      <c r="A586" s="52" t="s">
        <v>70</v>
      </c>
      <c r="B586" s="41" t="s">
        <v>62</v>
      </c>
      <c r="C586" s="42">
        <v>4015428</v>
      </c>
      <c r="D586" s="44" t="s">
        <v>807</v>
      </c>
      <c r="E586" s="44" t="s">
        <v>809</v>
      </c>
      <c r="F586" s="45"/>
      <c r="G586" s="45"/>
      <c r="H586" s="45"/>
      <c r="I586" s="45"/>
      <c r="J586" s="46">
        <f>IF(VLOOKUP($C586,REV!$C:$AA,8,0)-'TRADE IN'!$F586=0,"",(VLOOKUP($C586,REV!$C:$AA,8,0)-'TRADE IN'!$F586))</f>
        <v>1419</v>
      </c>
      <c r="K586" s="46">
        <f>IF(VLOOKUP($C586,REV!$C:$AA,9,0)-'TRADE IN'!$F586=0,"",(VLOOKUP($C586,REV!$C:$AA,9,0)-'TRADE IN'!$F586))</f>
        <v>1419</v>
      </c>
      <c r="L586" s="46">
        <f>IF(VLOOKUP($C586,REV!$C:$AA,10,0)-'TRADE IN'!$F595=0,"",(VLOOKUP($C586,REV!$C:$AA,10,0)-'TRADE IN'!$F586))</f>
        <v>1419</v>
      </c>
      <c r="M586" s="46">
        <f>IF(VLOOKUP($C586,REV!$C:$AA,11,0)-'TRADE IN'!$F595=0,"",(VLOOKUP($C586,REV!$C:$AA,11,0)-'TRADE IN'!$F586))</f>
        <v>1419</v>
      </c>
      <c r="N586" s="46">
        <f>IF(VLOOKUP($C586,REV!$C:$AA,12,0)-'TRADE IN'!$F595=0,"",(VLOOKUP($C586,REV!$C:$AA,12,0)-'TRADE IN'!$F586))</f>
        <v>1419</v>
      </c>
      <c r="O586" s="46">
        <f>IF(VLOOKUP($C586,REV!$C:$AA,13,0)-'TRADE IN'!$F595=0,"",(VLOOKUP($C586,REV!$C:$AA,13,0)-'TRADE IN'!$F586))</f>
        <v>1419</v>
      </c>
      <c r="P586" s="46">
        <f>IF(VLOOKUP($C586,REV!$C:$AA,14,0)-'TRADE IN'!$F595=0,"",(VLOOKUP($C586,REV!$C:$AA,14,0)-'TRADE IN'!$F586))</f>
        <v>1419</v>
      </c>
      <c r="Q586" s="46">
        <f>IF(VLOOKUP($C586,REV!$C:$AA,15,0)-'TRADE IN'!$F595=0,"",(VLOOKUP($C586,REV!$C:$AA,15,0)-'TRADE IN'!$F586))</f>
        <v>1419</v>
      </c>
      <c r="R586" s="46">
        <f>IF(VLOOKUP($C586,REV!$C:$AA,16,0)-'TRADE IN'!$F595=0,"",(VLOOKUP($C586,REV!$C:$AA,16,0)-'TRADE IN'!$F586))</f>
        <v>1419</v>
      </c>
      <c r="S586" s="46">
        <f>IF(VLOOKUP($C586,REV!$C:$AA,17,0)-'TRADE IN'!$F595=0,"",(VLOOKUP($C586,REV!$C:$AA,17,0)-'TRADE IN'!$F586))</f>
        <v>1419</v>
      </c>
      <c r="T586" s="46">
        <f>IF(VLOOKUP($C586,REV!$C:$AA,18,0)-'TRADE IN'!$F595=0,"",(VLOOKUP($C586,REV!$C:$AA,18,0)-'TRADE IN'!$F586))</f>
        <v>1419</v>
      </c>
      <c r="U586" s="46">
        <f>IF(VLOOKUP($C586,REV!$C:$AA,19,0)-'TRADE IN'!$F595=0,"",(VLOOKUP($C586,REV!$C:$AA,19,0)-'TRADE IN'!$F586))</f>
        <v>1419</v>
      </c>
      <c r="V586" s="46">
        <f>IF(VLOOKUP($C586,REV!$C:$AA,20,0)-'TRADE IN'!$F595=0,"",(VLOOKUP($C586,REV!$C:$AA,20,0)-'TRADE IN'!$F586))</f>
        <v>1419</v>
      </c>
      <c r="W586" s="46">
        <f>IF(VLOOKUP($C586,REV!$C:$AA,21,0)-'TRADE IN'!$F595=0,"",(VLOOKUP($C586,REV!$C:$AA,21,0)-'TRADE IN'!$F586))</f>
        <v>1419</v>
      </c>
      <c r="X586" s="46">
        <f>IF(VLOOKUP($C586,REV!$C:$AA,22,0)-'TRADE IN'!$F595=0,"",(VLOOKUP($C586,REV!$C:$AA,22,0)-'TRADE IN'!$F586))</f>
        <v>1419</v>
      </c>
      <c r="Y586" s="46">
        <f>IF(VLOOKUP($C586,REV!$C:$AA,23,0)-'TRADE IN'!$F595=0,"",(VLOOKUP($C586,REV!$C:$AA,23,0)-'TRADE IN'!$F586))</f>
        <v>1419</v>
      </c>
      <c r="Z586" s="46">
        <f>IF(VLOOKUP($C586,REV!$C:$AA,24,0)-'TRADE IN'!$F595=0,"",(VLOOKUP($C586,REV!$C:$AA,24,0)-'TRADE IN'!$F586))</f>
        <v>1419</v>
      </c>
      <c r="AA586" s="46">
        <f>IF(VLOOKUP($C586,REV!$C:$AA,25,0)-'TRADE IN'!$F595=0,"",(VLOOKUP($C586,REV!$C:$AA,25,0)-'TRADE IN'!$F586))</f>
        <v>1419</v>
      </c>
      <c r="AB586" s="46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7"/>
      <c r="AW586" s="48" t="str">
        <f>IF(REV!AW586=0,"",REV!AW586)</f>
        <v>31.03.2026</v>
      </c>
      <c r="AX586" s="159" t="s">
        <v>82</v>
      </c>
    </row>
    <row r="587" spans="1:50" ht="22.5" customHeight="1">
      <c r="A587" s="52" t="s">
        <v>70</v>
      </c>
      <c r="B587" s="41" t="s">
        <v>62</v>
      </c>
      <c r="C587" s="42">
        <v>4015429</v>
      </c>
      <c r="D587" s="44" t="s">
        <v>807</v>
      </c>
      <c r="E587" s="44" t="s">
        <v>810</v>
      </c>
      <c r="F587" s="45"/>
      <c r="G587" s="45"/>
      <c r="H587" s="45"/>
      <c r="I587" s="45"/>
      <c r="J587" s="46">
        <f>IF(VLOOKUP($C587,REV!$C:$AA,8,0)-'TRADE IN'!$F587=0,"",(VLOOKUP($C587,REV!$C:$AA,8,0)-'TRADE IN'!$F587))</f>
        <v>1419</v>
      </c>
      <c r="K587" s="46">
        <f>IF(VLOOKUP($C587,REV!$C:$AA,9,0)-'TRADE IN'!$F587=0,"",(VLOOKUP($C587,REV!$C:$AA,9,0)-'TRADE IN'!$F587))</f>
        <v>1419</v>
      </c>
      <c r="L587" s="46">
        <f>IF(VLOOKUP($C587,REV!$C:$AA,10,0)-'TRADE IN'!$F596=0,"",(VLOOKUP($C587,REV!$C:$AA,10,0)-'TRADE IN'!$F587))</f>
        <v>1419</v>
      </c>
      <c r="M587" s="46">
        <f>IF(VLOOKUP($C587,REV!$C:$AA,11,0)-'TRADE IN'!$F596=0,"",(VLOOKUP($C587,REV!$C:$AA,11,0)-'TRADE IN'!$F587))</f>
        <v>1419</v>
      </c>
      <c r="N587" s="46">
        <f>IF(VLOOKUP($C587,REV!$C:$AA,12,0)-'TRADE IN'!$F596=0,"",(VLOOKUP($C587,REV!$C:$AA,12,0)-'TRADE IN'!$F587))</f>
        <v>1419</v>
      </c>
      <c r="O587" s="46">
        <f>IF(VLOOKUP($C587,REV!$C:$AA,13,0)-'TRADE IN'!$F596=0,"",(VLOOKUP($C587,REV!$C:$AA,13,0)-'TRADE IN'!$F587))</f>
        <v>1419</v>
      </c>
      <c r="P587" s="46">
        <f>IF(VLOOKUP($C587,REV!$C:$AA,14,0)-'TRADE IN'!$F596=0,"",(VLOOKUP($C587,REV!$C:$AA,14,0)-'TRADE IN'!$F587))</f>
        <v>1419</v>
      </c>
      <c r="Q587" s="46">
        <f>IF(VLOOKUP($C587,REV!$C:$AA,15,0)-'TRADE IN'!$F596=0,"",(VLOOKUP($C587,REV!$C:$AA,15,0)-'TRADE IN'!$F587))</f>
        <v>1419</v>
      </c>
      <c r="R587" s="46">
        <f>IF(VLOOKUP($C587,REV!$C:$AA,16,0)-'TRADE IN'!$F596=0,"",(VLOOKUP($C587,REV!$C:$AA,16,0)-'TRADE IN'!$F587))</f>
        <v>1419</v>
      </c>
      <c r="S587" s="46">
        <f>IF(VLOOKUP($C587,REV!$C:$AA,17,0)-'TRADE IN'!$F596=0,"",(VLOOKUP($C587,REV!$C:$AA,17,0)-'TRADE IN'!$F587))</f>
        <v>1419</v>
      </c>
      <c r="T587" s="46">
        <f>IF(VLOOKUP($C587,REV!$C:$AA,18,0)-'TRADE IN'!$F596=0,"",(VLOOKUP($C587,REV!$C:$AA,18,0)-'TRADE IN'!$F587))</f>
        <v>1419</v>
      </c>
      <c r="U587" s="46">
        <f>IF(VLOOKUP($C587,REV!$C:$AA,19,0)-'TRADE IN'!$F596=0,"",(VLOOKUP($C587,REV!$C:$AA,19,0)-'TRADE IN'!$F587))</f>
        <v>1419</v>
      </c>
      <c r="V587" s="46">
        <f>IF(VLOOKUP($C587,REV!$C:$AA,20,0)-'TRADE IN'!$F596=0,"",(VLOOKUP($C587,REV!$C:$AA,20,0)-'TRADE IN'!$F587))</f>
        <v>1419</v>
      </c>
      <c r="W587" s="46">
        <f>IF(VLOOKUP($C587,REV!$C:$AA,21,0)-'TRADE IN'!$F596=0,"",(VLOOKUP($C587,REV!$C:$AA,21,0)-'TRADE IN'!$F587))</f>
        <v>1419</v>
      </c>
      <c r="X587" s="46">
        <f>IF(VLOOKUP($C587,REV!$C:$AA,22,0)-'TRADE IN'!$F596=0,"",(VLOOKUP($C587,REV!$C:$AA,22,0)-'TRADE IN'!$F587))</f>
        <v>1419</v>
      </c>
      <c r="Y587" s="46">
        <f>IF(VLOOKUP($C587,REV!$C:$AA,23,0)-'TRADE IN'!$F596=0,"",(VLOOKUP($C587,REV!$C:$AA,23,0)-'TRADE IN'!$F587))</f>
        <v>1419</v>
      </c>
      <c r="Z587" s="46">
        <f>IF(VLOOKUP($C587,REV!$C:$AA,24,0)-'TRADE IN'!$F596=0,"",(VLOOKUP($C587,REV!$C:$AA,24,0)-'TRADE IN'!$F587))</f>
        <v>1419</v>
      </c>
      <c r="AA587" s="46">
        <f>IF(VLOOKUP($C587,REV!$C:$AA,25,0)-'TRADE IN'!$F596=0,"",(VLOOKUP($C587,REV!$C:$AA,25,0)-'TRADE IN'!$F587))</f>
        <v>1419</v>
      </c>
      <c r="AB587" s="46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7"/>
      <c r="AW587" s="48" t="str">
        <f>IF(REV!AW587=0,"",REV!AW587)</f>
        <v>31.03.2026</v>
      </c>
      <c r="AX587" s="159" t="s">
        <v>82</v>
      </c>
    </row>
    <row r="588" spans="1:50" ht="22.5" customHeight="1">
      <c r="A588" s="52" t="s">
        <v>70</v>
      </c>
      <c r="B588" s="41" t="s">
        <v>62</v>
      </c>
      <c r="C588" s="42">
        <v>4015430</v>
      </c>
      <c r="D588" s="44" t="s">
        <v>807</v>
      </c>
      <c r="E588" s="44" t="s">
        <v>811</v>
      </c>
      <c r="F588" s="45"/>
      <c r="G588" s="45"/>
      <c r="H588" s="45"/>
      <c r="I588" s="45"/>
      <c r="J588" s="46">
        <f>IF(VLOOKUP($C588,REV!$C:$AA,8,0)-'TRADE IN'!$F588=0,"",(VLOOKUP($C588,REV!$C:$AA,8,0)-'TRADE IN'!$F588))</f>
        <v>1419</v>
      </c>
      <c r="K588" s="46">
        <f>IF(VLOOKUP($C588,REV!$C:$AA,9,0)-'TRADE IN'!$F588=0,"",(VLOOKUP($C588,REV!$C:$AA,9,0)-'TRADE IN'!$F588))</f>
        <v>1419</v>
      </c>
      <c r="L588" s="46">
        <f>IF(VLOOKUP($C588,REV!$C:$AA,10,0)-'TRADE IN'!$F597=0,"",(VLOOKUP($C588,REV!$C:$AA,10,0)-'TRADE IN'!$F588))</f>
        <v>1419</v>
      </c>
      <c r="M588" s="46">
        <f>IF(VLOOKUP($C588,REV!$C:$AA,11,0)-'TRADE IN'!$F597=0,"",(VLOOKUP($C588,REV!$C:$AA,11,0)-'TRADE IN'!$F588))</f>
        <v>1419</v>
      </c>
      <c r="N588" s="46">
        <f>IF(VLOOKUP($C588,REV!$C:$AA,12,0)-'TRADE IN'!$F597=0,"",(VLOOKUP($C588,REV!$C:$AA,12,0)-'TRADE IN'!$F588))</f>
        <v>1419</v>
      </c>
      <c r="O588" s="46">
        <f>IF(VLOOKUP($C588,REV!$C:$AA,13,0)-'TRADE IN'!$F597=0,"",(VLOOKUP($C588,REV!$C:$AA,13,0)-'TRADE IN'!$F588))</f>
        <v>1419</v>
      </c>
      <c r="P588" s="46">
        <f>IF(VLOOKUP($C588,REV!$C:$AA,14,0)-'TRADE IN'!$F597=0,"",(VLOOKUP($C588,REV!$C:$AA,14,0)-'TRADE IN'!$F588))</f>
        <v>1419</v>
      </c>
      <c r="Q588" s="46">
        <f>IF(VLOOKUP($C588,REV!$C:$AA,15,0)-'TRADE IN'!$F597=0,"",(VLOOKUP($C588,REV!$C:$AA,15,0)-'TRADE IN'!$F588))</f>
        <v>1419</v>
      </c>
      <c r="R588" s="46">
        <f>IF(VLOOKUP($C588,REV!$C:$AA,16,0)-'TRADE IN'!$F597=0,"",(VLOOKUP($C588,REV!$C:$AA,16,0)-'TRADE IN'!$F588))</f>
        <v>1419</v>
      </c>
      <c r="S588" s="46">
        <f>IF(VLOOKUP($C588,REV!$C:$AA,17,0)-'TRADE IN'!$F597=0,"",(VLOOKUP($C588,REV!$C:$AA,17,0)-'TRADE IN'!$F588))</f>
        <v>1419</v>
      </c>
      <c r="T588" s="46">
        <f>IF(VLOOKUP($C588,REV!$C:$AA,18,0)-'TRADE IN'!$F597=0,"",(VLOOKUP($C588,REV!$C:$AA,18,0)-'TRADE IN'!$F588))</f>
        <v>1419</v>
      </c>
      <c r="U588" s="46">
        <f>IF(VLOOKUP($C588,REV!$C:$AA,19,0)-'TRADE IN'!$F597=0,"",(VLOOKUP($C588,REV!$C:$AA,19,0)-'TRADE IN'!$F588))</f>
        <v>1419</v>
      </c>
      <c r="V588" s="46">
        <f>IF(VLOOKUP($C588,REV!$C:$AA,20,0)-'TRADE IN'!$F597=0,"",(VLOOKUP($C588,REV!$C:$AA,20,0)-'TRADE IN'!$F588))</f>
        <v>1419</v>
      </c>
      <c r="W588" s="46">
        <f>IF(VLOOKUP($C588,REV!$C:$AA,21,0)-'TRADE IN'!$F597=0,"",(VLOOKUP($C588,REV!$C:$AA,21,0)-'TRADE IN'!$F588))</f>
        <v>1419</v>
      </c>
      <c r="X588" s="46">
        <f>IF(VLOOKUP($C588,REV!$C:$AA,22,0)-'TRADE IN'!$F597=0,"",(VLOOKUP($C588,REV!$C:$AA,22,0)-'TRADE IN'!$F588))</f>
        <v>1419</v>
      </c>
      <c r="Y588" s="46">
        <f>IF(VLOOKUP($C588,REV!$C:$AA,23,0)-'TRADE IN'!$F597=0,"",(VLOOKUP($C588,REV!$C:$AA,23,0)-'TRADE IN'!$F588))</f>
        <v>1419</v>
      </c>
      <c r="Z588" s="46">
        <f>IF(VLOOKUP($C588,REV!$C:$AA,24,0)-'TRADE IN'!$F597=0,"",(VLOOKUP($C588,REV!$C:$AA,24,0)-'TRADE IN'!$F588))</f>
        <v>1419</v>
      </c>
      <c r="AA588" s="46">
        <f>IF(VLOOKUP($C588,REV!$C:$AA,25,0)-'TRADE IN'!$F597=0,"",(VLOOKUP($C588,REV!$C:$AA,25,0)-'TRADE IN'!$F588))</f>
        <v>1419</v>
      </c>
      <c r="AB588" s="46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7"/>
      <c r="AW588" s="48" t="str">
        <f>IF(REV!AW588=0,"",REV!AW588)</f>
        <v>31.03.2026</v>
      </c>
      <c r="AX588" s="159" t="s">
        <v>82</v>
      </c>
    </row>
    <row r="589" spans="1:50" ht="22.5" customHeight="1">
      <c r="A589" s="52" t="s">
        <v>70</v>
      </c>
      <c r="B589" s="41" t="s">
        <v>62</v>
      </c>
      <c r="C589" s="42">
        <v>4015449</v>
      </c>
      <c r="D589" s="44" t="s">
        <v>807</v>
      </c>
      <c r="E589" s="44" t="s">
        <v>812</v>
      </c>
      <c r="F589" s="45"/>
      <c r="G589" s="45"/>
      <c r="H589" s="45"/>
      <c r="I589" s="45"/>
      <c r="J589" s="46">
        <f>IF(VLOOKUP($C589,REV!$C:$AA,8,0)-'TRADE IN'!$F589=0,"",(VLOOKUP($C589,REV!$C:$AA,8,0)-'TRADE IN'!$F589))</f>
        <v>1419</v>
      </c>
      <c r="K589" s="46">
        <f>IF(VLOOKUP($C589,REV!$C:$AA,9,0)-'TRADE IN'!$F589=0,"",(VLOOKUP($C589,REV!$C:$AA,9,0)-'TRADE IN'!$F589))</f>
        <v>1419</v>
      </c>
      <c r="L589" s="46">
        <f>IF(VLOOKUP($C589,REV!$C:$AA,10,0)-'TRADE IN'!$F598=0,"",(VLOOKUP($C589,REV!$C:$AA,10,0)-'TRADE IN'!$F589))</f>
        <v>1419</v>
      </c>
      <c r="M589" s="46">
        <f>IF(VLOOKUP($C589,REV!$C:$AA,11,0)-'TRADE IN'!$F598=0,"",(VLOOKUP($C589,REV!$C:$AA,11,0)-'TRADE IN'!$F589))</f>
        <v>1419</v>
      </c>
      <c r="N589" s="46">
        <f>IF(VLOOKUP($C589,REV!$C:$AA,12,0)-'TRADE IN'!$F598=0,"",(VLOOKUP($C589,REV!$C:$AA,12,0)-'TRADE IN'!$F589))</f>
        <v>1419</v>
      </c>
      <c r="O589" s="46">
        <f>IF(VLOOKUP($C589,REV!$C:$AA,13,0)-'TRADE IN'!$F598=0,"",(VLOOKUP($C589,REV!$C:$AA,13,0)-'TRADE IN'!$F589))</f>
        <v>1419</v>
      </c>
      <c r="P589" s="46">
        <f>IF(VLOOKUP($C589,REV!$C:$AA,14,0)-'TRADE IN'!$F598=0,"",(VLOOKUP($C589,REV!$C:$AA,14,0)-'TRADE IN'!$F589))</f>
        <v>1419</v>
      </c>
      <c r="Q589" s="46">
        <f>IF(VLOOKUP($C589,REV!$C:$AA,15,0)-'TRADE IN'!$F598=0,"",(VLOOKUP($C589,REV!$C:$AA,15,0)-'TRADE IN'!$F589))</f>
        <v>1419</v>
      </c>
      <c r="R589" s="46">
        <f>IF(VLOOKUP($C589,REV!$C:$AA,16,0)-'TRADE IN'!$F598=0,"",(VLOOKUP($C589,REV!$C:$AA,16,0)-'TRADE IN'!$F589))</f>
        <v>1419</v>
      </c>
      <c r="S589" s="46">
        <f>IF(VLOOKUP($C589,REV!$C:$AA,17,0)-'TRADE IN'!$F598=0,"",(VLOOKUP($C589,REV!$C:$AA,17,0)-'TRADE IN'!$F589))</f>
        <v>1419</v>
      </c>
      <c r="T589" s="46">
        <f>IF(VLOOKUP($C589,REV!$C:$AA,18,0)-'TRADE IN'!$F598=0,"",(VLOOKUP($C589,REV!$C:$AA,18,0)-'TRADE IN'!$F589))</f>
        <v>1419</v>
      </c>
      <c r="U589" s="46">
        <f>IF(VLOOKUP($C589,REV!$C:$AA,19,0)-'TRADE IN'!$F598=0,"",(VLOOKUP($C589,REV!$C:$AA,19,0)-'TRADE IN'!$F589))</f>
        <v>1419</v>
      </c>
      <c r="V589" s="46">
        <f>IF(VLOOKUP($C589,REV!$C:$AA,20,0)-'TRADE IN'!$F598=0,"",(VLOOKUP($C589,REV!$C:$AA,20,0)-'TRADE IN'!$F589))</f>
        <v>1419</v>
      </c>
      <c r="W589" s="46">
        <f>IF(VLOOKUP($C589,REV!$C:$AA,21,0)-'TRADE IN'!$F598=0,"",(VLOOKUP($C589,REV!$C:$AA,21,0)-'TRADE IN'!$F589))</f>
        <v>1419</v>
      </c>
      <c r="X589" s="46">
        <f>IF(VLOOKUP($C589,REV!$C:$AA,22,0)-'TRADE IN'!$F598=0,"",(VLOOKUP($C589,REV!$C:$AA,22,0)-'TRADE IN'!$F589))</f>
        <v>1419</v>
      </c>
      <c r="Y589" s="46">
        <f>IF(VLOOKUP($C589,REV!$C:$AA,23,0)-'TRADE IN'!$F598=0,"",(VLOOKUP($C589,REV!$C:$AA,23,0)-'TRADE IN'!$F589))</f>
        <v>1419</v>
      </c>
      <c r="Z589" s="46">
        <f>IF(VLOOKUP($C589,REV!$C:$AA,24,0)-'TRADE IN'!$F598=0,"",(VLOOKUP($C589,REV!$C:$AA,24,0)-'TRADE IN'!$F589))</f>
        <v>1419</v>
      </c>
      <c r="AA589" s="46">
        <f>IF(VLOOKUP($C589,REV!$C:$AA,25,0)-'TRADE IN'!$F598=0,"",(VLOOKUP($C589,REV!$C:$AA,25,0)-'TRADE IN'!$F589))</f>
        <v>1419</v>
      </c>
      <c r="AB589" s="46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7"/>
      <c r="AW589" s="48" t="str">
        <f>IF(REV!AW589=0,"",REV!AW589)</f>
        <v>31.03.2026</v>
      </c>
      <c r="AX589" s="159" t="s">
        <v>82</v>
      </c>
    </row>
    <row r="590" spans="1:50" ht="22.5" customHeight="1">
      <c r="A590" s="52" t="s">
        <v>70</v>
      </c>
      <c r="B590" s="41" t="s">
        <v>62</v>
      </c>
      <c r="C590" s="42">
        <v>4015443</v>
      </c>
      <c r="D590" s="44" t="s">
        <v>807</v>
      </c>
      <c r="E590" s="44" t="s">
        <v>813</v>
      </c>
      <c r="F590" s="45"/>
      <c r="G590" s="45"/>
      <c r="H590" s="45"/>
      <c r="I590" s="45"/>
      <c r="J590" s="46">
        <f>IF(VLOOKUP($C590,REV!$C:$AA,8,0)-'TRADE IN'!$F590=0,"",(VLOOKUP($C590,REV!$C:$AA,8,0)-'TRADE IN'!$F590))</f>
        <v>1419</v>
      </c>
      <c r="K590" s="46">
        <f>IF(VLOOKUP($C590,REV!$C:$AA,9,0)-'TRADE IN'!$F590=0,"",(VLOOKUP($C590,REV!$C:$AA,9,0)-'TRADE IN'!$F590))</f>
        <v>1419</v>
      </c>
      <c r="L590" s="46">
        <f>IF(VLOOKUP($C590,REV!$C:$AA,10,0)-'TRADE IN'!$F599=0,"",(VLOOKUP($C590,REV!$C:$AA,10,0)-'TRADE IN'!$F590))</f>
        <v>1419</v>
      </c>
      <c r="M590" s="46">
        <f>IF(VLOOKUP($C590,REV!$C:$AA,11,0)-'TRADE IN'!$F599=0,"",(VLOOKUP($C590,REV!$C:$AA,11,0)-'TRADE IN'!$F590))</f>
        <v>1419</v>
      </c>
      <c r="N590" s="46">
        <f>IF(VLOOKUP($C590,REV!$C:$AA,12,0)-'TRADE IN'!$F599=0,"",(VLOOKUP($C590,REV!$C:$AA,12,0)-'TRADE IN'!$F590))</f>
        <v>1419</v>
      </c>
      <c r="O590" s="46">
        <f>IF(VLOOKUP($C590,REV!$C:$AA,13,0)-'TRADE IN'!$F599=0,"",(VLOOKUP($C590,REV!$C:$AA,13,0)-'TRADE IN'!$F590))</f>
        <v>1419</v>
      </c>
      <c r="P590" s="46">
        <f>IF(VLOOKUP($C590,REV!$C:$AA,14,0)-'TRADE IN'!$F599=0,"",(VLOOKUP($C590,REV!$C:$AA,14,0)-'TRADE IN'!$F590))</f>
        <v>1419</v>
      </c>
      <c r="Q590" s="46">
        <f>IF(VLOOKUP($C590,REV!$C:$AA,15,0)-'TRADE IN'!$F599=0,"",(VLOOKUP($C590,REV!$C:$AA,15,0)-'TRADE IN'!$F590))</f>
        <v>1419</v>
      </c>
      <c r="R590" s="46">
        <f>IF(VLOOKUP($C590,REV!$C:$AA,16,0)-'TRADE IN'!$F599=0,"",(VLOOKUP($C590,REV!$C:$AA,16,0)-'TRADE IN'!$F590))</f>
        <v>1419</v>
      </c>
      <c r="S590" s="46">
        <f>IF(VLOOKUP($C590,REV!$C:$AA,17,0)-'TRADE IN'!$F599=0,"",(VLOOKUP($C590,REV!$C:$AA,17,0)-'TRADE IN'!$F590))</f>
        <v>1419</v>
      </c>
      <c r="T590" s="46">
        <f>IF(VLOOKUP($C590,REV!$C:$AA,18,0)-'TRADE IN'!$F599=0,"",(VLOOKUP($C590,REV!$C:$AA,18,0)-'TRADE IN'!$F590))</f>
        <v>1419</v>
      </c>
      <c r="U590" s="46">
        <f>IF(VLOOKUP($C590,REV!$C:$AA,19,0)-'TRADE IN'!$F599=0,"",(VLOOKUP($C590,REV!$C:$AA,19,0)-'TRADE IN'!$F590))</f>
        <v>1419</v>
      </c>
      <c r="V590" s="46">
        <f>IF(VLOOKUP($C590,REV!$C:$AA,20,0)-'TRADE IN'!$F599=0,"",(VLOOKUP($C590,REV!$C:$AA,20,0)-'TRADE IN'!$F590))</f>
        <v>1419</v>
      </c>
      <c r="W590" s="46">
        <f>IF(VLOOKUP($C590,REV!$C:$AA,21,0)-'TRADE IN'!$F599=0,"",(VLOOKUP($C590,REV!$C:$AA,21,0)-'TRADE IN'!$F590))</f>
        <v>1419</v>
      </c>
      <c r="X590" s="46">
        <f>IF(VLOOKUP($C590,REV!$C:$AA,22,0)-'TRADE IN'!$F599=0,"",(VLOOKUP($C590,REV!$C:$AA,22,0)-'TRADE IN'!$F590))</f>
        <v>1419</v>
      </c>
      <c r="Y590" s="46">
        <f>IF(VLOOKUP($C590,REV!$C:$AA,23,0)-'TRADE IN'!$F599=0,"",(VLOOKUP($C590,REV!$C:$AA,23,0)-'TRADE IN'!$F590))</f>
        <v>1419</v>
      </c>
      <c r="Z590" s="46">
        <f>IF(VLOOKUP($C590,REV!$C:$AA,24,0)-'TRADE IN'!$F599=0,"",(VLOOKUP($C590,REV!$C:$AA,24,0)-'TRADE IN'!$F590))</f>
        <v>1419</v>
      </c>
      <c r="AA590" s="46">
        <f>IF(VLOOKUP($C590,REV!$C:$AA,25,0)-'TRADE IN'!$F599=0,"",(VLOOKUP($C590,REV!$C:$AA,25,0)-'TRADE IN'!$F590))</f>
        <v>1419</v>
      </c>
      <c r="AB590" s="46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7"/>
      <c r="AW590" s="48" t="str">
        <f>IF(REV!AW590=0,"",REV!AW590)</f>
        <v>31.03.2026</v>
      </c>
      <c r="AX590" s="159" t="s">
        <v>82</v>
      </c>
    </row>
    <row r="591" spans="1:50" ht="22.5" customHeight="1">
      <c r="A591" s="52" t="s">
        <v>70</v>
      </c>
      <c r="B591" s="41" t="s">
        <v>62</v>
      </c>
      <c r="C591" s="42">
        <v>4014738</v>
      </c>
      <c r="D591" s="44" t="s">
        <v>814</v>
      </c>
      <c r="E591" s="44" t="s">
        <v>815</v>
      </c>
      <c r="F591" s="45"/>
      <c r="G591" s="45"/>
      <c r="H591" s="45"/>
      <c r="I591" s="45"/>
      <c r="J591" s="46">
        <f>IF(VLOOKUP($C591,REV!$C:$AA,8,0)-'TRADE IN'!$F591=0,"",(VLOOKUP($C591,REV!$C:$AA,8,0)-'TRADE IN'!$F591))</f>
        <v>749</v>
      </c>
      <c r="K591" s="46">
        <f>IF(VLOOKUP($C591,REV!$C:$AA,9,0)-'TRADE IN'!$F591=0,"",(VLOOKUP($C591,REV!$C:$AA,9,0)-'TRADE IN'!$F591))</f>
        <v>749</v>
      </c>
      <c r="L591" s="46">
        <f>IF(VLOOKUP($C591,REV!$C:$AA,10,0)-'TRADE IN'!$F600=0,"",(VLOOKUP($C591,REV!$C:$AA,10,0)-'TRADE IN'!$F591))</f>
        <v>749</v>
      </c>
      <c r="M591" s="46">
        <f>IF(VLOOKUP($C591,REV!$C:$AA,11,0)-'TRADE IN'!$F600=0,"",(VLOOKUP($C591,REV!$C:$AA,11,0)-'TRADE IN'!$F591))</f>
        <v>749</v>
      </c>
      <c r="N591" s="46">
        <f>IF(VLOOKUP($C591,REV!$C:$AA,12,0)-'TRADE IN'!$F600=0,"",(VLOOKUP($C591,REV!$C:$AA,12,0)-'TRADE IN'!$F591))</f>
        <v>749</v>
      </c>
      <c r="O591" s="46">
        <f>IF(VLOOKUP($C591,REV!$C:$AA,13,0)-'TRADE IN'!$F600=0,"",(VLOOKUP($C591,REV!$C:$AA,13,0)-'TRADE IN'!$F591))</f>
        <v>749</v>
      </c>
      <c r="P591" s="46">
        <f>IF(VLOOKUP($C591,REV!$C:$AA,14,0)-'TRADE IN'!$F600=0,"",(VLOOKUP($C591,REV!$C:$AA,14,0)-'TRADE IN'!$F591))</f>
        <v>749</v>
      </c>
      <c r="Q591" s="46">
        <f>IF(VLOOKUP($C591,REV!$C:$AA,15,0)-'TRADE IN'!$F600=0,"",(VLOOKUP($C591,REV!$C:$AA,15,0)-'TRADE IN'!$F591))</f>
        <v>749</v>
      </c>
      <c r="R591" s="46">
        <f>IF(VLOOKUP($C591,REV!$C:$AA,16,0)-'TRADE IN'!$F600=0,"",(VLOOKUP($C591,REV!$C:$AA,16,0)-'TRADE IN'!$F591))</f>
        <v>749</v>
      </c>
      <c r="S591" s="46">
        <f>IF(VLOOKUP($C591,REV!$C:$AA,17,0)-'TRADE IN'!$F600=0,"",(VLOOKUP($C591,REV!$C:$AA,17,0)-'TRADE IN'!$F591))</f>
        <v>749</v>
      </c>
      <c r="T591" s="46">
        <f>IF(VLOOKUP($C591,REV!$C:$AA,18,0)-'TRADE IN'!$F600=0,"",(VLOOKUP($C591,REV!$C:$AA,18,0)-'TRADE IN'!$F591))</f>
        <v>749</v>
      </c>
      <c r="U591" s="46">
        <f>IF(VLOOKUP($C591,REV!$C:$AA,19,0)-'TRADE IN'!$F600=0,"",(VLOOKUP($C591,REV!$C:$AA,19,0)-'TRADE IN'!$F591))</f>
        <v>749</v>
      </c>
      <c r="V591" s="46">
        <f>IF(VLOOKUP($C591,REV!$C:$AA,20,0)-'TRADE IN'!$F600=0,"",(VLOOKUP($C591,REV!$C:$AA,20,0)-'TRADE IN'!$F591))</f>
        <v>749</v>
      </c>
      <c r="W591" s="46">
        <f>IF(VLOOKUP($C591,REV!$C:$AA,21,0)-'TRADE IN'!$F600=0,"",(VLOOKUP($C591,REV!$C:$AA,21,0)-'TRADE IN'!$F591))</f>
        <v>749</v>
      </c>
      <c r="X591" s="46">
        <f>IF(VLOOKUP($C591,REV!$C:$AA,22,0)-'TRADE IN'!$F600=0,"",(VLOOKUP($C591,REV!$C:$AA,22,0)-'TRADE IN'!$F591))</f>
        <v>749</v>
      </c>
      <c r="Y591" s="46">
        <f>IF(VLOOKUP($C591,REV!$C:$AA,23,0)-'TRADE IN'!$F600=0,"",(VLOOKUP($C591,REV!$C:$AA,23,0)-'TRADE IN'!$F591))</f>
        <v>749</v>
      </c>
      <c r="Z591" s="46">
        <f>IF(VLOOKUP($C591,REV!$C:$AA,24,0)-'TRADE IN'!$F600=0,"",(VLOOKUP($C591,REV!$C:$AA,24,0)-'TRADE IN'!$F591))</f>
        <v>749</v>
      </c>
      <c r="AA591" s="46">
        <f>IF(VLOOKUP($C591,REV!$C:$AA,25,0)-'TRADE IN'!$F600=0,"",(VLOOKUP($C591,REV!$C:$AA,25,0)-'TRADE IN'!$F591))</f>
        <v>749</v>
      </c>
      <c r="AB591" s="46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7"/>
      <c r="AW591" s="48" t="str">
        <f>IF(REV!AW591=0,"",REV!AW591)</f>
        <v>31.03.2026</v>
      </c>
      <c r="AX591" s="159" t="s">
        <v>82</v>
      </c>
    </row>
    <row r="592" spans="1:50" ht="22.5" customHeight="1">
      <c r="A592" s="52" t="s">
        <v>70</v>
      </c>
      <c r="B592" s="41" t="s">
        <v>62</v>
      </c>
      <c r="C592" s="42">
        <v>4014767</v>
      </c>
      <c r="D592" s="44" t="s">
        <v>814</v>
      </c>
      <c r="E592" s="44" t="s">
        <v>816</v>
      </c>
      <c r="F592" s="45"/>
      <c r="G592" s="45"/>
      <c r="H592" s="45"/>
      <c r="I592" s="45"/>
      <c r="J592" s="46">
        <f>IF(VLOOKUP($C592,REV!$C:$AA,8,0)-'TRADE IN'!$F592=0,"",(VLOOKUP($C592,REV!$C:$AA,8,0)-'TRADE IN'!$F592))</f>
        <v>749</v>
      </c>
      <c r="K592" s="46">
        <f>IF(VLOOKUP($C592,REV!$C:$AA,9,0)-'TRADE IN'!$F592=0,"",(VLOOKUP($C592,REV!$C:$AA,9,0)-'TRADE IN'!$F592))</f>
        <v>749</v>
      </c>
      <c r="L592" s="46">
        <f>IF(VLOOKUP($C592,REV!$C:$AA,10,0)-'TRADE IN'!$F601=0,"",(VLOOKUP($C592,REV!$C:$AA,10,0)-'TRADE IN'!$F592))</f>
        <v>749</v>
      </c>
      <c r="M592" s="46">
        <f>IF(VLOOKUP($C592,REV!$C:$AA,11,0)-'TRADE IN'!$F601=0,"",(VLOOKUP($C592,REV!$C:$AA,11,0)-'TRADE IN'!$F592))</f>
        <v>749</v>
      </c>
      <c r="N592" s="46">
        <f>IF(VLOOKUP($C592,REV!$C:$AA,12,0)-'TRADE IN'!$F601=0,"",(VLOOKUP($C592,REV!$C:$AA,12,0)-'TRADE IN'!$F592))</f>
        <v>749</v>
      </c>
      <c r="O592" s="46">
        <f>IF(VLOOKUP($C592,REV!$C:$AA,13,0)-'TRADE IN'!$F601=0,"",(VLOOKUP($C592,REV!$C:$AA,13,0)-'TRADE IN'!$F592))</f>
        <v>749</v>
      </c>
      <c r="P592" s="46">
        <f>IF(VLOOKUP($C592,REV!$C:$AA,14,0)-'TRADE IN'!$F601=0,"",(VLOOKUP($C592,REV!$C:$AA,14,0)-'TRADE IN'!$F592))</f>
        <v>749</v>
      </c>
      <c r="Q592" s="46">
        <f>IF(VLOOKUP($C592,REV!$C:$AA,15,0)-'TRADE IN'!$F601=0,"",(VLOOKUP($C592,REV!$C:$AA,15,0)-'TRADE IN'!$F592))</f>
        <v>749</v>
      </c>
      <c r="R592" s="46">
        <f>IF(VLOOKUP($C592,REV!$C:$AA,16,0)-'TRADE IN'!$F601=0,"",(VLOOKUP($C592,REV!$C:$AA,16,0)-'TRADE IN'!$F592))</f>
        <v>749</v>
      </c>
      <c r="S592" s="46">
        <f>IF(VLOOKUP($C592,REV!$C:$AA,17,0)-'TRADE IN'!$F601=0,"",(VLOOKUP($C592,REV!$C:$AA,17,0)-'TRADE IN'!$F592))</f>
        <v>749</v>
      </c>
      <c r="T592" s="46">
        <f>IF(VLOOKUP($C592,REV!$C:$AA,18,0)-'TRADE IN'!$F601=0,"",(VLOOKUP($C592,REV!$C:$AA,18,0)-'TRADE IN'!$F592))</f>
        <v>749</v>
      </c>
      <c r="U592" s="46">
        <f>IF(VLOOKUP($C592,REV!$C:$AA,19,0)-'TRADE IN'!$F601=0,"",(VLOOKUP($C592,REV!$C:$AA,19,0)-'TRADE IN'!$F592))</f>
        <v>749</v>
      </c>
      <c r="V592" s="46">
        <f>IF(VLOOKUP($C592,REV!$C:$AA,20,0)-'TRADE IN'!$F601=0,"",(VLOOKUP($C592,REV!$C:$AA,20,0)-'TRADE IN'!$F592))</f>
        <v>749</v>
      </c>
      <c r="W592" s="46">
        <f>IF(VLOOKUP($C592,REV!$C:$AA,21,0)-'TRADE IN'!$F601=0,"",(VLOOKUP($C592,REV!$C:$AA,21,0)-'TRADE IN'!$F592))</f>
        <v>749</v>
      </c>
      <c r="X592" s="46">
        <f>IF(VLOOKUP($C592,REV!$C:$AA,22,0)-'TRADE IN'!$F601=0,"",(VLOOKUP($C592,REV!$C:$AA,22,0)-'TRADE IN'!$F592))</f>
        <v>749</v>
      </c>
      <c r="Y592" s="46">
        <f>IF(VLOOKUP($C592,REV!$C:$AA,23,0)-'TRADE IN'!$F601=0,"",(VLOOKUP($C592,REV!$C:$AA,23,0)-'TRADE IN'!$F592))</f>
        <v>749</v>
      </c>
      <c r="Z592" s="46">
        <f>IF(VLOOKUP($C592,REV!$C:$AA,24,0)-'TRADE IN'!$F601=0,"",(VLOOKUP($C592,REV!$C:$AA,24,0)-'TRADE IN'!$F592))</f>
        <v>749</v>
      </c>
      <c r="AA592" s="46">
        <f>IF(VLOOKUP($C592,REV!$C:$AA,25,0)-'TRADE IN'!$F601=0,"",(VLOOKUP($C592,REV!$C:$AA,25,0)-'TRADE IN'!$F592))</f>
        <v>749</v>
      </c>
      <c r="AB592" s="46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7"/>
      <c r="AW592" s="48" t="str">
        <f>IF(REV!AW592=0,"",REV!AW592)</f>
        <v>31.03.2026</v>
      </c>
      <c r="AX592" s="159" t="s">
        <v>82</v>
      </c>
    </row>
    <row r="593" spans="1:50" ht="22.5" customHeight="1">
      <c r="A593" s="52" t="s">
        <v>70</v>
      </c>
      <c r="B593" s="41" t="s">
        <v>62</v>
      </c>
      <c r="C593" s="42">
        <v>4014709</v>
      </c>
      <c r="D593" s="44" t="s">
        <v>814</v>
      </c>
      <c r="E593" s="44" t="s">
        <v>817</v>
      </c>
      <c r="F593" s="45"/>
      <c r="G593" s="45"/>
      <c r="H593" s="45"/>
      <c r="I593" s="45"/>
      <c r="J593" s="46">
        <f>IF(VLOOKUP($C593,REV!$C:$AA,8,0)-'TRADE IN'!$F593=0,"",(VLOOKUP($C593,REV!$C:$AA,8,0)-'TRADE IN'!$F593))</f>
        <v>749</v>
      </c>
      <c r="K593" s="46">
        <f>IF(VLOOKUP($C593,REV!$C:$AA,9,0)-'TRADE IN'!$F593=0,"",(VLOOKUP($C593,REV!$C:$AA,9,0)-'TRADE IN'!$F593))</f>
        <v>749</v>
      </c>
      <c r="L593" s="46">
        <f>IF(VLOOKUP($C593,REV!$C:$AA,10,0)-'TRADE IN'!$F602=0,"",(VLOOKUP($C593,REV!$C:$AA,10,0)-'TRADE IN'!$F593))</f>
        <v>749</v>
      </c>
      <c r="M593" s="46">
        <f>IF(VLOOKUP($C593,REV!$C:$AA,11,0)-'TRADE IN'!$F602=0,"",(VLOOKUP($C593,REV!$C:$AA,11,0)-'TRADE IN'!$F593))</f>
        <v>749</v>
      </c>
      <c r="N593" s="46">
        <f>IF(VLOOKUP($C593,REV!$C:$AA,12,0)-'TRADE IN'!$F602=0,"",(VLOOKUP($C593,REV!$C:$AA,12,0)-'TRADE IN'!$F593))</f>
        <v>749</v>
      </c>
      <c r="O593" s="46">
        <f>IF(VLOOKUP($C593,REV!$C:$AA,13,0)-'TRADE IN'!$F602=0,"",(VLOOKUP($C593,REV!$C:$AA,13,0)-'TRADE IN'!$F593))</f>
        <v>749</v>
      </c>
      <c r="P593" s="46">
        <f>IF(VLOOKUP($C593,REV!$C:$AA,14,0)-'TRADE IN'!$F602=0,"",(VLOOKUP($C593,REV!$C:$AA,14,0)-'TRADE IN'!$F593))</f>
        <v>749</v>
      </c>
      <c r="Q593" s="46">
        <f>IF(VLOOKUP($C593,REV!$C:$AA,15,0)-'TRADE IN'!$F602=0,"",(VLOOKUP($C593,REV!$C:$AA,15,0)-'TRADE IN'!$F593))</f>
        <v>749</v>
      </c>
      <c r="R593" s="46">
        <f>IF(VLOOKUP($C593,REV!$C:$AA,16,0)-'TRADE IN'!$F602=0,"",(VLOOKUP($C593,REV!$C:$AA,16,0)-'TRADE IN'!$F593))</f>
        <v>749</v>
      </c>
      <c r="S593" s="46">
        <f>IF(VLOOKUP($C593,REV!$C:$AA,17,0)-'TRADE IN'!$F602=0,"",(VLOOKUP($C593,REV!$C:$AA,17,0)-'TRADE IN'!$F593))</f>
        <v>749</v>
      </c>
      <c r="T593" s="46">
        <f>IF(VLOOKUP($C593,REV!$C:$AA,18,0)-'TRADE IN'!$F602=0,"",(VLOOKUP($C593,REV!$C:$AA,18,0)-'TRADE IN'!$F593))</f>
        <v>749</v>
      </c>
      <c r="U593" s="46">
        <f>IF(VLOOKUP($C593,REV!$C:$AA,19,0)-'TRADE IN'!$F602=0,"",(VLOOKUP($C593,REV!$C:$AA,19,0)-'TRADE IN'!$F593))</f>
        <v>749</v>
      </c>
      <c r="V593" s="46">
        <f>IF(VLOOKUP($C593,REV!$C:$AA,20,0)-'TRADE IN'!$F602=0,"",(VLOOKUP($C593,REV!$C:$AA,20,0)-'TRADE IN'!$F593))</f>
        <v>749</v>
      </c>
      <c r="W593" s="46">
        <f>IF(VLOOKUP($C593,REV!$C:$AA,21,0)-'TRADE IN'!$F602=0,"",(VLOOKUP($C593,REV!$C:$AA,21,0)-'TRADE IN'!$F593))</f>
        <v>749</v>
      </c>
      <c r="X593" s="46">
        <f>IF(VLOOKUP($C593,REV!$C:$AA,22,0)-'TRADE IN'!$F602=0,"",(VLOOKUP($C593,REV!$C:$AA,22,0)-'TRADE IN'!$F593))</f>
        <v>749</v>
      </c>
      <c r="Y593" s="46">
        <f>IF(VLOOKUP($C593,REV!$C:$AA,23,0)-'TRADE IN'!$F602=0,"",(VLOOKUP($C593,REV!$C:$AA,23,0)-'TRADE IN'!$F593))</f>
        <v>749</v>
      </c>
      <c r="Z593" s="46">
        <f>IF(VLOOKUP($C593,REV!$C:$AA,24,0)-'TRADE IN'!$F602=0,"",(VLOOKUP($C593,REV!$C:$AA,24,0)-'TRADE IN'!$F593))</f>
        <v>749</v>
      </c>
      <c r="AA593" s="46">
        <f>IF(VLOOKUP($C593,REV!$C:$AA,25,0)-'TRADE IN'!$F602=0,"",(VLOOKUP($C593,REV!$C:$AA,25,0)-'TRADE IN'!$F593))</f>
        <v>749</v>
      </c>
      <c r="AB593" s="46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7"/>
      <c r="AW593" s="48" t="str">
        <f>IF(REV!AW593=0,"",REV!AW593)</f>
        <v>31.03.2026</v>
      </c>
      <c r="AX593" s="159" t="s">
        <v>82</v>
      </c>
    </row>
    <row r="594" spans="1:50" ht="22.5" customHeight="1">
      <c r="A594" s="52" t="s">
        <v>70</v>
      </c>
      <c r="B594" s="41" t="s">
        <v>62</v>
      </c>
      <c r="C594" s="42">
        <v>4014758</v>
      </c>
      <c r="D594" s="44" t="s">
        <v>814</v>
      </c>
      <c r="E594" s="44" t="s">
        <v>818</v>
      </c>
      <c r="F594" s="45"/>
      <c r="G594" s="45"/>
      <c r="H594" s="45"/>
      <c r="I594" s="45"/>
      <c r="J594" s="46">
        <f>IF(VLOOKUP($C594,REV!$C:$AA,8,0)-'TRADE IN'!$F594=0,"",(VLOOKUP($C594,REV!$C:$AA,8,0)-'TRADE IN'!$F594))</f>
        <v>749</v>
      </c>
      <c r="K594" s="46">
        <f>IF(VLOOKUP($C594,REV!$C:$AA,9,0)-'TRADE IN'!$F594=0,"",(VLOOKUP($C594,REV!$C:$AA,9,0)-'TRADE IN'!$F594))</f>
        <v>749</v>
      </c>
      <c r="L594" s="46">
        <f>IF(VLOOKUP($C594,REV!$C:$AA,10,0)-'TRADE IN'!$F603=0,"",(VLOOKUP($C594,REV!$C:$AA,10,0)-'TRADE IN'!$F594))</f>
        <v>749</v>
      </c>
      <c r="M594" s="46">
        <f>IF(VLOOKUP($C594,REV!$C:$AA,11,0)-'TRADE IN'!$F603=0,"",(VLOOKUP($C594,REV!$C:$AA,11,0)-'TRADE IN'!$F594))</f>
        <v>749</v>
      </c>
      <c r="N594" s="46">
        <f>IF(VLOOKUP($C594,REV!$C:$AA,12,0)-'TRADE IN'!$F603=0,"",(VLOOKUP($C594,REV!$C:$AA,12,0)-'TRADE IN'!$F594))</f>
        <v>749</v>
      </c>
      <c r="O594" s="46">
        <f>IF(VLOOKUP($C594,REV!$C:$AA,13,0)-'TRADE IN'!$F603=0,"",(VLOOKUP($C594,REV!$C:$AA,13,0)-'TRADE IN'!$F594))</f>
        <v>749</v>
      </c>
      <c r="P594" s="46">
        <f>IF(VLOOKUP($C594,REV!$C:$AA,14,0)-'TRADE IN'!$F603=0,"",(VLOOKUP($C594,REV!$C:$AA,14,0)-'TRADE IN'!$F594))</f>
        <v>749</v>
      </c>
      <c r="Q594" s="46">
        <f>IF(VLOOKUP($C594,REV!$C:$AA,15,0)-'TRADE IN'!$F603=0,"",(VLOOKUP($C594,REV!$C:$AA,15,0)-'TRADE IN'!$F594))</f>
        <v>749</v>
      </c>
      <c r="R594" s="46">
        <f>IF(VLOOKUP($C594,REV!$C:$AA,16,0)-'TRADE IN'!$F603=0,"",(VLOOKUP($C594,REV!$C:$AA,16,0)-'TRADE IN'!$F594))</f>
        <v>749</v>
      </c>
      <c r="S594" s="46">
        <f>IF(VLOOKUP($C594,REV!$C:$AA,17,0)-'TRADE IN'!$F603=0,"",(VLOOKUP($C594,REV!$C:$AA,17,0)-'TRADE IN'!$F594))</f>
        <v>749</v>
      </c>
      <c r="T594" s="46">
        <f>IF(VLOOKUP($C594,REV!$C:$AA,18,0)-'TRADE IN'!$F603=0,"",(VLOOKUP($C594,REV!$C:$AA,18,0)-'TRADE IN'!$F594))</f>
        <v>749</v>
      </c>
      <c r="U594" s="46">
        <f>IF(VLOOKUP($C594,REV!$C:$AA,19,0)-'TRADE IN'!$F603=0,"",(VLOOKUP($C594,REV!$C:$AA,19,0)-'TRADE IN'!$F594))</f>
        <v>749</v>
      </c>
      <c r="V594" s="46">
        <f>IF(VLOOKUP($C594,REV!$C:$AA,20,0)-'TRADE IN'!$F603=0,"",(VLOOKUP($C594,REV!$C:$AA,20,0)-'TRADE IN'!$F594))</f>
        <v>749</v>
      </c>
      <c r="W594" s="46">
        <f>IF(VLOOKUP($C594,REV!$C:$AA,21,0)-'TRADE IN'!$F603=0,"",(VLOOKUP($C594,REV!$C:$AA,21,0)-'TRADE IN'!$F594))</f>
        <v>749</v>
      </c>
      <c r="X594" s="46">
        <f>IF(VLOOKUP($C594,REV!$C:$AA,22,0)-'TRADE IN'!$F603=0,"",(VLOOKUP($C594,REV!$C:$AA,22,0)-'TRADE IN'!$F594))</f>
        <v>749</v>
      </c>
      <c r="Y594" s="46">
        <f>IF(VLOOKUP($C594,REV!$C:$AA,23,0)-'TRADE IN'!$F603=0,"",(VLOOKUP($C594,REV!$C:$AA,23,0)-'TRADE IN'!$F594))</f>
        <v>749</v>
      </c>
      <c r="Z594" s="46">
        <f>IF(VLOOKUP($C594,REV!$C:$AA,24,0)-'TRADE IN'!$F603=0,"",(VLOOKUP($C594,REV!$C:$AA,24,0)-'TRADE IN'!$F594))</f>
        <v>749</v>
      </c>
      <c r="AA594" s="46">
        <f>IF(VLOOKUP($C594,REV!$C:$AA,25,0)-'TRADE IN'!$F603=0,"",(VLOOKUP($C594,REV!$C:$AA,25,0)-'TRADE IN'!$F594))</f>
        <v>749</v>
      </c>
      <c r="AB594" s="46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7"/>
      <c r="AW594" s="48" t="str">
        <f>IF(REV!AW594=0,"",REV!AW594)</f>
        <v>31.03.2026</v>
      </c>
      <c r="AX594" s="159" t="s">
        <v>82</v>
      </c>
    </row>
    <row r="595" spans="1:50" ht="22.5" customHeight="1">
      <c r="A595" s="52" t="s">
        <v>70</v>
      </c>
      <c r="B595" s="41" t="s">
        <v>62</v>
      </c>
      <c r="C595" s="42">
        <v>4014735</v>
      </c>
      <c r="D595" s="44" t="s">
        <v>814</v>
      </c>
      <c r="E595" s="44" t="s">
        <v>819</v>
      </c>
      <c r="F595" s="45"/>
      <c r="G595" s="45"/>
      <c r="H595" s="45"/>
      <c r="I595" s="45"/>
      <c r="J595" s="46">
        <f>IF(VLOOKUP($C595,REV!$C:$AA,8,0)-'TRADE IN'!$F595=0,"",(VLOOKUP($C595,REV!$C:$AA,8,0)-'TRADE IN'!$F595))</f>
        <v>749</v>
      </c>
      <c r="K595" s="46">
        <f>IF(VLOOKUP($C595,REV!$C:$AA,9,0)-'TRADE IN'!$F595=0,"",(VLOOKUP($C595,REV!$C:$AA,9,0)-'TRADE IN'!$F595))</f>
        <v>749</v>
      </c>
      <c r="L595" s="46">
        <f>IF(VLOOKUP($C595,REV!$C:$AA,10,0)-'TRADE IN'!$F604=0,"",(VLOOKUP($C595,REV!$C:$AA,10,0)-'TRADE IN'!$F595))</f>
        <v>749</v>
      </c>
      <c r="M595" s="46">
        <f>IF(VLOOKUP($C595,REV!$C:$AA,11,0)-'TRADE IN'!$F604=0,"",(VLOOKUP($C595,REV!$C:$AA,11,0)-'TRADE IN'!$F595))</f>
        <v>749</v>
      </c>
      <c r="N595" s="46">
        <f>IF(VLOOKUP($C595,REV!$C:$AA,12,0)-'TRADE IN'!$F604=0,"",(VLOOKUP($C595,REV!$C:$AA,12,0)-'TRADE IN'!$F595))</f>
        <v>749</v>
      </c>
      <c r="O595" s="46">
        <f>IF(VLOOKUP($C595,REV!$C:$AA,13,0)-'TRADE IN'!$F604=0,"",(VLOOKUP($C595,REV!$C:$AA,13,0)-'TRADE IN'!$F595))</f>
        <v>749</v>
      </c>
      <c r="P595" s="46">
        <f>IF(VLOOKUP($C595,REV!$C:$AA,14,0)-'TRADE IN'!$F604=0,"",(VLOOKUP($C595,REV!$C:$AA,14,0)-'TRADE IN'!$F595))</f>
        <v>749</v>
      </c>
      <c r="Q595" s="46">
        <f>IF(VLOOKUP($C595,REV!$C:$AA,15,0)-'TRADE IN'!$F604=0,"",(VLOOKUP($C595,REV!$C:$AA,15,0)-'TRADE IN'!$F595))</f>
        <v>749</v>
      </c>
      <c r="R595" s="46">
        <f>IF(VLOOKUP($C595,REV!$C:$AA,16,0)-'TRADE IN'!$F604=0,"",(VLOOKUP($C595,REV!$C:$AA,16,0)-'TRADE IN'!$F595))</f>
        <v>749</v>
      </c>
      <c r="S595" s="46">
        <f>IF(VLOOKUP($C595,REV!$C:$AA,17,0)-'TRADE IN'!$F604=0,"",(VLOOKUP($C595,REV!$C:$AA,17,0)-'TRADE IN'!$F595))</f>
        <v>749</v>
      </c>
      <c r="T595" s="46">
        <f>IF(VLOOKUP($C595,REV!$C:$AA,18,0)-'TRADE IN'!$F604=0,"",(VLOOKUP($C595,REV!$C:$AA,18,0)-'TRADE IN'!$F595))</f>
        <v>749</v>
      </c>
      <c r="U595" s="46">
        <f>IF(VLOOKUP($C595,REV!$C:$AA,19,0)-'TRADE IN'!$F604=0,"",(VLOOKUP($C595,REV!$C:$AA,19,0)-'TRADE IN'!$F595))</f>
        <v>749</v>
      </c>
      <c r="V595" s="46">
        <f>IF(VLOOKUP($C595,REV!$C:$AA,20,0)-'TRADE IN'!$F604=0,"",(VLOOKUP($C595,REV!$C:$AA,20,0)-'TRADE IN'!$F595))</f>
        <v>749</v>
      </c>
      <c r="W595" s="46">
        <f>IF(VLOOKUP($C595,REV!$C:$AA,21,0)-'TRADE IN'!$F604=0,"",(VLOOKUP($C595,REV!$C:$AA,21,0)-'TRADE IN'!$F595))</f>
        <v>749</v>
      </c>
      <c r="X595" s="46">
        <f>IF(VLOOKUP($C595,REV!$C:$AA,22,0)-'TRADE IN'!$F604=0,"",(VLOOKUP($C595,REV!$C:$AA,22,0)-'TRADE IN'!$F595))</f>
        <v>749</v>
      </c>
      <c r="Y595" s="46">
        <f>IF(VLOOKUP($C595,REV!$C:$AA,23,0)-'TRADE IN'!$F604=0,"",(VLOOKUP($C595,REV!$C:$AA,23,0)-'TRADE IN'!$F595))</f>
        <v>749</v>
      </c>
      <c r="Z595" s="46">
        <f>IF(VLOOKUP($C595,REV!$C:$AA,24,0)-'TRADE IN'!$F604=0,"",(VLOOKUP($C595,REV!$C:$AA,24,0)-'TRADE IN'!$F595))</f>
        <v>749</v>
      </c>
      <c r="AA595" s="46">
        <f>IF(VLOOKUP($C595,REV!$C:$AA,25,0)-'TRADE IN'!$F604=0,"",(VLOOKUP($C595,REV!$C:$AA,25,0)-'TRADE IN'!$F595))</f>
        <v>749</v>
      </c>
      <c r="AB595" s="46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7"/>
      <c r="AW595" s="48" t="str">
        <f>IF(REV!AW595=0,"",REV!AW595)</f>
        <v>31.03.2026</v>
      </c>
      <c r="AX595" s="159" t="s">
        <v>82</v>
      </c>
    </row>
    <row r="596" spans="1:50" ht="22.5" customHeight="1">
      <c r="A596" s="52" t="s">
        <v>70</v>
      </c>
      <c r="B596" s="41" t="s">
        <v>62</v>
      </c>
      <c r="C596" s="42">
        <v>4014764</v>
      </c>
      <c r="D596" s="44" t="s">
        <v>814</v>
      </c>
      <c r="E596" s="44" t="s">
        <v>820</v>
      </c>
      <c r="F596" s="45"/>
      <c r="G596" s="45"/>
      <c r="H596" s="45"/>
      <c r="I596" s="45"/>
      <c r="J596" s="46">
        <f>IF(VLOOKUP($C596,REV!$C:$AA,8,0)-'TRADE IN'!$F596=0,"",(VLOOKUP($C596,REV!$C:$AA,8,0)-'TRADE IN'!$F596))</f>
        <v>749</v>
      </c>
      <c r="K596" s="46">
        <f>IF(VLOOKUP($C596,REV!$C:$AA,9,0)-'TRADE IN'!$F596=0,"",(VLOOKUP($C596,REV!$C:$AA,9,0)-'TRADE IN'!$F596))</f>
        <v>749</v>
      </c>
      <c r="L596" s="46">
        <f>IF(VLOOKUP($C596,REV!$C:$AA,10,0)-'TRADE IN'!$F605=0,"",(VLOOKUP($C596,REV!$C:$AA,10,0)-'TRADE IN'!$F596))</f>
        <v>749</v>
      </c>
      <c r="M596" s="46">
        <f>IF(VLOOKUP($C596,REV!$C:$AA,11,0)-'TRADE IN'!$F605=0,"",(VLOOKUP($C596,REV!$C:$AA,11,0)-'TRADE IN'!$F596))</f>
        <v>749</v>
      </c>
      <c r="N596" s="46">
        <f>IF(VLOOKUP($C596,REV!$C:$AA,12,0)-'TRADE IN'!$F605=0,"",(VLOOKUP($C596,REV!$C:$AA,12,0)-'TRADE IN'!$F596))</f>
        <v>749</v>
      </c>
      <c r="O596" s="46">
        <f>IF(VLOOKUP($C596,REV!$C:$AA,13,0)-'TRADE IN'!$F605=0,"",(VLOOKUP($C596,REV!$C:$AA,13,0)-'TRADE IN'!$F596))</f>
        <v>749</v>
      </c>
      <c r="P596" s="46">
        <f>IF(VLOOKUP($C596,REV!$C:$AA,14,0)-'TRADE IN'!$F605=0,"",(VLOOKUP($C596,REV!$C:$AA,14,0)-'TRADE IN'!$F596))</f>
        <v>749</v>
      </c>
      <c r="Q596" s="46">
        <f>IF(VLOOKUP($C596,REV!$C:$AA,15,0)-'TRADE IN'!$F605=0,"",(VLOOKUP($C596,REV!$C:$AA,15,0)-'TRADE IN'!$F596))</f>
        <v>749</v>
      </c>
      <c r="R596" s="46">
        <f>IF(VLOOKUP($C596,REV!$C:$AA,16,0)-'TRADE IN'!$F605=0,"",(VLOOKUP($C596,REV!$C:$AA,16,0)-'TRADE IN'!$F596))</f>
        <v>749</v>
      </c>
      <c r="S596" s="46">
        <f>IF(VLOOKUP($C596,REV!$C:$AA,17,0)-'TRADE IN'!$F605=0,"",(VLOOKUP($C596,REV!$C:$AA,17,0)-'TRADE IN'!$F596))</f>
        <v>749</v>
      </c>
      <c r="T596" s="46">
        <f>IF(VLOOKUP($C596,REV!$C:$AA,18,0)-'TRADE IN'!$F605=0,"",(VLOOKUP($C596,REV!$C:$AA,18,0)-'TRADE IN'!$F596))</f>
        <v>749</v>
      </c>
      <c r="U596" s="46">
        <f>IF(VLOOKUP($C596,REV!$C:$AA,19,0)-'TRADE IN'!$F605=0,"",(VLOOKUP($C596,REV!$C:$AA,19,0)-'TRADE IN'!$F596))</f>
        <v>749</v>
      </c>
      <c r="V596" s="46">
        <f>IF(VLOOKUP($C596,REV!$C:$AA,20,0)-'TRADE IN'!$F605=0,"",(VLOOKUP($C596,REV!$C:$AA,20,0)-'TRADE IN'!$F596))</f>
        <v>749</v>
      </c>
      <c r="W596" s="46">
        <f>IF(VLOOKUP($C596,REV!$C:$AA,21,0)-'TRADE IN'!$F605=0,"",(VLOOKUP($C596,REV!$C:$AA,21,0)-'TRADE IN'!$F596))</f>
        <v>749</v>
      </c>
      <c r="X596" s="46">
        <f>IF(VLOOKUP($C596,REV!$C:$AA,22,0)-'TRADE IN'!$F605=0,"",(VLOOKUP($C596,REV!$C:$AA,22,0)-'TRADE IN'!$F596))</f>
        <v>749</v>
      </c>
      <c r="Y596" s="46">
        <f>IF(VLOOKUP($C596,REV!$C:$AA,23,0)-'TRADE IN'!$F605=0,"",(VLOOKUP($C596,REV!$C:$AA,23,0)-'TRADE IN'!$F596))</f>
        <v>749</v>
      </c>
      <c r="Z596" s="46">
        <f>IF(VLOOKUP($C596,REV!$C:$AA,24,0)-'TRADE IN'!$F605=0,"",(VLOOKUP($C596,REV!$C:$AA,24,0)-'TRADE IN'!$F596))</f>
        <v>749</v>
      </c>
      <c r="AA596" s="46">
        <f>IF(VLOOKUP($C596,REV!$C:$AA,25,0)-'TRADE IN'!$F605=0,"",(VLOOKUP($C596,REV!$C:$AA,25,0)-'TRADE IN'!$F596))</f>
        <v>749</v>
      </c>
      <c r="AB596" s="46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7"/>
      <c r="AW596" s="48" t="str">
        <f>IF(REV!AW596=0,"",REV!AW596)</f>
        <v>31.03.2026</v>
      </c>
      <c r="AX596" s="159" t="s">
        <v>82</v>
      </c>
    </row>
    <row r="597" spans="1:50" ht="22.5" customHeight="1">
      <c r="A597" s="52" t="s">
        <v>70</v>
      </c>
      <c r="B597" s="41" t="s">
        <v>62</v>
      </c>
      <c r="C597" s="42">
        <v>4014732</v>
      </c>
      <c r="D597" s="44" t="s">
        <v>814</v>
      </c>
      <c r="E597" s="44" t="s">
        <v>821</v>
      </c>
      <c r="F597" s="45"/>
      <c r="G597" s="45"/>
      <c r="H597" s="45"/>
      <c r="I597" s="45"/>
      <c r="J597" s="46">
        <f>IF(VLOOKUP($C597,REV!$C:$AA,8,0)-'TRADE IN'!$F597=0,"",(VLOOKUP($C597,REV!$C:$AA,8,0)-'TRADE IN'!$F597))</f>
        <v>749</v>
      </c>
      <c r="K597" s="46">
        <f>IF(VLOOKUP($C597,REV!$C:$AA,9,0)-'TRADE IN'!$F597=0,"",(VLOOKUP($C597,REV!$C:$AA,9,0)-'TRADE IN'!$F597))</f>
        <v>749</v>
      </c>
      <c r="L597" s="46">
        <f>IF(VLOOKUP($C597,REV!$C:$AA,10,0)-'TRADE IN'!$F606=0,"",(VLOOKUP($C597,REV!$C:$AA,10,0)-'TRADE IN'!$F597))</f>
        <v>749</v>
      </c>
      <c r="M597" s="46">
        <f>IF(VLOOKUP($C597,REV!$C:$AA,11,0)-'TRADE IN'!$F606=0,"",(VLOOKUP($C597,REV!$C:$AA,11,0)-'TRADE IN'!$F597))</f>
        <v>749</v>
      </c>
      <c r="N597" s="46">
        <f>IF(VLOOKUP($C597,REV!$C:$AA,12,0)-'TRADE IN'!$F606=0,"",(VLOOKUP($C597,REV!$C:$AA,12,0)-'TRADE IN'!$F597))</f>
        <v>749</v>
      </c>
      <c r="O597" s="46">
        <f>IF(VLOOKUP($C597,REV!$C:$AA,13,0)-'TRADE IN'!$F606=0,"",(VLOOKUP($C597,REV!$C:$AA,13,0)-'TRADE IN'!$F597))</f>
        <v>749</v>
      </c>
      <c r="P597" s="46">
        <f>IF(VLOOKUP($C597,REV!$C:$AA,14,0)-'TRADE IN'!$F606=0,"",(VLOOKUP($C597,REV!$C:$AA,14,0)-'TRADE IN'!$F597))</f>
        <v>749</v>
      </c>
      <c r="Q597" s="46">
        <f>IF(VLOOKUP($C597,REV!$C:$AA,15,0)-'TRADE IN'!$F606=0,"",(VLOOKUP($C597,REV!$C:$AA,15,0)-'TRADE IN'!$F597))</f>
        <v>749</v>
      </c>
      <c r="R597" s="46">
        <f>IF(VLOOKUP($C597,REV!$C:$AA,16,0)-'TRADE IN'!$F606=0,"",(VLOOKUP($C597,REV!$C:$AA,16,0)-'TRADE IN'!$F597))</f>
        <v>749</v>
      </c>
      <c r="S597" s="46">
        <f>IF(VLOOKUP($C597,REV!$C:$AA,17,0)-'TRADE IN'!$F606=0,"",(VLOOKUP($C597,REV!$C:$AA,17,0)-'TRADE IN'!$F597))</f>
        <v>749</v>
      </c>
      <c r="T597" s="46">
        <f>IF(VLOOKUP($C597,REV!$C:$AA,18,0)-'TRADE IN'!$F606=0,"",(VLOOKUP($C597,REV!$C:$AA,18,0)-'TRADE IN'!$F597))</f>
        <v>749</v>
      </c>
      <c r="U597" s="46">
        <f>IF(VLOOKUP($C597,REV!$C:$AA,19,0)-'TRADE IN'!$F606=0,"",(VLOOKUP($C597,REV!$C:$AA,19,0)-'TRADE IN'!$F597))</f>
        <v>749</v>
      </c>
      <c r="V597" s="46">
        <f>IF(VLOOKUP($C597,REV!$C:$AA,20,0)-'TRADE IN'!$F606=0,"",(VLOOKUP($C597,REV!$C:$AA,20,0)-'TRADE IN'!$F597))</f>
        <v>749</v>
      </c>
      <c r="W597" s="46">
        <f>IF(VLOOKUP($C597,REV!$C:$AA,21,0)-'TRADE IN'!$F606=0,"",(VLOOKUP($C597,REV!$C:$AA,21,0)-'TRADE IN'!$F597))</f>
        <v>749</v>
      </c>
      <c r="X597" s="46">
        <f>IF(VLOOKUP($C597,REV!$C:$AA,22,0)-'TRADE IN'!$F606=0,"",(VLOOKUP($C597,REV!$C:$AA,22,0)-'TRADE IN'!$F597))</f>
        <v>749</v>
      </c>
      <c r="Y597" s="46">
        <f>IF(VLOOKUP($C597,REV!$C:$AA,23,0)-'TRADE IN'!$F606=0,"",(VLOOKUP($C597,REV!$C:$AA,23,0)-'TRADE IN'!$F597))</f>
        <v>749</v>
      </c>
      <c r="Z597" s="46">
        <f>IF(VLOOKUP($C597,REV!$C:$AA,24,0)-'TRADE IN'!$F606=0,"",(VLOOKUP($C597,REV!$C:$AA,24,0)-'TRADE IN'!$F597))</f>
        <v>749</v>
      </c>
      <c r="AA597" s="46">
        <f>IF(VLOOKUP($C597,REV!$C:$AA,25,0)-'TRADE IN'!$F606=0,"",(VLOOKUP($C597,REV!$C:$AA,25,0)-'TRADE IN'!$F597))</f>
        <v>749</v>
      </c>
      <c r="AB597" s="46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7"/>
      <c r="AW597" s="48" t="str">
        <f>IF(REV!AW597=0,"",REV!AW597)</f>
        <v>31.03.2026</v>
      </c>
      <c r="AX597" s="159" t="s">
        <v>82</v>
      </c>
    </row>
    <row r="598" spans="1:50" ht="22.5" customHeight="1">
      <c r="A598" s="52" t="s">
        <v>70</v>
      </c>
      <c r="B598" s="41" t="s">
        <v>62</v>
      </c>
      <c r="C598" s="42">
        <v>4014761</v>
      </c>
      <c r="D598" s="44" t="s">
        <v>814</v>
      </c>
      <c r="E598" s="44" t="s">
        <v>822</v>
      </c>
      <c r="F598" s="45"/>
      <c r="G598" s="45"/>
      <c r="H598" s="45"/>
      <c r="I598" s="45"/>
      <c r="J598" s="46">
        <f>IF(VLOOKUP($C598,REV!$C:$AA,8,0)-'TRADE IN'!$F598=0,"",(VLOOKUP($C598,REV!$C:$AA,8,0)-'TRADE IN'!$F598))</f>
        <v>749</v>
      </c>
      <c r="K598" s="46">
        <f>IF(VLOOKUP($C598,REV!$C:$AA,9,0)-'TRADE IN'!$F598=0,"",(VLOOKUP($C598,REV!$C:$AA,9,0)-'TRADE IN'!$F598))</f>
        <v>749</v>
      </c>
      <c r="L598" s="46">
        <f>IF(VLOOKUP($C598,REV!$C:$AA,10,0)-'TRADE IN'!$F607=0,"",(VLOOKUP($C598,REV!$C:$AA,10,0)-'TRADE IN'!$F598))</f>
        <v>749</v>
      </c>
      <c r="M598" s="46">
        <f>IF(VLOOKUP($C598,REV!$C:$AA,11,0)-'TRADE IN'!$F607=0,"",(VLOOKUP($C598,REV!$C:$AA,11,0)-'TRADE IN'!$F598))</f>
        <v>749</v>
      </c>
      <c r="N598" s="46">
        <f>IF(VLOOKUP($C598,REV!$C:$AA,12,0)-'TRADE IN'!$F607=0,"",(VLOOKUP($C598,REV!$C:$AA,12,0)-'TRADE IN'!$F598))</f>
        <v>749</v>
      </c>
      <c r="O598" s="46">
        <f>IF(VLOOKUP($C598,REV!$C:$AA,13,0)-'TRADE IN'!$F607=0,"",(VLOOKUP($C598,REV!$C:$AA,13,0)-'TRADE IN'!$F598))</f>
        <v>749</v>
      </c>
      <c r="P598" s="46">
        <f>IF(VLOOKUP($C598,REV!$C:$AA,14,0)-'TRADE IN'!$F607=0,"",(VLOOKUP($C598,REV!$C:$AA,14,0)-'TRADE IN'!$F598))</f>
        <v>749</v>
      </c>
      <c r="Q598" s="46">
        <f>IF(VLOOKUP($C598,REV!$C:$AA,15,0)-'TRADE IN'!$F607=0,"",(VLOOKUP($C598,REV!$C:$AA,15,0)-'TRADE IN'!$F598))</f>
        <v>749</v>
      </c>
      <c r="R598" s="46">
        <f>IF(VLOOKUP($C598,REV!$C:$AA,16,0)-'TRADE IN'!$F607=0,"",(VLOOKUP($C598,REV!$C:$AA,16,0)-'TRADE IN'!$F598))</f>
        <v>749</v>
      </c>
      <c r="S598" s="46">
        <f>IF(VLOOKUP($C598,REV!$C:$AA,17,0)-'TRADE IN'!$F607=0,"",(VLOOKUP($C598,REV!$C:$AA,17,0)-'TRADE IN'!$F598))</f>
        <v>749</v>
      </c>
      <c r="T598" s="46">
        <f>IF(VLOOKUP($C598,REV!$C:$AA,18,0)-'TRADE IN'!$F607=0,"",(VLOOKUP($C598,REV!$C:$AA,18,0)-'TRADE IN'!$F598))</f>
        <v>749</v>
      </c>
      <c r="U598" s="46">
        <f>IF(VLOOKUP($C598,REV!$C:$AA,19,0)-'TRADE IN'!$F607=0,"",(VLOOKUP($C598,REV!$C:$AA,19,0)-'TRADE IN'!$F598))</f>
        <v>749</v>
      </c>
      <c r="V598" s="46">
        <f>IF(VLOOKUP($C598,REV!$C:$AA,20,0)-'TRADE IN'!$F607=0,"",(VLOOKUP($C598,REV!$C:$AA,20,0)-'TRADE IN'!$F598))</f>
        <v>749</v>
      </c>
      <c r="W598" s="46">
        <f>IF(VLOOKUP($C598,REV!$C:$AA,21,0)-'TRADE IN'!$F607=0,"",(VLOOKUP($C598,REV!$C:$AA,21,0)-'TRADE IN'!$F598))</f>
        <v>749</v>
      </c>
      <c r="X598" s="46">
        <f>IF(VLOOKUP($C598,REV!$C:$AA,22,0)-'TRADE IN'!$F607=0,"",(VLOOKUP($C598,REV!$C:$AA,22,0)-'TRADE IN'!$F598))</f>
        <v>749</v>
      </c>
      <c r="Y598" s="46">
        <f>IF(VLOOKUP($C598,REV!$C:$AA,23,0)-'TRADE IN'!$F607=0,"",(VLOOKUP($C598,REV!$C:$AA,23,0)-'TRADE IN'!$F598))</f>
        <v>749</v>
      </c>
      <c r="Z598" s="46">
        <f>IF(VLOOKUP($C598,REV!$C:$AA,24,0)-'TRADE IN'!$F607=0,"",(VLOOKUP($C598,REV!$C:$AA,24,0)-'TRADE IN'!$F598))</f>
        <v>749</v>
      </c>
      <c r="AA598" s="46">
        <f>IF(VLOOKUP($C598,REV!$C:$AA,25,0)-'TRADE IN'!$F607=0,"",(VLOOKUP($C598,REV!$C:$AA,25,0)-'TRADE IN'!$F598))</f>
        <v>749</v>
      </c>
      <c r="AB598" s="46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7"/>
      <c r="AW598" s="48" t="str">
        <f>IF(REV!AW598=0,"",REV!AW598)</f>
        <v>31.03.2026</v>
      </c>
      <c r="AX598" s="159" t="s">
        <v>82</v>
      </c>
    </row>
    <row r="599" spans="1:50" ht="22.5" customHeight="1">
      <c r="A599" s="52" t="s">
        <v>70</v>
      </c>
      <c r="B599" s="41" t="s">
        <v>62</v>
      </c>
      <c r="C599" s="42">
        <v>4014896</v>
      </c>
      <c r="D599" s="44" t="s">
        <v>814</v>
      </c>
      <c r="E599" s="44" t="s">
        <v>823</v>
      </c>
      <c r="F599" s="45"/>
      <c r="G599" s="45"/>
      <c r="H599" s="45"/>
      <c r="I599" s="45"/>
      <c r="J599" s="46">
        <f>IF(VLOOKUP($C599,REV!$C:$AA,8,0)-'TRADE IN'!$F599=0,"",(VLOOKUP($C599,REV!$C:$AA,8,0)-'TRADE IN'!$F599))</f>
        <v>749</v>
      </c>
      <c r="K599" s="46">
        <f>IF(VLOOKUP($C599,REV!$C:$AA,9,0)-'TRADE IN'!$F599=0,"",(VLOOKUP($C599,REV!$C:$AA,9,0)-'TRADE IN'!$F599))</f>
        <v>749</v>
      </c>
      <c r="L599" s="46">
        <f>IF(VLOOKUP($C599,REV!$C:$AA,10,0)-'TRADE IN'!$F608=0,"",(VLOOKUP($C599,REV!$C:$AA,10,0)-'TRADE IN'!$F599))</f>
        <v>749</v>
      </c>
      <c r="M599" s="46">
        <f>IF(VLOOKUP($C599,REV!$C:$AA,11,0)-'TRADE IN'!$F608=0,"",(VLOOKUP($C599,REV!$C:$AA,11,0)-'TRADE IN'!$F599))</f>
        <v>749</v>
      </c>
      <c r="N599" s="46">
        <f>IF(VLOOKUP($C599,REV!$C:$AA,12,0)-'TRADE IN'!$F608=0,"",(VLOOKUP($C599,REV!$C:$AA,12,0)-'TRADE IN'!$F599))</f>
        <v>749</v>
      </c>
      <c r="O599" s="46">
        <f>IF(VLOOKUP($C599,REV!$C:$AA,13,0)-'TRADE IN'!$F608=0,"",(VLOOKUP($C599,REV!$C:$AA,13,0)-'TRADE IN'!$F599))</f>
        <v>749</v>
      </c>
      <c r="P599" s="46">
        <f>IF(VLOOKUP($C599,REV!$C:$AA,14,0)-'TRADE IN'!$F608=0,"",(VLOOKUP($C599,REV!$C:$AA,14,0)-'TRADE IN'!$F599))</f>
        <v>749</v>
      </c>
      <c r="Q599" s="46">
        <f>IF(VLOOKUP($C599,REV!$C:$AA,15,0)-'TRADE IN'!$F608=0,"",(VLOOKUP($C599,REV!$C:$AA,15,0)-'TRADE IN'!$F599))</f>
        <v>749</v>
      </c>
      <c r="R599" s="46">
        <f>IF(VLOOKUP($C599,REV!$C:$AA,16,0)-'TRADE IN'!$F608=0,"",(VLOOKUP($C599,REV!$C:$AA,16,0)-'TRADE IN'!$F599))</f>
        <v>749</v>
      </c>
      <c r="S599" s="46">
        <f>IF(VLOOKUP($C599,REV!$C:$AA,17,0)-'TRADE IN'!$F608=0,"",(VLOOKUP($C599,REV!$C:$AA,17,0)-'TRADE IN'!$F599))</f>
        <v>749</v>
      </c>
      <c r="T599" s="46">
        <f>IF(VLOOKUP($C599,REV!$C:$AA,18,0)-'TRADE IN'!$F608=0,"",(VLOOKUP($C599,REV!$C:$AA,18,0)-'TRADE IN'!$F599))</f>
        <v>749</v>
      </c>
      <c r="U599" s="46">
        <f>IF(VLOOKUP($C599,REV!$C:$AA,19,0)-'TRADE IN'!$F608=0,"",(VLOOKUP($C599,REV!$C:$AA,19,0)-'TRADE IN'!$F599))</f>
        <v>749</v>
      </c>
      <c r="V599" s="46">
        <f>IF(VLOOKUP($C599,REV!$C:$AA,20,0)-'TRADE IN'!$F608=0,"",(VLOOKUP($C599,REV!$C:$AA,20,0)-'TRADE IN'!$F599))</f>
        <v>749</v>
      </c>
      <c r="W599" s="46">
        <f>IF(VLOOKUP($C599,REV!$C:$AA,21,0)-'TRADE IN'!$F608=0,"",(VLOOKUP($C599,REV!$C:$AA,21,0)-'TRADE IN'!$F599))</f>
        <v>749</v>
      </c>
      <c r="X599" s="46">
        <f>IF(VLOOKUP($C599,REV!$C:$AA,22,0)-'TRADE IN'!$F608=0,"",(VLOOKUP($C599,REV!$C:$AA,22,0)-'TRADE IN'!$F599))</f>
        <v>749</v>
      </c>
      <c r="Y599" s="46">
        <f>IF(VLOOKUP($C599,REV!$C:$AA,23,0)-'TRADE IN'!$F608=0,"",(VLOOKUP($C599,REV!$C:$AA,23,0)-'TRADE IN'!$F599))</f>
        <v>749</v>
      </c>
      <c r="Z599" s="46">
        <f>IF(VLOOKUP($C599,REV!$C:$AA,24,0)-'TRADE IN'!$F608=0,"",(VLOOKUP($C599,REV!$C:$AA,24,0)-'TRADE IN'!$F599))</f>
        <v>749</v>
      </c>
      <c r="AA599" s="46">
        <f>IF(VLOOKUP($C599,REV!$C:$AA,25,0)-'TRADE IN'!$F608=0,"",(VLOOKUP($C599,REV!$C:$AA,25,0)-'TRADE IN'!$F599))</f>
        <v>749</v>
      </c>
      <c r="AB599" s="46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7"/>
      <c r="AW599" s="48" t="str">
        <f>IF(REV!AW599=0,"",REV!AW599)</f>
        <v>31.03.2026</v>
      </c>
      <c r="AX599" s="159" t="s">
        <v>82</v>
      </c>
    </row>
    <row r="600" spans="1:50" ht="22.5" customHeight="1">
      <c r="A600" s="52" t="s">
        <v>70</v>
      </c>
      <c r="B600" s="41" t="s">
        <v>62</v>
      </c>
      <c r="C600" s="42">
        <v>4014985</v>
      </c>
      <c r="D600" s="44" t="s">
        <v>814</v>
      </c>
      <c r="E600" s="44" t="s">
        <v>824</v>
      </c>
      <c r="F600" s="45"/>
      <c r="G600" s="45"/>
      <c r="H600" s="45"/>
      <c r="I600" s="45"/>
      <c r="J600" s="46">
        <f>IF(VLOOKUP($C600,REV!$C:$AA,8,0)-'TRADE IN'!$F600=0,"",(VLOOKUP($C600,REV!$C:$AA,8,0)-'TRADE IN'!$F600))</f>
        <v>749</v>
      </c>
      <c r="K600" s="46">
        <f>IF(VLOOKUP($C600,REV!$C:$AA,9,0)-'TRADE IN'!$F600=0,"",(VLOOKUP($C600,REV!$C:$AA,9,0)-'TRADE IN'!$F600))</f>
        <v>749</v>
      </c>
      <c r="L600" s="46">
        <f>IF(VLOOKUP($C600,REV!$C:$AA,10,0)-'TRADE IN'!$F609=0,"",(VLOOKUP($C600,REV!$C:$AA,10,0)-'TRADE IN'!$F600))</f>
        <v>749</v>
      </c>
      <c r="M600" s="46">
        <f>IF(VLOOKUP($C600,REV!$C:$AA,11,0)-'TRADE IN'!$F609=0,"",(VLOOKUP($C600,REV!$C:$AA,11,0)-'TRADE IN'!$F600))</f>
        <v>749</v>
      </c>
      <c r="N600" s="46">
        <f>IF(VLOOKUP($C600,REV!$C:$AA,12,0)-'TRADE IN'!$F609=0,"",(VLOOKUP($C600,REV!$C:$AA,12,0)-'TRADE IN'!$F600))</f>
        <v>749</v>
      </c>
      <c r="O600" s="46">
        <f>IF(VLOOKUP($C600,REV!$C:$AA,13,0)-'TRADE IN'!$F609=0,"",(VLOOKUP($C600,REV!$C:$AA,13,0)-'TRADE IN'!$F600))</f>
        <v>749</v>
      </c>
      <c r="P600" s="46">
        <f>IF(VLOOKUP($C600,REV!$C:$AA,14,0)-'TRADE IN'!$F609=0,"",(VLOOKUP($C600,REV!$C:$AA,14,0)-'TRADE IN'!$F600))</f>
        <v>749</v>
      </c>
      <c r="Q600" s="46">
        <f>IF(VLOOKUP($C600,REV!$C:$AA,15,0)-'TRADE IN'!$F609=0,"",(VLOOKUP($C600,REV!$C:$AA,15,0)-'TRADE IN'!$F600))</f>
        <v>749</v>
      </c>
      <c r="R600" s="46">
        <f>IF(VLOOKUP($C600,REV!$C:$AA,16,0)-'TRADE IN'!$F609=0,"",(VLOOKUP($C600,REV!$C:$AA,16,0)-'TRADE IN'!$F600))</f>
        <v>749</v>
      </c>
      <c r="S600" s="46">
        <f>IF(VLOOKUP($C600,REV!$C:$AA,17,0)-'TRADE IN'!$F609=0,"",(VLOOKUP($C600,REV!$C:$AA,17,0)-'TRADE IN'!$F600))</f>
        <v>749</v>
      </c>
      <c r="T600" s="46">
        <f>IF(VLOOKUP($C600,REV!$C:$AA,18,0)-'TRADE IN'!$F609=0,"",(VLOOKUP($C600,REV!$C:$AA,18,0)-'TRADE IN'!$F600))</f>
        <v>749</v>
      </c>
      <c r="U600" s="46">
        <f>IF(VLOOKUP($C600,REV!$C:$AA,19,0)-'TRADE IN'!$F609=0,"",(VLOOKUP($C600,REV!$C:$AA,19,0)-'TRADE IN'!$F600))</f>
        <v>749</v>
      </c>
      <c r="V600" s="46">
        <f>IF(VLOOKUP($C600,REV!$C:$AA,20,0)-'TRADE IN'!$F609=0,"",(VLOOKUP($C600,REV!$C:$AA,20,0)-'TRADE IN'!$F600))</f>
        <v>749</v>
      </c>
      <c r="W600" s="46">
        <f>IF(VLOOKUP($C600,REV!$C:$AA,21,0)-'TRADE IN'!$F609=0,"",(VLOOKUP($C600,REV!$C:$AA,21,0)-'TRADE IN'!$F600))</f>
        <v>749</v>
      </c>
      <c r="X600" s="46">
        <f>IF(VLOOKUP($C600,REV!$C:$AA,22,0)-'TRADE IN'!$F609=0,"",(VLOOKUP($C600,REV!$C:$AA,22,0)-'TRADE IN'!$F600))</f>
        <v>749</v>
      </c>
      <c r="Y600" s="46">
        <f>IF(VLOOKUP($C600,REV!$C:$AA,23,0)-'TRADE IN'!$F609=0,"",(VLOOKUP($C600,REV!$C:$AA,23,0)-'TRADE IN'!$F600))</f>
        <v>749</v>
      </c>
      <c r="Z600" s="46">
        <f>IF(VLOOKUP($C600,REV!$C:$AA,24,0)-'TRADE IN'!$F609=0,"",(VLOOKUP($C600,REV!$C:$AA,24,0)-'TRADE IN'!$F600))</f>
        <v>749</v>
      </c>
      <c r="AA600" s="46">
        <f>IF(VLOOKUP($C600,REV!$C:$AA,25,0)-'TRADE IN'!$F609=0,"",(VLOOKUP($C600,REV!$C:$AA,25,0)-'TRADE IN'!$F600))</f>
        <v>749</v>
      </c>
      <c r="AB600" s="46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7"/>
      <c r="AW600" s="48" t="str">
        <f>IF(REV!AW600=0,"",REV!AW600)</f>
        <v>31.03.2026</v>
      </c>
      <c r="AX600" s="159" t="s">
        <v>82</v>
      </c>
    </row>
    <row r="601" spans="1:50" ht="22.5" customHeight="1">
      <c r="A601" s="52" t="s">
        <v>70</v>
      </c>
      <c r="B601" s="41" t="s">
        <v>62</v>
      </c>
      <c r="C601" s="42">
        <v>4014893</v>
      </c>
      <c r="D601" s="44" t="s">
        <v>814</v>
      </c>
      <c r="E601" s="44" t="s">
        <v>825</v>
      </c>
      <c r="F601" s="45"/>
      <c r="G601" s="45"/>
      <c r="H601" s="45"/>
      <c r="I601" s="45"/>
      <c r="J601" s="46">
        <f>IF(VLOOKUP($C601,REV!$C:$AA,8,0)-'TRADE IN'!$F601=0,"",(VLOOKUP($C601,REV!$C:$AA,8,0)-'TRADE IN'!$F601))</f>
        <v>749</v>
      </c>
      <c r="K601" s="46">
        <f>IF(VLOOKUP($C601,REV!$C:$AA,9,0)-'TRADE IN'!$F601=0,"",(VLOOKUP($C601,REV!$C:$AA,9,0)-'TRADE IN'!$F601))</f>
        <v>749</v>
      </c>
      <c r="L601" s="46">
        <f>IF(VLOOKUP($C601,REV!$C:$AA,10,0)-'TRADE IN'!$F610=0,"",(VLOOKUP($C601,REV!$C:$AA,10,0)-'TRADE IN'!$F601))</f>
        <v>749</v>
      </c>
      <c r="M601" s="46">
        <f>IF(VLOOKUP($C601,REV!$C:$AA,11,0)-'TRADE IN'!$F610=0,"",(VLOOKUP($C601,REV!$C:$AA,11,0)-'TRADE IN'!$F601))</f>
        <v>749</v>
      </c>
      <c r="N601" s="46">
        <f>IF(VLOOKUP($C601,REV!$C:$AA,12,0)-'TRADE IN'!$F610=0,"",(VLOOKUP($C601,REV!$C:$AA,12,0)-'TRADE IN'!$F601))</f>
        <v>749</v>
      </c>
      <c r="O601" s="46">
        <f>IF(VLOOKUP($C601,REV!$C:$AA,13,0)-'TRADE IN'!$F610=0,"",(VLOOKUP($C601,REV!$C:$AA,13,0)-'TRADE IN'!$F601))</f>
        <v>749</v>
      </c>
      <c r="P601" s="46">
        <f>IF(VLOOKUP($C601,REV!$C:$AA,14,0)-'TRADE IN'!$F610=0,"",(VLOOKUP($C601,REV!$C:$AA,14,0)-'TRADE IN'!$F601))</f>
        <v>749</v>
      </c>
      <c r="Q601" s="46">
        <f>IF(VLOOKUP($C601,REV!$C:$AA,15,0)-'TRADE IN'!$F610=0,"",(VLOOKUP($C601,REV!$C:$AA,15,0)-'TRADE IN'!$F601))</f>
        <v>749</v>
      </c>
      <c r="R601" s="46">
        <f>IF(VLOOKUP($C601,REV!$C:$AA,16,0)-'TRADE IN'!$F610=0,"",(VLOOKUP($C601,REV!$C:$AA,16,0)-'TRADE IN'!$F601))</f>
        <v>749</v>
      </c>
      <c r="S601" s="46">
        <f>IF(VLOOKUP($C601,REV!$C:$AA,17,0)-'TRADE IN'!$F610=0,"",(VLOOKUP($C601,REV!$C:$AA,17,0)-'TRADE IN'!$F601))</f>
        <v>749</v>
      </c>
      <c r="T601" s="46">
        <f>IF(VLOOKUP($C601,REV!$C:$AA,18,0)-'TRADE IN'!$F610=0,"",(VLOOKUP($C601,REV!$C:$AA,18,0)-'TRADE IN'!$F601))</f>
        <v>749</v>
      </c>
      <c r="U601" s="46">
        <f>IF(VLOOKUP($C601,REV!$C:$AA,19,0)-'TRADE IN'!$F610=0,"",(VLOOKUP($C601,REV!$C:$AA,19,0)-'TRADE IN'!$F601))</f>
        <v>749</v>
      </c>
      <c r="V601" s="46">
        <f>IF(VLOOKUP($C601,REV!$C:$AA,20,0)-'TRADE IN'!$F610=0,"",(VLOOKUP($C601,REV!$C:$AA,20,0)-'TRADE IN'!$F601))</f>
        <v>749</v>
      </c>
      <c r="W601" s="46">
        <f>IF(VLOOKUP($C601,REV!$C:$AA,21,0)-'TRADE IN'!$F610=0,"",(VLOOKUP($C601,REV!$C:$AA,21,0)-'TRADE IN'!$F601))</f>
        <v>749</v>
      </c>
      <c r="X601" s="46">
        <f>IF(VLOOKUP($C601,REV!$C:$AA,22,0)-'TRADE IN'!$F610=0,"",(VLOOKUP($C601,REV!$C:$AA,22,0)-'TRADE IN'!$F601))</f>
        <v>749</v>
      </c>
      <c r="Y601" s="46">
        <f>IF(VLOOKUP($C601,REV!$C:$AA,23,0)-'TRADE IN'!$F610=0,"",(VLOOKUP($C601,REV!$C:$AA,23,0)-'TRADE IN'!$F601))</f>
        <v>749</v>
      </c>
      <c r="Z601" s="46">
        <f>IF(VLOOKUP($C601,REV!$C:$AA,24,0)-'TRADE IN'!$F610=0,"",(VLOOKUP($C601,REV!$C:$AA,24,0)-'TRADE IN'!$F601))</f>
        <v>749</v>
      </c>
      <c r="AA601" s="46">
        <f>IF(VLOOKUP($C601,REV!$C:$AA,25,0)-'TRADE IN'!$F610=0,"",(VLOOKUP($C601,REV!$C:$AA,25,0)-'TRADE IN'!$F601))</f>
        <v>749</v>
      </c>
      <c r="AB601" s="46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7"/>
      <c r="AW601" s="48" t="str">
        <f>IF(REV!AW601=0,"",REV!AW601)</f>
        <v>31.03.2026</v>
      </c>
      <c r="AX601" s="159" t="s">
        <v>82</v>
      </c>
    </row>
    <row r="602" spans="1:50" ht="22.5" customHeight="1">
      <c r="A602" s="52" t="s">
        <v>70</v>
      </c>
      <c r="B602" s="41" t="s">
        <v>62</v>
      </c>
      <c r="C602" s="42">
        <v>4014986</v>
      </c>
      <c r="D602" s="44" t="s">
        <v>814</v>
      </c>
      <c r="E602" s="44" t="s">
        <v>826</v>
      </c>
      <c r="F602" s="45"/>
      <c r="G602" s="45"/>
      <c r="H602" s="45"/>
      <c r="I602" s="45"/>
      <c r="J602" s="46">
        <f>IF(VLOOKUP($C602,REV!$C:$AA,8,0)-'TRADE IN'!$F602=0,"",(VLOOKUP($C602,REV!$C:$AA,8,0)-'TRADE IN'!$F602))</f>
        <v>749</v>
      </c>
      <c r="K602" s="46">
        <f>IF(VLOOKUP($C602,REV!$C:$AA,9,0)-'TRADE IN'!$F602=0,"",(VLOOKUP($C602,REV!$C:$AA,9,0)-'TRADE IN'!$F602))</f>
        <v>749</v>
      </c>
      <c r="L602" s="46">
        <f>IF(VLOOKUP($C602,REV!$C:$AA,10,0)-'TRADE IN'!$F611=0,"",(VLOOKUP($C602,REV!$C:$AA,10,0)-'TRADE IN'!$F602))</f>
        <v>749</v>
      </c>
      <c r="M602" s="46">
        <f>IF(VLOOKUP($C602,REV!$C:$AA,11,0)-'TRADE IN'!$F611=0,"",(VLOOKUP($C602,REV!$C:$AA,11,0)-'TRADE IN'!$F602))</f>
        <v>749</v>
      </c>
      <c r="N602" s="46">
        <f>IF(VLOOKUP($C602,REV!$C:$AA,12,0)-'TRADE IN'!$F611=0,"",(VLOOKUP($C602,REV!$C:$AA,12,0)-'TRADE IN'!$F602))</f>
        <v>749</v>
      </c>
      <c r="O602" s="46">
        <f>IF(VLOOKUP($C602,REV!$C:$AA,13,0)-'TRADE IN'!$F611=0,"",(VLOOKUP($C602,REV!$C:$AA,13,0)-'TRADE IN'!$F602))</f>
        <v>749</v>
      </c>
      <c r="P602" s="46">
        <f>IF(VLOOKUP($C602,REV!$C:$AA,14,0)-'TRADE IN'!$F611=0,"",(VLOOKUP($C602,REV!$C:$AA,14,0)-'TRADE IN'!$F602))</f>
        <v>749</v>
      </c>
      <c r="Q602" s="46">
        <f>IF(VLOOKUP($C602,REV!$C:$AA,15,0)-'TRADE IN'!$F611=0,"",(VLOOKUP($C602,REV!$C:$AA,15,0)-'TRADE IN'!$F602))</f>
        <v>749</v>
      </c>
      <c r="R602" s="46">
        <f>IF(VLOOKUP($C602,REV!$C:$AA,16,0)-'TRADE IN'!$F611=0,"",(VLOOKUP($C602,REV!$C:$AA,16,0)-'TRADE IN'!$F602))</f>
        <v>749</v>
      </c>
      <c r="S602" s="46">
        <f>IF(VLOOKUP($C602,REV!$C:$AA,17,0)-'TRADE IN'!$F611=0,"",(VLOOKUP($C602,REV!$C:$AA,17,0)-'TRADE IN'!$F602))</f>
        <v>749</v>
      </c>
      <c r="T602" s="46">
        <f>IF(VLOOKUP($C602,REV!$C:$AA,18,0)-'TRADE IN'!$F611=0,"",(VLOOKUP($C602,REV!$C:$AA,18,0)-'TRADE IN'!$F602))</f>
        <v>749</v>
      </c>
      <c r="U602" s="46">
        <f>IF(VLOOKUP($C602,REV!$C:$AA,19,0)-'TRADE IN'!$F611=0,"",(VLOOKUP($C602,REV!$C:$AA,19,0)-'TRADE IN'!$F602))</f>
        <v>749</v>
      </c>
      <c r="V602" s="46">
        <f>IF(VLOOKUP($C602,REV!$C:$AA,20,0)-'TRADE IN'!$F611=0,"",(VLOOKUP($C602,REV!$C:$AA,20,0)-'TRADE IN'!$F602))</f>
        <v>749</v>
      </c>
      <c r="W602" s="46">
        <f>IF(VLOOKUP($C602,REV!$C:$AA,21,0)-'TRADE IN'!$F611=0,"",(VLOOKUP($C602,REV!$C:$AA,21,0)-'TRADE IN'!$F602))</f>
        <v>749</v>
      </c>
      <c r="X602" s="46">
        <f>IF(VLOOKUP($C602,REV!$C:$AA,22,0)-'TRADE IN'!$F611=0,"",(VLOOKUP($C602,REV!$C:$AA,22,0)-'TRADE IN'!$F602))</f>
        <v>749</v>
      </c>
      <c r="Y602" s="46">
        <f>IF(VLOOKUP($C602,REV!$C:$AA,23,0)-'TRADE IN'!$F611=0,"",(VLOOKUP($C602,REV!$C:$AA,23,0)-'TRADE IN'!$F602))</f>
        <v>749</v>
      </c>
      <c r="Z602" s="46">
        <f>IF(VLOOKUP($C602,REV!$C:$AA,24,0)-'TRADE IN'!$F611=0,"",(VLOOKUP($C602,REV!$C:$AA,24,0)-'TRADE IN'!$F602))</f>
        <v>749</v>
      </c>
      <c r="AA602" s="46">
        <f>IF(VLOOKUP($C602,REV!$C:$AA,25,0)-'TRADE IN'!$F611=0,"",(VLOOKUP($C602,REV!$C:$AA,25,0)-'TRADE IN'!$F602))</f>
        <v>749</v>
      </c>
      <c r="AB602" s="46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7"/>
      <c r="AW602" s="48" t="str">
        <f>IF(REV!AW602=0,"",REV!AW602)</f>
        <v>31.03.2026</v>
      </c>
      <c r="AX602" s="159" t="s">
        <v>82</v>
      </c>
    </row>
    <row r="603" spans="1:50" ht="22.5" customHeight="1">
      <c r="A603" s="52" t="s">
        <v>70</v>
      </c>
      <c r="B603" s="41" t="s">
        <v>62</v>
      </c>
      <c r="C603" s="42">
        <v>4014754</v>
      </c>
      <c r="D603" s="44" t="s">
        <v>827</v>
      </c>
      <c r="E603" s="44" t="s">
        <v>828</v>
      </c>
      <c r="F603" s="45"/>
      <c r="G603" s="45"/>
      <c r="H603" s="45"/>
      <c r="I603" s="45"/>
      <c r="J603" s="46">
        <f>IF(VLOOKUP($C603,REV!$C:$AA,8,0)-'TRADE IN'!$F603=0,"",(VLOOKUP($C603,REV!$C:$AA,8,0)-'TRADE IN'!$F603))</f>
        <v>799</v>
      </c>
      <c r="K603" s="46">
        <f>IF(VLOOKUP($C603,REV!$C:$AA,9,0)-'TRADE IN'!$F603=0,"",(VLOOKUP($C603,REV!$C:$AA,9,0)-'TRADE IN'!$F603))</f>
        <v>799</v>
      </c>
      <c r="L603" s="46">
        <f>IF(VLOOKUP($C603,REV!$C:$AA,10,0)-'TRADE IN'!$F612=0,"",(VLOOKUP($C603,REV!$C:$AA,10,0)-'TRADE IN'!$F603))</f>
        <v>799</v>
      </c>
      <c r="M603" s="46">
        <f>IF(VLOOKUP($C603,REV!$C:$AA,11,0)-'TRADE IN'!$F612=0,"",(VLOOKUP($C603,REV!$C:$AA,11,0)-'TRADE IN'!$F603))</f>
        <v>799</v>
      </c>
      <c r="N603" s="46">
        <f>IF(VLOOKUP($C603,REV!$C:$AA,12,0)-'TRADE IN'!$F612=0,"",(VLOOKUP($C603,REV!$C:$AA,12,0)-'TRADE IN'!$F603))</f>
        <v>799</v>
      </c>
      <c r="O603" s="46">
        <f>IF(VLOOKUP($C603,REV!$C:$AA,13,0)-'TRADE IN'!$F612=0,"",(VLOOKUP($C603,REV!$C:$AA,13,0)-'TRADE IN'!$F603))</f>
        <v>799</v>
      </c>
      <c r="P603" s="46">
        <f>IF(VLOOKUP($C603,REV!$C:$AA,14,0)-'TRADE IN'!$F612=0,"",(VLOOKUP($C603,REV!$C:$AA,14,0)-'TRADE IN'!$F603))</f>
        <v>799</v>
      </c>
      <c r="Q603" s="46">
        <f>IF(VLOOKUP($C603,REV!$C:$AA,15,0)-'TRADE IN'!$F612=0,"",(VLOOKUP($C603,REV!$C:$AA,15,0)-'TRADE IN'!$F603))</f>
        <v>799</v>
      </c>
      <c r="R603" s="46">
        <f>IF(VLOOKUP($C603,REV!$C:$AA,16,0)-'TRADE IN'!$F612=0,"",(VLOOKUP($C603,REV!$C:$AA,16,0)-'TRADE IN'!$F603))</f>
        <v>799</v>
      </c>
      <c r="S603" s="46">
        <f>IF(VLOOKUP($C603,REV!$C:$AA,17,0)-'TRADE IN'!$F612=0,"",(VLOOKUP($C603,REV!$C:$AA,17,0)-'TRADE IN'!$F603))</f>
        <v>799</v>
      </c>
      <c r="T603" s="46">
        <f>IF(VLOOKUP($C603,REV!$C:$AA,18,0)-'TRADE IN'!$F612=0,"",(VLOOKUP($C603,REV!$C:$AA,18,0)-'TRADE IN'!$F603))</f>
        <v>799</v>
      </c>
      <c r="U603" s="46">
        <f>IF(VLOOKUP($C603,REV!$C:$AA,19,0)-'TRADE IN'!$F612=0,"",(VLOOKUP($C603,REV!$C:$AA,19,0)-'TRADE IN'!$F603))</f>
        <v>799</v>
      </c>
      <c r="V603" s="46">
        <f>IF(VLOOKUP($C603,REV!$C:$AA,20,0)-'TRADE IN'!$F612=0,"",(VLOOKUP($C603,REV!$C:$AA,20,0)-'TRADE IN'!$F603))</f>
        <v>799</v>
      </c>
      <c r="W603" s="46">
        <f>IF(VLOOKUP($C603,REV!$C:$AA,21,0)-'TRADE IN'!$F612=0,"",(VLOOKUP($C603,REV!$C:$AA,21,0)-'TRADE IN'!$F603))</f>
        <v>799</v>
      </c>
      <c r="X603" s="46">
        <f>IF(VLOOKUP($C603,REV!$C:$AA,22,0)-'TRADE IN'!$F612=0,"",(VLOOKUP($C603,REV!$C:$AA,22,0)-'TRADE IN'!$F603))</f>
        <v>799</v>
      </c>
      <c r="Y603" s="46">
        <f>IF(VLOOKUP($C603,REV!$C:$AA,23,0)-'TRADE IN'!$F612=0,"",(VLOOKUP($C603,REV!$C:$AA,23,0)-'TRADE IN'!$F603))</f>
        <v>799</v>
      </c>
      <c r="Z603" s="46">
        <f>IF(VLOOKUP($C603,REV!$C:$AA,24,0)-'TRADE IN'!$F612=0,"",(VLOOKUP($C603,REV!$C:$AA,24,0)-'TRADE IN'!$F603))</f>
        <v>799</v>
      </c>
      <c r="AA603" s="46">
        <f>IF(VLOOKUP($C603,REV!$C:$AA,25,0)-'TRADE IN'!$F612=0,"",(VLOOKUP($C603,REV!$C:$AA,25,0)-'TRADE IN'!$F603))</f>
        <v>799</v>
      </c>
      <c r="AB603" s="46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7"/>
      <c r="AW603" s="48" t="str">
        <f>IF(REV!AW603=0,"",REV!AW603)</f>
        <v>31.03.2026</v>
      </c>
      <c r="AX603" s="159" t="s">
        <v>82</v>
      </c>
    </row>
    <row r="604" spans="1:50" ht="22.5" customHeight="1">
      <c r="A604" s="52" t="s">
        <v>70</v>
      </c>
      <c r="B604" s="41" t="s">
        <v>62</v>
      </c>
      <c r="C604" s="42">
        <v>4014741</v>
      </c>
      <c r="D604" s="44" t="s">
        <v>827</v>
      </c>
      <c r="E604" s="44" t="s">
        <v>829</v>
      </c>
      <c r="F604" s="45"/>
      <c r="G604" s="45"/>
      <c r="H604" s="45"/>
      <c r="I604" s="45"/>
      <c r="J604" s="46">
        <f>IF(VLOOKUP($C604,REV!$C:$AA,8,0)-'TRADE IN'!$F604=0,"",(VLOOKUP($C604,REV!$C:$AA,8,0)-'TRADE IN'!$F604))</f>
        <v>799</v>
      </c>
      <c r="K604" s="46">
        <f>IF(VLOOKUP($C604,REV!$C:$AA,9,0)-'TRADE IN'!$F604=0,"",(VLOOKUP($C604,REV!$C:$AA,9,0)-'TRADE IN'!$F604))</f>
        <v>799</v>
      </c>
      <c r="L604" s="46">
        <f>IF(VLOOKUP($C604,REV!$C:$AA,10,0)-'TRADE IN'!$F613=0,"",(VLOOKUP($C604,REV!$C:$AA,10,0)-'TRADE IN'!$F604))</f>
        <v>799</v>
      </c>
      <c r="M604" s="46">
        <f>IF(VLOOKUP($C604,REV!$C:$AA,11,0)-'TRADE IN'!$F613=0,"",(VLOOKUP($C604,REV!$C:$AA,11,0)-'TRADE IN'!$F604))</f>
        <v>799</v>
      </c>
      <c r="N604" s="46">
        <f>IF(VLOOKUP($C604,REV!$C:$AA,12,0)-'TRADE IN'!$F613=0,"",(VLOOKUP($C604,REV!$C:$AA,12,0)-'TRADE IN'!$F604))</f>
        <v>799</v>
      </c>
      <c r="O604" s="46">
        <f>IF(VLOOKUP($C604,REV!$C:$AA,13,0)-'TRADE IN'!$F613=0,"",(VLOOKUP($C604,REV!$C:$AA,13,0)-'TRADE IN'!$F604))</f>
        <v>799</v>
      </c>
      <c r="P604" s="46">
        <f>IF(VLOOKUP($C604,REV!$C:$AA,14,0)-'TRADE IN'!$F613=0,"",(VLOOKUP($C604,REV!$C:$AA,14,0)-'TRADE IN'!$F604))</f>
        <v>799</v>
      </c>
      <c r="Q604" s="46">
        <f>IF(VLOOKUP($C604,REV!$C:$AA,15,0)-'TRADE IN'!$F613=0,"",(VLOOKUP($C604,REV!$C:$AA,15,0)-'TRADE IN'!$F604))</f>
        <v>799</v>
      </c>
      <c r="R604" s="46">
        <f>IF(VLOOKUP($C604,REV!$C:$AA,16,0)-'TRADE IN'!$F613=0,"",(VLOOKUP($C604,REV!$C:$AA,16,0)-'TRADE IN'!$F604))</f>
        <v>799</v>
      </c>
      <c r="S604" s="46">
        <f>IF(VLOOKUP($C604,REV!$C:$AA,17,0)-'TRADE IN'!$F613=0,"",(VLOOKUP($C604,REV!$C:$AA,17,0)-'TRADE IN'!$F604))</f>
        <v>799</v>
      </c>
      <c r="T604" s="46">
        <f>IF(VLOOKUP($C604,REV!$C:$AA,18,0)-'TRADE IN'!$F613=0,"",(VLOOKUP($C604,REV!$C:$AA,18,0)-'TRADE IN'!$F604))</f>
        <v>799</v>
      </c>
      <c r="U604" s="46">
        <f>IF(VLOOKUP($C604,REV!$C:$AA,19,0)-'TRADE IN'!$F613=0,"",(VLOOKUP($C604,REV!$C:$AA,19,0)-'TRADE IN'!$F604))</f>
        <v>799</v>
      </c>
      <c r="V604" s="46">
        <f>IF(VLOOKUP($C604,REV!$C:$AA,20,0)-'TRADE IN'!$F613=0,"",(VLOOKUP($C604,REV!$C:$AA,20,0)-'TRADE IN'!$F604))</f>
        <v>799</v>
      </c>
      <c r="W604" s="46">
        <f>IF(VLOOKUP($C604,REV!$C:$AA,21,0)-'TRADE IN'!$F613=0,"",(VLOOKUP($C604,REV!$C:$AA,21,0)-'TRADE IN'!$F604))</f>
        <v>799</v>
      </c>
      <c r="X604" s="46">
        <f>IF(VLOOKUP($C604,REV!$C:$AA,22,0)-'TRADE IN'!$F613=0,"",(VLOOKUP($C604,REV!$C:$AA,22,0)-'TRADE IN'!$F604))</f>
        <v>799</v>
      </c>
      <c r="Y604" s="46">
        <f>IF(VLOOKUP($C604,REV!$C:$AA,23,0)-'TRADE IN'!$F613=0,"",(VLOOKUP($C604,REV!$C:$AA,23,0)-'TRADE IN'!$F604))</f>
        <v>799</v>
      </c>
      <c r="Z604" s="46">
        <f>IF(VLOOKUP($C604,REV!$C:$AA,24,0)-'TRADE IN'!$F613=0,"",(VLOOKUP($C604,REV!$C:$AA,24,0)-'TRADE IN'!$F604))</f>
        <v>799</v>
      </c>
      <c r="AA604" s="46">
        <f>IF(VLOOKUP($C604,REV!$C:$AA,25,0)-'TRADE IN'!$F613=0,"",(VLOOKUP($C604,REV!$C:$AA,25,0)-'TRADE IN'!$F604))</f>
        <v>799</v>
      </c>
      <c r="AB604" s="46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7"/>
      <c r="AW604" s="48" t="str">
        <f>IF(REV!AW604=0,"",REV!AW604)</f>
        <v>31.03.2026</v>
      </c>
      <c r="AX604" s="159" t="s">
        <v>82</v>
      </c>
    </row>
    <row r="605" spans="1:50" ht="22.5" customHeight="1">
      <c r="A605" s="52" t="s">
        <v>70</v>
      </c>
      <c r="B605" s="41" t="s">
        <v>62</v>
      </c>
      <c r="C605" s="42">
        <v>4014742</v>
      </c>
      <c r="D605" s="44" t="s">
        <v>827</v>
      </c>
      <c r="E605" s="44" t="s">
        <v>830</v>
      </c>
      <c r="F605" s="45"/>
      <c r="G605" s="45"/>
      <c r="H605" s="45"/>
      <c r="I605" s="45"/>
      <c r="J605" s="46">
        <f>IF(VLOOKUP($C605,REV!$C:$AA,8,0)-'TRADE IN'!$F605=0,"",(VLOOKUP($C605,REV!$C:$AA,8,0)-'TRADE IN'!$F605))</f>
        <v>799</v>
      </c>
      <c r="K605" s="46">
        <f>IF(VLOOKUP($C605,REV!$C:$AA,9,0)-'TRADE IN'!$F605=0,"",(VLOOKUP($C605,REV!$C:$AA,9,0)-'TRADE IN'!$F605))</f>
        <v>799</v>
      </c>
      <c r="L605" s="46">
        <f>IF(VLOOKUP($C605,REV!$C:$AA,10,0)-'TRADE IN'!$F614=0,"",(VLOOKUP($C605,REV!$C:$AA,10,0)-'TRADE IN'!$F605))</f>
        <v>799</v>
      </c>
      <c r="M605" s="46">
        <f>IF(VLOOKUP($C605,REV!$C:$AA,11,0)-'TRADE IN'!$F614=0,"",(VLOOKUP($C605,REV!$C:$AA,11,0)-'TRADE IN'!$F605))</f>
        <v>799</v>
      </c>
      <c r="N605" s="46">
        <f>IF(VLOOKUP($C605,REV!$C:$AA,12,0)-'TRADE IN'!$F614=0,"",(VLOOKUP($C605,REV!$C:$AA,12,0)-'TRADE IN'!$F605))</f>
        <v>799</v>
      </c>
      <c r="O605" s="46">
        <f>IF(VLOOKUP($C605,REV!$C:$AA,13,0)-'TRADE IN'!$F614=0,"",(VLOOKUP($C605,REV!$C:$AA,13,0)-'TRADE IN'!$F605))</f>
        <v>799</v>
      </c>
      <c r="P605" s="46">
        <f>IF(VLOOKUP($C605,REV!$C:$AA,14,0)-'TRADE IN'!$F614=0,"",(VLOOKUP($C605,REV!$C:$AA,14,0)-'TRADE IN'!$F605))</f>
        <v>799</v>
      </c>
      <c r="Q605" s="46">
        <f>IF(VLOOKUP($C605,REV!$C:$AA,15,0)-'TRADE IN'!$F614=0,"",(VLOOKUP($C605,REV!$C:$AA,15,0)-'TRADE IN'!$F605))</f>
        <v>799</v>
      </c>
      <c r="R605" s="46">
        <f>IF(VLOOKUP($C605,REV!$C:$AA,16,0)-'TRADE IN'!$F614=0,"",(VLOOKUP($C605,REV!$C:$AA,16,0)-'TRADE IN'!$F605))</f>
        <v>799</v>
      </c>
      <c r="S605" s="46">
        <f>IF(VLOOKUP($C605,REV!$C:$AA,17,0)-'TRADE IN'!$F614=0,"",(VLOOKUP($C605,REV!$C:$AA,17,0)-'TRADE IN'!$F605))</f>
        <v>799</v>
      </c>
      <c r="T605" s="46">
        <f>IF(VLOOKUP($C605,REV!$C:$AA,18,0)-'TRADE IN'!$F614=0,"",(VLOOKUP($C605,REV!$C:$AA,18,0)-'TRADE IN'!$F605))</f>
        <v>799</v>
      </c>
      <c r="U605" s="46">
        <f>IF(VLOOKUP($C605,REV!$C:$AA,19,0)-'TRADE IN'!$F614=0,"",(VLOOKUP($C605,REV!$C:$AA,19,0)-'TRADE IN'!$F605))</f>
        <v>799</v>
      </c>
      <c r="V605" s="46">
        <f>IF(VLOOKUP($C605,REV!$C:$AA,20,0)-'TRADE IN'!$F614=0,"",(VLOOKUP($C605,REV!$C:$AA,20,0)-'TRADE IN'!$F605))</f>
        <v>799</v>
      </c>
      <c r="W605" s="46">
        <f>IF(VLOOKUP($C605,REV!$C:$AA,21,0)-'TRADE IN'!$F614=0,"",(VLOOKUP($C605,REV!$C:$AA,21,0)-'TRADE IN'!$F605))</f>
        <v>799</v>
      </c>
      <c r="X605" s="46">
        <f>IF(VLOOKUP($C605,REV!$C:$AA,22,0)-'TRADE IN'!$F614=0,"",(VLOOKUP($C605,REV!$C:$AA,22,0)-'TRADE IN'!$F605))</f>
        <v>799</v>
      </c>
      <c r="Y605" s="46">
        <f>IF(VLOOKUP($C605,REV!$C:$AA,23,0)-'TRADE IN'!$F614=0,"",(VLOOKUP($C605,REV!$C:$AA,23,0)-'TRADE IN'!$F605))</f>
        <v>799</v>
      </c>
      <c r="Z605" s="46">
        <f>IF(VLOOKUP($C605,REV!$C:$AA,24,0)-'TRADE IN'!$F614=0,"",(VLOOKUP($C605,REV!$C:$AA,24,0)-'TRADE IN'!$F605))</f>
        <v>799</v>
      </c>
      <c r="AA605" s="46">
        <f>IF(VLOOKUP($C605,REV!$C:$AA,25,0)-'TRADE IN'!$F614=0,"",(VLOOKUP($C605,REV!$C:$AA,25,0)-'TRADE IN'!$F605))</f>
        <v>799</v>
      </c>
      <c r="AB605" s="46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7"/>
      <c r="AW605" s="48" t="str">
        <f>IF(REV!AW605=0,"",REV!AW605)</f>
        <v>31.03.2026</v>
      </c>
      <c r="AX605" s="159" t="s">
        <v>82</v>
      </c>
    </row>
    <row r="606" spans="1:50" ht="22.5" customHeight="1">
      <c r="A606" s="52" t="s">
        <v>70</v>
      </c>
      <c r="B606" s="41" t="s">
        <v>62</v>
      </c>
      <c r="C606" s="42">
        <v>4014708</v>
      </c>
      <c r="D606" s="44" t="s">
        <v>827</v>
      </c>
      <c r="E606" s="44" t="s">
        <v>831</v>
      </c>
      <c r="F606" s="45"/>
      <c r="G606" s="45"/>
      <c r="H606" s="45"/>
      <c r="I606" s="45"/>
      <c r="J606" s="46">
        <f>IF(VLOOKUP($C606,REV!$C:$AA,8,0)-'TRADE IN'!$F606=0,"",(VLOOKUP($C606,REV!$C:$AA,8,0)-'TRADE IN'!$F606))</f>
        <v>799</v>
      </c>
      <c r="K606" s="46">
        <f>IF(VLOOKUP($C606,REV!$C:$AA,9,0)-'TRADE IN'!$F606=0,"",(VLOOKUP($C606,REV!$C:$AA,9,0)-'TRADE IN'!$F606))</f>
        <v>799</v>
      </c>
      <c r="L606" s="46">
        <f>IF(VLOOKUP($C606,REV!$C:$AA,10,0)-'TRADE IN'!$F615=0,"",(VLOOKUP($C606,REV!$C:$AA,10,0)-'TRADE IN'!$F606))</f>
        <v>799</v>
      </c>
      <c r="M606" s="46">
        <f>IF(VLOOKUP($C606,REV!$C:$AA,11,0)-'TRADE IN'!$F615=0,"",(VLOOKUP($C606,REV!$C:$AA,11,0)-'TRADE IN'!$F606))</f>
        <v>799</v>
      </c>
      <c r="N606" s="46">
        <f>IF(VLOOKUP($C606,REV!$C:$AA,12,0)-'TRADE IN'!$F615=0,"",(VLOOKUP($C606,REV!$C:$AA,12,0)-'TRADE IN'!$F606))</f>
        <v>799</v>
      </c>
      <c r="O606" s="46">
        <f>IF(VLOOKUP($C606,REV!$C:$AA,13,0)-'TRADE IN'!$F615=0,"",(VLOOKUP($C606,REV!$C:$AA,13,0)-'TRADE IN'!$F606))</f>
        <v>799</v>
      </c>
      <c r="P606" s="46">
        <f>IF(VLOOKUP($C606,REV!$C:$AA,14,0)-'TRADE IN'!$F615=0,"",(VLOOKUP($C606,REV!$C:$AA,14,0)-'TRADE IN'!$F606))</f>
        <v>799</v>
      </c>
      <c r="Q606" s="46">
        <f>IF(VLOOKUP($C606,REV!$C:$AA,15,0)-'TRADE IN'!$F615=0,"",(VLOOKUP($C606,REV!$C:$AA,15,0)-'TRADE IN'!$F606))</f>
        <v>799</v>
      </c>
      <c r="R606" s="46">
        <f>IF(VLOOKUP($C606,REV!$C:$AA,16,0)-'TRADE IN'!$F615=0,"",(VLOOKUP($C606,REV!$C:$AA,16,0)-'TRADE IN'!$F606))</f>
        <v>799</v>
      </c>
      <c r="S606" s="46">
        <f>IF(VLOOKUP($C606,REV!$C:$AA,17,0)-'TRADE IN'!$F615=0,"",(VLOOKUP($C606,REV!$C:$AA,17,0)-'TRADE IN'!$F606))</f>
        <v>799</v>
      </c>
      <c r="T606" s="46">
        <f>IF(VLOOKUP($C606,REV!$C:$AA,18,0)-'TRADE IN'!$F615=0,"",(VLOOKUP($C606,REV!$C:$AA,18,0)-'TRADE IN'!$F606))</f>
        <v>799</v>
      </c>
      <c r="U606" s="46">
        <f>IF(VLOOKUP($C606,REV!$C:$AA,19,0)-'TRADE IN'!$F615=0,"",(VLOOKUP($C606,REV!$C:$AA,19,0)-'TRADE IN'!$F606))</f>
        <v>799</v>
      </c>
      <c r="V606" s="46">
        <f>IF(VLOOKUP($C606,REV!$C:$AA,20,0)-'TRADE IN'!$F615=0,"",(VLOOKUP($C606,REV!$C:$AA,20,0)-'TRADE IN'!$F606))</f>
        <v>799</v>
      </c>
      <c r="W606" s="46">
        <f>IF(VLOOKUP($C606,REV!$C:$AA,21,0)-'TRADE IN'!$F615=0,"",(VLOOKUP($C606,REV!$C:$AA,21,0)-'TRADE IN'!$F606))</f>
        <v>799</v>
      </c>
      <c r="X606" s="46">
        <f>IF(VLOOKUP($C606,REV!$C:$AA,22,0)-'TRADE IN'!$F615=0,"",(VLOOKUP($C606,REV!$C:$AA,22,0)-'TRADE IN'!$F606))</f>
        <v>799</v>
      </c>
      <c r="Y606" s="46">
        <f>IF(VLOOKUP($C606,REV!$C:$AA,23,0)-'TRADE IN'!$F615=0,"",(VLOOKUP($C606,REV!$C:$AA,23,0)-'TRADE IN'!$F606))</f>
        <v>799</v>
      </c>
      <c r="Z606" s="46">
        <f>IF(VLOOKUP($C606,REV!$C:$AA,24,0)-'TRADE IN'!$F615=0,"",(VLOOKUP($C606,REV!$C:$AA,24,0)-'TRADE IN'!$F606))</f>
        <v>799</v>
      </c>
      <c r="AA606" s="46">
        <f>IF(VLOOKUP($C606,REV!$C:$AA,25,0)-'TRADE IN'!$F615=0,"",(VLOOKUP($C606,REV!$C:$AA,25,0)-'TRADE IN'!$F606))</f>
        <v>799</v>
      </c>
      <c r="AB606" s="46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7"/>
      <c r="AW606" s="48" t="str">
        <f>IF(REV!AW606=0,"",REV!AW606)</f>
        <v>31.03.2026</v>
      </c>
      <c r="AX606" s="159" t="s">
        <v>82</v>
      </c>
    </row>
    <row r="607" spans="1:50" ht="22.5" customHeight="1">
      <c r="A607" s="52" t="s">
        <v>70</v>
      </c>
      <c r="B607" s="41" t="s">
        <v>62</v>
      </c>
      <c r="C607" s="42">
        <v>4014750</v>
      </c>
      <c r="D607" s="44" t="s">
        <v>827</v>
      </c>
      <c r="E607" s="44" t="s">
        <v>832</v>
      </c>
      <c r="F607" s="45"/>
      <c r="G607" s="45"/>
      <c r="H607" s="45"/>
      <c r="I607" s="45"/>
      <c r="J607" s="46">
        <f>IF(VLOOKUP($C607,REV!$C:$AA,8,0)-'TRADE IN'!$F607=0,"",(VLOOKUP($C607,REV!$C:$AA,8,0)-'TRADE IN'!$F607))</f>
        <v>799</v>
      </c>
      <c r="K607" s="46">
        <f>IF(VLOOKUP($C607,REV!$C:$AA,9,0)-'TRADE IN'!$F607=0,"",(VLOOKUP($C607,REV!$C:$AA,9,0)-'TRADE IN'!$F607))</f>
        <v>799</v>
      </c>
      <c r="L607" s="46">
        <f>IF(VLOOKUP($C607,REV!$C:$AA,10,0)-'TRADE IN'!$F616=0,"",(VLOOKUP($C607,REV!$C:$AA,10,0)-'TRADE IN'!$F607))</f>
        <v>799</v>
      </c>
      <c r="M607" s="46">
        <f>IF(VLOOKUP($C607,REV!$C:$AA,11,0)-'TRADE IN'!$F616=0,"",(VLOOKUP($C607,REV!$C:$AA,11,0)-'TRADE IN'!$F607))</f>
        <v>799</v>
      </c>
      <c r="N607" s="46">
        <f>IF(VLOOKUP($C607,REV!$C:$AA,12,0)-'TRADE IN'!$F616=0,"",(VLOOKUP($C607,REV!$C:$AA,12,0)-'TRADE IN'!$F607))</f>
        <v>799</v>
      </c>
      <c r="O607" s="46">
        <f>IF(VLOOKUP($C607,REV!$C:$AA,13,0)-'TRADE IN'!$F616=0,"",(VLOOKUP($C607,REV!$C:$AA,13,0)-'TRADE IN'!$F607))</f>
        <v>799</v>
      </c>
      <c r="P607" s="46">
        <f>IF(VLOOKUP($C607,REV!$C:$AA,14,0)-'TRADE IN'!$F616=0,"",(VLOOKUP($C607,REV!$C:$AA,14,0)-'TRADE IN'!$F607))</f>
        <v>799</v>
      </c>
      <c r="Q607" s="46">
        <f>IF(VLOOKUP($C607,REV!$C:$AA,15,0)-'TRADE IN'!$F616=0,"",(VLOOKUP($C607,REV!$C:$AA,15,0)-'TRADE IN'!$F607))</f>
        <v>799</v>
      </c>
      <c r="R607" s="46">
        <f>IF(VLOOKUP($C607,REV!$C:$AA,16,0)-'TRADE IN'!$F616=0,"",(VLOOKUP($C607,REV!$C:$AA,16,0)-'TRADE IN'!$F607))</f>
        <v>799</v>
      </c>
      <c r="S607" s="46">
        <f>IF(VLOOKUP($C607,REV!$C:$AA,17,0)-'TRADE IN'!$F616=0,"",(VLOOKUP($C607,REV!$C:$AA,17,0)-'TRADE IN'!$F607))</f>
        <v>799</v>
      </c>
      <c r="T607" s="46">
        <f>IF(VLOOKUP($C607,REV!$C:$AA,18,0)-'TRADE IN'!$F616=0,"",(VLOOKUP($C607,REV!$C:$AA,18,0)-'TRADE IN'!$F607))</f>
        <v>799</v>
      </c>
      <c r="U607" s="46">
        <f>IF(VLOOKUP($C607,REV!$C:$AA,19,0)-'TRADE IN'!$F616=0,"",(VLOOKUP($C607,REV!$C:$AA,19,0)-'TRADE IN'!$F607))</f>
        <v>799</v>
      </c>
      <c r="V607" s="46">
        <f>IF(VLOOKUP($C607,REV!$C:$AA,20,0)-'TRADE IN'!$F616=0,"",(VLOOKUP($C607,REV!$C:$AA,20,0)-'TRADE IN'!$F607))</f>
        <v>799</v>
      </c>
      <c r="W607" s="46">
        <f>IF(VLOOKUP($C607,REV!$C:$AA,21,0)-'TRADE IN'!$F616=0,"",(VLOOKUP($C607,REV!$C:$AA,21,0)-'TRADE IN'!$F607))</f>
        <v>799</v>
      </c>
      <c r="X607" s="46">
        <f>IF(VLOOKUP($C607,REV!$C:$AA,22,0)-'TRADE IN'!$F616=0,"",(VLOOKUP($C607,REV!$C:$AA,22,0)-'TRADE IN'!$F607))</f>
        <v>799</v>
      </c>
      <c r="Y607" s="46">
        <f>IF(VLOOKUP($C607,REV!$C:$AA,23,0)-'TRADE IN'!$F616=0,"",(VLOOKUP($C607,REV!$C:$AA,23,0)-'TRADE IN'!$F607))</f>
        <v>799</v>
      </c>
      <c r="Z607" s="46">
        <f>IF(VLOOKUP($C607,REV!$C:$AA,24,0)-'TRADE IN'!$F616=0,"",(VLOOKUP($C607,REV!$C:$AA,24,0)-'TRADE IN'!$F607))</f>
        <v>799</v>
      </c>
      <c r="AA607" s="46">
        <f>IF(VLOOKUP($C607,REV!$C:$AA,25,0)-'TRADE IN'!$F616=0,"",(VLOOKUP($C607,REV!$C:$AA,25,0)-'TRADE IN'!$F607))</f>
        <v>799</v>
      </c>
      <c r="AB607" s="46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7"/>
      <c r="AW607" s="48" t="str">
        <f>IF(REV!AW607=0,"",REV!AW607)</f>
        <v>31.03.2026</v>
      </c>
      <c r="AX607" s="159" t="s">
        <v>82</v>
      </c>
    </row>
    <row r="608" spans="1:50" ht="22.5" customHeight="1">
      <c r="A608" s="52" t="s">
        <v>70</v>
      </c>
      <c r="B608" s="41" t="s">
        <v>62</v>
      </c>
      <c r="C608" s="42">
        <v>4014737</v>
      </c>
      <c r="D608" s="44" t="s">
        <v>827</v>
      </c>
      <c r="E608" s="44" t="s">
        <v>833</v>
      </c>
      <c r="F608" s="45"/>
      <c r="G608" s="45"/>
      <c r="H608" s="45"/>
      <c r="I608" s="45"/>
      <c r="J608" s="46">
        <f>IF(VLOOKUP($C608,REV!$C:$AA,8,0)-'TRADE IN'!$F608=0,"",(VLOOKUP($C608,REV!$C:$AA,8,0)-'TRADE IN'!$F608))</f>
        <v>799</v>
      </c>
      <c r="K608" s="46">
        <f>IF(VLOOKUP($C608,REV!$C:$AA,9,0)-'TRADE IN'!$F608=0,"",(VLOOKUP($C608,REV!$C:$AA,9,0)-'TRADE IN'!$F608))</f>
        <v>799</v>
      </c>
      <c r="L608" s="46">
        <f>IF(VLOOKUP($C608,REV!$C:$AA,10,0)-'TRADE IN'!$F617=0,"",(VLOOKUP($C608,REV!$C:$AA,10,0)-'TRADE IN'!$F608))</f>
        <v>799</v>
      </c>
      <c r="M608" s="46">
        <f>IF(VLOOKUP($C608,REV!$C:$AA,11,0)-'TRADE IN'!$F617=0,"",(VLOOKUP($C608,REV!$C:$AA,11,0)-'TRADE IN'!$F608))</f>
        <v>799</v>
      </c>
      <c r="N608" s="46">
        <f>IF(VLOOKUP($C608,REV!$C:$AA,12,0)-'TRADE IN'!$F617=0,"",(VLOOKUP($C608,REV!$C:$AA,12,0)-'TRADE IN'!$F608))</f>
        <v>799</v>
      </c>
      <c r="O608" s="46">
        <f>IF(VLOOKUP($C608,REV!$C:$AA,13,0)-'TRADE IN'!$F617=0,"",(VLOOKUP($C608,REV!$C:$AA,13,0)-'TRADE IN'!$F608))</f>
        <v>799</v>
      </c>
      <c r="P608" s="46">
        <f>IF(VLOOKUP($C608,REV!$C:$AA,14,0)-'TRADE IN'!$F617=0,"",(VLOOKUP($C608,REV!$C:$AA,14,0)-'TRADE IN'!$F608))</f>
        <v>799</v>
      </c>
      <c r="Q608" s="46">
        <f>IF(VLOOKUP($C608,REV!$C:$AA,15,0)-'TRADE IN'!$F617=0,"",(VLOOKUP($C608,REV!$C:$AA,15,0)-'TRADE IN'!$F608))</f>
        <v>799</v>
      </c>
      <c r="R608" s="46">
        <f>IF(VLOOKUP($C608,REV!$C:$AA,16,0)-'TRADE IN'!$F617=0,"",(VLOOKUP($C608,REV!$C:$AA,16,0)-'TRADE IN'!$F608))</f>
        <v>799</v>
      </c>
      <c r="S608" s="46">
        <f>IF(VLOOKUP($C608,REV!$C:$AA,17,0)-'TRADE IN'!$F617=0,"",(VLOOKUP($C608,REV!$C:$AA,17,0)-'TRADE IN'!$F608))</f>
        <v>799</v>
      </c>
      <c r="T608" s="46">
        <f>IF(VLOOKUP($C608,REV!$C:$AA,18,0)-'TRADE IN'!$F617=0,"",(VLOOKUP($C608,REV!$C:$AA,18,0)-'TRADE IN'!$F608))</f>
        <v>799</v>
      </c>
      <c r="U608" s="46">
        <f>IF(VLOOKUP($C608,REV!$C:$AA,19,0)-'TRADE IN'!$F617=0,"",(VLOOKUP($C608,REV!$C:$AA,19,0)-'TRADE IN'!$F608))</f>
        <v>799</v>
      </c>
      <c r="V608" s="46">
        <f>IF(VLOOKUP($C608,REV!$C:$AA,20,0)-'TRADE IN'!$F617=0,"",(VLOOKUP($C608,REV!$C:$AA,20,0)-'TRADE IN'!$F608))</f>
        <v>799</v>
      </c>
      <c r="W608" s="46">
        <f>IF(VLOOKUP($C608,REV!$C:$AA,21,0)-'TRADE IN'!$F617=0,"",(VLOOKUP($C608,REV!$C:$AA,21,0)-'TRADE IN'!$F608))</f>
        <v>799</v>
      </c>
      <c r="X608" s="46">
        <f>IF(VLOOKUP($C608,REV!$C:$AA,22,0)-'TRADE IN'!$F617=0,"",(VLOOKUP($C608,REV!$C:$AA,22,0)-'TRADE IN'!$F608))</f>
        <v>799</v>
      </c>
      <c r="Y608" s="46">
        <f>IF(VLOOKUP($C608,REV!$C:$AA,23,0)-'TRADE IN'!$F617=0,"",(VLOOKUP($C608,REV!$C:$AA,23,0)-'TRADE IN'!$F608))</f>
        <v>799</v>
      </c>
      <c r="Z608" s="46">
        <f>IF(VLOOKUP($C608,REV!$C:$AA,24,0)-'TRADE IN'!$F617=0,"",(VLOOKUP($C608,REV!$C:$AA,24,0)-'TRADE IN'!$F608))</f>
        <v>799</v>
      </c>
      <c r="AA608" s="46">
        <f>IF(VLOOKUP($C608,REV!$C:$AA,25,0)-'TRADE IN'!$F617=0,"",(VLOOKUP($C608,REV!$C:$AA,25,0)-'TRADE IN'!$F608))</f>
        <v>799</v>
      </c>
      <c r="AB608" s="46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7"/>
      <c r="AW608" s="48" t="str">
        <f>IF(REV!AW608=0,"",REV!AW608)</f>
        <v>31.03.2026</v>
      </c>
      <c r="AX608" s="159" t="s">
        <v>82</v>
      </c>
    </row>
    <row r="609" spans="1:50" ht="22.5" customHeight="1">
      <c r="A609" s="52" t="s">
        <v>70</v>
      </c>
      <c r="B609" s="41" t="s">
        <v>62</v>
      </c>
      <c r="C609" s="42">
        <v>4014746</v>
      </c>
      <c r="D609" s="44" t="s">
        <v>827</v>
      </c>
      <c r="E609" s="44" t="s">
        <v>834</v>
      </c>
      <c r="F609" s="45"/>
      <c r="G609" s="45"/>
      <c r="H609" s="45"/>
      <c r="I609" s="45"/>
      <c r="J609" s="46">
        <f>IF(VLOOKUP($C609,REV!$C:$AA,8,0)-'TRADE IN'!$F609=0,"",(VLOOKUP($C609,REV!$C:$AA,8,0)-'TRADE IN'!$F609))</f>
        <v>799</v>
      </c>
      <c r="K609" s="46">
        <f>IF(VLOOKUP($C609,REV!$C:$AA,9,0)-'TRADE IN'!$F609=0,"",(VLOOKUP($C609,REV!$C:$AA,9,0)-'TRADE IN'!$F609))</f>
        <v>799</v>
      </c>
      <c r="L609" s="46">
        <f>IF(VLOOKUP($C609,REV!$C:$AA,10,0)-'TRADE IN'!$F618=0,"",(VLOOKUP($C609,REV!$C:$AA,10,0)-'TRADE IN'!$F609))</f>
        <v>799</v>
      </c>
      <c r="M609" s="46">
        <f>IF(VLOOKUP($C609,REV!$C:$AA,11,0)-'TRADE IN'!$F618=0,"",(VLOOKUP($C609,REV!$C:$AA,11,0)-'TRADE IN'!$F609))</f>
        <v>799</v>
      </c>
      <c r="N609" s="46">
        <f>IF(VLOOKUP($C609,REV!$C:$AA,12,0)-'TRADE IN'!$F618=0,"",(VLOOKUP($C609,REV!$C:$AA,12,0)-'TRADE IN'!$F609))</f>
        <v>799</v>
      </c>
      <c r="O609" s="46">
        <f>IF(VLOOKUP($C609,REV!$C:$AA,13,0)-'TRADE IN'!$F618=0,"",(VLOOKUP($C609,REV!$C:$AA,13,0)-'TRADE IN'!$F609))</f>
        <v>799</v>
      </c>
      <c r="P609" s="46">
        <f>IF(VLOOKUP($C609,REV!$C:$AA,14,0)-'TRADE IN'!$F618=0,"",(VLOOKUP($C609,REV!$C:$AA,14,0)-'TRADE IN'!$F609))</f>
        <v>799</v>
      </c>
      <c r="Q609" s="46">
        <f>IF(VLOOKUP($C609,REV!$C:$AA,15,0)-'TRADE IN'!$F618=0,"",(VLOOKUP($C609,REV!$C:$AA,15,0)-'TRADE IN'!$F609))</f>
        <v>799</v>
      </c>
      <c r="R609" s="46">
        <f>IF(VLOOKUP($C609,REV!$C:$AA,16,0)-'TRADE IN'!$F618=0,"",(VLOOKUP($C609,REV!$C:$AA,16,0)-'TRADE IN'!$F609))</f>
        <v>799</v>
      </c>
      <c r="S609" s="46">
        <f>IF(VLOOKUP($C609,REV!$C:$AA,17,0)-'TRADE IN'!$F618=0,"",(VLOOKUP($C609,REV!$C:$AA,17,0)-'TRADE IN'!$F609))</f>
        <v>799</v>
      </c>
      <c r="T609" s="46">
        <f>IF(VLOOKUP($C609,REV!$C:$AA,18,0)-'TRADE IN'!$F618=0,"",(VLOOKUP($C609,REV!$C:$AA,18,0)-'TRADE IN'!$F609))</f>
        <v>799</v>
      </c>
      <c r="U609" s="46">
        <f>IF(VLOOKUP($C609,REV!$C:$AA,19,0)-'TRADE IN'!$F618=0,"",(VLOOKUP($C609,REV!$C:$AA,19,0)-'TRADE IN'!$F609))</f>
        <v>799</v>
      </c>
      <c r="V609" s="46">
        <f>IF(VLOOKUP($C609,REV!$C:$AA,20,0)-'TRADE IN'!$F618=0,"",(VLOOKUP($C609,REV!$C:$AA,20,0)-'TRADE IN'!$F609))</f>
        <v>799</v>
      </c>
      <c r="W609" s="46">
        <f>IF(VLOOKUP($C609,REV!$C:$AA,21,0)-'TRADE IN'!$F618=0,"",(VLOOKUP($C609,REV!$C:$AA,21,0)-'TRADE IN'!$F609))</f>
        <v>799</v>
      </c>
      <c r="X609" s="46">
        <f>IF(VLOOKUP($C609,REV!$C:$AA,22,0)-'TRADE IN'!$F618=0,"",(VLOOKUP($C609,REV!$C:$AA,22,0)-'TRADE IN'!$F609))</f>
        <v>799</v>
      </c>
      <c r="Y609" s="46">
        <f>IF(VLOOKUP($C609,REV!$C:$AA,23,0)-'TRADE IN'!$F618=0,"",(VLOOKUP($C609,REV!$C:$AA,23,0)-'TRADE IN'!$F609))</f>
        <v>799</v>
      </c>
      <c r="Z609" s="46">
        <f>IF(VLOOKUP($C609,REV!$C:$AA,24,0)-'TRADE IN'!$F618=0,"",(VLOOKUP($C609,REV!$C:$AA,24,0)-'TRADE IN'!$F609))</f>
        <v>799</v>
      </c>
      <c r="AA609" s="46">
        <f>IF(VLOOKUP($C609,REV!$C:$AA,25,0)-'TRADE IN'!$F618=0,"",(VLOOKUP($C609,REV!$C:$AA,25,0)-'TRADE IN'!$F609))</f>
        <v>799</v>
      </c>
      <c r="AB609" s="46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7"/>
      <c r="AW609" s="48" t="str">
        <f>IF(REV!AW609=0,"",REV!AW609)</f>
        <v>31.03.2026</v>
      </c>
      <c r="AX609" s="159" t="s">
        <v>82</v>
      </c>
    </row>
    <row r="610" spans="1:50" ht="22.5" customHeight="1">
      <c r="A610" s="52" t="s">
        <v>70</v>
      </c>
      <c r="B610" s="41" t="s">
        <v>62</v>
      </c>
      <c r="C610" s="42">
        <v>4014733</v>
      </c>
      <c r="D610" s="44" t="s">
        <v>827</v>
      </c>
      <c r="E610" s="44" t="s">
        <v>835</v>
      </c>
      <c r="F610" s="45"/>
      <c r="G610" s="45"/>
      <c r="H610" s="45"/>
      <c r="I610" s="45"/>
      <c r="J610" s="46">
        <f>IF(VLOOKUP($C610,REV!$C:$AA,8,0)-'TRADE IN'!$F610=0,"",(VLOOKUP($C610,REV!$C:$AA,8,0)-'TRADE IN'!$F610))</f>
        <v>799</v>
      </c>
      <c r="K610" s="46">
        <f>IF(VLOOKUP($C610,REV!$C:$AA,9,0)-'TRADE IN'!$F610=0,"",(VLOOKUP($C610,REV!$C:$AA,9,0)-'TRADE IN'!$F610))</f>
        <v>799</v>
      </c>
      <c r="L610" s="46">
        <f>IF(VLOOKUP($C610,REV!$C:$AA,10,0)-'TRADE IN'!$F619=0,"",(VLOOKUP($C610,REV!$C:$AA,10,0)-'TRADE IN'!$F610))</f>
        <v>799</v>
      </c>
      <c r="M610" s="46">
        <f>IF(VLOOKUP($C610,REV!$C:$AA,11,0)-'TRADE IN'!$F619=0,"",(VLOOKUP($C610,REV!$C:$AA,11,0)-'TRADE IN'!$F610))</f>
        <v>799</v>
      </c>
      <c r="N610" s="46">
        <f>IF(VLOOKUP($C610,REV!$C:$AA,12,0)-'TRADE IN'!$F619=0,"",(VLOOKUP($C610,REV!$C:$AA,12,0)-'TRADE IN'!$F610))</f>
        <v>799</v>
      </c>
      <c r="O610" s="46">
        <f>IF(VLOOKUP($C610,REV!$C:$AA,13,0)-'TRADE IN'!$F619=0,"",(VLOOKUP($C610,REV!$C:$AA,13,0)-'TRADE IN'!$F610))</f>
        <v>799</v>
      </c>
      <c r="P610" s="46">
        <f>IF(VLOOKUP($C610,REV!$C:$AA,14,0)-'TRADE IN'!$F619=0,"",(VLOOKUP($C610,REV!$C:$AA,14,0)-'TRADE IN'!$F610))</f>
        <v>799</v>
      </c>
      <c r="Q610" s="46">
        <f>IF(VLOOKUP($C610,REV!$C:$AA,15,0)-'TRADE IN'!$F619=0,"",(VLOOKUP($C610,REV!$C:$AA,15,0)-'TRADE IN'!$F610))</f>
        <v>799</v>
      </c>
      <c r="R610" s="46">
        <f>IF(VLOOKUP($C610,REV!$C:$AA,16,0)-'TRADE IN'!$F619=0,"",(VLOOKUP($C610,REV!$C:$AA,16,0)-'TRADE IN'!$F610))</f>
        <v>799</v>
      </c>
      <c r="S610" s="46">
        <f>IF(VLOOKUP($C610,REV!$C:$AA,17,0)-'TRADE IN'!$F619=0,"",(VLOOKUP($C610,REV!$C:$AA,17,0)-'TRADE IN'!$F610))</f>
        <v>799</v>
      </c>
      <c r="T610" s="46">
        <f>IF(VLOOKUP($C610,REV!$C:$AA,18,0)-'TRADE IN'!$F619=0,"",(VLOOKUP($C610,REV!$C:$AA,18,0)-'TRADE IN'!$F610))</f>
        <v>799</v>
      </c>
      <c r="U610" s="46">
        <f>IF(VLOOKUP($C610,REV!$C:$AA,19,0)-'TRADE IN'!$F619=0,"",(VLOOKUP($C610,REV!$C:$AA,19,0)-'TRADE IN'!$F610))</f>
        <v>799</v>
      </c>
      <c r="V610" s="46">
        <f>IF(VLOOKUP($C610,REV!$C:$AA,20,0)-'TRADE IN'!$F619=0,"",(VLOOKUP($C610,REV!$C:$AA,20,0)-'TRADE IN'!$F610))</f>
        <v>799</v>
      </c>
      <c r="W610" s="46">
        <f>IF(VLOOKUP($C610,REV!$C:$AA,21,0)-'TRADE IN'!$F619=0,"",(VLOOKUP($C610,REV!$C:$AA,21,0)-'TRADE IN'!$F610))</f>
        <v>799</v>
      </c>
      <c r="X610" s="46">
        <f>IF(VLOOKUP($C610,REV!$C:$AA,22,0)-'TRADE IN'!$F619=0,"",(VLOOKUP($C610,REV!$C:$AA,22,0)-'TRADE IN'!$F610))</f>
        <v>799</v>
      </c>
      <c r="Y610" s="46">
        <f>IF(VLOOKUP($C610,REV!$C:$AA,23,0)-'TRADE IN'!$F619=0,"",(VLOOKUP($C610,REV!$C:$AA,23,0)-'TRADE IN'!$F610))</f>
        <v>799</v>
      </c>
      <c r="Z610" s="46">
        <f>IF(VLOOKUP($C610,REV!$C:$AA,24,0)-'TRADE IN'!$F619=0,"",(VLOOKUP($C610,REV!$C:$AA,24,0)-'TRADE IN'!$F610))</f>
        <v>799</v>
      </c>
      <c r="AA610" s="46">
        <f>IF(VLOOKUP($C610,REV!$C:$AA,25,0)-'TRADE IN'!$F619=0,"",(VLOOKUP($C610,REV!$C:$AA,25,0)-'TRADE IN'!$F610))</f>
        <v>799</v>
      </c>
      <c r="AB610" s="46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7"/>
      <c r="AW610" s="48" t="str">
        <f>IF(REV!AW610=0,"",REV!AW610)</f>
        <v>31.03.2026</v>
      </c>
      <c r="AX610" s="159" t="s">
        <v>82</v>
      </c>
    </row>
    <row r="611" spans="1:50" ht="22.5" customHeight="1">
      <c r="A611" s="52" t="s">
        <v>70</v>
      </c>
      <c r="B611" s="41" t="s">
        <v>62</v>
      </c>
      <c r="C611" s="42">
        <v>4014987</v>
      </c>
      <c r="D611" s="44" t="s">
        <v>827</v>
      </c>
      <c r="E611" s="44" t="s">
        <v>836</v>
      </c>
      <c r="F611" s="45"/>
      <c r="G611" s="45"/>
      <c r="H611" s="45"/>
      <c r="I611" s="45"/>
      <c r="J611" s="46">
        <f>IF(VLOOKUP($C611,REV!$C:$AA,8,0)-'TRADE IN'!$F611=0,"",(VLOOKUP($C611,REV!$C:$AA,8,0)-'TRADE IN'!$F611))</f>
        <v>799</v>
      </c>
      <c r="K611" s="46">
        <f>IF(VLOOKUP($C611,REV!$C:$AA,9,0)-'TRADE IN'!$F611=0,"",(VLOOKUP($C611,REV!$C:$AA,9,0)-'TRADE IN'!$F611))</f>
        <v>799</v>
      </c>
      <c r="L611" s="46">
        <f>IF(VLOOKUP($C611,REV!$C:$AA,10,0)-'TRADE IN'!$F620=0,"",(VLOOKUP($C611,REV!$C:$AA,10,0)-'TRADE IN'!$F611))</f>
        <v>799</v>
      </c>
      <c r="M611" s="46">
        <f>IF(VLOOKUP($C611,REV!$C:$AA,11,0)-'TRADE IN'!$F620=0,"",(VLOOKUP($C611,REV!$C:$AA,11,0)-'TRADE IN'!$F611))</f>
        <v>799</v>
      </c>
      <c r="N611" s="46">
        <f>IF(VLOOKUP($C611,REV!$C:$AA,12,0)-'TRADE IN'!$F620=0,"",(VLOOKUP($C611,REV!$C:$AA,12,0)-'TRADE IN'!$F611))</f>
        <v>799</v>
      </c>
      <c r="O611" s="46">
        <f>IF(VLOOKUP($C611,REV!$C:$AA,13,0)-'TRADE IN'!$F620=0,"",(VLOOKUP($C611,REV!$C:$AA,13,0)-'TRADE IN'!$F611))</f>
        <v>799</v>
      </c>
      <c r="P611" s="46">
        <f>IF(VLOOKUP($C611,REV!$C:$AA,14,0)-'TRADE IN'!$F620=0,"",(VLOOKUP($C611,REV!$C:$AA,14,0)-'TRADE IN'!$F611))</f>
        <v>799</v>
      </c>
      <c r="Q611" s="46">
        <f>IF(VLOOKUP($C611,REV!$C:$AA,15,0)-'TRADE IN'!$F620=0,"",(VLOOKUP($C611,REV!$C:$AA,15,0)-'TRADE IN'!$F611))</f>
        <v>799</v>
      </c>
      <c r="R611" s="46">
        <f>IF(VLOOKUP($C611,REV!$C:$AA,16,0)-'TRADE IN'!$F620=0,"",(VLOOKUP($C611,REV!$C:$AA,16,0)-'TRADE IN'!$F611))</f>
        <v>799</v>
      </c>
      <c r="S611" s="46">
        <f>IF(VLOOKUP($C611,REV!$C:$AA,17,0)-'TRADE IN'!$F620=0,"",(VLOOKUP($C611,REV!$C:$AA,17,0)-'TRADE IN'!$F611))</f>
        <v>799</v>
      </c>
      <c r="T611" s="46">
        <f>IF(VLOOKUP($C611,REV!$C:$AA,18,0)-'TRADE IN'!$F620=0,"",(VLOOKUP($C611,REV!$C:$AA,18,0)-'TRADE IN'!$F611))</f>
        <v>799</v>
      </c>
      <c r="U611" s="46">
        <f>IF(VLOOKUP($C611,REV!$C:$AA,19,0)-'TRADE IN'!$F620=0,"",(VLOOKUP($C611,REV!$C:$AA,19,0)-'TRADE IN'!$F611))</f>
        <v>799</v>
      </c>
      <c r="V611" s="46">
        <f>IF(VLOOKUP($C611,REV!$C:$AA,20,0)-'TRADE IN'!$F620=0,"",(VLOOKUP($C611,REV!$C:$AA,20,0)-'TRADE IN'!$F611))</f>
        <v>799</v>
      </c>
      <c r="W611" s="46">
        <f>IF(VLOOKUP($C611,REV!$C:$AA,21,0)-'TRADE IN'!$F620=0,"",(VLOOKUP($C611,REV!$C:$AA,21,0)-'TRADE IN'!$F611))</f>
        <v>799</v>
      </c>
      <c r="X611" s="46">
        <f>IF(VLOOKUP($C611,REV!$C:$AA,22,0)-'TRADE IN'!$F620=0,"",(VLOOKUP($C611,REV!$C:$AA,22,0)-'TRADE IN'!$F611))</f>
        <v>799</v>
      </c>
      <c r="Y611" s="46">
        <f>IF(VLOOKUP($C611,REV!$C:$AA,23,0)-'TRADE IN'!$F620=0,"",(VLOOKUP($C611,REV!$C:$AA,23,0)-'TRADE IN'!$F611))</f>
        <v>799</v>
      </c>
      <c r="Z611" s="46">
        <f>IF(VLOOKUP($C611,REV!$C:$AA,24,0)-'TRADE IN'!$F620=0,"",(VLOOKUP($C611,REV!$C:$AA,24,0)-'TRADE IN'!$F611))</f>
        <v>799</v>
      </c>
      <c r="AA611" s="46">
        <f>IF(VLOOKUP($C611,REV!$C:$AA,25,0)-'TRADE IN'!$F620=0,"",(VLOOKUP($C611,REV!$C:$AA,25,0)-'TRADE IN'!$F611))</f>
        <v>799</v>
      </c>
      <c r="AB611" s="46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7"/>
      <c r="AW611" s="48" t="str">
        <f>IF(REV!AW611=0,"",REV!AW611)</f>
        <v>31.03.2026</v>
      </c>
      <c r="AX611" s="159" t="s">
        <v>82</v>
      </c>
    </row>
    <row r="612" spans="1:50" ht="22.5" customHeight="1">
      <c r="A612" s="52" t="s">
        <v>70</v>
      </c>
      <c r="B612" s="41" t="s">
        <v>62</v>
      </c>
      <c r="C612" s="42">
        <v>4015527</v>
      </c>
      <c r="D612" s="44" t="s">
        <v>827</v>
      </c>
      <c r="E612" s="44" t="s">
        <v>837</v>
      </c>
      <c r="F612" s="45"/>
      <c r="G612" s="45"/>
      <c r="H612" s="45"/>
      <c r="I612" s="45"/>
      <c r="J612" s="46">
        <f>IF(VLOOKUP($C612,REV!$C:$AA,8,0)-'TRADE IN'!$F612=0,"",(VLOOKUP($C612,REV!$C:$AA,8,0)-'TRADE IN'!$F612))</f>
        <v>799</v>
      </c>
      <c r="K612" s="46">
        <f>IF(VLOOKUP($C612,REV!$C:$AA,9,0)-'TRADE IN'!$F612=0,"",(VLOOKUP($C612,REV!$C:$AA,9,0)-'TRADE IN'!$F612))</f>
        <v>799</v>
      </c>
      <c r="L612" s="46">
        <f>IF(VLOOKUP($C612,REV!$C:$AA,10,0)-'TRADE IN'!$F621=0,"",(VLOOKUP($C612,REV!$C:$AA,10,0)-'TRADE IN'!$F612))</f>
        <v>799</v>
      </c>
      <c r="M612" s="46">
        <f>IF(VLOOKUP($C612,REV!$C:$AA,11,0)-'TRADE IN'!$F621=0,"",(VLOOKUP($C612,REV!$C:$AA,11,0)-'TRADE IN'!$F612))</f>
        <v>799</v>
      </c>
      <c r="N612" s="46">
        <f>IF(VLOOKUP($C612,REV!$C:$AA,12,0)-'TRADE IN'!$F621=0,"",(VLOOKUP($C612,REV!$C:$AA,12,0)-'TRADE IN'!$F612))</f>
        <v>799</v>
      </c>
      <c r="O612" s="46">
        <f>IF(VLOOKUP($C612,REV!$C:$AA,13,0)-'TRADE IN'!$F621=0,"",(VLOOKUP($C612,REV!$C:$AA,13,0)-'TRADE IN'!$F612))</f>
        <v>799</v>
      </c>
      <c r="P612" s="46">
        <f>IF(VLOOKUP($C612,REV!$C:$AA,14,0)-'TRADE IN'!$F621=0,"",(VLOOKUP($C612,REV!$C:$AA,14,0)-'TRADE IN'!$F612))</f>
        <v>799</v>
      </c>
      <c r="Q612" s="46">
        <f>IF(VLOOKUP($C612,REV!$C:$AA,15,0)-'TRADE IN'!$F621=0,"",(VLOOKUP($C612,REV!$C:$AA,15,0)-'TRADE IN'!$F612))</f>
        <v>799</v>
      </c>
      <c r="R612" s="46">
        <f>IF(VLOOKUP($C612,REV!$C:$AA,16,0)-'TRADE IN'!$F621=0,"",(VLOOKUP($C612,REV!$C:$AA,16,0)-'TRADE IN'!$F612))</f>
        <v>799</v>
      </c>
      <c r="S612" s="46">
        <f>IF(VLOOKUP($C612,REV!$C:$AA,17,0)-'TRADE IN'!$F621=0,"",(VLOOKUP($C612,REV!$C:$AA,17,0)-'TRADE IN'!$F612))</f>
        <v>799</v>
      </c>
      <c r="T612" s="46">
        <f>IF(VLOOKUP($C612,REV!$C:$AA,18,0)-'TRADE IN'!$F621=0,"",(VLOOKUP($C612,REV!$C:$AA,18,0)-'TRADE IN'!$F612))</f>
        <v>799</v>
      </c>
      <c r="U612" s="46">
        <f>IF(VLOOKUP($C612,REV!$C:$AA,19,0)-'TRADE IN'!$F621=0,"",(VLOOKUP($C612,REV!$C:$AA,19,0)-'TRADE IN'!$F612))</f>
        <v>799</v>
      </c>
      <c r="V612" s="46">
        <f>IF(VLOOKUP($C612,REV!$C:$AA,20,0)-'TRADE IN'!$F621=0,"",(VLOOKUP($C612,REV!$C:$AA,20,0)-'TRADE IN'!$F612))</f>
        <v>799</v>
      </c>
      <c r="W612" s="46">
        <f>IF(VLOOKUP($C612,REV!$C:$AA,21,0)-'TRADE IN'!$F621=0,"",(VLOOKUP($C612,REV!$C:$AA,21,0)-'TRADE IN'!$F612))</f>
        <v>799</v>
      </c>
      <c r="X612" s="46">
        <f>IF(VLOOKUP($C612,REV!$C:$AA,22,0)-'TRADE IN'!$F621=0,"",(VLOOKUP($C612,REV!$C:$AA,22,0)-'TRADE IN'!$F612))</f>
        <v>799</v>
      </c>
      <c r="Y612" s="46">
        <f>IF(VLOOKUP($C612,REV!$C:$AA,23,0)-'TRADE IN'!$F621=0,"",(VLOOKUP($C612,REV!$C:$AA,23,0)-'TRADE IN'!$F612))</f>
        <v>799</v>
      </c>
      <c r="Z612" s="46">
        <f>IF(VLOOKUP($C612,REV!$C:$AA,24,0)-'TRADE IN'!$F621=0,"",(VLOOKUP($C612,REV!$C:$AA,24,0)-'TRADE IN'!$F612))</f>
        <v>799</v>
      </c>
      <c r="AA612" s="46">
        <f>IF(VLOOKUP($C612,REV!$C:$AA,25,0)-'TRADE IN'!$F621=0,"",(VLOOKUP($C612,REV!$C:$AA,25,0)-'TRADE IN'!$F612))</f>
        <v>799</v>
      </c>
      <c r="AB612" s="46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7"/>
      <c r="AW612" s="48" t="str">
        <f>IF(REV!AW612=0,"",REV!AW612)</f>
        <v>31.03.2026</v>
      </c>
      <c r="AX612" s="159" t="s">
        <v>82</v>
      </c>
    </row>
    <row r="613" spans="1:50" ht="22.5" customHeight="1">
      <c r="A613" s="52" t="s">
        <v>70</v>
      </c>
      <c r="B613" s="41" t="s">
        <v>62</v>
      </c>
      <c r="C613" s="42">
        <v>4015523</v>
      </c>
      <c r="D613" s="44" t="s">
        <v>827</v>
      </c>
      <c r="E613" s="44" t="s">
        <v>838</v>
      </c>
      <c r="F613" s="45"/>
      <c r="G613" s="45"/>
      <c r="H613" s="45"/>
      <c r="I613" s="45"/>
      <c r="J613" s="46">
        <f>IF(VLOOKUP($C613,REV!$C:$AA,8,0)-'TRADE IN'!$F613=0,"",(VLOOKUP($C613,REV!$C:$AA,8,0)-'TRADE IN'!$F613))</f>
        <v>799</v>
      </c>
      <c r="K613" s="46">
        <f>IF(VLOOKUP($C613,REV!$C:$AA,9,0)-'TRADE IN'!$F613=0,"",(VLOOKUP($C613,REV!$C:$AA,9,0)-'TRADE IN'!$F613))</f>
        <v>799</v>
      </c>
      <c r="L613" s="46">
        <f>IF(VLOOKUP($C613,REV!$C:$AA,10,0)-'TRADE IN'!$F622=0,"",(VLOOKUP($C613,REV!$C:$AA,10,0)-'TRADE IN'!$F613))</f>
        <v>799</v>
      </c>
      <c r="M613" s="46">
        <f>IF(VLOOKUP($C613,REV!$C:$AA,11,0)-'TRADE IN'!$F622=0,"",(VLOOKUP($C613,REV!$C:$AA,11,0)-'TRADE IN'!$F613))</f>
        <v>799</v>
      </c>
      <c r="N613" s="46">
        <f>IF(VLOOKUP($C613,REV!$C:$AA,12,0)-'TRADE IN'!$F622=0,"",(VLOOKUP($C613,REV!$C:$AA,12,0)-'TRADE IN'!$F613))</f>
        <v>799</v>
      </c>
      <c r="O613" s="46">
        <f>IF(VLOOKUP($C613,REV!$C:$AA,13,0)-'TRADE IN'!$F622=0,"",(VLOOKUP($C613,REV!$C:$AA,13,0)-'TRADE IN'!$F613))</f>
        <v>799</v>
      </c>
      <c r="P613" s="46">
        <f>IF(VLOOKUP($C613,REV!$C:$AA,14,0)-'TRADE IN'!$F622=0,"",(VLOOKUP($C613,REV!$C:$AA,14,0)-'TRADE IN'!$F613))</f>
        <v>799</v>
      </c>
      <c r="Q613" s="46">
        <f>IF(VLOOKUP($C613,REV!$C:$AA,15,0)-'TRADE IN'!$F622=0,"",(VLOOKUP($C613,REV!$C:$AA,15,0)-'TRADE IN'!$F613))</f>
        <v>799</v>
      </c>
      <c r="R613" s="46">
        <f>IF(VLOOKUP($C613,REV!$C:$AA,16,0)-'TRADE IN'!$F622=0,"",(VLOOKUP($C613,REV!$C:$AA,16,0)-'TRADE IN'!$F613))</f>
        <v>799</v>
      </c>
      <c r="S613" s="46">
        <f>IF(VLOOKUP($C613,REV!$C:$AA,17,0)-'TRADE IN'!$F622=0,"",(VLOOKUP($C613,REV!$C:$AA,17,0)-'TRADE IN'!$F613))</f>
        <v>799</v>
      </c>
      <c r="T613" s="46">
        <f>IF(VLOOKUP($C613,REV!$C:$AA,18,0)-'TRADE IN'!$F622=0,"",(VLOOKUP($C613,REV!$C:$AA,18,0)-'TRADE IN'!$F613))</f>
        <v>799</v>
      </c>
      <c r="U613" s="46">
        <f>IF(VLOOKUP($C613,REV!$C:$AA,19,0)-'TRADE IN'!$F622=0,"",(VLOOKUP($C613,REV!$C:$AA,19,0)-'TRADE IN'!$F613))</f>
        <v>799</v>
      </c>
      <c r="V613" s="46">
        <f>IF(VLOOKUP($C613,REV!$C:$AA,20,0)-'TRADE IN'!$F622=0,"",(VLOOKUP($C613,REV!$C:$AA,20,0)-'TRADE IN'!$F613))</f>
        <v>799</v>
      </c>
      <c r="W613" s="46">
        <f>IF(VLOOKUP($C613,REV!$C:$AA,21,0)-'TRADE IN'!$F622=0,"",(VLOOKUP($C613,REV!$C:$AA,21,0)-'TRADE IN'!$F613))</f>
        <v>799</v>
      </c>
      <c r="X613" s="46">
        <f>IF(VLOOKUP($C613,REV!$C:$AA,22,0)-'TRADE IN'!$F622=0,"",(VLOOKUP($C613,REV!$C:$AA,22,0)-'TRADE IN'!$F613))</f>
        <v>799</v>
      </c>
      <c r="Y613" s="46">
        <f>IF(VLOOKUP($C613,REV!$C:$AA,23,0)-'TRADE IN'!$F622=0,"",(VLOOKUP($C613,REV!$C:$AA,23,0)-'TRADE IN'!$F613))</f>
        <v>799</v>
      </c>
      <c r="Z613" s="46">
        <f>IF(VLOOKUP($C613,REV!$C:$AA,24,0)-'TRADE IN'!$F622=0,"",(VLOOKUP($C613,REV!$C:$AA,24,0)-'TRADE IN'!$F613))</f>
        <v>799</v>
      </c>
      <c r="AA613" s="46">
        <f>IF(VLOOKUP($C613,REV!$C:$AA,25,0)-'TRADE IN'!$F622=0,"",(VLOOKUP($C613,REV!$C:$AA,25,0)-'TRADE IN'!$F613))</f>
        <v>799</v>
      </c>
      <c r="AB613" s="46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7"/>
      <c r="AW613" s="48" t="str">
        <f>IF(REV!AW613=0,"",REV!AW613)</f>
        <v>31.03.2026</v>
      </c>
      <c r="AX613" s="159" t="s">
        <v>82</v>
      </c>
    </row>
    <row r="614" spans="1:50" ht="22.5" customHeight="1">
      <c r="A614" s="52" t="s">
        <v>70</v>
      </c>
      <c r="B614" s="41" t="s">
        <v>62</v>
      </c>
      <c r="C614" s="42">
        <v>4015522</v>
      </c>
      <c r="D614" s="44" t="s">
        <v>827</v>
      </c>
      <c r="E614" s="44" t="s">
        <v>839</v>
      </c>
      <c r="F614" s="45"/>
      <c r="G614" s="45"/>
      <c r="H614" s="45"/>
      <c r="I614" s="45"/>
      <c r="J614" s="46">
        <f>IF(VLOOKUP($C614,REV!$C:$AA,8,0)-'TRADE IN'!$F614=0,"",(VLOOKUP($C614,REV!$C:$AA,8,0)-'TRADE IN'!$F614))</f>
        <v>799</v>
      </c>
      <c r="K614" s="46">
        <f>IF(VLOOKUP($C614,REV!$C:$AA,9,0)-'TRADE IN'!$F614=0,"",(VLOOKUP($C614,REV!$C:$AA,9,0)-'TRADE IN'!$F614))</f>
        <v>799</v>
      </c>
      <c r="L614" s="46">
        <f>IF(VLOOKUP($C614,REV!$C:$AA,10,0)-'TRADE IN'!$F623=0,"",(VLOOKUP($C614,REV!$C:$AA,10,0)-'TRADE IN'!$F614))</f>
        <v>799</v>
      </c>
      <c r="M614" s="46">
        <f>IF(VLOOKUP($C614,REV!$C:$AA,11,0)-'TRADE IN'!$F623=0,"",(VLOOKUP($C614,REV!$C:$AA,11,0)-'TRADE IN'!$F614))</f>
        <v>799</v>
      </c>
      <c r="N614" s="46">
        <f>IF(VLOOKUP($C614,REV!$C:$AA,12,0)-'TRADE IN'!$F623=0,"",(VLOOKUP($C614,REV!$C:$AA,12,0)-'TRADE IN'!$F614))</f>
        <v>799</v>
      </c>
      <c r="O614" s="46">
        <f>IF(VLOOKUP($C614,REV!$C:$AA,13,0)-'TRADE IN'!$F623=0,"",(VLOOKUP($C614,REV!$C:$AA,13,0)-'TRADE IN'!$F614))</f>
        <v>799</v>
      </c>
      <c r="P614" s="46">
        <f>IF(VLOOKUP($C614,REV!$C:$AA,14,0)-'TRADE IN'!$F623=0,"",(VLOOKUP($C614,REV!$C:$AA,14,0)-'TRADE IN'!$F614))</f>
        <v>799</v>
      </c>
      <c r="Q614" s="46">
        <f>IF(VLOOKUP($C614,REV!$C:$AA,15,0)-'TRADE IN'!$F623=0,"",(VLOOKUP($C614,REV!$C:$AA,15,0)-'TRADE IN'!$F614))</f>
        <v>799</v>
      </c>
      <c r="R614" s="46">
        <f>IF(VLOOKUP($C614,REV!$C:$AA,16,0)-'TRADE IN'!$F623=0,"",(VLOOKUP($C614,REV!$C:$AA,16,0)-'TRADE IN'!$F614))</f>
        <v>799</v>
      </c>
      <c r="S614" s="46">
        <f>IF(VLOOKUP($C614,REV!$C:$AA,17,0)-'TRADE IN'!$F623=0,"",(VLOOKUP($C614,REV!$C:$AA,17,0)-'TRADE IN'!$F614))</f>
        <v>799</v>
      </c>
      <c r="T614" s="46">
        <f>IF(VLOOKUP($C614,REV!$C:$AA,18,0)-'TRADE IN'!$F623=0,"",(VLOOKUP($C614,REV!$C:$AA,18,0)-'TRADE IN'!$F614))</f>
        <v>799</v>
      </c>
      <c r="U614" s="46">
        <f>IF(VLOOKUP($C614,REV!$C:$AA,19,0)-'TRADE IN'!$F623=0,"",(VLOOKUP($C614,REV!$C:$AA,19,0)-'TRADE IN'!$F614))</f>
        <v>799</v>
      </c>
      <c r="V614" s="46">
        <f>IF(VLOOKUP($C614,REV!$C:$AA,20,0)-'TRADE IN'!$F623=0,"",(VLOOKUP($C614,REV!$C:$AA,20,0)-'TRADE IN'!$F614))</f>
        <v>799</v>
      </c>
      <c r="W614" s="46">
        <f>IF(VLOOKUP($C614,REV!$C:$AA,21,0)-'TRADE IN'!$F623=0,"",(VLOOKUP($C614,REV!$C:$AA,21,0)-'TRADE IN'!$F614))</f>
        <v>799</v>
      </c>
      <c r="X614" s="46">
        <f>IF(VLOOKUP($C614,REV!$C:$AA,22,0)-'TRADE IN'!$F623=0,"",(VLOOKUP($C614,REV!$C:$AA,22,0)-'TRADE IN'!$F614))</f>
        <v>799</v>
      </c>
      <c r="Y614" s="46">
        <f>IF(VLOOKUP($C614,REV!$C:$AA,23,0)-'TRADE IN'!$F623=0,"",(VLOOKUP($C614,REV!$C:$AA,23,0)-'TRADE IN'!$F614))</f>
        <v>799</v>
      </c>
      <c r="Z614" s="46">
        <f>IF(VLOOKUP($C614,REV!$C:$AA,24,0)-'TRADE IN'!$F623=0,"",(VLOOKUP($C614,REV!$C:$AA,24,0)-'TRADE IN'!$F614))</f>
        <v>799</v>
      </c>
      <c r="AA614" s="46">
        <f>IF(VLOOKUP($C614,REV!$C:$AA,25,0)-'TRADE IN'!$F623=0,"",(VLOOKUP($C614,REV!$C:$AA,25,0)-'TRADE IN'!$F614))</f>
        <v>799</v>
      </c>
      <c r="AB614" s="46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7"/>
      <c r="AW614" s="48" t="str">
        <f>IF(REV!AW614=0,"",REV!AW614)</f>
        <v>31.03.2026</v>
      </c>
      <c r="AX614" s="159" t="s">
        <v>82</v>
      </c>
    </row>
    <row r="615" spans="1:50" ht="22.5" customHeight="1">
      <c r="A615" s="52" t="s">
        <v>70</v>
      </c>
      <c r="B615" s="41" t="s">
        <v>62</v>
      </c>
      <c r="C615" s="42">
        <v>4015520</v>
      </c>
      <c r="D615" s="44" t="s">
        <v>827</v>
      </c>
      <c r="E615" s="44" t="s">
        <v>840</v>
      </c>
      <c r="F615" s="45"/>
      <c r="G615" s="45"/>
      <c r="H615" s="45"/>
      <c r="I615" s="45"/>
      <c r="J615" s="46">
        <f>IF(VLOOKUP($C615,REV!$C:$AA,8,0)-'TRADE IN'!$F615=0,"",(VLOOKUP($C615,REV!$C:$AA,8,0)-'TRADE IN'!$F615))</f>
        <v>799</v>
      </c>
      <c r="K615" s="46">
        <f>IF(VLOOKUP($C615,REV!$C:$AA,9,0)-'TRADE IN'!$F615=0,"",(VLOOKUP($C615,REV!$C:$AA,9,0)-'TRADE IN'!$F615))</f>
        <v>799</v>
      </c>
      <c r="L615" s="46">
        <f>IF(VLOOKUP($C615,REV!$C:$AA,10,0)-'TRADE IN'!$F624=0,"",(VLOOKUP($C615,REV!$C:$AA,10,0)-'TRADE IN'!$F615))</f>
        <v>799</v>
      </c>
      <c r="M615" s="46">
        <f>IF(VLOOKUP($C615,REV!$C:$AA,11,0)-'TRADE IN'!$F624=0,"",(VLOOKUP($C615,REV!$C:$AA,11,0)-'TRADE IN'!$F615))</f>
        <v>799</v>
      </c>
      <c r="N615" s="46">
        <f>IF(VLOOKUP($C615,REV!$C:$AA,12,0)-'TRADE IN'!$F624=0,"",(VLOOKUP($C615,REV!$C:$AA,12,0)-'TRADE IN'!$F615))</f>
        <v>799</v>
      </c>
      <c r="O615" s="46">
        <f>IF(VLOOKUP($C615,REV!$C:$AA,13,0)-'TRADE IN'!$F624=0,"",(VLOOKUP($C615,REV!$C:$AA,13,0)-'TRADE IN'!$F615))</f>
        <v>799</v>
      </c>
      <c r="P615" s="46">
        <f>IF(VLOOKUP($C615,REV!$C:$AA,14,0)-'TRADE IN'!$F624=0,"",(VLOOKUP($C615,REV!$C:$AA,14,0)-'TRADE IN'!$F615))</f>
        <v>799</v>
      </c>
      <c r="Q615" s="46">
        <f>IF(VLOOKUP($C615,REV!$C:$AA,15,0)-'TRADE IN'!$F624=0,"",(VLOOKUP($C615,REV!$C:$AA,15,0)-'TRADE IN'!$F615))</f>
        <v>799</v>
      </c>
      <c r="R615" s="46">
        <f>IF(VLOOKUP($C615,REV!$C:$AA,16,0)-'TRADE IN'!$F624=0,"",(VLOOKUP($C615,REV!$C:$AA,16,0)-'TRADE IN'!$F615))</f>
        <v>799</v>
      </c>
      <c r="S615" s="46">
        <f>IF(VLOOKUP($C615,REV!$C:$AA,17,0)-'TRADE IN'!$F624=0,"",(VLOOKUP($C615,REV!$C:$AA,17,0)-'TRADE IN'!$F615))</f>
        <v>799</v>
      </c>
      <c r="T615" s="46">
        <f>IF(VLOOKUP($C615,REV!$C:$AA,18,0)-'TRADE IN'!$F624=0,"",(VLOOKUP($C615,REV!$C:$AA,18,0)-'TRADE IN'!$F615))</f>
        <v>799</v>
      </c>
      <c r="U615" s="46">
        <f>IF(VLOOKUP($C615,REV!$C:$AA,19,0)-'TRADE IN'!$F624=0,"",(VLOOKUP($C615,REV!$C:$AA,19,0)-'TRADE IN'!$F615))</f>
        <v>799</v>
      </c>
      <c r="V615" s="46">
        <f>IF(VLOOKUP($C615,REV!$C:$AA,20,0)-'TRADE IN'!$F624=0,"",(VLOOKUP($C615,REV!$C:$AA,20,0)-'TRADE IN'!$F615))</f>
        <v>799</v>
      </c>
      <c r="W615" s="46">
        <f>IF(VLOOKUP($C615,REV!$C:$AA,21,0)-'TRADE IN'!$F624=0,"",(VLOOKUP($C615,REV!$C:$AA,21,0)-'TRADE IN'!$F615))</f>
        <v>799</v>
      </c>
      <c r="X615" s="46">
        <f>IF(VLOOKUP($C615,REV!$C:$AA,22,0)-'TRADE IN'!$F624=0,"",(VLOOKUP($C615,REV!$C:$AA,22,0)-'TRADE IN'!$F615))</f>
        <v>799</v>
      </c>
      <c r="Y615" s="46">
        <f>IF(VLOOKUP($C615,REV!$C:$AA,23,0)-'TRADE IN'!$F624=0,"",(VLOOKUP($C615,REV!$C:$AA,23,0)-'TRADE IN'!$F615))</f>
        <v>799</v>
      </c>
      <c r="Z615" s="46">
        <f>IF(VLOOKUP($C615,REV!$C:$AA,24,0)-'TRADE IN'!$F624=0,"",(VLOOKUP($C615,REV!$C:$AA,24,0)-'TRADE IN'!$F615))</f>
        <v>799</v>
      </c>
      <c r="AA615" s="46">
        <f>IF(VLOOKUP($C615,REV!$C:$AA,25,0)-'TRADE IN'!$F624=0,"",(VLOOKUP($C615,REV!$C:$AA,25,0)-'TRADE IN'!$F615))</f>
        <v>799</v>
      </c>
      <c r="AB615" s="46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7"/>
      <c r="AW615" s="48" t="str">
        <f>IF(REV!AW615=0,"",REV!AW615)</f>
        <v>31.03.2026</v>
      </c>
      <c r="AX615" s="159" t="s">
        <v>82</v>
      </c>
    </row>
    <row r="616" spans="1:50" ht="22.5" customHeight="1">
      <c r="A616" s="52" t="s">
        <v>70</v>
      </c>
      <c r="B616" s="41" t="s">
        <v>62</v>
      </c>
      <c r="C616" s="42">
        <v>4015524</v>
      </c>
      <c r="D616" s="44" t="s">
        <v>827</v>
      </c>
      <c r="E616" s="44" t="s">
        <v>841</v>
      </c>
      <c r="F616" s="45"/>
      <c r="G616" s="45"/>
      <c r="H616" s="45"/>
      <c r="I616" s="45"/>
      <c r="J616" s="46">
        <f>IF(VLOOKUP($C616,REV!$C:$AA,8,0)-'TRADE IN'!$F616=0,"",(VLOOKUP($C616,REV!$C:$AA,8,0)-'TRADE IN'!$F616))</f>
        <v>799</v>
      </c>
      <c r="K616" s="46">
        <f>IF(VLOOKUP($C616,REV!$C:$AA,9,0)-'TRADE IN'!$F616=0,"",(VLOOKUP($C616,REV!$C:$AA,9,0)-'TRADE IN'!$F616))</f>
        <v>799</v>
      </c>
      <c r="L616" s="46">
        <f>IF(VLOOKUP($C616,REV!$C:$AA,10,0)-'TRADE IN'!$F625=0,"",(VLOOKUP($C616,REV!$C:$AA,10,0)-'TRADE IN'!$F616))</f>
        <v>799</v>
      </c>
      <c r="M616" s="46">
        <f>IF(VLOOKUP($C616,REV!$C:$AA,11,0)-'TRADE IN'!$F625=0,"",(VLOOKUP($C616,REV!$C:$AA,11,0)-'TRADE IN'!$F616))</f>
        <v>799</v>
      </c>
      <c r="N616" s="46">
        <f>IF(VLOOKUP($C616,REV!$C:$AA,12,0)-'TRADE IN'!$F625=0,"",(VLOOKUP($C616,REV!$C:$AA,12,0)-'TRADE IN'!$F616))</f>
        <v>799</v>
      </c>
      <c r="O616" s="46">
        <f>IF(VLOOKUP($C616,REV!$C:$AA,13,0)-'TRADE IN'!$F625=0,"",(VLOOKUP($C616,REV!$C:$AA,13,0)-'TRADE IN'!$F616))</f>
        <v>799</v>
      </c>
      <c r="P616" s="46">
        <f>IF(VLOOKUP($C616,REV!$C:$AA,14,0)-'TRADE IN'!$F625=0,"",(VLOOKUP($C616,REV!$C:$AA,14,0)-'TRADE IN'!$F616))</f>
        <v>799</v>
      </c>
      <c r="Q616" s="46">
        <f>IF(VLOOKUP($C616,REV!$C:$AA,15,0)-'TRADE IN'!$F625=0,"",(VLOOKUP($C616,REV!$C:$AA,15,0)-'TRADE IN'!$F616))</f>
        <v>799</v>
      </c>
      <c r="R616" s="46">
        <f>IF(VLOOKUP($C616,REV!$C:$AA,16,0)-'TRADE IN'!$F625=0,"",(VLOOKUP($C616,REV!$C:$AA,16,0)-'TRADE IN'!$F616))</f>
        <v>799</v>
      </c>
      <c r="S616" s="46">
        <f>IF(VLOOKUP($C616,REV!$C:$AA,17,0)-'TRADE IN'!$F625=0,"",(VLOOKUP($C616,REV!$C:$AA,17,0)-'TRADE IN'!$F616))</f>
        <v>799</v>
      </c>
      <c r="T616" s="46">
        <f>IF(VLOOKUP($C616,REV!$C:$AA,18,0)-'TRADE IN'!$F625=0,"",(VLOOKUP($C616,REV!$C:$AA,18,0)-'TRADE IN'!$F616))</f>
        <v>799</v>
      </c>
      <c r="U616" s="46">
        <f>IF(VLOOKUP($C616,REV!$C:$AA,19,0)-'TRADE IN'!$F625=0,"",(VLOOKUP($C616,REV!$C:$AA,19,0)-'TRADE IN'!$F616))</f>
        <v>799</v>
      </c>
      <c r="V616" s="46">
        <f>IF(VLOOKUP($C616,REV!$C:$AA,20,0)-'TRADE IN'!$F625=0,"",(VLOOKUP($C616,REV!$C:$AA,20,0)-'TRADE IN'!$F616))</f>
        <v>799</v>
      </c>
      <c r="W616" s="46">
        <f>IF(VLOOKUP($C616,REV!$C:$AA,21,0)-'TRADE IN'!$F625=0,"",(VLOOKUP($C616,REV!$C:$AA,21,0)-'TRADE IN'!$F616))</f>
        <v>799</v>
      </c>
      <c r="X616" s="46">
        <f>IF(VLOOKUP($C616,REV!$C:$AA,22,0)-'TRADE IN'!$F625=0,"",(VLOOKUP($C616,REV!$C:$AA,22,0)-'TRADE IN'!$F616))</f>
        <v>799</v>
      </c>
      <c r="Y616" s="46">
        <f>IF(VLOOKUP($C616,REV!$C:$AA,23,0)-'TRADE IN'!$F625=0,"",(VLOOKUP($C616,REV!$C:$AA,23,0)-'TRADE IN'!$F616))</f>
        <v>799</v>
      </c>
      <c r="Z616" s="46">
        <f>IF(VLOOKUP($C616,REV!$C:$AA,24,0)-'TRADE IN'!$F625=0,"",(VLOOKUP($C616,REV!$C:$AA,24,0)-'TRADE IN'!$F616))</f>
        <v>799</v>
      </c>
      <c r="AA616" s="46">
        <f>IF(VLOOKUP($C616,REV!$C:$AA,25,0)-'TRADE IN'!$F625=0,"",(VLOOKUP($C616,REV!$C:$AA,25,0)-'TRADE IN'!$F616))</f>
        <v>799</v>
      </c>
      <c r="AB616" s="46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7"/>
      <c r="AW616" s="48" t="str">
        <f>IF(REV!AW616=0,"",REV!AW616)</f>
        <v>31.03.2026</v>
      </c>
      <c r="AX616" s="159" t="s">
        <v>82</v>
      </c>
    </row>
    <row r="617" spans="1:50" ht="22.5" customHeight="1">
      <c r="A617" s="52" t="s">
        <v>70</v>
      </c>
      <c r="B617" s="41" t="s">
        <v>62</v>
      </c>
      <c r="C617" s="42">
        <v>4014757</v>
      </c>
      <c r="D617" s="44" t="s">
        <v>842</v>
      </c>
      <c r="E617" s="44" t="s">
        <v>843</v>
      </c>
      <c r="F617" s="45"/>
      <c r="G617" s="45"/>
      <c r="H617" s="45"/>
      <c r="I617" s="45"/>
      <c r="J617" s="46">
        <f>IF(VLOOKUP($C617,REV!$C:$AA,8,0)-'TRADE IN'!$F617=0,"",(VLOOKUP($C617,REV!$C:$AA,8,0)-'TRADE IN'!$F617))</f>
        <v>1199</v>
      </c>
      <c r="K617" s="46">
        <f>IF(VLOOKUP($C617,REV!$C:$AA,9,0)-'TRADE IN'!$F617=0,"",(VLOOKUP($C617,REV!$C:$AA,9,0)-'TRADE IN'!$F617))</f>
        <v>1199</v>
      </c>
      <c r="L617" s="46">
        <f>IF(VLOOKUP($C617,REV!$C:$AA,10,0)-'TRADE IN'!$F626=0,"",(VLOOKUP($C617,REV!$C:$AA,10,0)-'TRADE IN'!$F617))</f>
        <v>1199</v>
      </c>
      <c r="M617" s="46">
        <f>IF(VLOOKUP($C617,REV!$C:$AA,11,0)-'TRADE IN'!$F626=0,"",(VLOOKUP($C617,REV!$C:$AA,11,0)-'TRADE IN'!$F617))</f>
        <v>1199</v>
      </c>
      <c r="N617" s="46">
        <f>IF(VLOOKUP($C617,REV!$C:$AA,12,0)-'TRADE IN'!$F626=0,"",(VLOOKUP($C617,REV!$C:$AA,12,0)-'TRADE IN'!$F617))</f>
        <v>1199</v>
      </c>
      <c r="O617" s="46">
        <f>IF(VLOOKUP($C617,REV!$C:$AA,13,0)-'TRADE IN'!$F626=0,"",(VLOOKUP($C617,REV!$C:$AA,13,0)-'TRADE IN'!$F617))</f>
        <v>1199</v>
      </c>
      <c r="P617" s="46">
        <f>IF(VLOOKUP($C617,REV!$C:$AA,14,0)-'TRADE IN'!$F626=0,"",(VLOOKUP($C617,REV!$C:$AA,14,0)-'TRADE IN'!$F617))</f>
        <v>1199</v>
      </c>
      <c r="Q617" s="46">
        <f>IF(VLOOKUP($C617,REV!$C:$AA,15,0)-'TRADE IN'!$F626=0,"",(VLOOKUP($C617,REV!$C:$AA,15,0)-'TRADE IN'!$F617))</f>
        <v>1099</v>
      </c>
      <c r="R617" s="46">
        <f>IF(VLOOKUP($C617,REV!$C:$AA,16,0)-'TRADE IN'!$F626=0,"",(VLOOKUP($C617,REV!$C:$AA,16,0)-'TRADE IN'!$F617))</f>
        <v>1199</v>
      </c>
      <c r="S617" s="46">
        <f>IF(VLOOKUP($C617,REV!$C:$AA,17,0)-'TRADE IN'!$F626=0,"",(VLOOKUP($C617,REV!$C:$AA,17,0)-'TRADE IN'!$F617))</f>
        <v>1199</v>
      </c>
      <c r="T617" s="46">
        <f>IF(VLOOKUP($C617,REV!$C:$AA,18,0)-'TRADE IN'!$F626=0,"",(VLOOKUP($C617,REV!$C:$AA,18,0)-'TRADE IN'!$F617))</f>
        <v>1099</v>
      </c>
      <c r="U617" s="46">
        <f>IF(VLOOKUP($C617,REV!$C:$AA,19,0)-'TRADE IN'!$F626=0,"",(VLOOKUP($C617,REV!$C:$AA,19,0)-'TRADE IN'!$F617))</f>
        <v>1099</v>
      </c>
      <c r="V617" s="46">
        <f>IF(VLOOKUP($C617,REV!$C:$AA,20,0)-'TRADE IN'!$F626=0,"",(VLOOKUP($C617,REV!$C:$AA,20,0)-'TRADE IN'!$F617))</f>
        <v>1099</v>
      </c>
      <c r="W617" s="46">
        <f>IF(VLOOKUP($C617,REV!$C:$AA,21,0)-'TRADE IN'!$F626=0,"",(VLOOKUP($C617,REV!$C:$AA,21,0)-'TRADE IN'!$F617))</f>
        <v>1099</v>
      </c>
      <c r="X617" s="46">
        <f>IF(VLOOKUP($C617,REV!$C:$AA,22,0)-'TRADE IN'!$F626=0,"",(VLOOKUP($C617,REV!$C:$AA,22,0)-'TRADE IN'!$F617))</f>
        <v>1099</v>
      </c>
      <c r="Y617" s="46">
        <f>IF(VLOOKUP($C617,REV!$C:$AA,23,0)-'TRADE IN'!$F626=0,"",(VLOOKUP($C617,REV!$C:$AA,23,0)-'TRADE IN'!$F617))</f>
        <v>1099</v>
      </c>
      <c r="Z617" s="46">
        <f>IF(VLOOKUP($C617,REV!$C:$AA,24,0)-'TRADE IN'!$F626=0,"",(VLOOKUP($C617,REV!$C:$AA,24,0)-'TRADE IN'!$F617))</f>
        <v>1099</v>
      </c>
      <c r="AA617" s="46">
        <f>IF(VLOOKUP($C617,REV!$C:$AA,25,0)-'TRADE IN'!$F626=0,"",(VLOOKUP($C617,REV!$C:$AA,25,0)-'TRADE IN'!$F617))</f>
        <v>1099</v>
      </c>
      <c r="AB617" s="46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7"/>
      <c r="AW617" s="48" t="str">
        <f>IF(REV!AW617=0,"",REV!AW617)</f>
        <v>31.03.2026</v>
      </c>
      <c r="AX617" s="159" t="s">
        <v>82</v>
      </c>
    </row>
    <row r="618" spans="1:50" ht="22.5" customHeight="1">
      <c r="A618" s="52" t="s">
        <v>70</v>
      </c>
      <c r="B618" s="41" t="s">
        <v>62</v>
      </c>
      <c r="C618" s="42">
        <v>4014745</v>
      </c>
      <c r="D618" s="44" t="s">
        <v>842</v>
      </c>
      <c r="E618" s="44" t="s">
        <v>844</v>
      </c>
      <c r="F618" s="45"/>
      <c r="G618" s="45"/>
      <c r="H618" s="45"/>
      <c r="I618" s="45"/>
      <c r="J618" s="46">
        <f>IF(VLOOKUP($C618,REV!$C:$AA,8,0)-'TRADE IN'!$F618=0,"",(VLOOKUP($C618,REV!$C:$AA,8,0)-'TRADE IN'!$F618))</f>
        <v>1199</v>
      </c>
      <c r="K618" s="46">
        <f>IF(VLOOKUP($C618,REV!$C:$AA,9,0)-'TRADE IN'!$F618=0,"",(VLOOKUP($C618,REV!$C:$AA,9,0)-'TRADE IN'!$F618))</f>
        <v>1199</v>
      </c>
      <c r="L618" s="46">
        <f>IF(VLOOKUP($C618,REV!$C:$AA,10,0)-'TRADE IN'!$F627=0,"",(VLOOKUP($C618,REV!$C:$AA,10,0)-'TRADE IN'!$F618))</f>
        <v>1199</v>
      </c>
      <c r="M618" s="46">
        <f>IF(VLOOKUP($C618,REV!$C:$AA,11,0)-'TRADE IN'!$F627=0,"",(VLOOKUP($C618,REV!$C:$AA,11,0)-'TRADE IN'!$F618))</f>
        <v>1199</v>
      </c>
      <c r="N618" s="46">
        <f>IF(VLOOKUP($C618,REV!$C:$AA,12,0)-'TRADE IN'!$F627=0,"",(VLOOKUP($C618,REV!$C:$AA,12,0)-'TRADE IN'!$F618))</f>
        <v>1199</v>
      </c>
      <c r="O618" s="46">
        <f>IF(VLOOKUP($C618,REV!$C:$AA,13,0)-'TRADE IN'!$F627=0,"",(VLOOKUP($C618,REV!$C:$AA,13,0)-'TRADE IN'!$F618))</f>
        <v>1199</v>
      </c>
      <c r="P618" s="46">
        <f>IF(VLOOKUP($C618,REV!$C:$AA,14,0)-'TRADE IN'!$F627=0,"",(VLOOKUP($C618,REV!$C:$AA,14,0)-'TRADE IN'!$F618))</f>
        <v>1199</v>
      </c>
      <c r="Q618" s="46">
        <f>IF(VLOOKUP($C618,REV!$C:$AA,15,0)-'TRADE IN'!$F627=0,"",(VLOOKUP($C618,REV!$C:$AA,15,0)-'TRADE IN'!$F618))</f>
        <v>1099</v>
      </c>
      <c r="R618" s="46">
        <f>IF(VLOOKUP($C618,REV!$C:$AA,16,0)-'TRADE IN'!$F627=0,"",(VLOOKUP($C618,REV!$C:$AA,16,0)-'TRADE IN'!$F618))</f>
        <v>1199</v>
      </c>
      <c r="S618" s="46">
        <f>IF(VLOOKUP($C618,REV!$C:$AA,17,0)-'TRADE IN'!$F627=0,"",(VLOOKUP($C618,REV!$C:$AA,17,0)-'TRADE IN'!$F618))</f>
        <v>1199</v>
      </c>
      <c r="T618" s="46">
        <f>IF(VLOOKUP($C618,REV!$C:$AA,18,0)-'TRADE IN'!$F627=0,"",(VLOOKUP($C618,REV!$C:$AA,18,0)-'TRADE IN'!$F618))</f>
        <v>1099</v>
      </c>
      <c r="U618" s="46">
        <f>IF(VLOOKUP($C618,REV!$C:$AA,19,0)-'TRADE IN'!$F627=0,"",(VLOOKUP($C618,REV!$C:$AA,19,0)-'TRADE IN'!$F618))</f>
        <v>1099</v>
      </c>
      <c r="V618" s="46">
        <f>IF(VLOOKUP($C618,REV!$C:$AA,20,0)-'TRADE IN'!$F627=0,"",(VLOOKUP($C618,REV!$C:$AA,20,0)-'TRADE IN'!$F618))</f>
        <v>1099</v>
      </c>
      <c r="W618" s="46">
        <f>IF(VLOOKUP($C618,REV!$C:$AA,21,0)-'TRADE IN'!$F627=0,"",(VLOOKUP($C618,REV!$C:$AA,21,0)-'TRADE IN'!$F618))</f>
        <v>1099</v>
      </c>
      <c r="X618" s="46">
        <f>IF(VLOOKUP($C618,REV!$C:$AA,22,0)-'TRADE IN'!$F627=0,"",(VLOOKUP($C618,REV!$C:$AA,22,0)-'TRADE IN'!$F618))</f>
        <v>1099</v>
      </c>
      <c r="Y618" s="46">
        <f>IF(VLOOKUP($C618,REV!$C:$AA,23,0)-'TRADE IN'!$F627=0,"",(VLOOKUP($C618,REV!$C:$AA,23,0)-'TRADE IN'!$F618))</f>
        <v>1099</v>
      </c>
      <c r="Z618" s="46">
        <f>IF(VLOOKUP($C618,REV!$C:$AA,24,0)-'TRADE IN'!$F627=0,"",(VLOOKUP($C618,REV!$C:$AA,24,0)-'TRADE IN'!$F618))</f>
        <v>1099</v>
      </c>
      <c r="AA618" s="46">
        <f>IF(VLOOKUP($C618,REV!$C:$AA,25,0)-'TRADE IN'!$F627=0,"",(VLOOKUP($C618,REV!$C:$AA,25,0)-'TRADE IN'!$F618))</f>
        <v>1099</v>
      </c>
      <c r="AB618" s="46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7"/>
      <c r="AW618" s="48" t="str">
        <f>IF(REV!AW618=0,"",REV!AW618)</f>
        <v>31.03.2026</v>
      </c>
      <c r="AX618" s="159" t="s">
        <v>82</v>
      </c>
    </row>
    <row r="619" spans="1:50" ht="22.5" customHeight="1">
      <c r="A619" s="52" t="s">
        <v>70</v>
      </c>
      <c r="B619" s="41" t="s">
        <v>62</v>
      </c>
      <c r="C619" s="42">
        <v>4014707</v>
      </c>
      <c r="D619" s="44" t="s">
        <v>842</v>
      </c>
      <c r="E619" s="44" t="s">
        <v>845</v>
      </c>
      <c r="F619" s="45"/>
      <c r="G619" s="45"/>
      <c r="H619" s="45"/>
      <c r="I619" s="45"/>
      <c r="J619" s="46">
        <f>IF(VLOOKUP($C619,REV!$C:$AA,8,0)-'TRADE IN'!$F619=0,"",(VLOOKUP($C619,REV!$C:$AA,8,0)-'TRADE IN'!$F619))</f>
        <v>1199</v>
      </c>
      <c r="K619" s="46">
        <f>IF(VLOOKUP($C619,REV!$C:$AA,9,0)-'TRADE IN'!$F619=0,"",(VLOOKUP($C619,REV!$C:$AA,9,0)-'TRADE IN'!$F619))</f>
        <v>1199</v>
      </c>
      <c r="L619" s="46">
        <f>IF(VLOOKUP($C619,REV!$C:$AA,10,0)-'TRADE IN'!$F628=0,"",(VLOOKUP($C619,REV!$C:$AA,10,0)-'TRADE IN'!$F619))</f>
        <v>1199</v>
      </c>
      <c r="M619" s="46">
        <f>IF(VLOOKUP($C619,REV!$C:$AA,11,0)-'TRADE IN'!$F628=0,"",(VLOOKUP($C619,REV!$C:$AA,11,0)-'TRADE IN'!$F619))</f>
        <v>1199</v>
      </c>
      <c r="N619" s="46">
        <f>IF(VLOOKUP($C619,REV!$C:$AA,12,0)-'TRADE IN'!$F628=0,"",(VLOOKUP($C619,REV!$C:$AA,12,0)-'TRADE IN'!$F619))</f>
        <v>1199</v>
      </c>
      <c r="O619" s="46">
        <f>IF(VLOOKUP($C619,REV!$C:$AA,13,0)-'TRADE IN'!$F628=0,"",(VLOOKUP($C619,REV!$C:$AA,13,0)-'TRADE IN'!$F619))</f>
        <v>1199</v>
      </c>
      <c r="P619" s="46">
        <f>IF(VLOOKUP($C619,REV!$C:$AA,14,0)-'TRADE IN'!$F628=0,"",(VLOOKUP($C619,REV!$C:$AA,14,0)-'TRADE IN'!$F619))</f>
        <v>1199</v>
      </c>
      <c r="Q619" s="46">
        <f>IF(VLOOKUP($C619,REV!$C:$AA,15,0)-'TRADE IN'!$F628=0,"",(VLOOKUP($C619,REV!$C:$AA,15,0)-'TRADE IN'!$F619))</f>
        <v>1099</v>
      </c>
      <c r="R619" s="46">
        <f>IF(VLOOKUP($C619,REV!$C:$AA,16,0)-'TRADE IN'!$F628=0,"",(VLOOKUP($C619,REV!$C:$AA,16,0)-'TRADE IN'!$F619))</f>
        <v>1199</v>
      </c>
      <c r="S619" s="46">
        <f>IF(VLOOKUP($C619,REV!$C:$AA,17,0)-'TRADE IN'!$F628=0,"",(VLOOKUP($C619,REV!$C:$AA,17,0)-'TRADE IN'!$F619))</f>
        <v>1199</v>
      </c>
      <c r="T619" s="46">
        <f>IF(VLOOKUP($C619,REV!$C:$AA,18,0)-'TRADE IN'!$F628=0,"",(VLOOKUP($C619,REV!$C:$AA,18,0)-'TRADE IN'!$F619))</f>
        <v>1099</v>
      </c>
      <c r="U619" s="46">
        <f>IF(VLOOKUP($C619,REV!$C:$AA,19,0)-'TRADE IN'!$F628=0,"",(VLOOKUP($C619,REV!$C:$AA,19,0)-'TRADE IN'!$F619))</f>
        <v>1099</v>
      </c>
      <c r="V619" s="46">
        <f>IF(VLOOKUP($C619,REV!$C:$AA,20,0)-'TRADE IN'!$F628=0,"",(VLOOKUP($C619,REV!$C:$AA,20,0)-'TRADE IN'!$F619))</f>
        <v>1099</v>
      </c>
      <c r="W619" s="46">
        <f>IF(VLOOKUP($C619,REV!$C:$AA,21,0)-'TRADE IN'!$F628=0,"",(VLOOKUP($C619,REV!$C:$AA,21,0)-'TRADE IN'!$F619))</f>
        <v>1099</v>
      </c>
      <c r="X619" s="46">
        <f>IF(VLOOKUP($C619,REV!$C:$AA,22,0)-'TRADE IN'!$F628=0,"",(VLOOKUP($C619,REV!$C:$AA,22,0)-'TRADE IN'!$F619))</f>
        <v>1099</v>
      </c>
      <c r="Y619" s="46">
        <f>IF(VLOOKUP($C619,REV!$C:$AA,23,0)-'TRADE IN'!$F628=0,"",(VLOOKUP($C619,REV!$C:$AA,23,0)-'TRADE IN'!$F619))</f>
        <v>1099</v>
      </c>
      <c r="Z619" s="46">
        <f>IF(VLOOKUP($C619,REV!$C:$AA,24,0)-'TRADE IN'!$F628=0,"",(VLOOKUP($C619,REV!$C:$AA,24,0)-'TRADE IN'!$F619))</f>
        <v>1099</v>
      </c>
      <c r="AA619" s="46">
        <f>IF(VLOOKUP($C619,REV!$C:$AA,25,0)-'TRADE IN'!$F628=0,"",(VLOOKUP($C619,REV!$C:$AA,25,0)-'TRADE IN'!$F619))</f>
        <v>1099</v>
      </c>
      <c r="AB619" s="46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7"/>
      <c r="AW619" s="48" t="str">
        <f>IF(REV!AW619=0,"",REV!AW619)</f>
        <v>31.03.2026</v>
      </c>
      <c r="AX619" s="159" t="s">
        <v>82</v>
      </c>
    </row>
    <row r="620" spans="1:50" ht="22.5" customHeight="1">
      <c r="A620" s="52" t="s">
        <v>70</v>
      </c>
      <c r="B620" s="41" t="s">
        <v>62</v>
      </c>
      <c r="C620" s="42">
        <v>4014753</v>
      </c>
      <c r="D620" s="44" t="s">
        <v>842</v>
      </c>
      <c r="E620" s="44" t="s">
        <v>846</v>
      </c>
      <c r="F620" s="45"/>
      <c r="G620" s="45"/>
      <c r="H620" s="45"/>
      <c r="I620" s="45"/>
      <c r="J620" s="46">
        <f>IF(VLOOKUP($C620,REV!$C:$AA,8,0)-'TRADE IN'!$F620=0,"",(VLOOKUP($C620,REV!$C:$AA,8,0)-'TRADE IN'!$F620))</f>
        <v>1199</v>
      </c>
      <c r="K620" s="46">
        <f>IF(VLOOKUP($C620,REV!$C:$AA,9,0)-'TRADE IN'!$F620=0,"",(VLOOKUP($C620,REV!$C:$AA,9,0)-'TRADE IN'!$F620))</f>
        <v>1199</v>
      </c>
      <c r="L620" s="46">
        <f>IF(VLOOKUP($C620,REV!$C:$AA,10,0)-'TRADE IN'!$F629=0,"",(VLOOKUP($C620,REV!$C:$AA,10,0)-'TRADE IN'!$F620))</f>
        <v>1199</v>
      </c>
      <c r="M620" s="46">
        <f>IF(VLOOKUP($C620,REV!$C:$AA,11,0)-'TRADE IN'!$F629=0,"",(VLOOKUP($C620,REV!$C:$AA,11,0)-'TRADE IN'!$F620))</f>
        <v>1199</v>
      </c>
      <c r="N620" s="46">
        <f>IF(VLOOKUP($C620,REV!$C:$AA,12,0)-'TRADE IN'!$F629=0,"",(VLOOKUP($C620,REV!$C:$AA,12,0)-'TRADE IN'!$F620))</f>
        <v>1199</v>
      </c>
      <c r="O620" s="46">
        <f>IF(VLOOKUP($C620,REV!$C:$AA,13,0)-'TRADE IN'!$F629=0,"",(VLOOKUP($C620,REV!$C:$AA,13,0)-'TRADE IN'!$F620))</f>
        <v>1199</v>
      </c>
      <c r="P620" s="46">
        <f>IF(VLOOKUP($C620,REV!$C:$AA,14,0)-'TRADE IN'!$F629=0,"",(VLOOKUP($C620,REV!$C:$AA,14,0)-'TRADE IN'!$F620))</f>
        <v>1199</v>
      </c>
      <c r="Q620" s="46">
        <f>IF(VLOOKUP($C620,REV!$C:$AA,15,0)-'TRADE IN'!$F629=0,"",(VLOOKUP($C620,REV!$C:$AA,15,0)-'TRADE IN'!$F620))</f>
        <v>1099</v>
      </c>
      <c r="R620" s="46">
        <f>IF(VLOOKUP($C620,REV!$C:$AA,16,0)-'TRADE IN'!$F629=0,"",(VLOOKUP($C620,REV!$C:$AA,16,0)-'TRADE IN'!$F620))</f>
        <v>1199</v>
      </c>
      <c r="S620" s="46">
        <f>IF(VLOOKUP($C620,REV!$C:$AA,17,0)-'TRADE IN'!$F629=0,"",(VLOOKUP($C620,REV!$C:$AA,17,0)-'TRADE IN'!$F620))</f>
        <v>1199</v>
      </c>
      <c r="T620" s="46">
        <f>IF(VLOOKUP($C620,REV!$C:$AA,18,0)-'TRADE IN'!$F629=0,"",(VLOOKUP($C620,REV!$C:$AA,18,0)-'TRADE IN'!$F620))</f>
        <v>1099</v>
      </c>
      <c r="U620" s="46">
        <f>IF(VLOOKUP($C620,REV!$C:$AA,19,0)-'TRADE IN'!$F629=0,"",(VLOOKUP($C620,REV!$C:$AA,19,0)-'TRADE IN'!$F620))</f>
        <v>1099</v>
      </c>
      <c r="V620" s="46">
        <f>IF(VLOOKUP($C620,REV!$C:$AA,20,0)-'TRADE IN'!$F629=0,"",(VLOOKUP($C620,REV!$C:$AA,20,0)-'TRADE IN'!$F620))</f>
        <v>1099</v>
      </c>
      <c r="W620" s="46">
        <f>IF(VLOOKUP($C620,REV!$C:$AA,21,0)-'TRADE IN'!$F629=0,"",(VLOOKUP($C620,REV!$C:$AA,21,0)-'TRADE IN'!$F620))</f>
        <v>1099</v>
      </c>
      <c r="X620" s="46">
        <f>IF(VLOOKUP($C620,REV!$C:$AA,22,0)-'TRADE IN'!$F629=0,"",(VLOOKUP($C620,REV!$C:$AA,22,0)-'TRADE IN'!$F620))</f>
        <v>1099</v>
      </c>
      <c r="Y620" s="46">
        <f>IF(VLOOKUP($C620,REV!$C:$AA,23,0)-'TRADE IN'!$F629=0,"",(VLOOKUP($C620,REV!$C:$AA,23,0)-'TRADE IN'!$F620))</f>
        <v>1099</v>
      </c>
      <c r="Z620" s="46">
        <f>IF(VLOOKUP($C620,REV!$C:$AA,24,0)-'TRADE IN'!$F629=0,"",(VLOOKUP($C620,REV!$C:$AA,24,0)-'TRADE IN'!$F620))</f>
        <v>1099</v>
      </c>
      <c r="AA620" s="46">
        <f>IF(VLOOKUP($C620,REV!$C:$AA,25,0)-'TRADE IN'!$F629=0,"",(VLOOKUP($C620,REV!$C:$AA,25,0)-'TRADE IN'!$F620))</f>
        <v>1099</v>
      </c>
      <c r="AB620" s="46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7"/>
      <c r="AW620" s="48" t="str">
        <f>IF(REV!AW620=0,"",REV!AW620)</f>
        <v>31.03.2026</v>
      </c>
      <c r="AX620" s="159" t="s">
        <v>82</v>
      </c>
    </row>
    <row r="621" spans="1:50" ht="22.5" customHeight="1">
      <c r="A621" s="52" t="s">
        <v>70</v>
      </c>
      <c r="B621" s="41" t="s">
        <v>62</v>
      </c>
      <c r="C621" s="42">
        <v>4014734</v>
      </c>
      <c r="D621" s="44" t="s">
        <v>842</v>
      </c>
      <c r="E621" s="44" t="s">
        <v>847</v>
      </c>
      <c r="F621" s="45"/>
      <c r="G621" s="45"/>
      <c r="H621" s="45"/>
      <c r="I621" s="45"/>
      <c r="J621" s="46">
        <f>IF(VLOOKUP($C621,REV!$C:$AA,8,0)-'TRADE IN'!$F621=0,"",(VLOOKUP($C621,REV!$C:$AA,8,0)-'TRADE IN'!$F621))</f>
        <v>1199</v>
      </c>
      <c r="K621" s="46">
        <f>IF(VLOOKUP($C621,REV!$C:$AA,9,0)-'TRADE IN'!$F621=0,"",(VLOOKUP($C621,REV!$C:$AA,9,0)-'TRADE IN'!$F621))</f>
        <v>1199</v>
      </c>
      <c r="L621" s="46">
        <f>IF(VLOOKUP($C621,REV!$C:$AA,10,0)-'TRADE IN'!$F630=0,"",(VLOOKUP($C621,REV!$C:$AA,10,0)-'TRADE IN'!$F621))</f>
        <v>1199</v>
      </c>
      <c r="M621" s="46">
        <f>IF(VLOOKUP($C621,REV!$C:$AA,11,0)-'TRADE IN'!$F630=0,"",(VLOOKUP($C621,REV!$C:$AA,11,0)-'TRADE IN'!$F621))</f>
        <v>1199</v>
      </c>
      <c r="N621" s="46">
        <f>IF(VLOOKUP($C621,REV!$C:$AA,12,0)-'TRADE IN'!$F630=0,"",(VLOOKUP($C621,REV!$C:$AA,12,0)-'TRADE IN'!$F621))</f>
        <v>1199</v>
      </c>
      <c r="O621" s="46">
        <f>IF(VLOOKUP($C621,REV!$C:$AA,13,0)-'TRADE IN'!$F630=0,"",(VLOOKUP($C621,REV!$C:$AA,13,0)-'TRADE IN'!$F621))</f>
        <v>1199</v>
      </c>
      <c r="P621" s="46">
        <f>IF(VLOOKUP($C621,REV!$C:$AA,14,0)-'TRADE IN'!$F630=0,"",(VLOOKUP($C621,REV!$C:$AA,14,0)-'TRADE IN'!$F621))</f>
        <v>1199</v>
      </c>
      <c r="Q621" s="46">
        <f>IF(VLOOKUP($C621,REV!$C:$AA,15,0)-'TRADE IN'!$F630=0,"",(VLOOKUP($C621,REV!$C:$AA,15,0)-'TRADE IN'!$F621))</f>
        <v>1099</v>
      </c>
      <c r="R621" s="46">
        <f>IF(VLOOKUP($C621,REV!$C:$AA,16,0)-'TRADE IN'!$F630=0,"",(VLOOKUP($C621,REV!$C:$AA,16,0)-'TRADE IN'!$F621))</f>
        <v>1199</v>
      </c>
      <c r="S621" s="46">
        <f>IF(VLOOKUP($C621,REV!$C:$AA,17,0)-'TRADE IN'!$F630=0,"",(VLOOKUP($C621,REV!$C:$AA,17,0)-'TRADE IN'!$F621))</f>
        <v>1199</v>
      </c>
      <c r="T621" s="46">
        <f>IF(VLOOKUP($C621,REV!$C:$AA,18,0)-'TRADE IN'!$F630=0,"",(VLOOKUP($C621,REV!$C:$AA,18,0)-'TRADE IN'!$F621))</f>
        <v>1099</v>
      </c>
      <c r="U621" s="46">
        <f>IF(VLOOKUP($C621,REV!$C:$AA,19,0)-'TRADE IN'!$F630=0,"",(VLOOKUP($C621,REV!$C:$AA,19,0)-'TRADE IN'!$F621))</f>
        <v>1099</v>
      </c>
      <c r="V621" s="46">
        <f>IF(VLOOKUP($C621,REV!$C:$AA,20,0)-'TRADE IN'!$F630=0,"",(VLOOKUP($C621,REV!$C:$AA,20,0)-'TRADE IN'!$F621))</f>
        <v>1099</v>
      </c>
      <c r="W621" s="46">
        <f>IF(VLOOKUP($C621,REV!$C:$AA,21,0)-'TRADE IN'!$F630=0,"",(VLOOKUP($C621,REV!$C:$AA,21,0)-'TRADE IN'!$F621))</f>
        <v>1099</v>
      </c>
      <c r="X621" s="46">
        <f>IF(VLOOKUP($C621,REV!$C:$AA,22,0)-'TRADE IN'!$F630=0,"",(VLOOKUP($C621,REV!$C:$AA,22,0)-'TRADE IN'!$F621))</f>
        <v>1099</v>
      </c>
      <c r="Y621" s="46">
        <f>IF(VLOOKUP($C621,REV!$C:$AA,23,0)-'TRADE IN'!$F630=0,"",(VLOOKUP($C621,REV!$C:$AA,23,0)-'TRADE IN'!$F621))</f>
        <v>1099</v>
      </c>
      <c r="Z621" s="46">
        <f>IF(VLOOKUP($C621,REV!$C:$AA,24,0)-'TRADE IN'!$F630=0,"",(VLOOKUP($C621,REV!$C:$AA,24,0)-'TRADE IN'!$F621))</f>
        <v>1099</v>
      </c>
      <c r="AA621" s="46">
        <f>IF(VLOOKUP($C621,REV!$C:$AA,25,0)-'TRADE IN'!$F630=0,"",(VLOOKUP($C621,REV!$C:$AA,25,0)-'TRADE IN'!$F621))</f>
        <v>1099</v>
      </c>
      <c r="AB621" s="46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7"/>
      <c r="AW621" s="48" t="str">
        <f>IF(REV!AW621=0,"",REV!AW621)</f>
        <v>31.03.2026</v>
      </c>
      <c r="AX621" s="159" t="s">
        <v>82</v>
      </c>
    </row>
    <row r="622" spans="1:50" ht="22.5" customHeight="1">
      <c r="A622" s="52" t="s">
        <v>70</v>
      </c>
      <c r="B622" s="41" t="s">
        <v>62</v>
      </c>
      <c r="C622" s="42">
        <v>4014749</v>
      </c>
      <c r="D622" s="44" t="s">
        <v>842</v>
      </c>
      <c r="E622" s="44" t="s">
        <v>848</v>
      </c>
      <c r="F622" s="45"/>
      <c r="G622" s="45"/>
      <c r="H622" s="45"/>
      <c r="I622" s="45"/>
      <c r="J622" s="46">
        <f>IF(VLOOKUP($C622,REV!$C:$AA,8,0)-'TRADE IN'!$F622=0,"",(VLOOKUP($C622,REV!$C:$AA,8,0)-'TRADE IN'!$F622))</f>
        <v>1199</v>
      </c>
      <c r="K622" s="46">
        <f>IF(VLOOKUP($C622,REV!$C:$AA,9,0)-'TRADE IN'!$F622=0,"",(VLOOKUP($C622,REV!$C:$AA,9,0)-'TRADE IN'!$F622))</f>
        <v>1199</v>
      </c>
      <c r="L622" s="46">
        <f>IF(VLOOKUP($C622,REV!$C:$AA,10,0)-'TRADE IN'!$F631=0,"",(VLOOKUP($C622,REV!$C:$AA,10,0)-'TRADE IN'!$F622))</f>
        <v>1199</v>
      </c>
      <c r="M622" s="46">
        <f>IF(VLOOKUP($C622,REV!$C:$AA,11,0)-'TRADE IN'!$F631=0,"",(VLOOKUP($C622,REV!$C:$AA,11,0)-'TRADE IN'!$F622))</f>
        <v>1199</v>
      </c>
      <c r="N622" s="46">
        <f>IF(VLOOKUP($C622,REV!$C:$AA,12,0)-'TRADE IN'!$F631=0,"",(VLOOKUP($C622,REV!$C:$AA,12,0)-'TRADE IN'!$F622))</f>
        <v>1199</v>
      </c>
      <c r="O622" s="46">
        <f>IF(VLOOKUP($C622,REV!$C:$AA,13,0)-'TRADE IN'!$F631=0,"",(VLOOKUP($C622,REV!$C:$AA,13,0)-'TRADE IN'!$F622))</f>
        <v>1199</v>
      </c>
      <c r="P622" s="46">
        <f>IF(VLOOKUP($C622,REV!$C:$AA,14,0)-'TRADE IN'!$F631=0,"",(VLOOKUP($C622,REV!$C:$AA,14,0)-'TRADE IN'!$F622))</f>
        <v>1199</v>
      </c>
      <c r="Q622" s="46">
        <f>IF(VLOOKUP($C622,REV!$C:$AA,15,0)-'TRADE IN'!$F631=0,"",(VLOOKUP($C622,REV!$C:$AA,15,0)-'TRADE IN'!$F622))</f>
        <v>1099</v>
      </c>
      <c r="R622" s="46">
        <f>IF(VLOOKUP($C622,REV!$C:$AA,16,0)-'TRADE IN'!$F631=0,"",(VLOOKUP($C622,REV!$C:$AA,16,0)-'TRADE IN'!$F622))</f>
        <v>1199</v>
      </c>
      <c r="S622" s="46">
        <f>IF(VLOOKUP($C622,REV!$C:$AA,17,0)-'TRADE IN'!$F631=0,"",(VLOOKUP($C622,REV!$C:$AA,17,0)-'TRADE IN'!$F622))</f>
        <v>1199</v>
      </c>
      <c r="T622" s="46">
        <f>IF(VLOOKUP($C622,REV!$C:$AA,18,0)-'TRADE IN'!$F631=0,"",(VLOOKUP($C622,REV!$C:$AA,18,0)-'TRADE IN'!$F622))</f>
        <v>1099</v>
      </c>
      <c r="U622" s="46">
        <f>IF(VLOOKUP($C622,REV!$C:$AA,19,0)-'TRADE IN'!$F631=0,"",(VLOOKUP($C622,REV!$C:$AA,19,0)-'TRADE IN'!$F622))</f>
        <v>1099</v>
      </c>
      <c r="V622" s="46">
        <f>IF(VLOOKUP($C622,REV!$C:$AA,20,0)-'TRADE IN'!$F631=0,"",(VLOOKUP($C622,REV!$C:$AA,20,0)-'TRADE IN'!$F622))</f>
        <v>1099</v>
      </c>
      <c r="W622" s="46">
        <f>IF(VLOOKUP($C622,REV!$C:$AA,21,0)-'TRADE IN'!$F631=0,"",(VLOOKUP($C622,REV!$C:$AA,21,0)-'TRADE IN'!$F622))</f>
        <v>1099</v>
      </c>
      <c r="X622" s="46">
        <f>IF(VLOOKUP($C622,REV!$C:$AA,22,0)-'TRADE IN'!$F631=0,"",(VLOOKUP($C622,REV!$C:$AA,22,0)-'TRADE IN'!$F622))</f>
        <v>1099</v>
      </c>
      <c r="Y622" s="46">
        <f>IF(VLOOKUP($C622,REV!$C:$AA,23,0)-'TRADE IN'!$F631=0,"",(VLOOKUP($C622,REV!$C:$AA,23,0)-'TRADE IN'!$F622))</f>
        <v>1099</v>
      </c>
      <c r="Z622" s="46">
        <f>IF(VLOOKUP($C622,REV!$C:$AA,24,0)-'TRADE IN'!$F631=0,"",(VLOOKUP($C622,REV!$C:$AA,24,0)-'TRADE IN'!$F622))</f>
        <v>1099</v>
      </c>
      <c r="AA622" s="46">
        <f>IF(VLOOKUP($C622,REV!$C:$AA,25,0)-'TRADE IN'!$F631=0,"",(VLOOKUP($C622,REV!$C:$AA,25,0)-'TRADE IN'!$F622))</f>
        <v>1099</v>
      </c>
      <c r="AB622" s="46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7"/>
      <c r="AW622" s="48" t="str">
        <f>IF(REV!AW622=0,"",REV!AW622)</f>
        <v>31.03.2026</v>
      </c>
      <c r="AX622" s="159" t="s">
        <v>82</v>
      </c>
    </row>
    <row r="623" spans="1:50" ht="22.5" customHeight="1">
      <c r="A623" s="52" t="s">
        <v>70</v>
      </c>
      <c r="B623" s="41" t="s">
        <v>62</v>
      </c>
      <c r="C623" s="42">
        <v>4014731</v>
      </c>
      <c r="D623" s="44" t="s">
        <v>842</v>
      </c>
      <c r="E623" s="44" t="s">
        <v>849</v>
      </c>
      <c r="F623" s="45"/>
      <c r="G623" s="45"/>
      <c r="H623" s="45"/>
      <c r="I623" s="45"/>
      <c r="J623" s="46">
        <f>IF(VLOOKUP($C623,REV!$C:$AA,8,0)-'TRADE IN'!$F623=0,"",(VLOOKUP($C623,REV!$C:$AA,8,0)-'TRADE IN'!$F623))</f>
        <v>1199</v>
      </c>
      <c r="K623" s="46">
        <f>IF(VLOOKUP($C623,REV!$C:$AA,9,0)-'TRADE IN'!$F623=0,"",(VLOOKUP($C623,REV!$C:$AA,9,0)-'TRADE IN'!$F623))</f>
        <v>1199</v>
      </c>
      <c r="L623" s="46">
        <f>IF(VLOOKUP($C623,REV!$C:$AA,10,0)-'TRADE IN'!$F632=0,"",(VLOOKUP($C623,REV!$C:$AA,10,0)-'TRADE IN'!$F623))</f>
        <v>1199</v>
      </c>
      <c r="M623" s="46">
        <f>IF(VLOOKUP($C623,REV!$C:$AA,11,0)-'TRADE IN'!$F632=0,"",(VLOOKUP($C623,REV!$C:$AA,11,0)-'TRADE IN'!$F623))</f>
        <v>1199</v>
      </c>
      <c r="N623" s="46">
        <f>IF(VLOOKUP($C623,REV!$C:$AA,12,0)-'TRADE IN'!$F632=0,"",(VLOOKUP($C623,REV!$C:$AA,12,0)-'TRADE IN'!$F623))</f>
        <v>1199</v>
      </c>
      <c r="O623" s="46">
        <f>IF(VLOOKUP($C623,REV!$C:$AA,13,0)-'TRADE IN'!$F632=0,"",(VLOOKUP($C623,REV!$C:$AA,13,0)-'TRADE IN'!$F623))</f>
        <v>1199</v>
      </c>
      <c r="P623" s="46">
        <f>IF(VLOOKUP($C623,REV!$C:$AA,14,0)-'TRADE IN'!$F632=0,"",(VLOOKUP($C623,REV!$C:$AA,14,0)-'TRADE IN'!$F623))</f>
        <v>1199</v>
      </c>
      <c r="Q623" s="46">
        <f>IF(VLOOKUP($C623,REV!$C:$AA,15,0)-'TRADE IN'!$F632=0,"",(VLOOKUP($C623,REV!$C:$AA,15,0)-'TRADE IN'!$F623))</f>
        <v>1099</v>
      </c>
      <c r="R623" s="46">
        <f>IF(VLOOKUP($C623,REV!$C:$AA,16,0)-'TRADE IN'!$F632=0,"",(VLOOKUP($C623,REV!$C:$AA,16,0)-'TRADE IN'!$F623))</f>
        <v>1199</v>
      </c>
      <c r="S623" s="46">
        <f>IF(VLOOKUP($C623,REV!$C:$AA,17,0)-'TRADE IN'!$F632=0,"",(VLOOKUP($C623,REV!$C:$AA,17,0)-'TRADE IN'!$F623))</f>
        <v>1199</v>
      </c>
      <c r="T623" s="46">
        <f>IF(VLOOKUP($C623,REV!$C:$AA,18,0)-'TRADE IN'!$F632=0,"",(VLOOKUP($C623,REV!$C:$AA,18,0)-'TRADE IN'!$F623))</f>
        <v>1099</v>
      </c>
      <c r="U623" s="46">
        <f>IF(VLOOKUP($C623,REV!$C:$AA,19,0)-'TRADE IN'!$F632=0,"",(VLOOKUP($C623,REV!$C:$AA,19,0)-'TRADE IN'!$F623))</f>
        <v>1099</v>
      </c>
      <c r="V623" s="46">
        <f>IF(VLOOKUP($C623,REV!$C:$AA,20,0)-'TRADE IN'!$F632=0,"",(VLOOKUP($C623,REV!$C:$AA,20,0)-'TRADE IN'!$F623))</f>
        <v>1099</v>
      </c>
      <c r="W623" s="46">
        <f>IF(VLOOKUP($C623,REV!$C:$AA,21,0)-'TRADE IN'!$F632=0,"",(VLOOKUP($C623,REV!$C:$AA,21,0)-'TRADE IN'!$F623))</f>
        <v>1099</v>
      </c>
      <c r="X623" s="46">
        <f>IF(VLOOKUP($C623,REV!$C:$AA,22,0)-'TRADE IN'!$F632=0,"",(VLOOKUP($C623,REV!$C:$AA,22,0)-'TRADE IN'!$F623))</f>
        <v>1099</v>
      </c>
      <c r="Y623" s="46">
        <f>IF(VLOOKUP($C623,REV!$C:$AA,23,0)-'TRADE IN'!$F632=0,"",(VLOOKUP($C623,REV!$C:$AA,23,0)-'TRADE IN'!$F623))</f>
        <v>1099</v>
      </c>
      <c r="Z623" s="46">
        <f>IF(VLOOKUP($C623,REV!$C:$AA,24,0)-'TRADE IN'!$F632=0,"",(VLOOKUP($C623,REV!$C:$AA,24,0)-'TRADE IN'!$F623))</f>
        <v>1099</v>
      </c>
      <c r="AA623" s="46">
        <f>IF(VLOOKUP($C623,REV!$C:$AA,25,0)-'TRADE IN'!$F632=0,"",(VLOOKUP($C623,REV!$C:$AA,25,0)-'TRADE IN'!$F623))</f>
        <v>1099</v>
      </c>
      <c r="AB623" s="46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7"/>
      <c r="AW623" s="48" t="str">
        <f>IF(REV!AW623=0,"",REV!AW623)</f>
        <v>31.03.2026</v>
      </c>
      <c r="AX623" s="159" t="s">
        <v>82</v>
      </c>
    </row>
    <row r="624" spans="1:50" ht="22.5" customHeight="1">
      <c r="A624" s="52" t="s">
        <v>70</v>
      </c>
      <c r="B624" s="41" t="s">
        <v>62</v>
      </c>
      <c r="C624" s="42">
        <v>4014768</v>
      </c>
      <c r="D624" s="44" t="s">
        <v>850</v>
      </c>
      <c r="E624" s="44" t="s">
        <v>851</v>
      </c>
      <c r="F624" s="45"/>
      <c r="G624" s="45"/>
      <c r="H624" s="45"/>
      <c r="I624" s="45"/>
      <c r="J624" s="46">
        <f>IF(VLOOKUP($C624,REV!$C:$AA,8,0)-'TRADE IN'!$F624=0,"",(VLOOKUP($C624,REV!$C:$AA,8,0)-'TRADE IN'!$F624))</f>
        <v>1299</v>
      </c>
      <c r="K624" s="46">
        <f>IF(VLOOKUP($C624,REV!$C:$AA,9,0)-'TRADE IN'!$F624=0,"",(VLOOKUP($C624,REV!$C:$AA,9,0)-'TRADE IN'!$F624))</f>
        <v>1299</v>
      </c>
      <c r="L624" s="46">
        <f>IF(VLOOKUP($C624,REV!$C:$AA,10,0)-'TRADE IN'!$F633=0,"",(VLOOKUP($C624,REV!$C:$AA,10,0)-'TRADE IN'!$F624))</f>
        <v>1299</v>
      </c>
      <c r="M624" s="46">
        <f>IF(VLOOKUP($C624,REV!$C:$AA,11,0)-'TRADE IN'!$F633=0,"",(VLOOKUP($C624,REV!$C:$AA,11,0)-'TRADE IN'!$F624))</f>
        <v>1299</v>
      </c>
      <c r="N624" s="46">
        <f>IF(VLOOKUP($C624,REV!$C:$AA,12,0)-'TRADE IN'!$F633=0,"",(VLOOKUP($C624,REV!$C:$AA,12,0)-'TRADE IN'!$F624))</f>
        <v>1299</v>
      </c>
      <c r="O624" s="46">
        <f>IF(VLOOKUP($C624,REV!$C:$AA,13,0)-'TRADE IN'!$F633=0,"",(VLOOKUP($C624,REV!$C:$AA,13,0)-'TRADE IN'!$F624))</f>
        <v>1299</v>
      </c>
      <c r="P624" s="46">
        <f>IF(VLOOKUP($C624,REV!$C:$AA,14,0)-'TRADE IN'!$F633=0,"",(VLOOKUP($C624,REV!$C:$AA,14,0)-'TRADE IN'!$F624))</f>
        <v>1299</v>
      </c>
      <c r="Q624" s="46">
        <f>IF(VLOOKUP($C624,REV!$C:$AA,15,0)-'TRADE IN'!$F633=0,"",(VLOOKUP($C624,REV!$C:$AA,15,0)-'TRADE IN'!$F624))</f>
        <v>1199</v>
      </c>
      <c r="R624" s="46">
        <f>IF(VLOOKUP($C624,REV!$C:$AA,16,0)-'TRADE IN'!$F633=0,"",(VLOOKUP($C624,REV!$C:$AA,16,0)-'TRADE IN'!$F624))</f>
        <v>1299</v>
      </c>
      <c r="S624" s="46">
        <f>IF(VLOOKUP($C624,REV!$C:$AA,17,0)-'TRADE IN'!$F633=0,"",(VLOOKUP($C624,REV!$C:$AA,17,0)-'TRADE IN'!$F624))</f>
        <v>1299</v>
      </c>
      <c r="T624" s="46">
        <f>IF(VLOOKUP($C624,REV!$C:$AA,18,0)-'TRADE IN'!$F633=0,"",(VLOOKUP($C624,REV!$C:$AA,18,0)-'TRADE IN'!$F624))</f>
        <v>1199</v>
      </c>
      <c r="U624" s="46">
        <f>IF(VLOOKUP($C624,REV!$C:$AA,19,0)-'TRADE IN'!$F633=0,"",(VLOOKUP($C624,REV!$C:$AA,19,0)-'TRADE IN'!$F624))</f>
        <v>1199</v>
      </c>
      <c r="V624" s="46">
        <f>IF(VLOOKUP($C624,REV!$C:$AA,20,0)-'TRADE IN'!$F633=0,"",(VLOOKUP($C624,REV!$C:$AA,20,0)-'TRADE IN'!$F624))</f>
        <v>1199</v>
      </c>
      <c r="W624" s="46">
        <f>IF(VLOOKUP($C624,REV!$C:$AA,21,0)-'TRADE IN'!$F633=0,"",(VLOOKUP($C624,REV!$C:$AA,21,0)-'TRADE IN'!$F624))</f>
        <v>1199</v>
      </c>
      <c r="X624" s="46">
        <f>IF(VLOOKUP($C624,REV!$C:$AA,22,0)-'TRADE IN'!$F633=0,"",(VLOOKUP($C624,REV!$C:$AA,22,0)-'TRADE IN'!$F624))</f>
        <v>1199</v>
      </c>
      <c r="Y624" s="46">
        <f>IF(VLOOKUP($C624,REV!$C:$AA,23,0)-'TRADE IN'!$F633=0,"",(VLOOKUP($C624,REV!$C:$AA,23,0)-'TRADE IN'!$F624))</f>
        <v>1199</v>
      </c>
      <c r="Z624" s="46">
        <f>IF(VLOOKUP($C624,REV!$C:$AA,24,0)-'TRADE IN'!$F633=0,"",(VLOOKUP($C624,REV!$C:$AA,24,0)-'TRADE IN'!$F624))</f>
        <v>1199</v>
      </c>
      <c r="AA624" s="46">
        <f>IF(VLOOKUP($C624,REV!$C:$AA,25,0)-'TRADE IN'!$F633=0,"",(VLOOKUP($C624,REV!$C:$AA,25,0)-'TRADE IN'!$F624))</f>
        <v>1199</v>
      </c>
      <c r="AB624" s="46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7"/>
      <c r="AW624" s="48" t="str">
        <f>IF(REV!AW624=0,"",REV!AW624)</f>
        <v>31.03.2026</v>
      </c>
      <c r="AX624" s="159" t="s">
        <v>82</v>
      </c>
    </row>
    <row r="625" spans="1:50" ht="22.5" customHeight="1">
      <c r="A625" s="52" t="s">
        <v>70</v>
      </c>
      <c r="B625" s="41" t="s">
        <v>62</v>
      </c>
      <c r="C625" s="42">
        <v>4014756</v>
      </c>
      <c r="D625" s="44" t="s">
        <v>850</v>
      </c>
      <c r="E625" s="44" t="s">
        <v>852</v>
      </c>
      <c r="F625" s="45"/>
      <c r="G625" s="45"/>
      <c r="H625" s="45"/>
      <c r="I625" s="45"/>
      <c r="J625" s="46">
        <f>IF(VLOOKUP($C625,REV!$C:$AA,8,0)-'TRADE IN'!$F625=0,"",(VLOOKUP($C625,REV!$C:$AA,8,0)-'TRADE IN'!$F625))</f>
        <v>1299</v>
      </c>
      <c r="K625" s="46">
        <f>IF(VLOOKUP($C625,REV!$C:$AA,9,0)-'TRADE IN'!$F625=0,"",(VLOOKUP($C625,REV!$C:$AA,9,0)-'TRADE IN'!$F625))</f>
        <v>1299</v>
      </c>
      <c r="L625" s="46">
        <f>IF(VLOOKUP($C625,REV!$C:$AA,10,0)-'TRADE IN'!$F634=0,"",(VLOOKUP($C625,REV!$C:$AA,10,0)-'TRADE IN'!$F625))</f>
        <v>1299</v>
      </c>
      <c r="M625" s="46">
        <f>IF(VLOOKUP($C625,REV!$C:$AA,11,0)-'TRADE IN'!$F634=0,"",(VLOOKUP($C625,REV!$C:$AA,11,0)-'TRADE IN'!$F625))</f>
        <v>1299</v>
      </c>
      <c r="N625" s="46">
        <f>IF(VLOOKUP($C625,REV!$C:$AA,12,0)-'TRADE IN'!$F634=0,"",(VLOOKUP($C625,REV!$C:$AA,12,0)-'TRADE IN'!$F625))</f>
        <v>1299</v>
      </c>
      <c r="O625" s="46">
        <f>IF(VLOOKUP($C625,REV!$C:$AA,13,0)-'TRADE IN'!$F634=0,"",(VLOOKUP($C625,REV!$C:$AA,13,0)-'TRADE IN'!$F625))</f>
        <v>1299</v>
      </c>
      <c r="P625" s="46">
        <f>IF(VLOOKUP($C625,REV!$C:$AA,14,0)-'TRADE IN'!$F634=0,"",(VLOOKUP($C625,REV!$C:$AA,14,0)-'TRADE IN'!$F625))</f>
        <v>1299</v>
      </c>
      <c r="Q625" s="46">
        <f>IF(VLOOKUP($C625,REV!$C:$AA,15,0)-'TRADE IN'!$F634=0,"",(VLOOKUP($C625,REV!$C:$AA,15,0)-'TRADE IN'!$F625))</f>
        <v>1199</v>
      </c>
      <c r="R625" s="46">
        <f>IF(VLOOKUP($C625,REV!$C:$AA,16,0)-'TRADE IN'!$F634=0,"",(VLOOKUP($C625,REV!$C:$AA,16,0)-'TRADE IN'!$F625))</f>
        <v>1299</v>
      </c>
      <c r="S625" s="46">
        <f>IF(VLOOKUP($C625,REV!$C:$AA,17,0)-'TRADE IN'!$F634=0,"",(VLOOKUP($C625,REV!$C:$AA,17,0)-'TRADE IN'!$F625))</f>
        <v>1299</v>
      </c>
      <c r="T625" s="46">
        <f>IF(VLOOKUP($C625,REV!$C:$AA,18,0)-'TRADE IN'!$F634=0,"",(VLOOKUP($C625,REV!$C:$AA,18,0)-'TRADE IN'!$F625))</f>
        <v>1199</v>
      </c>
      <c r="U625" s="46">
        <f>IF(VLOOKUP($C625,REV!$C:$AA,19,0)-'TRADE IN'!$F634=0,"",(VLOOKUP($C625,REV!$C:$AA,19,0)-'TRADE IN'!$F625))</f>
        <v>1199</v>
      </c>
      <c r="V625" s="46">
        <f>IF(VLOOKUP($C625,REV!$C:$AA,20,0)-'TRADE IN'!$F634=0,"",(VLOOKUP($C625,REV!$C:$AA,20,0)-'TRADE IN'!$F625))</f>
        <v>1199</v>
      </c>
      <c r="W625" s="46">
        <f>IF(VLOOKUP($C625,REV!$C:$AA,21,0)-'TRADE IN'!$F634=0,"",(VLOOKUP($C625,REV!$C:$AA,21,0)-'TRADE IN'!$F625))</f>
        <v>1199</v>
      </c>
      <c r="X625" s="46">
        <f>IF(VLOOKUP($C625,REV!$C:$AA,22,0)-'TRADE IN'!$F634=0,"",(VLOOKUP($C625,REV!$C:$AA,22,0)-'TRADE IN'!$F625))</f>
        <v>1199</v>
      </c>
      <c r="Y625" s="46">
        <f>IF(VLOOKUP($C625,REV!$C:$AA,23,0)-'TRADE IN'!$F634=0,"",(VLOOKUP($C625,REV!$C:$AA,23,0)-'TRADE IN'!$F625))</f>
        <v>1199</v>
      </c>
      <c r="Z625" s="46">
        <f>IF(VLOOKUP($C625,REV!$C:$AA,24,0)-'TRADE IN'!$F634=0,"",(VLOOKUP($C625,REV!$C:$AA,24,0)-'TRADE IN'!$F625))</f>
        <v>1199</v>
      </c>
      <c r="AA625" s="46">
        <f>IF(VLOOKUP($C625,REV!$C:$AA,25,0)-'TRADE IN'!$F634=0,"",(VLOOKUP($C625,REV!$C:$AA,25,0)-'TRADE IN'!$F625))</f>
        <v>1199</v>
      </c>
      <c r="AB625" s="46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7"/>
      <c r="AW625" s="48" t="str">
        <f>IF(REV!AW625=0,"",REV!AW625)</f>
        <v>31.03.2026</v>
      </c>
      <c r="AX625" s="159" t="s">
        <v>82</v>
      </c>
    </row>
    <row r="626" spans="1:50" ht="22.5" customHeight="1">
      <c r="A626" s="52" t="s">
        <v>70</v>
      </c>
      <c r="B626" s="41" t="s">
        <v>62</v>
      </c>
      <c r="C626" s="42">
        <v>4014759</v>
      </c>
      <c r="D626" s="44" t="s">
        <v>850</v>
      </c>
      <c r="E626" s="44" t="s">
        <v>853</v>
      </c>
      <c r="F626" s="45"/>
      <c r="G626" s="45"/>
      <c r="H626" s="45"/>
      <c r="I626" s="45"/>
      <c r="J626" s="46">
        <f>IF(VLOOKUP($C626,REV!$C:$AA,8,0)-'TRADE IN'!$F626=0,"",(VLOOKUP($C626,REV!$C:$AA,8,0)-'TRADE IN'!$F626))</f>
        <v>1299</v>
      </c>
      <c r="K626" s="46">
        <f>IF(VLOOKUP($C626,REV!$C:$AA,9,0)-'TRADE IN'!$F626=0,"",(VLOOKUP($C626,REV!$C:$AA,9,0)-'TRADE IN'!$F626))</f>
        <v>1299</v>
      </c>
      <c r="L626" s="46">
        <f>IF(VLOOKUP($C626,REV!$C:$AA,10,0)-'TRADE IN'!$F635=0,"",(VLOOKUP($C626,REV!$C:$AA,10,0)-'TRADE IN'!$F626))</f>
        <v>1299</v>
      </c>
      <c r="M626" s="46">
        <f>IF(VLOOKUP($C626,REV!$C:$AA,11,0)-'TRADE IN'!$F635=0,"",(VLOOKUP($C626,REV!$C:$AA,11,0)-'TRADE IN'!$F626))</f>
        <v>1299</v>
      </c>
      <c r="N626" s="46">
        <f>IF(VLOOKUP($C626,REV!$C:$AA,12,0)-'TRADE IN'!$F635=0,"",(VLOOKUP($C626,REV!$C:$AA,12,0)-'TRADE IN'!$F626))</f>
        <v>1299</v>
      </c>
      <c r="O626" s="46">
        <f>IF(VLOOKUP($C626,REV!$C:$AA,13,0)-'TRADE IN'!$F635=0,"",(VLOOKUP($C626,REV!$C:$AA,13,0)-'TRADE IN'!$F626))</f>
        <v>1299</v>
      </c>
      <c r="P626" s="46">
        <f>IF(VLOOKUP($C626,REV!$C:$AA,14,0)-'TRADE IN'!$F635=0,"",(VLOOKUP($C626,REV!$C:$AA,14,0)-'TRADE IN'!$F626))</f>
        <v>1299</v>
      </c>
      <c r="Q626" s="46">
        <f>IF(VLOOKUP($C626,REV!$C:$AA,15,0)-'TRADE IN'!$F635=0,"",(VLOOKUP($C626,REV!$C:$AA,15,0)-'TRADE IN'!$F626))</f>
        <v>1199</v>
      </c>
      <c r="R626" s="46">
        <f>IF(VLOOKUP($C626,REV!$C:$AA,16,0)-'TRADE IN'!$F635=0,"",(VLOOKUP($C626,REV!$C:$AA,16,0)-'TRADE IN'!$F626))</f>
        <v>1299</v>
      </c>
      <c r="S626" s="46">
        <f>IF(VLOOKUP($C626,REV!$C:$AA,17,0)-'TRADE IN'!$F635=0,"",(VLOOKUP($C626,REV!$C:$AA,17,0)-'TRADE IN'!$F626))</f>
        <v>1299</v>
      </c>
      <c r="T626" s="46">
        <f>IF(VLOOKUP($C626,REV!$C:$AA,18,0)-'TRADE IN'!$F635=0,"",(VLOOKUP($C626,REV!$C:$AA,18,0)-'TRADE IN'!$F626))</f>
        <v>1199</v>
      </c>
      <c r="U626" s="46">
        <f>IF(VLOOKUP($C626,REV!$C:$AA,19,0)-'TRADE IN'!$F635=0,"",(VLOOKUP($C626,REV!$C:$AA,19,0)-'TRADE IN'!$F626))</f>
        <v>1199</v>
      </c>
      <c r="V626" s="46">
        <f>IF(VLOOKUP($C626,REV!$C:$AA,20,0)-'TRADE IN'!$F635=0,"",(VLOOKUP($C626,REV!$C:$AA,20,0)-'TRADE IN'!$F626))</f>
        <v>1199</v>
      </c>
      <c r="W626" s="46">
        <f>IF(VLOOKUP($C626,REV!$C:$AA,21,0)-'TRADE IN'!$F635=0,"",(VLOOKUP($C626,REV!$C:$AA,21,0)-'TRADE IN'!$F626))</f>
        <v>1199</v>
      </c>
      <c r="X626" s="46">
        <f>IF(VLOOKUP($C626,REV!$C:$AA,22,0)-'TRADE IN'!$F635=0,"",(VLOOKUP($C626,REV!$C:$AA,22,0)-'TRADE IN'!$F626))</f>
        <v>1199</v>
      </c>
      <c r="Y626" s="46">
        <f>IF(VLOOKUP($C626,REV!$C:$AA,23,0)-'TRADE IN'!$F635=0,"",(VLOOKUP($C626,REV!$C:$AA,23,0)-'TRADE IN'!$F626))</f>
        <v>1199</v>
      </c>
      <c r="Z626" s="46">
        <f>IF(VLOOKUP($C626,REV!$C:$AA,24,0)-'TRADE IN'!$F635=0,"",(VLOOKUP($C626,REV!$C:$AA,24,0)-'TRADE IN'!$F626))</f>
        <v>1199</v>
      </c>
      <c r="AA626" s="46">
        <f>IF(VLOOKUP($C626,REV!$C:$AA,25,0)-'TRADE IN'!$F635=0,"",(VLOOKUP($C626,REV!$C:$AA,25,0)-'TRADE IN'!$F626))</f>
        <v>1199</v>
      </c>
      <c r="AB626" s="46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7"/>
      <c r="AW626" s="48" t="str">
        <f>IF(REV!AW626=0,"",REV!AW626)</f>
        <v>31.03.2026</v>
      </c>
      <c r="AX626" s="159" t="s">
        <v>82</v>
      </c>
    </row>
    <row r="627" spans="1:50" ht="22.5" customHeight="1">
      <c r="A627" s="52" t="s">
        <v>70</v>
      </c>
      <c r="B627" s="41" t="s">
        <v>62</v>
      </c>
      <c r="C627" s="42">
        <v>4014743</v>
      </c>
      <c r="D627" s="44" t="s">
        <v>850</v>
      </c>
      <c r="E627" s="44" t="s">
        <v>854</v>
      </c>
      <c r="F627" s="45"/>
      <c r="G627" s="45"/>
      <c r="H627" s="45"/>
      <c r="I627" s="45"/>
      <c r="J627" s="46">
        <f>IF(VLOOKUP($C627,REV!$C:$AA,8,0)-'TRADE IN'!$F627=0,"",(VLOOKUP($C627,REV!$C:$AA,8,0)-'TRADE IN'!$F627))</f>
        <v>1299</v>
      </c>
      <c r="K627" s="46">
        <f>IF(VLOOKUP($C627,REV!$C:$AA,9,0)-'TRADE IN'!$F627=0,"",(VLOOKUP($C627,REV!$C:$AA,9,0)-'TRADE IN'!$F627))</f>
        <v>1299</v>
      </c>
      <c r="L627" s="46">
        <f>IF(VLOOKUP($C627,REV!$C:$AA,10,0)-'TRADE IN'!$F636=0,"",(VLOOKUP($C627,REV!$C:$AA,10,0)-'TRADE IN'!$F627))</f>
        <v>1299</v>
      </c>
      <c r="M627" s="46">
        <f>IF(VLOOKUP($C627,REV!$C:$AA,11,0)-'TRADE IN'!$F636=0,"",(VLOOKUP($C627,REV!$C:$AA,11,0)-'TRADE IN'!$F627))</f>
        <v>1299</v>
      </c>
      <c r="N627" s="46">
        <f>IF(VLOOKUP($C627,REV!$C:$AA,12,0)-'TRADE IN'!$F636=0,"",(VLOOKUP($C627,REV!$C:$AA,12,0)-'TRADE IN'!$F627))</f>
        <v>1299</v>
      </c>
      <c r="O627" s="46">
        <f>IF(VLOOKUP($C627,REV!$C:$AA,13,0)-'TRADE IN'!$F636=0,"",(VLOOKUP($C627,REV!$C:$AA,13,0)-'TRADE IN'!$F627))</f>
        <v>1299</v>
      </c>
      <c r="P627" s="46">
        <f>IF(VLOOKUP($C627,REV!$C:$AA,14,0)-'TRADE IN'!$F636=0,"",(VLOOKUP($C627,REV!$C:$AA,14,0)-'TRADE IN'!$F627))</f>
        <v>1299</v>
      </c>
      <c r="Q627" s="46">
        <f>IF(VLOOKUP($C627,REV!$C:$AA,15,0)-'TRADE IN'!$F636=0,"",(VLOOKUP($C627,REV!$C:$AA,15,0)-'TRADE IN'!$F627))</f>
        <v>1199</v>
      </c>
      <c r="R627" s="46">
        <f>IF(VLOOKUP($C627,REV!$C:$AA,16,0)-'TRADE IN'!$F636=0,"",(VLOOKUP($C627,REV!$C:$AA,16,0)-'TRADE IN'!$F627))</f>
        <v>1299</v>
      </c>
      <c r="S627" s="46">
        <f>IF(VLOOKUP($C627,REV!$C:$AA,17,0)-'TRADE IN'!$F636=0,"",(VLOOKUP($C627,REV!$C:$AA,17,0)-'TRADE IN'!$F627))</f>
        <v>1299</v>
      </c>
      <c r="T627" s="46">
        <f>IF(VLOOKUP($C627,REV!$C:$AA,18,0)-'TRADE IN'!$F636=0,"",(VLOOKUP($C627,REV!$C:$AA,18,0)-'TRADE IN'!$F627))</f>
        <v>1199</v>
      </c>
      <c r="U627" s="46">
        <f>IF(VLOOKUP($C627,REV!$C:$AA,19,0)-'TRADE IN'!$F636=0,"",(VLOOKUP($C627,REV!$C:$AA,19,0)-'TRADE IN'!$F627))</f>
        <v>1199</v>
      </c>
      <c r="V627" s="46">
        <f>IF(VLOOKUP($C627,REV!$C:$AA,20,0)-'TRADE IN'!$F636=0,"",(VLOOKUP($C627,REV!$C:$AA,20,0)-'TRADE IN'!$F627))</f>
        <v>1199</v>
      </c>
      <c r="W627" s="46">
        <f>IF(VLOOKUP($C627,REV!$C:$AA,21,0)-'TRADE IN'!$F636=0,"",(VLOOKUP($C627,REV!$C:$AA,21,0)-'TRADE IN'!$F627))</f>
        <v>1199</v>
      </c>
      <c r="X627" s="46">
        <f>IF(VLOOKUP($C627,REV!$C:$AA,22,0)-'TRADE IN'!$F636=0,"",(VLOOKUP($C627,REV!$C:$AA,22,0)-'TRADE IN'!$F627))</f>
        <v>1199</v>
      </c>
      <c r="Y627" s="46">
        <f>IF(VLOOKUP($C627,REV!$C:$AA,23,0)-'TRADE IN'!$F636=0,"",(VLOOKUP($C627,REV!$C:$AA,23,0)-'TRADE IN'!$F627))</f>
        <v>1199</v>
      </c>
      <c r="Z627" s="46">
        <f>IF(VLOOKUP($C627,REV!$C:$AA,24,0)-'TRADE IN'!$F636=0,"",(VLOOKUP($C627,REV!$C:$AA,24,0)-'TRADE IN'!$F627))</f>
        <v>1199</v>
      </c>
      <c r="AA627" s="46">
        <f>IF(VLOOKUP($C627,REV!$C:$AA,25,0)-'TRADE IN'!$F636=0,"",(VLOOKUP($C627,REV!$C:$AA,25,0)-'TRADE IN'!$F627))</f>
        <v>1199</v>
      </c>
      <c r="AB627" s="46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7"/>
      <c r="AW627" s="48" t="str">
        <f>IF(REV!AW627=0,"",REV!AW627)</f>
        <v>31.03.2026</v>
      </c>
      <c r="AX627" s="159" t="s">
        <v>82</v>
      </c>
    </row>
    <row r="628" spans="1:50" ht="22.5" customHeight="1">
      <c r="A628" s="52" t="s">
        <v>70</v>
      </c>
      <c r="B628" s="41" t="s">
        <v>62</v>
      </c>
      <c r="C628" s="42">
        <v>4014765</v>
      </c>
      <c r="D628" s="44" t="s">
        <v>850</v>
      </c>
      <c r="E628" s="44" t="s">
        <v>855</v>
      </c>
      <c r="F628" s="45"/>
      <c r="G628" s="45"/>
      <c r="H628" s="45"/>
      <c r="I628" s="45"/>
      <c r="J628" s="46">
        <f>IF(VLOOKUP($C628,REV!$C:$AA,8,0)-'TRADE IN'!$F628=0,"",(VLOOKUP($C628,REV!$C:$AA,8,0)-'TRADE IN'!$F628))</f>
        <v>1299</v>
      </c>
      <c r="K628" s="46">
        <f>IF(VLOOKUP($C628,REV!$C:$AA,9,0)-'TRADE IN'!$F628=0,"",(VLOOKUP($C628,REV!$C:$AA,9,0)-'TRADE IN'!$F628))</f>
        <v>1299</v>
      </c>
      <c r="L628" s="46">
        <f>IF(VLOOKUP($C628,REV!$C:$AA,10,0)-'TRADE IN'!$F637=0,"",(VLOOKUP($C628,REV!$C:$AA,10,0)-'TRADE IN'!$F628))</f>
        <v>1299</v>
      </c>
      <c r="M628" s="46">
        <f>IF(VLOOKUP($C628,REV!$C:$AA,11,0)-'TRADE IN'!$F637=0,"",(VLOOKUP($C628,REV!$C:$AA,11,0)-'TRADE IN'!$F628))</f>
        <v>1299</v>
      </c>
      <c r="N628" s="46">
        <f>IF(VLOOKUP($C628,REV!$C:$AA,12,0)-'TRADE IN'!$F637=0,"",(VLOOKUP($C628,REV!$C:$AA,12,0)-'TRADE IN'!$F628))</f>
        <v>1299</v>
      </c>
      <c r="O628" s="46">
        <f>IF(VLOOKUP($C628,REV!$C:$AA,13,0)-'TRADE IN'!$F637=0,"",(VLOOKUP($C628,REV!$C:$AA,13,0)-'TRADE IN'!$F628))</f>
        <v>1299</v>
      </c>
      <c r="P628" s="46">
        <f>IF(VLOOKUP($C628,REV!$C:$AA,14,0)-'TRADE IN'!$F637=0,"",(VLOOKUP($C628,REV!$C:$AA,14,0)-'TRADE IN'!$F628))</f>
        <v>1299</v>
      </c>
      <c r="Q628" s="46">
        <f>IF(VLOOKUP($C628,REV!$C:$AA,15,0)-'TRADE IN'!$F637=0,"",(VLOOKUP($C628,REV!$C:$AA,15,0)-'TRADE IN'!$F628))</f>
        <v>1199</v>
      </c>
      <c r="R628" s="46">
        <f>IF(VLOOKUP($C628,REV!$C:$AA,16,0)-'TRADE IN'!$F637=0,"",(VLOOKUP($C628,REV!$C:$AA,16,0)-'TRADE IN'!$F628))</f>
        <v>1299</v>
      </c>
      <c r="S628" s="46">
        <f>IF(VLOOKUP($C628,REV!$C:$AA,17,0)-'TRADE IN'!$F637=0,"",(VLOOKUP($C628,REV!$C:$AA,17,0)-'TRADE IN'!$F628))</f>
        <v>1299</v>
      </c>
      <c r="T628" s="46">
        <f>IF(VLOOKUP($C628,REV!$C:$AA,18,0)-'TRADE IN'!$F637=0,"",(VLOOKUP($C628,REV!$C:$AA,18,0)-'TRADE IN'!$F628))</f>
        <v>1199</v>
      </c>
      <c r="U628" s="46">
        <f>IF(VLOOKUP($C628,REV!$C:$AA,19,0)-'TRADE IN'!$F637=0,"",(VLOOKUP($C628,REV!$C:$AA,19,0)-'TRADE IN'!$F628))</f>
        <v>1199</v>
      </c>
      <c r="V628" s="46">
        <f>IF(VLOOKUP($C628,REV!$C:$AA,20,0)-'TRADE IN'!$F637=0,"",(VLOOKUP($C628,REV!$C:$AA,20,0)-'TRADE IN'!$F628))</f>
        <v>1199</v>
      </c>
      <c r="W628" s="46">
        <f>IF(VLOOKUP($C628,REV!$C:$AA,21,0)-'TRADE IN'!$F637=0,"",(VLOOKUP($C628,REV!$C:$AA,21,0)-'TRADE IN'!$F628))</f>
        <v>1199</v>
      </c>
      <c r="X628" s="46">
        <f>IF(VLOOKUP($C628,REV!$C:$AA,22,0)-'TRADE IN'!$F637=0,"",(VLOOKUP($C628,REV!$C:$AA,22,0)-'TRADE IN'!$F628))</f>
        <v>1199</v>
      </c>
      <c r="Y628" s="46">
        <f>IF(VLOOKUP($C628,REV!$C:$AA,23,0)-'TRADE IN'!$F637=0,"",(VLOOKUP($C628,REV!$C:$AA,23,0)-'TRADE IN'!$F628))</f>
        <v>1199</v>
      </c>
      <c r="Z628" s="46">
        <f>IF(VLOOKUP($C628,REV!$C:$AA,24,0)-'TRADE IN'!$F637=0,"",(VLOOKUP($C628,REV!$C:$AA,24,0)-'TRADE IN'!$F628))</f>
        <v>1199</v>
      </c>
      <c r="AA628" s="46">
        <f>IF(VLOOKUP($C628,REV!$C:$AA,25,0)-'TRADE IN'!$F637=0,"",(VLOOKUP($C628,REV!$C:$AA,25,0)-'TRADE IN'!$F628))</f>
        <v>1199</v>
      </c>
      <c r="AB628" s="46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7"/>
      <c r="AW628" s="48" t="str">
        <f>IF(REV!AW628=0,"",REV!AW628)</f>
        <v>31.03.2026</v>
      </c>
      <c r="AX628" s="159" t="s">
        <v>82</v>
      </c>
    </row>
    <row r="629" spans="1:50" ht="22.5" customHeight="1">
      <c r="A629" s="52" t="s">
        <v>70</v>
      </c>
      <c r="B629" s="41" t="s">
        <v>62</v>
      </c>
      <c r="C629" s="42">
        <v>4014751</v>
      </c>
      <c r="D629" s="44" t="s">
        <v>850</v>
      </c>
      <c r="E629" s="44" t="s">
        <v>856</v>
      </c>
      <c r="F629" s="45"/>
      <c r="G629" s="45"/>
      <c r="H629" s="45"/>
      <c r="I629" s="45"/>
      <c r="J629" s="46">
        <f>IF(VLOOKUP($C629,REV!$C:$AA,8,0)-'TRADE IN'!$F629=0,"",(VLOOKUP($C629,REV!$C:$AA,8,0)-'TRADE IN'!$F629))</f>
        <v>1299</v>
      </c>
      <c r="K629" s="46">
        <f>IF(VLOOKUP($C629,REV!$C:$AA,9,0)-'TRADE IN'!$F629=0,"",(VLOOKUP($C629,REV!$C:$AA,9,0)-'TRADE IN'!$F629))</f>
        <v>1299</v>
      </c>
      <c r="L629" s="46">
        <f>IF(VLOOKUP($C629,REV!$C:$AA,10,0)-'TRADE IN'!$F638=0,"",(VLOOKUP($C629,REV!$C:$AA,10,0)-'TRADE IN'!$F629))</f>
        <v>1299</v>
      </c>
      <c r="M629" s="46">
        <f>IF(VLOOKUP($C629,REV!$C:$AA,11,0)-'TRADE IN'!$F638=0,"",(VLOOKUP($C629,REV!$C:$AA,11,0)-'TRADE IN'!$F629))</f>
        <v>1299</v>
      </c>
      <c r="N629" s="46">
        <f>IF(VLOOKUP($C629,REV!$C:$AA,12,0)-'TRADE IN'!$F638=0,"",(VLOOKUP($C629,REV!$C:$AA,12,0)-'TRADE IN'!$F629))</f>
        <v>1299</v>
      </c>
      <c r="O629" s="46">
        <f>IF(VLOOKUP($C629,REV!$C:$AA,13,0)-'TRADE IN'!$F638=0,"",(VLOOKUP($C629,REV!$C:$AA,13,0)-'TRADE IN'!$F629))</f>
        <v>1299</v>
      </c>
      <c r="P629" s="46">
        <f>IF(VLOOKUP($C629,REV!$C:$AA,14,0)-'TRADE IN'!$F638=0,"",(VLOOKUP($C629,REV!$C:$AA,14,0)-'TRADE IN'!$F629))</f>
        <v>1299</v>
      </c>
      <c r="Q629" s="46">
        <f>IF(VLOOKUP($C629,REV!$C:$AA,15,0)-'TRADE IN'!$F638=0,"",(VLOOKUP($C629,REV!$C:$AA,15,0)-'TRADE IN'!$F629))</f>
        <v>1199</v>
      </c>
      <c r="R629" s="46">
        <f>IF(VLOOKUP($C629,REV!$C:$AA,16,0)-'TRADE IN'!$F638=0,"",(VLOOKUP($C629,REV!$C:$AA,16,0)-'TRADE IN'!$F629))</f>
        <v>1299</v>
      </c>
      <c r="S629" s="46">
        <f>IF(VLOOKUP($C629,REV!$C:$AA,17,0)-'TRADE IN'!$F638=0,"",(VLOOKUP($C629,REV!$C:$AA,17,0)-'TRADE IN'!$F629))</f>
        <v>1299</v>
      </c>
      <c r="T629" s="46">
        <f>IF(VLOOKUP($C629,REV!$C:$AA,18,0)-'TRADE IN'!$F638=0,"",(VLOOKUP($C629,REV!$C:$AA,18,0)-'TRADE IN'!$F629))</f>
        <v>1199</v>
      </c>
      <c r="U629" s="46">
        <f>IF(VLOOKUP($C629,REV!$C:$AA,19,0)-'TRADE IN'!$F638=0,"",(VLOOKUP($C629,REV!$C:$AA,19,0)-'TRADE IN'!$F629))</f>
        <v>1199</v>
      </c>
      <c r="V629" s="46">
        <f>IF(VLOOKUP($C629,REV!$C:$AA,20,0)-'TRADE IN'!$F638=0,"",(VLOOKUP($C629,REV!$C:$AA,20,0)-'TRADE IN'!$F629))</f>
        <v>1199</v>
      </c>
      <c r="W629" s="46">
        <f>IF(VLOOKUP($C629,REV!$C:$AA,21,0)-'TRADE IN'!$F638=0,"",(VLOOKUP($C629,REV!$C:$AA,21,0)-'TRADE IN'!$F629))</f>
        <v>1199</v>
      </c>
      <c r="X629" s="46">
        <f>IF(VLOOKUP($C629,REV!$C:$AA,22,0)-'TRADE IN'!$F638=0,"",(VLOOKUP($C629,REV!$C:$AA,22,0)-'TRADE IN'!$F629))</f>
        <v>1199</v>
      </c>
      <c r="Y629" s="46">
        <f>IF(VLOOKUP($C629,REV!$C:$AA,23,0)-'TRADE IN'!$F638=0,"",(VLOOKUP($C629,REV!$C:$AA,23,0)-'TRADE IN'!$F629))</f>
        <v>1199</v>
      </c>
      <c r="Z629" s="46">
        <f>IF(VLOOKUP($C629,REV!$C:$AA,24,0)-'TRADE IN'!$F638=0,"",(VLOOKUP($C629,REV!$C:$AA,24,0)-'TRADE IN'!$F629))</f>
        <v>1199</v>
      </c>
      <c r="AA629" s="46">
        <f>IF(VLOOKUP($C629,REV!$C:$AA,25,0)-'TRADE IN'!$F638=0,"",(VLOOKUP($C629,REV!$C:$AA,25,0)-'TRADE IN'!$F629))</f>
        <v>1199</v>
      </c>
      <c r="AB629" s="46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7"/>
      <c r="AW629" s="48" t="str">
        <f>IF(REV!AW629=0,"",REV!AW629)</f>
        <v>31.03.2026</v>
      </c>
      <c r="AX629" s="159" t="s">
        <v>82</v>
      </c>
    </row>
    <row r="630" spans="1:50" ht="22.5" customHeight="1">
      <c r="A630" s="52" t="s">
        <v>70</v>
      </c>
      <c r="B630" s="41" t="s">
        <v>62</v>
      </c>
      <c r="C630" s="42">
        <v>4014762</v>
      </c>
      <c r="D630" s="44" t="s">
        <v>850</v>
      </c>
      <c r="E630" s="44" t="s">
        <v>857</v>
      </c>
      <c r="F630" s="45"/>
      <c r="G630" s="45"/>
      <c r="H630" s="45"/>
      <c r="I630" s="45"/>
      <c r="J630" s="46">
        <f>IF(VLOOKUP($C630,REV!$C:$AA,8,0)-'TRADE IN'!$F630=0,"",(VLOOKUP($C630,REV!$C:$AA,8,0)-'TRADE IN'!$F630))</f>
        <v>1299</v>
      </c>
      <c r="K630" s="46">
        <f>IF(VLOOKUP($C630,REV!$C:$AA,9,0)-'TRADE IN'!$F630=0,"",(VLOOKUP($C630,REV!$C:$AA,9,0)-'TRADE IN'!$F630))</f>
        <v>1299</v>
      </c>
      <c r="L630" s="46">
        <f>IF(VLOOKUP($C630,REV!$C:$AA,10,0)-'TRADE IN'!$F639=0,"",(VLOOKUP($C630,REV!$C:$AA,10,0)-'TRADE IN'!$F630))</f>
        <v>1299</v>
      </c>
      <c r="M630" s="46">
        <f>IF(VLOOKUP($C630,REV!$C:$AA,11,0)-'TRADE IN'!$F639=0,"",(VLOOKUP($C630,REV!$C:$AA,11,0)-'TRADE IN'!$F630))</f>
        <v>1299</v>
      </c>
      <c r="N630" s="46">
        <f>IF(VLOOKUP($C630,REV!$C:$AA,12,0)-'TRADE IN'!$F639=0,"",(VLOOKUP($C630,REV!$C:$AA,12,0)-'TRADE IN'!$F630))</f>
        <v>1299</v>
      </c>
      <c r="O630" s="46">
        <f>IF(VLOOKUP($C630,REV!$C:$AA,13,0)-'TRADE IN'!$F639=0,"",(VLOOKUP($C630,REV!$C:$AA,13,0)-'TRADE IN'!$F630))</f>
        <v>1299</v>
      </c>
      <c r="P630" s="46">
        <f>IF(VLOOKUP($C630,REV!$C:$AA,14,0)-'TRADE IN'!$F639=0,"",(VLOOKUP($C630,REV!$C:$AA,14,0)-'TRADE IN'!$F630))</f>
        <v>1299</v>
      </c>
      <c r="Q630" s="46">
        <f>IF(VLOOKUP($C630,REV!$C:$AA,15,0)-'TRADE IN'!$F639=0,"",(VLOOKUP($C630,REV!$C:$AA,15,0)-'TRADE IN'!$F630))</f>
        <v>1199</v>
      </c>
      <c r="R630" s="46">
        <f>IF(VLOOKUP($C630,REV!$C:$AA,16,0)-'TRADE IN'!$F639=0,"",(VLOOKUP($C630,REV!$C:$AA,16,0)-'TRADE IN'!$F630))</f>
        <v>1299</v>
      </c>
      <c r="S630" s="46">
        <f>IF(VLOOKUP($C630,REV!$C:$AA,17,0)-'TRADE IN'!$F639=0,"",(VLOOKUP($C630,REV!$C:$AA,17,0)-'TRADE IN'!$F630))</f>
        <v>1299</v>
      </c>
      <c r="T630" s="46">
        <f>IF(VLOOKUP($C630,REV!$C:$AA,18,0)-'TRADE IN'!$F639=0,"",(VLOOKUP($C630,REV!$C:$AA,18,0)-'TRADE IN'!$F630))</f>
        <v>1199</v>
      </c>
      <c r="U630" s="46">
        <f>IF(VLOOKUP($C630,REV!$C:$AA,19,0)-'TRADE IN'!$F639=0,"",(VLOOKUP($C630,REV!$C:$AA,19,0)-'TRADE IN'!$F630))</f>
        <v>1199</v>
      </c>
      <c r="V630" s="46">
        <f>IF(VLOOKUP($C630,REV!$C:$AA,20,0)-'TRADE IN'!$F639=0,"",(VLOOKUP($C630,REV!$C:$AA,20,0)-'TRADE IN'!$F630))</f>
        <v>1199</v>
      </c>
      <c r="W630" s="46">
        <f>IF(VLOOKUP($C630,REV!$C:$AA,21,0)-'TRADE IN'!$F639=0,"",(VLOOKUP($C630,REV!$C:$AA,21,0)-'TRADE IN'!$F630))</f>
        <v>1199</v>
      </c>
      <c r="X630" s="46">
        <f>IF(VLOOKUP($C630,REV!$C:$AA,22,0)-'TRADE IN'!$F639=0,"",(VLOOKUP($C630,REV!$C:$AA,22,0)-'TRADE IN'!$F630))</f>
        <v>1199</v>
      </c>
      <c r="Y630" s="46">
        <f>IF(VLOOKUP($C630,REV!$C:$AA,23,0)-'TRADE IN'!$F639=0,"",(VLOOKUP($C630,REV!$C:$AA,23,0)-'TRADE IN'!$F630))</f>
        <v>1199</v>
      </c>
      <c r="Z630" s="46">
        <f>IF(VLOOKUP($C630,REV!$C:$AA,24,0)-'TRADE IN'!$F639=0,"",(VLOOKUP($C630,REV!$C:$AA,24,0)-'TRADE IN'!$F630))</f>
        <v>1199</v>
      </c>
      <c r="AA630" s="46">
        <f>IF(VLOOKUP($C630,REV!$C:$AA,25,0)-'TRADE IN'!$F639=0,"",(VLOOKUP($C630,REV!$C:$AA,25,0)-'TRADE IN'!$F630))</f>
        <v>1199</v>
      </c>
      <c r="AB630" s="46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7"/>
      <c r="AW630" s="48" t="str">
        <f>IF(REV!AW630=0,"",REV!AW630)</f>
        <v>31.03.2026</v>
      </c>
      <c r="AX630" s="159" t="s">
        <v>82</v>
      </c>
    </row>
    <row r="631" spans="1:50" ht="22.5" customHeight="1">
      <c r="A631" s="52" t="s">
        <v>70</v>
      </c>
      <c r="B631" s="41" t="s">
        <v>62</v>
      </c>
      <c r="C631" s="42">
        <v>4014747</v>
      </c>
      <c r="D631" s="44" t="s">
        <v>850</v>
      </c>
      <c r="E631" s="44" t="s">
        <v>858</v>
      </c>
      <c r="F631" s="45"/>
      <c r="G631" s="45"/>
      <c r="H631" s="45"/>
      <c r="I631" s="45"/>
      <c r="J631" s="46">
        <f>IF(VLOOKUP($C631,REV!$C:$AA,8,0)-'TRADE IN'!$F631=0,"",(VLOOKUP($C631,REV!$C:$AA,8,0)-'TRADE IN'!$F631))</f>
        <v>1299</v>
      </c>
      <c r="K631" s="46">
        <f>IF(VLOOKUP($C631,REV!$C:$AA,9,0)-'TRADE IN'!$F631=0,"",(VLOOKUP($C631,REV!$C:$AA,9,0)-'TRADE IN'!$F631))</f>
        <v>1299</v>
      </c>
      <c r="L631" s="46">
        <f>IF(VLOOKUP($C631,REV!$C:$AA,10,0)-'TRADE IN'!$F640=0,"",(VLOOKUP($C631,REV!$C:$AA,10,0)-'TRADE IN'!$F631))</f>
        <v>1299</v>
      </c>
      <c r="M631" s="46">
        <f>IF(VLOOKUP($C631,REV!$C:$AA,11,0)-'TRADE IN'!$F640=0,"",(VLOOKUP($C631,REV!$C:$AA,11,0)-'TRADE IN'!$F631))</f>
        <v>1299</v>
      </c>
      <c r="N631" s="46">
        <f>IF(VLOOKUP($C631,REV!$C:$AA,12,0)-'TRADE IN'!$F640=0,"",(VLOOKUP($C631,REV!$C:$AA,12,0)-'TRADE IN'!$F631))</f>
        <v>1299</v>
      </c>
      <c r="O631" s="46">
        <f>IF(VLOOKUP($C631,REV!$C:$AA,13,0)-'TRADE IN'!$F640=0,"",(VLOOKUP($C631,REV!$C:$AA,13,0)-'TRADE IN'!$F631))</f>
        <v>1299</v>
      </c>
      <c r="P631" s="46">
        <f>IF(VLOOKUP($C631,REV!$C:$AA,14,0)-'TRADE IN'!$F640=0,"",(VLOOKUP($C631,REV!$C:$AA,14,0)-'TRADE IN'!$F631))</f>
        <v>1299</v>
      </c>
      <c r="Q631" s="46">
        <f>IF(VLOOKUP($C631,REV!$C:$AA,15,0)-'TRADE IN'!$F640=0,"",(VLOOKUP($C631,REV!$C:$AA,15,0)-'TRADE IN'!$F631))</f>
        <v>1199</v>
      </c>
      <c r="R631" s="46">
        <f>IF(VLOOKUP($C631,REV!$C:$AA,16,0)-'TRADE IN'!$F640=0,"",(VLOOKUP($C631,REV!$C:$AA,16,0)-'TRADE IN'!$F631))</f>
        <v>1299</v>
      </c>
      <c r="S631" s="46">
        <f>IF(VLOOKUP($C631,REV!$C:$AA,17,0)-'TRADE IN'!$F640=0,"",(VLOOKUP($C631,REV!$C:$AA,17,0)-'TRADE IN'!$F631))</f>
        <v>1299</v>
      </c>
      <c r="T631" s="46">
        <f>IF(VLOOKUP($C631,REV!$C:$AA,18,0)-'TRADE IN'!$F640=0,"",(VLOOKUP($C631,REV!$C:$AA,18,0)-'TRADE IN'!$F631))</f>
        <v>1199</v>
      </c>
      <c r="U631" s="46">
        <f>IF(VLOOKUP($C631,REV!$C:$AA,19,0)-'TRADE IN'!$F640=0,"",(VLOOKUP($C631,REV!$C:$AA,19,0)-'TRADE IN'!$F631))</f>
        <v>1199</v>
      </c>
      <c r="V631" s="46">
        <f>IF(VLOOKUP($C631,REV!$C:$AA,20,0)-'TRADE IN'!$F640=0,"",(VLOOKUP($C631,REV!$C:$AA,20,0)-'TRADE IN'!$F631))</f>
        <v>1199</v>
      </c>
      <c r="W631" s="46">
        <f>IF(VLOOKUP($C631,REV!$C:$AA,21,0)-'TRADE IN'!$F640=0,"",(VLOOKUP($C631,REV!$C:$AA,21,0)-'TRADE IN'!$F631))</f>
        <v>1199</v>
      </c>
      <c r="X631" s="46">
        <f>IF(VLOOKUP($C631,REV!$C:$AA,22,0)-'TRADE IN'!$F640=0,"",(VLOOKUP($C631,REV!$C:$AA,22,0)-'TRADE IN'!$F631))</f>
        <v>1199</v>
      </c>
      <c r="Y631" s="46">
        <f>IF(VLOOKUP($C631,REV!$C:$AA,23,0)-'TRADE IN'!$F640=0,"",(VLOOKUP($C631,REV!$C:$AA,23,0)-'TRADE IN'!$F631))</f>
        <v>1199</v>
      </c>
      <c r="Z631" s="46">
        <f>IF(VLOOKUP($C631,REV!$C:$AA,24,0)-'TRADE IN'!$F640=0,"",(VLOOKUP($C631,REV!$C:$AA,24,0)-'TRADE IN'!$F631))</f>
        <v>1199</v>
      </c>
      <c r="AA631" s="46">
        <f>IF(VLOOKUP($C631,REV!$C:$AA,25,0)-'TRADE IN'!$F640=0,"",(VLOOKUP($C631,REV!$C:$AA,25,0)-'TRADE IN'!$F631))</f>
        <v>1199</v>
      </c>
      <c r="AB631" s="46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7"/>
      <c r="AW631" s="48" t="str">
        <f>IF(REV!AW631=0,"",REV!AW631)</f>
        <v>31.03.2026</v>
      </c>
      <c r="AX631" s="159" t="s">
        <v>82</v>
      </c>
    </row>
    <row r="632" spans="1:50" ht="22.5" customHeight="1">
      <c r="A632" s="52" t="s">
        <v>70</v>
      </c>
      <c r="B632" s="41" t="s">
        <v>62</v>
      </c>
      <c r="C632" s="42">
        <v>4015288</v>
      </c>
      <c r="D632" s="44" t="s">
        <v>859</v>
      </c>
      <c r="E632" s="44" t="s">
        <v>860</v>
      </c>
      <c r="F632" s="45"/>
      <c r="G632" s="45"/>
      <c r="H632" s="45"/>
      <c r="I632" s="45"/>
      <c r="J632" s="46">
        <f>IF(VLOOKUP($C632,REV!$C:$AA,8,0)-'TRADE IN'!$F632=0,"",(VLOOKUP($C632,REV!$C:$AA,8,0)-'TRADE IN'!$F632))</f>
        <v>2899</v>
      </c>
      <c r="K632" s="46">
        <f>IF(VLOOKUP($C632,REV!$C:$AA,9,0)-'TRADE IN'!$F632=0,"",(VLOOKUP($C632,REV!$C:$AA,9,0)-'TRADE IN'!$F632))</f>
        <v>2799</v>
      </c>
      <c r="L632" s="46">
        <f>IF(VLOOKUP($C632,REV!$C:$AA,10,0)-'TRADE IN'!$F641=0,"",(VLOOKUP($C632,REV!$C:$AA,10,0)-'TRADE IN'!$F632))</f>
        <v>2799</v>
      </c>
      <c r="M632" s="46">
        <f>IF(VLOOKUP($C632,REV!$C:$AA,11,0)-'TRADE IN'!$F641=0,"",(VLOOKUP($C632,REV!$C:$AA,11,0)-'TRADE IN'!$F632))</f>
        <v>2899</v>
      </c>
      <c r="N632" s="46">
        <f>IF(VLOOKUP($C632,REV!$C:$AA,12,0)-'TRADE IN'!$F641=0,"",(VLOOKUP($C632,REV!$C:$AA,12,0)-'TRADE IN'!$F632))</f>
        <v>2899</v>
      </c>
      <c r="O632" s="46">
        <f>IF(VLOOKUP($C632,REV!$C:$AA,13,0)-'TRADE IN'!$F641=0,"",(VLOOKUP($C632,REV!$C:$AA,13,0)-'TRADE IN'!$F632))</f>
        <v>2599</v>
      </c>
      <c r="P632" s="46">
        <f>IF(VLOOKUP($C632,REV!$C:$AA,14,0)-'TRADE IN'!$F641=0,"",(VLOOKUP($C632,REV!$C:$AA,14,0)-'TRADE IN'!$F632))</f>
        <v>2399</v>
      </c>
      <c r="Q632" s="46">
        <f>IF(VLOOKUP($C632,REV!$C:$AA,15,0)-'TRADE IN'!$F641=0,"",(VLOOKUP($C632,REV!$C:$AA,15,0)-'TRADE IN'!$F632))</f>
        <v>1599</v>
      </c>
      <c r="R632" s="46">
        <f>IF(VLOOKUP($C632,REV!$C:$AA,16,0)-'TRADE IN'!$F641=0,"",(VLOOKUP($C632,REV!$C:$AA,16,0)-'TRADE IN'!$F632))</f>
        <v>2599</v>
      </c>
      <c r="S632" s="46">
        <f>IF(VLOOKUP($C632,REV!$C:$AA,17,0)-'TRADE IN'!$F641=0,"",(VLOOKUP($C632,REV!$C:$AA,17,0)-'TRADE IN'!$F632))</f>
        <v>2399</v>
      </c>
      <c r="T632" s="46">
        <f>IF(VLOOKUP($C632,REV!$C:$AA,18,0)-'TRADE IN'!$F641=0,"",(VLOOKUP($C632,REV!$C:$AA,18,0)-'TRADE IN'!$F632))</f>
        <v>1599</v>
      </c>
      <c r="U632" s="46">
        <f>IF(VLOOKUP($C632,REV!$C:$AA,19,0)-'TRADE IN'!$F641=0,"",(VLOOKUP($C632,REV!$C:$AA,19,0)-'TRADE IN'!$F632))</f>
        <v>1599</v>
      </c>
      <c r="V632" s="46">
        <f>IF(VLOOKUP($C632,REV!$C:$AA,20,0)-'TRADE IN'!$F641=0,"",(VLOOKUP($C632,REV!$C:$AA,20,0)-'TRADE IN'!$F632))</f>
        <v>1599</v>
      </c>
      <c r="W632" s="46">
        <f>IF(VLOOKUP($C632,REV!$C:$AA,21,0)-'TRADE IN'!$F641=0,"",(VLOOKUP($C632,REV!$C:$AA,21,0)-'TRADE IN'!$F632))</f>
        <v>1599</v>
      </c>
      <c r="X632" s="46">
        <f>IF(VLOOKUP($C632,REV!$C:$AA,22,0)-'TRADE IN'!$F641=0,"",(VLOOKUP($C632,REV!$C:$AA,22,0)-'TRADE IN'!$F632))</f>
        <v>1499</v>
      </c>
      <c r="Y632" s="46">
        <f>IF(VLOOKUP($C632,REV!$C:$AA,23,0)-'TRADE IN'!$F641=0,"",(VLOOKUP($C632,REV!$C:$AA,23,0)-'TRADE IN'!$F632))</f>
        <v>1299</v>
      </c>
      <c r="Z632" s="46">
        <f>IF(VLOOKUP($C632,REV!$C:$AA,24,0)-'TRADE IN'!$F641=0,"",(VLOOKUP($C632,REV!$C:$AA,24,0)-'TRADE IN'!$F632))</f>
        <v>1299</v>
      </c>
      <c r="AA632" s="46">
        <f>IF(VLOOKUP($C632,REV!$C:$AA,25,0)-'TRADE IN'!$F641=0,"",(VLOOKUP($C632,REV!$C:$AA,25,0)-'TRADE IN'!$F632))</f>
        <v>1299</v>
      </c>
      <c r="AB632" s="46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7"/>
      <c r="AW632" s="48" t="str">
        <f>IF(REV!AW632=0,"",REV!AW632)</f>
        <v>31.03.2026</v>
      </c>
      <c r="AX632" s="159" t="s">
        <v>82</v>
      </c>
    </row>
    <row r="633" spans="1:50" ht="22.5" customHeight="1">
      <c r="A633" s="52" t="s">
        <v>70</v>
      </c>
      <c r="B633" s="41" t="s">
        <v>62</v>
      </c>
      <c r="C633" s="42">
        <v>4015319</v>
      </c>
      <c r="D633" s="44" t="s">
        <v>859</v>
      </c>
      <c r="E633" s="44" t="s">
        <v>861</v>
      </c>
      <c r="F633" s="45"/>
      <c r="G633" s="45"/>
      <c r="H633" s="45"/>
      <c r="I633" s="45"/>
      <c r="J633" s="46">
        <f>IF(VLOOKUP($C633,REV!$C:$AA,8,0)-'TRADE IN'!$F633=0,"",(VLOOKUP($C633,REV!$C:$AA,8,0)-'TRADE IN'!$F633))</f>
        <v>2899</v>
      </c>
      <c r="K633" s="46">
        <f>IF(VLOOKUP($C633,REV!$C:$AA,9,0)-'TRADE IN'!$F633=0,"",(VLOOKUP($C633,REV!$C:$AA,9,0)-'TRADE IN'!$F633))</f>
        <v>2799</v>
      </c>
      <c r="L633" s="46">
        <f>IF(VLOOKUP($C633,REV!$C:$AA,10,0)-'TRADE IN'!$F642=0,"",(VLOOKUP($C633,REV!$C:$AA,10,0)-'TRADE IN'!$F633))</f>
        <v>2799</v>
      </c>
      <c r="M633" s="46">
        <f>IF(VLOOKUP($C633,REV!$C:$AA,11,0)-'TRADE IN'!$F642=0,"",(VLOOKUP($C633,REV!$C:$AA,11,0)-'TRADE IN'!$F633))</f>
        <v>2899</v>
      </c>
      <c r="N633" s="46">
        <f>IF(VLOOKUP($C633,REV!$C:$AA,12,0)-'TRADE IN'!$F642=0,"",(VLOOKUP($C633,REV!$C:$AA,12,0)-'TRADE IN'!$F633))</f>
        <v>2899</v>
      </c>
      <c r="O633" s="46">
        <f>IF(VLOOKUP($C633,REV!$C:$AA,13,0)-'TRADE IN'!$F642=0,"",(VLOOKUP($C633,REV!$C:$AA,13,0)-'TRADE IN'!$F633))</f>
        <v>2599</v>
      </c>
      <c r="P633" s="46">
        <f>IF(VLOOKUP($C633,REV!$C:$AA,14,0)-'TRADE IN'!$F642=0,"",(VLOOKUP($C633,REV!$C:$AA,14,0)-'TRADE IN'!$F633))</f>
        <v>2399</v>
      </c>
      <c r="Q633" s="46">
        <f>IF(VLOOKUP($C633,REV!$C:$AA,15,0)-'TRADE IN'!$F642=0,"",(VLOOKUP($C633,REV!$C:$AA,15,0)-'TRADE IN'!$F633))</f>
        <v>1599</v>
      </c>
      <c r="R633" s="46">
        <f>IF(VLOOKUP($C633,REV!$C:$AA,16,0)-'TRADE IN'!$F642=0,"",(VLOOKUP($C633,REV!$C:$AA,16,0)-'TRADE IN'!$F633))</f>
        <v>2599</v>
      </c>
      <c r="S633" s="46">
        <f>IF(VLOOKUP($C633,REV!$C:$AA,17,0)-'TRADE IN'!$F642=0,"",(VLOOKUP($C633,REV!$C:$AA,17,0)-'TRADE IN'!$F633))</f>
        <v>2399</v>
      </c>
      <c r="T633" s="46">
        <f>IF(VLOOKUP($C633,REV!$C:$AA,18,0)-'TRADE IN'!$F642=0,"",(VLOOKUP($C633,REV!$C:$AA,18,0)-'TRADE IN'!$F633))</f>
        <v>1599</v>
      </c>
      <c r="U633" s="46">
        <f>IF(VLOOKUP($C633,REV!$C:$AA,19,0)-'TRADE IN'!$F642=0,"",(VLOOKUP($C633,REV!$C:$AA,19,0)-'TRADE IN'!$F633))</f>
        <v>1599</v>
      </c>
      <c r="V633" s="46">
        <f>IF(VLOOKUP($C633,REV!$C:$AA,20,0)-'TRADE IN'!$F642=0,"",(VLOOKUP($C633,REV!$C:$AA,20,0)-'TRADE IN'!$F633))</f>
        <v>1599</v>
      </c>
      <c r="W633" s="46">
        <f>IF(VLOOKUP($C633,REV!$C:$AA,21,0)-'TRADE IN'!$F642=0,"",(VLOOKUP($C633,REV!$C:$AA,21,0)-'TRADE IN'!$F633))</f>
        <v>1599</v>
      </c>
      <c r="X633" s="46">
        <f>IF(VLOOKUP($C633,REV!$C:$AA,22,0)-'TRADE IN'!$F642=0,"",(VLOOKUP($C633,REV!$C:$AA,22,0)-'TRADE IN'!$F633))</f>
        <v>1499</v>
      </c>
      <c r="Y633" s="46">
        <f>IF(VLOOKUP($C633,REV!$C:$AA,23,0)-'TRADE IN'!$F642=0,"",(VLOOKUP($C633,REV!$C:$AA,23,0)-'TRADE IN'!$F633))</f>
        <v>1299</v>
      </c>
      <c r="Z633" s="46">
        <f>IF(VLOOKUP($C633,REV!$C:$AA,24,0)-'TRADE IN'!$F642=0,"",(VLOOKUP($C633,REV!$C:$AA,24,0)-'TRADE IN'!$F633))</f>
        <v>1299</v>
      </c>
      <c r="AA633" s="46">
        <f>IF(VLOOKUP($C633,REV!$C:$AA,25,0)-'TRADE IN'!$F642=0,"",(VLOOKUP($C633,REV!$C:$AA,25,0)-'TRADE IN'!$F633))</f>
        <v>1299</v>
      </c>
      <c r="AB633" s="46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7"/>
      <c r="AW633" s="48" t="str">
        <f>IF(REV!AW633=0,"",REV!AW633)</f>
        <v>31.03.2026</v>
      </c>
      <c r="AX633" s="159" t="s">
        <v>82</v>
      </c>
    </row>
    <row r="634" spans="1:50" ht="22.5" customHeight="1">
      <c r="A634" s="52" t="s">
        <v>70</v>
      </c>
      <c r="B634" s="41" t="s">
        <v>62</v>
      </c>
      <c r="C634" s="42">
        <v>4015280</v>
      </c>
      <c r="D634" s="44" t="s">
        <v>859</v>
      </c>
      <c r="E634" s="44" t="s">
        <v>862</v>
      </c>
      <c r="F634" s="45"/>
      <c r="G634" s="45"/>
      <c r="H634" s="45"/>
      <c r="I634" s="45"/>
      <c r="J634" s="46">
        <f>IF(VLOOKUP($C634,REV!$C:$AA,8,0)-'TRADE IN'!$F634=0,"",(VLOOKUP($C634,REV!$C:$AA,8,0)-'TRADE IN'!$F634))</f>
        <v>2899</v>
      </c>
      <c r="K634" s="46">
        <f>IF(VLOOKUP($C634,REV!$C:$AA,9,0)-'TRADE IN'!$F634=0,"",(VLOOKUP($C634,REV!$C:$AA,9,0)-'TRADE IN'!$F634))</f>
        <v>2799</v>
      </c>
      <c r="L634" s="46">
        <f>IF(VLOOKUP($C634,REV!$C:$AA,10,0)-'TRADE IN'!$F643=0,"",(VLOOKUP($C634,REV!$C:$AA,10,0)-'TRADE IN'!$F634))</f>
        <v>2799</v>
      </c>
      <c r="M634" s="46">
        <f>IF(VLOOKUP($C634,REV!$C:$AA,11,0)-'TRADE IN'!$F643=0,"",(VLOOKUP($C634,REV!$C:$AA,11,0)-'TRADE IN'!$F634))</f>
        <v>2899</v>
      </c>
      <c r="N634" s="46">
        <f>IF(VLOOKUP($C634,REV!$C:$AA,12,0)-'TRADE IN'!$F643=0,"",(VLOOKUP($C634,REV!$C:$AA,12,0)-'TRADE IN'!$F634))</f>
        <v>2899</v>
      </c>
      <c r="O634" s="46">
        <f>IF(VLOOKUP($C634,REV!$C:$AA,13,0)-'TRADE IN'!$F643=0,"",(VLOOKUP($C634,REV!$C:$AA,13,0)-'TRADE IN'!$F634))</f>
        <v>2599</v>
      </c>
      <c r="P634" s="46">
        <f>IF(VLOOKUP($C634,REV!$C:$AA,14,0)-'TRADE IN'!$F643=0,"",(VLOOKUP($C634,REV!$C:$AA,14,0)-'TRADE IN'!$F634))</f>
        <v>2399</v>
      </c>
      <c r="Q634" s="46">
        <f>IF(VLOOKUP($C634,REV!$C:$AA,15,0)-'TRADE IN'!$F643=0,"",(VLOOKUP($C634,REV!$C:$AA,15,0)-'TRADE IN'!$F634))</f>
        <v>1599</v>
      </c>
      <c r="R634" s="46">
        <f>IF(VLOOKUP($C634,REV!$C:$AA,16,0)-'TRADE IN'!$F643=0,"",(VLOOKUP($C634,REV!$C:$AA,16,0)-'TRADE IN'!$F634))</f>
        <v>2599</v>
      </c>
      <c r="S634" s="46">
        <f>IF(VLOOKUP($C634,REV!$C:$AA,17,0)-'TRADE IN'!$F643=0,"",(VLOOKUP($C634,REV!$C:$AA,17,0)-'TRADE IN'!$F634))</f>
        <v>2399</v>
      </c>
      <c r="T634" s="46">
        <f>IF(VLOOKUP($C634,REV!$C:$AA,18,0)-'TRADE IN'!$F643=0,"",(VLOOKUP($C634,REV!$C:$AA,18,0)-'TRADE IN'!$F634))</f>
        <v>1599</v>
      </c>
      <c r="U634" s="46">
        <f>IF(VLOOKUP($C634,REV!$C:$AA,19,0)-'TRADE IN'!$F643=0,"",(VLOOKUP($C634,REV!$C:$AA,19,0)-'TRADE IN'!$F634))</f>
        <v>1599</v>
      </c>
      <c r="V634" s="46">
        <f>IF(VLOOKUP($C634,REV!$C:$AA,20,0)-'TRADE IN'!$F643=0,"",(VLOOKUP($C634,REV!$C:$AA,20,0)-'TRADE IN'!$F634))</f>
        <v>1599</v>
      </c>
      <c r="W634" s="46">
        <f>IF(VLOOKUP($C634,REV!$C:$AA,21,0)-'TRADE IN'!$F643=0,"",(VLOOKUP($C634,REV!$C:$AA,21,0)-'TRADE IN'!$F634))</f>
        <v>1599</v>
      </c>
      <c r="X634" s="46">
        <f>IF(VLOOKUP($C634,REV!$C:$AA,22,0)-'TRADE IN'!$F643=0,"",(VLOOKUP($C634,REV!$C:$AA,22,0)-'TRADE IN'!$F634))</f>
        <v>1499</v>
      </c>
      <c r="Y634" s="46">
        <f>IF(VLOOKUP($C634,REV!$C:$AA,23,0)-'TRADE IN'!$F643=0,"",(VLOOKUP($C634,REV!$C:$AA,23,0)-'TRADE IN'!$F634))</f>
        <v>1299</v>
      </c>
      <c r="Z634" s="46">
        <f>IF(VLOOKUP($C634,REV!$C:$AA,24,0)-'TRADE IN'!$F643=0,"",(VLOOKUP($C634,REV!$C:$AA,24,0)-'TRADE IN'!$F634))</f>
        <v>1299</v>
      </c>
      <c r="AA634" s="46">
        <f>IF(VLOOKUP($C634,REV!$C:$AA,25,0)-'TRADE IN'!$F643=0,"",(VLOOKUP($C634,REV!$C:$AA,25,0)-'TRADE IN'!$F634))</f>
        <v>1299</v>
      </c>
      <c r="AB634" s="46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7"/>
      <c r="AW634" s="48" t="str">
        <f>IF(REV!AW634=0,"",REV!AW634)</f>
        <v>31.03.2026</v>
      </c>
      <c r="AX634" s="159" t="s">
        <v>82</v>
      </c>
    </row>
    <row r="635" spans="1:50" ht="22.5" customHeight="1">
      <c r="A635" s="52" t="s">
        <v>70</v>
      </c>
      <c r="B635" s="41" t="s">
        <v>62</v>
      </c>
      <c r="C635" s="42">
        <v>4015312</v>
      </c>
      <c r="D635" s="44" t="s">
        <v>859</v>
      </c>
      <c r="E635" s="44" t="s">
        <v>863</v>
      </c>
      <c r="F635" s="45"/>
      <c r="G635" s="45"/>
      <c r="H635" s="45"/>
      <c r="I635" s="45"/>
      <c r="J635" s="46">
        <f>IF(VLOOKUP($C635,REV!$C:$AA,8,0)-'TRADE IN'!$F635=0,"",(VLOOKUP($C635,REV!$C:$AA,8,0)-'TRADE IN'!$F635))</f>
        <v>2899</v>
      </c>
      <c r="K635" s="46">
        <f>IF(VLOOKUP($C635,REV!$C:$AA,9,0)-'TRADE IN'!$F635=0,"",(VLOOKUP($C635,REV!$C:$AA,9,0)-'TRADE IN'!$F635))</f>
        <v>2799</v>
      </c>
      <c r="L635" s="46">
        <f>IF(VLOOKUP($C635,REV!$C:$AA,10,0)-'TRADE IN'!$F644=0,"",(VLOOKUP($C635,REV!$C:$AA,10,0)-'TRADE IN'!$F635))</f>
        <v>2799</v>
      </c>
      <c r="M635" s="46">
        <f>IF(VLOOKUP($C635,REV!$C:$AA,11,0)-'TRADE IN'!$F644=0,"",(VLOOKUP($C635,REV!$C:$AA,11,0)-'TRADE IN'!$F635))</f>
        <v>2899</v>
      </c>
      <c r="N635" s="46">
        <f>IF(VLOOKUP($C635,REV!$C:$AA,12,0)-'TRADE IN'!$F644=0,"",(VLOOKUP($C635,REV!$C:$AA,12,0)-'TRADE IN'!$F635))</f>
        <v>2899</v>
      </c>
      <c r="O635" s="46">
        <f>IF(VLOOKUP($C635,REV!$C:$AA,13,0)-'TRADE IN'!$F644=0,"",(VLOOKUP($C635,REV!$C:$AA,13,0)-'TRADE IN'!$F635))</f>
        <v>2599</v>
      </c>
      <c r="P635" s="46">
        <f>IF(VLOOKUP($C635,REV!$C:$AA,14,0)-'TRADE IN'!$F644=0,"",(VLOOKUP($C635,REV!$C:$AA,14,0)-'TRADE IN'!$F635))</f>
        <v>2399</v>
      </c>
      <c r="Q635" s="46">
        <f>IF(VLOOKUP($C635,REV!$C:$AA,15,0)-'TRADE IN'!$F644=0,"",(VLOOKUP($C635,REV!$C:$AA,15,0)-'TRADE IN'!$F635))</f>
        <v>1599</v>
      </c>
      <c r="R635" s="46">
        <f>IF(VLOOKUP($C635,REV!$C:$AA,16,0)-'TRADE IN'!$F644=0,"",(VLOOKUP($C635,REV!$C:$AA,16,0)-'TRADE IN'!$F635))</f>
        <v>2599</v>
      </c>
      <c r="S635" s="46">
        <f>IF(VLOOKUP($C635,REV!$C:$AA,17,0)-'TRADE IN'!$F644=0,"",(VLOOKUP($C635,REV!$C:$AA,17,0)-'TRADE IN'!$F635))</f>
        <v>2399</v>
      </c>
      <c r="T635" s="46">
        <f>IF(VLOOKUP($C635,REV!$C:$AA,18,0)-'TRADE IN'!$F644=0,"",(VLOOKUP($C635,REV!$C:$AA,18,0)-'TRADE IN'!$F635))</f>
        <v>1599</v>
      </c>
      <c r="U635" s="46">
        <f>IF(VLOOKUP($C635,REV!$C:$AA,19,0)-'TRADE IN'!$F644=0,"",(VLOOKUP($C635,REV!$C:$AA,19,0)-'TRADE IN'!$F635))</f>
        <v>1599</v>
      </c>
      <c r="V635" s="46">
        <f>IF(VLOOKUP($C635,REV!$C:$AA,20,0)-'TRADE IN'!$F644=0,"",(VLOOKUP($C635,REV!$C:$AA,20,0)-'TRADE IN'!$F635))</f>
        <v>1599</v>
      </c>
      <c r="W635" s="46">
        <f>IF(VLOOKUP($C635,REV!$C:$AA,21,0)-'TRADE IN'!$F644=0,"",(VLOOKUP($C635,REV!$C:$AA,21,0)-'TRADE IN'!$F635))</f>
        <v>1599</v>
      </c>
      <c r="X635" s="46">
        <f>IF(VLOOKUP($C635,REV!$C:$AA,22,0)-'TRADE IN'!$F644=0,"",(VLOOKUP($C635,REV!$C:$AA,22,0)-'TRADE IN'!$F635))</f>
        <v>1499</v>
      </c>
      <c r="Y635" s="46">
        <f>IF(VLOOKUP($C635,REV!$C:$AA,23,0)-'TRADE IN'!$F644=0,"",(VLOOKUP($C635,REV!$C:$AA,23,0)-'TRADE IN'!$F635))</f>
        <v>1299</v>
      </c>
      <c r="Z635" s="46">
        <f>IF(VLOOKUP($C635,REV!$C:$AA,24,0)-'TRADE IN'!$F644=0,"",(VLOOKUP($C635,REV!$C:$AA,24,0)-'TRADE IN'!$F635))</f>
        <v>1299</v>
      </c>
      <c r="AA635" s="46">
        <f>IF(VLOOKUP($C635,REV!$C:$AA,25,0)-'TRADE IN'!$F644=0,"",(VLOOKUP($C635,REV!$C:$AA,25,0)-'TRADE IN'!$F635))</f>
        <v>1299</v>
      </c>
      <c r="AB635" s="46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7"/>
      <c r="AW635" s="48" t="str">
        <f>IF(REV!AW635=0,"",REV!AW635)</f>
        <v>31.03.2026</v>
      </c>
      <c r="AX635" s="159" t="s">
        <v>82</v>
      </c>
    </row>
    <row r="636" spans="1:50" ht="22.5" customHeight="1">
      <c r="A636" s="52" t="s">
        <v>70</v>
      </c>
      <c r="B636" s="41" t="s">
        <v>62</v>
      </c>
      <c r="C636" s="42">
        <v>4015296</v>
      </c>
      <c r="D636" s="44" t="s">
        <v>859</v>
      </c>
      <c r="E636" s="44" t="s">
        <v>864</v>
      </c>
      <c r="F636" s="45"/>
      <c r="G636" s="45"/>
      <c r="H636" s="45"/>
      <c r="I636" s="45"/>
      <c r="J636" s="46">
        <f>IF(VLOOKUP($C636,REV!$C:$AA,8,0)-'TRADE IN'!$F636=0,"",(VLOOKUP($C636,REV!$C:$AA,8,0)-'TRADE IN'!$F636))</f>
        <v>2899</v>
      </c>
      <c r="K636" s="46">
        <f>IF(VLOOKUP($C636,REV!$C:$AA,9,0)-'TRADE IN'!$F636=0,"",(VLOOKUP($C636,REV!$C:$AA,9,0)-'TRADE IN'!$F636))</f>
        <v>2799</v>
      </c>
      <c r="L636" s="46">
        <f>IF(VLOOKUP($C636,REV!$C:$AA,10,0)-'TRADE IN'!$F645=0,"",(VLOOKUP($C636,REV!$C:$AA,10,0)-'TRADE IN'!$F636))</f>
        <v>2799</v>
      </c>
      <c r="M636" s="46">
        <f>IF(VLOOKUP($C636,REV!$C:$AA,11,0)-'TRADE IN'!$F645=0,"",(VLOOKUP($C636,REV!$C:$AA,11,0)-'TRADE IN'!$F636))</f>
        <v>2899</v>
      </c>
      <c r="N636" s="46">
        <f>IF(VLOOKUP($C636,REV!$C:$AA,12,0)-'TRADE IN'!$F645=0,"",(VLOOKUP($C636,REV!$C:$AA,12,0)-'TRADE IN'!$F636))</f>
        <v>2899</v>
      </c>
      <c r="O636" s="46">
        <f>IF(VLOOKUP($C636,REV!$C:$AA,13,0)-'TRADE IN'!$F645=0,"",(VLOOKUP($C636,REV!$C:$AA,13,0)-'TRADE IN'!$F636))</f>
        <v>2599</v>
      </c>
      <c r="P636" s="46">
        <f>IF(VLOOKUP($C636,REV!$C:$AA,14,0)-'TRADE IN'!$F645=0,"",(VLOOKUP($C636,REV!$C:$AA,14,0)-'TRADE IN'!$F636))</f>
        <v>2399</v>
      </c>
      <c r="Q636" s="46">
        <f>IF(VLOOKUP($C636,REV!$C:$AA,15,0)-'TRADE IN'!$F645=0,"",(VLOOKUP($C636,REV!$C:$AA,15,0)-'TRADE IN'!$F636))</f>
        <v>1599</v>
      </c>
      <c r="R636" s="46">
        <f>IF(VLOOKUP($C636,REV!$C:$AA,16,0)-'TRADE IN'!$F645=0,"",(VLOOKUP($C636,REV!$C:$AA,16,0)-'TRADE IN'!$F636))</f>
        <v>2599</v>
      </c>
      <c r="S636" s="46">
        <f>IF(VLOOKUP($C636,REV!$C:$AA,17,0)-'TRADE IN'!$F645=0,"",(VLOOKUP($C636,REV!$C:$AA,17,0)-'TRADE IN'!$F636))</f>
        <v>2399</v>
      </c>
      <c r="T636" s="46">
        <f>IF(VLOOKUP($C636,REV!$C:$AA,18,0)-'TRADE IN'!$F645=0,"",(VLOOKUP($C636,REV!$C:$AA,18,0)-'TRADE IN'!$F636))</f>
        <v>1599</v>
      </c>
      <c r="U636" s="46">
        <f>IF(VLOOKUP($C636,REV!$C:$AA,19,0)-'TRADE IN'!$F645=0,"",(VLOOKUP($C636,REV!$C:$AA,19,0)-'TRADE IN'!$F636))</f>
        <v>1599</v>
      </c>
      <c r="V636" s="46">
        <f>IF(VLOOKUP($C636,REV!$C:$AA,20,0)-'TRADE IN'!$F645=0,"",(VLOOKUP($C636,REV!$C:$AA,20,0)-'TRADE IN'!$F636))</f>
        <v>1599</v>
      </c>
      <c r="W636" s="46">
        <f>IF(VLOOKUP($C636,REV!$C:$AA,21,0)-'TRADE IN'!$F645=0,"",(VLOOKUP($C636,REV!$C:$AA,21,0)-'TRADE IN'!$F636))</f>
        <v>1599</v>
      </c>
      <c r="X636" s="46">
        <f>IF(VLOOKUP($C636,REV!$C:$AA,22,0)-'TRADE IN'!$F645=0,"",(VLOOKUP($C636,REV!$C:$AA,22,0)-'TRADE IN'!$F636))</f>
        <v>1499</v>
      </c>
      <c r="Y636" s="46">
        <f>IF(VLOOKUP($C636,REV!$C:$AA,23,0)-'TRADE IN'!$F645=0,"",(VLOOKUP($C636,REV!$C:$AA,23,0)-'TRADE IN'!$F636))</f>
        <v>1299</v>
      </c>
      <c r="Z636" s="46">
        <f>IF(VLOOKUP($C636,REV!$C:$AA,24,0)-'TRADE IN'!$F645=0,"",(VLOOKUP($C636,REV!$C:$AA,24,0)-'TRADE IN'!$F636))</f>
        <v>1299</v>
      </c>
      <c r="AA636" s="46">
        <f>IF(VLOOKUP($C636,REV!$C:$AA,25,0)-'TRADE IN'!$F645=0,"",(VLOOKUP($C636,REV!$C:$AA,25,0)-'TRADE IN'!$F636))</f>
        <v>1299</v>
      </c>
      <c r="AB636" s="46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7"/>
      <c r="AW636" s="48" t="str">
        <f>IF(REV!AW636=0,"",REV!AW636)</f>
        <v>31.03.2026</v>
      </c>
      <c r="AX636" s="159" t="s">
        <v>82</v>
      </c>
    </row>
    <row r="637" spans="1:50" ht="22.5" customHeight="1">
      <c r="A637" s="52" t="s">
        <v>70</v>
      </c>
      <c r="B637" s="41" t="s">
        <v>62</v>
      </c>
      <c r="C637" s="42">
        <v>4015327</v>
      </c>
      <c r="D637" s="44" t="s">
        <v>859</v>
      </c>
      <c r="E637" s="44" t="s">
        <v>865</v>
      </c>
      <c r="F637" s="45"/>
      <c r="G637" s="45"/>
      <c r="H637" s="45"/>
      <c r="I637" s="45"/>
      <c r="J637" s="46">
        <f>IF(VLOOKUP($C637,REV!$C:$AA,8,0)-'TRADE IN'!$F637=0,"",(VLOOKUP($C637,REV!$C:$AA,8,0)-'TRADE IN'!$F637))</f>
        <v>2899</v>
      </c>
      <c r="K637" s="46">
        <f>IF(VLOOKUP($C637,REV!$C:$AA,9,0)-'TRADE IN'!$F637=0,"",(VLOOKUP($C637,REV!$C:$AA,9,0)-'TRADE IN'!$F637))</f>
        <v>2799</v>
      </c>
      <c r="L637" s="46">
        <f>IF(VLOOKUP($C637,REV!$C:$AA,10,0)-'TRADE IN'!$F646=0,"",(VLOOKUP($C637,REV!$C:$AA,10,0)-'TRADE IN'!$F637))</f>
        <v>2799</v>
      </c>
      <c r="M637" s="46">
        <f>IF(VLOOKUP($C637,REV!$C:$AA,11,0)-'TRADE IN'!$F646=0,"",(VLOOKUP($C637,REV!$C:$AA,11,0)-'TRADE IN'!$F637))</f>
        <v>2899</v>
      </c>
      <c r="N637" s="46">
        <f>IF(VLOOKUP($C637,REV!$C:$AA,12,0)-'TRADE IN'!$F646=0,"",(VLOOKUP($C637,REV!$C:$AA,12,0)-'TRADE IN'!$F637))</f>
        <v>2899</v>
      </c>
      <c r="O637" s="46">
        <f>IF(VLOOKUP($C637,REV!$C:$AA,13,0)-'TRADE IN'!$F646=0,"",(VLOOKUP($C637,REV!$C:$AA,13,0)-'TRADE IN'!$F637))</f>
        <v>2599</v>
      </c>
      <c r="P637" s="46">
        <f>IF(VLOOKUP($C637,REV!$C:$AA,14,0)-'TRADE IN'!$F646=0,"",(VLOOKUP($C637,REV!$C:$AA,14,0)-'TRADE IN'!$F637))</f>
        <v>2399</v>
      </c>
      <c r="Q637" s="46">
        <f>IF(VLOOKUP($C637,REV!$C:$AA,15,0)-'TRADE IN'!$F646=0,"",(VLOOKUP($C637,REV!$C:$AA,15,0)-'TRADE IN'!$F637))</f>
        <v>1599</v>
      </c>
      <c r="R637" s="46">
        <f>IF(VLOOKUP($C637,REV!$C:$AA,16,0)-'TRADE IN'!$F646=0,"",(VLOOKUP($C637,REV!$C:$AA,16,0)-'TRADE IN'!$F637))</f>
        <v>2599</v>
      </c>
      <c r="S637" s="46">
        <f>IF(VLOOKUP($C637,REV!$C:$AA,17,0)-'TRADE IN'!$F646=0,"",(VLOOKUP($C637,REV!$C:$AA,17,0)-'TRADE IN'!$F637))</f>
        <v>2399</v>
      </c>
      <c r="T637" s="46">
        <f>IF(VLOOKUP($C637,REV!$C:$AA,18,0)-'TRADE IN'!$F646=0,"",(VLOOKUP($C637,REV!$C:$AA,18,0)-'TRADE IN'!$F637))</f>
        <v>1599</v>
      </c>
      <c r="U637" s="46">
        <f>IF(VLOOKUP($C637,REV!$C:$AA,19,0)-'TRADE IN'!$F646=0,"",(VLOOKUP($C637,REV!$C:$AA,19,0)-'TRADE IN'!$F637))</f>
        <v>1599</v>
      </c>
      <c r="V637" s="46">
        <f>IF(VLOOKUP($C637,REV!$C:$AA,20,0)-'TRADE IN'!$F646=0,"",(VLOOKUP($C637,REV!$C:$AA,20,0)-'TRADE IN'!$F637))</f>
        <v>1599</v>
      </c>
      <c r="W637" s="46">
        <f>IF(VLOOKUP($C637,REV!$C:$AA,21,0)-'TRADE IN'!$F646=0,"",(VLOOKUP($C637,REV!$C:$AA,21,0)-'TRADE IN'!$F637))</f>
        <v>1599</v>
      </c>
      <c r="X637" s="46">
        <f>IF(VLOOKUP($C637,REV!$C:$AA,22,0)-'TRADE IN'!$F646=0,"",(VLOOKUP($C637,REV!$C:$AA,22,0)-'TRADE IN'!$F637))</f>
        <v>1499</v>
      </c>
      <c r="Y637" s="46">
        <f>IF(VLOOKUP($C637,REV!$C:$AA,23,0)-'TRADE IN'!$F646=0,"",(VLOOKUP($C637,REV!$C:$AA,23,0)-'TRADE IN'!$F637))</f>
        <v>1299</v>
      </c>
      <c r="Z637" s="46">
        <f>IF(VLOOKUP($C637,REV!$C:$AA,24,0)-'TRADE IN'!$F646=0,"",(VLOOKUP($C637,REV!$C:$AA,24,0)-'TRADE IN'!$F637))</f>
        <v>1299</v>
      </c>
      <c r="AA637" s="46">
        <f>IF(VLOOKUP($C637,REV!$C:$AA,25,0)-'TRADE IN'!$F646=0,"",(VLOOKUP($C637,REV!$C:$AA,25,0)-'TRADE IN'!$F637))</f>
        <v>1299</v>
      </c>
      <c r="AB637" s="46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7"/>
      <c r="AW637" s="48" t="str">
        <f>IF(REV!AW637=0,"",REV!AW637)</f>
        <v>31.03.2026</v>
      </c>
      <c r="AX637" s="159" t="s">
        <v>82</v>
      </c>
    </row>
    <row r="638" spans="1:50" ht="22.5" customHeight="1">
      <c r="A638" s="52" t="s">
        <v>70</v>
      </c>
      <c r="B638" s="41" t="s">
        <v>62</v>
      </c>
      <c r="C638" s="42">
        <v>4015304</v>
      </c>
      <c r="D638" s="44" t="s">
        <v>859</v>
      </c>
      <c r="E638" s="44" t="s">
        <v>866</v>
      </c>
      <c r="F638" s="45"/>
      <c r="G638" s="45"/>
      <c r="H638" s="45"/>
      <c r="I638" s="45"/>
      <c r="J638" s="46">
        <f>IF(VLOOKUP($C638,REV!$C:$AA,8,0)-'TRADE IN'!$F638=0,"",(VLOOKUP($C638,REV!$C:$AA,8,0)-'TRADE IN'!$F638))</f>
        <v>2899</v>
      </c>
      <c r="K638" s="46">
        <f>IF(VLOOKUP($C638,REV!$C:$AA,9,0)-'TRADE IN'!$F638=0,"",(VLOOKUP($C638,REV!$C:$AA,9,0)-'TRADE IN'!$F638))</f>
        <v>2799</v>
      </c>
      <c r="L638" s="46">
        <f>IF(VLOOKUP($C638,REV!$C:$AA,10,0)-'TRADE IN'!$F647=0,"",(VLOOKUP($C638,REV!$C:$AA,10,0)-'TRADE IN'!$F638))</f>
        <v>2799</v>
      </c>
      <c r="M638" s="46">
        <f>IF(VLOOKUP($C638,REV!$C:$AA,11,0)-'TRADE IN'!$F647=0,"",(VLOOKUP($C638,REV!$C:$AA,11,0)-'TRADE IN'!$F638))</f>
        <v>2899</v>
      </c>
      <c r="N638" s="46">
        <f>IF(VLOOKUP($C638,REV!$C:$AA,12,0)-'TRADE IN'!$F647=0,"",(VLOOKUP($C638,REV!$C:$AA,12,0)-'TRADE IN'!$F638))</f>
        <v>2899</v>
      </c>
      <c r="O638" s="46">
        <f>IF(VLOOKUP($C638,REV!$C:$AA,13,0)-'TRADE IN'!$F647=0,"",(VLOOKUP($C638,REV!$C:$AA,13,0)-'TRADE IN'!$F638))</f>
        <v>2599</v>
      </c>
      <c r="P638" s="46">
        <f>IF(VLOOKUP($C638,REV!$C:$AA,14,0)-'TRADE IN'!$F647=0,"",(VLOOKUP($C638,REV!$C:$AA,14,0)-'TRADE IN'!$F638))</f>
        <v>2399</v>
      </c>
      <c r="Q638" s="46">
        <f>IF(VLOOKUP($C638,REV!$C:$AA,15,0)-'TRADE IN'!$F647=0,"",(VLOOKUP($C638,REV!$C:$AA,15,0)-'TRADE IN'!$F638))</f>
        <v>1599</v>
      </c>
      <c r="R638" s="46">
        <f>IF(VLOOKUP($C638,REV!$C:$AA,16,0)-'TRADE IN'!$F647=0,"",(VLOOKUP($C638,REV!$C:$AA,16,0)-'TRADE IN'!$F638))</f>
        <v>2599</v>
      </c>
      <c r="S638" s="46">
        <f>IF(VLOOKUP($C638,REV!$C:$AA,17,0)-'TRADE IN'!$F647=0,"",(VLOOKUP($C638,REV!$C:$AA,17,0)-'TRADE IN'!$F638))</f>
        <v>2399</v>
      </c>
      <c r="T638" s="46">
        <f>IF(VLOOKUP($C638,REV!$C:$AA,18,0)-'TRADE IN'!$F647=0,"",(VLOOKUP($C638,REV!$C:$AA,18,0)-'TRADE IN'!$F638))</f>
        <v>1599</v>
      </c>
      <c r="U638" s="46">
        <f>IF(VLOOKUP($C638,REV!$C:$AA,19,0)-'TRADE IN'!$F647=0,"",(VLOOKUP($C638,REV!$C:$AA,19,0)-'TRADE IN'!$F638))</f>
        <v>1599</v>
      </c>
      <c r="V638" s="46">
        <f>IF(VLOOKUP($C638,REV!$C:$AA,20,0)-'TRADE IN'!$F647=0,"",(VLOOKUP($C638,REV!$C:$AA,20,0)-'TRADE IN'!$F638))</f>
        <v>1599</v>
      </c>
      <c r="W638" s="46">
        <f>IF(VLOOKUP($C638,REV!$C:$AA,21,0)-'TRADE IN'!$F647=0,"",(VLOOKUP($C638,REV!$C:$AA,21,0)-'TRADE IN'!$F638))</f>
        <v>1599</v>
      </c>
      <c r="X638" s="46">
        <f>IF(VLOOKUP($C638,REV!$C:$AA,22,0)-'TRADE IN'!$F647=0,"",(VLOOKUP($C638,REV!$C:$AA,22,0)-'TRADE IN'!$F638))</f>
        <v>1499</v>
      </c>
      <c r="Y638" s="46">
        <f>IF(VLOOKUP($C638,REV!$C:$AA,23,0)-'TRADE IN'!$F647=0,"",(VLOOKUP($C638,REV!$C:$AA,23,0)-'TRADE IN'!$F638))</f>
        <v>1299</v>
      </c>
      <c r="Z638" s="46">
        <f>IF(VLOOKUP($C638,REV!$C:$AA,24,0)-'TRADE IN'!$F647=0,"",(VLOOKUP($C638,REV!$C:$AA,24,0)-'TRADE IN'!$F638))</f>
        <v>1299</v>
      </c>
      <c r="AA638" s="46">
        <f>IF(VLOOKUP($C638,REV!$C:$AA,25,0)-'TRADE IN'!$F647=0,"",(VLOOKUP($C638,REV!$C:$AA,25,0)-'TRADE IN'!$F638))</f>
        <v>1299</v>
      </c>
      <c r="AB638" s="46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7"/>
      <c r="AW638" s="48" t="str">
        <f>IF(REV!AW638=0,"",REV!AW638)</f>
        <v>31.03.2026</v>
      </c>
      <c r="AX638" s="159" t="s">
        <v>82</v>
      </c>
    </row>
    <row r="639" spans="1:50" ht="22.5" customHeight="1">
      <c r="A639" s="52" t="s">
        <v>70</v>
      </c>
      <c r="B639" s="41" t="s">
        <v>62</v>
      </c>
      <c r="C639" s="42">
        <v>4015335</v>
      </c>
      <c r="D639" s="44" t="s">
        <v>859</v>
      </c>
      <c r="E639" s="44" t="s">
        <v>867</v>
      </c>
      <c r="F639" s="45"/>
      <c r="G639" s="45"/>
      <c r="H639" s="45"/>
      <c r="I639" s="45"/>
      <c r="J639" s="46">
        <f>IF(VLOOKUP($C639,REV!$C:$AA,8,0)-'TRADE IN'!$F639=0,"",(VLOOKUP($C639,REV!$C:$AA,8,0)-'TRADE IN'!$F639))</f>
        <v>2899</v>
      </c>
      <c r="K639" s="46">
        <f>IF(VLOOKUP($C639,REV!$C:$AA,9,0)-'TRADE IN'!$F639=0,"",(VLOOKUP($C639,REV!$C:$AA,9,0)-'TRADE IN'!$F639))</f>
        <v>2799</v>
      </c>
      <c r="L639" s="46">
        <f>IF(VLOOKUP($C639,REV!$C:$AA,10,0)-'TRADE IN'!$F648=0,"",(VLOOKUP($C639,REV!$C:$AA,10,0)-'TRADE IN'!$F639))</f>
        <v>2799</v>
      </c>
      <c r="M639" s="46">
        <f>IF(VLOOKUP($C639,REV!$C:$AA,11,0)-'TRADE IN'!$F648=0,"",(VLOOKUP($C639,REV!$C:$AA,11,0)-'TRADE IN'!$F639))</f>
        <v>2899</v>
      </c>
      <c r="N639" s="46">
        <f>IF(VLOOKUP($C639,REV!$C:$AA,12,0)-'TRADE IN'!$F648=0,"",(VLOOKUP($C639,REV!$C:$AA,12,0)-'TRADE IN'!$F639))</f>
        <v>2899</v>
      </c>
      <c r="O639" s="46">
        <f>IF(VLOOKUP($C639,REV!$C:$AA,13,0)-'TRADE IN'!$F648=0,"",(VLOOKUP($C639,REV!$C:$AA,13,0)-'TRADE IN'!$F639))</f>
        <v>2599</v>
      </c>
      <c r="P639" s="46">
        <f>IF(VLOOKUP($C639,REV!$C:$AA,14,0)-'TRADE IN'!$F648=0,"",(VLOOKUP($C639,REV!$C:$AA,14,0)-'TRADE IN'!$F639))</f>
        <v>2399</v>
      </c>
      <c r="Q639" s="46">
        <f>IF(VLOOKUP($C639,REV!$C:$AA,15,0)-'TRADE IN'!$F648=0,"",(VLOOKUP($C639,REV!$C:$AA,15,0)-'TRADE IN'!$F639))</f>
        <v>1599</v>
      </c>
      <c r="R639" s="46">
        <f>IF(VLOOKUP($C639,REV!$C:$AA,16,0)-'TRADE IN'!$F648=0,"",(VLOOKUP($C639,REV!$C:$AA,16,0)-'TRADE IN'!$F639))</f>
        <v>2599</v>
      </c>
      <c r="S639" s="46">
        <f>IF(VLOOKUP($C639,REV!$C:$AA,17,0)-'TRADE IN'!$F648=0,"",(VLOOKUP($C639,REV!$C:$AA,17,0)-'TRADE IN'!$F639))</f>
        <v>2399</v>
      </c>
      <c r="T639" s="46">
        <f>IF(VLOOKUP($C639,REV!$C:$AA,18,0)-'TRADE IN'!$F648=0,"",(VLOOKUP($C639,REV!$C:$AA,18,0)-'TRADE IN'!$F639))</f>
        <v>1599</v>
      </c>
      <c r="U639" s="46">
        <f>IF(VLOOKUP($C639,REV!$C:$AA,19,0)-'TRADE IN'!$F648=0,"",(VLOOKUP($C639,REV!$C:$AA,19,0)-'TRADE IN'!$F639))</f>
        <v>1599</v>
      </c>
      <c r="V639" s="46">
        <f>IF(VLOOKUP($C639,REV!$C:$AA,20,0)-'TRADE IN'!$F648=0,"",(VLOOKUP($C639,REV!$C:$AA,20,0)-'TRADE IN'!$F639))</f>
        <v>1599</v>
      </c>
      <c r="W639" s="46">
        <f>IF(VLOOKUP($C639,REV!$C:$AA,21,0)-'TRADE IN'!$F648=0,"",(VLOOKUP($C639,REV!$C:$AA,21,0)-'TRADE IN'!$F639))</f>
        <v>1599</v>
      </c>
      <c r="X639" s="46">
        <f>IF(VLOOKUP($C639,REV!$C:$AA,22,0)-'TRADE IN'!$F648=0,"",(VLOOKUP($C639,REV!$C:$AA,22,0)-'TRADE IN'!$F639))</f>
        <v>1499</v>
      </c>
      <c r="Y639" s="46">
        <f>IF(VLOOKUP($C639,REV!$C:$AA,23,0)-'TRADE IN'!$F648=0,"",(VLOOKUP($C639,REV!$C:$AA,23,0)-'TRADE IN'!$F639))</f>
        <v>1299</v>
      </c>
      <c r="Z639" s="46">
        <f>IF(VLOOKUP($C639,REV!$C:$AA,24,0)-'TRADE IN'!$F648=0,"",(VLOOKUP($C639,REV!$C:$AA,24,0)-'TRADE IN'!$F639))</f>
        <v>1299</v>
      </c>
      <c r="AA639" s="46">
        <f>IF(VLOOKUP($C639,REV!$C:$AA,25,0)-'TRADE IN'!$F648=0,"",(VLOOKUP($C639,REV!$C:$AA,25,0)-'TRADE IN'!$F639))</f>
        <v>1299</v>
      </c>
      <c r="AB639" s="46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7"/>
      <c r="AW639" s="48" t="str">
        <f>IF(REV!AW639=0,"",REV!AW639)</f>
        <v>31.03.2026</v>
      </c>
      <c r="AX639" s="159" t="s">
        <v>82</v>
      </c>
    </row>
    <row r="640" spans="1:50" ht="22.5" customHeight="1">
      <c r="A640" s="52" t="s">
        <v>70</v>
      </c>
      <c r="B640" s="41" t="s">
        <v>62</v>
      </c>
      <c r="C640" s="42">
        <v>4015289</v>
      </c>
      <c r="D640" s="44" t="s">
        <v>868</v>
      </c>
      <c r="E640" s="44" t="s">
        <v>869</v>
      </c>
      <c r="F640" s="45"/>
      <c r="G640" s="45"/>
      <c r="H640" s="45"/>
      <c r="I640" s="45"/>
      <c r="J640" s="46">
        <f>IF(VLOOKUP($C640,REV!$C:$AA,8,0)-'TRADE IN'!$F640=0,"",(VLOOKUP($C640,REV!$C:$AA,8,0)-'TRADE IN'!$F640))</f>
        <v>2999</v>
      </c>
      <c r="K640" s="46">
        <f>IF(VLOOKUP($C640,REV!$C:$AA,9,0)-'TRADE IN'!$F640=0,"",(VLOOKUP($C640,REV!$C:$AA,9,0)-'TRADE IN'!$F640))</f>
        <v>2899</v>
      </c>
      <c r="L640" s="46">
        <f>IF(VLOOKUP($C640,REV!$C:$AA,10,0)-'TRADE IN'!$F649=0,"",(VLOOKUP($C640,REV!$C:$AA,10,0)-'TRADE IN'!$F640))</f>
        <v>2899</v>
      </c>
      <c r="M640" s="46">
        <f>IF(VLOOKUP($C640,REV!$C:$AA,11,0)-'TRADE IN'!$F649=0,"",(VLOOKUP($C640,REV!$C:$AA,11,0)-'TRADE IN'!$F640))</f>
        <v>2999</v>
      </c>
      <c r="N640" s="46">
        <f>IF(VLOOKUP($C640,REV!$C:$AA,12,0)-'TRADE IN'!$F649=0,"",(VLOOKUP($C640,REV!$C:$AA,12,0)-'TRADE IN'!$F640))</f>
        <v>2999</v>
      </c>
      <c r="O640" s="46">
        <f>IF(VLOOKUP($C640,REV!$C:$AA,13,0)-'TRADE IN'!$F649=0,"",(VLOOKUP($C640,REV!$C:$AA,13,0)-'TRADE IN'!$F640))</f>
        <v>2799</v>
      </c>
      <c r="P640" s="46">
        <f>IF(VLOOKUP($C640,REV!$C:$AA,14,0)-'TRADE IN'!$F649=0,"",(VLOOKUP($C640,REV!$C:$AA,14,0)-'TRADE IN'!$F640))</f>
        <v>2599</v>
      </c>
      <c r="Q640" s="46">
        <f>IF(VLOOKUP($C640,REV!$C:$AA,15,0)-'TRADE IN'!$F649=0,"",(VLOOKUP($C640,REV!$C:$AA,15,0)-'TRADE IN'!$F640))</f>
        <v>1999</v>
      </c>
      <c r="R640" s="46">
        <f>IF(VLOOKUP($C640,REV!$C:$AA,16,0)-'TRADE IN'!$F649=0,"",(VLOOKUP($C640,REV!$C:$AA,16,0)-'TRADE IN'!$F640))</f>
        <v>2799</v>
      </c>
      <c r="S640" s="46">
        <f>IF(VLOOKUP($C640,REV!$C:$AA,17,0)-'TRADE IN'!$F649=0,"",(VLOOKUP($C640,REV!$C:$AA,17,0)-'TRADE IN'!$F640))</f>
        <v>2599</v>
      </c>
      <c r="T640" s="46">
        <f>IF(VLOOKUP($C640,REV!$C:$AA,18,0)-'TRADE IN'!$F649=0,"",(VLOOKUP($C640,REV!$C:$AA,18,0)-'TRADE IN'!$F640))</f>
        <v>1999</v>
      </c>
      <c r="U640" s="46">
        <f>IF(VLOOKUP($C640,REV!$C:$AA,19,0)-'TRADE IN'!$F649=0,"",(VLOOKUP($C640,REV!$C:$AA,19,0)-'TRADE IN'!$F640))</f>
        <v>1999</v>
      </c>
      <c r="V640" s="46">
        <f>IF(VLOOKUP($C640,REV!$C:$AA,20,0)-'TRADE IN'!$F649=0,"",(VLOOKUP($C640,REV!$C:$AA,20,0)-'TRADE IN'!$F640))</f>
        <v>1999</v>
      </c>
      <c r="W640" s="46">
        <f>IF(VLOOKUP($C640,REV!$C:$AA,21,0)-'TRADE IN'!$F649=0,"",(VLOOKUP($C640,REV!$C:$AA,21,0)-'TRADE IN'!$F640))</f>
        <v>1999</v>
      </c>
      <c r="X640" s="46">
        <f>IF(VLOOKUP($C640,REV!$C:$AA,22,0)-'TRADE IN'!$F649=0,"",(VLOOKUP($C640,REV!$C:$AA,22,0)-'TRADE IN'!$F640))</f>
        <v>1899</v>
      </c>
      <c r="Y640" s="46">
        <f>IF(VLOOKUP($C640,REV!$C:$AA,23,0)-'TRADE IN'!$F649=0,"",(VLOOKUP($C640,REV!$C:$AA,23,0)-'TRADE IN'!$F640))</f>
        <v>1499</v>
      </c>
      <c r="Z640" s="46">
        <f>IF(VLOOKUP($C640,REV!$C:$AA,24,0)-'TRADE IN'!$F649=0,"",(VLOOKUP($C640,REV!$C:$AA,24,0)-'TRADE IN'!$F640))</f>
        <v>1499</v>
      </c>
      <c r="AA640" s="46">
        <f>IF(VLOOKUP($C640,REV!$C:$AA,25,0)-'TRADE IN'!$F649=0,"",(VLOOKUP($C640,REV!$C:$AA,25,0)-'TRADE IN'!$F640))</f>
        <v>1499</v>
      </c>
      <c r="AB640" s="46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7"/>
      <c r="AW640" s="48" t="str">
        <f>IF(REV!AW640=0,"",REV!AW640)</f>
        <v>31.03.2026</v>
      </c>
      <c r="AX640" s="159" t="s">
        <v>82</v>
      </c>
    </row>
    <row r="641" spans="1:50" ht="22.5" customHeight="1">
      <c r="A641" s="52" t="s">
        <v>70</v>
      </c>
      <c r="B641" s="41" t="s">
        <v>62</v>
      </c>
      <c r="C641" s="42">
        <v>4015323</v>
      </c>
      <c r="D641" s="44" t="s">
        <v>868</v>
      </c>
      <c r="E641" s="44" t="s">
        <v>870</v>
      </c>
      <c r="F641" s="45"/>
      <c r="G641" s="45"/>
      <c r="H641" s="45"/>
      <c r="I641" s="45"/>
      <c r="J641" s="46">
        <f>IF(VLOOKUP($C641,REV!$C:$AA,8,0)-'TRADE IN'!$F641=0,"",(VLOOKUP($C641,REV!$C:$AA,8,0)-'TRADE IN'!$F641))</f>
        <v>2999</v>
      </c>
      <c r="K641" s="46">
        <f>IF(VLOOKUP($C641,REV!$C:$AA,9,0)-'TRADE IN'!$F641=0,"",(VLOOKUP($C641,REV!$C:$AA,9,0)-'TRADE IN'!$F641))</f>
        <v>2899</v>
      </c>
      <c r="L641" s="46">
        <f>IF(VLOOKUP($C641,REV!$C:$AA,10,0)-'TRADE IN'!$F650=0,"",(VLOOKUP($C641,REV!$C:$AA,10,0)-'TRADE IN'!$F641))</f>
        <v>2899</v>
      </c>
      <c r="M641" s="46">
        <f>IF(VLOOKUP($C641,REV!$C:$AA,11,0)-'TRADE IN'!$F650=0,"",(VLOOKUP($C641,REV!$C:$AA,11,0)-'TRADE IN'!$F641))</f>
        <v>2999</v>
      </c>
      <c r="N641" s="46">
        <f>IF(VLOOKUP($C641,REV!$C:$AA,12,0)-'TRADE IN'!$F650=0,"",(VLOOKUP($C641,REV!$C:$AA,12,0)-'TRADE IN'!$F641))</f>
        <v>2999</v>
      </c>
      <c r="O641" s="46">
        <f>IF(VLOOKUP($C641,REV!$C:$AA,13,0)-'TRADE IN'!$F650=0,"",(VLOOKUP($C641,REV!$C:$AA,13,0)-'TRADE IN'!$F641))</f>
        <v>2799</v>
      </c>
      <c r="P641" s="46">
        <f>IF(VLOOKUP($C641,REV!$C:$AA,14,0)-'TRADE IN'!$F650=0,"",(VLOOKUP($C641,REV!$C:$AA,14,0)-'TRADE IN'!$F641))</f>
        <v>2599</v>
      </c>
      <c r="Q641" s="46">
        <f>IF(VLOOKUP($C641,REV!$C:$AA,15,0)-'TRADE IN'!$F650=0,"",(VLOOKUP($C641,REV!$C:$AA,15,0)-'TRADE IN'!$F641))</f>
        <v>1999</v>
      </c>
      <c r="R641" s="46">
        <f>IF(VLOOKUP($C641,REV!$C:$AA,16,0)-'TRADE IN'!$F650=0,"",(VLOOKUP($C641,REV!$C:$AA,16,0)-'TRADE IN'!$F641))</f>
        <v>2799</v>
      </c>
      <c r="S641" s="46">
        <f>IF(VLOOKUP($C641,REV!$C:$AA,17,0)-'TRADE IN'!$F650=0,"",(VLOOKUP($C641,REV!$C:$AA,17,0)-'TRADE IN'!$F641))</f>
        <v>2599</v>
      </c>
      <c r="T641" s="46">
        <f>IF(VLOOKUP($C641,REV!$C:$AA,18,0)-'TRADE IN'!$F650=0,"",(VLOOKUP($C641,REV!$C:$AA,18,0)-'TRADE IN'!$F641))</f>
        <v>1999</v>
      </c>
      <c r="U641" s="46">
        <f>IF(VLOOKUP($C641,REV!$C:$AA,19,0)-'TRADE IN'!$F650=0,"",(VLOOKUP($C641,REV!$C:$AA,19,0)-'TRADE IN'!$F641))</f>
        <v>1999</v>
      </c>
      <c r="V641" s="46">
        <f>IF(VLOOKUP($C641,REV!$C:$AA,20,0)-'TRADE IN'!$F650=0,"",(VLOOKUP($C641,REV!$C:$AA,20,0)-'TRADE IN'!$F641))</f>
        <v>1999</v>
      </c>
      <c r="W641" s="46">
        <f>IF(VLOOKUP($C641,REV!$C:$AA,21,0)-'TRADE IN'!$F650=0,"",(VLOOKUP($C641,REV!$C:$AA,21,0)-'TRADE IN'!$F641))</f>
        <v>1999</v>
      </c>
      <c r="X641" s="46">
        <f>IF(VLOOKUP($C641,REV!$C:$AA,22,0)-'TRADE IN'!$F650=0,"",(VLOOKUP($C641,REV!$C:$AA,22,0)-'TRADE IN'!$F641))</f>
        <v>1899</v>
      </c>
      <c r="Y641" s="46">
        <f>IF(VLOOKUP($C641,REV!$C:$AA,23,0)-'TRADE IN'!$F650=0,"",(VLOOKUP($C641,REV!$C:$AA,23,0)-'TRADE IN'!$F641))</f>
        <v>1499</v>
      </c>
      <c r="Z641" s="46">
        <f>IF(VLOOKUP($C641,REV!$C:$AA,24,0)-'TRADE IN'!$F650=0,"",(VLOOKUP($C641,REV!$C:$AA,24,0)-'TRADE IN'!$F641))</f>
        <v>1499</v>
      </c>
      <c r="AA641" s="46">
        <f>IF(VLOOKUP($C641,REV!$C:$AA,25,0)-'TRADE IN'!$F650=0,"",(VLOOKUP($C641,REV!$C:$AA,25,0)-'TRADE IN'!$F641))</f>
        <v>1499</v>
      </c>
      <c r="AB641" s="46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7"/>
      <c r="AW641" s="48" t="str">
        <f>IF(REV!AW641=0,"",REV!AW641)</f>
        <v>31.03.2026</v>
      </c>
      <c r="AX641" s="159" t="s">
        <v>82</v>
      </c>
    </row>
    <row r="642" spans="1:50" ht="22.5" customHeight="1">
      <c r="A642" s="52" t="s">
        <v>70</v>
      </c>
      <c r="B642" s="41" t="s">
        <v>62</v>
      </c>
      <c r="C642" s="42">
        <v>4015281</v>
      </c>
      <c r="D642" s="44" t="s">
        <v>868</v>
      </c>
      <c r="E642" s="44" t="s">
        <v>871</v>
      </c>
      <c r="F642" s="45"/>
      <c r="G642" s="45"/>
      <c r="H642" s="45"/>
      <c r="I642" s="45"/>
      <c r="J642" s="46">
        <f>IF(VLOOKUP($C642,REV!$C:$AA,8,0)-'TRADE IN'!$F642=0,"",(VLOOKUP($C642,REV!$C:$AA,8,0)-'TRADE IN'!$F642))</f>
        <v>2999</v>
      </c>
      <c r="K642" s="46">
        <f>IF(VLOOKUP($C642,REV!$C:$AA,9,0)-'TRADE IN'!$F642=0,"",(VLOOKUP($C642,REV!$C:$AA,9,0)-'TRADE IN'!$F642))</f>
        <v>2899</v>
      </c>
      <c r="L642" s="46">
        <f>IF(VLOOKUP($C642,REV!$C:$AA,10,0)-'TRADE IN'!$F651=0,"",(VLOOKUP($C642,REV!$C:$AA,10,0)-'TRADE IN'!$F642))</f>
        <v>2899</v>
      </c>
      <c r="M642" s="46">
        <f>IF(VLOOKUP($C642,REV!$C:$AA,11,0)-'TRADE IN'!$F651=0,"",(VLOOKUP($C642,REV!$C:$AA,11,0)-'TRADE IN'!$F642))</f>
        <v>2999</v>
      </c>
      <c r="N642" s="46">
        <f>IF(VLOOKUP($C642,REV!$C:$AA,12,0)-'TRADE IN'!$F651=0,"",(VLOOKUP($C642,REV!$C:$AA,12,0)-'TRADE IN'!$F642))</f>
        <v>2999</v>
      </c>
      <c r="O642" s="46">
        <f>IF(VLOOKUP($C642,REV!$C:$AA,13,0)-'TRADE IN'!$F651=0,"",(VLOOKUP($C642,REV!$C:$AA,13,0)-'TRADE IN'!$F642))</f>
        <v>2799</v>
      </c>
      <c r="P642" s="46">
        <f>IF(VLOOKUP($C642,REV!$C:$AA,14,0)-'TRADE IN'!$F651=0,"",(VLOOKUP($C642,REV!$C:$AA,14,0)-'TRADE IN'!$F642))</f>
        <v>2599</v>
      </c>
      <c r="Q642" s="46">
        <f>IF(VLOOKUP($C642,REV!$C:$AA,15,0)-'TRADE IN'!$F651=0,"",(VLOOKUP($C642,REV!$C:$AA,15,0)-'TRADE IN'!$F642))</f>
        <v>1999</v>
      </c>
      <c r="R642" s="46">
        <f>IF(VLOOKUP($C642,REV!$C:$AA,16,0)-'TRADE IN'!$F651=0,"",(VLOOKUP($C642,REV!$C:$AA,16,0)-'TRADE IN'!$F642))</f>
        <v>2799</v>
      </c>
      <c r="S642" s="46">
        <f>IF(VLOOKUP($C642,REV!$C:$AA,17,0)-'TRADE IN'!$F651=0,"",(VLOOKUP($C642,REV!$C:$AA,17,0)-'TRADE IN'!$F642))</f>
        <v>2599</v>
      </c>
      <c r="T642" s="46">
        <f>IF(VLOOKUP($C642,REV!$C:$AA,18,0)-'TRADE IN'!$F651=0,"",(VLOOKUP($C642,REV!$C:$AA,18,0)-'TRADE IN'!$F642))</f>
        <v>1999</v>
      </c>
      <c r="U642" s="46">
        <f>IF(VLOOKUP($C642,REV!$C:$AA,19,0)-'TRADE IN'!$F651=0,"",(VLOOKUP($C642,REV!$C:$AA,19,0)-'TRADE IN'!$F642))</f>
        <v>1999</v>
      </c>
      <c r="V642" s="46">
        <f>IF(VLOOKUP($C642,REV!$C:$AA,20,0)-'TRADE IN'!$F651=0,"",(VLOOKUP($C642,REV!$C:$AA,20,0)-'TRADE IN'!$F642))</f>
        <v>1999</v>
      </c>
      <c r="W642" s="46">
        <f>IF(VLOOKUP($C642,REV!$C:$AA,21,0)-'TRADE IN'!$F651=0,"",(VLOOKUP($C642,REV!$C:$AA,21,0)-'TRADE IN'!$F642))</f>
        <v>1999</v>
      </c>
      <c r="X642" s="46">
        <f>IF(VLOOKUP($C642,REV!$C:$AA,22,0)-'TRADE IN'!$F651=0,"",(VLOOKUP($C642,REV!$C:$AA,22,0)-'TRADE IN'!$F642))</f>
        <v>1899</v>
      </c>
      <c r="Y642" s="46">
        <f>IF(VLOOKUP($C642,REV!$C:$AA,23,0)-'TRADE IN'!$F651=0,"",(VLOOKUP($C642,REV!$C:$AA,23,0)-'TRADE IN'!$F642))</f>
        <v>1499</v>
      </c>
      <c r="Z642" s="46">
        <f>IF(VLOOKUP($C642,REV!$C:$AA,24,0)-'TRADE IN'!$F651=0,"",(VLOOKUP($C642,REV!$C:$AA,24,0)-'TRADE IN'!$F642))</f>
        <v>1499</v>
      </c>
      <c r="AA642" s="46">
        <f>IF(VLOOKUP($C642,REV!$C:$AA,25,0)-'TRADE IN'!$F651=0,"",(VLOOKUP($C642,REV!$C:$AA,25,0)-'TRADE IN'!$F642))</f>
        <v>1499</v>
      </c>
      <c r="AB642" s="46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7"/>
      <c r="AW642" s="48" t="str">
        <f>IF(REV!AW642=0,"",REV!AW642)</f>
        <v>31.03.2026</v>
      </c>
      <c r="AX642" s="159" t="s">
        <v>82</v>
      </c>
    </row>
    <row r="643" spans="1:50" ht="22.5" customHeight="1">
      <c r="A643" s="52" t="s">
        <v>70</v>
      </c>
      <c r="B643" s="41" t="s">
        <v>62</v>
      </c>
      <c r="C643" s="42">
        <v>4015315</v>
      </c>
      <c r="D643" s="44" t="s">
        <v>868</v>
      </c>
      <c r="E643" s="44" t="s">
        <v>872</v>
      </c>
      <c r="F643" s="45"/>
      <c r="G643" s="45"/>
      <c r="H643" s="45"/>
      <c r="I643" s="45"/>
      <c r="J643" s="46">
        <f>IF(VLOOKUP($C643,REV!$C:$AA,8,0)-'TRADE IN'!$F643=0,"",(VLOOKUP($C643,REV!$C:$AA,8,0)-'TRADE IN'!$F643))</f>
        <v>2999</v>
      </c>
      <c r="K643" s="46">
        <f>IF(VLOOKUP($C643,REV!$C:$AA,9,0)-'TRADE IN'!$F643=0,"",(VLOOKUP($C643,REV!$C:$AA,9,0)-'TRADE IN'!$F643))</f>
        <v>2899</v>
      </c>
      <c r="L643" s="46">
        <f>IF(VLOOKUP($C643,REV!$C:$AA,10,0)-'TRADE IN'!$F652=0,"",(VLOOKUP($C643,REV!$C:$AA,10,0)-'TRADE IN'!$F643))</f>
        <v>2899</v>
      </c>
      <c r="M643" s="46">
        <f>IF(VLOOKUP($C643,REV!$C:$AA,11,0)-'TRADE IN'!$F652=0,"",(VLOOKUP($C643,REV!$C:$AA,11,0)-'TRADE IN'!$F643))</f>
        <v>2999</v>
      </c>
      <c r="N643" s="46">
        <f>IF(VLOOKUP($C643,REV!$C:$AA,12,0)-'TRADE IN'!$F652=0,"",(VLOOKUP($C643,REV!$C:$AA,12,0)-'TRADE IN'!$F643))</f>
        <v>2999</v>
      </c>
      <c r="O643" s="46">
        <f>IF(VLOOKUP($C643,REV!$C:$AA,13,0)-'TRADE IN'!$F652=0,"",(VLOOKUP($C643,REV!$C:$AA,13,0)-'TRADE IN'!$F643))</f>
        <v>2799</v>
      </c>
      <c r="P643" s="46">
        <f>IF(VLOOKUP($C643,REV!$C:$AA,14,0)-'TRADE IN'!$F652=0,"",(VLOOKUP($C643,REV!$C:$AA,14,0)-'TRADE IN'!$F643))</f>
        <v>2599</v>
      </c>
      <c r="Q643" s="46">
        <f>IF(VLOOKUP($C643,REV!$C:$AA,15,0)-'TRADE IN'!$F652=0,"",(VLOOKUP($C643,REV!$C:$AA,15,0)-'TRADE IN'!$F643))</f>
        <v>1999</v>
      </c>
      <c r="R643" s="46">
        <f>IF(VLOOKUP($C643,REV!$C:$AA,16,0)-'TRADE IN'!$F652=0,"",(VLOOKUP($C643,REV!$C:$AA,16,0)-'TRADE IN'!$F643))</f>
        <v>2799</v>
      </c>
      <c r="S643" s="46">
        <f>IF(VLOOKUP($C643,REV!$C:$AA,17,0)-'TRADE IN'!$F652=0,"",(VLOOKUP($C643,REV!$C:$AA,17,0)-'TRADE IN'!$F643))</f>
        <v>2599</v>
      </c>
      <c r="T643" s="46">
        <f>IF(VLOOKUP($C643,REV!$C:$AA,18,0)-'TRADE IN'!$F652=0,"",(VLOOKUP($C643,REV!$C:$AA,18,0)-'TRADE IN'!$F643))</f>
        <v>1999</v>
      </c>
      <c r="U643" s="46">
        <f>IF(VLOOKUP($C643,REV!$C:$AA,19,0)-'TRADE IN'!$F652=0,"",(VLOOKUP($C643,REV!$C:$AA,19,0)-'TRADE IN'!$F643))</f>
        <v>1999</v>
      </c>
      <c r="V643" s="46">
        <f>IF(VLOOKUP($C643,REV!$C:$AA,20,0)-'TRADE IN'!$F652=0,"",(VLOOKUP($C643,REV!$C:$AA,20,0)-'TRADE IN'!$F643))</f>
        <v>1999</v>
      </c>
      <c r="W643" s="46">
        <f>IF(VLOOKUP($C643,REV!$C:$AA,21,0)-'TRADE IN'!$F652=0,"",(VLOOKUP($C643,REV!$C:$AA,21,0)-'TRADE IN'!$F643))</f>
        <v>1999</v>
      </c>
      <c r="X643" s="46">
        <f>IF(VLOOKUP($C643,REV!$C:$AA,22,0)-'TRADE IN'!$F652=0,"",(VLOOKUP($C643,REV!$C:$AA,22,0)-'TRADE IN'!$F643))</f>
        <v>1899</v>
      </c>
      <c r="Y643" s="46">
        <f>IF(VLOOKUP($C643,REV!$C:$AA,23,0)-'TRADE IN'!$F652=0,"",(VLOOKUP($C643,REV!$C:$AA,23,0)-'TRADE IN'!$F643))</f>
        <v>1499</v>
      </c>
      <c r="Z643" s="46">
        <f>IF(VLOOKUP($C643,REV!$C:$AA,24,0)-'TRADE IN'!$F652=0,"",(VLOOKUP($C643,REV!$C:$AA,24,0)-'TRADE IN'!$F643))</f>
        <v>1499</v>
      </c>
      <c r="AA643" s="46">
        <f>IF(VLOOKUP($C643,REV!$C:$AA,25,0)-'TRADE IN'!$F652=0,"",(VLOOKUP($C643,REV!$C:$AA,25,0)-'TRADE IN'!$F643))</f>
        <v>1499</v>
      </c>
      <c r="AB643" s="46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7"/>
      <c r="AW643" s="48" t="str">
        <f>IF(REV!AW643=0,"",REV!AW643)</f>
        <v>31.03.2026</v>
      </c>
      <c r="AX643" s="159" t="s">
        <v>82</v>
      </c>
    </row>
    <row r="644" spans="1:50" ht="22.5" customHeight="1">
      <c r="A644" s="52" t="s">
        <v>70</v>
      </c>
      <c r="B644" s="41" t="s">
        <v>62</v>
      </c>
      <c r="C644" s="42">
        <v>4015299</v>
      </c>
      <c r="D644" s="44" t="s">
        <v>868</v>
      </c>
      <c r="E644" s="44" t="s">
        <v>873</v>
      </c>
      <c r="F644" s="45"/>
      <c r="G644" s="45"/>
      <c r="H644" s="45"/>
      <c r="I644" s="45"/>
      <c r="J644" s="46">
        <f>IF(VLOOKUP($C644,REV!$C:$AA,8,0)-'TRADE IN'!$F644=0,"",(VLOOKUP($C644,REV!$C:$AA,8,0)-'TRADE IN'!$F644))</f>
        <v>2999</v>
      </c>
      <c r="K644" s="46">
        <f>IF(VLOOKUP($C644,REV!$C:$AA,9,0)-'TRADE IN'!$F644=0,"",(VLOOKUP($C644,REV!$C:$AA,9,0)-'TRADE IN'!$F644))</f>
        <v>2899</v>
      </c>
      <c r="L644" s="46">
        <f>IF(VLOOKUP($C644,REV!$C:$AA,10,0)-'TRADE IN'!$F653=0,"",(VLOOKUP($C644,REV!$C:$AA,10,0)-'TRADE IN'!$F644))</f>
        <v>2899</v>
      </c>
      <c r="M644" s="46">
        <f>IF(VLOOKUP($C644,REV!$C:$AA,11,0)-'TRADE IN'!$F653=0,"",(VLOOKUP($C644,REV!$C:$AA,11,0)-'TRADE IN'!$F644))</f>
        <v>2999</v>
      </c>
      <c r="N644" s="46">
        <f>IF(VLOOKUP($C644,REV!$C:$AA,12,0)-'TRADE IN'!$F653=0,"",(VLOOKUP($C644,REV!$C:$AA,12,0)-'TRADE IN'!$F644))</f>
        <v>2999</v>
      </c>
      <c r="O644" s="46">
        <f>IF(VLOOKUP($C644,REV!$C:$AA,13,0)-'TRADE IN'!$F653=0,"",(VLOOKUP($C644,REV!$C:$AA,13,0)-'TRADE IN'!$F644))</f>
        <v>2799</v>
      </c>
      <c r="P644" s="46">
        <f>IF(VLOOKUP($C644,REV!$C:$AA,14,0)-'TRADE IN'!$F653=0,"",(VLOOKUP($C644,REV!$C:$AA,14,0)-'TRADE IN'!$F644))</f>
        <v>2599</v>
      </c>
      <c r="Q644" s="46">
        <f>IF(VLOOKUP($C644,REV!$C:$AA,15,0)-'TRADE IN'!$F653=0,"",(VLOOKUP($C644,REV!$C:$AA,15,0)-'TRADE IN'!$F644))</f>
        <v>1999</v>
      </c>
      <c r="R644" s="46">
        <f>IF(VLOOKUP($C644,REV!$C:$AA,16,0)-'TRADE IN'!$F653=0,"",(VLOOKUP($C644,REV!$C:$AA,16,0)-'TRADE IN'!$F644))</f>
        <v>2799</v>
      </c>
      <c r="S644" s="46">
        <f>IF(VLOOKUP($C644,REV!$C:$AA,17,0)-'TRADE IN'!$F653=0,"",(VLOOKUP($C644,REV!$C:$AA,17,0)-'TRADE IN'!$F644))</f>
        <v>2599</v>
      </c>
      <c r="T644" s="46">
        <f>IF(VLOOKUP($C644,REV!$C:$AA,18,0)-'TRADE IN'!$F653=0,"",(VLOOKUP($C644,REV!$C:$AA,18,0)-'TRADE IN'!$F644))</f>
        <v>1999</v>
      </c>
      <c r="U644" s="46">
        <f>IF(VLOOKUP($C644,REV!$C:$AA,19,0)-'TRADE IN'!$F653=0,"",(VLOOKUP($C644,REV!$C:$AA,19,0)-'TRADE IN'!$F644))</f>
        <v>1999</v>
      </c>
      <c r="V644" s="46">
        <f>IF(VLOOKUP($C644,REV!$C:$AA,20,0)-'TRADE IN'!$F653=0,"",(VLOOKUP($C644,REV!$C:$AA,20,0)-'TRADE IN'!$F644))</f>
        <v>1999</v>
      </c>
      <c r="W644" s="46">
        <f>IF(VLOOKUP($C644,REV!$C:$AA,21,0)-'TRADE IN'!$F653=0,"",(VLOOKUP($C644,REV!$C:$AA,21,0)-'TRADE IN'!$F644))</f>
        <v>1999</v>
      </c>
      <c r="X644" s="46">
        <f>IF(VLOOKUP($C644,REV!$C:$AA,22,0)-'TRADE IN'!$F653=0,"",(VLOOKUP($C644,REV!$C:$AA,22,0)-'TRADE IN'!$F644))</f>
        <v>1899</v>
      </c>
      <c r="Y644" s="46">
        <f>IF(VLOOKUP($C644,REV!$C:$AA,23,0)-'TRADE IN'!$F653=0,"",(VLOOKUP($C644,REV!$C:$AA,23,0)-'TRADE IN'!$F644))</f>
        <v>1499</v>
      </c>
      <c r="Z644" s="46">
        <f>IF(VLOOKUP($C644,REV!$C:$AA,24,0)-'TRADE IN'!$F653=0,"",(VLOOKUP($C644,REV!$C:$AA,24,0)-'TRADE IN'!$F644))</f>
        <v>1499</v>
      </c>
      <c r="AA644" s="46">
        <f>IF(VLOOKUP($C644,REV!$C:$AA,25,0)-'TRADE IN'!$F653=0,"",(VLOOKUP($C644,REV!$C:$AA,25,0)-'TRADE IN'!$F644))</f>
        <v>1499</v>
      </c>
      <c r="AB644" s="46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7"/>
      <c r="AW644" s="48" t="str">
        <f>IF(REV!AW644=0,"",REV!AW644)</f>
        <v>31.03.2026</v>
      </c>
      <c r="AX644" s="159" t="s">
        <v>82</v>
      </c>
    </row>
    <row r="645" spans="1:50" ht="22.5" customHeight="1">
      <c r="A645" s="52" t="s">
        <v>70</v>
      </c>
      <c r="B645" s="41" t="s">
        <v>62</v>
      </c>
      <c r="C645" s="42">
        <v>4015331</v>
      </c>
      <c r="D645" s="44" t="s">
        <v>868</v>
      </c>
      <c r="E645" s="44" t="s">
        <v>874</v>
      </c>
      <c r="F645" s="45"/>
      <c r="G645" s="45"/>
      <c r="H645" s="45"/>
      <c r="I645" s="45"/>
      <c r="J645" s="46">
        <f>IF(VLOOKUP($C645,REV!$C:$AA,8,0)-'TRADE IN'!$F645=0,"",(VLOOKUP($C645,REV!$C:$AA,8,0)-'TRADE IN'!$F645))</f>
        <v>2999</v>
      </c>
      <c r="K645" s="46">
        <f>IF(VLOOKUP($C645,REV!$C:$AA,9,0)-'TRADE IN'!$F645=0,"",(VLOOKUP($C645,REV!$C:$AA,9,0)-'TRADE IN'!$F645))</f>
        <v>2899</v>
      </c>
      <c r="L645" s="46">
        <f>IF(VLOOKUP($C645,REV!$C:$AA,10,0)-'TRADE IN'!$F654=0,"",(VLOOKUP($C645,REV!$C:$AA,10,0)-'TRADE IN'!$F645))</f>
        <v>2899</v>
      </c>
      <c r="M645" s="46">
        <f>IF(VLOOKUP($C645,REV!$C:$AA,11,0)-'TRADE IN'!$F654=0,"",(VLOOKUP($C645,REV!$C:$AA,11,0)-'TRADE IN'!$F645))</f>
        <v>2999</v>
      </c>
      <c r="N645" s="46">
        <f>IF(VLOOKUP($C645,REV!$C:$AA,12,0)-'TRADE IN'!$F654=0,"",(VLOOKUP($C645,REV!$C:$AA,12,0)-'TRADE IN'!$F645))</f>
        <v>2999</v>
      </c>
      <c r="O645" s="46">
        <f>IF(VLOOKUP($C645,REV!$C:$AA,13,0)-'TRADE IN'!$F654=0,"",(VLOOKUP($C645,REV!$C:$AA,13,0)-'TRADE IN'!$F645))</f>
        <v>2799</v>
      </c>
      <c r="P645" s="46">
        <f>IF(VLOOKUP($C645,REV!$C:$AA,14,0)-'TRADE IN'!$F654=0,"",(VLOOKUP($C645,REV!$C:$AA,14,0)-'TRADE IN'!$F645))</f>
        <v>2599</v>
      </c>
      <c r="Q645" s="46">
        <f>IF(VLOOKUP($C645,REV!$C:$AA,15,0)-'TRADE IN'!$F654=0,"",(VLOOKUP($C645,REV!$C:$AA,15,0)-'TRADE IN'!$F645))</f>
        <v>1999</v>
      </c>
      <c r="R645" s="46">
        <f>IF(VLOOKUP($C645,REV!$C:$AA,16,0)-'TRADE IN'!$F654=0,"",(VLOOKUP($C645,REV!$C:$AA,16,0)-'TRADE IN'!$F645))</f>
        <v>2799</v>
      </c>
      <c r="S645" s="46">
        <f>IF(VLOOKUP($C645,REV!$C:$AA,17,0)-'TRADE IN'!$F654=0,"",(VLOOKUP($C645,REV!$C:$AA,17,0)-'TRADE IN'!$F645))</f>
        <v>2599</v>
      </c>
      <c r="T645" s="46">
        <f>IF(VLOOKUP($C645,REV!$C:$AA,18,0)-'TRADE IN'!$F654=0,"",(VLOOKUP($C645,REV!$C:$AA,18,0)-'TRADE IN'!$F645))</f>
        <v>1999</v>
      </c>
      <c r="U645" s="46">
        <f>IF(VLOOKUP($C645,REV!$C:$AA,19,0)-'TRADE IN'!$F654=0,"",(VLOOKUP($C645,REV!$C:$AA,19,0)-'TRADE IN'!$F645))</f>
        <v>1999</v>
      </c>
      <c r="V645" s="46">
        <f>IF(VLOOKUP($C645,REV!$C:$AA,20,0)-'TRADE IN'!$F654=0,"",(VLOOKUP($C645,REV!$C:$AA,20,0)-'TRADE IN'!$F645))</f>
        <v>1999</v>
      </c>
      <c r="W645" s="46">
        <f>IF(VLOOKUP($C645,REV!$C:$AA,21,0)-'TRADE IN'!$F654=0,"",(VLOOKUP($C645,REV!$C:$AA,21,0)-'TRADE IN'!$F645))</f>
        <v>1999</v>
      </c>
      <c r="X645" s="46">
        <f>IF(VLOOKUP($C645,REV!$C:$AA,22,0)-'TRADE IN'!$F654=0,"",(VLOOKUP($C645,REV!$C:$AA,22,0)-'TRADE IN'!$F645))</f>
        <v>1899</v>
      </c>
      <c r="Y645" s="46">
        <f>IF(VLOOKUP($C645,REV!$C:$AA,23,0)-'TRADE IN'!$F654=0,"",(VLOOKUP($C645,REV!$C:$AA,23,0)-'TRADE IN'!$F645))</f>
        <v>1499</v>
      </c>
      <c r="Z645" s="46">
        <f>IF(VLOOKUP($C645,REV!$C:$AA,24,0)-'TRADE IN'!$F654=0,"",(VLOOKUP($C645,REV!$C:$AA,24,0)-'TRADE IN'!$F645))</f>
        <v>1499</v>
      </c>
      <c r="AA645" s="46">
        <f>IF(VLOOKUP($C645,REV!$C:$AA,25,0)-'TRADE IN'!$F654=0,"",(VLOOKUP($C645,REV!$C:$AA,25,0)-'TRADE IN'!$F645))</f>
        <v>1499</v>
      </c>
      <c r="AB645" s="46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7"/>
      <c r="AW645" s="48" t="str">
        <f>IF(REV!AW645=0,"",REV!AW645)</f>
        <v>31.03.2026</v>
      </c>
      <c r="AX645" s="159" t="s">
        <v>82</v>
      </c>
    </row>
    <row r="646" spans="1:50" ht="22.5" customHeight="1">
      <c r="A646" s="52" t="s">
        <v>70</v>
      </c>
      <c r="B646" s="41" t="s">
        <v>62</v>
      </c>
      <c r="C646" s="42">
        <v>4015307</v>
      </c>
      <c r="D646" s="44" t="s">
        <v>868</v>
      </c>
      <c r="E646" s="44" t="s">
        <v>875</v>
      </c>
      <c r="F646" s="45"/>
      <c r="G646" s="45"/>
      <c r="H646" s="45"/>
      <c r="I646" s="45"/>
      <c r="J646" s="46">
        <f>IF(VLOOKUP($C646,REV!$C:$AA,8,0)-'TRADE IN'!$F646=0,"",(VLOOKUP($C646,REV!$C:$AA,8,0)-'TRADE IN'!$F646))</f>
        <v>2999</v>
      </c>
      <c r="K646" s="46">
        <f>IF(VLOOKUP($C646,REV!$C:$AA,9,0)-'TRADE IN'!$F646=0,"",(VLOOKUP($C646,REV!$C:$AA,9,0)-'TRADE IN'!$F646))</f>
        <v>2899</v>
      </c>
      <c r="L646" s="46">
        <f>IF(VLOOKUP($C646,REV!$C:$AA,10,0)-'TRADE IN'!$F655=0,"",(VLOOKUP($C646,REV!$C:$AA,10,0)-'TRADE IN'!$F646))</f>
        <v>2899</v>
      </c>
      <c r="M646" s="46">
        <f>IF(VLOOKUP($C646,REV!$C:$AA,11,0)-'TRADE IN'!$F655=0,"",(VLOOKUP($C646,REV!$C:$AA,11,0)-'TRADE IN'!$F646))</f>
        <v>2999</v>
      </c>
      <c r="N646" s="46">
        <f>IF(VLOOKUP($C646,REV!$C:$AA,12,0)-'TRADE IN'!$F655=0,"",(VLOOKUP($C646,REV!$C:$AA,12,0)-'TRADE IN'!$F646))</f>
        <v>2999</v>
      </c>
      <c r="O646" s="46">
        <f>IF(VLOOKUP($C646,REV!$C:$AA,13,0)-'TRADE IN'!$F655=0,"",(VLOOKUP($C646,REV!$C:$AA,13,0)-'TRADE IN'!$F646))</f>
        <v>2799</v>
      </c>
      <c r="P646" s="46">
        <f>IF(VLOOKUP($C646,REV!$C:$AA,14,0)-'TRADE IN'!$F655=0,"",(VLOOKUP($C646,REV!$C:$AA,14,0)-'TRADE IN'!$F646))</f>
        <v>2599</v>
      </c>
      <c r="Q646" s="46">
        <f>IF(VLOOKUP($C646,REV!$C:$AA,15,0)-'TRADE IN'!$F655=0,"",(VLOOKUP($C646,REV!$C:$AA,15,0)-'TRADE IN'!$F646))</f>
        <v>1999</v>
      </c>
      <c r="R646" s="46">
        <f>IF(VLOOKUP($C646,REV!$C:$AA,16,0)-'TRADE IN'!$F655=0,"",(VLOOKUP($C646,REV!$C:$AA,16,0)-'TRADE IN'!$F646))</f>
        <v>2799</v>
      </c>
      <c r="S646" s="46">
        <f>IF(VLOOKUP($C646,REV!$C:$AA,17,0)-'TRADE IN'!$F655=0,"",(VLOOKUP($C646,REV!$C:$AA,17,0)-'TRADE IN'!$F646))</f>
        <v>2599</v>
      </c>
      <c r="T646" s="46">
        <f>IF(VLOOKUP($C646,REV!$C:$AA,18,0)-'TRADE IN'!$F655=0,"",(VLOOKUP($C646,REV!$C:$AA,18,0)-'TRADE IN'!$F646))</f>
        <v>1999</v>
      </c>
      <c r="U646" s="46">
        <f>IF(VLOOKUP($C646,REV!$C:$AA,19,0)-'TRADE IN'!$F655=0,"",(VLOOKUP($C646,REV!$C:$AA,19,0)-'TRADE IN'!$F646))</f>
        <v>1999</v>
      </c>
      <c r="V646" s="46">
        <f>IF(VLOOKUP($C646,REV!$C:$AA,20,0)-'TRADE IN'!$F655=0,"",(VLOOKUP($C646,REV!$C:$AA,20,0)-'TRADE IN'!$F646))</f>
        <v>1999</v>
      </c>
      <c r="W646" s="46">
        <f>IF(VLOOKUP($C646,REV!$C:$AA,21,0)-'TRADE IN'!$F655=0,"",(VLOOKUP($C646,REV!$C:$AA,21,0)-'TRADE IN'!$F646))</f>
        <v>1999</v>
      </c>
      <c r="X646" s="46">
        <f>IF(VLOOKUP($C646,REV!$C:$AA,22,0)-'TRADE IN'!$F655=0,"",(VLOOKUP($C646,REV!$C:$AA,22,0)-'TRADE IN'!$F646))</f>
        <v>1899</v>
      </c>
      <c r="Y646" s="46">
        <f>IF(VLOOKUP($C646,REV!$C:$AA,23,0)-'TRADE IN'!$F655=0,"",(VLOOKUP($C646,REV!$C:$AA,23,0)-'TRADE IN'!$F646))</f>
        <v>1499</v>
      </c>
      <c r="Z646" s="46">
        <f>IF(VLOOKUP($C646,REV!$C:$AA,24,0)-'TRADE IN'!$F655=0,"",(VLOOKUP($C646,REV!$C:$AA,24,0)-'TRADE IN'!$F646))</f>
        <v>1499</v>
      </c>
      <c r="AA646" s="46">
        <f>IF(VLOOKUP($C646,REV!$C:$AA,25,0)-'TRADE IN'!$F655=0,"",(VLOOKUP($C646,REV!$C:$AA,25,0)-'TRADE IN'!$F646))</f>
        <v>1499</v>
      </c>
      <c r="AB646" s="46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7"/>
      <c r="AW646" s="48" t="str">
        <f>IF(REV!AW646=0,"",REV!AW646)</f>
        <v>31.03.2026</v>
      </c>
      <c r="AX646" s="159" t="s">
        <v>82</v>
      </c>
    </row>
    <row r="647" spans="1:50" ht="22.5" customHeight="1">
      <c r="A647" s="52" t="s">
        <v>70</v>
      </c>
      <c r="B647" s="41" t="s">
        <v>62</v>
      </c>
      <c r="C647" s="42">
        <v>4015339</v>
      </c>
      <c r="D647" s="44" t="s">
        <v>868</v>
      </c>
      <c r="E647" s="44" t="s">
        <v>876</v>
      </c>
      <c r="F647" s="45"/>
      <c r="G647" s="45"/>
      <c r="H647" s="45"/>
      <c r="I647" s="45"/>
      <c r="J647" s="46">
        <f>IF(VLOOKUP($C647,REV!$C:$AA,8,0)-'TRADE IN'!$F647=0,"",(VLOOKUP($C647,REV!$C:$AA,8,0)-'TRADE IN'!$F647))</f>
        <v>2999</v>
      </c>
      <c r="K647" s="46">
        <f>IF(VLOOKUP($C647,REV!$C:$AA,9,0)-'TRADE IN'!$F647=0,"",(VLOOKUP($C647,REV!$C:$AA,9,0)-'TRADE IN'!$F647))</f>
        <v>2899</v>
      </c>
      <c r="L647" s="46">
        <f>IF(VLOOKUP($C647,REV!$C:$AA,10,0)-'TRADE IN'!$F656=0,"",(VLOOKUP($C647,REV!$C:$AA,10,0)-'TRADE IN'!$F647))</f>
        <v>2899</v>
      </c>
      <c r="M647" s="46">
        <f>IF(VLOOKUP($C647,REV!$C:$AA,11,0)-'TRADE IN'!$F656=0,"",(VLOOKUP($C647,REV!$C:$AA,11,0)-'TRADE IN'!$F647))</f>
        <v>2999</v>
      </c>
      <c r="N647" s="46">
        <f>IF(VLOOKUP($C647,REV!$C:$AA,12,0)-'TRADE IN'!$F656=0,"",(VLOOKUP($C647,REV!$C:$AA,12,0)-'TRADE IN'!$F647))</f>
        <v>2999</v>
      </c>
      <c r="O647" s="46">
        <f>IF(VLOOKUP($C647,REV!$C:$AA,13,0)-'TRADE IN'!$F656=0,"",(VLOOKUP($C647,REV!$C:$AA,13,0)-'TRADE IN'!$F647))</f>
        <v>2799</v>
      </c>
      <c r="P647" s="46">
        <f>IF(VLOOKUP($C647,REV!$C:$AA,14,0)-'TRADE IN'!$F656=0,"",(VLOOKUP($C647,REV!$C:$AA,14,0)-'TRADE IN'!$F647))</f>
        <v>2599</v>
      </c>
      <c r="Q647" s="46">
        <f>IF(VLOOKUP($C647,REV!$C:$AA,15,0)-'TRADE IN'!$F656=0,"",(VLOOKUP($C647,REV!$C:$AA,15,0)-'TRADE IN'!$F647))</f>
        <v>1999</v>
      </c>
      <c r="R647" s="46">
        <f>IF(VLOOKUP($C647,REV!$C:$AA,16,0)-'TRADE IN'!$F656=0,"",(VLOOKUP($C647,REV!$C:$AA,16,0)-'TRADE IN'!$F647))</f>
        <v>2799</v>
      </c>
      <c r="S647" s="46">
        <f>IF(VLOOKUP($C647,REV!$C:$AA,17,0)-'TRADE IN'!$F656=0,"",(VLOOKUP($C647,REV!$C:$AA,17,0)-'TRADE IN'!$F647))</f>
        <v>2599</v>
      </c>
      <c r="T647" s="46">
        <f>IF(VLOOKUP($C647,REV!$C:$AA,18,0)-'TRADE IN'!$F656=0,"",(VLOOKUP($C647,REV!$C:$AA,18,0)-'TRADE IN'!$F647))</f>
        <v>1999</v>
      </c>
      <c r="U647" s="46">
        <f>IF(VLOOKUP($C647,REV!$C:$AA,19,0)-'TRADE IN'!$F656=0,"",(VLOOKUP($C647,REV!$C:$AA,19,0)-'TRADE IN'!$F647))</f>
        <v>1999</v>
      </c>
      <c r="V647" s="46">
        <f>IF(VLOOKUP($C647,REV!$C:$AA,20,0)-'TRADE IN'!$F656=0,"",(VLOOKUP($C647,REV!$C:$AA,20,0)-'TRADE IN'!$F647))</f>
        <v>1999</v>
      </c>
      <c r="W647" s="46">
        <f>IF(VLOOKUP($C647,REV!$C:$AA,21,0)-'TRADE IN'!$F656=0,"",(VLOOKUP($C647,REV!$C:$AA,21,0)-'TRADE IN'!$F647))</f>
        <v>1999</v>
      </c>
      <c r="X647" s="46">
        <f>IF(VLOOKUP($C647,REV!$C:$AA,22,0)-'TRADE IN'!$F656=0,"",(VLOOKUP($C647,REV!$C:$AA,22,0)-'TRADE IN'!$F647))</f>
        <v>1899</v>
      </c>
      <c r="Y647" s="46">
        <f>IF(VLOOKUP($C647,REV!$C:$AA,23,0)-'TRADE IN'!$F656=0,"",(VLOOKUP($C647,REV!$C:$AA,23,0)-'TRADE IN'!$F647))</f>
        <v>1499</v>
      </c>
      <c r="Z647" s="46">
        <f>IF(VLOOKUP($C647,REV!$C:$AA,24,0)-'TRADE IN'!$F656=0,"",(VLOOKUP($C647,REV!$C:$AA,24,0)-'TRADE IN'!$F647))</f>
        <v>1499</v>
      </c>
      <c r="AA647" s="46">
        <f>IF(VLOOKUP($C647,REV!$C:$AA,25,0)-'TRADE IN'!$F656=0,"",(VLOOKUP($C647,REV!$C:$AA,25,0)-'TRADE IN'!$F647))</f>
        <v>1499</v>
      </c>
      <c r="AB647" s="46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7"/>
      <c r="AW647" s="48" t="str">
        <f>IF(REV!AW647=0,"",REV!AW647)</f>
        <v>31.03.2026</v>
      </c>
      <c r="AX647" s="159" t="s">
        <v>82</v>
      </c>
    </row>
    <row r="648" spans="1:50" ht="22.5" customHeight="1">
      <c r="A648" s="52" t="s">
        <v>70</v>
      </c>
      <c r="B648" s="41" t="s">
        <v>62</v>
      </c>
      <c r="C648" s="42">
        <v>4015291</v>
      </c>
      <c r="D648" s="44" t="s">
        <v>877</v>
      </c>
      <c r="E648" s="44" t="s">
        <v>878</v>
      </c>
      <c r="F648" s="45"/>
      <c r="G648" s="45"/>
      <c r="H648" s="45"/>
      <c r="I648" s="45"/>
      <c r="J648" s="46">
        <f>IF(VLOOKUP($C648,REV!$C:$AA,8,0)-'TRADE IN'!$F648=0,"",(VLOOKUP($C648,REV!$C:$AA,8,0)-'TRADE IN'!$F648))</f>
        <v>4099</v>
      </c>
      <c r="K648" s="46">
        <f>IF(VLOOKUP($C648,REV!$C:$AA,9,0)-'TRADE IN'!$F648=0,"",(VLOOKUP($C648,REV!$C:$AA,9,0)-'TRADE IN'!$F648))</f>
        <v>3999</v>
      </c>
      <c r="L648" s="46">
        <f>IF(VLOOKUP($C648,REV!$C:$AA,10,0)-'TRADE IN'!$F657=0,"",(VLOOKUP($C648,REV!$C:$AA,10,0)-'TRADE IN'!$F648))</f>
        <v>3999</v>
      </c>
      <c r="M648" s="46">
        <f>IF(VLOOKUP($C648,REV!$C:$AA,11,0)-'TRADE IN'!$F657=0,"",(VLOOKUP($C648,REV!$C:$AA,11,0)-'TRADE IN'!$F648))</f>
        <v>4099</v>
      </c>
      <c r="N648" s="46">
        <f>IF(VLOOKUP($C648,REV!$C:$AA,12,0)-'TRADE IN'!$F657=0,"",(VLOOKUP($C648,REV!$C:$AA,12,0)-'TRADE IN'!$F648))</f>
        <v>4099</v>
      </c>
      <c r="O648" s="46">
        <f>IF(VLOOKUP($C648,REV!$C:$AA,13,0)-'TRADE IN'!$F657=0,"",(VLOOKUP($C648,REV!$C:$AA,13,0)-'TRADE IN'!$F648))</f>
        <v>3899</v>
      </c>
      <c r="P648" s="46">
        <f>IF(VLOOKUP($C648,REV!$C:$AA,14,0)-'TRADE IN'!$F657=0,"",(VLOOKUP($C648,REV!$C:$AA,14,0)-'TRADE IN'!$F648))</f>
        <v>3799</v>
      </c>
      <c r="Q648" s="46">
        <f>IF(VLOOKUP($C648,REV!$C:$AA,15,0)-'TRADE IN'!$F657=0,"",(VLOOKUP($C648,REV!$C:$AA,15,0)-'TRADE IN'!$F648))</f>
        <v>3399</v>
      </c>
      <c r="R648" s="46">
        <f>IF(VLOOKUP($C648,REV!$C:$AA,16,0)-'TRADE IN'!$F657=0,"",(VLOOKUP($C648,REV!$C:$AA,16,0)-'TRADE IN'!$F648))</f>
        <v>3899</v>
      </c>
      <c r="S648" s="46">
        <f>IF(VLOOKUP($C648,REV!$C:$AA,17,0)-'TRADE IN'!$F657=0,"",(VLOOKUP($C648,REV!$C:$AA,17,0)-'TRADE IN'!$F648))</f>
        <v>3799</v>
      </c>
      <c r="T648" s="46">
        <f>IF(VLOOKUP($C648,REV!$C:$AA,18,0)-'TRADE IN'!$F657=0,"",(VLOOKUP($C648,REV!$C:$AA,18,0)-'TRADE IN'!$F648))</f>
        <v>3399</v>
      </c>
      <c r="U648" s="46">
        <f>IF(VLOOKUP($C648,REV!$C:$AA,19,0)-'TRADE IN'!$F657=0,"",(VLOOKUP($C648,REV!$C:$AA,19,0)-'TRADE IN'!$F648))</f>
        <v>3399</v>
      </c>
      <c r="V648" s="46">
        <f>IF(VLOOKUP($C648,REV!$C:$AA,20,0)-'TRADE IN'!$F657=0,"",(VLOOKUP($C648,REV!$C:$AA,20,0)-'TRADE IN'!$F648))</f>
        <v>3399</v>
      </c>
      <c r="W648" s="46">
        <f>IF(VLOOKUP($C648,REV!$C:$AA,21,0)-'TRADE IN'!$F657=0,"",(VLOOKUP($C648,REV!$C:$AA,21,0)-'TRADE IN'!$F648))</f>
        <v>3399</v>
      </c>
      <c r="X648" s="46">
        <f>IF(VLOOKUP($C648,REV!$C:$AA,22,0)-'TRADE IN'!$F657=0,"",(VLOOKUP($C648,REV!$C:$AA,22,0)-'TRADE IN'!$F648))</f>
        <v>3299</v>
      </c>
      <c r="Y648" s="46">
        <f>IF(VLOOKUP($C648,REV!$C:$AA,23,0)-'TRADE IN'!$F657=0,"",(VLOOKUP($C648,REV!$C:$AA,23,0)-'TRADE IN'!$F648))</f>
        <v>2899</v>
      </c>
      <c r="Z648" s="46">
        <f>IF(VLOOKUP($C648,REV!$C:$AA,24,0)-'TRADE IN'!$F657=0,"",(VLOOKUP($C648,REV!$C:$AA,24,0)-'TRADE IN'!$F648))</f>
        <v>2899</v>
      </c>
      <c r="AA648" s="46">
        <f>IF(VLOOKUP($C648,REV!$C:$AA,25,0)-'TRADE IN'!$F657=0,"",(VLOOKUP($C648,REV!$C:$AA,25,0)-'TRADE IN'!$F648))</f>
        <v>2899</v>
      </c>
      <c r="AB648" s="46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7"/>
      <c r="AW648" s="48" t="str">
        <f>IF(REV!AW648=0,"",REV!AW648)</f>
        <v>31.03.2026</v>
      </c>
      <c r="AX648" s="159" t="s">
        <v>82</v>
      </c>
    </row>
    <row r="649" spans="1:50" ht="22.5" customHeight="1">
      <c r="A649" s="52" t="s">
        <v>70</v>
      </c>
      <c r="B649" s="41" t="s">
        <v>62</v>
      </c>
      <c r="C649" s="42">
        <v>4015322</v>
      </c>
      <c r="D649" s="44" t="s">
        <v>877</v>
      </c>
      <c r="E649" s="44" t="s">
        <v>879</v>
      </c>
      <c r="F649" s="45"/>
      <c r="G649" s="45"/>
      <c r="H649" s="45"/>
      <c r="I649" s="45"/>
      <c r="J649" s="46">
        <f>IF(VLOOKUP($C649,REV!$C:$AA,8,0)-'TRADE IN'!$F649=0,"",(VLOOKUP($C649,REV!$C:$AA,8,0)-'TRADE IN'!$F649))</f>
        <v>4099</v>
      </c>
      <c r="K649" s="46">
        <f>IF(VLOOKUP($C649,REV!$C:$AA,9,0)-'TRADE IN'!$F649=0,"",(VLOOKUP($C649,REV!$C:$AA,9,0)-'TRADE IN'!$F649))</f>
        <v>3999</v>
      </c>
      <c r="L649" s="46">
        <f>IF(VLOOKUP($C649,REV!$C:$AA,10,0)-'TRADE IN'!$F658=0,"",(VLOOKUP($C649,REV!$C:$AA,10,0)-'TRADE IN'!$F649))</f>
        <v>3999</v>
      </c>
      <c r="M649" s="46">
        <f>IF(VLOOKUP($C649,REV!$C:$AA,11,0)-'TRADE IN'!$F658=0,"",(VLOOKUP($C649,REV!$C:$AA,11,0)-'TRADE IN'!$F649))</f>
        <v>4099</v>
      </c>
      <c r="N649" s="46">
        <f>IF(VLOOKUP($C649,REV!$C:$AA,12,0)-'TRADE IN'!$F658=0,"",(VLOOKUP($C649,REV!$C:$AA,12,0)-'TRADE IN'!$F649))</f>
        <v>4099</v>
      </c>
      <c r="O649" s="46">
        <f>IF(VLOOKUP($C649,REV!$C:$AA,13,0)-'TRADE IN'!$F658=0,"",(VLOOKUP($C649,REV!$C:$AA,13,0)-'TRADE IN'!$F649))</f>
        <v>3899</v>
      </c>
      <c r="P649" s="46">
        <f>IF(VLOOKUP($C649,REV!$C:$AA,14,0)-'TRADE IN'!$F658=0,"",(VLOOKUP($C649,REV!$C:$AA,14,0)-'TRADE IN'!$F649))</f>
        <v>3799</v>
      </c>
      <c r="Q649" s="46">
        <f>IF(VLOOKUP($C649,REV!$C:$AA,15,0)-'TRADE IN'!$F658=0,"",(VLOOKUP($C649,REV!$C:$AA,15,0)-'TRADE IN'!$F649))</f>
        <v>3399</v>
      </c>
      <c r="R649" s="46">
        <f>IF(VLOOKUP($C649,REV!$C:$AA,16,0)-'TRADE IN'!$F658=0,"",(VLOOKUP($C649,REV!$C:$AA,16,0)-'TRADE IN'!$F649))</f>
        <v>3899</v>
      </c>
      <c r="S649" s="46">
        <f>IF(VLOOKUP($C649,REV!$C:$AA,17,0)-'TRADE IN'!$F658=0,"",(VLOOKUP($C649,REV!$C:$AA,17,0)-'TRADE IN'!$F649))</f>
        <v>3799</v>
      </c>
      <c r="T649" s="46">
        <f>IF(VLOOKUP($C649,REV!$C:$AA,18,0)-'TRADE IN'!$F658=0,"",(VLOOKUP($C649,REV!$C:$AA,18,0)-'TRADE IN'!$F649))</f>
        <v>3399</v>
      </c>
      <c r="U649" s="46">
        <f>IF(VLOOKUP($C649,REV!$C:$AA,19,0)-'TRADE IN'!$F658=0,"",(VLOOKUP($C649,REV!$C:$AA,19,0)-'TRADE IN'!$F649))</f>
        <v>3399</v>
      </c>
      <c r="V649" s="46">
        <f>IF(VLOOKUP($C649,REV!$C:$AA,20,0)-'TRADE IN'!$F658=0,"",(VLOOKUP($C649,REV!$C:$AA,20,0)-'TRADE IN'!$F649))</f>
        <v>3399</v>
      </c>
      <c r="W649" s="46">
        <f>IF(VLOOKUP($C649,REV!$C:$AA,21,0)-'TRADE IN'!$F658=0,"",(VLOOKUP($C649,REV!$C:$AA,21,0)-'TRADE IN'!$F649))</f>
        <v>3399</v>
      </c>
      <c r="X649" s="46">
        <f>IF(VLOOKUP($C649,REV!$C:$AA,22,0)-'TRADE IN'!$F658=0,"",(VLOOKUP($C649,REV!$C:$AA,22,0)-'TRADE IN'!$F649))</f>
        <v>3299</v>
      </c>
      <c r="Y649" s="46">
        <f>IF(VLOOKUP($C649,REV!$C:$AA,23,0)-'TRADE IN'!$F658=0,"",(VLOOKUP($C649,REV!$C:$AA,23,0)-'TRADE IN'!$F649))</f>
        <v>2899</v>
      </c>
      <c r="Z649" s="46">
        <f>IF(VLOOKUP($C649,REV!$C:$AA,24,0)-'TRADE IN'!$F658=0,"",(VLOOKUP($C649,REV!$C:$AA,24,0)-'TRADE IN'!$F649))</f>
        <v>2899</v>
      </c>
      <c r="AA649" s="46">
        <f>IF(VLOOKUP($C649,REV!$C:$AA,25,0)-'TRADE IN'!$F658=0,"",(VLOOKUP($C649,REV!$C:$AA,25,0)-'TRADE IN'!$F649))</f>
        <v>2899</v>
      </c>
      <c r="AB649" s="46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7"/>
      <c r="AW649" s="48" t="str">
        <f>IF(REV!AW649=0,"",REV!AW649)</f>
        <v>31.03.2026</v>
      </c>
      <c r="AX649" s="159" t="s">
        <v>82</v>
      </c>
    </row>
    <row r="650" spans="1:50" ht="22.5" customHeight="1">
      <c r="A650" s="52" t="s">
        <v>70</v>
      </c>
      <c r="B650" s="41" t="s">
        <v>62</v>
      </c>
      <c r="C650" s="42">
        <v>4015282</v>
      </c>
      <c r="D650" s="44" t="s">
        <v>877</v>
      </c>
      <c r="E650" s="44" t="s">
        <v>880</v>
      </c>
      <c r="F650" s="45"/>
      <c r="G650" s="45"/>
      <c r="H650" s="45"/>
      <c r="I650" s="45"/>
      <c r="J650" s="46">
        <f>IF(VLOOKUP($C650,REV!$C:$AA,8,0)-'TRADE IN'!$F650=0,"",(VLOOKUP($C650,REV!$C:$AA,8,0)-'TRADE IN'!$F650))</f>
        <v>4099</v>
      </c>
      <c r="K650" s="46">
        <f>IF(VLOOKUP($C650,REV!$C:$AA,9,0)-'TRADE IN'!$F650=0,"",(VLOOKUP($C650,REV!$C:$AA,9,0)-'TRADE IN'!$F650))</f>
        <v>3999</v>
      </c>
      <c r="L650" s="46">
        <f>IF(VLOOKUP($C650,REV!$C:$AA,10,0)-'TRADE IN'!$F659=0,"",(VLOOKUP($C650,REV!$C:$AA,10,0)-'TRADE IN'!$F650))</f>
        <v>3999</v>
      </c>
      <c r="M650" s="46">
        <f>IF(VLOOKUP($C650,REV!$C:$AA,11,0)-'TRADE IN'!$F659=0,"",(VLOOKUP($C650,REV!$C:$AA,11,0)-'TRADE IN'!$F650))</f>
        <v>4099</v>
      </c>
      <c r="N650" s="46">
        <f>IF(VLOOKUP($C650,REV!$C:$AA,12,0)-'TRADE IN'!$F659=0,"",(VLOOKUP($C650,REV!$C:$AA,12,0)-'TRADE IN'!$F650))</f>
        <v>4099</v>
      </c>
      <c r="O650" s="46">
        <f>IF(VLOOKUP($C650,REV!$C:$AA,13,0)-'TRADE IN'!$F659=0,"",(VLOOKUP($C650,REV!$C:$AA,13,0)-'TRADE IN'!$F650))</f>
        <v>3899</v>
      </c>
      <c r="P650" s="46">
        <f>IF(VLOOKUP($C650,REV!$C:$AA,14,0)-'TRADE IN'!$F659=0,"",(VLOOKUP($C650,REV!$C:$AA,14,0)-'TRADE IN'!$F650))</f>
        <v>3799</v>
      </c>
      <c r="Q650" s="46">
        <f>IF(VLOOKUP($C650,REV!$C:$AA,15,0)-'TRADE IN'!$F659=0,"",(VLOOKUP($C650,REV!$C:$AA,15,0)-'TRADE IN'!$F650))</f>
        <v>3399</v>
      </c>
      <c r="R650" s="46">
        <f>IF(VLOOKUP($C650,REV!$C:$AA,16,0)-'TRADE IN'!$F659=0,"",(VLOOKUP($C650,REV!$C:$AA,16,0)-'TRADE IN'!$F650))</f>
        <v>3899</v>
      </c>
      <c r="S650" s="46">
        <f>IF(VLOOKUP($C650,REV!$C:$AA,17,0)-'TRADE IN'!$F659=0,"",(VLOOKUP($C650,REV!$C:$AA,17,0)-'TRADE IN'!$F650))</f>
        <v>3799</v>
      </c>
      <c r="T650" s="46">
        <f>IF(VLOOKUP($C650,REV!$C:$AA,18,0)-'TRADE IN'!$F659=0,"",(VLOOKUP($C650,REV!$C:$AA,18,0)-'TRADE IN'!$F650))</f>
        <v>3399</v>
      </c>
      <c r="U650" s="46">
        <f>IF(VLOOKUP($C650,REV!$C:$AA,19,0)-'TRADE IN'!$F659=0,"",(VLOOKUP($C650,REV!$C:$AA,19,0)-'TRADE IN'!$F650))</f>
        <v>3399</v>
      </c>
      <c r="V650" s="46">
        <f>IF(VLOOKUP($C650,REV!$C:$AA,20,0)-'TRADE IN'!$F659=0,"",(VLOOKUP($C650,REV!$C:$AA,20,0)-'TRADE IN'!$F650))</f>
        <v>3399</v>
      </c>
      <c r="W650" s="46">
        <f>IF(VLOOKUP($C650,REV!$C:$AA,21,0)-'TRADE IN'!$F659=0,"",(VLOOKUP($C650,REV!$C:$AA,21,0)-'TRADE IN'!$F650))</f>
        <v>3399</v>
      </c>
      <c r="X650" s="46">
        <f>IF(VLOOKUP($C650,REV!$C:$AA,22,0)-'TRADE IN'!$F659=0,"",(VLOOKUP($C650,REV!$C:$AA,22,0)-'TRADE IN'!$F650))</f>
        <v>3299</v>
      </c>
      <c r="Y650" s="46">
        <f>IF(VLOOKUP($C650,REV!$C:$AA,23,0)-'TRADE IN'!$F659=0,"",(VLOOKUP($C650,REV!$C:$AA,23,0)-'TRADE IN'!$F650))</f>
        <v>2899</v>
      </c>
      <c r="Z650" s="46">
        <f>IF(VLOOKUP($C650,REV!$C:$AA,24,0)-'TRADE IN'!$F659=0,"",(VLOOKUP($C650,REV!$C:$AA,24,0)-'TRADE IN'!$F650))</f>
        <v>2899</v>
      </c>
      <c r="AA650" s="46">
        <f>IF(VLOOKUP($C650,REV!$C:$AA,25,0)-'TRADE IN'!$F659=0,"",(VLOOKUP($C650,REV!$C:$AA,25,0)-'TRADE IN'!$F650))</f>
        <v>2899</v>
      </c>
      <c r="AB650" s="46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7"/>
      <c r="AW650" s="48" t="str">
        <f>IF(REV!AW650=0,"",REV!AW650)</f>
        <v>31.03.2026</v>
      </c>
      <c r="AX650" s="159" t="s">
        <v>82</v>
      </c>
    </row>
    <row r="651" spans="1:50" ht="22.5" customHeight="1">
      <c r="A651" s="52" t="s">
        <v>70</v>
      </c>
      <c r="B651" s="41" t="s">
        <v>62</v>
      </c>
      <c r="C651" s="42">
        <v>4015314</v>
      </c>
      <c r="D651" s="44" t="s">
        <v>877</v>
      </c>
      <c r="E651" s="44" t="s">
        <v>881</v>
      </c>
      <c r="F651" s="45"/>
      <c r="G651" s="45"/>
      <c r="H651" s="45"/>
      <c r="I651" s="45"/>
      <c r="J651" s="46">
        <f>IF(VLOOKUP($C651,REV!$C:$AA,8,0)-'TRADE IN'!$F651=0,"",(VLOOKUP($C651,REV!$C:$AA,8,0)-'TRADE IN'!$F651))</f>
        <v>4099</v>
      </c>
      <c r="K651" s="46">
        <f>IF(VLOOKUP($C651,REV!$C:$AA,9,0)-'TRADE IN'!$F651=0,"",(VLOOKUP($C651,REV!$C:$AA,9,0)-'TRADE IN'!$F651))</f>
        <v>3999</v>
      </c>
      <c r="L651" s="46">
        <f>IF(VLOOKUP($C651,REV!$C:$AA,10,0)-'TRADE IN'!$F660=0,"",(VLOOKUP($C651,REV!$C:$AA,10,0)-'TRADE IN'!$F651))</f>
        <v>3999</v>
      </c>
      <c r="M651" s="46">
        <f>IF(VLOOKUP($C651,REV!$C:$AA,11,0)-'TRADE IN'!$F660=0,"",(VLOOKUP($C651,REV!$C:$AA,11,0)-'TRADE IN'!$F651))</f>
        <v>4099</v>
      </c>
      <c r="N651" s="46">
        <f>IF(VLOOKUP($C651,REV!$C:$AA,12,0)-'TRADE IN'!$F660=0,"",(VLOOKUP($C651,REV!$C:$AA,12,0)-'TRADE IN'!$F651))</f>
        <v>4099</v>
      </c>
      <c r="O651" s="46">
        <f>IF(VLOOKUP($C651,REV!$C:$AA,13,0)-'TRADE IN'!$F660=0,"",(VLOOKUP($C651,REV!$C:$AA,13,0)-'TRADE IN'!$F651))</f>
        <v>3899</v>
      </c>
      <c r="P651" s="46">
        <f>IF(VLOOKUP($C651,REV!$C:$AA,14,0)-'TRADE IN'!$F660=0,"",(VLOOKUP($C651,REV!$C:$AA,14,0)-'TRADE IN'!$F651))</f>
        <v>3799</v>
      </c>
      <c r="Q651" s="46">
        <f>IF(VLOOKUP($C651,REV!$C:$AA,15,0)-'TRADE IN'!$F660=0,"",(VLOOKUP($C651,REV!$C:$AA,15,0)-'TRADE IN'!$F651))</f>
        <v>3399</v>
      </c>
      <c r="R651" s="46">
        <f>IF(VLOOKUP($C651,REV!$C:$AA,16,0)-'TRADE IN'!$F660=0,"",(VLOOKUP($C651,REV!$C:$AA,16,0)-'TRADE IN'!$F651))</f>
        <v>3899</v>
      </c>
      <c r="S651" s="46">
        <f>IF(VLOOKUP($C651,REV!$C:$AA,17,0)-'TRADE IN'!$F660=0,"",(VLOOKUP($C651,REV!$C:$AA,17,0)-'TRADE IN'!$F651))</f>
        <v>3799</v>
      </c>
      <c r="T651" s="46">
        <f>IF(VLOOKUP($C651,REV!$C:$AA,18,0)-'TRADE IN'!$F660=0,"",(VLOOKUP($C651,REV!$C:$AA,18,0)-'TRADE IN'!$F651))</f>
        <v>3399</v>
      </c>
      <c r="U651" s="46">
        <f>IF(VLOOKUP($C651,REV!$C:$AA,19,0)-'TRADE IN'!$F660=0,"",(VLOOKUP($C651,REV!$C:$AA,19,0)-'TRADE IN'!$F651))</f>
        <v>3399</v>
      </c>
      <c r="V651" s="46">
        <f>IF(VLOOKUP($C651,REV!$C:$AA,20,0)-'TRADE IN'!$F660=0,"",(VLOOKUP($C651,REV!$C:$AA,20,0)-'TRADE IN'!$F651))</f>
        <v>3399</v>
      </c>
      <c r="W651" s="46">
        <f>IF(VLOOKUP($C651,REV!$C:$AA,21,0)-'TRADE IN'!$F660=0,"",(VLOOKUP($C651,REV!$C:$AA,21,0)-'TRADE IN'!$F651))</f>
        <v>3399</v>
      </c>
      <c r="X651" s="46">
        <f>IF(VLOOKUP($C651,REV!$C:$AA,22,0)-'TRADE IN'!$F660=0,"",(VLOOKUP($C651,REV!$C:$AA,22,0)-'TRADE IN'!$F651))</f>
        <v>3299</v>
      </c>
      <c r="Y651" s="46">
        <f>IF(VLOOKUP($C651,REV!$C:$AA,23,0)-'TRADE IN'!$F660=0,"",(VLOOKUP($C651,REV!$C:$AA,23,0)-'TRADE IN'!$F651))</f>
        <v>2899</v>
      </c>
      <c r="Z651" s="46">
        <f>IF(VLOOKUP($C651,REV!$C:$AA,24,0)-'TRADE IN'!$F660=0,"",(VLOOKUP($C651,REV!$C:$AA,24,0)-'TRADE IN'!$F651))</f>
        <v>2899</v>
      </c>
      <c r="AA651" s="46">
        <f>IF(VLOOKUP($C651,REV!$C:$AA,25,0)-'TRADE IN'!$F660=0,"",(VLOOKUP($C651,REV!$C:$AA,25,0)-'TRADE IN'!$F651))</f>
        <v>2899</v>
      </c>
      <c r="AB651" s="46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7"/>
      <c r="AW651" s="48" t="str">
        <f>IF(REV!AW651=0,"",REV!AW651)</f>
        <v>31.03.2026</v>
      </c>
      <c r="AX651" s="159" t="s">
        <v>82</v>
      </c>
    </row>
    <row r="652" spans="1:50" ht="22.5" customHeight="1">
      <c r="A652" s="52" t="s">
        <v>70</v>
      </c>
      <c r="B652" s="41" t="s">
        <v>62</v>
      </c>
      <c r="C652" s="42">
        <v>4015298</v>
      </c>
      <c r="D652" s="44" t="s">
        <v>877</v>
      </c>
      <c r="E652" s="44" t="s">
        <v>882</v>
      </c>
      <c r="F652" s="45"/>
      <c r="G652" s="45"/>
      <c r="H652" s="45"/>
      <c r="I652" s="45"/>
      <c r="J652" s="46">
        <f>IF(VLOOKUP($C652,REV!$C:$AA,8,0)-'TRADE IN'!$F652=0,"",(VLOOKUP($C652,REV!$C:$AA,8,0)-'TRADE IN'!$F652))</f>
        <v>4099</v>
      </c>
      <c r="K652" s="46">
        <f>IF(VLOOKUP($C652,REV!$C:$AA,9,0)-'TRADE IN'!$F652=0,"",(VLOOKUP($C652,REV!$C:$AA,9,0)-'TRADE IN'!$F652))</f>
        <v>3999</v>
      </c>
      <c r="L652" s="46">
        <f>IF(VLOOKUP($C652,REV!$C:$AA,10,0)-'TRADE IN'!$F661=0,"",(VLOOKUP($C652,REV!$C:$AA,10,0)-'TRADE IN'!$F652))</f>
        <v>3999</v>
      </c>
      <c r="M652" s="46">
        <f>IF(VLOOKUP($C652,REV!$C:$AA,11,0)-'TRADE IN'!$F661=0,"",(VLOOKUP($C652,REV!$C:$AA,11,0)-'TRADE IN'!$F652))</f>
        <v>4099</v>
      </c>
      <c r="N652" s="46">
        <f>IF(VLOOKUP($C652,REV!$C:$AA,12,0)-'TRADE IN'!$F661=0,"",(VLOOKUP($C652,REV!$C:$AA,12,0)-'TRADE IN'!$F652))</f>
        <v>4099</v>
      </c>
      <c r="O652" s="46">
        <f>IF(VLOOKUP($C652,REV!$C:$AA,13,0)-'TRADE IN'!$F661=0,"",(VLOOKUP($C652,REV!$C:$AA,13,0)-'TRADE IN'!$F652))</f>
        <v>3899</v>
      </c>
      <c r="P652" s="46">
        <f>IF(VLOOKUP($C652,REV!$C:$AA,14,0)-'TRADE IN'!$F661=0,"",(VLOOKUP($C652,REV!$C:$AA,14,0)-'TRADE IN'!$F652))</f>
        <v>3799</v>
      </c>
      <c r="Q652" s="46">
        <f>IF(VLOOKUP($C652,REV!$C:$AA,15,0)-'TRADE IN'!$F661=0,"",(VLOOKUP($C652,REV!$C:$AA,15,0)-'TRADE IN'!$F652))</f>
        <v>3399</v>
      </c>
      <c r="R652" s="46">
        <f>IF(VLOOKUP($C652,REV!$C:$AA,16,0)-'TRADE IN'!$F661=0,"",(VLOOKUP($C652,REV!$C:$AA,16,0)-'TRADE IN'!$F652))</f>
        <v>3899</v>
      </c>
      <c r="S652" s="46">
        <f>IF(VLOOKUP($C652,REV!$C:$AA,17,0)-'TRADE IN'!$F661=0,"",(VLOOKUP($C652,REV!$C:$AA,17,0)-'TRADE IN'!$F652))</f>
        <v>3799</v>
      </c>
      <c r="T652" s="46">
        <f>IF(VLOOKUP($C652,REV!$C:$AA,18,0)-'TRADE IN'!$F661=0,"",(VLOOKUP($C652,REV!$C:$AA,18,0)-'TRADE IN'!$F652))</f>
        <v>3399</v>
      </c>
      <c r="U652" s="46">
        <f>IF(VLOOKUP($C652,REV!$C:$AA,19,0)-'TRADE IN'!$F661=0,"",(VLOOKUP($C652,REV!$C:$AA,19,0)-'TRADE IN'!$F652))</f>
        <v>3399</v>
      </c>
      <c r="V652" s="46">
        <f>IF(VLOOKUP($C652,REV!$C:$AA,20,0)-'TRADE IN'!$F661=0,"",(VLOOKUP($C652,REV!$C:$AA,20,0)-'TRADE IN'!$F652))</f>
        <v>3399</v>
      </c>
      <c r="W652" s="46">
        <f>IF(VLOOKUP($C652,REV!$C:$AA,21,0)-'TRADE IN'!$F661=0,"",(VLOOKUP($C652,REV!$C:$AA,21,0)-'TRADE IN'!$F652))</f>
        <v>3399</v>
      </c>
      <c r="X652" s="46">
        <f>IF(VLOOKUP($C652,REV!$C:$AA,22,0)-'TRADE IN'!$F661=0,"",(VLOOKUP($C652,REV!$C:$AA,22,0)-'TRADE IN'!$F652))</f>
        <v>3299</v>
      </c>
      <c r="Y652" s="46">
        <f>IF(VLOOKUP($C652,REV!$C:$AA,23,0)-'TRADE IN'!$F661=0,"",(VLOOKUP($C652,REV!$C:$AA,23,0)-'TRADE IN'!$F652))</f>
        <v>2899</v>
      </c>
      <c r="Z652" s="46">
        <f>IF(VLOOKUP($C652,REV!$C:$AA,24,0)-'TRADE IN'!$F661=0,"",(VLOOKUP($C652,REV!$C:$AA,24,0)-'TRADE IN'!$F652))</f>
        <v>2899</v>
      </c>
      <c r="AA652" s="46">
        <f>IF(VLOOKUP($C652,REV!$C:$AA,25,0)-'TRADE IN'!$F661=0,"",(VLOOKUP($C652,REV!$C:$AA,25,0)-'TRADE IN'!$F652))</f>
        <v>2899</v>
      </c>
      <c r="AB652" s="46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7"/>
      <c r="AW652" s="48" t="str">
        <f>IF(REV!AW652=0,"",REV!AW652)</f>
        <v>31.03.2026</v>
      </c>
      <c r="AX652" s="159" t="s">
        <v>82</v>
      </c>
    </row>
    <row r="653" spans="1:50" ht="22.5" customHeight="1">
      <c r="A653" s="52" t="s">
        <v>70</v>
      </c>
      <c r="B653" s="41" t="s">
        <v>62</v>
      </c>
      <c r="C653" s="42">
        <v>4015330</v>
      </c>
      <c r="D653" s="44" t="s">
        <v>877</v>
      </c>
      <c r="E653" s="44" t="s">
        <v>883</v>
      </c>
      <c r="F653" s="45"/>
      <c r="G653" s="45"/>
      <c r="H653" s="45"/>
      <c r="I653" s="45"/>
      <c r="J653" s="46">
        <f>IF(VLOOKUP($C653,REV!$C:$AA,8,0)-'TRADE IN'!$F653=0,"",(VLOOKUP($C653,REV!$C:$AA,8,0)-'TRADE IN'!$F653))</f>
        <v>4099</v>
      </c>
      <c r="K653" s="46">
        <f>IF(VLOOKUP($C653,REV!$C:$AA,9,0)-'TRADE IN'!$F653=0,"",(VLOOKUP($C653,REV!$C:$AA,9,0)-'TRADE IN'!$F653))</f>
        <v>3999</v>
      </c>
      <c r="L653" s="46">
        <f>IF(VLOOKUP($C653,REV!$C:$AA,10,0)-'TRADE IN'!$F662=0,"",(VLOOKUP($C653,REV!$C:$AA,10,0)-'TRADE IN'!$F653))</f>
        <v>3999</v>
      </c>
      <c r="M653" s="46">
        <f>IF(VLOOKUP($C653,REV!$C:$AA,11,0)-'TRADE IN'!$F662=0,"",(VLOOKUP($C653,REV!$C:$AA,11,0)-'TRADE IN'!$F653))</f>
        <v>4099</v>
      </c>
      <c r="N653" s="46">
        <f>IF(VLOOKUP($C653,REV!$C:$AA,12,0)-'TRADE IN'!$F662=0,"",(VLOOKUP($C653,REV!$C:$AA,12,0)-'TRADE IN'!$F653))</f>
        <v>4099</v>
      </c>
      <c r="O653" s="46">
        <f>IF(VLOOKUP($C653,REV!$C:$AA,13,0)-'TRADE IN'!$F662=0,"",(VLOOKUP($C653,REV!$C:$AA,13,0)-'TRADE IN'!$F653))</f>
        <v>3899</v>
      </c>
      <c r="P653" s="46">
        <f>IF(VLOOKUP($C653,REV!$C:$AA,14,0)-'TRADE IN'!$F662=0,"",(VLOOKUP($C653,REV!$C:$AA,14,0)-'TRADE IN'!$F653))</f>
        <v>3799</v>
      </c>
      <c r="Q653" s="46">
        <f>IF(VLOOKUP($C653,REV!$C:$AA,15,0)-'TRADE IN'!$F662=0,"",(VLOOKUP($C653,REV!$C:$AA,15,0)-'TRADE IN'!$F653))</f>
        <v>3399</v>
      </c>
      <c r="R653" s="46">
        <f>IF(VLOOKUP($C653,REV!$C:$AA,16,0)-'TRADE IN'!$F662=0,"",(VLOOKUP($C653,REV!$C:$AA,16,0)-'TRADE IN'!$F653))</f>
        <v>3899</v>
      </c>
      <c r="S653" s="46">
        <f>IF(VLOOKUP($C653,REV!$C:$AA,17,0)-'TRADE IN'!$F662=0,"",(VLOOKUP($C653,REV!$C:$AA,17,0)-'TRADE IN'!$F653))</f>
        <v>3799</v>
      </c>
      <c r="T653" s="46">
        <f>IF(VLOOKUP($C653,REV!$C:$AA,18,0)-'TRADE IN'!$F662=0,"",(VLOOKUP($C653,REV!$C:$AA,18,0)-'TRADE IN'!$F653))</f>
        <v>3399</v>
      </c>
      <c r="U653" s="46">
        <f>IF(VLOOKUP($C653,REV!$C:$AA,19,0)-'TRADE IN'!$F662=0,"",(VLOOKUP($C653,REV!$C:$AA,19,0)-'TRADE IN'!$F653))</f>
        <v>3399</v>
      </c>
      <c r="V653" s="46">
        <f>IF(VLOOKUP($C653,REV!$C:$AA,20,0)-'TRADE IN'!$F662=0,"",(VLOOKUP($C653,REV!$C:$AA,20,0)-'TRADE IN'!$F653))</f>
        <v>3399</v>
      </c>
      <c r="W653" s="46">
        <f>IF(VLOOKUP($C653,REV!$C:$AA,21,0)-'TRADE IN'!$F662=0,"",(VLOOKUP($C653,REV!$C:$AA,21,0)-'TRADE IN'!$F653))</f>
        <v>3399</v>
      </c>
      <c r="X653" s="46">
        <f>IF(VLOOKUP($C653,REV!$C:$AA,22,0)-'TRADE IN'!$F662=0,"",(VLOOKUP($C653,REV!$C:$AA,22,0)-'TRADE IN'!$F653))</f>
        <v>3299</v>
      </c>
      <c r="Y653" s="46">
        <f>IF(VLOOKUP($C653,REV!$C:$AA,23,0)-'TRADE IN'!$F662=0,"",(VLOOKUP($C653,REV!$C:$AA,23,0)-'TRADE IN'!$F653))</f>
        <v>2899</v>
      </c>
      <c r="Z653" s="46">
        <f>IF(VLOOKUP($C653,REV!$C:$AA,24,0)-'TRADE IN'!$F662=0,"",(VLOOKUP($C653,REV!$C:$AA,24,0)-'TRADE IN'!$F653))</f>
        <v>2899</v>
      </c>
      <c r="AA653" s="46">
        <f>IF(VLOOKUP($C653,REV!$C:$AA,25,0)-'TRADE IN'!$F662=0,"",(VLOOKUP($C653,REV!$C:$AA,25,0)-'TRADE IN'!$F653))</f>
        <v>2899</v>
      </c>
      <c r="AB653" s="46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7"/>
      <c r="AW653" s="48" t="str">
        <f>IF(REV!AW653=0,"",REV!AW653)</f>
        <v>31.03.2026</v>
      </c>
      <c r="AX653" s="159" t="s">
        <v>82</v>
      </c>
    </row>
    <row r="654" spans="1:50" ht="22.5" customHeight="1">
      <c r="A654" s="52" t="s">
        <v>70</v>
      </c>
      <c r="B654" s="41" t="s">
        <v>62</v>
      </c>
      <c r="C654" s="42">
        <v>4015290</v>
      </c>
      <c r="D654" s="44" t="s">
        <v>884</v>
      </c>
      <c r="E654" s="44" t="s">
        <v>885</v>
      </c>
      <c r="F654" s="45"/>
      <c r="G654" s="45"/>
      <c r="H654" s="45"/>
      <c r="I654" s="45"/>
      <c r="J654" s="46">
        <f>IF(VLOOKUP($C654,REV!$C:$AA,8,0)-'TRADE IN'!$F654=0,"",(VLOOKUP($C654,REV!$C:$AA,8,0)-'TRADE IN'!$F654))</f>
        <v>4999</v>
      </c>
      <c r="K654" s="46">
        <f>IF(VLOOKUP($C654,REV!$C:$AA,9,0)-'TRADE IN'!$F654=0,"",(VLOOKUP($C654,REV!$C:$AA,9,0)-'TRADE IN'!$F654))</f>
        <v>4899</v>
      </c>
      <c r="L654" s="46">
        <f>IF(VLOOKUP($C654,REV!$C:$AA,10,0)-'TRADE IN'!$F663=0,"",(VLOOKUP($C654,REV!$C:$AA,10,0)-'TRADE IN'!$F654))</f>
        <v>4899</v>
      </c>
      <c r="M654" s="46">
        <f>IF(VLOOKUP($C654,REV!$C:$AA,11,0)-'TRADE IN'!$F663=0,"",(VLOOKUP($C654,REV!$C:$AA,11,0)-'TRADE IN'!$F654))</f>
        <v>4999</v>
      </c>
      <c r="N654" s="46">
        <f>IF(VLOOKUP($C654,REV!$C:$AA,12,0)-'TRADE IN'!$F663=0,"",(VLOOKUP($C654,REV!$C:$AA,12,0)-'TRADE IN'!$F654))</f>
        <v>4999</v>
      </c>
      <c r="O654" s="46">
        <f>IF(VLOOKUP($C654,REV!$C:$AA,13,0)-'TRADE IN'!$F663=0,"",(VLOOKUP($C654,REV!$C:$AA,13,0)-'TRADE IN'!$F654))</f>
        <v>4799</v>
      </c>
      <c r="P654" s="46">
        <f>IF(VLOOKUP($C654,REV!$C:$AA,14,0)-'TRADE IN'!$F663=0,"",(VLOOKUP($C654,REV!$C:$AA,14,0)-'TRADE IN'!$F654))</f>
        <v>4699</v>
      </c>
      <c r="Q654" s="46">
        <f>IF(VLOOKUP($C654,REV!$C:$AA,15,0)-'TRADE IN'!$F663=0,"",(VLOOKUP($C654,REV!$C:$AA,15,0)-'TRADE IN'!$F654))</f>
        <v>3799</v>
      </c>
      <c r="R654" s="46">
        <f>IF(VLOOKUP($C654,REV!$C:$AA,16,0)-'TRADE IN'!$F663=0,"",(VLOOKUP($C654,REV!$C:$AA,16,0)-'TRADE IN'!$F654))</f>
        <v>4799</v>
      </c>
      <c r="S654" s="46">
        <f>IF(VLOOKUP($C654,REV!$C:$AA,17,0)-'TRADE IN'!$F663=0,"",(VLOOKUP($C654,REV!$C:$AA,17,0)-'TRADE IN'!$F654))</f>
        <v>4699</v>
      </c>
      <c r="T654" s="46">
        <f>IF(VLOOKUP($C654,REV!$C:$AA,18,0)-'TRADE IN'!$F663=0,"",(VLOOKUP($C654,REV!$C:$AA,18,0)-'TRADE IN'!$F654))</f>
        <v>3799</v>
      </c>
      <c r="U654" s="46">
        <f>IF(VLOOKUP($C654,REV!$C:$AA,19,0)-'TRADE IN'!$F663=0,"",(VLOOKUP($C654,REV!$C:$AA,19,0)-'TRADE IN'!$F654))</f>
        <v>3799</v>
      </c>
      <c r="V654" s="46">
        <f>IF(VLOOKUP($C654,REV!$C:$AA,20,0)-'TRADE IN'!$F663=0,"",(VLOOKUP($C654,REV!$C:$AA,20,0)-'TRADE IN'!$F654))</f>
        <v>3799</v>
      </c>
      <c r="W654" s="46">
        <f>IF(VLOOKUP($C654,REV!$C:$AA,21,0)-'TRADE IN'!$F663=0,"",(VLOOKUP($C654,REV!$C:$AA,21,0)-'TRADE IN'!$F654))</f>
        <v>3799</v>
      </c>
      <c r="X654" s="46">
        <f>IF(VLOOKUP($C654,REV!$C:$AA,22,0)-'TRADE IN'!$F663=0,"",(VLOOKUP($C654,REV!$C:$AA,22,0)-'TRADE IN'!$F654))</f>
        <v>3699</v>
      </c>
      <c r="Y654" s="46">
        <f>IF(VLOOKUP($C654,REV!$C:$AA,23,0)-'TRADE IN'!$F663=0,"",(VLOOKUP($C654,REV!$C:$AA,23,0)-'TRADE IN'!$F654))</f>
        <v>3499</v>
      </c>
      <c r="Z654" s="46">
        <f>IF(VLOOKUP($C654,REV!$C:$AA,24,0)-'TRADE IN'!$F663=0,"",(VLOOKUP($C654,REV!$C:$AA,24,0)-'TRADE IN'!$F654))</f>
        <v>3499</v>
      </c>
      <c r="AA654" s="46">
        <f>IF(VLOOKUP($C654,REV!$C:$AA,25,0)-'TRADE IN'!$F663=0,"",(VLOOKUP($C654,REV!$C:$AA,25,0)-'TRADE IN'!$F654))</f>
        <v>3499</v>
      </c>
      <c r="AB654" s="46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7"/>
      <c r="AW654" s="48" t="str">
        <f>IF(REV!AW654=0,"",REV!AW654)</f>
        <v>31.03.2026</v>
      </c>
      <c r="AX654" s="159" t="s">
        <v>82</v>
      </c>
    </row>
    <row r="655" spans="1:50" ht="22.5" customHeight="1">
      <c r="A655" s="52" t="s">
        <v>70</v>
      </c>
      <c r="B655" s="41" t="s">
        <v>62</v>
      </c>
      <c r="C655" s="42">
        <v>4015321</v>
      </c>
      <c r="D655" s="44" t="s">
        <v>884</v>
      </c>
      <c r="E655" s="44" t="s">
        <v>886</v>
      </c>
      <c r="F655" s="45"/>
      <c r="G655" s="45"/>
      <c r="H655" s="45"/>
      <c r="I655" s="45"/>
      <c r="J655" s="46">
        <f>IF(VLOOKUP($C655,REV!$C:$AA,8,0)-'TRADE IN'!$F655=0,"",(VLOOKUP($C655,REV!$C:$AA,8,0)-'TRADE IN'!$F655))</f>
        <v>4999</v>
      </c>
      <c r="K655" s="46">
        <f>IF(VLOOKUP($C655,REV!$C:$AA,9,0)-'TRADE IN'!$F655=0,"",(VLOOKUP($C655,REV!$C:$AA,9,0)-'TRADE IN'!$F655))</f>
        <v>4899</v>
      </c>
      <c r="L655" s="46">
        <f>IF(VLOOKUP($C655,REV!$C:$AA,10,0)-'TRADE IN'!$F664=0,"",(VLOOKUP($C655,REV!$C:$AA,10,0)-'TRADE IN'!$F655))</f>
        <v>4899</v>
      </c>
      <c r="M655" s="46">
        <f>IF(VLOOKUP($C655,REV!$C:$AA,11,0)-'TRADE IN'!$F664=0,"",(VLOOKUP($C655,REV!$C:$AA,11,0)-'TRADE IN'!$F655))</f>
        <v>4999</v>
      </c>
      <c r="N655" s="46">
        <f>IF(VLOOKUP($C655,REV!$C:$AA,12,0)-'TRADE IN'!$F664=0,"",(VLOOKUP($C655,REV!$C:$AA,12,0)-'TRADE IN'!$F655))</f>
        <v>4999</v>
      </c>
      <c r="O655" s="46">
        <f>IF(VLOOKUP($C655,REV!$C:$AA,13,0)-'TRADE IN'!$F664=0,"",(VLOOKUP($C655,REV!$C:$AA,13,0)-'TRADE IN'!$F655))</f>
        <v>4799</v>
      </c>
      <c r="P655" s="46">
        <f>IF(VLOOKUP($C655,REV!$C:$AA,14,0)-'TRADE IN'!$F664=0,"",(VLOOKUP($C655,REV!$C:$AA,14,0)-'TRADE IN'!$F655))</f>
        <v>4699</v>
      </c>
      <c r="Q655" s="46">
        <f>IF(VLOOKUP($C655,REV!$C:$AA,15,0)-'TRADE IN'!$F664=0,"",(VLOOKUP($C655,REV!$C:$AA,15,0)-'TRADE IN'!$F655))</f>
        <v>3799</v>
      </c>
      <c r="R655" s="46">
        <f>IF(VLOOKUP($C655,REV!$C:$AA,16,0)-'TRADE IN'!$F664=0,"",(VLOOKUP($C655,REV!$C:$AA,16,0)-'TRADE IN'!$F655))</f>
        <v>4799</v>
      </c>
      <c r="S655" s="46">
        <f>IF(VLOOKUP($C655,REV!$C:$AA,17,0)-'TRADE IN'!$F664=0,"",(VLOOKUP($C655,REV!$C:$AA,17,0)-'TRADE IN'!$F655))</f>
        <v>4699</v>
      </c>
      <c r="T655" s="46">
        <f>IF(VLOOKUP($C655,REV!$C:$AA,18,0)-'TRADE IN'!$F664=0,"",(VLOOKUP($C655,REV!$C:$AA,18,0)-'TRADE IN'!$F655))</f>
        <v>3799</v>
      </c>
      <c r="U655" s="46">
        <f>IF(VLOOKUP($C655,REV!$C:$AA,19,0)-'TRADE IN'!$F664=0,"",(VLOOKUP($C655,REV!$C:$AA,19,0)-'TRADE IN'!$F655))</f>
        <v>3799</v>
      </c>
      <c r="V655" s="46">
        <f>IF(VLOOKUP($C655,REV!$C:$AA,20,0)-'TRADE IN'!$F664=0,"",(VLOOKUP($C655,REV!$C:$AA,20,0)-'TRADE IN'!$F655))</f>
        <v>3799</v>
      </c>
      <c r="W655" s="46">
        <f>IF(VLOOKUP($C655,REV!$C:$AA,21,0)-'TRADE IN'!$F664=0,"",(VLOOKUP($C655,REV!$C:$AA,21,0)-'TRADE IN'!$F655))</f>
        <v>3799</v>
      </c>
      <c r="X655" s="46">
        <f>IF(VLOOKUP($C655,REV!$C:$AA,22,0)-'TRADE IN'!$F664=0,"",(VLOOKUP($C655,REV!$C:$AA,22,0)-'TRADE IN'!$F655))</f>
        <v>3699</v>
      </c>
      <c r="Y655" s="46">
        <f>IF(VLOOKUP($C655,REV!$C:$AA,23,0)-'TRADE IN'!$F664=0,"",(VLOOKUP($C655,REV!$C:$AA,23,0)-'TRADE IN'!$F655))</f>
        <v>3499</v>
      </c>
      <c r="Z655" s="46">
        <f>IF(VLOOKUP($C655,REV!$C:$AA,24,0)-'TRADE IN'!$F664=0,"",(VLOOKUP($C655,REV!$C:$AA,24,0)-'TRADE IN'!$F655))</f>
        <v>3499</v>
      </c>
      <c r="AA655" s="46">
        <f>IF(VLOOKUP($C655,REV!$C:$AA,25,0)-'TRADE IN'!$F664=0,"",(VLOOKUP($C655,REV!$C:$AA,25,0)-'TRADE IN'!$F655))</f>
        <v>3499</v>
      </c>
      <c r="AB655" s="46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7"/>
      <c r="AW655" s="48" t="str">
        <f>IF(REV!AW655=0,"",REV!AW655)</f>
        <v>31.03.2026</v>
      </c>
      <c r="AX655" s="159" t="s">
        <v>82</v>
      </c>
    </row>
    <row r="656" spans="1:50" ht="22.5" customHeight="1">
      <c r="A656" s="52" t="s">
        <v>70</v>
      </c>
      <c r="B656" s="41" t="s">
        <v>62</v>
      </c>
      <c r="C656" s="42">
        <v>4015283</v>
      </c>
      <c r="D656" s="44" t="s">
        <v>884</v>
      </c>
      <c r="E656" s="44" t="s">
        <v>887</v>
      </c>
      <c r="F656" s="45"/>
      <c r="G656" s="45"/>
      <c r="H656" s="45"/>
      <c r="I656" s="45"/>
      <c r="J656" s="46">
        <f>IF(VLOOKUP($C656,REV!$C:$AA,8,0)-'TRADE IN'!$F656=0,"",(VLOOKUP($C656,REV!$C:$AA,8,0)-'TRADE IN'!$F656))</f>
        <v>4999</v>
      </c>
      <c r="K656" s="46">
        <f>IF(VLOOKUP($C656,REV!$C:$AA,9,0)-'TRADE IN'!$F656=0,"",(VLOOKUP($C656,REV!$C:$AA,9,0)-'TRADE IN'!$F656))</f>
        <v>4899</v>
      </c>
      <c r="L656" s="46">
        <f>IF(VLOOKUP($C656,REV!$C:$AA,10,0)-'TRADE IN'!$F665=0,"",(VLOOKUP($C656,REV!$C:$AA,10,0)-'TRADE IN'!$F656))</f>
        <v>4899</v>
      </c>
      <c r="M656" s="46">
        <f>IF(VLOOKUP($C656,REV!$C:$AA,11,0)-'TRADE IN'!$F665=0,"",(VLOOKUP($C656,REV!$C:$AA,11,0)-'TRADE IN'!$F656))</f>
        <v>4999</v>
      </c>
      <c r="N656" s="46">
        <f>IF(VLOOKUP($C656,REV!$C:$AA,12,0)-'TRADE IN'!$F665=0,"",(VLOOKUP($C656,REV!$C:$AA,12,0)-'TRADE IN'!$F656))</f>
        <v>4999</v>
      </c>
      <c r="O656" s="46">
        <f>IF(VLOOKUP($C656,REV!$C:$AA,13,0)-'TRADE IN'!$F665=0,"",(VLOOKUP($C656,REV!$C:$AA,13,0)-'TRADE IN'!$F656))</f>
        <v>4799</v>
      </c>
      <c r="P656" s="46">
        <f>IF(VLOOKUP($C656,REV!$C:$AA,14,0)-'TRADE IN'!$F665=0,"",(VLOOKUP($C656,REV!$C:$AA,14,0)-'TRADE IN'!$F656))</f>
        <v>4699</v>
      </c>
      <c r="Q656" s="46">
        <f>IF(VLOOKUP($C656,REV!$C:$AA,15,0)-'TRADE IN'!$F665=0,"",(VLOOKUP($C656,REV!$C:$AA,15,0)-'TRADE IN'!$F656))</f>
        <v>3799</v>
      </c>
      <c r="R656" s="46">
        <f>IF(VLOOKUP($C656,REV!$C:$AA,16,0)-'TRADE IN'!$F665=0,"",(VLOOKUP($C656,REV!$C:$AA,16,0)-'TRADE IN'!$F656))</f>
        <v>4799</v>
      </c>
      <c r="S656" s="46">
        <f>IF(VLOOKUP($C656,REV!$C:$AA,17,0)-'TRADE IN'!$F665=0,"",(VLOOKUP($C656,REV!$C:$AA,17,0)-'TRADE IN'!$F656))</f>
        <v>4699</v>
      </c>
      <c r="T656" s="46">
        <f>IF(VLOOKUP($C656,REV!$C:$AA,18,0)-'TRADE IN'!$F665=0,"",(VLOOKUP($C656,REV!$C:$AA,18,0)-'TRADE IN'!$F656))</f>
        <v>3799</v>
      </c>
      <c r="U656" s="46">
        <f>IF(VLOOKUP($C656,REV!$C:$AA,19,0)-'TRADE IN'!$F665=0,"",(VLOOKUP($C656,REV!$C:$AA,19,0)-'TRADE IN'!$F656))</f>
        <v>3799</v>
      </c>
      <c r="V656" s="46">
        <f>IF(VLOOKUP($C656,REV!$C:$AA,20,0)-'TRADE IN'!$F665=0,"",(VLOOKUP($C656,REV!$C:$AA,20,0)-'TRADE IN'!$F656))</f>
        <v>3799</v>
      </c>
      <c r="W656" s="46">
        <f>IF(VLOOKUP($C656,REV!$C:$AA,21,0)-'TRADE IN'!$F665=0,"",(VLOOKUP($C656,REV!$C:$AA,21,0)-'TRADE IN'!$F656))</f>
        <v>3799</v>
      </c>
      <c r="X656" s="46">
        <f>IF(VLOOKUP($C656,REV!$C:$AA,22,0)-'TRADE IN'!$F665=0,"",(VLOOKUP($C656,REV!$C:$AA,22,0)-'TRADE IN'!$F656))</f>
        <v>3699</v>
      </c>
      <c r="Y656" s="46">
        <f>IF(VLOOKUP($C656,REV!$C:$AA,23,0)-'TRADE IN'!$F665=0,"",(VLOOKUP($C656,REV!$C:$AA,23,0)-'TRADE IN'!$F656))</f>
        <v>3499</v>
      </c>
      <c r="Z656" s="46">
        <f>IF(VLOOKUP($C656,REV!$C:$AA,24,0)-'TRADE IN'!$F665=0,"",(VLOOKUP($C656,REV!$C:$AA,24,0)-'TRADE IN'!$F656))</f>
        <v>3499</v>
      </c>
      <c r="AA656" s="46">
        <f>IF(VLOOKUP($C656,REV!$C:$AA,25,0)-'TRADE IN'!$F665=0,"",(VLOOKUP($C656,REV!$C:$AA,25,0)-'TRADE IN'!$F656))</f>
        <v>3499</v>
      </c>
      <c r="AB656" s="46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7"/>
      <c r="AW656" s="48" t="str">
        <f>IF(REV!AW656=0,"",REV!AW656)</f>
        <v>31.03.2026</v>
      </c>
      <c r="AX656" s="159" t="s">
        <v>82</v>
      </c>
    </row>
    <row r="657" spans="1:50" ht="22.5" customHeight="1">
      <c r="A657" s="52" t="s">
        <v>70</v>
      </c>
      <c r="B657" s="41" t="s">
        <v>62</v>
      </c>
      <c r="C657" s="42">
        <v>4015313</v>
      </c>
      <c r="D657" s="44" t="s">
        <v>884</v>
      </c>
      <c r="E657" s="44" t="s">
        <v>888</v>
      </c>
      <c r="F657" s="45"/>
      <c r="G657" s="45"/>
      <c r="H657" s="45"/>
      <c r="I657" s="45"/>
      <c r="J657" s="46">
        <f>IF(VLOOKUP($C657,REV!$C:$AA,8,0)-'TRADE IN'!$F657=0,"",(VLOOKUP($C657,REV!$C:$AA,8,0)-'TRADE IN'!$F657))</f>
        <v>4999</v>
      </c>
      <c r="K657" s="46">
        <f>IF(VLOOKUP($C657,REV!$C:$AA,9,0)-'TRADE IN'!$F657=0,"",(VLOOKUP($C657,REV!$C:$AA,9,0)-'TRADE IN'!$F657))</f>
        <v>4899</v>
      </c>
      <c r="L657" s="46">
        <f>IF(VLOOKUP($C657,REV!$C:$AA,10,0)-'TRADE IN'!$F666=0,"",(VLOOKUP($C657,REV!$C:$AA,10,0)-'TRADE IN'!$F657))</f>
        <v>4899</v>
      </c>
      <c r="M657" s="46">
        <f>IF(VLOOKUP($C657,REV!$C:$AA,11,0)-'TRADE IN'!$F666=0,"",(VLOOKUP($C657,REV!$C:$AA,11,0)-'TRADE IN'!$F657))</f>
        <v>4999</v>
      </c>
      <c r="N657" s="46">
        <f>IF(VLOOKUP($C657,REV!$C:$AA,12,0)-'TRADE IN'!$F666=0,"",(VLOOKUP($C657,REV!$C:$AA,12,0)-'TRADE IN'!$F657))</f>
        <v>4999</v>
      </c>
      <c r="O657" s="46">
        <f>IF(VLOOKUP($C657,REV!$C:$AA,13,0)-'TRADE IN'!$F666=0,"",(VLOOKUP($C657,REV!$C:$AA,13,0)-'TRADE IN'!$F657))</f>
        <v>4799</v>
      </c>
      <c r="P657" s="46">
        <f>IF(VLOOKUP($C657,REV!$C:$AA,14,0)-'TRADE IN'!$F666=0,"",(VLOOKUP($C657,REV!$C:$AA,14,0)-'TRADE IN'!$F657))</f>
        <v>4699</v>
      </c>
      <c r="Q657" s="46">
        <f>IF(VLOOKUP($C657,REV!$C:$AA,15,0)-'TRADE IN'!$F666=0,"",(VLOOKUP($C657,REV!$C:$AA,15,0)-'TRADE IN'!$F657))</f>
        <v>3799</v>
      </c>
      <c r="R657" s="46">
        <f>IF(VLOOKUP($C657,REV!$C:$AA,16,0)-'TRADE IN'!$F666=0,"",(VLOOKUP($C657,REV!$C:$AA,16,0)-'TRADE IN'!$F657))</f>
        <v>4799</v>
      </c>
      <c r="S657" s="46">
        <f>IF(VLOOKUP($C657,REV!$C:$AA,17,0)-'TRADE IN'!$F666=0,"",(VLOOKUP($C657,REV!$C:$AA,17,0)-'TRADE IN'!$F657))</f>
        <v>4699</v>
      </c>
      <c r="T657" s="46">
        <f>IF(VLOOKUP($C657,REV!$C:$AA,18,0)-'TRADE IN'!$F666=0,"",(VLOOKUP($C657,REV!$C:$AA,18,0)-'TRADE IN'!$F657))</f>
        <v>3799</v>
      </c>
      <c r="U657" s="46">
        <f>IF(VLOOKUP($C657,REV!$C:$AA,19,0)-'TRADE IN'!$F666=0,"",(VLOOKUP($C657,REV!$C:$AA,19,0)-'TRADE IN'!$F657))</f>
        <v>3799</v>
      </c>
      <c r="V657" s="46">
        <f>IF(VLOOKUP($C657,REV!$C:$AA,20,0)-'TRADE IN'!$F666=0,"",(VLOOKUP($C657,REV!$C:$AA,20,0)-'TRADE IN'!$F657))</f>
        <v>3799</v>
      </c>
      <c r="W657" s="46">
        <f>IF(VLOOKUP($C657,REV!$C:$AA,21,0)-'TRADE IN'!$F666=0,"",(VLOOKUP($C657,REV!$C:$AA,21,0)-'TRADE IN'!$F657))</f>
        <v>3799</v>
      </c>
      <c r="X657" s="46">
        <f>IF(VLOOKUP($C657,REV!$C:$AA,22,0)-'TRADE IN'!$F666=0,"",(VLOOKUP($C657,REV!$C:$AA,22,0)-'TRADE IN'!$F657))</f>
        <v>3699</v>
      </c>
      <c r="Y657" s="46">
        <f>IF(VLOOKUP($C657,REV!$C:$AA,23,0)-'TRADE IN'!$F666=0,"",(VLOOKUP($C657,REV!$C:$AA,23,0)-'TRADE IN'!$F657))</f>
        <v>3499</v>
      </c>
      <c r="Z657" s="46">
        <f>IF(VLOOKUP($C657,REV!$C:$AA,24,0)-'TRADE IN'!$F666=0,"",(VLOOKUP($C657,REV!$C:$AA,24,0)-'TRADE IN'!$F657))</f>
        <v>3499</v>
      </c>
      <c r="AA657" s="46">
        <f>IF(VLOOKUP($C657,REV!$C:$AA,25,0)-'TRADE IN'!$F666=0,"",(VLOOKUP($C657,REV!$C:$AA,25,0)-'TRADE IN'!$F657))</f>
        <v>3499</v>
      </c>
      <c r="AB657" s="46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7"/>
      <c r="AW657" s="48" t="str">
        <f>IF(REV!AW657=0,"",REV!AW657)</f>
        <v>31.03.2026</v>
      </c>
      <c r="AX657" s="159" t="s">
        <v>82</v>
      </c>
    </row>
    <row r="658" spans="1:50" ht="22.5" customHeight="1">
      <c r="A658" s="52" t="s">
        <v>70</v>
      </c>
      <c r="B658" s="41" t="s">
        <v>62</v>
      </c>
      <c r="C658" s="42">
        <v>4015297</v>
      </c>
      <c r="D658" s="44" t="s">
        <v>884</v>
      </c>
      <c r="E658" s="44" t="s">
        <v>889</v>
      </c>
      <c r="F658" s="45"/>
      <c r="G658" s="45"/>
      <c r="H658" s="45"/>
      <c r="I658" s="45"/>
      <c r="J658" s="46">
        <f>IF(VLOOKUP($C658,REV!$C:$AA,8,0)-'TRADE IN'!$F658=0,"",(VLOOKUP($C658,REV!$C:$AA,8,0)-'TRADE IN'!$F658))</f>
        <v>4999</v>
      </c>
      <c r="K658" s="46">
        <f>IF(VLOOKUP($C658,REV!$C:$AA,9,0)-'TRADE IN'!$F658=0,"",(VLOOKUP($C658,REV!$C:$AA,9,0)-'TRADE IN'!$F658))</f>
        <v>4899</v>
      </c>
      <c r="L658" s="46">
        <f>IF(VLOOKUP($C658,REV!$C:$AA,10,0)-'TRADE IN'!$F667=0,"",(VLOOKUP($C658,REV!$C:$AA,10,0)-'TRADE IN'!$F658))</f>
        <v>4899</v>
      </c>
      <c r="M658" s="46">
        <f>IF(VLOOKUP($C658,REV!$C:$AA,11,0)-'TRADE IN'!$F667=0,"",(VLOOKUP($C658,REV!$C:$AA,11,0)-'TRADE IN'!$F658))</f>
        <v>4999</v>
      </c>
      <c r="N658" s="46">
        <f>IF(VLOOKUP($C658,REV!$C:$AA,12,0)-'TRADE IN'!$F667=0,"",(VLOOKUP($C658,REV!$C:$AA,12,0)-'TRADE IN'!$F658))</f>
        <v>4999</v>
      </c>
      <c r="O658" s="46">
        <f>IF(VLOOKUP($C658,REV!$C:$AA,13,0)-'TRADE IN'!$F667=0,"",(VLOOKUP($C658,REV!$C:$AA,13,0)-'TRADE IN'!$F658))</f>
        <v>4799</v>
      </c>
      <c r="P658" s="46">
        <f>IF(VLOOKUP($C658,REV!$C:$AA,14,0)-'TRADE IN'!$F667=0,"",(VLOOKUP($C658,REV!$C:$AA,14,0)-'TRADE IN'!$F658))</f>
        <v>4699</v>
      </c>
      <c r="Q658" s="46">
        <f>IF(VLOOKUP($C658,REV!$C:$AA,15,0)-'TRADE IN'!$F667=0,"",(VLOOKUP($C658,REV!$C:$AA,15,0)-'TRADE IN'!$F658))</f>
        <v>3799</v>
      </c>
      <c r="R658" s="46">
        <f>IF(VLOOKUP($C658,REV!$C:$AA,16,0)-'TRADE IN'!$F667=0,"",(VLOOKUP($C658,REV!$C:$AA,16,0)-'TRADE IN'!$F658))</f>
        <v>4799</v>
      </c>
      <c r="S658" s="46">
        <f>IF(VLOOKUP($C658,REV!$C:$AA,17,0)-'TRADE IN'!$F667=0,"",(VLOOKUP($C658,REV!$C:$AA,17,0)-'TRADE IN'!$F658))</f>
        <v>4699</v>
      </c>
      <c r="T658" s="46">
        <f>IF(VLOOKUP($C658,REV!$C:$AA,18,0)-'TRADE IN'!$F667=0,"",(VLOOKUP($C658,REV!$C:$AA,18,0)-'TRADE IN'!$F658))</f>
        <v>3799</v>
      </c>
      <c r="U658" s="46">
        <f>IF(VLOOKUP($C658,REV!$C:$AA,19,0)-'TRADE IN'!$F667=0,"",(VLOOKUP($C658,REV!$C:$AA,19,0)-'TRADE IN'!$F658))</f>
        <v>3799</v>
      </c>
      <c r="V658" s="46">
        <f>IF(VLOOKUP($C658,REV!$C:$AA,20,0)-'TRADE IN'!$F667=0,"",(VLOOKUP($C658,REV!$C:$AA,20,0)-'TRADE IN'!$F658))</f>
        <v>3799</v>
      </c>
      <c r="W658" s="46">
        <f>IF(VLOOKUP($C658,REV!$C:$AA,21,0)-'TRADE IN'!$F667=0,"",(VLOOKUP($C658,REV!$C:$AA,21,0)-'TRADE IN'!$F658))</f>
        <v>3799</v>
      </c>
      <c r="X658" s="46">
        <f>IF(VLOOKUP($C658,REV!$C:$AA,22,0)-'TRADE IN'!$F667=0,"",(VLOOKUP($C658,REV!$C:$AA,22,0)-'TRADE IN'!$F658))</f>
        <v>3699</v>
      </c>
      <c r="Y658" s="46">
        <f>IF(VLOOKUP($C658,REV!$C:$AA,23,0)-'TRADE IN'!$F667=0,"",(VLOOKUP($C658,REV!$C:$AA,23,0)-'TRADE IN'!$F658))</f>
        <v>3499</v>
      </c>
      <c r="Z658" s="46">
        <f>IF(VLOOKUP($C658,REV!$C:$AA,24,0)-'TRADE IN'!$F667=0,"",(VLOOKUP($C658,REV!$C:$AA,24,0)-'TRADE IN'!$F658))</f>
        <v>3499</v>
      </c>
      <c r="AA658" s="46">
        <f>IF(VLOOKUP($C658,REV!$C:$AA,25,0)-'TRADE IN'!$F667=0,"",(VLOOKUP($C658,REV!$C:$AA,25,0)-'TRADE IN'!$F658))</f>
        <v>3499</v>
      </c>
      <c r="AB658" s="46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7"/>
      <c r="AW658" s="48" t="str">
        <f>IF(REV!AW658=0,"",REV!AW658)</f>
        <v>31.03.2026</v>
      </c>
      <c r="AX658" s="159" t="s">
        <v>82</v>
      </c>
    </row>
    <row r="659" spans="1:50" ht="22.5" customHeight="1">
      <c r="A659" s="52" t="s">
        <v>70</v>
      </c>
      <c r="B659" s="41" t="s">
        <v>62</v>
      </c>
      <c r="C659" s="42">
        <v>4015329</v>
      </c>
      <c r="D659" s="44" t="s">
        <v>884</v>
      </c>
      <c r="E659" s="44" t="s">
        <v>890</v>
      </c>
      <c r="F659" s="45"/>
      <c r="G659" s="45"/>
      <c r="H659" s="45"/>
      <c r="I659" s="45"/>
      <c r="J659" s="46">
        <f>IF(VLOOKUP($C659,REV!$C:$AA,8,0)-'TRADE IN'!$F659=0,"",(VLOOKUP($C659,REV!$C:$AA,8,0)-'TRADE IN'!$F659))</f>
        <v>4999</v>
      </c>
      <c r="K659" s="46">
        <f>IF(VLOOKUP($C659,REV!$C:$AA,9,0)-'TRADE IN'!$F659=0,"",(VLOOKUP($C659,REV!$C:$AA,9,0)-'TRADE IN'!$F659))</f>
        <v>4899</v>
      </c>
      <c r="L659" s="46">
        <f>IF(VLOOKUP($C659,REV!$C:$AA,10,0)-'TRADE IN'!$F668=0,"",(VLOOKUP($C659,REV!$C:$AA,10,0)-'TRADE IN'!$F659))</f>
        <v>4899</v>
      </c>
      <c r="M659" s="46">
        <f>IF(VLOOKUP($C659,REV!$C:$AA,11,0)-'TRADE IN'!$F668=0,"",(VLOOKUP($C659,REV!$C:$AA,11,0)-'TRADE IN'!$F659))</f>
        <v>4999</v>
      </c>
      <c r="N659" s="46">
        <f>IF(VLOOKUP($C659,REV!$C:$AA,12,0)-'TRADE IN'!$F668=0,"",(VLOOKUP($C659,REV!$C:$AA,12,0)-'TRADE IN'!$F659))</f>
        <v>4999</v>
      </c>
      <c r="O659" s="46">
        <f>IF(VLOOKUP($C659,REV!$C:$AA,13,0)-'TRADE IN'!$F668=0,"",(VLOOKUP($C659,REV!$C:$AA,13,0)-'TRADE IN'!$F659))</f>
        <v>4799</v>
      </c>
      <c r="P659" s="46">
        <f>IF(VLOOKUP($C659,REV!$C:$AA,14,0)-'TRADE IN'!$F668=0,"",(VLOOKUP($C659,REV!$C:$AA,14,0)-'TRADE IN'!$F659))</f>
        <v>4699</v>
      </c>
      <c r="Q659" s="46">
        <f>IF(VLOOKUP($C659,REV!$C:$AA,15,0)-'TRADE IN'!$F668=0,"",(VLOOKUP($C659,REV!$C:$AA,15,0)-'TRADE IN'!$F659))</f>
        <v>3799</v>
      </c>
      <c r="R659" s="46">
        <f>IF(VLOOKUP($C659,REV!$C:$AA,16,0)-'TRADE IN'!$F668=0,"",(VLOOKUP($C659,REV!$C:$AA,16,0)-'TRADE IN'!$F659))</f>
        <v>4799</v>
      </c>
      <c r="S659" s="46">
        <f>IF(VLOOKUP($C659,REV!$C:$AA,17,0)-'TRADE IN'!$F668=0,"",(VLOOKUP($C659,REV!$C:$AA,17,0)-'TRADE IN'!$F659))</f>
        <v>4699</v>
      </c>
      <c r="T659" s="46">
        <f>IF(VLOOKUP($C659,REV!$C:$AA,18,0)-'TRADE IN'!$F668=0,"",(VLOOKUP($C659,REV!$C:$AA,18,0)-'TRADE IN'!$F659))</f>
        <v>3799</v>
      </c>
      <c r="U659" s="46">
        <f>IF(VLOOKUP($C659,REV!$C:$AA,19,0)-'TRADE IN'!$F668=0,"",(VLOOKUP($C659,REV!$C:$AA,19,0)-'TRADE IN'!$F659))</f>
        <v>3799</v>
      </c>
      <c r="V659" s="46">
        <f>IF(VLOOKUP($C659,REV!$C:$AA,20,0)-'TRADE IN'!$F668=0,"",(VLOOKUP($C659,REV!$C:$AA,20,0)-'TRADE IN'!$F659))</f>
        <v>3799</v>
      </c>
      <c r="W659" s="46">
        <f>IF(VLOOKUP($C659,REV!$C:$AA,21,0)-'TRADE IN'!$F668=0,"",(VLOOKUP($C659,REV!$C:$AA,21,0)-'TRADE IN'!$F659))</f>
        <v>3799</v>
      </c>
      <c r="X659" s="46">
        <f>IF(VLOOKUP($C659,REV!$C:$AA,22,0)-'TRADE IN'!$F668=0,"",(VLOOKUP($C659,REV!$C:$AA,22,0)-'TRADE IN'!$F659))</f>
        <v>3699</v>
      </c>
      <c r="Y659" s="46">
        <f>IF(VLOOKUP($C659,REV!$C:$AA,23,0)-'TRADE IN'!$F668=0,"",(VLOOKUP($C659,REV!$C:$AA,23,0)-'TRADE IN'!$F659))</f>
        <v>3499</v>
      </c>
      <c r="Z659" s="46">
        <f>IF(VLOOKUP($C659,REV!$C:$AA,24,0)-'TRADE IN'!$F668=0,"",(VLOOKUP($C659,REV!$C:$AA,24,0)-'TRADE IN'!$F659))</f>
        <v>3499</v>
      </c>
      <c r="AA659" s="46">
        <f>IF(VLOOKUP($C659,REV!$C:$AA,25,0)-'TRADE IN'!$F668=0,"",(VLOOKUP($C659,REV!$C:$AA,25,0)-'TRADE IN'!$F659))</f>
        <v>3499</v>
      </c>
      <c r="AB659" s="46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7"/>
      <c r="AW659" s="48" t="str">
        <f>IF(REV!AW659=0,"",REV!AW659)</f>
        <v>31.03.2026</v>
      </c>
      <c r="AX659" s="159" t="s">
        <v>82</v>
      </c>
    </row>
    <row r="660" spans="1:50" ht="22.5" customHeight="1">
      <c r="A660" s="52" t="s">
        <v>70</v>
      </c>
      <c r="B660" s="41" t="s">
        <v>62</v>
      </c>
      <c r="C660" s="42">
        <v>4015305</v>
      </c>
      <c r="D660" s="44" t="s">
        <v>884</v>
      </c>
      <c r="E660" s="44" t="s">
        <v>891</v>
      </c>
      <c r="F660" s="45"/>
      <c r="G660" s="45"/>
      <c r="H660" s="45"/>
      <c r="I660" s="45"/>
      <c r="J660" s="46">
        <f>IF(VLOOKUP($C660,REV!$C:$AA,8,0)-'TRADE IN'!$F660=0,"",(VLOOKUP($C660,REV!$C:$AA,8,0)-'TRADE IN'!$F660))</f>
        <v>4999</v>
      </c>
      <c r="K660" s="46">
        <f>IF(VLOOKUP($C660,REV!$C:$AA,9,0)-'TRADE IN'!$F660=0,"",(VLOOKUP($C660,REV!$C:$AA,9,0)-'TRADE IN'!$F660))</f>
        <v>4899</v>
      </c>
      <c r="L660" s="46">
        <f>IF(VLOOKUP($C660,REV!$C:$AA,10,0)-'TRADE IN'!$F669=0,"",(VLOOKUP($C660,REV!$C:$AA,10,0)-'TRADE IN'!$F660))</f>
        <v>4899</v>
      </c>
      <c r="M660" s="46">
        <f>IF(VLOOKUP($C660,REV!$C:$AA,11,0)-'TRADE IN'!$F669=0,"",(VLOOKUP($C660,REV!$C:$AA,11,0)-'TRADE IN'!$F660))</f>
        <v>4999</v>
      </c>
      <c r="N660" s="46">
        <f>IF(VLOOKUP($C660,REV!$C:$AA,12,0)-'TRADE IN'!$F669=0,"",(VLOOKUP($C660,REV!$C:$AA,12,0)-'TRADE IN'!$F660))</f>
        <v>4999</v>
      </c>
      <c r="O660" s="46">
        <f>IF(VLOOKUP($C660,REV!$C:$AA,13,0)-'TRADE IN'!$F669=0,"",(VLOOKUP($C660,REV!$C:$AA,13,0)-'TRADE IN'!$F660))</f>
        <v>4799</v>
      </c>
      <c r="P660" s="46">
        <f>IF(VLOOKUP($C660,REV!$C:$AA,14,0)-'TRADE IN'!$F669=0,"",(VLOOKUP($C660,REV!$C:$AA,14,0)-'TRADE IN'!$F660))</f>
        <v>4699</v>
      </c>
      <c r="Q660" s="46">
        <f>IF(VLOOKUP($C660,REV!$C:$AA,15,0)-'TRADE IN'!$F669=0,"",(VLOOKUP($C660,REV!$C:$AA,15,0)-'TRADE IN'!$F660))</f>
        <v>3799</v>
      </c>
      <c r="R660" s="46">
        <f>IF(VLOOKUP($C660,REV!$C:$AA,16,0)-'TRADE IN'!$F669=0,"",(VLOOKUP($C660,REV!$C:$AA,16,0)-'TRADE IN'!$F660))</f>
        <v>4799</v>
      </c>
      <c r="S660" s="46">
        <f>IF(VLOOKUP($C660,REV!$C:$AA,17,0)-'TRADE IN'!$F669=0,"",(VLOOKUP($C660,REV!$C:$AA,17,0)-'TRADE IN'!$F660))</f>
        <v>4699</v>
      </c>
      <c r="T660" s="46">
        <f>IF(VLOOKUP($C660,REV!$C:$AA,18,0)-'TRADE IN'!$F669=0,"",(VLOOKUP($C660,REV!$C:$AA,18,0)-'TRADE IN'!$F660))</f>
        <v>3799</v>
      </c>
      <c r="U660" s="46">
        <f>IF(VLOOKUP($C660,REV!$C:$AA,19,0)-'TRADE IN'!$F669=0,"",(VLOOKUP($C660,REV!$C:$AA,19,0)-'TRADE IN'!$F660))</f>
        <v>3799</v>
      </c>
      <c r="V660" s="46">
        <f>IF(VLOOKUP($C660,REV!$C:$AA,20,0)-'TRADE IN'!$F669=0,"",(VLOOKUP($C660,REV!$C:$AA,20,0)-'TRADE IN'!$F660))</f>
        <v>3799</v>
      </c>
      <c r="W660" s="46">
        <f>IF(VLOOKUP($C660,REV!$C:$AA,21,0)-'TRADE IN'!$F669=0,"",(VLOOKUP($C660,REV!$C:$AA,21,0)-'TRADE IN'!$F660))</f>
        <v>3799</v>
      </c>
      <c r="X660" s="46">
        <f>IF(VLOOKUP($C660,REV!$C:$AA,22,0)-'TRADE IN'!$F669=0,"",(VLOOKUP($C660,REV!$C:$AA,22,0)-'TRADE IN'!$F660))</f>
        <v>3699</v>
      </c>
      <c r="Y660" s="46">
        <f>IF(VLOOKUP($C660,REV!$C:$AA,23,0)-'TRADE IN'!$F669=0,"",(VLOOKUP($C660,REV!$C:$AA,23,0)-'TRADE IN'!$F660))</f>
        <v>3499</v>
      </c>
      <c r="Z660" s="46">
        <f>IF(VLOOKUP($C660,REV!$C:$AA,24,0)-'TRADE IN'!$F669=0,"",(VLOOKUP($C660,REV!$C:$AA,24,0)-'TRADE IN'!$F660))</f>
        <v>3499</v>
      </c>
      <c r="AA660" s="46">
        <f>IF(VLOOKUP($C660,REV!$C:$AA,25,0)-'TRADE IN'!$F669=0,"",(VLOOKUP($C660,REV!$C:$AA,25,0)-'TRADE IN'!$F660))</f>
        <v>3499</v>
      </c>
      <c r="AB660" s="46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7"/>
      <c r="AW660" s="48" t="str">
        <f>IF(REV!AW660=0,"",REV!AW660)</f>
        <v>31.03.2026</v>
      </c>
      <c r="AX660" s="159" t="s">
        <v>82</v>
      </c>
    </row>
    <row r="661" spans="1:50" ht="22.5" customHeight="1">
      <c r="A661" s="52" t="s">
        <v>70</v>
      </c>
      <c r="B661" s="41" t="s">
        <v>62</v>
      </c>
      <c r="C661" s="42">
        <v>4015337</v>
      </c>
      <c r="D661" s="44" t="s">
        <v>884</v>
      </c>
      <c r="E661" s="44" t="s">
        <v>892</v>
      </c>
      <c r="F661" s="45"/>
      <c r="G661" s="45"/>
      <c r="H661" s="45"/>
      <c r="I661" s="45"/>
      <c r="J661" s="46">
        <f>IF(VLOOKUP($C661,REV!$C:$AA,8,0)-'TRADE IN'!$F661=0,"",(VLOOKUP($C661,REV!$C:$AA,8,0)-'TRADE IN'!$F661))</f>
        <v>4999</v>
      </c>
      <c r="K661" s="46">
        <f>IF(VLOOKUP($C661,REV!$C:$AA,9,0)-'TRADE IN'!$F661=0,"",(VLOOKUP($C661,REV!$C:$AA,9,0)-'TRADE IN'!$F661))</f>
        <v>4899</v>
      </c>
      <c r="L661" s="46">
        <f>IF(VLOOKUP($C661,REV!$C:$AA,10,0)-'TRADE IN'!$F670=0,"",(VLOOKUP($C661,REV!$C:$AA,10,0)-'TRADE IN'!$F661))</f>
        <v>4899</v>
      </c>
      <c r="M661" s="46">
        <f>IF(VLOOKUP($C661,REV!$C:$AA,11,0)-'TRADE IN'!$F670=0,"",(VLOOKUP($C661,REV!$C:$AA,11,0)-'TRADE IN'!$F661))</f>
        <v>4999</v>
      </c>
      <c r="N661" s="46">
        <f>IF(VLOOKUP($C661,REV!$C:$AA,12,0)-'TRADE IN'!$F670=0,"",(VLOOKUP($C661,REV!$C:$AA,12,0)-'TRADE IN'!$F661))</f>
        <v>4999</v>
      </c>
      <c r="O661" s="46">
        <f>IF(VLOOKUP($C661,REV!$C:$AA,13,0)-'TRADE IN'!$F670=0,"",(VLOOKUP($C661,REV!$C:$AA,13,0)-'TRADE IN'!$F661))</f>
        <v>4799</v>
      </c>
      <c r="P661" s="46">
        <f>IF(VLOOKUP($C661,REV!$C:$AA,14,0)-'TRADE IN'!$F670=0,"",(VLOOKUP($C661,REV!$C:$AA,14,0)-'TRADE IN'!$F661))</f>
        <v>4699</v>
      </c>
      <c r="Q661" s="46">
        <f>IF(VLOOKUP($C661,REV!$C:$AA,15,0)-'TRADE IN'!$F670=0,"",(VLOOKUP($C661,REV!$C:$AA,15,0)-'TRADE IN'!$F661))</f>
        <v>3799</v>
      </c>
      <c r="R661" s="46">
        <f>IF(VLOOKUP($C661,REV!$C:$AA,16,0)-'TRADE IN'!$F670=0,"",(VLOOKUP($C661,REV!$C:$AA,16,0)-'TRADE IN'!$F661))</f>
        <v>4799</v>
      </c>
      <c r="S661" s="46">
        <f>IF(VLOOKUP($C661,REV!$C:$AA,17,0)-'TRADE IN'!$F670=0,"",(VLOOKUP($C661,REV!$C:$AA,17,0)-'TRADE IN'!$F661))</f>
        <v>4699</v>
      </c>
      <c r="T661" s="46">
        <f>IF(VLOOKUP($C661,REV!$C:$AA,18,0)-'TRADE IN'!$F670=0,"",(VLOOKUP($C661,REV!$C:$AA,18,0)-'TRADE IN'!$F661))</f>
        <v>3799</v>
      </c>
      <c r="U661" s="46">
        <f>IF(VLOOKUP($C661,REV!$C:$AA,19,0)-'TRADE IN'!$F670=0,"",(VLOOKUP($C661,REV!$C:$AA,19,0)-'TRADE IN'!$F661))</f>
        <v>3799</v>
      </c>
      <c r="V661" s="46">
        <f>IF(VLOOKUP($C661,REV!$C:$AA,20,0)-'TRADE IN'!$F670=0,"",(VLOOKUP($C661,REV!$C:$AA,20,0)-'TRADE IN'!$F661))</f>
        <v>3799</v>
      </c>
      <c r="W661" s="46">
        <f>IF(VLOOKUP($C661,REV!$C:$AA,21,0)-'TRADE IN'!$F670=0,"",(VLOOKUP($C661,REV!$C:$AA,21,0)-'TRADE IN'!$F661))</f>
        <v>3799</v>
      </c>
      <c r="X661" s="46">
        <f>IF(VLOOKUP($C661,REV!$C:$AA,22,0)-'TRADE IN'!$F670=0,"",(VLOOKUP($C661,REV!$C:$AA,22,0)-'TRADE IN'!$F661))</f>
        <v>3699</v>
      </c>
      <c r="Y661" s="46">
        <f>IF(VLOOKUP($C661,REV!$C:$AA,23,0)-'TRADE IN'!$F670=0,"",(VLOOKUP($C661,REV!$C:$AA,23,0)-'TRADE IN'!$F661))</f>
        <v>3499</v>
      </c>
      <c r="Z661" s="46">
        <f>IF(VLOOKUP($C661,REV!$C:$AA,24,0)-'TRADE IN'!$F670=0,"",(VLOOKUP($C661,REV!$C:$AA,24,0)-'TRADE IN'!$F661))</f>
        <v>3499</v>
      </c>
      <c r="AA661" s="46">
        <f>IF(VLOOKUP($C661,REV!$C:$AA,25,0)-'TRADE IN'!$F670=0,"",(VLOOKUP($C661,REV!$C:$AA,25,0)-'TRADE IN'!$F661))</f>
        <v>3499</v>
      </c>
      <c r="AB661" s="46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7"/>
      <c r="AW661" s="48" t="str">
        <f>IF(REV!AW661=0,"",REV!AW661)</f>
        <v>31.03.2026</v>
      </c>
      <c r="AX661" s="159" t="s">
        <v>82</v>
      </c>
    </row>
    <row r="662" spans="1:50" ht="22.5" customHeight="1">
      <c r="A662" s="52" t="s">
        <v>70</v>
      </c>
      <c r="B662" s="41" t="s">
        <v>62</v>
      </c>
      <c r="C662" s="42">
        <v>4015663</v>
      </c>
      <c r="D662" s="44" t="s">
        <v>893</v>
      </c>
      <c r="E662" s="44" t="s">
        <v>894</v>
      </c>
      <c r="F662" s="45"/>
      <c r="G662" s="45"/>
      <c r="H662" s="45"/>
      <c r="I662" s="45"/>
      <c r="J662" s="46">
        <f>IF(VLOOKUP($C662,REV!$C:$AA,8,0)-'TRADE IN'!$F662=0,"",(VLOOKUP($C662,REV!$C:$AA,8,0)-'TRADE IN'!$F662))</f>
        <v>2799</v>
      </c>
      <c r="K662" s="46">
        <f>IF(VLOOKUP($C662,REV!$C:$AA,9,0)-'TRADE IN'!$F662=0,"",(VLOOKUP($C662,REV!$C:$AA,9,0)-'TRADE IN'!$F662))</f>
        <v>2699</v>
      </c>
      <c r="L662" s="46">
        <f>IF(VLOOKUP($C662,REV!$C:$AA,10,0)-'TRADE IN'!$F671=0,"",(VLOOKUP($C662,REV!$C:$AA,10,0)-'TRADE IN'!$F662))</f>
        <v>2699</v>
      </c>
      <c r="M662" s="46">
        <f>IF(VLOOKUP($C662,REV!$C:$AA,11,0)-'TRADE IN'!$F671=0,"",(VLOOKUP($C662,REV!$C:$AA,11,0)-'TRADE IN'!$F662))</f>
        <v>2799</v>
      </c>
      <c r="N662" s="46">
        <f>IF(VLOOKUP($C662,REV!$C:$AA,12,0)-'TRADE IN'!$F671=0,"",(VLOOKUP($C662,REV!$C:$AA,12,0)-'TRADE IN'!$F662))</f>
        <v>2799</v>
      </c>
      <c r="O662" s="46">
        <f>IF(VLOOKUP($C662,REV!$C:$AA,13,0)-'TRADE IN'!$F671=0,"",(VLOOKUP($C662,REV!$C:$AA,13,0)-'TRADE IN'!$F662))</f>
        <v>2499</v>
      </c>
      <c r="P662" s="46">
        <f>IF(VLOOKUP($C662,REV!$C:$AA,14,0)-'TRADE IN'!$F671=0,"",(VLOOKUP($C662,REV!$C:$AA,14,0)-'TRADE IN'!$F662))</f>
        <v>2299</v>
      </c>
      <c r="Q662" s="46">
        <f>IF(VLOOKUP($C662,REV!$C:$AA,15,0)-'TRADE IN'!$F671=0,"",(VLOOKUP($C662,REV!$C:$AA,15,0)-'TRADE IN'!$F662))</f>
        <v>1499</v>
      </c>
      <c r="R662" s="46">
        <f>IF(VLOOKUP($C662,REV!$C:$AA,16,0)-'TRADE IN'!$F671=0,"",(VLOOKUP($C662,REV!$C:$AA,16,0)-'TRADE IN'!$F662))</f>
        <v>2499</v>
      </c>
      <c r="S662" s="46">
        <f>IF(VLOOKUP($C662,REV!$C:$AA,17,0)-'TRADE IN'!$F671=0,"",(VLOOKUP($C662,REV!$C:$AA,17,0)-'TRADE IN'!$F662))</f>
        <v>2299</v>
      </c>
      <c r="T662" s="46">
        <f>IF(VLOOKUP($C662,REV!$C:$AA,18,0)-'TRADE IN'!$F671=0,"",(VLOOKUP($C662,REV!$C:$AA,18,0)-'TRADE IN'!$F662))</f>
        <v>1499</v>
      </c>
      <c r="U662" s="46">
        <f>IF(VLOOKUP($C662,REV!$C:$AA,19,0)-'TRADE IN'!$F671=0,"",(VLOOKUP($C662,REV!$C:$AA,19,0)-'TRADE IN'!$F662))</f>
        <v>1499</v>
      </c>
      <c r="V662" s="46">
        <f>IF(VLOOKUP($C662,REV!$C:$AA,20,0)-'TRADE IN'!$F671=0,"",(VLOOKUP($C662,REV!$C:$AA,20,0)-'TRADE IN'!$F662))</f>
        <v>1499</v>
      </c>
      <c r="W662" s="46">
        <f>IF(VLOOKUP($C662,REV!$C:$AA,21,0)-'TRADE IN'!$F671=0,"",(VLOOKUP($C662,REV!$C:$AA,21,0)-'TRADE IN'!$F662))</f>
        <v>1499</v>
      </c>
      <c r="X662" s="46">
        <f>IF(VLOOKUP($C662,REV!$C:$AA,22,0)-'TRADE IN'!$F671=0,"",(VLOOKUP($C662,REV!$C:$AA,22,0)-'TRADE IN'!$F662))</f>
        <v>1399</v>
      </c>
      <c r="Y662" s="46">
        <f>IF(VLOOKUP($C662,REV!$C:$AA,23,0)-'TRADE IN'!$F671=0,"",(VLOOKUP($C662,REV!$C:$AA,23,0)-'TRADE IN'!$F662))</f>
        <v>1199</v>
      </c>
      <c r="Z662" s="46">
        <f>IF(VLOOKUP($C662,REV!$C:$AA,24,0)-'TRADE IN'!$F671=0,"",(VLOOKUP($C662,REV!$C:$AA,24,0)-'TRADE IN'!$F662))</f>
        <v>1199</v>
      </c>
      <c r="AA662" s="46">
        <f>IF(VLOOKUP($C662,REV!$C:$AA,25,0)-'TRADE IN'!$F671=0,"",(VLOOKUP($C662,REV!$C:$AA,25,0)-'TRADE IN'!$F662))</f>
        <v>1199</v>
      </c>
      <c r="AB662" s="46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7"/>
      <c r="AW662" s="48" t="str">
        <f>IF(REV!AW662=0,"",REV!AW662)</f>
        <v>31.03.2026</v>
      </c>
      <c r="AX662" s="159" t="s">
        <v>82</v>
      </c>
    </row>
    <row r="663" spans="1:50" ht="22.5" customHeight="1">
      <c r="A663" s="52" t="s">
        <v>70</v>
      </c>
      <c r="B663" s="41" t="s">
        <v>62</v>
      </c>
      <c r="C663" s="42">
        <v>4015664</v>
      </c>
      <c r="D663" s="44" t="s">
        <v>893</v>
      </c>
      <c r="E663" s="44" t="s">
        <v>895</v>
      </c>
      <c r="F663" s="45"/>
      <c r="G663" s="45"/>
      <c r="H663" s="45"/>
      <c r="I663" s="45"/>
      <c r="J663" s="46">
        <f>IF(VLOOKUP($C663,REV!$C:$AA,8,0)-'TRADE IN'!$F663=0,"",(VLOOKUP($C663,REV!$C:$AA,8,0)-'TRADE IN'!$F663))</f>
        <v>2799</v>
      </c>
      <c r="K663" s="46">
        <f>IF(VLOOKUP($C663,REV!$C:$AA,9,0)-'TRADE IN'!$F663=0,"",(VLOOKUP($C663,REV!$C:$AA,9,0)-'TRADE IN'!$F663))</f>
        <v>2699</v>
      </c>
      <c r="L663" s="46">
        <f>IF(VLOOKUP($C663,REV!$C:$AA,10,0)-'TRADE IN'!$F672=0,"",(VLOOKUP($C663,REV!$C:$AA,10,0)-'TRADE IN'!$F663))</f>
        <v>2699</v>
      </c>
      <c r="M663" s="46">
        <f>IF(VLOOKUP($C663,REV!$C:$AA,11,0)-'TRADE IN'!$F672=0,"",(VLOOKUP($C663,REV!$C:$AA,11,0)-'TRADE IN'!$F663))</f>
        <v>2799</v>
      </c>
      <c r="N663" s="46">
        <f>IF(VLOOKUP($C663,REV!$C:$AA,12,0)-'TRADE IN'!$F672=0,"",(VLOOKUP($C663,REV!$C:$AA,12,0)-'TRADE IN'!$F663))</f>
        <v>2799</v>
      </c>
      <c r="O663" s="46">
        <f>IF(VLOOKUP($C663,REV!$C:$AA,13,0)-'TRADE IN'!$F672=0,"",(VLOOKUP($C663,REV!$C:$AA,13,0)-'TRADE IN'!$F663))</f>
        <v>2499</v>
      </c>
      <c r="P663" s="46">
        <f>IF(VLOOKUP($C663,REV!$C:$AA,14,0)-'TRADE IN'!$F672=0,"",(VLOOKUP($C663,REV!$C:$AA,14,0)-'TRADE IN'!$F663))</f>
        <v>2299</v>
      </c>
      <c r="Q663" s="46">
        <f>IF(VLOOKUP($C663,REV!$C:$AA,15,0)-'TRADE IN'!$F672=0,"",(VLOOKUP($C663,REV!$C:$AA,15,0)-'TRADE IN'!$F663))</f>
        <v>1499</v>
      </c>
      <c r="R663" s="46">
        <f>IF(VLOOKUP($C663,REV!$C:$AA,16,0)-'TRADE IN'!$F672=0,"",(VLOOKUP($C663,REV!$C:$AA,16,0)-'TRADE IN'!$F663))</f>
        <v>2499</v>
      </c>
      <c r="S663" s="46">
        <f>IF(VLOOKUP($C663,REV!$C:$AA,17,0)-'TRADE IN'!$F672=0,"",(VLOOKUP($C663,REV!$C:$AA,17,0)-'TRADE IN'!$F663))</f>
        <v>2299</v>
      </c>
      <c r="T663" s="46">
        <f>IF(VLOOKUP($C663,REV!$C:$AA,18,0)-'TRADE IN'!$F672=0,"",(VLOOKUP($C663,REV!$C:$AA,18,0)-'TRADE IN'!$F663))</f>
        <v>1499</v>
      </c>
      <c r="U663" s="46">
        <f>IF(VLOOKUP($C663,REV!$C:$AA,19,0)-'TRADE IN'!$F672=0,"",(VLOOKUP($C663,REV!$C:$AA,19,0)-'TRADE IN'!$F663))</f>
        <v>1499</v>
      </c>
      <c r="V663" s="46">
        <f>IF(VLOOKUP($C663,REV!$C:$AA,20,0)-'TRADE IN'!$F672=0,"",(VLOOKUP($C663,REV!$C:$AA,20,0)-'TRADE IN'!$F663))</f>
        <v>1499</v>
      </c>
      <c r="W663" s="46">
        <f>IF(VLOOKUP($C663,REV!$C:$AA,21,0)-'TRADE IN'!$F672=0,"",(VLOOKUP($C663,REV!$C:$AA,21,0)-'TRADE IN'!$F663))</f>
        <v>1499</v>
      </c>
      <c r="X663" s="46">
        <f>IF(VLOOKUP($C663,REV!$C:$AA,22,0)-'TRADE IN'!$F672=0,"",(VLOOKUP($C663,REV!$C:$AA,22,0)-'TRADE IN'!$F663))</f>
        <v>1399</v>
      </c>
      <c r="Y663" s="46">
        <f>IF(VLOOKUP($C663,REV!$C:$AA,23,0)-'TRADE IN'!$F672=0,"",(VLOOKUP($C663,REV!$C:$AA,23,0)-'TRADE IN'!$F663))</f>
        <v>1199</v>
      </c>
      <c r="Z663" s="46">
        <f>IF(VLOOKUP($C663,REV!$C:$AA,24,0)-'TRADE IN'!$F672=0,"",(VLOOKUP($C663,REV!$C:$AA,24,0)-'TRADE IN'!$F663))</f>
        <v>1199</v>
      </c>
      <c r="AA663" s="46">
        <f>IF(VLOOKUP($C663,REV!$C:$AA,25,0)-'TRADE IN'!$F672=0,"",(VLOOKUP($C663,REV!$C:$AA,25,0)-'TRADE IN'!$F663))</f>
        <v>1199</v>
      </c>
      <c r="AB663" s="46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7"/>
      <c r="AW663" s="48" t="str">
        <f>IF(REV!AW663=0,"",REV!AW663)</f>
        <v>31.03.2026</v>
      </c>
      <c r="AX663" s="159" t="s">
        <v>82</v>
      </c>
    </row>
    <row r="664" spans="1:50" ht="22.5" customHeight="1">
      <c r="A664" s="52" t="s">
        <v>70</v>
      </c>
      <c r="B664" s="41" t="s">
        <v>62</v>
      </c>
      <c r="C664" s="42">
        <v>4015665</v>
      </c>
      <c r="D664" s="44" t="s">
        <v>893</v>
      </c>
      <c r="E664" s="44" t="s">
        <v>896</v>
      </c>
      <c r="F664" s="45"/>
      <c r="G664" s="45"/>
      <c r="H664" s="45"/>
      <c r="I664" s="45"/>
      <c r="J664" s="46">
        <f>IF(VLOOKUP($C664,REV!$C:$AA,8,0)-'TRADE IN'!$F664=0,"",(VLOOKUP($C664,REV!$C:$AA,8,0)-'TRADE IN'!$F664))</f>
        <v>2799</v>
      </c>
      <c r="K664" s="46">
        <f>IF(VLOOKUP($C664,REV!$C:$AA,9,0)-'TRADE IN'!$F664=0,"",(VLOOKUP($C664,REV!$C:$AA,9,0)-'TRADE IN'!$F664))</f>
        <v>2699</v>
      </c>
      <c r="L664" s="46">
        <f>IF(VLOOKUP($C664,REV!$C:$AA,10,0)-'TRADE IN'!$F673=0,"",(VLOOKUP($C664,REV!$C:$AA,10,0)-'TRADE IN'!$F664))</f>
        <v>2699</v>
      </c>
      <c r="M664" s="46">
        <f>IF(VLOOKUP($C664,REV!$C:$AA,11,0)-'TRADE IN'!$F673=0,"",(VLOOKUP($C664,REV!$C:$AA,11,0)-'TRADE IN'!$F664))</f>
        <v>2799</v>
      </c>
      <c r="N664" s="46">
        <f>IF(VLOOKUP($C664,REV!$C:$AA,12,0)-'TRADE IN'!$F673=0,"",(VLOOKUP($C664,REV!$C:$AA,12,0)-'TRADE IN'!$F664))</f>
        <v>2799</v>
      </c>
      <c r="O664" s="46">
        <f>IF(VLOOKUP($C664,REV!$C:$AA,13,0)-'TRADE IN'!$F673=0,"",(VLOOKUP($C664,REV!$C:$AA,13,0)-'TRADE IN'!$F664))</f>
        <v>2499</v>
      </c>
      <c r="P664" s="46">
        <f>IF(VLOOKUP($C664,REV!$C:$AA,14,0)-'TRADE IN'!$F673=0,"",(VLOOKUP($C664,REV!$C:$AA,14,0)-'TRADE IN'!$F664))</f>
        <v>2299</v>
      </c>
      <c r="Q664" s="46">
        <f>IF(VLOOKUP($C664,REV!$C:$AA,15,0)-'TRADE IN'!$F673=0,"",(VLOOKUP($C664,REV!$C:$AA,15,0)-'TRADE IN'!$F664))</f>
        <v>1499</v>
      </c>
      <c r="R664" s="46">
        <f>IF(VLOOKUP($C664,REV!$C:$AA,16,0)-'TRADE IN'!$F673=0,"",(VLOOKUP($C664,REV!$C:$AA,16,0)-'TRADE IN'!$F664))</f>
        <v>2499</v>
      </c>
      <c r="S664" s="46">
        <f>IF(VLOOKUP($C664,REV!$C:$AA,17,0)-'TRADE IN'!$F673=0,"",(VLOOKUP($C664,REV!$C:$AA,17,0)-'TRADE IN'!$F664))</f>
        <v>2299</v>
      </c>
      <c r="T664" s="46">
        <f>IF(VLOOKUP($C664,REV!$C:$AA,18,0)-'TRADE IN'!$F673=0,"",(VLOOKUP($C664,REV!$C:$AA,18,0)-'TRADE IN'!$F664))</f>
        <v>1499</v>
      </c>
      <c r="U664" s="46">
        <f>IF(VLOOKUP($C664,REV!$C:$AA,19,0)-'TRADE IN'!$F673=0,"",(VLOOKUP($C664,REV!$C:$AA,19,0)-'TRADE IN'!$F664))</f>
        <v>1499</v>
      </c>
      <c r="V664" s="46">
        <f>IF(VLOOKUP($C664,REV!$C:$AA,20,0)-'TRADE IN'!$F673=0,"",(VLOOKUP($C664,REV!$C:$AA,20,0)-'TRADE IN'!$F664))</f>
        <v>1499</v>
      </c>
      <c r="W664" s="46">
        <f>IF(VLOOKUP($C664,REV!$C:$AA,21,0)-'TRADE IN'!$F673=0,"",(VLOOKUP($C664,REV!$C:$AA,21,0)-'TRADE IN'!$F664))</f>
        <v>1499</v>
      </c>
      <c r="X664" s="46">
        <f>IF(VLOOKUP($C664,REV!$C:$AA,22,0)-'TRADE IN'!$F673=0,"",(VLOOKUP($C664,REV!$C:$AA,22,0)-'TRADE IN'!$F664))</f>
        <v>1399</v>
      </c>
      <c r="Y664" s="46">
        <f>IF(VLOOKUP($C664,REV!$C:$AA,23,0)-'TRADE IN'!$F673=0,"",(VLOOKUP($C664,REV!$C:$AA,23,0)-'TRADE IN'!$F664))</f>
        <v>1199</v>
      </c>
      <c r="Z664" s="46">
        <f>IF(VLOOKUP($C664,REV!$C:$AA,24,0)-'TRADE IN'!$F673=0,"",(VLOOKUP($C664,REV!$C:$AA,24,0)-'TRADE IN'!$F664))</f>
        <v>1199</v>
      </c>
      <c r="AA664" s="46">
        <f>IF(VLOOKUP($C664,REV!$C:$AA,25,0)-'TRADE IN'!$F673=0,"",(VLOOKUP($C664,REV!$C:$AA,25,0)-'TRADE IN'!$F664))</f>
        <v>1199</v>
      </c>
      <c r="AB664" s="46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7"/>
      <c r="AW664" s="48" t="str">
        <f>IF(REV!AW664=0,"",REV!AW664)</f>
        <v>31.03.2026</v>
      </c>
      <c r="AX664" s="159" t="s">
        <v>82</v>
      </c>
    </row>
    <row r="665" spans="1:50" ht="22.5" customHeight="1">
      <c r="A665" s="52" t="s">
        <v>70</v>
      </c>
      <c r="B665" s="41" t="s">
        <v>62</v>
      </c>
      <c r="C665" s="42">
        <v>4015666</v>
      </c>
      <c r="D665" s="44" t="s">
        <v>893</v>
      </c>
      <c r="E665" s="44" t="s">
        <v>897</v>
      </c>
      <c r="F665" s="45"/>
      <c r="G665" s="45"/>
      <c r="H665" s="45"/>
      <c r="I665" s="45"/>
      <c r="J665" s="46">
        <f>IF(VLOOKUP($C665,REV!$C:$AA,8,0)-'TRADE IN'!$F665=0,"",(VLOOKUP($C665,REV!$C:$AA,8,0)-'TRADE IN'!$F665))</f>
        <v>2799</v>
      </c>
      <c r="K665" s="46">
        <f>IF(VLOOKUP($C665,REV!$C:$AA,9,0)-'TRADE IN'!$F665=0,"",(VLOOKUP($C665,REV!$C:$AA,9,0)-'TRADE IN'!$F665))</f>
        <v>2699</v>
      </c>
      <c r="L665" s="46">
        <f>IF(VLOOKUP($C665,REV!$C:$AA,10,0)-'TRADE IN'!$F674=0,"",(VLOOKUP($C665,REV!$C:$AA,10,0)-'TRADE IN'!$F665))</f>
        <v>2699</v>
      </c>
      <c r="M665" s="46">
        <f>IF(VLOOKUP($C665,REV!$C:$AA,11,0)-'TRADE IN'!$F674=0,"",(VLOOKUP($C665,REV!$C:$AA,11,0)-'TRADE IN'!$F665))</f>
        <v>2799</v>
      </c>
      <c r="N665" s="46">
        <f>IF(VLOOKUP($C665,REV!$C:$AA,12,0)-'TRADE IN'!$F674=0,"",(VLOOKUP($C665,REV!$C:$AA,12,0)-'TRADE IN'!$F665))</f>
        <v>2799</v>
      </c>
      <c r="O665" s="46">
        <f>IF(VLOOKUP($C665,REV!$C:$AA,13,0)-'TRADE IN'!$F674=0,"",(VLOOKUP($C665,REV!$C:$AA,13,0)-'TRADE IN'!$F665))</f>
        <v>2499</v>
      </c>
      <c r="P665" s="46">
        <f>IF(VLOOKUP($C665,REV!$C:$AA,14,0)-'TRADE IN'!$F674=0,"",(VLOOKUP($C665,REV!$C:$AA,14,0)-'TRADE IN'!$F665))</f>
        <v>2299</v>
      </c>
      <c r="Q665" s="46">
        <f>IF(VLOOKUP($C665,REV!$C:$AA,15,0)-'TRADE IN'!$F674=0,"",(VLOOKUP($C665,REV!$C:$AA,15,0)-'TRADE IN'!$F665))</f>
        <v>1499</v>
      </c>
      <c r="R665" s="46">
        <f>IF(VLOOKUP($C665,REV!$C:$AA,16,0)-'TRADE IN'!$F674=0,"",(VLOOKUP($C665,REV!$C:$AA,16,0)-'TRADE IN'!$F665))</f>
        <v>2499</v>
      </c>
      <c r="S665" s="46">
        <f>IF(VLOOKUP($C665,REV!$C:$AA,17,0)-'TRADE IN'!$F674=0,"",(VLOOKUP($C665,REV!$C:$AA,17,0)-'TRADE IN'!$F665))</f>
        <v>2299</v>
      </c>
      <c r="T665" s="46">
        <f>IF(VLOOKUP($C665,REV!$C:$AA,18,0)-'TRADE IN'!$F674=0,"",(VLOOKUP($C665,REV!$C:$AA,18,0)-'TRADE IN'!$F665))</f>
        <v>1499</v>
      </c>
      <c r="U665" s="46">
        <f>IF(VLOOKUP($C665,REV!$C:$AA,19,0)-'TRADE IN'!$F674=0,"",(VLOOKUP($C665,REV!$C:$AA,19,0)-'TRADE IN'!$F665))</f>
        <v>1499</v>
      </c>
      <c r="V665" s="46">
        <f>IF(VLOOKUP($C665,REV!$C:$AA,20,0)-'TRADE IN'!$F674=0,"",(VLOOKUP($C665,REV!$C:$AA,20,0)-'TRADE IN'!$F665))</f>
        <v>1499</v>
      </c>
      <c r="W665" s="46">
        <f>IF(VLOOKUP($C665,REV!$C:$AA,21,0)-'TRADE IN'!$F674=0,"",(VLOOKUP($C665,REV!$C:$AA,21,0)-'TRADE IN'!$F665))</f>
        <v>1499</v>
      </c>
      <c r="X665" s="46">
        <f>IF(VLOOKUP($C665,REV!$C:$AA,22,0)-'TRADE IN'!$F674=0,"",(VLOOKUP($C665,REV!$C:$AA,22,0)-'TRADE IN'!$F665))</f>
        <v>1399</v>
      </c>
      <c r="Y665" s="46">
        <f>IF(VLOOKUP($C665,REV!$C:$AA,23,0)-'TRADE IN'!$F674=0,"",(VLOOKUP($C665,REV!$C:$AA,23,0)-'TRADE IN'!$F665))</f>
        <v>1199</v>
      </c>
      <c r="Z665" s="46">
        <f>IF(VLOOKUP($C665,REV!$C:$AA,24,0)-'TRADE IN'!$F674=0,"",(VLOOKUP($C665,REV!$C:$AA,24,0)-'TRADE IN'!$F665))</f>
        <v>1199</v>
      </c>
      <c r="AA665" s="46">
        <f>IF(VLOOKUP($C665,REV!$C:$AA,25,0)-'TRADE IN'!$F674=0,"",(VLOOKUP($C665,REV!$C:$AA,25,0)-'TRADE IN'!$F665))</f>
        <v>1199</v>
      </c>
      <c r="AB665" s="46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7"/>
      <c r="AW665" s="48" t="str">
        <f>IF(REV!AW665=0,"",REV!AW665)</f>
        <v>31.03.2026</v>
      </c>
      <c r="AX665" s="159" t="s">
        <v>82</v>
      </c>
    </row>
    <row r="666" spans="1:50" ht="22.5" customHeight="1">
      <c r="A666" s="52" t="s">
        <v>70</v>
      </c>
      <c r="B666" s="41" t="s">
        <v>62</v>
      </c>
      <c r="C666" s="42">
        <v>4015649</v>
      </c>
      <c r="D666" s="44" t="s">
        <v>893</v>
      </c>
      <c r="E666" s="44" t="s">
        <v>898</v>
      </c>
      <c r="F666" s="45"/>
      <c r="G666" s="45"/>
      <c r="H666" s="45"/>
      <c r="I666" s="45"/>
      <c r="J666" s="46">
        <f>IF(VLOOKUP($C666,REV!$C:$AA,8,0)-'TRADE IN'!$F666=0,"",(VLOOKUP($C666,REV!$C:$AA,8,0)-'TRADE IN'!$F666))</f>
        <v>2799</v>
      </c>
      <c r="K666" s="46">
        <f>IF(VLOOKUP($C666,REV!$C:$AA,9,0)-'TRADE IN'!$F666=0,"",(VLOOKUP($C666,REV!$C:$AA,9,0)-'TRADE IN'!$F666))</f>
        <v>2699</v>
      </c>
      <c r="L666" s="46">
        <f>IF(VLOOKUP($C666,REV!$C:$AA,10,0)-'TRADE IN'!$F675=0,"",(VLOOKUP($C666,REV!$C:$AA,10,0)-'TRADE IN'!$F666))</f>
        <v>2699</v>
      </c>
      <c r="M666" s="46">
        <f>IF(VLOOKUP($C666,REV!$C:$AA,11,0)-'TRADE IN'!$F675=0,"",(VLOOKUP($C666,REV!$C:$AA,11,0)-'TRADE IN'!$F666))</f>
        <v>2799</v>
      </c>
      <c r="N666" s="46">
        <f>IF(VLOOKUP($C666,REV!$C:$AA,12,0)-'TRADE IN'!$F675=0,"",(VLOOKUP($C666,REV!$C:$AA,12,0)-'TRADE IN'!$F666))</f>
        <v>2799</v>
      </c>
      <c r="O666" s="46">
        <f>IF(VLOOKUP($C666,REV!$C:$AA,13,0)-'TRADE IN'!$F675=0,"",(VLOOKUP($C666,REV!$C:$AA,13,0)-'TRADE IN'!$F666))</f>
        <v>2499</v>
      </c>
      <c r="P666" s="46">
        <f>IF(VLOOKUP($C666,REV!$C:$AA,14,0)-'TRADE IN'!$F675=0,"",(VLOOKUP($C666,REV!$C:$AA,14,0)-'TRADE IN'!$F666))</f>
        <v>2299</v>
      </c>
      <c r="Q666" s="46">
        <f>IF(VLOOKUP($C666,REV!$C:$AA,15,0)-'TRADE IN'!$F675=0,"",(VLOOKUP($C666,REV!$C:$AA,15,0)-'TRADE IN'!$F666))</f>
        <v>1499</v>
      </c>
      <c r="R666" s="46">
        <f>IF(VLOOKUP($C666,REV!$C:$AA,16,0)-'TRADE IN'!$F675=0,"",(VLOOKUP($C666,REV!$C:$AA,16,0)-'TRADE IN'!$F666))</f>
        <v>2499</v>
      </c>
      <c r="S666" s="46">
        <f>IF(VLOOKUP($C666,REV!$C:$AA,17,0)-'TRADE IN'!$F675=0,"",(VLOOKUP($C666,REV!$C:$AA,17,0)-'TRADE IN'!$F666))</f>
        <v>2299</v>
      </c>
      <c r="T666" s="46">
        <f>IF(VLOOKUP($C666,REV!$C:$AA,18,0)-'TRADE IN'!$F675=0,"",(VLOOKUP($C666,REV!$C:$AA,18,0)-'TRADE IN'!$F666))</f>
        <v>1499</v>
      </c>
      <c r="U666" s="46">
        <f>IF(VLOOKUP($C666,REV!$C:$AA,19,0)-'TRADE IN'!$F675=0,"",(VLOOKUP($C666,REV!$C:$AA,19,0)-'TRADE IN'!$F666))</f>
        <v>1499</v>
      </c>
      <c r="V666" s="46">
        <f>IF(VLOOKUP($C666,REV!$C:$AA,20,0)-'TRADE IN'!$F675=0,"",(VLOOKUP($C666,REV!$C:$AA,20,0)-'TRADE IN'!$F666))</f>
        <v>1499</v>
      </c>
      <c r="W666" s="46">
        <f>IF(VLOOKUP($C666,REV!$C:$AA,21,0)-'TRADE IN'!$F675=0,"",(VLOOKUP($C666,REV!$C:$AA,21,0)-'TRADE IN'!$F666))</f>
        <v>1499</v>
      </c>
      <c r="X666" s="46">
        <f>IF(VLOOKUP($C666,REV!$C:$AA,22,0)-'TRADE IN'!$F675=0,"",(VLOOKUP($C666,REV!$C:$AA,22,0)-'TRADE IN'!$F666))</f>
        <v>1399</v>
      </c>
      <c r="Y666" s="46">
        <f>IF(VLOOKUP($C666,REV!$C:$AA,23,0)-'TRADE IN'!$F675=0,"",(VLOOKUP($C666,REV!$C:$AA,23,0)-'TRADE IN'!$F666))</f>
        <v>1199</v>
      </c>
      <c r="Z666" s="46">
        <f>IF(VLOOKUP($C666,REV!$C:$AA,24,0)-'TRADE IN'!$F675=0,"",(VLOOKUP($C666,REV!$C:$AA,24,0)-'TRADE IN'!$F666))</f>
        <v>1199</v>
      </c>
      <c r="AA666" s="46">
        <f>IF(VLOOKUP($C666,REV!$C:$AA,25,0)-'TRADE IN'!$F675=0,"",(VLOOKUP($C666,REV!$C:$AA,25,0)-'TRADE IN'!$F666))</f>
        <v>1199</v>
      </c>
      <c r="AB666" s="46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7"/>
      <c r="AW666" s="48" t="str">
        <f>IF(REV!AW666=0,"",REV!AW666)</f>
        <v>31.03.2026</v>
      </c>
      <c r="AX666" s="159" t="s">
        <v>82</v>
      </c>
    </row>
    <row r="667" spans="1:50" ht="22.5" customHeight="1">
      <c r="A667" s="52" t="s">
        <v>70</v>
      </c>
      <c r="B667" s="41" t="s">
        <v>62</v>
      </c>
      <c r="C667" s="42">
        <v>4015660</v>
      </c>
      <c r="D667" s="44" t="s">
        <v>893</v>
      </c>
      <c r="E667" s="44" t="s">
        <v>899</v>
      </c>
      <c r="F667" s="45"/>
      <c r="G667" s="45"/>
      <c r="H667" s="45"/>
      <c r="I667" s="45"/>
      <c r="J667" s="46">
        <f>IF(VLOOKUP($C667,REV!$C:$AA,8,0)-'TRADE IN'!$F667=0,"",(VLOOKUP($C667,REV!$C:$AA,8,0)-'TRADE IN'!$F667))</f>
        <v>2799</v>
      </c>
      <c r="K667" s="46">
        <f>IF(VLOOKUP($C667,REV!$C:$AA,9,0)-'TRADE IN'!$F667=0,"",(VLOOKUP($C667,REV!$C:$AA,9,0)-'TRADE IN'!$F667))</f>
        <v>2699</v>
      </c>
      <c r="L667" s="46">
        <f>IF(VLOOKUP($C667,REV!$C:$AA,10,0)-'TRADE IN'!$F676=0,"",(VLOOKUP($C667,REV!$C:$AA,10,0)-'TRADE IN'!$F667))</f>
        <v>2699</v>
      </c>
      <c r="M667" s="46">
        <f>IF(VLOOKUP($C667,REV!$C:$AA,11,0)-'TRADE IN'!$F676=0,"",(VLOOKUP($C667,REV!$C:$AA,11,0)-'TRADE IN'!$F667))</f>
        <v>2799</v>
      </c>
      <c r="N667" s="46">
        <f>IF(VLOOKUP($C667,REV!$C:$AA,12,0)-'TRADE IN'!$F676=0,"",(VLOOKUP($C667,REV!$C:$AA,12,0)-'TRADE IN'!$F667))</f>
        <v>2799</v>
      </c>
      <c r="O667" s="46">
        <f>IF(VLOOKUP($C667,REV!$C:$AA,13,0)-'TRADE IN'!$F676=0,"",(VLOOKUP($C667,REV!$C:$AA,13,0)-'TRADE IN'!$F667))</f>
        <v>2499</v>
      </c>
      <c r="P667" s="46">
        <f>IF(VLOOKUP($C667,REV!$C:$AA,14,0)-'TRADE IN'!$F676=0,"",(VLOOKUP($C667,REV!$C:$AA,14,0)-'TRADE IN'!$F667))</f>
        <v>2299</v>
      </c>
      <c r="Q667" s="46">
        <f>IF(VLOOKUP($C667,REV!$C:$AA,15,0)-'TRADE IN'!$F676=0,"",(VLOOKUP($C667,REV!$C:$AA,15,0)-'TRADE IN'!$F667))</f>
        <v>1499</v>
      </c>
      <c r="R667" s="46">
        <f>IF(VLOOKUP($C667,REV!$C:$AA,16,0)-'TRADE IN'!$F676=0,"",(VLOOKUP($C667,REV!$C:$AA,16,0)-'TRADE IN'!$F667))</f>
        <v>2499</v>
      </c>
      <c r="S667" s="46">
        <f>IF(VLOOKUP($C667,REV!$C:$AA,17,0)-'TRADE IN'!$F676=0,"",(VLOOKUP($C667,REV!$C:$AA,17,0)-'TRADE IN'!$F667))</f>
        <v>2299</v>
      </c>
      <c r="T667" s="46">
        <f>IF(VLOOKUP($C667,REV!$C:$AA,18,0)-'TRADE IN'!$F676=0,"",(VLOOKUP($C667,REV!$C:$AA,18,0)-'TRADE IN'!$F667))</f>
        <v>1499</v>
      </c>
      <c r="U667" s="46">
        <f>IF(VLOOKUP($C667,REV!$C:$AA,19,0)-'TRADE IN'!$F676=0,"",(VLOOKUP($C667,REV!$C:$AA,19,0)-'TRADE IN'!$F667))</f>
        <v>1499</v>
      </c>
      <c r="V667" s="46">
        <f>IF(VLOOKUP($C667,REV!$C:$AA,20,0)-'TRADE IN'!$F676=0,"",(VLOOKUP($C667,REV!$C:$AA,20,0)-'TRADE IN'!$F667))</f>
        <v>1499</v>
      </c>
      <c r="W667" s="46">
        <f>IF(VLOOKUP($C667,REV!$C:$AA,21,0)-'TRADE IN'!$F676=0,"",(VLOOKUP($C667,REV!$C:$AA,21,0)-'TRADE IN'!$F667))</f>
        <v>1499</v>
      </c>
      <c r="X667" s="46">
        <f>IF(VLOOKUP($C667,REV!$C:$AA,22,0)-'TRADE IN'!$F676=0,"",(VLOOKUP($C667,REV!$C:$AA,22,0)-'TRADE IN'!$F667))</f>
        <v>1399</v>
      </c>
      <c r="Y667" s="46">
        <f>IF(VLOOKUP($C667,REV!$C:$AA,23,0)-'TRADE IN'!$F676=0,"",(VLOOKUP($C667,REV!$C:$AA,23,0)-'TRADE IN'!$F667))</f>
        <v>1199</v>
      </c>
      <c r="Z667" s="46">
        <f>IF(VLOOKUP($C667,REV!$C:$AA,24,0)-'TRADE IN'!$F676=0,"",(VLOOKUP($C667,REV!$C:$AA,24,0)-'TRADE IN'!$F667))</f>
        <v>1199</v>
      </c>
      <c r="AA667" s="46">
        <f>IF(VLOOKUP($C667,REV!$C:$AA,25,0)-'TRADE IN'!$F676=0,"",(VLOOKUP($C667,REV!$C:$AA,25,0)-'TRADE IN'!$F667))</f>
        <v>1199</v>
      </c>
      <c r="AB667" s="46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7"/>
      <c r="AW667" s="48" t="str">
        <f>IF(REV!AW667=0,"",REV!AW667)</f>
        <v>31.03.2026</v>
      </c>
      <c r="AX667" s="159" t="s">
        <v>82</v>
      </c>
    </row>
    <row r="668" spans="1:50" ht="22.5" customHeight="1">
      <c r="A668" s="52" t="s">
        <v>70</v>
      </c>
      <c r="B668" s="41" t="s">
        <v>62</v>
      </c>
      <c r="C668" s="42">
        <v>4016031</v>
      </c>
      <c r="D668" s="44" t="s">
        <v>900</v>
      </c>
      <c r="E668" s="44" t="s">
        <v>901</v>
      </c>
      <c r="F668" s="45">
        <v>500</v>
      </c>
      <c r="G668" s="45"/>
      <c r="H668" s="45"/>
      <c r="I668" s="45"/>
      <c r="J668" s="46">
        <f>IF(VLOOKUP($C668,REV!$C:$AA,8,0)-'TRADE IN'!$F668=0,"",(VLOOKUP($C668,REV!$C:$AA,8,0)-'TRADE IN'!$F668))</f>
        <v>2499</v>
      </c>
      <c r="K668" s="46">
        <f>IF(VLOOKUP($C668,REV!$C:$AA,9,0)-'TRADE IN'!$F668=0,"",(VLOOKUP($C668,REV!$C:$AA,9,0)-'TRADE IN'!$F668))</f>
        <v>2499</v>
      </c>
      <c r="L668" s="46">
        <f>IF(VLOOKUP($C668,REV!$C:$AA,10,0)-'TRADE IN'!$F677=0,"",(VLOOKUP($C668,REV!$C:$AA,10,0)-'TRADE IN'!$F668))</f>
        <v>2499</v>
      </c>
      <c r="M668" s="46">
        <f>IF(VLOOKUP($C668,REV!$C:$AA,11,0)-'TRADE IN'!$F677=0,"",(VLOOKUP($C668,REV!$C:$AA,11,0)-'TRADE IN'!$F668))</f>
        <v>2499</v>
      </c>
      <c r="N668" s="46">
        <f>IF(VLOOKUP($C668,REV!$C:$AA,12,0)-'TRADE IN'!$F677=0,"",(VLOOKUP($C668,REV!$C:$AA,12,0)-'TRADE IN'!$F668))</f>
        <v>2499</v>
      </c>
      <c r="O668" s="46">
        <f>IF(VLOOKUP($C668,REV!$C:$AA,13,0)-'TRADE IN'!$F677=0,"",(VLOOKUP($C668,REV!$C:$AA,13,0)-'TRADE IN'!$F668))</f>
        <v>2399</v>
      </c>
      <c r="P668" s="46">
        <f>IF(VLOOKUP($C668,REV!$C:$AA,14,0)-'TRADE IN'!$F677=0,"",(VLOOKUP($C668,REV!$C:$AA,14,0)-'TRADE IN'!$F668))</f>
        <v>2299</v>
      </c>
      <c r="Q668" s="46">
        <f>IF(VLOOKUP($C668,REV!$C:$AA,15,0)-'TRADE IN'!$F677=0,"",(VLOOKUP($C668,REV!$C:$AA,15,0)-'TRADE IN'!$F668))</f>
        <v>999</v>
      </c>
      <c r="R668" s="46">
        <f>IF(VLOOKUP($C668,REV!$C:$AA,16,0)-'TRADE IN'!$F677=0,"",(VLOOKUP($C668,REV!$C:$AA,16,0)-'TRADE IN'!$F668))</f>
        <v>2399</v>
      </c>
      <c r="S668" s="46">
        <f>IF(VLOOKUP($C668,REV!$C:$AA,17,0)-'TRADE IN'!$F677=0,"",(VLOOKUP($C668,REV!$C:$AA,17,0)-'TRADE IN'!$F668))</f>
        <v>2299</v>
      </c>
      <c r="T668" s="46">
        <f>IF(VLOOKUP($C668,REV!$C:$AA,18,0)-'TRADE IN'!$F677=0,"",(VLOOKUP($C668,REV!$C:$AA,18,0)-'TRADE IN'!$F668))</f>
        <v>999</v>
      </c>
      <c r="U668" s="46">
        <f>IF(VLOOKUP($C668,REV!$C:$AA,19,0)-'TRADE IN'!$F677=0,"",(VLOOKUP($C668,REV!$C:$AA,19,0)-'TRADE IN'!$F668))</f>
        <v>999</v>
      </c>
      <c r="V668" s="46">
        <f>IF(VLOOKUP($C668,REV!$C:$AA,20,0)-'TRADE IN'!$F677=0,"",(VLOOKUP($C668,REV!$C:$AA,20,0)-'TRADE IN'!$F668))</f>
        <v>999</v>
      </c>
      <c r="W668" s="46">
        <f>IF(VLOOKUP($C668,REV!$C:$AA,21,0)-'TRADE IN'!$F677=0,"",(VLOOKUP($C668,REV!$C:$AA,21,0)-'TRADE IN'!$F668))</f>
        <v>999</v>
      </c>
      <c r="X668" s="46">
        <f>IF(VLOOKUP($C668,REV!$C:$AA,22,0)-'TRADE IN'!$F677=0,"",(VLOOKUP($C668,REV!$C:$AA,22,0)-'TRADE IN'!$F668))</f>
        <v>899</v>
      </c>
      <c r="Y668" s="46">
        <f>IF(VLOOKUP($C668,REV!$C:$AA,23,0)-'TRADE IN'!$F677=0,"",(VLOOKUP($C668,REV!$C:$AA,23,0)-'TRADE IN'!$F668))</f>
        <v>499</v>
      </c>
      <c r="Z668" s="46">
        <f>IF(VLOOKUP($C668,REV!$C:$AA,24,0)-'TRADE IN'!$F677=0,"",(VLOOKUP($C668,REV!$C:$AA,24,0)-'TRADE IN'!$F668))</f>
        <v>499</v>
      </c>
      <c r="AA668" s="46">
        <f>IF(VLOOKUP($C668,REV!$C:$AA,25,0)-'TRADE IN'!$F677=0,"",(VLOOKUP($C668,REV!$C:$AA,25,0)-'TRADE IN'!$F668))</f>
        <v>499</v>
      </c>
      <c r="AB668" s="46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7"/>
      <c r="AW668" s="48" t="str">
        <f>IF(REV!AW668=0,"",REV!AW668)</f>
        <v>31.03.2026</v>
      </c>
      <c r="AX668" s="159" t="s">
        <v>82</v>
      </c>
    </row>
    <row r="669" spans="1:50" ht="22.5" customHeight="1">
      <c r="A669" s="52" t="s">
        <v>70</v>
      </c>
      <c r="B669" s="41" t="s">
        <v>62</v>
      </c>
      <c r="C669" s="42">
        <v>4016063</v>
      </c>
      <c r="D669" s="44" t="s">
        <v>900</v>
      </c>
      <c r="E669" s="44" t="s">
        <v>902</v>
      </c>
      <c r="F669" s="45">
        <v>500</v>
      </c>
      <c r="G669" s="45"/>
      <c r="H669" s="45"/>
      <c r="I669" s="45"/>
      <c r="J669" s="46">
        <f>IF(VLOOKUP($C669,REV!$C:$AA,8,0)-'TRADE IN'!$F669=0,"",(VLOOKUP($C669,REV!$C:$AA,8,0)-'TRADE IN'!$F669))</f>
        <v>2499</v>
      </c>
      <c r="K669" s="46">
        <f>IF(VLOOKUP($C669,REV!$C:$AA,9,0)-'TRADE IN'!$F669=0,"",(VLOOKUP($C669,REV!$C:$AA,9,0)-'TRADE IN'!$F669))</f>
        <v>2499</v>
      </c>
      <c r="L669" s="46">
        <f>IF(VLOOKUP($C669,REV!$C:$AA,10,0)-'TRADE IN'!$F678=0,"",(VLOOKUP($C669,REV!$C:$AA,10,0)-'TRADE IN'!$F669))</f>
        <v>2499</v>
      </c>
      <c r="M669" s="46">
        <f>IF(VLOOKUP($C669,REV!$C:$AA,11,0)-'TRADE IN'!$F678=0,"",(VLOOKUP($C669,REV!$C:$AA,11,0)-'TRADE IN'!$F669))</f>
        <v>2499</v>
      </c>
      <c r="N669" s="46">
        <f>IF(VLOOKUP($C669,REV!$C:$AA,12,0)-'TRADE IN'!$F678=0,"",(VLOOKUP($C669,REV!$C:$AA,12,0)-'TRADE IN'!$F669))</f>
        <v>2499</v>
      </c>
      <c r="O669" s="46">
        <f>IF(VLOOKUP($C669,REV!$C:$AA,13,0)-'TRADE IN'!$F678=0,"",(VLOOKUP($C669,REV!$C:$AA,13,0)-'TRADE IN'!$F669))</f>
        <v>2399</v>
      </c>
      <c r="P669" s="46">
        <f>IF(VLOOKUP($C669,REV!$C:$AA,14,0)-'TRADE IN'!$F678=0,"",(VLOOKUP($C669,REV!$C:$AA,14,0)-'TRADE IN'!$F669))</f>
        <v>2299</v>
      </c>
      <c r="Q669" s="46">
        <f>IF(VLOOKUP($C669,REV!$C:$AA,15,0)-'TRADE IN'!$F678=0,"",(VLOOKUP($C669,REV!$C:$AA,15,0)-'TRADE IN'!$F669))</f>
        <v>999</v>
      </c>
      <c r="R669" s="46">
        <f>IF(VLOOKUP($C669,REV!$C:$AA,16,0)-'TRADE IN'!$F678=0,"",(VLOOKUP($C669,REV!$C:$AA,16,0)-'TRADE IN'!$F669))</f>
        <v>2399</v>
      </c>
      <c r="S669" s="46">
        <f>IF(VLOOKUP($C669,REV!$C:$AA,17,0)-'TRADE IN'!$F678=0,"",(VLOOKUP($C669,REV!$C:$AA,17,0)-'TRADE IN'!$F669))</f>
        <v>2299</v>
      </c>
      <c r="T669" s="46">
        <f>IF(VLOOKUP($C669,REV!$C:$AA,18,0)-'TRADE IN'!$F678=0,"",(VLOOKUP($C669,REV!$C:$AA,18,0)-'TRADE IN'!$F669))</f>
        <v>999</v>
      </c>
      <c r="U669" s="46">
        <f>IF(VLOOKUP($C669,REV!$C:$AA,19,0)-'TRADE IN'!$F678=0,"",(VLOOKUP($C669,REV!$C:$AA,19,0)-'TRADE IN'!$F669))</f>
        <v>999</v>
      </c>
      <c r="V669" s="46">
        <f>IF(VLOOKUP($C669,REV!$C:$AA,20,0)-'TRADE IN'!$F678=0,"",(VLOOKUP($C669,REV!$C:$AA,20,0)-'TRADE IN'!$F669))</f>
        <v>999</v>
      </c>
      <c r="W669" s="46">
        <f>IF(VLOOKUP($C669,REV!$C:$AA,21,0)-'TRADE IN'!$F678=0,"",(VLOOKUP($C669,REV!$C:$AA,21,0)-'TRADE IN'!$F669))</f>
        <v>999</v>
      </c>
      <c r="X669" s="46">
        <f>IF(VLOOKUP($C669,REV!$C:$AA,22,0)-'TRADE IN'!$F678=0,"",(VLOOKUP($C669,REV!$C:$AA,22,0)-'TRADE IN'!$F669))</f>
        <v>899</v>
      </c>
      <c r="Y669" s="46">
        <f>IF(VLOOKUP($C669,REV!$C:$AA,23,0)-'TRADE IN'!$F678=0,"",(VLOOKUP($C669,REV!$C:$AA,23,0)-'TRADE IN'!$F669))</f>
        <v>499</v>
      </c>
      <c r="Z669" s="46">
        <f>IF(VLOOKUP($C669,REV!$C:$AA,24,0)-'TRADE IN'!$F678=0,"",(VLOOKUP($C669,REV!$C:$AA,24,0)-'TRADE IN'!$F669))</f>
        <v>499</v>
      </c>
      <c r="AA669" s="46">
        <f>IF(VLOOKUP($C669,REV!$C:$AA,25,0)-'TRADE IN'!$F678=0,"",(VLOOKUP($C669,REV!$C:$AA,25,0)-'TRADE IN'!$F669))</f>
        <v>499</v>
      </c>
      <c r="AB669" s="46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7"/>
      <c r="AW669" s="48" t="str">
        <f>IF(REV!AW669=0,"",REV!AW669)</f>
        <v>31.03.2026</v>
      </c>
      <c r="AX669" s="159" t="s">
        <v>82</v>
      </c>
    </row>
    <row r="670" spans="1:50" ht="22.5" customHeight="1">
      <c r="A670" s="52" t="s">
        <v>70</v>
      </c>
      <c r="B670" s="41" t="s">
        <v>62</v>
      </c>
      <c r="C670" s="42">
        <v>4015884</v>
      </c>
      <c r="D670" s="44" t="s">
        <v>900</v>
      </c>
      <c r="E670" s="44" t="s">
        <v>903</v>
      </c>
      <c r="F670" s="45">
        <v>500</v>
      </c>
      <c r="G670" s="45"/>
      <c r="H670" s="45"/>
      <c r="I670" s="45"/>
      <c r="J670" s="46">
        <f>IF(VLOOKUP($C670,REV!$C:$AA,8,0)-'TRADE IN'!$F670=0,"",(VLOOKUP($C670,REV!$C:$AA,8,0)-'TRADE IN'!$F670))</f>
        <v>2499</v>
      </c>
      <c r="K670" s="46">
        <f>IF(VLOOKUP($C670,REV!$C:$AA,9,0)-'TRADE IN'!$F670=0,"",(VLOOKUP($C670,REV!$C:$AA,9,0)-'TRADE IN'!$F670))</f>
        <v>2499</v>
      </c>
      <c r="L670" s="46">
        <f>IF(VLOOKUP($C670,REV!$C:$AA,10,0)-'TRADE IN'!$F679=0,"",(VLOOKUP($C670,REV!$C:$AA,10,0)-'TRADE IN'!$F670))</f>
        <v>2499</v>
      </c>
      <c r="M670" s="46">
        <f>IF(VLOOKUP($C670,REV!$C:$AA,11,0)-'TRADE IN'!$F679=0,"",(VLOOKUP($C670,REV!$C:$AA,11,0)-'TRADE IN'!$F670))</f>
        <v>2499</v>
      </c>
      <c r="N670" s="46">
        <f>IF(VLOOKUP($C670,REV!$C:$AA,12,0)-'TRADE IN'!$F679=0,"",(VLOOKUP($C670,REV!$C:$AA,12,0)-'TRADE IN'!$F670))</f>
        <v>2499</v>
      </c>
      <c r="O670" s="46">
        <f>IF(VLOOKUP($C670,REV!$C:$AA,13,0)-'TRADE IN'!$F679=0,"",(VLOOKUP($C670,REV!$C:$AA,13,0)-'TRADE IN'!$F670))</f>
        <v>2399</v>
      </c>
      <c r="P670" s="46">
        <f>IF(VLOOKUP($C670,REV!$C:$AA,14,0)-'TRADE IN'!$F679=0,"",(VLOOKUP($C670,REV!$C:$AA,14,0)-'TRADE IN'!$F670))</f>
        <v>2299</v>
      </c>
      <c r="Q670" s="46">
        <f>IF(VLOOKUP($C670,REV!$C:$AA,15,0)-'TRADE IN'!$F679=0,"",(VLOOKUP($C670,REV!$C:$AA,15,0)-'TRADE IN'!$F670))</f>
        <v>999</v>
      </c>
      <c r="R670" s="46">
        <f>IF(VLOOKUP($C670,REV!$C:$AA,16,0)-'TRADE IN'!$F679=0,"",(VLOOKUP($C670,REV!$C:$AA,16,0)-'TRADE IN'!$F670))</f>
        <v>2399</v>
      </c>
      <c r="S670" s="46">
        <f>IF(VLOOKUP($C670,REV!$C:$AA,17,0)-'TRADE IN'!$F679=0,"",(VLOOKUP($C670,REV!$C:$AA,17,0)-'TRADE IN'!$F670))</f>
        <v>2299</v>
      </c>
      <c r="T670" s="46">
        <f>IF(VLOOKUP($C670,REV!$C:$AA,18,0)-'TRADE IN'!$F679=0,"",(VLOOKUP($C670,REV!$C:$AA,18,0)-'TRADE IN'!$F670))</f>
        <v>999</v>
      </c>
      <c r="U670" s="46">
        <f>IF(VLOOKUP($C670,REV!$C:$AA,19,0)-'TRADE IN'!$F679=0,"",(VLOOKUP($C670,REV!$C:$AA,19,0)-'TRADE IN'!$F670))</f>
        <v>999</v>
      </c>
      <c r="V670" s="46">
        <f>IF(VLOOKUP($C670,REV!$C:$AA,20,0)-'TRADE IN'!$F679=0,"",(VLOOKUP($C670,REV!$C:$AA,20,0)-'TRADE IN'!$F670))</f>
        <v>999</v>
      </c>
      <c r="W670" s="46">
        <f>IF(VLOOKUP($C670,REV!$C:$AA,21,0)-'TRADE IN'!$F679=0,"",(VLOOKUP($C670,REV!$C:$AA,21,0)-'TRADE IN'!$F670))</f>
        <v>999</v>
      </c>
      <c r="X670" s="46">
        <f>IF(VLOOKUP($C670,REV!$C:$AA,22,0)-'TRADE IN'!$F679=0,"",(VLOOKUP($C670,REV!$C:$AA,22,0)-'TRADE IN'!$F670))</f>
        <v>899</v>
      </c>
      <c r="Y670" s="46">
        <f>IF(VLOOKUP($C670,REV!$C:$AA,23,0)-'TRADE IN'!$F679=0,"",(VLOOKUP($C670,REV!$C:$AA,23,0)-'TRADE IN'!$F670))</f>
        <v>499</v>
      </c>
      <c r="Z670" s="46">
        <f>IF(VLOOKUP($C670,REV!$C:$AA,24,0)-'TRADE IN'!$F679=0,"",(VLOOKUP($C670,REV!$C:$AA,24,0)-'TRADE IN'!$F670))</f>
        <v>499</v>
      </c>
      <c r="AA670" s="46">
        <f>IF(VLOOKUP($C670,REV!$C:$AA,25,0)-'TRADE IN'!$F679=0,"",(VLOOKUP($C670,REV!$C:$AA,25,0)-'TRADE IN'!$F670))</f>
        <v>499</v>
      </c>
      <c r="AB670" s="46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7"/>
      <c r="AW670" s="48" t="str">
        <f>IF(REV!AW670=0,"",REV!AW670)</f>
        <v>31.03.2026</v>
      </c>
      <c r="AX670" s="159" t="s">
        <v>82</v>
      </c>
    </row>
    <row r="671" spans="1:50" ht="22.5" customHeight="1">
      <c r="A671" s="52" t="s">
        <v>70</v>
      </c>
      <c r="B671" s="41" t="s">
        <v>62</v>
      </c>
      <c r="C671" s="42">
        <v>4016047</v>
      </c>
      <c r="D671" s="44" t="s">
        <v>900</v>
      </c>
      <c r="E671" s="44" t="s">
        <v>904</v>
      </c>
      <c r="F671" s="45">
        <v>500</v>
      </c>
      <c r="G671" s="45"/>
      <c r="H671" s="45"/>
      <c r="I671" s="45"/>
      <c r="J671" s="46">
        <f>IF(VLOOKUP($C671,REV!$C:$AA,8,0)-'TRADE IN'!$F671=0,"",(VLOOKUP($C671,REV!$C:$AA,8,0)-'TRADE IN'!$F671))</f>
        <v>2499</v>
      </c>
      <c r="K671" s="46">
        <f>IF(VLOOKUP($C671,REV!$C:$AA,9,0)-'TRADE IN'!$F671=0,"",(VLOOKUP($C671,REV!$C:$AA,9,0)-'TRADE IN'!$F671))</f>
        <v>2499</v>
      </c>
      <c r="L671" s="46">
        <f>IF(VLOOKUP($C671,REV!$C:$AA,10,0)-'TRADE IN'!$F680=0,"",(VLOOKUP($C671,REV!$C:$AA,10,0)-'TRADE IN'!$F671))</f>
        <v>2499</v>
      </c>
      <c r="M671" s="46">
        <f>IF(VLOOKUP($C671,REV!$C:$AA,11,0)-'TRADE IN'!$F680=0,"",(VLOOKUP($C671,REV!$C:$AA,11,0)-'TRADE IN'!$F671))</f>
        <v>2499</v>
      </c>
      <c r="N671" s="46">
        <f>IF(VLOOKUP($C671,REV!$C:$AA,12,0)-'TRADE IN'!$F680=0,"",(VLOOKUP($C671,REV!$C:$AA,12,0)-'TRADE IN'!$F671))</f>
        <v>2499</v>
      </c>
      <c r="O671" s="46">
        <f>IF(VLOOKUP($C671,REV!$C:$AA,13,0)-'TRADE IN'!$F680=0,"",(VLOOKUP($C671,REV!$C:$AA,13,0)-'TRADE IN'!$F671))</f>
        <v>2399</v>
      </c>
      <c r="P671" s="46">
        <f>IF(VLOOKUP($C671,REV!$C:$AA,14,0)-'TRADE IN'!$F680=0,"",(VLOOKUP($C671,REV!$C:$AA,14,0)-'TRADE IN'!$F671))</f>
        <v>2299</v>
      </c>
      <c r="Q671" s="46">
        <f>IF(VLOOKUP($C671,REV!$C:$AA,15,0)-'TRADE IN'!$F680=0,"",(VLOOKUP($C671,REV!$C:$AA,15,0)-'TRADE IN'!$F671))</f>
        <v>999</v>
      </c>
      <c r="R671" s="46">
        <f>IF(VLOOKUP($C671,REV!$C:$AA,16,0)-'TRADE IN'!$F680=0,"",(VLOOKUP($C671,REV!$C:$AA,16,0)-'TRADE IN'!$F671))</f>
        <v>2399</v>
      </c>
      <c r="S671" s="46">
        <f>IF(VLOOKUP($C671,REV!$C:$AA,17,0)-'TRADE IN'!$F680=0,"",(VLOOKUP($C671,REV!$C:$AA,17,0)-'TRADE IN'!$F671))</f>
        <v>2299</v>
      </c>
      <c r="T671" s="46">
        <f>IF(VLOOKUP($C671,REV!$C:$AA,18,0)-'TRADE IN'!$F680=0,"",(VLOOKUP($C671,REV!$C:$AA,18,0)-'TRADE IN'!$F671))</f>
        <v>999</v>
      </c>
      <c r="U671" s="46">
        <f>IF(VLOOKUP($C671,REV!$C:$AA,19,0)-'TRADE IN'!$F680=0,"",(VLOOKUP($C671,REV!$C:$AA,19,0)-'TRADE IN'!$F671))</f>
        <v>999</v>
      </c>
      <c r="V671" s="46">
        <f>IF(VLOOKUP($C671,REV!$C:$AA,20,0)-'TRADE IN'!$F680=0,"",(VLOOKUP($C671,REV!$C:$AA,20,0)-'TRADE IN'!$F671))</f>
        <v>999</v>
      </c>
      <c r="W671" s="46">
        <f>IF(VLOOKUP($C671,REV!$C:$AA,21,0)-'TRADE IN'!$F680=0,"",(VLOOKUP($C671,REV!$C:$AA,21,0)-'TRADE IN'!$F671))</f>
        <v>999</v>
      </c>
      <c r="X671" s="46">
        <f>IF(VLOOKUP($C671,REV!$C:$AA,22,0)-'TRADE IN'!$F680=0,"",(VLOOKUP($C671,REV!$C:$AA,22,0)-'TRADE IN'!$F671))</f>
        <v>899</v>
      </c>
      <c r="Y671" s="46">
        <f>IF(VLOOKUP($C671,REV!$C:$AA,23,0)-'TRADE IN'!$F680=0,"",(VLOOKUP($C671,REV!$C:$AA,23,0)-'TRADE IN'!$F671))</f>
        <v>499</v>
      </c>
      <c r="Z671" s="46">
        <f>IF(VLOOKUP($C671,REV!$C:$AA,24,0)-'TRADE IN'!$F680=0,"",(VLOOKUP($C671,REV!$C:$AA,24,0)-'TRADE IN'!$F671))</f>
        <v>499</v>
      </c>
      <c r="AA671" s="46">
        <f>IF(VLOOKUP($C671,REV!$C:$AA,25,0)-'TRADE IN'!$F680=0,"",(VLOOKUP($C671,REV!$C:$AA,25,0)-'TRADE IN'!$F671))</f>
        <v>499</v>
      </c>
      <c r="AB671" s="46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7"/>
      <c r="AW671" s="48" t="str">
        <f>IF(REV!AW671=0,"",REV!AW671)</f>
        <v>31.03.2026</v>
      </c>
      <c r="AX671" s="159" t="s">
        <v>82</v>
      </c>
    </row>
    <row r="672" spans="1:50" ht="22.5" customHeight="1">
      <c r="A672" s="52" t="s">
        <v>70</v>
      </c>
      <c r="B672" s="41" t="s">
        <v>62</v>
      </c>
      <c r="C672" s="42">
        <v>4016039</v>
      </c>
      <c r="D672" s="44" t="s">
        <v>900</v>
      </c>
      <c r="E672" s="44" t="s">
        <v>905</v>
      </c>
      <c r="F672" s="45">
        <v>500</v>
      </c>
      <c r="G672" s="45"/>
      <c r="H672" s="45"/>
      <c r="I672" s="45"/>
      <c r="J672" s="46">
        <f>IF(VLOOKUP($C672,REV!$C:$AA,8,0)-'TRADE IN'!$F672=0,"",(VLOOKUP($C672,REV!$C:$AA,8,0)-'TRADE IN'!$F672))</f>
        <v>2499</v>
      </c>
      <c r="K672" s="46">
        <f>IF(VLOOKUP($C672,REV!$C:$AA,9,0)-'TRADE IN'!$F672=0,"",(VLOOKUP($C672,REV!$C:$AA,9,0)-'TRADE IN'!$F672))</f>
        <v>2499</v>
      </c>
      <c r="L672" s="46">
        <f>IF(VLOOKUP($C672,REV!$C:$AA,10,0)-'TRADE IN'!$F681=0,"",(VLOOKUP($C672,REV!$C:$AA,10,0)-'TRADE IN'!$F672))</f>
        <v>2499</v>
      </c>
      <c r="M672" s="46">
        <f>IF(VLOOKUP($C672,REV!$C:$AA,11,0)-'TRADE IN'!$F681=0,"",(VLOOKUP($C672,REV!$C:$AA,11,0)-'TRADE IN'!$F672))</f>
        <v>2499</v>
      </c>
      <c r="N672" s="46">
        <f>IF(VLOOKUP($C672,REV!$C:$AA,12,0)-'TRADE IN'!$F681=0,"",(VLOOKUP($C672,REV!$C:$AA,12,0)-'TRADE IN'!$F672))</f>
        <v>2499</v>
      </c>
      <c r="O672" s="46">
        <f>IF(VLOOKUP($C672,REV!$C:$AA,13,0)-'TRADE IN'!$F681=0,"",(VLOOKUP($C672,REV!$C:$AA,13,0)-'TRADE IN'!$F672))</f>
        <v>2399</v>
      </c>
      <c r="P672" s="46">
        <f>IF(VLOOKUP($C672,REV!$C:$AA,14,0)-'TRADE IN'!$F681=0,"",(VLOOKUP($C672,REV!$C:$AA,14,0)-'TRADE IN'!$F672))</f>
        <v>2299</v>
      </c>
      <c r="Q672" s="46">
        <f>IF(VLOOKUP($C672,REV!$C:$AA,15,0)-'TRADE IN'!$F681=0,"",(VLOOKUP($C672,REV!$C:$AA,15,0)-'TRADE IN'!$F672))</f>
        <v>999</v>
      </c>
      <c r="R672" s="46">
        <f>IF(VLOOKUP($C672,REV!$C:$AA,16,0)-'TRADE IN'!$F681=0,"",(VLOOKUP($C672,REV!$C:$AA,16,0)-'TRADE IN'!$F672))</f>
        <v>2399</v>
      </c>
      <c r="S672" s="46">
        <f>IF(VLOOKUP($C672,REV!$C:$AA,17,0)-'TRADE IN'!$F681=0,"",(VLOOKUP($C672,REV!$C:$AA,17,0)-'TRADE IN'!$F672))</f>
        <v>2299</v>
      </c>
      <c r="T672" s="46">
        <f>IF(VLOOKUP($C672,REV!$C:$AA,18,0)-'TRADE IN'!$F681=0,"",(VLOOKUP($C672,REV!$C:$AA,18,0)-'TRADE IN'!$F672))</f>
        <v>999</v>
      </c>
      <c r="U672" s="46">
        <f>IF(VLOOKUP($C672,REV!$C:$AA,19,0)-'TRADE IN'!$F681=0,"",(VLOOKUP($C672,REV!$C:$AA,19,0)-'TRADE IN'!$F672))</f>
        <v>999</v>
      </c>
      <c r="V672" s="46">
        <f>IF(VLOOKUP($C672,REV!$C:$AA,20,0)-'TRADE IN'!$F681=0,"",(VLOOKUP($C672,REV!$C:$AA,20,0)-'TRADE IN'!$F672))</f>
        <v>999</v>
      </c>
      <c r="W672" s="46">
        <f>IF(VLOOKUP($C672,REV!$C:$AA,21,0)-'TRADE IN'!$F681=0,"",(VLOOKUP($C672,REV!$C:$AA,21,0)-'TRADE IN'!$F672))</f>
        <v>999</v>
      </c>
      <c r="X672" s="46">
        <f>IF(VLOOKUP($C672,REV!$C:$AA,22,0)-'TRADE IN'!$F681=0,"",(VLOOKUP($C672,REV!$C:$AA,22,0)-'TRADE IN'!$F672))</f>
        <v>899</v>
      </c>
      <c r="Y672" s="46">
        <f>IF(VLOOKUP($C672,REV!$C:$AA,23,0)-'TRADE IN'!$F681=0,"",(VLOOKUP($C672,REV!$C:$AA,23,0)-'TRADE IN'!$F672))</f>
        <v>499</v>
      </c>
      <c r="Z672" s="46">
        <f>IF(VLOOKUP($C672,REV!$C:$AA,24,0)-'TRADE IN'!$F681=0,"",(VLOOKUP($C672,REV!$C:$AA,24,0)-'TRADE IN'!$F672))</f>
        <v>499</v>
      </c>
      <c r="AA672" s="46">
        <f>IF(VLOOKUP($C672,REV!$C:$AA,25,0)-'TRADE IN'!$F681=0,"",(VLOOKUP($C672,REV!$C:$AA,25,0)-'TRADE IN'!$F672))</f>
        <v>499</v>
      </c>
      <c r="AB672" s="46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7"/>
      <c r="AW672" s="48" t="str">
        <f>IF(REV!AW672=0,"",REV!AW672)</f>
        <v>31.03.2026</v>
      </c>
      <c r="AX672" s="159" t="s">
        <v>82</v>
      </c>
    </row>
    <row r="673" spans="1:50" ht="22.5" customHeight="1">
      <c r="A673" s="52" t="s">
        <v>70</v>
      </c>
      <c r="B673" s="41" t="s">
        <v>62</v>
      </c>
      <c r="C673" s="42">
        <v>4016071</v>
      </c>
      <c r="D673" s="44" t="s">
        <v>900</v>
      </c>
      <c r="E673" s="44" t="s">
        <v>906</v>
      </c>
      <c r="F673" s="45">
        <v>500</v>
      </c>
      <c r="G673" s="45"/>
      <c r="H673" s="45"/>
      <c r="I673" s="45"/>
      <c r="J673" s="46">
        <f>IF(VLOOKUP($C673,REV!$C:$AA,8,0)-'TRADE IN'!$F673=0,"",(VLOOKUP($C673,REV!$C:$AA,8,0)-'TRADE IN'!$F673))</f>
        <v>2499</v>
      </c>
      <c r="K673" s="46">
        <f>IF(VLOOKUP($C673,REV!$C:$AA,9,0)-'TRADE IN'!$F673=0,"",(VLOOKUP($C673,REV!$C:$AA,9,0)-'TRADE IN'!$F673))</f>
        <v>2499</v>
      </c>
      <c r="L673" s="46">
        <f>IF(VLOOKUP($C673,REV!$C:$AA,10,0)-'TRADE IN'!$F682=0,"",(VLOOKUP($C673,REV!$C:$AA,10,0)-'TRADE IN'!$F673))</f>
        <v>2499</v>
      </c>
      <c r="M673" s="46">
        <f>IF(VLOOKUP($C673,REV!$C:$AA,11,0)-'TRADE IN'!$F682=0,"",(VLOOKUP($C673,REV!$C:$AA,11,0)-'TRADE IN'!$F673))</f>
        <v>2499</v>
      </c>
      <c r="N673" s="46">
        <f>IF(VLOOKUP($C673,REV!$C:$AA,12,0)-'TRADE IN'!$F682=0,"",(VLOOKUP($C673,REV!$C:$AA,12,0)-'TRADE IN'!$F673))</f>
        <v>2499</v>
      </c>
      <c r="O673" s="46">
        <f>IF(VLOOKUP($C673,REV!$C:$AA,13,0)-'TRADE IN'!$F682=0,"",(VLOOKUP($C673,REV!$C:$AA,13,0)-'TRADE IN'!$F673))</f>
        <v>2399</v>
      </c>
      <c r="P673" s="46">
        <f>IF(VLOOKUP($C673,REV!$C:$AA,14,0)-'TRADE IN'!$F682=0,"",(VLOOKUP($C673,REV!$C:$AA,14,0)-'TRADE IN'!$F673))</f>
        <v>2299</v>
      </c>
      <c r="Q673" s="46">
        <f>IF(VLOOKUP($C673,REV!$C:$AA,15,0)-'TRADE IN'!$F682=0,"",(VLOOKUP($C673,REV!$C:$AA,15,0)-'TRADE IN'!$F673))</f>
        <v>999</v>
      </c>
      <c r="R673" s="46">
        <f>IF(VLOOKUP($C673,REV!$C:$AA,16,0)-'TRADE IN'!$F682=0,"",(VLOOKUP($C673,REV!$C:$AA,16,0)-'TRADE IN'!$F673))</f>
        <v>2399</v>
      </c>
      <c r="S673" s="46">
        <f>IF(VLOOKUP($C673,REV!$C:$AA,17,0)-'TRADE IN'!$F682=0,"",(VLOOKUP($C673,REV!$C:$AA,17,0)-'TRADE IN'!$F673))</f>
        <v>2299</v>
      </c>
      <c r="T673" s="46">
        <f>IF(VLOOKUP($C673,REV!$C:$AA,18,0)-'TRADE IN'!$F682=0,"",(VLOOKUP($C673,REV!$C:$AA,18,0)-'TRADE IN'!$F673))</f>
        <v>999</v>
      </c>
      <c r="U673" s="46">
        <f>IF(VLOOKUP($C673,REV!$C:$AA,19,0)-'TRADE IN'!$F682=0,"",(VLOOKUP($C673,REV!$C:$AA,19,0)-'TRADE IN'!$F673))</f>
        <v>999</v>
      </c>
      <c r="V673" s="46">
        <f>IF(VLOOKUP($C673,REV!$C:$AA,20,0)-'TRADE IN'!$F682=0,"",(VLOOKUP($C673,REV!$C:$AA,20,0)-'TRADE IN'!$F673))</f>
        <v>999</v>
      </c>
      <c r="W673" s="46">
        <f>IF(VLOOKUP($C673,REV!$C:$AA,21,0)-'TRADE IN'!$F682=0,"",(VLOOKUP($C673,REV!$C:$AA,21,0)-'TRADE IN'!$F673))</f>
        <v>999</v>
      </c>
      <c r="X673" s="46">
        <f>IF(VLOOKUP($C673,REV!$C:$AA,22,0)-'TRADE IN'!$F682=0,"",(VLOOKUP($C673,REV!$C:$AA,22,0)-'TRADE IN'!$F673))</f>
        <v>899</v>
      </c>
      <c r="Y673" s="46">
        <f>IF(VLOOKUP($C673,REV!$C:$AA,23,0)-'TRADE IN'!$F682=0,"",(VLOOKUP($C673,REV!$C:$AA,23,0)-'TRADE IN'!$F673))</f>
        <v>499</v>
      </c>
      <c r="Z673" s="46">
        <f>IF(VLOOKUP($C673,REV!$C:$AA,24,0)-'TRADE IN'!$F682=0,"",(VLOOKUP($C673,REV!$C:$AA,24,0)-'TRADE IN'!$F673))</f>
        <v>499</v>
      </c>
      <c r="AA673" s="46">
        <f>IF(VLOOKUP($C673,REV!$C:$AA,25,0)-'TRADE IN'!$F682=0,"",(VLOOKUP($C673,REV!$C:$AA,25,0)-'TRADE IN'!$F673))</f>
        <v>499</v>
      </c>
      <c r="AB673" s="46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7"/>
      <c r="AW673" s="48" t="str">
        <f>IF(REV!AW673=0,"",REV!AW673)</f>
        <v>31.03.2026</v>
      </c>
      <c r="AX673" s="159" t="s">
        <v>82</v>
      </c>
    </row>
    <row r="674" spans="1:50" ht="22.5" customHeight="1">
      <c r="A674" s="52" t="s">
        <v>70</v>
      </c>
      <c r="B674" s="41" t="s">
        <v>62</v>
      </c>
      <c r="C674" s="42">
        <v>4016023</v>
      </c>
      <c r="D674" s="44" t="s">
        <v>900</v>
      </c>
      <c r="E674" s="44" t="s">
        <v>907</v>
      </c>
      <c r="F674" s="45">
        <v>500</v>
      </c>
      <c r="G674" s="45"/>
      <c r="H674" s="45"/>
      <c r="I674" s="45"/>
      <c r="J674" s="46">
        <f>IF(VLOOKUP($C674,REV!$C:$AA,8,0)-'TRADE IN'!$F674=0,"",(VLOOKUP($C674,REV!$C:$AA,8,0)-'TRADE IN'!$F674))</f>
        <v>2499</v>
      </c>
      <c r="K674" s="46">
        <f>IF(VLOOKUP($C674,REV!$C:$AA,9,0)-'TRADE IN'!$F674=0,"",(VLOOKUP($C674,REV!$C:$AA,9,0)-'TRADE IN'!$F674))</f>
        <v>2499</v>
      </c>
      <c r="L674" s="46">
        <f>IF(VLOOKUP($C674,REV!$C:$AA,10,0)-'TRADE IN'!$F683=0,"",(VLOOKUP($C674,REV!$C:$AA,10,0)-'TRADE IN'!$F674))</f>
        <v>2499</v>
      </c>
      <c r="M674" s="46">
        <f>IF(VLOOKUP($C674,REV!$C:$AA,11,0)-'TRADE IN'!$F683=0,"",(VLOOKUP($C674,REV!$C:$AA,11,0)-'TRADE IN'!$F674))</f>
        <v>2499</v>
      </c>
      <c r="N674" s="46">
        <f>IF(VLOOKUP($C674,REV!$C:$AA,12,0)-'TRADE IN'!$F683=0,"",(VLOOKUP($C674,REV!$C:$AA,12,0)-'TRADE IN'!$F674))</f>
        <v>2499</v>
      </c>
      <c r="O674" s="46">
        <f>IF(VLOOKUP($C674,REV!$C:$AA,13,0)-'TRADE IN'!$F683=0,"",(VLOOKUP($C674,REV!$C:$AA,13,0)-'TRADE IN'!$F674))</f>
        <v>2399</v>
      </c>
      <c r="P674" s="46">
        <f>IF(VLOOKUP($C674,REV!$C:$AA,14,0)-'TRADE IN'!$F683=0,"",(VLOOKUP($C674,REV!$C:$AA,14,0)-'TRADE IN'!$F674))</f>
        <v>2299</v>
      </c>
      <c r="Q674" s="46">
        <f>IF(VLOOKUP($C674,REV!$C:$AA,15,0)-'TRADE IN'!$F683=0,"",(VLOOKUP($C674,REV!$C:$AA,15,0)-'TRADE IN'!$F674))</f>
        <v>999</v>
      </c>
      <c r="R674" s="46">
        <f>IF(VLOOKUP($C674,REV!$C:$AA,16,0)-'TRADE IN'!$F683=0,"",(VLOOKUP($C674,REV!$C:$AA,16,0)-'TRADE IN'!$F674))</f>
        <v>2399</v>
      </c>
      <c r="S674" s="46">
        <f>IF(VLOOKUP($C674,REV!$C:$AA,17,0)-'TRADE IN'!$F683=0,"",(VLOOKUP($C674,REV!$C:$AA,17,0)-'TRADE IN'!$F674))</f>
        <v>2299</v>
      </c>
      <c r="T674" s="46">
        <f>IF(VLOOKUP($C674,REV!$C:$AA,18,0)-'TRADE IN'!$F683=0,"",(VLOOKUP($C674,REV!$C:$AA,18,0)-'TRADE IN'!$F674))</f>
        <v>999</v>
      </c>
      <c r="U674" s="46">
        <f>IF(VLOOKUP($C674,REV!$C:$AA,19,0)-'TRADE IN'!$F683=0,"",(VLOOKUP($C674,REV!$C:$AA,19,0)-'TRADE IN'!$F674))</f>
        <v>999</v>
      </c>
      <c r="V674" s="46">
        <f>IF(VLOOKUP($C674,REV!$C:$AA,20,0)-'TRADE IN'!$F683=0,"",(VLOOKUP($C674,REV!$C:$AA,20,0)-'TRADE IN'!$F674))</f>
        <v>999</v>
      </c>
      <c r="W674" s="46">
        <f>IF(VLOOKUP($C674,REV!$C:$AA,21,0)-'TRADE IN'!$F683=0,"",(VLOOKUP($C674,REV!$C:$AA,21,0)-'TRADE IN'!$F674))</f>
        <v>999</v>
      </c>
      <c r="X674" s="46">
        <f>IF(VLOOKUP($C674,REV!$C:$AA,22,0)-'TRADE IN'!$F683=0,"",(VLOOKUP($C674,REV!$C:$AA,22,0)-'TRADE IN'!$F674))</f>
        <v>899</v>
      </c>
      <c r="Y674" s="46">
        <f>IF(VLOOKUP($C674,REV!$C:$AA,23,0)-'TRADE IN'!$F683=0,"",(VLOOKUP($C674,REV!$C:$AA,23,0)-'TRADE IN'!$F674))</f>
        <v>499</v>
      </c>
      <c r="Z674" s="46">
        <f>IF(VLOOKUP($C674,REV!$C:$AA,24,0)-'TRADE IN'!$F683=0,"",(VLOOKUP($C674,REV!$C:$AA,24,0)-'TRADE IN'!$F674))</f>
        <v>499</v>
      </c>
      <c r="AA674" s="46">
        <f>IF(VLOOKUP($C674,REV!$C:$AA,25,0)-'TRADE IN'!$F683=0,"",(VLOOKUP($C674,REV!$C:$AA,25,0)-'TRADE IN'!$F674))</f>
        <v>499</v>
      </c>
      <c r="AB674" s="46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7"/>
      <c r="AW674" s="48" t="str">
        <f>IF(REV!AW674=0,"",REV!AW674)</f>
        <v>31.03.2026</v>
      </c>
      <c r="AX674" s="159" t="s">
        <v>82</v>
      </c>
    </row>
    <row r="675" spans="1:50" ht="22.5" customHeight="1">
      <c r="A675" s="52" t="s">
        <v>70</v>
      </c>
      <c r="B675" s="41" t="s">
        <v>62</v>
      </c>
      <c r="C675" s="42">
        <v>4016055</v>
      </c>
      <c r="D675" s="44" t="s">
        <v>900</v>
      </c>
      <c r="E675" s="44" t="s">
        <v>908</v>
      </c>
      <c r="F675" s="45">
        <v>500</v>
      </c>
      <c r="G675" s="45"/>
      <c r="H675" s="45"/>
      <c r="I675" s="45"/>
      <c r="J675" s="46">
        <f>IF(VLOOKUP($C675,REV!$C:$AA,8,0)-'TRADE IN'!$F675=0,"",(VLOOKUP($C675,REV!$C:$AA,8,0)-'TRADE IN'!$F675))</f>
        <v>2499</v>
      </c>
      <c r="K675" s="46">
        <f>IF(VLOOKUP($C675,REV!$C:$AA,9,0)-'TRADE IN'!$F675=0,"",(VLOOKUP($C675,REV!$C:$AA,9,0)-'TRADE IN'!$F675))</f>
        <v>2499</v>
      </c>
      <c r="L675" s="46">
        <f>IF(VLOOKUP($C675,REV!$C:$AA,10,0)-'TRADE IN'!$F684=0,"",(VLOOKUP($C675,REV!$C:$AA,10,0)-'TRADE IN'!$F675))</f>
        <v>2499</v>
      </c>
      <c r="M675" s="46">
        <f>IF(VLOOKUP($C675,REV!$C:$AA,11,0)-'TRADE IN'!$F684=0,"",(VLOOKUP($C675,REV!$C:$AA,11,0)-'TRADE IN'!$F675))</f>
        <v>2499</v>
      </c>
      <c r="N675" s="46">
        <f>IF(VLOOKUP($C675,REV!$C:$AA,12,0)-'TRADE IN'!$F684=0,"",(VLOOKUP($C675,REV!$C:$AA,12,0)-'TRADE IN'!$F675))</f>
        <v>2499</v>
      </c>
      <c r="O675" s="46">
        <f>IF(VLOOKUP($C675,REV!$C:$AA,13,0)-'TRADE IN'!$F684=0,"",(VLOOKUP($C675,REV!$C:$AA,13,0)-'TRADE IN'!$F675))</f>
        <v>2399</v>
      </c>
      <c r="P675" s="46">
        <f>IF(VLOOKUP($C675,REV!$C:$AA,14,0)-'TRADE IN'!$F684=0,"",(VLOOKUP($C675,REV!$C:$AA,14,0)-'TRADE IN'!$F675))</f>
        <v>2299</v>
      </c>
      <c r="Q675" s="46">
        <f>IF(VLOOKUP($C675,REV!$C:$AA,15,0)-'TRADE IN'!$F684=0,"",(VLOOKUP($C675,REV!$C:$AA,15,0)-'TRADE IN'!$F675))</f>
        <v>999</v>
      </c>
      <c r="R675" s="46">
        <f>IF(VLOOKUP($C675,REV!$C:$AA,16,0)-'TRADE IN'!$F684=0,"",(VLOOKUP($C675,REV!$C:$AA,16,0)-'TRADE IN'!$F675))</f>
        <v>2399</v>
      </c>
      <c r="S675" s="46">
        <f>IF(VLOOKUP($C675,REV!$C:$AA,17,0)-'TRADE IN'!$F684=0,"",(VLOOKUP($C675,REV!$C:$AA,17,0)-'TRADE IN'!$F675))</f>
        <v>2299</v>
      </c>
      <c r="T675" s="46">
        <f>IF(VLOOKUP($C675,REV!$C:$AA,18,0)-'TRADE IN'!$F684=0,"",(VLOOKUP($C675,REV!$C:$AA,18,0)-'TRADE IN'!$F675))</f>
        <v>999</v>
      </c>
      <c r="U675" s="46">
        <f>IF(VLOOKUP($C675,REV!$C:$AA,19,0)-'TRADE IN'!$F684=0,"",(VLOOKUP($C675,REV!$C:$AA,19,0)-'TRADE IN'!$F675))</f>
        <v>999</v>
      </c>
      <c r="V675" s="46">
        <f>IF(VLOOKUP($C675,REV!$C:$AA,20,0)-'TRADE IN'!$F684=0,"",(VLOOKUP($C675,REV!$C:$AA,20,0)-'TRADE IN'!$F675))</f>
        <v>999</v>
      </c>
      <c r="W675" s="46">
        <f>IF(VLOOKUP($C675,REV!$C:$AA,21,0)-'TRADE IN'!$F684=0,"",(VLOOKUP($C675,REV!$C:$AA,21,0)-'TRADE IN'!$F675))</f>
        <v>999</v>
      </c>
      <c r="X675" s="46">
        <f>IF(VLOOKUP($C675,REV!$C:$AA,22,0)-'TRADE IN'!$F684=0,"",(VLOOKUP($C675,REV!$C:$AA,22,0)-'TRADE IN'!$F675))</f>
        <v>899</v>
      </c>
      <c r="Y675" s="46">
        <f>IF(VLOOKUP($C675,REV!$C:$AA,23,0)-'TRADE IN'!$F684=0,"",(VLOOKUP($C675,REV!$C:$AA,23,0)-'TRADE IN'!$F675))</f>
        <v>499</v>
      </c>
      <c r="Z675" s="46">
        <f>IF(VLOOKUP($C675,REV!$C:$AA,24,0)-'TRADE IN'!$F684=0,"",(VLOOKUP($C675,REV!$C:$AA,24,0)-'TRADE IN'!$F675))</f>
        <v>499</v>
      </c>
      <c r="AA675" s="46">
        <f>IF(VLOOKUP($C675,REV!$C:$AA,25,0)-'TRADE IN'!$F684=0,"",(VLOOKUP($C675,REV!$C:$AA,25,0)-'TRADE IN'!$F675))</f>
        <v>499</v>
      </c>
      <c r="AB675" s="46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7"/>
      <c r="AW675" s="48" t="str">
        <f>IF(REV!AW675=0,"",REV!AW675)</f>
        <v>31.03.2026</v>
      </c>
      <c r="AX675" s="159" t="s">
        <v>82</v>
      </c>
    </row>
    <row r="676" spans="1:50" ht="22.5" customHeight="1">
      <c r="A676" s="52" t="s">
        <v>70</v>
      </c>
      <c r="B676" s="41" t="s">
        <v>62</v>
      </c>
      <c r="C676" s="42">
        <v>4016034</v>
      </c>
      <c r="D676" s="44" t="s">
        <v>909</v>
      </c>
      <c r="E676" s="44" t="s">
        <v>910</v>
      </c>
      <c r="F676" s="45">
        <v>500</v>
      </c>
      <c r="G676" s="45"/>
      <c r="H676" s="45"/>
      <c r="I676" s="45"/>
      <c r="J676" s="46">
        <f>IF(VLOOKUP($C676,REV!$C:$AA,8,0)-'TRADE IN'!$F676=0,"",(VLOOKUP($C676,REV!$C:$AA,8,0)-'TRADE IN'!$F676))</f>
        <v>2799</v>
      </c>
      <c r="K676" s="46">
        <f>IF(VLOOKUP($C676,REV!$C:$AA,9,0)-'TRADE IN'!$F676=0,"",(VLOOKUP($C676,REV!$C:$AA,9,0)-'TRADE IN'!$F676))</f>
        <v>2799</v>
      </c>
      <c r="L676" s="46">
        <f>IF(VLOOKUP($C676,REV!$C:$AA,10,0)-'TRADE IN'!$F685=0,"",(VLOOKUP($C676,REV!$C:$AA,10,0)-'TRADE IN'!$F676))</f>
        <v>2799</v>
      </c>
      <c r="M676" s="46">
        <f>IF(VLOOKUP($C676,REV!$C:$AA,11,0)-'TRADE IN'!$F685=0,"",(VLOOKUP($C676,REV!$C:$AA,11,0)-'TRADE IN'!$F676))</f>
        <v>2799</v>
      </c>
      <c r="N676" s="46">
        <f>IF(VLOOKUP($C676,REV!$C:$AA,12,0)-'TRADE IN'!$F685=0,"",(VLOOKUP($C676,REV!$C:$AA,12,0)-'TRADE IN'!$F676))</f>
        <v>2799</v>
      </c>
      <c r="O676" s="46">
        <f>IF(VLOOKUP($C676,REV!$C:$AA,13,0)-'TRADE IN'!$F685=0,"",(VLOOKUP($C676,REV!$C:$AA,13,0)-'TRADE IN'!$F676))</f>
        <v>2699</v>
      </c>
      <c r="P676" s="46">
        <f>IF(VLOOKUP($C676,REV!$C:$AA,14,0)-'TRADE IN'!$F685=0,"",(VLOOKUP($C676,REV!$C:$AA,14,0)-'TRADE IN'!$F676))</f>
        <v>2599</v>
      </c>
      <c r="Q676" s="46">
        <f>IF(VLOOKUP($C676,REV!$C:$AA,15,0)-'TRADE IN'!$F685=0,"",(VLOOKUP($C676,REV!$C:$AA,15,0)-'TRADE IN'!$F676))</f>
        <v>1299</v>
      </c>
      <c r="R676" s="46">
        <f>IF(VLOOKUP($C676,REV!$C:$AA,16,0)-'TRADE IN'!$F685=0,"",(VLOOKUP($C676,REV!$C:$AA,16,0)-'TRADE IN'!$F676))</f>
        <v>2699</v>
      </c>
      <c r="S676" s="46">
        <f>IF(VLOOKUP($C676,REV!$C:$AA,17,0)-'TRADE IN'!$F685=0,"",(VLOOKUP($C676,REV!$C:$AA,17,0)-'TRADE IN'!$F676))</f>
        <v>2599</v>
      </c>
      <c r="T676" s="46">
        <f>IF(VLOOKUP($C676,REV!$C:$AA,18,0)-'TRADE IN'!$F685=0,"",(VLOOKUP($C676,REV!$C:$AA,18,0)-'TRADE IN'!$F676))</f>
        <v>1299</v>
      </c>
      <c r="U676" s="46">
        <f>IF(VLOOKUP($C676,REV!$C:$AA,19,0)-'TRADE IN'!$F685=0,"",(VLOOKUP($C676,REV!$C:$AA,19,0)-'TRADE IN'!$F676))</f>
        <v>1299</v>
      </c>
      <c r="V676" s="46">
        <f>IF(VLOOKUP($C676,REV!$C:$AA,20,0)-'TRADE IN'!$F685=0,"",(VLOOKUP($C676,REV!$C:$AA,20,0)-'TRADE IN'!$F676))</f>
        <v>1299</v>
      </c>
      <c r="W676" s="46">
        <f>IF(VLOOKUP($C676,REV!$C:$AA,21,0)-'TRADE IN'!$F685=0,"",(VLOOKUP($C676,REV!$C:$AA,21,0)-'TRADE IN'!$F676))</f>
        <v>1299</v>
      </c>
      <c r="X676" s="46">
        <f>IF(VLOOKUP($C676,REV!$C:$AA,22,0)-'TRADE IN'!$F685=0,"",(VLOOKUP($C676,REV!$C:$AA,22,0)-'TRADE IN'!$F676))</f>
        <v>1199</v>
      </c>
      <c r="Y676" s="46">
        <f>IF(VLOOKUP($C676,REV!$C:$AA,23,0)-'TRADE IN'!$F685=0,"",(VLOOKUP($C676,REV!$C:$AA,23,0)-'TRADE IN'!$F676))</f>
        <v>999</v>
      </c>
      <c r="Z676" s="46">
        <f>IF(VLOOKUP($C676,REV!$C:$AA,24,0)-'TRADE IN'!$F685=0,"",(VLOOKUP($C676,REV!$C:$AA,24,0)-'TRADE IN'!$F676))</f>
        <v>999</v>
      </c>
      <c r="AA676" s="46">
        <f>IF(VLOOKUP($C676,REV!$C:$AA,25,0)-'TRADE IN'!$F685=0,"",(VLOOKUP($C676,REV!$C:$AA,25,0)-'TRADE IN'!$F676))</f>
        <v>999</v>
      </c>
      <c r="AB676" s="46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7"/>
      <c r="AW676" s="48" t="str">
        <f>IF(REV!AW676=0,"",REV!AW676)</f>
        <v>31.03.2026</v>
      </c>
      <c r="AX676" s="159" t="s">
        <v>82</v>
      </c>
    </row>
    <row r="677" spans="1:50" ht="22.5" customHeight="1">
      <c r="A677" s="52" t="s">
        <v>70</v>
      </c>
      <c r="B677" s="41" t="s">
        <v>62</v>
      </c>
      <c r="C677" s="42">
        <v>4016066</v>
      </c>
      <c r="D677" s="44" t="s">
        <v>909</v>
      </c>
      <c r="E677" s="44" t="s">
        <v>911</v>
      </c>
      <c r="F677" s="45">
        <v>500</v>
      </c>
      <c r="G677" s="45"/>
      <c r="H677" s="45"/>
      <c r="I677" s="45"/>
      <c r="J677" s="46">
        <f>IF(VLOOKUP($C677,REV!$C:$AA,8,0)-'TRADE IN'!$F677=0,"",(VLOOKUP($C677,REV!$C:$AA,8,0)-'TRADE IN'!$F677))</f>
        <v>2799</v>
      </c>
      <c r="K677" s="46">
        <f>IF(VLOOKUP($C677,REV!$C:$AA,9,0)-'TRADE IN'!$F677=0,"",(VLOOKUP($C677,REV!$C:$AA,9,0)-'TRADE IN'!$F677))</f>
        <v>2799</v>
      </c>
      <c r="L677" s="46">
        <f>IF(VLOOKUP($C677,REV!$C:$AA,10,0)-'TRADE IN'!$F686=0,"",(VLOOKUP($C677,REV!$C:$AA,10,0)-'TRADE IN'!$F677))</f>
        <v>2799</v>
      </c>
      <c r="M677" s="46">
        <f>IF(VLOOKUP($C677,REV!$C:$AA,11,0)-'TRADE IN'!$F686=0,"",(VLOOKUP($C677,REV!$C:$AA,11,0)-'TRADE IN'!$F677))</f>
        <v>2799</v>
      </c>
      <c r="N677" s="46">
        <f>IF(VLOOKUP($C677,REV!$C:$AA,12,0)-'TRADE IN'!$F686=0,"",(VLOOKUP($C677,REV!$C:$AA,12,0)-'TRADE IN'!$F677))</f>
        <v>2799</v>
      </c>
      <c r="O677" s="46">
        <f>IF(VLOOKUP($C677,REV!$C:$AA,13,0)-'TRADE IN'!$F686=0,"",(VLOOKUP($C677,REV!$C:$AA,13,0)-'TRADE IN'!$F677))</f>
        <v>2699</v>
      </c>
      <c r="P677" s="46">
        <f>IF(VLOOKUP($C677,REV!$C:$AA,14,0)-'TRADE IN'!$F686=0,"",(VLOOKUP($C677,REV!$C:$AA,14,0)-'TRADE IN'!$F677))</f>
        <v>2599</v>
      </c>
      <c r="Q677" s="46">
        <f>IF(VLOOKUP($C677,REV!$C:$AA,15,0)-'TRADE IN'!$F686=0,"",(VLOOKUP($C677,REV!$C:$AA,15,0)-'TRADE IN'!$F677))</f>
        <v>1299</v>
      </c>
      <c r="R677" s="46">
        <f>IF(VLOOKUP($C677,REV!$C:$AA,16,0)-'TRADE IN'!$F686=0,"",(VLOOKUP($C677,REV!$C:$AA,16,0)-'TRADE IN'!$F677))</f>
        <v>2699</v>
      </c>
      <c r="S677" s="46">
        <f>IF(VLOOKUP($C677,REV!$C:$AA,17,0)-'TRADE IN'!$F686=0,"",(VLOOKUP($C677,REV!$C:$AA,17,0)-'TRADE IN'!$F677))</f>
        <v>2599</v>
      </c>
      <c r="T677" s="46">
        <f>IF(VLOOKUP($C677,REV!$C:$AA,18,0)-'TRADE IN'!$F686=0,"",(VLOOKUP($C677,REV!$C:$AA,18,0)-'TRADE IN'!$F677))</f>
        <v>1299</v>
      </c>
      <c r="U677" s="46">
        <f>IF(VLOOKUP($C677,REV!$C:$AA,19,0)-'TRADE IN'!$F686=0,"",(VLOOKUP($C677,REV!$C:$AA,19,0)-'TRADE IN'!$F677))</f>
        <v>1299</v>
      </c>
      <c r="V677" s="46">
        <f>IF(VLOOKUP($C677,REV!$C:$AA,20,0)-'TRADE IN'!$F686=0,"",(VLOOKUP($C677,REV!$C:$AA,20,0)-'TRADE IN'!$F677))</f>
        <v>1299</v>
      </c>
      <c r="W677" s="46">
        <f>IF(VLOOKUP($C677,REV!$C:$AA,21,0)-'TRADE IN'!$F686=0,"",(VLOOKUP($C677,REV!$C:$AA,21,0)-'TRADE IN'!$F677))</f>
        <v>1299</v>
      </c>
      <c r="X677" s="46">
        <f>IF(VLOOKUP($C677,REV!$C:$AA,22,0)-'TRADE IN'!$F686=0,"",(VLOOKUP($C677,REV!$C:$AA,22,0)-'TRADE IN'!$F677))</f>
        <v>1199</v>
      </c>
      <c r="Y677" s="46">
        <f>IF(VLOOKUP($C677,REV!$C:$AA,23,0)-'TRADE IN'!$F686=0,"",(VLOOKUP($C677,REV!$C:$AA,23,0)-'TRADE IN'!$F677))</f>
        <v>999</v>
      </c>
      <c r="Z677" s="46">
        <f>IF(VLOOKUP($C677,REV!$C:$AA,24,0)-'TRADE IN'!$F686=0,"",(VLOOKUP($C677,REV!$C:$AA,24,0)-'TRADE IN'!$F677))</f>
        <v>999</v>
      </c>
      <c r="AA677" s="46">
        <f>IF(VLOOKUP($C677,REV!$C:$AA,25,0)-'TRADE IN'!$F686=0,"",(VLOOKUP($C677,REV!$C:$AA,25,0)-'TRADE IN'!$F677))</f>
        <v>999</v>
      </c>
      <c r="AB677" s="46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7"/>
      <c r="AW677" s="48" t="str">
        <f>IF(REV!AW677=0,"",REV!AW677)</f>
        <v>31.03.2026</v>
      </c>
      <c r="AX677" s="159" t="s">
        <v>82</v>
      </c>
    </row>
    <row r="678" spans="1:50" ht="22.5" customHeight="1">
      <c r="A678" s="52" t="s">
        <v>70</v>
      </c>
      <c r="B678" s="41" t="s">
        <v>62</v>
      </c>
      <c r="C678" s="42">
        <v>4016020</v>
      </c>
      <c r="D678" s="44" t="s">
        <v>909</v>
      </c>
      <c r="E678" s="44" t="s">
        <v>912</v>
      </c>
      <c r="F678" s="45">
        <v>500</v>
      </c>
      <c r="G678" s="45"/>
      <c r="H678" s="45"/>
      <c r="I678" s="45"/>
      <c r="J678" s="46">
        <f>IF(VLOOKUP($C678,REV!$C:$AA,8,0)-'TRADE IN'!$F678=0,"",(VLOOKUP($C678,REV!$C:$AA,8,0)-'TRADE IN'!$F678))</f>
        <v>2799</v>
      </c>
      <c r="K678" s="46">
        <f>IF(VLOOKUP($C678,REV!$C:$AA,9,0)-'TRADE IN'!$F678=0,"",(VLOOKUP($C678,REV!$C:$AA,9,0)-'TRADE IN'!$F678))</f>
        <v>2799</v>
      </c>
      <c r="L678" s="46">
        <f>IF(VLOOKUP($C678,REV!$C:$AA,10,0)-'TRADE IN'!$F687=0,"",(VLOOKUP($C678,REV!$C:$AA,10,0)-'TRADE IN'!$F678))</f>
        <v>2799</v>
      </c>
      <c r="M678" s="46">
        <f>IF(VLOOKUP($C678,REV!$C:$AA,11,0)-'TRADE IN'!$F687=0,"",(VLOOKUP($C678,REV!$C:$AA,11,0)-'TRADE IN'!$F678))</f>
        <v>2799</v>
      </c>
      <c r="N678" s="46">
        <f>IF(VLOOKUP($C678,REV!$C:$AA,12,0)-'TRADE IN'!$F687=0,"",(VLOOKUP($C678,REV!$C:$AA,12,0)-'TRADE IN'!$F678))</f>
        <v>2799</v>
      </c>
      <c r="O678" s="46">
        <f>IF(VLOOKUP($C678,REV!$C:$AA,13,0)-'TRADE IN'!$F687=0,"",(VLOOKUP($C678,REV!$C:$AA,13,0)-'TRADE IN'!$F678))</f>
        <v>2699</v>
      </c>
      <c r="P678" s="46">
        <f>IF(VLOOKUP($C678,REV!$C:$AA,14,0)-'TRADE IN'!$F687=0,"",(VLOOKUP($C678,REV!$C:$AA,14,0)-'TRADE IN'!$F678))</f>
        <v>2599</v>
      </c>
      <c r="Q678" s="46">
        <f>IF(VLOOKUP($C678,REV!$C:$AA,15,0)-'TRADE IN'!$F687=0,"",(VLOOKUP($C678,REV!$C:$AA,15,0)-'TRADE IN'!$F678))</f>
        <v>1299</v>
      </c>
      <c r="R678" s="46">
        <f>IF(VLOOKUP($C678,REV!$C:$AA,16,0)-'TRADE IN'!$F687=0,"",(VLOOKUP($C678,REV!$C:$AA,16,0)-'TRADE IN'!$F678))</f>
        <v>2699</v>
      </c>
      <c r="S678" s="46">
        <f>IF(VLOOKUP($C678,REV!$C:$AA,17,0)-'TRADE IN'!$F687=0,"",(VLOOKUP($C678,REV!$C:$AA,17,0)-'TRADE IN'!$F678))</f>
        <v>2599</v>
      </c>
      <c r="T678" s="46">
        <f>IF(VLOOKUP($C678,REV!$C:$AA,18,0)-'TRADE IN'!$F687=0,"",(VLOOKUP($C678,REV!$C:$AA,18,0)-'TRADE IN'!$F678))</f>
        <v>1299</v>
      </c>
      <c r="U678" s="46">
        <f>IF(VLOOKUP($C678,REV!$C:$AA,19,0)-'TRADE IN'!$F687=0,"",(VLOOKUP($C678,REV!$C:$AA,19,0)-'TRADE IN'!$F678))</f>
        <v>1299</v>
      </c>
      <c r="V678" s="46">
        <f>IF(VLOOKUP($C678,REV!$C:$AA,20,0)-'TRADE IN'!$F687=0,"",(VLOOKUP($C678,REV!$C:$AA,20,0)-'TRADE IN'!$F678))</f>
        <v>1299</v>
      </c>
      <c r="W678" s="46">
        <f>IF(VLOOKUP($C678,REV!$C:$AA,21,0)-'TRADE IN'!$F687=0,"",(VLOOKUP($C678,REV!$C:$AA,21,0)-'TRADE IN'!$F678))</f>
        <v>1299</v>
      </c>
      <c r="X678" s="46">
        <f>IF(VLOOKUP($C678,REV!$C:$AA,22,0)-'TRADE IN'!$F687=0,"",(VLOOKUP($C678,REV!$C:$AA,22,0)-'TRADE IN'!$F678))</f>
        <v>1199</v>
      </c>
      <c r="Y678" s="46">
        <f>IF(VLOOKUP($C678,REV!$C:$AA,23,0)-'TRADE IN'!$F687=0,"",(VLOOKUP($C678,REV!$C:$AA,23,0)-'TRADE IN'!$F678))</f>
        <v>999</v>
      </c>
      <c r="Z678" s="46">
        <f>IF(VLOOKUP($C678,REV!$C:$AA,24,0)-'TRADE IN'!$F687=0,"",(VLOOKUP($C678,REV!$C:$AA,24,0)-'TRADE IN'!$F678))</f>
        <v>999</v>
      </c>
      <c r="AA678" s="46">
        <f>IF(VLOOKUP($C678,REV!$C:$AA,25,0)-'TRADE IN'!$F687=0,"",(VLOOKUP($C678,REV!$C:$AA,25,0)-'TRADE IN'!$F678))</f>
        <v>999</v>
      </c>
      <c r="AB678" s="46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7"/>
      <c r="AW678" s="48" t="str">
        <f>IF(REV!AW678=0,"",REV!AW678)</f>
        <v>31.03.2026</v>
      </c>
      <c r="AX678" s="159" t="s">
        <v>82</v>
      </c>
    </row>
    <row r="679" spans="1:50" ht="22.5" customHeight="1">
      <c r="A679" s="52" t="s">
        <v>70</v>
      </c>
      <c r="B679" s="41" t="s">
        <v>62</v>
      </c>
      <c r="C679" s="42">
        <v>4016048</v>
      </c>
      <c r="D679" s="44" t="s">
        <v>909</v>
      </c>
      <c r="E679" s="44" t="s">
        <v>913</v>
      </c>
      <c r="F679" s="45">
        <v>500</v>
      </c>
      <c r="G679" s="45"/>
      <c r="H679" s="45"/>
      <c r="I679" s="45"/>
      <c r="J679" s="46">
        <f>IF(VLOOKUP($C679,REV!$C:$AA,8,0)-'TRADE IN'!$F679=0,"",(VLOOKUP($C679,REV!$C:$AA,8,0)-'TRADE IN'!$F679))</f>
        <v>2799</v>
      </c>
      <c r="K679" s="46">
        <f>IF(VLOOKUP($C679,REV!$C:$AA,9,0)-'TRADE IN'!$F679=0,"",(VLOOKUP($C679,REV!$C:$AA,9,0)-'TRADE IN'!$F679))</f>
        <v>2799</v>
      </c>
      <c r="L679" s="46">
        <f>IF(VLOOKUP($C679,REV!$C:$AA,10,0)-'TRADE IN'!$F688=0,"",(VLOOKUP($C679,REV!$C:$AA,10,0)-'TRADE IN'!$F679))</f>
        <v>2799</v>
      </c>
      <c r="M679" s="46">
        <f>IF(VLOOKUP($C679,REV!$C:$AA,11,0)-'TRADE IN'!$F688=0,"",(VLOOKUP($C679,REV!$C:$AA,11,0)-'TRADE IN'!$F679))</f>
        <v>2799</v>
      </c>
      <c r="N679" s="46">
        <f>IF(VLOOKUP($C679,REV!$C:$AA,12,0)-'TRADE IN'!$F688=0,"",(VLOOKUP($C679,REV!$C:$AA,12,0)-'TRADE IN'!$F679))</f>
        <v>2799</v>
      </c>
      <c r="O679" s="46">
        <f>IF(VLOOKUP($C679,REV!$C:$AA,13,0)-'TRADE IN'!$F688=0,"",(VLOOKUP($C679,REV!$C:$AA,13,0)-'TRADE IN'!$F679))</f>
        <v>2699</v>
      </c>
      <c r="P679" s="46">
        <f>IF(VLOOKUP($C679,REV!$C:$AA,14,0)-'TRADE IN'!$F688=0,"",(VLOOKUP($C679,REV!$C:$AA,14,0)-'TRADE IN'!$F679))</f>
        <v>2599</v>
      </c>
      <c r="Q679" s="46">
        <f>IF(VLOOKUP($C679,REV!$C:$AA,15,0)-'TRADE IN'!$F688=0,"",(VLOOKUP($C679,REV!$C:$AA,15,0)-'TRADE IN'!$F679))</f>
        <v>1299</v>
      </c>
      <c r="R679" s="46">
        <f>IF(VLOOKUP($C679,REV!$C:$AA,16,0)-'TRADE IN'!$F688=0,"",(VLOOKUP($C679,REV!$C:$AA,16,0)-'TRADE IN'!$F679))</f>
        <v>2699</v>
      </c>
      <c r="S679" s="46">
        <f>IF(VLOOKUP($C679,REV!$C:$AA,17,0)-'TRADE IN'!$F688=0,"",(VLOOKUP($C679,REV!$C:$AA,17,0)-'TRADE IN'!$F679))</f>
        <v>2599</v>
      </c>
      <c r="T679" s="46">
        <f>IF(VLOOKUP($C679,REV!$C:$AA,18,0)-'TRADE IN'!$F688=0,"",(VLOOKUP($C679,REV!$C:$AA,18,0)-'TRADE IN'!$F679))</f>
        <v>1299</v>
      </c>
      <c r="U679" s="46">
        <f>IF(VLOOKUP($C679,REV!$C:$AA,19,0)-'TRADE IN'!$F688=0,"",(VLOOKUP($C679,REV!$C:$AA,19,0)-'TRADE IN'!$F679))</f>
        <v>1299</v>
      </c>
      <c r="V679" s="46">
        <f>IF(VLOOKUP($C679,REV!$C:$AA,20,0)-'TRADE IN'!$F688=0,"",(VLOOKUP($C679,REV!$C:$AA,20,0)-'TRADE IN'!$F679))</f>
        <v>1299</v>
      </c>
      <c r="W679" s="46">
        <f>IF(VLOOKUP($C679,REV!$C:$AA,21,0)-'TRADE IN'!$F688=0,"",(VLOOKUP($C679,REV!$C:$AA,21,0)-'TRADE IN'!$F679))</f>
        <v>1299</v>
      </c>
      <c r="X679" s="46">
        <f>IF(VLOOKUP($C679,REV!$C:$AA,22,0)-'TRADE IN'!$F688=0,"",(VLOOKUP($C679,REV!$C:$AA,22,0)-'TRADE IN'!$F679))</f>
        <v>1199</v>
      </c>
      <c r="Y679" s="46">
        <f>IF(VLOOKUP($C679,REV!$C:$AA,23,0)-'TRADE IN'!$F688=0,"",(VLOOKUP($C679,REV!$C:$AA,23,0)-'TRADE IN'!$F679))</f>
        <v>999</v>
      </c>
      <c r="Z679" s="46">
        <f>IF(VLOOKUP($C679,REV!$C:$AA,24,0)-'TRADE IN'!$F688=0,"",(VLOOKUP($C679,REV!$C:$AA,24,0)-'TRADE IN'!$F679))</f>
        <v>999</v>
      </c>
      <c r="AA679" s="46">
        <f>IF(VLOOKUP($C679,REV!$C:$AA,25,0)-'TRADE IN'!$F688=0,"",(VLOOKUP($C679,REV!$C:$AA,25,0)-'TRADE IN'!$F679))</f>
        <v>999</v>
      </c>
      <c r="AB679" s="46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7"/>
      <c r="AW679" s="48" t="str">
        <f>IF(REV!AW679=0,"",REV!AW679)</f>
        <v>31.03.2026</v>
      </c>
      <c r="AX679" s="159" t="s">
        <v>82</v>
      </c>
    </row>
    <row r="680" spans="1:50" ht="22.5" customHeight="1">
      <c r="A680" s="52" t="s">
        <v>70</v>
      </c>
      <c r="B680" s="41" t="s">
        <v>62</v>
      </c>
      <c r="C680" s="42">
        <v>4016042</v>
      </c>
      <c r="D680" s="44" t="s">
        <v>909</v>
      </c>
      <c r="E680" s="44" t="s">
        <v>914</v>
      </c>
      <c r="F680" s="45">
        <v>500</v>
      </c>
      <c r="G680" s="45"/>
      <c r="H680" s="45"/>
      <c r="I680" s="45"/>
      <c r="J680" s="46">
        <f>IF(VLOOKUP($C680,REV!$C:$AA,8,0)-'TRADE IN'!$F680=0,"",(VLOOKUP($C680,REV!$C:$AA,8,0)-'TRADE IN'!$F680))</f>
        <v>2799</v>
      </c>
      <c r="K680" s="46">
        <f>IF(VLOOKUP($C680,REV!$C:$AA,9,0)-'TRADE IN'!$F680=0,"",(VLOOKUP($C680,REV!$C:$AA,9,0)-'TRADE IN'!$F680))</f>
        <v>2799</v>
      </c>
      <c r="L680" s="46">
        <f>IF(VLOOKUP($C680,REV!$C:$AA,10,0)-'TRADE IN'!$F689=0,"",(VLOOKUP($C680,REV!$C:$AA,10,0)-'TRADE IN'!$F680))</f>
        <v>2799</v>
      </c>
      <c r="M680" s="46">
        <f>IF(VLOOKUP($C680,REV!$C:$AA,11,0)-'TRADE IN'!$F689=0,"",(VLOOKUP($C680,REV!$C:$AA,11,0)-'TRADE IN'!$F680))</f>
        <v>2799</v>
      </c>
      <c r="N680" s="46">
        <f>IF(VLOOKUP($C680,REV!$C:$AA,12,0)-'TRADE IN'!$F689=0,"",(VLOOKUP($C680,REV!$C:$AA,12,0)-'TRADE IN'!$F680))</f>
        <v>2799</v>
      </c>
      <c r="O680" s="46">
        <f>IF(VLOOKUP($C680,REV!$C:$AA,13,0)-'TRADE IN'!$F689=0,"",(VLOOKUP($C680,REV!$C:$AA,13,0)-'TRADE IN'!$F680))</f>
        <v>2699</v>
      </c>
      <c r="P680" s="46">
        <f>IF(VLOOKUP($C680,REV!$C:$AA,14,0)-'TRADE IN'!$F689=0,"",(VLOOKUP($C680,REV!$C:$AA,14,0)-'TRADE IN'!$F680))</f>
        <v>2599</v>
      </c>
      <c r="Q680" s="46">
        <f>IF(VLOOKUP($C680,REV!$C:$AA,15,0)-'TRADE IN'!$F689=0,"",(VLOOKUP($C680,REV!$C:$AA,15,0)-'TRADE IN'!$F680))</f>
        <v>1299</v>
      </c>
      <c r="R680" s="46">
        <f>IF(VLOOKUP($C680,REV!$C:$AA,16,0)-'TRADE IN'!$F689=0,"",(VLOOKUP($C680,REV!$C:$AA,16,0)-'TRADE IN'!$F680))</f>
        <v>2699</v>
      </c>
      <c r="S680" s="46">
        <f>IF(VLOOKUP($C680,REV!$C:$AA,17,0)-'TRADE IN'!$F689=0,"",(VLOOKUP($C680,REV!$C:$AA,17,0)-'TRADE IN'!$F680))</f>
        <v>2599</v>
      </c>
      <c r="T680" s="46">
        <f>IF(VLOOKUP($C680,REV!$C:$AA,18,0)-'TRADE IN'!$F689=0,"",(VLOOKUP($C680,REV!$C:$AA,18,0)-'TRADE IN'!$F680))</f>
        <v>1299</v>
      </c>
      <c r="U680" s="46">
        <f>IF(VLOOKUP($C680,REV!$C:$AA,19,0)-'TRADE IN'!$F689=0,"",(VLOOKUP($C680,REV!$C:$AA,19,0)-'TRADE IN'!$F680))</f>
        <v>1299</v>
      </c>
      <c r="V680" s="46">
        <f>IF(VLOOKUP($C680,REV!$C:$AA,20,0)-'TRADE IN'!$F689=0,"",(VLOOKUP($C680,REV!$C:$AA,20,0)-'TRADE IN'!$F680))</f>
        <v>1299</v>
      </c>
      <c r="W680" s="46">
        <f>IF(VLOOKUP($C680,REV!$C:$AA,21,0)-'TRADE IN'!$F689=0,"",(VLOOKUP($C680,REV!$C:$AA,21,0)-'TRADE IN'!$F680))</f>
        <v>1299</v>
      </c>
      <c r="X680" s="46">
        <f>IF(VLOOKUP($C680,REV!$C:$AA,22,0)-'TRADE IN'!$F689=0,"",(VLOOKUP($C680,REV!$C:$AA,22,0)-'TRADE IN'!$F680))</f>
        <v>1199</v>
      </c>
      <c r="Y680" s="46">
        <f>IF(VLOOKUP($C680,REV!$C:$AA,23,0)-'TRADE IN'!$F689=0,"",(VLOOKUP($C680,REV!$C:$AA,23,0)-'TRADE IN'!$F680))</f>
        <v>999</v>
      </c>
      <c r="Z680" s="46">
        <f>IF(VLOOKUP($C680,REV!$C:$AA,24,0)-'TRADE IN'!$F689=0,"",(VLOOKUP($C680,REV!$C:$AA,24,0)-'TRADE IN'!$F680))</f>
        <v>999</v>
      </c>
      <c r="AA680" s="46">
        <f>IF(VLOOKUP($C680,REV!$C:$AA,25,0)-'TRADE IN'!$F689=0,"",(VLOOKUP($C680,REV!$C:$AA,25,0)-'TRADE IN'!$F680))</f>
        <v>999</v>
      </c>
      <c r="AB680" s="46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7"/>
      <c r="AW680" s="48" t="str">
        <f>IF(REV!AW680=0,"",REV!AW680)</f>
        <v>31.03.2026</v>
      </c>
      <c r="AX680" s="159" t="s">
        <v>82</v>
      </c>
    </row>
    <row r="681" spans="1:50" ht="22.5" customHeight="1">
      <c r="A681" s="52" t="s">
        <v>70</v>
      </c>
      <c r="B681" s="41" t="s">
        <v>62</v>
      </c>
      <c r="C681" s="42">
        <v>4016076</v>
      </c>
      <c r="D681" s="44" t="s">
        <v>909</v>
      </c>
      <c r="E681" s="44" t="s">
        <v>915</v>
      </c>
      <c r="F681" s="45">
        <v>500</v>
      </c>
      <c r="G681" s="45"/>
      <c r="H681" s="45"/>
      <c r="I681" s="45"/>
      <c r="J681" s="46">
        <f>IF(VLOOKUP($C681,REV!$C:$AA,8,0)-'TRADE IN'!$F681=0,"",(VLOOKUP($C681,REV!$C:$AA,8,0)-'TRADE IN'!$F681))</f>
        <v>2799</v>
      </c>
      <c r="K681" s="46">
        <f>IF(VLOOKUP($C681,REV!$C:$AA,9,0)-'TRADE IN'!$F681=0,"",(VLOOKUP($C681,REV!$C:$AA,9,0)-'TRADE IN'!$F681))</f>
        <v>2799</v>
      </c>
      <c r="L681" s="46">
        <f>IF(VLOOKUP($C681,REV!$C:$AA,10,0)-'TRADE IN'!$F690=0,"",(VLOOKUP($C681,REV!$C:$AA,10,0)-'TRADE IN'!$F681))</f>
        <v>2799</v>
      </c>
      <c r="M681" s="46">
        <f>IF(VLOOKUP($C681,REV!$C:$AA,11,0)-'TRADE IN'!$F690=0,"",(VLOOKUP($C681,REV!$C:$AA,11,0)-'TRADE IN'!$F681))</f>
        <v>2799</v>
      </c>
      <c r="N681" s="46">
        <f>IF(VLOOKUP($C681,REV!$C:$AA,12,0)-'TRADE IN'!$F690=0,"",(VLOOKUP($C681,REV!$C:$AA,12,0)-'TRADE IN'!$F681))</f>
        <v>2799</v>
      </c>
      <c r="O681" s="46">
        <f>IF(VLOOKUP($C681,REV!$C:$AA,13,0)-'TRADE IN'!$F690=0,"",(VLOOKUP($C681,REV!$C:$AA,13,0)-'TRADE IN'!$F681))</f>
        <v>2699</v>
      </c>
      <c r="P681" s="46">
        <f>IF(VLOOKUP($C681,REV!$C:$AA,14,0)-'TRADE IN'!$F690=0,"",(VLOOKUP($C681,REV!$C:$AA,14,0)-'TRADE IN'!$F681))</f>
        <v>2599</v>
      </c>
      <c r="Q681" s="46">
        <f>IF(VLOOKUP($C681,REV!$C:$AA,15,0)-'TRADE IN'!$F690=0,"",(VLOOKUP($C681,REV!$C:$AA,15,0)-'TRADE IN'!$F681))</f>
        <v>1299</v>
      </c>
      <c r="R681" s="46">
        <f>IF(VLOOKUP($C681,REV!$C:$AA,16,0)-'TRADE IN'!$F690=0,"",(VLOOKUP($C681,REV!$C:$AA,16,0)-'TRADE IN'!$F681))</f>
        <v>2699</v>
      </c>
      <c r="S681" s="46">
        <f>IF(VLOOKUP($C681,REV!$C:$AA,17,0)-'TRADE IN'!$F690=0,"",(VLOOKUP($C681,REV!$C:$AA,17,0)-'TRADE IN'!$F681))</f>
        <v>2599</v>
      </c>
      <c r="T681" s="46">
        <f>IF(VLOOKUP($C681,REV!$C:$AA,18,0)-'TRADE IN'!$F690=0,"",(VLOOKUP($C681,REV!$C:$AA,18,0)-'TRADE IN'!$F681))</f>
        <v>1299</v>
      </c>
      <c r="U681" s="46">
        <f>IF(VLOOKUP($C681,REV!$C:$AA,19,0)-'TRADE IN'!$F690=0,"",(VLOOKUP($C681,REV!$C:$AA,19,0)-'TRADE IN'!$F681))</f>
        <v>1299</v>
      </c>
      <c r="V681" s="46">
        <f>IF(VLOOKUP($C681,REV!$C:$AA,20,0)-'TRADE IN'!$F690=0,"",(VLOOKUP($C681,REV!$C:$AA,20,0)-'TRADE IN'!$F681))</f>
        <v>1299</v>
      </c>
      <c r="W681" s="46">
        <f>IF(VLOOKUP($C681,REV!$C:$AA,21,0)-'TRADE IN'!$F690=0,"",(VLOOKUP($C681,REV!$C:$AA,21,0)-'TRADE IN'!$F681))</f>
        <v>1299</v>
      </c>
      <c r="X681" s="46">
        <f>IF(VLOOKUP($C681,REV!$C:$AA,22,0)-'TRADE IN'!$F690=0,"",(VLOOKUP($C681,REV!$C:$AA,22,0)-'TRADE IN'!$F681))</f>
        <v>1199</v>
      </c>
      <c r="Y681" s="46">
        <f>IF(VLOOKUP($C681,REV!$C:$AA,23,0)-'TRADE IN'!$F690=0,"",(VLOOKUP($C681,REV!$C:$AA,23,0)-'TRADE IN'!$F681))</f>
        <v>999</v>
      </c>
      <c r="Z681" s="46">
        <f>IF(VLOOKUP($C681,REV!$C:$AA,24,0)-'TRADE IN'!$F690=0,"",(VLOOKUP($C681,REV!$C:$AA,24,0)-'TRADE IN'!$F681))</f>
        <v>999</v>
      </c>
      <c r="AA681" s="46">
        <f>IF(VLOOKUP($C681,REV!$C:$AA,25,0)-'TRADE IN'!$F690=0,"",(VLOOKUP($C681,REV!$C:$AA,25,0)-'TRADE IN'!$F681))</f>
        <v>999</v>
      </c>
      <c r="AB681" s="46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7"/>
      <c r="AW681" s="48" t="str">
        <f>IF(REV!AW681=0,"",REV!AW681)</f>
        <v>31.03.2026</v>
      </c>
      <c r="AX681" s="159" t="s">
        <v>82</v>
      </c>
    </row>
    <row r="682" spans="1:50" ht="22.5" customHeight="1">
      <c r="A682" s="52" t="s">
        <v>70</v>
      </c>
      <c r="B682" s="41" t="s">
        <v>62</v>
      </c>
      <c r="C682" s="42">
        <v>4016027</v>
      </c>
      <c r="D682" s="44" t="s">
        <v>909</v>
      </c>
      <c r="E682" s="44" t="s">
        <v>916</v>
      </c>
      <c r="F682" s="45">
        <v>500</v>
      </c>
      <c r="G682" s="45"/>
      <c r="H682" s="45"/>
      <c r="I682" s="45"/>
      <c r="J682" s="46">
        <f>IF(VLOOKUP($C682,REV!$C:$AA,8,0)-'TRADE IN'!$F682=0,"",(VLOOKUP($C682,REV!$C:$AA,8,0)-'TRADE IN'!$F682))</f>
        <v>2799</v>
      </c>
      <c r="K682" s="46">
        <f>IF(VLOOKUP($C682,REV!$C:$AA,9,0)-'TRADE IN'!$F682=0,"",(VLOOKUP($C682,REV!$C:$AA,9,0)-'TRADE IN'!$F682))</f>
        <v>2799</v>
      </c>
      <c r="L682" s="46">
        <f>IF(VLOOKUP($C682,REV!$C:$AA,10,0)-'TRADE IN'!$F691=0,"",(VLOOKUP($C682,REV!$C:$AA,10,0)-'TRADE IN'!$F682))</f>
        <v>2799</v>
      </c>
      <c r="M682" s="46">
        <f>IF(VLOOKUP($C682,REV!$C:$AA,11,0)-'TRADE IN'!$F691=0,"",(VLOOKUP($C682,REV!$C:$AA,11,0)-'TRADE IN'!$F682))</f>
        <v>2799</v>
      </c>
      <c r="N682" s="46">
        <f>IF(VLOOKUP($C682,REV!$C:$AA,12,0)-'TRADE IN'!$F691=0,"",(VLOOKUP($C682,REV!$C:$AA,12,0)-'TRADE IN'!$F682))</f>
        <v>2799</v>
      </c>
      <c r="O682" s="46">
        <f>IF(VLOOKUP($C682,REV!$C:$AA,13,0)-'TRADE IN'!$F691=0,"",(VLOOKUP($C682,REV!$C:$AA,13,0)-'TRADE IN'!$F682))</f>
        <v>2699</v>
      </c>
      <c r="P682" s="46">
        <f>IF(VLOOKUP($C682,REV!$C:$AA,14,0)-'TRADE IN'!$F691=0,"",(VLOOKUP($C682,REV!$C:$AA,14,0)-'TRADE IN'!$F682))</f>
        <v>2599</v>
      </c>
      <c r="Q682" s="46">
        <f>IF(VLOOKUP($C682,REV!$C:$AA,15,0)-'TRADE IN'!$F691=0,"",(VLOOKUP($C682,REV!$C:$AA,15,0)-'TRADE IN'!$F682))</f>
        <v>1299</v>
      </c>
      <c r="R682" s="46">
        <f>IF(VLOOKUP($C682,REV!$C:$AA,16,0)-'TRADE IN'!$F691=0,"",(VLOOKUP($C682,REV!$C:$AA,16,0)-'TRADE IN'!$F682))</f>
        <v>2699</v>
      </c>
      <c r="S682" s="46">
        <f>IF(VLOOKUP($C682,REV!$C:$AA,17,0)-'TRADE IN'!$F691=0,"",(VLOOKUP($C682,REV!$C:$AA,17,0)-'TRADE IN'!$F682))</f>
        <v>2599</v>
      </c>
      <c r="T682" s="46">
        <f>IF(VLOOKUP($C682,REV!$C:$AA,18,0)-'TRADE IN'!$F691=0,"",(VLOOKUP($C682,REV!$C:$AA,18,0)-'TRADE IN'!$F682))</f>
        <v>1299</v>
      </c>
      <c r="U682" s="46">
        <f>IF(VLOOKUP($C682,REV!$C:$AA,19,0)-'TRADE IN'!$F691=0,"",(VLOOKUP($C682,REV!$C:$AA,19,0)-'TRADE IN'!$F682))</f>
        <v>1299</v>
      </c>
      <c r="V682" s="46">
        <f>IF(VLOOKUP($C682,REV!$C:$AA,20,0)-'TRADE IN'!$F691=0,"",(VLOOKUP($C682,REV!$C:$AA,20,0)-'TRADE IN'!$F682))</f>
        <v>1299</v>
      </c>
      <c r="W682" s="46">
        <f>IF(VLOOKUP($C682,REV!$C:$AA,21,0)-'TRADE IN'!$F691=0,"",(VLOOKUP($C682,REV!$C:$AA,21,0)-'TRADE IN'!$F682))</f>
        <v>1299</v>
      </c>
      <c r="X682" s="46">
        <f>IF(VLOOKUP($C682,REV!$C:$AA,22,0)-'TRADE IN'!$F691=0,"",(VLOOKUP($C682,REV!$C:$AA,22,0)-'TRADE IN'!$F682))</f>
        <v>1199</v>
      </c>
      <c r="Y682" s="46">
        <f>IF(VLOOKUP($C682,REV!$C:$AA,23,0)-'TRADE IN'!$F691=0,"",(VLOOKUP($C682,REV!$C:$AA,23,0)-'TRADE IN'!$F682))</f>
        <v>999</v>
      </c>
      <c r="Z682" s="46">
        <f>IF(VLOOKUP($C682,REV!$C:$AA,24,0)-'TRADE IN'!$F691=0,"",(VLOOKUP($C682,REV!$C:$AA,24,0)-'TRADE IN'!$F682))</f>
        <v>999</v>
      </c>
      <c r="AA682" s="46">
        <f>IF(VLOOKUP($C682,REV!$C:$AA,25,0)-'TRADE IN'!$F691=0,"",(VLOOKUP($C682,REV!$C:$AA,25,0)-'TRADE IN'!$F682))</f>
        <v>999</v>
      </c>
      <c r="AB682" s="46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7"/>
      <c r="AW682" s="48" t="str">
        <f>IF(REV!AW682=0,"",REV!AW682)</f>
        <v>31.03.2026</v>
      </c>
      <c r="AX682" s="159" t="s">
        <v>82</v>
      </c>
    </row>
    <row r="683" spans="1:50" ht="22.5" customHeight="1">
      <c r="A683" s="52" t="s">
        <v>70</v>
      </c>
      <c r="B683" s="41" t="s">
        <v>62</v>
      </c>
      <c r="C683" s="42">
        <v>4016057</v>
      </c>
      <c r="D683" s="44" t="s">
        <v>909</v>
      </c>
      <c r="E683" s="44" t="s">
        <v>917</v>
      </c>
      <c r="F683" s="45">
        <v>500</v>
      </c>
      <c r="G683" s="45"/>
      <c r="H683" s="45"/>
      <c r="I683" s="45"/>
      <c r="J683" s="46">
        <f>IF(VLOOKUP($C683,REV!$C:$AA,8,0)-'TRADE IN'!$F683=0,"",(VLOOKUP($C683,REV!$C:$AA,8,0)-'TRADE IN'!$F683))</f>
        <v>2799</v>
      </c>
      <c r="K683" s="46">
        <f>IF(VLOOKUP($C683,REV!$C:$AA,9,0)-'TRADE IN'!$F683=0,"",(VLOOKUP($C683,REV!$C:$AA,9,0)-'TRADE IN'!$F683))</f>
        <v>2799</v>
      </c>
      <c r="L683" s="46">
        <f>IF(VLOOKUP($C683,REV!$C:$AA,10,0)-'TRADE IN'!$F692=0,"",(VLOOKUP($C683,REV!$C:$AA,10,0)-'TRADE IN'!$F683))</f>
        <v>2799</v>
      </c>
      <c r="M683" s="46">
        <f>IF(VLOOKUP($C683,REV!$C:$AA,11,0)-'TRADE IN'!$F692=0,"",(VLOOKUP($C683,REV!$C:$AA,11,0)-'TRADE IN'!$F683))</f>
        <v>2799</v>
      </c>
      <c r="N683" s="46">
        <f>IF(VLOOKUP($C683,REV!$C:$AA,12,0)-'TRADE IN'!$F692=0,"",(VLOOKUP($C683,REV!$C:$AA,12,0)-'TRADE IN'!$F683))</f>
        <v>2799</v>
      </c>
      <c r="O683" s="46">
        <f>IF(VLOOKUP($C683,REV!$C:$AA,13,0)-'TRADE IN'!$F692=0,"",(VLOOKUP($C683,REV!$C:$AA,13,0)-'TRADE IN'!$F683))</f>
        <v>2699</v>
      </c>
      <c r="P683" s="46">
        <f>IF(VLOOKUP($C683,REV!$C:$AA,14,0)-'TRADE IN'!$F692=0,"",(VLOOKUP($C683,REV!$C:$AA,14,0)-'TRADE IN'!$F683))</f>
        <v>2599</v>
      </c>
      <c r="Q683" s="46">
        <f>IF(VLOOKUP($C683,REV!$C:$AA,15,0)-'TRADE IN'!$F692=0,"",(VLOOKUP($C683,REV!$C:$AA,15,0)-'TRADE IN'!$F683))</f>
        <v>1299</v>
      </c>
      <c r="R683" s="46">
        <f>IF(VLOOKUP($C683,REV!$C:$AA,16,0)-'TRADE IN'!$F692=0,"",(VLOOKUP($C683,REV!$C:$AA,16,0)-'TRADE IN'!$F683))</f>
        <v>2699</v>
      </c>
      <c r="S683" s="46">
        <f>IF(VLOOKUP($C683,REV!$C:$AA,17,0)-'TRADE IN'!$F692=0,"",(VLOOKUP($C683,REV!$C:$AA,17,0)-'TRADE IN'!$F683))</f>
        <v>2599</v>
      </c>
      <c r="T683" s="46">
        <f>IF(VLOOKUP($C683,REV!$C:$AA,18,0)-'TRADE IN'!$F692=0,"",(VLOOKUP($C683,REV!$C:$AA,18,0)-'TRADE IN'!$F683))</f>
        <v>1299</v>
      </c>
      <c r="U683" s="46">
        <f>IF(VLOOKUP($C683,REV!$C:$AA,19,0)-'TRADE IN'!$F692=0,"",(VLOOKUP($C683,REV!$C:$AA,19,0)-'TRADE IN'!$F683))</f>
        <v>1299</v>
      </c>
      <c r="V683" s="46">
        <f>IF(VLOOKUP($C683,REV!$C:$AA,20,0)-'TRADE IN'!$F692=0,"",(VLOOKUP($C683,REV!$C:$AA,20,0)-'TRADE IN'!$F683))</f>
        <v>1299</v>
      </c>
      <c r="W683" s="46">
        <f>IF(VLOOKUP($C683,REV!$C:$AA,21,0)-'TRADE IN'!$F692=0,"",(VLOOKUP($C683,REV!$C:$AA,21,0)-'TRADE IN'!$F683))</f>
        <v>1299</v>
      </c>
      <c r="X683" s="46">
        <f>IF(VLOOKUP($C683,REV!$C:$AA,22,0)-'TRADE IN'!$F692=0,"",(VLOOKUP($C683,REV!$C:$AA,22,0)-'TRADE IN'!$F683))</f>
        <v>1199</v>
      </c>
      <c r="Y683" s="46">
        <f>IF(VLOOKUP($C683,REV!$C:$AA,23,0)-'TRADE IN'!$F692=0,"",(VLOOKUP($C683,REV!$C:$AA,23,0)-'TRADE IN'!$F683))</f>
        <v>999</v>
      </c>
      <c r="Z683" s="46">
        <f>IF(VLOOKUP($C683,REV!$C:$AA,24,0)-'TRADE IN'!$F692=0,"",(VLOOKUP($C683,REV!$C:$AA,24,0)-'TRADE IN'!$F683))</f>
        <v>999</v>
      </c>
      <c r="AA683" s="46">
        <f>IF(VLOOKUP($C683,REV!$C:$AA,25,0)-'TRADE IN'!$F692=0,"",(VLOOKUP($C683,REV!$C:$AA,25,0)-'TRADE IN'!$F683))</f>
        <v>999</v>
      </c>
      <c r="AB683" s="46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7"/>
      <c r="AW683" s="48" t="str">
        <f>IF(REV!AW683=0,"",REV!AW683)</f>
        <v>31.03.2026</v>
      </c>
      <c r="AX683" s="159" t="s">
        <v>82</v>
      </c>
    </row>
    <row r="684" spans="1:50" ht="22.5" customHeight="1">
      <c r="A684" s="52" t="s">
        <v>70</v>
      </c>
      <c r="B684" s="41" t="s">
        <v>62</v>
      </c>
      <c r="C684" s="42">
        <v>4016040</v>
      </c>
      <c r="D684" s="44" t="s">
        <v>918</v>
      </c>
      <c r="E684" s="44" t="s">
        <v>919</v>
      </c>
      <c r="F684" s="45"/>
      <c r="G684" s="45"/>
      <c r="H684" s="45"/>
      <c r="I684" s="45"/>
      <c r="J684" s="46">
        <f>IF(VLOOKUP($C684,REV!$C:$AA,8,0)-'TRADE IN'!$F684=0,"",(VLOOKUP($C684,REV!$C:$AA,8,0)-'TRADE IN'!$F684))</f>
        <v>4299</v>
      </c>
      <c r="K684" s="46">
        <f>IF(VLOOKUP($C684,REV!$C:$AA,9,0)-'TRADE IN'!$F684=0,"",(VLOOKUP($C684,REV!$C:$AA,9,0)-'TRADE IN'!$F684))</f>
        <v>4299</v>
      </c>
      <c r="L684" s="46">
        <f>IF(VLOOKUP($C684,REV!$C:$AA,10,0)-'TRADE IN'!$F693=0,"",(VLOOKUP($C684,REV!$C:$AA,10,0)-'TRADE IN'!$F684))</f>
        <v>4299</v>
      </c>
      <c r="M684" s="46">
        <f>IF(VLOOKUP($C684,REV!$C:$AA,11,0)-'TRADE IN'!$F693=0,"",(VLOOKUP($C684,REV!$C:$AA,11,0)-'TRADE IN'!$F684))</f>
        <v>4299</v>
      </c>
      <c r="N684" s="46">
        <f>IF(VLOOKUP($C684,REV!$C:$AA,12,0)-'TRADE IN'!$F693=0,"",(VLOOKUP($C684,REV!$C:$AA,12,0)-'TRADE IN'!$F684))</f>
        <v>4299</v>
      </c>
      <c r="O684" s="46">
        <f>IF(VLOOKUP($C684,REV!$C:$AA,13,0)-'TRADE IN'!$F693=0,"",(VLOOKUP($C684,REV!$C:$AA,13,0)-'TRADE IN'!$F684))</f>
        <v>4199</v>
      </c>
      <c r="P684" s="46">
        <f>IF(VLOOKUP($C684,REV!$C:$AA,14,0)-'TRADE IN'!$F693=0,"",(VLOOKUP($C684,REV!$C:$AA,14,0)-'TRADE IN'!$F684))</f>
        <v>4099</v>
      </c>
      <c r="Q684" s="46">
        <f>IF(VLOOKUP($C684,REV!$C:$AA,15,0)-'TRADE IN'!$F693=0,"",(VLOOKUP($C684,REV!$C:$AA,15,0)-'TRADE IN'!$F684))</f>
        <v>2999</v>
      </c>
      <c r="R684" s="46">
        <f>IF(VLOOKUP($C684,REV!$C:$AA,16,0)-'TRADE IN'!$F693=0,"",(VLOOKUP($C684,REV!$C:$AA,16,0)-'TRADE IN'!$F684))</f>
        <v>4199</v>
      </c>
      <c r="S684" s="46">
        <f>IF(VLOOKUP($C684,REV!$C:$AA,17,0)-'TRADE IN'!$F693=0,"",(VLOOKUP($C684,REV!$C:$AA,17,0)-'TRADE IN'!$F684))</f>
        <v>4099</v>
      </c>
      <c r="T684" s="46">
        <f>IF(VLOOKUP($C684,REV!$C:$AA,18,0)-'TRADE IN'!$F693=0,"",(VLOOKUP($C684,REV!$C:$AA,18,0)-'TRADE IN'!$F684))</f>
        <v>2999</v>
      </c>
      <c r="U684" s="46">
        <f>IF(VLOOKUP($C684,REV!$C:$AA,19,0)-'TRADE IN'!$F693=0,"",(VLOOKUP($C684,REV!$C:$AA,19,0)-'TRADE IN'!$F684))</f>
        <v>2999</v>
      </c>
      <c r="V684" s="46">
        <f>IF(VLOOKUP($C684,REV!$C:$AA,20,0)-'TRADE IN'!$F693=0,"",(VLOOKUP($C684,REV!$C:$AA,20,0)-'TRADE IN'!$F684))</f>
        <v>2999</v>
      </c>
      <c r="W684" s="46">
        <f>IF(VLOOKUP($C684,REV!$C:$AA,21,0)-'TRADE IN'!$F693=0,"",(VLOOKUP($C684,REV!$C:$AA,21,0)-'TRADE IN'!$F684))</f>
        <v>2999</v>
      </c>
      <c r="X684" s="46">
        <f>IF(VLOOKUP($C684,REV!$C:$AA,22,0)-'TRADE IN'!$F693=0,"",(VLOOKUP($C684,REV!$C:$AA,22,0)-'TRADE IN'!$F684))</f>
        <v>2899</v>
      </c>
      <c r="Y684" s="46">
        <f>IF(VLOOKUP($C684,REV!$C:$AA,23,0)-'TRADE IN'!$F693=0,"",(VLOOKUP($C684,REV!$C:$AA,23,0)-'TRADE IN'!$F684))</f>
        <v>1999</v>
      </c>
      <c r="Z684" s="46">
        <f>IF(VLOOKUP($C684,REV!$C:$AA,24,0)-'TRADE IN'!$F693=0,"",(VLOOKUP($C684,REV!$C:$AA,24,0)-'TRADE IN'!$F684))</f>
        <v>1999</v>
      </c>
      <c r="AA684" s="46">
        <f>IF(VLOOKUP($C684,REV!$C:$AA,25,0)-'TRADE IN'!$F693=0,"",(VLOOKUP($C684,REV!$C:$AA,25,0)-'TRADE IN'!$F684))</f>
        <v>1999</v>
      </c>
      <c r="AB684" s="46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7"/>
      <c r="AW684" s="48" t="str">
        <f>IF(REV!AW684=0,"",REV!AW684)</f>
        <v>31.03.2026</v>
      </c>
      <c r="AX684" s="159" t="s">
        <v>82</v>
      </c>
    </row>
    <row r="685" spans="1:50" ht="22.5" customHeight="1">
      <c r="A685" s="52" t="s">
        <v>70</v>
      </c>
      <c r="B685" s="41" t="s">
        <v>62</v>
      </c>
      <c r="C685" s="42">
        <v>4015889</v>
      </c>
      <c r="D685" s="44" t="s">
        <v>918</v>
      </c>
      <c r="E685" s="44" t="s">
        <v>920</v>
      </c>
      <c r="F685" s="45"/>
      <c r="G685" s="45"/>
      <c r="H685" s="45"/>
      <c r="I685" s="45"/>
      <c r="J685" s="46">
        <f>IF(VLOOKUP($C685,REV!$C:$AA,8,0)-'TRADE IN'!$F685=0,"",(VLOOKUP($C685,REV!$C:$AA,8,0)-'TRADE IN'!$F685))</f>
        <v>4299</v>
      </c>
      <c r="K685" s="46">
        <f>IF(VLOOKUP($C685,REV!$C:$AA,9,0)-'TRADE IN'!$F685=0,"",(VLOOKUP($C685,REV!$C:$AA,9,0)-'TRADE IN'!$F685))</f>
        <v>4299</v>
      </c>
      <c r="L685" s="46">
        <f>IF(VLOOKUP($C685,REV!$C:$AA,10,0)-'TRADE IN'!$F694=0,"",(VLOOKUP($C685,REV!$C:$AA,10,0)-'TRADE IN'!$F685))</f>
        <v>4299</v>
      </c>
      <c r="M685" s="46">
        <f>IF(VLOOKUP($C685,REV!$C:$AA,11,0)-'TRADE IN'!$F694=0,"",(VLOOKUP($C685,REV!$C:$AA,11,0)-'TRADE IN'!$F685))</f>
        <v>4299</v>
      </c>
      <c r="N685" s="46">
        <f>IF(VLOOKUP($C685,REV!$C:$AA,12,0)-'TRADE IN'!$F694=0,"",(VLOOKUP($C685,REV!$C:$AA,12,0)-'TRADE IN'!$F685))</f>
        <v>4299</v>
      </c>
      <c r="O685" s="46">
        <f>IF(VLOOKUP($C685,REV!$C:$AA,13,0)-'TRADE IN'!$F694=0,"",(VLOOKUP($C685,REV!$C:$AA,13,0)-'TRADE IN'!$F685))</f>
        <v>4199</v>
      </c>
      <c r="P685" s="46">
        <f>IF(VLOOKUP($C685,REV!$C:$AA,14,0)-'TRADE IN'!$F694=0,"",(VLOOKUP($C685,REV!$C:$AA,14,0)-'TRADE IN'!$F685))</f>
        <v>4099</v>
      </c>
      <c r="Q685" s="46">
        <f>IF(VLOOKUP($C685,REV!$C:$AA,15,0)-'TRADE IN'!$F694=0,"",(VLOOKUP($C685,REV!$C:$AA,15,0)-'TRADE IN'!$F685))</f>
        <v>2999</v>
      </c>
      <c r="R685" s="46">
        <f>IF(VLOOKUP($C685,REV!$C:$AA,16,0)-'TRADE IN'!$F694=0,"",(VLOOKUP($C685,REV!$C:$AA,16,0)-'TRADE IN'!$F685))</f>
        <v>4199</v>
      </c>
      <c r="S685" s="46">
        <f>IF(VLOOKUP($C685,REV!$C:$AA,17,0)-'TRADE IN'!$F694=0,"",(VLOOKUP($C685,REV!$C:$AA,17,0)-'TRADE IN'!$F685))</f>
        <v>4099</v>
      </c>
      <c r="T685" s="46">
        <f>IF(VLOOKUP($C685,REV!$C:$AA,18,0)-'TRADE IN'!$F694=0,"",(VLOOKUP($C685,REV!$C:$AA,18,0)-'TRADE IN'!$F685))</f>
        <v>2999</v>
      </c>
      <c r="U685" s="46">
        <f>IF(VLOOKUP($C685,REV!$C:$AA,19,0)-'TRADE IN'!$F694=0,"",(VLOOKUP($C685,REV!$C:$AA,19,0)-'TRADE IN'!$F685))</f>
        <v>2999</v>
      </c>
      <c r="V685" s="46">
        <f>IF(VLOOKUP($C685,REV!$C:$AA,20,0)-'TRADE IN'!$F694=0,"",(VLOOKUP($C685,REV!$C:$AA,20,0)-'TRADE IN'!$F685))</f>
        <v>2999</v>
      </c>
      <c r="W685" s="46">
        <f>IF(VLOOKUP($C685,REV!$C:$AA,21,0)-'TRADE IN'!$F694=0,"",(VLOOKUP($C685,REV!$C:$AA,21,0)-'TRADE IN'!$F685))</f>
        <v>2999</v>
      </c>
      <c r="X685" s="46">
        <f>IF(VLOOKUP($C685,REV!$C:$AA,22,0)-'TRADE IN'!$F694=0,"",(VLOOKUP($C685,REV!$C:$AA,22,0)-'TRADE IN'!$F685))</f>
        <v>2899</v>
      </c>
      <c r="Y685" s="46">
        <f>IF(VLOOKUP($C685,REV!$C:$AA,23,0)-'TRADE IN'!$F694=0,"",(VLOOKUP($C685,REV!$C:$AA,23,0)-'TRADE IN'!$F685))</f>
        <v>1999</v>
      </c>
      <c r="Z685" s="46">
        <f>IF(VLOOKUP($C685,REV!$C:$AA,24,0)-'TRADE IN'!$F694=0,"",(VLOOKUP($C685,REV!$C:$AA,24,0)-'TRADE IN'!$F685))</f>
        <v>1999</v>
      </c>
      <c r="AA685" s="46">
        <f>IF(VLOOKUP($C685,REV!$C:$AA,25,0)-'TRADE IN'!$F694=0,"",(VLOOKUP($C685,REV!$C:$AA,25,0)-'TRADE IN'!$F685))</f>
        <v>1999</v>
      </c>
      <c r="AB685" s="46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7"/>
      <c r="AW685" s="48" t="str">
        <f>IF(REV!AW685=0,"",REV!AW685)</f>
        <v>31.03.2026</v>
      </c>
      <c r="AX685" s="159" t="s">
        <v>82</v>
      </c>
    </row>
    <row r="686" spans="1:50" ht="22.5" customHeight="1">
      <c r="A686" s="52" t="s">
        <v>70</v>
      </c>
      <c r="B686" s="41" t="s">
        <v>62</v>
      </c>
      <c r="C686" s="42">
        <v>4016049</v>
      </c>
      <c r="D686" s="44" t="s">
        <v>918</v>
      </c>
      <c r="E686" s="44" t="s">
        <v>921</v>
      </c>
      <c r="F686" s="45"/>
      <c r="G686" s="45"/>
      <c r="H686" s="45"/>
      <c r="I686" s="45"/>
      <c r="J686" s="46">
        <f>IF(VLOOKUP($C686,REV!$C:$AA,8,0)-'TRADE IN'!$F686=0,"",(VLOOKUP($C686,REV!$C:$AA,8,0)-'TRADE IN'!$F686))</f>
        <v>4299</v>
      </c>
      <c r="K686" s="46">
        <f>IF(VLOOKUP($C686,REV!$C:$AA,9,0)-'TRADE IN'!$F686=0,"",(VLOOKUP($C686,REV!$C:$AA,9,0)-'TRADE IN'!$F686))</f>
        <v>4299</v>
      </c>
      <c r="L686" s="46">
        <f>IF(VLOOKUP($C686,REV!$C:$AA,10,0)-'TRADE IN'!$F695=0,"",(VLOOKUP($C686,REV!$C:$AA,10,0)-'TRADE IN'!$F686))</f>
        <v>4299</v>
      </c>
      <c r="M686" s="46">
        <f>IF(VLOOKUP($C686,REV!$C:$AA,11,0)-'TRADE IN'!$F695=0,"",(VLOOKUP($C686,REV!$C:$AA,11,0)-'TRADE IN'!$F686))</f>
        <v>4299</v>
      </c>
      <c r="N686" s="46">
        <f>IF(VLOOKUP($C686,REV!$C:$AA,12,0)-'TRADE IN'!$F695=0,"",(VLOOKUP($C686,REV!$C:$AA,12,0)-'TRADE IN'!$F686))</f>
        <v>4299</v>
      </c>
      <c r="O686" s="46">
        <f>IF(VLOOKUP($C686,REV!$C:$AA,13,0)-'TRADE IN'!$F695=0,"",(VLOOKUP($C686,REV!$C:$AA,13,0)-'TRADE IN'!$F686))</f>
        <v>4199</v>
      </c>
      <c r="P686" s="46">
        <f>IF(VLOOKUP($C686,REV!$C:$AA,14,0)-'TRADE IN'!$F695=0,"",(VLOOKUP($C686,REV!$C:$AA,14,0)-'TRADE IN'!$F686))</f>
        <v>4099</v>
      </c>
      <c r="Q686" s="46">
        <f>IF(VLOOKUP($C686,REV!$C:$AA,15,0)-'TRADE IN'!$F695=0,"",(VLOOKUP($C686,REV!$C:$AA,15,0)-'TRADE IN'!$F686))</f>
        <v>2999</v>
      </c>
      <c r="R686" s="46">
        <f>IF(VLOOKUP($C686,REV!$C:$AA,16,0)-'TRADE IN'!$F695=0,"",(VLOOKUP($C686,REV!$C:$AA,16,0)-'TRADE IN'!$F686))</f>
        <v>4199</v>
      </c>
      <c r="S686" s="46">
        <f>IF(VLOOKUP($C686,REV!$C:$AA,17,0)-'TRADE IN'!$F695=0,"",(VLOOKUP($C686,REV!$C:$AA,17,0)-'TRADE IN'!$F686))</f>
        <v>4099</v>
      </c>
      <c r="T686" s="46">
        <f>IF(VLOOKUP($C686,REV!$C:$AA,18,0)-'TRADE IN'!$F695=0,"",(VLOOKUP($C686,REV!$C:$AA,18,0)-'TRADE IN'!$F686))</f>
        <v>2999</v>
      </c>
      <c r="U686" s="46">
        <f>IF(VLOOKUP($C686,REV!$C:$AA,19,0)-'TRADE IN'!$F695=0,"",(VLOOKUP($C686,REV!$C:$AA,19,0)-'TRADE IN'!$F686))</f>
        <v>2999</v>
      </c>
      <c r="V686" s="46">
        <f>IF(VLOOKUP($C686,REV!$C:$AA,20,0)-'TRADE IN'!$F695=0,"",(VLOOKUP($C686,REV!$C:$AA,20,0)-'TRADE IN'!$F686))</f>
        <v>2999</v>
      </c>
      <c r="W686" s="46">
        <f>IF(VLOOKUP($C686,REV!$C:$AA,21,0)-'TRADE IN'!$F695=0,"",(VLOOKUP($C686,REV!$C:$AA,21,0)-'TRADE IN'!$F686))</f>
        <v>2999</v>
      </c>
      <c r="X686" s="46">
        <f>IF(VLOOKUP($C686,REV!$C:$AA,22,0)-'TRADE IN'!$F695=0,"",(VLOOKUP($C686,REV!$C:$AA,22,0)-'TRADE IN'!$F686))</f>
        <v>2899</v>
      </c>
      <c r="Y686" s="46">
        <f>IF(VLOOKUP($C686,REV!$C:$AA,23,0)-'TRADE IN'!$F695=0,"",(VLOOKUP($C686,REV!$C:$AA,23,0)-'TRADE IN'!$F686))</f>
        <v>1999</v>
      </c>
      <c r="Z686" s="46">
        <f>IF(VLOOKUP($C686,REV!$C:$AA,24,0)-'TRADE IN'!$F695=0,"",(VLOOKUP($C686,REV!$C:$AA,24,0)-'TRADE IN'!$F686))</f>
        <v>1999</v>
      </c>
      <c r="AA686" s="46">
        <f>IF(VLOOKUP($C686,REV!$C:$AA,25,0)-'TRADE IN'!$F695=0,"",(VLOOKUP($C686,REV!$C:$AA,25,0)-'TRADE IN'!$F686))</f>
        <v>1999</v>
      </c>
      <c r="AB686" s="46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7"/>
      <c r="AW686" s="48" t="str">
        <f>IF(REV!AW686=0,"",REV!AW686)</f>
        <v>31.03.2026</v>
      </c>
      <c r="AX686" s="159" t="s">
        <v>82</v>
      </c>
    </row>
    <row r="687" spans="1:50" ht="22.5" customHeight="1">
      <c r="A687" s="52" t="s">
        <v>70</v>
      </c>
      <c r="B687" s="41" t="s">
        <v>62</v>
      </c>
      <c r="C687" s="42">
        <v>4016072</v>
      </c>
      <c r="D687" s="44" t="s">
        <v>918</v>
      </c>
      <c r="E687" s="44" t="s">
        <v>922</v>
      </c>
      <c r="F687" s="45"/>
      <c r="G687" s="45"/>
      <c r="H687" s="45"/>
      <c r="I687" s="45"/>
      <c r="J687" s="46">
        <f>IF(VLOOKUP($C687,REV!$C:$AA,8,0)-'TRADE IN'!$F687=0,"",(VLOOKUP($C687,REV!$C:$AA,8,0)-'TRADE IN'!$F687))</f>
        <v>4299</v>
      </c>
      <c r="K687" s="46">
        <f>IF(VLOOKUP($C687,REV!$C:$AA,9,0)-'TRADE IN'!$F687=0,"",(VLOOKUP($C687,REV!$C:$AA,9,0)-'TRADE IN'!$F687))</f>
        <v>4299</v>
      </c>
      <c r="L687" s="46">
        <f>IF(VLOOKUP($C687,REV!$C:$AA,10,0)-'TRADE IN'!$F696=0,"",(VLOOKUP($C687,REV!$C:$AA,10,0)-'TRADE IN'!$F687))</f>
        <v>4299</v>
      </c>
      <c r="M687" s="46">
        <f>IF(VLOOKUP($C687,REV!$C:$AA,11,0)-'TRADE IN'!$F696=0,"",(VLOOKUP($C687,REV!$C:$AA,11,0)-'TRADE IN'!$F687))</f>
        <v>4299</v>
      </c>
      <c r="N687" s="46">
        <f>IF(VLOOKUP($C687,REV!$C:$AA,12,0)-'TRADE IN'!$F696=0,"",(VLOOKUP($C687,REV!$C:$AA,12,0)-'TRADE IN'!$F687))</f>
        <v>4299</v>
      </c>
      <c r="O687" s="46">
        <f>IF(VLOOKUP($C687,REV!$C:$AA,13,0)-'TRADE IN'!$F696=0,"",(VLOOKUP($C687,REV!$C:$AA,13,0)-'TRADE IN'!$F687))</f>
        <v>4199</v>
      </c>
      <c r="P687" s="46">
        <f>IF(VLOOKUP($C687,REV!$C:$AA,14,0)-'TRADE IN'!$F696=0,"",(VLOOKUP($C687,REV!$C:$AA,14,0)-'TRADE IN'!$F687))</f>
        <v>4099</v>
      </c>
      <c r="Q687" s="46">
        <f>IF(VLOOKUP($C687,REV!$C:$AA,15,0)-'TRADE IN'!$F696=0,"",(VLOOKUP($C687,REV!$C:$AA,15,0)-'TRADE IN'!$F687))</f>
        <v>2999</v>
      </c>
      <c r="R687" s="46">
        <f>IF(VLOOKUP($C687,REV!$C:$AA,16,0)-'TRADE IN'!$F696=0,"",(VLOOKUP($C687,REV!$C:$AA,16,0)-'TRADE IN'!$F687))</f>
        <v>4199</v>
      </c>
      <c r="S687" s="46">
        <f>IF(VLOOKUP($C687,REV!$C:$AA,17,0)-'TRADE IN'!$F696=0,"",(VLOOKUP($C687,REV!$C:$AA,17,0)-'TRADE IN'!$F687))</f>
        <v>4099</v>
      </c>
      <c r="T687" s="46">
        <f>IF(VLOOKUP($C687,REV!$C:$AA,18,0)-'TRADE IN'!$F696=0,"",(VLOOKUP($C687,REV!$C:$AA,18,0)-'TRADE IN'!$F687))</f>
        <v>2999</v>
      </c>
      <c r="U687" s="46">
        <f>IF(VLOOKUP($C687,REV!$C:$AA,19,0)-'TRADE IN'!$F696=0,"",(VLOOKUP($C687,REV!$C:$AA,19,0)-'TRADE IN'!$F687))</f>
        <v>2999</v>
      </c>
      <c r="V687" s="46">
        <f>IF(VLOOKUP($C687,REV!$C:$AA,20,0)-'TRADE IN'!$F696=0,"",(VLOOKUP($C687,REV!$C:$AA,20,0)-'TRADE IN'!$F687))</f>
        <v>2999</v>
      </c>
      <c r="W687" s="46">
        <f>IF(VLOOKUP($C687,REV!$C:$AA,21,0)-'TRADE IN'!$F696=0,"",(VLOOKUP($C687,REV!$C:$AA,21,0)-'TRADE IN'!$F687))</f>
        <v>2999</v>
      </c>
      <c r="X687" s="46">
        <f>IF(VLOOKUP($C687,REV!$C:$AA,22,0)-'TRADE IN'!$F696=0,"",(VLOOKUP($C687,REV!$C:$AA,22,0)-'TRADE IN'!$F687))</f>
        <v>2899</v>
      </c>
      <c r="Y687" s="46">
        <f>IF(VLOOKUP($C687,REV!$C:$AA,23,0)-'TRADE IN'!$F696=0,"",(VLOOKUP($C687,REV!$C:$AA,23,0)-'TRADE IN'!$F687))</f>
        <v>1999</v>
      </c>
      <c r="Z687" s="46">
        <f>IF(VLOOKUP($C687,REV!$C:$AA,24,0)-'TRADE IN'!$F696=0,"",(VLOOKUP($C687,REV!$C:$AA,24,0)-'TRADE IN'!$F687))</f>
        <v>1999</v>
      </c>
      <c r="AA687" s="46">
        <f>IF(VLOOKUP($C687,REV!$C:$AA,25,0)-'TRADE IN'!$F696=0,"",(VLOOKUP($C687,REV!$C:$AA,25,0)-'TRADE IN'!$F687))</f>
        <v>1999</v>
      </c>
      <c r="AB687" s="46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7"/>
      <c r="AW687" s="48" t="str">
        <f>IF(REV!AW687=0,"",REV!AW687)</f>
        <v>31.03.2026</v>
      </c>
      <c r="AX687" s="159" t="s">
        <v>82</v>
      </c>
    </row>
    <row r="688" spans="1:50" ht="22.5" customHeight="1">
      <c r="A688" s="52" t="s">
        <v>70</v>
      </c>
      <c r="B688" s="41" t="s">
        <v>62</v>
      </c>
      <c r="C688" s="42">
        <v>4016064</v>
      </c>
      <c r="D688" s="44" t="s">
        <v>918</v>
      </c>
      <c r="E688" s="44" t="s">
        <v>923</v>
      </c>
      <c r="F688" s="45"/>
      <c r="G688" s="45"/>
      <c r="H688" s="45"/>
      <c r="I688" s="45"/>
      <c r="J688" s="46">
        <f>IF(VLOOKUP($C688,REV!$C:$AA,8,0)-'TRADE IN'!$F688=0,"",(VLOOKUP($C688,REV!$C:$AA,8,0)-'TRADE IN'!$F688))</f>
        <v>4299</v>
      </c>
      <c r="K688" s="46">
        <f>IF(VLOOKUP($C688,REV!$C:$AA,9,0)-'TRADE IN'!$F688=0,"",(VLOOKUP($C688,REV!$C:$AA,9,0)-'TRADE IN'!$F688))</f>
        <v>4299</v>
      </c>
      <c r="L688" s="46">
        <f>IF(VLOOKUP($C688,REV!$C:$AA,10,0)-'TRADE IN'!$F697=0,"",(VLOOKUP($C688,REV!$C:$AA,10,0)-'TRADE IN'!$F688))</f>
        <v>4299</v>
      </c>
      <c r="M688" s="46">
        <f>IF(VLOOKUP($C688,REV!$C:$AA,11,0)-'TRADE IN'!$F697=0,"",(VLOOKUP($C688,REV!$C:$AA,11,0)-'TRADE IN'!$F688))</f>
        <v>4299</v>
      </c>
      <c r="N688" s="46">
        <f>IF(VLOOKUP($C688,REV!$C:$AA,12,0)-'TRADE IN'!$F697=0,"",(VLOOKUP($C688,REV!$C:$AA,12,0)-'TRADE IN'!$F688))</f>
        <v>4299</v>
      </c>
      <c r="O688" s="46">
        <f>IF(VLOOKUP($C688,REV!$C:$AA,13,0)-'TRADE IN'!$F697=0,"",(VLOOKUP($C688,REV!$C:$AA,13,0)-'TRADE IN'!$F688))</f>
        <v>4199</v>
      </c>
      <c r="P688" s="46">
        <f>IF(VLOOKUP($C688,REV!$C:$AA,14,0)-'TRADE IN'!$F697=0,"",(VLOOKUP($C688,REV!$C:$AA,14,0)-'TRADE IN'!$F688))</f>
        <v>4099</v>
      </c>
      <c r="Q688" s="46">
        <f>IF(VLOOKUP($C688,REV!$C:$AA,15,0)-'TRADE IN'!$F697=0,"",(VLOOKUP($C688,REV!$C:$AA,15,0)-'TRADE IN'!$F688))</f>
        <v>2999</v>
      </c>
      <c r="R688" s="46">
        <f>IF(VLOOKUP($C688,REV!$C:$AA,16,0)-'TRADE IN'!$F697=0,"",(VLOOKUP($C688,REV!$C:$AA,16,0)-'TRADE IN'!$F688))</f>
        <v>4199</v>
      </c>
      <c r="S688" s="46">
        <f>IF(VLOOKUP($C688,REV!$C:$AA,17,0)-'TRADE IN'!$F697=0,"",(VLOOKUP($C688,REV!$C:$AA,17,0)-'TRADE IN'!$F688))</f>
        <v>4099</v>
      </c>
      <c r="T688" s="46">
        <f>IF(VLOOKUP($C688,REV!$C:$AA,18,0)-'TRADE IN'!$F697=0,"",(VLOOKUP($C688,REV!$C:$AA,18,0)-'TRADE IN'!$F688))</f>
        <v>2999</v>
      </c>
      <c r="U688" s="46">
        <f>IF(VLOOKUP($C688,REV!$C:$AA,19,0)-'TRADE IN'!$F697=0,"",(VLOOKUP($C688,REV!$C:$AA,19,0)-'TRADE IN'!$F688))</f>
        <v>2999</v>
      </c>
      <c r="V688" s="46">
        <f>IF(VLOOKUP($C688,REV!$C:$AA,20,0)-'TRADE IN'!$F697=0,"",(VLOOKUP($C688,REV!$C:$AA,20,0)-'TRADE IN'!$F688))</f>
        <v>2999</v>
      </c>
      <c r="W688" s="46">
        <f>IF(VLOOKUP($C688,REV!$C:$AA,21,0)-'TRADE IN'!$F697=0,"",(VLOOKUP($C688,REV!$C:$AA,21,0)-'TRADE IN'!$F688))</f>
        <v>2999</v>
      </c>
      <c r="X688" s="46">
        <f>IF(VLOOKUP($C688,REV!$C:$AA,22,0)-'TRADE IN'!$F697=0,"",(VLOOKUP($C688,REV!$C:$AA,22,0)-'TRADE IN'!$F688))</f>
        <v>2899</v>
      </c>
      <c r="Y688" s="46">
        <f>IF(VLOOKUP($C688,REV!$C:$AA,23,0)-'TRADE IN'!$F697=0,"",(VLOOKUP($C688,REV!$C:$AA,23,0)-'TRADE IN'!$F688))</f>
        <v>1999</v>
      </c>
      <c r="Z688" s="46">
        <f>IF(VLOOKUP($C688,REV!$C:$AA,24,0)-'TRADE IN'!$F697=0,"",(VLOOKUP($C688,REV!$C:$AA,24,0)-'TRADE IN'!$F688))</f>
        <v>1999</v>
      </c>
      <c r="AA688" s="46">
        <f>IF(VLOOKUP($C688,REV!$C:$AA,25,0)-'TRADE IN'!$F697=0,"",(VLOOKUP($C688,REV!$C:$AA,25,0)-'TRADE IN'!$F688))</f>
        <v>1999</v>
      </c>
      <c r="AB688" s="46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7"/>
      <c r="AW688" s="48" t="str">
        <f>IF(REV!AW688=0,"",REV!AW688)</f>
        <v>31.03.2026</v>
      </c>
      <c r="AX688" s="159" t="s">
        <v>82</v>
      </c>
    </row>
    <row r="689" spans="1:50" ht="22.5" customHeight="1">
      <c r="A689" s="52" t="s">
        <v>70</v>
      </c>
      <c r="B689" s="41" t="s">
        <v>62</v>
      </c>
      <c r="C689" s="42">
        <v>4016033</v>
      </c>
      <c r="D689" s="44" t="s">
        <v>918</v>
      </c>
      <c r="E689" s="44" t="s">
        <v>924</v>
      </c>
      <c r="F689" s="45"/>
      <c r="G689" s="45"/>
      <c r="H689" s="45"/>
      <c r="I689" s="45"/>
      <c r="J689" s="46">
        <f>IF(VLOOKUP($C689,REV!$C:$AA,8,0)-'TRADE IN'!$F689=0,"",(VLOOKUP($C689,REV!$C:$AA,8,0)-'TRADE IN'!$F689))</f>
        <v>4299</v>
      </c>
      <c r="K689" s="46">
        <f>IF(VLOOKUP($C689,REV!$C:$AA,9,0)-'TRADE IN'!$F689=0,"",(VLOOKUP($C689,REV!$C:$AA,9,0)-'TRADE IN'!$F689))</f>
        <v>4299</v>
      </c>
      <c r="L689" s="46">
        <f>IF(VLOOKUP($C689,REV!$C:$AA,10,0)-'TRADE IN'!$F698=0,"",(VLOOKUP($C689,REV!$C:$AA,10,0)-'TRADE IN'!$F689))</f>
        <v>4299</v>
      </c>
      <c r="M689" s="46">
        <f>IF(VLOOKUP($C689,REV!$C:$AA,11,0)-'TRADE IN'!$F698=0,"",(VLOOKUP($C689,REV!$C:$AA,11,0)-'TRADE IN'!$F689))</f>
        <v>4299</v>
      </c>
      <c r="N689" s="46">
        <f>IF(VLOOKUP($C689,REV!$C:$AA,12,0)-'TRADE IN'!$F698=0,"",(VLOOKUP($C689,REV!$C:$AA,12,0)-'TRADE IN'!$F689))</f>
        <v>4299</v>
      </c>
      <c r="O689" s="46">
        <f>IF(VLOOKUP($C689,REV!$C:$AA,13,0)-'TRADE IN'!$F698=0,"",(VLOOKUP($C689,REV!$C:$AA,13,0)-'TRADE IN'!$F689))</f>
        <v>4199</v>
      </c>
      <c r="P689" s="46">
        <f>IF(VLOOKUP($C689,REV!$C:$AA,14,0)-'TRADE IN'!$F698=0,"",(VLOOKUP($C689,REV!$C:$AA,14,0)-'TRADE IN'!$F689))</f>
        <v>4099</v>
      </c>
      <c r="Q689" s="46">
        <f>IF(VLOOKUP($C689,REV!$C:$AA,15,0)-'TRADE IN'!$F698=0,"",(VLOOKUP($C689,REV!$C:$AA,15,0)-'TRADE IN'!$F689))</f>
        <v>2999</v>
      </c>
      <c r="R689" s="46">
        <f>IF(VLOOKUP($C689,REV!$C:$AA,16,0)-'TRADE IN'!$F698=0,"",(VLOOKUP($C689,REV!$C:$AA,16,0)-'TRADE IN'!$F689))</f>
        <v>4199</v>
      </c>
      <c r="S689" s="46">
        <f>IF(VLOOKUP($C689,REV!$C:$AA,17,0)-'TRADE IN'!$F698=0,"",(VLOOKUP($C689,REV!$C:$AA,17,0)-'TRADE IN'!$F689))</f>
        <v>4099</v>
      </c>
      <c r="T689" s="46">
        <f>IF(VLOOKUP($C689,REV!$C:$AA,18,0)-'TRADE IN'!$F698=0,"",(VLOOKUP($C689,REV!$C:$AA,18,0)-'TRADE IN'!$F689))</f>
        <v>2999</v>
      </c>
      <c r="U689" s="46">
        <f>IF(VLOOKUP($C689,REV!$C:$AA,19,0)-'TRADE IN'!$F698=0,"",(VLOOKUP($C689,REV!$C:$AA,19,0)-'TRADE IN'!$F689))</f>
        <v>2999</v>
      </c>
      <c r="V689" s="46">
        <f>IF(VLOOKUP($C689,REV!$C:$AA,20,0)-'TRADE IN'!$F698=0,"",(VLOOKUP($C689,REV!$C:$AA,20,0)-'TRADE IN'!$F689))</f>
        <v>2999</v>
      </c>
      <c r="W689" s="46">
        <f>IF(VLOOKUP($C689,REV!$C:$AA,21,0)-'TRADE IN'!$F698=0,"",(VLOOKUP($C689,REV!$C:$AA,21,0)-'TRADE IN'!$F689))</f>
        <v>2999</v>
      </c>
      <c r="X689" s="46">
        <f>IF(VLOOKUP($C689,REV!$C:$AA,22,0)-'TRADE IN'!$F698=0,"",(VLOOKUP($C689,REV!$C:$AA,22,0)-'TRADE IN'!$F689))</f>
        <v>2899</v>
      </c>
      <c r="Y689" s="46">
        <f>IF(VLOOKUP($C689,REV!$C:$AA,23,0)-'TRADE IN'!$F698=0,"",(VLOOKUP($C689,REV!$C:$AA,23,0)-'TRADE IN'!$F689))</f>
        <v>1999</v>
      </c>
      <c r="Z689" s="46">
        <f>IF(VLOOKUP($C689,REV!$C:$AA,24,0)-'TRADE IN'!$F698=0,"",(VLOOKUP($C689,REV!$C:$AA,24,0)-'TRADE IN'!$F689))</f>
        <v>1999</v>
      </c>
      <c r="AA689" s="46">
        <f>IF(VLOOKUP($C689,REV!$C:$AA,25,0)-'TRADE IN'!$F698=0,"",(VLOOKUP($C689,REV!$C:$AA,25,0)-'TRADE IN'!$F689))</f>
        <v>1999</v>
      </c>
      <c r="AB689" s="46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7"/>
      <c r="AW689" s="48" t="str">
        <f>IF(REV!AW689=0,"",REV!AW689)</f>
        <v>31.03.2026</v>
      </c>
      <c r="AX689" s="159" t="s">
        <v>82</v>
      </c>
    </row>
    <row r="690" spans="1:50" ht="22.5" customHeight="1">
      <c r="A690" s="52" t="s">
        <v>70</v>
      </c>
      <c r="B690" s="41" t="s">
        <v>62</v>
      </c>
      <c r="C690" s="42">
        <v>4016026</v>
      </c>
      <c r="D690" s="44" t="s">
        <v>918</v>
      </c>
      <c r="E690" s="44" t="s">
        <v>925</v>
      </c>
      <c r="F690" s="45"/>
      <c r="G690" s="45"/>
      <c r="H690" s="45"/>
      <c r="I690" s="45"/>
      <c r="J690" s="46">
        <f>IF(VLOOKUP($C690,REV!$C:$AA,8,0)-'TRADE IN'!$F690=0,"",(VLOOKUP($C690,REV!$C:$AA,8,0)-'TRADE IN'!$F690))</f>
        <v>4299</v>
      </c>
      <c r="K690" s="46">
        <f>IF(VLOOKUP($C690,REV!$C:$AA,9,0)-'TRADE IN'!$F690=0,"",(VLOOKUP($C690,REV!$C:$AA,9,0)-'TRADE IN'!$F690))</f>
        <v>4299</v>
      </c>
      <c r="L690" s="46">
        <f>IF(VLOOKUP($C690,REV!$C:$AA,10,0)-'TRADE IN'!$F699=0,"",(VLOOKUP($C690,REV!$C:$AA,10,0)-'TRADE IN'!$F690))</f>
        <v>4299</v>
      </c>
      <c r="M690" s="46">
        <f>IF(VLOOKUP($C690,REV!$C:$AA,11,0)-'TRADE IN'!$F699=0,"",(VLOOKUP($C690,REV!$C:$AA,11,0)-'TRADE IN'!$F690))</f>
        <v>4299</v>
      </c>
      <c r="N690" s="46">
        <f>IF(VLOOKUP($C690,REV!$C:$AA,12,0)-'TRADE IN'!$F699=0,"",(VLOOKUP($C690,REV!$C:$AA,12,0)-'TRADE IN'!$F690))</f>
        <v>4299</v>
      </c>
      <c r="O690" s="46">
        <f>IF(VLOOKUP($C690,REV!$C:$AA,13,0)-'TRADE IN'!$F699=0,"",(VLOOKUP($C690,REV!$C:$AA,13,0)-'TRADE IN'!$F690))</f>
        <v>4199</v>
      </c>
      <c r="P690" s="46">
        <f>IF(VLOOKUP($C690,REV!$C:$AA,14,0)-'TRADE IN'!$F699=0,"",(VLOOKUP($C690,REV!$C:$AA,14,0)-'TRADE IN'!$F690))</f>
        <v>4099</v>
      </c>
      <c r="Q690" s="46">
        <f>IF(VLOOKUP($C690,REV!$C:$AA,15,0)-'TRADE IN'!$F699=0,"",(VLOOKUP($C690,REV!$C:$AA,15,0)-'TRADE IN'!$F690))</f>
        <v>2999</v>
      </c>
      <c r="R690" s="46">
        <f>IF(VLOOKUP($C690,REV!$C:$AA,16,0)-'TRADE IN'!$F699=0,"",(VLOOKUP($C690,REV!$C:$AA,16,0)-'TRADE IN'!$F690))</f>
        <v>4199</v>
      </c>
      <c r="S690" s="46">
        <f>IF(VLOOKUP($C690,REV!$C:$AA,17,0)-'TRADE IN'!$F699=0,"",(VLOOKUP($C690,REV!$C:$AA,17,0)-'TRADE IN'!$F690))</f>
        <v>4099</v>
      </c>
      <c r="T690" s="46">
        <f>IF(VLOOKUP($C690,REV!$C:$AA,18,0)-'TRADE IN'!$F699=0,"",(VLOOKUP($C690,REV!$C:$AA,18,0)-'TRADE IN'!$F690))</f>
        <v>2999</v>
      </c>
      <c r="U690" s="46">
        <f>IF(VLOOKUP($C690,REV!$C:$AA,19,0)-'TRADE IN'!$F699=0,"",(VLOOKUP($C690,REV!$C:$AA,19,0)-'TRADE IN'!$F690))</f>
        <v>2999</v>
      </c>
      <c r="V690" s="46">
        <f>IF(VLOOKUP($C690,REV!$C:$AA,20,0)-'TRADE IN'!$F699=0,"",(VLOOKUP($C690,REV!$C:$AA,20,0)-'TRADE IN'!$F690))</f>
        <v>2999</v>
      </c>
      <c r="W690" s="46">
        <f>IF(VLOOKUP($C690,REV!$C:$AA,21,0)-'TRADE IN'!$F699=0,"",(VLOOKUP($C690,REV!$C:$AA,21,0)-'TRADE IN'!$F690))</f>
        <v>2999</v>
      </c>
      <c r="X690" s="46">
        <f>IF(VLOOKUP($C690,REV!$C:$AA,22,0)-'TRADE IN'!$F699=0,"",(VLOOKUP($C690,REV!$C:$AA,22,0)-'TRADE IN'!$F690))</f>
        <v>2899</v>
      </c>
      <c r="Y690" s="46">
        <f>IF(VLOOKUP($C690,REV!$C:$AA,23,0)-'TRADE IN'!$F699=0,"",(VLOOKUP($C690,REV!$C:$AA,23,0)-'TRADE IN'!$F690))</f>
        <v>1999</v>
      </c>
      <c r="Z690" s="46">
        <f>IF(VLOOKUP($C690,REV!$C:$AA,24,0)-'TRADE IN'!$F699=0,"",(VLOOKUP($C690,REV!$C:$AA,24,0)-'TRADE IN'!$F690))</f>
        <v>1999</v>
      </c>
      <c r="AA690" s="46">
        <f>IF(VLOOKUP($C690,REV!$C:$AA,25,0)-'TRADE IN'!$F699=0,"",(VLOOKUP($C690,REV!$C:$AA,25,0)-'TRADE IN'!$F690))</f>
        <v>1999</v>
      </c>
      <c r="AB690" s="46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7"/>
      <c r="AW690" s="48" t="str">
        <f>IF(REV!AW690=0,"",REV!AW690)</f>
        <v>31.03.2026</v>
      </c>
      <c r="AX690" s="159" t="s">
        <v>82</v>
      </c>
    </row>
    <row r="691" spans="1:50" ht="22.5" customHeight="1">
      <c r="A691" s="52" t="s">
        <v>70</v>
      </c>
      <c r="B691" s="41" t="s">
        <v>62</v>
      </c>
      <c r="C691" s="42">
        <v>4016056</v>
      </c>
      <c r="D691" s="44" t="s">
        <v>918</v>
      </c>
      <c r="E691" s="44" t="s">
        <v>926</v>
      </c>
      <c r="F691" s="45"/>
      <c r="G691" s="45"/>
      <c r="H691" s="45"/>
      <c r="I691" s="45"/>
      <c r="J691" s="46">
        <f>IF(VLOOKUP($C691,REV!$C:$AA,8,0)-'TRADE IN'!$F691=0,"",(VLOOKUP($C691,REV!$C:$AA,8,0)-'TRADE IN'!$F691))</f>
        <v>4299</v>
      </c>
      <c r="K691" s="46">
        <f>IF(VLOOKUP($C691,REV!$C:$AA,9,0)-'TRADE IN'!$F691=0,"",(VLOOKUP($C691,REV!$C:$AA,9,0)-'TRADE IN'!$F691))</f>
        <v>4299</v>
      </c>
      <c r="L691" s="46">
        <f>IF(VLOOKUP($C691,REV!$C:$AA,10,0)-'TRADE IN'!$F700=0,"",(VLOOKUP($C691,REV!$C:$AA,10,0)-'TRADE IN'!$F691))</f>
        <v>4299</v>
      </c>
      <c r="M691" s="46">
        <f>IF(VLOOKUP($C691,REV!$C:$AA,11,0)-'TRADE IN'!$F700=0,"",(VLOOKUP($C691,REV!$C:$AA,11,0)-'TRADE IN'!$F691))</f>
        <v>4299</v>
      </c>
      <c r="N691" s="46">
        <f>IF(VLOOKUP($C691,REV!$C:$AA,12,0)-'TRADE IN'!$F700=0,"",(VLOOKUP($C691,REV!$C:$AA,12,0)-'TRADE IN'!$F691))</f>
        <v>4299</v>
      </c>
      <c r="O691" s="46">
        <f>IF(VLOOKUP($C691,REV!$C:$AA,13,0)-'TRADE IN'!$F700=0,"",(VLOOKUP($C691,REV!$C:$AA,13,0)-'TRADE IN'!$F691))</f>
        <v>4199</v>
      </c>
      <c r="P691" s="46">
        <f>IF(VLOOKUP($C691,REV!$C:$AA,14,0)-'TRADE IN'!$F700=0,"",(VLOOKUP($C691,REV!$C:$AA,14,0)-'TRADE IN'!$F691))</f>
        <v>4099</v>
      </c>
      <c r="Q691" s="46">
        <f>IF(VLOOKUP($C691,REV!$C:$AA,15,0)-'TRADE IN'!$F700=0,"",(VLOOKUP($C691,REV!$C:$AA,15,0)-'TRADE IN'!$F691))</f>
        <v>2999</v>
      </c>
      <c r="R691" s="46">
        <f>IF(VLOOKUP($C691,REV!$C:$AA,16,0)-'TRADE IN'!$F700=0,"",(VLOOKUP($C691,REV!$C:$AA,16,0)-'TRADE IN'!$F691))</f>
        <v>4199</v>
      </c>
      <c r="S691" s="46">
        <f>IF(VLOOKUP($C691,REV!$C:$AA,17,0)-'TRADE IN'!$F700=0,"",(VLOOKUP($C691,REV!$C:$AA,17,0)-'TRADE IN'!$F691))</f>
        <v>4099</v>
      </c>
      <c r="T691" s="46">
        <f>IF(VLOOKUP($C691,REV!$C:$AA,18,0)-'TRADE IN'!$F700=0,"",(VLOOKUP($C691,REV!$C:$AA,18,0)-'TRADE IN'!$F691))</f>
        <v>2999</v>
      </c>
      <c r="U691" s="46">
        <f>IF(VLOOKUP($C691,REV!$C:$AA,19,0)-'TRADE IN'!$F700=0,"",(VLOOKUP($C691,REV!$C:$AA,19,0)-'TRADE IN'!$F691))</f>
        <v>2999</v>
      </c>
      <c r="V691" s="46">
        <f>IF(VLOOKUP($C691,REV!$C:$AA,20,0)-'TRADE IN'!$F700=0,"",(VLOOKUP($C691,REV!$C:$AA,20,0)-'TRADE IN'!$F691))</f>
        <v>2999</v>
      </c>
      <c r="W691" s="46">
        <f>IF(VLOOKUP($C691,REV!$C:$AA,21,0)-'TRADE IN'!$F700=0,"",(VLOOKUP($C691,REV!$C:$AA,21,0)-'TRADE IN'!$F691))</f>
        <v>2999</v>
      </c>
      <c r="X691" s="46">
        <f>IF(VLOOKUP($C691,REV!$C:$AA,22,0)-'TRADE IN'!$F700=0,"",(VLOOKUP($C691,REV!$C:$AA,22,0)-'TRADE IN'!$F691))</f>
        <v>2899</v>
      </c>
      <c r="Y691" s="46">
        <f>IF(VLOOKUP($C691,REV!$C:$AA,23,0)-'TRADE IN'!$F700=0,"",(VLOOKUP($C691,REV!$C:$AA,23,0)-'TRADE IN'!$F691))</f>
        <v>1999</v>
      </c>
      <c r="Z691" s="46">
        <f>IF(VLOOKUP($C691,REV!$C:$AA,24,0)-'TRADE IN'!$F700=0,"",(VLOOKUP($C691,REV!$C:$AA,24,0)-'TRADE IN'!$F691))</f>
        <v>1999</v>
      </c>
      <c r="AA691" s="46">
        <f>IF(VLOOKUP($C691,REV!$C:$AA,25,0)-'TRADE IN'!$F700=0,"",(VLOOKUP($C691,REV!$C:$AA,25,0)-'TRADE IN'!$F691))</f>
        <v>1999</v>
      </c>
      <c r="AB691" s="46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7"/>
      <c r="AW691" s="48" t="str">
        <f>IF(REV!AW691=0,"",REV!AW691)</f>
        <v>31.03.2026</v>
      </c>
      <c r="AX691" s="159" t="s">
        <v>82</v>
      </c>
    </row>
    <row r="692" spans="1:50" ht="22.5" customHeight="1">
      <c r="A692" s="52" t="s">
        <v>70</v>
      </c>
      <c r="B692" s="41" t="s">
        <v>62</v>
      </c>
      <c r="C692" s="42">
        <v>4016036</v>
      </c>
      <c r="D692" s="44" t="s">
        <v>927</v>
      </c>
      <c r="E692" s="44" t="s">
        <v>928</v>
      </c>
      <c r="F692" s="45"/>
      <c r="G692" s="45"/>
      <c r="H692" s="45"/>
      <c r="I692" s="45"/>
      <c r="J692" s="46">
        <f>IF(VLOOKUP($C692,REV!$C:$AA,8,0)-'TRADE IN'!$F692=0,"",(VLOOKUP($C692,REV!$C:$AA,8,0)-'TRADE IN'!$F692))</f>
        <v>5799</v>
      </c>
      <c r="K692" s="46">
        <f>IF(VLOOKUP($C692,REV!$C:$AA,9,0)-'TRADE IN'!$F692=0,"",(VLOOKUP($C692,REV!$C:$AA,9,0)-'TRADE IN'!$F692))</f>
        <v>5799</v>
      </c>
      <c r="L692" s="46">
        <f>IF(VLOOKUP($C692,REV!$C:$AA,10,0)-'TRADE IN'!$F701=0,"",(VLOOKUP($C692,REV!$C:$AA,10,0)-'TRADE IN'!$F692))</f>
        <v>5799</v>
      </c>
      <c r="M692" s="46">
        <f>IF(VLOOKUP($C692,REV!$C:$AA,11,0)-'TRADE IN'!$F701=0,"",(VLOOKUP($C692,REV!$C:$AA,11,0)-'TRADE IN'!$F692))</f>
        <v>5799</v>
      </c>
      <c r="N692" s="46">
        <f>IF(VLOOKUP($C692,REV!$C:$AA,12,0)-'TRADE IN'!$F701=0,"",(VLOOKUP($C692,REV!$C:$AA,12,0)-'TRADE IN'!$F692))</f>
        <v>5799</v>
      </c>
      <c r="O692" s="46">
        <f>IF(VLOOKUP($C692,REV!$C:$AA,13,0)-'TRADE IN'!$F701=0,"",(VLOOKUP($C692,REV!$C:$AA,13,0)-'TRADE IN'!$F692))</f>
        <v>4899</v>
      </c>
      <c r="P692" s="46">
        <f>IF(VLOOKUP($C692,REV!$C:$AA,14,0)-'TRADE IN'!$F701=0,"",(VLOOKUP($C692,REV!$C:$AA,14,0)-'TRADE IN'!$F692))</f>
        <v>4799</v>
      </c>
      <c r="Q692" s="46">
        <f>IF(VLOOKUP($C692,REV!$C:$AA,15,0)-'TRADE IN'!$F701=0,"",(VLOOKUP($C692,REV!$C:$AA,15,0)-'TRADE IN'!$F692))</f>
        <v>4599</v>
      </c>
      <c r="R692" s="46">
        <f>IF(VLOOKUP($C692,REV!$C:$AA,16,0)-'TRADE IN'!$F701=0,"",(VLOOKUP($C692,REV!$C:$AA,16,0)-'TRADE IN'!$F692))</f>
        <v>4899</v>
      </c>
      <c r="S692" s="46">
        <f>IF(VLOOKUP($C692,REV!$C:$AA,17,0)-'TRADE IN'!$F701=0,"",(VLOOKUP($C692,REV!$C:$AA,17,0)-'TRADE IN'!$F692))</f>
        <v>4799</v>
      </c>
      <c r="T692" s="46">
        <f>IF(VLOOKUP($C692,REV!$C:$AA,18,0)-'TRADE IN'!$F701=0,"",(VLOOKUP($C692,REV!$C:$AA,18,0)-'TRADE IN'!$F692))</f>
        <v>4599</v>
      </c>
      <c r="U692" s="46">
        <f>IF(VLOOKUP($C692,REV!$C:$AA,19,0)-'TRADE IN'!$F701=0,"",(VLOOKUP($C692,REV!$C:$AA,19,0)-'TRADE IN'!$F692))</f>
        <v>4599</v>
      </c>
      <c r="V692" s="46">
        <f>IF(VLOOKUP($C692,REV!$C:$AA,20,0)-'TRADE IN'!$F701=0,"",(VLOOKUP($C692,REV!$C:$AA,20,0)-'TRADE IN'!$F692))</f>
        <v>4599</v>
      </c>
      <c r="W692" s="46">
        <f>IF(VLOOKUP($C692,REV!$C:$AA,21,0)-'TRADE IN'!$F701=0,"",(VLOOKUP($C692,REV!$C:$AA,21,0)-'TRADE IN'!$F692))</f>
        <v>4599</v>
      </c>
      <c r="X692" s="46">
        <f>IF(VLOOKUP($C692,REV!$C:$AA,22,0)-'TRADE IN'!$F701=0,"",(VLOOKUP($C692,REV!$C:$AA,22,0)-'TRADE IN'!$F692))</f>
        <v>4499</v>
      </c>
      <c r="Y692" s="46">
        <f>IF(VLOOKUP($C692,REV!$C:$AA,23,0)-'TRADE IN'!$F701=0,"",(VLOOKUP($C692,REV!$C:$AA,23,0)-'TRADE IN'!$F692))</f>
        <v>4299</v>
      </c>
      <c r="Z692" s="46">
        <f>IF(VLOOKUP($C692,REV!$C:$AA,24,0)-'TRADE IN'!$F701=0,"",(VLOOKUP($C692,REV!$C:$AA,24,0)-'TRADE IN'!$F692))</f>
        <v>4299</v>
      </c>
      <c r="AA692" s="46">
        <f>IF(VLOOKUP($C692,REV!$C:$AA,25,0)-'TRADE IN'!$F701=0,"",(VLOOKUP($C692,REV!$C:$AA,25,0)-'TRADE IN'!$F692))</f>
        <v>4249</v>
      </c>
      <c r="AB692" s="46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7"/>
      <c r="AW692" s="48" t="str">
        <f>IF(REV!AW692=0,"",REV!AW692)</f>
        <v>31.03.2026</v>
      </c>
      <c r="AX692" s="159" t="s">
        <v>82</v>
      </c>
    </row>
    <row r="693" spans="1:50" ht="22.5" customHeight="1">
      <c r="A693" s="52" t="s">
        <v>70</v>
      </c>
      <c r="B693" s="41" t="s">
        <v>62</v>
      </c>
      <c r="C693" s="42">
        <v>4016068</v>
      </c>
      <c r="D693" s="44" t="s">
        <v>927</v>
      </c>
      <c r="E693" s="44" t="s">
        <v>929</v>
      </c>
      <c r="F693" s="45"/>
      <c r="G693" s="45"/>
      <c r="H693" s="45"/>
      <c r="I693" s="45"/>
      <c r="J693" s="46">
        <f>IF(VLOOKUP($C693,REV!$C:$AA,8,0)-'TRADE IN'!$F693=0,"",(VLOOKUP($C693,REV!$C:$AA,8,0)-'TRADE IN'!$F693))</f>
        <v>5799</v>
      </c>
      <c r="K693" s="46">
        <f>IF(VLOOKUP($C693,REV!$C:$AA,9,0)-'TRADE IN'!$F693=0,"",(VLOOKUP($C693,REV!$C:$AA,9,0)-'TRADE IN'!$F693))</f>
        <v>5799</v>
      </c>
      <c r="L693" s="46">
        <f>IF(VLOOKUP($C693,REV!$C:$AA,10,0)-'TRADE IN'!$F702=0,"",(VLOOKUP($C693,REV!$C:$AA,10,0)-'TRADE IN'!$F693))</f>
        <v>5799</v>
      </c>
      <c r="M693" s="46">
        <f>IF(VLOOKUP($C693,REV!$C:$AA,11,0)-'TRADE IN'!$F702=0,"",(VLOOKUP($C693,REV!$C:$AA,11,0)-'TRADE IN'!$F693))</f>
        <v>5799</v>
      </c>
      <c r="N693" s="46">
        <f>IF(VLOOKUP($C693,REV!$C:$AA,12,0)-'TRADE IN'!$F702=0,"",(VLOOKUP($C693,REV!$C:$AA,12,0)-'TRADE IN'!$F693))</f>
        <v>5799</v>
      </c>
      <c r="O693" s="46">
        <f>IF(VLOOKUP($C693,REV!$C:$AA,13,0)-'TRADE IN'!$F702=0,"",(VLOOKUP($C693,REV!$C:$AA,13,0)-'TRADE IN'!$F693))</f>
        <v>4899</v>
      </c>
      <c r="P693" s="46">
        <f>IF(VLOOKUP($C693,REV!$C:$AA,14,0)-'TRADE IN'!$F702=0,"",(VLOOKUP($C693,REV!$C:$AA,14,0)-'TRADE IN'!$F693))</f>
        <v>4799</v>
      </c>
      <c r="Q693" s="46">
        <f>IF(VLOOKUP($C693,REV!$C:$AA,15,0)-'TRADE IN'!$F702=0,"",(VLOOKUP($C693,REV!$C:$AA,15,0)-'TRADE IN'!$F693))</f>
        <v>4599</v>
      </c>
      <c r="R693" s="46">
        <f>IF(VLOOKUP($C693,REV!$C:$AA,16,0)-'TRADE IN'!$F702=0,"",(VLOOKUP($C693,REV!$C:$AA,16,0)-'TRADE IN'!$F693))</f>
        <v>4899</v>
      </c>
      <c r="S693" s="46">
        <f>IF(VLOOKUP($C693,REV!$C:$AA,17,0)-'TRADE IN'!$F702=0,"",(VLOOKUP($C693,REV!$C:$AA,17,0)-'TRADE IN'!$F693))</f>
        <v>4799</v>
      </c>
      <c r="T693" s="46">
        <f>IF(VLOOKUP($C693,REV!$C:$AA,18,0)-'TRADE IN'!$F702=0,"",(VLOOKUP($C693,REV!$C:$AA,18,0)-'TRADE IN'!$F693))</f>
        <v>4599</v>
      </c>
      <c r="U693" s="46">
        <f>IF(VLOOKUP($C693,REV!$C:$AA,19,0)-'TRADE IN'!$F702=0,"",(VLOOKUP($C693,REV!$C:$AA,19,0)-'TRADE IN'!$F693))</f>
        <v>4599</v>
      </c>
      <c r="V693" s="46">
        <f>IF(VLOOKUP($C693,REV!$C:$AA,20,0)-'TRADE IN'!$F702=0,"",(VLOOKUP($C693,REV!$C:$AA,20,0)-'TRADE IN'!$F693))</f>
        <v>4599</v>
      </c>
      <c r="W693" s="46">
        <f>IF(VLOOKUP($C693,REV!$C:$AA,21,0)-'TRADE IN'!$F702=0,"",(VLOOKUP($C693,REV!$C:$AA,21,0)-'TRADE IN'!$F693))</f>
        <v>4599</v>
      </c>
      <c r="X693" s="46">
        <f>IF(VLOOKUP($C693,REV!$C:$AA,22,0)-'TRADE IN'!$F702=0,"",(VLOOKUP($C693,REV!$C:$AA,22,0)-'TRADE IN'!$F693))</f>
        <v>4499</v>
      </c>
      <c r="Y693" s="46">
        <f>IF(VLOOKUP($C693,REV!$C:$AA,23,0)-'TRADE IN'!$F702=0,"",(VLOOKUP($C693,REV!$C:$AA,23,0)-'TRADE IN'!$F693))</f>
        <v>4299</v>
      </c>
      <c r="Z693" s="46">
        <f>IF(VLOOKUP($C693,REV!$C:$AA,24,0)-'TRADE IN'!$F702=0,"",(VLOOKUP($C693,REV!$C:$AA,24,0)-'TRADE IN'!$F693))</f>
        <v>4299</v>
      </c>
      <c r="AA693" s="46">
        <f>IF(VLOOKUP($C693,REV!$C:$AA,25,0)-'TRADE IN'!$F702=0,"",(VLOOKUP($C693,REV!$C:$AA,25,0)-'TRADE IN'!$F693))</f>
        <v>4249</v>
      </c>
      <c r="AB693" s="46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7"/>
      <c r="AW693" s="48" t="str">
        <f>IF(REV!AW693=0,"",REV!AW693)</f>
        <v>31.03.2026</v>
      </c>
      <c r="AX693" s="159" t="s">
        <v>82</v>
      </c>
    </row>
    <row r="694" spans="1:50" ht="22.5" customHeight="1">
      <c r="A694" s="52" t="s">
        <v>70</v>
      </c>
      <c r="B694" s="41" t="s">
        <v>62</v>
      </c>
      <c r="C694" s="42">
        <v>4015888</v>
      </c>
      <c r="D694" s="44" t="s">
        <v>927</v>
      </c>
      <c r="E694" s="44" t="s">
        <v>930</v>
      </c>
      <c r="F694" s="45"/>
      <c r="G694" s="45"/>
      <c r="H694" s="45"/>
      <c r="I694" s="45"/>
      <c r="J694" s="46">
        <f>IF(VLOOKUP($C694,REV!$C:$AA,8,0)-'TRADE IN'!$F694=0,"",(VLOOKUP($C694,REV!$C:$AA,8,0)-'TRADE IN'!$F694))</f>
        <v>5799</v>
      </c>
      <c r="K694" s="46">
        <f>IF(VLOOKUP($C694,REV!$C:$AA,9,0)-'TRADE IN'!$F694=0,"",(VLOOKUP($C694,REV!$C:$AA,9,0)-'TRADE IN'!$F694))</f>
        <v>5799</v>
      </c>
      <c r="L694" s="46">
        <f>IF(VLOOKUP($C694,REV!$C:$AA,10,0)-'TRADE IN'!$F703=0,"",(VLOOKUP($C694,REV!$C:$AA,10,0)-'TRADE IN'!$F694))</f>
        <v>5799</v>
      </c>
      <c r="M694" s="46">
        <f>IF(VLOOKUP($C694,REV!$C:$AA,11,0)-'TRADE IN'!$F703=0,"",(VLOOKUP($C694,REV!$C:$AA,11,0)-'TRADE IN'!$F694))</f>
        <v>5799</v>
      </c>
      <c r="N694" s="46">
        <f>IF(VLOOKUP($C694,REV!$C:$AA,12,0)-'TRADE IN'!$F703=0,"",(VLOOKUP($C694,REV!$C:$AA,12,0)-'TRADE IN'!$F694))</f>
        <v>5799</v>
      </c>
      <c r="O694" s="46">
        <f>IF(VLOOKUP($C694,REV!$C:$AA,13,0)-'TRADE IN'!$F703=0,"",(VLOOKUP($C694,REV!$C:$AA,13,0)-'TRADE IN'!$F694))</f>
        <v>4899</v>
      </c>
      <c r="P694" s="46">
        <f>IF(VLOOKUP($C694,REV!$C:$AA,14,0)-'TRADE IN'!$F703=0,"",(VLOOKUP($C694,REV!$C:$AA,14,0)-'TRADE IN'!$F694))</f>
        <v>4799</v>
      </c>
      <c r="Q694" s="46">
        <f>IF(VLOOKUP($C694,REV!$C:$AA,15,0)-'TRADE IN'!$F703=0,"",(VLOOKUP($C694,REV!$C:$AA,15,0)-'TRADE IN'!$F694))</f>
        <v>4599</v>
      </c>
      <c r="R694" s="46">
        <f>IF(VLOOKUP($C694,REV!$C:$AA,16,0)-'TRADE IN'!$F703=0,"",(VLOOKUP($C694,REV!$C:$AA,16,0)-'TRADE IN'!$F694))</f>
        <v>4899</v>
      </c>
      <c r="S694" s="46">
        <f>IF(VLOOKUP($C694,REV!$C:$AA,17,0)-'TRADE IN'!$F703=0,"",(VLOOKUP($C694,REV!$C:$AA,17,0)-'TRADE IN'!$F694))</f>
        <v>4799</v>
      </c>
      <c r="T694" s="46">
        <f>IF(VLOOKUP($C694,REV!$C:$AA,18,0)-'TRADE IN'!$F703=0,"",(VLOOKUP($C694,REV!$C:$AA,18,0)-'TRADE IN'!$F694))</f>
        <v>4599</v>
      </c>
      <c r="U694" s="46">
        <f>IF(VLOOKUP($C694,REV!$C:$AA,19,0)-'TRADE IN'!$F703=0,"",(VLOOKUP($C694,REV!$C:$AA,19,0)-'TRADE IN'!$F694))</f>
        <v>4599</v>
      </c>
      <c r="V694" s="46">
        <f>IF(VLOOKUP($C694,REV!$C:$AA,20,0)-'TRADE IN'!$F703=0,"",(VLOOKUP($C694,REV!$C:$AA,20,0)-'TRADE IN'!$F694))</f>
        <v>4599</v>
      </c>
      <c r="W694" s="46">
        <f>IF(VLOOKUP($C694,REV!$C:$AA,21,0)-'TRADE IN'!$F703=0,"",(VLOOKUP($C694,REV!$C:$AA,21,0)-'TRADE IN'!$F694))</f>
        <v>4599</v>
      </c>
      <c r="X694" s="46">
        <f>IF(VLOOKUP($C694,REV!$C:$AA,22,0)-'TRADE IN'!$F703=0,"",(VLOOKUP($C694,REV!$C:$AA,22,0)-'TRADE IN'!$F694))</f>
        <v>4499</v>
      </c>
      <c r="Y694" s="46">
        <f>IF(VLOOKUP($C694,REV!$C:$AA,23,0)-'TRADE IN'!$F703=0,"",(VLOOKUP($C694,REV!$C:$AA,23,0)-'TRADE IN'!$F694))</f>
        <v>4299</v>
      </c>
      <c r="Z694" s="46">
        <f>IF(VLOOKUP($C694,REV!$C:$AA,24,0)-'TRADE IN'!$F703=0,"",(VLOOKUP($C694,REV!$C:$AA,24,0)-'TRADE IN'!$F694))</f>
        <v>4299</v>
      </c>
      <c r="AA694" s="46">
        <f>IF(VLOOKUP($C694,REV!$C:$AA,25,0)-'TRADE IN'!$F703=0,"",(VLOOKUP($C694,REV!$C:$AA,25,0)-'TRADE IN'!$F694))</f>
        <v>4249</v>
      </c>
      <c r="AB694" s="46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7"/>
      <c r="AW694" s="48" t="str">
        <f>IF(REV!AW694=0,"",REV!AW694)</f>
        <v>31.03.2026</v>
      </c>
      <c r="AX694" s="159" t="s">
        <v>82</v>
      </c>
    </row>
    <row r="695" spans="1:50" ht="22.5" customHeight="1">
      <c r="A695" s="52" t="s">
        <v>70</v>
      </c>
      <c r="B695" s="41" t="s">
        <v>62</v>
      </c>
      <c r="C695" s="42">
        <v>4016051</v>
      </c>
      <c r="D695" s="44" t="s">
        <v>927</v>
      </c>
      <c r="E695" s="44" t="s">
        <v>931</v>
      </c>
      <c r="F695" s="45"/>
      <c r="G695" s="45"/>
      <c r="H695" s="45"/>
      <c r="I695" s="45"/>
      <c r="J695" s="46">
        <f>IF(VLOOKUP($C695,REV!$C:$AA,8,0)-'TRADE IN'!$F695=0,"",(VLOOKUP($C695,REV!$C:$AA,8,0)-'TRADE IN'!$F695))</f>
        <v>5799</v>
      </c>
      <c r="K695" s="46">
        <f>IF(VLOOKUP($C695,REV!$C:$AA,9,0)-'TRADE IN'!$F695=0,"",(VLOOKUP($C695,REV!$C:$AA,9,0)-'TRADE IN'!$F695))</f>
        <v>5799</v>
      </c>
      <c r="L695" s="46">
        <f>IF(VLOOKUP($C695,REV!$C:$AA,10,0)-'TRADE IN'!$F704=0,"",(VLOOKUP($C695,REV!$C:$AA,10,0)-'TRADE IN'!$F695))</f>
        <v>5799</v>
      </c>
      <c r="M695" s="46">
        <f>IF(VLOOKUP($C695,REV!$C:$AA,11,0)-'TRADE IN'!$F704=0,"",(VLOOKUP($C695,REV!$C:$AA,11,0)-'TRADE IN'!$F695))</f>
        <v>5799</v>
      </c>
      <c r="N695" s="46">
        <f>IF(VLOOKUP($C695,REV!$C:$AA,12,0)-'TRADE IN'!$F704=0,"",(VLOOKUP($C695,REV!$C:$AA,12,0)-'TRADE IN'!$F695))</f>
        <v>5799</v>
      </c>
      <c r="O695" s="46">
        <f>IF(VLOOKUP($C695,REV!$C:$AA,13,0)-'TRADE IN'!$F704=0,"",(VLOOKUP($C695,REV!$C:$AA,13,0)-'TRADE IN'!$F695))</f>
        <v>4899</v>
      </c>
      <c r="P695" s="46">
        <f>IF(VLOOKUP($C695,REV!$C:$AA,14,0)-'TRADE IN'!$F704=0,"",(VLOOKUP($C695,REV!$C:$AA,14,0)-'TRADE IN'!$F695))</f>
        <v>4799</v>
      </c>
      <c r="Q695" s="46">
        <f>IF(VLOOKUP($C695,REV!$C:$AA,15,0)-'TRADE IN'!$F704=0,"",(VLOOKUP($C695,REV!$C:$AA,15,0)-'TRADE IN'!$F695))</f>
        <v>4599</v>
      </c>
      <c r="R695" s="46">
        <f>IF(VLOOKUP($C695,REV!$C:$AA,16,0)-'TRADE IN'!$F704=0,"",(VLOOKUP($C695,REV!$C:$AA,16,0)-'TRADE IN'!$F695))</f>
        <v>4899</v>
      </c>
      <c r="S695" s="46">
        <f>IF(VLOOKUP($C695,REV!$C:$AA,17,0)-'TRADE IN'!$F704=0,"",(VLOOKUP($C695,REV!$C:$AA,17,0)-'TRADE IN'!$F695))</f>
        <v>4799</v>
      </c>
      <c r="T695" s="46">
        <f>IF(VLOOKUP($C695,REV!$C:$AA,18,0)-'TRADE IN'!$F704=0,"",(VLOOKUP($C695,REV!$C:$AA,18,0)-'TRADE IN'!$F695))</f>
        <v>4599</v>
      </c>
      <c r="U695" s="46">
        <f>IF(VLOOKUP($C695,REV!$C:$AA,19,0)-'TRADE IN'!$F704=0,"",(VLOOKUP($C695,REV!$C:$AA,19,0)-'TRADE IN'!$F695))</f>
        <v>4599</v>
      </c>
      <c r="V695" s="46">
        <f>IF(VLOOKUP($C695,REV!$C:$AA,20,0)-'TRADE IN'!$F704=0,"",(VLOOKUP($C695,REV!$C:$AA,20,0)-'TRADE IN'!$F695))</f>
        <v>4599</v>
      </c>
      <c r="W695" s="46">
        <f>IF(VLOOKUP($C695,REV!$C:$AA,21,0)-'TRADE IN'!$F704=0,"",(VLOOKUP($C695,REV!$C:$AA,21,0)-'TRADE IN'!$F695))</f>
        <v>4599</v>
      </c>
      <c r="X695" s="46">
        <f>IF(VLOOKUP($C695,REV!$C:$AA,22,0)-'TRADE IN'!$F704=0,"",(VLOOKUP($C695,REV!$C:$AA,22,0)-'TRADE IN'!$F695))</f>
        <v>4499</v>
      </c>
      <c r="Y695" s="46">
        <f>IF(VLOOKUP($C695,REV!$C:$AA,23,0)-'TRADE IN'!$F704=0,"",(VLOOKUP($C695,REV!$C:$AA,23,0)-'TRADE IN'!$F695))</f>
        <v>4299</v>
      </c>
      <c r="Z695" s="46">
        <f>IF(VLOOKUP($C695,REV!$C:$AA,24,0)-'TRADE IN'!$F704=0,"",(VLOOKUP($C695,REV!$C:$AA,24,0)-'TRADE IN'!$F695))</f>
        <v>4299</v>
      </c>
      <c r="AA695" s="46">
        <f>IF(VLOOKUP($C695,REV!$C:$AA,25,0)-'TRADE IN'!$F704=0,"",(VLOOKUP($C695,REV!$C:$AA,25,0)-'TRADE IN'!$F695))</f>
        <v>4249</v>
      </c>
      <c r="AB695" s="46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7"/>
      <c r="AW695" s="48" t="str">
        <f>IF(REV!AW695=0,"",REV!AW695)</f>
        <v>31.03.2026</v>
      </c>
      <c r="AX695" s="159" t="s">
        <v>82</v>
      </c>
    </row>
    <row r="696" spans="1:50" ht="22.5" customHeight="1">
      <c r="A696" s="52" t="s">
        <v>70</v>
      </c>
      <c r="B696" s="41" t="s">
        <v>62</v>
      </c>
      <c r="C696" s="42">
        <v>4016044</v>
      </c>
      <c r="D696" s="44" t="s">
        <v>927</v>
      </c>
      <c r="E696" s="44" t="s">
        <v>932</v>
      </c>
      <c r="F696" s="45"/>
      <c r="G696" s="45"/>
      <c r="H696" s="45"/>
      <c r="I696" s="45"/>
      <c r="J696" s="46">
        <f>IF(VLOOKUP($C696,REV!$C:$AA,8,0)-'TRADE IN'!$F696=0,"",(VLOOKUP($C696,REV!$C:$AA,8,0)-'TRADE IN'!$F696))</f>
        <v>5799</v>
      </c>
      <c r="K696" s="46">
        <f>IF(VLOOKUP($C696,REV!$C:$AA,9,0)-'TRADE IN'!$F696=0,"",(VLOOKUP($C696,REV!$C:$AA,9,0)-'TRADE IN'!$F696))</f>
        <v>5799</v>
      </c>
      <c r="L696" s="46">
        <f>IF(VLOOKUP($C696,REV!$C:$AA,10,0)-'TRADE IN'!$F705=0,"",(VLOOKUP($C696,REV!$C:$AA,10,0)-'TRADE IN'!$F696))</f>
        <v>5799</v>
      </c>
      <c r="M696" s="46">
        <f>IF(VLOOKUP($C696,REV!$C:$AA,11,0)-'TRADE IN'!$F705=0,"",(VLOOKUP($C696,REV!$C:$AA,11,0)-'TRADE IN'!$F696))</f>
        <v>5799</v>
      </c>
      <c r="N696" s="46">
        <f>IF(VLOOKUP($C696,REV!$C:$AA,12,0)-'TRADE IN'!$F705=0,"",(VLOOKUP($C696,REV!$C:$AA,12,0)-'TRADE IN'!$F696))</f>
        <v>5799</v>
      </c>
      <c r="O696" s="46">
        <f>IF(VLOOKUP($C696,REV!$C:$AA,13,0)-'TRADE IN'!$F705=0,"",(VLOOKUP($C696,REV!$C:$AA,13,0)-'TRADE IN'!$F696))</f>
        <v>4899</v>
      </c>
      <c r="P696" s="46">
        <f>IF(VLOOKUP($C696,REV!$C:$AA,14,0)-'TRADE IN'!$F705=0,"",(VLOOKUP($C696,REV!$C:$AA,14,0)-'TRADE IN'!$F696))</f>
        <v>4799</v>
      </c>
      <c r="Q696" s="46">
        <f>IF(VLOOKUP($C696,REV!$C:$AA,15,0)-'TRADE IN'!$F705=0,"",(VLOOKUP($C696,REV!$C:$AA,15,0)-'TRADE IN'!$F696))</f>
        <v>4599</v>
      </c>
      <c r="R696" s="46">
        <f>IF(VLOOKUP($C696,REV!$C:$AA,16,0)-'TRADE IN'!$F705=0,"",(VLOOKUP($C696,REV!$C:$AA,16,0)-'TRADE IN'!$F696))</f>
        <v>4899</v>
      </c>
      <c r="S696" s="46">
        <f>IF(VLOOKUP($C696,REV!$C:$AA,17,0)-'TRADE IN'!$F705=0,"",(VLOOKUP($C696,REV!$C:$AA,17,0)-'TRADE IN'!$F696))</f>
        <v>4799</v>
      </c>
      <c r="T696" s="46">
        <f>IF(VLOOKUP($C696,REV!$C:$AA,18,0)-'TRADE IN'!$F705=0,"",(VLOOKUP($C696,REV!$C:$AA,18,0)-'TRADE IN'!$F696))</f>
        <v>4599</v>
      </c>
      <c r="U696" s="46">
        <f>IF(VLOOKUP($C696,REV!$C:$AA,19,0)-'TRADE IN'!$F705=0,"",(VLOOKUP($C696,REV!$C:$AA,19,0)-'TRADE IN'!$F696))</f>
        <v>4599</v>
      </c>
      <c r="V696" s="46">
        <f>IF(VLOOKUP($C696,REV!$C:$AA,20,0)-'TRADE IN'!$F705=0,"",(VLOOKUP($C696,REV!$C:$AA,20,0)-'TRADE IN'!$F696))</f>
        <v>4599</v>
      </c>
      <c r="W696" s="46">
        <f>IF(VLOOKUP($C696,REV!$C:$AA,21,0)-'TRADE IN'!$F705=0,"",(VLOOKUP($C696,REV!$C:$AA,21,0)-'TRADE IN'!$F696))</f>
        <v>4599</v>
      </c>
      <c r="X696" s="46">
        <f>IF(VLOOKUP($C696,REV!$C:$AA,22,0)-'TRADE IN'!$F705=0,"",(VLOOKUP($C696,REV!$C:$AA,22,0)-'TRADE IN'!$F696))</f>
        <v>4499</v>
      </c>
      <c r="Y696" s="46">
        <f>IF(VLOOKUP($C696,REV!$C:$AA,23,0)-'TRADE IN'!$F705=0,"",(VLOOKUP($C696,REV!$C:$AA,23,0)-'TRADE IN'!$F696))</f>
        <v>4299</v>
      </c>
      <c r="Z696" s="46">
        <f>IF(VLOOKUP($C696,REV!$C:$AA,24,0)-'TRADE IN'!$F705=0,"",(VLOOKUP($C696,REV!$C:$AA,24,0)-'TRADE IN'!$F696))</f>
        <v>4299</v>
      </c>
      <c r="AA696" s="46">
        <f>IF(VLOOKUP($C696,REV!$C:$AA,25,0)-'TRADE IN'!$F705=0,"",(VLOOKUP($C696,REV!$C:$AA,25,0)-'TRADE IN'!$F696))</f>
        <v>4249</v>
      </c>
      <c r="AB696" s="46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7"/>
      <c r="AW696" s="48" t="str">
        <f>IF(REV!AW696=0,"",REV!AW696)</f>
        <v>31.03.2026</v>
      </c>
      <c r="AX696" s="159" t="s">
        <v>82</v>
      </c>
    </row>
    <row r="697" spans="1:50" ht="22.5" customHeight="1">
      <c r="A697" s="52" t="s">
        <v>70</v>
      </c>
      <c r="B697" s="41" t="s">
        <v>62</v>
      </c>
      <c r="C697" s="42">
        <v>4016074</v>
      </c>
      <c r="D697" s="44" t="s">
        <v>927</v>
      </c>
      <c r="E697" s="44" t="s">
        <v>933</v>
      </c>
      <c r="F697" s="45"/>
      <c r="G697" s="45"/>
      <c r="H697" s="45"/>
      <c r="I697" s="45"/>
      <c r="J697" s="46">
        <f>IF(VLOOKUP($C697,REV!$C:$AA,8,0)-'TRADE IN'!$F697=0,"",(VLOOKUP($C697,REV!$C:$AA,8,0)-'TRADE IN'!$F697))</f>
        <v>5799</v>
      </c>
      <c r="K697" s="46">
        <f>IF(VLOOKUP($C697,REV!$C:$AA,9,0)-'TRADE IN'!$F697=0,"",(VLOOKUP($C697,REV!$C:$AA,9,0)-'TRADE IN'!$F697))</f>
        <v>5799</v>
      </c>
      <c r="L697" s="46">
        <f>IF(VLOOKUP($C697,REV!$C:$AA,10,0)-'TRADE IN'!$F706=0,"",(VLOOKUP($C697,REV!$C:$AA,10,0)-'TRADE IN'!$F697))</f>
        <v>5799</v>
      </c>
      <c r="M697" s="46">
        <f>IF(VLOOKUP($C697,REV!$C:$AA,11,0)-'TRADE IN'!$F706=0,"",(VLOOKUP($C697,REV!$C:$AA,11,0)-'TRADE IN'!$F697))</f>
        <v>5799</v>
      </c>
      <c r="N697" s="46">
        <f>IF(VLOOKUP($C697,REV!$C:$AA,12,0)-'TRADE IN'!$F706=0,"",(VLOOKUP($C697,REV!$C:$AA,12,0)-'TRADE IN'!$F697))</f>
        <v>5799</v>
      </c>
      <c r="O697" s="46">
        <f>IF(VLOOKUP($C697,REV!$C:$AA,13,0)-'TRADE IN'!$F706=0,"",(VLOOKUP($C697,REV!$C:$AA,13,0)-'TRADE IN'!$F697))</f>
        <v>4899</v>
      </c>
      <c r="P697" s="46">
        <f>IF(VLOOKUP($C697,REV!$C:$AA,14,0)-'TRADE IN'!$F706=0,"",(VLOOKUP($C697,REV!$C:$AA,14,0)-'TRADE IN'!$F697))</f>
        <v>4799</v>
      </c>
      <c r="Q697" s="46">
        <f>IF(VLOOKUP($C697,REV!$C:$AA,15,0)-'TRADE IN'!$F706=0,"",(VLOOKUP($C697,REV!$C:$AA,15,0)-'TRADE IN'!$F697))</f>
        <v>4599</v>
      </c>
      <c r="R697" s="46">
        <f>IF(VLOOKUP($C697,REV!$C:$AA,16,0)-'TRADE IN'!$F706=0,"",(VLOOKUP($C697,REV!$C:$AA,16,0)-'TRADE IN'!$F697))</f>
        <v>4899</v>
      </c>
      <c r="S697" s="46">
        <f>IF(VLOOKUP($C697,REV!$C:$AA,17,0)-'TRADE IN'!$F706=0,"",(VLOOKUP($C697,REV!$C:$AA,17,0)-'TRADE IN'!$F697))</f>
        <v>4799</v>
      </c>
      <c r="T697" s="46">
        <f>IF(VLOOKUP($C697,REV!$C:$AA,18,0)-'TRADE IN'!$F706=0,"",(VLOOKUP($C697,REV!$C:$AA,18,0)-'TRADE IN'!$F697))</f>
        <v>4599</v>
      </c>
      <c r="U697" s="46">
        <f>IF(VLOOKUP($C697,REV!$C:$AA,19,0)-'TRADE IN'!$F706=0,"",(VLOOKUP($C697,REV!$C:$AA,19,0)-'TRADE IN'!$F697))</f>
        <v>4599</v>
      </c>
      <c r="V697" s="46">
        <f>IF(VLOOKUP($C697,REV!$C:$AA,20,0)-'TRADE IN'!$F706=0,"",(VLOOKUP($C697,REV!$C:$AA,20,0)-'TRADE IN'!$F697))</f>
        <v>4599</v>
      </c>
      <c r="W697" s="46">
        <f>IF(VLOOKUP($C697,REV!$C:$AA,21,0)-'TRADE IN'!$F706=0,"",(VLOOKUP($C697,REV!$C:$AA,21,0)-'TRADE IN'!$F697))</f>
        <v>4599</v>
      </c>
      <c r="X697" s="46">
        <f>IF(VLOOKUP($C697,REV!$C:$AA,22,0)-'TRADE IN'!$F706=0,"",(VLOOKUP($C697,REV!$C:$AA,22,0)-'TRADE IN'!$F697))</f>
        <v>4499</v>
      </c>
      <c r="Y697" s="46">
        <f>IF(VLOOKUP($C697,REV!$C:$AA,23,0)-'TRADE IN'!$F706=0,"",(VLOOKUP($C697,REV!$C:$AA,23,0)-'TRADE IN'!$F697))</f>
        <v>4299</v>
      </c>
      <c r="Z697" s="46">
        <f>IF(VLOOKUP($C697,REV!$C:$AA,24,0)-'TRADE IN'!$F706=0,"",(VLOOKUP($C697,REV!$C:$AA,24,0)-'TRADE IN'!$F697))</f>
        <v>4299</v>
      </c>
      <c r="AA697" s="46">
        <f>IF(VLOOKUP($C697,REV!$C:$AA,25,0)-'TRADE IN'!$F706=0,"",(VLOOKUP($C697,REV!$C:$AA,25,0)-'TRADE IN'!$F697))</f>
        <v>4249</v>
      </c>
      <c r="AB697" s="46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7"/>
      <c r="AW697" s="48" t="str">
        <f>IF(REV!AW697=0,"",REV!AW697)</f>
        <v>31.03.2026</v>
      </c>
      <c r="AX697" s="159" t="s">
        <v>82</v>
      </c>
    </row>
    <row r="698" spans="1:50" ht="22.5" customHeight="1">
      <c r="A698" s="52" t="s">
        <v>70</v>
      </c>
      <c r="B698" s="41" t="s">
        <v>62</v>
      </c>
      <c r="C698" s="42">
        <v>4016028</v>
      </c>
      <c r="D698" s="44" t="s">
        <v>927</v>
      </c>
      <c r="E698" s="44" t="s">
        <v>934</v>
      </c>
      <c r="F698" s="45"/>
      <c r="G698" s="45"/>
      <c r="H698" s="45"/>
      <c r="I698" s="45"/>
      <c r="J698" s="46">
        <f>IF(VLOOKUP($C698,REV!$C:$AA,8,0)-'TRADE IN'!$F698=0,"",(VLOOKUP($C698,REV!$C:$AA,8,0)-'TRADE IN'!$F698))</f>
        <v>5799</v>
      </c>
      <c r="K698" s="46">
        <f>IF(VLOOKUP($C698,REV!$C:$AA,9,0)-'TRADE IN'!$F698=0,"",(VLOOKUP($C698,REV!$C:$AA,9,0)-'TRADE IN'!$F698))</f>
        <v>5799</v>
      </c>
      <c r="L698" s="46">
        <f>IF(VLOOKUP($C698,REV!$C:$AA,10,0)-'TRADE IN'!$F707=0,"",(VLOOKUP($C698,REV!$C:$AA,10,0)-'TRADE IN'!$F698))</f>
        <v>5799</v>
      </c>
      <c r="M698" s="46">
        <f>IF(VLOOKUP($C698,REV!$C:$AA,11,0)-'TRADE IN'!$F707=0,"",(VLOOKUP($C698,REV!$C:$AA,11,0)-'TRADE IN'!$F698))</f>
        <v>5799</v>
      </c>
      <c r="N698" s="46">
        <f>IF(VLOOKUP($C698,REV!$C:$AA,12,0)-'TRADE IN'!$F707=0,"",(VLOOKUP($C698,REV!$C:$AA,12,0)-'TRADE IN'!$F698))</f>
        <v>5799</v>
      </c>
      <c r="O698" s="46">
        <f>IF(VLOOKUP($C698,REV!$C:$AA,13,0)-'TRADE IN'!$F707=0,"",(VLOOKUP($C698,REV!$C:$AA,13,0)-'TRADE IN'!$F698))</f>
        <v>4899</v>
      </c>
      <c r="P698" s="46">
        <f>IF(VLOOKUP($C698,REV!$C:$AA,14,0)-'TRADE IN'!$F707=0,"",(VLOOKUP($C698,REV!$C:$AA,14,0)-'TRADE IN'!$F698))</f>
        <v>4799</v>
      </c>
      <c r="Q698" s="46">
        <f>IF(VLOOKUP($C698,REV!$C:$AA,15,0)-'TRADE IN'!$F707=0,"",(VLOOKUP($C698,REV!$C:$AA,15,0)-'TRADE IN'!$F698))</f>
        <v>4599</v>
      </c>
      <c r="R698" s="46">
        <f>IF(VLOOKUP($C698,REV!$C:$AA,16,0)-'TRADE IN'!$F707=0,"",(VLOOKUP($C698,REV!$C:$AA,16,0)-'TRADE IN'!$F698))</f>
        <v>4899</v>
      </c>
      <c r="S698" s="46">
        <f>IF(VLOOKUP($C698,REV!$C:$AA,17,0)-'TRADE IN'!$F707=0,"",(VLOOKUP($C698,REV!$C:$AA,17,0)-'TRADE IN'!$F698))</f>
        <v>4799</v>
      </c>
      <c r="T698" s="46">
        <f>IF(VLOOKUP($C698,REV!$C:$AA,18,0)-'TRADE IN'!$F707=0,"",(VLOOKUP($C698,REV!$C:$AA,18,0)-'TRADE IN'!$F698))</f>
        <v>4599</v>
      </c>
      <c r="U698" s="46">
        <f>IF(VLOOKUP($C698,REV!$C:$AA,19,0)-'TRADE IN'!$F707=0,"",(VLOOKUP($C698,REV!$C:$AA,19,0)-'TRADE IN'!$F698))</f>
        <v>4599</v>
      </c>
      <c r="V698" s="46">
        <f>IF(VLOOKUP($C698,REV!$C:$AA,20,0)-'TRADE IN'!$F707=0,"",(VLOOKUP($C698,REV!$C:$AA,20,0)-'TRADE IN'!$F698))</f>
        <v>4599</v>
      </c>
      <c r="W698" s="46">
        <f>IF(VLOOKUP($C698,REV!$C:$AA,21,0)-'TRADE IN'!$F707=0,"",(VLOOKUP($C698,REV!$C:$AA,21,0)-'TRADE IN'!$F698))</f>
        <v>4599</v>
      </c>
      <c r="X698" s="46">
        <f>IF(VLOOKUP($C698,REV!$C:$AA,22,0)-'TRADE IN'!$F707=0,"",(VLOOKUP($C698,REV!$C:$AA,22,0)-'TRADE IN'!$F698))</f>
        <v>4499</v>
      </c>
      <c r="Y698" s="46">
        <f>IF(VLOOKUP($C698,REV!$C:$AA,23,0)-'TRADE IN'!$F707=0,"",(VLOOKUP($C698,REV!$C:$AA,23,0)-'TRADE IN'!$F698))</f>
        <v>4299</v>
      </c>
      <c r="Z698" s="46">
        <f>IF(VLOOKUP($C698,REV!$C:$AA,24,0)-'TRADE IN'!$F707=0,"",(VLOOKUP($C698,REV!$C:$AA,24,0)-'TRADE IN'!$F698))</f>
        <v>4299</v>
      </c>
      <c r="AA698" s="46">
        <f>IF(VLOOKUP($C698,REV!$C:$AA,25,0)-'TRADE IN'!$F707=0,"",(VLOOKUP($C698,REV!$C:$AA,25,0)-'TRADE IN'!$F698))</f>
        <v>4249</v>
      </c>
      <c r="AB698" s="46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7"/>
      <c r="AW698" s="48" t="str">
        <f>IF(REV!AW698=0,"",REV!AW698)</f>
        <v>31.03.2026</v>
      </c>
      <c r="AX698" s="159" t="s">
        <v>82</v>
      </c>
    </row>
    <row r="699" spans="1:50" ht="22.5" customHeight="1">
      <c r="A699" s="52" t="s">
        <v>70</v>
      </c>
      <c r="B699" s="41" t="s">
        <v>62</v>
      </c>
      <c r="C699" s="42">
        <v>4016059</v>
      </c>
      <c r="D699" s="44" t="s">
        <v>927</v>
      </c>
      <c r="E699" s="44" t="s">
        <v>935</v>
      </c>
      <c r="F699" s="45"/>
      <c r="G699" s="45"/>
      <c r="H699" s="45"/>
      <c r="I699" s="45"/>
      <c r="J699" s="46">
        <f>IF(VLOOKUP($C699,REV!$C:$AA,8,0)-'TRADE IN'!$F699=0,"",(VLOOKUP($C699,REV!$C:$AA,8,0)-'TRADE IN'!$F699))</f>
        <v>5799</v>
      </c>
      <c r="K699" s="46">
        <f>IF(VLOOKUP($C699,REV!$C:$AA,9,0)-'TRADE IN'!$F699=0,"",(VLOOKUP($C699,REV!$C:$AA,9,0)-'TRADE IN'!$F699))</f>
        <v>5799</v>
      </c>
      <c r="L699" s="46">
        <f>IF(VLOOKUP($C699,REV!$C:$AA,10,0)-'TRADE IN'!$F708=0,"",(VLOOKUP($C699,REV!$C:$AA,10,0)-'TRADE IN'!$F699))</f>
        <v>5799</v>
      </c>
      <c r="M699" s="46">
        <f>IF(VLOOKUP($C699,REV!$C:$AA,11,0)-'TRADE IN'!$F708=0,"",(VLOOKUP($C699,REV!$C:$AA,11,0)-'TRADE IN'!$F699))</f>
        <v>5799</v>
      </c>
      <c r="N699" s="46">
        <f>IF(VLOOKUP($C699,REV!$C:$AA,12,0)-'TRADE IN'!$F708=0,"",(VLOOKUP($C699,REV!$C:$AA,12,0)-'TRADE IN'!$F699))</f>
        <v>5799</v>
      </c>
      <c r="O699" s="46">
        <f>IF(VLOOKUP($C699,REV!$C:$AA,13,0)-'TRADE IN'!$F708=0,"",(VLOOKUP($C699,REV!$C:$AA,13,0)-'TRADE IN'!$F699))</f>
        <v>4899</v>
      </c>
      <c r="P699" s="46">
        <f>IF(VLOOKUP($C699,REV!$C:$AA,14,0)-'TRADE IN'!$F708=0,"",(VLOOKUP($C699,REV!$C:$AA,14,0)-'TRADE IN'!$F699))</f>
        <v>4799</v>
      </c>
      <c r="Q699" s="46">
        <f>IF(VLOOKUP($C699,REV!$C:$AA,15,0)-'TRADE IN'!$F708=0,"",(VLOOKUP($C699,REV!$C:$AA,15,0)-'TRADE IN'!$F699))</f>
        <v>4599</v>
      </c>
      <c r="R699" s="46">
        <f>IF(VLOOKUP($C699,REV!$C:$AA,16,0)-'TRADE IN'!$F708=0,"",(VLOOKUP($C699,REV!$C:$AA,16,0)-'TRADE IN'!$F699))</f>
        <v>4899</v>
      </c>
      <c r="S699" s="46">
        <f>IF(VLOOKUP($C699,REV!$C:$AA,17,0)-'TRADE IN'!$F708=0,"",(VLOOKUP($C699,REV!$C:$AA,17,0)-'TRADE IN'!$F699))</f>
        <v>4799</v>
      </c>
      <c r="T699" s="46">
        <f>IF(VLOOKUP($C699,REV!$C:$AA,18,0)-'TRADE IN'!$F708=0,"",(VLOOKUP($C699,REV!$C:$AA,18,0)-'TRADE IN'!$F699))</f>
        <v>4599</v>
      </c>
      <c r="U699" s="46">
        <f>IF(VLOOKUP($C699,REV!$C:$AA,19,0)-'TRADE IN'!$F708=0,"",(VLOOKUP($C699,REV!$C:$AA,19,0)-'TRADE IN'!$F699))</f>
        <v>4599</v>
      </c>
      <c r="V699" s="46">
        <f>IF(VLOOKUP($C699,REV!$C:$AA,20,0)-'TRADE IN'!$F708=0,"",(VLOOKUP($C699,REV!$C:$AA,20,0)-'TRADE IN'!$F699))</f>
        <v>4599</v>
      </c>
      <c r="W699" s="46">
        <f>IF(VLOOKUP($C699,REV!$C:$AA,21,0)-'TRADE IN'!$F708=0,"",(VLOOKUP($C699,REV!$C:$AA,21,0)-'TRADE IN'!$F699))</f>
        <v>4599</v>
      </c>
      <c r="X699" s="46">
        <f>IF(VLOOKUP($C699,REV!$C:$AA,22,0)-'TRADE IN'!$F708=0,"",(VLOOKUP($C699,REV!$C:$AA,22,0)-'TRADE IN'!$F699))</f>
        <v>4499</v>
      </c>
      <c r="Y699" s="46">
        <f>IF(VLOOKUP($C699,REV!$C:$AA,23,0)-'TRADE IN'!$F708=0,"",(VLOOKUP($C699,REV!$C:$AA,23,0)-'TRADE IN'!$F699))</f>
        <v>4299</v>
      </c>
      <c r="Z699" s="46">
        <f>IF(VLOOKUP($C699,REV!$C:$AA,24,0)-'TRADE IN'!$F708=0,"",(VLOOKUP($C699,REV!$C:$AA,24,0)-'TRADE IN'!$F699))</f>
        <v>4299</v>
      </c>
      <c r="AA699" s="46">
        <f>IF(VLOOKUP($C699,REV!$C:$AA,25,0)-'TRADE IN'!$F708=0,"",(VLOOKUP($C699,REV!$C:$AA,25,0)-'TRADE IN'!$F699))</f>
        <v>4249</v>
      </c>
      <c r="AB699" s="46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7"/>
      <c r="AW699" s="48" t="str">
        <f>IF(REV!AW699=0,"",REV!AW699)</f>
        <v>31.03.2026</v>
      </c>
      <c r="AX699" s="159" t="s">
        <v>82</v>
      </c>
    </row>
    <row r="700" spans="1:50" ht="22.5" customHeight="1">
      <c r="A700" s="52" t="s">
        <v>70</v>
      </c>
      <c r="B700" s="41" t="s">
        <v>62</v>
      </c>
      <c r="C700" s="42">
        <v>4016032</v>
      </c>
      <c r="D700" s="44" t="s">
        <v>936</v>
      </c>
      <c r="E700" s="44" t="s">
        <v>937</v>
      </c>
      <c r="F700" s="45"/>
      <c r="G700" s="45"/>
      <c r="H700" s="45"/>
      <c r="I700" s="45"/>
      <c r="J700" s="46">
        <f>IF(VLOOKUP($C700,REV!$C:$AA,8,0)-'TRADE IN'!$F700=0,"",(VLOOKUP($C700,REV!$C:$AA,8,0)-'TRADE IN'!$F700))</f>
        <v>5999</v>
      </c>
      <c r="K700" s="46">
        <f>IF(VLOOKUP($C700,REV!$C:$AA,9,0)-'TRADE IN'!$F700=0,"",(VLOOKUP($C700,REV!$C:$AA,9,0)-'TRADE IN'!$F700))</f>
        <v>5999</v>
      </c>
      <c r="L700" s="46">
        <f>IF(VLOOKUP($C700,REV!$C:$AA,10,0)-'TRADE IN'!$F709=0,"",(VLOOKUP($C700,REV!$C:$AA,10,0)-'TRADE IN'!$F700))</f>
        <v>5999</v>
      </c>
      <c r="M700" s="46">
        <f>IF(VLOOKUP($C700,REV!$C:$AA,11,0)-'TRADE IN'!$F709=0,"",(VLOOKUP($C700,REV!$C:$AA,11,0)-'TRADE IN'!$F700))</f>
        <v>5999</v>
      </c>
      <c r="N700" s="46">
        <f>IF(VLOOKUP($C700,REV!$C:$AA,12,0)-'TRADE IN'!$F709=0,"",(VLOOKUP($C700,REV!$C:$AA,12,0)-'TRADE IN'!$F700))</f>
        <v>5999</v>
      </c>
      <c r="O700" s="46">
        <f>IF(VLOOKUP($C700,REV!$C:$AA,13,0)-'TRADE IN'!$F709=0,"",(VLOOKUP($C700,REV!$C:$AA,13,0)-'TRADE IN'!$F700))</f>
        <v>5899</v>
      </c>
      <c r="P700" s="46">
        <f>IF(VLOOKUP($C700,REV!$C:$AA,14,0)-'TRADE IN'!$F709=0,"",(VLOOKUP($C700,REV!$C:$AA,14,0)-'TRADE IN'!$F700))</f>
        <v>5799</v>
      </c>
      <c r="Q700" s="46">
        <f>IF(VLOOKUP($C700,REV!$C:$AA,15,0)-'TRADE IN'!$F709=0,"",(VLOOKUP($C700,REV!$C:$AA,15,0)-'TRADE IN'!$F700))</f>
        <v>5499</v>
      </c>
      <c r="R700" s="46">
        <f>IF(VLOOKUP($C700,REV!$C:$AA,16,0)-'TRADE IN'!$F709=0,"",(VLOOKUP($C700,REV!$C:$AA,16,0)-'TRADE IN'!$F700))</f>
        <v>5899</v>
      </c>
      <c r="S700" s="46">
        <f>IF(VLOOKUP($C700,REV!$C:$AA,17,0)-'TRADE IN'!$F709=0,"",(VLOOKUP($C700,REV!$C:$AA,17,0)-'TRADE IN'!$F700))</f>
        <v>5799</v>
      </c>
      <c r="T700" s="46">
        <f>IF(VLOOKUP($C700,REV!$C:$AA,18,0)-'TRADE IN'!$F709=0,"",(VLOOKUP($C700,REV!$C:$AA,18,0)-'TRADE IN'!$F700))</f>
        <v>5499</v>
      </c>
      <c r="U700" s="46">
        <f>IF(VLOOKUP($C700,REV!$C:$AA,19,0)-'TRADE IN'!$F709=0,"",(VLOOKUP($C700,REV!$C:$AA,19,0)-'TRADE IN'!$F700))</f>
        <v>5499</v>
      </c>
      <c r="V700" s="46">
        <f>IF(VLOOKUP($C700,REV!$C:$AA,20,0)-'TRADE IN'!$F709=0,"",(VLOOKUP($C700,REV!$C:$AA,20,0)-'TRADE IN'!$F700))</f>
        <v>5499</v>
      </c>
      <c r="W700" s="46">
        <f>IF(VLOOKUP($C700,REV!$C:$AA,21,0)-'TRADE IN'!$F709=0,"",(VLOOKUP($C700,REV!$C:$AA,21,0)-'TRADE IN'!$F700))</f>
        <v>5499</v>
      </c>
      <c r="X700" s="46">
        <f>IF(VLOOKUP($C700,REV!$C:$AA,22,0)-'TRADE IN'!$F709=0,"",(VLOOKUP($C700,REV!$C:$AA,22,0)-'TRADE IN'!$F700))</f>
        <v>5399</v>
      </c>
      <c r="Y700" s="46">
        <f>IF(VLOOKUP($C700,REV!$C:$AA,23,0)-'TRADE IN'!$F709=0,"",(VLOOKUP($C700,REV!$C:$AA,23,0)-'TRADE IN'!$F700))</f>
        <v>3999</v>
      </c>
      <c r="Z700" s="46">
        <f>IF(VLOOKUP($C700,REV!$C:$AA,24,0)-'TRADE IN'!$F709=0,"",(VLOOKUP($C700,REV!$C:$AA,24,0)-'TRADE IN'!$F700))</f>
        <v>3999</v>
      </c>
      <c r="AA700" s="46">
        <f>IF(VLOOKUP($C700,REV!$C:$AA,25,0)-'TRADE IN'!$F709=0,"",(VLOOKUP($C700,REV!$C:$AA,25,0)-'TRADE IN'!$F700))</f>
        <v>3999</v>
      </c>
      <c r="AB700" s="46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7"/>
      <c r="AW700" s="48" t="str">
        <f>IF(REV!AW700=0,"",REV!AW700)</f>
        <v>31.03.2026</v>
      </c>
      <c r="AX700" s="159" t="s">
        <v>82</v>
      </c>
    </row>
    <row r="701" spans="1:50" ht="22.5" customHeight="1">
      <c r="A701" s="52" t="s">
        <v>70</v>
      </c>
      <c r="B701" s="41" t="s">
        <v>62</v>
      </c>
      <c r="C701" s="42">
        <v>4016065</v>
      </c>
      <c r="D701" s="44" t="s">
        <v>936</v>
      </c>
      <c r="E701" s="44" t="s">
        <v>938</v>
      </c>
      <c r="F701" s="45"/>
      <c r="G701" s="45"/>
      <c r="H701" s="45"/>
      <c r="I701" s="45"/>
      <c r="J701" s="46">
        <f>IF(VLOOKUP($C701,REV!$C:$AA,8,0)-'TRADE IN'!$F701=0,"",(VLOOKUP($C701,REV!$C:$AA,8,0)-'TRADE IN'!$F701))</f>
        <v>5999</v>
      </c>
      <c r="K701" s="46">
        <f>IF(VLOOKUP($C701,REV!$C:$AA,9,0)-'TRADE IN'!$F701=0,"",(VLOOKUP($C701,REV!$C:$AA,9,0)-'TRADE IN'!$F701))</f>
        <v>5999</v>
      </c>
      <c r="L701" s="46">
        <f>IF(VLOOKUP($C701,REV!$C:$AA,10,0)-'TRADE IN'!$F710=0,"",(VLOOKUP($C701,REV!$C:$AA,10,0)-'TRADE IN'!$F701))</f>
        <v>5999</v>
      </c>
      <c r="M701" s="46">
        <f>IF(VLOOKUP($C701,REV!$C:$AA,11,0)-'TRADE IN'!$F710=0,"",(VLOOKUP($C701,REV!$C:$AA,11,0)-'TRADE IN'!$F701))</f>
        <v>5999</v>
      </c>
      <c r="N701" s="46">
        <f>IF(VLOOKUP($C701,REV!$C:$AA,12,0)-'TRADE IN'!$F710=0,"",(VLOOKUP($C701,REV!$C:$AA,12,0)-'TRADE IN'!$F701))</f>
        <v>5999</v>
      </c>
      <c r="O701" s="46">
        <f>IF(VLOOKUP($C701,REV!$C:$AA,13,0)-'TRADE IN'!$F710=0,"",(VLOOKUP($C701,REV!$C:$AA,13,0)-'TRADE IN'!$F701))</f>
        <v>5899</v>
      </c>
      <c r="P701" s="46">
        <f>IF(VLOOKUP($C701,REV!$C:$AA,14,0)-'TRADE IN'!$F710=0,"",(VLOOKUP($C701,REV!$C:$AA,14,0)-'TRADE IN'!$F701))</f>
        <v>5799</v>
      </c>
      <c r="Q701" s="46">
        <f>IF(VLOOKUP($C701,REV!$C:$AA,15,0)-'TRADE IN'!$F710=0,"",(VLOOKUP($C701,REV!$C:$AA,15,0)-'TRADE IN'!$F701))</f>
        <v>5499</v>
      </c>
      <c r="R701" s="46">
        <f>IF(VLOOKUP($C701,REV!$C:$AA,16,0)-'TRADE IN'!$F710=0,"",(VLOOKUP($C701,REV!$C:$AA,16,0)-'TRADE IN'!$F701))</f>
        <v>5899</v>
      </c>
      <c r="S701" s="46">
        <f>IF(VLOOKUP($C701,REV!$C:$AA,17,0)-'TRADE IN'!$F710=0,"",(VLOOKUP($C701,REV!$C:$AA,17,0)-'TRADE IN'!$F701))</f>
        <v>5799</v>
      </c>
      <c r="T701" s="46">
        <f>IF(VLOOKUP($C701,REV!$C:$AA,18,0)-'TRADE IN'!$F710=0,"",(VLOOKUP($C701,REV!$C:$AA,18,0)-'TRADE IN'!$F701))</f>
        <v>5499</v>
      </c>
      <c r="U701" s="46">
        <f>IF(VLOOKUP($C701,REV!$C:$AA,19,0)-'TRADE IN'!$F710=0,"",(VLOOKUP($C701,REV!$C:$AA,19,0)-'TRADE IN'!$F701))</f>
        <v>5499</v>
      </c>
      <c r="V701" s="46">
        <f>IF(VLOOKUP($C701,REV!$C:$AA,20,0)-'TRADE IN'!$F710=0,"",(VLOOKUP($C701,REV!$C:$AA,20,0)-'TRADE IN'!$F701))</f>
        <v>5499</v>
      </c>
      <c r="W701" s="46">
        <f>IF(VLOOKUP($C701,REV!$C:$AA,21,0)-'TRADE IN'!$F710=0,"",(VLOOKUP($C701,REV!$C:$AA,21,0)-'TRADE IN'!$F701))</f>
        <v>5499</v>
      </c>
      <c r="X701" s="46">
        <f>IF(VLOOKUP($C701,REV!$C:$AA,22,0)-'TRADE IN'!$F710=0,"",(VLOOKUP($C701,REV!$C:$AA,22,0)-'TRADE IN'!$F701))</f>
        <v>5399</v>
      </c>
      <c r="Y701" s="46">
        <f>IF(VLOOKUP($C701,REV!$C:$AA,23,0)-'TRADE IN'!$F710=0,"",(VLOOKUP($C701,REV!$C:$AA,23,0)-'TRADE IN'!$F701))</f>
        <v>3999</v>
      </c>
      <c r="Z701" s="46">
        <f>IF(VLOOKUP($C701,REV!$C:$AA,24,0)-'TRADE IN'!$F710=0,"",(VLOOKUP($C701,REV!$C:$AA,24,0)-'TRADE IN'!$F701))</f>
        <v>3999</v>
      </c>
      <c r="AA701" s="46">
        <f>IF(VLOOKUP($C701,REV!$C:$AA,25,0)-'TRADE IN'!$F710=0,"",(VLOOKUP($C701,REV!$C:$AA,25,0)-'TRADE IN'!$F701))</f>
        <v>3999</v>
      </c>
      <c r="AB701" s="46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7"/>
      <c r="AW701" s="48" t="str">
        <f>IF(REV!AW701=0,"",REV!AW701)</f>
        <v>31.03.2026</v>
      </c>
      <c r="AX701" s="159" t="s">
        <v>82</v>
      </c>
    </row>
    <row r="702" spans="1:50" ht="22.5" customHeight="1">
      <c r="A702" s="52" t="s">
        <v>70</v>
      </c>
      <c r="B702" s="41" t="s">
        <v>62</v>
      </c>
      <c r="C702" s="42">
        <v>4016041</v>
      </c>
      <c r="D702" s="44" t="s">
        <v>936</v>
      </c>
      <c r="E702" s="44" t="s">
        <v>939</v>
      </c>
      <c r="F702" s="45"/>
      <c r="G702" s="45"/>
      <c r="H702" s="45"/>
      <c r="I702" s="45"/>
      <c r="J702" s="46">
        <f>IF(VLOOKUP($C702,REV!$C:$AA,8,0)-'TRADE IN'!$F702=0,"",(VLOOKUP($C702,REV!$C:$AA,8,0)-'TRADE IN'!$F702))</f>
        <v>5999</v>
      </c>
      <c r="K702" s="46">
        <f>IF(VLOOKUP($C702,REV!$C:$AA,9,0)-'TRADE IN'!$F702=0,"",(VLOOKUP($C702,REV!$C:$AA,9,0)-'TRADE IN'!$F702))</f>
        <v>5999</v>
      </c>
      <c r="L702" s="46">
        <f>IF(VLOOKUP($C702,REV!$C:$AA,10,0)-'TRADE IN'!$F711=0,"",(VLOOKUP($C702,REV!$C:$AA,10,0)-'TRADE IN'!$F702))</f>
        <v>5999</v>
      </c>
      <c r="M702" s="46">
        <f>IF(VLOOKUP($C702,REV!$C:$AA,11,0)-'TRADE IN'!$F711=0,"",(VLOOKUP($C702,REV!$C:$AA,11,0)-'TRADE IN'!$F702))</f>
        <v>5999</v>
      </c>
      <c r="N702" s="46">
        <f>IF(VLOOKUP($C702,REV!$C:$AA,12,0)-'TRADE IN'!$F711=0,"",(VLOOKUP($C702,REV!$C:$AA,12,0)-'TRADE IN'!$F702))</f>
        <v>5999</v>
      </c>
      <c r="O702" s="46">
        <f>IF(VLOOKUP($C702,REV!$C:$AA,13,0)-'TRADE IN'!$F711=0,"",(VLOOKUP($C702,REV!$C:$AA,13,0)-'TRADE IN'!$F702))</f>
        <v>5899</v>
      </c>
      <c r="P702" s="46">
        <f>IF(VLOOKUP($C702,REV!$C:$AA,14,0)-'TRADE IN'!$F711=0,"",(VLOOKUP($C702,REV!$C:$AA,14,0)-'TRADE IN'!$F702))</f>
        <v>5799</v>
      </c>
      <c r="Q702" s="46">
        <f>IF(VLOOKUP($C702,REV!$C:$AA,15,0)-'TRADE IN'!$F711=0,"",(VLOOKUP($C702,REV!$C:$AA,15,0)-'TRADE IN'!$F702))</f>
        <v>5499</v>
      </c>
      <c r="R702" s="46">
        <f>IF(VLOOKUP($C702,REV!$C:$AA,16,0)-'TRADE IN'!$F711=0,"",(VLOOKUP($C702,REV!$C:$AA,16,0)-'TRADE IN'!$F702))</f>
        <v>5899</v>
      </c>
      <c r="S702" s="46">
        <f>IF(VLOOKUP($C702,REV!$C:$AA,17,0)-'TRADE IN'!$F711=0,"",(VLOOKUP($C702,REV!$C:$AA,17,0)-'TRADE IN'!$F702))</f>
        <v>5799</v>
      </c>
      <c r="T702" s="46">
        <f>IF(VLOOKUP($C702,REV!$C:$AA,18,0)-'TRADE IN'!$F711=0,"",(VLOOKUP($C702,REV!$C:$AA,18,0)-'TRADE IN'!$F702))</f>
        <v>5499</v>
      </c>
      <c r="U702" s="46">
        <f>IF(VLOOKUP($C702,REV!$C:$AA,19,0)-'TRADE IN'!$F711=0,"",(VLOOKUP($C702,REV!$C:$AA,19,0)-'TRADE IN'!$F702))</f>
        <v>5499</v>
      </c>
      <c r="V702" s="46">
        <f>IF(VLOOKUP($C702,REV!$C:$AA,20,0)-'TRADE IN'!$F711=0,"",(VLOOKUP($C702,REV!$C:$AA,20,0)-'TRADE IN'!$F702))</f>
        <v>5499</v>
      </c>
      <c r="W702" s="46">
        <f>IF(VLOOKUP($C702,REV!$C:$AA,21,0)-'TRADE IN'!$F711=0,"",(VLOOKUP($C702,REV!$C:$AA,21,0)-'TRADE IN'!$F702))</f>
        <v>5499</v>
      </c>
      <c r="X702" s="46">
        <f>IF(VLOOKUP($C702,REV!$C:$AA,22,0)-'TRADE IN'!$F711=0,"",(VLOOKUP($C702,REV!$C:$AA,22,0)-'TRADE IN'!$F702))</f>
        <v>5399</v>
      </c>
      <c r="Y702" s="46">
        <f>IF(VLOOKUP($C702,REV!$C:$AA,23,0)-'TRADE IN'!$F711=0,"",(VLOOKUP($C702,REV!$C:$AA,23,0)-'TRADE IN'!$F702))</f>
        <v>3999</v>
      </c>
      <c r="Z702" s="46">
        <f>IF(VLOOKUP($C702,REV!$C:$AA,24,0)-'TRADE IN'!$F711=0,"",(VLOOKUP($C702,REV!$C:$AA,24,0)-'TRADE IN'!$F702))</f>
        <v>3999</v>
      </c>
      <c r="AA702" s="46">
        <f>IF(VLOOKUP($C702,REV!$C:$AA,25,0)-'TRADE IN'!$F711=0,"",(VLOOKUP($C702,REV!$C:$AA,25,0)-'TRADE IN'!$F702))</f>
        <v>3999</v>
      </c>
      <c r="AB702" s="46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7"/>
      <c r="AW702" s="48" t="str">
        <f>IF(REV!AW702=0,"",REV!AW702)</f>
        <v>31.03.2026</v>
      </c>
      <c r="AX702" s="159" t="s">
        <v>82</v>
      </c>
    </row>
    <row r="703" spans="1:50" ht="22.5" customHeight="1">
      <c r="A703" s="52" t="s">
        <v>70</v>
      </c>
      <c r="B703" s="41" t="s">
        <v>62</v>
      </c>
      <c r="C703" s="42">
        <v>4016073</v>
      </c>
      <c r="D703" s="44" t="s">
        <v>936</v>
      </c>
      <c r="E703" s="44" t="s">
        <v>940</v>
      </c>
      <c r="F703" s="45"/>
      <c r="G703" s="45"/>
      <c r="H703" s="45"/>
      <c r="I703" s="45"/>
      <c r="J703" s="46">
        <f>IF(VLOOKUP($C703,REV!$C:$AA,8,0)-'TRADE IN'!$F703=0,"",(VLOOKUP($C703,REV!$C:$AA,8,0)-'TRADE IN'!$F703))</f>
        <v>5999</v>
      </c>
      <c r="K703" s="46">
        <f>IF(VLOOKUP($C703,REV!$C:$AA,9,0)-'TRADE IN'!$F703=0,"",(VLOOKUP($C703,REV!$C:$AA,9,0)-'TRADE IN'!$F703))</f>
        <v>5999</v>
      </c>
      <c r="L703" s="46">
        <f>IF(VLOOKUP($C703,REV!$C:$AA,10,0)-'TRADE IN'!$F712=0,"",(VLOOKUP($C703,REV!$C:$AA,10,0)-'TRADE IN'!$F703))</f>
        <v>5999</v>
      </c>
      <c r="M703" s="46">
        <f>IF(VLOOKUP($C703,REV!$C:$AA,11,0)-'TRADE IN'!$F712=0,"",(VLOOKUP($C703,REV!$C:$AA,11,0)-'TRADE IN'!$F703))</f>
        <v>5999</v>
      </c>
      <c r="N703" s="46">
        <f>IF(VLOOKUP($C703,REV!$C:$AA,12,0)-'TRADE IN'!$F712=0,"",(VLOOKUP($C703,REV!$C:$AA,12,0)-'TRADE IN'!$F703))</f>
        <v>5999</v>
      </c>
      <c r="O703" s="46">
        <f>IF(VLOOKUP($C703,REV!$C:$AA,13,0)-'TRADE IN'!$F712=0,"",(VLOOKUP($C703,REV!$C:$AA,13,0)-'TRADE IN'!$F703))</f>
        <v>5899</v>
      </c>
      <c r="P703" s="46">
        <f>IF(VLOOKUP($C703,REV!$C:$AA,14,0)-'TRADE IN'!$F712=0,"",(VLOOKUP($C703,REV!$C:$AA,14,0)-'TRADE IN'!$F703))</f>
        <v>5799</v>
      </c>
      <c r="Q703" s="46">
        <f>IF(VLOOKUP($C703,REV!$C:$AA,15,0)-'TRADE IN'!$F712=0,"",(VLOOKUP($C703,REV!$C:$AA,15,0)-'TRADE IN'!$F703))</f>
        <v>5499</v>
      </c>
      <c r="R703" s="46">
        <f>IF(VLOOKUP($C703,REV!$C:$AA,16,0)-'TRADE IN'!$F712=0,"",(VLOOKUP($C703,REV!$C:$AA,16,0)-'TRADE IN'!$F703))</f>
        <v>5899</v>
      </c>
      <c r="S703" s="46">
        <f>IF(VLOOKUP($C703,REV!$C:$AA,17,0)-'TRADE IN'!$F712=0,"",(VLOOKUP($C703,REV!$C:$AA,17,0)-'TRADE IN'!$F703))</f>
        <v>5799</v>
      </c>
      <c r="T703" s="46">
        <f>IF(VLOOKUP($C703,REV!$C:$AA,18,0)-'TRADE IN'!$F712=0,"",(VLOOKUP($C703,REV!$C:$AA,18,0)-'TRADE IN'!$F703))</f>
        <v>5499</v>
      </c>
      <c r="U703" s="46">
        <f>IF(VLOOKUP($C703,REV!$C:$AA,19,0)-'TRADE IN'!$F712=0,"",(VLOOKUP($C703,REV!$C:$AA,19,0)-'TRADE IN'!$F703))</f>
        <v>5499</v>
      </c>
      <c r="V703" s="46">
        <f>IF(VLOOKUP($C703,REV!$C:$AA,20,0)-'TRADE IN'!$F712=0,"",(VLOOKUP($C703,REV!$C:$AA,20,0)-'TRADE IN'!$F703))</f>
        <v>5499</v>
      </c>
      <c r="W703" s="46">
        <f>IF(VLOOKUP($C703,REV!$C:$AA,21,0)-'TRADE IN'!$F712=0,"",(VLOOKUP($C703,REV!$C:$AA,21,0)-'TRADE IN'!$F703))</f>
        <v>5499</v>
      </c>
      <c r="X703" s="46">
        <f>IF(VLOOKUP($C703,REV!$C:$AA,22,0)-'TRADE IN'!$F712=0,"",(VLOOKUP($C703,REV!$C:$AA,22,0)-'TRADE IN'!$F703))</f>
        <v>5399</v>
      </c>
      <c r="Y703" s="46">
        <f>IF(VLOOKUP($C703,REV!$C:$AA,23,0)-'TRADE IN'!$F712=0,"",(VLOOKUP($C703,REV!$C:$AA,23,0)-'TRADE IN'!$F703))</f>
        <v>3999</v>
      </c>
      <c r="Z703" s="46">
        <f>IF(VLOOKUP($C703,REV!$C:$AA,24,0)-'TRADE IN'!$F712=0,"",(VLOOKUP($C703,REV!$C:$AA,24,0)-'TRADE IN'!$F703))</f>
        <v>3999</v>
      </c>
      <c r="AA703" s="46">
        <f>IF(VLOOKUP($C703,REV!$C:$AA,25,0)-'TRADE IN'!$F712=0,"",(VLOOKUP($C703,REV!$C:$AA,25,0)-'TRADE IN'!$F703))</f>
        <v>3999</v>
      </c>
      <c r="AB703" s="46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7"/>
      <c r="AW703" s="48" t="str">
        <f>IF(REV!AW703=0,"",REV!AW703)</f>
        <v>31.03.2026</v>
      </c>
      <c r="AX703" s="159" t="s">
        <v>82</v>
      </c>
    </row>
    <row r="704" spans="1:50" ht="22.5" customHeight="1">
      <c r="A704" s="52" t="s">
        <v>70</v>
      </c>
      <c r="B704" s="41" t="s">
        <v>62</v>
      </c>
      <c r="C704" s="42">
        <v>4016554</v>
      </c>
      <c r="D704" s="44" t="s">
        <v>941</v>
      </c>
      <c r="E704" s="44" t="s">
        <v>942</v>
      </c>
      <c r="F704" s="45"/>
      <c r="G704" s="45"/>
      <c r="H704" s="45"/>
      <c r="I704" s="45"/>
      <c r="J704" s="46">
        <f>IF(VLOOKUP($C704,REV!$C:$AA,8,0)-'TRADE IN'!$F704=0,"",(VLOOKUP($C704,REV!$C:$AA,8,0)-'TRADE IN'!$F704))</f>
        <v>2599</v>
      </c>
      <c r="K704" s="46">
        <f>IF(VLOOKUP($C704,REV!$C:$AA,9,0)-'TRADE IN'!$F704=0,"",(VLOOKUP($C704,REV!$C:$AA,9,0)-'TRADE IN'!$F704))</f>
        <v>2599</v>
      </c>
      <c r="L704" s="46">
        <f>IF(VLOOKUP($C704,REV!$C:$AA,10,0)-'TRADE IN'!$F713=0,"",(VLOOKUP($C704,REV!$C:$AA,10,0)-'TRADE IN'!$F704))</f>
        <v>2599</v>
      </c>
      <c r="M704" s="46">
        <f>IF(VLOOKUP($C704,REV!$C:$AA,11,0)-'TRADE IN'!$F713=0,"",(VLOOKUP($C704,REV!$C:$AA,11,0)-'TRADE IN'!$F704))</f>
        <v>2599</v>
      </c>
      <c r="N704" s="46">
        <f>IF(VLOOKUP($C704,REV!$C:$AA,12,0)-'TRADE IN'!$F713=0,"",(VLOOKUP($C704,REV!$C:$AA,12,0)-'TRADE IN'!$F704))</f>
        <v>2599</v>
      </c>
      <c r="O704" s="46">
        <f>IF(VLOOKUP($C704,REV!$C:$AA,13,0)-'TRADE IN'!$F713=0,"",(VLOOKUP($C704,REV!$C:$AA,13,0)-'TRADE IN'!$F704))</f>
        <v>2499</v>
      </c>
      <c r="P704" s="46">
        <f>IF(VLOOKUP($C704,REV!$C:$AA,14,0)-'TRADE IN'!$F713=0,"",(VLOOKUP($C704,REV!$C:$AA,14,0)-'TRADE IN'!$F704))</f>
        <v>2399</v>
      </c>
      <c r="Q704" s="46">
        <f>IF(VLOOKUP($C704,REV!$C:$AA,15,0)-'TRADE IN'!$F713=0,"",(VLOOKUP($C704,REV!$C:$AA,15,0)-'TRADE IN'!$F704))</f>
        <v>1499</v>
      </c>
      <c r="R704" s="46">
        <f>IF(VLOOKUP($C704,REV!$C:$AA,16,0)-'TRADE IN'!$F713=0,"",(VLOOKUP($C704,REV!$C:$AA,16,0)-'TRADE IN'!$F704))</f>
        <v>2499</v>
      </c>
      <c r="S704" s="46">
        <f>IF(VLOOKUP($C704,REV!$C:$AA,17,0)-'TRADE IN'!$F713=0,"",(VLOOKUP($C704,REV!$C:$AA,17,0)-'TRADE IN'!$F704))</f>
        <v>2399</v>
      </c>
      <c r="T704" s="46">
        <f>IF(VLOOKUP($C704,REV!$C:$AA,18,0)-'TRADE IN'!$F713=0,"",(VLOOKUP($C704,REV!$C:$AA,18,0)-'TRADE IN'!$F704))</f>
        <v>1499</v>
      </c>
      <c r="U704" s="46">
        <f>IF(VLOOKUP($C704,REV!$C:$AA,19,0)-'TRADE IN'!$F713=0,"",(VLOOKUP($C704,REV!$C:$AA,19,0)-'TRADE IN'!$F704))</f>
        <v>1499</v>
      </c>
      <c r="V704" s="46">
        <f>IF(VLOOKUP($C704,REV!$C:$AA,20,0)-'TRADE IN'!$F713=0,"",(VLOOKUP($C704,REV!$C:$AA,20,0)-'TRADE IN'!$F704))</f>
        <v>1499</v>
      </c>
      <c r="W704" s="46">
        <f>IF(VLOOKUP($C704,REV!$C:$AA,21,0)-'TRADE IN'!$F713=0,"",(VLOOKUP($C704,REV!$C:$AA,21,0)-'TRADE IN'!$F704))</f>
        <v>1499</v>
      </c>
      <c r="X704" s="46">
        <f>IF(VLOOKUP($C704,REV!$C:$AA,22,0)-'TRADE IN'!$F713=0,"",(VLOOKUP($C704,REV!$C:$AA,22,0)-'TRADE IN'!$F704))</f>
        <v>1399</v>
      </c>
      <c r="Y704" s="46">
        <f>IF(VLOOKUP($C704,REV!$C:$AA,23,0)-'TRADE IN'!$F713=0,"",(VLOOKUP($C704,REV!$C:$AA,23,0)-'TRADE IN'!$F704))</f>
        <v>999</v>
      </c>
      <c r="Z704" s="46">
        <f>IF(VLOOKUP($C704,REV!$C:$AA,24,0)-'TRADE IN'!$F713=0,"",(VLOOKUP($C704,REV!$C:$AA,24,0)-'TRADE IN'!$F704))</f>
        <v>999</v>
      </c>
      <c r="AA704" s="46">
        <f>IF(VLOOKUP($C704,REV!$C:$AA,25,0)-'TRADE IN'!$F713=0,"",(VLOOKUP($C704,REV!$C:$AA,25,0)-'TRADE IN'!$F704))</f>
        <v>999</v>
      </c>
      <c r="AB704" s="46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7"/>
      <c r="AW704" s="48" t="str">
        <f>IF(REV!AW704=0,"",REV!AW704)</f>
        <v>31.03.2026</v>
      </c>
      <c r="AX704" s="159" t="s">
        <v>82</v>
      </c>
    </row>
    <row r="705" spans="1:50" ht="22.5" customHeight="1">
      <c r="A705" s="52" t="s">
        <v>70</v>
      </c>
      <c r="B705" s="41" t="s">
        <v>62</v>
      </c>
      <c r="C705" s="42">
        <v>4016558</v>
      </c>
      <c r="D705" s="44" t="s">
        <v>941</v>
      </c>
      <c r="E705" s="44" t="s">
        <v>943</v>
      </c>
      <c r="F705" s="45"/>
      <c r="G705" s="45"/>
      <c r="H705" s="45"/>
      <c r="I705" s="45"/>
      <c r="J705" s="46">
        <f>IF(VLOOKUP($C705,REV!$C:$AA,8,0)-'TRADE IN'!$F705=0,"",(VLOOKUP($C705,REV!$C:$AA,8,0)-'TRADE IN'!$F705))</f>
        <v>2599</v>
      </c>
      <c r="K705" s="46">
        <f>IF(VLOOKUP($C705,REV!$C:$AA,9,0)-'TRADE IN'!$F705=0,"",(VLOOKUP($C705,REV!$C:$AA,9,0)-'TRADE IN'!$F705))</f>
        <v>2599</v>
      </c>
      <c r="L705" s="46">
        <f>IF(VLOOKUP($C705,REV!$C:$AA,10,0)-'TRADE IN'!$F714=0,"",(VLOOKUP($C705,REV!$C:$AA,10,0)-'TRADE IN'!$F705))</f>
        <v>2599</v>
      </c>
      <c r="M705" s="46">
        <f>IF(VLOOKUP($C705,REV!$C:$AA,11,0)-'TRADE IN'!$F714=0,"",(VLOOKUP($C705,REV!$C:$AA,11,0)-'TRADE IN'!$F705))</f>
        <v>2599</v>
      </c>
      <c r="N705" s="46">
        <f>IF(VLOOKUP($C705,REV!$C:$AA,12,0)-'TRADE IN'!$F714=0,"",(VLOOKUP($C705,REV!$C:$AA,12,0)-'TRADE IN'!$F705))</f>
        <v>2599</v>
      </c>
      <c r="O705" s="46">
        <f>IF(VLOOKUP($C705,REV!$C:$AA,13,0)-'TRADE IN'!$F714=0,"",(VLOOKUP($C705,REV!$C:$AA,13,0)-'TRADE IN'!$F705))</f>
        <v>2499</v>
      </c>
      <c r="P705" s="46">
        <f>IF(VLOOKUP($C705,REV!$C:$AA,14,0)-'TRADE IN'!$F714=0,"",(VLOOKUP($C705,REV!$C:$AA,14,0)-'TRADE IN'!$F705))</f>
        <v>2399</v>
      </c>
      <c r="Q705" s="46">
        <f>IF(VLOOKUP($C705,REV!$C:$AA,15,0)-'TRADE IN'!$F714=0,"",(VLOOKUP($C705,REV!$C:$AA,15,0)-'TRADE IN'!$F705))</f>
        <v>1499</v>
      </c>
      <c r="R705" s="46">
        <f>IF(VLOOKUP($C705,REV!$C:$AA,16,0)-'TRADE IN'!$F714=0,"",(VLOOKUP($C705,REV!$C:$AA,16,0)-'TRADE IN'!$F705))</f>
        <v>2499</v>
      </c>
      <c r="S705" s="46">
        <f>IF(VLOOKUP($C705,REV!$C:$AA,17,0)-'TRADE IN'!$F714=0,"",(VLOOKUP($C705,REV!$C:$AA,17,0)-'TRADE IN'!$F705))</f>
        <v>2399</v>
      </c>
      <c r="T705" s="46">
        <f>IF(VLOOKUP($C705,REV!$C:$AA,18,0)-'TRADE IN'!$F714=0,"",(VLOOKUP($C705,REV!$C:$AA,18,0)-'TRADE IN'!$F705))</f>
        <v>1499</v>
      </c>
      <c r="U705" s="46">
        <f>IF(VLOOKUP($C705,REV!$C:$AA,19,0)-'TRADE IN'!$F714=0,"",(VLOOKUP($C705,REV!$C:$AA,19,0)-'TRADE IN'!$F705))</f>
        <v>1499</v>
      </c>
      <c r="V705" s="46">
        <f>IF(VLOOKUP($C705,REV!$C:$AA,20,0)-'TRADE IN'!$F714=0,"",(VLOOKUP($C705,REV!$C:$AA,20,0)-'TRADE IN'!$F705))</f>
        <v>1499</v>
      </c>
      <c r="W705" s="46">
        <f>IF(VLOOKUP($C705,REV!$C:$AA,21,0)-'TRADE IN'!$F714=0,"",(VLOOKUP($C705,REV!$C:$AA,21,0)-'TRADE IN'!$F705))</f>
        <v>1499</v>
      </c>
      <c r="X705" s="46">
        <f>IF(VLOOKUP($C705,REV!$C:$AA,22,0)-'TRADE IN'!$F714=0,"",(VLOOKUP($C705,REV!$C:$AA,22,0)-'TRADE IN'!$F705))</f>
        <v>1399</v>
      </c>
      <c r="Y705" s="46">
        <f>IF(VLOOKUP($C705,REV!$C:$AA,23,0)-'TRADE IN'!$F714=0,"",(VLOOKUP($C705,REV!$C:$AA,23,0)-'TRADE IN'!$F705))</f>
        <v>999</v>
      </c>
      <c r="Z705" s="46">
        <f>IF(VLOOKUP($C705,REV!$C:$AA,24,0)-'TRADE IN'!$F714=0,"",(VLOOKUP($C705,REV!$C:$AA,24,0)-'TRADE IN'!$F705))</f>
        <v>999</v>
      </c>
      <c r="AA705" s="46">
        <f>IF(VLOOKUP($C705,REV!$C:$AA,25,0)-'TRADE IN'!$F714=0,"",(VLOOKUP($C705,REV!$C:$AA,25,0)-'TRADE IN'!$F705))</f>
        <v>999</v>
      </c>
      <c r="AB705" s="46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7"/>
      <c r="AW705" s="48" t="str">
        <f>IF(REV!AW705=0,"",REV!AW705)</f>
        <v>31.03.2026</v>
      </c>
      <c r="AX705" s="159" t="s">
        <v>82</v>
      </c>
    </row>
    <row r="706" spans="1:50" ht="22.5" customHeight="1">
      <c r="A706" s="52" t="s">
        <v>70</v>
      </c>
      <c r="B706" s="41" t="s">
        <v>62</v>
      </c>
      <c r="C706" s="42">
        <v>4016555</v>
      </c>
      <c r="D706" s="44" t="s">
        <v>941</v>
      </c>
      <c r="E706" s="44" t="s">
        <v>944</v>
      </c>
      <c r="F706" s="45"/>
      <c r="G706" s="45"/>
      <c r="H706" s="45"/>
      <c r="I706" s="45"/>
      <c r="J706" s="46">
        <f>IF(VLOOKUP($C706,REV!$C:$AA,8,0)-'TRADE IN'!$F706=0,"",(VLOOKUP($C706,REV!$C:$AA,8,0)-'TRADE IN'!$F706))</f>
        <v>2599</v>
      </c>
      <c r="K706" s="46">
        <f>IF(VLOOKUP($C706,REV!$C:$AA,9,0)-'TRADE IN'!$F706=0,"",(VLOOKUP($C706,REV!$C:$AA,9,0)-'TRADE IN'!$F706))</f>
        <v>2599</v>
      </c>
      <c r="L706" s="46">
        <f>IF(VLOOKUP($C706,REV!$C:$AA,10,0)-'TRADE IN'!$F715=0,"",(VLOOKUP($C706,REV!$C:$AA,10,0)-'TRADE IN'!$F706))</f>
        <v>2599</v>
      </c>
      <c r="M706" s="46">
        <f>IF(VLOOKUP($C706,REV!$C:$AA,11,0)-'TRADE IN'!$F715=0,"",(VLOOKUP($C706,REV!$C:$AA,11,0)-'TRADE IN'!$F706))</f>
        <v>2599</v>
      </c>
      <c r="N706" s="46">
        <f>IF(VLOOKUP($C706,REV!$C:$AA,12,0)-'TRADE IN'!$F715=0,"",(VLOOKUP($C706,REV!$C:$AA,12,0)-'TRADE IN'!$F706))</f>
        <v>2599</v>
      </c>
      <c r="O706" s="46">
        <f>IF(VLOOKUP($C706,REV!$C:$AA,13,0)-'TRADE IN'!$F715=0,"",(VLOOKUP($C706,REV!$C:$AA,13,0)-'TRADE IN'!$F706))</f>
        <v>2499</v>
      </c>
      <c r="P706" s="46">
        <f>IF(VLOOKUP($C706,REV!$C:$AA,14,0)-'TRADE IN'!$F715=0,"",(VLOOKUP($C706,REV!$C:$AA,14,0)-'TRADE IN'!$F706))</f>
        <v>2399</v>
      </c>
      <c r="Q706" s="46">
        <f>IF(VLOOKUP($C706,REV!$C:$AA,15,0)-'TRADE IN'!$F715=0,"",(VLOOKUP($C706,REV!$C:$AA,15,0)-'TRADE IN'!$F706))</f>
        <v>1499</v>
      </c>
      <c r="R706" s="46">
        <f>IF(VLOOKUP($C706,REV!$C:$AA,16,0)-'TRADE IN'!$F715=0,"",(VLOOKUP($C706,REV!$C:$AA,16,0)-'TRADE IN'!$F706))</f>
        <v>2499</v>
      </c>
      <c r="S706" s="46">
        <f>IF(VLOOKUP($C706,REV!$C:$AA,17,0)-'TRADE IN'!$F715=0,"",(VLOOKUP($C706,REV!$C:$AA,17,0)-'TRADE IN'!$F706))</f>
        <v>2399</v>
      </c>
      <c r="T706" s="46">
        <f>IF(VLOOKUP($C706,REV!$C:$AA,18,0)-'TRADE IN'!$F715=0,"",(VLOOKUP($C706,REV!$C:$AA,18,0)-'TRADE IN'!$F706))</f>
        <v>1499</v>
      </c>
      <c r="U706" s="46">
        <f>IF(VLOOKUP($C706,REV!$C:$AA,19,0)-'TRADE IN'!$F715=0,"",(VLOOKUP($C706,REV!$C:$AA,19,0)-'TRADE IN'!$F706))</f>
        <v>1499</v>
      </c>
      <c r="V706" s="46">
        <f>IF(VLOOKUP($C706,REV!$C:$AA,20,0)-'TRADE IN'!$F715=0,"",(VLOOKUP($C706,REV!$C:$AA,20,0)-'TRADE IN'!$F706))</f>
        <v>1499</v>
      </c>
      <c r="W706" s="46">
        <f>IF(VLOOKUP($C706,REV!$C:$AA,21,0)-'TRADE IN'!$F715=0,"",(VLOOKUP($C706,REV!$C:$AA,21,0)-'TRADE IN'!$F706))</f>
        <v>1499</v>
      </c>
      <c r="X706" s="46">
        <f>IF(VLOOKUP($C706,REV!$C:$AA,22,0)-'TRADE IN'!$F715=0,"",(VLOOKUP($C706,REV!$C:$AA,22,0)-'TRADE IN'!$F706))</f>
        <v>1399</v>
      </c>
      <c r="Y706" s="46">
        <f>IF(VLOOKUP($C706,REV!$C:$AA,23,0)-'TRADE IN'!$F715=0,"",(VLOOKUP($C706,REV!$C:$AA,23,0)-'TRADE IN'!$F706))</f>
        <v>999</v>
      </c>
      <c r="Z706" s="46">
        <f>IF(VLOOKUP($C706,REV!$C:$AA,24,0)-'TRADE IN'!$F715=0,"",(VLOOKUP($C706,REV!$C:$AA,24,0)-'TRADE IN'!$F706))</f>
        <v>999</v>
      </c>
      <c r="AA706" s="46">
        <f>IF(VLOOKUP($C706,REV!$C:$AA,25,0)-'TRADE IN'!$F715=0,"",(VLOOKUP($C706,REV!$C:$AA,25,0)-'TRADE IN'!$F706))</f>
        <v>999</v>
      </c>
      <c r="AB706" s="46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7"/>
      <c r="AW706" s="48" t="str">
        <f>IF(REV!AW706=0,"",REV!AW706)</f>
        <v>31.03.2026</v>
      </c>
      <c r="AX706" s="159" t="s">
        <v>82</v>
      </c>
    </row>
    <row r="707" spans="1:50" ht="22.5" customHeight="1">
      <c r="A707" s="52" t="s">
        <v>70</v>
      </c>
      <c r="B707" s="41" t="s">
        <v>62</v>
      </c>
      <c r="C707" s="42">
        <v>4016559</v>
      </c>
      <c r="D707" s="44" t="s">
        <v>941</v>
      </c>
      <c r="E707" s="44" t="s">
        <v>945</v>
      </c>
      <c r="F707" s="45"/>
      <c r="G707" s="45"/>
      <c r="H707" s="45"/>
      <c r="I707" s="45"/>
      <c r="J707" s="46">
        <f>IF(VLOOKUP($C707,REV!$C:$AA,8,0)-'TRADE IN'!$F707=0,"",(VLOOKUP($C707,REV!$C:$AA,8,0)-'TRADE IN'!$F707))</f>
        <v>2599</v>
      </c>
      <c r="K707" s="46">
        <f>IF(VLOOKUP($C707,REV!$C:$AA,9,0)-'TRADE IN'!$F707=0,"",(VLOOKUP($C707,REV!$C:$AA,9,0)-'TRADE IN'!$F707))</f>
        <v>2599</v>
      </c>
      <c r="L707" s="46">
        <f>IF(VLOOKUP($C707,REV!$C:$AA,10,0)-'TRADE IN'!$F716=0,"",(VLOOKUP($C707,REV!$C:$AA,10,0)-'TRADE IN'!$F707))</f>
        <v>2599</v>
      </c>
      <c r="M707" s="46">
        <f>IF(VLOOKUP($C707,REV!$C:$AA,11,0)-'TRADE IN'!$F716=0,"",(VLOOKUP($C707,REV!$C:$AA,11,0)-'TRADE IN'!$F707))</f>
        <v>2599</v>
      </c>
      <c r="N707" s="46">
        <f>IF(VLOOKUP($C707,REV!$C:$AA,12,0)-'TRADE IN'!$F716=0,"",(VLOOKUP($C707,REV!$C:$AA,12,0)-'TRADE IN'!$F707))</f>
        <v>2599</v>
      </c>
      <c r="O707" s="46">
        <f>IF(VLOOKUP($C707,REV!$C:$AA,13,0)-'TRADE IN'!$F716=0,"",(VLOOKUP($C707,REV!$C:$AA,13,0)-'TRADE IN'!$F707))</f>
        <v>2499</v>
      </c>
      <c r="P707" s="46">
        <f>IF(VLOOKUP($C707,REV!$C:$AA,14,0)-'TRADE IN'!$F716=0,"",(VLOOKUP($C707,REV!$C:$AA,14,0)-'TRADE IN'!$F707))</f>
        <v>2399</v>
      </c>
      <c r="Q707" s="46">
        <f>IF(VLOOKUP($C707,REV!$C:$AA,15,0)-'TRADE IN'!$F716=0,"",(VLOOKUP($C707,REV!$C:$AA,15,0)-'TRADE IN'!$F707))</f>
        <v>1499</v>
      </c>
      <c r="R707" s="46">
        <f>IF(VLOOKUP($C707,REV!$C:$AA,16,0)-'TRADE IN'!$F716=0,"",(VLOOKUP($C707,REV!$C:$AA,16,0)-'TRADE IN'!$F707))</f>
        <v>2499</v>
      </c>
      <c r="S707" s="46">
        <f>IF(VLOOKUP($C707,REV!$C:$AA,17,0)-'TRADE IN'!$F716=0,"",(VLOOKUP($C707,REV!$C:$AA,17,0)-'TRADE IN'!$F707))</f>
        <v>2399</v>
      </c>
      <c r="T707" s="46">
        <f>IF(VLOOKUP($C707,REV!$C:$AA,18,0)-'TRADE IN'!$F716=0,"",(VLOOKUP($C707,REV!$C:$AA,18,0)-'TRADE IN'!$F707))</f>
        <v>1499</v>
      </c>
      <c r="U707" s="46">
        <f>IF(VLOOKUP($C707,REV!$C:$AA,19,0)-'TRADE IN'!$F716=0,"",(VLOOKUP($C707,REV!$C:$AA,19,0)-'TRADE IN'!$F707))</f>
        <v>1499</v>
      </c>
      <c r="V707" s="46">
        <f>IF(VLOOKUP($C707,REV!$C:$AA,20,0)-'TRADE IN'!$F716=0,"",(VLOOKUP($C707,REV!$C:$AA,20,0)-'TRADE IN'!$F707))</f>
        <v>1499</v>
      </c>
      <c r="W707" s="46">
        <f>IF(VLOOKUP($C707,REV!$C:$AA,21,0)-'TRADE IN'!$F716=0,"",(VLOOKUP($C707,REV!$C:$AA,21,0)-'TRADE IN'!$F707))</f>
        <v>1499</v>
      </c>
      <c r="X707" s="46">
        <f>IF(VLOOKUP($C707,REV!$C:$AA,22,0)-'TRADE IN'!$F716=0,"",(VLOOKUP($C707,REV!$C:$AA,22,0)-'TRADE IN'!$F707))</f>
        <v>1399</v>
      </c>
      <c r="Y707" s="46">
        <f>IF(VLOOKUP($C707,REV!$C:$AA,23,0)-'TRADE IN'!$F716=0,"",(VLOOKUP($C707,REV!$C:$AA,23,0)-'TRADE IN'!$F707))</f>
        <v>999</v>
      </c>
      <c r="Z707" s="46">
        <f>IF(VLOOKUP($C707,REV!$C:$AA,24,0)-'TRADE IN'!$F716=0,"",(VLOOKUP($C707,REV!$C:$AA,24,0)-'TRADE IN'!$F707))</f>
        <v>999</v>
      </c>
      <c r="AA707" s="46">
        <f>IF(VLOOKUP($C707,REV!$C:$AA,25,0)-'TRADE IN'!$F716=0,"",(VLOOKUP($C707,REV!$C:$AA,25,0)-'TRADE IN'!$F707))</f>
        <v>999</v>
      </c>
      <c r="AB707" s="46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7"/>
      <c r="AW707" s="48" t="str">
        <f>IF(REV!AW707=0,"",REV!AW707)</f>
        <v>31.03.2026</v>
      </c>
      <c r="AX707" s="159" t="s">
        <v>82</v>
      </c>
    </row>
    <row r="708" spans="1:50" ht="22.5" customHeight="1">
      <c r="A708" s="52" t="s">
        <v>70</v>
      </c>
      <c r="B708" s="41" t="s">
        <v>62</v>
      </c>
      <c r="C708" s="42">
        <v>4016552</v>
      </c>
      <c r="D708" s="44" t="s">
        <v>941</v>
      </c>
      <c r="E708" s="44" t="s">
        <v>946</v>
      </c>
      <c r="F708" s="45"/>
      <c r="G708" s="45"/>
      <c r="H708" s="45"/>
      <c r="I708" s="45"/>
      <c r="J708" s="46">
        <f>IF(VLOOKUP($C708,REV!$C:$AA,8,0)-'TRADE IN'!$F708=0,"",(VLOOKUP($C708,REV!$C:$AA,8,0)-'TRADE IN'!$F708))</f>
        <v>2599</v>
      </c>
      <c r="K708" s="46">
        <f>IF(VLOOKUP($C708,REV!$C:$AA,9,0)-'TRADE IN'!$F708=0,"",(VLOOKUP($C708,REV!$C:$AA,9,0)-'TRADE IN'!$F708))</f>
        <v>2599</v>
      </c>
      <c r="L708" s="46">
        <f>IF(VLOOKUP($C708,REV!$C:$AA,10,0)-'TRADE IN'!$F717=0,"",(VLOOKUP($C708,REV!$C:$AA,10,0)-'TRADE IN'!$F708))</f>
        <v>2599</v>
      </c>
      <c r="M708" s="46">
        <f>IF(VLOOKUP($C708,REV!$C:$AA,11,0)-'TRADE IN'!$F717=0,"",(VLOOKUP($C708,REV!$C:$AA,11,0)-'TRADE IN'!$F708))</f>
        <v>2599</v>
      </c>
      <c r="N708" s="46">
        <f>IF(VLOOKUP($C708,REV!$C:$AA,12,0)-'TRADE IN'!$F717=0,"",(VLOOKUP($C708,REV!$C:$AA,12,0)-'TRADE IN'!$F708))</f>
        <v>2599</v>
      </c>
      <c r="O708" s="46">
        <f>IF(VLOOKUP($C708,REV!$C:$AA,13,0)-'TRADE IN'!$F717=0,"",(VLOOKUP($C708,REV!$C:$AA,13,0)-'TRADE IN'!$F708))</f>
        <v>2499</v>
      </c>
      <c r="P708" s="46">
        <f>IF(VLOOKUP($C708,REV!$C:$AA,14,0)-'TRADE IN'!$F717=0,"",(VLOOKUP($C708,REV!$C:$AA,14,0)-'TRADE IN'!$F708))</f>
        <v>2399</v>
      </c>
      <c r="Q708" s="46">
        <f>IF(VLOOKUP($C708,REV!$C:$AA,15,0)-'TRADE IN'!$F717=0,"",(VLOOKUP($C708,REV!$C:$AA,15,0)-'TRADE IN'!$F708))</f>
        <v>1499</v>
      </c>
      <c r="R708" s="46">
        <f>IF(VLOOKUP($C708,REV!$C:$AA,16,0)-'TRADE IN'!$F717=0,"",(VLOOKUP($C708,REV!$C:$AA,16,0)-'TRADE IN'!$F708))</f>
        <v>2499</v>
      </c>
      <c r="S708" s="46">
        <f>IF(VLOOKUP($C708,REV!$C:$AA,17,0)-'TRADE IN'!$F717=0,"",(VLOOKUP($C708,REV!$C:$AA,17,0)-'TRADE IN'!$F708))</f>
        <v>2399</v>
      </c>
      <c r="T708" s="46">
        <f>IF(VLOOKUP($C708,REV!$C:$AA,18,0)-'TRADE IN'!$F717=0,"",(VLOOKUP($C708,REV!$C:$AA,18,0)-'TRADE IN'!$F708))</f>
        <v>1499</v>
      </c>
      <c r="U708" s="46">
        <f>IF(VLOOKUP($C708,REV!$C:$AA,19,0)-'TRADE IN'!$F717=0,"",(VLOOKUP($C708,REV!$C:$AA,19,0)-'TRADE IN'!$F708))</f>
        <v>1499</v>
      </c>
      <c r="V708" s="46">
        <f>IF(VLOOKUP($C708,REV!$C:$AA,20,0)-'TRADE IN'!$F717=0,"",(VLOOKUP($C708,REV!$C:$AA,20,0)-'TRADE IN'!$F708))</f>
        <v>1499</v>
      </c>
      <c r="W708" s="46">
        <f>IF(VLOOKUP($C708,REV!$C:$AA,21,0)-'TRADE IN'!$F717=0,"",(VLOOKUP($C708,REV!$C:$AA,21,0)-'TRADE IN'!$F708))</f>
        <v>1499</v>
      </c>
      <c r="X708" s="46">
        <f>IF(VLOOKUP($C708,REV!$C:$AA,22,0)-'TRADE IN'!$F717=0,"",(VLOOKUP($C708,REV!$C:$AA,22,0)-'TRADE IN'!$F708))</f>
        <v>1399</v>
      </c>
      <c r="Y708" s="46">
        <f>IF(VLOOKUP($C708,REV!$C:$AA,23,0)-'TRADE IN'!$F717=0,"",(VLOOKUP($C708,REV!$C:$AA,23,0)-'TRADE IN'!$F708))</f>
        <v>999</v>
      </c>
      <c r="Z708" s="46">
        <f>IF(VLOOKUP($C708,REV!$C:$AA,24,0)-'TRADE IN'!$F717=0,"",(VLOOKUP($C708,REV!$C:$AA,24,0)-'TRADE IN'!$F708))</f>
        <v>999</v>
      </c>
      <c r="AA708" s="46">
        <f>IF(VLOOKUP($C708,REV!$C:$AA,25,0)-'TRADE IN'!$F717=0,"",(VLOOKUP($C708,REV!$C:$AA,25,0)-'TRADE IN'!$F708))</f>
        <v>999</v>
      </c>
      <c r="AB708" s="46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7"/>
      <c r="AW708" s="48" t="str">
        <f>IF(REV!AW708=0,"",REV!AW708)</f>
        <v>31.03.2026</v>
      </c>
      <c r="AX708" s="159" t="s">
        <v>82</v>
      </c>
    </row>
    <row r="709" spans="1:50" ht="22.5" customHeight="1">
      <c r="A709" s="52" t="s">
        <v>70</v>
      </c>
      <c r="B709" s="41" t="s">
        <v>62</v>
      </c>
      <c r="C709" s="42">
        <v>4016551</v>
      </c>
      <c r="D709" s="44" t="s">
        <v>941</v>
      </c>
      <c r="E709" s="44" t="s">
        <v>947</v>
      </c>
      <c r="F709" s="45"/>
      <c r="G709" s="45"/>
      <c r="H709" s="45"/>
      <c r="I709" s="45"/>
      <c r="J709" s="46">
        <f>IF(VLOOKUP($C709,REV!$C:$AA,8,0)-'TRADE IN'!$F709=0,"",(VLOOKUP($C709,REV!$C:$AA,8,0)-'TRADE IN'!$F709))</f>
        <v>2599</v>
      </c>
      <c r="K709" s="46">
        <f>IF(VLOOKUP($C709,REV!$C:$AA,9,0)-'TRADE IN'!$F709=0,"",(VLOOKUP($C709,REV!$C:$AA,9,0)-'TRADE IN'!$F709))</f>
        <v>2599</v>
      </c>
      <c r="L709" s="46">
        <f>IF(VLOOKUP($C709,REV!$C:$AA,10,0)-'TRADE IN'!$F718=0,"",(VLOOKUP($C709,REV!$C:$AA,10,0)-'TRADE IN'!$F709))</f>
        <v>2599</v>
      </c>
      <c r="M709" s="46">
        <f>IF(VLOOKUP($C709,REV!$C:$AA,11,0)-'TRADE IN'!$F718=0,"",(VLOOKUP($C709,REV!$C:$AA,11,0)-'TRADE IN'!$F709))</f>
        <v>2599</v>
      </c>
      <c r="N709" s="46">
        <f>IF(VLOOKUP($C709,REV!$C:$AA,12,0)-'TRADE IN'!$F718=0,"",(VLOOKUP($C709,REV!$C:$AA,12,0)-'TRADE IN'!$F709))</f>
        <v>2599</v>
      </c>
      <c r="O709" s="46">
        <f>IF(VLOOKUP($C709,REV!$C:$AA,13,0)-'TRADE IN'!$F718=0,"",(VLOOKUP($C709,REV!$C:$AA,13,0)-'TRADE IN'!$F709))</f>
        <v>2499</v>
      </c>
      <c r="P709" s="46">
        <f>IF(VLOOKUP($C709,REV!$C:$AA,14,0)-'TRADE IN'!$F718=0,"",(VLOOKUP($C709,REV!$C:$AA,14,0)-'TRADE IN'!$F709))</f>
        <v>2399</v>
      </c>
      <c r="Q709" s="46">
        <f>IF(VLOOKUP($C709,REV!$C:$AA,15,0)-'TRADE IN'!$F718=0,"",(VLOOKUP($C709,REV!$C:$AA,15,0)-'TRADE IN'!$F709))</f>
        <v>1499</v>
      </c>
      <c r="R709" s="46">
        <f>IF(VLOOKUP($C709,REV!$C:$AA,16,0)-'TRADE IN'!$F718=0,"",(VLOOKUP($C709,REV!$C:$AA,16,0)-'TRADE IN'!$F709))</f>
        <v>2499</v>
      </c>
      <c r="S709" s="46">
        <f>IF(VLOOKUP($C709,REV!$C:$AA,17,0)-'TRADE IN'!$F718=0,"",(VLOOKUP($C709,REV!$C:$AA,17,0)-'TRADE IN'!$F709))</f>
        <v>2399</v>
      </c>
      <c r="T709" s="46">
        <f>IF(VLOOKUP($C709,REV!$C:$AA,18,0)-'TRADE IN'!$F718=0,"",(VLOOKUP($C709,REV!$C:$AA,18,0)-'TRADE IN'!$F709))</f>
        <v>1499</v>
      </c>
      <c r="U709" s="46">
        <f>IF(VLOOKUP($C709,REV!$C:$AA,19,0)-'TRADE IN'!$F718=0,"",(VLOOKUP($C709,REV!$C:$AA,19,0)-'TRADE IN'!$F709))</f>
        <v>1499</v>
      </c>
      <c r="V709" s="46">
        <f>IF(VLOOKUP($C709,REV!$C:$AA,20,0)-'TRADE IN'!$F718=0,"",(VLOOKUP($C709,REV!$C:$AA,20,0)-'TRADE IN'!$F709))</f>
        <v>1499</v>
      </c>
      <c r="W709" s="46">
        <f>IF(VLOOKUP($C709,REV!$C:$AA,21,0)-'TRADE IN'!$F718=0,"",(VLOOKUP($C709,REV!$C:$AA,21,0)-'TRADE IN'!$F709))</f>
        <v>1499</v>
      </c>
      <c r="X709" s="46">
        <f>IF(VLOOKUP($C709,REV!$C:$AA,22,0)-'TRADE IN'!$F718=0,"",(VLOOKUP($C709,REV!$C:$AA,22,0)-'TRADE IN'!$F709))</f>
        <v>1399</v>
      </c>
      <c r="Y709" s="46">
        <f>IF(VLOOKUP($C709,REV!$C:$AA,23,0)-'TRADE IN'!$F718=0,"",(VLOOKUP($C709,REV!$C:$AA,23,0)-'TRADE IN'!$F709))</f>
        <v>999</v>
      </c>
      <c r="Z709" s="46">
        <f>IF(VLOOKUP($C709,REV!$C:$AA,24,0)-'TRADE IN'!$F718=0,"",(VLOOKUP($C709,REV!$C:$AA,24,0)-'TRADE IN'!$F709))</f>
        <v>999</v>
      </c>
      <c r="AA709" s="46">
        <f>IF(VLOOKUP($C709,REV!$C:$AA,25,0)-'TRADE IN'!$F718=0,"",(VLOOKUP($C709,REV!$C:$AA,25,0)-'TRADE IN'!$F709))</f>
        <v>999</v>
      </c>
      <c r="AB709" s="46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7"/>
      <c r="AW709" s="48" t="str">
        <f>IF(REV!AW709=0,"",REV!AW709)</f>
        <v>31.03.2026</v>
      </c>
      <c r="AX709" s="159" t="s">
        <v>82</v>
      </c>
    </row>
    <row r="710" spans="1:50" ht="22.5" customHeight="1">
      <c r="A710" s="52" t="s">
        <v>70</v>
      </c>
      <c r="B710" s="41" t="s">
        <v>62</v>
      </c>
      <c r="C710" s="42">
        <v>4016839</v>
      </c>
      <c r="D710" s="44" t="s">
        <v>948</v>
      </c>
      <c r="E710" s="44" t="s">
        <v>949</v>
      </c>
      <c r="F710" s="45">
        <v>500</v>
      </c>
      <c r="G710" s="45"/>
      <c r="H710" s="45"/>
      <c r="I710" s="45"/>
      <c r="J710" s="46">
        <f>IF(VLOOKUP($C710,REV!$C:$AA,8,0)-'TRADE IN'!$F710=0,"",(VLOOKUP($C710,REV!$C:$AA,8,0)-'TRADE IN'!$F710))</f>
        <v>4099</v>
      </c>
      <c r="K710" s="46">
        <f>IF(VLOOKUP($C710,REV!$C:$AA,9,0)-'TRADE IN'!$F710=0,"",(VLOOKUP($C710,REV!$C:$AA,9,0)-'TRADE IN'!$F710))</f>
        <v>4099</v>
      </c>
      <c r="L710" s="46">
        <f>IF(VLOOKUP($C710,REV!$C:$AA,10,0)-'TRADE IN'!$F719=0,"",(VLOOKUP($C710,REV!$C:$AA,10,0)-'TRADE IN'!$F710))</f>
        <v>4099</v>
      </c>
      <c r="M710" s="46">
        <f>IF(VLOOKUP($C710,REV!$C:$AA,11,0)-'TRADE IN'!$F719=0,"",(VLOOKUP($C710,REV!$C:$AA,11,0)-'TRADE IN'!$F710))</f>
        <v>4099</v>
      </c>
      <c r="N710" s="46">
        <f>IF(VLOOKUP($C710,REV!$C:$AA,12,0)-'TRADE IN'!$F719=0,"",(VLOOKUP($C710,REV!$C:$AA,12,0)-'TRADE IN'!$F710))</f>
        <v>4099</v>
      </c>
      <c r="O710" s="46">
        <f>IF(VLOOKUP($C710,REV!$C:$AA,13,0)-'TRADE IN'!$F719=0,"",(VLOOKUP($C710,REV!$C:$AA,13,0)-'TRADE IN'!$F710))</f>
        <v>3999</v>
      </c>
      <c r="P710" s="46">
        <f>IF(VLOOKUP($C710,REV!$C:$AA,14,0)-'TRADE IN'!$F719=0,"",(VLOOKUP($C710,REV!$C:$AA,14,0)-'TRADE IN'!$F710))</f>
        <v>3899</v>
      </c>
      <c r="Q710" s="46">
        <f>IF(VLOOKUP($C710,REV!$C:$AA,15,0)-'TRADE IN'!$F719=0,"",(VLOOKUP($C710,REV!$C:$AA,15,0)-'TRADE IN'!$F710))</f>
        <v>3499</v>
      </c>
      <c r="R710" s="46">
        <f>IF(VLOOKUP($C710,REV!$C:$AA,16,0)-'TRADE IN'!$F719=0,"",(VLOOKUP($C710,REV!$C:$AA,16,0)-'TRADE IN'!$F710))</f>
        <v>3999</v>
      </c>
      <c r="S710" s="46">
        <f>IF(VLOOKUP($C710,REV!$C:$AA,17,0)-'TRADE IN'!$F719=0,"",(VLOOKUP($C710,REV!$C:$AA,17,0)-'TRADE IN'!$F710))</f>
        <v>3899</v>
      </c>
      <c r="T710" s="46">
        <f>IF(VLOOKUP($C710,REV!$C:$AA,18,0)-'TRADE IN'!$F719=0,"",(VLOOKUP($C710,REV!$C:$AA,18,0)-'TRADE IN'!$F710))</f>
        <v>3499</v>
      </c>
      <c r="U710" s="46">
        <f>IF(VLOOKUP($C710,REV!$C:$AA,19,0)-'TRADE IN'!$F719=0,"",(VLOOKUP($C710,REV!$C:$AA,19,0)-'TRADE IN'!$F710))</f>
        <v>3499</v>
      </c>
      <c r="V710" s="46">
        <f>IF(VLOOKUP($C710,REV!$C:$AA,20,0)-'TRADE IN'!$F719=0,"",(VLOOKUP($C710,REV!$C:$AA,20,0)-'TRADE IN'!$F710))</f>
        <v>3499</v>
      </c>
      <c r="W710" s="46">
        <f>IF(VLOOKUP($C710,REV!$C:$AA,21,0)-'TRADE IN'!$F719=0,"",(VLOOKUP($C710,REV!$C:$AA,21,0)-'TRADE IN'!$F710))</f>
        <v>3499</v>
      </c>
      <c r="X710" s="46">
        <f>IF(VLOOKUP($C710,REV!$C:$AA,22,0)-'TRADE IN'!$F719=0,"",(VLOOKUP($C710,REV!$C:$AA,22,0)-'TRADE IN'!$F710))</f>
        <v>3399</v>
      </c>
      <c r="Y710" s="46">
        <f>IF(VLOOKUP($C710,REV!$C:$AA,23,0)-'TRADE IN'!$F719=0,"",(VLOOKUP($C710,REV!$C:$AA,23,0)-'TRADE IN'!$F710))</f>
        <v>2499</v>
      </c>
      <c r="Z710" s="46">
        <f>IF(VLOOKUP($C710,REV!$C:$AA,24,0)-'TRADE IN'!$F719=0,"",(VLOOKUP($C710,REV!$C:$AA,24,0)-'TRADE IN'!$F710))</f>
        <v>2499</v>
      </c>
      <c r="AA710" s="46">
        <f>IF(VLOOKUP($C710,REV!$C:$AA,25,0)-'TRADE IN'!$F719=0,"",(VLOOKUP($C710,REV!$C:$AA,25,0)-'TRADE IN'!$F710))</f>
        <v>2499</v>
      </c>
      <c r="AB710" s="46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7"/>
      <c r="AW710" s="48" t="str">
        <f>IF(REV!AW710=0,"",REV!AW710)</f>
        <v>31.03.2026</v>
      </c>
      <c r="AX710" s="159" t="s">
        <v>82</v>
      </c>
    </row>
    <row r="711" spans="1:50" ht="22.5" customHeight="1">
      <c r="A711" s="52" t="s">
        <v>70</v>
      </c>
      <c r="B711" s="41" t="s">
        <v>62</v>
      </c>
      <c r="C711" s="42">
        <v>4016872</v>
      </c>
      <c r="D711" s="44" t="s">
        <v>948</v>
      </c>
      <c r="E711" s="44" t="s">
        <v>950</v>
      </c>
      <c r="F711" s="45">
        <v>500</v>
      </c>
      <c r="G711" s="45"/>
      <c r="H711" s="45"/>
      <c r="I711" s="45"/>
      <c r="J711" s="46">
        <f>IF(VLOOKUP($C711,REV!$C:$AA,8,0)-'TRADE IN'!$F711=0,"",(VLOOKUP($C711,REV!$C:$AA,8,0)-'TRADE IN'!$F711))</f>
        <v>4099</v>
      </c>
      <c r="K711" s="46">
        <f>IF(VLOOKUP($C711,REV!$C:$AA,9,0)-'TRADE IN'!$F711=0,"",(VLOOKUP($C711,REV!$C:$AA,9,0)-'TRADE IN'!$F711))</f>
        <v>4099</v>
      </c>
      <c r="L711" s="46">
        <f>IF(VLOOKUP($C711,REV!$C:$AA,10,0)-'TRADE IN'!$F720=0,"",(VLOOKUP($C711,REV!$C:$AA,10,0)-'TRADE IN'!$F711))</f>
        <v>4099</v>
      </c>
      <c r="M711" s="46">
        <f>IF(VLOOKUP($C711,REV!$C:$AA,11,0)-'TRADE IN'!$F720=0,"",(VLOOKUP($C711,REV!$C:$AA,11,0)-'TRADE IN'!$F711))</f>
        <v>4099</v>
      </c>
      <c r="N711" s="46">
        <f>IF(VLOOKUP($C711,REV!$C:$AA,12,0)-'TRADE IN'!$F720=0,"",(VLOOKUP($C711,REV!$C:$AA,12,0)-'TRADE IN'!$F711))</f>
        <v>4099</v>
      </c>
      <c r="O711" s="46">
        <f>IF(VLOOKUP($C711,REV!$C:$AA,13,0)-'TRADE IN'!$F720=0,"",(VLOOKUP($C711,REV!$C:$AA,13,0)-'TRADE IN'!$F711))</f>
        <v>3999</v>
      </c>
      <c r="P711" s="46">
        <f>IF(VLOOKUP($C711,REV!$C:$AA,14,0)-'TRADE IN'!$F720=0,"",(VLOOKUP($C711,REV!$C:$AA,14,0)-'TRADE IN'!$F711))</f>
        <v>3899</v>
      </c>
      <c r="Q711" s="46">
        <f>IF(VLOOKUP($C711,REV!$C:$AA,15,0)-'TRADE IN'!$F720=0,"",(VLOOKUP($C711,REV!$C:$AA,15,0)-'TRADE IN'!$F711))</f>
        <v>3499</v>
      </c>
      <c r="R711" s="46">
        <f>IF(VLOOKUP($C711,REV!$C:$AA,16,0)-'TRADE IN'!$F720=0,"",(VLOOKUP($C711,REV!$C:$AA,16,0)-'TRADE IN'!$F711))</f>
        <v>3999</v>
      </c>
      <c r="S711" s="46">
        <f>IF(VLOOKUP($C711,REV!$C:$AA,17,0)-'TRADE IN'!$F720=0,"",(VLOOKUP($C711,REV!$C:$AA,17,0)-'TRADE IN'!$F711))</f>
        <v>3899</v>
      </c>
      <c r="T711" s="46">
        <f>IF(VLOOKUP($C711,REV!$C:$AA,18,0)-'TRADE IN'!$F720=0,"",(VLOOKUP($C711,REV!$C:$AA,18,0)-'TRADE IN'!$F711))</f>
        <v>3499</v>
      </c>
      <c r="U711" s="46">
        <f>IF(VLOOKUP($C711,REV!$C:$AA,19,0)-'TRADE IN'!$F720=0,"",(VLOOKUP($C711,REV!$C:$AA,19,0)-'TRADE IN'!$F711))</f>
        <v>3499</v>
      </c>
      <c r="V711" s="46">
        <f>IF(VLOOKUP($C711,REV!$C:$AA,20,0)-'TRADE IN'!$F720=0,"",(VLOOKUP($C711,REV!$C:$AA,20,0)-'TRADE IN'!$F711))</f>
        <v>3499</v>
      </c>
      <c r="W711" s="46">
        <f>IF(VLOOKUP($C711,REV!$C:$AA,21,0)-'TRADE IN'!$F720=0,"",(VLOOKUP($C711,REV!$C:$AA,21,0)-'TRADE IN'!$F711))</f>
        <v>3499</v>
      </c>
      <c r="X711" s="46">
        <f>IF(VLOOKUP($C711,REV!$C:$AA,22,0)-'TRADE IN'!$F720=0,"",(VLOOKUP($C711,REV!$C:$AA,22,0)-'TRADE IN'!$F711))</f>
        <v>3399</v>
      </c>
      <c r="Y711" s="46">
        <f>IF(VLOOKUP($C711,REV!$C:$AA,23,0)-'TRADE IN'!$F720=0,"",(VLOOKUP($C711,REV!$C:$AA,23,0)-'TRADE IN'!$F711))</f>
        <v>2499</v>
      </c>
      <c r="Z711" s="46">
        <f>IF(VLOOKUP($C711,REV!$C:$AA,24,0)-'TRADE IN'!$F720=0,"",(VLOOKUP($C711,REV!$C:$AA,24,0)-'TRADE IN'!$F711))</f>
        <v>2499</v>
      </c>
      <c r="AA711" s="46">
        <f>IF(VLOOKUP($C711,REV!$C:$AA,25,0)-'TRADE IN'!$F720=0,"",(VLOOKUP($C711,REV!$C:$AA,25,0)-'TRADE IN'!$F711))</f>
        <v>2499</v>
      </c>
      <c r="AB711" s="46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7"/>
      <c r="AW711" s="48" t="str">
        <f>IF(REV!AW711=0,"",REV!AW711)</f>
        <v>31.03.2026</v>
      </c>
      <c r="AX711" s="159" t="s">
        <v>82</v>
      </c>
    </row>
    <row r="712" spans="1:50" ht="22.5" customHeight="1">
      <c r="A712" s="52" t="s">
        <v>70</v>
      </c>
      <c r="B712" s="41" t="s">
        <v>62</v>
      </c>
      <c r="C712" s="42">
        <v>4016858</v>
      </c>
      <c r="D712" s="44" t="s">
        <v>948</v>
      </c>
      <c r="E712" s="44" t="s">
        <v>951</v>
      </c>
      <c r="F712" s="45">
        <v>500</v>
      </c>
      <c r="G712" s="45"/>
      <c r="H712" s="45"/>
      <c r="I712" s="45"/>
      <c r="J712" s="46">
        <f>IF(VLOOKUP($C712,REV!$C:$AA,8,0)-'TRADE IN'!$F712=0,"",(VLOOKUP($C712,REV!$C:$AA,8,0)-'TRADE IN'!$F712))</f>
        <v>4099</v>
      </c>
      <c r="K712" s="46">
        <f>IF(VLOOKUP($C712,REV!$C:$AA,9,0)-'TRADE IN'!$F712=0,"",(VLOOKUP($C712,REV!$C:$AA,9,0)-'TRADE IN'!$F712))</f>
        <v>4099</v>
      </c>
      <c r="L712" s="46">
        <f>IF(VLOOKUP($C712,REV!$C:$AA,10,0)-'TRADE IN'!$F721=0,"",(VLOOKUP($C712,REV!$C:$AA,10,0)-'TRADE IN'!$F712))</f>
        <v>4099</v>
      </c>
      <c r="M712" s="46">
        <f>IF(VLOOKUP($C712,REV!$C:$AA,11,0)-'TRADE IN'!$F721=0,"",(VLOOKUP($C712,REV!$C:$AA,11,0)-'TRADE IN'!$F712))</f>
        <v>4099</v>
      </c>
      <c r="N712" s="46">
        <f>IF(VLOOKUP($C712,REV!$C:$AA,12,0)-'TRADE IN'!$F721=0,"",(VLOOKUP($C712,REV!$C:$AA,12,0)-'TRADE IN'!$F712))</f>
        <v>4099</v>
      </c>
      <c r="O712" s="46">
        <f>IF(VLOOKUP($C712,REV!$C:$AA,13,0)-'TRADE IN'!$F721=0,"",(VLOOKUP($C712,REV!$C:$AA,13,0)-'TRADE IN'!$F712))</f>
        <v>3999</v>
      </c>
      <c r="P712" s="46">
        <f>IF(VLOOKUP($C712,REV!$C:$AA,14,0)-'TRADE IN'!$F721=0,"",(VLOOKUP($C712,REV!$C:$AA,14,0)-'TRADE IN'!$F712))</f>
        <v>3899</v>
      </c>
      <c r="Q712" s="46">
        <f>IF(VLOOKUP($C712,REV!$C:$AA,15,0)-'TRADE IN'!$F721=0,"",(VLOOKUP($C712,REV!$C:$AA,15,0)-'TRADE IN'!$F712))</f>
        <v>3499</v>
      </c>
      <c r="R712" s="46">
        <f>IF(VLOOKUP($C712,REV!$C:$AA,16,0)-'TRADE IN'!$F721=0,"",(VLOOKUP($C712,REV!$C:$AA,16,0)-'TRADE IN'!$F712))</f>
        <v>3999</v>
      </c>
      <c r="S712" s="46">
        <f>IF(VLOOKUP($C712,REV!$C:$AA,17,0)-'TRADE IN'!$F721=0,"",(VLOOKUP($C712,REV!$C:$AA,17,0)-'TRADE IN'!$F712))</f>
        <v>3899</v>
      </c>
      <c r="T712" s="46">
        <f>IF(VLOOKUP($C712,REV!$C:$AA,18,0)-'TRADE IN'!$F721=0,"",(VLOOKUP($C712,REV!$C:$AA,18,0)-'TRADE IN'!$F712))</f>
        <v>3499</v>
      </c>
      <c r="U712" s="46">
        <f>IF(VLOOKUP($C712,REV!$C:$AA,19,0)-'TRADE IN'!$F721=0,"",(VLOOKUP($C712,REV!$C:$AA,19,0)-'TRADE IN'!$F712))</f>
        <v>3499</v>
      </c>
      <c r="V712" s="46">
        <f>IF(VLOOKUP($C712,REV!$C:$AA,20,0)-'TRADE IN'!$F721=0,"",(VLOOKUP($C712,REV!$C:$AA,20,0)-'TRADE IN'!$F712))</f>
        <v>3499</v>
      </c>
      <c r="W712" s="46">
        <f>IF(VLOOKUP($C712,REV!$C:$AA,21,0)-'TRADE IN'!$F721=0,"",(VLOOKUP($C712,REV!$C:$AA,21,0)-'TRADE IN'!$F712))</f>
        <v>3499</v>
      </c>
      <c r="X712" s="46">
        <f>IF(VLOOKUP($C712,REV!$C:$AA,22,0)-'TRADE IN'!$F721=0,"",(VLOOKUP($C712,REV!$C:$AA,22,0)-'TRADE IN'!$F712))</f>
        <v>3399</v>
      </c>
      <c r="Y712" s="46">
        <f>IF(VLOOKUP($C712,REV!$C:$AA,23,0)-'TRADE IN'!$F721=0,"",(VLOOKUP($C712,REV!$C:$AA,23,0)-'TRADE IN'!$F712))</f>
        <v>2499</v>
      </c>
      <c r="Z712" s="46">
        <f>IF(VLOOKUP($C712,REV!$C:$AA,24,0)-'TRADE IN'!$F721=0,"",(VLOOKUP($C712,REV!$C:$AA,24,0)-'TRADE IN'!$F712))</f>
        <v>2499</v>
      </c>
      <c r="AA712" s="46">
        <f>IF(VLOOKUP($C712,REV!$C:$AA,25,0)-'TRADE IN'!$F721=0,"",(VLOOKUP($C712,REV!$C:$AA,25,0)-'TRADE IN'!$F712))</f>
        <v>2499</v>
      </c>
      <c r="AB712" s="46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7"/>
      <c r="AW712" s="48" t="str">
        <f>IF(REV!AW712=0,"",REV!AW712)</f>
        <v>31.03.2026</v>
      </c>
      <c r="AX712" s="159" t="s">
        <v>82</v>
      </c>
    </row>
    <row r="713" spans="1:50" ht="22.5" customHeight="1">
      <c r="A713" s="52" t="s">
        <v>70</v>
      </c>
      <c r="B713" s="41" t="s">
        <v>62</v>
      </c>
      <c r="C713" s="42">
        <v>4016863</v>
      </c>
      <c r="D713" s="44" t="s">
        <v>948</v>
      </c>
      <c r="E713" s="44" t="s">
        <v>952</v>
      </c>
      <c r="F713" s="45">
        <v>500</v>
      </c>
      <c r="G713" s="45"/>
      <c r="H713" s="45"/>
      <c r="I713" s="45"/>
      <c r="J713" s="46">
        <f>IF(VLOOKUP($C713,REV!$C:$AA,8,0)-'TRADE IN'!$F713=0,"",(VLOOKUP($C713,REV!$C:$AA,8,0)-'TRADE IN'!$F713))</f>
        <v>4099</v>
      </c>
      <c r="K713" s="46">
        <f>IF(VLOOKUP($C713,REV!$C:$AA,9,0)-'TRADE IN'!$F713=0,"",(VLOOKUP($C713,REV!$C:$AA,9,0)-'TRADE IN'!$F713))</f>
        <v>4099</v>
      </c>
      <c r="L713" s="46">
        <f>IF(VLOOKUP($C713,REV!$C:$AA,10,0)-'TRADE IN'!$F722=0,"",(VLOOKUP($C713,REV!$C:$AA,10,0)-'TRADE IN'!$F713))</f>
        <v>4099</v>
      </c>
      <c r="M713" s="46">
        <f>IF(VLOOKUP($C713,REV!$C:$AA,11,0)-'TRADE IN'!$F722=0,"",(VLOOKUP($C713,REV!$C:$AA,11,0)-'TRADE IN'!$F713))</f>
        <v>4099</v>
      </c>
      <c r="N713" s="46">
        <f>IF(VLOOKUP($C713,REV!$C:$AA,12,0)-'TRADE IN'!$F722=0,"",(VLOOKUP($C713,REV!$C:$AA,12,0)-'TRADE IN'!$F713))</f>
        <v>4099</v>
      </c>
      <c r="O713" s="46">
        <f>IF(VLOOKUP($C713,REV!$C:$AA,13,0)-'TRADE IN'!$F722=0,"",(VLOOKUP($C713,REV!$C:$AA,13,0)-'TRADE IN'!$F713))</f>
        <v>3999</v>
      </c>
      <c r="P713" s="46">
        <f>IF(VLOOKUP($C713,REV!$C:$AA,14,0)-'TRADE IN'!$F722=0,"",(VLOOKUP($C713,REV!$C:$AA,14,0)-'TRADE IN'!$F713))</f>
        <v>3899</v>
      </c>
      <c r="Q713" s="46">
        <f>IF(VLOOKUP($C713,REV!$C:$AA,15,0)-'TRADE IN'!$F722=0,"",(VLOOKUP($C713,REV!$C:$AA,15,0)-'TRADE IN'!$F713))</f>
        <v>3499</v>
      </c>
      <c r="R713" s="46">
        <f>IF(VLOOKUP($C713,REV!$C:$AA,16,0)-'TRADE IN'!$F722=0,"",(VLOOKUP($C713,REV!$C:$AA,16,0)-'TRADE IN'!$F713))</f>
        <v>3999</v>
      </c>
      <c r="S713" s="46">
        <f>IF(VLOOKUP($C713,REV!$C:$AA,17,0)-'TRADE IN'!$F722=0,"",(VLOOKUP($C713,REV!$C:$AA,17,0)-'TRADE IN'!$F713))</f>
        <v>3899</v>
      </c>
      <c r="T713" s="46">
        <f>IF(VLOOKUP($C713,REV!$C:$AA,18,0)-'TRADE IN'!$F722=0,"",(VLOOKUP($C713,REV!$C:$AA,18,0)-'TRADE IN'!$F713))</f>
        <v>3499</v>
      </c>
      <c r="U713" s="46">
        <f>IF(VLOOKUP($C713,REV!$C:$AA,19,0)-'TRADE IN'!$F722=0,"",(VLOOKUP($C713,REV!$C:$AA,19,0)-'TRADE IN'!$F713))</f>
        <v>3499</v>
      </c>
      <c r="V713" s="46">
        <f>IF(VLOOKUP($C713,REV!$C:$AA,20,0)-'TRADE IN'!$F722=0,"",(VLOOKUP($C713,REV!$C:$AA,20,0)-'TRADE IN'!$F713))</f>
        <v>3499</v>
      </c>
      <c r="W713" s="46">
        <f>IF(VLOOKUP($C713,REV!$C:$AA,21,0)-'TRADE IN'!$F722=0,"",(VLOOKUP($C713,REV!$C:$AA,21,0)-'TRADE IN'!$F713))</f>
        <v>3499</v>
      </c>
      <c r="X713" s="46">
        <f>IF(VLOOKUP($C713,REV!$C:$AA,22,0)-'TRADE IN'!$F722=0,"",(VLOOKUP($C713,REV!$C:$AA,22,0)-'TRADE IN'!$F713))</f>
        <v>3399</v>
      </c>
      <c r="Y713" s="46">
        <f>IF(VLOOKUP($C713,REV!$C:$AA,23,0)-'TRADE IN'!$F722=0,"",(VLOOKUP($C713,REV!$C:$AA,23,0)-'TRADE IN'!$F713))</f>
        <v>2499</v>
      </c>
      <c r="Z713" s="46">
        <f>IF(VLOOKUP($C713,REV!$C:$AA,24,0)-'TRADE IN'!$F722=0,"",(VLOOKUP($C713,REV!$C:$AA,24,0)-'TRADE IN'!$F713))</f>
        <v>2499</v>
      </c>
      <c r="AA713" s="46">
        <f>IF(VLOOKUP($C713,REV!$C:$AA,25,0)-'TRADE IN'!$F722=0,"",(VLOOKUP($C713,REV!$C:$AA,25,0)-'TRADE IN'!$F713))</f>
        <v>2499</v>
      </c>
      <c r="AB713" s="46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7"/>
      <c r="AW713" s="48" t="str">
        <f>IF(REV!AW713=0,"",REV!AW713)</f>
        <v>31.03.2026</v>
      </c>
      <c r="AX713" s="159" t="s">
        <v>82</v>
      </c>
    </row>
    <row r="714" spans="1:50" ht="22.5" customHeight="1">
      <c r="A714" s="52" t="s">
        <v>70</v>
      </c>
      <c r="B714" s="41" t="s">
        <v>62</v>
      </c>
      <c r="C714" s="42">
        <v>4016886</v>
      </c>
      <c r="D714" s="44" t="s">
        <v>948</v>
      </c>
      <c r="E714" s="44" t="s">
        <v>953</v>
      </c>
      <c r="F714" s="45">
        <v>500</v>
      </c>
      <c r="G714" s="45"/>
      <c r="H714" s="45"/>
      <c r="I714" s="45"/>
      <c r="J714" s="46">
        <f>IF(VLOOKUP($C714,REV!$C:$AA,8,0)-'TRADE IN'!$F714=0,"",(VLOOKUP($C714,REV!$C:$AA,8,0)-'TRADE IN'!$F714))</f>
        <v>4099</v>
      </c>
      <c r="K714" s="46">
        <f>IF(VLOOKUP($C714,REV!$C:$AA,9,0)-'TRADE IN'!$F714=0,"",(VLOOKUP($C714,REV!$C:$AA,9,0)-'TRADE IN'!$F714))</f>
        <v>4099</v>
      </c>
      <c r="L714" s="46">
        <f>IF(VLOOKUP($C714,REV!$C:$AA,10,0)-'TRADE IN'!$F723=0,"",(VLOOKUP($C714,REV!$C:$AA,10,0)-'TRADE IN'!$F714))</f>
        <v>4099</v>
      </c>
      <c r="M714" s="46">
        <f>IF(VLOOKUP($C714,REV!$C:$AA,11,0)-'TRADE IN'!$F723=0,"",(VLOOKUP($C714,REV!$C:$AA,11,0)-'TRADE IN'!$F714))</f>
        <v>4099</v>
      </c>
      <c r="N714" s="46">
        <f>IF(VLOOKUP($C714,REV!$C:$AA,12,0)-'TRADE IN'!$F723=0,"",(VLOOKUP($C714,REV!$C:$AA,12,0)-'TRADE IN'!$F714))</f>
        <v>4099</v>
      </c>
      <c r="O714" s="46">
        <f>IF(VLOOKUP($C714,REV!$C:$AA,13,0)-'TRADE IN'!$F723=0,"",(VLOOKUP($C714,REV!$C:$AA,13,0)-'TRADE IN'!$F714))</f>
        <v>3999</v>
      </c>
      <c r="P714" s="46">
        <f>IF(VLOOKUP($C714,REV!$C:$AA,14,0)-'TRADE IN'!$F723=0,"",(VLOOKUP($C714,REV!$C:$AA,14,0)-'TRADE IN'!$F714))</f>
        <v>3899</v>
      </c>
      <c r="Q714" s="46">
        <f>IF(VLOOKUP($C714,REV!$C:$AA,15,0)-'TRADE IN'!$F723=0,"",(VLOOKUP($C714,REV!$C:$AA,15,0)-'TRADE IN'!$F714))</f>
        <v>3499</v>
      </c>
      <c r="R714" s="46">
        <f>IF(VLOOKUP($C714,REV!$C:$AA,16,0)-'TRADE IN'!$F723=0,"",(VLOOKUP($C714,REV!$C:$AA,16,0)-'TRADE IN'!$F714))</f>
        <v>3999</v>
      </c>
      <c r="S714" s="46">
        <f>IF(VLOOKUP($C714,REV!$C:$AA,17,0)-'TRADE IN'!$F723=0,"",(VLOOKUP($C714,REV!$C:$AA,17,0)-'TRADE IN'!$F714))</f>
        <v>3899</v>
      </c>
      <c r="T714" s="46">
        <f>IF(VLOOKUP($C714,REV!$C:$AA,18,0)-'TRADE IN'!$F723=0,"",(VLOOKUP($C714,REV!$C:$AA,18,0)-'TRADE IN'!$F714))</f>
        <v>3499</v>
      </c>
      <c r="U714" s="46">
        <f>IF(VLOOKUP($C714,REV!$C:$AA,19,0)-'TRADE IN'!$F723=0,"",(VLOOKUP($C714,REV!$C:$AA,19,0)-'TRADE IN'!$F714))</f>
        <v>3499</v>
      </c>
      <c r="V714" s="46">
        <f>IF(VLOOKUP($C714,REV!$C:$AA,20,0)-'TRADE IN'!$F723=0,"",(VLOOKUP($C714,REV!$C:$AA,20,0)-'TRADE IN'!$F714))</f>
        <v>3499</v>
      </c>
      <c r="W714" s="46">
        <f>IF(VLOOKUP($C714,REV!$C:$AA,21,0)-'TRADE IN'!$F723=0,"",(VLOOKUP($C714,REV!$C:$AA,21,0)-'TRADE IN'!$F714))</f>
        <v>3499</v>
      </c>
      <c r="X714" s="46">
        <f>IF(VLOOKUP($C714,REV!$C:$AA,22,0)-'TRADE IN'!$F723=0,"",(VLOOKUP($C714,REV!$C:$AA,22,0)-'TRADE IN'!$F714))</f>
        <v>3399</v>
      </c>
      <c r="Y714" s="46">
        <f>IF(VLOOKUP($C714,REV!$C:$AA,23,0)-'TRADE IN'!$F723=0,"",(VLOOKUP($C714,REV!$C:$AA,23,0)-'TRADE IN'!$F714))</f>
        <v>2499</v>
      </c>
      <c r="Z714" s="46">
        <f>IF(VLOOKUP($C714,REV!$C:$AA,24,0)-'TRADE IN'!$F723=0,"",(VLOOKUP($C714,REV!$C:$AA,24,0)-'TRADE IN'!$F714))</f>
        <v>2499</v>
      </c>
      <c r="AA714" s="46">
        <f>IF(VLOOKUP($C714,REV!$C:$AA,25,0)-'TRADE IN'!$F723=0,"",(VLOOKUP($C714,REV!$C:$AA,25,0)-'TRADE IN'!$F714))</f>
        <v>2499</v>
      </c>
      <c r="AB714" s="46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7"/>
      <c r="AW714" s="48" t="str">
        <f>IF(REV!AW714=0,"",REV!AW714)</f>
        <v>31.03.2026</v>
      </c>
      <c r="AX714" s="159" t="s">
        <v>82</v>
      </c>
    </row>
    <row r="715" spans="1:50" ht="22.5" customHeight="1">
      <c r="A715" s="52" t="s">
        <v>70</v>
      </c>
      <c r="B715" s="41" t="s">
        <v>62</v>
      </c>
      <c r="C715" s="42">
        <v>4016901</v>
      </c>
      <c r="D715" s="44" t="s">
        <v>948</v>
      </c>
      <c r="E715" s="44" t="s">
        <v>954</v>
      </c>
      <c r="F715" s="45">
        <v>500</v>
      </c>
      <c r="G715" s="45"/>
      <c r="H715" s="45"/>
      <c r="I715" s="45"/>
      <c r="J715" s="46">
        <f>IF(VLOOKUP($C715,REV!$C:$AA,8,0)-'TRADE IN'!$F715=0,"",(VLOOKUP($C715,REV!$C:$AA,8,0)-'TRADE IN'!$F715))</f>
        <v>4099</v>
      </c>
      <c r="K715" s="46">
        <f>IF(VLOOKUP($C715,REV!$C:$AA,9,0)-'TRADE IN'!$F715=0,"",(VLOOKUP($C715,REV!$C:$AA,9,0)-'TRADE IN'!$F715))</f>
        <v>4099</v>
      </c>
      <c r="L715" s="46">
        <f>IF(VLOOKUP($C715,REV!$C:$AA,10,0)-'TRADE IN'!$F724=0,"",(VLOOKUP($C715,REV!$C:$AA,10,0)-'TRADE IN'!$F715))</f>
        <v>4099</v>
      </c>
      <c r="M715" s="46">
        <f>IF(VLOOKUP($C715,REV!$C:$AA,11,0)-'TRADE IN'!$F724=0,"",(VLOOKUP($C715,REV!$C:$AA,11,0)-'TRADE IN'!$F715))</f>
        <v>4099</v>
      </c>
      <c r="N715" s="46">
        <f>IF(VLOOKUP($C715,REV!$C:$AA,12,0)-'TRADE IN'!$F724=0,"",(VLOOKUP($C715,REV!$C:$AA,12,0)-'TRADE IN'!$F715))</f>
        <v>4099</v>
      </c>
      <c r="O715" s="46">
        <f>IF(VLOOKUP($C715,REV!$C:$AA,13,0)-'TRADE IN'!$F724=0,"",(VLOOKUP($C715,REV!$C:$AA,13,0)-'TRADE IN'!$F715))</f>
        <v>3999</v>
      </c>
      <c r="P715" s="46">
        <f>IF(VLOOKUP($C715,REV!$C:$AA,14,0)-'TRADE IN'!$F724=0,"",(VLOOKUP($C715,REV!$C:$AA,14,0)-'TRADE IN'!$F715))</f>
        <v>3899</v>
      </c>
      <c r="Q715" s="46">
        <f>IF(VLOOKUP($C715,REV!$C:$AA,15,0)-'TRADE IN'!$F724=0,"",(VLOOKUP($C715,REV!$C:$AA,15,0)-'TRADE IN'!$F715))</f>
        <v>3499</v>
      </c>
      <c r="R715" s="46">
        <f>IF(VLOOKUP($C715,REV!$C:$AA,16,0)-'TRADE IN'!$F724=0,"",(VLOOKUP($C715,REV!$C:$AA,16,0)-'TRADE IN'!$F715))</f>
        <v>3999</v>
      </c>
      <c r="S715" s="46">
        <f>IF(VLOOKUP($C715,REV!$C:$AA,17,0)-'TRADE IN'!$F724=0,"",(VLOOKUP($C715,REV!$C:$AA,17,0)-'TRADE IN'!$F715))</f>
        <v>3899</v>
      </c>
      <c r="T715" s="46">
        <f>IF(VLOOKUP($C715,REV!$C:$AA,18,0)-'TRADE IN'!$F724=0,"",(VLOOKUP($C715,REV!$C:$AA,18,0)-'TRADE IN'!$F715))</f>
        <v>3499</v>
      </c>
      <c r="U715" s="46">
        <f>IF(VLOOKUP($C715,REV!$C:$AA,19,0)-'TRADE IN'!$F724=0,"",(VLOOKUP($C715,REV!$C:$AA,19,0)-'TRADE IN'!$F715))</f>
        <v>3499</v>
      </c>
      <c r="V715" s="46">
        <f>IF(VLOOKUP($C715,REV!$C:$AA,20,0)-'TRADE IN'!$F724=0,"",(VLOOKUP($C715,REV!$C:$AA,20,0)-'TRADE IN'!$F715))</f>
        <v>3499</v>
      </c>
      <c r="W715" s="46">
        <f>IF(VLOOKUP($C715,REV!$C:$AA,21,0)-'TRADE IN'!$F724=0,"",(VLOOKUP($C715,REV!$C:$AA,21,0)-'TRADE IN'!$F715))</f>
        <v>3499</v>
      </c>
      <c r="X715" s="46">
        <f>IF(VLOOKUP($C715,REV!$C:$AA,22,0)-'TRADE IN'!$F724=0,"",(VLOOKUP($C715,REV!$C:$AA,22,0)-'TRADE IN'!$F715))</f>
        <v>3399</v>
      </c>
      <c r="Y715" s="46">
        <f>IF(VLOOKUP($C715,REV!$C:$AA,23,0)-'TRADE IN'!$F724=0,"",(VLOOKUP($C715,REV!$C:$AA,23,0)-'TRADE IN'!$F715))</f>
        <v>2499</v>
      </c>
      <c r="Z715" s="46">
        <f>IF(VLOOKUP($C715,REV!$C:$AA,24,0)-'TRADE IN'!$F724=0,"",(VLOOKUP($C715,REV!$C:$AA,24,0)-'TRADE IN'!$F715))</f>
        <v>2499</v>
      </c>
      <c r="AA715" s="46">
        <f>IF(VLOOKUP($C715,REV!$C:$AA,25,0)-'TRADE IN'!$F724=0,"",(VLOOKUP($C715,REV!$C:$AA,25,0)-'TRADE IN'!$F715))</f>
        <v>2499</v>
      </c>
      <c r="AB715" s="46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7"/>
      <c r="AW715" s="48" t="str">
        <f>IF(REV!AW715=0,"",REV!AW715)</f>
        <v>31.03.2026</v>
      </c>
      <c r="AX715" s="159" t="s">
        <v>82</v>
      </c>
    </row>
    <row r="716" spans="1:50" ht="22.5" customHeight="1">
      <c r="A716" s="52" t="s">
        <v>70</v>
      </c>
      <c r="B716" s="41" t="s">
        <v>62</v>
      </c>
      <c r="C716" s="42">
        <v>4016895</v>
      </c>
      <c r="D716" s="44" t="s">
        <v>948</v>
      </c>
      <c r="E716" s="44" t="s">
        <v>955</v>
      </c>
      <c r="F716" s="45">
        <v>500</v>
      </c>
      <c r="G716" s="45"/>
      <c r="H716" s="45"/>
      <c r="I716" s="45"/>
      <c r="J716" s="46">
        <f>IF(VLOOKUP($C716,REV!$C:$AA,8,0)-'TRADE IN'!$F716=0,"",(VLOOKUP($C716,REV!$C:$AA,8,0)-'TRADE IN'!$F716))</f>
        <v>4099</v>
      </c>
      <c r="K716" s="46">
        <f>IF(VLOOKUP($C716,REV!$C:$AA,9,0)-'TRADE IN'!$F716=0,"",(VLOOKUP($C716,REV!$C:$AA,9,0)-'TRADE IN'!$F716))</f>
        <v>4099</v>
      </c>
      <c r="L716" s="46">
        <f>IF(VLOOKUP($C716,REV!$C:$AA,10,0)-'TRADE IN'!$F725=0,"",(VLOOKUP($C716,REV!$C:$AA,10,0)-'TRADE IN'!$F716))</f>
        <v>4099</v>
      </c>
      <c r="M716" s="46">
        <f>IF(VLOOKUP($C716,REV!$C:$AA,11,0)-'TRADE IN'!$F725=0,"",(VLOOKUP($C716,REV!$C:$AA,11,0)-'TRADE IN'!$F716))</f>
        <v>4099</v>
      </c>
      <c r="N716" s="46">
        <f>IF(VLOOKUP($C716,REV!$C:$AA,12,0)-'TRADE IN'!$F725=0,"",(VLOOKUP($C716,REV!$C:$AA,12,0)-'TRADE IN'!$F716))</f>
        <v>4099</v>
      </c>
      <c r="O716" s="46">
        <f>IF(VLOOKUP($C716,REV!$C:$AA,13,0)-'TRADE IN'!$F725=0,"",(VLOOKUP($C716,REV!$C:$AA,13,0)-'TRADE IN'!$F716))</f>
        <v>3999</v>
      </c>
      <c r="P716" s="46">
        <f>IF(VLOOKUP($C716,REV!$C:$AA,14,0)-'TRADE IN'!$F725=0,"",(VLOOKUP($C716,REV!$C:$AA,14,0)-'TRADE IN'!$F716))</f>
        <v>3899</v>
      </c>
      <c r="Q716" s="46">
        <f>IF(VLOOKUP($C716,REV!$C:$AA,15,0)-'TRADE IN'!$F725=0,"",(VLOOKUP($C716,REV!$C:$AA,15,0)-'TRADE IN'!$F716))</f>
        <v>3499</v>
      </c>
      <c r="R716" s="46">
        <f>IF(VLOOKUP($C716,REV!$C:$AA,16,0)-'TRADE IN'!$F725=0,"",(VLOOKUP($C716,REV!$C:$AA,16,0)-'TRADE IN'!$F716))</f>
        <v>3999</v>
      </c>
      <c r="S716" s="46">
        <f>IF(VLOOKUP($C716,REV!$C:$AA,17,0)-'TRADE IN'!$F725=0,"",(VLOOKUP($C716,REV!$C:$AA,17,0)-'TRADE IN'!$F716))</f>
        <v>3899</v>
      </c>
      <c r="T716" s="46">
        <f>IF(VLOOKUP($C716,REV!$C:$AA,18,0)-'TRADE IN'!$F725=0,"",(VLOOKUP($C716,REV!$C:$AA,18,0)-'TRADE IN'!$F716))</f>
        <v>3499</v>
      </c>
      <c r="U716" s="46">
        <f>IF(VLOOKUP($C716,REV!$C:$AA,19,0)-'TRADE IN'!$F725=0,"",(VLOOKUP($C716,REV!$C:$AA,19,0)-'TRADE IN'!$F716))</f>
        <v>3499</v>
      </c>
      <c r="V716" s="46">
        <f>IF(VLOOKUP($C716,REV!$C:$AA,20,0)-'TRADE IN'!$F725=0,"",(VLOOKUP($C716,REV!$C:$AA,20,0)-'TRADE IN'!$F716))</f>
        <v>3499</v>
      </c>
      <c r="W716" s="46">
        <f>IF(VLOOKUP($C716,REV!$C:$AA,21,0)-'TRADE IN'!$F725=0,"",(VLOOKUP($C716,REV!$C:$AA,21,0)-'TRADE IN'!$F716))</f>
        <v>3499</v>
      </c>
      <c r="X716" s="46">
        <f>IF(VLOOKUP($C716,REV!$C:$AA,22,0)-'TRADE IN'!$F725=0,"",(VLOOKUP($C716,REV!$C:$AA,22,0)-'TRADE IN'!$F716))</f>
        <v>3399</v>
      </c>
      <c r="Y716" s="46">
        <f>IF(VLOOKUP($C716,REV!$C:$AA,23,0)-'TRADE IN'!$F725=0,"",(VLOOKUP($C716,REV!$C:$AA,23,0)-'TRADE IN'!$F716))</f>
        <v>2499</v>
      </c>
      <c r="Z716" s="46">
        <f>IF(VLOOKUP($C716,REV!$C:$AA,24,0)-'TRADE IN'!$F725=0,"",(VLOOKUP($C716,REV!$C:$AA,24,0)-'TRADE IN'!$F716))</f>
        <v>2499</v>
      </c>
      <c r="AA716" s="46">
        <f>IF(VLOOKUP($C716,REV!$C:$AA,25,0)-'TRADE IN'!$F725=0,"",(VLOOKUP($C716,REV!$C:$AA,25,0)-'TRADE IN'!$F716))</f>
        <v>2499</v>
      </c>
      <c r="AB716" s="46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7"/>
      <c r="AW716" s="48" t="str">
        <f>IF(REV!AW716=0,"",REV!AW716)</f>
        <v>31.03.2026</v>
      </c>
      <c r="AX716" s="159" t="s">
        <v>82</v>
      </c>
    </row>
    <row r="717" spans="1:50" ht="22.5" customHeight="1">
      <c r="A717" s="52" t="s">
        <v>70</v>
      </c>
      <c r="B717" s="41" t="s">
        <v>62</v>
      </c>
      <c r="C717" s="42">
        <v>4016880</v>
      </c>
      <c r="D717" s="44" t="s">
        <v>948</v>
      </c>
      <c r="E717" s="44" t="s">
        <v>956</v>
      </c>
      <c r="F717" s="45">
        <v>500</v>
      </c>
      <c r="G717" s="45"/>
      <c r="H717" s="45"/>
      <c r="I717" s="45"/>
      <c r="J717" s="46">
        <f>IF(VLOOKUP($C717,REV!$C:$AA,8,0)-'TRADE IN'!$F717=0,"",(VLOOKUP($C717,REV!$C:$AA,8,0)-'TRADE IN'!$F717))</f>
        <v>4099</v>
      </c>
      <c r="K717" s="46">
        <f>IF(VLOOKUP($C717,REV!$C:$AA,9,0)-'TRADE IN'!$F717=0,"",(VLOOKUP($C717,REV!$C:$AA,9,0)-'TRADE IN'!$F717))</f>
        <v>4099</v>
      </c>
      <c r="L717" s="46">
        <f>IF(VLOOKUP($C717,REV!$C:$AA,10,0)-'TRADE IN'!$F726=0,"",(VLOOKUP($C717,REV!$C:$AA,10,0)-'TRADE IN'!$F717))</f>
        <v>4099</v>
      </c>
      <c r="M717" s="46">
        <f>IF(VLOOKUP($C717,REV!$C:$AA,11,0)-'TRADE IN'!$F726=0,"",(VLOOKUP($C717,REV!$C:$AA,11,0)-'TRADE IN'!$F717))</f>
        <v>4099</v>
      </c>
      <c r="N717" s="46">
        <f>IF(VLOOKUP($C717,REV!$C:$AA,12,0)-'TRADE IN'!$F726=0,"",(VLOOKUP($C717,REV!$C:$AA,12,0)-'TRADE IN'!$F717))</f>
        <v>4099</v>
      </c>
      <c r="O717" s="46">
        <f>IF(VLOOKUP($C717,REV!$C:$AA,13,0)-'TRADE IN'!$F726=0,"",(VLOOKUP($C717,REV!$C:$AA,13,0)-'TRADE IN'!$F717))</f>
        <v>3999</v>
      </c>
      <c r="P717" s="46">
        <f>IF(VLOOKUP($C717,REV!$C:$AA,14,0)-'TRADE IN'!$F726=0,"",(VLOOKUP($C717,REV!$C:$AA,14,0)-'TRADE IN'!$F717))</f>
        <v>3899</v>
      </c>
      <c r="Q717" s="46">
        <f>IF(VLOOKUP($C717,REV!$C:$AA,15,0)-'TRADE IN'!$F726=0,"",(VLOOKUP($C717,REV!$C:$AA,15,0)-'TRADE IN'!$F717))</f>
        <v>3499</v>
      </c>
      <c r="R717" s="46">
        <f>IF(VLOOKUP($C717,REV!$C:$AA,16,0)-'TRADE IN'!$F726=0,"",(VLOOKUP($C717,REV!$C:$AA,16,0)-'TRADE IN'!$F717))</f>
        <v>3999</v>
      </c>
      <c r="S717" s="46">
        <f>IF(VLOOKUP($C717,REV!$C:$AA,17,0)-'TRADE IN'!$F726=0,"",(VLOOKUP($C717,REV!$C:$AA,17,0)-'TRADE IN'!$F717))</f>
        <v>3899</v>
      </c>
      <c r="T717" s="46">
        <f>IF(VLOOKUP($C717,REV!$C:$AA,18,0)-'TRADE IN'!$F726=0,"",(VLOOKUP($C717,REV!$C:$AA,18,0)-'TRADE IN'!$F717))</f>
        <v>3499</v>
      </c>
      <c r="U717" s="46">
        <f>IF(VLOOKUP($C717,REV!$C:$AA,19,0)-'TRADE IN'!$F726=0,"",(VLOOKUP($C717,REV!$C:$AA,19,0)-'TRADE IN'!$F717))</f>
        <v>3499</v>
      </c>
      <c r="V717" s="46">
        <f>IF(VLOOKUP($C717,REV!$C:$AA,20,0)-'TRADE IN'!$F726=0,"",(VLOOKUP($C717,REV!$C:$AA,20,0)-'TRADE IN'!$F717))</f>
        <v>3499</v>
      </c>
      <c r="W717" s="46">
        <f>IF(VLOOKUP($C717,REV!$C:$AA,21,0)-'TRADE IN'!$F726=0,"",(VLOOKUP($C717,REV!$C:$AA,21,0)-'TRADE IN'!$F717))</f>
        <v>3499</v>
      </c>
      <c r="X717" s="46">
        <f>IF(VLOOKUP($C717,REV!$C:$AA,22,0)-'TRADE IN'!$F726=0,"",(VLOOKUP($C717,REV!$C:$AA,22,0)-'TRADE IN'!$F717))</f>
        <v>3399</v>
      </c>
      <c r="Y717" s="46">
        <f>IF(VLOOKUP($C717,REV!$C:$AA,23,0)-'TRADE IN'!$F726=0,"",(VLOOKUP($C717,REV!$C:$AA,23,0)-'TRADE IN'!$F717))</f>
        <v>2499</v>
      </c>
      <c r="Z717" s="46">
        <f>IF(VLOOKUP($C717,REV!$C:$AA,24,0)-'TRADE IN'!$F726=0,"",(VLOOKUP($C717,REV!$C:$AA,24,0)-'TRADE IN'!$F717))</f>
        <v>2499</v>
      </c>
      <c r="AA717" s="46">
        <f>IF(VLOOKUP($C717,REV!$C:$AA,25,0)-'TRADE IN'!$F726=0,"",(VLOOKUP($C717,REV!$C:$AA,25,0)-'TRADE IN'!$F717))</f>
        <v>2499</v>
      </c>
      <c r="AB717" s="46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7"/>
      <c r="AW717" s="48" t="str">
        <f>IF(REV!AW717=0,"",REV!AW717)</f>
        <v>31.03.2026</v>
      </c>
      <c r="AX717" s="159" t="s">
        <v>82</v>
      </c>
    </row>
    <row r="718" spans="1:50" ht="22.5" customHeight="1">
      <c r="A718" s="52" t="s">
        <v>70</v>
      </c>
      <c r="B718" s="41" t="s">
        <v>62</v>
      </c>
      <c r="C718" s="42">
        <v>4016871</v>
      </c>
      <c r="D718" s="44" t="s">
        <v>957</v>
      </c>
      <c r="E718" s="44" t="s">
        <v>958</v>
      </c>
      <c r="F718" s="45">
        <v>500</v>
      </c>
      <c r="G718" s="45"/>
      <c r="H718" s="45"/>
      <c r="I718" s="45"/>
      <c r="J718" s="46">
        <f>IF(VLOOKUP($C718,REV!$C:$AA,8,0)-'TRADE IN'!$F718=0,"",(VLOOKUP($C718,REV!$C:$AA,8,0)-'TRADE IN'!$F718))</f>
        <v>5099</v>
      </c>
      <c r="K718" s="46">
        <f>IF(VLOOKUP($C718,REV!$C:$AA,9,0)-'TRADE IN'!$F718=0,"",(VLOOKUP($C718,REV!$C:$AA,9,0)-'TRADE IN'!$F718))</f>
        <v>5099</v>
      </c>
      <c r="L718" s="46">
        <f>IF(VLOOKUP($C718,REV!$C:$AA,10,0)-'TRADE IN'!$F727=0,"",(VLOOKUP($C718,REV!$C:$AA,10,0)-'TRADE IN'!$F718))</f>
        <v>5099</v>
      </c>
      <c r="M718" s="46">
        <f>IF(VLOOKUP($C718,REV!$C:$AA,11,0)-'TRADE IN'!$F727=0,"",(VLOOKUP($C718,REV!$C:$AA,11,0)-'TRADE IN'!$F718))</f>
        <v>5099</v>
      </c>
      <c r="N718" s="46">
        <f>IF(VLOOKUP($C718,REV!$C:$AA,12,0)-'TRADE IN'!$F727=0,"",(VLOOKUP($C718,REV!$C:$AA,12,0)-'TRADE IN'!$F718))</f>
        <v>5099</v>
      </c>
      <c r="O718" s="46">
        <f>IF(VLOOKUP($C718,REV!$C:$AA,13,0)-'TRADE IN'!$F727=0,"",(VLOOKUP($C718,REV!$C:$AA,13,0)-'TRADE IN'!$F718))</f>
        <v>4999</v>
      </c>
      <c r="P718" s="46">
        <f>IF(VLOOKUP($C718,REV!$C:$AA,14,0)-'TRADE IN'!$F727=0,"",(VLOOKUP($C718,REV!$C:$AA,14,0)-'TRADE IN'!$F718))</f>
        <v>4899</v>
      </c>
      <c r="Q718" s="46">
        <f>IF(VLOOKUP($C718,REV!$C:$AA,15,0)-'TRADE IN'!$F727=0,"",(VLOOKUP($C718,REV!$C:$AA,15,0)-'TRADE IN'!$F718))</f>
        <v>4499</v>
      </c>
      <c r="R718" s="46">
        <f>IF(VLOOKUP($C718,REV!$C:$AA,16,0)-'TRADE IN'!$F727=0,"",(VLOOKUP($C718,REV!$C:$AA,16,0)-'TRADE IN'!$F718))</f>
        <v>4999</v>
      </c>
      <c r="S718" s="46">
        <f>IF(VLOOKUP($C718,REV!$C:$AA,17,0)-'TRADE IN'!$F727=0,"",(VLOOKUP($C718,REV!$C:$AA,17,0)-'TRADE IN'!$F718))</f>
        <v>4899</v>
      </c>
      <c r="T718" s="46">
        <f>IF(VLOOKUP($C718,REV!$C:$AA,18,0)-'TRADE IN'!$F727=0,"",(VLOOKUP($C718,REV!$C:$AA,18,0)-'TRADE IN'!$F718))</f>
        <v>4499</v>
      </c>
      <c r="U718" s="46">
        <f>IF(VLOOKUP($C718,REV!$C:$AA,19,0)-'TRADE IN'!$F727=0,"",(VLOOKUP($C718,REV!$C:$AA,19,0)-'TRADE IN'!$F718))</f>
        <v>4499</v>
      </c>
      <c r="V718" s="46">
        <f>IF(VLOOKUP($C718,REV!$C:$AA,20,0)-'TRADE IN'!$F727=0,"",(VLOOKUP($C718,REV!$C:$AA,20,0)-'TRADE IN'!$F718))</f>
        <v>4499</v>
      </c>
      <c r="W718" s="46">
        <f>IF(VLOOKUP($C718,REV!$C:$AA,21,0)-'TRADE IN'!$F727=0,"",(VLOOKUP($C718,REV!$C:$AA,21,0)-'TRADE IN'!$F718))</f>
        <v>4499</v>
      </c>
      <c r="X718" s="46">
        <f>IF(VLOOKUP($C718,REV!$C:$AA,22,0)-'TRADE IN'!$F727=0,"",(VLOOKUP($C718,REV!$C:$AA,22,0)-'TRADE IN'!$F718))</f>
        <v>4399</v>
      </c>
      <c r="Y718" s="46">
        <f>IF(VLOOKUP($C718,REV!$C:$AA,23,0)-'TRADE IN'!$F727=0,"",(VLOOKUP($C718,REV!$C:$AA,23,0)-'TRADE IN'!$F718))</f>
        <v>3699</v>
      </c>
      <c r="Z718" s="46">
        <f>IF(VLOOKUP($C718,REV!$C:$AA,24,0)-'TRADE IN'!$F727=0,"",(VLOOKUP($C718,REV!$C:$AA,24,0)-'TRADE IN'!$F718))</f>
        <v>3699</v>
      </c>
      <c r="AA718" s="46">
        <f>IF(VLOOKUP($C718,REV!$C:$AA,25,0)-'TRADE IN'!$F727=0,"",(VLOOKUP($C718,REV!$C:$AA,25,0)-'TRADE IN'!$F718))</f>
        <v>3699</v>
      </c>
      <c r="AB718" s="46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7"/>
      <c r="AW718" s="48" t="str">
        <f>IF(REV!AW718=0,"",REV!AW718)</f>
        <v>31.03.2026</v>
      </c>
      <c r="AX718" s="159" t="s">
        <v>82</v>
      </c>
    </row>
    <row r="719" spans="1:50" ht="22.5" customHeight="1">
      <c r="A719" s="52" t="s">
        <v>70</v>
      </c>
      <c r="B719" s="41" t="s">
        <v>62</v>
      </c>
      <c r="C719" s="42">
        <v>4016851</v>
      </c>
      <c r="D719" s="44" t="s">
        <v>957</v>
      </c>
      <c r="E719" s="44" t="s">
        <v>959</v>
      </c>
      <c r="F719" s="45">
        <v>500</v>
      </c>
      <c r="G719" s="45"/>
      <c r="H719" s="45"/>
      <c r="I719" s="45"/>
      <c r="J719" s="46">
        <f>IF(VLOOKUP($C719,REV!$C:$AA,8,0)-'TRADE IN'!$F719=0,"",(VLOOKUP($C719,REV!$C:$AA,8,0)-'TRADE IN'!$F719))</f>
        <v>5099</v>
      </c>
      <c r="K719" s="46">
        <f>IF(VLOOKUP($C719,REV!$C:$AA,9,0)-'TRADE IN'!$F719=0,"",(VLOOKUP($C719,REV!$C:$AA,9,0)-'TRADE IN'!$F719))</f>
        <v>5099</v>
      </c>
      <c r="L719" s="46">
        <f>IF(VLOOKUP($C719,REV!$C:$AA,10,0)-'TRADE IN'!$F728=0,"",(VLOOKUP($C719,REV!$C:$AA,10,0)-'TRADE IN'!$F719))</f>
        <v>5099</v>
      </c>
      <c r="M719" s="46">
        <f>IF(VLOOKUP($C719,REV!$C:$AA,11,0)-'TRADE IN'!$F728=0,"",(VLOOKUP($C719,REV!$C:$AA,11,0)-'TRADE IN'!$F719))</f>
        <v>5099</v>
      </c>
      <c r="N719" s="46">
        <f>IF(VLOOKUP($C719,REV!$C:$AA,12,0)-'TRADE IN'!$F728=0,"",(VLOOKUP($C719,REV!$C:$AA,12,0)-'TRADE IN'!$F719))</f>
        <v>5099</v>
      </c>
      <c r="O719" s="46">
        <f>IF(VLOOKUP($C719,REV!$C:$AA,13,0)-'TRADE IN'!$F728=0,"",(VLOOKUP($C719,REV!$C:$AA,13,0)-'TRADE IN'!$F719))</f>
        <v>4999</v>
      </c>
      <c r="P719" s="46">
        <f>IF(VLOOKUP($C719,REV!$C:$AA,14,0)-'TRADE IN'!$F728=0,"",(VLOOKUP($C719,REV!$C:$AA,14,0)-'TRADE IN'!$F719))</f>
        <v>4899</v>
      </c>
      <c r="Q719" s="46">
        <f>IF(VLOOKUP($C719,REV!$C:$AA,15,0)-'TRADE IN'!$F728=0,"",(VLOOKUP($C719,REV!$C:$AA,15,0)-'TRADE IN'!$F719))</f>
        <v>4499</v>
      </c>
      <c r="R719" s="46">
        <f>IF(VLOOKUP($C719,REV!$C:$AA,16,0)-'TRADE IN'!$F728=0,"",(VLOOKUP($C719,REV!$C:$AA,16,0)-'TRADE IN'!$F719))</f>
        <v>4999</v>
      </c>
      <c r="S719" s="46">
        <f>IF(VLOOKUP($C719,REV!$C:$AA,17,0)-'TRADE IN'!$F728=0,"",(VLOOKUP($C719,REV!$C:$AA,17,0)-'TRADE IN'!$F719))</f>
        <v>4899</v>
      </c>
      <c r="T719" s="46">
        <f>IF(VLOOKUP($C719,REV!$C:$AA,18,0)-'TRADE IN'!$F728=0,"",(VLOOKUP($C719,REV!$C:$AA,18,0)-'TRADE IN'!$F719))</f>
        <v>4499</v>
      </c>
      <c r="U719" s="46">
        <f>IF(VLOOKUP($C719,REV!$C:$AA,19,0)-'TRADE IN'!$F728=0,"",(VLOOKUP($C719,REV!$C:$AA,19,0)-'TRADE IN'!$F719))</f>
        <v>4499</v>
      </c>
      <c r="V719" s="46">
        <f>IF(VLOOKUP($C719,REV!$C:$AA,20,0)-'TRADE IN'!$F728=0,"",(VLOOKUP($C719,REV!$C:$AA,20,0)-'TRADE IN'!$F719))</f>
        <v>4499</v>
      </c>
      <c r="W719" s="46">
        <f>IF(VLOOKUP($C719,REV!$C:$AA,21,0)-'TRADE IN'!$F728=0,"",(VLOOKUP($C719,REV!$C:$AA,21,0)-'TRADE IN'!$F719))</f>
        <v>4499</v>
      </c>
      <c r="X719" s="46">
        <f>IF(VLOOKUP($C719,REV!$C:$AA,22,0)-'TRADE IN'!$F728=0,"",(VLOOKUP($C719,REV!$C:$AA,22,0)-'TRADE IN'!$F719))</f>
        <v>4399</v>
      </c>
      <c r="Y719" s="46">
        <f>IF(VLOOKUP($C719,REV!$C:$AA,23,0)-'TRADE IN'!$F728=0,"",(VLOOKUP($C719,REV!$C:$AA,23,0)-'TRADE IN'!$F719))</f>
        <v>3699</v>
      </c>
      <c r="Z719" s="46">
        <f>IF(VLOOKUP($C719,REV!$C:$AA,24,0)-'TRADE IN'!$F728=0,"",(VLOOKUP($C719,REV!$C:$AA,24,0)-'TRADE IN'!$F719))</f>
        <v>3699</v>
      </c>
      <c r="AA719" s="46">
        <f>IF(VLOOKUP($C719,REV!$C:$AA,25,0)-'TRADE IN'!$F728=0,"",(VLOOKUP($C719,REV!$C:$AA,25,0)-'TRADE IN'!$F719))</f>
        <v>3699</v>
      </c>
      <c r="AB719" s="46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7"/>
      <c r="AW719" s="48" t="str">
        <f>IF(REV!AW719=0,"",REV!AW719)</f>
        <v>31.03.2026</v>
      </c>
      <c r="AX719" s="159" t="s">
        <v>82</v>
      </c>
    </row>
    <row r="720" spans="1:50" ht="22.5" customHeight="1">
      <c r="A720" s="52" t="s">
        <v>70</v>
      </c>
      <c r="B720" s="41" t="s">
        <v>62</v>
      </c>
      <c r="C720" s="42">
        <v>4016864</v>
      </c>
      <c r="D720" s="44" t="s">
        <v>957</v>
      </c>
      <c r="E720" s="44" t="s">
        <v>960</v>
      </c>
      <c r="F720" s="45">
        <v>500</v>
      </c>
      <c r="G720" s="45"/>
      <c r="H720" s="45"/>
      <c r="I720" s="45"/>
      <c r="J720" s="46">
        <f>IF(VLOOKUP($C720,REV!$C:$AA,8,0)-'TRADE IN'!$F720=0,"",(VLOOKUP($C720,REV!$C:$AA,8,0)-'TRADE IN'!$F720))</f>
        <v>5099</v>
      </c>
      <c r="K720" s="46">
        <f>IF(VLOOKUP($C720,REV!$C:$AA,9,0)-'TRADE IN'!$F720=0,"",(VLOOKUP($C720,REV!$C:$AA,9,0)-'TRADE IN'!$F720))</f>
        <v>5099</v>
      </c>
      <c r="L720" s="46">
        <f>IF(VLOOKUP($C720,REV!$C:$AA,10,0)-'TRADE IN'!$F729=0,"",(VLOOKUP($C720,REV!$C:$AA,10,0)-'TRADE IN'!$F720))</f>
        <v>5099</v>
      </c>
      <c r="M720" s="46">
        <f>IF(VLOOKUP($C720,REV!$C:$AA,11,0)-'TRADE IN'!$F729=0,"",(VLOOKUP($C720,REV!$C:$AA,11,0)-'TRADE IN'!$F720))</f>
        <v>5099</v>
      </c>
      <c r="N720" s="46">
        <f>IF(VLOOKUP($C720,REV!$C:$AA,12,0)-'TRADE IN'!$F729=0,"",(VLOOKUP($C720,REV!$C:$AA,12,0)-'TRADE IN'!$F720))</f>
        <v>5099</v>
      </c>
      <c r="O720" s="46">
        <f>IF(VLOOKUP($C720,REV!$C:$AA,13,0)-'TRADE IN'!$F729=0,"",(VLOOKUP($C720,REV!$C:$AA,13,0)-'TRADE IN'!$F720))</f>
        <v>4999</v>
      </c>
      <c r="P720" s="46">
        <f>IF(VLOOKUP($C720,REV!$C:$AA,14,0)-'TRADE IN'!$F729=0,"",(VLOOKUP($C720,REV!$C:$AA,14,0)-'TRADE IN'!$F720))</f>
        <v>4899</v>
      </c>
      <c r="Q720" s="46">
        <f>IF(VLOOKUP($C720,REV!$C:$AA,15,0)-'TRADE IN'!$F729=0,"",(VLOOKUP($C720,REV!$C:$AA,15,0)-'TRADE IN'!$F720))</f>
        <v>4499</v>
      </c>
      <c r="R720" s="46">
        <f>IF(VLOOKUP($C720,REV!$C:$AA,16,0)-'TRADE IN'!$F729=0,"",(VLOOKUP($C720,REV!$C:$AA,16,0)-'TRADE IN'!$F720))</f>
        <v>4999</v>
      </c>
      <c r="S720" s="46">
        <f>IF(VLOOKUP($C720,REV!$C:$AA,17,0)-'TRADE IN'!$F729=0,"",(VLOOKUP($C720,REV!$C:$AA,17,0)-'TRADE IN'!$F720))</f>
        <v>4899</v>
      </c>
      <c r="T720" s="46">
        <f>IF(VLOOKUP($C720,REV!$C:$AA,18,0)-'TRADE IN'!$F729=0,"",(VLOOKUP($C720,REV!$C:$AA,18,0)-'TRADE IN'!$F720))</f>
        <v>4499</v>
      </c>
      <c r="U720" s="46">
        <f>IF(VLOOKUP($C720,REV!$C:$AA,19,0)-'TRADE IN'!$F729=0,"",(VLOOKUP($C720,REV!$C:$AA,19,0)-'TRADE IN'!$F720))</f>
        <v>4499</v>
      </c>
      <c r="V720" s="46">
        <f>IF(VLOOKUP($C720,REV!$C:$AA,20,0)-'TRADE IN'!$F729=0,"",(VLOOKUP($C720,REV!$C:$AA,20,0)-'TRADE IN'!$F720))</f>
        <v>4499</v>
      </c>
      <c r="W720" s="46">
        <f>IF(VLOOKUP($C720,REV!$C:$AA,21,0)-'TRADE IN'!$F729=0,"",(VLOOKUP($C720,REV!$C:$AA,21,0)-'TRADE IN'!$F720))</f>
        <v>4499</v>
      </c>
      <c r="X720" s="46">
        <f>IF(VLOOKUP($C720,REV!$C:$AA,22,0)-'TRADE IN'!$F729=0,"",(VLOOKUP($C720,REV!$C:$AA,22,0)-'TRADE IN'!$F720))</f>
        <v>4399</v>
      </c>
      <c r="Y720" s="46">
        <f>IF(VLOOKUP($C720,REV!$C:$AA,23,0)-'TRADE IN'!$F729=0,"",(VLOOKUP($C720,REV!$C:$AA,23,0)-'TRADE IN'!$F720))</f>
        <v>3699</v>
      </c>
      <c r="Z720" s="46">
        <f>IF(VLOOKUP($C720,REV!$C:$AA,24,0)-'TRADE IN'!$F729=0,"",(VLOOKUP($C720,REV!$C:$AA,24,0)-'TRADE IN'!$F720))</f>
        <v>3699</v>
      </c>
      <c r="AA720" s="46">
        <f>IF(VLOOKUP($C720,REV!$C:$AA,25,0)-'TRADE IN'!$F729=0,"",(VLOOKUP($C720,REV!$C:$AA,25,0)-'TRADE IN'!$F720))</f>
        <v>3699</v>
      </c>
      <c r="AB720" s="46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7"/>
      <c r="AW720" s="48" t="str">
        <f>IF(REV!AW720=0,"",REV!AW720)</f>
        <v>31.03.2026</v>
      </c>
      <c r="AX720" s="159" t="s">
        <v>82</v>
      </c>
    </row>
    <row r="721" spans="1:50" ht="22.5" customHeight="1">
      <c r="A721" s="52" t="s">
        <v>70</v>
      </c>
      <c r="B721" s="41" t="s">
        <v>62</v>
      </c>
      <c r="C721" s="42">
        <v>4016900</v>
      </c>
      <c r="D721" s="44" t="s">
        <v>957</v>
      </c>
      <c r="E721" s="44" t="s">
        <v>961</v>
      </c>
      <c r="F721" s="45">
        <v>500</v>
      </c>
      <c r="G721" s="45"/>
      <c r="H721" s="45"/>
      <c r="I721" s="45"/>
      <c r="J721" s="46">
        <f>IF(VLOOKUP($C721,REV!$C:$AA,8,0)-'TRADE IN'!$F721=0,"",(VLOOKUP($C721,REV!$C:$AA,8,0)-'TRADE IN'!$F721))</f>
        <v>5099</v>
      </c>
      <c r="K721" s="46">
        <f>IF(VLOOKUP($C721,REV!$C:$AA,9,0)-'TRADE IN'!$F721=0,"",(VLOOKUP($C721,REV!$C:$AA,9,0)-'TRADE IN'!$F721))</f>
        <v>5099</v>
      </c>
      <c r="L721" s="46">
        <f>IF(VLOOKUP($C721,REV!$C:$AA,10,0)-'TRADE IN'!$F730=0,"",(VLOOKUP($C721,REV!$C:$AA,10,0)-'TRADE IN'!$F721))</f>
        <v>5099</v>
      </c>
      <c r="M721" s="46">
        <f>IF(VLOOKUP($C721,REV!$C:$AA,11,0)-'TRADE IN'!$F730=0,"",(VLOOKUP($C721,REV!$C:$AA,11,0)-'TRADE IN'!$F721))</f>
        <v>5099</v>
      </c>
      <c r="N721" s="46">
        <f>IF(VLOOKUP($C721,REV!$C:$AA,12,0)-'TRADE IN'!$F730=0,"",(VLOOKUP($C721,REV!$C:$AA,12,0)-'TRADE IN'!$F721))</f>
        <v>5099</v>
      </c>
      <c r="O721" s="46">
        <f>IF(VLOOKUP($C721,REV!$C:$AA,13,0)-'TRADE IN'!$F730=0,"",(VLOOKUP($C721,REV!$C:$AA,13,0)-'TRADE IN'!$F721))</f>
        <v>4999</v>
      </c>
      <c r="P721" s="46">
        <f>IF(VLOOKUP($C721,REV!$C:$AA,14,0)-'TRADE IN'!$F730=0,"",(VLOOKUP($C721,REV!$C:$AA,14,0)-'TRADE IN'!$F721))</f>
        <v>4899</v>
      </c>
      <c r="Q721" s="46">
        <f>IF(VLOOKUP($C721,REV!$C:$AA,15,0)-'TRADE IN'!$F730=0,"",(VLOOKUP($C721,REV!$C:$AA,15,0)-'TRADE IN'!$F721))</f>
        <v>4499</v>
      </c>
      <c r="R721" s="46">
        <f>IF(VLOOKUP($C721,REV!$C:$AA,16,0)-'TRADE IN'!$F730=0,"",(VLOOKUP($C721,REV!$C:$AA,16,0)-'TRADE IN'!$F721))</f>
        <v>4999</v>
      </c>
      <c r="S721" s="46">
        <f>IF(VLOOKUP($C721,REV!$C:$AA,17,0)-'TRADE IN'!$F730=0,"",(VLOOKUP($C721,REV!$C:$AA,17,0)-'TRADE IN'!$F721))</f>
        <v>4899</v>
      </c>
      <c r="T721" s="46">
        <f>IF(VLOOKUP($C721,REV!$C:$AA,18,0)-'TRADE IN'!$F730=0,"",(VLOOKUP($C721,REV!$C:$AA,18,0)-'TRADE IN'!$F721))</f>
        <v>4499</v>
      </c>
      <c r="U721" s="46">
        <f>IF(VLOOKUP($C721,REV!$C:$AA,19,0)-'TRADE IN'!$F730=0,"",(VLOOKUP($C721,REV!$C:$AA,19,0)-'TRADE IN'!$F721))</f>
        <v>4499</v>
      </c>
      <c r="V721" s="46">
        <f>IF(VLOOKUP($C721,REV!$C:$AA,20,0)-'TRADE IN'!$F730=0,"",(VLOOKUP($C721,REV!$C:$AA,20,0)-'TRADE IN'!$F721))</f>
        <v>4499</v>
      </c>
      <c r="W721" s="46">
        <f>IF(VLOOKUP($C721,REV!$C:$AA,21,0)-'TRADE IN'!$F730=0,"",(VLOOKUP($C721,REV!$C:$AA,21,0)-'TRADE IN'!$F721))</f>
        <v>4499</v>
      </c>
      <c r="X721" s="46">
        <f>IF(VLOOKUP($C721,REV!$C:$AA,22,0)-'TRADE IN'!$F730=0,"",(VLOOKUP($C721,REV!$C:$AA,22,0)-'TRADE IN'!$F721))</f>
        <v>4399</v>
      </c>
      <c r="Y721" s="46">
        <f>IF(VLOOKUP($C721,REV!$C:$AA,23,0)-'TRADE IN'!$F730=0,"",(VLOOKUP($C721,REV!$C:$AA,23,0)-'TRADE IN'!$F721))</f>
        <v>3699</v>
      </c>
      <c r="Z721" s="46">
        <f>IF(VLOOKUP($C721,REV!$C:$AA,24,0)-'TRADE IN'!$F730=0,"",(VLOOKUP($C721,REV!$C:$AA,24,0)-'TRADE IN'!$F721))</f>
        <v>3699</v>
      </c>
      <c r="AA721" s="46">
        <f>IF(VLOOKUP($C721,REV!$C:$AA,25,0)-'TRADE IN'!$F730=0,"",(VLOOKUP($C721,REV!$C:$AA,25,0)-'TRADE IN'!$F721))</f>
        <v>3699</v>
      </c>
      <c r="AB721" s="46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7"/>
      <c r="AW721" s="48" t="str">
        <f>IF(REV!AW721=0,"",REV!AW721)</f>
        <v>31.03.2026</v>
      </c>
      <c r="AX721" s="159" t="s">
        <v>82</v>
      </c>
    </row>
    <row r="722" spans="1:50" ht="22.5" customHeight="1">
      <c r="A722" s="52" t="s">
        <v>70</v>
      </c>
      <c r="B722" s="41" t="s">
        <v>62</v>
      </c>
      <c r="C722" s="42">
        <v>4016893</v>
      </c>
      <c r="D722" s="44" t="s">
        <v>957</v>
      </c>
      <c r="E722" s="44" t="s">
        <v>962</v>
      </c>
      <c r="F722" s="45">
        <v>500</v>
      </c>
      <c r="G722" s="45"/>
      <c r="H722" s="45"/>
      <c r="I722" s="45"/>
      <c r="J722" s="46">
        <f>IF(VLOOKUP($C722,REV!$C:$AA,8,0)-'TRADE IN'!$F722=0,"",(VLOOKUP($C722,REV!$C:$AA,8,0)-'TRADE IN'!$F722))</f>
        <v>5099</v>
      </c>
      <c r="K722" s="46">
        <f>IF(VLOOKUP($C722,REV!$C:$AA,9,0)-'TRADE IN'!$F722=0,"",(VLOOKUP($C722,REV!$C:$AA,9,0)-'TRADE IN'!$F722))</f>
        <v>5099</v>
      </c>
      <c r="L722" s="46">
        <f>IF(VLOOKUP($C722,REV!$C:$AA,10,0)-'TRADE IN'!$F731=0,"",(VLOOKUP($C722,REV!$C:$AA,10,0)-'TRADE IN'!$F722))</f>
        <v>5099</v>
      </c>
      <c r="M722" s="46">
        <f>IF(VLOOKUP($C722,REV!$C:$AA,11,0)-'TRADE IN'!$F731=0,"",(VLOOKUP($C722,REV!$C:$AA,11,0)-'TRADE IN'!$F722))</f>
        <v>5099</v>
      </c>
      <c r="N722" s="46">
        <f>IF(VLOOKUP($C722,REV!$C:$AA,12,0)-'TRADE IN'!$F731=0,"",(VLOOKUP($C722,REV!$C:$AA,12,0)-'TRADE IN'!$F722))</f>
        <v>5099</v>
      </c>
      <c r="O722" s="46">
        <f>IF(VLOOKUP($C722,REV!$C:$AA,13,0)-'TRADE IN'!$F731=0,"",(VLOOKUP($C722,REV!$C:$AA,13,0)-'TRADE IN'!$F722))</f>
        <v>4999</v>
      </c>
      <c r="P722" s="46">
        <f>IF(VLOOKUP($C722,REV!$C:$AA,14,0)-'TRADE IN'!$F731=0,"",(VLOOKUP($C722,REV!$C:$AA,14,0)-'TRADE IN'!$F722))</f>
        <v>4899</v>
      </c>
      <c r="Q722" s="46">
        <f>IF(VLOOKUP($C722,REV!$C:$AA,15,0)-'TRADE IN'!$F731=0,"",(VLOOKUP($C722,REV!$C:$AA,15,0)-'TRADE IN'!$F722))</f>
        <v>4499</v>
      </c>
      <c r="R722" s="46">
        <f>IF(VLOOKUP($C722,REV!$C:$AA,16,0)-'TRADE IN'!$F731=0,"",(VLOOKUP($C722,REV!$C:$AA,16,0)-'TRADE IN'!$F722))</f>
        <v>4999</v>
      </c>
      <c r="S722" s="46">
        <f>IF(VLOOKUP($C722,REV!$C:$AA,17,0)-'TRADE IN'!$F731=0,"",(VLOOKUP($C722,REV!$C:$AA,17,0)-'TRADE IN'!$F722))</f>
        <v>4899</v>
      </c>
      <c r="T722" s="46">
        <f>IF(VLOOKUP($C722,REV!$C:$AA,18,0)-'TRADE IN'!$F731=0,"",(VLOOKUP($C722,REV!$C:$AA,18,0)-'TRADE IN'!$F722))</f>
        <v>4499</v>
      </c>
      <c r="U722" s="46">
        <f>IF(VLOOKUP($C722,REV!$C:$AA,19,0)-'TRADE IN'!$F731=0,"",(VLOOKUP($C722,REV!$C:$AA,19,0)-'TRADE IN'!$F722))</f>
        <v>4499</v>
      </c>
      <c r="V722" s="46">
        <f>IF(VLOOKUP($C722,REV!$C:$AA,20,0)-'TRADE IN'!$F731=0,"",(VLOOKUP($C722,REV!$C:$AA,20,0)-'TRADE IN'!$F722))</f>
        <v>4499</v>
      </c>
      <c r="W722" s="46">
        <f>IF(VLOOKUP($C722,REV!$C:$AA,21,0)-'TRADE IN'!$F731=0,"",(VLOOKUP($C722,REV!$C:$AA,21,0)-'TRADE IN'!$F722))</f>
        <v>4499</v>
      </c>
      <c r="X722" s="46">
        <f>IF(VLOOKUP($C722,REV!$C:$AA,22,0)-'TRADE IN'!$F731=0,"",(VLOOKUP($C722,REV!$C:$AA,22,0)-'TRADE IN'!$F722))</f>
        <v>4399</v>
      </c>
      <c r="Y722" s="46">
        <f>IF(VLOOKUP($C722,REV!$C:$AA,23,0)-'TRADE IN'!$F731=0,"",(VLOOKUP($C722,REV!$C:$AA,23,0)-'TRADE IN'!$F722))</f>
        <v>3699</v>
      </c>
      <c r="Z722" s="46">
        <f>IF(VLOOKUP($C722,REV!$C:$AA,24,0)-'TRADE IN'!$F731=0,"",(VLOOKUP($C722,REV!$C:$AA,24,0)-'TRADE IN'!$F722))</f>
        <v>3699</v>
      </c>
      <c r="AA722" s="46">
        <f>IF(VLOOKUP($C722,REV!$C:$AA,25,0)-'TRADE IN'!$F731=0,"",(VLOOKUP($C722,REV!$C:$AA,25,0)-'TRADE IN'!$F722))</f>
        <v>3699</v>
      </c>
      <c r="AB722" s="46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7"/>
      <c r="AW722" s="48" t="str">
        <f>IF(REV!AW722=0,"",REV!AW722)</f>
        <v>31.03.2026</v>
      </c>
      <c r="AX722" s="159" t="s">
        <v>82</v>
      </c>
    </row>
    <row r="723" spans="1:50" ht="22.5" customHeight="1">
      <c r="A723" s="52" t="s">
        <v>70</v>
      </c>
      <c r="B723" s="41" t="s">
        <v>62</v>
      </c>
      <c r="C723" s="42">
        <v>4016879</v>
      </c>
      <c r="D723" s="44" t="s">
        <v>957</v>
      </c>
      <c r="E723" s="44" t="s">
        <v>963</v>
      </c>
      <c r="F723" s="45">
        <v>500</v>
      </c>
      <c r="G723" s="45"/>
      <c r="H723" s="45"/>
      <c r="I723" s="45"/>
      <c r="J723" s="46">
        <f>IF(VLOOKUP($C723,REV!$C:$AA,8,0)-'TRADE IN'!$F723=0,"",(VLOOKUP($C723,REV!$C:$AA,8,0)-'TRADE IN'!$F723))</f>
        <v>5099</v>
      </c>
      <c r="K723" s="46">
        <f>IF(VLOOKUP($C723,REV!$C:$AA,9,0)-'TRADE IN'!$F723=0,"",(VLOOKUP($C723,REV!$C:$AA,9,0)-'TRADE IN'!$F723))</f>
        <v>5099</v>
      </c>
      <c r="L723" s="46">
        <f>IF(VLOOKUP($C723,REV!$C:$AA,10,0)-'TRADE IN'!$F732=0,"",(VLOOKUP($C723,REV!$C:$AA,10,0)-'TRADE IN'!$F723))</f>
        <v>5099</v>
      </c>
      <c r="M723" s="46">
        <f>IF(VLOOKUP($C723,REV!$C:$AA,11,0)-'TRADE IN'!$F732=0,"",(VLOOKUP($C723,REV!$C:$AA,11,0)-'TRADE IN'!$F723))</f>
        <v>5099</v>
      </c>
      <c r="N723" s="46">
        <f>IF(VLOOKUP($C723,REV!$C:$AA,12,0)-'TRADE IN'!$F732=0,"",(VLOOKUP($C723,REV!$C:$AA,12,0)-'TRADE IN'!$F723))</f>
        <v>5099</v>
      </c>
      <c r="O723" s="46">
        <f>IF(VLOOKUP($C723,REV!$C:$AA,13,0)-'TRADE IN'!$F732=0,"",(VLOOKUP($C723,REV!$C:$AA,13,0)-'TRADE IN'!$F723))</f>
        <v>4999</v>
      </c>
      <c r="P723" s="46">
        <f>IF(VLOOKUP($C723,REV!$C:$AA,14,0)-'TRADE IN'!$F732=0,"",(VLOOKUP($C723,REV!$C:$AA,14,0)-'TRADE IN'!$F723))</f>
        <v>4899</v>
      </c>
      <c r="Q723" s="46">
        <f>IF(VLOOKUP($C723,REV!$C:$AA,15,0)-'TRADE IN'!$F732=0,"",(VLOOKUP($C723,REV!$C:$AA,15,0)-'TRADE IN'!$F723))</f>
        <v>4499</v>
      </c>
      <c r="R723" s="46">
        <f>IF(VLOOKUP($C723,REV!$C:$AA,16,0)-'TRADE IN'!$F732=0,"",(VLOOKUP($C723,REV!$C:$AA,16,0)-'TRADE IN'!$F723))</f>
        <v>4999</v>
      </c>
      <c r="S723" s="46">
        <f>IF(VLOOKUP($C723,REV!$C:$AA,17,0)-'TRADE IN'!$F732=0,"",(VLOOKUP($C723,REV!$C:$AA,17,0)-'TRADE IN'!$F723))</f>
        <v>4899</v>
      </c>
      <c r="T723" s="46">
        <f>IF(VLOOKUP($C723,REV!$C:$AA,18,0)-'TRADE IN'!$F732=0,"",(VLOOKUP($C723,REV!$C:$AA,18,0)-'TRADE IN'!$F723))</f>
        <v>4499</v>
      </c>
      <c r="U723" s="46">
        <f>IF(VLOOKUP($C723,REV!$C:$AA,19,0)-'TRADE IN'!$F732=0,"",(VLOOKUP($C723,REV!$C:$AA,19,0)-'TRADE IN'!$F723))</f>
        <v>4499</v>
      </c>
      <c r="V723" s="46">
        <f>IF(VLOOKUP($C723,REV!$C:$AA,20,0)-'TRADE IN'!$F732=0,"",(VLOOKUP($C723,REV!$C:$AA,20,0)-'TRADE IN'!$F723))</f>
        <v>4499</v>
      </c>
      <c r="W723" s="46">
        <f>IF(VLOOKUP($C723,REV!$C:$AA,21,0)-'TRADE IN'!$F732=0,"",(VLOOKUP($C723,REV!$C:$AA,21,0)-'TRADE IN'!$F723))</f>
        <v>4499</v>
      </c>
      <c r="X723" s="46">
        <f>IF(VLOOKUP($C723,REV!$C:$AA,22,0)-'TRADE IN'!$F732=0,"",(VLOOKUP($C723,REV!$C:$AA,22,0)-'TRADE IN'!$F723))</f>
        <v>4399</v>
      </c>
      <c r="Y723" s="46">
        <f>IF(VLOOKUP($C723,REV!$C:$AA,23,0)-'TRADE IN'!$F732=0,"",(VLOOKUP($C723,REV!$C:$AA,23,0)-'TRADE IN'!$F723))</f>
        <v>3699</v>
      </c>
      <c r="Z723" s="46">
        <f>IF(VLOOKUP($C723,REV!$C:$AA,24,0)-'TRADE IN'!$F732=0,"",(VLOOKUP($C723,REV!$C:$AA,24,0)-'TRADE IN'!$F723))</f>
        <v>3699</v>
      </c>
      <c r="AA723" s="46">
        <f>IF(VLOOKUP($C723,REV!$C:$AA,25,0)-'TRADE IN'!$F732=0,"",(VLOOKUP($C723,REV!$C:$AA,25,0)-'TRADE IN'!$F723))</f>
        <v>3699</v>
      </c>
      <c r="AB723" s="46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7"/>
      <c r="AW723" s="48" t="str">
        <f>IF(REV!AW723=0,"",REV!AW723)</f>
        <v>31.03.2026</v>
      </c>
      <c r="AX723" s="159" t="s">
        <v>82</v>
      </c>
    </row>
    <row r="724" spans="1:50" ht="22.5" customHeight="1">
      <c r="A724" s="52" t="s">
        <v>70</v>
      </c>
      <c r="B724" s="41" t="s">
        <v>62</v>
      </c>
      <c r="C724" s="42">
        <v>4016902</v>
      </c>
      <c r="D724" s="44" t="s">
        <v>964</v>
      </c>
      <c r="E724" s="44" t="s">
        <v>965</v>
      </c>
      <c r="F724" s="45"/>
      <c r="G724" s="45"/>
      <c r="H724" s="45"/>
      <c r="I724" s="45"/>
      <c r="J724" s="46">
        <f>IF(VLOOKUP($C724,REV!$C:$AA,8,0)-'TRADE IN'!$F724=0,"",(VLOOKUP($C724,REV!$C:$AA,8,0)-'TRADE IN'!$F724))</f>
        <v>6299</v>
      </c>
      <c r="K724" s="46">
        <f>IF(VLOOKUP($C724,REV!$C:$AA,9,0)-'TRADE IN'!$F724=0,"",(VLOOKUP($C724,REV!$C:$AA,9,0)-'TRADE IN'!$F724))</f>
        <v>6299</v>
      </c>
      <c r="L724" s="46">
        <f>IF(VLOOKUP($C724,REV!$C:$AA,10,0)-'TRADE IN'!$F733=0,"",(VLOOKUP($C724,REV!$C:$AA,10,0)-'TRADE IN'!$F724))</f>
        <v>6299</v>
      </c>
      <c r="M724" s="46">
        <f>IF(VLOOKUP($C724,REV!$C:$AA,11,0)-'TRADE IN'!$F733=0,"",(VLOOKUP($C724,REV!$C:$AA,11,0)-'TRADE IN'!$F724))</f>
        <v>6299</v>
      </c>
      <c r="N724" s="46">
        <f>IF(VLOOKUP($C724,REV!$C:$AA,12,0)-'TRADE IN'!$F733=0,"",(VLOOKUP($C724,REV!$C:$AA,12,0)-'TRADE IN'!$F724))</f>
        <v>6299</v>
      </c>
      <c r="O724" s="46">
        <f>IF(VLOOKUP($C724,REV!$C:$AA,13,0)-'TRADE IN'!$F733=0,"",(VLOOKUP($C724,REV!$C:$AA,13,0)-'TRADE IN'!$F724))</f>
        <v>6199</v>
      </c>
      <c r="P724" s="46">
        <f>IF(VLOOKUP($C724,REV!$C:$AA,14,0)-'TRADE IN'!$F733=0,"",(VLOOKUP($C724,REV!$C:$AA,14,0)-'TRADE IN'!$F724))</f>
        <v>6099</v>
      </c>
      <c r="Q724" s="46">
        <f>IF(VLOOKUP($C724,REV!$C:$AA,15,0)-'TRADE IN'!$F733=0,"",(VLOOKUP($C724,REV!$C:$AA,15,0)-'TRADE IN'!$F724))</f>
        <v>5799</v>
      </c>
      <c r="R724" s="46">
        <f>IF(VLOOKUP($C724,REV!$C:$AA,16,0)-'TRADE IN'!$F733=0,"",(VLOOKUP($C724,REV!$C:$AA,16,0)-'TRADE IN'!$F724))</f>
        <v>6199</v>
      </c>
      <c r="S724" s="46">
        <f>IF(VLOOKUP($C724,REV!$C:$AA,17,0)-'TRADE IN'!$F733=0,"",(VLOOKUP($C724,REV!$C:$AA,17,0)-'TRADE IN'!$F724))</f>
        <v>6099</v>
      </c>
      <c r="T724" s="46">
        <f>IF(VLOOKUP($C724,REV!$C:$AA,18,0)-'TRADE IN'!$F733=0,"",(VLOOKUP($C724,REV!$C:$AA,18,0)-'TRADE IN'!$F724))</f>
        <v>5799</v>
      </c>
      <c r="U724" s="46">
        <f>IF(VLOOKUP($C724,REV!$C:$AA,19,0)-'TRADE IN'!$F733=0,"",(VLOOKUP($C724,REV!$C:$AA,19,0)-'TRADE IN'!$F724))</f>
        <v>5799</v>
      </c>
      <c r="V724" s="46">
        <f>IF(VLOOKUP($C724,REV!$C:$AA,20,0)-'TRADE IN'!$F733=0,"",(VLOOKUP($C724,REV!$C:$AA,20,0)-'TRADE IN'!$F724))</f>
        <v>5799</v>
      </c>
      <c r="W724" s="46">
        <f>IF(VLOOKUP($C724,REV!$C:$AA,21,0)-'TRADE IN'!$F733=0,"",(VLOOKUP($C724,REV!$C:$AA,21,0)-'TRADE IN'!$F724))</f>
        <v>5799</v>
      </c>
      <c r="X724" s="46">
        <f>IF(VLOOKUP($C724,REV!$C:$AA,22,0)-'TRADE IN'!$F733=0,"",(VLOOKUP($C724,REV!$C:$AA,22,0)-'TRADE IN'!$F724))</f>
        <v>5499</v>
      </c>
      <c r="Y724" s="46">
        <f>IF(VLOOKUP($C724,REV!$C:$AA,23,0)-'TRADE IN'!$F733=0,"",(VLOOKUP($C724,REV!$C:$AA,23,0)-'TRADE IN'!$F724))</f>
        <v>4999</v>
      </c>
      <c r="Z724" s="46">
        <f>IF(VLOOKUP($C724,REV!$C:$AA,24,0)-'TRADE IN'!$F733=0,"",(VLOOKUP($C724,REV!$C:$AA,24,0)-'TRADE IN'!$F724))</f>
        <v>4999</v>
      </c>
      <c r="AA724" s="46">
        <f>IF(VLOOKUP($C724,REV!$C:$AA,25,0)-'TRADE IN'!$F733=0,"",(VLOOKUP($C724,REV!$C:$AA,25,0)-'TRADE IN'!$F724))</f>
        <v>4999</v>
      </c>
      <c r="AB724" s="46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7"/>
      <c r="AW724" s="48" t="str">
        <f>IF(REV!AW724=0,"",REV!AW724)</f>
        <v>31.03.2026</v>
      </c>
      <c r="AX724" s="159" t="s">
        <v>82</v>
      </c>
    </row>
    <row r="725" spans="1:50" ht="22.5" customHeight="1">
      <c r="A725" s="52" t="s">
        <v>70</v>
      </c>
      <c r="B725" s="41" t="s">
        <v>62</v>
      </c>
      <c r="C725" s="42">
        <v>4016881</v>
      </c>
      <c r="D725" s="44" t="s">
        <v>964</v>
      </c>
      <c r="E725" s="44" t="s">
        <v>966</v>
      </c>
      <c r="F725" s="45"/>
      <c r="G725" s="45"/>
      <c r="H725" s="45"/>
      <c r="I725" s="45"/>
      <c r="J725" s="46">
        <f>IF(VLOOKUP($C725,REV!$C:$AA,8,0)-'TRADE IN'!$F725=0,"",(VLOOKUP($C725,REV!$C:$AA,8,0)-'TRADE IN'!$F725))</f>
        <v>6299</v>
      </c>
      <c r="K725" s="46">
        <f>IF(VLOOKUP($C725,REV!$C:$AA,9,0)-'TRADE IN'!$F725=0,"",(VLOOKUP($C725,REV!$C:$AA,9,0)-'TRADE IN'!$F725))</f>
        <v>6299</v>
      </c>
      <c r="L725" s="46">
        <f>IF(VLOOKUP($C725,REV!$C:$AA,10,0)-'TRADE IN'!$F734=0,"",(VLOOKUP($C725,REV!$C:$AA,10,0)-'TRADE IN'!$F725))</f>
        <v>6299</v>
      </c>
      <c r="M725" s="46">
        <f>IF(VLOOKUP($C725,REV!$C:$AA,11,0)-'TRADE IN'!$F734=0,"",(VLOOKUP($C725,REV!$C:$AA,11,0)-'TRADE IN'!$F725))</f>
        <v>6299</v>
      </c>
      <c r="N725" s="46">
        <f>IF(VLOOKUP($C725,REV!$C:$AA,12,0)-'TRADE IN'!$F734=0,"",(VLOOKUP($C725,REV!$C:$AA,12,0)-'TRADE IN'!$F725))</f>
        <v>6299</v>
      </c>
      <c r="O725" s="46">
        <f>IF(VLOOKUP($C725,REV!$C:$AA,13,0)-'TRADE IN'!$F734=0,"",(VLOOKUP($C725,REV!$C:$AA,13,0)-'TRADE IN'!$F725))</f>
        <v>6199</v>
      </c>
      <c r="P725" s="46">
        <f>IF(VLOOKUP($C725,REV!$C:$AA,14,0)-'TRADE IN'!$F734=0,"",(VLOOKUP($C725,REV!$C:$AA,14,0)-'TRADE IN'!$F725))</f>
        <v>6099</v>
      </c>
      <c r="Q725" s="46">
        <f>IF(VLOOKUP($C725,REV!$C:$AA,15,0)-'TRADE IN'!$F734=0,"",(VLOOKUP($C725,REV!$C:$AA,15,0)-'TRADE IN'!$F725))</f>
        <v>5799</v>
      </c>
      <c r="R725" s="46">
        <f>IF(VLOOKUP($C725,REV!$C:$AA,16,0)-'TRADE IN'!$F734=0,"",(VLOOKUP($C725,REV!$C:$AA,16,0)-'TRADE IN'!$F725))</f>
        <v>6199</v>
      </c>
      <c r="S725" s="46">
        <f>IF(VLOOKUP($C725,REV!$C:$AA,17,0)-'TRADE IN'!$F734=0,"",(VLOOKUP($C725,REV!$C:$AA,17,0)-'TRADE IN'!$F725))</f>
        <v>6099</v>
      </c>
      <c r="T725" s="46">
        <f>IF(VLOOKUP($C725,REV!$C:$AA,18,0)-'TRADE IN'!$F734=0,"",(VLOOKUP($C725,REV!$C:$AA,18,0)-'TRADE IN'!$F725))</f>
        <v>5799</v>
      </c>
      <c r="U725" s="46">
        <f>IF(VLOOKUP($C725,REV!$C:$AA,19,0)-'TRADE IN'!$F734=0,"",(VLOOKUP($C725,REV!$C:$AA,19,0)-'TRADE IN'!$F725))</f>
        <v>5799</v>
      </c>
      <c r="V725" s="46">
        <f>IF(VLOOKUP($C725,REV!$C:$AA,20,0)-'TRADE IN'!$F734=0,"",(VLOOKUP($C725,REV!$C:$AA,20,0)-'TRADE IN'!$F725))</f>
        <v>5799</v>
      </c>
      <c r="W725" s="46">
        <f>IF(VLOOKUP($C725,REV!$C:$AA,21,0)-'TRADE IN'!$F734=0,"",(VLOOKUP($C725,REV!$C:$AA,21,0)-'TRADE IN'!$F725))</f>
        <v>5799</v>
      </c>
      <c r="X725" s="46">
        <f>IF(VLOOKUP($C725,REV!$C:$AA,22,0)-'TRADE IN'!$F734=0,"",(VLOOKUP($C725,REV!$C:$AA,22,0)-'TRADE IN'!$F725))</f>
        <v>5499</v>
      </c>
      <c r="Y725" s="46">
        <f>IF(VLOOKUP($C725,REV!$C:$AA,23,0)-'TRADE IN'!$F734=0,"",(VLOOKUP($C725,REV!$C:$AA,23,0)-'TRADE IN'!$F725))</f>
        <v>4999</v>
      </c>
      <c r="Z725" s="46">
        <f>IF(VLOOKUP($C725,REV!$C:$AA,24,0)-'TRADE IN'!$F734=0,"",(VLOOKUP($C725,REV!$C:$AA,24,0)-'TRADE IN'!$F725))</f>
        <v>4999</v>
      </c>
      <c r="AA725" s="46">
        <f>IF(VLOOKUP($C725,REV!$C:$AA,25,0)-'TRADE IN'!$F734=0,"",(VLOOKUP($C725,REV!$C:$AA,25,0)-'TRADE IN'!$F725))</f>
        <v>4999</v>
      </c>
      <c r="AB725" s="46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7"/>
      <c r="AW725" s="48" t="str">
        <f>IF(REV!AW725=0,"",REV!AW725)</f>
        <v>31.03.2026</v>
      </c>
      <c r="AX725" s="159" t="s">
        <v>82</v>
      </c>
    </row>
    <row r="726" spans="1:50" ht="22.5" customHeight="1">
      <c r="A726" s="52" t="s">
        <v>70</v>
      </c>
      <c r="B726" s="41" t="s">
        <v>62</v>
      </c>
      <c r="C726" s="42">
        <v>4016894</v>
      </c>
      <c r="D726" s="44" t="s">
        <v>964</v>
      </c>
      <c r="E726" s="44" t="s">
        <v>967</v>
      </c>
      <c r="F726" s="45"/>
      <c r="G726" s="45"/>
      <c r="H726" s="45"/>
      <c r="I726" s="45"/>
      <c r="J726" s="46">
        <f>IF(VLOOKUP($C726,REV!$C:$AA,8,0)-'TRADE IN'!$F726=0,"",(VLOOKUP($C726,REV!$C:$AA,8,0)-'TRADE IN'!$F726))</f>
        <v>6299</v>
      </c>
      <c r="K726" s="46">
        <f>IF(VLOOKUP($C726,REV!$C:$AA,9,0)-'TRADE IN'!$F726=0,"",(VLOOKUP($C726,REV!$C:$AA,9,0)-'TRADE IN'!$F726))</f>
        <v>6299</v>
      </c>
      <c r="L726" s="46">
        <f>IF(VLOOKUP($C726,REV!$C:$AA,10,0)-'TRADE IN'!$F735=0,"",(VLOOKUP($C726,REV!$C:$AA,10,0)-'TRADE IN'!$F726))</f>
        <v>6299</v>
      </c>
      <c r="M726" s="46">
        <f>IF(VLOOKUP($C726,REV!$C:$AA,11,0)-'TRADE IN'!$F735=0,"",(VLOOKUP($C726,REV!$C:$AA,11,0)-'TRADE IN'!$F726))</f>
        <v>6299</v>
      </c>
      <c r="N726" s="46">
        <f>IF(VLOOKUP($C726,REV!$C:$AA,12,0)-'TRADE IN'!$F735=0,"",(VLOOKUP($C726,REV!$C:$AA,12,0)-'TRADE IN'!$F726))</f>
        <v>6299</v>
      </c>
      <c r="O726" s="46">
        <f>IF(VLOOKUP($C726,REV!$C:$AA,13,0)-'TRADE IN'!$F735=0,"",(VLOOKUP($C726,REV!$C:$AA,13,0)-'TRADE IN'!$F726))</f>
        <v>6199</v>
      </c>
      <c r="P726" s="46">
        <f>IF(VLOOKUP($C726,REV!$C:$AA,14,0)-'TRADE IN'!$F735=0,"",(VLOOKUP($C726,REV!$C:$AA,14,0)-'TRADE IN'!$F726))</f>
        <v>6099</v>
      </c>
      <c r="Q726" s="46">
        <f>IF(VLOOKUP($C726,REV!$C:$AA,15,0)-'TRADE IN'!$F735=0,"",(VLOOKUP($C726,REV!$C:$AA,15,0)-'TRADE IN'!$F726))</f>
        <v>5799</v>
      </c>
      <c r="R726" s="46">
        <f>IF(VLOOKUP($C726,REV!$C:$AA,16,0)-'TRADE IN'!$F735=0,"",(VLOOKUP($C726,REV!$C:$AA,16,0)-'TRADE IN'!$F726))</f>
        <v>6199</v>
      </c>
      <c r="S726" s="46">
        <f>IF(VLOOKUP($C726,REV!$C:$AA,17,0)-'TRADE IN'!$F735=0,"",(VLOOKUP($C726,REV!$C:$AA,17,0)-'TRADE IN'!$F726))</f>
        <v>6099</v>
      </c>
      <c r="T726" s="46">
        <f>IF(VLOOKUP($C726,REV!$C:$AA,18,0)-'TRADE IN'!$F735=0,"",(VLOOKUP($C726,REV!$C:$AA,18,0)-'TRADE IN'!$F726))</f>
        <v>5799</v>
      </c>
      <c r="U726" s="46">
        <f>IF(VLOOKUP($C726,REV!$C:$AA,19,0)-'TRADE IN'!$F735=0,"",(VLOOKUP($C726,REV!$C:$AA,19,0)-'TRADE IN'!$F726))</f>
        <v>5799</v>
      </c>
      <c r="V726" s="46">
        <f>IF(VLOOKUP($C726,REV!$C:$AA,20,0)-'TRADE IN'!$F735=0,"",(VLOOKUP($C726,REV!$C:$AA,20,0)-'TRADE IN'!$F726))</f>
        <v>5799</v>
      </c>
      <c r="W726" s="46">
        <f>IF(VLOOKUP($C726,REV!$C:$AA,21,0)-'TRADE IN'!$F735=0,"",(VLOOKUP($C726,REV!$C:$AA,21,0)-'TRADE IN'!$F726))</f>
        <v>5799</v>
      </c>
      <c r="X726" s="46">
        <f>IF(VLOOKUP($C726,REV!$C:$AA,22,0)-'TRADE IN'!$F735=0,"",(VLOOKUP($C726,REV!$C:$AA,22,0)-'TRADE IN'!$F726))</f>
        <v>5499</v>
      </c>
      <c r="Y726" s="46">
        <f>IF(VLOOKUP($C726,REV!$C:$AA,23,0)-'TRADE IN'!$F735=0,"",(VLOOKUP($C726,REV!$C:$AA,23,0)-'TRADE IN'!$F726))</f>
        <v>4999</v>
      </c>
      <c r="Z726" s="46">
        <f>IF(VLOOKUP($C726,REV!$C:$AA,24,0)-'TRADE IN'!$F735=0,"",(VLOOKUP($C726,REV!$C:$AA,24,0)-'TRADE IN'!$F726))</f>
        <v>4999</v>
      </c>
      <c r="AA726" s="46">
        <f>IF(VLOOKUP($C726,REV!$C:$AA,25,0)-'TRADE IN'!$F735=0,"",(VLOOKUP($C726,REV!$C:$AA,25,0)-'TRADE IN'!$F726))</f>
        <v>4999</v>
      </c>
      <c r="AB726" s="46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7"/>
      <c r="AW726" s="48" t="str">
        <f>IF(REV!AW726=0,"",REV!AW726)</f>
        <v>31.03.2026</v>
      </c>
      <c r="AX726" s="159" t="s">
        <v>82</v>
      </c>
    </row>
    <row r="727" spans="1:50" ht="22.5" customHeight="1">
      <c r="A727" s="52" t="s">
        <v>70</v>
      </c>
      <c r="B727" s="41" t="s">
        <v>62</v>
      </c>
      <c r="C727" s="42">
        <v>4016875</v>
      </c>
      <c r="D727" s="44" t="s">
        <v>968</v>
      </c>
      <c r="E727" s="44" t="s">
        <v>969</v>
      </c>
      <c r="F727" s="45">
        <v>700</v>
      </c>
      <c r="G727" s="45"/>
      <c r="H727" s="45"/>
      <c r="I727" s="45"/>
      <c r="J727" s="46">
        <f>IF(VLOOKUP($C727,REV!$C:$AA,8,0)-'TRADE IN'!$F727=0,"",(VLOOKUP($C727,REV!$C:$AA,8,0)-'TRADE IN'!$F727))</f>
        <v>6699</v>
      </c>
      <c r="K727" s="46">
        <f>IF(VLOOKUP($C727,REV!$C:$AA,9,0)-'TRADE IN'!$F727=0,"",(VLOOKUP($C727,REV!$C:$AA,9,0)-'TRADE IN'!$F727))</f>
        <v>6699</v>
      </c>
      <c r="L727" s="46">
        <f>IF(VLOOKUP($C727,REV!$C:$AA,10,0)-'TRADE IN'!$F736=0,"",(VLOOKUP($C727,REV!$C:$AA,10,0)-'TRADE IN'!$F727))</f>
        <v>6699</v>
      </c>
      <c r="M727" s="46">
        <f>IF(VLOOKUP($C727,REV!$C:$AA,11,0)-'TRADE IN'!$F736=0,"",(VLOOKUP($C727,REV!$C:$AA,11,0)-'TRADE IN'!$F727))</f>
        <v>6699</v>
      </c>
      <c r="N727" s="46">
        <f>IF(VLOOKUP($C727,REV!$C:$AA,12,0)-'TRADE IN'!$F736=0,"",(VLOOKUP($C727,REV!$C:$AA,12,0)-'TRADE IN'!$F727))</f>
        <v>6699</v>
      </c>
      <c r="O727" s="46">
        <f>IF(VLOOKUP($C727,REV!$C:$AA,13,0)-'TRADE IN'!$F736=0,"",(VLOOKUP($C727,REV!$C:$AA,13,0)-'TRADE IN'!$F727))</f>
        <v>6649</v>
      </c>
      <c r="P727" s="46">
        <f>IF(VLOOKUP($C727,REV!$C:$AA,14,0)-'TRADE IN'!$F736=0,"",(VLOOKUP($C727,REV!$C:$AA,14,0)-'TRADE IN'!$F727))</f>
        <v>6599</v>
      </c>
      <c r="Q727" s="46">
        <f>IF(VLOOKUP($C727,REV!$C:$AA,15,0)-'TRADE IN'!$F736=0,"",(VLOOKUP($C727,REV!$C:$AA,15,0)-'TRADE IN'!$F727))</f>
        <v>6199</v>
      </c>
      <c r="R727" s="46">
        <f>IF(VLOOKUP($C727,REV!$C:$AA,16,0)-'TRADE IN'!$F736=0,"",(VLOOKUP($C727,REV!$C:$AA,16,0)-'TRADE IN'!$F727))</f>
        <v>6649</v>
      </c>
      <c r="S727" s="46">
        <f>IF(VLOOKUP($C727,REV!$C:$AA,17,0)-'TRADE IN'!$F736=0,"",(VLOOKUP($C727,REV!$C:$AA,17,0)-'TRADE IN'!$F727))</f>
        <v>6599</v>
      </c>
      <c r="T727" s="46">
        <f>IF(VLOOKUP($C727,REV!$C:$AA,18,0)-'TRADE IN'!$F736=0,"",(VLOOKUP($C727,REV!$C:$AA,18,0)-'TRADE IN'!$F727))</f>
        <v>6199</v>
      </c>
      <c r="U727" s="46">
        <f>IF(VLOOKUP($C727,REV!$C:$AA,19,0)-'TRADE IN'!$F736=0,"",(VLOOKUP($C727,REV!$C:$AA,19,0)-'TRADE IN'!$F727))</f>
        <v>6199</v>
      </c>
      <c r="V727" s="46">
        <f>IF(VLOOKUP($C727,REV!$C:$AA,20,0)-'TRADE IN'!$F736=0,"",(VLOOKUP($C727,REV!$C:$AA,20,0)-'TRADE IN'!$F727))</f>
        <v>6199</v>
      </c>
      <c r="W727" s="46">
        <f>IF(VLOOKUP($C727,REV!$C:$AA,21,0)-'TRADE IN'!$F736=0,"",(VLOOKUP($C727,REV!$C:$AA,21,0)-'TRADE IN'!$F727))</f>
        <v>6199</v>
      </c>
      <c r="X727" s="46">
        <f>IF(VLOOKUP($C727,REV!$C:$AA,22,0)-'TRADE IN'!$F736=0,"",(VLOOKUP($C727,REV!$C:$AA,22,0)-'TRADE IN'!$F727))</f>
        <v>6099</v>
      </c>
      <c r="Y727" s="46">
        <f>IF(VLOOKUP($C727,REV!$C:$AA,23,0)-'TRADE IN'!$F736=0,"",(VLOOKUP($C727,REV!$C:$AA,23,0)-'TRADE IN'!$F727))</f>
        <v>5099</v>
      </c>
      <c r="Z727" s="46">
        <f>IF(VLOOKUP($C727,REV!$C:$AA,24,0)-'TRADE IN'!$F736=0,"",(VLOOKUP($C727,REV!$C:$AA,24,0)-'TRADE IN'!$F727))</f>
        <v>5099</v>
      </c>
      <c r="AA727" s="46">
        <f>IF(VLOOKUP($C727,REV!$C:$AA,25,0)-'TRADE IN'!$F736=0,"",(VLOOKUP($C727,REV!$C:$AA,25,0)-'TRADE IN'!$F727))</f>
        <v>5099</v>
      </c>
      <c r="AB727" s="46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7"/>
      <c r="AW727" s="48" t="str">
        <f>IF(REV!AW727=0,"",REV!AW727)</f>
        <v>31.03.2026</v>
      </c>
      <c r="AX727" s="159" t="s">
        <v>82</v>
      </c>
    </row>
    <row r="728" spans="1:50" ht="22.5" customHeight="1">
      <c r="A728" s="52" t="s">
        <v>70</v>
      </c>
      <c r="B728" s="41" t="s">
        <v>62</v>
      </c>
      <c r="C728" s="42">
        <v>4016859</v>
      </c>
      <c r="D728" s="44" t="s">
        <v>968</v>
      </c>
      <c r="E728" s="44" t="s">
        <v>970</v>
      </c>
      <c r="F728" s="45">
        <v>700</v>
      </c>
      <c r="G728" s="45"/>
      <c r="H728" s="45"/>
      <c r="I728" s="45"/>
      <c r="J728" s="46">
        <f>IF(VLOOKUP($C728,REV!$C:$AA,8,0)-'TRADE IN'!$F728=0,"",(VLOOKUP($C728,REV!$C:$AA,8,0)-'TRADE IN'!$F728))</f>
        <v>6699</v>
      </c>
      <c r="K728" s="46">
        <f>IF(VLOOKUP($C728,REV!$C:$AA,9,0)-'TRADE IN'!$F728=0,"",(VLOOKUP($C728,REV!$C:$AA,9,0)-'TRADE IN'!$F728))</f>
        <v>6699</v>
      </c>
      <c r="L728" s="46">
        <f>IF(VLOOKUP($C728,REV!$C:$AA,10,0)-'TRADE IN'!$F737=0,"",(VLOOKUP($C728,REV!$C:$AA,10,0)-'TRADE IN'!$F728))</f>
        <v>6699</v>
      </c>
      <c r="M728" s="46">
        <f>IF(VLOOKUP($C728,REV!$C:$AA,11,0)-'TRADE IN'!$F737=0,"",(VLOOKUP($C728,REV!$C:$AA,11,0)-'TRADE IN'!$F728))</f>
        <v>6699</v>
      </c>
      <c r="N728" s="46">
        <f>IF(VLOOKUP($C728,REV!$C:$AA,12,0)-'TRADE IN'!$F737=0,"",(VLOOKUP($C728,REV!$C:$AA,12,0)-'TRADE IN'!$F728))</f>
        <v>6699</v>
      </c>
      <c r="O728" s="46">
        <f>IF(VLOOKUP($C728,REV!$C:$AA,13,0)-'TRADE IN'!$F737=0,"",(VLOOKUP($C728,REV!$C:$AA,13,0)-'TRADE IN'!$F728))</f>
        <v>6649</v>
      </c>
      <c r="P728" s="46">
        <f>IF(VLOOKUP($C728,REV!$C:$AA,14,0)-'TRADE IN'!$F737=0,"",(VLOOKUP($C728,REV!$C:$AA,14,0)-'TRADE IN'!$F728))</f>
        <v>6599</v>
      </c>
      <c r="Q728" s="46">
        <f>IF(VLOOKUP($C728,REV!$C:$AA,15,0)-'TRADE IN'!$F737=0,"",(VLOOKUP($C728,REV!$C:$AA,15,0)-'TRADE IN'!$F728))</f>
        <v>6199</v>
      </c>
      <c r="R728" s="46">
        <f>IF(VLOOKUP($C728,REV!$C:$AA,16,0)-'TRADE IN'!$F737=0,"",(VLOOKUP($C728,REV!$C:$AA,16,0)-'TRADE IN'!$F728))</f>
        <v>6649</v>
      </c>
      <c r="S728" s="46">
        <f>IF(VLOOKUP($C728,REV!$C:$AA,17,0)-'TRADE IN'!$F737=0,"",(VLOOKUP($C728,REV!$C:$AA,17,0)-'TRADE IN'!$F728))</f>
        <v>6599</v>
      </c>
      <c r="T728" s="46">
        <f>IF(VLOOKUP($C728,REV!$C:$AA,18,0)-'TRADE IN'!$F737=0,"",(VLOOKUP($C728,REV!$C:$AA,18,0)-'TRADE IN'!$F728))</f>
        <v>6199</v>
      </c>
      <c r="U728" s="46">
        <f>IF(VLOOKUP($C728,REV!$C:$AA,19,0)-'TRADE IN'!$F737=0,"",(VLOOKUP($C728,REV!$C:$AA,19,0)-'TRADE IN'!$F728))</f>
        <v>6199</v>
      </c>
      <c r="V728" s="46">
        <f>IF(VLOOKUP($C728,REV!$C:$AA,20,0)-'TRADE IN'!$F737=0,"",(VLOOKUP($C728,REV!$C:$AA,20,0)-'TRADE IN'!$F728))</f>
        <v>6199</v>
      </c>
      <c r="W728" s="46">
        <f>IF(VLOOKUP($C728,REV!$C:$AA,21,0)-'TRADE IN'!$F737=0,"",(VLOOKUP($C728,REV!$C:$AA,21,0)-'TRADE IN'!$F728))</f>
        <v>6199</v>
      </c>
      <c r="X728" s="46">
        <f>IF(VLOOKUP($C728,REV!$C:$AA,22,0)-'TRADE IN'!$F737=0,"",(VLOOKUP($C728,REV!$C:$AA,22,0)-'TRADE IN'!$F728))</f>
        <v>6099</v>
      </c>
      <c r="Y728" s="46">
        <f>IF(VLOOKUP($C728,REV!$C:$AA,23,0)-'TRADE IN'!$F737=0,"",(VLOOKUP($C728,REV!$C:$AA,23,0)-'TRADE IN'!$F728))</f>
        <v>5099</v>
      </c>
      <c r="Z728" s="46">
        <f>IF(VLOOKUP($C728,REV!$C:$AA,24,0)-'TRADE IN'!$F737=0,"",(VLOOKUP($C728,REV!$C:$AA,24,0)-'TRADE IN'!$F728))</f>
        <v>5099</v>
      </c>
      <c r="AA728" s="46">
        <f>IF(VLOOKUP($C728,REV!$C:$AA,25,0)-'TRADE IN'!$F737=0,"",(VLOOKUP($C728,REV!$C:$AA,25,0)-'TRADE IN'!$F728))</f>
        <v>5099</v>
      </c>
      <c r="AB728" s="46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7"/>
      <c r="AW728" s="48" t="str">
        <f>IF(REV!AW728=0,"",REV!AW728)</f>
        <v>31.03.2026</v>
      </c>
      <c r="AX728" s="159" t="s">
        <v>82</v>
      </c>
    </row>
    <row r="729" spans="1:50" ht="22.5" customHeight="1">
      <c r="A729" s="52" t="s">
        <v>70</v>
      </c>
      <c r="B729" s="41" t="s">
        <v>62</v>
      </c>
      <c r="C729" s="42">
        <v>4016852</v>
      </c>
      <c r="D729" s="44" t="s">
        <v>968</v>
      </c>
      <c r="E729" s="44" t="s">
        <v>971</v>
      </c>
      <c r="F729" s="45">
        <v>700</v>
      </c>
      <c r="G729" s="45"/>
      <c r="H729" s="45"/>
      <c r="I729" s="45"/>
      <c r="J729" s="46">
        <f>IF(VLOOKUP($C729,REV!$C:$AA,8,0)-'TRADE IN'!$F729=0,"",(VLOOKUP($C729,REV!$C:$AA,8,0)-'TRADE IN'!$F729))</f>
        <v>6699</v>
      </c>
      <c r="K729" s="46">
        <f>IF(VLOOKUP($C729,REV!$C:$AA,9,0)-'TRADE IN'!$F729=0,"",(VLOOKUP($C729,REV!$C:$AA,9,0)-'TRADE IN'!$F729))</f>
        <v>6699</v>
      </c>
      <c r="L729" s="46">
        <f>IF(VLOOKUP($C729,REV!$C:$AA,10,0)-'TRADE IN'!$F738=0,"",(VLOOKUP($C729,REV!$C:$AA,10,0)-'TRADE IN'!$F729))</f>
        <v>6699</v>
      </c>
      <c r="M729" s="46">
        <f>IF(VLOOKUP($C729,REV!$C:$AA,11,0)-'TRADE IN'!$F738=0,"",(VLOOKUP($C729,REV!$C:$AA,11,0)-'TRADE IN'!$F729))</f>
        <v>6699</v>
      </c>
      <c r="N729" s="46">
        <f>IF(VLOOKUP($C729,REV!$C:$AA,12,0)-'TRADE IN'!$F738=0,"",(VLOOKUP($C729,REV!$C:$AA,12,0)-'TRADE IN'!$F729))</f>
        <v>6699</v>
      </c>
      <c r="O729" s="46">
        <f>IF(VLOOKUP($C729,REV!$C:$AA,13,0)-'TRADE IN'!$F738=0,"",(VLOOKUP($C729,REV!$C:$AA,13,0)-'TRADE IN'!$F729))</f>
        <v>6649</v>
      </c>
      <c r="P729" s="46">
        <f>IF(VLOOKUP($C729,REV!$C:$AA,14,0)-'TRADE IN'!$F738=0,"",(VLOOKUP($C729,REV!$C:$AA,14,0)-'TRADE IN'!$F729))</f>
        <v>6599</v>
      </c>
      <c r="Q729" s="46">
        <f>IF(VLOOKUP($C729,REV!$C:$AA,15,0)-'TRADE IN'!$F738=0,"",(VLOOKUP($C729,REV!$C:$AA,15,0)-'TRADE IN'!$F729))</f>
        <v>6199</v>
      </c>
      <c r="R729" s="46">
        <f>IF(VLOOKUP($C729,REV!$C:$AA,16,0)-'TRADE IN'!$F738=0,"",(VLOOKUP($C729,REV!$C:$AA,16,0)-'TRADE IN'!$F729))</f>
        <v>6649</v>
      </c>
      <c r="S729" s="46">
        <f>IF(VLOOKUP($C729,REV!$C:$AA,17,0)-'TRADE IN'!$F738=0,"",(VLOOKUP($C729,REV!$C:$AA,17,0)-'TRADE IN'!$F729))</f>
        <v>6599</v>
      </c>
      <c r="T729" s="46">
        <f>IF(VLOOKUP($C729,REV!$C:$AA,18,0)-'TRADE IN'!$F738=0,"",(VLOOKUP($C729,REV!$C:$AA,18,0)-'TRADE IN'!$F729))</f>
        <v>6199</v>
      </c>
      <c r="U729" s="46">
        <f>IF(VLOOKUP($C729,REV!$C:$AA,19,0)-'TRADE IN'!$F738=0,"",(VLOOKUP($C729,REV!$C:$AA,19,0)-'TRADE IN'!$F729))</f>
        <v>6199</v>
      </c>
      <c r="V729" s="46">
        <f>IF(VLOOKUP($C729,REV!$C:$AA,20,0)-'TRADE IN'!$F738=0,"",(VLOOKUP($C729,REV!$C:$AA,20,0)-'TRADE IN'!$F729))</f>
        <v>6199</v>
      </c>
      <c r="W729" s="46">
        <f>IF(VLOOKUP($C729,REV!$C:$AA,21,0)-'TRADE IN'!$F738=0,"",(VLOOKUP($C729,REV!$C:$AA,21,0)-'TRADE IN'!$F729))</f>
        <v>6199</v>
      </c>
      <c r="X729" s="46">
        <f>IF(VLOOKUP($C729,REV!$C:$AA,22,0)-'TRADE IN'!$F738=0,"",(VLOOKUP($C729,REV!$C:$AA,22,0)-'TRADE IN'!$F729))</f>
        <v>6099</v>
      </c>
      <c r="Y729" s="46">
        <f>IF(VLOOKUP($C729,REV!$C:$AA,23,0)-'TRADE IN'!$F738=0,"",(VLOOKUP($C729,REV!$C:$AA,23,0)-'TRADE IN'!$F729))</f>
        <v>5099</v>
      </c>
      <c r="Z729" s="46">
        <f>IF(VLOOKUP($C729,REV!$C:$AA,24,0)-'TRADE IN'!$F738=0,"",(VLOOKUP($C729,REV!$C:$AA,24,0)-'TRADE IN'!$F729))</f>
        <v>5099</v>
      </c>
      <c r="AA729" s="46">
        <f>IF(VLOOKUP($C729,REV!$C:$AA,25,0)-'TRADE IN'!$F738=0,"",(VLOOKUP($C729,REV!$C:$AA,25,0)-'TRADE IN'!$F729))</f>
        <v>5099</v>
      </c>
      <c r="AB729" s="46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7"/>
      <c r="AW729" s="48" t="str">
        <f>IF(REV!AW729=0,"",REV!AW729)</f>
        <v>31.03.2026</v>
      </c>
      <c r="AX729" s="159" t="s">
        <v>82</v>
      </c>
    </row>
    <row r="730" spans="1:50" ht="22.5" customHeight="1">
      <c r="A730" s="52" t="s">
        <v>70</v>
      </c>
      <c r="B730" s="41" t="s">
        <v>62</v>
      </c>
      <c r="C730" s="42">
        <v>4016905</v>
      </c>
      <c r="D730" s="44" t="s">
        <v>968</v>
      </c>
      <c r="E730" s="44" t="s">
        <v>972</v>
      </c>
      <c r="F730" s="45">
        <v>700</v>
      </c>
      <c r="G730" s="45"/>
      <c r="H730" s="45"/>
      <c r="I730" s="45"/>
      <c r="J730" s="46">
        <f>IF(VLOOKUP($C730,REV!$C:$AA,8,0)-'TRADE IN'!$F730=0,"",(VLOOKUP($C730,REV!$C:$AA,8,0)-'TRADE IN'!$F730))</f>
        <v>6699</v>
      </c>
      <c r="K730" s="46">
        <f>IF(VLOOKUP($C730,REV!$C:$AA,9,0)-'TRADE IN'!$F730=0,"",(VLOOKUP($C730,REV!$C:$AA,9,0)-'TRADE IN'!$F730))</f>
        <v>6699</v>
      </c>
      <c r="L730" s="46">
        <f>IF(VLOOKUP($C730,REV!$C:$AA,10,0)-'TRADE IN'!$F739=0,"",(VLOOKUP($C730,REV!$C:$AA,10,0)-'TRADE IN'!$F730))</f>
        <v>6699</v>
      </c>
      <c r="M730" s="46">
        <f>IF(VLOOKUP($C730,REV!$C:$AA,11,0)-'TRADE IN'!$F739=0,"",(VLOOKUP($C730,REV!$C:$AA,11,0)-'TRADE IN'!$F730))</f>
        <v>6699</v>
      </c>
      <c r="N730" s="46">
        <f>IF(VLOOKUP($C730,REV!$C:$AA,12,0)-'TRADE IN'!$F739=0,"",(VLOOKUP($C730,REV!$C:$AA,12,0)-'TRADE IN'!$F730))</f>
        <v>6699</v>
      </c>
      <c r="O730" s="46">
        <f>IF(VLOOKUP($C730,REV!$C:$AA,13,0)-'TRADE IN'!$F739=0,"",(VLOOKUP($C730,REV!$C:$AA,13,0)-'TRADE IN'!$F730))</f>
        <v>6649</v>
      </c>
      <c r="P730" s="46">
        <f>IF(VLOOKUP($C730,REV!$C:$AA,14,0)-'TRADE IN'!$F739=0,"",(VLOOKUP($C730,REV!$C:$AA,14,0)-'TRADE IN'!$F730))</f>
        <v>6599</v>
      </c>
      <c r="Q730" s="46">
        <f>IF(VLOOKUP($C730,REV!$C:$AA,15,0)-'TRADE IN'!$F739=0,"",(VLOOKUP($C730,REV!$C:$AA,15,0)-'TRADE IN'!$F730))</f>
        <v>6199</v>
      </c>
      <c r="R730" s="46">
        <f>IF(VLOOKUP($C730,REV!$C:$AA,16,0)-'TRADE IN'!$F739=0,"",(VLOOKUP($C730,REV!$C:$AA,16,0)-'TRADE IN'!$F730))</f>
        <v>6649</v>
      </c>
      <c r="S730" s="46">
        <f>IF(VLOOKUP($C730,REV!$C:$AA,17,0)-'TRADE IN'!$F739=0,"",(VLOOKUP($C730,REV!$C:$AA,17,0)-'TRADE IN'!$F730))</f>
        <v>6599</v>
      </c>
      <c r="T730" s="46">
        <f>IF(VLOOKUP($C730,REV!$C:$AA,18,0)-'TRADE IN'!$F739=0,"",(VLOOKUP($C730,REV!$C:$AA,18,0)-'TRADE IN'!$F730))</f>
        <v>6199</v>
      </c>
      <c r="U730" s="46">
        <f>IF(VLOOKUP($C730,REV!$C:$AA,19,0)-'TRADE IN'!$F739=0,"",(VLOOKUP($C730,REV!$C:$AA,19,0)-'TRADE IN'!$F730))</f>
        <v>6199</v>
      </c>
      <c r="V730" s="46">
        <f>IF(VLOOKUP($C730,REV!$C:$AA,20,0)-'TRADE IN'!$F739=0,"",(VLOOKUP($C730,REV!$C:$AA,20,0)-'TRADE IN'!$F730))</f>
        <v>6199</v>
      </c>
      <c r="W730" s="46">
        <f>IF(VLOOKUP($C730,REV!$C:$AA,21,0)-'TRADE IN'!$F739=0,"",(VLOOKUP($C730,REV!$C:$AA,21,0)-'TRADE IN'!$F730))</f>
        <v>6199</v>
      </c>
      <c r="X730" s="46">
        <f>IF(VLOOKUP($C730,REV!$C:$AA,22,0)-'TRADE IN'!$F739=0,"",(VLOOKUP($C730,REV!$C:$AA,22,0)-'TRADE IN'!$F730))</f>
        <v>6099</v>
      </c>
      <c r="Y730" s="46">
        <f>IF(VLOOKUP($C730,REV!$C:$AA,23,0)-'TRADE IN'!$F739=0,"",(VLOOKUP($C730,REV!$C:$AA,23,0)-'TRADE IN'!$F730))</f>
        <v>5099</v>
      </c>
      <c r="Z730" s="46">
        <f>IF(VLOOKUP($C730,REV!$C:$AA,24,0)-'TRADE IN'!$F739=0,"",(VLOOKUP($C730,REV!$C:$AA,24,0)-'TRADE IN'!$F730))</f>
        <v>5099</v>
      </c>
      <c r="AA730" s="46">
        <f>IF(VLOOKUP($C730,REV!$C:$AA,25,0)-'TRADE IN'!$F739=0,"",(VLOOKUP($C730,REV!$C:$AA,25,0)-'TRADE IN'!$F730))</f>
        <v>5099</v>
      </c>
      <c r="AB730" s="46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7"/>
      <c r="AW730" s="48" t="str">
        <f>IF(REV!AW730=0,"",REV!AW730)</f>
        <v>31.03.2026</v>
      </c>
      <c r="AX730" s="159" t="s">
        <v>82</v>
      </c>
    </row>
    <row r="731" spans="1:50" ht="22.5" customHeight="1">
      <c r="A731" s="52" t="s">
        <v>70</v>
      </c>
      <c r="B731" s="41" t="s">
        <v>62</v>
      </c>
      <c r="C731" s="42">
        <v>4016890</v>
      </c>
      <c r="D731" s="44" t="s">
        <v>968</v>
      </c>
      <c r="E731" s="44" t="s">
        <v>973</v>
      </c>
      <c r="F731" s="45">
        <v>700</v>
      </c>
      <c r="G731" s="45"/>
      <c r="H731" s="45"/>
      <c r="I731" s="45"/>
      <c r="J731" s="46">
        <f>IF(VLOOKUP($C731,REV!$C:$AA,8,0)-'TRADE IN'!$F731=0,"",(VLOOKUP($C731,REV!$C:$AA,8,0)-'TRADE IN'!$F731))</f>
        <v>6699</v>
      </c>
      <c r="K731" s="46">
        <f>IF(VLOOKUP($C731,REV!$C:$AA,9,0)-'TRADE IN'!$F731=0,"",(VLOOKUP($C731,REV!$C:$AA,9,0)-'TRADE IN'!$F731))</f>
        <v>6699</v>
      </c>
      <c r="L731" s="46">
        <f>IF(VLOOKUP($C731,REV!$C:$AA,10,0)-'TRADE IN'!$F740=0,"",(VLOOKUP($C731,REV!$C:$AA,10,0)-'TRADE IN'!$F731))</f>
        <v>6699</v>
      </c>
      <c r="M731" s="46">
        <f>IF(VLOOKUP($C731,REV!$C:$AA,11,0)-'TRADE IN'!$F740=0,"",(VLOOKUP($C731,REV!$C:$AA,11,0)-'TRADE IN'!$F731))</f>
        <v>6699</v>
      </c>
      <c r="N731" s="46">
        <f>IF(VLOOKUP($C731,REV!$C:$AA,12,0)-'TRADE IN'!$F740=0,"",(VLOOKUP($C731,REV!$C:$AA,12,0)-'TRADE IN'!$F731))</f>
        <v>6699</v>
      </c>
      <c r="O731" s="46">
        <f>IF(VLOOKUP($C731,REV!$C:$AA,13,0)-'TRADE IN'!$F740=0,"",(VLOOKUP($C731,REV!$C:$AA,13,0)-'TRADE IN'!$F731))</f>
        <v>6649</v>
      </c>
      <c r="P731" s="46">
        <f>IF(VLOOKUP($C731,REV!$C:$AA,14,0)-'TRADE IN'!$F740=0,"",(VLOOKUP($C731,REV!$C:$AA,14,0)-'TRADE IN'!$F731))</f>
        <v>6599</v>
      </c>
      <c r="Q731" s="46">
        <f>IF(VLOOKUP($C731,REV!$C:$AA,15,0)-'TRADE IN'!$F740=0,"",(VLOOKUP($C731,REV!$C:$AA,15,0)-'TRADE IN'!$F731))</f>
        <v>6199</v>
      </c>
      <c r="R731" s="46">
        <f>IF(VLOOKUP($C731,REV!$C:$AA,16,0)-'TRADE IN'!$F740=0,"",(VLOOKUP($C731,REV!$C:$AA,16,0)-'TRADE IN'!$F731))</f>
        <v>6649</v>
      </c>
      <c r="S731" s="46">
        <f>IF(VLOOKUP($C731,REV!$C:$AA,17,0)-'TRADE IN'!$F740=0,"",(VLOOKUP($C731,REV!$C:$AA,17,0)-'TRADE IN'!$F731))</f>
        <v>6599</v>
      </c>
      <c r="T731" s="46">
        <f>IF(VLOOKUP($C731,REV!$C:$AA,18,0)-'TRADE IN'!$F740=0,"",(VLOOKUP($C731,REV!$C:$AA,18,0)-'TRADE IN'!$F731))</f>
        <v>6199</v>
      </c>
      <c r="U731" s="46">
        <f>IF(VLOOKUP($C731,REV!$C:$AA,19,0)-'TRADE IN'!$F740=0,"",(VLOOKUP($C731,REV!$C:$AA,19,0)-'TRADE IN'!$F731))</f>
        <v>6199</v>
      </c>
      <c r="V731" s="46">
        <f>IF(VLOOKUP($C731,REV!$C:$AA,20,0)-'TRADE IN'!$F740=0,"",(VLOOKUP($C731,REV!$C:$AA,20,0)-'TRADE IN'!$F731))</f>
        <v>6199</v>
      </c>
      <c r="W731" s="46">
        <f>IF(VLOOKUP($C731,REV!$C:$AA,21,0)-'TRADE IN'!$F740=0,"",(VLOOKUP($C731,REV!$C:$AA,21,0)-'TRADE IN'!$F731))</f>
        <v>6199</v>
      </c>
      <c r="X731" s="46">
        <f>IF(VLOOKUP($C731,REV!$C:$AA,22,0)-'TRADE IN'!$F740=0,"",(VLOOKUP($C731,REV!$C:$AA,22,0)-'TRADE IN'!$F731))</f>
        <v>6099</v>
      </c>
      <c r="Y731" s="46">
        <f>IF(VLOOKUP($C731,REV!$C:$AA,23,0)-'TRADE IN'!$F740=0,"",(VLOOKUP($C731,REV!$C:$AA,23,0)-'TRADE IN'!$F731))</f>
        <v>5099</v>
      </c>
      <c r="Z731" s="46">
        <f>IF(VLOOKUP($C731,REV!$C:$AA,24,0)-'TRADE IN'!$F740=0,"",(VLOOKUP($C731,REV!$C:$AA,24,0)-'TRADE IN'!$F731))</f>
        <v>5099</v>
      </c>
      <c r="AA731" s="46">
        <f>IF(VLOOKUP($C731,REV!$C:$AA,25,0)-'TRADE IN'!$F740=0,"",(VLOOKUP($C731,REV!$C:$AA,25,0)-'TRADE IN'!$F731))</f>
        <v>5099</v>
      </c>
      <c r="AB731" s="46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7"/>
      <c r="AW731" s="48" t="str">
        <f>IF(REV!AW731=0,"",REV!AW731)</f>
        <v>31.03.2026</v>
      </c>
      <c r="AX731" s="159" t="s">
        <v>82</v>
      </c>
    </row>
    <row r="732" spans="1:50" ht="22.5" customHeight="1">
      <c r="A732" s="52" t="s">
        <v>70</v>
      </c>
      <c r="B732" s="41" t="s">
        <v>62</v>
      </c>
      <c r="C732" s="42">
        <v>4016883</v>
      </c>
      <c r="D732" s="44" t="s">
        <v>968</v>
      </c>
      <c r="E732" s="44" t="s">
        <v>974</v>
      </c>
      <c r="F732" s="45">
        <v>700</v>
      </c>
      <c r="G732" s="45"/>
      <c r="H732" s="45"/>
      <c r="I732" s="45"/>
      <c r="J732" s="46">
        <f>IF(VLOOKUP($C732,REV!$C:$AA,8,0)-'TRADE IN'!$F732=0,"",(VLOOKUP($C732,REV!$C:$AA,8,0)-'TRADE IN'!$F732))</f>
        <v>6699</v>
      </c>
      <c r="K732" s="46">
        <f>IF(VLOOKUP($C732,REV!$C:$AA,9,0)-'TRADE IN'!$F732=0,"",(VLOOKUP($C732,REV!$C:$AA,9,0)-'TRADE IN'!$F732))</f>
        <v>6699</v>
      </c>
      <c r="L732" s="46">
        <f>IF(VLOOKUP($C732,REV!$C:$AA,10,0)-'TRADE IN'!$F741=0,"",(VLOOKUP($C732,REV!$C:$AA,10,0)-'TRADE IN'!$F732))</f>
        <v>6699</v>
      </c>
      <c r="M732" s="46">
        <f>IF(VLOOKUP($C732,REV!$C:$AA,11,0)-'TRADE IN'!$F741=0,"",(VLOOKUP($C732,REV!$C:$AA,11,0)-'TRADE IN'!$F732))</f>
        <v>6699</v>
      </c>
      <c r="N732" s="46">
        <f>IF(VLOOKUP($C732,REV!$C:$AA,12,0)-'TRADE IN'!$F741=0,"",(VLOOKUP($C732,REV!$C:$AA,12,0)-'TRADE IN'!$F732))</f>
        <v>6699</v>
      </c>
      <c r="O732" s="46">
        <f>IF(VLOOKUP($C732,REV!$C:$AA,13,0)-'TRADE IN'!$F741=0,"",(VLOOKUP($C732,REV!$C:$AA,13,0)-'TRADE IN'!$F732))</f>
        <v>6649</v>
      </c>
      <c r="P732" s="46">
        <f>IF(VLOOKUP($C732,REV!$C:$AA,14,0)-'TRADE IN'!$F741=0,"",(VLOOKUP($C732,REV!$C:$AA,14,0)-'TRADE IN'!$F732))</f>
        <v>6599</v>
      </c>
      <c r="Q732" s="46">
        <f>IF(VLOOKUP($C732,REV!$C:$AA,15,0)-'TRADE IN'!$F741=0,"",(VLOOKUP($C732,REV!$C:$AA,15,0)-'TRADE IN'!$F732))</f>
        <v>6199</v>
      </c>
      <c r="R732" s="46">
        <f>IF(VLOOKUP($C732,REV!$C:$AA,16,0)-'TRADE IN'!$F741=0,"",(VLOOKUP($C732,REV!$C:$AA,16,0)-'TRADE IN'!$F732))</f>
        <v>6649</v>
      </c>
      <c r="S732" s="46">
        <f>IF(VLOOKUP($C732,REV!$C:$AA,17,0)-'TRADE IN'!$F741=0,"",(VLOOKUP($C732,REV!$C:$AA,17,0)-'TRADE IN'!$F732))</f>
        <v>6599</v>
      </c>
      <c r="T732" s="46">
        <f>IF(VLOOKUP($C732,REV!$C:$AA,18,0)-'TRADE IN'!$F741=0,"",(VLOOKUP($C732,REV!$C:$AA,18,0)-'TRADE IN'!$F732))</f>
        <v>6199</v>
      </c>
      <c r="U732" s="46">
        <f>IF(VLOOKUP($C732,REV!$C:$AA,19,0)-'TRADE IN'!$F741=0,"",(VLOOKUP($C732,REV!$C:$AA,19,0)-'TRADE IN'!$F732))</f>
        <v>6199</v>
      </c>
      <c r="V732" s="46">
        <f>IF(VLOOKUP($C732,REV!$C:$AA,20,0)-'TRADE IN'!$F741=0,"",(VLOOKUP($C732,REV!$C:$AA,20,0)-'TRADE IN'!$F732))</f>
        <v>6199</v>
      </c>
      <c r="W732" s="46">
        <f>IF(VLOOKUP($C732,REV!$C:$AA,21,0)-'TRADE IN'!$F741=0,"",(VLOOKUP($C732,REV!$C:$AA,21,0)-'TRADE IN'!$F732))</f>
        <v>6199</v>
      </c>
      <c r="X732" s="46">
        <f>IF(VLOOKUP($C732,REV!$C:$AA,22,0)-'TRADE IN'!$F741=0,"",(VLOOKUP($C732,REV!$C:$AA,22,0)-'TRADE IN'!$F732))</f>
        <v>6099</v>
      </c>
      <c r="Y732" s="46">
        <f>IF(VLOOKUP($C732,REV!$C:$AA,23,0)-'TRADE IN'!$F741=0,"",(VLOOKUP($C732,REV!$C:$AA,23,0)-'TRADE IN'!$F732))</f>
        <v>5099</v>
      </c>
      <c r="Z732" s="46">
        <f>IF(VLOOKUP($C732,REV!$C:$AA,24,0)-'TRADE IN'!$F741=0,"",(VLOOKUP($C732,REV!$C:$AA,24,0)-'TRADE IN'!$F732))</f>
        <v>5099</v>
      </c>
      <c r="AA732" s="46">
        <f>IF(VLOOKUP($C732,REV!$C:$AA,25,0)-'TRADE IN'!$F741=0,"",(VLOOKUP($C732,REV!$C:$AA,25,0)-'TRADE IN'!$F732))</f>
        <v>5099</v>
      </c>
      <c r="AB732" s="46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7"/>
      <c r="AW732" s="48" t="str">
        <f>IF(REV!AW732=0,"",REV!AW732)</f>
        <v>31.03.2026</v>
      </c>
      <c r="AX732" s="159" t="s">
        <v>82</v>
      </c>
    </row>
    <row r="733" spans="1:50" ht="22.5" customHeight="1">
      <c r="A733" s="52" t="s">
        <v>70</v>
      </c>
      <c r="B733" s="41" t="s">
        <v>62</v>
      </c>
      <c r="C733" s="42">
        <v>4016876</v>
      </c>
      <c r="D733" s="44" t="s">
        <v>975</v>
      </c>
      <c r="E733" s="44" t="s">
        <v>976</v>
      </c>
      <c r="F733" s="45">
        <v>700</v>
      </c>
      <c r="G733" s="45"/>
      <c r="H733" s="45"/>
      <c r="I733" s="45"/>
      <c r="J733" s="46">
        <f>IF(VLOOKUP($C733,REV!$C:$AA,8,0)-'TRADE IN'!$F733=0,"",(VLOOKUP($C733,REV!$C:$AA,8,0)-'TRADE IN'!$F733))</f>
        <v>6699</v>
      </c>
      <c r="K733" s="46">
        <f>IF(VLOOKUP($C733,REV!$C:$AA,9,0)-'TRADE IN'!$F733=0,"",(VLOOKUP($C733,REV!$C:$AA,9,0)-'TRADE IN'!$F733))</f>
        <v>6699</v>
      </c>
      <c r="L733" s="46">
        <f>IF(VLOOKUP($C733,REV!$C:$AA,10,0)-'TRADE IN'!$F744=0,"",(VLOOKUP($C733,REV!$C:$AA,10,0)-'TRADE IN'!$F733))</f>
        <v>6699</v>
      </c>
      <c r="M733" s="46">
        <f>IF(VLOOKUP($C733,REV!$C:$AA,11,0)-'TRADE IN'!$F744=0,"",(VLOOKUP($C733,REV!$C:$AA,11,0)-'TRADE IN'!$F733))</f>
        <v>6699</v>
      </c>
      <c r="N733" s="46">
        <f>IF(VLOOKUP($C733,REV!$C:$AA,12,0)-'TRADE IN'!$F744=0,"",(VLOOKUP($C733,REV!$C:$AA,12,0)-'TRADE IN'!$F733))</f>
        <v>6699</v>
      </c>
      <c r="O733" s="46">
        <f>IF(VLOOKUP($C733,REV!$C:$AA,13,0)-'TRADE IN'!$F744=0,"",(VLOOKUP($C733,REV!$C:$AA,13,0)-'TRADE IN'!$F733))</f>
        <v>6649</v>
      </c>
      <c r="P733" s="46">
        <f>IF(VLOOKUP($C733,REV!$C:$AA,14,0)-'TRADE IN'!$F744=0,"",(VLOOKUP($C733,REV!$C:$AA,14,0)-'TRADE IN'!$F733))</f>
        <v>6599</v>
      </c>
      <c r="Q733" s="46">
        <f>IF(VLOOKUP($C733,REV!$C:$AA,15,0)-'TRADE IN'!$F744=0,"",(VLOOKUP($C733,REV!$C:$AA,15,0)-'TRADE IN'!$F733))</f>
        <v>6199</v>
      </c>
      <c r="R733" s="46">
        <f>IF(VLOOKUP($C733,REV!$C:$AA,16,0)-'TRADE IN'!$F744=0,"",(VLOOKUP($C733,REV!$C:$AA,16,0)-'TRADE IN'!$F733))</f>
        <v>6649</v>
      </c>
      <c r="S733" s="46">
        <f>IF(VLOOKUP($C733,REV!$C:$AA,17,0)-'TRADE IN'!$F744=0,"",(VLOOKUP($C733,REV!$C:$AA,17,0)-'TRADE IN'!$F733))</f>
        <v>6599</v>
      </c>
      <c r="T733" s="46">
        <f>IF(VLOOKUP($C733,REV!$C:$AA,18,0)-'TRADE IN'!$F744=0,"",(VLOOKUP($C733,REV!$C:$AA,18,0)-'TRADE IN'!$F733))</f>
        <v>6199</v>
      </c>
      <c r="U733" s="46">
        <f>IF(VLOOKUP($C733,REV!$C:$AA,19,0)-'TRADE IN'!$F744=0,"",(VLOOKUP($C733,REV!$C:$AA,19,0)-'TRADE IN'!$F733))</f>
        <v>6199</v>
      </c>
      <c r="V733" s="46">
        <f>IF(VLOOKUP($C733,REV!$C:$AA,20,0)-'TRADE IN'!$F744=0,"",(VLOOKUP($C733,REV!$C:$AA,20,0)-'TRADE IN'!$F733))</f>
        <v>6199</v>
      </c>
      <c r="W733" s="46">
        <f>IF(VLOOKUP($C733,REV!$C:$AA,21,0)-'TRADE IN'!$F744=0,"",(VLOOKUP($C733,REV!$C:$AA,21,0)-'TRADE IN'!$F733))</f>
        <v>6199</v>
      </c>
      <c r="X733" s="46">
        <f>IF(VLOOKUP($C733,REV!$C:$AA,22,0)-'TRADE IN'!$F744=0,"",(VLOOKUP($C733,REV!$C:$AA,22,0)-'TRADE IN'!$F733))</f>
        <v>6099</v>
      </c>
      <c r="Y733" s="46">
        <f>IF(VLOOKUP($C733,REV!$C:$AA,23,0)-'TRADE IN'!$F744=0,"",(VLOOKUP($C733,REV!$C:$AA,23,0)-'TRADE IN'!$F733))</f>
        <v>5099</v>
      </c>
      <c r="Z733" s="46">
        <f>IF(VLOOKUP($C733,REV!$C:$AA,24,0)-'TRADE IN'!$F744=0,"",(VLOOKUP($C733,REV!$C:$AA,24,0)-'TRADE IN'!$F733))</f>
        <v>5099</v>
      </c>
      <c r="AA733" s="46">
        <f>IF(VLOOKUP($C733,REV!$C:$AA,25,0)-'TRADE IN'!$F744=0,"",(VLOOKUP($C733,REV!$C:$AA,25,0)-'TRADE IN'!$F733))</f>
        <v>5099</v>
      </c>
      <c r="AB733" s="46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7"/>
      <c r="AW733" s="48" t="str">
        <f>IF(REV!AW733=0,"",REV!AW733)</f>
        <v>31.03.2026</v>
      </c>
      <c r="AX733" s="159" t="s">
        <v>82</v>
      </c>
    </row>
    <row r="734" spans="1:50" ht="22.5" customHeight="1">
      <c r="A734" s="52" t="s">
        <v>70</v>
      </c>
      <c r="B734" s="41" t="s">
        <v>62</v>
      </c>
      <c r="C734" s="42">
        <v>4016904</v>
      </c>
      <c r="D734" s="44" t="s">
        <v>975</v>
      </c>
      <c r="E734" s="44" t="s">
        <v>977</v>
      </c>
      <c r="F734" s="45">
        <v>700</v>
      </c>
      <c r="G734" s="45"/>
      <c r="H734" s="45"/>
      <c r="I734" s="45"/>
      <c r="J734" s="46">
        <f>IF(VLOOKUP($C734,REV!$C:$AA,8,0)-'TRADE IN'!$F734=0,"",(VLOOKUP($C734,REV!$C:$AA,8,0)-'TRADE IN'!$F734))</f>
        <v>6699</v>
      </c>
      <c r="K734" s="46">
        <f>IF(VLOOKUP($C734,REV!$C:$AA,9,0)-'TRADE IN'!$F734=0,"",(VLOOKUP($C734,REV!$C:$AA,9,0)-'TRADE IN'!$F734))</f>
        <v>6699</v>
      </c>
      <c r="L734" s="46">
        <f>IF(VLOOKUP($C734,REV!$C:$AA,10,0)-'TRADE IN'!$F745=0,"",(VLOOKUP($C734,REV!$C:$AA,10,0)-'TRADE IN'!$F734))</f>
        <v>6699</v>
      </c>
      <c r="M734" s="46">
        <f>IF(VLOOKUP($C734,REV!$C:$AA,11,0)-'TRADE IN'!$F745=0,"",(VLOOKUP($C734,REV!$C:$AA,11,0)-'TRADE IN'!$F734))</f>
        <v>6699</v>
      </c>
      <c r="N734" s="46">
        <f>IF(VLOOKUP($C734,REV!$C:$AA,12,0)-'TRADE IN'!$F745=0,"",(VLOOKUP($C734,REV!$C:$AA,12,0)-'TRADE IN'!$F734))</f>
        <v>6699</v>
      </c>
      <c r="O734" s="46">
        <f>IF(VLOOKUP($C734,REV!$C:$AA,13,0)-'TRADE IN'!$F745=0,"",(VLOOKUP($C734,REV!$C:$AA,13,0)-'TRADE IN'!$F734))</f>
        <v>6649</v>
      </c>
      <c r="P734" s="46">
        <f>IF(VLOOKUP($C734,REV!$C:$AA,14,0)-'TRADE IN'!$F745=0,"",(VLOOKUP($C734,REV!$C:$AA,14,0)-'TRADE IN'!$F734))</f>
        <v>6599</v>
      </c>
      <c r="Q734" s="46">
        <f>IF(VLOOKUP($C734,REV!$C:$AA,15,0)-'TRADE IN'!$F745=0,"",(VLOOKUP($C734,REV!$C:$AA,15,0)-'TRADE IN'!$F734))</f>
        <v>6199</v>
      </c>
      <c r="R734" s="46">
        <f>IF(VLOOKUP($C734,REV!$C:$AA,16,0)-'TRADE IN'!$F745=0,"",(VLOOKUP($C734,REV!$C:$AA,16,0)-'TRADE IN'!$F734))</f>
        <v>6649</v>
      </c>
      <c r="S734" s="46">
        <f>IF(VLOOKUP($C734,REV!$C:$AA,17,0)-'TRADE IN'!$F745=0,"",(VLOOKUP($C734,REV!$C:$AA,17,0)-'TRADE IN'!$F734))</f>
        <v>6599</v>
      </c>
      <c r="T734" s="46">
        <f>IF(VLOOKUP($C734,REV!$C:$AA,18,0)-'TRADE IN'!$F745=0,"",(VLOOKUP($C734,REV!$C:$AA,18,0)-'TRADE IN'!$F734))</f>
        <v>6199</v>
      </c>
      <c r="U734" s="46">
        <f>IF(VLOOKUP($C734,REV!$C:$AA,19,0)-'TRADE IN'!$F745=0,"",(VLOOKUP($C734,REV!$C:$AA,19,0)-'TRADE IN'!$F734))</f>
        <v>6199</v>
      </c>
      <c r="V734" s="46">
        <f>IF(VLOOKUP($C734,REV!$C:$AA,20,0)-'TRADE IN'!$F745=0,"",(VLOOKUP($C734,REV!$C:$AA,20,0)-'TRADE IN'!$F734))</f>
        <v>6199</v>
      </c>
      <c r="W734" s="46">
        <f>IF(VLOOKUP($C734,REV!$C:$AA,21,0)-'TRADE IN'!$F745=0,"",(VLOOKUP($C734,REV!$C:$AA,21,0)-'TRADE IN'!$F734))</f>
        <v>6199</v>
      </c>
      <c r="X734" s="46">
        <f>IF(VLOOKUP($C734,REV!$C:$AA,22,0)-'TRADE IN'!$F745=0,"",(VLOOKUP($C734,REV!$C:$AA,22,0)-'TRADE IN'!$F734))</f>
        <v>6099</v>
      </c>
      <c r="Y734" s="46">
        <f>IF(VLOOKUP($C734,REV!$C:$AA,23,0)-'TRADE IN'!$F745=0,"",(VLOOKUP($C734,REV!$C:$AA,23,0)-'TRADE IN'!$F734))</f>
        <v>5099</v>
      </c>
      <c r="Z734" s="46">
        <f>IF(VLOOKUP($C734,REV!$C:$AA,24,0)-'TRADE IN'!$F745=0,"",(VLOOKUP($C734,REV!$C:$AA,24,0)-'TRADE IN'!$F734))</f>
        <v>5099</v>
      </c>
      <c r="AA734" s="46">
        <f>IF(VLOOKUP($C734,REV!$C:$AA,25,0)-'TRADE IN'!$F745=0,"",(VLOOKUP($C734,REV!$C:$AA,25,0)-'TRADE IN'!$F734))</f>
        <v>5099</v>
      </c>
      <c r="AB734" s="46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7"/>
      <c r="AW734" s="48" t="str">
        <f>IF(REV!AW734=0,"",REV!AW734)</f>
        <v>31.03.2026</v>
      </c>
      <c r="AX734" s="159" t="s">
        <v>82</v>
      </c>
    </row>
    <row r="735" spans="1:50" ht="22.5" customHeight="1">
      <c r="A735" s="52" t="s">
        <v>70</v>
      </c>
      <c r="B735" s="41" t="s">
        <v>62</v>
      </c>
      <c r="C735" s="42">
        <v>4016861</v>
      </c>
      <c r="D735" s="44" t="s">
        <v>975</v>
      </c>
      <c r="E735" s="44" t="s">
        <v>978</v>
      </c>
      <c r="F735" s="45">
        <v>700</v>
      </c>
      <c r="G735" s="45"/>
      <c r="H735" s="45"/>
      <c r="I735" s="45"/>
      <c r="J735" s="46">
        <f>IF(VLOOKUP($C735,REV!$C:$AA,8,0)-'TRADE IN'!$F735=0,"",(VLOOKUP($C735,REV!$C:$AA,8,0)-'TRADE IN'!$F735))</f>
        <v>6699</v>
      </c>
      <c r="K735" s="46">
        <f>IF(VLOOKUP($C735,REV!$C:$AA,9,0)-'TRADE IN'!$F735=0,"",(VLOOKUP($C735,REV!$C:$AA,9,0)-'TRADE IN'!$F735))</f>
        <v>6699</v>
      </c>
      <c r="L735" s="46">
        <f>IF(VLOOKUP($C735,REV!$C:$AA,10,0)-'TRADE IN'!$F746=0,"",(VLOOKUP($C735,REV!$C:$AA,10,0)-'TRADE IN'!$F735))</f>
        <v>6699</v>
      </c>
      <c r="M735" s="46">
        <f>IF(VLOOKUP($C735,REV!$C:$AA,11,0)-'TRADE IN'!$F746=0,"",(VLOOKUP($C735,REV!$C:$AA,11,0)-'TRADE IN'!$F735))</f>
        <v>6699</v>
      </c>
      <c r="N735" s="46">
        <f>IF(VLOOKUP($C735,REV!$C:$AA,12,0)-'TRADE IN'!$F746=0,"",(VLOOKUP($C735,REV!$C:$AA,12,0)-'TRADE IN'!$F735))</f>
        <v>6699</v>
      </c>
      <c r="O735" s="46">
        <f>IF(VLOOKUP($C735,REV!$C:$AA,13,0)-'TRADE IN'!$F746=0,"",(VLOOKUP($C735,REV!$C:$AA,13,0)-'TRADE IN'!$F735))</f>
        <v>6649</v>
      </c>
      <c r="P735" s="46">
        <f>IF(VLOOKUP($C735,REV!$C:$AA,14,0)-'TRADE IN'!$F746=0,"",(VLOOKUP($C735,REV!$C:$AA,14,0)-'TRADE IN'!$F735))</f>
        <v>6599</v>
      </c>
      <c r="Q735" s="46">
        <f>IF(VLOOKUP($C735,REV!$C:$AA,15,0)-'TRADE IN'!$F746=0,"",(VLOOKUP($C735,REV!$C:$AA,15,0)-'TRADE IN'!$F735))</f>
        <v>6199</v>
      </c>
      <c r="R735" s="46">
        <f>IF(VLOOKUP($C735,REV!$C:$AA,16,0)-'TRADE IN'!$F746=0,"",(VLOOKUP($C735,REV!$C:$AA,16,0)-'TRADE IN'!$F735))</f>
        <v>6649</v>
      </c>
      <c r="S735" s="46">
        <f>IF(VLOOKUP($C735,REV!$C:$AA,17,0)-'TRADE IN'!$F746=0,"",(VLOOKUP($C735,REV!$C:$AA,17,0)-'TRADE IN'!$F735))</f>
        <v>6599</v>
      </c>
      <c r="T735" s="46">
        <f>IF(VLOOKUP($C735,REV!$C:$AA,18,0)-'TRADE IN'!$F746=0,"",(VLOOKUP($C735,REV!$C:$AA,18,0)-'TRADE IN'!$F735))</f>
        <v>6199</v>
      </c>
      <c r="U735" s="46">
        <f>IF(VLOOKUP($C735,REV!$C:$AA,19,0)-'TRADE IN'!$F746=0,"",(VLOOKUP($C735,REV!$C:$AA,19,0)-'TRADE IN'!$F735))</f>
        <v>6199</v>
      </c>
      <c r="V735" s="46">
        <f>IF(VLOOKUP($C735,REV!$C:$AA,20,0)-'TRADE IN'!$F746=0,"",(VLOOKUP($C735,REV!$C:$AA,20,0)-'TRADE IN'!$F735))</f>
        <v>6199</v>
      </c>
      <c r="W735" s="46">
        <f>IF(VLOOKUP($C735,REV!$C:$AA,21,0)-'TRADE IN'!$F746=0,"",(VLOOKUP($C735,REV!$C:$AA,21,0)-'TRADE IN'!$F735))</f>
        <v>6199</v>
      </c>
      <c r="X735" s="46">
        <f>IF(VLOOKUP($C735,REV!$C:$AA,22,0)-'TRADE IN'!$F746=0,"",(VLOOKUP($C735,REV!$C:$AA,22,0)-'TRADE IN'!$F735))</f>
        <v>6099</v>
      </c>
      <c r="Y735" s="46">
        <f>IF(VLOOKUP($C735,REV!$C:$AA,23,0)-'TRADE IN'!$F746=0,"",(VLOOKUP($C735,REV!$C:$AA,23,0)-'TRADE IN'!$F735))</f>
        <v>5099</v>
      </c>
      <c r="Z735" s="46">
        <f>IF(VLOOKUP($C735,REV!$C:$AA,24,0)-'TRADE IN'!$F746=0,"",(VLOOKUP($C735,REV!$C:$AA,24,0)-'TRADE IN'!$F735))</f>
        <v>5099</v>
      </c>
      <c r="AA735" s="46">
        <f>IF(VLOOKUP($C735,REV!$C:$AA,25,0)-'TRADE IN'!$F746=0,"",(VLOOKUP($C735,REV!$C:$AA,25,0)-'TRADE IN'!$F735))</f>
        <v>5099</v>
      </c>
      <c r="AB735" s="46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7"/>
      <c r="AW735" s="48" t="str">
        <f>IF(REV!AW735=0,"",REV!AW735)</f>
        <v>31.03.2026</v>
      </c>
      <c r="AX735" s="159" t="s">
        <v>82</v>
      </c>
    </row>
    <row r="736" spans="1:50" ht="22.5" customHeight="1">
      <c r="A736" s="52" t="s">
        <v>70</v>
      </c>
      <c r="B736" s="41" t="s">
        <v>62</v>
      </c>
      <c r="C736" s="42">
        <v>4016891</v>
      </c>
      <c r="D736" s="44" t="s">
        <v>975</v>
      </c>
      <c r="E736" s="44" t="s">
        <v>979</v>
      </c>
      <c r="F736" s="45">
        <v>700</v>
      </c>
      <c r="G736" s="45"/>
      <c r="H736" s="45"/>
      <c r="I736" s="45"/>
      <c r="J736" s="46">
        <f>IF(VLOOKUP($C736,REV!$C:$AA,8,0)-'TRADE IN'!$F736=0,"",(VLOOKUP($C736,REV!$C:$AA,8,0)-'TRADE IN'!$F736))</f>
        <v>6699</v>
      </c>
      <c r="K736" s="46">
        <f>IF(VLOOKUP($C736,REV!$C:$AA,9,0)-'TRADE IN'!$F736=0,"",(VLOOKUP($C736,REV!$C:$AA,9,0)-'TRADE IN'!$F736))</f>
        <v>6699</v>
      </c>
      <c r="L736" s="46">
        <f>IF(VLOOKUP($C736,REV!$C:$AA,10,0)-'TRADE IN'!$F747=0,"",(VLOOKUP($C736,REV!$C:$AA,10,0)-'TRADE IN'!$F736))</f>
        <v>6699</v>
      </c>
      <c r="M736" s="46">
        <f>IF(VLOOKUP($C736,REV!$C:$AA,11,0)-'TRADE IN'!$F747=0,"",(VLOOKUP($C736,REV!$C:$AA,11,0)-'TRADE IN'!$F736))</f>
        <v>6699</v>
      </c>
      <c r="N736" s="46">
        <f>IF(VLOOKUP($C736,REV!$C:$AA,12,0)-'TRADE IN'!$F747=0,"",(VLOOKUP($C736,REV!$C:$AA,12,0)-'TRADE IN'!$F736))</f>
        <v>6699</v>
      </c>
      <c r="O736" s="46">
        <f>IF(VLOOKUP($C736,REV!$C:$AA,13,0)-'TRADE IN'!$F747=0,"",(VLOOKUP($C736,REV!$C:$AA,13,0)-'TRADE IN'!$F736))</f>
        <v>6649</v>
      </c>
      <c r="P736" s="46">
        <f>IF(VLOOKUP($C736,REV!$C:$AA,14,0)-'TRADE IN'!$F747=0,"",(VLOOKUP($C736,REV!$C:$AA,14,0)-'TRADE IN'!$F736))</f>
        <v>6599</v>
      </c>
      <c r="Q736" s="46">
        <f>IF(VLOOKUP($C736,REV!$C:$AA,15,0)-'TRADE IN'!$F747=0,"",(VLOOKUP($C736,REV!$C:$AA,15,0)-'TRADE IN'!$F736))</f>
        <v>6199</v>
      </c>
      <c r="R736" s="46">
        <f>IF(VLOOKUP($C736,REV!$C:$AA,16,0)-'TRADE IN'!$F747=0,"",(VLOOKUP($C736,REV!$C:$AA,16,0)-'TRADE IN'!$F736))</f>
        <v>6649</v>
      </c>
      <c r="S736" s="46">
        <f>IF(VLOOKUP($C736,REV!$C:$AA,17,0)-'TRADE IN'!$F747=0,"",(VLOOKUP($C736,REV!$C:$AA,17,0)-'TRADE IN'!$F736))</f>
        <v>6599</v>
      </c>
      <c r="T736" s="46">
        <f>IF(VLOOKUP($C736,REV!$C:$AA,18,0)-'TRADE IN'!$F747=0,"",(VLOOKUP($C736,REV!$C:$AA,18,0)-'TRADE IN'!$F736))</f>
        <v>6199</v>
      </c>
      <c r="U736" s="46">
        <f>IF(VLOOKUP($C736,REV!$C:$AA,19,0)-'TRADE IN'!$F747=0,"",(VLOOKUP($C736,REV!$C:$AA,19,0)-'TRADE IN'!$F736))</f>
        <v>6199</v>
      </c>
      <c r="V736" s="46">
        <f>IF(VLOOKUP($C736,REV!$C:$AA,20,0)-'TRADE IN'!$F747=0,"",(VLOOKUP($C736,REV!$C:$AA,20,0)-'TRADE IN'!$F736))</f>
        <v>6199</v>
      </c>
      <c r="W736" s="46">
        <f>IF(VLOOKUP($C736,REV!$C:$AA,21,0)-'TRADE IN'!$F747=0,"",(VLOOKUP($C736,REV!$C:$AA,21,0)-'TRADE IN'!$F736))</f>
        <v>6199</v>
      </c>
      <c r="X736" s="46">
        <f>IF(VLOOKUP($C736,REV!$C:$AA,22,0)-'TRADE IN'!$F747=0,"",(VLOOKUP($C736,REV!$C:$AA,22,0)-'TRADE IN'!$F736))</f>
        <v>6099</v>
      </c>
      <c r="Y736" s="46">
        <f>IF(VLOOKUP($C736,REV!$C:$AA,23,0)-'TRADE IN'!$F747=0,"",(VLOOKUP($C736,REV!$C:$AA,23,0)-'TRADE IN'!$F736))</f>
        <v>5099</v>
      </c>
      <c r="Z736" s="46">
        <f>IF(VLOOKUP($C736,REV!$C:$AA,24,0)-'TRADE IN'!$F747=0,"",(VLOOKUP($C736,REV!$C:$AA,24,0)-'TRADE IN'!$F736))</f>
        <v>5099</v>
      </c>
      <c r="AA736" s="46">
        <f>IF(VLOOKUP($C736,REV!$C:$AA,25,0)-'TRADE IN'!$F747=0,"",(VLOOKUP($C736,REV!$C:$AA,25,0)-'TRADE IN'!$F736))</f>
        <v>5099</v>
      </c>
      <c r="AB736" s="46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7"/>
      <c r="AW736" s="48" t="str">
        <f>IF(REV!AW736=0,"",REV!AW736)</f>
        <v>31.03.2026</v>
      </c>
      <c r="AX736" s="159" t="s">
        <v>82</v>
      </c>
    </row>
    <row r="737" spans="1:50" ht="22.5" customHeight="1">
      <c r="A737" s="52" t="s">
        <v>70</v>
      </c>
      <c r="B737" s="41" t="s">
        <v>62</v>
      </c>
      <c r="C737" s="42">
        <v>4016869</v>
      </c>
      <c r="D737" s="44" t="s">
        <v>975</v>
      </c>
      <c r="E737" s="44" t="s">
        <v>980</v>
      </c>
      <c r="F737" s="45">
        <v>700</v>
      </c>
      <c r="G737" s="45"/>
      <c r="H737" s="45"/>
      <c r="I737" s="45"/>
      <c r="J737" s="46">
        <f>IF(VLOOKUP($C737,REV!$C:$AA,8,0)-'TRADE IN'!$F737=0,"",(VLOOKUP($C737,REV!$C:$AA,8,0)-'TRADE IN'!$F737))</f>
        <v>6699</v>
      </c>
      <c r="K737" s="46">
        <f>IF(VLOOKUP($C737,REV!$C:$AA,9,0)-'TRADE IN'!$F737=0,"",(VLOOKUP($C737,REV!$C:$AA,9,0)-'TRADE IN'!$F737))</f>
        <v>6699</v>
      </c>
      <c r="L737" s="46">
        <f>IF(VLOOKUP($C737,REV!$C:$AA,10,0)-'TRADE IN'!$F778=0,"",(VLOOKUP($C737,REV!$C:$AA,10,0)-'TRADE IN'!$F737))</f>
        <v>6699</v>
      </c>
      <c r="M737" s="46">
        <f>IF(VLOOKUP($C737,REV!$C:$AA,11,0)-'TRADE IN'!$F778=0,"",(VLOOKUP($C737,REV!$C:$AA,11,0)-'TRADE IN'!$F737))</f>
        <v>6699</v>
      </c>
      <c r="N737" s="46">
        <f>IF(VLOOKUP($C737,REV!$C:$AA,12,0)-'TRADE IN'!$F778=0,"",(VLOOKUP($C737,REV!$C:$AA,12,0)-'TRADE IN'!$F737))</f>
        <v>6699</v>
      </c>
      <c r="O737" s="46">
        <f>IF(VLOOKUP($C737,REV!$C:$AA,13,0)-'TRADE IN'!$F778=0,"",(VLOOKUP($C737,REV!$C:$AA,13,0)-'TRADE IN'!$F737))</f>
        <v>6649</v>
      </c>
      <c r="P737" s="46">
        <f>IF(VLOOKUP($C737,REV!$C:$AA,14,0)-'TRADE IN'!$F778=0,"",(VLOOKUP($C737,REV!$C:$AA,14,0)-'TRADE IN'!$F737))</f>
        <v>6599</v>
      </c>
      <c r="Q737" s="46">
        <f>IF(VLOOKUP($C737,REV!$C:$AA,15,0)-'TRADE IN'!$F778=0,"",(VLOOKUP($C737,REV!$C:$AA,15,0)-'TRADE IN'!$F737))</f>
        <v>6199</v>
      </c>
      <c r="R737" s="46">
        <f>IF(VLOOKUP($C737,REV!$C:$AA,16,0)-'TRADE IN'!$F778=0,"",(VLOOKUP($C737,REV!$C:$AA,16,0)-'TRADE IN'!$F737))</f>
        <v>6649</v>
      </c>
      <c r="S737" s="46">
        <f>IF(VLOOKUP($C737,REV!$C:$AA,17,0)-'TRADE IN'!$F778=0,"",(VLOOKUP($C737,REV!$C:$AA,17,0)-'TRADE IN'!$F737))</f>
        <v>6599</v>
      </c>
      <c r="T737" s="46">
        <f>IF(VLOOKUP($C737,REV!$C:$AA,18,0)-'TRADE IN'!$F778=0,"",(VLOOKUP($C737,REV!$C:$AA,18,0)-'TRADE IN'!$F737))</f>
        <v>6199</v>
      </c>
      <c r="U737" s="46">
        <f>IF(VLOOKUP($C737,REV!$C:$AA,19,0)-'TRADE IN'!$F778=0,"",(VLOOKUP($C737,REV!$C:$AA,19,0)-'TRADE IN'!$F737))</f>
        <v>6199</v>
      </c>
      <c r="V737" s="46">
        <f>IF(VLOOKUP($C737,REV!$C:$AA,20,0)-'TRADE IN'!$F778=0,"",(VLOOKUP($C737,REV!$C:$AA,20,0)-'TRADE IN'!$F737))</f>
        <v>6199</v>
      </c>
      <c r="W737" s="46">
        <f>IF(VLOOKUP($C737,REV!$C:$AA,21,0)-'TRADE IN'!$F778=0,"",(VLOOKUP($C737,REV!$C:$AA,21,0)-'TRADE IN'!$F737))</f>
        <v>6199</v>
      </c>
      <c r="X737" s="46">
        <f>IF(VLOOKUP($C737,REV!$C:$AA,22,0)-'TRADE IN'!$F778=0,"",(VLOOKUP($C737,REV!$C:$AA,22,0)-'TRADE IN'!$F737))</f>
        <v>6099</v>
      </c>
      <c r="Y737" s="46">
        <f>IF(VLOOKUP($C737,REV!$C:$AA,23,0)-'TRADE IN'!$F778=0,"",(VLOOKUP($C737,REV!$C:$AA,23,0)-'TRADE IN'!$F737))</f>
        <v>5099</v>
      </c>
      <c r="Z737" s="46">
        <f>IF(VLOOKUP($C737,REV!$C:$AA,24,0)-'TRADE IN'!$F778=0,"",(VLOOKUP($C737,REV!$C:$AA,24,0)-'TRADE IN'!$F737))</f>
        <v>5099</v>
      </c>
      <c r="AA737" s="46">
        <f>IF(VLOOKUP($C737,REV!$C:$AA,25,0)-'TRADE IN'!$F778=0,"",(VLOOKUP($C737,REV!$C:$AA,25,0)-'TRADE IN'!$F737))</f>
        <v>5099</v>
      </c>
      <c r="AB737" s="46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7"/>
      <c r="AW737" s="48" t="str">
        <f>IF(REV!AW737=0,"",REV!AW737)</f>
        <v>31.03.2026</v>
      </c>
      <c r="AX737" s="159" t="s">
        <v>82</v>
      </c>
    </row>
    <row r="738" spans="1:50" ht="22.5" customHeight="1">
      <c r="A738" s="52" t="s">
        <v>70</v>
      </c>
      <c r="B738" s="41" t="s">
        <v>62</v>
      </c>
      <c r="C738" s="42">
        <v>4016898</v>
      </c>
      <c r="D738" s="44" t="s">
        <v>975</v>
      </c>
      <c r="E738" s="44" t="s">
        <v>981</v>
      </c>
      <c r="F738" s="45">
        <v>700</v>
      </c>
      <c r="G738" s="45"/>
      <c r="H738" s="45"/>
      <c r="I738" s="45"/>
      <c r="J738" s="46">
        <f>IF(VLOOKUP($C738,REV!$C:$AA,8,0)-'TRADE IN'!$F738=0,"",(VLOOKUP($C738,REV!$C:$AA,8,0)-'TRADE IN'!$F738))</f>
        <v>6699</v>
      </c>
      <c r="K738" s="46">
        <f>IF(VLOOKUP($C738,REV!$C:$AA,9,0)-'TRADE IN'!$F738=0,"",(VLOOKUP($C738,REV!$C:$AA,9,0)-'TRADE IN'!$F738))</f>
        <v>6699</v>
      </c>
      <c r="L738" s="46">
        <f>IF(VLOOKUP($C738,REV!$C:$AA,10,0)-'TRADE IN'!$F779=0,"",(VLOOKUP($C738,REV!$C:$AA,10,0)-'TRADE IN'!$F738))</f>
        <v>6699</v>
      </c>
      <c r="M738" s="46">
        <f>IF(VLOOKUP($C738,REV!$C:$AA,11,0)-'TRADE IN'!$F779=0,"",(VLOOKUP($C738,REV!$C:$AA,11,0)-'TRADE IN'!$F738))</f>
        <v>6699</v>
      </c>
      <c r="N738" s="46">
        <f>IF(VLOOKUP($C738,REV!$C:$AA,12,0)-'TRADE IN'!$F779=0,"",(VLOOKUP($C738,REV!$C:$AA,12,0)-'TRADE IN'!$F738))</f>
        <v>6699</v>
      </c>
      <c r="O738" s="46">
        <f>IF(VLOOKUP($C738,REV!$C:$AA,13,0)-'TRADE IN'!$F779=0,"",(VLOOKUP($C738,REV!$C:$AA,13,0)-'TRADE IN'!$F738))</f>
        <v>6649</v>
      </c>
      <c r="P738" s="46">
        <f>IF(VLOOKUP($C738,REV!$C:$AA,14,0)-'TRADE IN'!$F779=0,"",(VLOOKUP($C738,REV!$C:$AA,14,0)-'TRADE IN'!$F738))</f>
        <v>6599</v>
      </c>
      <c r="Q738" s="46">
        <f>IF(VLOOKUP($C738,REV!$C:$AA,15,0)-'TRADE IN'!$F779=0,"",(VLOOKUP($C738,REV!$C:$AA,15,0)-'TRADE IN'!$F738))</f>
        <v>6199</v>
      </c>
      <c r="R738" s="46">
        <f>IF(VLOOKUP($C738,REV!$C:$AA,16,0)-'TRADE IN'!$F779=0,"",(VLOOKUP($C738,REV!$C:$AA,16,0)-'TRADE IN'!$F738))</f>
        <v>6649</v>
      </c>
      <c r="S738" s="46">
        <f>IF(VLOOKUP($C738,REV!$C:$AA,17,0)-'TRADE IN'!$F779=0,"",(VLOOKUP($C738,REV!$C:$AA,17,0)-'TRADE IN'!$F738))</f>
        <v>6599</v>
      </c>
      <c r="T738" s="46">
        <f>IF(VLOOKUP($C738,REV!$C:$AA,18,0)-'TRADE IN'!$F779=0,"",(VLOOKUP($C738,REV!$C:$AA,18,0)-'TRADE IN'!$F738))</f>
        <v>6199</v>
      </c>
      <c r="U738" s="46">
        <f>IF(VLOOKUP($C738,REV!$C:$AA,19,0)-'TRADE IN'!$F779=0,"",(VLOOKUP($C738,REV!$C:$AA,19,0)-'TRADE IN'!$F738))</f>
        <v>6199</v>
      </c>
      <c r="V738" s="46">
        <f>IF(VLOOKUP($C738,REV!$C:$AA,20,0)-'TRADE IN'!$F779=0,"",(VLOOKUP($C738,REV!$C:$AA,20,0)-'TRADE IN'!$F738))</f>
        <v>6199</v>
      </c>
      <c r="W738" s="46">
        <f>IF(VLOOKUP($C738,REV!$C:$AA,21,0)-'TRADE IN'!$F779=0,"",(VLOOKUP($C738,REV!$C:$AA,21,0)-'TRADE IN'!$F738))</f>
        <v>6199</v>
      </c>
      <c r="X738" s="46">
        <f>IF(VLOOKUP($C738,REV!$C:$AA,22,0)-'TRADE IN'!$F779=0,"",(VLOOKUP($C738,REV!$C:$AA,22,0)-'TRADE IN'!$F738))</f>
        <v>6099</v>
      </c>
      <c r="Y738" s="46">
        <f>IF(VLOOKUP($C738,REV!$C:$AA,23,0)-'TRADE IN'!$F779=0,"",(VLOOKUP($C738,REV!$C:$AA,23,0)-'TRADE IN'!$F738))</f>
        <v>5099</v>
      </c>
      <c r="Z738" s="46">
        <f>IF(VLOOKUP($C738,REV!$C:$AA,24,0)-'TRADE IN'!$F779=0,"",(VLOOKUP($C738,REV!$C:$AA,24,0)-'TRADE IN'!$F738))</f>
        <v>5099</v>
      </c>
      <c r="AA738" s="46">
        <f>IF(VLOOKUP($C738,REV!$C:$AA,25,0)-'TRADE IN'!$F779=0,"",(VLOOKUP($C738,REV!$C:$AA,25,0)-'TRADE IN'!$F738))</f>
        <v>5099</v>
      </c>
      <c r="AB738" s="46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7"/>
      <c r="AW738" s="48" t="str">
        <f>IF(REV!AW738=0,"",REV!AW738)</f>
        <v>31.03.2026</v>
      </c>
      <c r="AX738" s="159" t="s">
        <v>82</v>
      </c>
    </row>
    <row r="739" spans="1:50" ht="22.5" customHeight="1">
      <c r="A739" s="52" t="s">
        <v>70</v>
      </c>
      <c r="B739" s="41" t="s">
        <v>62</v>
      </c>
      <c r="C739" s="42">
        <v>4016853</v>
      </c>
      <c r="D739" s="44" t="s">
        <v>975</v>
      </c>
      <c r="E739" s="44" t="s">
        <v>982</v>
      </c>
      <c r="F739" s="45">
        <v>700</v>
      </c>
      <c r="G739" s="45"/>
      <c r="H739" s="45"/>
      <c r="I739" s="45"/>
      <c r="J739" s="46">
        <f>IF(VLOOKUP($C739,REV!$C:$AA,8,0)-'TRADE IN'!$F739=0,"",(VLOOKUP($C739,REV!$C:$AA,8,0)-'TRADE IN'!$F739))</f>
        <v>6699</v>
      </c>
      <c r="K739" s="46">
        <f>IF(VLOOKUP($C739,REV!$C:$AA,9,0)-'TRADE IN'!$F739=0,"",(VLOOKUP($C739,REV!$C:$AA,9,0)-'TRADE IN'!$F739))</f>
        <v>6699</v>
      </c>
      <c r="L739" s="46">
        <f>IF(VLOOKUP($C739,REV!$C:$AA,10,0)-'TRADE IN'!$F780=0,"",(VLOOKUP($C739,REV!$C:$AA,10,0)-'TRADE IN'!$F739))</f>
        <v>6699</v>
      </c>
      <c r="M739" s="46">
        <f>IF(VLOOKUP($C739,REV!$C:$AA,11,0)-'TRADE IN'!$F780=0,"",(VLOOKUP($C739,REV!$C:$AA,11,0)-'TRADE IN'!$F739))</f>
        <v>6699</v>
      </c>
      <c r="N739" s="46">
        <f>IF(VLOOKUP($C739,REV!$C:$AA,12,0)-'TRADE IN'!$F780=0,"",(VLOOKUP($C739,REV!$C:$AA,12,0)-'TRADE IN'!$F739))</f>
        <v>6699</v>
      </c>
      <c r="O739" s="46">
        <f>IF(VLOOKUP($C739,REV!$C:$AA,13,0)-'TRADE IN'!$F780=0,"",(VLOOKUP($C739,REV!$C:$AA,13,0)-'TRADE IN'!$F739))</f>
        <v>6649</v>
      </c>
      <c r="P739" s="46">
        <f>IF(VLOOKUP($C739,REV!$C:$AA,14,0)-'TRADE IN'!$F780=0,"",(VLOOKUP($C739,REV!$C:$AA,14,0)-'TRADE IN'!$F739))</f>
        <v>6599</v>
      </c>
      <c r="Q739" s="46">
        <f>IF(VLOOKUP($C739,REV!$C:$AA,15,0)-'TRADE IN'!$F780=0,"",(VLOOKUP($C739,REV!$C:$AA,15,0)-'TRADE IN'!$F739))</f>
        <v>6199</v>
      </c>
      <c r="R739" s="46">
        <f>IF(VLOOKUP($C739,REV!$C:$AA,16,0)-'TRADE IN'!$F780=0,"",(VLOOKUP($C739,REV!$C:$AA,16,0)-'TRADE IN'!$F739))</f>
        <v>6649</v>
      </c>
      <c r="S739" s="46">
        <f>IF(VLOOKUP($C739,REV!$C:$AA,17,0)-'TRADE IN'!$F780=0,"",(VLOOKUP($C739,REV!$C:$AA,17,0)-'TRADE IN'!$F739))</f>
        <v>6599</v>
      </c>
      <c r="T739" s="46">
        <f>IF(VLOOKUP($C739,REV!$C:$AA,18,0)-'TRADE IN'!$F780=0,"",(VLOOKUP($C739,REV!$C:$AA,18,0)-'TRADE IN'!$F739))</f>
        <v>6199</v>
      </c>
      <c r="U739" s="46">
        <f>IF(VLOOKUP($C739,REV!$C:$AA,19,0)-'TRADE IN'!$F780=0,"",(VLOOKUP($C739,REV!$C:$AA,19,0)-'TRADE IN'!$F739))</f>
        <v>6199</v>
      </c>
      <c r="V739" s="46">
        <f>IF(VLOOKUP($C739,REV!$C:$AA,20,0)-'TRADE IN'!$F780=0,"",(VLOOKUP($C739,REV!$C:$AA,20,0)-'TRADE IN'!$F739))</f>
        <v>6199</v>
      </c>
      <c r="W739" s="46">
        <f>IF(VLOOKUP($C739,REV!$C:$AA,21,0)-'TRADE IN'!$F780=0,"",(VLOOKUP($C739,REV!$C:$AA,21,0)-'TRADE IN'!$F739))</f>
        <v>6199</v>
      </c>
      <c r="X739" s="46">
        <f>IF(VLOOKUP($C739,REV!$C:$AA,22,0)-'TRADE IN'!$F780=0,"",(VLOOKUP($C739,REV!$C:$AA,22,0)-'TRADE IN'!$F739))</f>
        <v>6099</v>
      </c>
      <c r="Y739" s="46">
        <f>IF(VLOOKUP($C739,REV!$C:$AA,23,0)-'TRADE IN'!$F780=0,"",(VLOOKUP($C739,REV!$C:$AA,23,0)-'TRADE IN'!$F739))</f>
        <v>5099</v>
      </c>
      <c r="Z739" s="46">
        <f>IF(VLOOKUP($C739,REV!$C:$AA,24,0)-'TRADE IN'!$F780=0,"",(VLOOKUP($C739,REV!$C:$AA,24,0)-'TRADE IN'!$F739))</f>
        <v>5099</v>
      </c>
      <c r="AA739" s="46">
        <f>IF(VLOOKUP($C739,REV!$C:$AA,25,0)-'TRADE IN'!$F780=0,"",(VLOOKUP($C739,REV!$C:$AA,25,0)-'TRADE IN'!$F739))</f>
        <v>5099</v>
      </c>
      <c r="AB739" s="46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7"/>
      <c r="AW739" s="48" t="str">
        <f>IF(REV!AW739=0,"",REV!AW739)</f>
        <v>31.03.2026</v>
      </c>
      <c r="AX739" s="159" t="s">
        <v>82</v>
      </c>
    </row>
    <row r="740" spans="1:50" ht="22.5" customHeight="1">
      <c r="A740" s="52" t="s">
        <v>70</v>
      </c>
      <c r="B740" s="41" t="s">
        <v>62</v>
      </c>
      <c r="C740" s="42">
        <v>4016884</v>
      </c>
      <c r="D740" s="44" t="s">
        <v>975</v>
      </c>
      <c r="E740" s="44" t="s">
        <v>983</v>
      </c>
      <c r="F740" s="45">
        <v>700</v>
      </c>
      <c r="G740" s="45"/>
      <c r="H740" s="45"/>
      <c r="I740" s="45"/>
      <c r="J740" s="46">
        <f>IF(VLOOKUP($C740,REV!$C:$AA,8,0)-'TRADE IN'!$F740=0,"",(VLOOKUP($C740,REV!$C:$AA,8,0)-'TRADE IN'!$F740))</f>
        <v>6699</v>
      </c>
      <c r="K740" s="46">
        <f>IF(VLOOKUP($C740,REV!$C:$AA,9,0)-'TRADE IN'!$F740=0,"",(VLOOKUP($C740,REV!$C:$AA,9,0)-'TRADE IN'!$F740))</f>
        <v>6699</v>
      </c>
      <c r="L740" s="46">
        <f>IF(VLOOKUP($C740,REV!$C:$AA,10,0)-'TRADE IN'!$F781=0,"",(VLOOKUP($C740,REV!$C:$AA,10,0)-'TRADE IN'!$F740))</f>
        <v>6699</v>
      </c>
      <c r="M740" s="46">
        <f>IF(VLOOKUP($C740,REV!$C:$AA,11,0)-'TRADE IN'!$F781=0,"",(VLOOKUP($C740,REV!$C:$AA,11,0)-'TRADE IN'!$F740))</f>
        <v>6699</v>
      </c>
      <c r="N740" s="46">
        <f>IF(VLOOKUP($C740,REV!$C:$AA,12,0)-'TRADE IN'!$F781=0,"",(VLOOKUP($C740,REV!$C:$AA,12,0)-'TRADE IN'!$F740))</f>
        <v>6699</v>
      </c>
      <c r="O740" s="46">
        <f>IF(VLOOKUP($C740,REV!$C:$AA,13,0)-'TRADE IN'!$F781=0,"",(VLOOKUP($C740,REV!$C:$AA,13,0)-'TRADE IN'!$F740))</f>
        <v>6649</v>
      </c>
      <c r="P740" s="46">
        <f>IF(VLOOKUP($C740,REV!$C:$AA,14,0)-'TRADE IN'!$F781=0,"",(VLOOKUP($C740,REV!$C:$AA,14,0)-'TRADE IN'!$F740))</f>
        <v>6599</v>
      </c>
      <c r="Q740" s="46">
        <f>IF(VLOOKUP($C740,REV!$C:$AA,15,0)-'TRADE IN'!$F781=0,"",(VLOOKUP($C740,REV!$C:$AA,15,0)-'TRADE IN'!$F740))</f>
        <v>6199</v>
      </c>
      <c r="R740" s="46">
        <f>IF(VLOOKUP($C740,REV!$C:$AA,16,0)-'TRADE IN'!$F781=0,"",(VLOOKUP($C740,REV!$C:$AA,16,0)-'TRADE IN'!$F740))</f>
        <v>6649</v>
      </c>
      <c r="S740" s="46">
        <f>IF(VLOOKUP($C740,REV!$C:$AA,17,0)-'TRADE IN'!$F781=0,"",(VLOOKUP($C740,REV!$C:$AA,17,0)-'TRADE IN'!$F740))</f>
        <v>6599</v>
      </c>
      <c r="T740" s="46">
        <f>IF(VLOOKUP($C740,REV!$C:$AA,18,0)-'TRADE IN'!$F781=0,"",(VLOOKUP($C740,REV!$C:$AA,18,0)-'TRADE IN'!$F740))</f>
        <v>6199</v>
      </c>
      <c r="U740" s="46">
        <f>IF(VLOOKUP($C740,REV!$C:$AA,19,0)-'TRADE IN'!$F781=0,"",(VLOOKUP($C740,REV!$C:$AA,19,0)-'TRADE IN'!$F740))</f>
        <v>6199</v>
      </c>
      <c r="V740" s="46">
        <f>IF(VLOOKUP($C740,REV!$C:$AA,20,0)-'TRADE IN'!$F781=0,"",(VLOOKUP($C740,REV!$C:$AA,20,0)-'TRADE IN'!$F740))</f>
        <v>6199</v>
      </c>
      <c r="W740" s="46">
        <f>IF(VLOOKUP($C740,REV!$C:$AA,21,0)-'TRADE IN'!$F781=0,"",(VLOOKUP($C740,REV!$C:$AA,21,0)-'TRADE IN'!$F740))</f>
        <v>6199</v>
      </c>
      <c r="X740" s="46">
        <f>IF(VLOOKUP($C740,REV!$C:$AA,22,0)-'TRADE IN'!$F781=0,"",(VLOOKUP($C740,REV!$C:$AA,22,0)-'TRADE IN'!$F740))</f>
        <v>6099</v>
      </c>
      <c r="Y740" s="46">
        <f>IF(VLOOKUP($C740,REV!$C:$AA,23,0)-'TRADE IN'!$F781=0,"",(VLOOKUP($C740,REV!$C:$AA,23,0)-'TRADE IN'!$F740))</f>
        <v>5099</v>
      </c>
      <c r="Z740" s="46">
        <f>IF(VLOOKUP($C740,REV!$C:$AA,24,0)-'TRADE IN'!$F781=0,"",(VLOOKUP($C740,REV!$C:$AA,24,0)-'TRADE IN'!$F740))</f>
        <v>5099</v>
      </c>
      <c r="AA740" s="46">
        <f>IF(VLOOKUP($C740,REV!$C:$AA,25,0)-'TRADE IN'!$F781=0,"",(VLOOKUP($C740,REV!$C:$AA,25,0)-'TRADE IN'!$F740))</f>
        <v>5099</v>
      </c>
      <c r="AB740" s="46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7"/>
      <c r="AW740" s="48" t="str">
        <f>IF(REV!AW740=0,"",REV!AW740)</f>
        <v>31.03.2026</v>
      </c>
      <c r="AX740" s="159" t="s">
        <v>82</v>
      </c>
    </row>
    <row r="741" spans="1:50" ht="22.5" customHeight="1">
      <c r="A741" s="52" t="s">
        <v>70</v>
      </c>
      <c r="B741" s="41" t="s">
        <v>62</v>
      </c>
      <c r="C741" s="42">
        <v>4016724</v>
      </c>
      <c r="D741" s="44" t="s">
        <v>984</v>
      </c>
      <c r="E741" s="44" t="s">
        <v>985</v>
      </c>
      <c r="F741" s="45">
        <v>700</v>
      </c>
      <c r="G741" s="45"/>
      <c r="H741" s="45"/>
      <c r="I741" s="45"/>
      <c r="J741" s="46">
        <f>IF(VLOOKUP($C741,REV!$C:$AA,8,0)-'TRADE IN'!$F741=0,"",(VLOOKUP($C741,REV!$C:$AA,8,0)-'TRADE IN'!$F741))</f>
        <v>5699</v>
      </c>
      <c r="K741" s="46">
        <f>IF(VLOOKUP($C741,REV!$C:$AA,9,0)-'TRADE IN'!$F741=0,"",(VLOOKUP($C741,REV!$C:$AA,9,0)-'TRADE IN'!$F741))</f>
        <v>5699</v>
      </c>
      <c r="L741" s="46">
        <f>IF(VLOOKUP($C741,REV!$C:$AA,10,0)-'TRADE IN'!$F782=0,"",(VLOOKUP($C741,REV!$C:$AA,10,0)-'TRADE IN'!$F741))</f>
        <v>5699</v>
      </c>
      <c r="M741" s="46">
        <f>IF(VLOOKUP($C741,REV!$C:$AA,11,0)-'TRADE IN'!$F782=0,"",(VLOOKUP($C741,REV!$C:$AA,11,0)-'TRADE IN'!$F741))</f>
        <v>5699</v>
      </c>
      <c r="N741" s="46">
        <f>IF(VLOOKUP($C741,REV!$C:$AA,12,0)-'TRADE IN'!$F782=0,"",(VLOOKUP($C741,REV!$C:$AA,12,0)-'TRADE IN'!$F741))</f>
        <v>5699</v>
      </c>
      <c r="O741" s="46">
        <f>IF(VLOOKUP($C741,REV!$C:$AA,13,0)-'TRADE IN'!$F782=0,"",(VLOOKUP($C741,REV!$C:$AA,13,0)-'TRADE IN'!$F741))</f>
        <v>5599</v>
      </c>
      <c r="P741" s="46">
        <f>IF(VLOOKUP($C741,REV!$C:$AA,14,0)-'TRADE IN'!$F782=0,"",(VLOOKUP($C741,REV!$C:$AA,14,0)-'TRADE IN'!$F741))</f>
        <v>5499</v>
      </c>
      <c r="Q741" s="46">
        <f>IF(VLOOKUP($C741,REV!$C:$AA,15,0)-'TRADE IN'!$F782=0,"",(VLOOKUP($C741,REV!$C:$AA,15,0)-'TRADE IN'!$F741))</f>
        <v>5199</v>
      </c>
      <c r="R741" s="46">
        <f>IF(VLOOKUP($C741,REV!$C:$AA,16,0)-'TRADE IN'!$F782=0,"",(VLOOKUP($C741,REV!$C:$AA,16,0)-'TRADE IN'!$F741))</f>
        <v>5599</v>
      </c>
      <c r="S741" s="46">
        <f>IF(VLOOKUP($C741,REV!$C:$AA,17,0)-'TRADE IN'!$F782=0,"",(VLOOKUP($C741,REV!$C:$AA,17,0)-'TRADE IN'!$F741))</f>
        <v>5499</v>
      </c>
      <c r="T741" s="46">
        <f>IF(VLOOKUP($C741,REV!$C:$AA,18,0)-'TRADE IN'!$F782=0,"",(VLOOKUP($C741,REV!$C:$AA,18,0)-'TRADE IN'!$F741))</f>
        <v>5199</v>
      </c>
      <c r="U741" s="46">
        <f>IF(VLOOKUP($C741,REV!$C:$AA,19,0)-'TRADE IN'!$F782=0,"",(VLOOKUP($C741,REV!$C:$AA,19,0)-'TRADE IN'!$F741))</f>
        <v>5199</v>
      </c>
      <c r="V741" s="46">
        <f>IF(VLOOKUP($C741,REV!$C:$AA,20,0)-'TRADE IN'!$F782=0,"",(VLOOKUP($C741,REV!$C:$AA,20,0)-'TRADE IN'!$F741))</f>
        <v>5199</v>
      </c>
      <c r="W741" s="46">
        <f>IF(VLOOKUP($C741,REV!$C:$AA,21,0)-'TRADE IN'!$F782=0,"",(VLOOKUP($C741,REV!$C:$AA,21,0)-'TRADE IN'!$F741))</f>
        <v>5199</v>
      </c>
      <c r="X741" s="46">
        <f>IF(VLOOKUP($C741,REV!$C:$AA,22,0)-'TRADE IN'!$F782=0,"",(VLOOKUP($C741,REV!$C:$AA,22,0)-'TRADE IN'!$F741))</f>
        <v>5099</v>
      </c>
      <c r="Y741" s="46">
        <f>IF(VLOOKUP($C741,REV!$C:$AA,23,0)-'TRADE IN'!$F782=0,"",(VLOOKUP($C741,REV!$C:$AA,23,0)-'TRADE IN'!$F741))</f>
        <v>4099</v>
      </c>
      <c r="Z741" s="46">
        <f>IF(VLOOKUP($C741,REV!$C:$AA,24,0)-'TRADE IN'!$F782=0,"",(VLOOKUP($C741,REV!$C:$AA,24,0)-'TRADE IN'!$F741))</f>
        <v>4099</v>
      </c>
      <c r="AA741" s="46">
        <f>IF(VLOOKUP($C741,REV!$C:$AA,25,0)-'TRADE IN'!$F782=0,"",(VLOOKUP($C741,REV!$C:$AA,25,0)-'TRADE IN'!$F741))</f>
        <v>4099</v>
      </c>
      <c r="AB741" s="46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7"/>
      <c r="AW741" s="48" t="str">
        <f>IF(REV!AW741=0,"",REV!AW741)</f>
        <v>31.03.2026</v>
      </c>
      <c r="AX741" s="159" t="s">
        <v>82</v>
      </c>
    </row>
    <row r="742" spans="1:50" ht="22.5" customHeight="1">
      <c r="A742" s="52" t="s">
        <v>70</v>
      </c>
      <c r="B742" s="41" t="s">
        <v>62</v>
      </c>
      <c r="C742" s="42">
        <v>4017407</v>
      </c>
      <c r="D742" s="44" t="s">
        <v>986</v>
      </c>
      <c r="E742" s="44" t="s">
        <v>987</v>
      </c>
      <c r="F742" s="45"/>
      <c r="G742" s="45"/>
      <c r="H742" s="45"/>
      <c r="I742" s="45"/>
      <c r="J742" s="46">
        <f>IF(VLOOKUP($C742,REV!$C:$AA,8,0)-'TRADE IN'!$F742=0,"",(VLOOKUP($C742,REV!$C:$AA,8,0)-'TRADE IN'!$F742))</f>
        <v>3199</v>
      </c>
      <c r="K742" s="46">
        <f>IF(VLOOKUP($C742,REV!$C:$AA,9,0)-'TRADE IN'!$F742=0,"",(VLOOKUP($C742,REV!$C:$AA,9,0)-'TRADE IN'!$F742))</f>
        <v>3199</v>
      </c>
      <c r="L742" s="46">
        <f>IF(VLOOKUP($C742,REV!$C:$AA,10,0)-'TRADE IN'!$F781=0,"",(VLOOKUP($C742,REV!$C:$AA,10,0)-'TRADE IN'!$F742))</f>
        <v>3199</v>
      </c>
      <c r="M742" s="46">
        <f>IF(VLOOKUP($C742,REV!$C:$AA,11,0)-'TRADE IN'!$F781=0,"",(VLOOKUP($C742,REV!$C:$AA,11,0)-'TRADE IN'!$F742))</f>
        <v>3199</v>
      </c>
      <c r="N742" s="46">
        <f>IF(VLOOKUP($C742,REV!$C:$AA,12,0)-'TRADE IN'!$F781=0,"",(VLOOKUP($C742,REV!$C:$AA,12,0)-'TRADE IN'!$F742))</f>
        <v>3199</v>
      </c>
      <c r="O742" s="46">
        <f>IF(VLOOKUP($C742,REV!$C:$AA,13,0)-'TRADE IN'!$F781=0,"",(VLOOKUP($C742,REV!$C:$AA,13,0)-'TRADE IN'!$F742))</f>
        <v>3099</v>
      </c>
      <c r="P742" s="46">
        <f>IF(VLOOKUP($C742,REV!$C:$AA,14,0)-'TRADE IN'!$F781=0,"",(VLOOKUP($C742,REV!$C:$AA,14,0)-'TRADE IN'!$F742))</f>
        <v>3049</v>
      </c>
      <c r="Q742" s="46">
        <f>IF(VLOOKUP($C742,REV!$C:$AA,15,0)-'TRADE IN'!$F781=0,"",(VLOOKUP($C742,REV!$C:$AA,15,0)-'TRADE IN'!$F742))</f>
        <v>2299</v>
      </c>
      <c r="R742" s="46">
        <f>IF(VLOOKUP($C742,REV!$C:$AA,16,0)-'TRADE IN'!$F781=0,"",(VLOOKUP($C742,REV!$C:$AA,16,0)-'TRADE IN'!$F742))</f>
        <v>3099</v>
      </c>
      <c r="S742" s="46">
        <f>IF(VLOOKUP($C742,REV!$C:$AA,17,0)-'TRADE IN'!$F781=0,"",(VLOOKUP($C742,REV!$C:$AA,17,0)-'TRADE IN'!$F742))</f>
        <v>3049</v>
      </c>
      <c r="T742" s="46">
        <f>IF(VLOOKUP($C742,REV!$C:$AA,18,0)-'TRADE IN'!$F781=0,"",(VLOOKUP($C742,REV!$C:$AA,18,0)-'TRADE IN'!$F742))</f>
        <v>2299</v>
      </c>
      <c r="U742" s="46">
        <f>IF(VLOOKUP($C742,REV!$C:$AA,19,0)-'TRADE IN'!$F781=0,"",(VLOOKUP($C742,REV!$C:$AA,19,0)-'TRADE IN'!$F742))</f>
        <v>2299</v>
      </c>
      <c r="V742" s="46">
        <f>IF(VLOOKUP($C742,REV!$C:$AA,20,0)-'TRADE IN'!$F781=0,"",(VLOOKUP($C742,REV!$C:$AA,20,0)-'TRADE IN'!$F742))</f>
        <v>2299</v>
      </c>
      <c r="W742" s="46">
        <f>IF(VLOOKUP($C742,REV!$C:$AA,21,0)-'TRADE IN'!$F781=0,"",(VLOOKUP($C742,REV!$C:$AA,21,0)-'TRADE IN'!$F742))</f>
        <v>2299</v>
      </c>
      <c r="X742" s="46">
        <f>IF(VLOOKUP($C742,REV!$C:$AA,22,0)-'TRADE IN'!$F781=0,"",(VLOOKUP($C742,REV!$C:$AA,22,0)-'TRADE IN'!$F742))</f>
        <v>2199</v>
      </c>
      <c r="Y742" s="46">
        <f>IF(VLOOKUP($C742,REV!$C:$AA,23,0)-'TRADE IN'!$F781=0,"",(VLOOKUP($C742,REV!$C:$AA,23,0)-'TRADE IN'!$F742))</f>
        <v>1799</v>
      </c>
      <c r="Z742" s="46">
        <f>IF(VLOOKUP($C742,REV!$C:$AA,24,0)-'TRADE IN'!$F781=0,"",(VLOOKUP($C742,REV!$C:$AA,24,0)-'TRADE IN'!$F742))</f>
        <v>1799</v>
      </c>
      <c r="AA742" s="46">
        <f>IF(VLOOKUP($C742,REV!$C:$AA,25,0)-'TRADE IN'!$F781=0,"",(VLOOKUP($C742,REV!$C:$AA,25,0)-'TRADE IN'!$F742))</f>
        <v>1799</v>
      </c>
      <c r="AB742" s="46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7"/>
      <c r="AW742" s="48" t="str">
        <f>IF(REV!AW742=0,"",REV!AW742)</f>
        <v>31.03.2026</v>
      </c>
      <c r="AX742" s="159" t="s">
        <v>82</v>
      </c>
    </row>
    <row r="743" spans="1:50" ht="22.5" customHeight="1">
      <c r="A743" s="52" t="s">
        <v>70</v>
      </c>
      <c r="B743" s="41" t="s">
        <v>62</v>
      </c>
      <c r="C743" s="42">
        <v>4017422</v>
      </c>
      <c r="D743" s="44" t="s">
        <v>986</v>
      </c>
      <c r="E743" s="44" t="s">
        <v>988</v>
      </c>
      <c r="F743" s="45"/>
      <c r="G743" s="45"/>
      <c r="H743" s="45"/>
      <c r="I743" s="45"/>
      <c r="J743" s="46">
        <f>IF(VLOOKUP($C743,REV!$C:$AA,8,0)-'TRADE IN'!$F743=0,"",(VLOOKUP($C743,REV!$C:$AA,8,0)-'TRADE IN'!$F743))</f>
        <v>3199</v>
      </c>
      <c r="K743" s="46">
        <f>IF(VLOOKUP($C743,REV!$C:$AA,9,0)-'TRADE IN'!$F743=0,"",(VLOOKUP($C743,REV!$C:$AA,9,0)-'TRADE IN'!$F743))</f>
        <v>3199</v>
      </c>
      <c r="L743" s="46">
        <f>IF(VLOOKUP($C743,REV!$C:$AA,10,0)-'TRADE IN'!$F782=0,"",(VLOOKUP($C743,REV!$C:$AA,10,0)-'TRADE IN'!$F743))</f>
        <v>3199</v>
      </c>
      <c r="M743" s="46">
        <f>IF(VLOOKUP($C743,REV!$C:$AA,11,0)-'TRADE IN'!$F782=0,"",(VLOOKUP($C743,REV!$C:$AA,11,0)-'TRADE IN'!$F743))</f>
        <v>3199</v>
      </c>
      <c r="N743" s="46">
        <f>IF(VLOOKUP($C743,REV!$C:$AA,12,0)-'TRADE IN'!$F782=0,"",(VLOOKUP($C743,REV!$C:$AA,12,0)-'TRADE IN'!$F743))</f>
        <v>3199</v>
      </c>
      <c r="O743" s="46">
        <f>IF(VLOOKUP($C743,REV!$C:$AA,13,0)-'TRADE IN'!$F782=0,"",(VLOOKUP($C743,REV!$C:$AA,13,0)-'TRADE IN'!$F743))</f>
        <v>3099</v>
      </c>
      <c r="P743" s="46">
        <f>IF(VLOOKUP($C743,REV!$C:$AA,14,0)-'TRADE IN'!$F782=0,"",(VLOOKUP($C743,REV!$C:$AA,14,0)-'TRADE IN'!$F743))</f>
        <v>3049</v>
      </c>
      <c r="Q743" s="46">
        <f>IF(VLOOKUP($C743,REV!$C:$AA,15,0)-'TRADE IN'!$F782=0,"",(VLOOKUP($C743,REV!$C:$AA,15,0)-'TRADE IN'!$F743))</f>
        <v>2299</v>
      </c>
      <c r="R743" s="46">
        <f>IF(VLOOKUP($C743,REV!$C:$AA,16,0)-'TRADE IN'!$F782=0,"",(VLOOKUP($C743,REV!$C:$AA,16,0)-'TRADE IN'!$F743))</f>
        <v>3099</v>
      </c>
      <c r="S743" s="46">
        <f>IF(VLOOKUP($C743,REV!$C:$AA,17,0)-'TRADE IN'!$F782=0,"",(VLOOKUP($C743,REV!$C:$AA,17,0)-'TRADE IN'!$F743))</f>
        <v>3049</v>
      </c>
      <c r="T743" s="46">
        <f>IF(VLOOKUP($C743,REV!$C:$AA,18,0)-'TRADE IN'!$F782=0,"",(VLOOKUP($C743,REV!$C:$AA,18,0)-'TRADE IN'!$F743))</f>
        <v>2299</v>
      </c>
      <c r="U743" s="46">
        <f>IF(VLOOKUP($C743,REV!$C:$AA,19,0)-'TRADE IN'!$F782=0,"",(VLOOKUP($C743,REV!$C:$AA,19,0)-'TRADE IN'!$F743))</f>
        <v>2299</v>
      </c>
      <c r="V743" s="46">
        <f>IF(VLOOKUP($C743,REV!$C:$AA,20,0)-'TRADE IN'!$F782=0,"",(VLOOKUP($C743,REV!$C:$AA,20,0)-'TRADE IN'!$F743))</f>
        <v>2299</v>
      </c>
      <c r="W743" s="46">
        <f>IF(VLOOKUP($C743,REV!$C:$AA,21,0)-'TRADE IN'!$F782=0,"",(VLOOKUP($C743,REV!$C:$AA,21,0)-'TRADE IN'!$F743))</f>
        <v>2299</v>
      </c>
      <c r="X743" s="46">
        <f>IF(VLOOKUP($C743,REV!$C:$AA,22,0)-'TRADE IN'!$F782=0,"",(VLOOKUP($C743,REV!$C:$AA,22,0)-'TRADE IN'!$F743))</f>
        <v>2199</v>
      </c>
      <c r="Y743" s="46">
        <f>IF(VLOOKUP($C743,REV!$C:$AA,23,0)-'TRADE IN'!$F782=0,"",(VLOOKUP($C743,REV!$C:$AA,23,0)-'TRADE IN'!$F743))</f>
        <v>1799</v>
      </c>
      <c r="Z743" s="46">
        <f>IF(VLOOKUP($C743,REV!$C:$AA,24,0)-'TRADE IN'!$F782=0,"",(VLOOKUP($C743,REV!$C:$AA,24,0)-'TRADE IN'!$F743))</f>
        <v>1799</v>
      </c>
      <c r="AA743" s="46">
        <f>IF(VLOOKUP($C743,REV!$C:$AA,25,0)-'TRADE IN'!$F782=0,"",(VLOOKUP($C743,REV!$C:$AA,25,0)-'TRADE IN'!$F743))</f>
        <v>1799</v>
      </c>
      <c r="AB743" s="46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7"/>
      <c r="AW743" s="48" t="str">
        <f>IF(REV!AW743=0,"",REV!AW743)</f>
        <v>31.03.2026</v>
      </c>
      <c r="AX743" s="159" t="s">
        <v>82</v>
      </c>
    </row>
    <row r="744" spans="1:50" ht="22.5" customHeight="1">
      <c r="A744" s="52" t="s">
        <v>70</v>
      </c>
      <c r="B744" s="41" t="s">
        <v>62</v>
      </c>
      <c r="C744" s="42">
        <v>4017391</v>
      </c>
      <c r="D744" s="44" t="s">
        <v>989</v>
      </c>
      <c r="E744" s="44" t="s">
        <v>990</v>
      </c>
      <c r="F744" s="45">
        <v>500</v>
      </c>
      <c r="G744" s="45"/>
      <c r="H744" s="45"/>
      <c r="I744" s="45"/>
      <c r="J744" s="46">
        <f>IF(VLOOKUP($C744,REV!$C:$AA,8,0)-'TRADE IN'!$F744=0,"",(VLOOKUP($C744,REV!$C:$AA,8,0)-'TRADE IN'!$F744))</f>
        <v>2999</v>
      </c>
      <c r="K744" s="46">
        <f>IF(VLOOKUP($C744,REV!$C:$AA,9,0)-'TRADE IN'!$F744=0,"",(VLOOKUP($C744,REV!$C:$AA,9,0)-'TRADE IN'!$F744))</f>
        <v>2999</v>
      </c>
      <c r="L744" s="46">
        <f>IF(VLOOKUP($C744,REV!$C:$AA,10,0)-'TRADE IN'!$F783=0,"",(VLOOKUP($C744,REV!$C:$AA,10,0)-'TRADE IN'!$F744))</f>
        <v>2999</v>
      </c>
      <c r="M744" s="46">
        <f>IF(VLOOKUP($C744,REV!$C:$AA,11,0)-'TRADE IN'!$F783=0,"",(VLOOKUP($C744,REV!$C:$AA,11,0)-'TRADE IN'!$F744))</f>
        <v>2999</v>
      </c>
      <c r="N744" s="46">
        <f>IF(VLOOKUP($C744,REV!$C:$AA,12,0)-'TRADE IN'!$F783=0,"",(VLOOKUP($C744,REV!$C:$AA,12,0)-'TRADE IN'!$F744))</f>
        <v>2999</v>
      </c>
      <c r="O744" s="46">
        <f>IF(VLOOKUP($C744,REV!$C:$AA,13,0)-'TRADE IN'!$F783=0,"",(VLOOKUP($C744,REV!$C:$AA,13,0)-'TRADE IN'!$F744))</f>
        <v>2899</v>
      </c>
      <c r="P744" s="46">
        <f>IF(VLOOKUP($C744,REV!$C:$AA,14,0)-'TRADE IN'!$F783=0,"",(VLOOKUP($C744,REV!$C:$AA,14,0)-'TRADE IN'!$F744))</f>
        <v>2799</v>
      </c>
      <c r="Q744" s="46">
        <f>IF(VLOOKUP($C744,REV!$C:$AA,15,0)-'TRADE IN'!$F783=0,"",(VLOOKUP($C744,REV!$C:$AA,15,0)-'TRADE IN'!$F744))</f>
        <v>1999</v>
      </c>
      <c r="R744" s="46">
        <f>IF(VLOOKUP($C744,REV!$C:$AA,16,0)-'TRADE IN'!$F783=0,"",(VLOOKUP($C744,REV!$C:$AA,16,0)-'TRADE IN'!$F744))</f>
        <v>2899</v>
      </c>
      <c r="S744" s="46">
        <f>IF(VLOOKUP($C744,REV!$C:$AA,17,0)-'TRADE IN'!$F783=0,"",(VLOOKUP($C744,REV!$C:$AA,17,0)-'TRADE IN'!$F744))</f>
        <v>2799</v>
      </c>
      <c r="T744" s="46">
        <f>IF(VLOOKUP($C744,REV!$C:$AA,18,0)-'TRADE IN'!$F783=0,"",(VLOOKUP($C744,REV!$C:$AA,18,0)-'TRADE IN'!$F744))</f>
        <v>1999</v>
      </c>
      <c r="U744" s="46">
        <f>IF(VLOOKUP($C744,REV!$C:$AA,19,0)-'TRADE IN'!$F783=0,"",(VLOOKUP($C744,REV!$C:$AA,19,0)-'TRADE IN'!$F744))</f>
        <v>1999</v>
      </c>
      <c r="V744" s="46">
        <f>IF(VLOOKUP($C744,REV!$C:$AA,20,0)-'TRADE IN'!$F783=0,"",(VLOOKUP($C744,REV!$C:$AA,20,0)-'TRADE IN'!$F744))</f>
        <v>1999</v>
      </c>
      <c r="W744" s="46">
        <f>IF(VLOOKUP($C744,REV!$C:$AA,21,0)-'TRADE IN'!$F783=0,"",(VLOOKUP($C744,REV!$C:$AA,21,0)-'TRADE IN'!$F744))</f>
        <v>1999</v>
      </c>
      <c r="X744" s="46">
        <f>IF(VLOOKUP($C744,REV!$C:$AA,22,0)-'TRADE IN'!$F783=0,"",(VLOOKUP($C744,REV!$C:$AA,22,0)-'TRADE IN'!$F744))</f>
        <v>1899</v>
      </c>
      <c r="Y744" s="46">
        <f>IF(VLOOKUP($C744,REV!$C:$AA,23,0)-'TRADE IN'!$F783=0,"",(VLOOKUP($C744,REV!$C:$AA,23,0)-'TRADE IN'!$F744))</f>
        <v>1799</v>
      </c>
      <c r="Z744" s="46">
        <f>IF(VLOOKUP($C744,REV!$C:$AA,24,0)-'TRADE IN'!$F783=0,"",(VLOOKUP($C744,REV!$C:$AA,24,0)-'TRADE IN'!$F744))</f>
        <v>1799</v>
      </c>
      <c r="AA744" s="46">
        <f>IF(VLOOKUP($C744,REV!$C:$AA,25,0)-'TRADE IN'!$F783=0,"",(VLOOKUP($C744,REV!$C:$AA,25,0)-'TRADE IN'!$F744))</f>
        <v>1799</v>
      </c>
      <c r="AB744" s="46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7"/>
      <c r="AW744" s="48" t="str">
        <f>IF(REV!AW744=0,"",REV!AW744)</f>
        <v>31.03.2026</v>
      </c>
      <c r="AX744" s="159" t="s">
        <v>82</v>
      </c>
    </row>
    <row r="745" spans="1:50" ht="22.5" customHeight="1">
      <c r="A745" s="52" t="s">
        <v>70</v>
      </c>
      <c r="B745" s="41" t="s">
        <v>62</v>
      </c>
      <c r="C745" s="42">
        <v>4017406</v>
      </c>
      <c r="D745" s="44" t="s">
        <v>989</v>
      </c>
      <c r="E745" s="44" t="s">
        <v>991</v>
      </c>
      <c r="F745" s="45">
        <v>500</v>
      </c>
      <c r="G745" s="45"/>
      <c r="H745" s="45"/>
      <c r="I745" s="45"/>
      <c r="J745" s="46">
        <f>IF(VLOOKUP($C745,REV!$C:$AA,8,0)-'TRADE IN'!$F745=0,"",(VLOOKUP($C745,REV!$C:$AA,8,0)-'TRADE IN'!$F745))</f>
        <v>2999</v>
      </c>
      <c r="K745" s="46">
        <f>IF(VLOOKUP($C745,REV!$C:$AA,9,0)-'TRADE IN'!$F745=0,"",(VLOOKUP($C745,REV!$C:$AA,9,0)-'TRADE IN'!$F745))</f>
        <v>2999</v>
      </c>
      <c r="L745" s="46">
        <f>IF(VLOOKUP($C745,REV!$C:$AA,10,0)-'TRADE IN'!$F784=0,"",(VLOOKUP($C745,REV!$C:$AA,10,0)-'TRADE IN'!$F745))</f>
        <v>2999</v>
      </c>
      <c r="M745" s="46">
        <f>IF(VLOOKUP($C745,REV!$C:$AA,11,0)-'TRADE IN'!$F784=0,"",(VLOOKUP($C745,REV!$C:$AA,11,0)-'TRADE IN'!$F745))</f>
        <v>2999</v>
      </c>
      <c r="N745" s="46">
        <f>IF(VLOOKUP($C745,REV!$C:$AA,12,0)-'TRADE IN'!$F784=0,"",(VLOOKUP($C745,REV!$C:$AA,12,0)-'TRADE IN'!$F745))</f>
        <v>2999</v>
      </c>
      <c r="O745" s="46">
        <f>IF(VLOOKUP($C745,REV!$C:$AA,13,0)-'TRADE IN'!$F784=0,"",(VLOOKUP($C745,REV!$C:$AA,13,0)-'TRADE IN'!$F745))</f>
        <v>2899</v>
      </c>
      <c r="P745" s="46">
        <f>IF(VLOOKUP($C745,REV!$C:$AA,14,0)-'TRADE IN'!$F784=0,"",(VLOOKUP($C745,REV!$C:$AA,14,0)-'TRADE IN'!$F745))</f>
        <v>2799</v>
      </c>
      <c r="Q745" s="46">
        <f>IF(VLOOKUP($C745,REV!$C:$AA,15,0)-'TRADE IN'!$F784=0,"",(VLOOKUP($C745,REV!$C:$AA,15,0)-'TRADE IN'!$F745))</f>
        <v>1999</v>
      </c>
      <c r="R745" s="46">
        <f>IF(VLOOKUP($C745,REV!$C:$AA,16,0)-'TRADE IN'!$F784=0,"",(VLOOKUP($C745,REV!$C:$AA,16,0)-'TRADE IN'!$F745))</f>
        <v>2899</v>
      </c>
      <c r="S745" s="46">
        <f>IF(VLOOKUP($C745,REV!$C:$AA,17,0)-'TRADE IN'!$F784=0,"",(VLOOKUP($C745,REV!$C:$AA,17,0)-'TRADE IN'!$F745))</f>
        <v>2799</v>
      </c>
      <c r="T745" s="46">
        <f>IF(VLOOKUP($C745,REV!$C:$AA,18,0)-'TRADE IN'!$F784=0,"",(VLOOKUP($C745,REV!$C:$AA,18,0)-'TRADE IN'!$F745))</f>
        <v>1999</v>
      </c>
      <c r="U745" s="46">
        <f>IF(VLOOKUP($C745,REV!$C:$AA,19,0)-'TRADE IN'!$F784=0,"",(VLOOKUP($C745,REV!$C:$AA,19,0)-'TRADE IN'!$F745))</f>
        <v>1999</v>
      </c>
      <c r="V745" s="46">
        <f>IF(VLOOKUP($C745,REV!$C:$AA,20,0)-'TRADE IN'!$F784=0,"",(VLOOKUP($C745,REV!$C:$AA,20,0)-'TRADE IN'!$F745))</f>
        <v>1999</v>
      </c>
      <c r="W745" s="46">
        <f>IF(VLOOKUP($C745,REV!$C:$AA,21,0)-'TRADE IN'!$F784=0,"",(VLOOKUP($C745,REV!$C:$AA,21,0)-'TRADE IN'!$F745))</f>
        <v>1999</v>
      </c>
      <c r="X745" s="46">
        <f>IF(VLOOKUP($C745,REV!$C:$AA,22,0)-'TRADE IN'!$F784=0,"",(VLOOKUP($C745,REV!$C:$AA,22,0)-'TRADE IN'!$F745))</f>
        <v>1899</v>
      </c>
      <c r="Y745" s="46">
        <f>IF(VLOOKUP($C745,REV!$C:$AA,23,0)-'TRADE IN'!$F784=0,"",(VLOOKUP($C745,REV!$C:$AA,23,0)-'TRADE IN'!$F745))</f>
        <v>1799</v>
      </c>
      <c r="Z745" s="46">
        <f>IF(VLOOKUP($C745,REV!$C:$AA,24,0)-'TRADE IN'!$F784=0,"",(VLOOKUP($C745,REV!$C:$AA,24,0)-'TRADE IN'!$F745))</f>
        <v>1799</v>
      </c>
      <c r="AA745" s="46">
        <f>IF(VLOOKUP($C745,REV!$C:$AA,25,0)-'TRADE IN'!$F784=0,"",(VLOOKUP($C745,REV!$C:$AA,25,0)-'TRADE IN'!$F745))</f>
        <v>1799</v>
      </c>
      <c r="AB745" s="46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7"/>
      <c r="AW745" s="48" t="str">
        <f>IF(REV!AW745=0,"",REV!AW745)</f>
        <v>31.03.2026</v>
      </c>
      <c r="AX745" s="159" t="s">
        <v>82</v>
      </c>
    </row>
    <row r="746" spans="1:50" ht="22.5" customHeight="1">
      <c r="A746" s="52" t="s">
        <v>70</v>
      </c>
      <c r="B746" s="41" t="s">
        <v>62</v>
      </c>
      <c r="C746" s="42">
        <v>4017411</v>
      </c>
      <c r="D746" s="44" t="s">
        <v>989</v>
      </c>
      <c r="E746" s="44" t="s">
        <v>992</v>
      </c>
      <c r="F746" s="45">
        <v>500</v>
      </c>
      <c r="G746" s="45"/>
      <c r="H746" s="45"/>
      <c r="I746" s="45"/>
      <c r="J746" s="46">
        <f>IF(VLOOKUP($C746,REV!$C:$AA,8,0)-'TRADE IN'!$F746=0,"",(VLOOKUP($C746,REV!$C:$AA,8,0)-'TRADE IN'!$F746))</f>
        <v>2999</v>
      </c>
      <c r="K746" s="46">
        <f>IF(VLOOKUP($C746,REV!$C:$AA,9,0)-'TRADE IN'!$F746=0,"",(VLOOKUP($C746,REV!$C:$AA,9,0)-'TRADE IN'!$F746))</f>
        <v>2999</v>
      </c>
      <c r="L746" s="46">
        <f>IF(VLOOKUP($C746,REV!$C:$AA,10,0)-'TRADE IN'!$F785=0,"",(VLOOKUP($C746,REV!$C:$AA,10,0)-'TRADE IN'!$F746))</f>
        <v>2999</v>
      </c>
      <c r="M746" s="46">
        <f>IF(VLOOKUP($C746,REV!$C:$AA,11,0)-'TRADE IN'!$F785=0,"",(VLOOKUP($C746,REV!$C:$AA,11,0)-'TRADE IN'!$F746))</f>
        <v>2999</v>
      </c>
      <c r="N746" s="46">
        <f>IF(VLOOKUP($C746,REV!$C:$AA,12,0)-'TRADE IN'!$F785=0,"",(VLOOKUP($C746,REV!$C:$AA,12,0)-'TRADE IN'!$F746))</f>
        <v>2999</v>
      </c>
      <c r="O746" s="46">
        <f>IF(VLOOKUP($C746,REV!$C:$AA,13,0)-'TRADE IN'!$F785=0,"",(VLOOKUP($C746,REV!$C:$AA,13,0)-'TRADE IN'!$F746))</f>
        <v>2899</v>
      </c>
      <c r="P746" s="46">
        <f>IF(VLOOKUP($C746,REV!$C:$AA,14,0)-'TRADE IN'!$F785=0,"",(VLOOKUP($C746,REV!$C:$AA,14,0)-'TRADE IN'!$F746))</f>
        <v>2799</v>
      </c>
      <c r="Q746" s="46">
        <f>IF(VLOOKUP($C746,REV!$C:$AA,15,0)-'TRADE IN'!$F785=0,"",(VLOOKUP($C746,REV!$C:$AA,15,0)-'TRADE IN'!$F746))</f>
        <v>1999</v>
      </c>
      <c r="R746" s="46">
        <f>IF(VLOOKUP($C746,REV!$C:$AA,16,0)-'TRADE IN'!$F785=0,"",(VLOOKUP($C746,REV!$C:$AA,16,0)-'TRADE IN'!$F746))</f>
        <v>2899</v>
      </c>
      <c r="S746" s="46">
        <f>IF(VLOOKUP($C746,REV!$C:$AA,17,0)-'TRADE IN'!$F785=0,"",(VLOOKUP($C746,REV!$C:$AA,17,0)-'TRADE IN'!$F746))</f>
        <v>2799</v>
      </c>
      <c r="T746" s="46">
        <f>IF(VLOOKUP($C746,REV!$C:$AA,18,0)-'TRADE IN'!$F785=0,"",(VLOOKUP($C746,REV!$C:$AA,18,0)-'TRADE IN'!$F746))</f>
        <v>1999</v>
      </c>
      <c r="U746" s="46">
        <f>IF(VLOOKUP($C746,REV!$C:$AA,19,0)-'TRADE IN'!$F785=0,"",(VLOOKUP($C746,REV!$C:$AA,19,0)-'TRADE IN'!$F746))</f>
        <v>1999</v>
      </c>
      <c r="V746" s="46">
        <f>IF(VLOOKUP($C746,REV!$C:$AA,20,0)-'TRADE IN'!$F785=0,"",(VLOOKUP($C746,REV!$C:$AA,20,0)-'TRADE IN'!$F746))</f>
        <v>1999</v>
      </c>
      <c r="W746" s="46">
        <f>IF(VLOOKUP($C746,REV!$C:$AA,21,0)-'TRADE IN'!$F785=0,"",(VLOOKUP($C746,REV!$C:$AA,21,0)-'TRADE IN'!$F746))</f>
        <v>1999</v>
      </c>
      <c r="X746" s="46">
        <f>IF(VLOOKUP($C746,REV!$C:$AA,22,0)-'TRADE IN'!$F785=0,"",(VLOOKUP($C746,REV!$C:$AA,22,0)-'TRADE IN'!$F746))</f>
        <v>1899</v>
      </c>
      <c r="Y746" s="46">
        <f>IF(VLOOKUP($C746,REV!$C:$AA,23,0)-'TRADE IN'!$F785=0,"",(VLOOKUP($C746,REV!$C:$AA,23,0)-'TRADE IN'!$F746))</f>
        <v>1799</v>
      </c>
      <c r="Z746" s="46">
        <f>IF(VLOOKUP($C746,REV!$C:$AA,24,0)-'TRADE IN'!$F785=0,"",(VLOOKUP($C746,REV!$C:$AA,24,0)-'TRADE IN'!$F746))</f>
        <v>1799</v>
      </c>
      <c r="AA746" s="46">
        <f>IF(VLOOKUP($C746,REV!$C:$AA,25,0)-'TRADE IN'!$F785=0,"",(VLOOKUP($C746,REV!$C:$AA,25,0)-'TRADE IN'!$F746))</f>
        <v>1799</v>
      </c>
      <c r="AB746" s="46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7"/>
      <c r="AW746" s="48" t="str">
        <f>IF(REV!AW746=0,"",REV!AW746)</f>
        <v>31.03.2026</v>
      </c>
      <c r="AX746" s="159" t="s">
        <v>82</v>
      </c>
    </row>
    <row r="747" spans="1:50" ht="22.5" customHeight="1">
      <c r="A747" s="52" t="s">
        <v>70</v>
      </c>
      <c r="B747" s="41" t="s">
        <v>62</v>
      </c>
      <c r="C747" s="42">
        <v>4017421</v>
      </c>
      <c r="D747" s="44" t="s">
        <v>989</v>
      </c>
      <c r="E747" s="44" t="s">
        <v>993</v>
      </c>
      <c r="F747" s="45">
        <v>500</v>
      </c>
      <c r="G747" s="45"/>
      <c r="H747" s="45"/>
      <c r="I747" s="45"/>
      <c r="J747" s="46">
        <f>IF(VLOOKUP($C747,REV!$C:$AA,8,0)-'TRADE IN'!$F747=0,"",(VLOOKUP($C747,REV!$C:$AA,8,0)-'TRADE IN'!$F747))</f>
        <v>2999</v>
      </c>
      <c r="K747" s="46">
        <f>IF(VLOOKUP($C747,REV!$C:$AA,9,0)-'TRADE IN'!$F747=0,"",(VLOOKUP($C747,REV!$C:$AA,9,0)-'TRADE IN'!$F747))</f>
        <v>2999</v>
      </c>
      <c r="L747" s="46">
        <f>IF(VLOOKUP($C747,REV!$C:$AA,10,0)-'TRADE IN'!$F786=0,"",(VLOOKUP($C747,REV!$C:$AA,10,0)-'TRADE IN'!$F747))</f>
        <v>2999</v>
      </c>
      <c r="M747" s="46">
        <f>IF(VLOOKUP($C747,REV!$C:$AA,11,0)-'TRADE IN'!$F786=0,"",(VLOOKUP($C747,REV!$C:$AA,11,0)-'TRADE IN'!$F747))</f>
        <v>2999</v>
      </c>
      <c r="N747" s="46">
        <f>IF(VLOOKUP($C747,REV!$C:$AA,12,0)-'TRADE IN'!$F786=0,"",(VLOOKUP($C747,REV!$C:$AA,12,0)-'TRADE IN'!$F747))</f>
        <v>2999</v>
      </c>
      <c r="O747" s="46">
        <f>IF(VLOOKUP($C747,REV!$C:$AA,13,0)-'TRADE IN'!$F786=0,"",(VLOOKUP($C747,REV!$C:$AA,13,0)-'TRADE IN'!$F747))</f>
        <v>2899</v>
      </c>
      <c r="P747" s="46">
        <f>IF(VLOOKUP($C747,REV!$C:$AA,14,0)-'TRADE IN'!$F786=0,"",(VLOOKUP($C747,REV!$C:$AA,14,0)-'TRADE IN'!$F747))</f>
        <v>2799</v>
      </c>
      <c r="Q747" s="46">
        <f>IF(VLOOKUP($C747,REV!$C:$AA,15,0)-'TRADE IN'!$F786=0,"",(VLOOKUP($C747,REV!$C:$AA,15,0)-'TRADE IN'!$F747))</f>
        <v>1999</v>
      </c>
      <c r="R747" s="46">
        <f>IF(VLOOKUP($C747,REV!$C:$AA,16,0)-'TRADE IN'!$F786=0,"",(VLOOKUP($C747,REV!$C:$AA,16,0)-'TRADE IN'!$F747))</f>
        <v>2899</v>
      </c>
      <c r="S747" s="46">
        <f>IF(VLOOKUP($C747,REV!$C:$AA,17,0)-'TRADE IN'!$F786=0,"",(VLOOKUP($C747,REV!$C:$AA,17,0)-'TRADE IN'!$F747))</f>
        <v>2799</v>
      </c>
      <c r="T747" s="46">
        <f>IF(VLOOKUP($C747,REV!$C:$AA,18,0)-'TRADE IN'!$F786=0,"",(VLOOKUP($C747,REV!$C:$AA,18,0)-'TRADE IN'!$F747))</f>
        <v>1999</v>
      </c>
      <c r="U747" s="46">
        <f>IF(VLOOKUP($C747,REV!$C:$AA,19,0)-'TRADE IN'!$F786=0,"",(VLOOKUP($C747,REV!$C:$AA,19,0)-'TRADE IN'!$F747))</f>
        <v>1999</v>
      </c>
      <c r="V747" s="46">
        <f>IF(VLOOKUP($C747,REV!$C:$AA,20,0)-'TRADE IN'!$F786=0,"",(VLOOKUP($C747,REV!$C:$AA,20,0)-'TRADE IN'!$F747))</f>
        <v>1999</v>
      </c>
      <c r="W747" s="46">
        <f>IF(VLOOKUP($C747,REV!$C:$AA,21,0)-'TRADE IN'!$F786=0,"",(VLOOKUP($C747,REV!$C:$AA,21,0)-'TRADE IN'!$F747))</f>
        <v>1999</v>
      </c>
      <c r="X747" s="46">
        <f>IF(VLOOKUP($C747,REV!$C:$AA,22,0)-'TRADE IN'!$F786=0,"",(VLOOKUP($C747,REV!$C:$AA,22,0)-'TRADE IN'!$F747))</f>
        <v>1899</v>
      </c>
      <c r="Y747" s="46">
        <f>IF(VLOOKUP($C747,REV!$C:$AA,23,0)-'TRADE IN'!$F786=0,"",(VLOOKUP($C747,REV!$C:$AA,23,0)-'TRADE IN'!$F747))</f>
        <v>1799</v>
      </c>
      <c r="Z747" s="46">
        <f>IF(VLOOKUP($C747,REV!$C:$AA,24,0)-'TRADE IN'!$F786=0,"",(VLOOKUP($C747,REV!$C:$AA,24,0)-'TRADE IN'!$F747))</f>
        <v>1799</v>
      </c>
      <c r="AA747" s="46">
        <f>IF(VLOOKUP($C747,REV!$C:$AA,25,0)-'TRADE IN'!$F786=0,"",(VLOOKUP($C747,REV!$C:$AA,25,0)-'TRADE IN'!$F747))</f>
        <v>1799</v>
      </c>
      <c r="AB747" s="46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7"/>
      <c r="AW747" s="48" t="str">
        <f>IF(REV!AW747=0,"",REV!AW747)</f>
        <v>31.03.2026</v>
      </c>
      <c r="AX747" s="159" t="s">
        <v>82</v>
      </c>
    </row>
    <row r="748" spans="1:50" ht="22.5" customHeight="1">
      <c r="A748" s="52" t="s">
        <v>70</v>
      </c>
      <c r="B748" s="41" t="s">
        <v>62</v>
      </c>
      <c r="C748" s="42">
        <v>4017678</v>
      </c>
      <c r="D748" s="66" t="s">
        <v>994</v>
      </c>
      <c r="E748" s="44" t="s">
        <v>995</v>
      </c>
      <c r="F748" s="45">
        <v>500</v>
      </c>
      <c r="G748" s="45"/>
      <c r="H748" s="45"/>
      <c r="I748" s="45"/>
      <c r="J748" s="46">
        <f>IF(VLOOKUP($C748,REV!$C:$AA,8,0)-'TRADE IN'!$F748=0,"",(VLOOKUP($C748,REV!$C:$AA,8,0)-'TRADE IN'!$F748))</f>
        <v>6099</v>
      </c>
      <c r="K748" s="46">
        <f>IF(VLOOKUP($C748,REV!$C:$AA,9,0)-'TRADE IN'!$F748=0,"",(VLOOKUP($C748,REV!$C:$AA,9,0)-'TRADE IN'!$F748))</f>
        <v>6099</v>
      </c>
      <c r="L748" s="46">
        <f>IF(VLOOKUP($C748,REV!$C:$AA,10,0)-'TRADE IN'!$F787=0,"",(VLOOKUP($C748,REV!$C:$AA,10,0)-'TRADE IN'!$F748))</f>
        <v>6099</v>
      </c>
      <c r="M748" s="46">
        <f>IF(VLOOKUP($C748,REV!$C:$AA,11,0)-'TRADE IN'!$F787=0,"",(VLOOKUP($C748,REV!$C:$AA,11,0)-'TRADE IN'!$F748))</f>
        <v>6099</v>
      </c>
      <c r="N748" s="46">
        <f>IF(VLOOKUP($C748,REV!$C:$AA,12,0)-'TRADE IN'!$F787=0,"",(VLOOKUP($C748,REV!$C:$AA,12,0)-'TRADE IN'!$F748))</f>
        <v>6099</v>
      </c>
      <c r="O748" s="46">
        <f>IF(VLOOKUP($C748,REV!$C:$AA,13,0)-'TRADE IN'!$F787=0,"",(VLOOKUP($C748,REV!$C:$AA,13,0)-'TRADE IN'!$F748))</f>
        <v>5999</v>
      </c>
      <c r="P748" s="46">
        <f>IF(VLOOKUP($C748,REV!$C:$AA,14,0)-'TRADE IN'!$F787=0,"",(VLOOKUP($C748,REV!$C:$AA,14,0)-'TRADE IN'!$F748))</f>
        <v>5899</v>
      </c>
      <c r="Q748" s="46">
        <f>IF(VLOOKUP($C748,REV!$C:$AA,15,0)-'TRADE IN'!$F787=0,"",(VLOOKUP($C748,REV!$C:$AA,15,0)-'TRADE IN'!$F748))</f>
        <v>5499</v>
      </c>
      <c r="R748" s="46">
        <f>IF(VLOOKUP($C748,REV!$C:$AA,16,0)-'TRADE IN'!$F787=0,"",(VLOOKUP($C748,REV!$C:$AA,16,0)-'TRADE IN'!$F748))</f>
        <v>5999</v>
      </c>
      <c r="S748" s="46">
        <f>IF(VLOOKUP($C748,REV!$C:$AA,17,0)-'TRADE IN'!$F787=0,"",(VLOOKUP($C748,REV!$C:$AA,17,0)-'TRADE IN'!$F748))</f>
        <v>5899</v>
      </c>
      <c r="T748" s="46">
        <f>IF(VLOOKUP($C748,REV!$C:$AA,18,0)-'TRADE IN'!$F787=0,"",(VLOOKUP($C748,REV!$C:$AA,18,0)-'TRADE IN'!$F748))</f>
        <v>5499</v>
      </c>
      <c r="U748" s="46">
        <f>IF(VLOOKUP($C748,REV!$C:$AA,19,0)-'TRADE IN'!$F787=0,"",(VLOOKUP($C748,REV!$C:$AA,19,0)-'TRADE IN'!$F748))</f>
        <v>5499</v>
      </c>
      <c r="V748" s="46">
        <f>IF(VLOOKUP($C748,REV!$C:$AA,20,0)-'TRADE IN'!$F787=0,"",(VLOOKUP($C748,REV!$C:$AA,20,0)-'TRADE IN'!$F748))</f>
        <v>5499</v>
      </c>
      <c r="W748" s="46">
        <f>IF(VLOOKUP($C748,REV!$C:$AA,21,0)-'TRADE IN'!$F787=0,"",(VLOOKUP($C748,REV!$C:$AA,21,0)-'TRADE IN'!$F748))</f>
        <v>5499</v>
      </c>
      <c r="X748" s="46">
        <f>IF(VLOOKUP($C748,REV!$C:$AA,22,0)-'TRADE IN'!$F787=0,"",(VLOOKUP($C748,REV!$C:$AA,22,0)-'TRADE IN'!$F748))</f>
        <v>5399</v>
      </c>
      <c r="Y748" s="46">
        <f>IF(VLOOKUP($C748,REV!$C:$AA,23,0)-'TRADE IN'!$F787=0,"",(VLOOKUP($C748,REV!$C:$AA,23,0)-'TRADE IN'!$F748))</f>
        <v>3499</v>
      </c>
      <c r="Z748" s="46">
        <f>IF(VLOOKUP($C748,REV!$C:$AA,24,0)-'TRADE IN'!$F787=0,"",(VLOOKUP($C748,REV!$C:$AA,24,0)-'TRADE IN'!$F748))</f>
        <v>3499</v>
      </c>
      <c r="AA748" s="46">
        <f>IF(VLOOKUP($C748,REV!$C:$AA,25,0)-'TRADE IN'!$F787=0,"",(VLOOKUP($C748,REV!$C:$AA,25,0)-'TRADE IN'!$F748))</f>
        <v>3499</v>
      </c>
      <c r="AB748" s="46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7"/>
      <c r="AW748" s="48" t="str">
        <f>IF(REV!AW748=0,"",REV!AW748)</f>
        <v>31.03.2026</v>
      </c>
      <c r="AX748" s="159" t="s">
        <v>82</v>
      </c>
    </row>
    <row r="749" spans="1:50" ht="22.5" customHeight="1">
      <c r="A749" s="52" t="s">
        <v>70</v>
      </c>
      <c r="B749" s="41" t="s">
        <v>62</v>
      </c>
      <c r="C749" s="42">
        <v>4017679</v>
      </c>
      <c r="D749" s="66" t="s">
        <v>994</v>
      </c>
      <c r="E749" s="44" t="s">
        <v>996</v>
      </c>
      <c r="F749" s="45">
        <v>500</v>
      </c>
      <c r="G749" s="45"/>
      <c r="H749" s="45"/>
      <c r="I749" s="45"/>
      <c r="J749" s="46">
        <f>IF(VLOOKUP($C749,REV!$C:$AA,8,0)-'TRADE IN'!$F749=0,"",(VLOOKUP($C749,REV!$C:$AA,8,0)-'TRADE IN'!$F749))</f>
        <v>6099</v>
      </c>
      <c r="K749" s="46">
        <f>IF(VLOOKUP($C749,REV!$C:$AA,9,0)-'TRADE IN'!$F749=0,"",(VLOOKUP($C749,REV!$C:$AA,9,0)-'TRADE IN'!$F749))</f>
        <v>6099</v>
      </c>
      <c r="L749" s="46">
        <f>IF(VLOOKUP($C749,REV!$C:$AA,10,0)-'TRADE IN'!$F788=0,"",(VLOOKUP($C749,REV!$C:$AA,10,0)-'TRADE IN'!$F749))</f>
        <v>6099</v>
      </c>
      <c r="M749" s="46">
        <f>IF(VLOOKUP($C749,REV!$C:$AA,11,0)-'TRADE IN'!$F788=0,"",(VLOOKUP($C749,REV!$C:$AA,11,0)-'TRADE IN'!$F749))</f>
        <v>6099</v>
      </c>
      <c r="N749" s="46">
        <f>IF(VLOOKUP($C749,REV!$C:$AA,12,0)-'TRADE IN'!$F788=0,"",(VLOOKUP($C749,REV!$C:$AA,12,0)-'TRADE IN'!$F749))</f>
        <v>6099</v>
      </c>
      <c r="O749" s="46">
        <f>IF(VLOOKUP($C749,REV!$C:$AA,13,0)-'TRADE IN'!$F788=0,"",(VLOOKUP($C749,REV!$C:$AA,13,0)-'TRADE IN'!$F749))</f>
        <v>5999</v>
      </c>
      <c r="P749" s="46">
        <f>IF(VLOOKUP($C749,REV!$C:$AA,14,0)-'TRADE IN'!$F788=0,"",(VLOOKUP($C749,REV!$C:$AA,14,0)-'TRADE IN'!$F749))</f>
        <v>5899</v>
      </c>
      <c r="Q749" s="46">
        <f>IF(VLOOKUP($C749,REV!$C:$AA,15,0)-'TRADE IN'!$F788=0,"",(VLOOKUP($C749,REV!$C:$AA,15,0)-'TRADE IN'!$F749))</f>
        <v>5499</v>
      </c>
      <c r="R749" s="46">
        <f>IF(VLOOKUP($C749,REV!$C:$AA,16,0)-'TRADE IN'!$F788=0,"",(VLOOKUP($C749,REV!$C:$AA,16,0)-'TRADE IN'!$F749))</f>
        <v>5999</v>
      </c>
      <c r="S749" s="46">
        <f>IF(VLOOKUP($C749,REV!$C:$AA,17,0)-'TRADE IN'!$F788=0,"",(VLOOKUP($C749,REV!$C:$AA,17,0)-'TRADE IN'!$F749))</f>
        <v>5899</v>
      </c>
      <c r="T749" s="46">
        <f>IF(VLOOKUP($C749,REV!$C:$AA,18,0)-'TRADE IN'!$F788=0,"",(VLOOKUP($C749,REV!$C:$AA,18,0)-'TRADE IN'!$F749))</f>
        <v>5499</v>
      </c>
      <c r="U749" s="46">
        <f>IF(VLOOKUP($C749,REV!$C:$AA,19,0)-'TRADE IN'!$F788=0,"",(VLOOKUP($C749,REV!$C:$AA,19,0)-'TRADE IN'!$F749))</f>
        <v>5499</v>
      </c>
      <c r="V749" s="46">
        <f>IF(VLOOKUP($C749,REV!$C:$AA,20,0)-'TRADE IN'!$F788=0,"",(VLOOKUP($C749,REV!$C:$AA,20,0)-'TRADE IN'!$F749))</f>
        <v>5499</v>
      </c>
      <c r="W749" s="46">
        <f>IF(VLOOKUP($C749,REV!$C:$AA,21,0)-'TRADE IN'!$F788=0,"",(VLOOKUP($C749,REV!$C:$AA,21,0)-'TRADE IN'!$F749))</f>
        <v>5499</v>
      </c>
      <c r="X749" s="46">
        <f>IF(VLOOKUP($C749,REV!$C:$AA,22,0)-'TRADE IN'!$F788=0,"",(VLOOKUP($C749,REV!$C:$AA,22,0)-'TRADE IN'!$F749))</f>
        <v>5399</v>
      </c>
      <c r="Y749" s="46">
        <f>IF(VLOOKUP($C749,REV!$C:$AA,23,0)-'TRADE IN'!$F788=0,"",(VLOOKUP($C749,REV!$C:$AA,23,0)-'TRADE IN'!$F749))</f>
        <v>3499</v>
      </c>
      <c r="Z749" s="46">
        <f>IF(VLOOKUP($C749,REV!$C:$AA,24,0)-'TRADE IN'!$F788=0,"",(VLOOKUP($C749,REV!$C:$AA,24,0)-'TRADE IN'!$F749))</f>
        <v>3499</v>
      </c>
      <c r="AA749" s="46">
        <f>IF(VLOOKUP($C749,REV!$C:$AA,25,0)-'TRADE IN'!$F788=0,"",(VLOOKUP($C749,REV!$C:$AA,25,0)-'TRADE IN'!$F749))</f>
        <v>3499</v>
      </c>
      <c r="AB749" s="46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7"/>
      <c r="AW749" s="48" t="str">
        <f>IF(REV!AW749=0,"",REV!AW749)</f>
        <v>31.03.2026</v>
      </c>
      <c r="AX749" s="159" t="s">
        <v>82</v>
      </c>
    </row>
    <row r="750" spans="1:50" ht="22.5" customHeight="1">
      <c r="A750" s="52" t="s">
        <v>70</v>
      </c>
      <c r="B750" s="41" t="s">
        <v>62</v>
      </c>
      <c r="C750" s="42">
        <v>4017750</v>
      </c>
      <c r="D750" s="66" t="s">
        <v>994</v>
      </c>
      <c r="E750" s="44" t="s">
        <v>997</v>
      </c>
      <c r="F750" s="45">
        <v>500</v>
      </c>
      <c r="G750" s="45"/>
      <c r="H750" s="45"/>
      <c r="I750" s="45"/>
      <c r="J750" s="46">
        <f>IF(VLOOKUP($C750,REV!$C:$AA,8,0)-'TRADE IN'!$F750=0,"",(VLOOKUP($C750,REV!$C:$AA,8,0)-'TRADE IN'!$F750))</f>
        <v>6099</v>
      </c>
      <c r="K750" s="46">
        <f>IF(VLOOKUP($C750,REV!$C:$AA,9,0)-'TRADE IN'!$F750=0,"",(VLOOKUP($C750,REV!$C:$AA,9,0)-'TRADE IN'!$F750))</f>
        <v>6099</v>
      </c>
      <c r="L750" s="46">
        <f>IF(VLOOKUP($C750,REV!$C:$AA,10,0)-'TRADE IN'!$F789=0,"",(VLOOKUP($C750,REV!$C:$AA,10,0)-'TRADE IN'!$F750))</f>
        <v>6099</v>
      </c>
      <c r="M750" s="46">
        <f>IF(VLOOKUP($C750,REV!$C:$AA,11,0)-'TRADE IN'!$F789=0,"",(VLOOKUP($C750,REV!$C:$AA,11,0)-'TRADE IN'!$F750))</f>
        <v>6099</v>
      </c>
      <c r="N750" s="46">
        <f>IF(VLOOKUP($C750,REV!$C:$AA,12,0)-'TRADE IN'!$F789=0,"",(VLOOKUP($C750,REV!$C:$AA,12,0)-'TRADE IN'!$F750))</f>
        <v>6099</v>
      </c>
      <c r="O750" s="46">
        <f>IF(VLOOKUP($C750,REV!$C:$AA,13,0)-'TRADE IN'!$F789=0,"",(VLOOKUP($C750,REV!$C:$AA,13,0)-'TRADE IN'!$F750))</f>
        <v>5999</v>
      </c>
      <c r="P750" s="46">
        <f>IF(VLOOKUP($C750,REV!$C:$AA,14,0)-'TRADE IN'!$F789=0,"",(VLOOKUP($C750,REV!$C:$AA,14,0)-'TRADE IN'!$F750))</f>
        <v>5899</v>
      </c>
      <c r="Q750" s="46">
        <f>IF(VLOOKUP($C750,REV!$C:$AA,15,0)-'TRADE IN'!$F789=0,"",(VLOOKUP($C750,REV!$C:$AA,15,0)-'TRADE IN'!$F750))</f>
        <v>5499</v>
      </c>
      <c r="R750" s="46">
        <f>IF(VLOOKUP($C750,REV!$C:$AA,16,0)-'TRADE IN'!$F789=0,"",(VLOOKUP($C750,REV!$C:$AA,16,0)-'TRADE IN'!$F750))</f>
        <v>5999</v>
      </c>
      <c r="S750" s="46">
        <f>IF(VLOOKUP($C750,REV!$C:$AA,17,0)-'TRADE IN'!$F789=0,"",(VLOOKUP($C750,REV!$C:$AA,17,0)-'TRADE IN'!$F750))</f>
        <v>5899</v>
      </c>
      <c r="T750" s="46">
        <f>IF(VLOOKUP($C750,REV!$C:$AA,18,0)-'TRADE IN'!$F789=0,"",(VLOOKUP($C750,REV!$C:$AA,18,0)-'TRADE IN'!$F750))</f>
        <v>5499</v>
      </c>
      <c r="U750" s="46">
        <f>IF(VLOOKUP($C750,REV!$C:$AA,19,0)-'TRADE IN'!$F789=0,"",(VLOOKUP($C750,REV!$C:$AA,19,0)-'TRADE IN'!$F750))</f>
        <v>5499</v>
      </c>
      <c r="V750" s="46">
        <f>IF(VLOOKUP($C750,REV!$C:$AA,20,0)-'TRADE IN'!$F789=0,"",(VLOOKUP($C750,REV!$C:$AA,20,0)-'TRADE IN'!$F750))</f>
        <v>5499</v>
      </c>
      <c r="W750" s="46">
        <f>IF(VLOOKUP($C750,REV!$C:$AA,21,0)-'TRADE IN'!$F789=0,"",(VLOOKUP($C750,REV!$C:$AA,21,0)-'TRADE IN'!$F750))</f>
        <v>5499</v>
      </c>
      <c r="X750" s="46">
        <f>IF(VLOOKUP($C750,REV!$C:$AA,22,0)-'TRADE IN'!$F789=0,"",(VLOOKUP($C750,REV!$C:$AA,22,0)-'TRADE IN'!$F750))</f>
        <v>5399</v>
      </c>
      <c r="Y750" s="46">
        <f>IF(VLOOKUP($C750,REV!$C:$AA,23,0)-'TRADE IN'!$F789=0,"",(VLOOKUP($C750,REV!$C:$AA,23,0)-'TRADE IN'!$F750))</f>
        <v>3499</v>
      </c>
      <c r="Z750" s="46">
        <f>IF(VLOOKUP($C750,REV!$C:$AA,24,0)-'TRADE IN'!$F789=0,"",(VLOOKUP($C750,REV!$C:$AA,24,0)-'TRADE IN'!$F750))</f>
        <v>3499</v>
      </c>
      <c r="AA750" s="46">
        <f>IF(VLOOKUP($C750,REV!$C:$AA,25,0)-'TRADE IN'!$F789=0,"",(VLOOKUP($C750,REV!$C:$AA,25,0)-'TRADE IN'!$F750))</f>
        <v>3499</v>
      </c>
      <c r="AB750" s="46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7"/>
      <c r="AW750" s="48" t="str">
        <f>IF(REV!AW750=0,"",REV!AW750)</f>
        <v>31.03.2026</v>
      </c>
      <c r="AX750" s="159" t="s">
        <v>82</v>
      </c>
    </row>
    <row r="751" spans="1:50" ht="22.5" customHeight="1">
      <c r="A751" s="52" t="s">
        <v>70</v>
      </c>
      <c r="B751" s="41" t="s">
        <v>62</v>
      </c>
      <c r="C751" s="42">
        <v>4017751</v>
      </c>
      <c r="D751" s="66" t="s">
        <v>994</v>
      </c>
      <c r="E751" s="44" t="s">
        <v>998</v>
      </c>
      <c r="F751" s="45">
        <v>500</v>
      </c>
      <c r="G751" s="45"/>
      <c r="H751" s="45"/>
      <c r="I751" s="45"/>
      <c r="J751" s="46">
        <f>IF(VLOOKUP($C751,REV!$C:$AA,8,0)-'TRADE IN'!$F751=0,"",(VLOOKUP($C751,REV!$C:$AA,8,0)-'TRADE IN'!$F751))</f>
        <v>6099</v>
      </c>
      <c r="K751" s="46">
        <f>IF(VLOOKUP($C751,REV!$C:$AA,9,0)-'TRADE IN'!$F751=0,"",(VLOOKUP($C751,REV!$C:$AA,9,0)-'TRADE IN'!$F751))</f>
        <v>6099</v>
      </c>
      <c r="L751" s="46">
        <f>IF(VLOOKUP($C751,REV!$C:$AA,10,0)-'TRADE IN'!$F790=0,"",(VLOOKUP($C751,REV!$C:$AA,10,0)-'TRADE IN'!$F751))</f>
        <v>6099</v>
      </c>
      <c r="M751" s="46">
        <f>IF(VLOOKUP($C751,REV!$C:$AA,11,0)-'TRADE IN'!$F790=0,"",(VLOOKUP($C751,REV!$C:$AA,11,0)-'TRADE IN'!$F751))</f>
        <v>6099</v>
      </c>
      <c r="N751" s="46">
        <f>IF(VLOOKUP($C751,REV!$C:$AA,12,0)-'TRADE IN'!$F790=0,"",(VLOOKUP($C751,REV!$C:$AA,12,0)-'TRADE IN'!$F751))</f>
        <v>6099</v>
      </c>
      <c r="O751" s="46">
        <f>IF(VLOOKUP($C751,REV!$C:$AA,13,0)-'TRADE IN'!$F790=0,"",(VLOOKUP($C751,REV!$C:$AA,13,0)-'TRADE IN'!$F751))</f>
        <v>5999</v>
      </c>
      <c r="P751" s="46">
        <f>IF(VLOOKUP($C751,REV!$C:$AA,14,0)-'TRADE IN'!$F790=0,"",(VLOOKUP($C751,REV!$C:$AA,14,0)-'TRADE IN'!$F751))</f>
        <v>5899</v>
      </c>
      <c r="Q751" s="46">
        <f>IF(VLOOKUP($C751,REV!$C:$AA,15,0)-'TRADE IN'!$F790=0,"",(VLOOKUP($C751,REV!$C:$AA,15,0)-'TRADE IN'!$F751))</f>
        <v>5499</v>
      </c>
      <c r="R751" s="46">
        <f>IF(VLOOKUP($C751,REV!$C:$AA,16,0)-'TRADE IN'!$F790=0,"",(VLOOKUP($C751,REV!$C:$AA,16,0)-'TRADE IN'!$F751))</f>
        <v>5999</v>
      </c>
      <c r="S751" s="46">
        <f>IF(VLOOKUP($C751,REV!$C:$AA,17,0)-'TRADE IN'!$F790=0,"",(VLOOKUP($C751,REV!$C:$AA,17,0)-'TRADE IN'!$F751))</f>
        <v>5899</v>
      </c>
      <c r="T751" s="46">
        <f>IF(VLOOKUP($C751,REV!$C:$AA,18,0)-'TRADE IN'!$F790=0,"",(VLOOKUP($C751,REV!$C:$AA,18,0)-'TRADE IN'!$F751))</f>
        <v>5499</v>
      </c>
      <c r="U751" s="46">
        <f>IF(VLOOKUP($C751,REV!$C:$AA,19,0)-'TRADE IN'!$F790=0,"",(VLOOKUP($C751,REV!$C:$AA,19,0)-'TRADE IN'!$F751))</f>
        <v>5499</v>
      </c>
      <c r="V751" s="46">
        <f>IF(VLOOKUP($C751,REV!$C:$AA,20,0)-'TRADE IN'!$F790=0,"",(VLOOKUP($C751,REV!$C:$AA,20,0)-'TRADE IN'!$F751))</f>
        <v>5499</v>
      </c>
      <c r="W751" s="46">
        <f>IF(VLOOKUP($C751,REV!$C:$AA,21,0)-'TRADE IN'!$F790=0,"",(VLOOKUP($C751,REV!$C:$AA,21,0)-'TRADE IN'!$F751))</f>
        <v>5499</v>
      </c>
      <c r="X751" s="46">
        <f>IF(VLOOKUP($C751,REV!$C:$AA,22,0)-'TRADE IN'!$F790=0,"",(VLOOKUP($C751,REV!$C:$AA,22,0)-'TRADE IN'!$F751))</f>
        <v>5399</v>
      </c>
      <c r="Y751" s="46">
        <f>IF(VLOOKUP($C751,REV!$C:$AA,23,0)-'TRADE IN'!$F790=0,"",(VLOOKUP($C751,REV!$C:$AA,23,0)-'TRADE IN'!$F751))</f>
        <v>3499</v>
      </c>
      <c r="Z751" s="46">
        <f>IF(VLOOKUP($C751,REV!$C:$AA,24,0)-'TRADE IN'!$F790=0,"",(VLOOKUP($C751,REV!$C:$AA,24,0)-'TRADE IN'!$F751))</f>
        <v>3499</v>
      </c>
      <c r="AA751" s="46">
        <f>IF(VLOOKUP($C751,REV!$C:$AA,25,0)-'TRADE IN'!$F790=0,"",(VLOOKUP($C751,REV!$C:$AA,25,0)-'TRADE IN'!$F751))</f>
        <v>3499</v>
      </c>
      <c r="AB751" s="46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7"/>
      <c r="AW751" s="48" t="str">
        <f>IF(REV!AW751=0,"",REV!AW751)</f>
        <v>31.03.2026</v>
      </c>
      <c r="AX751" s="159" t="s">
        <v>82</v>
      </c>
    </row>
    <row r="752" spans="1:50" ht="22.5" customHeight="1">
      <c r="A752" s="52" t="s">
        <v>70</v>
      </c>
      <c r="B752" s="41" t="s">
        <v>62</v>
      </c>
      <c r="C752" s="42">
        <v>4017756</v>
      </c>
      <c r="D752" s="66" t="s">
        <v>994</v>
      </c>
      <c r="E752" s="44" t="s">
        <v>999</v>
      </c>
      <c r="F752" s="45">
        <v>500</v>
      </c>
      <c r="G752" s="45"/>
      <c r="H752" s="45"/>
      <c r="I752" s="45"/>
      <c r="J752" s="46">
        <f>IF(VLOOKUP($C752,REV!$C:$AA,8,0)-'TRADE IN'!$F752=0,"",(VLOOKUP($C752,REV!$C:$AA,8,0)-'TRADE IN'!$F752))</f>
        <v>6099</v>
      </c>
      <c r="K752" s="46">
        <f>IF(VLOOKUP($C752,REV!$C:$AA,9,0)-'TRADE IN'!$F752=0,"",(VLOOKUP($C752,REV!$C:$AA,9,0)-'TRADE IN'!$F752))</f>
        <v>6099</v>
      </c>
      <c r="L752" s="46">
        <f>IF(VLOOKUP($C752,REV!$C:$AA,10,0)-'TRADE IN'!$F791=0,"",(VLOOKUP($C752,REV!$C:$AA,10,0)-'TRADE IN'!$F752))</f>
        <v>6099</v>
      </c>
      <c r="M752" s="46">
        <f>IF(VLOOKUP($C752,REV!$C:$AA,11,0)-'TRADE IN'!$F791=0,"",(VLOOKUP($C752,REV!$C:$AA,11,0)-'TRADE IN'!$F752))</f>
        <v>6099</v>
      </c>
      <c r="N752" s="46">
        <f>IF(VLOOKUP($C752,REV!$C:$AA,12,0)-'TRADE IN'!$F791=0,"",(VLOOKUP($C752,REV!$C:$AA,12,0)-'TRADE IN'!$F752))</f>
        <v>6099</v>
      </c>
      <c r="O752" s="46">
        <f>IF(VLOOKUP($C752,REV!$C:$AA,13,0)-'TRADE IN'!$F791=0,"",(VLOOKUP($C752,REV!$C:$AA,13,0)-'TRADE IN'!$F752))</f>
        <v>5999</v>
      </c>
      <c r="P752" s="46">
        <f>IF(VLOOKUP($C752,REV!$C:$AA,14,0)-'TRADE IN'!$F791=0,"",(VLOOKUP($C752,REV!$C:$AA,14,0)-'TRADE IN'!$F752))</f>
        <v>5899</v>
      </c>
      <c r="Q752" s="46">
        <f>IF(VLOOKUP($C752,REV!$C:$AA,15,0)-'TRADE IN'!$F791=0,"",(VLOOKUP($C752,REV!$C:$AA,15,0)-'TRADE IN'!$F752))</f>
        <v>5499</v>
      </c>
      <c r="R752" s="46">
        <f>IF(VLOOKUP($C752,REV!$C:$AA,16,0)-'TRADE IN'!$F791=0,"",(VLOOKUP($C752,REV!$C:$AA,16,0)-'TRADE IN'!$F752))</f>
        <v>5999</v>
      </c>
      <c r="S752" s="46">
        <f>IF(VLOOKUP($C752,REV!$C:$AA,17,0)-'TRADE IN'!$F791=0,"",(VLOOKUP($C752,REV!$C:$AA,17,0)-'TRADE IN'!$F752))</f>
        <v>5899</v>
      </c>
      <c r="T752" s="46">
        <f>IF(VLOOKUP($C752,REV!$C:$AA,18,0)-'TRADE IN'!$F791=0,"",(VLOOKUP($C752,REV!$C:$AA,18,0)-'TRADE IN'!$F752))</f>
        <v>5499</v>
      </c>
      <c r="U752" s="46">
        <f>IF(VLOOKUP($C752,REV!$C:$AA,19,0)-'TRADE IN'!$F791=0,"",(VLOOKUP($C752,REV!$C:$AA,19,0)-'TRADE IN'!$F752))</f>
        <v>5499</v>
      </c>
      <c r="V752" s="46">
        <f>IF(VLOOKUP($C752,REV!$C:$AA,20,0)-'TRADE IN'!$F791=0,"",(VLOOKUP($C752,REV!$C:$AA,20,0)-'TRADE IN'!$F752))</f>
        <v>5499</v>
      </c>
      <c r="W752" s="46">
        <f>IF(VLOOKUP($C752,REV!$C:$AA,21,0)-'TRADE IN'!$F791=0,"",(VLOOKUP($C752,REV!$C:$AA,21,0)-'TRADE IN'!$F752))</f>
        <v>5499</v>
      </c>
      <c r="X752" s="46">
        <f>IF(VLOOKUP($C752,REV!$C:$AA,22,0)-'TRADE IN'!$F791=0,"",(VLOOKUP($C752,REV!$C:$AA,22,0)-'TRADE IN'!$F752))</f>
        <v>5399</v>
      </c>
      <c r="Y752" s="46">
        <f>IF(VLOOKUP($C752,REV!$C:$AA,23,0)-'TRADE IN'!$F791=0,"",(VLOOKUP($C752,REV!$C:$AA,23,0)-'TRADE IN'!$F752))</f>
        <v>3499</v>
      </c>
      <c r="Z752" s="46">
        <f>IF(VLOOKUP($C752,REV!$C:$AA,24,0)-'TRADE IN'!$F791=0,"",(VLOOKUP($C752,REV!$C:$AA,24,0)-'TRADE IN'!$F752))</f>
        <v>3499</v>
      </c>
      <c r="AA752" s="46">
        <f>IF(VLOOKUP($C752,REV!$C:$AA,25,0)-'TRADE IN'!$F791=0,"",(VLOOKUP($C752,REV!$C:$AA,25,0)-'TRADE IN'!$F752))</f>
        <v>3499</v>
      </c>
      <c r="AB752" s="46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7"/>
      <c r="AW752" s="48" t="str">
        <f>IF(REV!AW752=0,"",REV!AW752)</f>
        <v>31.03.2026</v>
      </c>
      <c r="AX752" s="159" t="s">
        <v>82</v>
      </c>
    </row>
    <row r="753" spans="1:50" ht="22.5" customHeight="1">
      <c r="A753" s="52" t="s">
        <v>70</v>
      </c>
      <c r="B753" s="41" t="s">
        <v>62</v>
      </c>
      <c r="C753" s="42">
        <v>4017757</v>
      </c>
      <c r="D753" s="66" t="s">
        <v>994</v>
      </c>
      <c r="E753" s="44" t="s">
        <v>1000</v>
      </c>
      <c r="F753" s="45">
        <v>500</v>
      </c>
      <c r="G753" s="45"/>
      <c r="H753" s="45"/>
      <c r="I753" s="45"/>
      <c r="J753" s="46">
        <f>IF(VLOOKUP($C753,REV!$C:$AA,8,0)-'TRADE IN'!$F753=0,"",(VLOOKUP($C753,REV!$C:$AA,8,0)-'TRADE IN'!$F753))</f>
        <v>6099</v>
      </c>
      <c r="K753" s="46">
        <f>IF(VLOOKUP($C753,REV!$C:$AA,9,0)-'TRADE IN'!$F753=0,"",(VLOOKUP($C753,REV!$C:$AA,9,0)-'TRADE IN'!$F753))</f>
        <v>6099</v>
      </c>
      <c r="L753" s="46">
        <f>IF(VLOOKUP($C753,REV!$C:$AA,10,0)-'TRADE IN'!$F792=0,"",(VLOOKUP($C753,REV!$C:$AA,10,0)-'TRADE IN'!$F753))</f>
        <v>6099</v>
      </c>
      <c r="M753" s="46">
        <f>IF(VLOOKUP($C753,REV!$C:$AA,11,0)-'TRADE IN'!$F792=0,"",(VLOOKUP($C753,REV!$C:$AA,11,0)-'TRADE IN'!$F753))</f>
        <v>6099</v>
      </c>
      <c r="N753" s="46">
        <f>IF(VLOOKUP($C753,REV!$C:$AA,12,0)-'TRADE IN'!$F792=0,"",(VLOOKUP($C753,REV!$C:$AA,12,0)-'TRADE IN'!$F753))</f>
        <v>6099</v>
      </c>
      <c r="O753" s="46">
        <f>IF(VLOOKUP($C753,REV!$C:$AA,13,0)-'TRADE IN'!$F792=0,"",(VLOOKUP($C753,REV!$C:$AA,13,0)-'TRADE IN'!$F753))</f>
        <v>5999</v>
      </c>
      <c r="P753" s="46">
        <f>IF(VLOOKUP($C753,REV!$C:$AA,14,0)-'TRADE IN'!$F792=0,"",(VLOOKUP($C753,REV!$C:$AA,14,0)-'TRADE IN'!$F753))</f>
        <v>5899</v>
      </c>
      <c r="Q753" s="46">
        <f>IF(VLOOKUP($C753,REV!$C:$AA,15,0)-'TRADE IN'!$F792=0,"",(VLOOKUP($C753,REV!$C:$AA,15,0)-'TRADE IN'!$F753))</f>
        <v>5499</v>
      </c>
      <c r="R753" s="46">
        <f>IF(VLOOKUP($C753,REV!$C:$AA,16,0)-'TRADE IN'!$F792=0,"",(VLOOKUP($C753,REV!$C:$AA,16,0)-'TRADE IN'!$F753))</f>
        <v>5999</v>
      </c>
      <c r="S753" s="46">
        <f>IF(VLOOKUP($C753,REV!$C:$AA,17,0)-'TRADE IN'!$F792=0,"",(VLOOKUP($C753,REV!$C:$AA,17,0)-'TRADE IN'!$F753))</f>
        <v>5899</v>
      </c>
      <c r="T753" s="46">
        <f>IF(VLOOKUP($C753,REV!$C:$AA,18,0)-'TRADE IN'!$F792=0,"",(VLOOKUP($C753,REV!$C:$AA,18,0)-'TRADE IN'!$F753))</f>
        <v>5499</v>
      </c>
      <c r="U753" s="46">
        <f>IF(VLOOKUP($C753,REV!$C:$AA,19,0)-'TRADE IN'!$F792=0,"",(VLOOKUP($C753,REV!$C:$AA,19,0)-'TRADE IN'!$F753))</f>
        <v>5499</v>
      </c>
      <c r="V753" s="46">
        <f>IF(VLOOKUP($C753,REV!$C:$AA,20,0)-'TRADE IN'!$F792=0,"",(VLOOKUP($C753,REV!$C:$AA,20,0)-'TRADE IN'!$F753))</f>
        <v>5499</v>
      </c>
      <c r="W753" s="46">
        <f>IF(VLOOKUP($C753,REV!$C:$AA,21,0)-'TRADE IN'!$F792=0,"",(VLOOKUP($C753,REV!$C:$AA,21,0)-'TRADE IN'!$F753))</f>
        <v>5499</v>
      </c>
      <c r="X753" s="46">
        <f>IF(VLOOKUP($C753,REV!$C:$AA,22,0)-'TRADE IN'!$F792=0,"",(VLOOKUP($C753,REV!$C:$AA,22,0)-'TRADE IN'!$F753))</f>
        <v>5399</v>
      </c>
      <c r="Y753" s="46">
        <f>IF(VLOOKUP($C753,REV!$C:$AA,23,0)-'TRADE IN'!$F792=0,"",(VLOOKUP($C753,REV!$C:$AA,23,0)-'TRADE IN'!$F753))</f>
        <v>3499</v>
      </c>
      <c r="Z753" s="46">
        <f>IF(VLOOKUP($C753,REV!$C:$AA,24,0)-'TRADE IN'!$F792=0,"",(VLOOKUP($C753,REV!$C:$AA,24,0)-'TRADE IN'!$F753))</f>
        <v>3499</v>
      </c>
      <c r="AA753" s="46">
        <f>IF(VLOOKUP($C753,REV!$C:$AA,25,0)-'TRADE IN'!$F792=0,"",(VLOOKUP($C753,REV!$C:$AA,25,0)-'TRADE IN'!$F753))</f>
        <v>3499</v>
      </c>
      <c r="AB753" s="46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7"/>
      <c r="AW753" s="48" t="str">
        <f>IF(REV!AW753=0,"",REV!AW753)</f>
        <v>31.03.2026</v>
      </c>
      <c r="AX753" s="159" t="s">
        <v>82</v>
      </c>
    </row>
    <row r="754" spans="1:50" ht="22.5" customHeight="1">
      <c r="A754" s="52" t="s">
        <v>70</v>
      </c>
      <c r="B754" s="41" t="s">
        <v>62</v>
      </c>
      <c r="C754" s="42">
        <v>4017746</v>
      </c>
      <c r="D754" s="66" t="s">
        <v>1001</v>
      </c>
      <c r="E754" s="44" t="s">
        <v>1002</v>
      </c>
      <c r="F754" s="45">
        <v>500</v>
      </c>
      <c r="G754" s="45"/>
      <c r="H754" s="45"/>
      <c r="I754" s="45"/>
      <c r="J754" s="46">
        <f>IF(VLOOKUP($C754,REV!$C:$AA,8,0)-'TRADE IN'!$F754=0,"",(VLOOKUP($C754,REV!$C:$AA,8,0)-'TRADE IN'!$F754))</f>
        <v>6099</v>
      </c>
      <c r="K754" s="46">
        <f>IF(VLOOKUP($C754,REV!$C:$AA,9,0)-'TRADE IN'!$F754=0,"",(VLOOKUP($C754,REV!$C:$AA,9,0)-'TRADE IN'!$F754))</f>
        <v>6099</v>
      </c>
      <c r="L754" s="46">
        <f>IF(VLOOKUP($C754,REV!$C:$AA,10,0)-'TRADE IN'!$F793=0,"",(VLOOKUP($C754,REV!$C:$AA,10,0)-'TRADE IN'!$F754))</f>
        <v>6099</v>
      </c>
      <c r="M754" s="46">
        <f>IF(VLOOKUP($C754,REV!$C:$AA,11,0)-'TRADE IN'!$F793=0,"",(VLOOKUP($C754,REV!$C:$AA,11,0)-'TRADE IN'!$F754))</f>
        <v>6099</v>
      </c>
      <c r="N754" s="46">
        <f>IF(VLOOKUP($C754,REV!$C:$AA,12,0)-'TRADE IN'!$F793=0,"",(VLOOKUP($C754,REV!$C:$AA,12,0)-'TRADE IN'!$F754))</f>
        <v>6099</v>
      </c>
      <c r="O754" s="46">
        <f>IF(VLOOKUP($C754,REV!$C:$AA,13,0)-'TRADE IN'!$F793=0,"",(VLOOKUP($C754,REV!$C:$AA,13,0)-'TRADE IN'!$F754))</f>
        <v>5999</v>
      </c>
      <c r="P754" s="46">
        <f>IF(VLOOKUP($C754,REV!$C:$AA,14,0)-'TRADE IN'!$F793=0,"",(VLOOKUP($C754,REV!$C:$AA,14,0)-'TRADE IN'!$F754))</f>
        <v>5899</v>
      </c>
      <c r="Q754" s="46">
        <f>IF(VLOOKUP($C754,REV!$C:$AA,15,0)-'TRADE IN'!$F793=0,"",(VLOOKUP($C754,REV!$C:$AA,15,0)-'TRADE IN'!$F754))</f>
        <v>5499</v>
      </c>
      <c r="R754" s="46">
        <f>IF(VLOOKUP($C754,REV!$C:$AA,16,0)-'TRADE IN'!$F793=0,"",(VLOOKUP($C754,REV!$C:$AA,16,0)-'TRADE IN'!$F754))</f>
        <v>5999</v>
      </c>
      <c r="S754" s="46">
        <f>IF(VLOOKUP($C754,REV!$C:$AA,17,0)-'TRADE IN'!$F793=0,"",(VLOOKUP($C754,REV!$C:$AA,17,0)-'TRADE IN'!$F754))</f>
        <v>5899</v>
      </c>
      <c r="T754" s="46">
        <f>IF(VLOOKUP($C754,REV!$C:$AA,18,0)-'TRADE IN'!$F793=0,"",(VLOOKUP($C754,REV!$C:$AA,18,0)-'TRADE IN'!$F754))</f>
        <v>5499</v>
      </c>
      <c r="U754" s="46">
        <f>IF(VLOOKUP($C754,REV!$C:$AA,19,0)-'TRADE IN'!$F793=0,"",(VLOOKUP($C754,REV!$C:$AA,19,0)-'TRADE IN'!$F754))</f>
        <v>5499</v>
      </c>
      <c r="V754" s="46">
        <f>IF(VLOOKUP($C754,REV!$C:$AA,20,0)-'TRADE IN'!$F793=0,"",(VLOOKUP($C754,REV!$C:$AA,20,0)-'TRADE IN'!$F754))</f>
        <v>5499</v>
      </c>
      <c r="W754" s="46">
        <f>IF(VLOOKUP($C754,REV!$C:$AA,21,0)-'TRADE IN'!$F793=0,"",(VLOOKUP($C754,REV!$C:$AA,21,0)-'TRADE IN'!$F754))</f>
        <v>5499</v>
      </c>
      <c r="X754" s="46">
        <f>IF(VLOOKUP($C754,REV!$C:$AA,22,0)-'TRADE IN'!$F793=0,"",(VLOOKUP($C754,REV!$C:$AA,22,0)-'TRADE IN'!$F754))</f>
        <v>5399</v>
      </c>
      <c r="Y754" s="46">
        <f>IF(VLOOKUP($C754,REV!$C:$AA,23,0)-'TRADE IN'!$F793=0,"",(VLOOKUP($C754,REV!$C:$AA,23,0)-'TRADE IN'!$F754))</f>
        <v>3499</v>
      </c>
      <c r="Z754" s="46">
        <f>IF(VLOOKUP($C754,REV!$C:$AA,24,0)-'TRADE IN'!$F793=0,"",(VLOOKUP($C754,REV!$C:$AA,24,0)-'TRADE IN'!$F754))</f>
        <v>3499</v>
      </c>
      <c r="AA754" s="46">
        <f>IF(VLOOKUP($C754,REV!$C:$AA,25,0)-'TRADE IN'!$F793=0,"",(VLOOKUP($C754,REV!$C:$AA,25,0)-'TRADE IN'!$F754))</f>
        <v>3499</v>
      </c>
      <c r="AB754" s="46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7"/>
      <c r="AW754" s="48" t="str">
        <f>IF(REV!AW754=0,"",REV!AW754)</f>
        <v>31.03.2026</v>
      </c>
      <c r="AX754" s="159" t="s">
        <v>82</v>
      </c>
    </row>
    <row r="755" spans="1:50" ht="22.5" customHeight="1">
      <c r="A755" s="52" t="s">
        <v>70</v>
      </c>
      <c r="B755" s="41" t="s">
        <v>62</v>
      </c>
      <c r="C755" s="42">
        <v>4017748</v>
      </c>
      <c r="D755" s="66" t="s">
        <v>1001</v>
      </c>
      <c r="E755" s="44" t="s">
        <v>1003</v>
      </c>
      <c r="F755" s="45">
        <v>500</v>
      </c>
      <c r="G755" s="45"/>
      <c r="H755" s="45"/>
      <c r="I755" s="45"/>
      <c r="J755" s="46">
        <f>IF(VLOOKUP($C755,REV!$C:$AA,8,0)-'TRADE IN'!$F755=0,"",(VLOOKUP($C755,REV!$C:$AA,8,0)-'TRADE IN'!$F755))</f>
        <v>6099</v>
      </c>
      <c r="K755" s="46">
        <f>IF(VLOOKUP($C755,REV!$C:$AA,9,0)-'TRADE IN'!$F755=0,"",(VLOOKUP($C755,REV!$C:$AA,9,0)-'TRADE IN'!$F755))</f>
        <v>6099</v>
      </c>
      <c r="L755" s="46">
        <f>IF(VLOOKUP($C755,REV!$C:$AA,10,0)-'TRADE IN'!$F794=0,"",(VLOOKUP($C755,REV!$C:$AA,10,0)-'TRADE IN'!$F755))</f>
        <v>6099</v>
      </c>
      <c r="M755" s="46">
        <f>IF(VLOOKUP($C755,REV!$C:$AA,11,0)-'TRADE IN'!$F794=0,"",(VLOOKUP($C755,REV!$C:$AA,11,0)-'TRADE IN'!$F755))</f>
        <v>6099</v>
      </c>
      <c r="N755" s="46">
        <f>IF(VLOOKUP($C755,REV!$C:$AA,12,0)-'TRADE IN'!$F794=0,"",(VLOOKUP($C755,REV!$C:$AA,12,0)-'TRADE IN'!$F755))</f>
        <v>6099</v>
      </c>
      <c r="O755" s="46">
        <f>IF(VLOOKUP($C755,REV!$C:$AA,13,0)-'TRADE IN'!$F794=0,"",(VLOOKUP($C755,REV!$C:$AA,13,0)-'TRADE IN'!$F755))</f>
        <v>5999</v>
      </c>
      <c r="P755" s="46">
        <f>IF(VLOOKUP($C755,REV!$C:$AA,14,0)-'TRADE IN'!$F794=0,"",(VLOOKUP($C755,REV!$C:$AA,14,0)-'TRADE IN'!$F755))</f>
        <v>5899</v>
      </c>
      <c r="Q755" s="46">
        <f>IF(VLOOKUP($C755,REV!$C:$AA,15,0)-'TRADE IN'!$F794=0,"",(VLOOKUP($C755,REV!$C:$AA,15,0)-'TRADE IN'!$F755))</f>
        <v>5499</v>
      </c>
      <c r="R755" s="46">
        <f>IF(VLOOKUP($C755,REV!$C:$AA,16,0)-'TRADE IN'!$F794=0,"",(VLOOKUP($C755,REV!$C:$AA,16,0)-'TRADE IN'!$F755))</f>
        <v>5999</v>
      </c>
      <c r="S755" s="46">
        <f>IF(VLOOKUP($C755,REV!$C:$AA,17,0)-'TRADE IN'!$F794=0,"",(VLOOKUP($C755,REV!$C:$AA,17,0)-'TRADE IN'!$F755))</f>
        <v>5899</v>
      </c>
      <c r="T755" s="46">
        <f>IF(VLOOKUP($C755,REV!$C:$AA,18,0)-'TRADE IN'!$F794=0,"",(VLOOKUP($C755,REV!$C:$AA,18,0)-'TRADE IN'!$F755))</f>
        <v>5499</v>
      </c>
      <c r="U755" s="46">
        <f>IF(VLOOKUP($C755,REV!$C:$AA,19,0)-'TRADE IN'!$F794=0,"",(VLOOKUP($C755,REV!$C:$AA,19,0)-'TRADE IN'!$F755))</f>
        <v>5499</v>
      </c>
      <c r="V755" s="46">
        <f>IF(VLOOKUP($C755,REV!$C:$AA,20,0)-'TRADE IN'!$F794=0,"",(VLOOKUP($C755,REV!$C:$AA,20,0)-'TRADE IN'!$F755))</f>
        <v>5499</v>
      </c>
      <c r="W755" s="46">
        <f>IF(VLOOKUP($C755,REV!$C:$AA,21,0)-'TRADE IN'!$F794=0,"",(VLOOKUP($C755,REV!$C:$AA,21,0)-'TRADE IN'!$F755))</f>
        <v>5499</v>
      </c>
      <c r="X755" s="46">
        <f>IF(VLOOKUP($C755,REV!$C:$AA,22,0)-'TRADE IN'!$F794=0,"",(VLOOKUP($C755,REV!$C:$AA,22,0)-'TRADE IN'!$F755))</f>
        <v>5399</v>
      </c>
      <c r="Y755" s="46">
        <f>IF(VLOOKUP($C755,REV!$C:$AA,23,0)-'TRADE IN'!$F794=0,"",(VLOOKUP($C755,REV!$C:$AA,23,0)-'TRADE IN'!$F755))</f>
        <v>3499</v>
      </c>
      <c r="Z755" s="46">
        <f>IF(VLOOKUP($C755,REV!$C:$AA,24,0)-'TRADE IN'!$F794=0,"",(VLOOKUP($C755,REV!$C:$AA,24,0)-'TRADE IN'!$F755))</f>
        <v>3499</v>
      </c>
      <c r="AA755" s="46">
        <f>IF(VLOOKUP($C755,REV!$C:$AA,25,0)-'TRADE IN'!$F794=0,"",(VLOOKUP($C755,REV!$C:$AA,25,0)-'TRADE IN'!$F755))</f>
        <v>3499</v>
      </c>
      <c r="AB755" s="46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7"/>
      <c r="AW755" s="48" t="str">
        <f>IF(REV!AW755=0,"",REV!AW755)</f>
        <v>31.03.2026</v>
      </c>
      <c r="AX755" s="159" t="s">
        <v>82</v>
      </c>
    </row>
    <row r="756" spans="1:50" ht="22.5" customHeight="1">
      <c r="A756" s="52" t="s">
        <v>70</v>
      </c>
      <c r="B756" s="41" t="s">
        <v>62</v>
      </c>
      <c r="C756" s="42">
        <v>4017752</v>
      </c>
      <c r="D756" s="66" t="s">
        <v>1001</v>
      </c>
      <c r="E756" s="44" t="s">
        <v>1004</v>
      </c>
      <c r="F756" s="45">
        <v>500</v>
      </c>
      <c r="G756" s="45"/>
      <c r="H756" s="45"/>
      <c r="I756" s="45"/>
      <c r="J756" s="46">
        <f>IF(VLOOKUP($C756,REV!$C:$AA,8,0)-'TRADE IN'!$F756=0,"",(VLOOKUP($C756,REV!$C:$AA,8,0)-'TRADE IN'!$F756))</f>
        <v>6099</v>
      </c>
      <c r="K756" s="46">
        <f>IF(VLOOKUP($C756,REV!$C:$AA,9,0)-'TRADE IN'!$F756=0,"",(VLOOKUP($C756,REV!$C:$AA,9,0)-'TRADE IN'!$F756))</f>
        <v>6099</v>
      </c>
      <c r="L756" s="46">
        <f>IF(VLOOKUP($C756,REV!$C:$AA,10,0)-'TRADE IN'!$F795=0,"",(VLOOKUP($C756,REV!$C:$AA,10,0)-'TRADE IN'!$F756))</f>
        <v>6099</v>
      </c>
      <c r="M756" s="46">
        <f>IF(VLOOKUP($C756,REV!$C:$AA,11,0)-'TRADE IN'!$F795=0,"",(VLOOKUP($C756,REV!$C:$AA,11,0)-'TRADE IN'!$F756))</f>
        <v>6099</v>
      </c>
      <c r="N756" s="46">
        <f>IF(VLOOKUP($C756,REV!$C:$AA,12,0)-'TRADE IN'!$F795=0,"",(VLOOKUP($C756,REV!$C:$AA,12,0)-'TRADE IN'!$F756))</f>
        <v>6099</v>
      </c>
      <c r="O756" s="46">
        <f>IF(VLOOKUP($C756,REV!$C:$AA,13,0)-'TRADE IN'!$F795=0,"",(VLOOKUP($C756,REV!$C:$AA,13,0)-'TRADE IN'!$F756))</f>
        <v>5999</v>
      </c>
      <c r="P756" s="46">
        <f>IF(VLOOKUP($C756,REV!$C:$AA,14,0)-'TRADE IN'!$F795=0,"",(VLOOKUP($C756,REV!$C:$AA,14,0)-'TRADE IN'!$F756))</f>
        <v>5899</v>
      </c>
      <c r="Q756" s="46">
        <f>IF(VLOOKUP($C756,REV!$C:$AA,15,0)-'TRADE IN'!$F795=0,"",(VLOOKUP($C756,REV!$C:$AA,15,0)-'TRADE IN'!$F756))</f>
        <v>5499</v>
      </c>
      <c r="R756" s="46">
        <f>IF(VLOOKUP($C756,REV!$C:$AA,16,0)-'TRADE IN'!$F795=0,"",(VLOOKUP($C756,REV!$C:$AA,16,0)-'TRADE IN'!$F756))</f>
        <v>5999</v>
      </c>
      <c r="S756" s="46">
        <f>IF(VLOOKUP($C756,REV!$C:$AA,17,0)-'TRADE IN'!$F795=0,"",(VLOOKUP($C756,REV!$C:$AA,17,0)-'TRADE IN'!$F756))</f>
        <v>5899</v>
      </c>
      <c r="T756" s="46">
        <f>IF(VLOOKUP($C756,REV!$C:$AA,18,0)-'TRADE IN'!$F795=0,"",(VLOOKUP($C756,REV!$C:$AA,18,0)-'TRADE IN'!$F756))</f>
        <v>5499</v>
      </c>
      <c r="U756" s="46">
        <f>IF(VLOOKUP($C756,REV!$C:$AA,19,0)-'TRADE IN'!$F795=0,"",(VLOOKUP($C756,REV!$C:$AA,19,0)-'TRADE IN'!$F756))</f>
        <v>5499</v>
      </c>
      <c r="V756" s="46">
        <f>IF(VLOOKUP($C756,REV!$C:$AA,20,0)-'TRADE IN'!$F795=0,"",(VLOOKUP($C756,REV!$C:$AA,20,0)-'TRADE IN'!$F756))</f>
        <v>5499</v>
      </c>
      <c r="W756" s="46">
        <f>IF(VLOOKUP($C756,REV!$C:$AA,21,0)-'TRADE IN'!$F795=0,"",(VLOOKUP($C756,REV!$C:$AA,21,0)-'TRADE IN'!$F756))</f>
        <v>5499</v>
      </c>
      <c r="X756" s="46">
        <f>IF(VLOOKUP($C756,REV!$C:$AA,22,0)-'TRADE IN'!$F795=0,"",(VLOOKUP($C756,REV!$C:$AA,22,0)-'TRADE IN'!$F756))</f>
        <v>5399</v>
      </c>
      <c r="Y756" s="46">
        <f>IF(VLOOKUP($C756,REV!$C:$AA,23,0)-'TRADE IN'!$F795=0,"",(VLOOKUP($C756,REV!$C:$AA,23,0)-'TRADE IN'!$F756))</f>
        <v>3499</v>
      </c>
      <c r="Z756" s="46">
        <f>IF(VLOOKUP($C756,REV!$C:$AA,24,0)-'TRADE IN'!$F795=0,"",(VLOOKUP($C756,REV!$C:$AA,24,0)-'TRADE IN'!$F756))</f>
        <v>3499</v>
      </c>
      <c r="AA756" s="46">
        <f>IF(VLOOKUP($C756,REV!$C:$AA,25,0)-'TRADE IN'!$F795=0,"",(VLOOKUP($C756,REV!$C:$AA,25,0)-'TRADE IN'!$F756))</f>
        <v>3499</v>
      </c>
      <c r="AB756" s="46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7"/>
      <c r="AW756" s="48" t="str">
        <f>IF(REV!AW756=0,"",REV!AW756)</f>
        <v>31.03.2026</v>
      </c>
      <c r="AX756" s="159" t="s">
        <v>82</v>
      </c>
    </row>
    <row r="757" spans="1:50" ht="22.5" customHeight="1">
      <c r="A757" s="52" t="s">
        <v>70</v>
      </c>
      <c r="B757" s="41" t="s">
        <v>62</v>
      </c>
      <c r="C757" s="42">
        <v>4017754</v>
      </c>
      <c r="D757" s="66" t="s">
        <v>1001</v>
      </c>
      <c r="E757" s="44" t="s">
        <v>1005</v>
      </c>
      <c r="F757" s="45">
        <v>500</v>
      </c>
      <c r="G757" s="45"/>
      <c r="H757" s="45"/>
      <c r="I757" s="45"/>
      <c r="J757" s="46">
        <f>IF(VLOOKUP($C757,REV!$C:$AA,8,0)-'TRADE IN'!$F757=0,"",(VLOOKUP($C757,REV!$C:$AA,8,0)-'TRADE IN'!$F757))</f>
        <v>6099</v>
      </c>
      <c r="K757" s="46">
        <f>IF(VLOOKUP($C757,REV!$C:$AA,9,0)-'TRADE IN'!$F757=0,"",(VLOOKUP($C757,REV!$C:$AA,9,0)-'TRADE IN'!$F757))</f>
        <v>6099</v>
      </c>
      <c r="L757" s="46">
        <f>IF(VLOOKUP($C757,REV!$C:$AA,10,0)-'TRADE IN'!$F796=0,"",(VLOOKUP($C757,REV!$C:$AA,10,0)-'TRADE IN'!$F757))</f>
        <v>6099</v>
      </c>
      <c r="M757" s="46">
        <f>IF(VLOOKUP($C757,REV!$C:$AA,11,0)-'TRADE IN'!$F796=0,"",(VLOOKUP($C757,REV!$C:$AA,11,0)-'TRADE IN'!$F757))</f>
        <v>6099</v>
      </c>
      <c r="N757" s="46">
        <f>IF(VLOOKUP($C757,REV!$C:$AA,12,0)-'TRADE IN'!$F796=0,"",(VLOOKUP($C757,REV!$C:$AA,12,0)-'TRADE IN'!$F757))</f>
        <v>6099</v>
      </c>
      <c r="O757" s="46">
        <f>IF(VLOOKUP($C757,REV!$C:$AA,13,0)-'TRADE IN'!$F796=0,"",(VLOOKUP($C757,REV!$C:$AA,13,0)-'TRADE IN'!$F757))</f>
        <v>5999</v>
      </c>
      <c r="P757" s="46">
        <f>IF(VLOOKUP($C757,REV!$C:$AA,14,0)-'TRADE IN'!$F796=0,"",(VLOOKUP($C757,REV!$C:$AA,14,0)-'TRADE IN'!$F757))</f>
        <v>5899</v>
      </c>
      <c r="Q757" s="46">
        <f>IF(VLOOKUP($C757,REV!$C:$AA,15,0)-'TRADE IN'!$F796=0,"",(VLOOKUP($C757,REV!$C:$AA,15,0)-'TRADE IN'!$F757))</f>
        <v>5499</v>
      </c>
      <c r="R757" s="46">
        <f>IF(VLOOKUP($C757,REV!$C:$AA,16,0)-'TRADE IN'!$F796=0,"",(VLOOKUP($C757,REV!$C:$AA,16,0)-'TRADE IN'!$F757))</f>
        <v>5999</v>
      </c>
      <c r="S757" s="46">
        <f>IF(VLOOKUP($C757,REV!$C:$AA,17,0)-'TRADE IN'!$F796=0,"",(VLOOKUP($C757,REV!$C:$AA,17,0)-'TRADE IN'!$F757))</f>
        <v>5899</v>
      </c>
      <c r="T757" s="46">
        <f>IF(VLOOKUP($C757,REV!$C:$AA,18,0)-'TRADE IN'!$F796=0,"",(VLOOKUP($C757,REV!$C:$AA,18,0)-'TRADE IN'!$F757))</f>
        <v>5499</v>
      </c>
      <c r="U757" s="46">
        <f>IF(VLOOKUP($C757,REV!$C:$AA,19,0)-'TRADE IN'!$F796=0,"",(VLOOKUP($C757,REV!$C:$AA,19,0)-'TRADE IN'!$F757))</f>
        <v>5499</v>
      </c>
      <c r="V757" s="46">
        <f>IF(VLOOKUP($C757,REV!$C:$AA,20,0)-'TRADE IN'!$F796=0,"",(VLOOKUP($C757,REV!$C:$AA,20,0)-'TRADE IN'!$F757))</f>
        <v>5499</v>
      </c>
      <c r="W757" s="46">
        <f>IF(VLOOKUP($C757,REV!$C:$AA,21,0)-'TRADE IN'!$F796=0,"",(VLOOKUP($C757,REV!$C:$AA,21,0)-'TRADE IN'!$F757))</f>
        <v>5499</v>
      </c>
      <c r="X757" s="46">
        <f>IF(VLOOKUP($C757,REV!$C:$AA,22,0)-'TRADE IN'!$F796=0,"",(VLOOKUP($C757,REV!$C:$AA,22,0)-'TRADE IN'!$F757))</f>
        <v>5399</v>
      </c>
      <c r="Y757" s="46">
        <f>IF(VLOOKUP($C757,REV!$C:$AA,23,0)-'TRADE IN'!$F796=0,"",(VLOOKUP($C757,REV!$C:$AA,23,0)-'TRADE IN'!$F757))</f>
        <v>3499</v>
      </c>
      <c r="Z757" s="46">
        <f>IF(VLOOKUP($C757,REV!$C:$AA,24,0)-'TRADE IN'!$F796=0,"",(VLOOKUP($C757,REV!$C:$AA,24,0)-'TRADE IN'!$F757))</f>
        <v>3499</v>
      </c>
      <c r="AA757" s="46">
        <f>IF(VLOOKUP($C757,REV!$C:$AA,25,0)-'TRADE IN'!$F796=0,"",(VLOOKUP($C757,REV!$C:$AA,25,0)-'TRADE IN'!$F757))</f>
        <v>3499</v>
      </c>
      <c r="AB757" s="46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7"/>
      <c r="AW757" s="48" t="str">
        <f>IF(REV!AW757=0,"",REV!AW757)</f>
        <v>31.03.2026</v>
      </c>
      <c r="AX757" s="159" t="s">
        <v>82</v>
      </c>
    </row>
    <row r="758" spans="1:50" ht="22.5" customHeight="1">
      <c r="A758" s="52" t="s">
        <v>70</v>
      </c>
      <c r="B758" s="41" t="s">
        <v>62</v>
      </c>
      <c r="C758" s="42">
        <v>4017762</v>
      </c>
      <c r="D758" s="66" t="s">
        <v>1006</v>
      </c>
      <c r="E758" s="44" t="s">
        <v>1007</v>
      </c>
      <c r="F758" s="45">
        <v>500</v>
      </c>
      <c r="G758" s="45"/>
      <c r="H758" s="45"/>
      <c r="I758" s="45"/>
      <c r="J758" s="46">
        <f>IF(VLOOKUP($C758,REV!$C:$AA,8,0)-'TRADE IN'!$F758=0,"",(VLOOKUP($C758,REV!$C:$AA,8,0)-'TRADE IN'!$F758))</f>
        <v>7099</v>
      </c>
      <c r="K758" s="46">
        <f>IF(VLOOKUP($C758,REV!$C:$AA,9,0)-'TRADE IN'!$F758=0,"",(VLOOKUP($C758,REV!$C:$AA,9,0)-'TRADE IN'!$F758))</f>
        <v>7099</v>
      </c>
      <c r="L758" s="46">
        <f>IF(VLOOKUP($C758,REV!$C:$AA,10,0)-'TRADE IN'!$F797=0,"",(VLOOKUP($C758,REV!$C:$AA,10,0)-'TRADE IN'!$F758))</f>
        <v>7099</v>
      </c>
      <c r="M758" s="46">
        <f>IF(VLOOKUP($C758,REV!$C:$AA,11,0)-'TRADE IN'!$F797=0,"",(VLOOKUP($C758,REV!$C:$AA,11,0)-'TRADE IN'!$F758))</f>
        <v>7099</v>
      </c>
      <c r="N758" s="46">
        <f>IF(VLOOKUP($C758,REV!$C:$AA,12,0)-'TRADE IN'!$F797=0,"",(VLOOKUP($C758,REV!$C:$AA,12,0)-'TRADE IN'!$F758))</f>
        <v>7099</v>
      </c>
      <c r="O758" s="46">
        <f>IF(VLOOKUP($C758,REV!$C:$AA,13,0)-'TRADE IN'!$F797=0,"",(VLOOKUP($C758,REV!$C:$AA,13,0)-'TRADE IN'!$F758))</f>
        <v>6999</v>
      </c>
      <c r="P758" s="46">
        <f>IF(VLOOKUP($C758,REV!$C:$AA,14,0)-'TRADE IN'!$F797=0,"",(VLOOKUP($C758,REV!$C:$AA,14,0)-'TRADE IN'!$F758))</f>
        <v>6899</v>
      </c>
      <c r="Q758" s="46">
        <f>IF(VLOOKUP($C758,REV!$C:$AA,15,0)-'TRADE IN'!$F797=0,"",(VLOOKUP($C758,REV!$C:$AA,15,0)-'TRADE IN'!$F758))</f>
        <v>6499</v>
      </c>
      <c r="R758" s="46">
        <f>IF(VLOOKUP($C758,REV!$C:$AA,16,0)-'TRADE IN'!$F797=0,"",(VLOOKUP($C758,REV!$C:$AA,16,0)-'TRADE IN'!$F758))</f>
        <v>6999</v>
      </c>
      <c r="S758" s="46">
        <f>IF(VLOOKUP($C758,REV!$C:$AA,17,0)-'TRADE IN'!$F797=0,"",(VLOOKUP($C758,REV!$C:$AA,17,0)-'TRADE IN'!$F758))</f>
        <v>6899</v>
      </c>
      <c r="T758" s="46">
        <f>IF(VLOOKUP($C758,REV!$C:$AA,18,0)-'TRADE IN'!$F797=0,"",(VLOOKUP($C758,REV!$C:$AA,18,0)-'TRADE IN'!$F758))</f>
        <v>6499</v>
      </c>
      <c r="U758" s="46">
        <f>IF(VLOOKUP($C758,REV!$C:$AA,19,0)-'TRADE IN'!$F797=0,"",(VLOOKUP($C758,REV!$C:$AA,19,0)-'TRADE IN'!$F758))</f>
        <v>6499</v>
      </c>
      <c r="V758" s="46">
        <f>IF(VLOOKUP($C758,REV!$C:$AA,20,0)-'TRADE IN'!$F797=0,"",(VLOOKUP($C758,REV!$C:$AA,20,0)-'TRADE IN'!$F758))</f>
        <v>6499</v>
      </c>
      <c r="W758" s="46">
        <f>IF(VLOOKUP($C758,REV!$C:$AA,21,0)-'TRADE IN'!$F797=0,"",(VLOOKUP($C758,REV!$C:$AA,21,0)-'TRADE IN'!$F758))</f>
        <v>6499</v>
      </c>
      <c r="X758" s="46">
        <f>IF(VLOOKUP($C758,REV!$C:$AA,22,0)-'TRADE IN'!$F797=0,"",(VLOOKUP($C758,REV!$C:$AA,22,0)-'TRADE IN'!$F758))</f>
        <v>5899</v>
      </c>
      <c r="Y758" s="46">
        <f>IF(VLOOKUP($C758,REV!$C:$AA,23,0)-'TRADE IN'!$F797=0,"",(VLOOKUP($C758,REV!$C:$AA,23,0)-'TRADE IN'!$F758))</f>
        <v>4499</v>
      </c>
      <c r="Z758" s="46">
        <f>IF(VLOOKUP($C758,REV!$C:$AA,24,0)-'TRADE IN'!$F797=0,"",(VLOOKUP($C758,REV!$C:$AA,24,0)-'TRADE IN'!$F758))</f>
        <v>4499</v>
      </c>
      <c r="AA758" s="46">
        <f>IF(VLOOKUP($C758,REV!$C:$AA,25,0)-'TRADE IN'!$F797=0,"",(VLOOKUP($C758,REV!$C:$AA,25,0)-'TRADE IN'!$F758))</f>
        <v>4499</v>
      </c>
      <c r="AB758" s="46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7"/>
      <c r="AW758" s="48" t="str">
        <f>IF(REV!AW758=0,"",REV!AW758)</f>
        <v>31.03.2026</v>
      </c>
      <c r="AX758" s="159" t="s">
        <v>82</v>
      </c>
    </row>
    <row r="759" spans="1:50" ht="22.5" customHeight="1">
      <c r="A759" s="52" t="s">
        <v>70</v>
      </c>
      <c r="B759" s="41" t="s">
        <v>62</v>
      </c>
      <c r="C759" s="42">
        <v>4017763</v>
      </c>
      <c r="D759" s="66" t="s">
        <v>1006</v>
      </c>
      <c r="E759" s="44" t="s">
        <v>1008</v>
      </c>
      <c r="F759" s="45">
        <v>500</v>
      </c>
      <c r="G759" s="45"/>
      <c r="H759" s="45"/>
      <c r="I759" s="45"/>
      <c r="J759" s="46">
        <f>IF(VLOOKUP($C759,REV!$C:$AA,8,0)-'TRADE IN'!$F759=0,"",(VLOOKUP($C759,REV!$C:$AA,8,0)-'TRADE IN'!$F759))</f>
        <v>7099</v>
      </c>
      <c r="K759" s="46">
        <f>IF(VLOOKUP($C759,REV!$C:$AA,9,0)-'TRADE IN'!$F759=0,"",(VLOOKUP($C759,REV!$C:$AA,9,0)-'TRADE IN'!$F759))</f>
        <v>7099</v>
      </c>
      <c r="L759" s="46">
        <f>IF(VLOOKUP($C759,REV!$C:$AA,10,0)-'TRADE IN'!$F798=0,"",(VLOOKUP($C759,REV!$C:$AA,10,0)-'TRADE IN'!$F759))</f>
        <v>7099</v>
      </c>
      <c r="M759" s="46">
        <f>IF(VLOOKUP($C759,REV!$C:$AA,11,0)-'TRADE IN'!$F798=0,"",(VLOOKUP($C759,REV!$C:$AA,11,0)-'TRADE IN'!$F759))</f>
        <v>7099</v>
      </c>
      <c r="N759" s="46">
        <f>IF(VLOOKUP($C759,REV!$C:$AA,12,0)-'TRADE IN'!$F798=0,"",(VLOOKUP($C759,REV!$C:$AA,12,0)-'TRADE IN'!$F759))</f>
        <v>7099</v>
      </c>
      <c r="O759" s="46">
        <f>IF(VLOOKUP($C759,REV!$C:$AA,13,0)-'TRADE IN'!$F798=0,"",(VLOOKUP($C759,REV!$C:$AA,13,0)-'TRADE IN'!$F759))</f>
        <v>6999</v>
      </c>
      <c r="P759" s="46">
        <f>IF(VLOOKUP($C759,REV!$C:$AA,14,0)-'TRADE IN'!$F798=0,"",(VLOOKUP($C759,REV!$C:$AA,14,0)-'TRADE IN'!$F759))</f>
        <v>6899</v>
      </c>
      <c r="Q759" s="46">
        <f>IF(VLOOKUP($C759,REV!$C:$AA,15,0)-'TRADE IN'!$F798=0,"",(VLOOKUP($C759,REV!$C:$AA,15,0)-'TRADE IN'!$F759))</f>
        <v>6499</v>
      </c>
      <c r="R759" s="46">
        <f>IF(VLOOKUP($C759,REV!$C:$AA,16,0)-'TRADE IN'!$F798=0,"",(VLOOKUP($C759,REV!$C:$AA,16,0)-'TRADE IN'!$F759))</f>
        <v>6999</v>
      </c>
      <c r="S759" s="46">
        <f>IF(VLOOKUP($C759,REV!$C:$AA,17,0)-'TRADE IN'!$F798=0,"",(VLOOKUP($C759,REV!$C:$AA,17,0)-'TRADE IN'!$F759))</f>
        <v>6899</v>
      </c>
      <c r="T759" s="46">
        <f>IF(VLOOKUP($C759,REV!$C:$AA,18,0)-'TRADE IN'!$F798=0,"",(VLOOKUP($C759,REV!$C:$AA,18,0)-'TRADE IN'!$F759))</f>
        <v>6499</v>
      </c>
      <c r="U759" s="46">
        <f>IF(VLOOKUP($C759,REV!$C:$AA,19,0)-'TRADE IN'!$F798=0,"",(VLOOKUP($C759,REV!$C:$AA,19,0)-'TRADE IN'!$F759))</f>
        <v>6499</v>
      </c>
      <c r="V759" s="46">
        <f>IF(VLOOKUP($C759,REV!$C:$AA,20,0)-'TRADE IN'!$F798=0,"",(VLOOKUP($C759,REV!$C:$AA,20,0)-'TRADE IN'!$F759))</f>
        <v>6499</v>
      </c>
      <c r="W759" s="46">
        <f>IF(VLOOKUP($C759,REV!$C:$AA,21,0)-'TRADE IN'!$F798=0,"",(VLOOKUP($C759,REV!$C:$AA,21,0)-'TRADE IN'!$F759))</f>
        <v>6499</v>
      </c>
      <c r="X759" s="46">
        <f>IF(VLOOKUP($C759,REV!$C:$AA,22,0)-'TRADE IN'!$F798=0,"",(VLOOKUP($C759,REV!$C:$AA,22,0)-'TRADE IN'!$F759))</f>
        <v>5899</v>
      </c>
      <c r="Y759" s="46">
        <f>IF(VLOOKUP($C759,REV!$C:$AA,23,0)-'TRADE IN'!$F798=0,"",(VLOOKUP($C759,REV!$C:$AA,23,0)-'TRADE IN'!$F759))</f>
        <v>4499</v>
      </c>
      <c r="Z759" s="46">
        <f>IF(VLOOKUP($C759,REV!$C:$AA,24,0)-'TRADE IN'!$F798=0,"",(VLOOKUP($C759,REV!$C:$AA,24,0)-'TRADE IN'!$F759))</f>
        <v>4499</v>
      </c>
      <c r="AA759" s="46">
        <f>IF(VLOOKUP($C759,REV!$C:$AA,25,0)-'TRADE IN'!$F798=0,"",(VLOOKUP($C759,REV!$C:$AA,25,0)-'TRADE IN'!$F759))</f>
        <v>4499</v>
      </c>
      <c r="AB759" s="46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7"/>
      <c r="AW759" s="48" t="str">
        <f>IF(REV!AW759=0,"",REV!AW759)</f>
        <v>31.03.2026</v>
      </c>
      <c r="AX759" s="159" t="s">
        <v>82</v>
      </c>
    </row>
    <row r="760" spans="1:50" ht="22.5" customHeight="1">
      <c r="A760" s="52" t="s">
        <v>70</v>
      </c>
      <c r="B760" s="41" t="s">
        <v>62</v>
      </c>
      <c r="C760" s="42">
        <v>4017766</v>
      </c>
      <c r="D760" s="66" t="s">
        <v>1006</v>
      </c>
      <c r="E760" s="44" t="s">
        <v>1009</v>
      </c>
      <c r="F760" s="45">
        <v>500</v>
      </c>
      <c r="G760" s="45"/>
      <c r="H760" s="45"/>
      <c r="I760" s="45"/>
      <c r="J760" s="46">
        <f>IF(VLOOKUP($C760,REV!$C:$AA,8,0)-'TRADE IN'!$F760=0,"",(VLOOKUP($C760,REV!$C:$AA,8,0)-'TRADE IN'!$F760))</f>
        <v>7099</v>
      </c>
      <c r="K760" s="46">
        <f>IF(VLOOKUP($C760,REV!$C:$AA,9,0)-'TRADE IN'!$F760=0,"",(VLOOKUP($C760,REV!$C:$AA,9,0)-'TRADE IN'!$F760))</f>
        <v>7099</v>
      </c>
      <c r="L760" s="46">
        <f>IF(VLOOKUP($C760,REV!$C:$AA,10,0)-'TRADE IN'!$F799=0,"",(VLOOKUP($C760,REV!$C:$AA,10,0)-'TRADE IN'!$F760))</f>
        <v>7099</v>
      </c>
      <c r="M760" s="46">
        <f>IF(VLOOKUP($C760,REV!$C:$AA,11,0)-'TRADE IN'!$F799=0,"",(VLOOKUP($C760,REV!$C:$AA,11,0)-'TRADE IN'!$F760))</f>
        <v>7099</v>
      </c>
      <c r="N760" s="46">
        <f>IF(VLOOKUP($C760,REV!$C:$AA,12,0)-'TRADE IN'!$F799=0,"",(VLOOKUP($C760,REV!$C:$AA,12,0)-'TRADE IN'!$F760))</f>
        <v>7099</v>
      </c>
      <c r="O760" s="46">
        <f>IF(VLOOKUP($C760,REV!$C:$AA,13,0)-'TRADE IN'!$F799=0,"",(VLOOKUP($C760,REV!$C:$AA,13,0)-'TRADE IN'!$F760))</f>
        <v>6999</v>
      </c>
      <c r="P760" s="46">
        <f>IF(VLOOKUP($C760,REV!$C:$AA,14,0)-'TRADE IN'!$F799=0,"",(VLOOKUP($C760,REV!$C:$AA,14,0)-'TRADE IN'!$F760))</f>
        <v>6899</v>
      </c>
      <c r="Q760" s="46">
        <f>IF(VLOOKUP($C760,REV!$C:$AA,15,0)-'TRADE IN'!$F799=0,"",(VLOOKUP($C760,REV!$C:$AA,15,0)-'TRADE IN'!$F760))</f>
        <v>6499</v>
      </c>
      <c r="R760" s="46">
        <f>IF(VLOOKUP($C760,REV!$C:$AA,16,0)-'TRADE IN'!$F799=0,"",(VLOOKUP($C760,REV!$C:$AA,16,0)-'TRADE IN'!$F760))</f>
        <v>6999</v>
      </c>
      <c r="S760" s="46">
        <f>IF(VLOOKUP($C760,REV!$C:$AA,17,0)-'TRADE IN'!$F799=0,"",(VLOOKUP($C760,REV!$C:$AA,17,0)-'TRADE IN'!$F760))</f>
        <v>6899</v>
      </c>
      <c r="T760" s="46">
        <f>IF(VLOOKUP($C760,REV!$C:$AA,18,0)-'TRADE IN'!$F799=0,"",(VLOOKUP($C760,REV!$C:$AA,18,0)-'TRADE IN'!$F760))</f>
        <v>6499</v>
      </c>
      <c r="U760" s="46">
        <f>IF(VLOOKUP($C760,REV!$C:$AA,19,0)-'TRADE IN'!$F799=0,"",(VLOOKUP($C760,REV!$C:$AA,19,0)-'TRADE IN'!$F760))</f>
        <v>6499</v>
      </c>
      <c r="V760" s="46">
        <f>IF(VLOOKUP($C760,REV!$C:$AA,20,0)-'TRADE IN'!$F799=0,"",(VLOOKUP($C760,REV!$C:$AA,20,0)-'TRADE IN'!$F760))</f>
        <v>6499</v>
      </c>
      <c r="W760" s="46">
        <f>IF(VLOOKUP($C760,REV!$C:$AA,21,0)-'TRADE IN'!$F799=0,"",(VLOOKUP($C760,REV!$C:$AA,21,0)-'TRADE IN'!$F760))</f>
        <v>6499</v>
      </c>
      <c r="X760" s="46">
        <f>IF(VLOOKUP($C760,REV!$C:$AA,22,0)-'TRADE IN'!$F799=0,"",(VLOOKUP($C760,REV!$C:$AA,22,0)-'TRADE IN'!$F760))</f>
        <v>5899</v>
      </c>
      <c r="Y760" s="46">
        <f>IF(VLOOKUP($C760,REV!$C:$AA,23,0)-'TRADE IN'!$F799=0,"",(VLOOKUP($C760,REV!$C:$AA,23,0)-'TRADE IN'!$F760))</f>
        <v>4499</v>
      </c>
      <c r="Z760" s="46">
        <f>IF(VLOOKUP($C760,REV!$C:$AA,24,0)-'TRADE IN'!$F799=0,"",(VLOOKUP($C760,REV!$C:$AA,24,0)-'TRADE IN'!$F760))</f>
        <v>4499</v>
      </c>
      <c r="AA760" s="46">
        <f>IF(VLOOKUP($C760,REV!$C:$AA,25,0)-'TRADE IN'!$F799=0,"",(VLOOKUP($C760,REV!$C:$AA,25,0)-'TRADE IN'!$F760))</f>
        <v>4499</v>
      </c>
      <c r="AB760" s="46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7"/>
      <c r="AW760" s="48" t="str">
        <f>IF(REV!AW760=0,"",REV!AW760)</f>
        <v>31.03.2026</v>
      </c>
      <c r="AX760" s="159" t="s">
        <v>82</v>
      </c>
    </row>
    <row r="761" spans="1:50" ht="22.5" customHeight="1">
      <c r="A761" s="52" t="s">
        <v>70</v>
      </c>
      <c r="B761" s="41" t="s">
        <v>62</v>
      </c>
      <c r="C761" s="42">
        <v>4017769</v>
      </c>
      <c r="D761" s="66" t="s">
        <v>1006</v>
      </c>
      <c r="E761" s="44" t="s">
        <v>1010</v>
      </c>
      <c r="F761" s="45">
        <v>500</v>
      </c>
      <c r="G761" s="45"/>
      <c r="H761" s="45"/>
      <c r="I761" s="45"/>
      <c r="J761" s="46">
        <f>IF(VLOOKUP($C761,REV!$C:$AA,8,0)-'TRADE IN'!$F761=0,"",(VLOOKUP($C761,REV!$C:$AA,8,0)-'TRADE IN'!$F761))</f>
        <v>7099</v>
      </c>
      <c r="K761" s="46">
        <f>IF(VLOOKUP($C761,REV!$C:$AA,9,0)-'TRADE IN'!$F761=0,"",(VLOOKUP($C761,REV!$C:$AA,9,0)-'TRADE IN'!$F761))</f>
        <v>7099</v>
      </c>
      <c r="L761" s="46">
        <f>IF(VLOOKUP($C761,REV!$C:$AA,10,0)-'TRADE IN'!$F800=0,"",(VLOOKUP($C761,REV!$C:$AA,10,0)-'TRADE IN'!$F761))</f>
        <v>7099</v>
      </c>
      <c r="M761" s="46">
        <f>IF(VLOOKUP($C761,REV!$C:$AA,11,0)-'TRADE IN'!$F800=0,"",(VLOOKUP($C761,REV!$C:$AA,11,0)-'TRADE IN'!$F761))</f>
        <v>7099</v>
      </c>
      <c r="N761" s="46">
        <f>IF(VLOOKUP($C761,REV!$C:$AA,12,0)-'TRADE IN'!$F800=0,"",(VLOOKUP($C761,REV!$C:$AA,12,0)-'TRADE IN'!$F761))</f>
        <v>7099</v>
      </c>
      <c r="O761" s="46">
        <f>IF(VLOOKUP($C761,REV!$C:$AA,13,0)-'TRADE IN'!$F800=0,"",(VLOOKUP($C761,REV!$C:$AA,13,0)-'TRADE IN'!$F761))</f>
        <v>6999</v>
      </c>
      <c r="P761" s="46">
        <f>IF(VLOOKUP($C761,REV!$C:$AA,14,0)-'TRADE IN'!$F800=0,"",(VLOOKUP($C761,REV!$C:$AA,14,0)-'TRADE IN'!$F761))</f>
        <v>6899</v>
      </c>
      <c r="Q761" s="46">
        <f>IF(VLOOKUP($C761,REV!$C:$AA,15,0)-'TRADE IN'!$F800=0,"",(VLOOKUP($C761,REV!$C:$AA,15,0)-'TRADE IN'!$F761))</f>
        <v>6499</v>
      </c>
      <c r="R761" s="46">
        <f>IF(VLOOKUP($C761,REV!$C:$AA,16,0)-'TRADE IN'!$F800=0,"",(VLOOKUP($C761,REV!$C:$AA,16,0)-'TRADE IN'!$F761))</f>
        <v>6999</v>
      </c>
      <c r="S761" s="46">
        <f>IF(VLOOKUP($C761,REV!$C:$AA,17,0)-'TRADE IN'!$F800=0,"",(VLOOKUP($C761,REV!$C:$AA,17,0)-'TRADE IN'!$F761))</f>
        <v>6899</v>
      </c>
      <c r="T761" s="46">
        <f>IF(VLOOKUP($C761,REV!$C:$AA,18,0)-'TRADE IN'!$F800=0,"",(VLOOKUP($C761,REV!$C:$AA,18,0)-'TRADE IN'!$F761))</f>
        <v>6499</v>
      </c>
      <c r="U761" s="46">
        <f>IF(VLOOKUP($C761,REV!$C:$AA,19,0)-'TRADE IN'!$F800=0,"",(VLOOKUP($C761,REV!$C:$AA,19,0)-'TRADE IN'!$F761))</f>
        <v>6499</v>
      </c>
      <c r="V761" s="46">
        <f>IF(VLOOKUP($C761,REV!$C:$AA,20,0)-'TRADE IN'!$F800=0,"",(VLOOKUP($C761,REV!$C:$AA,20,0)-'TRADE IN'!$F761))</f>
        <v>6499</v>
      </c>
      <c r="W761" s="46">
        <f>IF(VLOOKUP($C761,REV!$C:$AA,21,0)-'TRADE IN'!$F800=0,"",(VLOOKUP($C761,REV!$C:$AA,21,0)-'TRADE IN'!$F761))</f>
        <v>6499</v>
      </c>
      <c r="X761" s="46">
        <f>IF(VLOOKUP($C761,REV!$C:$AA,22,0)-'TRADE IN'!$F800=0,"",(VLOOKUP($C761,REV!$C:$AA,22,0)-'TRADE IN'!$F761))</f>
        <v>5899</v>
      </c>
      <c r="Y761" s="46">
        <f>IF(VLOOKUP($C761,REV!$C:$AA,23,0)-'TRADE IN'!$F800=0,"",(VLOOKUP($C761,REV!$C:$AA,23,0)-'TRADE IN'!$F761))</f>
        <v>4499</v>
      </c>
      <c r="Z761" s="46">
        <f>IF(VLOOKUP($C761,REV!$C:$AA,24,0)-'TRADE IN'!$F800=0,"",(VLOOKUP($C761,REV!$C:$AA,24,0)-'TRADE IN'!$F761))</f>
        <v>4499</v>
      </c>
      <c r="AA761" s="46">
        <f>IF(VLOOKUP($C761,REV!$C:$AA,25,0)-'TRADE IN'!$F800=0,"",(VLOOKUP($C761,REV!$C:$AA,25,0)-'TRADE IN'!$F761))</f>
        <v>4499</v>
      </c>
      <c r="AB761" s="46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7"/>
      <c r="AW761" s="48" t="str">
        <f>IF(REV!AW761=0,"",REV!AW761)</f>
        <v>31.03.2026</v>
      </c>
      <c r="AX761" s="159" t="s">
        <v>82</v>
      </c>
    </row>
    <row r="762" spans="1:50" ht="22.5" customHeight="1">
      <c r="A762" s="52" t="s">
        <v>70</v>
      </c>
      <c r="B762" s="41" t="s">
        <v>62</v>
      </c>
      <c r="C762" s="42">
        <v>4017764</v>
      </c>
      <c r="D762" s="66" t="s">
        <v>1011</v>
      </c>
      <c r="E762" s="44" t="s">
        <v>1012</v>
      </c>
      <c r="F762" s="45">
        <v>500</v>
      </c>
      <c r="G762" s="45"/>
      <c r="H762" s="45"/>
      <c r="I762" s="45"/>
      <c r="J762" s="46">
        <f>IF(VLOOKUP($C762,REV!$C:$AA,8,0)-'TRADE IN'!$F762=0,"",(VLOOKUP($C762,REV!$C:$AA,8,0)-'TRADE IN'!$F762))</f>
        <v>7099</v>
      </c>
      <c r="K762" s="46">
        <f>IF(VLOOKUP($C762,REV!$C:$AA,9,0)-'TRADE IN'!$F762=0,"",(VLOOKUP($C762,REV!$C:$AA,9,0)-'TRADE IN'!$F762))</f>
        <v>7099</v>
      </c>
      <c r="L762" s="46">
        <f>IF(VLOOKUP($C762,REV!$C:$AA,10,0)-'TRADE IN'!$F801=0,"",(VLOOKUP($C762,REV!$C:$AA,10,0)-'TRADE IN'!$F762))</f>
        <v>7099</v>
      </c>
      <c r="M762" s="46">
        <f>IF(VLOOKUP($C762,REV!$C:$AA,11,0)-'TRADE IN'!$F801=0,"",(VLOOKUP($C762,REV!$C:$AA,11,0)-'TRADE IN'!$F762))</f>
        <v>7099</v>
      </c>
      <c r="N762" s="46">
        <f>IF(VLOOKUP($C762,REV!$C:$AA,12,0)-'TRADE IN'!$F801=0,"",(VLOOKUP($C762,REV!$C:$AA,12,0)-'TRADE IN'!$F762))</f>
        <v>7099</v>
      </c>
      <c r="O762" s="46">
        <f>IF(VLOOKUP($C762,REV!$C:$AA,13,0)-'TRADE IN'!$F801=0,"",(VLOOKUP($C762,REV!$C:$AA,13,0)-'TRADE IN'!$F762))</f>
        <v>6999</v>
      </c>
      <c r="P762" s="46">
        <f>IF(VLOOKUP($C762,REV!$C:$AA,14,0)-'TRADE IN'!$F801=0,"",(VLOOKUP($C762,REV!$C:$AA,14,0)-'TRADE IN'!$F762))</f>
        <v>6899</v>
      </c>
      <c r="Q762" s="46">
        <f>IF(VLOOKUP($C762,REV!$C:$AA,15,0)-'TRADE IN'!$F801=0,"",(VLOOKUP($C762,REV!$C:$AA,15,0)-'TRADE IN'!$F762))</f>
        <v>6499</v>
      </c>
      <c r="R762" s="46">
        <f>IF(VLOOKUP($C762,REV!$C:$AA,16,0)-'TRADE IN'!$F801=0,"",(VLOOKUP($C762,REV!$C:$AA,16,0)-'TRADE IN'!$F762))</f>
        <v>6999</v>
      </c>
      <c r="S762" s="46">
        <f>IF(VLOOKUP($C762,REV!$C:$AA,17,0)-'TRADE IN'!$F801=0,"",(VLOOKUP($C762,REV!$C:$AA,17,0)-'TRADE IN'!$F762))</f>
        <v>6899</v>
      </c>
      <c r="T762" s="46">
        <f>IF(VLOOKUP($C762,REV!$C:$AA,18,0)-'TRADE IN'!$F801=0,"",(VLOOKUP($C762,REV!$C:$AA,18,0)-'TRADE IN'!$F762))</f>
        <v>6499</v>
      </c>
      <c r="U762" s="46">
        <f>IF(VLOOKUP($C762,REV!$C:$AA,19,0)-'TRADE IN'!$F801=0,"",(VLOOKUP($C762,REV!$C:$AA,19,0)-'TRADE IN'!$F762))</f>
        <v>6499</v>
      </c>
      <c r="V762" s="46">
        <f>IF(VLOOKUP($C762,REV!$C:$AA,20,0)-'TRADE IN'!$F801=0,"",(VLOOKUP($C762,REV!$C:$AA,20,0)-'TRADE IN'!$F762))</f>
        <v>6499</v>
      </c>
      <c r="W762" s="46">
        <f>IF(VLOOKUP($C762,REV!$C:$AA,21,0)-'TRADE IN'!$F801=0,"",(VLOOKUP($C762,REV!$C:$AA,21,0)-'TRADE IN'!$F762))</f>
        <v>6499</v>
      </c>
      <c r="X762" s="46">
        <f>IF(VLOOKUP($C762,REV!$C:$AA,22,0)-'TRADE IN'!$F801=0,"",(VLOOKUP($C762,REV!$C:$AA,22,0)-'TRADE IN'!$F762))</f>
        <v>5899</v>
      </c>
      <c r="Y762" s="46">
        <f>IF(VLOOKUP($C762,REV!$C:$AA,23,0)-'TRADE IN'!$F801=0,"",(VLOOKUP($C762,REV!$C:$AA,23,0)-'TRADE IN'!$F762))</f>
        <v>4499</v>
      </c>
      <c r="Z762" s="46">
        <f>IF(VLOOKUP($C762,REV!$C:$AA,24,0)-'TRADE IN'!$F801=0,"",(VLOOKUP($C762,REV!$C:$AA,24,0)-'TRADE IN'!$F762))</f>
        <v>4499</v>
      </c>
      <c r="AA762" s="46">
        <f>IF(VLOOKUP($C762,REV!$C:$AA,25,0)-'TRADE IN'!$F801=0,"",(VLOOKUP($C762,REV!$C:$AA,25,0)-'TRADE IN'!$F762))</f>
        <v>4499</v>
      </c>
      <c r="AB762" s="46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7"/>
      <c r="AW762" s="48" t="str">
        <f>IF(REV!AW762=0,"",REV!AW762)</f>
        <v>31.03.2026</v>
      </c>
      <c r="AX762" s="159" t="s">
        <v>82</v>
      </c>
    </row>
    <row r="763" spans="1:50" ht="22.5" customHeight="1">
      <c r="A763" s="52" t="s">
        <v>70</v>
      </c>
      <c r="B763" s="41" t="s">
        <v>62</v>
      </c>
      <c r="C763" s="42">
        <v>4017765</v>
      </c>
      <c r="D763" s="66" t="s">
        <v>1011</v>
      </c>
      <c r="E763" s="44" t="s">
        <v>1013</v>
      </c>
      <c r="F763" s="45">
        <v>500</v>
      </c>
      <c r="G763" s="45"/>
      <c r="H763" s="45"/>
      <c r="I763" s="45"/>
      <c r="J763" s="46">
        <f>IF(VLOOKUP($C763,REV!$C:$AA,8,0)-'TRADE IN'!$F763=0,"",(VLOOKUP($C763,REV!$C:$AA,8,0)-'TRADE IN'!$F763))</f>
        <v>7099</v>
      </c>
      <c r="K763" s="46">
        <f>IF(VLOOKUP($C763,REV!$C:$AA,9,0)-'TRADE IN'!$F763=0,"",(VLOOKUP($C763,REV!$C:$AA,9,0)-'TRADE IN'!$F763))</f>
        <v>7099</v>
      </c>
      <c r="L763" s="46">
        <f>IF(VLOOKUP($C763,REV!$C:$AA,10,0)-'TRADE IN'!$F802=0,"",(VLOOKUP($C763,REV!$C:$AA,10,0)-'TRADE IN'!$F763))</f>
        <v>7099</v>
      </c>
      <c r="M763" s="46">
        <f>IF(VLOOKUP($C763,REV!$C:$AA,11,0)-'TRADE IN'!$F802=0,"",(VLOOKUP($C763,REV!$C:$AA,11,0)-'TRADE IN'!$F763))</f>
        <v>7099</v>
      </c>
      <c r="N763" s="46">
        <f>IF(VLOOKUP($C763,REV!$C:$AA,12,0)-'TRADE IN'!$F802=0,"",(VLOOKUP($C763,REV!$C:$AA,12,0)-'TRADE IN'!$F763))</f>
        <v>7099</v>
      </c>
      <c r="O763" s="46">
        <f>IF(VLOOKUP($C763,REV!$C:$AA,13,0)-'TRADE IN'!$F802=0,"",(VLOOKUP($C763,REV!$C:$AA,13,0)-'TRADE IN'!$F763))</f>
        <v>6999</v>
      </c>
      <c r="P763" s="46">
        <f>IF(VLOOKUP($C763,REV!$C:$AA,14,0)-'TRADE IN'!$F802=0,"",(VLOOKUP($C763,REV!$C:$AA,14,0)-'TRADE IN'!$F763))</f>
        <v>6899</v>
      </c>
      <c r="Q763" s="46">
        <f>IF(VLOOKUP($C763,REV!$C:$AA,15,0)-'TRADE IN'!$F802=0,"",(VLOOKUP($C763,REV!$C:$AA,15,0)-'TRADE IN'!$F763))</f>
        <v>6499</v>
      </c>
      <c r="R763" s="46">
        <f>IF(VLOOKUP($C763,REV!$C:$AA,16,0)-'TRADE IN'!$F802=0,"",(VLOOKUP($C763,REV!$C:$AA,16,0)-'TRADE IN'!$F763))</f>
        <v>6999</v>
      </c>
      <c r="S763" s="46">
        <f>IF(VLOOKUP($C763,REV!$C:$AA,17,0)-'TRADE IN'!$F802=0,"",(VLOOKUP($C763,REV!$C:$AA,17,0)-'TRADE IN'!$F763))</f>
        <v>6899</v>
      </c>
      <c r="T763" s="46">
        <f>IF(VLOOKUP($C763,REV!$C:$AA,18,0)-'TRADE IN'!$F802=0,"",(VLOOKUP($C763,REV!$C:$AA,18,0)-'TRADE IN'!$F763))</f>
        <v>6499</v>
      </c>
      <c r="U763" s="46">
        <f>IF(VLOOKUP($C763,REV!$C:$AA,19,0)-'TRADE IN'!$F802=0,"",(VLOOKUP($C763,REV!$C:$AA,19,0)-'TRADE IN'!$F763))</f>
        <v>6499</v>
      </c>
      <c r="V763" s="46">
        <f>IF(VLOOKUP($C763,REV!$C:$AA,20,0)-'TRADE IN'!$F802=0,"",(VLOOKUP($C763,REV!$C:$AA,20,0)-'TRADE IN'!$F763))</f>
        <v>6499</v>
      </c>
      <c r="W763" s="46">
        <f>IF(VLOOKUP($C763,REV!$C:$AA,21,0)-'TRADE IN'!$F802=0,"",(VLOOKUP($C763,REV!$C:$AA,21,0)-'TRADE IN'!$F763))</f>
        <v>6499</v>
      </c>
      <c r="X763" s="46">
        <f>IF(VLOOKUP($C763,REV!$C:$AA,22,0)-'TRADE IN'!$F802=0,"",(VLOOKUP($C763,REV!$C:$AA,22,0)-'TRADE IN'!$F763))</f>
        <v>5899</v>
      </c>
      <c r="Y763" s="46">
        <f>IF(VLOOKUP($C763,REV!$C:$AA,23,0)-'TRADE IN'!$F802=0,"",(VLOOKUP($C763,REV!$C:$AA,23,0)-'TRADE IN'!$F763))</f>
        <v>4499</v>
      </c>
      <c r="Z763" s="46">
        <f>IF(VLOOKUP($C763,REV!$C:$AA,24,0)-'TRADE IN'!$F802=0,"",(VLOOKUP($C763,REV!$C:$AA,24,0)-'TRADE IN'!$F763))</f>
        <v>4499</v>
      </c>
      <c r="AA763" s="46">
        <f>IF(VLOOKUP($C763,REV!$C:$AA,25,0)-'TRADE IN'!$F802=0,"",(VLOOKUP($C763,REV!$C:$AA,25,0)-'TRADE IN'!$F763))</f>
        <v>4499</v>
      </c>
      <c r="AB763" s="46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7"/>
      <c r="AW763" s="48" t="str">
        <f>IF(REV!AW763=0,"",REV!AW763)</f>
        <v>31.03.2026</v>
      </c>
      <c r="AX763" s="159" t="s">
        <v>82</v>
      </c>
    </row>
    <row r="764" spans="1:50" ht="22.5" customHeight="1">
      <c r="A764" s="52" t="s">
        <v>70</v>
      </c>
      <c r="B764" s="41" t="s">
        <v>62</v>
      </c>
      <c r="C764" s="42">
        <v>4017767</v>
      </c>
      <c r="D764" s="66" t="s">
        <v>1011</v>
      </c>
      <c r="E764" s="44" t="s">
        <v>1014</v>
      </c>
      <c r="F764" s="45">
        <v>500</v>
      </c>
      <c r="G764" s="45"/>
      <c r="H764" s="45"/>
      <c r="I764" s="45"/>
      <c r="J764" s="46">
        <f>IF(VLOOKUP($C764,REV!$C:$AA,8,0)-'TRADE IN'!$F764=0,"",(VLOOKUP($C764,REV!$C:$AA,8,0)-'TRADE IN'!$F764))</f>
        <v>7099</v>
      </c>
      <c r="K764" s="46">
        <f>IF(VLOOKUP($C764,REV!$C:$AA,9,0)-'TRADE IN'!$F764=0,"",(VLOOKUP($C764,REV!$C:$AA,9,0)-'TRADE IN'!$F764))</f>
        <v>7099</v>
      </c>
      <c r="L764" s="46">
        <f>IF(VLOOKUP($C764,REV!$C:$AA,10,0)-'TRADE IN'!$F803=0,"",(VLOOKUP($C764,REV!$C:$AA,10,0)-'TRADE IN'!$F764))</f>
        <v>7099</v>
      </c>
      <c r="M764" s="46">
        <f>IF(VLOOKUP($C764,REV!$C:$AA,11,0)-'TRADE IN'!$F803=0,"",(VLOOKUP($C764,REV!$C:$AA,11,0)-'TRADE IN'!$F764))</f>
        <v>7099</v>
      </c>
      <c r="N764" s="46">
        <f>IF(VLOOKUP($C764,REV!$C:$AA,12,0)-'TRADE IN'!$F803=0,"",(VLOOKUP($C764,REV!$C:$AA,12,0)-'TRADE IN'!$F764))</f>
        <v>7099</v>
      </c>
      <c r="O764" s="46">
        <f>IF(VLOOKUP($C764,REV!$C:$AA,13,0)-'TRADE IN'!$F803=0,"",(VLOOKUP($C764,REV!$C:$AA,13,0)-'TRADE IN'!$F764))</f>
        <v>6999</v>
      </c>
      <c r="P764" s="46">
        <f>IF(VLOOKUP($C764,REV!$C:$AA,14,0)-'TRADE IN'!$F803=0,"",(VLOOKUP($C764,REV!$C:$AA,14,0)-'TRADE IN'!$F764))</f>
        <v>6899</v>
      </c>
      <c r="Q764" s="46">
        <f>IF(VLOOKUP($C764,REV!$C:$AA,15,0)-'TRADE IN'!$F803=0,"",(VLOOKUP($C764,REV!$C:$AA,15,0)-'TRADE IN'!$F764))</f>
        <v>6499</v>
      </c>
      <c r="R764" s="46">
        <f>IF(VLOOKUP($C764,REV!$C:$AA,16,0)-'TRADE IN'!$F803=0,"",(VLOOKUP($C764,REV!$C:$AA,16,0)-'TRADE IN'!$F764))</f>
        <v>6999</v>
      </c>
      <c r="S764" s="46">
        <f>IF(VLOOKUP($C764,REV!$C:$AA,17,0)-'TRADE IN'!$F803=0,"",(VLOOKUP($C764,REV!$C:$AA,17,0)-'TRADE IN'!$F764))</f>
        <v>6899</v>
      </c>
      <c r="T764" s="46">
        <f>IF(VLOOKUP($C764,REV!$C:$AA,18,0)-'TRADE IN'!$F803=0,"",(VLOOKUP($C764,REV!$C:$AA,18,0)-'TRADE IN'!$F764))</f>
        <v>6499</v>
      </c>
      <c r="U764" s="46">
        <f>IF(VLOOKUP($C764,REV!$C:$AA,19,0)-'TRADE IN'!$F803=0,"",(VLOOKUP($C764,REV!$C:$AA,19,0)-'TRADE IN'!$F764))</f>
        <v>6499</v>
      </c>
      <c r="V764" s="46">
        <f>IF(VLOOKUP($C764,REV!$C:$AA,20,0)-'TRADE IN'!$F803=0,"",(VLOOKUP($C764,REV!$C:$AA,20,0)-'TRADE IN'!$F764))</f>
        <v>6499</v>
      </c>
      <c r="W764" s="46">
        <f>IF(VLOOKUP($C764,REV!$C:$AA,21,0)-'TRADE IN'!$F803=0,"",(VLOOKUP($C764,REV!$C:$AA,21,0)-'TRADE IN'!$F764))</f>
        <v>6499</v>
      </c>
      <c r="X764" s="46">
        <f>IF(VLOOKUP($C764,REV!$C:$AA,22,0)-'TRADE IN'!$F803=0,"",(VLOOKUP($C764,REV!$C:$AA,22,0)-'TRADE IN'!$F764))</f>
        <v>5899</v>
      </c>
      <c r="Y764" s="46">
        <f>IF(VLOOKUP($C764,REV!$C:$AA,23,0)-'TRADE IN'!$F803=0,"",(VLOOKUP($C764,REV!$C:$AA,23,0)-'TRADE IN'!$F764))</f>
        <v>4499</v>
      </c>
      <c r="Z764" s="46">
        <f>IF(VLOOKUP($C764,REV!$C:$AA,24,0)-'TRADE IN'!$F803=0,"",(VLOOKUP($C764,REV!$C:$AA,24,0)-'TRADE IN'!$F764))</f>
        <v>4499</v>
      </c>
      <c r="AA764" s="46">
        <f>IF(VLOOKUP($C764,REV!$C:$AA,25,0)-'TRADE IN'!$F803=0,"",(VLOOKUP($C764,REV!$C:$AA,25,0)-'TRADE IN'!$F764))</f>
        <v>4499</v>
      </c>
      <c r="AB764" s="46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7"/>
      <c r="AW764" s="48" t="str">
        <f>IF(REV!AW764=0,"",REV!AW764)</f>
        <v>31.03.2026</v>
      </c>
      <c r="AX764" s="159" t="s">
        <v>82</v>
      </c>
    </row>
    <row r="765" spans="1:50" ht="22.5" customHeight="1">
      <c r="A765" s="52" t="s">
        <v>70</v>
      </c>
      <c r="B765" s="41" t="s">
        <v>62</v>
      </c>
      <c r="C765" s="42">
        <v>4017768</v>
      </c>
      <c r="D765" s="66" t="s">
        <v>1011</v>
      </c>
      <c r="E765" s="44" t="s">
        <v>1015</v>
      </c>
      <c r="F765" s="45">
        <v>500</v>
      </c>
      <c r="G765" s="45"/>
      <c r="H765" s="45"/>
      <c r="I765" s="45"/>
      <c r="J765" s="46">
        <f>IF(VLOOKUP($C765,REV!$C:$AA,8,0)-'TRADE IN'!$F765=0,"",(VLOOKUP($C765,REV!$C:$AA,8,0)-'TRADE IN'!$F765))</f>
        <v>7099</v>
      </c>
      <c r="K765" s="46">
        <f>IF(VLOOKUP($C765,REV!$C:$AA,9,0)-'TRADE IN'!$F765=0,"",(VLOOKUP($C765,REV!$C:$AA,9,0)-'TRADE IN'!$F765))</f>
        <v>7099</v>
      </c>
      <c r="L765" s="46">
        <f>IF(VLOOKUP($C765,REV!$C:$AA,10,0)-'TRADE IN'!$F804=0,"",(VLOOKUP($C765,REV!$C:$AA,10,0)-'TRADE IN'!$F765))</f>
        <v>7099</v>
      </c>
      <c r="M765" s="46">
        <f>IF(VLOOKUP($C765,REV!$C:$AA,11,0)-'TRADE IN'!$F804=0,"",(VLOOKUP($C765,REV!$C:$AA,11,0)-'TRADE IN'!$F765))</f>
        <v>7099</v>
      </c>
      <c r="N765" s="46">
        <f>IF(VLOOKUP($C765,REV!$C:$AA,12,0)-'TRADE IN'!$F804=0,"",(VLOOKUP($C765,REV!$C:$AA,12,0)-'TRADE IN'!$F765))</f>
        <v>7099</v>
      </c>
      <c r="O765" s="46">
        <f>IF(VLOOKUP($C765,REV!$C:$AA,13,0)-'TRADE IN'!$F804=0,"",(VLOOKUP($C765,REV!$C:$AA,13,0)-'TRADE IN'!$F765))</f>
        <v>6999</v>
      </c>
      <c r="P765" s="46">
        <f>IF(VLOOKUP($C765,REV!$C:$AA,14,0)-'TRADE IN'!$F804=0,"",(VLOOKUP($C765,REV!$C:$AA,14,0)-'TRADE IN'!$F765))</f>
        <v>6899</v>
      </c>
      <c r="Q765" s="46">
        <f>IF(VLOOKUP($C765,REV!$C:$AA,15,0)-'TRADE IN'!$F804=0,"",(VLOOKUP($C765,REV!$C:$AA,15,0)-'TRADE IN'!$F765))</f>
        <v>6499</v>
      </c>
      <c r="R765" s="46">
        <f>IF(VLOOKUP($C765,REV!$C:$AA,16,0)-'TRADE IN'!$F804=0,"",(VLOOKUP($C765,REV!$C:$AA,16,0)-'TRADE IN'!$F765))</f>
        <v>6999</v>
      </c>
      <c r="S765" s="46">
        <f>IF(VLOOKUP($C765,REV!$C:$AA,17,0)-'TRADE IN'!$F804=0,"",(VLOOKUP($C765,REV!$C:$AA,17,0)-'TRADE IN'!$F765))</f>
        <v>6899</v>
      </c>
      <c r="T765" s="46">
        <f>IF(VLOOKUP($C765,REV!$C:$AA,18,0)-'TRADE IN'!$F804=0,"",(VLOOKUP($C765,REV!$C:$AA,18,0)-'TRADE IN'!$F765))</f>
        <v>6499</v>
      </c>
      <c r="U765" s="46">
        <f>IF(VLOOKUP($C765,REV!$C:$AA,19,0)-'TRADE IN'!$F804=0,"",(VLOOKUP($C765,REV!$C:$AA,19,0)-'TRADE IN'!$F765))</f>
        <v>6499</v>
      </c>
      <c r="V765" s="46">
        <f>IF(VLOOKUP($C765,REV!$C:$AA,20,0)-'TRADE IN'!$F804=0,"",(VLOOKUP($C765,REV!$C:$AA,20,0)-'TRADE IN'!$F765))</f>
        <v>6499</v>
      </c>
      <c r="W765" s="46">
        <f>IF(VLOOKUP($C765,REV!$C:$AA,21,0)-'TRADE IN'!$F804=0,"",(VLOOKUP($C765,REV!$C:$AA,21,0)-'TRADE IN'!$F765))</f>
        <v>6499</v>
      </c>
      <c r="X765" s="46">
        <f>IF(VLOOKUP($C765,REV!$C:$AA,22,0)-'TRADE IN'!$F804=0,"",(VLOOKUP($C765,REV!$C:$AA,22,0)-'TRADE IN'!$F765))</f>
        <v>5899</v>
      </c>
      <c r="Y765" s="46">
        <f>IF(VLOOKUP($C765,REV!$C:$AA,23,0)-'TRADE IN'!$F804=0,"",(VLOOKUP($C765,REV!$C:$AA,23,0)-'TRADE IN'!$F765))</f>
        <v>4499</v>
      </c>
      <c r="Z765" s="46">
        <f>IF(VLOOKUP($C765,REV!$C:$AA,24,0)-'TRADE IN'!$F804=0,"",(VLOOKUP($C765,REV!$C:$AA,24,0)-'TRADE IN'!$F765))</f>
        <v>4499</v>
      </c>
      <c r="AA765" s="46">
        <f>IF(VLOOKUP($C765,REV!$C:$AA,25,0)-'TRADE IN'!$F804=0,"",(VLOOKUP($C765,REV!$C:$AA,25,0)-'TRADE IN'!$F765))</f>
        <v>4499</v>
      </c>
      <c r="AB765" s="46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7"/>
      <c r="AW765" s="48" t="str">
        <f>IF(REV!AW765=0,"",REV!AW765)</f>
        <v>31.03.2026</v>
      </c>
      <c r="AX765" s="159" t="s">
        <v>82</v>
      </c>
    </row>
    <row r="766" spans="1:50" ht="22.5" customHeight="1">
      <c r="A766" s="52" t="s">
        <v>70</v>
      </c>
      <c r="B766" s="41" t="s">
        <v>62</v>
      </c>
      <c r="C766" s="42">
        <v>4017614</v>
      </c>
      <c r="D766" s="66" t="s">
        <v>1016</v>
      </c>
      <c r="E766" s="44" t="s">
        <v>1017</v>
      </c>
      <c r="F766" s="45">
        <v>1000</v>
      </c>
      <c r="G766" s="45"/>
      <c r="H766" s="45"/>
      <c r="I766" s="45"/>
      <c r="J766" s="46">
        <f>IF(VLOOKUP($C766,REV!$C:$AA,8,0)-'TRADE IN'!$F766=0,"",(VLOOKUP($C766,REV!$C:$AA,8,0)-'TRADE IN'!$F766))</f>
        <v>8199</v>
      </c>
      <c r="K766" s="46">
        <f>IF(VLOOKUP($C766,REV!$C:$AA,9,0)-'TRADE IN'!$F766=0,"",(VLOOKUP($C766,REV!$C:$AA,9,0)-'TRADE IN'!$F766))</f>
        <v>8199</v>
      </c>
      <c r="L766" s="46">
        <f>IF(VLOOKUP($C766,REV!$C:$AA,10,0)-'TRADE IN'!$F805=0,"",(VLOOKUP($C766,REV!$C:$AA,10,0)-'TRADE IN'!$F766))</f>
        <v>8199</v>
      </c>
      <c r="M766" s="46">
        <f>IF(VLOOKUP($C766,REV!$C:$AA,11,0)-'TRADE IN'!$F805=0,"",(VLOOKUP($C766,REV!$C:$AA,11,0)-'TRADE IN'!$F766))</f>
        <v>8199</v>
      </c>
      <c r="N766" s="46">
        <f>IF(VLOOKUP($C766,REV!$C:$AA,12,0)-'TRADE IN'!$F805=0,"",(VLOOKUP($C766,REV!$C:$AA,12,0)-'TRADE IN'!$F766))</f>
        <v>8199</v>
      </c>
      <c r="O766" s="46">
        <f>IF(VLOOKUP($C766,REV!$C:$AA,13,0)-'TRADE IN'!$F805=0,"",(VLOOKUP($C766,REV!$C:$AA,13,0)-'TRADE IN'!$F766))</f>
        <v>8099</v>
      </c>
      <c r="P766" s="46">
        <f>IF(VLOOKUP($C766,REV!$C:$AA,14,0)-'TRADE IN'!$F805=0,"",(VLOOKUP($C766,REV!$C:$AA,14,0)-'TRADE IN'!$F766))</f>
        <v>7999</v>
      </c>
      <c r="Q766" s="46">
        <f>IF(VLOOKUP($C766,REV!$C:$AA,15,0)-'TRADE IN'!$F805=0,"",(VLOOKUP($C766,REV!$C:$AA,15,0)-'TRADE IN'!$F766))</f>
        <v>7499</v>
      </c>
      <c r="R766" s="46">
        <f>IF(VLOOKUP($C766,REV!$C:$AA,16,0)-'TRADE IN'!$F805=0,"",(VLOOKUP($C766,REV!$C:$AA,16,0)-'TRADE IN'!$F766))</f>
        <v>8099</v>
      </c>
      <c r="S766" s="46">
        <f>IF(VLOOKUP($C766,REV!$C:$AA,17,0)-'TRADE IN'!$F805=0,"",(VLOOKUP($C766,REV!$C:$AA,17,0)-'TRADE IN'!$F766))</f>
        <v>7999</v>
      </c>
      <c r="T766" s="46">
        <f>IF(VLOOKUP($C766,REV!$C:$AA,18,0)-'TRADE IN'!$F805=0,"",(VLOOKUP($C766,REV!$C:$AA,18,0)-'TRADE IN'!$F766))</f>
        <v>7499</v>
      </c>
      <c r="U766" s="46">
        <f>IF(VLOOKUP($C766,REV!$C:$AA,19,0)-'TRADE IN'!$F805=0,"",(VLOOKUP($C766,REV!$C:$AA,19,0)-'TRADE IN'!$F766))</f>
        <v>7499</v>
      </c>
      <c r="V766" s="46">
        <f>IF(VLOOKUP($C766,REV!$C:$AA,20,0)-'TRADE IN'!$F805=0,"",(VLOOKUP($C766,REV!$C:$AA,20,0)-'TRADE IN'!$F766))</f>
        <v>7499</v>
      </c>
      <c r="W766" s="46">
        <f>IF(VLOOKUP($C766,REV!$C:$AA,21,0)-'TRADE IN'!$F805=0,"",(VLOOKUP($C766,REV!$C:$AA,21,0)-'TRADE IN'!$F766))</f>
        <v>7499</v>
      </c>
      <c r="X766" s="46">
        <f>IF(VLOOKUP($C766,REV!$C:$AA,22,0)-'TRADE IN'!$F805=0,"",(VLOOKUP($C766,REV!$C:$AA,22,0)-'TRADE IN'!$F766))</f>
        <v>7399</v>
      </c>
      <c r="Y766" s="46">
        <f>IF(VLOOKUP($C766,REV!$C:$AA,23,0)-'TRADE IN'!$F805=0,"",(VLOOKUP($C766,REV!$C:$AA,23,0)-'TRADE IN'!$F766))</f>
        <v>4999</v>
      </c>
      <c r="Z766" s="46">
        <f>IF(VLOOKUP($C766,REV!$C:$AA,24,0)-'TRADE IN'!$F805=0,"",(VLOOKUP($C766,REV!$C:$AA,24,0)-'TRADE IN'!$F766))</f>
        <v>4999</v>
      </c>
      <c r="AA766" s="46">
        <f>IF(VLOOKUP($C766,REV!$C:$AA,25,0)-'TRADE IN'!$F805=0,"",(VLOOKUP($C766,REV!$C:$AA,25,0)-'TRADE IN'!$F766))</f>
        <v>4999</v>
      </c>
      <c r="AB766" s="46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7"/>
      <c r="AW766" s="48" t="str">
        <f>IF(REV!AW766=0,"",REV!AW766)</f>
        <v>31.03.2026</v>
      </c>
      <c r="AX766" s="159" t="s">
        <v>82</v>
      </c>
    </row>
    <row r="767" spans="1:50" ht="22.5" customHeight="1">
      <c r="A767" s="52" t="s">
        <v>70</v>
      </c>
      <c r="B767" s="41" t="s">
        <v>62</v>
      </c>
      <c r="C767" s="42">
        <v>4017616</v>
      </c>
      <c r="D767" s="66" t="s">
        <v>1016</v>
      </c>
      <c r="E767" s="44" t="s">
        <v>1018</v>
      </c>
      <c r="F767" s="45">
        <v>1000</v>
      </c>
      <c r="G767" s="45"/>
      <c r="H767" s="45"/>
      <c r="I767" s="45"/>
      <c r="J767" s="46">
        <f>IF(VLOOKUP($C767,REV!$C:$AA,8,0)-'TRADE IN'!$F767=0,"",(VLOOKUP($C767,REV!$C:$AA,8,0)-'TRADE IN'!$F767))</f>
        <v>8199</v>
      </c>
      <c r="K767" s="46">
        <f>IF(VLOOKUP($C767,REV!$C:$AA,9,0)-'TRADE IN'!$F767=0,"",(VLOOKUP($C767,REV!$C:$AA,9,0)-'TRADE IN'!$F767))</f>
        <v>8199</v>
      </c>
      <c r="L767" s="46">
        <f>IF(VLOOKUP($C767,REV!$C:$AA,10,0)-'TRADE IN'!$F806=0,"",(VLOOKUP($C767,REV!$C:$AA,10,0)-'TRADE IN'!$F767))</f>
        <v>8199</v>
      </c>
      <c r="M767" s="46">
        <f>IF(VLOOKUP($C767,REV!$C:$AA,11,0)-'TRADE IN'!$F806=0,"",(VLOOKUP($C767,REV!$C:$AA,11,0)-'TRADE IN'!$F767))</f>
        <v>8199</v>
      </c>
      <c r="N767" s="46">
        <f>IF(VLOOKUP($C767,REV!$C:$AA,12,0)-'TRADE IN'!$F806=0,"",(VLOOKUP($C767,REV!$C:$AA,12,0)-'TRADE IN'!$F767))</f>
        <v>8199</v>
      </c>
      <c r="O767" s="46">
        <f>IF(VLOOKUP($C767,REV!$C:$AA,13,0)-'TRADE IN'!$F806=0,"",(VLOOKUP($C767,REV!$C:$AA,13,0)-'TRADE IN'!$F767))</f>
        <v>8099</v>
      </c>
      <c r="P767" s="46">
        <f>IF(VLOOKUP($C767,REV!$C:$AA,14,0)-'TRADE IN'!$F806=0,"",(VLOOKUP($C767,REV!$C:$AA,14,0)-'TRADE IN'!$F767))</f>
        <v>7999</v>
      </c>
      <c r="Q767" s="46">
        <f>IF(VLOOKUP($C767,REV!$C:$AA,15,0)-'TRADE IN'!$F806=0,"",(VLOOKUP($C767,REV!$C:$AA,15,0)-'TRADE IN'!$F767))</f>
        <v>7499</v>
      </c>
      <c r="R767" s="46">
        <f>IF(VLOOKUP($C767,REV!$C:$AA,16,0)-'TRADE IN'!$F806=0,"",(VLOOKUP($C767,REV!$C:$AA,16,0)-'TRADE IN'!$F767))</f>
        <v>8099</v>
      </c>
      <c r="S767" s="46">
        <f>IF(VLOOKUP($C767,REV!$C:$AA,17,0)-'TRADE IN'!$F806=0,"",(VLOOKUP($C767,REV!$C:$AA,17,0)-'TRADE IN'!$F767))</f>
        <v>7999</v>
      </c>
      <c r="T767" s="46">
        <f>IF(VLOOKUP($C767,REV!$C:$AA,18,0)-'TRADE IN'!$F806=0,"",(VLOOKUP($C767,REV!$C:$AA,18,0)-'TRADE IN'!$F767))</f>
        <v>7499</v>
      </c>
      <c r="U767" s="46">
        <f>IF(VLOOKUP($C767,REV!$C:$AA,19,0)-'TRADE IN'!$F806=0,"",(VLOOKUP($C767,REV!$C:$AA,19,0)-'TRADE IN'!$F767))</f>
        <v>7499</v>
      </c>
      <c r="V767" s="46">
        <f>IF(VLOOKUP($C767,REV!$C:$AA,20,0)-'TRADE IN'!$F806=0,"",(VLOOKUP($C767,REV!$C:$AA,20,0)-'TRADE IN'!$F767))</f>
        <v>7499</v>
      </c>
      <c r="W767" s="46">
        <f>IF(VLOOKUP($C767,REV!$C:$AA,21,0)-'TRADE IN'!$F806=0,"",(VLOOKUP($C767,REV!$C:$AA,21,0)-'TRADE IN'!$F767))</f>
        <v>7499</v>
      </c>
      <c r="X767" s="46">
        <f>IF(VLOOKUP($C767,REV!$C:$AA,22,0)-'TRADE IN'!$F806=0,"",(VLOOKUP($C767,REV!$C:$AA,22,0)-'TRADE IN'!$F767))</f>
        <v>7399</v>
      </c>
      <c r="Y767" s="46">
        <f>IF(VLOOKUP($C767,REV!$C:$AA,23,0)-'TRADE IN'!$F806=0,"",(VLOOKUP($C767,REV!$C:$AA,23,0)-'TRADE IN'!$F767))</f>
        <v>4999</v>
      </c>
      <c r="Z767" s="46">
        <f>IF(VLOOKUP($C767,REV!$C:$AA,24,0)-'TRADE IN'!$F806=0,"",(VLOOKUP($C767,REV!$C:$AA,24,0)-'TRADE IN'!$F767))</f>
        <v>4999</v>
      </c>
      <c r="AA767" s="46">
        <f>IF(VLOOKUP($C767,REV!$C:$AA,25,0)-'TRADE IN'!$F806=0,"",(VLOOKUP($C767,REV!$C:$AA,25,0)-'TRADE IN'!$F767))</f>
        <v>4999</v>
      </c>
      <c r="AB767" s="46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7"/>
      <c r="AW767" s="48" t="str">
        <f>IF(REV!AW767=0,"",REV!AW767)</f>
        <v>31.03.2026</v>
      </c>
      <c r="AX767" s="159" t="s">
        <v>82</v>
      </c>
    </row>
    <row r="768" spans="1:50" ht="22.5" customHeight="1">
      <c r="A768" s="52" t="s">
        <v>70</v>
      </c>
      <c r="B768" s="41" t="s">
        <v>62</v>
      </c>
      <c r="C768" s="42">
        <v>4017725</v>
      </c>
      <c r="D768" s="66" t="s">
        <v>1016</v>
      </c>
      <c r="E768" s="44" t="s">
        <v>1019</v>
      </c>
      <c r="F768" s="45">
        <v>1000</v>
      </c>
      <c r="G768" s="45"/>
      <c r="H768" s="45"/>
      <c r="I768" s="45"/>
      <c r="J768" s="46">
        <f>IF(VLOOKUP($C768,REV!$C:$AA,8,0)-'TRADE IN'!$F768=0,"",(VLOOKUP($C768,REV!$C:$AA,8,0)-'TRADE IN'!$F768))</f>
        <v>8199</v>
      </c>
      <c r="K768" s="46">
        <f>IF(VLOOKUP($C768,REV!$C:$AA,9,0)-'TRADE IN'!$F768=0,"",(VLOOKUP($C768,REV!$C:$AA,9,0)-'TRADE IN'!$F768))</f>
        <v>8199</v>
      </c>
      <c r="L768" s="46">
        <f>IF(VLOOKUP($C768,REV!$C:$AA,10,0)-'TRADE IN'!$F807=0,"",(VLOOKUP($C768,REV!$C:$AA,10,0)-'TRADE IN'!$F768))</f>
        <v>8199</v>
      </c>
      <c r="M768" s="46">
        <f>IF(VLOOKUP($C768,REV!$C:$AA,11,0)-'TRADE IN'!$F807=0,"",(VLOOKUP($C768,REV!$C:$AA,11,0)-'TRADE IN'!$F768))</f>
        <v>8199</v>
      </c>
      <c r="N768" s="46">
        <f>IF(VLOOKUP($C768,REV!$C:$AA,12,0)-'TRADE IN'!$F807=0,"",(VLOOKUP($C768,REV!$C:$AA,12,0)-'TRADE IN'!$F768))</f>
        <v>8199</v>
      </c>
      <c r="O768" s="46">
        <f>IF(VLOOKUP($C768,REV!$C:$AA,13,0)-'TRADE IN'!$F807=0,"",(VLOOKUP($C768,REV!$C:$AA,13,0)-'TRADE IN'!$F768))</f>
        <v>8099</v>
      </c>
      <c r="P768" s="46">
        <f>IF(VLOOKUP($C768,REV!$C:$AA,14,0)-'TRADE IN'!$F807=0,"",(VLOOKUP($C768,REV!$C:$AA,14,0)-'TRADE IN'!$F768))</f>
        <v>7999</v>
      </c>
      <c r="Q768" s="46">
        <f>IF(VLOOKUP($C768,REV!$C:$AA,15,0)-'TRADE IN'!$F807=0,"",(VLOOKUP($C768,REV!$C:$AA,15,0)-'TRADE IN'!$F768))</f>
        <v>7499</v>
      </c>
      <c r="R768" s="46">
        <f>IF(VLOOKUP($C768,REV!$C:$AA,16,0)-'TRADE IN'!$F807=0,"",(VLOOKUP($C768,REV!$C:$AA,16,0)-'TRADE IN'!$F768))</f>
        <v>8099</v>
      </c>
      <c r="S768" s="46">
        <f>IF(VLOOKUP($C768,REV!$C:$AA,17,0)-'TRADE IN'!$F807=0,"",(VLOOKUP($C768,REV!$C:$AA,17,0)-'TRADE IN'!$F768))</f>
        <v>7999</v>
      </c>
      <c r="T768" s="46">
        <f>IF(VLOOKUP($C768,REV!$C:$AA,18,0)-'TRADE IN'!$F807=0,"",(VLOOKUP($C768,REV!$C:$AA,18,0)-'TRADE IN'!$F768))</f>
        <v>7499</v>
      </c>
      <c r="U768" s="46">
        <f>IF(VLOOKUP($C768,REV!$C:$AA,19,0)-'TRADE IN'!$F807=0,"",(VLOOKUP($C768,REV!$C:$AA,19,0)-'TRADE IN'!$F768))</f>
        <v>7499</v>
      </c>
      <c r="V768" s="46">
        <f>IF(VLOOKUP($C768,REV!$C:$AA,20,0)-'TRADE IN'!$F807=0,"",(VLOOKUP($C768,REV!$C:$AA,20,0)-'TRADE IN'!$F768))</f>
        <v>7499</v>
      </c>
      <c r="W768" s="46">
        <f>IF(VLOOKUP($C768,REV!$C:$AA,21,0)-'TRADE IN'!$F807=0,"",(VLOOKUP($C768,REV!$C:$AA,21,0)-'TRADE IN'!$F768))</f>
        <v>7499</v>
      </c>
      <c r="X768" s="46">
        <f>IF(VLOOKUP($C768,REV!$C:$AA,22,0)-'TRADE IN'!$F807=0,"",(VLOOKUP($C768,REV!$C:$AA,22,0)-'TRADE IN'!$F768))</f>
        <v>7399</v>
      </c>
      <c r="Y768" s="46">
        <f>IF(VLOOKUP($C768,REV!$C:$AA,23,0)-'TRADE IN'!$F807=0,"",(VLOOKUP($C768,REV!$C:$AA,23,0)-'TRADE IN'!$F768))</f>
        <v>4999</v>
      </c>
      <c r="Z768" s="46">
        <f>IF(VLOOKUP($C768,REV!$C:$AA,24,0)-'TRADE IN'!$F807=0,"",(VLOOKUP($C768,REV!$C:$AA,24,0)-'TRADE IN'!$F768))</f>
        <v>4999</v>
      </c>
      <c r="AA768" s="46">
        <f>IF(VLOOKUP($C768,REV!$C:$AA,25,0)-'TRADE IN'!$F807=0,"",(VLOOKUP($C768,REV!$C:$AA,25,0)-'TRADE IN'!$F768))</f>
        <v>4999</v>
      </c>
      <c r="AB768" s="46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7"/>
      <c r="AW768" s="48" t="str">
        <f>IF(REV!AW768=0,"",REV!AW768)</f>
        <v>31.03.2026</v>
      </c>
      <c r="AX768" s="159" t="s">
        <v>82</v>
      </c>
    </row>
    <row r="769" spans="1:50" ht="22.5" customHeight="1">
      <c r="A769" s="52" t="s">
        <v>70</v>
      </c>
      <c r="B769" s="41" t="s">
        <v>62</v>
      </c>
      <c r="C769" s="42">
        <v>4017731</v>
      </c>
      <c r="D769" s="66" t="s">
        <v>1016</v>
      </c>
      <c r="E769" s="44" t="s">
        <v>1020</v>
      </c>
      <c r="F769" s="45">
        <v>1000</v>
      </c>
      <c r="G769" s="45"/>
      <c r="H769" s="45"/>
      <c r="I769" s="45"/>
      <c r="J769" s="46">
        <f>IF(VLOOKUP($C769,REV!$C:$AA,8,0)-'TRADE IN'!$F769=0,"",(VLOOKUP($C769,REV!$C:$AA,8,0)-'TRADE IN'!$F769))</f>
        <v>8199</v>
      </c>
      <c r="K769" s="46">
        <f>IF(VLOOKUP($C769,REV!$C:$AA,9,0)-'TRADE IN'!$F769=0,"",(VLOOKUP($C769,REV!$C:$AA,9,0)-'TRADE IN'!$F769))</f>
        <v>8199</v>
      </c>
      <c r="L769" s="46">
        <f>IF(VLOOKUP($C769,REV!$C:$AA,10,0)-'TRADE IN'!$F808=0,"",(VLOOKUP($C769,REV!$C:$AA,10,0)-'TRADE IN'!$F769))</f>
        <v>8199</v>
      </c>
      <c r="M769" s="46">
        <f>IF(VLOOKUP($C769,REV!$C:$AA,11,0)-'TRADE IN'!$F808=0,"",(VLOOKUP($C769,REV!$C:$AA,11,0)-'TRADE IN'!$F769))</f>
        <v>8199</v>
      </c>
      <c r="N769" s="46">
        <f>IF(VLOOKUP($C769,REV!$C:$AA,12,0)-'TRADE IN'!$F808=0,"",(VLOOKUP($C769,REV!$C:$AA,12,0)-'TRADE IN'!$F769))</f>
        <v>8199</v>
      </c>
      <c r="O769" s="46">
        <f>IF(VLOOKUP($C769,REV!$C:$AA,13,0)-'TRADE IN'!$F808=0,"",(VLOOKUP($C769,REV!$C:$AA,13,0)-'TRADE IN'!$F769))</f>
        <v>8099</v>
      </c>
      <c r="P769" s="46">
        <f>IF(VLOOKUP($C769,REV!$C:$AA,14,0)-'TRADE IN'!$F808=0,"",(VLOOKUP($C769,REV!$C:$AA,14,0)-'TRADE IN'!$F769))</f>
        <v>7999</v>
      </c>
      <c r="Q769" s="46">
        <f>IF(VLOOKUP($C769,REV!$C:$AA,15,0)-'TRADE IN'!$F808=0,"",(VLOOKUP($C769,REV!$C:$AA,15,0)-'TRADE IN'!$F769))</f>
        <v>7499</v>
      </c>
      <c r="R769" s="46">
        <f>IF(VLOOKUP($C769,REV!$C:$AA,16,0)-'TRADE IN'!$F808=0,"",(VLOOKUP($C769,REV!$C:$AA,16,0)-'TRADE IN'!$F769))</f>
        <v>8099</v>
      </c>
      <c r="S769" s="46">
        <f>IF(VLOOKUP($C769,REV!$C:$AA,17,0)-'TRADE IN'!$F808=0,"",(VLOOKUP($C769,REV!$C:$AA,17,0)-'TRADE IN'!$F769))</f>
        <v>7999</v>
      </c>
      <c r="T769" s="46">
        <f>IF(VLOOKUP($C769,REV!$C:$AA,18,0)-'TRADE IN'!$F808=0,"",(VLOOKUP($C769,REV!$C:$AA,18,0)-'TRADE IN'!$F769))</f>
        <v>7499</v>
      </c>
      <c r="U769" s="46">
        <f>IF(VLOOKUP($C769,REV!$C:$AA,19,0)-'TRADE IN'!$F808=0,"",(VLOOKUP($C769,REV!$C:$AA,19,0)-'TRADE IN'!$F769))</f>
        <v>7499</v>
      </c>
      <c r="V769" s="46">
        <f>IF(VLOOKUP($C769,REV!$C:$AA,20,0)-'TRADE IN'!$F808=0,"",(VLOOKUP($C769,REV!$C:$AA,20,0)-'TRADE IN'!$F769))</f>
        <v>7499</v>
      </c>
      <c r="W769" s="46">
        <f>IF(VLOOKUP($C769,REV!$C:$AA,21,0)-'TRADE IN'!$F808=0,"",(VLOOKUP($C769,REV!$C:$AA,21,0)-'TRADE IN'!$F769))</f>
        <v>7499</v>
      </c>
      <c r="X769" s="46">
        <f>IF(VLOOKUP($C769,REV!$C:$AA,22,0)-'TRADE IN'!$F808=0,"",(VLOOKUP($C769,REV!$C:$AA,22,0)-'TRADE IN'!$F769))</f>
        <v>7399</v>
      </c>
      <c r="Y769" s="46">
        <f>IF(VLOOKUP($C769,REV!$C:$AA,23,0)-'TRADE IN'!$F808=0,"",(VLOOKUP($C769,REV!$C:$AA,23,0)-'TRADE IN'!$F769))</f>
        <v>4999</v>
      </c>
      <c r="Z769" s="46">
        <f>IF(VLOOKUP($C769,REV!$C:$AA,24,0)-'TRADE IN'!$F808=0,"",(VLOOKUP($C769,REV!$C:$AA,24,0)-'TRADE IN'!$F769))</f>
        <v>4999</v>
      </c>
      <c r="AA769" s="46">
        <f>IF(VLOOKUP($C769,REV!$C:$AA,25,0)-'TRADE IN'!$F808=0,"",(VLOOKUP($C769,REV!$C:$AA,25,0)-'TRADE IN'!$F769))</f>
        <v>4999</v>
      </c>
      <c r="AB769" s="46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7"/>
      <c r="AW769" s="48" t="str">
        <f>IF(REV!AW769=0,"",REV!AW769)</f>
        <v>31.03.2026</v>
      </c>
      <c r="AX769" s="159" t="s">
        <v>82</v>
      </c>
    </row>
    <row r="770" spans="1:50" ht="22.5" customHeight="1">
      <c r="A770" s="52" t="s">
        <v>70</v>
      </c>
      <c r="B770" s="41" t="s">
        <v>62</v>
      </c>
      <c r="C770" s="42">
        <v>4017734</v>
      </c>
      <c r="D770" s="66" t="s">
        <v>1016</v>
      </c>
      <c r="E770" s="44" t="s">
        <v>1021</v>
      </c>
      <c r="F770" s="45">
        <v>1000</v>
      </c>
      <c r="G770" s="45"/>
      <c r="H770" s="45"/>
      <c r="I770" s="45"/>
      <c r="J770" s="46">
        <f>IF(VLOOKUP($C770,REV!$C:$AA,8,0)-'TRADE IN'!$F770=0,"",(VLOOKUP($C770,REV!$C:$AA,8,0)-'TRADE IN'!$F770))</f>
        <v>8199</v>
      </c>
      <c r="K770" s="46">
        <f>IF(VLOOKUP($C770,REV!$C:$AA,9,0)-'TRADE IN'!$F770=0,"",(VLOOKUP($C770,REV!$C:$AA,9,0)-'TRADE IN'!$F770))</f>
        <v>8199</v>
      </c>
      <c r="L770" s="46">
        <f>IF(VLOOKUP($C770,REV!$C:$AA,10,0)-'TRADE IN'!$F809=0,"",(VLOOKUP($C770,REV!$C:$AA,10,0)-'TRADE IN'!$F770))</f>
        <v>8199</v>
      </c>
      <c r="M770" s="46">
        <f>IF(VLOOKUP($C770,REV!$C:$AA,11,0)-'TRADE IN'!$F809=0,"",(VLOOKUP($C770,REV!$C:$AA,11,0)-'TRADE IN'!$F770))</f>
        <v>8199</v>
      </c>
      <c r="N770" s="46">
        <f>IF(VLOOKUP($C770,REV!$C:$AA,12,0)-'TRADE IN'!$F809=0,"",(VLOOKUP($C770,REV!$C:$AA,12,0)-'TRADE IN'!$F770))</f>
        <v>8199</v>
      </c>
      <c r="O770" s="46">
        <f>IF(VLOOKUP($C770,REV!$C:$AA,13,0)-'TRADE IN'!$F809=0,"",(VLOOKUP($C770,REV!$C:$AA,13,0)-'TRADE IN'!$F770))</f>
        <v>8099</v>
      </c>
      <c r="P770" s="46">
        <f>IF(VLOOKUP($C770,REV!$C:$AA,14,0)-'TRADE IN'!$F809=0,"",(VLOOKUP($C770,REV!$C:$AA,14,0)-'TRADE IN'!$F770))</f>
        <v>7999</v>
      </c>
      <c r="Q770" s="46">
        <f>IF(VLOOKUP($C770,REV!$C:$AA,15,0)-'TRADE IN'!$F809=0,"",(VLOOKUP($C770,REV!$C:$AA,15,0)-'TRADE IN'!$F770))</f>
        <v>7499</v>
      </c>
      <c r="R770" s="46">
        <f>IF(VLOOKUP($C770,REV!$C:$AA,16,0)-'TRADE IN'!$F809=0,"",(VLOOKUP($C770,REV!$C:$AA,16,0)-'TRADE IN'!$F770))</f>
        <v>8099</v>
      </c>
      <c r="S770" s="46">
        <f>IF(VLOOKUP($C770,REV!$C:$AA,17,0)-'TRADE IN'!$F809=0,"",(VLOOKUP($C770,REV!$C:$AA,17,0)-'TRADE IN'!$F770))</f>
        <v>7999</v>
      </c>
      <c r="T770" s="46">
        <f>IF(VLOOKUP($C770,REV!$C:$AA,18,0)-'TRADE IN'!$F809=0,"",(VLOOKUP($C770,REV!$C:$AA,18,0)-'TRADE IN'!$F770))</f>
        <v>7499</v>
      </c>
      <c r="U770" s="46">
        <f>IF(VLOOKUP($C770,REV!$C:$AA,19,0)-'TRADE IN'!$F809=0,"",(VLOOKUP($C770,REV!$C:$AA,19,0)-'TRADE IN'!$F770))</f>
        <v>7499</v>
      </c>
      <c r="V770" s="46">
        <f>IF(VLOOKUP($C770,REV!$C:$AA,20,0)-'TRADE IN'!$F809=0,"",(VLOOKUP($C770,REV!$C:$AA,20,0)-'TRADE IN'!$F770))</f>
        <v>7499</v>
      </c>
      <c r="W770" s="46">
        <f>IF(VLOOKUP($C770,REV!$C:$AA,21,0)-'TRADE IN'!$F809=0,"",(VLOOKUP($C770,REV!$C:$AA,21,0)-'TRADE IN'!$F770))</f>
        <v>7499</v>
      </c>
      <c r="X770" s="46">
        <f>IF(VLOOKUP($C770,REV!$C:$AA,22,0)-'TRADE IN'!$F809=0,"",(VLOOKUP($C770,REV!$C:$AA,22,0)-'TRADE IN'!$F770))</f>
        <v>7399</v>
      </c>
      <c r="Y770" s="46">
        <f>IF(VLOOKUP($C770,REV!$C:$AA,23,0)-'TRADE IN'!$F809=0,"",(VLOOKUP($C770,REV!$C:$AA,23,0)-'TRADE IN'!$F770))</f>
        <v>4999</v>
      </c>
      <c r="Z770" s="46">
        <f>IF(VLOOKUP($C770,REV!$C:$AA,24,0)-'TRADE IN'!$F809=0,"",(VLOOKUP($C770,REV!$C:$AA,24,0)-'TRADE IN'!$F770))</f>
        <v>4999</v>
      </c>
      <c r="AA770" s="46">
        <f>IF(VLOOKUP($C770,REV!$C:$AA,25,0)-'TRADE IN'!$F809=0,"",(VLOOKUP($C770,REV!$C:$AA,25,0)-'TRADE IN'!$F770))</f>
        <v>4999</v>
      </c>
      <c r="AB770" s="46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7"/>
      <c r="AW770" s="48" t="str">
        <f>IF(REV!AW770=0,"",REV!AW770)</f>
        <v>31.03.2026</v>
      </c>
      <c r="AX770" s="159" t="s">
        <v>82</v>
      </c>
    </row>
    <row r="771" spans="1:50" ht="22.5" customHeight="1">
      <c r="A771" s="52" t="s">
        <v>70</v>
      </c>
      <c r="B771" s="41" t="s">
        <v>62</v>
      </c>
      <c r="C771" s="42">
        <v>4017728</v>
      </c>
      <c r="D771" s="66" t="s">
        <v>1016</v>
      </c>
      <c r="E771" s="44" t="s">
        <v>1022</v>
      </c>
      <c r="F771" s="45">
        <v>1000</v>
      </c>
      <c r="G771" s="45"/>
      <c r="H771" s="45"/>
      <c r="I771" s="45"/>
      <c r="J771" s="46">
        <f>IF(VLOOKUP($C771,REV!$C:$AA,8,0)-'TRADE IN'!$F771=0,"",(VLOOKUP($C771,REV!$C:$AA,8,0)-'TRADE IN'!$F771))</f>
        <v>8199</v>
      </c>
      <c r="K771" s="46">
        <f>IF(VLOOKUP($C771,REV!$C:$AA,9,0)-'TRADE IN'!$F771=0,"",(VLOOKUP($C771,REV!$C:$AA,9,0)-'TRADE IN'!$F771))</f>
        <v>8199</v>
      </c>
      <c r="L771" s="46">
        <f>IF(VLOOKUP($C771,REV!$C:$AA,10,0)-'TRADE IN'!$F810=0,"",(VLOOKUP($C771,REV!$C:$AA,10,0)-'TRADE IN'!$F771))</f>
        <v>8199</v>
      </c>
      <c r="M771" s="46">
        <f>IF(VLOOKUP($C771,REV!$C:$AA,11,0)-'TRADE IN'!$F810=0,"",(VLOOKUP($C771,REV!$C:$AA,11,0)-'TRADE IN'!$F771))</f>
        <v>8199</v>
      </c>
      <c r="N771" s="46">
        <f>IF(VLOOKUP($C771,REV!$C:$AA,12,0)-'TRADE IN'!$F810=0,"",(VLOOKUP($C771,REV!$C:$AA,12,0)-'TRADE IN'!$F771))</f>
        <v>8199</v>
      </c>
      <c r="O771" s="46">
        <f>IF(VLOOKUP($C771,REV!$C:$AA,13,0)-'TRADE IN'!$F810=0,"",(VLOOKUP($C771,REV!$C:$AA,13,0)-'TRADE IN'!$F771))</f>
        <v>8099</v>
      </c>
      <c r="P771" s="46">
        <f>IF(VLOOKUP($C771,REV!$C:$AA,14,0)-'TRADE IN'!$F810=0,"",(VLOOKUP($C771,REV!$C:$AA,14,0)-'TRADE IN'!$F771))</f>
        <v>7999</v>
      </c>
      <c r="Q771" s="46">
        <f>IF(VLOOKUP($C771,REV!$C:$AA,15,0)-'TRADE IN'!$F810=0,"",(VLOOKUP($C771,REV!$C:$AA,15,0)-'TRADE IN'!$F771))</f>
        <v>7499</v>
      </c>
      <c r="R771" s="46">
        <f>IF(VLOOKUP($C771,REV!$C:$AA,16,0)-'TRADE IN'!$F810=0,"",(VLOOKUP($C771,REV!$C:$AA,16,0)-'TRADE IN'!$F771))</f>
        <v>8099</v>
      </c>
      <c r="S771" s="46">
        <f>IF(VLOOKUP($C771,REV!$C:$AA,17,0)-'TRADE IN'!$F810=0,"",(VLOOKUP($C771,REV!$C:$AA,17,0)-'TRADE IN'!$F771))</f>
        <v>7999</v>
      </c>
      <c r="T771" s="46">
        <f>IF(VLOOKUP($C771,REV!$C:$AA,18,0)-'TRADE IN'!$F810=0,"",(VLOOKUP($C771,REV!$C:$AA,18,0)-'TRADE IN'!$F771))</f>
        <v>7499</v>
      </c>
      <c r="U771" s="46">
        <f>IF(VLOOKUP($C771,REV!$C:$AA,19,0)-'TRADE IN'!$F810=0,"",(VLOOKUP($C771,REV!$C:$AA,19,0)-'TRADE IN'!$F771))</f>
        <v>7499</v>
      </c>
      <c r="V771" s="46">
        <f>IF(VLOOKUP($C771,REV!$C:$AA,20,0)-'TRADE IN'!$F810=0,"",(VLOOKUP($C771,REV!$C:$AA,20,0)-'TRADE IN'!$F771))</f>
        <v>7499</v>
      </c>
      <c r="W771" s="46">
        <f>IF(VLOOKUP($C771,REV!$C:$AA,21,0)-'TRADE IN'!$F810=0,"",(VLOOKUP($C771,REV!$C:$AA,21,0)-'TRADE IN'!$F771))</f>
        <v>7499</v>
      </c>
      <c r="X771" s="46">
        <f>IF(VLOOKUP($C771,REV!$C:$AA,22,0)-'TRADE IN'!$F810=0,"",(VLOOKUP($C771,REV!$C:$AA,22,0)-'TRADE IN'!$F771))</f>
        <v>7399</v>
      </c>
      <c r="Y771" s="46">
        <f>IF(VLOOKUP($C771,REV!$C:$AA,23,0)-'TRADE IN'!$F810=0,"",(VLOOKUP($C771,REV!$C:$AA,23,0)-'TRADE IN'!$F771))</f>
        <v>4999</v>
      </c>
      <c r="Z771" s="46">
        <f>IF(VLOOKUP($C771,REV!$C:$AA,24,0)-'TRADE IN'!$F810=0,"",(VLOOKUP($C771,REV!$C:$AA,24,0)-'TRADE IN'!$F771))</f>
        <v>4999</v>
      </c>
      <c r="AA771" s="46">
        <f>IF(VLOOKUP($C771,REV!$C:$AA,25,0)-'TRADE IN'!$F810=0,"",(VLOOKUP($C771,REV!$C:$AA,25,0)-'TRADE IN'!$F771))</f>
        <v>4999</v>
      </c>
      <c r="AB771" s="46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7"/>
      <c r="AW771" s="48" t="str">
        <f>IF(REV!AW771=0,"",REV!AW771)</f>
        <v>31.03.2026</v>
      </c>
      <c r="AX771" s="159" t="s">
        <v>82</v>
      </c>
    </row>
    <row r="772" spans="1:50" ht="22.5" customHeight="1">
      <c r="A772" s="52" t="s">
        <v>70</v>
      </c>
      <c r="B772" s="41" t="s">
        <v>62</v>
      </c>
      <c r="C772" s="42">
        <v>4017611</v>
      </c>
      <c r="D772" s="66" t="s">
        <v>1023</v>
      </c>
      <c r="E772" s="44" t="s">
        <v>1024</v>
      </c>
      <c r="F772" s="45">
        <v>1000</v>
      </c>
      <c r="G772" s="45"/>
      <c r="H772" s="45"/>
      <c r="I772" s="45"/>
      <c r="J772" s="46">
        <f>IF(VLOOKUP($C772,REV!$C:$AA,8,0)-'TRADE IN'!$F772=0,"",(VLOOKUP($C772,REV!$C:$AA,8,0)-'TRADE IN'!$F772))</f>
        <v>8199</v>
      </c>
      <c r="K772" s="46">
        <f>IF(VLOOKUP($C772,REV!$C:$AA,9,0)-'TRADE IN'!$F772=0,"",(VLOOKUP($C772,REV!$C:$AA,9,0)-'TRADE IN'!$F772))</f>
        <v>8199</v>
      </c>
      <c r="L772" s="46">
        <f>IF(VLOOKUP($C772,REV!$C:$AA,10,0)-'TRADE IN'!$F811=0,"",(VLOOKUP($C772,REV!$C:$AA,10,0)-'TRADE IN'!$F772))</f>
        <v>8199</v>
      </c>
      <c r="M772" s="46">
        <f>IF(VLOOKUP($C772,REV!$C:$AA,11,0)-'TRADE IN'!$F811=0,"",(VLOOKUP($C772,REV!$C:$AA,11,0)-'TRADE IN'!$F772))</f>
        <v>8199</v>
      </c>
      <c r="N772" s="46">
        <f>IF(VLOOKUP($C772,REV!$C:$AA,12,0)-'TRADE IN'!$F811=0,"",(VLOOKUP($C772,REV!$C:$AA,12,0)-'TRADE IN'!$F772))</f>
        <v>8199</v>
      </c>
      <c r="O772" s="46">
        <f>IF(VLOOKUP($C772,REV!$C:$AA,13,0)-'TRADE IN'!$F811=0,"",(VLOOKUP($C772,REV!$C:$AA,13,0)-'TRADE IN'!$F772))</f>
        <v>8099</v>
      </c>
      <c r="P772" s="46">
        <f>IF(VLOOKUP($C772,REV!$C:$AA,14,0)-'TRADE IN'!$F811=0,"",(VLOOKUP($C772,REV!$C:$AA,14,0)-'TRADE IN'!$F772))</f>
        <v>7999</v>
      </c>
      <c r="Q772" s="46">
        <f>IF(VLOOKUP($C772,REV!$C:$AA,15,0)-'TRADE IN'!$F811=0,"",(VLOOKUP($C772,REV!$C:$AA,15,0)-'TRADE IN'!$F772))</f>
        <v>7499</v>
      </c>
      <c r="R772" s="46">
        <f>IF(VLOOKUP($C772,REV!$C:$AA,16,0)-'TRADE IN'!$F811=0,"",(VLOOKUP($C772,REV!$C:$AA,16,0)-'TRADE IN'!$F772))</f>
        <v>8099</v>
      </c>
      <c r="S772" s="46">
        <f>IF(VLOOKUP($C772,REV!$C:$AA,17,0)-'TRADE IN'!$F811=0,"",(VLOOKUP($C772,REV!$C:$AA,17,0)-'TRADE IN'!$F772))</f>
        <v>7999</v>
      </c>
      <c r="T772" s="46">
        <f>IF(VLOOKUP($C772,REV!$C:$AA,18,0)-'TRADE IN'!$F811=0,"",(VLOOKUP($C772,REV!$C:$AA,18,0)-'TRADE IN'!$F772))</f>
        <v>7499</v>
      </c>
      <c r="U772" s="46">
        <f>IF(VLOOKUP($C772,REV!$C:$AA,19,0)-'TRADE IN'!$F811=0,"",(VLOOKUP($C772,REV!$C:$AA,19,0)-'TRADE IN'!$F772))</f>
        <v>7499</v>
      </c>
      <c r="V772" s="46">
        <f>IF(VLOOKUP($C772,REV!$C:$AA,20,0)-'TRADE IN'!$F811=0,"",(VLOOKUP($C772,REV!$C:$AA,20,0)-'TRADE IN'!$F772))</f>
        <v>7499</v>
      </c>
      <c r="W772" s="46">
        <f>IF(VLOOKUP($C772,REV!$C:$AA,21,0)-'TRADE IN'!$F811=0,"",(VLOOKUP($C772,REV!$C:$AA,21,0)-'TRADE IN'!$F772))</f>
        <v>7499</v>
      </c>
      <c r="X772" s="46">
        <f>IF(VLOOKUP($C772,REV!$C:$AA,22,0)-'TRADE IN'!$F811=0,"",(VLOOKUP($C772,REV!$C:$AA,22,0)-'TRADE IN'!$F772))</f>
        <v>7399</v>
      </c>
      <c r="Y772" s="46">
        <f>IF(VLOOKUP($C772,REV!$C:$AA,23,0)-'TRADE IN'!$F811=0,"",(VLOOKUP($C772,REV!$C:$AA,23,0)-'TRADE IN'!$F772))</f>
        <v>4999</v>
      </c>
      <c r="Z772" s="46">
        <f>IF(VLOOKUP($C772,REV!$C:$AA,24,0)-'TRADE IN'!$F811=0,"",(VLOOKUP($C772,REV!$C:$AA,24,0)-'TRADE IN'!$F772))</f>
        <v>4999</v>
      </c>
      <c r="AA772" s="46">
        <f>IF(VLOOKUP($C772,REV!$C:$AA,25,0)-'TRADE IN'!$F811=0,"",(VLOOKUP($C772,REV!$C:$AA,25,0)-'TRADE IN'!$F772))</f>
        <v>4999</v>
      </c>
      <c r="AB772" s="46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7"/>
      <c r="AW772" s="48" t="str">
        <f>IF(REV!AW772=0,"",REV!AW772)</f>
        <v>31.03.2026</v>
      </c>
      <c r="AX772" s="159" t="s">
        <v>82</v>
      </c>
    </row>
    <row r="773" spans="1:50" ht="22.5" customHeight="1">
      <c r="A773" s="52" t="s">
        <v>70</v>
      </c>
      <c r="B773" s="41" t="s">
        <v>62</v>
      </c>
      <c r="C773" s="42">
        <v>4017613</v>
      </c>
      <c r="D773" s="66" t="s">
        <v>1023</v>
      </c>
      <c r="E773" s="44" t="s">
        <v>1025</v>
      </c>
      <c r="F773" s="45">
        <v>1000</v>
      </c>
      <c r="G773" s="45"/>
      <c r="H773" s="45"/>
      <c r="I773" s="45"/>
      <c r="J773" s="46">
        <f>IF(VLOOKUP($C773,REV!$C:$AA,8,0)-'TRADE IN'!$F773=0,"",(VLOOKUP($C773,REV!$C:$AA,8,0)-'TRADE IN'!$F773))</f>
        <v>8199</v>
      </c>
      <c r="K773" s="46">
        <f>IF(VLOOKUP($C773,REV!$C:$AA,9,0)-'TRADE IN'!$F773=0,"",(VLOOKUP($C773,REV!$C:$AA,9,0)-'TRADE IN'!$F773))</f>
        <v>8199</v>
      </c>
      <c r="L773" s="46">
        <f>IF(VLOOKUP($C773,REV!$C:$AA,10,0)-'TRADE IN'!$F812=0,"",(VLOOKUP($C773,REV!$C:$AA,10,0)-'TRADE IN'!$F773))</f>
        <v>8199</v>
      </c>
      <c r="M773" s="46">
        <f>IF(VLOOKUP($C773,REV!$C:$AA,11,0)-'TRADE IN'!$F812=0,"",(VLOOKUP($C773,REV!$C:$AA,11,0)-'TRADE IN'!$F773))</f>
        <v>8199</v>
      </c>
      <c r="N773" s="46">
        <f>IF(VLOOKUP($C773,REV!$C:$AA,12,0)-'TRADE IN'!$F812=0,"",(VLOOKUP($C773,REV!$C:$AA,12,0)-'TRADE IN'!$F773))</f>
        <v>8199</v>
      </c>
      <c r="O773" s="46">
        <f>IF(VLOOKUP($C773,REV!$C:$AA,13,0)-'TRADE IN'!$F812=0,"",(VLOOKUP($C773,REV!$C:$AA,13,0)-'TRADE IN'!$F773))</f>
        <v>8099</v>
      </c>
      <c r="P773" s="46">
        <f>IF(VLOOKUP($C773,REV!$C:$AA,14,0)-'TRADE IN'!$F812=0,"",(VLOOKUP($C773,REV!$C:$AA,14,0)-'TRADE IN'!$F773))</f>
        <v>7999</v>
      </c>
      <c r="Q773" s="46">
        <f>IF(VLOOKUP($C773,REV!$C:$AA,15,0)-'TRADE IN'!$F812=0,"",(VLOOKUP($C773,REV!$C:$AA,15,0)-'TRADE IN'!$F773))</f>
        <v>7499</v>
      </c>
      <c r="R773" s="46">
        <f>IF(VLOOKUP($C773,REV!$C:$AA,16,0)-'TRADE IN'!$F812=0,"",(VLOOKUP($C773,REV!$C:$AA,16,0)-'TRADE IN'!$F773))</f>
        <v>8099</v>
      </c>
      <c r="S773" s="46">
        <f>IF(VLOOKUP($C773,REV!$C:$AA,17,0)-'TRADE IN'!$F812=0,"",(VLOOKUP($C773,REV!$C:$AA,17,0)-'TRADE IN'!$F773))</f>
        <v>7999</v>
      </c>
      <c r="T773" s="46">
        <f>IF(VLOOKUP($C773,REV!$C:$AA,18,0)-'TRADE IN'!$F812=0,"",(VLOOKUP($C773,REV!$C:$AA,18,0)-'TRADE IN'!$F773))</f>
        <v>7499</v>
      </c>
      <c r="U773" s="46">
        <f>IF(VLOOKUP($C773,REV!$C:$AA,19,0)-'TRADE IN'!$F812=0,"",(VLOOKUP($C773,REV!$C:$AA,19,0)-'TRADE IN'!$F773))</f>
        <v>7499</v>
      </c>
      <c r="V773" s="46">
        <f>IF(VLOOKUP($C773,REV!$C:$AA,20,0)-'TRADE IN'!$F812=0,"",(VLOOKUP($C773,REV!$C:$AA,20,0)-'TRADE IN'!$F773))</f>
        <v>7499</v>
      </c>
      <c r="W773" s="46">
        <f>IF(VLOOKUP($C773,REV!$C:$AA,21,0)-'TRADE IN'!$F812=0,"",(VLOOKUP($C773,REV!$C:$AA,21,0)-'TRADE IN'!$F773))</f>
        <v>7499</v>
      </c>
      <c r="X773" s="46">
        <f>IF(VLOOKUP($C773,REV!$C:$AA,22,0)-'TRADE IN'!$F812=0,"",(VLOOKUP($C773,REV!$C:$AA,22,0)-'TRADE IN'!$F773))</f>
        <v>7399</v>
      </c>
      <c r="Y773" s="46">
        <f>IF(VLOOKUP($C773,REV!$C:$AA,23,0)-'TRADE IN'!$F812=0,"",(VLOOKUP($C773,REV!$C:$AA,23,0)-'TRADE IN'!$F773))</f>
        <v>4999</v>
      </c>
      <c r="Z773" s="46">
        <f>IF(VLOOKUP($C773,REV!$C:$AA,24,0)-'TRADE IN'!$F812=0,"",(VLOOKUP($C773,REV!$C:$AA,24,0)-'TRADE IN'!$F773))</f>
        <v>4999</v>
      </c>
      <c r="AA773" s="46">
        <f>IF(VLOOKUP($C773,REV!$C:$AA,25,0)-'TRADE IN'!$F812=0,"",(VLOOKUP($C773,REV!$C:$AA,25,0)-'TRADE IN'!$F773))</f>
        <v>4999</v>
      </c>
      <c r="AB773" s="46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7"/>
      <c r="AW773" s="48" t="str">
        <f>IF(REV!AW773=0,"",REV!AW773)</f>
        <v>31.03.2026</v>
      </c>
      <c r="AX773" s="159" t="s">
        <v>82</v>
      </c>
    </row>
    <row r="774" spans="1:50" ht="22.5" customHeight="1">
      <c r="A774" s="52" t="s">
        <v>70</v>
      </c>
      <c r="B774" s="41" t="s">
        <v>62</v>
      </c>
      <c r="C774" s="42">
        <v>4017723</v>
      </c>
      <c r="D774" s="66" t="s">
        <v>1023</v>
      </c>
      <c r="E774" s="44" t="s">
        <v>1026</v>
      </c>
      <c r="F774" s="45">
        <v>1000</v>
      </c>
      <c r="G774" s="45"/>
      <c r="H774" s="45"/>
      <c r="I774" s="45"/>
      <c r="J774" s="46">
        <f>IF(VLOOKUP($C774,REV!$C:$AA,8,0)-'TRADE IN'!$F774=0,"",(VLOOKUP($C774,REV!$C:$AA,8,0)-'TRADE IN'!$F774))</f>
        <v>8199</v>
      </c>
      <c r="K774" s="46">
        <f>IF(VLOOKUP($C774,REV!$C:$AA,9,0)-'TRADE IN'!$F774=0,"",(VLOOKUP($C774,REV!$C:$AA,9,0)-'TRADE IN'!$F774))</f>
        <v>8199</v>
      </c>
      <c r="L774" s="46">
        <f>IF(VLOOKUP($C774,REV!$C:$AA,10,0)-'TRADE IN'!$F813=0,"",(VLOOKUP($C774,REV!$C:$AA,10,0)-'TRADE IN'!$F774))</f>
        <v>8199</v>
      </c>
      <c r="M774" s="46">
        <f>IF(VLOOKUP($C774,REV!$C:$AA,11,0)-'TRADE IN'!$F813=0,"",(VLOOKUP($C774,REV!$C:$AA,11,0)-'TRADE IN'!$F774))</f>
        <v>8199</v>
      </c>
      <c r="N774" s="46">
        <f>IF(VLOOKUP($C774,REV!$C:$AA,12,0)-'TRADE IN'!$F813=0,"",(VLOOKUP($C774,REV!$C:$AA,12,0)-'TRADE IN'!$F774))</f>
        <v>8199</v>
      </c>
      <c r="O774" s="46">
        <f>IF(VLOOKUP($C774,REV!$C:$AA,13,0)-'TRADE IN'!$F813=0,"",(VLOOKUP($C774,REV!$C:$AA,13,0)-'TRADE IN'!$F774))</f>
        <v>8099</v>
      </c>
      <c r="P774" s="46">
        <f>IF(VLOOKUP($C774,REV!$C:$AA,14,0)-'TRADE IN'!$F813=0,"",(VLOOKUP($C774,REV!$C:$AA,14,0)-'TRADE IN'!$F774))</f>
        <v>7999</v>
      </c>
      <c r="Q774" s="46">
        <f>IF(VLOOKUP($C774,REV!$C:$AA,15,0)-'TRADE IN'!$F813=0,"",(VLOOKUP($C774,REV!$C:$AA,15,0)-'TRADE IN'!$F774))</f>
        <v>7499</v>
      </c>
      <c r="R774" s="46">
        <f>IF(VLOOKUP($C774,REV!$C:$AA,16,0)-'TRADE IN'!$F813=0,"",(VLOOKUP($C774,REV!$C:$AA,16,0)-'TRADE IN'!$F774))</f>
        <v>8099</v>
      </c>
      <c r="S774" s="46">
        <f>IF(VLOOKUP($C774,REV!$C:$AA,17,0)-'TRADE IN'!$F813=0,"",(VLOOKUP($C774,REV!$C:$AA,17,0)-'TRADE IN'!$F774))</f>
        <v>7999</v>
      </c>
      <c r="T774" s="46">
        <f>IF(VLOOKUP($C774,REV!$C:$AA,18,0)-'TRADE IN'!$F813=0,"",(VLOOKUP($C774,REV!$C:$AA,18,0)-'TRADE IN'!$F774))</f>
        <v>7499</v>
      </c>
      <c r="U774" s="46">
        <f>IF(VLOOKUP($C774,REV!$C:$AA,19,0)-'TRADE IN'!$F813=0,"",(VLOOKUP($C774,REV!$C:$AA,19,0)-'TRADE IN'!$F774))</f>
        <v>7499</v>
      </c>
      <c r="V774" s="46">
        <f>IF(VLOOKUP($C774,REV!$C:$AA,20,0)-'TRADE IN'!$F813=0,"",(VLOOKUP($C774,REV!$C:$AA,20,0)-'TRADE IN'!$F774))</f>
        <v>7499</v>
      </c>
      <c r="W774" s="46">
        <f>IF(VLOOKUP($C774,REV!$C:$AA,21,0)-'TRADE IN'!$F813=0,"",(VLOOKUP($C774,REV!$C:$AA,21,0)-'TRADE IN'!$F774))</f>
        <v>7499</v>
      </c>
      <c r="X774" s="46">
        <f>IF(VLOOKUP($C774,REV!$C:$AA,22,0)-'TRADE IN'!$F813=0,"",(VLOOKUP($C774,REV!$C:$AA,22,0)-'TRADE IN'!$F774))</f>
        <v>7399</v>
      </c>
      <c r="Y774" s="46">
        <f>IF(VLOOKUP($C774,REV!$C:$AA,23,0)-'TRADE IN'!$F813=0,"",(VLOOKUP($C774,REV!$C:$AA,23,0)-'TRADE IN'!$F774))</f>
        <v>4999</v>
      </c>
      <c r="Z774" s="46">
        <f>IF(VLOOKUP($C774,REV!$C:$AA,24,0)-'TRADE IN'!$F813=0,"",(VLOOKUP($C774,REV!$C:$AA,24,0)-'TRADE IN'!$F774))</f>
        <v>4999</v>
      </c>
      <c r="AA774" s="46">
        <f>IF(VLOOKUP($C774,REV!$C:$AA,25,0)-'TRADE IN'!$F813=0,"",(VLOOKUP($C774,REV!$C:$AA,25,0)-'TRADE IN'!$F774))</f>
        <v>4999</v>
      </c>
      <c r="AB774" s="46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7"/>
      <c r="AW774" s="48" t="str">
        <f>IF(REV!AW774=0,"",REV!AW774)</f>
        <v>31.03.2026</v>
      </c>
      <c r="AX774" s="159" t="s">
        <v>82</v>
      </c>
    </row>
    <row r="775" spans="1:50" ht="22.5" customHeight="1">
      <c r="A775" s="52" t="s">
        <v>70</v>
      </c>
      <c r="B775" s="41" t="s">
        <v>62</v>
      </c>
      <c r="C775" s="42">
        <v>4017726</v>
      </c>
      <c r="D775" s="66" t="s">
        <v>1023</v>
      </c>
      <c r="E775" s="44" t="s">
        <v>1027</v>
      </c>
      <c r="F775" s="45">
        <v>1000</v>
      </c>
      <c r="G775" s="45"/>
      <c r="H775" s="45"/>
      <c r="I775" s="45"/>
      <c r="J775" s="46">
        <f>IF(VLOOKUP($C775,REV!$C:$AA,8,0)-'TRADE IN'!$F775=0,"",(VLOOKUP($C775,REV!$C:$AA,8,0)-'TRADE IN'!$F775))</f>
        <v>8199</v>
      </c>
      <c r="K775" s="46">
        <f>IF(VLOOKUP($C775,REV!$C:$AA,9,0)-'TRADE IN'!$F775=0,"",(VLOOKUP($C775,REV!$C:$AA,9,0)-'TRADE IN'!$F775))</f>
        <v>8199</v>
      </c>
      <c r="L775" s="46">
        <f>IF(VLOOKUP($C775,REV!$C:$AA,10,0)-'TRADE IN'!$F814=0,"",(VLOOKUP($C775,REV!$C:$AA,10,0)-'TRADE IN'!$F775))</f>
        <v>8199</v>
      </c>
      <c r="M775" s="46">
        <f>IF(VLOOKUP($C775,REV!$C:$AA,11,0)-'TRADE IN'!$F814=0,"",(VLOOKUP($C775,REV!$C:$AA,11,0)-'TRADE IN'!$F775))</f>
        <v>8199</v>
      </c>
      <c r="N775" s="46">
        <f>IF(VLOOKUP($C775,REV!$C:$AA,12,0)-'TRADE IN'!$F814=0,"",(VLOOKUP($C775,REV!$C:$AA,12,0)-'TRADE IN'!$F775))</f>
        <v>8199</v>
      </c>
      <c r="O775" s="46">
        <f>IF(VLOOKUP($C775,REV!$C:$AA,13,0)-'TRADE IN'!$F814=0,"",(VLOOKUP($C775,REV!$C:$AA,13,0)-'TRADE IN'!$F775))</f>
        <v>8099</v>
      </c>
      <c r="P775" s="46">
        <f>IF(VLOOKUP($C775,REV!$C:$AA,14,0)-'TRADE IN'!$F814=0,"",(VLOOKUP($C775,REV!$C:$AA,14,0)-'TRADE IN'!$F775))</f>
        <v>7999</v>
      </c>
      <c r="Q775" s="46">
        <f>IF(VLOOKUP($C775,REV!$C:$AA,15,0)-'TRADE IN'!$F814=0,"",(VLOOKUP($C775,REV!$C:$AA,15,0)-'TRADE IN'!$F775))</f>
        <v>7499</v>
      </c>
      <c r="R775" s="46">
        <f>IF(VLOOKUP($C775,REV!$C:$AA,16,0)-'TRADE IN'!$F814=0,"",(VLOOKUP($C775,REV!$C:$AA,16,0)-'TRADE IN'!$F775))</f>
        <v>8099</v>
      </c>
      <c r="S775" s="46">
        <f>IF(VLOOKUP($C775,REV!$C:$AA,17,0)-'TRADE IN'!$F814=0,"",(VLOOKUP($C775,REV!$C:$AA,17,0)-'TRADE IN'!$F775))</f>
        <v>7999</v>
      </c>
      <c r="T775" s="46">
        <f>IF(VLOOKUP($C775,REV!$C:$AA,18,0)-'TRADE IN'!$F814=0,"",(VLOOKUP($C775,REV!$C:$AA,18,0)-'TRADE IN'!$F775))</f>
        <v>7499</v>
      </c>
      <c r="U775" s="46">
        <f>IF(VLOOKUP($C775,REV!$C:$AA,19,0)-'TRADE IN'!$F814=0,"",(VLOOKUP($C775,REV!$C:$AA,19,0)-'TRADE IN'!$F775))</f>
        <v>7499</v>
      </c>
      <c r="V775" s="46">
        <f>IF(VLOOKUP($C775,REV!$C:$AA,20,0)-'TRADE IN'!$F814=0,"",(VLOOKUP($C775,REV!$C:$AA,20,0)-'TRADE IN'!$F775))</f>
        <v>7499</v>
      </c>
      <c r="W775" s="46">
        <f>IF(VLOOKUP($C775,REV!$C:$AA,21,0)-'TRADE IN'!$F814=0,"",(VLOOKUP($C775,REV!$C:$AA,21,0)-'TRADE IN'!$F775))</f>
        <v>7499</v>
      </c>
      <c r="X775" s="46">
        <f>IF(VLOOKUP($C775,REV!$C:$AA,22,0)-'TRADE IN'!$F814=0,"",(VLOOKUP($C775,REV!$C:$AA,22,0)-'TRADE IN'!$F775))</f>
        <v>7399</v>
      </c>
      <c r="Y775" s="46">
        <f>IF(VLOOKUP($C775,REV!$C:$AA,23,0)-'TRADE IN'!$F814=0,"",(VLOOKUP($C775,REV!$C:$AA,23,0)-'TRADE IN'!$F775))</f>
        <v>4999</v>
      </c>
      <c r="Z775" s="46">
        <f>IF(VLOOKUP($C775,REV!$C:$AA,24,0)-'TRADE IN'!$F814=0,"",(VLOOKUP($C775,REV!$C:$AA,24,0)-'TRADE IN'!$F775))</f>
        <v>4999</v>
      </c>
      <c r="AA775" s="46">
        <f>IF(VLOOKUP($C775,REV!$C:$AA,25,0)-'TRADE IN'!$F814=0,"",(VLOOKUP($C775,REV!$C:$AA,25,0)-'TRADE IN'!$F775))</f>
        <v>4999</v>
      </c>
      <c r="AB775" s="46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7"/>
      <c r="AW775" s="48" t="str">
        <f>IF(REV!AW775=0,"",REV!AW775)</f>
        <v>31.03.2026</v>
      </c>
      <c r="AX775" s="159" t="s">
        <v>82</v>
      </c>
    </row>
    <row r="776" spans="1:50" ht="22.5" customHeight="1">
      <c r="A776" s="52" t="s">
        <v>70</v>
      </c>
      <c r="B776" s="41" t="s">
        <v>62</v>
      </c>
      <c r="C776" s="42">
        <v>4017730</v>
      </c>
      <c r="D776" s="66" t="s">
        <v>1023</v>
      </c>
      <c r="E776" s="44" t="s">
        <v>1028</v>
      </c>
      <c r="F776" s="45">
        <v>1000</v>
      </c>
      <c r="G776" s="45"/>
      <c r="H776" s="45"/>
      <c r="I776" s="45"/>
      <c r="J776" s="46">
        <f>IF(VLOOKUP($C776,REV!$C:$AA,8,0)-'TRADE IN'!$F776=0,"",(VLOOKUP($C776,REV!$C:$AA,8,0)-'TRADE IN'!$F776))</f>
        <v>8199</v>
      </c>
      <c r="K776" s="46">
        <f>IF(VLOOKUP($C776,REV!$C:$AA,9,0)-'TRADE IN'!$F776=0,"",(VLOOKUP($C776,REV!$C:$AA,9,0)-'TRADE IN'!$F776))</f>
        <v>8199</v>
      </c>
      <c r="L776" s="46">
        <f>IF(VLOOKUP($C776,REV!$C:$AA,10,0)-'TRADE IN'!$F815=0,"",(VLOOKUP($C776,REV!$C:$AA,10,0)-'TRADE IN'!$F776))</f>
        <v>8199</v>
      </c>
      <c r="M776" s="46">
        <f>IF(VLOOKUP($C776,REV!$C:$AA,11,0)-'TRADE IN'!$F815=0,"",(VLOOKUP($C776,REV!$C:$AA,11,0)-'TRADE IN'!$F776))</f>
        <v>8199</v>
      </c>
      <c r="N776" s="46">
        <f>IF(VLOOKUP($C776,REV!$C:$AA,12,0)-'TRADE IN'!$F815=0,"",(VLOOKUP($C776,REV!$C:$AA,12,0)-'TRADE IN'!$F776))</f>
        <v>8199</v>
      </c>
      <c r="O776" s="46">
        <f>IF(VLOOKUP($C776,REV!$C:$AA,13,0)-'TRADE IN'!$F815=0,"",(VLOOKUP($C776,REV!$C:$AA,13,0)-'TRADE IN'!$F776))</f>
        <v>8099</v>
      </c>
      <c r="P776" s="46">
        <f>IF(VLOOKUP($C776,REV!$C:$AA,14,0)-'TRADE IN'!$F815=0,"",(VLOOKUP($C776,REV!$C:$AA,14,0)-'TRADE IN'!$F776))</f>
        <v>7999</v>
      </c>
      <c r="Q776" s="46">
        <f>IF(VLOOKUP($C776,REV!$C:$AA,15,0)-'TRADE IN'!$F815=0,"",(VLOOKUP($C776,REV!$C:$AA,15,0)-'TRADE IN'!$F776))</f>
        <v>7499</v>
      </c>
      <c r="R776" s="46">
        <f>IF(VLOOKUP($C776,REV!$C:$AA,16,0)-'TRADE IN'!$F815=0,"",(VLOOKUP($C776,REV!$C:$AA,16,0)-'TRADE IN'!$F776))</f>
        <v>8099</v>
      </c>
      <c r="S776" s="46">
        <f>IF(VLOOKUP($C776,REV!$C:$AA,17,0)-'TRADE IN'!$F815=0,"",(VLOOKUP($C776,REV!$C:$AA,17,0)-'TRADE IN'!$F776))</f>
        <v>7999</v>
      </c>
      <c r="T776" s="46">
        <f>IF(VLOOKUP($C776,REV!$C:$AA,18,0)-'TRADE IN'!$F815=0,"",(VLOOKUP($C776,REV!$C:$AA,18,0)-'TRADE IN'!$F776))</f>
        <v>7499</v>
      </c>
      <c r="U776" s="46">
        <f>IF(VLOOKUP($C776,REV!$C:$AA,19,0)-'TRADE IN'!$F815=0,"",(VLOOKUP($C776,REV!$C:$AA,19,0)-'TRADE IN'!$F776))</f>
        <v>7499</v>
      </c>
      <c r="V776" s="46">
        <f>IF(VLOOKUP($C776,REV!$C:$AA,20,0)-'TRADE IN'!$F815=0,"",(VLOOKUP($C776,REV!$C:$AA,20,0)-'TRADE IN'!$F776))</f>
        <v>7499</v>
      </c>
      <c r="W776" s="46">
        <f>IF(VLOOKUP($C776,REV!$C:$AA,21,0)-'TRADE IN'!$F815=0,"",(VLOOKUP($C776,REV!$C:$AA,21,0)-'TRADE IN'!$F776))</f>
        <v>7499</v>
      </c>
      <c r="X776" s="46">
        <f>IF(VLOOKUP($C776,REV!$C:$AA,22,0)-'TRADE IN'!$F815=0,"",(VLOOKUP($C776,REV!$C:$AA,22,0)-'TRADE IN'!$F776))</f>
        <v>7399</v>
      </c>
      <c r="Y776" s="46">
        <f>IF(VLOOKUP($C776,REV!$C:$AA,23,0)-'TRADE IN'!$F815=0,"",(VLOOKUP($C776,REV!$C:$AA,23,0)-'TRADE IN'!$F776))</f>
        <v>4999</v>
      </c>
      <c r="Z776" s="46">
        <f>IF(VLOOKUP($C776,REV!$C:$AA,24,0)-'TRADE IN'!$F815=0,"",(VLOOKUP($C776,REV!$C:$AA,24,0)-'TRADE IN'!$F776))</f>
        <v>4999</v>
      </c>
      <c r="AA776" s="46">
        <f>IF(VLOOKUP($C776,REV!$C:$AA,25,0)-'TRADE IN'!$F815=0,"",(VLOOKUP($C776,REV!$C:$AA,25,0)-'TRADE IN'!$F776))</f>
        <v>4999</v>
      </c>
      <c r="AB776" s="46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7"/>
      <c r="AW776" s="48" t="str">
        <f>IF(REV!AW776=0,"",REV!AW776)</f>
        <v>31.03.2026</v>
      </c>
      <c r="AX776" s="159" t="s">
        <v>82</v>
      </c>
    </row>
    <row r="777" spans="1:50" ht="22.5" customHeight="1">
      <c r="A777" s="52" t="s">
        <v>70</v>
      </c>
      <c r="B777" s="41" t="s">
        <v>62</v>
      </c>
      <c r="C777" s="42">
        <v>4017732</v>
      </c>
      <c r="D777" s="66" t="s">
        <v>1023</v>
      </c>
      <c r="E777" s="44" t="s">
        <v>1029</v>
      </c>
      <c r="F777" s="45">
        <v>1000</v>
      </c>
      <c r="G777" s="45"/>
      <c r="H777" s="45"/>
      <c r="I777" s="45"/>
      <c r="J777" s="46">
        <f>IF(VLOOKUP($C777,REV!$C:$AA,8,0)-'TRADE IN'!$F777=0,"",(VLOOKUP($C777,REV!$C:$AA,8,0)-'TRADE IN'!$F777))</f>
        <v>8199</v>
      </c>
      <c r="K777" s="46">
        <f>IF(VLOOKUP($C777,REV!$C:$AA,9,0)-'TRADE IN'!$F777=0,"",(VLOOKUP($C777,REV!$C:$AA,9,0)-'TRADE IN'!$F777))</f>
        <v>8199</v>
      </c>
      <c r="L777" s="46">
        <f>IF(VLOOKUP($C777,REV!$C:$AA,10,0)-'TRADE IN'!$F816=0,"",(VLOOKUP($C777,REV!$C:$AA,10,0)-'TRADE IN'!$F777))</f>
        <v>8199</v>
      </c>
      <c r="M777" s="46">
        <f>IF(VLOOKUP($C777,REV!$C:$AA,11,0)-'TRADE IN'!$F816=0,"",(VLOOKUP($C777,REV!$C:$AA,11,0)-'TRADE IN'!$F777))</f>
        <v>8199</v>
      </c>
      <c r="N777" s="46">
        <f>IF(VLOOKUP($C777,REV!$C:$AA,12,0)-'TRADE IN'!$F816=0,"",(VLOOKUP($C777,REV!$C:$AA,12,0)-'TRADE IN'!$F777))</f>
        <v>8199</v>
      </c>
      <c r="O777" s="46">
        <f>IF(VLOOKUP($C777,REV!$C:$AA,13,0)-'TRADE IN'!$F816=0,"",(VLOOKUP($C777,REV!$C:$AA,13,0)-'TRADE IN'!$F777))</f>
        <v>8099</v>
      </c>
      <c r="P777" s="46">
        <f>IF(VLOOKUP($C777,REV!$C:$AA,14,0)-'TRADE IN'!$F816=0,"",(VLOOKUP($C777,REV!$C:$AA,14,0)-'TRADE IN'!$F777))</f>
        <v>7999</v>
      </c>
      <c r="Q777" s="46">
        <f>IF(VLOOKUP($C777,REV!$C:$AA,15,0)-'TRADE IN'!$F816=0,"",(VLOOKUP($C777,REV!$C:$AA,15,0)-'TRADE IN'!$F777))</f>
        <v>7499</v>
      </c>
      <c r="R777" s="46">
        <f>IF(VLOOKUP($C777,REV!$C:$AA,16,0)-'TRADE IN'!$F816=0,"",(VLOOKUP($C777,REV!$C:$AA,16,0)-'TRADE IN'!$F777))</f>
        <v>8099</v>
      </c>
      <c r="S777" s="46">
        <f>IF(VLOOKUP($C777,REV!$C:$AA,17,0)-'TRADE IN'!$F816=0,"",(VLOOKUP($C777,REV!$C:$AA,17,0)-'TRADE IN'!$F777))</f>
        <v>7999</v>
      </c>
      <c r="T777" s="46">
        <f>IF(VLOOKUP($C777,REV!$C:$AA,18,0)-'TRADE IN'!$F816=0,"",(VLOOKUP($C777,REV!$C:$AA,18,0)-'TRADE IN'!$F777))</f>
        <v>7499</v>
      </c>
      <c r="U777" s="46">
        <f>IF(VLOOKUP($C777,REV!$C:$AA,19,0)-'TRADE IN'!$F816=0,"",(VLOOKUP($C777,REV!$C:$AA,19,0)-'TRADE IN'!$F777))</f>
        <v>7499</v>
      </c>
      <c r="V777" s="46">
        <f>IF(VLOOKUP($C777,REV!$C:$AA,20,0)-'TRADE IN'!$F816=0,"",(VLOOKUP($C777,REV!$C:$AA,20,0)-'TRADE IN'!$F777))</f>
        <v>7499</v>
      </c>
      <c r="W777" s="46">
        <f>IF(VLOOKUP($C777,REV!$C:$AA,21,0)-'TRADE IN'!$F816=0,"",(VLOOKUP($C777,REV!$C:$AA,21,0)-'TRADE IN'!$F777))</f>
        <v>7499</v>
      </c>
      <c r="X777" s="46">
        <f>IF(VLOOKUP($C777,REV!$C:$AA,22,0)-'TRADE IN'!$F816=0,"",(VLOOKUP($C777,REV!$C:$AA,22,0)-'TRADE IN'!$F777))</f>
        <v>7399</v>
      </c>
      <c r="Y777" s="46">
        <f>IF(VLOOKUP($C777,REV!$C:$AA,23,0)-'TRADE IN'!$F816=0,"",(VLOOKUP($C777,REV!$C:$AA,23,0)-'TRADE IN'!$F777))</f>
        <v>4999</v>
      </c>
      <c r="Z777" s="46">
        <f>IF(VLOOKUP($C777,REV!$C:$AA,24,0)-'TRADE IN'!$F816=0,"",(VLOOKUP($C777,REV!$C:$AA,24,0)-'TRADE IN'!$F777))</f>
        <v>4999</v>
      </c>
      <c r="AA777" s="46">
        <f>IF(VLOOKUP($C777,REV!$C:$AA,25,0)-'TRADE IN'!$F816=0,"",(VLOOKUP($C777,REV!$C:$AA,25,0)-'TRADE IN'!$F777))</f>
        <v>4999</v>
      </c>
      <c r="AB777" s="46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7"/>
      <c r="AW777" s="48" t="str">
        <f>IF(REV!AW777=0,"",REV!AW777)</f>
        <v>31.03.2026</v>
      </c>
      <c r="AX777" s="159" t="s">
        <v>82</v>
      </c>
    </row>
    <row r="778" spans="1:50" ht="22.5" customHeight="1">
      <c r="A778" s="52" t="s">
        <v>70</v>
      </c>
      <c r="B778" s="41" t="s">
        <v>62</v>
      </c>
      <c r="C778" s="42">
        <v>4016325</v>
      </c>
      <c r="D778" s="44" t="s">
        <v>1030</v>
      </c>
      <c r="E778" s="44" t="s">
        <v>1031</v>
      </c>
      <c r="F778" s="45"/>
      <c r="G778" s="45"/>
      <c r="H778" s="45"/>
      <c r="I778" s="45"/>
      <c r="J778" s="46">
        <f>IF(VLOOKUP($C778,REV!$C:$AA,8,0)-'TRADE IN'!$F778=0,"",(VLOOKUP($C778,REV!$C:$AA,8,0)-'TRADE IN'!$F778))</f>
        <v>3899</v>
      </c>
      <c r="K778" s="46">
        <f>IF(VLOOKUP($C778,REV!$C:$AA,9,0)-'TRADE IN'!$F778=0,"",(VLOOKUP($C778,REV!$C:$AA,9,0)-'TRADE IN'!$F778))</f>
        <v>3899</v>
      </c>
      <c r="L778" s="46">
        <f>IF(VLOOKUP($C778,REV!$C:$AA,10,0)-'TRADE IN'!$F787=0,"",(VLOOKUP($C778,REV!$C:$AA,10,0)-'TRADE IN'!$F778))</f>
        <v>3899</v>
      </c>
      <c r="M778" s="46">
        <f>IF(VLOOKUP($C778,REV!$C:$AA,11,0)-'TRADE IN'!$F787=0,"",(VLOOKUP($C778,REV!$C:$AA,11,0)-'TRADE IN'!$F778))</f>
        <v>3899</v>
      </c>
      <c r="N778" s="46">
        <f>IF(VLOOKUP($C778,REV!$C:$AA,12,0)-'TRADE IN'!$F787=0,"",(VLOOKUP($C778,REV!$C:$AA,12,0)-'TRADE IN'!$F778))</f>
        <v>3899</v>
      </c>
      <c r="O778" s="46">
        <f>IF(VLOOKUP($C778,REV!$C:$AA,13,0)-'TRADE IN'!$F787=0,"",(VLOOKUP($C778,REV!$C:$AA,13,0)-'TRADE IN'!$F778))</f>
        <v>3799</v>
      </c>
      <c r="P778" s="46">
        <f>IF(VLOOKUP($C778,REV!$C:$AA,14,0)-'TRADE IN'!$F787=0,"",(VLOOKUP($C778,REV!$C:$AA,14,0)-'TRADE IN'!$F778))</f>
        <v>3699</v>
      </c>
      <c r="Q778" s="46">
        <f>IF(VLOOKUP($C778,REV!$C:$AA,15,0)-'TRADE IN'!$F787=0,"",(VLOOKUP($C778,REV!$C:$AA,15,0)-'TRADE IN'!$F778))</f>
        <v>3499</v>
      </c>
      <c r="R778" s="46">
        <f>IF(VLOOKUP($C778,REV!$C:$AA,16,0)-'TRADE IN'!$F787=0,"",(VLOOKUP($C778,REV!$C:$AA,16,0)-'TRADE IN'!$F778))</f>
        <v>3799</v>
      </c>
      <c r="S778" s="46">
        <f>IF(VLOOKUP($C778,REV!$C:$AA,17,0)-'TRADE IN'!$F787=0,"",(VLOOKUP($C778,REV!$C:$AA,17,0)-'TRADE IN'!$F778))</f>
        <v>3699</v>
      </c>
      <c r="T778" s="46">
        <f>IF(VLOOKUP($C778,REV!$C:$AA,18,0)-'TRADE IN'!$F787=0,"",(VLOOKUP($C778,REV!$C:$AA,18,0)-'TRADE IN'!$F778))</f>
        <v>3499</v>
      </c>
      <c r="U778" s="46">
        <f>IF(VLOOKUP($C778,REV!$C:$AA,19,0)-'TRADE IN'!$F787=0,"",(VLOOKUP($C778,REV!$C:$AA,19,0)-'TRADE IN'!$F778))</f>
        <v>3499</v>
      </c>
      <c r="V778" s="46">
        <f>IF(VLOOKUP($C778,REV!$C:$AA,20,0)-'TRADE IN'!$F787=0,"",(VLOOKUP($C778,REV!$C:$AA,20,0)-'TRADE IN'!$F778))</f>
        <v>3499</v>
      </c>
      <c r="W778" s="46">
        <f>IF(VLOOKUP($C778,REV!$C:$AA,21,0)-'TRADE IN'!$F787=0,"",(VLOOKUP($C778,REV!$C:$AA,21,0)-'TRADE IN'!$F778))</f>
        <v>3499</v>
      </c>
      <c r="X778" s="46">
        <f>IF(VLOOKUP($C778,REV!$C:$AA,22,0)-'TRADE IN'!$F787=0,"",(VLOOKUP($C778,REV!$C:$AA,22,0)-'TRADE IN'!$F778))</f>
        <v>3399</v>
      </c>
      <c r="Y778" s="46">
        <f>IF(VLOOKUP($C778,REV!$C:$AA,23,0)-'TRADE IN'!$F787=0,"",(VLOOKUP($C778,REV!$C:$AA,23,0)-'TRADE IN'!$F778))</f>
        <v>2999</v>
      </c>
      <c r="Z778" s="46">
        <f>IF(VLOOKUP($C778,REV!$C:$AA,24,0)-'TRADE IN'!$F787=0,"",(VLOOKUP($C778,REV!$C:$AA,24,0)-'TRADE IN'!$F778))</f>
        <v>2999</v>
      </c>
      <c r="AA778" s="46">
        <f>IF(VLOOKUP($C778,REV!$C:$AA,25,0)-'TRADE IN'!$F787=0,"",(VLOOKUP($C778,REV!$C:$AA,25,0)-'TRADE IN'!$F778))</f>
        <v>2999</v>
      </c>
      <c r="AB778" s="46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7"/>
      <c r="AW778" s="48" t="str">
        <f>IF(REV!AW778=0,"",REV!AW778)</f>
        <v>31.03.2026</v>
      </c>
      <c r="AX778" s="159" t="s">
        <v>82</v>
      </c>
    </row>
    <row r="779" spans="1:50" ht="22.5" customHeight="1">
      <c r="A779" s="52" t="s">
        <v>70</v>
      </c>
      <c r="B779" s="41" t="s">
        <v>62</v>
      </c>
      <c r="C779" s="42">
        <v>4016327</v>
      </c>
      <c r="D779" s="44" t="s">
        <v>1030</v>
      </c>
      <c r="E779" s="44" t="s">
        <v>1032</v>
      </c>
      <c r="F779" s="45"/>
      <c r="G779" s="45"/>
      <c r="H779" s="45"/>
      <c r="I779" s="45"/>
      <c r="J779" s="46">
        <f>IF(VLOOKUP($C779,REV!$C:$AA,8,0)-'TRADE IN'!$F779=0,"",(VLOOKUP($C779,REV!$C:$AA,8,0)-'TRADE IN'!$F779))</f>
        <v>3899</v>
      </c>
      <c r="K779" s="46">
        <f>IF(VLOOKUP($C779,REV!$C:$AA,9,0)-'TRADE IN'!$F779=0,"",(VLOOKUP($C779,REV!$C:$AA,9,0)-'TRADE IN'!$F779))</f>
        <v>3899</v>
      </c>
      <c r="L779" s="46">
        <f>IF(VLOOKUP($C779,REV!$C:$AA,10,0)-'TRADE IN'!$F788=0,"",(VLOOKUP($C779,REV!$C:$AA,10,0)-'TRADE IN'!$F779))</f>
        <v>3899</v>
      </c>
      <c r="M779" s="46">
        <f>IF(VLOOKUP($C779,REV!$C:$AA,11,0)-'TRADE IN'!$F788=0,"",(VLOOKUP($C779,REV!$C:$AA,11,0)-'TRADE IN'!$F779))</f>
        <v>3899</v>
      </c>
      <c r="N779" s="46">
        <f>IF(VLOOKUP($C779,REV!$C:$AA,12,0)-'TRADE IN'!$F788=0,"",(VLOOKUP($C779,REV!$C:$AA,12,0)-'TRADE IN'!$F779))</f>
        <v>3899</v>
      </c>
      <c r="O779" s="46">
        <f>IF(VLOOKUP($C779,REV!$C:$AA,13,0)-'TRADE IN'!$F788=0,"",(VLOOKUP($C779,REV!$C:$AA,13,0)-'TRADE IN'!$F779))</f>
        <v>3799</v>
      </c>
      <c r="P779" s="46">
        <f>IF(VLOOKUP($C779,REV!$C:$AA,14,0)-'TRADE IN'!$F788=0,"",(VLOOKUP($C779,REV!$C:$AA,14,0)-'TRADE IN'!$F779))</f>
        <v>3699</v>
      </c>
      <c r="Q779" s="46">
        <f>IF(VLOOKUP($C779,REV!$C:$AA,15,0)-'TRADE IN'!$F788=0,"",(VLOOKUP($C779,REV!$C:$AA,15,0)-'TRADE IN'!$F779))</f>
        <v>3499</v>
      </c>
      <c r="R779" s="46">
        <f>IF(VLOOKUP($C779,REV!$C:$AA,16,0)-'TRADE IN'!$F788=0,"",(VLOOKUP($C779,REV!$C:$AA,16,0)-'TRADE IN'!$F779))</f>
        <v>3799</v>
      </c>
      <c r="S779" s="46">
        <f>IF(VLOOKUP($C779,REV!$C:$AA,17,0)-'TRADE IN'!$F788=0,"",(VLOOKUP($C779,REV!$C:$AA,17,0)-'TRADE IN'!$F779))</f>
        <v>3699</v>
      </c>
      <c r="T779" s="46">
        <f>IF(VLOOKUP($C779,REV!$C:$AA,18,0)-'TRADE IN'!$F788=0,"",(VLOOKUP($C779,REV!$C:$AA,18,0)-'TRADE IN'!$F779))</f>
        <v>3499</v>
      </c>
      <c r="U779" s="46">
        <f>IF(VLOOKUP($C779,REV!$C:$AA,19,0)-'TRADE IN'!$F788=0,"",(VLOOKUP($C779,REV!$C:$AA,19,0)-'TRADE IN'!$F779))</f>
        <v>3499</v>
      </c>
      <c r="V779" s="46">
        <f>IF(VLOOKUP($C779,REV!$C:$AA,20,0)-'TRADE IN'!$F788=0,"",(VLOOKUP($C779,REV!$C:$AA,20,0)-'TRADE IN'!$F779))</f>
        <v>3499</v>
      </c>
      <c r="W779" s="46">
        <f>IF(VLOOKUP($C779,REV!$C:$AA,21,0)-'TRADE IN'!$F788=0,"",(VLOOKUP($C779,REV!$C:$AA,21,0)-'TRADE IN'!$F779))</f>
        <v>3499</v>
      </c>
      <c r="X779" s="46">
        <f>IF(VLOOKUP($C779,REV!$C:$AA,22,0)-'TRADE IN'!$F788=0,"",(VLOOKUP($C779,REV!$C:$AA,22,0)-'TRADE IN'!$F779))</f>
        <v>3399</v>
      </c>
      <c r="Y779" s="46">
        <f>IF(VLOOKUP($C779,REV!$C:$AA,23,0)-'TRADE IN'!$F788=0,"",(VLOOKUP($C779,REV!$C:$AA,23,0)-'TRADE IN'!$F779))</f>
        <v>2999</v>
      </c>
      <c r="Z779" s="46">
        <f>IF(VLOOKUP($C779,REV!$C:$AA,24,0)-'TRADE IN'!$F788=0,"",(VLOOKUP($C779,REV!$C:$AA,24,0)-'TRADE IN'!$F779))</f>
        <v>2999</v>
      </c>
      <c r="AA779" s="46">
        <f>IF(VLOOKUP($C779,REV!$C:$AA,25,0)-'TRADE IN'!$F788=0,"",(VLOOKUP($C779,REV!$C:$AA,25,0)-'TRADE IN'!$F779))</f>
        <v>2999</v>
      </c>
      <c r="AB779" s="46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7"/>
      <c r="AW779" s="48" t="str">
        <f>IF(REV!AW779=0,"",REV!AW779)</f>
        <v>31.03.2026</v>
      </c>
      <c r="AX779" s="159" t="s">
        <v>82</v>
      </c>
    </row>
    <row r="780" spans="1:50" ht="22.5" customHeight="1">
      <c r="A780" s="52" t="s">
        <v>70</v>
      </c>
      <c r="B780" s="41" t="s">
        <v>62</v>
      </c>
      <c r="C780" s="42">
        <v>4017179</v>
      </c>
      <c r="D780" s="44" t="s">
        <v>1033</v>
      </c>
      <c r="E780" s="44" t="s">
        <v>1034</v>
      </c>
      <c r="F780" s="45">
        <v>500</v>
      </c>
      <c r="G780" s="45"/>
      <c r="H780" s="45"/>
      <c r="I780" s="45"/>
      <c r="J780" s="46">
        <f>IF(VLOOKUP($C780,REV!$C:$AA,8,0)-'TRADE IN'!$F780=0,"",(VLOOKUP($C780,REV!$C:$AA,8,0)-'TRADE IN'!$F780))</f>
        <v>6199</v>
      </c>
      <c r="K780" s="46">
        <f>IF(VLOOKUP($C780,REV!$C:$AA,9,0)-'TRADE IN'!$F780=0,"",(VLOOKUP($C780,REV!$C:$AA,9,0)-'TRADE IN'!$F780))</f>
        <v>6199</v>
      </c>
      <c r="L780" s="46">
        <f>IF(VLOOKUP($C780,REV!$C:$AA,10,0)-'TRADE IN'!$F789=0,"",(VLOOKUP($C780,REV!$C:$AA,10,0)-'TRADE IN'!$F780))</f>
        <v>6199</v>
      </c>
      <c r="M780" s="46">
        <f>IF(VLOOKUP($C780,REV!$C:$AA,11,0)-'TRADE IN'!$F789=0,"",(VLOOKUP($C780,REV!$C:$AA,11,0)-'TRADE IN'!$F780))</f>
        <v>6199</v>
      </c>
      <c r="N780" s="46">
        <f>IF(VLOOKUP($C780,REV!$C:$AA,12,0)-'TRADE IN'!$F789=0,"",(VLOOKUP($C780,REV!$C:$AA,12,0)-'TRADE IN'!$F780))</f>
        <v>6199</v>
      </c>
      <c r="O780" s="46">
        <f>IF(VLOOKUP($C780,REV!$C:$AA,13,0)-'TRADE IN'!$F789=0,"",(VLOOKUP($C780,REV!$C:$AA,13,0)-'TRADE IN'!$F780))</f>
        <v>6099</v>
      </c>
      <c r="P780" s="46">
        <f>IF(VLOOKUP($C780,REV!$C:$AA,14,0)-'TRADE IN'!$F789=0,"",(VLOOKUP($C780,REV!$C:$AA,14,0)-'TRADE IN'!$F780))</f>
        <v>5999</v>
      </c>
      <c r="Q780" s="46">
        <f>IF(VLOOKUP($C780,REV!$C:$AA,15,0)-'TRADE IN'!$F789=0,"",(VLOOKUP($C780,REV!$C:$AA,15,0)-'TRADE IN'!$F780))</f>
        <v>5699</v>
      </c>
      <c r="R780" s="46">
        <f>IF(VLOOKUP($C780,REV!$C:$AA,16,0)-'TRADE IN'!$F789=0,"",(VLOOKUP($C780,REV!$C:$AA,16,0)-'TRADE IN'!$F780))</f>
        <v>6099</v>
      </c>
      <c r="S780" s="46">
        <f>IF(VLOOKUP($C780,REV!$C:$AA,17,0)-'TRADE IN'!$F789=0,"",(VLOOKUP($C780,REV!$C:$AA,17,0)-'TRADE IN'!$F780))</f>
        <v>5999</v>
      </c>
      <c r="T780" s="46">
        <f>IF(VLOOKUP($C780,REV!$C:$AA,18,0)-'TRADE IN'!$F789=0,"",(VLOOKUP($C780,REV!$C:$AA,18,0)-'TRADE IN'!$F780))</f>
        <v>5699</v>
      </c>
      <c r="U780" s="46">
        <f>IF(VLOOKUP($C780,REV!$C:$AA,19,0)-'TRADE IN'!$F789=0,"",(VLOOKUP($C780,REV!$C:$AA,19,0)-'TRADE IN'!$F780))</f>
        <v>5699</v>
      </c>
      <c r="V780" s="46">
        <f>IF(VLOOKUP($C780,REV!$C:$AA,20,0)-'TRADE IN'!$F789=0,"",(VLOOKUP($C780,REV!$C:$AA,20,0)-'TRADE IN'!$F780))</f>
        <v>5699</v>
      </c>
      <c r="W780" s="46">
        <f>IF(VLOOKUP($C780,REV!$C:$AA,21,0)-'TRADE IN'!$F789=0,"",(VLOOKUP($C780,REV!$C:$AA,21,0)-'TRADE IN'!$F780))</f>
        <v>5699</v>
      </c>
      <c r="X780" s="46">
        <f>IF(VLOOKUP($C780,REV!$C:$AA,22,0)-'TRADE IN'!$F789=0,"",(VLOOKUP($C780,REV!$C:$AA,22,0)-'TRADE IN'!$F780))</f>
        <v>5599</v>
      </c>
      <c r="Y780" s="46">
        <f>IF(VLOOKUP($C780,REV!$C:$AA,23,0)-'TRADE IN'!$F789=0,"",(VLOOKUP($C780,REV!$C:$AA,23,0)-'TRADE IN'!$F780))</f>
        <v>3999</v>
      </c>
      <c r="Z780" s="46">
        <f>IF(VLOOKUP($C780,REV!$C:$AA,24,0)-'TRADE IN'!$F789=0,"",(VLOOKUP($C780,REV!$C:$AA,24,0)-'TRADE IN'!$F780))</f>
        <v>3999</v>
      </c>
      <c r="AA780" s="46">
        <f>IF(VLOOKUP($C780,REV!$C:$AA,25,0)-'TRADE IN'!$F789=0,"",(VLOOKUP($C780,REV!$C:$AA,25,0)-'TRADE IN'!$F780))</f>
        <v>3999</v>
      </c>
      <c r="AB780" s="46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7"/>
      <c r="AW780" s="48" t="str">
        <f>IF(REV!AW780=0,"",REV!AW780)</f>
        <v>31.03.2026</v>
      </c>
      <c r="AX780" s="159" t="s">
        <v>82</v>
      </c>
    </row>
    <row r="781" spans="1:50" ht="22.5" customHeight="1">
      <c r="A781" s="52" t="s">
        <v>70</v>
      </c>
      <c r="B781" s="41" t="s">
        <v>62</v>
      </c>
      <c r="C781" s="42">
        <v>4017187</v>
      </c>
      <c r="D781" s="44" t="s">
        <v>1035</v>
      </c>
      <c r="E781" s="44" t="s">
        <v>1036</v>
      </c>
      <c r="F781" s="45">
        <v>500</v>
      </c>
      <c r="G781" s="45"/>
      <c r="H781" s="45"/>
      <c r="I781" s="45"/>
      <c r="J781" s="46">
        <f>IF(VLOOKUP($C781,REV!$C:$AA,8,0)-'TRADE IN'!$F781=0,"",(VLOOKUP($C781,REV!$C:$AA,8,0)-'TRADE IN'!$F781))</f>
        <v>6399</v>
      </c>
      <c r="K781" s="46">
        <f>IF(VLOOKUP($C781,REV!$C:$AA,9,0)-'TRADE IN'!$F781=0,"",(VLOOKUP($C781,REV!$C:$AA,9,0)-'TRADE IN'!$F781))</f>
        <v>6399</v>
      </c>
      <c r="L781" s="46">
        <f>IF(VLOOKUP($C781,REV!$C:$AA,10,0)-'TRADE IN'!$F790=0,"",(VLOOKUP($C781,REV!$C:$AA,10,0)-'TRADE IN'!$F781))</f>
        <v>6399</v>
      </c>
      <c r="M781" s="46">
        <f>IF(VLOOKUP($C781,REV!$C:$AA,11,0)-'TRADE IN'!$F790=0,"",(VLOOKUP($C781,REV!$C:$AA,11,0)-'TRADE IN'!$F781))</f>
        <v>6399</v>
      </c>
      <c r="N781" s="46">
        <f>IF(VLOOKUP($C781,REV!$C:$AA,12,0)-'TRADE IN'!$F790=0,"",(VLOOKUP($C781,REV!$C:$AA,12,0)-'TRADE IN'!$F781))</f>
        <v>6399</v>
      </c>
      <c r="O781" s="46">
        <f>IF(VLOOKUP($C781,REV!$C:$AA,13,0)-'TRADE IN'!$F790=0,"",(VLOOKUP($C781,REV!$C:$AA,13,0)-'TRADE IN'!$F781))</f>
        <v>6299</v>
      </c>
      <c r="P781" s="46">
        <f>IF(VLOOKUP($C781,REV!$C:$AA,14,0)-'TRADE IN'!$F790=0,"",(VLOOKUP($C781,REV!$C:$AA,14,0)-'TRADE IN'!$F781))</f>
        <v>6199</v>
      </c>
      <c r="Q781" s="46">
        <f>IF(VLOOKUP($C781,REV!$C:$AA,15,0)-'TRADE IN'!$F790=0,"",(VLOOKUP($C781,REV!$C:$AA,15,0)-'TRADE IN'!$F781))</f>
        <v>5899</v>
      </c>
      <c r="R781" s="46">
        <f>IF(VLOOKUP($C781,REV!$C:$AA,16,0)-'TRADE IN'!$F790=0,"",(VLOOKUP($C781,REV!$C:$AA,16,0)-'TRADE IN'!$F781))</f>
        <v>6299</v>
      </c>
      <c r="S781" s="46">
        <f>IF(VLOOKUP($C781,REV!$C:$AA,17,0)-'TRADE IN'!$F790=0,"",(VLOOKUP($C781,REV!$C:$AA,17,0)-'TRADE IN'!$F781))</f>
        <v>6199</v>
      </c>
      <c r="T781" s="46">
        <f>IF(VLOOKUP($C781,REV!$C:$AA,18,0)-'TRADE IN'!$F790=0,"",(VLOOKUP($C781,REV!$C:$AA,18,0)-'TRADE IN'!$F781))</f>
        <v>5899</v>
      </c>
      <c r="U781" s="46">
        <f>IF(VLOOKUP($C781,REV!$C:$AA,19,0)-'TRADE IN'!$F790=0,"",(VLOOKUP($C781,REV!$C:$AA,19,0)-'TRADE IN'!$F781))</f>
        <v>5899</v>
      </c>
      <c r="V781" s="46">
        <f>IF(VLOOKUP($C781,REV!$C:$AA,20,0)-'TRADE IN'!$F790=0,"",(VLOOKUP($C781,REV!$C:$AA,20,0)-'TRADE IN'!$F781))</f>
        <v>5899</v>
      </c>
      <c r="W781" s="46">
        <f>IF(VLOOKUP($C781,REV!$C:$AA,21,0)-'TRADE IN'!$F790=0,"",(VLOOKUP($C781,REV!$C:$AA,21,0)-'TRADE IN'!$F781))</f>
        <v>5899</v>
      </c>
      <c r="X781" s="46">
        <f>IF(VLOOKUP($C781,REV!$C:$AA,22,0)-'TRADE IN'!$F790=0,"",(VLOOKUP($C781,REV!$C:$AA,22,0)-'TRADE IN'!$F781))</f>
        <v>5799</v>
      </c>
      <c r="Y781" s="46">
        <f>IF(VLOOKUP($C781,REV!$C:$AA,23,0)-'TRADE IN'!$F790=0,"",(VLOOKUP($C781,REV!$C:$AA,23,0)-'TRADE IN'!$F781))</f>
        <v>4199</v>
      </c>
      <c r="Z781" s="46">
        <f>IF(VLOOKUP($C781,REV!$C:$AA,24,0)-'TRADE IN'!$F790=0,"",(VLOOKUP($C781,REV!$C:$AA,24,0)-'TRADE IN'!$F781))</f>
        <v>4199</v>
      </c>
      <c r="AA781" s="46">
        <f>IF(VLOOKUP($C781,REV!$C:$AA,25,0)-'TRADE IN'!$F790=0,"",(VLOOKUP($C781,REV!$C:$AA,25,0)-'TRADE IN'!$F781))</f>
        <v>4199</v>
      </c>
      <c r="AB781" s="46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7"/>
      <c r="AW781" s="48" t="str">
        <f>IF(REV!AW781=0,"",REV!AW781)</f>
        <v>31.03.2026</v>
      </c>
      <c r="AX781" s="159" t="s">
        <v>82</v>
      </c>
    </row>
    <row r="782" spans="1:50" ht="22.5" customHeight="1">
      <c r="A782" s="52" t="s">
        <v>70</v>
      </c>
      <c r="B782" s="41" t="s">
        <v>62</v>
      </c>
      <c r="C782" s="42">
        <v>4017183</v>
      </c>
      <c r="D782" s="44" t="s">
        <v>1037</v>
      </c>
      <c r="E782" s="44" t="s">
        <v>1038</v>
      </c>
      <c r="F782" s="45">
        <v>500</v>
      </c>
      <c r="G782" s="45"/>
      <c r="H782" s="45"/>
      <c r="I782" s="45"/>
      <c r="J782" s="46">
        <f>IF(VLOOKUP($C782,REV!$C:$AA,8,0)-'TRADE IN'!$F782=0,"",(VLOOKUP($C782,REV!$C:$AA,8,0)-'TRADE IN'!$F782))</f>
        <v>3899</v>
      </c>
      <c r="K782" s="46">
        <f>IF(VLOOKUP($C782,REV!$C:$AA,9,0)-'TRADE IN'!$F782=0,"",(VLOOKUP($C782,REV!$C:$AA,9,0)-'TRADE IN'!$F782))</f>
        <v>3899</v>
      </c>
      <c r="L782" s="46">
        <f>IF(VLOOKUP($C782,REV!$C:$AA,10,0)-'TRADE IN'!$F791=0,"",(VLOOKUP($C782,REV!$C:$AA,10,0)-'TRADE IN'!$F782))</f>
        <v>3899</v>
      </c>
      <c r="M782" s="46">
        <f>IF(VLOOKUP($C782,REV!$C:$AA,11,0)-'TRADE IN'!$F791=0,"",(VLOOKUP($C782,REV!$C:$AA,11,0)-'TRADE IN'!$F782))</f>
        <v>3899</v>
      </c>
      <c r="N782" s="46">
        <f>IF(VLOOKUP($C782,REV!$C:$AA,12,0)-'TRADE IN'!$F791=0,"",(VLOOKUP($C782,REV!$C:$AA,12,0)-'TRADE IN'!$F782))</f>
        <v>3899</v>
      </c>
      <c r="O782" s="46">
        <f>IF(VLOOKUP($C782,REV!$C:$AA,13,0)-'TRADE IN'!$F791=0,"",(VLOOKUP($C782,REV!$C:$AA,13,0)-'TRADE IN'!$F782))</f>
        <v>3799</v>
      </c>
      <c r="P782" s="46">
        <f>IF(VLOOKUP($C782,REV!$C:$AA,14,0)-'TRADE IN'!$F791=0,"",(VLOOKUP($C782,REV!$C:$AA,14,0)-'TRADE IN'!$F782))</f>
        <v>3699</v>
      </c>
      <c r="Q782" s="46">
        <f>IF(VLOOKUP($C782,REV!$C:$AA,15,0)-'TRADE IN'!$F791=0,"",(VLOOKUP($C782,REV!$C:$AA,15,0)-'TRADE IN'!$F782))</f>
        <v>3499</v>
      </c>
      <c r="R782" s="46">
        <f>IF(VLOOKUP($C782,REV!$C:$AA,16,0)-'TRADE IN'!$F791=0,"",(VLOOKUP($C782,REV!$C:$AA,16,0)-'TRADE IN'!$F782))</f>
        <v>3799</v>
      </c>
      <c r="S782" s="46">
        <f>IF(VLOOKUP($C782,REV!$C:$AA,17,0)-'TRADE IN'!$F791=0,"",(VLOOKUP($C782,REV!$C:$AA,17,0)-'TRADE IN'!$F782))</f>
        <v>3699</v>
      </c>
      <c r="T782" s="46">
        <f>IF(VLOOKUP($C782,REV!$C:$AA,18,0)-'TRADE IN'!$F791=0,"",(VLOOKUP($C782,REV!$C:$AA,18,0)-'TRADE IN'!$F782))</f>
        <v>3499</v>
      </c>
      <c r="U782" s="46">
        <f>IF(VLOOKUP($C782,REV!$C:$AA,19,0)-'TRADE IN'!$F791=0,"",(VLOOKUP($C782,REV!$C:$AA,19,0)-'TRADE IN'!$F782))</f>
        <v>3499</v>
      </c>
      <c r="V782" s="46">
        <f>IF(VLOOKUP($C782,REV!$C:$AA,20,0)-'TRADE IN'!$F791=0,"",(VLOOKUP($C782,REV!$C:$AA,20,0)-'TRADE IN'!$F782))</f>
        <v>3499</v>
      </c>
      <c r="W782" s="46">
        <f>IF(VLOOKUP($C782,REV!$C:$AA,21,0)-'TRADE IN'!$F791=0,"",(VLOOKUP($C782,REV!$C:$AA,21,0)-'TRADE IN'!$F782))</f>
        <v>3499</v>
      </c>
      <c r="X782" s="46">
        <f>IF(VLOOKUP($C782,REV!$C:$AA,22,0)-'TRADE IN'!$F791=0,"",(VLOOKUP($C782,REV!$C:$AA,22,0)-'TRADE IN'!$F782))</f>
        <v>3399</v>
      </c>
      <c r="Y782" s="46">
        <f>IF(VLOOKUP($C782,REV!$C:$AA,23,0)-'TRADE IN'!$F791=0,"",(VLOOKUP($C782,REV!$C:$AA,23,0)-'TRADE IN'!$F782))</f>
        <v>2499</v>
      </c>
      <c r="Z782" s="46">
        <f>IF(VLOOKUP($C782,REV!$C:$AA,24,0)-'TRADE IN'!$F791=0,"",(VLOOKUP($C782,REV!$C:$AA,24,0)-'TRADE IN'!$F782))</f>
        <v>2499</v>
      </c>
      <c r="AA782" s="46">
        <f>IF(VLOOKUP($C782,REV!$C:$AA,25,0)-'TRADE IN'!$F791=0,"",(VLOOKUP($C782,REV!$C:$AA,25,0)-'TRADE IN'!$F782))</f>
        <v>2499</v>
      </c>
      <c r="AB782" s="46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7"/>
      <c r="AW782" s="48" t="str">
        <f>IF(REV!AW782=0,"",REV!AW782)</f>
        <v>31.03.2026</v>
      </c>
      <c r="AX782" s="159" t="s">
        <v>82</v>
      </c>
    </row>
    <row r="783" spans="1:50" ht="22.5" customHeight="1">
      <c r="A783" s="52" t="s">
        <v>70</v>
      </c>
      <c r="B783" s="41" t="s">
        <v>62</v>
      </c>
      <c r="C783" s="42">
        <v>4016326</v>
      </c>
      <c r="D783" s="44" t="s">
        <v>1039</v>
      </c>
      <c r="E783" s="44" t="s">
        <v>1040</v>
      </c>
      <c r="F783" s="45"/>
      <c r="G783" s="45"/>
      <c r="H783" s="45"/>
      <c r="I783" s="45"/>
      <c r="J783" s="46">
        <f>IF(VLOOKUP($C783,REV!$C:$AA,8,0)-'TRADE IN'!$F783=0,"",(VLOOKUP($C783,REV!$C:$AA,8,0)-'TRADE IN'!$F783))</f>
        <v>7299</v>
      </c>
      <c r="K783" s="46">
        <f>IF(VLOOKUP($C783,REV!$C:$AA,9,0)-'TRADE IN'!$F783=0,"",(VLOOKUP($C783,REV!$C:$AA,9,0)-'TRADE IN'!$F783))</f>
        <v>7299</v>
      </c>
      <c r="L783" s="46">
        <f>IF(VLOOKUP($C783,REV!$C:$AA,10,0)-'TRADE IN'!$F792=0,"",(VLOOKUP($C783,REV!$C:$AA,10,0)-'TRADE IN'!$F783))</f>
        <v>7299</v>
      </c>
      <c r="M783" s="46">
        <f>IF(VLOOKUP($C783,REV!$C:$AA,11,0)-'TRADE IN'!$F792=0,"",(VLOOKUP($C783,REV!$C:$AA,11,0)-'TRADE IN'!$F783))</f>
        <v>7299</v>
      </c>
      <c r="N783" s="46">
        <f>IF(VLOOKUP($C783,REV!$C:$AA,12,0)-'TRADE IN'!$F792=0,"",(VLOOKUP($C783,REV!$C:$AA,12,0)-'TRADE IN'!$F783))</f>
        <v>7299</v>
      </c>
      <c r="O783" s="46">
        <f>IF(VLOOKUP($C783,REV!$C:$AA,13,0)-'TRADE IN'!$F792=0,"",(VLOOKUP($C783,REV!$C:$AA,13,0)-'TRADE IN'!$F783))</f>
        <v>7199</v>
      </c>
      <c r="P783" s="46">
        <f>IF(VLOOKUP($C783,REV!$C:$AA,14,0)-'TRADE IN'!$F792=0,"",(VLOOKUP($C783,REV!$C:$AA,14,0)-'TRADE IN'!$F783))</f>
        <v>7099</v>
      </c>
      <c r="Q783" s="46">
        <f>IF(VLOOKUP($C783,REV!$C:$AA,15,0)-'TRADE IN'!$F792=0,"",(VLOOKUP($C783,REV!$C:$AA,15,0)-'TRADE IN'!$F783))</f>
        <v>6799</v>
      </c>
      <c r="R783" s="46">
        <f>IF(VLOOKUP($C783,REV!$C:$AA,16,0)-'TRADE IN'!$F792=0,"",(VLOOKUP($C783,REV!$C:$AA,16,0)-'TRADE IN'!$F783))</f>
        <v>7199</v>
      </c>
      <c r="S783" s="46">
        <f>IF(VLOOKUP($C783,REV!$C:$AA,17,0)-'TRADE IN'!$F792=0,"",(VLOOKUP($C783,REV!$C:$AA,17,0)-'TRADE IN'!$F783))</f>
        <v>7099</v>
      </c>
      <c r="T783" s="46">
        <f>IF(VLOOKUP($C783,REV!$C:$AA,18,0)-'TRADE IN'!$F792=0,"",(VLOOKUP($C783,REV!$C:$AA,18,0)-'TRADE IN'!$F783))</f>
        <v>6799</v>
      </c>
      <c r="U783" s="46">
        <f>IF(VLOOKUP($C783,REV!$C:$AA,19,0)-'TRADE IN'!$F792=0,"",(VLOOKUP($C783,REV!$C:$AA,19,0)-'TRADE IN'!$F783))</f>
        <v>6799</v>
      </c>
      <c r="V783" s="46">
        <f>IF(VLOOKUP($C783,REV!$C:$AA,20,0)-'TRADE IN'!$F792=0,"",(VLOOKUP($C783,REV!$C:$AA,20,0)-'TRADE IN'!$F783))</f>
        <v>6799</v>
      </c>
      <c r="W783" s="46">
        <f>IF(VLOOKUP($C783,REV!$C:$AA,21,0)-'TRADE IN'!$F792=0,"",(VLOOKUP($C783,REV!$C:$AA,21,0)-'TRADE IN'!$F783))</f>
        <v>6799</v>
      </c>
      <c r="X783" s="46">
        <f>IF(VLOOKUP($C783,REV!$C:$AA,22,0)-'TRADE IN'!$F792=0,"",(VLOOKUP($C783,REV!$C:$AA,22,0)-'TRADE IN'!$F783))</f>
        <v>6699</v>
      </c>
      <c r="Y783" s="46">
        <f>IF(VLOOKUP($C783,REV!$C:$AA,23,0)-'TRADE IN'!$F792=0,"",(VLOOKUP($C783,REV!$C:$AA,23,0)-'TRADE IN'!$F783))</f>
        <v>4999</v>
      </c>
      <c r="Z783" s="46">
        <f>IF(VLOOKUP($C783,REV!$C:$AA,24,0)-'TRADE IN'!$F792=0,"",(VLOOKUP($C783,REV!$C:$AA,24,0)-'TRADE IN'!$F783))</f>
        <v>4999</v>
      </c>
      <c r="AA783" s="46">
        <f>IF(VLOOKUP($C783,REV!$C:$AA,25,0)-'TRADE IN'!$F792=0,"",(VLOOKUP($C783,REV!$C:$AA,25,0)-'TRADE IN'!$F783))</f>
        <v>4999</v>
      </c>
      <c r="AB783" s="46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7"/>
      <c r="AW783" s="48" t="str">
        <f>IF(REV!AW783=0,"",REV!AW783)</f>
        <v>31.03.2026</v>
      </c>
      <c r="AX783" s="159" t="s">
        <v>82</v>
      </c>
    </row>
    <row r="784" spans="1:50" ht="22.5" customHeight="1">
      <c r="A784" s="52" t="s">
        <v>70</v>
      </c>
      <c r="B784" s="41" t="s">
        <v>62</v>
      </c>
      <c r="C784" s="61">
        <v>4017186</v>
      </c>
      <c r="D784" s="67" t="s">
        <v>1041</v>
      </c>
      <c r="E784" s="67" t="s">
        <v>1042</v>
      </c>
      <c r="F784" s="46">
        <v>700</v>
      </c>
      <c r="G784" s="160"/>
      <c r="H784" s="160"/>
      <c r="I784" s="160"/>
      <c r="J784" s="46">
        <f>IF(VLOOKUP($C784,REV!$C:$AA,8,0)-'TRADE IN'!$F784=0,"",(VLOOKUP($C784,REV!$C:$AA,8,0)-'TRADE IN'!$F784))</f>
        <v>9099</v>
      </c>
      <c r="K784" s="46">
        <f>IF(VLOOKUP($C784,REV!$C:$AA,9,0)-'TRADE IN'!$F784=0,"",(VLOOKUP($C784,REV!$C:$AA,9,0)-'TRADE IN'!$F784))</f>
        <v>9099</v>
      </c>
      <c r="L784" s="46">
        <f>IF(VLOOKUP($C784,REV!$C:$AA,10,0)-'TRADE IN'!$F793=0,"",(VLOOKUP($C784,REV!$C:$AA,10,0)-'TRADE IN'!$F784))</f>
        <v>9099</v>
      </c>
      <c r="M784" s="46">
        <f>IF(VLOOKUP($C784,REV!$C:$AA,11,0)-'TRADE IN'!$F793=0,"",(VLOOKUP($C784,REV!$C:$AA,11,0)-'TRADE IN'!$F784))</f>
        <v>9099</v>
      </c>
      <c r="N784" s="46">
        <f>IF(VLOOKUP($C784,REV!$C:$AA,12,0)-'TRADE IN'!$F793=0,"",(VLOOKUP($C784,REV!$C:$AA,12,0)-'TRADE IN'!$F784))</f>
        <v>9099</v>
      </c>
      <c r="O784" s="46">
        <f>IF(VLOOKUP($C784,REV!$C:$AA,13,0)-'TRADE IN'!$F793=0,"",(VLOOKUP($C784,REV!$C:$AA,13,0)-'TRADE IN'!$F784))</f>
        <v>9049</v>
      </c>
      <c r="P784" s="46">
        <f>IF(VLOOKUP($C784,REV!$C:$AA,14,0)-'TRADE IN'!$F793=0,"",(VLOOKUP($C784,REV!$C:$AA,14,0)-'TRADE IN'!$F784))</f>
        <v>8999</v>
      </c>
      <c r="Q784" s="46">
        <f>IF(VLOOKUP($C784,REV!$C:$AA,15,0)-'TRADE IN'!$F793=0,"",(VLOOKUP($C784,REV!$C:$AA,15,0)-'TRADE IN'!$F784))</f>
        <v>8799</v>
      </c>
      <c r="R784" s="46">
        <f>IF(VLOOKUP($C784,REV!$C:$AA,16,0)-'TRADE IN'!$F793=0,"",(VLOOKUP($C784,REV!$C:$AA,16,0)-'TRADE IN'!$F784))</f>
        <v>9049</v>
      </c>
      <c r="S784" s="46">
        <f>IF(VLOOKUP($C784,REV!$C:$AA,17,0)-'TRADE IN'!$F793=0,"",(VLOOKUP($C784,REV!$C:$AA,17,0)-'TRADE IN'!$F784))</f>
        <v>8999</v>
      </c>
      <c r="T784" s="46">
        <f>IF(VLOOKUP($C784,REV!$C:$AA,18,0)-'TRADE IN'!$F793=0,"",(VLOOKUP($C784,REV!$C:$AA,18,0)-'TRADE IN'!$F784))</f>
        <v>8799</v>
      </c>
      <c r="U784" s="46">
        <f>IF(VLOOKUP($C784,REV!$C:$AA,19,0)-'TRADE IN'!$F793=0,"",(VLOOKUP($C784,REV!$C:$AA,19,0)-'TRADE IN'!$F784))</f>
        <v>8799</v>
      </c>
      <c r="V784" s="46">
        <f>IF(VLOOKUP($C784,REV!$C:$AA,20,0)-'TRADE IN'!$F793=0,"",(VLOOKUP($C784,REV!$C:$AA,20,0)-'TRADE IN'!$F784))</f>
        <v>8799</v>
      </c>
      <c r="W784" s="46">
        <f>IF(VLOOKUP($C784,REV!$C:$AA,21,0)-'TRADE IN'!$F793=0,"",(VLOOKUP($C784,REV!$C:$AA,21,0)-'TRADE IN'!$F784))</f>
        <v>8799</v>
      </c>
      <c r="X784" s="46">
        <f>IF(VLOOKUP($C784,REV!$C:$AA,22,0)-'TRADE IN'!$F793=0,"",(VLOOKUP($C784,REV!$C:$AA,22,0)-'TRADE IN'!$F784))</f>
        <v>8749</v>
      </c>
      <c r="Y784" s="46">
        <f>IF(VLOOKUP($C784,REV!$C:$AA,23,0)-'TRADE IN'!$F793=0,"",(VLOOKUP($C784,REV!$C:$AA,23,0)-'TRADE IN'!$F784))</f>
        <v>7299</v>
      </c>
      <c r="Z784" s="46">
        <f>IF(VLOOKUP($C784,REV!$C:$AA,24,0)-'TRADE IN'!$F793=0,"",(VLOOKUP($C784,REV!$C:$AA,24,0)-'TRADE IN'!$F784))</f>
        <v>7299</v>
      </c>
      <c r="AA784" s="46">
        <f>IF(VLOOKUP($C784,REV!$C:$AA,25,0)-'TRADE IN'!$F793=0,"",(VLOOKUP($C784,REV!$C:$AA,25,0)-'TRADE IN'!$F784))</f>
        <v>7299</v>
      </c>
      <c r="AB784" s="46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7"/>
      <c r="AW784" s="48" t="str">
        <f>IF(REV!AW784=0,"",REV!AW784)</f>
        <v>31.03.2026</v>
      </c>
      <c r="AX784" s="159" t="s">
        <v>82</v>
      </c>
    </row>
    <row r="785" spans="1:50" ht="22.5" customHeight="1">
      <c r="A785" s="52" t="s">
        <v>70</v>
      </c>
      <c r="B785" s="41" t="s">
        <v>62</v>
      </c>
      <c r="C785" s="68">
        <v>4017191</v>
      </c>
      <c r="D785" s="69" t="s">
        <v>1043</v>
      </c>
      <c r="E785" s="69" t="s">
        <v>1044</v>
      </c>
      <c r="F785" s="160"/>
      <c r="G785" s="160"/>
      <c r="H785" s="160"/>
      <c r="I785" s="160"/>
      <c r="J785" s="46">
        <f>IF(VLOOKUP($C785,REV!$C:$AA,8,0)-'TRADE IN'!$F785=0,"",(VLOOKUP($C785,REV!$C:$AA,8,0)-'TRADE IN'!$F785))</f>
        <v>9799</v>
      </c>
      <c r="K785" s="46">
        <f>IF(VLOOKUP($C785,REV!$C:$AA,9,0)-'TRADE IN'!$F785=0,"",(VLOOKUP($C785,REV!$C:$AA,9,0)-'TRADE IN'!$F785))</f>
        <v>9799</v>
      </c>
      <c r="L785" s="46">
        <f>IF(VLOOKUP($C785,REV!$C:$AA,10,0)-'TRADE IN'!$F794=0,"",(VLOOKUP($C785,REV!$C:$AA,10,0)-'TRADE IN'!$F785))</f>
        <v>9799</v>
      </c>
      <c r="M785" s="46">
        <f>IF(VLOOKUP($C785,REV!$C:$AA,11,0)-'TRADE IN'!$F794=0,"",(VLOOKUP($C785,REV!$C:$AA,11,0)-'TRADE IN'!$F785))</f>
        <v>9799</v>
      </c>
      <c r="N785" s="46">
        <f>IF(VLOOKUP($C785,REV!$C:$AA,12,0)-'TRADE IN'!$F794=0,"",(VLOOKUP($C785,REV!$C:$AA,12,0)-'TRADE IN'!$F785))</f>
        <v>9799</v>
      </c>
      <c r="O785" s="46">
        <f>IF(VLOOKUP($C785,REV!$C:$AA,13,0)-'TRADE IN'!$F794=0,"",(VLOOKUP($C785,REV!$C:$AA,13,0)-'TRADE IN'!$F785))</f>
        <v>9749</v>
      </c>
      <c r="P785" s="46">
        <f>IF(VLOOKUP($C785,REV!$C:$AA,14,0)-'TRADE IN'!$F794=0,"",(VLOOKUP($C785,REV!$C:$AA,14,0)-'TRADE IN'!$F785))</f>
        <v>9699</v>
      </c>
      <c r="Q785" s="46">
        <f>IF(VLOOKUP($C785,REV!$C:$AA,15,0)-'TRADE IN'!$F794=0,"",(VLOOKUP($C785,REV!$C:$AA,15,0)-'TRADE IN'!$F785))</f>
        <v>9499</v>
      </c>
      <c r="R785" s="46">
        <f>IF(VLOOKUP($C785,REV!$C:$AA,16,0)-'TRADE IN'!$F794=0,"",(VLOOKUP($C785,REV!$C:$AA,16,0)-'TRADE IN'!$F785))</f>
        <v>9749</v>
      </c>
      <c r="S785" s="46">
        <f>IF(VLOOKUP($C785,REV!$C:$AA,17,0)-'TRADE IN'!$F794=0,"",(VLOOKUP($C785,REV!$C:$AA,17,0)-'TRADE IN'!$F785))</f>
        <v>9699</v>
      </c>
      <c r="T785" s="46">
        <f>IF(VLOOKUP($C785,REV!$C:$AA,18,0)-'TRADE IN'!$F794=0,"",(VLOOKUP($C785,REV!$C:$AA,18,0)-'TRADE IN'!$F785))</f>
        <v>9499</v>
      </c>
      <c r="U785" s="46">
        <f>IF(VLOOKUP($C785,REV!$C:$AA,19,0)-'TRADE IN'!$F794=0,"",(VLOOKUP($C785,REV!$C:$AA,19,0)-'TRADE IN'!$F785))</f>
        <v>9499</v>
      </c>
      <c r="V785" s="46">
        <f>IF(VLOOKUP($C785,REV!$C:$AA,20,0)-'TRADE IN'!$F794=0,"",(VLOOKUP($C785,REV!$C:$AA,20,0)-'TRADE IN'!$F785))</f>
        <v>9499</v>
      </c>
      <c r="W785" s="46">
        <f>IF(VLOOKUP($C785,REV!$C:$AA,21,0)-'TRADE IN'!$F794=0,"",(VLOOKUP($C785,REV!$C:$AA,21,0)-'TRADE IN'!$F785))</f>
        <v>9499</v>
      </c>
      <c r="X785" s="46">
        <f>IF(VLOOKUP($C785,REV!$C:$AA,22,0)-'TRADE IN'!$F794=0,"",(VLOOKUP($C785,REV!$C:$AA,22,0)-'TRADE IN'!$F785))</f>
        <v>9449</v>
      </c>
      <c r="Y785" s="46">
        <f>IF(VLOOKUP($C785,REV!$C:$AA,23,0)-'TRADE IN'!$F794=0,"",(VLOOKUP($C785,REV!$C:$AA,23,0)-'TRADE IN'!$F785))</f>
        <v>8499</v>
      </c>
      <c r="Z785" s="46">
        <f>IF(VLOOKUP($C785,REV!$C:$AA,24,0)-'TRADE IN'!$F794=0,"",(VLOOKUP($C785,REV!$C:$AA,24,0)-'TRADE IN'!$F785))</f>
        <v>8499</v>
      </c>
      <c r="AA785" s="46">
        <f>IF(VLOOKUP($C785,REV!$C:$AA,25,0)-'TRADE IN'!$F794=0,"",(VLOOKUP($C785,REV!$C:$AA,25,0)-'TRADE IN'!$F785))</f>
        <v>8499</v>
      </c>
      <c r="AB785" s="46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7"/>
      <c r="AW785" s="48" t="str">
        <f>IF(REV!AW785=0,"",REV!AW785)</f>
        <v>31.03.2026</v>
      </c>
      <c r="AX785" s="159" t="s">
        <v>82</v>
      </c>
    </row>
    <row r="786" spans="1:50" ht="22.5" customHeight="1" thickBot="1">
      <c r="A786" s="70" t="s">
        <v>61</v>
      </c>
      <c r="B786" s="71" t="s">
        <v>62</v>
      </c>
      <c r="C786" s="72">
        <v>4013638</v>
      </c>
      <c r="D786" s="73" t="s">
        <v>1045</v>
      </c>
      <c r="E786" s="73" t="s">
        <v>1046</v>
      </c>
      <c r="F786" s="74"/>
      <c r="G786" s="74"/>
      <c r="H786" s="74"/>
      <c r="I786" s="74"/>
      <c r="J786" s="74">
        <f>IF(VLOOKUP($C786,REV!$C:$AA,8,0)-'TRADE IN'!$F786=0,"",(VLOOKUP($C786,REV!$C:$AA,8,0)-'TRADE IN'!$F786))</f>
        <v>99</v>
      </c>
      <c r="K786" s="74">
        <f>IF(VLOOKUP($C786,REV!$C:$AA,9,0)-'TRADE IN'!$F786=0,"",(VLOOKUP($C786,REV!$C:$AA,9,0)-'TRADE IN'!$F786))</f>
        <v>99</v>
      </c>
      <c r="L786" s="74">
        <f>IF(VLOOKUP($C786,REV!$C:$AA,10,0)-'TRADE IN'!$F795=0,"",(VLOOKUP($C786,REV!$C:$AA,10,0)-'TRADE IN'!$F786))</f>
        <v>99</v>
      </c>
      <c r="M786" s="74">
        <f>IF(VLOOKUP($C786,REV!$C:$AA,11,0)-'TRADE IN'!$F795=0,"",(VLOOKUP($C786,REV!$C:$AA,11,0)-'TRADE IN'!$F786))</f>
        <v>99</v>
      </c>
      <c r="N786" s="74">
        <f>IF(VLOOKUP($C786,REV!$C:$AA,12,0)-'TRADE IN'!$F795=0,"",(VLOOKUP($C786,REV!$C:$AA,12,0)-'TRADE IN'!$F786))</f>
        <v>99</v>
      </c>
      <c r="O786" s="74">
        <f>IF(VLOOKUP($C786,REV!$C:$AA,13,0)-'TRADE IN'!$F795=0,"",(VLOOKUP($C786,REV!$C:$AA,13,0)-'TRADE IN'!$F786))</f>
        <v>99</v>
      </c>
      <c r="P786" s="74">
        <f>IF(VLOOKUP($C786,REV!$C:$AA,14,0)-'TRADE IN'!$F795=0,"",(VLOOKUP($C786,REV!$C:$AA,14,0)-'TRADE IN'!$F786))</f>
        <v>99</v>
      </c>
      <c r="Q786" s="74">
        <f>IF(VLOOKUP($C786,REV!$C:$AA,15,0)-'TRADE IN'!$F795=0,"",(VLOOKUP($C786,REV!$C:$AA,15,0)-'TRADE IN'!$F786))</f>
        <v>99</v>
      </c>
      <c r="R786" s="74">
        <f>IF(VLOOKUP($C786,REV!$C:$AA,16,0)-'TRADE IN'!$F795=0,"",(VLOOKUP($C786,REV!$C:$AA,16,0)-'TRADE IN'!$F786))</f>
        <v>99</v>
      </c>
      <c r="S786" s="74">
        <f>IF(VLOOKUP($C786,REV!$C:$AA,17,0)-'TRADE IN'!$F795=0,"",(VLOOKUP($C786,REV!$C:$AA,17,0)-'TRADE IN'!$F786))</f>
        <v>99</v>
      </c>
      <c r="T786" s="74">
        <f>IF(VLOOKUP($C786,REV!$C:$AA,18,0)-'TRADE IN'!$F795=0,"",(VLOOKUP($C786,REV!$C:$AA,18,0)-'TRADE IN'!$F786))</f>
        <v>99</v>
      </c>
      <c r="U786" s="74">
        <f>IF(VLOOKUP($C786,REV!$C:$AA,19,0)-'TRADE IN'!$F795=0,"",(VLOOKUP($C786,REV!$C:$AA,19,0)-'TRADE IN'!$F786))</f>
        <v>99</v>
      </c>
      <c r="V786" s="74">
        <f>IF(VLOOKUP($C786,REV!$C:$AA,20,0)-'TRADE IN'!$F795=0,"",(VLOOKUP($C786,REV!$C:$AA,20,0)-'TRADE IN'!$F786))</f>
        <v>99</v>
      </c>
      <c r="W786" s="74">
        <f>IF(VLOOKUP($C786,REV!$C:$AA,21,0)-'TRADE IN'!$F795=0,"",(VLOOKUP($C786,REV!$C:$AA,21,0)-'TRADE IN'!$F786))</f>
        <v>99</v>
      </c>
      <c r="X786" s="74">
        <f>IF(VLOOKUP($C786,REV!$C:$AA,22,0)-'TRADE IN'!$F795=0,"",(VLOOKUP($C786,REV!$C:$AA,22,0)-'TRADE IN'!$F786))</f>
        <v>99</v>
      </c>
      <c r="Y786" s="74">
        <f>IF(VLOOKUP($C786,REV!$C:$AA,23,0)-'TRADE IN'!$F795=0,"",(VLOOKUP($C786,REV!$C:$AA,23,0)-'TRADE IN'!$F786))</f>
        <v>99</v>
      </c>
      <c r="Z786" s="74">
        <f>IF(VLOOKUP($C786,REV!$C:$AA,24,0)-'TRADE IN'!$F795=0,"",(VLOOKUP($C786,REV!$C:$AA,24,0)-'TRADE IN'!$F786))</f>
        <v>99</v>
      </c>
      <c r="AA786" s="74">
        <f>IF(VLOOKUP($C786,REV!$C:$AA,25,0)-'TRADE IN'!$F795=0,"",(VLOOKUP($C786,REV!$C:$AA,25,0)-'TRADE IN'!$F786))</f>
        <v>99</v>
      </c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>
        <v>199</v>
      </c>
      <c r="AN786" s="74">
        <v>159</v>
      </c>
      <c r="AO786" s="74">
        <v>129</v>
      </c>
      <c r="AP786" s="74"/>
      <c r="AQ786" s="74"/>
      <c r="AR786" s="74"/>
      <c r="AS786" s="74"/>
      <c r="AT786" s="74"/>
      <c r="AU786" s="74"/>
      <c r="AW786" s="75" t="str">
        <f>IF(REV!AW786=0,"",REV!AW786)</f>
        <v>31.03.2026</v>
      </c>
      <c r="AX786" s="161" t="s">
        <v>1047</v>
      </c>
    </row>
    <row r="787" spans="1:50" ht="22.5" customHeight="1">
      <c r="A787" s="77" t="s">
        <v>61</v>
      </c>
      <c r="B787" s="78" t="s">
        <v>62</v>
      </c>
      <c r="C787" s="42">
        <v>4011530</v>
      </c>
      <c r="D787" s="43" t="s">
        <v>1048</v>
      </c>
      <c r="E787" s="44" t="s">
        <v>1049</v>
      </c>
      <c r="F787" s="45"/>
      <c r="G787" s="45"/>
      <c r="H787" s="45"/>
      <c r="I787" s="45"/>
      <c r="J787" s="45" t="str">
        <f>IF(VLOOKUP($C787,REV!$C:$AA,8,0)-'TRADE IN'!$F787=0,"",(VLOOKUP($C787,REV!$C:$AA,8,0)-'TRADE IN'!$F787))</f>
        <v/>
      </c>
      <c r="K787" s="45" t="str">
        <f>IF(VLOOKUP($C787,REV!$C:$AA,9,0)-'TRADE IN'!$F787=0,"",(VLOOKUP($C787,REV!$C:$AA,9,0)-'TRADE IN'!$F787))</f>
        <v/>
      </c>
      <c r="L787" s="45" t="str">
        <f>IF(VLOOKUP($C787,REV!$C:$AA,10,0)-'TRADE IN'!$F852=0,"",(VLOOKUP($C787,REV!$C:$AA,10,0)-'TRADE IN'!$F787))</f>
        <v/>
      </c>
      <c r="M787" s="45" t="str">
        <f>IF(VLOOKUP($C787,REV!$C:$AA,11,0)-'TRADE IN'!$F852=0,"",(VLOOKUP($C787,REV!$C:$AA,11,0)-'TRADE IN'!$F787))</f>
        <v/>
      </c>
      <c r="N787" s="45" t="str">
        <f>IF(VLOOKUP($C787,REV!$C:$AA,12,0)-'TRADE IN'!$F852=0,"",(VLOOKUP($C787,REV!$C:$AA,12,0)-'TRADE IN'!$F787))</f>
        <v/>
      </c>
      <c r="O787" s="45" t="str">
        <f>IF(VLOOKUP($C787,REV!$C:$AA,13,0)-'TRADE IN'!$F852=0,"",(VLOOKUP($C787,REV!$C:$AA,13,0)-'TRADE IN'!$F787))</f>
        <v/>
      </c>
      <c r="P787" s="45" t="str">
        <f>IF(VLOOKUP($C787,REV!$C:$AA,14,0)-'TRADE IN'!$F852=0,"",(VLOOKUP($C787,REV!$C:$AA,14,0)-'TRADE IN'!$F787))</f>
        <v/>
      </c>
      <c r="Q787" s="45" t="str">
        <f>IF(VLOOKUP($C787,REV!$C:$AA,15,0)-'TRADE IN'!$F852=0,"",(VLOOKUP($C787,REV!$C:$AA,15,0)-'TRADE IN'!$F787))</f>
        <v/>
      </c>
      <c r="R787" s="45" t="str">
        <f>IF(VLOOKUP($C787,REV!$C:$AA,16,0)-'TRADE IN'!$F852=0,"",(VLOOKUP($C787,REV!$C:$AA,16,0)-'TRADE IN'!$F787))</f>
        <v/>
      </c>
      <c r="S787" s="45" t="str">
        <f>IF(VLOOKUP($C787,REV!$C:$AA,17,0)-'TRADE IN'!$F852=0,"",(VLOOKUP($C787,REV!$C:$AA,17,0)-'TRADE IN'!$F787))</f>
        <v/>
      </c>
      <c r="T787" s="45" t="str">
        <f>IF(VLOOKUP($C787,REV!$C:$AA,18,0)-'TRADE IN'!$F852=0,"",(VLOOKUP($C787,REV!$C:$AA,18,0)-'TRADE IN'!$F787))</f>
        <v/>
      </c>
      <c r="U787" s="45" t="str">
        <f>IF(VLOOKUP($C787,REV!$C:$AA,19,0)-'TRADE IN'!$F852=0,"",(VLOOKUP($C787,REV!$C:$AA,19,0)-'TRADE IN'!$F787))</f>
        <v/>
      </c>
      <c r="V787" s="45" t="str">
        <f>IF(VLOOKUP($C787,REV!$C:$AA,20,0)-'TRADE IN'!$F852=0,"",(VLOOKUP($C787,REV!$C:$AA,20,0)-'TRADE IN'!$F787))</f>
        <v/>
      </c>
      <c r="W787" s="45" t="str">
        <f>IF(VLOOKUP($C787,REV!$C:$AA,21,0)-'TRADE IN'!$F852=0,"",(VLOOKUP($C787,REV!$C:$AA,21,0)-'TRADE IN'!$F787))</f>
        <v/>
      </c>
      <c r="X787" s="45" t="str">
        <f>IF(VLOOKUP($C787,REV!$C:$AA,22,0)-'TRADE IN'!$F852=0,"",(VLOOKUP($C787,REV!$C:$AA,22,0)-'TRADE IN'!$F787))</f>
        <v/>
      </c>
      <c r="Y787" s="45" t="str">
        <f>IF(VLOOKUP($C787,REV!$C:$AA,23,0)-'TRADE IN'!$F852=0,"",(VLOOKUP($C787,REV!$C:$AA,23,0)-'TRADE IN'!$F787))</f>
        <v/>
      </c>
      <c r="Z787" s="45" t="str">
        <f>IF(VLOOKUP($C787,REV!$C:$AA,24,0)-'TRADE IN'!$F852=0,"",(VLOOKUP($C787,REV!$C:$AA,24,0)-'TRADE IN'!$F787))</f>
        <v/>
      </c>
      <c r="AA787" s="45" t="str">
        <f>IF(VLOOKUP($C787,REV!$C:$AA,25,0)-'TRADE IN'!$F852=0,"",(VLOOKUP($C787,REV!$C:$AA,25,0)-'TRADE IN'!$F787))</f>
        <v/>
      </c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79"/>
      <c r="AW787" s="80" t="str">
        <f>IF(REV!AW787=0,"",REV!AW787)</f>
        <v>31.03.2026</v>
      </c>
      <c r="AX787" s="162" t="s">
        <v>66</v>
      </c>
    </row>
    <row r="788" spans="1:50" ht="22.5" customHeight="1">
      <c r="A788" s="50" t="s">
        <v>61</v>
      </c>
      <c r="B788" s="41" t="s">
        <v>62</v>
      </c>
      <c r="C788" s="61">
        <v>4013131</v>
      </c>
      <c r="D788" s="67" t="s">
        <v>1050</v>
      </c>
      <c r="E788" s="67" t="s">
        <v>1051</v>
      </c>
      <c r="F788" s="82"/>
      <c r="G788" s="83"/>
      <c r="H788" s="55"/>
      <c r="I788" s="45"/>
      <c r="J788" s="45" t="str">
        <f>IF(VLOOKUP($C788,REV!$C:$AA,8,0)-'TRADE IN'!$F788=0,"",(VLOOKUP($C788,REV!$C:$AA,8,0)-'TRADE IN'!$F788))</f>
        <v/>
      </c>
      <c r="K788" s="45" t="str">
        <f>IF(VLOOKUP($C788,REV!$C:$AA,9,0)-'TRADE IN'!$F788=0,"",(VLOOKUP($C788,REV!$C:$AA,9,0)-'TRADE IN'!$F788))</f>
        <v/>
      </c>
      <c r="L788" s="45" t="str">
        <f>IF(VLOOKUP($C788,REV!$C:$AA,10,0)-'TRADE IN'!$F853=0,"",(VLOOKUP($C788,REV!$C:$AA,10,0)-'TRADE IN'!$F788))</f>
        <v/>
      </c>
      <c r="M788" s="45" t="str">
        <f>IF(VLOOKUP($C788,REV!$C:$AA,11,0)-'TRADE IN'!$F853=0,"",(VLOOKUP($C788,REV!$C:$AA,11,0)-'TRADE IN'!$F788))</f>
        <v/>
      </c>
      <c r="N788" s="45" t="str">
        <f>IF(VLOOKUP($C788,REV!$C:$AA,12,0)-'TRADE IN'!$F853=0,"",(VLOOKUP($C788,REV!$C:$AA,12,0)-'TRADE IN'!$F788))</f>
        <v/>
      </c>
      <c r="O788" s="45" t="str">
        <f>IF(VLOOKUP($C788,REV!$C:$AA,13,0)-'TRADE IN'!$F853=0,"",(VLOOKUP($C788,REV!$C:$AA,13,0)-'TRADE IN'!$F788))</f>
        <v/>
      </c>
      <c r="P788" s="45" t="str">
        <f>IF(VLOOKUP($C788,REV!$C:$AA,14,0)-'TRADE IN'!$F853=0,"",(VLOOKUP($C788,REV!$C:$AA,14,0)-'TRADE IN'!$F788))</f>
        <v/>
      </c>
      <c r="Q788" s="45" t="str">
        <f>IF(VLOOKUP($C788,REV!$C:$AA,15,0)-'TRADE IN'!$F853=0,"",(VLOOKUP($C788,REV!$C:$AA,15,0)-'TRADE IN'!$F788))</f>
        <v/>
      </c>
      <c r="R788" s="45" t="str">
        <f>IF(VLOOKUP($C788,REV!$C:$AA,16,0)-'TRADE IN'!$F853=0,"",(VLOOKUP($C788,REV!$C:$AA,16,0)-'TRADE IN'!$F788))</f>
        <v/>
      </c>
      <c r="S788" s="45" t="str">
        <f>IF(VLOOKUP($C788,REV!$C:$AA,17,0)-'TRADE IN'!$F853=0,"",(VLOOKUP($C788,REV!$C:$AA,17,0)-'TRADE IN'!$F788))</f>
        <v/>
      </c>
      <c r="T788" s="45" t="str">
        <f>IF(VLOOKUP($C788,REV!$C:$AA,18,0)-'TRADE IN'!$F853=0,"",(VLOOKUP($C788,REV!$C:$AA,18,0)-'TRADE IN'!$F788))</f>
        <v/>
      </c>
      <c r="U788" s="45" t="str">
        <f>IF(VLOOKUP($C788,REV!$C:$AA,19,0)-'TRADE IN'!$F853=0,"",(VLOOKUP($C788,REV!$C:$AA,19,0)-'TRADE IN'!$F788))</f>
        <v/>
      </c>
      <c r="V788" s="45" t="str">
        <f>IF(VLOOKUP($C788,REV!$C:$AA,20,0)-'TRADE IN'!$F853=0,"",(VLOOKUP($C788,REV!$C:$AA,20,0)-'TRADE IN'!$F788))</f>
        <v/>
      </c>
      <c r="W788" s="45" t="str">
        <f>IF(VLOOKUP($C788,REV!$C:$AA,21,0)-'TRADE IN'!$F853=0,"",(VLOOKUP($C788,REV!$C:$AA,21,0)-'TRADE IN'!$F788))</f>
        <v/>
      </c>
      <c r="X788" s="45" t="str">
        <f>IF(VLOOKUP($C788,REV!$C:$AA,22,0)-'TRADE IN'!$F853=0,"",(VLOOKUP($C788,REV!$C:$AA,22,0)-'TRADE IN'!$F788))</f>
        <v/>
      </c>
      <c r="Y788" s="45" t="str">
        <f>IF(VLOOKUP($C788,REV!$C:$AA,23,0)-'TRADE IN'!$F853=0,"",(VLOOKUP($C788,REV!$C:$AA,23,0)-'TRADE IN'!$F788))</f>
        <v/>
      </c>
      <c r="Z788" s="45" t="str">
        <f>IF(VLOOKUP($C788,REV!$C:$AA,24,0)-'TRADE IN'!$F853=0,"",(VLOOKUP($C788,REV!$C:$AA,24,0)-'TRADE IN'!$F788))</f>
        <v/>
      </c>
      <c r="AA788" s="45" t="str">
        <f>IF(VLOOKUP($C788,REV!$C:$AA,25,0)-'TRADE IN'!$F853=0,"",(VLOOKUP($C788,REV!$C:$AA,25,0)-'TRADE IN'!$F788))</f>
        <v/>
      </c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>
        <v>199</v>
      </c>
      <c r="AN788" s="45">
        <v>159</v>
      </c>
      <c r="AO788" s="45">
        <v>129</v>
      </c>
      <c r="AP788" s="45"/>
      <c r="AQ788" s="45"/>
      <c r="AR788" s="45"/>
      <c r="AS788" s="45"/>
      <c r="AT788" s="45"/>
      <c r="AU788" s="45"/>
      <c r="AW788" s="48" t="str">
        <f>IF(REV!AW788=0,"",REV!AW788)</f>
        <v>31.03.2026</v>
      </c>
      <c r="AX788" s="159" t="s">
        <v>1047</v>
      </c>
    </row>
    <row r="789" spans="1:50" ht="22.5" customHeight="1">
      <c r="A789" s="50" t="s">
        <v>61</v>
      </c>
      <c r="B789" s="41" t="s">
        <v>62</v>
      </c>
      <c r="C789" s="61">
        <v>4013033</v>
      </c>
      <c r="D789" s="67" t="s">
        <v>1052</v>
      </c>
      <c r="E789" s="67" t="s">
        <v>1053</v>
      </c>
      <c r="F789" s="82"/>
      <c r="G789" s="84"/>
      <c r="H789" s="55"/>
      <c r="I789" s="45"/>
      <c r="J789" s="45" t="str">
        <f>IF(VLOOKUP($C789,REV!$C:$AA,8,0)-'TRADE IN'!$F789=0,"",(VLOOKUP($C789,REV!$C:$AA,8,0)-'TRADE IN'!$F789))</f>
        <v/>
      </c>
      <c r="K789" s="45" t="str">
        <f>IF(VLOOKUP($C789,REV!$C:$AA,9,0)-'TRADE IN'!$F789=0,"",(VLOOKUP($C789,REV!$C:$AA,9,0)-'TRADE IN'!$F789))</f>
        <v/>
      </c>
      <c r="L789" s="45" t="str">
        <f>IF(VLOOKUP($C789,REV!$C:$AA,10,0)-'TRADE IN'!$F854=0,"",(VLOOKUP($C789,REV!$C:$AA,10,0)-'TRADE IN'!$F789))</f>
        <v/>
      </c>
      <c r="M789" s="45" t="str">
        <f>IF(VLOOKUP($C789,REV!$C:$AA,11,0)-'TRADE IN'!$F854=0,"",(VLOOKUP($C789,REV!$C:$AA,11,0)-'TRADE IN'!$F789))</f>
        <v/>
      </c>
      <c r="N789" s="45" t="str">
        <f>IF(VLOOKUP($C789,REV!$C:$AA,12,0)-'TRADE IN'!$F854=0,"",(VLOOKUP($C789,REV!$C:$AA,12,0)-'TRADE IN'!$F789))</f>
        <v/>
      </c>
      <c r="O789" s="45" t="str">
        <f>IF(VLOOKUP($C789,REV!$C:$AA,13,0)-'TRADE IN'!$F854=0,"",(VLOOKUP($C789,REV!$C:$AA,13,0)-'TRADE IN'!$F789))</f>
        <v/>
      </c>
      <c r="P789" s="45" t="str">
        <f>IF(VLOOKUP($C789,REV!$C:$AA,14,0)-'TRADE IN'!$F854=0,"",(VLOOKUP($C789,REV!$C:$AA,14,0)-'TRADE IN'!$F789))</f>
        <v/>
      </c>
      <c r="Q789" s="45" t="str">
        <f>IF(VLOOKUP($C789,REV!$C:$AA,15,0)-'TRADE IN'!$F854=0,"",(VLOOKUP($C789,REV!$C:$AA,15,0)-'TRADE IN'!$F789))</f>
        <v/>
      </c>
      <c r="R789" s="45" t="str">
        <f>IF(VLOOKUP($C789,REV!$C:$AA,16,0)-'TRADE IN'!$F854=0,"",(VLOOKUP($C789,REV!$C:$AA,16,0)-'TRADE IN'!$F789))</f>
        <v/>
      </c>
      <c r="S789" s="45" t="str">
        <f>IF(VLOOKUP($C789,REV!$C:$AA,17,0)-'TRADE IN'!$F854=0,"",(VLOOKUP($C789,REV!$C:$AA,17,0)-'TRADE IN'!$F789))</f>
        <v/>
      </c>
      <c r="T789" s="45" t="str">
        <f>IF(VLOOKUP($C789,REV!$C:$AA,18,0)-'TRADE IN'!$F854=0,"",(VLOOKUP($C789,REV!$C:$AA,18,0)-'TRADE IN'!$F789))</f>
        <v/>
      </c>
      <c r="U789" s="45" t="str">
        <f>IF(VLOOKUP($C789,REV!$C:$AA,19,0)-'TRADE IN'!$F854=0,"",(VLOOKUP($C789,REV!$C:$AA,19,0)-'TRADE IN'!$F789))</f>
        <v/>
      </c>
      <c r="V789" s="45" t="str">
        <f>IF(VLOOKUP($C789,REV!$C:$AA,20,0)-'TRADE IN'!$F854=0,"",(VLOOKUP($C789,REV!$C:$AA,20,0)-'TRADE IN'!$F789))</f>
        <v/>
      </c>
      <c r="W789" s="45" t="str">
        <f>IF(VLOOKUP($C789,REV!$C:$AA,21,0)-'TRADE IN'!$F854=0,"",(VLOOKUP($C789,REV!$C:$AA,21,0)-'TRADE IN'!$F789))</f>
        <v/>
      </c>
      <c r="X789" s="45" t="str">
        <f>IF(VLOOKUP($C789,REV!$C:$AA,22,0)-'TRADE IN'!$F854=0,"",(VLOOKUP($C789,REV!$C:$AA,22,0)-'TRADE IN'!$F789))</f>
        <v/>
      </c>
      <c r="Y789" s="45" t="str">
        <f>IF(VLOOKUP($C789,REV!$C:$AA,23,0)-'TRADE IN'!$F854=0,"",(VLOOKUP($C789,REV!$C:$AA,23,0)-'TRADE IN'!$F789))</f>
        <v/>
      </c>
      <c r="Z789" s="45" t="str">
        <f>IF(VLOOKUP($C789,REV!$C:$AA,24,0)-'TRADE IN'!$F854=0,"",(VLOOKUP($C789,REV!$C:$AA,24,0)-'TRADE IN'!$F789))</f>
        <v/>
      </c>
      <c r="AA789" s="45" t="str">
        <f>IF(VLOOKUP($C789,REV!$C:$AA,25,0)-'TRADE IN'!$F854=0,"",(VLOOKUP($C789,REV!$C:$AA,25,0)-'TRADE IN'!$F789))</f>
        <v/>
      </c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>
        <v>199</v>
      </c>
      <c r="AN789" s="45">
        <v>159</v>
      </c>
      <c r="AO789" s="45">
        <v>129</v>
      </c>
      <c r="AP789" s="45"/>
      <c r="AQ789" s="45"/>
      <c r="AR789" s="45"/>
      <c r="AS789" s="45"/>
      <c r="AT789" s="45"/>
      <c r="AU789" s="45"/>
      <c r="AW789" s="48" t="str">
        <f>IF(REV!AW789=0,"",REV!AW789)</f>
        <v>31.03.2026</v>
      </c>
      <c r="AX789" s="159" t="s">
        <v>66</v>
      </c>
    </row>
    <row r="790" spans="1:50" ht="22.5" customHeight="1">
      <c r="A790" s="50" t="s">
        <v>61</v>
      </c>
      <c r="B790" s="41" t="s">
        <v>62</v>
      </c>
      <c r="C790" s="44">
        <v>4008826</v>
      </c>
      <c r="D790" s="85" t="s">
        <v>1054</v>
      </c>
      <c r="E790" s="62" t="s">
        <v>1055</v>
      </c>
      <c r="F790" s="45"/>
      <c r="G790" s="45"/>
      <c r="H790" s="45"/>
      <c r="I790" s="45"/>
      <c r="J790" s="45" t="str">
        <f>IF(VLOOKUP($C790,REV!$C:$AA,8,0)-'TRADE IN'!$F790=0,"",(VLOOKUP($C790,REV!$C:$AA,8,0)-'TRADE IN'!$F790))</f>
        <v/>
      </c>
      <c r="K790" s="45" t="str">
        <f>IF(VLOOKUP($C790,REV!$C:$AA,9,0)-'TRADE IN'!$F790=0,"",(VLOOKUP($C790,REV!$C:$AA,9,0)-'TRADE IN'!$F790))</f>
        <v/>
      </c>
      <c r="L790" s="45" t="str">
        <f>IF(VLOOKUP($C790,REV!$C:$AA,10,0)-'TRADE IN'!$F856=0,"",(VLOOKUP($C790,REV!$C:$AA,10,0)-'TRADE IN'!$F790))</f>
        <v/>
      </c>
      <c r="M790" s="45" t="str">
        <f>IF(VLOOKUP($C790,REV!$C:$AA,11,0)-'TRADE IN'!$F856=0,"",(VLOOKUP($C790,REV!$C:$AA,11,0)-'TRADE IN'!$F790))</f>
        <v/>
      </c>
      <c r="N790" s="45" t="str">
        <f>IF(VLOOKUP($C790,REV!$C:$AA,12,0)-'TRADE IN'!$F856=0,"",(VLOOKUP($C790,REV!$C:$AA,12,0)-'TRADE IN'!$F790))</f>
        <v/>
      </c>
      <c r="O790" s="45" t="str">
        <f>IF(VLOOKUP($C790,REV!$C:$AA,13,0)-'TRADE IN'!$F856=0,"",(VLOOKUP($C790,REV!$C:$AA,13,0)-'TRADE IN'!$F790))</f>
        <v/>
      </c>
      <c r="P790" s="45" t="str">
        <f>IF(VLOOKUP($C790,REV!$C:$AA,14,0)-'TRADE IN'!$F856=0,"",(VLOOKUP($C790,REV!$C:$AA,14,0)-'TRADE IN'!$F790))</f>
        <v/>
      </c>
      <c r="Q790" s="45" t="str">
        <f>IF(VLOOKUP($C790,REV!$C:$AA,15,0)-'TRADE IN'!$F856=0,"",(VLOOKUP($C790,REV!$C:$AA,15,0)-'TRADE IN'!$F790))</f>
        <v/>
      </c>
      <c r="R790" s="45" t="str">
        <f>IF(VLOOKUP($C790,REV!$C:$AA,16,0)-'TRADE IN'!$F856=0,"",(VLOOKUP($C790,REV!$C:$AA,16,0)-'TRADE IN'!$F790))</f>
        <v/>
      </c>
      <c r="S790" s="45" t="str">
        <f>IF(VLOOKUP($C790,REV!$C:$AA,17,0)-'TRADE IN'!$F856=0,"",(VLOOKUP($C790,REV!$C:$AA,17,0)-'TRADE IN'!$F790))</f>
        <v/>
      </c>
      <c r="T790" s="45" t="str">
        <f>IF(VLOOKUP($C790,REV!$C:$AA,18,0)-'TRADE IN'!$F856=0,"",(VLOOKUP($C790,REV!$C:$AA,18,0)-'TRADE IN'!$F790))</f>
        <v/>
      </c>
      <c r="U790" s="45" t="str">
        <f>IF(VLOOKUP($C790,REV!$C:$AA,19,0)-'TRADE IN'!$F856=0,"",(VLOOKUP($C790,REV!$C:$AA,19,0)-'TRADE IN'!$F790))</f>
        <v/>
      </c>
      <c r="V790" s="45" t="str">
        <f>IF(VLOOKUP($C790,REV!$C:$AA,20,0)-'TRADE IN'!$F856=0,"",(VLOOKUP($C790,REV!$C:$AA,20,0)-'TRADE IN'!$F790))</f>
        <v/>
      </c>
      <c r="W790" s="45" t="str">
        <f>IF(VLOOKUP($C790,REV!$C:$AA,21,0)-'TRADE IN'!$F856=0,"",(VLOOKUP($C790,REV!$C:$AA,21,0)-'TRADE IN'!$F790))</f>
        <v/>
      </c>
      <c r="X790" s="45" t="str">
        <f>IF(VLOOKUP($C790,REV!$C:$AA,22,0)-'TRADE IN'!$F856=0,"",(VLOOKUP($C790,REV!$C:$AA,22,0)-'TRADE IN'!$F790))</f>
        <v/>
      </c>
      <c r="Y790" s="45" t="str">
        <f>IF(VLOOKUP($C790,REV!$C:$AA,23,0)-'TRADE IN'!$F856=0,"",(VLOOKUP($C790,REV!$C:$AA,23,0)-'TRADE IN'!$F790))</f>
        <v/>
      </c>
      <c r="Z790" s="45" t="str">
        <f>IF(VLOOKUP($C790,REV!$C:$AA,24,0)-'TRADE IN'!$F856=0,"",(VLOOKUP($C790,REV!$C:$AA,24,0)-'TRADE IN'!$F790))</f>
        <v/>
      </c>
      <c r="AA790" s="45" t="str">
        <f>IF(VLOOKUP($C790,REV!$C:$AA,25,0)-'TRADE IN'!$F856=0,"",(VLOOKUP($C790,REV!$C:$AA,25,0)-'TRADE IN'!$F790))</f>
        <v/>
      </c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W790" s="86" t="str">
        <f>IF(REV!AW790=0,"",REV!AW790)</f>
        <v>31.03.2026</v>
      </c>
      <c r="AX790" s="159" t="s">
        <v>1047</v>
      </c>
    </row>
    <row r="791" spans="1:50" ht="22.5" customHeight="1">
      <c r="A791" s="50" t="s">
        <v>61</v>
      </c>
      <c r="B791" s="41" t="s">
        <v>62</v>
      </c>
      <c r="C791" s="67">
        <v>4008605</v>
      </c>
      <c r="D791" s="64" t="s">
        <v>1054</v>
      </c>
      <c r="E791" s="87" t="s">
        <v>1056</v>
      </c>
      <c r="F791" s="46"/>
      <c r="G791" s="45"/>
      <c r="H791" s="45"/>
      <c r="I791" s="45"/>
      <c r="J791" s="45" t="str">
        <f>IF(VLOOKUP($C791,REV!$C:$AA,8,0)-'TRADE IN'!$F791=0,"",(VLOOKUP($C791,REV!$C:$AA,8,0)-'TRADE IN'!$F791))</f>
        <v/>
      </c>
      <c r="K791" s="45" t="str">
        <f>IF(VLOOKUP($C791,REV!$C:$AA,9,0)-'TRADE IN'!$F791=0,"",(VLOOKUP($C791,REV!$C:$AA,9,0)-'TRADE IN'!$F791))</f>
        <v/>
      </c>
      <c r="L791" s="45" t="str">
        <f>IF(VLOOKUP($C791,REV!$C:$AA,10,0)-'TRADE IN'!$F857=0,"",(VLOOKUP($C791,REV!$C:$AA,10,0)-'TRADE IN'!$F791))</f>
        <v/>
      </c>
      <c r="M791" s="45" t="str">
        <f>IF(VLOOKUP($C791,REV!$C:$AA,11,0)-'TRADE IN'!$F857=0,"",(VLOOKUP($C791,REV!$C:$AA,11,0)-'TRADE IN'!$F791))</f>
        <v/>
      </c>
      <c r="N791" s="45" t="str">
        <f>IF(VLOOKUP($C791,REV!$C:$AA,12,0)-'TRADE IN'!$F857=0,"",(VLOOKUP($C791,REV!$C:$AA,12,0)-'TRADE IN'!$F791))</f>
        <v/>
      </c>
      <c r="O791" s="45" t="str">
        <f>IF(VLOOKUP($C791,REV!$C:$AA,13,0)-'TRADE IN'!$F857=0,"",(VLOOKUP($C791,REV!$C:$AA,13,0)-'TRADE IN'!$F791))</f>
        <v/>
      </c>
      <c r="P791" s="45" t="str">
        <f>IF(VLOOKUP($C791,REV!$C:$AA,14,0)-'TRADE IN'!$F857=0,"",(VLOOKUP($C791,REV!$C:$AA,14,0)-'TRADE IN'!$F791))</f>
        <v/>
      </c>
      <c r="Q791" s="45" t="str">
        <f>IF(VLOOKUP($C791,REV!$C:$AA,15,0)-'TRADE IN'!$F857=0,"",(VLOOKUP($C791,REV!$C:$AA,15,0)-'TRADE IN'!$F791))</f>
        <v/>
      </c>
      <c r="R791" s="45" t="str">
        <f>IF(VLOOKUP($C791,REV!$C:$AA,16,0)-'TRADE IN'!$F857=0,"",(VLOOKUP($C791,REV!$C:$AA,16,0)-'TRADE IN'!$F791))</f>
        <v/>
      </c>
      <c r="S791" s="45" t="str">
        <f>IF(VLOOKUP($C791,REV!$C:$AA,17,0)-'TRADE IN'!$F857=0,"",(VLOOKUP($C791,REV!$C:$AA,17,0)-'TRADE IN'!$F791))</f>
        <v/>
      </c>
      <c r="T791" s="45" t="str">
        <f>IF(VLOOKUP($C791,REV!$C:$AA,18,0)-'TRADE IN'!$F857=0,"",(VLOOKUP($C791,REV!$C:$AA,18,0)-'TRADE IN'!$F791))</f>
        <v/>
      </c>
      <c r="U791" s="45" t="str">
        <f>IF(VLOOKUP($C791,REV!$C:$AA,19,0)-'TRADE IN'!$F857=0,"",(VLOOKUP($C791,REV!$C:$AA,19,0)-'TRADE IN'!$F791))</f>
        <v/>
      </c>
      <c r="V791" s="45" t="str">
        <f>IF(VLOOKUP($C791,REV!$C:$AA,20,0)-'TRADE IN'!$F857=0,"",(VLOOKUP($C791,REV!$C:$AA,20,0)-'TRADE IN'!$F791))</f>
        <v/>
      </c>
      <c r="W791" s="45" t="str">
        <f>IF(VLOOKUP($C791,REV!$C:$AA,21,0)-'TRADE IN'!$F857=0,"",(VLOOKUP($C791,REV!$C:$AA,21,0)-'TRADE IN'!$F791))</f>
        <v/>
      </c>
      <c r="X791" s="45" t="str">
        <f>IF(VLOOKUP($C791,REV!$C:$AA,22,0)-'TRADE IN'!$F857=0,"",(VLOOKUP($C791,REV!$C:$AA,22,0)-'TRADE IN'!$F791))</f>
        <v/>
      </c>
      <c r="Y791" s="45" t="str">
        <f>IF(VLOOKUP($C791,REV!$C:$AA,23,0)-'TRADE IN'!$F857=0,"",(VLOOKUP($C791,REV!$C:$AA,23,0)-'TRADE IN'!$F791))</f>
        <v/>
      </c>
      <c r="Z791" s="45" t="str">
        <f>IF(VLOOKUP($C791,REV!$C:$AA,24,0)-'TRADE IN'!$F857=0,"",(VLOOKUP($C791,REV!$C:$AA,24,0)-'TRADE IN'!$F791))</f>
        <v/>
      </c>
      <c r="AA791" s="45" t="str">
        <f>IF(VLOOKUP($C791,REV!$C:$AA,25,0)-'TRADE IN'!$F857=0,"",(VLOOKUP($C791,REV!$C:$AA,25,0)-'TRADE IN'!$F791))</f>
        <v/>
      </c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W791" s="86" t="str">
        <f>IF(REV!AW791=0,"",REV!AW791)</f>
        <v>31.03.2026</v>
      </c>
      <c r="AX791" s="159" t="s">
        <v>1047</v>
      </c>
    </row>
    <row r="792" spans="1:50" ht="22.5" customHeight="1">
      <c r="A792" s="50" t="s">
        <v>61</v>
      </c>
      <c r="B792" s="41" t="s">
        <v>62</v>
      </c>
      <c r="C792" s="61">
        <v>4008182</v>
      </c>
      <c r="D792" s="88" t="s">
        <v>1057</v>
      </c>
      <c r="E792" s="89" t="s">
        <v>1058</v>
      </c>
      <c r="F792" s="90"/>
      <c r="G792" s="45"/>
      <c r="H792" s="45"/>
      <c r="I792" s="45"/>
      <c r="J792" s="45" t="str">
        <f>IF(VLOOKUP($C792,REV!$C:$AA,8,0)-'TRADE IN'!$F792=0,"",(VLOOKUP($C792,REV!$C:$AA,8,0)-'TRADE IN'!$F792))</f>
        <v/>
      </c>
      <c r="K792" s="45" t="str">
        <f>IF(VLOOKUP($C792,REV!$C:$AA,9,0)-'TRADE IN'!$F792=0,"",(VLOOKUP($C792,REV!$C:$AA,9,0)-'TRADE IN'!$F792))</f>
        <v/>
      </c>
      <c r="L792" s="45" t="str">
        <f>IF(VLOOKUP($C792,REV!$C:$AA,10,0)-'TRADE IN'!$F858=0,"",(VLOOKUP($C792,REV!$C:$AA,10,0)-'TRADE IN'!$F792))</f>
        <v/>
      </c>
      <c r="M792" s="45" t="str">
        <f>IF(VLOOKUP($C792,REV!$C:$AA,11,0)-'TRADE IN'!$F858=0,"",(VLOOKUP($C792,REV!$C:$AA,11,0)-'TRADE IN'!$F792))</f>
        <v/>
      </c>
      <c r="N792" s="45" t="str">
        <f>IF(VLOOKUP($C792,REV!$C:$AA,12,0)-'TRADE IN'!$F858=0,"",(VLOOKUP($C792,REV!$C:$AA,12,0)-'TRADE IN'!$F792))</f>
        <v/>
      </c>
      <c r="O792" s="45" t="str">
        <f>IF(VLOOKUP($C792,REV!$C:$AA,13,0)-'TRADE IN'!$F858=0,"",(VLOOKUP($C792,REV!$C:$AA,13,0)-'TRADE IN'!$F792))</f>
        <v/>
      </c>
      <c r="P792" s="45" t="str">
        <f>IF(VLOOKUP($C792,REV!$C:$AA,14,0)-'TRADE IN'!$F858=0,"",(VLOOKUP($C792,REV!$C:$AA,14,0)-'TRADE IN'!$F792))</f>
        <v/>
      </c>
      <c r="Q792" s="45" t="str">
        <f>IF(VLOOKUP($C792,REV!$C:$AA,15,0)-'TRADE IN'!$F858=0,"",(VLOOKUP($C792,REV!$C:$AA,15,0)-'TRADE IN'!$F792))</f>
        <v/>
      </c>
      <c r="R792" s="45" t="str">
        <f>IF(VLOOKUP($C792,REV!$C:$AA,16,0)-'TRADE IN'!$F858=0,"",(VLOOKUP($C792,REV!$C:$AA,16,0)-'TRADE IN'!$F792))</f>
        <v/>
      </c>
      <c r="S792" s="45" t="str">
        <f>IF(VLOOKUP($C792,REV!$C:$AA,17,0)-'TRADE IN'!$F858=0,"",(VLOOKUP($C792,REV!$C:$AA,17,0)-'TRADE IN'!$F792))</f>
        <v/>
      </c>
      <c r="T792" s="45" t="str">
        <f>IF(VLOOKUP($C792,REV!$C:$AA,18,0)-'TRADE IN'!$F858=0,"",(VLOOKUP($C792,REV!$C:$AA,18,0)-'TRADE IN'!$F792))</f>
        <v/>
      </c>
      <c r="U792" s="45" t="str">
        <f>IF(VLOOKUP($C792,REV!$C:$AA,19,0)-'TRADE IN'!$F858=0,"",(VLOOKUP($C792,REV!$C:$AA,19,0)-'TRADE IN'!$F792))</f>
        <v/>
      </c>
      <c r="V792" s="45" t="str">
        <f>IF(VLOOKUP($C792,REV!$C:$AA,20,0)-'TRADE IN'!$F858=0,"",(VLOOKUP($C792,REV!$C:$AA,20,0)-'TRADE IN'!$F792))</f>
        <v/>
      </c>
      <c r="W792" s="45" t="str">
        <f>IF(VLOOKUP($C792,REV!$C:$AA,21,0)-'TRADE IN'!$F858=0,"",(VLOOKUP($C792,REV!$C:$AA,21,0)-'TRADE IN'!$F792))</f>
        <v/>
      </c>
      <c r="X792" s="45" t="str">
        <f>IF(VLOOKUP($C792,REV!$C:$AA,22,0)-'TRADE IN'!$F858=0,"",(VLOOKUP($C792,REV!$C:$AA,22,0)-'TRADE IN'!$F792))</f>
        <v/>
      </c>
      <c r="Y792" s="45" t="str">
        <f>IF(VLOOKUP($C792,REV!$C:$AA,23,0)-'TRADE IN'!$F858=0,"",(VLOOKUP($C792,REV!$C:$AA,23,0)-'TRADE IN'!$F792))</f>
        <v/>
      </c>
      <c r="Z792" s="45" t="str">
        <f>IF(VLOOKUP($C792,REV!$C:$AA,24,0)-'TRADE IN'!$F858=0,"",(VLOOKUP($C792,REV!$C:$AA,24,0)-'TRADE IN'!$F792))</f>
        <v/>
      </c>
      <c r="AA792" s="45" t="str">
        <f>IF(VLOOKUP($C792,REV!$C:$AA,25,0)-'TRADE IN'!$F858=0,"",(VLOOKUP($C792,REV!$C:$AA,25,0)-'TRADE IN'!$F792))</f>
        <v/>
      </c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W792" s="91" t="str">
        <f>IF(REV!AW792=0,"",REV!AW792)</f>
        <v>31.03.2026</v>
      </c>
      <c r="AX792" s="159" t="s">
        <v>66</v>
      </c>
    </row>
    <row r="793" spans="1:50" ht="22.5" customHeight="1">
      <c r="A793" s="50" t="s">
        <v>61</v>
      </c>
      <c r="B793" s="41" t="s">
        <v>62</v>
      </c>
      <c r="C793" s="61">
        <v>4008903</v>
      </c>
      <c r="D793" s="92" t="s">
        <v>1059</v>
      </c>
      <c r="E793" s="67" t="s">
        <v>1060</v>
      </c>
      <c r="F793" s="46"/>
      <c r="G793" s="45"/>
      <c r="H793" s="45"/>
      <c r="I793" s="45"/>
      <c r="J793" s="45" t="str">
        <f>IF(VLOOKUP($C793,REV!$C:$AA,8,0)-'TRADE IN'!$F793=0,"",(VLOOKUP($C793,REV!$C:$AA,8,0)-'TRADE IN'!$F793))</f>
        <v/>
      </c>
      <c r="K793" s="45" t="str">
        <f>IF(VLOOKUP($C793,REV!$C:$AA,9,0)-'TRADE IN'!$F793=0,"",(VLOOKUP($C793,REV!$C:$AA,9,0)-'TRADE IN'!$F793))</f>
        <v/>
      </c>
      <c r="L793" s="45" t="str">
        <f>IF(VLOOKUP($C793,REV!$C:$AA,10,0)-'TRADE IN'!$F860=0,"",(VLOOKUP($C793,REV!$C:$AA,10,0)-'TRADE IN'!$F793))</f>
        <v/>
      </c>
      <c r="M793" s="45" t="str">
        <f>IF(VLOOKUP($C793,REV!$C:$AA,11,0)-'TRADE IN'!$F860=0,"",(VLOOKUP($C793,REV!$C:$AA,11,0)-'TRADE IN'!$F793))</f>
        <v/>
      </c>
      <c r="N793" s="45" t="str">
        <f>IF(VLOOKUP($C793,REV!$C:$AA,12,0)-'TRADE IN'!$F860=0,"",(VLOOKUP($C793,REV!$C:$AA,12,0)-'TRADE IN'!$F793))</f>
        <v/>
      </c>
      <c r="O793" s="45" t="str">
        <f>IF(VLOOKUP($C793,REV!$C:$AA,13,0)-'TRADE IN'!$F860=0,"",(VLOOKUP($C793,REV!$C:$AA,13,0)-'TRADE IN'!$F793))</f>
        <v/>
      </c>
      <c r="P793" s="45" t="str">
        <f>IF(VLOOKUP($C793,REV!$C:$AA,14,0)-'TRADE IN'!$F860=0,"",(VLOOKUP($C793,REV!$C:$AA,14,0)-'TRADE IN'!$F793))</f>
        <v/>
      </c>
      <c r="Q793" s="45" t="str">
        <f>IF(VLOOKUP($C793,REV!$C:$AA,15,0)-'TRADE IN'!$F860=0,"",(VLOOKUP($C793,REV!$C:$AA,15,0)-'TRADE IN'!$F793))</f>
        <v/>
      </c>
      <c r="R793" s="45" t="str">
        <f>IF(VLOOKUP($C793,REV!$C:$AA,16,0)-'TRADE IN'!$F860=0,"",(VLOOKUP($C793,REV!$C:$AA,16,0)-'TRADE IN'!$F793))</f>
        <v/>
      </c>
      <c r="S793" s="45" t="str">
        <f>IF(VLOOKUP($C793,REV!$C:$AA,17,0)-'TRADE IN'!$F860=0,"",(VLOOKUP($C793,REV!$C:$AA,17,0)-'TRADE IN'!$F793))</f>
        <v/>
      </c>
      <c r="T793" s="45" t="str">
        <f>IF(VLOOKUP($C793,REV!$C:$AA,18,0)-'TRADE IN'!$F860=0,"",(VLOOKUP($C793,REV!$C:$AA,18,0)-'TRADE IN'!$F793))</f>
        <v/>
      </c>
      <c r="U793" s="45" t="str">
        <f>IF(VLOOKUP($C793,REV!$C:$AA,19,0)-'TRADE IN'!$F860=0,"",(VLOOKUP($C793,REV!$C:$AA,19,0)-'TRADE IN'!$F793))</f>
        <v/>
      </c>
      <c r="V793" s="45" t="str">
        <f>IF(VLOOKUP($C793,REV!$C:$AA,20,0)-'TRADE IN'!$F860=0,"",(VLOOKUP($C793,REV!$C:$AA,20,0)-'TRADE IN'!$F793))</f>
        <v/>
      </c>
      <c r="W793" s="45" t="str">
        <f>IF(VLOOKUP($C793,REV!$C:$AA,21,0)-'TRADE IN'!$F860=0,"",(VLOOKUP($C793,REV!$C:$AA,21,0)-'TRADE IN'!$F793))</f>
        <v/>
      </c>
      <c r="X793" s="45" t="str">
        <f>IF(VLOOKUP($C793,REV!$C:$AA,22,0)-'TRADE IN'!$F860=0,"",(VLOOKUP($C793,REV!$C:$AA,22,0)-'TRADE IN'!$F793))</f>
        <v/>
      </c>
      <c r="Y793" s="45" t="str">
        <f>IF(VLOOKUP($C793,REV!$C:$AA,23,0)-'TRADE IN'!$F860=0,"",(VLOOKUP($C793,REV!$C:$AA,23,0)-'TRADE IN'!$F793))</f>
        <v/>
      </c>
      <c r="Z793" s="45" t="str">
        <f>IF(VLOOKUP($C793,REV!$C:$AA,24,0)-'TRADE IN'!$F860=0,"",(VLOOKUP($C793,REV!$C:$AA,24,0)-'TRADE IN'!$F793))</f>
        <v/>
      </c>
      <c r="AA793" s="45" t="str">
        <f>IF(VLOOKUP($C793,REV!$C:$AA,25,0)-'TRADE IN'!$F860=0,"",(VLOOKUP($C793,REV!$C:$AA,25,0)-'TRADE IN'!$F793))</f>
        <v/>
      </c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W793" s="86" t="str">
        <f>IF(REV!AW793=0,"",REV!AW793)</f>
        <v>31.03.2026</v>
      </c>
      <c r="AX793" s="159" t="s">
        <v>66</v>
      </c>
    </row>
    <row r="794" spans="1:50" ht="22.5" customHeight="1" thickBot="1">
      <c r="A794" s="70" t="s">
        <v>61</v>
      </c>
      <c r="B794" s="71" t="s">
        <v>62</v>
      </c>
      <c r="C794" s="72">
        <v>4011551</v>
      </c>
      <c r="D794" s="73" t="s">
        <v>1061</v>
      </c>
      <c r="E794" s="93" t="s">
        <v>1062</v>
      </c>
      <c r="F794" s="94"/>
      <c r="G794" s="94"/>
      <c r="H794" s="94"/>
      <c r="I794" s="94"/>
      <c r="J794" s="94" t="str">
        <f>IF(VLOOKUP($C794,REV!$C:$AA,8,0)-'TRADE IN'!$F794=0,"",(VLOOKUP($C794,REV!$C:$AA,8,0)-'TRADE IN'!$F794))</f>
        <v/>
      </c>
      <c r="K794" s="94" t="str">
        <f>IF(VLOOKUP($C794,REV!$C:$AA,9,0)-'TRADE IN'!$F794=0,"",(VLOOKUP($C794,REV!$C:$AA,9,0)-'TRADE IN'!$F794))</f>
        <v/>
      </c>
      <c r="L794" s="94" t="str">
        <f>IF(VLOOKUP($C794,REV!$C:$AA,10,0)-'TRADE IN'!$F861=0,"",(VLOOKUP($C794,REV!$C:$AA,10,0)-'TRADE IN'!$F794))</f>
        <v/>
      </c>
      <c r="M794" s="94" t="str">
        <f>IF(VLOOKUP($C794,REV!$C:$AA,11,0)-'TRADE IN'!$F861=0,"",(VLOOKUP($C794,REV!$C:$AA,11,0)-'TRADE IN'!$F794))</f>
        <v/>
      </c>
      <c r="N794" s="94" t="str">
        <f>IF(VLOOKUP($C794,REV!$C:$AA,12,0)-'TRADE IN'!$F861=0,"",(VLOOKUP($C794,REV!$C:$AA,12,0)-'TRADE IN'!$F794))</f>
        <v/>
      </c>
      <c r="O794" s="94" t="str">
        <f>IF(VLOOKUP($C794,REV!$C:$AA,13,0)-'TRADE IN'!$F861=0,"",(VLOOKUP($C794,REV!$C:$AA,13,0)-'TRADE IN'!$F794))</f>
        <v/>
      </c>
      <c r="P794" s="94" t="str">
        <f>IF(VLOOKUP($C794,REV!$C:$AA,14,0)-'TRADE IN'!$F861=0,"",(VLOOKUP($C794,REV!$C:$AA,14,0)-'TRADE IN'!$F794))</f>
        <v/>
      </c>
      <c r="Q794" s="94" t="str">
        <f>IF(VLOOKUP($C794,REV!$C:$AA,15,0)-'TRADE IN'!$F861=0,"",(VLOOKUP($C794,REV!$C:$AA,15,0)-'TRADE IN'!$F794))</f>
        <v/>
      </c>
      <c r="R794" s="94" t="str">
        <f>IF(VLOOKUP($C794,REV!$C:$AA,16,0)-'TRADE IN'!$F861=0,"",(VLOOKUP($C794,REV!$C:$AA,16,0)-'TRADE IN'!$F794))</f>
        <v/>
      </c>
      <c r="S794" s="94" t="str">
        <f>IF(VLOOKUP($C794,REV!$C:$AA,17,0)-'TRADE IN'!$F861=0,"",(VLOOKUP($C794,REV!$C:$AA,17,0)-'TRADE IN'!$F794))</f>
        <v/>
      </c>
      <c r="T794" s="94" t="str">
        <f>IF(VLOOKUP($C794,REV!$C:$AA,18,0)-'TRADE IN'!$F861=0,"",(VLOOKUP($C794,REV!$C:$AA,18,0)-'TRADE IN'!$F794))</f>
        <v/>
      </c>
      <c r="U794" s="94" t="str">
        <f>IF(VLOOKUP($C794,REV!$C:$AA,19,0)-'TRADE IN'!$F861=0,"",(VLOOKUP($C794,REV!$C:$AA,19,0)-'TRADE IN'!$F794))</f>
        <v/>
      </c>
      <c r="V794" s="94" t="str">
        <f>IF(VLOOKUP($C794,REV!$C:$AA,20,0)-'TRADE IN'!$F861=0,"",(VLOOKUP($C794,REV!$C:$AA,20,0)-'TRADE IN'!$F794))</f>
        <v/>
      </c>
      <c r="W794" s="94" t="str">
        <f>IF(VLOOKUP($C794,REV!$C:$AA,21,0)-'TRADE IN'!$F861=0,"",(VLOOKUP($C794,REV!$C:$AA,21,0)-'TRADE IN'!$F794))</f>
        <v/>
      </c>
      <c r="X794" s="94" t="str">
        <f>IF(VLOOKUP($C794,REV!$C:$AA,22,0)-'TRADE IN'!$F861=0,"",(VLOOKUP($C794,REV!$C:$AA,22,0)-'TRADE IN'!$F794))</f>
        <v/>
      </c>
      <c r="Y794" s="94" t="str">
        <f>IF(VLOOKUP($C794,REV!$C:$AA,23,0)-'TRADE IN'!$F861=0,"",(VLOOKUP($C794,REV!$C:$AA,23,0)-'TRADE IN'!$F794))</f>
        <v/>
      </c>
      <c r="Z794" s="94" t="str">
        <f>IF(VLOOKUP($C794,REV!$C:$AA,24,0)-'TRADE IN'!$F861=0,"",(VLOOKUP($C794,REV!$C:$AA,24,0)-'TRADE IN'!$F794))</f>
        <v/>
      </c>
      <c r="AA794" s="94" t="str">
        <f>IF(VLOOKUP($C794,REV!$C:$AA,25,0)-'TRADE IN'!$F861=0,"",(VLOOKUP($C794,REV!$C:$AA,25,0)-'TRADE IN'!$F794))</f>
        <v/>
      </c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W794" s="95" t="str">
        <f>IF(REV!AW794=0,"",REV!AW794)</f>
        <v>31.03.2026</v>
      </c>
      <c r="AX794" s="161" t="s">
        <v>66</v>
      </c>
    </row>
    <row r="795" spans="1:50" ht="22.5" customHeight="1">
      <c r="A795" s="77" t="s">
        <v>61</v>
      </c>
      <c r="B795" s="78" t="s">
        <v>62</v>
      </c>
      <c r="C795" s="44">
        <v>4011550</v>
      </c>
      <c r="D795" s="85" t="s">
        <v>1063</v>
      </c>
      <c r="E795" s="44" t="s">
        <v>1063</v>
      </c>
      <c r="F795" s="46"/>
      <c r="J795" s="45" t="str">
        <f>IF(VLOOKUP($C795,REV!$C:$AA,8,0)-'TRADE IN'!$F795=0,"",(VLOOKUP($C795,REV!$C:$AA,8,0)-'TRADE IN'!$F795))</f>
        <v/>
      </c>
      <c r="K795" s="45" t="str">
        <f>IF(VLOOKUP($C795,REV!$C:$AA,9,0)-'TRADE IN'!$F795=0,"",(VLOOKUP($C795,REV!$C:$AA,9,0)-'TRADE IN'!$F795))</f>
        <v/>
      </c>
      <c r="L795" s="45" t="str">
        <f>IF(VLOOKUP($C795,REV!$C:$AA,10,0)-'TRADE IN'!$F862=0,"",(VLOOKUP($C795,REV!$C:$AA,10,0)-'TRADE IN'!$F795))</f>
        <v/>
      </c>
      <c r="M795" s="45" t="str">
        <f>IF(VLOOKUP($C795,REV!$C:$AA,11,0)-'TRADE IN'!$F862=0,"",(VLOOKUP($C795,REV!$C:$AA,11,0)-'TRADE IN'!$F795))</f>
        <v/>
      </c>
      <c r="N795" s="45" t="str">
        <f>IF(VLOOKUP($C795,REV!$C:$AA,12,0)-'TRADE IN'!$F862=0,"",(VLOOKUP($C795,REV!$C:$AA,12,0)-'TRADE IN'!$F795))</f>
        <v/>
      </c>
      <c r="O795" s="45" t="str">
        <f>IF(VLOOKUP($C795,REV!$C:$AA,13,0)-'TRADE IN'!$F862=0,"",(VLOOKUP($C795,REV!$C:$AA,13,0)-'TRADE IN'!$F795))</f>
        <v/>
      </c>
      <c r="P795" s="45" t="str">
        <f>IF(VLOOKUP($C795,REV!$C:$AA,14,0)-'TRADE IN'!$F862=0,"",(VLOOKUP($C795,REV!$C:$AA,14,0)-'TRADE IN'!$F795))</f>
        <v/>
      </c>
      <c r="Q795" s="45" t="str">
        <f>IF(VLOOKUP($C795,REV!$C:$AA,15,0)-'TRADE IN'!$F862=0,"",(VLOOKUP($C795,REV!$C:$AA,15,0)-'TRADE IN'!$F795))</f>
        <v/>
      </c>
      <c r="R795" s="45" t="str">
        <f>IF(VLOOKUP($C795,REV!$C:$AA,16,0)-'TRADE IN'!$F862=0,"",(VLOOKUP($C795,REV!$C:$AA,16,0)-'TRADE IN'!$F795))</f>
        <v/>
      </c>
      <c r="S795" s="45" t="str">
        <f>IF(VLOOKUP($C795,REV!$C:$AA,17,0)-'TRADE IN'!$F862=0,"",(VLOOKUP($C795,REV!$C:$AA,17,0)-'TRADE IN'!$F795))</f>
        <v/>
      </c>
      <c r="T795" s="45" t="str">
        <f>IF(VLOOKUP($C795,REV!$C:$AA,18,0)-'TRADE IN'!$F862=0,"",(VLOOKUP($C795,REV!$C:$AA,18,0)-'TRADE IN'!$F795))</f>
        <v/>
      </c>
      <c r="U795" s="45" t="str">
        <f>IF(VLOOKUP($C795,REV!$C:$AA,19,0)-'TRADE IN'!$F862=0,"",(VLOOKUP($C795,REV!$C:$AA,19,0)-'TRADE IN'!$F795))</f>
        <v/>
      </c>
      <c r="V795" s="45" t="str">
        <f>IF(VLOOKUP($C795,REV!$C:$AA,20,0)-'TRADE IN'!$F862=0,"",(VLOOKUP($C795,REV!$C:$AA,20,0)-'TRADE IN'!$F795))</f>
        <v/>
      </c>
      <c r="W795" s="45" t="str">
        <f>IF(VLOOKUP($C795,REV!$C:$AA,21,0)-'TRADE IN'!$F862=0,"",(VLOOKUP($C795,REV!$C:$AA,21,0)-'TRADE IN'!$F795))</f>
        <v/>
      </c>
      <c r="X795" s="45" t="str">
        <f>IF(VLOOKUP($C795,REV!$C:$AA,22,0)-'TRADE IN'!$F862=0,"",(VLOOKUP($C795,REV!$C:$AA,22,0)-'TRADE IN'!$F795))</f>
        <v/>
      </c>
      <c r="Y795" s="45" t="str">
        <f>IF(VLOOKUP($C795,REV!$C:$AA,23,0)-'TRADE IN'!$F862=0,"",(VLOOKUP($C795,REV!$C:$AA,23,0)-'TRADE IN'!$F795))</f>
        <v/>
      </c>
      <c r="Z795" s="45" t="str">
        <f>IF(VLOOKUP($C795,REV!$C:$AA,24,0)-'TRADE IN'!$F862=0,"",(VLOOKUP($C795,REV!$C:$AA,24,0)-'TRADE IN'!$F795))</f>
        <v/>
      </c>
      <c r="AA795" s="45" t="str">
        <f>IF(VLOOKUP($C795,REV!$C:$AA,25,0)-'TRADE IN'!$F862=0,"",(VLOOKUP($C795,REV!$C:$AA,25,0)-'TRADE IN'!$F795))</f>
        <v/>
      </c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>
        <v>575</v>
      </c>
      <c r="AQ795" s="45">
        <v>575</v>
      </c>
      <c r="AR795" s="45">
        <v>575</v>
      </c>
      <c r="AS795" s="96">
        <v>199</v>
      </c>
      <c r="AT795" s="96">
        <v>159</v>
      </c>
      <c r="AU795" s="97">
        <v>99.9</v>
      </c>
      <c r="AW795" s="163" t="str">
        <f>IF(REV!AW795=0,"",REV!AW795)</f>
        <v>31.03.2026</v>
      </c>
      <c r="AX795" s="162" t="s">
        <v>66</v>
      </c>
    </row>
    <row r="796" spans="1:50" ht="22.5" customHeight="1">
      <c r="A796" s="50" t="s">
        <v>61</v>
      </c>
      <c r="B796" s="41" t="s">
        <v>62</v>
      </c>
      <c r="C796" s="61">
        <v>4012041</v>
      </c>
      <c r="D796" s="65" t="s">
        <v>1064</v>
      </c>
      <c r="E796" s="44" t="s">
        <v>1064</v>
      </c>
      <c r="F796" s="46"/>
      <c r="I796" s="102"/>
      <c r="J796" s="45" t="str">
        <f>IF(VLOOKUP($C796,REV!$C:$AA,8,0)-'TRADE IN'!$F796=0,"",(VLOOKUP($C796,REV!$C:$AA,8,0)-'TRADE IN'!$F796))</f>
        <v/>
      </c>
      <c r="K796" s="45" t="str">
        <f>IF(VLOOKUP($C796,REV!$C:$AA,9,0)-'TRADE IN'!$F796=0,"",(VLOOKUP($C796,REV!$C:$AA,9,0)-'TRADE IN'!$F796))</f>
        <v/>
      </c>
      <c r="L796" s="45" t="str">
        <f>IF(VLOOKUP($C796,REV!$C:$AA,10,0)-'TRADE IN'!$F863=0,"",(VLOOKUP($C796,REV!$C:$AA,10,0)-'TRADE IN'!$F796))</f>
        <v/>
      </c>
      <c r="M796" s="45" t="str">
        <f>IF(VLOOKUP($C796,REV!$C:$AA,11,0)-'TRADE IN'!$F863=0,"",(VLOOKUP($C796,REV!$C:$AA,11,0)-'TRADE IN'!$F796))</f>
        <v/>
      </c>
      <c r="N796" s="45" t="str">
        <f>IF(VLOOKUP($C796,REV!$C:$AA,12,0)-'TRADE IN'!$F863=0,"",(VLOOKUP($C796,REV!$C:$AA,12,0)-'TRADE IN'!$F796))</f>
        <v/>
      </c>
      <c r="O796" s="45" t="str">
        <f>IF(VLOOKUP($C796,REV!$C:$AA,13,0)-'TRADE IN'!$F863=0,"",(VLOOKUP($C796,REV!$C:$AA,13,0)-'TRADE IN'!$F796))</f>
        <v/>
      </c>
      <c r="P796" s="45" t="str">
        <f>IF(VLOOKUP($C796,REV!$C:$AA,14,0)-'TRADE IN'!$F863=0,"",(VLOOKUP($C796,REV!$C:$AA,14,0)-'TRADE IN'!$F796))</f>
        <v/>
      </c>
      <c r="Q796" s="45" t="str">
        <f>IF(VLOOKUP($C796,REV!$C:$AA,15,0)-'TRADE IN'!$F863=0,"",(VLOOKUP($C796,REV!$C:$AA,15,0)-'TRADE IN'!$F796))</f>
        <v/>
      </c>
      <c r="R796" s="45" t="str">
        <f>IF(VLOOKUP($C796,REV!$C:$AA,16,0)-'TRADE IN'!$F863=0,"",(VLOOKUP($C796,REV!$C:$AA,16,0)-'TRADE IN'!$F796))</f>
        <v/>
      </c>
      <c r="S796" s="45" t="str">
        <f>IF(VLOOKUP($C796,REV!$C:$AA,17,0)-'TRADE IN'!$F863=0,"",(VLOOKUP($C796,REV!$C:$AA,17,0)-'TRADE IN'!$F796))</f>
        <v/>
      </c>
      <c r="T796" s="45" t="str">
        <f>IF(VLOOKUP($C796,REV!$C:$AA,18,0)-'TRADE IN'!$F863=0,"",(VLOOKUP($C796,REV!$C:$AA,18,0)-'TRADE IN'!$F796))</f>
        <v/>
      </c>
      <c r="U796" s="45" t="str">
        <f>IF(VLOOKUP($C796,REV!$C:$AA,19,0)-'TRADE IN'!$F863=0,"",(VLOOKUP($C796,REV!$C:$AA,19,0)-'TRADE IN'!$F796))</f>
        <v/>
      </c>
      <c r="V796" s="45" t="str">
        <f>IF(VLOOKUP($C796,REV!$C:$AA,20,0)-'TRADE IN'!$F863=0,"",(VLOOKUP($C796,REV!$C:$AA,20,0)-'TRADE IN'!$F796))</f>
        <v/>
      </c>
      <c r="W796" s="45" t="str">
        <f>IF(VLOOKUP($C796,REV!$C:$AA,21,0)-'TRADE IN'!$F863=0,"",(VLOOKUP($C796,REV!$C:$AA,21,0)-'TRADE IN'!$F796))</f>
        <v/>
      </c>
      <c r="X796" s="45" t="str">
        <f>IF(VLOOKUP($C796,REV!$C:$AA,22,0)-'TRADE IN'!$F863=0,"",(VLOOKUP($C796,REV!$C:$AA,22,0)-'TRADE IN'!$F796))</f>
        <v/>
      </c>
      <c r="Y796" s="45" t="str">
        <f>IF(VLOOKUP($C796,REV!$C:$AA,23,0)-'TRADE IN'!$F863=0,"",(VLOOKUP($C796,REV!$C:$AA,23,0)-'TRADE IN'!$F796))</f>
        <v/>
      </c>
      <c r="Z796" s="45" t="str">
        <f>IF(VLOOKUP($C796,REV!$C:$AA,24,0)-'TRADE IN'!$F863=0,"",(VLOOKUP($C796,REV!$C:$AA,24,0)-'TRADE IN'!$F796))</f>
        <v/>
      </c>
      <c r="AA796" s="45" t="str">
        <f>IF(VLOOKUP($C796,REV!$C:$AA,25,0)-'TRADE IN'!$F863=0,"",(VLOOKUP($C796,REV!$C:$AA,25,0)-'TRADE IN'!$F796))</f>
        <v/>
      </c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>
        <v>575</v>
      </c>
      <c r="AQ796" s="45">
        <v>575</v>
      </c>
      <c r="AR796" s="45">
        <v>575</v>
      </c>
      <c r="AS796" s="96">
        <v>199</v>
      </c>
      <c r="AT796" s="96">
        <v>159</v>
      </c>
      <c r="AU796" s="97">
        <v>99.9</v>
      </c>
      <c r="AW796" s="86" t="str">
        <f>IF(REV!AW796=0,"",REV!AW796)</f>
        <v>31.03.2026</v>
      </c>
      <c r="AX796" s="159" t="s">
        <v>66</v>
      </c>
    </row>
    <row r="797" spans="1:50" ht="22.5" customHeight="1">
      <c r="A797" s="50" t="s">
        <v>61</v>
      </c>
      <c r="B797" s="41" t="s">
        <v>62</v>
      </c>
      <c r="C797" s="42">
        <v>4012242</v>
      </c>
      <c r="D797" s="65" t="s">
        <v>1065</v>
      </c>
      <c r="E797" s="44" t="s">
        <v>1065</v>
      </c>
      <c r="F797" s="46"/>
      <c r="G797" s="47"/>
      <c r="H797" s="4"/>
      <c r="I797" s="47"/>
      <c r="J797" s="45" t="str">
        <f>IF(VLOOKUP($C797,REV!$C:$AA,8,0)-'TRADE IN'!$F797=0,"",(VLOOKUP($C797,REV!$C:$AA,8,0)-'TRADE IN'!$F797))</f>
        <v/>
      </c>
      <c r="K797" s="45" t="str">
        <f>IF(VLOOKUP($C797,REV!$C:$AA,9,0)-'TRADE IN'!$F797=0,"",(VLOOKUP($C797,REV!$C:$AA,9,0)-'TRADE IN'!$F797))</f>
        <v/>
      </c>
      <c r="L797" s="45" t="str">
        <f>IF(VLOOKUP($C797,REV!$C:$AA,10,0)-'TRADE IN'!$F864=0,"",(VLOOKUP($C797,REV!$C:$AA,10,0)-'TRADE IN'!$F797))</f>
        <v/>
      </c>
      <c r="M797" s="45" t="str">
        <f>IF(VLOOKUP($C797,REV!$C:$AA,11,0)-'TRADE IN'!$F864=0,"",(VLOOKUP($C797,REV!$C:$AA,11,0)-'TRADE IN'!$F797))</f>
        <v/>
      </c>
      <c r="N797" s="45" t="str">
        <f>IF(VLOOKUP($C797,REV!$C:$AA,12,0)-'TRADE IN'!$F864=0,"",(VLOOKUP($C797,REV!$C:$AA,12,0)-'TRADE IN'!$F797))</f>
        <v/>
      </c>
      <c r="O797" s="45" t="str">
        <f>IF(VLOOKUP($C797,REV!$C:$AA,13,0)-'TRADE IN'!$F864=0,"",(VLOOKUP($C797,REV!$C:$AA,13,0)-'TRADE IN'!$F797))</f>
        <v/>
      </c>
      <c r="P797" s="45" t="str">
        <f>IF(VLOOKUP($C797,REV!$C:$AA,14,0)-'TRADE IN'!$F864=0,"",(VLOOKUP($C797,REV!$C:$AA,14,0)-'TRADE IN'!$F797))</f>
        <v/>
      </c>
      <c r="Q797" s="45" t="str">
        <f>IF(VLOOKUP($C797,REV!$C:$AA,15,0)-'TRADE IN'!$F864=0,"",(VLOOKUP($C797,REV!$C:$AA,15,0)-'TRADE IN'!$F797))</f>
        <v/>
      </c>
      <c r="R797" s="45" t="str">
        <f>IF(VLOOKUP($C797,REV!$C:$AA,16,0)-'TRADE IN'!$F864=0,"",(VLOOKUP($C797,REV!$C:$AA,16,0)-'TRADE IN'!$F797))</f>
        <v/>
      </c>
      <c r="S797" s="45" t="str">
        <f>IF(VLOOKUP($C797,REV!$C:$AA,17,0)-'TRADE IN'!$F864=0,"",(VLOOKUP($C797,REV!$C:$AA,17,0)-'TRADE IN'!$F797))</f>
        <v/>
      </c>
      <c r="T797" s="45" t="str">
        <f>IF(VLOOKUP($C797,REV!$C:$AA,18,0)-'TRADE IN'!$F864=0,"",(VLOOKUP($C797,REV!$C:$AA,18,0)-'TRADE IN'!$F797))</f>
        <v/>
      </c>
      <c r="U797" s="45" t="str">
        <f>IF(VLOOKUP($C797,REV!$C:$AA,19,0)-'TRADE IN'!$F864=0,"",(VLOOKUP($C797,REV!$C:$AA,19,0)-'TRADE IN'!$F797))</f>
        <v/>
      </c>
      <c r="V797" s="45" t="str">
        <f>IF(VLOOKUP($C797,REV!$C:$AA,20,0)-'TRADE IN'!$F864=0,"",(VLOOKUP($C797,REV!$C:$AA,20,0)-'TRADE IN'!$F797))</f>
        <v/>
      </c>
      <c r="W797" s="45" t="str">
        <f>IF(VLOOKUP($C797,REV!$C:$AA,21,0)-'TRADE IN'!$F864=0,"",(VLOOKUP($C797,REV!$C:$AA,21,0)-'TRADE IN'!$F797))</f>
        <v/>
      </c>
      <c r="X797" s="45" t="str">
        <f>IF(VLOOKUP($C797,REV!$C:$AA,22,0)-'TRADE IN'!$F864=0,"",(VLOOKUP($C797,REV!$C:$AA,22,0)-'TRADE IN'!$F797))</f>
        <v/>
      </c>
      <c r="Y797" s="45" t="str">
        <f>IF(VLOOKUP($C797,REV!$C:$AA,23,0)-'TRADE IN'!$F864=0,"",(VLOOKUP($C797,REV!$C:$AA,23,0)-'TRADE IN'!$F797))</f>
        <v/>
      </c>
      <c r="Z797" s="45" t="str">
        <f>IF(VLOOKUP($C797,REV!$C:$AA,24,0)-'TRADE IN'!$F864=0,"",(VLOOKUP($C797,REV!$C:$AA,24,0)-'TRADE IN'!$F797))</f>
        <v/>
      </c>
      <c r="AA797" s="45" t="str">
        <f>IF(VLOOKUP($C797,REV!$C:$AA,25,0)-'TRADE IN'!$F864=0,"",(VLOOKUP($C797,REV!$C:$AA,25,0)-'TRADE IN'!$F797))</f>
        <v/>
      </c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>
        <v>575</v>
      </c>
      <c r="AQ797" s="45">
        <v>575</v>
      </c>
      <c r="AR797" s="45">
        <v>575</v>
      </c>
      <c r="AS797" s="96">
        <v>199</v>
      </c>
      <c r="AT797" s="96">
        <v>159</v>
      </c>
      <c r="AU797" s="97">
        <v>99.9</v>
      </c>
      <c r="AW797" s="86" t="str">
        <f>IF(REV!AW797=0,"",REV!AW797)</f>
        <v>31.03.2026</v>
      </c>
      <c r="AX797" s="159" t="s">
        <v>66</v>
      </c>
    </row>
    <row r="798" spans="1:50" ht="22.5" customHeight="1">
      <c r="A798" s="50" t="s">
        <v>61</v>
      </c>
      <c r="B798" s="41" t="s">
        <v>62</v>
      </c>
      <c r="C798" s="42">
        <v>4012590</v>
      </c>
      <c r="D798" s="65" t="s">
        <v>1066</v>
      </c>
      <c r="E798" s="44" t="s">
        <v>1066</v>
      </c>
      <c r="F798" s="46"/>
      <c r="J798" s="45" t="str">
        <f>IF(VLOOKUP($C798,REV!$C:$AA,8,0)-'TRADE IN'!$F798=0,"",(VLOOKUP($C798,REV!$C:$AA,8,0)-'TRADE IN'!$F798))</f>
        <v/>
      </c>
      <c r="K798" s="45" t="str">
        <f>IF(VLOOKUP($C798,REV!$C:$AA,9,0)-'TRADE IN'!$F798=0,"",(VLOOKUP($C798,REV!$C:$AA,9,0)-'TRADE IN'!$F798))</f>
        <v/>
      </c>
      <c r="L798" s="45" t="str">
        <f>IF(VLOOKUP($C798,REV!$C:$AA,10,0)-'TRADE IN'!$F865=0,"",(VLOOKUP($C798,REV!$C:$AA,10,0)-'TRADE IN'!$F798))</f>
        <v/>
      </c>
      <c r="M798" s="45" t="str">
        <f>IF(VLOOKUP($C798,REV!$C:$AA,11,0)-'TRADE IN'!$F865=0,"",(VLOOKUP($C798,REV!$C:$AA,11,0)-'TRADE IN'!$F798))</f>
        <v/>
      </c>
      <c r="N798" s="45" t="str">
        <f>IF(VLOOKUP($C798,REV!$C:$AA,12,0)-'TRADE IN'!$F865=0,"",(VLOOKUP($C798,REV!$C:$AA,12,0)-'TRADE IN'!$F798))</f>
        <v/>
      </c>
      <c r="O798" s="45" t="str">
        <f>IF(VLOOKUP($C798,REV!$C:$AA,13,0)-'TRADE IN'!$F865=0,"",(VLOOKUP($C798,REV!$C:$AA,13,0)-'TRADE IN'!$F798))</f>
        <v/>
      </c>
      <c r="P798" s="45" t="str">
        <f>IF(VLOOKUP($C798,REV!$C:$AA,14,0)-'TRADE IN'!$F865=0,"",(VLOOKUP($C798,REV!$C:$AA,14,0)-'TRADE IN'!$F798))</f>
        <v/>
      </c>
      <c r="Q798" s="45" t="str">
        <f>IF(VLOOKUP($C798,REV!$C:$AA,15,0)-'TRADE IN'!$F865=0,"",(VLOOKUP($C798,REV!$C:$AA,15,0)-'TRADE IN'!$F798))</f>
        <v/>
      </c>
      <c r="R798" s="45" t="str">
        <f>IF(VLOOKUP($C798,REV!$C:$AA,16,0)-'TRADE IN'!$F865=0,"",(VLOOKUP($C798,REV!$C:$AA,16,0)-'TRADE IN'!$F798))</f>
        <v/>
      </c>
      <c r="S798" s="45" t="str">
        <f>IF(VLOOKUP($C798,REV!$C:$AA,17,0)-'TRADE IN'!$F865=0,"",(VLOOKUP($C798,REV!$C:$AA,17,0)-'TRADE IN'!$F798))</f>
        <v/>
      </c>
      <c r="T798" s="45" t="str">
        <f>IF(VLOOKUP($C798,REV!$C:$AA,18,0)-'TRADE IN'!$F865=0,"",(VLOOKUP($C798,REV!$C:$AA,18,0)-'TRADE IN'!$F798))</f>
        <v/>
      </c>
      <c r="U798" s="45" t="str">
        <f>IF(VLOOKUP($C798,REV!$C:$AA,19,0)-'TRADE IN'!$F865=0,"",(VLOOKUP($C798,REV!$C:$AA,19,0)-'TRADE IN'!$F798))</f>
        <v/>
      </c>
      <c r="V798" s="45" t="str">
        <f>IF(VLOOKUP($C798,REV!$C:$AA,20,0)-'TRADE IN'!$F865=0,"",(VLOOKUP($C798,REV!$C:$AA,20,0)-'TRADE IN'!$F798))</f>
        <v/>
      </c>
      <c r="W798" s="45" t="str">
        <f>IF(VLOOKUP($C798,REV!$C:$AA,21,0)-'TRADE IN'!$F865=0,"",(VLOOKUP($C798,REV!$C:$AA,21,0)-'TRADE IN'!$F798))</f>
        <v/>
      </c>
      <c r="X798" s="45" t="str">
        <f>IF(VLOOKUP($C798,REV!$C:$AA,22,0)-'TRADE IN'!$F865=0,"",(VLOOKUP($C798,REV!$C:$AA,22,0)-'TRADE IN'!$F798))</f>
        <v/>
      </c>
      <c r="Y798" s="45" t="str">
        <f>IF(VLOOKUP($C798,REV!$C:$AA,23,0)-'TRADE IN'!$F865=0,"",(VLOOKUP($C798,REV!$C:$AA,23,0)-'TRADE IN'!$F798))</f>
        <v/>
      </c>
      <c r="Z798" s="45" t="str">
        <f>IF(VLOOKUP($C798,REV!$C:$AA,24,0)-'TRADE IN'!$F865=0,"",(VLOOKUP($C798,REV!$C:$AA,24,0)-'TRADE IN'!$F798))</f>
        <v/>
      </c>
      <c r="AA798" s="45" t="str">
        <f>IF(VLOOKUP($C798,REV!$C:$AA,25,0)-'TRADE IN'!$F865=0,"",(VLOOKUP($C798,REV!$C:$AA,25,0)-'TRADE IN'!$F798))</f>
        <v/>
      </c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>
        <v>575</v>
      </c>
      <c r="AQ798" s="45">
        <v>575</v>
      </c>
      <c r="AR798" s="45">
        <v>575</v>
      </c>
      <c r="AS798" s="96">
        <v>199</v>
      </c>
      <c r="AT798" s="96">
        <v>159</v>
      </c>
      <c r="AU798" s="97">
        <v>99.9</v>
      </c>
      <c r="AW798" s="86" t="str">
        <f>IF(REV!AW798=0,"",REV!AW798)</f>
        <v>31.03.2026</v>
      </c>
      <c r="AX798" s="159" t="s">
        <v>66</v>
      </c>
    </row>
    <row r="799" spans="1:50" ht="22.5" customHeight="1">
      <c r="A799" s="50" t="s">
        <v>61</v>
      </c>
      <c r="B799" s="41" t="s">
        <v>62</v>
      </c>
      <c r="C799" s="42">
        <v>4012681</v>
      </c>
      <c r="D799" s="65" t="s">
        <v>1067</v>
      </c>
      <c r="E799" s="44" t="s">
        <v>1067</v>
      </c>
      <c r="F799" s="46"/>
      <c r="J799" s="45" t="str">
        <f>IF(VLOOKUP($C799,REV!$C:$AA,8,0)-'TRADE IN'!$F799=0,"",(VLOOKUP($C799,REV!$C:$AA,8,0)-'TRADE IN'!$F799))</f>
        <v/>
      </c>
      <c r="K799" s="45" t="str">
        <f>IF(VLOOKUP($C799,REV!$C:$AA,9,0)-'TRADE IN'!$F799=0,"",(VLOOKUP($C799,REV!$C:$AA,9,0)-'TRADE IN'!$F799))</f>
        <v/>
      </c>
      <c r="L799" s="45" t="str">
        <f>IF(VLOOKUP($C799,REV!$C:$AA,10,0)-'TRADE IN'!$F866=0,"",(VLOOKUP($C799,REV!$C:$AA,10,0)-'TRADE IN'!$F799))</f>
        <v/>
      </c>
      <c r="M799" s="45" t="str">
        <f>IF(VLOOKUP($C799,REV!$C:$AA,11,0)-'TRADE IN'!$F866=0,"",(VLOOKUP($C799,REV!$C:$AA,11,0)-'TRADE IN'!$F799))</f>
        <v/>
      </c>
      <c r="N799" s="45" t="str">
        <f>IF(VLOOKUP($C799,REV!$C:$AA,12,0)-'TRADE IN'!$F866=0,"",(VLOOKUP($C799,REV!$C:$AA,12,0)-'TRADE IN'!$F799))</f>
        <v/>
      </c>
      <c r="O799" s="45" t="str">
        <f>IF(VLOOKUP($C799,REV!$C:$AA,13,0)-'TRADE IN'!$F866=0,"",(VLOOKUP($C799,REV!$C:$AA,13,0)-'TRADE IN'!$F799))</f>
        <v/>
      </c>
      <c r="P799" s="45" t="str">
        <f>IF(VLOOKUP($C799,REV!$C:$AA,14,0)-'TRADE IN'!$F866=0,"",(VLOOKUP($C799,REV!$C:$AA,14,0)-'TRADE IN'!$F799))</f>
        <v/>
      </c>
      <c r="Q799" s="45" t="str">
        <f>IF(VLOOKUP($C799,REV!$C:$AA,15,0)-'TRADE IN'!$F866=0,"",(VLOOKUP($C799,REV!$C:$AA,15,0)-'TRADE IN'!$F799))</f>
        <v/>
      </c>
      <c r="R799" s="45" t="str">
        <f>IF(VLOOKUP($C799,REV!$C:$AA,16,0)-'TRADE IN'!$F866=0,"",(VLOOKUP($C799,REV!$C:$AA,16,0)-'TRADE IN'!$F799))</f>
        <v/>
      </c>
      <c r="S799" s="45" t="str">
        <f>IF(VLOOKUP($C799,REV!$C:$AA,17,0)-'TRADE IN'!$F866=0,"",(VLOOKUP($C799,REV!$C:$AA,17,0)-'TRADE IN'!$F799))</f>
        <v/>
      </c>
      <c r="T799" s="45" t="str">
        <f>IF(VLOOKUP($C799,REV!$C:$AA,18,0)-'TRADE IN'!$F866=0,"",(VLOOKUP($C799,REV!$C:$AA,18,0)-'TRADE IN'!$F799))</f>
        <v/>
      </c>
      <c r="U799" s="45" t="str">
        <f>IF(VLOOKUP($C799,REV!$C:$AA,19,0)-'TRADE IN'!$F866=0,"",(VLOOKUP($C799,REV!$C:$AA,19,0)-'TRADE IN'!$F799))</f>
        <v/>
      </c>
      <c r="V799" s="45" t="str">
        <f>IF(VLOOKUP($C799,REV!$C:$AA,20,0)-'TRADE IN'!$F866=0,"",(VLOOKUP($C799,REV!$C:$AA,20,0)-'TRADE IN'!$F799))</f>
        <v/>
      </c>
      <c r="W799" s="45" t="str">
        <f>IF(VLOOKUP($C799,REV!$C:$AA,21,0)-'TRADE IN'!$F866=0,"",(VLOOKUP($C799,REV!$C:$AA,21,0)-'TRADE IN'!$F799))</f>
        <v/>
      </c>
      <c r="X799" s="45" t="str">
        <f>IF(VLOOKUP($C799,REV!$C:$AA,22,0)-'TRADE IN'!$F866=0,"",(VLOOKUP($C799,REV!$C:$AA,22,0)-'TRADE IN'!$F799))</f>
        <v/>
      </c>
      <c r="Y799" s="45" t="str">
        <f>IF(VLOOKUP($C799,REV!$C:$AA,23,0)-'TRADE IN'!$F866=0,"",(VLOOKUP($C799,REV!$C:$AA,23,0)-'TRADE IN'!$F799))</f>
        <v/>
      </c>
      <c r="Z799" s="45" t="str">
        <f>IF(VLOOKUP($C799,REV!$C:$AA,24,0)-'TRADE IN'!$F866=0,"",(VLOOKUP($C799,REV!$C:$AA,24,0)-'TRADE IN'!$F799))</f>
        <v/>
      </c>
      <c r="AA799" s="45" t="str">
        <f>IF(VLOOKUP($C799,REV!$C:$AA,25,0)-'TRADE IN'!$F866=0,"",(VLOOKUP($C799,REV!$C:$AA,25,0)-'TRADE IN'!$F799))</f>
        <v/>
      </c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>
        <v>575</v>
      </c>
      <c r="AQ799" s="45">
        <v>575</v>
      </c>
      <c r="AR799" s="45">
        <v>575</v>
      </c>
      <c r="AS799" s="96">
        <v>199</v>
      </c>
      <c r="AT799" s="96">
        <v>159</v>
      </c>
      <c r="AU799" s="97">
        <v>99.9</v>
      </c>
      <c r="AW799" s="86" t="str">
        <f>IF(REV!AW799=0,"",REV!AW799)</f>
        <v>31.03.2026</v>
      </c>
      <c r="AX799" s="159" t="s">
        <v>66</v>
      </c>
    </row>
    <row r="800" spans="1:50" ht="22.5" customHeight="1" thickBot="1">
      <c r="A800" s="70" t="s">
        <v>61</v>
      </c>
      <c r="B800" s="71" t="s">
        <v>62</v>
      </c>
      <c r="C800" s="72">
        <v>4012680</v>
      </c>
      <c r="D800" s="98" t="s">
        <v>1068</v>
      </c>
      <c r="E800" s="93" t="s">
        <v>1068</v>
      </c>
      <c r="F800" s="94"/>
      <c r="G800" s="164"/>
      <c r="H800" s="164"/>
      <c r="I800" s="164"/>
      <c r="J800" s="74" t="str">
        <f>IF(VLOOKUP($C800,REV!$C:$AA,8,0)-'TRADE IN'!$F800=0,"",(VLOOKUP($C800,REV!$C:$AA,8,0)-'TRADE IN'!$F800))</f>
        <v/>
      </c>
      <c r="K800" s="74" t="str">
        <f>IF(VLOOKUP($C800,REV!$C:$AA,9,0)-'TRADE IN'!$F800=0,"",(VLOOKUP($C800,REV!$C:$AA,9,0)-'TRADE IN'!$F800))</f>
        <v/>
      </c>
      <c r="L800" s="74" t="str">
        <f>IF(VLOOKUP($C800,REV!$C:$AA,10,0)-'TRADE IN'!$F867=0,"",(VLOOKUP($C800,REV!$C:$AA,10,0)-'TRADE IN'!$F800))</f>
        <v/>
      </c>
      <c r="M800" s="74" t="str">
        <f>IF(VLOOKUP($C800,REV!$C:$AA,11,0)-'TRADE IN'!$F867=0,"",(VLOOKUP($C800,REV!$C:$AA,11,0)-'TRADE IN'!$F800))</f>
        <v/>
      </c>
      <c r="N800" s="74" t="str">
        <f>IF(VLOOKUP($C800,REV!$C:$AA,12,0)-'TRADE IN'!$F867=0,"",(VLOOKUP($C800,REV!$C:$AA,12,0)-'TRADE IN'!$F800))</f>
        <v/>
      </c>
      <c r="O800" s="74" t="str">
        <f>IF(VLOOKUP($C800,REV!$C:$AA,13,0)-'TRADE IN'!$F867=0,"",(VLOOKUP($C800,REV!$C:$AA,13,0)-'TRADE IN'!$F800))</f>
        <v/>
      </c>
      <c r="P800" s="74" t="str">
        <f>IF(VLOOKUP($C800,REV!$C:$AA,14,0)-'TRADE IN'!$F867=0,"",(VLOOKUP($C800,REV!$C:$AA,14,0)-'TRADE IN'!$F800))</f>
        <v/>
      </c>
      <c r="Q800" s="74" t="str">
        <f>IF(VLOOKUP($C800,REV!$C:$AA,15,0)-'TRADE IN'!$F867=0,"",(VLOOKUP($C800,REV!$C:$AA,15,0)-'TRADE IN'!$F800))</f>
        <v/>
      </c>
      <c r="R800" s="74" t="str">
        <f>IF(VLOOKUP($C800,REV!$C:$AA,16,0)-'TRADE IN'!$F867=0,"",(VLOOKUP($C800,REV!$C:$AA,16,0)-'TRADE IN'!$F800))</f>
        <v/>
      </c>
      <c r="S800" s="74" t="str">
        <f>IF(VLOOKUP($C800,REV!$C:$AA,17,0)-'TRADE IN'!$F867=0,"",(VLOOKUP($C800,REV!$C:$AA,17,0)-'TRADE IN'!$F800))</f>
        <v/>
      </c>
      <c r="T800" s="74" t="str">
        <f>IF(VLOOKUP($C800,REV!$C:$AA,18,0)-'TRADE IN'!$F867=0,"",(VLOOKUP($C800,REV!$C:$AA,18,0)-'TRADE IN'!$F800))</f>
        <v/>
      </c>
      <c r="U800" s="74" t="str">
        <f>IF(VLOOKUP($C800,REV!$C:$AA,19,0)-'TRADE IN'!$F867=0,"",(VLOOKUP($C800,REV!$C:$AA,19,0)-'TRADE IN'!$F800))</f>
        <v/>
      </c>
      <c r="V800" s="74" t="str">
        <f>IF(VLOOKUP($C800,REV!$C:$AA,20,0)-'TRADE IN'!$F867=0,"",(VLOOKUP($C800,REV!$C:$AA,20,0)-'TRADE IN'!$F800))</f>
        <v/>
      </c>
      <c r="W800" s="74" t="str">
        <f>IF(VLOOKUP($C800,REV!$C:$AA,21,0)-'TRADE IN'!$F867=0,"",(VLOOKUP($C800,REV!$C:$AA,21,0)-'TRADE IN'!$F800))</f>
        <v/>
      </c>
      <c r="X800" s="74" t="str">
        <f>IF(VLOOKUP($C800,REV!$C:$AA,22,0)-'TRADE IN'!$F867=0,"",(VLOOKUP($C800,REV!$C:$AA,22,0)-'TRADE IN'!$F800))</f>
        <v/>
      </c>
      <c r="Y800" s="74" t="str">
        <f>IF(VLOOKUP($C800,REV!$C:$AA,23,0)-'TRADE IN'!$F867=0,"",(VLOOKUP($C800,REV!$C:$AA,23,0)-'TRADE IN'!$F800))</f>
        <v/>
      </c>
      <c r="Z800" s="74" t="str">
        <f>IF(VLOOKUP($C800,REV!$C:$AA,24,0)-'TRADE IN'!$F867=0,"",(VLOOKUP($C800,REV!$C:$AA,24,0)-'TRADE IN'!$F800))</f>
        <v/>
      </c>
      <c r="AA800" s="74" t="str">
        <f>IF(VLOOKUP($C800,REV!$C:$AA,25,0)-'TRADE IN'!$F867=0,"",(VLOOKUP($C800,REV!$C:$AA,25,0)-'TRADE IN'!$F800))</f>
        <v/>
      </c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94">
        <v>575</v>
      </c>
      <c r="AQ800" s="94">
        <v>575</v>
      </c>
      <c r="AR800" s="94">
        <v>575</v>
      </c>
      <c r="AS800" s="99">
        <v>199</v>
      </c>
      <c r="AT800" s="99">
        <v>159</v>
      </c>
      <c r="AU800" s="100">
        <v>99.9</v>
      </c>
      <c r="AW800" s="95" t="str">
        <f>IF(REV!AW800=0,"",REV!AW800)</f>
        <v>31.03.2026</v>
      </c>
      <c r="AX800" s="161" t="s">
        <v>66</v>
      </c>
    </row>
  </sheetData>
  <autoFilter ref="A12:BJ800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790:G794 G13:G16">
    <cfRule type="cellIs" dxfId="28" priority="28" operator="lessThan">
      <formula>F13</formula>
    </cfRule>
  </conditionalFormatting>
  <conditionalFormatting sqref="G790:G794 G797">
    <cfRule type="cellIs" dxfId="27" priority="26" operator="equal">
      <formula>0</formula>
    </cfRule>
  </conditionalFormatting>
  <conditionalFormatting sqref="G797">
    <cfRule type="cellIs" dxfId="26" priority="29" operator="lessThan">
      <formula>F797</formula>
    </cfRule>
  </conditionalFormatting>
  <conditionalFormatting sqref="H17:I24 R17:AL190 H25:Q190 J214:AL785 H573:I785 H191:AL213 H214:I220">
    <cfRule type="cellIs" dxfId="25" priority="16" operator="equal">
      <formula>$G17</formula>
    </cfRule>
  </conditionalFormatting>
  <conditionalFormatting sqref="H26:I33">
    <cfRule type="cellIs" dxfId="24" priority="18" operator="lessThan">
      <formula>$G26</formula>
    </cfRule>
    <cfRule type="cellIs" dxfId="23" priority="19" operator="greaterThan">
      <formula>$G26</formula>
    </cfRule>
  </conditionalFormatting>
  <conditionalFormatting sqref="H277:I279 AV573:AV785">
    <cfRule type="expression" dxfId="22" priority="9" stopIfTrue="1">
      <formula>#REF!&lt;&gt;#REF!</formula>
    </cfRule>
  </conditionalFormatting>
  <conditionalFormatting sqref="H291:I292">
    <cfRule type="expression" dxfId="21" priority="4" stopIfTrue="1">
      <formula>#REF!&lt;&gt;#REF!</formula>
    </cfRule>
  </conditionalFormatting>
  <conditionalFormatting sqref="H388:I391">
    <cfRule type="expression" dxfId="20" priority="27" stopIfTrue="1">
      <formula>#REF!&lt;&gt;#REF!</formula>
    </cfRule>
  </conditionalFormatting>
  <conditionalFormatting sqref="H461:I466">
    <cfRule type="expression" dxfId="19" priority="21" stopIfTrue="1">
      <formula>#REF!&lt;&gt;#REF!</formula>
    </cfRule>
  </conditionalFormatting>
  <conditionalFormatting sqref="H486:I527 H558:H561 F786:F791">
    <cfRule type="expression" dxfId="18" priority="24" stopIfTrue="1">
      <formula>#REF!&lt;&gt;#REF!</formula>
    </cfRule>
  </conditionalFormatting>
  <conditionalFormatting sqref="H557:I568">
    <cfRule type="expression" dxfId="17" priority="10" stopIfTrue="1">
      <formula>#REF!&lt;&gt;#REF!</formula>
    </cfRule>
  </conditionalFormatting>
  <conditionalFormatting sqref="H573:I708 J214:AL785 H718:I785">
    <cfRule type="cellIs" dxfId="16" priority="14" operator="greaterThan">
      <formula>$G214</formula>
    </cfRule>
  </conditionalFormatting>
  <conditionalFormatting sqref="H604:I616">
    <cfRule type="cellIs" dxfId="15" priority="12" operator="equal">
      <formula>$G604</formula>
    </cfRule>
    <cfRule type="cellIs" dxfId="14" priority="13" operator="lessThan">
      <formula>$G604</formula>
    </cfRule>
  </conditionalFormatting>
  <conditionalFormatting sqref="H709:I717">
    <cfRule type="cellIs" dxfId="13" priority="17" operator="greaterThan">
      <formula>$G709</formula>
    </cfRule>
  </conditionalFormatting>
  <conditionalFormatting sqref="H17:Q24 J214:AL785 H573:I785">
    <cfRule type="cellIs" dxfId="12" priority="3" operator="lessThan">
      <formula>$G17</formula>
    </cfRule>
  </conditionalFormatting>
  <conditionalFormatting sqref="H25:Q190 H191:AL213 R17:AL190 H214:I220">
    <cfRule type="cellIs" dxfId="11" priority="8" operator="lessThan">
      <formula>$G17</formula>
    </cfRule>
  </conditionalFormatting>
  <conditionalFormatting sqref="I25:I42 H618:I623">
    <cfRule type="cellIs" dxfId="10" priority="23" operator="lessThan">
      <formula>$G25</formula>
    </cfRule>
  </conditionalFormatting>
  <conditionalFormatting sqref="I25:I42">
    <cfRule type="cellIs" dxfId="9" priority="22" operator="equal">
      <formula>$G25</formula>
    </cfRule>
  </conditionalFormatting>
  <conditionalFormatting sqref="I561:I564">
    <cfRule type="expression" dxfId="8" priority="20" stopIfTrue="1">
      <formula>#REF!&lt;&gt;#REF!</formula>
    </cfRule>
  </conditionalFormatting>
  <conditionalFormatting sqref="J25:N785 I26:I33 H326:I331">
    <cfRule type="cellIs" dxfId="7" priority="5" operator="equal">
      <formula>$G25</formula>
    </cfRule>
    <cfRule type="cellIs" dxfId="6" priority="6" operator="lessThan">
      <formula>$G25</formula>
    </cfRule>
    <cfRule type="cellIs" dxfId="5" priority="7" operator="greaterThan">
      <formula>$G25</formula>
    </cfRule>
  </conditionalFormatting>
  <conditionalFormatting sqref="J17:Q24">
    <cfRule type="cellIs" dxfId="4" priority="1" operator="equal">
      <formula>$G17</formula>
    </cfRule>
  </conditionalFormatting>
  <conditionalFormatting sqref="Q17:Q24">
    <cfRule type="cellIs" dxfId="3" priority="2" operator="greaterThan">
      <formula>$G17</formula>
    </cfRule>
  </conditionalFormatting>
  <conditionalFormatting sqref="R17:AL190 H191:AL213 H214:I220 H611:I616">
    <cfRule type="cellIs" dxfId="2" priority="11" operator="greaterThan">
      <formula>$G17</formula>
    </cfRule>
  </conditionalFormatting>
  <conditionalFormatting sqref="Y25:Y186 H25:Q190 H17:P24">
    <cfRule type="cellIs" dxfId="1" priority="15" operator="greaterThan">
      <formula>$G17</formula>
    </cfRule>
  </conditionalFormatting>
  <conditionalFormatting sqref="AW790:AW791">
    <cfRule type="expression" dxfId="0" priority="25" stopIfTrue="1">
      <formula>#REF!&lt;&gt;#REF!</formula>
    </cfRule>
  </conditionalFormatting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C986-1BC9-4CC6-B657-4B79B28B35C8}">
  <dimension ref="A1:AA3419"/>
  <sheetViews>
    <sheetView topLeftCell="A26" zoomScale="78" zoomScaleNormal="78" workbookViewId="0">
      <selection activeCell="H771" sqref="H771:H772"/>
    </sheetView>
  </sheetViews>
  <sheetFormatPr defaultRowHeight="14.5"/>
  <cols>
    <col min="1" max="1" width="14.81640625" bestFit="1" customWidth="1"/>
    <col min="2" max="2" width="10.6328125" style="180" bestFit="1" customWidth="1"/>
    <col min="3" max="3" width="35.81640625" style="180" bestFit="1" customWidth="1"/>
    <col min="4" max="4" width="44" style="180" bestFit="1" customWidth="1"/>
    <col min="5" max="5" width="11.26953125" style="180" bestFit="1" customWidth="1"/>
    <col min="6" max="6" width="10.453125" style="180" bestFit="1" customWidth="1"/>
    <col min="7" max="7" width="1.90625" bestFit="1" customWidth="1"/>
    <col min="8" max="16" width="11.26953125" style="180" bestFit="1" customWidth="1"/>
    <col min="17" max="22" width="12.26953125" style="180" bestFit="1" customWidth="1"/>
    <col min="23" max="23" width="1.90625" bestFit="1" customWidth="1"/>
    <col min="24" max="24" width="10.6328125" style="180" bestFit="1" customWidth="1"/>
    <col min="25" max="25" width="33" style="180" bestFit="1" customWidth="1"/>
    <col min="26" max="26" width="43.36328125" style="180" bestFit="1" customWidth="1"/>
    <col min="27" max="27" width="25.90625" style="182" bestFit="1" customWidth="1"/>
  </cols>
  <sheetData>
    <row r="1" spans="1:27" ht="15.65" customHeight="1">
      <c r="A1" s="210" t="s">
        <v>1241</v>
      </c>
      <c r="B1" s="210"/>
      <c r="C1" s="210"/>
      <c r="D1" s="210"/>
      <c r="E1" s="210"/>
      <c r="F1" s="210"/>
      <c r="H1" s="210" t="s">
        <v>1242</v>
      </c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X1" s="211" t="s">
        <v>1243</v>
      </c>
      <c r="Y1" s="211"/>
      <c r="Z1" s="211"/>
      <c r="AA1" s="211"/>
    </row>
    <row r="2" spans="1:27" ht="14.9" customHeight="1">
      <c r="A2" s="165" t="s">
        <v>1244</v>
      </c>
      <c r="B2" s="165" t="s">
        <v>1245</v>
      </c>
      <c r="C2" s="165" t="s">
        <v>15</v>
      </c>
      <c r="D2" s="165" t="s">
        <v>16</v>
      </c>
      <c r="E2" s="165" t="s">
        <v>1246</v>
      </c>
      <c r="F2" s="165" t="s">
        <v>1247</v>
      </c>
      <c r="H2" s="166" t="s">
        <v>1248</v>
      </c>
      <c r="I2" s="166" t="s">
        <v>1249</v>
      </c>
      <c r="J2" s="166" t="s">
        <v>1250</v>
      </c>
      <c r="K2" s="166" t="s">
        <v>1251</v>
      </c>
      <c r="L2" s="166" t="s">
        <v>1252</v>
      </c>
      <c r="M2" s="166" t="s">
        <v>1253</v>
      </c>
      <c r="N2" s="166" t="s">
        <v>1254</v>
      </c>
      <c r="O2" s="166" t="s">
        <v>1255</v>
      </c>
      <c r="P2" s="166" t="s">
        <v>1256</v>
      </c>
      <c r="Q2" s="166" t="s">
        <v>1257</v>
      </c>
      <c r="R2" s="166" t="s">
        <v>1258</v>
      </c>
      <c r="S2" s="166" t="s">
        <v>1259</v>
      </c>
      <c r="T2" s="166" t="s">
        <v>1260</v>
      </c>
      <c r="U2" s="166" t="s">
        <v>1261</v>
      </c>
      <c r="V2" s="166" t="s">
        <v>1262</v>
      </c>
      <c r="X2" s="167" t="s">
        <v>1245</v>
      </c>
      <c r="Y2" s="167" t="s">
        <v>15</v>
      </c>
      <c r="Z2" s="167" t="s">
        <v>16</v>
      </c>
      <c r="AA2" s="167" t="s">
        <v>1263</v>
      </c>
    </row>
    <row r="3" spans="1:27" s="11" customFormat="1">
      <c r="A3" s="168" t="s">
        <v>1264</v>
      </c>
      <c r="B3" s="169">
        <v>4015938</v>
      </c>
      <c r="C3" s="170" t="s">
        <v>759</v>
      </c>
      <c r="D3" s="170" t="s">
        <v>760</v>
      </c>
      <c r="E3" s="171">
        <v>46030</v>
      </c>
      <c r="F3" s="171">
        <v>46112</v>
      </c>
      <c r="H3" s="169">
        <v>4015924</v>
      </c>
      <c r="I3" s="169">
        <v>4015922</v>
      </c>
      <c r="J3" s="169">
        <v>4017424</v>
      </c>
      <c r="K3" s="169">
        <v>4017419</v>
      </c>
      <c r="L3" s="169">
        <v>4017414</v>
      </c>
      <c r="M3" s="172"/>
      <c r="N3" s="172"/>
      <c r="O3" s="173"/>
      <c r="P3" s="173"/>
      <c r="Q3" s="173"/>
      <c r="R3" s="173"/>
      <c r="S3" s="173"/>
      <c r="T3" s="173"/>
      <c r="U3" s="173"/>
      <c r="V3" s="173"/>
      <c r="X3" s="169">
        <v>4017339</v>
      </c>
      <c r="Y3" s="170" t="s">
        <v>1146</v>
      </c>
      <c r="Z3" s="170" t="s">
        <v>1147</v>
      </c>
      <c r="AA3" s="174">
        <v>99</v>
      </c>
    </row>
    <row r="4" spans="1:27" s="11" customFormat="1">
      <c r="A4" s="168" t="s">
        <v>1264</v>
      </c>
      <c r="B4" s="169">
        <v>4016161</v>
      </c>
      <c r="C4" s="170" t="s">
        <v>759</v>
      </c>
      <c r="D4" s="170" t="s">
        <v>761</v>
      </c>
      <c r="E4" s="171">
        <v>46030</v>
      </c>
      <c r="F4" s="171">
        <v>46112</v>
      </c>
      <c r="H4" s="169">
        <v>4015924</v>
      </c>
      <c r="I4" s="169">
        <v>4015922</v>
      </c>
      <c r="J4" s="169">
        <v>4017424</v>
      </c>
      <c r="K4" s="169">
        <v>4017419</v>
      </c>
      <c r="L4" s="169">
        <v>4017414</v>
      </c>
      <c r="M4" s="172"/>
      <c r="N4" s="172"/>
      <c r="O4" s="173"/>
      <c r="P4" s="173"/>
      <c r="Q4" s="173"/>
      <c r="R4" s="173"/>
      <c r="S4" s="173"/>
      <c r="T4" s="173"/>
      <c r="U4" s="173"/>
      <c r="V4" s="173"/>
      <c r="X4" s="169">
        <v>4015924</v>
      </c>
      <c r="Y4" s="170" t="s">
        <v>1211</v>
      </c>
      <c r="Z4" s="170" t="s">
        <v>1212</v>
      </c>
      <c r="AA4" s="174">
        <v>99</v>
      </c>
    </row>
    <row r="5" spans="1:27" s="11" customFormat="1">
      <c r="A5" s="168" t="s">
        <v>1264</v>
      </c>
      <c r="B5" s="169">
        <v>4015933</v>
      </c>
      <c r="C5" s="170" t="s">
        <v>759</v>
      </c>
      <c r="D5" s="170" t="s">
        <v>762</v>
      </c>
      <c r="E5" s="171">
        <v>46030</v>
      </c>
      <c r="F5" s="171">
        <v>46112</v>
      </c>
      <c r="H5" s="169">
        <v>4015924</v>
      </c>
      <c r="I5" s="169">
        <v>4015922</v>
      </c>
      <c r="J5" s="169">
        <v>4017424</v>
      </c>
      <c r="K5" s="169">
        <v>4017419</v>
      </c>
      <c r="L5" s="169">
        <v>4017414</v>
      </c>
      <c r="M5" s="172"/>
      <c r="N5" s="172"/>
      <c r="O5" s="173"/>
      <c r="P5" s="173"/>
      <c r="Q5" s="173"/>
      <c r="R5" s="173"/>
      <c r="S5" s="173"/>
      <c r="T5" s="173"/>
      <c r="U5" s="173"/>
      <c r="V5" s="173"/>
      <c r="X5" s="169">
        <v>4015922</v>
      </c>
      <c r="Y5" s="170" t="s">
        <v>1211</v>
      </c>
      <c r="Z5" s="170" t="s">
        <v>1213</v>
      </c>
      <c r="AA5" s="174">
        <v>99</v>
      </c>
    </row>
    <row r="6" spans="1:27" s="11" customFormat="1">
      <c r="A6" s="168" t="s">
        <v>1264</v>
      </c>
      <c r="B6" s="169">
        <v>4016156</v>
      </c>
      <c r="C6" s="170" t="s">
        <v>759</v>
      </c>
      <c r="D6" s="170" t="s">
        <v>763</v>
      </c>
      <c r="E6" s="171">
        <v>46030</v>
      </c>
      <c r="F6" s="171">
        <v>46112</v>
      </c>
      <c r="H6" s="169">
        <v>4015924</v>
      </c>
      <c r="I6" s="169">
        <v>4015922</v>
      </c>
      <c r="J6" s="169">
        <v>4017424</v>
      </c>
      <c r="K6" s="169">
        <v>4017419</v>
      </c>
      <c r="L6" s="169">
        <v>4017414</v>
      </c>
      <c r="M6" s="172"/>
      <c r="N6" s="172"/>
      <c r="O6" s="173"/>
      <c r="P6" s="173"/>
      <c r="Q6" s="173"/>
      <c r="R6" s="173"/>
      <c r="S6" s="173"/>
      <c r="T6" s="173"/>
      <c r="U6" s="173"/>
      <c r="V6" s="173"/>
      <c r="X6" s="169">
        <v>4017424</v>
      </c>
      <c r="Y6" s="170" t="s">
        <v>1214</v>
      </c>
      <c r="Z6" s="170" t="s">
        <v>1215</v>
      </c>
      <c r="AA6" s="174">
        <v>99</v>
      </c>
    </row>
    <row r="7" spans="1:27" s="11" customFormat="1">
      <c r="A7" s="168" t="s">
        <v>1264</v>
      </c>
      <c r="B7" s="169">
        <v>4016157</v>
      </c>
      <c r="C7" s="170" t="s">
        <v>759</v>
      </c>
      <c r="D7" s="170" t="s">
        <v>764</v>
      </c>
      <c r="E7" s="171">
        <v>46030</v>
      </c>
      <c r="F7" s="171">
        <v>46112</v>
      </c>
      <c r="H7" s="169">
        <v>4015924</v>
      </c>
      <c r="I7" s="169">
        <v>4015922</v>
      </c>
      <c r="J7" s="169">
        <v>4017424</v>
      </c>
      <c r="K7" s="169">
        <v>4017419</v>
      </c>
      <c r="L7" s="169">
        <v>4017414</v>
      </c>
      <c r="M7" s="172"/>
      <c r="N7" s="172"/>
      <c r="O7" s="173"/>
      <c r="P7" s="173"/>
      <c r="Q7" s="173"/>
      <c r="R7" s="173"/>
      <c r="S7" s="173"/>
      <c r="T7" s="173"/>
      <c r="U7" s="173"/>
      <c r="V7" s="173"/>
      <c r="X7" s="169">
        <v>4017419</v>
      </c>
      <c r="Y7" s="170" t="s">
        <v>1214</v>
      </c>
      <c r="Z7" s="170" t="s">
        <v>1216</v>
      </c>
      <c r="AA7" s="174">
        <v>99</v>
      </c>
    </row>
    <row r="8" spans="1:27" s="11" customFormat="1">
      <c r="A8" s="168" t="s">
        <v>1264</v>
      </c>
      <c r="B8" s="169">
        <v>4016985</v>
      </c>
      <c r="C8" s="170" t="s">
        <v>765</v>
      </c>
      <c r="D8" s="170" t="s">
        <v>766</v>
      </c>
      <c r="E8" s="171">
        <v>46030</v>
      </c>
      <c r="F8" s="171">
        <v>46112</v>
      </c>
      <c r="H8" s="169">
        <v>4015924</v>
      </c>
      <c r="I8" s="169">
        <v>4015922</v>
      </c>
      <c r="J8" s="169">
        <v>4017424</v>
      </c>
      <c r="K8" s="169">
        <v>4017419</v>
      </c>
      <c r="L8" s="169">
        <v>4017414</v>
      </c>
      <c r="M8" s="169">
        <v>4017339</v>
      </c>
      <c r="N8" s="172"/>
      <c r="O8" s="173"/>
      <c r="P8" s="173"/>
      <c r="Q8" s="173"/>
      <c r="R8" s="173"/>
      <c r="S8" s="173"/>
      <c r="T8" s="173"/>
      <c r="U8" s="173"/>
      <c r="V8" s="173"/>
      <c r="X8" s="169">
        <v>4017414</v>
      </c>
      <c r="Y8" s="170" t="s">
        <v>1214</v>
      </c>
      <c r="Z8" s="170" t="s">
        <v>1217</v>
      </c>
      <c r="AA8" s="174">
        <v>99</v>
      </c>
    </row>
    <row r="9" spans="1:27" s="11" customFormat="1">
      <c r="A9" s="168" t="s">
        <v>1264</v>
      </c>
      <c r="B9" s="169">
        <v>4016999</v>
      </c>
      <c r="C9" s="170" t="s">
        <v>765</v>
      </c>
      <c r="D9" s="170" t="s">
        <v>767</v>
      </c>
      <c r="E9" s="171">
        <v>46030</v>
      </c>
      <c r="F9" s="171">
        <v>46112</v>
      </c>
      <c r="H9" s="169">
        <v>4015924</v>
      </c>
      <c r="I9" s="169">
        <v>4015922</v>
      </c>
      <c r="J9" s="169">
        <v>4017424</v>
      </c>
      <c r="K9" s="169">
        <v>4017419</v>
      </c>
      <c r="L9" s="169">
        <v>4017414</v>
      </c>
      <c r="M9" s="169">
        <v>4017339</v>
      </c>
      <c r="N9" s="172"/>
      <c r="O9" s="173"/>
      <c r="P9" s="173"/>
      <c r="Q9" s="173"/>
      <c r="R9" s="173"/>
      <c r="S9" s="173"/>
      <c r="T9" s="173"/>
      <c r="U9" s="173"/>
      <c r="V9" s="173"/>
      <c r="X9" s="175">
        <v>4017227</v>
      </c>
      <c r="Y9" s="176" t="s">
        <v>1228</v>
      </c>
      <c r="Z9" s="176" t="s">
        <v>1229</v>
      </c>
      <c r="AA9" s="177">
        <v>999</v>
      </c>
    </row>
    <row r="10" spans="1:27" s="11" customFormat="1">
      <c r="A10" s="168" t="s">
        <v>1264</v>
      </c>
      <c r="B10" s="169">
        <v>4017065</v>
      </c>
      <c r="C10" s="170" t="s">
        <v>765</v>
      </c>
      <c r="D10" s="170" t="s">
        <v>768</v>
      </c>
      <c r="E10" s="171">
        <v>46030</v>
      </c>
      <c r="F10" s="171">
        <v>46112</v>
      </c>
      <c r="H10" s="169">
        <v>4015924</v>
      </c>
      <c r="I10" s="169">
        <v>4015922</v>
      </c>
      <c r="J10" s="169">
        <v>4017424</v>
      </c>
      <c r="K10" s="169">
        <v>4017419</v>
      </c>
      <c r="L10" s="169">
        <v>4017414</v>
      </c>
      <c r="M10" s="169">
        <v>4017339</v>
      </c>
      <c r="N10" s="172"/>
      <c r="O10" s="173"/>
      <c r="P10" s="173"/>
      <c r="Q10" s="173"/>
      <c r="R10" s="173"/>
      <c r="S10" s="173"/>
      <c r="T10" s="173"/>
      <c r="U10" s="173"/>
      <c r="V10" s="173"/>
      <c r="X10" s="175">
        <v>4017223</v>
      </c>
      <c r="Y10" s="176" t="s">
        <v>1230</v>
      </c>
      <c r="Z10" s="176" t="s">
        <v>1231</v>
      </c>
      <c r="AA10" s="177">
        <v>999</v>
      </c>
    </row>
    <row r="11" spans="1:27" s="11" customFormat="1">
      <c r="A11" s="168" t="s">
        <v>1264</v>
      </c>
      <c r="B11" s="169">
        <v>4016977</v>
      </c>
      <c r="C11" s="170" t="s">
        <v>765</v>
      </c>
      <c r="D11" s="170" t="s">
        <v>769</v>
      </c>
      <c r="E11" s="171">
        <v>46030</v>
      </c>
      <c r="F11" s="171">
        <v>46112</v>
      </c>
      <c r="H11" s="169">
        <v>4015924</v>
      </c>
      <c r="I11" s="169">
        <v>4015922</v>
      </c>
      <c r="J11" s="169">
        <v>4017424</v>
      </c>
      <c r="K11" s="169">
        <v>4017419</v>
      </c>
      <c r="L11" s="169">
        <v>4017414</v>
      </c>
      <c r="M11" s="169">
        <v>4017339</v>
      </c>
      <c r="N11" s="172"/>
      <c r="O11" s="173"/>
      <c r="P11" s="173"/>
      <c r="Q11" s="173"/>
      <c r="R11" s="173"/>
      <c r="S11" s="173"/>
      <c r="T11" s="173"/>
      <c r="U11" s="173"/>
      <c r="V11" s="173"/>
      <c r="X11" s="169"/>
      <c r="Y11" s="170"/>
      <c r="Z11" s="170"/>
      <c r="AA11" s="174"/>
    </row>
    <row r="12" spans="1:27" s="11" customFormat="1">
      <c r="A12" s="168" t="s">
        <v>1264</v>
      </c>
      <c r="B12" s="169">
        <v>4016993</v>
      </c>
      <c r="C12" s="170" t="s">
        <v>765</v>
      </c>
      <c r="D12" s="170" t="s">
        <v>770</v>
      </c>
      <c r="E12" s="171">
        <v>46030</v>
      </c>
      <c r="F12" s="171">
        <v>46112</v>
      </c>
      <c r="H12" s="169">
        <v>4015924</v>
      </c>
      <c r="I12" s="169">
        <v>4015922</v>
      </c>
      <c r="J12" s="169">
        <v>4017424</v>
      </c>
      <c r="K12" s="169">
        <v>4017419</v>
      </c>
      <c r="L12" s="169">
        <v>4017414</v>
      </c>
      <c r="M12" s="169">
        <v>4017339</v>
      </c>
      <c r="N12" s="172"/>
      <c r="O12" s="173"/>
      <c r="P12" s="173"/>
      <c r="Q12" s="173"/>
      <c r="R12" s="173"/>
      <c r="S12" s="173"/>
      <c r="T12" s="173"/>
      <c r="U12" s="173"/>
      <c r="V12" s="173"/>
      <c r="X12" s="169"/>
      <c r="Y12" s="170"/>
      <c r="Z12" s="170"/>
      <c r="AA12" s="174"/>
    </row>
    <row r="13" spans="1:27" s="11" customFormat="1">
      <c r="A13" s="168" t="s">
        <v>1264</v>
      </c>
      <c r="B13" s="169">
        <v>4017064</v>
      </c>
      <c r="C13" s="170" t="s">
        <v>765</v>
      </c>
      <c r="D13" s="170" t="s">
        <v>771</v>
      </c>
      <c r="E13" s="171">
        <v>46030</v>
      </c>
      <c r="F13" s="171">
        <v>46112</v>
      </c>
      <c r="H13" s="169">
        <v>4015924</v>
      </c>
      <c r="I13" s="169">
        <v>4015922</v>
      </c>
      <c r="J13" s="169">
        <v>4017424</v>
      </c>
      <c r="K13" s="169">
        <v>4017419</v>
      </c>
      <c r="L13" s="169">
        <v>4017414</v>
      </c>
      <c r="M13" s="169">
        <v>4017339</v>
      </c>
      <c r="N13" s="172"/>
      <c r="O13" s="173"/>
      <c r="P13" s="173"/>
      <c r="Q13" s="173"/>
      <c r="R13" s="173"/>
      <c r="S13" s="173"/>
      <c r="T13" s="173"/>
      <c r="U13" s="173"/>
      <c r="V13" s="173"/>
      <c r="X13" s="169"/>
      <c r="Y13" s="170"/>
      <c r="Z13" s="170"/>
      <c r="AA13" s="178"/>
    </row>
    <row r="14" spans="1:27" s="11" customFormat="1">
      <c r="A14" s="168" t="s">
        <v>1264</v>
      </c>
      <c r="B14" s="169">
        <v>4015935</v>
      </c>
      <c r="C14" s="170" t="s">
        <v>717</v>
      </c>
      <c r="D14" s="170" t="s">
        <v>718</v>
      </c>
      <c r="E14" s="171">
        <v>46030</v>
      </c>
      <c r="F14" s="171">
        <v>46112</v>
      </c>
      <c r="H14" s="169">
        <v>4015924</v>
      </c>
      <c r="I14" s="169">
        <v>4015922</v>
      </c>
      <c r="J14" s="169">
        <v>4017424</v>
      </c>
      <c r="K14" s="169">
        <v>4017419</v>
      </c>
      <c r="L14" s="169">
        <v>4017414</v>
      </c>
      <c r="M14" s="179"/>
      <c r="N14" s="172"/>
      <c r="O14" s="173"/>
      <c r="P14" s="173"/>
      <c r="Q14" s="173"/>
      <c r="R14" s="173"/>
      <c r="S14" s="173"/>
      <c r="T14" s="173"/>
      <c r="U14" s="173"/>
      <c r="V14" s="173"/>
      <c r="X14" s="169"/>
      <c r="Y14" s="170"/>
      <c r="Z14" s="170"/>
      <c r="AA14" s="178"/>
    </row>
    <row r="15" spans="1:27" s="11" customFormat="1">
      <c r="A15" s="168" t="s">
        <v>1264</v>
      </c>
      <c r="B15" s="169">
        <v>4016155</v>
      </c>
      <c r="C15" s="170" t="s">
        <v>717</v>
      </c>
      <c r="D15" s="170" t="s">
        <v>719</v>
      </c>
      <c r="E15" s="171">
        <v>46030</v>
      </c>
      <c r="F15" s="171">
        <v>46112</v>
      </c>
      <c r="H15" s="169">
        <v>4015924</v>
      </c>
      <c r="I15" s="169">
        <v>4015922</v>
      </c>
      <c r="J15" s="169">
        <v>4017424</v>
      </c>
      <c r="K15" s="169">
        <v>4017419</v>
      </c>
      <c r="L15" s="169">
        <v>4017414</v>
      </c>
      <c r="M15" s="179"/>
      <c r="N15" s="172"/>
      <c r="O15" s="173"/>
      <c r="P15" s="173"/>
      <c r="Q15" s="173"/>
      <c r="R15" s="173"/>
      <c r="S15" s="173"/>
      <c r="T15" s="173"/>
      <c r="U15" s="173"/>
      <c r="V15" s="173"/>
      <c r="X15" s="169"/>
      <c r="Y15" s="170"/>
      <c r="Z15" s="170"/>
      <c r="AA15" s="178"/>
    </row>
    <row r="16" spans="1:27" s="11" customFormat="1">
      <c r="A16" s="168" t="s">
        <v>1264</v>
      </c>
      <c r="B16" s="169">
        <v>4015939</v>
      </c>
      <c r="C16" s="170" t="s">
        <v>717</v>
      </c>
      <c r="D16" s="170" t="s">
        <v>720</v>
      </c>
      <c r="E16" s="171">
        <v>46030</v>
      </c>
      <c r="F16" s="171">
        <v>46112</v>
      </c>
      <c r="H16" s="169">
        <v>4015924</v>
      </c>
      <c r="I16" s="169">
        <v>4015922</v>
      </c>
      <c r="J16" s="169">
        <v>4017424</v>
      </c>
      <c r="K16" s="169">
        <v>4017419</v>
      </c>
      <c r="L16" s="169">
        <v>4017414</v>
      </c>
      <c r="M16" s="179"/>
      <c r="N16" s="172"/>
      <c r="O16" s="179"/>
      <c r="P16" s="179"/>
      <c r="Q16" s="179"/>
      <c r="R16" s="179"/>
      <c r="S16" s="169"/>
      <c r="T16" s="169"/>
      <c r="U16" s="173"/>
      <c r="V16" s="173"/>
      <c r="X16" s="169"/>
      <c r="Y16" s="170"/>
      <c r="Z16" s="170"/>
      <c r="AA16" s="178"/>
    </row>
    <row r="17" spans="1:27" s="11" customFormat="1">
      <c r="A17" s="168" t="s">
        <v>1264</v>
      </c>
      <c r="B17" s="169">
        <v>4016152</v>
      </c>
      <c r="C17" s="170" t="s">
        <v>717</v>
      </c>
      <c r="D17" s="170" t="s">
        <v>721</v>
      </c>
      <c r="E17" s="171">
        <v>46030</v>
      </c>
      <c r="F17" s="171">
        <v>46112</v>
      </c>
      <c r="H17" s="169">
        <v>4015924</v>
      </c>
      <c r="I17" s="169">
        <v>4015922</v>
      </c>
      <c r="J17" s="169">
        <v>4017424</v>
      </c>
      <c r="K17" s="169">
        <v>4017419</v>
      </c>
      <c r="L17" s="169">
        <v>4017414</v>
      </c>
      <c r="M17" s="179"/>
      <c r="N17" s="172"/>
      <c r="O17" s="179"/>
      <c r="P17" s="179"/>
      <c r="Q17" s="179"/>
      <c r="R17" s="179"/>
      <c r="S17" s="169"/>
      <c r="T17" s="169"/>
      <c r="U17" s="173"/>
      <c r="V17" s="173"/>
      <c r="X17" s="169"/>
      <c r="Y17" s="170"/>
      <c r="Z17" s="170"/>
      <c r="AA17" s="178"/>
    </row>
    <row r="18" spans="1:27" s="11" customFormat="1">
      <c r="A18" s="168" t="s">
        <v>1264</v>
      </c>
      <c r="B18" s="169">
        <v>4016159</v>
      </c>
      <c r="C18" s="170" t="s">
        <v>717</v>
      </c>
      <c r="D18" s="170" t="s">
        <v>722</v>
      </c>
      <c r="E18" s="171">
        <v>46030</v>
      </c>
      <c r="F18" s="171">
        <v>46112</v>
      </c>
      <c r="H18" s="169">
        <v>4015924</v>
      </c>
      <c r="I18" s="169">
        <v>4015922</v>
      </c>
      <c r="J18" s="169">
        <v>4017424</v>
      </c>
      <c r="K18" s="169">
        <v>4017419</v>
      </c>
      <c r="L18" s="169">
        <v>4017414</v>
      </c>
      <c r="M18" s="179"/>
      <c r="N18" s="172"/>
      <c r="O18" s="179"/>
      <c r="P18" s="179"/>
      <c r="Q18" s="179"/>
      <c r="R18" s="179"/>
      <c r="S18" s="169"/>
      <c r="T18" s="169"/>
      <c r="U18" s="173"/>
      <c r="V18" s="173"/>
      <c r="X18" s="169"/>
      <c r="Y18" s="170"/>
      <c r="Z18" s="170"/>
      <c r="AA18" s="178"/>
    </row>
    <row r="19" spans="1:27" s="11" customFormat="1">
      <c r="A19" s="168" t="s">
        <v>1264</v>
      </c>
      <c r="B19" s="169">
        <v>4016147</v>
      </c>
      <c r="C19" s="170" t="s">
        <v>717</v>
      </c>
      <c r="D19" s="170" t="s">
        <v>723</v>
      </c>
      <c r="E19" s="171">
        <v>46030</v>
      </c>
      <c r="F19" s="171">
        <v>46112</v>
      </c>
      <c r="H19" s="169">
        <v>4015924</v>
      </c>
      <c r="I19" s="169">
        <v>4015922</v>
      </c>
      <c r="J19" s="169">
        <v>4017424</v>
      </c>
      <c r="K19" s="169">
        <v>4017419</v>
      </c>
      <c r="L19" s="169">
        <v>4017414</v>
      </c>
      <c r="M19" s="179"/>
      <c r="N19" s="172"/>
      <c r="O19" s="179"/>
      <c r="P19" s="179"/>
      <c r="Q19" s="179"/>
      <c r="R19" s="179"/>
      <c r="S19" s="169"/>
      <c r="T19" s="169"/>
      <c r="U19" s="173"/>
      <c r="V19" s="173"/>
      <c r="X19" s="169"/>
      <c r="Y19" s="170"/>
      <c r="Z19" s="170"/>
      <c r="AA19" s="178"/>
    </row>
    <row r="20" spans="1:27" s="11" customFormat="1">
      <c r="A20" s="168" t="s">
        <v>1264</v>
      </c>
      <c r="B20" s="169">
        <v>4016974</v>
      </c>
      <c r="C20" s="170" t="s">
        <v>724</v>
      </c>
      <c r="D20" s="170" t="s">
        <v>725</v>
      </c>
      <c r="E20" s="171">
        <v>46030</v>
      </c>
      <c r="F20" s="171">
        <v>46112</v>
      </c>
      <c r="H20" s="169">
        <v>4015924</v>
      </c>
      <c r="I20" s="169">
        <v>4015922</v>
      </c>
      <c r="J20" s="169">
        <v>4017424</v>
      </c>
      <c r="K20" s="169">
        <v>4017419</v>
      </c>
      <c r="L20" s="169">
        <v>4017414</v>
      </c>
      <c r="M20" s="169">
        <v>4017339</v>
      </c>
      <c r="N20" s="172"/>
      <c r="O20" s="179"/>
      <c r="P20" s="179"/>
      <c r="Q20" s="179"/>
      <c r="R20" s="179"/>
      <c r="S20" s="169"/>
      <c r="T20" s="169"/>
      <c r="U20" s="173"/>
      <c r="V20" s="173"/>
      <c r="X20" s="169"/>
      <c r="Y20" s="170"/>
      <c r="Z20" s="170"/>
      <c r="AA20" s="178"/>
    </row>
    <row r="21" spans="1:27" s="11" customFormat="1">
      <c r="A21" s="168" t="s">
        <v>1264</v>
      </c>
      <c r="B21" s="169">
        <v>4016989</v>
      </c>
      <c r="C21" s="170" t="s">
        <v>724</v>
      </c>
      <c r="D21" s="170" t="s">
        <v>726</v>
      </c>
      <c r="E21" s="171">
        <v>46030</v>
      </c>
      <c r="F21" s="171">
        <v>46112</v>
      </c>
      <c r="H21" s="169">
        <v>4015924</v>
      </c>
      <c r="I21" s="169">
        <v>4015922</v>
      </c>
      <c r="J21" s="169">
        <v>4017424</v>
      </c>
      <c r="K21" s="169">
        <v>4017419</v>
      </c>
      <c r="L21" s="169">
        <v>4017414</v>
      </c>
      <c r="M21" s="169">
        <v>4017339</v>
      </c>
      <c r="N21" s="172"/>
      <c r="O21" s="179"/>
      <c r="P21" s="179"/>
      <c r="Q21" s="179"/>
      <c r="R21" s="179"/>
      <c r="S21" s="169"/>
      <c r="T21" s="169"/>
      <c r="U21" s="173"/>
      <c r="V21" s="173"/>
      <c r="X21" s="169"/>
      <c r="Y21" s="170"/>
      <c r="Z21" s="170"/>
      <c r="AA21" s="178"/>
    </row>
    <row r="22" spans="1:27" s="11" customFormat="1">
      <c r="A22" s="168" t="s">
        <v>1264</v>
      </c>
      <c r="B22" s="169">
        <v>4016978</v>
      </c>
      <c r="C22" s="170" t="s">
        <v>724</v>
      </c>
      <c r="D22" s="170" t="s">
        <v>727</v>
      </c>
      <c r="E22" s="171">
        <v>46030</v>
      </c>
      <c r="F22" s="171">
        <v>46112</v>
      </c>
      <c r="H22" s="169">
        <v>4015924</v>
      </c>
      <c r="I22" s="169">
        <v>4015922</v>
      </c>
      <c r="J22" s="169">
        <v>4017424</v>
      </c>
      <c r="K22" s="169">
        <v>4017419</v>
      </c>
      <c r="L22" s="169">
        <v>4017414</v>
      </c>
      <c r="M22" s="169">
        <v>4017339</v>
      </c>
      <c r="N22" s="172"/>
      <c r="O22" s="173"/>
      <c r="P22" s="173"/>
      <c r="Q22" s="173"/>
      <c r="R22" s="173"/>
      <c r="S22" s="173"/>
      <c r="T22" s="173"/>
      <c r="U22" s="173"/>
      <c r="V22" s="173"/>
      <c r="X22" s="169"/>
      <c r="Y22" s="170"/>
      <c r="Z22" s="170"/>
      <c r="AA22" s="178"/>
    </row>
    <row r="23" spans="1:27" s="11" customFormat="1">
      <c r="A23" s="168" t="s">
        <v>1264</v>
      </c>
      <c r="B23" s="169">
        <v>4016994</v>
      </c>
      <c r="C23" s="170" t="s">
        <v>724</v>
      </c>
      <c r="D23" s="170" t="s">
        <v>728</v>
      </c>
      <c r="E23" s="171">
        <v>46030</v>
      </c>
      <c r="F23" s="171">
        <v>46112</v>
      </c>
      <c r="H23" s="169">
        <v>4015924</v>
      </c>
      <c r="I23" s="169">
        <v>4015922</v>
      </c>
      <c r="J23" s="169">
        <v>4017424</v>
      </c>
      <c r="K23" s="169">
        <v>4017419</v>
      </c>
      <c r="L23" s="169">
        <v>4017414</v>
      </c>
      <c r="M23" s="169">
        <v>4017339</v>
      </c>
      <c r="N23" s="172"/>
      <c r="O23" s="173"/>
      <c r="P23" s="173"/>
      <c r="Q23" s="173"/>
      <c r="R23" s="173"/>
      <c r="S23" s="173"/>
      <c r="T23" s="173"/>
      <c r="U23" s="173"/>
      <c r="V23" s="173"/>
      <c r="X23" s="169"/>
      <c r="Y23" s="170"/>
      <c r="Z23" s="170"/>
      <c r="AA23" s="178"/>
    </row>
    <row r="24" spans="1:27" s="11" customFormat="1">
      <c r="A24" s="168" t="s">
        <v>1264</v>
      </c>
      <c r="B24" s="169">
        <v>4017060</v>
      </c>
      <c r="C24" s="170" t="s">
        <v>724</v>
      </c>
      <c r="D24" s="170" t="s">
        <v>729</v>
      </c>
      <c r="E24" s="171">
        <v>46030</v>
      </c>
      <c r="F24" s="171">
        <v>46112</v>
      </c>
      <c r="H24" s="169">
        <v>4015924</v>
      </c>
      <c r="I24" s="169">
        <v>4015922</v>
      </c>
      <c r="J24" s="169">
        <v>4017424</v>
      </c>
      <c r="K24" s="169">
        <v>4017419</v>
      </c>
      <c r="L24" s="169">
        <v>4017414</v>
      </c>
      <c r="M24" s="169">
        <v>4017339</v>
      </c>
      <c r="N24" s="172"/>
      <c r="O24" s="173"/>
      <c r="P24" s="173"/>
      <c r="Q24" s="173"/>
      <c r="R24" s="173"/>
      <c r="S24" s="173"/>
      <c r="T24" s="173"/>
      <c r="U24" s="173"/>
      <c r="V24" s="173"/>
      <c r="X24" s="169"/>
      <c r="Y24" s="170"/>
      <c r="Z24" s="170"/>
      <c r="AA24" s="178"/>
    </row>
    <row r="25" spans="1:27" s="11" customFormat="1">
      <c r="A25" s="168" t="s">
        <v>1264</v>
      </c>
      <c r="B25" s="169">
        <v>4017063</v>
      </c>
      <c r="C25" s="170" t="s">
        <v>724</v>
      </c>
      <c r="D25" s="170" t="s">
        <v>730</v>
      </c>
      <c r="E25" s="171">
        <v>46030</v>
      </c>
      <c r="F25" s="171">
        <v>46112</v>
      </c>
      <c r="H25" s="169">
        <v>4015924</v>
      </c>
      <c r="I25" s="169">
        <v>4015922</v>
      </c>
      <c r="J25" s="169">
        <v>4017424</v>
      </c>
      <c r="K25" s="169">
        <v>4017419</v>
      </c>
      <c r="L25" s="169">
        <v>4017414</v>
      </c>
      <c r="M25" s="169">
        <v>4017339</v>
      </c>
      <c r="N25" s="172"/>
      <c r="O25" s="173"/>
      <c r="P25" s="173"/>
      <c r="Q25" s="173"/>
      <c r="R25" s="173"/>
      <c r="S25" s="173"/>
      <c r="T25" s="173"/>
      <c r="U25" s="173"/>
      <c r="V25" s="173"/>
      <c r="X25" s="169"/>
      <c r="Y25" s="170"/>
      <c r="Z25" s="170"/>
      <c r="AA25" s="178"/>
    </row>
    <row r="26" spans="1:27" s="11" customFormat="1">
      <c r="A26" s="168" t="s">
        <v>1265</v>
      </c>
      <c r="B26" s="169">
        <v>4017357</v>
      </c>
      <c r="C26" s="170" t="s">
        <v>637</v>
      </c>
      <c r="D26" s="170" t="s">
        <v>638</v>
      </c>
      <c r="E26" s="171">
        <v>46030</v>
      </c>
      <c r="F26" s="171">
        <v>46112</v>
      </c>
      <c r="H26" s="169">
        <v>4017339</v>
      </c>
      <c r="I26" s="179"/>
      <c r="J26" s="179"/>
      <c r="K26" s="179"/>
      <c r="L26" s="172"/>
      <c r="M26" s="172"/>
      <c r="N26" s="172"/>
      <c r="O26" s="173"/>
      <c r="P26" s="173"/>
      <c r="Q26" s="173"/>
      <c r="R26" s="173"/>
      <c r="S26" s="173"/>
      <c r="T26" s="173"/>
      <c r="U26" s="173"/>
      <c r="V26" s="173"/>
      <c r="X26" s="169"/>
      <c r="Y26" s="170"/>
      <c r="Z26" s="170"/>
      <c r="AA26" s="178"/>
    </row>
    <row r="27" spans="1:27" s="11" customFormat="1">
      <c r="A27" s="168" t="s">
        <v>1265</v>
      </c>
      <c r="B27" s="169">
        <v>4017377</v>
      </c>
      <c r="C27" s="170" t="s">
        <v>637</v>
      </c>
      <c r="D27" s="170" t="s">
        <v>639</v>
      </c>
      <c r="E27" s="171">
        <v>46030</v>
      </c>
      <c r="F27" s="171">
        <v>46112</v>
      </c>
      <c r="H27" s="169">
        <v>4017339</v>
      </c>
      <c r="I27" s="179"/>
      <c r="J27" s="179"/>
      <c r="K27" s="179"/>
      <c r="L27" s="172"/>
      <c r="M27" s="172"/>
      <c r="N27" s="172"/>
      <c r="O27" s="173"/>
      <c r="P27" s="173"/>
      <c r="Q27" s="173"/>
      <c r="R27" s="173"/>
      <c r="S27" s="173"/>
      <c r="T27" s="173"/>
      <c r="U27" s="173"/>
      <c r="V27" s="173"/>
      <c r="X27" s="169"/>
      <c r="Y27" s="170"/>
      <c r="Z27" s="170"/>
      <c r="AA27" s="178"/>
    </row>
    <row r="28" spans="1:27" s="11" customFormat="1">
      <c r="A28" s="168" t="s">
        <v>1265</v>
      </c>
      <c r="B28" s="169">
        <v>4017363</v>
      </c>
      <c r="C28" s="170" t="s">
        <v>637</v>
      </c>
      <c r="D28" s="170" t="s">
        <v>640</v>
      </c>
      <c r="E28" s="171">
        <v>46030</v>
      </c>
      <c r="F28" s="171">
        <v>46112</v>
      </c>
      <c r="H28" s="169">
        <v>4017339</v>
      </c>
      <c r="I28" s="179"/>
      <c r="J28" s="179"/>
      <c r="K28" s="179"/>
      <c r="L28" s="172"/>
      <c r="M28" s="172"/>
      <c r="N28" s="172"/>
      <c r="O28" s="173"/>
      <c r="P28" s="173"/>
      <c r="Q28" s="173"/>
      <c r="R28" s="173"/>
      <c r="S28" s="173"/>
      <c r="T28" s="173"/>
      <c r="U28" s="173"/>
      <c r="V28" s="173"/>
      <c r="X28" s="169"/>
      <c r="Y28" s="170"/>
      <c r="Z28" s="170"/>
      <c r="AA28" s="178"/>
    </row>
    <row r="29" spans="1:27" s="11" customFormat="1">
      <c r="A29" s="168" t="s">
        <v>1265</v>
      </c>
      <c r="B29" s="169">
        <v>4017383</v>
      </c>
      <c r="C29" s="170" t="s">
        <v>637</v>
      </c>
      <c r="D29" s="170" t="s">
        <v>641</v>
      </c>
      <c r="E29" s="171">
        <v>46030</v>
      </c>
      <c r="F29" s="171">
        <v>46112</v>
      </c>
      <c r="H29" s="169">
        <v>4017339</v>
      </c>
      <c r="I29" s="179"/>
      <c r="J29" s="179"/>
      <c r="K29" s="179"/>
      <c r="L29" s="172"/>
      <c r="M29" s="172"/>
      <c r="N29" s="172"/>
      <c r="O29" s="173"/>
      <c r="P29" s="173"/>
      <c r="Q29" s="173"/>
      <c r="R29" s="173"/>
      <c r="S29" s="173"/>
      <c r="T29" s="173"/>
      <c r="U29" s="173"/>
      <c r="V29" s="173"/>
      <c r="X29" s="169"/>
      <c r="Y29" s="170"/>
      <c r="Z29" s="170"/>
      <c r="AA29" s="178"/>
    </row>
    <row r="30" spans="1:27" s="11" customFormat="1">
      <c r="A30" s="168" t="s">
        <v>1265</v>
      </c>
      <c r="B30" s="169">
        <v>4017358</v>
      </c>
      <c r="C30" s="170" t="s">
        <v>642</v>
      </c>
      <c r="D30" s="170" t="s">
        <v>643</v>
      </c>
      <c r="E30" s="171">
        <v>46030</v>
      </c>
      <c r="F30" s="171">
        <v>46112</v>
      </c>
      <c r="H30" s="169">
        <v>4017339</v>
      </c>
      <c r="I30" s="179"/>
      <c r="J30" s="179"/>
      <c r="K30" s="179"/>
      <c r="L30" s="172"/>
      <c r="M30" s="172"/>
      <c r="N30" s="172"/>
      <c r="O30" s="173"/>
      <c r="P30" s="173"/>
      <c r="Q30" s="173"/>
      <c r="R30" s="173"/>
      <c r="S30" s="173"/>
      <c r="T30" s="173"/>
      <c r="U30" s="173"/>
      <c r="V30" s="173"/>
      <c r="X30" s="169"/>
      <c r="Y30" s="170"/>
      <c r="Z30" s="170"/>
      <c r="AA30" s="170"/>
    </row>
    <row r="31" spans="1:27" s="11" customFormat="1">
      <c r="A31" s="168" t="s">
        <v>1265</v>
      </c>
      <c r="B31" s="169">
        <v>4017365</v>
      </c>
      <c r="C31" s="170" t="s">
        <v>642</v>
      </c>
      <c r="D31" s="170" t="s">
        <v>644</v>
      </c>
      <c r="E31" s="171">
        <v>46030</v>
      </c>
      <c r="F31" s="171">
        <v>46112</v>
      </c>
      <c r="H31" s="169">
        <v>4017339</v>
      </c>
      <c r="I31" s="179"/>
      <c r="J31" s="179"/>
      <c r="K31" s="179"/>
      <c r="L31" s="172"/>
      <c r="M31" s="172"/>
      <c r="N31" s="172"/>
      <c r="O31" s="173"/>
      <c r="P31" s="173"/>
      <c r="Q31" s="173"/>
      <c r="R31" s="173"/>
      <c r="S31" s="173"/>
      <c r="T31" s="173"/>
      <c r="U31" s="173"/>
      <c r="V31" s="173"/>
      <c r="X31" s="169"/>
      <c r="Y31" s="170"/>
      <c r="Z31" s="170"/>
      <c r="AA31" s="170"/>
    </row>
    <row r="32" spans="1:27" s="11" customFormat="1">
      <c r="A32" s="168" t="s">
        <v>1265</v>
      </c>
      <c r="B32" s="169">
        <v>4017378</v>
      </c>
      <c r="C32" s="170" t="s">
        <v>642</v>
      </c>
      <c r="D32" s="170" t="s">
        <v>645</v>
      </c>
      <c r="E32" s="171">
        <v>46030</v>
      </c>
      <c r="F32" s="171">
        <v>46112</v>
      </c>
      <c r="H32" s="169">
        <v>4017339</v>
      </c>
      <c r="I32" s="179"/>
      <c r="J32" s="179"/>
      <c r="K32" s="179"/>
      <c r="L32" s="172"/>
      <c r="M32" s="172"/>
      <c r="N32" s="172"/>
      <c r="O32" s="173"/>
      <c r="P32" s="173"/>
      <c r="Q32" s="173"/>
      <c r="R32" s="173"/>
      <c r="S32" s="173"/>
      <c r="T32" s="173"/>
      <c r="U32" s="173"/>
      <c r="V32" s="173"/>
      <c r="X32" s="169"/>
      <c r="Y32" s="170"/>
      <c r="Z32" s="170"/>
      <c r="AA32" s="170"/>
    </row>
    <row r="33" spans="1:27" s="11" customFormat="1">
      <c r="A33" s="168" t="s">
        <v>1265</v>
      </c>
      <c r="B33" s="169">
        <v>4017384</v>
      </c>
      <c r="C33" s="170" t="s">
        <v>642</v>
      </c>
      <c r="D33" s="170" t="s">
        <v>646</v>
      </c>
      <c r="E33" s="171">
        <v>46030</v>
      </c>
      <c r="F33" s="171">
        <v>46112</v>
      </c>
      <c r="H33" s="169">
        <v>4017339</v>
      </c>
      <c r="I33" s="179"/>
      <c r="J33" s="179"/>
      <c r="K33" s="179"/>
      <c r="L33" s="172"/>
      <c r="M33" s="172"/>
      <c r="N33" s="172"/>
      <c r="O33" s="173"/>
      <c r="P33" s="173"/>
      <c r="Q33" s="173"/>
      <c r="R33" s="173"/>
      <c r="S33" s="173"/>
      <c r="T33" s="173"/>
      <c r="U33" s="173"/>
      <c r="V33" s="173"/>
      <c r="X33" s="169"/>
      <c r="Y33" s="170"/>
      <c r="Z33" s="170"/>
      <c r="AA33" s="170"/>
    </row>
    <row r="34" spans="1:27" s="11" customFormat="1">
      <c r="A34" s="168" t="s">
        <v>1265</v>
      </c>
      <c r="B34" s="169">
        <v>4017371</v>
      </c>
      <c r="C34" s="170" t="s">
        <v>642</v>
      </c>
      <c r="D34" s="170" t="s">
        <v>647</v>
      </c>
      <c r="E34" s="171">
        <v>46030</v>
      </c>
      <c r="F34" s="171">
        <v>46112</v>
      </c>
      <c r="H34" s="169">
        <v>4017339</v>
      </c>
      <c r="I34" s="179"/>
      <c r="J34" s="179"/>
      <c r="K34" s="179"/>
      <c r="L34" s="172"/>
      <c r="M34" s="172"/>
      <c r="N34" s="172"/>
      <c r="O34" s="173"/>
      <c r="P34" s="173"/>
      <c r="Q34" s="173"/>
      <c r="R34" s="173"/>
      <c r="S34" s="173"/>
      <c r="T34" s="173"/>
      <c r="U34" s="173"/>
      <c r="V34" s="173"/>
      <c r="X34" s="169"/>
      <c r="Y34" s="170"/>
      <c r="Z34" s="170"/>
      <c r="AA34" s="170"/>
    </row>
    <row r="35" spans="1:27" s="11" customFormat="1">
      <c r="A35" s="168" t="s">
        <v>1265</v>
      </c>
      <c r="B35" s="169">
        <v>4017350</v>
      </c>
      <c r="C35" s="170" t="s">
        <v>642</v>
      </c>
      <c r="D35" s="170" t="s">
        <v>648</v>
      </c>
      <c r="E35" s="171">
        <v>46030</v>
      </c>
      <c r="F35" s="171">
        <v>46112</v>
      </c>
      <c r="H35" s="169">
        <v>4017339</v>
      </c>
      <c r="I35" s="179"/>
      <c r="J35" s="179"/>
      <c r="K35" s="179"/>
      <c r="L35" s="172"/>
      <c r="M35" s="172"/>
      <c r="N35" s="172"/>
      <c r="O35" s="173"/>
      <c r="P35" s="173"/>
      <c r="Q35" s="173"/>
      <c r="R35" s="173"/>
      <c r="S35" s="173"/>
      <c r="T35" s="173"/>
      <c r="U35" s="173"/>
      <c r="V35" s="173"/>
      <c r="X35" s="169"/>
      <c r="Y35" s="170"/>
      <c r="Z35" s="170"/>
      <c r="AA35" s="170"/>
    </row>
    <row r="36" spans="1:27" s="11" customFormat="1">
      <c r="A36" s="168" t="s">
        <v>1265</v>
      </c>
      <c r="B36" s="169">
        <v>4017360</v>
      </c>
      <c r="C36" s="170" t="s">
        <v>642</v>
      </c>
      <c r="D36" s="170" t="s">
        <v>649</v>
      </c>
      <c r="E36" s="171">
        <v>46030</v>
      </c>
      <c r="F36" s="171">
        <v>46112</v>
      </c>
      <c r="H36" s="169">
        <v>4017339</v>
      </c>
      <c r="I36" s="179"/>
      <c r="J36" s="179"/>
      <c r="K36" s="179"/>
      <c r="L36" s="172"/>
      <c r="M36" s="172"/>
      <c r="N36" s="172"/>
      <c r="O36" s="173"/>
      <c r="P36" s="173"/>
      <c r="Q36" s="173"/>
      <c r="R36" s="173"/>
      <c r="S36" s="173"/>
      <c r="T36" s="173"/>
      <c r="U36" s="173"/>
      <c r="V36" s="173"/>
      <c r="X36" s="169"/>
      <c r="Y36" s="170"/>
      <c r="Z36" s="170"/>
      <c r="AA36" s="170"/>
    </row>
    <row r="37" spans="1:27" s="11" customFormat="1">
      <c r="A37" s="168" t="s">
        <v>1265</v>
      </c>
      <c r="B37" s="169">
        <v>4017359</v>
      </c>
      <c r="C37" s="170" t="s">
        <v>651</v>
      </c>
      <c r="D37" s="170" t="s">
        <v>652</v>
      </c>
      <c r="E37" s="171">
        <v>46030</v>
      </c>
      <c r="F37" s="171">
        <v>46112</v>
      </c>
      <c r="H37" s="169">
        <v>4017339</v>
      </c>
      <c r="I37" s="179"/>
      <c r="J37" s="179"/>
      <c r="K37" s="179"/>
      <c r="L37" s="172"/>
      <c r="M37" s="172"/>
      <c r="N37" s="172"/>
      <c r="O37" s="173"/>
      <c r="P37" s="173"/>
      <c r="Q37" s="173"/>
      <c r="R37" s="173"/>
      <c r="S37" s="173"/>
      <c r="T37" s="173"/>
      <c r="U37" s="173"/>
      <c r="V37" s="173"/>
      <c r="X37" s="169"/>
      <c r="Y37" s="170"/>
      <c r="Z37" s="170"/>
      <c r="AA37" s="170"/>
    </row>
    <row r="38" spans="1:27" s="11" customFormat="1">
      <c r="A38" s="168" t="s">
        <v>1265</v>
      </c>
      <c r="B38" s="169">
        <v>4017366</v>
      </c>
      <c r="C38" s="170" t="s">
        <v>651</v>
      </c>
      <c r="D38" s="170" t="s">
        <v>653</v>
      </c>
      <c r="E38" s="171">
        <v>46030</v>
      </c>
      <c r="F38" s="171">
        <v>46112</v>
      </c>
      <c r="H38" s="169">
        <v>4017339</v>
      </c>
      <c r="I38" s="179"/>
      <c r="J38" s="179"/>
      <c r="K38" s="179"/>
      <c r="L38" s="172"/>
      <c r="M38" s="172"/>
      <c r="N38" s="172"/>
      <c r="O38" s="173"/>
      <c r="P38" s="173"/>
      <c r="Q38" s="173"/>
      <c r="R38" s="173"/>
      <c r="S38" s="173"/>
      <c r="T38" s="173"/>
      <c r="U38" s="173"/>
      <c r="V38" s="173"/>
      <c r="X38" s="169"/>
      <c r="Y38" s="170"/>
      <c r="Z38" s="170"/>
      <c r="AA38" s="170"/>
    </row>
    <row r="39" spans="1:27" s="11" customFormat="1">
      <c r="A39" s="168" t="s">
        <v>1265</v>
      </c>
      <c r="B39" s="169">
        <v>4017379</v>
      </c>
      <c r="C39" s="170" t="s">
        <v>651</v>
      </c>
      <c r="D39" s="170" t="s">
        <v>654</v>
      </c>
      <c r="E39" s="171">
        <v>46030</v>
      </c>
      <c r="F39" s="171">
        <v>46112</v>
      </c>
      <c r="H39" s="169">
        <v>4017339</v>
      </c>
      <c r="I39" s="179"/>
      <c r="J39" s="179"/>
      <c r="K39" s="179"/>
      <c r="L39" s="172"/>
      <c r="M39" s="172"/>
      <c r="N39" s="172"/>
      <c r="O39" s="173"/>
      <c r="P39" s="173"/>
      <c r="Q39" s="173"/>
      <c r="R39" s="173"/>
      <c r="S39" s="173"/>
      <c r="T39" s="173"/>
      <c r="U39" s="173"/>
      <c r="V39" s="173"/>
      <c r="X39" s="169"/>
      <c r="Y39" s="170"/>
      <c r="Z39" s="170"/>
      <c r="AA39" s="170"/>
    </row>
    <row r="40" spans="1:27" s="11" customFormat="1">
      <c r="A40" s="168" t="s">
        <v>1265</v>
      </c>
      <c r="B40" s="169">
        <v>4017385</v>
      </c>
      <c r="C40" s="170" t="s">
        <v>651</v>
      </c>
      <c r="D40" s="170" t="s">
        <v>655</v>
      </c>
      <c r="E40" s="171">
        <v>46030</v>
      </c>
      <c r="F40" s="171">
        <v>46112</v>
      </c>
      <c r="H40" s="169">
        <v>4017339</v>
      </c>
      <c r="I40" s="179"/>
      <c r="J40" s="179"/>
      <c r="K40" s="179"/>
      <c r="L40" s="172"/>
      <c r="M40" s="172"/>
      <c r="N40" s="172"/>
      <c r="O40" s="173"/>
      <c r="P40" s="173"/>
      <c r="Q40" s="173"/>
      <c r="R40" s="173"/>
      <c r="S40" s="173"/>
      <c r="T40" s="173"/>
      <c r="U40" s="173"/>
      <c r="V40" s="173"/>
      <c r="X40" s="169"/>
      <c r="Y40" s="170"/>
      <c r="Z40" s="170"/>
      <c r="AA40" s="170"/>
    </row>
    <row r="41" spans="1:27" s="11" customFormat="1">
      <c r="A41" s="168" t="s">
        <v>1266</v>
      </c>
      <c r="B41" s="175">
        <v>4017678</v>
      </c>
      <c r="C41" s="176" t="s">
        <v>994</v>
      </c>
      <c r="D41" s="176" t="s">
        <v>995</v>
      </c>
      <c r="E41" s="171">
        <v>46092</v>
      </c>
      <c r="F41" s="171">
        <v>46112</v>
      </c>
      <c r="H41" s="175">
        <v>4017227</v>
      </c>
      <c r="I41" s="175">
        <v>4017223</v>
      </c>
      <c r="J41" s="179"/>
      <c r="K41" s="179"/>
      <c r="L41" s="172"/>
      <c r="M41" s="172"/>
      <c r="N41" s="172"/>
      <c r="O41" s="173"/>
      <c r="P41" s="173"/>
      <c r="Q41" s="173"/>
      <c r="R41" s="173"/>
      <c r="S41" s="173"/>
      <c r="T41" s="173"/>
      <c r="U41" s="173"/>
      <c r="V41" s="173"/>
      <c r="X41" s="169"/>
      <c r="Y41" s="170"/>
      <c r="Z41" s="170"/>
      <c r="AA41" s="170"/>
    </row>
    <row r="42" spans="1:27" s="11" customFormat="1">
      <c r="A42" s="168" t="s">
        <v>1266</v>
      </c>
      <c r="B42" s="175">
        <v>4017679</v>
      </c>
      <c r="C42" s="176" t="s">
        <v>994</v>
      </c>
      <c r="D42" s="176" t="s">
        <v>996</v>
      </c>
      <c r="E42" s="171">
        <v>46092</v>
      </c>
      <c r="F42" s="171">
        <v>46112</v>
      </c>
      <c r="H42" s="175">
        <v>4017227</v>
      </c>
      <c r="I42" s="175">
        <v>4017223</v>
      </c>
      <c r="J42" s="179"/>
      <c r="K42" s="179"/>
      <c r="L42" s="172"/>
      <c r="M42" s="172"/>
      <c r="N42" s="172"/>
      <c r="O42" s="173"/>
      <c r="P42" s="173"/>
      <c r="Q42" s="173"/>
      <c r="R42" s="173"/>
      <c r="S42" s="173"/>
      <c r="T42" s="173"/>
      <c r="U42" s="173"/>
      <c r="V42" s="173"/>
      <c r="X42" s="169"/>
      <c r="Y42" s="170"/>
      <c r="Z42" s="170"/>
      <c r="AA42" s="170"/>
    </row>
    <row r="43" spans="1:27" s="11" customFormat="1">
      <c r="A43" s="168" t="s">
        <v>1266</v>
      </c>
      <c r="B43" s="175">
        <v>4017750</v>
      </c>
      <c r="C43" s="176" t="s">
        <v>994</v>
      </c>
      <c r="D43" s="176" t="s">
        <v>997</v>
      </c>
      <c r="E43" s="171">
        <v>46092</v>
      </c>
      <c r="F43" s="171">
        <v>46112</v>
      </c>
      <c r="H43" s="175">
        <v>4017227</v>
      </c>
      <c r="I43" s="175">
        <v>4017223</v>
      </c>
      <c r="J43" s="179"/>
      <c r="K43" s="179"/>
      <c r="L43" s="172"/>
      <c r="M43" s="172"/>
      <c r="N43" s="172"/>
      <c r="O43" s="173"/>
      <c r="P43" s="173"/>
      <c r="Q43" s="173"/>
      <c r="R43" s="173"/>
      <c r="S43" s="173"/>
      <c r="T43" s="173"/>
      <c r="U43" s="173"/>
      <c r="V43" s="173"/>
      <c r="X43" s="169"/>
      <c r="Y43" s="170"/>
      <c r="Z43" s="170"/>
      <c r="AA43" s="170"/>
    </row>
    <row r="44" spans="1:27" s="11" customFormat="1">
      <c r="A44" s="168" t="s">
        <v>1266</v>
      </c>
      <c r="B44" s="175">
        <v>4017751</v>
      </c>
      <c r="C44" s="176" t="s">
        <v>994</v>
      </c>
      <c r="D44" s="176" t="s">
        <v>998</v>
      </c>
      <c r="E44" s="171">
        <v>46092</v>
      </c>
      <c r="F44" s="171">
        <v>46112</v>
      </c>
      <c r="H44" s="175">
        <v>4017227</v>
      </c>
      <c r="I44" s="175">
        <v>4017223</v>
      </c>
      <c r="J44" s="179"/>
      <c r="K44" s="179"/>
      <c r="L44" s="172"/>
      <c r="M44" s="172"/>
      <c r="N44" s="172"/>
      <c r="O44" s="173"/>
      <c r="P44" s="173"/>
      <c r="Q44" s="173"/>
      <c r="R44" s="173"/>
      <c r="S44" s="173"/>
      <c r="T44" s="173"/>
      <c r="U44" s="173"/>
      <c r="V44" s="173"/>
      <c r="X44" s="169"/>
      <c r="Y44" s="170"/>
      <c r="Z44" s="170"/>
      <c r="AA44" s="170"/>
    </row>
    <row r="45" spans="1:27" s="11" customFormat="1">
      <c r="A45" s="168" t="s">
        <v>1266</v>
      </c>
      <c r="B45" s="175">
        <v>4017756</v>
      </c>
      <c r="C45" s="176" t="s">
        <v>994</v>
      </c>
      <c r="D45" s="176" t="s">
        <v>999</v>
      </c>
      <c r="E45" s="171">
        <v>46092</v>
      </c>
      <c r="F45" s="171">
        <v>46112</v>
      </c>
      <c r="H45" s="175">
        <v>4017227</v>
      </c>
      <c r="I45" s="175">
        <v>4017223</v>
      </c>
      <c r="J45" s="179"/>
      <c r="K45" s="179"/>
      <c r="L45" s="172"/>
      <c r="M45" s="172"/>
      <c r="N45" s="172"/>
      <c r="O45" s="173"/>
      <c r="P45" s="173"/>
      <c r="Q45" s="173"/>
      <c r="R45" s="173"/>
      <c r="S45" s="173"/>
      <c r="T45" s="173"/>
      <c r="U45" s="173"/>
      <c r="V45" s="173"/>
      <c r="X45" s="169"/>
      <c r="Y45" s="170"/>
      <c r="Z45" s="170"/>
      <c r="AA45" s="170"/>
    </row>
    <row r="46" spans="1:27" s="11" customFormat="1">
      <c r="A46" s="168" t="s">
        <v>1266</v>
      </c>
      <c r="B46" s="175">
        <v>4017757</v>
      </c>
      <c r="C46" s="176" t="s">
        <v>994</v>
      </c>
      <c r="D46" s="176" t="s">
        <v>1000</v>
      </c>
      <c r="E46" s="171">
        <v>46092</v>
      </c>
      <c r="F46" s="171">
        <v>46112</v>
      </c>
      <c r="H46" s="175">
        <v>4017227</v>
      </c>
      <c r="I46" s="175">
        <v>4017223</v>
      </c>
      <c r="J46" s="179"/>
      <c r="K46" s="179"/>
      <c r="L46" s="172"/>
      <c r="M46" s="172"/>
      <c r="N46" s="172"/>
      <c r="O46" s="173"/>
      <c r="P46" s="173"/>
      <c r="Q46" s="173"/>
      <c r="R46" s="173"/>
      <c r="S46" s="173"/>
      <c r="T46" s="173"/>
      <c r="U46" s="173"/>
      <c r="V46" s="173"/>
      <c r="X46" s="169"/>
      <c r="Y46" s="170"/>
      <c r="Z46" s="170"/>
      <c r="AA46" s="170"/>
    </row>
    <row r="47" spans="1:27" s="11" customFormat="1">
      <c r="A47" s="168" t="s">
        <v>1266</v>
      </c>
      <c r="B47" s="175">
        <v>4017746</v>
      </c>
      <c r="C47" s="176" t="s">
        <v>1001</v>
      </c>
      <c r="D47" s="176" t="s">
        <v>1002</v>
      </c>
      <c r="E47" s="171">
        <v>46092</v>
      </c>
      <c r="F47" s="171">
        <v>46112</v>
      </c>
      <c r="H47" s="175">
        <v>4017227</v>
      </c>
      <c r="I47" s="175">
        <v>4017223</v>
      </c>
      <c r="J47" s="179"/>
      <c r="K47" s="179"/>
      <c r="L47" s="172"/>
      <c r="M47" s="172"/>
      <c r="N47" s="172"/>
      <c r="O47" s="173"/>
      <c r="P47" s="173"/>
      <c r="Q47" s="173"/>
      <c r="R47" s="173"/>
      <c r="S47" s="173"/>
      <c r="T47" s="173"/>
      <c r="U47" s="173"/>
      <c r="V47" s="173"/>
      <c r="X47" s="169"/>
      <c r="Y47" s="170"/>
      <c r="Z47" s="170"/>
      <c r="AA47" s="170"/>
    </row>
    <row r="48" spans="1:27" s="11" customFormat="1">
      <c r="A48" s="168" t="s">
        <v>1266</v>
      </c>
      <c r="B48" s="175">
        <v>4017748</v>
      </c>
      <c r="C48" s="176" t="s">
        <v>1001</v>
      </c>
      <c r="D48" s="176" t="s">
        <v>1003</v>
      </c>
      <c r="E48" s="171">
        <v>46092</v>
      </c>
      <c r="F48" s="171">
        <v>46112</v>
      </c>
      <c r="H48" s="175">
        <v>4017227</v>
      </c>
      <c r="I48" s="175">
        <v>4017223</v>
      </c>
      <c r="J48" s="179"/>
      <c r="K48" s="179"/>
      <c r="L48" s="172"/>
      <c r="M48" s="172"/>
      <c r="N48" s="172"/>
      <c r="O48" s="173"/>
      <c r="P48" s="173"/>
      <c r="Q48" s="173"/>
      <c r="R48" s="173"/>
      <c r="S48" s="173"/>
      <c r="T48" s="173"/>
      <c r="U48" s="173"/>
      <c r="V48" s="173"/>
      <c r="X48" s="169"/>
      <c r="Y48" s="170"/>
      <c r="Z48" s="170"/>
      <c r="AA48" s="170"/>
    </row>
    <row r="49" spans="1:27" s="11" customFormat="1">
      <c r="A49" s="168" t="s">
        <v>1266</v>
      </c>
      <c r="B49" s="175">
        <v>4017752</v>
      </c>
      <c r="C49" s="176" t="s">
        <v>1001</v>
      </c>
      <c r="D49" s="176" t="s">
        <v>1004</v>
      </c>
      <c r="E49" s="171">
        <v>46092</v>
      </c>
      <c r="F49" s="171">
        <v>46112</v>
      </c>
      <c r="H49" s="175">
        <v>4017227</v>
      </c>
      <c r="I49" s="175">
        <v>4017223</v>
      </c>
      <c r="J49" s="179"/>
      <c r="K49" s="179"/>
      <c r="L49" s="172"/>
      <c r="M49" s="172"/>
      <c r="N49" s="172"/>
      <c r="O49" s="173"/>
      <c r="P49" s="173"/>
      <c r="Q49" s="173"/>
      <c r="R49" s="173"/>
      <c r="S49" s="173"/>
      <c r="T49" s="173"/>
      <c r="U49" s="173"/>
      <c r="V49" s="173"/>
      <c r="X49" s="169"/>
      <c r="Y49" s="170"/>
      <c r="Z49" s="170"/>
      <c r="AA49" s="170"/>
    </row>
    <row r="50" spans="1:27" s="11" customFormat="1">
      <c r="A50" s="168" t="s">
        <v>1266</v>
      </c>
      <c r="B50" s="175">
        <v>4017754</v>
      </c>
      <c r="C50" s="176" t="s">
        <v>1001</v>
      </c>
      <c r="D50" s="176" t="s">
        <v>1005</v>
      </c>
      <c r="E50" s="171">
        <v>46092</v>
      </c>
      <c r="F50" s="171">
        <v>46112</v>
      </c>
      <c r="H50" s="175">
        <v>4017227</v>
      </c>
      <c r="I50" s="175">
        <v>4017223</v>
      </c>
      <c r="J50" s="179"/>
      <c r="K50" s="179"/>
      <c r="L50" s="172"/>
      <c r="M50" s="172"/>
      <c r="N50" s="172"/>
      <c r="O50" s="173"/>
      <c r="P50" s="173"/>
      <c r="Q50" s="173"/>
      <c r="R50" s="173"/>
      <c r="S50" s="173"/>
      <c r="T50" s="173"/>
      <c r="U50" s="173"/>
      <c r="V50" s="173"/>
      <c r="X50" s="169"/>
      <c r="Y50" s="170"/>
      <c r="Z50" s="170"/>
      <c r="AA50" s="170"/>
    </row>
    <row r="51" spans="1:27" s="11" customFormat="1">
      <c r="A51" s="168" t="s">
        <v>1266</v>
      </c>
      <c r="B51" s="175">
        <v>4017762</v>
      </c>
      <c r="C51" s="176" t="s">
        <v>1006</v>
      </c>
      <c r="D51" s="176" t="s">
        <v>1007</v>
      </c>
      <c r="E51" s="171">
        <v>46092</v>
      </c>
      <c r="F51" s="171">
        <v>46112</v>
      </c>
      <c r="H51" s="175">
        <v>4017227</v>
      </c>
      <c r="I51" s="175">
        <v>4017223</v>
      </c>
      <c r="J51" s="179"/>
      <c r="K51" s="179"/>
      <c r="L51" s="172"/>
      <c r="M51" s="172"/>
      <c r="N51" s="172"/>
      <c r="O51" s="173"/>
      <c r="P51" s="173"/>
      <c r="Q51" s="173"/>
      <c r="R51" s="173"/>
      <c r="S51" s="173"/>
      <c r="T51" s="173"/>
      <c r="U51" s="173"/>
      <c r="V51" s="173"/>
      <c r="X51" s="169"/>
      <c r="Y51" s="170"/>
      <c r="Z51" s="170"/>
      <c r="AA51" s="170"/>
    </row>
    <row r="52" spans="1:27" s="11" customFormat="1">
      <c r="A52" s="168" t="s">
        <v>1266</v>
      </c>
      <c r="B52" s="175">
        <v>4017763</v>
      </c>
      <c r="C52" s="176" t="s">
        <v>1006</v>
      </c>
      <c r="D52" s="176" t="s">
        <v>1008</v>
      </c>
      <c r="E52" s="171">
        <v>46092</v>
      </c>
      <c r="F52" s="171">
        <v>46112</v>
      </c>
      <c r="H52" s="175">
        <v>4017227</v>
      </c>
      <c r="I52" s="175">
        <v>4017223</v>
      </c>
      <c r="J52" s="179"/>
      <c r="K52" s="179"/>
      <c r="L52" s="172"/>
      <c r="M52" s="172"/>
      <c r="N52" s="172"/>
      <c r="O52" s="173"/>
      <c r="P52" s="173"/>
      <c r="Q52" s="173"/>
      <c r="R52" s="173"/>
      <c r="S52" s="173"/>
      <c r="T52" s="173"/>
      <c r="U52" s="173"/>
      <c r="V52" s="173"/>
      <c r="X52" s="169"/>
      <c r="Y52" s="170"/>
      <c r="Z52" s="170"/>
      <c r="AA52" s="170"/>
    </row>
    <row r="53" spans="1:27" s="11" customFormat="1">
      <c r="A53" s="168" t="s">
        <v>1266</v>
      </c>
      <c r="B53" s="175">
        <v>4017766</v>
      </c>
      <c r="C53" s="176" t="s">
        <v>1006</v>
      </c>
      <c r="D53" s="176" t="s">
        <v>1009</v>
      </c>
      <c r="E53" s="171">
        <v>46092</v>
      </c>
      <c r="F53" s="171">
        <v>46112</v>
      </c>
      <c r="H53" s="175">
        <v>4017227</v>
      </c>
      <c r="I53" s="175">
        <v>4017223</v>
      </c>
      <c r="J53" s="179"/>
      <c r="K53" s="179"/>
      <c r="L53" s="172"/>
      <c r="M53" s="172"/>
      <c r="N53" s="172"/>
      <c r="O53" s="173"/>
      <c r="P53" s="173"/>
      <c r="Q53" s="173"/>
      <c r="R53" s="173"/>
      <c r="S53" s="173"/>
      <c r="T53" s="173"/>
      <c r="U53" s="173"/>
      <c r="V53" s="173"/>
      <c r="X53" s="169"/>
      <c r="Y53" s="170"/>
      <c r="Z53" s="170"/>
      <c r="AA53" s="170"/>
    </row>
    <row r="54" spans="1:27" s="11" customFormat="1">
      <c r="A54" s="168" t="s">
        <v>1266</v>
      </c>
      <c r="B54" s="175">
        <v>4017769</v>
      </c>
      <c r="C54" s="176" t="s">
        <v>1006</v>
      </c>
      <c r="D54" s="176" t="s">
        <v>1010</v>
      </c>
      <c r="E54" s="171">
        <v>46092</v>
      </c>
      <c r="F54" s="171">
        <v>46112</v>
      </c>
      <c r="H54" s="175">
        <v>4017227</v>
      </c>
      <c r="I54" s="175">
        <v>4017223</v>
      </c>
      <c r="J54" s="179"/>
      <c r="K54" s="179"/>
      <c r="L54" s="172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X54" s="169"/>
      <c r="Y54" s="169"/>
      <c r="Z54" s="169"/>
      <c r="AA54" s="170"/>
    </row>
    <row r="55" spans="1:27" s="11" customFormat="1">
      <c r="A55" s="168" t="s">
        <v>1266</v>
      </c>
      <c r="B55" s="175">
        <v>4017764</v>
      </c>
      <c r="C55" s="176" t="s">
        <v>1011</v>
      </c>
      <c r="D55" s="176" t="s">
        <v>1012</v>
      </c>
      <c r="E55" s="171">
        <v>46092</v>
      </c>
      <c r="F55" s="171">
        <v>46112</v>
      </c>
      <c r="H55" s="175">
        <v>4017227</v>
      </c>
      <c r="I55" s="175">
        <v>4017223</v>
      </c>
      <c r="J55" s="179"/>
      <c r="K55" s="179"/>
      <c r="L55" s="172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X55" s="169"/>
      <c r="Y55" s="169"/>
      <c r="Z55" s="169"/>
      <c r="AA55" s="170"/>
    </row>
    <row r="56" spans="1:27" s="11" customFormat="1">
      <c r="A56" s="168" t="s">
        <v>1266</v>
      </c>
      <c r="B56" s="175">
        <v>4017765</v>
      </c>
      <c r="C56" s="176" t="s">
        <v>1011</v>
      </c>
      <c r="D56" s="176" t="s">
        <v>1013</v>
      </c>
      <c r="E56" s="171">
        <v>46092</v>
      </c>
      <c r="F56" s="171">
        <v>46112</v>
      </c>
      <c r="H56" s="175">
        <v>4017227</v>
      </c>
      <c r="I56" s="175">
        <v>4017223</v>
      </c>
      <c r="J56" s="179"/>
      <c r="K56" s="179"/>
      <c r="L56" s="172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X56" s="169"/>
      <c r="Y56" s="169"/>
      <c r="Z56" s="169"/>
      <c r="AA56" s="170"/>
    </row>
    <row r="57" spans="1:27" s="11" customFormat="1">
      <c r="A57" s="168" t="s">
        <v>1266</v>
      </c>
      <c r="B57" s="175">
        <v>4017767</v>
      </c>
      <c r="C57" s="176" t="s">
        <v>1011</v>
      </c>
      <c r="D57" s="176" t="s">
        <v>1014</v>
      </c>
      <c r="E57" s="171">
        <v>46092</v>
      </c>
      <c r="F57" s="171">
        <v>46112</v>
      </c>
      <c r="H57" s="175">
        <v>4017227</v>
      </c>
      <c r="I57" s="175">
        <v>4017223</v>
      </c>
      <c r="J57" s="179"/>
      <c r="K57" s="179"/>
      <c r="L57" s="172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X57" s="169"/>
      <c r="Y57" s="169"/>
      <c r="Z57" s="169"/>
      <c r="AA57" s="170"/>
    </row>
    <row r="58" spans="1:27" s="11" customFormat="1">
      <c r="A58" s="168" t="s">
        <v>1266</v>
      </c>
      <c r="B58" s="175">
        <v>4017768</v>
      </c>
      <c r="C58" s="176" t="s">
        <v>1011</v>
      </c>
      <c r="D58" s="176" t="s">
        <v>1015</v>
      </c>
      <c r="E58" s="171">
        <v>46092</v>
      </c>
      <c r="F58" s="171">
        <v>46112</v>
      </c>
      <c r="H58" s="175">
        <v>4017227</v>
      </c>
      <c r="I58" s="175">
        <v>4017223</v>
      </c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X58" s="169"/>
      <c r="Y58" s="169"/>
      <c r="Z58" s="169"/>
      <c r="AA58" s="170"/>
    </row>
    <row r="59" spans="1:27" s="11" customFormat="1">
      <c r="A59" s="168" t="s">
        <v>1266</v>
      </c>
      <c r="B59" s="175">
        <v>4017614</v>
      </c>
      <c r="C59" s="176" t="s">
        <v>1016</v>
      </c>
      <c r="D59" s="176" t="s">
        <v>1017</v>
      </c>
      <c r="E59" s="171">
        <v>46092</v>
      </c>
      <c r="F59" s="171">
        <v>46112</v>
      </c>
      <c r="H59" s="175">
        <v>4017227</v>
      </c>
      <c r="I59" s="175">
        <v>4017223</v>
      </c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X59" s="169"/>
      <c r="Y59" s="169"/>
      <c r="Z59" s="169"/>
      <c r="AA59" s="170"/>
    </row>
    <row r="60" spans="1:27" s="11" customFormat="1">
      <c r="A60" s="168" t="s">
        <v>1266</v>
      </c>
      <c r="B60" s="175">
        <v>4017616</v>
      </c>
      <c r="C60" s="176" t="s">
        <v>1016</v>
      </c>
      <c r="D60" s="176" t="s">
        <v>1018</v>
      </c>
      <c r="E60" s="171">
        <v>46092</v>
      </c>
      <c r="F60" s="171">
        <v>46112</v>
      </c>
      <c r="H60" s="175">
        <v>4017227</v>
      </c>
      <c r="I60" s="175">
        <v>4017223</v>
      </c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X60" s="169"/>
      <c r="Y60" s="169"/>
      <c r="Z60" s="169"/>
      <c r="AA60" s="170"/>
    </row>
    <row r="61" spans="1:27" s="11" customFormat="1">
      <c r="A61" s="168" t="s">
        <v>1266</v>
      </c>
      <c r="B61" s="175">
        <v>4017725</v>
      </c>
      <c r="C61" s="176" t="s">
        <v>1016</v>
      </c>
      <c r="D61" s="176" t="s">
        <v>1019</v>
      </c>
      <c r="E61" s="171">
        <v>46092</v>
      </c>
      <c r="F61" s="171">
        <v>46112</v>
      </c>
      <c r="H61" s="175">
        <v>4017227</v>
      </c>
      <c r="I61" s="175">
        <v>4017223</v>
      </c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X61" s="169"/>
      <c r="Y61" s="169"/>
      <c r="Z61" s="169"/>
      <c r="AA61" s="170"/>
    </row>
    <row r="62" spans="1:27" s="11" customFormat="1">
      <c r="A62" s="168" t="s">
        <v>1266</v>
      </c>
      <c r="B62" s="175">
        <v>4017731</v>
      </c>
      <c r="C62" s="176" t="s">
        <v>1016</v>
      </c>
      <c r="D62" s="176" t="s">
        <v>1020</v>
      </c>
      <c r="E62" s="171">
        <v>46092</v>
      </c>
      <c r="F62" s="171">
        <v>46112</v>
      </c>
      <c r="H62" s="175">
        <v>4017227</v>
      </c>
      <c r="I62" s="175">
        <v>4017223</v>
      </c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X62" s="169"/>
      <c r="Y62" s="169"/>
      <c r="Z62" s="169"/>
      <c r="AA62" s="170"/>
    </row>
    <row r="63" spans="1:27" s="11" customFormat="1">
      <c r="A63" s="168" t="s">
        <v>1266</v>
      </c>
      <c r="B63" s="175">
        <v>4017734</v>
      </c>
      <c r="C63" s="176" t="s">
        <v>1016</v>
      </c>
      <c r="D63" s="176" t="s">
        <v>1021</v>
      </c>
      <c r="E63" s="171">
        <v>46092</v>
      </c>
      <c r="F63" s="171">
        <v>46112</v>
      </c>
      <c r="H63" s="175">
        <v>4017227</v>
      </c>
      <c r="I63" s="175">
        <v>4017223</v>
      </c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X63" s="169"/>
      <c r="Y63" s="169"/>
      <c r="Z63" s="169"/>
      <c r="AA63" s="170"/>
    </row>
    <row r="64" spans="1:27" s="11" customFormat="1">
      <c r="A64" s="168" t="s">
        <v>1266</v>
      </c>
      <c r="B64" s="175">
        <v>4017728</v>
      </c>
      <c r="C64" s="176" t="s">
        <v>1016</v>
      </c>
      <c r="D64" s="176" t="s">
        <v>1022</v>
      </c>
      <c r="E64" s="171">
        <v>46092</v>
      </c>
      <c r="F64" s="171">
        <v>46112</v>
      </c>
      <c r="H64" s="175">
        <v>4017227</v>
      </c>
      <c r="I64" s="175">
        <v>4017223</v>
      </c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X64" s="169"/>
      <c r="Y64" s="169"/>
      <c r="Z64" s="169"/>
      <c r="AA64" s="170"/>
    </row>
    <row r="65" spans="1:27" s="11" customFormat="1">
      <c r="A65" s="168" t="s">
        <v>1266</v>
      </c>
      <c r="B65" s="175">
        <v>4017611</v>
      </c>
      <c r="C65" s="176" t="s">
        <v>1023</v>
      </c>
      <c r="D65" s="176" t="s">
        <v>1024</v>
      </c>
      <c r="E65" s="171">
        <v>46092</v>
      </c>
      <c r="F65" s="171">
        <v>46112</v>
      </c>
      <c r="H65" s="175">
        <v>4017227</v>
      </c>
      <c r="I65" s="175">
        <v>4017223</v>
      </c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X65" s="169"/>
      <c r="Y65" s="169"/>
      <c r="Z65" s="169"/>
      <c r="AA65" s="170"/>
    </row>
    <row r="66" spans="1:27" s="11" customFormat="1">
      <c r="A66" s="168" t="s">
        <v>1266</v>
      </c>
      <c r="B66" s="175">
        <v>4017613</v>
      </c>
      <c r="C66" s="176" t="s">
        <v>1023</v>
      </c>
      <c r="D66" s="176" t="s">
        <v>1025</v>
      </c>
      <c r="E66" s="171">
        <v>46092</v>
      </c>
      <c r="F66" s="171">
        <v>46112</v>
      </c>
      <c r="H66" s="175">
        <v>4017227</v>
      </c>
      <c r="I66" s="175">
        <v>4017223</v>
      </c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X66" s="169"/>
      <c r="Y66" s="169"/>
      <c r="Z66" s="169"/>
      <c r="AA66" s="170"/>
    </row>
    <row r="67" spans="1:27" s="11" customFormat="1">
      <c r="A67" s="168" t="s">
        <v>1266</v>
      </c>
      <c r="B67" s="175">
        <v>4017723</v>
      </c>
      <c r="C67" s="176" t="s">
        <v>1023</v>
      </c>
      <c r="D67" s="176" t="s">
        <v>1026</v>
      </c>
      <c r="E67" s="171">
        <v>46092</v>
      </c>
      <c r="F67" s="171">
        <v>46112</v>
      </c>
      <c r="H67" s="175">
        <v>4017227</v>
      </c>
      <c r="I67" s="175">
        <v>4017223</v>
      </c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X67" s="169"/>
      <c r="Y67" s="169"/>
      <c r="Z67" s="169"/>
      <c r="AA67" s="170"/>
    </row>
    <row r="68" spans="1:27" s="11" customFormat="1">
      <c r="A68" s="168" t="s">
        <v>1266</v>
      </c>
      <c r="B68" s="175">
        <v>4017726</v>
      </c>
      <c r="C68" s="176" t="s">
        <v>1023</v>
      </c>
      <c r="D68" s="176" t="s">
        <v>1027</v>
      </c>
      <c r="E68" s="171">
        <v>46092</v>
      </c>
      <c r="F68" s="171">
        <v>46112</v>
      </c>
      <c r="H68" s="175">
        <v>4017227</v>
      </c>
      <c r="I68" s="175">
        <v>4017223</v>
      </c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X68" s="169"/>
      <c r="Y68" s="169"/>
      <c r="Z68" s="169"/>
      <c r="AA68" s="170"/>
    </row>
    <row r="69" spans="1:27" s="11" customFormat="1">
      <c r="A69" s="168" t="s">
        <v>1266</v>
      </c>
      <c r="B69" s="175">
        <v>4017730</v>
      </c>
      <c r="C69" s="176" t="s">
        <v>1023</v>
      </c>
      <c r="D69" s="176" t="s">
        <v>1028</v>
      </c>
      <c r="E69" s="171">
        <v>46092</v>
      </c>
      <c r="F69" s="171">
        <v>46112</v>
      </c>
      <c r="H69" s="175">
        <v>4017227</v>
      </c>
      <c r="I69" s="175">
        <v>4017223</v>
      </c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X69" s="169"/>
      <c r="Y69" s="169"/>
      <c r="Z69" s="169"/>
      <c r="AA69" s="170"/>
    </row>
    <row r="70" spans="1:27" s="11" customFormat="1">
      <c r="A70" s="168" t="s">
        <v>1266</v>
      </c>
      <c r="B70" s="175">
        <v>4017732</v>
      </c>
      <c r="C70" s="176" t="s">
        <v>1023</v>
      </c>
      <c r="D70" s="176" t="s">
        <v>1029</v>
      </c>
      <c r="E70" s="171">
        <v>46092</v>
      </c>
      <c r="F70" s="171">
        <v>46112</v>
      </c>
      <c r="H70" s="175">
        <v>4017227</v>
      </c>
      <c r="I70" s="175">
        <v>4017223</v>
      </c>
      <c r="J70" s="179"/>
      <c r="K70" s="179"/>
      <c r="L70" s="179"/>
      <c r="M70" s="179"/>
      <c r="N70" s="179"/>
      <c r="O70" s="179"/>
      <c r="P70" s="179"/>
      <c r="Q70" s="179"/>
      <c r="R70" s="173"/>
      <c r="S70" s="173"/>
      <c r="T70" s="173"/>
      <c r="U70" s="173"/>
      <c r="V70" s="173"/>
      <c r="X70" s="169"/>
      <c r="Y70" s="169"/>
      <c r="Z70" s="169"/>
      <c r="AA70" s="170"/>
    </row>
    <row r="71" spans="1:27" s="11" customFormat="1">
      <c r="A71" s="168"/>
      <c r="B71" s="169"/>
      <c r="C71" s="170"/>
      <c r="D71" s="170"/>
      <c r="E71" s="171"/>
      <c r="F71" s="171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3"/>
      <c r="S71" s="173"/>
      <c r="T71" s="173"/>
      <c r="U71" s="173"/>
      <c r="V71" s="173"/>
      <c r="X71" s="169"/>
      <c r="Y71" s="169"/>
      <c r="Z71" s="169"/>
      <c r="AA71" s="170"/>
    </row>
    <row r="72" spans="1:27" s="11" customFormat="1">
      <c r="A72" s="168"/>
      <c r="B72" s="169"/>
      <c r="C72" s="170"/>
      <c r="D72" s="170"/>
      <c r="E72" s="171"/>
      <c r="F72" s="171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3"/>
      <c r="S72" s="173"/>
      <c r="T72" s="173"/>
      <c r="U72" s="173"/>
      <c r="V72" s="173"/>
      <c r="X72" s="169"/>
      <c r="Y72" s="169"/>
      <c r="Z72" s="169"/>
      <c r="AA72" s="170"/>
    </row>
    <row r="73" spans="1:27" s="11" customFormat="1">
      <c r="A73" s="168"/>
      <c r="B73" s="169"/>
      <c r="C73" s="170"/>
      <c r="D73" s="170"/>
      <c r="E73" s="171"/>
      <c r="F73" s="171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3"/>
      <c r="S73" s="173"/>
      <c r="T73" s="173"/>
      <c r="U73" s="173"/>
      <c r="V73" s="173"/>
      <c r="X73" s="169"/>
      <c r="Y73" s="169"/>
      <c r="Z73" s="169"/>
      <c r="AA73" s="170"/>
    </row>
    <row r="74" spans="1:27" s="11" customFormat="1">
      <c r="A74" s="168"/>
      <c r="B74" s="169"/>
      <c r="C74" s="170"/>
      <c r="D74" s="170"/>
      <c r="E74" s="171"/>
      <c r="F74" s="171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3"/>
      <c r="S74" s="173"/>
      <c r="T74" s="173"/>
      <c r="U74" s="173"/>
      <c r="V74" s="173"/>
      <c r="X74" s="169"/>
      <c r="Y74" s="169"/>
      <c r="Z74" s="169"/>
      <c r="AA74" s="170"/>
    </row>
    <row r="75" spans="1:27" s="11" customFormat="1">
      <c r="A75" s="168"/>
      <c r="B75" s="169"/>
      <c r="C75" s="170"/>
      <c r="D75" s="170"/>
      <c r="E75" s="171"/>
      <c r="F75" s="171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3"/>
      <c r="S75" s="173"/>
      <c r="T75" s="173"/>
      <c r="U75" s="173"/>
      <c r="V75" s="173"/>
      <c r="X75" s="169"/>
      <c r="Y75" s="169"/>
      <c r="Z75" s="169"/>
      <c r="AA75" s="170"/>
    </row>
    <row r="76" spans="1:27" s="11" customFormat="1">
      <c r="A76" s="168"/>
      <c r="B76" s="169"/>
      <c r="C76" s="170"/>
      <c r="D76" s="170"/>
      <c r="E76" s="171"/>
      <c r="F76" s="171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3"/>
      <c r="S76" s="173"/>
      <c r="T76" s="173"/>
      <c r="U76" s="173"/>
      <c r="V76" s="173"/>
      <c r="X76" s="169"/>
      <c r="Y76" s="169"/>
      <c r="Z76" s="169"/>
      <c r="AA76" s="170"/>
    </row>
    <row r="77" spans="1:27" s="11" customFormat="1">
      <c r="A77" s="168"/>
      <c r="B77" s="169"/>
      <c r="C77" s="170"/>
      <c r="D77" s="170"/>
      <c r="E77" s="171"/>
      <c r="F77" s="171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3"/>
      <c r="S77" s="173"/>
      <c r="T77" s="173"/>
      <c r="U77" s="173"/>
      <c r="V77" s="173"/>
      <c r="X77" s="169"/>
      <c r="Y77" s="169"/>
      <c r="Z77" s="169"/>
      <c r="AA77" s="170"/>
    </row>
    <row r="78" spans="1:27" s="11" customFormat="1">
      <c r="A78" s="168"/>
      <c r="B78" s="169"/>
      <c r="C78" s="170"/>
      <c r="D78" s="170"/>
      <c r="E78" s="171"/>
      <c r="F78" s="171"/>
      <c r="H78" s="169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X78" s="169"/>
      <c r="Y78" s="169"/>
      <c r="Z78" s="169"/>
      <c r="AA78" s="170"/>
    </row>
    <row r="79" spans="1:27" s="11" customFormat="1">
      <c r="A79" s="168"/>
      <c r="B79" s="169"/>
      <c r="C79" s="170"/>
      <c r="D79" s="170"/>
      <c r="E79" s="171"/>
      <c r="F79" s="171"/>
      <c r="H79" s="169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X79" s="169"/>
      <c r="Y79" s="169"/>
      <c r="Z79" s="169"/>
      <c r="AA79" s="170"/>
    </row>
    <row r="80" spans="1:27" s="11" customFormat="1">
      <c r="A80" s="168"/>
      <c r="B80" s="169"/>
      <c r="C80" s="170"/>
      <c r="D80" s="170"/>
      <c r="E80" s="171"/>
      <c r="F80" s="171"/>
      <c r="H80" s="169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X80" s="169"/>
      <c r="Y80" s="169"/>
      <c r="Z80" s="169"/>
      <c r="AA80" s="170"/>
    </row>
    <row r="81" spans="1:27" s="11" customFormat="1">
      <c r="A81" s="168"/>
      <c r="B81" s="169"/>
      <c r="C81" s="170"/>
      <c r="D81" s="170"/>
      <c r="E81" s="171"/>
      <c r="F81" s="171"/>
      <c r="H81" s="169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X81" s="169"/>
      <c r="Y81" s="169"/>
      <c r="Z81" s="169"/>
      <c r="AA81" s="170"/>
    </row>
    <row r="82" spans="1:27" s="11" customFormat="1">
      <c r="A82" s="168"/>
      <c r="B82" s="169"/>
      <c r="C82" s="170"/>
      <c r="D82" s="170"/>
      <c r="E82" s="171"/>
      <c r="F82" s="171"/>
      <c r="H82" s="169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X82" s="169"/>
      <c r="Y82" s="169"/>
      <c r="Z82" s="169"/>
      <c r="AA82" s="170"/>
    </row>
    <row r="83" spans="1:27" s="11" customFormat="1">
      <c r="A83" s="168"/>
      <c r="B83" s="169"/>
      <c r="C83" s="170"/>
      <c r="D83" s="170"/>
      <c r="E83" s="171"/>
      <c r="F83" s="171"/>
      <c r="H83" s="169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X83" s="169"/>
      <c r="Y83" s="169"/>
      <c r="Z83" s="169"/>
      <c r="AA83" s="170"/>
    </row>
    <row r="84" spans="1:27" s="11" customFormat="1">
      <c r="A84" s="168"/>
      <c r="B84" s="169"/>
      <c r="C84" s="170"/>
      <c r="D84" s="170"/>
      <c r="E84" s="171"/>
      <c r="F84" s="171"/>
      <c r="H84" s="169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X84" s="169"/>
      <c r="Y84" s="169"/>
      <c r="Z84" s="169"/>
      <c r="AA84" s="170"/>
    </row>
    <row r="85" spans="1:27" s="11" customFormat="1">
      <c r="A85" s="168"/>
      <c r="B85" s="169"/>
      <c r="C85" s="170"/>
      <c r="D85" s="170"/>
      <c r="E85" s="171"/>
      <c r="F85" s="171"/>
      <c r="H85" s="169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X85" s="169"/>
      <c r="Y85" s="169"/>
      <c r="Z85" s="169"/>
      <c r="AA85" s="170"/>
    </row>
    <row r="86" spans="1:27" s="11" customFormat="1">
      <c r="A86" s="168"/>
      <c r="B86" s="169"/>
      <c r="C86" s="170"/>
      <c r="D86" s="170"/>
      <c r="E86" s="171"/>
      <c r="F86" s="171"/>
      <c r="H86" s="169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X86" s="169"/>
      <c r="Y86" s="169"/>
      <c r="Z86" s="169"/>
      <c r="AA86" s="170"/>
    </row>
    <row r="87" spans="1:27" s="11" customFormat="1">
      <c r="A87" s="168"/>
      <c r="B87" s="169"/>
      <c r="C87" s="170"/>
      <c r="D87" s="170"/>
      <c r="E87" s="171"/>
      <c r="F87" s="171"/>
      <c r="H87" s="169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X87" s="169"/>
      <c r="Y87" s="169"/>
      <c r="Z87" s="169"/>
      <c r="AA87" s="170"/>
    </row>
    <row r="88" spans="1:27" s="11" customFormat="1">
      <c r="A88" s="168"/>
      <c r="B88" s="169"/>
      <c r="C88" s="170"/>
      <c r="D88" s="170"/>
      <c r="E88" s="171"/>
      <c r="F88" s="171"/>
      <c r="H88" s="169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X88" s="169"/>
      <c r="Y88" s="169"/>
      <c r="Z88" s="169"/>
      <c r="AA88" s="170"/>
    </row>
    <row r="89" spans="1:27" s="11" customFormat="1">
      <c r="A89" s="168"/>
      <c r="B89" s="169"/>
      <c r="C89" s="170"/>
      <c r="D89" s="170"/>
      <c r="E89" s="171"/>
      <c r="F89" s="171"/>
      <c r="H89" s="169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X89" s="169"/>
      <c r="Y89" s="169"/>
      <c r="Z89" s="169"/>
      <c r="AA89" s="170"/>
    </row>
    <row r="90" spans="1:27" s="11" customFormat="1">
      <c r="A90" s="168"/>
      <c r="B90" s="169"/>
      <c r="C90" s="170"/>
      <c r="D90" s="170"/>
      <c r="E90" s="171"/>
      <c r="F90" s="171"/>
      <c r="H90" s="169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X90" s="169"/>
      <c r="Y90" s="169"/>
      <c r="Z90" s="169"/>
      <c r="AA90" s="170"/>
    </row>
    <row r="91" spans="1:27" s="11" customFormat="1">
      <c r="A91" s="168"/>
      <c r="B91" s="169"/>
      <c r="C91" s="170"/>
      <c r="D91" s="170"/>
      <c r="E91" s="171"/>
      <c r="F91" s="171"/>
      <c r="H91" s="169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X91" s="169"/>
      <c r="Y91" s="169"/>
      <c r="Z91" s="169"/>
      <c r="AA91" s="170"/>
    </row>
    <row r="92" spans="1:27" s="11" customFormat="1">
      <c r="A92" s="168"/>
      <c r="B92" s="169"/>
      <c r="C92" s="170"/>
      <c r="D92" s="170"/>
      <c r="E92" s="171"/>
      <c r="F92" s="171"/>
      <c r="H92" s="169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X92" s="169"/>
      <c r="Y92" s="169"/>
      <c r="Z92" s="169"/>
      <c r="AA92" s="170"/>
    </row>
    <row r="93" spans="1:27" s="11" customFormat="1">
      <c r="A93" s="168"/>
      <c r="B93" s="169"/>
      <c r="C93" s="170"/>
      <c r="D93" s="170"/>
      <c r="E93" s="171"/>
      <c r="F93" s="171"/>
      <c r="H93" s="169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X93" s="169"/>
      <c r="Y93" s="169"/>
      <c r="Z93" s="169"/>
      <c r="AA93" s="170"/>
    </row>
    <row r="94" spans="1:27" s="11" customFormat="1">
      <c r="A94" s="168"/>
      <c r="B94" s="169"/>
      <c r="C94" s="170"/>
      <c r="D94" s="170"/>
      <c r="E94" s="171"/>
      <c r="F94" s="171"/>
      <c r="H94" s="169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X94" s="169"/>
      <c r="Y94" s="169"/>
      <c r="Z94" s="169"/>
      <c r="AA94" s="170"/>
    </row>
    <row r="95" spans="1:27" s="11" customFormat="1">
      <c r="A95" s="168"/>
      <c r="B95" s="169"/>
      <c r="C95" s="170"/>
      <c r="D95" s="170"/>
      <c r="E95" s="171"/>
      <c r="F95" s="171"/>
      <c r="H95" s="169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X95" s="169"/>
      <c r="Y95" s="169"/>
      <c r="Z95" s="169"/>
      <c r="AA95" s="170"/>
    </row>
    <row r="96" spans="1:27" s="11" customFormat="1">
      <c r="A96" s="168"/>
      <c r="B96" s="169"/>
      <c r="C96" s="170"/>
      <c r="D96" s="170"/>
      <c r="E96" s="171"/>
      <c r="F96" s="171"/>
      <c r="H96" s="169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X96" s="169"/>
      <c r="Y96" s="169"/>
      <c r="Z96" s="169"/>
      <c r="AA96" s="170"/>
    </row>
    <row r="97" spans="1:27" s="11" customFormat="1">
      <c r="A97" s="168"/>
      <c r="B97" s="169"/>
      <c r="C97" s="170"/>
      <c r="D97" s="170"/>
      <c r="E97" s="171"/>
      <c r="F97" s="171"/>
      <c r="H97" s="169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X97" s="169"/>
      <c r="Y97" s="169"/>
      <c r="Z97" s="169"/>
      <c r="AA97" s="170"/>
    </row>
    <row r="98" spans="1:27" s="11" customFormat="1">
      <c r="A98" s="168"/>
      <c r="B98" s="169"/>
      <c r="C98" s="170"/>
      <c r="D98" s="170"/>
      <c r="E98" s="171"/>
      <c r="F98" s="171"/>
      <c r="H98" s="169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X98" s="169"/>
      <c r="Y98" s="169"/>
      <c r="Z98" s="169"/>
      <c r="AA98" s="170"/>
    </row>
    <row r="99" spans="1:27" s="11" customFormat="1">
      <c r="A99" s="168"/>
      <c r="B99" s="169"/>
      <c r="C99" s="170"/>
      <c r="D99" s="170"/>
      <c r="E99" s="171"/>
      <c r="F99" s="171"/>
      <c r="H99" s="169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X99" s="169"/>
      <c r="Y99" s="169"/>
      <c r="Z99" s="169"/>
      <c r="AA99" s="170"/>
    </row>
    <row r="100" spans="1:27" s="11" customFormat="1">
      <c r="A100" s="168"/>
      <c r="B100" s="169"/>
      <c r="C100" s="170"/>
      <c r="D100" s="170"/>
      <c r="E100" s="171"/>
      <c r="F100" s="171"/>
      <c r="H100" s="169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X100" s="169"/>
      <c r="Y100" s="169"/>
      <c r="Z100" s="169"/>
      <c r="AA100" s="170"/>
    </row>
    <row r="101" spans="1:27" s="11" customFormat="1">
      <c r="A101" s="168"/>
      <c r="B101" s="169"/>
      <c r="C101" s="170"/>
      <c r="D101" s="170"/>
      <c r="E101" s="171"/>
      <c r="F101" s="171"/>
      <c r="H101" s="169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X101" s="169"/>
      <c r="Y101" s="169"/>
      <c r="Z101" s="169"/>
      <c r="AA101" s="170"/>
    </row>
    <row r="102" spans="1:27" s="11" customFormat="1">
      <c r="A102" s="168"/>
      <c r="B102" s="169"/>
      <c r="C102" s="170"/>
      <c r="D102" s="170"/>
      <c r="E102" s="171"/>
      <c r="F102" s="171"/>
      <c r="H102" s="169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X102" s="169"/>
      <c r="Y102" s="169"/>
      <c r="Z102" s="169"/>
      <c r="AA102" s="170"/>
    </row>
    <row r="103" spans="1:27" s="11" customFormat="1">
      <c r="A103" s="168"/>
      <c r="B103" s="169"/>
      <c r="C103" s="170"/>
      <c r="D103" s="170"/>
      <c r="E103" s="171"/>
      <c r="F103" s="171"/>
      <c r="H103" s="169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X103" s="169"/>
      <c r="Y103" s="169"/>
      <c r="Z103" s="169"/>
      <c r="AA103" s="170"/>
    </row>
    <row r="104" spans="1:27" s="11" customFormat="1">
      <c r="A104" s="168"/>
      <c r="B104" s="169"/>
      <c r="C104" s="170"/>
      <c r="D104" s="170"/>
      <c r="E104" s="171"/>
      <c r="F104" s="171"/>
      <c r="H104" s="169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X104" s="169"/>
      <c r="Y104" s="169"/>
      <c r="Z104" s="169"/>
      <c r="AA104" s="170"/>
    </row>
    <row r="105" spans="1:27" s="11" customFormat="1">
      <c r="A105" s="168"/>
      <c r="B105" s="169"/>
      <c r="C105" s="170"/>
      <c r="D105" s="170"/>
      <c r="E105" s="171"/>
      <c r="F105" s="171"/>
      <c r="H105" s="169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X105" s="169"/>
      <c r="Y105" s="169"/>
      <c r="Z105" s="169"/>
      <c r="AA105" s="170"/>
    </row>
    <row r="106" spans="1:27" s="11" customFormat="1">
      <c r="A106" s="168"/>
      <c r="B106" s="169"/>
      <c r="C106" s="170"/>
      <c r="D106" s="170"/>
      <c r="E106" s="171"/>
      <c r="F106" s="171"/>
      <c r="H106" s="169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X106" s="169"/>
      <c r="Y106" s="169"/>
      <c r="Z106" s="169"/>
      <c r="AA106" s="170"/>
    </row>
    <row r="107" spans="1:27" s="11" customFormat="1">
      <c r="A107" s="168"/>
      <c r="B107" s="169"/>
      <c r="C107" s="170"/>
      <c r="D107" s="170"/>
      <c r="E107" s="171"/>
      <c r="F107" s="171"/>
      <c r="H107" s="169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X107" s="169"/>
      <c r="Y107" s="169"/>
      <c r="Z107" s="169"/>
      <c r="AA107" s="170"/>
    </row>
    <row r="108" spans="1:27" s="11" customFormat="1">
      <c r="A108" s="168"/>
      <c r="B108" s="169"/>
      <c r="C108" s="170"/>
      <c r="D108" s="170"/>
      <c r="E108" s="171"/>
      <c r="F108" s="171"/>
      <c r="H108" s="169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X108" s="169"/>
      <c r="Y108" s="169"/>
      <c r="Z108" s="169"/>
      <c r="AA108" s="170"/>
    </row>
    <row r="109" spans="1:27" s="11" customFormat="1">
      <c r="A109" s="168"/>
      <c r="B109" s="169"/>
      <c r="C109" s="170"/>
      <c r="D109" s="170"/>
      <c r="E109" s="171"/>
      <c r="F109" s="171"/>
      <c r="H109" s="169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X109" s="169"/>
      <c r="Y109" s="169"/>
      <c r="Z109" s="169"/>
      <c r="AA109" s="170"/>
    </row>
    <row r="110" spans="1:27" s="11" customFormat="1">
      <c r="A110" s="168"/>
      <c r="B110" s="169"/>
      <c r="C110" s="170"/>
      <c r="D110" s="170"/>
      <c r="E110" s="171"/>
      <c r="F110" s="171"/>
      <c r="H110" s="169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X110" s="169"/>
      <c r="Y110" s="169"/>
      <c r="Z110" s="169"/>
      <c r="AA110" s="170"/>
    </row>
    <row r="111" spans="1:27" s="11" customFormat="1">
      <c r="A111" s="168"/>
      <c r="B111" s="169"/>
      <c r="C111" s="170"/>
      <c r="D111" s="170"/>
      <c r="E111" s="171"/>
      <c r="F111" s="171"/>
      <c r="H111" s="169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X111" s="169"/>
      <c r="Y111" s="169"/>
      <c r="Z111" s="169"/>
      <c r="AA111" s="170"/>
    </row>
    <row r="112" spans="1:27" s="11" customFormat="1">
      <c r="A112" s="168"/>
      <c r="B112" s="169"/>
      <c r="C112" s="170"/>
      <c r="D112" s="170"/>
      <c r="E112" s="171"/>
      <c r="F112" s="171"/>
      <c r="H112" s="169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X112" s="169"/>
      <c r="Y112" s="169"/>
      <c r="Z112" s="169"/>
      <c r="AA112" s="170"/>
    </row>
    <row r="113" spans="1:27" s="11" customFormat="1">
      <c r="A113" s="168"/>
      <c r="B113" s="169"/>
      <c r="C113" s="170"/>
      <c r="D113" s="170"/>
      <c r="E113" s="171"/>
      <c r="F113" s="171"/>
      <c r="H113" s="169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X113" s="169"/>
      <c r="Y113" s="169"/>
      <c r="Z113" s="169"/>
      <c r="AA113" s="170"/>
    </row>
    <row r="114" spans="1:27" s="11" customFormat="1">
      <c r="A114" s="168"/>
      <c r="B114" s="169"/>
      <c r="C114" s="170"/>
      <c r="D114" s="170"/>
      <c r="E114" s="171"/>
      <c r="F114" s="171"/>
      <c r="H114" s="169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X114" s="169"/>
      <c r="Y114" s="169"/>
      <c r="Z114" s="169"/>
      <c r="AA114" s="170"/>
    </row>
    <row r="115" spans="1:27" s="11" customFormat="1">
      <c r="A115" s="168"/>
      <c r="B115" s="169"/>
      <c r="C115" s="170"/>
      <c r="D115" s="170"/>
      <c r="E115" s="171"/>
      <c r="F115" s="171"/>
      <c r="H115" s="169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X115" s="169"/>
      <c r="Y115" s="169"/>
      <c r="Z115" s="169"/>
      <c r="AA115" s="170"/>
    </row>
    <row r="116" spans="1:27" s="11" customFormat="1">
      <c r="A116" s="168"/>
      <c r="B116" s="169"/>
      <c r="C116" s="170"/>
      <c r="D116" s="170"/>
      <c r="E116" s="171"/>
      <c r="F116" s="171"/>
      <c r="H116" s="169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X116" s="169"/>
      <c r="Y116" s="169"/>
      <c r="Z116" s="169"/>
      <c r="AA116" s="170"/>
    </row>
    <row r="117" spans="1:27" s="11" customFormat="1">
      <c r="A117" s="168"/>
      <c r="B117" s="169"/>
      <c r="C117" s="170"/>
      <c r="D117" s="170"/>
      <c r="E117" s="171"/>
      <c r="F117" s="171"/>
      <c r="H117" s="169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X117" s="169"/>
      <c r="Y117" s="169"/>
      <c r="Z117" s="169"/>
      <c r="AA117" s="170"/>
    </row>
    <row r="118" spans="1:27" s="11" customFormat="1">
      <c r="A118" s="168"/>
      <c r="B118" s="169"/>
      <c r="C118" s="170"/>
      <c r="D118" s="170"/>
      <c r="E118" s="171"/>
      <c r="F118" s="171"/>
      <c r="H118" s="169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X118" s="169"/>
      <c r="Y118" s="169"/>
      <c r="Z118" s="169"/>
      <c r="AA118" s="170"/>
    </row>
    <row r="119" spans="1:27" s="11" customFormat="1">
      <c r="A119" s="168"/>
      <c r="B119" s="169"/>
      <c r="C119" s="170"/>
      <c r="D119" s="170"/>
      <c r="E119" s="171"/>
      <c r="F119" s="171"/>
      <c r="H119" s="169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X119" s="169"/>
      <c r="Y119" s="169"/>
      <c r="Z119" s="169"/>
      <c r="AA119" s="170"/>
    </row>
    <row r="120" spans="1:27" s="11" customFormat="1">
      <c r="A120" s="168"/>
      <c r="B120" s="169"/>
      <c r="C120" s="170"/>
      <c r="D120" s="170"/>
      <c r="E120" s="171"/>
      <c r="F120" s="171"/>
      <c r="H120" s="169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X120" s="169"/>
      <c r="Y120" s="169"/>
      <c r="Z120" s="169"/>
      <c r="AA120" s="170"/>
    </row>
    <row r="121" spans="1:27" s="11" customFormat="1">
      <c r="A121" s="168"/>
      <c r="B121" s="169"/>
      <c r="C121" s="170"/>
      <c r="D121" s="170"/>
      <c r="E121" s="171"/>
      <c r="F121" s="171"/>
      <c r="H121" s="169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X121" s="169"/>
      <c r="Y121" s="169"/>
      <c r="Z121" s="169"/>
      <c r="AA121" s="170"/>
    </row>
    <row r="122" spans="1:27" s="11" customFormat="1">
      <c r="A122" s="168"/>
      <c r="B122" s="169"/>
      <c r="C122" s="170"/>
      <c r="D122" s="170"/>
      <c r="E122" s="171"/>
      <c r="F122" s="171"/>
      <c r="H122" s="169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X122" s="169"/>
      <c r="Y122" s="169"/>
      <c r="Z122" s="169"/>
      <c r="AA122" s="170"/>
    </row>
    <row r="123" spans="1:27" s="11" customFormat="1">
      <c r="A123" s="168"/>
      <c r="B123" s="169"/>
      <c r="C123" s="170"/>
      <c r="D123" s="170"/>
      <c r="E123" s="171"/>
      <c r="F123" s="171"/>
      <c r="H123" s="169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X123" s="169"/>
      <c r="Y123" s="169"/>
      <c r="Z123" s="169"/>
      <c r="AA123" s="170"/>
    </row>
    <row r="124" spans="1:27" s="11" customFormat="1">
      <c r="A124" s="168"/>
      <c r="B124" s="169"/>
      <c r="C124" s="170"/>
      <c r="D124" s="170"/>
      <c r="E124" s="171"/>
      <c r="F124" s="171"/>
      <c r="H124" s="169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X124" s="169"/>
      <c r="Y124" s="169"/>
      <c r="Z124" s="169"/>
      <c r="AA124" s="170"/>
    </row>
    <row r="125" spans="1:27" s="11" customFormat="1">
      <c r="A125" s="168"/>
      <c r="B125" s="169"/>
      <c r="C125" s="170"/>
      <c r="D125" s="170"/>
      <c r="E125" s="171"/>
      <c r="F125" s="171"/>
      <c r="H125" s="169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X125" s="169"/>
      <c r="Y125" s="169"/>
      <c r="Z125" s="169"/>
      <c r="AA125" s="170"/>
    </row>
    <row r="126" spans="1:27" s="11" customFormat="1">
      <c r="A126" s="168"/>
      <c r="B126" s="169"/>
      <c r="C126" s="170"/>
      <c r="D126" s="170"/>
      <c r="E126" s="171"/>
      <c r="F126" s="171"/>
      <c r="H126" s="169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X126" s="169"/>
      <c r="Y126" s="169"/>
      <c r="Z126" s="169"/>
      <c r="AA126" s="170"/>
    </row>
    <row r="127" spans="1:27" s="11" customFormat="1">
      <c r="A127" s="168"/>
      <c r="B127" s="169"/>
      <c r="C127" s="170"/>
      <c r="D127" s="170"/>
      <c r="E127" s="171"/>
      <c r="F127" s="171"/>
      <c r="H127" s="169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X127" s="169"/>
      <c r="Y127" s="169"/>
      <c r="Z127" s="169"/>
      <c r="AA127" s="170"/>
    </row>
    <row r="128" spans="1:27" s="11" customFormat="1">
      <c r="A128" s="168"/>
      <c r="B128" s="169"/>
      <c r="C128" s="170"/>
      <c r="D128" s="170"/>
      <c r="E128" s="171"/>
      <c r="F128" s="171"/>
      <c r="H128" s="169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X128" s="169"/>
      <c r="Y128" s="169"/>
      <c r="Z128" s="169"/>
      <c r="AA128" s="170"/>
    </row>
    <row r="129" spans="1:27" s="11" customFormat="1">
      <c r="A129" s="168"/>
      <c r="B129" s="169"/>
      <c r="C129" s="170"/>
      <c r="D129" s="170"/>
      <c r="E129" s="171"/>
      <c r="F129" s="171"/>
      <c r="H129" s="169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X129" s="169"/>
      <c r="Y129" s="169"/>
      <c r="Z129" s="169"/>
      <c r="AA129" s="170"/>
    </row>
    <row r="130" spans="1:27" s="11" customFormat="1">
      <c r="A130" s="168"/>
      <c r="B130" s="169"/>
      <c r="C130" s="170"/>
      <c r="D130" s="170"/>
      <c r="E130" s="171"/>
      <c r="F130" s="171"/>
      <c r="H130" s="169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X130" s="169"/>
      <c r="Y130" s="169"/>
      <c r="Z130" s="169"/>
      <c r="AA130" s="170"/>
    </row>
    <row r="131" spans="1:27" s="11" customFormat="1">
      <c r="A131" s="168"/>
      <c r="B131" s="169"/>
      <c r="C131" s="170"/>
      <c r="D131" s="170"/>
      <c r="E131" s="171"/>
      <c r="F131" s="171"/>
      <c r="H131" s="169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X131" s="169"/>
      <c r="Y131" s="169"/>
      <c r="Z131" s="169"/>
      <c r="AA131" s="170"/>
    </row>
    <row r="132" spans="1:27" s="11" customFormat="1">
      <c r="A132" s="168"/>
      <c r="B132" s="169"/>
      <c r="C132" s="170"/>
      <c r="D132" s="170"/>
      <c r="E132" s="171"/>
      <c r="F132" s="171"/>
      <c r="H132" s="169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X132" s="169"/>
      <c r="Y132" s="169"/>
      <c r="Z132" s="169"/>
      <c r="AA132" s="170"/>
    </row>
    <row r="133" spans="1:27" s="11" customFormat="1">
      <c r="A133" s="168"/>
      <c r="B133" s="169"/>
      <c r="C133" s="170"/>
      <c r="D133" s="170"/>
      <c r="E133" s="171"/>
      <c r="F133" s="171"/>
      <c r="H133" s="169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X133" s="169"/>
      <c r="Y133" s="169"/>
      <c r="Z133" s="169"/>
      <c r="AA133" s="170"/>
    </row>
    <row r="134" spans="1:27" s="11" customFormat="1">
      <c r="A134" s="168"/>
      <c r="B134" s="169"/>
      <c r="C134" s="170"/>
      <c r="D134" s="170"/>
      <c r="E134" s="171"/>
      <c r="F134" s="171"/>
      <c r="H134" s="169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X134" s="169"/>
      <c r="Y134" s="169"/>
      <c r="Z134" s="169"/>
      <c r="AA134" s="170"/>
    </row>
    <row r="135" spans="1:27" s="11" customFormat="1">
      <c r="A135" s="168"/>
      <c r="B135" s="169"/>
      <c r="C135" s="170"/>
      <c r="D135" s="170"/>
      <c r="E135" s="171"/>
      <c r="F135" s="171"/>
      <c r="H135" s="169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X135" s="169"/>
      <c r="Y135" s="169"/>
      <c r="Z135" s="169"/>
      <c r="AA135" s="170"/>
    </row>
    <row r="136" spans="1:27" s="11" customFormat="1">
      <c r="A136" s="168"/>
      <c r="B136" s="169"/>
      <c r="C136" s="170"/>
      <c r="D136" s="170"/>
      <c r="E136" s="171"/>
      <c r="F136" s="171"/>
      <c r="H136" s="169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X136" s="169"/>
      <c r="Y136" s="169"/>
      <c r="Z136" s="169"/>
      <c r="AA136" s="170"/>
    </row>
    <row r="137" spans="1:27" s="11" customFormat="1">
      <c r="A137" s="168"/>
      <c r="B137" s="169"/>
      <c r="C137" s="170"/>
      <c r="D137" s="170"/>
      <c r="E137" s="171"/>
      <c r="F137" s="171"/>
      <c r="H137" s="169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X137" s="169"/>
      <c r="Y137" s="169"/>
      <c r="Z137" s="169"/>
      <c r="AA137" s="170"/>
    </row>
    <row r="138" spans="1:27" s="11" customFormat="1">
      <c r="A138" s="168"/>
      <c r="B138" s="169"/>
      <c r="C138" s="170"/>
      <c r="D138" s="170"/>
      <c r="E138" s="171"/>
      <c r="F138" s="171"/>
      <c r="H138" s="169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X138" s="169"/>
      <c r="Y138" s="169"/>
      <c r="Z138" s="169"/>
      <c r="AA138" s="170"/>
    </row>
    <row r="139" spans="1:27" s="11" customFormat="1">
      <c r="A139" s="168"/>
      <c r="B139" s="169"/>
      <c r="C139" s="170"/>
      <c r="D139" s="170"/>
      <c r="E139" s="171"/>
      <c r="F139" s="171"/>
      <c r="H139" s="169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X139" s="169"/>
      <c r="Y139" s="169"/>
      <c r="Z139" s="169"/>
      <c r="AA139" s="170"/>
    </row>
    <row r="140" spans="1:27" s="11" customFormat="1">
      <c r="A140" s="168"/>
      <c r="B140" s="169"/>
      <c r="C140" s="170"/>
      <c r="D140" s="170"/>
      <c r="E140" s="171"/>
      <c r="F140" s="171"/>
      <c r="H140" s="169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X140" s="169"/>
      <c r="Y140" s="169"/>
      <c r="Z140" s="169"/>
      <c r="AA140" s="170"/>
    </row>
    <row r="141" spans="1:27" s="11" customFormat="1">
      <c r="A141" s="168"/>
      <c r="B141" s="169"/>
      <c r="C141" s="170"/>
      <c r="D141" s="170"/>
      <c r="E141" s="171"/>
      <c r="F141" s="171"/>
      <c r="H141" s="169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X141" s="169"/>
      <c r="Y141" s="169"/>
      <c r="Z141" s="169"/>
      <c r="AA141" s="170"/>
    </row>
    <row r="142" spans="1:27" s="11" customFormat="1">
      <c r="A142" s="168"/>
      <c r="B142" s="169"/>
      <c r="C142" s="170"/>
      <c r="D142" s="170"/>
      <c r="E142" s="171"/>
      <c r="F142" s="171"/>
      <c r="H142" s="169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X142" s="169"/>
      <c r="Y142" s="169"/>
      <c r="Z142" s="169"/>
      <c r="AA142" s="170"/>
    </row>
    <row r="143" spans="1:27" s="11" customFormat="1">
      <c r="A143" s="168"/>
      <c r="B143" s="169"/>
      <c r="C143" s="170"/>
      <c r="D143" s="170"/>
      <c r="E143" s="171"/>
      <c r="F143" s="171"/>
      <c r="H143" s="169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X143" s="169"/>
      <c r="Y143" s="169"/>
      <c r="Z143" s="169"/>
      <c r="AA143" s="170"/>
    </row>
    <row r="144" spans="1:27" s="11" customFormat="1">
      <c r="A144" s="168"/>
      <c r="B144" s="169"/>
      <c r="C144" s="170"/>
      <c r="D144" s="170"/>
      <c r="E144" s="171"/>
      <c r="F144" s="171"/>
      <c r="H144" s="169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X144" s="169"/>
      <c r="Y144" s="169"/>
      <c r="Z144" s="169"/>
      <c r="AA144" s="170"/>
    </row>
    <row r="145" spans="1:27" s="11" customFormat="1">
      <c r="A145" s="168"/>
      <c r="B145" s="169"/>
      <c r="C145" s="170"/>
      <c r="D145" s="170"/>
      <c r="E145" s="171"/>
      <c r="F145" s="171"/>
      <c r="H145" s="169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X145" s="169"/>
      <c r="Y145" s="169"/>
      <c r="Z145" s="169"/>
      <c r="AA145" s="170"/>
    </row>
    <row r="146" spans="1:27" s="11" customFormat="1">
      <c r="A146" s="168"/>
      <c r="B146" s="169"/>
      <c r="C146" s="170"/>
      <c r="D146" s="170"/>
      <c r="E146" s="171"/>
      <c r="F146" s="171"/>
      <c r="H146" s="169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X146" s="169"/>
      <c r="Y146" s="169"/>
      <c r="Z146" s="169"/>
      <c r="AA146" s="170"/>
    </row>
    <row r="147" spans="1:27" s="11" customFormat="1">
      <c r="A147" s="168"/>
      <c r="B147" s="169"/>
      <c r="C147" s="170"/>
      <c r="D147" s="170"/>
      <c r="E147" s="171"/>
      <c r="F147" s="171"/>
      <c r="H147" s="169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X147" s="169"/>
      <c r="Y147" s="169"/>
      <c r="Z147" s="169"/>
      <c r="AA147" s="170"/>
    </row>
    <row r="148" spans="1:27" s="11" customFormat="1">
      <c r="A148" s="168"/>
      <c r="B148" s="169"/>
      <c r="C148" s="170"/>
      <c r="D148" s="170"/>
      <c r="E148" s="171"/>
      <c r="F148" s="171"/>
      <c r="H148" s="169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X148" s="169"/>
      <c r="Y148" s="169"/>
      <c r="Z148" s="169"/>
      <c r="AA148" s="170"/>
    </row>
    <row r="149" spans="1:27" s="11" customFormat="1">
      <c r="A149" s="168"/>
      <c r="B149" s="169"/>
      <c r="C149" s="170"/>
      <c r="D149" s="170"/>
      <c r="E149" s="171"/>
      <c r="F149" s="171"/>
      <c r="H149" s="169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X149" s="169"/>
      <c r="Y149" s="169"/>
      <c r="Z149" s="169"/>
      <c r="AA149" s="170"/>
    </row>
    <row r="150" spans="1:27" s="11" customFormat="1">
      <c r="A150" s="168"/>
      <c r="B150" s="169"/>
      <c r="C150" s="170"/>
      <c r="D150" s="170"/>
      <c r="E150" s="171"/>
      <c r="F150" s="171"/>
      <c r="H150" s="169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X150" s="169"/>
      <c r="Y150" s="169"/>
      <c r="Z150" s="169"/>
      <c r="AA150" s="170"/>
    </row>
    <row r="151" spans="1:27" s="11" customFormat="1">
      <c r="A151" s="168"/>
      <c r="B151" s="169"/>
      <c r="C151" s="170"/>
      <c r="D151" s="170"/>
      <c r="E151" s="171"/>
      <c r="F151" s="171"/>
      <c r="H151" s="169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X151" s="169"/>
      <c r="Y151" s="169"/>
      <c r="Z151" s="169"/>
      <c r="AA151" s="170"/>
    </row>
    <row r="152" spans="1:27" s="11" customFormat="1">
      <c r="A152" s="168"/>
      <c r="B152" s="169"/>
      <c r="C152" s="170"/>
      <c r="D152" s="170"/>
      <c r="E152" s="171"/>
      <c r="F152" s="171"/>
      <c r="H152" s="169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X152" s="169"/>
      <c r="Y152" s="169"/>
      <c r="Z152" s="169"/>
      <c r="AA152" s="170"/>
    </row>
    <row r="153" spans="1:27" s="11" customFormat="1">
      <c r="A153" s="168"/>
      <c r="B153" s="169"/>
      <c r="C153" s="170"/>
      <c r="D153" s="170"/>
      <c r="E153" s="171"/>
      <c r="F153" s="171"/>
      <c r="H153" s="169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X153" s="169"/>
      <c r="Y153" s="169"/>
      <c r="Z153" s="169"/>
      <c r="AA153" s="170"/>
    </row>
    <row r="154" spans="1:27" s="11" customFormat="1">
      <c r="A154" s="168"/>
      <c r="B154" s="169"/>
      <c r="C154" s="170"/>
      <c r="D154" s="170"/>
      <c r="E154" s="171"/>
      <c r="F154" s="171"/>
      <c r="H154" s="169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X154" s="169"/>
      <c r="Y154" s="169"/>
      <c r="Z154" s="169"/>
      <c r="AA154" s="170"/>
    </row>
    <row r="155" spans="1:27" s="11" customFormat="1">
      <c r="A155" s="168"/>
      <c r="B155" s="169"/>
      <c r="C155" s="170"/>
      <c r="D155" s="170"/>
      <c r="E155" s="171"/>
      <c r="F155" s="171"/>
      <c r="H155" s="169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X155" s="169"/>
      <c r="Y155" s="169"/>
      <c r="Z155" s="169"/>
      <c r="AA155" s="170"/>
    </row>
    <row r="156" spans="1:27" s="11" customFormat="1">
      <c r="A156" s="168"/>
      <c r="B156" s="169"/>
      <c r="C156" s="170"/>
      <c r="D156" s="170"/>
      <c r="E156" s="171"/>
      <c r="F156" s="171"/>
      <c r="H156" s="169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X156" s="169"/>
      <c r="Y156" s="169"/>
      <c r="Z156" s="169"/>
      <c r="AA156" s="170"/>
    </row>
    <row r="157" spans="1:27" s="11" customFormat="1">
      <c r="A157" s="168"/>
      <c r="B157" s="169"/>
      <c r="C157" s="170"/>
      <c r="D157" s="170"/>
      <c r="E157" s="171"/>
      <c r="F157" s="171"/>
      <c r="H157" s="169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X157" s="169"/>
      <c r="Y157" s="169"/>
      <c r="Z157" s="169"/>
      <c r="AA157" s="170"/>
    </row>
    <row r="158" spans="1:27" s="11" customFormat="1">
      <c r="A158" s="168"/>
      <c r="B158" s="169"/>
      <c r="C158" s="170"/>
      <c r="D158" s="170"/>
      <c r="E158" s="171"/>
      <c r="F158" s="171"/>
      <c r="H158" s="169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X158" s="169"/>
      <c r="Y158" s="169"/>
      <c r="Z158" s="169"/>
      <c r="AA158" s="170"/>
    </row>
    <row r="159" spans="1:27" s="11" customFormat="1">
      <c r="A159" s="168"/>
      <c r="B159" s="169"/>
      <c r="C159" s="170"/>
      <c r="D159" s="170"/>
      <c r="E159" s="171"/>
      <c r="F159" s="171"/>
      <c r="H159" s="169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X159" s="169"/>
      <c r="Y159" s="169"/>
      <c r="Z159" s="169"/>
      <c r="AA159" s="170"/>
    </row>
    <row r="160" spans="1:27" s="11" customFormat="1">
      <c r="A160" s="168"/>
      <c r="B160" s="169"/>
      <c r="C160" s="170"/>
      <c r="D160" s="170"/>
      <c r="E160" s="171"/>
      <c r="F160" s="171"/>
      <c r="H160" s="169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X160" s="169"/>
      <c r="Y160" s="169"/>
      <c r="Z160" s="169"/>
      <c r="AA160" s="170"/>
    </row>
    <row r="161" spans="1:27" s="11" customFormat="1">
      <c r="A161" s="168"/>
      <c r="B161" s="169"/>
      <c r="C161" s="170"/>
      <c r="D161" s="170"/>
      <c r="E161" s="171"/>
      <c r="F161" s="171"/>
      <c r="H161" s="169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X161" s="169"/>
      <c r="Y161" s="169"/>
      <c r="Z161" s="169"/>
      <c r="AA161" s="170"/>
    </row>
    <row r="162" spans="1:27" s="11" customFormat="1">
      <c r="A162" s="168"/>
      <c r="B162" s="169"/>
      <c r="C162" s="170"/>
      <c r="D162" s="170"/>
      <c r="E162" s="171"/>
      <c r="F162" s="171"/>
      <c r="H162" s="169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X162" s="169"/>
      <c r="Y162" s="169"/>
      <c r="Z162" s="169"/>
      <c r="AA162" s="170"/>
    </row>
    <row r="163" spans="1:27" s="11" customFormat="1">
      <c r="A163" s="168"/>
      <c r="B163" s="169"/>
      <c r="C163" s="170"/>
      <c r="D163" s="170"/>
      <c r="E163" s="171"/>
      <c r="F163" s="171"/>
      <c r="H163" s="169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X163" s="169"/>
      <c r="Y163" s="169"/>
      <c r="Z163" s="169"/>
      <c r="AA163" s="170"/>
    </row>
    <row r="164" spans="1:27" s="11" customFormat="1">
      <c r="A164" s="168"/>
      <c r="B164" s="169"/>
      <c r="C164" s="170"/>
      <c r="D164" s="170"/>
      <c r="E164" s="171"/>
      <c r="F164" s="171"/>
      <c r="H164" s="169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X164" s="169"/>
      <c r="Y164" s="169"/>
      <c r="Z164" s="169"/>
      <c r="AA164" s="170"/>
    </row>
    <row r="165" spans="1:27" s="11" customFormat="1">
      <c r="A165" s="168"/>
      <c r="B165" s="169"/>
      <c r="C165" s="170"/>
      <c r="D165" s="170"/>
      <c r="E165" s="171"/>
      <c r="F165" s="171"/>
      <c r="H165" s="169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X165" s="169"/>
      <c r="Y165" s="169"/>
      <c r="Z165" s="169"/>
      <c r="AA165" s="170"/>
    </row>
    <row r="166" spans="1:27" s="11" customFormat="1">
      <c r="A166" s="168"/>
      <c r="B166" s="169"/>
      <c r="C166" s="170"/>
      <c r="D166" s="170"/>
      <c r="E166" s="171"/>
      <c r="F166" s="171"/>
      <c r="H166" s="169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X166" s="169"/>
      <c r="Y166" s="169"/>
      <c r="Z166" s="169"/>
      <c r="AA166" s="170"/>
    </row>
    <row r="167" spans="1:27" s="11" customFormat="1">
      <c r="A167" s="168"/>
      <c r="B167" s="169"/>
      <c r="C167" s="170"/>
      <c r="D167" s="170"/>
      <c r="E167" s="171"/>
      <c r="F167" s="171"/>
      <c r="H167" s="169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X167" s="169"/>
      <c r="Y167" s="169"/>
      <c r="Z167" s="169"/>
      <c r="AA167" s="170"/>
    </row>
    <row r="168" spans="1:27" s="11" customFormat="1">
      <c r="A168" s="168"/>
      <c r="B168" s="169"/>
      <c r="C168" s="170"/>
      <c r="D168" s="170"/>
      <c r="E168" s="171"/>
      <c r="F168" s="171"/>
      <c r="H168" s="169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X168" s="169"/>
      <c r="Y168" s="169"/>
      <c r="Z168" s="169"/>
      <c r="AA168" s="170"/>
    </row>
    <row r="169" spans="1:27" s="11" customFormat="1">
      <c r="A169" s="168"/>
      <c r="B169" s="169"/>
      <c r="C169" s="170"/>
      <c r="D169" s="170"/>
      <c r="E169" s="171"/>
      <c r="F169" s="171"/>
      <c r="H169" s="169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X169" s="169"/>
      <c r="Y169" s="169"/>
      <c r="Z169" s="169"/>
      <c r="AA169" s="170"/>
    </row>
    <row r="170" spans="1:27" s="11" customFormat="1">
      <c r="A170" s="168"/>
      <c r="B170" s="169"/>
      <c r="C170" s="170"/>
      <c r="D170" s="170"/>
      <c r="E170" s="171"/>
      <c r="F170" s="171"/>
      <c r="H170" s="169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X170" s="169"/>
      <c r="Y170" s="169"/>
      <c r="Z170" s="169"/>
      <c r="AA170" s="170"/>
    </row>
    <row r="171" spans="1:27" s="11" customFormat="1">
      <c r="A171" s="168"/>
      <c r="B171" s="169"/>
      <c r="C171" s="170"/>
      <c r="D171" s="170"/>
      <c r="E171" s="171"/>
      <c r="F171" s="171"/>
      <c r="H171" s="169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X171" s="169"/>
      <c r="Y171" s="169"/>
      <c r="Z171" s="169"/>
      <c r="AA171" s="170"/>
    </row>
    <row r="172" spans="1:27" s="11" customFormat="1">
      <c r="A172" s="168"/>
      <c r="B172" s="169"/>
      <c r="C172" s="170"/>
      <c r="D172" s="170"/>
      <c r="E172" s="171"/>
      <c r="F172" s="171"/>
      <c r="H172" s="169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X172" s="169"/>
      <c r="Y172" s="169"/>
      <c r="Z172" s="169"/>
      <c r="AA172" s="170"/>
    </row>
    <row r="173" spans="1:27" s="11" customFormat="1">
      <c r="A173" s="168"/>
      <c r="B173" s="169"/>
      <c r="C173" s="170"/>
      <c r="D173" s="170"/>
      <c r="E173" s="171"/>
      <c r="F173" s="171"/>
      <c r="H173" s="169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X173" s="169"/>
      <c r="Y173" s="169"/>
      <c r="Z173" s="169"/>
      <c r="AA173" s="170"/>
    </row>
    <row r="174" spans="1:27" s="11" customFormat="1">
      <c r="A174" s="168"/>
      <c r="B174" s="169"/>
      <c r="C174" s="170"/>
      <c r="D174" s="170"/>
      <c r="E174" s="171"/>
      <c r="F174" s="171"/>
      <c r="H174" s="169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X174" s="169"/>
      <c r="Y174" s="169"/>
      <c r="Z174" s="169"/>
      <c r="AA174" s="170"/>
    </row>
    <row r="175" spans="1:27" s="11" customFormat="1">
      <c r="A175" s="168"/>
      <c r="B175" s="169"/>
      <c r="C175" s="170"/>
      <c r="D175" s="170"/>
      <c r="E175" s="171"/>
      <c r="F175" s="171"/>
      <c r="H175" s="169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X175" s="169"/>
      <c r="Y175" s="169"/>
      <c r="Z175" s="169"/>
      <c r="AA175" s="170"/>
    </row>
    <row r="176" spans="1:27" s="11" customFormat="1">
      <c r="A176" s="168"/>
      <c r="B176" s="169"/>
      <c r="C176" s="170"/>
      <c r="D176" s="170"/>
      <c r="E176" s="171"/>
      <c r="F176" s="171"/>
      <c r="H176" s="169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X176" s="169"/>
      <c r="Y176" s="169"/>
      <c r="Z176" s="169"/>
      <c r="AA176" s="170"/>
    </row>
    <row r="177" spans="1:27" s="11" customFormat="1">
      <c r="A177" s="168"/>
      <c r="B177" s="169"/>
      <c r="C177" s="170"/>
      <c r="D177" s="170"/>
      <c r="E177" s="171"/>
      <c r="F177" s="171"/>
      <c r="H177" s="169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X177" s="169"/>
      <c r="Y177" s="169"/>
      <c r="Z177" s="169"/>
      <c r="AA177" s="170"/>
    </row>
    <row r="178" spans="1:27" s="11" customFormat="1">
      <c r="A178" s="168"/>
      <c r="B178" s="169"/>
      <c r="C178" s="170"/>
      <c r="D178" s="170"/>
      <c r="E178" s="171"/>
      <c r="F178" s="171"/>
      <c r="H178" s="169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X178" s="169"/>
      <c r="Y178" s="169"/>
      <c r="Z178" s="169"/>
      <c r="AA178" s="170"/>
    </row>
    <row r="179" spans="1:27" s="11" customFormat="1">
      <c r="A179" s="168"/>
      <c r="B179" s="169"/>
      <c r="C179" s="170"/>
      <c r="D179" s="170"/>
      <c r="E179" s="171"/>
      <c r="F179" s="171"/>
      <c r="H179" s="169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X179" s="169"/>
      <c r="Y179" s="169"/>
      <c r="Z179" s="169"/>
      <c r="AA179" s="170"/>
    </row>
    <row r="180" spans="1:27" s="11" customFormat="1">
      <c r="A180" s="168"/>
      <c r="B180" s="169"/>
      <c r="C180" s="170"/>
      <c r="D180" s="170"/>
      <c r="E180" s="171"/>
      <c r="F180" s="171"/>
      <c r="H180" s="169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X180" s="169"/>
      <c r="Y180" s="169"/>
      <c r="Z180" s="169"/>
      <c r="AA180" s="170"/>
    </row>
    <row r="181" spans="1:27" s="11" customFormat="1">
      <c r="A181" s="168"/>
      <c r="B181" s="169"/>
      <c r="C181" s="170"/>
      <c r="D181" s="170"/>
      <c r="E181" s="171"/>
      <c r="F181" s="171"/>
      <c r="H181" s="169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X181" s="169"/>
      <c r="Y181" s="169"/>
      <c r="Z181" s="169"/>
      <c r="AA181" s="170"/>
    </row>
    <row r="182" spans="1:27" s="11" customFormat="1">
      <c r="A182" s="168"/>
      <c r="B182" s="169"/>
      <c r="C182" s="170"/>
      <c r="D182" s="170"/>
      <c r="E182" s="171"/>
      <c r="F182" s="171"/>
      <c r="H182" s="169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X182" s="169"/>
      <c r="Y182" s="169"/>
      <c r="Z182" s="169"/>
      <c r="AA182" s="170"/>
    </row>
    <row r="183" spans="1:27" s="11" customFormat="1">
      <c r="A183" s="168"/>
      <c r="B183" s="169"/>
      <c r="C183" s="170"/>
      <c r="D183" s="170"/>
      <c r="E183" s="171"/>
      <c r="F183" s="171"/>
      <c r="H183" s="169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X183" s="169"/>
      <c r="Y183" s="169"/>
      <c r="Z183" s="169"/>
      <c r="AA183" s="170"/>
    </row>
    <row r="184" spans="1:27" s="11" customFormat="1">
      <c r="A184" s="168"/>
      <c r="B184" s="169"/>
      <c r="C184" s="170"/>
      <c r="D184" s="170"/>
      <c r="E184" s="171"/>
      <c r="F184" s="171"/>
      <c r="H184" s="169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X184" s="169"/>
      <c r="Y184" s="169"/>
      <c r="Z184" s="169"/>
      <c r="AA184" s="170"/>
    </row>
    <row r="185" spans="1:27" s="11" customFormat="1">
      <c r="A185" s="168"/>
      <c r="B185" s="169"/>
      <c r="C185" s="170"/>
      <c r="D185" s="170"/>
      <c r="E185" s="171"/>
      <c r="F185" s="171"/>
      <c r="H185" s="169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X185" s="169"/>
      <c r="Y185" s="169"/>
      <c r="Z185" s="169"/>
      <c r="AA185" s="170"/>
    </row>
    <row r="186" spans="1:27" s="11" customFormat="1">
      <c r="A186" s="168"/>
      <c r="B186" s="169"/>
      <c r="C186" s="170"/>
      <c r="D186" s="170"/>
      <c r="E186" s="171"/>
      <c r="F186" s="171"/>
      <c r="H186" s="169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X186" s="169"/>
      <c r="Y186" s="169"/>
      <c r="Z186" s="169"/>
      <c r="AA186" s="170"/>
    </row>
    <row r="187" spans="1:27" s="11" customFormat="1">
      <c r="A187" s="168"/>
      <c r="B187" s="169"/>
      <c r="C187" s="170"/>
      <c r="D187" s="170"/>
      <c r="E187" s="171"/>
      <c r="F187" s="171"/>
      <c r="H187" s="169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X187" s="169"/>
      <c r="Y187" s="169"/>
      <c r="Z187" s="169"/>
      <c r="AA187" s="170"/>
    </row>
    <row r="188" spans="1:27" s="11" customFormat="1">
      <c r="A188" s="168"/>
      <c r="B188" s="169"/>
      <c r="C188" s="170"/>
      <c r="D188" s="170"/>
      <c r="E188" s="171"/>
      <c r="F188" s="171"/>
      <c r="H188" s="169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X188" s="169"/>
      <c r="Y188" s="169"/>
      <c r="Z188" s="169"/>
      <c r="AA188" s="170"/>
    </row>
    <row r="189" spans="1:27" s="11" customFormat="1">
      <c r="A189" s="168"/>
      <c r="B189" s="169"/>
      <c r="C189" s="170"/>
      <c r="D189" s="170"/>
      <c r="E189" s="171"/>
      <c r="F189" s="171"/>
      <c r="H189" s="169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X189" s="169"/>
      <c r="Y189" s="169"/>
      <c r="Z189" s="169"/>
      <c r="AA189" s="170"/>
    </row>
    <row r="190" spans="1:27" s="11" customFormat="1">
      <c r="A190" s="168"/>
      <c r="B190" s="169"/>
      <c r="C190" s="170"/>
      <c r="D190" s="170"/>
      <c r="E190" s="171"/>
      <c r="F190" s="171"/>
      <c r="H190" s="169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X190" s="169"/>
      <c r="Y190" s="169"/>
      <c r="Z190" s="169"/>
      <c r="AA190" s="170"/>
    </row>
    <row r="191" spans="1:27" s="11" customFormat="1">
      <c r="A191" s="168"/>
      <c r="B191" s="169"/>
      <c r="C191" s="170"/>
      <c r="D191" s="170"/>
      <c r="E191" s="171"/>
      <c r="F191" s="171"/>
      <c r="H191" s="169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X191" s="169"/>
      <c r="Y191" s="169"/>
      <c r="Z191" s="169"/>
      <c r="AA191" s="170"/>
    </row>
    <row r="192" spans="1:27" s="11" customFormat="1">
      <c r="A192" s="168"/>
      <c r="B192" s="169"/>
      <c r="C192" s="170"/>
      <c r="D192" s="170"/>
      <c r="E192" s="171"/>
      <c r="F192" s="171"/>
      <c r="H192" s="169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X192" s="169"/>
      <c r="Y192" s="169"/>
      <c r="Z192" s="169"/>
      <c r="AA192" s="170"/>
    </row>
    <row r="193" spans="1:27" s="11" customFormat="1">
      <c r="A193" s="168"/>
      <c r="B193" s="169"/>
      <c r="C193" s="170"/>
      <c r="D193" s="170"/>
      <c r="E193" s="171"/>
      <c r="F193" s="171"/>
      <c r="H193" s="169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X193" s="169"/>
      <c r="Y193" s="169"/>
      <c r="Z193" s="169"/>
      <c r="AA193" s="170"/>
    </row>
    <row r="194" spans="1:27" s="11" customFormat="1">
      <c r="A194" s="168"/>
      <c r="B194" s="169"/>
      <c r="C194" s="170"/>
      <c r="D194" s="170"/>
      <c r="E194" s="171"/>
      <c r="F194" s="171"/>
      <c r="H194" s="169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X194" s="169"/>
      <c r="Y194" s="169"/>
      <c r="Z194" s="169"/>
      <c r="AA194" s="170"/>
    </row>
    <row r="195" spans="1:27" s="11" customFormat="1">
      <c r="A195" s="168"/>
      <c r="B195" s="169"/>
      <c r="C195" s="170"/>
      <c r="D195" s="170"/>
      <c r="E195" s="171"/>
      <c r="F195" s="171"/>
      <c r="H195" s="169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X195" s="169"/>
      <c r="Y195" s="169"/>
      <c r="Z195" s="169"/>
      <c r="AA195" s="170"/>
    </row>
    <row r="196" spans="1:27" s="11" customFormat="1">
      <c r="A196" s="168"/>
      <c r="B196" s="169"/>
      <c r="C196" s="170"/>
      <c r="D196" s="170"/>
      <c r="E196" s="171"/>
      <c r="F196" s="171"/>
      <c r="H196" s="169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X196" s="169"/>
      <c r="Y196" s="169"/>
      <c r="Z196" s="169"/>
      <c r="AA196" s="170"/>
    </row>
    <row r="197" spans="1:27" s="11" customFormat="1">
      <c r="A197" s="168"/>
      <c r="B197" s="169"/>
      <c r="C197" s="170"/>
      <c r="D197" s="170"/>
      <c r="E197" s="171"/>
      <c r="F197" s="171"/>
      <c r="H197" s="169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X197" s="169"/>
      <c r="Y197" s="169"/>
      <c r="Z197" s="169"/>
      <c r="AA197" s="170"/>
    </row>
    <row r="198" spans="1:27" s="11" customFormat="1">
      <c r="A198" s="168"/>
      <c r="B198" s="169"/>
      <c r="C198" s="170"/>
      <c r="D198" s="170"/>
      <c r="E198" s="171"/>
      <c r="F198" s="171"/>
      <c r="H198" s="169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X198" s="169"/>
      <c r="Y198" s="169"/>
      <c r="Z198" s="169"/>
      <c r="AA198" s="170"/>
    </row>
    <row r="199" spans="1:27" s="11" customFormat="1">
      <c r="A199" s="168"/>
      <c r="B199" s="169"/>
      <c r="C199" s="170"/>
      <c r="D199" s="170"/>
      <c r="E199" s="171"/>
      <c r="F199" s="171"/>
      <c r="H199" s="169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X199" s="169"/>
      <c r="Y199" s="169"/>
      <c r="Z199" s="169"/>
      <c r="AA199" s="170"/>
    </row>
    <row r="200" spans="1:27" s="11" customFormat="1">
      <c r="A200" s="168"/>
      <c r="B200" s="169"/>
      <c r="C200" s="170"/>
      <c r="D200" s="170"/>
      <c r="E200" s="171"/>
      <c r="F200" s="171"/>
      <c r="H200" s="169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X200" s="169"/>
      <c r="Y200" s="169"/>
      <c r="Z200" s="169"/>
      <c r="AA200" s="170"/>
    </row>
    <row r="201" spans="1:27" s="11" customFormat="1">
      <c r="A201" s="168"/>
      <c r="B201" s="169"/>
      <c r="C201" s="170"/>
      <c r="D201" s="170"/>
      <c r="E201" s="171"/>
      <c r="F201" s="171"/>
      <c r="H201" s="169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X201" s="169"/>
      <c r="Y201" s="169"/>
      <c r="Z201" s="169"/>
      <c r="AA201" s="170"/>
    </row>
    <row r="202" spans="1:27" s="11" customFormat="1">
      <c r="A202" s="168"/>
      <c r="B202" s="169"/>
      <c r="C202" s="170"/>
      <c r="D202" s="170"/>
      <c r="E202" s="171"/>
      <c r="F202" s="171"/>
      <c r="H202" s="169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X202" s="169"/>
      <c r="Y202" s="169"/>
      <c r="Z202" s="169"/>
      <c r="AA202" s="170"/>
    </row>
    <row r="203" spans="1:27" s="11" customFormat="1">
      <c r="A203" s="168"/>
      <c r="B203" s="169"/>
      <c r="C203" s="170"/>
      <c r="D203" s="170"/>
      <c r="E203" s="171"/>
      <c r="F203" s="171"/>
      <c r="H203" s="169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X203" s="169"/>
      <c r="Y203" s="169"/>
      <c r="Z203" s="169"/>
      <c r="AA203" s="170"/>
    </row>
    <row r="204" spans="1:27" s="11" customFormat="1">
      <c r="A204" s="168"/>
      <c r="B204" s="169"/>
      <c r="C204" s="170"/>
      <c r="D204" s="170"/>
      <c r="E204" s="171"/>
      <c r="F204" s="171"/>
      <c r="H204" s="169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X204" s="169"/>
      <c r="Y204" s="169"/>
      <c r="Z204" s="169"/>
      <c r="AA204" s="170"/>
    </row>
    <row r="205" spans="1:27" s="11" customFormat="1">
      <c r="A205" s="168"/>
      <c r="B205" s="169"/>
      <c r="C205" s="170"/>
      <c r="D205" s="170"/>
      <c r="E205" s="171"/>
      <c r="F205" s="171"/>
      <c r="H205" s="169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X205" s="169"/>
      <c r="Y205" s="169"/>
      <c r="Z205" s="169"/>
      <c r="AA205" s="170"/>
    </row>
    <row r="206" spans="1:27" s="11" customFormat="1">
      <c r="A206" s="168"/>
      <c r="B206" s="169"/>
      <c r="C206" s="170"/>
      <c r="D206" s="170"/>
      <c r="E206" s="171"/>
      <c r="F206" s="171"/>
      <c r="H206" s="169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X206" s="169"/>
      <c r="Y206" s="169"/>
      <c r="Z206" s="169"/>
      <c r="AA206" s="170"/>
    </row>
    <row r="207" spans="1:27" s="11" customFormat="1">
      <c r="A207" s="168"/>
      <c r="B207" s="169"/>
      <c r="C207" s="170"/>
      <c r="D207" s="170"/>
      <c r="E207" s="171"/>
      <c r="F207" s="171"/>
      <c r="H207" s="169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X207" s="169"/>
      <c r="Y207" s="169"/>
      <c r="Z207" s="169"/>
      <c r="AA207" s="170"/>
    </row>
    <row r="208" spans="1:27" s="11" customFormat="1">
      <c r="A208" s="168"/>
      <c r="B208" s="169"/>
      <c r="C208" s="170"/>
      <c r="D208" s="170"/>
      <c r="E208" s="171"/>
      <c r="F208" s="171"/>
      <c r="H208" s="169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X208" s="169"/>
      <c r="Y208" s="169"/>
      <c r="Z208" s="169"/>
      <c r="AA208" s="170"/>
    </row>
    <row r="209" spans="1:27" s="11" customFormat="1">
      <c r="A209" s="168"/>
      <c r="B209" s="169"/>
      <c r="C209" s="170"/>
      <c r="D209" s="170"/>
      <c r="E209" s="171"/>
      <c r="F209" s="171"/>
      <c r="H209" s="169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X209" s="169"/>
      <c r="Y209" s="169"/>
      <c r="Z209" s="169"/>
      <c r="AA209" s="170"/>
    </row>
    <row r="210" spans="1:27" s="11" customFormat="1">
      <c r="A210" s="168"/>
      <c r="B210" s="169"/>
      <c r="C210" s="170"/>
      <c r="D210" s="170"/>
      <c r="E210" s="171"/>
      <c r="F210" s="171"/>
      <c r="H210" s="169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X210" s="169"/>
      <c r="Y210" s="169"/>
      <c r="Z210" s="169"/>
      <c r="AA210" s="170"/>
    </row>
    <row r="211" spans="1:27" s="11" customFormat="1">
      <c r="A211" s="168"/>
      <c r="B211" s="169"/>
      <c r="C211" s="170"/>
      <c r="D211" s="170"/>
      <c r="E211" s="171"/>
      <c r="F211" s="171"/>
      <c r="H211" s="169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X211" s="169"/>
      <c r="Y211" s="169"/>
      <c r="Z211" s="169"/>
      <c r="AA211" s="170"/>
    </row>
    <row r="212" spans="1:27" s="11" customFormat="1">
      <c r="A212" s="168"/>
      <c r="B212" s="169"/>
      <c r="C212" s="170"/>
      <c r="D212" s="170"/>
      <c r="E212" s="171"/>
      <c r="F212" s="171"/>
      <c r="H212" s="169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X212" s="169"/>
      <c r="Y212" s="169"/>
      <c r="Z212" s="169"/>
      <c r="AA212" s="170"/>
    </row>
    <row r="213" spans="1:27" s="11" customFormat="1">
      <c r="A213" s="168"/>
      <c r="B213" s="169"/>
      <c r="C213" s="170"/>
      <c r="D213" s="170"/>
      <c r="E213" s="171"/>
      <c r="F213" s="171"/>
      <c r="H213" s="169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X213" s="169"/>
      <c r="Y213" s="169"/>
      <c r="Z213" s="169"/>
      <c r="AA213" s="170"/>
    </row>
    <row r="214" spans="1:27" s="11" customFormat="1">
      <c r="A214" s="168"/>
      <c r="B214" s="169"/>
      <c r="C214" s="170"/>
      <c r="D214" s="170"/>
      <c r="E214" s="171"/>
      <c r="F214" s="171"/>
      <c r="H214" s="169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X214" s="169"/>
      <c r="Y214" s="169"/>
      <c r="Z214" s="169"/>
      <c r="AA214" s="170"/>
    </row>
    <row r="215" spans="1:27" s="11" customFormat="1">
      <c r="A215" s="168"/>
      <c r="B215" s="169"/>
      <c r="C215" s="170"/>
      <c r="D215" s="170"/>
      <c r="E215" s="171"/>
      <c r="F215" s="171"/>
      <c r="H215" s="169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X215" s="169"/>
      <c r="Y215" s="169"/>
      <c r="Z215" s="169"/>
      <c r="AA215" s="170"/>
    </row>
    <row r="216" spans="1:27" s="11" customFormat="1">
      <c r="A216" s="168"/>
      <c r="B216" s="169"/>
      <c r="C216" s="170"/>
      <c r="D216" s="170"/>
      <c r="E216" s="171"/>
      <c r="F216" s="171"/>
      <c r="H216" s="169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X216" s="169"/>
      <c r="Y216" s="169"/>
      <c r="Z216" s="169"/>
      <c r="AA216" s="170"/>
    </row>
    <row r="217" spans="1:27" s="11" customFormat="1">
      <c r="A217" s="168"/>
      <c r="B217" s="169"/>
      <c r="C217" s="170"/>
      <c r="D217" s="170"/>
      <c r="E217" s="171"/>
      <c r="F217" s="171"/>
      <c r="H217" s="169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X217" s="169"/>
      <c r="Y217" s="169"/>
      <c r="Z217" s="169"/>
      <c r="AA217" s="170"/>
    </row>
    <row r="218" spans="1:27" s="11" customFormat="1">
      <c r="A218" s="168"/>
      <c r="B218" s="169"/>
      <c r="C218" s="170"/>
      <c r="D218" s="170"/>
      <c r="E218" s="171"/>
      <c r="F218" s="171"/>
      <c r="H218" s="169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X218" s="169"/>
      <c r="Y218" s="169"/>
      <c r="Z218" s="169"/>
      <c r="AA218" s="170"/>
    </row>
    <row r="219" spans="1:27" s="11" customFormat="1">
      <c r="A219" s="168"/>
      <c r="B219" s="169"/>
      <c r="C219" s="170"/>
      <c r="D219" s="170"/>
      <c r="E219" s="171"/>
      <c r="F219" s="171"/>
      <c r="H219" s="169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X219" s="169"/>
      <c r="Y219" s="169"/>
      <c r="Z219" s="169"/>
      <c r="AA219" s="170"/>
    </row>
    <row r="220" spans="1:27" s="11" customFormat="1">
      <c r="A220" s="168"/>
      <c r="B220" s="169"/>
      <c r="C220" s="170"/>
      <c r="D220" s="170"/>
      <c r="E220" s="171"/>
      <c r="F220" s="171"/>
      <c r="H220" s="169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X220" s="169"/>
      <c r="Y220" s="169"/>
      <c r="Z220" s="169"/>
      <c r="AA220" s="170"/>
    </row>
    <row r="221" spans="1:27" s="11" customFormat="1">
      <c r="A221" s="168"/>
      <c r="B221" s="169"/>
      <c r="C221" s="170"/>
      <c r="D221" s="170"/>
      <c r="E221" s="171"/>
      <c r="F221" s="171"/>
      <c r="H221" s="169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X221" s="169"/>
      <c r="Y221" s="169"/>
      <c r="Z221" s="169"/>
      <c r="AA221" s="170"/>
    </row>
    <row r="222" spans="1:27" s="11" customFormat="1">
      <c r="A222" s="168"/>
      <c r="B222" s="169"/>
      <c r="C222" s="170"/>
      <c r="D222" s="170"/>
      <c r="E222" s="171"/>
      <c r="F222" s="171"/>
      <c r="H222" s="169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X222" s="169"/>
      <c r="Y222" s="169"/>
      <c r="Z222" s="169"/>
      <c r="AA222" s="170"/>
    </row>
    <row r="223" spans="1:27" s="11" customFormat="1">
      <c r="A223" s="168"/>
      <c r="B223" s="169"/>
      <c r="C223" s="170"/>
      <c r="D223" s="170"/>
      <c r="E223" s="171"/>
      <c r="F223" s="171"/>
      <c r="H223" s="169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X223" s="169"/>
      <c r="Y223" s="169"/>
      <c r="Z223" s="169"/>
      <c r="AA223" s="170"/>
    </row>
    <row r="224" spans="1:27" s="11" customFormat="1">
      <c r="A224" s="168"/>
      <c r="B224" s="169"/>
      <c r="C224" s="170"/>
      <c r="D224" s="170"/>
      <c r="E224" s="171"/>
      <c r="F224" s="171"/>
      <c r="H224" s="169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X224" s="169"/>
      <c r="Y224" s="169"/>
      <c r="Z224" s="169"/>
      <c r="AA224" s="170"/>
    </row>
    <row r="225" spans="1:27" s="11" customFormat="1">
      <c r="A225" s="168"/>
      <c r="B225" s="169"/>
      <c r="C225" s="170"/>
      <c r="D225" s="170"/>
      <c r="E225" s="171"/>
      <c r="F225" s="171"/>
      <c r="H225" s="169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X225" s="169"/>
      <c r="Y225" s="169"/>
      <c r="Z225" s="169"/>
      <c r="AA225" s="170"/>
    </row>
    <row r="226" spans="1:27" s="11" customFormat="1">
      <c r="A226" s="168"/>
      <c r="B226" s="169"/>
      <c r="C226" s="170"/>
      <c r="D226" s="170"/>
      <c r="E226" s="171"/>
      <c r="F226" s="171"/>
      <c r="H226" s="169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X226" s="169"/>
      <c r="Y226" s="169"/>
      <c r="Z226" s="169"/>
      <c r="AA226" s="170"/>
    </row>
    <row r="227" spans="1:27" s="11" customFormat="1">
      <c r="A227" s="168"/>
      <c r="B227" s="169"/>
      <c r="C227" s="170"/>
      <c r="D227" s="170"/>
      <c r="E227" s="171"/>
      <c r="F227" s="171"/>
      <c r="H227" s="169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X227" s="169"/>
      <c r="Y227" s="169"/>
      <c r="Z227" s="169"/>
      <c r="AA227" s="170"/>
    </row>
    <row r="228" spans="1:27" s="11" customFormat="1">
      <c r="A228" s="168"/>
      <c r="B228" s="169"/>
      <c r="C228" s="170"/>
      <c r="D228" s="170"/>
      <c r="E228" s="171"/>
      <c r="F228" s="171"/>
      <c r="H228" s="169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X228" s="169"/>
      <c r="Y228" s="169"/>
      <c r="Z228" s="169"/>
      <c r="AA228" s="170"/>
    </row>
    <row r="229" spans="1:27" s="11" customFormat="1">
      <c r="A229" s="168"/>
      <c r="B229" s="169"/>
      <c r="C229" s="170"/>
      <c r="D229" s="170"/>
      <c r="E229" s="171"/>
      <c r="F229" s="171"/>
      <c r="H229" s="169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X229" s="169"/>
      <c r="Y229" s="169"/>
      <c r="Z229" s="169"/>
      <c r="AA229" s="170"/>
    </row>
    <row r="230" spans="1:27" s="11" customFormat="1">
      <c r="A230" s="168"/>
      <c r="B230" s="169"/>
      <c r="C230" s="170"/>
      <c r="D230" s="170"/>
      <c r="E230" s="171"/>
      <c r="F230" s="171"/>
      <c r="H230" s="169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X230" s="169"/>
      <c r="Y230" s="169"/>
      <c r="Z230" s="169"/>
      <c r="AA230" s="170"/>
    </row>
    <row r="231" spans="1:27" s="11" customFormat="1">
      <c r="A231" s="168"/>
      <c r="B231" s="169"/>
      <c r="C231" s="170"/>
      <c r="D231" s="170"/>
      <c r="E231" s="171"/>
      <c r="F231" s="171"/>
      <c r="H231" s="169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X231" s="169"/>
      <c r="Y231" s="169"/>
      <c r="Z231" s="169"/>
      <c r="AA231" s="170"/>
    </row>
    <row r="232" spans="1:27" s="11" customFormat="1">
      <c r="A232" s="168"/>
      <c r="B232" s="169"/>
      <c r="C232" s="170"/>
      <c r="D232" s="170"/>
      <c r="E232" s="171"/>
      <c r="F232" s="171"/>
      <c r="H232" s="169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X232" s="169"/>
      <c r="Y232" s="169"/>
      <c r="Z232" s="169"/>
      <c r="AA232" s="170"/>
    </row>
    <row r="233" spans="1:27" s="11" customFormat="1">
      <c r="A233" s="168"/>
      <c r="B233" s="169"/>
      <c r="C233" s="170"/>
      <c r="D233" s="170"/>
      <c r="E233" s="171"/>
      <c r="F233" s="171"/>
      <c r="H233" s="169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X233" s="169"/>
      <c r="Y233" s="169"/>
      <c r="Z233" s="169"/>
      <c r="AA233" s="170"/>
    </row>
    <row r="234" spans="1:27" s="11" customFormat="1">
      <c r="A234" s="168"/>
      <c r="B234" s="169"/>
      <c r="C234" s="170"/>
      <c r="D234" s="170"/>
      <c r="E234" s="171"/>
      <c r="F234" s="171"/>
      <c r="H234" s="169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X234" s="169"/>
      <c r="Y234" s="169"/>
      <c r="Z234" s="169"/>
      <c r="AA234" s="170"/>
    </row>
    <row r="235" spans="1:27" s="11" customFormat="1">
      <c r="A235" s="168"/>
      <c r="B235" s="169"/>
      <c r="C235" s="170"/>
      <c r="D235" s="170"/>
      <c r="E235" s="171"/>
      <c r="F235" s="171"/>
      <c r="H235" s="169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X235" s="169"/>
      <c r="Y235" s="169"/>
      <c r="Z235" s="169"/>
      <c r="AA235" s="170"/>
    </row>
    <row r="236" spans="1:27" s="11" customFormat="1">
      <c r="A236" s="168"/>
      <c r="B236" s="169"/>
      <c r="C236" s="170"/>
      <c r="D236" s="170"/>
      <c r="E236" s="171"/>
      <c r="F236" s="171"/>
      <c r="H236" s="169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X236" s="169"/>
      <c r="Y236" s="169"/>
      <c r="Z236" s="169"/>
      <c r="AA236" s="170"/>
    </row>
    <row r="237" spans="1:27" s="11" customFormat="1">
      <c r="A237" s="168"/>
      <c r="B237" s="169"/>
      <c r="C237" s="170"/>
      <c r="D237" s="170"/>
      <c r="E237" s="171"/>
      <c r="F237" s="171"/>
      <c r="H237" s="169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X237" s="169"/>
      <c r="Y237" s="169"/>
      <c r="Z237" s="169"/>
      <c r="AA237" s="170"/>
    </row>
    <row r="238" spans="1:27" s="11" customFormat="1">
      <c r="A238" s="168"/>
      <c r="B238" s="169"/>
      <c r="C238" s="170"/>
      <c r="D238" s="170"/>
      <c r="E238" s="171"/>
      <c r="F238" s="171"/>
      <c r="H238" s="169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X238" s="169"/>
      <c r="Y238" s="169"/>
      <c r="Z238" s="169"/>
      <c r="AA238" s="170"/>
    </row>
    <row r="239" spans="1:27" s="11" customFormat="1">
      <c r="A239" s="168"/>
      <c r="B239" s="169"/>
      <c r="C239" s="170"/>
      <c r="D239" s="170"/>
      <c r="E239" s="171"/>
      <c r="F239" s="171"/>
      <c r="H239" s="169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X239" s="169"/>
      <c r="Y239" s="169"/>
      <c r="Z239" s="169"/>
      <c r="AA239" s="170"/>
    </row>
    <row r="240" spans="1:27" s="11" customFormat="1">
      <c r="A240" s="168"/>
      <c r="B240" s="169"/>
      <c r="C240" s="170"/>
      <c r="D240" s="170"/>
      <c r="E240" s="171"/>
      <c r="F240" s="171"/>
      <c r="H240" s="169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X240" s="169"/>
      <c r="Y240" s="169"/>
      <c r="Z240" s="169"/>
      <c r="AA240" s="170"/>
    </row>
    <row r="241" spans="1:27" s="11" customFormat="1">
      <c r="A241" s="168"/>
      <c r="B241" s="169"/>
      <c r="C241" s="170"/>
      <c r="D241" s="170"/>
      <c r="E241" s="171"/>
      <c r="F241" s="171"/>
      <c r="H241" s="169"/>
      <c r="I241" s="169"/>
      <c r="J241" s="169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X241" s="169"/>
      <c r="Y241" s="169"/>
      <c r="Z241" s="169"/>
      <c r="AA241" s="170"/>
    </row>
    <row r="242" spans="1:27" s="11" customFormat="1">
      <c r="A242" s="168"/>
      <c r="B242" s="169"/>
      <c r="C242" s="170"/>
      <c r="D242" s="170"/>
      <c r="E242" s="171"/>
      <c r="F242" s="171"/>
      <c r="H242" s="169"/>
      <c r="I242" s="169"/>
      <c r="J242" s="169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X242" s="169"/>
      <c r="Y242" s="169"/>
      <c r="Z242" s="169"/>
      <c r="AA242" s="170"/>
    </row>
    <row r="243" spans="1:27" s="11" customFormat="1">
      <c r="A243" s="168"/>
      <c r="B243" s="169"/>
      <c r="C243" s="170"/>
      <c r="D243" s="170"/>
      <c r="E243" s="171"/>
      <c r="F243" s="171"/>
      <c r="H243" s="169"/>
      <c r="I243" s="169"/>
      <c r="J243" s="169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X243" s="169"/>
      <c r="Y243" s="169"/>
      <c r="Z243" s="169"/>
      <c r="AA243" s="170"/>
    </row>
    <row r="244" spans="1:27" s="11" customFormat="1">
      <c r="A244" s="168"/>
      <c r="B244" s="169"/>
      <c r="C244" s="170"/>
      <c r="D244" s="170"/>
      <c r="E244" s="171"/>
      <c r="F244" s="171"/>
      <c r="H244" s="169"/>
      <c r="I244" s="169"/>
      <c r="J244" s="169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X244" s="169"/>
      <c r="Y244" s="169"/>
      <c r="Z244" s="169"/>
      <c r="AA244" s="170"/>
    </row>
    <row r="245" spans="1:27" s="11" customFormat="1">
      <c r="A245" s="168"/>
      <c r="B245" s="169"/>
      <c r="C245" s="170"/>
      <c r="D245" s="170"/>
      <c r="E245" s="171"/>
      <c r="F245" s="171"/>
      <c r="H245" s="169"/>
      <c r="I245" s="169"/>
      <c r="J245" s="169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X245" s="169"/>
      <c r="Y245" s="169"/>
      <c r="Z245" s="169"/>
      <c r="AA245" s="170"/>
    </row>
    <row r="246" spans="1:27" s="11" customFormat="1">
      <c r="A246" s="168"/>
      <c r="B246" s="169"/>
      <c r="C246" s="170"/>
      <c r="D246" s="170"/>
      <c r="E246" s="171"/>
      <c r="F246" s="171"/>
      <c r="H246" s="169"/>
      <c r="I246" s="169"/>
      <c r="J246" s="169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X246" s="169"/>
      <c r="Y246" s="169"/>
      <c r="Z246" s="169"/>
      <c r="AA246" s="170"/>
    </row>
    <row r="247" spans="1:27" s="11" customFormat="1">
      <c r="A247" s="168"/>
      <c r="B247" s="169"/>
      <c r="C247" s="170"/>
      <c r="D247" s="170"/>
      <c r="E247" s="171"/>
      <c r="F247" s="171"/>
      <c r="H247" s="169"/>
      <c r="I247" s="169"/>
      <c r="J247" s="169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X247" s="169"/>
      <c r="Y247" s="169"/>
      <c r="Z247" s="169"/>
      <c r="AA247" s="170"/>
    </row>
    <row r="248" spans="1:27" s="11" customFormat="1">
      <c r="A248" s="168"/>
      <c r="B248" s="169"/>
      <c r="C248" s="170"/>
      <c r="D248" s="170"/>
      <c r="E248" s="171"/>
      <c r="F248" s="171"/>
      <c r="H248" s="169"/>
      <c r="I248" s="169"/>
      <c r="J248" s="169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X248" s="169"/>
      <c r="Y248" s="169"/>
      <c r="Z248" s="169"/>
      <c r="AA248" s="170"/>
    </row>
    <row r="249" spans="1:27" s="11" customFormat="1">
      <c r="A249" s="168"/>
      <c r="B249" s="169"/>
      <c r="C249" s="169"/>
      <c r="D249" s="169"/>
      <c r="E249" s="169"/>
      <c r="F249" s="169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X249" s="169"/>
      <c r="Y249" s="169"/>
      <c r="Z249" s="169"/>
      <c r="AA249" s="170"/>
    </row>
    <row r="250" spans="1:27" s="11" customFormat="1">
      <c r="A250" s="168"/>
      <c r="B250" s="169"/>
      <c r="C250" s="169"/>
      <c r="D250" s="169"/>
      <c r="E250" s="169"/>
      <c r="F250" s="169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X250" s="169"/>
      <c r="Y250" s="169"/>
      <c r="Z250" s="169"/>
      <c r="AA250" s="170"/>
    </row>
    <row r="251" spans="1:27" s="11" customFormat="1">
      <c r="A251" s="168"/>
      <c r="B251" s="169"/>
      <c r="C251" s="169"/>
      <c r="D251" s="169"/>
      <c r="E251" s="169"/>
      <c r="F251" s="169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X251" s="169"/>
      <c r="Y251" s="169"/>
      <c r="Z251" s="169"/>
      <c r="AA251" s="170"/>
    </row>
    <row r="252" spans="1:27" s="11" customFormat="1">
      <c r="A252" s="168"/>
      <c r="B252" s="169"/>
      <c r="C252" s="169"/>
      <c r="D252" s="169"/>
      <c r="E252" s="169"/>
      <c r="F252" s="169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X252" s="169"/>
      <c r="Y252" s="169"/>
      <c r="Z252" s="169"/>
      <c r="AA252" s="170"/>
    </row>
    <row r="253" spans="1:27" s="11" customFormat="1">
      <c r="A253" s="168"/>
      <c r="B253" s="169"/>
      <c r="C253" s="169"/>
      <c r="D253" s="169"/>
      <c r="E253" s="169"/>
      <c r="F253" s="169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X253" s="169"/>
      <c r="Y253" s="169"/>
      <c r="Z253" s="169"/>
      <c r="AA253" s="170"/>
    </row>
    <row r="254" spans="1:27" s="11" customFormat="1">
      <c r="A254" s="168"/>
      <c r="B254" s="169"/>
      <c r="C254" s="169"/>
      <c r="D254" s="169"/>
      <c r="E254" s="169"/>
      <c r="F254" s="169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X254" s="169"/>
      <c r="Y254" s="169"/>
      <c r="Z254" s="169"/>
      <c r="AA254" s="170"/>
    </row>
    <row r="255" spans="1:27" s="11" customFormat="1">
      <c r="A255" s="168"/>
      <c r="B255" s="169"/>
      <c r="C255" s="169"/>
      <c r="D255" s="169"/>
      <c r="E255" s="169"/>
      <c r="F255" s="169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X255" s="169"/>
      <c r="Y255" s="169"/>
      <c r="Z255" s="169"/>
      <c r="AA255" s="170"/>
    </row>
    <row r="256" spans="1:27" s="11" customFormat="1">
      <c r="A256" s="168"/>
      <c r="B256" s="169"/>
      <c r="C256" s="169"/>
      <c r="D256" s="169"/>
      <c r="E256" s="169"/>
      <c r="F256" s="169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X256" s="169"/>
      <c r="Y256" s="169"/>
      <c r="Z256" s="169"/>
      <c r="AA256" s="170"/>
    </row>
    <row r="257" spans="1:27" s="11" customFormat="1">
      <c r="A257" s="168"/>
      <c r="B257" s="169"/>
      <c r="C257" s="169"/>
      <c r="D257" s="169"/>
      <c r="E257" s="169"/>
      <c r="F257" s="169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X257" s="169"/>
      <c r="Y257" s="169"/>
      <c r="Z257" s="169"/>
      <c r="AA257" s="170"/>
    </row>
    <row r="258" spans="1:27" s="11" customFormat="1">
      <c r="A258" s="168"/>
      <c r="B258" s="169"/>
      <c r="C258" s="169"/>
      <c r="D258" s="169"/>
      <c r="E258" s="169"/>
      <c r="F258" s="169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X258" s="169"/>
      <c r="Y258" s="169"/>
      <c r="Z258" s="169"/>
      <c r="AA258" s="170"/>
    </row>
    <row r="259" spans="1:27" s="11" customFormat="1">
      <c r="A259" s="168"/>
      <c r="B259" s="169"/>
      <c r="C259" s="169"/>
      <c r="D259" s="169"/>
      <c r="E259" s="169"/>
      <c r="F259" s="169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X259" s="169"/>
      <c r="Y259" s="169"/>
      <c r="Z259" s="169"/>
      <c r="AA259" s="170"/>
    </row>
    <row r="260" spans="1:27" s="11" customFormat="1">
      <c r="A260" s="168"/>
      <c r="B260" s="169"/>
      <c r="C260" s="169"/>
      <c r="D260" s="169"/>
      <c r="E260" s="169"/>
      <c r="F260" s="169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X260" s="169"/>
      <c r="Y260" s="169"/>
      <c r="Z260" s="169"/>
      <c r="AA260" s="170"/>
    </row>
    <row r="261" spans="1:27" s="11" customFormat="1">
      <c r="A261" s="168"/>
      <c r="B261" s="169"/>
      <c r="C261" s="169"/>
      <c r="D261" s="169"/>
      <c r="E261" s="169"/>
      <c r="F261" s="169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X261" s="169"/>
      <c r="Y261" s="169"/>
      <c r="Z261" s="169"/>
      <c r="AA261" s="170"/>
    </row>
    <row r="262" spans="1:27" s="11" customFormat="1">
      <c r="A262" s="168"/>
      <c r="B262" s="169"/>
      <c r="C262" s="169"/>
      <c r="D262" s="169"/>
      <c r="E262" s="169"/>
      <c r="F262" s="169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X262" s="169"/>
      <c r="Y262" s="169"/>
      <c r="Z262" s="169"/>
      <c r="AA262" s="170"/>
    </row>
    <row r="263" spans="1:27" s="11" customFormat="1">
      <c r="A263" s="168"/>
      <c r="B263" s="169"/>
      <c r="C263" s="169"/>
      <c r="D263" s="169"/>
      <c r="E263" s="169"/>
      <c r="F263" s="169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X263" s="169"/>
      <c r="Y263" s="169"/>
      <c r="Z263" s="169"/>
      <c r="AA263" s="170"/>
    </row>
    <row r="264" spans="1:27" s="11" customFormat="1">
      <c r="A264" s="168"/>
      <c r="B264" s="169"/>
      <c r="C264" s="169"/>
      <c r="D264" s="169"/>
      <c r="E264" s="169"/>
      <c r="F264" s="169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X264" s="169"/>
      <c r="Y264" s="169"/>
      <c r="Z264" s="169"/>
      <c r="AA264" s="170"/>
    </row>
    <row r="265" spans="1:27" s="11" customFormat="1">
      <c r="A265" s="168"/>
      <c r="B265" s="169"/>
      <c r="C265" s="169"/>
      <c r="D265" s="169"/>
      <c r="E265" s="169"/>
      <c r="F265" s="169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X265" s="169"/>
      <c r="Y265" s="169"/>
      <c r="Z265" s="169"/>
      <c r="AA265" s="170"/>
    </row>
    <row r="266" spans="1:27" s="11" customFormat="1">
      <c r="A266" s="168"/>
      <c r="B266" s="169"/>
      <c r="C266" s="169"/>
      <c r="D266" s="169"/>
      <c r="E266" s="169"/>
      <c r="F266" s="169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X266" s="169"/>
      <c r="Y266" s="169"/>
      <c r="Z266" s="169"/>
      <c r="AA266" s="170"/>
    </row>
    <row r="267" spans="1:27" s="11" customFormat="1">
      <c r="A267" s="168"/>
      <c r="B267" s="169"/>
      <c r="C267" s="169"/>
      <c r="D267" s="169"/>
      <c r="E267" s="169"/>
      <c r="F267" s="169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X267" s="169"/>
      <c r="Y267" s="169"/>
      <c r="Z267" s="169"/>
      <c r="AA267" s="170"/>
    </row>
    <row r="268" spans="1:27" s="11" customFormat="1">
      <c r="A268" s="168"/>
      <c r="B268" s="169"/>
      <c r="C268" s="169"/>
      <c r="D268" s="169"/>
      <c r="E268" s="169"/>
      <c r="F268" s="169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X268" s="169"/>
      <c r="Y268" s="169"/>
      <c r="Z268" s="169"/>
      <c r="AA268" s="170"/>
    </row>
    <row r="269" spans="1:27" s="11" customFormat="1">
      <c r="A269" s="168"/>
      <c r="B269" s="169"/>
      <c r="C269" s="169"/>
      <c r="D269" s="169"/>
      <c r="E269" s="169"/>
      <c r="F269" s="169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X269" s="169"/>
      <c r="Y269" s="169"/>
      <c r="Z269" s="169"/>
      <c r="AA269" s="170"/>
    </row>
    <row r="270" spans="1:27" s="11" customFormat="1">
      <c r="A270" s="168"/>
      <c r="B270" s="169"/>
      <c r="C270" s="169"/>
      <c r="D270" s="169"/>
      <c r="E270" s="169"/>
      <c r="F270" s="169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X270" s="169"/>
      <c r="Y270" s="169"/>
      <c r="Z270" s="169"/>
      <c r="AA270" s="170"/>
    </row>
    <row r="271" spans="1:27" s="11" customFormat="1">
      <c r="A271" s="168"/>
      <c r="B271" s="169"/>
      <c r="C271" s="169"/>
      <c r="D271" s="169"/>
      <c r="E271" s="169"/>
      <c r="F271" s="169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X271" s="169"/>
      <c r="Y271" s="169"/>
      <c r="Z271" s="169"/>
      <c r="AA271" s="170"/>
    </row>
    <row r="272" spans="1:27" s="11" customFormat="1">
      <c r="A272" s="168"/>
      <c r="B272" s="169"/>
      <c r="C272" s="169"/>
      <c r="D272" s="169"/>
      <c r="E272" s="169"/>
      <c r="F272" s="169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X272" s="169"/>
      <c r="Y272" s="169"/>
      <c r="Z272" s="169"/>
      <c r="AA272" s="170"/>
    </row>
    <row r="273" spans="1:27" s="11" customFormat="1">
      <c r="A273" s="168"/>
      <c r="B273" s="169"/>
      <c r="C273" s="169"/>
      <c r="D273" s="169"/>
      <c r="E273" s="169"/>
      <c r="F273" s="169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X273" s="169"/>
      <c r="Y273" s="169"/>
      <c r="Z273" s="169"/>
      <c r="AA273" s="170"/>
    </row>
    <row r="274" spans="1:27" s="11" customFormat="1">
      <c r="A274" s="168"/>
      <c r="B274" s="169"/>
      <c r="C274" s="169"/>
      <c r="D274" s="169"/>
      <c r="E274" s="169"/>
      <c r="F274" s="169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X274" s="169"/>
      <c r="Y274" s="169"/>
      <c r="Z274" s="169"/>
      <c r="AA274" s="170"/>
    </row>
    <row r="275" spans="1:27" s="11" customFormat="1">
      <c r="A275" s="168"/>
      <c r="B275" s="169"/>
      <c r="C275" s="169"/>
      <c r="D275" s="169"/>
      <c r="E275" s="169"/>
      <c r="F275" s="169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X275" s="169"/>
      <c r="Y275" s="169"/>
      <c r="Z275" s="169"/>
      <c r="AA275" s="170"/>
    </row>
    <row r="276" spans="1:27" s="11" customFormat="1">
      <c r="A276" s="168"/>
      <c r="B276" s="169"/>
      <c r="C276" s="169"/>
      <c r="D276" s="169"/>
      <c r="E276" s="169"/>
      <c r="F276" s="169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X276" s="169"/>
      <c r="Y276" s="169"/>
      <c r="Z276" s="169"/>
      <c r="AA276" s="170"/>
    </row>
    <row r="277" spans="1:27" s="11" customFormat="1">
      <c r="A277" s="168"/>
      <c r="B277" s="169"/>
      <c r="C277" s="169"/>
      <c r="D277" s="169"/>
      <c r="E277" s="169"/>
      <c r="F277" s="169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X277" s="169"/>
      <c r="Y277" s="169"/>
      <c r="Z277" s="169"/>
      <c r="AA277" s="170"/>
    </row>
    <row r="278" spans="1:27" s="11" customFormat="1">
      <c r="A278" s="168"/>
      <c r="B278" s="169"/>
      <c r="C278" s="169"/>
      <c r="D278" s="169"/>
      <c r="E278" s="169"/>
      <c r="F278" s="169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X278" s="169"/>
      <c r="Y278" s="169"/>
      <c r="Z278" s="169"/>
      <c r="AA278" s="170"/>
    </row>
    <row r="279" spans="1:27" s="11" customFormat="1">
      <c r="A279" s="168"/>
      <c r="B279" s="169"/>
      <c r="C279" s="169"/>
      <c r="D279" s="169"/>
      <c r="E279" s="169"/>
      <c r="F279" s="169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X279" s="169"/>
      <c r="Y279" s="169"/>
      <c r="Z279" s="169"/>
      <c r="AA279" s="170"/>
    </row>
    <row r="280" spans="1:27" s="11" customFormat="1">
      <c r="A280" s="168"/>
      <c r="B280" s="169"/>
      <c r="C280" s="169"/>
      <c r="D280" s="169"/>
      <c r="E280" s="169"/>
      <c r="F280" s="169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X280" s="169"/>
      <c r="Y280" s="169"/>
      <c r="Z280" s="169"/>
      <c r="AA280" s="170"/>
    </row>
    <row r="281" spans="1:27" s="11" customFormat="1">
      <c r="A281" s="168"/>
      <c r="B281" s="169"/>
      <c r="C281" s="169"/>
      <c r="D281" s="169"/>
      <c r="E281" s="169"/>
      <c r="F281" s="169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X281" s="169"/>
      <c r="Y281" s="169"/>
      <c r="Z281" s="169"/>
      <c r="AA281" s="170"/>
    </row>
    <row r="282" spans="1:27" s="11" customFormat="1">
      <c r="A282" s="168"/>
      <c r="B282" s="169"/>
      <c r="C282" s="169"/>
      <c r="D282" s="169"/>
      <c r="E282" s="169"/>
      <c r="F282" s="169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X282" s="169"/>
      <c r="Y282" s="169"/>
      <c r="Z282" s="169"/>
      <c r="AA282" s="170"/>
    </row>
    <row r="283" spans="1:27" s="11" customFormat="1">
      <c r="A283" s="168"/>
      <c r="B283" s="169"/>
      <c r="C283" s="169"/>
      <c r="D283" s="169"/>
      <c r="E283" s="169"/>
      <c r="F283" s="169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X283" s="169"/>
      <c r="Y283" s="169"/>
      <c r="Z283" s="169"/>
      <c r="AA283" s="170"/>
    </row>
    <row r="284" spans="1:27" s="11" customFormat="1">
      <c r="A284" s="168"/>
      <c r="B284" s="169"/>
      <c r="C284" s="169"/>
      <c r="D284" s="169"/>
      <c r="E284" s="169"/>
      <c r="F284" s="169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X284" s="169"/>
      <c r="Y284" s="169"/>
      <c r="Z284" s="169"/>
      <c r="AA284" s="170"/>
    </row>
    <row r="285" spans="1:27" s="11" customFormat="1">
      <c r="A285" s="168"/>
      <c r="B285" s="169"/>
      <c r="C285" s="169"/>
      <c r="D285" s="169"/>
      <c r="E285" s="169"/>
      <c r="F285" s="169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X285" s="169"/>
      <c r="Y285" s="169"/>
      <c r="Z285" s="169"/>
      <c r="AA285" s="170"/>
    </row>
    <row r="286" spans="1:27" s="11" customFormat="1">
      <c r="A286" s="168"/>
      <c r="B286" s="169"/>
      <c r="C286" s="169"/>
      <c r="D286" s="169"/>
      <c r="E286" s="169"/>
      <c r="F286" s="169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X286" s="169"/>
      <c r="Y286" s="169"/>
      <c r="Z286" s="169"/>
      <c r="AA286" s="170"/>
    </row>
    <row r="287" spans="1:27" s="11" customFormat="1">
      <c r="A287" s="168"/>
      <c r="B287" s="169"/>
      <c r="C287" s="169"/>
      <c r="D287" s="169"/>
      <c r="E287" s="169"/>
      <c r="F287" s="169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X287" s="169"/>
      <c r="Y287" s="169"/>
      <c r="Z287" s="169"/>
      <c r="AA287" s="170"/>
    </row>
    <row r="288" spans="1:27" s="11" customFormat="1">
      <c r="A288" s="168"/>
      <c r="B288" s="169"/>
      <c r="C288" s="169"/>
      <c r="D288" s="169"/>
      <c r="E288" s="169"/>
      <c r="F288" s="169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X288" s="169"/>
      <c r="Y288" s="169"/>
      <c r="Z288" s="169"/>
      <c r="AA288" s="170"/>
    </row>
    <row r="289" spans="1:27" s="11" customFormat="1">
      <c r="A289" s="168"/>
      <c r="B289" s="169"/>
      <c r="C289" s="169"/>
      <c r="D289" s="169"/>
      <c r="E289" s="169"/>
      <c r="F289" s="169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X289" s="169"/>
      <c r="Y289" s="169"/>
      <c r="Z289" s="169"/>
      <c r="AA289" s="170"/>
    </row>
    <row r="290" spans="1:27" s="11" customFormat="1">
      <c r="A290" s="168"/>
      <c r="B290" s="169"/>
      <c r="C290" s="169"/>
      <c r="D290" s="169"/>
      <c r="E290" s="169"/>
      <c r="F290" s="169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X290" s="169"/>
      <c r="Y290" s="169"/>
      <c r="Z290" s="169"/>
      <c r="AA290" s="170"/>
    </row>
    <row r="291" spans="1:27" s="11" customFormat="1">
      <c r="A291" s="168"/>
      <c r="B291" s="169"/>
      <c r="C291" s="169"/>
      <c r="D291" s="169"/>
      <c r="E291" s="169"/>
      <c r="F291" s="169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X291" s="169"/>
      <c r="Y291" s="169"/>
      <c r="Z291" s="169"/>
      <c r="AA291" s="170"/>
    </row>
    <row r="292" spans="1:27" s="11" customFormat="1">
      <c r="A292" s="168"/>
      <c r="B292" s="169"/>
      <c r="C292" s="169"/>
      <c r="D292" s="169"/>
      <c r="E292" s="169"/>
      <c r="F292" s="169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X292" s="169"/>
      <c r="Y292" s="169"/>
      <c r="Z292" s="169"/>
      <c r="AA292" s="170"/>
    </row>
    <row r="293" spans="1:27" s="11" customFormat="1">
      <c r="A293" s="168"/>
      <c r="B293" s="169"/>
      <c r="C293" s="169"/>
      <c r="D293" s="169"/>
      <c r="E293" s="169"/>
      <c r="F293" s="169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X293" s="169"/>
      <c r="Y293" s="169"/>
      <c r="Z293" s="169"/>
      <c r="AA293" s="170"/>
    </row>
    <row r="294" spans="1:27" s="11" customFormat="1">
      <c r="A294" s="168"/>
      <c r="B294" s="169"/>
      <c r="C294" s="169"/>
      <c r="D294" s="169"/>
      <c r="E294" s="169"/>
      <c r="F294" s="169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X294" s="169"/>
      <c r="Y294" s="169"/>
      <c r="Z294" s="169"/>
      <c r="AA294" s="170"/>
    </row>
    <row r="295" spans="1:27" s="11" customFormat="1">
      <c r="A295" s="168"/>
      <c r="B295" s="169"/>
      <c r="C295" s="169"/>
      <c r="D295" s="169"/>
      <c r="E295" s="169"/>
      <c r="F295" s="169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X295" s="169"/>
      <c r="Y295" s="169"/>
      <c r="Z295" s="169"/>
      <c r="AA295" s="170"/>
    </row>
    <row r="296" spans="1:27" s="11" customFormat="1">
      <c r="A296" s="168"/>
      <c r="B296" s="169"/>
      <c r="C296" s="169"/>
      <c r="D296" s="169"/>
      <c r="E296" s="169"/>
      <c r="F296" s="169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X296" s="169"/>
      <c r="Y296" s="169"/>
      <c r="Z296" s="169"/>
      <c r="AA296" s="170"/>
    </row>
    <row r="297" spans="1:27" s="11" customFormat="1">
      <c r="A297" s="168"/>
      <c r="B297" s="169"/>
      <c r="C297" s="169"/>
      <c r="D297" s="169"/>
      <c r="E297" s="169"/>
      <c r="F297" s="169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X297" s="169"/>
      <c r="Y297" s="169"/>
      <c r="Z297" s="169"/>
      <c r="AA297" s="170"/>
    </row>
    <row r="298" spans="1:27" s="11" customFormat="1">
      <c r="A298" s="168"/>
      <c r="B298" s="169"/>
      <c r="C298" s="169"/>
      <c r="D298" s="169"/>
      <c r="E298" s="169"/>
      <c r="F298" s="169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X298" s="169"/>
      <c r="Y298" s="169"/>
      <c r="Z298" s="169"/>
      <c r="AA298" s="170"/>
    </row>
    <row r="299" spans="1:27" s="11" customFormat="1">
      <c r="A299" s="168"/>
      <c r="B299" s="169"/>
      <c r="C299" s="169"/>
      <c r="D299" s="169"/>
      <c r="E299" s="169"/>
      <c r="F299" s="169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X299" s="169"/>
      <c r="Y299" s="169"/>
      <c r="Z299" s="169"/>
      <c r="AA299" s="170"/>
    </row>
    <row r="300" spans="1:27" s="11" customFormat="1">
      <c r="A300" s="168"/>
      <c r="B300" s="169"/>
      <c r="C300" s="169"/>
      <c r="D300" s="169"/>
      <c r="E300" s="169"/>
      <c r="F300" s="169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X300" s="169"/>
      <c r="Y300" s="169"/>
      <c r="Z300" s="169"/>
      <c r="AA300" s="170"/>
    </row>
    <row r="301" spans="1:27" s="11" customFormat="1">
      <c r="A301" s="168"/>
      <c r="B301" s="169"/>
      <c r="C301" s="169"/>
      <c r="D301" s="169"/>
      <c r="E301" s="169"/>
      <c r="F301" s="169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X301" s="169"/>
      <c r="Y301" s="169"/>
      <c r="Z301" s="169"/>
      <c r="AA301" s="170"/>
    </row>
    <row r="302" spans="1:27" s="11" customFormat="1">
      <c r="A302" s="168"/>
      <c r="B302" s="169"/>
      <c r="C302" s="169"/>
      <c r="D302" s="169"/>
      <c r="E302" s="169"/>
      <c r="F302" s="169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X302" s="169"/>
      <c r="Y302" s="169"/>
      <c r="Z302" s="169"/>
      <c r="AA302" s="170"/>
    </row>
    <row r="303" spans="1:27" s="11" customFormat="1">
      <c r="A303" s="168"/>
      <c r="B303" s="169"/>
      <c r="C303" s="169"/>
      <c r="D303" s="169"/>
      <c r="E303" s="169"/>
      <c r="F303" s="169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X303" s="169"/>
      <c r="Y303" s="169"/>
      <c r="Z303" s="169"/>
      <c r="AA303" s="170"/>
    </row>
    <row r="304" spans="1:27" s="11" customFormat="1">
      <c r="A304" s="168"/>
      <c r="B304" s="169"/>
      <c r="C304" s="169"/>
      <c r="D304" s="169"/>
      <c r="E304" s="169"/>
      <c r="F304" s="169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X304" s="169"/>
      <c r="Y304" s="169"/>
      <c r="Z304" s="169"/>
      <c r="AA304" s="170"/>
    </row>
    <row r="305" spans="1:27" s="11" customFormat="1">
      <c r="A305" s="168"/>
      <c r="B305" s="169"/>
      <c r="C305" s="169"/>
      <c r="D305" s="169"/>
      <c r="E305" s="169"/>
      <c r="F305" s="169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X305" s="169"/>
      <c r="Y305" s="169"/>
      <c r="Z305" s="169"/>
      <c r="AA305" s="170"/>
    </row>
    <row r="306" spans="1:27" s="11" customFormat="1">
      <c r="A306" s="168"/>
      <c r="B306" s="169"/>
      <c r="C306" s="169"/>
      <c r="D306" s="169"/>
      <c r="E306" s="169"/>
      <c r="F306" s="169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X306" s="169"/>
      <c r="Y306" s="169"/>
      <c r="Z306" s="169"/>
      <c r="AA306" s="170"/>
    </row>
    <row r="307" spans="1:27" s="11" customFormat="1">
      <c r="A307" s="168"/>
      <c r="B307" s="169"/>
      <c r="C307" s="169"/>
      <c r="D307" s="169"/>
      <c r="E307" s="169"/>
      <c r="F307" s="169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X307" s="169"/>
      <c r="Y307" s="169"/>
      <c r="Z307" s="169"/>
      <c r="AA307" s="170"/>
    </row>
    <row r="308" spans="1:27" s="11" customFormat="1">
      <c r="A308" s="168"/>
      <c r="B308" s="169"/>
      <c r="C308" s="169"/>
      <c r="D308" s="169"/>
      <c r="E308" s="169"/>
      <c r="F308" s="169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X308" s="169"/>
      <c r="Y308" s="169"/>
      <c r="Z308" s="169"/>
      <c r="AA308" s="170"/>
    </row>
    <row r="309" spans="1:27" s="11" customFormat="1">
      <c r="A309" s="168"/>
      <c r="B309" s="169"/>
      <c r="C309" s="169"/>
      <c r="D309" s="169"/>
      <c r="E309" s="169"/>
      <c r="F309" s="169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X309" s="169"/>
      <c r="Y309" s="169"/>
      <c r="Z309" s="169"/>
      <c r="AA309" s="170"/>
    </row>
    <row r="310" spans="1:27" s="11" customFormat="1">
      <c r="A310" s="168"/>
      <c r="B310" s="169"/>
      <c r="C310" s="169"/>
      <c r="D310" s="169"/>
      <c r="E310" s="169"/>
      <c r="F310" s="169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X310" s="169"/>
      <c r="Y310" s="169"/>
      <c r="Z310" s="169"/>
      <c r="AA310" s="170"/>
    </row>
    <row r="311" spans="1:27" s="11" customFormat="1">
      <c r="A311" s="168"/>
      <c r="B311" s="169"/>
      <c r="C311" s="169"/>
      <c r="D311" s="169"/>
      <c r="E311" s="169"/>
      <c r="F311" s="169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X311" s="169"/>
      <c r="Y311" s="169"/>
      <c r="Z311" s="169"/>
      <c r="AA311" s="170"/>
    </row>
    <row r="312" spans="1:27" s="11" customFormat="1">
      <c r="A312" s="168"/>
      <c r="B312" s="169"/>
      <c r="C312" s="169"/>
      <c r="D312" s="169"/>
      <c r="E312" s="169"/>
      <c r="F312" s="169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X312" s="169"/>
      <c r="Y312" s="169"/>
      <c r="Z312" s="169"/>
      <c r="AA312" s="170"/>
    </row>
    <row r="313" spans="1:27" s="11" customFormat="1">
      <c r="A313" s="168"/>
      <c r="B313" s="169"/>
      <c r="C313" s="169"/>
      <c r="D313" s="169"/>
      <c r="E313" s="169"/>
      <c r="F313" s="169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X313" s="169"/>
      <c r="Y313" s="169"/>
      <c r="Z313" s="169"/>
      <c r="AA313" s="170"/>
    </row>
    <row r="314" spans="1:27" s="11" customFormat="1">
      <c r="A314" s="168"/>
      <c r="B314" s="169"/>
      <c r="C314" s="169"/>
      <c r="D314" s="169"/>
      <c r="E314" s="169"/>
      <c r="F314" s="169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X314" s="169"/>
      <c r="Y314" s="169"/>
      <c r="Z314" s="169"/>
      <c r="AA314" s="170"/>
    </row>
    <row r="315" spans="1:27" s="11" customFormat="1">
      <c r="A315" s="168"/>
      <c r="B315" s="169"/>
      <c r="C315" s="169"/>
      <c r="D315" s="169"/>
      <c r="E315" s="169"/>
      <c r="F315" s="169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X315" s="169"/>
      <c r="Y315" s="169"/>
      <c r="Z315" s="169"/>
      <c r="AA315" s="170"/>
    </row>
    <row r="316" spans="1:27" s="11" customFormat="1">
      <c r="A316" s="168"/>
      <c r="B316" s="169"/>
      <c r="C316" s="169"/>
      <c r="D316" s="169"/>
      <c r="E316" s="169"/>
      <c r="F316" s="169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X316" s="169"/>
      <c r="Y316" s="169"/>
      <c r="Z316" s="169"/>
      <c r="AA316" s="170"/>
    </row>
    <row r="317" spans="1:27" s="11" customFormat="1">
      <c r="A317" s="168"/>
      <c r="B317" s="169"/>
      <c r="C317" s="169"/>
      <c r="D317" s="169"/>
      <c r="E317" s="169"/>
      <c r="F317" s="169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X317" s="169"/>
      <c r="Y317" s="169"/>
      <c r="Z317" s="169"/>
      <c r="AA317" s="170"/>
    </row>
    <row r="318" spans="1:27" s="11" customFormat="1">
      <c r="A318" s="168"/>
      <c r="B318" s="169"/>
      <c r="C318" s="169"/>
      <c r="D318" s="169"/>
      <c r="E318" s="169"/>
      <c r="F318" s="169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X318" s="169"/>
      <c r="Y318" s="169"/>
      <c r="Z318" s="169"/>
      <c r="AA318" s="170"/>
    </row>
    <row r="319" spans="1:27" s="11" customFormat="1">
      <c r="A319" s="168"/>
      <c r="B319" s="169"/>
      <c r="C319" s="169"/>
      <c r="D319" s="169"/>
      <c r="E319" s="169"/>
      <c r="F319" s="169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X319" s="169"/>
      <c r="Y319" s="169"/>
      <c r="Z319" s="169"/>
      <c r="AA319" s="170"/>
    </row>
    <row r="320" spans="1:27" s="11" customFormat="1">
      <c r="A320" s="168"/>
      <c r="B320" s="169"/>
      <c r="C320" s="169"/>
      <c r="D320" s="169"/>
      <c r="E320" s="169"/>
      <c r="F320" s="169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X320" s="169"/>
      <c r="Y320" s="169"/>
      <c r="Z320" s="169"/>
      <c r="AA320" s="170"/>
    </row>
    <row r="321" spans="1:27" s="11" customFormat="1">
      <c r="A321" s="168"/>
      <c r="B321" s="169"/>
      <c r="C321" s="169"/>
      <c r="D321" s="169"/>
      <c r="E321" s="169"/>
      <c r="F321" s="169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X321" s="169"/>
      <c r="Y321" s="169"/>
      <c r="Z321" s="169"/>
      <c r="AA321" s="170"/>
    </row>
    <row r="322" spans="1:27" s="11" customFormat="1">
      <c r="A322" s="168"/>
      <c r="B322" s="169"/>
      <c r="C322" s="169"/>
      <c r="D322" s="169"/>
      <c r="E322" s="169"/>
      <c r="F322" s="169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X322" s="169"/>
      <c r="Y322" s="169"/>
      <c r="Z322" s="169"/>
      <c r="AA322" s="170"/>
    </row>
    <row r="323" spans="1:27" s="11" customFormat="1">
      <c r="A323" s="168"/>
      <c r="B323" s="169"/>
      <c r="C323" s="169"/>
      <c r="D323" s="169"/>
      <c r="E323" s="169"/>
      <c r="F323" s="169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X323" s="169"/>
      <c r="Y323" s="169"/>
      <c r="Z323" s="169"/>
      <c r="AA323" s="170"/>
    </row>
    <row r="324" spans="1:27" s="11" customFormat="1">
      <c r="A324" s="168"/>
      <c r="B324" s="169"/>
      <c r="C324" s="169"/>
      <c r="D324" s="169"/>
      <c r="E324" s="169"/>
      <c r="F324" s="169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X324" s="169"/>
      <c r="Y324" s="169"/>
      <c r="Z324" s="169"/>
      <c r="AA324" s="170"/>
    </row>
    <row r="325" spans="1:27" s="11" customFormat="1">
      <c r="A325" s="168"/>
      <c r="B325" s="169"/>
      <c r="C325" s="169"/>
      <c r="D325" s="169"/>
      <c r="E325" s="169"/>
      <c r="F325" s="169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X325" s="169"/>
      <c r="Y325" s="169"/>
      <c r="Z325" s="169"/>
      <c r="AA325" s="170"/>
    </row>
    <row r="326" spans="1:27" s="11" customFormat="1">
      <c r="A326" s="168"/>
      <c r="B326" s="169"/>
      <c r="C326" s="169"/>
      <c r="D326" s="169"/>
      <c r="E326" s="169"/>
      <c r="F326" s="169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X326" s="169"/>
      <c r="Y326" s="169"/>
      <c r="Z326" s="169"/>
      <c r="AA326" s="170"/>
    </row>
    <row r="327" spans="1:27" s="11" customFormat="1">
      <c r="A327" s="168"/>
      <c r="B327" s="169"/>
      <c r="C327" s="169"/>
      <c r="D327" s="169"/>
      <c r="E327" s="169"/>
      <c r="F327" s="169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X327" s="169"/>
      <c r="Y327" s="169"/>
      <c r="Z327" s="169"/>
      <c r="AA327" s="170"/>
    </row>
    <row r="328" spans="1:27" s="11" customFormat="1">
      <c r="A328" s="168"/>
      <c r="B328" s="169"/>
      <c r="C328" s="169"/>
      <c r="D328" s="169"/>
      <c r="E328" s="169"/>
      <c r="F328" s="169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X328" s="169"/>
      <c r="Y328" s="169"/>
      <c r="Z328" s="169"/>
      <c r="AA328" s="170"/>
    </row>
    <row r="329" spans="1:27" s="11" customFormat="1">
      <c r="A329" s="168"/>
      <c r="B329" s="169"/>
      <c r="C329" s="169"/>
      <c r="D329" s="169"/>
      <c r="E329" s="169"/>
      <c r="F329" s="169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X329" s="169"/>
      <c r="Y329" s="169"/>
      <c r="Z329" s="169"/>
      <c r="AA329" s="170"/>
    </row>
    <row r="330" spans="1:27" s="11" customFormat="1">
      <c r="A330" s="168"/>
      <c r="B330" s="169"/>
      <c r="C330" s="169"/>
      <c r="D330" s="169"/>
      <c r="E330" s="169"/>
      <c r="F330" s="169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X330" s="169"/>
      <c r="Y330" s="169"/>
      <c r="Z330" s="169"/>
      <c r="AA330" s="170"/>
    </row>
    <row r="331" spans="1:27" s="11" customFormat="1">
      <c r="A331" s="168"/>
      <c r="B331" s="169"/>
      <c r="C331" s="169"/>
      <c r="D331" s="169"/>
      <c r="E331" s="169"/>
      <c r="F331" s="169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X331" s="169"/>
      <c r="Y331" s="169"/>
      <c r="Z331" s="169"/>
      <c r="AA331" s="170"/>
    </row>
    <row r="332" spans="1:27" s="11" customFormat="1">
      <c r="A332" s="168"/>
      <c r="B332" s="169"/>
      <c r="C332" s="169"/>
      <c r="D332" s="169"/>
      <c r="E332" s="169"/>
      <c r="F332" s="169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X332" s="169"/>
      <c r="Y332" s="169"/>
      <c r="Z332" s="169"/>
      <c r="AA332" s="170"/>
    </row>
    <row r="333" spans="1:27" s="11" customFormat="1">
      <c r="A333" s="168"/>
      <c r="B333" s="169"/>
      <c r="C333" s="169"/>
      <c r="D333" s="169"/>
      <c r="E333" s="169"/>
      <c r="F333" s="169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X333" s="169"/>
      <c r="Y333" s="169"/>
      <c r="Z333" s="169"/>
      <c r="AA333" s="170"/>
    </row>
    <row r="334" spans="1:27" s="11" customFormat="1">
      <c r="A334" s="168"/>
      <c r="B334" s="169"/>
      <c r="C334" s="169"/>
      <c r="D334" s="169"/>
      <c r="E334" s="169"/>
      <c r="F334" s="169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X334" s="169"/>
      <c r="Y334" s="169"/>
      <c r="Z334" s="169"/>
      <c r="AA334" s="170"/>
    </row>
    <row r="335" spans="1:27" s="11" customFormat="1">
      <c r="A335" s="168"/>
      <c r="B335" s="169"/>
      <c r="C335" s="169"/>
      <c r="D335" s="169"/>
      <c r="E335" s="169"/>
      <c r="F335" s="169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X335" s="169"/>
      <c r="Y335" s="169"/>
      <c r="Z335" s="169"/>
      <c r="AA335" s="170"/>
    </row>
    <row r="336" spans="1:27" s="11" customFormat="1">
      <c r="A336" s="168"/>
      <c r="B336" s="169"/>
      <c r="C336" s="169"/>
      <c r="D336" s="169"/>
      <c r="E336" s="169"/>
      <c r="F336" s="169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X336" s="169"/>
      <c r="Y336" s="169"/>
      <c r="Z336" s="169"/>
      <c r="AA336" s="170"/>
    </row>
    <row r="337" spans="1:27" s="11" customFormat="1">
      <c r="A337" s="168"/>
      <c r="B337" s="169"/>
      <c r="C337" s="169"/>
      <c r="D337" s="169"/>
      <c r="E337" s="169"/>
      <c r="F337" s="169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X337" s="169"/>
      <c r="Y337" s="169"/>
      <c r="Z337" s="169"/>
      <c r="AA337" s="170"/>
    </row>
    <row r="338" spans="1:27" s="11" customFormat="1">
      <c r="A338" s="168"/>
      <c r="B338" s="169"/>
      <c r="C338" s="169"/>
      <c r="D338" s="169"/>
      <c r="E338" s="169"/>
      <c r="F338" s="169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X338" s="169"/>
      <c r="Y338" s="169"/>
      <c r="Z338" s="169"/>
      <c r="AA338" s="170"/>
    </row>
    <row r="339" spans="1:27" s="11" customFormat="1">
      <c r="A339" s="168"/>
      <c r="B339" s="169"/>
      <c r="C339" s="169"/>
      <c r="D339" s="169"/>
      <c r="E339" s="169"/>
      <c r="F339" s="169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X339" s="169"/>
      <c r="Y339" s="169"/>
      <c r="Z339" s="169"/>
      <c r="AA339" s="170"/>
    </row>
    <row r="340" spans="1:27" s="11" customFormat="1">
      <c r="A340" s="168"/>
      <c r="B340" s="169"/>
      <c r="C340" s="169"/>
      <c r="D340" s="169"/>
      <c r="E340" s="169"/>
      <c r="F340" s="169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X340" s="169"/>
      <c r="Y340" s="169"/>
      <c r="Z340" s="169"/>
      <c r="AA340" s="170"/>
    </row>
    <row r="341" spans="1:27" s="11" customFormat="1">
      <c r="A341" s="168"/>
      <c r="B341" s="169"/>
      <c r="C341" s="169"/>
      <c r="D341" s="169"/>
      <c r="E341" s="169"/>
      <c r="F341" s="169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X341" s="169"/>
      <c r="Y341" s="169"/>
      <c r="Z341" s="169"/>
      <c r="AA341" s="170"/>
    </row>
    <row r="342" spans="1:27" s="11" customFormat="1">
      <c r="A342" s="168"/>
      <c r="B342" s="169"/>
      <c r="C342" s="169"/>
      <c r="D342" s="169"/>
      <c r="E342" s="169"/>
      <c r="F342" s="169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X342" s="169"/>
      <c r="Y342" s="169"/>
      <c r="Z342" s="169"/>
      <c r="AA342" s="170"/>
    </row>
    <row r="343" spans="1:27" s="11" customFormat="1">
      <c r="A343" s="168"/>
      <c r="B343" s="169"/>
      <c r="C343" s="169"/>
      <c r="D343" s="169"/>
      <c r="E343" s="169"/>
      <c r="F343" s="169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X343" s="169"/>
      <c r="Y343" s="169"/>
      <c r="Z343" s="169"/>
      <c r="AA343" s="170"/>
    </row>
    <row r="344" spans="1:27" s="11" customFormat="1">
      <c r="A344" s="168"/>
      <c r="B344" s="169"/>
      <c r="C344" s="169"/>
      <c r="D344" s="169"/>
      <c r="E344" s="169"/>
      <c r="F344" s="169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X344" s="169"/>
      <c r="Y344" s="169"/>
      <c r="Z344" s="169"/>
      <c r="AA344" s="170"/>
    </row>
    <row r="345" spans="1:27" s="11" customFormat="1">
      <c r="A345" s="168"/>
      <c r="B345" s="169"/>
      <c r="C345" s="169"/>
      <c r="D345" s="169"/>
      <c r="E345" s="169"/>
      <c r="F345" s="169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X345" s="169"/>
      <c r="Y345" s="169"/>
      <c r="Z345" s="169"/>
      <c r="AA345" s="170"/>
    </row>
    <row r="346" spans="1:27" s="11" customFormat="1">
      <c r="A346" s="168"/>
      <c r="B346" s="169"/>
      <c r="C346" s="169"/>
      <c r="D346" s="169"/>
      <c r="E346" s="169"/>
      <c r="F346" s="169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X346" s="169"/>
      <c r="Y346" s="169"/>
      <c r="Z346" s="169"/>
      <c r="AA346" s="170"/>
    </row>
    <row r="347" spans="1:27" s="11" customFormat="1">
      <c r="A347" s="168"/>
      <c r="B347" s="169"/>
      <c r="C347" s="169"/>
      <c r="D347" s="169"/>
      <c r="E347" s="169"/>
      <c r="F347" s="169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X347" s="169"/>
      <c r="Y347" s="169"/>
      <c r="Z347" s="169"/>
      <c r="AA347" s="170"/>
    </row>
    <row r="348" spans="1:27" s="11" customFormat="1">
      <c r="A348" s="168"/>
      <c r="B348" s="169"/>
      <c r="C348" s="169"/>
      <c r="D348" s="169"/>
      <c r="E348" s="169"/>
      <c r="F348" s="169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X348" s="169"/>
      <c r="Y348" s="169"/>
      <c r="Z348" s="169"/>
      <c r="AA348" s="170"/>
    </row>
    <row r="349" spans="1:27" s="11" customFormat="1">
      <c r="A349" s="168"/>
      <c r="B349" s="169"/>
      <c r="C349" s="169"/>
      <c r="D349" s="169"/>
      <c r="E349" s="169"/>
      <c r="F349" s="169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X349" s="169"/>
      <c r="Y349" s="169"/>
      <c r="Z349" s="169"/>
      <c r="AA349" s="170"/>
    </row>
    <row r="350" spans="1:27" s="11" customFormat="1">
      <c r="A350" s="168"/>
      <c r="B350" s="169"/>
      <c r="C350" s="169"/>
      <c r="D350" s="169"/>
      <c r="E350" s="169"/>
      <c r="F350" s="169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X350" s="169"/>
      <c r="Y350" s="169"/>
      <c r="Z350" s="169"/>
      <c r="AA350" s="170"/>
    </row>
    <row r="351" spans="1:27" s="11" customFormat="1">
      <c r="A351" s="168"/>
      <c r="B351" s="169"/>
      <c r="C351" s="169"/>
      <c r="D351" s="169"/>
      <c r="E351" s="169"/>
      <c r="F351" s="169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X351" s="169"/>
      <c r="Y351" s="169"/>
      <c r="Z351" s="169"/>
      <c r="AA351" s="170"/>
    </row>
    <row r="352" spans="1:27" s="11" customFormat="1">
      <c r="A352" s="168"/>
      <c r="B352" s="169"/>
      <c r="C352" s="169"/>
      <c r="D352" s="169"/>
      <c r="E352" s="169"/>
      <c r="F352" s="169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X352" s="169"/>
      <c r="Y352" s="169"/>
      <c r="Z352" s="169"/>
      <c r="AA352" s="170"/>
    </row>
    <row r="353" spans="1:27" s="11" customFormat="1">
      <c r="A353" s="168"/>
      <c r="B353" s="169"/>
      <c r="C353" s="169"/>
      <c r="D353" s="169"/>
      <c r="E353" s="169"/>
      <c r="F353" s="169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X353" s="169"/>
      <c r="Y353" s="169"/>
      <c r="Z353" s="169"/>
      <c r="AA353" s="170"/>
    </row>
    <row r="354" spans="1:27" s="11" customFormat="1">
      <c r="A354" s="168"/>
      <c r="B354" s="169"/>
      <c r="C354" s="169"/>
      <c r="D354" s="169"/>
      <c r="E354" s="169"/>
      <c r="F354" s="169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X354" s="169"/>
      <c r="Y354" s="169"/>
      <c r="Z354" s="169"/>
      <c r="AA354" s="170"/>
    </row>
    <row r="355" spans="1:27" s="11" customFormat="1">
      <c r="A355" s="168"/>
      <c r="B355" s="169"/>
      <c r="C355" s="169"/>
      <c r="D355" s="169"/>
      <c r="E355" s="169"/>
      <c r="F355" s="169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X355" s="169"/>
      <c r="Y355" s="169"/>
      <c r="Z355" s="169"/>
      <c r="AA355" s="170"/>
    </row>
    <row r="356" spans="1:27" s="11" customFormat="1">
      <c r="A356" s="168"/>
      <c r="B356" s="169"/>
      <c r="C356" s="169"/>
      <c r="D356" s="169"/>
      <c r="E356" s="169"/>
      <c r="F356" s="169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X356" s="169"/>
      <c r="Y356" s="169"/>
      <c r="Z356" s="169"/>
      <c r="AA356" s="170"/>
    </row>
    <row r="357" spans="1:27" s="11" customFormat="1">
      <c r="A357" s="168"/>
      <c r="B357" s="169"/>
      <c r="C357" s="169"/>
      <c r="D357" s="169"/>
      <c r="E357" s="169"/>
      <c r="F357" s="169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X357" s="169"/>
      <c r="Y357" s="169"/>
      <c r="Z357" s="169"/>
      <c r="AA357" s="170"/>
    </row>
    <row r="358" spans="1:27" s="11" customFormat="1">
      <c r="A358" s="168"/>
      <c r="B358" s="169"/>
      <c r="C358" s="169"/>
      <c r="D358" s="169"/>
      <c r="E358" s="169"/>
      <c r="F358" s="169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X358" s="169"/>
      <c r="Y358" s="169"/>
      <c r="Z358" s="169"/>
      <c r="AA358" s="170"/>
    </row>
    <row r="359" spans="1:27" s="11" customFormat="1">
      <c r="A359" s="168"/>
      <c r="B359" s="169"/>
      <c r="C359" s="169"/>
      <c r="D359" s="169"/>
      <c r="E359" s="169"/>
      <c r="F359" s="169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X359" s="169"/>
      <c r="Y359" s="169"/>
      <c r="Z359" s="169"/>
      <c r="AA359" s="170"/>
    </row>
    <row r="360" spans="1:27" s="11" customFormat="1">
      <c r="A360" s="168"/>
      <c r="B360" s="169"/>
      <c r="C360" s="169"/>
      <c r="D360" s="169"/>
      <c r="E360" s="169"/>
      <c r="F360" s="169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X360" s="169"/>
      <c r="Y360" s="169"/>
      <c r="Z360" s="169"/>
      <c r="AA360" s="170"/>
    </row>
    <row r="361" spans="1:27" s="11" customFormat="1">
      <c r="A361" s="168"/>
      <c r="B361" s="169"/>
      <c r="C361" s="169"/>
      <c r="D361" s="169"/>
      <c r="E361" s="169"/>
      <c r="F361" s="169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X361" s="169"/>
      <c r="Y361" s="169"/>
      <c r="Z361" s="169"/>
      <c r="AA361" s="170"/>
    </row>
    <row r="362" spans="1:27" s="11" customFormat="1">
      <c r="A362" s="168"/>
      <c r="B362" s="169"/>
      <c r="C362" s="169"/>
      <c r="D362" s="169"/>
      <c r="E362" s="169"/>
      <c r="F362" s="169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X362" s="169"/>
      <c r="Y362" s="169"/>
      <c r="Z362" s="169"/>
      <c r="AA362" s="170"/>
    </row>
    <row r="363" spans="1:27" s="11" customFormat="1">
      <c r="A363" s="168"/>
      <c r="B363" s="169"/>
      <c r="C363" s="169"/>
      <c r="D363" s="169"/>
      <c r="E363" s="169"/>
      <c r="F363" s="169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X363" s="169"/>
      <c r="Y363" s="169"/>
      <c r="Z363" s="169"/>
      <c r="AA363" s="170"/>
    </row>
    <row r="364" spans="1:27" s="11" customFormat="1">
      <c r="A364" s="168"/>
      <c r="B364" s="169"/>
      <c r="C364" s="169"/>
      <c r="D364" s="169"/>
      <c r="E364" s="169"/>
      <c r="F364" s="169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X364" s="169"/>
      <c r="Y364" s="169"/>
      <c r="Z364" s="169"/>
      <c r="AA364" s="170"/>
    </row>
    <row r="365" spans="1:27" s="11" customFormat="1">
      <c r="A365" s="168"/>
      <c r="B365" s="169"/>
      <c r="C365" s="169"/>
      <c r="D365" s="169"/>
      <c r="E365" s="169"/>
      <c r="F365" s="169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X365" s="169"/>
      <c r="Y365" s="169"/>
      <c r="Z365" s="169"/>
      <c r="AA365" s="170"/>
    </row>
    <row r="366" spans="1:27" s="11" customFormat="1">
      <c r="A366" s="168"/>
      <c r="B366" s="169"/>
      <c r="C366" s="169"/>
      <c r="D366" s="169"/>
      <c r="E366" s="169"/>
      <c r="F366" s="169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X366" s="169"/>
      <c r="Y366" s="169"/>
      <c r="Z366" s="169"/>
      <c r="AA366" s="170"/>
    </row>
    <row r="367" spans="1:27" s="11" customFormat="1">
      <c r="A367" s="168"/>
      <c r="B367" s="169"/>
      <c r="C367" s="169"/>
      <c r="D367" s="169"/>
      <c r="E367" s="169"/>
      <c r="F367" s="169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X367" s="169"/>
      <c r="Y367" s="169"/>
      <c r="Z367" s="169"/>
      <c r="AA367" s="170"/>
    </row>
    <row r="368" spans="1:27" s="11" customFormat="1">
      <c r="A368" s="168"/>
      <c r="B368" s="169"/>
      <c r="C368" s="169"/>
      <c r="D368" s="169"/>
      <c r="E368" s="169"/>
      <c r="F368" s="169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X368" s="169"/>
      <c r="Y368" s="169"/>
      <c r="Z368" s="169"/>
      <c r="AA368" s="170"/>
    </row>
    <row r="369" spans="1:27" s="11" customFormat="1">
      <c r="A369" s="168"/>
      <c r="B369" s="169"/>
      <c r="C369" s="169"/>
      <c r="D369" s="169"/>
      <c r="E369" s="169"/>
      <c r="F369" s="169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X369" s="169"/>
      <c r="Y369" s="169"/>
      <c r="Z369" s="169"/>
      <c r="AA369" s="170"/>
    </row>
    <row r="370" spans="1:27" s="11" customFormat="1">
      <c r="A370" s="168"/>
      <c r="B370" s="169"/>
      <c r="C370" s="169"/>
      <c r="D370" s="169"/>
      <c r="E370" s="169"/>
      <c r="F370" s="169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X370" s="169"/>
      <c r="Y370" s="169"/>
      <c r="Z370" s="169"/>
      <c r="AA370" s="170"/>
    </row>
    <row r="371" spans="1:27" s="11" customFormat="1">
      <c r="A371" s="168"/>
      <c r="B371" s="169"/>
      <c r="C371" s="169"/>
      <c r="D371" s="169"/>
      <c r="E371" s="169"/>
      <c r="F371" s="169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X371" s="169"/>
      <c r="Y371" s="169"/>
      <c r="Z371" s="169"/>
      <c r="AA371" s="170"/>
    </row>
    <row r="372" spans="1:27" s="11" customFormat="1">
      <c r="A372" s="168"/>
      <c r="B372" s="169"/>
      <c r="C372" s="169"/>
      <c r="D372" s="169"/>
      <c r="E372" s="169"/>
      <c r="F372" s="169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X372" s="169"/>
      <c r="Y372" s="169"/>
      <c r="Z372" s="169"/>
      <c r="AA372" s="170"/>
    </row>
    <row r="373" spans="1:27" s="11" customFormat="1">
      <c r="A373" s="168"/>
      <c r="B373" s="169"/>
      <c r="C373" s="169"/>
      <c r="D373" s="169"/>
      <c r="E373" s="169"/>
      <c r="F373" s="169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X373" s="169"/>
      <c r="Y373" s="169"/>
      <c r="Z373" s="169"/>
      <c r="AA373" s="170"/>
    </row>
    <row r="374" spans="1:27" s="11" customFormat="1">
      <c r="A374" s="168"/>
      <c r="B374" s="169"/>
      <c r="C374" s="169"/>
      <c r="D374" s="169"/>
      <c r="E374" s="169"/>
      <c r="F374" s="169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X374" s="169"/>
      <c r="Y374" s="169"/>
      <c r="Z374" s="169"/>
      <c r="AA374" s="170"/>
    </row>
    <row r="375" spans="1:27" s="11" customFormat="1">
      <c r="A375" s="168"/>
      <c r="B375" s="169"/>
      <c r="C375" s="169"/>
      <c r="D375" s="169"/>
      <c r="E375" s="169"/>
      <c r="F375" s="169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X375" s="169"/>
      <c r="Y375" s="169"/>
      <c r="Z375" s="169"/>
      <c r="AA375" s="170"/>
    </row>
    <row r="376" spans="1:27" s="11" customFormat="1">
      <c r="A376" s="168"/>
      <c r="B376" s="169"/>
      <c r="C376" s="169"/>
      <c r="D376" s="169"/>
      <c r="E376" s="169"/>
      <c r="F376" s="169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X376" s="169"/>
      <c r="Y376" s="169"/>
      <c r="Z376" s="169"/>
      <c r="AA376" s="170"/>
    </row>
    <row r="377" spans="1:27" s="11" customFormat="1">
      <c r="A377" s="168"/>
      <c r="B377" s="169"/>
      <c r="C377" s="169"/>
      <c r="D377" s="169"/>
      <c r="E377" s="169"/>
      <c r="F377" s="169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X377" s="169"/>
      <c r="Y377" s="169"/>
      <c r="Z377" s="169"/>
      <c r="AA377" s="170"/>
    </row>
    <row r="378" spans="1:27" s="11" customFormat="1">
      <c r="A378" s="168"/>
      <c r="B378" s="169"/>
      <c r="C378" s="169"/>
      <c r="D378" s="169"/>
      <c r="E378" s="169"/>
      <c r="F378" s="169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X378" s="169"/>
      <c r="Y378" s="169"/>
      <c r="Z378" s="169"/>
      <c r="AA378" s="170"/>
    </row>
    <row r="379" spans="1:27" s="11" customFormat="1">
      <c r="A379" s="168"/>
      <c r="B379" s="169"/>
      <c r="C379" s="169"/>
      <c r="D379" s="169"/>
      <c r="E379" s="169"/>
      <c r="F379" s="169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X379" s="169"/>
      <c r="Y379" s="169"/>
      <c r="Z379" s="169"/>
      <c r="AA379" s="170"/>
    </row>
    <row r="380" spans="1:27" s="11" customFormat="1">
      <c r="A380" s="168"/>
      <c r="B380" s="169"/>
      <c r="C380" s="169"/>
      <c r="D380" s="169"/>
      <c r="E380" s="169"/>
      <c r="F380" s="169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X380" s="169"/>
      <c r="Y380" s="169"/>
      <c r="Z380" s="169"/>
      <c r="AA380" s="170"/>
    </row>
    <row r="381" spans="1:27" s="11" customFormat="1">
      <c r="A381" s="168"/>
      <c r="B381" s="169"/>
      <c r="C381" s="169"/>
      <c r="D381" s="169"/>
      <c r="E381" s="169"/>
      <c r="F381" s="169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X381" s="169"/>
      <c r="Y381" s="169"/>
      <c r="Z381" s="169"/>
      <c r="AA381" s="170"/>
    </row>
    <row r="382" spans="1:27" s="11" customFormat="1">
      <c r="A382" s="168"/>
      <c r="B382" s="169"/>
      <c r="C382" s="169"/>
      <c r="D382" s="169"/>
      <c r="E382" s="169"/>
      <c r="F382" s="169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X382" s="169"/>
      <c r="Y382" s="169"/>
      <c r="Z382" s="169"/>
      <c r="AA382" s="170"/>
    </row>
    <row r="383" spans="1:27" s="11" customFormat="1">
      <c r="A383" s="168"/>
      <c r="B383" s="169"/>
      <c r="C383" s="169"/>
      <c r="D383" s="169"/>
      <c r="E383" s="169"/>
      <c r="F383" s="169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X383" s="169"/>
      <c r="Y383" s="169"/>
      <c r="Z383" s="169"/>
      <c r="AA383" s="170"/>
    </row>
    <row r="384" spans="1:27" s="11" customFormat="1">
      <c r="A384" s="168"/>
      <c r="B384" s="169"/>
      <c r="C384" s="169"/>
      <c r="D384" s="169"/>
      <c r="E384" s="169"/>
      <c r="F384" s="169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X384" s="169"/>
      <c r="Y384" s="169"/>
      <c r="Z384" s="169"/>
      <c r="AA384" s="170"/>
    </row>
    <row r="385" spans="1:27" s="11" customFormat="1">
      <c r="A385" s="168"/>
      <c r="B385" s="169"/>
      <c r="C385" s="169"/>
      <c r="D385" s="169"/>
      <c r="E385" s="169"/>
      <c r="F385" s="169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X385" s="169"/>
      <c r="Y385" s="169"/>
      <c r="Z385" s="169"/>
      <c r="AA385" s="170"/>
    </row>
    <row r="386" spans="1:27" s="11" customFormat="1">
      <c r="A386" s="168"/>
      <c r="B386" s="169"/>
      <c r="C386" s="169"/>
      <c r="D386" s="169"/>
      <c r="E386" s="169"/>
      <c r="F386" s="169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X386" s="169"/>
      <c r="Y386" s="169"/>
      <c r="Z386" s="169"/>
      <c r="AA386" s="170"/>
    </row>
    <row r="387" spans="1:27" s="11" customFormat="1">
      <c r="A387" s="168"/>
      <c r="B387" s="169"/>
      <c r="C387" s="169"/>
      <c r="D387" s="169"/>
      <c r="E387" s="169"/>
      <c r="F387" s="169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X387" s="169"/>
      <c r="Y387" s="169"/>
      <c r="Z387" s="169"/>
      <c r="AA387" s="170"/>
    </row>
    <row r="388" spans="1:27" s="11" customFormat="1">
      <c r="A388" s="168"/>
      <c r="B388" s="169"/>
      <c r="C388" s="169"/>
      <c r="D388" s="169"/>
      <c r="E388" s="169"/>
      <c r="F388" s="169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X388" s="169"/>
      <c r="Y388" s="169"/>
      <c r="Z388" s="169"/>
      <c r="AA388" s="170"/>
    </row>
    <row r="389" spans="1:27" s="11" customFormat="1">
      <c r="A389" s="168"/>
      <c r="B389" s="169"/>
      <c r="C389" s="169"/>
      <c r="D389" s="169"/>
      <c r="E389" s="169"/>
      <c r="F389" s="169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X389" s="169"/>
      <c r="Y389" s="169"/>
      <c r="Z389" s="169"/>
      <c r="AA389" s="170"/>
    </row>
    <row r="390" spans="1:27" s="11" customFormat="1">
      <c r="A390" s="168"/>
      <c r="B390" s="169"/>
      <c r="C390" s="169"/>
      <c r="D390" s="169"/>
      <c r="E390" s="169"/>
      <c r="F390" s="169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X390" s="169"/>
      <c r="Y390" s="169"/>
      <c r="Z390" s="169"/>
      <c r="AA390" s="170"/>
    </row>
    <row r="391" spans="1:27" s="11" customFormat="1">
      <c r="A391" s="168"/>
      <c r="B391" s="169"/>
      <c r="C391" s="169"/>
      <c r="D391" s="169"/>
      <c r="E391" s="169"/>
      <c r="F391" s="169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X391" s="169"/>
      <c r="Y391" s="169"/>
      <c r="Z391" s="169"/>
      <c r="AA391" s="170"/>
    </row>
    <row r="392" spans="1:27" s="11" customFormat="1">
      <c r="A392" s="168"/>
      <c r="B392" s="169"/>
      <c r="C392" s="169"/>
      <c r="D392" s="169"/>
      <c r="E392" s="169"/>
      <c r="F392" s="169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X392" s="169"/>
      <c r="Y392" s="169"/>
      <c r="Z392" s="169"/>
      <c r="AA392" s="170"/>
    </row>
    <row r="393" spans="1:27" s="11" customFormat="1">
      <c r="A393" s="168"/>
      <c r="B393" s="169"/>
      <c r="C393" s="169"/>
      <c r="D393" s="169"/>
      <c r="E393" s="169"/>
      <c r="F393" s="169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X393" s="169"/>
      <c r="Y393" s="169"/>
      <c r="Z393" s="169"/>
      <c r="AA393" s="170"/>
    </row>
    <row r="394" spans="1:27" s="11" customFormat="1">
      <c r="A394" s="168"/>
      <c r="B394" s="169"/>
      <c r="C394" s="169"/>
      <c r="D394" s="169"/>
      <c r="E394" s="169"/>
      <c r="F394" s="169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X394" s="169"/>
      <c r="Y394" s="169"/>
      <c r="Z394" s="169"/>
      <c r="AA394" s="170"/>
    </row>
    <row r="395" spans="1:27" s="11" customFormat="1">
      <c r="A395" s="168"/>
      <c r="B395" s="169"/>
      <c r="C395" s="169"/>
      <c r="D395" s="169"/>
      <c r="E395" s="169"/>
      <c r="F395" s="169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X395" s="169"/>
      <c r="Y395" s="169"/>
      <c r="Z395" s="169"/>
      <c r="AA395" s="170"/>
    </row>
    <row r="396" spans="1:27" s="11" customFormat="1">
      <c r="A396" s="168"/>
      <c r="B396" s="169"/>
      <c r="C396" s="169"/>
      <c r="D396" s="169"/>
      <c r="E396" s="169"/>
      <c r="F396" s="169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X396" s="169"/>
      <c r="Y396" s="169"/>
      <c r="Z396" s="169"/>
      <c r="AA396" s="170"/>
    </row>
    <row r="397" spans="1:27" s="11" customFormat="1">
      <c r="A397" s="168"/>
      <c r="B397" s="169"/>
      <c r="C397" s="169"/>
      <c r="D397" s="169"/>
      <c r="E397" s="169"/>
      <c r="F397" s="169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X397" s="169"/>
      <c r="Y397" s="169"/>
      <c r="Z397" s="169"/>
      <c r="AA397" s="170"/>
    </row>
    <row r="398" spans="1:27" s="11" customFormat="1">
      <c r="A398" s="168"/>
      <c r="B398" s="169"/>
      <c r="C398" s="169"/>
      <c r="D398" s="169"/>
      <c r="E398" s="169"/>
      <c r="F398" s="169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X398" s="169"/>
      <c r="Y398" s="169"/>
      <c r="Z398" s="169"/>
      <c r="AA398" s="170"/>
    </row>
    <row r="399" spans="1:27" s="11" customFormat="1">
      <c r="A399" s="168"/>
      <c r="B399" s="169"/>
      <c r="C399" s="169"/>
      <c r="D399" s="169"/>
      <c r="E399" s="169"/>
      <c r="F399" s="169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X399" s="169"/>
      <c r="Y399" s="169"/>
      <c r="Z399" s="169"/>
      <c r="AA399" s="170"/>
    </row>
    <row r="400" spans="1:27" s="11" customFormat="1">
      <c r="A400" s="168"/>
      <c r="B400" s="169"/>
      <c r="C400" s="169"/>
      <c r="D400" s="169"/>
      <c r="E400" s="169"/>
      <c r="F400" s="169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X400" s="169"/>
      <c r="Y400" s="169"/>
      <c r="Z400" s="169"/>
      <c r="AA400" s="170"/>
    </row>
    <row r="401" spans="1:27" s="11" customFormat="1">
      <c r="A401" s="168"/>
      <c r="B401" s="169"/>
      <c r="C401" s="169"/>
      <c r="D401" s="169"/>
      <c r="E401" s="169"/>
      <c r="F401" s="169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X401" s="169"/>
      <c r="Y401" s="169"/>
      <c r="Z401" s="169"/>
      <c r="AA401" s="170"/>
    </row>
    <row r="402" spans="1:27" s="11" customFormat="1">
      <c r="A402" s="168"/>
      <c r="B402" s="169"/>
      <c r="C402" s="169"/>
      <c r="D402" s="169"/>
      <c r="E402" s="169"/>
      <c r="F402" s="169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X402" s="169"/>
      <c r="Y402" s="169"/>
      <c r="Z402" s="169"/>
      <c r="AA402" s="170"/>
    </row>
    <row r="403" spans="1:27" s="11" customFormat="1">
      <c r="A403" s="168"/>
      <c r="B403" s="169"/>
      <c r="C403" s="169"/>
      <c r="D403" s="169"/>
      <c r="E403" s="169"/>
      <c r="F403" s="169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X403" s="169"/>
      <c r="Y403" s="169"/>
      <c r="Z403" s="169"/>
      <c r="AA403" s="170"/>
    </row>
    <row r="404" spans="1:27" s="11" customFormat="1">
      <c r="A404" s="168"/>
      <c r="B404" s="169"/>
      <c r="C404" s="169"/>
      <c r="D404" s="169"/>
      <c r="E404" s="169"/>
      <c r="F404" s="169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X404" s="169"/>
      <c r="Y404" s="169"/>
      <c r="Z404" s="169"/>
      <c r="AA404" s="170"/>
    </row>
    <row r="405" spans="1:27" s="11" customFormat="1">
      <c r="A405" s="168"/>
      <c r="B405" s="169"/>
      <c r="C405" s="169"/>
      <c r="D405" s="169"/>
      <c r="E405" s="169"/>
      <c r="F405" s="169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X405" s="169"/>
      <c r="Y405" s="169"/>
      <c r="Z405" s="169"/>
      <c r="AA405" s="170"/>
    </row>
    <row r="406" spans="1:27" s="11" customFormat="1">
      <c r="A406" s="168"/>
      <c r="B406" s="169"/>
      <c r="C406" s="169"/>
      <c r="D406" s="169"/>
      <c r="E406" s="169"/>
      <c r="F406" s="169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X406" s="169"/>
      <c r="Y406" s="169"/>
      <c r="Z406" s="169"/>
      <c r="AA406" s="170"/>
    </row>
    <row r="407" spans="1:27" s="11" customFormat="1">
      <c r="A407" s="168"/>
      <c r="B407" s="169"/>
      <c r="C407" s="169"/>
      <c r="D407" s="169"/>
      <c r="E407" s="169"/>
      <c r="F407" s="169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X407" s="169"/>
      <c r="Y407" s="169"/>
      <c r="Z407" s="169"/>
      <c r="AA407" s="170"/>
    </row>
    <row r="408" spans="1:27" s="11" customFormat="1">
      <c r="A408" s="168"/>
      <c r="B408" s="169"/>
      <c r="C408" s="169"/>
      <c r="D408" s="169"/>
      <c r="E408" s="169"/>
      <c r="F408" s="169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X408" s="169"/>
      <c r="Y408" s="169"/>
      <c r="Z408" s="169"/>
      <c r="AA408" s="170"/>
    </row>
    <row r="409" spans="1:27" s="11" customFormat="1">
      <c r="A409" s="168"/>
      <c r="B409" s="169"/>
      <c r="C409" s="169"/>
      <c r="D409" s="169"/>
      <c r="E409" s="169"/>
      <c r="F409" s="169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X409" s="169"/>
      <c r="Y409" s="169"/>
      <c r="Z409" s="169"/>
      <c r="AA409" s="170"/>
    </row>
    <row r="410" spans="1:27" s="11" customFormat="1">
      <c r="A410" s="168"/>
      <c r="B410" s="169"/>
      <c r="C410" s="169"/>
      <c r="D410" s="169"/>
      <c r="E410" s="169"/>
      <c r="F410" s="169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X410" s="169"/>
      <c r="Y410" s="169"/>
      <c r="Z410" s="169"/>
      <c r="AA410" s="170"/>
    </row>
    <row r="411" spans="1:27" s="11" customFormat="1">
      <c r="A411" s="168"/>
      <c r="B411" s="169"/>
      <c r="C411" s="169"/>
      <c r="D411" s="169"/>
      <c r="E411" s="169"/>
      <c r="F411" s="169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X411" s="169"/>
      <c r="Y411" s="169"/>
      <c r="Z411" s="169"/>
      <c r="AA411" s="170"/>
    </row>
    <row r="412" spans="1:27" s="11" customFormat="1">
      <c r="A412" s="168"/>
      <c r="B412" s="169"/>
      <c r="C412" s="169"/>
      <c r="D412" s="169"/>
      <c r="E412" s="169"/>
      <c r="F412" s="169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X412" s="169"/>
      <c r="Y412" s="169"/>
      <c r="Z412" s="169"/>
      <c r="AA412" s="170"/>
    </row>
    <row r="413" spans="1:27" s="11" customFormat="1">
      <c r="A413" s="168"/>
      <c r="B413" s="169"/>
      <c r="C413" s="169"/>
      <c r="D413" s="169"/>
      <c r="E413" s="169"/>
      <c r="F413" s="169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X413" s="169"/>
      <c r="Y413" s="169"/>
      <c r="Z413" s="169"/>
      <c r="AA413" s="170"/>
    </row>
    <row r="414" spans="1:27" s="11" customFormat="1">
      <c r="A414" s="168"/>
      <c r="B414" s="169"/>
      <c r="C414" s="169"/>
      <c r="D414" s="169"/>
      <c r="E414" s="169"/>
      <c r="F414" s="169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X414" s="169"/>
      <c r="Y414" s="169"/>
      <c r="Z414" s="169"/>
      <c r="AA414" s="170"/>
    </row>
    <row r="415" spans="1:27" s="11" customFormat="1">
      <c r="A415" s="168"/>
      <c r="B415" s="169"/>
      <c r="C415" s="169"/>
      <c r="D415" s="169"/>
      <c r="E415" s="169"/>
      <c r="F415" s="169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X415" s="169"/>
      <c r="Y415" s="169"/>
      <c r="Z415" s="169"/>
      <c r="AA415" s="170"/>
    </row>
    <row r="416" spans="1:27" s="11" customFormat="1">
      <c r="A416" s="168"/>
      <c r="B416" s="169"/>
      <c r="C416" s="169"/>
      <c r="D416" s="169"/>
      <c r="E416" s="169"/>
      <c r="F416" s="169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X416" s="169"/>
      <c r="Y416" s="169"/>
      <c r="Z416" s="169"/>
      <c r="AA416" s="170"/>
    </row>
    <row r="417" spans="1:27" s="11" customFormat="1">
      <c r="A417" s="168"/>
      <c r="B417" s="169"/>
      <c r="C417" s="169"/>
      <c r="D417" s="169"/>
      <c r="E417" s="169"/>
      <c r="F417" s="169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X417" s="169"/>
      <c r="Y417" s="169"/>
      <c r="Z417" s="169"/>
      <c r="AA417" s="170"/>
    </row>
    <row r="418" spans="1:27" s="11" customFormat="1">
      <c r="A418" s="168"/>
      <c r="B418" s="169"/>
      <c r="C418" s="169"/>
      <c r="D418" s="169"/>
      <c r="E418" s="169"/>
      <c r="F418" s="169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X418" s="169"/>
      <c r="Y418" s="169"/>
      <c r="Z418" s="169"/>
      <c r="AA418" s="170"/>
    </row>
    <row r="419" spans="1:27" s="11" customFormat="1">
      <c r="A419" s="168"/>
      <c r="B419" s="169"/>
      <c r="C419" s="169"/>
      <c r="D419" s="169"/>
      <c r="E419" s="169"/>
      <c r="F419" s="169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X419" s="169"/>
      <c r="Y419" s="169"/>
      <c r="Z419" s="169"/>
      <c r="AA419" s="170"/>
    </row>
    <row r="420" spans="1:27" s="11" customFormat="1">
      <c r="A420" s="168"/>
      <c r="B420" s="169"/>
      <c r="C420" s="169"/>
      <c r="D420" s="169"/>
      <c r="E420" s="169"/>
      <c r="F420" s="169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X420" s="169"/>
      <c r="Y420" s="169"/>
      <c r="Z420" s="169"/>
      <c r="AA420" s="170"/>
    </row>
    <row r="421" spans="1:27" s="11" customFormat="1">
      <c r="A421" s="168"/>
      <c r="B421" s="169"/>
      <c r="C421" s="169"/>
      <c r="D421" s="169"/>
      <c r="E421" s="169"/>
      <c r="F421" s="169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X421" s="169"/>
      <c r="Y421" s="169"/>
      <c r="Z421" s="169"/>
      <c r="AA421" s="170"/>
    </row>
    <row r="422" spans="1:27" s="11" customFormat="1">
      <c r="A422" s="168"/>
      <c r="B422" s="169"/>
      <c r="C422" s="169"/>
      <c r="D422" s="169"/>
      <c r="E422" s="169"/>
      <c r="F422" s="169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X422" s="169"/>
      <c r="Y422" s="169"/>
      <c r="Z422" s="169"/>
      <c r="AA422" s="170"/>
    </row>
    <row r="423" spans="1:27" s="11" customFormat="1">
      <c r="A423" s="168"/>
      <c r="B423" s="169"/>
      <c r="C423" s="169"/>
      <c r="D423" s="169"/>
      <c r="E423" s="169"/>
      <c r="F423" s="169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X423" s="169"/>
      <c r="Y423" s="169"/>
      <c r="Z423" s="169"/>
      <c r="AA423" s="170"/>
    </row>
    <row r="424" spans="1:27" s="11" customFormat="1">
      <c r="A424" s="168"/>
      <c r="B424" s="169"/>
      <c r="C424" s="169"/>
      <c r="D424" s="169"/>
      <c r="E424" s="169"/>
      <c r="F424" s="169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X424" s="169"/>
      <c r="Y424" s="169"/>
      <c r="Z424" s="169"/>
      <c r="AA424" s="170"/>
    </row>
    <row r="425" spans="1:27" s="11" customFormat="1">
      <c r="A425" s="168"/>
      <c r="B425" s="169"/>
      <c r="C425" s="169"/>
      <c r="D425" s="169"/>
      <c r="E425" s="169"/>
      <c r="F425" s="169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X425" s="169"/>
      <c r="Y425" s="169"/>
      <c r="Z425" s="169"/>
      <c r="AA425" s="170"/>
    </row>
    <row r="426" spans="1:27" s="11" customFormat="1">
      <c r="A426" s="168"/>
      <c r="B426" s="169"/>
      <c r="C426" s="169"/>
      <c r="D426" s="169"/>
      <c r="E426" s="169"/>
      <c r="F426" s="169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X426" s="169"/>
      <c r="Y426" s="169"/>
      <c r="Z426" s="169"/>
      <c r="AA426" s="170"/>
    </row>
    <row r="427" spans="1:27" s="11" customFormat="1">
      <c r="A427" s="168"/>
      <c r="B427" s="169"/>
      <c r="C427" s="169"/>
      <c r="D427" s="169"/>
      <c r="E427" s="169"/>
      <c r="F427" s="169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X427" s="169"/>
      <c r="Y427" s="169"/>
      <c r="Z427" s="169"/>
      <c r="AA427" s="170"/>
    </row>
    <row r="428" spans="1:27" s="11" customFormat="1">
      <c r="A428" s="168"/>
      <c r="B428" s="169"/>
      <c r="C428" s="169"/>
      <c r="D428" s="169"/>
      <c r="E428" s="169"/>
      <c r="F428" s="169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X428" s="169"/>
      <c r="Y428" s="169"/>
      <c r="Z428" s="169"/>
      <c r="AA428" s="170"/>
    </row>
    <row r="429" spans="1:27" s="11" customFormat="1">
      <c r="A429" s="168"/>
      <c r="B429" s="169"/>
      <c r="C429" s="169"/>
      <c r="D429" s="169"/>
      <c r="E429" s="169"/>
      <c r="F429" s="169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X429" s="169"/>
      <c r="Y429" s="169"/>
      <c r="Z429" s="169"/>
      <c r="AA429" s="170"/>
    </row>
    <row r="430" spans="1:27" s="11" customFormat="1">
      <c r="A430" s="168"/>
      <c r="B430" s="169"/>
      <c r="C430" s="169"/>
      <c r="D430" s="169"/>
      <c r="E430" s="169"/>
      <c r="F430" s="169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X430" s="169"/>
      <c r="Y430" s="169"/>
      <c r="Z430" s="169"/>
      <c r="AA430" s="170"/>
    </row>
    <row r="431" spans="1:27" s="11" customFormat="1">
      <c r="A431" s="168"/>
      <c r="B431" s="169"/>
      <c r="C431" s="169"/>
      <c r="D431" s="169"/>
      <c r="E431" s="169"/>
      <c r="F431" s="169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X431" s="169"/>
      <c r="Y431" s="169"/>
      <c r="Z431" s="169"/>
      <c r="AA431" s="170"/>
    </row>
    <row r="432" spans="1:27" s="11" customFormat="1">
      <c r="A432" s="168"/>
      <c r="B432" s="169"/>
      <c r="C432" s="169"/>
      <c r="D432" s="169"/>
      <c r="E432" s="169"/>
      <c r="F432" s="169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X432" s="169"/>
      <c r="Y432" s="169"/>
      <c r="Z432" s="169"/>
      <c r="AA432" s="170"/>
    </row>
    <row r="433" spans="1:27" s="11" customFormat="1">
      <c r="A433" s="168"/>
      <c r="B433" s="169"/>
      <c r="C433" s="169"/>
      <c r="D433" s="169"/>
      <c r="E433" s="169"/>
      <c r="F433" s="169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X433" s="169"/>
      <c r="Y433" s="169"/>
      <c r="Z433" s="169"/>
      <c r="AA433" s="170"/>
    </row>
    <row r="434" spans="1:27" s="11" customFormat="1">
      <c r="A434" s="168"/>
      <c r="B434" s="169"/>
      <c r="C434" s="169"/>
      <c r="D434" s="169"/>
      <c r="E434" s="169"/>
      <c r="F434" s="169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X434" s="169"/>
      <c r="Y434" s="169"/>
      <c r="Z434" s="169"/>
      <c r="AA434" s="170"/>
    </row>
    <row r="435" spans="1:27" s="11" customFormat="1">
      <c r="A435" s="168"/>
      <c r="B435" s="169"/>
      <c r="C435" s="169"/>
      <c r="D435" s="169"/>
      <c r="E435" s="169"/>
      <c r="F435" s="169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X435" s="169"/>
      <c r="Y435" s="169"/>
      <c r="Z435" s="169"/>
      <c r="AA435" s="170"/>
    </row>
    <row r="436" spans="1:27" s="11" customFormat="1">
      <c r="A436" s="168"/>
      <c r="B436" s="169"/>
      <c r="C436" s="169"/>
      <c r="D436" s="169"/>
      <c r="E436" s="169"/>
      <c r="F436" s="169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X436" s="169"/>
      <c r="Y436" s="169"/>
      <c r="Z436" s="169"/>
      <c r="AA436" s="170"/>
    </row>
    <row r="437" spans="1:27" s="11" customFormat="1">
      <c r="A437" s="168"/>
      <c r="B437" s="169"/>
      <c r="C437" s="169"/>
      <c r="D437" s="169"/>
      <c r="E437" s="169"/>
      <c r="F437" s="169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X437" s="169"/>
      <c r="Y437" s="169"/>
      <c r="Z437" s="169"/>
      <c r="AA437" s="170"/>
    </row>
    <row r="438" spans="1:27" s="11" customFormat="1">
      <c r="A438" s="168"/>
      <c r="B438" s="169"/>
      <c r="C438" s="169"/>
      <c r="D438" s="169"/>
      <c r="E438" s="169"/>
      <c r="F438" s="169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X438" s="169"/>
      <c r="Y438" s="169"/>
      <c r="Z438" s="169"/>
      <c r="AA438" s="170"/>
    </row>
    <row r="439" spans="1:27">
      <c r="A439" s="168"/>
      <c r="G439" s="2"/>
      <c r="W439" s="2"/>
      <c r="AA439" s="180"/>
    </row>
    <row r="440" spans="1:27">
      <c r="A440" s="168"/>
      <c r="B440" s="181"/>
      <c r="C440" s="181"/>
      <c r="D440" s="181"/>
      <c r="E440" s="181"/>
      <c r="F440" s="181"/>
      <c r="X440" s="181"/>
      <c r="Y440" s="181"/>
      <c r="Z440" s="181"/>
      <c r="AA440" s="181"/>
    </row>
    <row r="441" spans="1:27">
      <c r="A441" s="168"/>
    </row>
    <row r="442" spans="1:27">
      <c r="A442" s="168"/>
      <c r="B442" s="182"/>
      <c r="C442" s="182"/>
      <c r="D442" s="182"/>
      <c r="E442" s="182"/>
      <c r="F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X442" s="182"/>
      <c r="Y442" s="182"/>
      <c r="Z442" s="182"/>
    </row>
    <row r="443" spans="1:27">
      <c r="A443" s="168"/>
    </row>
    <row r="444" spans="1:27">
      <c r="A444" s="168"/>
    </row>
    <row r="445" spans="1:27">
      <c r="A445" s="168"/>
    </row>
    <row r="446" spans="1:27">
      <c r="A446" s="168"/>
    </row>
    <row r="447" spans="1:27">
      <c r="A447" s="168"/>
    </row>
    <row r="448" spans="1:27">
      <c r="A448" s="168"/>
    </row>
    <row r="449" spans="1:1">
      <c r="A449" s="168"/>
    </row>
    <row r="450" spans="1:1">
      <c r="A450" s="168"/>
    </row>
    <row r="451" spans="1:1">
      <c r="A451" s="168"/>
    </row>
    <row r="452" spans="1:1">
      <c r="A452" s="168"/>
    </row>
    <row r="453" spans="1:1">
      <c r="A453" s="168"/>
    </row>
    <row r="454" spans="1:1">
      <c r="A454" s="168"/>
    </row>
    <row r="455" spans="1:1">
      <c r="A455" s="168"/>
    </row>
    <row r="456" spans="1:1">
      <c r="A456" s="168"/>
    </row>
    <row r="457" spans="1:1">
      <c r="A457" s="168"/>
    </row>
    <row r="458" spans="1:1">
      <c r="A458" s="168"/>
    </row>
    <row r="459" spans="1:1">
      <c r="A459" s="168"/>
    </row>
    <row r="460" spans="1:1">
      <c r="A460" s="168"/>
    </row>
    <row r="461" spans="1:1">
      <c r="A461" s="168"/>
    </row>
    <row r="462" spans="1:1">
      <c r="A462" s="168"/>
    </row>
    <row r="463" spans="1:1">
      <c r="A463" s="168"/>
    </row>
    <row r="464" spans="1:1">
      <c r="A464" s="168"/>
    </row>
    <row r="465" spans="1:1">
      <c r="A465" s="168"/>
    </row>
    <row r="466" spans="1:1">
      <c r="A466" s="168"/>
    </row>
    <row r="467" spans="1:1">
      <c r="A467" s="168"/>
    </row>
    <row r="468" spans="1:1">
      <c r="A468" s="168"/>
    </row>
    <row r="469" spans="1:1">
      <c r="A469" s="168"/>
    </row>
    <row r="470" spans="1:1">
      <c r="A470" s="168"/>
    </row>
    <row r="471" spans="1:1">
      <c r="A471" s="168"/>
    </row>
    <row r="472" spans="1:1">
      <c r="A472" s="168"/>
    </row>
    <row r="473" spans="1:1">
      <c r="A473" s="168"/>
    </row>
    <row r="474" spans="1:1">
      <c r="A474" s="168"/>
    </row>
    <row r="475" spans="1:1">
      <c r="A475" s="168"/>
    </row>
    <row r="476" spans="1:1">
      <c r="A476" s="168"/>
    </row>
    <row r="477" spans="1:1">
      <c r="A477" s="168"/>
    </row>
    <row r="478" spans="1:1">
      <c r="A478" s="168"/>
    </row>
    <row r="479" spans="1:1">
      <c r="A479" s="168"/>
    </row>
    <row r="480" spans="1:1">
      <c r="A480" s="168"/>
    </row>
    <row r="481" spans="1:1">
      <c r="A481" s="168"/>
    </row>
    <row r="482" spans="1:1">
      <c r="A482" s="168"/>
    </row>
    <row r="483" spans="1:1">
      <c r="A483" s="168"/>
    </row>
    <row r="484" spans="1:1">
      <c r="A484" s="168"/>
    </row>
    <row r="485" spans="1:1">
      <c r="A485" s="168"/>
    </row>
    <row r="486" spans="1:1">
      <c r="A486" s="168"/>
    </row>
    <row r="487" spans="1:1">
      <c r="A487" s="168"/>
    </row>
    <row r="488" spans="1:1">
      <c r="A488" s="168"/>
    </row>
    <row r="489" spans="1:1">
      <c r="A489" s="168"/>
    </row>
    <row r="490" spans="1:1">
      <c r="A490" s="168"/>
    </row>
    <row r="491" spans="1:1">
      <c r="A491" s="168"/>
    </row>
    <row r="492" spans="1:1">
      <c r="A492" s="168"/>
    </row>
    <row r="493" spans="1:1">
      <c r="A493" s="168"/>
    </row>
    <row r="494" spans="1:1">
      <c r="A494" s="168"/>
    </row>
    <row r="495" spans="1:1">
      <c r="A495" s="168"/>
    </row>
    <row r="496" spans="1:1">
      <c r="A496" s="168"/>
    </row>
    <row r="497" spans="1:1">
      <c r="A497" s="168"/>
    </row>
    <row r="498" spans="1:1">
      <c r="A498" s="168"/>
    </row>
    <row r="499" spans="1:1">
      <c r="A499" s="168"/>
    </row>
    <row r="500" spans="1:1">
      <c r="A500" s="168"/>
    </row>
    <row r="501" spans="1:1">
      <c r="A501" s="168"/>
    </row>
    <row r="502" spans="1:1">
      <c r="A502" s="168"/>
    </row>
    <row r="503" spans="1:1">
      <c r="A503" s="168"/>
    </row>
    <row r="504" spans="1:1">
      <c r="A504" s="168"/>
    </row>
    <row r="505" spans="1:1">
      <c r="A505" s="168"/>
    </row>
    <row r="506" spans="1:1">
      <c r="A506" s="168"/>
    </row>
    <row r="507" spans="1:1">
      <c r="A507" s="168"/>
    </row>
    <row r="508" spans="1:1">
      <c r="A508" s="168"/>
    </row>
    <row r="509" spans="1:1">
      <c r="A509" s="168"/>
    </row>
    <row r="510" spans="1:1">
      <c r="A510" s="168"/>
    </row>
    <row r="511" spans="1:1">
      <c r="A511" s="168"/>
    </row>
    <row r="512" spans="1:1">
      <c r="A512" s="168"/>
    </row>
    <row r="513" spans="1:1">
      <c r="A513" s="168"/>
    </row>
    <row r="514" spans="1:1">
      <c r="A514" s="168"/>
    </row>
    <row r="515" spans="1:1">
      <c r="A515" s="168"/>
    </row>
    <row r="516" spans="1:1">
      <c r="A516" s="168"/>
    </row>
    <row r="517" spans="1:1">
      <c r="A517" s="168"/>
    </row>
    <row r="518" spans="1:1">
      <c r="A518" s="168"/>
    </row>
    <row r="519" spans="1:1">
      <c r="A519" s="168"/>
    </row>
    <row r="520" spans="1:1">
      <c r="A520" s="168"/>
    </row>
    <row r="521" spans="1:1">
      <c r="A521" s="168"/>
    </row>
    <row r="522" spans="1:1">
      <c r="A522" s="168"/>
    </row>
    <row r="523" spans="1:1">
      <c r="A523" s="168"/>
    </row>
    <row r="524" spans="1:1">
      <c r="A524" s="168"/>
    </row>
    <row r="525" spans="1:1">
      <c r="A525" s="168"/>
    </row>
    <row r="526" spans="1:1">
      <c r="A526" s="168"/>
    </row>
    <row r="527" spans="1:1">
      <c r="A527" s="168"/>
    </row>
    <row r="528" spans="1:1">
      <c r="A528" s="168"/>
    </row>
    <row r="529" spans="1:1">
      <c r="A529" s="168"/>
    </row>
    <row r="530" spans="1:1">
      <c r="A530" s="168"/>
    </row>
    <row r="531" spans="1:1">
      <c r="A531" s="168"/>
    </row>
    <row r="532" spans="1:1">
      <c r="A532" s="168"/>
    </row>
    <row r="533" spans="1:1">
      <c r="A533" s="168"/>
    </row>
    <row r="534" spans="1:1">
      <c r="A534" s="168"/>
    </row>
    <row r="535" spans="1:1">
      <c r="A535" s="168"/>
    </row>
    <row r="536" spans="1:1">
      <c r="A536" s="168"/>
    </row>
    <row r="537" spans="1:1">
      <c r="A537" s="168"/>
    </row>
    <row r="538" spans="1:1">
      <c r="A538" s="168"/>
    </row>
    <row r="539" spans="1:1">
      <c r="A539" s="168"/>
    </row>
    <row r="540" spans="1:1">
      <c r="A540" s="168"/>
    </row>
    <row r="541" spans="1:1">
      <c r="A541" s="168"/>
    </row>
    <row r="542" spans="1:1">
      <c r="A542" s="168"/>
    </row>
    <row r="543" spans="1:1">
      <c r="A543" s="168"/>
    </row>
    <row r="544" spans="1:1">
      <c r="A544" s="168"/>
    </row>
    <row r="545" spans="1:1">
      <c r="A545" s="168"/>
    </row>
    <row r="546" spans="1:1">
      <c r="A546" s="168"/>
    </row>
    <row r="547" spans="1:1">
      <c r="A547" s="168"/>
    </row>
    <row r="548" spans="1:1">
      <c r="A548" s="168"/>
    </row>
    <row r="549" spans="1:1">
      <c r="A549" s="168"/>
    </row>
    <row r="550" spans="1:1">
      <c r="A550" s="168"/>
    </row>
    <row r="551" spans="1:1">
      <c r="A551" s="168"/>
    </row>
    <row r="552" spans="1:1">
      <c r="A552" s="168"/>
    </row>
    <row r="553" spans="1:1">
      <c r="A553" s="168"/>
    </row>
    <row r="554" spans="1:1">
      <c r="A554" s="168"/>
    </row>
    <row r="555" spans="1:1">
      <c r="A555" s="168"/>
    </row>
    <row r="556" spans="1:1">
      <c r="A556" s="168"/>
    </row>
    <row r="557" spans="1:1">
      <c r="A557" s="168"/>
    </row>
    <row r="558" spans="1:1">
      <c r="A558" s="168"/>
    </row>
    <row r="559" spans="1:1">
      <c r="A559" s="168"/>
    </row>
    <row r="560" spans="1:1">
      <c r="A560" s="168"/>
    </row>
    <row r="561" spans="1:1">
      <c r="A561" s="168"/>
    </row>
    <row r="562" spans="1:1">
      <c r="A562" s="168"/>
    </row>
    <row r="563" spans="1:1">
      <c r="A563" s="168"/>
    </row>
    <row r="564" spans="1:1">
      <c r="A564" s="168"/>
    </row>
    <row r="565" spans="1:1">
      <c r="A565" s="168"/>
    </row>
    <row r="566" spans="1:1">
      <c r="A566" s="168"/>
    </row>
    <row r="567" spans="1:1">
      <c r="A567" s="168"/>
    </row>
    <row r="568" spans="1:1">
      <c r="A568" s="168"/>
    </row>
    <row r="569" spans="1:1">
      <c r="A569" s="168"/>
    </row>
    <row r="570" spans="1:1">
      <c r="A570" s="168"/>
    </row>
    <row r="571" spans="1:1">
      <c r="A571" s="168"/>
    </row>
    <row r="572" spans="1:1">
      <c r="A572" s="168"/>
    </row>
    <row r="573" spans="1:1">
      <c r="A573" s="168"/>
    </row>
    <row r="574" spans="1:1">
      <c r="A574" s="168"/>
    </row>
    <row r="575" spans="1:1">
      <c r="A575" s="168"/>
    </row>
    <row r="576" spans="1:1">
      <c r="A576" s="168"/>
    </row>
    <row r="577" spans="1:1">
      <c r="A577" s="168"/>
    </row>
    <row r="578" spans="1:1">
      <c r="A578" s="168"/>
    </row>
    <row r="579" spans="1:1">
      <c r="A579" s="168"/>
    </row>
    <row r="580" spans="1:1">
      <c r="A580" s="168"/>
    </row>
    <row r="581" spans="1:1">
      <c r="A581" s="168"/>
    </row>
    <row r="582" spans="1:1">
      <c r="A582" s="168"/>
    </row>
    <row r="583" spans="1:1">
      <c r="A583" s="168"/>
    </row>
    <row r="584" spans="1:1">
      <c r="A584" s="168"/>
    </row>
    <row r="585" spans="1:1">
      <c r="A585" s="168"/>
    </row>
    <row r="586" spans="1:1">
      <c r="A586" s="168"/>
    </row>
    <row r="587" spans="1:1">
      <c r="A587" s="168"/>
    </row>
    <row r="588" spans="1:1">
      <c r="A588" s="168"/>
    </row>
    <row r="589" spans="1:1">
      <c r="A589" s="168"/>
    </row>
    <row r="590" spans="1:1">
      <c r="A590" s="168"/>
    </row>
    <row r="591" spans="1:1">
      <c r="A591" s="168"/>
    </row>
    <row r="592" spans="1:1">
      <c r="A592" s="168"/>
    </row>
    <row r="593" spans="1:1">
      <c r="A593" s="168"/>
    </row>
    <row r="594" spans="1:1">
      <c r="A594" s="168"/>
    </row>
    <row r="595" spans="1:1">
      <c r="A595" s="168"/>
    </row>
    <row r="596" spans="1:1">
      <c r="A596" s="168"/>
    </row>
    <row r="597" spans="1:1">
      <c r="A597" s="168"/>
    </row>
    <row r="598" spans="1:1">
      <c r="A598" s="168"/>
    </row>
    <row r="599" spans="1:1">
      <c r="A599" s="168"/>
    </row>
    <row r="600" spans="1:1">
      <c r="A600" s="168"/>
    </row>
    <row r="601" spans="1:1">
      <c r="A601" s="168"/>
    </row>
    <row r="602" spans="1:1">
      <c r="A602" s="168"/>
    </row>
    <row r="603" spans="1:1">
      <c r="A603" s="168"/>
    </row>
    <row r="604" spans="1:1">
      <c r="A604" s="168"/>
    </row>
    <row r="605" spans="1:1">
      <c r="A605" s="168"/>
    </row>
    <row r="606" spans="1:1">
      <c r="A606" s="169"/>
    </row>
    <row r="607" spans="1:1">
      <c r="A607" s="169"/>
    </row>
    <row r="608" spans="1:1">
      <c r="A608" s="169"/>
    </row>
    <row r="609" spans="1:1">
      <c r="A609" s="169"/>
    </row>
    <row r="610" spans="1:1">
      <c r="A610" s="169"/>
    </row>
    <row r="611" spans="1:1">
      <c r="A611" s="169"/>
    </row>
    <row r="612" spans="1:1">
      <c r="A612" s="169"/>
    </row>
    <row r="613" spans="1:1">
      <c r="A613" s="169"/>
    </row>
    <row r="614" spans="1:1">
      <c r="A614" s="169"/>
    </row>
    <row r="615" spans="1:1">
      <c r="A615" s="169"/>
    </row>
    <row r="616" spans="1:1">
      <c r="A616" s="169"/>
    </row>
    <row r="617" spans="1:1">
      <c r="A617" s="169"/>
    </row>
    <row r="618" spans="1:1">
      <c r="A618" s="169"/>
    </row>
    <row r="619" spans="1:1">
      <c r="A619" s="169"/>
    </row>
    <row r="620" spans="1:1">
      <c r="A620" s="169"/>
    </row>
    <row r="621" spans="1:1">
      <c r="A621" s="169"/>
    </row>
    <row r="622" spans="1:1">
      <c r="A622" s="169"/>
    </row>
    <row r="623" spans="1:1">
      <c r="A623" s="169"/>
    </row>
    <row r="624" spans="1:1">
      <c r="A624" s="169"/>
    </row>
    <row r="625" spans="1:1">
      <c r="A625" s="169"/>
    </row>
    <row r="626" spans="1:1">
      <c r="A626" s="169"/>
    </row>
    <row r="627" spans="1:1">
      <c r="A627" s="169"/>
    </row>
    <row r="628" spans="1:1">
      <c r="A628" s="169"/>
    </row>
    <row r="629" spans="1:1">
      <c r="A629" s="169"/>
    </row>
    <row r="630" spans="1:1">
      <c r="A630" s="169"/>
    </row>
    <row r="631" spans="1:1">
      <c r="A631" s="169"/>
    </row>
    <row r="632" spans="1:1">
      <c r="A632" s="169"/>
    </row>
    <row r="633" spans="1:1">
      <c r="A633" s="169"/>
    </row>
    <row r="634" spans="1:1">
      <c r="A634" s="169"/>
    </row>
    <row r="635" spans="1:1">
      <c r="A635" s="169"/>
    </row>
    <row r="636" spans="1:1">
      <c r="A636" s="169"/>
    </row>
    <row r="637" spans="1:1">
      <c r="A637" s="169"/>
    </row>
    <row r="638" spans="1:1">
      <c r="A638" s="169"/>
    </row>
    <row r="639" spans="1:1">
      <c r="A639" s="169"/>
    </row>
    <row r="640" spans="1:1">
      <c r="A640" s="169"/>
    </row>
    <row r="641" spans="1:1">
      <c r="A641" s="169"/>
    </row>
    <row r="642" spans="1:1">
      <c r="A642" s="169"/>
    </row>
    <row r="643" spans="1:1">
      <c r="A643" s="169"/>
    </row>
    <row r="644" spans="1:1">
      <c r="A644" s="169"/>
    </row>
    <row r="645" spans="1:1">
      <c r="A645" s="169"/>
    </row>
    <row r="646" spans="1:1">
      <c r="A646" s="169"/>
    </row>
    <row r="647" spans="1:1">
      <c r="A647" s="169"/>
    </row>
    <row r="648" spans="1:1">
      <c r="A648" s="169"/>
    </row>
    <row r="649" spans="1:1">
      <c r="A649" s="169"/>
    </row>
    <row r="650" spans="1:1">
      <c r="A650" s="169"/>
    </row>
    <row r="651" spans="1:1">
      <c r="A651" s="169"/>
    </row>
    <row r="652" spans="1:1">
      <c r="A652" s="169"/>
    </row>
    <row r="653" spans="1:1">
      <c r="A653" s="169"/>
    </row>
    <row r="654" spans="1:1">
      <c r="A654" s="169"/>
    </row>
    <row r="655" spans="1:1">
      <c r="A655" s="169"/>
    </row>
    <row r="656" spans="1:1">
      <c r="A656" s="169"/>
    </row>
    <row r="657" spans="1:1">
      <c r="A657" s="169"/>
    </row>
    <row r="658" spans="1:1">
      <c r="A658" s="169"/>
    </row>
    <row r="659" spans="1:1">
      <c r="A659" s="169"/>
    </row>
    <row r="660" spans="1:1">
      <c r="A660" s="169"/>
    </row>
    <row r="661" spans="1:1">
      <c r="A661" s="169"/>
    </row>
    <row r="662" spans="1:1">
      <c r="A662" s="169"/>
    </row>
    <row r="663" spans="1:1">
      <c r="A663" s="169"/>
    </row>
    <row r="664" spans="1:1">
      <c r="A664" s="169"/>
    </row>
    <row r="665" spans="1:1">
      <c r="A665" s="169"/>
    </row>
    <row r="666" spans="1:1">
      <c r="A666" s="169"/>
    </row>
    <row r="667" spans="1:1">
      <c r="A667" s="169"/>
    </row>
    <row r="668" spans="1:1">
      <c r="A668" s="169"/>
    </row>
    <row r="669" spans="1:1">
      <c r="A669" s="169"/>
    </row>
    <row r="670" spans="1:1">
      <c r="A670" s="169"/>
    </row>
    <row r="671" spans="1:1">
      <c r="A671" s="169"/>
    </row>
    <row r="672" spans="1:1">
      <c r="A672" s="169"/>
    </row>
    <row r="673" spans="1:1">
      <c r="A673" s="169"/>
    </row>
    <row r="674" spans="1:1">
      <c r="A674" s="169"/>
    </row>
    <row r="675" spans="1:1">
      <c r="A675" s="169"/>
    </row>
    <row r="676" spans="1:1">
      <c r="A676" s="169"/>
    </row>
    <row r="677" spans="1:1">
      <c r="A677" s="169"/>
    </row>
    <row r="678" spans="1:1">
      <c r="A678" s="169"/>
    </row>
    <row r="679" spans="1:1">
      <c r="A679" s="169"/>
    </row>
    <row r="680" spans="1:1">
      <c r="A680" s="169"/>
    </row>
    <row r="681" spans="1:1">
      <c r="A681" s="169"/>
    </row>
    <row r="682" spans="1:1">
      <c r="A682" s="169"/>
    </row>
    <row r="683" spans="1:1">
      <c r="A683" s="169"/>
    </row>
    <row r="684" spans="1:1">
      <c r="A684" s="169"/>
    </row>
    <row r="685" spans="1:1">
      <c r="A685" s="169"/>
    </row>
    <row r="686" spans="1:1">
      <c r="A686" s="169"/>
    </row>
    <row r="687" spans="1:1">
      <c r="A687" s="169"/>
    </row>
    <row r="688" spans="1:1">
      <c r="A688" s="169"/>
    </row>
    <row r="689" spans="1:1">
      <c r="A689" s="169"/>
    </row>
    <row r="690" spans="1:1">
      <c r="A690" s="169"/>
    </row>
    <row r="691" spans="1:1">
      <c r="A691" s="169"/>
    </row>
    <row r="692" spans="1:1">
      <c r="A692" s="169"/>
    </row>
    <row r="693" spans="1:1">
      <c r="A693" s="169"/>
    </row>
    <row r="694" spans="1:1">
      <c r="A694" s="169"/>
    </row>
    <row r="695" spans="1:1">
      <c r="A695" s="169"/>
    </row>
    <row r="696" spans="1:1">
      <c r="A696" s="169"/>
    </row>
    <row r="697" spans="1:1">
      <c r="A697" s="169"/>
    </row>
    <row r="698" spans="1:1">
      <c r="A698" s="169"/>
    </row>
    <row r="699" spans="1:1">
      <c r="A699" s="169"/>
    </row>
    <row r="700" spans="1:1">
      <c r="A700" s="169"/>
    </row>
    <row r="701" spans="1:1">
      <c r="A701" s="169"/>
    </row>
    <row r="702" spans="1:1">
      <c r="A702" s="169"/>
    </row>
    <row r="703" spans="1:1">
      <c r="A703" s="169"/>
    </row>
    <row r="704" spans="1:1">
      <c r="A704" s="169"/>
    </row>
    <row r="705" spans="1:1">
      <c r="A705" s="169"/>
    </row>
    <row r="706" spans="1:1">
      <c r="A706" s="169"/>
    </row>
    <row r="707" spans="1:1">
      <c r="A707" s="169"/>
    </row>
    <row r="708" spans="1:1">
      <c r="A708" s="169"/>
    </row>
    <row r="709" spans="1:1">
      <c r="A709" s="169"/>
    </row>
    <row r="710" spans="1:1">
      <c r="A710" s="169"/>
    </row>
    <row r="711" spans="1:1">
      <c r="A711" s="169"/>
    </row>
    <row r="712" spans="1:1">
      <c r="A712" s="169"/>
    </row>
    <row r="713" spans="1:1">
      <c r="A713" s="169"/>
    </row>
    <row r="714" spans="1:1">
      <c r="A714" s="169"/>
    </row>
    <row r="715" spans="1:1">
      <c r="A715" s="169"/>
    </row>
    <row r="716" spans="1:1">
      <c r="A716" s="169"/>
    </row>
    <row r="717" spans="1:1">
      <c r="A717" s="169"/>
    </row>
    <row r="718" spans="1:1">
      <c r="A718" s="169"/>
    </row>
    <row r="719" spans="1:1">
      <c r="A719" s="169"/>
    </row>
    <row r="720" spans="1:1">
      <c r="A720" s="169"/>
    </row>
    <row r="721" spans="1:1">
      <c r="A721" s="169"/>
    </row>
    <row r="722" spans="1:1">
      <c r="A722" s="169"/>
    </row>
    <row r="723" spans="1:1">
      <c r="A723" s="169"/>
    </row>
    <row r="724" spans="1:1">
      <c r="A724" s="169"/>
    </row>
    <row r="725" spans="1:1">
      <c r="A725" s="169"/>
    </row>
    <row r="726" spans="1:1">
      <c r="A726" s="169"/>
    </row>
    <row r="727" spans="1:1">
      <c r="A727" s="169"/>
    </row>
    <row r="728" spans="1:1">
      <c r="A728" s="169"/>
    </row>
    <row r="729" spans="1:1">
      <c r="A729" s="169"/>
    </row>
    <row r="730" spans="1:1">
      <c r="A730" s="169"/>
    </row>
    <row r="731" spans="1:1">
      <c r="A731" s="169"/>
    </row>
    <row r="732" spans="1:1">
      <c r="A732" s="169"/>
    </row>
    <row r="733" spans="1:1">
      <c r="A733" s="169"/>
    </row>
    <row r="734" spans="1:1">
      <c r="A734" s="169"/>
    </row>
    <row r="735" spans="1:1">
      <c r="A735" s="169"/>
    </row>
    <row r="736" spans="1:1">
      <c r="A736" s="169"/>
    </row>
    <row r="737" spans="1:1">
      <c r="A737" s="169"/>
    </row>
    <row r="738" spans="1:1">
      <c r="A738" s="169"/>
    </row>
    <row r="739" spans="1:1">
      <c r="A739" s="169"/>
    </row>
    <row r="740" spans="1:1">
      <c r="A740" s="169"/>
    </row>
    <row r="741" spans="1:1">
      <c r="A741" s="169"/>
    </row>
    <row r="742" spans="1:1">
      <c r="A742" s="169"/>
    </row>
    <row r="743" spans="1:1">
      <c r="A743" s="169"/>
    </row>
    <row r="744" spans="1:1">
      <c r="A744" s="169"/>
    </row>
    <row r="745" spans="1:1">
      <c r="A745" s="169"/>
    </row>
    <row r="746" spans="1:1">
      <c r="A746" s="169"/>
    </row>
    <row r="747" spans="1:1">
      <c r="A747" s="169"/>
    </row>
    <row r="748" spans="1:1">
      <c r="A748" s="169"/>
    </row>
    <row r="749" spans="1:1">
      <c r="A749" s="169"/>
    </row>
    <row r="750" spans="1:1">
      <c r="A750" s="169"/>
    </row>
    <row r="751" spans="1:1">
      <c r="A751" s="169"/>
    </row>
    <row r="752" spans="1:1">
      <c r="A752" s="169"/>
    </row>
    <row r="753" spans="1:1">
      <c r="A753" s="169"/>
    </row>
    <row r="754" spans="1:1">
      <c r="A754" s="169"/>
    </row>
    <row r="755" spans="1:1">
      <c r="A755" s="169"/>
    </row>
    <row r="756" spans="1:1">
      <c r="A756" s="169"/>
    </row>
    <row r="757" spans="1:1">
      <c r="A757" s="169"/>
    </row>
    <row r="758" spans="1:1">
      <c r="A758" s="169"/>
    </row>
    <row r="759" spans="1:1">
      <c r="A759" s="169"/>
    </row>
    <row r="760" spans="1:1">
      <c r="A760" s="169"/>
    </row>
    <row r="761" spans="1:1">
      <c r="A761" s="169"/>
    </row>
    <row r="762" spans="1:1">
      <c r="A762" s="169"/>
    </row>
    <row r="763" spans="1:1">
      <c r="A763" s="169"/>
    </row>
    <row r="764" spans="1:1">
      <c r="A764" s="169"/>
    </row>
    <row r="765" spans="1:1">
      <c r="A765" s="169"/>
    </row>
    <row r="766" spans="1:1">
      <c r="A766" s="169"/>
    </row>
    <row r="767" spans="1:1">
      <c r="A767" s="169"/>
    </row>
    <row r="768" spans="1:1">
      <c r="A768" s="169"/>
    </row>
    <row r="769" spans="1:1">
      <c r="A769" s="169"/>
    </row>
    <row r="770" spans="1:1">
      <c r="A770" s="169"/>
    </row>
    <row r="771" spans="1:1">
      <c r="A771" s="169"/>
    </row>
    <row r="772" spans="1:1">
      <c r="A772" s="169"/>
    </row>
    <row r="773" spans="1:1">
      <c r="A773" s="169"/>
    </row>
    <row r="774" spans="1:1">
      <c r="A774" s="169"/>
    </row>
    <row r="775" spans="1:1">
      <c r="A775" s="169"/>
    </row>
    <row r="776" spans="1:1">
      <c r="A776" s="169"/>
    </row>
    <row r="777" spans="1:1">
      <c r="A777" s="169"/>
    </row>
    <row r="778" spans="1:1">
      <c r="A778" s="169"/>
    </row>
    <row r="779" spans="1:1">
      <c r="A779" s="169"/>
    </row>
    <row r="780" spans="1:1">
      <c r="A780" s="169"/>
    </row>
    <row r="781" spans="1:1">
      <c r="A781" s="169"/>
    </row>
    <row r="782" spans="1:1">
      <c r="A782" s="169"/>
    </row>
    <row r="783" spans="1:1">
      <c r="A783" s="169"/>
    </row>
    <row r="784" spans="1:1">
      <c r="A784" s="169"/>
    </row>
    <row r="785" spans="1:1">
      <c r="A785" s="169"/>
    </row>
    <row r="786" spans="1:1">
      <c r="A786" s="169"/>
    </row>
    <row r="787" spans="1:1">
      <c r="A787" s="169"/>
    </row>
    <row r="788" spans="1:1">
      <c r="A788" s="169"/>
    </row>
    <row r="789" spans="1:1">
      <c r="A789" s="169"/>
    </row>
    <row r="790" spans="1:1">
      <c r="A790" s="169"/>
    </row>
    <row r="791" spans="1:1">
      <c r="A791" s="169"/>
    </row>
    <row r="792" spans="1:1">
      <c r="A792" s="169"/>
    </row>
    <row r="793" spans="1:1">
      <c r="A793" s="169"/>
    </row>
    <row r="794" spans="1:1">
      <c r="A794" s="169"/>
    </row>
    <row r="795" spans="1:1">
      <c r="A795" s="169"/>
    </row>
    <row r="796" spans="1:1">
      <c r="A796" s="169"/>
    </row>
    <row r="797" spans="1:1">
      <c r="A797" s="169"/>
    </row>
    <row r="798" spans="1:1">
      <c r="A798" s="169"/>
    </row>
    <row r="799" spans="1:1">
      <c r="A799" s="169"/>
    </row>
    <row r="800" spans="1:1">
      <c r="A800" s="169"/>
    </row>
    <row r="801" spans="1:1">
      <c r="A801" s="169"/>
    </row>
    <row r="802" spans="1:1">
      <c r="A802" s="169"/>
    </row>
    <row r="803" spans="1:1">
      <c r="A803" s="169"/>
    </row>
    <row r="804" spans="1:1">
      <c r="A804" s="169"/>
    </row>
    <row r="805" spans="1:1">
      <c r="A805" s="169"/>
    </row>
    <row r="806" spans="1:1">
      <c r="A806" s="169"/>
    </row>
    <row r="807" spans="1:1">
      <c r="A807" s="169"/>
    </row>
    <row r="808" spans="1:1">
      <c r="A808" s="169"/>
    </row>
    <row r="809" spans="1:1">
      <c r="A809" s="169"/>
    </row>
    <row r="810" spans="1:1">
      <c r="A810" s="169"/>
    </row>
    <row r="811" spans="1:1">
      <c r="A811" s="169"/>
    </row>
    <row r="812" spans="1:1">
      <c r="A812" s="169"/>
    </row>
    <row r="813" spans="1:1">
      <c r="A813" s="169"/>
    </row>
    <row r="814" spans="1:1">
      <c r="A814" s="169"/>
    </row>
    <row r="815" spans="1:1">
      <c r="A815" s="169"/>
    </row>
    <row r="816" spans="1:1">
      <c r="A816" s="169"/>
    </row>
    <row r="817" spans="1:1">
      <c r="A817" s="169"/>
    </row>
    <row r="818" spans="1:1">
      <c r="A818" s="169"/>
    </row>
    <row r="819" spans="1:1">
      <c r="A819" s="169"/>
    </row>
    <row r="820" spans="1:1">
      <c r="A820" s="169"/>
    </row>
    <row r="821" spans="1:1">
      <c r="A821" s="169"/>
    </row>
    <row r="822" spans="1:1">
      <c r="A822" s="169"/>
    </row>
    <row r="823" spans="1:1">
      <c r="A823" s="169"/>
    </row>
    <row r="824" spans="1:1">
      <c r="A824" s="169"/>
    </row>
    <row r="825" spans="1:1">
      <c r="A825" s="169"/>
    </row>
    <row r="826" spans="1:1">
      <c r="A826" s="169"/>
    </row>
    <row r="827" spans="1:1">
      <c r="A827" s="169"/>
    </row>
    <row r="828" spans="1:1">
      <c r="A828" s="169"/>
    </row>
    <row r="829" spans="1:1">
      <c r="A829" s="169"/>
    </row>
    <row r="830" spans="1:1">
      <c r="A830" s="169"/>
    </row>
    <row r="831" spans="1:1">
      <c r="A831" s="169"/>
    </row>
    <row r="832" spans="1:1">
      <c r="A832" s="169"/>
    </row>
    <row r="833" spans="1:1">
      <c r="A833" s="169"/>
    </row>
    <row r="834" spans="1:1">
      <c r="A834" s="169"/>
    </row>
    <row r="835" spans="1:1">
      <c r="A835" s="169"/>
    </row>
    <row r="836" spans="1:1">
      <c r="A836" s="169"/>
    </row>
    <row r="837" spans="1:1">
      <c r="A837" s="169"/>
    </row>
    <row r="838" spans="1:1">
      <c r="A838" s="169"/>
    </row>
    <row r="839" spans="1:1">
      <c r="A839" s="169"/>
    </row>
    <row r="840" spans="1:1">
      <c r="A840" s="169"/>
    </row>
    <row r="841" spans="1:1">
      <c r="A841" s="169"/>
    </row>
    <row r="842" spans="1:1">
      <c r="A842" s="169"/>
    </row>
    <row r="843" spans="1:1">
      <c r="A843" s="169"/>
    </row>
    <row r="844" spans="1:1">
      <c r="A844" s="169"/>
    </row>
    <row r="845" spans="1:1">
      <c r="A845" s="169"/>
    </row>
    <row r="846" spans="1:1">
      <c r="A846" s="169"/>
    </row>
    <row r="847" spans="1:1">
      <c r="A847" s="169"/>
    </row>
    <row r="848" spans="1:1">
      <c r="A848" s="169"/>
    </row>
    <row r="849" spans="1:1">
      <c r="A849" s="169"/>
    </row>
    <row r="850" spans="1:1">
      <c r="A850" s="169"/>
    </row>
    <row r="851" spans="1:1">
      <c r="A851" s="169"/>
    </row>
    <row r="852" spans="1:1">
      <c r="A852" s="169"/>
    </row>
    <row r="853" spans="1:1">
      <c r="A853" s="169"/>
    </row>
    <row r="854" spans="1:1">
      <c r="A854" s="169"/>
    </row>
    <row r="855" spans="1:1">
      <c r="A855" s="169"/>
    </row>
    <row r="856" spans="1:1">
      <c r="A856" s="169"/>
    </row>
    <row r="857" spans="1:1">
      <c r="A857" s="169"/>
    </row>
    <row r="858" spans="1:1">
      <c r="A858" s="169"/>
    </row>
    <row r="859" spans="1:1">
      <c r="A859" s="169"/>
    </row>
    <row r="860" spans="1:1">
      <c r="A860" s="169"/>
    </row>
    <row r="861" spans="1:1">
      <c r="A861" s="169"/>
    </row>
    <row r="862" spans="1:1">
      <c r="A862" s="169"/>
    </row>
    <row r="863" spans="1:1">
      <c r="A863" s="169"/>
    </row>
    <row r="864" spans="1:1">
      <c r="A864" s="169"/>
    </row>
    <row r="865" spans="1:1">
      <c r="A865" s="169"/>
    </row>
    <row r="866" spans="1:1">
      <c r="A866" s="169"/>
    </row>
    <row r="867" spans="1:1">
      <c r="A867" s="169"/>
    </row>
    <row r="868" spans="1:1">
      <c r="A868" s="169"/>
    </row>
    <row r="869" spans="1:1">
      <c r="A869" s="169"/>
    </row>
    <row r="870" spans="1:1">
      <c r="A870" s="169"/>
    </row>
    <row r="871" spans="1:1">
      <c r="A871" s="169"/>
    </row>
    <row r="872" spans="1:1">
      <c r="A872" s="169"/>
    </row>
    <row r="873" spans="1:1">
      <c r="A873" s="169"/>
    </row>
    <row r="874" spans="1:1">
      <c r="A874" s="169"/>
    </row>
    <row r="875" spans="1:1">
      <c r="A875" s="169"/>
    </row>
    <row r="876" spans="1:1">
      <c r="A876" s="169"/>
    </row>
    <row r="877" spans="1:1">
      <c r="A877" s="169"/>
    </row>
    <row r="878" spans="1:1">
      <c r="A878" s="169"/>
    </row>
    <row r="879" spans="1:1">
      <c r="A879" s="169"/>
    </row>
    <row r="880" spans="1:1">
      <c r="A880" s="169"/>
    </row>
    <row r="881" spans="1:1">
      <c r="A881" s="169"/>
    </row>
    <row r="882" spans="1:1">
      <c r="A882" s="169"/>
    </row>
    <row r="883" spans="1:1">
      <c r="A883" s="169"/>
    </row>
    <row r="884" spans="1:1">
      <c r="A884" s="169"/>
    </row>
    <row r="885" spans="1:1">
      <c r="A885" s="169"/>
    </row>
    <row r="886" spans="1:1">
      <c r="A886" s="169"/>
    </row>
    <row r="887" spans="1:1">
      <c r="A887" s="169"/>
    </row>
    <row r="888" spans="1:1">
      <c r="A888" s="169"/>
    </row>
    <row r="889" spans="1:1">
      <c r="A889" s="169"/>
    </row>
    <row r="890" spans="1:1">
      <c r="A890" s="169"/>
    </row>
    <row r="891" spans="1:1">
      <c r="A891" s="169"/>
    </row>
    <row r="892" spans="1:1">
      <c r="A892" s="169"/>
    </row>
    <row r="893" spans="1:1">
      <c r="A893" s="169"/>
    </row>
    <row r="894" spans="1:1">
      <c r="A894" s="169"/>
    </row>
    <row r="895" spans="1:1">
      <c r="A895" s="169"/>
    </row>
    <row r="896" spans="1:1">
      <c r="A896" s="169"/>
    </row>
    <row r="897" spans="1:1">
      <c r="A897" s="169"/>
    </row>
    <row r="898" spans="1:1">
      <c r="A898" s="169"/>
    </row>
    <row r="899" spans="1:1">
      <c r="A899" s="169"/>
    </row>
    <row r="900" spans="1:1">
      <c r="A900" s="169"/>
    </row>
    <row r="901" spans="1:1">
      <c r="A901" s="169"/>
    </row>
    <row r="902" spans="1:1">
      <c r="A902" s="169"/>
    </row>
    <row r="903" spans="1:1">
      <c r="A903" s="169"/>
    </row>
    <row r="904" spans="1:1">
      <c r="A904" s="169"/>
    </row>
    <row r="905" spans="1:1">
      <c r="A905" s="169"/>
    </row>
    <row r="906" spans="1:1">
      <c r="A906" s="169"/>
    </row>
    <row r="907" spans="1:1">
      <c r="A907" s="169"/>
    </row>
    <row r="908" spans="1:1">
      <c r="A908" s="169"/>
    </row>
    <row r="909" spans="1:1">
      <c r="A909" s="169"/>
    </row>
    <row r="910" spans="1:1">
      <c r="A910" s="169"/>
    </row>
    <row r="911" spans="1:1">
      <c r="A911" s="169"/>
    </row>
    <row r="912" spans="1:1">
      <c r="A912" s="169"/>
    </row>
    <row r="913" spans="1:1">
      <c r="A913" s="169"/>
    </row>
    <row r="914" spans="1:1">
      <c r="A914" s="169"/>
    </row>
    <row r="915" spans="1:1">
      <c r="A915" s="169"/>
    </row>
    <row r="916" spans="1:1">
      <c r="A916" s="169"/>
    </row>
    <row r="917" spans="1:1">
      <c r="A917" s="169"/>
    </row>
    <row r="918" spans="1:1">
      <c r="A918" s="169"/>
    </row>
    <row r="919" spans="1:1">
      <c r="A919" s="169"/>
    </row>
    <row r="920" spans="1:1">
      <c r="A920" s="169"/>
    </row>
    <row r="921" spans="1:1">
      <c r="A921" s="169"/>
    </row>
    <row r="922" spans="1:1">
      <c r="A922" s="169"/>
    </row>
    <row r="923" spans="1:1">
      <c r="A923" s="169"/>
    </row>
    <row r="924" spans="1:1">
      <c r="A924" s="169"/>
    </row>
    <row r="925" spans="1:1">
      <c r="A925" s="169"/>
    </row>
    <row r="926" spans="1:1">
      <c r="A926" s="169"/>
    </row>
    <row r="927" spans="1:1">
      <c r="A927" s="169"/>
    </row>
    <row r="928" spans="1:1">
      <c r="A928" s="169"/>
    </row>
    <row r="929" spans="1:1">
      <c r="A929" s="169"/>
    </row>
    <row r="930" spans="1:1">
      <c r="A930" s="169"/>
    </row>
    <row r="931" spans="1:1">
      <c r="A931" s="169"/>
    </row>
    <row r="932" spans="1:1">
      <c r="A932" s="169"/>
    </row>
    <row r="933" spans="1:1">
      <c r="A933" s="169"/>
    </row>
    <row r="934" spans="1:1">
      <c r="A934" s="169"/>
    </row>
    <row r="935" spans="1:1">
      <c r="A935" s="169"/>
    </row>
    <row r="936" spans="1:1">
      <c r="A936" s="169"/>
    </row>
    <row r="937" spans="1:1">
      <c r="A937" s="169"/>
    </row>
    <row r="938" spans="1:1">
      <c r="A938" s="169"/>
    </row>
    <row r="939" spans="1:1">
      <c r="A939" s="169"/>
    </row>
    <row r="940" spans="1:1">
      <c r="A940" s="169"/>
    </row>
    <row r="941" spans="1:1">
      <c r="A941" s="169"/>
    </row>
    <row r="942" spans="1:1">
      <c r="A942" s="169"/>
    </row>
    <row r="943" spans="1:1">
      <c r="A943" s="169"/>
    </row>
    <row r="944" spans="1:1">
      <c r="A944" s="169"/>
    </row>
    <row r="945" spans="1:1">
      <c r="A945" s="169"/>
    </row>
    <row r="946" spans="1:1">
      <c r="A946" s="169"/>
    </row>
    <row r="947" spans="1:1">
      <c r="A947" s="169"/>
    </row>
    <row r="948" spans="1:1">
      <c r="A948" s="169"/>
    </row>
    <row r="949" spans="1:1">
      <c r="A949" s="169"/>
    </row>
    <row r="950" spans="1:1">
      <c r="A950" s="169"/>
    </row>
    <row r="951" spans="1:1">
      <c r="A951" s="169"/>
    </row>
    <row r="952" spans="1:1">
      <c r="A952" s="169"/>
    </row>
    <row r="953" spans="1:1">
      <c r="A953" s="169"/>
    </row>
    <row r="954" spans="1:1">
      <c r="A954" s="169"/>
    </row>
    <row r="955" spans="1:1">
      <c r="A955" s="169"/>
    </row>
    <row r="956" spans="1:1">
      <c r="A956" s="169"/>
    </row>
    <row r="957" spans="1:1">
      <c r="A957" s="169"/>
    </row>
    <row r="958" spans="1:1">
      <c r="A958" s="169"/>
    </row>
    <row r="959" spans="1:1">
      <c r="A959" s="169"/>
    </row>
    <row r="960" spans="1:1">
      <c r="A960" s="169"/>
    </row>
    <row r="961" spans="1:1">
      <c r="A961" s="169"/>
    </row>
    <row r="962" spans="1:1">
      <c r="A962" s="169"/>
    </row>
    <row r="963" spans="1:1">
      <c r="A963" s="169"/>
    </row>
    <row r="964" spans="1:1">
      <c r="A964" s="169"/>
    </row>
    <row r="965" spans="1:1">
      <c r="A965" s="169"/>
    </row>
    <row r="966" spans="1:1">
      <c r="A966" s="169"/>
    </row>
    <row r="967" spans="1:1">
      <c r="A967" s="169"/>
    </row>
    <row r="968" spans="1:1">
      <c r="A968" s="169"/>
    </row>
    <row r="969" spans="1:1">
      <c r="A969" s="169"/>
    </row>
    <row r="970" spans="1:1">
      <c r="A970" s="169"/>
    </row>
    <row r="971" spans="1:1">
      <c r="A971" s="169"/>
    </row>
    <row r="972" spans="1:1">
      <c r="A972" s="169"/>
    </row>
    <row r="973" spans="1:1">
      <c r="A973" s="169"/>
    </row>
    <row r="974" spans="1:1">
      <c r="A974" s="169"/>
    </row>
    <row r="975" spans="1:1">
      <c r="A975" s="169"/>
    </row>
    <row r="976" spans="1:1">
      <c r="A976" s="169"/>
    </row>
    <row r="977" spans="1:1">
      <c r="A977" s="169"/>
    </row>
    <row r="978" spans="1:1">
      <c r="A978" s="169"/>
    </row>
    <row r="979" spans="1:1">
      <c r="A979" s="169"/>
    </row>
    <row r="980" spans="1:1">
      <c r="A980" s="169"/>
    </row>
    <row r="981" spans="1:1">
      <c r="A981" s="169"/>
    </row>
    <row r="982" spans="1:1">
      <c r="A982" s="169"/>
    </row>
    <row r="983" spans="1:1">
      <c r="A983" s="169"/>
    </row>
    <row r="984" spans="1:1">
      <c r="A984" s="169"/>
    </row>
    <row r="985" spans="1:1">
      <c r="A985" s="169"/>
    </row>
    <row r="986" spans="1:1">
      <c r="A986" s="169"/>
    </row>
    <row r="987" spans="1:1">
      <c r="A987" s="169"/>
    </row>
    <row r="988" spans="1:1">
      <c r="A988" s="169"/>
    </row>
    <row r="989" spans="1:1">
      <c r="A989" s="169"/>
    </row>
    <row r="990" spans="1:1">
      <c r="A990" s="169"/>
    </row>
    <row r="991" spans="1:1">
      <c r="A991" s="169"/>
    </row>
    <row r="992" spans="1:1">
      <c r="A992" s="169"/>
    </row>
    <row r="993" spans="1:1">
      <c r="A993" s="169"/>
    </row>
    <row r="994" spans="1:1">
      <c r="A994" s="169"/>
    </row>
    <row r="995" spans="1:1">
      <c r="A995" s="169"/>
    </row>
    <row r="996" spans="1:1">
      <c r="A996" s="169"/>
    </row>
    <row r="997" spans="1:1">
      <c r="A997" s="169"/>
    </row>
    <row r="998" spans="1:1">
      <c r="A998" s="169"/>
    </row>
    <row r="999" spans="1:1">
      <c r="A999" s="169"/>
    </row>
    <row r="1000" spans="1:1">
      <c r="A1000" s="169"/>
    </row>
    <row r="1001" spans="1:1">
      <c r="A1001" s="169"/>
    </row>
    <row r="1002" spans="1:1">
      <c r="A1002" s="169"/>
    </row>
    <row r="1003" spans="1:1">
      <c r="A1003" s="169"/>
    </row>
    <row r="1004" spans="1:1">
      <c r="A1004" s="169"/>
    </row>
    <row r="1005" spans="1:1">
      <c r="A1005" s="169"/>
    </row>
    <row r="1006" spans="1:1">
      <c r="A1006" s="169"/>
    </row>
    <row r="1007" spans="1:1">
      <c r="A1007" s="169"/>
    </row>
    <row r="1008" spans="1:1">
      <c r="A1008" s="169"/>
    </row>
    <row r="1009" spans="1:1">
      <c r="A1009" s="169"/>
    </row>
    <row r="1010" spans="1:1">
      <c r="A1010" s="169"/>
    </row>
    <row r="1011" spans="1:1">
      <c r="A1011" s="169"/>
    </row>
    <row r="1012" spans="1:1">
      <c r="A1012" s="169"/>
    </row>
    <row r="1013" spans="1:1">
      <c r="A1013" s="169"/>
    </row>
    <row r="1014" spans="1:1">
      <c r="A1014" s="169"/>
    </row>
    <row r="1015" spans="1:1">
      <c r="A1015" s="169"/>
    </row>
    <row r="1016" spans="1:1">
      <c r="A1016" s="169"/>
    </row>
    <row r="1017" spans="1:1">
      <c r="A1017" s="169"/>
    </row>
    <row r="1018" spans="1:1">
      <c r="A1018" s="169"/>
    </row>
    <row r="1019" spans="1:1">
      <c r="A1019" s="169"/>
    </row>
    <row r="1020" spans="1:1">
      <c r="A1020" s="169"/>
    </row>
    <row r="1021" spans="1:1">
      <c r="A1021" s="169"/>
    </row>
    <row r="1022" spans="1:1">
      <c r="A1022" s="169"/>
    </row>
    <row r="1023" spans="1:1">
      <c r="A1023" s="169"/>
    </row>
    <row r="1024" spans="1:1">
      <c r="A1024" s="169"/>
    </row>
    <row r="1025" spans="1:1">
      <c r="A1025" s="169"/>
    </row>
    <row r="1026" spans="1:1">
      <c r="A1026" s="169"/>
    </row>
    <row r="1027" spans="1:1">
      <c r="A1027" s="169"/>
    </row>
    <row r="1028" spans="1:1">
      <c r="A1028" s="169"/>
    </row>
    <row r="1029" spans="1:1">
      <c r="A1029" s="169"/>
    </row>
    <row r="1030" spans="1:1">
      <c r="A1030" s="169"/>
    </row>
    <row r="1031" spans="1:1">
      <c r="A1031" s="169"/>
    </row>
    <row r="1032" spans="1:1">
      <c r="A1032" s="169"/>
    </row>
    <row r="1033" spans="1:1">
      <c r="A1033" s="169"/>
    </row>
    <row r="1034" spans="1:1">
      <c r="A1034" s="169"/>
    </row>
    <row r="1035" spans="1:1">
      <c r="A1035" s="169"/>
    </row>
    <row r="1036" spans="1:1">
      <c r="A1036" s="169"/>
    </row>
    <row r="1037" spans="1:1">
      <c r="A1037" s="169"/>
    </row>
    <row r="1038" spans="1:1">
      <c r="A1038" s="169"/>
    </row>
    <row r="1039" spans="1:1">
      <c r="A1039" s="169"/>
    </row>
    <row r="1040" spans="1:1">
      <c r="A1040" s="169"/>
    </row>
    <row r="1041" spans="1:1">
      <c r="A1041" s="169"/>
    </row>
    <row r="1042" spans="1:1">
      <c r="A1042" s="169"/>
    </row>
    <row r="1043" spans="1:1">
      <c r="A1043" s="169"/>
    </row>
    <row r="1044" spans="1:1">
      <c r="A1044" s="169"/>
    </row>
    <row r="1045" spans="1:1">
      <c r="A1045" s="169"/>
    </row>
    <row r="1046" spans="1:1">
      <c r="A1046" s="169"/>
    </row>
    <row r="1047" spans="1:1">
      <c r="A1047" s="169"/>
    </row>
    <row r="1048" spans="1:1">
      <c r="A1048" s="169"/>
    </row>
    <row r="1049" spans="1:1">
      <c r="A1049" s="169"/>
    </row>
    <row r="1050" spans="1:1">
      <c r="A1050" s="169"/>
    </row>
    <row r="1051" spans="1:1">
      <c r="A1051" s="169"/>
    </row>
    <row r="1052" spans="1:1">
      <c r="A1052" s="169"/>
    </row>
    <row r="1053" spans="1:1">
      <c r="A1053" s="169"/>
    </row>
    <row r="1054" spans="1:1">
      <c r="A1054" s="169"/>
    </row>
    <row r="1055" spans="1:1">
      <c r="A1055" s="169"/>
    </row>
    <row r="1056" spans="1:1">
      <c r="A1056" s="169"/>
    </row>
    <row r="1057" spans="1:1">
      <c r="A1057" s="169"/>
    </row>
    <row r="1058" spans="1:1">
      <c r="A1058" s="169"/>
    </row>
    <row r="1059" spans="1:1">
      <c r="A1059" s="169"/>
    </row>
    <row r="1060" spans="1:1">
      <c r="A1060" s="169"/>
    </row>
    <row r="1061" spans="1:1">
      <c r="A1061" s="169"/>
    </row>
    <row r="1062" spans="1:1">
      <c r="A1062" s="169"/>
    </row>
    <row r="1063" spans="1:1">
      <c r="A1063" s="169"/>
    </row>
    <row r="1064" spans="1:1">
      <c r="A1064" s="169"/>
    </row>
    <row r="1065" spans="1:1">
      <c r="A1065" s="169"/>
    </row>
    <row r="1066" spans="1:1">
      <c r="A1066" s="169"/>
    </row>
    <row r="1067" spans="1:1">
      <c r="A1067" s="169"/>
    </row>
    <row r="1068" spans="1:1">
      <c r="A1068" s="169"/>
    </row>
    <row r="1069" spans="1:1">
      <c r="A1069" s="169"/>
    </row>
    <row r="1070" spans="1:1">
      <c r="A1070" s="169"/>
    </row>
    <row r="1071" spans="1:1">
      <c r="A1071" s="169"/>
    </row>
    <row r="1072" spans="1:1">
      <c r="A1072" s="169"/>
    </row>
    <row r="1073" spans="1:1">
      <c r="A1073" s="169"/>
    </row>
    <row r="1074" spans="1:1">
      <c r="A1074" s="169"/>
    </row>
    <row r="1075" spans="1:1">
      <c r="A1075" s="169"/>
    </row>
    <row r="1076" spans="1:1">
      <c r="A1076" s="169"/>
    </row>
    <row r="1077" spans="1:1">
      <c r="A1077" s="169"/>
    </row>
    <row r="1078" spans="1:1">
      <c r="A1078" s="169"/>
    </row>
    <row r="1079" spans="1:1">
      <c r="A1079" s="169"/>
    </row>
    <row r="1080" spans="1:1">
      <c r="A1080" s="169"/>
    </row>
    <row r="1081" spans="1:1">
      <c r="A1081" s="169"/>
    </row>
    <row r="1082" spans="1:1">
      <c r="A1082" s="169"/>
    </row>
    <row r="1083" spans="1:1">
      <c r="A1083" s="169"/>
    </row>
    <row r="1084" spans="1:1">
      <c r="A1084" s="169"/>
    </row>
    <row r="1085" spans="1:1">
      <c r="A1085" s="169"/>
    </row>
    <row r="1086" spans="1:1">
      <c r="A1086" s="169"/>
    </row>
    <row r="1087" spans="1:1">
      <c r="A1087" s="169"/>
    </row>
    <row r="1088" spans="1:1">
      <c r="A1088" s="169"/>
    </row>
    <row r="1089" spans="1:1">
      <c r="A1089" s="169"/>
    </row>
    <row r="1090" spans="1:1">
      <c r="A1090" s="169"/>
    </row>
    <row r="1091" spans="1:1">
      <c r="A1091" s="169"/>
    </row>
    <row r="1092" spans="1:1">
      <c r="A1092" s="169"/>
    </row>
    <row r="1093" spans="1:1">
      <c r="A1093" s="169"/>
    </row>
    <row r="1094" spans="1:1">
      <c r="A1094" s="169"/>
    </row>
    <row r="1095" spans="1:1">
      <c r="A1095" s="169"/>
    </row>
    <row r="1096" spans="1:1">
      <c r="A1096" s="169"/>
    </row>
    <row r="1097" spans="1:1">
      <c r="A1097" s="169"/>
    </row>
    <row r="1098" spans="1:1">
      <c r="A1098" s="169"/>
    </row>
    <row r="1099" spans="1:1">
      <c r="A1099" s="169"/>
    </row>
    <row r="1100" spans="1:1">
      <c r="A1100" s="169"/>
    </row>
    <row r="1101" spans="1:1">
      <c r="A1101" s="169"/>
    </row>
    <row r="1102" spans="1:1">
      <c r="A1102" s="169"/>
    </row>
    <row r="1103" spans="1:1">
      <c r="A1103" s="169"/>
    </row>
    <row r="1104" spans="1:1">
      <c r="A1104" s="169"/>
    </row>
    <row r="1105" spans="1:1">
      <c r="A1105" s="169"/>
    </row>
    <row r="1106" spans="1:1">
      <c r="A1106" s="169"/>
    </row>
    <row r="1107" spans="1:1">
      <c r="A1107" s="169"/>
    </row>
    <row r="1108" spans="1:1">
      <c r="A1108" s="169"/>
    </row>
    <row r="1109" spans="1:1">
      <c r="A1109" s="169"/>
    </row>
    <row r="1110" spans="1:1">
      <c r="A1110" s="169"/>
    </row>
    <row r="1111" spans="1:1">
      <c r="A1111" s="169"/>
    </row>
    <row r="1112" spans="1:1">
      <c r="A1112" s="169"/>
    </row>
    <row r="1113" spans="1:1">
      <c r="A1113" s="169"/>
    </row>
    <row r="1114" spans="1:1">
      <c r="A1114" s="169"/>
    </row>
    <row r="1115" spans="1:1">
      <c r="A1115" s="169"/>
    </row>
    <row r="1116" spans="1:1">
      <c r="A1116" s="169"/>
    </row>
    <row r="1117" spans="1:1">
      <c r="A1117" s="169"/>
    </row>
    <row r="1118" spans="1:1">
      <c r="A1118" s="169"/>
    </row>
    <row r="1119" spans="1:1">
      <c r="A1119" s="169"/>
    </row>
    <row r="1120" spans="1:1">
      <c r="A1120" s="169"/>
    </row>
    <row r="1121" spans="1:1">
      <c r="A1121" s="169"/>
    </row>
    <row r="1122" spans="1:1">
      <c r="A1122" s="169"/>
    </row>
    <row r="1123" spans="1:1">
      <c r="A1123" s="169"/>
    </row>
    <row r="1124" spans="1:1">
      <c r="A1124" s="169"/>
    </row>
    <row r="1125" spans="1:1">
      <c r="A1125" s="169"/>
    </row>
    <row r="1126" spans="1:1">
      <c r="A1126" s="169"/>
    </row>
    <row r="1127" spans="1:1">
      <c r="A1127" s="169"/>
    </row>
    <row r="1128" spans="1:1">
      <c r="A1128" s="169"/>
    </row>
    <row r="1129" spans="1:1">
      <c r="A1129" s="169"/>
    </row>
    <row r="1130" spans="1:1">
      <c r="A1130" s="169"/>
    </row>
    <row r="1131" spans="1:1">
      <c r="A1131" s="169"/>
    </row>
    <row r="1132" spans="1:1">
      <c r="A1132" s="169"/>
    </row>
    <row r="1133" spans="1:1">
      <c r="A1133" s="169"/>
    </row>
    <row r="1134" spans="1:1">
      <c r="A1134" s="169"/>
    </row>
    <row r="1135" spans="1:1">
      <c r="A1135" s="169"/>
    </row>
    <row r="1136" spans="1:1">
      <c r="A1136" s="169"/>
    </row>
    <row r="1137" spans="1:1">
      <c r="A1137" s="169"/>
    </row>
    <row r="1138" spans="1:1">
      <c r="A1138" s="169"/>
    </row>
    <row r="1139" spans="1:1">
      <c r="A1139" s="169"/>
    </row>
    <row r="1140" spans="1:1">
      <c r="A1140" s="169"/>
    </row>
    <row r="1141" spans="1:1">
      <c r="A1141" s="169"/>
    </row>
    <row r="1142" spans="1:1">
      <c r="A1142" s="169"/>
    </row>
    <row r="1143" spans="1:1">
      <c r="A1143" s="169"/>
    </row>
    <row r="1144" spans="1:1">
      <c r="A1144" s="169"/>
    </row>
    <row r="1145" spans="1:1">
      <c r="A1145" s="169"/>
    </row>
    <row r="1146" spans="1:1">
      <c r="A1146" s="169"/>
    </row>
    <row r="1147" spans="1:1">
      <c r="A1147" s="169"/>
    </row>
    <row r="1148" spans="1:1">
      <c r="A1148" s="169"/>
    </row>
    <row r="1149" spans="1:1">
      <c r="A1149" s="169"/>
    </row>
    <row r="1150" spans="1:1">
      <c r="A1150" s="169"/>
    </row>
    <row r="1151" spans="1:1">
      <c r="A1151" s="169"/>
    </row>
    <row r="1152" spans="1:1">
      <c r="A1152" s="169"/>
    </row>
    <row r="1153" spans="1:1">
      <c r="A1153" s="169"/>
    </row>
    <row r="1154" spans="1:1">
      <c r="A1154" s="169"/>
    </row>
    <row r="1155" spans="1:1">
      <c r="A1155" s="169"/>
    </row>
    <row r="1156" spans="1:1">
      <c r="A1156" s="169"/>
    </row>
    <row r="1157" spans="1:1">
      <c r="A1157" s="169"/>
    </row>
    <row r="1158" spans="1:1">
      <c r="A1158" s="169"/>
    </row>
    <row r="1159" spans="1:1">
      <c r="A1159" s="169"/>
    </row>
    <row r="1160" spans="1:1">
      <c r="A1160" s="169"/>
    </row>
    <row r="1161" spans="1:1">
      <c r="A1161" s="169"/>
    </row>
    <row r="1162" spans="1:1">
      <c r="A1162" s="169"/>
    </row>
    <row r="1163" spans="1:1">
      <c r="A1163" s="169"/>
    </row>
    <row r="1164" spans="1:1">
      <c r="A1164" s="169"/>
    </row>
    <row r="1165" spans="1:1">
      <c r="A1165" s="169"/>
    </row>
    <row r="1166" spans="1:1">
      <c r="A1166" s="169"/>
    </row>
    <row r="1167" spans="1:1">
      <c r="A1167" s="169"/>
    </row>
    <row r="1168" spans="1:1">
      <c r="A1168" s="169"/>
    </row>
    <row r="1169" spans="1:1">
      <c r="A1169" s="169"/>
    </row>
    <row r="1170" spans="1:1">
      <c r="A1170" s="169"/>
    </row>
    <row r="1171" spans="1:1">
      <c r="A1171" s="169"/>
    </row>
    <row r="1172" spans="1:1">
      <c r="A1172" s="169"/>
    </row>
    <row r="1173" spans="1:1">
      <c r="A1173" s="169"/>
    </row>
    <row r="1174" spans="1:1">
      <c r="A1174" s="169"/>
    </row>
    <row r="1175" spans="1:1">
      <c r="A1175" s="169"/>
    </row>
    <row r="1176" spans="1:1">
      <c r="A1176" s="169"/>
    </row>
    <row r="1177" spans="1:1">
      <c r="A1177" s="169"/>
    </row>
    <row r="1178" spans="1:1">
      <c r="A1178" s="169"/>
    </row>
    <row r="1179" spans="1:1">
      <c r="A1179" s="169"/>
    </row>
    <row r="1180" spans="1:1">
      <c r="A1180" s="169"/>
    </row>
    <row r="1181" spans="1:1">
      <c r="A1181" s="169"/>
    </row>
    <row r="1182" spans="1:1">
      <c r="A1182" s="169"/>
    </row>
    <row r="1183" spans="1:1">
      <c r="A1183" s="169"/>
    </row>
    <row r="1184" spans="1:1">
      <c r="A1184" s="169"/>
    </row>
    <row r="1185" spans="1:1">
      <c r="A1185" s="169"/>
    </row>
    <row r="1186" spans="1:1">
      <c r="A1186" s="169"/>
    </row>
    <row r="1187" spans="1:1">
      <c r="A1187" s="169"/>
    </row>
    <row r="1188" spans="1:1">
      <c r="A1188" s="169"/>
    </row>
    <row r="1189" spans="1:1">
      <c r="A1189" s="169"/>
    </row>
    <row r="1190" spans="1:1">
      <c r="A1190" s="169"/>
    </row>
    <row r="1191" spans="1:1">
      <c r="A1191" s="169"/>
    </row>
    <row r="1192" spans="1:1">
      <c r="A1192" s="169"/>
    </row>
    <row r="1193" spans="1:1">
      <c r="A1193" s="169"/>
    </row>
    <row r="1194" spans="1:1">
      <c r="A1194" s="169"/>
    </row>
    <row r="1195" spans="1:1">
      <c r="A1195" s="169"/>
    </row>
    <row r="1196" spans="1:1">
      <c r="A1196" s="169"/>
    </row>
    <row r="1197" spans="1:1">
      <c r="A1197" s="169"/>
    </row>
    <row r="1198" spans="1:1">
      <c r="A1198" s="169"/>
    </row>
    <row r="1199" spans="1:1">
      <c r="A1199" s="169"/>
    </row>
    <row r="1200" spans="1:1">
      <c r="A1200" s="169"/>
    </row>
    <row r="1201" spans="1:1">
      <c r="A1201" s="169"/>
    </row>
    <row r="1202" spans="1:1">
      <c r="A1202" s="169"/>
    </row>
    <row r="1203" spans="1:1">
      <c r="A1203" s="169"/>
    </row>
    <row r="1204" spans="1:1">
      <c r="A1204" s="169"/>
    </row>
    <row r="1205" spans="1:1">
      <c r="A1205" s="169"/>
    </row>
    <row r="1206" spans="1:1">
      <c r="A1206" s="169"/>
    </row>
    <row r="1207" spans="1:1">
      <c r="A1207" s="169"/>
    </row>
    <row r="1208" spans="1:1">
      <c r="A1208" s="169"/>
    </row>
    <row r="1209" spans="1:1">
      <c r="A1209" s="169"/>
    </row>
    <row r="1210" spans="1:1">
      <c r="A1210" s="169"/>
    </row>
    <row r="1211" spans="1:1">
      <c r="A1211" s="169"/>
    </row>
    <row r="1212" spans="1:1">
      <c r="A1212" s="169"/>
    </row>
    <row r="1213" spans="1:1">
      <c r="A1213" s="169"/>
    </row>
    <row r="1214" spans="1:1">
      <c r="A1214" s="169"/>
    </row>
    <row r="1215" spans="1:1">
      <c r="A1215" s="169"/>
    </row>
    <row r="1216" spans="1:1">
      <c r="A1216" s="169"/>
    </row>
    <row r="1217" spans="1:1">
      <c r="A1217" s="169"/>
    </row>
    <row r="1218" spans="1:1">
      <c r="A1218" s="169"/>
    </row>
    <row r="1219" spans="1:1">
      <c r="A1219" s="169"/>
    </row>
    <row r="1220" spans="1:1">
      <c r="A1220" s="169"/>
    </row>
    <row r="1221" spans="1:1">
      <c r="A1221" s="169"/>
    </row>
    <row r="1222" spans="1:1">
      <c r="A1222" s="169"/>
    </row>
    <row r="1223" spans="1:1">
      <c r="A1223" s="169"/>
    </row>
    <row r="1224" spans="1:1">
      <c r="A1224" s="169"/>
    </row>
    <row r="1225" spans="1:1">
      <c r="A1225" s="169"/>
    </row>
    <row r="1226" spans="1:1">
      <c r="A1226" s="169"/>
    </row>
    <row r="1227" spans="1:1">
      <c r="A1227" s="169"/>
    </row>
    <row r="1228" spans="1:1">
      <c r="A1228" s="169"/>
    </row>
    <row r="1229" spans="1:1">
      <c r="A1229" s="169"/>
    </row>
    <row r="1230" spans="1:1">
      <c r="A1230" s="169"/>
    </row>
    <row r="1231" spans="1:1">
      <c r="A1231" s="169"/>
    </row>
    <row r="1232" spans="1:1">
      <c r="A1232" s="169"/>
    </row>
    <row r="1233" spans="1:1">
      <c r="A1233" s="169"/>
    </row>
    <row r="1234" spans="1:1">
      <c r="A1234" s="169"/>
    </row>
    <row r="1235" spans="1:1">
      <c r="A1235" s="169"/>
    </row>
    <row r="1236" spans="1:1">
      <c r="A1236" s="169"/>
    </row>
    <row r="1237" spans="1:1">
      <c r="A1237" s="169"/>
    </row>
    <row r="1238" spans="1:1">
      <c r="A1238" s="169"/>
    </row>
    <row r="1239" spans="1:1">
      <c r="A1239" s="169"/>
    </row>
    <row r="1240" spans="1:1">
      <c r="A1240" s="169"/>
    </row>
    <row r="1241" spans="1:1">
      <c r="A1241" s="169"/>
    </row>
    <row r="1242" spans="1:1">
      <c r="A1242" s="169"/>
    </row>
    <row r="1243" spans="1:1">
      <c r="A1243" s="169"/>
    </row>
    <row r="1244" spans="1:1">
      <c r="A1244" s="169"/>
    </row>
    <row r="1245" spans="1:1">
      <c r="A1245" s="169"/>
    </row>
    <row r="1246" spans="1:1">
      <c r="A1246" s="169"/>
    </row>
    <row r="1247" spans="1:1">
      <c r="A1247" s="169"/>
    </row>
    <row r="1248" spans="1:1">
      <c r="A1248" s="169"/>
    </row>
    <row r="1249" spans="1:1">
      <c r="A1249" s="169"/>
    </row>
    <row r="1250" spans="1:1">
      <c r="A1250" s="169"/>
    </row>
    <row r="1251" spans="1:1">
      <c r="A1251" s="169"/>
    </row>
    <row r="1252" spans="1:1">
      <c r="A1252" s="169"/>
    </row>
    <row r="1253" spans="1:1">
      <c r="A1253" s="169"/>
    </row>
    <row r="1254" spans="1:1">
      <c r="A1254" s="169"/>
    </row>
    <row r="1255" spans="1:1">
      <c r="A1255" s="169"/>
    </row>
    <row r="1256" spans="1:1">
      <c r="A1256" s="169"/>
    </row>
    <row r="1257" spans="1:1">
      <c r="A1257" s="169"/>
    </row>
    <row r="1258" spans="1:1">
      <c r="A1258" s="169"/>
    </row>
    <row r="1259" spans="1:1">
      <c r="A1259" s="169"/>
    </row>
    <row r="1260" spans="1:1">
      <c r="A1260" s="169"/>
    </row>
    <row r="1261" spans="1:1">
      <c r="A1261" s="169"/>
    </row>
    <row r="1262" spans="1:1">
      <c r="A1262" s="169"/>
    </row>
    <row r="1263" spans="1:1">
      <c r="A1263" s="169"/>
    </row>
    <row r="1264" spans="1:1">
      <c r="A1264" s="169"/>
    </row>
    <row r="1265" spans="1:1">
      <c r="A1265" s="169"/>
    </row>
    <row r="1266" spans="1:1">
      <c r="A1266" s="169"/>
    </row>
    <row r="1267" spans="1:1">
      <c r="A1267" s="169"/>
    </row>
    <row r="1268" spans="1:1">
      <c r="A1268" s="169"/>
    </row>
    <row r="1269" spans="1:1">
      <c r="A1269" s="169"/>
    </row>
    <row r="1270" spans="1:1">
      <c r="A1270" s="169"/>
    </row>
    <row r="1271" spans="1:1">
      <c r="A1271" s="169"/>
    </row>
    <row r="1272" spans="1:1">
      <c r="A1272" s="169"/>
    </row>
    <row r="1273" spans="1:1">
      <c r="A1273" s="169"/>
    </row>
    <row r="1274" spans="1:1">
      <c r="A1274" s="169"/>
    </row>
    <row r="1275" spans="1:1">
      <c r="A1275" s="169"/>
    </row>
    <row r="1276" spans="1:1">
      <c r="A1276" s="169"/>
    </row>
    <row r="1277" spans="1:1">
      <c r="A1277" s="169"/>
    </row>
    <row r="1278" spans="1:1">
      <c r="A1278" s="169"/>
    </row>
    <row r="1279" spans="1:1">
      <c r="A1279" s="169"/>
    </row>
    <row r="1280" spans="1:1">
      <c r="A1280" s="169"/>
    </row>
    <row r="1281" spans="1:1">
      <c r="A1281" s="169"/>
    </row>
    <row r="1282" spans="1:1">
      <c r="A1282" s="169"/>
    </row>
    <row r="1283" spans="1:1">
      <c r="A1283" s="169"/>
    </row>
    <row r="1284" spans="1:1">
      <c r="A1284" s="169"/>
    </row>
    <row r="1285" spans="1:1">
      <c r="A1285" s="169"/>
    </row>
    <row r="1286" spans="1:1">
      <c r="A1286" s="169"/>
    </row>
    <row r="1287" spans="1:1">
      <c r="A1287" s="169"/>
    </row>
    <row r="1288" spans="1:1">
      <c r="A1288" s="169"/>
    </row>
    <row r="1289" spans="1:1">
      <c r="A1289" s="169"/>
    </row>
    <row r="1290" spans="1:1">
      <c r="A1290" s="169"/>
    </row>
    <row r="1291" spans="1:1">
      <c r="A1291" s="169"/>
    </row>
    <row r="1292" spans="1:1">
      <c r="A1292" s="169"/>
    </row>
    <row r="1293" spans="1:1">
      <c r="A1293" s="169"/>
    </row>
    <row r="1294" spans="1:1">
      <c r="A1294" s="169"/>
    </row>
    <row r="1295" spans="1:1">
      <c r="A1295" s="169"/>
    </row>
    <row r="1296" spans="1:1">
      <c r="A1296" s="169"/>
    </row>
    <row r="1297" spans="1:1">
      <c r="A1297" s="169"/>
    </row>
    <row r="1298" spans="1:1">
      <c r="A1298" s="169"/>
    </row>
    <row r="1299" spans="1:1">
      <c r="A1299" s="169"/>
    </row>
    <row r="1300" spans="1:1">
      <c r="A1300" s="169"/>
    </row>
    <row r="1301" spans="1:1">
      <c r="A1301" s="169"/>
    </row>
    <row r="1302" spans="1:1">
      <c r="A1302" s="169"/>
    </row>
    <row r="1303" spans="1:1">
      <c r="A1303" s="169"/>
    </row>
    <row r="1304" spans="1:1">
      <c r="A1304" s="169"/>
    </row>
    <row r="1305" spans="1:1">
      <c r="A1305" s="169"/>
    </row>
    <row r="1306" spans="1:1">
      <c r="A1306" s="169"/>
    </row>
    <row r="1307" spans="1:1">
      <c r="A1307" s="169"/>
    </row>
    <row r="1308" spans="1:1">
      <c r="A1308" s="169"/>
    </row>
    <row r="1309" spans="1:1">
      <c r="A1309" s="169"/>
    </row>
    <row r="1310" spans="1:1">
      <c r="A1310" s="169"/>
    </row>
    <row r="1311" spans="1:1">
      <c r="A1311" s="169"/>
    </row>
    <row r="1312" spans="1:1">
      <c r="A1312" s="169"/>
    </row>
    <row r="1313" spans="1:1">
      <c r="A1313" s="169"/>
    </row>
    <row r="1314" spans="1:1">
      <c r="A1314" s="169"/>
    </row>
    <row r="1315" spans="1:1">
      <c r="A1315" s="169"/>
    </row>
    <row r="1316" spans="1:1">
      <c r="A1316" s="169"/>
    </row>
    <row r="1317" spans="1:1">
      <c r="A1317" s="169"/>
    </row>
    <row r="1318" spans="1:1">
      <c r="A1318" s="169"/>
    </row>
    <row r="1319" spans="1:1">
      <c r="A1319" s="169"/>
    </row>
    <row r="1320" spans="1:1">
      <c r="A1320" s="169"/>
    </row>
    <row r="1321" spans="1:1">
      <c r="A1321" s="169"/>
    </row>
    <row r="1322" spans="1:1">
      <c r="A1322" s="169"/>
    </row>
    <row r="1323" spans="1:1">
      <c r="A1323" s="169"/>
    </row>
    <row r="1324" spans="1:1">
      <c r="A1324" s="169"/>
    </row>
    <row r="1325" spans="1:1">
      <c r="A1325" s="169"/>
    </row>
    <row r="1326" spans="1:1">
      <c r="A1326" s="169"/>
    </row>
    <row r="1327" spans="1:1">
      <c r="A1327" s="169"/>
    </row>
    <row r="1328" spans="1:1">
      <c r="A1328" s="169"/>
    </row>
    <row r="1329" spans="1:1">
      <c r="A1329" s="169"/>
    </row>
    <row r="1330" spans="1:1">
      <c r="A1330" s="169"/>
    </row>
    <row r="1331" spans="1:1">
      <c r="A1331" s="169"/>
    </row>
    <row r="1332" spans="1:1">
      <c r="A1332" s="169"/>
    </row>
    <row r="1333" spans="1:1">
      <c r="A1333" s="169"/>
    </row>
    <row r="1334" spans="1:1">
      <c r="A1334" s="169"/>
    </row>
    <row r="1335" spans="1:1">
      <c r="A1335" s="169"/>
    </row>
    <row r="1336" spans="1:1">
      <c r="A1336" s="169"/>
    </row>
    <row r="1337" spans="1:1">
      <c r="A1337" s="169"/>
    </row>
    <row r="1338" spans="1:1">
      <c r="A1338" s="169"/>
    </row>
    <row r="1339" spans="1:1">
      <c r="A1339" s="169"/>
    </row>
    <row r="1340" spans="1:1">
      <c r="A1340" s="169"/>
    </row>
    <row r="1341" spans="1:1">
      <c r="A1341" s="169"/>
    </row>
    <row r="1342" spans="1:1">
      <c r="A1342" s="169"/>
    </row>
    <row r="1343" spans="1:1">
      <c r="A1343" s="169"/>
    </row>
    <row r="1344" spans="1:1">
      <c r="A1344" s="169"/>
    </row>
    <row r="1345" spans="1:1">
      <c r="A1345" s="169"/>
    </row>
    <row r="1346" spans="1:1">
      <c r="A1346" s="169"/>
    </row>
    <row r="1347" spans="1:1">
      <c r="A1347" s="169"/>
    </row>
    <row r="1348" spans="1:1">
      <c r="A1348" s="169"/>
    </row>
    <row r="1349" spans="1:1">
      <c r="A1349" s="169"/>
    </row>
    <row r="1350" spans="1:1">
      <c r="A1350" s="169"/>
    </row>
    <row r="1351" spans="1:1">
      <c r="A1351" s="169"/>
    </row>
    <row r="1352" spans="1:1">
      <c r="A1352" s="169"/>
    </row>
    <row r="1353" spans="1:1">
      <c r="A1353" s="169"/>
    </row>
    <row r="1354" spans="1:1">
      <c r="A1354" s="169"/>
    </row>
    <row r="1355" spans="1:1">
      <c r="A1355" s="169"/>
    </row>
    <row r="1356" spans="1:1">
      <c r="A1356" s="169"/>
    </row>
    <row r="1357" spans="1:1">
      <c r="A1357" s="169"/>
    </row>
    <row r="1358" spans="1:1">
      <c r="A1358" s="169"/>
    </row>
    <row r="1359" spans="1:1">
      <c r="A1359" s="169"/>
    </row>
    <row r="1360" spans="1:1">
      <c r="A1360" s="169"/>
    </row>
    <row r="1361" spans="1:1">
      <c r="A1361" s="169"/>
    </row>
    <row r="1362" spans="1:1">
      <c r="A1362" s="169"/>
    </row>
    <row r="1363" spans="1:1">
      <c r="A1363" s="169"/>
    </row>
    <row r="1364" spans="1:1">
      <c r="A1364" s="169"/>
    </row>
    <row r="1365" spans="1:1">
      <c r="A1365" s="169"/>
    </row>
    <row r="1366" spans="1:1">
      <c r="A1366" s="169"/>
    </row>
    <row r="1367" spans="1:1">
      <c r="A1367" s="169"/>
    </row>
    <row r="1368" spans="1:1">
      <c r="A1368" s="169"/>
    </row>
    <row r="1369" spans="1:1">
      <c r="A1369" s="169"/>
    </row>
    <row r="1370" spans="1:1">
      <c r="A1370" s="169"/>
    </row>
    <row r="1371" spans="1:1">
      <c r="A1371" s="169"/>
    </row>
    <row r="1372" spans="1:1">
      <c r="A1372" s="169"/>
    </row>
    <row r="1373" spans="1:1">
      <c r="A1373" s="169"/>
    </row>
    <row r="1374" spans="1:1">
      <c r="A1374" s="169"/>
    </row>
    <row r="1375" spans="1:1">
      <c r="A1375" s="169"/>
    </row>
    <row r="1376" spans="1:1">
      <c r="A1376" s="169"/>
    </row>
    <row r="1377" spans="1:1">
      <c r="A1377" s="169"/>
    </row>
    <row r="1378" spans="1:1">
      <c r="A1378" s="169"/>
    </row>
    <row r="1379" spans="1:1">
      <c r="A1379" s="169"/>
    </row>
    <row r="1380" spans="1:1">
      <c r="A1380" s="169"/>
    </row>
    <row r="1381" spans="1:1">
      <c r="A1381" s="169"/>
    </row>
    <row r="1382" spans="1:1">
      <c r="A1382" s="169"/>
    </row>
    <row r="1383" spans="1:1">
      <c r="A1383" s="169"/>
    </row>
    <row r="1384" spans="1:1">
      <c r="A1384" s="169"/>
    </row>
    <row r="1385" spans="1:1">
      <c r="A1385" s="169"/>
    </row>
    <row r="1386" spans="1:1">
      <c r="A1386" s="169"/>
    </row>
    <row r="1387" spans="1:1">
      <c r="A1387" s="169"/>
    </row>
    <row r="1388" spans="1:1">
      <c r="A1388" s="169"/>
    </row>
    <row r="1389" spans="1:1">
      <c r="A1389" s="169"/>
    </row>
    <row r="1390" spans="1:1">
      <c r="A1390" s="169"/>
    </row>
    <row r="1391" spans="1:1">
      <c r="A1391" s="169"/>
    </row>
    <row r="1392" spans="1:1">
      <c r="A1392" s="169"/>
    </row>
    <row r="1393" spans="1:1">
      <c r="A1393" s="169"/>
    </row>
    <row r="1394" spans="1:1">
      <c r="A1394" s="169"/>
    </row>
    <row r="1395" spans="1:1">
      <c r="A1395" s="169"/>
    </row>
    <row r="1396" spans="1:1">
      <c r="A1396" s="169"/>
    </row>
    <row r="1397" spans="1:1">
      <c r="A1397" s="169"/>
    </row>
    <row r="1398" spans="1:1">
      <c r="A1398" s="169"/>
    </row>
    <row r="1399" spans="1:1">
      <c r="A1399" s="169"/>
    </row>
    <row r="1400" spans="1:1">
      <c r="A1400" s="169"/>
    </row>
    <row r="1401" spans="1:1">
      <c r="A1401" s="169"/>
    </row>
    <row r="1402" spans="1:1">
      <c r="A1402" s="169"/>
    </row>
    <row r="1403" spans="1:1">
      <c r="A1403" s="169"/>
    </row>
    <row r="1404" spans="1:1">
      <c r="A1404" s="169"/>
    </row>
    <row r="1405" spans="1:1">
      <c r="A1405" s="169"/>
    </row>
    <row r="1406" spans="1:1">
      <c r="A1406" s="169"/>
    </row>
    <row r="1407" spans="1:1">
      <c r="A1407" s="169"/>
    </row>
    <row r="1408" spans="1:1">
      <c r="A1408" s="169"/>
    </row>
    <row r="1409" spans="1:1">
      <c r="A1409" s="169"/>
    </row>
    <row r="1410" spans="1:1">
      <c r="A1410" s="169"/>
    </row>
    <row r="1411" spans="1:1">
      <c r="A1411" s="169"/>
    </row>
    <row r="1412" spans="1:1">
      <c r="A1412" s="169"/>
    </row>
    <row r="1413" spans="1:1">
      <c r="A1413" s="169"/>
    </row>
    <row r="1414" spans="1:1">
      <c r="A1414" s="169"/>
    </row>
    <row r="1415" spans="1:1">
      <c r="A1415" s="169"/>
    </row>
    <row r="1416" spans="1:1">
      <c r="A1416" s="169"/>
    </row>
    <row r="1417" spans="1:1">
      <c r="A1417" s="169"/>
    </row>
    <row r="1418" spans="1:1">
      <c r="A1418" s="169"/>
    </row>
    <row r="1419" spans="1:1">
      <c r="A1419" s="169"/>
    </row>
    <row r="1420" spans="1:1">
      <c r="A1420" s="169"/>
    </row>
    <row r="1421" spans="1:1">
      <c r="A1421" s="169"/>
    </row>
    <row r="1422" spans="1:1">
      <c r="A1422" s="169"/>
    </row>
    <row r="1423" spans="1:1">
      <c r="A1423" s="169"/>
    </row>
    <row r="1424" spans="1:1">
      <c r="A1424" s="169"/>
    </row>
    <row r="1425" spans="1:1">
      <c r="A1425" s="169"/>
    </row>
    <row r="1426" spans="1:1">
      <c r="A1426" s="169"/>
    </row>
    <row r="1427" spans="1:1">
      <c r="A1427" s="169"/>
    </row>
    <row r="1428" spans="1:1">
      <c r="A1428" s="169"/>
    </row>
    <row r="1429" spans="1:1">
      <c r="A1429" s="169"/>
    </row>
    <row r="1430" spans="1:1">
      <c r="A1430" s="169"/>
    </row>
    <row r="1431" spans="1:1">
      <c r="A1431" s="169"/>
    </row>
    <row r="1432" spans="1:1">
      <c r="A1432" s="169"/>
    </row>
    <row r="1433" spans="1:1">
      <c r="A1433" s="169"/>
    </row>
    <row r="1434" spans="1:1">
      <c r="A1434" s="169"/>
    </row>
    <row r="1435" spans="1:1">
      <c r="A1435" s="169"/>
    </row>
    <row r="1436" spans="1:1">
      <c r="A1436" s="169"/>
    </row>
    <row r="1437" spans="1:1">
      <c r="A1437" s="169"/>
    </row>
    <row r="1438" spans="1:1">
      <c r="A1438" s="169"/>
    </row>
    <row r="1439" spans="1:1">
      <c r="A1439" s="169"/>
    </row>
    <row r="1440" spans="1:1">
      <c r="A1440" s="169"/>
    </row>
    <row r="1441" spans="1:1">
      <c r="A1441" s="169"/>
    </row>
    <row r="1442" spans="1:1">
      <c r="A1442" s="169"/>
    </row>
    <row r="1443" spans="1:1">
      <c r="A1443" s="169"/>
    </row>
    <row r="1444" spans="1:1">
      <c r="A1444" s="169"/>
    </row>
    <row r="1445" spans="1:1">
      <c r="A1445" s="169"/>
    </row>
    <row r="1446" spans="1:1">
      <c r="A1446" s="169"/>
    </row>
    <row r="1447" spans="1:1">
      <c r="A1447" s="169"/>
    </row>
    <row r="1448" spans="1:1">
      <c r="A1448" s="169"/>
    </row>
    <row r="1449" spans="1:1">
      <c r="A1449" s="169"/>
    </row>
    <row r="1450" spans="1:1">
      <c r="A1450" s="169"/>
    </row>
    <row r="1451" spans="1:1">
      <c r="A1451" s="169"/>
    </row>
    <row r="1452" spans="1:1">
      <c r="A1452" s="169"/>
    </row>
    <row r="1453" spans="1:1">
      <c r="A1453" s="169"/>
    </row>
    <row r="1454" spans="1:1">
      <c r="A1454" s="169"/>
    </row>
    <row r="1455" spans="1:1">
      <c r="A1455" s="169"/>
    </row>
    <row r="1456" spans="1:1">
      <c r="A1456" s="169"/>
    </row>
    <row r="1457" spans="1:1">
      <c r="A1457" s="169"/>
    </row>
    <row r="1458" spans="1:1">
      <c r="A1458" s="169"/>
    </row>
    <row r="1459" spans="1:1">
      <c r="A1459" s="169"/>
    </row>
    <row r="1460" spans="1:1">
      <c r="A1460" s="169"/>
    </row>
    <row r="1461" spans="1:1">
      <c r="A1461" s="169"/>
    </row>
    <row r="1462" spans="1:1">
      <c r="A1462" s="169"/>
    </row>
    <row r="1463" spans="1:1">
      <c r="A1463" s="169"/>
    </row>
    <row r="1464" spans="1:1">
      <c r="A1464" s="169"/>
    </row>
    <row r="1465" spans="1:1">
      <c r="A1465" s="169"/>
    </row>
    <row r="1466" spans="1:1">
      <c r="A1466" s="169"/>
    </row>
    <row r="1467" spans="1:1">
      <c r="A1467" s="169"/>
    </row>
    <row r="1468" spans="1:1">
      <c r="A1468" s="169"/>
    </row>
    <row r="1469" spans="1:1">
      <c r="A1469" s="169"/>
    </row>
    <row r="1470" spans="1:1">
      <c r="A1470" s="169"/>
    </row>
    <row r="1471" spans="1:1">
      <c r="A1471" s="169"/>
    </row>
    <row r="1472" spans="1:1">
      <c r="A1472" s="169"/>
    </row>
    <row r="1473" spans="1:1">
      <c r="A1473" s="169"/>
    </row>
    <row r="1474" spans="1:1">
      <c r="A1474" s="169"/>
    </row>
    <row r="1475" spans="1:1">
      <c r="A1475" s="169"/>
    </row>
    <row r="1476" spans="1:1">
      <c r="A1476" s="169"/>
    </row>
    <row r="1477" spans="1:1">
      <c r="A1477" s="169"/>
    </row>
    <row r="1478" spans="1:1">
      <c r="A1478" s="169"/>
    </row>
    <row r="1479" spans="1:1">
      <c r="A1479" s="169"/>
    </row>
    <row r="1480" spans="1:1">
      <c r="A1480" s="169"/>
    </row>
    <row r="1481" spans="1:1">
      <c r="A1481" s="169"/>
    </row>
    <row r="1482" spans="1:1">
      <c r="A1482" s="169"/>
    </row>
    <row r="1483" spans="1:1">
      <c r="A1483" s="169"/>
    </row>
    <row r="1484" spans="1:1">
      <c r="A1484" s="169"/>
    </row>
    <row r="1485" spans="1:1">
      <c r="A1485" s="169"/>
    </row>
    <row r="1486" spans="1:1">
      <c r="A1486" s="169"/>
    </row>
    <row r="1487" spans="1:1">
      <c r="A1487" s="169"/>
    </row>
    <row r="1488" spans="1:1">
      <c r="A1488" s="169"/>
    </row>
    <row r="1489" spans="1:1">
      <c r="A1489" s="169"/>
    </row>
    <row r="1490" spans="1:1">
      <c r="A1490" s="169"/>
    </row>
    <row r="1491" spans="1:1">
      <c r="A1491" s="169"/>
    </row>
    <row r="1492" spans="1:1">
      <c r="A1492" s="169"/>
    </row>
    <row r="1493" spans="1:1">
      <c r="A1493" s="169"/>
    </row>
    <row r="1494" spans="1:1">
      <c r="A1494" s="169"/>
    </row>
    <row r="1495" spans="1:1">
      <c r="A1495" s="169"/>
    </row>
    <row r="1496" spans="1:1">
      <c r="A1496" s="169"/>
    </row>
    <row r="1497" spans="1:1">
      <c r="A1497" s="169"/>
    </row>
    <row r="1498" spans="1:1">
      <c r="A1498" s="169"/>
    </row>
    <row r="1499" spans="1:1">
      <c r="A1499" s="169"/>
    </row>
    <row r="1500" spans="1:1">
      <c r="A1500" s="169"/>
    </row>
    <row r="1501" spans="1:1">
      <c r="A1501" s="169"/>
    </row>
    <row r="1502" spans="1:1">
      <c r="A1502" s="169"/>
    </row>
    <row r="1503" spans="1:1">
      <c r="A1503" s="169"/>
    </row>
    <row r="1504" spans="1:1">
      <c r="A1504" s="169"/>
    </row>
    <row r="1505" spans="1:1">
      <c r="A1505" s="169"/>
    </row>
    <row r="1506" spans="1:1">
      <c r="A1506" s="169"/>
    </row>
    <row r="1507" spans="1:1">
      <c r="A1507" s="169"/>
    </row>
    <row r="1508" spans="1:1">
      <c r="A1508" s="169"/>
    </row>
    <row r="1509" spans="1:1">
      <c r="A1509" s="169"/>
    </row>
    <row r="1510" spans="1:1">
      <c r="A1510" s="169"/>
    </row>
    <row r="1511" spans="1:1">
      <c r="A1511" s="169"/>
    </row>
    <row r="1512" spans="1:1">
      <c r="A1512" s="169"/>
    </row>
    <row r="1513" spans="1:1">
      <c r="A1513" s="169"/>
    </row>
    <row r="1514" spans="1:1">
      <c r="A1514" s="169"/>
    </row>
    <row r="1515" spans="1:1">
      <c r="A1515" s="169"/>
    </row>
    <row r="1516" spans="1:1">
      <c r="A1516" s="169"/>
    </row>
    <row r="1517" spans="1:1">
      <c r="A1517" s="169"/>
    </row>
    <row r="1518" spans="1:1">
      <c r="A1518" s="169"/>
    </row>
    <row r="1519" spans="1:1">
      <c r="A1519" s="169"/>
    </row>
    <row r="1520" spans="1:1">
      <c r="A1520" s="169"/>
    </row>
    <row r="1521" spans="1:1">
      <c r="A1521" s="169"/>
    </row>
    <row r="1522" spans="1:1">
      <c r="A1522" s="169"/>
    </row>
    <row r="1523" spans="1:1">
      <c r="A1523" s="169"/>
    </row>
    <row r="1524" spans="1:1">
      <c r="A1524" s="169"/>
    </row>
    <row r="1525" spans="1:1">
      <c r="A1525" s="169"/>
    </row>
    <row r="1526" spans="1:1">
      <c r="A1526" s="169"/>
    </row>
    <row r="1527" spans="1:1">
      <c r="A1527" s="169"/>
    </row>
    <row r="1528" spans="1:1">
      <c r="A1528" s="169"/>
    </row>
    <row r="1529" spans="1:1">
      <c r="A1529" s="169"/>
    </row>
    <row r="1530" spans="1:1">
      <c r="A1530" s="169"/>
    </row>
    <row r="1531" spans="1:1">
      <c r="A1531" s="169"/>
    </row>
    <row r="1532" spans="1:1">
      <c r="A1532" s="169"/>
    </row>
    <row r="1533" spans="1:1">
      <c r="A1533" s="169"/>
    </row>
    <row r="1534" spans="1:1">
      <c r="A1534" s="169"/>
    </row>
    <row r="1535" spans="1:1">
      <c r="A1535" s="169"/>
    </row>
    <row r="1536" spans="1:1">
      <c r="A1536" s="169"/>
    </row>
    <row r="1537" spans="1:1">
      <c r="A1537" s="169"/>
    </row>
    <row r="1538" spans="1:1">
      <c r="A1538" s="169"/>
    </row>
    <row r="1539" spans="1:1">
      <c r="A1539" s="169"/>
    </row>
    <row r="1540" spans="1:1">
      <c r="A1540" s="169"/>
    </row>
    <row r="1541" spans="1:1">
      <c r="A1541" s="169"/>
    </row>
    <row r="1542" spans="1:1">
      <c r="A1542" s="169"/>
    </row>
    <row r="1543" spans="1:1">
      <c r="A1543" s="169"/>
    </row>
    <row r="1544" spans="1:1">
      <c r="A1544" s="169"/>
    </row>
    <row r="1545" spans="1:1">
      <c r="A1545" s="169"/>
    </row>
    <row r="1546" spans="1:1">
      <c r="A1546" s="169"/>
    </row>
    <row r="1547" spans="1:1">
      <c r="A1547" s="169"/>
    </row>
    <row r="1548" spans="1:1">
      <c r="A1548" s="169"/>
    </row>
    <row r="1549" spans="1:1">
      <c r="A1549" s="169"/>
    </row>
    <row r="1550" spans="1:1">
      <c r="A1550" s="169"/>
    </row>
    <row r="1551" spans="1:1">
      <c r="A1551" s="169"/>
    </row>
    <row r="1552" spans="1:1">
      <c r="A1552" s="169"/>
    </row>
    <row r="1553" spans="1:1">
      <c r="A1553" s="169"/>
    </row>
    <row r="1554" spans="1:1">
      <c r="A1554" s="169"/>
    </row>
    <row r="1555" spans="1:1">
      <c r="A1555" s="169"/>
    </row>
    <row r="1556" spans="1:1">
      <c r="A1556" s="169"/>
    </row>
    <row r="1557" spans="1:1">
      <c r="A1557" s="169"/>
    </row>
    <row r="1558" spans="1:1">
      <c r="A1558" s="169"/>
    </row>
    <row r="1559" spans="1:1">
      <c r="A1559" s="169"/>
    </row>
    <row r="1560" spans="1:1">
      <c r="A1560" s="169"/>
    </row>
    <row r="1561" spans="1:1">
      <c r="A1561" s="169"/>
    </row>
    <row r="1562" spans="1:1">
      <c r="A1562" s="169"/>
    </row>
    <row r="1563" spans="1:1">
      <c r="A1563" s="169"/>
    </row>
    <row r="1564" spans="1:1">
      <c r="A1564" s="169"/>
    </row>
    <row r="1565" spans="1:1">
      <c r="A1565" s="169"/>
    </row>
    <row r="1566" spans="1:1">
      <c r="A1566" s="169"/>
    </row>
    <row r="1567" spans="1:1">
      <c r="A1567" s="169"/>
    </row>
    <row r="1568" spans="1:1">
      <c r="A1568" s="169"/>
    </row>
    <row r="1569" spans="1:1">
      <c r="A1569" s="169"/>
    </row>
    <row r="1570" spans="1:1">
      <c r="A1570" s="169"/>
    </row>
    <row r="1571" spans="1:1">
      <c r="A1571" s="169"/>
    </row>
    <row r="1572" spans="1:1">
      <c r="A1572" s="169"/>
    </row>
    <row r="1573" spans="1:1">
      <c r="A1573" s="169"/>
    </row>
    <row r="1574" spans="1:1">
      <c r="A1574" s="169"/>
    </row>
    <row r="1575" spans="1:1">
      <c r="A1575" s="169"/>
    </row>
    <row r="1576" spans="1:1">
      <c r="A1576" s="169"/>
    </row>
    <row r="1577" spans="1:1">
      <c r="A1577" s="169"/>
    </row>
    <row r="1578" spans="1:1">
      <c r="A1578" s="169"/>
    </row>
    <row r="1579" spans="1:1">
      <c r="A1579" s="169"/>
    </row>
    <row r="1580" spans="1:1">
      <c r="A1580" s="169"/>
    </row>
    <row r="1581" spans="1:1">
      <c r="A1581" s="169"/>
    </row>
    <row r="1582" spans="1:1">
      <c r="A1582" s="169"/>
    </row>
    <row r="1583" spans="1:1">
      <c r="A1583" s="169"/>
    </row>
    <row r="1584" spans="1:1">
      <c r="A1584" s="169"/>
    </row>
    <row r="1585" spans="1:1">
      <c r="A1585" s="169"/>
    </row>
    <row r="1586" spans="1:1">
      <c r="A1586" s="169"/>
    </row>
    <row r="1587" spans="1:1">
      <c r="A1587" s="169"/>
    </row>
    <row r="1588" spans="1:1">
      <c r="A1588" s="169"/>
    </row>
    <row r="1589" spans="1:1">
      <c r="A1589" s="169"/>
    </row>
    <row r="1590" spans="1:1">
      <c r="A1590" s="169"/>
    </row>
    <row r="1591" spans="1:1">
      <c r="A1591" s="169"/>
    </row>
    <row r="1592" spans="1:1">
      <c r="A1592" s="169"/>
    </row>
    <row r="1593" spans="1:1">
      <c r="A1593" s="169"/>
    </row>
    <row r="1594" spans="1:1">
      <c r="A1594" s="169"/>
    </row>
    <row r="1595" spans="1:1">
      <c r="A1595" s="169"/>
    </row>
    <row r="1596" spans="1:1">
      <c r="A1596" s="169"/>
    </row>
    <row r="1597" spans="1:1">
      <c r="A1597" s="169"/>
    </row>
    <row r="1598" spans="1:1">
      <c r="A1598" s="169"/>
    </row>
    <row r="1599" spans="1:1">
      <c r="A1599" s="169"/>
    </row>
    <row r="1600" spans="1:1">
      <c r="A1600" s="169"/>
    </row>
    <row r="1601" spans="1:1">
      <c r="A1601" s="169"/>
    </row>
    <row r="1602" spans="1:1">
      <c r="A1602" s="169"/>
    </row>
    <row r="1603" spans="1:1">
      <c r="A1603" s="169"/>
    </row>
    <row r="1604" spans="1:1">
      <c r="A1604" s="169"/>
    </row>
    <row r="1605" spans="1:1">
      <c r="A1605" s="169"/>
    </row>
    <row r="1606" spans="1:1">
      <c r="A1606" s="169"/>
    </row>
    <row r="1607" spans="1:1">
      <c r="A1607" s="169"/>
    </row>
    <row r="1608" spans="1:1">
      <c r="A1608" s="169"/>
    </row>
    <row r="1609" spans="1:1">
      <c r="A1609" s="169"/>
    </row>
    <row r="1610" spans="1:1">
      <c r="A1610" s="169"/>
    </row>
    <row r="1611" spans="1:1">
      <c r="A1611" s="169"/>
    </row>
    <row r="1612" spans="1:1">
      <c r="A1612" s="169"/>
    </row>
    <row r="1613" spans="1:1">
      <c r="A1613" s="169"/>
    </row>
    <row r="1614" spans="1:1">
      <c r="A1614" s="169"/>
    </row>
    <row r="1615" spans="1:1">
      <c r="A1615" s="169"/>
    </row>
    <row r="1616" spans="1:1">
      <c r="A1616" s="169"/>
    </row>
    <row r="1617" spans="1:1">
      <c r="A1617" s="169"/>
    </row>
    <row r="1618" spans="1:1">
      <c r="A1618" s="169"/>
    </row>
    <row r="1619" spans="1:1">
      <c r="A1619" s="169"/>
    </row>
    <row r="1620" spans="1:1">
      <c r="A1620" s="169"/>
    </row>
    <row r="1621" spans="1:1">
      <c r="A1621" s="169"/>
    </row>
    <row r="1622" spans="1:1">
      <c r="A1622" s="169"/>
    </row>
    <row r="1623" spans="1:1">
      <c r="A1623" s="169"/>
    </row>
    <row r="1624" spans="1:1">
      <c r="A1624" s="169"/>
    </row>
    <row r="1625" spans="1:1">
      <c r="A1625" s="169"/>
    </row>
    <row r="1626" spans="1:1">
      <c r="A1626" s="169"/>
    </row>
    <row r="1627" spans="1:1">
      <c r="A1627" s="169"/>
    </row>
    <row r="1628" spans="1:1">
      <c r="A1628" s="169"/>
    </row>
    <row r="1629" spans="1:1">
      <c r="A1629" s="169"/>
    </row>
    <row r="1630" spans="1:1">
      <c r="A1630" s="169"/>
    </row>
    <row r="1631" spans="1:1">
      <c r="A1631" s="169"/>
    </row>
    <row r="1632" spans="1:1">
      <c r="A1632" s="169"/>
    </row>
    <row r="1633" spans="1:1">
      <c r="A1633" s="169"/>
    </row>
    <row r="1634" spans="1:1">
      <c r="A1634" s="169"/>
    </row>
    <row r="1635" spans="1:1">
      <c r="A1635" s="169"/>
    </row>
    <row r="1636" spans="1:1">
      <c r="A1636" s="169"/>
    </row>
    <row r="1637" spans="1:1">
      <c r="A1637" s="169"/>
    </row>
    <row r="1638" spans="1:1">
      <c r="A1638" s="169"/>
    </row>
    <row r="1639" spans="1:1">
      <c r="A1639" s="169"/>
    </row>
    <row r="1640" spans="1:1">
      <c r="A1640" s="169"/>
    </row>
    <row r="1641" spans="1:1">
      <c r="A1641" s="169"/>
    </row>
    <row r="1642" spans="1:1">
      <c r="A1642" s="169"/>
    </row>
    <row r="1643" spans="1:1">
      <c r="A1643" s="169"/>
    </row>
    <row r="1644" spans="1:1">
      <c r="A1644" s="169"/>
    </row>
    <row r="1645" spans="1:1">
      <c r="A1645" s="169"/>
    </row>
    <row r="1646" spans="1:1">
      <c r="A1646" s="169"/>
    </row>
    <row r="1647" spans="1:1">
      <c r="A1647" s="169"/>
    </row>
    <row r="1648" spans="1:1">
      <c r="A1648" s="169"/>
    </row>
    <row r="1649" spans="1:1">
      <c r="A1649" s="169"/>
    </row>
    <row r="1650" spans="1:1">
      <c r="A1650" s="169"/>
    </row>
    <row r="1651" spans="1:1">
      <c r="A1651" s="169"/>
    </row>
    <row r="1652" spans="1:1">
      <c r="A1652" s="169"/>
    </row>
    <row r="1653" spans="1:1">
      <c r="A1653" s="169"/>
    </row>
    <row r="1654" spans="1:1">
      <c r="A1654" s="169"/>
    </row>
    <row r="1655" spans="1:1">
      <c r="A1655" s="169"/>
    </row>
    <row r="1656" spans="1:1">
      <c r="A1656" s="169"/>
    </row>
    <row r="1657" spans="1:1">
      <c r="A1657" s="169"/>
    </row>
    <row r="1658" spans="1:1">
      <c r="A1658" s="169"/>
    </row>
    <row r="1659" spans="1:1">
      <c r="A1659" s="169"/>
    </row>
    <row r="1660" spans="1:1">
      <c r="A1660" s="169"/>
    </row>
    <row r="1661" spans="1:1">
      <c r="A1661" s="169"/>
    </row>
    <row r="1662" spans="1:1">
      <c r="A1662" s="169"/>
    </row>
    <row r="1663" spans="1:1">
      <c r="A1663" s="169"/>
    </row>
    <row r="1664" spans="1:1">
      <c r="A1664" s="169"/>
    </row>
    <row r="1665" spans="1:1">
      <c r="A1665" s="169"/>
    </row>
    <row r="1666" spans="1:1">
      <c r="A1666" s="169"/>
    </row>
    <row r="1667" spans="1:1">
      <c r="A1667" s="169"/>
    </row>
    <row r="1668" spans="1:1">
      <c r="A1668" s="169"/>
    </row>
    <row r="1669" spans="1:1">
      <c r="A1669" s="169"/>
    </row>
    <row r="1670" spans="1:1">
      <c r="A1670" s="169"/>
    </row>
    <row r="1671" spans="1:1">
      <c r="A1671" s="169"/>
    </row>
    <row r="1672" spans="1:1">
      <c r="A1672" s="169"/>
    </row>
    <row r="1673" spans="1:1">
      <c r="A1673" s="169"/>
    </row>
    <row r="1674" spans="1:1">
      <c r="A1674" s="169"/>
    </row>
    <row r="1675" spans="1:1">
      <c r="A1675" s="169"/>
    </row>
    <row r="1676" spans="1:1">
      <c r="A1676" s="169"/>
    </row>
    <row r="1677" spans="1:1">
      <c r="A1677" s="169"/>
    </row>
    <row r="1678" spans="1:1">
      <c r="A1678" s="169"/>
    </row>
    <row r="1679" spans="1:1">
      <c r="A1679" s="169"/>
    </row>
    <row r="1680" spans="1:1">
      <c r="A1680" s="169"/>
    </row>
    <row r="1681" spans="1:1">
      <c r="A1681" s="169"/>
    </row>
    <row r="1682" spans="1:1">
      <c r="A1682" s="169"/>
    </row>
    <row r="1683" spans="1:1">
      <c r="A1683" s="169"/>
    </row>
    <row r="1684" spans="1:1">
      <c r="A1684" s="169"/>
    </row>
    <row r="1685" spans="1:1">
      <c r="A1685" s="169"/>
    </row>
    <row r="1686" spans="1:1">
      <c r="A1686" s="169"/>
    </row>
    <row r="1687" spans="1:1">
      <c r="A1687" s="169"/>
    </row>
    <row r="1688" spans="1:1">
      <c r="A1688" s="169"/>
    </row>
    <row r="1689" spans="1:1">
      <c r="A1689" s="169"/>
    </row>
    <row r="1690" spans="1:1">
      <c r="A1690" s="169"/>
    </row>
    <row r="1691" spans="1:1">
      <c r="A1691" s="169"/>
    </row>
    <row r="1692" spans="1:1">
      <c r="A1692" s="169"/>
    </row>
    <row r="1693" spans="1:1">
      <c r="A1693" s="169"/>
    </row>
    <row r="1694" spans="1:1">
      <c r="A1694" s="169"/>
    </row>
    <row r="1695" spans="1:1">
      <c r="A1695" s="169"/>
    </row>
    <row r="1696" spans="1:1">
      <c r="A1696" s="169"/>
    </row>
    <row r="1697" spans="1:1">
      <c r="A1697" s="169"/>
    </row>
    <row r="1698" spans="1:1">
      <c r="A1698" s="169"/>
    </row>
    <row r="1699" spans="1:1">
      <c r="A1699" s="169"/>
    </row>
    <row r="1700" spans="1:1">
      <c r="A1700" s="169"/>
    </row>
    <row r="1701" spans="1:1">
      <c r="A1701" s="169"/>
    </row>
    <row r="1702" spans="1:1">
      <c r="A1702" s="169"/>
    </row>
    <row r="1703" spans="1:1">
      <c r="A1703" s="169"/>
    </row>
    <row r="1704" spans="1:1">
      <c r="A1704" s="169"/>
    </row>
    <row r="1705" spans="1:1">
      <c r="A1705" s="169"/>
    </row>
    <row r="1706" spans="1:1">
      <c r="A1706" s="169"/>
    </row>
    <row r="1707" spans="1:1">
      <c r="A1707" s="169"/>
    </row>
    <row r="1708" spans="1:1">
      <c r="A1708" s="169"/>
    </row>
    <row r="1709" spans="1:1">
      <c r="A1709" s="169"/>
    </row>
    <row r="1710" spans="1:1">
      <c r="A1710" s="169"/>
    </row>
    <row r="1711" spans="1:1">
      <c r="A1711" s="169"/>
    </row>
    <row r="1712" spans="1:1">
      <c r="A1712" s="169"/>
    </row>
    <row r="1713" spans="1:1">
      <c r="A1713" s="169"/>
    </row>
    <row r="1714" spans="1:1">
      <c r="A1714" s="169"/>
    </row>
    <row r="1715" spans="1:1">
      <c r="A1715" s="169"/>
    </row>
    <row r="1716" spans="1:1">
      <c r="A1716" s="169"/>
    </row>
    <row r="1717" spans="1:1">
      <c r="A1717" s="169"/>
    </row>
    <row r="1718" spans="1:1">
      <c r="A1718" s="169"/>
    </row>
    <row r="1719" spans="1:1">
      <c r="A1719" s="169"/>
    </row>
    <row r="1720" spans="1:1">
      <c r="A1720" s="169"/>
    </row>
    <row r="1721" spans="1:1">
      <c r="A1721" s="169"/>
    </row>
    <row r="1722" spans="1:1">
      <c r="A1722" s="169"/>
    </row>
    <row r="1723" spans="1:1">
      <c r="A1723" s="169"/>
    </row>
    <row r="1724" spans="1:1">
      <c r="A1724" s="169"/>
    </row>
    <row r="1725" spans="1:1">
      <c r="A1725" s="169"/>
    </row>
    <row r="1726" spans="1:1">
      <c r="A1726" s="169"/>
    </row>
    <row r="1727" spans="1:1">
      <c r="A1727" s="169"/>
    </row>
    <row r="1728" spans="1:1">
      <c r="A1728" s="169"/>
    </row>
    <row r="1729" spans="1:1">
      <c r="A1729" s="169"/>
    </row>
    <row r="1730" spans="1:1">
      <c r="A1730" s="169"/>
    </row>
    <row r="1731" spans="1:1">
      <c r="A1731" s="169"/>
    </row>
    <row r="1732" spans="1:1">
      <c r="A1732" s="169"/>
    </row>
    <row r="1733" spans="1:1">
      <c r="A1733" s="169"/>
    </row>
    <row r="1734" spans="1:1">
      <c r="A1734" s="169"/>
    </row>
    <row r="1735" spans="1:1">
      <c r="A1735" s="169"/>
    </row>
    <row r="1736" spans="1:1">
      <c r="A1736" s="169"/>
    </row>
    <row r="1737" spans="1:1">
      <c r="A1737" s="169"/>
    </row>
    <row r="1738" spans="1:1">
      <c r="A1738" s="169"/>
    </row>
    <row r="1739" spans="1:1">
      <c r="A1739" s="169"/>
    </row>
    <row r="1740" spans="1:1">
      <c r="A1740" s="169"/>
    </row>
    <row r="1741" spans="1:1">
      <c r="A1741" s="169"/>
    </row>
    <row r="1742" spans="1:1">
      <c r="A1742" s="169"/>
    </row>
    <row r="1743" spans="1:1">
      <c r="A1743" s="169"/>
    </row>
    <row r="1744" spans="1:1">
      <c r="A1744" s="169"/>
    </row>
    <row r="1745" spans="1:1">
      <c r="A1745" s="169"/>
    </row>
    <row r="1746" spans="1:1">
      <c r="A1746" s="169"/>
    </row>
    <row r="1747" spans="1:1">
      <c r="A1747" s="169"/>
    </row>
    <row r="1748" spans="1:1">
      <c r="A1748" s="169"/>
    </row>
    <row r="1749" spans="1:1">
      <c r="A1749" s="169"/>
    </row>
    <row r="1750" spans="1:1">
      <c r="A1750" s="169"/>
    </row>
    <row r="1751" spans="1:1">
      <c r="A1751" s="169"/>
    </row>
    <row r="1752" spans="1:1">
      <c r="A1752" s="169"/>
    </row>
    <row r="1753" spans="1:1">
      <c r="A1753" s="169"/>
    </row>
    <row r="1754" spans="1:1">
      <c r="A1754" s="169"/>
    </row>
    <row r="1755" spans="1:1">
      <c r="A1755" s="169"/>
    </row>
    <row r="1756" spans="1:1">
      <c r="A1756" s="169"/>
    </row>
    <row r="1757" spans="1:1">
      <c r="A1757" s="169"/>
    </row>
    <row r="1758" spans="1:1">
      <c r="A1758" s="169"/>
    </row>
    <row r="1759" spans="1:1">
      <c r="A1759" s="169"/>
    </row>
    <row r="1760" spans="1:1">
      <c r="A1760" s="169"/>
    </row>
    <row r="1761" spans="1:1">
      <c r="A1761" s="169"/>
    </row>
    <row r="1762" spans="1:1">
      <c r="A1762" s="169"/>
    </row>
    <row r="1763" spans="1:1">
      <c r="A1763" s="169"/>
    </row>
    <row r="1764" spans="1:1">
      <c r="A1764" s="169"/>
    </row>
    <row r="1765" spans="1:1">
      <c r="A1765" s="169"/>
    </row>
    <row r="1766" spans="1:1">
      <c r="A1766" s="169"/>
    </row>
    <row r="1767" spans="1:1">
      <c r="A1767" s="169"/>
    </row>
    <row r="1768" spans="1:1">
      <c r="A1768" s="169"/>
    </row>
    <row r="1769" spans="1:1">
      <c r="A1769" s="169"/>
    </row>
    <row r="1770" spans="1:1">
      <c r="A1770" s="169"/>
    </row>
    <row r="1771" spans="1:1">
      <c r="A1771" s="169"/>
    </row>
    <row r="1772" spans="1:1">
      <c r="A1772" s="169"/>
    </row>
    <row r="1773" spans="1:1">
      <c r="A1773" s="169"/>
    </row>
    <row r="1774" spans="1:1">
      <c r="A1774" s="169"/>
    </row>
    <row r="1775" spans="1:1">
      <c r="A1775" s="169"/>
    </row>
    <row r="1776" spans="1:1">
      <c r="A1776" s="169"/>
    </row>
    <row r="1777" spans="1:1">
      <c r="A1777" s="169"/>
    </row>
    <row r="1778" spans="1:1">
      <c r="A1778" s="169"/>
    </row>
    <row r="1779" spans="1:1">
      <c r="A1779" s="169"/>
    </row>
    <row r="1780" spans="1:1">
      <c r="A1780" s="169"/>
    </row>
    <row r="1781" spans="1:1">
      <c r="A1781" s="169"/>
    </row>
    <row r="1782" spans="1:1">
      <c r="A1782" s="169"/>
    </row>
    <row r="1783" spans="1:1">
      <c r="A1783" s="169"/>
    </row>
    <row r="1784" spans="1:1">
      <c r="A1784" s="169"/>
    </row>
    <row r="1785" spans="1:1">
      <c r="A1785" s="169"/>
    </row>
    <row r="1786" spans="1:1">
      <c r="A1786" s="169"/>
    </row>
    <row r="1787" spans="1:1">
      <c r="A1787" s="169"/>
    </row>
    <row r="1788" spans="1:1">
      <c r="A1788" s="169"/>
    </row>
    <row r="1789" spans="1:1">
      <c r="A1789" s="169"/>
    </row>
    <row r="1790" spans="1:1">
      <c r="A1790" s="169"/>
    </row>
    <row r="1791" spans="1:1">
      <c r="A1791" s="169"/>
    </row>
    <row r="1792" spans="1:1">
      <c r="A1792" s="169"/>
    </row>
    <row r="1793" spans="1:1">
      <c r="A1793" s="169"/>
    </row>
    <row r="1794" spans="1:1">
      <c r="A1794" s="169"/>
    </row>
    <row r="1795" spans="1:1">
      <c r="A1795" s="169"/>
    </row>
    <row r="1796" spans="1:1">
      <c r="A1796" s="169"/>
    </row>
    <row r="1797" spans="1:1">
      <c r="A1797" s="169"/>
    </row>
    <row r="1798" spans="1:1">
      <c r="A1798" s="169"/>
    </row>
    <row r="1799" spans="1:1">
      <c r="A1799" s="169"/>
    </row>
    <row r="1800" spans="1:1">
      <c r="A1800" s="169"/>
    </row>
    <row r="1801" spans="1:1">
      <c r="A1801" s="169"/>
    </row>
    <row r="1802" spans="1:1">
      <c r="A1802" s="169"/>
    </row>
    <row r="1803" spans="1:1">
      <c r="A1803" s="169"/>
    </row>
    <row r="1804" spans="1:1">
      <c r="A1804" s="169"/>
    </row>
    <row r="1805" spans="1:1">
      <c r="A1805" s="169"/>
    </row>
    <row r="1806" spans="1:1">
      <c r="A1806" s="169"/>
    </row>
    <row r="1807" spans="1:1">
      <c r="A1807" s="169"/>
    </row>
    <row r="1808" spans="1:1">
      <c r="A1808" s="169"/>
    </row>
    <row r="1809" spans="1:1">
      <c r="A1809" s="169"/>
    </row>
    <row r="1810" spans="1:1">
      <c r="A1810" s="169"/>
    </row>
    <row r="1811" spans="1:1">
      <c r="A1811" s="169"/>
    </row>
    <row r="1812" spans="1:1">
      <c r="A1812" s="169"/>
    </row>
    <row r="1813" spans="1:1">
      <c r="A1813" s="169"/>
    </row>
    <row r="1814" spans="1:1">
      <c r="A1814" s="169"/>
    </row>
    <row r="1815" spans="1:1">
      <c r="A1815" s="169"/>
    </row>
    <row r="1816" spans="1:1">
      <c r="A1816" s="169"/>
    </row>
    <row r="1817" spans="1:1">
      <c r="A1817" s="169"/>
    </row>
    <row r="1818" spans="1:1">
      <c r="A1818" s="169"/>
    </row>
    <row r="1819" spans="1:1">
      <c r="A1819" s="169"/>
    </row>
    <row r="1820" spans="1:1">
      <c r="A1820" s="169"/>
    </row>
    <row r="1821" spans="1:1">
      <c r="A1821" s="169"/>
    </row>
    <row r="1822" spans="1:1">
      <c r="A1822" s="169"/>
    </row>
    <row r="1823" spans="1:1">
      <c r="A1823" s="169"/>
    </row>
    <row r="1824" spans="1:1">
      <c r="A1824" s="169"/>
    </row>
    <row r="1825" spans="1:1">
      <c r="A1825" s="169"/>
    </row>
    <row r="1826" spans="1:1">
      <c r="A1826" s="169"/>
    </row>
    <row r="1827" spans="1:1">
      <c r="A1827" s="169"/>
    </row>
    <row r="1828" spans="1:1">
      <c r="A1828" s="169"/>
    </row>
    <row r="1829" spans="1:1">
      <c r="A1829" s="169"/>
    </row>
    <row r="1830" spans="1:1">
      <c r="A1830" s="169"/>
    </row>
    <row r="1831" spans="1:1">
      <c r="A1831" s="169"/>
    </row>
    <row r="1832" spans="1:1">
      <c r="A1832" s="169"/>
    </row>
    <row r="1833" spans="1:1">
      <c r="A1833" s="169"/>
    </row>
    <row r="1834" spans="1:1">
      <c r="A1834" s="169"/>
    </row>
    <row r="1835" spans="1:1">
      <c r="A1835" s="169"/>
    </row>
    <row r="1836" spans="1:1">
      <c r="A1836" s="169"/>
    </row>
    <row r="1837" spans="1:1">
      <c r="A1837" s="169"/>
    </row>
    <row r="1838" spans="1:1">
      <c r="A1838" s="169"/>
    </row>
    <row r="1839" spans="1:1">
      <c r="A1839" s="169"/>
    </row>
    <row r="1840" spans="1:1">
      <c r="A1840" s="169"/>
    </row>
    <row r="1841" spans="1:1">
      <c r="A1841" s="169"/>
    </row>
    <row r="1842" spans="1:1">
      <c r="A1842" s="169"/>
    </row>
    <row r="1843" spans="1:1">
      <c r="A1843" s="169"/>
    </row>
    <row r="1844" spans="1:1">
      <c r="A1844" s="169"/>
    </row>
    <row r="1845" spans="1:1">
      <c r="A1845" s="169"/>
    </row>
    <row r="1846" spans="1:1">
      <c r="A1846" s="169"/>
    </row>
    <row r="1847" spans="1:1">
      <c r="A1847" s="169"/>
    </row>
    <row r="1848" spans="1:1">
      <c r="A1848" s="169"/>
    </row>
    <row r="1849" spans="1:1">
      <c r="A1849" s="169"/>
    </row>
    <row r="1850" spans="1:1">
      <c r="A1850" s="169"/>
    </row>
    <row r="1851" spans="1:1">
      <c r="A1851" s="169"/>
    </row>
    <row r="1852" spans="1:1">
      <c r="A1852" s="169"/>
    </row>
    <row r="1853" spans="1:1">
      <c r="A1853" s="169"/>
    </row>
    <row r="1854" spans="1:1">
      <c r="A1854" s="169"/>
    </row>
    <row r="1855" spans="1:1">
      <c r="A1855" s="169"/>
    </row>
    <row r="1856" spans="1:1">
      <c r="A1856" s="169"/>
    </row>
    <row r="1857" spans="1:1">
      <c r="A1857" s="169"/>
    </row>
    <row r="1858" spans="1:1">
      <c r="A1858" s="169"/>
    </row>
    <row r="1859" spans="1:1">
      <c r="A1859" s="169"/>
    </row>
    <row r="1860" spans="1:1">
      <c r="A1860" s="169"/>
    </row>
    <row r="1861" spans="1:1">
      <c r="A1861" s="169"/>
    </row>
    <row r="1862" spans="1:1">
      <c r="A1862" s="169"/>
    </row>
    <row r="1863" spans="1:1">
      <c r="A1863" s="169"/>
    </row>
    <row r="1864" spans="1:1">
      <c r="A1864" s="169"/>
    </row>
    <row r="1865" spans="1:1">
      <c r="A1865" s="169"/>
    </row>
    <row r="1866" spans="1:1">
      <c r="A1866" s="169"/>
    </row>
    <row r="1867" spans="1:1">
      <c r="A1867" s="169"/>
    </row>
    <row r="1868" spans="1:1">
      <c r="A1868" s="169"/>
    </row>
    <row r="1869" spans="1:1">
      <c r="A1869" s="169"/>
    </row>
    <row r="1870" spans="1:1">
      <c r="A1870" s="169"/>
    </row>
    <row r="1871" spans="1:1">
      <c r="A1871" s="169"/>
    </row>
    <row r="1872" spans="1:1">
      <c r="A1872" s="169"/>
    </row>
    <row r="1873" spans="1:1">
      <c r="A1873" s="169"/>
    </row>
    <row r="1874" spans="1:1">
      <c r="A1874" s="169"/>
    </row>
    <row r="1875" spans="1:1">
      <c r="A1875" s="169"/>
    </row>
    <row r="1876" spans="1:1">
      <c r="A1876" s="169"/>
    </row>
    <row r="1877" spans="1:1">
      <c r="A1877" s="169"/>
    </row>
    <row r="1878" spans="1:1">
      <c r="A1878" s="169"/>
    </row>
    <row r="1879" spans="1:1">
      <c r="A1879" s="169"/>
    </row>
    <row r="1880" spans="1:1">
      <c r="A1880" s="169"/>
    </row>
    <row r="1881" spans="1:1">
      <c r="A1881" s="169"/>
    </row>
    <row r="1882" spans="1:1">
      <c r="A1882" s="169"/>
    </row>
    <row r="1883" spans="1:1">
      <c r="A1883" s="169"/>
    </row>
    <row r="1884" spans="1:1">
      <c r="A1884" s="169"/>
    </row>
    <row r="1885" spans="1:1">
      <c r="A1885" s="169"/>
    </row>
    <row r="1886" spans="1:1">
      <c r="A1886" s="169"/>
    </row>
    <row r="1887" spans="1:1">
      <c r="A1887" s="169"/>
    </row>
    <row r="1888" spans="1:1">
      <c r="A1888" s="169"/>
    </row>
    <row r="1889" spans="1:1">
      <c r="A1889" s="169"/>
    </row>
    <row r="1890" spans="1:1">
      <c r="A1890" s="169"/>
    </row>
    <row r="1891" spans="1:1">
      <c r="A1891" s="169"/>
    </row>
    <row r="1892" spans="1:1">
      <c r="A1892" s="169"/>
    </row>
    <row r="1893" spans="1:1">
      <c r="A1893" s="169"/>
    </row>
    <row r="1894" spans="1:1">
      <c r="A1894" s="169"/>
    </row>
    <row r="1895" spans="1:1">
      <c r="A1895" s="169"/>
    </row>
    <row r="1896" spans="1:1">
      <c r="A1896" s="169"/>
    </row>
    <row r="1897" spans="1:1">
      <c r="A1897" s="169"/>
    </row>
    <row r="1898" spans="1:1">
      <c r="A1898" s="169"/>
    </row>
    <row r="1899" spans="1:1">
      <c r="A1899" s="169"/>
    </row>
    <row r="1900" spans="1:1">
      <c r="A1900" s="169"/>
    </row>
    <row r="1901" spans="1:1">
      <c r="A1901" s="169"/>
    </row>
    <row r="1902" spans="1:1">
      <c r="A1902" s="169"/>
    </row>
    <row r="1903" spans="1:1">
      <c r="A1903" s="169"/>
    </row>
    <row r="1904" spans="1:1">
      <c r="A1904" s="169"/>
    </row>
    <row r="1905" spans="1:1">
      <c r="A1905" s="169"/>
    </row>
    <row r="1906" spans="1:1">
      <c r="A1906" s="169"/>
    </row>
    <row r="1907" spans="1:1">
      <c r="A1907" s="169"/>
    </row>
    <row r="1908" spans="1:1">
      <c r="A1908" s="169"/>
    </row>
    <row r="1909" spans="1:1">
      <c r="A1909" s="169"/>
    </row>
    <row r="1910" spans="1:1">
      <c r="A1910" s="169"/>
    </row>
    <row r="1911" spans="1:1">
      <c r="A1911" s="169"/>
    </row>
    <row r="1912" spans="1:1">
      <c r="A1912" s="169"/>
    </row>
    <row r="1913" spans="1:1">
      <c r="A1913" s="169"/>
    </row>
    <row r="1914" spans="1:1">
      <c r="A1914" s="169"/>
    </row>
    <row r="1915" spans="1:1">
      <c r="A1915" s="169"/>
    </row>
    <row r="1916" spans="1:1">
      <c r="A1916" s="169"/>
    </row>
    <row r="1917" spans="1:1">
      <c r="A1917" s="169"/>
    </row>
    <row r="1918" spans="1:1">
      <c r="A1918" s="169"/>
    </row>
    <row r="1919" spans="1:1">
      <c r="A1919" s="169"/>
    </row>
    <row r="1920" spans="1:1">
      <c r="A1920" s="169"/>
    </row>
    <row r="1921" spans="1:1">
      <c r="A1921" s="169"/>
    </row>
    <row r="1922" spans="1:1">
      <c r="A1922" s="169"/>
    </row>
    <row r="1923" spans="1:1">
      <c r="A1923" s="169"/>
    </row>
    <row r="1924" spans="1:1">
      <c r="A1924" s="169"/>
    </row>
    <row r="1925" spans="1:1">
      <c r="A1925" s="169"/>
    </row>
    <row r="1926" spans="1:1">
      <c r="A1926" s="169"/>
    </row>
    <row r="1927" spans="1:1">
      <c r="A1927" s="169"/>
    </row>
    <row r="1928" spans="1:1">
      <c r="A1928" s="169"/>
    </row>
    <row r="1929" spans="1:1">
      <c r="A1929" s="169"/>
    </row>
    <row r="1930" spans="1:1">
      <c r="A1930" s="169"/>
    </row>
    <row r="1931" spans="1:1">
      <c r="A1931" s="169"/>
    </row>
    <row r="1932" spans="1:1">
      <c r="A1932" s="169"/>
    </row>
    <row r="1933" spans="1:1">
      <c r="A1933" s="169"/>
    </row>
    <row r="1934" spans="1:1">
      <c r="A1934" s="169"/>
    </row>
    <row r="1935" spans="1:1">
      <c r="A1935" s="169"/>
    </row>
    <row r="1936" spans="1:1">
      <c r="A1936" s="169"/>
    </row>
    <row r="1937" spans="1:1">
      <c r="A1937" s="169"/>
    </row>
    <row r="1938" spans="1:1">
      <c r="A1938" s="169"/>
    </row>
    <row r="1939" spans="1:1">
      <c r="A1939" s="169"/>
    </row>
    <row r="1940" spans="1:1">
      <c r="A1940" s="169"/>
    </row>
    <row r="1941" spans="1:1">
      <c r="A1941" s="169"/>
    </row>
    <row r="1942" spans="1:1">
      <c r="A1942" s="169"/>
    </row>
    <row r="1943" spans="1:1">
      <c r="A1943" s="169"/>
    </row>
    <row r="1944" spans="1:1">
      <c r="A1944" s="169"/>
    </row>
    <row r="1945" spans="1:1">
      <c r="A1945" s="169"/>
    </row>
    <row r="1946" spans="1:1">
      <c r="A1946" s="169"/>
    </row>
    <row r="1947" spans="1:1">
      <c r="A1947" s="169"/>
    </row>
    <row r="1948" spans="1:1">
      <c r="A1948" s="169"/>
    </row>
    <row r="1949" spans="1:1">
      <c r="A1949" s="169"/>
    </row>
    <row r="1950" spans="1:1">
      <c r="A1950" s="169"/>
    </row>
    <row r="1951" spans="1:1">
      <c r="A1951" s="169"/>
    </row>
    <row r="1952" spans="1:1">
      <c r="A1952" s="169"/>
    </row>
    <row r="1953" spans="1:1">
      <c r="A1953" s="169"/>
    </row>
    <row r="1954" spans="1:1">
      <c r="A1954" s="169"/>
    </row>
    <row r="1955" spans="1:1">
      <c r="A1955" s="169"/>
    </row>
    <row r="1956" spans="1:1">
      <c r="A1956" s="169"/>
    </row>
    <row r="1957" spans="1:1">
      <c r="A1957" s="169"/>
    </row>
    <row r="1958" spans="1:1">
      <c r="A1958" s="169"/>
    </row>
    <row r="1959" spans="1:1">
      <c r="A1959" s="169"/>
    </row>
    <row r="1960" spans="1:1">
      <c r="A1960" s="169"/>
    </row>
    <row r="1961" spans="1:1">
      <c r="A1961" s="169"/>
    </row>
    <row r="1962" spans="1:1">
      <c r="A1962" s="169"/>
    </row>
    <row r="1963" spans="1:1">
      <c r="A1963" s="169"/>
    </row>
    <row r="1964" spans="1:1">
      <c r="A1964" s="169"/>
    </row>
    <row r="1965" spans="1:1">
      <c r="A1965" s="169"/>
    </row>
    <row r="1966" spans="1:1">
      <c r="A1966" s="169"/>
    </row>
    <row r="1967" spans="1:1">
      <c r="A1967" s="169"/>
    </row>
    <row r="1968" spans="1:1">
      <c r="A1968" s="169"/>
    </row>
    <row r="1969" spans="1:1">
      <c r="A1969" s="169"/>
    </row>
    <row r="1970" spans="1:1">
      <c r="A1970" s="169"/>
    </row>
    <row r="1971" spans="1:1">
      <c r="A1971" s="169"/>
    </row>
    <row r="1972" spans="1:1">
      <c r="A1972" s="169"/>
    </row>
    <row r="1973" spans="1:1">
      <c r="A1973" s="169"/>
    </row>
    <row r="1974" spans="1:1">
      <c r="A1974" s="169"/>
    </row>
    <row r="1975" spans="1:1">
      <c r="A1975" s="169"/>
    </row>
    <row r="1976" spans="1:1">
      <c r="A1976" s="169"/>
    </row>
    <row r="1977" spans="1:1">
      <c r="A1977" s="169"/>
    </row>
    <row r="1978" spans="1:1">
      <c r="A1978" s="169"/>
    </row>
    <row r="1979" spans="1:1">
      <c r="A1979" s="169"/>
    </row>
    <row r="1980" spans="1:1">
      <c r="A1980" s="169"/>
    </row>
    <row r="1981" spans="1:1">
      <c r="A1981" s="169"/>
    </row>
    <row r="1982" spans="1:1">
      <c r="A1982" s="169"/>
    </row>
    <row r="1983" spans="1:1">
      <c r="A1983" s="169"/>
    </row>
    <row r="1984" spans="1:1">
      <c r="A1984" s="169"/>
    </row>
    <row r="1985" spans="1:1">
      <c r="A1985" s="169"/>
    </row>
    <row r="1986" spans="1:1">
      <c r="A1986" s="169"/>
    </row>
    <row r="1987" spans="1:1">
      <c r="A1987" s="169"/>
    </row>
    <row r="1988" spans="1:1">
      <c r="A1988" s="169"/>
    </row>
    <row r="1989" spans="1:1">
      <c r="A1989" s="169"/>
    </row>
    <row r="1990" spans="1:1">
      <c r="A1990" s="169"/>
    </row>
    <row r="1991" spans="1:1">
      <c r="A1991" s="169"/>
    </row>
    <row r="1992" spans="1:1">
      <c r="A1992" s="169"/>
    </row>
    <row r="1993" spans="1:1">
      <c r="A1993" s="169"/>
    </row>
    <row r="1994" spans="1:1">
      <c r="A1994" s="169"/>
    </row>
    <row r="1995" spans="1:1">
      <c r="A1995" s="169"/>
    </row>
    <row r="1996" spans="1:1">
      <c r="A1996" s="169"/>
    </row>
    <row r="1997" spans="1:1">
      <c r="A1997" s="169"/>
    </row>
    <row r="1998" spans="1:1">
      <c r="A1998" s="169"/>
    </row>
    <row r="1999" spans="1:1">
      <c r="A1999" s="169"/>
    </row>
    <row r="2000" spans="1:1">
      <c r="A2000" s="169"/>
    </row>
    <row r="2001" spans="1:1">
      <c r="A2001" s="169"/>
    </row>
    <row r="2002" spans="1:1">
      <c r="A2002" s="169"/>
    </row>
    <row r="2003" spans="1:1">
      <c r="A2003" s="169"/>
    </row>
    <row r="2004" spans="1:1">
      <c r="A2004" s="169"/>
    </row>
    <row r="2005" spans="1:1">
      <c r="A2005" s="169"/>
    </row>
    <row r="2006" spans="1:1">
      <c r="A2006" s="169"/>
    </row>
    <row r="2007" spans="1:1">
      <c r="A2007" s="169"/>
    </row>
    <row r="2008" spans="1:1">
      <c r="A2008" s="169"/>
    </row>
    <row r="2009" spans="1:1">
      <c r="A2009" s="169"/>
    </row>
    <row r="2010" spans="1:1">
      <c r="A2010" s="169"/>
    </row>
    <row r="2011" spans="1:1">
      <c r="A2011" s="169"/>
    </row>
    <row r="2012" spans="1:1">
      <c r="A2012" s="169"/>
    </row>
    <row r="2013" spans="1:1">
      <c r="A2013" s="169"/>
    </row>
    <row r="2014" spans="1:1">
      <c r="A2014" s="169"/>
    </row>
    <row r="2015" spans="1:1">
      <c r="A2015" s="169"/>
    </row>
    <row r="2016" spans="1:1">
      <c r="A2016" s="169"/>
    </row>
    <row r="2017" spans="1:1">
      <c r="A2017" s="169"/>
    </row>
    <row r="2018" spans="1:1">
      <c r="A2018" s="169"/>
    </row>
    <row r="2019" spans="1:1">
      <c r="A2019" s="169"/>
    </row>
    <row r="2020" spans="1:1">
      <c r="A2020" s="169"/>
    </row>
    <row r="2021" spans="1:1">
      <c r="A2021" s="169"/>
    </row>
    <row r="2022" spans="1:1">
      <c r="A2022" s="169"/>
    </row>
    <row r="2023" spans="1:1">
      <c r="A2023" s="169"/>
    </row>
    <row r="2024" spans="1:1">
      <c r="A2024" s="169"/>
    </row>
    <row r="2025" spans="1:1">
      <c r="A2025" s="169"/>
    </row>
    <row r="2026" spans="1:1">
      <c r="A2026" s="169"/>
    </row>
    <row r="2027" spans="1:1">
      <c r="A2027" s="169"/>
    </row>
    <row r="2028" spans="1:1">
      <c r="A2028" s="169"/>
    </row>
    <row r="2029" spans="1:1">
      <c r="A2029" s="169"/>
    </row>
    <row r="2030" spans="1:1">
      <c r="A2030" s="169"/>
    </row>
    <row r="2031" spans="1:1">
      <c r="A2031" s="169"/>
    </row>
    <row r="2032" spans="1:1">
      <c r="A2032" s="169"/>
    </row>
    <row r="2033" spans="1:1">
      <c r="A2033" s="169"/>
    </row>
    <row r="2034" spans="1:1">
      <c r="A2034" s="169"/>
    </row>
    <row r="2035" spans="1:1">
      <c r="A2035" s="169"/>
    </row>
    <row r="2036" spans="1:1">
      <c r="A2036" s="169"/>
    </row>
    <row r="2037" spans="1:1">
      <c r="A2037" s="169"/>
    </row>
    <row r="2038" spans="1:1">
      <c r="A2038" s="169"/>
    </row>
    <row r="2039" spans="1:1">
      <c r="A2039" s="169"/>
    </row>
    <row r="2040" spans="1:1">
      <c r="A2040" s="169"/>
    </row>
    <row r="2041" spans="1:1">
      <c r="A2041" s="169"/>
    </row>
    <row r="2042" spans="1:1">
      <c r="A2042" s="169"/>
    </row>
    <row r="2043" spans="1:1">
      <c r="A2043" s="169"/>
    </row>
    <row r="2044" spans="1:1">
      <c r="A2044" s="169"/>
    </row>
    <row r="2045" spans="1:1">
      <c r="A2045" s="169"/>
    </row>
    <row r="2046" spans="1:1">
      <c r="A2046" s="169"/>
    </row>
    <row r="2047" spans="1:1">
      <c r="A2047" s="169"/>
    </row>
    <row r="2048" spans="1:1">
      <c r="A2048" s="169"/>
    </row>
    <row r="2049" spans="1:1">
      <c r="A2049" s="169"/>
    </row>
    <row r="2050" spans="1:1">
      <c r="A2050" s="169"/>
    </row>
    <row r="2051" spans="1:1">
      <c r="A2051" s="169"/>
    </row>
    <row r="2052" spans="1:1">
      <c r="A2052" s="169"/>
    </row>
    <row r="2053" spans="1:1">
      <c r="A2053" s="169"/>
    </row>
    <row r="2054" spans="1:1">
      <c r="A2054" s="169"/>
    </row>
    <row r="2055" spans="1:1">
      <c r="A2055" s="169"/>
    </row>
    <row r="2056" spans="1:1">
      <c r="A2056" s="169"/>
    </row>
    <row r="2057" spans="1:1">
      <c r="A2057" s="169"/>
    </row>
    <row r="2058" spans="1:1">
      <c r="A2058" s="169"/>
    </row>
    <row r="2059" spans="1:1">
      <c r="A2059" s="169"/>
    </row>
    <row r="2060" spans="1:1">
      <c r="A2060" s="169"/>
    </row>
    <row r="2061" spans="1:1">
      <c r="A2061" s="169"/>
    </row>
    <row r="2062" spans="1:1">
      <c r="A2062" s="169"/>
    </row>
    <row r="2063" spans="1:1">
      <c r="A2063" s="169"/>
    </row>
    <row r="2064" spans="1:1">
      <c r="A2064" s="169"/>
    </row>
    <row r="2065" spans="1:1">
      <c r="A2065" s="169"/>
    </row>
    <row r="2066" spans="1:1">
      <c r="A2066" s="169"/>
    </row>
    <row r="2067" spans="1:1">
      <c r="A2067" s="169"/>
    </row>
    <row r="2068" spans="1:1">
      <c r="A2068" s="169"/>
    </row>
    <row r="2069" spans="1:1">
      <c r="A2069" s="169"/>
    </row>
    <row r="2070" spans="1:1">
      <c r="A2070" s="169"/>
    </row>
    <row r="2071" spans="1:1">
      <c r="A2071" s="169"/>
    </row>
    <row r="2072" spans="1:1">
      <c r="A2072" s="169"/>
    </row>
    <row r="2073" spans="1:1">
      <c r="A2073" s="169"/>
    </row>
    <row r="2074" spans="1:1">
      <c r="A2074" s="169"/>
    </row>
    <row r="2075" spans="1:1">
      <c r="A2075" s="169"/>
    </row>
    <row r="2076" spans="1:1">
      <c r="A2076" s="169"/>
    </row>
    <row r="2077" spans="1:1">
      <c r="A2077" s="169"/>
    </row>
    <row r="2078" spans="1:1">
      <c r="A2078" s="169"/>
    </row>
    <row r="2079" spans="1:1">
      <c r="A2079" s="169"/>
    </row>
    <row r="2080" spans="1:1">
      <c r="A2080" s="169"/>
    </row>
    <row r="2081" spans="1:1">
      <c r="A2081" s="169"/>
    </row>
    <row r="2082" spans="1:1">
      <c r="A2082" s="169"/>
    </row>
    <row r="2083" spans="1:1">
      <c r="A2083" s="169"/>
    </row>
    <row r="2084" spans="1:1">
      <c r="A2084" s="169"/>
    </row>
    <row r="2085" spans="1:1">
      <c r="A2085" s="169"/>
    </row>
    <row r="2086" spans="1:1">
      <c r="A2086" s="169"/>
    </row>
    <row r="2087" spans="1:1">
      <c r="A2087" s="169"/>
    </row>
    <row r="2088" spans="1:1">
      <c r="A2088" s="169"/>
    </row>
    <row r="2089" spans="1:1">
      <c r="A2089" s="169"/>
    </row>
    <row r="2090" spans="1:1">
      <c r="A2090" s="169"/>
    </row>
    <row r="2091" spans="1:1">
      <c r="A2091" s="169"/>
    </row>
    <row r="2092" spans="1:1">
      <c r="A2092" s="169"/>
    </row>
    <row r="2093" spans="1:1">
      <c r="A2093" s="169"/>
    </row>
    <row r="2094" spans="1:1">
      <c r="A2094" s="169"/>
    </row>
    <row r="2095" spans="1:1">
      <c r="A2095" s="169"/>
    </row>
    <row r="2096" spans="1:1">
      <c r="A2096" s="169"/>
    </row>
    <row r="2097" spans="1:1">
      <c r="A2097" s="169"/>
    </row>
    <row r="2098" spans="1:1">
      <c r="A2098" s="169"/>
    </row>
    <row r="2099" spans="1:1">
      <c r="A2099" s="169"/>
    </row>
    <row r="2100" spans="1:1">
      <c r="A2100" s="169"/>
    </row>
    <row r="2101" spans="1:1">
      <c r="A2101" s="169"/>
    </row>
    <row r="2102" spans="1:1">
      <c r="A2102" s="169"/>
    </row>
    <row r="2103" spans="1:1">
      <c r="A2103" s="169"/>
    </row>
    <row r="2104" spans="1:1">
      <c r="A2104" s="169"/>
    </row>
    <row r="2105" spans="1:1">
      <c r="A2105" s="169"/>
    </row>
    <row r="2106" spans="1:1">
      <c r="A2106" s="169"/>
    </row>
    <row r="2107" spans="1:1">
      <c r="A2107" s="169"/>
    </row>
    <row r="2108" spans="1:1">
      <c r="A2108" s="169"/>
    </row>
    <row r="2109" spans="1:1">
      <c r="A2109" s="169"/>
    </row>
    <row r="2110" spans="1:1">
      <c r="A2110" s="169"/>
    </row>
    <row r="2111" spans="1:1">
      <c r="A2111" s="169"/>
    </row>
    <row r="2112" spans="1:1">
      <c r="A2112" s="169"/>
    </row>
    <row r="2113" spans="1:1">
      <c r="A2113" s="169"/>
    </row>
    <row r="2114" spans="1:1">
      <c r="A2114" s="169"/>
    </row>
    <row r="2115" spans="1:1">
      <c r="A2115" s="169"/>
    </row>
    <row r="2116" spans="1:1">
      <c r="A2116" s="169"/>
    </row>
    <row r="2117" spans="1:1">
      <c r="A2117" s="169"/>
    </row>
    <row r="2118" spans="1:1">
      <c r="A2118" s="169"/>
    </row>
    <row r="2119" spans="1:1">
      <c r="A2119" s="169"/>
    </row>
    <row r="2120" spans="1:1">
      <c r="A2120" s="169"/>
    </row>
    <row r="2121" spans="1:1">
      <c r="A2121" s="169"/>
    </row>
    <row r="2122" spans="1:1">
      <c r="A2122" s="169"/>
    </row>
    <row r="2123" spans="1:1">
      <c r="A2123" s="169"/>
    </row>
    <row r="2124" spans="1:1">
      <c r="A2124" s="169"/>
    </row>
    <row r="2125" spans="1:1">
      <c r="A2125" s="169"/>
    </row>
    <row r="2126" spans="1:1">
      <c r="A2126" s="169"/>
    </row>
    <row r="2127" spans="1:1">
      <c r="A2127" s="169"/>
    </row>
    <row r="2128" spans="1:1">
      <c r="A2128" s="169"/>
    </row>
    <row r="2129" spans="1:1">
      <c r="A2129" s="169"/>
    </row>
    <row r="2130" spans="1:1">
      <c r="A2130" s="169"/>
    </row>
    <row r="2131" spans="1:1">
      <c r="A2131" s="169"/>
    </row>
    <row r="2132" spans="1:1">
      <c r="A2132" s="169"/>
    </row>
    <row r="2133" spans="1:1">
      <c r="A2133" s="169"/>
    </row>
    <row r="2134" spans="1:1">
      <c r="A2134" s="169"/>
    </row>
    <row r="2135" spans="1:1">
      <c r="A2135" s="169"/>
    </row>
    <row r="2136" spans="1:1">
      <c r="A2136" s="169"/>
    </row>
    <row r="2137" spans="1:1">
      <c r="A2137" s="169"/>
    </row>
    <row r="2138" spans="1:1">
      <c r="A2138" s="169"/>
    </row>
    <row r="2139" spans="1:1">
      <c r="A2139" s="169"/>
    </row>
    <row r="2140" spans="1:1">
      <c r="A2140" s="169"/>
    </row>
    <row r="2141" spans="1:1">
      <c r="A2141" s="169"/>
    </row>
    <row r="2142" spans="1:1">
      <c r="A2142" s="169"/>
    </row>
    <row r="2143" spans="1:1">
      <c r="A2143" s="169"/>
    </row>
    <row r="2144" spans="1:1">
      <c r="A2144" s="169"/>
    </row>
    <row r="2145" spans="1:1">
      <c r="A2145" s="169"/>
    </row>
    <row r="2146" spans="1:1">
      <c r="A2146" s="169"/>
    </row>
    <row r="2147" spans="1:1">
      <c r="A2147" s="169"/>
    </row>
    <row r="2148" spans="1:1">
      <c r="A2148" s="169"/>
    </row>
    <row r="2149" spans="1:1">
      <c r="A2149" s="169"/>
    </row>
    <row r="2150" spans="1:1">
      <c r="A2150" s="169"/>
    </row>
    <row r="2151" spans="1:1">
      <c r="A2151" s="169"/>
    </row>
    <row r="2152" spans="1:1">
      <c r="A2152" s="169"/>
    </row>
    <row r="2153" spans="1:1">
      <c r="A2153" s="169"/>
    </row>
    <row r="2154" spans="1:1">
      <c r="A2154" s="169"/>
    </row>
    <row r="2155" spans="1:1">
      <c r="A2155" s="169"/>
    </row>
    <row r="2156" spans="1:1">
      <c r="A2156" s="169"/>
    </row>
    <row r="2157" spans="1:1">
      <c r="A2157" s="169"/>
    </row>
    <row r="2158" spans="1:1">
      <c r="A2158" s="169"/>
    </row>
    <row r="2159" spans="1:1">
      <c r="A2159" s="169"/>
    </row>
    <row r="2160" spans="1:1">
      <c r="A2160" s="169"/>
    </row>
    <row r="2161" spans="1:1">
      <c r="A2161" s="169"/>
    </row>
    <row r="2162" spans="1:1">
      <c r="A2162" s="169"/>
    </row>
    <row r="2163" spans="1:1">
      <c r="A2163" s="169"/>
    </row>
    <row r="2164" spans="1:1">
      <c r="A2164" s="169"/>
    </row>
    <row r="2165" spans="1:1">
      <c r="A2165" s="169"/>
    </row>
    <row r="2166" spans="1:1">
      <c r="A2166" s="169"/>
    </row>
    <row r="2167" spans="1:1">
      <c r="A2167" s="169"/>
    </row>
    <row r="2168" spans="1:1">
      <c r="A2168" s="169"/>
    </row>
    <row r="2169" spans="1:1">
      <c r="A2169" s="169"/>
    </row>
    <row r="2170" spans="1:1">
      <c r="A2170" s="169"/>
    </row>
    <row r="2171" spans="1:1">
      <c r="A2171" s="169"/>
    </row>
    <row r="2172" spans="1:1">
      <c r="A2172" s="169"/>
    </row>
    <row r="2173" spans="1:1">
      <c r="A2173" s="169"/>
    </row>
    <row r="2174" spans="1:1">
      <c r="A2174" s="169"/>
    </row>
    <row r="2175" spans="1:1">
      <c r="A2175" s="169"/>
    </row>
    <row r="2176" spans="1:1">
      <c r="A2176" s="169"/>
    </row>
    <row r="2177" spans="1:1">
      <c r="A2177" s="169"/>
    </row>
    <row r="2178" spans="1:1">
      <c r="A2178" s="169"/>
    </row>
    <row r="2179" spans="1:1">
      <c r="A2179" s="169"/>
    </row>
    <row r="2180" spans="1:1">
      <c r="A2180" s="169"/>
    </row>
    <row r="2181" spans="1:1">
      <c r="A2181" s="169"/>
    </row>
    <row r="2182" spans="1:1">
      <c r="A2182" s="169"/>
    </row>
    <row r="2183" spans="1:1">
      <c r="A2183" s="169"/>
    </row>
    <row r="2184" spans="1:1">
      <c r="A2184" s="169"/>
    </row>
    <row r="2185" spans="1:1">
      <c r="A2185" s="169"/>
    </row>
    <row r="2186" spans="1:1">
      <c r="A2186" s="169"/>
    </row>
    <row r="2187" spans="1:1">
      <c r="A2187" s="169"/>
    </row>
    <row r="2188" spans="1:1">
      <c r="A2188" s="169"/>
    </row>
    <row r="2189" spans="1:1">
      <c r="A2189" s="169"/>
    </row>
    <row r="2190" spans="1:1">
      <c r="A2190" s="169"/>
    </row>
    <row r="2191" spans="1:1">
      <c r="A2191" s="169"/>
    </row>
    <row r="2192" spans="1:1">
      <c r="A2192" s="169"/>
    </row>
    <row r="2193" spans="1:1">
      <c r="A2193" s="169"/>
    </row>
    <row r="2194" spans="1:1">
      <c r="A2194" s="169"/>
    </row>
    <row r="2195" spans="1:1">
      <c r="A2195" s="169"/>
    </row>
    <row r="2196" spans="1:1">
      <c r="A2196" s="169"/>
    </row>
    <row r="2197" spans="1:1">
      <c r="A2197" s="169"/>
    </row>
    <row r="2198" spans="1:1">
      <c r="A2198" s="169"/>
    </row>
    <row r="2199" spans="1:1">
      <c r="A2199" s="169"/>
    </row>
    <row r="2200" spans="1:1">
      <c r="A2200" s="169"/>
    </row>
    <row r="2201" spans="1:1">
      <c r="A2201" s="169"/>
    </row>
    <row r="2202" spans="1:1">
      <c r="A2202" s="169"/>
    </row>
    <row r="2203" spans="1:1">
      <c r="A2203" s="169"/>
    </row>
    <row r="2204" spans="1:1">
      <c r="A2204" s="169"/>
    </row>
    <row r="2205" spans="1:1">
      <c r="A2205" s="169"/>
    </row>
    <row r="2206" spans="1:1">
      <c r="A2206" s="169"/>
    </row>
    <row r="2207" spans="1:1">
      <c r="A2207" s="169"/>
    </row>
    <row r="2208" spans="1:1">
      <c r="A2208" s="169"/>
    </row>
    <row r="2209" spans="1:1">
      <c r="A2209" s="169"/>
    </row>
    <row r="2210" spans="1:1">
      <c r="A2210" s="169"/>
    </row>
    <row r="2211" spans="1:1">
      <c r="A2211" s="169"/>
    </row>
    <row r="2212" spans="1:1">
      <c r="A2212" s="169"/>
    </row>
    <row r="2213" spans="1:1">
      <c r="A2213" s="169"/>
    </row>
    <row r="2214" spans="1:1">
      <c r="A2214" s="169"/>
    </row>
    <row r="2215" spans="1:1">
      <c r="A2215" s="169"/>
    </row>
    <row r="2216" spans="1:1">
      <c r="A2216" s="169"/>
    </row>
    <row r="2217" spans="1:1">
      <c r="A2217" s="169"/>
    </row>
    <row r="2218" spans="1:1">
      <c r="A2218" s="169"/>
    </row>
    <row r="2219" spans="1:1">
      <c r="A2219" s="169"/>
    </row>
    <row r="2220" spans="1:1">
      <c r="A2220" s="169"/>
    </row>
    <row r="2221" spans="1:1">
      <c r="A2221" s="169"/>
    </row>
    <row r="2222" spans="1:1">
      <c r="A2222" s="169"/>
    </row>
    <row r="2223" spans="1:1">
      <c r="A2223" s="169"/>
    </row>
    <row r="2224" spans="1:1">
      <c r="A2224" s="169"/>
    </row>
    <row r="2225" spans="1:1">
      <c r="A2225" s="169"/>
    </row>
    <row r="2226" spans="1:1">
      <c r="A2226" s="169"/>
    </row>
    <row r="2227" spans="1:1">
      <c r="A2227" s="169"/>
    </row>
    <row r="2228" spans="1:1">
      <c r="A2228" s="169"/>
    </row>
    <row r="2229" spans="1:1">
      <c r="A2229" s="169"/>
    </row>
    <row r="2230" spans="1:1">
      <c r="A2230" s="169"/>
    </row>
    <row r="2231" spans="1:1">
      <c r="A2231" s="169"/>
    </row>
    <row r="2232" spans="1:1">
      <c r="A2232" s="169"/>
    </row>
    <row r="2233" spans="1:1">
      <c r="A2233" s="169"/>
    </row>
    <row r="2234" spans="1:1">
      <c r="A2234" s="169"/>
    </row>
    <row r="2235" spans="1:1">
      <c r="A2235" s="169"/>
    </row>
    <row r="2236" spans="1:1">
      <c r="A2236" s="169"/>
    </row>
    <row r="2237" spans="1:1">
      <c r="A2237" s="169"/>
    </row>
    <row r="2238" spans="1:1">
      <c r="A2238" s="169"/>
    </row>
    <row r="2239" spans="1:1">
      <c r="A2239" s="169"/>
    </row>
    <row r="2240" spans="1:1">
      <c r="A2240" s="169"/>
    </row>
    <row r="2241" spans="1:1">
      <c r="A2241" s="169"/>
    </row>
    <row r="2242" spans="1:1">
      <c r="A2242" s="169"/>
    </row>
    <row r="2243" spans="1:1">
      <c r="A2243" s="169"/>
    </row>
    <row r="2244" spans="1:1">
      <c r="A2244" s="169"/>
    </row>
    <row r="2245" spans="1:1">
      <c r="A2245" s="169"/>
    </row>
    <row r="2246" spans="1:1">
      <c r="A2246" s="169"/>
    </row>
    <row r="2247" spans="1:1">
      <c r="A2247" s="169"/>
    </row>
    <row r="2248" spans="1:1">
      <c r="A2248" s="169"/>
    </row>
    <row r="2249" spans="1:1">
      <c r="A2249" s="169"/>
    </row>
    <row r="2250" spans="1:1">
      <c r="A2250" s="169"/>
    </row>
    <row r="2251" spans="1:1">
      <c r="A2251" s="169"/>
    </row>
    <row r="2252" spans="1:1">
      <c r="A2252" s="169"/>
    </row>
    <row r="2253" spans="1:1">
      <c r="A2253" s="169"/>
    </row>
    <row r="2254" spans="1:1">
      <c r="A2254" s="169"/>
    </row>
    <row r="2255" spans="1:1">
      <c r="A2255" s="169"/>
    </row>
    <row r="2256" spans="1:1">
      <c r="A2256" s="169"/>
    </row>
    <row r="2257" spans="1:1">
      <c r="A2257" s="169"/>
    </row>
    <row r="2258" spans="1:1">
      <c r="A2258" s="169"/>
    </row>
    <row r="2259" spans="1:1">
      <c r="A2259" s="169"/>
    </row>
    <row r="2260" spans="1:1">
      <c r="A2260" s="169"/>
    </row>
    <row r="2261" spans="1:1">
      <c r="A2261" s="169"/>
    </row>
    <row r="2262" spans="1:1">
      <c r="A2262" s="169"/>
    </row>
    <row r="2263" spans="1:1">
      <c r="A2263" s="169"/>
    </row>
    <row r="2264" spans="1:1">
      <c r="A2264" s="169"/>
    </row>
    <row r="2265" spans="1:1">
      <c r="A2265" s="169"/>
    </row>
    <row r="2266" spans="1:1">
      <c r="A2266" s="169"/>
    </row>
    <row r="2267" spans="1:1">
      <c r="A2267" s="169"/>
    </row>
    <row r="2268" spans="1:1">
      <c r="A2268" s="169"/>
    </row>
    <row r="2269" spans="1:1">
      <c r="A2269" s="169"/>
    </row>
    <row r="2270" spans="1:1">
      <c r="A2270" s="169"/>
    </row>
    <row r="2271" spans="1:1">
      <c r="A2271" s="169"/>
    </row>
    <row r="2272" spans="1:1">
      <c r="A2272" s="169"/>
    </row>
    <row r="2273" spans="1:1">
      <c r="A2273" s="169"/>
    </row>
    <row r="2274" spans="1:1">
      <c r="A2274" s="169"/>
    </row>
    <row r="2275" spans="1:1">
      <c r="A2275" s="169"/>
    </row>
    <row r="2276" spans="1:1">
      <c r="A2276" s="169"/>
    </row>
    <row r="2277" spans="1:1">
      <c r="A2277" s="169"/>
    </row>
    <row r="2278" spans="1:1">
      <c r="A2278" s="169"/>
    </row>
    <row r="2279" spans="1:1">
      <c r="A2279" s="169"/>
    </row>
    <row r="2280" spans="1:1">
      <c r="A2280" s="169"/>
    </row>
    <row r="2281" spans="1:1">
      <c r="A2281" s="169"/>
    </row>
    <row r="2282" spans="1:1">
      <c r="A2282" s="169"/>
    </row>
    <row r="2283" spans="1:1">
      <c r="A2283" s="169"/>
    </row>
    <row r="2284" spans="1:1">
      <c r="A2284" s="169"/>
    </row>
    <row r="2285" spans="1:1">
      <c r="A2285" s="169"/>
    </row>
    <row r="2286" spans="1:1">
      <c r="A2286" s="169"/>
    </row>
    <row r="2287" spans="1:1">
      <c r="A2287" s="169"/>
    </row>
    <row r="2288" spans="1:1">
      <c r="A2288" s="169"/>
    </row>
    <row r="2289" spans="1:1">
      <c r="A2289" s="169"/>
    </row>
    <row r="2290" spans="1:1">
      <c r="A2290" s="169"/>
    </row>
    <row r="2291" spans="1:1">
      <c r="A2291" s="169"/>
    </row>
    <row r="2292" spans="1:1">
      <c r="A2292" s="169"/>
    </row>
    <row r="2293" spans="1:1">
      <c r="A2293" s="169"/>
    </row>
    <row r="2294" spans="1:1">
      <c r="A2294" s="169"/>
    </row>
    <row r="2295" spans="1:1">
      <c r="A2295" s="169"/>
    </row>
    <row r="2296" spans="1:1">
      <c r="A2296" s="169"/>
    </row>
    <row r="2297" spans="1:1">
      <c r="A2297" s="169"/>
    </row>
    <row r="2298" spans="1:1">
      <c r="A2298" s="169"/>
    </row>
    <row r="2299" spans="1:1">
      <c r="A2299" s="169"/>
    </row>
    <row r="2300" spans="1:1">
      <c r="A2300" s="169"/>
    </row>
    <row r="2301" spans="1:1">
      <c r="A2301" s="169"/>
    </row>
    <row r="2302" spans="1:1">
      <c r="A2302" s="169"/>
    </row>
    <row r="2303" spans="1:1">
      <c r="A2303" s="169"/>
    </row>
    <row r="2304" spans="1:1">
      <c r="A2304" s="169"/>
    </row>
    <row r="2305" spans="1:1">
      <c r="A2305" s="169"/>
    </row>
    <row r="2306" spans="1:1">
      <c r="A2306" s="169"/>
    </row>
    <row r="2307" spans="1:1">
      <c r="A2307" s="169"/>
    </row>
    <row r="2308" spans="1:1">
      <c r="A2308" s="169"/>
    </row>
    <row r="2309" spans="1:1">
      <c r="A2309" s="169"/>
    </row>
    <row r="2310" spans="1:1">
      <c r="A2310" s="169"/>
    </row>
    <row r="2311" spans="1:1">
      <c r="A2311" s="169"/>
    </row>
    <row r="2312" spans="1:1">
      <c r="A2312" s="169"/>
    </row>
    <row r="2313" spans="1:1">
      <c r="A2313" s="169"/>
    </row>
    <row r="2314" spans="1:1">
      <c r="A2314" s="169"/>
    </row>
    <row r="2315" spans="1:1">
      <c r="A2315" s="169"/>
    </row>
    <row r="2316" spans="1:1">
      <c r="A2316" s="169"/>
    </row>
    <row r="2317" spans="1:1">
      <c r="A2317" s="169"/>
    </row>
    <row r="2318" spans="1:1">
      <c r="A2318" s="169"/>
    </row>
    <row r="2319" spans="1:1">
      <c r="A2319" s="169"/>
    </row>
    <row r="2320" spans="1:1">
      <c r="A2320" s="169"/>
    </row>
    <row r="2321" spans="1:1">
      <c r="A2321" s="169"/>
    </row>
    <row r="2322" spans="1:1">
      <c r="A2322" s="169"/>
    </row>
    <row r="2323" spans="1:1">
      <c r="A2323" s="169"/>
    </row>
    <row r="2324" spans="1:1">
      <c r="A2324" s="169"/>
    </row>
    <row r="2325" spans="1:1">
      <c r="A2325" s="169"/>
    </row>
    <row r="2326" spans="1:1">
      <c r="A2326" s="169"/>
    </row>
    <row r="2327" spans="1:1">
      <c r="A2327" s="169"/>
    </row>
    <row r="2328" spans="1:1">
      <c r="A2328" s="169"/>
    </row>
    <row r="2329" spans="1:1">
      <c r="A2329" s="169"/>
    </row>
    <row r="2330" spans="1:1">
      <c r="A2330" s="169"/>
    </row>
    <row r="2331" spans="1:1">
      <c r="A2331" s="169"/>
    </row>
    <row r="2332" spans="1:1">
      <c r="A2332" s="169"/>
    </row>
    <row r="2333" spans="1:1">
      <c r="A2333" s="169"/>
    </row>
    <row r="2334" spans="1:1">
      <c r="A2334" s="169"/>
    </row>
    <row r="2335" spans="1:1">
      <c r="A2335" s="169"/>
    </row>
    <row r="2336" spans="1:1">
      <c r="A2336" s="169"/>
    </row>
    <row r="2337" spans="1:1">
      <c r="A2337" s="169"/>
    </row>
    <row r="2338" spans="1:1">
      <c r="A2338" s="169"/>
    </row>
    <row r="2339" spans="1:1">
      <c r="A2339" s="169"/>
    </row>
    <row r="2340" spans="1:1">
      <c r="A2340" s="169"/>
    </row>
    <row r="2341" spans="1:1">
      <c r="A2341" s="169"/>
    </row>
    <row r="2342" spans="1:1">
      <c r="A2342" s="169"/>
    </row>
    <row r="2343" spans="1:1">
      <c r="A2343" s="169"/>
    </row>
    <row r="2344" spans="1:1">
      <c r="A2344" s="169"/>
    </row>
    <row r="2345" spans="1:1">
      <c r="A2345" s="169"/>
    </row>
    <row r="2346" spans="1:1">
      <c r="A2346" s="169"/>
    </row>
    <row r="2347" spans="1:1">
      <c r="A2347" s="169"/>
    </row>
    <row r="2348" spans="1:1">
      <c r="A2348" s="169"/>
    </row>
    <row r="2349" spans="1:1">
      <c r="A2349" s="169"/>
    </row>
    <row r="2350" spans="1:1">
      <c r="A2350" s="169"/>
    </row>
    <row r="2351" spans="1:1">
      <c r="A2351" s="169"/>
    </row>
    <row r="2352" spans="1:1">
      <c r="A2352" s="169"/>
    </row>
    <row r="2353" spans="1:1">
      <c r="A2353" s="169"/>
    </row>
    <row r="2354" spans="1:1">
      <c r="A2354" s="169"/>
    </row>
    <row r="2355" spans="1:1">
      <c r="A2355" s="169"/>
    </row>
    <row r="2356" spans="1:1">
      <c r="A2356" s="169"/>
    </row>
    <row r="2357" spans="1:1">
      <c r="A2357" s="169"/>
    </row>
    <row r="2358" spans="1:1">
      <c r="A2358" s="169"/>
    </row>
    <row r="2359" spans="1:1">
      <c r="A2359" s="169"/>
    </row>
    <row r="2360" spans="1:1">
      <c r="A2360" s="169"/>
    </row>
    <row r="2361" spans="1:1">
      <c r="A2361" s="169"/>
    </row>
    <row r="2362" spans="1:1">
      <c r="A2362" s="169"/>
    </row>
    <row r="2363" spans="1:1">
      <c r="A2363" s="169"/>
    </row>
    <row r="2364" spans="1:1">
      <c r="A2364" s="169"/>
    </row>
    <row r="2365" spans="1:1">
      <c r="A2365" s="169"/>
    </row>
    <row r="2366" spans="1:1">
      <c r="A2366" s="169"/>
    </row>
    <row r="2367" spans="1:1">
      <c r="A2367" s="169"/>
    </row>
    <row r="2368" spans="1:1">
      <c r="A2368" s="169"/>
    </row>
    <row r="2369" spans="1:1">
      <c r="A2369" s="169"/>
    </row>
    <row r="2370" spans="1:1">
      <c r="A2370" s="169"/>
    </row>
    <row r="2371" spans="1:1">
      <c r="A2371" s="169"/>
    </row>
    <row r="2372" spans="1:1">
      <c r="A2372" s="169"/>
    </row>
    <row r="2373" spans="1:1">
      <c r="A2373" s="169"/>
    </row>
    <row r="2374" spans="1:1">
      <c r="A2374" s="169"/>
    </row>
    <row r="2375" spans="1:1">
      <c r="A2375" s="169"/>
    </row>
    <row r="2376" spans="1:1">
      <c r="A2376" s="169"/>
    </row>
    <row r="2377" spans="1:1">
      <c r="A2377" s="169"/>
    </row>
    <row r="2378" spans="1:1">
      <c r="A2378" s="169"/>
    </row>
    <row r="2379" spans="1:1">
      <c r="A2379" s="169"/>
    </row>
    <row r="2380" spans="1:1">
      <c r="A2380" s="169"/>
    </row>
    <row r="2381" spans="1:1">
      <c r="A2381" s="169"/>
    </row>
    <row r="2382" spans="1:1">
      <c r="A2382" s="169"/>
    </row>
    <row r="2383" spans="1:1">
      <c r="A2383" s="169"/>
    </row>
    <row r="2384" spans="1:1">
      <c r="A2384" s="169"/>
    </row>
    <row r="2385" spans="1:1">
      <c r="A2385" s="169"/>
    </row>
    <row r="2386" spans="1:1">
      <c r="A2386" s="169"/>
    </row>
    <row r="2387" spans="1:1">
      <c r="A2387" s="169"/>
    </row>
    <row r="2388" spans="1:1">
      <c r="A2388" s="169"/>
    </row>
    <row r="2389" spans="1:1">
      <c r="A2389" s="169"/>
    </row>
    <row r="2390" spans="1:1">
      <c r="A2390" s="169"/>
    </row>
    <row r="2391" spans="1:1">
      <c r="A2391" s="169"/>
    </row>
    <row r="2392" spans="1:1">
      <c r="A2392" s="169"/>
    </row>
    <row r="2393" spans="1:1">
      <c r="A2393" s="169"/>
    </row>
    <row r="2394" spans="1:1">
      <c r="A2394" s="169"/>
    </row>
    <row r="2395" spans="1:1">
      <c r="A2395" s="169"/>
    </row>
    <row r="2396" spans="1:1">
      <c r="A2396" s="169"/>
    </row>
    <row r="2397" spans="1:1">
      <c r="A2397" s="169"/>
    </row>
    <row r="2398" spans="1:1">
      <c r="A2398" s="169"/>
    </row>
    <row r="2399" spans="1:1">
      <c r="A2399" s="169"/>
    </row>
    <row r="2400" spans="1:1">
      <c r="A2400" s="169"/>
    </row>
    <row r="2401" spans="1:1">
      <c r="A2401" s="169"/>
    </row>
    <row r="2402" spans="1:1">
      <c r="A2402" s="169"/>
    </row>
    <row r="2403" spans="1:1">
      <c r="A2403" s="169"/>
    </row>
    <row r="2404" spans="1:1">
      <c r="A2404" s="169"/>
    </row>
    <row r="2405" spans="1:1">
      <c r="A2405" s="169"/>
    </row>
    <row r="2406" spans="1:1">
      <c r="A2406" s="169"/>
    </row>
    <row r="2407" spans="1:1">
      <c r="A2407" s="169"/>
    </row>
    <row r="2408" spans="1:1">
      <c r="A2408" s="169"/>
    </row>
    <row r="2409" spans="1:1">
      <c r="A2409" s="169"/>
    </row>
    <row r="2410" spans="1:1">
      <c r="A2410" s="169"/>
    </row>
    <row r="2411" spans="1:1">
      <c r="A2411" s="169"/>
    </row>
    <row r="2412" spans="1:1">
      <c r="A2412" s="169"/>
    </row>
    <row r="2413" spans="1:1">
      <c r="A2413" s="169"/>
    </row>
    <row r="2414" spans="1:1">
      <c r="A2414" s="169"/>
    </row>
    <row r="2415" spans="1:1">
      <c r="A2415" s="169"/>
    </row>
    <row r="2416" spans="1:1">
      <c r="A2416" s="169"/>
    </row>
    <row r="2417" spans="1:1">
      <c r="A2417" s="169"/>
    </row>
    <row r="2418" spans="1:1">
      <c r="A2418" s="169"/>
    </row>
    <row r="2419" spans="1:1">
      <c r="A2419" s="169"/>
    </row>
    <row r="2420" spans="1:1">
      <c r="A2420" s="169"/>
    </row>
    <row r="2421" spans="1:1">
      <c r="A2421" s="169"/>
    </row>
    <row r="2422" spans="1:1">
      <c r="A2422" s="169"/>
    </row>
    <row r="2423" spans="1:1">
      <c r="A2423" s="169"/>
    </row>
    <row r="2424" spans="1:1">
      <c r="A2424" s="169"/>
    </row>
    <row r="2425" spans="1:1">
      <c r="A2425" s="169"/>
    </row>
    <row r="2426" spans="1:1">
      <c r="A2426" s="169"/>
    </row>
    <row r="2427" spans="1:1">
      <c r="A2427" s="169"/>
    </row>
    <row r="2428" spans="1:1">
      <c r="A2428" s="169"/>
    </row>
    <row r="2429" spans="1:1">
      <c r="A2429" s="169"/>
    </row>
    <row r="2430" spans="1:1">
      <c r="A2430" s="169"/>
    </row>
    <row r="2431" spans="1:1">
      <c r="A2431" s="169"/>
    </row>
    <row r="2432" spans="1:1">
      <c r="A2432" s="169"/>
    </row>
    <row r="2433" spans="1:1">
      <c r="A2433" s="169"/>
    </row>
    <row r="2434" spans="1:1">
      <c r="A2434" s="169"/>
    </row>
    <row r="2435" spans="1:1">
      <c r="A2435" s="169"/>
    </row>
    <row r="2436" spans="1:1">
      <c r="A2436" s="169"/>
    </row>
    <row r="2437" spans="1:1">
      <c r="A2437" s="169"/>
    </row>
    <row r="2438" spans="1:1">
      <c r="A2438" s="169"/>
    </row>
    <row r="2439" spans="1:1">
      <c r="A2439" s="169"/>
    </row>
    <row r="2440" spans="1:1">
      <c r="A2440" s="169"/>
    </row>
    <row r="2441" spans="1:1">
      <c r="A2441" s="169"/>
    </row>
    <row r="2442" spans="1:1">
      <c r="A2442" s="169"/>
    </row>
    <row r="2443" spans="1:1">
      <c r="A2443" s="169"/>
    </row>
    <row r="2444" spans="1:1">
      <c r="A2444" s="169"/>
    </row>
    <row r="2445" spans="1:1">
      <c r="A2445" s="169"/>
    </row>
    <row r="2446" spans="1:1">
      <c r="A2446" s="169"/>
    </row>
    <row r="2447" spans="1:1">
      <c r="A2447" s="169"/>
    </row>
    <row r="2448" spans="1:1">
      <c r="A2448" s="169"/>
    </row>
    <row r="2449" spans="1:1">
      <c r="A2449" s="169"/>
    </row>
    <row r="2450" spans="1:1">
      <c r="A2450" s="169"/>
    </row>
    <row r="2451" spans="1:1">
      <c r="A2451" s="169"/>
    </row>
    <row r="2452" spans="1:1">
      <c r="A2452" s="169"/>
    </row>
    <row r="2453" spans="1:1">
      <c r="A2453" s="169"/>
    </row>
    <row r="2454" spans="1:1">
      <c r="A2454" s="169"/>
    </row>
    <row r="2455" spans="1:1">
      <c r="A2455" s="169"/>
    </row>
    <row r="2456" spans="1:1">
      <c r="A2456" s="169"/>
    </row>
    <row r="2457" spans="1:1">
      <c r="A2457" s="169"/>
    </row>
    <row r="2458" spans="1:1">
      <c r="A2458" s="169"/>
    </row>
    <row r="2459" spans="1:1">
      <c r="A2459" s="169"/>
    </row>
    <row r="2460" spans="1:1">
      <c r="A2460" s="169"/>
    </row>
    <row r="2461" spans="1:1">
      <c r="A2461" s="169"/>
    </row>
    <row r="2462" spans="1:1">
      <c r="A2462" s="169"/>
    </row>
    <row r="2463" spans="1:1">
      <c r="A2463" s="169"/>
    </row>
    <row r="2464" spans="1:1">
      <c r="A2464" s="169"/>
    </row>
    <row r="2465" spans="1:1">
      <c r="A2465" s="169"/>
    </row>
    <row r="2466" spans="1:1">
      <c r="A2466" s="169"/>
    </row>
    <row r="2467" spans="1:1">
      <c r="A2467" s="169"/>
    </row>
    <row r="2468" spans="1:1">
      <c r="A2468" s="169"/>
    </row>
    <row r="2469" spans="1:1">
      <c r="A2469" s="169"/>
    </row>
    <row r="2470" spans="1:1">
      <c r="A2470" s="169"/>
    </row>
    <row r="2471" spans="1:1">
      <c r="A2471" s="169"/>
    </row>
    <row r="2472" spans="1:1">
      <c r="A2472" s="169"/>
    </row>
    <row r="2473" spans="1:1">
      <c r="A2473" s="169"/>
    </row>
    <row r="2474" spans="1:1">
      <c r="A2474" s="169"/>
    </row>
    <row r="2475" spans="1:1">
      <c r="A2475" s="169"/>
    </row>
    <row r="2476" spans="1:1">
      <c r="A2476" s="169"/>
    </row>
    <row r="2477" spans="1:1">
      <c r="A2477" s="169"/>
    </row>
    <row r="2478" spans="1:1">
      <c r="A2478" s="169"/>
    </row>
    <row r="2479" spans="1:1">
      <c r="A2479" s="169"/>
    </row>
    <row r="2480" spans="1:1">
      <c r="A2480" s="169"/>
    </row>
    <row r="2481" spans="1:1">
      <c r="A2481" s="169"/>
    </row>
    <row r="2482" spans="1:1">
      <c r="A2482" s="169"/>
    </row>
    <row r="2483" spans="1:1">
      <c r="A2483" s="169"/>
    </row>
    <row r="2484" spans="1:1">
      <c r="A2484" s="169"/>
    </row>
    <row r="2485" spans="1:1">
      <c r="A2485" s="169"/>
    </row>
    <row r="2486" spans="1:1">
      <c r="A2486" s="169"/>
    </row>
    <row r="2487" spans="1:1">
      <c r="A2487" s="169"/>
    </row>
    <row r="2488" spans="1:1">
      <c r="A2488" s="169"/>
    </row>
    <row r="2489" spans="1:1">
      <c r="A2489" s="169"/>
    </row>
    <row r="2490" spans="1:1">
      <c r="A2490" s="169"/>
    </row>
    <row r="2491" spans="1:1">
      <c r="A2491" s="169"/>
    </row>
    <row r="2492" spans="1:1">
      <c r="A2492" s="169"/>
    </row>
    <row r="2493" spans="1:1">
      <c r="A2493" s="169"/>
    </row>
    <row r="2494" spans="1:1">
      <c r="A2494" s="169"/>
    </row>
    <row r="2495" spans="1:1">
      <c r="A2495" s="169"/>
    </row>
    <row r="2496" spans="1:1">
      <c r="A2496" s="169"/>
    </row>
    <row r="2497" spans="1:1">
      <c r="A2497" s="169"/>
    </row>
    <row r="2498" spans="1:1">
      <c r="A2498" s="169"/>
    </row>
    <row r="2499" spans="1:1">
      <c r="A2499" s="169"/>
    </row>
    <row r="2500" spans="1:1">
      <c r="A2500" s="169"/>
    </row>
    <row r="2501" spans="1:1">
      <c r="A2501" s="169"/>
    </row>
    <row r="2502" spans="1:1">
      <c r="A2502" s="169"/>
    </row>
    <row r="2503" spans="1:1">
      <c r="A2503" s="169"/>
    </row>
    <row r="2504" spans="1:1">
      <c r="A2504" s="169"/>
    </row>
    <row r="2505" spans="1:1">
      <c r="A2505" s="169"/>
    </row>
    <row r="2506" spans="1:1">
      <c r="A2506" s="169"/>
    </row>
    <row r="2507" spans="1:1">
      <c r="A2507" s="169"/>
    </row>
    <row r="2508" spans="1:1">
      <c r="A2508" s="169"/>
    </row>
    <row r="2509" spans="1:1">
      <c r="A2509" s="169"/>
    </row>
    <row r="2510" spans="1:1">
      <c r="A2510" s="169"/>
    </row>
    <row r="2511" spans="1:1">
      <c r="A2511" s="169"/>
    </row>
    <row r="2512" spans="1:1">
      <c r="A2512" s="169"/>
    </row>
    <row r="2513" spans="1:1">
      <c r="A2513" s="169"/>
    </row>
    <row r="2514" spans="1:1">
      <c r="A2514" s="169"/>
    </row>
    <row r="2515" spans="1:1">
      <c r="A2515" s="169"/>
    </row>
    <row r="2516" spans="1:1">
      <c r="A2516" s="169"/>
    </row>
    <row r="2517" spans="1:1">
      <c r="A2517" s="169"/>
    </row>
    <row r="2518" spans="1:1">
      <c r="A2518" s="169"/>
    </row>
    <row r="2519" spans="1:1">
      <c r="A2519" s="169"/>
    </row>
    <row r="2520" spans="1:1">
      <c r="A2520" s="169"/>
    </row>
    <row r="2521" spans="1:1">
      <c r="A2521" s="169"/>
    </row>
    <row r="2522" spans="1:1">
      <c r="A2522" s="169"/>
    </row>
    <row r="2523" spans="1:1">
      <c r="A2523" s="169"/>
    </row>
    <row r="2524" spans="1:1">
      <c r="A2524" s="169"/>
    </row>
    <row r="2525" spans="1:1">
      <c r="A2525" s="169"/>
    </row>
    <row r="2526" spans="1:1">
      <c r="A2526" s="169"/>
    </row>
    <row r="2527" spans="1:1">
      <c r="A2527" s="169"/>
    </row>
    <row r="2528" spans="1:1">
      <c r="A2528" s="169"/>
    </row>
    <row r="2529" spans="1:1">
      <c r="A2529" s="169"/>
    </row>
    <row r="2530" spans="1:1">
      <c r="A2530" s="169"/>
    </row>
    <row r="2531" spans="1:1">
      <c r="A2531" s="169"/>
    </row>
    <row r="2532" spans="1:1">
      <c r="A2532" s="169"/>
    </row>
    <row r="2533" spans="1:1">
      <c r="A2533" s="169"/>
    </row>
    <row r="2534" spans="1:1">
      <c r="A2534" s="169"/>
    </row>
    <row r="2535" spans="1:1">
      <c r="A2535" s="169"/>
    </row>
    <row r="2536" spans="1:1">
      <c r="A2536" s="169"/>
    </row>
    <row r="2537" spans="1:1">
      <c r="A2537" s="169"/>
    </row>
    <row r="2538" spans="1:1">
      <c r="A2538" s="169"/>
    </row>
    <row r="2539" spans="1:1">
      <c r="A2539" s="169"/>
    </row>
    <row r="2540" spans="1:1">
      <c r="A2540" s="169"/>
    </row>
    <row r="2541" spans="1:1">
      <c r="A2541" s="169"/>
    </row>
    <row r="2542" spans="1:1">
      <c r="A2542" s="169"/>
    </row>
    <row r="2543" spans="1:1">
      <c r="A2543" s="169"/>
    </row>
    <row r="2544" spans="1:1">
      <c r="A2544" s="169"/>
    </row>
    <row r="2545" spans="1:1">
      <c r="A2545" s="169"/>
    </row>
    <row r="2546" spans="1:1">
      <c r="A2546" s="169"/>
    </row>
    <row r="2547" spans="1:1">
      <c r="A2547" s="169"/>
    </row>
    <row r="2548" spans="1:1">
      <c r="A2548" s="169"/>
    </row>
    <row r="2549" spans="1:1">
      <c r="A2549" s="169"/>
    </row>
    <row r="2550" spans="1:1">
      <c r="A2550" s="169"/>
    </row>
    <row r="2551" spans="1:1">
      <c r="A2551" s="169"/>
    </row>
    <row r="2552" spans="1:1">
      <c r="A2552" s="169"/>
    </row>
    <row r="2553" spans="1:1">
      <c r="A2553" s="169"/>
    </row>
    <row r="2554" spans="1:1">
      <c r="A2554" s="169"/>
    </row>
    <row r="2555" spans="1:1">
      <c r="A2555" s="169"/>
    </row>
    <row r="2556" spans="1:1">
      <c r="A2556" s="169"/>
    </row>
    <row r="2557" spans="1:1">
      <c r="A2557" s="169"/>
    </row>
    <row r="2558" spans="1:1">
      <c r="A2558" s="169"/>
    </row>
    <row r="2559" spans="1:1">
      <c r="A2559" s="169"/>
    </row>
    <row r="2560" spans="1:1">
      <c r="A2560" s="169"/>
    </row>
    <row r="2561" spans="1:1">
      <c r="A2561" s="169"/>
    </row>
    <row r="2562" spans="1:1">
      <c r="A2562" s="169"/>
    </row>
    <row r="2563" spans="1:1">
      <c r="A2563" s="169"/>
    </row>
    <row r="2564" spans="1:1">
      <c r="A2564" s="169"/>
    </row>
    <row r="2565" spans="1:1">
      <c r="A2565" s="169"/>
    </row>
    <row r="2566" spans="1:1">
      <c r="A2566" s="169"/>
    </row>
    <row r="2567" spans="1:1">
      <c r="A2567" s="169"/>
    </row>
    <row r="2568" spans="1:1">
      <c r="A2568" s="169"/>
    </row>
    <row r="2569" spans="1:1">
      <c r="A2569" s="169"/>
    </row>
    <row r="2570" spans="1:1">
      <c r="A2570" s="169"/>
    </row>
    <row r="2571" spans="1:1">
      <c r="A2571" s="169"/>
    </row>
    <row r="2572" spans="1:1">
      <c r="A2572" s="169"/>
    </row>
    <row r="2573" spans="1:1">
      <c r="A2573" s="169"/>
    </row>
    <row r="2574" spans="1:1">
      <c r="A2574" s="169"/>
    </row>
    <row r="2575" spans="1:1">
      <c r="A2575" s="169"/>
    </row>
    <row r="2576" spans="1:1">
      <c r="A2576" s="169"/>
    </row>
    <row r="2577" spans="1:1">
      <c r="A2577" s="169"/>
    </row>
    <row r="2578" spans="1:1">
      <c r="A2578" s="169"/>
    </row>
    <row r="2579" spans="1:1">
      <c r="A2579" s="169"/>
    </row>
    <row r="2580" spans="1:1">
      <c r="A2580" s="169"/>
    </row>
    <row r="2581" spans="1:1">
      <c r="A2581" s="169"/>
    </row>
    <row r="2582" spans="1:1">
      <c r="A2582" s="169"/>
    </row>
    <row r="2583" spans="1:1">
      <c r="A2583" s="169"/>
    </row>
    <row r="2584" spans="1:1">
      <c r="A2584" s="169"/>
    </row>
    <row r="2585" spans="1:1">
      <c r="A2585" s="169"/>
    </row>
    <row r="2586" spans="1:1">
      <c r="A2586" s="169"/>
    </row>
    <row r="2587" spans="1:1">
      <c r="A2587" s="169"/>
    </row>
    <row r="2588" spans="1:1">
      <c r="A2588" s="169"/>
    </row>
    <row r="2589" spans="1:1">
      <c r="A2589" s="169"/>
    </row>
    <row r="2590" spans="1:1">
      <c r="A2590" s="169"/>
    </row>
    <row r="2591" spans="1:1">
      <c r="A2591" s="169"/>
    </row>
    <row r="2592" spans="1:1">
      <c r="A2592" s="169"/>
    </row>
    <row r="2593" spans="1:1">
      <c r="A2593" s="169"/>
    </row>
    <row r="2594" spans="1:1">
      <c r="A2594" s="169"/>
    </row>
    <row r="2595" spans="1:1">
      <c r="A2595" s="169"/>
    </row>
    <row r="2596" spans="1:1">
      <c r="A2596" s="169"/>
    </row>
    <row r="2597" spans="1:1">
      <c r="A2597" s="169"/>
    </row>
    <row r="2598" spans="1:1">
      <c r="A2598" s="169"/>
    </row>
    <row r="2599" spans="1:1">
      <c r="A2599" s="169"/>
    </row>
    <row r="2600" spans="1:1">
      <c r="A2600" s="169"/>
    </row>
    <row r="2601" spans="1:1">
      <c r="A2601" s="169"/>
    </row>
    <row r="2602" spans="1:1">
      <c r="A2602" s="169"/>
    </row>
    <row r="2603" spans="1:1">
      <c r="A2603" s="169"/>
    </row>
    <row r="2604" spans="1:1">
      <c r="A2604" s="169"/>
    </row>
    <row r="2605" spans="1:1">
      <c r="A2605" s="169"/>
    </row>
    <row r="2606" spans="1:1">
      <c r="A2606" s="169"/>
    </row>
    <row r="2607" spans="1:1">
      <c r="A2607" s="169"/>
    </row>
    <row r="2608" spans="1:1">
      <c r="A2608" s="169"/>
    </row>
    <row r="2609" spans="1:1">
      <c r="A2609" s="169"/>
    </row>
    <row r="2610" spans="1:1">
      <c r="A2610" s="169"/>
    </row>
    <row r="2611" spans="1:1">
      <c r="A2611" s="169"/>
    </row>
    <row r="2612" spans="1:1">
      <c r="A2612" s="169"/>
    </row>
    <row r="2613" spans="1:1">
      <c r="A2613" s="169"/>
    </row>
    <row r="2614" spans="1:1">
      <c r="A2614" s="169"/>
    </row>
    <row r="2615" spans="1:1">
      <c r="A2615" s="169"/>
    </row>
    <row r="2616" spans="1:1">
      <c r="A2616" s="169"/>
    </row>
    <row r="2617" spans="1:1">
      <c r="A2617" s="169"/>
    </row>
    <row r="2618" spans="1:1">
      <c r="A2618" s="169"/>
    </row>
    <row r="2619" spans="1:1">
      <c r="A2619" s="169"/>
    </row>
    <row r="2620" spans="1:1">
      <c r="A2620" s="169"/>
    </row>
    <row r="2621" spans="1:1">
      <c r="A2621" s="169"/>
    </row>
    <row r="2622" spans="1:1">
      <c r="A2622" s="169"/>
    </row>
    <row r="2623" spans="1:1">
      <c r="A2623" s="169"/>
    </row>
    <row r="2624" spans="1:1">
      <c r="A2624" s="169"/>
    </row>
    <row r="2625" spans="1:1">
      <c r="A2625" s="169"/>
    </row>
    <row r="2626" spans="1:1">
      <c r="A2626" s="169"/>
    </row>
    <row r="2627" spans="1:1">
      <c r="A2627" s="169"/>
    </row>
    <row r="2628" spans="1:1">
      <c r="A2628" s="169"/>
    </row>
    <row r="2629" spans="1:1">
      <c r="A2629" s="169"/>
    </row>
    <row r="2630" spans="1:1">
      <c r="A2630" s="169"/>
    </row>
    <row r="2631" spans="1:1">
      <c r="A2631" s="169"/>
    </row>
    <row r="2632" spans="1:1">
      <c r="A2632" s="169"/>
    </row>
    <row r="2633" spans="1:1">
      <c r="A2633" s="169"/>
    </row>
    <row r="2634" spans="1:1">
      <c r="A2634" s="169"/>
    </row>
    <row r="2635" spans="1:1">
      <c r="A2635" s="169"/>
    </row>
    <row r="2636" spans="1:1">
      <c r="A2636" s="169"/>
    </row>
    <row r="2637" spans="1:1">
      <c r="A2637" s="169"/>
    </row>
    <row r="2638" spans="1:1">
      <c r="A2638" s="169"/>
    </row>
    <row r="2639" spans="1:1">
      <c r="A2639" s="169"/>
    </row>
    <row r="2640" spans="1:1">
      <c r="A2640" s="169"/>
    </row>
    <row r="2641" spans="1:1">
      <c r="A2641" s="169"/>
    </row>
    <row r="2642" spans="1:1">
      <c r="A2642" s="169"/>
    </row>
    <row r="2643" spans="1:1">
      <c r="A2643" s="169"/>
    </row>
    <row r="2644" spans="1:1">
      <c r="A2644" s="169"/>
    </row>
    <row r="2645" spans="1:1">
      <c r="A2645" s="169"/>
    </row>
    <row r="2646" spans="1:1">
      <c r="A2646" s="169"/>
    </row>
    <row r="2647" spans="1:1">
      <c r="A2647" s="169"/>
    </row>
    <row r="2648" spans="1:1">
      <c r="A2648" s="169"/>
    </row>
    <row r="2649" spans="1:1">
      <c r="A2649" s="169"/>
    </row>
    <row r="2650" spans="1:1">
      <c r="A2650" s="169"/>
    </row>
    <row r="2651" spans="1:1">
      <c r="A2651" s="169"/>
    </row>
    <row r="2652" spans="1:1">
      <c r="A2652" s="169"/>
    </row>
    <row r="2653" spans="1:1">
      <c r="A2653" s="169"/>
    </row>
    <row r="2654" spans="1:1">
      <c r="A2654" s="169"/>
    </row>
    <row r="2655" spans="1:1">
      <c r="A2655" s="169"/>
    </row>
    <row r="2656" spans="1:1">
      <c r="A2656" s="169"/>
    </row>
    <row r="2657" spans="1:1">
      <c r="A2657" s="169"/>
    </row>
    <row r="2658" spans="1:1">
      <c r="A2658" s="169"/>
    </row>
    <row r="2659" spans="1:1">
      <c r="A2659" s="169"/>
    </row>
    <row r="2660" spans="1:1">
      <c r="A2660" s="169"/>
    </row>
    <row r="2661" spans="1:1">
      <c r="A2661" s="169"/>
    </row>
    <row r="2662" spans="1:1">
      <c r="A2662" s="169"/>
    </row>
    <row r="2663" spans="1:1">
      <c r="A2663" s="169"/>
    </row>
    <row r="2664" spans="1:1">
      <c r="A2664" s="169"/>
    </row>
    <row r="2665" spans="1:1">
      <c r="A2665" s="169"/>
    </row>
    <row r="2666" spans="1:1">
      <c r="A2666" s="169"/>
    </row>
    <row r="2667" spans="1:1">
      <c r="A2667" s="169"/>
    </row>
    <row r="2668" spans="1:1">
      <c r="A2668" s="169"/>
    </row>
    <row r="2669" spans="1:1">
      <c r="A2669" s="169"/>
    </row>
    <row r="2670" spans="1:1">
      <c r="A2670" s="169"/>
    </row>
    <row r="2671" spans="1:1">
      <c r="A2671" s="169"/>
    </row>
    <row r="2672" spans="1:1">
      <c r="A2672" s="169"/>
    </row>
    <row r="2673" spans="1:1">
      <c r="A2673" s="169"/>
    </row>
    <row r="2674" spans="1:1">
      <c r="A2674" s="169"/>
    </row>
    <row r="2675" spans="1:1">
      <c r="A2675" s="169"/>
    </row>
    <row r="2676" spans="1:1">
      <c r="A2676" s="169"/>
    </row>
    <row r="2677" spans="1:1">
      <c r="A2677" s="169"/>
    </row>
    <row r="2678" spans="1:1">
      <c r="A2678" s="169"/>
    </row>
    <row r="2679" spans="1:1">
      <c r="A2679" s="169"/>
    </row>
    <row r="2680" spans="1:1">
      <c r="A2680" s="169"/>
    </row>
    <row r="2681" spans="1:1">
      <c r="A2681" s="169"/>
    </row>
    <row r="2682" spans="1:1">
      <c r="A2682" s="169"/>
    </row>
    <row r="2683" spans="1:1">
      <c r="A2683" s="169"/>
    </row>
    <row r="2684" spans="1:1">
      <c r="A2684" s="169"/>
    </row>
    <row r="2685" spans="1:1">
      <c r="A2685" s="169"/>
    </row>
    <row r="2686" spans="1:1">
      <c r="A2686" s="169"/>
    </row>
    <row r="2687" spans="1:1">
      <c r="A2687" s="169"/>
    </row>
    <row r="2688" spans="1:1">
      <c r="A2688" s="169"/>
    </row>
    <row r="2689" spans="1:1">
      <c r="A2689" s="169"/>
    </row>
    <row r="2690" spans="1:1">
      <c r="A2690" s="169"/>
    </row>
    <row r="2691" spans="1:1">
      <c r="A2691" s="169"/>
    </row>
    <row r="2692" spans="1:1">
      <c r="A2692" s="169"/>
    </row>
    <row r="2693" spans="1:1">
      <c r="A2693" s="169"/>
    </row>
    <row r="2694" spans="1:1">
      <c r="A2694" s="169"/>
    </row>
    <row r="2695" spans="1:1">
      <c r="A2695" s="169"/>
    </row>
    <row r="2696" spans="1:1">
      <c r="A2696" s="169"/>
    </row>
    <row r="2697" spans="1:1">
      <c r="A2697" s="169"/>
    </row>
    <row r="2698" spans="1:1">
      <c r="A2698" s="169"/>
    </row>
    <row r="2699" spans="1:1">
      <c r="A2699" s="169"/>
    </row>
    <row r="2700" spans="1:1">
      <c r="A2700" s="169"/>
    </row>
    <row r="2701" spans="1:1">
      <c r="A2701" s="169"/>
    </row>
    <row r="2702" spans="1:1">
      <c r="A2702" s="169"/>
    </row>
    <row r="2703" spans="1:1">
      <c r="A2703" s="169"/>
    </row>
    <row r="2704" spans="1:1">
      <c r="A2704" s="169"/>
    </row>
    <row r="2705" spans="1:1">
      <c r="A2705" s="169"/>
    </row>
    <row r="2706" spans="1:1">
      <c r="A2706" s="169"/>
    </row>
    <row r="2707" spans="1:1">
      <c r="A2707" s="169"/>
    </row>
    <row r="2708" spans="1:1">
      <c r="A2708" s="169"/>
    </row>
    <row r="2709" spans="1:1">
      <c r="A2709" s="169"/>
    </row>
    <row r="2710" spans="1:1">
      <c r="A2710" s="169"/>
    </row>
    <row r="2711" spans="1:1">
      <c r="A2711" s="169"/>
    </row>
    <row r="2712" spans="1:1">
      <c r="A2712" s="169"/>
    </row>
    <row r="2713" spans="1:1">
      <c r="A2713" s="169"/>
    </row>
    <row r="2714" spans="1:1">
      <c r="A2714" s="169"/>
    </row>
    <row r="2715" spans="1:1">
      <c r="A2715" s="169"/>
    </row>
    <row r="2716" spans="1:1">
      <c r="A2716" s="169"/>
    </row>
    <row r="2717" spans="1:1">
      <c r="A2717" s="169"/>
    </row>
    <row r="2718" spans="1:1">
      <c r="A2718" s="169"/>
    </row>
    <row r="2719" spans="1:1">
      <c r="A2719" s="169"/>
    </row>
    <row r="2720" spans="1:1">
      <c r="A2720" s="169"/>
    </row>
    <row r="2721" spans="1:1">
      <c r="A2721" s="169"/>
    </row>
    <row r="2722" spans="1:1">
      <c r="A2722" s="169"/>
    </row>
    <row r="2723" spans="1:1">
      <c r="A2723" s="169"/>
    </row>
    <row r="2724" spans="1:1">
      <c r="A2724" s="169"/>
    </row>
    <row r="2725" spans="1:1">
      <c r="A2725" s="169"/>
    </row>
    <row r="2726" spans="1:1">
      <c r="A2726" s="169"/>
    </row>
    <row r="2727" spans="1:1">
      <c r="A2727" s="169"/>
    </row>
    <row r="2728" spans="1:1">
      <c r="A2728" s="169"/>
    </row>
    <row r="2729" spans="1:1">
      <c r="A2729" s="169"/>
    </row>
    <row r="2730" spans="1:1">
      <c r="A2730" s="169"/>
    </row>
    <row r="2731" spans="1:1">
      <c r="A2731" s="169"/>
    </row>
    <row r="2732" spans="1:1">
      <c r="A2732" s="169"/>
    </row>
    <row r="2733" spans="1:1">
      <c r="A2733" s="169"/>
    </row>
    <row r="2734" spans="1:1">
      <c r="A2734" s="169"/>
    </row>
    <row r="2735" spans="1:1">
      <c r="A2735" s="169"/>
    </row>
    <row r="2736" spans="1:1">
      <c r="A2736" s="169"/>
    </row>
    <row r="2737" spans="1:1">
      <c r="A2737" s="169"/>
    </row>
    <row r="2738" spans="1:1">
      <c r="A2738" s="169"/>
    </row>
    <row r="2739" spans="1:1">
      <c r="A2739" s="169"/>
    </row>
    <row r="2740" spans="1:1">
      <c r="A2740" s="169"/>
    </row>
    <row r="2741" spans="1:1">
      <c r="A2741" s="169"/>
    </row>
    <row r="2742" spans="1:1">
      <c r="A2742" s="169"/>
    </row>
    <row r="2743" spans="1:1">
      <c r="A2743" s="169"/>
    </row>
    <row r="2744" spans="1:1">
      <c r="A2744" s="169"/>
    </row>
    <row r="2745" spans="1:1">
      <c r="A2745" s="169"/>
    </row>
    <row r="2746" spans="1:1">
      <c r="A2746" s="169"/>
    </row>
    <row r="2747" spans="1:1">
      <c r="A2747" s="169"/>
    </row>
    <row r="2748" spans="1:1">
      <c r="A2748" s="169"/>
    </row>
    <row r="2749" spans="1:1">
      <c r="A2749" s="169"/>
    </row>
    <row r="2750" spans="1:1">
      <c r="A2750" s="169"/>
    </row>
    <row r="2751" spans="1:1">
      <c r="A2751" s="169"/>
    </row>
    <row r="2752" spans="1:1">
      <c r="A2752" s="169"/>
    </row>
    <row r="2753" spans="1:1">
      <c r="A2753" s="169"/>
    </row>
    <row r="2754" spans="1:1">
      <c r="A2754" s="169"/>
    </row>
    <row r="2755" spans="1:1">
      <c r="A2755" s="169"/>
    </row>
    <row r="2756" spans="1:1">
      <c r="A2756" s="169"/>
    </row>
    <row r="2757" spans="1:1">
      <c r="A2757" s="169"/>
    </row>
    <row r="2758" spans="1:1">
      <c r="A2758" s="169"/>
    </row>
    <row r="2759" spans="1:1">
      <c r="A2759" s="169"/>
    </row>
    <row r="2760" spans="1:1">
      <c r="A2760" s="169"/>
    </row>
    <row r="2761" spans="1:1">
      <c r="A2761" s="169"/>
    </row>
    <row r="2762" spans="1:1">
      <c r="A2762" s="169"/>
    </row>
    <row r="2763" spans="1:1">
      <c r="A2763" s="169"/>
    </row>
    <row r="2764" spans="1:1">
      <c r="A2764" s="169"/>
    </row>
    <row r="2765" spans="1:1">
      <c r="A2765" s="169"/>
    </row>
    <row r="2766" spans="1:1">
      <c r="A2766" s="169"/>
    </row>
    <row r="2767" spans="1:1">
      <c r="A2767" s="169"/>
    </row>
    <row r="2768" spans="1:1">
      <c r="A2768" s="169"/>
    </row>
    <row r="2769" spans="1:1">
      <c r="A2769" s="169"/>
    </row>
    <row r="2770" spans="1:1">
      <c r="A2770" s="169"/>
    </row>
    <row r="2771" spans="1:1">
      <c r="A2771" s="169"/>
    </row>
    <row r="2772" spans="1:1">
      <c r="A2772" s="169"/>
    </row>
    <row r="2773" spans="1:1">
      <c r="A2773" s="169"/>
    </row>
    <row r="2774" spans="1:1">
      <c r="A2774" s="169"/>
    </row>
    <row r="2775" spans="1:1">
      <c r="A2775" s="169"/>
    </row>
    <row r="2776" spans="1:1">
      <c r="A2776" s="169"/>
    </row>
    <row r="2777" spans="1:1">
      <c r="A2777" s="169"/>
    </row>
    <row r="2778" spans="1:1">
      <c r="A2778" s="169"/>
    </row>
    <row r="2779" spans="1:1">
      <c r="A2779" s="169"/>
    </row>
    <row r="2780" spans="1:1">
      <c r="A2780" s="169"/>
    </row>
    <row r="2781" spans="1:1">
      <c r="A2781" s="169"/>
    </row>
    <row r="2782" spans="1:1">
      <c r="A2782" s="169"/>
    </row>
    <row r="2783" spans="1:1">
      <c r="A2783" s="169"/>
    </row>
    <row r="2784" spans="1:1">
      <c r="A2784" s="169"/>
    </row>
    <row r="2785" spans="1:1">
      <c r="A2785" s="169"/>
    </row>
    <row r="2786" spans="1:1">
      <c r="A2786" s="169"/>
    </row>
    <row r="2787" spans="1:1">
      <c r="A2787" s="169"/>
    </row>
    <row r="2788" spans="1:1">
      <c r="A2788" s="169"/>
    </row>
    <row r="2789" spans="1:1">
      <c r="A2789" s="169"/>
    </row>
    <row r="2790" spans="1:1">
      <c r="A2790" s="169"/>
    </row>
    <row r="2791" spans="1:1">
      <c r="A2791" s="169"/>
    </row>
    <row r="2792" spans="1:1">
      <c r="A2792" s="169"/>
    </row>
    <row r="2793" spans="1:1">
      <c r="A2793" s="169"/>
    </row>
    <row r="2794" spans="1:1">
      <c r="A2794" s="169"/>
    </row>
    <row r="2795" spans="1:1">
      <c r="A2795" s="169"/>
    </row>
    <row r="2796" spans="1:1">
      <c r="A2796" s="169"/>
    </row>
    <row r="2797" spans="1:1">
      <c r="A2797" s="169"/>
    </row>
    <row r="2798" spans="1:1">
      <c r="A2798" s="169"/>
    </row>
    <row r="2799" spans="1:1">
      <c r="A2799" s="169"/>
    </row>
    <row r="2800" spans="1:1">
      <c r="A2800" s="169"/>
    </row>
    <row r="2801" spans="1:1">
      <c r="A2801" s="169"/>
    </row>
    <row r="2802" spans="1:1">
      <c r="A2802" s="169"/>
    </row>
    <row r="2803" spans="1:1">
      <c r="A2803" s="169"/>
    </row>
    <row r="2804" spans="1:1">
      <c r="A2804" s="169"/>
    </row>
    <row r="2805" spans="1:1">
      <c r="A2805" s="169"/>
    </row>
    <row r="2806" spans="1:1">
      <c r="A2806" s="169"/>
    </row>
    <row r="2807" spans="1:1">
      <c r="A2807" s="169"/>
    </row>
    <row r="2808" spans="1:1">
      <c r="A2808" s="169"/>
    </row>
    <row r="2809" spans="1:1">
      <c r="A2809" s="169"/>
    </row>
    <row r="2810" spans="1:1">
      <c r="A2810" s="169"/>
    </row>
    <row r="2811" spans="1:1">
      <c r="A2811" s="169"/>
    </row>
    <row r="2812" spans="1:1">
      <c r="A2812" s="169"/>
    </row>
    <row r="2813" spans="1:1">
      <c r="A2813" s="169"/>
    </row>
    <row r="2814" spans="1:1">
      <c r="A2814" s="169"/>
    </row>
    <row r="2815" spans="1:1">
      <c r="A2815" s="169"/>
    </row>
    <row r="2816" spans="1:1">
      <c r="A2816" s="169"/>
    </row>
    <row r="2817" spans="1:1">
      <c r="A2817" s="169"/>
    </row>
    <row r="2818" spans="1:1">
      <c r="A2818" s="169"/>
    </row>
    <row r="2819" spans="1:1">
      <c r="A2819" s="169"/>
    </row>
    <row r="2820" spans="1:1">
      <c r="A2820" s="169"/>
    </row>
    <row r="2821" spans="1:1">
      <c r="A2821" s="169"/>
    </row>
    <row r="2822" spans="1:1">
      <c r="A2822" s="169"/>
    </row>
    <row r="2823" spans="1:1">
      <c r="A2823" s="169"/>
    </row>
    <row r="2824" spans="1:1">
      <c r="A2824" s="169"/>
    </row>
    <row r="2825" spans="1:1">
      <c r="A2825" s="169"/>
    </row>
    <row r="2826" spans="1:1">
      <c r="A2826" s="169"/>
    </row>
    <row r="2827" spans="1:1">
      <c r="A2827" s="169"/>
    </row>
    <row r="2828" spans="1:1">
      <c r="A2828" s="169"/>
    </row>
    <row r="2829" spans="1:1">
      <c r="A2829" s="169"/>
    </row>
    <row r="2830" spans="1:1">
      <c r="A2830" s="169"/>
    </row>
    <row r="2831" spans="1:1">
      <c r="A2831" s="169"/>
    </row>
    <row r="2832" spans="1:1">
      <c r="A2832" s="169"/>
    </row>
    <row r="2833" spans="1:1">
      <c r="A2833" s="169"/>
    </row>
    <row r="2834" spans="1:1">
      <c r="A2834" s="169"/>
    </row>
    <row r="2835" spans="1:1">
      <c r="A2835" s="169"/>
    </row>
    <row r="2836" spans="1:1">
      <c r="A2836" s="169"/>
    </row>
    <row r="2837" spans="1:1">
      <c r="A2837" s="169"/>
    </row>
    <row r="2838" spans="1:1">
      <c r="A2838" s="169"/>
    </row>
    <row r="2839" spans="1:1">
      <c r="A2839" s="169"/>
    </row>
    <row r="2840" spans="1:1">
      <c r="A2840" s="169"/>
    </row>
    <row r="2841" spans="1:1">
      <c r="A2841" s="169"/>
    </row>
    <row r="2842" spans="1:1">
      <c r="A2842" s="169"/>
    </row>
    <row r="2843" spans="1:1">
      <c r="A2843" s="169"/>
    </row>
    <row r="2844" spans="1:1">
      <c r="A2844" s="169"/>
    </row>
    <row r="2845" spans="1:1">
      <c r="A2845" s="169"/>
    </row>
    <row r="2846" spans="1:1">
      <c r="A2846" s="169"/>
    </row>
    <row r="2847" spans="1:1">
      <c r="A2847" s="169"/>
    </row>
    <row r="2848" spans="1:1">
      <c r="A2848" s="169"/>
    </row>
    <row r="2849" spans="1:1">
      <c r="A2849" s="169"/>
    </row>
    <row r="2850" spans="1:1">
      <c r="A2850" s="169"/>
    </row>
    <row r="2851" spans="1:1">
      <c r="A2851" s="169"/>
    </row>
    <row r="2852" spans="1:1">
      <c r="A2852" s="169"/>
    </row>
    <row r="2853" spans="1:1">
      <c r="A2853" s="169"/>
    </row>
    <row r="2854" spans="1:1">
      <c r="A2854" s="169"/>
    </row>
    <row r="2855" spans="1:1">
      <c r="A2855" s="169"/>
    </row>
    <row r="2856" spans="1:1">
      <c r="A2856" s="169"/>
    </row>
    <row r="2857" spans="1:1">
      <c r="A2857" s="169"/>
    </row>
    <row r="2858" spans="1:1">
      <c r="A2858" s="169"/>
    </row>
    <row r="2859" spans="1:1">
      <c r="A2859" s="169"/>
    </row>
    <row r="2860" spans="1:1">
      <c r="A2860" s="169"/>
    </row>
    <row r="2861" spans="1:1">
      <c r="A2861" s="169"/>
    </row>
    <row r="2862" spans="1:1">
      <c r="A2862" s="169"/>
    </row>
    <row r="2863" spans="1:1">
      <c r="A2863" s="169"/>
    </row>
    <row r="2864" spans="1:1">
      <c r="A2864" s="169"/>
    </row>
    <row r="2865" spans="1:1">
      <c r="A2865" s="169"/>
    </row>
    <row r="2866" spans="1:1">
      <c r="A2866" s="169"/>
    </row>
    <row r="2867" spans="1:1">
      <c r="A2867" s="169"/>
    </row>
    <row r="2868" spans="1:1">
      <c r="A2868" s="169"/>
    </row>
    <row r="2869" spans="1:1">
      <c r="A2869" s="169"/>
    </row>
    <row r="2870" spans="1:1">
      <c r="A2870" s="169"/>
    </row>
    <row r="2871" spans="1:1">
      <c r="A2871" s="169"/>
    </row>
    <row r="2872" spans="1:1">
      <c r="A2872" s="169"/>
    </row>
    <row r="2873" spans="1:1">
      <c r="A2873" s="169"/>
    </row>
    <row r="2874" spans="1:1">
      <c r="A2874" s="169"/>
    </row>
    <row r="2875" spans="1:1">
      <c r="A2875" s="169"/>
    </row>
    <row r="2876" spans="1:1">
      <c r="A2876" s="169"/>
    </row>
    <row r="2877" spans="1:1">
      <c r="A2877" s="169"/>
    </row>
    <row r="2878" spans="1:1">
      <c r="A2878" s="169"/>
    </row>
    <row r="2879" spans="1:1">
      <c r="A2879" s="169"/>
    </row>
    <row r="2880" spans="1:1">
      <c r="A2880" s="169"/>
    </row>
    <row r="2881" spans="1:1">
      <c r="A2881" s="169"/>
    </row>
    <row r="2882" spans="1:1">
      <c r="A2882" s="169"/>
    </row>
    <row r="2883" spans="1:1">
      <c r="A2883" s="169"/>
    </row>
    <row r="2884" spans="1:1">
      <c r="A2884" s="169"/>
    </row>
    <row r="2885" spans="1:1">
      <c r="A2885" s="169"/>
    </row>
    <row r="2886" spans="1:1">
      <c r="A2886" s="169"/>
    </row>
    <row r="2887" spans="1:1">
      <c r="A2887" s="169"/>
    </row>
    <row r="2888" spans="1:1">
      <c r="A2888" s="169"/>
    </row>
    <row r="2889" spans="1:1">
      <c r="A2889" s="169"/>
    </row>
    <row r="2890" spans="1:1">
      <c r="A2890" s="169"/>
    </row>
    <row r="2891" spans="1:1">
      <c r="A2891" s="169"/>
    </row>
    <row r="2892" spans="1:1">
      <c r="A2892" s="169"/>
    </row>
    <row r="2893" spans="1:1">
      <c r="A2893" s="169"/>
    </row>
    <row r="2894" spans="1:1">
      <c r="A2894" s="169"/>
    </row>
    <row r="2895" spans="1:1">
      <c r="A2895" s="169"/>
    </row>
    <row r="2896" spans="1:1">
      <c r="A2896" s="169"/>
    </row>
    <row r="2897" spans="1:1">
      <c r="A2897" s="169"/>
    </row>
    <row r="2898" spans="1:1">
      <c r="A2898" s="169"/>
    </row>
    <row r="2899" spans="1:1">
      <c r="A2899" s="169"/>
    </row>
    <row r="2900" spans="1:1">
      <c r="A2900" s="169"/>
    </row>
    <row r="2901" spans="1:1">
      <c r="A2901" s="169"/>
    </row>
    <row r="2902" spans="1:1">
      <c r="A2902" s="169"/>
    </row>
    <row r="2903" spans="1:1">
      <c r="A2903" s="169"/>
    </row>
    <row r="2904" spans="1:1">
      <c r="A2904" s="169"/>
    </row>
    <row r="2905" spans="1:1">
      <c r="A2905" s="169"/>
    </row>
    <row r="2906" spans="1:1">
      <c r="A2906" s="169"/>
    </row>
    <row r="2907" spans="1:1">
      <c r="A2907" s="169"/>
    </row>
    <row r="2908" spans="1:1">
      <c r="A2908" s="169"/>
    </row>
    <row r="2909" spans="1:1">
      <c r="A2909" s="169"/>
    </row>
    <row r="2910" spans="1:1">
      <c r="A2910" s="169"/>
    </row>
    <row r="2911" spans="1:1">
      <c r="A2911" s="169"/>
    </row>
    <row r="2912" spans="1:1">
      <c r="A2912" s="169"/>
    </row>
    <row r="2913" spans="1:1">
      <c r="A2913" s="169"/>
    </row>
    <row r="2914" spans="1:1">
      <c r="A2914" s="169"/>
    </row>
    <row r="2915" spans="1:1">
      <c r="A2915" s="169"/>
    </row>
    <row r="2916" spans="1:1">
      <c r="A2916" s="169"/>
    </row>
    <row r="2917" spans="1:1">
      <c r="A2917" s="169"/>
    </row>
    <row r="2918" spans="1:1">
      <c r="A2918" s="169"/>
    </row>
    <row r="2919" spans="1:1">
      <c r="A2919" s="169"/>
    </row>
    <row r="2920" spans="1:1">
      <c r="A2920" s="169"/>
    </row>
    <row r="2921" spans="1:1">
      <c r="A2921" s="169"/>
    </row>
    <row r="2922" spans="1:1">
      <c r="A2922" s="169"/>
    </row>
    <row r="2923" spans="1:1">
      <c r="A2923" s="169"/>
    </row>
    <row r="2924" spans="1:1">
      <c r="A2924" s="169"/>
    </row>
    <row r="2925" spans="1:1">
      <c r="A2925" s="169"/>
    </row>
    <row r="2926" spans="1:1">
      <c r="A2926" s="169"/>
    </row>
    <row r="2927" spans="1:1">
      <c r="A2927" s="169"/>
    </row>
    <row r="2928" spans="1:1">
      <c r="A2928" s="169"/>
    </row>
    <row r="2929" spans="1:1">
      <c r="A2929" s="169"/>
    </row>
    <row r="2930" spans="1:1">
      <c r="A2930" s="169"/>
    </row>
    <row r="2931" spans="1:1">
      <c r="A2931" s="169"/>
    </row>
    <row r="2932" spans="1:1">
      <c r="A2932" s="169"/>
    </row>
    <row r="2933" spans="1:1">
      <c r="A2933" s="169"/>
    </row>
    <row r="2934" spans="1:1">
      <c r="A2934" s="169"/>
    </row>
    <row r="2935" spans="1:1">
      <c r="A2935" s="169"/>
    </row>
    <row r="2936" spans="1:1">
      <c r="A2936" s="169"/>
    </row>
    <row r="2937" spans="1:1">
      <c r="A2937" s="169"/>
    </row>
    <row r="2938" spans="1:1">
      <c r="A2938" s="169"/>
    </row>
    <row r="2939" spans="1:1">
      <c r="A2939" s="169"/>
    </row>
    <row r="2940" spans="1:1">
      <c r="A2940" s="169"/>
    </row>
    <row r="2941" spans="1:1">
      <c r="A2941" s="169"/>
    </row>
    <row r="2942" spans="1:1">
      <c r="A2942" s="169"/>
    </row>
    <row r="2943" spans="1:1">
      <c r="A2943" s="169"/>
    </row>
    <row r="2944" spans="1:1">
      <c r="A2944" s="169"/>
    </row>
    <row r="2945" spans="1:1">
      <c r="A2945" s="169"/>
    </row>
    <row r="2946" spans="1:1">
      <c r="A2946" s="169"/>
    </row>
    <row r="2947" spans="1:1">
      <c r="A2947" s="169"/>
    </row>
    <row r="2948" spans="1:1">
      <c r="A2948" s="169"/>
    </row>
    <row r="2949" spans="1:1">
      <c r="A2949" s="169"/>
    </row>
    <row r="2950" spans="1:1">
      <c r="A2950" s="169"/>
    </row>
    <row r="2951" spans="1:1">
      <c r="A2951" s="169"/>
    </row>
    <row r="2952" spans="1:1">
      <c r="A2952" s="169"/>
    </row>
    <row r="2953" spans="1:1">
      <c r="A2953" s="169"/>
    </row>
    <row r="2954" spans="1:1">
      <c r="A2954" s="169"/>
    </row>
    <row r="2955" spans="1:1">
      <c r="A2955" s="169"/>
    </row>
    <row r="2956" spans="1:1">
      <c r="A2956" s="169"/>
    </row>
    <row r="2957" spans="1:1">
      <c r="A2957" s="169"/>
    </row>
    <row r="2958" spans="1:1">
      <c r="A2958" s="169"/>
    </row>
    <row r="2959" spans="1:1">
      <c r="A2959" s="169"/>
    </row>
    <row r="2960" spans="1:1">
      <c r="A2960" s="169"/>
    </row>
    <row r="2961" spans="1:1">
      <c r="A2961" s="169"/>
    </row>
    <row r="2962" spans="1:1">
      <c r="A2962" s="169"/>
    </row>
    <row r="2963" spans="1:1">
      <c r="A2963" s="169"/>
    </row>
    <row r="2964" spans="1:1">
      <c r="A2964" s="169"/>
    </row>
    <row r="2965" spans="1:1">
      <c r="A2965" s="169"/>
    </row>
    <row r="2966" spans="1:1">
      <c r="A2966" s="169"/>
    </row>
    <row r="2967" spans="1:1">
      <c r="A2967" s="169"/>
    </row>
    <row r="2968" spans="1:1">
      <c r="A2968" s="169"/>
    </row>
    <row r="2969" spans="1:1">
      <c r="A2969" s="169"/>
    </row>
    <row r="2970" spans="1:1">
      <c r="A2970" s="169"/>
    </row>
    <row r="2971" spans="1:1">
      <c r="A2971" s="169"/>
    </row>
    <row r="2972" spans="1:1">
      <c r="A2972" s="169"/>
    </row>
    <row r="2973" spans="1:1">
      <c r="A2973" s="169"/>
    </row>
    <row r="2974" spans="1:1">
      <c r="A2974" s="169"/>
    </row>
    <row r="2975" spans="1:1">
      <c r="A2975" s="169"/>
    </row>
    <row r="2976" spans="1:1">
      <c r="A2976" s="169"/>
    </row>
    <row r="2977" spans="1:1">
      <c r="A2977" s="169"/>
    </row>
    <row r="2978" spans="1:1">
      <c r="A2978" s="169"/>
    </row>
    <row r="2979" spans="1:1">
      <c r="A2979" s="169"/>
    </row>
    <row r="2980" spans="1:1">
      <c r="A2980" s="169"/>
    </row>
    <row r="2981" spans="1:1">
      <c r="A2981" s="169"/>
    </row>
    <row r="2982" spans="1:1">
      <c r="A2982" s="169"/>
    </row>
    <row r="2983" spans="1:1">
      <c r="A2983" s="169"/>
    </row>
    <row r="2984" spans="1:1">
      <c r="A2984" s="169"/>
    </row>
    <row r="2985" spans="1:1">
      <c r="A2985" s="169"/>
    </row>
    <row r="2986" spans="1:1">
      <c r="A2986" s="169"/>
    </row>
    <row r="2987" spans="1:1">
      <c r="A2987" s="169"/>
    </row>
    <row r="2988" spans="1:1">
      <c r="A2988" s="169"/>
    </row>
    <row r="2989" spans="1:1">
      <c r="A2989" s="169"/>
    </row>
    <row r="2990" spans="1:1">
      <c r="A2990" s="169"/>
    </row>
    <row r="2991" spans="1:1">
      <c r="A2991" s="169"/>
    </row>
    <row r="2992" spans="1:1">
      <c r="A2992" s="169"/>
    </row>
    <row r="2993" spans="1:1">
      <c r="A2993" s="169"/>
    </row>
    <row r="2994" spans="1:1">
      <c r="A2994" s="169"/>
    </row>
    <row r="2995" spans="1:1">
      <c r="A2995" s="169"/>
    </row>
    <row r="2996" spans="1:1">
      <c r="A2996" s="169"/>
    </row>
    <row r="2997" spans="1:1">
      <c r="A2997" s="169"/>
    </row>
    <row r="2998" spans="1:1">
      <c r="A2998" s="169"/>
    </row>
    <row r="2999" spans="1:1">
      <c r="A2999" s="169"/>
    </row>
    <row r="3000" spans="1:1">
      <c r="A3000" s="169"/>
    </row>
    <row r="3001" spans="1:1">
      <c r="A3001" s="169"/>
    </row>
    <row r="3002" spans="1:1">
      <c r="A3002" s="169"/>
    </row>
    <row r="3003" spans="1:1">
      <c r="A3003" s="169"/>
    </row>
    <row r="3004" spans="1:1">
      <c r="A3004" s="169"/>
    </row>
    <row r="3005" spans="1:1">
      <c r="A3005" s="169"/>
    </row>
    <row r="3006" spans="1:1">
      <c r="A3006" s="169"/>
    </row>
    <row r="3007" spans="1:1">
      <c r="A3007" s="169"/>
    </row>
    <row r="3008" spans="1:1">
      <c r="A3008" s="169"/>
    </row>
    <row r="3009" spans="1:1">
      <c r="A3009" s="169"/>
    </row>
    <row r="3010" spans="1:1">
      <c r="A3010" s="169"/>
    </row>
    <row r="3011" spans="1:1">
      <c r="A3011" s="169"/>
    </row>
    <row r="3012" spans="1:1">
      <c r="A3012" s="169"/>
    </row>
    <row r="3013" spans="1:1">
      <c r="A3013" s="169"/>
    </row>
    <row r="3014" spans="1:1">
      <c r="A3014" s="169"/>
    </row>
    <row r="3015" spans="1:1">
      <c r="A3015" s="169"/>
    </row>
    <row r="3016" spans="1:1">
      <c r="A3016" s="169"/>
    </row>
    <row r="3017" spans="1:1">
      <c r="A3017" s="169"/>
    </row>
    <row r="3018" spans="1:1">
      <c r="A3018" s="169"/>
    </row>
    <row r="3019" spans="1:1">
      <c r="A3019" s="169"/>
    </row>
    <row r="3020" spans="1:1">
      <c r="A3020" s="169"/>
    </row>
    <row r="3021" spans="1:1">
      <c r="A3021" s="169"/>
    </row>
    <row r="3022" spans="1:1">
      <c r="A3022" s="169"/>
    </row>
    <row r="3023" spans="1:1">
      <c r="A3023" s="169"/>
    </row>
    <row r="3024" spans="1:1">
      <c r="A3024" s="169"/>
    </row>
    <row r="3025" spans="1:1">
      <c r="A3025" s="169"/>
    </row>
    <row r="3026" spans="1:1">
      <c r="A3026" s="169"/>
    </row>
    <row r="3027" spans="1:1">
      <c r="A3027" s="169"/>
    </row>
    <row r="3028" spans="1:1">
      <c r="A3028" s="169"/>
    </row>
    <row r="3029" spans="1:1">
      <c r="A3029" s="169"/>
    </row>
    <row r="3030" spans="1:1">
      <c r="A3030" s="169"/>
    </row>
    <row r="3031" spans="1:1">
      <c r="A3031" s="169"/>
    </row>
    <row r="3032" spans="1:1">
      <c r="A3032" s="169"/>
    </row>
    <row r="3033" spans="1:1">
      <c r="A3033" s="169"/>
    </row>
    <row r="3034" spans="1:1">
      <c r="A3034" s="169"/>
    </row>
    <row r="3035" spans="1:1">
      <c r="A3035" s="169"/>
    </row>
    <row r="3036" spans="1:1">
      <c r="A3036" s="169"/>
    </row>
    <row r="3037" spans="1:1">
      <c r="A3037" s="169"/>
    </row>
    <row r="3038" spans="1:1">
      <c r="A3038" s="169"/>
    </row>
    <row r="3039" spans="1:1">
      <c r="A3039" s="169"/>
    </row>
    <row r="3040" spans="1:1">
      <c r="A3040" s="169"/>
    </row>
    <row r="3041" spans="1:1">
      <c r="A3041" s="169"/>
    </row>
    <row r="3042" spans="1:1">
      <c r="A3042" s="169"/>
    </row>
    <row r="3043" spans="1:1">
      <c r="A3043" s="169"/>
    </row>
    <row r="3044" spans="1:1">
      <c r="A3044" s="169"/>
    </row>
    <row r="3045" spans="1:1">
      <c r="A3045" s="169"/>
    </row>
    <row r="3046" spans="1:1">
      <c r="A3046" s="169"/>
    </row>
    <row r="3047" spans="1:1">
      <c r="A3047" s="169"/>
    </row>
    <row r="3048" spans="1:1">
      <c r="A3048" s="169"/>
    </row>
    <row r="3049" spans="1:1">
      <c r="A3049" s="169"/>
    </row>
    <row r="3050" spans="1:1">
      <c r="A3050" s="169"/>
    </row>
    <row r="3051" spans="1:1">
      <c r="A3051" s="169"/>
    </row>
    <row r="3052" spans="1:1">
      <c r="A3052" s="169"/>
    </row>
    <row r="3053" spans="1:1">
      <c r="A3053" s="169"/>
    </row>
    <row r="3054" spans="1:1">
      <c r="A3054" s="169"/>
    </row>
    <row r="3055" spans="1:1">
      <c r="A3055" s="169"/>
    </row>
    <row r="3056" spans="1:1">
      <c r="A3056" s="169"/>
    </row>
    <row r="3057" spans="1:1">
      <c r="A3057" s="169"/>
    </row>
    <row r="3058" spans="1:1">
      <c r="A3058" s="169"/>
    </row>
    <row r="3059" spans="1:1">
      <c r="A3059" s="169"/>
    </row>
    <row r="3060" spans="1:1">
      <c r="A3060" s="169"/>
    </row>
    <row r="3061" spans="1:1">
      <c r="A3061" s="169"/>
    </row>
    <row r="3062" spans="1:1">
      <c r="A3062" s="169"/>
    </row>
    <row r="3063" spans="1:1">
      <c r="A3063" s="169"/>
    </row>
    <row r="3064" spans="1:1">
      <c r="A3064" s="169"/>
    </row>
    <row r="3065" spans="1:1">
      <c r="A3065" s="169"/>
    </row>
    <row r="3066" spans="1:1">
      <c r="A3066" s="169"/>
    </row>
    <row r="3067" spans="1:1">
      <c r="A3067" s="169"/>
    </row>
    <row r="3068" spans="1:1">
      <c r="A3068" s="169"/>
    </row>
    <row r="3069" spans="1:1">
      <c r="A3069" s="169"/>
    </row>
    <row r="3070" spans="1:1">
      <c r="A3070" s="169"/>
    </row>
    <row r="3071" spans="1:1">
      <c r="A3071" s="169"/>
    </row>
    <row r="3072" spans="1:1">
      <c r="A3072" s="169"/>
    </row>
    <row r="3073" spans="1:1">
      <c r="A3073" s="169"/>
    </row>
    <row r="3074" spans="1:1">
      <c r="A3074" s="169"/>
    </row>
    <row r="3075" spans="1:1">
      <c r="A3075" s="169"/>
    </row>
    <row r="3076" spans="1:1">
      <c r="A3076" s="169"/>
    </row>
    <row r="3077" spans="1:1">
      <c r="A3077" s="169"/>
    </row>
    <row r="3078" spans="1:1">
      <c r="A3078" s="169"/>
    </row>
    <row r="3079" spans="1:1">
      <c r="A3079" s="169"/>
    </row>
    <row r="3080" spans="1:1">
      <c r="A3080" s="169"/>
    </row>
    <row r="3081" spans="1:1">
      <c r="A3081" s="169"/>
    </row>
    <row r="3082" spans="1:1">
      <c r="A3082" s="169"/>
    </row>
    <row r="3083" spans="1:1">
      <c r="A3083" s="169"/>
    </row>
    <row r="3084" spans="1:1">
      <c r="A3084" s="169"/>
    </row>
    <row r="3085" spans="1:1">
      <c r="A3085" s="169"/>
    </row>
    <row r="3086" spans="1:1">
      <c r="A3086" s="169"/>
    </row>
    <row r="3087" spans="1:1">
      <c r="A3087" s="169"/>
    </row>
    <row r="3088" spans="1:1">
      <c r="A3088" s="169"/>
    </row>
    <row r="3089" spans="1:1">
      <c r="A3089" s="169"/>
    </row>
    <row r="3090" spans="1:1">
      <c r="A3090" s="169"/>
    </row>
    <row r="3091" spans="1:1">
      <c r="A3091" s="169"/>
    </row>
    <row r="3092" spans="1:1">
      <c r="A3092" s="169"/>
    </row>
    <row r="3093" spans="1:1">
      <c r="A3093" s="169"/>
    </row>
    <row r="3094" spans="1:1">
      <c r="A3094" s="169"/>
    </row>
    <row r="3095" spans="1:1">
      <c r="A3095" s="169"/>
    </row>
    <row r="3096" spans="1:1">
      <c r="A3096" s="169"/>
    </row>
    <row r="3097" spans="1:1">
      <c r="A3097" s="169"/>
    </row>
    <row r="3098" spans="1:1">
      <c r="A3098" s="169"/>
    </row>
    <row r="3099" spans="1:1">
      <c r="A3099" s="169"/>
    </row>
    <row r="3100" spans="1:1">
      <c r="A3100" s="169"/>
    </row>
    <row r="3101" spans="1:1">
      <c r="A3101" s="169"/>
    </row>
    <row r="3102" spans="1:1">
      <c r="A3102" s="169"/>
    </row>
    <row r="3103" spans="1:1">
      <c r="A3103" s="169"/>
    </row>
    <row r="3104" spans="1:1">
      <c r="A3104" s="169"/>
    </row>
    <row r="3105" spans="1:1">
      <c r="A3105" s="169"/>
    </row>
    <row r="3106" spans="1:1">
      <c r="A3106" s="169"/>
    </row>
    <row r="3107" spans="1:1">
      <c r="A3107" s="169"/>
    </row>
    <row r="3108" spans="1:1">
      <c r="A3108" s="169"/>
    </row>
    <row r="3109" spans="1:1">
      <c r="A3109" s="169"/>
    </row>
    <row r="3110" spans="1:1">
      <c r="A3110" s="169"/>
    </row>
    <row r="3111" spans="1:1">
      <c r="A3111" s="169"/>
    </row>
    <row r="3112" spans="1:1">
      <c r="A3112" s="169"/>
    </row>
    <row r="3113" spans="1:1">
      <c r="A3113" s="169"/>
    </row>
    <row r="3114" spans="1:1">
      <c r="A3114" s="169"/>
    </row>
    <row r="3115" spans="1:1">
      <c r="A3115" s="169"/>
    </row>
    <row r="3116" spans="1:1">
      <c r="A3116" s="169"/>
    </row>
    <row r="3117" spans="1:1">
      <c r="A3117" s="169"/>
    </row>
    <row r="3118" spans="1:1">
      <c r="A3118" s="169"/>
    </row>
    <row r="3119" spans="1:1">
      <c r="A3119" s="169"/>
    </row>
    <row r="3120" spans="1:1">
      <c r="A3120" s="169"/>
    </row>
    <row r="3121" spans="1:1">
      <c r="A3121" s="169"/>
    </row>
    <row r="3122" spans="1:1">
      <c r="A3122" s="169"/>
    </row>
    <row r="3123" spans="1:1">
      <c r="A3123" s="169"/>
    </row>
    <row r="3124" spans="1:1">
      <c r="A3124" s="169"/>
    </row>
    <row r="3125" spans="1:1">
      <c r="A3125" s="169"/>
    </row>
    <row r="3126" spans="1:1">
      <c r="A3126" s="169"/>
    </row>
    <row r="3127" spans="1:1">
      <c r="A3127" s="169"/>
    </row>
    <row r="3128" spans="1:1">
      <c r="A3128" s="169"/>
    </row>
    <row r="3129" spans="1:1">
      <c r="A3129" s="169"/>
    </row>
    <row r="3130" spans="1:1">
      <c r="A3130" s="169"/>
    </row>
    <row r="3131" spans="1:1">
      <c r="A3131" s="169"/>
    </row>
    <row r="3132" spans="1:1">
      <c r="A3132" s="169"/>
    </row>
    <row r="3133" spans="1:1">
      <c r="A3133" s="169"/>
    </row>
    <row r="3134" spans="1:1">
      <c r="A3134" s="169"/>
    </row>
    <row r="3135" spans="1:1">
      <c r="A3135" s="169"/>
    </row>
    <row r="3136" spans="1:1">
      <c r="A3136" s="169"/>
    </row>
    <row r="3137" spans="1:1">
      <c r="A3137" s="169"/>
    </row>
    <row r="3138" spans="1:1">
      <c r="A3138" s="169"/>
    </row>
    <row r="3139" spans="1:1">
      <c r="A3139" s="169"/>
    </row>
    <row r="3140" spans="1:1">
      <c r="A3140" s="169"/>
    </row>
    <row r="3141" spans="1:1">
      <c r="A3141" s="169"/>
    </row>
    <row r="3142" spans="1:1">
      <c r="A3142" s="169"/>
    </row>
    <row r="3143" spans="1:1">
      <c r="A3143" s="169"/>
    </row>
    <row r="3144" spans="1:1">
      <c r="A3144" s="169"/>
    </row>
    <row r="3145" spans="1:1">
      <c r="A3145" s="169"/>
    </row>
    <row r="3146" spans="1:1">
      <c r="A3146" s="169"/>
    </row>
    <row r="3147" spans="1:1">
      <c r="A3147" s="169"/>
    </row>
    <row r="3148" spans="1:1">
      <c r="A3148" s="169"/>
    </row>
    <row r="3149" spans="1:1">
      <c r="A3149" s="169"/>
    </row>
    <row r="3150" spans="1:1">
      <c r="A3150" s="169"/>
    </row>
    <row r="3151" spans="1:1">
      <c r="A3151" s="169"/>
    </row>
    <row r="3152" spans="1:1">
      <c r="A3152" s="169"/>
    </row>
    <row r="3153" spans="1:1">
      <c r="A3153" s="169"/>
    </row>
    <row r="3154" spans="1:1">
      <c r="A3154" s="169"/>
    </row>
    <row r="3155" spans="1:1">
      <c r="A3155" s="169"/>
    </row>
    <row r="3156" spans="1:1">
      <c r="A3156" s="169"/>
    </row>
    <row r="3157" spans="1:1">
      <c r="A3157" s="169"/>
    </row>
    <row r="3158" spans="1:1">
      <c r="A3158" s="169"/>
    </row>
    <row r="3159" spans="1:1">
      <c r="A3159" s="169"/>
    </row>
    <row r="3160" spans="1:1">
      <c r="A3160" s="169"/>
    </row>
    <row r="3161" spans="1:1">
      <c r="A3161" s="169"/>
    </row>
    <row r="3162" spans="1:1">
      <c r="A3162" s="169"/>
    </row>
    <row r="3163" spans="1:1">
      <c r="A3163" s="169"/>
    </row>
    <row r="3164" spans="1:1">
      <c r="A3164" s="169"/>
    </row>
    <row r="3165" spans="1:1">
      <c r="A3165" s="169"/>
    </row>
    <row r="3166" spans="1:1">
      <c r="A3166" s="169"/>
    </row>
    <row r="3167" spans="1:1">
      <c r="A3167" s="169"/>
    </row>
    <row r="3168" spans="1:1">
      <c r="A3168" s="169"/>
    </row>
    <row r="3169" spans="1:1">
      <c r="A3169" s="169"/>
    </row>
    <row r="3170" spans="1:1">
      <c r="A3170" s="169"/>
    </row>
    <row r="3171" spans="1:1">
      <c r="A3171" s="169"/>
    </row>
    <row r="3172" spans="1:1">
      <c r="A3172" s="169"/>
    </row>
    <row r="3173" spans="1:1">
      <c r="A3173" s="169"/>
    </row>
    <row r="3174" spans="1:1">
      <c r="A3174" s="169"/>
    </row>
    <row r="3175" spans="1:1">
      <c r="A3175" s="169"/>
    </row>
    <row r="3176" spans="1:1">
      <c r="A3176" s="169"/>
    </row>
    <row r="3177" spans="1:1">
      <c r="A3177" s="169"/>
    </row>
    <row r="3178" spans="1:1">
      <c r="A3178" s="169"/>
    </row>
    <row r="3179" spans="1:1">
      <c r="A3179" s="169"/>
    </row>
    <row r="3180" spans="1:1">
      <c r="A3180" s="169"/>
    </row>
    <row r="3181" spans="1:1">
      <c r="A3181" s="169"/>
    </row>
    <row r="3182" spans="1:1">
      <c r="A3182" s="169"/>
    </row>
    <row r="3183" spans="1:1">
      <c r="A3183" s="169"/>
    </row>
    <row r="3184" spans="1:1">
      <c r="A3184" s="169"/>
    </row>
    <row r="3185" spans="1:1">
      <c r="A3185" s="169"/>
    </row>
    <row r="3186" spans="1:1">
      <c r="A3186" s="169"/>
    </row>
    <row r="3187" spans="1:1">
      <c r="A3187" s="169"/>
    </row>
    <row r="3188" spans="1:1">
      <c r="A3188" s="169"/>
    </row>
    <row r="3189" spans="1:1">
      <c r="A3189" s="169"/>
    </row>
    <row r="3190" spans="1:1">
      <c r="A3190" s="169"/>
    </row>
    <row r="3191" spans="1:1">
      <c r="A3191" s="169"/>
    </row>
    <row r="3192" spans="1:1">
      <c r="A3192" s="169"/>
    </row>
    <row r="3193" spans="1:1">
      <c r="A3193" s="169"/>
    </row>
    <row r="3194" spans="1:1">
      <c r="A3194" s="169"/>
    </row>
    <row r="3195" spans="1:1">
      <c r="A3195" s="169"/>
    </row>
    <row r="3196" spans="1:1">
      <c r="A3196" s="169"/>
    </row>
    <row r="3197" spans="1:1">
      <c r="A3197" s="169"/>
    </row>
    <row r="3198" spans="1:1">
      <c r="A3198" s="169"/>
    </row>
    <row r="3199" spans="1:1">
      <c r="A3199" s="169"/>
    </row>
    <row r="3200" spans="1:1">
      <c r="A3200" s="169"/>
    </row>
    <row r="3201" spans="1:1">
      <c r="A3201" s="169"/>
    </row>
    <row r="3202" spans="1:1">
      <c r="A3202" s="169"/>
    </row>
    <row r="3203" spans="1:1">
      <c r="A3203" s="169"/>
    </row>
    <row r="3204" spans="1:1">
      <c r="A3204" s="169"/>
    </row>
    <row r="3205" spans="1:1">
      <c r="A3205" s="169"/>
    </row>
    <row r="3206" spans="1:1">
      <c r="A3206" s="169"/>
    </row>
    <row r="3207" spans="1:1">
      <c r="A3207" s="169"/>
    </row>
    <row r="3208" spans="1:1">
      <c r="A3208" s="169"/>
    </row>
    <row r="3209" spans="1:1">
      <c r="A3209" s="169"/>
    </row>
    <row r="3210" spans="1:1">
      <c r="A3210" s="169"/>
    </row>
    <row r="3211" spans="1:1">
      <c r="A3211" s="169"/>
    </row>
    <row r="3212" spans="1:1">
      <c r="A3212" s="169"/>
    </row>
    <row r="3213" spans="1:1">
      <c r="A3213" s="169"/>
    </row>
    <row r="3214" spans="1:1">
      <c r="A3214" s="169"/>
    </row>
    <row r="3215" spans="1:1">
      <c r="A3215" s="169"/>
    </row>
    <row r="3216" spans="1:1">
      <c r="A3216" s="169"/>
    </row>
    <row r="3217" spans="1:1">
      <c r="A3217" s="169"/>
    </row>
    <row r="3218" spans="1:1">
      <c r="A3218" s="169"/>
    </row>
    <row r="3219" spans="1:1">
      <c r="A3219" s="169"/>
    </row>
    <row r="3220" spans="1:1">
      <c r="A3220" s="169"/>
    </row>
    <row r="3221" spans="1:1">
      <c r="A3221" s="169"/>
    </row>
    <row r="3222" spans="1:1">
      <c r="A3222" s="169"/>
    </row>
    <row r="3223" spans="1:1">
      <c r="A3223" s="169"/>
    </row>
    <row r="3224" spans="1:1">
      <c r="A3224" s="169"/>
    </row>
    <row r="3225" spans="1:1">
      <c r="A3225" s="169"/>
    </row>
    <row r="3226" spans="1:1">
      <c r="A3226" s="169"/>
    </row>
    <row r="3227" spans="1:1">
      <c r="A3227" s="169"/>
    </row>
    <row r="3228" spans="1:1">
      <c r="A3228" s="169"/>
    </row>
    <row r="3229" spans="1:1">
      <c r="A3229" s="169"/>
    </row>
    <row r="3230" spans="1:1">
      <c r="A3230" s="169"/>
    </row>
    <row r="3231" spans="1:1">
      <c r="A3231" s="169"/>
    </row>
    <row r="3232" spans="1:1">
      <c r="A3232" s="169"/>
    </row>
    <row r="3233" spans="1:1">
      <c r="A3233" s="169"/>
    </row>
    <row r="3234" spans="1:1">
      <c r="A3234" s="169"/>
    </row>
    <row r="3235" spans="1:1">
      <c r="A3235" s="169"/>
    </row>
    <row r="3236" spans="1:1">
      <c r="A3236" s="169"/>
    </row>
    <row r="3237" spans="1:1">
      <c r="A3237" s="169"/>
    </row>
    <row r="3238" spans="1:1">
      <c r="A3238" s="169"/>
    </row>
    <row r="3239" spans="1:1">
      <c r="A3239" s="169"/>
    </row>
    <row r="3240" spans="1:1">
      <c r="A3240" s="169"/>
    </row>
    <row r="3241" spans="1:1">
      <c r="A3241" s="169"/>
    </row>
    <row r="3242" spans="1:1">
      <c r="A3242" s="169"/>
    </row>
    <row r="3243" spans="1:1">
      <c r="A3243" s="169"/>
    </row>
    <row r="3244" spans="1:1">
      <c r="A3244" s="169"/>
    </row>
    <row r="3245" spans="1:1">
      <c r="A3245" s="169"/>
    </row>
    <row r="3246" spans="1:1">
      <c r="A3246" s="169"/>
    </row>
    <row r="3247" spans="1:1">
      <c r="A3247" s="169"/>
    </row>
    <row r="3248" spans="1:1">
      <c r="A3248" s="169"/>
    </row>
    <row r="3249" spans="1:1">
      <c r="A3249" s="169"/>
    </row>
    <row r="3250" spans="1:1">
      <c r="A3250" s="169"/>
    </row>
    <row r="3251" spans="1:1">
      <c r="A3251" s="169"/>
    </row>
    <row r="3252" spans="1:1">
      <c r="A3252" s="169"/>
    </row>
    <row r="3253" spans="1:1">
      <c r="A3253" s="169"/>
    </row>
    <row r="3254" spans="1:1">
      <c r="A3254" s="169"/>
    </row>
    <row r="3255" spans="1:1">
      <c r="A3255" s="169"/>
    </row>
    <row r="3256" spans="1:1">
      <c r="A3256" s="169"/>
    </row>
    <row r="3257" spans="1:1">
      <c r="A3257" s="169"/>
    </row>
    <row r="3258" spans="1:1">
      <c r="A3258" s="169"/>
    </row>
    <row r="3259" spans="1:1">
      <c r="A3259" s="169"/>
    </row>
    <row r="3260" spans="1:1">
      <c r="A3260" s="169"/>
    </row>
    <row r="3261" spans="1:1">
      <c r="A3261" s="169"/>
    </row>
    <row r="3262" spans="1:1">
      <c r="A3262" s="169"/>
    </row>
    <row r="3263" spans="1:1">
      <c r="A3263" s="169"/>
    </row>
    <row r="3264" spans="1:1">
      <c r="A3264" s="169"/>
    </row>
    <row r="3265" spans="1:1">
      <c r="A3265" s="169"/>
    </row>
    <row r="3266" spans="1:1">
      <c r="A3266" s="169"/>
    </row>
    <row r="3267" spans="1:1">
      <c r="A3267" s="169"/>
    </row>
    <row r="3268" spans="1:1">
      <c r="A3268" s="169"/>
    </row>
    <row r="3269" spans="1:1">
      <c r="A3269" s="169"/>
    </row>
    <row r="3270" spans="1:1">
      <c r="A3270" s="169"/>
    </row>
    <row r="3271" spans="1:1">
      <c r="A3271" s="169"/>
    </row>
    <row r="3272" spans="1:1">
      <c r="A3272" s="169"/>
    </row>
    <row r="3273" spans="1:1">
      <c r="A3273" s="169"/>
    </row>
    <row r="3274" spans="1:1">
      <c r="A3274" s="169"/>
    </row>
    <row r="3275" spans="1:1">
      <c r="A3275" s="169"/>
    </row>
    <row r="3276" spans="1:1">
      <c r="A3276" s="169"/>
    </row>
    <row r="3277" spans="1:1">
      <c r="A3277" s="169"/>
    </row>
    <row r="3278" spans="1:1">
      <c r="A3278" s="169"/>
    </row>
    <row r="3279" spans="1:1">
      <c r="A3279" s="169"/>
    </row>
    <row r="3280" spans="1:1">
      <c r="A3280" s="169"/>
    </row>
    <row r="3281" spans="1:1">
      <c r="A3281" s="169"/>
    </row>
    <row r="3282" spans="1:1">
      <c r="A3282" s="169"/>
    </row>
    <row r="3283" spans="1:1">
      <c r="A3283" s="169"/>
    </row>
    <row r="3284" spans="1:1">
      <c r="A3284" s="169"/>
    </row>
    <row r="3285" spans="1:1">
      <c r="A3285" s="169"/>
    </row>
    <row r="3286" spans="1:1">
      <c r="A3286" s="169"/>
    </row>
    <row r="3287" spans="1:1">
      <c r="A3287" s="169"/>
    </row>
    <row r="3288" spans="1:1">
      <c r="A3288" s="169"/>
    </row>
    <row r="3289" spans="1:1">
      <c r="A3289" s="169"/>
    </row>
    <row r="3290" spans="1:1">
      <c r="A3290" s="169"/>
    </row>
    <row r="3291" spans="1:1">
      <c r="A3291" s="169"/>
    </row>
    <row r="3292" spans="1:1">
      <c r="A3292" s="169"/>
    </row>
    <row r="3293" spans="1:1">
      <c r="A3293" s="169"/>
    </row>
    <row r="3294" spans="1:1">
      <c r="A3294" s="169"/>
    </row>
    <row r="3295" spans="1:1">
      <c r="A3295" s="169"/>
    </row>
    <row r="3296" spans="1:1">
      <c r="A3296" s="169"/>
    </row>
    <row r="3297" spans="1:1">
      <c r="A3297" s="169"/>
    </row>
    <row r="3298" spans="1:1">
      <c r="A3298" s="169"/>
    </row>
    <row r="3299" spans="1:1">
      <c r="A3299" s="169"/>
    </row>
    <row r="3300" spans="1:1">
      <c r="A3300" s="169"/>
    </row>
    <row r="3301" spans="1:1">
      <c r="A3301" s="169"/>
    </row>
    <row r="3302" spans="1:1">
      <c r="A3302" s="169"/>
    </row>
    <row r="3303" spans="1:1">
      <c r="A3303" s="169"/>
    </row>
    <row r="3304" spans="1:1">
      <c r="A3304" s="169"/>
    </row>
    <row r="3305" spans="1:1">
      <c r="A3305" s="169"/>
    </row>
    <row r="3306" spans="1:1">
      <c r="A3306" s="169"/>
    </row>
    <row r="3307" spans="1:1">
      <c r="A3307" s="169"/>
    </row>
    <row r="3308" spans="1:1">
      <c r="A3308" s="169"/>
    </row>
    <row r="3309" spans="1:1">
      <c r="A3309" s="169"/>
    </row>
    <row r="3310" spans="1:1">
      <c r="A3310" s="169"/>
    </row>
    <row r="3311" spans="1:1">
      <c r="A3311" s="169"/>
    </row>
    <row r="3312" spans="1:1">
      <c r="A3312" s="169"/>
    </row>
    <row r="3313" spans="1:1">
      <c r="A3313" s="169"/>
    </row>
    <row r="3314" spans="1:1">
      <c r="A3314" s="169"/>
    </row>
    <row r="3315" spans="1:1">
      <c r="A3315" s="169"/>
    </row>
    <row r="3316" spans="1:1">
      <c r="A3316" s="169"/>
    </row>
    <row r="3317" spans="1:1">
      <c r="A3317" s="169"/>
    </row>
    <row r="3318" spans="1:1">
      <c r="A3318" s="169"/>
    </row>
    <row r="3319" spans="1:1">
      <c r="A3319" s="169"/>
    </row>
    <row r="3320" spans="1:1">
      <c r="A3320" s="169"/>
    </row>
    <row r="3321" spans="1:1">
      <c r="A3321" s="169"/>
    </row>
    <row r="3322" spans="1:1">
      <c r="A3322" s="169"/>
    </row>
    <row r="3323" spans="1:1">
      <c r="A3323" s="169"/>
    </row>
    <row r="3324" spans="1:1">
      <c r="A3324" s="169"/>
    </row>
    <row r="3325" spans="1:1">
      <c r="A3325" s="169"/>
    </row>
    <row r="3326" spans="1:1">
      <c r="A3326" s="169"/>
    </row>
    <row r="3327" spans="1:1">
      <c r="A3327" s="169"/>
    </row>
    <row r="3328" spans="1:1">
      <c r="A3328" s="169"/>
    </row>
    <row r="3329" spans="1:1">
      <c r="A3329" s="169"/>
    </row>
    <row r="3330" spans="1:1">
      <c r="A3330" s="169"/>
    </row>
    <row r="3331" spans="1:1">
      <c r="A3331" s="169"/>
    </row>
    <row r="3332" spans="1:1">
      <c r="A3332" s="169"/>
    </row>
    <row r="3333" spans="1:1">
      <c r="A3333" s="169"/>
    </row>
    <row r="3334" spans="1:1">
      <c r="A3334" s="169"/>
    </row>
    <row r="3335" spans="1:1">
      <c r="A3335" s="169"/>
    </row>
    <row r="3336" spans="1:1">
      <c r="A3336" s="169"/>
    </row>
    <row r="3337" spans="1:1">
      <c r="A3337" s="169"/>
    </row>
    <row r="3338" spans="1:1">
      <c r="A3338" s="169"/>
    </row>
    <row r="3339" spans="1:1">
      <c r="A3339" s="169"/>
    </row>
    <row r="3340" spans="1:1">
      <c r="A3340" s="169"/>
    </row>
    <row r="3341" spans="1:1">
      <c r="A3341" s="169"/>
    </row>
    <row r="3342" spans="1:1">
      <c r="A3342" s="169"/>
    </row>
    <row r="3343" spans="1:1">
      <c r="A3343" s="169"/>
    </row>
    <row r="3344" spans="1:1">
      <c r="A3344" s="169"/>
    </row>
    <row r="3345" spans="1:1">
      <c r="A3345" s="169"/>
    </row>
    <row r="3346" spans="1:1">
      <c r="A3346" s="169"/>
    </row>
    <row r="3347" spans="1:1">
      <c r="A3347" s="169"/>
    </row>
    <row r="3348" spans="1:1">
      <c r="A3348" s="169"/>
    </row>
    <row r="3349" spans="1:1">
      <c r="A3349" s="169"/>
    </row>
    <row r="3350" spans="1:1">
      <c r="A3350" s="169"/>
    </row>
    <row r="3351" spans="1:1">
      <c r="A3351" s="169"/>
    </row>
    <row r="3352" spans="1:1">
      <c r="A3352" s="169"/>
    </row>
    <row r="3353" spans="1:1">
      <c r="A3353" s="169"/>
    </row>
    <row r="3354" spans="1:1">
      <c r="A3354" s="169"/>
    </row>
    <row r="3355" spans="1:1">
      <c r="A3355" s="169"/>
    </row>
    <row r="3356" spans="1:1">
      <c r="A3356" s="169"/>
    </row>
    <row r="3357" spans="1:1">
      <c r="A3357" s="169"/>
    </row>
    <row r="3358" spans="1:1">
      <c r="A3358" s="169"/>
    </row>
    <row r="3359" spans="1:1">
      <c r="A3359" s="169"/>
    </row>
    <row r="3360" spans="1:1">
      <c r="A3360" s="169"/>
    </row>
    <row r="3361" spans="1:1">
      <c r="A3361" s="169"/>
    </row>
    <row r="3362" spans="1:1">
      <c r="A3362" s="169"/>
    </row>
    <row r="3363" spans="1:1">
      <c r="A3363" s="169"/>
    </row>
    <row r="3364" spans="1:1">
      <c r="A3364" s="169"/>
    </row>
    <row r="3365" spans="1:1">
      <c r="A3365" s="169"/>
    </row>
    <row r="3366" spans="1:1">
      <c r="A3366" s="169"/>
    </row>
    <row r="3367" spans="1:1">
      <c r="A3367" s="169"/>
    </row>
    <row r="3368" spans="1:1">
      <c r="A3368" s="169"/>
    </row>
    <row r="3369" spans="1:1">
      <c r="A3369" s="169"/>
    </row>
    <row r="3370" spans="1:1">
      <c r="A3370" s="169"/>
    </row>
    <row r="3371" spans="1:1">
      <c r="A3371" s="169"/>
    </row>
    <row r="3372" spans="1:1">
      <c r="A3372" s="169"/>
    </row>
    <row r="3373" spans="1:1">
      <c r="A3373" s="169"/>
    </row>
    <row r="3374" spans="1:1">
      <c r="A3374" s="169"/>
    </row>
    <row r="3375" spans="1:1">
      <c r="A3375" s="169"/>
    </row>
    <row r="3376" spans="1:1">
      <c r="A3376" s="169"/>
    </row>
    <row r="3377" spans="1:1">
      <c r="A3377" s="169"/>
    </row>
    <row r="3378" spans="1:1">
      <c r="A3378" s="169"/>
    </row>
    <row r="3379" spans="1:1">
      <c r="A3379" s="169"/>
    </row>
    <row r="3380" spans="1:1">
      <c r="A3380" s="169"/>
    </row>
    <row r="3381" spans="1:1">
      <c r="A3381" s="169"/>
    </row>
    <row r="3382" spans="1:1">
      <c r="A3382" s="169"/>
    </row>
    <row r="3383" spans="1:1">
      <c r="A3383" s="169"/>
    </row>
    <row r="3384" spans="1:1">
      <c r="A3384" s="169"/>
    </row>
    <row r="3385" spans="1:1">
      <c r="A3385" s="169"/>
    </row>
    <row r="3386" spans="1:1">
      <c r="A3386" s="169"/>
    </row>
    <row r="3387" spans="1:1">
      <c r="A3387" s="169"/>
    </row>
    <row r="3388" spans="1:1">
      <c r="A3388" s="169"/>
    </row>
    <row r="3389" spans="1:1">
      <c r="A3389" s="169"/>
    </row>
    <row r="3390" spans="1:1">
      <c r="A3390" s="169"/>
    </row>
    <row r="3391" spans="1:1">
      <c r="A3391" s="169"/>
    </row>
    <row r="3392" spans="1:1">
      <c r="A3392" s="169"/>
    </row>
    <row r="3393" spans="1:1">
      <c r="A3393" s="169"/>
    </row>
    <row r="3394" spans="1:1">
      <c r="A3394" s="169"/>
    </row>
    <row r="3395" spans="1:1">
      <c r="A3395" s="169"/>
    </row>
    <row r="3396" spans="1:1">
      <c r="A3396" s="169"/>
    </row>
    <row r="3397" spans="1:1">
      <c r="A3397" s="169"/>
    </row>
    <row r="3398" spans="1:1">
      <c r="A3398" s="169"/>
    </row>
    <row r="3399" spans="1:1">
      <c r="A3399" s="169"/>
    </row>
    <row r="3400" spans="1:1">
      <c r="A3400" s="169"/>
    </row>
    <row r="3401" spans="1:1">
      <c r="A3401" s="169"/>
    </row>
    <row r="3402" spans="1:1">
      <c r="A3402" s="169"/>
    </row>
    <row r="3403" spans="1:1">
      <c r="A3403" s="169"/>
    </row>
    <row r="3404" spans="1:1">
      <c r="A3404" s="169"/>
    </row>
    <row r="3405" spans="1:1">
      <c r="A3405" s="169"/>
    </row>
    <row r="3406" spans="1:1">
      <c r="A3406" s="169"/>
    </row>
    <row r="3407" spans="1:1">
      <c r="A3407" s="169"/>
    </row>
    <row r="3408" spans="1:1">
      <c r="A3408" s="169"/>
    </row>
    <row r="3409" spans="1:1">
      <c r="A3409" s="169"/>
    </row>
    <row r="3410" spans="1:1">
      <c r="A3410" s="169"/>
    </row>
    <row r="3411" spans="1:1">
      <c r="A3411" s="169"/>
    </row>
    <row r="3412" spans="1:1">
      <c r="A3412" s="169"/>
    </row>
    <row r="3413" spans="1:1">
      <c r="A3413" s="169"/>
    </row>
    <row r="3414" spans="1:1">
      <c r="A3414" s="169"/>
    </row>
    <row r="3415" spans="1:1">
      <c r="A3415" s="169"/>
    </row>
    <row r="3416" spans="1:1">
      <c r="A3416" s="169"/>
    </row>
    <row r="3417" spans="1:1">
      <c r="A3417" s="169"/>
    </row>
    <row r="3418" spans="1:1">
      <c r="A3418" s="169"/>
    </row>
    <row r="3419" spans="1:1">
      <c r="A3419" s="169"/>
    </row>
  </sheetData>
  <autoFilter ref="A2:AA24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3558-B08D-4393-A0DC-2CB89E59A7F0}">
  <sheetPr>
    <tabColor rgb="FF002060"/>
  </sheetPr>
  <dimension ref="B2:V398"/>
  <sheetViews>
    <sheetView showGridLines="0" topLeftCell="A81" workbookViewId="0">
      <selection activeCell="H771" sqref="H771:H772"/>
    </sheetView>
  </sheetViews>
  <sheetFormatPr defaultColWidth="9.1796875" defaultRowHeight="12.5"/>
  <cols>
    <col min="1" max="1" width="9.1796875" style="184"/>
    <col min="2" max="2" width="19.7265625" style="184" bestFit="1" customWidth="1"/>
    <col min="3" max="3" width="46.26953125" style="184" customWidth="1"/>
    <col min="4" max="4" width="39.453125" style="184" customWidth="1"/>
    <col min="5" max="5" width="30.7265625" style="184" customWidth="1"/>
    <col min="6" max="6" width="24.81640625" style="184" customWidth="1"/>
    <col min="7" max="16384" width="9.1796875" style="184"/>
  </cols>
  <sheetData>
    <row r="2" spans="2:7" ht="14.5">
      <c r="B2" s="183"/>
      <c r="C2"/>
      <c r="D2"/>
      <c r="E2"/>
      <c r="F2"/>
    </row>
    <row r="3" spans="2:7" ht="14.5">
      <c r="B3" s="185"/>
      <c r="C3" s="215"/>
      <c r="D3" s="215"/>
      <c r="E3" s="215"/>
      <c r="F3" s="215"/>
    </row>
    <row r="4" spans="2:7" ht="13">
      <c r="B4" s="186"/>
      <c r="C4" s="215"/>
      <c r="D4" s="215"/>
      <c r="E4" s="215"/>
      <c r="F4" s="215"/>
    </row>
    <row r="5" spans="2:7" ht="15.5">
      <c r="B5" s="186"/>
      <c r="C5" s="216" t="s">
        <v>1267</v>
      </c>
      <c r="D5" s="216"/>
      <c r="E5" s="216"/>
      <c r="F5" s="216"/>
    </row>
    <row r="6" spans="2:7" ht="14.5">
      <c r="B6" s="183"/>
      <c r="C6"/>
      <c r="D6"/>
      <c r="E6"/>
      <c r="F6"/>
    </row>
    <row r="7" spans="2:7" ht="15.5">
      <c r="C7" s="213" t="s">
        <v>1268</v>
      </c>
      <c r="D7" s="213"/>
      <c r="E7" s="213"/>
      <c r="F7" s="213"/>
    </row>
    <row r="8" spans="2:7" ht="15.5">
      <c r="C8" s="212" t="s">
        <v>1269</v>
      </c>
      <c r="D8" s="212"/>
      <c r="E8" s="212"/>
      <c r="F8" s="212"/>
      <c r="G8" s="212"/>
    </row>
    <row r="9" spans="2:7" ht="15.5">
      <c r="C9" s="213" t="s">
        <v>1270</v>
      </c>
      <c r="D9" s="213"/>
      <c r="E9" s="213"/>
      <c r="F9" s="213"/>
    </row>
    <row r="10" spans="2:7" ht="14.5">
      <c r="B10" s="183"/>
      <c r="C10"/>
      <c r="D10"/>
      <c r="E10"/>
      <c r="F10"/>
    </row>
    <row r="11" spans="2:7" ht="14.5">
      <c r="B11" s="183"/>
      <c r="C11"/>
      <c r="D11"/>
      <c r="E11"/>
      <c r="F11"/>
    </row>
    <row r="12" spans="2:7" ht="15" thickBot="1">
      <c r="B12" s="187" t="s">
        <v>1271</v>
      </c>
      <c r="C12" s="187" t="s">
        <v>1272</v>
      </c>
      <c r="D12" s="186"/>
      <c r="E12"/>
      <c r="F12"/>
    </row>
    <row r="13" spans="2:7" ht="15" thickBot="1">
      <c r="B13" s="186"/>
      <c r="C13" s="188" t="s">
        <v>1273</v>
      </c>
      <c r="D13" s="189" t="s">
        <v>1274</v>
      </c>
      <c r="E13"/>
      <c r="F13"/>
    </row>
    <row r="14" spans="2:7" ht="15" thickBot="1">
      <c r="B14" s="190"/>
      <c r="C14" s="191" t="s">
        <v>1275</v>
      </c>
      <c r="D14" s="192" t="s">
        <v>1276</v>
      </c>
      <c r="E14"/>
      <c r="F14"/>
    </row>
    <row r="15" spans="2:7" ht="15" thickBot="1">
      <c r="B15" s="190"/>
      <c r="C15" s="191" t="s">
        <v>1277</v>
      </c>
      <c r="D15" s="192" t="s">
        <v>1276</v>
      </c>
      <c r="E15"/>
      <c r="F15"/>
    </row>
    <row r="16" spans="2:7" ht="15" thickBot="1">
      <c r="B16" s="190"/>
      <c r="C16" s="191" t="s">
        <v>1278</v>
      </c>
      <c r="D16" s="192" t="s">
        <v>1276</v>
      </c>
      <c r="E16"/>
      <c r="F16"/>
    </row>
    <row r="17" spans="2:10" ht="15" thickBot="1">
      <c r="B17" s="190"/>
      <c r="C17" s="191" t="s">
        <v>1279</v>
      </c>
      <c r="D17" s="192" t="s">
        <v>1276</v>
      </c>
      <c r="E17"/>
      <c r="F17"/>
    </row>
    <row r="18" spans="2:10" ht="15" thickBot="1">
      <c r="B18" s="190"/>
      <c r="C18" s="191" t="s">
        <v>1280</v>
      </c>
      <c r="D18" s="192" t="s">
        <v>1276</v>
      </c>
      <c r="E18"/>
      <c r="F18"/>
    </row>
    <row r="19" spans="2:10" ht="15" thickBot="1">
      <c r="B19" s="190"/>
      <c r="C19" s="191" t="s">
        <v>1281</v>
      </c>
      <c r="D19" s="192" t="s">
        <v>1276</v>
      </c>
      <c r="E19"/>
      <c r="F19"/>
    </row>
    <row r="20" spans="2:10" ht="15" thickBot="1">
      <c r="B20" s="190"/>
      <c r="C20" s="191" t="s">
        <v>1282</v>
      </c>
      <c r="D20" s="192" t="s">
        <v>1283</v>
      </c>
      <c r="E20"/>
      <c r="F20"/>
    </row>
    <row r="21" spans="2:10" ht="15" thickBot="1">
      <c r="B21" s="190"/>
      <c r="C21" s="191" t="s">
        <v>1284</v>
      </c>
      <c r="D21" s="192" t="s">
        <v>1276</v>
      </c>
      <c r="E21"/>
      <c r="F21"/>
    </row>
    <row r="22" spans="2:10" ht="15" thickBot="1">
      <c r="B22" s="190"/>
      <c r="C22" s="191" t="s">
        <v>1285</v>
      </c>
      <c r="D22" s="192" t="s">
        <v>1276</v>
      </c>
      <c r="E22"/>
      <c r="F22"/>
    </row>
    <row r="23" spans="2:10" ht="15" thickBot="1">
      <c r="B23" s="190"/>
      <c r="C23" s="191" t="s">
        <v>1286</v>
      </c>
      <c r="D23" s="192" t="s">
        <v>1276</v>
      </c>
      <c r="E23"/>
      <c r="F23"/>
    </row>
    <row r="24" spans="2:10" ht="15" thickBot="1">
      <c r="B24" s="190"/>
      <c r="C24" s="191" t="s">
        <v>1287</v>
      </c>
      <c r="D24" s="192" t="s">
        <v>1283</v>
      </c>
      <c r="E24"/>
      <c r="F24"/>
    </row>
    <row r="25" spans="2:10" ht="15" thickBot="1">
      <c r="B25" s="190"/>
      <c r="C25" s="191" t="s">
        <v>1288</v>
      </c>
      <c r="D25" s="192" t="s">
        <v>1289</v>
      </c>
      <c r="E25"/>
      <c r="F25"/>
    </row>
    <row r="26" spans="2:10" ht="15" thickBot="1">
      <c r="B26" s="190"/>
      <c r="C26" s="191" t="s">
        <v>1290</v>
      </c>
      <c r="D26" s="192" t="s">
        <v>1291</v>
      </c>
      <c r="E26"/>
      <c r="F26"/>
    </row>
    <row r="27" spans="2:10" ht="15" thickBot="1">
      <c r="B27" s="186"/>
      <c r="C27" s="191" t="s">
        <v>1292</v>
      </c>
      <c r="D27" s="192" t="s">
        <v>1276</v>
      </c>
      <c r="E27"/>
      <c r="F27"/>
    </row>
    <row r="28" spans="2:10" ht="15" thickBot="1">
      <c r="B28" s="190"/>
      <c r="C28" s="191" t="s">
        <v>1293</v>
      </c>
      <c r="D28" s="192" t="s">
        <v>1289</v>
      </c>
      <c r="E28"/>
      <c r="F28"/>
    </row>
    <row r="29" spans="2:10" ht="15" thickBot="1">
      <c r="B29" s="190"/>
      <c r="C29" s="191" t="s">
        <v>1294</v>
      </c>
      <c r="D29" s="192" t="s">
        <v>1291</v>
      </c>
      <c r="E29"/>
      <c r="F29"/>
    </row>
    <row r="30" spans="2:10" ht="15" thickBot="1">
      <c r="B30" s="190"/>
      <c r="C30" s="191" t="s">
        <v>1295</v>
      </c>
      <c r="D30" s="192" t="s">
        <v>1296</v>
      </c>
      <c r="E30"/>
      <c r="F30"/>
      <c r="J30" s="193"/>
    </row>
    <row r="31" spans="2:10" ht="15" thickBot="1">
      <c r="B31" s="190"/>
      <c r="C31" s="191" t="s">
        <v>1297</v>
      </c>
      <c r="D31" s="192" t="s">
        <v>1298</v>
      </c>
      <c r="E31"/>
      <c r="F31"/>
    </row>
    <row r="32" spans="2:10" ht="15" thickBot="1">
      <c r="B32" s="190"/>
      <c r="C32" s="191" t="s">
        <v>1299</v>
      </c>
      <c r="D32" s="192" t="s">
        <v>1300</v>
      </c>
      <c r="E32"/>
      <c r="F32"/>
    </row>
    <row r="33" spans="2:6" ht="14.5">
      <c r="B33" s="183"/>
      <c r="C33"/>
      <c r="D33"/>
      <c r="E33"/>
      <c r="F33"/>
    </row>
    <row r="34" spans="2:6" ht="14.5">
      <c r="B34" s="183"/>
      <c r="C34"/>
      <c r="D34"/>
      <c r="E34"/>
      <c r="F34"/>
    </row>
    <row r="35" spans="2:6" ht="14.5">
      <c r="B35" s="187" t="s">
        <v>1301</v>
      </c>
      <c r="C35" s="187" t="s">
        <v>1302</v>
      </c>
      <c r="D35" s="186"/>
      <c r="E35" s="186"/>
      <c r="F35"/>
    </row>
    <row r="36" spans="2:6" ht="27" customHeight="1" thickBot="1">
      <c r="B36" s="214" t="s">
        <v>1303</v>
      </c>
      <c r="C36" s="214"/>
      <c r="D36" s="214"/>
      <c r="E36" s="214"/>
      <c r="F36"/>
    </row>
    <row r="37" spans="2:6" ht="15" thickBot="1">
      <c r="B37" s="186"/>
      <c r="C37" s="188" t="s">
        <v>1273</v>
      </c>
      <c r="D37" s="189" t="s">
        <v>1274</v>
      </c>
      <c r="E37" s="186"/>
      <c r="F37"/>
    </row>
    <row r="38" spans="2:6" ht="15" thickBot="1">
      <c r="B38" s="186"/>
      <c r="C38" s="191" t="s">
        <v>1275</v>
      </c>
      <c r="D38" s="192" t="s">
        <v>1289</v>
      </c>
      <c r="E38" s="186"/>
      <c r="F38"/>
    </row>
    <row r="39" spans="2:6" ht="15" thickBot="1">
      <c r="B39" s="186"/>
      <c r="C39" s="191" t="s">
        <v>1277</v>
      </c>
      <c r="D39" s="192" t="s">
        <v>1289</v>
      </c>
      <c r="E39" s="186"/>
      <c r="F39"/>
    </row>
    <row r="40" spans="2:6" ht="15" thickBot="1">
      <c r="B40" s="186"/>
      <c r="C40" s="191" t="s">
        <v>1278</v>
      </c>
      <c r="D40" s="192" t="s">
        <v>1289</v>
      </c>
      <c r="E40" s="186"/>
      <c r="F40"/>
    </row>
    <row r="41" spans="2:6" ht="15" thickBot="1">
      <c r="B41" s="186"/>
      <c r="C41" s="191" t="s">
        <v>1279</v>
      </c>
      <c r="D41" s="192" t="s">
        <v>1289</v>
      </c>
      <c r="E41" s="186"/>
      <c r="F41"/>
    </row>
    <row r="42" spans="2:6" ht="15" thickBot="1">
      <c r="B42" s="186"/>
      <c r="C42" s="191" t="s">
        <v>1280</v>
      </c>
      <c r="D42" s="192" t="s">
        <v>1289</v>
      </c>
      <c r="E42" s="186"/>
      <c r="F42"/>
    </row>
    <row r="43" spans="2:6" ht="15" thickBot="1">
      <c r="B43" s="186"/>
      <c r="C43" s="191" t="s">
        <v>1281</v>
      </c>
      <c r="D43" s="192" t="s">
        <v>1289</v>
      </c>
      <c r="E43" s="186"/>
      <c r="F43"/>
    </row>
    <row r="44" spans="2:6" ht="15" thickBot="1">
      <c r="B44" s="186"/>
      <c r="C44" s="191" t="s">
        <v>1282</v>
      </c>
      <c r="D44" s="192" t="s">
        <v>1289</v>
      </c>
      <c r="E44" s="186"/>
      <c r="F44"/>
    </row>
    <row r="45" spans="2:6" ht="15" thickBot="1">
      <c r="B45" s="186"/>
      <c r="C45" s="191" t="s">
        <v>1284</v>
      </c>
      <c r="D45" s="192" t="s">
        <v>1289</v>
      </c>
      <c r="E45" s="186"/>
      <c r="F45"/>
    </row>
    <row r="46" spans="2:6" ht="15" thickBot="1">
      <c r="B46" s="186"/>
      <c r="C46" s="191" t="s">
        <v>1285</v>
      </c>
      <c r="D46" s="192" t="s">
        <v>1289</v>
      </c>
      <c r="E46" s="186"/>
      <c r="F46"/>
    </row>
    <row r="47" spans="2:6" ht="15" thickBot="1">
      <c r="B47" s="186"/>
      <c r="C47" s="191" t="s">
        <v>1286</v>
      </c>
      <c r="D47" s="192" t="s">
        <v>1289</v>
      </c>
      <c r="E47" s="186"/>
      <c r="F47"/>
    </row>
    <row r="48" spans="2:6" ht="15" thickBot="1">
      <c r="B48" s="186"/>
      <c r="C48" s="191" t="s">
        <v>1287</v>
      </c>
      <c r="D48" s="192" t="s">
        <v>1289</v>
      </c>
      <c r="E48" s="186"/>
      <c r="F48"/>
    </row>
    <row r="49" spans="2:6" ht="15" thickBot="1">
      <c r="B49" s="186"/>
      <c r="C49" s="191" t="s">
        <v>1288</v>
      </c>
      <c r="D49" s="192" t="s">
        <v>1289</v>
      </c>
      <c r="E49" s="186"/>
      <c r="F49"/>
    </row>
    <row r="50" spans="2:6" ht="15" thickBot="1">
      <c r="B50" s="186"/>
      <c r="C50" s="191" t="s">
        <v>1290</v>
      </c>
      <c r="D50" s="192" t="s">
        <v>1289</v>
      </c>
      <c r="E50" s="186"/>
      <c r="F50"/>
    </row>
    <row r="51" spans="2:6" ht="15" thickBot="1">
      <c r="B51" s="186"/>
      <c r="C51" s="191" t="s">
        <v>1292</v>
      </c>
      <c r="D51" s="192" t="s">
        <v>1289</v>
      </c>
      <c r="E51" s="186"/>
      <c r="F51"/>
    </row>
    <row r="52" spans="2:6" ht="15" thickBot="1">
      <c r="B52" s="186"/>
      <c r="C52" s="191" t="s">
        <v>1293</v>
      </c>
      <c r="D52" s="192" t="s">
        <v>1289</v>
      </c>
      <c r="E52" s="186"/>
      <c r="F52"/>
    </row>
    <row r="53" spans="2:6" ht="15" thickBot="1">
      <c r="B53" s="186"/>
      <c r="C53" s="191" t="s">
        <v>1294</v>
      </c>
      <c r="D53" s="192" t="s">
        <v>1289</v>
      </c>
      <c r="E53" s="186"/>
      <c r="F53"/>
    </row>
    <row r="54" spans="2:6" ht="15" thickBot="1">
      <c r="B54" s="186"/>
      <c r="C54" s="191" t="s">
        <v>1295</v>
      </c>
      <c r="D54" s="192" t="s">
        <v>1289</v>
      </c>
      <c r="E54" s="186"/>
      <c r="F54"/>
    </row>
    <row r="55" spans="2:6" ht="15" thickBot="1">
      <c r="B55" s="186"/>
      <c r="C55" s="191" t="s">
        <v>1297</v>
      </c>
      <c r="D55" s="192" t="s">
        <v>1289</v>
      </c>
      <c r="E55" s="186"/>
      <c r="F55"/>
    </row>
    <row r="56" spans="2:6" ht="15" thickBot="1">
      <c r="B56" s="186"/>
      <c r="C56" s="191" t="s">
        <v>1299</v>
      </c>
      <c r="D56" s="192" t="s">
        <v>1289</v>
      </c>
      <c r="E56" s="186"/>
      <c r="F56"/>
    </row>
    <row r="65" spans="2:6">
      <c r="B65" s="194"/>
      <c r="C65" s="194"/>
      <c r="D65" s="194"/>
    </row>
    <row r="66" spans="2:6">
      <c r="B66" s="194"/>
      <c r="C66" s="194"/>
      <c r="D66" s="194"/>
    </row>
    <row r="80" spans="2:6" ht="14.5">
      <c r="B80" s="187" t="s">
        <v>1271</v>
      </c>
      <c r="C80" s="187" t="s">
        <v>1304</v>
      </c>
      <c r="D80" s="186"/>
      <c r="E80"/>
      <c r="F80"/>
    </row>
    <row r="81" spans="2:6" ht="14.5">
      <c r="B81" s="195" t="s">
        <v>1305</v>
      </c>
      <c r="C81" s="195"/>
      <c r="D81" s="186"/>
      <c r="E81"/>
      <c r="F81"/>
    </row>
    <row r="82" spans="2:6" ht="15" thickBot="1">
      <c r="B82" s="195"/>
      <c r="C82" s="195"/>
      <c r="D82" s="186"/>
      <c r="E82"/>
      <c r="F82"/>
    </row>
    <row r="83" spans="2:6" ht="15" thickBot="1">
      <c r="B83" s="186"/>
      <c r="C83" s="188" t="s">
        <v>1273</v>
      </c>
      <c r="D83" s="189" t="s">
        <v>1274</v>
      </c>
      <c r="E83"/>
      <c r="F83"/>
    </row>
    <row r="84" spans="2:6" ht="13.5" thickBot="1">
      <c r="C84" s="191" t="s">
        <v>1306</v>
      </c>
      <c r="D84" s="192" t="s">
        <v>1307</v>
      </c>
    </row>
    <row r="85" spans="2:6" ht="13.5" thickBot="1">
      <c r="C85" s="191" t="s">
        <v>1308</v>
      </c>
      <c r="D85" s="192" t="s">
        <v>1309</v>
      </c>
    </row>
    <row r="86" spans="2:6" ht="13.5" thickBot="1">
      <c r="C86" s="191" t="s">
        <v>1310</v>
      </c>
      <c r="D86" s="192" t="s">
        <v>1311</v>
      </c>
    </row>
    <row r="87" spans="2:6" ht="13.5" customHeight="1"/>
    <row r="90" spans="2:6" ht="16">
      <c r="B90" s="196" t="s">
        <v>1312</v>
      </c>
      <c r="C90" s="194"/>
      <c r="D90" s="194"/>
    </row>
    <row r="91" spans="2:6" ht="14.5">
      <c r="B91" s="197"/>
    </row>
    <row r="398" spans="22:22">
      <c r="V398" s="184" t="s">
        <v>1313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2026-03-10T18:16:07Z</dcterms:created>
  <dcterms:modified xsi:type="dcterms:W3CDTF">2026-03-10T19:29:06Z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2026-03-10T18:16:22Z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712754d9-f51c-4423-82fd-351bbf3f9381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